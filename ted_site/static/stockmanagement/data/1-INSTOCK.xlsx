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OCK" sheetId="1" r:id="rId4"/>
    <sheet state="visible" name="TABLEITEM" sheetId="2" r:id="rId5"/>
    <sheet state="visible" name="REPORTIN" sheetId="3" r:id="rId6"/>
  </sheets>
  <externalReferences>
    <externalReference r:id="rId7"/>
    <externalReference r:id="rId8"/>
    <externalReference r:id="rId9"/>
  </externalReferences>
  <definedNames>
    <definedName name="INSTOCK">INSTOCK!$D$2:$N$6125</definedName>
    <definedName name="TABLE">#REF!</definedName>
    <definedName name="QTY">#REF!</definedName>
    <definedName name="UNITPRICE">#REF!</definedName>
    <definedName localSheetId="1" name="LIST">#REF!</definedName>
    <definedName name="TABLEITEM">TABLEITEM!$B$2:$G$2749</definedName>
    <definedName name="TABLETEST">#REF!</definedName>
    <definedName hidden="1" localSheetId="1" name="_xlnm._FilterDatabase">TABLEITEM!$A$1:$M$1</definedName>
  </definedNames>
  <calcPr/>
  <extLst>
    <ext uri="GoogleSheetsCustomDataVersion1">
      <go:sheetsCustomData xmlns:go="http://customooxmlschemas.google.com/" r:id="rId10" roundtripDataSignature="AMtx7mh/xXZfeQ0FWj1olqE3ujH7WaNXDg=="/>
    </ext>
  </extLst>
</workbook>
</file>

<file path=xl/sharedStrings.xml><?xml version="1.0" encoding="utf-8"?>
<sst xmlns="http://schemas.openxmlformats.org/spreadsheetml/2006/main" count="34998" uniqueCount="10375">
  <si>
    <t>NO.</t>
  </si>
  <si>
    <t>DATE</t>
  </si>
  <si>
    <t>IV No.</t>
  </si>
  <si>
    <t>PO No.</t>
  </si>
  <si>
    <t>PC Job</t>
  </si>
  <si>
    <t>SUPPLIER</t>
  </si>
  <si>
    <t>ID</t>
  </si>
  <si>
    <t>qty</t>
  </si>
  <si>
    <t>Column3</t>
  </si>
  <si>
    <t>UNIT/Price</t>
  </si>
  <si>
    <t>group</t>
  </si>
  <si>
    <t xml:space="preserve">LIST </t>
  </si>
  <si>
    <t>Total</t>
  </si>
  <si>
    <t>Column1</t>
  </si>
  <si>
    <t>Column2</t>
  </si>
  <si>
    <t>ยอดยกมา17</t>
  </si>
  <si>
    <t>CG</t>
  </si>
  <si>
    <t>LG</t>
  </si>
  <si>
    <t>RP</t>
  </si>
  <si>
    <t>PVC</t>
  </si>
  <si>
    <t>WW</t>
  </si>
  <si>
    <t>BS</t>
  </si>
  <si>
    <t>BT80</t>
  </si>
  <si>
    <t>BT400</t>
  </si>
  <si>
    <t>RS120</t>
  </si>
  <si>
    <t>PW</t>
  </si>
  <si>
    <t>DC110</t>
  </si>
  <si>
    <t>SR 3/4x3/16</t>
  </si>
  <si>
    <t>SR 1x1/8</t>
  </si>
  <si>
    <t>SR 1x1/4</t>
  </si>
  <si>
    <t>SRB 3x10</t>
  </si>
  <si>
    <t>GR3</t>
  </si>
  <si>
    <t>GR5</t>
  </si>
  <si>
    <t>RB2</t>
  </si>
  <si>
    <t>RB3</t>
  </si>
  <si>
    <t>FC#16</t>
  </si>
  <si>
    <t>SC</t>
  </si>
  <si>
    <t>CS</t>
  </si>
  <si>
    <t>GLASS</t>
  </si>
  <si>
    <t>BM#10</t>
  </si>
  <si>
    <t>BM#11</t>
  </si>
  <si>
    <t>DP</t>
  </si>
  <si>
    <t>ALCOHOL</t>
  </si>
  <si>
    <t>TN ACL</t>
  </si>
  <si>
    <t>TN AAA</t>
  </si>
  <si>
    <t>PAINT-POUT</t>
  </si>
  <si>
    <t>BW</t>
  </si>
  <si>
    <t>TSA-W</t>
  </si>
  <si>
    <t>TSA-4</t>
  </si>
  <si>
    <t>TSA-8</t>
  </si>
  <si>
    <t>TSA-13</t>
  </si>
  <si>
    <t>NITT0</t>
  </si>
  <si>
    <t>GT1</t>
  </si>
  <si>
    <t>GT2</t>
  </si>
  <si>
    <t>GT3</t>
  </si>
  <si>
    <t>CAT</t>
  </si>
  <si>
    <t>BCT</t>
  </si>
  <si>
    <t>PT</t>
  </si>
  <si>
    <t>paint-231</t>
  </si>
  <si>
    <t>SONAX</t>
  </si>
  <si>
    <t>GLUE</t>
  </si>
  <si>
    <t>paint-211</t>
  </si>
  <si>
    <t>paint-216</t>
  </si>
  <si>
    <t>paint-200</t>
  </si>
  <si>
    <t>paint-218</t>
  </si>
  <si>
    <t>paint-214</t>
  </si>
  <si>
    <t>paint-210</t>
  </si>
  <si>
    <t>paint-242</t>
  </si>
  <si>
    <t>paint-815</t>
  </si>
  <si>
    <t>paint-45461</t>
  </si>
  <si>
    <t>paint-5Y7/1</t>
  </si>
  <si>
    <t>paint-90A</t>
  </si>
  <si>
    <t>paint-128A</t>
  </si>
  <si>
    <t>powder90A</t>
  </si>
  <si>
    <t>powder28A</t>
  </si>
  <si>
    <t>powder51A</t>
  </si>
  <si>
    <t>powder190A</t>
  </si>
  <si>
    <t>powder106A</t>
  </si>
  <si>
    <t>powder109A</t>
  </si>
  <si>
    <t>powder600C</t>
  </si>
  <si>
    <t>powder815C</t>
  </si>
  <si>
    <t>powder833C</t>
  </si>
  <si>
    <t>powder908C</t>
  </si>
  <si>
    <t>powder09C</t>
  </si>
  <si>
    <t>powder829CW</t>
  </si>
  <si>
    <t>powder433241</t>
  </si>
  <si>
    <t>powder4551</t>
  </si>
  <si>
    <t>powder413041</t>
  </si>
  <si>
    <t>powder49CW</t>
  </si>
  <si>
    <t>powder166</t>
  </si>
  <si>
    <t>powder201</t>
  </si>
  <si>
    <t>paintFF110/601/C</t>
  </si>
  <si>
    <t>powder703</t>
  </si>
  <si>
    <t>powder981</t>
  </si>
  <si>
    <t xml:space="preserve">powder878  </t>
  </si>
  <si>
    <t>powder414</t>
  </si>
  <si>
    <t>powder422</t>
  </si>
  <si>
    <t>powder421</t>
  </si>
  <si>
    <t>powder022</t>
  </si>
  <si>
    <t>powder026</t>
  </si>
  <si>
    <t>powder042</t>
  </si>
  <si>
    <t>powder024</t>
  </si>
  <si>
    <t xml:space="preserve">powder156 </t>
  </si>
  <si>
    <t>powder189</t>
  </si>
  <si>
    <t>powder040</t>
  </si>
  <si>
    <t>powder001WN</t>
  </si>
  <si>
    <t>powder254</t>
  </si>
  <si>
    <t>powder477AN</t>
  </si>
  <si>
    <t xml:space="preserve">powder90042 </t>
  </si>
  <si>
    <t>powder90097BN</t>
  </si>
  <si>
    <t>paint-222</t>
  </si>
  <si>
    <t>paint-215</t>
  </si>
  <si>
    <t>keyG-016BK</t>
  </si>
  <si>
    <t>Key</t>
  </si>
  <si>
    <t>keyG-104</t>
  </si>
  <si>
    <t>keyG-247</t>
  </si>
  <si>
    <t>keyG-293</t>
  </si>
  <si>
    <t>keyG-016S</t>
  </si>
  <si>
    <t>key173-03-G-025</t>
  </si>
  <si>
    <t>keyMS-306-2-1</t>
  </si>
  <si>
    <t>keyG-104onkey</t>
  </si>
  <si>
    <t>key169-03-G-016</t>
  </si>
  <si>
    <t>key1C-157-03-C01</t>
  </si>
  <si>
    <t>keyMS504-5</t>
  </si>
  <si>
    <t>keyMS480-2</t>
  </si>
  <si>
    <t>keyMS480-1</t>
  </si>
  <si>
    <t>keyMS-306-1-1</t>
  </si>
  <si>
    <t>keyFD-14</t>
  </si>
  <si>
    <t>keyFD-13</t>
  </si>
  <si>
    <t>keyAB-301</t>
  </si>
  <si>
    <t>key261-91H</t>
  </si>
  <si>
    <t>C4</t>
  </si>
  <si>
    <t>PL006</t>
  </si>
  <si>
    <t>1K077-01</t>
  </si>
  <si>
    <t>KEYLOCK</t>
  </si>
  <si>
    <t>SSBN-09</t>
  </si>
  <si>
    <t>TL</t>
  </si>
  <si>
    <t>CVGR</t>
  </si>
  <si>
    <t>CVCR</t>
  </si>
  <si>
    <t>keyA-464-1-1</t>
  </si>
  <si>
    <t>keyA-51-1-1</t>
  </si>
  <si>
    <t>keyA-140-1-1</t>
  </si>
  <si>
    <t>keyA-1140</t>
  </si>
  <si>
    <t>keyC-1012</t>
  </si>
  <si>
    <t>keyC-1007</t>
  </si>
  <si>
    <t>Hing02</t>
  </si>
  <si>
    <t>Hing01</t>
  </si>
  <si>
    <t>keyHL-027</t>
  </si>
  <si>
    <t>keyHL-042</t>
  </si>
  <si>
    <t>SSH-200</t>
  </si>
  <si>
    <t>SSH-112</t>
  </si>
  <si>
    <t>PA-100B</t>
  </si>
  <si>
    <t>PA-150B</t>
  </si>
  <si>
    <t>PA-200B</t>
  </si>
  <si>
    <t>PA-250B</t>
  </si>
  <si>
    <t>PA-00B</t>
  </si>
  <si>
    <t>SM-20-BR</t>
  </si>
  <si>
    <t>KEY A-140-2-1</t>
  </si>
  <si>
    <t>KEY A-140-3-1</t>
  </si>
  <si>
    <t>CBT4-WH</t>
  </si>
  <si>
    <t>CBT4-BK</t>
  </si>
  <si>
    <t>CBT6-WH</t>
  </si>
  <si>
    <t>CBT6-BK</t>
  </si>
  <si>
    <t>CBT8-WH</t>
  </si>
  <si>
    <t>CBT8-BK</t>
  </si>
  <si>
    <t>CBT12-WH</t>
  </si>
  <si>
    <t>CBT12-BK</t>
  </si>
  <si>
    <t>TV-6</t>
  </si>
  <si>
    <t>TV-8</t>
  </si>
  <si>
    <t>TV-10</t>
  </si>
  <si>
    <t>TV-12</t>
  </si>
  <si>
    <t>TV-15</t>
  </si>
  <si>
    <t>TV-19</t>
  </si>
  <si>
    <t>TM2121-4WP</t>
  </si>
  <si>
    <t>TM2828-4WP</t>
  </si>
  <si>
    <t>HC-2</t>
  </si>
  <si>
    <t>CE-2</t>
  </si>
  <si>
    <t>CE-5</t>
  </si>
  <si>
    <t>PG11</t>
  </si>
  <si>
    <t>PG13</t>
  </si>
  <si>
    <t>PG16</t>
  </si>
  <si>
    <t>PG20</t>
  </si>
  <si>
    <t>HP-10</t>
  </si>
  <si>
    <t>HP-22</t>
  </si>
  <si>
    <t>HP-25</t>
  </si>
  <si>
    <t>HP-30</t>
  </si>
  <si>
    <t>NP</t>
  </si>
  <si>
    <t>PP</t>
  </si>
  <si>
    <t>TX10</t>
  </si>
  <si>
    <t>TXA1</t>
  </si>
  <si>
    <t>TX20</t>
  </si>
  <si>
    <t>TX30</t>
  </si>
  <si>
    <t>TXA3</t>
  </si>
  <si>
    <t>TX60</t>
  </si>
  <si>
    <t>TXA6</t>
  </si>
  <si>
    <t>TX100</t>
  </si>
  <si>
    <t>TXA10</t>
  </si>
  <si>
    <t>TX150</t>
  </si>
  <si>
    <t>TXA15</t>
  </si>
  <si>
    <t>TX200</t>
  </si>
  <si>
    <t>TXE2</t>
  </si>
  <si>
    <t>WD25x25</t>
  </si>
  <si>
    <t>WD25x45</t>
  </si>
  <si>
    <t>WD33x33</t>
  </si>
  <si>
    <t>WD33x45</t>
  </si>
  <si>
    <t>WD33x65</t>
  </si>
  <si>
    <t>WD45x45</t>
  </si>
  <si>
    <t>WD45x65</t>
  </si>
  <si>
    <t>WD65x65</t>
  </si>
  <si>
    <t>WD80x80</t>
  </si>
  <si>
    <t>WD100x80</t>
  </si>
  <si>
    <t>RELAY</t>
  </si>
  <si>
    <t>UT-N2.5W</t>
  </si>
  <si>
    <t>UT-N3.2W</t>
  </si>
  <si>
    <t>2200(55%)</t>
  </si>
  <si>
    <t>UT-N3.6W</t>
  </si>
  <si>
    <t>2630(55%)</t>
  </si>
  <si>
    <t>UT-N4.2W</t>
  </si>
  <si>
    <t>3080(55%)</t>
  </si>
  <si>
    <t>UT-N5.2W</t>
  </si>
  <si>
    <t>2340(55%)</t>
  </si>
  <si>
    <t>CR-07P</t>
  </si>
  <si>
    <t>CR-011P</t>
  </si>
  <si>
    <t>CR-13P</t>
  </si>
  <si>
    <t>CR-15P</t>
  </si>
  <si>
    <t>CR-19P</t>
  </si>
  <si>
    <t>CR-25P</t>
  </si>
  <si>
    <t>CE0.5-8OR</t>
  </si>
  <si>
    <t>CE07.5-8WH</t>
  </si>
  <si>
    <t>CE1.0-8YE</t>
  </si>
  <si>
    <t>CE1.0-8R</t>
  </si>
  <si>
    <t>CE1.5-8R</t>
  </si>
  <si>
    <t>CE2.5-8BL</t>
  </si>
  <si>
    <t>CE4.0-10GR</t>
  </si>
  <si>
    <t>CE6-12BK</t>
  </si>
  <si>
    <t>CE6-12G</t>
  </si>
  <si>
    <t>CE10-12WH</t>
  </si>
  <si>
    <t>CE10-12BR</t>
  </si>
  <si>
    <t>CE16-12WH</t>
  </si>
  <si>
    <t>CE16-12G</t>
  </si>
  <si>
    <t>CE35-16GR</t>
  </si>
  <si>
    <t>CE50-25G</t>
  </si>
  <si>
    <t>DBN1.25-10</t>
  </si>
  <si>
    <t>DBN2-9</t>
  </si>
  <si>
    <t>DBN2-10</t>
  </si>
  <si>
    <t>Y1.5-3S</t>
  </si>
  <si>
    <t>Y2-4</t>
  </si>
  <si>
    <t>Y2.5-3S</t>
  </si>
  <si>
    <t>Y2.5-4S</t>
  </si>
  <si>
    <t>Y3.5-4</t>
  </si>
  <si>
    <t>Y3.5-5</t>
  </si>
  <si>
    <t>Y4-4</t>
  </si>
  <si>
    <t>Y5.5-4</t>
  </si>
  <si>
    <t>Y5.5-5</t>
  </si>
  <si>
    <t>Y6-4</t>
  </si>
  <si>
    <t>Y6-5S</t>
  </si>
  <si>
    <t>YF1.5-3S</t>
  </si>
  <si>
    <t>YF2.5-4S</t>
  </si>
  <si>
    <t>YF4-4</t>
  </si>
  <si>
    <t>YF6-5</t>
  </si>
  <si>
    <t>YF6-6</t>
  </si>
  <si>
    <t>RF1.5-3</t>
  </si>
  <si>
    <t>RF2.5-5</t>
  </si>
  <si>
    <t>RF4-4</t>
  </si>
  <si>
    <t>RF2.5-4</t>
  </si>
  <si>
    <t>RF5.5-10</t>
  </si>
  <si>
    <t>RF6-4</t>
  </si>
  <si>
    <t>RF6-6</t>
  </si>
  <si>
    <t>RF6-8</t>
  </si>
  <si>
    <t>RF6-10</t>
  </si>
  <si>
    <t>R1.5-3</t>
  </si>
  <si>
    <t>R1.5-4</t>
  </si>
  <si>
    <t>Y6-5</t>
  </si>
  <si>
    <t>Y6-6</t>
  </si>
  <si>
    <t>R2-3</t>
  </si>
  <si>
    <t>R2-4</t>
  </si>
  <si>
    <t>R2-5</t>
  </si>
  <si>
    <t>R2-6</t>
  </si>
  <si>
    <t>R2-8</t>
  </si>
  <si>
    <t>R2.5-3</t>
  </si>
  <si>
    <t>R2.5-4</t>
  </si>
  <si>
    <t>R2.5-5</t>
  </si>
  <si>
    <t>R2.5-6</t>
  </si>
  <si>
    <t>R3.5-4</t>
  </si>
  <si>
    <t>R4-6</t>
  </si>
  <si>
    <t>R5.5-6</t>
  </si>
  <si>
    <t>R5.5-8</t>
  </si>
  <si>
    <t>R5.5-10</t>
  </si>
  <si>
    <t>R6-6</t>
  </si>
  <si>
    <t>R6-8</t>
  </si>
  <si>
    <t>R8-6</t>
  </si>
  <si>
    <t>R8-8</t>
  </si>
  <si>
    <t>R8-10</t>
  </si>
  <si>
    <t>R14-6</t>
  </si>
  <si>
    <t>R14-8</t>
  </si>
  <si>
    <t>R14-10</t>
  </si>
  <si>
    <t>R14-12</t>
  </si>
  <si>
    <t>R4-4</t>
  </si>
  <si>
    <t>PL16-6</t>
  </si>
  <si>
    <t>R22-6</t>
  </si>
  <si>
    <t>R22-8</t>
  </si>
  <si>
    <t>R22-10</t>
  </si>
  <si>
    <t>R22-12</t>
  </si>
  <si>
    <t>PL16-8</t>
  </si>
  <si>
    <t>PL25-6</t>
  </si>
  <si>
    <t>PL25-8</t>
  </si>
  <si>
    <t>PL25-10</t>
  </si>
  <si>
    <t>PL35-6</t>
  </si>
  <si>
    <t>PL35-8</t>
  </si>
  <si>
    <t>PL35-10</t>
  </si>
  <si>
    <t>PL35-12</t>
  </si>
  <si>
    <t>PL50-6</t>
  </si>
  <si>
    <t>PL50-8</t>
  </si>
  <si>
    <t>PL50-10</t>
  </si>
  <si>
    <t>PL50-12</t>
  </si>
  <si>
    <t>PL70-8</t>
  </si>
  <si>
    <t>PL70-10</t>
  </si>
  <si>
    <t>PL70-12</t>
  </si>
  <si>
    <t>PL95-8</t>
  </si>
  <si>
    <t>PL95-10</t>
  </si>
  <si>
    <t>PL95-12</t>
  </si>
  <si>
    <t>PL95-14</t>
  </si>
  <si>
    <t>PL120-10</t>
  </si>
  <si>
    <t>PL120-12</t>
  </si>
  <si>
    <t>PL120-14</t>
  </si>
  <si>
    <t>PL120-16</t>
  </si>
  <si>
    <t>PL150-10</t>
  </si>
  <si>
    <t>PL150-12</t>
  </si>
  <si>
    <t>PL150-16</t>
  </si>
  <si>
    <t>PL150-14</t>
  </si>
  <si>
    <t>PL185-10</t>
  </si>
  <si>
    <t>PL185-12</t>
  </si>
  <si>
    <t>PL185-14</t>
  </si>
  <si>
    <t>PL240-12</t>
  </si>
  <si>
    <t>PL240-14</t>
  </si>
  <si>
    <t>PL240-16</t>
  </si>
  <si>
    <t>PL300-12</t>
  </si>
  <si>
    <t>PL300-14</t>
  </si>
  <si>
    <t>218-FB</t>
  </si>
  <si>
    <t>F2.5-A</t>
  </si>
  <si>
    <t>F2.5-B</t>
  </si>
  <si>
    <t>F1.5-B</t>
  </si>
  <si>
    <t>V2.5-7A</t>
  </si>
  <si>
    <t>V1.5-7A</t>
  </si>
  <si>
    <t>KT22-16</t>
  </si>
  <si>
    <t>BF6</t>
  </si>
  <si>
    <t>F2A</t>
  </si>
  <si>
    <t>F2B</t>
  </si>
  <si>
    <t>CL623 VBC5</t>
  </si>
  <si>
    <t>510-FB</t>
  </si>
  <si>
    <t>518-FB</t>
  </si>
  <si>
    <t>VC-2 R</t>
  </si>
  <si>
    <t>VC-2 Y</t>
  </si>
  <si>
    <t>VC-2 BL</t>
  </si>
  <si>
    <t>VC-2 WH</t>
  </si>
  <si>
    <t>VC-2 G</t>
  </si>
  <si>
    <t>VC-2 BK</t>
  </si>
  <si>
    <t>VC-3 R</t>
  </si>
  <si>
    <t>VC-3 Y</t>
  </si>
  <si>
    <t>VC-3 BL</t>
  </si>
  <si>
    <t>VC-3 WH</t>
  </si>
  <si>
    <t>VC-3 G</t>
  </si>
  <si>
    <t>VC-3 BK</t>
  </si>
  <si>
    <t>VC-5 R</t>
  </si>
  <si>
    <t>VC-5 Y</t>
  </si>
  <si>
    <t>VC-5 BL</t>
  </si>
  <si>
    <t>VC-5 WH</t>
  </si>
  <si>
    <t>VC-5 G</t>
  </si>
  <si>
    <t>VC-5 BK</t>
  </si>
  <si>
    <t>VC-8 R</t>
  </si>
  <si>
    <t>VC-8 Y</t>
  </si>
  <si>
    <t>VC-8 BL</t>
  </si>
  <si>
    <t>VC-8 WH</t>
  </si>
  <si>
    <t>VC-8 G</t>
  </si>
  <si>
    <t>VC-8 BK</t>
  </si>
  <si>
    <t>VC-14 R</t>
  </si>
  <si>
    <t>VC-14 Y</t>
  </si>
  <si>
    <t>VC-14 BL</t>
  </si>
  <si>
    <t>VC-14 WH</t>
  </si>
  <si>
    <t>VC-14 G</t>
  </si>
  <si>
    <t>VC-14 BK</t>
  </si>
  <si>
    <t>VC-22 R</t>
  </si>
  <si>
    <t>VC-22 Y</t>
  </si>
  <si>
    <t>VC-22 BL</t>
  </si>
  <si>
    <t>VC-22 WH</t>
  </si>
  <si>
    <t>VC-22 G</t>
  </si>
  <si>
    <t>VC-22 BK</t>
  </si>
  <si>
    <t>VC-38 R</t>
  </si>
  <si>
    <t>VC-38 Y</t>
  </si>
  <si>
    <t>VC-38 BL</t>
  </si>
  <si>
    <t>VC-38 WH</t>
  </si>
  <si>
    <t>VC-38 G</t>
  </si>
  <si>
    <t>VC-38 BK</t>
  </si>
  <si>
    <t>VC-60 R</t>
  </si>
  <si>
    <t>VC-60 Y</t>
  </si>
  <si>
    <t>VC-60 BL</t>
  </si>
  <si>
    <t>VC-60 WH</t>
  </si>
  <si>
    <t>VC-60 G</t>
  </si>
  <si>
    <t>VC-60 BK</t>
  </si>
  <si>
    <t>VC-80 R</t>
  </si>
  <si>
    <t>VC-80 Y</t>
  </si>
  <si>
    <t>VC-80 BL</t>
  </si>
  <si>
    <t>VC-80 WH</t>
  </si>
  <si>
    <t>VC-80 G</t>
  </si>
  <si>
    <t>VC-80 BK</t>
  </si>
  <si>
    <t>VC-100 R</t>
  </si>
  <si>
    <t>VC-100 Y</t>
  </si>
  <si>
    <t>VC-100 BL</t>
  </si>
  <si>
    <t>VC-100 WH</t>
  </si>
  <si>
    <t>VC-100 G</t>
  </si>
  <si>
    <t>VC-100 BK</t>
  </si>
  <si>
    <t>VC-150 R</t>
  </si>
  <si>
    <t>VC-150 Y</t>
  </si>
  <si>
    <t>VC-150 BL</t>
  </si>
  <si>
    <t>VC-150 WH</t>
  </si>
  <si>
    <t>VC-150 G</t>
  </si>
  <si>
    <t>VC-150 BK</t>
  </si>
  <si>
    <t>VC-200 R</t>
  </si>
  <si>
    <t>VC-200 Y</t>
  </si>
  <si>
    <t>VC-200 BL</t>
  </si>
  <si>
    <t>VC-200 WH</t>
  </si>
  <si>
    <t>VC-200 G</t>
  </si>
  <si>
    <t>VC-200 BK</t>
  </si>
  <si>
    <t>VC-250 R</t>
  </si>
  <si>
    <t>VC-250 Y</t>
  </si>
  <si>
    <t>VC-250 BL</t>
  </si>
  <si>
    <t>VC-250 WH</t>
  </si>
  <si>
    <t>VC-250 G</t>
  </si>
  <si>
    <t>VC-250 BK</t>
  </si>
  <si>
    <t>VC-2BN</t>
  </si>
  <si>
    <t>VC-2GR</t>
  </si>
  <si>
    <t>VC-2RB</t>
  </si>
  <si>
    <t>VC-3BN</t>
  </si>
  <si>
    <t>VC-3GR</t>
  </si>
  <si>
    <t>VC-3RB</t>
  </si>
  <si>
    <t>VC-5BN</t>
  </si>
  <si>
    <t>VC-5GR</t>
  </si>
  <si>
    <t>VC-5RB</t>
  </si>
  <si>
    <t>VC-8BN</t>
  </si>
  <si>
    <t>VC-8GR</t>
  </si>
  <si>
    <t>VC-8RB</t>
  </si>
  <si>
    <t>VC-14 BR</t>
  </si>
  <si>
    <t>VC-14 GR</t>
  </si>
  <si>
    <t>VC-14 RB</t>
  </si>
  <si>
    <t>VC-22BN</t>
  </si>
  <si>
    <t>VC-22GR</t>
  </si>
  <si>
    <t>VC-22RB</t>
  </si>
  <si>
    <t>VC-38BN</t>
  </si>
  <si>
    <t>VC-38GR</t>
  </si>
  <si>
    <t>VC-38RB</t>
  </si>
  <si>
    <t>VC-60BN</t>
  </si>
  <si>
    <t>VC-60GR</t>
  </si>
  <si>
    <t>VC-60RB</t>
  </si>
  <si>
    <t>VC-80BN</t>
  </si>
  <si>
    <t>VC-80GR</t>
  </si>
  <si>
    <t>VC-100BN</t>
  </si>
  <si>
    <t>VC-100GR</t>
  </si>
  <si>
    <t>VC-200BN</t>
  </si>
  <si>
    <t>VC-200GR</t>
  </si>
  <si>
    <t>VSF1x0.5BL</t>
  </si>
  <si>
    <t>VSF1x0.75R</t>
  </si>
  <si>
    <t>VSF1x0.75BN</t>
  </si>
  <si>
    <t>VSF1x1Y</t>
  </si>
  <si>
    <t>VSF1x1R</t>
  </si>
  <si>
    <t>VSF1x1WH</t>
  </si>
  <si>
    <t>VSF1x1B</t>
  </si>
  <si>
    <t>VSF1x1RB</t>
  </si>
  <si>
    <t>VSF1x1BN</t>
  </si>
  <si>
    <t>VSF1x1GR</t>
  </si>
  <si>
    <t>VSF1X1G</t>
  </si>
  <si>
    <t>VSF1x1.5Y</t>
  </si>
  <si>
    <t>VSF1x1.5R</t>
  </si>
  <si>
    <t>VSF1x1.5WH</t>
  </si>
  <si>
    <t>VSF1x1.5B</t>
  </si>
  <si>
    <t>VSF1x1.5GR</t>
  </si>
  <si>
    <t>VSF1x1.5BL</t>
  </si>
  <si>
    <t>VSF1x1.5BN</t>
  </si>
  <si>
    <t>VSF1x1.5G</t>
  </si>
  <si>
    <t>VSF1x1.5BGY</t>
  </si>
  <si>
    <t>VSF1x2.5Y</t>
  </si>
  <si>
    <t>VSF1x2.5R</t>
  </si>
  <si>
    <t>VSF1X2.5WH</t>
  </si>
  <si>
    <t>VSF1x2.5B</t>
  </si>
  <si>
    <t>VSF1x2.5GR</t>
  </si>
  <si>
    <t>VSF1x2.5BL</t>
  </si>
  <si>
    <t>VSF1x2.5BN</t>
  </si>
  <si>
    <t>VSF1X2.5GY</t>
  </si>
  <si>
    <t>VSF1x4Y</t>
  </si>
  <si>
    <t>VSF1x4R</t>
  </si>
  <si>
    <t>VSF1x4WH</t>
  </si>
  <si>
    <t>VSF1x4B</t>
  </si>
  <si>
    <t>VSF1x4BL</t>
  </si>
  <si>
    <t>VSF1x4G</t>
  </si>
  <si>
    <t>VSF1x4GR</t>
  </si>
  <si>
    <t>VSF1x4BN</t>
  </si>
  <si>
    <t>VSF1x4GY</t>
  </si>
  <si>
    <t>VSF1x6B</t>
  </si>
  <si>
    <t>VSF1x6R</t>
  </si>
  <si>
    <t>VSF1x6Y</t>
  </si>
  <si>
    <t>VSF1x6BL</t>
  </si>
  <si>
    <t>VSF1x6G</t>
  </si>
  <si>
    <t>VSF1x6GR</t>
  </si>
  <si>
    <t>VSF1x6WH</t>
  </si>
  <si>
    <t>VSF1x10B</t>
  </si>
  <si>
    <t>VSF1x10GY</t>
  </si>
  <si>
    <t>VSF1x10G</t>
  </si>
  <si>
    <t>VSF1x16B</t>
  </si>
  <si>
    <t>VSF1x16G</t>
  </si>
  <si>
    <t>VSF1x25B</t>
  </si>
  <si>
    <t>VSF1x35B</t>
  </si>
  <si>
    <t>LIYCY3x0.34</t>
  </si>
  <si>
    <t>THW1x6B</t>
  </si>
  <si>
    <t>THW1x10B</t>
  </si>
  <si>
    <t>THW1x16B</t>
  </si>
  <si>
    <t>THW1x25B</t>
  </si>
  <si>
    <t>THW1x35B</t>
  </si>
  <si>
    <t>THW1x50B</t>
  </si>
  <si>
    <t>THW1x70B</t>
  </si>
  <si>
    <t>THW1x95B</t>
  </si>
  <si>
    <t>THW1x185B</t>
  </si>
  <si>
    <t>THW1x10G</t>
  </si>
  <si>
    <t>THW1x16G</t>
  </si>
  <si>
    <t>THW1x25G</t>
  </si>
  <si>
    <t>THW1x1.5BL</t>
  </si>
  <si>
    <t>THW1x1.5G</t>
  </si>
  <si>
    <t>THW1x2.5BL</t>
  </si>
  <si>
    <t>THW1x2.5G</t>
  </si>
  <si>
    <t>THW1x4WH</t>
  </si>
  <si>
    <t>THW1x4B</t>
  </si>
  <si>
    <t>THW1x4G</t>
  </si>
  <si>
    <t>BAR 1/2x1/8</t>
  </si>
  <si>
    <t>BAR 1/2x1/4</t>
  </si>
  <si>
    <t>BAR 5/8x1/8</t>
  </si>
  <si>
    <t>BAR 5/8x3/16</t>
  </si>
  <si>
    <t>BAR 3/4x1/8</t>
  </si>
  <si>
    <t>BAR 3/4x1/4</t>
  </si>
  <si>
    <t>BAR 1x1/8</t>
  </si>
  <si>
    <t>BAR 1x3/16</t>
  </si>
  <si>
    <t>BAR 1x1/4</t>
  </si>
  <si>
    <t>BAR 1x3/8</t>
  </si>
  <si>
    <t>BAR 1x1/2</t>
  </si>
  <si>
    <t>BAR 1 1/4x3/16</t>
  </si>
  <si>
    <t>BAR 1 1/4x1/4</t>
  </si>
  <si>
    <t>BAR 1 1/2x3/16</t>
  </si>
  <si>
    <t>BAR 1 1/2x1/2</t>
  </si>
  <si>
    <t>BAR 2x1/4</t>
  </si>
  <si>
    <t>BAR 2x1/2</t>
  </si>
  <si>
    <t>BAR 2x1/8</t>
  </si>
  <si>
    <t>BAR 2 1/2x1/4</t>
  </si>
  <si>
    <t>BAR 2 1/2x3/8</t>
  </si>
  <si>
    <t>BAR 2 1/2x1/2</t>
  </si>
  <si>
    <t>BAR 3x1/2</t>
  </si>
  <si>
    <t>BAR 4x1/2</t>
  </si>
  <si>
    <t>BAR 5x3/8</t>
  </si>
  <si>
    <t>BAR 6x3/8</t>
  </si>
  <si>
    <t>BAR 6x1/2</t>
  </si>
  <si>
    <t>BAR 20x5</t>
  </si>
  <si>
    <t>BAR 25x3</t>
  </si>
  <si>
    <t>BAR 25x5</t>
  </si>
  <si>
    <t>BAR 30x5</t>
  </si>
  <si>
    <t>BAR 30x10</t>
  </si>
  <si>
    <t>BAR 40x10</t>
  </si>
  <si>
    <t>BAR 50x10</t>
  </si>
  <si>
    <t>BAR 60x10</t>
  </si>
  <si>
    <t>BAR 100x10</t>
  </si>
  <si>
    <t>BAR 120x10</t>
  </si>
  <si>
    <t>BAR 2MM4x8</t>
  </si>
  <si>
    <t>BAR 3MM4x8</t>
  </si>
  <si>
    <t>BARLUG Z</t>
  </si>
  <si>
    <t xml:space="preserve">                                                                 </t>
  </si>
  <si>
    <t>BARLUG I</t>
  </si>
  <si>
    <t>BS-12-224-2 A</t>
  </si>
  <si>
    <t>BS-12-224-2 B</t>
  </si>
  <si>
    <t>BS-15-224-2 A</t>
  </si>
  <si>
    <t>BS-15-224-2 B</t>
  </si>
  <si>
    <t>BS-20-213-2 A</t>
  </si>
  <si>
    <t>BS-20-213-2 B</t>
  </si>
  <si>
    <t>BS-20-196-3 A</t>
  </si>
  <si>
    <t>BS-20-196-3 B</t>
  </si>
  <si>
    <t>BS-20-220-3 A</t>
  </si>
  <si>
    <t>BS-20-220-3 B</t>
  </si>
  <si>
    <t>BS-15-280-2 A</t>
  </si>
  <si>
    <t>BS-15-280-2 B</t>
  </si>
  <si>
    <t>HEXA ANALISA</t>
  </si>
  <si>
    <t>VFM180S7</t>
  </si>
  <si>
    <t>3.50 USD</t>
  </si>
  <si>
    <t>VFM180S11</t>
  </si>
  <si>
    <t>VFM180S13.5</t>
  </si>
  <si>
    <t>VFM270D7</t>
  </si>
  <si>
    <t>5.80 USD</t>
  </si>
  <si>
    <t>VFM270D11</t>
  </si>
  <si>
    <t>VFM270D13.5</t>
  </si>
  <si>
    <t>VFM390D11</t>
  </si>
  <si>
    <t>11.40 USD</t>
  </si>
  <si>
    <t>VFM390D13.5</t>
  </si>
  <si>
    <t>FB1212</t>
  </si>
  <si>
    <t>FB2040</t>
  </si>
  <si>
    <t>FB2540</t>
  </si>
  <si>
    <t>D35 M6</t>
  </si>
  <si>
    <t>D35 M8</t>
  </si>
  <si>
    <t>D51 M8</t>
  </si>
  <si>
    <t>SOUTH EAST</t>
  </si>
  <si>
    <t>KV12</t>
  </si>
  <si>
    <t>KV24</t>
  </si>
  <si>
    <t>STOCK</t>
  </si>
  <si>
    <t>GROWERMETAL</t>
  </si>
  <si>
    <t>MCW 6</t>
  </si>
  <si>
    <t>5.39/1000</t>
  </si>
  <si>
    <t>pn rev19/11/19 จำนวนประมาณ</t>
  </si>
  <si>
    <t>MCW 8</t>
  </si>
  <si>
    <t>8.93/1000</t>
  </si>
  <si>
    <t>MCW 10</t>
  </si>
  <si>
    <t>14.55/1000</t>
  </si>
  <si>
    <t>MCW 12</t>
  </si>
  <si>
    <t>24.34/1000</t>
  </si>
  <si>
    <t>IV6100102</t>
  </si>
  <si>
    <t>J61007-009</t>
  </si>
  <si>
    <t>กิ้มเฮงเชียง</t>
  </si>
  <si>
    <t>IV6100274</t>
  </si>
  <si>
    <t>IV6102302</t>
  </si>
  <si>
    <t>IV6101381</t>
  </si>
  <si>
    <t>IV6101678</t>
  </si>
  <si>
    <t>J610914</t>
  </si>
  <si>
    <t>IV6101546</t>
  </si>
  <si>
    <t>J610890</t>
  </si>
  <si>
    <t>IV6100601</t>
  </si>
  <si>
    <t>IV6102023</t>
  </si>
  <si>
    <t>J611234</t>
  </si>
  <si>
    <t>BAR 30X10</t>
  </si>
  <si>
    <t>BAR 80x10</t>
  </si>
  <si>
    <t>IV6101578</t>
  </si>
  <si>
    <t>IV6101694</t>
  </si>
  <si>
    <t>J611001</t>
  </si>
  <si>
    <t>PC</t>
  </si>
  <si>
    <t>IV18060114</t>
  </si>
  <si>
    <t>J611089</t>
  </si>
  <si>
    <t>NSC</t>
  </si>
  <si>
    <t>IV6102301</t>
  </si>
  <si>
    <t>IV6100378</t>
  </si>
  <si>
    <t>IV1803262</t>
  </si>
  <si>
    <t>J610460</t>
  </si>
  <si>
    <t>ทรัพย์เอก</t>
  </si>
  <si>
    <t>IV6102645</t>
  </si>
  <si>
    <t>J611599</t>
  </si>
  <si>
    <t>BAR 3x3/8</t>
  </si>
  <si>
    <t>IV6102960</t>
  </si>
  <si>
    <t>IV6100592</t>
  </si>
  <si>
    <t>J610407</t>
  </si>
  <si>
    <t>BAR 2X3/8</t>
  </si>
  <si>
    <t>18/02-00100</t>
  </si>
  <si>
    <t>18/04-00016</t>
  </si>
  <si>
    <t>0.40 USD</t>
  </si>
  <si>
    <t>18/07-00065</t>
  </si>
  <si>
    <t>18/09-00070</t>
  </si>
  <si>
    <t>6108000935/1</t>
  </si>
  <si>
    <t>0.80 USD</t>
  </si>
  <si>
    <t>VFM124D11</t>
  </si>
  <si>
    <t>3.0 USD</t>
  </si>
  <si>
    <t>VFM124D13.5</t>
  </si>
  <si>
    <t>IV6103151</t>
  </si>
  <si>
    <t>BAR 100X10</t>
  </si>
  <si>
    <t>240(223.5)</t>
  </si>
  <si>
    <t>BAR 15X3</t>
  </si>
  <si>
    <t>240(42)</t>
  </si>
  <si>
    <t>2018-07301203</t>
  </si>
  <si>
    <t>เจเจแลปป์</t>
  </si>
  <si>
    <t>JJ LAPP</t>
  </si>
  <si>
    <t>VSF1X1.5B</t>
  </si>
  <si>
    <t>2018-07301159</t>
  </si>
  <si>
    <t>2018-07301158</t>
  </si>
  <si>
    <t>VSF1X6GY</t>
  </si>
  <si>
    <t>2018-07309027</t>
  </si>
  <si>
    <t>VSF1X1Y</t>
  </si>
  <si>
    <t>VSF1X1RB</t>
  </si>
  <si>
    <t>2018-07308158</t>
  </si>
  <si>
    <t>2018-07330204</t>
  </si>
  <si>
    <t>2018-07329982</t>
  </si>
  <si>
    <t>2018-07329006</t>
  </si>
  <si>
    <t>VSF1X1B</t>
  </si>
  <si>
    <t>VSF1x2.5GY</t>
  </si>
  <si>
    <t>VSF1X50B</t>
  </si>
  <si>
    <t>2018-07329005</t>
  </si>
  <si>
    <t>VSF1X1.5BN</t>
  </si>
  <si>
    <t>2018-07337593</t>
  </si>
  <si>
    <t>J611004</t>
  </si>
  <si>
    <t>VSF1X0.75Y</t>
  </si>
  <si>
    <t>2018-07337407</t>
  </si>
  <si>
    <t>VSF1X0.75R</t>
  </si>
  <si>
    <t>VSF1X0.75WH</t>
  </si>
  <si>
    <t>VSF1X0.75BN</t>
  </si>
  <si>
    <t>VSF1X0.75BL</t>
  </si>
  <si>
    <t>IV5060108</t>
  </si>
  <si>
    <t>บางกอก แอบโซลูท</t>
  </si>
  <si>
    <t>170(51%)BCC</t>
  </si>
  <si>
    <t>2018-07343145</t>
  </si>
  <si>
    <t>VSF1X1BL</t>
  </si>
  <si>
    <t>ชัยพิทักษ์</t>
  </si>
  <si>
    <t>ซิลิโคนใส</t>
  </si>
  <si>
    <t>ทินเนอร์อคลิลิค</t>
  </si>
  <si>
    <t>ทินเนอร์ AAA</t>
  </si>
  <si>
    <t>IV6101-00607</t>
  </si>
  <si>
    <t>J610174</t>
  </si>
  <si>
    <t>สยามอ๊อกซี่พลาส</t>
  </si>
  <si>
    <t>powder1103</t>
  </si>
  <si>
    <t>สีฝุ่น HFF/1103/C</t>
  </si>
  <si>
    <t>IV6101-00559</t>
  </si>
  <si>
    <t>J610144</t>
  </si>
  <si>
    <t>powder8551</t>
  </si>
  <si>
    <t>สีฝุ่น BFF/8551/C</t>
  </si>
  <si>
    <t>6101000088/1</t>
  </si>
  <si>
    <t>J610122</t>
  </si>
  <si>
    <t>อั๊คโซ่</t>
  </si>
  <si>
    <t>powder70460CN</t>
  </si>
  <si>
    <t>สีฝุ่น M70460 CN</t>
  </si>
  <si>
    <t>175(15%)</t>
  </si>
  <si>
    <t>IV6101-00404</t>
  </si>
  <si>
    <t>J610120,0121</t>
  </si>
  <si>
    <t>สีฝุ่น FF110/703/c สีดำผิวเงา</t>
  </si>
  <si>
    <t>แมเนจ อาร์ท</t>
  </si>
  <si>
    <t>สีสเปรย์ TDK #C130090A RAL7032</t>
  </si>
  <si>
    <t>SO6101-02912</t>
  </si>
  <si>
    <t>ธีรชัย</t>
  </si>
  <si>
    <t>รางวายดัก/รางPVC 33x45 mm.</t>
  </si>
  <si>
    <t>176(40+3%)</t>
  </si>
  <si>
    <t>IV610122</t>
  </si>
  <si>
    <t>ภิรมย์พลาสติก</t>
  </si>
  <si>
    <t>RB10</t>
  </si>
  <si>
    <t>ยางกันบาดร่อง 10m.</t>
  </si>
  <si>
    <t>IV6101041</t>
  </si>
  <si>
    <t>ชินโชริ</t>
  </si>
  <si>
    <t>ยางฟองน้ำ 3/4''x3/16''</t>
  </si>
  <si>
    <t>IV610115</t>
  </si>
  <si>
    <t>ยางโปร่ง#110</t>
  </si>
  <si>
    <t>2018-07301389</t>
  </si>
  <si>
    <t>wire</t>
  </si>
  <si>
    <t>สายLIYCY 3x0.34 สีเทา</t>
  </si>
  <si>
    <t>IV610003</t>
  </si>
  <si>
    <t>สินสยามอินเตอร์เทรด</t>
  </si>
  <si>
    <t>ถุงมือผ้า</t>
  </si>
  <si>
    <t>40โหล/55</t>
  </si>
  <si>
    <t>ผ้าปิดจมูก</t>
  </si>
  <si>
    <t>10โหล/30</t>
  </si>
  <si>
    <t>CDT3518000525</t>
  </si>
  <si>
    <t>โจตัน</t>
  </si>
  <si>
    <t>สีฝุ่น ครีมเรียบ 1204551PX20</t>
  </si>
  <si>
    <t>CDT3518000524</t>
  </si>
  <si>
    <t>J612413</t>
  </si>
  <si>
    <t>powder873</t>
  </si>
  <si>
    <t>สีฝุ่น  1002873PX20</t>
  </si>
  <si>
    <t>6012001577/2</t>
  </si>
  <si>
    <t>J612302,2303</t>
  </si>
  <si>
    <t>powder90042AN</t>
  </si>
  <si>
    <t>สีฝุ่น P90042 AN</t>
  </si>
  <si>
    <t>J610399</t>
  </si>
  <si>
    <t>powder70003AN</t>
  </si>
  <si>
    <t>สีฝุ่น P70003 AN</t>
  </si>
  <si>
    <t>180(20%)</t>
  </si>
  <si>
    <t>IV6102-00681</t>
  </si>
  <si>
    <t>J610332,0333</t>
  </si>
  <si>
    <t>powder948C</t>
  </si>
  <si>
    <t>สีฝ่น FF110/948/c</t>
  </si>
  <si>
    <t>CDT3518012149</t>
  </si>
  <si>
    <t>IV610090</t>
  </si>
  <si>
    <t>20โหล(30)</t>
  </si>
  <si>
    <t>IV1802170</t>
  </si>
  <si>
    <t>กรีนเพาเดอร์</t>
  </si>
  <si>
    <t>สีฝุ่น GH433241 สีเทาย่น</t>
  </si>
  <si>
    <t>SO6102-02398</t>
  </si>
  <si>
    <t>รางวายดัก/รางPVC 45x65 mm.</t>
  </si>
  <si>
    <t>290(40+3%)</t>
  </si>
  <si>
    <t>IV610076</t>
  </si>
  <si>
    <t>CDT3518007772</t>
  </si>
  <si>
    <t>สีฝุ่น  1002735PX20</t>
  </si>
  <si>
    <t>CDT3518007087</t>
  </si>
  <si>
    <t>สีฝุ่น  1002782PX20</t>
  </si>
  <si>
    <t>IV610201</t>
  </si>
  <si>
    <t>CDT3518020927</t>
  </si>
  <si>
    <t>IV6103-00654</t>
  </si>
  <si>
    <t>J610558</t>
  </si>
  <si>
    <t>powder948</t>
  </si>
  <si>
    <t>IV6103-00611</t>
  </si>
  <si>
    <t>IV6103-00516</t>
  </si>
  <si>
    <t>BTT</t>
  </si>
  <si>
    <t>SO6103-03192</t>
  </si>
  <si>
    <t>ท่ออ่อนลูกฟูกชิดผ่า/ท่อผ่าดำ 7มิล</t>
  </si>
  <si>
    <t>12(35+3%)</t>
  </si>
  <si>
    <t>IV6103-00364</t>
  </si>
  <si>
    <t>J610283,0352</t>
  </si>
  <si>
    <t>powder34001AQ</t>
  </si>
  <si>
    <t>สีฝุ่น M34001AQ</t>
  </si>
  <si>
    <t>powder50170AN</t>
  </si>
  <si>
    <t>สีฝุ่น M50170AN</t>
  </si>
  <si>
    <t>190(15%)</t>
  </si>
  <si>
    <t>IV1811081</t>
  </si>
  <si>
    <t>CDT3518039289</t>
  </si>
  <si>
    <t>17.30น 14/11</t>
  </si>
  <si>
    <t>IV1806148</t>
  </si>
  <si>
    <t>IN61060532</t>
  </si>
  <si>
    <t>สยามอินเตอร์ล็อคเทค</t>
  </si>
  <si>
    <t>KEYG-016-16</t>
  </si>
  <si>
    <t>222/11066</t>
  </si>
  <si>
    <t>เตาอบสี</t>
  </si>
  <si>
    <t>วาณิชย์แก๊ส</t>
  </si>
  <si>
    <t>GAS</t>
  </si>
  <si>
    <t>SI-180600673</t>
  </si>
  <si>
    <t>1.3(35+3%)</t>
  </si>
  <si>
    <t>IV6101290045</t>
  </si>
  <si>
    <t>LASER</t>
  </si>
  <si>
    <t>ยูไนเต็ดอินดัสเตรียล</t>
  </si>
  <si>
    <t>NL100</t>
  </si>
  <si>
    <t>ไนโตรเจนเหลว ขนาด 100คิว</t>
  </si>
  <si>
    <t>IV6101260057</t>
  </si>
  <si>
    <t>OL148</t>
  </si>
  <si>
    <t>ออกซิเจนเหลว ขนาด 148 คิว</t>
  </si>
  <si>
    <t>IV6101250053</t>
  </si>
  <si>
    <t>IV6101180007</t>
  </si>
  <si>
    <t>AR6Q</t>
  </si>
  <si>
    <t>อาร์กอน ขนาด 6คิว</t>
  </si>
  <si>
    <t>CO2-25</t>
  </si>
  <si>
    <t>คาร์บอนไดออกไซด์ ขนาด 25 กก</t>
  </si>
  <si>
    <t>IV6101150019</t>
  </si>
  <si>
    <t>IV6101100046</t>
  </si>
  <si>
    <t>IV6102240077</t>
  </si>
  <si>
    <t>ROBOT</t>
  </si>
  <si>
    <t>MCA6Q</t>
  </si>
  <si>
    <t>20% CO2 Balance AR ขนาด 6คิว</t>
  </si>
  <si>
    <t>IV6102200078</t>
  </si>
  <si>
    <t>IV6102210013</t>
  </si>
  <si>
    <t>IV6102140051</t>
  </si>
  <si>
    <t>IV6102080002</t>
  </si>
  <si>
    <t>IV6102050080</t>
  </si>
  <si>
    <t>MLA7Q</t>
  </si>
  <si>
    <t>5% CO2.34% N2,61% HELIUM 7</t>
  </si>
  <si>
    <t>IV6111020021</t>
  </si>
  <si>
    <t>IV6111010027</t>
  </si>
  <si>
    <t>IV6102010008</t>
  </si>
  <si>
    <t>IV6103290086</t>
  </si>
  <si>
    <t>IV6103270023</t>
  </si>
  <si>
    <t>IV6103230100</t>
  </si>
  <si>
    <t>IV6103210007</t>
  </si>
  <si>
    <t>IV6103200033</t>
  </si>
  <si>
    <t>IV6103170007</t>
  </si>
  <si>
    <t>IV6103160003</t>
  </si>
  <si>
    <t>IV6103140014</t>
  </si>
  <si>
    <t>IV6103020011</t>
  </si>
  <si>
    <t>IV6104280030</t>
  </si>
  <si>
    <t>IV6104250025</t>
  </si>
  <si>
    <t>IV6104240044</t>
  </si>
  <si>
    <t>IV6104190064</t>
  </si>
  <si>
    <t>IV6104090034</t>
  </si>
  <si>
    <t>IV6104050055</t>
  </si>
  <si>
    <t>IV6104030057</t>
  </si>
  <si>
    <t>IV6105310004</t>
  </si>
  <si>
    <t>IV6105280066</t>
  </si>
  <si>
    <t>IV6105180052</t>
  </si>
  <si>
    <t>IV6105180004</t>
  </si>
  <si>
    <t>IV6105120030</t>
  </si>
  <si>
    <t>IV6105110033</t>
  </si>
  <si>
    <t>IV6105100007</t>
  </si>
  <si>
    <t>IV6105090055</t>
  </si>
  <si>
    <t>IV6105040053</t>
  </si>
  <si>
    <t>IV6106270021</t>
  </si>
  <si>
    <t>IV6106220021</t>
  </si>
  <si>
    <t>219/10932</t>
  </si>
  <si>
    <t>แก๊สหุงต้ม 48กก</t>
  </si>
  <si>
    <t>219/10931</t>
  </si>
  <si>
    <t>219/10911</t>
  </si>
  <si>
    <t>220/10966</t>
  </si>
  <si>
    <t>220/10954</t>
  </si>
  <si>
    <t>219/10944</t>
  </si>
  <si>
    <t>220/10990</t>
  </si>
  <si>
    <t>220/10980</t>
  </si>
  <si>
    <t>221/11020</t>
  </si>
  <si>
    <t>221/11010</t>
  </si>
  <si>
    <t>221/11036</t>
  </si>
  <si>
    <t>221/11025</t>
  </si>
  <si>
    <t>222/11076</t>
  </si>
  <si>
    <t>IN61010509</t>
  </si>
  <si>
    <t>กุญแจเขากวาง1B-19-03-G-104</t>
  </si>
  <si>
    <t>IV61010427</t>
  </si>
  <si>
    <t>6101000030/1</t>
  </si>
  <si>
    <t>กุญแจกลมดำ แบบมีก้านลิ้นสั้น178-04-G-293</t>
  </si>
  <si>
    <t>IN61020038</t>
  </si>
  <si>
    <t>key-077-01</t>
  </si>
  <si>
    <t>ลูกไข 1K077-01</t>
  </si>
  <si>
    <t>IN61020037</t>
  </si>
  <si>
    <t>610100003/1</t>
  </si>
  <si>
    <t>IN61030199</t>
  </si>
  <si>
    <t>กุญแจกลมเงิน174-03-G016-16</t>
  </si>
  <si>
    <t>IN610500859</t>
  </si>
  <si>
    <t>IN61050725</t>
  </si>
  <si>
    <t>KEYG-247-15</t>
  </si>
  <si>
    <t>ลิ้นกุญแจ 1G-247-15</t>
  </si>
  <si>
    <t>IN61050656</t>
  </si>
  <si>
    <t>IN61050130</t>
  </si>
  <si>
    <t>กุญแจสมอเรือ169-03-G-016</t>
  </si>
  <si>
    <t>กุญแจหกเหลี่ยม รุ่น 174</t>
  </si>
  <si>
    <t>1088/54376</t>
  </si>
  <si>
    <t>สวนธนเพ้นท์</t>
  </si>
  <si>
    <t>paint-mix</t>
  </si>
  <si>
    <t>สีพ่นแห้งเร็ว(สีผสม)</t>
  </si>
  <si>
    <t>#9302</t>
  </si>
  <si>
    <t>1088/54366</t>
  </si>
  <si>
    <t>J602408</t>
  </si>
  <si>
    <t>#9260</t>
  </si>
  <si>
    <t>1088/54351</t>
  </si>
  <si>
    <t>J612358-61</t>
  </si>
  <si>
    <t>#9258</t>
  </si>
  <si>
    <t>J612414</t>
  </si>
  <si>
    <t>#9259</t>
  </si>
  <si>
    <t>J612408</t>
  </si>
  <si>
    <t>1090/54500</t>
  </si>
  <si>
    <t>J610202</t>
  </si>
  <si>
    <t>#9425</t>
  </si>
  <si>
    <t>1090/54493</t>
  </si>
  <si>
    <t>#9418</t>
  </si>
  <si>
    <t>1092/54578</t>
  </si>
  <si>
    <t>J610342-0343,0347,0530</t>
  </si>
  <si>
    <t>#9520</t>
  </si>
  <si>
    <t>1092/54574</t>
  </si>
  <si>
    <t>J610542</t>
  </si>
  <si>
    <t>#81-0222</t>
  </si>
  <si>
    <t>1089/54413</t>
  </si>
  <si>
    <t>#9329</t>
  </si>
  <si>
    <t>1092/54562</t>
  </si>
  <si>
    <t>J610553,0542</t>
  </si>
  <si>
    <t>#9506</t>
  </si>
  <si>
    <t>J610553,0543</t>
  </si>
  <si>
    <t>#9507</t>
  </si>
  <si>
    <t>1091/54535</t>
  </si>
  <si>
    <t>#9467</t>
  </si>
  <si>
    <t>1095/54710</t>
  </si>
  <si>
    <t>J610896</t>
  </si>
  <si>
    <t>#9632</t>
  </si>
  <si>
    <t>1096/54799</t>
  </si>
  <si>
    <t>J611251</t>
  </si>
  <si>
    <t>#9828</t>
  </si>
  <si>
    <t>IV6106120077</t>
  </si>
  <si>
    <t>IV610305</t>
  </si>
  <si>
    <t>ww</t>
  </si>
  <si>
    <t>150กก/50</t>
  </si>
  <si>
    <t>IV6106110026</t>
  </si>
  <si>
    <t>IV6106090028</t>
  </si>
  <si>
    <t>1096/54773</t>
  </si>
  <si>
    <t>J611143</t>
  </si>
  <si>
    <t>#9789</t>
  </si>
  <si>
    <t>CDT3518036984</t>
  </si>
  <si>
    <t>J611013,1136</t>
  </si>
  <si>
    <t>powder6090</t>
  </si>
  <si>
    <t>IV6106032</t>
  </si>
  <si>
    <t>จีเอเพ็ค</t>
  </si>
  <si>
    <t>SH-25R</t>
  </si>
  <si>
    <t>SH-25Y</t>
  </si>
  <si>
    <t>SH-25B</t>
  </si>
  <si>
    <t>IV6106-00150</t>
  </si>
  <si>
    <t>IV6106060038</t>
  </si>
  <si>
    <t>IV6106-0812</t>
  </si>
  <si>
    <t>เนวีร่า</t>
  </si>
  <si>
    <t>SO6106-01029</t>
  </si>
  <si>
    <t>1.68(35+3%)</t>
  </si>
  <si>
    <t>1096/54762</t>
  </si>
  <si>
    <t>J611090</t>
  </si>
  <si>
    <t>#8118</t>
  </si>
  <si>
    <t>339/16931</t>
  </si>
  <si>
    <t>J611134</t>
  </si>
  <si>
    <t>ตะวันโลหะกิจ</t>
  </si>
  <si>
    <t>KNB6000Z</t>
  </si>
  <si>
    <t>CDT3518036076</t>
  </si>
  <si>
    <t>IV6106020012</t>
  </si>
  <si>
    <t>IV1806003</t>
  </si>
  <si>
    <t>J610901</t>
  </si>
  <si>
    <t>195(15%)</t>
  </si>
  <si>
    <t>IV610283</t>
  </si>
  <si>
    <t>30โหล/55</t>
  </si>
  <si>
    <t>IV03302</t>
  </si>
  <si>
    <t>เอส.พี.ที แพคเกจจิ้ง</t>
  </si>
  <si>
    <t>pvc</t>
  </si>
  <si>
    <t>10ลัง/840</t>
  </si>
  <si>
    <t>222/11053</t>
  </si>
  <si>
    <t>IV6100065</t>
  </si>
  <si>
    <t>6101000052/1</t>
  </si>
  <si>
    <t>บ่อล่างไขมัน</t>
  </si>
  <si>
    <t>พี.เมทัลเคม</t>
  </si>
  <si>
    <t>AD003-P8</t>
  </si>
  <si>
    <t>เคมี ADDITIVE P-8</t>
  </si>
  <si>
    <t>10ถัง/20กก</t>
  </si>
  <si>
    <t>PN001-PN134</t>
  </si>
  <si>
    <t>เคมีฟอสเฟต PN-134</t>
  </si>
  <si>
    <t>10ถัง/30กก</t>
  </si>
  <si>
    <t>IV6100252</t>
  </si>
  <si>
    <t>13ถัง/30กก</t>
  </si>
  <si>
    <t>AC001-AC55</t>
  </si>
  <si>
    <t>เคมีตัวเร่งฟอสเฟต</t>
  </si>
  <si>
    <t>1ถัง/20กก</t>
  </si>
  <si>
    <t>7ถัง/20กก</t>
  </si>
  <si>
    <t>PF001-PF18</t>
  </si>
  <si>
    <t>เคมีลดค่ากรด PF-18</t>
  </si>
  <si>
    <t>4ถัง/20กก</t>
  </si>
  <si>
    <t>IV6100271</t>
  </si>
  <si>
    <t>IV6100567</t>
  </si>
  <si>
    <t>IV6100793</t>
  </si>
  <si>
    <t>IV02974</t>
  </si>
  <si>
    <t>พลาสติกห่อตู้</t>
  </si>
  <si>
    <t>10ลัง(840)</t>
  </si>
  <si>
    <t>IV03059</t>
  </si>
  <si>
    <t>IV03143</t>
  </si>
  <si>
    <t>IV03704</t>
  </si>
  <si>
    <t>IV03220</t>
  </si>
  <si>
    <t>IV03364</t>
  </si>
  <si>
    <t>พีเพิล อีแอลอี</t>
  </si>
  <si>
    <t>keyms-306-1-1</t>
  </si>
  <si>
    <t>กุญแจMS306-1-1</t>
  </si>
  <si>
    <t>keyhl-042</t>
  </si>
  <si>
    <t>KEY-LOCKHINGES HL-042</t>
  </si>
  <si>
    <t>KeyAB-301</t>
  </si>
  <si>
    <t>DOOR LOCKER AB301-3-1</t>
  </si>
  <si>
    <t>1099/54921</t>
  </si>
  <si>
    <t>#9976</t>
  </si>
  <si>
    <t>223/11103</t>
  </si>
  <si>
    <t>CDT3518047434</t>
  </si>
  <si>
    <t>powder5339</t>
  </si>
  <si>
    <t>CDT3518047435</t>
  </si>
  <si>
    <t>powder2905</t>
  </si>
  <si>
    <t>IV6107-00576</t>
  </si>
  <si>
    <t>powder815c</t>
  </si>
  <si>
    <t>IV6107210012</t>
  </si>
  <si>
    <t>powder00319AN</t>
  </si>
  <si>
    <t>17.30น15/11</t>
  </si>
  <si>
    <t>IV6107190087</t>
  </si>
  <si>
    <t>CDT3518046432</t>
  </si>
  <si>
    <t>6107000870/1</t>
  </si>
  <si>
    <t>powder1517</t>
  </si>
  <si>
    <t>MK2018-4288</t>
  </si>
  <si>
    <t>เอ็มเคอินดัสเทรียล</t>
  </si>
  <si>
    <t>IN61070622</t>
  </si>
  <si>
    <t>key262-91H</t>
  </si>
  <si>
    <t>IV610733</t>
  </si>
  <si>
    <t>RB6</t>
  </si>
  <si>
    <t>cs</t>
  </si>
  <si>
    <t>CDT3518045903</t>
  </si>
  <si>
    <t>310/15465</t>
  </si>
  <si>
    <t>ลวดดำ</t>
  </si>
  <si>
    <t>กระจกใส</t>
  </si>
  <si>
    <t>315/15706</t>
  </si>
  <si>
    <t>สีสเปรย์ สีเทา</t>
  </si>
  <si>
    <t>2โหล/500</t>
  </si>
  <si>
    <t>สีสเปรย์ สีดำ</t>
  </si>
  <si>
    <t>311/15507</t>
  </si>
  <si>
    <t>kobe-3.2</t>
  </si>
  <si>
    <t>ลวดเชื่อม KOBE 3.2 มิล</t>
  </si>
  <si>
    <t>310/15483</t>
  </si>
  <si>
    <t>J610152</t>
  </si>
  <si>
    <t>ลูกปืน 6000ZZ</t>
  </si>
  <si>
    <t>318/15899</t>
  </si>
  <si>
    <t>J610410</t>
  </si>
  <si>
    <t>313/15615</t>
  </si>
  <si>
    <t>J610235</t>
  </si>
  <si>
    <t>323/16114</t>
  </si>
  <si>
    <t>J610546</t>
  </si>
  <si>
    <t>328/16394</t>
  </si>
  <si>
    <t>336/16781</t>
  </si>
  <si>
    <t>J611058</t>
  </si>
  <si>
    <t>J602358-2361</t>
  </si>
  <si>
    <t>เบสท์ พอร์ต</t>
  </si>
  <si>
    <t>key-BP915</t>
  </si>
  <si>
    <t>Pusbutton black BP915</t>
  </si>
  <si>
    <t>key-BP906</t>
  </si>
  <si>
    <t>Swinghandle key 200 BP906</t>
  </si>
  <si>
    <t>ขายATT</t>
  </si>
  <si>
    <t>IV18010137</t>
  </si>
  <si>
    <t>สยามพาร์ทโพรดักส์</t>
  </si>
  <si>
    <t>fc#16</t>
  </si>
  <si>
    <t>ใบตัดไฟเบอร์ #16</t>
  </si>
  <si>
    <t>IV18020315</t>
  </si>
  <si>
    <t>ใบขัดซ้อน # 80</t>
  </si>
  <si>
    <t>IV18030314</t>
  </si>
  <si>
    <t>IV18040256</t>
  </si>
  <si>
    <t>IV18050376</t>
  </si>
  <si>
    <t>ใบขัดซ้อน  # 400</t>
  </si>
  <si>
    <t>IV18050321</t>
  </si>
  <si>
    <t>IV18060385</t>
  </si>
  <si>
    <t>IV5070879</t>
  </si>
  <si>
    <t>THW1*16B</t>
  </si>
  <si>
    <t>IV6107130047</t>
  </si>
  <si>
    <t>1098/54879</t>
  </si>
  <si>
    <t>ทาสีโฟล์คลิฟ</t>
  </si>
  <si>
    <t>#9932</t>
  </si>
  <si>
    <t>#9934</t>
  </si>
  <si>
    <t>222/11094</t>
  </si>
  <si>
    <t>IV6107120103</t>
  </si>
  <si>
    <t>IV6107120102</t>
  </si>
  <si>
    <t>O61070136</t>
  </si>
  <si>
    <t>ส.สมบูรณ์</t>
  </si>
  <si>
    <t>IV6107090046</t>
  </si>
  <si>
    <t>O61010022</t>
  </si>
  <si>
    <t>O61030345</t>
  </si>
  <si>
    <t>O61030075</t>
  </si>
  <si>
    <t>O61050275</t>
  </si>
  <si>
    <t>O61050012</t>
  </si>
  <si>
    <t>O61060243</t>
  </si>
  <si>
    <t>ซูนิค</t>
  </si>
  <si>
    <t>1.02(35%)LIB</t>
  </si>
  <si>
    <t>1.6(35%)LIB</t>
  </si>
  <si>
    <t>IV6103059</t>
  </si>
  <si>
    <t>จี เอเพ็ค</t>
  </si>
  <si>
    <t>SH-45R</t>
  </si>
  <si>
    <t>Heat Shrink G5 # 45   สีแดง</t>
  </si>
  <si>
    <t>SH-45Y</t>
  </si>
  <si>
    <t>Heat Shrink G5 # 45   สีเหลือง</t>
  </si>
  <si>
    <t>SH-45B</t>
  </si>
  <si>
    <t>Heat Shrink G5 # 45   สีน้ำเงิน</t>
  </si>
  <si>
    <t>IV6104001</t>
  </si>
  <si>
    <t>SH-12B</t>
  </si>
  <si>
    <t>Heat Shrink G5 # 12   สีน้ำเงิน</t>
  </si>
  <si>
    <t>SH-12R</t>
  </si>
  <si>
    <t>Heat Shrink G5 # 12   สีแดง</t>
  </si>
  <si>
    <t>SH-12Y</t>
  </si>
  <si>
    <t>Heat Shrink G5 # 12   สีเหลือง</t>
  </si>
  <si>
    <t>SH-12BK</t>
  </si>
  <si>
    <t>Heat Shrink G5 # 12   สีดำ</t>
  </si>
  <si>
    <t>IV6105077</t>
  </si>
  <si>
    <t>IV6105066</t>
  </si>
  <si>
    <t>SH-30R</t>
  </si>
  <si>
    <t>Heat Shrink G5 # 30   สีแดง</t>
  </si>
  <si>
    <t>IV6105005</t>
  </si>
  <si>
    <t>SH-40R</t>
  </si>
  <si>
    <t>Heat Shrink G5 # 40   สีแดง</t>
  </si>
  <si>
    <t>วรพล อินดัสตรี้</t>
  </si>
  <si>
    <t>lg</t>
  </si>
  <si>
    <t>ถุงมือหนัง</t>
  </si>
  <si>
    <t>ต.กิจรุ่งเจริญ</t>
  </si>
  <si>
    <t>เคเบิ้ลแกรนด์ PG16</t>
  </si>
  <si>
    <t>22(45%)SHINO</t>
  </si>
  <si>
    <t>PG25</t>
  </si>
  <si>
    <t>เคเบิ้ลแกรนด์ PG25</t>
  </si>
  <si>
    <t>SAZN 25(45%)</t>
  </si>
  <si>
    <t>SO6101-00502</t>
  </si>
  <si>
    <t>เคเบิ้ลไทร์ 4" สีขาวCT-100-2C</t>
  </si>
  <si>
    <t>0.18(40+3%)</t>
  </si>
  <si>
    <t>เคเบิ้ลไทร์ 12" สีดำCT-310B-4C</t>
  </si>
  <si>
    <t>1.7(40+3%)</t>
  </si>
  <si>
    <t>ท่ออ่อนลูกฟูกชิดผ่า/ท่อผ่าดำ 13มิล</t>
  </si>
  <si>
    <t>18(35+3%)</t>
  </si>
  <si>
    <t>SO6102-03579</t>
  </si>
  <si>
    <t>ท่ออ่อนลูกฟูกชิดผ่า/ท่อผ่าดำ 11มิล</t>
  </si>
  <si>
    <t>15(35+3%)</t>
  </si>
  <si>
    <t>SO6101-06031</t>
  </si>
  <si>
    <t>6101000121/1</t>
  </si>
  <si>
    <t>SI-181100411</t>
  </si>
  <si>
    <t>176(40+3)</t>
  </si>
  <si>
    <t>รางวายดัก/รางPVC 45x45 mm.</t>
  </si>
  <si>
    <t>252(40+3)</t>
  </si>
  <si>
    <t>SO6104-02001</t>
  </si>
  <si>
    <t>แป้นกาวเล็กTM2121-4WP</t>
  </si>
  <si>
    <t>2.8(35+3%)</t>
  </si>
  <si>
    <t>SO6105-04847</t>
  </si>
  <si>
    <t>ท่ออ่อนลูกฟูกชิดผ่า/ท่อผ่าดำ 19มิล</t>
  </si>
  <si>
    <t>23(35+3%)</t>
  </si>
  <si>
    <t>SO6105-04063</t>
  </si>
  <si>
    <t>ท่ออ่อนลูกฟูกชิดผ่า/ท่อผ่าดำ 15มิล</t>
  </si>
  <si>
    <t>19(35+3%)</t>
  </si>
  <si>
    <t>SO6105-03810</t>
  </si>
  <si>
    <t>SB-13</t>
  </si>
  <si>
    <t>บุชชิ่งสแน๊ป</t>
  </si>
  <si>
    <t>SO6104-04475</t>
  </si>
  <si>
    <t>0.16(40+3%)</t>
  </si>
  <si>
    <t>รางวายดัก/รางPVC 65x65 mm.</t>
  </si>
  <si>
    <t>324(40+3%)</t>
  </si>
  <si>
    <t>SI-180601127</t>
  </si>
  <si>
    <t>WD60x80</t>
  </si>
  <si>
    <t>วายดักกว้าง 60x80 ยาว 2เมตร</t>
  </si>
  <si>
    <t>715(40+3%)</t>
  </si>
  <si>
    <t>IV610371</t>
  </si>
  <si>
    <t>mk2018-1180</t>
  </si>
  <si>
    <t>กระดาษทรายกลม#120</t>
  </si>
  <si>
    <t>mk201-0817</t>
  </si>
  <si>
    <t>RS80</t>
  </si>
  <si>
    <t>กระดาษทรายกลม#80</t>
  </si>
  <si>
    <t>MK2018-2174</t>
  </si>
  <si>
    <t>MK2018-3044</t>
  </si>
  <si>
    <t>MK-2018-2680</t>
  </si>
  <si>
    <t>ขัดสีเรียบ</t>
  </si>
  <si>
    <t>MK2018-3676</t>
  </si>
  <si>
    <t>MK2018-4021</t>
  </si>
  <si>
    <t>IN61070110</t>
  </si>
  <si>
    <t>IV6107030010</t>
  </si>
  <si>
    <t>CDT3518042734</t>
  </si>
  <si>
    <t>SI180700008</t>
  </si>
  <si>
    <t>IV6102-0621</t>
  </si>
  <si>
    <t>keyms-306-2-1</t>
  </si>
  <si>
    <t>กุญแจเขาควายกันน้ำMS-306-2-1</t>
  </si>
  <si>
    <t>17.00 20/11</t>
  </si>
  <si>
    <t>IV6104-0710</t>
  </si>
  <si>
    <t>KEYMS-306-2-1</t>
  </si>
  <si>
    <t>IV610438</t>
  </si>
  <si>
    <t>ยางกันบาดร่อง 3m.</t>
  </si>
  <si>
    <t>IV610408</t>
  </si>
  <si>
    <t>IV610529</t>
  </si>
  <si>
    <t>IV610640</t>
  </si>
  <si>
    <t>223/11135</t>
  </si>
  <si>
    <t>IV1803-195</t>
  </si>
  <si>
    <t>J610343,0530</t>
  </si>
  <si>
    <t>ทาคิเก็น</t>
  </si>
  <si>
    <t>KeyA-481N</t>
  </si>
  <si>
    <t>IV6103075</t>
  </si>
  <si>
    <t>QTC</t>
  </si>
  <si>
    <t>RB-S508</t>
  </si>
  <si>
    <t xml:space="preserve">ยางม้วนตัวเอสใหญ่ </t>
  </si>
  <si>
    <t>IV6111025</t>
  </si>
  <si>
    <t>ยางฟองน้ำ1"x1/8"</t>
  </si>
  <si>
    <t>IV6104047</t>
  </si>
  <si>
    <t>ยางฟองน้ำ1"x1/4''</t>
  </si>
  <si>
    <t>IV6104039</t>
  </si>
  <si>
    <t>IV6106084</t>
  </si>
  <si>
    <t>IN61080921</t>
  </si>
  <si>
    <t>IV6108300044</t>
  </si>
  <si>
    <t>SI180803583</t>
  </si>
  <si>
    <t>0.2(40+3%)</t>
  </si>
  <si>
    <t>SI180803584</t>
  </si>
  <si>
    <t>0.7(40+3%)</t>
  </si>
  <si>
    <t>SI180803585</t>
  </si>
  <si>
    <t>CDT3518054544</t>
  </si>
  <si>
    <t>J611761</t>
  </si>
  <si>
    <t>IV6108280025</t>
  </si>
  <si>
    <t>IV6108-00763</t>
  </si>
  <si>
    <t>J611730</t>
  </si>
  <si>
    <t>IN61080793</t>
  </si>
  <si>
    <t>keyG-016-16</t>
  </si>
  <si>
    <t>223/11129</t>
  </si>
  <si>
    <t>IV6108240054</t>
  </si>
  <si>
    <t>IV1808198</t>
  </si>
  <si>
    <t>IV6108220031</t>
  </si>
  <si>
    <t>keyms480-2</t>
  </si>
  <si>
    <t>359/17922</t>
  </si>
  <si>
    <t>J611742</t>
  </si>
  <si>
    <t>KNB6000z</t>
  </si>
  <si>
    <t>IV6108074</t>
  </si>
  <si>
    <t>1100/54986</t>
  </si>
  <si>
    <t>J611723-1725</t>
  </si>
  <si>
    <t>IV6108200071</t>
  </si>
  <si>
    <t>IV6108200070</t>
  </si>
  <si>
    <t>IV610841</t>
  </si>
  <si>
    <t>358/17871</t>
  </si>
  <si>
    <t>17.00น 21/11</t>
  </si>
  <si>
    <t>1100/54981</t>
  </si>
  <si>
    <t>J611676</t>
  </si>
  <si>
    <t>CDT3518052204</t>
  </si>
  <si>
    <t>KEY-BP915</t>
  </si>
  <si>
    <t>IV6108160048</t>
  </si>
  <si>
    <t>KEYMS480-2</t>
  </si>
  <si>
    <t>IV6108-0923</t>
  </si>
  <si>
    <t>IV6108-00382</t>
  </si>
  <si>
    <t>J611540,1657</t>
  </si>
  <si>
    <t>IV610441</t>
  </si>
  <si>
    <t>223/11120</t>
  </si>
  <si>
    <t>IV610827</t>
  </si>
  <si>
    <t>IV0077378</t>
  </si>
  <si>
    <t>J611622</t>
  </si>
  <si>
    <t>เพาเดอร์พลัส</t>
  </si>
  <si>
    <t>powder45206</t>
  </si>
  <si>
    <t>IV0075548</t>
  </si>
  <si>
    <t>powder45014</t>
  </si>
  <si>
    <t>สีฝุ่น HB 45014 N GREY</t>
  </si>
  <si>
    <t>IV00076904</t>
  </si>
  <si>
    <t>J61159,162,163</t>
  </si>
  <si>
    <t>357/17802</t>
  </si>
  <si>
    <t>IV6108-00312</t>
  </si>
  <si>
    <t>J611614</t>
  </si>
  <si>
    <t>IV61080100105</t>
  </si>
  <si>
    <t>CDT3518050816</t>
  </si>
  <si>
    <t>CDT3518050386</t>
  </si>
  <si>
    <t>J611509</t>
  </si>
  <si>
    <t>IV1808078</t>
  </si>
  <si>
    <t>IV6108080070</t>
  </si>
  <si>
    <t>บอร์เนียว</t>
  </si>
  <si>
    <t>TAP48x50</t>
  </si>
  <si>
    <t>3M</t>
  </si>
  <si>
    <t>J611588,1589</t>
  </si>
  <si>
    <t>O61080078</t>
  </si>
  <si>
    <t>IV6108-00159</t>
  </si>
  <si>
    <t>J611552,1553</t>
  </si>
  <si>
    <t>223/11114</t>
  </si>
  <si>
    <t>IN61080153</t>
  </si>
  <si>
    <t>IN61080152</t>
  </si>
  <si>
    <t>KEYG-293</t>
  </si>
  <si>
    <t>CDT351804981</t>
  </si>
  <si>
    <t>IV6108020025</t>
  </si>
  <si>
    <t>IV610416</t>
  </si>
  <si>
    <t>IV6108-00139</t>
  </si>
  <si>
    <t>แพนสยาม</t>
  </si>
  <si>
    <t>c4</t>
  </si>
  <si>
    <t>IV6101-01492</t>
  </si>
  <si>
    <t>มือจับตัวซี 4 นิ้ว มือจับโครเมี่ยม</t>
  </si>
  <si>
    <t>IV6102-01410</t>
  </si>
  <si>
    <t>ssh-200</t>
  </si>
  <si>
    <t>บานพับ 2''สแตนเลส</t>
  </si>
  <si>
    <t>IV6103-02451</t>
  </si>
  <si>
    <t>บานพับ 1''1/2 สแตนเลส</t>
  </si>
  <si>
    <t>12(25%)</t>
  </si>
  <si>
    <t>IV6103-01081</t>
  </si>
  <si>
    <t>LSSL-003</t>
  </si>
  <si>
    <t>ห่วงล็อคสเตนเลสเล็ก มีสปริง 18x45</t>
  </si>
  <si>
    <t>28(25%)</t>
  </si>
  <si>
    <t>SM-20-03NI</t>
  </si>
  <si>
    <t>part/แป้นหน้ากันชน SM-20 ชุบนิเกิ้ล</t>
  </si>
  <si>
    <t>IV6104-00052</t>
  </si>
  <si>
    <t>แม่เหล็กสีน้าตาล</t>
  </si>
  <si>
    <t>IV6105-01942</t>
  </si>
  <si>
    <t>BBF-35355</t>
  </si>
  <si>
    <t>รางลูกปืนสามตอน 35x355mm 14"</t>
  </si>
  <si>
    <t>90(20%)</t>
  </si>
  <si>
    <t>IV6105-01046</t>
  </si>
  <si>
    <t>IV6105-00481</t>
  </si>
  <si>
    <t>IV03456</t>
  </si>
  <si>
    <t>IV6108005</t>
  </si>
  <si>
    <t xml:space="preserve">18.00 น </t>
  </si>
  <si>
    <t>SI180903133</t>
  </si>
  <si>
    <t>12(35+3)</t>
  </si>
  <si>
    <t>17.00น26/11</t>
  </si>
  <si>
    <t>0.2(40+3)</t>
  </si>
  <si>
    <t>160(40+3)</t>
  </si>
  <si>
    <t>270(40+3)</t>
  </si>
  <si>
    <t>IV6109270025</t>
  </si>
  <si>
    <t>IV5091414</t>
  </si>
  <si>
    <t>THW 1x35G</t>
  </si>
  <si>
    <t>170.5(53%)</t>
  </si>
  <si>
    <t>CDT3518060649</t>
  </si>
  <si>
    <t>J612028</t>
  </si>
  <si>
    <t>powder2788</t>
  </si>
  <si>
    <t>IV6109-00714</t>
  </si>
  <si>
    <t>J611987-1988</t>
  </si>
  <si>
    <t>powder2081</t>
  </si>
  <si>
    <t>IV6109260003</t>
  </si>
  <si>
    <t>2018-07358808</t>
  </si>
  <si>
    <t>2018-07358809</t>
  </si>
  <si>
    <t>1102/55077</t>
  </si>
  <si>
    <t>224/11153</t>
  </si>
  <si>
    <t>1102/55072</t>
  </si>
  <si>
    <t>J611981-1982</t>
  </si>
  <si>
    <t>IV6109220003</t>
  </si>
  <si>
    <t>IV6109-02114</t>
  </si>
  <si>
    <t>IV5091248</t>
  </si>
  <si>
    <t>J611833+STOCK</t>
  </si>
  <si>
    <t>170.50(53%)</t>
  </si>
  <si>
    <t>BCC</t>
  </si>
  <si>
    <t>IV610949</t>
  </si>
  <si>
    <t>IV0077772</t>
  </si>
  <si>
    <t>J611965</t>
  </si>
  <si>
    <t>IV6109085</t>
  </si>
  <si>
    <t>IN61090649</t>
  </si>
  <si>
    <t>2018-07358550</t>
  </si>
  <si>
    <t>IV610523</t>
  </si>
  <si>
    <t>IV6109190013</t>
  </si>
  <si>
    <t>IV6109190012</t>
  </si>
  <si>
    <t>IV6103686</t>
  </si>
  <si>
    <t>J611383+STOCK</t>
  </si>
  <si>
    <t>8เส้น/12703.20</t>
  </si>
  <si>
    <t>11เส้น/6351.60</t>
  </si>
  <si>
    <t>IV6103685</t>
  </si>
  <si>
    <t>BAR 60X5</t>
  </si>
  <si>
    <t>3เส้น/3175.8</t>
  </si>
  <si>
    <t>BAR 20X5</t>
  </si>
  <si>
    <t>15เส้น/1066.5</t>
  </si>
  <si>
    <t>BAR 2X1/2</t>
  </si>
  <si>
    <t>3เส้น/6849.3</t>
  </si>
  <si>
    <t>IV6103728</t>
  </si>
  <si>
    <t>J611383,1387</t>
  </si>
  <si>
    <t>1เส้น/8484.6</t>
  </si>
  <si>
    <t>J611383,1388</t>
  </si>
  <si>
    <t>1เส้น/13674.9</t>
  </si>
  <si>
    <t>18.00น28/11</t>
  </si>
  <si>
    <t>IV6103826</t>
  </si>
  <si>
    <t>J612330</t>
  </si>
  <si>
    <t>2เส้น/13848</t>
  </si>
  <si>
    <t>IV6103829</t>
  </si>
  <si>
    <t>5เส้น/1080</t>
  </si>
  <si>
    <t>10เส้น/1608</t>
  </si>
  <si>
    <t>BAR 15x3</t>
  </si>
  <si>
    <t>10เส้น/504</t>
  </si>
  <si>
    <t>IV6109081</t>
  </si>
  <si>
    <t>BL-0506701460</t>
  </si>
  <si>
    <t>IV5090975</t>
  </si>
  <si>
    <t>6109001141/1</t>
  </si>
  <si>
    <t>ขายจงจิตต์</t>
  </si>
  <si>
    <t>NYY 4x16</t>
  </si>
  <si>
    <t>392.3(53%)</t>
  </si>
  <si>
    <t>CVV 30x2.5</t>
  </si>
  <si>
    <t>351.7(49%)</t>
  </si>
  <si>
    <t>365/18232</t>
  </si>
  <si>
    <t>J611968</t>
  </si>
  <si>
    <t>CDT3518058277</t>
  </si>
  <si>
    <t>J611796</t>
  </si>
  <si>
    <t>IV6109140017</t>
  </si>
  <si>
    <t>IV6101179</t>
  </si>
  <si>
    <t>LV0008447</t>
  </si>
  <si>
    <t>แอล.วี.เอ็นจิเนียริ่ง</t>
  </si>
  <si>
    <t>451.5(51.5%)</t>
  </si>
  <si>
    <t>1102/55052</t>
  </si>
  <si>
    <t>J611755</t>
  </si>
  <si>
    <t>A106</t>
  </si>
  <si>
    <t>CDT3518057586</t>
  </si>
  <si>
    <t>IV6109110012</t>
  </si>
  <si>
    <t>223/11141</t>
  </si>
  <si>
    <t>SI-180901041</t>
  </si>
  <si>
    <t>1.8(40+3%)</t>
  </si>
  <si>
    <t>3.1(35+3%)</t>
  </si>
  <si>
    <t>2018-07357716</t>
  </si>
  <si>
    <t>CDT3518056318</t>
  </si>
  <si>
    <t>IV610494</t>
  </si>
  <si>
    <t>150kg/50</t>
  </si>
  <si>
    <t>2018-07357350</t>
  </si>
  <si>
    <t>IV18090006</t>
  </si>
  <si>
    <t>2018-07357054</t>
  </si>
  <si>
    <t>IV03537</t>
  </si>
  <si>
    <t>mk2018-5228</t>
  </si>
  <si>
    <t>IV610485</t>
  </si>
  <si>
    <t>RIP18-102701</t>
  </si>
  <si>
    <t>รตนพร ปิโตรเลียมก๊าซไทย</t>
  </si>
  <si>
    <t>IV6110270009</t>
  </si>
  <si>
    <t>374/18668</t>
  </si>
  <si>
    <t>J612211</t>
  </si>
  <si>
    <t>KOBE-2.6</t>
  </si>
  <si>
    <t>IV6110250017</t>
  </si>
  <si>
    <t>IV6101383</t>
  </si>
  <si>
    <t>J612155,2166</t>
  </si>
  <si>
    <t>IV1810-182</t>
  </si>
  <si>
    <t>keyc-1007</t>
  </si>
  <si>
    <t>2018-07365334</t>
  </si>
  <si>
    <t>VSF1x1BL</t>
  </si>
  <si>
    <t>mk2018-6247</t>
  </si>
  <si>
    <t>1103/55133</t>
  </si>
  <si>
    <t>J612174</t>
  </si>
  <si>
    <t>RIP18-101701</t>
  </si>
  <si>
    <t>IV0078019</t>
  </si>
  <si>
    <t>J612124-2126</t>
  </si>
  <si>
    <t>SI-181001910</t>
  </si>
  <si>
    <t>J612176</t>
  </si>
  <si>
    <t>TS2BIL2</t>
  </si>
  <si>
    <t>245(30+10+3%)</t>
  </si>
  <si>
    <t>CDT3510864966</t>
  </si>
  <si>
    <t>CDT3518064963</t>
  </si>
  <si>
    <t>IV5100886</t>
  </si>
  <si>
    <t>ซ่อมบำรุง</t>
  </si>
  <si>
    <t>VCT 2x1</t>
  </si>
  <si>
    <t>26.10(53%)</t>
  </si>
  <si>
    <t>INV00180365</t>
  </si>
  <si>
    <t>บุญถาวร</t>
  </si>
  <si>
    <t>CVV 15x2.5</t>
  </si>
  <si>
    <t>290.05(48%)</t>
  </si>
  <si>
    <t>IN61100398</t>
  </si>
  <si>
    <t>IV6110110004</t>
  </si>
  <si>
    <t>SI0445696</t>
  </si>
  <si>
    <t>J612163</t>
  </si>
  <si>
    <t>ไพรมัส</t>
  </si>
  <si>
    <t>PMV250N</t>
  </si>
  <si>
    <t>2200(30+5%)</t>
  </si>
  <si>
    <t>PMF25</t>
  </si>
  <si>
    <t>800(30+5%)</t>
  </si>
  <si>
    <t>SI-181001426</t>
  </si>
  <si>
    <t>J612100</t>
  </si>
  <si>
    <t>180(15%)</t>
  </si>
  <si>
    <t>IV6110-1002</t>
  </si>
  <si>
    <t>IV610571</t>
  </si>
  <si>
    <t>369/18449</t>
  </si>
  <si>
    <t>1โหล/500</t>
  </si>
  <si>
    <t>224/11162</t>
  </si>
  <si>
    <t>IV610553</t>
  </si>
  <si>
    <t>CDT3518062163</t>
  </si>
  <si>
    <t>IV1810037</t>
  </si>
  <si>
    <t>IV6110-00042</t>
  </si>
  <si>
    <t>J612054-056</t>
  </si>
  <si>
    <t>IV6110020005</t>
  </si>
  <si>
    <t>IV611013</t>
  </si>
  <si>
    <t>IV0077864</t>
  </si>
  <si>
    <t>J611948-1952</t>
  </si>
  <si>
    <t>IV5100215</t>
  </si>
  <si>
    <t>76.5(53%)</t>
  </si>
  <si>
    <t>SI-201801310022</t>
  </si>
  <si>
    <t>J610115</t>
  </si>
  <si>
    <t>คอมโพแม๊ก จำกัด</t>
  </si>
  <si>
    <t>Z4.242.5053</t>
  </si>
  <si>
    <t>WIELAND</t>
  </si>
  <si>
    <t>17.00น(14/12)</t>
  </si>
  <si>
    <t>INV511801-3865</t>
  </si>
  <si>
    <t>ขายคุณตะวัน</t>
  </si>
  <si>
    <t>ดีอีพี เอ็นจิเนียริ่ง</t>
  </si>
  <si>
    <t>QO150VSC6T</t>
  </si>
  <si>
    <t>SCHNEIDER</t>
  </si>
  <si>
    <t>QO132VSC6T</t>
  </si>
  <si>
    <t>QO116VSC6T</t>
  </si>
  <si>
    <t>QO350VSC6T</t>
  </si>
  <si>
    <t>WEAG-6803W</t>
  </si>
  <si>
    <t>Panasonic</t>
  </si>
  <si>
    <t>22(20+10%)</t>
  </si>
  <si>
    <t>IV61/0239</t>
  </si>
  <si>
    <t>J610157</t>
  </si>
  <si>
    <t>บลูสโตน จำกัด</t>
  </si>
  <si>
    <t>SURGE-MS230</t>
  </si>
  <si>
    <t>บลูสโตน</t>
  </si>
  <si>
    <t>IV6100098</t>
  </si>
  <si>
    <t>6101000102/1</t>
  </si>
  <si>
    <t>มนต์ฟ้า จำกัด</t>
  </si>
  <si>
    <t>OFAF00H125</t>
  </si>
  <si>
    <t>520(40+10+5%)</t>
  </si>
  <si>
    <t>ABB</t>
  </si>
  <si>
    <t>XLP00</t>
  </si>
  <si>
    <t>1900(40+10+5%)</t>
  </si>
  <si>
    <t>XT1C160</t>
  </si>
  <si>
    <t>3950(60%)</t>
  </si>
  <si>
    <t>A1B125</t>
  </si>
  <si>
    <t>2900(60%)</t>
  </si>
  <si>
    <t>61-01-2920</t>
  </si>
  <si>
    <t>ภัทรเมธากิจ จำกัด</t>
  </si>
  <si>
    <t>CT-AS1B200/5</t>
  </si>
  <si>
    <t>1600(50+10+10%)</t>
  </si>
  <si>
    <t>1801IV003382</t>
  </si>
  <si>
    <t>ควอลิตี้ (1995)</t>
  </si>
  <si>
    <t>MNK1473</t>
  </si>
  <si>
    <t>325(55%)</t>
  </si>
  <si>
    <t>MNK3</t>
  </si>
  <si>
    <t>230(55%)</t>
  </si>
  <si>
    <t>CL6100227</t>
  </si>
  <si>
    <t>ชัยวัฒน์ ไลท์ติ้ง</t>
  </si>
  <si>
    <t>PL-ESS-3W</t>
  </si>
  <si>
    <t>SI-201801190040</t>
  </si>
  <si>
    <t>J602056</t>
  </si>
  <si>
    <t>CL6100218</t>
  </si>
  <si>
    <t>PL-E27</t>
  </si>
  <si>
    <t>M6101-0301</t>
  </si>
  <si>
    <t>เอส อาร์ อี 2000 จำกัด</t>
  </si>
  <si>
    <t>R3.5-5</t>
  </si>
  <si>
    <t>3.15(35+5%)</t>
  </si>
  <si>
    <t>SCALY</t>
  </si>
  <si>
    <t>8.5(35%)</t>
  </si>
  <si>
    <t>WNG-15923</t>
  </si>
  <si>
    <t>TLD-36W</t>
  </si>
  <si>
    <t>IV6101/620</t>
  </si>
  <si>
    <t>ต้าโจว</t>
  </si>
  <si>
    <t>RV6</t>
  </si>
  <si>
    <t>CL6100090</t>
  </si>
  <si>
    <t>LED-10.5W</t>
  </si>
  <si>
    <t>CL6100086</t>
  </si>
  <si>
    <t>HPL-N400</t>
  </si>
  <si>
    <t>BOX-2x4</t>
  </si>
  <si>
    <t>WM-P350XS</t>
  </si>
  <si>
    <t>HITACHI</t>
  </si>
  <si>
    <t>คิงส์ไบร์ท</t>
  </si>
  <si>
    <t>GA-RLN100</t>
  </si>
  <si>
    <t>EI-52131-T</t>
  </si>
  <si>
    <t>CL6104079</t>
  </si>
  <si>
    <t>CAT5</t>
  </si>
  <si>
    <t>CAT6</t>
  </si>
  <si>
    <t>G4Q-212S</t>
  </si>
  <si>
    <t>3380(50%)</t>
  </si>
  <si>
    <t>MY2N-GS</t>
  </si>
  <si>
    <t>PYF-08A-E</t>
  </si>
  <si>
    <t>8PFA-1</t>
  </si>
  <si>
    <t>INV511810-2696</t>
  </si>
  <si>
    <t>LC1D09M7</t>
  </si>
  <si>
    <t>LC1D25M7</t>
  </si>
  <si>
    <t>GVAD0110</t>
  </si>
  <si>
    <t>GV2ME10</t>
  </si>
  <si>
    <t>GV2ME16</t>
  </si>
  <si>
    <t>I54194</t>
  </si>
  <si>
    <t>บอนด์ เคมีคอล</t>
  </si>
  <si>
    <t>BT-10M</t>
  </si>
  <si>
    <t>WB236-A2LG</t>
  </si>
  <si>
    <t>1650(50%)</t>
  </si>
  <si>
    <t>IV5100723</t>
  </si>
  <si>
    <t>ขายเพื่อน PN</t>
  </si>
  <si>
    <t>VCT 2x1.5</t>
  </si>
  <si>
    <t>34.6(53%)</t>
  </si>
  <si>
    <t>VCT 3x1.5</t>
  </si>
  <si>
    <t>43.9(53%)</t>
  </si>
  <si>
    <t>VCT 4x1.5</t>
  </si>
  <si>
    <t>56.8(53%)</t>
  </si>
  <si>
    <t>CV 1x16</t>
  </si>
  <si>
    <t>81(53%)</t>
  </si>
  <si>
    <t>IV6110/392</t>
  </si>
  <si>
    <t>INV511810-1915</t>
  </si>
  <si>
    <t>J611140</t>
  </si>
  <si>
    <t>XB4BS8442</t>
  </si>
  <si>
    <t>ZB4BD2</t>
  </si>
  <si>
    <t>ZB4BD3</t>
  </si>
  <si>
    <t>ZB4BZ101</t>
  </si>
  <si>
    <t>U20180100931</t>
  </si>
  <si>
    <t>J612080</t>
  </si>
  <si>
    <t>ยูไนเต็ดเทรดดิ้ง</t>
  </si>
  <si>
    <t>NV63-CV 2P 15A</t>
  </si>
  <si>
    <t>3300(40+5%)</t>
  </si>
  <si>
    <t>เอส วี โอ เอ</t>
  </si>
  <si>
    <t>ZEC-A2076</t>
  </si>
  <si>
    <t>ZEC-A2013</t>
  </si>
  <si>
    <t>ZEC-A2025</t>
  </si>
  <si>
    <t>DI18101003</t>
  </si>
  <si>
    <t>J611570-1571</t>
  </si>
  <si>
    <t>ปิติ ดิสทริบิวชั่น</t>
  </si>
  <si>
    <t>SH201-C6</t>
  </si>
  <si>
    <t>185(60%)</t>
  </si>
  <si>
    <t>CT1500/5</t>
  </si>
  <si>
    <t>430(25+5%)</t>
  </si>
  <si>
    <t>NITECH</t>
  </si>
  <si>
    <t>NF125-SV 3P125A</t>
  </si>
  <si>
    <t>4300(54%)</t>
  </si>
  <si>
    <t>NF125-CV 3P100A</t>
  </si>
  <si>
    <t>3300(54%)</t>
  </si>
  <si>
    <t>NF63-CV 3P32A</t>
  </si>
  <si>
    <t>1900(54%)</t>
  </si>
  <si>
    <t>CP30-BA 1P2A</t>
  </si>
  <si>
    <t>860(40+5%)</t>
  </si>
  <si>
    <t>149/9884</t>
  </si>
  <si>
    <t>เคนโย(ไทยแลนด์)</t>
  </si>
  <si>
    <t>1810IV042238</t>
  </si>
  <si>
    <t>XB4BS8342</t>
  </si>
  <si>
    <t>1060(59%)</t>
  </si>
  <si>
    <t>MNK1475</t>
  </si>
  <si>
    <t>420(55%)</t>
  </si>
  <si>
    <t>วี.เจ.เวลดิ้ง</t>
  </si>
  <si>
    <t>KDS3.5</t>
  </si>
  <si>
    <t>30(30%)</t>
  </si>
  <si>
    <t>NF32-SV 3P32A</t>
  </si>
  <si>
    <t>1850(54%)</t>
  </si>
  <si>
    <t>NF32-SV 2P20a</t>
  </si>
  <si>
    <t>1300(54%)</t>
  </si>
  <si>
    <t>149/9868</t>
  </si>
  <si>
    <t>INV00180069</t>
  </si>
  <si>
    <t>ไฟฟ้า</t>
  </si>
  <si>
    <t>SU-6</t>
  </si>
  <si>
    <t>1000(35%)</t>
  </si>
  <si>
    <t>DO6110-0010</t>
  </si>
  <si>
    <t>J611372-1375</t>
  </si>
  <si>
    <t>ยู-อินดัสเทรียล</t>
  </si>
  <si>
    <t>ACS355-03E-01A2-4</t>
  </si>
  <si>
    <t>ACS355-03E-04A1-4</t>
  </si>
  <si>
    <t>ACS355-03E-05A6-4</t>
  </si>
  <si>
    <t>ACS355-03E-07A3-4</t>
  </si>
  <si>
    <t>ACS355-03E-12A5-4</t>
  </si>
  <si>
    <t>ACS355-03E-15A6-4</t>
  </si>
  <si>
    <t>ACS355-03E-23A1-4</t>
  </si>
  <si>
    <t>ACS355-03E-08A8-4</t>
  </si>
  <si>
    <t>ACS-CP-C</t>
  </si>
  <si>
    <t>US-5010-X</t>
  </si>
  <si>
    <t>IV6111300016</t>
  </si>
  <si>
    <t>1106/55263</t>
  </si>
  <si>
    <t>J612455</t>
  </si>
  <si>
    <t>#8448</t>
  </si>
  <si>
    <t>61-11-4078</t>
  </si>
  <si>
    <t>J611383</t>
  </si>
  <si>
    <t>1W-E2.2-E6.2</t>
  </si>
  <si>
    <t>INV511811-4518</t>
  </si>
  <si>
    <t>J612493</t>
  </si>
  <si>
    <t>A9F74203</t>
  </si>
  <si>
    <t>A9F74206</t>
  </si>
  <si>
    <t>LC1D12M7</t>
  </si>
  <si>
    <t>INV511811-4617</t>
  </si>
  <si>
    <t>VCF1</t>
  </si>
  <si>
    <t>WRENCH BLOCK</t>
  </si>
  <si>
    <t>KOCHE</t>
  </si>
  <si>
    <t>WRENCH#10</t>
  </si>
  <si>
    <t>KING TONY</t>
  </si>
  <si>
    <t>WRENCH#13</t>
  </si>
  <si>
    <t>WRENCH#17</t>
  </si>
  <si>
    <t>WRENCH#19</t>
  </si>
  <si>
    <t>WRENCH 12-13</t>
  </si>
  <si>
    <t>WRENCH 17-19</t>
  </si>
  <si>
    <t>WRENCH TALK</t>
  </si>
  <si>
    <t>WRENCH HEXAGON</t>
  </si>
  <si>
    <t>CDT3518073986</t>
  </si>
  <si>
    <t>J612437</t>
  </si>
  <si>
    <t>0.6(40%)</t>
  </si>
  <si>
    <t>IV6111593</t>
  </si>
  <si>
    <t>เค.วี เอส</t>
  </si>
  <si>
    <t>BOSCH-แปรงถ่าน</t>
  </si>
  <si>
    <t>RIP18-112802</t>
  </si>
  <si>
    <t>IV6103932</t>
  </si>
  <si>
    <t>J612557</t>
  </si>
  <si>
    <t>5เส้น6936</t>
  </si>
  <si>
    <t>382/19052</t>
  </si>
  <si>
    <t>Paint-lotto</t>
  </si>
  <si>
    <t>Paint-888</t>
  </si>
  <si>
    <t>Paint brush-3</t>
  </si>
  <si>
    <t>Paint roller-7</t>
  </si>
  <si>
    <t>IV03775</t>
  </si>
  <si>
    <t>IV61-0203</t>
  </si>
  <si>
    <t>ซิสเต็ม เอ็นเนอร์ยี่ เวิร์ค</t>
  </si>
  <si>
    <t>VFD037EL43A</t>
  </si>
  <si>
    <t>9900(3%)</t>
  </si>
  <si>
    <t>VFD004EL21A</t>
  </si>
  <si>
    <t>4800(3%)</t>
  </si>
  <si>
    <t>XB4-BC21</t>
  </si>
  <si>
    <t>740(57%)</t>
  </si>
  <si>
    <t>IC61K1063</t>
  </si>
  <si>
    <t>J611689-1691</t>
  </si>
  <si>
    <t>เอเธนส์ อิเลคทริคอล</t>
  </si>
  <si>
    <t>FH202AC40</t>
  </si>
  <si>
    <t>2530(54+4%)</t>
  </si>
  <si>
    <t>J611689-1692</t>
  </si>
  <si>
    <t>FH204AC40</t>
  </si>
  <si>
    <t>4100(54+4%)</t>
  </si>
  <si>
    <t>J611689-1693</t>
  </si>
  <si>
    <t>FH202AC63</t>
  </si>
  <si>
    <t>4000(54+4%)</t>
  </si>
  <si>
    <t>J611689-1694</t>
  </si>
  <si>
    <t>FH204AC63</t>
  </si>
  <si>
    <t>6000(54+4%)</t>
  </si>
  <si>
    <t>J611689-1695</t>
  </si>
  <si>
    <t>A2C250TMF200</t>
  </si>
  <si>
    <t>5500(60%)</t>
  </si>
  <si>
    <t>IV6111267</t>
  </si>
  <si>
    <t>J611387</t>
  </si>
  <si>
    <t xml:space="preserve">เมเชอริ่ง </t>
  </si>
  <si>
    <t>DIN300-240VAC</t>
  </si>
  <si>
    <t>5250(50%)</t>
  </si>
  <si>
    <t>ZCT80S</t>
  </si>
  <si>
    <t>3390(50%)</t>
  </si>
  <si>
    <t>IV5111502</t>
  </si>
  <si>
    <t>J611385</t>
  </si>
  <si>
    <t>A1C125 3P 60A</t>
  </si>
  <si>
    <t>3000(61%)</t>
  </si>
  <si>
    <t>IV5111476</t>
  </si>
  <si>
    <t>J611678,1370</t>
  </si>
  <si>
    <t>SCP-07</t>
  </si>
  <si>
    <t>1140(58%)</t>
  </si>
  <si>
    <t>IV5111454</t>
  </si>
  <si>
    <t>49.30(54%)</t>
  </si>
  <si>
    <t>7.5(50%)</t>
  </si>
  <si>
    <t>S8VS-06024</t>
  </si>
  <si>
    <t>6760(50+2%)</t>
  </si>
  <si>
    <t>MY4N-GS</t>
  </si>
  <si>
    <t>H5CN-XBN</t>
  </si>
  <si>
    <t>7120(50+2%)</t>
  </si>
  <si>
    <t>H7CN-XLN</t>
  </si>
  <si>
    <t>11000(50+2%)</t>
  </si>
  <si>
    <t>Y92-F30</t>
  </si>
  <si>
    <t>150(50+2%)</t>
  </si>
  <si>
    <t>G2R-2SN</t>
  </si>
  <si>
    <t>616(50+2%)</t>
  </si>
  <si>
    <t>P2RF-08E</t>
  </si>
  <si>
    <t>334(50+2%)</t>
  </si>
  <si>
    <t>WEG-15929</t>
  </si>
  <si>
    <t>162(20+8%)</t>
  </si>
  <si>
    <t>INV511811-4169</t>
  </si>
  <si>
    <t>ZB4BZ102</t>
  </si>
  <si>
    <t>ZBE101</t>
  </si>
  <si>
    <t>XB4BA31</t>
  </si>
  <si>
    <t>ZB4BA4</t>
  </si>
  <si>
    <t>ZB4BA5</t>
  </si>
  <si>
    <t>XB4BW33M5</t>
  </si>
  <si>
    <t>XB4BVM1</t>
  </si>
  <si>
    <t>XB4BVM3</t>
  </si>
  <si>
    <t>XB4BVM4</t>
  </si>
  <si>
    <t>GV2P08</t>
  </si>
  <si>
    <t>GV2P14</t>
  </si>
  <si>
    <t>LADN20</t>
  </si>
  <si>
    <t>500/โหล</t>
  </si>
  <si>
    <t>1811IV050090</t>
  </si>
  <si>
    <t>XB4BC21</t>
  </si>
  <si>
    <t>740(59%)</t>
  </si>
  <si>
    <t>XB4BG45</t>
  </si>
  <si>
    <t>1150(59%)</t>
  </si>
  <si>
    <t>2510(59%)</t>
  </si>
  <si>
    <t>SL1811-0240</t>
  </si>
  <si>
    <t>J611383,1385</t>
  </si>
  <si>
    <t>สุพรีมไลนส์</t>
  </si>
  <si>
    <t>TS-050SR</t>
  </si>
  <si>
    <t>520(20%)</t>
  </si>
  <si>
    <t>IV5111399</t>
  </si>
  <si>
    <t>J612449,2450</t>
  </si>
  <si>
    <t>A1C125 3P 30A</t>
  </si>
  <si>
    <t>A1C125 3P 50A</t>
  </si>
  <si>
    <t>A1C125 3P 100A</t>
  </si>
  <si>
    <t>SHUNT-OPEN A1-2</t>
  </si>
  <si>
    <t>2100(61%)</t>
  </si>
  <si>
    <t>2018-073729691</t>
  </si>
  <si>
    <t>LAPP</t>
  </si>
  <si>
    <t>IV1100945</t>
  </si>
  <si>
    <t>ทำซุปเปอร์ลีน</t>
  </si>
  <si>
    <t>เคเอ็ม อินเตอร์กรุ๊ป</t>
  </si>
  <si>
    <t>M4x35HZ</t>
  </si>
  <si>
    <t>DO6111-0246</t>
  </si>
  <si>
    <t>J612412</t>
  </si>
  <si>
    <t>DIGITAL A20</t>
  </si>
  <si>
    <t>SOCOMAC</t>
  </si>
  <si>
    <t>IV6111243</t>
  </si>
  <si>
    <t>J611689</t>
  </si>
  <si>
    <t>ZCT40</t>
  </si>
  <si>
    <t>1990(50%)</t>
  </si>
  <si>
    <t>INV6111/0239</t>
  </si>
  <si>
    <t>เอส เอ เอส</t>
  </si>
  <si>
    <t>BUSH PC009</t>
  </si>
  <si>
    <t>IV6111-00697</t>
  </si>
  <si>
    <t>DI18112494</t>
  </si>
  <si>
    <t>J612450-2454</t>
  </si>
  <si>
    <t>SH203-C32</t>
  </si>
  <si>
    <t>1630(60%)</t>
  </si>
  <si>
    <t>SH201-C20</t>
  </si>
  <si>
    <t>DB12CL200</t>
  </si>
  <si>
    <t>5575(600%)</t>
  </si>
  <si>
    <t>SH201-C10</t>
  </si>
  <si>
    <t>1140(60%)</t>
  </si>
  <si>
    <t>185(60%0</t>
  </si>
  <si>
    <t>SCP-10</t>
  </si>
  <si>
    <t>1445(60%)</t>
  </si>
  <si>
    <t>SH201-C32</t>
  </si>
  <si>
    <t>SH201-C50</t>
  </si>
  <si>
    <t>375(60%)</t>
  </si>
  <si>
    <t>SH201-C63</t>
  </si>
  <si>
    <t>DI18112493</t>
  </si>
  <si>
    <t>J611689,1691</t>
  </si>
  <si>
    <t>AF65-30-11</t>
  </si>
  <si>
    <t>5190(60%)</t>
  </si>
  <si>
    <t>SCP-20</t>
  </si>
  <si>
    <t>3010(60%)</t>
  </si>
  <si>
    <t>1440(60%)</t>
  </si>
  <si>
    <t>529/26856</t>
  </si>
  <si>
    <t>J612422</t>
  </si>
  <si>
    <t>แอมพ์ทรอน</t>
  </si>
  <si>
    <t>Volmeter AC96</t>
  </si>
  <si>
    <t>700(40+5%)</t>
  </si>
  <si>
    <t>AI</t>
  </si>
  <si>
    <t>61-11-3619</t>
  </si>
  <si>
    <t>611001493/1</t>
  </si>
  <si>
    <t>MPS.43S</t>
  </si>
  <si>
    <t>9050(50+10%)</t>
  </si>
  <si>
    <t>S202-C16</t>
  </si>
  <si>
    <t>715(50+10+5%)</t>
  </si>
  <si>
    <t>IV5111323</t>
  </si>
  <si>
    <t>76.50(54%)</t>
  </si>
  <si>
    <t>170.5(54%)</t>
  </si>
  <si>
    <t>229.2(54%)</t>
  </si>
  <si>
    <t>0.9(30%)</t>
  </si>
  <si>
    <t>T.LUG</t>
  </si>
  <si>
    <t>PYF-14A-E</t>
  </si>
  <si>
    <t>H3CR-A8</t>
  </si>
  <si>
    <t>PF083A-E</t>
  </si>
  <si>
    <t>118(50+2%)</t>
  </si>
  <si>
    <t>INV511811-3816</t>
  </si>
  <si>
    <t>J611381,1387</t>
  </si>
  <si>
    <t>RXM2LB2P7</t>
  </si>
  <si>
    <t>RXM4LB2P7</t>
  </si>
  <si>
    <t>INV511811-3815</t>
  </si>
  <si>
    <t>K1F027MLH</t>
  </si>
  <si>
    <t>1.56(40%)</t>
  </si>
  <si>
    <t>7.5(35+3%)</t>
  </si>
  <si>
    <t>VC-5 BR</t>
  </si>
  <si>
    <t>0.48(40%)</t>
  </si>
  <si>
    <t>VC-5 GY</t>
  </si>
  <si>
    <t>VC-8 BR</t>
  </si>
  <si>
    <t>VC-8 GY</t>
  </si>
  <si>
    <t>0.96(40%)</t>
  </si>
  <si>
    <t>VC-14 GY</t>
  </si>
  <si>
    <t>VC-22 BR</t>
  </si>
  <si>
    <t>1811IV049597</t>
  </si>
  <si>
    <t>K1F003MLH</t>
  </si>
  <si>
    <t>1300(59%)</t>
  </si>
  <si>
    <t>IV1100869</t>
  </si>
  <si>
    <t>M6X10TP</t>
  </si>
  <si>
    <t>1.1(10%)</t>
  </si>
  <si>
    <t>IV1100858</t>
  </si>
  <si>
    <t>M8x25</t>
  </si>
  <si>
    <t>1.39(35%)</t>
  </si>
  <si>
    <t>IV6103703</t>
  </si>
  <si>
    <t>4เส้น/3175.8</t>
  </si>
  <si>
    <t>IVN-2018-11-024</t>
  </si>
  <si>
    <t>แม็กซ์มาซิ</t>
  </si>
  <si>
    <t>PU FOAM A</t>
  </si>
  <si>
    <t>PU FOAM B</t>
  </si>
  <si>
    <t>WOOD PACKING</t>
  </si>
  <si>
    <t>SHIPPING</t>
  </si>
  <si>
    <t>IV16111-05680</t>
  </si>
  <si>
    <t>ไทยไพศาล</t>
  </si>
  <si>
    <t>M4X6JTSUS</t>
  </si>
  <si>
    <t>0.78(60%)</t>
  </si>
  <si>
    <t>IV6111-00639</t>
  </si>
  <si>
    <t>IV611220045</t>
  </si>
  <si>
    <t>ยามาเซ่น</t>
  </si>
  <si>
    <t>TTAT01SGLB</t>
  </si>
  <si>
    <t>IV6101159</t>
  </si>
  <si>
    <t>SURGE-T1+2</t>
  </si>
  <si>
    <t>49000(50+5+2%)</t>
  </si>
  <si>
    <t>380/18979</t>
  </si>
  <si>
    <t>BOX-LOI</t>
  </si>
  <si>
    <t>380/18978</t>
  </si>
  <si>
    <t>IV1100836</t>
  </si>
  <si>
    <t>M6x35TP</t>
  </si>
  <si>
    <t>2(10%)</t>
  </si>
  <si>
    <t>IV1100801</t>
  </si>
  <si>
    <t>DP12</t>
  </si>
  <si>
    <t>0.75(50%)</t>
  </si>
  <si>
    <t>SR12Z</t>
  </si>
  <si>
    <t>M5x10JP</t>
  </si>
  <si>
    <t>0.5(50%)</t>
  </si>
  <si>
    <t>IV6111210088</t>
  </si>
  <si>
    <t>IV6101151</t>
  </si>
  <si>
    <t>FUSE 4A</t>
  </si>
  <si>
    <t>FUSE 6A</t>
  </si>
  <si>
    <t>61-11-3318</t>
  </si>
  <si>
    <t>CT200/5</t>
  </si>
  <si>
    <t>170(25+5%)</t>
  </si>
  <si>
    <t>1811IV049171</t>
  </si>
  <si>
    <t>MNK209A</t>
  </si>
  <si>
    <t>2100(55%)</t>
  </si>
  <si>
    <t>MENNEKES</t>
  </si>
  <si>
    <t>IV18114943</t>
  </si>
  <si>
    <t>ควอลิเทค</t>
  </si>
  <si>
    <t>APW146D-R</t>
  </si>
  <si>
    <t>1260(65%)</t>
  </si>
  <si>
    <t>IDEC</t>
  </si>
  <si>
    <t>J612438</t>
  </si>
  <si>
    <t>APW146D-Y</t>
  </si>
  <si>
    <t>J612439</t>
  </si>
  <si>
    <t>APW146D-S</t>
  </si>
  <si>
    <t>1700(65%)</t>
  </si>
  <si>
    <t>CDT3519000519</t>
  </si>
  <si>
    <t>CDT3519000518</t>
  </si>
  <si>
    <t>2019-07301221</t>
  </si>
  <si>
    <t>INV6511901-0396</t>
  </si>
  <si>
    <t>ATS-29472</t>
  </si>
  <si>
    <t>UNIT-29352</t>
  </si>
  <si>
    <t>IV19010041</t>
  </si>
  <si>
    <t>PPM</t>
  </si>
  <si>
    <t>PAINT-200</t>
  </si>
  <si>
    <t>IV6201003</t>
  </si>
  <si>
    <t>สยามทรอลี่</t>
  </si>
  <si>
    <t>WHEEL-M03S</t>
  </si>
  <si>
    <t>IV03850</t>
  </si>
  <si>
    <t>SI-190100389</t>
  </si>
  <si>
    <t>INTER</t>
  </si>
  <si>
    <t>TM-1307-1</t>
  </si>
  <si>
    <t>280(40%)</t>
  </si>
  <si>
    <t>TEND</t>
  </si>
  <si>
    <t>TAP-Z</t>
  </si>
  <si>
    <t>36(40%)</t>
  </si>
  <si>
    <t>INV00181926</t>
  </si>
  <si>
    <t>PL</t>
  </si>
  <si>
    <t>IV0100095</t>
  </si>
  <si>
    <t>M6x10JP</t>
  </si>
  <si>
    <t>0.27(30%)</t>
  </si>
  <si>
    <t>SR5002/45422</t>
  </si>
  <si>
    <t>J612663-664</t>
  </si>
  <si>
    <t>เอ เอสโบล์ท</t>
  </si>
  <si>
    <t>M10x25SUS</t>
  </si>
  <si>
    <t>SN10SUS</t>
  </si>
  <si>
    <t>DP10SUS</t>
  </si>
  <si>
    <t>SR10SUS</t>
  </si>
  <si>
    <t>103/5114</t>
  </si>
  <si>
    <t>วัฒนาเปเปอร์</t>
  </si>
  <si>
    <t>ACC-กระดาษลูกฟูก</t>
  </si>
  <si>
    <t>42kg/ม้วน</t>
  </si>
  <si>
    <t>18/kg</t>
  </si>
  <si>
    <t>ยึดรั้วท่อประปา</t>
  </si>
  <si>
    <t>PHUK 3/8"</t>
  </si>
  <si>
    <t>M3/8"x2"</t>
  </si>
  <si>
    <t>IV6201018</t>
  </si>
  <si>
    <t>IV620001</t>
  </si>
  <si>
    <t>2019-07301064</t>
  </si>
  <si>
    <t>IV6201030042</t>
  </si>
  <si>
    <t>NI6Q</t>
  </si>
  <si>
    <t>1.02(35%)</t>
  </si>
  <si>
    <t>7.5(35%)</t>
  </si>
  <si>
    <t>IV6201001</t>
  </si>
  <si>
    <t>J612656</t>
  </si>
  <si>
    <t>เวอร์เซ็ท</t>
  </si>
  <si>
    <t>SURGE-STPT240</t>
  </si>
  <si>
    <t>MERSEN</t>
  </si>
  <si>
    <t>IV620105</t>
  </si>
  <si>
    <t>SRB 3x13</t>
  </si>
  <si>
    <t>IV19010151</t>
  </si>
  <si>
    <t>INV511901-0057</t>
  </si>
  <si>
    <t>J612661</t>
  </si>
  <si>
    <t>NSX2503P250A</t>
  </si>
  <si>
    <t>IV6200008</t>
  </si>
  <si>
    <t>10เส้น/888</t>
  </si>
  <si>
    <t>แผนกสี</t>
  </si>
  <si>
    <t>FAN-IW22M1</t>
  </si>
  <si>
    <t>HATARI</t>
  </si>
  <si>
    <t>62-01-0198</t>
  </si>
  <si>
    <t>A1N1253P30A</t>
  </si>
  <si>
    <t>3550(50+10+10+3%)</t>
  </si>
  <si>
    <t>A1N1252P30A</t>
  </si>
  <si>
    <t>2550(50+10+10+3%)</t>
  </si>
  <si>
    <t>CT30/5</t>
  </si>
  <si>
    <t>IV6200020</t>
  </si>
  <si>
    <t>6112001600/1</t>
  </si>
  <si>
    <t>แจกประจำปี</t>
  </si>
  <si>
    <t>ฟุ๊ตเวิร์ค</t>
  </si>
  <si>
    <t>SHOES-CB102</t>
  </si>
  <si>
    <t>mk2019-0038</t>
  </si>
  <si>
    <t>I003679808</t>
  </si>
  <si>
    <t>OFFICE</t>
  </si>
  <si>
    <t>เอ็กซ์เซลซิเออร์</t>
  </si>
  <si>
    <t>OFFICE-0215000</t>
  </si>
  <si>
    <t>OFFICE-0723055</t>
  </si>
  <si>
    <t>OFFICE-0723039</t>
  </si>
  <si>
    <t>PEPER</t>
  </si>
  <si>
    <t>OFFICE-0226022</t>
  </si>
  <si>
    <t>OFFICE-0219054</t>
  </si>
  <si>
    <t>IV16111-05043</t>
  </si>
  <si>
    <t>DP10HDG</t>
  </si>
  <si>
    <t>0.9(45%)</t>
  </si>
  <si>
    <t>NF1253P100A</t>
  </si>
  <si>
    <t>NF4003P400A</t>
  </si>
  <si>
    <t>17600(54%)</t>
  </si>
  <si>
    <t>INV511811-3323</t>
  </si>
  <si>
    <t>XB7EV04MP</t>
  </si>
  <si>
    <t>XB7EV06MP</t>
  </si>
  <si>
    <t>XB7EV03MP</t>
  </si>
  <si>
    <t>CIS0001/0393171</t>
  </si>
  <si>
    <t>J612425-427</t>
  </si>
  <si>
    <t>แสงชัยมิเตอร์</t>
  </si>
  <si>
    <t>SF4B-H20G</t>
  </si>
  <si>
    <t>MS-SF4BG-1</t>
  </si>
  <si>
    <t>SFB-CCB7</t>
  </si>
  <si>
    <t>SI1811075779</t>
  </si>
  <si>
    <t>ซีโอแอล</t>
  </si>
  <si>
    <t>OFFICE-2490590</t>
  </si>
  <si>
    <t>OFFICE-4000023</t>
  </si>
  <si>
    <t>CN511811-0073</t>
  </si>
  <si>
    <t>INV511811-1266</t>
  </si>
  <si>
    <t>LV510336</t>
  </si>
  <si>
    <t>ใบลดหนี้</t>
  </si>
  <si>
    <t>IV18/03701</t>
  </si>
  <si>
    <t>โชติวัฒน์ ฮาร์ดแวร์</t>
  </si>
  <si>
    <t>TAP2-M4</t>
  </si>
  <si>
    <t>TAP2-M5</t>
  </si>
  <si>
    <t>TAP2-M6</t>
  </si>
  <si>
    <t>TAP2-M8</t>
  </si>
  <si>
    <t>2018-07372457</t>
  </si>
  <si>
    <t>IV611145</t>
  </si>
  <si>
    <t>DI18112033</t>
  </si>
  <si>
    <t>J611678</t>
  </si>
  <si>
    <t>1140(60%0</t>
  </si>
  <si>
    <t>DI18112032</t>
  </si>
  <si>
    <t>DI18112031</t>
  </si>
  <si>
    <t>S202-C20</t>
  </si>
  <si>
    <t>715(60%)</t>
  </si>
  <si>
    <t>IV5111040</t>
  </si>
  <si>
    <t>2530(58%)</t>
  </si>
  <si>
    <t>IV5111039</t>
  </si>
  <si>
    <t xml:space="preserve"> </t>
  </si>
  <si>
    <t>389/19446</t>
  </si>
  <si>
    <t>Paint-1186</t>
  </si>
  <si>
    <t>ซ่อมเครื่องพับ</t>
  </si>
  <si>
    <t>Z-15GQ22-B</t>
  </si>
  <si>
    <t>522(50+2%)</t>
  </si>
  <si>
    <t>DI19010399</t>
  </si>
  <si>
    <t>1940(50%)</t>
  </si>
  <si>
    <t>SI-190100517</t>
  </si>
  <si>
    <t>IV1901039</t>
  </si>
  <si>
    <t>SI0453870</t>
  </si>
  <si>
    <t>PMV25</t>
  </si>
  <si>
    <t>1260(30+5%)</t>
  </si>
  <si>
    <t>ประกอบ</t>
  </si>
  <si>
    <t>GSB16RE</t>
  </si>
  <si>
    <t>CRC-CONTACT</t>
  </si>
  <si>
    <t>2019-00009</t>
  </si>
  <si>
    <t>โบลฮอฟฟ์</t>
  </si>
  <si>
    <t>RIVKLE-P2007</t>
  </si>
  <si>
    <t>MANDREL-M6</t>
  </si>
  <si>
    <t>MANDREL-M8</t>
  </si>
  <si>
    <t>ANVIL D6</t>
  </si>
  <si>
    <t>ANVIL D8</t>
  </si>
  <si>
    <t>389/19447</t>
  </si>
  <si>
    <t>ACC-สายยาง 2"</t>
  </si>
  <si>
    <t>ACC-แค้มรัดสาย 2"</t>
  </si>
  <si>
    <t>IV19010022</t>
  </si>
  <si>
    <t>เอ็นเอสซี เม็ททอล จำกัด</t>
  </si>
  <si>
    <t>153/10235</t>
  </si>
  <si>
    <t>J612029</t>
  </si>
  <si>
    <t>SI1901026275</t>
  </si>
  <si>
    <t>OFFICE-0003105</t>
  </si>
  <si>
    <t>OFFICE-0325970</t>
  </si>
  <si>
    <t>OFFICE-0003106</t>
  </si>
  <si>
    <t>IHV0100099</t>
  </si>
  <si>
    <t>M6x20</t>
  </si>
  <si>
    <t>0.66(35%)</t>
  </si>
  <si>
    <t>M6x25</t>
  </si>
  <si>
    <t>0.76(35%)</t>
  </si>
  <si>
    <t>SR8Z</t>
  </si>
  <si>
    <t>0.15(50%)</t>
  </si>
  <si>
    <t>SN8</t>
  </si>
  <si>
    <t>0.72(50%)</t>
  </si>
  <si>
    <t>M5x8JT</t>
  </si>
  <si>
    <t>0.22 NET</t>
  </si>
  <si>
    <t>SNDP5</t>
  </si>
  <si>
    <t>0.4(40%)</t>
  </si>
  <si>
    <t>SNDP8</t>
  </si>
  <si>
    <t>0.9(40%)</t>
  </si>
  <si>
    <t>M5x10JF</t>
  </si>
  <si>
    <t>0.13NET</t>
  </si>
  <si>
    <t>M10x30</t>
  </si>
  <si>
    <t>2.59(35%)</t>
  </si>
  <si>
    <t>M10x35</t>
  </si>
  <si>
    <t>2.84(35%)</t>
  </si>
  <si>
    <t>SN10</t>
  </si>
  <si>
    <t>1.5(50%)</t>
  </si>
  <si>
    <t>M12x35</t>
  </si>
  <si>
    <t>4.05(35%)</t>
  </si>
  <si>
    <t>M12x45</t>
  </si>
  <si>
    <t>5.06(35%)</t>
  </si>
  <si>
    <t>M8x20</t>
  </si>
  <si>
    <t>1.23(35%)</t>
  </si>
  <si>
    <t>DP8</t>
  </si>
  <si>
    <t>0.18(50%)</t>
  </si>
  <si>
    <t>SNDP6</t>
  </si>
  <si>
    <t>0.45(40%)</t>
  </si>
  <si>
    <t>M12x40</t>
  </si>
  <si>
    <t>4.4(35%)</t>
  </si>
  <si>
    <t>MEC-620033</t>
  </si>
  <si>
    <t>6112001698/1</t>
  </si>
  <si>
    <t>ออกแบบ</t>
  </si>
  <si>
    <t>แอพพลิแคต</t>
  </si>
  <si>
    <t>SMS0022-3</t>
  </si>
  <si>
    <t>SWS0001-3</t>
  </si>
  <si>
    <t>DISCOUNT</t>
  </si>
  <si>
    <t>mk2019-0197</t>
  </si>
  <si>
    <t>J2651-2654</t>
  </si>
  <si>
    <t>powder90079</t>
  </si>
  <si>
    <t>RIP19-011001</t>
  </si>
  <si>
    <t>Gas</t>
  </si>
  <si>
    <t>ty-08704</t>
  </si>
  <si>
    <t>ธัญญะโลหภัณฑ์</t>
  </si>
  <si>
    <t>EBM12</t>
  </si>
  <si>
    <t>INV00182021</t>
  </si>
  <si>
    <t>290.05(40%)</t>
  </si>
  <si>
    <t>IV6200128</t>
  </si>
  <si>
    <t>10เส้น/216</t>
  </si>
  <si>
    <t>SI-190101239</t>
  </si>
  <si>
    <t>28(35+3%)</t>
  </si>
  <si>
    <t>INV511901-1092</t>
  </si>
  <si>
    <t>LV432876</t>
  </si>
  <si>
    <t>INV511901-1192</t>
  </si>
  <si>
    <t>ATS800-1600</t>
  </si>
  <si>
    <t>CIS0001/0397096</t>
  </si>
  <si>
    <t>SWITCH-FT3</t>
  </si>
  <si>
    <t>T118A</t>
  </si>
  <si>
    <t>DIV19010493</t>
  </si>
  <si>
    <t>เครื่อง BUSBAR</t>
  </si>
  <si>
    <t>สุไทโยลู้ป</t>
  </si>
  <si>
    <t>MOBIL-H46</t>
  </si>
  <si>
    <t>CIS0001/0397309</t>
  </si>
  <si>
    <t>MULTIMETER-1051</t>
  </si>
  <si>
    <t>IV0100246</t>
  </si>
  <si>
    <t>IV2010214</t>
  </si>
  <si>
    <t>เอ็ม เอส สวิทช์บอร์ด</t>
  </si>
  <si>
    <t>LSVF011</t>
  </si>
  <si>
    <t>200(35+2%)</t>
  </si>
  <si>
    <t>SE6201143</t>
  </si>
  <si>
    <t>ไทยเครื่องชั่ง</t>
  </si>
  <si>
    <t>SV-DI81P</t>
  </si>
  <si>
    <t>391/19517</t>
  </si>
  <si>
    <t>BOSCH7-100</t>
  </si>
  <si>
    <t>ACC-ไม้กวาดอ่อน</t>
  </si>
  <si>
    <t>ACC-เทปพันเกลียว</t>
  </si>
  <si>
    <t>IV5111038</t>
  </si>
  <si>
    <t>INV511811-2941</t>
  </si>
  <si>
    <t>J61242-2427</t>
  </si>
  <si>
    <t>XB7EV05MP</t>
  </si>
  <si>
    <t>LRD08</t>
  </si>
  <si>
    <t>ZB4BG2</t>
  </si>
  <si>
    <t>IV614488</t>
  </si>
  <si>
    <t>ประตูรั่ว PC</t>
  </si>
  <si>
    <t>เซ็นทรัล คาสเตอร์</t>
  </si>
  <si>
    <t>WHEEL-SX2P100</t>
  </si>
  <si>
    <t>WHEEL-FX2P100</t>
  </si>
  <si>
    <t>IV1100703</t>
  </si>
  <si>
    <t>ชุดล้อซุปเปอร์ลีน</t>
  </si>
  <si>
    <t>DP4Z</t>
  </si>
  <si>
    <t>0.1(50%)</t>
  </si>
  <si>
    <t>SN4Z</t>
  </si>
  <si>
    <t>0.5(40%)</t>
  </si>
  <si>
    <t>RIP18-111702</t>
  </si>
  <si>
    <t>SI-181102240</t>
  </si>
  <si>
    <t>160(40+3%)</t>
  </si>
  <si>
    <t>J612425-2427</t>
  </si>
  <si>
    <t>H7EC-N</t>
  </si>
  <si>
    <t>2500(50+2%)</t>
  </si>
  <si>
    <t>LY4N</t>
  </si>
  <si>
    <t>630(50+2%)</t>
  </si>
  <si>
    <t>PTF14A-E</t>
  </si>
  <si>
    <t>320(50+2%)</t>
  </si>
  <si>
    <t>MKS2P</t>
  </si>
  <si>
    <t>IV6111-01592</t>
  </si>
  <si>
    <t>WEG-7903</t>
  </si>
  <si>
    <t>350(20+8%)</t>
  </si>
  <si>
    <t>INV00182144</t>
  </si>
  <si>
    <t>กิจกรรม PC</t>
  </si>
  <si>
    <t xml:space="preserve">LED-9W </t>
  </si>
  <si>
    <t>INV511901-1993</t>
  </si>
  <si>
    <t>J.612374-375,0078</t>
  </si>
  <si>
    <t>XB7ND21</t>
  </si>
  <si>
    <t>XB7ND33</t>
  </si>
  <si>
    <t>IV19012594</t>
  </si>
  <si>
    <t>J611690</t>
  </si>
  <si>
    <t>TIMER-MIL72E</t>
  </si>
  <si>
    <t>3700(55%)</t>
  </si>
  <si>
    <t>GRASSLIN</t>
  </si>
  <si>
    <t>INV51190-1770</t>
  </si>
  <si>
    <t>J620075</t>
  </si>
  <si>
    <t>GV2L22</t>
  </si>
  <si>
    <t>GVAD1010</t>
  </si>
  <si>
    <t>62-01-1690</t>
  </si>
  <si>
    <t>5190(50+10+5%)</t>
  </si>
  <si>
    <t>IV6201160007</t>
  </si>
  <si>
    <t>391/19530</t>
  </si>
  <si>
    <t>ACC-ขันน้ำ</t>
  </si>
  <si>
    <t>KKT2019-006</t>
  </si>
  <si>
    <t>เครื่องพิมพ์เอนกประสงค์</t>
  </si>
  <si>
    <t>เกียกโกะ(ไทยแลนด์)</t>
  </si>
  <si>
    <t>AN-PUNCH</t>
  </si>
  <si>
    <t>AN-DIE</t>
  </si>
  <si>
    <t>AH-PUNCH&amp;DIE</t>
  </si>
  <si>
    <t>AH PUNCH</t>
  </si>
  <si>
    <t>AH-UROTHANC</t>
  </si>
  <si>
    <t>AH-SPRING</t>
  </si>
  <si>
    <t>SI62/00027</t>
  </si>
  <si>
    <t>สอบเทียบเครื่องมือ</t>
  </si>
  <si>
    <t>พรีซิชั่น สแตนดาร์ส</t>
  </si>
  <si>
    <t>DM-006</t>
  </si>
  <si>
    <t>700(10%)</t>
  </si>
  <si>
    <t>TQ-001</t>
  </si>
  <si>
    <t>1200(10%)</t>
  </si>
  <si>
    <t>EL-049</t>
  </si>
  <si>
    <t>2500(10%)</t>
  </si>
  <si>
    <t>EL-114</t>
  </si>
  <si>
    <t>2000(10%)</t>
  </si>
  <si>
    <t>EL-152</t>
  </si>
  <si>
    <t>IV0100515</t>
  </si>
  <si>
    <t>SN5Z</t>
  </si>
  <si>
    <t>IV62000059</t>
  </si>
  <si>
    <t>J612375</t>
  </si>
  <si>
    <t>OMRON</t>
  </si>
  <si>
    <t>IV19012858</t>
  </si>
  <si>
    <t>J612374</t>
  </si>
  <si>
    <t>DI19010880</t>
  </si>
  <si>
    <t>PLANNING</t>
  </si>
  <si>
    <t>INTERLOCK-E2.2</t>
  </si>
  <si>
    <t>48600(61%)</t>
  </si>
  <si>
    <t>DI19011331</t>
  </si>
  <si>
    <t>6201000080/1</t>
  </si>
  <si>
    <t>J612375,0078</t>
  </si>
  <si>
    <t>S202-C10</t>
  </si>
  <si>
    <t>S203-C16</t>
  </si>
  <si>
    <t>2150(60%)</t>
  </si>
  <si>
    <t>AF09-30-10</t>
  </si>
  <si>
    <t>735(57.25%)</t>
  </si>
  <si>
    <t>AF12-30-10</t>
  </si>
  <si>
    <t>895(57.25%)</t>
  </si>
  <si>
    <t>TF42-13</t>
  </si>
  <si>
    <t>1090(57.25%)</t>
  </si>
  <si>
    <t>CT-ERE</t>
  </si>
  <si>
    <t>2600(57.25%)</t>
  </si>
  <si>
    <t>VEM4</t>
  </si>
  <si>
    <t>1300(57.25%)</t>
  </si>
  <si>
    <t>CA4-01</t>
  </si>
  <si>
    <t>175(57.25%)</t>
  </si>
  <si>
    <t>TF42-1.0</t>
  </si>
  <si>
    <t>980(57.25%)</t>
  </si>
  <si>
    <t>TF42-2.3</t>
  </si>
  <si>
    <t>TF42-3.1</t>
  </si>
  <si>
    <t>62-01-1994</t>
  </si>
  <si>
    <t>J620078,2375</t>
  </si>
  <si>
    <t>TF42-0.74</t>
  </si>
  <si>
    <t>980(50+10+3%)</t>
  </si>
  <si>
    <t>S203-C50</t>
  </si>
  <si>
    <t>2800(50+10%)</t>
  </si>
  <si>
    <t>1108/55394</t>
  </si>
  <si>
    <t>J620109</t>
  </si>
  <si>
    <t>PAINT-MIX</t>
  </si>
  <si>
    <t>#A469</t>
  </si>
  <si>
    <t>U20190011120</t>
  </si>
  <si>
    <t>6201000078/1</t>
  </si>
  <si>
    <t>TH-T18 2.1A</t>
  </si>
  <si>
    <t>620(50%)</t>
  </si>
  <si>
    <t>TH-T18 3.6A</t>
  </si>
  <si>
    <t>392/19577</t>
  </si>
  <si>
    <t>ทาพื้น PC</t>
  </si>
  <si>
    <t>PAINT-1156</t>
  </si>
  <si>
    <t>392/19593</t>
  </si>
  <si>
    <t>IV62-010007</t>
  </si>
  <si>
    <t>เปลี่ยนไลน์พ่นสี</t>
  </si>
  <si>
    <t>เผิง เอ็นเตอร์ไพร์ส</t>
  </si>
  <si>
    <t>ACC-โซ่ 5ตัน</t>
  </si>
  <si>
    <t>ACC-วายแฮงเกอร์</t>
  </si>
  <si>
    <t>CDT3519003766</t>
  </si>
  <si>
    <t>J620039</t>
  </si>
  <si>
    <t>CT1600/5 BIG</t>
  </si>
  <si>
    <t>590(25+5%)</t>
  </si>
  <si>
    <t>BIG ONE</t>
  </si>
  <si>
    <t>CT400/5 BIG</t>
  </si>
  <si>
    <t>CT250/5 BIG</t>
  </si>
  <si>
    <t>IV0214358</t>
  </si>
  <si>
    <t>เอ็น เอ เอส อีควิปเม้นท์</t>
  </si>
  <si>
    <t>TOOL-AI4161</t>
  </si>
  <si>
    <t>9350(20%)</t>
  </si>
  <si>
    <t>TONE</t>
  </si>
  <si>
    <t>IV6200415</t>
  </si>
  <si>
    <t>ออกไซส์งาน</t>
  </si>
  <si>
    <t xml:space="preserve">ไอบีคอน </t>
  </si>
  <si>
    <t>MYD013-15W</t>
  </si>
  <si>
    <t>IV0012582</t>
  </si>
  <si>
    <t>ซันนี่ ทูลส์</t>
  </si>
  <si>
    <t>MD</t>
  </si>
  <si>
    <t>IV0012559</t>
  </si>
  <si>
    <t>PC-001-1</t>
  </si>
  <si>
    <t>IV0012580</t>
  </si>
  <si>
    <t>J620061-63</t>
  </si>
  <si>
    <t>CDT3519004715</t>
  </si>
  <si>
    <t>153/10287</t>
  </si>
  <si>
    <t>mk2019-0548</t>
  </si>
  <si>
    <t>BACKING-PSA125</t>
  </si>
  <si>
    <t>IV6201240076</t>
  </si>
  <si>
    <t>Sista</t>
  </si>
  <si>
    <t>IV6200251</t>
  </si>
  <si>
    <t>J62007</t>
  </si>
  <si>
    <t>2เส้น/240</t>
  </si>
  <si>
    <t>IV6201-00606</t>
  </si>
  <si>
    <t>IV6201230029</t>
  </si>
  <si>
    <t>2019-07302446</t>
  </si>
  <si>
    <t>LV0008641</t>
  </si>
  <si>
    <t>แอลวี เอ็นจิเนียริ่ง</t>
  </si>
  <si>
    <t>LV0008636</t>
  </si>
  <si>
    <t>49.3(53%)</t>
  </si>
  <si>
    <t>INV511901-2731</t>
  </si>
  <si>
    <t>AUX-29450</t>
  </si>
  <si>
    <t>29-1-19</t>
  </si>
  <si>
    <t>IV2019011</t>
  </si>
  <si>
    <t>FAST</t>
  </si>
  <si>
    <t>STUDM4X10</t>
  </si>
  <si>
    <t>STUDM4X25</t>
  </si>
  <si>
    <t>S20190010348</t>
  </si>
  <si>
    <t>J620137</t>
  </si>
  <si>
    <t>สงวนชัยกิจไพศาล</t>
  </si>
  <si>
    <t>MF-33E 1P 2W</t>
  </si>
  <si>
    <t>2000(50+5%)</t>
  </si>
  <si>
    <t>IV6010669</t>
  </si>
  <si>
    <t>CVV 10x1.5</t>
  </si>
  <si>
    <t>140.4(49%)</t>
  </si>
  <si>
    <t>CVV 7x1.5</t>
  </si>
  <si>
    <t>94.3(49%)</t>
  </si>
  <si>
    <t>43.9(54%)</t>
  </si>
  <si>
    <t>INV511901-2716</t>
  </si>
  <si>
    <t>J620101</t>
  </si>
  <si>
    <t>19-01-00086</t>
  </si>
  <si>
    <t>TUBE</t>
  </si>
  <si>
    <t>5 USD</t>
  </si>
  <si>
    <t>FB0912</t>
  </si>
  <si>
    <t>5.5 USD</t>
  </si>
  <si>
    <t>IV19010050</t>
  </si>
  <si>
    <t>J620087</t>
  </si>
  <si>
    <t>สยามไทยอินเตอร์</t>
  </si>
  <si>
    <t>powder-2049A</t>
  </si>
  <si>
    <t>URT201901005</t>
  </si>
  <si>
    <t>IV6201-02286</t>
  </si>
  <si>
    <t>SM-20BR</t>
  </si>
  <si>
    <t>IV6200169</t>
  </si>
  <si>
    <t>SO1</t>
  </si>
  <si>
    <t>RTP19-012902</t>
  </si>
  <si>
    <t>powder08019</t>
  </si>
  <si>
    <t>1109/55426</t>
  </si>
  <si>
    <t>#A504 สีส้ม</t>
  </si>
  <si>
    <t>A505</t>
  </si>
  <si>
    <t>IV6201310022</t>
  </si>
  <si>
    <t>IV6202010044</t>
  </si>
  <si>
    <t>WEG-6801K</t>
  </si>
  <si>
    <t>22(20+8%)</t>
  </si>
  <si>
    <t>IV620209</t>
  </si>
  <si>
    <t>DIV19020041</t>
  </si>
  <si>
    <t>CNC</t>
  </si>
  <si>
    <t>MOBIL-H32</t>
  </si>
  <si>
    <t>INV511901-2950</t>
  </si>
  <si>
    <t>J620043</t>
  </si>
  <si>
    <t>WEG-5001K</t>
  </si>
  <si>
    <t>38(20+8%)</t>
  </si>
  <si>
    <t>SI-190102885</t>
  </si>
  <si>
    <t>2019-07308107</t>
  </si>
  <si>
    <t>J620061</t>
  </si>
  <si>
    <t>1902IV004308</t>
  </si>
  <si>
    <t>265(59%)</t>
  </si>
  <si>
    <t>IV6200348</t>
  </si>
  <si>
    <t>J620088</t>
  </si>
  <si>
    <t>238/kg</t>
  </si>
  <si>
    <t>แอ็ดวานซ์ อินน๊อกซ์</t>
  </si>
  <si>
    <t>BUSH E1</t>
  </si>
  <si>
    <t>IV0200110</t>
  </si>
  <si>
    <t>INV511901-2940</t>
  </si>
  <si>
    <t>GV2ME08</t>
  </si>
  <si>
    <t>INV6201/0348</t>
  </si>
  <si>
    <t>6201000058/1</t>
  </si>
  <si>
    <t>PC-001</t>
  </si>
  <si>
    <t>IV0200122</t>
  </si>
  <si>
    <t>PN5</t>
  </si>
  <si>
    <t>PN6</t>
  </si>
  <si>
    <t>IV0200017</t>
  </si>
  <si>
    <t>6112001685/1</t>
  </si>
  <si>
    <t>M6x10</t>
  </si>
  <si>
    <t>1.10(10%)</t>
  </si>
  <si>
    <t>IV0200013</t>
  </si>
  <si>
    <t>M4x10JT</t>
  </si>
  <si>
    <t>0.13(20%)</t>
  </si>
  <si>
    <t>M6x10JT</t>
  </si>
  <si>
    <t>0.27(20%)</t>
  </si>
  <si>
    <t>M6x15JT</t>
  </si>
  <si>
    <t>0.32(20%)</t>
  </si>
  <si>
    <t>M6x35JT</t>
  </si>
  <si>
    <t>0.54(30%)</t>
  </si>
  <si>
    <t>INV511901-3315</t>
  </si>
  <si>
    <t>SDCS16</t>
  </si>
  <si>
    <t>QO250VSC10T</t>
  </si>
  <si>
    <t>QO116VSC6PT</t>
  </si>
  <si>
    <t>QO125VSC6T</t>
  </si>
  <si>
    <t>IV62022</t>
  </si>
  <si>
    <t>ร่วมเจริญ เอ็นจิเนียริ่ง</t>
  </si>
  <si>
    <t>STUDSNM3X12</t>
  </si>
  <si>
    <t>IV0200069</t>
  </si>
  <si>
    <t>0.17(50%)</t>
  </si>
  <si>
    <t>SR4Z</t>
  </si>
  <si>
    <t>0.11(50%)</t>
  </si>
  <si>
    <t>M4x10JF</t>
  </si>
  <si>
    <t>0.13(30%)</t>
  </si>
  <si>
    <t>M10x40</t>
  </si>
  <si>
    <t>3.3(35%)</t>
  </si>
  <si>
    <t>M10x55</t>
  </si>
  <si>
    <t>4.33(35%)</t>
  </si>
  <si>
    <t>M12x50</t>
  </si>
  <si>
    <t>5.47(35%)</t>
  </si>
  <si>
    <t>LN4</t>
  </si>
  <si>
    <t>M10x20</t>
  </si>
  <si>
    <t>2.18(35%)</t>
  </si>
  <si>
    <t>M10x50</t>
  </si>
  <si>
    <t>3.95(35%)</t>
  </si>
  <si>
    <t>TY-08709</t>
  </si>
  <si>
    <t>SR4x10</t>
  </si>
  <si>
    <t>62-01-3026</t>
  </si>
  <si>
    <t>1902IV004312</t>
  </si>
  <si>
    <t>ซ่อมระบบไฟฟ้า</t>
  </si>
  <si>
    <t>MNK1385</t>
  </si>
  <si>
    <t>I00372235</t>
  </si>
  <si>
    <t>OFFICE-0220064</t>
  </si>
  <si>
    <t>OFFICE-0226021</t>
  </si>
  <si>
    <t>OFFICE-0412008</t>
  </si>
  <si>
    <t>OFFICE-0131282</t>
  </si>
  <si>
    <t>IV6201/097</t>
  </si>
  <si>
    <t>เทสล่า เพาเวอร์ จำกัด</t>
  </si>
  <si>
    <t>TR-2822</t>
  </si>
  <si>
    <t>SJ FAST</t>
  </si>
  <si>
    <t>STUDM4x10</t>
  </si>
  <si>
    <t>STUDM4x25</t>
  </si>
  <si>
    <t>2562-018</t>
  </si>
  <si>
    <t>พนักงานใหม่</t>
  </si>
  <si>
    <t>โปโลดีดี</t>
  </si>
  <si>
    <t>SHIRTS</t>
  </si>
  <si>
    <t>BKK2562-533</t>
  </si>
  <si>
    <t xml:space="preserve">เจมินี่ </t>
  </si>
  <si>
    <t>NCL500-5.0</t>
  </si>
  <si>
    <t>IV1990105</t>
  </si>
  <si>
    <t>ซีไมเนอร์</t>
  </si>
  <si>
    <t>394/19700</t>
  </si>
  <si>
    <t>ARS-18101018</t>
  </si>
  <si>
    <t>AP100</t>
  </si>
  <si>
    <t>อะมะดะ</t>
  </si>
  <si>
    <t>SERVICE-ONSITE</t>
  </si>
  <si>
    <t>INSTALL-AP100</t>
  </si>
  <si>
    <t>TIV6201222</t>
  </si>
  <si>
    <t>ระบบลมใช้ประกอบ</t>
  </si>
  <si>
    <t>เพอร์ฟอร์แม็ก เทรดดิ้ง</t>
  </si>
  <si>
    <t>FILTER-C4020</t>
  </si>
  <si>
    <t>ทีซี คอมพิวเตอร์</t>
  </si>
  <si>
    <t>OFFICE-ใบเสร็จ</t>
  </si>
  <si>
    <t>INV6201/0132</t>
  </si>
  <si>
    <t>SP780</t>
  </si>
  <si>
    <t>SP880</t>
  </si>
  <si>
    <t>SP930</t>
  </si>
  <si>
    <t>SP1210</t>
  </si>
  <si>
    <t>SP980</t>
  </si>
  <si>
    <t>SP1060</t>
  </si>
  <si>
    <t>SP400</t>
  </si>
  <si>
    <t>IV05617</t>
  </si>
  <si>
    <t>เครื่องมือแผนกไฟ</t>
  </si>
  <si>
    <t>แอดวานซ์ เพาเวอร์</t>
  </si>
  <si>
    <t>BROTHER</t>
  </si>
  <si>
    <t>TR-100</t>
  </si>
  <si>
    <t>ของแถม</t>
  </si>
  <si>
    <t>BS TECH</t>
  </si>
  <si>
    <t>THE BAG</t>
  </si>
  <si>
    <t xml:space="preserve">GIFT </t>
  </si>
  <si>
    <t>128/6380</t>
  </si>
  <si>
    <t xml:space="preserve">แต้แซฮวด </t>
  </si>
  <si>
    <t>SP50</t>
  </si>
  <si>
    <t>RTP19-020401</t>
  </si>
  <si>
    <t>HAKKO-130W</t>
  </si>
  <si>
    <t>IV620076</t>
  </si>
  <si>
    <t>IV62033</t>
  </si>
  <si>
    <t>STUDSNM3x12</t>
  </si>
  <si>
    <t>IV6202/21824</t>
  </si>
  <si>
    <t>ทรัพย์วิษณุ</t>
  </si>
  <si>
    <t>M3x20JP</t>
  </si>
  <si>
    <t>2019-07308305</t>
  </si>
  <si>
    <t>IN62020227</t>
  </si>
  <si>
    <t>keyLoCKER 262</t>
  </si>
  <si>
    <t>75(10%)</t>
  </si>
  <si>
    <t>IN62020223</t>
  </si>
  <si>
    <t>keyLOCKER 261</t>
  </si>
  <si>
    <t>O62020067</t>
  </si>
  <si>
    <t>IV6202-00196</t>
  </si>
  <si>
    <t>IV6202/239</t>
  </si>
  <si>
    <t>IV6202/240</t>
  </si>
  <si>
    <t>6201000130/1</t>
  </si>
  <si>
    <t>RV4</t>
  </si>
  <si>
    <t>IV6202/241</t>
  </si>
  <si>
    <t>RV5</t>
  </si>
  <si>
    <t>IV16202-02472</t>
  </si>
  <si>
    <t>SN10HDG</t>
  </si>
  <si>
    <t>2.3(45%)</t>
  </si>
  <si>
    <t>IV6202-01241</t>
  </si>
  <si>
    <t>IV6202-00291</t>
  </si>
  <si>
    <t>IV1902-074</t>
  </si>
  <si>
    <t>สิ้นเปลืองผลิต</t>
  </si>
  <si>
    <t>KEYC-30-MC4</t>
  </si>
  <si>
    <t>เอบีบี จำกัด</t>
  </si>
  <si>
    <t>SERVICE-ROBOT</t>
  </si>
  <si>
    <t>IV0200207</t>
  </si>
  <si>
    <t>M3x10JP</t>
  </si>
  <si>
    <t>M8x35</t>
  </si>
  <si>
    <t>1.84(35%)</t>
  </si>
  <si>
    <t>DO.033962</t>
  </si>
  <si>
    <t>C62-01001</t>
  </si>
  <si>
    <t>J620001</t>
  </si>
  <si>
    <t>สยามสตีล</t>
  </si>
  <si>
    <t>HOTDIP</t>
  </si>
  <si>
    <t>61F-G-AP</t>
  </si>
  <si>
    <t>F03-01-TH</t>
  </si>
  <si>
    <t>134(50+2%)</t>
  </si>
  <si>
    <t>PS-3S-AP</t>
  </si>
  <si>
    <t>680(50+2%)</t>
  </si>
  <si>
    <t>IV19020023</t>
  </si>
  <si>
    <t>J620207.208</t>
  </si>
  <si>
    <t>powderL4001</t>
  </si>
  <si>
    <t>powderP0001A</t>
  </si>
  <si>
    <t>IV0200398</t>
  </si>
  <si>
    <t>SN3Z</t>
  </si>
  <si>
    <t>IV2019017</t>
  </si>
  <si>
    <t>J620208</t>
  </si>
  <si>
    <t>J620194</t>
  </si>
  <si>
    <t>370(50+2%)</t>
  </si>
  <si>
    <t>3380(50+2%)</t>
  </si>
  <si>
    <t>RHB-230L</t>
  </si>
  <si>
    <t>MS-190</t>
  </si>
  <si>
    <t>900(55+5%)</t>
  </si>
  <si>
    <t>J620204</t>
  </si>
  <si>
    <t>CT150/5</t>
  </si>
  <si>
    <t>INV511902-1251</t>
  </si>
  <si>
    <t>IV0214767</t>
  </si>
  <si>
    <t>APS-125</t>
  </si>
  <si>
    <t>SL1902-0045</t>
  </si>
  <si>
    <t>Scott-bright</t>
  </si>
  <si>
    <t>IV6200304</t>
  </si>
  <si>
    <t>SHOES-CB800</t>
  </si>
  <si>
    <t>เบอร์36</t>
  </si>
  <si>
    <t>เบอร์37</t>
  </si>
  <si>
    <t>เบอร์38</t>
  </si>
  <si>
    <t>CB102-40</t>
  </si>
  <si>
    <t>KKT201902-008</t>
  </si>
  <si>
    <t>ซ่อม TOOLINK</t>
  </si>
  <si>
    <t>AN-SPRING</t>
  </si>
  <si>
    <t>IV6202018</t>
  </si>
  <si>
    <t>INV511902-1516</t>
  </si>
  <si>
    <t>EZC250F3125</t>
  </si>
  <si>
    <t>J620205</t>
  </si>
  <si>
    <t>EZC100N3060</t>
  </si>
  <si>
    <t>J620206</t>
  </si>
  <si>
    <t>EZC250F3150</t>
  </si>
  <si>
    <t>395-19742</t>
  </si>
  <si>
    <t>TAP-M3</t>
  </si>
  <si>
    <t>วรพล เวลดิ้ง</t>
  </si>
  <si>
    <t>ELR70S-HL08</t>
  </si>
  <si>
    <t>395-19743</t>
  </si>
  <si>
    <t>ACC-ข้อต่อคอปเปอร์</t>
  </si>
  <si>
    <t>084/4164</t>
  </si>
  <si>
    <t>ธนะทรัพย์ ทรานสปอร์ต</t>
  </si>
  <si>
    <t>ACC-หม้อแปลง</t>
  </si>
  <si>
    <t>ป้ายสมัครงาน</t>
  </si>
  <si>
    <t>ซีจี เจมส์ จำกัด</t>
  </si>
  <si>
    <t>ACC-ป้ายไวนิล</t>
  </si>
  <si>
    <t>BKK2562/693</t>
  </si>
  <si>
    <t>NCL500-4.0</t>
  </si>
  <si>
    <t>NCL500-9.0</t>
  </si>
  <si>
    <t>NCL500-10.0</t>
  </si>
  <si>
    <t>NCL500-2.2</t>
  </si>
  <si>
    <t>คราสส์เทค</t>
  </si>
  <si>
    <t>STUDM4x15</t>
  </si>
  <si>
    <t>1.53(10%)</t>
  </si>
  <si>
    <t>BL6202-00056</t>
  </si>
  <si>
    <t>คลังวัสดุก่อสร้าง</t>
  </si>
  <si>
    <t>ACC-ทรายหยาบ</t>
  </si>
  <si>
    <t>J620020</t>
  </si>
  <si>
    <t>KEYHL-027</t>
  </si>
  <si>
    <t>IV19020024</t>
  </si>
  <si>
    <t>ตู้น้ำมัน</t>
  </si>
  <si>
    <t>powderp9001A</t>
  </si>
  <si>
    <t>IV03976</t>
  </si>
  <si>
    <t>INV511902-1817</t>
  </si>
  <si>
    <t>J620115</t>
  </si>
  <si>
    <t>A9F74263</t>
  </si>
  <si>
    <t>IV6202130070</t>
  </si>
  <si>
    <t>IV62/0076</t>
  </si>
  <si>
    <t>J620152</t>
  </si>
  <si>
    <t>BUSHM10</t>
  </si>
  <si>
    <t>IV6202-0069</t>
  </si>
  <si>
    <t>1902IV006221</t>
  </si>
  <si>
    <t>6202000223/1</t>
  </si>
  <si>
    <t>A9N18362</t>
  </si>
  <si>
    <t>3850(52.5%)</t>
  </si>
  <si>
    <t>U20190020836</t>
  </si>
  <si>
    <t>ME96SSEA-MB</t>
  </si>
  <si>
    <t>397/19825</t>
  </si>
  <si>
    <t>ACC-สายยาง 5/8"</t>
  </si>
  <si>
    <t>IV6202-0257</t>
  </si>
  <si>
    <t>J620204+STOCK</t>
  </si>
  <si>
    <t>ไอเดีย ฟิลด์</t>
  </si>
  <si>
    <t>TL00/3</t>
  </si>
  <si>
    <t>1000(50%)</t>
  </si>
  <si>
    <t>NH00-125A</t>
  </si>
  <si>
    <t>130(50%)</t>
  </si>
  <si>
    <t>RIP19-021501</t>
  </si>
  <si>
    <t>33/1634</t>
  </si>
  <si>
    <t>เอส เอส สปริง</t>
  </si>
  <si>
    <t>Spring</t>
  </si>
  <si>
    <t>IV9020617</t>
  </si>
  <si>
    <t>อะไหล่ต๊าป</t>
  </si>
  <si>
    <t xml:space="preserve">ทรูเทค </t>
  </si>
  <si>
    <t>RUBBER FLEX</t>
  </si>
  <si>
    <t>1500(45+5%)</t>
  </si>
  <si>
    <t>6202/011</t>
  </si>
  <si>
    <t>com 2</t>
  </si>
  <si>
    <t>บีเอส สตีล</t>
  </si>
  <si>
    <t>COM</t>
  </si>
  <si>
    <t>lot 2</t>
  </si>
  <si>
    <t>6202/006</t>
  </si>
  <si>
    <t>com1</t>
  </si>
  <si>
    <t>lot 1</t>
  </si>
  <si>
    <t>IV6202200035</t>
  </si>
  <si>
    <t>TAP-4229</t>
  </si>
  <si>
    <t>IV19020286</t>
  </si>
  <si>
    <t>IV19020038</t>
  </si>
  <si>
    <t>J620207</t>
  </si>
  <si>
    <t>1110/55480</t>
  </si>
  <si>
    <t>A563</t>
  </si>
  <si>
    <t>IV0200648</t>
  </si>
  <si>
    <t>017(50%)</t>
  </si>
  <si>
    <t>P1902-24</t>
  </si>
  <si>
    <t>แอสวัน โปรเกรส</t>
  </si>
  <si>
    <t>GR-DIRUK</t>
  </si>
  <si>
    <t>DIRUK</t>
  </si>
  <si>
    <t>P1902-23</t>
  </si>
  <si>
    <t>6105000569/1</t>
  </si>
  <si>
    <t>33/1645</t>
  </si>
  <si>
    <t>SPRING-Z</t>
  </si>
  <si>
    <t>IN62020538</t>
  </si>
  <si>
    <t>IV-08727</t>
  </si>
  <si>
    <t>IV-08721</t>
  </si>
  <si>
    <t>IV-08731</t>
  </si>
  <si>
    <t>IV19020339</t>
  </si>
  <si>
    <t>แผนกเชื่อม</t>
  </si>
  <si>
    <t>TW20CX3-P</t>
  </si>
  <si>
    <t>LV0008695</t>
  </si>
  <si>
    <t>J620228</t>
  </si>
  <si>
    <t>IV6202/872</t>
  </si>
  <si>
    <t>STUDM5x10</t>
  </si>
  <si>
    <t>2019-07309493</t>
  </si>
  <si>
    <t>62/4601</t>
  </si>
  <si>
    <t>J620232</t>
  </si>
  <si>
    <t>กิตติเพิ่มพูน จำกัด</t>
  </si>
  <si>
    <t>KC-431</t>
  </si>
  <si>
    <t>KC-40341</t>
  </si>
  <si>
    <t>IV6202088</t>
  </si>
  <si>
    <t>SI-1902002433</t>
  </si>
  <si>
    <t>ACC-ผ้ากันเปื้อน</t>
  </si>
  <si>
    <t>IV620211</t>
  </si>
  <si>
    <t>พรวิษณุ</t>
  </si>
  <si>
    <t>GRAVOGRAPH</t>
  </si>
  <si>
    <t>ARS-18101349</t>
  </si>
  <si>
    <t>TOOL-AA501057</t>
  </si>
  <si>
    <t>SI1902074142</t>
  </si>
  <si>
    <t>OFFICE-5003896</t>
  </si>
  <si>
    <t>PART ROBOT</t>
  </si>
  <si>
    <t>อัลลายด์เทค</t>
  </si>
  <si>
    <t>TOOL-CLAMPING</t>
  </si>
  <si>
    <t>ไอ.ที.โซลูชั่น</t>
  </si>
  <si>
    <t>AUTODESK</t>
  </si>
  <si>
    <t>IV6200573</t>
  </si>
  <si>
    <t>10เส้น/1071</t>
  </si>
  <si>
    <t>SSH-114</t>
  </si>
  <si>
    <t>IV2019022</t>
  </si>
  <si>
    <t>STUDM4X10CLINCH</t>
  </si>
  <si>
    <t>1110/55492</t>
  </si>
  <si>
    <t>#A571 สีเทาดำ</t>
  </si>
  <si>
    <t>I00373927</t>
  </si>
  <si>
    <t>OFFICE-0116051</t>
  </si>
  <si>
    <t>OFFICE-0129063</t>
  </si>
  <si>
    <t>บริการตรวจเช็คเครน</t>
  </si>
  <si>
    <t>กรุงเทพผลิตเหล็ก</t>
  </si>
  <si>
    <t>SERVICE-CRANE</t>
  </si>
  <si>
    <t>399/19946</t>
  </si>
  <si>
    <t>ACC-ตะกั่วบัดกรี</t>
  </si>
  <si>
    <t>399/19942</t>
  </si>
  <si>
    <t>399/19943</t>
  </si>
  <si>
    <t>COUPLER-SP40</t>
  </si>
  <si>
    <t>COUPLER-PP40</t>
  </si>
  <si>
    <t>399/19944</t>
  </si>
  <si>
    <t>TOA-1000</t>
  </si>
  <si>
    <t>1110/55497</t>
  </si>
  <si>
    <t>A5631</t>
  </si>
  <si>
    <t>IV0200862</t>
  </si>
  <si>
    <t>STOCK ตู้น้ำมัน</t>
  </si>
  <si>
    <t>IV2019023</t>
  </si>
  <si>
    <t>IV19024715</t>
  </si>
  <si>
    <t>LM-IR300B</t>
  </si>
  <si>
    <t>550(55%)</t>
  </si>
  <si>
    <t>เพาว์เดอร์เทค</t>
  </si>
  <si>
    <t>FILTER-PE3</t>
  </si>
  <si>
    <t>IV6202250007</t>
  </si>
  <si>
    <t>mk20119-1215</t>
  </si>
  <si>
    <t>ขัดผิว</t>
  </si>
  <si>
    <t>TOOL-เครื่องขัดลม</t>
  </si>
  <si>
    <t>IV062020063</t>
  </si>
  <si>
    <t>J620267</t>
  </si>
  <si>
    <t>เฮงหลี ชุนกี่</t>
  </si>
  <si>
    <t xml:space="preserve">PY20PS </t>
  </si>
  <si>
    <t>GT-INTER 1</t>
  </si>
  <si>
    <t>GT-INTER 2</t>
  </si>
  <si>
    <t>IV6200403</t>
  </si>
  <si>
    <t>จี แอนด์ อาร์ ฟินิชซิ่ง</t>
  </si>
  <si>
    <t>G90-1006485</t>
  </si>
  <si>
    <t>372(10%)</t>
  </si>
  <si>
    <t>DINV19/02/0411</t>
  </si>
  <si>
    <t>ซีพีที ไดร์ แอนด์ เพาเวอร์</t>
  </si>
  <si>
    <t>IV0000023</t>
  </si>
  <si>
    <t>ตั้งเมฆา</t>
  </si>
  <si>
    <t>BGRFG-001</t>
  </si>
  <si>
    <t>PCB6200053</t>
  </si>
  <si>
    <t>วงศ์ธนาวุฒ</t>
  </si>
  <si>
    <t>TOOL-AFAB</t>
  </si>
  <si>
    <t>INV62-02-078</t>
  </si>
  <si>
    <t>ซี.พี โมเดลแอนด์ซายน์</t>
  </si>
  <si>
    <t>UV-201.9</t>
  </si>
  <si>
    <t>UV-170.4</t>
  </si>
  <si>
    <t>UV-107</t>
  </si>
  <si>
    <t>UV-170</t>
  </si>
  <si>
    <t>UV-210</t>
  </si>
  <si>
    <t>IV-08733</t>
  </si>
  <si>
    <t>M6x35HT</t>
  </si>
  <si>
    <t>IV6203010005</t>
  </si>
  <si>
    <t>INV511903-0102</t>
  </si>
  <si>
    <t>J620245+STOCK</t>
  </si>
  <si>
    <t>PM2230</t>
  </si>
  <si>
    <t>7800(58%)</t>
  </si>
  <si>
    <t>IV19030001</t>
  </si>
  <si>
    <t>IV620125</t>
  </si>
  <si>
    <t>20โหล/30</t>
  </si>
  <si>
    <t>I62/000384</t>
  </si>
  <si>
    <t>BT-10</t>
  </si>
  <si>
    <t>IV0300010</t>
  </si>
  <si>
    <t>IV0300003</t>
  </si>
  <si>
    <t>6112001686/1</t>
  </si>
  <si>
    <t>RIP19-022801</t>
  </si>
  <si>
    <t>IV0201009</t>
  </si>
  <si>
    <t>T19119</t>
  </si>
  <si>
    <t xml:space="preserve">เจเอ็นพี เอ็นจิเนียริ่ง </t>
  </si>
  <si>
    <t>STUDSNM3X12CLINCH</t>
  </si>
  <si>
    <t>IV6203020049</t>
  </si>
  <si>
    <t>IV6202090</t>
  </si>
  <si>
    <t>157(10%)</t>
  </si>
  <si>
    <t>KEYAB-301</t>
  </si>
  <si>
    <t>IV6202260017</t>
  </si>
  <si>
    <t>IV2019024</t>
  </si>
  <si>
    <t>J620225</t>
  </si>
  <si>
    <t>IV1902-4815</t>
  </si>
  <si>
    <t>IV2019026</t>
  </si>
  <si>
    <t>I62/000458</t>
  </si>
  <si>
    <t>1111-55502</t>
  </si>
  <si>
    <t>ACC-กาพ่นสี</t>
  </si>
  <si>
    <t>#A563 สีขาว</t>
  </si>
  <si>
    <t>1111-55522</t>
  </si>
  <si>
    <t>A571 สีเทาดำ</t>
  </si>
  <si>
    <t>A504สีส้ม</t>
  </si>
  <si>
    <t>1111-55518</t>
  </si>
  <si>
    <t>IV0000031</t>
  </si>
  <si>
    <t>ห่อตู้น้ำมัน</t>
  </si>
  <si>
    <t>401/20032</t>
  </si>
  <si>
    <t>J620293</t>
  </si>
  <si>
    <t xml:space="preserve">CT400/5 </t>
  </si>
  <si>
    <t>SA16-4-B13</t>
  </si>
  <si>
    <t>320(50%)</t>
  </si>
  <si>
    <t>SA16-7-B13</t>
  </si>
  <si>
    <t>360(50%)</t>
  </si>
  <si>
    <t>106/5254</t>
  </si>
  <si>
    <t>N6202-00014</t>
  </si>
  <si>
    <t>รถโฟล์คลิฟท์</t>
  </si>
  <si>
    <t>เอส ซี เทคนิคอล</t>
  </si>
  <si>
    <t>BAT-GSN70</t>
  </si>
  <si>
    <t>BAT-N70</t>
  </si>
  <si>
    <t>INV511903-0631</t>
  </si>
  <si>
    <t>200(59%)</t>
  </si>
  <si>
    <t>CDT3519014125</t>
  </si>
  <si>
    <t>IV6200393</t>
  </si>
  <si>
    <t>IV0012682</t>
  </si>
  <si>
    <t>IN62030156</t>
  </si>
  <si>
    <t>IN62030155</t>
  </si>
  <si>
    <t>75(15%)</t>
  </si>
  <si>
    <t>J620309</t>
  </si>
  <si>
    <t>NF250-CV 3P175A</t>
  </si>
  <si>
    <t>6500(55%)</t>
  </si>
  <si>
    <t>NF63-CV 3P20A</t>
  </si>
  <si>
    <t>1900(55%)</t>
  </si>
  <si>
    <t>NF63-CV 2P16A</t>
  </si>
  <si>
    <t>1350(55%)</t>
  </si>
  <si>
    <t>INV511903-0599</t>
  </si>
  <si>
    <t>A9F74110</t>
  </si>
  <si>
    <t>280(52%)</t>
  </si>
  <si>
    <t>A9F74116</t>
  </si>
  <si>
    <t>A9F74120</t>
  </si>
  <si>
    <t>A9F74132</t>
  </si>
  <si>
    <t>1903IV008818</t>
  </si>
  <si>
    <t>A9F74332</t>
  </si>
  <si>
    <t>1620(52%)</t>
  </si>
  <si>
    <t>A9F74232</t>
  </si>
  <si>
    <t>690(52%)</t>
  </si>
  <si>
    <t>A9XPH312</t>
  </si>
  <si>
    <t>500(52%)</t>
  </si>
  <si>
    <t>IV6203060056</t>
  </si>
  <si>
    <t>ACC-แว่นตาใส</t>
  </si>
  <si>
    <t>IV6203-00703</t>
  </si>
  <si>
    <t>CIS0001/0401492</t>
  </si>
  <si>
    <t>อบสี</t>
  </si>
  <si>
    <t>HEATER-CS-600</t>
  </si>
  <si>
    <t>1060(15%)</t>
  </si>
  <si>
    <t>LIGHT-600</t>
  </si>
  <si>
    <t>480(15%)</t>
  </si>
  <si>
    <t>IV2019027</t>
  </si>
  <si>
    <t>1111/55527</t>
  </si>
  <si>
    <t>J620332</t>
  </si>
  <si>
    <t>A609/สีขาวไข่</t>
  </si>
  <si>
    <t>IV6203-00200</t>
  </si>
  <si>
    <t>ARS-18101535</t>
  </si>
  <si>
    <t>เครื่องพับ</t>
  </si>
  <si>
    <t>TOOL-HEMMING PUNCH</t>
  </si>
  <si>
    <t>25600(20%)</t>
  </si>
  <si>
    <t>TOOL-HEMMING DIE</t>
  </si>
  <si>
    <t>48700(20%)</t>
  </si>
  <si>
    <t>TOOL-V GROOVE</t>
  </si>
  <si>
    <t>16400(20%)</t>
  </si>
  <si>
    <t>IV9030263</t>
  </si>
  <si>
    <t>TOOL-VMB-00</t>
  </si>
  <si>
    <t>500(45+5%)</t>
  </si>
  <si>
    <t>RIP19-030801</t>
  </si>
  <si>
    <t>IV04027</t>
  </si>
  <si>
    <t>402/20083</t>
  </si>
  <si>
    <t>ACC-รถเข็น</t>
  </si>
  <si>
    <t>014/0691</t>
  </si>
  <si>
    <t>แสงชัย ซัพพลาย</t>
  </si>
  <si>
    <t>KOMAK</t>
  </si>
  <si>
    <t>IV19030011</t>
  </si>
  <si>
    <t>IV6203077</t>
  </si>
  <si>
    <t>INV511903-132</t>
  </si>
  <si>
    <t>J620339</t>
  </si>
  <si>
    <t>LV540306</t>
  </si>
  <si>
    <t>14700(59%)</t>
  </si>
  <si>
    <t>IV6203130008</t>
  </si>
  <si>
    <t>T19138</t>
  </si>
  <si>
    <t>J620202,205</t>
  </si>
  <si>
    <t>IV6200750</t>
  </si>
  <si>
    <t>5เส้น/238kg</t>
  </si>
  <si>
    <t>3เส้น</t>
  </si>
  <si>
    <t>IV0300404</t>
  </si>
  <si>
    <t>sTOCK</t>
  </si>
  <si>
    <t>M5x12JT</t>
  </si>
  <si>
    <t>SR6x1/2</t>
  </si>
  <si>
    <t>O62030109</t>
  </si>
  <si>
    <t>DL6</t>
  </si>
  <si>
    <t>IV62031100011</t>
  </si>
  <si>
    <t>403/20133</t>
  </si>
  <si>
    <t>RV5-3</t>
  </si>
  <si>
    <t>1111/55546</t>
  </si>
  <si>
    <t>J620345</t>
  </si>
  <si>
    <t>IV6030406</t>
  </si>
  <si>
    <t>VCT 2x2.5</t>
  </si>
  <si>
    <t>55.7(53%)</t>
  </si>
  <si>
    <t>NF125-CV 3P125A</t>
  </si>
  <si>
    <t>3300(55%)</t>
  </si>
  <si>
    <t>NF63-CV 3P50A</t>
  </si>
  <si>
    <t>I00375267</t>
  </si>
  <si>
    <t>OFFICE-0416032</t>
  </si>
  <si>
    <t>OFFICE-0416033</t>
  </si>
  <si>
    <t>OFFICE-0221005</t>
  </si>
  <si>
    <t>OFFICE-0219042</t>
  </si>
  <si>
    <t>OFFICE-0410000</t>
  </si>
  <si>
    <t>SI1903044272</t>
  </si>
  <si>
    <t>OFFICE-5010470</t>
  </si>
  <si>
    <t>OFFICE-5010111</t>
  </si>
  <si>
    <t>OFFICE-2490550</t>
  </si>
  <si>
    <t>IV6030424</t>
  </si>
  <si>
    <t>CV 4x25</t>
  </si>
  <si>
    <t>523(53%)</t>
  </si>
  <si>
    <t>403/20135</t>
  </si>
  <si>
    <t>NCL500-3.3</t>
  </si>
  <si>
    <t>ACC-ภู่กัน 8</t>
  </si>
  <si>
    <t>INV00183164</t>
  </si>
  <si>
    <t>ขายตากสิน</t>
  </si>
  <si>
    <t>IV6203140024</t>
  </si>
  <si>
    <t>155/10432</t>
  </si>
  <si>
    <t>2019-07316107</t>
  </si>
  <si>
    <t>IV6030666</t>
  </si>
  <si>
    <t>IV6203092</t>
  </si>
  <si>
    <t>CL6200993</t>
  </si>
  <si>
    <t>ซ่อมแซมรถขนส่ง</t>
  </si>
  <si>
    <t>THS-61</t>
  </si>
  <si>
    <t>8(50%)</t>
  </si>
  <si>
    <t>CCL6203/213</t>
  </si>
  <si>
    <t>ครีเอตุส คอร์โปรเรชั่น</t>
  </si>
  <si>
    <t>CS200-CCL-001</t>
  </si>
  <si>
    <t>CCL6203-0130</t>
  </si>
  <si>
    <t>A211-ALP-042</t>
  </si>
  <si>
    <t>ทรัพย์สิน</t>
  </si>
  <si>
    <t>CS200-CCL-008</t>
  </si>
  <si>
    <t>001/019</t>
  </si>
  <si>
    <t>เฉลิมไชโย</t>
  </si>
  <si>
    <t>TRAFFIC SIGN</t>
  </si>
  <si>
    <t>6203/003</t>
  </si>
  <si>
    <t>J620307</t>
  </si>
  <si>
    <t>RIP19-031601</t>
  </si>
  <si>
    <t>IV6203160016</t>
  </si>
  <si>
    <t>โรงเรือน</t>
  </si>
  <si>
    <t>รถ 6ล้อ</t>
  </si>
  <si>
    <t>SHACLKES</t>
  </si>
  <si>
    <t>SI-190301945</t>
  </si>
  <si>
    <t>J620394</t>
  </si>
  <si>
    <t>GRAVOGRAPH-W</t>
  </si>
  <si>
    <t>HS0000010</t>
  </si>
  <si>
    <t>ริช ปัทโรล เปเปอร์</t>
  </si>
  <si>
    <t>TAX19020</t>
  </si>
  <si>
    <t>ดิมเกรย์</t>
  </si>
  <si>
    <t>PC-เครื่องพิมพ์UV</t>
  </si>
  <si>
    <t>405/20202</t>
  </si>
  <si>
    <t>1กล่อง/240</t>
  </si>
  <si>
    <t>RV6-5</t>
  </si>
  <si>
    <t>1กล่อง/200</t>
  </si>
  <si>
    <t>405/20201</t>
  </si>
  <si>
    <t>404/20199</t>
  </si>
  <si>
    <t>CANGAROO</t>
  </si>
  <si>
    <t>ACC-ไม้กวาด</t>
  </si>
  <si>
    <t>IV6203180043</t>
  </si>
  <si>
    <t>IV6203-01917</t>
  </si>
  <si>
    <t>IV6203-00631</t>
  </si>
  <si>
    <t>J620342</t>
  </si>
  <si>
    <t>IN62030702</t>
  </si>
  <si>
    <t>keyHL-035</t>
  </si>
  <si>
    <t>IV6203-0332</t>
  </si>
  <si>
    <t>J620341</t>
  </si>
  <si>
    <t>SPM33-V1</t>
  </si>
  <si>
    <t>21200(55%)</t>
  </si>
  <si>
    <t>INV6511903-2710</t>
  </si>
  <si>
    <t>LV525303</t>
  </si>
  <si>
    <t>LV510306</t>
  </si>
  <si>
    <t>LV510304</t>
  </si>
  <si>
    <t>LV510302</t>
  </si>
  <si>
    <t>LV510300</t>
  </si>
  <si>
    <t>LV525302</t>
  </si>
  <si>
    <t>IV1903-097</t>
  </si>
  <si>
    <t>ผนังห้องพิมพ์</t>
  </si>
  <si>
    <t>เอซี เทคกรุ๊ป จำกัด</t>
  </si>
  <si>
    <t>ACC-แผ่นฉนวน</t>
  </si>
  <si>
    <t>GL3M-TGSOFTM</t>
  </si>
  <si>
    <t>1กล่อง 50คู่</t>
  </si>
  <si>
    <t>HOSETPU-120850</t>
  </si>
  <si>
    <t>1ม้วน/2000</t>
  </si>
  <si>
    <t>สามมิตร กรีนพาวเวอร์</t>
  </si>
  <si>
    <t>FILTER-FELT</t>
  </si>
  <si>
    <t>SEVICE-001</t>
  </si>
  <si>
    <t>039-1917</t>
  </si>
  <si>
    <t xml:space="preserve">รัตนา ฮาร์ดแวร์ </t>
  </si>
  <si>
    <t>ACC-ถังสเตนเลส</t>
  </si>
  <si>
    <t>พี.เอ็ม.เค ออยส์</t>
  </si>
  <si>
    <t>DIESEL OIL</t>
  </si>
  <si>
    <t>IV6100212</t>
  </si>
  <si>
    <t>ซ่อมปืนพ่นสี</t>
  </si>
  <si>
    <t>G90-1007355</t>
  </si>
  <si>
    <t>G90-1003698</t>
  </si>
  <si>
    <t>G90-1006488</t>
  </si>
  <si>
    <t>G90-1007792</t>
  </si>
  <si>
    <t>G90-1000822</t>
  </si>
  <si>
    <t>BL6101-00082</t>
  </si>
  <si>
    <t>IV6101692</t>
  </si>
  <si>
    <t>SI1801091041</t>
  </si>
  <si>
    <t>SI61/00065</t>
  </si>
  <si>
    <t xml:space="preserve">สอบเทียบเครื่องมือ </t>
  </si>
  <si>
    <t xml:space="preserve">พรีซิชั่น สแตนดาร์ส </t>
  </si>
  <si>
    <t>IV6101/20339</t>
  </si>
  <si>
    <t>SSM5</t>
  </si>
  <si>
    <t>IV6101636</t>
  </si>
  <si>
    <t>311/15508</t>
  </si>
  <si>
    <t>ACC-สายน้ำดี</t>
  </si>
  <si>
    <t>MAXCO-8.0</t>
  </si>
  <si>
    <t>UBOLOT-1"</t>
  </si>
  <si>
    <t>TOOL-TAP</t>
  </si>
  <si>
    <t>310/15486</t>
  </si>
  <si>
    <t>ACC-เชือกฟาง</t>
  </si>
  <si>
    <t>STUDM6x25</t>
  </si>
  <si>
    <t>309/15438</t>
  </si>
  <si>
    <t>J60232,PE</t>
  </si>
  <si>
    <t>KOBE-3.2</t>
  </si>
  <si>
    <t>IV610047</t>
  </si>
  <si>
    <t>BL6101-00038</t>
  </si>
  <si>
    <t>TY-08506</t>
  </si>
  <si>
    <t>SR8</t>
  </si>
  <si>
    <t>IV61/0045</t>
  </si>
  <si>
    <t>6101000044/1</t>
  </si>
  <si>
    <t>ปรับปรุงระบบเครน</t>
  </si>
  <si>
    <t>ไทแทน เซอร์วิส</t>
  </si>
  <si>
    <t>TOOL-1-030-0001</t>
  </si>
  <si>
    <t>TOOL-1-030-0021</t>
  </si>
  <si>
    <t>TOOL-01-030-0022</t>
  </si>
  <si>
    <t>SI-1801048649</t>
  </si>
  <si>
    <t>OFFICE-4004658</t>
  </si>
  <si>
    <t>OFFICE-F002976</t>
  </si>
  <si>
    <t>015/0750</t>
  </si>
  <si>
    <t>บ้านหม้อโซล่าร์เซลล์</t>
  </si>
  <si>
    <t>BAT-NS6-12</t>
  </si>
  <si>
    <t>IV6101176</t>
  </si>
  <si>
    <t>หงไท่ซิน</t>
  </si>
  <si>
    <t>BRIGHT-TIN</t>
  </si>
  <si>
    <t>015/0749</t>
  </si>
  <si>
    <t>I00347250</t>
  </si>
  <si>
    <t>OFFICE-0117001</t>
  </si>
  <si>
    <t>OFFICE-0000040</t>
  </si>
  <si>
    <t>IV6101238</t>
  </si>
  <si>
    <t>1.39(38%)</t>
  </si>
  <si>
    <t>1.84(38%)</t>
  </si>
  <si>
    <t>IV16101-02254</t>
  </si>
  <si>
    <t>STUD-5/8"</t>
  </si>
  <si>
    <t>530(60%)</t>
  </si>
  <si>
    <t>SN-5/8"</t>
  </si>
  <si>
    <t>22(50%)</t>
  </si>
  <si>
    <t>CS6100800084</t>
  </si>
  <si>
    <t>ซ่อมเครื่องจักร</t>
  </si>
  <si>
    <t>อมรศูนย์รวมอะไหล่อีเล็คโทรนิคส์</t>
  </si>
  <si>
    <t>SEVICE-BAT</t>
  </si>
  <si>
    <t>BAT-LITHUIM</t>
  </si>
  <si>
    <t>IV18010138</t>
  </si>
  <si>
    <t>HG14-1</t>
  </si>
  <si>
    <t>TY-08504</t>
  </si>
  <si>
    <t>M8X245STUDSUS</t>
  </si>
  <si>
    <t>IV61-01006</t>
  </si>
  <si>
    <t>ซ่อมเตาอบสี</t>
  </si>
  <si>
    <t xml:space="preserve">หยง เหว่ย </t>
  </si>
  <si>
    <t>SOLENOID-1/4</t>
  </si>
  <si>
    <t>ACC-เครื่องจุดไฟ</t>
  </si>
  <si>
    <t>IVN590437</t>
  </si>
  <si>
    <t>เพิร์ท จำกัด</t>
  </si>
  <si>
    <t>SH-MSINOV</t>
  </si>
  <si>
    <t>DRAWING AL2-7</t>
  </si>
  <si>
    <t>2230(25%)</t>
  </si>
  <si>
    <t>SI1801028158</t>
  </si>
  <si>
    <t>OFFICE-4002136</t>
  </si>
  <si>
    <t>OFFICE-4161633</t>
  </si>
  <si>
    <t>OFFICE-5005342</t>
  </si>
  <si>
    <t>IV6101139</t>
  </si>
  <si>
    <t>084/4152</t>
  </si>
  <si>
    <t>IV6101127</t>
  </si>
  <si>
    <t>ท่อ APL เหล็กกล่อง</t>
  </si>
  <si>
    <t>แผงกั้นแอร์ เหล็กกกล่อง</t>
  </si>
  <si>
    <t>307/15316</t>
  </si>
  <si>
    <t>PHUK-ตะปู</t>
  </si>
  <si>
    <t>307/15315</t>
  </si>
  <si>
    <t>ACC-สายโทรศัพท์</t>
  </si>
  <si>
    <t>IV61/0006</t>
  </si>
  <si>
    <t>เค.พี.เอส</t>
  </si>
  <si>
    <t>P/N-336424</t>
  </si>
  <si>
    <t>J602397</t>
  </si>
  <si>
    <t>306/15292</t>
  </si>
  <si>
    <t>3.75(30%)</t>
  </si>
  <si>
    <t>6(30%)</t>
  </si>
  <si>
    <t>306/15271</t>
  </si>
  <si>
    <t>TOOL-DE2-6</t>
  </si>
  <si>
    <t>306/15270</t>
  </si>
  <si>
    <t>6012001622/1</t>
  </si>
  <si>
    <t>J602321</t>
  </si>
  <si>
    <t>PHUK-ตะปู 1/2"</t>
  </si>
  <si>
    <t>ACC-เชือกเอ็น</t>
  </si>
  <si>
    <t>306/15268</t>
  </si>
  <si>
    <t>ที่วางถังแก๊ส</t>
  </si>
  <si>
    <t>306/15267</t>
  </si>
  <si>
    <t>INV511801-0136</t>
  </si>
  <si>
    <t>J602419</t>
  </si>
  <si>
    <t>EZC100B3060T</t>
  </si>
  <si>
    <t>LC1D50AM7</t>
  </si>
  <si>
    <t>LRD350</t>
  </si>
  <si>
    <t>RE22R1QCMU</t>
  </si>
  <si>
    <t>INV6102/0262</t>
  </si>
  <si>
    <t>เอส.เอ.เอส</t>
  </si>
  <si>
    <t>BL6102-00083</t>
  </si>
  <si>
    <t>ACC-อิฐตัวหนอน</t>
  </si>
  <si>
    <t>OFFICE-ใบกำกับ</t>
  </si>
  <si>
    <t>INV511802-3749</t>
  </si>
  <si>
    <t>J610312,335-336,364</t>
  </si>
  <si>
    <t>Q03-100EZC24G/SN</t>
  </si>
  <si>
    <t>EZC100H3060T</t>
  </si>
  <si>
    <t>QO120C06RCBO10</t>
  </si>
  <si>
    <t>QO120VSC6T</t>
  </si>
  <si>
    <t>QO320VSC6T</t>
  </si>
  <si>
    <t>GV2L10</t>
  </si>
  <si>
    <t>VV9206779</t>
  </si>
  <si>
    <t>ตฉ1159</t>
  </si>
  <si>
    <t>คู่สร้างอะไหล่ยนต์</t>
  </si>
  <si>
    <t>ACC-ไดชาร์ท</t>
  </si>
  <si>
    <t>17(30%)</t>
  </si>
  <si>
    <t>CT100/5</t>
  </si>
  <si>
    <t>IV6102847</t>
  </si>
  <si>
    <t>M6x15</t>
  </si>
  <si>
    <t>1.4(25%)</t>
  </si>
  <si>
    <t>CL6100748</t>
  </si>
  <si>
    <t>IV16102-05646</t>
  </si>
  <si>
    <t>J610309-310</t>
  </si>
  <si>
    <t>5.1(50%)</t>
  </si>
  <si>
    <t>CT600/5</t>
  </si>
  <si>
    <t>245(25+5%)</t>
  </si>
  <si>
    <t>IV6200831</t>
  </si>
  <si>
    <t>10เส้น/238kg</t>
  </si>
  <si>
    <t>IV19030037</t>
  </si>
  <si>
    <t>J620354</t>
  </si>
  <si>
    <t>CT250/5</t>
  </si>
  <si>
    <t>INV511903-2949</t>
  </si>
  <si>
    <t>LV510301</t>
  </si>
  <si>
    <t>IV620168</t>
  </si>
  <si>
    <t>J620370-371</t>
  </si>
  <si>
    <t>IV16203-04826</t>
  </si>
  <si>
    <t>0.6(45%)</t>
  </si>
  <si>
    <t>LV0008739</t>
  </si>
  <si>
    <t>INV00183417</t>
  </si>
  <si>
    <t>CVV 30x1.5</t>
  </si>
  <si>
    <t>341.9(50%)</t>
  </si>
  <si>
    <t>140.4(50%)</t>
  </si>
  <si>
    <t>CVV 15x1.5</t>
  </si>
  <si>
    <t>194.2(50%)</t>
  </si>
  <si>
    <t>INV00183418</t>
  </si>
  <si>
    <t>โต๊ะ CNC,LASER</t>
  </si>
  <si>
    <t>JMX-102</t>
  </si>
  <si>
    <t>เทป แอนด์ อินซูเลต</t>
  </si>
  <si>
    <t>IV62-01759</t>
  </si>
  <si>
    <t>ปรับปรุงถนน PC</t>
  </si>
  <si>
    <t>โรซาร์ เทรดดิ้ง</t>
  </si>
  <si>
    <t>ACC-หินเกล็ด</t>
  </si>
  <si>
    <t>5Qไม่เต็ม</t>
  </si>
  <si>
    <t>ACC-ขอบคันหิน</t>
  </si>
  <si>
    <t>IV0300743</t>
  </si>
  <si>
    <t>SN12</t>
  </si>
  <si>
    <t>2.25(50%)</t>
  </si>
  <si>
    <t>405/20230</t>
  </si>
  <si>
    <t>405/20234</t>
  </si>
  <si>
    <t>VETO-1500W</t>
  </si>
  <si>
    <t>405/20231</t>
  </si>
  <si>
    <t>SUMO-4"</t>
  </si>
  <si>
    <t>รถ messenger</t>
  </si>
  <si>
    <t>ACC-สายรัด</t>
  </si>
  <si>
    <t>406/20274</t>
  </si>
  <si>
    <t>406/20273</t>
  </si>
  <si>
    <t>เชื่อม</t>
  </si>
  <si>
    <t>ACC-ไส้หมวก</t>
  </si>
  <si>
    <t>IV620177</t>
  </si>
  <si>
    <t>150kg/53</t>
  </si>
  <si>
    <t>IV620343</t>
  </si>
  <si>
    <t>GRAVOGRAPH-B</t>
  </si>
  <si>
    <t>IV6203-00739</t>
  </si>
  <si>
    <t>BKK2562/1525</t>
  </si>
  <si>
    <t>6201000128/2</t>
  </si>
  <si>
    <t>IV6203542</t>
  </si>
  <si>
    <t>IV62-01690</t>
  </si>
  <si>
    <t>CPAC-28F1</t>
  </si>
  <si>
    <t>IV62-01689</t>
  </si>
  <si>
    <t>รวมค่ารถ</t>
  </si>
  <si>
    <t>IV6102712</t>
  </si>
  <si>
    <t>DP6</t>
  </si>
  <si>
    <t>0.13(50%)</t>
  </si>
  <si>
    <t>0.12(50%)</t>
  </si>
  <si>
    <t>SN6</t>
  </si>
  <si>
    <t>0.32(50%)</t>
  </si>
  <si>
    <t>0.15(50%).</t>
  </si>
  <si>
    <t>IV061020051</t>
  </si>
  <si>
    <t>J610289</t>
  </si>
  <si>
    <t>TD9200AB</t>
  </si>
  <si>
    <t>ซ่อมเครื่องเลเซอร์</t>
  </si>
  <si>
    <t>TOOL-79000849</t>
  </si>
  <si>
    <t>44760(25%)</t>
  </si>
  <si>
    <t>TOOL-79000850</t>
  </si>
  <si>
    <t>21000(25%)</t>
  </si>
  <si>
    <t>317/15817</t>
  </si>
  <si>
    <t>TOOL-SOLO</t>
  </si>
  <si>
    <t>317/15814</t>
  </si>
  <si>
    <t>ACC-น้ำกลั่น</t>
  </si>
  <si>
    <t>TOOL-71220332</t>
  </si>
  <si>
    <t>1950(25%)</t>
  </si>
  <si>
    <t>INV6102/0214</t>
  </si>
  <si>
    <t>6102000172/1</t>
  </si>
  <si>
    <t>SP1040</t>
  </si>
  <si>
    <t>SP500</t>
  </si>
  <si>
    <t>SP600</t>
  </si>
  <si>
    <t>CHILLER</t>
  </si>
  <si>
    <t>TOOL-79000251</t>
  </si>
  <si>
    <t>TOOL-79000239</t>
  </si>
  <si>
    <t>SERVICE-CHARGE</t>
  </si>
  <si>
    <t>SERVICE-TRAVEL</t>
  </si>
  <si>
    <t>INV511802-2639</t>
  </si>
  <si>
    <t>J610344+STOCK</t>
  </si>
  <si>
    <t>LRD10</t>
  </si>
  <si>
    <t>IV16102-04130</t>
  </si>
  <si>
    <t>J610310,329</t>
  </si>
  <si>
    <t>M10x100SUS</t>
  </si>
  <si>
    <t>24.6(50%)</t>
  </si>
  <si>
    <t>IV6102295</t>
  </si>
  <si>
    <t>ราวระเบียง</t>
  </si>
  <si>
    <t>IV16102-03925</t>
  </si>
  <si>
    <t>J610221</t>
  </si>
  <si>
    <t>13กล่อง 146</t>
  </si>
  <si>
    <t>IV16102-03924</t>
  </si>
  <si>
    <t>M6x16SUS</t>
  </si>
  <si>
    <t>2.15(70%)</t>
  </si>
  <si>
    <t>SN6SUS</t>
  </si>
  <si>
    <t>1.0(65%)</t>
  </si>
  <si>
    <t>U2180020937</t>
  </si>
  <si>
    <t>J610311</t>
  </si>
  <si>
    <t>NF125-SV 3P80A</t>
  </si>
  <si>
    <t>4300(40+10+5%)</t>
  </si>
  <si>
    <t>NF32-SV 2P6A</t>
  </si>
  <si>
    <t>1300(40+10+5%)</t>
  </si>
  <si>
    <t>NF32-SV 2P10A</t>
  </si>
  <si>
    <t>UVTNA250</t>
  </si>
  <si>
    <t>6050(40+10+5%)</t>
  </si>
  <si>
    <t>031/1509</t>
  </si>
  <si>
    <t>J610270</t>
  </si>
  <si>
    <t>แอลทีเอ็ม</t>
  </si>
  <si>
    <t>PN6104265</t>
  </si>
  <si>
    <t>เทคเนท</t>
  </si>
  <si>
    <t>BGSET5840S03</t>
  </si>
  <si>
    <t>1264(30%)</t>
  </si>
  <si>
    <t>SR5002/40457</t>
  </si>
  <si>
    <t>SHOCKET-SUS 2"</t>
  </si>
  <si>
    <t>SR5002/40458</t>
  </si>
  <si>
    <t>NIPLE-SUS 2"</t>
  </si>
  <si>
    <t>SR5002/40459</t>
  </si>
  <si>
    <t>BALL VALVE 2"</t>
  </si>
  <si>
    <t>SR5002/40460</t>
  </si>
  <si>
    <t>SUS-ข้องอ 2"</t>
  </si>
  <si>
    <t>I00349558</t>
  </si>
  <si>
    <t>เครื่องใช้สำนักงาน</t>
  </si>
  <si>
    <t>OFFICE-0713009</t>
  </si>
  <si>
    <t>OFFICE-0212021</t>
  </si>
  <si>
    <t>OFFICE-0145006</t>
  </si>
  <si>
    <t>IV6102210</t>
  </si>
  <si>
    <t>เหมา</t>
  </si>
  <si>
    <t>SO6102-02337</t>
  </si>
  <si>
    <t>INV511802-1468</t>
  </si>
  <si>
    <t>CIS0001/0368533</t>
  </si>
  <si>
    <t>J610241</t>
  </si>
  <si>
    <t>PS-630NS</t>
  </si>
  <si>
    <t>RTP19-032704</t>
  </si>
  <si>
    <t>WG1903009</t>
  </si>
  <si>
    <t>ปืนพ่นสี</t>
  </si>
  <si>
    <t>ดับเบิ้ลยูแอนด์จี</t>
  </si>
  <si>
    <t>TOOL-SAFETY X1</t>
  </si>
  <si>
    <t>IV6203093</t>
  </si>
  <si>
    <t>WHEEL-M03F</t>
  </si>
  <si>
    <t>RTP19-032703</t>
  </si>
  <si>
    <t>IV6203-00842</t>
  </si>
  <si>
    <t>J620421,437</t>
  </si>
  <si>
    <t>J620385,386</t>
  </si>
  <si>
    <t>406/20298</t>
  </si>
  <si>
    <t>IV6203128</t>
  </si>
  <si>
    <t>ติดตั้งถังสี</t>
  </si>
  <si>
    <t>SR 2x3/8</t>
  </si>
  <si>
    <t>ม้วนละ 1490</t>
  </si>
  <si>
    <t>IV0301043</t>
  </si>
  <si>
    <t>M6x35</t>
  </si>
  <si>
    <t>2.0(25%)</t>
  </si>
  <si>
    <t>IV6203260026</t>
  </si>
  <si>
    <t>IV04076</t>
  </si>
  <si>
    <t>INV511903-3742</t>
  </si>
  <si>
    <t>J620415</t>
  </si>
  <si>
    <t>CDT3519019813</t>
  </si>
  <si>
    <t>IV6203280020</t>
  </si>
  <si>
    <t>IV6200950</t>
  </si>
  <si>
    <t>J620268</t>
  </si>
  <si>
    <t>6เส้น/238</t>
  </si>
  <si>
    <t>BAR 5x1/2</t>
  </si>
  <si>
    <t>9เส้น/238</t>
  </si>
  <si>
    <t>INV00183590</t>
  </si>
  <si>
    <t>IV6200500</t>
  </si>
  <si>
    <t>10ถัง</t>
  </si>
  <si>
    <t>5ถัง</t>
  </si>
  <si>
    <t>IV620361</t>
  </si>
  <si>
    <t>CDT3519020401</t>
  </si>
  <si>
    <t>IV19030048</t>
  </si>
  <si>
    <t>0175/008709</t>
  </si>
  <si>
    <t>0175/008703</t>
  </si>
  <si>
    <t>IV6200894</t>
  </si>
  <si>
    <t>J620294,302</t>
  </si>
  <si>
    <t>20เส้น/238</t>
  </si>
  <si>
    <t>13เส้น/238</t>
  </si>
  <si>
    <t>IV6200588</t>
  </si>
  <si>
    <t>CB800-36</t>
  </si>
  <si>
    <t>CB800-43</t>
  </si>
  <si>
    <t>IV6203-02728</t>
  </si>
  <si>
    <t>J620411,437</t>
  </si>
  <si>
    <t>GS-250</t>
  </si>
  <si>
    <t>QUBIX</t>
  </si>
  <si>
    <t>SD-96A</t>
  </si>
  <si>
    <t>SD-96V</t>
  </si>
  <si>
    <t>NF32-SV 3P20A</t>
  </si>
  <si>
    <t>1850(55%)</t>
  </si>
  <si>
    <t>ยิงสตัด</t>
  </si>
  <si>
    <t>DWM-180005</t>
  </si>
  <si>
    <t>DWM-180001</t>
  </si>
  <si>
    <t>จินดาสยาม บรรจุภัณฑ์</t>
  </si>
  <si>
    <t>BB001</t>
  </si>
  <si>
    <t>ACC-ไฟฉายสวมหัว</t>
  </si>
  <si>
    <t>407/20340</t>
  </si>
  <si>
    <t>ACC-หมวกเซฟตี้</t>
  </si>
  <si>
    <t>HC19031296</t>
  </si>
  <si>
    <t>ฮาตาริ</t>
  </si>
  <si>
    <t>SERVICE-FAN</t>
  </si>
  <si>
    <t>IV6203290010</t>
  </si>
  <si>
    <t>IV6203290025</t>
  </si>
  <si>
    <t>SI-19040056</t>
  </si>
  <si>
    <t>ARS-18101772</t>
  </si>
  <si>
    <t>LV0008748</t>
  </si>
  <si>
    <t>229.2(53%)</t>
  </si>
  <si>
    <t>IV6203-22063</t>
  </si>
  <si>
    <t>J620363</t>
  </si>
  <si>
    <t>M4x20JT</t>
  </si>
  <si>
    <t>IV6203-22070</t>
  </si>
  <si>
    <t>500/190</t>
  </si>
  <si>
    <t>0175/8727</t>
  </si>
  <si>
    <t>TN-ESM</t>
  </si>
  <si>
    <t>IV19030059</t>
  </si>
  <si>
    <t>IV620096</t>
  </si>
  <si>
    <t>เอ็น.พี.แอดวานซ์</t>
  </si>
  <si>
    <t>DRILL-D3.3</t>
  </si>
  <si>
    <t>DRILL-D5.4</t>
  </si>
  <si>
    <t>IV6203/22057</t>
  </si>
  <si>
    <t>RV4-2</t>
  </si>
  <si>
    <t>M3x6JP</t>
  </si>
  <si>
    <t>IV19/0578</t>
  </si>
  <si>
    <t>J620441</t>
  </si>
  <si>
    <t xml:space="preserve">คิว มาร์เก็ตติ้ง </t>
  </si>
  <si>
    <t>CA02RPP035TW</t>
  </si>
  <si>
    <t>70(5%)</t>
  </si>
  <si>
    <t>CA02BPP035TW</t>
  </si>
  <si>
    <t>100(5%)</t>
  </si>
  <si>
    <t>J620256</t>
  </si>
  <si>
    <t>310(50+2%)</t>
  </si>
  <si>
    <t>IV62-0201</t>
  </si>
  <si>
    <t>นายสักรินทร์, พิรมย์</t>
  </si>
  <si>
    <t>พีแอนด์ที โพรเกร็ส</t>
  </si>
  <si>
    <t>Training</t>
  </si>
  <si>
    <t>IV2019039</t>
  </si>
  <si>
    <t>IV6204030065</t>
  </si>
  <si>
    <t>IV6204030066</t>
  </si>
  <si>
    <t>STUDM8x30</t>
  </si>
  <si>
    <t>IV620410</t>
  </si>
  <si>
    <t>IV-08757</t>
  </si>
  <si>
    <t>EBM10</t>
  </si>
  <si>
    <t>IV6204016</t>
  </si>
  <si>
    <t>SHHB2-30</t>
  </si>
  <si>
    <t>408/20393</t>
  </si>
  <si>
    <t xml:space="preserve">เอสเทล </t>
  </si>
  <si>
    <t>TR-12601</t>
  </si>
  <si>
    <t>IV6200643</t>
  </si>
  <si>
    <t>CB800-40</t>
  </si>
  <si>
    <t>CB800-41</t>
  </si>
  <si>
    <t>IV62040037</t>
  </si>
  <si>
    <t>IV0400035</t>
  </si>
  <si>
    <t>M10x25</t>
  </si>
  <si>
    <t>2.34(35%)</t>
  </si>
  <si>
    <t>SR10</t>
  </si>
  <si>
    <t>0.25(50%)</t>
  </si>
  <si>
    <t>SR6</t>
  </si>
  <si>
    <t>M8x15</t>
  </si>
  <si>
    <t>1.12(35%)</t>
  </si>
  <si>
    <t>6204/002</t>
  </si>
  <si>
    <t>ค่าคอม</t>
  </si>
  <si>
    <t>com</t>
  </si>
  <si>
    <t>IV19040365</t>
  </si>
  <si>
    <t>176/008770</t>
  </si>
  <si>
    <t>J620294</t>
  </si>
  <si>
    <t>CT3000/5</t>
  </si>
  <si>
    <t>1320(25+5%)</t>
  </si>
  <si>
    <t>RIP19-040401</t>
  </si>
  <si>
    <t>IV19040004</t>
  </si>
  <si>
    <t>CDT3519022229</t>
  </si>
  <si>
    <t>62-04-1010</t>
  </si>
  <si>
    <t>J620447</t>
  </si>
  <si>
    <t>MPS.31S</t>
  </si>
  <si>
    <t>6970(50+10%)</t>
  </si>
  <si>
    <t>409/20431</t>
  </si>
  <si>
    <t>SR7x1P</t>
  </si>
  <si>
    <t>DI19040870</t>
  </si>
  <si>
    <t>A1B125 3P125A</t>
  </si>
  <si>
    <t>3800(60%)</t>
  </si>
  <si>
    <t>J620448</t>
  </si>
  <si>
    <t>A1B125 3P40A</t>
  </si>
  <si>
    <t>J620449</t>
  </si>
  <si>
    <t>UVR-C-220</t>
  </si>
  <si>
    <t>3400(60%)</t>
  </si>
  <si>
    <t>IV04098</t>
  </si>
  <si>
    <t>ACC-ตัวตัดเทป</t>
  </si>
  <si>
    <t>409/20450</t>
  </si>
  <si>
    <t>I00376865</t>
  </si>
  <si>
    <t>OFFICE-0412072</t>
  </si>
  <si>
    <t>OFFICE-0510002</t>
  </si>
  <si>
    <t>OFFICE-0515000</t>
  </si>
  <si>
    <t>OFFICE-0723056</t>
  </si>
  <si>
    <t>mk2019-2096</t>
  </si>
  <si>
    <t>IV621562</t>
  </si>
  <si>
    <t>J6201476</t>
  </si>
  <si>
    <t>FX2P150UC1</t>
  </si>
  <si>
    <t>SX2P150UC1</t>
  </si>
  <si>
    <t>SI1904015723</t>
  </si>
  <si>
    <t>OFFICE-2002980</t>
  </si>
  <si>
    <t>OFFICE-5000722</t>
  </si>
  <si>
    <t>IV62-0125</t>
  </si>
  <si>
    <t>IV6204158</t>
  </si>
  <si>
    <t>J620438</t>
  </si>
  <si>
    <t>เหมา 2.8kg</t>
  </si>
  <si>
    <t>IV1900891</t>
  </si>
  <si>
    <t xml:space="preserve">เวลธ แอดวานซ์ </t>
  </si>
  <si>
    <t>ACC-พิมพ์ป้าย</t>
  </si>
  <si>
    <t>IV1900820</t>
  </si>
  <si>
    <t>03/0115</t>
  </si>
  <si>
    <t>ประกอบ-สี</t>
  </si>
  <si>
    <t>วิชัยพระประแดง</t>
  </si>
  <si>
    <t>TOOL-คีมย้ำรีเวท</t>
  </si>
  <si>
    <t>T.02-8181904</t>
  </si>
  <si>
    <t>TOOL-คีมตัดสายไฟ</t>
  </si>
  <si>
    <t>IV1904040013</t>
  </si>
  <si>
    <t>IV6201020</t>
  </si>
  <si>
    <t>20เส้น/242</t>
  </si>
  <si>
    <t>IV6204015</t>
  </si>
  <si>
    <t>ขายลูกค้า</t>
  </si>
  <si>
    <t>IME-MF96021A</t>
  </si>
  <si>
    <t>128/6352</t>
  </si>
  <si>
    <t>IV6201039</t>
  </si>
  <si>
    <t>J620187</t>
  </si>
  <si>
    <t>BAR 40x5</t>
  </si>
  <si>
    <t>6เส้น/245</t>
  </si>
  <si>
    <t>LV0008783</t>
  </si>
  <si>
    <t>J620191</t>
  </si>
  <si>
    <t>76.5(52%)</t>
  </si>
  <si>
    <t>2019-07322649</t>
  </si>
  <si>
    <t>VSF1x2.5G</t>
  </si>
  <si>
    <t>IV0400284</t>
  </si>
  <si>
    <t>IV6204080046</t>
  </si>
  <si>
    <t>SI-190401496</t>
  </si>
  <si>
    <t>0177-008801</t>
  </si>
  <si>
    <t xml:space="preserve">J620345 </t>
  </si>
  <si>
    <t>IV6204020</t>
  </si>
  <si>
    <t>IV6204-00926</t>
  </si>
  <si>
    <t>J620490</t>
  </si>
  <si>
    <t>FSS-50LN</t>
  </si>
  <si>
    <t>FSS-50RN</t>
  </si>
  <si>
    <t>220(50+2%)</t>
  </si>
  <si>
    <t>2019-07322755</t>
  </si>
  <si>
    <t>IV620218</t>
  </si>
  <si>
    <t>J620479</t>
  </si>
  <si>
    <t>J620370</t>
  </si>
  <si>
    <t>IV620001292</t>
  </si>
  <si>
    <t>อาร์.ซี.อาร์ เคหะภัณฑ์</t>
  </si>
  <si>
    <t>paint-9001A</t>
  </si>
  <si>
    <t>IV6204075</t>
  </si>
  <si>
    <t>IV0217253</t>
  </si>
  <si>
    <t>6204000526/1</t>
  </si>
  <si>
    <t>NITTO-80PN</t>
  </si>
  <si>
    <t>155(20%)</t>
  </si>
  <si>
    <t>NITTO-80SN</t>
  </si>
  <si>
    <t>315(20%)</t>
  </si>
  <si>
    <t>1904IV014149</t>
  </si>
  <si>
    <t>J620430</t>
  </si>
  <si>
    <t>XB4BVG4</t>
  </si>
  <si>
    <t>530(59%)</t>
  </si>
  <si>
    <t>XB4BVG6</t>
  </si>
  <si>
    <t>XB4BW35B5</t>
  </si>
  <si>
    <t>1350(59%)</t>
  </si>
  <si>
    <t>IV6201060</t>
  </si>
  <si>
    <t>J620302</t>
  </si>
  <si>
    <t>IV6201058</t>
  </si>
  <si>
    <t>10เส้น /245</t>
  </si>
  <si>
    <t>IV6201057</t>
  </si>
  <si>
    <t>J620444</t>
  </si>
  <si>
    <t>FLEX100</t>
  </si>
  <si>
    <t>J620436,0512</t>
  </si>
  <si>
    <t>INV511904-1487</t>
  </si>
  <si>
    <t>BZC100H2030T</t>
  </si>
  <si>
    <t>A9F74210</t>
  </si>
  <si>
    <t>XB4BS844</t>
  </si>
  <si>
    <t>XB4BVG5</t>
  </si>
  <si>
    <t>XB4BW33B5</t>
  </si>
  <si>
    <t>ZB4BA2</t>
  </si>
  <si>
    <t>XB4BVB3</t>
  </si>
  <si>
    <t>XB4BVB4</t>
  </si>
  <si>
    <t>XB4BVB1</t>
  </si>
  <si>
    <t>XB4BVB5</t>
  </si>
  <si>
    <t>CL6201363</t>
  </si>
  <si>
    <t>BEC-2121C</t>
  </si>
  <si>
    <t>ECO-3U 15W</t>
  </si>
  <si>
    <t>WG1904003</t>
  </si>
  <si>
    <t>อะไหล่ปืนพ่นสี</t>
  </si>
  <si>
    <t>TOOL-241476</t>
  </si>
  <si>
    <t>TOOL-241466</t>
  </si>
  <si>
    <t>TOOL-2321976</t>
  </si>
  <si>
    <t>IV0400427</t>
  </si>
  <si>
    <t>SR16</t>
  </si>
  <si>
    <t>DP16</t>
  </si>
  <si>
    <t>08(30%)</t>
  </si>
  <si>
    <t>M16x35</t>
  </si>
  <si>
    <t>7.97(35%)</t>
  </si>
  <si>
    <t>IV0079905</t>
  </si>
  <si>
    <t>J620480,481</t>
  </si>
  <si>
    <t>powder40001</t>
  </si>
  <si>
    <t>1904IV014219</t>
  </si>
  <si>
    <t>XB4BVB6</t>
  </si>
  <si>
    <t>450(59%)</t>
  </si>
  <si>
    <t>533/27302</t>
  </si>
  <si>
    <t>ขายแพลนนิ่ง</t>
  </si>
  <si>
    <t xml:space="preserve">แอมพ์ทรอน </t>
  </si>
  <si>
    <t>METER-L34</t>
  </si>
  <si>
    <t>7500(40%)</t>
  </si>
  <si>
    <t>IV-08771</t>
  </si>
  <si>
    <t>M8x215STUD</t>
  </si>
  <si>
    <t>CCLP6204/074</t>
  </si>
  <si>
    <t>P211-ALP-057</t>
  </si>
  <si>
    <t>CS100-CCL-001</t>
  </si>
  <si>
    <t>IV6100143</t>
  </si>
  <si>
    <t xml:space="preserve">Power All </t>
  </si>
  <si>
    <t>มนต์ฟ้า</t>
  </si>
  <si>
    <t>CHANGE-OVER</t>
  </si>
  <si>
    <t>24700(49+10%)</t>
  </si>
  <si>
    <t>324(40+5+7%)</t>
  </si>
  <si>
    <t>2966(40+5+7%)</t>
  </si>
  <si>
    <t>TOOL-79000264</t>
  </si>
  <si>
    <t>195(57%)</t>
  </si>
  <si>
    <t>LRD06</t>
  </si>
  <si>
    <t>1230(57%)</t>
  </si>
  <si>
    <t>XAC-S102</t>
  </si>
  <si>
    <t>1060(57%)</t>
  </si>
  <si>
    <t>RIP19-041802</t>
  </si>
  <si>
    <t>O62040146</t>
  </si>
  <si>
    <t>IV2019041</t>
  </si>
  <si>
    <t>J620430+STOCK</t>
  </si>
  <si>
    <t>162(20+10%)</t>
  </si>
  <si>
    <t>MY4N-GS-24VDC</t>
  </si>
  <si>
    <t>IV19009321</t>
  </si>
  <si>
    <t>IV6200385</t>
  </si>
  <si>
    <t>FUSE-HOLDER</t>
  </si>
  <si>
    <t>IV0079933</t>
  </si>
  <si>
    <t>J620480-0482</t>
  </si>
  <si>
    <t>IV19043263</t>
  </si>
  <si>
    <t>IV04130</t>
  </si>
  <si>
    <t>IV6204190061</t>
  </si>
  <si>
    <t>IV6204145</t>
  </si>
  <si>
    <t>เมเชอริ่ง</t>
  </si>
  <si>
    <t>411-20535</t>
  </si>
  <si>
    <t>ACC-ผ้าใบ</t>
  </si>
  <si>
    <t>2019-07322899</t>
  </si>
  <si>
    <t>VSF1x6GY</t>
  </si>
  <si>
    <t>IV6200607</t>
  </si>
  <si>
    <t>SI-190402093</t>
  </si>
  <si>
    <t>62--04043</t>
  </si>
  <si>
    <t>พีเคแอนด์เอ็น</t>
  </si>
  <si>
    <t>ACC-ค่าพ่นสี</t>
  </si>
  <si>
    <t>62-04-2069</t>
  </si>
  <si>
    <t>MPS.41S</t>
  </si>
  <si>
    <t>62-04-2030</t>
  </si>
  <si>
    <t>IV6040596</t>
  </si>
  <si>
    <t>49000(58%)</t>
  </si>
  <si>
    <t>411-20533</t>
  </si>
  <si>
    <t>411-20534</t>
  </si>
  <si>
    <t>ACC-ปลั๊กยาง</t>
  </si>
  <si>
    <t>411-20536</t>
  </si>
  <si>
    <t>HELLER-6.5</t>
  </si>
  <si>
    <t>HELLER-8.0</t>
  </si>
  <si>
    <t>0177/008821</t>
  </si>
  <si>
    <t>A504</t>
  </si>
  <si>
    <t>IV6204026</t>
  </si>
  <si>
    <t>J620493</t>
  </si>
  <si>
    <t>IV6204-00531</t>
  </si>
  <si>
    <t>J620473</t>
  </si>
  <si>
    <t>powder2112</t>
  </si>
  <si>
    <t>IV6200389</t>
  </si>
  <si>
    <t>IV6201103</t>
  </si>
  <si>
    <t>J620591</t>
  </si>
  <si>
    <t>BAR 50x5</t>
  </si>
  <si>
    <t>10เส้น/245</t>
  </si>
  <si>
    <t>156-10537</t>
  </si>
  <si>
    <t>412/20593</t>
  </si>
  <si>
    <t>bw</t>
  </si>
  <si>
    <t>SI0463706</t>
  </si>
  <si>
    <t>PMV12</t>
  </si>
  <si>
    <t>735(30+5%)</t>
  </si>
  <si>
    <t>PMF12</t>
  </si>
  <si>
    <t>210(30+5%)</t>
  </si>
  <si>
    <t>412/20569</t>
  </si>
  <si>
    <t>ACC-กาว 2ตัน</t>
  </si>
  <si>
    <t>ACC-หินชมพู</t>
  </si>
  <si>
    <t>TOOL-ใบเลื่อย</t>
  </si>
  <si>
    <t>IV1990490</t>
  </si>
  <si>
    <t>DI19041631</t>
  </si>
  <si>
    <t>62-04-2029</t>
  </si>
  <si>
    <t>T4N320</t>
  </si>
  <si>
    <t>36920(50+10+10%^)</t>
  </si>
  <si>
    <t>CT-T4320</t>
  </si>
  <si>
    <t>SHUNT-OPEN T4-6</t>
  </si>
  <si>
    <t>3120(50+10+10%)</t>
  </si>
  <si>
    <t>CA62-00032</t>
  </si>
  <si>
    <t>ไทยอินเตอร์ คอทตอน</t>
  </si>
  <si>
    <t>ACC-เศษผ้า</t>
  </si>
  <si>
    <t>IV6201127</t>
  </si>
  <si>
    <t>4เส้น 245kg</t>
  </si>
  <si>
    <t>DO6204-0179</t>
  </si>
  <si>
    <t>IV0400638</t>
  </si>
  <si>
    <t>0.22(40%)</t>
  </si>
  <si>
    <t>IN62040642</t>
  </si>
  <si>
    <t>KEY-077-01</t>
  </si>
  <si>
    <t>คลูเบอร์ ลูบริเคชั่น</t>
  </si>
  <si>
    <t>ISOFLEX-NB52</t>
  </si>
  <si>
    <t>IV19040043</t>
  </si>
  <si>
    <t>J620645</t>
  </si>
  <si>
    <t>IV0080002</t>
  </si>
  <si>
    <t>J620496</t>
  </si>
  <si>
    <t>IV19040308</t>
  </si>
  <si>
    <t>ซ่อมคอมสำนักงาน</t>
  </si>
  <si>
    <t>เชียงใหม่ ช้ปปิ้งออนไลน์</t>
  </si>
  <si>
    <t>N24MJ</t>
  </si>
  <si>
    <t>I00377727</t>
  </si>
  <si>
    <t>OFFICE-0110041</t>
  </si>
  <si>
    <t>OFFICE-0116222</t>
  </si>
  <si>
    <t>IV16204-04383</t>
  </si>
  <si>
    <t>0.4(45%)</t>
  </si>
  <si>
    <t>0.45(45%)</t>
  </si>
  <si>
    <t>IV0400680</t>
  </si>
  <si>
    <t>0.35(50%)</t>
  </si>
  <si>
    <t>IV6040776</t>
  </si>
  <si>
    <t>J612453</t>
  </si>
  <si>
    <t>4100(57.25%)</t>
  </si>
  <si>
    <t>DI19041955</t>
  </si>
  <si>
    <t>6204000637/1</t>
  </si>
  <si>
    <t>J612452-453</t>
  </si>
  <si>
    <t>3000(60%)</t>
  </si>
  <si>
    <t>6000(60%)</t>
  </si>
  <si>
    <t>PN6214745</t>
  </si>
  <si>
    <t>IV19040320</t>
  </si>
  <si>
    <t>TGR01001</t>
  </si>
  <si>
    <t>IV6204260071</t>
  </si>
  <si>
    <t>IV6204-00642</t>
  </si>
  <si>
    <t>6204000644/1</t>
  </si>
  <si>
    <t>J620648</t>
  </si>
  <si>
    <t>powder7178</t>
  </si>
  <si>
    <t>IV620240</t>
  </si>
  <si>
    <t>413/20628</t>
  </si>
  <si>
    <t>BS6204135</t>
  </si>
  <si>
    <t>J620545-548</t>
  </si>
  <si>
    <t>โชครุ่งเรืองเพ้นท์</t>
  </si>
  <si>
    <t>powder-enamel</t>
  </si>
  <si>
    <t>TN JOTUN</t>
  </si>
  <si>
    <t>RIP19-042603</t>
  </si>
  <si>
    <t>2562-068</t>
  </si>
  <si>
    <t>1904IV015791</t>
  </si>
  <si>
    <t>720(52%)</t>
  </si>
  <si>
    <t>1904IV015797</t>
  </si>
  <si>
    <t>J611829</t>
  </si>
  <si>
    <t>A9F74320</t>
  </si>
  <si>
    <t>1680(52%)</t>
  </si>
  <si>
    <t>DIV19041061</t>
  </si>
  <si>
    <t>เครื่อง CNC</t>
  </si>
  <si>
    <t>MOBILUX-EP0</t>
  </si>
  <si>
    <t>INV6204/0380</t>
  </si>
  <si>
    <t>PC-005</t>
  </si>
  <si>
    <t>0178/008854</t>
  </si>
  <si>
    <t xml:space="preserve">H3Y-2 </t>
  </si>
  <si>
    <t>1644(50+2%)</t>
  </si>
  <si>
    <t>SI1904080522</t>
  </si>
  <si>
    <t>OFFICE-4000697</t>
  </si>
  <si>
    <t>OFFICE-0003063</t>
  </si>
  <si>
    <t>ซ่อมคอม เครื่อง QC</t>
  </si>
  <si>
    <t>RV1C4</t>
  </si>
  <si>
    <t>IV0080029</t>
  </si>
  <si>
    <t>J620480-482</t>
  </si>
  <si>
    <t>IV6204-00729</t>
  </si>
  <si>
    <t>J620646</t>
  </si>
  <si>
    <t>powder302C</t>
  </si>
  <si>
    <t>IV0400685</t>
  </si>
  <si>
    <t>M8x20HDG</t>
  </si>
  <si>
    <t>1.7(35%)</t>
  </si>
  <si>
    <t>DP8HDG</t>
  </si>
  <si>
    <t>.6(35%)</t>
  </si>
  <si>
    <t>SR8HDG</t>
  </si>
  <si>
    <t>0.36(35%)</t>
  </si>
  <si>
    <t>SN8HDG</t>
  </si>
  <si>
    <t>2.0(35%)</t>
  </si>
  <si>
    <t>M10x25HDG</t>
  </si>
  <si>
    <t>3.4(35%)</t>
  </si>
  <si>
    <t>0.9(35%)</t>
  </si>
  <si>
    <t>SR10HDG</t>
  </si>
  <si>
    <t>0.6(35%)</t>
  </si>
  <si>
    <t>2.3(35%)</t>
  </si>
  <si>
    <t>1904IV015976</t>
  </si>
  <si>
    <t>J620613</t>
  </si>
  <si>
    <t>1180(59%)</t>
  </si>
  <si>
    <t>LRD14</t>
  </si>
  <si>
    <t>1260(59%)</t>
  </si>
  <si>
    <t>615(59%)</t>
  </si>
  <si>
    <t>ZB4DB3</t>
  </si>
  <si>
    <t>360(59%)</t>
  </si>
  <si>
    <t>310(59%)</t>
  </si>
  <si>
    <t>ZBE102</t>
  </si>
  <si>
    <t>170(59%)</t>
  </si>
  <si>
    <t>J620433</t>
  </si>
  <si>
    <t>โฮมโปร</t>
  </si>
  <si>
    <t>POLIMER</t>
  </si>
  <si>
    <t>413/20649</t>
  </si>
  <si>
    <t>ห้องพิมพ์</t>
  </si>
  <si>
    <t>PVC-ต่อลด1x3/4</t>
  </si>
  <si>
    <t>PVC-งอ90 1</t>
  </si>
  <si>
    <t>PVC-งอ45 1</t>
  </si>
  <si>
    <t>PVC-ท่อ 1</t>
  </si>
  <si>
    <t>PVC-ต่อตรง 1</t>
  </si>
  <si>
    <t>PVC-ก้ามปู 1</t>
  </si>
  <si>
    <t>PVC-ก้ามปู 3/4</t>
  </si>
  <si>
    <t>ACC-กาวทาท่อ</t>
  </si>
  <si>
    <t>S2019-05-03</t>
  </si>
  <si>
    <t>เครื่องฉีดยาง</t>
  </si>
  <si>
    <t xml:space="preserve">เอสเอสอี </t>
  </si>
  <si>
    <t>SB1000BLUK</t>
  </si>
  <si>
    <t>IV6201183</t>
  </si>
  <si>
    <t>J620007</t>
  </si>
  <si>
    <t>6เส้น 245/kg</t>
  </si>
  <si>
    <t>IV6205-0028</t>
  </si>
  <si>
    <t>ขายprocontrol</t>
  </si>
  <si>
    <t>NF32SV3P32</t>
  </si>
  <si>
    <t>H7ECNFV</t>
  </si>
  <si>
    <t>3460(50+2%)</t>
  </si>
  <si>
    <t>INV6204/0392</t>
  </si>
  <si>
    <t>IV6200767</t>
  </si>
  <si>
    <t xml:space="preserve">พนักงานใหม่ </t>
  </si>
  <si>
    <t>เบอร์ 37</t>
  </si>
  <si>
    <t>เบอร์ 39</t>
  </si>
  <si>
    <t>DO62-016</t>
  </si>
  <si>
    <t>ซ่อมคอม PC</t>
  </si>
  <si>
    <t>ทรัพย์พรชัย</t>
  </si>
  <si>
    <t>SERVICE-UPS</t>
  </si>
  <si>
    <t>IV6205-00012</t>
  </si>
  <si>
    <t>KEYHL-042</t>
  </si>
  <si>
    <t>J620660</t>
  </si>
  <si>
    <t>SHINWA-NO19</t>
  </si>
  <si>
    <t>HC19050017</t>
  </si>
  <si>
    <t>CAPACITOR035UF</t>
  </si>
  <si>
    <t>IV6205027</t>
  </si>
  <si>
    <t>ซ่อมเครื่องtru tool</t>
  </si>
  <si>
    <t>TGR980335</t>
  </si>
  <si>
    <t>TGR966729</t>
  </si>
  <si>
    <t>TGR966453</t>
  </si>
  <si>
    <t>IV6205040007</t>
  </si>
  <si>
    <t>0178/008894</t>
  </si>
  <si>
    <t>SI201905040028</t>
  </si>
  <si>
    <t>6204000658/1</t>
  </si>
  <si>
    <t>J620612</t>
  </si>
  <si>
    <t>WT2.5</t>
  </si>
  <si>
    <t>WT2.5-10</t>
  </si>
  <si>
    <t>IV1904-082</t>
  </si>
  <si>
    <t xml:space="preserve">ห้องพิมพ์ </t>
  </si>
  <si>
    <t>สมาร์ท คูล</t>
  </si>
  <si>
    <t>CURTAIN-PVC</t>
  </si>
  <si>
    <t>IV62050007</t>
  </si>
  <si>
    <t>6204/016</t>
  </si>
  <si>
    <t>415/20718</t>
  </si>
  <si>
    <t>I62/000996</t>
  </si>
  <si>
    <t>6205000680/1</t>
  </si>
  <si>
    <t>BT-33</t>
  </si>
  <si>
    <t>IV6205080011</t>
  </si>
  <si>
    <t>IV6205080009</t>
  </si>
  <si>
    <t>IV6205080010</t>
  </si>
  <si>
    <t>IV2019050</t>
  </si>
  <si>
    <t>IV6205-0188</t>
  </si>
  <si>
    <t>CDT3519027582</t>
  </si>
  <si>
    <t>CLEANER3M</t>
  </si>
  <si>
    <t>IV6205037</t>
  </si>
  <si>
    <t>IV-08782</t>
  </si>
  <si>
    <t>M8x195STUD</t>
  </si>
  <si>
    <t>SI-190500820</t>
  </si>
  <si>
    <t>1.9(35+3%)</t>
  </si>
  <si>
    <t>SL1905-0056</t>
  </si>
  <si>
    <t>AM1AP2A</t>
  </si>
  <si>
    <t>1300(20%)</t>
  </si>
  <si>
    <t>IV16205-01553</t>
  </si>
  <si>
    <t>M5X8JPSUS</t>
  </si>
  <si>
    <t>1.3(50+%)</t>
  </si>
  <si>
    <t>SR8SUS</t>
  </si>
  <si>
    <t>0.6(50%)</t>
  </si>
  <si>
    <t>2.15(65%)</t>
  </si>
  <si>
    <t>IV6205-00714</t>
  </si>
  <si>
    <t>M6X40BJ</t>
  </si>
  <si>
    <t>2.7(25%)</t>
  </si>
  <si>
    <t>IV6205-00487</t>
  </si>
  <si>
    <t>PROSDZ005</t>
  </si>
  <si>
    <t>PROSDZ006</t>
  </si>
  <si>
    <t>PROAL0065</t>
  </si>
  <si>
    <t>RIP19-050901</t>
  </si>
  <si>
    <t>gas</t>
  </si>
  <si>
    <t>IV6205-00232</t>
  </si>
  <si>
    <t>J620525-536</t>
  </si>
  <si>
    <t>เพาเดอร์ โทติ้งส์</t>
  </si>
  <si>
    <t>IV6205090100</t>
  </si>
  <si>
    <t>416-20755</t>
  </si>
  <si>
    <t>415-20748</t>
  </si>
  <si>
    <t>415-20749</t>
  </si>
  <si>
    <t>Q019064</t>
  </si>
  <si>
    <t>PRINTERMAGLEV</t>
  </si>
  <si>
    <t>IN62050255</t>
  </si>
  <si>
    <t>IV620518</t>
  </si>
  <si>
    <t>J620705</t>
  </si>
  <si>
    <t>IV19050124</t>
  </si>
  <si>
    <t>5เส้น 4296</t>
  </si>
  <si>
    <t>PN6215036</t>
  </si>
  <si>
    <t>1905IV017565</t>
  </si>
  <si>
    <t>MNK1551</t>
  </si>
  <si>
    <t>680(55%)</t>
  </si>
  <si>
    <t>DI19051118</t>
  </si>
  <si>
    <t>j620704</t>
  </si>
  <si>
    <t>CT300/5</t>
  </si>
  <si>
    <t>PHELPSDODGE4x0.5</t>
  </si>
  <si>
    <t>6.25(48%)</t>
  </si>
  <si>
    <t>IV0500334</t>
  </si>
  <si>
    <t>M4x10JP</t>
  </si>
  <si>
    <t>M5x20JP</t>
  </si>
  <si>
    <t>SR12</t>
  </si>
  <si>
    <t>DP10</t>
  </si>
  <si>
    <t>0.55(50%)</t>
  </si>
  <si>
    <t>62-05-1333</t>
  </si>
  <si>
    <t>J620704</t>
  </si>
  <si>
    <t>S292-C100</t>
  </si>
  <si>
    <t>5055(50+10%)</t>
  </si>
  <si>
    <t>DI19051101</t>
  </si>
  <si>
    <t>T4N320LSI</t>
  </si>
  <si>
    <t>21840(60%)</t>
  </si>
  <si>
    <t>S202-C32</t>
  </si>
  <si>
    <t>S202-C40</t>
  </si>
  <si>
    <t>S202-C50</t>
  </si>
  <si>
    <t>1200(60%)</t>
  </si>
  <si>
    <t>IV1905-006</t>
  </si>
  <si>
    <t xml:space="preserve">เลแมนน์ </t>
  </si>
  <si>
    <t>FULLSET10W</t>
  </si>
  <si>
    <t>IV622065</t>
  </si>
  <si>
    <t>IV6205-00402</t>
  </si>
  <si>
    <t>IV6205074</t>
  </si>
  <si>
    <t>IV6205198</t>
  </si>
  <si>
    <t>J620690</t>
  </si>
  <si>
    <t>7.5kg งานเหมา</t>
  </si>
  <si>
    <t>J620622</t>
  </si>
  <si>
    <t>CT1200/5</t>
  </si>
  <si>
    <t>390(25+5%)</t>
  </si>
  <si>
    <t>IV19050176</t>
  </si>
  <si>
    <t>INV511905-1253</t>
  </si>
  <si>
    <t>ห้องปริ้ง</t>
  </si>
  <si>
    <t>VERNIER06</t>
  </si>
  <si>
    <t>IV6200350</t>
  </si>
  <si>
    <t>บลูแกส</t>
  </si>
  <si>
    <t>PKSOLENOID</t>
  </si>
  <si>
    <t>SWINFRARED</t>
  </si>
  <si>
    <t>62-05-1334</t>
  </si>
  <si>
    <t>A1N1252P100A</t>
  </si>
  <si>
    <t>2550(50+10+10%)</t>
  </si>
  <si>
    <t>62-05-1634</t>
  </si>
  <si>
    <t>A1C1251P20A</t>
  </si>
  <si>
    <t>1980(50+10+10%)</t>
  </si>
  <si>
    <t>62-05-1607</t>
  </si>
  <si>
    <t>TX400</t>
  </si>
  <si>
    <t>TRB40N</t>
  </si>
  <si>
    <t>IV1900310</t>
  </si>
  <si>
    <t>J620524</t>
  </si>
  <si>
    <t xml:space="preserve">กูดพอยท์ </t>
  </si>
  <si>
    <t>BUSHM6A</t>
  </si>
  <si>
    <t>SI190502217</t>
  </si>
  <si>
    <t>IV0500481</t>
  </si>
  <si>
    <t>IV620002412</t>
  </si>
  <si>
    <t>งานเลเซอร์บุญ</t>
  </si>
  <si>
    <t>ไอโอดีไซน์</t>
  </si>
  <si>
    <t>TCB02N6</t>
  </si>
  <si>
    <t>2019-00230</t>
  </si>
  <si>
    <t>RV10</t>
  </si>
  <si>
    <t>IV19050192</t>
  </si>
  <si>
    <t>J620491</t>
  </si>
  <si>
    <t>8เส้น/8592</t>
  </si>
  <si>
    <t>SI190502520</t>
  </si>
  <si>
    <t>252(40+3%)</t>
  </si>
  <si>
    <t>INV5119051724</t>
  </si>
  <si>
    <t>ขายกูดพอยท์</t>
  </si>
  <si>
    <t>RE22R1MYMR</t>
  </si>
  <si>
    <t>C62-05-015</t>
  </si>
  <si>
    <t>IV6200841</t>
  </si>
  <si>
    <t>#35</t>
  </si>
  <si>
    <t>IV6200842</t>
  </si>
  <si>
    <t>#41</t>
  </si>
  <si>
    <t>IV6200843</t>
  </si>
  <si>
    <t>#40</t>
  </si>
  <si>
    <t>IV19050023</t>
  </si>
  <si>
    <t>J620333</t>
  </si>
  <si>
    <t>IV620284</t>
  </si>
  <si>
    <t>IV6205/22256</t>
  </si>
  <si>
    <t>M6X15TP</t>
  </si>
  <si>
    <t>IV6205/22255</t>
  </si>
  <si>
    <t>INV6205203</t>
  </si>
  <si>
    <t>งานพิมพ์โรงเรือน</t>
  </si>
  <si>
    <t>ซีพีโมเดล</t>
  </si>
  <si>
    <t>uv192x31.8</t>
  </si>
  <si>
    <t>INV6205204</t>
  </si>
  <si>
    <t>CT50/5</t>
  </si>
  <si>
    <t>DI19051652</t>
  </si>
  <si>
    <t>A1N1253P50A</t>
  </si>
  <si>
    <t>3550(60%)</t>
  </si>
  <si>
    <t>DI19051519</t>
  </si>
  <si>
    <t>J620715</t>
  </si>
  <si>
    <t>4100(60%)</t>
  </si>
  <si>
    <t>A1N1253P40A</t>
  </si>
  <si>
    <t>A1N1253P20A</t>
  </si>
  <si>
    <t>2100(60%)</t>
  </si>
  <si>
    <t>IV1905-015</t>
  </si>
  <si>
    <t>FULLSET4W</t>
  </si>
  <si>
    <t>IV620522236</t>
  </si>
  <si>
    <t>M5X15SH</t>
  </si>
  <si>
    <t>2019-07330000</t>
  </si>
  <si>
    <t>DO6205-0140</t>
  </si>
  <si>
    <t>J620743</t>
  </si>
  <si>
    <t>1.5(30%)</t>
  </si>
  <si>
    <t>IV6201352</t>
  </si>
  <si>
    <t>240/kg</t>
  </si>
  <si>
    <t>BC62124104</t>
  </si>
  <si>
    <t>ใช้เครื่องกราฟฟิค</t>
  </si>
  <si>
    <t>แอดไวซ์ ไอที</t>
  </si>
  <si>
    <t>A0123710</t>
  </si>
  <si>
    <t>RE62000936</t>
  </si>
  <si>
    <t>A0057904</t>
  </si>
  <si>
    <t>BC62108777</t>
  </si>
  <si>
    <t>COMเครื่องพิมพ์</t>
  </si>
  <si>
    <t>A0114082</t>
  </si>
  <si>
    <t>BC62108792</t>
  </si>
  <si>
    <t>A0109081</t>
  </si>
  <si>
    <t>A0120098</t>
  </si>
  <si>
    <t>A0121196</t>
  </si>
  <si>
    <t>BC62057430</t>
  </si>
  <si>
    <t>COMแผนกDS</t>
  </si>
  <si>
    <t>A0121194</t>
  </si>
  <si>
    <t>CBC6220634</t>
  </si>
  <si>
    <t>ลดหนี้</t>
  </si>
  <si>
    <t>V78851332003441</t>
  </si>
  <si>
    <t>HS2030657</t>
  </si>
  <si>
    <t>แม๊กเน๊ต โซลูชัน</t>
  </si>
  <si>
    <t>MD2023</t>
  </si>
  <si>
    <t>I00379417</t>
  </si>
  <si>
    <t>OFFICE-0220071</t>
  </si>
  <si>
    <t>OFFICE-0416071</t>
  </si>
  <si>
    <t>OFFICE-0413004</t>
  </si>
  <si>
    <t>OFFICE-0310009</t>
  </si>
  <si>
    <t>SI1905064620</t>
  </si>
  <si>
    <t>OFFICE-5005794</t>
  </si>
  <si>
    <t>OFFICE-1036053</t>
  </si>
  <si>
    <t>OFFICE-500754</t>
  </si>
  <si>
    <t>IV04202</t>
  </si>
  <si>
    <t>IV04203</t>
  </si>
  <si>
    <t>J620771-713</t>
  </si>
  <si>
    <t>IV6205-00599</t>
  </si>
  <si>
    <t>J620525-602</t>
  </si>
  <si>
    <t>J620767</t>
  </si>
  <si>
    <t>WOP43P4W380</t>
  </si>
  <si>
    <t>RIP19052101</t>
  </si>
  <si>
    <t>HS6205062</t>
  </si>
  <si>
    <t>J620547</t>
  </si>
  <si>
    <t>powderSTD136</t>
  </si>
  <si>
    <t>ราคารวมแวท</t>
  </si>
  <si>
    <t>TNJOTUN</t>
  </si>
  <si>
    <t>WG1905010</t>
  </si>
  <si>
    <t>Tool2324123</t>
  </si>
  <si>
    <t>Tool241225</t>
  </si>
  <si>
    <t>IN62050544</t>
  </si>
  <si>
    <t>IV6205230007</t>
  </si>
  <si>
    <t>IN62050543</t>
  </si>
  <si>
    <t>O62050238</t>
  </si>
  <si>
    <t>IV6205-00673</t>
  </si>
  <si>
    <t>J620755</t>
  </si>
  <si>
    <t>powder305</t>
  </si>
  <si>
    <t>IV0500844</t>
  </si>
  <si>
    <t>M6x10TP</t>
  </si>
  <si>
    <t>IV-08788</t>
  </si>
  <si>
    <t>IV620522258</t>
  </si>
  <si>
    <t>M6X30HZ</t>
  </si>
  <si>
    <t>INV511905-2417</t>
  </si>
  <si>
    <t>J620742</t>
  </si>
  <si>
    <t>EZC100H1050T</t>
  </si>
  <si>
    <t>INV511905-2465</t>
  </si>
  <si>
    <t>8190(55%)</t>
  </si>
  <si>
    <t>IV19050034</t>
  </si>
  <si>
    <t>5270(59%)</t>
  </si>
  <si>
    <t>3120(59%)</t>
  </si>
  <si>
    <t>LV510307</t>
  </si>
  <si>
    <t>LV429407</t>
  </si>
  <si>
    <t>2710(59%)</t>
  </si>
  <si>
    <t>INV511905-2461</t>
  </si>
  <si>
    <t>EZC250N3200</t>
  </si>
  <si>
    <t>EZC100F3100T</t>
  </si>
  <si>
    <t>EZC100N3050T</t>
  </si>
  <si>
    <t>EZC250F3160</t>
  </si>
  <si>
    <t>015/0705</t>
  </si>
  <si>
    <t>419-20913</t>
  </si>
  <si>
    <t>ห้องน้ำ</t>
  </si>
  <si>
    <t>Toilet part</t>
  </si>
  <si>
    <t>418-20856</t>
  </si>
  <si>
    <t>WRENCH8x10</t>
  </si>
  <si>
    <t>SCREWDRIVER2</t>
  </si>
  <si>
    <t>SCREWDRIVER6</t>
  </si>
  <si>
    <t>KIANGPOU2</t>
  </si>
  <si>
    <t>KIANGPOU4</t>
  </si>
  <si>
    <t>2019-07330220</t>
  </si>
  <si>
    <t>01/0004</t>
  </si>
  <si>
    <t>เจ้ต้อย(คลองถม)</t>
  </si>
  <si>
    <t>เด่นอิเล็คทริค(คลองถม)</t>
  </si>
  <si>
    <t>CAP10UF250V</t>
  </si>
  <si>
    <t>BKK2562/2647</t>
  </si>
  <si>
    <t>NCL500-7.0</t>
  </si>
  <si>
    <t>NCL500-12.0</t>
  </si>
  <si>
    <t>62-05-3350</t>
  </si>
  <si>
    <t>CL2513C</t>
  </si>
  <si>
    <t>250(50+10%)</t>
  </si>
  <si>
    <t>CL2513R</t>
  </si>
  <si>
    <t>182(50+10%)</t>
  </si>
  <si>
    <t>CL2513Y</t>
  </si>
  <si>
    <t>CL2513L</t>
  </si>
  <si>
    <t>mk2019-2986</t>
  </si>
  <si>
    <t>IV19060144</t>
  </si>
  <si>
    <t>IV6205250015</t>
  </si>
  <si>
    <t>IV620545</t>
  </si>
  <si>
    <t>IV6200828</t>
  </si>
  <si>
    <t>IN62050784</t>
  </si>
  <si>
    <t>187-09315</t>
  </si>
  <si>
    <t>IV6200002639</t>
  </si>
  <si>
    <t>บุญเอ็นจิเนียริ่ง</t>
  </si>
  <si>
    <t>SI1905074544</t>
  </si>
  <si>
    <t>6205000797/1</t>
  </si>
  <si>
    <t>ประกอบ+สี</t>
  </si>
  <si>
    <t>OFFICE-0321290</t>
  </si>
  <si>
    <t>OFFICE-1006346</t>
  </si>
  <si>
    <t>0181-009032</t>
  </si>
  <si>
    <t>J6202660</t>
  </si>
  <si>
    <t>CS6200801215</t>
  </si>
  <si>
    <t>UPS</t>
  </si>
  <si>
    <t>SAB12-5.4AH</t>
  </si>
  <si>
    <t>550(51บาท)</t>
  </si>
  <si>
    <t>420-20961</t>
  </si>
  <si>
    <t>ถังดักฝุ่น</t>
  </si>
  <si>
    <t>FLOATBALL012</t>
  </si>
  <si>
    <t>PVC-งอ012</t>
  </si>
  <si>
    <t>PVC-ต่อเกลียวนอก012</t>
  </si>
  <si>
    <t>RIP19-053002</t>
  </si>
  <si>
    <t>109-5431</t>
  </si>
  <si>
    <t>SI0467316</t>
  </si>
  <si>
    <t>PMV12110</t>
  </si>
  <si>
    <t>IV6205-00905</t>
  </si>
  <si>
    <t>J620812</t>
  </si>
  <si>
    <t>2019-00258</t>
  </si>
  <si>
    <t>ซ่อมรีเวท</t>
  </si>
  <si>
    <t>ANVILLD10</t>
  </si>
  <si>
    <t>HS6205217</t>
  </si>
  <si>
    <t>รวมแวท</t>
  </si>
  <si>
    <t>INV19084</t>
  </si>
  <si>
    <t>PRINTTOWEL</t>
  </si>
  <si>
    <t>150ผืนต่อแพ็ค</t>
  </si>
  <si>
    <t>INV6205-0385</t>
  </si>
  <si>
    <t>DI19060081</t>
  </si>
  <si>
    <t>S202-C63</t>
  </si>
  <si>
    <t>IV0501049</t>
  </si>
  <si>
    <t>M4x35JP</t>
  </si>
  <si>
    <t>IV6205-00822</t>
  </si>
  <si>
    <t>J620525-737</t>
  </si>
  <si>
    <t>INV511802-1164</t>
  </si>
  <si>
    <t>ซ่อมเครน#1-2</t>
  </si>
  <si>
    <t>XACA9411</t>
  </si>
  <si>
    <t>XACA9412</t>
  </si>
  <si>
    <t>XACA982</t>
  </si>
  <si>
    <t>ZA2BS844</t>
  </si>
  <si>
    <t>CL6100506</t>
  </si>
  <si>
    <t>2561-618</t>
  </si>
  <si>
    <t>2200(40+5+7%)</t>
  </si>
  <si>
    <t>552(40+5+7%)</t>
  </si>
  <si>
    <t>280(40+5+7%)</t>
  </si>
  <si>
    <t>880(58%)</t>
  </si>
  <si>
    <t>INV511802-1080</t>
  </si>
  <si>
    <t>SI1802028750</t>
  </si>
  <si>
    <t>IV61-0056</t>
  </si>
  <si>
    <t xml:space="preserve">เครื่องพ่นสี </t>
  </si>
  <si>
    <t>SLEEVE336467</t>
  </si>
  <si>
    <t>IV18022069</t>
  </si>
  <si>
    <t>IV6102245</t>
  </si>
  <si>
    <t>SR6SUS</t>
  </si>
  <si>
    <t>0.6(45%)_</t>
  </si>
  <si>
    <t>IV6102230</t>
  </si>
  <si>
    <t>เหล็กกล่อง</t>
  </si>
  <si>
    <t>TRPC-16206</t>
  </si>
  <si>
    <t>ไทยโพลีเคมิคอล</t>
  </si>
  <si>
    <t>METHYLENE</t>
  </si>
  <si>
    <t>313-15623</t>
  </si>
  <si>
    <t>313-15625</t>
  </si>
  <si>
    <t xml:space="preserve">ลอกเครน </t>
  </si>
  <si>
    <t>IV6102180</t>
  </si>
  <si>
    <t>O61020023</t>
  </si>
  <si>
    <t>SO6102-00378</t>
  </si>
  <si>
    <t>J610234</t>
  </si>
  <si>
    <t>36(30+10+3%)</t>
  </si>
  <si>
    <t>IV1802-036</t>
  </si>
  <si>
    <t>610100071/1</t>
  </si>
  <si>
    <t>J610125</t>
  </si>
  <si>
    <t>LE-33-11</t>
  </si>
  <si>
    <t>STUDM5x20</t>
  </si>
  <si>
    <t>STUDM8x20</t>
  </si>
  <si>
    <t>IV6102138</t>
  </si>
  <si>
    <t>2(20%)</t>
  </si>
  <si>
    <t>M5x10JT</t>
  </si>
  <si>
    <t>IV18020040</t>
  </si>
  <si>
    <t>CFL220-NW</t>
  </si>
  <si>
    <t>NPO-1</t>
  </si>
  <si>
    <t>I00348592</t>
  </si>
  <si>
    <t>0418G00694</t>
  </si>
  <si>
    <t>IV6102-00509</t>
  </si>
  <si>
    <t>M8x20SUS</t>
  </si>
  <si>
    <t>4.65(65%)</t>
  </si>
  <si>
    <t>IV1880109</t>
  </si>
  <si>
    <t>ต่อสัญญา</t>
  </si>
  <si>
    <t>IV6103699</t>
  </si>
  <si>
    <t>M10x15</t>
  </si>
  <si>
    <t>2.15(35%)</t>
  </si>
  <si>
    <t>J610515</t>
  </si>
  <si>
    <t>1.3(30%)</t>
  </si>
  <si>
    <t>IVA6103-434</t>
  </si>
  <si>
    <t>J610312</t>
  </si>
  <si>
    <t>อะตอมมิค เพาเวอร์</t>
  </si>
  <si>
    <t>HAK316</t>
  </si>
  <si>
    <t>HAK607</t>
  </si>
  <si>
    <t>IV061030066</t>
  </si>
  <si>
    <t>J610529</t>
  </si>
  <si>
    <t>INV511803-2655</t>
  </si>
  <si>
    <t>J610510</t>
  </si>
  <si>
    <t>EZC250F3200</t>
  </si>
  <si>
    <t>EZC100F3080T</t>
  </si>
  <si>
    <t>EZC100F3060T</t>
  </si>
  <si>
    <t>EZC100F3040T</t>
  </si>
  <si>
    <t>EZC100F3030T</t>
  </si>
  <si>
    <t>IV6103590</t>
  </si>
  <si>
    <t>IV6103-20573</t>
  </si>
  <si>
    <t>M6x15SUS</t>
  </si>
  <si>
    <t>2.15(50%)</t>
  </si>
  <si>
    <t>IV6103553</t>
  </si>
  <si>
    <t>M8x30</t>
  </si>
  <si>
    <t>1.55(35%)</t>
  </si>
  <si>
    <t>IDF6102-0348-R2</t>
  </si>
  <si>
    <t>FUSE373245</t>
  </si>
  <si>
    <t>FUSE354172</t>
  </si>
  <si>
    <t>I00351702</t>
  </si>
  <si>
    <t>OFFICE-0723003</t>
  </si>
  <si>
    <t>OFFICE-0220075</t>
  </si>
  <si>
    <t>OFFICE-0215090</t>
  </si>
  <si>
    <t>OFFICE-0435003</t>
  </si>
  <si>
    <t>323-16112</t>
  </si>
  <si>
    <t>เครนเชื่อม</t>
  </si>
  <si>
    <t>CLAMP038</t>
  </si>
  <si>
    <t>IV16103-03665</t>
  </si>
  <si>
    <t>M6x20SUS</t>
  </si>
  <si>
    <t>2.3(65%)</t>
  </si>
  <si>
    <t>1803IV012023</t>
  </si>
  <si>
    <t>BIZ790024</t>
  </si>
  <si>
    <t>BIZ700509</t>
  </si>
  <si>
    <t>BIZ700508</t>
  </si>
  <si>
    <t>BIZ790202</t>
  </si>
  <si>
    <t>BIZ790031</t>
  </si>
  <si>
    <t>BIZ700063</t>
  </si>
  <si>
    <t>BIZ700203</t>
  </si>
  <si>
    <t>BIZ350070</t>
  </si>
  <si>
    <t>IV6100276</t>
  </si>
  <si>
    <t>J610511</t>
  </si>
  <si>
    <t>142/9119</t>
  </si>
  <si>
    <t>SPT6103186</t>
  </si>
  <si>
    <t>เอส.ที.พี สวิทซ์บอร์ด</t>
  </si>
  <si>
    <t>ADAPTER</t>
  </si>
  <si>
    <t>IV6100272</t>
  </si>
  <si>
    <t>J610511-513</t>
  </si>
  <si>
    <t>A1C125 3P 40A</t>
  </si>
  <si>
    <t>A1C125 3P 125A</t>
  </si>
  <si>
    <t>3900(60%)</t>
  </si>
  <si>
    <t>A2C250 3P 160A</t>
  </si>
  <si>
    <t>5000(60%)</t>
  </si>
  <si>
    <t>A3N630 3P 500A</t>
  </si>
  <si>
    <t>16500(60%)</t>
  </si>
  <si>
    <t>A3N400 3P 320A</t>
  </si>
  <si>
    <t>15000(60%)</t>
  </si>
  <si>
    <t>322-16076</t>
  </si>
  <si>
    <t>PHUK1270</t>
  </si>
  <si>
    <t>322-16078</t>
  </si>
  <si>
    <t>TAPM12</t>
  </si>
  <si>
    <t>1803IV011477</t>
  </si>
  <si>
    <t>LADS2</t>
  </si>
  <si>
    <t>3240(56%)</t>
  </si>
  <si>
    <t>171(54%)</t>
  </si>
  <si>
    <t>280(40+5+7%)_</t>
  </si>
  <si>
    <t>CT500/5</t>
  </si>
  <si>
    <t>INV511803-1902</t>
  </si>
  <si>
    <t>J610494</t>
  </si>
  <si>
    <t>IV6100745</t>
  </si>
  <si>
    <t>ซีซัน กรุ๊ป</t>
  </si>
  <si>
    <t>STICKERARROW</t>
  </si>
  <si>
    <t>520-26031</t>
  </si>
  <si>
    <t>PILOTD16W</t>
  </si>
  <si>
    <t>520-26030</t>
  </si>
  <si>
    <t>VoltmeterDC96</t>
  </si>
  <si>
    <t>3600(40%)</t>
  </si>
  <si>
    <t>AmpmeterDC96</t>
  </si>
  <si>
    <t>Shunt100A</t>
  </si>
  <si>
    <t>2400(40%)</t>
  </si>
  <si>
    <t>IV6103356</t>
  </si>
  <si>
    <t>RL6103-00021</t>
  </si>
  <si>
    <t>U20180030666</t>
  </si>
  <si>
    <t>NF250SGV</t>
  </si>
  <si>
    <t>10500(40+10+5%)</t>
  </si>
  <si>
    <t>IV6100233</t>
  </si>
  <si>
    <t>J610335</t>
  </si>
  <si>
    <t>UNDERXT1-4</t>
  </si>
  <si>
    <t>3300(60%)</t>
  </si>
  <si>
    <t>ยูเอสเพาเวอร์</t>
  </si>
  <si>
    <t>IT1500125</t>
  </si>
  <si>
    <t>240(50%)</t>
  </si>
  <si>
    <t>IT2503210</t>
  </si>
  <si>
    <t>0418G01472</t>
  </si>
  <si>
    <t>IV1803-083</t>
  </si>
  <si>
    <t>ETC209-22</t>
  </si>
  <si>
    <t>IV6103192</t>
  </si>
  <si>
    <t>M10x35HDG</t>
  </si>
  <si>
    <t>4.2(35%)</t>
  </si>
  <si>
    <t>INV6103-0028</t>
  </si>
  <si>
    <t>IV6103057</t>
  </si>
  <si>
    <t>2.6kg เหมา</t>
  </si>
  <si>
    <t>IV16103-00881</t>
  </si>
  <si>
    <t>J610436</t>
  </si>
  <si>
    <t>2.15(70%()</t>
  </si>
  <si>
    <t>1.(65%)</t>
  </si>
  <si>
    <t>0.585(50%)</t>
  </si>
  <si>
    <t>H610300036</t>
  </si>
  <si>
    <t>161-03-02</t>
  </si>
  <si>
    <t>J610395</t>
  </si>
  <si>
    <t xml:space="preserve">โอเนค </t>
  </si>
  <si>
    <t>ATSCONTROL</t>
  </si>
  <si>
    <t>IV6102525</t>
  </si>
  <si>
    <t>2.08kg เหมา</t>
  </si>
  <si>
    <t>J610336-364</t>
  </si>
  <si>
    <t>เมคคอม</t>
  </si>
  <si>
    <t>G01MIK72E</t>
  </si>
  <si>
    <t>2800(50%)</t>
  </si>
  <si>
    <t>0418G01413</t>
  </si>
  <si>
    <t>319-15946</t>
  </si>
  <si>
    <t>ของเก่าชำรุด</t>
  </si>
  <si>
    <t>SOLO06</t>
  </si>
  <si>
    <t>WEG-10919</t>
  </si>
  <si>
    <t>54(20+5%)</t>
  </si>
  <si>
    <t>WEG-1191</t>
  </si>
  <si>
    <t>135(20+5%)</t>
  </si>
  <si>
    <t>245(20+5%)</t>
  </si>
  <si>
    <t>WEG-2501</t>
  </si>
  <si>
    <t>225(20+5%)</t>
  </si>
  <si>
    <t>WEG-24886</t>
  </si>
  <si>
    <t>380(20+5%)</t>
  </si>
  <si>
    <t>45(20+5%)</t>
  </si>
  <si>
    <t>WEG-6802</t>
  </si>
  <si>
    <t>WEG-6803</t>
  </si>
  <si>
    <t>WEG-5001</t>
  </si>
  <si>
    <t>60(20+5%)</t>
  </si>
  <si>
    <t>WEG-5002</t>
  </si>
  <si>
    <t>90(20+5%)</t>
  </si>
  <si>
    <t>WEG2164</t>
  </si>
  <si>
    <t>270(20+5%)</t>
  </si>
  <si>
    <t>141-9059</t>
  </si>
  <si>
    <t>IV18030142</t>
  </si>
  <si>
    <t>6102000258/1</t>
  </si>
  <si>
    <t>J610358</t>
  </si>
  <si>
    <t>FUJ0200663/3</t>
  </si>
  <si>
    <t>22825(55%)</t>
  </si>
  <si>
    <t>APW126D-W</t>
  </si>
  <si>
    <t>1090(65%)</t>
  </si>
  <si>
    <t>GRASS01007</t>
  </si>
  <si>
    <t>2800(55%)</t>
  </si>
  <si>
    <t>IV6100222</t>
  </si>
  <si>
    <t>XT1N1603P50A</t>
  </si>
  <si>
    <t>3650(60%)</t>
  </si>
  <si>
    <t>XT1N1603P32A</t>
  </si>
  <si>
    <t>S202-C6</t>
  </si>
  <si>
    <t>700(55+5%)</t>
  </si>
  <si>
    <t>XT1N1603P100A</t>
  </si>
  <si>
    <t>A1N1251P20A</t>
  </si>
  <si>
    <t>A1N1251P30A</t>
  </si>
  <si>
    <t>A1N1251P60A</t>
  </si>
  <si>
    <t>A1N1253P60A</t>
  </si>
  <si>
    <t>6700(50+10%)</t>
  </si>
  <si>
    <t>IV16103-00532</t>
  </si>
  <si>
    <t>J610309</t>
  </si>
  <si>
    <t>EMB12SUS</t>
  </si>
  <si>
    <t>215(45%)</t>
  </si>
  <si>
    <t>DP12SUS</t>
  </si>
  <si>
    <t>SR12SUS</t>
  </si>
  <si>
    <t>SN12SUS</t>
  </si>
  <si>
    <t>7.6(50%)</t>
  </si>
  <si>
    <t>XB7EV07MP</t>
  </si>
  <si>
    <t>IV6103082</t>
  </si>
  <si>
    <t>M10x45SH</t>
  </si>
  <si>
    <t>7.5(30%)</t>
  </si>
  <si>
    <t>IV18040352</t>
  </si>
  <si>
    <t>ตู้เชื่อม</t>
  </si>
  <si>
    <t>SP2408</t>
  </si>
  <si>
    <t>SB029</t>
  </si>
  <si>
    <t>SB029/1</t>
  </si>
  <si>
    <t>I52820</t>
  </si>
  <si>
    <t>ใส่ยาง</t>
  </si>
  <si>
    <t>IV611496</t>
  </si>
  <si>
    <t>J610709</t>
  </si>
  <si>
    <t>SM1PSB75</t>
  </si>
  <si>
    <t>INV6104-0184</t>
  </si>
  <si>
    <t>PC-009</t>
  </si>
  <si>
    <t>SWITCHV153</t>
  </si>
  <si>
    <t>80(40+5+%)</t>
  </si>
  <si>
    <t>TM1307</t>
  </si>
  <si>
    <t>190(40%)</t>
  </si>
  <si>
    <t>INV511804-2911</t>
  </si>
  <si>
    <t>J610767-780</t>
  </si>
  <si>
    <t>ZB4BS844</t>
  </si>
  <si>
    <t>IV6104674</t>
  </si>
  <si>
    <t>SI0427776</t>
  </si>
  <si>
    <t>330-16480</t>
  </si>
  <si>
    <t>J610794</t>
  </si>
  <si>
    <t>M8x20SH</t>
  </si>
  <si>
    <t>330-16473</t>
  </si>
  <si>
    <t>J610658</t>
  </si>
  <si>
    <t>HOLESAW30</t>
  </si>
  <si>
    <t>330-16472</t>
  </si>
  <si>
    <t>125/แผง</t>
  </si>
  <si>
    <t>I00353822</t>
  </si>
  <si>
    <t>OFFICE-0414003</t>
  </si>
  <si>
    <t>OFFICE-0220066</t>
  </si>
  <si>
    <t>OFFICE-0116052</t>
  </si>
  <si>
    <t>IV6104367</t>
  </si>
  <si>
    <t>IV610320</t>
  </si>
  <si>
    <t>METABO1163</t>
  </si>
  <si>
    <t>INV511804-2330</t>
  </si>
  <si>
    <t>J610784</t>
  </si>
  <si>
    <t>LV516333</t>
  </si>
  <si>
    <t>LV540315</t>
  </si>
  <si>
    <t>IV16104-03678</t>
  </si>
  <si>
    <t>M8x35SUS</t>
  </si>
  <si>
    <t>6.5(65%)</t>
  </si>
  <si>
    <t>1093-54640</t>
  </si>
  <si>
    <t>J610769</t>
  </si>
  <si>
    <t>AM96</t>
  </si>
  <si>
    <t>500(40%)</t>
  </si>
  <si>
    <t>VOLT96</t>
  </si>
  <si>
    <t>520(40%)</t>
  </si>
  <si>
    <t>SI1804055866</t>
  </si>
  <si>
    <t>OFFICE-3101160</t>
  </si>
  <si>
    <t>OFFICE-1006347</t>
  </si>
  <si>
    <t>OFFICE-F001612</t>
  </si>
  <si>
    <t>IV6104538</t>
  </si>
  <si>
    <t>2018-00258</t>
  </si>
  <si>
    <t>329-16427</t>
  </si>
  <si>
    <t>J610777-778</t>
  </si>
  <si>
    <t xml:space="preserve">Toilet </t>
  </si>
  <si>
    <t>PAINTCHROME</t>
  </si>
  <si>
    <t>STONECHALK</t>
  </si>
  <si>
    <t>IV16104-02916</t>
  </si>
  <si>
    <t>NF63CV3P32A</t>
  </si>
  <si>
    <t>1900(53%)</t>
  </si>
  <si>
    <t>IV6205137</t>
  </si>
  <si>
    <t>ขาย</t>
  </si>
  <si>
    <t>เซาท์อิสไทยแลนด์</t>
  </si>
  <si>
    <t>BUSHING2055</t>
  </si>
  <si>
    <t>IV61-0219</t>
  </si>
  <si>
    <t>IV0600112</t>
  </si>
  <si>
    <t>M12x60</t>
  </si>
  <si>
    <t>6.47(35%)</t>
  </si>
  <si>
    <t>IV620310</t>
  </si>
  <si>
    <t xml:space="preserve">10ม้วน </t>
  </si>
  <si>
    <t>IV6206-00011</t>
  </si>
  <si>
    <t>J620525-731</t>
  </si>
  <si>
    <t>powder829</t>
  </si>
  <si>
    <t>IV04232</t>
  </si>
  <si>
    <t>IV6206010046</t>
  </si>
  <si>
    <t>IV6205-00056</t>
  </si>
  <si>
    <t>J620770</t>
  </si>
  <si>
    <t>เจ.เค.สแตนเลส</t>
  </si>
  <si>
    <t>EJK000110012</t>
  </si>
  <si>
    <t>EJK000111212</t>
  </si>
  <si>
    <t>CJKS000010</t>
  </si>
  <si>
    <t>BJK000006</t>
  </si>
  <si>
    <t>INV511804-1762</t>
  </si>
  <si>
    <t>J610491,764</t>
  </si>
  <si>
    <t>RXZE1M4C</t>
  </si>
  <si>
    <t>NF125CV3P80A</t>
  </si>
  <si>
    <t>3300(53%)</t>
  </si>
  <si>
    <t>NF63CV3P50A</t>
  </si>
  <si>
    <t>NF63CV3P40A</t>
  </si>
  <si>
    <t>INV511804-1633</t>
  </si>
  <si>
    <t>J610702</t>
  </si>
  <si>
    <t>IV1804000098</t>
  </si>
  <si>
    <t>จ.รุ่งโรจน์อีเล็คโทรนิคส์</t>
  </si>
  <si>
    <t>T001304</t>
  </si>
  <si>
    <t>SATO2901</t>
  </si>
  <si>
    <t>INV00176762</t>
  </si>
  <si>
    <t>J610621</t>
  </si>
  <si>
    <t>WB123A2LG</t>
  </si>
  <si>
    <t>600(40%)</t>
  </si>
  <si>
    <t>Ty-08560</t>
  </si>
  <si>
    <t>J610199</t>
  </si>
  <si>
    <t>M8X50STUD</t>
  </si>
  <si>
    <t>BUSHM6</t>
  </si>
  <si>
    <t>ฐานตู้ U3</t>
  </si>
  <si>
    <t>J610706</t>
  </si>
  <si>
    <t>นายแซท ดอท คอม</t>
  </si>
  <si>
    <t>UCLAMP</t>
  </si>
  <si>
    <t>IV16104-01410</t>
  </si>
  <si>
    <t>IV6104-142</t>
  </si>
  <si>
    <t>327-16338</t>
  </si>
  <si>
    <t>J610653</t>
  </si>
  <si>
    <t>327-16337</t>
  </si>
  <si>
    <t>J610343</t>
  </si>
  <si>
    <t>327-16336</t>
  </si>
  <si>
    <t>SI1804014416</t>
  </si>
  <si>
    <t>OFFICE-300175</t>
  </si>
  <si>
    <t>IV6104020</t>
  </si>
  <si>
    <t>880(57%)</t>
  </si>
  <si>
    <t>1150(57%)</t>
  </si>
  <si>
    <t>XB7NA31</t>
  </si>
  <si>
    <t>178(57%)</t>
  </si>
  <si>
    <t>XB7NA42</t>
  </si>
  <si>
    <t>355(57%)</t>
  </si>
  <si>
    <t>305(57%)</t>
  </si>
  <si>
    <t>160(57%)</t>
  </si>
  <si>
    <t>SI1804012409</t>
  </si>
  <si>
    <t>61-04-0256</t>
  </si>
  <si>
    <t>J610256</t>
  </si>
  <si>
    <t>5LBSNALF24</t>
  </si>
  <si>
    <t>5CEF2463</t>
  </si>
  <si>
    <t>IV611231</t>
  </si>
  <si>
    <t xml:space="preserve">ใช้กับงานรถ </t>
  </si>
  <si>
    <t>SE2P100</t>
  </si>
  <si>
    <t>FE2P100</t>
  </si>
  <si>
    <t>IV6104005</t>
  </si>
  <si>
    <t>STUDM6x15</t>
  </si>
  <si>
    <t>STUDM8X30SUS</t>
  </si>
  <si>
    <t>STUDM5x25</t>
  </si>
  <si>
    <t>IV16104-00129</t>
  </si>
  <si>
    <t>M4x15JP</t>
  </si>
  <si>
    <t>0.149(30%)</t>
  </si>
  <si>
    <t>SR4X3/8</t>
  </si>
  <si>
    <t>0.092(48%)</t>
  </si>
  <si>
    <t>2.0(55%)</t>
  </si>
  <si>
    <t>IV610404069</t>
  </si>
  <si>
    <t>M8x40</t>
  </si>
  <si>
    <t>2.05(35%)</t>
  </si>
  <si>
    <t>M8x45</t>
  </si>
  <si>
    <t>2.24(35%)</t>
  </si>
  <si>
    <t>ARS-19100854</t>
  </si>
  <si>
    <t>ขาย TSM</t>
  </si>
  <si>
    <t>TOOLYSA001</t>
  </si>
  <si>
    <t>51900(20%)</t>
  </si>
  <si>
    <t>IV16206-00320</t>
  </si>
  <si>
    <t>0.275(15%)</t>
  </si>
  <si>
    <t>0.191(20%)</t>
  </si>
  <si>
    <t>IV06880</t>
  </si>
  <si>
    <t>แอดวานซ์ เพาเวอร์ไลน์</t>
  </si>
  <si>
    <t>TR100BK</t>
  </si>
  <si>
    <t>600(10%)</t>
  </si>
  <si>
    <t>IV1900987</t>
  </si>
  <si>
    <t>J620529</t>
  </si>
  <si>
    <t>เหล็กแผ่น</t>
  </si>
  <si>
    <t>เหล็กฉาก</t>
  </si>
  <si>
    <t>IV04233</t>
  </si>
  <si>
    <t>INV511906-0011</t>
  </si>
  <si>
    <t>IV6206075</t>
  </si>
  <si>
    <t>J620787</t>
  </si>
  <si>
    <t>IV6206-00169</t>
  </si>
  <si>
    <t>J620809</t>
  </si>
  <si>
    <t>IV0600113</t>
  </si>
  <si>
    <t>IV6206060090</t>
  </si>
  <si>
    <t>6206000850/1</t>
  </si>
  <si>
    <t>GHR25GX10N2</t>
  </si>
  <si>
    <t>IV19060020</t>
  </si>
  <si>
    <t>AG76NV</t>
  </si>
  <si>
    <t>SP1570</t>
  </si>
  <si>
    <t>TGN01208</t>
  </si>
  <si>
    <t>SR5002/42112</t>
  </si>
  <si>
    <t>M12x80SUS</t>
  </si>
  <si>
    <t>29.7(40%)</t>
  </si>
  <si>
    <t>7.6(40%)</t>
  </si>
  <si>
    <t>IV6105642</t>
  </si>
  <si>
    <t>เหมา .69kg</t>
  </si>
  <si>
    <t>J611086</t>
  </si>
  <si>
    <t>powder44004AQ</t>
  </si>
  <si>
    <t>J611016</t>
  </si>
  <si>
    <t>IV61-0223</t>
  </si>
  <si>
    <t>J610900</t>
  </si>
  <si>
    <t>BUSCHPC37</t>
  </si>
  <si>
    <t>IV5051240</t>
  </si>
  <si>
    <t>T5S630R630A</t>
  </si>
  <si>
    <t>27500(61%)</t>
  </si>
  <si>
    <t>A1N1253P70A</t>
  </si>
  <si>
    <t>3550(61%)</t>
  </si>
  <si>
    <t>332-16580</t>
  </si>
  <si>
    <t>I00356062</t>
  </si>
  <si>
    <t>OFFICE-0215104</t>
  </si>
  <si>
    <t>336/16790</t>
  </si>
  <si>
    <t>SI1805087536</t>
  </si>
  <si>
    <t>OFFICE-6004367</t>
  </si>
  <si>
    <t>OFFICE-5005891</t>
  </si>
  <si>
    <t>IV6105-745</t>
  </si>
  <si>
    <t>IV6105604</t>
  </si>
  <si>
    <t>M6x35JF</t>
  </si>
  <si>
    <t>M12x30</t>
  </si>
  <si>
    <t>3.69(35%)</t>
  </si>
  <si>
    <t>M12x55</t>
  </si>
  <si>
    <t>0.75(40%)</t>
  </si>
  <si>
    <t>IV16105-04638</t>
  </si>
  <si>
    <t>0.9(48%)</t>
  </si>
  <si>
    <t>M4x6JTSUS</t>
  </si>
  <si>
    <t>0.78(62%)</t>
  </si>
  <si>
    <t>M6x20JTSUS</t>
  </si>
  <si>
    <t>3.3(62%)</t>
  </si>
  <si>
    <t>INV6105-0219</t>
  </si>
  <si>
    <t>PC-001N</t>
  </si>
  <si>
    <t>IV61005270</t>
  </si>
  <si>
    <t>สหกิจรุ่งเรือง</t>
  </si>
  <si>
    <t>BLACKBEAR</t>
  </si>
  <si>
    <t>IV18054042</t>
  </si>
  <si>
    <t>INV6105-0208</t>
  </si>
  <si>
    <t>mk2018-2825</t>
  </si>
  <si>
    <t>550(15%)</t>
  </si>
  <si>
    <t>GL01022</t>
  </si>
  <si>
    <t>220(5%)</t>
  </si>
  <si>
    <t>INV511805-2829</t>
  </si>
  <si>
    <t>INV511805-2533</t>
  </si>
  <si>
    <t>200(50%)</t>
  </si>
  <si>
    <t>P1805-07</t>
  </si>
  <si>
    <t>แอสวันโปรเกรส</t>
  </si>
  <si>
    <t>H610503806</t>
  </si>
  <si>
    <t>ซ่อมพัดลม</t>
  </si>
  <si>
    <t>CAPACITOR015UF</t>
  </si>
  <si>
    <t>334-16660</t>
  </si>
  <si>
    <t>เครื่องแพ็ค</t>
  </si>
  <si>
    <t>DIAMONDFILINGS</t>
  </si>
  <si>
    <t>334-16659</t>
  </si>
  <si>
    <t>LT18W</t>
  </si>
  <si>
    <t>161-05-10</t>
  </si>
  <si>
    <t>IV16105-02528</t>
  </si>
  <si>
    <t>6105000528/1</t>
  </si>
  <si>
    <t>พี.ซี.พี เอ็นจิเนียริ่ง</t>
  </si>
  <si>
    <t>COVERKEY</t>
  </si>
  <si>
    <t>I610468</t>
  </si>
  <si>
    <t>CONTACTM8</t>
  </si>
  <si>
    <t>6104000503/1</t>
  </si>
  <si>
    <t>MF7FT40046</t>
  </si>
  <si>
    <t>INV511805-1434</t>
  </si>
  <si>
    <t>A9L40601</t>
  </si>
  <si>
    <t>IV6105243</t>
  </si>
  <si>
    <t>เกรียงไทยวัฒนา</t>
  </si>
  <si>
    <t>40(30%)</t>
  </si>
  <si>
    <t>108(30%)</t>
  </si>
  <si>
    <t>225(30%)</t>
  </si>
  <si>
    <t>INV590489</t>
  </si>
  <si>
    <t>SHOMSINOV</t>
  </si>
  <si>
    <t>143-9295</t>
  </si>
  <si>
    <t>TRB10N</t>
  </si>
  <si>
    <t>BL6105-00012</t>
  </si>
  <si>
    <t>G001617</t>
  </si>
  <si>
    <t>IV611603</t>
  </si>
  <si>
    <t>J610898</t>
  </si>
  <si>
    <t>IV6105020</t>
  </si>
  <si>
    <t>J610830</t>
  </si>
  <si>
    <t>INV511805-0723</t>
  </si>
  <si>
    <t>J610878,882</t>
  </si>
  <si>
    <t>332-16569</t>
  </si>
  <si>
    <t>UBOLOT034</t>
  </si>
  <si>
    <t>IV6100423</t>
  </si>
  <si>
    <t>80(40+5+7%)</t>
  </si>
  <si>
    <t>IV61050149</t>
  </si>
  <si>
    <t>IV6105093</t>
  </si>
  <si>
    <t>IV1050058</t>
  </si>
  <si>
    <t>VF011</t>
  </si>
  <si>
    <t>VC-5.5BK</t>
  </si>
  <si>
    <t>VC-5.5GY</t>
  </si>
  <si>
    <t>VC-5.5LB</t>
  </si>
  <si>
    <t>SL50-6</t>
  </si>
  <si>
    <t>IV6105006</t>
  </si>
  <si>
    <t>M6x15TP</t>
  </si>
  <si>
    <t>3(30%)</t>
  </si>
  <si>
    <t>8(35%)</t>
  </si>
  <si>
    <t>IV16105-00392</t>
  </si>
  <si>
    <t>M8x25HDG</t>
  </si>
  <si>
    <t>2.(45%)</t>
  </si>
  <si>
    <t>0.36(45%)</t>
  </si>
  <si>
    <t>3.4(45%)</t>
  </si>
  <si>
    <t>0.5(55%)</t>
  </si>
  <si>
    <t>LN5</t>
  </si>
  <si>
    <t>LN10</t>
  </si>
  <si>
    <t>143-9268</t>
  </si>
  <si>
    <t>IV18050417</t>
  </si>
  <si>
    <t>2220(55%)</t>
  </si>
  <si>
    <t>PTSTANLEY8160</t>
  </si>
  <si>
    <t>7560(25%)</t>
  </si>
  <si>
    <t>25-1216</t>
  </si>
  <si>
    <t>ร้านจงกุล</t>
  </si>
  <si>
    <t>JEANS8x012</t>
  </si>
  <si>
    <t>LUMPGREEN</t>
  </si>
  <si>
    <t>เครื่องตัด</t>
  </si>
  <si>
    <t>FANIT18WH</t>
  </si>
  <si>
    <t>INV511906-0718</t>
  </si>
  <si>
    <t>J620833</t>
  </si>
  <si>
    <t>422-21096</t>
  </si>
  <si>
    <t>PVC1</t>
  </si>
  <si>
    <t>422-21087</t>
  </si>
  <si>
    <t>WEG-6803K</t>
  </si>
  <si>
    <t>เอบีบี</t>
  </si>
  <si>
    <t>3HAC044075</t>
  </si>
  <si>
    <t>IV6206-00206</t>
  </si>
  <si>
    <t>J620593-0595</t>
  </si>
  <si>
    <t>CL6202086</t>
  </si>
  <si>
    <t>เดินระบบสายแลนด์</t>
  </si>
  <si>
    <t>US-9116</t>
  </si>
  <si>
    <t>US-1002</t>
  </si>
  <si>
    <t>IV620600915</t>
  </si>
  <si>
    <t>J620417</t>
  </si>
  <si>
    <t>CL189L2BZ</t>
  </si>
  <si>
    <t>IV0600358</t>
  </si>
  <si>
    <t>IV6206164</t>
  </si>
  <si>
    <t>FUSE05A</t>
  </si>
  <si>
    <t>INV590515</t>
  </si>
  <si>
    <t>#44</t>
  </si>
  <si>
    <t>INV511806-4133</t>
  </si>
  <si>
    <t>CT1000/5</t>
  </si>
  <si>
    <t>330(25+5%)</t>
  </si>
  <si>
    <t>SOC-92059</t>
  </si>
  <si>
    <t>Z42426053</t>
  </si>
  <si>
    <t>ENDPLATEAP4TK</t>
  </si>
  <si>
    <t>INV6106-0265</t>
  </si>
  <si>
    <t>INV6106-0257</t>
  </si>
  <si>
    <t>STOPER001</t>
  </si>
  <si>
    <t>INV00178104</t>
  </si>
  <si>
    <t>TPWS7L</t>
  </si>
  <si>
    <t>4065(35%)</t>
  </si>
  <si>
    <t>31-1523</t>
  </si>
  <si>
    <t>ร้านสมนึกแก๊ส</t>
  </si>
  <si>
    <t>KB5</t>
  </si>
  <si>
    <t>IV6100599</t>
  </si>
  <si>
    <t>715(50+10%)</t>
  </si>
  <si>
    <t>2561-2798</t>
  </si>
  <si>
    <t>IV6106027</t>
  </si>
  <si>
    <t>ขายIV6106027</t>
  </si>
  <si>
    <t>MF72421</t>
  </si>
  <si>
    <t>IV6106026</t>
  </si>
  <si>
    <t>J611224</t>
  </si>
  <si>
    <t>343-17144</t>
  </si>
  <si>
    <t>PITCHBALL012</t>
  </si>
  <si>
    <t>CAPM034</t>
  </si>
  <si>
    <t>SOC-91949</t>
  </si>
  <si>
    <t>WIPOSPS1</t>
  </si>
  <si>
    <t>JUMPERLINK</t>
  </si>
  <si>
    <t>I00357627</t>
  </si>
  <si>
    <t>OFFICE-0200065</t>
  </si>
  <si>
    <t>INV511806-2632</t>
  </si>
  <si>
    <t>J611243</t>
  </si>
  <si>
    <t>IV6106632</t>
  </si>
  <si>
    <t>ฝาปิดท่อระบายน้ำ</t>
  </si>
  <si>
    <t>IV6101783</t>
  </si>
  <si>
    <t>STICKOPENCLOSE</t>
  </si>
  <si>
    <t>1806CN001095</t>
  </si>
  <si>
    <t>IV6106534</t>
  </si>
  <si>
    <t>.018(50%)</t>
  </si>
  <si>
    <t>IV6106280</t>
  </si>
  <si>
    <t>INV511806-2131</t>
  </si>
  <si>
    <t>LV510337</t>
  </si>
  <si>
    <t>SOC-91042</t>
  </si>
  <si>
    <t>ULTRASLIM</t>
  </si>
  <si>
    <t>APC42031</t>
  </si>
  <si>
    <t>IV18060236</t>
  </si>
  <si>
    <t>6106000712/1</t>
  </si>
  <si>
    <t>WTU216S</t>
  </si>
  <si>
    <t>IV18060231</t>
  </si>
  <si>
    <t>IV6106442</t>
  </si>
  <si>
    <t>SN8SUS</t>
  </si>
  <si>
    <t>2.8(50%)</t>
  </si>
  <si>
    <t>WNM10</t>
  </si>
  <si>
    <t>P1806-11</t>
  </si>
  <si>
    <t>INV590505</t>
  </si>
  <si>
    <t>#46</t>
  </si>
  <si>
    <t>IV6101160</t>
  </si>
  <si>
    <t>แผนก</t>
  </si>
  <si>
    <t>INV511806-1654</t>
  </si>
  <si>
    <t>J611201</t>
  </si>
  <si>
    <t>QO110VSC6T</t>
  </si>
  <si>
    <t>QO132C06RCBO30</t>
  </si>
  <si>
    <t>QO140C06RCBO30</t>
  </si>
  <si>
    <t>QO363VSC10T</t>
  </si>
  <si>
    <t>QO3100EZ36GSN</t>
  </si>
  <si>
    <t>EZC100H3100T</t>
  </si>
  <si>
    <t>IV6106-01255</t>
  </si>
  <si>
    <t>J610981</t>
  </si>
  <si>
    <t>BBFC27350</t>
  </si>
  <si>
    <t>341-17005</t>
  </si>
  <si>
    <t>จงจิตต์</t>
  </si>
  <si>
    <t>341-17004</t>
  </si>
  <si>
    <t>341-17003</t>
  </si>
  <si>
    <t>SI1806033095</t>
  </si>
  <si>
    <t>OFFICE-0321320</t>
  </si>
  <si>
    <t>OFFICE-8002384</t>
  </si>
  <si>
    <t>IV6106322</t>
  </si>
  <si>
    <t>IV6106293</t>
  </si>
  <si>
    <t>0.4(35%)</t>
  </si>
  <si>
    <t>M6x25JP</t>
  </si>
  <si>
    <t>0.42(30%)</t>
  </si>
  <si>
    <t>145-9421</t>
  </si>
  <si>
    <t>IV18061868</t>
  </si>
  <si>
    <t>0.7(40%)</t>
  </si>
  <si>
    <t>1.8(40%)</t>
  </si>
  <si>
    <t>IV1060188</t>
  </si>
  <si>
    <t>IV6106199</t>
  </si>
  <si>
    <t>เครื่องCNC</t>
  </si>
  <si>
    <t>340-16954</t>
  </si>
  <si>
    <t>MAXCO012</t>
  </si>
  <si>
    <t>MAXCO14</t>
  </si>
  <si>
    <t>IV16106-01342</t>
  </si>
  <si>
    <t>DP6SUS</t>
  </si>
  <si>
    <t>0.5(65%)</t>
  </si>
  <si>
    <t>M6x35JTSUS</t>
  </si>
  <si>
    <t>4.6(60%)</t>
  </si>
  <si>
    <t>M8x70SUS</t>
  </si>
  <si>
    <t>11.2(50%)</t>
  </si>
  <si>
    <t>M6x10SUS</t>
  </si>
  <si>
    <t>1.9(65%)</t>
  </si>
  <si>
    <t>SR5002-42184</t>
  </si>
  <si>
    <t>SOCKETSUS01</t>
  </si>
  <si>
    <t>M10x40SUS</t>
  </si>
  <si>
    <t>12.6(40%)</t>
  </si>
  <si>
    <t>M10x60SUS</t>
  </si>
  <si>
    <t>16.5(40%)</t>
  </si>
  <si>
    <t>5.1(40%)</t>
  </si>
  <si>
    <t>2(40%)</t>
  </si>
  <si>
    <t>TAP24x50</t>
  </si>
  <si>
    <t>RT201806019</t>
  </si>
  <si>
    <t>SERVICEAMADA</t>
  </si>
  <si>
    <t>เหล็กแผ่นดำ</t>
  </si>
  <si>
    <t>ฐานตู้เหล็กฉาก</t>
  </si>
  <si>
    <t>IV18060053</t>
  </si>
  <si>
    <t>339/16930</t>
  </si>
  <si>
    <t>MOF</t>
  </si>
  <si>
    <t>339-16929</t>
  </si>
  <si>
    <t>CL6102064</t>
  </si>
  <si>
    <t>PLBN010C</t>
  </si>
  <si>
    <t>J611014</t>
  </si>
  <si>
    <t>WT4</t>
  </si>
  <si>
    <t>WIPOSPS2410</t>
  </si>
  <si>
    <t>WK4TKMU</t>
  </si>
  <si>
    <t>WK4THSI</t>
  </si>
  <si>
    <t>SOCKETFOR34</t>
  </si>
  <si>
    <t>FANUCBASIC</t>
  </si>
  <si>
    <t>FANUCHOURLY</t>
  </si>
  <si>
    <t>WNG6803</t>
  </si>
  <si>
    <t>INV511806-0377</t>
  </si>
  <si>
    <t>IV6106001</t>
  </si>
  <si>
    <t>J611016,089</t>
  </si>
  <si>
    <t>SURGESTP230</t>
  </si>
  <si>
    <t>IV5060244</t>
  </si>
  <si>
    <t>715(55+5%)</t>
  </si>
  <si>
    <t>I00356545</t>
  </si>
  <si>
    <t>OFFICE-0220061</t>
  </si>
  <si>
    <t>CS6100801255</t>
  </si>
  <si>
    <t>BATTERYDJW612</t>
  </si>
  <si>
    <t>IV2019062</t>
  </si>
  <si>
    <t>RIP19-061102</t>
  </si>
  <si>
    <t>J620868,865</t>
  </si>
  <si>
    <t>mk2019-3295</t>
  </si>
  <si>
    <t>IV0012858</t>
  </si>
  <si>
    <t>GL3MTGSOFTL</t>
  </si>
  <si>
    <t>2562-099</t>
  </si>
  <si>
    <t>สีน้ำเงิน</t>
  </si>
  <si>
    <t>สีขาว</t>
  </si>
  <si>
    <t>IVN201906017</t>
  </si>
  <si>
    <t>H610708411</t>
  </si>
  <si>
    <t>DGR154503</t>
  </si>
  <si>
    <t>05-243</t>
  </si>
  <si>
    <t>PRESSURESWITCH</t>
  </si>
  <si>
    <t xml:space="preserve">โกลเด้น ฟิลเตอร์ </t>
  </si>
  <si>
    <t>FILTERGFN100</t>
  </si>
  <si>
    <t>097-4802</t>
  </si>
  <si>
    <t>IV0000067524</t>
  </si>
  <si>
    <t>คอมพ์ ดีเวลลอปเปอร์</t>
  </si>
  <si>
    <t>UPGRADECD</t>
  </si>
  <si>
    <t>61-133</t>
  </si>
  <si>
    <t>ฮิโนโมโต</t>
  </si>
  <si>
    <t>DIERO5.4</t>
  </si>
  <si>
    <t>INSERTPUNCH</t>
  </si>
  <si>
    <t>096-4789</t>
  </si>
  <si>
    <t>ACC-กระดาษลูกฟูกB</t>
  </si>
  <si>
    <t>IV61071137</t>
  </si>
  <si>
    <t>YDB001</t>
  </si>
  <si>
    <t>IV6102169</t>
  </si>
  <si>
    <t>STICKCLOSEOPEN</t>
  </si>
  <si>
    <t>IV6107662</t>
  </si>
  <si>
    <t>6106000792/1</t>
  </si>
  <si>
    <t>INV6107-0213</t>
  </si>
  <si>
    <t>PC-002</t>
  </si>
  <si>
    <t>INV6107-0212</t>
  </si>
  <si>
    <t>IV1610704223</t>
  </si>
  <si>
    <t>M4x10JTSUS</t>
  </si>
  <si>
    <t>0.88(60%)</t>
  </si>
  <si>
    <t>M5x10JTSUS</t>
  </si>
  <si>
    <t>1.6(60%)</t>
  </si>
  <si>
    <t>M8x25SUS</t>
  </si>
  <si>
    <t>5.3(65%)</t>
  </si>
  <si>
    <t>DP8SUS</t>
  </si>
  <si>
    <t>1.1(65%)</t>
  </si>
  <si>
    <t>2.8(65%)</t>
  </si>
  <si>
    <t>350-17489</t>
  </si>
  <si>
    <t>6107000861/1</t>
  </si>
  <si>
    <t>350-17488</t>
  </si>
  <si>
    <t>ACC-เชือก</t>
  </si>
  <si>
    <t>ACC-ลวดอลู</t>
  </si>
  <si>
    <t>INV511807-2631</t>
  </si>
  <si>
    <t>J611419</t>
  </si>
  <si>
    <t>LV430840</t>
  </si>
  <si>
    <t>SR5002-42846</t>
  </si>
  <si>
    <t>J611468</t>
  </si>
  <si>
    <t>M12x50SUS</t>
  </si>
  <si>
    <t>IV61-0326</t>
  </si>
  <si>
    <t>J611264</t>
  </si>
  <si>
    <t>BUSHM16x110</t>
  </si>
  <si>
    <t>IV6107549</t>
  </si>
  <si>
    <t>M6x15JF</t>
  </si>
  <si>
    <t>0.32(30%)</t>
  </si>
  <si>
    <t>INV6107-0174</t>
  </si>
  <si>
    <t>SP1200</t>
  </si>
  <si>
    <t>IV6107091</t>
  </si>
  <si>
    <t>ใช้รถ6ล้อ</t>
  </si>
  <si>
    <t>วีเอ็น ซอฟท์สลิง</t>
  </si>
  <si>
    <t>RATCHET2x8</t>
  </si>
  <si>
    <t>IV1070312</t>
  </si>
  <si>
    <t>SR5002-42793</t>
  </si>
  <si>
    <t>J611331</t>
  </si>
  <si>
    <t>PHUK516</t>
  </si>
  <si>
    <t>M516x212SUS</t>
  </si>
  <si>
    <t>05-0213</t>
  </si>
  <si>
    <t>ซ่อมปั้มน้ำ</t>
  </si>
  <si>
    <t>KITZ034</t>
  </si>
  <si>
    <t>U20180070958</t>
  </si>
  <si>
    <t>J611435</t>
  </si>
  <si>
    <t>NF400CW3P400A</t>
  </si>
  <si>
    <t>15500(50%)</t>
  </si>
  <si>
    <t>NF250CV3P250A</t>
  </si>
  <si>
    <t>6500(50%)</t>
  </si>
  <si>
    <t>NF250CV3P150A</t>
  </si>
  <si>
    <t>NF125CV3P100A</t>
  </si>
  <si>
    <t>3300(50%)</t>
  </si>
  <si>
    <t>NF63HV3P63A</t>
  </si>
  <si>
    <t>2200(50%)</t>
  </si>
  <si>
    <t>STUDM5x10SUS</t>
  </si>
  <si>
    <t>P1807-16</t>
  </si>
  <si>
    <t>INV511807-1691</t>
  </si>
  <si>
    <t>METSEPM5350</t>
  </si>
  <si>
    <t>IV6107053</t>
  </si>
  <si>
    <t>SLING4T8M</t>
  </si>
  <si>
    <t>SLING5x2</t>
  </si>
  <si>
    <t>V72400000780908</t>
  </si>
  <si>
    <t>V72400000723233</t>
  </si>
  <si>
    <t>IV16107-01903</t>
  </si>
  <si>
    <t>215(40%)</t>
  </si>
  <si>
    <t>RN18070001</t>
  </si>
  <si>
    <t>CROWA11</t>
  </si>
  <si>
    <t>IV18070120</t>
  </si>
  <si>
    <t>348-17355</t>
  </si>
  <si>
    <t>J611004+STOCK</t>
  </si>
  <si>
    <t>TIGWP0135</t>
  </si>
  <si>
    <t>2018-00427</t>
  </si>
  <si>
    <t>เครื่องยิงสตัด</t>
  </si>
  <si>
    <t>245(20+3%)</t>
  </si>
  <si>
    <t>54(20+3%)</t>
  </si>
  <si>
    <t>45(20+3%)</t>
  </si>
  <si>
    <t>IV6107184</t>
  </si>
  <si>
    <t>IV0077004</t>
  </si>
  <si>
    <t>J611164</t>
  </si>
  <si>
    <t>SI1807015294</t>
  </si>
  <si>
    <t>INV511807-0486</t>
  </si>
  <si>
    <t>J611306</t>
  </si>
  <si>
    <t>IV6107130</t>
  </si>
  <si>
    <t>61060000792/1</t>
  </si>
  <si>
    <t>IV6107121</t>
  </si>
  <si>
    <t>222-11082</t>
  </si>
  <si>
    <t>IV180770007</t>
  </si>
  <si>
    <t>WT308LSI16KT</t>
  </si>
  <si>
    <t>IV180770008</t>
  </si>
  <si>
    <t>IV180770009</t>
  </si>
  <si>
    <t>INV511807-0217</t>
  </si>
  <si>
    <t>IV1880843</t>
  </si>
  <si>
    <t>IV6107014</t>
  </si>
  <si>
    <t>SOC92438</t>
  </si>
  <si>
    <t>IV6108599</t>
  </si>
  <si>
    <t>J611783</t>
  </si>
  <si>
    <t>INV61080250</t>
  </si>
  <si>
    <t>040-1959</t>
  </si>
  <si>
    <t>J611813</t>
  </si>
  <si>
    <t>IV6108528</t>
  </si>
  <si>
    <t>J611743</t>
  </si>
  <si>
    <t>LCSAH2L</t>
  </si>
  <si>
    <t>IV6100828</t>
  </si>
  <si>
    <t>J611788,1616</t>
  </si>
  <si>
    <t>69970(50+5%)</t>
  </si>
  <si>
    <t>TIV6108263</t>
  </si>
  <si>
    <t>VACON01003L</t>
  </si>
  <si>
    <t>I00362095</t>
  </si>
  <si>
    <t>IV6108908</t>
  </si>
  <si>
    <t>INV00179337</t>
  </si>
  <si>
    <t>EM TECH</t>
  </si>
  <si>
    <t>CT220</t>
  </si>
  <si>
    <t>220(35%)</t>
  </si>
  <si>
    <t>CT430</t>
  </si>
  <si>
    <t>450(35%)</t>
  </si>
  <si>
    <t>CJ430</t>
  </si>
  <si>
    <t>400(35%)</t>
  </si>
  <si>
    <t>ซ่อม IT</t>
  </si>
  <si>
    <t>HD600G</t>
  </si>
  <si>
    <t>ASSYCARR</t>
  </si>
  <si>
    <t>SCR632X225</t>
  </si>
  <si>
    <t>IV18085568</t>
  </si>
  <si>
    <t>IV5081267</t>
  </si>
  <si>
    <t>J611651</t>
  </si>
  <si>
    <t>175(50+10+5%)</t>
  </si>
  <si>
    <t>IV16108-05487</t>
  </si>
  <si>
    <t>0.69(45%)</t>
  </si>
  <si>
    <t>2.0(45%)</t>
  </si>
  <si>
    <t>PCE4132</t>
  </si>
  <si>
    <t>355(35+3%)</t>
  </si>
  <si>
    <t>SI1808092151</t>
  </si>
  <si>
    <t>OFFICE-5005030</t>
  </si>
  <si>
    <t>TOOL7180117</t>
  </si>
  <si>
    <t>I00361734</t>
  </si>
  <si>
    <t>OFFIGCE-0414003</t>
  </si>
  <si>
    <t>OFFIGCE-0150027</t>
  </si>
  <si>
    <t>INV590544</t>
  </si>
  <si>
    <t>#45</t>
  </si>
  <si>
    <t>BUSHM8</t>
  </si>
  <si>
    <t>SI180804357</t>
  </si>
  <si>
    <t>OFFICE-1061236</t>
  </si>
  <si>
    <t>OFFICE-1061235</t>
  </si>
  <si>
    <t>OFFICE-1061237</t>
  </si>
  <si>
    <t>IV6108651</t>
  </si>
  <si>
    <t>SRST6</t>
  </si>
  <si>
    <t>I53748</t>
  </si>
  <si>
    <t>INV6108-0169</t>
  </si>
  <si>
    <t>358-17866</t>
  </si>
  <si>
    <t>358-17865</t>
  </si>
  <si>
    <t>LT36W</t>
  </si>
  <si>
    <t>KNB6204</t>
  </si>
  <si>
    <t>CL6103122</t>
  </si>
  <si>
    <t>SE6108305</t>
  </si>
  <si>
    <t>SERVICEDI81</t>
  </si>
  <si>
    <t>CIS0001-0384493</t>
  </si>
  <si>
    <t>J611344</t>
  </si>
  <si>
    <t>LC1DO9E7</t>
  </si>
  <si>
    <t>LC1D258E7</t>
  </si>
  <si>
    <t>7760(58%)</t>
  </si>
  <si>
    <t>LADRO</t>
  </si>
  <si>
    <t>2610(58%)</t>
  </si>
  <si>
    <t>IV6108445</t>
  </si>
  <si>
    <t>357-17801</t>
  </si>
  <si>
    <t>IV6101683</t>
  </si>
  <si>
    <t>ซ่อมปืน</t>
  </si>
  <si>
    <t>IVID6108-00096</t>
  </si>
  <si>
    <t>อินเตอร์ ดาต้า</t>
  </si>
  <si>
    <t>SERVICEDATA</t>
  </si>
  <si>
    <t>1015(57%)</t>
  </si>
  <si>
    <t>เครื่องพับFBD</t>
  </si>
  <si>
    <t>R06S415</t>
  </si>
  <si>
    <t>R06</t>
  </si>
  <si>
    <t>DIE12x20L835</t>
  </si>
  <si>
    <t>DIE12X20</t>
  </si>
  <si>
    <t>R06L835</t>
  </si>
  <si>
    <t>149-9848</t>
  </si>
  <si>
    <t>1809CN001724</t>
  </si>
  <si>
    <t>IV611006</t>
  </si>
  <si>
    <t>IV18090455</t>
  </si>
  <si>
    <t xml:space="preserve">อะไหล่เชื่อม </t>
  </si>
  <si>
    <t>IV18090454</t>
  </si>
  <si>
    <t>เครื่องพลาสม่า</t>
  </si>
  <si>
    <t>TET00814</t>
  </si>
  <si>
    <t>TET01507S</t>
  </si>
  <si>
    <t>10N24</t>
  </si>
  <si>
    <t>TET02033S</t>
  </si>
  <si>
    <t>IV16109-05974</t>
  </si>
  <si>
    <t>6109001200/1</t>
  </si>
  <si>
    <t>J612044</t>
  </si>
  <si>
    <t>M4x30SHSUS</t>
  </si>
  <si>
    <t>M038x75</t>
  </si>
  <si>
    <t>M5x15SHSUS</t>
  </si>
  <si>
    <t>38(20+10%)</t>
  </si>
  <si>
    <t>8.5(40%)</t>
  </si>
  <si>
    <t>AR1809/2052</t>
  </si>
  <si>
    <t>ปั้มลม</t>
  </si>
  <si>
    <t>ไฮคอม</t>
  </si>
  <si>
    <t>SERVICEHICOM</t>
  </si>
  <si>
    <t>320-15986</t>
  </si>
  <si>
    <t>J611914</t>
  </si>
  <si>
    <t>แสงเจริญซัพพลยาย</t>
  </si>
  <si>
    <t>HOLESAW28</t>
  </si>
  <si>
    <t>IV6109407</t>
  </si>
  <si>
    <t>AR1809-2017</t>
  </si>
  <si>
    <t>ซ่อมปั้มลม</t>
  </si>
  <si>
    <t>HI59031070</t>
  </si>
  <si>
    <t>HI59031170</t>
  </si>
  <si>
    <t>HI59031210</t>
  </si>
  <si>
    <t>HI59000030</t>
  </si>
  <si>
    <t>HI55172151</t>
  </si>
  <si>
    <t>HI5518A250</t>
  </si>
  <si>
    <t>FEMPS0070</t>
  </si>
  <si>
    <t>FEMPX0070</t>
  </si>
  <si>
    <t>IV180900205</t>
  </si>
  <si>
    <t>ซ่อม</t>
  </si>
  <si>
    <t>T001158</t>
  </si>
  <si>
    <t>IV6109813</t>
  </si>
  <si>
    <t>IV6109793</t>
  </si>
  <si>
    <t>CNV</t>
  </si>
  <si>
    <t>IV6102039</t>
  </si>
  <si>
    <t>ท็อปสตาร์</t>
  </si>
  <si>
    <t>SJ530B</t>
  </si>
  <si>
    <t>H3JA8C30S</t>
  </si>
  <si>
    <t>SI1809072831</t>
  </si>
  <si>
    <t>2561-4418</t>
  </si>
  <si>
    <t>J611753</t>
  </si>
  <si>
    <t>เอสเทล</t>
  </si>
  <si>
    <t>TR0107</t>
  </si>
  <si>
    <t>TR0052</t>
  </si>
  <si>
    <t>IV16109-04797</t>
  </si>
  <si>
    <t>366/18259</t>
  </si>
  <si>
    <t>INV511809-3109</t>
  </si>
  <si>
    <t>1809IV040094</t>
  </si>
  <si>
    <t>1420(57%)</t>
  </si>
  <si>
    <t>1809IV039986</t>
  </si>
  <si>
    <t>A9F84120</t>
  </si>
  <si>
    <t>450(50%)</t>
  </si>
  <si>
    <t>A9F84110</t>
  </si>
  <si>
    <t>IV6109706</t>
  </si>
  <si>
    <t>INV6109-0189</t>
  </si>
  <si>
    <t>INV00179835</t>
  </si>
  <si>
    <t>J611573</t>
  </si>
  <si>
    <t>TC402</t>
  </si>
  <si>
    <t>600(35%)</t>
  </si>
  <si>
    <t>GC6109120</t>
  </si>
  <si>
    <t>ผลิต-สี</t>
  </si>
  <si>
    <t>โกลบอล โค้ดติ้ง</t>
  </si>
  <si>
    <t>BUST03</t>
  </si>
  <si>
    <t>IV620600380</t>
  </si>
  <si>
    <t>J620594,783</t>
  </si>
  <si>
    <t>2019-07336860</t>
  </si>
  <si>
    <t>ขายจงจิตต์การไฟฟ้า</t>
  </si>
  <si>
    <t>I00381009</t>
  </si>
  <si>
    <t>IV1620602642</t>
  </si>
  <si>
    <t>HS6206114</t>
  </si>
  <si>
    <t>J620525</t>
  </si>
  <si>
    <t>IV6201049</t>
  </si>
  <si>
    <t>#39</t>
  </si>
  <si>
    <t>#38</t>
  </si>
  <si>
    <t>424-21154</t>
  </si>
  <si>
    <t>423-21149</t>
  </si>
  <si>
    <t>423-21147</t>
  </si>
  <si>
    <t>KNB6200Z</t>
  </si>
  <si>
    <t>423-21146</t>
  </si>
  <si>
    <t>BRASSBRUSH</t>
  </si>
  <si>
    <t>424-21156</t>
  </si>
  <si>
    <t>IRONFEET</t>
  </si>
  <si>
    <t>423-21144</t>
  </si>
  <si>
    <t>423-21143</t>
  </si>
  <si>
    <t>Paint roller10</t>
  </si>
  <si>
    <t>PLM602</t>
  </si>
  <si>
    <t>423-21145</t>
  </si>
  <si>
    <t>CN511809-0047</t>
  </si>
  <si>
    <t>LV429387</t>
  </si>
  <si>
    <t>TOOLING</t>
  </si>
  <si>
    <t>TOOL-74310734</t>
  </si>
  <si>
    <t>IV18094092</t>
  </si>
  <si>
    <t>OMR02</t>
  </si>
  <si>
    <t>IV6100292</t>
  </si>
  <si>
    <t>ใช้ซ่อมไลน์พ่นสี</t>
  </si>
  <si>
    <t>หยง เหว่ย</t>
  </si>
  <si>
    <t>CHAINBEARING</t>
  </si>
  <si>
    <t>CHAIN5T</t>
  </si>
  <si>
    <t>365-18214</t>
  </si>
  <si>
    <t>IV61004608</t>
  </si>
  <si>
    <t>กิจจาแอดวานซ์</t>
  </si>
  <si>
    <t>GARVV9002</t>
  </si>
  <si>
    <t>AR1809-1958</t>
  </si>
  <si>
    <t>SERVICEOSP22S5A</t>
  </si>
  <si>
    <t>ค่าบริการรายปี</t>
  </si>
  <si>
    <t>SERVIGCEARX50J</t>
  </si>
  <si>
    <t>IV6101374</t>
  </si>
  <si>
    <t>J611850</t>
  </si>
  <si>
    <t xml:space="preserve">เอวีร่า </t>
  </si>
  <si>
    <t>CVMNRG96</t>
  </si>
  <si>
    <t>INV511809-2422</t>
  </si>
  <si>
    <t>J611904</t>
  </si>
  <si>
    <t>LV516303</t>
  </si>
  <si>
    <t>LV510305</t>
  </si>
  <si>
    <t>NF63CV3P16A</t>
  </si>
  <si>
    <t>INV511/09-2171</t>
  </si>
  <si>
    <t>IV18093398</t>
  </si>
  <si>
    <t>J611828</t>
  </si>
  <si>
    <t>OMR26</t>
  </si>
  <si>
    <t>DO6109-0124</t>
  </si>
  <si>
    <t>J611903</t>
  </si>
  <si>
    <t>IV16109-03143</t>
  </si>
  <si>
    <t>CP86</t>
  </si>
  <si>
    <t>510(50%)</t>
  </si>
  <si>
    <t>1809IV039056</t>
  </si>
  <si>
    <t>6109001122/1</t>
  </si>
  <si>
    <t>GVAD0101</t>
  </si>
  <si>
    <t>770(57%)</t>
  </si>
  <si>
    <t>IV061090032</t>
  </si>
  <si>
    <t>TH2385</t>
  </si>
  <si>
    <t>INV511809-1886</t>
  </si>
  <si>
    <t>J611570</t>
  </si>
  <si>
    <t>LRD16</t>
  </si>
  <si>
    <t>1809IV038938</t>
  </si>
  <si>
    <t>CT800/5</t>
  </si>
  <si>
    <t>MY4N-GS-24</t>
  </si>
  <si>
    <t>MY2N-GS-24</t>
  </si>
  <si>
    <t>6500(54%)</t>
  </si>
  <si>
    <t>61-175</t>
  </si>
  <si>
    <t>R02L835</t>
  </si>
  <si>
    <t>R02S415</t>
  </si>
  <si>
    <t>R02</t>
  </si>
  <si>
    <t>DIE50590</t>
  </si>
  <si>
    <t>S20180090208</t>
  </si>
  <si>
    <t>CAPACITOR20KV</t>
  </si>
  <si>
    <t>CAPACITOR40KV</t>
  </si>
  <si>
    <t>CAPACITOR80KV</t>
  </si>
  <si>
    <t>REACTOR20KV</t>
  </si>
  <si>
    <t>REACTOR40KV</t>
  </si>
  <si>
    <t>CONTROLMS120</t>
  </si>
  <si>
    <t>U20180090772</t>
  </si>
  <si>
    <t>CONTACTORST35</t>
  </si>
  <si>
    <t>CONTACTORST65</t>
  </si>
  <si>
    <t>CONTACTORSN125</t>
  </si>
  <si>
    <t>0.36(40%)</t>
  </si>
  <si>
    <t>363/18148</t>
  </si>
  <si>
    <t>INV511809-1613</t>
  </si>
  <si>
    <t>LV431632</t>
  </si>
  <si>
    <t>LV430631</t>
  </si>
  <si>
    <t>LV429630</t>
  </si>
  <si>
    <t>LV429632</t>
  </si>
  <si>
    <t>LV429634</t>
  </si>
  <si>
    <t>LV429635</t>
  </si>
  <si>
    <t>LV429636</t>
  </si>
  <si>
    <t>LV429633</t>
  </si>
  <si>
    <t>LV430630</t>
  </si>
  <si>
    <t>LV431631</t>
  </si>
  <si>
    <t>NW1613F6EM</t>
  </si>
  <si>
    <t>NW2013F6EM</t>
  </si>
  <si>
    <t>MVS08N3MF2L</t>
  </si>
  <si>
    <t>INV511809-1472</t>
  </si>
  <si>
    <t>J611828,1829</t>
  </si>
  <si>
    <t>LV432693</t>
  </si>
  <si>
    <t>XB5AVM3</t>
  </si>
  <si>
    <t>XB5AVM4</t>
  </si>
  <si>
    <t>XB5AVM5</t>
  </si>
  <si>
    <t>XB5AVM6</t>
  </si>
  <si>
    <t>EZC100B3030T</t>
  </si>
  <si>
    <t>XB5AD21</t>
  </si>
  <si>
    <t>LC1D18M7</t>
  </si>
  <si>
    <t>XB5AD33</t>
  </si>
  <si>
    <t>A9F74106</t>
  </si>
  <si>
    <t>SLING1.5M</t>
  </si>
  <si>
    <t>powderviny1733</t>
  </si>
  <si>
    <t>IV180910284</t>
  </si>
  <si>
    <t>เอสทีคอนโทรล</t>
  </si>
  <si>
    <t>AFRN0022E2S4GB</t>
  </si>
  <si>
    <t>AFRN0029E2S4GB</t>
  </si>
  <si>
    <t>363-181334</t>
  </si>
  <si>
    <t>ทาสี PC</t>
  </si>
  <si>
    <t>WALLPUTTY</t>
  </si>
  <si>
    <t>363-18132</t>
  </si>
  <si>
    <t>MAXCO33</t>
  </si>
  <si>
    <t>MAXCO40</t>
  </si>
  <si>
    <t>MAXCO70</t>
  </si>
  <si>
    <t>MAXCO80</t>
  </si>
  <si>
    <t>MAXCO100</t>
  </si>
  <si>
    <t>IV2018-09048</t>
  </si>
  <si>
    <t>สยามนีออนไลน์</t>
  </si>
  <si>
    <t>SCPN70ML</t>
  </si>
  <si>
    <t>1809IV038303</t>
  </si>
  <si>
    <t>XB5AD25</t>
  </si>
  <si>
    <t>420(57%)</t>
  </si>
  <si>
    <t>2600(57%)</t>
  </si>
  <si>
    <t>1809IV038228</t>
  </si>
  <si>
    <t>195(58%)</t>
  </si>
  <si>
    <t>IV18092222</t>
  </si>
  <si>
    <t>TIV6109048</t>
  </si>
  <si>
    <t>VACONMK013M</t>
  </si>
  <si>
    <t>SR0004-090049</t>
  </si>
  <si>
    <t>มอเตอร์ตู้เชื่อม</t>
  </si>
  <si>
    <t>นวพงษ์</t>
  </si>
  <si>
    <t>FBJ6800Z</t>
  </si>
  <si>
    <t>INV511809-0909</t>
  </si>
  <si>
    <t>J611850,1843</t>
  </si>
  <si>
    <t>LV432676</t>
  </si>
  <si>
    <t>EZC100H2020T</t>
  </si>
  <si>
    <t>LV432641</t>
  </si>
  <si>
    <t>IV6109246</t>
  </si>
  <si>
    <t>M6x30</t>
  </si>
  <si>
    <t>0.89(35%)</t>
  </si>
  <si>
    <t>U20180090506</t>
  </si>
  <si>
    <t>J611756</t>
  </si>
  <si>
    <t>NV63CV2P20A</t>
  </si>
  <si>
    <t>TAPES&amp;INSULATED</t>
  </si>
  <si>
    <t>CHU210UL</t>
  </si>
  <si>
    <t>1809IV037948</t>
  </si>
  <si>
    <t>A9F84116</t>
  </si>
  <si>
    <t>A9F84332</t>
  </si>
  <si>
    <t>A9XPCM04</t>
  </si>
  <si>
    <t>1809IV0378161</t>
  </si>
  <si>
    <t>1150(58%)</t>
  </si>
  <si>
    <t>2860(58%)</t>
  </si>
  <si>
    <t>GV2P07</t>
  </si>
  <si>
    <t>2400(58%)</t>
  </si>
  <si>
    <t>280(50%)</t>
  </si>
  <si>
    <t>690(50%)</t>
  </si>
  <si>
    <t>2.5(30%)</t>
  </si>
  <si>
    <t>1.5(35%)</t>
  </si>
  <si>
    <t>IV6109042</t>
  </si>
  <si>
    <t>J611843</t>
  </si>
  <si>
    <t>ENT300/5</t>
  </si>
  <si>
    <t>1950(50%)</t>
  </si>
  <si>
    <t>ฐานวางถังน้ำ</t>
  </si>
  <si>
    <t>IV6109006</t>
  </si>
  <si>
    <t>IV16109-01339</t>
  </si>
  <si>
    <t>J611838</t>
  </si>
  <si>
    <t>STUD038SUS</t>
  </si>
  <si>
    <t>FILEFILINGS12</t>
  </si>
  <si>
    <t>WG1809003</t>
  </si>
  <si>
    <t>ซ่อมปืนแผนกสี</t>
  </si>
  <si>
    <t>TOOL-2322529</t>
  </si>
  <si>
    <t>TOOL-2322761</t>
  </si>
  <si>
    <t>TOOL-2334341</t>
  </si>
  <si>
    <t>IV6109013</t>
  </si>
  <si>
    <t>J611693</t>
  </si>
  <si>
    <t>M13F050DSWPP</t>
  </si>
  <si>
    <t>M13SB050DSWPP</t>
  </si>
  <si>
    <t>mk2018-5279</t>
  </si>
  <si>
    <t>IV18090007</t>
  </si>
  <si>
    <t>6107000881/1</t>
  </si>
  <si>
    <t>IV6100854</t>
  </si>
  <si>
    <t>2600(58%)</t>
  </si>
  <si>
    <t>INV511809-0072</t>
  </si>
  <si>
    <t>10809IV037046</t>
  </si>
  <si>
    <t>178(58%)</t>
  </si>
  <si>
    <t>148-9759</t>
  </si>
  <si>
    <t>J611383,1385,1387</t>
  </si>
  <si>
    <t>CT-AS62000/5</t>
  </si>
  <si>
    <t>3250(50+10+10%)</t>
  </si>
  <si>
    <t>CT-AS51000/5</t>
  </si>
  <si>
    <t>1650(50+10+10%)</t>
  </si>
  <si>
    <t>CT-AS1B300/5</t>
  </si>
  <si>
    <t>2300(50+10+10%)</t>
  </si>
  <si>
    <t>IV5090111</t>
  </si>
  <si>
    <t>A1C1253P25A</t>
  </si>
  <si>
    <t>735(58.5%)</t>
  </si>
  <si>
    <t>TF42-5.7</t>
  </si>
  <si>
    <t>980(58.5%)</t>
  </si>
  <si>
    <t>TF42-7.6</t>
  </si>
  <si>
    <t>1300(58.5%)</t>
  </si>
  <si>
    <t>CAL4-11</t>
  </si>
  <si>
    <t>610(58.5%)</t>
  </si>
  <si>
    <t>361-18034</t>
  </si>
  <si>
    <t>J611545,1547</t>
  </si>
  <si>
    <t>361-18033</t>
  </si>
  <si>
    <t>J611831,1547</t>
  </si>
  <si>
    <t>ACC-น้ำยาบักกรี</t>
  </si>
  <si>
    <t>NCL500-8.0</t>
  </si>
  <si>
    <t>SSH-400</t>
  </si>
  <si>
    <t>NF125CV3P125A</t>
  </si>
  <si>
    <t>IV6109102</t>
  </si>
  <si>
    <t>IV6109072</t>
  </si>
  <si>
    <t>IV6109035</t>
  </si>
  <si>
    <t>2.0(10%)</t>
  </si>
  <si>
    <t>IV18090713</t>
  </si>
  <si>
    <t>IV18090132</t>
  </si>
  <si>
    <t>J611788</t>
  </si>
  <si>
    <t>IV18090094</t>
  </si>
  <si>
    <t>J611370,678</t>
  </si>
  <si>
    <t>GRASS01009</t>
  </si>
  <si>
    <t>IV1809005</t>
  </si>
  <si>
    <t>IV18090580</t>
  </si>
  <si>
    <t>J611600</t>
  </si>
  <si>
    <t>APW125D-W</t>
  </si>
  <si>
    <t>APW12D-R</t>
  </si>
  <si>
    <t>APW126D-Y</t>
  </si>
  <si>
    <t>APW126D-S</t>
  </si>
  <si>
    <t>APW126D-G</t>
  </si>
  <si>
    <t>ABW110-B</t>
  </si>
  <si>
    <t>310(65%)</t>
  </si>
  <si>
    <t>AVM401-R</t>
  </si>
  <si>
    <t>950(65%)</t>
  </si>
  <si>
    <t>ASW320</t>
  </si>
  <si>
    <t>690(65%)</t>
  </si>
  <si>
    <t>IV620434</t>
  </si>
  <si>
    <t>30โฆล/55</t>
  </si>
  <si>
    <t>IV6060747</t>
  </si>
  <si>
    <t>API</t>
  </si>
  <si>
    <t>30(53%)</t>
  </si>
  <si>
    <t>IV19060291</t>
  </si>
  <si>
    <t>SI0469225</t>
  </si>
  <si>
    <t>158-10725</t>
  </si>
  <si>
    <t>2019-07337123</t>
  </si>
  <si>
    <t>VSF1x70B</t>
  </si>
  <si>
    <t>J620923,924,843</t>
  </si>
  <si>
    <t>IV6206150053</t>
  </si>
  <si>
    <t>IV6206150052</t>
  </si>
  <si>
    <t>IV6200549</t>
  </si>
  <si>
    <t>FUSE 10</t>
  </si>
  <si>
    <t>424-21173</t>
  </si>
  <si>
    <t>HC19060822</t>
  </si>
  <si>
    <t>IN62060572</t>
  </si>
  <si>
    <t>QO19047</t>
  </si>
  <si>
    <t>PREMIUM INK1L</t>
  </si>
  <si>
    <t>SI1906057999</t>
  </si>
  <si>
    <t>OFFICE-4181310</t>
  </si>
  <si>
    <t>IV08801</t>
  </si>
  <si>
    <t>SR4X10</t>
  </si>
  <si>
    <t>SI190603244</t>
  </si>
  <si>
    <t>SI190603191</t>
  </si>
  <si>
    <t>เพาเดอร์โคทติ้งส์</t>
  </si>
  <si>
    <t>IV6110574</t>
  </si>
  <si>
    <t>J612057</t>
  </si>
  <si>
    <t>CS6100802748</t>
  </si>
  <si>
    <t>BTLP12V7.8A</t>
  </si>
  <si>
    <t>374-18667</t>
  </si>
  <si>
    <t>ACC-กาว50G</t>
  </si>
  <si>
    <t>HS6110119</t>
  </si>
  <si>
    <t>สว่านแผนกเชื่อม</t>
  </si>
  <si>
    <t>ทรูเทค</t>
  </si>
  <si>
    <t>RUBBERFLEX</t>
  </si>
  <si>
    <t>A61100764</t>
  </si>
  <si>
    <t>รถจัดส่ง</t>
  </si>
  <si>
    <t xml:space="preserve">กรุงเทพสกรูไทย </t>
  </si>
  <si>
    <t>M10x50SHSUS</t>
  </si>
  <si>
    <t>IV1000891</t>
  </si>
  <si>
    <t>M5x15SH</t>
  </si>
  <si>
    <t>IV6103181</t>
  </si>
  <si>
    <t>STICKERPVC</t>
  </si>
  <si>
    <t>IV611021422</t>
  </si>
  <si>
    <t>ห้องเก็บพัสุ</t>
  </si>
  <si>
    <t>STUDM12SUS</t>
  </si>
  <si>
    <t>042-2087</t>
  </si>
  <si>
    <t>SI1810064904</t>
  </si>
  <si>
    <t>OFFICE-2610066W</t>
  </si>
  <si>
    <t>OFFICE-4160021</t>
  </si>
  <si>
    <t>OFFICE-6003897</t>
  </si>
  <si>
    <t>Installation</t>
  </si>
  <si>
    <t>IV1611003764</t>
  </si>
  <si>
    <t>M6x15JTSUS</t>
  </si>
  <si>
    <t>2.9(60%)</t>
  </si>
  <si>
    <t>IV1611003765</t>
  </si>
  <si>
    <t>INV61100160</t>
  </si>
  <si>
    <t>IV6110221400</t>
  </si>
  <si>
    <t>SN5SUS</t>
  </si>
  <si>
    <t>0.95(55%)</t>
  </si>
  <si>
    <t>1(55%)</t>
  </si>
  <si>
    <t>I00365420</t>
  </si>
  <si>
    <t>OFFICE-0220045</t>
  </si>
  <si>
    <t>ty-08659</t>
  </si>
  <si>
    <t>IV1000489</t>
  </si>
  <si>
    <t>IV610493</t>
  </si>
  <si>
    <t>611001252/1</t>
  </si>
  <si>
    <t>SLEEVE</t>
  </si>
  <si>
    <t>371-18514</t>
  </si>
  <si>
    <t>370-18481</t>
  </si>
  <si>
    <t>ACC-มุ้ง</t>
  </si>
  <si>
    <t>IV1611001809</t>
  </si>
  <si>
    <t>M6x10JTSUS</t>
  </si>
  <si>
    <t>2.4(60%)</t>
  </si>
  <si>
    <t>IV6110113</t>
  </si>
  <si>
    <t>J612074</t>
  </si>
  <si>
    <t>ฝาปิดราง</t>
  </si>
  <si>
    <t>INV61100088</t>
  </si>
  <si>
    <t>IV16110-01181</t>
  </si>
  <si>
    <t>SR6x25SUS</t>
  </si>
  <si>
    <t>6(45%)</t>
  </si>
  <si>
    <t>INV61100036</t>
  </si>
  <si>
    <t>PC-003</t>
  </si>
  <si>
    <t>369-18410</t>
  </si>
  <si>
    <t>COUPLERSP30</t>
  </si>
  <si>
    <t>COUPLERPP30</t>
  </si>
  <si>
    <t>SR6x034</t>
  </si>
  <si>
    <t>369-18409</t>
  </si>
  <si>
    <t>369-18408</t>
  </si>
  <si>
    <t>369-18407</t>
  </si>
  <si>
    <t>FILEFILINGS08</t>
  </si>
  <si>
    <t>FILEFILINGS08P</t>
  </si>
  <si>
    <t>IV1000064</t>
  </si>
  <si>
    <t>IV6201702</t>
  </si>
  <si>
    <t>IV6201684</t>
  </si>
  <si>
    <t>J620752</t>
  </si>
  <si>
    <t>BRSH000006</t>
  </si>
  <si>
    <t>CDT3519036068</t>
  </si>
  <si>
    <t>CDT3519036075</t>
  </si>
  <si>
    <t>IV6206023</t>
  </si>
  <si>
    <t>J620895</t>
  </si>
  <si>
    <t>IV6206-00602</t>
  </si>
  <si>
    <t>J620837-838</t>
  </si>
  <si>
    <t>62-2871</t>
  </si>
  <si>
    <t>สยามนาธาน</t>
  </si>
  <si>
    <t>FILTERNO38</t>
  </si>
  <si>
    <t>IV0600843</t>
  </si>
  <si>
    <t>WG1906010</t>
  </si>
  <si>
    <t>อะไหล่ปืน</t>
  </si>
  <si>
    <t>TOOL-241225</t>
  </si>
  <si>
    <t>158-10739</t>
  </si>
  <si>
    <t>LV0008900</t>
  </si>
  <si>
    <t>451.5(53%)</t>
  </si>
  <si>
    <t>CL50-8</t>
  </si>
  <si>
    <t>18(30+2%)</t>
  </si>
  <si>
    <t>CL50-10</t>
  </si>
  <si>
    <t>CL95-10</t>
  </si>
  <si>
    <t>45(30+2%)</t>
  </si>
  <si>
    <t>1.92(40%)</t>
  </si>
  <si>
    <t>3(40%)</t>
  </si>
  <si>
    <t>3.96(40%)</t>
  </si>
  <si>
    <t>425-21205</t>
  </si>
  <si>
    <t>PUM8</t>
  </si>
  <si>
    <t>SI1906073927</t>
  </si>
  <si>
    <t>PN</t>
  </si>
  <si>
    <t>OFFICE-4006246</t>
  </si>
  <si>
    <t>IV19064649</t>
  </si>
  <si>
    <t>J620805,807</t>
  </si>
  <si>
    <t>H3CR-G8L</t>
  </si>
  <si>
    <t>3200(50+2%)</t>
  </si>
  <si>
    <t>235/kg</t>
  </si>
  <si>
    <t>IV6201710</t>
  </si>
  <si>
    <t>H3M-B</t>
  </si>
  <si>
    <t>SI0469898</t>
  </si>
  <si>
    <t>PMFP108C</t>
  </si>
  <si>
    <t>820(30+5%)</t>
  </si>
  <si>
    <t>PMS01727</t>
  </si>
  <si>
    <t>J611383,1385,</t>
  </si>
  <si>
    <t>IV6111161</t>
  </si>
  <si>
    <t>611001422/1</t>
  </si>
  <si>
    <t>J611383,387</t>
  </si>
  <si>
    <t>NX1000A240AD</t>
  </si>
  <si>
    <t>25000(50%)</t>
  </si>
  <si>
    <t>379-18920</t>
  </si>
  <si>
    <t>CHAIN</t>
  </si>
  <si>
    <t>ACC-สายยาง 1"</t>
  </si>
  <si>
    <t>KNB6206</t>
  </si>
  <si>
    <t>INV511811-2803</t>
  </si>
  <si>
    <t>J612204</t>
  </si>
  <si>
    <t>A9F74103</t>
  </si>
  <si>
    <t>A9F74104</t>
  </si>
  <si>
    <t>BKK2561-5641</t>
  </si>
  <si>
    <t>CDT3518071464</t>
  </si>
  <si>
    <t>IV1100621</t>
  </si>
  <si>
    <t>151-10059</t>
  </si>
  <si>
    <t>NCL500-5.4</t>
  </si>
  <si>
    <t>74(30%)</t>
  </si>
  <si>
    <t>IV1811132</t>
  </si>
  <si>
    <t>powder413156F</t>
  </si>
  <si>
    <t>SL1811-0140</t>
  </si>
  <si>
    <t>IV610648</t>
  </si>
  <si>
    <t>DO6111-0158</t>
  </si>
  <si>
    <t>IV6111150094</t>
  </si>
  <si>
    <t>SI0449318</t>
  </si>
  <si>
    <t>DI18111758</t>
  </si>
  <si>
    <t>A2B2503P200A</t>
  </si>
  <si>
    <t>5400(61%)</t>
  </si>
  <si>
    <t>IV5110900</t>
  </si>
  <si>
    <t>A1N1252P50A</t>
  </si>
  <si>
    <t>2550(61%)</t>
  </si>
  <si>
    <t>IV6111-21544</t>
  </si>
  <si>
    <t>ชุดประกอบล้อ</t>
  </si>
  <si>
    <t>0.69(50%)</t>
  </si>
  <si>
    <t>1811IV048330</t>
  </si>
  <si>
    <t>MNK2180A</t>
  </si>
  <si>
    <t>1800(55%)</t>
  </si>
  <si>
    <t>IV1100597</t>
  </si>
  <si>
    <t>IV6103599</t>
  </si>
  <si>
    <t>J611780</t>
  </si>
  <si>
    <t>IV611100406</t>
  </si>
  <si>
    <t>powder8101CW3</t>
  </si>
  <si>
    <t>1105-55206</t>
  </si>
  <si>
    <t>J612370</t>
  </si>
  <si>
    <t>A286</t>
  </si>
  <si>
    <t>CT-AS2500/5</t>
  </si>
  <si>
    <t>1700(50+10+10%)</t>
  </si>
  <si>
    <t>DI18111707</t>
  </si>
  <si>
    <t>3400(61%)</t>
  </si>
  <si>
    <t>DI18111653</t>
  </si>
  <si>
    <t>J611371</t>
  </si>
  <si>
    <t>895(51.25%)</t>
  </si>
  <si>
    <t>S203-C32</t>
  </si>
  <si>
    <t>DSE201-C20</t>
  </si>
  <si>
    <t>2525(60%)</t>
  </si>
  <si>
    <t>DSE201-C32</t>
  </si>
  <si>
    <t>2600(60%)</t>
  </si>
  <si>
    <t>OT40F</t>
  </si>
  <si>
    <t>7200(50%)</t>
  </si>
  <si>
    <t>S203-C63</t>
  </si>
  <si>
    <t>2800(60%)</t>
  </si>
  <si>
    <t>OT63F</t>
  </si>
  <si>
    <t>12500(50%)</t>
  </si>
  <si>
    <t>IV5110795</t>
  </si>
  <si>
    <t>J611370,1371</t>
  </si>
  <si>
    <t>IV611-21531</t>
  </si>
  <si>
    <t>378-18880</t>
  </si>
  <si>
    <t>ทาสี pC</t>
  </si>
  <si>
    <t>INV511811-2352</t>
  </si>
  <si>
    <t>PW1469490000</t>
  </si>
  <si>
    <t>O61110167</t>
  </si>
  <si>
    <t>INV511811-2314</t>
  </si>
  <si>
    <t>J611388</t>
  </si>
  <si>
    <t>J611389</t>
  </si>
  <si>
    <t>J611390</t>
  </si>
  <si>
    <t>J611391</t>
  </si>
  <si>
    <t>J611392</t>
  </si>
  <si>
    <t>151-10049</t>
  </si>
  <si>
    <t>CN511811-0053</t>
  </si>
  <si>
    <t>IV16111-03482</t>
  </si>
  <si>
    <t>0.19(25%)</t>
  </si>
  <si>
    <t>J612043</t>
  </si>
  <si>
    <t>CS6100802913</t>
  </si>
  <si>
    <t>J611780,1785</t>
  </si>
  <si>
    <t>UPSICON800</t>
  </si>
  <si>
    <t>IV6111-00381</t>
  </si>
  <si>
    <t>J612361-362</t>
  </si>
  <si>
    <t>61-11-2059</t>
  </si>
  <si>
    <t>J611372,1375</t>
  </si>
  <si>
    <t>2100(50+10+10%)</t>
  </si>
  <si>
    <t>SI0448907</t>
  </si>
  <si>
    <t>J611387,1383</t>
  </si>
  <si>
    <t>PMCH03</t>
  </si>
  <si>
    <t>1680(30%)</t>
  </si>
  <si>
    <t>DI18111511</t>
  </si>
  <si>
    <t>J611373,1372</t>
  </si>
  <si>
    <t>AF116-30-11</t>
  </si>
  <si>
    <t>9150(57.25%)</t>
  </si>
  <si>
    <t>DI18111500</t>
  </si>
  <si>
    <t>J611374</t>
  </si>
  <si>
    <t>DI18111499</t>
  </si>
  <si>
    <t>J611370</t>
  </si>
  <si>
    <t>1145(60%)</t>
  </si>
  <si>
    <t>DI18111497</t>
  </si>
  <si>
    <t>2018-00715</t>
  </si>
  <si>
    <t>RIVM10235</t>
  </si>
  <si>
    <t>CDT3518070448</t>
  </si>
  <si>
    <t>425-21206</t>
  </si>
  <si>
    <t>ACC-หน้ากาก</t>
  </si>
  <si>
    <t>IV62-0194</t>
  </si>
  <si>
    <t>CHAINS5T</t>
  </si>
  <si>
    <t>SHORTSHAFT</t>
  </si>
  <si>
    <t>COG5T</t>
  </si>
  <si>
    <t>IV6206-22418</t>
  </si>
  <si>
    <t>STUDM8</t>
  </si>
  <si>
    <t>IV6206-02315</t>
  </si>
  <si>
    <t>90(25%)</t>
  </si>
  <si>
    <t>IV6206475</t>
  </si>
  <si>
    <t>J620797</t>
  </si>
  <si>
    <t>IV6111-01053</t>
  </si>
  <si>
    <t>IV6111114</t>
  </si>
  <si>
    <t>IV18112857</t>
  </si>
  <si>
    <t>J611371,1375</t>
  </si>
  <si>
    <t>J611382,1385</t>
  </si>
  <si>
    <t>IT1500635</t>
  </si>
  <si>
    <t>IT1500663</t>
  </si>
  <si>
    <t>IT1500160</t>
  </si>
  <si>
    <t>SI0448764</t>
  </si>
  <si>
    <t>PMV1200024</t>
  </si>
  <si>
    <t>865(30%)</t>
  </si>
  <si>
    <t>ty-08680</t>
  </si>
  <si>
    <t>IV6111066</t>
  </si>
  <si>
    <t>SH-16BN</t>
  </si>
  <si>
    <t>SH-16GR</t>
  </si>
  <si>
    <t>SH-20BN</t>
  </si>
  <si>
    <t>SH-20GR</t>
  </si>
  <si>
    <t>IV16111-02947</t>
  </si>
  <si>
    <t>4.2(45%)</t>
  </si>
  <si>
    <t>IN61110411</t>
  </si>
  <si>
    <t>IV611125</t>
  </si>
  <si>
    <t>J612347-348</t>
  </si>
  <si>
    <t>IV61-08099</t>
  </si>
  <si>
    <t>24NCA0AB00</t>
  </si>
  <si>
    <t>CT2000/5</t>
  </si>
  <si>
    <t>WOP43P4W220</t>
  </si>
  <si>
    <t>IV5110586</t>
  </si>
  <si>
    <t>SI181101153</t>
  </si>
  <si>
    <t>2018-07371791</t>
  </si>
  <si>
    <t>377-18829</t>
  </si>
  <si>
    <t>BALL VALVE 1.1/2</t>
  </si>
  <si>
    <t>ACC-ยางยูเนียน1</t>
  </si>
  <si>
    <t>377-18827</t>
  </si>
  <si>
    <t>377-18826</t>
  </si>
  <si>
    <t>J612355</t>
  </si>
  <si>
    <t>INV511811-1696</t>
  </si>
  <si>
    <t>IV6111012</t>
  </si>
  <si>
    <t>J612345</t>
  </si>
  <si>
    <t>2250(60%)</t>
  </si>
  <si>
    <t>DI18111108</t>
  </si>
  <si>
    <t>J6122284-2286</t>
  </si>
  <si>
    <t>SCP-14</t>
  </si>
  <si>
    <t>DI18111109</t>
  </si>
  <si>
    <t>DI18111110</t>
  </si>
  <si>
    <t>DI18111111</t>
  </si>
  <si>
    <t>61-11-1411</t>
  </si>
  <si>
    <t>J611382,</t>
  </si>
  <si>
    <t>RIP18-110701</t>
  </si>
  <si>
    <t>DI18111017</t>
  </si>
  <si>
    <t>T7S1000LSIG</t>
  </si>
  <si>
    <t>95680(61%)</t>
  </si>
  <si>
    <t>SHUNT-OPEN T7</t>
  </si>
  <si>
    <t>5200(61%)</t>
  </si>
  <si>
    <t>INTERLOCKT7</t>
  </si>
  <si>
    <t>13930(61%)</t>
  </si>
  <si>
    <t>A2C2503P200A</t>
  </si>
  <si>
    <t>5500(61%)</t>
  </si>
  <si>
    <t>A2C2503P250A</t>
  </si>
  <si>
    <t>A3N4003P320A</t>
  </si>
  <si>
    <t>15000(61%)</t>
  </si>
  <si>
    <t>3120(61%)</t>
  </si>
  <si>
    <t>T5N400LSI</t>
  </si>
  <si>
    <t>19550(61%)</t>
  </si>
  <si>
    <t>T6N800LSI</t>
  </si>
  <si>
    <t>42120(61%)</t>
  </si>
  <si>
    <t>DI18110982</t>
  </si>
  <si>
    <t>6111001369/1</t>
  </si>
  <si>
    <t>E2.2N2000LI</t>
  </si>
  <si>
    <t>153000(61%)</t>
  </si>
  <si>
    <t>STUNTCLOSINGE2.2</t>
  </si>
  <si>
    <t>34700(61%)</t>
  </si>
  <si>
    <t>STUNTOPENE2.2</t>
  </si>
  <si>
    <t>E2.2N2000LSIG</t>
  </si>
  <si>
    <t>200000(61%)</t>
  </si>
  <si>
    <t>T7S1000LSI</t>
  </si>
  <si>
    <t>68120(61%)</t>
  </si>
  <si>
    <t>ATS022</t>
  </si>
  <si>
    <t>72000(61%)</t>
  </si>
  <si>
    <t>LV563305</t>
  </si>
  <si>
    <t>UNDER33671</t>
  </si>
  <si>
    <t>TIME33682</t>
  </si>
  <si>
    <t>LV516332</t>
  </si>
  <si>
    <t>LV510334</t>
  </si>
  <si>
    <t>LV525332</t>
  </si>
  <si>
    <t>LV525333</t>
  </si>
  <si>
    <t>SURGE16331</t>
  </si>
  <si>
    <t>BLRCH500A000B40</t>
  </si>
  <si>
    <t>LC1DWK12M7</t>
  </si>
  <si>
    <t>VPL06N</t>
  </si>
  <si>
    <t>IV1100285</t>
  </si>
  <si>
    <t>LN8</t>
  </si>
  <si>
    <t>1.1(30%)</t>
  </si>
  <si>
    <t>U20180110511</t>
  </si>
  <si>
    <t>U20180110510</t>
  </si>
  <si>
    <t>IV6111065</t>
  </si>
  <si>
    <t>6111001364/1</t>
  </si>
  <si>
    <t>ZCT120S</t>
  </si>
  <si>
    <t>4050(50%)</t>
  </si>
  <si>
    <t>61-11-1270</t>
  </si>
  <si>
    <t>CT-AB1B250/5</t>
  </si>
  <si>
    <t>DI18110912</t>
  </si>
  <si>
    <t>6111001365/1</t>
  </si>
  <si>
    <t>J612382</t>
  </si>
  <si>
    <t>A2N2503P250A</t>
  </si>
  <si>
    <t>7400(61%)</t>
  </si>
  <si>
    <t>1980(61%)</t>
  </si>
  <si>
    <t>A1C1253P80A</t>
  </si>
  <si>
    <t>AF52-30-11</t>
  </si>
  <si>
    <t>4120(57.25%)</t>
  </si>
  <si>
    <t>DI18110910</t>
  </si>
  <si>
    <t>T5N630LSI</t>
  </si>
  <si>
    <t>21630(61%)</t>
  </si>
  <si>
    <t>DI18110911</t>
  </si>
  <si>
    <t>DI18110913</t>
  </si>
  <si>
    <t>DI18110914</t>
  </si>
  <si>
    <t>DI18110915</t>
  </si>
  <si>
    <t>5000(61%)</t>
  </si>
  <si>
    <t>DWM-180002</t>
  </si>
  <si>
    <t>IV18111828</t>
  </si>
  <si>
    <t>J611382</t>
  </si>
  <si>
    <t>IV611121488</t>
  </si>
  <si>
    <t>DI18110741</t>
  </si>
  <si>
    <t>J612349</t>
  </si>
  <si>
    <t>A2B2503P250A</t>
  </si>
  <si>
    <t>A1B1253P50A</t>
  </si>
  <si>
    <t>2900(61%)</t>
  </si>
  <si>
    <t>A1B1253P60A</t>
  </si>
  <si>
    <t>1811IV046759</t>
  </si>
  <si>
    <t>MNK1502</t>
  </si>
  <si>
    <t>575(55%)</t>
  </si>
  <si>
    <t>INV6111-0087</t>
  </si>
  <si>
    <t>SP1400</t>
  </si>
  <si>
    <t>SP307</t>
  </si>
  <si>
    <t>IV16111-01592</t>
  </si>
  <si>
    <t>0.6(65%)</t>
  </si>
  <si>
    <t>IV1881463</t>
  </si>
  <si>
    <t>ตัวซับพอส</t>
  </si>
  <si>
    <t>INV6111-0067</t>
  </si>
  <si>
    <t>IV611110</t>
  </si>
  <si>
    <t>IV1611101279</t>
  </si>
  <si>
    <t>IV16111-01201</t>
  </si>
  <si>
    <t>M5x15JTSUS</t>
  </si>
  <si>
    <t>1.8(60%)</t>
  </si>
  <si>
    <t>INV00180769</t>
  </si>
  <si>
    <t>H611100123</t>
  </si>
  <si>
    <t xml:space="preserve">พัดลม PC </t>
  </si>
  <si>
    <t>375-18750</t>
  </si>
  <si>
    <t>NF63HV3P32A</t>
  </si>
  <si>
    <t>2200(53%)</t>
  </si>
  <si>
    <t>NV63CV2P15A</t>
  </si>
  <si>
    <t>3300(39%)</t>
  </si>
  <si>
    <t>PCE2P16A</t>
  </si>
  <si>
    <t>INV511811-0497</t>
  </si>
  <si>
    <t>IV18110028</t>
  </si>
  <si>
    <t>IV5110160</t>
  </si>
  <si>
    <t>375-18734</t>
  </si>
  <si>
    <t>INV511811-0349</t>
  </si>
  <si>
    <t>J612206</t>
  </si>
  <si>
    <t>KEY-1091</t>
  </si>
  <si>
    <t>0418G07328</t>
  </si>
  <si>
    <t>APE1USB</t>
  </si>
  <si>
    <t>650(35+3%)</t>
  </si>
  <si>
    <t>IV1100045</t>
  </si>
  <si>
    <t>IV1100002</t>
  </si>
  <si>
    <t>900(55%)</t>
  </si>
  <si>
    <t>ty-08664</t>
  </si>
  <si>
    <t>M8x140STUD</t>
  </si>
  <si>
    <t>IV6112270</t>
  </si>
  <si>
    <t>ขาย คุณสัมฤทธิ์</t>
  </si>
  <si>
    <t>CACITOR20KVAR</t>
  </si>
  <si>
    <t>5850(50%)</t>
  </si>
  <si>
    <t>388-19372</t>
  </si>
  <si>
    <t>เดินระบบปั้มน้ำ</t>
  </si>
  <si>
    <t>PVC-ท่อขาว16</t>
  </si>
  <si>
    <t>PVC-ก้ามปูขาว16</t>
  </si>
  <si>
    <t>PVC-ต่อเข้ากล่อง16</t>
  </si>
  <si>
    <t>PVC-ต่อตรง16</t>
  </si>
  <si>
    <t>388-19357</t>
  </si>
  <si>
    <t>ต่อน้ำออกจากถัง</t>
  </si>
  <si>
    <t>PVC-นิเปิ้ล1</t>
  </si>
  <si>
    <t>PVC-สามทาง1</t>
  </si>
  <si>
    <t>PVC-ต่อเกลียวนอก1</t>
  </si>
  <si>
    <t>388-19355</t>
  </si>
  <si>
    <t>388-19354</t>
  </si>
  <si>
    <t>ACC-งอเหล็ก012</t>
  </si>
  <si>
    <t>ACC-สามทางเหล็ก012</t>
  </si>
  <si>
    <t>UBOLOT012</t>
  </si>
  <si>
    <t>ACC-กรรไกร</t>
  </si>
  <si>
    <t>388-19353</t>
  </si>
  <si>
    <t>PVC-สามทางขาว16</t>
  </si>
  <si>
    <t>PVC-งอขาว16</t>
  </si>
  <si>
    <t>PHUK038</t>
  </si>
  <si>
    <t>INV511812-3981</t>
  </si>
  <si>
    <t>I61-12-13</t>
  </si>
  <si>
    <t>ขายทองไทย</t>
  </si>
  <si>
    <t>โอเนค</t>
  </si>
  <si>
    <t>I00370034</t>
  </si>
  <si>
    <t>OFFICE-0520000</t>
  </si>
  <si>
    <t>IV6112-00685</t>
  </si>
  <si>
    <t>J612593</t>
  </si>
  <si>
    <t>IV6112250014</t>
  </si>
  <si>
    <t>BL6112-00086</t>
  </si>
  <si>
    <t>2018-07379485</t>
  </si>
  <si>
    <t>RIP18-122401</t>
  </si>
  <si>
    <t>SI181202593</t>
  </si>
  <si>
    <t>270(40+3%)</t>
  </si>
  <si>
    <t>RIP18-122201</t>
  </si>
  <si>
    <t>GAS15</t>
  </si>
  <si>
    <t>O61120268</t>
  </si>
  <si>
    <t>เป่างานเชื่อม</t>
  </si>
  <si>
    <t>OL06Q</t>
  </si>
  <si>
    <t>BANDOB40</t>
  </si>
  <si>
    <t>ปรับปรุงระบบท่อ</t>
  </si>
  <si>
    <t>PVC-ท่อ 3/4</t>
  </si>
  <si>
    <t>PVC-ต่อเกลียวนอก034</t>
  </si>
  <si>
    <t>PVC-สามทาง034</t>
  </si>
  <si>
    <t>IV6201815</t>
  </si>
  <si>
    <t>Si0470297</t>
  </si>
  <si>
    <t>J620804-807</t>
  </si>
  <si>
    <t>INV6206-0399</t>
  </si>
  <si>
    <t>INV6206-0024</t>
  </si>
  <si>
    <t>เหล็กแผ่นขาว</t>
  </si>
  <si>
    <t>0185-009226</t>
  </si>
  <si>
    <t>ATT</t>
  </si>
  <si>
    <t>#7768 สีครีม</t>
  </si>
  <si>
    <t>IV6206260056</t>
  </si>
  <si>
    <t>IV6201014</t>
  </si>
  <si>
    <t>บ่อล้างไขมัน</t>
  </si>
  <si>
    <t>2019-07337709</t>
  </si>
  <si>
    <t>BANDOB36</t>
  </si>
  <si>
    <t>IV62-060125</t>
  </si>
  <si>
    <t>2561-194</t>
  </si>
  <si>
    <t>386-19292</t>
  </si>
  <si>
    <t>M038x65</t>
  </si>
  <si>
    <t>1107-55319</t>
  </si>
  <si>
    <t>J612613</t>
  </si>
  <si>
    <t>O61120244</t>
  </si>
  <si>
    <t>เติม</t>
  </si>
  <si>
    <t>O061120236</t>
  </si>
  <si>
    <t>IN61120618</t>
  </si>
  <si>
    <t>KEYG-247</t>
  </si>
  <si>
    <t>IV6112-01732</t>
  </si>
  <si>
    <t>IV6112-0343</t>
  </si>
  <si>
    <t>J612601</t>
  </si>
  <si>
    <t>SPM33V1</t>
  </si>
  <si>
    <t>ARS-18100550</t>
  </si>
  <si>
    <t>O61120226</t>
  </si>
  <si>
    <t>102-5081</t>
  </si>
  <si>
    <t>2ม้วน</t>
  </si>
  <si>
    <t>IV6101952</t>
  </si>
  <si>
    <t>IV5121010</t>
  </si>
  <si>
    <t>ty-08696</t>
  </si>
  <si>
    <t>SPM6</t>
  </si>
  <si>
    <t>INV511812-2289</t>
  </si>
  <si>
    <t>IV614940</t>
  </si>
  <si>
    <t>J612599</t>
  </si>
  <si>
    <t>FE1P75UC1</t>
  </si>
  <si>
    <t>SE1P75UC1</t>
  </si>
  <si>
    <t>IV614933</t>
  </si>
  <si>
    <t>เครื่องปั่นไฟ</t>
  </si>
  <si>
    <t>SE1P75UM1</t>
  </si>
  <si>
    <t>FE1P75UM1</t>
  </si>
  <si>
    <t>CNF-201812170002</t>
  </si>
  <si>
    <t>แฟ็คโตมาร์ท</t>
  </si>
  <si>
    <t>CT400/5</t>
  </si>
  <si>
    <t>IV61122321</t>
  </si>
  <si>
    <t>J620528</t>
  </si>
  <si>
    <t>SI-181201788</t>
  </si>
  <si>
    <t>IN61120513</t>
  </si>
  <si>
    <t>385-19242</t>
  </si>
  <si>
    <t>ACC-กรดเกลือ</t>
  </si>
  <si>
    <t>IV6112288</t>
  </si>
  <si>
    <t>J62535</t>
  </si>
  <si>
    <t>เหมา3.52kg</t>
  </si>
  <si>
    <t>385-19241</t>
  </si>
  <si>
    <t>J612575,2585</t>
  </si>
  <si>
    <t>IV1200467</t>
  </si>
  <si>
    <t>IV0213369</t>
  </si>
  <si>
    <t>เอ็นเอเอส</t>
  </si>
  <si>
    <t>WRENCHRE10</t>
  </si>
  <si>
    <t>585(20%)</t>
  </si>
  <si>
    <t>WRENCHRE13</t>
  </si>
  <si>
    <t>610(20%)</t>
  </si>
  <si>
    <t>IV0078645</t>
  </si>
  <si>
    <t>J612565</t>
  </si>
  <si>
    <t>CDT3518076977</t>
  </si>
  <si>
    <t>IV6112092</t>
  </si>
  <si>
    <t>SH-20BK</t>
  </si>
  <si>
    <t>IV0078617</t>
  </si>
  <si>
    <t>S101801202321</t>
  </si>
  <si>
    <t>J611385,1387</t>
  </si>
  <si>
    <t>IV18120181</t>
  </si>
  <si>
    <t>WTU2-24S</t>
  </si>
  <si>
    <t>INV511812-1708</t>
  </si>
  <si>
    <t>6112001624-1</t>
  </si>
  <si>
    <t>J612542</t>
  </si>
  <si>
    <t>WEP-801</t>
  </si>
  <si>
    <t>220(50%)</t>
  </si>
  <si>
    <t>2018-07378717</t>
  </si>
  <si>
    <t>IV61-2210</t>
  </si>
  <si>
    <t>คิว มาร์เก็ตติ้ง</t>
  </si>
  <si>
    <t>J612566</t>
  </si>
  <si>
    <t>IV18123099</t>
  </si>
  <si>
    <t>O61120156</t>
  </si>
  <si>
    <t>1.65(30%)</t>
  </si>
  <si>
    <t>IV18122972</t>
  </si>
  <si>
    <t>INV6112-0175</t>
  </si>
  <si>
    <t>INV6112-0174</t>
  </si>
  <si>
    <t>IV6112202</t>
  </si>
  <si>
    <t>IV6112203</t>
  </si>
  <si>
    <t>RIP18-121202</t>
  </si>
  <si>
    <t>IV6112120013</t>
  </si>
  <si>
    <t>IT1500640</t>
  </si>
  <si>
    <t>2018-00778</t>
  </si>
  <si>
    <t>ซ่อมP2005</t>
  </si>
  <si>
    <t>SERVICEP2005</t>
  </si>
  <si>
    <t>DI18121066</t>
  </si>
  <si>
    <t>J612444</t>
  </si>
  <si>
    <t>0418G08378</t>
  </si>
  <si>
    <t>IV1200327</t>
  </si>
  <si>
    <t>1812IV052309</t>
  </si>
  <si>
    <t>7860(59%)</t>
  </si>
  <si>
    <t>XB4BW35M5</t>
  </si>
  <si>
    <t>1430(59%)</t>
  </si>
  <si>
    <t>RIP19-062501</t>
  </si>
  <si>
    <t>CONSOA65</t>
  </si>
  <si>
    <t>mk2019-3580</t>
  </si>
  <si>
    <t>158-10754</t>
  </si>
  <si>
    <t>IV04278</t>
  </si>
  <si>
    <t>INV511906-2736</t>
  </si>
  <si>
    <t>J620805</t>
  </si>
  <si>
    <t>XB5AW33M</t>
  </si>
  <si>
    <t>IV6206110</t>
  </si>
  <si>
    <t>I62-06-11</t>
  </si>
  <si>
    <t>IV1990800</t>
  </si>
  <si>
    <t>IV62060974</t>
  </si>
  <si>
    <t>J620991</t>
  </si>
  <si>
    <t>IV6206102</t>
  </si>
  <si>
    <t>SH-12WH</t>
  </si>
  <si>
    <t>IV6206101</t>
  </si>
  <si>
    <t>SH-30GR</t>
  </si>
  <si>
    <t>SH-30BN</t>
  </si>
  <si>
    <t>IV6206250019</t>
  </si>
  <si>
    <t>WPF10A</t>
  </si>
  <si>
    <t>750(28%)</t>
  </si>
  <si>
    <t>WPF20A</t>
  </si>
  <si>
    <t>890(28%)</t>
  </si>
  <si>
    <t>HA6206021</t>
  </si>
  <si>
    <t>J620804-808</t>
  </si>
  <si>
    <t>อีเอสเพาเวอร์</t>
  </si>
  <si>
    <t>Pluguniversal</t>
  </si>
  <si>
    <t>120(25%)</t>
  </si>
  <si>
    <t>BuzzerNBZ</t>
  </si>
  <si>
    <t>300(25%)</t>
  </si>
  <si>
    <t>A6206-0692</t>
  </si>
  <si>
    <t>J620996</t>
  </si>
  <si>
    <t>กรุงเทพสกรูไทย</t>
  </si>
  <si>
    <t>Screwdevice</t>
  </si>
  <si>
    <t>งานจิตรดา</t>
  </si>
  <si>
    <t>TOOL</t>
  </si>
  <si>
    <t>851-0014</t>
  </si>
  <si>
    <t>อีเลคทรอนิคส์</t>
  </si>
  <si>
    <t>powersupply</t>
  </si>
  <si>
    <t>IV0600983</t>
  </si>
  <si>
    <t>DP5Z</t>
  </si>
  <si>
    <t>SR5Z</t>
  </si>
  <si>
    <t>IV16206-05483</t>
  </si>
  <si>
    <t>426-21276</t>
  </si>
  <si>
    <t>IV62-0195</t>
  </si>
  <si>
    <t>งานซ่อมเครื่อง</t>
  </si>
  <si>
    <t>GREASEG500</t>
  </si>
  <si>
    <t>LONGSHAFT</t>
  </si>
  <si>
    <t>384-19189</t>
  </si>
  <si>
    <t>ACC-สายแพ็ค</t>
  </si>
  <si>
    <t>IV5120558</t>
  </si>
  <si>
    <t>49.3(54%)</t>
  </si>
  <si>
    <t>384-19180</t>
  </si>
  <si>
    <t>ทาโครงหลังคา</t>
  </si>
  <si>
    <t>J620029</t>
  </si>
  <si>
    <t>SL1812-0052</t>
  </si>
  <si>
    <t>AM1-AP-2</t>
  </si>
  <si>
    <t>INV511812-10291</t>
  </si>
  <si>
    <t>IV6112017</t>
  </si>
  <si>
    <t>J620376</t>
  </si>
  <si>
    <t>O61120095</t>
  </si>
  <si>
    <t>1812IV051725</t>
  </si>
  <si>
    <t>5170(59%)</t>
  </si>
  <si>
    <t>A9XPH324</t>
  </si>
  <si>
    <t>1100(52%)</t>
  </si>
  <si>
    <t>A9F74350</t>
  </si>
  <si>
    <t>2050(52%)</t>
  </si>
  <si>
    <t>A9F74340</t>
  </si>
  <si>
    <t>A9N18358</t>
  </si>
  <si>
    <t>1930(52%)</t>
  </si>
  <si>
    <t>1812IV051844</t>
  </si>
  <si>
    <t>410(59%)</t>
  </si>
  <si>
    <t>1106-55282</t>
  </si>
  <si>
    <t>J612531</t>
  </si>
  <si>
    <t>A362</t>
  </si>
  <si>
    <t>IV6101607</t>
  </si>
  <si>
    <t>1812IV051693</t>
  </si>
  <si>
    <t>A9XPH112</t>
  </si>
  <si>
    <t>เหล็กพับ</t>
  </si>
  <si>
    <t>IV6112054</t>
  </si>
  <si>
    <t>J612518</t>
  </si>
  <si>
    <t>เหมา 4.39kg</t>
  </si>
  <si>
    <t>SL1812-0027</t>
  </si>
  <si>
    <t>XH003838022</t>
  </si>
  <si>
    <t>383-19126</t>
  </si>
  <si>
    <t>383-19125</t>
  </si>
  <si>
    <t>6111001522/1</t>
  </si>
  <si>
    <t>383-19124</t>
  </si>
  <si>
    <t>BOX-4x4</t>
  </si>
  <si>
    <t>O62070004</t>
  </si>
  <si>
    <t>IV0700039</t>
  </si>
  <si>
    <t>IV6207-0012</t>
  </si>
  <si>
    <t>J620903-905</t>
  </si>
  <si>
    <t>LV0008931</t>
  </si>
  <si>
    <t>IV0700033</t>
  </si>
  <si>
    <t>INV00185208</t>
  </si>
  <si>
    <t>J620806</t>
  </si>
  <si>
    <t>175(35%)</t>
  </si>
  <si>
    <t>LED7WE27</t>
  </si>
  <si>
    <t>INV00185209</t>
  </si>
  <si>
    <t>INV00185210</t>
  </si>
  <si>
    <t>SSP-8</t>
  </si>
  <si>
    <t>CDT3518075115</t>
  </si>
  <si>
    <t>61-12-1008</t>
  </si>
  <si>
    <t>SOF-9844</t>
  </si>
  <si>
    <t>Z728070270</t>
  </si>
  <si>
    <t>IV6112-1091</t>
  </si>
  <si>
    <t>SI-181200354</t>
  </si>
  <si>
    <t>2018-07378234</t>
  </si>
  <si>
    <t>1812IV051373</t>
  </si>
  <si>
    <t>A9XPH124</t>
  </si>
  <si>
    <t>540(50%)</t>
  </si>
  <si>
    <t>IV6103795</t>
  </si>
  <si>
    <t>240kg</t>
  </si>
  <si>
    <t>J612526</t>
  </si>
  <si>
    <t>สายเชื่อม CO2</t>
  </si>
  <si>
    <t>MIGPN200</t>
  </si>
  <si>
    <t>U20180120346</t>
  </si>
  <si>
    <t>J612528</t>
  </si>
  <si>
    <t>NV63CV3P30A</t>
  </si>
  <si>
    <t>3500(40+8%)</t>
  </si>
  <si>
    <t>U20180120324</t>
  </si>
  <si>
    <t>J612535</t>
  </si>
  <si>
    <t>BH-D6</t>
  </si>
  <si>
    <t>580(40+8%)</t>
  </si>
  <si>
    <t>IV61123633</t>
  </si>
  <si>
    <t>ห้องเก็บของ</t>
  </si>
  <si>
    <t>ราชาเมทัลซีท</t>
  </si>
  <si>
    <t>BLUESCOPE</t>
  </si>
  <si>
    <t>IV5120221</t>
  </si>
  <si>
    <t>ขาย PN</t>
  </si>
  <si>
    <t>IV5120200</t>
  </si>
  <si>
    <t>76.5(54%)</t>
  </si>
  <si>
    <t>IV610690</t>
  </si>
  <si>
    <t>IN61120116</t>
  </si>
  <si>
    <t>6111001438/1</t>
  </si>
  <si>
    <t>KeyG-293</t>
  </si>
  <si>
    <t>IV6101581</t>
  </si>
  <si>
    <t>NF250CV3P200A</t>
  </si>
  <si>
    <t>IV1200112</t>
  </si>
  <si>
    <t>1.1(10%()</t>
  </si>
  <si>
    <t>IV18120908</t>
  </si>
  <si>
    <t>J612528,1535</t>
  </si>
  <si>
    <t>APW126D-R</t>
  </si>
  <si>
    <t>1370(65%)</t>
  </si>
  <si>
    <t>SOF-9813</t>
  </si>
  <si>
    <t>I161-00266</t>
  </si>
  <si>
    <t>IV61120111</t>
  </si>
  <si>
    <t>GDS-250LI</t>
  </si>
  <si>
    <t>IV18120419</t>
  </si>
  <si>
    <t>61-12-0438</t>
  </si>
  <si>
    <t>CT-AS1B250/5</t>
  </si>
  <si>
    <t>382-19090</t>
  </si>
  <si>
    <t>382-19089</t>
  </si>
  <si>
    <t>ACC-โซดาไฟ</t>
  </si>
  <si>
    <t>382-19087</t>
  </si>
  <si>
    <t>P3G08</t>
  </si>
  <si>
    <t>376(50+2%)</t>
  </si>
  <si>
    <t>IV18120695</t>
  </si>
  <si>
    <t>LM-HC340</t>
  </si>
  <si>
    <t>1200()55%)</t>
  </si>
  <si>
    <t>IV6103772</t>
  </si>
  <si>
    <t>IV18120019</t>
  </si>
  <si>
    <t>OMR68</t>
  </si>
  <si>
    <t>NF400SW3P400A</t>
  </si>
  <si>
    <t>NF125SV3P100A</t>
  </si>
  <si>
    <t>V75035048527887</t>
  </si>
  <si>
    <t>V72900002702897</t>
  </si>
  <si>
    <t>V78858833001938</t>
  </si>
  <si>
    <t>RIP19-070202</t>
  </si>
  <si>
    <t>DI19070521</t>
  </si>
  <si>
    <t>J620806-807</t>
  </si>
  <si>
    <t>715(58%)</t>
  </si>
  <si>
    <t>427-21340</t>
  </si>
  <si>
    <t>ห้องน้ำ PC</t>
  </si>
  <si>
    <t>ACC-สายซักโครก</t>
  </si>
  <si>
    <t>SI-190700314</t>
  </si>
  <si>
    <t>IV620706</t>
  </si>
  <si>
    <t>J620918-921</t>
  </si>
  <si>
    <t>J620944-0868</t>
  </si>
  <si>
    <t>IV6201197</t>
  </si>
  <si>
    <t>พนักงสานใหม่</t>
  </si>
  <si>
    <t>IV6207040030</t>
  </si>
  <si>
    <t>2019-07343433</t>
  </si>
  <si>
    <t>2019-07343187</t>
  </si>
  <si>
    <t>IV620003554</t>
  </si>
  <si>
    <t>J621012</t>
  </si>
  <si>
    <t>TCB02N</t>
  </si>
  <si>
    <t>V78855233034283</t>
  </si>
  <si>
    <t>IV19070057</t>
  </si>
  <si>
    <t>ซ่อมตู้เชื่อม</t>
  </si>
  <si>
    <t>SERVICE-S001</t>
  </si>
  <si>
    <t>SERVICE-S003-C</t>
  </si>
  <si>
    <t>ESWO-1550-R</t>
  </si>
  <si>
    <t>VLE-10K-B</t>
  </si>
  <si>
    <t>VLE-250K-B</t>
  </si>
  <si>
    <t>IV19070056</t>
  </si>
  <si>
    <t>อะไหล่สายเชื่อม</t>
  </si>
  <si>
    <t>TFZ35101</t>
  </si>
  <si>
    <t>TIPBODY036001</t>
  </si>
  <si>
    <t>BANDOA41</t>
  </si>
  <si>
    <t>DRILL5.0</t>
  </si>
  <si>
    <t>DRILL3.3</t>
  </si>
  <si>
    <t>DRILL12.0</t>
  </si>
  <si>
    <t>DRILL13.0</t>
  </si>
  <si>
    <t>IV620378</t>
  </si>
  <si>
    <t>0.4/(40%)</t>
  </si>
  <si>
    <t>IV1900445</t>
  </si>
  <si>
    <t>กูดพอยท์</t>
  </si>
  <si>
    <t>IN62070220</t>
  </si>
  <si>
    <t>0186-009291</t>
  </si>
  <si>
    <t>A958สีฟ้าเข้ม</t>
  </si>
  <si>
    <t>SI-190701590</t>
  </si>
  <si>
    <t>IV620720</t>
  </si>
  <si>
    <t>IV0700274</t>
  </si>
  <si>
    <t>IV6201908</t>
  </si>
  <si>
    <t>BAR 20x3</t>
  </si>
  <si>
    <t>IV6207-00259</t>
  </si>
  <si>
    <t>J620978,980</t>
  </si>
  <si>
    <t>IV6207186</t>
  </si>
  <si>
    <t>ขายNPT</t>
  </si>
  <si>
    <t>IV0080899</t>
  </si>
  <si>
    <t>J621032,1084</t>
  </si>
  <si>
    <t>CDT3519042061</t>
  </si>
  <si>
    <t>CDT3519042060</t>
  </si>
  <si>
    <t>430-21469</t>
  </si>
  <si>
    <t>429-21437</t>
  </si>
  <si>
    <t>IV6207263</t>
  </si>
  <si>
    <t>IV6207-0266</t>
  </si>
  <si>
    <t>2019-07343666</t>
  </si>
  <si>
    <t>IV6207223</t>
  </si>
  <si>
    <t>J621038</t>
  </si>
  <si>
    <t>JIB1190702218</t>
  </si>
  <si>
    <t>เจไอบี คอมพิวเตอร์</t>
  </si>
  <si>
    <t>COMPUTERS</t>
  </si>
  <si>
    <t>SR6207003</t>
  </si>
  <si>
    <t>200(35+4%)</t>
  </si>
  <si>
    <t>DINV19/07/1213</t>
  </si>
  <si>
    <t>J621060</t>
  </si>
  <si>
    <t>PTF-08A-E</t>
  </si>
  <si>
    <t>178(50+2%)</t>
  </si>
  <si>
    <t>J621103</t>
  </si>
  <si>
    <t>NF63HV3P50A</t>
  </si>
  <si>
    <t>IV623220</t>
  </si>
  <si>
    <t>6207001014/1</t>
  </si>
  <si>
    <t>SE1PSB75UC1</t>
  </si>
  <si>
    <t>ORV1907000058</t>
  </si>
  <si>
    <t>SATO2901L</t>
  </si>
  <si>
    <t>62-107</t>
  </si>
  <si>
    <t>ส่วนลด</t>
  </si>
  <si>
    <t>IV16207-03390</t>
  </si>
  <si>
    <t>IV6207-00442</t>
  </si>
  <si>
    <t>J621096</t>
  </si>
  <si>
    <t>IV6207-00433</t>
  </si>
  <si>
    <t>J620906,1080,0797</t>
  </si>
  <si>
    <t>IV6207070</t>
  </si>
  <si>
    <t>J621076</t>
  </si>
  <si>
    <t>159-10845</t>
  </si>
  <si>
    <t>IV-08818</t>
  </si>
  <si>
    <t>IV19070216</t>
  </si>
  <si>
    <t xml:space="preserve">ตู้เชื่อม </t>
  </si>
  <si>
    <t>IV19070217</t>
  </si>
  <si>
    <t>ตู้เชื่อม CO2</t>
  </si>
  <si>
    <t>HS6207096</t>
  </si>
  <si>
    <t>J621009</t>
  </si>
  <si>
    <t>IV620715082</t>
  </si>
  <si>
    <t>มิตซูบิชิ อีเล็คทริค</t>
  </si>
  <si>
    <t>FX3U80MR</t>
  </si>
  <si>
    <t>GT2505VTBD</t>
  </si>
  <si>
    <t>SI1907055374</t>
  </si>
  <si>
    <t>OFFICE4000023</t>
  </si>
  <si>
    <t>OFFICE8003492</t>
  </si>
  <si>
    <t>OFFICE8003701</t>
  </si>
  <si>
    <t>เกรียงกมล2009</t>
  </si>
  <si>
    <t>P221OFS5502-50</t>
  </si>
  <si>
    <t>P2310060</t>
  </si>
  <si>
    <t>P2310061</t>
  </si>
  <si>
    <t>U20190070883</t>
  </si>
  <si>
    <t>J621066</t>
  </si>
  <si>
    <t>TH-T18 5A</t>
  </si>
  <si>
    <t>TH-T18 1.3A</t>
  </si>
  <si>
    <t>NF30CS3P30A</t>
  </si>
  <si>
    <t>1050(50%)</t>
  </si>
  <si>
    <t>NF30CS3P20A</t>
  </si>
  <si>
    <t>CP30-BA 1P5A</t>
  </si>
  <si>
    <t>1950(40+5%)</t>
  </si>
  <si>
    <t>CP30-BA 1P3A</t>
  </si>
  <si>
    <t>IV19073372</t>
  </si>
  <si>
    <t>DR30DOLM4R</t>
  </si>
  <si>
    <t>DR30DOLM4Y</t>
  </si>
  <si>
    <t>AR30FOR10G</t>
  </si>
  <si>
    <t>AR30FOR10W</t>
  </si>
  <si>
    <t>AR30V2R01R</t>
  </si>
  <si>
    <t>IV6207190102</t>
  </si>
  <si>
    <t>DI19071680</t>
  </si>
  <si>
    <t>J620988</t>
  </si>
  <si>
    <t>A1A1253P30A</t>
  </si>
  <si>
    <t>2800(58%)</t>
  </si>
  <si>
    <t>J621104</t>
  </si>
  <si>
    <t>600(50%)</t>
  </si>
  <si>
    <t>IV0700712</t>
  </si>
  <si>
    <t>IV0700653</t>
  </si>
  <si>
    <t>M12x80</t>
  </si>
  <si>
    <t>8.32(35%)</t>
  </si>
  <si>
    <t>HA6207018</t>
  </si>
  <si>
    <t>IV623296</t>
  </si>
  <si>
    <t>J620951</t>
  </si>
  <si>
    <t>PIPEIMC034</t>
  </si>
  <si>
    <t>375(40+5%)</t>
  </si>
  <si>
    <t>IMC034</t>
  </si>
  <si>
    <t>19(40+5%)</t>
  </si>
  <si>
    <t>TR0876</t>
  </si>
  <si>
    <t>SI1907072271</t>
  </si>
  <si>
    <t>OFFICE1061096</t>
  </si>
  <si>
    <t>OFFICE1061095</t>
  </si>
  <si>
    <t>OFFICE7000206</t>
  </si>
  <si>
    <t>19/07-00029</t>
  </si>
  <si>
    <t>0.4 USD</t>
  </si>
  <si>
    <t>0.8USD</t>
  </si>
  <si>
    <t>5.5USD</t>
  </si>
  <si>
    <t>RIP19-071701</t>
  </si>
  <si>
    <t>INV00185599</t>
  </si>
  <si>
    <t>J620988-0935</t>
  </si>
  <si>
    <t>VSF1x150B</t>
  </si>
  <si>
    <t>1030(15%)</t>
  </si>
  <si>
    <t>IV0012932</t>
  </si>
  <si>
    <t>J621128</t>
  </si>
  <si>
    <t>DIV19070836</t>
  </si>
  <si>
    <t>IV0012931</t>
  </si>
  <si>
    <t>IV6207170099</t>
  </si>
  <si>
    <t>CDT3519042577</t>
  </si>
  <si>
    <t>powder2877</t>
  </si>
  <si>
    <t>INV19096</t>
  </si>
  <si>
    <t>PREMIUMCYAN</t>
  </si>
  <si>
    <t>PREMIUMMAGENTA</t>
  </si>
  <si>
    <t>PREMIUMYELLOW</t>
  </si>
  <si>
    <t>FLUTSHING</t>
  </si>
  <si>
    <t>J6204988</t>
  </si>
  <si>
    <t>HA6207019</t>
  </si>
  <si>
    <t>J620936</t>
  </si>
  <si>
    <t>IV0700711</t>
  </si>
  <si>
    <t>0.40(40%)</t>
  </si>
  <si>
    <t>1.0(40%)</t>
  </si>
  <si>
    <t>0.213(20%)</t>
  </si>
  <si>
    <t>M6207-0303</t>
  </si>
  <si>
    <t>6207001080/1</t>
  </si>
  <si>
    <t>BLISSA2017012</t>
  </si>
  <si>
    <t>45(30%)</t>
  </si>
  <si>
    <t>BLISSB2102038</t>
  </si>
  <si>
    <t>90(30%)</t>
  </si>
  <si>
    <t>BLISSB2102034</t>
  </si>
  <si>
    <t>140(30%)</t>
  </si>
  <si>
    <t>BLISSB2102114</t>
  </si>
  <si>
    <t>280(30%)</t>
  </si>
  <si>
    <t>IV190710484</t>
  </si>
  <si>
    <t>เอส.ที คอนโทรล</t>
  </si>
  <si>
    <t>AFRN0007E2S4GB</t>
  </si>
  <si>
    <t>IV0700889</t>
  </si>
  <si>
    <t>IV620751</t>
  </si>
  <si>
    <t>SHINOCP939</t>
  </si>
  <si>
    <t>IV6207531</t>
  </si>
  <si>
    <t>C62-070052</t>
  </si>
  <si>
    <t>J621035-036</t>
  </si>
  <si>
    <t>IV6207532</t>
  </si>
  <si>
    <t>C62-070053</t>
  </si>
  <si>
    <t>J621151</t>
  </si>
  <si>
    <t>CIS0001-0412767</t>
  </si>
  <si>
    <t>J620998,952</t>
  </si>
  <si>
    <t>LTE1101</t>
  </si>
  <si>
    <t>450(15%)</t>
  </si>
  <si>
    <t>J621117</t>
  </si>
  <si>
    <t>INV511907-2505</t>
  </si>
  <si>
    <t>XB5AVM1</t>
  </si>
  <si>
    <t>XB7NS8442</t>
  </si>
  <si>
    <t>431-21519</t>
  </si>
  <si>
    <t>INV511907-2515</t>
  </si>
  <si>
    <t>J620998-952</t>
  </si>
  <si>
    <t>XB5AA42</t>
  </si>
  <si>
    <t>XB5AA51</t>
  </si>
  <si>
    <t>XB5AW33M5</t>
  </si>
  <si>
    <t>XB5AS8442</t>
  </si>
  <si>
    <t>IV1907008</t>
  </si>
  <si>
    <t>6207001099/1</t>
  </si>
  <si>
    <t>คอนเนค เคเบิ้ล</t>
  </si>
  <si>
    <t>YSLY-JZ4x2.5</t>
  </si>
  <si>
    <t>LIY-CY3x1.5</t>
  </si>
  <si>
    <t>IV6071088</t>
  </si>
  <si>
    <t>735(50+10+5%)</t>
  </si>
  <si>
    <t>S201-C6</t>
  </si>
  <si>
    <t>440(50+10+5%)</t>
  </si>
  <si>
    <t>62-07-2963</t>
  </si>
  <si>
    <t>CM-MSS23S</t>
  </si>
  <si>
    <t>MS132</t>
  </si>
  <si>
    <t>2180(50+10+3%)</t>
  </si>
  <si>
    <t>SK1-20</t>
  </si>
  <si>
    <t>525(50+10+3%)</t>
  </si>
  <si>
    <t>1907IV028322</t>
  </si>
  <si>
    <t>J620936.988</t>
  </si>
  <si>
    <t>XB5ANM6</t>
  </si>
  <si>
    <t>270(59%)</t>
  </si>
  <si>
    <t>XB5AVB1</t>
  </si>
  <si>
    <t>XB5AVB3</t>
  </si>
  <si>
    <t>XB5AVB5</t>
  </si>
  <si>
    <t>550(59%)</t>
  </si>
  <si>
    <t>I00383678</t>
  </si>
  <si>
    <t>OFFICE-0713099</t>
  </si>
  <si>
    <t>OFFICE-0411005</t>
  </si>
  <si>
    <t>I00383679</t>
  </si>
  <si>
    <t>J620936,988</t>
  </si>
  <si>
    <t>VC-125BR</t>
  </si>
  <si>
    <t>6(40%)</t>
  </si>
  <si>
    <t>VC-125BK</t>
  </si>
  <si>
    <t>VC-125GY</t>
  </si>
  <si>
    <t>INV00185642</t>
  </si>
  <si>
    <t>PIPE1B</t>
  </si>
  <si>
    <t>90(55%)</t>
  </si>
  <si>
    <t>CONNECT1</t>
  </si>
  <si>
    <t>120(55%)</t>
  </si>
  <si>
    <t>IV62071308</t>
  </si>
  <si>
    <t>J621949</t>
  </si>
  <si>
    <t xml:space="preserve">ฟิวเจอร์เทค </t>
  </si>
  <si>
    <t>SDC29-4</t>
  </si>
  <si>
    <t>SDC29-60AT-W</t>
  </si>
  <si>
    <t>SDV29-60CC-W</t>
  </si>
  <si>
    <t>SDC29-60-UP-W</t>
  </si>
  <si>
    <t>SDC29-60-W</t>
  </si>
  <si>
    <t>CL150-10</t>
  </si>
  <si>
    <t>80(30%)</t>
  </si>
  <si>
    <t>CL150-12</t>
  </si>
  <si>
    <t>IV6207054</t>
  </si>
  <si>
    <t>J621139</t>
  </si>
  <si>
    <t>SI0473075</t>
  </si>
  <si>
    <t>SI0473131</t>
  </si>
  <si>
    <t>IV04348</t>
  </si>
  <si>
    <t>IV6207250005</t>
  </si>
  <si>
    <t>DI19072018</t>
  </si>
  <si>
    <t>OFAF000H50</t>
  </si>
  <si>
    <t>430(50%)</t>
  </si>
  <si>
    <t>J621140</t>
  </si>
  <si>
    <t>LC1D32M7</t>
  </si>
  <si>
    <t>3350(60%)</t>
  </si>
  <si>
    <t>ซ่อมบำรุง PC</t>
  </si>
  <si>
    <t>CHECKVALVE1</t>
  </si>
  <si>
    <t>IV6207270023</t>
  </si>
  <si>
    <t>mk2019-4254</t>
  </si>
  <si>
    <t>RIP19-072701</t>
  </si>
  <si>
    <t>J621034</t>
  </si>
  <si>
    <t>SI190704511</t>
  </si>
  <si>
    <t>IV0700986</t>
  </si>
  <si>
    <t>IV62025059</t>
  </si>
  <si>
    <t>235kg</t>
  </si>
  <si>
    <t>QUBIX-UKY23</t>
  </si>
  <si>
    <t>2562-132</t>
  </si>
  <si>
    <t>IV620725069</t>
  </si>
  <si>
    <t>J6211060</t>
  </si>
  <si>
    <t>GT01C50R48PT</t>
  </si>
  <si>
    <t>FX2N2AD</t>
  </si>
  <si>
    <t>FX2N2DA</t>
  </si>
  <si>
    <t>IN62070852</t>
  </si>
  <si>
    <t>IV16207-04704</t>
  </si>
  <si>
    <t>SR6207034</t>
  </si>
  <si>
    <t>IV6202116</t>
  </si>
  <si>
    <t>DI19080132</t>
  </si>
  <si>
    <t>J621134</t>
  </si>
  <si>
    <t>IV6207310013</t>
  </si>
  <si>
    <t>IV16208-00318</t>
  </si>
  <si>
    <t>2019-07350015</t>
  </si>
  <si>
    <t>IV620418</t>
  </si>
  <si>
    <t>IV6208010016</t>
  </si>
  <si>
    <t>TIV6207271</t>
  </si>
  <si>
    <t>REGULATOR014</t>
  </si>
  <si>
    <t>IV6202159</t>
  </si>
  <si>
    <t>IV6207648</t>
  </si>
  <si>
    <t>IV6207671</t>
  </si>
  <si>
    <t>J621187</t>
  </si>
  <si>
    <t>SI190705465</t>
  </si>
  <si>
    <t>INV6207-0393</t>
  </si>
  <si>
    <t>MAS6208-020</t>
  </si>
  <si>
    <t>434-21660</t>
  </si>
  <si>
    <t>INV2019-0363</t>
  </si>
  <si>
    <t>ระบบinternet pc</t>
  </si>
  <si>
    <t>เบซิสแวร์ ซิสเต็มส์</t>
  </si>
  <si>
    <t>RB760iGS-hEX-S</t>
  </si>
  <si>
    <t>IVN2019-08-002</t>
  </si>
  <si>
    <t>IV6208-00574</t>
  </si>
  <si>
    <t>SR65002/48660</t>
  </si>
  <si>
    <t>J621216</t>
  </si>
  <si>
    <t>M10x30SUS</t>
  </si>
  <si>
    <t>10.6(45%)</t>
  </si>
  <si>
    <t>5.1(45%)</t>
  </si>
  <si>
    <t>2(45%)</t>
  </si>
  <si>
    <t>IV620800IN</t>
  </si>
  <si>
    <t>Stock</t>
  </si>
  <si>
    <t>TAKIGEN</t>
  </si>
  <si>
    <t>RIP19-080702</t>
  </si>
  <si>
    <t xml:space="preserve">ธัญกิจเพนท์ </t>
  </si>
  <si>
    <t>PAINTPOUT759R</t>
  </si>
  <si>
    <t>530(28%)</t>
  </si>
  <si>
    <t>ACC759R</t>
  </si>
  <si>
    <t>140(28%)</t>
  </si>
  <si>
    <t>CS6200801878</t>
  </si>
  <si>
    <t>สำนักงาน</t>
  </si>
  <si>
    <t>INV00185886</t>
  </si>
  <si>
    <t>J620584</t>
  </si>
  <si>
    <t>KVCV1x70B</t>
  </si>
  <si>
    <t>465(45%)</t>
  </si>
  <si>
    <t>O62080061</t>
  </si>
  <si>
    <t>IV0800244</t>
  </si>
  <si>
    <t>J621226</t>
  </si>
  <si>
    <t>IV6208-170</t>
  </si>
  <si>
    <t>INV600185934</t>
  </si>
  <si>
    <t>J620954</t>
  </si>
  <si>
    <t>KVCV1x150B</t>
  </si>
  <si>
    <t>866(40%)</t>
  </si>
  <si>
    <t>IV6208148</t>
  </si>
  <si>
    <t>J621187,1237</t>
  </si>
  <si>
    <t>117.42kg</t>
  </si>
  <si>
    <t>IV6208110</t>
  </si>
  <si>
    <t>J621219</t>
  </si>
  <si>
    <t>IV0221080</t>
  </si>
  <si>
    <t>COUPER40SM</t>
  </si>
  <si>
    <t>200(20%)</t>
  </si>
  <si>
    <t>IV1900515</t>
  </si>
  <si>
    <t>J620521</t>
  </si>
  <si>
    <t>DIEM7</t>
  </si>
  <si>
    <t>DIEM14</t>
  </si>
  <si>
    <t>IV0081231</t>
  </si>
  <si>
    <t>J621253</t>
  </si>
  <si>
    <t>SI0474905</t>
  </si>
  <si>
    <t>J621257</t>
  </si>
  <si>
    <t>160-10937</t>
  </si>
  <si>
    <t>IV-08829</t>
  </si>
  <si>
    <t>IV19080141</t>
  </si>
  <si>
    <t>SI-190801484</t>
  </si>
  <si>
    <t>IV19080022</t>
  </si>
  <si>
    <t>สยามไทย</t>
  </si>
  <si>
    <t>537-27698</t>
  </si>
  <si>
    <t>Voltmeter AC96</t>
  </si>
  <si>
    <t>700(40%)</t>
  </si>
  <si>
    <t>I62-08-05</t>
  </si>
  <si>
    <t>IV1908-105</t>
  </si>
  <si>
    <t>BKK2562-4403</t>
  </si>
  <si>
    <t>IV0800307</t>
  </si>
  <si>
    <t>IV-08819</t>
  </si>
  <si>
    <t>CNM6</t>
  </si>
  <si>
    <t>M8X100STUD</t>
  </si>
  <si>
    <t>435-21750</t>
  </si>
  <si>
    <t>INV511908-1379</t>
  </si>
  <si>
    <t>LV431630</t>
  </si>
  <si>
    <t>LV429550</t>
  </si>
  <si>
    <t>ATSNSX250F</t>
  </si>
  <si>
    <t>WIRING54655</t>
  </si>
  <si>
    <t>DI19080708</t>
  </si>
  <si>
    <t>J621237</t>
  </si>
  <si>
    <t>XT1N3P160A</t>
  </si>
  <si>
    <t>OT63F3</t>
  </si>
  <si>
    <t>1800(48%)</t>
  </si>
  <si>
    <t>AMADA SERVER</t>
  </si>
  <si>
    <t>HD500G</t>
  </si>
  <si>
    <t>435-21720</t>
  </si>
  <si>
    <t>BALL VALE012</t>
  </si>
  <si>
    <t>NIPLE012</t>
  </si>
  <si>
    <t>UNION012</t>
  </si>
  <si>
    <t>019-9477</t>
  </si>
  <si>
    <t>J620660,1286</t>
  </si>
  <si>
    <t>A571</t>
  </si>
  <si>
    <t>A1049</t>
  </si>
  <si>
    <t>6208001185/1</t>
  </si>
  <si>
    <t>CS6200801909</t>
  </si>
  <si>
    <t>เครน NO1</t>
  </si>
  <si>
    <t>160-10958</t>
  </si>
  <si>
    <t>IV620800380</t>
  </si>
  <si>
    <t>J621300-301</t>
  </si>
  <si>
    <t>INV00186090</t>
  </si>
  <si>
    <t>J621951</t>
  </si>
  <si>
    <t>CAPA02DRCW4</t>
  </si>
  <si>
    <t>IV0800536</t>
  </si>
  <si>
    <t>IN62080464</t>
  </si>
  <si>
    <t>IV6208130046</t>
  </si>
  <si>
    <t>LOBOT</t>
  </si>
  <si>
    <t>IN62080530</t>
  </si>
  <si>
    <t>IV620955</t>
  </si>
  <si>
    <t>STEAM012</t>
  </si>
  <si>
    <t>mk2019-4758</t>
  </si>
  <si>
    <t>RIP19-081601</t>
  </si>
  <si>
    <t>J621147</t>
  </si>
  <si>
    <t>IV620815164</t>
  </si>
  <si>
    <t>GT01C100R48T</t>
  </si>
  <si>
    <t>IV6208461</t>
  </si>
  <si>
    <t>J621236</t>
  </si>
  <si>
    <t>6kg</t>
  </si>
  <si>
    <t>INV00186144</t>
  </si>
  <si>
    <t>IV6201433</t>
  </si>
  <si>
    <t>#37</t>
  </si>
  <si>
    <t>IV6202332</t>
  </si>
  <si>
    <t>10เส้น/1304.80</t>
  </si>
  <si>
    <t>CTD351904852</t>
  </si>
  <si>
    <t>J621119-1120</t>
  </si>
  <si>
    <t>IV19-1366</t>
  </si>
  <si>
    <t>J621292</t>
  </si>
  <si>
    <t>IVQT0003170</t>
  </si>
  <si>
    <t>ขายจงจิตต์ดีเวลล็อป</t>
  </si>
  <si>
    <t>23900(60%)</t>
  </si>
  <si>
    <t>IV19080063</t>
  </si>
  <si>
    <t>IV0081376</t>
  </si>
  <si>
    <t>SOC110260</t>
  </si>
  <si>
    <t>J621204</t>
  </si>
  <si>
    <t>DN19000136</t>
  </si>
  <si>
    <t>ค่าบริการตรวเช็คเครน</t>
  </si>
  <si>
    <t>SERVICECRANE</t>
  </si>
  <si>
    <t>VT6200192</t>
  </si>
  <si>
    <t>รูบี้ช๊อป</t>
  </si>
  <si>
    <t>SPAYERRB899</t>
  </si>
  <si>
    <t>IV19084521</t>
  </si>
  <si>
    <t>ซ่อมตู้control</t>
  </si>
  <si>
    <t>E5CCRX2ASM800</t>
  </si>
  <si>
    <t>4680(50+2%)</t>
  </si>
  <si>
    <t>160-10989</t>
  </si>
  <si>
    <t>J621315-1317</t>
  </si>
  <si>
    <t>2019-07351614</t>
  </si>
  <si>
    <t>IVQT0002628</t>
  </si>
  <si>
    <t>J621354</t>
  </si>
  <si>
    <t>440(55%)</t>
  </si>
  <si>
    <t>J621199+stock</t>
  </si>
  <si>
    <t>VERSESUS50</t>
  </si>
  <si>
    <t>DI19081885</t>
  </si>
  <si>
    <t>J621354-1355</t>
  </si>
  <si>
    <t>A1N1253P80A</t>
  </si>
  <si>
    <t>2550(60%)</t>
  </si>
  <si>
    <t>A2N2503P200A</t>
  </si>
  <si>
    <t>7400(60%)</t>
  </si>
  <si>
    <t>A2N2503P160A</t>
  </si>
  <si>
    <t>6900(60%)</t>
  </si>
  <si>
    <t>A1N1253P100A</t>
  </si>
  <si>
    <t>RIP19-082602</t>
  </si>
  <si>
    <t>IV6201491</t>
  </si>
  <si>
    <t>IV6208-00800</t>
  </si>
  <si>
    <t>J621323-1325</t>
  </si>
  <si>
    <t>439-21929</t>
  </si>
  <si>
    <t>HANDLESUS4</t>
  </si>
  <si>
    <t>J621415</t>
  </si>
  <si>
    <t>IV19085296</t>
  </si>
  <si>
    <t>IV1620900159</t>
  </si>
  <si>
    <t>3.3(60%)</t>
  </si>
  <si>
    <t>SR5SUS</t>
  </si>
  <si>
    <t>DP5SUS</t>
  </si>
  <si>
    <t>0.45(50%)</t>
  </si>
  <si>
    <t>IV6208270019</t>
  </si>
  <si>
    <t>J621366</t>
  </si>
  <si>
    <t>IV6209003</t>
  </si>
  <si>
    <t>096(40%)</t>
  </si>
  <si>
    <t>IV6208310051</t>
  </si>
  <si>
    <t>IV6208310003</t>
  </si>
  <si>
    <t>IV6209020086</t>
  </si>
  <si>
    <t>IV6209020081</t>
  </si>
  <si>
    <t>mk2019-5030</t>
  </si>
  <si>
    <t>RS80Y</t>
  </si>
  <si>
    <t>mk2019-5071</t>
  </si>
  <si>
    <t>161-11016</t>
  </si>
  <si>
    <t>IV6209-00013</t>
  </si>
  <si>
    <t>J621307-1308</t>
  </si>
  <si>
    <t>IV6209-00008</t>
  </si>
  <si>
    <t>IV0081478</t>
  </si>
  <si>
    <t>IV620478</t>
  </si>
  <si>
    <t>55/โหล</t>
  </si>
  <si>
    <t>IV620903</t>
  </si>
  <si>
    <t>IV-08842</t>
  </si>
  <si>
    <t>IV6209014</t>
  </si>
  <si>
    <t>SI1909000907</t>
  </si>
  <si>
    <t>OFFICE113060G</t>
  </si>
  <si>
    <t>OFFICE113060S</t>
  </si>
  <si>
    <t>OFFICE5023420</t>
  </si>
  <si>
    <t>INV6208-0374</t>
  </si>
  <si>
    <t>180(30%)</t>
  </si>
  <si>
    <t>J621398</t>
  </si>
  <si>
    <t>ดูดขี้เหล็กในตู้</t>
  </si>
  <si>
    <t>ZB6106WD</t>
  </si>
  <si>
    <t>1180kg/17,26</t>
  </si>
  <si>
    <t>J621336</t>
  </si>
  <si>
    <t>190kg/15</t>
  </si>
  <si>
    <t>IV6208750</t>
  </si>
  <si>
    <t>J621327</t>
  </si>
  <si>
    <t>1.6kg</t>
  </si>
  <si>
    <t>INV6208-0375</t>
  </si>
  <si>
    <t>ค่าซ่อมเครื่องยิงสตัด</t>
  </si>
  <si>
    <t>SOYF04870</t>
  </si>
  <si>
    <t>SOYE01341</t>
  </si>
  <si>
    <t>SERVICE005</t>
  </si>
  <si>
    <t>CDT3519052243</t>
  </si>
  <si>
    <t>CDT3519052244</t>
  </si>
  <si>
    <t>IV19091095</t>
  </si>
  <si>
    <t>IV6209040028</t>
  </si>
  <si>
    <t>INV19140</t>
  </si>
  <si>
    <t>PRIMERMETAL</t>
  </si>
  <si>
    <t>IV6209023</t>
  </si>
  <si>
    <t xml:space="preserve">แพ็คฟิล์ม </t>
  </si>
  <si>
    <t>PVC100</t>
  </si>
  <si>
    <t>INV5119090559</t>
  </si>
  <si>
    <t>J621344</t>
  </si>
  <si>
    <t>EZC100N3030T</t>
  </si>
  <si>
    <t>EZC100N3020T</t>
  </si>
  <si>
    <t>EZC100H2030T</t>
  </si>
  <si>
    <t>EZC100H2015T</t>
  </si>
  <si>
    <t>IV0900141</t>
  </si>
  <si>
    <t>J621454</t>
  </si>
  <si>
    <t>8010(66%)</t>
  </si>
  <si>
    <t>4560(66%)</t>
  </si>
  <si>
    <t>EZC100F3050T</t>
  </si>
  <si>
    <t>3290(66%)</t>
  </si>
  <si>
    <t>2630(66%)</t>
  </si>
  <si>
    <t>IV0900058</t>
  </si>
  <si>
    <t>1(40%)</t>
  </si>
  <si>
    <t>SN16</t>
  </si>
  <si>
    <t>0.092(38%)</t>
  </si>
  <si>
    <t>0.8(30%)</t>
  </si>
  <si>
    <t>IV2019110</t>
  </si>
  <si>
    <t>IVQT0005132</t>
  </si>
  <si>
    <t>J621459</t>
  </si>
  <si>
    <t>1260(60%)</t>
  </si>
  <si>
    <t>360(60%)</t>
  </si>
  <si>
    <t>310(60%)</t>
  </si>
  <si>
    <t>170(60%)</t>
  </si>
  <si>
    <t>200(60%)</t>
  </si>
  <si>
    <t>IV6201445</t>
  </si>
  <si>
    <t>6209001301/1</t>
  </si>
  <si>
    <t>เทป แอนด์ อินซูเล็ต</t>
  </si>
  <si>
    <t>J621459+STOCK</t>
  </si>
  <si>
    <t>MKS2P220V</t>
  </si>
  <si>
    <t xml:space="preserve">ประกอบ+ไฟฟ้า </t>
  </si>
  <si>
    <t>S2019-09-10</t>
  </si>
  <si>
    <t>เอสเอสอี</t>
  </si>
  <si>
    <t>J621515</t>
  </si>
  <si>
    <t>INV00186571</t>
  </si>
  <si>
    <t>J62131,1433</t>
  </si>
  <si>
    <t>KVCV1x25B</t>
  </si>
  <si>
    <t>245(40%)</t>
  </si>
  <si>
    <t>IV0900322</t>
  </si>
  <si>
    <t>M5x30JP</t>
  </si>
  <si>
    <t>0.384(30%)</t>
  </si>
  <si>
    <t>PN4</t>
  </si>
  <si>
    <t>ตู้เชื่อมROBOT</t>
  </si>
  <si>
    <t>FRONIUS</t>
  </si>
  <si>
    <t>INTERFACE</t>
  </si>
  <si>
    <t>ARS-19102172</t>
  </si>
  <si>
    <t>630(15%)</t>
  </si>
  <si>
    <t>161-11049</t>
  </si>
  <si>
    <t>SI0478249</t>
  </si>
  <si>
    <t>420(30+5%)</t>
  </si>
  <si>
    <t>IV6202610</t>
  </si>
  <si>
    <t>218/kg</t>
  </si>
  <si>
    <t>IV6209100099</t>
  </si>
  <si>
    <t>RIP19-091001</t>
  </si>
  <si>
    <t>J621282</t>
  </si>
  <si>
    <t>powder5000TH</t>
  </si>
  <si>
    <t>210(5%)</t>
  </si>
  <si>
    <t>อี๊คโซ่</t>
  </si>
  <si>
    <t>J621390,1393</t>
  </si>
  <si>
    <t>SI190902139</t>
  </si>
  <si>
    <t>0.9(30+2%)</t>
  </si>
  <si>
    <t>2.0(30+2%)</t>
  </si>
  <si>
    <t>IV6200797</t>
  </si>
  <si>
    <t>DO6209-0101</t>
  </si>
  <si>
    <t>J621517</t>
  </si>
  <si>
    <t>IV19090240</t>
  </si>
  <si>
    <t>IV620506</t>
  </si>
  <si>
    <t>795/ม้วน</t>
  </si>
  <si>
    <t>CDT3519054372</t>
  </si>
  <si>
    <t>INV511909-1665</t>
  </si>
  <si>
    <t>J621550</t>
  </si>
  <si>
    <t>IV6209247</t>
  </si>
  <si>
    <t>J621313-0954</t>
  </si>
  <si>
    <t>55/kg</t>
  </si>
  <si>
    <t>2019-07357928</t>
  </si>
  <si>
    <t>442-22094</t>
  </si>
  <si>
    <t>KNB6202Z</t>
  </si>
  <si>
    <t>Earplugs</t>
  </si>
  <si>
    <t>ARS-19102256</t>
  </si>
  <si>
    <t>โปรแกรม UPDATE เครื่องจักร</t>
  </si>
  <si>
    <t>Version00025377</t>
  </si>
  <si>
    <t>Version00020014</t>
  </si>
  <si>
    <t>Version00022543</t>
  </si>
  <si>
    <t>Version00025376</t>
  </si>
  <si>
    <t>Version0025378</t>
  </si>
  <si>
    <t>IV6209-00414</t>
  </si>
  <si>
    <t>J621486-1487</t>
  </si>
  <si>
    <t>IV6209130021</t>
  </si>
  <si>
    <t>IV1991219</t>
  </si>
  <si>
    <t>ซี-ไมเนอร์</t>
  </si>
  <si>
    <t>magnet</t>
  </si>
  <si>
    <t>IV6209140010</t>
  </si>
  <si>
    <t>IV6209140084</t>
  </si>
  <si>
    <t>IV6202678</t>
  </si>
  <si>
    <t>IV0081638</t>
  </si>
  <si>
    <t>J621553</t>
  </si>
  <si>
    <t>CDT3519054954</t>
  </si>
  <si>
    <t>J621439</t>
  </si>
  <si>
    <t>IV6209348</t>
  </si>
  <si>
    <t>J621433</t>
  </si>
  <si>
    <t>154.04kg/55</t>
  </si>
  <si>
    <t>SI0478781</t>
  </si>
  <si>
    <t>J621601</t>
  </si>
  <si>
    <t>865(30+5%)</t>
  </si>
  <si>
    <t>J621393</t>
  </si>
  <si>
    <t>0195/9716</t>
  </si>
  <si>
    <t>IV6209180080</t>
  </si>
  <si>
    <t>LV0009059</t>
  </si>
  <si>
    <t>170.5(54+3%)</t>
  </si>
  <si>
    <t>J621462</t>
  </si>
  <si>
    <t>IV1909-152</t>
  </si>
  <si>
    <t>J621565</t>
  </si>
  <si>
    <t>2019-07358513</t>
  </si>
  <si>
    <t>IV0900719</t>
  </si>
  <si>
    <t>DI19091929</t>
  </si>
  <si>
    <t>IV6209200028</t>
  </si>
  <si>
    <t>IV6202747</t>
  </si>
  <si>
    <t>217/kg</t>
  </si>
  <si>
    <t>IV6202750</t>
  </si>
  <si>
    <t>BAR 60x5</t>
  </si>
  <si>
    <t>IV6202744</t>
  </si>
  <si>
    <t>CDT3519056112</t>
  </si>
  <si>
    <t>RIP19-092001</t>
  </si>
  <si>
    <t>IV0900802</t>
  </si>
  <si>
    <t>IV620922791</t>
  </si>
  <si>
    <t>M6x35JP</t>
  </si>
  <si>
    <t>IV6209037</t>
  </si>
  <si>
    <t>J621410</t>
  </si>
  <si>
    <t>คอนเน็ค โฟลเทค</t>
  </si>
  <si>
    <t>Winequipment</t>
  </si>
  <si>
    <t>IV1900598</t>
  </si>
  <si>
    <t>6209001313/1</t>
  </si>
  <si>
    <t>BUSH SUS</t>
  </si>
  <si>
    <t>6209001385/1</t>
  </si>
  <si>
    <t>J621618</t>
  </si>
  <si>
    <t>NYPG21</t>
  </si>
  <si>
    <t>30(50%)</t>
  </si>
  <si>
    <t>NYPG36</t>
  </si>
  <si>
    <t>100(50%)</t>
  </si>
  <si>
    <t>113-5620</t>
  </si>
  <si>
    <t>IV0900892</t>
  </si>
  <si>
    <t>IV6209457</t>
  </si>
  <si>
    <t>J621429</t>
  </si>
  <si>
    <t>IV6209-0365</t>
  </si>
  <si>
    <t>J621627</t>
  </si>
  <si>
    <t>KEYMS-4008Z</t>
  </si>
  <si>
    <t>SPCN0327/19</t>
  </si>
  <si>
    <t>เครนNO2</t>
  </si>
  <si>
    <t>WIRE ROPE8MM</t>
  </si>
  <si>
    <t>445-2222</t>
  </si>
  <si>
    <t>IV19090397</t>
  </si>
  <si>
    <t>LV0009062</t>
  </si>
  <si>
    <t>003-024496</t>
  </si>
  <si>
    <t>V72900002706482</t>
  </si>
  <si>
    <t>IV6209250087</t>
  </si>
  <si>
    <t>2019-07358999</t>
  </si>
  <si>
    <t>IV6209-00802</t>
  </si>
  <si>
    <t>J621649</t>
  </si>
  <si>
    <t>IV620005344</t>
  </si>
  <si>
    <t>J621254</t>
  </si>
  <si>
    <t>IV6209502</t>
  </si>
  <si>
    <t>J621054</t>
  </si>
  <si>
    <t>19-0920</t>
  </si>
  <si>
    <t>ชัชวาลลวดตาข่าย</t>
  </si>
  <si>
    <t>WIREMESH8</t>
  </si>
  <si>
    <t>IV16209-05590</t>
  </si>
  <si>
    <t>IV16209-05921</t>
  </si>
  <si>
    <t>M5x25JPSUS</t>
  </si>
  <si>
    <t>เอสวีโอเอ</t>
  </si>
  <si>
    <t>IV624656</t>
  </si>
  <si>
    <t>SI-190905069</t>
  </si>
  <si>
    <t>เครื่องมือแผนกเชื่อม</t>
  </si>
  <si>
    <t>SOYP01048</t>
  </si>
  <si>
    <t>IV6209/22810</t>
  </si>
  <si>
    <t>M3x10JF</t>
  </si>
  <si>
    <t>0.131(10%)</t>
  </si>
  <si>
    <t>IN62090926</t>
  </si>
  <si>
    <t>162-11107</t>
  </si>
  <si>
    <t>2019-07359089</t>
  </si>
  <si>
    <t>IV6209270035</t>
  </si>
  <si>
    <t>O62090312</t>
  </si>
  <si>
    <t>AR1909-2118</t>
  </si>
  <si>
    <t>SERVICE</t>
  </si>
  <si>
    <t>OSP22S5NA</t>
  </si>
  <si>
    <t>ARX50J</t>
  </si>
  <si>
    <t>T19602</t>
  </si>
  <si>
    <t>ซ่อมเครื่องยิงสตัด</t>
  </si>
  <si>
    <t>เจเอ็นพี</t>
  </si>
  <si>
    <t>BOARDBMS8N</t>
  </si>
  <si>
    <t>19-08-00206</t>
  </si>
  <si>
    <t>49.25USD</t>
  </si>
  <si>
    <t>IV62091272</t>
  </si>
  <si>
    <t>CT-501NB</t>
  </si>
  <si>
    <t>SI0479993</t>
  </si>
  <si>
    <t>J621662</t>
  </si>
  <si>
    <t>NF250SV3P125A</t>
  </si>
  <si>
    <t>9200(55%)</t>
  </si>
  <si>
    <t>4300(55%)</t>
  </si>
  <si>
    <t>NF125SV3P80A</t>
  </si>
  <si>
    <t>NF125SV3P63A</t>
  </si>
  <si>
    <t>NF125SV3P32A</t>
  </si>
  <si>
    <t>CP30-BA 2P5A</t>
  </si>
  <si>
    <t>IV6210010028</t>
  </si>
  <si>
    <t>IV620532</t>
  </si>
  <si>
    <t>serveramada</t>
  </si>
  <si>
    <t>J621606</t>
  </si>
  <si>
    <t>keyAB-301BK</t>
  </si>
  <si>
    <t>CDT3519058281</t>
  </si>
  <si>
    <t>RIP19-100202</t>
  </si>
  <si>
    <t>IV6201699</t>
  </si>
  <si>
    <t>แจกประจำปี62</t>
  </si>
  <si>
    <t>IV621006</t>
  </si>
  <si>
    <t>IV6202877</t>
  </si>
  <si>
    <t>J621510</t>
  </si>
  <si>
    <t>INV62100097</t>
  </si>
  <si>
    <t>LV0009073</t>
  </si>
  <si>
    <t>IV6100132</t>
  </si>
  <si>
    <t>76.5(55%)</t>
  </si>
  <si>
    <t>170.5(55%)</t>
  </si>
  <si>
    <t>2019-07364139</t>
  </si>
  <si>
    <t>447/22309</t>
  </si>
  <si>
    <t>J621598</t>
  </si>
  <si>
    <t>RATCHET6T8M</t>
  </si>
  <si>
    <t>447-22333</t>
  </si>
  <si>
    <t>SI1910011870</t>
  </si>
  <si>
    <t>HS6210020</t>
  </si>
  <si>
    <t>ขายEMTECH</t>
  </si>
  <si>
    <t>paint-G015</t>
  </si>
  <si>
    <t>595/กล</t>
  </si>
  <si>
    <t>IV19101094</t>
  </si>
  <si>
    <t>IV6210-0376</t>
  </si>
  <si>
    <t>IV6201591</t>
  </si>
  <si>
    <t>IV6210039</t>
  </si>
  <si>
    <t>IV6202886</t>
  </si>
  <si>
    <t>IV6202892</t>
  </si>
  <si>
    <t>IV6202894</t>
  </si>
  <si>
    <t>J621529</t>
  </si>
  <si>
    <t>BAR 80x10TIN</t>
  </si>
  <si>
    <t>237/kg</t>
  </si>
  <si>
    <t>BAR 40x5TIN</t>
  </si>
  <si>
    <t>BAR 25x5TIN</t>
  </si>
  <si>
    <t>BAR 40x10TIN</t>
  </si>
  <si>
    <t>IV6210036</t>
  </si>
  <si>
    <t>ฟีนิกซ์ อีควิปเม้นท์</t>
  </si>
  <si>
    <t>8(30+2%)</t>
  </si>
  <si>
    <t>8.5(30+2%)</t>
  </si>
  <si>
    <t>IV6210005</t>
  </si>
  <si>
    <t>J621722</t>
  </si>
  <si>
    <t>SURGE-STPT2403P</t>
  </si>
  <si>
    <t>IV62105442</t>
  </si>
  <si>
    <t>เครื่องตัดเหล็ก</t>
  </si>
  <si>
    <t>เคซีไฮดรอเมติก</t>
  </si>
  <si>
    <t>SEAL</t>
  </si>
  <si>
    <t>180(10%)</t>
  </si>
  <si>
    <t>OLING</t>
  </si>
  <si>
    <t>15(10%)</t>
  </si>
  <si>
    <t>ณฮ6210040024</t>
  </si>
  <si>
    <t>448-22359</t>
  </si>
  <si>
    <t>448-22360</t>
  </si>
  <si>
    <t>SI191001126</t>
  </si>
  <si>
    <t>SR4x30SUS</t>
  </si>
  <si>
    <t>1.32(50%)</t>
  </si>
  <si>
    <t>IV6202943</t>
  </si>
  <si>
    <t>J621700</t>
  </si>
  <si>
    <t>IV6202941</t>
  </si>
  <si>
    <t>J621607</t>
  </si>
  <si>
    <t>mk2019-5892</t>
  </si>
  <si>
    <t>IV-08863</t>
  </si>
  <si>
    <t>I62-002361</t>
  </si>
  <si>
    <t>CDT3519059661</t>
  </si>
  <si>
    <t>J621755</t>
  </si>
  <si>
    <t>162-11138</t>
  </si>
  <si>
    <t>IV6201732</t>
  </si>
  <si>
    <t>IV6201731</t>
  </si>
  <si>
    <t>J621433,1491</t>
  </si>
  <si>
    <t xml:space="preserve">170kg </t>
  </si>
  <si>
    <t xml:space="preserve">110kg </t>
  </si>
  <si>
    <t>I00388992</t>
  </si>
  <si>
    <t>IV19101761</t>
  </si>
  <si>
    <t>J621704</t>
  </si>
  <si>
    <t>2019-07364567</t>
  </si>
  <si>
    <t>NT</t>
  </si>
  <si>
    <t>paint-bosny</t>
  </si>
  <si>
    <t>paint-920</t>
  </si>
  <si>
    <t>paint-217</t>
  </si>
  <si>
    <t>paint-224</t>
  </si>
  <si>
    <t>01-0018</t>
  </si>
  <si>
    <t>ร้านเจ๊ต้อย(เทคโนทูลส์)</t>
  </si>
  <si>
    <t>IV6210165</t>
  </si>
  <si>
    <t>J621702</t>
  </si>
  <si>
    <t>5.25kg</t>
  </si>
  <si>
    <t>โปโลดีเทล</t>
  </si>
  <si>
    <t>IV0223526</t>
  </si>
  <si>
    <t>IV6202967</t>
  </si>
  <si>
    <t>6210001495/1</t>
  </si>
  <si>
    <t>540/โหล</t>
  </si>
  <si>
    <t>400/โหล</t>
  </si>
  <si>
    <t>162-11148</t>
  </si>
  <si>
    <t>480/โหล</t>
  </si>
  <si>
    <t>IV6210-01008</t>
  </si>
  <si>
    <t>CDT3519060310</t>
  </si>
  <si>
    <t>J621769,1739</t>
  </si>
  <si>
    <t>190(20%)</t>
  </si>
  <si>
    <t>BKK2562-5788</t>
  </si>
  <si>
    <t>SI-191001931</t>
  </si>
  <si>
    <t>448-22400</t>
  </si>
  <si>
    <t>STONG6x1</t>
  </si>
  <si>
    <t>STONBR6x1</t>
  </si>
  <si>
    <t>MAXCO37</t>
  </si>
  <si>
    <t>NCL500-3.7</t>
  </si>
  <si>
    <t>6208001296/1</t>
  </si>
  <si>
    <t>D4V8108SZ</t>
  </si>
  <si>
    <t>IV6204901</t>
  </si>
  <si>
    <t>IV6202982</t>
  </si>
  <si>
    <t>INV19167</t>
  </si>
  <si>
    <t>WFPREMIUM</t>
  </si>
  <si>
    <t>RTP19-101201</t>
  </si>
  <si>
    <t>IV620562</t>
  </si>
  <si>
    <t>2019-07365125</t>
  </si>
  <si>
    <t>VSF1x2.5WH</t>
  </si>
  <si>
    <t>IV6210/619</t>
  </si>
  <si>
    <t>MK2019-6058</t>
  </si>
  <si>
    <t>IV6210160005</t>
  </si>
  <si>
    <t>IV1991403</t>
  </si>
  <si>
    <t>J621679</t>
  </si>
  <si>
    <t>IV620555</t>
  </si>
  <si>
    <t>IV62100961</t>
  </si>
  <si>
    <t>SH-13GR</t>
  </si>
  <si>
    <t>SH-13BN</t>
  </si>
  <si>
    <t>IV6202177</t>
  </si>
  <si>
    <t>จีแอนด์อาร์</t>
  </si>
  <si>
    <t>G90336459</t>
  </si>
  <si>
    <t>G901007217</t>
  </si>
  <si>
    <t>G901007514</t>
  </si>
  <si>
    <t>INV00187338</t>
  </si>
  <si>
    <t>J621532-1533</t>
  </si>
  <si>
    <t>KVCV1x35B</t>
  </si>
  <si>
    <t>438(40%)</t>
  </si>
  <si>
    <t>0198-009886</t>
  </si>
  <si>
    <t>J620779</t>
  </si>
  <si>
    <t>IV6210062</t>
  </si>
  <si>
    <t>J621681</t>
  </si>
  <si>
    <t>M09SB075DS</t>
  </si>
  <si>
    <t>CDT3519061410</t>
  </si>
  <si>
    <t>IV6210019</t>
  </si>
  <si>
    <t>แอดเวอร์ไทร์ซิ่งเฮาส์</t>
  </si>
  <si>
    <t>IV6210454</t>
  </si>
  <si>
    <t>J621804</t>
  </si>
  <si>
    <t>450-22489</t>
  </si>
  <si>
    <t>เครื่องบัสบาร์</t>
  </si>
  <si>
    <t>IV621041</t>
  </si>
  <si>
    <t>IV19103786</t>
  </si>
  <si>
    <t>199-009919</t>
  </si>
  <si>
    <t>J621830</t>
  </si>
  <si>
    <t>#7768</t>
  </si>
  <si>
    <t>IV0082022</t>
  </si>
  <si>
    <t>J621782</t>
  </si>
  <si>
    <t>IV6210-00630</t>
  </si>
  <si>
    <t>SI-191003758</t>
  </si>
  <si>
    <t>IV6210097</t>
  </si>
  <si>
    <t>RSD</t>
  </si>
  <si>
    <t>GR-T010</t>
  </si>
  <si>
    <t>CDT3519061891</t>
  </si>
  <si>
    <t>CDT3519061892</t>
  </si>
  <si>
    <t>IVQT0012548</t>
  </si>
  <si>
    <t>A9F74325</t>
  </si>
  <si>
    <t>291(52%)</t>
  </si>
  <si>
    <t>1140(52%)</t>
  </si>
  <si>
    <t>J621817</t>
  </si>
  <si>
    <t>PVC-ลดกลม1x012</t>
  </si>
  <si>
    <t>SUS-ลดเหลี่ยม114x1</t>
  </si>
  <si>
    <t>SUS-งอเกลียวใน 014</t>
  </si>
  <si>
    <t>SUS-NIPPLE014</t>
  </si>
  <si>
    <t>SUS-ต่อลดเกลียวใน114x1</t>
  </si>
  <si>
    <t>PVC-หน้าแปลน112</t>
  </si>
  <si>
    <t>450-22485</t>
  </si>
  <si>
    <t>PVC-ต่อลด112x1</t>
  </si>
  <si>
    <t>PVC-UNION1</t>
  </si>
  <si>
    <t>PVC-UNION112</t>
  </si>
  <si>
    <t>PVC-ต่อเกลียในทล012</t>
  </si>
  <si>
    <t>PVC-ต่อเกลียวใน112</t>
  </si>
  <si>
    <t>PVC-กาวทาท่อ</t>
  </si>
  <si>
    <t>PVC-ท่อ 112</t>
  </si>
  <si>
    <t>IVQT0012862</t>
  </si>
  <si>
    <t>J621818+STOCK</t>
  </si>
  <si>
    <t>MNK248</t>
  </si>
  <si>
    <t>180(55%)</t>
  </si>
  <si>
    <t>MNK101</t>
  </si>
  <si>
    <t>360(55%)</t>
  </si>
  <si>
    <t>J.621852</t>
  </si>
  <si>
    <t>1.2(30%)</t>
  </si>
  <si>
    <t>เคแอ็ม อินเตอร์กรุ๊ป</t>
  </si>
  <si>
    <t>M6x40JP</t>
  </si>
  <si>
    <t>0.6(30%)</t>
  </si>
  <si>
    <t>SL1910-0188</t>
  </si>
  <si>
    <t>RTS3-300</t>
  </si>
  <si>
    <t>451-22524</t>
  </si>
  <si>
    <t>J.621529</t>
  </si>
  <si>
    <t>HOLESAW16</t>
  </si>
  <si>
    <t>M012x100</t>
  </si>
  <si>
    <t>CS6200802564</t>
  </si>
  <si>
    <t>ซ่อม UPS</t>
  </si>
  <si>
    <t>IV6201814</t>
  </si>
  <si>
    <t>RTP19-102502</t>
  </si>
  <si>
    <t>2019-00574</t>
  </si>
  <si>
    <t>RV5SUS</t>
  </si>
  <si>
    <t>IV6210250016</t>
  </si>
  <si>
    <t>IV6210290022</t>
  </si>
  <si>
    <t>INV6210-0338</t>
  </si>
  <si>
    <t>PVC-หน้าแปลน50</t>
  </si>
  <si>
    <t>IV6210533</t>
  </si>
  <si>
    <t>J621534</t>
  </si>
  <si>
    <t>58.6kg 55.0</t>
  </si>
  <si>
    <t>IV6210510</t>
  </si>
  <si>
    <t>IV1910-201</t>
  </si>
  <si>
    <t>IV6210151</t>
  </si>
  <si>
    <t>โชคชัย เอนจิเนียริ่ง</t>
  </si>
  <si>
    <t>RBCORK</t>
  </si>
  <si>
    <t>2250(10%)</t>
  </si>
  <si>
    <t>151-7548</t>
  </si>
  <si>
    <t>แต้แซฮวด</t>
  </si>
  <si>
    <t>SP078</t>
  </si>
  <si>
    <t>SS6200522</t>
  </si>
  <si>
    <t>เฉี่ยลี่ เชนเกียร์</t>
  </si>
  <si>
    <t>HUB0812</t>
  </si>
  <si>
    <t>3140(35%)</t>
  </si>
  <si>
    <t>J621817+STOCK</t>
  </si>
  <si>
    <t>PG16NL</t>
  </si>
  <si>
    <t>21(50%)</t>
  </si>
  <si>
    <t>IV6210099</t>
  </si>
  <si>
    <t>J621439+STOCK</t>
  </si>
  <si>
    <t>IV62110005</t>
  </si>
  <si>
    <t>I00390262</t>
  </si>
  <si>
    <t>OFFICE-0226026</t>
  </si>
  <si>
    <t>OFFICE-0221003</t>
  </si>
  <si>
    <t>WG1911002</t>
  </si>
  <si>
    <t>0198-009867</t>
  </si>
  <si>
    <t>0198-9865</t>
  </si>
  <si>
    <t>เก็บงาน</t>
  </si>
  <si>
    <t>A1268</t>
  </si>
  <si>
    <t>J621816</t>
  </si>
  <si>
    <t>15kg</t>
  </si>
  <si>
    <t>IV6210310021</t>
  </si>
  <si>
    <t>IV6211016</t>
  </si>
  <si>
    <t>3(30+2%)</t>
  </si>
  <si>
    <t>IV16211-00268</t>
  </si>
  <si>
    <t>IV620593</t>
  </si>
  <si>
    <t>SI0483300</t>
  </si>
  <si>
    <t>IV6211010021</t>
  </si>
  <si>
    <t>2019-07371023</t>
  </si>
  <si>
    <t>IV6110016</t>
  </si>
  <si>
    <t>56.8(56%)</t>
  </si>
  <si>
    <t>IV6110074</t>
  </si>
  <si>
    <t>STOCK+performax</t>
  </si>
  <si>
    <t>26.1(56%)</t>
  </si>
  <si>
    <t>VCT 3x1</t>
  </si>
  <si>
    <t>35.4(56%)</t>
  </si>
  <si>
    <t>VCT 3x2.5</t>
  </si>
  <si>
    <t>79.40(56%)</t>
  </si>
  <si>
    <t>0419G07266</t>
  </si>
  <si>
    <t>J621846</t>
  </si>
  <si>
    <t>SI0483255</t>
  </si>
  <si>
    <t>J621857</t>
  </si>
  <si>
    <t>IV6203152</t>
  </si>
  <si>
    <t>215/kg</t>
  </si>
  <si>
    <t>IV6201757</t>
  </si>
  <si>
    <t>INV19195</t>
  </si>
  <si>
    <t>INKFILTER</t>
  </si>
  <si>
    <t>IV2019131</t>
  </si>
  <si>
    <t>เอสเจฟาส</t>
  </si>
  <si>
    <t>J621502-503</t>
  </si>
  <si>
    <t>เบสท์พอร์ต</t>
  </si>
  <si>
    <t>BP919</t>
  </si>
  <si>
    <t>IV6211017</t>
  </si>
  <si>
    <t>J621890</t>
  </si>
  <si>
    <t>RTP19-110601</t>
  </si>
  <si>
    <t>M10x45</t>
  </si>
  <si>
    <t>SI-191100733</t>
  </si>
  <si>
    <t>2.38(35+3%)</t>
  </si>
  <si>
    <t>DIV19110274</t>
  </si>
  <si>
    <t>SP2019027</t>
  </si>
  <si>
    <t>IV6211117</t>
  </si>
  <si>
    <t>J621916</t>
  </si>
  <si>
    <t>6.78kg</t>
  </si>
  <si>
    <t>IV0082205</t>
  </si>
  <si>
    <t>J621885</t>
  </si>
  <si>
    <t>J621909</t>
  </si>
  <si>
    <t>IV6211015</t>
  </si>
  <si>
    <t>เพาเวอร์ ซัพพลาย</t>
  </si>
  <si>
    <t>MLFC8SQ</t>
  </si>
  <si>
    <t>IV6211-00474</t>
  </si>
  <si>
    <t>IN0114023</t>
  </si>
  <si>
    <t>กรุงเทพพลาสติก</t>
  </si>
  <si>
    <t>3MCOM</t>
  </si>
  <si>
    <t>IVN-2019-11-002</t>
  </si>
  <si>
    <t>STEEL PACKING</t>
  </si>
  <si>
    <t>IV6211040</t>
  </si>
  <si>
    <t>IV6201875</t>
  </si>
  <si>
    <t>IV6211059</t>
  </si>
  <si>
    <t>454-22685</t>
  </si>
  <si>
    <t>SR7x112P</t>
  </si>
  <si>
    <t>454-22688</t>
  </si>
  <si>
    <t>UBOLOT014</t>
  </si>
  <si>
    <t>454-22689</t>
  </si>
  <si>
    <t>454-22690</t>
  </si>
  <si>
    <t>INV00187697</t>
  </si>
  <si>
    <t>BANDOA84</t>
  </si>
  <si>
    <t>115-5710</t>
  </si>
  <si>
    <t>IV6211130026</t>
  </si>
  <si>
    <t>SI0484664</t>
  </si>
  <si>
    <t>J621905</t>
  </si>
  <si>
    <t>P1911-27</t>
  </si>
  <si>
    <t>GR2090201</t>
  </si>
  <si>
    <t>201-10045</t>
  </si>
  <si>
    <t>paint-2K</t>
  </si>
  <si>
    <t>A1373</t>
  </si>
  <si>
    <t>paint-ตัวเร่ง</t>
  </si>
  <si>
    <t>2019-07371851</t>
  </si>
  <si>
    <t>VSF1x50B</t>
  </si>
  <si>
    <t>IV1900687</t>
  </si>
  <si>
    <t>M6x40TP</t>
  </si>
  <si>
    <t>163-11256</t>
  </si>
  <si>
    <t>IV6211120010</t>
  </si>
  <si>
    <t>IV6211226</t>
  </si>
  <si>
    <t>J621921</t>
  </si>
  <si>
    <t>0202-010069</t>
  </si>
  <si>
    <t>J621965,1962</t>
  </si>
  <si>
    <t>paint-2k</t>
  </si>
  <si>
    <t>A1393</t>
  </si>
  <si>
    <t>J621975</t>
  </si>
  <si>
    <t>J621537</t>
  </si>
  <si>
    <t>MH963P4W</t>
  </si>
  <si>
    <t>J621979,1973</t>
  </si>
  <si>
    <t>powder00161AN</t>
  </si>
  <si>
    <t>IV0082300</t>
  </si>
  <si>
    <t>J621989</t>
  </si>
  <si>
    <t>QO19223</t>
  </si>
  <si>
    <t>ARS-19103065</t>
  </si>
  <si>
    <t>เครื่องLASER</t>
  </si>
  <si>
    <t>VQZ1221</t>
  </si>
  <si>
    <t>2640(12%)</t>
  </si>
  <si>
    <t>INV511911-2531</t>
  </si>
  <si>
    <t>J622041</t>
  </si>
  <si>
    <t>LV563306</t>
  </si>
  <si>
    <t>IV6110779</t>
  </si>
  <si>
    <t>A1C1251P15A</t>
  </si>
  <si>
    <t>1980(60%)</t>
  </si>
  <si>
    <t>0202-010083</t>
  </si>
  <si>
    <t>J621962</t>
  </si>
  <si>
    <t>IV6201836</t>
  </si>
  <si>
    <t>INV511911-2326</t>
  </si>
  <si>
    <t>J621537+STOCK</t>
  </si>
  <si>
    <t>IV6211349</t>
  </si>
  <si>
    <t>J621966</t>
  </si>
  <si>
    <t>19.45kg</t>
  </si>
  <si>
    <t>INSTOCK</t>
  </si>
  <si>
    <t>CODE</t>
  </si>
  <si>
    <t>GROUP</t>
  </si>
  <si>
    <t>LIST</t>
  </si>
  <si>
    <t>BRAND</t>
  </si>
  <si>
    <t>unit</t>
  </si>
  <si>
    <t>MAX</t>
  </si>
  <si>
    <t>SUM IN</t>
  </si>
  <si>
    <t>SUM OUT</t>
  </si>
  <si>
    <t>คงเหลือ</t>
  </si>
  <si>
    <t>กลุ่ม ประเภท</t>
  </si>
  <si>
    <t>โฮปลั๊ก 30 มิล</t>
  </si>
  <si>
    <t>BANDEX</t>
  </si>
  <si>
    <t>EA</t>
  </si>
  <si>
    <t>Busbar</t>
  </si>
  <si>
    <t>บัสบาร์</t>
  </si>
  <si>
    <t>โฮปลั๊ก 25 มิล</t>
  </si>
  <si>
    <t>สายไฟ</t>
  </si>
  <si>
    <t>โฮปลั๊ก 22 มิล</t>
  </si>
  <si>
    <t>ACC</t>
  </si>
  <si>
    <t>ชิ้นส่วน</t>
  </si>
  <si>
    <t>โฮปลั๊ก 10 มิล</t>
  </si>
  <si>
    <t>Support</t>
  </si>
  <si>
    <t>ลูกถ้วย&amp;Support</t>
  </si>
  <si>
    <t>ฮิตเตอร์อินฟราเรด CS-600MM 1000W AC220V</t>
  </si>
  <si>
    <t>แสงชัย</t>
  </si>
  <si>
    <t>กุญแจ</t>
  </si>
  <si>
    <t>โอเวอร์โหลด TH-T18 3.6A</t>
  </si>
  <si>
    <t>MITSU</t>
  </si>
  <si>
    <t>KG.</t>
  </si>
  <si>
    <t>กิโลกรัม</t>
  </si>
  <si>
    <t>โอเวอร์โหลด TH-T18 2.1A</t>
  </si>
  <si>
    <t>แอลกอฮอลดีพิเศษ</t>
  </si>
  <si>
    <t>ตะวัน</t>
  </si>
  <si>
    <t>กล.</t>
  </si>
  <si>
    <t>อิฐตัวหนอนแดง</t>
  </si>
  <si>
    <t>UIG</t>
  </si>
  <si>
    <t>ท่อ</t>
  </si>
  <si>
    <t>อันเดอร์โวลเตจ UVTNA250-05SVR FOR NF32-SV-250-SV ขวา AC200-250V</t>
  </si>
  <si>
    <t>อะไหล่ม๊อบเพาเวอร์ BLACK MAN 10"</t>
  </si>
  <si>
    <t>ไม้กวาดไนล่อน 35ซม. ด้ามยาว 120 ซม.</t>
  </si>
  <si>
    <t>NCL</t>
  </si>
  <si>
    <t>อะคริลิคโฟมเทป 12mmx10M #4229</t>
  </si>
  <si>
    <t>ออดชนิดเสียงดังไม่ต่อเนื่องมีแลมป์ LED</t>
  </si>
  <si>
    <t>AT</t>
  </si>
  <si>
    <t>อแดปเตอร์ต่อสลัก</t>
  </si>
  <si>
    <t>แหวนอีแปะ สแตนเลส M8</t>
  </si>
  <si>
    <t>KM</t>
  </si>
  <si>
    <t>แหวนอีแปะ สแตนเลส M6</t>
  </si>
  <si>
    <t>แหวนอีแปะ สแตนเลส M5</t>
  </si>
  <si>
    <t>DP4SUS</t>
  </si>
  <si>
    <t>แหวนอีแปะ สแตนเลส M4</t>
  </si>
  <si>
    <t>แหวนอีแปะ SUS M10</t>
  </si>
  <si>
    <t>AS</t>
  </si>
  <si>
    <t>แหวนอีแปะ M8 ชุบขาว</t>
  </si>
  <si>
    <t>แหวนอีแปะ M8   HDG</t>
  </si>
  <si>
    <t>แหวนอีแปะ M6 ชุบขาว</t>
  </si>
  <si>
    <t>แหวนอีแปะ M5  ชุบขาว</t>
  </si>
  <si>
    <t>แหวนอีแปะ M4  ชุบขาว</t>
  </si>
  <si>
    <t>DP3Z</t>
  </si>
  <si>
    <t>แหวนอีแปะ M3  ชุบขาว</t>
  </si>
  <si>
    <t>แหวนอีแปะ M16  ชุบขาว</t>
  </si>
  <si>
    <t>แหวนอีแปะ M12  ชุบขาว</t>
  </si>
  <si>
    <t>แหวนอีแปะ M10  ชุบขาว</t>
  </si>
  <si>
    <t>แหวนอีแปะ M10   HDG</t>
  </si>
  <si>
    <t>แหวนสปริง สแตนเลส M8</t>
  </si>
  <si>
    <t>แหวนสปริง สแตนเลส M6</t>
  </si>
  <si>
    <t>แหวนสปริง สแตนเลส M5</t>
  </si>
  <si>
    <t>SR4SUS</t>
  </si>
  <si>
    <t>แหวนสปริง สแตนเลส M4</t>
  </si>
  <si>
    <t>แหวนสปริง SUS M10</t>
  </si>
  <si>
    <t>แหวนสปริง M8_Z ชุบขาว</t>
  </si>
  <si>
    <t>แหวนสปริง M8   HDG</t>
  </si>
  <si>
    <t>SR6Z</t>
  </si>
  <si>
    <t>แหวนสปริง M6   ชุบขาว</t>
  </si>
  <si>
    <t>TREETOOL</t>
  </si>
  <si>
    <t>แหวนสปริง M5   ชุบขาว</t>
  </si>
  <si>
    <t>แหวนสปริง M4   ชุบขาว</t>
  </si>
  <si>
    <t>SR3Z</t>
  </si>
  <si>
    <t>แหวนสปริง M3   ชุบขาว</t>
  </si>
  <si>
    <t>แหวนสปริง M16   ชุบรุ้ง</t>
  </si>
  <si>
    <t>แหวนสปริง M12   ชุบรุ้ง</t>
  </si>
  <si>
    <t>แหวนสปริง M12   ชุบขาว</t>
  </si>
  <si>
    <t>แหวนสปริง M10   ชุบรุ้ง</t>
  </si>
  <si>
    <t>แหวนสปริง M10   HDG</t>
  </si>
  <si>
    <t>แหวนสปริง M 8 ชุบรุ้ง</t>
  </si>
  <si>
    <t>แหวนสปริง M 6 ชุบรุ้ง</t>
  </si>
  <si>
    <t>ELINK8</t>
  </si>
  <si>
    <t>แหวนล็อคตัว E M8</t>
  </si>
  <si>
    <t>TPC</t>
  </si>
  <si>
    <t>ELINK6</t>
  </si>
  <si>
    <t>แหวนล็อคตัว E M6</t>
  </si>
  <si>
    <t>ELINK5</t>
  </si>
  <si>
    <t>แหวนล็อคตัว E M5</t>
  </si>
  <si>
    <t>ELINK4</t>
  </si>
  <si>
    <t>แหวนล็อคตัว E M4</t>
  </si>
  <si>
    <t>แหวนพลาสติก M6</t>
  </si>
  <si>
    <t>แหวนพลาสติก M5</t>
  </si>
  <si>
    <t>แหวนพลาสติก M4</t>
  </si>
  <si>
    <t>แหวนฉิ่ง M8</t>
  </si>
  <si>
    <t>แหวนฉิ่ง M6</t>
  </si>
  <si>
    <t>แหวนฉิ่ง M12</t>
  </si>
  <si>
    <t>แหวนฉิ่ง M10</t>
  </si>
  <si>
    <t>แหวนจักร M6</t>
  </si>
  <si>
    <t>หินเกล็ด ใหญ่</t>
  </si>
  <si>
    <t>หางปลาหัวเสียบก้านไม้ขีด 218-FD สีน้ำเงิน</t>
  </si>
  <si>
    <t>หางปลาเสียบแบนสีแดง KT22-16</t>
  </si>
  <si>
    <t>หางปลาเสียบตัวเมียชนิดหุ้ม F2.5-A</t>
  </si>
  <si>
    <t>หางปลาเสียบตัวผู้ชนิดหุ้ม F2.5-B</t>
  </si>
  <si>
    <t>หางปลาเสียบตัวผู้ชนิดหุ้ม F1.5-B</t>
  </si>
  <si>
    <t>หางปลาเสียบก้านไม้ขีด 518-FBเหลือง</t>
  </si>
  <si>
    <t>หางปลาเสียบก้านไม้ขีด 510-FBเหลือง</t>
  </si>
  <si>
    <t>หางปลาไม้แบด V2.5-7Aสีน้ำเงิน</t>
  </si>
  <si>
    <t>หางปลาไม้แบด V1.5-7Aสีแดง</t>
  </si>
  <si>
    <t>หางปลาต่อกลาง BF6 สีเหลือง</t>
  </si>
  <si>
    <t>หางปลาแฉกหุ้ม 6-6</t>
  </si>
  <si>
    <t>หางปลาแฉกหุ้ม 6-5</t>
  </si>
  <si>
    <t>หางปลาแฉกหุ้ม 4-4</t>
  </si>
  <si>
    <t>หางปลาแฉกหุ้ม 1.5-3S</t>
  </si>
  <si>
    <t>หางปลาแฉกเปลือย Y6-6</t>
  </si>
  <si>
    <t>หางปลาแฉกเปลือย Y6-5S</t>
  </si>
  <si>
    <t>หางปลาแฉกเปลือย Y6-5</t>
  </si>
  <si>
    <t>หางปลาแฉกเปลือย Y6-4S</t>
  </si>
  <si>
    <t>หางปลาแฉกเปลือย Y5.5-5</t>
  </si>
  <si>
    <t>หางปลาแฉกเปลือย Y5.5-4</t>
  </si>
  <si>
    <t>หางปลาแฉกเปลือย Y4-4</t>
  </si>
  <si>
    <t>หางปลาแฉกเปลือย Y3.5-5</t>
  </si>
  <si>
    <t>LIB</t>
  </si>
  <si>
    <t>หางปลาแฉกเปลือย Y3.5-4</t>
  </si>
  <si>
    <t>หางปลาแฉกเปลือย Y2.5-4S</t>
  </si>
  <si>
    <t>หางปลาแฉกเปลือย Y2.5-3S</t>
  </si>
  <si>
    <t>หางปลาแฉกเปลือย Y1.5-3S</t>
  </si>
  <si>
    <t>หางปลาแฉกเปลือย 2-4YS</t>
  </si>
  <si>
    <t>หางปลาเข็มแบนแบบเปลือย 5.5-10</t>
  </si>
  <si>
    <t>PEOPLE</t>
  </si>
  <si>
    <t>หางปลาเข็มแบนแบบเปลือย 2-9</t>
  </si>
  <si>
    <t>หางปลาเข็มแบนแบบเปลือย 1.25-10</t>
  </si>
  <si>
    <t>หางปลากลมหุ้ม 6-8</t>
  </si>
  <si>
    <t>หางปลากลมหุ้ม 6-6</t>
  </si>
  <si>
    <t>หางปลากลมหุ้ม 6-4</t>
  </si>
  <si>
    <t>หางปลากลมหุ้ม 6-10</t>
  </si>
  <si>
    <t>RF5-12</t>
  </si>
  <si>
    <t>หางปลากลมหุ้ม 5-12</t>
  </si>
  <si>
    <t>TLUG</t>
  </si>
  <si>
    <t>หางปลากลมหุ้ม 5.5-10</t>
  </si>
  <si>
    <t>หางปลากลมหุ้ม 4-4</t>
  </si>
  <si>
    <t>หางปลากลมหุ้ม 2.5-5</t>
  </si>
  <si>
    <t>หางปลากลมหุ้ม 2.5-4</t>
  </si>
  <si>
    <t>หางปลากลมหุ้ม 1.5-3</t>
  </si>
  <si>
    <t>หางปลากลมเปลือยหนา 25-8</t>
  </si>
  <si>
    <t>หางปลากลมเปลือยหนา 25-6</t>
  </si>
  <si>
    <t>หางปลากลมเปลือยหนา 25-10</t>
  </si>
  <si>
    <t>หางปลากลมเปลือยหนา 16-8</t>
  </si>
  <si>
    <t>หางปลากลมเปลือยหนา 16-6</t>
  </si>
  <si>
    <t>หางปลากลมเปลือย6-8</t>
  </si>
  <si>
    <t>หางปลากลมเปลือย6-6</t>
  </si>
  <si>
    <t>หางปลากลมเปลือย50-8</t>
  </si>
  <si>
    <t>หางปลากลมเปลือย50-6</t>
  </si>
  <si>
    <t>หางปลากลมเปลือย50-12</t>
  </si>
  <si>
    <t>หางปลากลมเปลือย50-10</t>
  </si>
  <si>
    <t>หางปลากลมเปลือย35-8</t>
  </si>
  <si>
    <t>หางปลากลมเปลือย35-6</t>
  </si>
  <si>
    <t>หางปลากลมเปลือย35-12</t>
  </si>
  <si>
    <t>หางปลากลมเปลือย35-10</t>
  </si>
  <si>
    <t>หางปลากลมเปลือย 95-8</t>
  </si>
  <si>
    <t>หางปลากลมเปลือย 95-14</t>
  </si>
  <si>
    <t>หางปลากลมเปลือย 95-12</t>
  </si>
  <si>
    <t>หางปลากลมเปลือย 95-10</t>
  </si>
  <si>
    <t>หางปลากลมเปลือย 70-8</t>
  </si>
  <si>
    <t>หางปลากลมเปลือย 70-12</t>
  </si>
  <si>
    <t>หางปลากลมเปลือย 70-10</t>
  </si>
  <si>
    <t>หางปลากลมเปลือย 5.5-8</t>
  </si>
  <si>
    <t>หางปลากลมเปลือย 5.5-6</t>
  </si>
  <si>
    <t>หางปลากลมเปลือย 5.5-10</t>
  </si>
  <si>
    <t>หางปลากลมเปลือย 4-6</t>
  </si>
  <si>
    <t>หางปลากลมเปลือย 4-4</t>
  </si>
  <si>
    <t>หางปลากลมเปลือย 300-14</t>
  </si>
  <si>
    <t>หางปลากลมเปลือย 300-12</t>
  </si>
  <si>
    <t>หางปลากลมเปลือย 3.5-5</t>
  </si>
  <si>
    <t>หางปลากลมเปลือย 2-8</t>
  </si>
  <si>
    <t>หางปลากลมเปลือย 2-6</t>
  </si>
  <si>
    <t>หางปลากลมเปลือย 2-5</t>
  </si>
  <si>
    <t>หางปลากลมเปลือย 240-16</t>
  </si>
  <si>
    <t>หางปลากลมเปลือย 240-14</t>
  </si>
  <si>
    <t>หางปลากลมเปลือย 240-12</t>
  </si>
  <si>
    <t>หางปลากลมเปลือย 2-4</t>
  </si>
  <si>
    <t>หางปลากลมเปลือย 2-3</t>
  </si>
  <si>
    <t>หางปลากลมเปลือย 22-8</t>
  </si>
  <si>
    <t>หางปลากลมเปลือย 22-6</t>
  </si>
  <si>
    <t>หางปลากลมเปลือย 22-12</t>
  </si>
  <si>
    <t>หางปลากลมเปลือย 22-10</t>
  </si>
  <si>
    <t>หางปลากลมเปลือย 2.5-6</t>
  </si>
  <si>
    <t>หางปลากลมเปลือย 2.5-5</t>
  </si>
  <si>
    <t>หางปลากลมเปลือย 2.5-4</t>
  </si>
  <si>
    <t>หางปลากลมเปลือย 2.5-3</t>
  </si>
  <si>
    <t>หางปลากลมเปลือย 185-14</t>
  </si>
  <si>
    <t>หางปลากลมเปลือย 185-12</t>
  </si>
  <si>
    <t>หางปลากลมเปลือย 185-10</t>
  </si>
  <si>
    <t>หางปลากลมเปลือย 150-16</t>
  </si>
  <si>
    <t>หางปลากลมเปลือย 150-14</t>
  </si>
  <si>
    <t>หางปลากลมเปลือย 150-12</t>
  </si>
  <si>
    <t>หางปลากลมเปลือย 150-10</t>
  </si>
  <si>
    <t>หางปลากลมเปลือย 14-8</t>
  </si>
  <si>
    <t>หางปลากลมเปลือย 14-6</t>
  </si>
  <si>
    <t>หางปลากลมเปลือย 14-12</t>
  </si>
  <si>
    <t>หางปลากลมเปลือย 14-10</t>
  </si>
  <si>
    <t>หางปลากลมเปลือย 120-16</t>
  </si>
  <si>
    <t>หางปลากลมเปลือย 120-14</t>
  </si>
  <si>
    <t>หางปลากลมเปลือย 120-12</t>
  </si>
  <si>
    <t>หางปลากลมเปลือย 120-10</t>
  </si>
  <si>
    <t>หางปลากลมเปลือย 1.5-4</t>
  </si>
  <si>
    <t>หางปลากลมเปลือย 1.5-3</t>
  </si>
  <si>
    <t>หางปลากลมปลือย8-8</t>
  </si>
  <si>
    <t>หางปลากลมปลือย8-6</t>
  </si>
  <si>
    <t>หางปลากลมปลือย8-10</t>
  </si>
  <si>
    <t>หัวแร้งเชื่อมตะกั่ว 130W รุ่น NO.980F-V22</t>
  </si>
  <si>
    <t>HAKKO</t>
  </si>
  <si>
    <t>WNM8</t>
  </si>
  <si>
    <t>หัวน้อตหางปลาเหล็กเหนียว M8</t>
  </si>
  <si>
    <t>WNM6</t>
  </si>
  <si>
    <t>หัวน้อตหางปลาเหล็กเหนียว M6</t>
  </si>
  <si>
    <t>หัวน้อตหางปลาเหล็กเหนียว M10</t>
  </si>
  <si>
    <t>หัวน็อตล็อค M8</t>
  </si>
  <si>
    <t>LN6</t>
  </si>
  <si>
    <t>หัวน็อตล็อค M6</t>
  </si>
  <si>
    <t>หัวน็อตล็อค M5</t>
  </si>
  <si>
    <t>หัวน็อตล็อค M4</t>
  </si>
  <si>
    <t>หัวน็อตล็อค M10</t>
  </si>
  <si>
    <t>หัวน๊อต SUS M10</t>
  </si>
  <si>
    <t>หัวน๊อต SUS 5/8" 11x26x13 BSW</t>
  </si>
  <si>
    <t>หัวน้อต M8  HDG</t>
  </si>
  <si>
    <t>หัวน้อต M3 ชุบขาว</t>
  </si>
  <si>
    <t>หัวน้อต M10  HDG</t>
  </si>
  <si>
    <t>หัวน็อต M 8 ชุบขาว</t>
  </si>
  <si>
    <t>หัวน็อต      สแตนเลส M8</t>
  </si>
  <si>
    <t>หัวน็อต      สแตนเลส M6</t>
  </si>
  <si>
    <t>หัวน็อต      สแตนเลส M5</t>
  </si>
  <si>
    <t>SN4SUS</t>
  </si>
  <si>
    <t>หัวน็อต      สแตนเลส M4</t>
  </si>
  <si>
    <t>หัวน็อต      M 6 ชุบขาว</t>
  </si>
  <si>
    <t>หัวน้อต       M5   ชุบขาว</t>
  </si>
  <si>
    <t>หัวน้อต       M4   ชุบขาว</t>
  </si>
  <si>
    <t>หัวน้อต       M16   ชุบขาว</t>
  </si>
  <si>
    <t>หัวน้อต       M12   ชุบขาว</t>
  </si>
  <si>
    <t>หัวน้อต       M10   ชุบขาว</t>
  </si>
  <si>
    <t>EBM16</t>
  </si>
  <si>
    <t>ห่วงตู้ M16</t>
  </si>
  <si>
    <t>ห่วงตู้ M12 ชุบขาว</t>
  </si>
  <si>
    <t>ห่วงตู้ M10</t>
  </si>
  <si>
    <t>หลอดแสงจันทร์ HPL-N400W</t>
  </si>
  <si>
    <t>หลอดปิงปองESS/บับ 3W/WW-PL/E</t>
  </si>
  <si>
    <t>หลอดนีออน 36W</t>
  </si>
  <si>
    <t>หลอด LED/บับ 9W/PL WARMWHITE</t>
  </si>
  <si>
    <t>หลอด LED/บับ 10.5-85W/65K-PL</t>
  </si>
  <si>
    <t>หมุดเนมเพลท</t>
  </si>
  <si>
    <t>CPT</t>
  </si>
  <si>
    <t>PIN</t>
  </si>
  <si>
    <t>หมุด</t>
  </si>
  <si>
    <t>SPECIAL DIE</t>
  </si>
  <si>
    <t xml:space="preserve">หม้อแปลง Tranformer TR-2822 1ph SW 220V 50-60Hz/24V 50VA </t>
  </si>
  <si>
    <t>TESLA</t>
  </si>
  <si>
    <t>หม้อแปลง 250V/24V 50VA</t>
  </si>
  <si>
    <t>หม้อแปลง 1PH SW.XFMR 220V 50Hz/110V 30VA TR-12601</t>
  </si>
  <si>
    <t>ESTEL</t>
  </si>
  <si>
    <t>หมวกสวมใหญ่</t>
  </si>
  <si>
    <t>หมวกสวมเล็ก</t>
  </si>
  <si>
    <t>หมวกเซฟตี้ สีขาว มอก.</t>
  </si>
  <si>
    <t>ไส้หมวกเซฟตี้</t>
  </si>
  <si>
    <t>ไส้ไก่ NO.8</t>
  </si>
  <si>
    <t>M</t>
  </si>
  <si>
    <t>ไส้ไก่ NO.6</t>
  </si>
  <si>
    <t>ไส้ไก่ NO.19</t>
  </si>
  <si>
    <t>ไส้ไก่ NO.15</t>
  </si>
  <si>
    <t>ไส้ไก่ NO.12</t>
  </si>
  <si>
    <t>ไส้ไก่ NO.10</t>
  </si>
  <si>
    <t>MDSUS</t>
  </si>
  <si>
    <t>ไส้กลางบานพับสแตนเลส</t>
  </si>
  <si>
    <t>PCผลิต</t>
  </si>
  <si>
    <t>ไส้กลางบานพับชุบขาว</t>
  </si>
  <si>
    <t>SAS</t>
  </si>
  <si>
    <t>ไส้กรองแรงดันสูง</t>
  </si>
  <si>
    <t>ไส้กรองดักสีฝุ่น PE3</t>
  </si>
  <si>
    <t>เสื้อโปโล(เสื้อพนักงาน)</t>
  </si>
  <si>
    <t>สีสเปรย์ สีเหลือง</t>
  </si>
  <si>
    <t>WIN</t>
  </si>
  <si>
    <t>กป.</t>
  </si>
  <si>
    <t>สีสเปรย์ สีฟ้า</t>
  </si>
  <si>
    <t>สีสเปรย์ สีน้ำตาล</t>
  </si>
  <si>
    <t>สีสเปรย์ สีน้ำเงิน</t>
  </si>
  <si>
    <t>สีสเปรย์ สีแดง</t>
  </si>
  <si>
    <t>สีสเปรย์ สีเขียว</t>
  </si>
  <si>
    <t>สีสเปรย์ สีขาว</t>
  </si>
  <si>
    <t>สีสเปรย์ เคลียร์</t>
  </si>
  <si>
    <t>สีสเปรย์ TDK#C1204551PX20</t>
  </si>
  <si>
    <t>แมเนจ</t>
  </si>
  <si>
    <t>สีสเปรย์ TDK #815</t>
  </si>
  <si>
    <t>สีสเปรย์ TDK #45461</t>
  </si>
  <si>
    <t>สีสเปรย์ C1300128A</t>
  </si>
  <si>
    <t>สีรองพื้นกันสนิม Lotto</t>
  </si>
  <si>
    <t>Lotto</t>
  </si>
  <si>
    <t>LIT</t>
  </si>
  <si>
    <t>สีฝุ่นFF110/600/Cสีส้ม</t>
  </si>
  <si>
    <t>สยามออกซี่พลาส</t>
  </si>
  <si>
    <t>สีฝุ่น สีเทาเรียบ 1025209PX20</t>
  </si>
  <si>
    <t>สีฝุ่น สีเทาย่น 1002877PX20</t>
  </si>
  <si>
    <t>สีฝุ่น สีครีมย่น 1002782PX20</t>
  </si>
  <si>
    <t>สีฝุ่น สีครีมย่น 1002735PX20</t>
  </si>
  <si>
    <t>สีฝุ่น Widely White 1029739PX20</t>
  </si>
  <si>
    <t>สีฝุ่น S00319AN สีขาว</t>
  </si>
  <si>
    <t>V-POWDER</t>
  </si>
  <si>
    <t>สีฝุ่น PR26/2081/C</t>
  </si>
  <si>
    <t>สีฝุ่น P90097 BN</t>
  </si>
  <si>
    <t xml:space="preserve">สีฝุ่น P90042 </t>
  </si>
  <si>
    <t>powderP9001A</t>
  </si>
  <si>
    <t>สีฝุ่น P9001A  สีเทาดำ</t>
  </si>
  <si>
    <t>สีฝุ่น P70003 AN สีครีม</t>
  </si>
  <si>
    <t>สีฝุ่น P50477 AN</t>
  </si>
  <si>
    <t>สีฝุ่น P2049A สีส้ม ภายนอก</t>
  </si>
  <si>
    <t>สีฝุ่น P08019AN สีขาว</t>
  </si>
  <si>
    <t>Akzo Nobel</t>
  </si>
  <si>
    <t xml:space="preserve">สีฝุ่น P0001A  สีขาว </t>
  </si>
  <si>
    <t>สีฝุ่น M90254</t>
  </si>
  <si>
    <t>สีฝุ่น M90079 BN สีครีมเรียบ</t>
  </si>
  <si>
    <t>สีฝุ่น M50170AN สีน้ำเงิน</t>
  </si>
  <si>
    <t>สีฝุ่น M34001AQ สีส้ม</t>
  </si>
  <si>
    <t>สีฝุ่น M10001 WN</t>
  </si>
  <si>
    <t>สีฝุ่น L4001  สีส้มภายนอก P2049A</t>
  </si>
  <si>
    <t>สีฝุ่น HB 45206 M BLACK MATT</t>
  </si>
  <si>
    <t>สีฝุ่น GREY BUTTER 1025216PX20</t>
  </si>
  <si>
    <t>สีฝุ่น GH469024</t>
  </si>
  <si>
    <t>GREENPOWDER</t>
  </si>
  <si>
    <t>สีฝุ่น GH467042</t>
  </si>
  <si>
    <t>สีฝุ่น GH467026 สีน้ำเงิน</t>
  </si>
  <si>
    <t>สีฝุ่น GH464022 สีครีม</t>
  </si>
  <si>
    <t>สีฝุ่น GH433040</t>
  </si>
  <si>
    <t>สีฝุ่น GH413189</t>
  </si>
  <si>
    <t>สีฝุ่น GH413156 F</t>
  </si>
  <si>
    <t>สีฝุ่น GH413041F Sand Grey</t>
  </si>
  <si>
    <t>สีฝุ่น FF165/49/cw</t>
  </si>
  <si>
    <t xml:space="preserve">สีฝุ่น FF110/981/c </t>
  </si>
  <si>
    <t>สีฝุ่น FF110/948/C สีครีม</t>
  </si>
  <si>
    <t>powder503C</t>
  </si>
  <si>
    <t>สีฝุ่น FF110/503/C</t>
  </si>
  <si>
    <t>สีฝุ่น FF110/2112/C</t>
  </si>
  <si>
    <t>สีฝุ่น FF110/201/c</t>
  </si>
  <si>
    <t>สีฝุ่น FF110/166</t>
  </si>
  <si>
    <t>สีฝุ่น FF 165/829/CW2 สีขาวตู้แบต</t>
  </si>
  <si>
    <t>สีฝุ่น FF 110/908/C สีครีมเหลือง</t>
  </si>
  <si>
    <t>สีฝุ่น FF 110/90/C สีขาวเรียบ</t>
  </si>
  <si>
    <t>สีฝุ่น FF 110/833/C สีเทาเรียบ</t>
  </si>
  <si>
    <t>สีฝุ่น FF 110/815/C สีผิวเงา</t>
  </si>
  <si>
    <t>สีฝุ่น 1212422 PX20 สีเทาเข้ม</t>
  </si>
  <si>
    <t>สีฝุ่น 1212421 PX20 สีน้ำเงิน</t>
  </si>
  <si>
    <t>สีฝุ่น 1212414 PX20 สีแดง</t>
  </si>
  <si>
    <t xml:space="preserve">สีฝุ่น 1205878PX20 </t>
  </si>
  <si>
    <t>สีฝุ่น 1205339PX20</t>
  </si>
  <si>
    <t xml:space="preserve">สีฝุ่น 1021517PX20 </t>
  </si>
  <si>
    <t>สีฝุ่น 1016090PX20</t>
  </si>
  <si>
    <t>สีฝุ่น 1002788PX20</t>
  </si>
  <si>
    <t>สีฝุ่น  1002905PX20</t>
  </si>
  <si>
    <t>สีฝ่น FF110/601/c</t>
  </si>
  <si>
    <t>สีโป้ว</t>
  </si>
  <si>
    <t>กล</t>
  </si>
  <si>
    <t>สีน้ำมันดำด้าน DENZO-888</t>
  </si>
  <si>
    <t>DENZO</t>
  </si>
  <si>
    <t>สีน้ำมัน LOTTO 1186</t>
  </si>
  <si>
    <t>สีน้ำมัน LOTTO 1156</t>
  </si>
  <si>
    <t>LOTTO</t>
  </si>
  <si>
    <t xml:space="preserve">สายลม PU KOVET 8x12มม.(ฟ้า) </t>
  </si>
  <si>
    <t>KOVET</t>
  </si>
  <si>
    <t>ROLL</t>
  </si>
  <si>
    <t>สายรัดมอเตอร์ไซร์</t>
  </si>
  <si>
    <t>สายยางน้ำ 5/8"</t>
  </si>
  <si>
    <t>สายยางน้ำ 2"</t>
  </si>
  <si>
    <t>สายไฟ VSF1x6 SQMM.สีเหลือง</t>
  </si>
  <si>
    <t>JJ-LAPP</t>
  </si>
  <si>
    <t>สายไฟ VSF1x6 SQMM.สีน้ำเงิน</t>
  </si>
  <si>
    <t>สายไฟ VSF1x6 SQMM.สีเทา</t>
  </si>
  <si>
    <t>สายไฟ VSF1x6 SQMM.สีแดง</t>
  </si>
  <si>
    <t>สายไฟ VSF1x6 SQMM.สีดำ</t>
  </si>
  <si>
    <t>สายไฟ VSF1x6 SQMM.สีเขียว</t>
  </si>
  <si>
    <t>สายไฟ VSF1x6 SQMM.สีขาว</t>
  </si>
  <si>
    <t>สายไฟ VSF1x50 SQMM.สีดำ</t>
  </si>
  <si>
    <t>สายไฟ VSF1x4 SQMM.สีเหลือง</t>
  </si>
  <si>
    <t>สายไฟ VSF1x4 SQMM.สีน้ำตาล</t>
  </si>
  <si>
    <t>สายไฟ VSF1x4 SQMM.สีน้ำเงิน</t>
  </si>
  <si>
    <t>สายไฟ VSF1x4 SQMM.สีเทา</t>
  </si>
  <si>
    <t>สายไฟ VSF1x4 SQMM.สีแดง</t>
  </si>
  <si>
    <t>สายไฟ VSF1x4 SQMM.สีดำ</t>
  </si>
  <si>
    <t>สายไฟ VSF1x4 SQMM.สีเขียว</t>
  </si>
  <si>
    <t>สายไฟ VSF1x4 SQMM.สีขาว</t>
  </si>
  <si>
    <t>สายไฟ VSF1x35 SQMM.สีดำ</t>
  </si>
  <si>
    <t>JWC</t>
  </si>
  <si>
    <t>สายไฟ VSF1x25 SQMM.สีดำ</t>
  </si>
  <si>
    <t>VSF1X2.5Y</t>
  </si>
  <si>
    <t>สายไฟ VSF1x2.5 SQMM.สีเหลือง</t>
  </si>
  <si>
    <t>VSF1X2.5BN</t>
  </si>
  <si>
    <t>สายไฟ VSF1x2.5 SQMM.สีน้ำตาล</t>
  </si>
  <si>
    <t>VSF1X2.5BL</t>
  </si>
  <si>
    <t>สายไฟ VSF1x2.5 SQMM.สีน้ำเงิน</t>
  </si>
  <si>
    <t>VSF1X2.5GR</t>
  </si>
  <si>
    <t>สายไฟ VSF1x2.5 SQMM.สีเทา</t>
  </si>
  <si>
    <t>VSF1X2.5R</t>
  </si>
  <si>
    <t>สายไฟ VSF1x2.5 SQMM.สีแดง</t>
  </si>
  <si>
    <t>VSF1X2.5B</t>
  </si>
  <si>
    <t>สายไฟ VSF1x2.5 SQMM.สีดำ</t>
  </si>
  <si>
    <t>VSF1X2.5G</t>
  </si>
  <si>
    <t>สายไฟ VSF1x2.5 SQMM.สีเขียว</t>
  </si>
  <si>
    <t>สายไฟ VSF1x2.5 SQMM.สีขาว</t>
  </si>
  <si>
    <t>สายไฟ VSF1x16 SQMM.สีดำ</t>
  </si>
  <si>
    <t>สายไฟ VSF1x16 SQMM.สีเขียว</t>
  </si>
  <si>
    <t>สายไฟ VSF1x10 SQMM.สีดำ</t>
  </si>
  <si>
    <t>สายไฟ VSF1x10 SQMM.สีเขียว</t>
  </si>
  <si>
    <t>สายไฟ VSF1x1.5 SQMM.สีเหลือง</t>
  </si>
  <si>
    <t>สายไฟ VSF1x1.5 SQMM.สีน้ำตาล</t>
  </si>
  <si>
    <t>สายไฟ VSF1x1.5 SQMM.สีน้ำเงิน</t>
  </si>
  <si>
    <t>สายไฟ VSF1x1.5 SQMM.สีเทา</t>
  </si>
  <si>
    <t>สายไฟ VSF1x1.5 SQMM.สีแดง</t>
  </si>
  <si>
    <t>สายไฟ VSF1x1.5 SQMM.สีดำ</t>
  </si>
  <si>
    <t>สายไฟ VSF1x1.5 SQMM.สีเขียว</t>
  </si>
  <si>
    <t>สายไฟ VSF1x1.5 SQMM.สีขาว</t>
  </si>
  <si>
    <t>สายไฟ VSF1x1 SQMM.สีเหลือง</t>
  </si>
  <si>
    <t>สายไฟ VSF1x1 SQMM.สีฟ้า</t>
  </si>
  <si>
    <t>สายไฟ VSF1x1 SQMM.สีน้ำตาล</t>
  </si>
  <si>
    <t>สายไฟ VSF1x1 SQMM.สีน้ำเงิน</t>
  </si>
  <si>
    <t>สายไฟ VSF1x1 SQMM.สีเทา</t>
  </si>
  <si>
    <t>สายไฟ VSF1x1 SQMM.สีแดง</t>
  </si>
  <si>
    <t>สายไฟ VSF1x1 SQMM.สีดำ</t>
  </si>
  <si>
    <t>สายไฟ VSF1x1 SQMM.สีเขียว</t>
  </si>
  <si>
    <t>สายไฟ VSF1x1 SQMM.สีขาว</t>
  </si>
  <si>
    <t>สายไฟ VSF1x0.75SQMM.สีเหลือง</t>
  </si>
  <si>
    <t>สายไฟ VSF1x0.75 SQMM.สีน้ำเงิน</t>
  </si>
  <si>
    <t>สายไฟ VSF1x0.75 SQMM.สีขาว</t>
  </si>
  <si>
    <t>สายไฟ VSF#1x0.75 SQMM.สีน้ำตาล</t>
  </si>
  <si>
    <t>สายไฟ VSF#1x0.75 SQMM.สีแดง</t>
  </si>
  <si>
    <t>สายไฟ VSF#1x0.5 SQMM.สีน้ำเงิน</t>
  </si>
  <si>
    <t>สายไฟ VCT 4x1.5SQMM</t>
  </si>
  <si>
    <t>สายไฟ VCT 3x1.5SQMM</t>
  </si>
  <si>
    <t>สายไฟ VCT 2x2.5 SQMM</t>
  </si>
  <si>
    <t>สายไฟ VCT 2x1SQMM</t>
  </si>
  <si>
    <t>สายไฟ VCT 2x1.5SQMM</t>
  </si>
  <si>
    <t xml:space="preserve">สายไฟ NYY 4x16 SQMM </t>
  </si>
  <si>
    <t>บางกอก</t>
  </si>
  <si>
    <t>สายไฟ CVV 7x1.5</t>
  </si>
  <si>
    <t>สายไฟ CVV 30x2.5 SQMM</t>
  </si>
  <si>
    <t>สายไฟ CVV 30x1.5 SQMM</t>
  </si>
  <si>
    <t>YAZAKI</t>
  </si>
  <si>
    <t>สายไฟ CVV 15x2.5MM</t>
  </si>
  <si>
    <t>สายไฟ CVV 15x1.5 SQMM</t>
  </si>
  <si>
    <t>สายไฟ CVV 10x1.5</t>
  </si>
  <si>
    <t>สายไฟ CV 4x25 SQMM</t>
  </si>
  <si>
    <t>สายไฟ CV 1x16SQMM</t>
  </si>
  <si>
    <t>สายน้ำดี 80CM</t>
  </si>
  <si>
    <t>สายโทรศัพท์ 4ไส้</t>
  </si>
  <si>
    <t>สายเชื่อม CO2 WELDING TORCH 200A PANA END</t>
  </si>
  <si>
    <t>สายเคเบิ้ล SF-CCB7,FOR SF4B,8-CORE</t>
  </si>
  <si>
    <t>สายกราวน์ VSF1x6 SQMM.สีเขียวเหลือง</t>
  </si>
  <si>
    <t>สายกราวน์ VSF1x4 SQMM.สีเขียวเหลือง</t>
  </si>
  <si>
    <t>สายกราวน์ VSF1x2.5 SQMM.สีเขียวเหลือง</t>
  </si>
  <si>
    <t>สายกราวน์ VSF1x10 SQMM.สีเขียวเหลือง</t>
  </si>
  <si>
    <t>สายกราวน์ VSF1x1.5 SQMM.สีเขียวเหลือง</t>
  </si>
  <si>
    <t>สายTHW ขนาด 1x95 SQMM.สีดำ</t>
  </si>
  <si>
    <t>สายTHW ขนาด 1x70 SQMM.สีดำ</t>
  </si>
  <si>
    <t>สายTHW ขนาด 1x6 SQMM.สีดำ</t>
  </si>
  <si>
    <t>สายTHW ขนาด 1x50 SQMM.สีดำ</t>
  </si>
  <si>
    <t>สายTHW ขนาด 1x4 SQMM.สีดำ</t>
  </si>
  <si>
    <t>สายTHW ขนาด 1x4 SQMM.สีเขียว</t>
  </si>
  <si>
    <t>สายTHW ขนาด 1x4 SQMM.สีขาว</t>
  </si>
  <si>
    <t>สายTHW ขนาด 1x35 SQMM.สีดำ</t>
  </si>
  <si>
    <t>สายTHW ขนาด 1x35 SQMM.สีเขียว</t>
  </si>
  <si>
    <t>สายTHW ขนาด 1x25 SQMM.สีดำ</t>
  </si>
  <si>
    <t>สายTHW ขนาด 1x25 SQMM.สีเขียว</t>
  </si>
  <si>
    <t>สายTHW ขนาด 1x2.5 SQMM.สีน้ำเงิน</t>
  </si>
  <si>
    <t>สายTHW ขนาด 1x2.5 SQMM.สีเขียว</t>
  </si>
  <si>
    <t>สายTHW ขนาด 1x185 SQMM.สีดำ</t>
  </si>
  <si>
    <t>สายTHW ขนาด 1x16 SQMM.สีดำ</t>
  </si>
  <si>
    <t>สายTHW ขนาด 1x16 SQMM.สีเขียว</t>
  </si>
  <si>
    <t>สายTHW ขนาด 1x10 SQMM.สีดำ</t>
  </si>
  <si>
    <t>สายTHW ขนาด 1x10 SQMM.สีเขียว</t>
  </si>
  <si>
    <t>สายTHW ขนาด 1x1.5 SQMM.สีน้ำเงิน</t>
  </si>
  <si>
    <t>สายTHW ขนาด 1x1.5 SQMM.สีเขียว</t>
  </si>
  <si>
    <t>CONNECT</t>
  </si>
  <si>
    <t>สวิทซ์ลูกลอย/สายเคเบิ้ลFT-3C,WITH 4m PVC</t>
  </si>
  <si>
    <t>สวิทซ์ลำแสง/ม่านแสง SF4B-H20G</t>
  </si>
  <si>
    <t>สวิทซ์เครน 2ปุ่ม THS-61</t>
  </si>
  <si>
    <t>สว่านโรตารี่ 2-26 DE</t>
  </si>
  <si>
    <t>สว่านไฟฟ้า(กระแทก) GSB 16RE</t>
  </si>
  <si>
    <t>BOSCH</t>
  </si>
  <si>
    <t>ส่วนลดพิเศษ</t>
  </si>
  <si>
    <t>สลีฟต่อสาย F2B สีน้ำเงิน</t>
  </si>
  <si>
    <t>สลีฟต่อสาย F2A สีแดง</t>
  </si>
  <si>
    <t>สลีฟต่อสาย CL623 VBC5 สีแหลือง</t>
  </si>
  <si>
    <t>SPM6SUS</t>
  </si>
  <si>
    <t>สลักหัวหมุดสแตนเลส M6x70</t>
  </si>
  <si>
    <t>ธัญญะ</t>
  </si>
  <si>
    <t>สลักหัวหมุด M6x70</t>
  </si>
  <si>
    <t>SPM5</t>
  </si>
  <si>
    <t>สลักหัวหมุด M5</t>
  </si>
  <si>
    <t>SPM9</t>
  </si>
  <si>
    <t>สลักหัวหมุด 9 มิล</t>
  </si>
  <si>
    <t>SPM5SUS</t>
  </si>
  <si>
    <t>สลักหมุดสแตนเลส M5</t>
  </si>
  <si>
    <t>สลักบานประตู HL-035</t>
  </si>
  <si>
    <t>สลักบานประตู 980 mm.</t>
  </si>
  <si>
    <t>สลักบานประตู 930 mm.</t>
  </si>
  <si>
    <t>สลักบานประตู 880 mm.</t>
  </si>
  <si>
    <t>สลักบานประตู 780 mm.</t>
  </si>
  <si>
    <t>สลักบานประตู 600 mm.</t>
  </si>
  <si>
    <t>สลักบานประตู 500 mm.</t>
  </si>
  <si>
    <t>สลักบานประตู 400 mm.</t>
  </si>
  <si>
    <t>สลักบานประตู 307 mm.</t>
  </si>
  <si>
    <t>สลักบานประตู 1400 mm.</t>
  </si>
  <si>
    <t>สลักบานประตู 1210 มิล</t>
  </si>
  <si>
    <t>สลักบานประตู 1200 mm.</t>
  </si>
  <si>
    <t>สลักบานประตู 1060 มิล</t>
  </si>
  <si>
    <t>สลักบานประตู 1040 mm.</t>
  </si>
  <si>
    <t>ม็อบดันฝุ่นไมโครไฟเบอร์ 24" โพลิ-ไบร์ท 5676-2</t>
  </si>
  <si>
    <t>สปริงกด 0.7mm ID 6.0mm L 25.0mm ไม่ชุบ</t>
  </si>
  <si>
    <t>สปริงกด 0.7mm ID 6.0mm L 25.0mm ชุบรุ้ง</t>
  </si>
  <si>
    <t>สปริง 1"</t>
  </si>
  <si>
    <t>อะไหล่ผ้าดันฝุ่นไมโครไฟเบอร์ น้ำเงิน โพลี-ไบร์ท</t>
  </si>
  <si>
    <t>STUDM8X35SUS</t>
  </si>
  <si>
    <t>สตัดสแตนเลส M8x35</t>
  </si>
  <si>
    <t>สตัดสแตนเลส M8x30</t>
  </si>
  <si>
    <t>STUDM8X25SUS</t>
  </si>
  <si>
    <t>สตัดสแตนเลส M8x25</t>
  </si>
  <si>
    <t>STUDM6X35SUS</t>
  </si>
  <si>
    <t>สตัดสแตนเลส M6x35</t>
  </si>
  <si>
    <t>STUDM6X25SUS</t>
  </si>
  <si>
    <t>สตัดสแตนเลส M6x25</t>
  </si>
  <si>
    <t>STUDM6X20SUS</t>
  </si>
  <si>
    <t>สตัดสแตนเลส M6x20</t>
  </si>
  <si>
    <t>STUDM6X15SUS</t>
  </si>
  <si>
    <t>สตัดสแตนเลส M6x15</t>
  </si>
  <si>
    <t>STUDM6X10SUS</t>
  </si>
  <si>
    <t>สตัดสแตนเลส M6x10</t>
  </si>
  <si>
    <t>STUDM5X15SUS</t>
  </si>
  <si>
    <t>สตัดสแตนเลส M5x15</t>
  </si>
  <si>
    <t>STUDM5X10SUS</t>
  </si>
  <si>
    <t>สตัดสแตนเลส M5x10</t>
  </si>
  <si>
    <t>สตัดแบบย้ำ Clinch Stud M4X10 Steel-Zinc Plate</t>
  </si>
  <si>
    <t>SJFAST</t>
  </si>
  <si>
    <t>สตัดตัวเมียแบบย้ำ Clinch Stud M3x12</t>
  </si>
  <si>
    <t>JNP</t>
  </si>
  <si>
    <t>สตัดตัวเมีย M3x12</t>
  </si>
  <si>
    <t>สตัดเกลียวสแตนเลส 2 ข้าง M8x245</t>
  </si>
  <si>
    <t>สตัดเกลียวตลอด SUS 304 5/8" -11x1000</t>
  </si>
  <si>
    <t>สตัดเกลียว 2 ข้าง M8x50</t>
  </si>
  <si>
    <t>M8X240STUD</t>
  </si>
  <si>
    <t>สตัดเกลียว 2 ข้าง M8x240</t>
  </si>
  <si>
    <t>M8X215STUD</t>
  </si>
  <si>
    <t>สตัดเกลียว 2 ข้าง M8x215</t>
  </si>
  <si>
    <t>M8X195STUD</t>
  </si>
  <si>
    <t>สตัดเกลียว 2 ข้าง M8x195</t>
  </si>
  <si>
    <t>M8X190STUD</t>
  </si>
  <si>
    <t>สตัดเกลียว 2 ข้าง M8x190</t>
  </si>
  <si>
    <t>M8X165STUD</t>
  </si>
  <si>
    <t>สตัดเกลียว 2 ข้าง M8x165</t>
  </si>
  <si>
    <t>M8X160STUD</t>
  </si>
  <si>
    <t>สตัดเกลียว 2 ข้าง M8x160</t>
  </si>
  <si>
    <t>M8X140STUD</t>
  </si>
  <si>
    <t>สตัดเกลียว 2 ข้าง M8x140</t>
  </si>
  <si>
    <t>M8X120STUD</t>
  </si>
  <si>
    <t>สตัดเกลียว 2 ข้าง M8x120</t>
  </si>
  <si>
    <t>สตัดเกลียว 2 ข้าง M8x100</t>
  </si>
  <si>
    <t>M10X210STUD</t>
  </si>
  <si>
    <t>สตัดเกลียว 2 ข้าง M10x210</t>
  </si>
  <si>
    <t>STUDM8X35</t>
  </si>
  <si>
    <t>สตัด M8x35</t>
  </si>
  <si>
    <t>STUDM8X30</t>
  </si>
  <si>
    <t>สตัด M8x30</t>
  </si>
  <si>
    <t>STUDM8X25</t>
  </si>
  <si>
    <t>สตัด M8x25</t>
  </si>
  <si>
    <t>STUDM8X20</t>
  </si>
  <si>
    <t>สตัด M8x20</t>
  </si>
  <si>
    <t>STUDM8X15</t>
  </si>
  <si>
    <t>สตัด M8x15</t>
  </si>
  <si>
    <t>STUDM6X25</t>
  </si>
  <si>
    <t>สตัด M6x25</t>
  </si>
  <si>
    <t>STUDM6X20</t>
  </si>
  <si>
    <t>สตัด M6x20</t>
  </si>
  <si>
    <t>STUDM6X15</t>
  </si>
  <si>
    <t>สตัด M6x15</t>
  </si>
  <si>
    <t>STUDM6X10</t>
  </si>
  <si>
    <t>สตัด M6x10</t>
  </si>
  <si>
    <t>STUDM5X25</t>
  </si>
  <si>
    <t>สตัด M5x25</t>
  </si>
  <si>
    <t>STUDM5X20</t>
  </si>
  <si>
    <t>สตัด M5x20</t>
  </si>
  <si>
    <t>STUDM5X10</t>
  </si>
  <si>
    <t>สตัด M5x10</t>
  </si>
  <si>
    <t>สตัด M4X25</t>
  </si>
  <si>
    <t>STUDM4X15</t>
  </si>
  <si>
    <t>สตัด M4x15</t>
  </si>
  <si>
    <t>สตัด M4x10</t>
  </si>
  <si>
    <t>STUDM3X10</t>
  </si>
  <si>
    <t>สตัด M3x10</t>
  </si>
  <si>
    <t>สเก็นโอเมก้า ขนาด 1/2"</t>
  </si>
  <si>
    <t>สก๊อตไบร์ MULTI-FLEX ขนาด 8x20 สีเทา (60แผ่น/ม้วน)</t>
  </si>
  <si>
    <t>กระดาษถ่ายเอกสารสี ตราช้างสีเหลืองทอง 259662,80แกรม</t>
  </si>
  <si>
    <t>EXCEL</t>
  </si>
  <si>
    <t>pack</t>
  </si>
  <si>
    <t>สกรูหัวเหลี่ยมสเตนเลส M6x16</t>
  </si>
  <si>
    <t xml:space="preserve">สกรูหัวเหลี่ยมสเตนเลส M10x100 </t>
  </si>
  <si>
    <t>M16X35</t>
  </si>
  <si>
    <t>สกรูหัวเหลี่ยมชุบรุ้ง M16x35</t>
  </si>
  <si>
    <t>M12X90</t>
  </si>
  <si>
    <t>สกรูหัวเหลี่ยมชุบรุ้ง M12x90</t>
  </si>
  <si>
    <t>M12X80</t>
  </si>
  <si>
    <t>สกรูหัวเหลี่ยมชุบรุ้ง M12x80</t>
  </si>
  <si>
    <t>M12X75</t>
  </si>
  <si>
    <t>สกรูหัวเหลี่ยมชุบรุ้ง M12x75</t>
  </si>
  <si>
    <t>M12X70</t>
  </si>
  <si>
    <t>สกรูหัวเหลี่ยมชุบรุ้ง M12x70</t>
  </si>
  <si>
    <t>M12X35</t>
  </si>
  <si>
    <t>สกรูหัวเหลี่ยมชุบรุ้ง M12x35</t>
  </si>
  <si>
    <t>M12X30</t>
  </si>
  <si>
    <t>สกรูหัวเหลี่ยมชุบรุ้ง M12x30</t>
  </si>
  <si>
    <t>M12X150</t>
  </si>
  <si>
    <t>สกรูหัวเหลี่ยมชุบรุ้ง M12x150</t>
  </si>
  <si>
    <t>M12X130</t>
  </si>
  <si>
    <t>สกรูหัวเหลี่ยมชุบรุ้ง M12x130</t>
  </si>
  <si>
    <t>M12X120</t>
  </si>
  <si>
    <t>สกรูหัวเหลี่ยมชุบรุ้ง M12x120</t>
  </si>
  <si>
    <t>M12X100</t>
  </si>
  <si>
    <t>สกรูหัวเหลี่ยมชุบรุ้ง M12x100</t>
  </si>
  <si>
    <t>M10X90</t>
  </si>
  <si>
    <t>สกรูหัวเหลี่ยมชุบรุ้ง M10x90</t>
  </si>
  <si>
    <t>M10X80</t>
  </si>
  <si>
    <t>สกรูหัวเหลี่ยมชุบรุ้ง M10x80</t>
  </si>
  <si>
    <t>M10X75</t>
  </si>
  <si>
    <t>สกรูหัวเหลี่ยมชุบรุ้ง M10x75</t>
  </si>
  <si>
    <t>M10X70</t>
  </si>
  <si>
    <t>สกรูหัวเหลี่ยมชุบรุ้ง M10x70</t>
  </si>
  <si>
    <t>M10X65</t>
  </si>
  <si>
    <t>สกรูหัวเหลี่ยมชุบรุ้ง M10x65</t>
  </si>
  <si>
    <t>M10X60</t>
  </si>
  <si>
    <t>สกรูหัวเหลี่ยมชุบรุ้ง M10x60</t>
  </si>
  <si>
    <t>M10X100</t>
  </si>
  <si>
    <t>สกรูหัวเหลี่ยมชุบรุ้ง M10x100</t>
  </si>
  <si>
    <t>M8X60</t>
  </si>
  <si>
    <t>สกรูหัวเหลี่ยมชุบขาว M8x60</t>
  </si>
  <si>
    <t>M8X50</t>
  </si>
  <si>
    <t>สกรูหัวเหลี่ยมชุบขาว M8x50</t>
  </si>
  <si>
    <t>M8X45</t>
  </si>
  <si>
    <t>สกรูหัวเหลี่ยมชุบขาว M8x45</t>
  </si>
  <si>
    <t>M8X40</t>
  </si>
  <si>
    <t>สกรูหัวเหลี่ยมชุบขาว M8x40</t>
  </si>
  <si>
    <t>M8X35</t>
  </si>
  <si>
    <t>สกรูหัวเหลี่ยมชุบขาว M8x35</t>
  </si>
  <si>
    <t>M8X30</t>
  </si>
  <si>
    <t>สกรูหัวเหลี่ยมชุบขาว M8x30</t>
  </si>
  <si>
    <t>M8X25</t>
  </si>
  <si>
    <t>สกรูหัวเหลี่ยมชุบขาว M8x25</t>
  </si>
  <si>
    <t>M8X20</t>
  </si>
  <si>
    <t>สกรูหัวเหลี่ยมชุบขาว M8x20</t>
  </si>
  <si>
    <t>M8X100</t>
  </si>
  <si>
    <t>สกรูหัวเหลี่ยมชุบขาว M8x100</t>
  </si>
  <si>
    <t>M12X65</t>
  </si>
  <si>
    <t>สกรูหัวเหลี่ยมชุบขาว M12x65</t>
  </si>
  <si>
    <t>M12X60</t>
  </si>
  <si>
    <t>สกรูหัวเหลี่ยมชุบขาว M12x60</t>
  </si>
  <si>
    <t>M12X55</t>
  </si>
  <si>
    <t>สกรูหัวเหลี่ยมชุบขาว M12x55</t>
  </si>
  <si>
    <t>M12X50</t>
  </si>
  <si>
    <t>สกรูหัวเหลี่ยมชุบขาว M12x50</t>
  </si>
  <si>
    <t>M12X45</t>
  </si>
  <si>
    <t>สกรูหัวเหลี่ยมชุบขาว M12x45</t>
  </si>
  <si>
    <t>M12X40</t>
  </si>
  <si>
    <t>สกรูหัวเหลี่ยมชุบขาว M12x40</t>
  </si>
  <si>
    <t>M12X25</t>
  </si>
  <si>
    <t>สกรูหัวเหลี่ยมชุบขาว M12x25</t>
  </si>
  <si>
    <t>M12X20</t>
  </si>
  <si>
    <t>สกรูหัวเหลี่ยมชุบขาว M12x20</t>
  </si>
  <si>
    <t>M10X55</t>
  </si>
  <si>
    <t>สกรูหัวเหลี่ยมชุบขาว M10x55</t>
  </si>
  <si>
    <t>M10X50</t>
  </si>
  <si>
    <t>สกรูหัวเหลี่ยมชุบขาว M10x50</t>
  </si>
  <si>
    <t>M10X45</t>
  </si>
  <si>
    <t>สกรูหัวเหลี่ยมชุบขาว M10x45</t>
  </si>
  <si>
    <t>M10X40</t>
  </si>
  <si>
    <t>สกรูหัวเหลี่ยมชุบขาว M10x40</t>
  </si>
  <si>
    <t>M10X35</t>
  </si>
  <si>
    <t>สกรูหัวเหลี่ยมชุบขาว M10x35</t>
  </si>
  <si>
    <t>M10X30</t>
  </si>
  <si>
    <t>สกรูหัวเหลี่ยมชุบขาว M10x30</t>
  </si>
  <si>
    <t>M10X25</t>
  </si>
  <si>
    <t>สกรูหัวเหลี่ยมชุบขาว M10x25</t>
  </si>
  <si>
    <t>M10X20</t>
  </si>
  <si>
    <t>สกรูหัวเหลี่ยมชุบขาว M10x20</t>
  </si>
  <si>
    <t>M10X15</t>
  </si>
  <si>
    <t>สกรูหัวเหลี่ยมชุบขาว M10x15</t>
  </si>
  <si>
    <t>M10X110</t>
  </si>
  <si>
    <t>สกรูหัวเหลี่ยมชุบขาว M10x110</t>
  </si>
  <si>
    <t>M6X70</t>
  </si>
  <si>
    <t>สกรูหัวเหลี่ยมชุบขาว M 6x70</t>
  </si>
  <si>
    <t>M6X60</t>
  </si>
  <si>
    <t>สกรูหัวเหลี่ยมชุบขาว M 6x60</t>
  </si>
  <si>
    <t>M6X50</t>
  </si>
  <si>
    <t>สกรูหัวเหลี่ยมชุบขาว M 6x50</t>
  </si>
  <si>
    <t>M6X35</t>
  </si>
  <si>
    <t>สกรูหัวเหลี่ยมชุบขาว M 6x35</t>
  </si>
  <si>
    <t>M6X30</t>
  </si>
  <si>
    <t>สกรูหัวเหลี่ยมชุบขาว M 6x30</t>
  </si>
  <si>
    <t>M6X25</t>
  </si>
  <si>
    <t>สกรูหัวเหลี่ยมชุบขาว M 6x25</t>
  </si>
  <si>
    <t>M6X20</t>
  </si>
  <si>
    <t>สกรูหัวเหลี่ยมชุบขาว M 6x20</t>
  </si>
  <si>
    <t>M6X15</t>
  </si>
  <si>
    <t>สกรูหัวเหลี่ยมชุบขาว M 6x15</t>
  </si>
  <si>
    <t>M6X10</t>
  </si>
  <si>
    <t>สกรูหัวเหลี่ยมชุบขาว M 6x10</t>
  </si>
  <si>
    <t>M8X25HDG</t>
  </si>
  <si>
    <t>สกรูหัวเหลี่ยม M8x25  HDG</t>
  </si>
  <si>
    <t>M8X20HDG</t>
  </si>
  <si>
    <t>สกรูหัวเหลี่ยม M8x20  HDG</t>
  </si>
  <si>
    <t>M8X15</t>
  </si>
  <si>
    <t>สกรูหัวเหลี่ยม M8x15</t>
  </si>
  <si>
    <t>M10X35HDG</t>
  </si>
  <si>
    <t>สกรูหัวเหลี่ยม M10x35  HDG</t>
  </si>
  <si>
    <t>M10X25HDG</t>
  </si>
  <si>
    <t>สกรูหัวเหลี่ยม M10x25  HDG</t>
  </si>
  <si>
    <t>สกรูหัวเหลี่ยม 3/8"x2"</t>
  </si>
  <si>
    <t>สกรูหัวหมวก M6x35 JT</t>
  </si>
  <si>
    <t>M6X25JT</t>
  </si>
  <si>
    <t>สกรูหัวหมวก  M6x25</t>
  </si>
  <si>
    <t>M6X15JT</t>
  </si>
  <si>
    <t>สกรูหัวหมวก  M6x15</t>
  </si>
  <si>
    <t>M6X10JT</t>
  </si>
  <si>
    <t>สกรูหัวหมวก  M6x10</t>
  </si>
  <si>
    <t>M5X8JT</t>
  </si>
  <si>
    <t>สกรูหัวหมวก  M5x8</t>
  </si>
  <si>
    <t>M5X12JT</t>
  </si>
  <si>
    <t>สกรูหัวหมวก  M5x12</t>
  </si>
  <si>
    <t>M5X10JT</t>
  </si>
  <si>
    <t>สกรูหัวหมวก  M5x10</t>
  </si>
  <si>
    <t>M4X20JT</t>
  </si>
  <si>
    <t>สกรูหัวหมวก  M4x20</t>
  </si>
  <si>
    <t>M4X10JT</t>
  </si>
  <si>
    <t>สกรูหัวหมวก  M4x10</t>
  </si>
  <si>
    <t>สกรูหัวโต M6x35 ชุบนิเกล</t>
  </si>
  <si>
    <t>M6X50TP</t>
  </si>
  <si>
    <t>สกรูหัวติดแหวน M 6x50</t>
  </si>
  <si>
    <t>M6X40TP</t>
  </si>
  <si>
    <t>สกรูหัวติดแหวน M 6x40</t>
  </si>
  <si>
    <t>M6X35TP</t>
  </si>
  <si>
    <t>สกรูหัวติดแหวน M 6x35 ชุบขาว</t>
  </si>
  <si>
    <t>สกรูหัวติดแหวน M 6x15</t>
  </si>
  <si>
    <t>สกรูหัวติดแหวน M 6x10</t>
  </si>
  <si>
    <t>สกรูหัวจมชุบรุ้ง M5x15</t>
  </si>
  <si>
    <t>สกรูหัวจมชุบขาว M4x35</t>
  </si>
  <si>
    <t>M4X6JPR</t>
  </si>
  <si>
    <t>สกรูหัวกลมชุบรุ้ง M4x6</t>
  </si>
  <si>
    <t>M4X10JPR</t>
  </si>
  <si>
    <t>สกรูหัวกลมชุบรุ้ง M4x10</t>
  </si>
  <si>
    <t>M8X20JPR</t>
  </si>
  <si>
    <t>สกรูหัวกลมชุบรุ้ง   M8x20</t>
  </si>
  <si>
    <t>M8X35JP</t>
  </si>
  <si>
    <t>สกรูหัวกลมชุบขาว M8x35</t>
  </si>
  <si>
    <t>M6X90JP</t>
  </si>
  <si>
    <t>สกรูหัวกลมชุบขาว M6x90</t>
  </si>
  <si>
    <t>M6X60JP</t>
  </si>
  <si>
    <t>สกรูหัวกลมชุบขาว M6x60</t>
  </si>
  <si>
    <t>M6X45JP</t>
  </si>
  <si>
    <t>สกรูหัวกลมชุบขาว M6x45</t>
  </si>
  <si>
    <t>M6X40JP</t>
  </si>
  <si>
    <t>สกรูหัวกลมชุบขาว M6x40</t>
  </si>
  <si>
    <t>M6X35JP</t>
  </si>
  <si>
    <t>สกรูหัวกลมชุบขาว M6x35</t>
  </si>
  <si>
    <t>M6X30JP</t>
  </si>
  <si>
    <t>สกรูหัวกลมชุบขาว M6x30</t>
  </si>
  <si>
    <t>M6X25JP</t>
  </si>
  <si>
    <t>สกรูหัวกลมชุบขาว M6x25</t>
  </si>
  <si>
    <t>M6X20JP</t>
  </si>
  <si>
    <t>สกรูหัวกลมชุบขาว M6x20</t>
  </si>
  <si>
    <t>M6X15JP</t>
  </si>
  <si>
    <t>สกรูหัวกลมชุบขาว M6x15</t>
  </si>
  <si>
    <t>M6X10JP</t>
  </si>
  <si>
    <t>สกรูหัวกลมชุบขาว M6x10</t>
  </si>
  <si>
    <t>M5X80JP</t>
  </si>
  <si>
    <t>สกรูหัวกลมชุบขาว M5x80</t>
  </si>
  <si>
    <t>M5X50JP</t>
  </si>
  <si>
    <t>สกรูหัวกลมชุบขาว M5x50</t>
  </si>
  <si>
    <t>M5X45JP</t>
  </si>
  <si>
    <t>สกรูหัวกลมชุบขาว M5x45</t>
  </si>
  <si>
    <t>M5X40JP</t>
  </si>
  <si>
    <t>สกรูหัวกลมชุบขาว M5x40</t>
  </si>
  <si>
    <t>M5X35JP</t>
  </si>
  <si>
    <t>สกรูหัวกลมชุบขาว M5x35</t>
  </si>
  <si>
    <t>M5X30JP</t>
  </si>
  <si>
    <t>สกรูหัวกลมชุบขาว M5x30</t>
  </si>
  <si>
    <t>M5X25JP</t>
  </si>
  <si>
    <t>สกรูหัวกลมชุบขาว M5x25</t>
  </si>
  <si>
    <t>M5X20JP</t>
  </si>
  <si>
    <t>สกรูหัวกลมชุบขาว M5x20</t>
  </si>
  <si>
    <t>M5X15JP</t>
  </si>
  <si>
    <t>สกรูหัวกลมชุบขาว M5x15</t>
  </si>
  <si>
    <t>M5X10JP</t>
  </si>
  <si>
    <t>สกรูหัวกลมชุบขาว M5x10</t>
  </si>
  <si>
    <t>M4X80JP</t>
  </si>
  <si>
    <t>สกรูหัวกลมชุบขาว M4x80</t>
  </si>
  <si>
    <t>M4X65JP</t>
  </si>
  <si>
    <t>สกรูหัวกลมชุบขาว M4x65</t>
  </si>
  <si>
    <t>M4X60JP</t>
  </si>
  <si>
    <t>สกรูหัวกลมชุบขาว M4x60</t>
  </si>
  <si>
    <t>M4X5JP</t>
  </si>
  <si>
    <t>สกรูหัวกลมชุบขาว M4x6</t>
  </si>
  <si>
    <t>M4X50JP</t>
  </si>
  <si>
    <t>สกรูหัวกลมชุบขาว M4x50</t>
  </si>
  <si>
    <t>M4X45JP</t>
  </si>
  <si>
    <t>สกรูหัวกลมชุบขาว M4x45</t>
  </si>
  <si>
    <t>M4X40JP</t>
  </si>
  <si>
    <t>สกรูหัวกลมชุบขาว M4x40</t>
  </si>
  <si>
    <t>M4X35JP</t>
  </si>
  <si>
    <t>สกรูหัวกลมชุบขาว M4x35</t>
  </si>
  <si>
    <t>M4X30JP</t>
  </si>
  <si>
    <t>สกรูหัวกลมชุบขาว M4x30</t>
  </si>
  <si>
    <t>M4X25JP</t>
  </si>
  <si>
    <t>สกรูหัวกลมชุบขาว M4x25</t>
  </si>
  <si>
    <t>M4X20JP</t>
  </si>
  <si>
    <t>สกรูหัวกลมชุบขาว M4x20</t>
  </si>
  <si>
    <t>M4X15JP</t>
  </si>
  <si>
    <t>สกรูหัวกลมชุบขาว M4x15</t>
  </si>
  <si>
    <t>M4X10JP</t>
  </si>
  <si>
    <t>สกรูหัวกลมชุบขาว M4x10</t>
  </si>
  <si>
    <t>M3X6JP</t>
  </si>
  <si>
    <t>สกรูหัวกลมชุบขาว M3x6</t>
  </si>
  <si>
    <t>M3X30JP</t>
  </si>
  <si>
    <t>สกรูหัวกลมชุบขาว M3x30</t>
  </si>
  <si>
    <t>M3X20JP</t>
  </si>
  <si>
    <t>สกรูหัวกลมชุบขาว M3x20</t>
  </si>
  <si>
    <t>M3X10JP</t>
  </si>
  <si>
    <t>สกรูหัวกลมชุบขาว M3x10</t>
  </si>
  <si>
    <t>M8X35SUS</t>
  </si>
  <si>
    <t>สกรูสแตนเลสหัวเหลี่ยม M8x35</t>
  </si>
  <si>
    <t>M8X25SUS</t>
  </si>
  <si>
    <t>สกรูสแตนเลสหัวเหลี่ยม M8x25</t>
  </si>
  <si>
    <t>M8X20SUS</t>
  </si>
  <si>
    <t>สกรูสแตนเลสหัวเหลี่ยม M8x20</t>
  </si>
  <si>
    <t>M8X15SUS</t>
  </si>
  <si>
    <t>สกรูสแตนเลสหัวเหลี่ยม M8x15</t>
  </si>
  <si>
    <t>M6X35SUS</t>
  </si>
  <si>
    <t>สกรูสแตนเลสหัวเหลี่ยม M6x35</t>
  </si>
  <si>
    <t>M6X25SUS</t>
  </si>
  <si>
    <t>สกรูสแตนเลสหัวเหลี่ยม M6x25</t>
  </si>
  <si>
    <t>M6X20SUS</t>
  </si>
  <si>
    <t>สกรูสแตนเลสหัวเหลี่ยม M6x20</t>
  </si>
  <si>
    <t>M6X15SUS</t>
  </si>
  <si>
    <t>สกรูสแตนเลสหัวเหลี่ยม M6x15</t>
  </si>
  <si>
    <t>M6X10SUS</t>
  </si>
  <si>
    <t>สกรูสแตนเลสหัวเหลี่ยม M6x10</t>
  </si>
  <si>
    <t>สกรูสแตนเลสหัวเหลี่ยม M10x25</t>
  </si>
  <si>
    <t>M6X35JTSUS</t>
  </si>
  <si>
    <t>สกรูสแตนเลสหัวร่ม M6x35</t>
  </si>
  <si>
    <t>M6X20JTSUS</t>
  </si>
  <si>
    <t>สกรูสแตนเลสหัวร่ม M6x20</t>
  </si>
  <si>
    <t>M6X15JTSUS</t>
  </si>
  <si>
    <t>สกรูสแตนเลสหัวร่ม M6x15</t>
  </si>
  <si>
    <t>M6X10JTSUS</t>
  </si>
  <si>
    <t>สกรูสแตนเลสหัวร่ม M6x10</t>
  </si>
  <si>
    <t>M5X20JTSUS</t>
  </si>
  <si>
    <t>สกรูสแตนเลสหัวร่ม M5x20</t>
  </si>
  <si>
    <t>M5X15JTSUS</t>
  </si>
  <si>
    <t>สกรูสแตนเลสหัวร่ม M5x15</t>
  </si>
  <si>
    <t>M5X10JTSUS</t>
  </si>
  <si>
    <t>สกรูสแตนเลสหัวร่ม M5x10</t>
  </si>
  <si>
    <t>สกรูสแตนเลสหัวร่ม M4x6</t>
  </si>
  <si>
    <t>M4X10JTSUS</t>
  </si>
  <si>
    <t>สกรูสแตนเลสหัวร่ม M4x10</t>
  </si>
  <si>
    <t>สกรูสแตนเลสหัวกลม M5x8</t>
  </si>
  <si>
    <t>SBGM6X15R</t>
  </si>
  <si>
    <t>สกรูบาร์กราวน์ M6x15</t>
  </si>
  <si>
    <t>M5X15JFSUS</t>
  </si>
  <si>
    <t>สกรูเตเปอร์สแตนเลส M5x15</t>
  </si>
  <si>
    <t>M8X35JF</t>
  </si>
  <si>
    <t>สกรูเตเปอร์ M8x35</t>
  </si>
  <si>
    <t>M8X25JF</t>
  </si>
  <si>
    <t>สกรูเตเปอร์ M8x25</t>
  </si>
  <si>
    <t>M6X50JF</t>
  </si>
  <si>
    <t>สกรูเตเปอร์ M6x50</t>
  </si>
  <si>
    <t>M6X35JF</t>
  </si>
  <si>
    <t>สกรูเตเปอร์ M6x35</t>
  </si>
  <si>
    <t>M6X25JF</t>
  </si>
  <si>
    <t>สกรูเตเปอร์ M6x25</t>
  </si>
  <si>
    <t>M6X15JF</t>
  </si>
  <si>
    <t>สกรูเตเปอร์ M6x15</t>
  </si>
  <si>
    <t>M5X35JF</t>
  </si>
  <si>
    <t>สกรูเตเปอร์ M5x35</t>
  </si>
  <si>
    <t>M5X25JF</t>
  </si>
  <si>
    <t>สกรูเตเปอร์ M5x25</t>
  </si>
  <si>
    <t>M5X15JF</t>
  </si>
  <si>
    <t>สกรูเตเปอร์ M5x15</t>
  </si>
  <si>
    <t>M5X10JF</t>
  </si>
  <si>
    <t>สกรูเตเปอร์ M5x10</t>
  </si>
  <si>
    <t>M4X15JF</t>
  </si>
  <si>
    <t>สกรูเตเปอร์ M4x15</t>
  </si>
  <si>
    <t>M4X10JF</t>
  </si>
  <si>
    <t>สกรูเตเปอร์ M4x10</t>
  </si>
  <si>
    <t>M3X10JF</t>
  </si>
  <si>
    <t>สกรูเตเปอร์ M3x10</t>
  </si>
  <si>
    <t>สกรูตู้แบตหัวจมแบน M6x40</t>
  </si>
  <si>
    <t>PANSIAM</t>
  </si>
  <si>
    <t>SSM8</t>
  </si>
  <si>
    <t>สกรูตัวหนอน M8</t>
  </si>
  <si>
    <t>SSM6</t>
  </si>
  <si>
    <t>สกรูตัวหนอน M6</t>
  </si>
  <si>
    <t>สกรูตัวหนอน M5x5</t>
  </si>
  <si>
    <t>สกรูเกลียวปล่อยหัวเตเปอร์ F+ #6x1/2"</t>
  </si>
  <si>
    <t>สกรูเกลียวปล่อยปลายตัด M4x10</t>
  </si>
  <si>
    <t>สกรูเกลียวปล่อย M7x1" P</t>
  </si>
  <si>
    <t>สกรูเกลียวปล่อย M4x3/8</t>
  </si>
  <si>
    <t xml:space="preserve">แว่นตาใส </t>
  </si>
  <si>
    <t>YAMADA</t>
  </si>
  <si>
    <t>วาล์วโซลินอยด์ 1/4"</t>
  </si>
  <si>
    <t>วายแฮงเกอร์ 5 ตัน+ จิ๊กเสียบ</t>
  </si>
  <si>
    <t>EFM5</t>
  </si>
  <si>
    <t>ลูกยิงป๊อบนัท M5</t>
  </si>
  <si>
    <t>EFM4</t>
  </si>
  <si>
    <t>ลูกยิงป๊อบนัท M4</t>
  </si>
  <si>
    <t>กระดาษต่อเองเคมีในตัว ขาวล้วน IQ9x11" 2ชั่น ไม่มีเส้น</t>
  </si>
  <si>
    <t>PACK</t>
  </si>
  <si>
    <t>HVI24KV</t>
  </si>
  <si>
    <t>ลูกถ้วยแรงสูง 24kV</t>
  </si>
  <si>
    <t>Southeast</t>
  </si>
  <si>
    <t>HVI12KV</t>
  </si>
  <si>
    <t>ลูกถ้วยแรงสูง 12kV</t>
  </si>
  <si>
    <t>ลูกถ้วย D51 M8</t>
  </si>
  <si>
    <t>FIBON</t>
  </si>
  <si>
    <t>ลูกถ้วย D35 M8</t>
  </si>
  <si>
    <t>ลูกถ้วย D35 M6</t>
  </si>
  <si>
    <t>ลูกถ้วย 24 KV</t>
  </si>
  <si>
    <t>ลูกถ้วย 12 KV</t>
  </si>
  <si>
    <t>CYBERLOCK</t>
  </si>
  <si>
    <t>ลูกไข</t>
  </si>
  <si>
    <t>ลูกกลิ้งทาสี Somax 7"</t>
  </si>
  <si>
    <t>SOMAX</t>
  </si>
  <si>
    <t>PC-SPS</t>
  </si>
  <si>
    <t>ลิ้นหมุด สั้น</t>
  </si>
  <si>
    <t>PC-SPL</t>
  </si>
  <si>
    <t>ลิ้นหมุด ยาว</t>
  </si>
  <si>
    <t>ลักต่อบาร์ตัวตรง</t>
  </si>
  <si>
    <t>pcผลิต</t>
  </si>
  <si>
    <t>ลักต่อบาร์ตัวแซด</t>
  </si>
  <si>
    <t>ล้อยูรีเทนเหล็กหล่อ 4" หน้ายาง 40mm โครงเชื่อมล้อเป็น</t>
  </si>
  <si>
    <t>ล้อยูรีเทนเหล็กหล่อ 4" หน้ายาง 40mm โครงเชื่อมล้อตาย</t>
  </si>
  <si>
    <t>ล้อเป็น 3" M 03S 075DSWPP</t>
  </si>
  <si>
    <t>WPP</t>
  </si>
  <si>
    <t>ล้อไนล่อน 3" แป้นตาย M03F075DS</t>
  </si>
  <si>
    <t>ล้อไนล่อน 2" ล้อเป็นมีเบรค (4ตัวชุด)</t>
  </si>
  <si>
    <t>ล้อไนล่อน 2" ล้อตาย (4ตัวชุด)</t>
  </si>
  <si>
    <t>ล้อขัดใยสังเคราะห์ 100x100x35mmAC/R8</t>
  </si>
  <si>
    <t>กระดาษต่อเนื่องเคมีในตัว ขาวล้วน IQ9x11 3ชั้นไม่มีเส้น 500ชุด</t>
  </si>
  <si>
    <t>กระดาษต่อเนื่อง TKS 9x5.5" 3ชั้น ไม่มีเส้น 1000ชุด</t>
  </si>
  <si>
    <t>ลวดเชื่อมco2</t>
  </si>
  <si>
    <t>สินสยามอินเตอเทรด</t>
  </si>
  <si>
    <t>ห่อ</t>
  </si>
  <si>
    <t>ลวดเชื่อม KOBE 2.6มิล</t>
  </si>
  <si>
    <t>KOBE</t>
  </si>
  <si>
    <t>ลวดเชื่อม CO2 0.8mm</t>
  </si>
  <si>
    <t>HALO</t>
  </si>
  <si>
    <t>RV8</t>
  </si>
  <si>
    <t>รีเวท M8</t>
  </si>
  <si>
    <t>RV6ALU</t>
  </si>
  <si>
    <t>รีเวท M6 อลูมิเนียม</t>
  </si>
  <si>
    <t>รีเวท M6 / ลูกยิงป๊อบนัท M6</t>
  </si>
  <si>
    <t>รีเวท M5</t>
  </si>
  <si>
    <t>รีเวท M4</t>
  </si>
  <si>
    <t>รีเวท M10</t>
  </si>
  <si>
    <t>รีเลย์ยูนิต PS-630NS AC110/250V 5A</t>
  </si>
  <si>
    <t>SET</t>
  </si>
  <si>
    <t>รางวายดัก/รางPVC 80x80 mm.</t>
  </si>
  <si>
    <t>รางวายดัก/รางPVC 33x65 mm.</t>
  </si>
  <si>
    <t>รางวายดัก/รางPVC 33x33 mm.</t>
  </si>
  <si>
    <t>รางวายดัก/รางPVC 25x45 mm.</t>
  </si>
  <si>
    <t>รางวายดัก/รางPVC 25x25 mm.</t>
  </si>
  <si>
    <t>รางวายดัก/รางPVC 100x80 mm.</t>
  </si>
  <si>
    <t>รางรีเลย์</t>
  </si>
  <si>
    <t>รางไฟขนาด 40แอมป์ 4ขั้ว ยาว 4เมตร</t>
  </si>
  <si>
    <t>TITAN</t>
  </si>
  <si>
    <t>รองเท้าหุ้มส้นพื้นยาง CB800</t>
  </si>
  <si>
    <t>คู่</t>
  </si>
  <si>
    <t>รองเท้าหุ้มข้อหนังอัดลาย CB102</t>
  </si>
  <si>
    <t>รองเท้า เซฟตี้ PERCH รุ่น INOV SIZE 40</t>
  </si>
  <si>
    <t>INOV</t>
  </si>
  <si>
    <t>รถเข็นของสีส้ม 10"</t>
  </si>
  <si>
    <t>ยูโบล์ท 1"</t>
  </si>
  <si>
    <t>ภิรมย์</t>
  </si>
  <si>
    <t xml:space="preserve">ยางฟองน้ำแถบกาว 3mm.X13m. </t>
  </si>
  <si>
    <t xml:space="preserve">ยางฟองน้ำแถบกาว 3mm.X10m. </t>
  </si>
  <si>
    <t>ยางฟองน้ำ 2"x3/8"</t>
  </si>
  <si>
    <t>ยางขอบกระจกร่อง 5mm.</t>
  </si>
  <si>
    <t>ยางขอบกระจกร่อง 3mm.</t>
  </si>
  <si>
    <t xml:space="preserve">ยางขอบกระจก ร่อง 3-6 มิล </t>
  </si>
  <si>
    <t>ยางกันบาดร่อง 6มิล</t>
  </si>
  <si>
    <t>ยางกันบาดร่อง 2m.</t>
  </si>
  <si>
    <t>ยางกันบาดร่อง 10มิล</t>
  </si>
  <si>
    <t>ยางกันกระแทกใหญ่</t>
  </si>
  <si>
    <t>ยางกันกระแทกเล็ก</t>
  </si>
  <si>
    <t>ยางกันกระแทกมีก้าน</t>
  </si>
  <si>
    <t>ยางกันกระแทกจิ๋ว</t>
  </si>
  <si>
    <t>ยางกันกระแทกกลาง</t>
  </si>
  <si>
    <t>ยาขัด KOMAK</t>
  </si>
  <si>
    <t>ไม้อัดยาง 20 มม เต็มมิล</t>
  </si>
  <si>
    <t>แผ่น</t>
  </si>
  <si>
    <t>ไม้กวาดทางมะพร้าว</t>
  </si>
  <si>
    <t>ไม้กวาดดอกหญ้า</t>
  </si>
  <si>
    <t>กระดาษคาร์บอน ตรามม้า 4400 210x330มม.เขียน น้ำเงิน(100แผ่น)</t>
  </si>
  <si>
    <t>มือจับพลาสติกสีดำ</t>
  </si>
  <si>
    <t>มือจับตู้โหลด</t>
  </si>
  <si>
    <t>มือจับ 1A-262-91-H</t>
  </si>
  <si>
    <t>มือจับ 1A-261-91-H</t>
  </si>
  <si>
    <t>มิเตอร์ไฟฟ้า MF-33 1P 2W 15(45)A</t>
  </si>
  <si>
    <t>มัลิมิเตอร์/ดิจิตอล รุ่น 1051 KYORITSU</t>
  </si>
  <si>
    <t>KYORITSU</t>
  </si>
  <si>
    <t>มัลติมิเตอร์ ME96SsEA-MB 3P3W/3P4W 5/1A</t>
  </si>
  <si>
    <t>ซองสี แอลคิว 555 เบอร์9(50ซอง)คละสีในกล่อง</t>
  </si>
  <si>
    <t>ม้วนบูชฝาใน PC#009</t>
  </si>
  <si>
    <t>ภู่กัน #8</t>
  </si>
  <si>
    <t xml:space="preserve">ไฟฉายสวมหัว LED </t>
  </si>
  <si>
    <t>ป้ายสติ๊กเกอร์ ขาวเงา/มัน ไลเนอร์ LN-601(50แผ่น)</t>
  </si>
  <si>
    <t>เพาเวอร์ปลั๊ก 3P 16A 230V</t>
  </si>
  <si>
    <t>MENEKES</t>
  </si>
  <si>
    <t>พุ๊กตะปู 5/16"</t>
  </si>
  <si>
    <t>พุ๊กตะปู 1/2"x3.5"</t>
  </si>
  <si>
    <t>พุกตะกั่ว 3/8"</t>
  </si>
  <si>
    <t>พีวีซี สีดำ 670x1460 หนา 0.5มม</t>
  </si>
  <si>
    <t>พิมพ์ UV ลงบนแผ่นสเตนเลส ขนาด 210x41.6ซม</t>
  </si>
  <si>
    <t>pcs</t>
  </si>
  <si>
    <t>พิมพ์ UV ลงบนแผ่นสเตนเลส ขนาด 201.9x44.4ซม</t>
  </si>
  <si>
    <t>พิมพ์ UV ลงบนแผ่นสเตนเลส ขนาด 170x38ซม</t>
  </si>
  <si>
    <t>พิมพ์ UV ลงบนแผ่นสเตนเลส ขนาด 170.4x28.6ซม</t>
  </si>
  <si>
    <t>พิมพ์ UV ลงบนแผ่นสเตนเลส ขนาด 107x30ซม</t>
  </si>
  <si>
    <t>พัดลมติดผนัง 22" IW22M1</t>
  </si>
  <si>
    <t>พัดลม WB236-A2LG 220VAC 8"</t>
  </si>
  <si>
    <t>WINDSTORM</t>
  </si>
  <si>
    <t>พัดลม PMV25C.01220 6"</t>
  </si>
  <si>
    <t>พัดลม PM PMV12.00 220VAC 4"</t>
  </si>
  <si>
    <t>FAN6WB175H7PS</t>
  </si>
  <si>
    <t>พัดลม 6" นิ้ว Windstorm แบบกลม</t>
  </si>
  <si>
    <t>พลาสติกห่อตู้ 20micx50cmx300m</t>
  </si>
  <si>
    <t>เอสพีที</t>
  </si>
  <si>
    <t>พลาสติกกันกระแทก ขนาด 130ซมx100เมตร (แอร์บับเบิ้ล)</t>
  </si>
  <si>
    <t>ฝาพลาสติกกันน้ำ WEG-7903</t>
  </si>
  <si>
    <t>PANASONIC</t>
  </si>
  <si>
    <t>ฝาพลาสติก 3 ช่อง WEG-6803K</t>
  </si>
  <si>
    <t>ฝาพลาสติก 1 ช่อง WEG-6801K</t>
  </si>
  <si>
    <t>ฝา WEAG-6803W</t>
  </si>
  <si>
    <t>แผ่นลามิเนท TD9200AB</t>
  </si>
  <si>
    <t>TAPM8</t>
  </si>
  <si>
    <t>แผ่นต้าฟเกลียว M8</t>
  </si>
  <si>
    <t>แผ่นฉนวนสำเร็จรูป 2"</t>
  </si>
  <si>
    <t xml:space="preserve">ผ้ากันเปื้อนแบบยีนส์ </t>
  </si>
  <si>
    <t>แปรงทาสี 3"</t>
  </si>
  <si>
    <t>แปรงถ่านเครื่องขัดลายสเตนเลส</t>
  </si>
  <si>
    <t>แปรงถ่าน BOSCH GWS 7-100</t>
  </si>
  <si>
    <t>แป้นจานขัด 5"</t>
  </si>
  <si>
    <t>Pheonik</t>
  </si>
  <si>
    <t>แป้นกาวใหญ่TM2828-4WP</t>
  </si>
  <si>
    <t>แป้นกาวญี่ปุ่นHC-2</t>
  </si>
  <si>
    <t>ปุ่มมือจับสแตนเลส</t>
  </si>
  <si>
    <t>ปืนเป่าลม BLOW GUN SET สายขนาด 5x8MMx4M</t>
  </si>
  <si>
    <t>TECHNET</t>
  </si>
  <si>
    <t>คลิปดำ ตราช้าง E-112(1x300)</t>
  </si>
  <si>
    <t>ป้ายไวนิล</t>
  </si>
  <si>
    <t>ปากกาเพ้นท์ ซากุระ XPMK-B 2มม เงิน</t>
  </si>
  <si>
    <t>ปากกาควอนตั้ม QCGB-007 ฮิทซ์ น้ำเงิน 0.7มม.(50แถม10)</t>
  </si>
  <si>
    <t>ปากกาเคมี/มาร์คเกอร์ ตราม้า 2หัว น้ำเงิน</t>
  </si>
  <si>
    <t>หมึกเติมปากกาเคมี ไพล็อต น้ำเงิน SCI-R</t>
  </si>
  <si>
    <t>ปากเขียน CD 2หัว ซากุระ ไอเด็นติ-เพ็น ดำ 1.2 และ 0.3มม</t>
  </si>
  <si>
    <t>ปากกาเน้นข้อความ สตาบิโล บอส สีเหลือง</t>
  </si>
  <si>
    <t>ปากกาเน้นข้อความ ควอนตั้ม QH-710ชมพู</t>
  </si>
  <si>
    <t>ปั้มน้ำ WM-P350XS</t>
  </si>
  <si>
    <t>ปลั๊กคู่มีกราวWNG 15923-7</t>
  </si>
  <si>
    <t>ปลั๊กคู่มีกราวWEG 15929 2P+G</t>
  </si>
  <si>
    <t>ปลอกหุ้มหางปลา V-80 สีเหลือง</t>
  </si>
  <si>
    <t>V-CAP</t>
  </si>
  <si>
    <t>ปลอกหุ้มหางปลา V-80 สีน้ำเงิน</t>
  </si>
  <si>
    <t>ปลอกหุ้มหางปลา V-80 สีแดง</t>
  </si>
  <si>
    <t>ปลอกหุ้มหางปลา V-80 สีดำ</t>
  </si>
  <si>
    <t>ปลอกหุ้มหางปลา V-80 สีเขียว</t>
  </si>
  <si>
    <t>ปลอกหุ้มหางปลา V-80 สีขาว</t>
  </si>
  <si>
    <t>ปลอกหุ้มหางปลา V-80 น้ำตาล</t>
  </si>
  <si>
    <t>ปลอกหุ้มหางปลา V-80 เทา</t>
  </si>
  <si>
    <t>ปลอกหุ้มหางปลา V-8 สีเหลือง</t>
  </si>
  <si>
    <t>ปลอกหุ้มหางปลา V-8 สีน้ำตาล</t>
  </si>
  <si>
    <t>ปลอกหุ้มหางปลา V-8 สีน้ำเงิน</t>
  </si>
  <si>
    <t>ปลอกหุ้มหางปลา V-8 สีเทา</t>
  </si>
  <si>
    <t>ปลอกหุ้มหางปลา V-8 สีแดง</t>
  </si>
  <si>
    <t>ปลอกหุ้มหางปลา V-8 สีดำ</t>
  </si>
  <si>
    <t>ปลอกหุ้มหางปลา V-8 สีเขียว</t>
  </si>
  <si>
    <t>ปลอกหุ้มหางปลา V-8 สีขาว</t>
  </si>
  <si>
    <t>ปลอกหุ้มหางปลา V-8 ฟ้า</t>
  </si>
  <si>
    <t>ปลอกหุ้มหางปลา V-8 น้ำตาล</t>
  </si>
  <si>
    <t>ปลอกหุ้มหางปลา V-8 เทา</t>
  </si>
  <si>
    <t>ปลอกหุ้มหางปลา V-60 สีเหลือง</t>
  </si>
  <si>
    <t>ปลอกหุ้มหางปลา V-60 สีน้ำเงิน</t>
  </si>
  <si>
    <t>ปลอกหุ้มหางปลา V-60 สีแดง</t>
  </si>
  <si>
    <t>ปลอกหุ้มหางปลา V-60 สีดำ</t>
  </si>
  <si>
    <t>ปลอกหุ้มหางปลา V-60 สีเขียว</t>
  </si>
  <si>
    <t>ปลอกหุ้มหางปลา V-60 สีขาว</t>
  </si>
  <si>
    <t>ปลอกหุ้มหางปลา V-60 ฟ้า</t>
  </si>
  <si>
    <t>ปลอกหุ้มหางปลา V-60 น้ำตาล</t>
  </si>
  <si>
    <t>ปลอกหุ้มหางปลา V-60 เทา</t>
  </si>
  <si>
    <t>ปลอกหุ้มหางปลา V-5 สีเหลือง</t>
  </si>
  <si>
    <t>ปลอกหุ้มหางปลา V-5 สีน้ำตาล</t>
  </si>
  <si>
    <t>ปลอกหุ้มหางปลา V-5 สีน้ำเงิน</t>
  </si>
  <si>
    <t>ปลอกหุ้มหางปลา V-5 สีเทา</t>
  </si>
  <si>
    <t>ปลอกหุ้มหางปลา V-5 สีแดง</t>
  </si>
  <si>
    <t>ปลอกหุ้มหางปลา V-5 สีดำ</t>
  </si>
  <si>
    <t>ปลอกหุ้มหางปลา V-5 สีเขียว</t>
  </si>
  <si>
    <t>ปลอกหุ้มหางปลา V-5 สีขาว</t>
  </si>
  <si>
    <t>ปลอกหุ้มหางปลา V-5 ฟ้า</t>
  </si>
  <si>
    <t>ปลอกหุ้มหางปลา V-5 น้ำตาล</t>
  </si>
  <si>
    <t>ปลอกหุ้มหางปลา V-5 เทา</t>
  </si>
  <si>
    <t>ปลอกหุ้มหางปลา V-38 สีเหลือง</t>
  </si>
  <si>
    <t>ปลอกหุ้มหางปลา V-38 สีน้ำเงิน</t>
  </si>
  <si>
    <t>ปลอกหุ้มหางปลา V-38 สีแดง</t>
  </si>
  <si>
    <t>ปลอกหุ้มหางปลา V-38 สีดำ</t>
  </si>
  <si>
    <t>ปลอกหุ้มหางปลา V-38 สีเขียว</t>
  </si>
  <si>
    <t>ปลอกหุ้มหางปลา V-38 สีขาว</t>
  </si>
  <si>
    <t>ปลอกหุ้มหางปลา V-38 ฟ้า</t>
  </si>
  <si>
    <t>ปลอกหุ้มหางปลา V-38 น้ำตาล</t>
  </si>
  <si>
    <t>ปลอกหุ้มหางปลา V-38 เทา</t>
  </si>
  <si>
    <t>ปลอกหุ้มหางปลา V-3 สีเหลือง</t>
  </si>
  <si>
    <t>ปลอกหุ้มหางปลา V-3 สีน้ำเงิน</t>
  </si>
  <si>
    <t>ปลอกหุ้มหางปลา V-3 สีแดง</t>
  </si>
  <si>
    <t>ปลอกหุ้มหางปลา V-3 สีดำ</t>
  </si>
  <si>
    <t>ปลอกหุ้มหางปลา V-3 สีเขียว</t>
  </si>
  <si>
    <t>ปลอกหุ้มหางปลา V-3 สีขาว</t>
  </si>
  <si>
    <t>ปลอกหุ้มหางปลา V-3 ฟ้า</t>
  </si>
  <si>
    <t>ปลอกหุ้มหางปลา V-3 น้ำตาล</t>
  </si>
  <si>
    <t>ปลอกหุ้มหางปลา V-3 เทา</t>
  </si>
  <si>
    <t>ปลอกหุ้มหางปลา V-250 สีเหลือง</t>
  </si>
  <si>
    <t>ปลอกหุ้มหางปลา V-250 สีน้ำเงิน</t>
  </si>
  <si>
    <t>ปลอกหุ้มหางปลา V-250 สีแดง</t>
  </si>
  <si>
    <t>ปลอกหุ้มหางปลา V-250 สีดำ</t>
  </si>
  <si>
    <t>ปลอกหุ้มหางปลา V-250 สีเขียว</t>
  </si>
  <si>
    <t>ปลอกหุ้มหางปลา V-250 สีขาว</t>
  </si>
  <si>
    <t>ปลอกหุ้มหางปลา V-22สีเหลือง</t>
  </si>
  <si>
    <t>ปลอกหุ้มหางปลา V-22สีดำ</t>
  </si>
  <si>
    <t>ปลอกหุ้มหางปลา V-22สีเขียว</t>
  </si>
  <si>
    <t>ปลอกหุ้มหางปลา V-22สีขาว</t>
  </si>
  <si>
    <t>ปลอกหุ้มหางปลา V-22 สีน้ำตาล</t>
  </si>
  <si>
    <t>ปลอกหุ้มหางปลา V-22 สีน้ำเงิน</t>
  </si>
  <si>
    <t>ปลอกหุ้มหางปลา V-22 สีแดง</t>
  </si>
  <si>
    <t>ปลอกหุ้มหางปลา V-22 ฟ้า</t>
  </si>
  <si>
    <t>ปลอกหุ้มหางปลา V-22 น้ำตาล</t>
  </si>
  <si>
    <t>ปลอกหุ้มหางปลา V-22 เทา</t>
  </si>
  <si>
    <t>ปลอกหุ้มหางปลา V-200 สีเหลือง</t>
  </si>
  <si>
    <t>ปลอกหุ้มหางปลา V-200 สีน้ำเงิน</t>
  </si>
  <si>
    <t>ปลอกหุ้มหางปลา V-200 สีแดง</t>
  </si>
  <si>
    <t>ปลอกหุ้มหางปลา V-200 สีดำ</t>
  </si>
  <si>
    <t>ปลอกหุ้มหางปลา V-200 สีเขียว</t>
  </si>
  <si>
    <t>ปลอกหุ้มหางปลา V-200 สีขาว</t>
  </si>
  <si>
    <t>ปลอกหุ้มหางปลา V-200 น้ำตาล</t>
  </si>
  <si>
    <t>ปลอกหุ้มหางปลา V-200 เทา</t>
  </si>
  <si>
    <t>ปลอกหุ้มหางปลา V-2 สีเหลือง</t>
  </si>
  <si>
    <t>ปลอกหุ้มหางปลา V-2 สีน้ำเงิน</t>
  </si>
  <si>
    <t>ปลอกหุ้มหางปลา V-2 สีแดง</t>
  </si>
  <si>
    <t>ปลอกหุ้มหางปลา V-2 สีดำ</t>
  </si>
  <si>
    <t>ปลอกหุ้มหางปลา V-2 สีเขียว</t>
  </si>
  <si>
    <t>ปลอกหุ้มหางปลา V-2 สีขาว</t>
  </si>
  <si>
    <t>ปลอกหุ้มหางปลา V-2 ฟ้า</t>
  </si>
  <si>
    <t>ปลอกหุ้มหางปลา V-2 น้ำตาล</t>
  </si>
  <si>
    <t>ปลอกหุ้มหางปลา V-2 เทา</t>
  </si>
  <si>
    <t>ปลอกหุ้มหางปลา V-150 สีเหลือง</t>
  </si>
  <si>
    <t>ปลอกหุ้มหางปลา V-150 สีน้ำเงิน</t>
  </si>
  <si>
    <t>ปลอกหุ้มหางปลา V-150 สีแดง</t>
  </si>
  <si>
    <t>ปลอกหุ้มหางปลา V-150 สีดำ</t>
  </si>
  <si>
    <t>ปลอกหุ้มหางปลา V-150 สีเขียว</t>
  </si>
  <si>
    <t>ปลอกหุ้มหางปลา V-150 สีขาว</t>
  </si>
  <si>
    <t>ปลอกหุ้มหางปลา V-14สีเหลือง</t>
  </si>
  <si>
    <t>ปลอกหุ้มหางปลา V-14สีดำ</t>
  </si>
  <si>
    <t>ปลอกหุ้มหางปลา V-14สีเขียว</t>
  </si>
  <si>
    <t>ปลอกหุ้มหางปลา V-14สีขาว</t>
  </si>
  <si>
    <t>ปลอกหุ้มหางปลา V-14 สีน้ำตาล</t>
  </si>
  <si>
    <t>ปลอกหุ้มหางปลา V-14 สีน้ำเงิน</t>
  </si>
  <si>
    <t>ปลอกหุ้มหางปลา V-14 สีเทา</t>
  </si>
  <si>
    <t>ปลอกหุ้มหางปลา V-14 สีแดง</t>
  </si>
  <si>
    <t>ปลอกหุ้มหางปลา V-14 ฟ้า</t>
  </si>
  <si>
    <t>ปลอกหุ้มหางปลา V-100 สีเหลือง</t>
  </si>
  <si>
    <t>ปลอกหุ้มหางปลา V-100 สีน้ำเงิน</t>
  </si>
  <si>
    <t>ปลอกหุ้มหางปลา V-100 สีแดง</t>
  </si>
  <si>
    <t>ปลอกหุ้มหางปลา V-100 สีดำ</t>
  </si>
  <si>
    <t>ปลอกหุ้มหางปลา V-100 สีเขียว</t>
  </si>
  <si>
    <t>ปลอกหุ้มหางปลา V-100 สีขาว</t>
  </si>
  <si>
    <t>ปลอกหุ้มหางปลา V-100 น้ำตาล</t>
  </si>
  <si>
    <t>ปลอกหุ้มหางปลา V-100 เทา</t>
  </si>
  <si>
    <t>ปลอกหุ้มไมโคร TAP-Z</t>
  </si>
  <si>
    <t>ประแจแหวนข้างปากตาย #19</t>
  </si>
  <si>
    <t>KINGTONY</t>
  </si>
  <si>
    <t>ประแจแหวนข้างปากตาย #17</t>
  </si>
  <si>
    <t>ประแจแหวนข้างปากตาย #13</t>
  </si>
  <si>
    <t>ประแจแหวนข้างปากตาย #10</t>
  </si>
  <si>
    <t>ประแจแหวน 17-19</t>
  </si>
  <si>
    <t>ประแจแหวน 12-13</t>
  </si>
  <si>
    <t>ประแจหกเหลี่ยมสั้นดำ #2.5</t>
  </si>
  <si>
    <t>ประแจดาว(ทอล์ค) 9/ตัวชุด</t>
  </si>
  <si>
    <t xml:space="preserve">ใบหินเจียร์ 4'' </t>
  </si>
  <si>
    <t>ใบเลื่อยสายพาน AMADA SGLB 27x0.9x3660x6/10</t>
  </si>
  <si>
    <t>AMADA</t>
  </si>
  <si>
    <t>ใบเลื่อยจิ๊กซอ BOSCH T118A</t>
  </si>
  <si>
    <t>แผง</t>
  </si>
  <si>
    <t>หมึกเติมปากกาไวท์บอร์ด ไพล๊อต น้ำเงิน WBMK R30CC</t>
  </si>
  <si>
    <t>ปากกาเพ้นท์ ซากุระ XPMK 1mm แดง</t>
  </si>
  <si>
    <t>ใบตัดเหล็ก 4" SUMO</t>
  </si>
  <si>
    <t>SUMO</t>
  </si>
  <si>
    <t>ปากกาเพ้นท์ ซากุระ XPMK-B 2มม ดำ</t>
  </si>
  <si>
    <t>แบตเตอรี่ รถโฟล์คลิฟท์ (แบตใหม่)</t>
  </si>
  <si>
    <t>แบตเตอรี่ รถโฟล์คลิฟท์ (แบตเก่า) PC ขาย</t>
  </si>
  <si>
    <t>แบตเตอรี่ NEW POWER รุ่น NS-6-12 6V 12A</t>
  </si>
  <si>
    <t>แบต LITHUIM SAFTLS14500 AA</t>
  </si>
  <si>
    <t>เบรกเกอร์มิตซู NF63-CV 3P 50A</t>
  </si>
  <si>
    <t>เบรกเกอร์มิตซู NF125-CV 3P 125A</t>
  </si>
  <si>
    <t>เบรกเกอร์ มิตซู NF63-CV 3P 20A</t>
  </si>
  <si>
    <t>เบรกเกอร์ มิตซู NF63-CV 2P 16A</t>
  </si>
  <si>
    <t>เบรกเกอร์ มิตซู NF32-SV 3P 20A</t>
  </si>
  <si>
    <t>เบรกเกอร์ มิตซู NF250-CV 3P 175A</t>
  </si>
  <si>
    <t>เบรกเกอร์ NV63-CV 2P 15A</t>
  </si>
  <si>
    <t>เบรกเกอร์ NF63-CV 3P 32A</t>
  </si>
  <si>
    <t>เบรกเกอร์ NF32-SV 3P 32A</t>
  </si>
  <si>
    <t>เบรกเกอร์ NF32-SV 2P 6A</t>
  </si>
  <si>
    <t>เบรกเกอร์ NF32-SV 2P 20A</t>
  </si>
  <si>
    <t>เบรกเกอร์ NF32-SV 2P 10A</t>
  </si>
  <si>
    <t>เบรกเกอร์ NF125-SV 3P 80A</t>
  </si>
  <si>
    <t>เบรกเกอร์ NF125-SV 3P 125A</t>
  </si>
  <si>
    <t>เบรกเกอร์ NF125-CV 3P 100A</t>
  </si>
  <si>
    <t xml:space="preserve">เบรกเกอร์ A1B125 TMF 40A 3P </t>
  </si>
  <si>
    <t xml:space="preserve">เบรกเกอร์ A1B125 TMF 125A 3P </t>
  </si>
  <si>
    <t>บูชสำเร็จสแตนเลส 12.7x50</t>
  </si>
  <si>
    <t>แอ็ดวานซ์</t>
  </si>
  <si>
    <t>บูชยึด E1 32x20 ชุบขาว</t>
  </si>
  <si>
    <t>PC-009SUS</t>
  </si>
  <si>
    <t>บูชฝาใน สแตนเลส</t>
  </si>
  <si>
    <t>สิทธิภาพ</t>
  </si>
  <si>
    <t>บูชฝาใน</t>
  </si>
  <si>
    <t>PC-008L</t>
  </si>
  <si>
    <t>บูชฝาซอยซ้าย</t>
  </si>
  <si>
    <t>PC-008R</t>
  </si>
  <si>
    <t>บูชฝาซอยขวา</t>
  </si>
  <si>
    <t>BGM8</t>
  </si>
  <si>
    <t>บูชบาร์กราวน์ M8</t>
  </si>
  <si>
    <t>ชำนาญกิจ</t>
  </si>
  <si>
    <t>BGM6</t>
  </si>
  <si>
    <t>บูชบาร์กราวน์ M6</t>
  </si>
  <si>
    <t>PC-010SUS</t>
  </si>
  <si>
    <t>บูชตู้ไซร์ สแตนเลส</t>
  </si>
  <si>
    <t>PC-010</t>
  </si>
  <si>
    <t>บูชตู้ไซร์ ชุบรุ้ง</t>
  </si>
  <si>
    <t>PC-011</t>
  </si>
  <si>
    <t>บูชตู้ไซร์ จีน</t>
  </si>
  <si>
    <t>ซื้อจีน</t>
  </si>
  <si>
    <t>BUSH</t>
  </si>
  <si>
    <t>บูชกลึงเล็ก</t>
  </si>
  <si>
    <t>BUSHM5</t>
  </si>
  <si>
    <t>บูชกลึง M9x10 ต้าฟเกลียวใน M5</t>
  </si>
  <si>
    <t>ต๊าปเกลียวซ้าย</t>
  </si>
  <si>
    <t>บูชกลึง M20x18 ต้าฟเกลียวใน M8</t>
  </si>
  <si>
    <t>ดอกต๊าป M3 (3ตัวชุด)</t>
  </si>
  <si>
    <t>BUSHM6SUS</t>
  </si>
  <si>
    <t>บูชกลึง M16x18 ต้าฟเกลียวใน M6 สแตนเลส</t>
  </si>
  <si>
    <t>บูชกลึง M16x18 ต้าฟเกลียวใน M6</t>
  </si>
  <si>
    <t>BUSHM6QTC</t>
  </si>
  <si>
    <t>บูชกลึง M12x12 ต้าฟเกลียวใน M6</t>
  </si>
  <si>
    <t>บานพับเหล็กถอดได้ 1 1/4"</t>
  </si>
  <si>
    <t>PC-006</t>
  </si>
  <si>
    <t>บานพับตู้แบต</t>
  </si>
  <si>
    <t>PC-005SUS</t>
  </si>
  <si>
    <t>บานพับตู้ พับขอบกันน้ำพิเศษ สแตนเลส</t>
  </si>
  <si>
    <t>PC-005N</t>
  </si>
  <si>
    <t>บานพับตู้ พับขอบกันน้ำพิเศษ รุ่นไม่พับงอ</t>
  </si>
  <si>
    <t>บานพับตู้ พับขอบกันน้ำพิเศษ รุ่นพับงอ</t>
  </si>
  <si>
    <t>PC-003SUS</t>
  </si>
  <si>
    <t>บานพับตู้ พับขอบกันน้ำ สแตนเลส</t>
  </si>
  <si>
    <t>PC-003N</t>
  </si>
  <si>
    <t>บานพับตู้ พับขอบกันน้ำ รุ่นไม่พับงอ</t>
  </si>
  <si>
    <t>บานพับตู้ พับขอบกันน้ำ รุ่นพับงอ</t>
  </si>
  <si>
    <t>บานพับตู้ Panel</t>
  </si>
  <si>
    <t>PC-001SUS</t>
  </si>
  <si>
    <t>บานพับตู้ Knock Down สแตนเลส</t>
  </si>
  <si>
    <t>บานพับตู้ Knock Down รุ่นไม่พับงอ</t>
  </si>
  <si>
    <t>บานพับตู้ Knock Down รุ่นพับงอ-ใหม่</t>
  </si>
  <si>
    <t>ซันนี่ทูลส์</t>
  </si>
  <si>
    <t>บานพับตู้ Knock Down รุ่นพับงอ</t>
  </si>
  <si>
    <t>บัสบาร์ทองแดง 80x10</t>
  </si>
  <si>
    <t>บัสบาร์ทองแดง 60x5</t>
  </si>
  <si>
    <t>บัสบาร์ทองแดง 60x10</t>
  </si>
  <si>
    <t>บัสบาร์ทองแดง 6"x3/8"</t>
  </si>
  <si>
    <t>บัสบาร์ทองแดง 6"x1/2"</t>
  </si>
  <si>
    <t>บัสบาร์ทองแดง 50x10</t>
  </si>
  <si>
    <t>บัสบาร์ทองแดง 5/8"x3/16"</t>
  </si>
  <si>
    <t>บัสบาร์ทองแดง 5/8"x1/8"</t>
  </si>
  <si>
    <t>บัสบาร์ทองแดง 5"x3/8"</t>
  </si>
  <si>
    <t>บัสบาร์ทองแดง 5"x1/2"</t>
  </si>
  <si>
    <t>บัสบาร์ทองแดง 40x5</t>
  </si>
  <si>
    <t>บัสบาร์ทองแดง 40x10</t>
  </si>
  <si>
    <t>บัสบาร์ทองแดง 4"x1/2"</t>
  </si>
  <si>
    <t>บัสบาร์ทองแดง 3MM(4x8)แผ่น</t>
  </si>
  <si>
    <t>บัสบาร์ทองแดง 30x5</t>
  </si>
  <si>
    <t>บัสบาร์ทองแดง 30x10</t>
  </si>
  <si>
    <t>บัสบาร์ทองแดง 3/4"x1/8"</t>
  </si>
  <si>
    <t>บัสบาร์ทองแดง 3/4"x1/4"</t>
  </si>
  <si>
    <t>บัสบาร์ทองแดง 3"x3/8"</t>
  </si>
  <si>
    <t>BAR 3x1/4</t>
  </si>
  <si>
    <t>บัสบาร์ทองแดง 3"x1/4"</t>
  </si>
  <si>
    <t>บัสบาร์ทองแดง 3"x1/2"</t>
  </si>
  <si>
    <t>บัสบาร์ทองแดง 2MM(4x8)แผ่น</t>
  </si>
  <si>
    <t>บัสบาร์ทองแดง 25x5</t>
  </si>
  <si>
    <t>บัสบาร์ทองแดง 25x3</t>
  </si>
  <si>
    <t>บัสบาร์ทองแดง 20x5</t>
  </si>
  <si>
    <t>BAR 2x3/8</t>
  </si>
  <si>
    <t>บัสบาร์ทองแดง 2"x3/8"</t>
  </si>
  <si>
    <t>บัสบาร์ทองแดง 2"x1/8"</t>
  </si>
  <si>
    <t>บัสบาร์ทองแดง 2"x1/4"</t>
  </si>
  <si>
    <t>บัสบาร์ทองแดง 2"x1/2"</t>
  </si>
  <si>
    <t>บัสบาร์ทองแดง 2 1/2"x3/8"</t>
  </si>
  <si>
    <t>บัสบาร์ทองแดง 2 1/2"x1/4"</t>
  </si>
  <si>
    <t>บัสบาร์ทองแดง 2 1/2"x1/2"</t>
  </si>
  <si>
    <t>บัสบาร์ทองแดง 15x3</t>
  </si>
  <si>
    <t>บัสบาร์ทองแดง 120x10</t>
  </si>
  <si>
    <t>BAR 100x5</t>
  </si>
  <si>
    <t>บัสบาร์ทองแดง 100x5</t>
  </si>
  <si>
    <t>บัสบาร์ทองแดง 100x10</t>
  </si>
  <si>
    <t>บัสบาร์ทองแดง 1/2"x1/8"</t>
  </si>
  <si>
    <t>บัสบาร์ทองแดง 1/2"x1/4"</t>
  </si>
  <si>
    <t>บัสบาร์ทองแดง 1"x3/8"</t>
  </si>
  <si>
    <t>บัสบาร์ทองแดง 1"x3/16"</t>
  </si>
  <si>
    <t>บัสบาร์ทองแดง 1"x1/8"</t>
  </si>
  <si>
    <t>บัสบาร์ทองแดง 1"x1/4"</t>
  </si>
  <si>
    <t>บัสบาร์ทองแดง 1"x1/2"</t>
  </si>
  <si>
    <t>บัสบาร์ทองแดง 1 1/4"x3/16"</t>
  </si>
  <si>
    <t>บัสบาร์ทองแดง 1 1/4"x1/4"</t>
  </si>
  <si>
    <t>BAR 1 1/2x1/4</t>
  </si>
  <si>
    <t>บัสบาร์ทองแดง 1 1/2x1/4</t>
  </si>
  <si>
    <t>บัสบาร์ทองแดง 1 1/2"x3/16"</t>
  </si>
  <si>
    <t>บัสบาร์ทองแดง 1 1/2"x1/2"</t>
  </si>
  <si>
    <t>บัสบาร์ BS-20-220-3 บน</t>
  </si>
  <si>
    <t>บัสบาร์ BS-20-220-3 กลาง</t>
  </si>
  <si>
    <t>บัสบาร์ BS-20-213-2 บน</t>
  </si>
  <si>
    <t>บัสบาร์ BS-20-213-2 กลาง</t>
  </si>
  <si>
    <t>บัสบาร์ BS-20-196-3 บน</t>
  </si>
  <si>
    <t>บัสบาร์ BS-20-196-3 กลาง</t>
  </si>
  <si>
    <t>บัสบาร์ BS-15-280-2 บน</t>
  </si>
  <si>
    <t>บัสบาร์ BS-15-280-2 กลาง</t>
  </si>
  <si>
    <t>บัสบาร์ BS-15-224-2 บน</t>
  </si>
  <si>
    <t>บัสบาร์ BS-15-224-2 กลาง</t>
  </si>
  <si>
    <t>บัสบาร์ BS-12-224-2 บน</t>
  </si>
  <si>
    <t>บัสบาร์ BS-12-224-2 กลาง</t>
  </si>
  <si>
    <t>บอลวาล์ SUS VR 2"</t>
  </si>
  <si>
    <t>บ๊อกลอย PVC 2x4</t>
  </si>
  <si>
    <t>บ๊อกลม1/2" AI4161</t>
  </si>
  <si>
    <t xml:space="preserve">บ๊อกยางสนาม 2"x4" </t>
  </si>
  <si>
    <t>KCE</t>
  </si>
  <si>
    <t xml:space="preserve">ไนโตรเจน ขนาด 6Q </t>
  </si>
  <si>
    <t>นิเปิ้ลเกลียว SUS 2"</t>
  </si>
  <si>
    <t>น้ำยาจุ่มหัวเชื่อม</t>
  </si>
  <si>
    <t>NPO</t>
  </si>
  <si>
    <t xml:space="preserve">น้ำมันดีเซล </t>
  </si>
  <si>
    <t>น้ำกลั่น</t>
  </si>
  <si>
    <t>เทปใส 2''</t>
  </si>
  <si>
    <t>OPP</t>
  </si>
  <si>
    <t>เทปพันสายไฟสีดำ</t>
  </si>
  <si>
    <t>เทปพันเกลียว</t>
  </si>
  <si>
    <t>เทปกาวย่น 48มมx50ม</t>
  </si>
  <si>
    <t>ม้วน</t>
  </si>
  <si>
    <t>ปี๊ป</t>
  </si>
  <si>
    <t xml:space="preserve">ทินเนอร์ EMS </t>
  </si>
  <si>
    <t>ท่ออ่อนลูกฟูกชิดผ่า/ท่อผ่าดำ 25มิล</t>
  </si>
  <si>
    <t>ทรายหยาบ</t>
  </si>
  <si>
    <t>ปากกาเพ้นท์ ซากุละ XPMK-B 2mm ทอง</t>
  </si>
  <si>
    <t>วรพล</t>
  </si>
  <si>
    <t>ปากกาเพ้นท์ ซากุระ XPMK-B 2มม แดง</t>
  </si>
  <si>
    <t>ถุงมือไนโตรเจนบางสีฟ้า TG-SOFT กล่อง 50คู่</t>
  </si>
  <si>
    <t>มีดคัตเตอร์สเตนเลสใหญ่ พัมคิน ST-101/45 องศา</t>
  </si>
  <si>
    <t>ดินสอดำ 2B ควอนตั้ม QP910</t>
  </si>
  <si>
    <t>ถังสเตนเลส 105N</t>
  </si>
  <si>
    <t>ติดจาน M8</t>
  </si>
  <si>
    <t>ติดจาน M6</t>
  </si>
  <si>
    <t>ติดจาน M5</t>
  </si>
  <si>
    <t>ต๊าปชุด M12x1.75mm</t>
  </si>
  <si>
    <t>ต๊าป M8 มือ 2</t>
  </si>
  <si>
    <t>ต๊าป M6 มือ 2</t>
  </si>
  <si>
    <t>ต๊าป M5 มือ 2</t>
  </si>
  <si>
    <t>ต๊าป M4 มือ 2</t>
  </si>
  <si>
    <t>ตัวล็อคกุญแจ</t>
  </si>
  <si>
    <t>ตัวตัดเทป OPP</t>
  </si>
  <si>
    <t>ตัวแขวนรางไฟ MOBILIS</t>
  </si>
  <si>
    <t>ตะปูยิงรีเวท 6-5   3/16"x1/2"</t>
  </si>
  <si>
    <t>BLIND RIVETS</t>
  </si>
  <si>
    <t>ตะปูยิงรีเวท 5-3   5/32"x5/16"</t>
  </si>
  <si>
    <t>คนป่า</t>
  </si>
  <si>
    <t>ตะปูยิงรีเวท 4-2   1/8"x1/4"</t>
  </si>
  <si>
    <t>ตะกั่วบัดกรี ขนาด 1ปอนด์</t>
  </si>
  <si>
    <t>ดินสอดำ HB ควอนตั้ม QP-930</t>
  </si>
  <si>
    <t>ปากกาลบคำผิด ควอนตั้ม มารีนบลู 5มล.</t>
  </si>
  <si>
    <t>ตลับเมตร KDS 3.5M</t>
  </si>
  <si>
    <t>KDS</t>
  </si>
  <si>
    <t>ไดชาร์ท D-MAX 2.5#054110 ALT-DMAX-2.5</t>
  </si>
  <si>
    <t>ปากกาลบคำผิด ควอนตั้ม นอร์ดิค โกล์ด 7มล.</t>
  </si>
  <si>
    <t>ดอกสว่านนาซิ L/N 500 9.0mm</t>
  </si>
  <si>
    <t>NACHI</t>
  </si>
  <si>
    <t>ดอกสว่านนาซิ L/N 500 4.0mm</t>
  </si>
  <si>
    <t>ดอกสว่านนาซิ L/N 500 2.2mm</t>
  </si>
  <si>
    <t>ดอกสว่านนาซิ L/N 500 10.0mm</t>
  </si>
  <si>
    <t>ดอกสว่าน นาซิ L/N 500 5.00มิล</t>
  </si>
  <si>
    <t>ดอกสว่าน NACHI 3.3 MM</t>
  </si>
  <si>
    <t>ดอกสว่าน MAXCO 8.0mm</t>
  </si>
  <si>
    <t>ดอกสว่าน 5.4มม. D1101054</t>
  </si>
  <si>
    <t>YG</t>
  </si>
  <si>
    <t>ดอกสว่าน 3.3 มม. HP-11010000330</t>
  </si>
  <si>
    <t>สเตนเลส 16x55x110 เจาะรูต๊าปเกลียว M12x1.75 2รู</t>
  </si>
  <si>
    <t>ไซเรนเล็ก MS-190 220VAC</t>
  </si>
  <si>
    <t>HORN</t>
  </si>
  <si>
    <t>โซเน็ก</t>
  </si>
  <si>
    <t>โซ่ 5 ตัน รุ่นมาตรฐาน STD</t>
  </si>
  <si>
    <t>SISTA</t>
  </si>
  <si>
    <t>ซิลิโคนขุ่น</t>
  </si>
  <si>
    <t>ปากกาลบคำผิด ตราช้าง 0.7ml</t>
  </si>
  <si>
    <t>ซองเนมเพลท 20x65</t>
  </si>
  <si>
    <t>MS สวิตบอร์ด</t>
  </si>
  <si>
    <t>โช๊คอัพสำหรับบานพับประตู 250 มิล นิเกิ้ล</t>
  </si>
  <si>
    <t>เชือกเอ็น</t>
  </si>
  <si>
    <t>เชือกฟาง</t>
  </si>
  <si>
    <t>SW</t>
  </si>
  <si>
    <t>ชุดประแจบล็อค 25/ตัวชุด</t>
  </si>
  <si>
    <t>ชุดกรองลม C4020-15W-A15W F+R ต่อข้าง</t>
  </si>
  <si>
    <t xml:space="preserve">ชำระมัดจำ ค่าเครื่องพิมพ์ UV ยี่ห้อ IQDEMY รุ่น MAGLEV 1228 </t>
  </si>
  <si>
    <t>DIM GREY</t>
  </si>
  <si>
    <t>CC-HGR</t>
  </si>
  <si>
    <t>ช่องร้อยสายไฟ  กลมแบบเปิดฝาได้ สีเทา</t>
  </si>
  <si>
    <t>Pansiam</t>
  </si>
  <si>
    <t>PC-LSC</t>
  </si>
  <si>
    <t>ฉากหมุด</t>
  </si>
  <si>
    <t>PC-LB-85-120</t>
  </si>
  <si>
    <t>ฉากรับหลังคาตู้แบต</t>
  </si>
  <si>
    <t>PC-LFS-L</t>
  </si>
  <si>
    <t>ฉากรับเสาเสริม ซ้าย</t>
  </si>
  <si>
    <t>PC-LFS-R</t>
  </si>
  <si>
    <t>ฉากรับเสาเสริม ขวา</t>
  </si>
  <si>
    <t>PC-LFS70X30</t>
  </si>
  <si>
    <t>ฉากรับเสาเสริม</t>
  </si>
  <si>
    <t>PC-LSB</t>
  </si>
  <si>
    <t>ฉากรับสลัก (ฉากสแน๊ป )</t>
  </si>
  <si>
    <t>PC-LFS</t>
  </si>
  <si>
    <t>ฉากรับฝาใน</t>
  </si>
  <si>
    <t>PC-LD68X45-3</t>
  </si>
  <si>
    <t>ฉากรับฝาข้างพิเศษ</t>
  </si>
  <si>
    <t>PC-LD-CPT</t>
  </si>
  <si>
    <t>ฉากรับฝาข้าง CPT</t>
  </si>
  <si>
    <t>PC-LD45X45-3</t>
  </si>
  <si>
    <t>ฉากรับฝาข้าง 3 มิล</t>
  </si>
  <si>
    <t>PC-LM</t>
  </si>
  <si>
    <t>ฉากยึดลิมิทสวิทซ์</t>
  </si>
  <si>
    <t>แจ๊คตัวผู้ CAT6</t>
  </si>
  <si>
    <t>แจ๊คตัวผู้ CAT5</t>
  </si>
  <si>
    <t xml:space="preserve">งานสัญลักษณ์จราจรสีอีพ๊อกซี่ ขนาด 10 ซม </t>
  </si>
  <si>
    <t>งานชุบ HOT DIP</t>
  </si>
  <si>
    <t>โคมสปอร์ตไลท์ 1500W VETO</t>
  </si>
  <si>
    <t>VETO</t>
  </si>
  <si>
    <t>โคม 600 มิล</t>
  </si>
  <si>
    <t>แฟ้มสันแคบ ตราช้าง 125F,2" น้ำเงิน</t>
  </si>
  <si>
    <t>เครื่องตรวจลายนิ้วมือ AlphaFingerscan รุ่น ALP-7400</t>
  </si>
  <si>
    <t>เครื่องเจียร์ 7-100 BOSCH</t>
  </si>
  <si>
    <t>เครื่องจุดไฟ 3ซีรี่ 7สาย</t>
  </si>
  <si>
    <t>ม็อปดันฝุ่นผ้าขาว 24 นิ้ว ด้ามคละสี</t>
  </si>
  <si>
    <t>BEMAN</t>
  </si>
  <si>
    <t>เครื่องขัด APS-125 (NVL)</t>
  </si>
  <si>
    <t>NITTO</t>
  </si>
  <si>
    <t>เคมีวัดตัวเร่งเบอร์ 55 500g</t>
  </si>
  <si>
    <t>พี.เมทัล</t>
  </si>
  <si>
    <t>เคเบิ้ลไทร์ 8" สีดำCT-200B-3C</t>
  </si>
  <si>
    <t>เคเบิ้ลไทร์ 8" สีขาวCT-200-3C</t>
  </si>
  <si>
    <t>เคเบิ้ลไทร์ 6" สีดำCT-150B-3C</t>
  </si>
  <si>
    <t>เคเบิ้ลไทร์ 6" สีขาวCT-150-3C</t>
  </si>
  <si>
    <t>เคเบิ้ลไทร์ 4" สีดำCT-100-B-2C</t>
  </si>
  <si>
    <t>เคเบิ้ลไทร์ 12" สีขาวCT-310-4C</t>
  </si>
  <si>
    <t>HPG9</t>
  </si>
  <si>
    <t>เคเบิ้ลแกรนด์พลาสติก HPG9 GR</t>
  </si>
  <si>
    <t>HPG11</t>
  </si>
  <si>
    <t>เคเบิ้ลแกรนด์พลาสติก HPG11 GR</t>
  </si>
  <si>
    <t>SAZN</t>
  </si>
  <si>
    <t>เคเบิ้ลแกรนด์ PG21</t>
  </si>
  <si>
    <t>BIGONE</t>
  </si>
  <si>
    <t>เคเบิ้ลแกรนด์ PG13</t>
  </si>
  <si>
    <t>เคเบิ้ลแกรนด์ PG11</t>
  </si>
  <si>
    <t>เคจนัท M6</t>
  </si>
  <si>
    <t>คีมย้ำหางปลา SU-6</t>
  </si>
  <si>
    <t>OPT</t>
  </si>
  <si>
    <t>คีมย้ำ SOLO</t>
  </si>
  <si>
    <t>SOLO</t>
  </si>
  <si>
    <t>ค่าอบรมวิธีการบังคับเครนพร้อมใบ Certificate of Training</t>
  </si>
  <si>
    <t>LOT</t>
  </si>
  <si>
    <t>ค่าลงโปรแกรมพร้อมสอน ยี่ห้อ ZK รุ่น U-160C</t>
  </si>
  <si>
    <t xml:space="preserve">ค่าบริการเปลี่ยนไส้แบตเตอรี่ </t>
  </si>
  <si>
    <t>ค่าบริการตรวจเช็คเครน</t>
  </si>
  <si>
    <t>ค่าบริการ เช็คระยะ 213,533กม ทะเบียน 1ฒฆ 7417</t>
  </si>
  <si>
    <t>ค่าติดตั้งระบบสินค้า IT</t>
  </si>
  <si>
    <t xml:space="preserve">ค่าซ่อมพัดลม 22" ฮาตาริ </t>
  </si>
  <si>
    <t>ค่าชุบ ดีบุกเงา</t>
  </si>
  <si>
    <t>ค่าคอม ตู้น้ำมัน</t>
  </si>
  <si>
    <t>คอปเปอร์ลม SP 40</t>
  </si>
  <si>
    <t>คอนกรีต CPAC SUPER PLUS กำลังอัด 280กก /ตร.ซม 28F</t>
  </si>
  <si>
    <t>อะไหล่ม๊อปดันฝุ่น 24นิ้ว BEMAN</t>
  </si>
  <si>
    <t>เข็มขัดรัดสายยาง 2"</t>
  </si>
  <si>
    <t>PC-ACL 70</t>
  </si>
  <si>
    <t>ขายึดอคิลิค ยาว 70.5x15</t>
  </si>
  <si>
    <t>PC-ACL 60</t>
  </si>
  <si>
    <t>ขายึดอคิลิค ยาว 60.5x15</t>
  </si>
  <si>
    <t>PC-ACL 42</t>
  </si>
  <si>
    <t>ขายึดอคิลิค ยาว 42.5x15</t>
  </si>
  <si>
    <t>PC-ACL 110</t>
  </si>
  <si>
    <t>ขายึดอคิลิค ยาว 110.5x15</t>
  </si>
  <si>
    <t>PC-TMN</t>
  </si>
  <si>
    <t>ขายึดเทอร์มินอล</t>
  </si>
  <si>
    <t>ขายึด MS-SF4BG-1</t>
  </si>
  <si>
    <t>FAM12x80</t>
  </si>
  <si>
    <t>ขาปรับระดับ M12x80</t>
  </si>
  <si>
    <t>ขั้วยางกันน้ำ (มอก)E27</t>
  </si>
  <si>
    <t>ชัยวัฒน์</t>
  </si>
  <si>
    <t>ขันตักน้ำแบบมีด้าม</t>
  </si>
  <si>
    <t>ขอบคันหินใหญ่ 15x30x100ซม.</t>
  </si>
  <si>
    <t>ข้อต่อรางไฟ MOBILIS</t>
  </si>
  <si>
    <t>ข้อต่อคอปเปอร์เกลียวนอก 1/4"</t>
  </si>
  <si>
    <t>ข้อต่อคอป้ปอร์ PP40</t>
  </si>
  <si>
    <t>ข้อต่อเกลียว SUS 2"</t>
  </si>
  <si>
    <t>ข้องอเกลียว SUS 90 2"</t>
  </si>
  <si>
    <t>ถัง</t>
  </si>
  <si>
    <t>กุญแจหูกระเป๋าสปริงC-1007-2</t>
  </si>
  <si>
    <t>กุญแจหูกระเป๋าสแตนเลสตัวใหญ่FD-13</t>
  </si>
  <si>
    <t>กุญแจหูกระเป๋าสแตนเลสตัวเล็กFD-14</t>
  </si>
  <si>
    <t>กุญแจหูกระเป๋าเล็ก SUS C-1012-2-1</t>
  </si>
  <si>
    <t>กุญแจล็อคเกอร์1C-157-03-C01</t>
  </si>
  <si>
    <t>กุญแจเขาควายเล็ก</t>
  </si>
  <si>
    <t>กุญแจเขาควายไม่กันน้ำ173-03-G-025</t>
  </si>
  <si>
    <t>กุญแจเขาควายกันน้ำ A-1140-2-1-sus</t>
  </si>
  <si>
    <t>กุญแจเขากวาง-มีคีย์A-19-03-G104</t>
  </si>
  <si>
    <t>กุญแจกลมดำ174-04-G016-16</t>
  </si>
  <si>
    <t>กุญแจกลมดำ แบบมีก้านลิ้นยาว178-04-G-247</t>
  </si>
  <si>
    <t>กุญแจกดเด้งสีดำ MS480-2</t>
  </si>
  <si>
    <t>กุญแจกดเด้งสีเงิน MS480-1</t>
  </si>
  <si>
    <t>กุญแจกดเด้ง MS504-5</t>
  </si>
  <si>
    <t>กุญแจ TAKIGEN A-51-1-1</t>
  </si>
  <si>
    <t>กุญแจ TAKIGEN A-481N-4-1</t>
  </si>
  <si>
    <t>กุญแจ TAKIGEN A-140-3-1</t>
  </si>
  <si>
    <t>กุญแจ TAKIGEN A-140-2-1</t>
  </si>
  <si>
    <t>กุญแจ TAKIGEN A-140-1-1</t>
  </si>
  <si>
    <t>กุญแจ TAKIGEN A 464-1-1</t>
  </si>
  <si>
    <t>กุญแจ locker 1A-261-20-91-C01-J9Z</t>
  </si>
  <si>
    <t>keyLOCKER 262</t>
  </si>
  <si>
    <t>กุญแจ locke 1A-262-20-91-C01-K3Z</t>
  </si>
  <si>
    <t>กาวยาง</t>
  </si>
  <si>
    <t>RUSCO</t>
  </si>
  <si>
    <t>ถุงมือยาง ขนาดใหญ่ L สก๊อตไบร์ท</t>
  </si>
  <si>
    <t>กาว BT-10M</t>
  </si>
  <si>
    <t>กาว BT-10</t>
  </si>
  <si>
    <t>บอนด์ เคมีคอน</t>
  </si>
  <si>
    <t>กาพ่นสี STAR S-106</t>
  </si>
  <si>
    <t>STAR</t>
  </si>
  <si>
    <t>กันชนแม่เหล็กตัวใหญ๋</t>
  </si>
  <si>
    <t>กลอนประตู 6นิ้ว สีโครเมี่ยม</t>
  </si>
  <si>
    <t>กล่องขยายสัญญาณโทรศัพท์</t>
  </si>
  <si>
    <t>กระเป๋าสะพายสำหรับใสเครื่องพิมพ์</t>
  </si>
  <si>
    <t>กระดาษลูกฟูก 48"เกรด A</t>
  </si>
  <si>
    <t>วัฒนา</t>
  </si>
  <si>
    <t>MIRKA</t>
  </si>
  <si>
    <t>กระดาษทราย TOA เบอร์ 1000</t>
  </si>
  <si>
    <t>TOA</t>
  </si>
  <si>
    <t>กระดาษถ่ายเอกสารสี ตราช้าง สีเขียวอ่อน 259754.8แกรม (500แผ่น)</t>
  </si>
  <si>
    <t>ชุด</t>
  </si>
  <si>
    <t>เครื่องเย็บกระดาษ MAX HD-10(18แผ่น)</t>
  </si>
  <si>
    <t>ที่ถอนลวดแบบคีม 1039A</t>
  </si>
  <si>
    <t>กระดาษติดแกนสีน้ำตาล(ห่อสินค้า)</t>
  </si>
  <si>
    <t>ลวดเย็บกระดาษ MAX NO.M8-1M</t>
  </si>
  <si>
    <t>ลวดเย็บเบอร์ 10 ตราช้าง ไททาเนีย</t>
  </si>
  <si>
    <t>ตราช้าง</t>
  </si>
  <si>
    <t>เครื่องเจาะกระดาษ ตราม้า H-600(20แผ่น)</t>
  </si>
  <si>
    <t>กระดาษกาวย่น INTER ขนาด 2"x45 หลา</t>
  </si>
  <si>
    <t>กระดาษกาวย่น INTER ขนาด 1"x45 หลา</t>
  </si>
  <si>
    <t>กระดาษกาวนิตโต้</t>
  </si>
  <si>
    <t>กระดาษกาว2 หน้า 8 มิล</t>
  </si>
  <si>
    <t>CHUGOKU</t>
  </si>
  <si>
    <t>กระดาษกาว 3 ''</t>
  </si>
  <si>
    <t>กระดาษกาว 2หน้าสีขาว</t>
  </si>
  <si>
    <t>กระดาษกาว 2หน้า 4มิล</t>
  </si>
  <si>
    <t>กระดาษกาว 2 หน้า 13 มิล</t>
  </si>
  <si>
    <t>กระดาษกาว 2 ''</t>
  </si>
  <si>
    <t>กระดาษกาว 1 ''</t>
  </si>
  <si>
    <t>กระจกดำ#11</t>
  </si>
  <si>
    <t>กระจกดำ#10</t>
  </si>
  <si>
    <t>ZERO SHIFT MIRROR CODE 79000850 DRAWING A98L-0001-0616/C</t>
  </si>
  <si>
    <t>Y-D STARTERS AF CONTACTOR AF65-30-11</t>
  </si>
  <si>
    <t>XT1C TMD160 3P 25KA</t>
  </si>
  <si>
    <t>MAXMACHI</t>
  </si>
  <si>
    <t>Withsta nding Hitester</t>
  </si>
  <si>
    <t>VOLTMETER 96x96mm 400A AC96</t>
  </si>
  <si>
    <t>AMPTRON</t>
  </si>
  <si>
    <t>VOLT SELECTOR 64x80mmSA16-7-61313-B13</t>
  </si>
  <si>
    <t>SALZER</t>
  </si>
  <si>
    <t>VOLT METER SD-96V 500V</t>
  </si>
  <si>
    <t xml:space="preserve">VOLMETER 96x96mm 500V AC96 </t>
  </si>
  <si>
    <t>V-GROOVE V=8 FOR HEMMING DIE NO.10409 SIZE 835MM CODE 801391</t>
  </si>
  <si>
    <t>Vernier Caliper</t>
  </si>
  <si>
    <t>VARIO EMERGENCY SWITCH VCF1 32A</t>
  </si>
  <si>
    <t>UVR-C A1-A2 220-240VAC 220-250VDC</t>
  </si>
  <si>
    <t>U-BON 3.2</t>
  </si>
  <si>
    <t>TURBO BLOWER OIL CODE 71220332 DRAWING A04B-0800-K329/1</t>
  </si>
  <si>
    <t>TUEB 5.2</t>
  </si>
  <si>
    <t>U-BON</t>
  </si>
  <si>
    <t>TUEB 4.2</t>
  </si>
  <si>
    <t>TUEB 3.2</t>
  </si>
  <si>
    <t>TUEB 2.5</t>
  </si>
  <si>
    <t>TUBE 3.6</t>
  </si>
  <si>
    <t>True RMS Multimeter</t>
  </si>
  <si>
    <t>TRAVEL CHARGE (PROMOTION) -TRAVEL1</t>
  </si>
  <si>
    <t>Torque Wrench</t>
  </si>
  <si>
    <t>Toggle Clamp KC-431</t>
  </si>
  <si>
    <t>KPP</t>
  </si>
  <si>
    <t>Toggle Clamp KC-40341</t>
  </si>
  <si>
    <t>TIMER MIL72E D120(TACTIC371.2PLUS)</t>
  </si>
  <si>
    <t>Timer H5CN-XBN 100-240VAC</t>
  </si>
  <si>
    <t>Timer H3CR-A8 100-240VAC</t>
  </si>
  <si>
    <t>THERMOSTAT TS-050SR-C(0-50C)</t>
  </si>
  <si>
    <t>TESYS LRD THERMAL OVERLOAD RELAY 4-6A CLASS 10A</t>
  </si>
  <si>
    <t>TESYS LRD THERMAL OVERLOAD RELAY 37-50A CLASS 10A</t>
  </si>
  <si>
    <t>TESYS D CONTACTOR 3P(3NO) AC-3 440V 50A 220VAC AC COIL</t>
  </si>
  <si>
    <t>TESTS GV2 CIRCUIT BREAKER MAGNETIC 6.3A SCREW CLAMP TERMINAL</t>
  </si>
  <si>
    <t>TERMINAL BLOCK TX60</t>
  </si>
  <si>
    <t>KASUGA</t>
  </si>
  <si>
    <t>TERMINAL BLOCK TX30</t>
  </si>
  <si>
    <t>TERMINAL BLOCK TX200</t>
  </si>
  <si>
    <t>TERMINAL BLOCK TX20</t>
  </si>
  <si>
    <t>TERMINAL BLOCK TX150</t>
  </si>
  <si>
    <t>TERMINAL BLOCK TX100</t>
  </si>
  <si>
    <t>TERMINAL BLOCK TX10</t>
  </si>
  <si>
    <t>Switch WEG-5001K</t>
  </si>
  <si>
    <t>SURGE STPT240K275V-4P AC230VAC 4P 40A</t>
  </si>
  <si>
    <t>SURGE PROTECTIVE OVR T1+2 3L 25</t>
  </si>
  <si>
    <t>SURGE MS230/3+1 125A</t>
  </si>
  <si>
    <t>SUPPORT VFM S7 2030 180</t>
  </si>
  <si>
    <t>SUPPORT VFM S13.5 2030 180</t>
  </si>
  <si>
    <t>SUPPORT VFM S11 2030 180</t>
  </si>
  <si>
    <t>SUPPORT VFM D7 2040 270</t>
  </si>
  <si>
    <t>SUPPORT VFM D13.5 2540 390</t>
  </si>
  <si>
    <t>SUPPORT VFM D13.5 2040 270</t>
  </si>
  <si>
    <t>SUPPORT VFM D13.5 2040 124</t>
  </si>
  <si>
    <t>SUPPORT VFM D11 2040 390</t>
  </si>
  <si>
    <t>SUPPORT VFM D11 2040 270</t>
  </si>
  <si>
    <t>SUPPORT VFM D11 2040 124</t>
  </si>
  <si>
    <t>Sub scription Service of Solid Works Premium 3Yrs.2019</t>
  </si>
  <si>
    <t>Stud hoider M8(01156)</t>
  </si>
  <si>
    <t>Stud hoider M4(01152)</t>
  </si>
  <si>
    <t>STOPPER TXE2</t>
  </si>
  <si>
    <t>STAR-DEL TA TIMER RELAY</t>
  </si>
  <si>
    <t>Special Core ZCT 80mm</t>
  </si>
  <si>
    <t>Special Core ZCT 40mm</t>
  </si>
  <si>
    <t>Socket Y92-F30</t>
  </si>
  <si>
    <t>SOCKET PYF-14A-E</t>
  </si>
  <si>
    <t xml:space="preserve">SOCKET PYF-08A-E </t>
  </si>
  <si>
    <t>SOCKET PTF14A-E</t>
  </si>
  <si>
    <t>SOCKET PF083A-E</t>
  </si>
  <si>
    <t>Socket P2RF-08E</t>
  </si>
  <si>
    <t>SOCKET 8PFA-1</t>
  </si>
  <si>
    <t>SINGLE NOZZLE S2.0 CODE AA501057</t>
  </si>
  <si>
    <t>SINGLE CONTACT BLOCK #22 1NO ZBE101</t>
  </si>
  <si>
    <t>SINGLE AIR HOSE 1/4 REF.H111 (สายลมเดี่ยว)</t>
  </si>
  <si>
    <t>SHUNT-OPENING RELEASES A1-2</t>
  </si>
  <si>
    <t>SHIPPING CHARGHE FROM KLANG PORT TO BKK</t>
  </si>
  <si>
    <t>SERVIICE เครื่องชั่ง DI-81P-150KG</t>
  </si>
  <si>
    <t>SERVICE-CHARGE(PROMOTION)-SERVICE1</t>
  </si>
  <si>
    <t>SELF CLINCHING MACHINE AFAB MODEL A618</t>
  </si>
  <si>
    <t>SELECTOR SWITCH BLACK 3POSITIONS 2NO</t>
  </si>
  <si>
    <t>SELECTOR SWITCH BLACK 2POSITIONS 1NO</t>
  </si>
  <si>
    <t>SELEATOR SWITCH #22 2POS STAY PUT RON</t>
  </si>
  <si>
    <t>ลวดเย็บกระดาษ ตราม้า #1 กลม</t>
  </si>
  <si>
    <t>SAFETY WEDGE X1 อะไหล่ปืนพ่นสี</t>
  </si>
  <si>
    <t>W&amp;G</t>
  </si>
  <si>
    <t>RUBBER FLEX COLLET FOR VTA TAPPER</t>
  </si>
  <si>
    <t>RO-PREVENTIVE</t>
  </si>
  <si>
    <t>RIVKLE P2007 POWER TOOL</t>
  </si>
  <si>
    <t>BOLLHOFF</t>
  </si>
  <si>
    <t>RIVKLE OPEN MANDREL M8</t>
  </si>
  <si>
    <t>RIVKLE OPEN MANDREL M6</t>
  </si>
  <si>
    <t>RIVKLE OPEN ANVIL D8</t>
  </si>
  <si>
    <t>RIVKLE OPEN ANVIL D6</t>
  </si>
  <si>
    <t>RIBBON LM-IR300B 1/50M</t>
  </si>
  <si>
    <t xml:space="preserve">Relay MY4N-GS 24VAC </t>
  </si>
  <si>
    <t xml:space="preserve">Relay MY4N-GS 220/240VAC </t>
  </si>
  <si>
    <t>RELAY MY2N-GS 220/240VAC</t>
  </si>
  <si>
    <t>RELAY MKS2P 220AC</t>
  </si>
  <si>
    <t>RELAY LY4N 220/240VAC</t>
  </si>
  <si>
    <t>RELAY G4Q-212S 220VAC</t>
  </si>
  <si>
    <t>Relay G2R-2SN(S)220VAC</t>
  </si>
  <si>
    <t>READY TO CLOSE FOR E2.2-E6.2</t>
  </si>
  <si>
    <t>QOVS RCBO 6KA 0.01A VD ACC 20A 1P 220-240V</t>
  </si>
  <si>
    <t>QOVS MCB 3P 20A 6KA TYPE C</t>
  </si>
  <si>
    <t>QOVS MCB 1P 16A 6KA TYPE C</t>
  </si>
  <si>
    <t>Pushbuttons XB4-BC21</t>
  </si>
  <si>
    <t>PUSHBUTTON XB4BC21</t>
  </si>
  <si>
    <t>PUSHBUTTON #22 YELLOW ZB4BA5</t>
  </si>
  <si>
    <t>PUSHBUTTON #22 RED ZB4BA4</t>
  </si>
  <si>
    <t>PUSHBUTTON #22 1NO+1NC 220-240V XB4BW33M5</t>
  </si>
  <si>
    <t>PUSHBUTTON #22 1NO XB4BA31</t>
  </si>
  <si>
    <t>PUSH BUTTON RED</t>
  </si>
  <si>
    <t>PUSH BUTTON GREEN</t>
  </si>
  <si>
    <t>PU FOAM GLUE B IP67-3 (25KG=2DRUM)</t>
  </si>
  <si>
    <t>DRUM</t>
  </si>
  <si>
    <t>PU FOAM GLUE A IP67-3 (25KG=8DRUM)</t>
  </si>
  <si>
    <t>Printed marker for 5mm</t>
  </si>
  <si>
    <t>Power supply S8VS-06024</t>
  </si>
  <si>
    <t>Power plug ปลั๊กตัวเมียฝัง  3P+N+E 16A</t>
  </si>
  <si>
    <t>Power plug ตัวเมียฝังกันน้ำ 3P+N+E 63A</t>
  </si>
  <si>
    <t>Power plug ตัวเมียเฉียง 3P+E+N 16A</t>
  </si>
  <si>
    <t>Power plug ตัวผู้กลางทาง 3P+E+N 16A</t>
  </si>
  <si>
    <t>POWER METER PM2230</t>
  </si>
  <si>
    <t>POLALIZED MIRROR CODE 79000849 DRAWING A98L-0001-0617/C</t>
  </si>
  <si>
    <t>PILOT LIGHT LED 240V YELLOW</t>
  </si>
  <si>
    <t>PILOT LIGHT LED 240V WHITE</t>
  </si>
  <si>
    <t>PILOT LIGHT LED 240V RED</t>
  </si>
  <si>
    <t>PILOT LIGHT LED 240V GREEN</t>
  </si>
  <si>
    <t>PILOT LIGHT LED 240V BLUE</t>
  </si>
  <si>
    <t>PILOT LIGHT APW146D-Y(22mm)</t>
  </si>
  <si>
    <t>PILOT LIGHT APW146D-S(22mm)</t>
  </si>
  <si>
    <t>PILOT LIGHT APW146D-R(22mm)</t>
  </si>
  <si>
    <t>PILOT LIGHT #22 230-240V (W)XB4BVM1</t>
  </si>
  <si>
    <t>PILOT LIGHT #22 230-240V (R)XB4BVM4</t>
  </si>
  <si>
    <t>PILOT LIGHT #22 230-240V (G)XB4BVM3</t>
  </si>
  <si>
    <t>PHASE MONTOR CM-MPS.43 300-500V</t>
  </si>
  <si>
    <t>PHASE MONTOR CM-MPS.31S 3X160-300V</t>
  </si>
  <si>
    <t>PATLITE RHB-230L-R 220V REVOLVING LIGHT</t>
  </si>
  <si>
    <t>OVERLOAD RALAY TF42-3.1</t>
  </si>
  <si>
    <t>OVERLOAD RALAY TF42-2.3</t>
  </si>
  <si>
    <t>OVERLOAD RALAY TF42-13</t>
  </si>
  <si>
    <t>OVERLOAD RALAY TF42-1.0</t>
  </si>
  <si>
    <t>OVERLOAD RALAY TF42-0.74</t>
  </si>
  <si>
    <t>OVERLOAD RALAY 2.5-4A CLASS 10A</t>
  </si>
  <si>
    <t>O-RING</t>
  </si>
  <si>
    <t>G&amp;R</t>
  </si>
  <si>
    <t>NSX630F 3P (36KA AT 380/415 V)MICROLOGIC 2.3 630A</t>
  </si>
  <si>
    <t>NOZZLE I GO6</t>
  </si>
  <si>
    <t>NOZZLE FIXATION-CPL</t>
  </si>
  <si>
    <t>NEW HEMMING DIE V=8 SIZE 835 MM CODE 104091 SH 00Sk 10</t>
  </si>
  <si>
    <t>MYD013-15W LED MOVABLE WORKINGLIGHT</t>
  </si>
  <si>
    <t>P-LITE</t>
  </si>
  <si>
    <t>MOTOR CIRCUIT BRWAKER GV2ME16</t>
  </si>
  <si>
    <t>MOTOR CIRCUIT BRWAKER GV2ME10</t>
  </si>
  <si>
    <t>MOTOR CIRCUIT BRWAKER GV2ME08</t>
  </si>
  <si>
    <t>MOTOR CIR CUIT BREAKER 6-10A GV2P14</t>
  </si>
  <si>
    <t>MOTOR CIR CUIT BREAKER 2.5-4A GV2P08</t>
  </si>
  <si>
    <t>MOBIL NUTO H46-1/20LT</t>
  </si>
  <si>
    <t>MOBIL</t>
  </si>
  <si>
    <t>MOBIL NUTO H32-1/20LT</t>
  </si>
  <si>
    <t>MIRKA ROS550CV 125mm ORBIT 5,0(S/N:0681628)</t>
  </si>
  <si>
    <t>MINIATURE RELAY LED 4C/O 230VAC 3A</t>
  </si>
  <si>
    <t>MINIATURE RELAY LED 2C/O 230VAC 5A</t>
  </si>
  <si>
    <t>MICRO SWITCH Z-15GQ22-B</t>
  </si>
  <si>
    <t xml:space="preserve">MICRO SWITCH TM-1307-1 </t>
  </si>
  <si>
    <t>MG EZC100 30KA/400V 3P/3T 60A</t>
  </si>
  <si>
    <t xml:space="preserve">MG EZC 100 7.5KA/400V 3P/3T 60A </t>
  </si>
  <si>
    <t>MECHANIEAL INTERLOCK TYPE A FIXED E2.2</t>
  </si>
  <si>
    <t>MCCB TMF40 3P 18KA</t>
  </si>
  <si>
    <t>MCCB NSX 250N 3P 250 A</t>
  </si>
  <si>
    <t>MCCB CVS250B TM250D 3P3D 380/415 VAC 25KA</t>
  </si>
  <si>
    <t>MCCB CVS250B TM200D 3P3D 380/415 VAC 25KA</t>
  </si>
  <si>
    <t>MCCB CVS100B TM800D 3P3D 380/415 VAC 25KA</t>
  </si>
  <si>
    <t>MCCB CVS100B TM50D 3P3D 380/415 VAC 25KA</t>
  </si>
  <si>
    <t>MCCB CVS100B TM32D 3P3D 380/415 VAC 25KA</t>
  </si>
  <si>
    <t>MCCB CVS100B TM16D 3P3D 380/415 VAC 25KA</t>
  </si>
  <si>
    <t xml:space="preserve">MCCB CVS 400F TM400D 3P 3D </t>
  </si>
  <si>
    <t>MCCB CVS 100B TM25D 3P 3D 380/415VAC 25KA</t>
  </si>
  <si>
    <t xml:space="preserve">MCCB A2C 250 TMF200 3P </t>
  </si>
  <si>
    <t>MCCB A1C125 3P 60A 25KA</t>
  </si>
  <si>
    <t>MCCB A1C125 3P 50A 25KA</t>
  </si>
  <si>
    <t>MCCB A1C125 3P 30A 25KA</t>
  </si>
  <si>
    <t>MCCB A1C125 3P 100A 25KA</t>
  </si>
  <si>
    <t>MCCB 3P EZC250F 150At/250AF 18KA 415VAC</t>
  </si>
  <si>
    <t>MCCB 3P EZC250F 125AT/250AF 18KA 415VAC</t>
  </si>
  <si>
    <t>MCCB 3P EZC100N 60AT/100AF 15KA 415VAC</t>
  </si>
  <si>
    <t>MCCB 3P 30AT/125AF 36KA</t>
  </si>
  <si>
    <t>MCCB 2P 30AT/125AF 50KA</t>
  </si>
  <si>
    <t>MCB SH203-C32</t>
  </si>
  <si>
    <t>MCB SH201-C63</t>
  </si>
  <si>
    <t>MCB SH201-C6</t>
  </si>
  <si>
    <t>MCB SH201-C50</t>
  </si>
  <si>
    <t>MCB SH201-C32</t>
  </si>
  <si>
    <t>MCB SH201-C20</t>
  </si>
  <si>
    <t>MCB SH201-C10</t>
  </si>
  <si>
    <t>MCB S203-C50 3P 10KA</t>
  </si>
  <si>
    <t>MCB IC60N 3P 32A C CURVE 10KA 400VAC</t>
  </si>
  <si>
    <t>MCB IC60N 2P 32A C CURVE 10KA 400VAC</t>
  </si>
  <si>
    <t>MCB IC60N 1P 32A C CURVE 10KA 400VAC</t>
  </si>
  <si>
    <t>MCB IC60N 1P 20A C CURVE 10KA 400VAC</t>
  </si>
  <si>
    <t>MCB IC60N 1P 16A C CURVE 10KA 400VAC</t>
  </si>
  <si>
    <t>MCB IC60N 1P 10A C CURVE 10KA 400VAC</t>
  </si>
  <si>
    <t>MCB 3P 50A 6KA</t>
  </si>
  <si>
    <t>MCB 3P 16A 10KA</t>
  </si>
  <si>
    <t>MCB 2P 20A 10KA</t>
  </si>
  <si>
    <t>MCB 2P 16A 10KA</t>
  </si>
  <si>
    <t>MCB 2P 10A 10KA</t>
  </si>
  <si>
    <t xml:space="preserve">MCB 1P 50A 6KA </t>
  </si>
  <si>
    <t>MCB 1P 32A 6KA</t>
  </si>
  <si>
    <t>MCB 1P 16A 6KA</t>
  </si>
  <si>
    <t>MAGNETIC TOOLS VMB 00(ฐานแม่เหล็กรูเกลียว)</t>
  </si>
  <si>
    <t>VERTEX</t>
  </si>
  <si>
    <t>MACHANICA INTERLOCK VEM4</t>
  </si>
  <si>
    <t>LOAD CDENTER MAIN BREAKER 100A 25KA 24WAYS</t>
  </si>
  <si>
    <t>LEVEL SWITCH 61F-G-AP</t>
  </si>
  <si>
    <t>KEY-LOCKHINGES HL-042บานพับผีเสื้อดำ</t>
  </si>
  <si>
    <t>KEY-LOCKHINGES HL-027</t>
  </si>
  <si>
    <t>KEY SWITCHES,2POS,1N/O+1N/C XB4BG45</t>
  </si>
  <si>
    <t>K CAM SWITCH K1F003MLH</t>
  </si>
  <si>
    <t>K CAM SWITCH 3L AND 3L-N 45 12A</t>
  </si>
  <si>
    <t>IVE UNIT 48/440V 50/60HZ 440V 60HZ</t>
  </si>
  <si>
    <t>Insulqation Tester</t>
  </si>
  <si>
    <t>INSULATOR TUBE 8.1x13.5x1829m</t>
  </si>
  <si>
    <t>INSTALL-AP100 v.5.20.05 AND DR.ABE v2.12.19</t>
  </si>
  <si>
    <t>INSERT SLEEVE TEFLON COMPLETE G90-1006485</t>
  </si>
  <si>
    <t>IC60N 2P 6A 10KA 400VAC</t>
  </si>
  <si>
    <t>IC60N 2P 63A C CURVE 10KA 400VAC</t>
  </si>
  <si>
    <t>IC60N 2P 3A 10KA 400VAC</t>
  </si>
  <si>
    <t>HYDROGEN PEROXIDE(PROMOTION)CODE 79000251</t>
  </si>
  <si>
    <t xml:space="preserve">HOSE CONNECTION </t>
  </si>
  <si>
    <t>KPS</t>
  </si>
  <si>
    <t>HING สีดำตัวใหญ่1-174-04</t>
  </si>
  <si>
    <t>HING สีเงิน1-170-03</t>
  </si>
  <si>
    <t>SH-80Y</t>
  </si>
  <si>
    <t>Heat Shrink G5 # 80   สีเหลือง</t>
  </si>
  <si>
    <t>SH-80B</t>
  </si>
  <si>
    <t>Heat Shrink G5 # 80   สีน้ำเงิน</t>
  </si>
  <si>
    <t>SH-80R</t>
  </si>
  <si>
    <t>Heat Shrink G5 # 80   สีแดง</t>
  </si>
  <si>
    <t>SH-80BK</t>
  </si>
  <si>
    <t>Heat Shrink G5 # 80   สีดำ</t>
  </si>
  <si>
    <t>SH-60Y</t>
  </si>
  <si>
    <t>Heat Shrink G5 # 60   สีเหลือง</t>
  </si>
  <si>
    <t>SH-60B</t>
  </si>
  <si>
    <t>Heat Shrink G5 # 60   สีน้ำเงิน</t>
  </si>
  <si>
    <t>SH-60R</t>
  </si>
  <si>
    <t>Heat Shrink G5 # 60   สีแดง</t>
  </si>
  <si>
    <t>SH-60BK</t>
  </si>
  <si>
    <t>Heat Shrink G5 # 60   สีดำ</t>
  </si>
  <si>
    <t>SH-50Y</t>
  </si>
  <si>
    <t>Heat Shrink G5 # 50   สีเหลือง</t>
  </si>
  <si>
    <t>SH-50B</t>
  </si>
  <si>
    <t>Heat Shrink G5 # 50   สีน้ำเงิน</t>
  </si>
  <si>
    <t>SH-50R</t>
  </si>
  <si>
    <t>Heat Shrink G5 # 50   สีแดง</t>
  </si>
  <si>
    <t>SH-50BK</t>
  </si>
  <si>
    <t>Heat Shrink G5 # 50   สีดำ</t>
  </si>
  <si>
    <t>SH-45BK</t>
  </si>
  <si>
    <t>Heat Shrink G5 # 45   สีดำ</t>
  </si>
  <si>
    <t>SH-45WH</t>
  </si>
  <si>
    <t>Heat Shrink G5 # 45   สีขาว</t>
  </si>
  <si>
    <t>SH-35Y</t>
  </si>
  <si>
    <t>Heat Shrink G5 # 35   สีเหลือง</t>
  </si>
  <si>
    <t>SH-35B</t>
  </si>
  <si>
    <t>Heat Shrink G5 # 35   สีน้ำเงิน</t>
  </si>
  <si>
    <t>SH-35R</t>
  </si>
  <si>
    <t>Heat Shrink G5 # 35   สีแดง</t>
  </si>
  <si>
    <t>SH-35BK</t>
  </si>
  <si>
    <t>Heat Shrink G5 # 35   สีดำ</t>
  </si>
  <si>
    <t>SH-35WH</t>
  </si>
  <si>
    <t>Heat Shrink G5 # 35   สีขาว</t>
  </si>
  <si>
    <t>Heat Shrink G5 # 30   สีน้ำตาล</t>
  </si>
  <si>
    <t>Heat Shrink G5 # 30   สีเทา</t>
  </si>
  <si>
    <t>SH-30BK</t>
  </si>
  <si>
    <t>Heat Shrink G5 # 30   สีดำ</t>
  </si>
  <si>
    <t>Heat Shrink G5 # 25   สีเหลือง</t>
  </si>
  <si>
    <t>Heat Shrink G5 # 25   สีน้ำเงิน</t>
  </si>
  <si>
    <t>Heat Shrink G5 # 25   สีแดง</t>
  </si>
  <si>
    <t>SH-25BK</t>
  </si>
  <si>
    <t>Heat Shrink G5 # 25   สีดำ</t>
  </si>
  <si>
    <t>SH-25WH</t>
  </si>
  <si>
    <t>Heat Shrink G5 # 25   สีขาว</t>
  </si>
  <si>
    <t>SH-20Y</t>
  </si>
  <si>
    <t>Heat Shrink G5 # 20   สีเหลือง</t>
  </si>
  <si>
    <t>Heat Shrink G5 # 20   สีน้ำตาล</t>
  </si>
  <si>
    <t>SH-20B</t>
  </si>
  <si>
    <t>Heat Shrink G5 # 20   สีน้ำเงิน</t>
  </si>
  <si>
    <t>Heat Shrink G5 # 20   สีเทา</t>
  </si>
  <si>
    <t>SH-20R</t>
  </si>
  <si>
    <t>Heat Shrink G5 # 20   สีแดง</t>
  </si>
  <si>
    <t>Heat Shrink G5 # 20   สีดำ</t>
  </si>
  <si>
    <t>SH-20WH</t>
  </si>
  <si>
    <t>Heat Shrink G5 # 20   สีขาว</t>
  </si>
  <si>
    <t>SH-16Y</t>
  </si>
  <si>
    <t>Heat Shrink G5 # 16   สีเหลือง</t>
  </si>
  <si>
    <t>Heat Shrink G5 # 16   สีน้ำตาล</t>
  </si>
  <si>
    <t>SH-16B</t>
  </si>
  <si>
    <t>Heat Shrink G5 # 16   สีน้ำเงิน</t>
  </si>
  <si>
    <t>Heat Shrink G5 # 16   สีเทา</t>
  </si>
  <si>
    <t>SH-16R</t>
  </si>
  <si>
    <t>Heat Shrink G5 # 16   สีแดง</t>
  </si>
  <si>
    <t>SH-16BK</t>
  </si>
  <si>
    <t>Heat Shrink G5 # 16   สีดำ</t>
  </si>
  <si>
    <t>SH-16WH</t>
  </si>
  <si>
    <t>Heat Shrink G5 # 16   สีขาว</t>
  </si>
  <si>
    <t>Heat Shrink G5 # 13   สีน้ำตาล</t>
  </si>
  <si>
    <t>Heat Shrink G5 # 13   สีเทา</t>
  </si>
  <si>
    <t>Heat Shrink G5 # 12   สีขาว</t>
  </si>
  <si>
    <t>SH-100Y</t>
  </si>
  <si>
    <t>Heat Shrink G5 # 100   สีเหลือง</t>
  </si>
  <si>
    <t>SH-100B</t>
  </si>
  <si>
    <t>Heat Shrink G5 # 100   สีน้ำเงิน</t>
  </si>
  <si>
    <t>SH-100R</t>
  </si>
  <si>
    <t>Heat Shrink G5 # 100   สีแดง</t>
  </si>
  <si>
    <t>SH-100BK</t>
  </si>
  <si>
    <t>Heat Shrink G5 # 100   สีดำ</t>
  </si>
  <si>
    <t>SH-10R</t>
  </si>
  <si>
    <t>Heat Shrink G5 # 10   สีแดง</t>
  </si>
  <si>
    <t>SHHB2-65</t>
  </si>
  <si>
    <t>Heat Shrink  แรงสูง HB2 # 65</t>
  </si>
  <si>
    <t>SHHB2-50</t>
  </si>
  <si>
    <t>Heat Shrink  แรงสูง HB2 # 50</t>
  </si>
  <si>
    <t>SHHB2-40</t>
  </si>
  <si>
    <t>Heat Shrink  แรงสูง HB2 # 40</t>
  </si>
  <si>
    <t>Heat Shrink  แรงสูง HB2 # 30</t>
  </si>
  <si>
    <t>HARMONY XB4 SINGLE CONTACT ZB4BZ101</t>
  </si>
  <si>
    <t>HARMONY XB4 SINGER CONTACT BLOCK ZB4BZ102</t>
  </si>
  <si>
    <t>HARMONY XB4 SELECTOR SWITCH ZB4BD3</t>
  </si>
  <si>
    <t>HARMONY XB4 SELECTOR SWITCH ZB4BD2</t>
  </si>
  <si>
    <t>HARMONY XB4 PB EMER XB4BS8442</t>
  </si>
  <si>
    <t>HARMONY XB4 PB EMER XB4BS8342</t>
  </si>
  <si>
    <t>GV2&amp;GV3 AUXILIARY GVAD1010</t>
  </si>
  <si>
    <t>GV2&amp;GV3 AUXILIARY GVAD0110</t>
  </si>
  <si>
    <t xml:space="preserve">GV2 CIRCUIT BREAKER MAGNETIC 25A SCREW CLAMP </t>
  </si>
  <si>
    <t>GRAVOGRAPH 2MATTE WHITE/BLACK</t>
  </si>
  <si>
    <t>GRAVOGRAPH 2MATTE BLACK/WHITE</t>
  </si>
  <si>
    <t>GRAVOGRAPH (CLEAR) WHITE</t>
  </si>
  <si>
    <t>GIFT VOUCHER@500.-</t>
  </si>
  <si>
    <t>FUSE XLP #00 3P</t>
  </si>
  <si>
    <t>Fuse Link NH00 Fuse Double Indicator gG-gL 125A</t>
  </si>
  <si>
    <t>LINDNER</t>
  </si>
  <si>
    <t>FUSE LINK #00 125A</t>
  </si>
  <si>
    <t>FUSE CONTROL 1P 10x38 6A</t>
  </si>
  <si>
    <t>FUSE CONTROL 1P 10x38 4A</t>
  </si>
  <si>
    <t>Fuse Base TL00/3 Bus-mounting Fuse Disconnector 3P 160A</t>
  </si>
  <si>
    <t>FORMULA DB12CL200</t>
  </si>
  <si>
    <t>FLUIDIZING TUBE</t>
  </si>
  <si>
    <t>FLATBAR 9x12x2340MM.</t>
  </si>
  <si>
    <t>FLATBAR 25x40x2340MM.</t>
  </si>
  <si>
    <t>FLATBAR 20x40x2340MM.</t>
  </si>
  <si>
    <t>FLATBAR 12x12x2340MM.</t>
  </si>
  <si>
    <t>Filter PMF25 6 นิ้ว</t>
  </si>
  <si>
    <t>Filter LS  VF-011 ซองลมสีดำ</t>
  </si>
  <si>
    <t>LS</t>
  </si>
  <si>
    <t>FILTER ELEMENT D9/4x27MM</t>
  </si>
  <si>
    <t>ETC209-32</t>
  </si>
  <si>
    <t>ERATH TERMINAL C 209-32</t>
  </si>
  <si>
    <t>ERATH TERMINAL C 209-22</t>
  </si>
  <si>
    <t>END PLATE TXA6</t>
  </si>
  <si>
    <t>END PLATE TXA3</t>
  </si>
  <si>
    <t>END PLATE TXA15</t>
  </si>
  <si>
    <t>END PLATE TXA10</t>
  </si>
  <si>
    <t>END PLATE TXA1</t>
  </si>
  <si>
    <t>ELECTRONIC TIMER CT-ERE</t>
  </si>
  <si>
    <t>ELECTRODE 1M F-03-01-TH SUS304</t>
  </si>
  <si>
    <t>ELECTRDE HOLDER PS-3S-AP</t>
  </si>
  <si>
    <t>Din Rail Barth Leakage Relay Din300-240VAC</t>
  </si>
  <si>
    <t>DIGITAL METER SPM33-V1</t>
  </si>
  <si>
    <t>E-POWER</t>
  </si>
  <si>
    <t>DIGITAL METER DIRIS A20</t>
  </si>
  <si>
    <t>SOCOMEC</t>
  </si>
  <si>
    <t>DI WATER 20 LITRE (PROMOTION) CODE 79000239</t>
  </si>
  <si>
    <t>DELTA INVERTER 3.7KW 5HP 380V 3PHASE</t>
  </si>
  <si>
    <t>DELTA</t>
  </si>
  <si>
    <t>DELTA INVERTER 0.4KW 1/2HP 220V 1PHASE</t>
  </si>
  <si>
    <t>CVS 100F TM800 3P 3D 380/415 VAC 36KA</t>
  </si>
  <si>
    <t>CT600/5 MSQ60</t>
  </si>
  <si>
    <t>CT400/5 MQS40</t>
  </si>
  <si>
    <t>CT400/5 BIG ONE</t>
  </si>
  <si>
    <t>CT3000/5 MSQ 130</t>
  </si>
  <si>
    <t>CT30/5 MSQ40</t>
  </si>
  <si>
    <t>CT250/5 MSQ40</t>
  </si>
  <si>
    <t>CT250/5 BIG ONE</t>
  </si>
  <si>
    <t>CT16000/5 BIG ONE</t>
  </si>
  <si>
    <t xml:space="preserve">CT1500/5 MSQ130 </t>
  </si>
  <si>
    <t>CT150/5 MQS40</t>
  </si>
  <si>
    <t>CT1000/5 AS5 10VA-CL0.5 Aperture 85</t>
  </si>
  <si>
    <t>CROMPTUN</t>
  </si>
  <si>
    <t>CT100/5 MSQ40</t>
  </si>
  <si>
    <t>CT 200/5 MQS40</t>
  </si>
  <si>
    <t>CRC CO CONTACT CLENER</t>
  </si>
  <si>
    <t>CRC AS1B-200/5 3.75VA</t>
  </si>
  <si>
    <t>COVER KEY สีเทา</t>
  </si>
  <si>
    <t>PCP Engineering</t>
  </si>
  <si>
    <t>COVER KEY สีครีม</t>
  </si>
  <si>
    <t xml:space="preserve">COUNTER H7EC-N </t>
  </si>
  <si>
    <t>Counter H7CN-XLN 100-240VAC</t>
  </si>
  <si>
    <t>CORD-END 6-12 สีดำ</t>
  </si>
  <si>
    <t>CORD-END 6-12 สีเขียว</t>
  </si>
  <si>
    <t>CORD-END 50-25 สีเขียว</t>
  </si>
  <si>
    <t>CORD-END 4.0-10 สีเทา</t>
  </si>
  <si>
    <t>CORD-END 35-1.6 สีเทา</t>
  </si>
  <si>
    <t>CORD-END 2.5-8 สีน้ำเงิน</t>
  </si>
  <si>
    <t>CORD-END 16-12 สีเขียว</t>
  </si>
  <si>
    <t>CORD-END 16-12 สีขาว</t>
  </si>
  <si>
    <t>CORD-END 10-12 สีน้ำตาล</t>
  </si>
  <si>
    <t>CORD-END 10-12 สีขาว</t>
  </si>
  <si>
    <t>CORD-END 1.5-8 สีแดง</t>
  </si>
  <si>
    <t>CORD-END 1.0-8 สีเหลือง</t>
  </si>
  <si>
    <t>CORD-END 1.0-8 สีแดง</t>
  </si>
  <si>
    <t>CORD-END 0.75-8 สีส้ม</t>
  </si>
  <si>
    <t>CORD-END 0.75-8 สีขาว</t>
  </si>
  <si>
    <t>CONTROL UNIT ATS 220VACFOR ATS 100-630A</t>
  </si>
  <si>
    <t>CONTROL UNIC ATS 220VAC FOR ATS800-1600A</t>
  </si>
  <si>
    <t>CONTACTORS AF12-30-10</t>
  </si>
  <si>
    <t>CONTACTORS AF09-30-10</t>
  </si>
  <si>
    <t>CONTACTOR LC1D25M7</t>
  </si>
  <si>
    <t>CONTACTOR LC1D09M7</t>
  </si>
  <si>
    <t>CONTACTOR 3P AC3 12A 220VAC</t>
  </si>
  <si>
    <t>Consumer Unit SCP-20</t>
  </si>
  <si>
    <t>Consumer Unit SCP-10</t>
  </si>
  <si>
    <t>Consumer Unit SCP-07</t>
  </si>
  <si>
    <t>COMB BUSBAR 3P 100A 12MOD</t>
  </si>
  <si>
    <t>CLASSIC C-UNIT 1PH 2W+G6 CCT(MAIN NOT INCLUDE)</t>
  </si>
  <si>
    <t>CLAMPING SLEEVE 3,2/DIA8x44 TTW 4500RO</t>
  </si>
  <si>
    <t>CIRCUIT CP30-BA 1P 2A</t>
  </si>
  <si>
    <t>Circuil Breaker FH204AC-63/0.03</t>
  </si>
  <si>
    <t>Circuil Breaker FH204AC-40/0.03</t>
  </si>
  <si>
    <t>Circuil Breaker FH202AC-63/0.03</t>
  </si>
  <si>
    <t>Circuil Breaker FH202AC-40/0.03</t>
  </si>
  <si>
    <t>CEMENTED CARBIDE 3.175x114x0.762</t>
  </si>
  <si>
    <t>SVOA</t>
  </si>
  <si>
    <t>CEMENTED CARBIDE 3.175x114x0.254</t>
  </si>
  <si>
    <t>CEMENTED CARBIDE 3.175x114x0.127</t>
  </si>
  <si>
    <t>CARTRIDGE GREASE(MSDS 700ML) CODE 74450994 DRAWING AL2-7</t>
  </si>
  <si>
    <t>CA4-01 NC คอนแทคช่วย</t>
  </si>
  <si>
    <t>C-30-MC-40 MASKING CAP</t>
  </si>
  <si>
    <t>C120N 2P 100A C 10000A 415V MINIATURE</t>
  </si>
  <si>
    <t>BS TECH PVC ปลอกสาย 3.2มิล</t>
  </si>
  <si>
    <t>BROTHER TR-100BK เทปผ้าหมึก</t>
  </si>
  <si>
    <t>BROTHER PT-E850TKWLI เครื่องพิมพ์ฉลาก</t>
  </si>
  <si>
    <t>BREAKER NF400-SW 3P 400A</t>
  </si>
  <si>
    <t>BREAKER NF125-SV 3P 100A</t>
  </si>
  <si>
    <t>BOXPLUG</t>
  </si>
  <si>
    <t>BOX ลอยเหล็ก</t>
  </si>
  <si>
    <t>BCB 2P 50A IC=10KA AT240/415VAC</t>
  </si>
  <si>
    <t>BCB 1P 25A IC=6KA AT240/415VAC</t>
  </si>
  <si>
    <t>BCB 1P 16A IC=16KA AT240/415VAC</t>
  </si>
  <si>
    <t>AUXILIARY CONTACT BLOCK 2N/O LADN20</t>
  </si>
  <si>
    <t>AUXILIARY CONTACT 2450</t>
  </si>
  <si>
    <t>AUTODESK AUTOCAD LT COMMERCIAL MAINTENANCE (1YEAR)</t>
  </si>
  <si>
    <t xml:space="preserve">KYOKKO </t>
  </si>
  <si>
    <t>AN ใบมีดล่าง DIE</t>
  </si>
  <si>
    <t>AN ใบมีดบน PUNCH</t>
  </si>
  <si>
    <t>Ampmeter AC96</t>
  </si>
  <si>
    <t>AMPMETER 96x96mm 400A AC96</t>
  </si>
  <si>
    <t>AMMETER SD-96A 400/5A</t>
  </si>
  <si>
    <t>AM SELECTOR 64x80mmSA16-4-61325-B13</t>
  </si>
  <si>
    <t>AH UROTHANC</t>
  </si>
  <si>
    <t>AH SPRING</t>
  </si>
  <si>
    <t>AH 12PUNCH</t>
  </si>
  <si>
    <t>AH 10C 0.8mm PUNCH&amp;DIE</t>
  </si>
  <si>
    <t>ACS-CP-C(BASIC CONTRON PANEL)</t>
  </si>
  <si>
    <t>ACS355-03E-23A1-4/11KW(15 HP)380-480V</t>
  </si>
  <si>
    <t>ACS355-03E-15A6-4/7.5KW(10 HP)380-480V</t>
  </si>
  <si>
    <t>ACS355-03E-12A5-4/5.5KW(7.5 HP)380-480V</t>
  </si>
  <si>
    <t>ACS355-03E-08A8-4/4KW(5 HP)380-480V</t>
  </si>
  <si>
    <t>ACS355-03E-07A3-4/3KW(4 HP)380-480V</t>
  </si>
  <si>
    <t>ACS355-03E-05A6-4/2.2KW(3 HP)380-480V</t>
  </si>
  <si>
    <t>ACS355-03E-04A1-4/1.5KW(2 HP)380-480V</t>
  </si>
  <si>
    <t>ACS355-03E-01A2-4/0.37KW(1/2 HP)380-480V</t>
  </si>
  <si>
    <t>ACS 5E RJ45 PATCH CORD 3M.</t>
  </si>
  <si>
    <t>30 HEMMING PUNCH (ONE TOUCH)SIZE 835MM CODE 210001 SH 00SK11</t>
  </si>
  <si>
    <t>ใบมีดคัตเตอร์ ออร์ก้า A-100 เล็ก 45 องศา(กล่อง 60ใบ)</t>
  </si>
  <si>
    <t>ล้อยูริเทนเหล็กหล่อ ขนาด 6" หน้ายาง 40mm โครงเชื่อม ล้อตาย</t>
  </si>
  <si>
    <t>ล้อยูริเทนเหล็กหล่อ ขนาด 6" หน้ายาง 40mm โครงเชื่อม ล้อเป็น</t>
  </si>
  <si>
    <t>ใบมีดคัตเตอร์ ออร์ก้า A-150 เล็ก 45 องศา(กล่อง 60ใบ)</t>
  </si>
  <si>
    <t>มีดคัตเตอร์สเตนเลส พัมคิน ST-201/45องศา</t>
  </si>
  <si>
    <t xml:space="preserve">พิมพ์ป้ายเหล็กเติมเต็ม </t>
  </si>
  <si>
    <t xml:space="preserve">คีมย้ำรีเวทตราหนวดกุ้ง </t>
  </si>
  <si>
    <t>คีมตัดสายไฟ KEIBA 6"</t>
  </si>
  <si>
    <t>KEIBA</t>
  </si>
  <si>
    <t xml:space="preserve">power miter MF96021A NEMO 96HD+ </t>
  </si>
  <si>
    <t>IME</t>
  </si>
  <si>
    <t>บานพับข้อศอกรุ่นหนา 5" ซ้าย</t>
  </si>
  <si>
    <t>บานพับข้อศอกรุ่นหนา 5" ขวา</t>
  </si>
  <si>
    <t>สีสเปร์ย เทาดำ P9001A MSP400ML (สั่งผสม)</t>
  </si>
  <si>
    <t>RCR</t>
  </si>
  <si>
    <t>ข้อต่อสายลม ขนาด 8x12mm 80PN</t>
  </si>
  <si>
    <t>ข้อต่อสายลม ขนาด 8x12mm 80SN</t>
  </si>
  <si>
    <t>PILOT LIGHT XB4BVG4</t>
  </si>
  <si>
    <t>PILOT LIGHT XB4BVG6</t>
  </si>
  <si>
    <t>PUSHBUTTON XB4BW35B5</t>
  </si>
  <si>
    <t>MCCB 2P EZC100H 30AT/100AF 50KA 220/240VAC 30KA 400/415VAC</t>
  </si>
  <si>
    <t>IC60N 2P 10A C CURVE 10KA 400VAC</t>
  </si>
  <si>
    <t>PUSHBUTTON ZB4BS844 RED</t>
  </si>
  <si>
    <t>PILOT LIGHT XB4BVG5  110-120V ORANGE</t>
  </si>
  <si>
    <t xml:space="preserve">PUSHBUTTON XB4BW33B5 1N/O 1N/C24V GREEN </t>
  </si>
  <si>
    <t>PUSHBUTTON  ZB4BA2 BLACK</t>
  </si>
  <si>
    <t>PILOT LIGHT XB4BVB3 LED 24V GREEN</t>
  </si>
  <si>
    <t>PILOT LIGHT XB4BVB4 LED 24V RED</t>
  </si>
  <si>
    <t>PILOT LIGHT XB4BVB1 LED 24V WHITE</t>
  </si>
  <si>
    <t>PILOT LIGHT XB4BVB5 LED 24V ORANGE</t>
  </si>
  <si>
    <t>เฟล็กซิเบิลลิงค์ 100/13/350</t>
  </si>
  <si>
    <t>โคมผนังรูปไข่ 2121C/BEC</t>
  </si>
  <si>
    <t>BEC</t>
  </si>
  <si>
    <t>หลอด ECO 3U 15W/CDL TFC</t>
  </si>
  <si>
    <t>ECO</t>
  </si>
  <si>
    <t>CONDUCTIVE SLEEVE</t>
  </si>
  <si>
    <t>WG</t>
  </si>
  <si>
    <t>OUTER NUT C4</t>
  </si>
  <si>
    <t>FLAT SPRAY NOZZLE X1</t>
  </si>
  <si>
    <t>สีฝุ่น HB 40001 METALLIC</t>
  </si>
  <si>
    <t>PILOT LIGHT XB4BVB6 25V LED</t>
  </si>
  <si>
    <t>Power Meter KWH 3P4W 6A 230/400V LCD DISPLAY CT/5A RS485 MODLE L34</t>
  </si>
  <si>
    <t>CYCET</t>
  </si>
  <si>
    <t xml:space="preserve">สตัดเกลียว 2ข้างๆละ 30 มิล M8x215 ชุบขาว </t>
  </si>
  <si>
    <t>Battery CR1220</t>
  </si>
  <si>
    <t>ค่าบริการตรวจเช็คเครื่อง ZK รุ่น U-160C หมายเลขเครื่อง 3502880440065</t>
  </si>
  <si>
    <t xml:space="preserve">CHANGE OVER/4/250A OT 250E04CP </t>
  </si>
  <si>
    <t>ETHANOL (SMALL BOTTLE) CODE 79000264</t>
  </si>
  <si>
    <t>OVERLOAD LRD-06</t>
  </si>
  <si>
    <t xml:space="preserve">XAC-S102 </t>
  </si>
  <si>
    <t>RELAY MY4N-GS 24VADC</t>
  </si>
  <si>
    <t xml:space="preserve">ผ้าใบ ฟ้า-ขาว  </t>
  </si>
  <si>
    <t>FUSE HOLDER 10*38</t>
  </si>
  <si>
    <t>ค่าพ่นสี หลังคา L,R ขนาด 1100*1920.5</t>
  </si>
  <si>
    <t>PK&amp;N</t>
  </si>
  <si>
    <t>lot</t>
  </si>
  <si>
    <t>บัสบาร์ทองแดง 50x5</t>
  </si>
  <si>
    <t>PHASE MMONITOR 300-500V CM-MPS.41S3</t>
  </si>
  <si>
    <t>ปลั๊กยาง 3ขา มีกราว</t>
  </si>
  <si>
    <t xml:space="preserve">ดอกสว่านโรตารี่ 6.5มิล </t>
  </si>
  <si>
    <t>HELLER</t>
  </si>
  <si>
    <t xml:space="preserve">ดอกสว่านโรตารี่ 8.0มิล </t>
  </si>
  <si>
    <t>Filter PMF12 4นิ้ว</t>
  </si>
  <si>
    <t>กาว 2 ตัน</t>
  </si>
  <si>
    <t>หินเจียรนัย 3/8"(หินชมพู)</t>
  </si>
  <si>
    <t>ใบเลื่อยตัดเหล็ก 18T</t>
  </si>
  <si>
    <t>1V-T4N320 R320 LSIG TMAX T4N320 R320 LSIG</t>
  </si>
  <si>
    <t xml:space="preserve">1W-CT EXT T4 320 </t>
  </si>
  <si>
    <t xml:space="preserve">1W-T4-T6,A3 SHUN TRIP </t>
  </si>
  <si>
    <t xml:space="preserve">เศษผ้าขนหนูเช็ดเครื่อง </t>
  </si>
  <si>
    <t>ISOFLEX TOPAS NB52(1KG)</t>
  </si>
  <si>
    <t>Kluber</t>
  </si>
  <si>
    <t>Dell 450-AEBM Single Hot-plug Power Supply ORDER NO.930676411</t>
  </si>
  <si>
    <t>ฟุตเหล็ก 12"</t>
  </si>
  <si>
    <t>กาวแท่ง สติ๊กโก้ ตราช้าง 40กรัม (10แท่ง/กล่อง)1x36</t>
  </si>
  <si>
    <t>ORIFICE/BUFFLE.U4167G02/003002 350A</t>
  </si>
  <si>
    <t>สีฝุ่น PR26/7178/CW3 สีดำเม็ดทราย ภายนอก</t>
  </si>
  <si>
    <t>OXYPLAST</t>
  </si>
  <si>
    <t xml:space="preserve">สีน้ำมัน เพนการ์ด อีนาเมล STD 136 </t>
  </si>
  <si>
    <t>JOTUN</t>
  </si>
  <si>
    <t>ทินเนอร์ #17 ขนาด 5 ลิตร</t>
  </si>
  <si>
    <t xml:space="preserve">MCB IC60N 3P 20A </t>
  </si>
  <si>
    <t>MOBILUX EP 0-1/18KG (จาระบี)</t>
  </si>
  <si>
    <t>พัดลม PMV250N ดูดลมเข้า 6"</t>
  </si>
  <si>
    <t xml:space="preserve">TIMER H3Y-2 30S 200-230VAC </t>
  </si>
  <si>
    <t>สก๊อตเทปใส 500,3/4"x36y เล็ก แพ็คประหยัด 6 ม้วน</t>
  </si>
  <si>
    <t>เทปเยื่อกาว 2หน้า โพลิซิล 1/2"x20 หลา</t>
  </si>
  <si>
    <t>DEL-PWSPLY-240W SFFHIP PWR SPLY 240W ORDER NO 930699035</t>
  </si>
  <si>
    <t>DELL</t>
  </si>
  <si>
    <t>สีฝุ่น FF110/302/C</t>
  </si>
  <si>
    <t>OVERLOAD REL 7A 10KA</t>
  </si>
  <si>
    <t xml:space="preserve">SELECTOR SWITCH HEAD 3 POSITIONS </t>
  </si>
  <si>
    <t>NC SCREW TERMINAL CONTACT</t>
  </si>
  <si>
    <t>โพลิเมอร์อุดรอย SISTA 380ML  WH</t>
  </si>
  <si>
    <t xml:space="preserve">ต่อลด 1"x3/4" </t>
  </si>
  <si>
    <t>ข้องอ 90 1"</t>
  </si>
  <si>
    <t>ข้องอ 45 1"</t>
  </si>
  <si>
    <t>ท่อPVC 1"</t>
  </si>
  <si>
    <t>เส้น</t>
  </si>
  <si>
    <t>ต่อตรง 1"</t>
  </si>
  <si>
    <t>ก้ามปู 1"</t>
  </si>
  <si>
    <t>ก้ามปู 3/4"</t>
  </si>
  <si>
    <t>กาวทาท่อน้ำไทย 250g</t>
  </si>
  <si>
    <t>Silica Gel Blue 1000g</t>
  </si>
  <si>
    <t xml:space="preserve">เบรกเกอร์ NF32-SV 3P32A </t>
  </si>
  <si>
    <t xml:space="preserve">COUNTER H7EC-NFV </t>
  </si>
  <si>
    <t>ค่าซ่อม UPS 2kVA SURT2000XLi S/N QS1520141051(APC)</t>
  </si>
  <si>
    <t>APC</t>
  </si>
  <si>
    <t xml:space="preserve">จานวัดองศา NO.19 </t>
  </si>
  <si>
    <t>SHINWA</t>
  </si>
  <si>
    <t>คาปาซิเตอร์ 3.5UF 450WV.AC</t>
  </si>
  <si>
    <t>Die Compl (Rep.id.of 088508,1264394/1)</t>
  </si>
  <si>
    <t>Pin</t>
  </si>
  <si>
    <t>Ring</t>
  </si>
  <si>
    <t>Feed-Through Block ,Grey WT2.5 #58.503.0055.0</t>
  </si>
  <si>
    <t>End Plate WT2.5-10 #07.313.2555.0</t>
  </si>
  <si>
    <t>ม่านพลาสติกเหลือง กันแมลง กันกระแทก ขนาด 200*2 มิล ยาว 50 เมตร</t>
  </si>
  <si>
    <t>กาวร้อน BT-33</t>
  </si>
  <si>
    <t>CLERANER&amp;POLISH STANLESS STEEL 3M</t>
  </si>
  <si>
    <t>AM1-AP-2A</t>
  </si>
  <si>
    <t>ชุดลูกล้อบานเลื่อนประตูล้อเหลือง</t>
  </si>
  <si>
    <t>ชุดลูกล้อบานเลื่อนประตูลูกล้อขาว</t>
  </si>
  <si>
    <t>รางลูกล้อไซเลนส์รุ่นหนาไม่มีปลีก อโนไดซ์</t>
  </si>
  <si>
    <t>ชำระส่วนที่เหลือ ค่าเครื่องพิมพ์ UV ยี่ห้อ IQDIMY รุ่น MAGLEV</t>
  </si>
  <si>
    <t>MCB S292-C100</t>
  </si>
  <si>
    <t>เพาเวอร์ปลั๊ก 5P 32A 400V IP67</t>
  </si>
  <si>
    <t>CT300/5 MSQ40</t>
  </si>
  <si>
    <t>สายโทรศัพท์ 4Cx24PD (4x0.5)</t>
  </si>
  <si>
    <t xml:space="preserve">MCCB T4N 320 PR221DS-LS/I IN 320 3P </t>
  </si>
  <si>
    <t>MCB S202-C32</t>
  </si>
  <si>
    <t>MCB S202-C40</t>
  </si>
  <si>
    <t>MCB S202-C50</t>
  </si>
  <si>
    <t>LED FULL SET T8 10W 6500K ยาว=18W</t>
  </si>
  <si>
    <t>LAMAN</t>
  </si>
  <si>
    <t>CT1200/5 MSQ100</t>
  </si>
  <si>
    <t>เวอร์เนีย 6"</t>
  </si>
  <si>
    <t>MITUTOYO</t>
  </si>
  <si>
    <t>SOLENIOD VALE(NON EX-PROOF) 220V NC1"</t>
  </si>
  <si>
    <t>PARKER</t>
  </si>
  <si>
    <t>INFRA-RED BURNER/6ช่อง</t>
  </si>
  <si>
    <t>SCWANK</t>
  </si>
  <si>
    <t xml:space="preserve">เบรกเกอร์ A1N125 2P 100A 50KA </t>
  </si>
  <si>
    <t xml:space="preserve">เบรกเกอร์ A1C125 1P 20A 18KA </t>
  </si>
  <si>
    <t>Terminal block TX400</t>
  </si>
  <si>
    <t>Cover TRB40N</t>
  </si>
  <si>
    <t>บูชกลึง M6 ไม่ทำเกลีบว</t>
  </si>
  <si>
    <t>โซ๊คแก๊สกระบอก (NO.CS.05301)60N</t>
  </si>
  <si>
    <t>MULTI-FUNCTION TIMING RELAY 24.240V AC/DC 1C/O</t>
  </si>
  <si>
    <t>พิมพ์ UV ลงบนแผ่นสเตนเลส 192x31.8ซม.</t>
  </si>
  <si>
    <t>CT50/5 MSQ40</t>
  </si>
  <si>
    <t xml:space="preserve">MCCB A1N125 TMF 50A 3P </t>
  </si>
  <si>
    <t xml:space="preserve">MCCB A1N125 TMF 40A 3P </t>
  </si>
  <si>
    <t xml:space="preserve">MCCB A1N125 TMF 20A 3P </t>
  </si>
  <si>
    <t>LED FULL SET T8 4W 6500K ยาว 30ซม</t>
  </si>
  <si>
    <t>SSD(5Y)250.GB WD Black M.2 PCIe</t>
  </si>
  <si>
    <t>แอดไวซ์</t>
  </si>
  <si>
    <t>ค่าบริการงานเคลม</t>
  </si>
  <si>
    <t>Intuos Pen S,Bluetooth WACOM</t>
  </si>
  <si>
    <t>SSD(5Y)250.GB WD Blue M.2 2280</t>
  </si>
  <si>
    <t>LED 27" DELL SE2719H (IPS,HDMI,VGA) CNOXPY95FCC008AHA70B</t>
  </si>
  <si>
    <t>PC DELL V OSTRO V3670-W268956118 THW10(BLAVK)</t>
  </si>
  <si>
    <t>PC DELL V OSTRO V3670-W268956114 THW10(BLAVK)</t>
  </si>
  <si>
    <t xml:space="preserve">สเปร์ยโฟม SISTA M525 750ML </t>
  </si>
  <si>
    <t>แม่เหล็กแรงสูง 10mmx3mm วงใน 3.5mm</t>
  </si>
  <si>
    <t>เครื่องคิดเลข CASIO AX-120 B 12หลัก</t>
  </si>
  <si>
    <t>เครื่องคิดเลข AX-120ST</t>
  </si>
  <si>
    <t>CASIO</t>
  </si>
  <si>
    <t>ถ่านอัคาไลน์ Panasonic D (แพ็ค 2ก้อน)</t>
  </si>
  <si>
    <t>ถ่านอัลคาไลน์ 9V panasonic</t>
  </si>
  <si>
    <t>ถ่านอัลคาไลน์ Panasonic AA (แพ็ค 8ก้อน)</t>
  </si>
  <si>
    <t>ถ่านอัลคาไลน์ panasonic AAA (แพ็ค 8ก้อน)</t>
  </si>
  <si>
    <t xml:space="preserve">ดินสอ HB Norice Rainbow คละสี 50แท่ง </t>
  </si>
  <si>
    <t>เฟสโปรเทคเตอร์ WOP-4 380V 3P4W</t>
  </si>
  <si>
    <t>WIP</t>
  </si>
  <si>
    <t xml:space="preserve">สีเพนการ์ด อีนาเมล STD 136 </t>
  </si>
  <si>
    <t>ทินเนอร์ #17 โจตัน</t>
  </si>
  <si>
    <t>Powder tube PEM-X1 ET</t>
  </si>
  <si>
    <t>Collector nozzle PI-F1</t>
  </si>
  <si>
    <t>สีฝุ่น FF110/305/C</t>
  </si>
  <si>
    <t>สกรูหัวจม M6x30 ชุบขาว</t>
  </si>
  <si>
    <t>MCCB 1P EZC100H 50AT/100AF 25KA 220/240VAC</t>
  </si>
  <si>
    <t>MCCB CVS100B TMD 3P 100A</t>
  </si>
  <si>
    <t>UNDERVOLTAGE RELEASE(MN)220-240VAC 50/60HZ FOR NXS,CVS</t>
  </si>
  <si>
    <t>MCCB 3P EZC250N 200AT/250AF 25KA 415VAC</t>
  </si>
  <si>
    <t>MCCB 3P EZC100F 100AT/100AF 10KA 415VAC</t>
  </si>
  <si>
    <t>MCCB 3P EZC100N 50AT/100AF 15KA 415VAC</t>
  </si>
  <si>
    <t>MCCB 3P EZC250F 160AT/250AF 18KA 415VAC</t>
  </si>
  <si>
    <t>อะไหล่ชักโครก</t>
  </si>
  <si>
    <t xml:space="preserve">ประแจแหวนปากตาย #8x10 </t>
  </si>
  <si>
    <t>ไขควงปากแฉก #2</t>
  </si>
  <si>
    <t>CHAMPION</t>
  </si>
  <si>
    <t>ไขควงปากแบน #6</t>
  </si>
  <si>
    <t>เกียงโป๊วสี ขนาด 2"</t>
  </si>
  <si>
    <t>เกียงโป๊วสี ขนาด 4"</t>
  </si>
  <si>
    <t xml:space="preserve">CAP 10UF 250V </t>
  </si>
  <si>
    <t>คลองถม</t>
  </si>
  <si>
    <t>ดอกสว่าน นาซิ L/N 500 7.0มิล</t>
  </si>
  <si>
    <t>ดอกสว่าน นาซิ L/N 500 12.0มิล</t>
  </si>
  <si>
    <t>PILOT LAMP CLEAR 110-130VAC</t>
  </si>
  <si>
    <t>PILOT LAMP RED 110-130VAC</t>
  </si>
  <si>
    <t>PILOT LAMP YELLOW 110-130VAC</t>
  </si>
  <si>
    <t>PILOT LAMP BLUE 110-130VAC</t>
  </si>
  <si>
    <t>ดินสอดำ 2B (แพ็ค 50แท่ง) สเต็ดเลอร์</t>
  </si>
  <si>
    <t>ปากกาลูกลื่น 0.7มม.(50ด้าม)</t>
  </si>
  <si>
    <t>แบตเตอรี่แห้ง SAB12-5.4 AH</t>
  </si>
  <si>
    <t>อมร</t>
  </si>
  <si>
    <t>ลูกลอยแท้งน้ำ 1/2"</t>
  </si>
  <si>
    <t>ข้องอ PVC 1/2"</t>
  </si>
  <si>
    <t>ต่อตรงเกลียวนอก 1/2"</t>
  </si>
  <si>
    <t>พัดลมระบายอากาศ PMV12.00110</t>
  </si>
  <si>
    <t>PRIMUS</t>
  </si>
  <si>
    <t>REVKLE OPEN ANVILL D10 STD</t>
  </si>
  <si>
    <t>ผ้าเช็ดหัวพิมพ์</t>
  </si>
  <si>
    <t>MCB S202-C63</t>
  </si>
  <si>
    <t>HARMONY XAC ROUND HEAD FOR PUSHBUTTUN WHITE BOOTED</t>
  </si>
  <si>
    <t>HARMONY XAC ROUND HEAD FOR PUSHBUTTUN BLACK BOOTED</t>
  </si>
  <si>
    <t xml:space="preserve">HARMONY XAC PROTECTIVE GUARD FOR SELECTOR SWITCH </t>
  </si>
  <si>
    <t>HARMONY XB5 EMERGENCY STOP SWITCHING OFFHEAD RED</t>
  </si>
  <si>
    <t>METHYLENE CHLORIDE 260KG</t>
  </si>
  <si>
    <t>LE-33-11 LATCH</t>
  </si>
  <si>
    <t>REGULATOR CO2 HEATER 220V/NETWELD X600</t>
  </si>
  <si>
    <t>NETWELD</t>
  </si>
  <si>
    <t>น้ำยาทำความสะอาดหัวปืน</t>
  </si>
  <si>
    <t>HAK316#Model SPC25DS/3+1 Lightning arresters-varistor type 1+ 2 100ka</t>
  </si>
  <si>
    <t>HAK3607#PIIIM-275DS Surge arrester class II Max discharge current 8/20 50ka</t>
  </si>
  <si>
    <t>EASYPACT EZC250G TMD MCCB 3P 200A</t>
  </si>
  <si>
    <t>MG EZC 100 10KA/400 3P/3T 80A</t>
  </si>
  <si>
    <t>MG</t>
  </si>
  <si>
    <t>MG EZC 100 10KA/400 3P/3T 60A</t>
  </si>
  <si>
    <t>MG EZC 100 10KA/400 3P/3T 40A</t>
  </si>
  <si>
    <t>MG EZC 100 10KA/400 3P/3T 30A</t>
  </si>
  <si>
    <t>FUSE NHI 100A 100VDC</t>
  </si>
  <si>
    <t>IDEA</t>
  </si>
  <si>
    <t>FUSE BASE NHI 1P 100VDC</t>
  </si>
  <si>
    <t>ปากกาเน้นข้อความสีชมพู H111</t>
  </si>
  <si>
    <t>ตราม้า</t>
  </si>
  <si>
    <t>ปากกาเน้นข้อความสีเหลือง H111</t>
  </si>
  <si>
    <t>ปากกาเน้นข้อความ ชมพู ควอนตั้ม QH-711</t>
  </si>
  <si>
    <t>ปากกาเน้นข้อความ เหลือง ควอนตั้ม QH-710</t>
  </si>
  <si>
    <t>กิ๊บรัดสลิง 3/8"</t>
  </si>
  <si>
    <t>Univerasal pliers 180mm 1000v</t>
  </si>
  <si>
    <t>1000v insulated scewdrivers slotted 8x175</t>
  </si>
  <si>
    <t>1000v insulated scewdrivers PH3</t>
  </si>
  <si>
    <t>Ratcheting ring wrench 4 in 1 10/13/17/19mm</t>
  </si>
  <si>
    <t>Pliers with long straight half-round noses 200mm 1000v</t>
  </si>
  <si>
    <t>Set of 9 BTR keys</t>
  </si>
  <si>
    <t xml:space="preserve">Go thru sockets 38 pces </t>
  </si>
  <si>
    <t>Roll og tape 20mx19mmx0.15</t>
  </si>
  <si>
    <t>ADAPTER FOR ROUND KP0040</t>
  </si>
  <si>
    <t xml:space="preserve">STP </t>
  </si>
  <si>
    <t>MCCB A1C125 TMF40 3P 25KA</t>
  </si>
  <si>
    <t>MCCB A1C125 TMF125 3P 25KA</t>
  </si>
  <si>
    <t>MCCB A2C125 TMF160 3P 25KA</t>
  </si>
  <si>
    <t>MCCB A3N630 TMF500 3P  36KA</t>
  </si>
  <si>
    <t>MCCB A3N400 TMF320 3P 36KA</t>
  </si>
  <si>
    <t>พุกตะปู 1270</t>
  </si>
  <si>
    <t>BUSHM10A</t>
  </si>
  <si>
    <t>บูชกลึง M18x20ต๊าปเกลียวใน M10</t>
  </si>
  <si>
    <t>CONRACTS BLOCK</t>
  </si>
  <si>
    <t>CT500/5MSQ60</t>
  </si>
  <si>
    <t>สติ๊กเกอร์ลูกศร พีวีซี ขาวมัน ขนาดเส้นผ่าศูนย์กลาง 0.9มิลพิมพ์ 1สี(ซิลค์) 1หน้า ไดคัทวงกลม</t>
  </si>
  <si>
    <t xml:space="preserve">PILOT LIGHT D16W 22MM </t>
  </si>
  <si>
    <t>Voltmeter 96x96mm 150V AC96</t>
  </si>
  <si>
    <t>AmpmetER 96x96mm 100A AC96</t>
  </si>
  <si>
    <t>Shunt 100A 60mv</t>
  </si>
  <si>
    <t>เบรกเกอร์ NF250-SGV 3P 175-250A</t>
  </si>
  <si>
    <t>UNDER VOLTAGE 220V</t>
  </si>
  <si>
    <t>HRC FUSE #0 125A 500V</t>
  </si>
  <si>
    <t>ITALWEBER</t>
  </si>
  <si>
    <t>FUSSE BASE 160A #00</t>
  </si>
  <si>
    <t>ATS CONTROLLER COMPLETE OF FUNCTION OEC-01</t>
  </si>
  <si>
    <t>ONEC</t>
  </si>
  <si>
    <t xml:space="preserve">TIME SWITCH QUARTZ </t>
  </si>
  <si>
    <t>MECOMB</t>
  </si>
  <si>
    <t>คีมผูกลวดปากเฉียง SOLO 6"</t>
  </si>
  <si>
    <t>เต้ารับเดี่ยว WEG-10919H</t>
  </si>
  <si>
    <t>เต้ารับเดี่ยว WEG1191-HK 2P+G</t>
  </si>
  <si>
    <t xml:space="preserve">ปลั๊กกราวคู่ WEG15929H </t>
  </si>
  <si>
    <t>เต้ารับคอม CAT6 WEG24886H</t>
  </si>
  <si>
    <t xml:space="preserve">ฝา WEG -6801MB </t>
  </si>
  <si>
    <t>ฝาพลาสติก 2ช่อง WEG6803MB</t>
  </si>
  <si>
    <t>สวิทซ์ทางเดียว WEG-5001HK</t>
  </si>
  <si>
    <t>สวิทซ์สามทางสีเทา WEG5002HK</t>
  </si>
  <si>
    <t>ฝา WEG68029MB</t>
  </si>
  <si>
    <t>ปลั๊กโทรศัพท์ WEG2164H</t>
  </si>
  <si>
    <t>BREAKER BW630RAG-CE 3P 630A</t>
  </si>
  <si>
    <t>FUJI</t>
  </si>
  <si>
    <t>TIMER MIL72E/1 TACTIC 211.2</t>
  </si>
  <si>
    <t>TMAX-XT1N160 TMD50 3P 36KA</t>
  </si>
  <si>
    <t>TMAX-XT1N160 TMD32 3P 36KA</t>
  </si>
  <si>
    <t>MCB S202M-C6 2P C6</t>
  </si>
  <si>
    <t>TMAX-XT1N160 TMD100 3P 36KA</t>
  </si>
  <si>
    <t>MCCB A1N125 TMF20 1P</t>
  </si>
  <si>
    <t>MCCB A1N125 TMF30 1P</t>
  </si>
  <si>
    <t>MCCB A1N125 TMF60 1P</t>
  </si>
  <si>
    <t>MCCB A1N125 TMF60 3P</t>
  </si>
  <si>
    <t>ห่วงตู้ M12 SUS</t>
  </si>
  <si>
    <t>แหวนอีแปะ M12 SUS</t>
  </si>
  <si>
    <t xml:space="preserve">แหวนสปริง M12 SUS </t>
  </si>
  <si>
    <t>หัวน็อต M12 SUS</t>
  </si>
  <si>
    <t>สกรูหัวจม M10x45 ชุบขาว</t>
  </si>
  <si>
    <t>CONTACT TIP 0.8 SP240</t>
  </si>
  <si>
    <t>น๊อตเกจ์ CO2 SP-238</t>
  </si>
  <si>
    <t xml:space="preserve">แกนเกจ์ CO2 SP-238-1 เกลียว 1.5 </t>
  </si>
  <si>
    <t>ล้อไนล่อน 3" หน้ายาง 32 โครงปั้มมีเบรค ล้อเป็น</t>
  </si>
  <si>
    <t xml:space="preserve">SWITCH V-153-1C25 </t>
  </si>
  <si>
    <t>ไมโครสวิทซ์ TM1307</t>
  </si>
  <si>
    <t>PUSHBUTTON XB4BS844</t>
  </si>
  <si>
    <t>สกรูหัวจม M8x20</t>
  </si>
  <si>
    <t>โฮลซอล์ 30มิล</t>
  </si>
  <si>
    <t>ปากกาเน้นข้อความ ส้ม ควอนตั้ม QH-712</t>
  </si>
  <si>
    <t>ปากกาเพ้นท์ 2มม ทอง XPMK-B41502</t>
  </si>
  <si>
    <t>ปากกาเพ้นท์ 2มม เงิน XPMK-B41502</t>
  </si>
  <si>
    <t xml:space="preserve">แปรงถ่านสว่านไฟฟ้า METABO </t>
  </si>
  <si>
    <t>METABO</t>
  </si>
  <si>
    <t>CVS160F TM160D 3P3D 380/415 VAC36KA</t>
  </si>
  <si>
    <t>CVS400N TM320D 3P3D 380/415 VAC50KA</t>
  </si>
  <si>
    <t>AmpmetER 96x96mm 100/5</t>
  </si>
  <si>
    <t>Voltmeter 96x96mm 500V</t>
  </si>
  <si>
    <t>เครื่องเจาะบัตร วงรี เงิน แซนโก้ SK-6640</t>
  </si>
  <si>
    <t>สติ๊กเกอร์ม้วน โมเทค MX-6600S</t>
  </si>
  <si>
    <t>ลูกยางหมึก 18มม. โมแพ็ค MX-600S</t>
  </si>
  <si>
    <t xml:space="preserve">สายชักโครก </t>
  </si>
  <si>
    <t xml:space="preserve">สีสเปร์ยโครเมียม </t>
  </si>
  <si>
    <t>ชอล์คหิน</t>
  </si>
  <si>
    <t>BREAKER NF63 CV 3P 32A</t>
  </si>
  <si>
    <t>BUSHING SD-20/55</t>
  </si>
  <si>
    <t>เซาท์อิส</t>
  </si>
  <si>
    <t>สีฝุ่น FF1655/829/CW</t>
  </si>
  <si>
    <t>ท่อกลมสเตนเลส 1" T1.2mm</t>
  </si>
  <si>
    <t>ท่อกลมสเตนเลส 1-1/2" T1.2mm</t>
  </si>
  <si>
    <t>ขาปรับระดับกลม 1-1/2"</t>
  </si>
  <si>
    <t>จานทรายผ้าคิงส์ (ครอบขาโต๊ะ1-1/2")</t>
  </si>
  <si>
    <t>RELAY RXZ RELAY SOCKET 7A 250V</t>
  </si>
  <si>
    <t>BREAKER NF125-CV 3P80A</t>
  </si>
  <si>
    <t>BREAKER NF63-CV 3P50A</t>
  </si>
  <si>
    <t>BREAKER NF63-CV 3P40A</t>
  </si>
  <si>
    <t>T-001304 Variable RA30Y25SB202 2KOHM TOCOS</t>
  </si>
  <si>
    <t>KNOB SATO 2901-M</t>
  </si>
  <si>
    <t>พัดลมดูดอากาศ 4.5" WB123A-2LG+ตะแกรง G120</t>
  </si>
  <si>
    <t>ซองเอนกประสงค์ A4 0.05 mm (20ซอง )ตราช้าง</t>
  </si>
  <si>
    <t>5LBS NALF 24-6/275 Disconnecting Sw.24kv 630A Type NALF</t>
  </si>
  <si>
    <t xml:space="preserve">Fuse Link 24kv 63A 442MM </t>
  </si>
  <si>
    <t>ล้อยูริเทนเหล็กหล่อ 4" หน้ายาง 40มิล โครงเชื่อมล้อเป็น</t>
  </si>
  <si>
    <t>ล้อยูริเทนเหล็กหล่อ 4" หน้ายาง 40มิล โครงเชื่อมล้อตาย</t>
  </si>
  <si>
    <t>1 1/4"(B)UPWARD LANCE SET ASSY W=10XH=5(OUT-OUT)SPC1.2MM CODE YSA001 SH00 SK 03</t>
  </si>
  <si>
    <t>เทปผ้าหมึก BROTHER TR-100BK</t>
  </si>
  <si>
    <t xml:space="preserve">BROTHER </t>
  </si>
  <si>
    <t>เกย์ NITROGEN HARRIS รุ่น 25GX-10-N2</t>
  </si>
  <si>
    <t>HARRIS</t>
  </si>
  <si>
    <t>ใบเจียร์หนา 7" 180x6x22mm A24Q</t>
  </si>
  <si>
    <t>NOVA</t>
  </si>
  <si>
    <t>NOZZLE CONICAL SP-150 12x53 BINZEL</t>
  </si>
  <si>
    <t>NOZZLE 200A REF.U4186L00</t>
  </si>
  <si>
    <t>สกรูหัวเหลี่ยม SUS M12x80</t>
  </si>
  <si>
    <t>สีฝุ่น สีเหลือง M44004AQ</t>
  </si>
  <si>
    <t>ค่าแรงล้างรูในบูช M16x18mm รูในM 6</t>
  </si>
  <si>
    <t>MCCB T5S630R630A PR221DS/P-LS/1 3P 50A</t>
  </si>
  <si>
    <t xml:space="preserve">MCCM A1N 3P 70A </t>
  </si>
  <si>
    <t>เทปกาวใส 2"x45 หลา(แพ็ค 6ม้วน)</t>
  </si>
  <si>
    <t>เทปใสแกน 1" 3/4"x36 หลา (แพ็ค6ม้วน)</t>
  </si>
  <si>
    <t>เม้าท์ออฟติคัล สีดำ M100R</t>
  </si>
  <si>
    <t>LOGITECH</t>
  </si>
  <si>
    <t>รอกโซ่ไฟฟ้า BLACK BEAR รุ่น YSL-200+MT200</t>
  </si>
  <si>
    <t>BLACK BEAR</t>
  </si>
  <si>
    <t>ปลอกแขนเชื่อม(ไม่มีชับใน)</t>
  </si>
  <si>
    <t>คาปาซิเตอร์ 1.5UF 400WV.AC</t>
  </si>
  <si>
    <t>ตะไบเพชรชุด</t>
  </si>
  <si>
    <t>SETRONIC LAMPTON 18W</t>
  </si>
  <si>
    <t>LAMPTON</t>
  </si>
  <si>
    <t>CONTACT TIP 0.8 M8 CrCuZr/D8x35</t>
  </si>
  <si>
    <t>IME-MF7FT40046 NEMO72L A230V 5A 450V RS485 S/N3299930162</t>
  </si>
  <si>
    <t>SURGE ARRESTER 3P+N 350V W/REMOTE TRANSFERT</t>
  </si>
  <si>
    <t xml:space="preserve">รองเท้าเซฟตี้ Perch รุ่น inov </t>
  </si>
  <si>
    <t>Perch</t>
  </si>
  <si>
    <t>COVER TRB10N</t>
  </si>
  <si>
    <t>ปูนทีพีไอ แดง</t>
  </si>
  <si>
    <t>ยูโบล์ท 3/4"</t>
  </si>
  <si>
    <t>ช่องลมสีดำ</t>
  </si>
  <si>
    <t>MS</t>
  </si>
  <si>
    <t>ปลอกหุ้มหางปลา V-5.5สีดำ</t>
  </si>
  <si>
    <t>ปลอกหุ้มหางปลา V-5.5สีเทา</t>
  </si>
  <si>
    <t>ปลอกหุ้มหางปลา V-5.5สีฟ้า</t>
  </si>
  <si>
    <t xml:space="preserve">หางปลาสองชั้น SL50-6 </t>
  </si>
  <si>
    <t>ปากกาจับเหล็กตั้งโต๊ะ STANLEY 81-603</t>
  </si>
  <si>
    <t>STANLEY</t>
  </si>
  <si>
    <t>ลูกผ้ายีนส์ 8x1/2"</t>
  </si>
  <si>
    <t>ยาขัดก้อนเขียว</t>
  </si>
  <si>
    <t>พัดลม HATARI รุ่น IT-18 M2 ขนาด 18" สีขาว</t>
  </si>
  <si>
    <t xml:space="preserve">พลาสติกใสม้วนยาว </t>
  </si>
  <si>
    <t xml:space="preserve">Battery Unit </t>
  </si>
  <si>
    <t>สายแลนด์ CAT.6 US-9116</t>
  </si>
  <si>
    <t>LINK</t>
  </si>
  <si>
    <t>แจ๊คตัวผู้ CAT.6 US-1002</t>
  </si>
  <si>
    <t>กุญแจล็อคประตูบานเลื่อนไข 2สองทาง สีบ</t>
  </si>
  <si>
    <t>ฟิวส์หลอดแก้วสั้น 0.5A</t>
  </si>
  <si>
    <t>Z4.242.6053 O/P 9705 A/8/10/11 PRINTED</t>
  </si>
  <si>
    <t>07.311.6155.0 AP4TK/VO GREY END PLATE</t>
  </si>
  <si>
    <t>ชุด STOPER WITH ROOLER#001 ชุบขาว</t>
  </si>
  <si>
    <t>ไฟสัญญาณ TPWS7L-1 Y 24V</t>
  </si>
  <si>
    <t>หัวเตา เผาจิ๊ก KB5</t>
  </si>
  <si>
    <t xml:space="preserve">IME-MF72421 NEMO72LE A230V 5A 450V RS485 </t>
  </si>
  <si>
    <t>ก๊อกบอลสนาม 1/2"</t>
  </si>
  <si>
    <t>แค้มรัดสายยาง 3/4"</t>
  </si>
  <si>
    <t>81.000.6530.0 WIPOS PS1 24-5</t>
  </si>
  <si>
    <t>093.16.16 WAY JUMPER LINK(BLUE)</t>
  </si>
  <si>
    <t>เม้าส์ออฟฟิต สีดำ Logitech M100R</t>
  </si>
  <si>
    <t>สต๊กเกอร์ OPEN-CLOSE</t>
  </si>
  <si>
    <t>CVS100F TM100D 3P3D 380/415VAC 36KA</t>
  </si>
  <si>
    <t xml:space="preserve">34.51.7.024.001034 SERIES ULTRA-SLIM </t>
  </si>
  <si>
    <t>บูชขนาด 12.7x50 มีแกนกลาง 8x30</t>
  </si>
  <si>
    <t>แอดวานซ์</t>
  </si>
  <si>
    <t>RED TUNSTEN 2% THOR 1.6x175mm</t>
  </si>
  <si>
    <t>สยามพาร์ท</t>
  </si>
  <si>
    <t xml:space="preserve">MCB 1P 32A 6KA </t>
  </si>
  <si>
    <t>RCBO 1P 32A (30MA 0.04 SEC) 6KA</t>
  </si>
  <si>
    <t>RCBO 1P 40A (30MA 0.04 SEC) 6KA</t>
  </si>
  <si>
    <t>BCB 3P 63A IC=10KA AT 240/415</t>
  </si>
  <si>
    <t>CLASSIC L/C 3P 4W+G BAR 100A MAIN CB36 CCT WITH</t>
  </si>
  <si>
    <t>MCCB 3P EZC100H 100AT/100AF 30KA 415VAC</t>
  </si>
  <si>
    <t>รางลูกปืน 27มิล รุ่นประหยัด 14"</t>
  </si>
  <si>
    <t>ตลับผ้าหมึกดอท S015506 ดำ(แพ็คคู่)</t>
  </si>
  <si>
    <t>ตลับหมึกโทนเนอร์ โคแมกซ์ TN-2280 ดำ</t>
  </si>
  <si>
    <t>ดอกสว่าน MAXCO 1/2"</t>
  </si>
  <si>
    <t>MAXCO</t>
  </si>
  <si>
    <t>ดอกสว่าน MAXCO 14mm</t>
  </si>
  <si>
    <t>สกรูหัว้เหลี่ยม M8x70 SUS</t>
  </si>
  <si>
    <t>ข้อต่อสเตนเลส 1"</t>
  </si>
  <si>
    <t>สกรูหัวเหลี่ยมสเตนเลส M10x40</t>
  </si>
  <si>
    <t>สกรูหัวเหลี่ยมสเตนเลส M10x60</t>
  </si>
  <si>
    <t>เทปกาวย่น 24มมx50ม #2210</t>
  </si>
  <si>
    <t>SERVICE CHARGE IV2018/02/041</t>
  </si>
  <si>
    <t>ไม้ม็อป+ผ้า</t>
  </si>
  <si>
    <t>ราง+หลอด LED 8W-PL/BN010C</t>
  </si>
  <si>
    <t>58.504.0055.0 FEED-THROUGH BLOCK GREY WT4</t>
  </si>
  <si>
    <t>81.000.6540.0 WIPOS PS1 24-10</t>
  </si>
  <si>
    <t>57.504.2055.0 WK4/TKM/U KNIFE BLADE DISC</t>
  </si>
  <si>
    <t>57.904.5355.0 WK4/THIS 5-U FUSE BLOCK 4</t>
  </si>
  <si>
    <t>93.61.7.024 SOCKET FOR 34 SERIES INPUT 2</t>
  </si>
  <si>
    <t>FANUC-BASIC CHARGE-SERVICE1</t>
  </si>
  <si>
    <t>FANUC-HOURLY CHARGE-SERVICE</t>
  </si>
  <si>
    <t>ฝา 3ช่อง WNG6803</t>
  </si>
  <si>
    <t>STP230TNSM SURGE-TRAP PLUGGABLE IEC 230V</t>
  </si>
  <si>
    <t>SANDISK SDHC CLASS 10UITRA UHS-1 MEMORY CARD 16GB</t>
  </si>
  <si>
    <t>แบตเตอรี่ DJW6-12 6V 12AH</t>
  </si>
  <si>
    <t>ถุงมือยางไนโตรสีฟ้า L TG-SOFT</t>
  </si>
  <si>
    <t>ใบพัดลม 22" (A14) PP+CA สีเทา DGR15-4503</t>
  </si>
  <si>
    <t>AIR FILTER MODLE GFN100/1 SIZE(W)1M*(L)20M(T)5MM</t>
  </si>
  <si>
    <t>UPGRADE CD ORGANIZER FOR WINDOWS 7.8.10(LAN) 64BIT</t>
  </si>
  <si>
    <t>DIE FOR CLUSTER TOOL (C) RO 5.4 แบบ 4รู</t>
  </si>
  <si>
    <t xml:space="preserve">INSERT PUNCH </t>
  </si>
  <si>
    <t>กระดาษลูกฟูก เกรด B</t>
  </si>
  <si>
    <t>PART NO.19 OF 3 1/2" (D) UPWARD LOUVER TOOL NO5517967001 CODE YDB001 SH 50 SK 03</t>
  </si>
  <si>
    <t>สติ๊กเกอร์ CLOSE-OPEN</t>
  </si>
  <si>
    <t>เชือกใยยักษ์</t>
  </si>
  <si>
    <t>ลวดเชื่อมอลูมิเนียม</t>
  </si>
  <si>
    <t>NSX160N  3P (50KA AT380/415 V) TM160D</t>
  </si>
  <si>
    <t>สกรูหัวเหลี่ยมสเตนเลส M12x50</t>
  </si>
  <si>
    <t>บูชกลึง M35x30ต๊าปเกลียวใน M10 E4</t>
  </si>
  <si>
    <t>KVS</t>
  </si>
  <si>
    <t>สายรัด RATCHET TIE DOWN 2"x8M x5000kg</t>
  </si>
  <si>
    <t>พุกตะกั่ว 5/16</t>
  </si>
  <si>
    <t>สกรูหัวเหลี่ยมสเตนเลส 5/16x2.1/2</t>
  </si>
  <si>
    <t>เช็ควาล์ว 3/4"</t>
  </si>
  <si>
    <t>เบรกเกอร์ NF400-CW 3P 400A</t>
  </si>
  <si>
    <t>เบรกกอร์ NF250-CV 3P 250A</t>
  </si>
  <si>
    <t>เบรกเกอร์ NF250-CV 3P 150A</t>
  </si>
  <si>
    <t>เบรกเกอร์ NF63-HV 3P 63A</t>
  </si>
  <si>
    <t xml:space="preserve">POWER METER PM5350 </t>
  </si>
  <si>
    <t>สลิงผ้าใบ Eye-Eye Webbing Sling 4Tx8M</t>
  </si>
  <si>
    <t>ลวดสลิง 4ขา 5x2M.</t>
  </si>
  <si>
    <t>เสื้อจราจร RIGHT 5118 สะท้อนแสง OR</t>
  </si>
  <si>
    <t>กรวยจราจร RIGHT PVC 70CM OR</t>
  </si>
  <si>
    <t>OUT SIDE TUBE CROWN/TANMAX/TIRENP</t>
  </si>
  <si>
    <t>ALUMINA NOZZLE #5</t>
  </si>
  <si>
    <t>TIG ROD  308LSI 1.6mm/5kg</t>
  </si>
  <si>
    <t>VACUUM PUMP OIL CODE 74386590 DRAWING LC-SAH 2L</t>
  </si>
  <si>
    <t>VACON0100-3L-0005-5/2.2KW/3HP S/N V00001733152</t>
  </si>
  <si>
    <t>ซัพพอร์ทบัสบาร์ CT2-20</t>
  </si>
  <si>
    <t>ซัพพอร์ทบัสบาร์ CT4-30</t>
  </si>
  <si>
    <t>ฉนวนต่างระดับ CJ4-30</t>
  </si>
  <si>
    <t>HD,600G,SAA6,15K,3.5,S-EG,E/C</t>
  </si>
  <si>
    <t>ASSY,CARR,HD,SAS-SATAU,3.5</t>
  </si>
  <si>
    <t>SCR,6-32X.225,PHH,FLH.BLK</t>
  </si>
  <si>
    <t>PCE#4132-6V 2P+E 16A ปลั๊กฝังเฉียง</t>
  </si>
  <si>
    <t>PCE</t>
  </si>
  <si>
    <t>ผงหมึก HP CF248A</t>
  </si>
  <si>
    <t>Packing CODE 71820117 DRAWING DA21513-B</t>
  </si>
  <si>
    <t>ลวดเสียบกระดาษ ตราม้า เบอร์ 1กลม</t>
  </si>
  <si>
    <t>ซองขาว 555,9/125 ฝาขนาน 50ซอง</t>
  </si>
  <si>
    <t>ตลับหมึกโทนเนอร์ 85A (CE285A) ดำ HP</t>
  </si>
  <si>
    <t>ตลับลูกดรัม BROTHER DR-2255</t>
  </si>
  <si>
    <t>ตลับผ้าหมึกดอท S015589</t>
  </si>
  <si>
    <t>SETRONIC LAMPTUN 36 W</t>
  </si>
  <si>
    <t>ลูกปืน 6204</t>
  </si>
  <si>
    <t>ค่าบริการตรวจเช็คเครื่องชั่ง DI-81 -150KH SN07901353</t>
  </si>
  <si>
    <t>CONTACTOR LC1-D09E7</t>
  </si>
  <si>
    <t>CONTACTOR LC1-D258E7</t>
  </si>
  <si>
    <t>CONTACTOR ACCSSORIES LA-DRO</t>
  </si>
  <si>
    <t xml:space="preserve">ค่าบริการกู้ข้อมูล DATA RECOVERY </t>
  </si>
  <si>
    <t>PUNCH NO.88 R 0.6 S-15mm</t>
  </si>
  <si>
    <t>PUNCH NO.88 R 0.6 SECTIONALIZED</t>
  </si>
  <si>
    <t>2V DIE 12x20 L=835</t>
  </si>
  <si>
    <t>2V DIE 12x20 SECTIONALIZED</t>
  </si>
  <si>
    <t>PUNCH NO.88 R 0.6 L=835</t>
  </si>
  <si>
    <t>CONTACT TIP 0.8mm L45/002 005</t>
  </si>
  <si>
    <t>TIP 1.5mm YT065 PCS</t>
  </si>
  <si>
    <t>COLLET 2.4mm WP-17/18/26</t>
  </si>
  <si>
    <t>ELECTRODE YT065PVS</t>
  </si>
  <si>
    <t>สกรูหัวจมสเตนเลส M4x30</t>
  </si>
  <si>
    <t>สกรูหัวเหลี่ยมสเตนเลส M3/8x3"</t>
  </si>
  <si>
    <t xml:space="preserve">สกรูหัวจมสเตนเลส M5x15 </t>
  </si>
  <si>
    <t>SERVICE HI COM</t>
  </si>
  <si>
    <t>โฮลซอล์ 28มิล</t>
  </si>
  <si>
    <t>SEPARATOR ELEMENT O-RING</t>
  </si>
  <si>
    <t>AIR INTAKE FILTER ELEMENT</t>
  </si>
  <si>
    <t>OIL FILTER ELEMENT</t>
  </si>
  <si>
    <t>VALVE SHEET ASSY</t>
  </si>
  <si>
    <t>UNLOADER PACKING</t>
  </si>
  <si>
    <t>BELT 60HZ 8.5K</t>
  </si>
  <si>
    <t>M-PLUS LINE FILTER ELEMENT P0070S</t>
  </si>
  <si>
    <t>M-PLUS MIST FILTER ELEMENT P0070X</t>
  </si>
  <si>
    <t>T-001158 Variable RV30YN20SB202 2KOHM</t>
  </si>
  <si>
    <t>SJ-530B (0.05x1220x310m)ฟิล์มติดสเตนเลส</t>
  </si>
  <si>
    <t>TIMER H3JA-8C 30S 200-240VAC</t>
  </si>
  <si>
    <t>1PH SW.XFMR 220V 50Hz/24V 50VA (TR-0107)</t>
  </si>
  <si>
    <t>1PH SW.XFMR 380V 50Hz/220V 500VA (TR-0052)</t>
  </si>
  <si>
    <t>MINIATURE CIRCUIYT B IC60H 1P 20A</t>
  </si>
  <si>
    <t>MINIATURE CIRCUIYT B IC60H 1P 10A</t>
  </si>
  <si>
    <t xml:space="preserve">เทอร์โมคัปเปิ้ล TC 402 </t>
  </si>
  <si>
    <t>BUSTER 03 (25KG)</t>
  </si>
  <si>
    <t>ลูกปืน 6200ZZ</t>
  </si>
  <si>
    <t>แปรงลวดทองเหลือง</t>
  </si>
  <si>
    <t>ฟุตเหล็ก 1เมตร</t>
  </si>
  <si>
    <t>ข้องลม PL M6-02</t>
  </si>
  <si>
    <t>ลูกกลิ้งทาสีน้ำมัน 10"</t>
  </si>
  <si>
    <t>SHUNT RELEASE (MX) 220-240VAC 50/60HZ 208-277 V 60HZ FOR NSX, CVS</t>
  </si>
  <si>
    <t>TOGU GRINDING OIL (BETSU2) CODE 74310734 DRAWING 020443(4L)</t>
  </si>
  <si>
    <t>Temperature #E5EC-RR2ASM-800</t>
  </si>
  <si>
    <t>แบริ่ง กดโซ่</t>
  </si>
  <si>
    <t>5T Standard chain โซ่ 5 ตัน รุ่นมาตราฐาน</t>
  </si>
  <si>
    <t>กระบอกตวงน้ำมัน GARTEC 2ลิตร</t>
  </si>
  <si>
    <t>ANNUAL SERVICE FEE MODEL OSP-22S5ANA MGF NO.HTB11223</t>
  </si>
  <si>
    <t>ANNUAL SERVICE FEE MODEL ARX50J MGF NO.E304002</t>
  </si>
  <si>
    <t>CIR-M5191100B0000 CVM NRG96-ITF RS485</t>
  </si>
  <si>
    <t>CVS160B TM160D 3P3D 380/415VAC 25KA</t>
  </si>
  <si>
    <t>CVS100B TM160D 3P3D 380/415VAC 25KA</t>
  </si>
  <si>
    <t>BREAKER NF63-CV 3P16A</t>
  </si>
  <si>
    <t>Monitoring Com K8AK-PM2</t>
  </si>
  <si>
    <t>CP-86/60 500/5A เคอร์เร้นท์</t>
  </si>
  <si>
    <t>GV2 GV3 AUXILIARY N/C(FLT)N/C LHS</t>
  </si>
  <si>
    <t>HOUR METER TH-2385</t>
  </si>
  <si>
    <t>TESYS LRD THERMAL OVERLOAD RELAY 9-13 CLASS 10A</t>
  </si>
  <si>
    <t>CT800/5 MSQ60</t>
  </si>
  <si>
    <t xml:space="preserve">RELAY MY2N-GS-24VDC </t>
  </si>
  <si>
    <t>PUNCH NO.202 88 R 0.2H=100 L=835 (ONE TOUC)</t>
  </si>
  <si>
    <t>HINOMOTO</t>
  </si>
  <si>
    <t>PUNCH NO.202 88 R 0.2H=100 S=415</t>
  </si>
  <si>
    <t>PUNCH NO.202 88 R 0.2H=100 SECTIONALIZED 835</t>
  </si>
  <si>
    <t>2V DIE 88 V12x20 NO.50590 L=835</t>
  </si>
  <si>
    <t>คาปาซิเตอร์ 3PHASE 20KVAR 525V (RG-2)</t>
  </si>
  <si>
    <t>SHIZUKI</t>
  </si>
  <si>
    <t>คาปาซิเตอร์ 3PHASE 40KVAR 525V (RG-2)</t>
  </si>
  <si>
    <t>คาปาซิเตอร์ 3PHASE 80KVAR 525V (RG-2)</t>
  </si>
  <si>
    <t>รีแอ็คเตอร์ 6% สหรับคาปาซิเตอร์ 20KVAR 400 V</t>
  </si>
  <si>
    <t>รีแอ็คเตอร์ 6% สหรับคาปาซิเตอร์ 40KVAR 400 V</t>
  </si>
  <si>
    <t>รีแอ็คเตอร์ 6% สหรับคาปาซิเตอร์ 80KVAR 400 V</t>
  </si>
  <si>
    <t>คอนโทรลเลอร์ MS-12Q 380-415 V 12 STEPS</t>
  </si>
  <si>
    <t>คอนแทคเตอร์ ST35 200V</t>
  </si>
  <si>
    <t>คอนแทคเตอร์ ST65 200V</t>
  </si>
  <si>
    <t>คอนแทคเตอร์ SN125 200V</t>
  </si>
  <si>
    <t>NSX250F 3P(36KA AT 380/415V)TM160D</t>
  </si>
  <si>
    <t>NSX160F 3P(36KA AT 380/415V)TM125D</t>
  </si>
  <si>
    <t>NSX100F 3P(36KA AT 380/415V)TM100D</t>
  </si>
  <si>
    <t>NSX100F 3P(36KA AT 380/415V)TM63D</t>
  </si>
  <si>
    <t>NSX100F 3P(36KA AT 380/415V)TM40D</t>
  </si>
  <si>
    <t>NSX100F 3P(36KA AT 380/415V)TM32D</t>
  </si>
  <si>
    <t>NSX100F 3P(36KA AT 380/415V)TM25D</t>
  </si>
  <si>
    <t>NSX100F 3P(36KA AT 380/415V)TM50D</t>
  </si>
  <si>
    <t>NSX160F 3P(36KA AT 380/415V)TM160D</t>
  </si>
  <si>
    <t>NSX250F 3P(36KA AT 380/415V)TM200D</t>
  </si>
  <si>
    <t>MASTERPACT ACT 3P 1600A 65KA AT 415VAC FIXED TYPE MICROLGIC 6.0E WITH GFP</t>
  </si>
  <si>
    <t>SHUNT RELEASE OR CLOSING RELEASE 220 VAC</t>
  </si>
  <si>
    <t>TERMINAL BLOCK FOR FIXED CIYRCUIT BREAKER FOR NT&amp;NW</t>
  </si>
  <si>
    <t>MASTERP ACT 3P 2000A 65KA AT 4151VAC FIXED TYPE</t>
  </si>
  <si>
    <t>MVS CB 800A 50KA 3P MFET2 FIXED TYPE</t>
  </si>
  <si>
    <t xml:space="preserve">NXS400N 3P(50 KA AT380/415V) MICROLOGIC 2.3 400A </t>
  </si>
  <si>
    <t xml:space="preserve">AUXILIARY CONTACT </t>
  </si>
  <si>
    <t>HARMONY XB5 PILOT LIGH 22MM PLAIN LENS 230-240 GREEN</t>
  </si>
  <si>
    <t>HARMONY XB5 PILOT LIGH 22MM PLAIN LENS 230-240 RED</t>
  </si>
  <si>
    <t>HARMONY XB5 PILOT LIGH 22MM PLAIN LENS 230-240 OREANG</t>
  </si>
  <si>
    <t>HARMONY XB5 PILOT LIGH 22MM PLAIN LENS 230-240 BLUE</t>
  </si>
  <si>
    <t>MCCB 3P EZC100B 30AT/100AF 7.5KA 415VAC</t>
  </si>
  <si>
    <t>HARMONY XB5 SELECTOR SWITCH 22MM -POSITION 1NO BLACJ</t>
  </si>
  <si>
    <t>COJNTACTOR TYSYS D 3P AC3 12A 220VAC COIL</t>
  </si>
  <si>
    <t>HARMONY XB5 SELECTOR SWITCH 22MM -POSITION 2NO BLACJ</t>
  </si>
  <si>
    <t>IC60N 1P 6A CURVE 10KA 400VAC</t>
  </si>
  <si>
    <t>ชุดสลิงยกของ ยาว 1.5 เมตร</t>
  </si>
  <si>
    <t>ฃสีน้ำอะคริลิคใช้ทาภายนอก VINY 1733</t>
  </si>
  <si>
    <t>VSF1X70B</t>
  </si>
  <si>
    <t>สายไฟ VSF1x70 SQMM.สีดำ</t>
  </si>
  <si>
    <t>Fuji Inverter ACE Series Model FRN0022E2S4GB (5.5KW 380V)</t>
  </si>
  <si>
    <t>Fuji Inverter ACE Series Model FRN0029E2S4GB (7.5KW 380V)</t>
  </si>
  <si>
    <t>วอลพุตตี้</t>
  </si>
  <si>
    <t>ดอกสว่าน MAXCO 3.3MM</t>
  </si>
  <si>
    <t>ดอกสว่าน MAXCO 4.0MM</t>
  </si>
  <si>
    <t>ดอกสว่าน MAXCO 7.0MM</t>
  </si>
  <si>
    <t>ดอกสว่าน MAXCO 8.0MM</t>
  </si>
  <si>
    <t>ดอกสว่าน MAXCO 10.0MM</t>
  </si>
  <si>
    <t>SHIELD CUP PN-70 แม็กกาไลท์</t>
  </si>
  <si>
    <t>SELEC SWITCH DIAM 22 HANDLE 2</t>
  </si>
  <si>
    <t>VACON PAN-HMDR-MK01-3M S/N V000002057807</t>
  </si>
  <si>
    <t>VACON</t>
  </si>
  <si>
    <t xml:space="preserve">ลูกปืน FBJ6800ZZ </t>
  </si>
  <si>
    <t xml:space="preserve">NSX400F 3P (36KA AT 380/415V)MICROLOGIC 2.3 400A </t>
  </si>
  <si>
    <t>MCCB 2P EZC100H 20AT/100AF 50KA 220/240VAC</t>
  </si>
  <si>
    <t>MOTOT MECHANISM (MCH) 220V FOR NSX400/630</t>
  </si>
  <si>
    <t>เบรกเกอร์ NV63-CV 2P 20A 30MA</t>
  </si>
  <si>
    <t>TIP CHU-210UL D/C TISSUE 8mmx50mtr</t>
  </si>
  <si>
    <t>IC60H 1P 16A C MINIATURE CIRCUIT B</t>
  </si>
  <si>
    <t>IC60H 3P 32A C MINIATURE CIRCUIT B</t>
  </si>
  <si>
    <t>SET OF 4 CONNECTORS</t>
  </si>
  <si>
    <t>MOTOR CIRCUIT BREAKER</t>
  </si>
  <si>
    <t>CT ENT.30 300/5 10VA</t>
  </si>
  <si>
    <t>ENDTES</t>
  </si>
  <si>
    <t>สตัดเกลียวตลอด SUS 3/8"</t>
  </si>
  <si>
    <t>ตะไบท้องปลิงละเอียด 12"</t>
  </si>
  <si>
    <t>Electrode Ho;der X1 F SP</t>
  </si>
  <si>
    <t xml:space="preserve">Hose nipple D10-D12 complete </t>
  </si>
  <si>
    <t>O-ring set PFM-X1 ET</t>
  </si>
  <si>
    <t xml:space="preserve">ล้อไนล่อน  แป้นตาย 2" </t>
  </si>
  <si>
    <t>ล้อไนล่อน ล้อเป็นมีเบรค 2"</t>
  </si>
  <si>
    <t>CT 1000/5 MSQ130</t>
  </si>
  <si>
    <t>CRC AS6-2000/5A CT 2000/5 15VA,CL.05</t>
  </si>
  <si>
    <t>CRC AS1B-300/5 5VA</t>
  </si>
  <si>
    <t>MCCB A1C125 3P 25A 25KA</t>
  </si>
  <si>
    <t>OVERLOAD RELAY TF42-5.7</t>
  </si>
  <si>
    <t>OVERLOAD RELAY TF42-7.6</t>
  </si>
  <si>
    <t>AUX CONHTACT CAL4-11 1NO+1NC</t>
  </si>
  <si>
    <t>น้ำยาบักกรี</t>
  </si>
  <si>
    <t>ดอกสว่าน นาซิ 8.0 มิล</t>
  </si>
  <si>
    <t>บานพับ สเตนเลส 4"</t>
  </si>
  <si>
    <t>BREAKER NF125 CV 3P 125A</t>
  </si>
  <si>
    <t>Timer MIL72E D120 (tactic371.2 plus)</t>
  </si>
  <si>
    <t>PILOT LIGHT APW126D-W 22mm</t>
  </si>
  <si>
    <t>PILOT LIGHT APW126D-R 22mm</t>
  </si>
  <si>
    <t>PILOT LIGHT APW126D-Y 22mm</t>
  </si>
  <si>
    <t>PILOT LIGHT APW126D-S 22mm</t>
  </si>
  <si>
    <t>PILOT LIGHT APW126D-G 22mm</t>
  </si>
  <si>
    <t>Pushbutton ABW110-B 22mm</t>
  </si>
  <si>
    <t>Pushbutton AVM401-R 22mm</t>
  </si>
  <si>
    <t>Selector Switch ASW320 22mm</t>
  </si>
  <si>
    <t>FUSE LINK Size 10x38 10A</t>
  </si>
  <si>
    <t>IQDEMY UV Premium ink 1L (White)</t>
  </si>
  <si>
    <t>สมุดปกอ่อน 16x23.5ซม. 60 แกรม 40 แผ่นคละลาย (12เล่ม</t>
  </si>
  <si>
    <t>ea</t>
  </si>
  <si>
    <t>แบตเตอรี่แห้ง LEOCH LP 12-7.8 12V7.8AH</t>
  </si>
  <si>
    <t>กาวทาท่อน้ำไทย 50G</t>
  </si>
  <si>
    <t>สกรูหัวจมเตเปอร์สเตนเลส M10x50</t>
  </si>
  <si>
    <t>สติ๊กเกอร์ PVC ขาวมัน ขนาด 4x8 พิมพ์ 2สี (ชิลด์)1หน้า ไดคัทสี่เหลี่ยมธรรมดา</t>
  </si>
  <si>
    <t xml:space="preserve">สตัดเกลียวตลอด สเตนเลส M12 ยาว 1เมตร </t>
  </si>
  <si>
    <t>สมุดปกอ่อน 60แกรม 80แผ่น (6เล่ม/แพ็ค)วีนัส F980-9</t>
  </si>
  <si>
    <t>กระดาษต่อเนื่อง ไม่มีเส้น 9x5.5" 3ชั้น</t>
  </si>
  <si>
    <t>กระดาษต่อเนื่องเคมีขาว 9x5.5" ชั้น IQ</t>
  </si>
  <si>
    <t>สมุดปกแข็ง 16.5x25ซม 80แผ่น (แพ็ค 6เล่ม)</t>
  </si>
  <si>
    <t>มุ้งไนล่อน</t>
  </si>
  <si>
    <t>สกรูเกลียวปล่อยไม้ SUS M6x25</t>
  </si>
  <si>
    <t>คอปเปอร์ SP30</t>
  </si>
  <si>
    <t>ข้อต่อคอปเปอร์ PP30</t>
  </si>
  <si>
    <t>สกรูเกลียวปล่อย M6x3/4"</t>
  </si>
  <si>
    <t>ตะไบท้องปลิงละเอียด 8"</t>
  </si>
  <si>
    <t>ตะไบท้องปลิงหยาบ 8"</t>
  </si>
  <si>
    <t xml:space="preserve">ทองเหลืองแผ่น 6.00mm 2'x4' </t>
  </si>
  <si>
    <t>M5x10SH</t>
  </si>
  <si>
    <t>สกรูหัวจม M5x10</t>
  </si>
  <si>
    <t>M5x35SH</t>
  </si>
  <si>
    <t>สกรูหัวจม M5x35</t>
  </si>
  <si>
    <t>LN5CR3</t>
  </si>
  <si>
    <t>หัวน๊อตล็อค M5xPO.8 รุ่นหนา-6.3mm</t>
  </si>
  <si>
    <t>M5x40SH</t>
  </si>
  <si>
    <t>สกรูหัวร่มแฉก JT M4x10</t>
  </si>
  <si>
    <t>FILTER NET NO.38 (สีดำ) Size W1.2x50m</t>
  </si>
  <si>
    <t>Collector nozzle PI-F1 #241225</t>
  </si>
  <si>
    <t>หางปลาทรงยุโรป CL50-8</t>
  </si>
  <si>
    <t>หางปลาทรงยุโรป CL50-10</t>
  </si>
  <si>
    <t>หางปลาทรงยุโรป CL95-10</t>
  </si>
  <si>
    <t>ข้อต่อลม PU M8</t>
  </si>
  <si>
    <t>สมุดปกอ่อน 30แผ่น คละสี (แพ็ค12เล่ม)</t>
  </si>
  <si>
    <t>TIMER H3CR-G8L AC200-240</t>
  </si>
  <si>
    <t>TIMER H3M-B 220VAC</t>
  </si>
  <si>
    <t>พัดลม 6" FP-108X-S1-B AC220/240V</t>
  </si>
  <si>
    <t>COMMON</t>
  </si>
  <si>
    <t>ตะแกรงพัดลม 6" S-0172-7 T</t>
  </si>
  <si>
    <t>OVER &amp; EARTH FAULT 85-265 VAC OR 110-340VDC</t>
  </si>
  <si>
    <t>โซ่</t>
  </si>
  <si>
    <t>สายยาง 1"</t>
  </si>
  <si>
    <t>ลูกปืน 6206ZZ</t>
  </si>
  <si>
    <t>IC60N 1P 3A C CURVE 10KA 400VAC</t>
  </si>
  <si>
    <t>IC60N 1P 4A C CURVE 10KA 400VAC</t>
  </si>
  <si>
    <t>ดอกสว่าน นาซิ 5.4 มิล</t>
  </si>
  <si>
    <t xml:space="preserve">สีฝุ่น GH413156F </t>
  </si>
  <si>
    <t xml:space="preserve">MCCB A2B250 TMF 3P 200A </t>
  </si>
  <si>
    <t>MCCB A1N125 2P 50A</t>
  </si>
  <si>
    <t>Power plug 2P+E 63A 230V IP 67</t>
  </si>
  <si>
    <t>สีฝุ่น FF171/8101/CW3</t>
  </si>
  <si>
    <t>CRC AS2-500/5 5VA</t>
  </si>
  <si>
    <t>MCB S203-C32</t>
  </si>
  <si>
    <t xml:space="preserve">DSE201 C20 AC30 </t>
  </si>
  <si>
    <t xml:space="preserve">DSE201 C32 AC30 </t>
  </si>
  <si>
    <t>STB OT40F C 2+ OWC6D40 3P</t>
  </si>
  <si>
    <t xml:space="preserve">MCB S203-C63 </t>
  </si>
  <si>
    <t>STB OT63F C 2+OWC6D80 3P</t>
  </si>
  <si>
    <t>power supply switch-mode unit 24v</t>
  </si>
  <si>
    <t>เครื่องสำรองไฟ SYNDOME ICON-800 800VA /320W BLACK</t>
  </si>
  <si>
    <t>Anti-Condensation Heater PM CH-03 240V 80W</t>
  </si>
  <si>
    <t>AF116-30-11 100-250V50/60HZ-DC</t>
  </si>
  <si>
    <t>RIVKLEPLUS STEEL ZINC PLATED RK07 M10 235</t>
  </si>
  <si>
    <t>หน้ากากเชื่อมมือถือดำ</t>
  </si>
  <si>
    <t>สายพานชุดขับโซ่ 5T</t>
  </si>
  <si>
    <t>เพลาสั้น 5T 45x230mm</t>
  </si>
  <si>
    <t>ฟันเฟือง ชุดขับสายพาน 5 ตัน</t>
  </si>
  <si>
    <t>สตัดเหล็ก M8 ยาว 1เมตร</t>
  </si>
  <si>
    <t>HRC FUSE #00 35A 500V</t>
  </si>
  <si>
    <t>HRC FUSE #00 63A 500V</t>
  </si>
  <si>
    <t>HRC FUSE #00 160A 500V</t>
  </si>
  <si>
    <t xml:space="preserve">คอนกรีต CPAC SUPER PLUS กำลังอัด 240กก /ตร.ซม </t>
  </si>
  <si>
    <t>CT2000/5 MSQ130</t>
  </si>
  <si>
    <t>เฟสโปรเทคเตอร์ WOP-4 220V 3P4W</t>
  </si>
  <si>
    <t>บอลวาล์ว Sunwa 1.1/2"</t>
  </si>
  <si>
    <t>ยางยูเนียน 1"</t>
  </si>
  <si>
    <t>Consumer unit SCP-14</t>
  </si>
  <si>
    <t xml:space="preserve">T7S 1000 PR331/P LSIG 3P 1000A </t>
  </si>
  <si>
    <t>SHUNT OPEN T7-T7M</t>
  </si>
  <si>
    <t>INTERLOCK T7-T7M</t>
  </si>
  <si>
    <t>MCCB A2C250 TMF 3P 200A</t>
  </si>
  <si>
    <t>MCCB A2C250 TMF 3P 250A</t>
  </si>
  <si>
    <t>MCCB A2N400 TMF 3P 320A</t>
  </si>
  <si>
    <t>T5N 400 LS/I 3P 400A</t>
  </si>
  <si>
    <t>T6N 800LS/I 3P 800A</t>
  </si>
  <si>
    <t xml:space="preserve">E2.2N 2000Ekip Touch LI </t>
  </si>
  <si>
    <t>MOTOR CHARGING SHUNT CLOSING E2.2-6.2</t>
  </si>
  <si>
    <t>SHUNT OPEN E2.2-6.2 200-240 AC/DC</t>
  </si>
  <si>
    <t>E2.2N 2000Ekip Touch LSIG</t>
  </si>
  <si>
    <t xml:space="preserve">T7S 1000 PR331/P LSI 3P 1000A </t>
  </si>
  <si>
    <t xml:space="preserve">ATS022 CONTROLLER </t>
  </si>
  <si>
    <t>CVS630F TM500D 3P3D 380/415 VAC</t>
  </si>
  <si>
    <t>UNDER VOLTAGE RELEASE 220-240VAC 50/60HZ 208-277 VAC 60HZ</t>
  </si>
  <si>
    <t>TIME DELAY UNIT USE WITH UNDER VOLTAGE RELAY 220/250 VAC/DC</t>
  </si>
  <si>
    <t>CVS160F TM125D 3P3D 380/415VAC</t>
  </si>
  <si>
    <t>CVS100F TM50D 3P3D 380/415VAC 36KA</t>
  </si>
  <si>
    <t>CVS250F TM200D 3P3D 380/415VAC</t>
  </si>
  <si>
    <t>CVS250F TM250D 3P3D 380/415VAC</t>
  </si>
  <si>
    <t>PRD1 25R SURGE ARRESTER</t>
  </si>
  <si>
    <t>VARPLUS CAN HDUTY CAPACITOR 50/0KVAR 400V 50/60HZ</t>
  </si>
  <si>
    <t xml:space="preserve">CONTACTOR 3P 400-440V 60KV AR 220VAC </t>
  </si>
  <si>
    <t>CONTROLLER 6STEP OUTPUTS</t>
  </si>
  <si>
    <t>Special Core ZCT120S</t>
  </si>
  <si>
    <t>CRC AS1B-250/5 5VA</t>
  </si>
  <si>
    <t>MCCB A2N250 TMF 3P 250A</t>
  </si>
  <si>
    <t>MCCB A1C125 TMF 3P 80A</t>
  </si>
  <si>
    <t>AF52-30-11 100-250V50/60HZ-DC</t>
  </si>
  <si>
    <t xml:space="preserve">T5N 630 LAI 3P 630A </t>
  </si>
  <si>
    <t>Stud holder M5(F01153)</t>
  </si>
  <si>
    <t xml:space="preserve">MCCB A2B250 TMF 3P 250A </t>
  </si>
  <si>
    <t xml:space="preserve">MCCB A2B125 TMF 3P 50A </t>
  </si>
  <si>
    <t xml:space="preserve">MCCB A2B125 TMF 3P 60A </t>
  </si>
  <si>
    <t>Power plug 3P 32A 230V IP 67</t>
  </si>
  <si>
    <t>MCCB NF63 HV 3P 32A</t>
  </si>
  <si>
    <t>MCCB NV63 CCV 2P 15A</t>
  </si>
  <si>
    <t>Power plug PCE 2P+E 16A</t>
  </si>
  <si>
    <t>Heavy duty latch slot 2x4 316 PN 1091-U142-01</t>
  </si>
  <si>
    <t>ปลั๊กเสียบชาร์จไฟ AP-E1USB  USB 2 ช่อง</t>
  </si>
  <si>
    <t>CAPACITOR 20KVAR 525 VAC CXD</t>
  </si>
  <si>
    <t>ท่อขาว 16มิล</t>
  </si>
  <si>
    <t xml:space="preserve">ก้ามปู ขาว 16มิล </t>
  </si>
  <si>
    <t>ต่อเข้ากล่อง 16 มิล</t>
  </si>
  <si>
    <t>ต่อตรงขาว 16มิล</t>
  </si>
  <si>
    <t>นิเปิ้ล PVC 1"</t>
  </si>
  <si>
    <t>สามทาง PVC 1"</t>
  </si>
  <si>
    <t>ต่อเกลียวนอก PVC 1"</t>
  </si>
  <si>
    <t>งอเหล็ก 1/2"</t>
  </si>
  <si>
    <t>สามทางเหล็ก 1/2"</t>
  </si>
  <si>
    <t>ยูโบล์ท 1/2"</t>
  </si>
  <si>
    <t>กรรไกร</t>
  </si>
  <si>
    <t>สามทาง PVC ขาว16มิล</t>
  </si>
  <si>
    <t xml:space="preserve">งอขาว 16มิล </t>
  </si>
  <si>
    <t>พุกเหล็ก 3/8"</t>
  </si>
  <si>
    <t>สมุดปกอ่อนอาบน้ำมัน 55แกรม คละลาย (แพ็ค 12เล่ม)</t>
  </si>
  <si>
    <t>แก๊สหุงต้ม 15กก</t>
  </si>
  <si>
    <t>ก๊าซออกซิเจน 06Q</t>
  </si>
  <si>
    <t>สายพาน B 40</t>
  </si>
  <si>
    <t>ท่อ PVC 3/4"</t>
  </si>
  <si>
    <t>ต่อเกลียวนอก 3/4"</t>
  </si>
  <si>
    <t>สามทาง PVC 3/4"</t>
  </si>
  <si>
    <t>สายพาน B 36</t>
  </si>
  <si>
    <t>สกรูหัวเหลี่ยม 3/8"x2.1/2"</t>
  </si>
  <si>
    <t>Power miter SPM33-V-1</t>
  </si>
  <si>
    <t>ล้อยูริเทนเหล็กหล่อ 3" หน้ายาง 32มิล โครงเชื่อมล้อตาย</t>
  </si>
  <si>
    <t>ล้อยูริเทนเหล็กหล่อ 3" หน้ายาง 32มิล โครงเชื่อมล้อเป็น</t>
  </si>
  <si>
    <t>ล้อยูริเทน 3" หน้ายาง 32มิล โครงเชื่อมล้อเป็น</t>
  </si>
  <si>
    <t>ล้อยูริเทน 3" หน้ายาง 32มิล โครงเชื่อมล้อตาย</t>
  </si>
  <si>
    <t>CT400/5 MSQ40</t>
  </si>
  <si>
    <t>กรดเกลือ</t>
  </si>
  <si>
    <t>แหวนปากตาย #10</t>
  </si>
  <si>
    <t>แหวนปากตาย #13</t>
  </si>
  <si>
    <t>ลวดทังสเตน 2% 2.4x175mm</t>
  </si>
  <si>
    <t>ฟิลเตอร์พัดลม WFP-801</t>
  </si>
  <si>
    <t>HRC FUSE #00 40A 500V</t>
  </si>
  <si>
    <t>SERVICE เครื่องยิงรีเวท P2005</t>
  </si>
  <si>
    <t>PUSHBUTTON XB4BW35M5</t>
  </si>
  <si>
    <t>ฆ้อนยูริเทนไร้แรงสะท้อน ด้ามดำ A-65</t>
  </si>
  <si>
    <t>PUSHBUTTON 22mm 1NO+1NC 220-240V GREEN</t>
  </si>
  <si>
    <t>PROTECTION RELAY WPF 10A</t>
  </si>
  <si>
    <t>PROTECTION RELAY WPF 20A</t>
  </si>
  <si>
    <t>Univerasal Outlet NUO 250V</t>
  </si>
  <si>
    <t>Miniature buzzer 220VAC/DC NBZ-220</t>
  </si>
  <si>
    <t>อุปกรณ์สกรู</t>
  </si>
  <si>
    <t xml:space="preserve">เครื่องมือ </t>
  </si>
  <si>
    <t>Power supply,socket relay</t>
  </si>
  <si>
    <t xml:space="preserve">จารบี G-500 จารบีทนความร้อน </t>
  </si>
  <si>
    <t>เพลายาว 5ธT 45x330</t>
  </si>
  <si>
    <t>สายแพ็คพลาสติก 15mm สีดำ</t>
  </si>
  <si>
    <t>COMP BUSBAR 3P 100A 24MOD</t>
  </si>
  <si>
    <t xml:space="preserve">MCB IC60N 3P 50A </t>
  </si>
  <si>
    <t xml:space="preserve">MCB IC60N 3P 40A </t>
  </si>
  <si>
    <t>MCB 120N 1P 100A C10000A 240/415V</t>
  </si>
  <si>
    <t>COMP BUSBAR 1P 100A 24MOD</t>
  </si>
  <si>
    <t>แผ่นกรองฝุ่น #7711 3M</t>
  </si>
  <si>
    <t>บ๊อกยางกันน้ำ 4x4</t>
  </si>
  <si>
    <t xml:space="preserve">หลอดไฟ LED BULB 7W E27 </t>
  </si>
  <si>
    <t>เหล็กปิ้นตัวอาร์ ชุบขาว SSP-8</t>
  </si>
  <si>
    <t>PANA200 TIP BODY ละเอียด 1.0มม</t>
  </si>
  <si>
    <t>MCCB NV63 CV 3P 32A</t>
  </si>
  <si>
    <t>MCCB BH-D6 2P 25A</t>
  </si>
  <si>
    <t xml:space="preserve">แผ่นหลังคาเมทัลซีท </t>
  </si>
  <si>
    <t>MCCB NF250 CV 3P 200A</t>
  </si>
  <si>
    <t>57.506.055.0 WK6/U GREY MODULAR TERMINAL</t>
  </si>
  <si>
    <t>57.506.9055.0 Wk6 SL/U GREY /YELLOW EAR</t>
  </si>
  <si>
    <t>57.504.0055.0 WK4/U GREY MODULAR TERMINAL</t>
  </si>
  <si>
    <t>Z7.280.7027.0 IVB WKF2.5-10P</t>
  </si>
  <si>
    <t>07.311.0155.0 END PLATE FOR 2.5-4</t>
  </si>
  <si>
    <t>57.504.9055.0 WK4 SL/U/VO GROUND  TERMINAL</t>
  </si>
  <si>
    <t>สว่านไร้สาย BOSCH GDS-250LI</t>
  </si>
  <si>
    <t>CRC AS1B CT 250/5 5VA</t>
  </si>
  <si>
    <t>โซดาไฟ</t>
  </si>
  <si>
    <t>HALF CUTTER LM-HC340</t>
  </si>
  <si>
    <t>SOCKET P3G-08</t>
  </si>
  <si>
    <t>CPU Unit CP1L-M40DR-A</t>
  </si>
  <si>
    <t xml:space="preserve">เบรกเกอร์ NF400-SW 3P400A </t>
  </si>
  <si>
    <t>NF125-SV 3P 100A</t>
  </si>
  <si>
    <t>สว่านกระแทกไร้สาย DEWALT DCD716C2K-B1 10.8V</t>
  </si>
  <si>
    <t>DEWALT</t>
  </si>
  <si>
    <t>กล่องเครื่องมือ DIY HL30124 15.5 ใส</t>
  </si>
  <si>
    <t>เสื้อจราจร YMD OR-6045 2แถบ</t>
  </si>
  <si>
    <t xml:space="preserve">สายน้ำดีซักโครก </t>
  </si>
  <si>
    <t>โซ๊คแก๊สกระบอก (NO.CS.05401)100N</t>
  </si>
  <si>
    <t xml:space="preserve">มือจับ HF 481.21.109 NI </t>
  </si>
  <si>
    <t>HOMEPRO</t>
  </si>
  <si>
    <t xml:space="preserve">ค่าซ่อมตู้เชื่อม </t>
  </si>
  <si>
    <t>ค่าซ่อมบอร์ดคอนโทรล</t>
  </si>
  <si>
    <t>ON/OFF SWITCH 16A/250V 20A/125 V AC</t>
  </si>
  <si>
    <t>VOLUME 10K BIG</t>
  </si>
  <si>
    <t>VOLUME 250K BIG</t>
  </si>
  <si>
    <t>INSULATOR PANA 350A  REF.U4167L00/004002</t>
  </si>
  <si>
    <t>TIP BODY A 250/350A 68MM</t>
  </si>
  <si>
    <t>สายพาน A41 BANDO</t>
  </si>
  <si>
    <t>BANDO</t>
  </si>
  <si>
    <t>ดอกสว่าน 5.0มม</t>
  </si>
  <si>
    <t>ดอกสว่าน 3.3มม</t>
  </si>
  <si>
    <t>ดอกสว่าน 12.0มม</t>
  </si>
  <si>
    <t>ดอกสว่าน 13.0มม</t>
  </si>
  <si>
    <t>บัสบาร์ทองแดง 20x3</t>
  </si>
  <si>
    <t>คอมพิวเตอร์ตั้งโต๊ะ DESKTOP DELL VOSTRO 3670-W268016114</t>
  </si>
  <si>
    <t>SOCKET PTF08-A-E</t>
  </si>
  <si>
    <t>BREAKER NF63 HV 3P 50A</t>
  </si>
  <si>
    <t>ล้อยูริเทน 3" หน้ายาง 32มิล โครงเชื่อมล้อเป็นมีเบรค</t>
  </si>
  <si>
    <t>KNOB SATO 2901-L(B)</t>
  </si>
  <si>
    <t>FX3U CPU MODULE 40 POINTS DC INPUT/40 POINTS RELAY OUTPUT POWER SUPPLY 220VAC</t>
  </si>
  <si>
    <t>GOT 2000 GT25,5.7 VGA TET POWER SUPPLY 24VDC</t>
  </si>
  <si>
    <t>กระดาษถ่ายเอกสาร A4 80 แกรม (แพ็ค 5รีม)</t>
  </si>
  <si>
    <t>DOUBLE A</t>
  </si>
  <si>
    <t>กระดาษถ่ายเอกสาร A3 80 แกรม (500แผ่น )</t>
  </si>
  <si>
    <t>กระดาษการ์ดสี 01 A4 200 แกรม (50แผ่น/แพ็ค)</t>
  </si>
  <si>
    <t>ปั้มลมออยฟรี OFS5502-50 1.5HP 2หัว 50L</t>
  </si>
  <si>
    <t>POLO</t>
  </si>
  <si>
    <t>พัดลมดูดเป่า 8" SHT-20</t>
  </si>
  <si>
    <t>ท่อลม สำหรับ SHT-20 ขนาด 8" 5MM</t>
  </si>
  <si>
    <t>โอเวอร์โหลด TH-T18 5A</t>
  </si>
  <si>
    <t>โอเวอร์โหลด TH-T18 1.3A</t>
  </si>
  <si>
    <t>เบรกเกอร์ NF30-CS 3P 30A</t>
  </si>
  <si>
    <t>เบรกเกอร์ NF30-CS 3P 20A</t>
  </si>
  <si>
    <t>เซอร์กิตโปรเทคเตอร์ CP30-BA 1P 5A</t>
  </si>
  <si>
    <t>เซอร์กิตโปรเทคเตอร์ CP30-BA 1P 3A</t>
  </si>
  <si>
    <t>Pilotlight DR30DOL-M4 R</t>
  </si>
  <si>
    <t>Pilotlight DR30DOL-M4 Y</t>
  </si>
  <si>
    <t>Pushbutton AR30-FOR 10 G</t>
  </si>
  <si>
    <t>Pushbutton AR30-FOR 10 W</t>
  </si>
  <si>
    <t>Pushbutton AE30V2R-01 R</t>
  </si>
  <si>
    <t>MCCB A1A125 TMF 30A 3P</t>
  </si>
  <si>
    <t>ท่อ IMC 3/4"</t>
  </si>
  <si>
    <t>PANA</t>
  </si>
  <si>
    <t>ข้อต่อหนา IMC 3/4"</t>
  </si>
  <si>
    <t>หม้อแปลง 1PH SW.XFMR 380V 50Hz/200-220V 500VA TR-0876</t>
  </si>
  <si>
    <t>แผ่นพลาสติกทำปก A4 ใส (20แผ่น) ONE</t>
  </si>
  <si>
    <t>สมุดเก็บนามบัตร ฟ้า คิงส์จิม 42</t>
  </si>
  <si>
    <t>หมุดปักแผนที่(กล่อง100ชิ้น)E510</t>
  </si>
  <si>
    <t>ตราเพชร</t>
  </si>
  <si>
    <t>สาย VSF 1x150MM BLACK</t>
  </si>
  <si>
    <t>NKT</t>
  </si>
  <si>
    <t>MX8302 -Medium Grey CTX 1002877PX20</t>
  </si>
  <si>
    <t>UV PREMIUM LNK 1L CYAN</t>
  </si>
  <si>
    <t>UV PREMIUM LNK 1L MAGENTA</t>
  </si>
  <si>
    <t>UV PREMIUM LNK 1L YELLOW</t>
  </si>
  <si>
    <t>FLUSHING FLUID PREMIUM 1L</t>
  </si>
  <si>
    <t>ท่ออ่อนกันน้ำ BS 1/2" สีดำ A2017(50M)</t>
  </si>
  <si>
    <t>BLISS</t>
  </si>
  <si>
    <t>LF คอนเนคเตอร์ 3/8" B2102</t>
  </si>
  <si>
    <t>LF คอนเนคเตอร์ 3/4" B2102</t>
  </si>
  <si>
    <t>LF คอนเนคเตอร์ 1.1/4" B2102</t>
  </si>
  <si>
    <t>INVERTER,ACE SERIES MODEL FRN0007E2S-4GB(2.2KW 380)</t>
  </si>
  <si>
    <t>ฐานสวิตช์หัวเห็ด CP939</t>
  </si>
  <si>
    <t>SHINO</t>
  </si>
  <si>
    <t>ไฟหมุน LTE-1101 AC220V RED</t>
  </si>
  <si>
    <t>UNION</t>
  </si>
  <si>
    <t>PILOT LIGHT INTEGRAL LED 230-240 WHITE</t>
  </si>
  <si>
    <t>EMERGENCY STOP TURN TO RELEASE 1NC</t>
  </si>
  <si>
    <t>HARMONY XB5 PFUSH COMPLETE PUSHBUTTON #22 1NC RED</t>
  </si>
  <si>
    <t>HARMONY XB5 PFUSH COMPLETE PUSHBUTTON #22 1NC YELLOW</t>
  </si>
  <si>
    <t>PUSHBUTTON #22 1NO+1NC 220-240V GREEN</t>
  </si>
  <si>
    <t>EMERGENCY STOP TURN TO RELEASE 1NC RED</t>
  </si>
  <si>
    <t>สาย YSLY-JZ 4x2.5</t>
  </si>
  <si>
    <t>สาย LIY-CY 3x1.5</t>
  </si>
  <si>
    <t>MCB 1P 6A 10KA</t>
  </si>
  <si>
    <t>THERMITOR MOTOR RELAY 2C/O 110-130 CM-MSS-223S</t>
  </si>
  <si>
    <t>MANULA MOTOR STAETER 4A MS132</t>
  </si>
  <si>
    <t>AUX.CONTACT FOR MS116 MS132 SK1-20</t>
  </si>
  <si>
    <t xml:space="preserve">PILOT LIGHT 230-240V BLUE </t>
  </si>
  <si>
    <t>PILOT LIGHT 24V WHITE</t>
  </si>
  <si>
    <t>PILOT LIGHT 24V GREEN</t>
  </si>
  <si>
    <t>PILOT LIGHT 24V YELLOW</t>
  </si>
  <si>
    <t>เครื่องคิดเลข สีเงิน คาสิโอ AX-120B</t>
  </si>
  <si>
    <t>ปลั๊กไฟ มอก. 5ช่อง ยาว 3เมตร H605</t>
  </si>
  <si>
    <t>ANNITEC</t>
  </si>
  <si>
    <t>ปลอกหุ้มหางปลา V125 สีน้ำตาล</t>
  </si>
  <si>
    <t>ปลอกหุ้มหางปลา V125 สีดำ</t>
  </si>
  <si>
    <t>ปลอกหุ้มหางปลา V125 สีเทา</t>
  </si>
  <si>
    <t>ท่ออ่อนกันน้ำ 1" B</t>
  </si>
  <si>
    <t>คอนเน็ตเตอร์ท่ออ่อนกันน้ำ 1"</t>
  </si>
  <si>
    <t>รางบน ยาว 4เมตร SDC-HDC-W</t>
  </si>
  <si>
    <t>ฟิวเจอร์เทค</t>
  </si>
  <si>
    <t>ไกด์บน SDC-HDC-W</t>
  </si>
  <si>
    <t>ถ้วยำหรับลูกล้อบน</t>
  </si>
  <si>
    <t xml:space="preserve">ลูกล้อระบบ SOFT-CLOSE แบบ SOFT 2ด้าน </t>
  </si>
  <si>
    <t xml:space="preserve">ชุดลูกล้อบน </t>
  </si>
  <si>
    <t>หางปลาทรงยุโรป CL150-10</t>
  </si>
  <si>
    <t>หางปลาทรงยุโรป CL150-12</t>
  </si>
  <si>
    <t>FUSE LINK #00 50A</t>
  </si>
  <si>
    <t xml:space="preserve">CONTACTOR LC1-D32M7 </t>
  </si>
  <si>
    <t>เช็ควาล์วทองเหลือง 1" แบบสวิง</t>
  </si>
  <si>
    <t>SANWA</t>
  </si>
  <si>
    <t>สวิทซ์ลูกลอยสายไฟยาว 3เมตร UKY-23</t>
  </si>
  <si>
    <t>CABLE</t>
  </si>
  <si>
    <t>FX2 EXPANSION MODULE 2CH VO ITAGE INPUT/CURRENT INPUT</t>
  </si>
  <si>
    <t>FX2 EXPANSION MODULE 2CH VO ITAGE OUTPUT/CURRENT OUTPUT</t>
  </si>
  <si>
    <t>REGULATOR +FILTER W300-8W-F-B3W</t>
  </si>
  <si>
    <t>CKD</t>
  </si>
  <si>
    <t xml:space="preserve">Mikro Tik hEX S (RB760iGs-hEX-S) </t>
  </si>
  <si>
    <t>MIKRO TIK</t>
  </si>
  <si>
    <t>สกรูหัวเหลี่ยม M10x30 SUS</t>
  </si>
  <si>
    <t>สีโป้วดูปองด์ UNIVERSSAL POLYESTER 759R</t>
  </si>
  <si>
    <t>CROMAX</t>
  </si>
  <si>
    <t>ตลับ</t>
  </si>
  <si>
    <t>น้ำยาผสมสีโป้ว 759R</t>
  </si>
  <si>
    <t>สายไฟ XLPE3.6/6(7.2) KV-CV 1x70MM</t>
  </si>
  <si>
    <t>สายไฟ XLPE3.6/6(7.2) KV-CV 1x150MM</t>
  </si>
  <si>
    <t>คอปเปอร์เกลียวนอก 1/2"</t>
  </si>
  <si>
    <t>DIE SET ขนาด M7</t>
  </si>
  <si>
    <t>DIE SET ขนาด M14</t>
  </si>
  <si>
    <t>NSX250F 3P (36 KA AT 380/415v)TM250D</t>
  </si>
  <si>
    <t>NSX100B TMD MCCB 3P 3D 100A</t>
  </si>
  <si>
    <t>ATSNSX250F 3P 175-250A 36 KA TM250D</t>
  </si>
  <si>
    <t>WIRING KIT FOR IVE UNIT DRAWOUT/FIXED MOUNTING MASTERPACT</t>
  </si>
  <si>
    <t xml:space="preserve">XT1N 160 TMD 63-630 3 P </t>
  </si>
  <si>
    <t xml:space="preserve">STB OT63F3 3P </t>
  </si>
  <si>
    <t>HD,500GB,ES,7.2,3.5,W-SU,E/C</t>
  </si>
  <si>
    <t>บอลวาล์ว Sunwa 1/2"</t>
  </si>
  <si>
    <t>นิปเปิ้ลเหล็ก 1/2"</t>
  </si>
  <si>
    <t>ยูเนียนเหล็ก 1/2"</t>
  </si>
  <si>
    <t>คาปาซิเตอร์ 02DRCW4 EMI 2A</t>
  </si>
  <si>
    <t>ข้อต่อสเกลียวในสตีม 1/2"</t>
  </si>
  <si>
    <t>CABLE FOR FX GT01-C100RA-8P</t>
  </si>
  <si>
    <t>ปลอกหุ้มหางปลา V-14 GY เขียวเหลือง</t>
  </si>
  <si>
    <t>ค่าบริการตรวจเช็คสภาพเครน NO.1 NO.2</t>
  </si>
  <si>
    <t>BSI</t>
  </si>
  <si>
    <t>เครื่องพ่นสีแรงดันสูง AIRESS SPRAYER RB899</t>
  </si>
  <si>
    <t>RUBYSHOP</t>
  </si>
  <si>
    <t>Temperature #E5CC-RX2ASM-800</t>
  </si>
  <si>
    <t>กลอนสเตนเลส 2"</t>
  </si>
  <si>
    <t xml:space="preserve">MCCB A1N125 TMF 80A 3P </t>
  </si>
  <si>
    <t xml:space="preserve">MCCB A2N250 TMF 200A 3P </t>
  </si>
  <si>
    <t xml:space="preserve">MCCB A2N250 TMF 160A 3P </t>
  </si>
  <si>
    <t xml:space="preserve">MCCB A1N125 TMF 100A 3P </t>
  </si>
  <si>
    <t>มือจับสเตนเลส 4"</t>
  </si>
  <si>
    <t xml:space="preserve">กระดาษทรายกลม #80 สีเหลือง </t>
  </si>
  <si>
    <t>ปลั๊กไฟ มอก +USB 4ช่อง ยาว 3 เมตร H624</t>
  </si>
  <si>
    <t>แถม เทปใสแกน 1" 3/4"x36 หลา (แพ็ค6ม้วน)</t>
  </si>
  <si>
    <t>แถม-เครื่องเย็บ เบอร์ 10 คละสี DOUBLE A</t>
  </si>
  <si>
    <t>เครื่องดูดฝุ่นมือ ZB6106WD แบตเตอรี่</t>
  </si>
  <si>
    <t>ELECTROLUX</t>
  </si>
  <si>
    <t>Control cable for PH-3N (Rep F03080/FA-E)</t>
  </si>
  <si>
    <t>Varistor 120Volt</t>
  </si>
  <si>
    <t>ค่าบริการตรวจเช็คเครื่องยิงสตัด</t>
  </si>
  <si>
    <t>IQDEMY PRIMER FOR MATAL 1L</t>
  </si>
  <si>
    <t>พลาสติกห่อตู้ 20micx100cmx150m</t>
  </si>
  <si>
    <t>MCCB 3P EZC100N 30AT/100AF 15KA 415VAC</t>
  </si>
  <si>
    <t>MCCB 3P EZC100N 20AT/100AF 15KA 415VAC</t>
  </si>
  <si>
    <t>MCCB 2P EZC100H 30AT/100AF 30KA 415VAC</t>
  </si>
  <si>
    <t>MCCB 2P EZC100H 15AT/100AF 30KA 415VAC</t>
  </si>
  <si>
    <t>M5X40JPSUS</t>
  </si>
  <si>
    <t>สกรูสแตนเลสหัวกลม M5x40</t>
  </si>
  <si>
    <t xml:space="preserve">RELAY MKS2P 220AC </t>
  </si>
  <si>
    <t>สายไฟ XLPE3.6/6(7.2) KV-CV 1x25 MM</t>
  </si>
  <si>
    <t>I-KIT ROB3000 AUTOM INTERFACE</t>
  </si>
  <si>
    <t>สีฝุ่น สีขาวมุก J5000TH</t>
  </si>
  <si>
    <t>ลูกปืน 6202Z</t>
  </si>
  <si>
    <t>ที่อุดหู</t>
  </si>
  <si>
    <t>Version UP 1st Set Dongle no.00025377</t>
  </si>
  <si>
    <t>set</t>
  </si>
  <si>
    <t>Version UP From 2ndt Set Dongle no.00020014</t>
  </si>
  <si>
    <t>Version UP From 2ndt Set Dongle no.00022543</t>
  </si>
  <si>
    <t>Version UP From 2ndt Set Dongle no.00025376</t>
  </si>
  <si>
    <t>Version UP From 2ndt Set Dongle no.00025378</t>
  </si>
  <si>
    <t>แม่เหล็กกลม ขนาด T10x25MM</t>
  </si>
  <si>
    <t>Filter Fan PMV12.00024DC</t>
  </si>
  <si>
    <t>อุปกรณ์ลม</t>
  </si>
  <si>
    <t>เคเบิ้ลแกลนดำ PG21</t>
  </si>
  <si>
    <t>เคเบิ้ลแกลนดำ PG36</t>
  </si>
  <si>
    <t>KVCV1x50B</t>
  </si>
  <si>
    <t>สายไฟ XLPE3.6/6(7.2) KV-CV 1x50MM</t>
  </si>
  <si>
    <t>กุญแจกดเด้งสีดำ ล็อก 3ชั้น MS4008Z-1-1</t>
  </si>
  <si>
    <t>NEWERA</t>
  </si>
  <si>
    <t>WIRE ROPE 8MM.LHL T/6</t>
  </si>
  <si>
    <t>เสื้อจราจร RIGHT 5102 2 แถบ OR</t>
  </si>
  <si>
    <t>ลวดตาข่าย #8 ขนาดลวด 4มิล รู 1.1/2"</t>
  </si>
  <si>
    <t>สกรูหัวกลมแฉก M5x25 JP SUS</t>
  </si>
  <si>
    <t>MLFC8SQMM</t>
  </si>
  <si>
    <t>สายเคเบิ้ล MLFC 6.6 KV 6600V8SQMM</t>
  </si>
  <si>
    <t xml:space="preserve">เครื่องยิงสตัด BMS-8N </t>
  </si>
  <si>
    <t>SOYER</t>
  </si>
  <si>
    <t>DOOR LOCKER AB301-3-1 BLACK</t>
  </si>
  <si>
    <t>ANNUAL SERVICE MODEL OSP-22SNA MFG NO.HTB 11223</t>
  </si>
  <si>
    <t>HICOM</t>
  </si>
  <si>
    <t>ANNUAL SERVICE MODEL ARX50J MFG NO E304002</t>
  </si>
  <si>
    <t>BOARD BMS-8N (อะไหล่เครื่องยิงสตัด)</t>
  </si>
  <si>
    <t>หางปลาแฉกหุ้ม YF2.5+4S</t>
  </si>
  <si>
    <t>น้ำยาล้างแนวเชื่อม CT-501 NB</t>
  </si>
  <si>
    <t xml:space="preserve">เบรกเกอร์ NF250-SV 3P 125A </t>
  </si>
  <si>
    <t xml:space="preserve">เบรกเกอร์ NF125-SV 3P 80A </t>
  </si>
  <si>
    <t xml:space="preserve">เบรกเกอร์ NF125-SV 3P 63A </t>
  </si>
  <si>
    <t xml:space="preserve">เบรกเกอร์ NF125-SV 3P 32A </t>
  </si>
  <si>
    <t>CRICUIT CP30-BA 2P5A</t>
  </si>
  <si>
    <t>สกรูเกลียวปล่อยไม้ SUS M4x30</t>
  </si>
  <si>
    <t>สายรัด RATCHET TIE DOWN 2"x8M x6000kg</t>
  </si>
  <si>
    <t>สีน้ำมัน สีครีม G-015</t>
  </si>
  <si>
    <t>BUSBAR</t>
  </si>
  <si>
    <t>บัสบาร์ทองแดง 80x10 ชุบดีบุก</t>
  </si>
  <si>
    <t>บัสบาร์ทองแดง 40x5 ชุบดีบุก</t>
  </si>
  <si>
    <t>บัสบาร์ทองแดง 25x5 ชุบดีบุก</t>
  </si>
  <si>
    <t>บัสบาร์ทองแดง 40x10 ชุบดีบุก</t>
  </si>
  <si>
    <t>ดอกสว่าน 3.7</t>
  </si>
  <si>
    <t>SURGE STPT240K275V-3P AC230VAC 3P 40A</t>
  </si>
  <si>
    <t>ซีล ISI 30 40 6 (ใช้เครื่องตัดเหล็ก)</t>
  </si>
  <si>
    <t>โอริง G-055 N-70(3.10x54.4) ใช้เครื่องตัดเหล็ก</t>
  </si>
  <si>
    <t>สีสเปร์ย สีน้ำตาล NO.7</t>
  </si>
  <si>
    <t>BOSNY</t>
  </si>
  <si>
    <t>สีสเปร์ย สีเทา 920</t>
  </si>
  <si>
    <t>สีสเปร์ย สีเขียว 217</t>
  </si>
  <si>
    <t>สีสเปร์ย สีฟ้า 224</t>
  </si>
  <si>
    <t>หินเจียร์มอเตอร์ เขียว 6x1</t>
  </si>
  <si>
    <t xml:space="preserve">หินเจียร์มอเตอร์ เทา 6x1 </t>
  </si>
  <si>
    <t xml:space="preserve">ดอกสว่าน นาซิ 3.7 </t>
  </si>
  <si>
    <t>ลิมิตสวิตซ์ D4A-D4V8108SZ</t>
  </si>
  <si>
    <t>IQ WF PREMUIM 1L</t>
  </si>
  <si>
    <t>INJECTOR NOZZLE</t>
  </si>
  <si>
    <t>END PLATE WITH HOOK GM03</t>
  </si>
  <si>
    <t>FLUIDIZING ZFLUIDIZING SUC0</t>
  </si>
  <si>
    <t xml:space="preserve">สายไฟ XLPE 12/20(24KV) 1x35MM </t>
  </si>
  <si>
    <t>ล้อแป้นเป็น ติดเบรค GPU 3"</t>
  </si>
  <si>
    <t>STP</t>
  </si>
  <si>
    <t>ยางขอบกระจกพร้อมใส้</t>
  </si>
  <si>
    <t xml:space="preserve">MCB IC60N 3P 25A </t>
  </si>
  <si>
    <t>ลดกลม PVC 1"x1/2"</t>
  </si>
  <si>
    <t>ลดเหลี่ยม SUS 1.1/4"x1"</t>
  </si>
  <si>
    <t>ข้องอเกลียวใน SUS 1/4"</t>
  </si>
  <si>
    <t>นิปเปิ้ล SUS 1/4"</t>
  </si>
  <si>
    <t>ต่อลดเกลียวใน SUS 1.1/4"x1"</t>
  </si>
  <si>
    <t>หน้าแปลน PVC 1.1/2"</t>
  </si>
  <si>
    <t>ต่อลด PVC 1.1/2"x1"</t>
  </si>
  <si>
    <t>ข้อต่อยูเนียน PVC 1"</t>
  </si>
  <si>
    <t>ข้อต่อยูเนียน PVC 1.1/2"</t>
  </si>
  <si>
    <t>ต่อตรงเกลียวใน ทองเหลือง 1/2"</t>
  </si>
  <si>
    <t>ต่อเกลียวใน PVC 1.1/2"</t>
  </si>
  <si>
    <t>กาวทาท่อตราช้าง</t>
  </si>
  <si>
    <t>ท่อ PVC 1.1/2"</t>
  </si>
  <si>
    <t>เพาเวอร์ปลั๊ก ตัวผู้ 3P6h 230V 16A IP44</t>
  </si>
  <si>
    <t>เพาเวอร์ปลั๊ก ตัวเมีย 3P6h 230V 16A IP44</t>
  </si>
  <si>
    <t>เทอร์โมสตัท RTS-3-300 70C/83C 16A</t>
  </si>
  <si>
    <t>โฮลซอ 16 มิล</t>
  </si>
  <si>
    <t>สกรูน๊อต 1/2"x4"</t>
  </si>
  <si>
    <t>รีเวทนัท M5 SUS</t>
  </si>
  <si>
    <t>หน้าแปลน PVC 1"</t>
  </si>
  <si>
    <t>ไม้ก๊อกผสมยาง 52999 พับไม่หัก W 1xL 1Mtr Thk 3.0mm</t>
  </si>
  <si>
    <t>SHEET</t>
  </si>
  <si>
    <t>สปริง 7/8"</t>
  </si>
  <si>
    <t xml:space="preserve">สายลมถัก 8x12 สีน้ำเงิน </t>
  </si>
  <si>
    <t xml:space="preserve">เคเบิ้ลแกรนไนล่อนสีดำ PG16 </t>
  </si>
  <si>
    <t>แบบฟอร์มใบกำกับภาษี ขนาด 9.5",6ชั้น 1สี</t>
  </si>
  <si>
    <t>ฟอร์มใบเสร็จรับเงิน ขนาด 9"x8" 3ชั้น 1สี</t>
  </si>
  <si>
    <t>สายไฟ VCT 3x1SQMM</t>
  </si>
  <si>
    <t>สายไฟ VCT 3x2.5SQMM</t>
  </si>
  <si>
    <t>Ink Filter</t>
  </si>
  <si>
    <t>Hinge zinc die black BP919</t>
  </si>
  <si>
    <t>Best port</t>
  </si>
  <si>
    <t>สายไฟ MLFC 6.6KV 8SQ.MM</t>
  </si>
  <si>
    <t>สติ๊กเกอร์สะท้อนแสง 3M-610-10</t>
  </si>
  <si>
    <t>หลา</t>
  </si>
  <si>
    <t>สกรูเกลียวปล่อย M7x1.1/2" P</t>
  </si>
  <si>
    <t>ยูโบล์ท 1.1/4"</t>
  </si>
  <si>
    <t>SL38-6</t>
  </si>
  <si>
    <t>หางปลากลมปลือย38-6</t>
  </si>
  <si>
    <t>SL38-8</t>
  </si>
  <si>
    <t>หางปลากลมปลือย38-8</t>
  </si>
  <si>
    <t>สายพาน A84 BANDO</t>
  </si>
  <si>
    <t>ยางขอบตู้กันน้ำ</t>
  </si>
  <si>
    <t xml:space="preserve">สีพ่น 2K </t>
  </si>
  <si>
    <t>ตัวเร่ง 2K</t>
  </si>
  <si>
    <t>สีฝุ่น สีขาว P00161AN</t>
  </si>
  <si>
    <t>อั๊คโช่</t>
  </si>
  <si>
    <t>มิเตอร์ MH-96 3P4W 5A</t>
  </si>
  <si>
    <t>Solenoid Vale(die-cast aluminum) CODE 71563951 VQZ1221-5LOB1-M5-Q</t>
  </si>
  <si>
    <t>CVS630F TM600D 3P3D 380/415 VAC</t>
  </si>
  <si>
    <t>MCCB A1C125 1P 15A 18KA</t>
  </si>
  <si>
    <t>หางปลากลมเปลือย 3.5-4</t>
  </si>
  <si>
    <t>(All)</t>
  </si>
  <si>
    <t>Values</t>
  </si>
  <si>
    <t>(Multiple Items)</t>
  </si>
  <si>
    <t>Sum of QTY</t>
  </si>
  <si>
    <t>Sum of Total</t>
  </si>
  <si>
    <t>(blank)</t>
  </si>
  <si>
    <t>Average of UNIT/Price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</si>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</sst>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-m\-yy"/>
    <numFmt numFmtId="165" formatCode="D/M/YYYY"/>
  </numFmts>
  <fonts count="9">
    <font>
      <sz val="12.0"/>
      <color theme="1"/>
      <name val="Arial"/>
    </font>
    <font>
      <sz val="12.0"/>
      <color theme="1"/>
      <name val="Calibri"/>
    </font>
    <font>
      <sz val="10.0"/>
      <color theme="1"/>
      <name val="Calibri"/>
    </font>
    <font>
      <color theme="1"/>
      <name val="Calibri"/>
    </font>
    <font>
      <sz val="14.0"/>
      <color theme="1"/>
      <name val="Angsana New"/>
    </font>
    <font>
      <sz val="11.0"/>
      <color theme="1"/>
      <name val="Calibri"/>
    </font>
    <font>
      <u/>
      <sz val="12.0"/>
      <color theme="10"/>
    </font>
    <font>
      <u/>
      <sz val="12.0"/>
      <color theme="10"/>
      <name val="Calibri"/>
    </font>
    <font>
      <sz val="12.0"/>
      <color theme="1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7CAAC"/>
        <bgColor rgb="FFF7CAAC"/>
      </patternFill>
    </fill>
    <fill>
      <patternFill patternType="solid">
        <fgColor rgb="FFD0CECE"/>
        <bgColor rgb="FFD0CECE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1" fillId="2" fontId="1" numFmtId="0" xfId="0" applyBorder="1" applyFill="1" applyFont="1"/>
    <xf borderId="0" fillId="0" fontId="3" numFmtId="0" xfId="0" applyFont="1"/>
    <xf borderId="0" fillId="0" fontId="1" numFmtId="164" xfId="0" applyFont="1" applyNumberFormat="1"/>
    <xf borderId="0" fillId="0" fontId="2" numFmtId="0" xfId="0" applyFont="1"/>
    <xf borderId="1" fillId="3" fontId="1" numFmtId="0" xfId="0" applyBorder="1" applyFill="1" applyFont="1"/>
    <xf borderId="0" fillId="0" fontId="1" numFmtId="1" xfId="0" applyFont="1" applyNumberFormat="1"/>
    <xf borderId="0" fillId="0" fontId="4" numFmtId="164" xfId="0" applyFont="1" applyNumberFormat="1"/>
    <xf borderId="2" fillId="0" fontId="1" numFmtId="0" xfId="0" applyBorder="1" applyFont="1"/>
    <xf borderId="2" fillId="4" fontId="1" numFmtId="0" xfId="0" applyAlignment="1" applyBorder="1" applyFill="1" applyFont="1">
      <alignment horizontal="center"/>
    </xf>
    <xf borderId="2" fillId="0" fontId="1" numFmtId="4" xfId="0" applyBorder="1" applyFont="1" applyNumberFormat="1"/>
    <xf borderId="3" fillId="4" fontId="1" numFmtId="0" xfId="0" applyBorder="1" applyFont="1"/>
    <xf borderId="3" fillId="4" fontId="1" numFmtId="4" xfId="0" applyBorder="1" applyFont="1" applyNumberFormat="1"/>
    <xf borderId="2" fillId="0" fontId="1" numFmtId="0" xfId="0" applyAlignment="1" applyBorder="1" applyFont="1">
      <alignment horizontal="left"/>
    </xf>
    <xf borderId="2" fillId="0" fontId="5" numFmtId="4" xfId="0" applyBorder="1" applyFont="1" applyNumberFormat="1"/>
    <xf borderId="4" fillId="0" fontId="1" numFmtId="4" xfId="0" applyBorder="1" applyFont="1" applyNumberFormat="1"/>
    <xf borderId="4" fillId="0" fontId="1" numFmtId="0" xfId="0" applyBorder="1" applyFont="1"/>
    <xf borderId="0" fillId="0" fontId="1" numFmtId="165" xfId="0" applyFont="1" applyNumberFormat="1"/>
    <xf borderId="2" fillId="5" fontId="1" numFmtId="0" xfId="0" applyBorder="1" applyFill="1" applyFont="1"/>
    <xf borderId="3" fillId="5" fontId="1" numFmtId="0" xfId="0" applyBorder="1" applyFont="1"/>
    <xf borderId="3" fillId="6" fontId="1" numFmtId="0" xfId="0" applyBorder="1" applyFill="1" applyFont="1"/>
    <xf borderId="0" fillId="0" fontId="3" numFmtId="0" xfId="0" applyFont="1"/>
    <xf borderId="3" fillId="7" fontId="1" numFmtId="0" xfId="0" applyBorder="1" applyFill="1" applyFont="1"/>
    <xf borderId="0" fillId="0" fontId="1" numFmtId="2" xfId="0" applyFont="1" applyNumberFormat="1"/>
    <xf borderId="0" fillId="0" fontId="1" numFmtId="0" xfId="0" applyFont="1"/>
    <xf borderId="3" fillId="2" fontId="1" numFmtId="0" xfId="0" applyBorder="1" applyFont="1"/>
    <xf borderId="3" fillId="2" fontId="1" numFmtId="1" xfId="0" applyBorder="1" applyFont="1" applyNumberFormat="1"/>
    <xf borderId="3" fillId="8" fontId="4" numFmtId="164" xfId="0" applyBorder="1" applyFill="1" applyFont="1" applyNumberFormat="1"/>
    <xf borderId="3" fillId="8" fontId="2" numFmtId="0" xfId="0" applyBorder="1" applyFont="1"/>
    <xf borderId="3" fillId="8" fontId="1" numFmtId="0" xfId="0" applyBorder="1" applyFont="1"/>
    <xf borderId="3" fillId="8" fontId="1" numFmtId="1" xfId="0" applyBorder="1" applyFont="1" applyNumberFormat="1"/>
    <xf borderId="2" fillId="8" fontId="1" numFmtId="0" xfId="0" applyBorder="1" applyFont="1"/>
    <xf borderId="2" fillId="8" fontId="1" numFmtId="4" xfId="0" applyBorder="1" applyFont="1" applyNumberFormat="1"/>
    <xf borderId="3" fillId="8" fontId="1" numFmtId="4" xfId="0" applyBorder="1" applyFont="1" applyNumberFormat="1"/>
    <xf borderId="0" fillId="0" fontId="4" numFmtId="0" xfId="0" applyFont="1"/>
    <xf borderId="0" fillId="0" fontId="4" numFmtId="1" xfId="0" applyFont="1" applyNumberFormat="1"/>
    <xf borderId="0" fillId="0" fontId="2" numFmtId="165" xfId="0" applyFont="1" applyNumberFormat="1"/>
    <xf borderId="0" fillId="0" fontId="1" numFmtId="0" xfId="0" applyAlignment="1" applyFont="1">
      <alignment shrinkToFit="0" wrapText="1"/>
    </xf>
    <xf borderId="1" fillId="4" fontId="1" numFmtId="0" xfId="0" applyBorder="1" applyFont="1"/>
    <xf borderId="2" fillId="4" fontId="1" numFmtId="0" xfId="0" applyBorder="1" applyFont="1"/>
    <xf borderId="0" fillId="0" fontId="6" numFmtId="0" xfId="0" applyAlignment="1" applyFont="1">
      <alignment horizontal="left"/>
    </xf>
    <xf borderId="0" fillId="0" fontId="7" numFmtId="0" xfId="0" applyFont="1"/>
    <xf borderId="0" fillId="0" fontId="1" numFmtId="4" xfId="0" applyAlignment="1" applyFont="1" applyNumberFormat="1">
      <alignment horizontal="right"/>
    </xf>
    <xf borderId="0" fillId="0" fontId="1" numFmtId="0" xfId="0" applyAlignment="1" applyFont="1">
      <alignment horizontal="left"/>
    </xf>
    <xf borderId="0" fillId="0" fontId="1" numFmtId="4" xfId="0" applyAlignment="1" applyFont="1" applyNumberFormat="1">
      <alignment horizontal="right"/>
    </xf>
    <xf borderId="2" fillId="0" fontId="1" numFmtId="0" xfId="0" applyBorder="1" applyFont="1"/>
    <xf borderId="2" fillId="0" fontId="1" numFmtId="0" xfId="0" applyAlignment="1" applyBorder="1" applyFont="1">
      <alignment horizontal="center"/>
    </xf>
    <xf borderId="3" fillId="9" fontId="1" numFmtId="4" xfId="0" applyAlignment="1" applyBorder="1" applyFill="1" applyFont="1" applyNumberFormat="1">
      <alignment horizontal="right"/>
    </xf>
    <xf borderId="3" fillId="9" fontId="1" numFmtId="0" xfId="0" applyBorder="1" applyFont="1"/>
    <xf borderId="2" fillId="5" fontId="1" numFmtId="0" xfId="0" applyBorder="1" applyFont="1"/>
    <xf borderId="2" fillId="0" fontId="8" numFmtId="0" xfId="0" applyBorder="1" applyFont="1"/>
    <xf borderId="5" fillId="5" fontId="1" numFmtId="0" xfId="0" applyBorder="1" applyFont="1"/>
    <xf borderId="3" fillId="5" fontId="1" numFmtId="0" xfId="0" applyBorder="1" applyFont="1"/>
    <xf borderId="2" fillId="2" fontId="1" numFmtId="0" xfId="0" applyBorder="1" applyFont="1"/>
    <xf borderId="4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3" fillId="5" fontId="1" numFmtId="0" xfId="0" applyAlignment="1" applyBorder="1" applyFont="1">
      <alignment horizontal="left"/>
    </xf>
    <xf borderId="1" fillId="5" fontId="1" numFmtId="0" xfId="0" applyBorder="1" applyFont="1"/>
    <xf borderId="1" fillId="5" fontId="1" numFmtId="0" xfId="0" applyAlignment="1" applyBorder="1" applyFont="1">
      <alignment horizontal="center"/>
    </xf>
    <xf borderId="3" fillId="5" fontId="1" numFmtId="4" xfId="0" applyAlignment="1" applyBorder="1" applyFont="1" applyNumberFormat="1">
      <alignment horizontal="right"/>
    </xf>
    <xf borderId="3" fillId="2" fontId="1" numFmtId="0" xfId="0" applyAlignment="1" applyBorder="1" applyFont="1">
      <alignment horizontal="left"/>
    </xf>
    <xf borderId="0" fillId="0" fontId="1" numFmtId="4" xfId="0" applyFont="1" applyNumberFormat="1"/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  <tableStyles count="2">
    <tableStyle count="3" pivot="0" name="INSTOCK-style">
      <tableStyleElement dxfId="1" type="headerRow"/>
      <tableStyleElement dxfId="2" type="firstRowStripe"/>
      <tableStyleElement dxfId="3" type="secondRowStripe"/>
    </tableStyle>
    <tableStyle count="3" pivot="0" name="TABLEITEM-style">
      <tableStyleElement dxfId="4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externalLink" Target="externalLinks/externalLink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pc-satita\Documents\BOW\1-INSTOCK1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pc-satita\Documents\BOW\1-INSTOCK3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2-OUTSTOCK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STOCK"/>
      <sheetName val="TABLEITEM"/>
      <sheetName val="REPORTIN"/>
      <sheetName val="1-INSTOCK1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STOCK"/>
      <sheetName val="TABLEITEM"/>
      <sheetName val="REPORTIN"/>
      <sheetName val="1-INSTOCK3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2-OUTSTOCK"/>
    </sheetNames>
    <sheetDataSet>
      <sheetData sheetId="0" refreshError="1"/>
      <sheetData sheetId="1" refreshError="1"/>
    </sheetDataSet>
  </externalBook>
</externalLink>
</file>

<file path=xl/tables/table1.xml><?xml version="1.0" encoding="utf-8"?>
<table xmlns="http://schemas.openxmlformats.org/spreadsheetml/2006/main" ref="B2:P6125" displayName="Table_1" id="1">
  <tableColumns count="15">
    <tableColumn name="NO." id="1"/>
    <tableColumn name="DATE" id="2"/>
    <tableColumn name="IV No." id="3"/>
    <tableColumn name="PO No." id="4"/>
    <tableColumn name="PC Job" id="5"/>
    <tableColumn name="SUPPLIER" id="6"/>
    <tableColumn name="ID" id="7"/>
    <tableColumn name="qty" id="8"/>
    <tableColumn name="Column3" id="9"/>
    <tableColumn name="UNIT/Price" id="10"/>
    <tableColumn name="group" id="11"/>
    <tableColumn name="LIST " id="12"/>
    <tableColumn name="Total" id="13"/>
    <tableColumn name="Column1" id="14"/>
    <tableColumn name="Column2" id="15"/>
  </tableColumns>
  <tableStyleInfo name="INSTOCK-style" showColumnStripes="0" showFirstColumn="1" showLastColumn="1" showRowStripes="1"/>
</table>
</file>

<file path=xl/tables/table2.xml><?xml version="1.0" encoding="utf-8"?>
<table xmlns="http://schemas.openxmlformats.org/spreadsheetml/2006/main" ref="A2:J2749" displayName="Table_2" id="2">
  <tableColumns count="10">
    <tableColumn name="NO." id="1"/>
    <tableColumn name="CODE" id="2"/>
    <tableColumn name="GROUP" id="3"/>
    <tableColumn name="LIST" id="4"/>
    <tableColumn name="BRAND" id="5"/>
    <tableColumn name="unit" id="6"/>
    <tableColumn name="MAX" id="7"/>
    <tableColumn name="SUM IN" id="8"/>
    <tableColumn name="SUM OUT" id="9"/>
    <tableColumn name="คงเหลือ" id="10"/>
  </tableColumns>
  <tableStyleInfo name="TABLEITE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.78"/>
    <col customWidth="1" hidden="1" min="2" max="2" width="0.44"/>
    <col customWidth="1" min="3" max="3" width="10.11"/>
    <col customWidth="1" min="4" max="4" width="15.44"/>
    <col customWidth="1" min="5" max="5" width="12.0"/>
    <col customWidth="1" min="6" max="6" width="11.0"/>
    <col customWidth="1" min="7" max="7" width="19.89"/>
    <col customWidth="1" min="8" max="8" width="16.22"/>
    <col customWidth="1" min="9" max="9" width="7.44"/>
    <col customWidth="1" min="10" max="10" width="8.0"/>
    <col customWidth="1" min="11" max="11" width="12.44"/>
    <col customWidth="1" min="12" max="12" width="6.44"/>
    <col customWidth="1" min="13" max="13" width="46.0"/>
    <col customWidth="1" min="14" max="14" width="11.44"/>
    <col customWidth="1" min="15" max="15" width="12.0"/>
    <col customWidth="1" min="16" max="16" width="11.0"/>
  </cols>
  <sheetData>
    <row r="1">
      <c r="C1" s="1"/>
      <c r="D1" s="2"/>
      <c r="J1" s="3"/>
    </row>
    <row r="2">
      <c r="B2" s="4" t="s">
        <v>0</v>
      </c>
      <c r="C2" s="5" t="s">
        <v>1</v>
      </c>
      <c r="D2" s="6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7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</row>
    <row r="3" hidden="1">
      <c r="B3" s="8">
        <v>1.0</v>
      </c>
      <c r="C3" s="9">
        <v>43199.0</v>
      </c>
      <c r="D3" s="6" t="s">
        <v>15</v>
      </c>
      <c r="E3" s="4"/>
      <c r="F3" s="8"/>
      <c r="G3" s="4"/>
      <c r="H3" s="10" t="s">
        <v>16</v>
      </c>
      <c r="I3" s="10">
        <v>102.0</v>
      </c>
      <c r="J3" s="11" t="str">
        <f>IF(D3&lt;&gt;"",VLOOKUP(H3,TABLEITEM,5,FALSE),"")</f>
        <v>คู่</v>
      </c>
      <c r="K3" s="12">
        <v>4.58</v>
      </c>
      <c r="L3" s="13" t="str">
        <f>IF(D3&lt;&gt;"",VLOOKUP(H3,TABLEITEM,2,FALSE),"")</f>
        <v/>
      </c>
      <c r="M3" s="13" t="str">
        <f>IF(D3&lt;&gt;"",VLOOKUP(H3,TABLEITEM,3,FALSE),"")</f>
        <v>ถุงมือผ้า</v>
      </c>
      <c r="N3" s="14">
        <f>INSTOCK!$I3*INSTOCK!$K3</f>
        <v>467.16</v>
      </c>
      <c r="O3" s="4"/>
      <c r="P3" s="4"/>
    </row>
    <row r="4" hidden="1">
      <c r="B4" s="8">
        <v>2.0</v>
      </c>
      <c r="C4" s="9">
        <v>43199.0</v>
      </c>
      <c r="D4" s="6" t="s">
        <v>15</v>
      </c>
      <c r="E4" s="4"/>
      <c r="F4" s="8"/>
      <c r="G4" s="4"/>
      <c r="H4" s="10" t="s">
        <v>17</v>
      </c>
      <c r="I4" s="10">
        <v>13.0</v>
      </c>
      <c r="J4" s="11" t="str">
        <f>IF(D4&lt;&gt;"",VLOOKUP(H4,TABLEITEM,5,FALSE),"")</f>
        <v>คู่</v>
      </c>
      <c r="K4" s="12">
        <v>41.66</v>
      </c>
      <c r="L4" s="13" t="str">
        <f>IF(D4&lt;&gt;"",VLOOKUP(H4,TABLEITEM,2,FALSE),"")</f>
        <v/>
      </c>
      <c r="M4" s="13" t="str">
        <f>IF(D4&lt;&gt;"",VLOOKUP(H4,TABLEITEM,3,FALSE),"")</f>
        <v>ถุงมือหนัง</v>
      </c>
      <c r="N4" s="14">
        <f>INSTOCK!$I4*INSTOCK!$K4</f>
        <v>541.58</v>
      </c>
      <c r="O4" s="4"/>
      <c r="P4" s="4"/>
    </row>
    <row r="5" hidden="1">
      <c r="B5" s="8">
        <v>3.0</v>
      </c>
      <c r="C5" s="9">
        <v>43199.0</v>
      </c>
      <c r="D5" s="6" t="s">
        <v>15</v>
      </c>
      <c r="E5" s="4"/>
      <c r="F5" s="8"/>
      <c r="G5" s="4"/>
      <c r="H5" s="10" t="s">
        <v>18</v>
      </c>
      <c r="I5" s="10">
        <v>195.0</v>
      </c>
      <c r="J5" s="11" t="str">
        <f>IF(D5&lt;&gt;"",VLOOKUP(H5,TABLEITEM,5,FALSE),"")</f>
        <v>EA</v>
      </c>
      <c r="K5" s="12">
        <v>2.5</v>
      </c>
      <c r="L5" s="13" t="str">
        <f>IF(D5&lt;&gt;"",VLOOKUP(H5,TABLEITEM,2,FALSE),"")</f>
        <v/>
      </c>
      <c r="M5" s="13" t="str">
        <f>IF(D5&lt;&gt;"",VLOOKUP(H5,TABLEITEM,3,FALSE),"")</f>
        <v>ผ้าปิดจมูก</v>
      </c>
      <c r="N5" s="14">
        <f>INSTOCK!$I5*INSTOCK!$K5</f>
        <v>487.5</v>
      </c>
      <c r="O5" s="4"/>
      <c r="P5" s="4"/>
    </row>
    <row r="6" hidden="1">
      <c r="B6" s="8">
        <v>4.0</v>
      </c>
      <c r="C6" s="9">
        <v>43199.0</v>
      </c>
      <c r="D6" s="6" t="s">
        <v>15</v>
      </c>
      <c r="E6" s="4"/>
      <c r="F6" s="8"/>
      <c r="G6" s="4"/>
      <c r="H6" s="10" t="s">
        <v>19</v>
      </c>
      <c r="I6" s="10">
        <v>30.0</v>
      </c>
      <c r="J6" s="11" t="str">
        <f>IF(D6&lt;&gt;"",VLOOKUP(H6,TABLEITEM,5,FALSE),"")</f>
        <v>ROLL</v>
      </c>
      <c r="K6" s="12">
        <v>140.0</v>
      </c>
      <c r="L6" s="13" t="str">
        <f>IF(D6&lt;&gt;"",VLOOKUP(H6,TABLEITEM,2,FALSE),"")</f>
        <v/>
      </c>
      <c r="M6" s="13" t="str">
        <f>IF(D6&lt;&gt;"",VLOOKUP(H6,TABLEITEM,3,FALSE),"")</f>
        <v>พลาสติกห่อตู้ 20micx50cmx300m</v>
      </c>
      <c r="N6" s="14">
        <f>INSTOCK!$I6*INSTOCK!$K6</f>
        <v>4200</v>
      </c>
      <c r="O6" s="4"/>
      <c r="P6" s="4"/>
    </row>
    <row r="7" hidden="1">
      <c r="B7" s="8">
        <v>5.0</v>
      </c>
      <c r="C7" s="9">
        <v>43199.0</v>
      </c>
      <c r="D7" s="6" t="s">
        <v>15</v>
      </c>
      <c r="E7" s="4"/>
      <c r="F7" s="8"/>
      <c r="G7" s="4"/>
      <c r="H7" s="10" t="s">
        <v>20</v>
      </c>
      <c r="I7" s="10">
        <v>9.0</v>
      </c>
      <c r="J7" s="11" t="str">
        <f>IF(D7&lt;&gt;"",VLOOKUP(H7,TABLEITEM,5,FALSE),"")</f>
        <v>ROLL</v>
      </c>
      <c r="K7" s="12">
        <v>750.0</v>
      </c>
      <c r="L7" s="13" t="str">
        <f>IF(D7&lt;&gt;"",VLOOKUP(H7,TABLEITEM,2,FALSE),"")</f>
        <v/>
      </c>
      <c r="M7" s="13" t="str">
        <f>IF(D7&lt;&gt;"",VLOOKUP(H7,TABLEITEM,3,FALSE),"")</f>
        <v>ลวดเชื่อมco2</v>
      </c>
      <c r="N7" s="14">
        <f>INSTOCK!$I7*INSTOCK!$K7</f>
        <v>6750</v>
      </c>
      <c r="O7" s="4"/>
      <c r="P7" s="4"/>
    </row>
    <row r="8" hidden="1">
      <c r="B8" s="8">
        <v>6.0</v>
      </c>
      <c r="C8" s="9">
        <v>43199.0</v>
      </c>
      <c r="D8" s="6" t="s">
        <v>15</v>
      </c>
      <c r="E8" s="4"/>
      <c r="F8" s="8"/>
      <c r="G8" s="4"/>
      <c r="H8" s="10" t="s">
        <v>21</v>
      </c>
      <c r="I8" s="10">
        <v>360.0</v>
      </c>
      <c r="J8" s="11" t="str">
        <f>IF(D8&lt;&gt;"",VLOOKUP(H8,TABLEITEM,5,FALSE),"")</f>
        <v>EA</v>
      </c>
      <c r="K8" s="12">
        <v>40.0</v>
      </c>
      <c r="L8" s="13" t="str">
        <f>IF(D8&lt;&gt;"",VLOOKUP(H8,TABLEITEM,2,FALSE),"")</f>
        <v/>
      </c>
      <c r="M8" s="13" t="str">
        <f>IF(D8&lt;&gt;"",VLOOKUP(H8,TABLEITEM,3,FALSE),"")</f>
        <v>ใบหินเจียร์ 4'' </v>
      </c>
      <c r="N8" s="14">
        <f>INSTOCK!$I8*INSTOCK!$K8</f>
        <v>14400</v>
      </c>
      <c r="O8" s="4"/>
      <c r="P8" s="4"/>
    </row>
    <row r="9" hidden="1">
      <c r="B9" s="8">
        <v>7.0</v>
      </c>
      <c r="C9" s="9">
        <v>43199.0</v>
      </c>
      <c r="D9" s="6" t="s">
        <v>15</v>
      </c>
      <c r="E9" s="4"/>
      <c r="F9" s="8"/>
      <c r="G9" s="4"/>
      <c r="H9" s="10" t="s">
        <v>22</v>
      </c>
      <c r="I9" s="10">
        <v>390.0</v>
      </c>
      <c r="J9" s="11" t="str">
        <f>IF(D9&lt;&gt;"",VLOOKUP(H9,TABLEITEM,5,FALSE),"")</f>
        <v>EA</v>
      </c>
      <c r="K9" s="12">
        <v>42.0</v>
      </c>
      <c r="L9" s="13" t="str">
        <f>IF(D9&lt;&gt;"",VLOOKUP(H9,TABLEITEM,2,FALSE),"")</f>
        <v/>
      </c>
      <c r="M9" s="13" t="str">
        <f>IF(D9&lt;&gt;"",VLOOKUP(H9,TABLEITEM,3,FALSE),"")</f>
        <v>ใบขัดซ้อน # 80</v>
      </c>
      <c r="N9" s="14">
        <f>INSTOCK!$I9*INSTOCK!$K9</f>
        <v>16380</v>
      </c>
      <c r="O9" s="4"/>
      <c r="P9" s="4"/>
    </row>
    <row r="10" hidden="1">
      <c r="B10" s="8">
        <v>8.0</v>
      </c>
      <c r="C10" s="9">
        <v>43199.0</v>
      </c>
      <c r="D10" s="6" t="s">
        <v>15</v>
      </c>
      <c r="E10" s="4"/>
      <c r="F10" s="8"/>
      <c r="G10" s="4"/>
      <c r="H10" s="10" t="s">
        <v>23</v>
      </c>
      <c r="I10" s="10">
        <v>110.0</v>
      </c>
      <c r="J10" s="11" t="str">
        <f>IF(D10&lt;&gt;"",VLOOKUP(H10,TABLEITEM,5,FALSE),"")</f>
        <v>EA</v>
      </c>
      <c r="K10" s="12">
        <v>25.0</v>
      </c>
      <c r="L10" s="13" t="str">
        <f>IF(D10&lt;&gt;"",VLOOKUP(H10,TABLEITEM,2,FALSE),"")</f>
        <v/>
      </c>
      <c r="M10" s="13" t="str">
        <f>IF(D10&lt;&gt;"",VLOOKUP(H10,TABLEITEM,3,FALSE),"")</f>
        <v>ใบขัดซ้อน  # 400</v>
      </c>
      <c r="N10" s="14">
        <f>INSTOCK!$I10*INSTOCK!$K10</f>
        <v>2750</v>
      </c>
      <c r="O10" s="4"/>
      <c r="P10" s="4"/>
    </row>
    <row r="11" hidden="1">
      <c r="B11" s="8">
        <v>9.0</v>
      </c>
      <c r="C11" s="9">
        <v>43199.0</v>
      </c>
      <c r="D11" s="6" t="s">
        <v>15</v>
      </c>
      <c r="E11" s="4"/>
      <c r="F11" s="8"/>
      <c r="G11" s="4"/>
      <c r="H11" s="10" t="s">
        <v>24</v>
      </c>
      <c r="I11" s="10">
        <v>900.0</v>
      </c>
      <c r="J11" s="11" t="str">
        <f>IF(D11&lt;&gt;"",VLOOKUP(H11,TABLEITEM,5,FALSE),"")</f>
        <v>EA</v>
      </c>
      <c r="K11" s="12">
        <v>4.5</v>
      </c>
      <c r="L11" s="13" t="str">
        <f>IF(D11&lt;&gt;"",VLOOKUP(H11,TABLEITEM,2,FALSE),"")</f>
        <v/>
      </c>
      <c r="M11" s="13" t="str">
        <f>IF(D11&lt;&gt;"",VLOOKUP(H11,TABLEITEM,3,FALSE),"")</f>
        <v>กระดาษทรายกลม#120</v>
      </c>
      <c r="N11" s="14">
        <f>INSTOCK!$I11*INSTOCK!$K11</f>
        <v>4050</v>
      </c>
      <c r="O11" s="4"/>
      <c r="P11" s="4"/>
    </row>
    <row r="12" hidden="1">
      <c r="B12" s="8">
        <v>10.0</v>
      </c>
      <c r="C12" s="9">
        <v>43199.0</v>
      </c>
      <c r="D12" s="6" t="s">
        <v>15</v>
      </c>
      <c r="E12" s="4"/>
      <c r="F12" s="8"/>
      <c r="G12" s="4"/>
      <c r="H12" s="10" t="s">
        <v>25</v>
      </c>
      <c r="I12" s="10">
        <v>10.0</v>
      </c>
      <c r="J12" s="11" t="str">
        <f>IF(D12&lt;&gt;"",VLOOKUP(H12,TABLEITEM,5,FALSE),"")</f>
        <v>#N/A</v>
      </c>
      <c r="K12" s="12">
        <v>490.0</v>
      </c>
      <c r="L12" s="13" t="str">
        <f>IF(D12&lt;&gt;"",VLOOKUP(H12,TABLEITEM,2,FALSE),"")</f>
        <v>#N/A</v>
      </c>
      <c r="M12" s="13" t="str">
        <f>IF(D12&lt;&gt;"",VLOOKUP(H12,TABLEITEM,3,FALSE),"")</f>
        <v>#N/A</v>
      </c>
      <c r="N12" s="14">
        <f>INSTOCK!$I12*INSTOCK!$K12</f>
        <v>4900</v>
      </c>
      <c r="O12" s="4"/>
      <c r="P12" s="4"/>
    </row>
    <row r="13" hidden="1">
      <c r="B13" s="8">
        <v>11.0</v>
      </c>
      <c r="C13" s="9">
        <v>43199.0</v>
      </c>
      <c r="D13" s="6" t="s">
        <v>15</v>
      </c>
      <c r="E13" s="4"/>
      <c r="F13" s="8"/>
      <c r="G13" s="4"/>
      <c r="H13" s="10" t="s">
        <v>26</v>
      </c>
      <c r="I13" s="10">
        <v>1200.0</v>
      </c>
      <c r="J13" s="11" t="str">
        <f>IF(D13&lt;&gt;"",VLOOKUP(H13,TABLEITEM,5,FALSE),"")</f>
        <v>M</v>
      </c>
      <c r="K13" s="12">
        <v>18.0</v>
      </c>
      <c r="L13" s="13" t="str">
        <f>IF(D13&lt;&gt;"",VLOOKUP(H13,TABLEITEM,2,FALSE),"")</f>
        <v/>
      </c>
      <c r="M13" s="13" t="str">
        <f>IF(D13&lt;&gt;"",VLOOKUP(H13,TABLEITEM,3,FALSE),"")</f>
        <v>ยางโปร่ง#110</v>
      </c>
      <c r="N13" s="14">
        <f>INSTOCK!$I13*INSTOCK!$K13</f>
        <v>21600</v>
      </c>
      <c r="O13" s="4"/>
      <c r="P13" s="4"/>
    </row>
    <row r="14" hidden="1">
      <c r="B14" s="8">
        <v>12.0</v>
      </c>
      <c r="C14" s="9">
        <v>43199.0</v>
      </c>
      <c r="D14" s="6" t="s">
        <v>15</v>
      </c>
      <c r="E14" s="4"/>
      <c r="F14" s="8"/>
      <c r="G14" s="4"/>
      <c r="H14" s="10" t="s">
        <v>27</v>
      </c>
      <c r="I14" s="10">
        <v>100.0</v>
      </c>
      <c r="J14" s="11" t="str">
        <f>IF(D14&lt;&gt;"",VLOOKUP(H14,TABLEITEM,5,FALSE),"")</f>
        <v>M</v>
      </c>
      <c r="K14" s="12">
        <v>12.0</v>
      </c>
      <c r="L14" s="13" t="str">
        <f>IF(D14&lt;&gt;"",VLOOKUP(H14,TABLEITEM,2,FALSE),"")</f>
        <v/>
      </c>
      <c r="M14" s="13" t="str">
        <f>IF(D14&lt;&gt;"",VLOOKUP(H14,TABLEITEM,3,FALSE),"")</f>
        <v>ยางฟองน้ำ 3/4''x3/16''</v>
      </c>
      <c r="N14" s="14">
        <f>INSTOCK!$I14*INSTOCK!$K14</f>
        <v>1200</v>
      </c>
      <c r="O14" s="4"/>
      <c r="P14" s="4"/>
    </row>
    <row r="15" hidden="1">
      <c r="B15" s="8">
        <v>13.0</v>
      </c>
      <c r="C15" s="9">
        <v>43199.0</v>
      </c>
      <c r="D15" s="6" t="s">
        <v>15</v>
      </c>
      <c r="E15" s="4"/>
      <c r="F15" s="8"/>
      <c r="G15" s="4"/>
      <c r="H15" s="10" t="s">
        <v>28</v>
      </c>
      <c r="I15" s="10">
        <v>400.0</v>
      </c>
      <c r="J15" s="11" t="str">
        <f>IF(D15&lt;&gt;"",VLOOKUP(H15,TABLEITEM,5,FALSE),"")</f>
        <v>M</v>
      </c>
      <c r="K15" s="12">
        <v>12.0</v>
      </c>
      <c r="L15" s="13" t="str">
        <f>IF(D15&lt;&gt;"",VLOOKUP(H15,TABLEITEM,2,FALSE),"")</f>
        <v/>
      </c>
      <c r="M15" s="13" t="str">
        <f>IF(D15&lt;&gt;"",VLOOKUP(H15,TABLEITEM,3,FALSE),"")</f>
        <v>ยางฟองน้ำ1"x1/8"</v>
      </c>
      <c r="N15" s="14">
        <f>INSTOCK!$I15*INSTOCK!$K15</f>
        <v>4800</v>
      </c>
      <c r="O15" s="4"/>
      <c r="P15" s="4"/>
    </row>
    <row r="16" hidden="1">
      <c r="B16" s="8">
        <v>14.0</v>
      </c>
      <c r="C16" s="9">
        <v>43199.0</v>
      </c>
      <c r="D16" s="6" t="s">
        <v>15</v>
      </c>
      <c r="E16" s="4"/>
      <c r="F16" s="8"/>
      <c r="G16" s="4"/>
      <c r="H16" s="10" t="s">
        <v>29</v>
      </c>
      <c r="I16" s="10">
        <v>1000.0</v>
      </c>
      <c r="J16" s="11" t="str">
        <f>IF(D16&lt;&gt;"",VLOOKUP(H16,TABLEITEM,5,FALSE),"")</f>
        <v>M</v>
      </c>
      <c r="K16" s="12">
        <v>17.0</v>
      </c>
      <c r="L16" s="13" t="str">
        <f>IF(D16&lt;&gt;"",VLOOKUP(H16,TABLEITEM,2,FALSE),"")</f>
        <v/>
      </c>
      <c r="M16" s="13" t="str">
        <f>IF(D16&lt;&gt;"",VLOOKUP(H16,TABLEITEM,3,FALSE),"")</f>
        <v>ยางฟองน้ำ1"x1/4''</v>
      </c>
      <c r="N16" s="14">
        <f>INSTOCK!$I16*INSTOCK!$K16</f>
        <v>17000</v>
      </c>
      <c r="O16" s="4"/>
      <c r="P16" s="4"/>
    </row>
    <row r="17" hidden="1">
      <c r="B17" s="8">
        <v>15.0</v>
      </c>
      <c r="C17" s="9">
        <v>43199.0</v>
      </c>
      <c r="D17" s="6" t="s">
        <v>15</v>
      </c>
      <c r="E17" s="4"/>
      <c r="F17" s="8"/>
      <c r="G17" s="4"/>
      <c r="H17" s="10" t="s">
        <v>30</v>
      </c>
      <c r="I17" s="10">
        <v>116.0</v>
      </c>
      <c r="J17" s="11" t="str">
        <f>IF(D17&lt;&gt;"",VLOOKUP(H17,TABLEITEM,5,FALSE),"")</f>
        <v>M</v>
      </c>
      <c r="K17" s="12">
        <v>33.0</v>
      </c>
      <c r="L17" s="13" t="str">
        <f>IF(D17&lt;&gt;"",VLOOKUP(H17,TABLEITEM,2,FALSE),"")</f>
        <v/>
      </c>
      <c r="M17" s="13" t="str">
        <f>IF(D17&lt;&gt;"",VLOOKUP(H17,TABLEITEM,3,FALSE),"")</f>
        <v>ยางฟองน้ำแถบกาว 3mm.X10m. </v>
      </c>
      <c r="N17" s="14">
        <f>INSTOCK!$I17*INSTOCK!$K17</f>
        <v>3828</v>
      </c>
      <c r="O17" s="4"/>
      <c r="P17" s="4"/>
    </row>
    <row r="18" hidden="1">
      <c r="B18" s="8">
        <v>16.0</v>
      </c>
      <c r="C18" s="9">
        <v>43199.0</v>
      </c>
      <c r="D18" s="6" t="s">
        <v>15</v>
      </c>
      <c r="E18" s="4"/>
      <c r="F18" s="8"/>
      <c r="G18" s="4"/>
      <c r="H18" s="10" t="s">
        <v>31</v>
      </c>
      <c r="I18" s="10">
        <v>300.0</v>
      </c>
      <c r="J18" s="11" t="str">
        <f>IF(D18&lt;&gt;"",VLOOKUP(H18,TABLEITEM,5,FALSE),"")</f>
        <v>M</v>
      </c>
      <c r="K18" s="12">
        <v>12.0</v>
      </c>
      <c r="L18" s="13" t="str">
        <f>IF(D18&lt;&gt;"",VLOOKUP(H18,TABLEITEM,2,FALSE),"")</f>
        <v/>
      </c>
      <c r="M18" s="13" t="str">
        <f>IF(D18&lt;&gt;"",VLOOKUP(H18,TABLEITEM,3,FALSE),"")</f>
        <v>ยางขอบกระจกร่อง 3mm.</v>
      </c>
      <c r="N18" s="14">
        <f>INSTOCK!$I18*INSTOCK!$K18</f>
        <v>3600</v>
      </c>
      <c r="O18" s="4"/>
      <c r="P18" s="4"/>
    </row>
    <row r="19" hidden="1">
      <c r="B19" s="8">
        <v>17.0</v>
      </c>
      <c r="C19" s="9">
        <v>43199.0</v>
      </c>
      <c r="D19" s="6" t="s">
        <v>15</v>
      </c>
      <c r="E19" s="4"/>
      <c r="F19" s="8"/>
      <c r="G19" s="4"/>
      <c r="H19" s="10" t="s">
        <v>32</v>
      </c>
      <c r="I19" s="10">
        <v>300.0</v>
      </c>
      <c r="J19" s="11" t="str">
        <f>IF(D19&lt;&gt;"",VLOOKUP(H19,TABLEITEM,5,FALSE),"")</f>
        <v>M</v>
      </c>
      <c r="K19" s="12">
        <v>12.0</v>
      </c>
      <c r="L19" s="13" t="str">
        <f>IF(D19&lt;&gt;"",VLOOKUP(H19,TABLEITEM,2,FALSE),"")</f>
        <v/>
      </c>
      <c r="M19" s="13" t="str">
        <f>IF(D19&lt;&gt;"",VLOOKUP(H19,TABLEITEM,3,FALSE),"")</f>
        <v>ยางขอบกระจกร่อง 5mm.</v>
      </c>
      <c r="N19" s="14">
        <f>INSTOCK!$I19*INSTOCK!$K19</f>
        <v>3600</v>
      </c>
      <c r="O19" s="4"/>
      <c r="P19" s="4"/>
    </row>
    <row r="20" hidden="1">
      <c r="B20" s="8">
        <v>18.0</v>
      </c>
      <c r="C20" s="9">
        <v>43199.0</v>
      </c>
      <c r="D20" s="6" t="s">
        <v>15</v>
      </c>
      <c r="E20" s="4"/>
      <c r="F20" s="8"/>
      <c r="G20" s="4"/>
      <c r="H20" s="10" t="s">
        <v>33</v>
      </c>
      <c r="I20" s="10">
        <v>200.0</v>
      </c>
      <c r="J20" s="11" t="str">
        <f>IF(D20&lt;&gt;"",VLOOKUP(H20,TABLEITEM,5,FALSE),"")</f>
        <v>M</v>
      </c>
      <c r="K20" s="12">
        <v>2.0</v>
      </c>
      <c r="L20" s="13" t="str">
        <f>IF(D20&lt;&gt;"",VLOOKUP(H20,TABLEITEM,2,FALSE),"")</f>
        <v/>
      </c>
      <c r="M20" s="13" t="str">
        <f>IF(D20&lt;&gt;"",VLOOKUP(H20,TABLEITEM,3,FALSE),"")</f>
        <v>ยางกันบาดร่อง 2m.</v>
      </c>
      <c r="N20" s="14">
        <f>INSTOCK!$I20*INSTOCK!$K20</f>
        <v>400</v>
      </c>
      <c r="O20" s="4"/>
      <c r="P20" s="4"/>
    </row>
    <row r="21" ht="15.75" hidden="1" customHeight="1">
      <c r="B21" s="8">
        <v>19.0</v>
      </c>
      <c r="C21" s="9">
        <v>43199.0</v>
      </c>
      <c r="D21" s="6" t="s">
        <v>15</v>
      </c>
      <c r="E21" s="4"/>
      <c r="F21" s="8"/>
      <c r="G21" s="4"/>
      <c r="H21" s="10" t="s">
        <v>34</v>
      </c>
      <c r="I21" s="10">
        <v>700.0</v>
      </c>
      <c r="J21" s="11" t="str">
        <f>IF(D21&lt;&gt;"",VLOOKUP(H21,TABLEITEM,5,FALSE),"")</f>
        <v>M</v>
      </c>
      <c r="K21" s="12">
        <v>12.0</v>
      </c>
      <c r="L21" s="13" t="str">
        <f>IF(D21&lt;&gt;"",VLOOKUP(H21,TABLEITEM,2,FALSE),"")</f>
        <v/>
      </c>
      <c r="M21" s="13" t="str">
        <f>IF(D21&lt;&gt;"",VLOOKUP(H21,TABLEITEM,3,FALSE),"")</f>
        <v>ยางกันบาดร่อง 3m.</v>
      </c>
      <c r="N21" s="14">
        <f>INSTOCK!$I21*INSTOCK!$K21</f>
        <v>8400</v>
      </c>
      <c r="O21" s="4"/>
      <c r="P21" s="4"/>
    </row>
    <row r="22" ht="15.75" hidden="1" customHeight="1">
      <c r="B22" s="8">
        <v>20.0</v>
      </c>
      <c r="C22" s="9">
        <v>43199.0</v>
      </c>
      <c r="D22" s="6" t="s">
        <v>15</v>
      </c>
      <c r="E22" s="4"/>
      <c r="F22" s="8"/>
      <c r="G22" s="4"/>
      <c r="H22" s="10" t="s">
        <v>35</v>
      </c>
      <c r="I22" s="10">
        <v>13.0</v>
      </c>
      <c r="J22" s="11" t="str">
        <f>IF(D22&lt;&gt;"",VLOOKUP(H22,TABLEITEM,5,FALSE),"")</f>
        <v>EA</v>
      </c>
      <c r="K22" s="12">
        <v>85.0</v>
      </c>
      <c r="L22" s="13" t="str">
        <f>IF(D22&lt;&gt;"",VLOOKUP(H22,TABLEITEM,2,FALSE),"")</f>
        <v/>
      </c>
      <c r="M22" s="13" t="str">
        <f>IF(D22&lt;&gt;"",VLOOKUP(H22,TABLEITEM,3,FALSE),"")</f>
        <v>ใบตัดไฟเบอร์ #16</v>
      </c>
      <c r="N22" s="14">
        <f>INSTOCK!$I22*INSTOCK!$K22</f>
        <v>1105</v>
      </c>
      <c r="O22" s="4"/>
      <c r="P22" s="4"/>
    </row>
    <row r="23" ht="15.75" hidden="1" customHeight="1">
      <c r="B23" s="8">
        <v>21.0</v>
      </c>
      <c r="C23" s="9">
        <v>43199.0</v>
      </c>
      <c r="D23" s="6" t="s">
        <v>15</v>
      </c>
      <c r="E23" s="4"/>
      <c r="F23" s="8"/>
      <c r="G23" s="4"/>
      <c r="H23" s="10" t="s">
        <v>36</v>
      </c>
      <c r="I23" s="10">
        <v>1.0</v>
      </c>
      <c r="J23" s="11" t="str">
        <f>IF(D23&lt;&gt;"",VLOOKUP(H23,TABLEITEM,5,FALSE),"")</f>
        <v>EA</v>
      </c>
      <c r="K23" s="12">
        <v>145.0</v>
      </c>
      <c r="L23" s="13" t="str">
        <f>IF(D23&lt;&gt;"",VLOOKUP(H23,TABLEITEM,2,FALSE),"")</f>
        <v/>
      </c>
      <c r="M23" s="13" t="str">
        <f>IF(D23&lt;&gt;"",VLOOKUP(H23,TABLEITEM,3,FALSE),"")</f>
        <v>ซิลิโคนขุ่น</v>
      </c>
      <c r="N23" s="14">
        <f>INSTOCK!$I23*INSTOCK!$K23</f>
        <v>145</v>
      </c>
      <c r="O23" s="4"/>
      <c r="P23" s="4"/>
    </row>
    <row r="24" ht="15.75" hidden="1" customHeight="1">
      <c r="B24" s="8">
        <v>22.0</v>
      </c>
      <c r="C24" s="9">
        <v>43199.0</v>
      </c>
      <c r="D24" s="6" t="s">
        <v>15</v>
      </c>
      <c r="E24" s="4"/>
      <c r="F24" s="8"/>
      <c r="G24" s="4"/>
      <c r="H24" s="10" t="s">
        <v>37</v>
      </c>
      <c r="I24" s="10">
        <v>16.0</v>
      </c>
      <c r="J24" s="11" t="str">
        <f>IF(D24&lt;&gt;"",VLOOKUP(H24,TABLEITEM,5,FALSE),"")</f>
        <v>EA</v>
      </c>
      <c r="K24" s="12">
        <v>145.0</v>
      </c>
      <c r="L24" s="13" t="str">
        <f>IF(D24&lt;&gt;"",VLOOKUP(H24,TABLEITEM,2,FALSE),"")</f>
        <v/>
      </c>
      <c r="M24" s="13" t="str">
        <f>IF(D24&lt;&gt;"",VLOOKUP(H24,TABLEITEM,3,FALSE),"")</f>
        <v>ซิลิโคนใส</v>
      </c>
      <c r="N24" s="14">
        <f>INSTOCK!$I24*INSTOCK!$K24</f>
        <v>2320</v>
      </c>
      <c r="O24" s="4"/>
      <c r="P24" s="4"/>
    </row>
    <row r="25" ht="15.75" hidden="1" customHeight="1">
      <c r="B25" s="8">
        <v>23.0</v>
      </c>
      <c r="C25" s="9">
        <v>43199.0</v>
      </c>
      <c r="D25" s="6" t="s">
        <v>15</v>
      </c>
      <c r="E25" s="4"/>
      <c r="F25" s="8"/>
      <c r="G25" s="4"/>
      <c r="H25" s="10" t="s">
        <v>38</v>
      </c>
      <c r="I25" s="10">
        <v>41.0</v>
      </c>
      <c r="J25" s="11" t="str">
        <f>IF(D25&lt;&gt;"",VLOOKUP(H25,TABLEITEM,5,FALSE),"")</f>
        <v>EA</v>
      </c>
      <c r="K25" s="12">
        <v>2.0</v>
      </c>
      <c r="L25" s="13" t="str">
        <f>IF(D25&lt;&gt;"",VLOOKUP(H25,TABLEITEM,2,FALSE),"")</f>
        <v/>
      </c>
      <c r="M25" s="13" t="str">
        <f>IF(D25&lt;&gt;"",VLOOKUP(H25,TABLEITEM,3,FALSE),"")</f>
        <v>กระจกใส</v>
      </c>
      <c r="N25" s="14">
        <f>INSTOCK!$I25*INSTOCK!$K25</f>
        <v>82</v>
      </c>
      <c r="O25" s="4"/>
      <c r="P25" s="4"/>
    </row>
    <row r="26" ht="15.75" hidden="1" customHeight="1">
      <c r="B26" s="8">
        <v>24.0</v>
      </c>
      <c r="C26" s="9">
        <v>43199.0</v>
      </c>
      <c r="D26" s="6" t="s">
        <v>15</v>
      </c>
      <c r="E26" s="4"/>
      <c r="F26" s="8"/>
      <c r="G26" s="4"/>
      <c r="H26" s="10" t="s">
        <v>39</v>
      </c>
      <c r="I26" s="10">
        <v>34.0</v>
      </c>
      <c r="J26" s="11" t="str">
        <f>IF(D26&lt;&gt;"",VLOOKUP(H26,TABLEITEM,5,FALSE),"")</f>
        <v>EA</v>
      </c>
      <c r="K26" s="12">
        <v>8.0</v>
      </c>
      <c r="L26" s="13" t="str">
        <f>IF(D26&lt;&gt;"",VLOOKUP(H26,TABLEITEM,2,FALSE),"")</f>
        <v/>
      </c>
      <c r="M26" s="13" t="str">
        <f>IF(D26&lt;&gt;"",VLOOKUP(H26,TABLEITEM,3,FALSE),"")</f>
        <v>กระจกดำ#10</v>
      </c>
      <c r="N26" s="14">
        <f>INSTOCK!$I26*INSTOCK!$K26</f>
        <v>272</v>
      </c>
      <c r="O26" s="4"/>
      <c r="P26" s="4"/>
    </row>
    <row r="27" ht="15.75" hidden="1" customHeight="1">
      <c r="B27" s="8">
        <v>25.0</v>
      </c>
      <c r="C27" s="9">
        <v>43199.0</v>
      </c>
      <c r="D27" s="6" t="s">
        <v>15</v>
      </c>
      <c r="E27" s="4"/>
      <c r="F27" s="8"/>
      <c r="G27" s="4"/>
      <c r="H27" s="10" t="s">
        <v>40</v>
      </c>
      <c r="I27" s="10">
        <v>13.0</v>
      </c>
      <c r="J27" s="11" t="str">
        <f>IF(D27&lt;&gt;"",VLOOKUP(H27,TABLEITEM,5,FALSE),"")</f>
        <v>EA</v>
      </c>
      <c r="K27" s="12">
        <v>8.0</v>
      </c>
      <c r="L27" s="13" t="str">
        <f>IF(D27&lt;&gt;"",VLOOKUP(H27,TABLEITEM,2,FALSE),"")</f>
        <v/>
      </c>
      <c r="M27" s="13" t="str">
        <f>IF(D27&lt;&gt;"",VLOOKUP(H27,TABLEITEM,3,FALSE),"")</f>
        <v>กระจกดำ#11</v>
      </c>
      <c r="N27" s="14">
        <f>INSTOCK!$I27*INSTOCK!$K27</f>
        <v>104</v>
      </c>
      <c r="O27" s="4"/>
      <c r="P27" s="4"/>
    </row>
    <row r="28" ht="15.75" hidden="1" customHeight="1">
      <c r="B28" s="8">
        <v>26.0</v>
      </c>
      <c r="C28" s="9">
        <v>43199.0</v>
      </c>
      <c r="D28" s="6" t="s">
        <v>15</v>
      </c>
      <c r="E28" s="4"/>
      <c r="F28" s="8"/>
      <c r="G28" s="4"/>
      <c r="H28" s="10" t="s">
        <v>41</v>
      </c>
      <c r="I28" s="10">
        <v>2.0</v>
      </c>
      <c r="J28" s="11" t="str">
        <f>IF(D28&lt;&gt;"",VLOOKUP(H28,TABLEITEM,5,FALSE),"")</f>
        <v>กป.</v>
      </c>
      <c r="K28" s="12">
        <v>120.0</v>
      </c>
      <c r="L28" s="13" t="str">
        <f>IF(D28&lt;&gt;"",VLOOKUP(H28,TABLEITEM,2,FALSE),"")</f>
        <v/>
      </c>
      <c r="M28" s="13" t="str">
        <f>IF(D28&lt;&gt;"",VLOOKUP(H28,TABLEITEM,3,FALSE),"")</f>
        <v>น้ำยาจุ่มหัวเชื่อม</v>
      </c>
      <c r="N28" s="14">
        <f>INSTOCK!$I28*INSTOCK!$K28</f>
        <v>240</v>
      </c>
      <c r="O28" s="4"/>
      <c r="P28" s="4"/>
    </row>
    <row r="29" ht="15.75" hidden="1" customHeight="1">
      <c r="B29" s="8">
        <v>27.0</v>
      </c>
      <c r="C29" s="9">
        <v>43199.0</v>
      </c>
      <c r="D29" s="6" t="s">
        <v>15</v>
      </c>
      <c r="E29" s="4"/>
      <c r="F29" s="8"/>
      <c r="G29" s="4"/>
      <c r="H29" s="10" t="s">
        <v>42</v>
      </c>
      <c r="I29" s="10">
        <v>3.0</v>
      </c>
      <c r="J29" s="11" t="str">
        <f>IF(D29&lt;&gt;"",VLOOKUP(H29,TABLEITEM,5,FALSE),"")</f>
        <v>กล.</v>
      </c>
      <c r="K29" s="12">
        <v>260.0</v>
      </c>
      <c r="L29" s="13" t="str">
        <f>IF(D29&lt;&gt;"",VLOOKUP(H29,TABLEITEM,2,FALSE),"")</f>
        <v/>
      </c>
      <c r="M29" s="13" t="str">
        <f>IF(D29&lt;&gt;"",VLOOKUP(H29,TABLEITEM,3,FALSE),"")</f>
        <v>แอลกอฮอลดีพิเศษ</v>
      </c>
      <c r="N29" s="14">
        <f>INSTOCK!$I29*INSTOCK!$K29</f>
        <v>780</v>
      </c>
      <c r="O29" s="4"/>
      <c r="P29" s="4"/>
    </row>
    <row r="30" ht="15.75" hidden="1" customHeight="1">
      <c r="B30" s="8">
        <v>28.0</v>
      </c>
      <c r="C30" s="9">
        <v>43199.0</v>
      </c>
      <c r="D30" s="6" t="s">
        <v>15</v>
      </c>
      <c r="E30" s="4"/>
      <c r="F30" s="8"/>
      <c r="G30" s="4"/>
      <c r="H30" s="10" t="s">
        <v>43</v>
      </c>
      <c r="I30" s="10">
        <v>5.0</v>
      </c>
      <c r="J30" s="11" t="str">
        <f>IF(D30&lt;&gt;"",VLOOKUP(H30,TABLEITEM,5,FALSE),"")</f>
        <v>ปี๊ป</v>
      </c>
      <c r="K30" s="12">
        <v>180.0</v>
      </c>
      <c r="L30" s="13" t="str">
        <f>IF(D30&lt;&gt;"",VLOOKUP(H30,TABLEITEM,2,FALSE),"")</f>
        <v/>
      </c>
      <c r="M30" s="13" t="str">
        <f>IF(D30&lt;&gt;"",VLOOKUP(H30,TABLEITEM,3,FALSE),"")</f>
        <v>ทินเนอร์อคลิลิค</v>
      </c>
      <c r="N30" s="14">
        <f>INSTOCK!$I30*INSTOCK!$K30</f>
        <v>900</v>
      </c>
      <c r="O30" s="4"/>
      <c r="P30" s="4"/>
    </row>
    <row r="31" ht="15.75" hidden="1" customHeight="1">
      <c r="B31" s="8">
        <v>29.0</v>
      </c>
      <c r="C31" s="9">
        <v>43199.0</v>
      </c>
      <c r="D31" s="6" t="s">
        <v>15</v>
      </c>
      <c r="E31" s="4"/>
      <c r="F31" s="8"/>
      <c r="G31" s="4"/>
      <c r="H31" s="10" t="s">
        <v>44</v>
      </c>
      <c r="I31" s="10">
        <v>3.0</v>
      </c>
      <c r="J31" s="11" t="str">
        <f>IF(D31&lt;&gt;"",VLOOKUP(H31,TABLEITEM,5,FALSE),"")</f>
        <v>ปี๊ป</v>
      </c>
      <c r="K31" s="12">
        <v>260.0</v>
      </c>
      <c r="L31" s="13" t="str">
        <f>IF(D31&lt;&gt;"",VLOOKUP(H31,TABLEITEM,2,FALSE),"")</f>
        <v/>
      </c>
      <c r="M31" s="13" t="str">
        <f>IF(D31&lt;&gt;"",VLOOKUP(H31,TABLEITEM,3,FALSE),"")</f>
        <v>ทินเนอร์ AAA</v>
      </c>
      <c r="N31" s="14">
        <f>INSTOCK!$I31*INSTOCK!$K31</f>
        <v>780</v>
      </c>
      <c r="O31" s="4"/>
      <c r="P31" s="4"/>
    </row>
    <row r="32" ht="15.75" hidden="1" customHeight="1">
      <c r="B32" s="8">
        <v>30.0</v>
      </c>
      <c r="C32" s="9">
        <v>43199.0</v>
      </c>
      <c r="D32" s="6" t="s">
        <v>15</v>
      </c>
      <c r="E32" s="4"/>
      <c r="F32" s="8"/>
      <c r="G32" s="4"/>
      <c r="H32" s="10" t="s">
        <v>45</v>
      </c>
      <c r="I32" s="10">
        <v>46.0</v>
      </c>
      <c r="J32" s="11" t="str">
        <f>IF(D32&lt;&gt;"",VLOOKUP(H32,TABLEITEM,5,FALSE),"")</f>
        <v>กล</v>
      </c>
      <c r="K32" s="12"/>
      <c r="L32" s="13" t="str">
        <f>IF(D32&lt;&gt;"",VLOOKUP(H32,TABLEITEM,2,FALSE),"")</f>
        <v/>
      </c>
      <c r="M32" s="13" t="str">
        <f>IF(D32&lt;&gt;"",VLOOKUP(H32,TABLEITEM,3,FALSE),"")</f>
        <v>สีโป้ว</v>
      </c>
      <c r="N32" s="14">
        <f>INSTOCK!$I32*INSTOCK!$K32</f>
        <v>0</v>
      </c>
      <c r="O32" s="4"/>
      <c r="P32" s="4"/>
    </row>
    <row r="33" ht="15.75" hidden="1" customHeight="1">
      <c r="B33" s="8">
        <v>31.0</v>
      </c>
      <c r="C33" s="9">
        <v>43199.0</v>
      </c>
      <c r="D33" s="6" t="s">
        <v>15</v>
      </c>
      <c r="E33" s="4"/>
      <c r="F33" s="8"/>
      <c r="G33" s="4"/>
      <c r="H33" s="10" t="s">
        <v>46</v>
      </c>
      <c r="I33" s="10">
        <v>12.0</v>
      </c>
      <c r="J33" s="11" t="str">
        <f>IF(D33&lt;&gt;"",VLOOKUP(H33,TABLEITEM,5,FALSE),"")</f>
        <v>ROLL</v>
      </c>
      <c r="K33" s="12">
        <v>90.0</v>
      </c>
      <c r="L33" s="13" t="str">
        <f>IF(D33&lt;&gt;"",VLOOKUP(H33,TABLEITEM,2,FALSE),"")</f>
        <v/>
      </c>
      <c r="M33" s="13" t="str">
        <f>IF(D33&lt;&gt;"",VLOOKUP(H33,TABLEITEM,3,FALSE),"")</f>
        <v>ลวดดำ</v>
      </c>
      <c r="N33" s="14">
        <f>INSTOCK!$I33*INSTOCK!$K33</f>
        <v>1080</v>
      </c>
      <c r="O33" s="4"/>
      <c r="P33" s="4"/>
    </row>
    <row r="34" ht="15.75" hidden="1" customHeight="1">
      <c r="B34" s="8">
        <v>32.0</v>
      </c>
      <c r="C34" s="9">
        <v>43199.0</v>
      </c>
      <c r="D34" s="6" t="s">
        <v>15</v>
      </c>
      <c r="E34" s="4"/>
      <c r="F34" s="8"/>
      <c r="G34" s="4"/>
      <c r="H34" s="10" t="s">
        <v>47</v>
      </c>
      <c r="I34" s="10">
        <v>18.0</v>
      </c>
      <c r="J34" s="11" t="str">
        <f>IF(D34&lt;&gt;"",VLOOKUP(H34,TABLEITEM,5,FALSE),"")</f>
        <v>EA</v>
      </c>
      <c r="K34" s="12"/>
      <c r="L34" s="13" t="str">
        <f>IF(D34&lt;&gt;"",VLOOKUP(H34,TABLEITEM,2,FALSE),"")</f>
        <v/>
      </c>
      <c r="M34" s="13" t="str">
        <f>IF(D34&lt;&gt;"",VLOOKUP(H34,TABLEITEM,3,FALSE),"")</f>
        <v>กระดาษกาว 2หน้าสีขาว</v>
      </c>
      <c r="N34" s="14">
        <f>INSTOCK!$I34*INSTOCK!$K34</f>
        <v>0</v>
      </c>
      <c r="O34" s="4"/>
      <c r="P34" s="4"/>
    </row>
    <row r="35" ht="15.75" hidden="1" customHeight="1">
      <c r="B35" s="8">
        <v>33.0</v>
      </c>
      <c r="C35" s="9">
        <v>43199.0</v>
      </c>
      <c r="D35" s="6" t="s">
        <v>15</v>
      </c>
      <c r="E35" s="4"/>
      <c r="F35" s="8"/>
      <c r="G35" s="4"/>
      <c r="H35" s="10" t="s">
        <v>48</v>
      </c>
      <c r="I35" s="10">
        <v>13.0</v>
      </c>
      <c r="J35" s="11" t="str">
        <f>IF(D35&lt;&gt;"",VLOOKUP(H35,TABLEITEM,5,FALSE),"")</f>
        <v>EA</v>
      </c>
      <c r="K35" s="12">
        <v>5.5</v>
      </c>
      <c r="L35" s="13" t="str">
        <f>IF(D35&lt;&gt;"",VLOOKUP(H35,TABLEITEM,2,FALSE),"")</f>
        <v/>
      </c>
      <c r="M35" s="13" t="str">
        <f>IF(D35&lt;&gt;"",VLOOKUP(H35,TABLEITEM,3,FALSE),"")</f>
        <v>กระดาษกาว 2หน้า 4มิล</v>
      </c>
      <c r="N35" s="14">
        <f>INSTOCK!$I35*INSTOCK!$K35</f>
        <v>71.5</v>
      </c>
      <c r="O35" s="4"/>
      <c r="P35" s="4"/>
    </row>
    <row r="36" ht="15.75" hidden="1" customHeight="1">
      <c r="B36" s="8">
        <v>34.0</v>
      </c>
      <c r="C36" s="9">
        <v>43199.0</v>
      </c>
      <c r="D36" s="6" t="s">
        <v>15</v>
      </c>
      <c r="E36" s="4"/>
      <c r="F36" s="8"/>
      <c r="G36" s="4"/>
      <c r="H36" s="10" t="s">
        <v>49</v>
      </c>
      <c r="I36" s="10">
        <v>30.0</v>
      </c>
      <c r="J36" s="11" t="str">
        <f>IF(D36&lt;&gt;"",VLOOKUP(H36,TABLEITEM,5,FALSE),"")</f>
        <v>EA</v>
      </c>
      <c r="K36" s="12">
        <v>123.0</v>
      </c>
      <c r="L36" s="13" t="str">
        <f>IF(D36&lt;&gt;"",VLOOKUP(H36,TABLEITEM,2,FALSE),"")</f>
        <v/>
      </c>
      <c r="M36" s="13" t="str">
        <f>IF(D36&lt;&gt;"",VLOOKUP(H36,TABLEITEM,3,FALSE),"")</f>
        <v>กระดาษกาว2 หน้า 8 มิล</v>
      </c>
      <c r="N36" s="14">
        <f>INSTOCK!$I36*INSTOCK!$K36</f>
        <v>3690</v>
      </c>
      <c r="O36" s="4"/>
      <c r="P36" s="4"/>
    </row>
    <row r="37" ht="15.75" hidden="1" customHeight="1">
      <c r="B37" s="8">
        <v>35.0</v>
      </c>
      <c r="C37" s="9">
        <v>43199.0</v>
      </c>
      <c r="D37" s="6" t="s">
        <v>15</v>
      </c>
      <c r="E37" s="4"/>
      <c r="F37" s="8"/>
      <c r="G37" s="4"/>
      <c r="H37" s="10" t="s">
        <v>50</v>
      </c>
      <c r="I37" s="10">
        <v>98.0</v>
      </c>
      <c r="J37" s="11" t="str">
        <f>IF(D37&lt;&gt;"",VLOOKUP(H37,TABLEITEM,5,FALSE),"")</f>
        <v>EA</v>
      </c>
      <c r="K37" s="12">
        <v>159.0</v>
      </c>
      <c r="L37" s="13" t="str">
        <f>IF(D37&lt;&gt;"",VLOOKUP(H37,TABLEITEM,2,FALSE),"")</f>
        <v/>
      </c>
      <c r="M37" s="13" t="str">
        <f>IF(D37&lt;&gt;"",VLOOKUP(H37,TABLEITEM,3,FALSE),"")</f>
        <v>กระดาษกาว 2 หน้า 13 มิล</v>
      </c>
      <c r="N37" s="14">
        <f>INSTOCK!$I37*INSTOCK!$K37</f>
        <v>15582</v>
      </c>
      <c r="O37" s="4"/>
      <c r="P37" s="4"/>
    </row>
    <row r="38" ht="15.75" hidden="1" customHeight="1">
      <c r="B38" s="8">
        <v>36.0</v>
      </c>
      <c r="C38" s="9">
        <v>43199.0</v>
      </c>
      <c r="D38" s="6" t="s">
        <v>15</v>
      </c>
      <c r="E38" s="4"/>
      <c r="F38" s="8"/>
      <c r="G38" s="4"/>
      <c r="H38" s="10" t="s">
        <v>51</v>
      </c>
      <c r="I38" s="10">
        <v>35.0</v>
      </c>
      <c r="J38" s="11" t="str">
        <f>IF(D38&lt;&gt;"",VLOOKUP(H38,TABLEITEM,5,FALSE),"")</f>
        <v>EA</v>
      </c>
      <c r="K38" s="12">
        <v>18.0</v>
      </c>
      <c r="L38" s="13" t="str">
        <f>IF(D38&lt;&gt;"",VLOOKUP(H38,TABLEITEM,2,FALSE),"")</f>
        <v/>
      </c>
      <c r="M38" s="13" t="str">
        <f>IF(D38&lt;&gt;"",VLOOKUP(H38,TABLEITEM,3,FALSE),"")</f>
        <v>กระดาษกาวนิตโต้</v>
      </c>
      <c r="N38" s="14">
        <f>INSTOCK!$I38*INSTOCK!$K38</f>
        <v>630</v>
      </c>
      <c r="O38" s="4"/>
      <c r="P38" s="4"/>
    </row>
    <row r="39" ht="15.75" hidden="1" customHeight="1">
      <c r="B39" s="8">
        <v>37.0</v>
      </c>
      <c r="C39" s="9">
        <v>43199.0</v>
      </c>
      <c r="D39" s="6" t="s">
        <v>15</v>
      </c>
      <c r="E39" s="4"/>
      <c r="F39" s="8"/>
      <c r="G39" s="4"/>
      <c r="H39" s="10" t="s">
        <v>52</v>
      </c>
      <c r="I39" s="10">
        <v>16.0</v>
      </c>
      <c r="J39" s="11" t="str">
        <f>IF(D39&lt;&gt;"",VLOOKUP(H39,TABLEITEM,5,FALSE),"")</f>
        <v>EA</v>
      </c>
      <c r="K39" s="12">
        <v>26.0</v>
      </c>
      <c r="L39" s="13" t="str">
        <f>IF(D39&lt;&gt;"",VLOOKUP(H39,TABLEITEM,2,FALSE),"")</f>
        <v/>
      </c>
      <c r="M39" s="13" t="str">
        <f>IF(D39&lt;&gt;"",VLOOKUP(H39,TABLEITEM,3,FALSE),"")</f>
        <v>กระดาษกาว 1 ''</v>
      </c>
      <c r="N39" s="14">
        <f>INSTOCK!$I39*INSTOCK!$K39</f>
        <v>416</v>
      </c>
      <c r="O39" s="4"/>
      <c r="P39" s="4"/>
    </row>
    <row r="40" ht="15.75" hidden="1" customHeight="1">
      <c r="B40" s="8">
        <v>38.0</v>
      </c>
      <c r="C40" s="9">
        <v>43199.0</v>
      </c>
      <c r="D40" s="6" t="s">
        <v>15</v>
      </c>
      <c r="E40" s="4"/>
      <c r="F40" s="8"/>
      <c r="G40" s="4"/>
      <c r="H40" s="10" t="s">
        <v>53</v>
      </c>
      <c r="I40" s="10">
        <v>12.0</v>
      </c>
      <c r="J40" s="11" t="str">
        <f>IF(D40&lt;&gt;"",VLOOKUP(H40,TABLEITEM,5,FALSE),"")</f>
        <v>EA</v>
      </c>
      <c r="K40" s="12">
        <v>47.0</v>
      </c>
      <c r="L40" s="13" t="str">
        <f>IF(D40&lt;&gt;"",VLOOKUP(H40,TABLEITEM,2,FALSE),"")</f>
        <v/>
      </c>
      <c r="M40" s="13" t="str">
        <f>IF(D40&lt;&gt;"",VLOOKUP(H40,TABLEITEM,3,FALSE),"")</f>
        <v>กระดาษกาว 2 ''</v>
      </c>
      <c r="N40" s="14">
        <f>INSTOCK!$I40*INSTOCK!$K40</f>
        <v>564</v>
      </c>
      <c r="O40" s="4"/>
      <c r="P40" s="4"/>
    </row>
    <row r="41" ht="15.75" hidden="1" customHeight="1">
      <c r="B41" s="8">
        <v>39.0</v>
      </c>
      <c r="C41" s="9">
        <v>43199.0</v>
      </c>
      <c r="D41" s="6" t="s">
        <v>15</v>
      </c>
      <c r="E41" s="4"/>
      <c r="F41" s="8"/>
      <c r="G41" s="4"/>
      <c r="H41" s="10" t="s">
        <v>54</v>
      </c>
      <c r="I41" s="10">
        <v>80.0</v>
      </c>
      <c r="J41" s="11" t="str">
        <f>IF(D41&lt;&gt;"",VLOOKUP(H41,TABLEITEM,5,FALSE),"")</f>
        <v>EA</v>
      </c>
      <c r="K41" s="12"/>
      <c r="L41" s="13" t="str">
        <f>IF(D41&lt;&gt;"",VLOOKUP(H41,TABLEITEM,2,FALSE),"")</f>
        <v/>
      </c>
      <c r="M41" s="13" t="str">
        <f>IF(D41&lt;&gt;"",VLOOKUP(H41,TABLEITEM,3,FALSE),"")</f>
        <v>กระดาษกาว 3 ''</v>
      </c>
      <c r="N41" s="14">
        <f>INSTOCK!$I41*INSTOCK!$K41</f>
        <v>0</v>
      </c>
      <c r="O41" s="4"/>
      <c r="P41" s="4"/>
    </row>
    <row r="42" ht="15.75" hidden="1" customHeight="1">
      <c r="B42" s="8">
        <v>40.0</v>
      </c>
      <c r="C42" s="9">
        <v>43199.0</v>
      </c>
      <c r="D42" s="6" t="s">
        <v>15</v>
      </c>
      <c r="E42" s="4"/>
      <c r="F42" s="8"/>
      <c r="G42" s="4"/>
      <c r="H42" s="10" t="s">
        <v>55</v>
      </c>
      <c r="I42" s="10">
        <v>39.0</v>
      </c>
      <c r="J42" s="11" t="str">
        <f>IF(D42&lt;&gt;"",VLOOKUP(H42,TABLEITEM,5,FALSE),"")</f>
        <v>EA</v>
      </c>
      <c r="K42" s="12">
        <v>35.04</v>
      </c>
      <c r="L42" s="13" t="str">
        <f>IF(D42&lt;&gt;"",VLOOKUP(H42,TABLEITEM,2,FALSE),"")</f>
        <v/>
      </c>
      <c r="M42" s="13" t="str">
        <f>IF(D42&lt;&gt;"",VLOOKUP(H42,TABLEITEM,3,FALSE),"")</f>
        <v>เทปใส 2''</v>
      </c>
      <c r="N42" s="14">
        <f>INSTOCK!$I42*INSTOCK!$K42</f>
        <v>1366.56</v>
      </c>
      <c r="O42" s="4"/>
      <c r="P42" s="4"/>
    </row>
    <row r="43" ht="15.75" hidden="1" customHeight="1">
      <c r="B43" s="8">
        <v>41.0</v>
      </c>
      <c r="C43" s="9">
        <v>43199.0</v>
      </c>
      <c r="D43" s="6" t="s">
        <v>15</v>
      </c>
      <c r="E43" s="4"/>
      <c r="F43" s="8"/>
      <c r="G43" s="4"/>
      <c r="H43" s="10" t="s">
        <v>56</v>
      </c>
      <c r="I43" s="10">
        <v>63.0</v>
      </c>
      <c r="J43" s="11" t="str">
        <f>IF(D43&lt;&gt;"",VLOOKUP(H43,TABLEITEM,5,FALSE),"")</f>
        <v>EA</v>
      </c>
      <c r="K43" s="12">
        <v>10.0</v>
      </c>
      <c r="L43" s="13" t="str">
        <f>IF(D43&lt;&gt;"",VLOOKUP(H43,TABLEITEM,2,FALSE),"")</f>
        <v/>
      </c>
      <c r="M43" s="13" t="str">
        <f>IF(D43&lt;&gt;"",VLOOKUP(H43,TABLEITEM,3,FALSE),"")</f>
        <v>เทปพันสายไฟสีดำ</v>
      </c>
      <c r="N43" s="14">
        <f>INSTOCK!$I43*INSTOCK!$K43</f>
        <v>630</v>
      </c>
      <c r="O43" s="4"/>
      <c r="P43" s="4"/>
    </row>
    <row r="44" ht="15.75" hidden="1" customHeight="1">
      <c r="B44" s="8">
        <v>42.0</v>
      </c>
      <c r="C44" s="9">
        <v>43199.0</v>
      </c>
      <c r="D44" s="6" t="s">
        <v>15</v>
      </c>
      <c r="E44" s="4"/>
      <c r="F44" s="8"/>
      <c r="G44" s="4"/>
      <c r="H44" s="10" t="s">
        <v>57</v>
      </c>
      <c r="I44" s="10">
        <v>27.0</v>
      </c>
      <c r="J44" s="11" t="str">
        <f>IF(D44&lt;&gt;"",VLOOKUP(H44,TABLEITEM,5,FALSE),"")</f>
        <v>EA</v>
      </c>
      <c r="K44" s="12">
        <v>10.0</v>
      </c>
      <c r="L44" s="13" t="str">
        <f>IF(D44&lt;&gt;"",VLOOKUP(H44,TABLEITEM,2,FALSE),"")</f>
        <v/>
      </c>
      <c r="M44" s="13" t="str">
        <f>IF(D44&lt;&gt;"",VLOOKUP(H44,TABLEITEM,3,FALSE),"")</f>
        <v>เทปพันเกลียว</v>
      </c>
      <c r="N44" s="14">
        <f>INSTOCK!$I44*INSTOCK!$K44</f>
        <v>270</v>
      </c>
      <c r="O44" s="4"/>
      <c r="P44" s="4"/>
    </row>
    <row r="45" ht="15.75" hidden="1" customHeight="1">
      <c r="B45" s="8">
        <v>43.0</v>
      </c>
      <c r="C45" s="9">
        <v>43199.0</v>
      </c>
      <c r="D45" s="6" t="s">
        <v>15</v>
      </c>
      <c r="E45" s="4"/>
      <c r="F45" s="8"/>
      <c r="G45" s="4"/>
      <c r="H45" s="10" t="s">
        <v>58</v>
      </c>
      <c r="I45" s="10">
        <v>12.0</v>
      </c>
      <c r="J45" s="11" t="str">
        <f>IF(D45&lt;&gt;"",VLOOKUP(H45,TABLEITEM,5,FALSE),"")</f>
        <v>กป.</v>
      </c>
      <c r="K45" s="12">
        <v>41.6</v>
      </c>
      <c r="L45" s="13" t="str">
        <f>IF(D45&lt;&gt;"",VLOOKUP(H45,TABLEITEM,2,FALSE),"")</f>
        <v/>
      </c>
      <c r="M45" s="13" t="str">
        <f>IF(D45&lt;&gt;"",VLOOKUP(H45,TABLEITEM,3,FALSE),"")</f>
        <v>สีสเปรย์ เคลียร์</v>
      </c>
      <c r="N45" s="14">
        <f>INSTOCK!$I45*INSTOCK!$K45</f>
        <v>499.2</v>
      </c>
      <c r="O45" s="4"/>
      <c r="P45" s="4"/>
    </row>
    <row r="46" ht="15.75" hidden="1" customHeight="1">
      <c r="B46" s="8">
        <v>44.0</v>
      </c>
      <c r="C46" s="9">
        <v>43199.0</v>
      </c>
      <c r="D46" s="6" t="s">
        <v>15</v>
      </c>
      <c r="E46" s="4"/>
      <c r="F46" s="8"/>
      <c r="G46" s="4"/>
      <c r="H46" s="10" t="s">
        <v>59</v>
      </c>
      <c r="I46" s="10">
        <v>5.0</v>
      </c>
      <c r="J46" s="11" t="str">
        <f>IF(D46&lt;&gt;"",VLOOKUP(H46,TABLEITEM,5,FALSE),"")</f>
        <v>EA</v>
      </c>
      <c r="K46" s="12">
        <v>100.0</v>
      </c>
      <c r="L46" s="13" t="str">
        <f>IF(D46&lt;&gt;"",VLOOKUP(H46,TABLEITEM,2,FALSE),"")</f>
        <v/>
      </c>
      <c r="M46" s="13" t="str">
        <f>IF(D46&lt;&gt;"",VLOOKUP(H46,TABLEITEM,3,FALSE),"")</f>
        <v>โซเน็ก</v>
      </c>
      <c r="N46" s="14">
        <f>INSTOCK!$I46*INSTOCK!$K46</f>
        <v>500</v>
      </c>
      <c r="O46" s="4"/>
      <c r="P46" s="4"/>
    </row>
    <row r="47" ht="15.75" hidden="1" customHeight="1">
      <c r="B47" s="8">
        <v>45.0</v>
      </c>
      <c r="C47" s="9">
        <v>43199.0</v>
      </c>
      <c r="D47" s="6" t="s">
        <v>15</v>
      </c>
      <c r="E47" s="4"/>
      <c r="F47" s="8"/>
      <c r="G47" s="4"/>
      <c r="H47" s="10" t="s">
        <v>60</v>
      </c>
      <c r="I47" s="10">
        <v>1.0</v>
      </c>
      <c r="J47" s="11" t="str">
        <f>IF(D47&lt;&gt;"",VLOOKUP(H47,TABLEITEM,5,FALSE),"")</f>
        <v>EA</v>
      </c>
      <c r="K47" s="12">
        <v>65.0</v>
      </c>
      <c r="L47" s="13" t="str">
        <f>IF(D47&lt;&gt;"",VLOOKUP(H47,TABLEITEM,2,FALSE),"")</f>
        <v/>
      </c>
      <c r="M47" s="13" t="str">
        <f>IF(D47&lt;&gt;"",VLOOKUP(H47,TABLEITEM,3,FALSE),"")</f>
        <v>กาวยาง</v>
      </c>
      <c r="N47" s="14">
        <f>INSTOCK!$I47*INSTOCK!$K47</f>
        <v>65</v>
      </c>
      <c r="O47" s="4"/>
      <c r="P47" s="4"/>
    </row>
    <row r="48" ht="15.75" hidden="1" customHeight="1">
      <c r="B48" s="8">
        <v>46.0</v>
      </c>
      <c r="C48" s="9">
        <v>43199.0</v>
      </c>
      <c r="D48" s="6" t="s">
        <v>15</v>
      </c>
      <c r="E48" s="4"/>
      <c r="F48" s="8"/>
      <c r="G48" s="4"/>
      <c r="H48" s="15" t="s">
        <v>61</v>
      </c>
      <c r="I48" s="10">
        <v>35.0</v>
      </c>
      <c r="J48" s="11" t="str">
        <f>IF(D48&lt;&gt;"",VLOOKUP(H48,TABLEITEM,5,FALSE),"")</f>
        <v>กป.</v>
      </c>
      <c r="K48" s="12">
        <v>41.6</v>
      </c>
      <c r="L48" s="13" t="str">
        <f>IF(D48&lt;&gt;"",VLOOKUP(H48,TABLEITEM,2,FALSE),"")</f>
        <v/>
      </c>
      <c r="M48" s="13" t="str">
        <f>IF(D48&lt;&gt;"",VLOOKUP(H48,TABLEITEM,3,FALSE),"")</f>
        <v>สีสเปรย์ สีแดง</v>
      </c>
      <c r="N48" s="14">
        <f>INSTOCK!$I48*INSTOCK!$K48</f>
        <v>1456</v>
      </c>
      <c r="O48" s="4"/>
      <c r="P48" s="4"/>
    </row>
    <row r="49" ht="15.75" hidden="1" customHeight="1">
      <c r="B49" s="8">
        <v>47.0</v>
      </c>
      <c r="C49" s="9">
        <v>43199.0</v>
      </c>
      <c r="D49" s="6" t="s">
        <v>15</v>
      </c>
      <c r="E49" s="4"/>
      <c r="F49" s="8"/>
      <c r="G49" s="4"/>
      <c r="H49" s="15" t="s">
        <v>62</v>
      </c>
      <c r="I49" s="10">
        <v>32.0</v>
      </c>
      <c r="J49" s="11" t="str">
        <f>IF(D49&lt;&gt;"",VLOOKUP(H49,TABLEITEM,5,FALSE),"")</f>
        <v>กป.</v>
      </c>
      <c r="K49" s="12">
        <v>41.6</v>
      </c>
      <c r="L49" s="13" t="str">
        <f>IF(D49&lt;&gt;"",VLOOKUP(H49,TABLEITEM,2,FALSE),"")</f>
        <v/>
      </c>
      <c r="M49" s="13" t="str">
        <f>IF(D49&lt;&gt;"",VLOOKUP(H49,TABLEITEM,3,FALSE),"")</f>
        <v>สีสเปรย์ สีน้ำเงิน</v>
      </c>
      <c r="N49" s="14">
        <f>INSTOCK!$I49*INSTOCK!$K49</f>
        <v>1331.2</v>
      </c>
      <c r="O49" s="4"/>
      <c r="P49" s="4"/>
    </row>
    <row r="50" ht="15.75" hidden="1" customHeight="1">
      <c r="B50" s="8">
        <v>48.0</v>
      </c>
      <c r="C50" s="9">
        <v>43199.0</v>
      </c>
      <c r="D50" s="6" t="s">
        <v>15</v>
      </c>
      <c r="E50" s="4"/>
      <c r="F50" s="8"/>
      <c r="G50" s="4"/>
      <c r="H50" s="15" t="s">
        <v>63</v>
      </c>
      <c r="I50" s="10">
        <v>28.0</v>
      </c>
      <c r="J50" s="11" t="str">
        <f>IF(D50&lt;&gt;"",VLOOKUP(H50,TABLEITEM,5,FALSE),"")</f>
        <v>กป.</v>
      </c>
      <c r="K50" s="12">
        <v>41.6</v>
      </c>
      <c r="L50" s="13" t="str">
        <f>IF(D50&lt;&gt;"",VLOOKUP(H50,TABLEITEM,2,FALSE),"")</f>
        <v/>
      </c>
      <c r="M50" s="13" t="str">
        <f>IF(D50&lt;&gt;"",VLOOKUP(H50,TABLEITEM,3,FALSE),"")</f>
        <v>สีสเปรย์ สีขาว</v>
      </c>
      <c r="N50" s="14">
        <f>INSTOCK!$I50*INSTOCK!$K50</f>
        <v>1164.8</v>
      </c>
      <c r="O50" s="4"/>
      <c r="P50" s="4"/>
    </row>
    <row r="51" ht="15.75" hidden="1" customHeight="1">
      <c r="B51" s="8">
        <v>49.0</v>
      </c>
      <c r="C51" s="9">
        <v>43199.0</v>
      </c>
      <c r="D51" s="6" t="s">
        <v>15</v>
      </c>
      <c r="E51" s="4"/>
      <c r="F51" s="8"/>
      <c r="G51" s="4"/>
      <c r="H51" s="15" t="s">
        <v>64</v>
      </c>
      <c r="I51" s="10">
        <v>24.0</v>
      </c>
      <c r="J51" s="11" t="str">
        <f>IF(D51&lt;&gt;"",VLOOKUP(H51,TABLEITEM,5,FALSE),"")</f>
        <v>กป.</v>
      </c>
      <c r="K51" s="12">
        <v>41.6</v>
      </c>
      <c r="L51" s="13" t="str">
        <f>IF(D51&lt;&gt;"",VLOOKUP(H51,TABLEITEM,2,FALSE),"")</f>
        <v/>
      </c>
      <c r="M51" s="13" t="str">
        <f>IF(D51&lt;&gt;"",VLOOKUP(H51,TABLEITEM,3,FALSE),"")</f>
        <v>สีสเปรย์ สีเหลือง</v>
      </c>
      <c r="N51" s="14">
        <f>INSTOCK!$I51*INSTOCK!$K51</f>
        <v>998.4</v>
      </c>
      <c r="O51" s="4"/>
      <c r="P51" s="4"/>
    </row>
    <row r="52" ht="15.75" hidden="1" customHeight="1">
      <c r="B52" s="8">
        <v>50.0</v>
      </c>
      <c r="C52" s="9">
        <v>43199.0</v>
      </c>
      <c r="D52" s="6" t="s">
        <v>15</v>
      </c>
      <c r="E52" s="4"/>
      <c r="F52" s="8"/>
      <c r="G52" s="4"/>
      <c r="H52" s="15" t="s">
        <v>65</v>
      </c>
      <c r="I52" s="10">
        <v>7.0</v>
      </c>
      <c r="J52" s="11" t="str">
        <f>IF(D52&lt;&gt;"",VLOOKUP(H52,TABLEITEM,5,FALSE),"")</f>
        <v>กป.</v>
      </c>
      <c r="K52" s="12">
        <v>41.6</v>
      </c>
      <c r="L52" s="13" t="str">
        <f>IF(D52&lt;&gt;"",VLOOKUP(H52,TABLEITEM,2,FALSE),"")</f>
        <v/>
      </c>
      <c r="M52" s="13" t="str">
        <f>IF(D52&lt;&gt;"",VLOOKUP(H52,TABLEITEM,3,FALSE),"")</f>
        <v>สีสเปรย์ สีเขียว</v>
      </c>
      <c r="N52" s="14">
        <f>INSTOCK!$I52*INSTOCK!$K52</f>
        <v>291.2</v>
      </c>
      <c r="O52" s="4"/>
      <c r="P52" s="4"/>
    </row>
    <row r="53" ht="15.75" hidden="1" customHeight="1">
      <c r="B53" s="8">
        <v>51.0</v>
      </c>
      <c r="C53" s="9">
        <v>43199.0</v>
      </c>
      <c r="D53" s="6" t="s">
        <v>15</v>
      </c>
      <c r="E53" s="4"/>
      <c r="F53" s="8"/>
      <c r="G53" s="4"/>
      <c r="H53" s="15" t="s">
        <v>66</v>
      </c>
      <c r="I53" s="10">
        <v>20.0</v>
      </c>
      <c r="J53" s="11" t="str">
        <f>IF(D53&lt;&gt;"",VLOOKUP(H53,TABLEITEM,5,FALSE),"")</f>
        <v>กป.</v>
      </c>
      <c r="K53" s="12">
        <v>41.6</v>
      </c>
      <c r="L53" s="13" t="str">
        <f>IF(D53&lt;&gt;"",VLOOKUP(H53,TABLEITEM,2,FALSE),"")</f>
        <v/>
      </c>
      <c r="M53" s="13" t="str">
        <f>IF(D53&lt;&gt;"",VLOOKUP(H53,TABLEITEM,3,FALSE),"")</f>
        <v>สีสเปรย์ สีดำ</v>
      </c>
      <c r="N53" s="14">
        <f>INSTOCK!$I53*INSTOCK!$K53</f>
        <v>832</v>
      </c>
      <c r="O53" s="4"/>
      <c r="P53" s="4"/>
    </row>
    <row r="54" ht="15.75" hidden="1" customHeight="1">
      <c r="B54" s="8">
        <v>52.0</v>
      </c>
      <c r="C54" s="9">
        <v>43199.0</v>
      </c>
      <c r="D54" s="6" t="s">
        <v>15</v>
      </c>
      <c r="E54" s="4"/>
      <c r="F54" s="8"/>
      <c r="G54" s="4"/>
      <c r="H54" s="15" t="s">
        <v>67</v>
      </c>
      <c r="I54" s="10">
        <v>12.0</v>
      </c>
      <c r="J54" s="11" t="str">
        <f>IF(D54&lt;&gt;"",VLOOKUP(H54,TABLEITEM,5,FALSE),"")</f>
        <v>กป.</v>
      </c>
      <c r="K54" s="12">
        <v>41.6</v>
      </c>
      <c r="L54" s="13" t="str">
        <f>IF(D54&lt;&gt;"",VLOOKUP(H54,TABLEITEM,2,FALSE),"")</f>
        <v/>
      </c>
      <c r="M54" s="13" t="str">
        <f>IF(D54&lt;&gt;"",VLOOKUP(H54,TABLEITEM,3,FALSE),"")</f>
        <v>สีสเปรย์ สีฟ้า</v>
      </c>
      <c r="N54" s="14">
        <f>INSTOCK!$I54*INSTOCK!$K54</f>
        <v>499.2</v>
      </c>
      <c r="O54" s="4"/>
      <c r="P54" s="4"/>
    </row>
    <row r="55" ht="15.75" hidden="1" customHeight="1">
      <c r="B55" s="8">
        <v>53.0</v>
      </c>
      <c r="C55" s="9">
        <v>43199.0</v>
      </c>
      <c r="D55" s="6" t="s">
        <v>15</v>
      </c>
      <c r="E55" s="4"/>
      <c r="F55" s="8"/>
      <c r="G55" s="4"/>
      <c r="H55" s="10" t="s">
        <v>68</v>
      </c>
      <c r="I55" s="10">
        <v>171.0</v>
      </c>
      <c r="J55" s="11" t="str">
        <f>IF(D55&lt;&gt;"",VLOOKUP(H55,TABLEITEM,5,FALSE),"")</f>
        <v>กป.</v>
      </c>
      <c r="K55" s="12">
        <v>50.0</v>
      </c>
      <c r="L55" s="13" t="str">
        <f>IF(D55&lt;&gt;"",VLOOKUP(H55,TABLEITEM,2,FALSE),"")</f>
        <v/>
      </c>
      <c r="M55" s="13" t="str">
        <f>IF(D55&lt;&gt;"",VLOOKUP(H55,TABLEITEM,3,FALSE),"")</f>
        <v>สีสเปรย์ TDK #815</v>
      </c>
      <c r="N55" s="14">
        <f>INSTOCK!$I55*INSTOCK!$K55</f>
        <v>8550</v>
      </c>
      <c r="O55" s="4"/>
      <c r="P55" s="4"/>
    </row>
    <row r="56" ht="15.75" hidden="1" customHeight="1">
      <c r="B56" s="8">
        <v>54.0</v>
      </c>
      <c r="C56" s="9">
        <v>43199.0</v>
      </c>
      <c r="D56" s="6" t="s">
        <v>15</v>
      </c>
      <c r="E56" s="4"/>
      <c r="F56" s="8"/>
      <c r="G56" s="4"/>
      <c r="H56" s="10" t="s">
        <v>69</v>
      </c>
      <c r="I56" s="10">
        <v>90.0</v>
      </c>
      <c r="J56" s="11" t="str">
        <f>IF(D56&lt;&gt;"",VLOOKUP(H56,TABLEITEM,5,FALSE),"")</f>
        <v>กป.</v>
      </c>
      <c r="K56" s="12">
        <v>50.0</v>
      </c>
      <c r="L56" s="13" t="str">
        <f>IF(D56&lt;&gt;"",VLOOKUP(H56,TABLEITEM,2,FALSE),"")</f>
        <v/>
      </c>
      <c r="M56" s="13" t="str">
        <f>IF(D56&lt;&gt;"",VLOOKUP(H56,TABLEITEM,3,FALSE),"")</f>
        <v>สีสเปรย์ TDK #45461</v>
      </c>
      <c r="N56" s="14">
        <f>INSTOCK!$I56*INSTOCK!$K56</f>
        <v>4500</v>
      </c>
      <c r="O56" s="4"/>
      <c r="P56" s="4"/>
    </row>
    <row r="57" ht="15.75" hidden="1" customHeight="1">
      <c r="B57" s="8">
        <v>55.0</v>
      </c>
      <c r="C57" s="9">
        <v>43199.0</v>
      </c>
      <c r="D57" s="6" t="s">
        <v>15</v>
      </c>
      <c r="E57" s="4"/>
      <c r="F57" s="8"/>
      <c r="G57" s="4"/>
      <c r="H57" s="10" t="s">
        <v>70</v>
      </c>
      <c r="I57" s="10">
        <v>150.0</v>
      </c>
      <c r="J57" s="11" t="str">
        <f>IF(D57&lt;&gt;"",VLOOKUP(H57,TABLEITEM,5,FALSE),"")</f>
        <v>กป.</v>
      </c>
      <c r="K57" s="12">
        <v>50.0</v>
      </c>
      <c r="L57" s="13" t="str">
        <f>IF(D57&lt;&gt;"",VLOOKUP(H57,TABLEITEM,2,FALSE),"")</f>
        <v/>
      </c>
      <c r="M57" s="13" t="str">
        <f>IF(D57&lt;&gt;"",VLOOKUP(H57,TABLEITEM,3,FALSE),"")</f>
        <v>สีสเปรย์ TDK#C1204551PX20</v>
      </c>
      <c r="N57" s="14">
        <f>INSTOCK!$I57*INSTOCK!$K57</f>
        <v>7500</v>
      </c>
      <c r="O57" s="4"/>
      <c r="P57" s="4"/>
    </row>
    <row r="58" ht="15.75" hidden="1" customHeight="1">
      <c r="B58" s="8">
        <v>56.0</v>
      </c>
      <c r="C58" s="9">
        <v>43199.0</v>
      </c>
      <c r="D58" s="6" t="s">
        <v>15</v>
      </c>
      <c r="E58" s="4"/>
      <c r="F58" s="8"/>
      <c r="G58" s="4"/>
      <c r="H58" s="10" t="s">
        <v>71</v>
      </c>
      <c r="I58" s="10">
        <v>228.0</v>
      </c>
      <c r="J58" s="11" t="str">
        <f>IF(D58&lt;&gt;"",VLOOKUP(H58,TABLEITEM,5,FALSE),"")</f>
        <v>กป.</v>
      </c>
      <c r="K58" s="12">
        <v>50.0</v>
      </c>
      <c r="L58" s="13" t="str">
        <f>IF(D58&lt;&gt;"",VLOOKUP(H58,TABLEITEM,2,FALSE),"")</f>
        <v/>
      </c>
      <c r="M58" s="13" t="str">
        <f>IF(D58&lt;&gt;"",VLOOKUP(H58,TABLEITEM,3,FALSE),"")</f>
        <v>สีสเปรย์ TDK #C130090A RAL7032</v>
      </c>
      <c r="N58" s="14">
        <f>INSTOCK!$I58*INSTOCK!$K58</f>
        <v>11400</v>
      </c>
      <c r="O58" s="4"/>
      <c r="P58" s="4"/>
    </row>
    <row r="59" ht="15.75" hidden="1" customHeight="1">
      <c r="B59" s="8">
        <v>57.0</v>
      </c>
      <c r="C59" s="9">
        <v>43199.0</v>
      </c>
      <c r="D59" s="6" t="s">
        <v>15</v>
      </c>
      <c r="E59" s="4"/>
      <c r="F59" s="8"/>
      <c r="G59" s="4"/>
      <c r="H59" s="10" t="s">
        <v>72</v>
      </c>
      <c r="I59" s="10">
        <v>166.0</v>
      </c>
      <c r="J59" s="11" t="str">
        <f>IF(D59&lt;&gt;"",VLOOKUP(H59,TABLEITEM,5,FALSE),"")</f>
        <v>กป.</v>
      </c>
      <c r="K59" s="12">
        <v>139.5</v>
      </c>
      <c r="L59" s="13" t="str">
        <f>IF(D59&lt;&gt;"",VLOOKUP(H59,TABLEITEM,2,FALSE),"")</f>
        <v/>
      </c>
      <c r="M59" s="13" t="str">
        <f>IF(D59&lt;&gt;"",VLOOKUP(H59,TABLEITEM,3,FALSE),"")</f>
        <v>สีสเปรย์ C1300128A</v>
      </c>
      <c r="N59" s="14">
        <f>INSTOCK!$I59*INSTOCK!$K59</f>
        <v>23157</v>
      </c>
      <c r="O59" s="4"/>
      <c r="P59" s="4"/>
    </row>
    <row r="60" ht="15.75" hidden="1" customHeight="1">
      <c r="B60" s="8">
        <v>58.0</v>
      </c>
      <c r="C60" s="9">
        <v>43199.0</v>
      </c>
      <c r="D60" s="6" t="s">
        <v>15</v>
      </c>
      <c r="E60" s="4"/>
      <c r="F60" s="8"/>
      <c r="G60" s="4"/>
      <c r="H60" s="10" t="s">
        <v>73</v>
      </c>
      <c r="I60" s="10">
        <v>1240.0</v>
      </c>
      <c r="J60" s="11" t="str">
        <f>IF(D60&lt;&gt;"",VLOOKUP(H60,TABLEITEM,5,FALSE),"")</f>
        <v>KG.</v>
      </c>
      <c r="K60" s="12">
        <v>139.5</v>
      </c>
      <c r="L60" s="13" t="str">
        <f>IF(D60&lt;&gt;"",VLOOKUP(H60,TABLEITEM,2,FALSE),"")</f>
        <v/>
      </c>
      <c r="M60" s="13" t="str">
        <f>IF(D60&lt;&gt;"",VLOOKUP(H60,TABLEITEM,3,FALSE),"")</f>
        <v>สีฝุ่น สีครีมย่น 1002782PX20</v>
      </c>
      <c r="N60" s="14">
        <f>INSTOCK!$I60*INSTOCK!$K60</f>
        <v>172980</v>
      </c>
      <c r="O60" s="4"/>
      <c r="P60" s="4"/>
    </row>
    <row r="61" ht="15.75" hidden="1" customHeight="1">
      <c r="B61" s="8">
        <v>59.0</v>
      </c>
      <c r="C61" s="9">
        <v>43199.0</v>
      </c>
      <c r="D61" s="6" t="s">
        <v>15</v>
      </c>
      <c r="E61" s="4"/>
      <c r="F61" s="8"/>
      <c r="G61" s="4"/>
      <c r="H61" s="10" t="s">
        <v>74</v>
      </c>
      <c r="I61" s="10">
        <v>80.0</v>
      </c>
      <c r="J61" s="11" t="str">
        <f>IF(D61&lt;&gt;"",VLOOKUP(H61,TABLEITEM,5,FALSE),"")</f>
        <v>KG.</v>
      </c>
      <c r="K61" s="12">
        <v>139.5</v>
      </c>
      <c r="L61" s="13" t="str">
        <f>IF(D61&lt;&gt;"",VLOOKUP(H61,TABLEITEM,2,FALSE),"")</f>
        <v/>
      </c>
      <c r="M61" s="13" t="str">
        <f>IF(D61&lt;&gt;"",VLOOKUP(H61,TABLEITEM,3,FALSE),"")</f>
        <v>สีฝุ่น สีเทาย่น 1002877PX20</v>
      </c>
      <c r="N61" s="14">
        <f>INSTOCK!$I61*INSTOCK!$K61</f>
        <v>11160</v>
      </c>
      <c r="O61" s="4"/>
      <c r="P61" s="4"/>
    </row>
    <row r="62" ht="15.75" hidden="1" customHeight="1">
      <c r="B62" s="8">
        <v>60.0</v>
      </c>
      <c r="C62" s="9">
        <v>43199.0</v>
      </c>
      <c r="D62" s="6" t="s">
        <v>15</v>
      </c>
      <c r="E62" s="4"/>
      <c r="F62" s="8"/>
      <c r="G62" s="4"/>
      <c r="H62" s="10" t="s">
        <v>75</v>
      </c>
      <c r="I62" s="10">
        <v>180.0</v>
      </c>
      <c r="J62" s="11" t="str">
        <f>IF(D62&lt;&gt;"",VLOOKUP(H62,TABLEITEM,5,FALSE),"")</f>
        <v>KG.</v>
      </c>
      <c r="K62" s="12">
        <v>139.5</v>
      </c>
      <c r="L62" s="13" t="str">
        <f>IF(D62&lt;&gt;"",VLOOKUP(H62,TABLEITEM,2,FALSE),"")</f>
        <v/>
      </c>
      <c r="M62" s="13" t="str">
        <f>IF(D62&lt;&gt;"",VLOOKUP(H62,TABLEITEM,3,FALSE),"")</f>
        <v>สีฝุ่น สีครีมย่น 1002735PX20</v>
      </c>
      <c r="N62" s="14">
        <f>INSTOCK!$I62*INSTOCK!$K62</f>
        <v>25110</v>
      </c>
      <c r="O62" s="4"/>
      <c r="P62" s="4"/>
    </row>
    <row r="63" ht="15.75" hidden="1" customHeight="1">
      <c r="B63" s="8">
        <v>61.0</v>
      </c>
      <c r="C63" s="9">
        <v>43199.0</v>
      </c>
      <c r="D63" s="6" t="s">
        <v>15</v>
      </c>
      <c r="E63" s="4"/>
      <c r="F63" s="8"/>
      <c r="G63" s="4"/>
      <c r="H63" s="10" t="s">
        <v>76</v>
      </c>
      <c r="I63" s="10">
        <v>120.0</v>
      </c>
      <c r="J63" s="11" t="str">
        <f>IF(D63&lt;&gt;"",VLOOKUP(H63,TABLEITEM,5,FALSE),"")</f>
        <v>KG.</v>
      </c>
      <c r="K63" s="12">
        <v>139.5</v>
      </c>
      <c r="L63" s="13" t="str">
        <f>IF(D63&lt;&gt;"",VLOOKUP(H63,TABLEITEM,2,FALSE),"")</f>
        <v/>
      </c>
      <c r="M63" s="13" t="str">
        <f>IF(D63&lt;&gt;"",VLOOKUP(H63,TABLEITEM,3,FALSE),"")</f>
        <v>สีฝุ่น Widely White 1029739PX20</v>
      </c>
      <c r="N63" s="14">
        <f>INSTOCK!$I63*INSTOCK!$K63</f>
        <v>16740</v>
      </c>
      <c r="O63" s="4"/>
      <c r="P63" s="4"/>
    </row>
    <row r="64" ht="15.75" hidden="1" customHeight="1">
      <c r="B64" s="8">
        <v>62.0</v>
      </c>
      <c r="C64" s="9">
        <v>43199.0</v>
      </c>
      <c r="D64" s="6" t="s">
        <v>15</v>
      </c>
      <c r="E64" s="4"/>
      <c r="F64" s="8"/>
      <c r="G64" s="4"/>
      <c r="H64" s="10" t="s">
        <v>77</v>
      </c>
      <c r="I64" s="10">
        <v>20.0</v>
      </c>
      <c r="J64" s="11" t="str">
        <f>IF(D64&lt;&gt;"",VLOOKUP(H64,TABLEITEM,5,FALSE),"")</f>
        <v>KG.</v>
      </c>
      <c r="K64" s="12">
        <v>139.5</v>
      </c>
      <c r="L64" s="13" t="str">
        <f>IF(D64&lt;&gt;"",VLOOKUP(H64,TABLEITEM,2,FALSE),"")</f>
        <v/>
      </c>
      <c r="M64" s="13" t="str">
        <f>IF(D64&lt;&gt;"",VLOOKUP(H64,TABLEITEM,3,FALSE),"")</f>
        <v>สีฝุ่น GREY BUTTER 1025216PX20</v>
      </c>
      <c r="N64" s="14">
        <f>INSTOCK!$I64*INSTOCK!$K64</f>
        <v>2790</v>
      </c>
      <c r="O64" s="4"/>
      <c r="P64" s="4"/>
    </row>
    <row r="65" ht="15.75" hidden="1" customHeight="1">
      <c r="B65" s="8">
        <v>63.0</v>
      </c>
      <c r="C65" s="9">
        <v>43199.0</v>
      </c>
      <c r="D65" s="6" t="s">
        <v>15</v>
      </c>
      <c r="E65" s="4"/>
      <c r="F65" s="8"/>
      <c r="G65" s="4"/>
      <c r="H65" s="10" t="s">
        <v>78</v>
      </c>
      <c r="I65" s="10">
        <v>20.0</v>
      </c>
      <c r="J65" s="11" t="str">
        <f>IF(D65&lt;&gt;"",VLOOKUP(H65,TABLEITEM,5,FALSE),"")</f>
        <v>KG.</v>
      </c>
      <c r="K65" s="12">
        <v>139.5</v>
      </c>
      <c r="L65" s="13" t="str">
        <f>IF(D65&lt;&gt;"",VLOOKUP(H65,TABLEITEM,2,FALSE),"")</f>
        <v/>
      </c>
      <c r="M65" s="13" t="str">
        <f>IF(D65&lt;&gt;"",VLOOKUP(H65,TABLEITEM,3,FALSE),"")</f>
        <v>สีฝุ่น สีเทาเรียบ 1025209PX20</v>
      </c>
      <c r="N65" s="14">
        <f>INSTOCK!$I65*INSTOCK!$K65</f>
        <v>2790</v>
      </c>
      <c r="O65" s="4"/>
      <c r="P65" s="4"/>
    </row>
    <row r="66" ht="15.75" hidden="1" customHeight="1">
      <c r="B66" s="8">
        <v>64.0</v>
      </c>
      <c r="C66" s="9">
        <v>43199.0</v>
      </c>
      <c r="D66" s="6" t="s">
        <v>15</v>
      </c>
      <c r="E66" s="4"/>
      <c r="F66" s="8"/>
      <c r="G66" s="4"/>
      <c r="H66" s="10" t="s">
        <v>79</v>
      </c>
      <c r="I66" s="10">
        <v>40.0</v>
      </c>
      <c r="J66" s="11" t="str">
        <f>IF(D66&lt;&gt;"",VLOOKUP(H66,TABLEITEM,5,FALSE),"")</f>
        <v>KG.</v>
      </c>
      <c r="K66" s="12">
        <v>130.0</v>
      </c>
      <c r="L66" s="13" t="str">
        <f>IF(D66&lt;&gt;"",VLOOKUP(H66,TABLEITEM,2,FALSE),"")</f>
        <v/>
      </c>
      <c r="M66" s="13" t="str">
        <f>IF(D66&lt;&gt;"",VLOOKUP(H66,TABLEITEM,3,FALSE),"")</f>
        <v>สีฝุ่นFF110/600/Cสีส้ม</v>
      </c>
      <c r="N66" s="14">
        <f>INSTOCK!$I66*INSTOCK!$K66</f>
        <v>5200</v>
      </c>
      <c r="O66" s="4"/>
      <c r="P66" s="4"/>
    </row>
    <row r="67" ht="15.75" hidden="1" customHeight="1">
      <c r="B67" s="8">
        <v>65.0</v>
      </c>
      <c r="C67" s="9">
        <v>43199.0</v>
      </c>
      <c r="D67" s="6" t="s">
        <v>15</v>
      </c>
      <c r="E67" s="4"/>
      <c r="F67" s="8"/>
      <c r="G67" s="4"/>
      <c r="H67" s="10" t="s">
        <v>80</v>
      </c>
      <c r="I67" s="10">
        <v>80.0</v>
      </c>
      <c r="J67" s="11" t="str">
        <f>IF(D67&lt;&gt;"",VLOOKUP(H67,TABLEITEM,5,FALSE),"")</f>
        <v>KG.</v>
      </c>
      <c r="K67" s="12">
        <v>130.0</v>
      </c>
      <c r="L67" s="13" t="str">
        <f>IF(D67&lt;&gt;"",VLOOKUP(H67,TABLEITEM,2,FALSE),"")</f>
        <v/>
      </c>
      <c r="M67" s="13" t="str">
        <f>IF(D67&lt;&gt;"",VLOOKUP(H67,TABLEITEM,3,FALSE),"")</f>
        <v>สีฝุ่น FF 110/815/C สีผิวเงา</v>
      </c>
      <c r="N67" s="14">
        <f>INSTOCK!$I67*INSTOCK!$K67</f>
        <v>10400</v>
      </c>
      <c r="O67" s="4"/>
      <c r="P67" s="4"/>
    </row>
    <row r="68" ht="15.75" hidden="1" customHeight="1">
      <c r="B68" s="8">
        <v>66.0</v>
      </c>
      <c r="C68" s="9">
        <v>43199.0</v>
      </c>
      <c r="D68" s="6" t="s">
        <v>15</v>
      </c>
      <c r="E68" s="4"/>
      <c r="F68" s="8"/>
      <c r="G68" s="4"/>
      <c r="H68" s="10" t="s">
        <v>81</v>
      </c>
      <c r="I68" s="10">
        <v>80.0</v>
      </c>
      <c r="J68" s="11" t="str">
        <f>IF(D68&lt;&gt;"",VLOOKUP(H68,TABLEITEM,5,FALSE),"")</f>
        <v>KG.</v>
      </c>
      <c r="K68" s="12">
        <v>130.0</v>
      </c>
      <c r="L68" s="13" t="str">
        <f>IF(D68&lt;&gt;"",VLOOKUP(H68,TABLEITEM,2,FALSE),"")</f>
        <v/>
      </c>
      <c r="M68" s="13" t="str">
        <f>IF(D68&lt;&gt;"",VLOOKUP(H68,TABLEITEM,3,FALSE),"")</f>
        <v>สีฝุ่น FF 110/833/C สีเทาเรียบ</v>
      </c>
      <c r="N68" s="14">
        <f>INSTOCK!$I68*INSTOCK!$K68</f>
        <v>10400</v>
      </c>
      <c r="O68" s="4"/>
      <c r="P68" s="4"/>
    </row>
    <row r="69" ht="15.75" hidden="1" customHeight="1">
      <c r="B69" s="8">
        <v>67.0</v>
      </c>
      <c r="C69" s="9">
        <v>43199.0</v>
      </c>
      <c r="D69" s="6" t="s">
        <v>15</v>
      </c>
      <c r="E69" s="4"/>
      <c r="F69" s="8"/>
      <c r="G69" s="4"/>
      <c r="H69" s="10" t="s">
        <v>82</v>
      </c>
      <c r="I69" s="10">
        <v>80.0</v>
      </c>
      <c r="J69" s="11" t="str">
        <f>IF(D69&lt;&gt;"",VLOOKUP(H69,TABLEITEM,5,FALSE),"")</f>
        <v>KG.</v>
      </c>
      <c r="K69" s="12">
        <v>130.0</v>
      </c>
      <c r="L69" s="13" t="str">
        <f>IF(D69&lt;&gt;"",VLOOKUP(H69,TABLEITEM,2,FALSE),"")</f>
        <v/>
      </c>
      <c r="M69" s="13" t="str">
        <f>IF(D69&lt;&gt;"",VLOOKUP(H69,TABLEITEM,3,FALSE),"")</f>
        <v>สีฝุ่น FF 110/908/C สีครีมเหลือง</v>
      </c>
      <c r="N69" s="14">
        <f>INSTOCK!$I69*INSTOCK!$K69</f>
        <v>10400</v>
      </c>
      <c r="O69" s="4"/>
      <c r="P69" s="4"/>
    </row>
    <row r="70" ht="15.75" hidden="1" customHeight="1">
      <c r="B70" s="8">
        <v>68.0</v>
      </c>
      <c r="C70" s="9">
        <v>43199.0</v>
      </c>
      <c r="D70" s="6" t="s">
        <v>15</v>
      </c>
      <c r="E70" s="4"/>
      <c r="F70" s="8"/>
      <c r="G70" s="4"/>
      <c r="H70" s="10" t="s">
        <v>83</v>
      </c>
      <c r="I70" s="10">
        <v>60.0</v>
      </c>
      <c r="J70" s="11" t="str">
        <f>IF(D70&lt;&gt;"",VLOOKUP(H70,TABLEITEM,5,FALSE),"")</f>
        <v>KG.</v>
      </c>
      <c r="K70" s="12">
        <v>130.0</v>
      </c>
      <c r="L70" s="13" t="str">
        <f>IF(D70&lt;&gt;"",VLOOKUP(H70,TABLEITEM,2,FALSE),"")</f>
        <v/>
      </c>
      <c r="M70" s="13" t="str">
        <f>IF(D70&lt;&gt;"",VLOOKUP(H70,TABLEITEM,3,FALSE),"")</f>
        <v>สีฝุ่น FF 110/90/C สีขาวเรียบ</v>
      </c>
      <c r="N70" s="14">
        <f>INSTOCK!$I70*INSTOCK!$K70</f>
        <v>7800</v>
      </c>
      <c r="O70" s="4"/>
      <c r="P70" s="4"/>
    </row>
    <row r="71" ht="15.75" hidden="1" customHeight="1">
      <c r="B71" s="8">
        <v>69.0</v>
      </c>
      <c r="C71" s="9">
        <v>43199.0</v>
      </c>
      <c r="D71" s="6" t="s">
        <v>15</v>
      </c>
      <c r="E71" s="4"/>
      <c r="F71" s="8"/>
      <c r="G71" s="4"/>
      <c r="H71" s="10" t="s">
        <v>84</v>
      </c>
      <c r="I71" s="10">
        <v>60.0</v>
      </c>
      <c r="J71" s="11" t="str">
        <f>IF(D71&lt;&gt;"",VLOOKUP(H71,TABLEITEM,5,FALSE),"")</f>
        <v>KG.</v>
      </c>
      <c r="K71" s="12">
        <v>130.0</v>
      </c>
      <c r="L71" s="13" t="str">
        <f>IF(D71&lt;&gt;"",VLOOKUP(H71,TABLEITEM,2,FALSE),"")</f>
        <v/>
      </c>
      <c r="M71" s="13" t="str">
        <f>IF(D71&lt;&gt;"",VLOOKUP(H71,TABLEITEM,3,FALSE),"")</f>
        <v>สีฝุ่น FF 165/829/CW2 สีขาวตู้แบต</v>
      </c>
      <c r="N71" s="14">
        <f>INSTOCK!$I71*INSTOCK!$K71</f>
        <v>7800</v>
      </c>
      <c r="O71" s="4"/>
      <c r="P71" s="4"/>
    </row>
    <row r="72" ht="15.75" hidden="1" customHeight="1">
      <c r="B72" s="8">
        <v>70.0</v>
      </c>
      <c r="C72" s="9">
        <v>43199.0</v>
      </c>
      <c r="D72" s="6" t="s">
        <v>15</v>
      </c>
      <c r="E72" s="4"/>
      <c r="F72" s="8"/>
      <c r="G72" s="4"/>
      <c r="H72" s="10" t="s">
        <v>85</v>
      </c>
      <c r="I72" s="10">
        <v>160.0</v>
      </c>
      <c r="J72" s="11" t="str">
        <f>IF(D72&lt;&gt;"",VLOOKUP(H72,TABLEITEM,5,FALSE),"")</f>
        <v>KG.</v>
      </c>
      <c r="K72" s="12">
        <v>112.0</v>
      </c>
      <c r="L72" s="13" t="str">
        <f>IF(D72&lt;&gt;"",VLOOKUP(H72,TABLEITEM,2,FALSE),"")</f>
        <v/>
      </c>
      <c r="M72" s="13" t="str">
        <f>IF(D72&lt;&gt;"",VLOOKUP(H72,TABLEITEM,3,FALSE),"")</f>
        <v>สีฝุ่น GH433241 สีเทาย่น</v>
      </c>
      <c r="N72" s="14">
        <f>INSTOCK!$I72*INSTOCK!$K72</f>
        <v>17920</v>
      </c>
      <c r="O72" s="4"/>
      <c r="P72" s="4"/>
    </row>
    <row r="73" ht="15.75" hidden="1" customHeight="1">
      <c r="B73" s="8">
        <v>71.0</v>
      </c>
      <c r="C73" s="9">
        <v>43199.0</v>
      </c>
      <c r="D73" s="6" t="s">
        <v>15</v>
      </c>
      <c r="E73" s="4"/>
      <c r="F73" s="8"/>
      <c r="G73" s="4"/>
      <c r="H73" s="10" t="s">
        <v>86</v>
      </c>
      <c r="I73" s="10">
        <v>260.0</v>
      </c>
      <c r="J73" s="11" t="str">
        <f>IF(D73&lt;&gt;"",VLOOKUP(H73,TABLEITEM,5,FALSE),"")</f>
        <v>KG.</v>
      </c>
      <c r="K73" s="12">
        <v>145.0</v>
      </c>
      <c r="L73" s="13" t="str">
        <f>IF(D73&lt;&gt;"",VLOOKUP(H73,TABLEITEM,2,FALSE),"")</f>
        <v/>
      </c>
      <c r="M73" s="13" t="str">
        <f>IF(D73&lt;&gt;"",VLOOKUP(H73,TABLEITEM,3,FALSE),"")</f>
        <v>สีฝุ่น ครีมเรียบ 1204551PX20</v>
      </c>
      <c r="N73" s="14">
        <f>INSTOCK!$I73*INSTOCK!$K73</f>
        <v>37700</v>
      </c>
      <c r="O73" s="4"/>
      <c r="P73" s="4"/>
    </row>
    <row r="74" ht="15.75" hidden="1" customHeight="1">
      <c r="B74" s="8">
        <v>72.0</v>
      </c>
      <c r="C74" s="9">
        <v>43199.0</v>
      </c>
      <c r="D74" s="6" t="s">
        <v>15</v>
      </c>
      <c r="E74" s="4"/>
      <c r="F74" s="8"/>
      <c r="G74" s="4"/>
      <c r="H74" s="10" t="s">
        <v>87</v>
      </c>
      <c r="I74" s="10">
        <v>160.0</v>
      </c>
      <c r="J74" s="11" t="str">
        <f>IF(D74&lt;&gt;"",VLOOKUP(H74,TABLEITEM,5,FALSE),"")</f>
        <v>KG.</v>
      </c>
      <c r="K74" s="12">
        <v>140.0</v>
      </c>
      <c r="L74" s="13" t="str">
        <f>IF(D74&lt;&gt;"",VLOOKUP(H74,TABLEITEM,2,FALSE),"")</f>
        <v/>
      </c>
      <c r="M74" s="13" t="str">
        <f>IF(D74&lt;&gt;"",VLOOKUP(H74,TABLEITEM,3,FALSE),"")</f>
        <v>สีฝุ่น GH413041F Sand Grey</v>
      </c>
      <c r="N74" s="14">
        <f>INSTOCK!$I74*INSTOCK!$K74</f>
        <v>22400</v>
      </c>
      <c r="O74" s="4"/>
      <c r="P74" s="4"/>
    </row>
    <row r="75" ht="15.75" hidden="1" customHeight="1">
      <c r="B75" s="8">
        <v>73.0</v>
      </c>
      <c r="C75" s="9">
        <v>43199.0</v>
      </c>
      <c r="D75" s="6" t="s">
        <v>15</v>
      </c>
      <c r="E75" s="4"/>
      <c r="F75" s="8"/>
      <c r="G75" s="4"/>
      <c r="H75" s="10" t="s">
        <v>88</v>
      </c>
      <c r="I75" s="10">
        <v>0.0</v>
      </c>
      <c r="J75" s="11" t="str">
        <f>IF(D75&lt;&gt;"",VLOOKUP(H75,TABLEITEM,5,FALSE),"")</f>
        <v>KG.</v>
      </c>
      <c r="K75" s="12">
        <v>145.0</v>
      </c>
      <c r="L75" s="13" t="str">
        <f>IF(D75&lt;&gt;"",VLOOKUP(H75,TABLEITEM,2,FALSE),"")</f>
        <v/>
      </c>
      <c r="M75" s="13" t="str">
        <f>IF(D75&lt;&gt;"",VLOOKUP(H75,TABLEITEM,3,FALSE),"")</f>
        <v>สีฝุ่น FF165/49/cw</v>
      </c>
      <c r="N75" s="14">
        <f>INSTOCK!$I75*INSTOCK!$K75</f>
        <v>0</v>
      </c>
      <c r="O75" s="4"/>
      <c r="P75" s="4"/>
    </row>
    <row r="76" ht="15.75" hidden="1" customHeight="1">
      <c r="B76" s="8">
        <v>74.0</v>
      </c>
      <c r="C76" s="9">
        <v>43199.0</v>
      </c>
      <c r="D76" s="6" t="s">
        <v>15</v>
      </c>
      <c r="E76" s="4"/>
      <c r="F76" s="8"/>
      <c r="G76" s="4"/>
      <c r="H76" s="10" t="s">
        <v>89</v>
      </c>
      <c r="I76" s="10">
        <v>20.0</v>
      </c>
      <c r="J76" s="11" t="str">
        <f>IF(D76&lt;&gt;"",VLOOKUP(H76,TABLEITEM,5,FALSE),"")</f>
        <v>KG.</v>
      </c>
      <c r="K76" s="12">
        <v>145.0</v>
      </c>
      <c r="L76" s="13" t="str">
        <f>IF(D76&lt;&gt;"",VLOOKUP(H76,TABLEITEM,2,FALSE),"")</f>
        <v/>
      </c>
      <c r="M76" s="13" t="str">
        <f>IF(D76&lt;&gt;"",VLOOKUP(H76,TABLEITEM,3,FALSE),"")</f>
        <v>สีฝุ่น FF110/166</v>
      </c>
      <c r="N76" s="14">
        <f>INSTOCK!$I76*INSTOCK!$K76</f>
        <v>2900</v>
      </c>
      <c r="O76" s="4"/>
      <c r="P76" s="4"/>
    </row>
    <row r="77" ht="15.75" hidden="1" customHeight="1">
      <c r="B77" s="8">
        <v>75.0</v>
      </c>
      <c r="C77" s="9">
        <v>43199.0</v>
      </c>
      <c r="D77" s="6" t="s">
        <v>15</v>
      </c>
      <c r="E77" s="4"/>
      <c r="F77" s="8"/>
      <c r="G77" s="4"/>
      <c r="H77" s="10" t="s">
        <v>90</v>
      </c>
      <c r="I77" s="10">
        <v>20.0</v>
      </c>
      <c r="J77" s="11" t="str">
        <f>IF(D77&lt;&gt;"",VLOOKUP(H77,TABLEITEM,5,FALSE),"")</f>
        <v>KG.</v>
      </c>
      <c r="K77" s="12">
        <v>140.0</v>
      </c>
      <c r="L77" s="13" t="str">
        <f>IF(D77&lt;&gt;"",VLOOKUP(H77,TABLEITEM,2,FALSE),"")</f>
        <v/>
      </c>
      <c r="M77" s="13" t="str">
        <f>IF(D77&lt;&gt;"",VLOOKUP(H77,TABLEITEM,3,FALSE),"")</f>
        <v>สีฝุ่น FF110/201/c</v>
      </c>
      <c r="N77" s="14">
        <f>INSTOCK!$I77*INSTOCK!$K77</f>
        <v>2800</v>
      </c>
      <c r="O77" s="4"/>
      <c r="P77" s="4"/>
    </row>
    <row r="78" ht="15.75" hidden="1" customHeight="1">
      <c r="B78" s="8">
        <v>76.0</v>
      </c>
      <c r="C78" s="9">
        <v>43199.0</v>
      </c>
      <c r="D78" s="6" t="s">
        <v>15</v>
      </c>
      <c r="E78" s="4"/>
      <c r="F78" s="8"/>
      <c r="G78" s="4"/>
      <c r="H78" s="10" t="s">
        <v>91</v>
      </c>
      <c r="I78" s="10">
        <v>40.0</v>
      </c>
      <c r="J78" s="11" t="str">
        <f>IF(D78&lt;&gt;"",VLOOKUP(H78,TABLEITEM,5,FALSE),"")</f>
        <v>KG.</v>
      </c>
      <c r="K78" s="12">
        <v>140.0</v>
      </c>
      <c r="L78" s="13" t="str">
        <f>IF(D78&lt;&gt;"",VLOOKUP(H78,TABLEITEM,2,FALSE),"")</f>
        <v/>
      </c>
      <c r="M78" s="13" t="str">
        <f>IF(D78&lt;&gt;"",VLOOKUP(H78,TABLEITEM,3,FALSE),"")</f>
        <v>สีฝ่น FF110/601/c</v>
      </c>
      <c r="N78" s="14">
        <f>INSTOCK!$I78*INSTOCK!$K78</f>
        <v>5600</v>
      </c>
      <c r="O78" s="4"/>
      <c r="P78" s="4"/>
    </row>
    <row r="79" ht="15.75" hidden="1" customHeight="1">
      <c r="B79" s="8">
        <v>77.0</v>
      </c>
      <c r="C79" s="9">
        <v>43199.0</v>
      </c>
      <c r="D79" s="6" t="s">
        <v>15</v>
      </c>
      <c r="E79" s="4"/>
      <c r="F79" s="8"/>
      <c r="G79" s="4"/>
      <c r="H79" s="10" t="s">
        <v>92</v>
      </c>
      <c r="I79" s="10">
        <v>20.0</v>
      </c>
      <c r="J79" s="11" t="str">
        <f>IF(D79&lt;&gt;"",VLOOKUP(H79,TABLEITEM,5,FALSE),"")</f>
        <v>KG.</v>
      </c>
      <c r="K79" s="12">
        <v>130.0</v>
      </c>
      <c r="L79" s="13" t="str">
        <f>IF(D79&lt;&gt;"",VLOOKUP(H79,TABLEITEM,2,FALSE),"")</f>
        <v/>
      </c>
      <c r="M79" s="13" t="str">
        <f>IF(D79&lt;&gt;"",VLOOKUP(H79,TABLEITEM,3,FALSE),"")</f>
        <v>สีฝุ่น FF110/703/c สีดำผิวเงา</v>
      </c>
      <c r="N79" s="14">
        <f>INSTOCK!$I79*INSTOCK!$K79</f>
        <v>2600</v>
      </c>
      <c r="O79" s="4"/>
      <c r="P79" s="4"/>
    </row>
    <row r="80" ht="15.75" hidden="1" customHeight="1">
      <c r="B80" s="8">
        <v>78.0</v>
      </c>
      <c r="C80" s="9">
        <v>43199.0</v>
      </c>
      <c r="D80" s="6" t="s">
        <v>15</v>
      </c>
      <c r="E80" s="4"/>
      <c r="F80" s="8"/>
      <c r="G80" s="4"/>
      <c r="H80" s="10" t="s">
        <v>93</v>
      </c>
      <c r="I80" s="10">
        <v>20.0</v>
      </c>
      <c r="J80" s="11" t="str">
        <f>IF(D80&lt;&gt;"",VLOOKUP(H80,TABLEITEM,5,FALSE),"")</f>
        <v>KG.</v>
      </c>
      <c r="K80" s="12">
        <v>130.0</v>
      </c>
      <c r="L80" s="13" t="str">
        <f>IF(D80&lt;&gt;"",VLOOKUP(H80,TABLEITEM,2,FALSE),"")</f>
        <v/>
      </c>
      <c r="M80" s="13" t="str">
        <f>IF(D80&lt;&gt;"",VLOOKUP(H80,TABLEITEM,3,FALSE),"")</f>
        <v>สีฝุ่น FF110/981/c </v>
      </c>
      <c r="N80" s="14">
        <f>INSTOCK!$I80*INSTOCK!$K80</f>
        <v>2600</v>
      </c>
      <c r="O80" s="4"/>
      <c r="P80" s="4"/>
    </row>
    <row r="81" ht="15.75" hidden="1" customHeight="1">
      <c r="B81" s="8">
        <v>79.0</v>
      </c>
      <c r="C81" s="9">
        <v>43199.0</v>
      </c>
      <c r="D81" s="6" t="s">
        <v>15</v>
      </c>
      <c r="E81" s="4"/>
      <c r="F81" s="8"/>
      <c r="G81" s="4"/>
      <c r="H81" s="10" t="s">
        <v>94</v>
      </c>
      <c r="I81" s="10">
        <v>20.0</v>
      </c>
      <c r="J81" s="11" t="str">
        <f>IF(D81&lt;&gt;"",VLOOKUP(H81,TABLEITEM,5,FALSE),"")</f>
        <v>KG.</v>
      </c>
      <c r="K81" s="12">
        <v>139.5</v>
      </c>
      <c r="L81" s="13" t="str">
        <f>IF(D81&lt;&gt;"",VLOOKUP(H81,TABLEITEM,2,FALSE),"")</f>
        <v/>
      </c>
      <c r="M81" s="13" t="str">
        <f>IF(D81&lt;&gt;"",VLOOKUP(H81,TABLEITEM,3,FALSE),"")</f>
        <v>สีฝุ่น 1205878PX20 </v>
      </c>
      <c r="N81" s="14">
        <f>INSTOCK!$I81*INSTOCK!$K81</f>
        <v>2790</v>
      </c>
      <c r="O81" s="4"/>
      <c r="P81" s="4"/>
    </row>
    <row r="82" ht="15.75" hidden="1" customHeight="1">
      <c r="B82" s="8">
        <v>80.0</v>
      </c>
      <c r="C82" s="9">
        <v>43199.0</v>
      </c>
      <c r="D82" s="6" t="s">
        <v>15</v>
      </c>
      <c r="E82" s="4"/>
      <c r="F82" s="8"/>
      <c r="G82" s="4"/>
      <c r="H82" s="10" t="s">
        <v>95</v>
      </c>
      <c r="I82" s="10">
        <v>100.0</v>
      </c>
      <c r="J82" s="11" t="str">
        <f>IF(D82&lt;&gt;"",VLOOKUP(H82,TABLEITEM,5,FALSE),"")</f>
        <v>KG.</v>
      </c>
      <c r="K82" s="12">
        <v>139.5</v>
      </c>
      <c r="L82" s="13" t="str">
        <f>IF(D82&lt;&gt;"",VLOOKUP(H82,TABLEITEM,2,FALSE),"")</f>
        <v/>
      </c>
      <c r="M82" s="13" t="str">
        <f>IF(D82&lt;&gt;"",VLOOKUP(H82,TABLEITEM,3,FALSE),"")</f>
        <v>สีฝุ่น 1212414 PX20 สีแดง</v>
      </c>
      <c r="N82" s="14">
        <f>INSTOCK!$I82*INSTOCK!$K82</f>
        <v>13950</v>
      </c>
      <c r="O82" s="4"/>
      <c r="P82" s="4"/>
    </row>
    <row r="83" ht="15.75" hidden="1" customHeight="1">
      <c r="B83" s="8">
        <v>81.0</v>
      </c>
      <c r="C83" s="9">
        <v>43199.0</v>
      </c>
      <c r="D83" s="6" t="s">
        <v>15</v>
      </c>
      <c r="E83" s="4"/>
      <c r="F83" s="8"/>
      <c r="G83" s="4"/>
      <c r="H83" s="10" t="s">
        <v>96</v>
      </c>
      <c r="I83" s="10">
        <v>100.0</v>
      </c>
      <c r="J83" s="11" t="str">
        <f>IF(D83&lt;&gt;"",VLOOKUP(H83,TABLEITEM,5,FALSE),"")</f>
        <v>KG.</v>
      </c>
      <c r="K83" s="12">
        <v>139.5</v>
      </c>
      <c r="L83" s="13" t="str">
        <f>IF(D83&lt;&gt;"",VLOOKUP(H83,TABLEITEM,2,FALSE),"")</f>
        <v/>
      </c>
      <c r="M83" s="13" t="str">
        <f>IF(D83&lt;&gt;"",VLOOKUP(H83,TABLEITEM,3,FALSE),"")</f>
        <v>สีฝุ่น 1212422 PX20 สีเทาเข้ม</v>
      </c>
      <c r="N83" s="14">
        <f>INSTOCK!$I83*INSTOCK!$K83</f>
        <v>13950</v>
      </c>
      <c r="O83" s="4"/>
      <c r="P83" s="4"/>
    </row>
    <row r="84" ht="15.75" hidden="1" customHeight="1">
      <c r="B84" s="8">
        <v>82.0</v>
      </c>
      <c r="C84" s="9">
        <v>43199.0</v>
      </c>
      <c r="D84" s="6" t="s">
        <v>15</v>
      </c>
      <c r="E84" s="4"/>
      <c r="F84" s="8"/>
      <c r="G84" s="4"/>
      <c r="H84" s="10" t="s">
        <v>97</v>
      </c>
      <c r="I84" s="10">
        <v>80.0</v>
      </c>
      <c r="J84" s="11" t="str">
        <f>IF(D84&lt;&gt;"",VLOOKUP(H84,TABLEITEM,5,FALSE),"")</f>
        <v>KG.</v>
      </c>
      <c r="K84" s="12">
        <v>139.5</v>
      </c>
      <c r="L84" s="13" t="str">
        <f>IF(D84&lt;&gt;"",VLOOKUP(H84,TABLEITEM,2,FALSE),"")</f>
        <v/>
      </c>
      <c r="M84" s="13" t="str">
        <f>IF(D84&lt;&gt;"",VLOOKUP(H84,TABLEITEM,3,FALSE),"")</f>
        <v>สีฝุ่น 1212421 PX20 สีน้ำเงิน</v>
      </c>
      <c r="N84" s="14">
        <f>INSTOCK!$I84*INSTOCK!$K84</f>
        <v>11160</v>
      </c>
      <c r="O84" s="4"/>
      <c r="P84" s="4"/>
    </row>
    <row r="85" ht="15.75" hidden="1" customHeight="1">
      <c r="B85" s="8">
        <v>83.0</v>
      </c>
      <c r="C85" s="9">
        <v>43199.0</v>
      </c>
      <c r="D85" s="6" t="s">
        <v>15</v>
      </c>
      <c r="E85" s="4"/>
      <c r="F85" s="8"/>
      <c r="G85" s="4"/>
      <c r="H85" s="10" t="s">
        <v>98</v>
      </c>
      <c r="I85" s="10">
        <v>40.0</v>
      </c>
      <c r="J85" s="11" t="str">
        <f>IF(D85&lt;&gt;"",VLOOKUP(H85,TABLEITEM,5,FALSE),"")</f>
        <v>KG.</v>
      </c>
      <c r="K85" s="12">
        <v>145.0</v>
      </c>
      <c r="L85" s="13" t="str">
        <f>IF(D85&lt;&gt;"",VLOOKUP(H85,TABLEITEM,2,FALSE),"")</f>
        <v/>
      </c>
      <c r="M85" s="13" t="str">
        <f>IF(D85&lt;&gt;"",VLOOKUP(H85,TABLEITEM,3,FALSE),"")</f>
        <v>สีฝุ่น GH464022 สีครีม</v>
      </c>
      <c r="N85" s="14">
        <f>INSTOCK!$I85*INSTOCK!$K85</f>
        <v>5800</v>
      </c>
      <c r="O85" s="4"/>
      <c r="P85" s="4"/>
    </row>
    <row r="86" ht="15.75" hidden="1" customHeight="1">
      <c r="B86" s="8">
        <v>84.0</v>
      </c>
      <c r="C86" s="9">
        <v>43199.0</v>
      </c>
      <c r="D86" s="6" t="s">
        <v>15</v>
      </c>
      <c r="E86" s="4"/>
      <c r="F86" s="8"/>
      <c r="G86" s="4"/>
      <c r="H86" s="10" t="s">
        <v>99</v>
      </c>
      <c r="I86" s="10">
        <v>140.0</v>
      </c>
      <c r="J86" s="11" t="str">
        <f>IF(D86&lt;&gt;"",VLOOKUP(H86,TABLEITEM,5,FALSE),"")</f>
        <v>KG.</v>
      </c>
      <c r="K86" s="12">
        <v>145.0</v>
      </c>
      <c r="L86" s="13" t="str">
        <f>IF(D86&lt;&gt;"",VLOOKUP(H86,TABLEITEM,2,FALSE),"")</f>
        <v/>
      </c>
      <c r="M86" s="13" t="str">
        <f>IF(D86&lt;&gt;"",VLOOKUP(H86,TABLEITEM,3,FALSE),"")</f>
        <v>สีฝุ่น GH467026 สีน้ำเงิน</v>
      </c>
      <c r="N86" s="14">
        <f>INSTOCK!$I86*INSTOCK!$K86</f>
        <v>20300</v>
      </c>
      <c r="O86" s="4"/>
      <c r="P86" s="4"/>
    </row>
    <row r="87" ht="15.75" hidden="1" customHeight="1">
      <c r="B87" s="8">
        <v>85.0</v>
      </c>
      <c r="C87" s="9">
        <v>43199.0</v>
      </c>
      <c r="D87" s="6" t="s">
        <v>15</v>
      </c>
      <c r="E87" s="4"/>
      <c r="F87" s="8"/>
      <c r="G87" s="4"/>
      <c r="H87" s="10" t="s">
        <v>100</v>
      </c>
      <c r="I87" s="10">
        <v>74.0</v>
      </c>
      <c r="J87" s="11" t="str">
        <f>IF(D87&lt;&gt;"",VLOOKUP(H87,TABLEITEM,5,FALSE),"")</f>
        <v>KG.</v>
      </c>
      <c r="K87" s="12">
        <v>145.0</v>
      </c>
      <c r="L87" s="13" t="str">
        <f>IF(D87&lt;&gt;"",VLOOKUP(H87,TABLEITEM,2,FALSE),"")</f>
        <v/>
      </c>
      <c r="M87" s="13" t="str">
        <f>IF(D87&lt;&gt;"",VLOOKUP(H87,TABLEITEM,3,FALSE),"")</f>
        <v>สีฝุ่น GH467042</v>
      </c>
      <c r="N87" s="14">
        <f>INSTOCK!$I87*INSTOCK!$K87</f>
        <v>10730</v>
      </c>
      <c r="O87" s="4"/>
      <c r="P87" s="4"/>
    </row>
    <row r="88" ht="15.75" hidden="1" customHeight="1">
      <c r="B88" s="8">
        <v>86.0</v>
      </c>
      <c r="C88" s="9">
        <v>43199.0</v>
      </c>
      <c r="D88" s="6" t="s">
        <v>15</v>
      </c>
      <c r="E88" s="4"/>
      <c r="F88" s="8"/>
      <c r="G88" s="4"/>
      <c r="H88" s="10" t="s">
        <v>101</v>
      </c>
      <c r="I88" s="10">
        <v>20.0</v>
      </c>
      <c r="J88" s="11" t="str">
        <f>IF(D88&lt;&gt;"",VLOOKUP(H88,TABLEITEM,5,FALSE),"")</f>
        <v>KG.</v>
      </c>
      <c r="K88" s="12">
        <v>145.0</v>
      </c>
      <c r="L88" s="13" t="str">
        <f>IF(D88&lt;&gt;"",VLOOKUP(H88,TABLEITEM,2,FALSE),"")</f>
        <v/>
      </c>
      <c r="M88" s="13" t="str">
        <f>IF(D88&lt;&gt;"",VLOOKUP(H88,TABLEITEM,3,FALSE),"")</f>
        <v>สีฝุ่น GH469024</v>
      </c>
      <c r="N88" s="14">
        <f>INSTOCK!$I88*INSTOCK!$K88</f>
        <v>2900</v>
      </c>
      <c r="O88" s="4"/>
      <c r="P88" s="4"/>
    </row>
    <row r="89" ht="15.75" hidden="1" customHeight="1">
      <c r="B89" s="8">
        <v>87.0</v>
      </c>
      <c r="C89" s="9">
        <v>43199.0</v>
      </c>
      <c r="D89" s="6" t="s">
        <v>15</v>
      </c>
      <c r="E89" s="4"/>
      <c r="F89" s="8"/>
      <c r="G89" s="4"/>
      <c r="H89" s="10" t="s">
        <v>102</v>
      </c>
      <c r="I89" s="10">
        <v>220.0</v>
      </c>
      <c r="J89" s="11" t="str">
        <f>IF(D89&lt;&gt;"",VLOOKUP(H89,TABLEITEM,5,FALSE),"")</f>
        <v>KG.</v>
      </c>
      <c r="K89" s="12">
        <v>145.0</v>
      </c>
      <c r="L89" s="13" t="str">
        <f>IF(D89&lt;&gt;"",VLOOKUP(H89,TABLEITEM,2,FALSE),"")</f>
        <v/>
      </c>
      <c r="M89" s="13" t="str">
        <f>IF(D89&lt;&gt;"",VLOOKUP(H89,TABLEITEM,3,FALSE),"")</f>
        <v>สีฝุ่น GH413156 F</v>
      </c>
      <c r="N89" s="14">
        <f>INSTOCK!$I89*INSTOCK!$K89</f>
        <v>31900</v>
      </c>
      <c r="O89" s="4"/>
      <c r="P89" s="4"/>
    </row>
    <row r="90" ht="15.75" hidden="1" customHeight="1">
      <c r="B90" s="8">
        <v>88.0</v>
      </c>
      <c r="C90" s="9">
        <v>43199.0</v>
      </c>
      <c r="D90" s="6" t="s">
        <v>15</v>
      </c>
      <c r="E90" s="4"/>
      <c r="F90" s="8"/>
      <c r="G90" s="4"/>
      <c r="H90" s="10" t="s">
        <v>103</v>
      </c>
      <c r="I90" s="10">
        <v>220.0</v>
      </c>
      <c r="J90" s="11" t="str">
        <f>IF(D90&lt;&gt;"",VLOOKUP(H90,TABLEITEM,5,FALSE),"")</f>
        <v>KG.</v>
      </c>
      <c r="K90" s="12">
        <v>140.0</v>
      </c>
      <c r="L90" s="13" t="str">
        <f>IF(D90&lt;&gt;"",VLOOKUP(H90,TABLEITEM,2,FALSE),"")</f>
        <v/>
      </c>
      <c r="M90" s="13" t="str">
        <f>IF(D90&lt;&gt;"",VLOOKUP(H90,TABLEITEM,3,FALSE),"")</f>
        <v>สีฝุ่น GH413189</v>
      </c>
      <c r="N90" s="14">
        <f>INSTOCK!$I90*INSTOCK!$K90</f>
        <v>30800</v>
      </c>
      <c r="O90" s="4"/>
      <c r="P90" s="4"/>
    </row>
    <row r="91" ht="15.75" hidden="1" customHeight="1">
      <c r="B91" s="8">
        <v>89.0</v>
      </c>
      <c r="C91" s="9">
        <v>43199.0</v>
      </c>
      <c r="D91" s="6" t="s">
        <v>15</v>
      </c>
      <c r="E91" s="4"/>
      <c r="F91" s="8"/>
      <c r="G91" s="4"/>
      <c r="H91" s="10" t="s">
        <v>104</v>
      </c>
      <c r="I91" s="10">
        <v>160.0</v>
      </c>
      <c r="J91" s="11" t="str">
        <f>IF(D91&lt;&gt;"",VLOOKUP(H91,TABLEITEM,5,FALSE),"")</f>
        <v>KG.</v>
      </c>
      <c r="K91" s="12">
        <v>140.0</v>
      </c>
      <c r="L91" s="13" t="str">
        <f>IF(D91&lt;&gt;"",VLOOKUP(H91,TABLEITEM,2,FALSE),"")</f>
        <v/>
      </c>
      <c r="M91" s="13" t="str">
        <f>IF(D91&lt;&gt;"",VLOOKUP(H91,TABLEITEM,3,FALSE),"")</f>
        <v>สีฝุ่น GH433040</v>
      </c>
      <c r="N91" s="14">
        <f>INSTOCK!$I91*INSTOCK!$K91</f>
        <v>22400</v>
      </c>
      <c r="O91" s="4"/>
      <c r="P91" s="4"/>
    </row>
    <row r="92" ht="15.75" hidden="1" customHeight="1">
      <c r="B92" s="8">
        <v>90.0</v>
      </c>
      <c r="C92" s="9">
        <v>43199.0</v>
      </c>
      <c r="D92" s="6" t="s">
        <v>15</v>
      </c>
      <c r="E92" s="4"/>
      <c r="F92" s="8"/>
      <c r="G92" s="4"/>
      <c r="H92" s="10" t="s">
        <v>105</v>
      </c>
      <c r="I92" s="10">
        <v>20.0</v>
      </c>
      <c r="J92" s="11" t="str">
        <f>IF(D92&lt;&gt;"",VLOOKUP(H92,TABLEITEM,5,FALSE),"")</f>
        <v>KG.</v>
      </c>
      <c r="K92" s="12">
        <v>195.0</v>
      </c>
      <c r="L92" s="13" t="str">
        <f>IF(D92&lt;&gt;"",VLOOKUP(H92,TABLEITEM,2,FALSE),"")</f>
        <v/>
      </c>
      <c r="M92" s="13" t="str">
        <f>IF(D92&lt;&gt;"",VLOOKUP(H92,TABLEITEM,3,FALSE),"")</f>
        <v>สีฝุ่น M10001 WN</v>
      </c>
      <c r="N92" s="14">
        <f>INSTOCK!$I92*INSTOCK!$K92</f>
        <v>3900</v>
      </c>
      <c r="O92" s="4"/>
      <c r="P92" s="4"/>
    </row>
    <row r="93" ht="15.75" hidden="1" customHeight="1">
      <c r="B93" s="8">
        <v>91.0</v>
      </c>
      <c r="C93" s="9">
        <v>43199.0</v>
      </c>
      <c r="D93" s="6" t="s">
        <v>15</v>
      </c>
      <c r="E93" s="4"/>
      <c r="F93" s="8"/>
      <c r="G93" s="4"/>
      <c r="H93" s="10" t="s">
        <v>106</v>
      </c>
      <c r="I93" s="10">
        <v>20.0</v>
      </c>
      <c r="J93" s="11" t="str">
        <f>IF(D93&lt;&gt;"",VLOOKUP(H93,TABLEITEM,5,FALSE),"")</f>
        <v>KG.</v>
      </c>
      <c r="K93" s="12">
        <v>180.0</v>
      </c>
      <c r="L93" s="13" t="str">
        <f>IF(D93&lt;&gt;"",VLOOKUP(H93,TABLEITEM,2,FALSE),"")</f>
        <v/>
      </c>
      <c r="M93" s="13" t="str">
        <f>IF(D93&lt;&gt;"",VLOOKUP(H93,TABLEITEM,3,FALSE),"")</f>
        <v>สีฝุ่น M90254</v>
      </c>
      <c r="N93" s="14">
        <f>INSTOCK!$I93*INSTOCK!$K93</f>
        <v>3600</v>
      </c>
      <c r="O93" s="4"/>
      <c r="P93" s="4"/>
    </row>
    <row r="94" ht="15.75" hidden="1" customHeight="1">
      <c r="B94" s="8">
        <v>92.0</v>
      </c>
      <c r="C94" s="9">
        <v>43199.0</v>
      </c>
      <c r="D94" s="6" t="s">
        <v>15</v>
      </c>
      <c r="E94" s="4"/>
      <c r="F94" s="8"/>
      <c r="G94" s="4"/>
      <c r="H94" s="10" t="s">
        <v>107</v>
      </c>
      <c r="I94" s="10">
        <v>120.0</v>
      </c>
      <c r="J94" s="11" t="str">
        <f>IF(D94&lt;&gt;"",VLOOKUP(H94,TABLEITEM,5,FALSE),"")</f>
        <v>KG.</v>
      </c>
      <c r="K94" s="12">
        <v>180.0</v>
      </c>
      <c r="L94" s="13" t="str">
        <f>IF(D94&lt;&gt;"",VLOOKUP(H94,TABLEITEM,2,FALSE),"")</f>
        <v/>
      </c>
      <c r="M94" s="13" t="str">
        <f>IF(D94&lt;&gt;"",VLOOKUP(H94,TABLEITEM,3,FALSE),"")</f>
        <v>สีฝุ่น P50477 AN</v>
      </c>
      <c r="N94" s="14">
        <f>INSTOCK!$I94*INSTOCK!$K94</f>
        <v>21600</v>
      </c>
      <c r="O94" s="4"/>
      <c r="P94" s="4"/>
    </row>
    <row r="95" ht="15.75" hidden="1" customHeight="1">
      <c r="B95" s="8">
        <v>93.0</v>
      </c>
      <c r="C95" s="9">
        <v>43199.0</v>
      </c>
      <c r="D95" s="6" t="s">
        <v>15</v>
      </c>
      <c r="E95" s="4"/>
      <c r="F95" s="8"/>
      <c r="G95" s="4"/>
      <c r="H95" s="10" t="s">
        <v>108</v>
      </c>
      <c r="I95" s="10">
        <v>20.0</v>
      </c>
      <c r="J95" s="11" t="str">
        <f>IF(D95&lt;&gt;"",VLOOKUP(H95,TABLEITEM,5,FALSE),"")</f>
        <v>KG.</v>
      </c>
      <c r="K95" s="12">
        <v>180.0</v>
      </c>
      <c r="L95" s="13" t="str">
        <f>IF(D95&lt;&gt;"",VLOOKUP(H95,TABLEITEM,2,FALSE),"")</f>
        <v/>
      </c>
      <c r="M95" s="13" t="str">
        <f>IF(D95&lt;&gt;"",VLOOKUP(H95,TABLEITEM,3,FALSE),"")</f>
        <v>สีฝุ่น P90042 </v>
      </c>
      <c r="N95" s="14">
        <f>INSTOCK!$I95*INSTOCK!$K95</f>
        <v>3600</v>
      </c>
      <c r="O95" s="4"/>
      <c r="P95" s="4"/>
    </row>
    <row r="96" ht="15.75" hidden="1" customHeight="1">
      <c r="B96" s="8">
        <v>94.0</v>
      </c>
      <c r="C96" s="9">
        <v>43199.0</v>
      </c>
      <c r="D96" s="6" t="s">
        <v>15</v>
      </c>
      <c r="E96" s="4"/>
      <c r="F96" s="8"/>
      <c r="G96" s="4"/>
      <c r="H96" s="10" t="s">
        <v>109</v>
      </c>
      <c r="I96" s="10">
        <v>20.0</v>
      </c>
      <c r="J96" s="11" t="str">
        <f>IF(D96&lt;&gt;"",VLOOKUP(H96,TABLEITEM,5,FALSE),"")</f>
        <v>KG.</v>
      </c>
      <c r="K96" s="12">
        <v>180.0</v>
      </c>
      <c r="L96" s="13" t="str">
        <f>IF(D96&lt;&gt;"",VLOOKUP(H96,TABLEITEM,2,FALSE),"")</f>
        <v/>
      </c>
      <c r="M96" s="13" t="str">
        <f>IF(D96&lt;&gt;"",VLOOKUP(H96,TABLEITEM,3,FALSE),"")</f>
        <v>สีฝุ่น P90097 BN</v>
      </c>
      <c r="N96" s="14">
        <f>INSTOCK!$I96*INSTOCK!$K96</f>
        <v>3600</v>
      </c>
      <c r="O96" s="4"/>
      <c r="P96" s="4"/>
    </row>
    <row r="97" ht="15.75" hidden="1" customHeight="1">
      <c r="B97" s="8">
        <v>95.0</v>
      </c>
      <c r="C97" s="9">
        <v>43199.0</v>
      </c>
      <c r="D97" s="6" t="s">
        <v>15</v>
      </c>
      <c r="E97" s="4"/>
      <c r="F97" s="8"/>
      <c r="G97" s="4"/>
      <c r="H97" s="15" t="s">
        <v>110</v>
      </c>
      <c r="I97" s="10">
        <v>24.0</v>
      </c>
      <c r="J97" s="11" t="str">
        <f>IF(D97&lt;&gt;"",VLOOKUP(H97,TABLEITEM,5,FALSE),"")</f>
        <v>กป.</v>
      </c>
      <c r="K97" s="12">
        <v>41.6</v>
      </c>
      <c r="L97" s="13" t="str">
        <f>IF(D97&lt;&gt;"",VLOOKUP(H97,TABLEITEM,2,FALSE),"")</f>
        <v/>
      </c>
      <c r="M97" s="13" t="str">
        <f>IF(D97&lt;&gt;"",VLOOKUP(H97,TABLEITEM,3,FALSE),"")</f>
        <v>สีสเปรย์ สีน้ำตาล</v>
      </c>
      <c r="N97" s="14">
        <f>INSTOCK!$I97*INSTOCK!$K97</f>
        <v>998.4</v>
      </c>
      <c r="O97" s="4"/>
      <c r="P97" s="4"/>
    </row>
    <row r="98" ht="15.75" hidden="1" customHeight="1">
      <c r="B98" s="8">
        <v>96.0</v>
      </c>
      <c r="C98" s="9">
        <v>43199.0</v>
      </c>
      <c r="D98" s="6" t="s">
        <v>15</v>
      </c>
      <c r="E98" s="4"/>
      <c r="F98" s="8"/>
      <c r="G98" s="4"/>
      <c r="H98" s="15" t="s">
        <v>111</v>
      </c>
      <c r="I98" s="10">
        <v>8.0</v>
      </c>
      <c r="J98" s="11" t="str">
        <f>IF(D98&lt;&gt;"",VLOOKUP(H98,TABLEITEM,5,FALSE),"")</f>
        <v>กป.</v>
      </c>
      <c r="K98" s="12">
        <v>41.6</v>
      </c>
      <c r="L98" s="13" t="str">
        <f>IF(D98&lt;&gt;"",VLOOKUP(H98,TABLEITEM,2,FALSE),"")</f>
        <v/>
      </c>
      <c r="M98" s="13" t="str">
        <f>IF(D98&lt;&gt;"",VLOOKUP(H98,TABLEITEM,3,FALSE),"")</f>
        <v>สีสเปรย์ สีเทา</v>
      </c>
      <c r="N98" s="14">
        <f>INSTOCK!$I98*INSTOCK!$K98</f>
        <v>332.8</v>
      </c>
      <c r="O98" s="4"/>
      <c r="P98" s="4"/>
    </row>
    <row r="99" ht="15.75" hidden="1" customHeight="1">
      <c r="B99" s="8">
        <v>97.0</v>
      </c>
      <c r="C99" s="9">
        <v>43199.0</v>
      </c>
      <c r="D99" s="6" t="s">
        <v>15</v>
      </c>
      <c r="E99" s="4"/>
      <c r="F99" s="8"/>
      <c r="G99" s="4"/>
      <c r="H99" s="10" t="s">
        <v>112</v>
      </c>
      <c r="I99" s="10">
        <v>176.0</v>
      </c>
      <c r="J99" s="11" t="str">
        <f>IF(D99&lt;&gt;"",VLOOKUP(H99,TABLEITEM,5,FALSE),"")</f>
        <v>EA</v>
      </c>
      <c r="K99" s="12">
        <v>23.0</v>
      </c>
      <c r="L99" s="13" t="str">
        <f>IF(D99&lt;&gt;"",VLOOKUP(H99,TABLEITEM,2,FALSE),"")</f>
        <v/>
      </c>
      <c r="M99" s="13" t="str">
        <f>IF(D99&lt;&gt;"",VLOOKUP(H99,TABLEITEM,3,FALSE),"")</f>
        <v>กุญแจกลมดำ174-04-G016-16</v>
      </c>
      <c r="N99" s="14">
        <f>INSTOCK!$I99*INSTOCK!$K99</f>
        <v>4048</v>
      </c>
      <c r="O99" s="4"/>
      <c r="P99" s="4"/>
    </row>
    <row r="100" ht="15.75" hidden="1" customHeight="1">
      <c r="B100" s="8">
        <v>98.0</v>
      </c>
      <c r="C100" s="9">
        <v>43199.0</v>
      </c>
      <c r="D100" s="6" t="s">
        <v>15</v>
      </c>
      <c r="E100" s="4"/>
      <c r="F100" s="8"/>
      <c r="G100" s="4"/>
      <c r="H100" s="10" t="s">
        <v>113</v>
      </c>
      <c r="I100" s="10">
        <v>35.0</v>
      </c>
      <c r="J100" s="11" t="str">
        <f>IF(D100&lt;&gt;"",VLOOKUP(H100,TABLEITEM,5,FALSE),"")</f>
        <v>EA</v>
      </c>
      <c r="K100" s="12">
        <v>100.0</v>
      </c>
      <c r="L100" s="13" t="str">
        <f>IF(D100&lt;&gt;"",VLOOKUP(H100,TABLEITEM,2,FALSE),"")</f>
        <v/>
      </c>
      <c r="M100" s="13" t="str">
        <f>IF(D100&lt;&gt;"",VLOOKUP(H100,TABLEITEM,3,FALSE),"")</f>
        <v>กุญแจเขาควายเล็ก</v>
      </c>
      <c r="N100" s="14">
        <f>INSTOCK!$I100*INSTOCK!$K100</f>
        <v>3500</v>
      </c>
      <c r="O100" s="4"/>
      <c r="P100" s="4"/>
    </row>
    <row r="101" ht="15.75" hidden="1" customHeight="1">
      <c r="B101" s="8">
        <v>99.0</v>
      </c>
      <c r="C101" s="9">
        <v>43199.0</v>
      </c>
      <c r="D101" s="6" t="s">
        <v>15</v>
      </c>
      <c r="E101" s="4"/>
      <c r="F101" s="8"/>
      <c r="G101" s="4"/>
      <c r="H101" s="10" t="s">
        <v>114</v>
      </c>
      <c r="I101" s="10">
        <v>30.0</v>
      </c>
      <c r="J101" s="11" t="str">
        <f>IF(D101&lt;&gt;"",VLOOKUP(H101,TABLEITEM,5,FALSE),"")</f>
        <v>EA</v>
      </c>
      <c r="K101" s="12">
        <v>100.0</v>
      </c>
      <c r="L101" s="13" t="str">
        <f>IF(D101&lt;&gt;"",VLOOKUP(H101,TABLEITEM,2,FALSE),"")</f>
        <v/>
      </c>
      <c r="M101" s="13" t="str">
        <f>IF(D101&lt;&gt;"",VLOOKUP(H101,TABLEITEM,3,FALSE),"")</f>
        <v>กุญแจเขากวาง-มีคีย์A-19-03-G104</v>
      </c>
      <c r="N101" s="14">
        <f>INSTOCK!$I101*INSTOCK!$K101</f>
        <v>3000</v>
      </c>
      <c r="O101" s="4"/>
      <c r="P101" s="4"/>
    </row>
    <row r="102" ht="15.75" hidden="1" customHeight="1">
      <c r="B102" s="8">
        <v>100.0</v>
      </c>
      <c r="C102" s="9">
        <v>43199.0</v>
      </c>
      <c r="D102" s="6" t="s">
        <v>15</v>
      </c>
      <c r="E102" s="4"/>
      <c r="F102" s="8"/>
      <c r="G102" s="4"/>
      <c r="H102" s="10" t="s">
        <v>115</v>
      </c>
      <c r="I102" s="10">
        <v>1658.0</v>
      </c>
      <c r="J102" s="11" t="str">
        <f>IF(D102&lt;&gt;"",VLOOKUP(H102,TABLEITEM,5,FALSE),"")</f>
        <v>EA</v>
      </c>
      <c r="K102" s="12">
        <v>23.0</v>
      </c>
      <c r="L102" s="13" t="str">
        <f>IF(D102&lt;&gt;"",VLOOKUP(H102,TABLEITEM,2,FALSE),"")</f>
        <v/>
      </c>
      <c r="M102" s="13" t="str">
        <f>IF(D102&lt;&gt;"",VLOOKUP(H102,TABLEITEM,3,FALSE),"")</f>
        <v>กุญแจกลมดำ แบบมีก้านลิ้นยาว178-04-G-247</v>
      </c>
      <c r="N102" s="14">
        <f>INSTOCK!$I102*INSTOCK!$K102</f>
        <v>38134</v>
      </c>
      <c r="O102" s="4"/>
      <c r="P102" s="4"/>
    </row>
    <row r="103" ht="15.75" hidden="1" customHeight="1">
      <c r="B103" s="8">
        <v>101.0</v>
      </c>
      <c r="C103" s="9">
        <v>43199.0</v>
      </c>
      <c r="D103" s="6" t="s">
        <v>15</v>
      </c>
      <c r="E103" s="4"/>
      <c r="F103" s="8"/>
      <c r="G103" s="4"/>
      <c r="H103" s="10" t="s">
        <v>116</v>
      </c>
      <c r="I103" s="10">
        <v>854.0</v>
      </c>
      <c r="J103" s="11" t="str">
        <f>IF(D103&lt;&gt;"",VLOOKUP(H103,TABLEITEM,5,FALSE),"")</f>
        <v>EA</v>
      </c>
      <c r="K103" s="12">
        <v>23.0</v>
      </c>
      <c r="L103" s="13" t="str">
        <f>IF(D103&lt;&gt;"",VLOOKUP(H103,TABLEITEM,2,FALSE),"")</f>
        <v/>
      </c>
      <c r="M103" s="13" t="str">
        <f>IF(D103&lt;&gt;"",VLOOKUP(H103,TABLEITEM,3,FALSE),"")</f>
        <v>กุญแจกลมดำ แบบมีก้านลิ้นสั้น178-04-G-293</v>
      </c>
      <c r="N103" s="14">
        <f>INSTOCK!$I103*INSTOCK!$K103</f>
        <v>19642</v>
      </c>
      <c r="O103" s="4"/>
      <c r="P103" s="4"/>
    </row>
    <row r="104" ht="15.75" hidden="1" customHeight="1">
      <c r="B104" s="8">
        <v>102.0</v>
      </c>
      <c r="C104" s="9">
        <v>43199.0</v>
      </c>
      <c r="D104" s="6" t="s">
        <v>15</v>
      </c>
      <c r="E104" s="4"/>
      <c r="F104" s="8"/>
      <c r="G104" s="4"/>
      <c r="H104" s="10" t="s">
        <v>117</v>
      </c>
      <c r="I104" s="10">
        <v>89.0</v>
      </c>
      <c r="J104" s="11" t="str">
        <f>IF(D104&lt;&gt;"",VLOOKUP(H104,TABLEITEM,5,FALSE),"")</f>
        <v>EA</v>
      </c>
      <c r="K104" s="12">
        <v>30.0</v>
      </c>
      <c r="L104" s="13" t="str">
        <f>IF(D104&lt;&gt;"",VLOOKUP(H104,TABLEITEM,2,FALSE),"")</f>
        <v/>
      </c>
      <c r="M104" s="13" t="str">
        <f>IF(D104&lt;&gt;"",VLOOKUP(H104,TABLEITEM,3,FALSE),"")</f>
        <v>กุญแจกลมเงิน174-03-G016-16</v>
      </c>
      <c r="N104" s="14">
        <f>INSTOCK!$I104*INSTOCK!$K104</f>
        <v>2670</v>
      </c>
      <c r="O104" s="4"/>
      <c r="P104" s="4"/>
    </row>
    <row r="105" ht="15.75" hidden="1" customHeight="1">
      <c r="B105" s="8">
        <v>103.0</v>
      </c>
      <c r="C105" s="9">
        <v>43199.0</v>
      </c>
      <c r="D105" s="6" t="s">
        <v>15</v>
      </c>
      <c r="E105" s="4"/>
      <c r="F105" s="8"/>
      <c r="G105" s="4"/>
      <c r="H105" s="10" t="s">
        <v>118</v>
      </c>
      <c r="I105" s="10">
        <v>150.0</v>
      </c>
      <c r="J105" s="11" t="str">
        <f>IF(D105&lt;&gt;"",VLOOKUP(H105,TABLEITEM,5,FALSE),"")</f>
        <v>EA</v>
      </c>
      <c r="K105" s="12">
        <v>70.0</v>
      </c>
      <c r="L105" s="13" t="str">
        <f>IF(D105&lt;&gt;"",VLOOKUP(H105,TABLEITEM,2,FALSE),"")</f>
        <v/>
      </c>
      <c r="M105" s="13" t="str">
        <f>IF(D105&lt;&gt;"",VLOOKUP(H105,TABLEITEM,3,FALSE),"")</f>
        <v>กุญแจเขาควายไม่กันน้ำ173-03-G-025</v>
      </c>
      <c r="N105" s="14">
        <f>INSTOCK!$I105*INSTOCK!$K105</f>
        <v>10500</v>
      </c>
      <c r="O105" s="4"/>
      <c r="P105" s="4"/>
    </row>
    <row r="106" ht="15.75" hidden="1" customHeight="1">
      <c r="B106" s="8">
        <v>104.0</v>
      </c>
      <c r="C106" s="9">
        <v>43199.0</v>
      </c>
      <c r="D106" s="6" t="s">
        <v>15</v>
      </c>
      <c r="E106" s="4"/>
      <c r="F106" s="8"/>
      <c r="G106" s="4"/>
      <c r="H106" s="10" t="s">
        <v>119</v>
      </c>
      <c r="I106" s="10">
        <v>211.0</v>
      </c>
      <c r="J106" s="11" t="str">
        <f>IF(D106&lt;&gt;"",VLOOKUP(H106,TABLEITEM,5,FALSE),"")</f>
        <v>EA</v>
      </c>
      <c r="K106" s="12">
        <v>110.0</v>
      </c>
      <c r="L106" s="13" t="str">
        <f>IF(D106&lt;&gt;"",VLOOKUP(H106,TABLEITEM,2,FALSE),"")</f>
        <v/>
      </c>
      <c r="M106" s="13" t="str">
        <f>IF(D106&lt;&gt;"",VLOOKUP(H106,TABLEITEM,3,FALSE),"")</f>
        <v>กุญแจเขาควายกันน้ำMS-306-2-1</v>
      </c>
      <c r="N106" s="14">
        <f>INSTOCK!$I106*INSTOCK!$K106</f>
        <v>23210</v>
      </c>
      <c r="O106" s="4"/>
      <c r="P106" s="4"/>
    </row>
    <row r="107" ht="15.75" hidden="1" customHeight="1">
      <c r="B107" s="8">
        <v>105.0</v>
      </c>
      <c r="C107" s="9">
        <v>43199.0</v>
      </c>
      <c r="D107" s="6" t="s">
        <v>15</v>
      </c>
      <c r="E107" s="4"/>
      <c r="F107" s="8"/>
      <c r="G107" s="4"/>
      <c r="H107" s="10" t="s">
        <v>120</v>
      </c>
      <c r="I107" s="10">
        <v>103.0</v>
      </c>
      <c r="J107" s="11" t="str">
        <f>IF(D107&lt;&gt;"",VLOOKUP(H107,TABLEITEM,5,FALSE),"")</f>
        <v>EA</v>
      </c>
      <c r="K107" s="12">
        <v>45.0</v>
      </c>
      <c r="L107" s="13" t="str">
        <f>IF(D107&lt;&gt;"",VLOOKUP(H107,TABLEITEM,2,FALSE),"")</f>
        <v/>
      </c>
      <c r="M107" s="13" t="str">
        <f>IF(D107&lt;&gt;"",VLOOKUP(H107,TABLEITEM,3,FALSE),"")</f>
        <v>กุญแจเขากวาง1B-19-03-G-104</v>
      </c>
      <c r="N107" s="14">
        <f>INSTOCK!$I107*INSTOCK!$K107</f>
        <v>4635</v>
      </c>
      <c r="O107" s="4"/>
      <c r="P107" s="4"/>
    </row>
    <row r="108" ht="15.75" hidden="1" customHeight="1">
      <c r="B108" s="8">
        <v>106.0</v>
      </c>
      <c r="C108" s="9">
        <v>43199.0</v>
      </c>
      <c r="D108" s="6" t="s">
        <v>15</v>
      </c>
      <c r="E108" s="4"/>
      <c r="F108" s="8"/>
      <c r="G108" s="4"/>
      <c r="H108" s="10" t="s">
        <v>121</v>
      </c>
      <c r="I108" s="10">
        <v>114.0</v>
      </c>
      <c r="J108" s="11" t="str">
        <f>IF(D108&lt;&gt;"",VLOOKUP(H108,TABLEITEM,5,FALSE),"")</f>
        <v>EA</v>
      </c>
      <c r="K108" s="12">
        <v>23.0</v>
      </c>
      <c r="L108" s="13" t="str">
        <f>IF(D108&lt;&gt;"",VLOOKUP(H108,TABLEITEM,2,FALSE),"")</f>
        <v/>
      </c>
      <c r="M108" s="13" t="str">
        <f>IF(D108&lt;&gt;"",VLOOKUP(H108,TABLEITEM,3,FALSE),"")</f>
        <v>กุญแจสมอเรือ169-03-G-016</v>
      </c>
      <c r="N108" s="14">
        <f>INSTOCK!$I108*INSTOCK!$K108</f>
        <v>2622</v>
      </c>
      <c r="O108" s="4"/>
      <c r="P108" s="4"/>
    </row>
    <row r="109" ht="15.75" hidden="1" customHeight="1">
      <c r="B109" s="8">
        <v>107.0</v>
      </c>
      <c r="C109" s="9">
        <v>43199.0</v>
      </c>
      <c r="D109" s="6" t="s">
        <v>15</v>
      </c>
      <c r="E109" s="4"/>
      <c r="F109" s="8"/>
      <c r="G109" s="4"/>
      <c r="H109" s="10" t="s">
        <v>122</v>
      </c>
      <c r="I109" s="10">
        <v>15.0</v>
      </c>
      <c r="J109" s="11" t="str">
        <f>IF(D109&lt;&gt;"",VLOOKUP(H109,TABLEITEM,5,FALSE),"")</f>
        <v>EA</v>
      </c>
      <c r="K109" s="12">
        <v>31.0</v>
      </c>
      <c r="L109" s="13" t="str">
        <f>IF(D109&lt;&gt;"",VLOOKUP(H109,TABLEITEM,2,FALSE),"")</f>
        <v/>
      </c>
      <c r="M109" s="13" t="str">
        <f>IF(D109&lt;&gt;"",VLOOKUP(H109,TABLEITEM,3,FALSE),"")</f>
        <v>กุญแจล็อคเกอร์1C-157-03-C01</v>
      </c>
      <c r="N109" s="14">
        <f>INSTOCK!$I109*INSTOCK!$K109</f>
        <v>465</v>
      </c>
      <c r="O109" s="4"/>
      <c r="P109" s="4"/>
    </row>
    <row r="110" ht="15.75" hidden="1" customHeight="1">
      <c r="B110" s="8">
        <v>108.0</v>
      </c>
      <c r="C110" s="9">
        <v>43199.0</v>
      </c>
      <c r="D110" s="6" t="s">
        <v>15</v>
      </c>
      <c r="E110" s="4"/>
      <c r="F110" s="8"/>
      <c r="G110" s="4"/>
      <c r="H110" s="10" t="s">
        <v>123</v>
      </c>
      <c r="I110" s="10">
        <v>12.0</v>
      </c>
      <c r="J110" s="11" t="str">
        <f>IF(D110&lt;&gt;"",VLOOKUP(H110,TABLEITEM,5,FALSE),"")</f>
        <v>EA</v>
      </c>
      <c r="K110" s="12">
        <v>180.0</v>
      </c>
      <c r="L110" s="13" t="str">
        <f>IF(D110&lt;&gt;"",VLOOKUP(H110,TABLEITEM,2,FALSE),"")</f>
        <v/>
      </c>
      <c r="M110" s="13" t="str">
        <f>IF(D110&lt;&gt;"",VLOOKUP(H110,TABLEITEM,3,FALSE),"")</f>
        <v>กุญแจกดเด้ง MS504-5</v>
      </c>
      <c r="N110" s="14">
        <f>INSTOCK!$I110*INSTOCK!$K110</f>
        <v>2160</v>
      </c>
      <c r="O110" s="4"/>
      <c r="P110" s="4"/>
    </row>
    <row r="111" ht="15.75" hidden="1" customHeight="1">
      <c r="B111" s="8">
        <v>109.0</v>
      </c>
      <c r="C111" s="9">
        <v>43199.0</v>
      </c>
      <c r="D111" s="6" t="s">
        <v>15</v>
      </c>
      <c r="E111" s="4"/>
      <c r="F111" s="8"/>
      <c r="G111" s="4"/>
      <c r="H111" s="10" t="s">
        <v>124</v>
      </c>
      <c r="I111" s="10">
        <v>689.0</v>
      </c>
      <c r="J111" s="11" t="str">
        <f>IF(D111&lt;&gt;"",VLOOKUP(H111,TABLEITEM,5,FALSE),"")</f>
        <v>EA</v>
      </c>
      <c r="K111" s="12">
        <v>180.0</v>
      </c>
      <c r="L111" s="13" t="str">
        <f>IF(D111&lt;&gt;"",VLOOKUP(H111,TABLEITEM,2,FALSE),"")</f>
        <v/>
      </c>
      <c r="M111" s="13" t="str">
        <f>IF(D111&lt;&gt;"",VLOOKUP(H111,TABLEITEM,3,FALSE),"")</f>
        <v>กุญแจกดเด้งสีดำ MS480-2</v>
      </c>
      <c r="N111" s="14">
        <f>INSTOCK!$I111*INSTOCK!$K111</f>
        <v>124020</v>
      </c>
      <c r="O111" s="4"/>
      <c r="P111" s="4"/>
    </row>
    <row r="112" ht="15.75" hidden="1" customHeight="1">
      <c r="B112" s="8">
        <v>110.0</v>
      </c>
      <c r="C112" s="9">
        <v>43199.0</v>
      </c>
      <c r="D112" s="6" t="s">
        <v>15</v>
      </c>
      <c r="E112" s="4"/>
      <c r="F112" s="8"/>
      <c r="G112" s="4"/>
      <c r="H112" s="10" t="s">
        <v>125</v>
      </c>
      <c r="I112" s="10">
        <v>80.0</v>
      </c>
      <c r="J112" s="11" t="str">
        <f>IF(D112&lt;&gt;"",VLOOKUP(H112,TABLEITEM,5,FALSE),"")</f>
        <v>EA</v>
      </c>
      <c r="K112" s="12">
        <v>170.0</v>
      </c>
      <c r="L112" s="13" t="str">
        <f>IF(D112&lt;&gt;"",VLOOKUP(H112,TABLEITEM,2,FALSE),"")</f>
        <v/>
      </c>
      <c r="M112" s="13" t="str">
        <f>IF(D112&lt;&gt;"",VLOOKUP(H112,TABLEITEM,3,FALSE),"")</f>
        <v>กุญแจกดเด้งสีเงิน MS480-1</v>
      </c>
      <c r="N112" s="14">
        <f>INSTOCK!$I112*INSTOCK!$K112</f>
        <v>13600</v>
      </c>
      <c r="O112" s="4"/>
      <c r="P112" s="4"/>
    </row>
    <row r="113" ht="15.75" hidden="1" customHeight="1">
      <c r="B113" s="8">
        <v>111.0</v>
      </c>
      <c r="C113" s="9">
        <v>43199.0</v>
      </c>
      <c r="D113" s="6" t="s">
        <v>15</v>
      </c>
      <c r="E113" s="4"/>
      <c r="F113" s="8"/>
      <c r="G113" s="4"/>
      <c r="H113" s="10" t="s">
        <v>126</v>
      </c>
      <c r="I113" s="10">
        <v>67.0</v>
      </c>
      <c r="J113" s="11" t="str">
        <f>IF(D113&lt;&gt;"",VLOOKUP(H113,TABLEITEM,5,FALSE),"")</f>
        <v>EA</v>
      </c>
      <c r="K113" s="12">
        <v>200.0</v>
      </c>
      <c r="L113" s="13" t="str">
        <f>IF(D113&lt;&gt;"",VLOOKUP(H113,TABLEITEM,2,FALSE),"")</f>
        <v/>
      </c>
      <c r="M113" s="13" t="str">
        <f>IF(D113&lt;&gt;"",VLOOKUP(H113,TABLEITEM,3,FALSE),"")</f>
        <v>กุญแจMS306-1-1</v>
      </c>
      <c r="N113" s="14">
        <f>INSTOCK!$I113*INSTOCK!$K113</f>
        <v>13400</v>
      </c>
      <c r="O113" s="4"/>
      <c r="P113" s="4"/>
    </row>
    <row r="114" ht="15.75" hidden="1" customHeight="1">
      <c r="B114" s="8">
        <v>112.0</v>
      </c>
      <c r="C114" s="9">
        <v>43199.0</v>
      </c>
      <c r="D114" s="6" t="s">
        <v>15</v>
      </c>
      <c r="E114" s="4"/>
      <c r="F114" s="8"/>
      <c r="G114" s="4"/>
      <c r="H114" s="10" t="s">
        <v>127</v>
      </c>
      <c r="I114" s="10">
        <v>338.0</v>
      </c>
      <c r="J114" s="11" t="str">
        <f>IF(D114&lt;&gt;"",VLOOKUP(H114,TABLEITEM,5,FALSE),"")</f>
        <v>EA</v>
      </c>
      <c r="K114" s="12">
        <v>19.0</v>
      </c>
      <c r="L114" s="13" t="str">
        <f>IF(D114&lt;&gt;"",VLOOKUP(H114,TABLEITEM,2,FALSE),"")</f>
        <v/>
      </c>
      <c r="M114" s="13" t="str">
        <f>IF(D114&lt;&gt;"",VLOOKUP(H114,TABLEITEM,3,FALSE),"")</f>
        <v>กุญแจหูกระเป๋าสแตนเลสตัวเล็กFD-14</v>
      </c>
      <c r="N114" s="14">
        <f>INSTOCK!$I114*INSTOCK!$K114</f>
        <v>6422</v>
      </c>
      <c r="O114" s="4"/>
      <c r="P114" s="4"/>
    </row>
    <row r="115" ht="15.75" hidden="1" customHeight="1">
      <c r="B115" s="8">
        <v>113.0</v>
      </c>
      <c r="C115" s="9">
        <v>43199.0</v>
      </c>
      <c r="D115" s="6" t="s">
        <v>15</v>
      </c>
      <c r="E115" s="4"/>
      <c r="F115" s="8"/>
      <c r="G115" s="4"/>
      <c r="H115" s="10" t="s">
        <v>128</v>
      </c>
      <c r="I115" s="10">
        <v>204.0</v>
      </c>
      <c r="J115" s="11" t="str">
        <f>IF(D115&lt;&gt;"",VLOOKUP(H115,TABLEITEM,5,FALSE),"")</f>
        <v>EA</v>
      </c>
      <c r="K115" s="12"/>
      <c r="L115" s="13" t="str">
        <f>IF(D115&lt;&gt;"",VLOOKUP(H115,TABLEITEM,2,FALSE),"")</f>
        <v/>
      </c>
      <c r="M115" s="13" t="str">
        <f>IF(D115&lt;&gt;"",VLOOKUP(H115,TABLEITEM,3,FALSE),"")</f>
        <v>กุญแจหูกระเป๋าสแตนเลสตัวใหญ่FD-13</v>
      </c>
      <c r="N115" s="14">
        <f>INSTOCK!$I115*INSTOCK!$K115</f>
        <v>0</v>
      </c>
      <c r="O115" s="4"/>
      <c r="P115" s="4"/>
    </row>
    <row r="116" ht="15.75" hidden="1" customHeight="1">
      <c r="B116" s="8">
        <v>114.0</v>
      </c>
      <c r="C116" s="9">
        <v>43199.0</v>
      </c>
      <c r="D116" s="6" t="s">
        <v>15</v>
      </c>
      <c r="E116" s="4"/>
      <c r="F116" s="8"/>
      <c r="G116" s="4"/>
      <c r="H116" s="10" t="s">
        <v>129</v>
      </c>
      <c r="I116" s="10">
        <v>130.0</v>
      </c>
      <c r="J116" s="11" t="str">
        <f>IF(D116&lt;&gt;"",VLOOKUP(H116,TABLEITEM,5,FALSE),"")</f>
        <v>EA</v>
      </c>
      <c r="K116" s="12">
        <v>90.0</v>
      </c>
      <c r="L116" s="13" t="str">
        <f>IF(D116&lt;&gt;"",VLOOKUP(H116,TABLEITEM,2,FALSE),"")</f>
        <v/>
      </c>
      <c r="M116" s="13" t="str">
        <f>IF(D116&lt;&gt;"",VLOOKUP(H116,TABLEITEM,3,FALSE),"")</f>
        <v>DOOR LOCKER AB301-3-1</v>
      </c>
      <c r="N116" s="14">
        <f>INSTOCK!$I116*INSTOCK!$K116</f>
        <v>11700</v>
      </c>
      <c r="O116" s="4"/>
      <c r="P116" s="4"/>
    </row>
    <row r="117" ht="15.75" hidden="1" customHeight="1">
      <c r="B117" s="8">
        <v>115.0</v>
      </c>
      <c r="C117" s="9">
        <v>43199.0</v>
      </c>
      <c r="D117" s="6" t="s">
        <v>15</v>
      </c>
      <c r="E117" s="4"/>
      <c r="F117" s="8"/>
      <c r="G117" s="4"/>
      <c r="H117" s="10" t="s">
        <v>130</v>
      </c>
      <c r="I117" s="10">
        <v>10.0</v>
      </c>
      <c r="J117" s="11" t="str">
        <f>IF(D117&lt;&gt;"",VLOOKUP(H117,TABLEITEM,5,FALSE),"")</f>
        <v>EA</v>
      </c>
      <c r="K117" s="12">
        <v>63.75</v>
      </c>
      <c r="L117" s="13" t="str">
        <f>IF(D117&lt;&gt;"",VLOOKUP(H117,TABLEITEM,2,FALSE),"")</f>
        <v/>
      </c>
      <c r="M117" s="13" t="str">
        <f>IF(D117&lt;&gt;"",VLOOKUP(H117,TABLEITEM,3,FALSE),"")</f>
        <v>มือจับ 1A-261-91-H</v>
      </c>
      <c r="N117" s="14">
        <f>INSTOCK!$I117*INSTOCK!$K117</f>
        <v>637.5</v>
      </c>
      <c r="O117" s="4"/>
      <c r="P117" s="4"/>
    </row>
    <row r="118" ht="15.75" hidden="1" customHeight="1">
      <c r="B118" s="8">
        <v>116.0</v>
      </c>
      <c r="C118" s="9">
        <v>43199.0</v>
      </c>
      <c r="D118" s="6" t="s">
        <v>15</v>
      </c>
      <c r="E118" s="4"/>
      <c r="F118" s="8"/>
      <c r="G118" s="4"/>
      <c r="H118" s="10" t="s">
        <v>131</v>
      </c>
      <c r="I118" s="10">
        <v>421.0</v>
      </c>
      <c r="J118" s="11" t="str">
        <f>IF(D118&lt;&gt;"",VLOOKUP(H118,TABLEITEM,5,FALSE),"")</f>
        <v>EA</v>
      </c>
      <c r="K118" s="12">
        <v>45.0</v>
      </c>
      <c r="L118" s="13" t="str">
        <f>IF(D118&lt;&gt;"",VLOOKUP(H118,TABLEITEM,2,FALSE),"")</f>
        <v/>
      </c>
      <c r="M118" s="13" t="str">
        <f>IF(D118&lt;&gt;"",VLOOKUP(H118,TABLEITEM,3,FALSE),"")</f>
        <v>มือจับตัวซี 4 นิ้ว มือจับโครเมี่ยม</v>
      </c>
      <c r="N118" s="14">
        <f>INSTOCK!$I118*INSTOCK!$K118</f>
        <v>18945</v>
      </c>
      <c r="O118" s="4"/>
      <c r="P118" s="4"/>
    </row>
    <row r="119" ht="15.75" hidden="1" customHeight="1">
      <c r="B119" s="8">
        <v>117.0</v>
      </c>
      <c r="C119" s="9">
        <v>43199.0</v>
      </c>
      <c r="D119" s="6" t="s">
        <v>15</v>
      </c>
      <c r="E119" s="4"/>
      <c r="F119" s="8"/>
      <c r="G119" s="4"/>
      <c r="H119" s="10" t="s">
        <v>132</v>
      </c>
      <c r="I119" s="10">
        <v>114.0</v>
      </c>
      <c r="J119" s="11" t="str">
        <f>IF(D119&lt;&gt;"",VLOOKUP(H119,TABLEITEM,5,FALSE),"")</f>
        <v>EA</v>
      </c>
      <c r="K119" s="12">
        <v>20.0</v>
      </c>
      <c r="L119" s="13" t="str">
        <f>IF(D119&lt;&gt;"",VLOOKUP(H119,TABLEITEM,2,FALSE),"")</f>
        <v/>
      </c>
      <c r="M119" s="13" t="str">
        <f>IF(D119&lt;&gt;"",VLOOKUP(H119,TABLEITEM,3,FALSE),"")</f>
        <v>มือจับพลาสติกสีดำ</v>
      </c>
      <c r="N119" s="14">
        <f>INSTOCK!$I119*INSTOCK!$K119</f>
        <v>2280</v>
      </c>
      <c r="O119" s="4"/>
      <c r="P119" s="4"/>
    </row>
    <row r="120" ht="15.75" hidden="1" customHeight="1">
      <c r="B120" s="8">
        <v>118.0</v>
      </c>
      <c r="C120" s="9">
        <v>43199.0</v>
      </c>
      <c r="D120" s="6" t="s">
        <v>15</v>
      </c>
      <c r="E120" s="4"/>
      <c r="F120" s="8"/>
      <c r="G120" s="4"/>
      <c r="H120" s="10" t="s">
        <v>133</v>
      </c>
      <c r="I120" s="10">
        <v>55.0</v>
      </c>
      <c r="J120" s="11" t="str">
        <f>IF(D120&lt;&gt;"",VLOOKUP(H120,TABLEITEM,5,FALSE),"")</f>
        <v>EA</v>
      </c>
      <c r="K120" s="12">
        <v>10.0</v>
      </c>
      <c r="L120" s="13" t="str">
        <f>IF(D120&lt;&gt;"",VLOOKUP(H120,TABLEITEM,2,FALSE),"")</f>
        <v/>
      </c>
      <c r="M120" s="13" t="str">
        <f>IF(D120&lt;&gt;"",VLOOKUP(H120,TABLEITEM,3,FALSE),"")</f>
        <v>ลูกไข</v>
      </c>
      <c r="N120" s="14">
        <f>INSTOCK!$I120*INSTOCK!$K120</f>
        <v>550</v>
      </c>
      <c r="O120" s="4"/>
      <c r="P120" s="4"/>
    </row>
    <row r="121" ht="15.75" hidden="1" customHeight="1">
      <c r="B121" s="8">
        <v>119.0</v>
      </c>
      <c r="C121" s="9">
        <v>43199.0</v>
      </c>
      <c r="D121" s="6" t="s">
        <v>15</v>
      </c>
      <c r="E121" s="4"/>
      <c r="F121" s="8"/>
      <c r="G121" s="4"/>
      <c r="H121" s="10" t="s">
        <v>134</v>
      </c>
      <c r="I121" s="10">
        <v>1150.0</v>
      </c>
      <c r="J121" s="11" t="str">
        <f>IF(D121&lt;&gt;"",VLOOKUP(H121,TABLEITEM,5,FALSE),"")</f>
        <v>EA</v>
      </c>
      <c r="K121" s="12"/>
      <c r="L121" s="13" t="str">
        <f>IF(D121&lt;&gt;"",VLOOKUP(H121,TABLEITEM,2,FALSE),"")</f>
        <v/>
      </c>
      <c r="M121" s="13" t="str">
        <f>IF(D121&lt;&gt;"",VLOOKUP(H121,TABLEITEM,3,FALSE),"")</f>
        <v>ตัวล็อคกุญแจ</v>
      </c>
      <c r="N121" s="14">
        <f>INSTOCK!$I121*INSTOCK!$K121</f>
        <v>0</v>
      </c>
      <c r="O121" s="4"/>
      <c r="P121" s="4"/>
    </row>
    <row r="122" ht="15.75" hidden="1" customHeight="1">
      <c r="B122" s="8">
        <v>120.0</v>
      </c>
      <c r="C122" s="9">
        <v>43199.0</v>
      </c>
      <c r="D122" s="6" t="s">
        <v>15</v>
      </c>
      <c r="E122" s="4"/>
      <c r="F122" s="8"/>
      <c r="G122" s="4"/>
      <c r="H122" s="10" t="s">
        <v>135</v>
      </c>
      <c r="I122" s="10">
        <v>59.0</v>
      </c>
      <c r="J122" s="11" t="str">
        <f>IF(D122&lt;&gt;"",VLOOKUP(H122,TABLEITEM,5,FALSE),"")</f>
        <v>EA</v>
      </c>
      <c r="K122" s="12"/>
      <c r="L122" s="13" t="str">
        <f>IF(D122&lt;&gt;"",VLOOKUP(H122,TABLEITEM,2,FALSE),"")</f>
        <v/>
      </c>
      <c r="M122" s="13" t="str">
        <f>IF(D122&lt;&gt;"",VLOOKUP(H122,TABLEITEM,3,FALSE),"")</f>
        <v>ปุ่มมือจับสแตนเลส</v>
      </c>
      <c r="N122" s="14">
        <f>INSTOCK!$I122*INSTOCK!$K122</f>
        <v>0</v>
      </c>
      <c r="O122" s="4"/>
      <c r="P122" s="4"/>
    </row>
    <row r="123" ht="15.75" hidden="1" customHeight="1">
      <c r="B123" s="8">
        <v>121.0</v>
      </c>
      <c r="C123" s="9">
        <v>43199.0</v>
      </c>
      <c r="D123" s="6" t="s">
        <v>15</v>
      </c>
      <c r="E123" s="4"/>
      <c r="F123" s="8"/>
      <c r="G123" s="4"/>
      <c r="H123" s="10" t="s">
        <v>136</v>
      </c>
      <c r="I123" s="10">
        <v>197.0</v>
      </c>
      <c r="J123" s="11" t="str">
        <f>IF(D123&lt;&gt;"",VLOOKUP(H123,TABLEITEM,5,FALSE),"")</f>
        <v>EA</v>
      </c>
      <c r="K123" s="12">
        <v>23.0</v>
      </c>
      <c r="L123" s="13" t="str">
        <f>IF(D123&lt;&gt;"",VLOOKUP(H123,TABLEITEM,2,FALSE),"")</f>
        <v/>
      </c>
      <c r="M123" s="13" t="str">
        <f>IF(D123&lt;&gt;"",VLOOKUP(H123,TABLEITEM,3,FALSE),"")</f>
        <v>มือจับตู้โหลด</v>
      </c>
      <c r="N123" s="14">
        <f>INSTOCK!$I123*INSTOCK!$K123</f>
        <v>4531</v>
      </c>
      <c r="O123" s="4"/>
      <c r="P123" s="4"/>
    </row>
    <row r="124" ht="15.75" hidden="1" customHeight="1">
      <c r="B124" s="8">
        <v>122.0</v>
      </c>
      <c r="C124" s="9">
        <v>43199.0</v>
      </c>
      <c r="D124" s="6" t="s">
        <v>15</v>
      </c>
      <c r="E124" s="4"/>
      <c r="F124" s="8"/>
      <c r="G124" s="4"/>
      <c r="H124" s="10" t="s">
        <v>137</v>
      </c>
      <c r="I124" s="10">
        <v>2983.0</v>
      </c>
      <c r="J124" s="11" t="str">
        <f>IF(D124&lt;&gt;"",VLOOKUP(H124,TABLEITEM,5,FALSE),"")</f>
        <v>EA</v>
      </c>
      <c r="K124" s="12">
        <v>3.5</v>
      </c>
      <c r="L124" s="13" t="str">
        <f>IF(D124&lt;&gt;"",VLOOKUP(H124,TABLEITEM,2,FALSE),"")</f>
        <v/>
      </c>
      <c r="M124" s="13" t="str">
        <f>IF(D124&lt;&gt;"",VLOOKUP(H124,TABLEITEM,3,FALSE),"")</f>
        <v>COVER KEY สีเทา</v>
      </c>
      <c r="N124" s="14">
        <f>INSTOCK!$I124*INSTOCK!$K124</f>
        <v>10440.5</v>
      </c>
      <c r="O124" s="4"/>
      <c r="P124" s="4"/>
    </row>
    <row r="125" ht="15.75" hidden="1" customHeight="1">
      <c r="B125" s="8">
        <v>123.0</v>
      </c>
      <c r="C125" s="9">
        <v>43199.0</v>
      </c>
      <c r="D125" s="6" t="s">
        <v>15</v>
      </c>
      <c r="E125" s="4"/>
      <c r="F125" s="8"/>
      <c r="G125" s="4"/>
      <c r="H125" s="10" t="s">
        <v>138</v>
      </c>
      <c r="I125" s="10">
        <v>1869.0</v>
      </c>
      <c r="J125" s="11" t="str">
        <f>IF(D125&lt;&gt;"",VLOOKUP(H125,TABLEITEM,5,FALSE),"")</f>
        <v>EA</v>
      </c>
      <c r="K125" s="12">
        <v>3.5</v>
      </c>
      <c r="L125" s="13" t="str">
        <f>IF(D125&lt;&gt;"",VLOOKUP(H125,TABLEITEM,2,FALSE),"")</f>
        <v/>
      </c>
      <c r="M125" s="13" t="str">
        <f>IF(D125&lt;&gt;"",VLOOKUP(H125,TABLEITEM,3,FALSE),"")</f>
        <v>COVER KEY สีครีม</v>
      </c>
      <c r="N125" s="14">
        <f>INSTOCK!$I125*INSTOCK!$K125</f>
        <v>6541.5</v>
      </c>
      <c r="O125" s="4"/>
      <c r="P125" s="4"/>
    </row>
    <row r="126" ht="15.75" hidden="1" customHeight="1">
      <c r="B126" s="8">
        <v>124.0</v>
      </c>
      <c r="C126" s="9">
        <v>43199.0</v>
      </c>
      <c r="D126" s="6" t="s">
        <v>15</v>
      </c>
      <c r="E126" s="4"/>
      <c r="F126" s="8"/>
      <c r="G126" s="4"/>
      <c r="H126" s="10" t="s">
        <v>139</v>
      </c>
      <c r="I126" s="10">
        <v>582.0</v>
      </c>
      <c r="J126" s="11" t="str">
        <f>IF(D126&lt;&gt;"",VLOOKUP(H126,TABLEITEM,5,FALSE),"")</f>
        <v>EA</v>
      </c>
      <c r="K126" s="12">
        <v>535.0</v>
      </c>
      <c r="L126" s="13" t="str">
        <f>IF(D126&lt;&gt;"",VLOOKUP(H126,TABLEITEM,2,FALSE),"")</f>
        <v/>
      </c>
      <c r="M126" s="13" t="str">
        <f>IF(D126&lt;&gt;"",VLOOKUP(H126,TABLEITEM,3,FALSE),"")</f>
        <v>กุญแจ TAKIGEN A 464-1-1</v>
      </c>
      <c r="N126" s="14">
        <f>INSTOCK!$I126*INSTOCK!$K126</f>
        <v>311370</v>
      </c>
      <c r="O126" s="4"/>
      <c r="P126" s="4"/>
    </row>
    <row r="127" ht="15.75" hidden="1" customHeight="1">
      <c r="B127" s="8">
        <v>125.0</v>
      </c>
      <c r="C127" s="9">
        <v>43199.0</v>
      </c>
      <c r="D127" s="6" t="s">
        <v>15</v>
      </c>
      <c r="E127" s="4"/>
      <c r="F127" s="8"/>
      <c r="G127" s="4"/>
      <c r="H127" s="10" t="s">
        <v>140</v>
      </c>
      <c r="I127" s="10">
        <v>0.0</v>
      </c>
      <c r="J127" s="11" t="str">
        <f>IF(D127&lt;&gt;"",VLOOKUP(H127,TABLEITEM,5,FALSE),"")</f>
        <v>EA</v>
      </c>
      <c r="K127" s="12">
        <v>630.0</v>
      </c>
      <c r="L127" s="13" t="str">
        <f>IF(D127&lt;&gt;"",VLOOKUP(H127,TABLEITEM,2,FALSE),"")</f>
        <v/>
      </c>
      <c r="M127" s="13" t="str">
        <f>IF(D127&lt;&gt;"",VLOOKUP(H127,TABLEITEM,3,FALSE),"")</f>
        <v>กุญแจ TAKIGEN A-51-1-1</v>
      </c>
      <c r="N127" s="14">
        <f>INSTOCK!$I127*INSTOCK!$K127</f>
        <v>0</v>
      </c>
      <c r="O127" s="4"/>
      <c r="P127" s="4"/>
    </row>
    <row r="128" ht="15.75" hidden="1" customHeight="1">
      <c r="B128" s="8">
        <v>126.0</v>
      </c>
      <c r="C128" s="9">
        <v>43199.0</v>
      </c>
      <c r="D128" s="6" t="s">
        <v>15</v>
      </c>
      <c r="E128" s="4"/>
      <c r="F128" s="8"/>
      <c r="G128" s="4"/>
      <c r="H128" s="10" t="s">
        <v>141</v>
      </c>
      <c r="I128" s="10">
        <v>771.0</v>
      </c>
      <c r="J128" s="11" t="str">
        <f>IF(D128&lt;&gt;"",VLOOKUP(H128,TABLEITEM,5,FALSE),"")</f>
        <v>EA</v>
      </c>
      <c r="K128" s="12">
        <v>420.0</v>
      </c>
      <c r="L128" s="13" t="str">
        <f>IF(D128&lt;&gt;"",VLOOKUP(H128,TABLEITEM,2,FALSE),"")</f>
        <v/>
      </c>
      <c r="M128" s="13" t="str">
        <f>IF(D128&lt;&gt;"",VLOOKUP(H128,TABLEITEM,3,FALSE),"")</f>
        <v>กุญแจ TAKIGEN A-140-1-1</v>
      </c>
      <c r="N128" s="14">
        <f>INSTOCK!$I128*INSTOCK!$K128</f>
        <v>323820</v>
      </c>
      <c r="O128" s="4"/>
      <c r="P128" s="4"/>
    </row>
    <row r="129" ht="15.75" hidden="1" customHeight="1">
      <c r="B129" s="8">
        <v>127.0</v>
      </c>
      <c r="C129" s="9">
        <v>43199.0</v>
      </c>
      <c r="D129" s="6" t="s">
        <v>15</v>
      </c>
      <c r="E129" s="4"/>
      <c r="F129" s="8"/>
      <c r="G129" s="4"/>
      <c r="H129" s="10" t="s">
        <v>142</v>
      </c>
      <c r="I129" s="10">
        <v>1.0</v>
      </c>
      <c r="J129" s="11" t="str">
        <f>IF(D129&lt;&gt;"",VLOOKUP(H129,TABLEITEM,5,FALSE),"")</f>
        <v>EA</v>
      </c>
      <c r="K129" s="12">
        <v>2300.0</v>
      </c>
      <c r="L129" s="13" t="str">
        <f>IF(D129&lt;&gt;"",VLOOKUP(H129,TABLEITEM,2,FALSE),"")</f>
        <v/>
      </c>
      <c r="M129" s="13" t="str">
        <f>IF(D129&lt;&gt;"",VLOOKUP(H129,TABLEITEM,3,FALSE),"")</f>
        <v>กุญแจเขาควายกันน้ำ A-1140-2-1-sus</v>
      </c>
      <c r="N129" s="14">
        <f>INSTOCK!$I129*INSTOCK!$K129</f>
        <v>2300</v>
      </c>
      <c r="O129" s="4"/>
      <c r="P129" s="4"/>
    </row>
    <row r="130" ht="15.75" hidden="1" customHeight="1">
      <c r="B130" s="8">
        <v>128.0</v>
      </c>
      <c r="C130" s="9">
        <v>43199.0</v>
      </c>
      <c r="D130" s="6" t="s">
        <v>15</v>
      </c>
      <c r="E130" s="4"/>
      <c r="F130" s="8"/>
      <c r="G130" s="4"/>
      <c r="H130" s="10" t="s">
        <v>143</v>
      </c>
      <c r="I130" s="10">
        <v>988.0</v>
      </c>
      <c r="J130" s="11" t="str">
        <f>IF(D130&lt;&gt;"",VLOOKUP(H130,TABLEITEM,5,FALSE),"")</f>
        <v>EA</v>
      </c>
      <c r="K130" s="12">
        <v>59.0</v>
      </c>
      <c r="L130" s="13" t="str">
        <f>IF(D130&lt;&gt;"",VLOOKUP(H130,TABLEITEM,2,FALSE),"")</f>
        <v/>
      </c>
      <c r="M130" s="13" t="str">
        <f>IF(D130&lt;&gt;"",VLOOKUP(H130,TABLEITEM,3,FALSE),"")</f>
        <v>กุญแจหูกระเป๋าเล็ก SUS C-1012-2-1</v>
      </c>
      <c r="N130" s="14">
        <f>INSTOCK!$I130*INSTOCK!$K130</f>
        <v>58292</v>
      </c>
      <c r="O130" s="4"/>
      <c r="P130" s="4"/>
    </row>
    <row r="131" ht="15.75" hidden="1" customHeight="1">
      <c r="B131" s="8">
        <v>129.0</v>
      </c>
      <c r="C131" s="9">
        <v>43199.0</v>
      </c>
      <c r="D131" s="6" t="s">
        <v>15</v>
      </c>
      <c r="E131" s="4"/>
      <c r="F131" s="8"/>
      <c r="G131" s="4"/>
      <c r="H131" s="10" t="s">
        <v>144</v>
      </c>
      <c r="I131" s="10">
        <v>50.0</v>
      </c>
      <c r="J131" s="11" t="str">
        <f>IF(D131&lt;&gt;"",VLOOKUP(H131,TABLEITEM,5,FALSE),"")</f>
        <v>EA</v>
      </c>
      <c r="K131" s="12">
        <v>10.0</v>
      </c>
      <c r="L131" s="13" t="str">
        <f>IF(D131&lt;&gt;"",VLOOKUP(H131,TABLEITEM,2,FALSE),"")</f>
        <v/>
      </c>
      <c r="M131" s="13" t="str">
        <f>IF(D131&lt;&gt;"",VLOOKUP(H131,TABLEITEM,3,FALSE),"")</f>
        <v>กุญแจหูกระเป๋าสปริงC-1007-2</v>
      </c>
      <c r="N131" s="14">
        <f>INSTOCK!$I131*INSTOCK!$K131</f>
        <v>500</v>
      </c>
      <c r="O131" s="4"/>
      <c r="P131" s="4"/>
    </row>
    <row r="132" ht="15.75" hidden="1" customHeight="1">
      <c r="B132" s="8">
        <v>130.0</v>
      </c>
      <c r="C132" s="9">
        <v>43199.0</v>
      </c>
      <c r="D132" s="6" t="s">
        <v>15</v>
      </c>
      <c r="E132" s="4"/>
      <c r="F132" s="8"/>
      <c r="G132" s="4"/>
      <c r="H132" s="10" t="s">
        <v>145</v>
      </c>
      <c r="I132" s="10">
        <v>27.0</v>
      </c>
      <c r="J132" s="11" t="str">
        <f>IF(D132&lt;&gt;"",VLOOKUP(H132,TABLEITEM,5,FALSE),"")</f>
        <v>EA</v>
      </c>
      <c r="K132" s="12">
        <v>22.0</v>
      </c>
      <c r="L132" s="13" t="str">
        <f>IF(D132&lt;&gt;"",VLOOKUP(H132,TABLEITEM,2,FALSE),"")</f>
        <v/>
      </c>
      <c r="M132" s="13" t="str">
        <f>IF(D132&lt;&gt;"",VLOOKUP(H132,TABLEITEM,3,FALSE),"")</f>
        <v>HING สีเงิน1-170-03</v>
      </c>
      <c r="N132" s="14">
        <f>INSTOCK!$I132*INSTOCK!$K132</f>
        <v>594</v>
      </c>
      <c r="O132" s="4"/>
      <c r="P132" s="4"/>
    </row>
    <row r="133" ht="15.75" hidden="1" customHeight="1">
      <c r="B133" s="8">
        <v>131.0</v>
      </c>
      <c r="C133" s="9">
        <v>43199.0</v>
      </c>
      <c r="D133" s="6" t="s">
        <v>15</v>
      </c>
      <c r="E133" s="4"/>
      <c r="F133" s="8"/>
      <c r="G133" s="4"/>
      <c r="H133" s="10" t="s">
        <v>146</v>
      </c>
      <c r="I133" s="10">
        <v>160.0</v>
      </c>
      <c r="J133" s="11" t="str">
        <f>IF(D133&lt;&gt;"",VLOOKUP(H133,TABLEITEM,5,FALSE),"")</f>
        <v>EA</v>
      </c>
      <c r="K133" s="12">
        <v>22.0</v>
      </c>
      <c r="L133" s="13" t="str">
        <f>IF(D133&lt;&gt;"",VLOOKUP(H133,TABLEITEM,2,FALSE),"")</f>
        <v/>
      </c>
      <c r="M133" s="13" t="str">
        <f>IF(D133&lt;&gt;"",VLOOKUP(H133,TABLEITEM,3,FALSE),"")</f>
        <v>HING สีดำตัวใหญ่1-174-04</v>
      </c>
      <c r="N133" s="14">
        <f>INSTOCK!$I133*INSTOCK!$K133</f>
        <v>3520</v>
      </c>
      <c r="O133" s="4"/>
      <c r="P133" s="4"/>
    </row>
    <row r="134" ht="15.75" hidden="1" customHeight="1">
      <c r="B134" s="8">
        <v>132.0</v>
      </c>
      <c r="C134" s="9">
        <v>43199.0</v>
      </c>
      <c r="D134" s="6" t="s">
        <v>15</v>
      </c>
      <c r="E134" s="4"/>
      <c r="F134" s="8"/>
      <c r="G134" s="4"/>
      <c r="H134" s="10" t="s">
        <v>147</v>
      </c>
      <c r="I134" s="10">
        <v>99.0</v>
      </c>
      <c r="J134" s="11" t="str">
        <f>IF(D134&lt;&gt;"",VLOOKUP(H134,TABLEITEM,5,FALSE),"")</f>
        <v>EA</v>
      </c>
      <c r="K134" s="12">
        <v>35.0</v>
      </c>
      <c r="L134" s="13" t="str">
        <f>IF(D134&lt;&gt;"",VLOOKUP(H134,TABLEITEM,2,FALSE),"")</f>
        <v/>
      </c>
      <c r="M134" s="13" t="str">
        <f>IF(D134&lt;&gt;"",VLOOKUP(H134,TABLEITEM,3,FALSE),"")</f>
        <v>KEY-LOCKHINGES HL-027</v>
      </c>
      <c r="N134" s="14">
        <f>INSTOCK!$I134*INSTOCK!$K134</f>
        <v>3465</v>
      </c>
      <c r="O134" s="4"/>
      <c r="P134" s="4"/>
    </row>
    <row r="135" ht="15.75" hidden="1" customHeight="1">
      <c r="B135" s="8">
        <v>133.0</v>
      </c>
      <c r="C135" s="9">
        <v>43199.0</v>
      </c>
      <c r="D135" s="6" t="s">
        <v>15</v>
      </c>
      <c r="E135" s="4"/>
      <c r="F135" s="8"/>
      <c r="G135" s="4"/>
      <c r="H135" s="10" t="s">
        <v>148</v>
      </c>
      <c r="I135" s="10">
        <v>111.0</v>
      </c>
      <c r="J135" s="11" t="str">
        <f>IF(D135&lt;&gt;"",VLOOKUP(H135,TABLEITEM,5,FALSE),"")</f>
        <v>EA</v>
      </c>
      <c r="K135" s="12">
        <v>33.0</v>
      </c>
      <c r="L135" s="13" t="str">
        <f>IF(D135&lt;&gt;"",VLOOKUP(H135,TABLEITEM,2,FALSE),"")</f>
        <v/>
      </c>
      <c r="M135" s="13" t="str">
        <f>IF(D135&lt;&gt;"",VLOOKUP(H135,TABLEITEM,3,FALSE),"")</f>
        <v>KEY-LOCKHINGES HL-042บานพับผีเสื้อดำ</v>
      </c>
      <c r="N135" s="14">
        <f>INSTOCK!$I135*INSTOCK!$K135</f>
        <v>3663</v>
      </c>
      <c r="O135" s="4"/>
      <c r="P135" s="4"/>
    </row>
    <row r="136" ht="15.75" hidden="1" customHeight="1">
      <c r="B136" s="8">
        <v>134.0</v>
      </c>
      <c r="C136" s="9">
        <v>43199.0</v>
      </c>
      <c r="D136" s="6" t="s">
        <v>15</v>
      </c>
      <c r="E136" s="4"/>
      <c r="F136" s="8"/>
      <c r="G136" s="4"/>
      <c r="H136" s="10" t="s">
        <v>149</v>
      </c>
      <c r="I136" s="10">
        <v>81.0</v>
      </c>
      <c r="J136" s="11" t="str">
        <f>IF(D136&lt;&gt;"",VLOOKUP(H136,TABLEITEM,5,FALSE),"")</f>
        <v>EA</v>
      </c>
      <c r="K136" s="12">
        <v>11.2</v>
      </c>
      <c r="L136" s="13" t="str">
        <f>IF(D136&lt;&gt;"",VLOOKUP(H136,TABLEITEM,2,FALSE),"")</f>
        <v/>
      </c>
      <c r="M136" s="13" t="str">
        <f>IF(D136&lt;&gt;"",VLOOKUP(H136,TABLEITEM,3,FALSE),"")</f>
        <v>บานพับ 2''สแตนเลส</v>
      </c>
      <c r="N136" s="14">
        <f>INSTOCK!$I136*INSTOCK!$K136</f>
        <v>907.2</v>
      </c>
      <c r="O136" s="4"/>
      <c r="P136" s="4"/>
    </row>
    <row r="137" ht="15.75" hidden="1" customHeight="1">
      <c r="B137" s="8">
        <v>135.0</v>
      </c>
      <c r="C137" s="9">
        <v>43199.0</v>
      </c>
      <c r="D137" s="6" t="s">
        <v>15</v>
      </c>
      <c r="E137" s="4"/>
      <c r="F137" s="8"/>
      <c r="G137" s="4"/>
      <c r="H137" s="10" t="s">
        <v>150</v>
      </c>
      <c r="I137" s="10">
        <v>197.0</v>
      </c>
      <c r="J137" s="11" t="str">
        <f>IF(D137&lt;&gt;"",VLOOKUP(H137,TABLEITEM,5,FALSE),"")</f>
        <v>EA</v>
      </c>
      <c r="K137" s="12">
        <v>8.8</v>
      </c>
      <c r="L137" s="13" t="str">
        <f>IF(D137&lt;&gt;"",VLOOKUP(H137,TABLEITEM,2,FALSE),"")</f>
        <v/>
      </c>
      <c r="M137" s="13" t="str">
        <f>IF(D137&lt;&gt;"",VLOOKUP(H137,TABLEITEM,3,FALSE),"")</f>
        <v>บานพับ 1''1/2 สแตนเลส</v>
      </c>
      <c r="N137" s="14">
        <f>INSTOCK!$I137*INSTOCK!$K137</f>
        <v>1733.6</v>
      </c>
      <c r="O137" s="4"/>
      <c r="P137" s="4"/>
    </row>
    <row r="138" ht="15.75" hidden="1" customHeight="1">
      <c r="B138" s="8">
        <v>136.0</v>
      </c>
      <c r="C138" s="9">
        <v>43199.0</v>
      </c>
      <c r="D138" s="6" t="s">
        <v>15</v>
      </c>
      <c r="E138" s="4"/>
      <c r="F138" s="8"/>
      <c r="G138" s="4"/>
      <c r="H138" s="10" t="s">
        <v>151</v>
      </c>
      <c r="I138" s="10">
        <v>336.0</v>
      </c>
      <c r="J138" s="11" t="str">
        <f>IF(D138&lt;&gt;"",VLOOKUP(H138,TABLEITEM,5,FALSE),"")</f>
        <v>EA</v>
      </c>
      <c r="K138" s="12"/>
      <c r="L138" s="13" t="str">
        <f>IF(D138&lt;&gt;"",VLOOKUP(H138,TABLEITEM,2,FALSE),"")</f>
        <v/>
      </c>
      <c r="M138" s="13" t="str">
        <f>IF(D138&lt;&gt;"",VLOOKUP(H138,TABLEITEM,3,FALSE),"")</f>
        <v>ยางกันกระแทกจิ๋ว</v>
      </c>
      <c r="N138" s="14">
        <f>INSTOCK!$I138*INSTOCK!$K138</f>
        <v>0</v>
      </c>
      <c r="O138" s="4"/>
      <c r="P138" s="4"/>
    </row>
    <row r="139" ht="15.75" hidden="1" customHeight="1">
      <c r="B139" s="8">
        <v>137.0</v>
      </c>
      <c r="C139" s="9">
        <v>43199.0</v>
      </c>
      <c r="D139" s="6" t="s">
        <v>15</v>
      </c>
      <c r="E139" s="4"/>
      <c r="F139" s="8"/>
      <c r="G139" s="4"/>
      <c r="H139" s="10" t="s">
        <v>152</v>
      </c>
      <c r="I139" s="10">
        <v>1793.0</v>
      </c>
      <c r="J139" s="11" t="str">
        <f>IF(D139&lt;&gt;"",VLOOKUP(H139,TABLEITEM,5,FALSE),"")</f>
        <v>EA</v>
      </c>
      <c r="K139" s="12">
        <v>2.5</v>
      </c>
      <c r="L139" s="13" t="str">
        <f>IF(D139&lt;&gt;"",VLOOKUP(H139,TABLEITEM,2,FALSE),"")</f>
        <v/>
      </c>
      <c r="M139" s="13" t="str">
        <f>IF(D139&lt;&gt;"",VLOOKUP(H139,TABLEITEM,3,FALSE),"")</f>
        <v>ยางกันกระแทกเล็ก</v>
      </c>
      <c r="N139" s="14">
        <f>INSTOCK!$I139*INSTOCK!$K139</f>
        <v>4482.5</v>
      </c>
      <c r="O139" s="4"/>
      <c r="P139" s="4"/>
    </row>
    <row r="140" ht="15.75" hidden="1" customHeight="1">
      <c r="B140" s="8">
        <v>138.0</v>
      </c>
      <c r="C140" s="9">
        <v>43199.0</v>
      </c>
      <c r="D140" s="6" t="s">
        <v>15</v>
      </c>
      <c r="E140" s="4"/>
      <c r="F140" s="8"/>
      <c r="G140" s="4"/>
      <c r="H140" s="10" t="s">
        <v>153</v>
      </c>
      <c r="I140" s="10">
        <v>141.0</v>
      </c>
      <c r="J140" s="11" t="str">
        <f>IF(D140&lt;&gt;"",VLOOKUP(H140,TABLEITEM,5,FALSE),"")</f>
        <v>EA</v>
      </c>
      <c r="K140" s="12"/>
      <c r="L140" s="13" t="str">
        <f>IF(D140&lt;&gt;"",VLOOKUP(H140,TABLEITEM,2,FALSE),"")</f>
        <v/>
      </c>
      <c r="M140" s="13" t="str">
        <f>IF(D140&lt;&gt;"",VLOOKUP(H140,TABLEITEM,3,FALSE),"")</f>
        <v>ยางกันกระแทกกลาง</v>
      </c>
      <c r="N140" s="14">
        <f>INSTOCK!$I140*INSTOCK!$K140</f>
        <v>0</v>
      </c>
      <c r="O140" s="4"/>
      <c r="P140" s="4"/>
    </row>
    <row r="141" ht="15.75" hidden="1" customHeight="1">
      <c r="B141" s="8">
        <v>139.0</v>
      </c>
      <c r="C141" s="9">
        <v>43199.0</v>
      </c>
      <c r="D141" s="6" t="s">
        <v>15</v>
      </c>
      <c r="E141" s="4"/>
      <c r="F141" s="8"/>
      <c r="G141" s="4"/>
      <c r="H141" s="10" t="s">
        <v>154</v>
      </c>
      <c r="I141" s="10">
        <v>422.0</v>
      </c>
      <c r="J141" s="11" t="str">
        <f>IF(D141&lt;&gt;"",VLOOKUP(H141,TABLEITEM,5,FALSE),"")</f>
        <v>EA</v>
      </c>
      <c r="K141" s="12"/>
      <c r="L141" s="13" t="str">
        <f>IF(D141&lt;&gt;"",VLOOKUP(H141,TABLEITEM,2,FALSE),"")</f>
        <v/>
      </c>
      <c r="M141" s="13" t="str">
        <f>IF(D141&lt;&gt;"",VLOOKUP(H141,TABLEITEM,3,FALSE),"")</f>
        <v>ยางกันกระแทกใหญ่</v>
      </c>
      <c r="N141" s="14">
        <f>INSTOCK!$I141*INSTOCK!$K141</f>
        <v>0</v>
      </c>
      <c r="O141" s="4"/>
      <c r="P141" s="4"/>
    </row>
    <row r="142" ht="15.75" hidden="1" customHeight="1">
      <c r="B142" s="8">
        <v>140.0</v>
      </c>
      <c r="C142" s="9">
        <v>43199.0</v>
      </c>
      <c r="D142" s="6" t="s">
        <v>15</v>
      </c>
      <c r="E142" s="4"/>
      <c r="F142" s="8"/>
      <c r="G142" s="4"/>
      <c r="H142" s="10" t="s">
        <v>155</v>
      </c>
      <c r="I142" s="10">
        <v>53.0</v>
      </c>
      <c r="J142" s="11" t="str">
        <f>IF(D142&lt;&gt;"",VLOOKUP(H142,TABLEITEM,5,FALSE),"")</f>
        <v>EA</v>
      </c>
      <c r="K142" s="12"/>
      <c r="L142" s="13" t="str">
        <f>IF(D142&lt;&gt;"",VLOOKUP(H142,TABLEITEM,2,FALSE),"")</f>
        <v/>
      </c>
      <c r="M142" s="13" t="str">
        <f>IF(D142&lt;&gt;"",VLOOKUP(H142,TABLEITEM,3,FALSE),"")</f>
        <v>ยางกันกระแทกมีก้าน</v>
      </c>
      <c r="N142" s="14">
        <f>INSTOCK!$I142*INSTOCK!$K142</f>
        <v>0</v>
      </c>
      <c r="O142" s="4"/>
      <c r="P142" s="4"/>
    </row>
    <row r="143" ht="15.75" hidden="1" customHeight="1">
      <c r="B143" s="8">
        <v>141.0</v>
      </c>
      <c r="C143" s="9">
        <v>43199.0</v>
      </c>
      <c r="D143" s="6" t="s">
        <v>15</v>
      </c>
      <c r="E143" s="4"/>
      <c r="F143" s="8"/>
      <c r="G143" s="4"/>
      <c r="H143" s="10" t="s">
        <v>156</v>
      </c>
      <c r="I143" s="10">
        <v>34.0</v>
      </c>
      <c r="J143" s="11" t="str">
        <f>IF(D143&lt;&gt;"",VLOOKUP(H143,TABLEITEM,5,FALSE),"")</f>
        <v>EA</v>
      </c>
      <c r="K143" s="12">
        <v>9.6</v>
      </c>
      <c r="L143" s="13" t="str">
        <f>IF(D143&lt;&gt;"",VLOOKUP(H143,TABLEITEM,2,FALSE),"")</f>
        <v/>
      </c>
      <c r="M143" s="13" t="str">
        <f>IF(D143&lt;&gt;"",VLOOKUP(H143,TABLEITEM,3,FALSE),"")</f>
        <v>แม่เหล็กสีน้าตาล</v>
      </c>
      <c r="N143" s="14">
        <f>INSTOCK!$I143*INSTOCK!$K143</f>
        <v>326.4</v>
      </c>
      <c r="O143" s="4"/>
      <c r="P143" s="4"/>
    </row>
    <row r="144" ht="15.75" hidden="1" customHeight="1">
      <c r="B144" s="8">
        <v>142.0</v>
      </c>
      <c r="C144" s="9">
        <v>43199.0</v>
      </c>
      <c r="D144" s="6" t="s">
        <v>15</v>
      </c>
      <c r="E144" s="4"/>
      <c r="F144" s="8"/>
      <c r="G144" s="4"/>
      <c r="H144" s="10" t="s">
        <v>157</v>
      </c>
      <c r="I144" s="10">
        <v>20.0</v>
      </c>
      <c r="J144" s="11" t="str">
        <f>IF(D144&lt;&gt;"",VLOOKUP(H144,TABLEITEM,5,FALSE),"")</f>
        <v>EA</v>
      </c>
      <c r="K144" s="12">
        <v>622.0</v>
      </c>
      <c r="L144" s="13" t="str">
        <f>IF(D144&lt;&gt;"",VLOOKUP(H144,TABLEITEM,2,FALSE),"")</f>
        <v/>
      </c>
      <c r="M144" s="13" t="str">
        <f>IF(D144&lt;&gt;"",VLOOKUP(H144,TABLEITEM,3,FALSE),"")</f>
        <v>กุญแจ TAKIGEN A-140-2-1</v>
      </c>
      <c r="N144" s="14">
        <f>INSTOCK!$I144*INSTOCK!$K144</f>
        <v>12440</v>
      </c>
      <c r="O144" s="4"/>
      <c r="P144" s="4"/>
    </row>
    <row r="145" ht="15.75" hidden="1" customHeight="1">
      <c r="B145" s="8">
        <v>143.0</v>
      </c>
      <c r="C145" s="9">
        <v>43199.0</v>
      </c>
      <c r="D145" s="6" t="s">
        <v>15</v>
      </c>
      <c r="E145" s="4"/>
      <c r="F145" s="8"/>
      <c r="G145" s="4"/>
      <c r="H145" s="10" t="s">
        <v>158</v>
      </c>
      <c r="I145" s="10">
        <v>0.0</v>
      </c>
      <c r="J145" s="11" t="str">
        <f>IF(D145&lt;&gt;"",VLOOKUP(H145,TABLEITEM,5,FALSE),"")</f>
        <v>EA</v>
      </c>
      <c r="K145" s="12">
        <v>622.0</v>
      </c>
      <c r="L145" s="13" t="str">
        <f>IF(D145&lt;&gt;"",VLOOKUP(H145,TABLEITEM,2,FALSE),"")</f>
        <v/>
      </c>
      <c r="M145" s="13" t="str">
        <f>IF(D145&lt;&gt;"",VLOOKUP(H145,TABLEITEM,3,FALSE),"")</f>
        <v>กุญแจ TAKIGEN A-140-3-1</v>
      </c>
      <c r="N145" s="14">
        <f>INSTOCK!$I145*INSTOCK!$K145</f>
        <v>0</v>
      </c>
      <c r="O145" s="4"/>
      <c r="P145" s="4"/>
    </row>
    <row r="146" ht="15.75" hidden="1" customHeight="1">
      <c r="B146" s="8">
        <v>144.0</v>
      </c>
      <c r="C146" s="9">
        <v>43199.0</v>
      </c>
      <c r="D146" s="6" t="s">
        <v>15</v>
      </c>
      <c r="E146" s="4"/>
      <c r="F146" s="8"/>
      <c r="G146" s="4"/>
      <c r="H146" s="10" t="s">
        <v>159</v>
      </c>
      <c r="I146" s="10">
        <v>5200.0</v>
      </c>
      <c r="J146" s="11" t="str">
        <f>IF(D146&lt;&gt;"",VLOOKUP(H146,TABLEITEM,5,FALSE),"")</f>
        <v>EA</v>
      </c>
      <c r="K146" s="16">
        <v>0.16</v>
      </c>
      <c r="L146" s="13" t="str">
        <f>IF(D146&lt;&gt;"",VLOOKUP(H146,TABLEITEM,2,FALSE),"")</f>
        <v/>
      </c>
      <c r="M146" s="13" t="str">
        <f>IF(D146&lt;&gt;"",VLOOKUP(H146,TABLEITEM,3,FALSE),"")</f>
        <v>เคเบิ้ลไทร์ 4" สีขาวCT-100-2C</v>
      </c>
      <c r="N146" s="14">
        <f>INSTOCK!$I146*INSTOCK!$K146</f>
        <v>832</v>
      </c>
      <c r="O146" s="4"/>
      <c r="P146" s="4"/>
    </row>
    <row r="147" ht="15.75" hidden="1" customHeight="1">
      <c r="B147" s="8">
        <v>145.0</v>
      </c>
      <c r="C147" s="9">
        <v>43199.0</v>
      </c>
      <c r="D147" s="6" t="s">
        <v>15</v>
      </c>
      <c r="E147" s="4"/>
      <c r="F147" s="8"/>
      <c r="G147" s="4"/>
      <c r="H147" s="10" t="s">
        <v>160</v>
      </c>
      <c r="I147" s="10">
        <v>1100.0</v>
      </c>
      <c r="J147" s="11" t="str">
        <f>IF(D147&lt;&gt;"",VLOOKUP(H147,TABLEITEM,5,FALSE),"")</f>
        <v>EA</v>
      </c>
      <c r="K147" s="16">
        <v>0.18</v>
      </c>
      <c r="L147" s="13" t="str">
        <f>IF(D147&lt;&gt;"",VLOOKUP(H147,TABLEITEM,2,FALSE),"")</f>
        <v/>
      </c>
      <c r="M147" s="13" t="str">
        <f>IF(D147&lt;&gt;"",VLOOKUP(H147,TABLEITEM,3,FALSE),"")</f>
        <v>เคเบิ้ลไทร์ 4" สีดำCT-100-B-2C</v>
      </c>
      <c r="N147" s="14">
        <f>INSTOCK!$I147*INSTOCK!$K147</f>
        <v>198</v>
      </c>
      <c r="O147" s="4"/>
      <c r="P147" s="4"/>
    </row>
    <row r="148" ht="15.75" hidden="1" customHeight="1">
      <c r="B148" s="8">
        <v>146.0</v>
      </c>
      <c r="C148" s="9">
        <v>43199.0</v>
      </c>
      <c r="D148" s="6" t="s">
        <v>15</v>
      </c>
      <c r="E148" s="4"/>
      <c r="F148" s="8"/>
      <c r="G148" s="4"/>
      <c r="H148" s="10" t="s">
        <v>161</v>
      </c>
      <c r="I148" s="10">
        <v>1300.0</v>
      </c>
      <c r="J148" s="11" t="str">
        <f>IF(D148&lt;&gt;"",VLOOKUP(H148,TABLEITEM,5,FALSE),"")</f>
        <v>EA</v>
      </c>
      <c r="K148" s="16">
        <v>0.45</v>
      </c>
      <c r="L148" s="13" t="str">
        <f>IF(D148&lt;&gt;"",VLOOKUP(H148,TABLEITEM,2,FALSE),"")</f>
        <v/>
      </c>
      <c r="M148" s="13" t="str">
        <f>IF(D148&lt;&gt;"",VLOOKUP(H148,TABLEITEM,3,FALSE),"")</f>
        <v>เคเบิ้ลไทร์ 6" สีขาวCT-150-3C</v>
      </c>
      <c r="N148" s="14">
        <f>INSTOCK!$I148*INSTOCK!$K148</f>
        <v>585</v>
      </c>
      <c r="O148" s="4"/>
      <c r="P148" s="4"/>
    </row>
    <row r="149" ht="15.75" hidden="1" customHeight="1">
      <c r="B149" s="8">
        <v>147.0</v>
      </c>
      <c r="C149" s="9">
        <v>43199.0</v>
      </c>
      <c r="D149" s="6" t="s">
        <v>15</v>
      </c>
      <c r="E149" s="4"/>
      <c r="F149" s="8"/>
      <c r="G149" s="4"/>
      <c r="H149" s="10" t="s">
        <v>162</v>
      </c>
      <c r="I149" s="10">
        <v>2300.0</v>
      </c>
      <c r="J149" s="11" t="str">
        <f>IF(D149&lt;&gt;"",VLOOKUP(H149,TABLEITEM,5,FALSE),"")</f>
        <v>EA</v>
      </c>
      <c r="K149" s="16">
        <v>0.45</v>
      </c>
      <c r="L149" s="13" t="str">
        <f>IF(D149&lt;&gt;"",VLOOKUP(H149,TABLEITEM,2,FALSE),"")</f>
        <v/>
      </c>
      <c r="M149" s="13" t="str">
        <f>IF(D149&lt;&gt;"",VLOOKUP(H149,TABLEITEM,3,FALSE),"")</f>
        <v>เคเบิ้ลไทร์ 6" สีดำCT-150B-3C</v>
      </c>
      <c r="N149" s="14">
        <f>INSTOCK!$I149*INSTOCK!$K149</f>
        <v>1035</v>
      </c>
      <c r="O149" s="4"/>
      <c r="P149" s="4"/>
    </row>
    <row r="150" ht="15.75" hidden="1" customHeight="1">
      <c r="B150" s="8">
        <v>148.0</v>
      </c>
      <c r="C150" s="9">
        <v>43199.0</v>
      </c>
      <c r="D150" s="6" t="s">
        <v>15</v>
      </c>
      <c r="E150" s="4"/>
      <c r="F150" s="8"/>
      <c r="G150" s="4"/>
      <c r="H150" s="10" t="s">
        <v>163</v>
      </c>
      <c r="I150" s="10">
        <v>1700.0</v>
      </c>
      <c r="J150" s="11" t="str">
        <f>IF(D150&lt;&gt;"",VLOOKUP(H150,TABLEITEM,5,FALSE),"")</f>
        <v>EA</v>
      </c>
      <c r="K150" s="16">
        <v>0.69</v>
      </c>
      <c r="L150" s="13" t="str">
        <f>IF(D150&lt;&gt;"",VLOOKUP(H150,TABLEITEM,2,FALSE),"")</f>
        <v/>
      </c>
      <c r="M150" s="13" t="str">
        <f>IF(D150&lt;&gt;"",VLOOKUP(H150,TABLEITEM,3,FALSE),"")</f>
        <v>เคเบิ้ลไทร์ 8" สีขาวCT-200-3C</v>
      </c>
      <c r="N150" s="14">
        <f>INSTOCK!$I150*INSTOCK!$K150</f>
        <v>1173</v>
      </c>
      <c r="O150" s="4"/>
      <c r="P150" s="4"/>
    </row>
    <row r="151" ht="15.75" hidden="1" customHeight="1">
      <c r="B151" s="8">
        <v>149.0</v>
      </c>
      <c r="C151" s="9">
        <v>43199.0</v>
      </c>
      <c r="D151" s="6" t="s">
        <v>15</v>
      </c>
      <c r="E151" s="4"/>
      <c r="F151" s="8"/>
      <c r="G151" s="4"/>
      <c r="H151" s="10" t="s">
        <v>164</v>
      </c>
      <c r="I151" s="10">
        <v>3600.0</v>
      </c>
      <c r="J151" s="11" t="str">
        <f>IF(D151&lt;&gt;"",VLOOKUP(H151,TABLEITEM,5,FALSE),"")</f>
        <v>EA</v>
      </c>
      <c r="K151" s="12">
        <v>0.79</v>
      </c>
      <c r="L151" s="13" t="str">
        <f>IF(D151&lt;&gt;"",VLOOKUP(H151,TABLEITEM,2,FALSE),"")</f>
        <v/>
      </c>
      <c r="M151" s="13" t="str">
        <f>IF(D151&lt;&gt;"",VLOOKUP(H151,TABLEITEM,3,FALSE),"")</f>
        <v>เคเบิ้ลไทร์ 8" สีดำCT-200B-3C</v>
      </c>
      <c r="N151" s="14">
        <f>INSTOCK!$I151*INSTOCK!$K151</f>
        <v>2844</v>
      </c>
      <c r="O151" s="4"/>
      <c r="P151" s="4"/>
    </row>
    <row r="152" ht="15.75" hidden="1" customHeight="1">
      <c r="B152" s="8">
        <v>150.0</v>
      </c>
      <c r="C152" s="9">
        <v>43199.0</v>
      </c>
      <c r="D152" s="6" t="s">
        <v>15</v>
      </c>
      <c r="E152" s="4"/>
      <c r="F152" s="8"/>
      <c r="G152" s="4"/>
      <c r="H152" s="10" t="s">
        <v>165</v>
      </c>
      <c r="I152" s="10">
        <v>2200.0</v>
      </c>
      <c r="J152" s="11" t="str">
        <f>IF(D152&lt;&gt;"",VLOOKUP(H152,TABLEITEM,5,FALSE),"")</f>
        <v>EA</v>
      </c>
      <c r="K152" s="16">
        <v>1.48</v>
      </c>
      <c r="L152" s="13" t="str">
        <f>IF(D152&lt;&gt;"",VLOOKUP(H152,TABLEITEM,2,FALSE),"")</f>
        <v/>
      </c>
      <c r="M152" s="13" t="str">
        <f>IF(D152&lt;&gt;"",VLOOKUP(H152,TABLEITEM,3,FALSE),"")</f>
        <v>เคเบิ้ลไทร์ 12" สีขาวCT-310-4C</v>
      </c>
      <c r="N152" s="14">
        <f>INSTOCK!$I152*INSTOCK!$K152</f>
        <v>3256</v>
      </c>
      <c r="O152" s="4"/>
      <c r="P152" s="4"/>
    </row>
    <row r="153" ht="15.75" hidden="1" customHeight="1">
      <c r="B153" s="8">
        <v>151.0</v>
      </c>
      <c r="C153" s="9">
        <v>43199.0</v>
      </c>
      <c r="D153" s="6" t="s">
        <v>15</v>
      </c>
      <c r="E153" s="4"/>
      <c r="F153" s="8"/>
      <c r="G153" s="4"/>
      <c r="H153" s="10" t="s">
        <v>166</v>
      </c>
      <c r="I153" s="10">
        <v>700.0</v>
      </c>
      <c r="J153" s="11" t="str">
        <f>IF(D153&lt;&gt;"",VLOOKUP(H153,TABLEITEM,5,FALSE),"")</f>
        <v>EA</v>
      </c>
      <c r="K153" s="16">
        <v>1.7</v>
      </c>
      <c r="L153" s="13" t="str">
        <f>IF(D153&lt;&gt;"",VLOOKUP(H153,TABLEITEM,2,FALSE),"")</f>
        <v/>
      </c>
      <c r="M153" s="13" t="str">
        <f>IF(D153&lt;&gt;"",VLOOKUP(H153,TABLEITEM,3,FALSE),"")</f>
        <v>เคเบิ้ลไทร์ 12" สีดำCT-310B-4C</v>
      </c>
      <c r="N153" s="14">
        <f>INSTOCK!$I153*INSTOCK!$K153</f>
        <v>1190</v>
      </c>
      <c r="O153" s="4"/>
      <c r="P153" s="4"/>
    </row>
    <row r="154" ht="15.75" hidden="1" customHeight="1">
      <c r="B154" s="8">
        <v>152.0</v>
      </c>
      <c r="C154" s="9">
        <v>43199.0</v>
      </c>
      <c r="D154" s="6" t="s">
        <v>15</v>
      </c>
      <c r="E154" s="4"/>
      <c r="F154" s="8"/>
      <c r="G154" s="4"/>
      <c r="H154" s="10" t="s">
        <v>167</v>
      </c>
      <c r="I154" s="10">
        <v>309.0</v>
      </c>
      <c r="J154" s="11" t="str">
        <f>IF(D154&lt;&gt;"",VLOOKUP(H154,TABLEITEM,5,FALSE),"")</f>
        <v>M</v>
      </c>
      <c r="K154" s="16">
        <v>6.0</v>
      </c>
      <c r="L154" s="13" t="str">
        <f>IF(D154&lt;&gt;"",VLOOKUP(H154,TABLEITEM,2,FALSE),"")</f>
        <v/>
      </c>
      <c r="M154" s="13" t="str">
        <f>IF(D154&lt;&gt;"",VLOOKUP(H154,TABLEITEM,3,FALSE),"")</f>
        <v>ไส้ไก่ NO.6</v>
      </c>
      <c r="N154" s="14">
        <f>INSTOCK!$I154*INSTOCK!$K154</f>
        <v>1854</v>
      </c>
      <c r="O154" s="4"/>
      <c r="P154" s="4"/>
    </row>
    <row r="155" ht="15.75" hidden="1" customHeight="1">
      <c r="B155" s="8">
        <v>153.0</v>
      </c>
      <c r="C155" s="9">
        <v>43199.0</v>
      </c>
      <c r="D155" s="6" t="s">
        <v>15</v>
      </c>
      <c r="E155" s="4"/>
      <c r="F155" s="8"/>
      <c r="G155" s="4"/>
      <c r="H155" s="10" t="s">
        <v>168</v>
      </c>
      <c r="I155" s="10">
        <v>172.0</v>
      </c>
      <c r="J155" s="11" t="str">
        <f>IF(D155&lt;&gt;"",VLOOKUP(H155,TABLEITEM,5,FALSE),"")</f>
        <v>M</v>
      </c>
      <c r="K155" s="16">
        <v>9.0</v>
      </c>
      <c r="L155" s="13" t="str">
        <f>IF(D155&lt;&gt;"",VLOOKUP(H155,TABLEITEM,2,FALSE),"")</f>
        <v/>
      </c>
      <c r="M155" s="13" t="str">
        <f>IF(D155&lt;&gt;"",VLOOKUP(H155,TABLEITEM,3,FALSE),"")</f>
        <v>ไส้ไก่ NO.8</v>
      </c>
      <c r="N155" s="14">
        <f>INSTOCK!$I155*INSTOCK!$K155</f>
        <v>1548</v>
      </c>
      <c r="O155" s="4"/>
      <c r="P155" s="4"/>
    </row>
    <row r="156" ht="15.75" hidden="1" customHeight="1">
      <c r="B156" s="8">
        <v>154.0</v>
      </c>
      <c r="C156" s="9">
        <v>43199.0</v>
      </c>
      <c r="D156" s="6" t="s">
        <v>15</v>
      </c>
      <c r="E156" s="4"/>
      <c r="F156" s="8"/>
      <c r="G156" s="4"/>
      <c r="H156" s="10" t="s">
        <v>169</v>
      </c>
      <c r="I156" s="10">
        <v>197.0</v>
      </c>
      <c r="J156" s="11" t="str">
        <f>IF(D156&lt;&gt;"",VLOOKUP(H156,TABLEITEM,5,FALSE),"")</f>
        <v>M</v>
      </c>
      <c r="K156" s="16">
        <v>8.0</v>
      </c>
      <c r="L156" s="13" t="str">
        <f>IF(D156&lt;&gt;"",VLOOKUP(H156,TABLEITEM,2,FALSE),"")</f>
        <v/>
      </c>
      <c r="M156" s="13" t="str">
        <f>IF(D156&lt;&gt;"",VLOOKUP(H156,TABLEITEM,3,FALSE),"")</f>
        <v>ไส้ไก่ NO.10</v>
      </c>
      <c r="N156" s="14">
        <f>INSTOCK!$I156*INSTOCK!$K156</f>
        <v>1576</v>
      </c>
      <c r="O156" s="4"/>
      <c r="P156" s="4"/>
    </row>
    <row r="157" ht="15.75" hidden="1" customHeight="1">
      <c r="B157" s="8">
        <v>155.0</v>
      </c>
      <c r="C157" s="9">
        <v>43199.0</v>
      </c>
      <c r="D157" s="6" t="s">
        <v>15</v>
      </c>
      <c r="E157" s="4"/>
      <c r="F157" s="8"/>
      <c r="G157" s="4"/>
      <c r="H157" s="10" t="s">
        <v>170</v>
      </c>
      <c r="I157" s="10">
        <v>76.0</v>
      </c>
      <c r="J157" s="11" t="str">
        <f>IF(D157&lt;&gt;"",VLOOKUP(H157,TABLEITEM,5,FALSE),"")</f>
        <v>M</v>
      </c>
      <c r="K157" s="16">
        <v>9.0</v>
      </c>
      <c r="L157" s="13" t="str">
        <f>IF(D157&lt;&gt;"",VLOOKUP(H157,TABLEITEM,2,FALSE),"")</f>
        <v/>
      </c>
      <c r="M157" s="13" t="str">
        <f>IF(D157&lt;&gt;"",VLOOKUP(H157,TABLEITEM,3,FALSE),"")</f>
        <v>ไส้ไก่ NO.12</v>
      </c>
      <c r="N157" s="14">
        <f>INSTOCK!$I157*INSTOCK!$K157</f>
        <v>684</v>
      </c>
      <c r="O157" s="4"/>
      <c r="P157" s="4"/>
    </row>
    <row r="158" ht="15.75" hidden="1" customHeight="1">
      <c r="B158" s="8">
        <v>156.0</v>
      </c>
      <c r="C158" s="9">
        <v>43199.0</v>
      </c>
      <c r="D158" s="6" t="s">
        <v>15</v>
      </c>
      <c r="E158" s="4"/>
      <c r="F158" s="8"/>
      <c r="G158" s="4"/>
      <c r="H158" s="10" t="s">
        <v>171</v>
      </c>
      <c r="I158" s="10">
        <v>190.0</v>
      </c>
      <c r="J158" s="11" t="str">
        <f>IF(D158&lt;&gt;"",VLOOKUP(H158,TABLEITEM,5,FALSE),"")</f>
        <v>M</v>
      </c>
      <c r="K158" s="16">
        <v>12.0</v>
      </c>
      <c r="L158" s="13" t="str">
        <f>IF(D158&lt;&gt;"",VLOOKUP(H158,TABLEITEM,2,FALSE),"")</f>
        <v/>
      </c>
      <c r="M158" s="13" t="str">
        <f>IF(D158&lt;&gt;"",VLOOKUP(H158,TABLEITEM,3,FALSE),"")</f>
        <v>ไส้ไก่ NO.15</v>
      </c>
      <c r="N158" s="14">
        <f>INSTOCK!$I158*INSTOCK!$K158</f>
        <v>2280</v>
      </c>
      <c r="O158" s="4"/>
      <c r="P158" s="4"/>
    </row>
    <row r="159" ht="15.75" hidden="1" customHeight="1">
      <c r="B159" s="8">
        <v>157.0</v>
      </c>
      <c r="C159" s="9">
        <v>43199.0</v>
      </c>
      <c r="D159" s="6" t="s">
        <v>15</v>
      </c>
      <c r="E159" s="4"/>
      <c r="F159" s="8"/>
      <c r="G159" s="4"/>
      <c r="H159" s="10" t="s">
        <v>172</v>
      </c>
      <c r="I159" s="10">
        <v>68.0</v>
      </c>
      <c r="J159" s="11" t="str">
        <f>IF(D159&lt;&gt;"",VLOOKUP(H159,TABLEITEM,5,FALSE),"")</f>
        <v>M</v>
      </c>
      <c r="K159" s="12">
        <v>19.0</v>
      </c>
      <c r="L159" s="13" t="str">
        <f>IF(D159&lt;&gt;"",VLOOKUP(H159,TABLEITEM,2,FALSE),"")</f>
        <v/>
      </c>
      <c r="M159" s="13" t="str">
        <f>IF(D159&lt;&gt;"",VLOOKUP(H159,TABLEITEM,3,FALSE),"")</f>
        <v>ไส้ไก่ NO.19</v>
      </c>
      <c r="N159" s="14">
        <f>INSTOCK!$I159*INSTOCK!$K159</f>
        <v>1292</v>
      </c>
      <c r="O159" s="4"/>
      <c r="P159" s="4"/>
    </row>
    <row r="160" ht="15.75" hidden="1" customHeight="1">
      <c r="B160" s="8">
        <v>158.0</v>
      </c>
      <c r="C160" s="9">
        <v>43199.0</v>
      </c>
      <c r="D160" s="6" t="s">
        <v>15</v>
      </c>
      <c r="E160" s="4"/>
      <c r="F160" s="8"/>
      <c r="G160" s="4"/>
      <c r="H160" s="10" t="s">
        <v>173</v>
      </c>
      <c r="I160" s="10">
        <v>1500.0</v>
      </c>
      <c r="J160" s="11" t="str">
        <f>IF(D160&lt;&gt;"",VLOOKUP(H160,TABLEITEM,5,FALSE),"")</f>
        <v>EA</v>
      </c>
      <c r="K160" s="12">
        <v>2.0</v>
      </c>
      <c r="L160" s="13" t="str">
        <f>IF(D160&lt;&gt;"",VLOOKUP(H160,TABLEITEM,2,FALSE),"")</f>
        <v/>
      </c>
      <c r="M160" s="13" t="str">
        <f>IF(D160&lt;&gt;"",VLOOKUP(H160,TABLEITEM,3,FALSE),"")</f>
        <v>แป้นกาวเล็กTM2121-4WP</v>
      </c>
      <c r="N160" s="14">
        <f>INSTOCK!$I160*INSTOCK!$K160</f>
        <v>3000</v>
      </c>
      <c r="O160" s="4"/>
      <c r="P160" s="4"/>
    </row>
    <row r="161" ht="15.75" hidden="1" customHeight="1">
      <c r="B161" s="8">
        <v>159.0</v>
      </c>
      <c r="C161" s="9">
        <v>43199.0</v>
      </c>
      <c r="D161" s="6" t="s">
        <v>15</v>
      </c>
      <c r="E161" s="4"/>
      <c r="F161" s="8"/>
      <c r="G161" s="4"/>
      <c r="H161" s="10" t="s">
        <v>174</v>
      </c>
      <c r="I161" s="10">
        <v>1200.0</v>
      </c>
      <c r="J161" s="11" t="str">
        <f>IF(D161&lt;&gt;"",VLOOKUP(H161,TABLEITEM,5,FALSE),"")</f>
        <v>EA</v>
      </c>
      <c r="K161" s="12">
        <v>3.0</v>
      </c>
      <c r="L161" s="13" t="str">
        <f>IF(D161&lt;&gt;"",VLOOKUP(H161,TABLEITEM,2,FALSE),"")</f>
        <v/>
      </c>
      <c r="M161" s="13" t="str">
        <f>IF(D161&lt;&gt;"",VLOOKUP(H161,TABLEITEM,3,FALSE),"")</f>
        <v>แป้นกาวใหญ่TM2828-4WP</v>
      </c>
      <c r="N161" s="14">
        <f>INSTOCK!$I161*INSTOCK!$K161</f>
        <v>3600</v>
      </c>
      <c r="O161" s="4"/>
      <c r="P161" s="4"/>
    </row>
    <row r="162" ht="15.75" hidden="1" customHeight="1">
      <c r="B162" s="8">
        <v>160.0</v>
      </c>
      <c r="C162" s="9">
        <v>43199.0</v>
      </c>
      <c r="D162" s="6" t="s">
        <v>15</v>
      </c>
      <c r="E162" s="4"/>
      <c r="F162" s="8"/>
      <c r="G162" s="4"/>
      <c r="H162" s="10" t="s">
        <v>175</v>
      </c>
      <c r="I162" s="10">
        <v>700.0</v>
      </c>
      <c r="J162" s="11" t="str">
        <f>IF(D162&lt;&gt;"",VLOOKUP(H162,TABLEITEM,5,FALSE),"")</f>
        <v>EA</v>
      </c>
      <c r="K162" s="12">
        <v>1.68</v>
      </c>
      <c r="L162" s="13" t="str">
        <f>IF(D162&lt;&gt;"",VLOOKUP(H162,TABLEITEM,2,FALSE),"")</f>
        <v/>
      </c>
      <c r="M162" s="13" t="str">
        <f>IF(D162&lt;&gt;"",VLOOKUP(H162,TABLEITEM,3,FALSE),"")</f>
        <v>แป้นกาวญี่ปุ่นHC-2</v>
      </c>
      <c r="N162" s="14">
        <f>INSTOCK!$I162*INSTOCK!$K162</f>
        <v>1176</v>
      </c>
      <c r="O162" s="4"/>
      <c r="P162" s="4"/>
    </row>
    <row r="163" ht="15.75" hidden="1" customHeight="1">
      <c r="B163" s="8">
        <v>161.0</v>
      </c>
      <c r="C163" s="9">
        <v>43199.0</v>
      </c>
      <c r="D163" s="6" t="s">
        <v>15</v>
      </c>
      <c r="E163" s="4"/>
      <c r="F163" s="8"/>
      <c r="G163" s="4"/>
      <c r="H163" s="10" t="s">
        <v>176</v>
      </c>
      <c r="I163" s="10">
        <v>400.0</v>
      </c>
      <c r="J163" s="11" t="str">
        <f>IF(D163&lt;&gt;"",VLOOKUP(H163,TABLEITEM,5,FALSE),"")</f>
        <v>EA</v>
      </c>
      <c r="K163" s="12">
        <v>1.18</v>
      </c>
      <c r="L163" s="13" t="str">
        <f>IF(D163&lt;&gt;"",VLOOKUP(H163,TABLEITEM,2,FALSE),"")</f>
        <v/>
      </c>
      <c r="M163" s="13" t="str">
        <f>IF(D163&lt;&gt;"",VLOOKUP(H163,TABLEITEM,3,FALSE),"")</f>
        <v>หมวกสวมเล็ก</v>
      </c>
      <c r="N163" s="14">
        <f>INSTOCK!$I163*INSTOCK!$K163</f>
        <v>472</v>
      </c>
      <c r="O163" s="4"/>
      <c r="P163" s="4"/>
    </row>
    <row r="164" ht="15.75" hidden="1" customHeight="1">
      <c r="B164" s="8">
        <v>162.0</v>
      </c>
      <c r="C164" s="9">
        <v>43199.0</v>
      </c>
      <c r="D164" s="6" t="s">
        <v>15</v>
      </c>
      <c r="E164" s="4"/>
      <c r="F164" s="8"/>
      <c r="G164" s="4"/>
      <c r="H164" s="10" t="s">
        <v>177</v>
      </c>
      <c r="I164" s="10">
        <v>760.0</v>
      </c>
      <c r="J164" s="11" t="str">
        <f>IF(D164&lt;&gt;"",VLOOKUP(H164,TABLEITEM,5,FALSE),"")</f>
        <v>EA</v>
      </c>
      <c r="K164" s="12">
        <v>2.38</v>
      </c>
      <c r="L164" s="13" t="str">
        <f>IF(D164&lt;&gt;"",VLOOKUP(H164,TABLEITEM,2,FALSE),"")</f>
        <v/>
      </c>
      <c r="M164" s="13" t="str">
        <f>IF(D164&lt;&gt;"",VLOOKUP(H164,TABLEITEM,3,FALSE),"")</f>
        <v>หมวกสวมใหญ่</v>
      </c>
      <c r="N164" s="14">
        <f>INSTOCK!$I164*INSTOCK!$K164</f>
        <v>1808.8</v>
      </c>
      <c r="O164" s="4"/>
      <c r="P164" s="4"/>
    </row>
    <row r="165" ht="15.75" hidden="1" customHeight="1">
      <c r="B165" s="8">
        <v>163.0</v>
      </c>
      <c r="C165" s="9">
        <v>43199.0</v>
      </c>
      <c r="D165" s="6" t="s">
        <v>15</v>
      </c>
      <c r="E165" s="4"/>
      <c r="F165" s="8"/>
      <c r="G165" s="4"/>
      <c r="H165" s="10" t="s">
        <v>178</v>
      </c>
      <c r="I165" s="10">
        <v>61.0</v>
      </c>
      <c r="J165" s="11" t="str">
        <f>IF(D165&lt;&gt;"",VLOOKUP(H165,TABLEITEM,5,FALSE),"")</f>
        <v>EA</v>
      </c>
      <c r="K165" s="12">
        <v>12.5</v>
      </c>
      <c r="L165" s="13" t="str">
        <f>IF(D165&lt;&gt;"",VLOOKUP(H165,TABLEITEM,2,FALSE),"")</f>
        <v/>
      </c>
      <c r="M165" s="13" t="str">
        <f>IF(D165&lt;&gt;"",VLOOKUP(H165,TABLEITEM,3,FALSE),"")</f>
        <v>เคเบิ้ลแกรนด์ PG11</v>
      </c>
      <c r="N165" s="14">
        <f>INSTOCK!$I165*INSTOCK!$K165</f>
        <v>762.5</v>
      </c>
      <c r="O165" s="4"/>
      <c r="P165" s="4"/>
    </row>
    <row r="166" ht="15.75" hidden="1" customHeight="1">
      <c r="B166" s="8">
        <v>164.0</v>
      </c>
      <c r="C166" s="9">
        <v>43199.0</v>
      </c>
      <c r="D166" s="6" t="s">
        <v>15</v>
      </c>
      <c r="E166" s="4"/>
      <c r="F166" s="8"/>
      <c r="G166" s="4"/>
      <c r="H166" s="10" t="s">
        <v>179</v>
      </c>
      <c r="I166" s="10">
        <v>13.0</v>
      </c>
      <c r="J166" s="11" t="str">
        <f>IF(D166&lt;&gt;"",VLOOKUP(H166,TABLEITEM,5,FALSE),"")</f>
        <v>EA</v>
      </c>
      <c r="K166" s="12">
        <v>13.5</v>
      </c>
      <c r="L166" s="13" t="str">
        <f>IF(D166&lt;&gt;"",VLOOKUP(H166,TABLEITEM,2,FALSE),"")</f>
        <v/>
      </c>
      <c r="M166" s="13" t="str">
        <f>IF(D166&lt;&gt;"",VLOOKUP(H166,TABLEITEM,3,FALSE),"")</f>
        <v>เคเบิ้ลแกรนด์ PG13</v>
      </c>
      <c r="N166" s="14">
        <f>INSTOCK!$I166*INSTOCK!$K166</f>
        <v>175.5</v>
      </c>
      <c r="O166" s="4"/>
      <c r="P166" s="4"/>
    </row>
    <row r="167" ht="15.75" hidden="1" customHeight="1">
      <c r="B167" s="8">
        <v>165.0</v>
      </c>
      <c r="C167" s="9">
        <v>43199.0</v>
      </c>
      <c r="D167" s="6" t="s">
        <v>15</v>
      </c>
      <c r="E167" s="4"/>
      <c r="F167" s="8"/>
      <c r="G167" s="4"/>
      <c r="H167" s="10" t="s">
        <v>180</v>
      </c>
      <c r="I167" s="10">
        <v>50.0</v>
      </c>
      <c r="J167" s="11" t="str">
        <f>IF(D167&lt;&gt;"",VLOOKUP(H167,TABLEITEM,5,FALSE),"")</f>
        <v>EA</v>
      </c>
      <c r="K167" s="12">
        <v>14.0</v>
      </c>
      <c r="L167" s="13" t="str">
        <f>IF(D167&lt;&gt;"",VLOOKUP(H167,TABLEITEM,2,FALSE),"")</f>
        <v/>
      </c>
      <c r="M167" s="13" t="str">
        <f>IF(D167&lt;&gt;"",VLOOKUP(H167,TABLEITEM,3,FALSE),"")</f>
        <v>เคเบิ้ลแกรนด์ PG16</v>
      </c>
      <c r="N167" s="14">
        <f>INSTOCK!$I167*INSTOCK!$K167</f>
        <v>700</v>
      </c>
      <c r="O167" s="4"/>
      <c r="P167" s="4"/>
    </row>
    <row r="168" ht="15.75" hidden="1" customHeight="1">
      <c r="B168" s="8">
        <v>166.0</v>
      </c>
      <c r="C168" s="9">
        <v>43199.0</v>
      </c>
      <c r="D168" s="6" t="s">
        <v>15</v>
      </c>
      <c r="E168" s="4"/>
      <c r="F168" s="8"/>
      <c r="G168" s="4"/>
      <c r="H168" s="10" t="s">
        <v>181</v>
      </c>
      <c r="I168" s="10">
        <v>30.0</v>
      </c>
      <c r="J168" s="11" t="str">
        <f>IF(D168&lt;&gt;"",VLOOKUP(H168,TABLEITEM,5,FALSE),"")</f>
        <v>EA</v>
      </c>
      <c r="K168" s="12">
        <v>24.0</v>
      </c>
      <c r="L168" s="13" t="str">
        <f>IF(D168&lt;&gt;"",VLOOKUP(H168,TABLEITEM,2,FALSE),"")</f>
        <v/>
      </c>
      <c r="M168" s="13" t="str">
        <f>IF(D168&lt;&gt;"",VLOOKUP(H168,TABLEITEM,3,FALSE),"")</f>
        <v>เคเบิ้ลแกรนด์ PG21</v>
      </c>
      <c r="N168" s="14">
        <f>INSTOCK!$I168*INSTOCK!$K168</f>
        <v>720</v>
      </c>
      <c r="O168" s="4"/>
      <c r="P168" s="4"/>
    </row>
    <row r="169" ht="15.75" hidden="1" customHeight="1">
      <c r="B169" s="8">
        <v>167.0</v>
      </c>
      <c r="C169" s="9">
        <v>43199.0</v>
      </c>
      <c r="D169" s="6" t="s">
        <v>15</v>
      </c>
      <c r="E169" s="4"/>
      <c r="F169" s="8"/>
      <c r="G169" s="4"/>
      <c r="H169" s="10" t="s">
        <v>182</v>
      </c>
      <c r="I169" s="10">
        <v>0.0</v>
      </c>
      <c r="J169" s="11" t="str">
        <f>IF(D169&lt;&gt;"",VLOOKUP(H169,TABLEITEM,5,FALSE),"")</f>
        <v>EA</v>
      </c>
      <c r="K169" s="12"/>
      <c r="L169" s="13" t="str">
        <f>IF(D169&lt;&gt;"",VLOOKUP(H169,TABLEITEM,2,FALSE),"")</f>
        <v/>
      </c>
      <c r="M169" s="13" t="str">
        <f>IF(D169&lt;&gt;"",VLOOKUP(H169,TABLEITEM,3,FALSE),"")</f>
        <v>โฮปลั๊ก 10 มิล</v>
      </c>
      <c r="N169" s="14">
        <f>INSTOCK!$I169*INSTOCK!$K169</f>
        <v>0</v>
      </c>
      <c r="O169" s="4"/>
      <c r="P169" s="4"/>
    </row>
    <row r="170" ht="15.75" hidden="1" customHeight="1">
      <c r="B170" s="8">
        <v>168.0</v>
      </c>
      <c r="C170" s="9">
        <v>43199.0</v>
      </c>
      <c r="D170" s="6" t="s">
        <v>15</v>
      </c>
      <c r="E170" s="4"/>
      <c r="F170" s="8"/>
      <c r="G170" s="4"/>
      <c r="H170" s="10" t="s">
        <v>183</v>
      </c>
      <c r="I170" s="10">
        <v>76.0</v>
      </c>
      <c r="J170" s="11" t="str">
        <f>IF(D170&lt;&gt;"",VLOOKUP(H170,TABLEITEM,5,FALSE),"")</f>
        <v>EA</v>
      </c>
      <c r="K170" s="12"/>
      <c r="L170" s="13" t="str">
        <f>IF(D170&lt;&gt;"",VLOOKUP(H170,TABLEITEM,2,FALSE),"")</f>
        <v/>
      </c>
      <c r="M170" s="13" t="str">
        <f>IF(D170&lt;&gt;"",VLOOKUP(H170,TABLEITEM,3,FALSE),"")</f>
        <v>โฮปลั๊ก 22 มิล</v>
      </c>
      <c r="N170" s="14">
        <f>INSTOCK!$I170*INSTOCK!$K170</f>
        <v>0</v>
      </c>
      <c r="O170" s="4"/>
      <c r="P170" s="4"/>
    </row>
    <row r="171" ht="15.75" hidden="1" customHeight="1">
      <c r="B171" s="8">
        <v>169.0</v>
      </c>
      <c r="C171" s="9">
        <v>43199.0</v>
      </c>
      <c r="D171" s="6" t="s">
        <v>15</v>
      </c>
      <c r="E171" s="4"/>
      <c r="F171" s="8"/>
      <c r="G171" s="4"/>
      <c r="H171" s="10" t="s">
        <v>184</v>
      </c>
      <c r="I171" s="10">
        <v>70.0</v>
      </c>
      <c r="J171" s="11" t="str">
        <f>IF(D171&lt;&gt;"",VLOOKUP(H171,TABLEITEM,5,FALSE),"")</f>
        <v>EA</v>
      </c>
      <c r="K171" s="12"/>
      <c r="L171" s="13" t="str">
        <f>IF(D171&lt;&gt;"",VLOOKUP(H171,TABLEITEM,2,FALSE),"")</f>
        <v/>
      </c>
      <c r="M171" s="13" t="str">
        <f>IF(D171&lt;&gt;"",VLOOKUP(H171,TABLEITEM,3,FALSE),"")</f>
        <v>โฮปลั๊ก 25 มิล</v>
      </c>
      <c r="N171" s="14">
        <f>INSTOCK!$I171*INSTOCK!$K171</f>
        <v>0</v>
      </c>
      <c r="O171" s="4"/>
      <c r="P171" s="4"/>
    </row>
    <row r="172" ht="15.75" hidden="1" customHeight="1">
      <c r="B172" s="8">
        <v>170.0</v>
      </c>
      <c r="C172" s="9">
        <v>43199.0</v>
      </c>
      <c r="D172" s="6" t="s">
        <v>15</v>
      </c>
      <c r="E172" s="4"/>
      <c r="F172" s="8"/>
      <c r="G172" s="4"/>
      <c r="H172" s="10" t="s">
        <v>185</v>
      </c>
      <c r="I172" s="10">
        <v>52.0</v>
      </c>
      <c r="J172" s="11" t="str">
        <f>IF(D172&lt;&gt;"",VLOOKUP(H172,TABLEITEM,5,FALSE),"")</f>
        <v>EA</v>
      </c>
      <c r="K172" s="12"/>
      <c r="L172" s="13" t="str">
        <f>IF(D172&lt;&gt;"",VLOOKUP(H172,TABLEITEM,2,FALSE),"")</f>
        <v/>
      </c>
      <c r="M172" s="13" t="str">
        <f>IF(D172&lt;&gt;"",VLOOKUP(H172,TABLEITEM,3,FALSE),"")</f>
        <v>โฮปลั๊ก 30 มิล</v>
      </c>
      <c r="N172" s="14">
        <f>INSTOCK!$I172*INSTOCK!$K172</f>
        <v>0</v>
      </c>
      <c r="O172" s="4"/>
      <c r="P172" s="4"/>
    </row>
    <row r="173" ht="15.75" hidden="1" customHeight="1">
      <c r="B173" s="8">
        <v>171.0</v>
      </c>
      <c r="C173" s="9">
        <v>43199.0</v>
      </c>
      <c r="D173" s="6" t="s">
        <v>15</v>
      </c>
      <c r="E173" s="4"/>
      <c r="F173" s="8"/>
      <c r="G173" s="4"/>
      <c r="H173" s="10" t="s">
        <v>186</v>
      </c>
      <c r="I173" s="10">
        <v>909.0</v>
      </c>
      <c r="J173" s="11" t="str">
        <f>IF(D173&lt;&gt;"",VLOOKUP(H173,TABLEITEM,5,FALSE),"")</f>
        <v>EA</v>
      </c>
      <c r="K173" s="12">
        <v>8.0</v>
      </c>
      <c r="L173" s="13" t="str">
        <f>IF(D173&lt;&gt;"",VLOOKUP(H173,TABLEITEM,2,FALSE),"")</f>
        <v/>
      </c>
      <c r="M173" s="13" t="str">
        <f>IF(D173&lt;&gt;"",VLOOKUP(H173,TABLEITEM,3,FALSE),"")</f>
        <v>ซองเนมเพลท 20x65</v>
      </c>
      <c r="N173" s="14">
        <f>INSTOCK!$I173*INSTOCK!$K173</f>
        <v>7272</v>
      </c>
      <c r="O173" s="4"/>
      <c r="P173" s="4"/>
    </row>
    <row r="174" ht="15.75" hidden="1" customHeight="1">
      <c r="B174" s="8">
        <v>172.0</v>
      </c>
      <c r="C174" s="9">
        <v>43199.0</v>
      </c>
      <c r="D174" s="6" t="s">
        <v>15</v>
      </c>
      <c r="E174" s="4"/>
      <c r="F174" s="8"/>
      <c r="G174" s="4"/>
      <c r="H174" s="10" t="s">
        <v>187</v>
      </c>
      <c r="I174" s="10">
        <v>3087.0</v>
      </c>
      <c r="J174" s="11" t="str">
        <f>IF(D174&lt;&gt;"",VLOOKUP(H174,TABLEITEM,5,FALSE),"")</f>
        <v>EA</v>
      </c>
      <c r="K174" s="12">
        <v>1.0</v>
      </c>
      <c r="L174" s="13" t="str">
        <f>IF(D174&lt;&gt;"",VLOOKUP(H174,TABLEITEM,2,FALSE),"")</f>
        <v/>
      </c>
      <c r="M174" s="13" t="str">
        <f>IF(D174&lt;&gt;"",VLOOKUP(H174,TABLEITEM,3,FALSE),"")</f>
        <v>หมุดเนมเพลท</v>
      </c>
      <c r="N174" s="14">
        <f>INSTOCK!$I174*INSTOCK!$K174</f>
        <v>3087</v>
      </c>
      <c r="O174" s="4"/>
      <c r="P174" s="4"/>
    </row>
    <row r="175" ht="15.75" hidden="1" customHeight="1">
      <c r="B175" s="8">
        <v>173.0</v>
      </c>
      <c r="C175" s="9">
        <v>43199.0</v>
      </c>
      <c r="D175" s="6" t="s">
        <v>15</v>
      </c>
      <c r="E175" s="4"/>
      <c r="F175" s="8"/>
      <c r="G175" s="4"/>
      <c r="H175" s="10" t="s">
        <v>188</v>
      </c>
      <c r="I175" s="10">
        <v>1607.0</v>
      </c>
      <c r="J175" s="11" t="str">
        <f>IF(D175&lt;&gt;"",VLOOKUP(H175,TABLEITEM,5,FALSE),"")</f>
        <v>EA</v>
      </c>
      <c r="K175" s="12">
        <v>9.0</v>
      </c>
      <c r="L175" s="13" t="str">
        <f>IF(D175&lt;&gt;"",VLOOKUP(H175,TABLEITEM,2,FALSE),"")</f>
        <v/>
      </c>
      <c r="M175" s="13" t="str">
        <f>IF(D175&lt;&gt;"",VLOOKUP(H175,TABLEITEM,3,FALSE),"")</f>
        <v>TERMINAL BLOCK TX10</v>
      </c>
      <c r="N175" s="14">
        <f>INSTOCK!$I175*INSTOCK!$K175</f>
        <v>14463</v>
      </c>
      <c r="O175" s="4"/>
      <c r="P175" s="4"/>
    </row>
    <row r="176" ht="15.75" hidden="1" customHeight="1">
      <c r="B176" s="8">
        <v>174.0</v>
      </c>
      <c r="C176" s="9">
        <v>43199.0</v>
      </c>
      <c r="D176" s="6" t="s">
        <v>15</v>
      </c>
      <c r="E176" s="4"/>
      <c r="F176" s="8"/>
      <c r="G176" s="4"/>
      <c r="H176" s="10" t="s">
        <v>189</v>
      </c>
      <c r="I176" s="10">
        <v>286.0</v>
      </c>
      <c r="J176" s="11" t="str">
        <f>IF(D176&lt;&gt;"",VLOOKUP(H176,TABLEITEM,5,FALSE),"")</f>
        <v>EA</v>
      </c>
      <c r="K176" s="12">
        <v>5.0</v>
      </c>
      <c r="L176" s="13" t="str">
        <f>IF(D176&lt;&gt;"",VLOOKUP(H176,TABLEITEM,2,FALSE),"")</f>
        <v/>
      </c>
      <c r="M176" s="13" t="str">
        <f>IF(D176&lt;&gt;"",VLOOKUP(H176,TABLEITEM,3,FALSE),"")</f>
        <v>END PLATE TXA1</v>
      </c>
      <c r="N176" s="14">
        <f>INSTOCK!$I176*INSTOCK!$K176</f>
        <v>1430</v>
      </c>
      <c r="O176" s="4"/>
      <c r="P176" s="4"/>
    </row>
    <row r="177" ht="15.75" hidden="1" customHeight="1">
      <c r="B177" s="8">
        <v>175.0</v>
      </c>
      <c r="C177" s="9">
        <v>43199.0</v>
      </c>
      <c r="D177" s="6" t="s">
        <v>15</v>
      </c>
      <c r="E177" s="4"/>
      <c r="F177" s="8"/>
      <c r="G177" s="4"/>
      <c r="H177" s="10" t="s">
        <v>190</v>
      </c>
      <c r="I177" s="10">
        <v>630.0</v>
      </c>
      <c r="J177" s="11" t="str">
        <f>IF(D177&lt;&gt;"",VLOOKUP(H177,TABLEITEM,5,FALSE),"")</f>
        <v>EA</v>
      </c>
      <c r="K177" s="12">
        <v>11.5</v>
      </c>
      <c r="L177" s="13" t="str">
        <f>IF(D177&lt;&gt;"",VLOOKUP(H177,TABLEITEM,2,FALSE),"")</f>
        <v/>
      </c>
      <c r="M177" s="13" t="str">
        <f>IF(D177&lt;&gt;"",VLOOKUP(H177,TABLEITEM,3,FALSE),"")</f>
        <v>TERMINAL BLOCK TX20</v>
      </c>
      <c r="N177" s="14">
        <f>INSTOCK!$I177*INSTOCK!$K177</f>
        <v>7245</v>
      </c>
      <c r="O177" s="4"/>
      <c r="P177" s="4"/>
    </row>
    <row r="178" ht="15.75" hidden="1" customHeight="1">
      <c r="B178" s="8">
        <v>176.0</v>
      </c>
      <c r="C178" s="9">
        <v>43199.0</v>
      </c>
      <c r="D178" s="6" t="s">
        <v>15</v>
      </c>
      <c r="E178" s="4"/>
      <c r="F178" s="8"/>
      <c r="G178" s="4"/>
      <c r="H178" s="10" t="s">
        <v>191</v>
      </c>
      <c r="I178" s="10">
        <v>336.0</v>
      </c>
      <c r="J178" s="11" t="str">
        <f>IF(D178&lt;&gt;"",VLOOKUP(H178,TABLEITEM,5,FALSE),"")</f>
        <v>EA</v>
      </c>
      <c r="K178" s="12">
        <v>20.0</v>
      </c>
      <c r="L178" s="13" t="str">
        <f>IF(D178&lt;&gt;"",VLOOKUP(H178,TABLEITEM,2,FALSE),"")</f>
        <v/>
      </c>
      <c r="M178" s="13" t="str">
        <f>IF(D178&lt;&gt;"",VLOOKUP(H178,TABLEITEM,3,FALSE),"")</f>
        <v>TERMINAL BLOCK TX30</v>
      </c>
      <c r="N178" s="14">
        <f>INSTOCK!$I178*INSTOCK!$K178</f>
        <v>6720</v>
      </c>
      <c r="O178" s="4"/>
      <c r="P178" s="4"/>
    </row>
    <row r="179" ht="15.75" hidden="1" customHeight="1">
      <c r="B179" s="8">
        <v>177.0</v>
      </c>
      <c r="C179" s="9">
        <v>43199.0</v>
      </c>
      <c r="D179" s="6" t="s">
        <v>15</v>
      </c>
      <c r="E179" s="4"/>
      <c r="F179" s="8"/>
      <c r="G179" s="4"/>
      <c r="H179" s="10" t="s">
        <v>192</v>
      </c>
      <c r="I179" s="10">
        <v>146.0</v>
      </c>
      <c r="J179" s="11" t="str">
        <f>IF(D179&lt;&gt;"",VLOOKUP(H179,TABLEITEM,5,FALSE),"")</f>
        <v>EA</v>
      </c>
      <c r="K179" s="12">
        <v>6.86</v>
      </c>
      <c r="L179" s="13" t="str">
        <f>IF(D179&lt;&gt;"",VLOOKUP(H179,TABLEITEM,2,FALSE),"")</f>
        <v/>
      </c>
      <c r="M179" s="13" t="str">
        <f>IF(D179&lt;&gt;"",VLOOKUP(H179,TABLEITEM,3,FALSE),"")</f>
        <v>END PLATE TXA3</v>
      </c>
      <c r="N179" s="14">
        <f>INSTOCK!$I179*INSTOCK!$K179</f>
        <v>1001.56</v>
      </c>
      <c r="O179" s="4"/>
      <c r="P179" s="4"/>
    </row>
    <row r="180" ht="15.75" hidden="1" customHeight="1">
      <c r="B180" s="8">
        <v>178.0</v>
      </c>
      <c r="C180" s="9">
        <v>43199.0</v>
      </c>
      <c r="D180" s="6" t="s">
        <v>15</v>
      </c>
      <c r="E180" s="4"/>
      <c r="F180" s="8"/>
      <c r="G180" s="4"/>
      <c r="H180" s="10" t="s">
        <v>193</v>
      </c>
      <c r="I180" s="10">
        <v>186.0</v>
      </c>
      <c r="J180" s="11" t="str">
        <f>IF(D180&lt;&gt;"",VLOOKUP(H180,TABLEITEM,5,FALSE),"")</f>
        <v>EA</v>
      </c>
      <c r="K180" s="12">
        <v>35.0</v>
      </c>
      <c r="L180" s="13" t="str">
        <f>IF(D180&lt;&gt;"",VLOOKUP(H180,TABLEITEM,2,FALSE),"")</f>
        <v/>
      </c>
      <c r="M180" s="13" t="str">
        <f>IF(D180&lt;&gt;"",VLOOKUP(H180,TABLEITEM,3,FALSE),"")</f>
        <v>TERMINAL BLOCK TX60</v>
      </c>
      <c r="N180" s="14">
        <f>INSTOCK!$I180*INSTOCK!$K180</f>
        <v>6510</v>
      </c>
      <c r="O180" s="4"/>
      <c r="P180" s="4"/>
    </row>
    <row r="181" ht="15.75" hidden="1" customHeight="1">
      <c r="B181" s="8">
        <v>179.0</v>
      </c>
      <c r="C181" s="9">
        <v>43199.0</v>
      </c>
      <c r="D181" s="6" t="s">
        <v>15</v>
      </c>
      <c r="E181" s="4"/>
      <c r="F181" s="8"/>
      <c r="G181" s="4"/>
      <c r="H181" s="10" t="s">
        <v>194</v>
      </c>
      <c r="I181" s="10">
        <v>73.0</v>
      </c>
      <c r="J181" s="11" t="str">
        <f>IF(D181&lt;&gt;"",VLOOKUP(H181,TABLEITEM,5,FALSE),"")</f>
        <v>EA</v>
      </c>
      <c r="K181" s="12">
        <v>8.8</v>
      </c>
      <c r="L181" s="13" t="str">
        <f>IF(D181&lt;&gt;"",VLOOKUP(H181,TABLEITEM,2,FALSE),"")</f>
        <v/>
      </c>
      <c r="M181" s="13" t="str">
        <f>IF(D181&lt;&gt;"",VLOOKUP(H181,TABLEITEM,3,FALSE),"")</f>
        <v>END PLATE TXA6</v>
      </c>
      <c r="N181" s="14">
        <f>INSTOCK!$I181*INSTOCK!$K181</f>
        <v>642.4</v>
      </c>
      <c r="O181" s="4"/>
      <c r="P181" s="4"/>
    </row>
    <row r="182" ht="15.75" hidden="1" customHeight="1">
      <c r="B182" s="8">
        <v>180.0</v>
      </c>
      <c r="C182" s="9">
        <v>43199.0</v>
      </c>
      <c r="D182" s="6" t="s">
        <v>15</v>
      </c>
      <c r="E182" s="4"/>
      <c r="F182" s="8"/>
      <c r="G182" s="4"/>
      <c r="H182" s="10" t="s">
        <v>195</v>
      </c>
      <c r="I182" s="10">
        <v>57.0</v>
      </c>
      <c r="J182" s="11" t="str">
        <f>IF(D182&lt;&gt;"",VLOOKUP(H182,TABLEITEM,5,FALSE),"")</f>
        <v>EA</v>
      </c>
      <c r="K182" s="12">
        <v>75.0</v>
      </c>
      <c r="L182" s="13" t="str">
        <f>IF(D182&lt;&gt;"",VLOOKUP(H182,TABLEITEM,2,FALSE),"")</f>
        <v/>
      </c>
      <c r="M182" s="13" t="str">
        <f>IF(D182&lt;&gt;"",VLOOKUP(H182,TABLEITEM,3,FALSE),"")</f>
        <v>TERMINAL BLOCK TX100</v>
      </c>
      <c r="N182" s="14">
        <f>INSTOCK!$I182*INSTOCK!$K182</f>
        <v>4275</v>
      </c>
      <c r="O182" s="4"/>
      <c r="P182" s="4"/>
    </row>
    <row r="183" ht="15.75" hidden="1" customHeight="1">
      <c r="B183" s="8">
        <v>181.0</v>
      </c>
      <c r="C183" s="9">
        <v>43199.0</v>
      </c>
      <c r="D183" s="6" t="s">
        <v>15</v>
      </c>
      <c r="E183" s="4"/>
      <c r="F183" s="8"/>
      <c r="G183" s="4"/>
      <c r="H183" s="10" t="s">
        <v>196</v>
      </c>
      <c r="I183" s="10">
        <v>83.0</v>
      </c>
      <c r="J183" s="11" t="str">
        <f>IF(D183&lt;&gt;"",VLOOKUP(H183,TABLEITEM,5,FALSE),"")</f>
        <v>EA</v>
      </c>
      <c r="K183" s="12">
        <v>12.0</v>
      </c>
      <c r="L183" s="13" t="str">
        <f>IF(D183&lt;&gt;"",VLOOKUP(H183,TABLEITEM,2,FALSE),"")</f>
        <v/>
      </c>
      <c r="M183" s="13" t="str">
        <f>IF(D183&lt;&gt;"",VLOOKUP(H183,TABLEITEM,3,FALSE),"")</f>
        <v>END PLATE TXA10</v>
      </c>
      <c r="N183" s="14">
        <f>INSTOCK!$I183*INSTOCK!$K183</f>
        <v>996</v>
      </c>
      <c r="O183" s="4"/>
      <c r="P183" s="4"/>
    </row>
    <row r="184" ht="15.75" hidden="1" customHeight="1">
      <c r="B184" s="8">
        <v>182.0</v>
      </c>
      <c r="C184" s="9">
        <v>43199.0</v>
      </c>
      <c r="D184" s="6" t="s">
        <v>15</v>
      </c>
      <c r="E184" s="4"/>
      <c r="F184" s="8"/>
      <c r="G184" s="4"/>
      <c r="H184" s="10" t="s">
        <v>197</v>
      </c>
      <c r="I184" s="10">
        <v>25.0</v>
      </c>
      <c r="J184" s="11" t="str">
        <f>IF(D184&lt;&gt;"",VLOOKUP(H184,TABLEITEM,5,FALSE),"")</f>
        <v>EA</v>
      </c>
      <c r="K184" s="12">
        <v>105.0</v>
      </c>
      <c r="L184" s="13" t="str">
        <f>IF(D184&lt;&gt;"",VLOOKUP(H184,TABLEITEM,2,FALSE),"")</f>
        <v/>
      </c>
      <c r="M184" s="13" t="str">
        <f>IF(D184&lt;&gt;"",VLOOKUP(H184,TABLEITEM,3,FALSE),"")</f>
        <v>TERMINAL BLOCK TX150</v>
      </c>
      <c r="N184" s="14">
        <f>INSTOCK!$I184*INSTOCK!$K184</f>
        <v>2625</v>
      </c>
      <c r="O184" s="4"/>
      <c r="P184" s="4"/>
    </row>
    <row r="185" ht="15.75" hidden="1" customHeight="1">
      <c r="B185" s="8">
        <v>183.0</v>
      </c>
      <c r="C185" s="9">
        <v>43199.0</v>
      </c>
      <c r="D185" s="6" t="s">
        <v>15</v>
      </c>
      <c r="E185" s="4"/>
      <c r="F185" s="8"/>
      <c r="G185" s="4"/>
      <c r="H185" s="10" t="s">
        <v>198</v>
      </c>
      <c r="I185" s="10">
        <v>13.0</v>
      </c>
      <c r="J185" s="11" t="str">
        <f>IF(D185&lt;&gt;"",VLOOKUP(H185,TABLEITEM,5,FALSE),"")</f>
        <v>EA</v>
      </c>
      <c r="K185" s="12">
        <v>20.02</v>
      </c>
      <c r="L185" s="13" t="str">
        <f>IF(D185&lt;&gt;"",VLOOKUP(H185,TABLEITEM,2,FALSE),"")</f>
        <v/>
      </c>
      <c r="M185" s="13" t="str">
        <f>IF(D185&lt;&gt;"",VLOOKUP(H185,TABLEITEM,3,FALSE),"")</f>
        <v>END PLATE TXA15</v>
      </c>
      <c r="N185" s="14">
        <f>INSTOCK!$I185*INSTOCK!$K185</f>
        <v>260.26</v>
      </c>
      <c r="O185" s="4"/>
      <c r="P185" s="4"/>
    </row>
    <row r="186" ht="15.75" hidden="1" customHeight="1">
      <c r="B186" s="8">
        <v>184.0</v>
      </c>
      <c r="C186" s="9">
        <v>43199.0</v>
      </c>
      <c r="D186" s="6" t="s">
        <v>15</v>
      </c>
      <c r="E186" s="4"/>
      <c r="F186" s="8"/>
      <c r="G186" s="4"/>
      <c r="H186" s="10" t="s">
        <v>199</v>
      </c>
      <c r="I186" s="10">
        <v>12.0</v>
      </c>
      <c r="J186" s="11" t="str">
        <f>IF(D186&lt;&gt;"",VLOOKUP(H186,TABLEITEM,5,FALSE),"")</f>
        <v>EA</v>
      </c>
      <c r="K186" s="12">
        <v>177.31</v>
      </c>
      <c r="L186" s="13" t="str">
        <f>IF(D186&lt;&gt;"",VLOOKUP(H186,TABLEITEM,2,FALSE),"")</f>
        <v/>
      </c>
      <c r="M186" s="13" t="str">
        <f>IF(D186&lt;&gt;"",VLOOKUP(H186,TABLEITEM,3,FALSE),"")</f>
        <v>TERMINAL BLOCK TX200</v>
      </c>
      <c r="N186" s="14">
        <f>INSTOCK!$I186*INSTOCK!$K186</f>
        <v>2127.72</v>
      </c>
      <c r="O186" s="4"/>
      <c r="P186" s="4"/>
    </row>
    <row r="187" ht="15.75" hidden="1" customHeight="1">
      <c r="B187" s="8">
        <v>185.0</v>
      </c>
      <c r="C187" s="9">
        <v>43199.0</v>
      </c>
      <c r="D187" s="6" t="s">
        <v>15</v>
      </c>
      <c r="E187" s="4"/>
      <c r="F187" s="8"/>
      <c r="G187" s="4"/>
      <c r="H187" s="10" t="s">
        <v>200</v>
      </c>
      <c r="I187" s="10">
        <v>250.0</v>
      </c>
      <c r="J187" s="11" t="str">
        <f>IF(D187&lt;&gt;"",VLOOKUP(H187,TABLEITEM,5,FALSE),"")</f>
        <v>EA</v>
      </c>
      <c r="K187" s="12">
        <v>16.0</v>
      </c>
      <c r="L187" s="13" t="str">
        <f>IF(D187&lt;&gt;"",VLOOKUP(H187,TABLEITEM,2,FALSE),"")</f>
        <v/>
      </c>
      <c r="M187" s="13" t="str">
        <f>IF(D187&lt;&gt;"",VLOOKUP(H187,TABLEITEM,3,FALSE),"")</f>
        <v>STOPPER TXE2</v>
      </c>
      <c r="N187" s="14">
        <f>INSTOCK!$I187*INSTOCK!$K187</f>
        <v>4000</v>
      </c>
      <c r="O187" s="4"/>
      <c r="P187" s="4"/>
    </row>
    <row r="188" ht="15.75" hidden="1" customHeight="1">
      <c r="B188" s="8">
        <v>186.0</v>
      </c>
      <c r="C188" s="9">
        <v>43199.0</v>
      </c>
      <c r="D188" s="6" t="s">
        <v>15</v>
      </c>
      <c r="E188" s="4"/>
      <c r="F188" s="8"/>
      <c r="G188" s="4"/>
      <c r="H188" s="10" t="s">
        <v>201</v>
      </c>
      <c r="I188" s="10">
        <v>90.0</v>
      </c>
      <c r="J188" s="11" t="str">
        <f>IF(D188&lt;&gt;"",VLOOKUP(H188,TABLEITEM,5,FALSE),"")</f>
        <v>EA</v>
      </c>
      <c r="K188" s="12">
        <v>128.0</v>
      </c>
      <c r="L188" s="13" t="str">
        <f>IF(D188&lt;&gt;"",VLOOKUP(H188,TABLEITEM,2,FALSE),"")</f>
        <v/>
      </c>
      <c r="M188" s="13" t="str">
        <f>IF(D188&lt;&gt;"",VLOOKUP(H188,TABLEITEM,3,FALSE),"")</f>
        <v>รางวายดัก/รางPVC 25x25 mm.</v>
      </c>
      <c r="N188" s="14">
        <f>INSTOCK!$I188*INSTOCK!$K188</f>
        <v>11520</v>
      </c>
      <c r="O188" s="4"/>
      <c r="P188" s="4"/>
    </row>
    <row r="189" ht="15.75" hidden="1" customHeight="1">
      <c r="B189" s="8">
        <v>187.0</v>
      </c>
      <c r="C189" s="9">
        <v>43199.0</v>
      </c>
      <c r="D189" s="6" t="s">
        <v>15</v>
      </c>
      <c r="E189" s="4"/>
      <c r="F189" s="8"/>
      <c r="G189" s="4"/>
      <c r="H189" s="10" t="s">
        <v>202</v>
      </c>
      <c r="I189" s="10">
        <v>36.0</v>
      </c>
      <c r="J189" s="11" t="str">
        <f>IF(D189&lt;&gt;"",VLOOKUP(H189,TABLEITEM,5,FALSE),"")</f>
        <v>EA</v>
      </c>
      <c r="K189" s="12">
        <v>160.0</v>
      </c>
      <c r="L189" s="13" t="str">
        <f>IF(D189&lt;&gt;"",VLOOKUP(H189,TABLEITEM,2,FALSE),"")</f>
        <v/>
      </c>
      <c r="M189" s="13" t="str">
        <f>IF(D189&lt;&gt;"",VLOOKUP(H189,TABLEITEM,3,FALSE),"")</f>
        <v>รางวายดัก/รางPVC 25x45 mm.</v>
      </c>
      <c r="N189" s="14">
        <f>INSTOCK!$I189*INSTOCK!$K189</f>
        <v>5760</v>
      </c>
      <c r="O189" s="4"/>
      <c r="P189" s="4"/>
    </row>
    <row r="190" ht="15.75" hidden="1" customHeight="1">
      <c r="B190" s="8">
        <v>188.0</v>
      </c>
      <c r="C190" s="9">
        <v>43199.0</v>
      </c>
      <c r="D190" s="6" t="s">
        <v>15</v>
      </c>
      <c r="E190" s="4"/>
      <c r="F190" s="8"/>
      <c r="G190" s="4"/>
      <c r="H190" s="10" t="s">
        <v>203</v>
      </c>
      <c r="I190" s="10">
        <v>36.0</v>
      </c>
      <c r="J190" s="11" t="str">
        <f>IF(D190&lt;&gt;"",VLOOKUP(H190,TABLEITEM,5,FALSE),"")</f>
        <v>EA</v>
      </c>
      <c r="K190" s="12">
        <v>160.0</v>
      </c>
      <c r="L190" s="13" t="str">
        <f>IF(D190&lt;&gt;"",VLOOKUP(H190,TABLEITEM,2,FALSE),"")</f>
        <v/>
      </c>
      <c r="M190" s="13" t="str">
        <f>IF(D190&lt;&gt;"",VLOOKUP(H190,TABLEITEM,3,FALSE),"")</f>
        <v>รางวายดัก/รางPVC 33x33 mm.</v>
      </c>
      <c r="N190" s="14">
        <f>INSTOCK!$I190*INSTOCK!$K190</f>
        <v>5760</v>
      </c>
      <c r="O190" s="4"/>
      <c r="P190" s="4"/>
    </row>
    <row r="191" ht="15.75" hidden="1" customHeight="1">
      <c r="B191" s="8">
        <v>189.0</v>
      </c>
      <c r="C191" s="9">
        <v>43199.0</v>
      </c>
      <c r="D191" s="6" t="s">
        <v>15</v>
      </c>
      <c r="E191" s="4"/>
      <c r="F191" s="8"/>
      <c r="G191" s="4"/>
      <c r="H191" s="10" t="s">
        <v>204</v>
      </c>
      <c r="I191" s="10">
        <v>23.0</v>
      </c>
      <c r="J191" s="11" t="str">
        <f>IF(D191&lt;&gt;"",VLOOKUP(H191,TABLEITEM,5,FALSE),"")</f>
        <v>EA</v>
      </c>
      <c r="K191" s="12">
        <v>176.0</v>
      </c>
      <c r="L191" s="13" t="str">
        <f>IF(D191&lt;&gt;"",VLOOKUP(H191,TABLEITEM,2,FALSE),"")</f>
        <v/>
      </c>
      <c r="M191" s="13" t="str">
        <f>IF(D191&lt;&gt;"",VLOOKUP(H191,TABLEITEM,3,FALSE),"")</f>
        <v>รางวายดัก/รางPVC 33x45 mm.</v>
      </c>
      <c r="N191" s="14">
        <f>INSTOCK!$I191*INSTOCK!$K191</f>
        <v>4048</v>
      </c>
      <c r="O191" s="4"/>
      <c r="P191" s="4"/>
    </row>
    <row r="192" ht="15.75" hidden="1" customHeight="1">
      <c r="B192" s="8">
        <v>190.0</v>
      </c>
      <c r="C192" s="9">
        <v>43199.0</v>
      </c>
      <c r="D192" s="6" t="s">
        <v>15</v>
      </c>
      <c r="E192" s="4"/>
      <c r="F192" s="8"/>
      <c r="G192" s="4"/>
      <c r="H192" s="10" t="s">
        <v>205</v>
      </c>
      <c r="I192" s="10">
        <v>55.0</v>
      </c>
      <c r="J192" s="11" t="str">
        <f>IF(D192&lt;&gt;"",VLOOKUP(H192,TABLEITEM,5,FALSE),"")</f>
        <v>EA</v>
      </c>
      <c r="K192" s="12">
        <v>270.0</v>
      </c>
      <c r="L192" s="13" t="str">
        <f>IF(D192&lt;&gt;"",VLOOKUP(H192,TABLEITEM,2,FALSE),"")</f>
        <v/>
      </c>
      <c r="M192" s="13" t="str">
        <f>IF(D192&lt;&gt;"",VLOOKUP(H192,TABLEITEM,3,FALSE),"")</f>
        <v>รางวายดัก/รางPVC 33x65 mm.</v>
      </c>
      <c r="N192" s="14">
        <f>INSTOCK!$I192*INSTOCK!$K192</f>
        <v>14850</v>
      </c>
      <c r="O192" s="4"/>
      <c r="P192" s="4"/>
    </row>
    <row r="193" ht="15.75" hidden="1" customHeight="1">
      <c r="B193" s="8">
        <v>191.0</v>
      </c>
      <c r="C193" s="9">
        <v>43199.0</v>
      </c>
      <c r="D193" s="6" t="s">
        <v>15</v>
      </c>
      <c r="E193" s="4"/>
      <c r="F193" s="8"/>
      <c r="G193" s="4"/>
      <c r="H193" s="10" t="s">
        <v>206</v>
      </c>
      <c r="I193" s="10">
        <v>30.0</v>
      </c>
      <c r="J193" s="11" t="str">
        <f>IF(D193&lt;&gt;"",VLOOKUP(H193,TABLEITEM,5,FALSE),"")</f>
        <v>EA</v>
      </c>
      <c r="K193" s="12">
        <v>252.0</v>
      </c>
      <c r="L193" s="13" t="str">
        <f>IF(D193&lt;&gt;"",VLOOKUP(H193,TABLEITEM,2,FALSE),"")</f>
        <v/>
      </c>
      <c r="M193" s="13" t="str">
        <f>IF(D193&lt;&gt;"",VLOOKUP(H193,TABLEITEM,3,FALSE),"")</f>
        <v>รางวายดัก/รางPVC 45x45 mm.</v>
      </c>
      <c r="N193" s="14">
        <f>INSTOCK!$I193*INSTOCK!$K193</f>
        <v>7560</v>
      </c>
      <c r="O193" s="4"/>
      <c r="P193" s="4"/>
    </row>
    <row r="194" ht="15.75" hidden="1" customHeight="1">
      <c r="B194" s="8">
        <v>192.0</v>
      </c>
      <c r="C194" s="9">
        <v>43199.0</v>
      </c>
      <c r="D194" s="6" t="s">
        <v>15</v>
      </c>
      <c r="E194" s="4"/>
      <c r="F194" s="8"/>
      <c r="G194" s="4"/>
      <c r="H194" s="10" t="s">
        <v>207</v>
      </c>
      <c r="I194" s="10">
        <v>30.0</v>
      </c>
      <c r="J194" s="11" t="str">
        <f>IF(D194&lt;&gt;"",VLOOKUP(H194,TABLEITEM,5,FALSE),"")</f>
        <v>EA</v>
      </c>
      <c r="K194" s="12">
        <v>290.0</v>
      </c>
      <c r="L194" s="13" t="str">
        <f>IF(D194&lt;&gt;"",VLOOKUP(H194,TABLEITEM,2,FALSE),"")</f>
        <v/>
      </c>
      <c r="M194" s="13" t="str">
        <f>IF(D194&lt;&gt;"",VLOOKUP(H194,TABLEITEM,3,FALSE),"")</f>
        <v>รางวายดัก/รางPVC 45x65 mm.</v>
      </c>
      <c r="N194" s="14">
        <f>INSTOCK!$I194*INSTOCK!$K194</f>
        <v>8700</v>
      </c>
      <c r="O194" s="4"/>
      <c r="P194" s="4"/>
    </row>
    <row r="195" ht="15.75" hidden="1" customHeight="1">
      <c r="B195" s="8">
        <v>193.0</v>
      </c>
      <c r="C195" s="9">
        <v>43199.0</v>
      </c>
      <c r="D195" s="6" t="s">
        <v>15</v>
      </c>
      <c r="E195" s="4"/>
      <c r="F195" s="8"/>
      <c r="G195" s="4"/>
      <c r="H195" s="10" t="s">
        <v>208</v>
      </c>
      <c r="I195" s="10">
        <v>16.0</v>
      </c>
      <c r="J195" s="11" t="str">
        <f>IF(D195&lt;&gt;"",VLOOKUP(H195,TABLEITEM,5,FALSE),"")</f>
        <v>EA</v>
      </c>
      <c r="K195" s="12">
        <v>324.0</v>
      </c>
      <c r="L195" s="13" t="str">
        <f>IF(D195&lt;&gt;"",VLOOKUP(H195,TABLEITEM,2,FALSE),"")</f>
        <v/>
      </c>
      <c r="M195" s="13" t="str">
        <f>IF(D195&lt;&gt;"",VLOOKUP(H195,TABLEITEM,3,FALSE),"")</f>
        <v>รางวายดัก/รางPVC 65x65 mm.</v>
      </c>
      <c r="N195" s="14">
        <f>INSTOCK!$I195*INSTOCK!$K195</f>
        <v>5184</v>
      </c>
      <c r="O195" s="4"/>
      <c r="P195" s="4"/>
    </row>
    <row r="196" ht="15.75" hidden="1" customHeight="1">
      <c r="B196" s="8">
        <v>194.0</v>
      </c>
      <c r="C196" s="9">
        <v>43199.0</v>
      </c>
      <c r="D196" s="6" t="s">
        <v>15</v>
      </c>
      <c r="E196" s="4"/>
      <c r="F196" s="8"/>
      <c r="G196" s="4"/>
      <c r="H196" s="10" t="s">
        <v>209</v>
      </c>
      <c r="I196" s="10">
        <v>18.0</v>
      </c>
      <c r="J196" s="11" t="str">
        <f>IF(D196&lt;&gt;"",VLOOKUP(H196,TABLEITEM,5,FALSE),"")</f>
        <v>EA</v>
      </c>
      <c r="K196" s="12">
        <v>715.0</v>
      </c>
      <c r="L196" s="13" t="str">
        <f>IF(D196&lt;&gt;"",VLOOKUP(H196,TABLEITEM,2,FALSE),"")</f>
        <v/>
      </c>
      <c r="M196" s="13" t="str">
        <f>IF(D196&lt;&gt;"",VLOOKUP(H196,TABLEITEM,3,FALSE),"")</f>
        <v>รางวายดัก/รางPVC 80x80 mm.</v>
      </c>
      <c r="N196" s="14">
        <f>INSTOCK!$I196*INSTOCK!$K196</f>
        <v>12870</v>
      </c>
      <c r="O196" s="4"/>
      <c r="P196" s="4"/>
    </row>
    <row r="197" ht="15.75" hidden="1" customHeight="1">
      <c r="B197" s="8">
        <v>195.0</v>
      </c>
      <c r="C197" s="9">
        <v>43199.0</v>
      </c>
      <c r="D197" s="6" t="s">
        <v>15</v>
      </c>
      <c r="E197" s="4"/>
      <c r="F197" s="8"/>
      <c r="G197" s="4"/>
      <c r="H197" s="10" t="s">
        <v>210</v>
      </c>
      <c r="I197" s="10">
        <v>8.0</v>
      </c>
      <c r="J197" s="11" t="str">
        <f>IF(D197&lt;&gt;"",VLOOKUP(H197,TABLEITEM,5,FALSE),"")</f>
        <v>EA</v>
      </c>
      <c r="K197" s="12">
        <v>1150.0</v>
      </c>
      <c r="L197" s="13" t="str">
        <f>IF(D197&lt;&gt;"",VLOOKUP(H197,TABLEITEM,2,FALSE),"")</f>
        <v/>
      </c>
      <c r="M197" s="13" t="str">
        <f>IF(D197&lt;&gt;"",VLOOKUP(H197,TABLEITEM,3,FALSE),"")</f>
        <v>รางวายดัก/รางPVC 100x80 mm.</v>
      </c>
      <c r="N197" s="14">
        <f>INSTOCK!$I197*INSTOCK!$K197</f>
        <v>9200</v>
      </c>
      <c r="O197" s="4"/>
      <c r="P197" s="4"/>
    </row>
    <row r="198" ht="15.75" hidden="1" customHeight="1">
      <c r="B198" s="8">
        <v>196.0</v>
      </c>
      <c r="C198" s="9">
        <v>43199.0</v>
      </c>
      <c r="D198" s="6" t="s">
        <v>15</v>
      </c>
      <c r="E198" s="4"/>
      <c r="F198" s="8"/>
      <c r="G198" s="4"/>
      <c r="H198" s="10" t="s">
        <v>211</v>
      </c>
      <c r="I198" s="10">
        <v>42.0</v>
      </c>
      <c r="J198" s="11" t="str">
        <f>IF(D198&lt;&gt;"",VLOOKUP(H198,TABLEITEM,5,FALSE),"")</f>
        <v>EA</v>
      </c>
      <c r="K198" s="12">
        <v>117.0</v>
      </c>
      <c r="L198" s="13" t="str">
        <f>IF(D198&lt;&gt;"",VLOOKUP(H198,TABLEITEM,2,FALSE),"")</f>
        <v/>
      </c>
      <c r="M198" s="13" t="str">
        <f>IF(D198&lt;&gt;"",VLOOKUP(H198,TABLEITEM,3,FALSE),"")</f>
        <v>รางรีเลย์</v>
      </c>
      <c r="N198" s="14">
        <f>INSTOCK!$I198*INSTOCK!$K198</f>
        <v>4914</v>
      </c>
      <c r="O198" s="4"/>
      <c r="P198" s="4"/>
    </row>
    <row r="199" ht="15.75" hidden="1" customHeight="1">
      <c r="B199" s="8">
        <v>197.0</v>
      </c>
      <c r="C199" s="9">
        <v>43199.0</v>
      </c>
      <c r="D199" s="6" t="s">
        <v>15</v>
      </c>
      <c r="E199" s="4"/>
      <c r="F199" s="8"/>
      <c r="G199" s="4"/>
      <c r="H199" s="10" t="s">
        <v>212</v>
      </c>
      <c r="I199" s="10">
        <v>0.0</v>
      </c>
      <c r="J199" s="11" t="str">
        <f>IF(D199&lt;&gt;"",VLOOKUP(H199,TABLEITEM,5,FALSE),"")</f>
        <v>M</v>
      </c>
      <c r="K199" s="12"/>
      <c r="L199" s="13" t="str">
        <f>IF(D199&lt;&gt;"",VLOOKUP(H199,TABLEITEM,2,FALSE),"")</f>
        <v/>
      </c>
      <c r="M199" s="13" t="str">
        <f>IF(D199&lt;&gt;"",VLOOKUP(H199,TABLEITEM,3,FALSE),"")</f>
        <v>TUEB 2.5</v>
      </c>
      <c r="N199" s="14">
        <f>INSTOCK!$I199*INSTOCK!$K199</f>
        <v>0</v>
      </c>
      <c r="O199" s="4"/>
      <c r="P199" s="4"/>
    </row>
    <row r="200" ht="15.75" hidden="1" customHeight="1">
      <c r="B200" s="8">
        <v>198.0</v>
      </c>
      <c r="C200" s="9">
        <v>43199.0</v>
      </c>
      <c r="D200" s="6" t="s">
        <v>15</v>
      </c>
      <c r="E200" s="4"/>
      <c r="F200" s="8"/>
      <c r="G200" s="4"/>
      <c r="H200" s="10" t="s">
        <v>213</v>
      </c>
      <c r="I200" s="10">
        <v>600.0</v>
      </c>
      <c r="J200" s="11" t="str">
        <f>IF(D200&lt;&gt;"",VLOOKUP(H200,TABLEITEM,5,FALSE),"")</f>
        <v>M</v>
      </c>
      <c r="K200" s="12">
        <v>4.95</v>
      </c>
      <c r="L200" s="13" t="str">
        <f>IF(D200&lt;&gt;"",VLOOKUP(H200,TABLEITEM,2,FALSE),"")</f>
        <v/>
      </c>
      <c r="M200" s="13" t="str">
        <f>IF(D200&lt;&gt;"",VLOOKUP(H200,TABLEITEM,3,FALSE),"")</f>
        <v>TUEB 3.2</v>
      </c>
      <c r="N200" s="14">
        <f>INSTOCK!$I200*INSTOCK!$K200</f>
        <v>2970</v>
      </c>
      <c r="O200" s="4" t="s">
        <v>214</v>
      </c>
      <c r="P200" s="4"/>
    </row>
    <row r="201" ht="15.75" hidden="1" customHeight="1">
      <c r="B201" s="8">
        <v>199.0</v>
      </c>
      <c r="C201" s="9">
        <v>43199.0</v>
      </c>
      <c r="D201" s="6" t="s">
        <v>15</v>
      </c>
      <c r="E201" s="4"/>
      <c r="F201" s="8"/>
      <c r="G201" s="4"/>
      <c r="H201" s="10" t="s">
        <v>215</v>
      </c>
      <c r="I201" s="10">
        <v>600.0</v>
      </c>
      <c r="J201" s="11" t="str">
        <f>IF(D201&lt;&gt;"",VLOOKUP(H201,TABLEITEM,5,FALSE),"")</f>
        <v>M</v>
      </c>
      <c r="K201" s="12">
        <v>5.9175</v>
      </c>
      <c r="L201" s="13" t="str">
        <f>IF(D201&lt;&gt;"",VLOOKUP(H201,TABLEITEM,2,FALSE),"")</f>
        <v/>
      </c>
      <c r="M201" s="13" t="str">
        <f>IF(D201&lt;&gt;"",VLOOKUP(H201,TABLEITEM,3,FALSE),"")</f>
        <v>TUBE 3.6</v>
      </c>
      <c r="N201" s="14">
        <f>INSTOCK!$I201*INSTOCK!$K201</f>
        <v>3550.5</v>
      </c>
      <c r="O201" s="4" t="s">
        <v>216</v>
      </c>
      <c r="P201" s="4"/>
    </row>
    <row r="202" ht="15.75" hidden="1" customHeight="1">
      <c r="B202" s="8">
        <v>200.0</v>
      </c>
      <c r="C202" s="9">
        <v>43199.0</v>
      </c>
      <c r="D202" s="6" t="s">
        <v>15</v>
      </c>
      <c r="E202" s="4"/>
      <c r="F202" s="8"/>
      <c r="G202" s="4"/>
      <c r="H202" s="10" t="s">
        <v>217</v>
      </c>
      <c r="I202" s="10">
        <v>400.0</v>
      </c>
      <c r="J202" s="11" t="str">
        <f>IF(D202&lt;&gt;"",VLOOKUP(H202,TABLEITEM,5,FALSE),"")</f>
        <v>M</v>
      </c>
      <c r="K202" s="12">
        <v>6.93</v>
      </c>
      <c r="L202" s="13" t="str">
        <f>IF(D202&lt;&gt;"",VLOOKUP(H202,TABLEITEM,2,FALSE),"")</f>
        <v/>
      </c>
      <c r="M202" s="13" t="str">
        <f>IF(D202&lt;&gt;"",VLOOKUP(H202,TABLEITEM,3,FALSE),"")</f>
        <v>TUEB 4.2</v>
      </c>
      <c r="N202" s="14">
        <f>INSTOCK!$I202*INSTOCK!$K202</f>
        <v>2772</v>
      </c>
      <c r="O202" s="4" t="s">
        <v>218</v>
      </c>
      <c r="P202" s="4"/>
    </row>
    <row r="203" ht="15.75" hidden="1" customHeight="1">
      <c r="B203" s="8">
        <v>201.0</v>
      </c>
      <c r="C203" s="9">
        <v>43199.0</v>
      </c>
      <c r="D203" s="6" t="s">
        <v>15</v>
      </c>
      <c r="E203" s="4"/>
      <c r="F203" s="8"/>
      <c r="G203" s="4"/>
      <c r="H203" s="10" t="s">
        <v>219</v>
      </c>
      <c r="I203" s="10">
        <v>200.0</v>
      </c>
      <c r="J203" s="11" t="str">
        <f>IF(D203&lt;&gt;"",VLOOKUP(H203,TABLEITEM,5,FALSE),"")</f>
        <v>M</v>
      </c>
      <c r="K203" s="12">
        <v>10.53</v>
      </c>
      <c r="L203" s="13" t="str">
        <f>IF(D203&lt;&gt;"",VLOOKUP(H203,TABLEITEM,2,FALSE),"")</f>
        <v/>
      </c>
      <c r="M203" s="13" t="str">
        <f>IF(D203&lt;&gt;"",VLOOKUP(H203,TABLEITEM,3,FALSE),"")</f>
        <v>TUEB 5.2</v>
      </c>
      <c r="N203" s="14">
        <f>INSTOCK!$I203*INSTOCK!$K203</f>
        <v>2106</v>
      </c>
      <c r="O203" s="4" t="s">
        <v>220</v>
      </c>
      <c r="P203" s="4"/>
    </row>
    <row r="204" ht="15.75" hidden="1" customHeight="1">
      <c r="B204" s="8">
        <v>202.0</v>
      </c>
      <c r="C204" s="9">
        <v>43199.0</v>
      </c>
      <c r="D204" s="6" t="s">
        <v>15</v>
      </c>
      <c r="E204" s="4"/>
      <c r="F204" s="8"/>
      <c r="G204" s="4"/>
      <c r="H204" s="10" t="s">
        <v>221</v>
      </c>
      <c r="I204" s="10">
        <v>300.0</v>
      </c>
      <c r="J204" s="11" t="str">
        <f>IF(D204&lt;&gt;"",VLOOKUP(H204,TABLEITEM,5,FALSE),"")</f>
        <v>M</v>
      </c>
      <c r="K204" s="12">
        <v>12.0</v>
      </c>
      <c r="L204" s="13" t="str">
        <f>IF(D204&lt;&gt;"",VLOOKUP(H204,TABLEITEM,2,FALSE),"")</f>
        <v/>
      </c>
      <c r="M204" s="13" t="str">
        <f>IF(D204&lt;&gt;"",VLOOKUP(H204,TABLEITEM,3,FALSE),"")</f>
        <v>ท่ออ่อนลูกฟูกชิดผ่า/ท่อผ่าดำ 7มิล</v>
      </c>
      <c r="N204" s="14">
        <f>INSTOCK!$I204*INSTOCK!$K204</f>
        <v>3600</v>
      </c>
      <c r="O204" s="4"/>
      <c r="P204" s="4"/>
    </row>
    <row r="205" ht="15.75" hidden="1" customHeight="1">
      <c r="B205" s="8">
        <v>203.0</v>
      </c>
      <c r="C205" s="9">
        <v>43199.0</v>
      </c>
      <c r="D205" s="6" t="s">
        <v>15</v>
      </c>
      <c r="E205" s="4"/>
      <c r="F205" s="8"/>
      <c r="G205" s="4"/>
      <c r="H205" s="10" t="s">
        <v>222</v>
      </c>
      <c r="I205" s="10">
        <v>200.0</v>
      </c>
      <c r="J205" s="11" t="str">
        <f>IF(D205&lt;&gt;"",VLOOKUP(H205,TABLEITEM,5,FALSE),"")</f>
        <v>M</v>
      </c>
      <c r="K205" s="12">
        <v>15.0</v>
      </c>
      <c r="L205" s="13" t="str">
        <f>IF(D205&lt;&gt;"",VLOOKUP(H205,TABLEITEM,2,FALSE),"")</f>
        <v/>
      </c>
      <c r="M205" s="13" t="str">
        <f>IF(D205&lt;&gt;"",VLOOKUP(H205,TABLEITEM,3,FALSE),"")</f>
        <v>ท่ออ่อนลูกฟูกชิดผ่า/ท่อผ่าดำ 11มิล</v>
      </c>
      <c r="N205" s="14">
        <f>INSTOCK!$I205*INSTOCK!$K205</f>
        <v>3000</v>
      </c>
      <c r="O205" s="4"/>
      <c r="P205" s="4"/>
    </row>
    <row r="206" ht="15.75" hidden="1" customHeight="1">
      <c r="B206" s="8">
        <v>204.0</v>
      </c>
      <c r="C206" s="9">
        <v>43199.0</v>
      </c>
      <c r="D206" s="6" t="s">
        <v>15</v>
      </c>
      <c r="E206" s="4"/>
      <c r="F206" s="8"/>
      <c r="G206" s="4"/>
      <c r="H206" s="10" t="s">
        <v>223</v>
      </c>
      <c r="I206" s="10">
        <v>0.0</v>
      </c>
      <c r="J206" s="11" t="str">
        <f>IF(D206&lt;&gt;"",VLOOKUP(H206,TABLEITEM,5,FALSE),"")</f>
        <v>M</v>
      </c>
      <c r="K206" s="12">
        <v>18.0</v>
      </c>
      <c r="L206" s="13" t="str">
        <f>IF(D206&lt;&gt;"",VLOOKUP(H206,TABLEITEM,2,FALSE),"")</f>
        <v/>
      </c>
      <c r="M206" s="13" t="str">
        <f>IF(D206&lt;&gt;"",VLOOKUP(H206,TABLEITEM,3,FALSE),"")</f>
        <v>ท่ออ่อนลูกฟูกชิดผ่า/ท่อผ่าดำ 13มิล</v>
      </c>
      <c r="N206" s="14">
        <f>INSTOCK!$I206*INSTOCK!$K206</f>
        <v>0</v>
      </c>
      <c r="O206" s="4"/>
      <c r="P206" s="4"/>
    </row>
    <row r="207" ht="15.75" hidden="1" customHeight="1">
      <c r="B207" s="8">
        <v>205.0</v>
      </c>
      <c r="C207" s="9">
        <v>43199.0</v>
      </c>
      <c r="D207" s="6" t="s">
        <v>15</v>
      </c>
      <c r="E207" s="4"/>
      <c r="F207" s="8"/>
      <c r="G207" s="4"/>
      <c r="H207" s="10" t="s">
        <v>224</v>
      </c>
      <c r="I207" s="10">
        <v>100.0</v>
      </c>
      <c r="J207" s="11" t="str">
        <f>IF(D207&lt;&gt;"",VLOOKUP(H207,TABLEITEM,5,FALSE),"")</f>
        <v>M</v>
      </c>
      <c r="K207" s="12">
        <v>19.0</v>
      </c>
      <c r="L207" s="13" t="str">
        <f>IF(D207&lt;&gt;"",VLOOKUP(H207,TABLEITEM,2,FALSE),"")</f>
        <v/>
      </c>
      <c r="M207" s="13" t="str">
        <f>IF(D207&lt;&gt;"",VLOOKUP(H207,TABLEITEM,3,FALSE),"")</f>
        <v>ท่ออ่อนลูกฟูกชิดผ่า/ท่อผ่าดำ 15มิล</v>
      </c>
      <c r="N207" s="14">
        <f>INSTOCK!$I207*INSTOCK!$K207</f>
        <v>1900</v>
      </c>
      <c r="O207" s="4"/>
      <c r="P207" s="4"/>
    </row>
    <row r="208" ht="15.75" hidden="1" customHeight="1">
      <c r="B208" s="8">
        <v>206.0</v>
      </c>
      <c r="C208" s="9">
        <v>43199.0</v>
      </c>
      <c r="D208" s="6" t="s">
        <v>15</v>
      </c>
      <c r="E208" s="4"/>
      <c r="F208" s="8"/>
      <c r="G208" s="4"/>
      <c r="H208" s="10" t="s">
        <v>225</v>
      </c>
      <c r="I208" s="10">
        <v>100.0</v>
      </c>
      <c r="J208" s="11" t="str">
        <f>IF(D208&lt;&gt;"",VLOOKUP(H208,TABLEITEM,5,FALSE),"")</f>
        <v>M</v>
      </c>
      <c r="K208" s="12">
        <v>23.0</v>
      </c>
      <c r="L208" s="13" t="str">
        <f>IF(D208&lt;&gt;"",VLOOKUP(H208,TABLEITEM,2,FALSE),"")</f>
        <v/>
      </c>
      <c r="M208" s="13" t="str">
        <f>IF(D208&lt;&gt;"",VLOOKUP(H208,TABLEITEM,3,FALSE),"")</f>
        <v>ท่ออ่อนลูกฟูกชิดผ่า/ท่อผ่าดำ 19มิล</v>
      </c>
      <c r="N208" s="14">
        <f>INSTOCK!$I208*INSTOCK!$K208</f>
        <v>2300</v>
      </c>
      <c r="O208" s="4"/>
      <c r="P208" s="4"/>
    </row>
    <row r="209" ht="15.75" hidden="1" customHeight="1">
      <c r="B209" s="8">
        <v>207.0</v>
      </c>
      <c r="C209" s="9">
        <v>43199.0</v>
      </c>
      <c r="D209" s="6" t="s">
        <v>15</v>
      </c>
      <c r="E209" s="4"/>
      <c r="F209" s="8"/>
      <c r="G209" s="4"/>
      <c r="H209" s="10" t="s">
        <v>226</v>
      </c>
      <c r="I209" s="10">
        <v>50.0</v>
      </c>
      <c r="J209" s="11" t="str">
        <f>IF(D209&lt;&gt;"",VLOOKUP(H209,TABLEITEM,5,FALSE),"")</f>
        <v>M</v>
      </c>
      <c r="K209" s="12">
        <v>28.0</v>
      </c>
      <c r="L209" s="13" t="str">
        <f>IF(D209&lt;&gt;"",VLOOKUP(H209,TABLEITEM,2,FALSE),"")</f>
        <v/>
      </c>
      <c r="M209" s="13" t="str">
        <f>IF(D209&lt;&gt;"",VLOOKUP(H209,TABLEITEM,3,FALSE),"")</f>
        <v>ท่ออ่อนลูกฟูกชิดผ่า/ท่อผ่าดำ 25มิล</v>
      </c>
      <c r="N209" s="14">
        <f>INSTOCK!$I209*INSTOCK!$K209</f>
        <v>1400</v>
      </c>
      <c r="O209" s="4"/>
      <c r="P209" s="4"/>
    </row>
    <row r="210" ht="15.75" hidden="1" customHeight="1">
      <c r="B210" s="8">
        <v>208.0</v>
      </c>
      <c r="C210" s="9">
        <v>43199.0</v>
      </c>
      <c r="D210" s="6" t="s">
        <v>15</v>
      </c>
      <c r="E210" s="4"/>
      <c r="F210" s="8"/>
      <c r="G210" s="4"/>
      <c r="H210" s="10" t="s">
        <v>227</v>
      </c>
      <c r="I210" s="10">
        <v>3200.0</v>
      </c>
      <c r="J210" s="11" t="str">
        <f>IF(D210&lt;&gt;"",VLOOKUP(H210,TABLEITEM,5,FALSE),"")</f>
        <v>EA</v>
      </c>
      <c r="K210" s="12">
        <v>1.65</v>
      </c>
      <c r="L210" s="13" t="str">
        <f>IF(D210&lt;&gt;"",VLOOKUP(H210,TABLEITEM,2,FALSE),"")</f>
        <v/>
      </c>
      <c r="M210" s="13" t="str">
        <f>IF(D210&lt;&gt;"",VLOOKUP(H210,TABLEITEM,3,FALSE),"")</f>
        <v>CORD-END 0.75-8 สีส้ม</v>
      </c>
      <c r="N210" s="14">
        <f>INSTOCK!$I210*INSTOCK!$K210</f>
        <v>5280</v>
      </c>
      <c r="O210" s="4"/>
      <c r="P210" s="4"/>
    </row>
    <row r="211" ht="15.75" hidden="1" customHeight="1">
      <c r="B211" s="8">
        <v>209.0</v>
      </c>
      <c r="C211" s="9">
        <v>43199.0</v>
      </c>
      <c r="D211" s="6" t="s">
        <v>15</v>
      </c>
      <c r="E211" s="4"/>
      <c r="F211" s="8"/>
      <c r="G211" s="4"/>
      <c r="H211" s="10" t="s">
        <v>228</v>
      </c>
      <c r="I211" s="10">
        <v>1000.0</v>
      </c>
      <c r="J211" s="11" t="str">
        <f>IF(D211&lt;&gt;"",VLOOKUP(H211,TABLEITEM,5,FALSE),"")</f>
        <v>EA</v>
      </c>
      <c r="K211" s="12">
        <v>1.65</v>
      </c>
      <c r="L211" s="13" t="str">
        <f>IF(D211&lt;&gt;"",VLOOKUP(H211,TABLEITEM,2,FALSE),"")</f>
        <v/>
      </c>
      <c r="M211" s="13" t="str">
        <f>IF(D211&lt;&gt;"",VLOOKUP(H211,TABLEITEM,3,FALSE),"")</f>
        <v>CORD-END 0.75-8 สีขาว</v>
      </c>
      <c r="N211" s="14">
        <f>INSTOCK!$I211*INSTOCK!$K211</f>
        <v>1650</v>
      </c>
      <c r="O211" s="4"/>
      <c r="P211" s="4"/>
    </row>
    <row r="212" ht="15.75" hidden="1" customHeight="1">
      <c r="B212" s="8">
        <v>210.0</v>
      </c>
      <c r="C212" s="9">
        <v>43199.0</v>
      </c>
      <c r="D212" s="6" t="s">
        <v>15</v>
      </c>
      <c r="E212" s="4"/>
      <c r="F212" s="8"/>
      <c r="G212" s="4"/>
      <c r="H212" s="10" t="s">
        <v>229</v>
      </c>
      <c r="I212" s="10">
        <v>0.0</v>
      </c>
      <c r="J212" s="11" t="str">
        <f>IF(D212&lt;&gt;"",VLOOKUP(H212,TABLEITEM,5,FALSE),"")</f>
        <v>EA</v>
      </c>
      <c r="K212" s="12">
        <v>1.65</v>
      </c>
      <c r="L212" s="13" t="str">
        <f>IF(D212&lt;&gt;"",VLOOKUP(H212,TABLEITEM,2,FALSE),"")</f>
        <v/>
      </c>
      <c r="M212" s="13" t="str">
        <f>IF(D212&lt;&gt;"",VLOOKUP(H212,TABLEITEM,3,FALSE),"")</f>
        <v>CORD-END 1.0-8 สีเหลือง</v>
      </c>
      <c r="N212" s="14">
        <f>INSTOCK!$I212*INSTOCK!$K212</f>
        <v>0</v>
      </c>
      <c r="O212" s="4"/>
      <c r="P212" s="4"/>
    </row>
    <row r="213" ht="15.75" hidden="1" customHeight="1">
      <c r="B213" s="8">
        <v>211.0</v>
      </c>
      <c r="C213" s="9">
        <v>43199.0</v>
      </c>
      <c r="D213" s="6" t="s">
        <v>15</v>
      </c>
      <c r="E213" s="4"/>
      <c r="F213" s="8"/>
      <c r="G213" s="4"/>
      <c r="H213" s="10" t="s">
        <v>230</v>
      </c>
      <c r="I213" s="10">
        <v>1700.0</v>
      </c>
      <c r="J213" s="11" t="str">
        <f>IF(D213&lt;&gt;"",VLOOKUP(H213,TABLEITEM,5,FALSE),"")</f>
        <v>EA</v>
      </c>
      <c r="K213" s="12">
        <v>1.65</v>
      </c>
      <c r="L213" s="13" t="str">
        <f>IF(D213&lt;&gt;"",VLOOKUP(H213,TABLEITEM,2,FALSE),"")</f>
        <v/>
      </c>
      <c r="M213" s="13" t="str">
        <f>IF(D213&lt;&gt;"",VLOOKUP(H213,TABLEITEM,3,FALSE),"")</f>
        <v>CORD-END 1.0-8 สีแดง</v>
      </c>
      <c r="N213" s="14">
        <f>INSTOCK!$I213*INSTOCK!$K213</f>
        <v>2805</v>
      </c>
      <c r="O213" s="4"/>
      <c r="P213" s="4"/>
    </row>
    <row r="214" ht="15.75" hidden="1" customHeight="1">
      <c r="B214" s="8">
        <v>212.0</v>
      </c>
      <c r="C214" s="9">
        <v>43199.0</v>
      </c>
      <c r="D214" s="6" t="s">
        <v>15</v>
      </c>
      <c r="E214" s="4"/>
      <c r="F214" s="8"/>
      <c r="G214" s="4"/>
      <c r="H214" s="10" t="s">
        <v>231</v>
      </c>
      <c r="I214" s="10">
        <v>1508.0</v>
      </c>
      <c r="J214" s="11" t="str">
        <f>IF(D214&lt;&gt;"",VLOOKUP(H214,TABLEITEM,5,FALSE),"")</f>
        <v>EA</v>
      </c>
      <c r="K214" s="12">
        <v>1.65</v>
      </c>
      <c r="L214" s="13" t="str">
        <f>IF(D214&lt;&gt;"",VLOOKUP(H214,TABLEITEM,2,FALSE),"")</f>
        <v/>
      </c>
      <c r="M214" s="13" t="str">
        <f>IF(D214&lt;&gt;"",VLOOKUP(H214,TABLEITEM,3,FALSE),"")</f>
        <v>CORD-END 1.5-8 สีแดง</v>
      </c>
      <c r="N214" s="14">
        <f>INSTOCK!$I214*INSTOCK!$K214</f>
        <v>2488.2</v>
      </c>
      <c r="O214" s="4"/>
      <c r="P214" s="4"/>
    </row>
    <row r="215" ht="15.75" hidden="1" customHeight="1">
      <c r="B215" s="8">
        <v>213.0</v>
      </c>
      <c r="C215" s="9">
        <v>43199.0</v>
      </c>
      <c r="D215" s="6" t="s">
        <v>15</v>
      </c>
      <c r="E215" s="4"/>
      <c r="F215" s="8"/>
      <c r="G215" s="4"/>
      <c r="H215" s="10" t="s">
        <v>232</v>
      </c>
      <c r="I215" s="10">
        <v>1814.0</v>
      </c>
      <c r="J215" s="11" t="str">
        <f>IF(D215&lt;&gt;"",VLOOKUP(H215,TABLEITEM,5,FALSE),"")</f>
        <v>EA</v>
      </c>
      <c r="K215" s="12">
        <v>1.65</v>
      </c>
      <c r="L215" s="13" t="str">
        <f>IF(D215&lt;&gt;"",VLOOKUP(H215,TABLEITEM,2,FALSE),"")</f>
        <v/>
      </c>
      <c r="M215" s="13" t="str">
        <f>IF(D215&lt;&gt;"",VLOOKUP(H215,TABLEITEM,3,FALSE),"")</f>
        <v>CORD-END 2.5-8 สีน้ำเงิน</v>
      </c>
      <c r="N215" s="14">
        <f>INSTOCK!$I215*INSTOCK!$K215</f>
        <v>2993.1</v>
      </c>
      <c r="O215" s="4"/>
      <c r="P215" s="4"/>
    </row>
    <row r="216" ht="15.75" hidden="1" customHeight="1">
      <c r="B216" s="8">
        <v>214.0</v>
      </c>
      <c r="C216" s="9">
        <v>43199.0</v>
      </c>
      <c r="D216" s="6" t="s">
        <v>15</v>
      </c>
      <c r="E216" s="4"/>
      <c r="F216" s="8"/>
      <c r="G216" s="4"/>
      <c r="H216" s="10" t="s">
        <v>233</v>
      </c>
      <c r="I216" s="10">
        <v>1732.0</v>
      </c>
      <c r="J216" s="11" t="str">
        <f>IF(D216&lt;&gt;"",VLOOKUP(H216,TABLEITEM,5,FALSE),"")</f>
        <v>EA</v>
      </c>
      <c r="K216" s="12">
        <v>3.0</v>
      </c>
      <c r="L216" s="13" t="str">
        <f>IF(D216&lt;&gt;"",VLOOKUP(H216,TABLEITEM,2,FALSE),"")</f>
        <v/>
      </c>
      <c r="M216" s="13" t="str">
        <f>IF(D216&lt;&gt;"",VLOOKUP(H216,TABLEITEM,3,FALSE),"")</f>
        <v>CORD-END 4.0-10 สีเทา</v>
      </c>
      <c r="N216" s="14">
        <f>INSTOCK!$I216*INSTOCK!$K216</f>
        <v>5196</v>
      </c>
      <c r="O216" s="4"/>
      <c r="P216" s="4"/>
    </row>
    <row r="217" ht="15.75" hidden="1" customHeight="1">
      <c r="B217" s="8">
        <v>215.0</v>
      </c>
      <c r="C217" s="9">
        <v>43199.0</v>
      </c>
      <c r="D217" s="6" t="s">
        <v>15</v>
      </c>
      <c r="E217" s="4"/>
      <c r="F217" s="8"/>
      <c r="G217" s="4"/>
      <c r="H217" s="10" t="s">
        <v>234</v>
      </c>
      <c r="I217" s="10">
        <v>0.0</v>
      </c>
      <c r="J217" s="11" t="str">
        <f>IF(D217&lt;&gt;"",VLOOKUP(H217,TABLEITEM,5,FALSE),"")</f>
        <v>EA</v>
      </c>
      <c r="K217" s="12">
        <v>3.0</v>
      </c>
      <c r="L217" s="13" t="str">
        <f>IF(D217&lt;&gt;"",VLOOKUP(H217,TABLEITEM,2,FALSE),"")</f>
        <v/>
      </c>
      <c r="M217" s="13" t="str">
        <f>IF(D217&lt;&gt;"",VLOOKUP(H217,TABLEITEM,3,FALSE),"")</f>
        <v>CORD-END 6-12 สีดำ</v>
      </c>
      <c r="N217" s="14">
        <f>INSTOCK!$I217*INSTOCK!$K217</f>
        <v>0</v>
      </c>
      <c r="O217" s="4"/>
      <c r="P217" s="4"/>
    </row>
    <row r="218" ht="15.75" hidden="1" customHeight="1">
      <c r="B218" s="8">
        <v>216.0</v>
      </c>
      <c r="C218" s="9">
        <v>43199.0</v>
      </c>
      <c r="D218" s="6" t="s">
        <v>15</v>
      </c>
      <c r="E218" s="4"/>
      <c r="F218" s="8"/>
      <c r="G218" s="4"/>
      <c r="H218" s="10" t="s">
        <v>235</v>
      </c>
      <c r="I218" s="10">
        <v>1815.0</v>
      </c>
      <c r="J218" s="11" t="str">
        <f>IF(D218&lt;&gt;"",VLOOKUP(H218,TABLEITEM,5,FALSE),"")</f>
        <v>EA</v>
      </c>
      <c r="K218" s="12">
        <v>3.0</v>
      </c>
      <c r="L218" s="13" t="str">
        <f>IF(D218&lt;&gt;"",VLOOKUP(H218,TABLEITEM,2,FALSE),"")</f>
        <v/>
      </c>
      <c r="M218" s="13" t="str">
        <f>IF(D218&lt;&gt;"",VLOOKUP(H218,TABLEITEM,3,FALSE),"")</f>
        <v>CORD-END 6-12 สีเขียว</v>
      </c>
      <c r="N218" s="14">
        <f>INSTOCK!$I218*INSTOCK!$K218</f>
        <v>5445</v>
      </c>
      <c r="O218" s="4"/>
      <c r="P218" s="4"/>
    </row>
    <row r="219" ht="15.75" hidden="1" customHeight="1">
      <c r="B219" s="8">
        <v>217.0</v>
      </c>
      <c r="C219" s="9">
        <v>43199.0</v>
      </c>
      <c r="D219" s="6" t="s">
        <v>15</v>
      </c>
      <c r="E219" s="4"/>
      <c r="F219" s="8"/>
      <c r="G219" s="4"/>
      <c r="H219" s="10" t="s">
        <v>236</v>
      </c>
      <c r="I219" s="10">
        <v>890.0</v>
      </c>
      <c r="J219" s="11" t="str">
        <f>IF(D219&lt;&gt;"",VLOOKUP(H219,TABLEITEM,5,FALSE),"")</f>
        <v>EA</v>
      </c>
      <c r="K219" s="12">
        <v>3.75</v>
      </c>
      <c r="L219" s="13" t="str">
        <f>IF(D219&lt;&gt;"",VLOOKUP(H219,TABLEITEM,2,FALSE),"")</f>
        <v/>
      </c>
      <c r="M219" s="13" t="str">
        <f>IF(D219&lt;&gt;"",VLOOKUP(H219,TABLEITEM,3,FALSE),"")</f>
        <v>CORD-END 10-12 สีขาว</v>
      </c>
      <c r="N219" s="14">
        <f>INSTOCK!$I219*INSTOCK!$K219</f>
        <v>3337.5</v>
      </c>
      <c r="O219" s="4"/>
      <c r="P219" s="4"/>
    </row>
    <row r="220" ht="15.75" hidden="1" customHeight="1">
      <c r="B220" s="8">
        <v>218.0</v>
      </c>
      <c r="C220" s="9">
        <v>43199.0</v>
      </c>
      <c r="D220" s="6" t="s">
        <v>15</v>
      </c>
      <c r="E220" s="4"/>
      <c r="F220" s="8"/>
      <c r="G220" s="4"/>
      <c r="H220" s="10" t="s">
        <v>237</v>
      </c>
      <c r="I220" s="10">
        <v>75.0</v>
      </c>
      <c r="J220" s="11" t="str">
        <f>IF(D220&lt;&gt;"",VLOOKUP(H220,TABLEITEM,5,FALSE),"")</f>
        <v>EA</v>
      </c>
      <c r="K220" s="12">
        <v>3.75</v>
      </c>
      <c r="L220" s="13" t="str">
        <f>IF(D220&lt;&gt;"",VLOOKUP(H220,TABLEITEM,2,FALSE),"")</f>
        <v/>
      </c>
      <c r="M220" s="13" t="str">
        <f>IF(D220&lt;&gt;"",VLOOKUP(H220,TABLEITEM,3,FALSE),"")</f>
        <v>CORD-END 10-12 สีน้ำตาล</v>
      </c>
      <c r="N220" s="14">
        <f>INSTOCK!$I220*INSTOCK!$K220</f>
        <v>281.25</v>
      </c>
      <c r="O220" s="4"/>
      <c r="P220" s="4"/>
    </row>
    <row r="221" ht="15.75" hidden="1" customHeight="1">
      <c r="B221" s="8">
        <v>219.0</v>
      </c>
      <c r="C221" s="9">
        <v>43199.0</v>
      </c>
      <c r="D221" s="6" t="s">
        <v>15</v>
      </c>
      <c r="E221" s="4"/>
      <c r="F221" s="8"/>
      <c r="G221" s="4"/>
      <c r="H221" s="10" t="s">
        <v>238</v>
      </c>
      <c r="I221" s="10">
        <v>121.0</v>
      </c>
      <c r="J221" s="11" t="str">
        <f>IF(D221&lt;&gt;"",VLOOKUP(H221,TABLEITEM,5,FALSE),"")</f>
        <v>EA</v>
      </c>
      <c r="K221" s="12">
        <v>8.0</v>
      </c>
      <c r="L221" s="13" t="str">
        <f>IF(D221&lt;&gt;"",VLOOKUP(H221,TABLEITEM,2,FALSE),"")</f>
        <v/>
      </c>
      <c r="M221" s="13" t="str">
        <f>IF(D221&lt;&gt;"",VLOOKUP(H221,TABLEITEM,3,FALSE),"")</f>
        <v>CORD-END 16-12 สีขาว</v>
      </c>
      <c r="N221" s="14">
        <f>INSTOCK!$I221*INSTOCK!$K221</f>
        <v>968</v>
      </c>
      <c r="O221" s="4"/>
      <c r="P221" s="4"/>
    </row>
    <row r="222" ht="15.75" hidden="1" customHeight="1">
      <c r="B222" s="8">
        <v>220.0</v>
      </c>
      <c r="C222" s="9">
        <v>43199.0</v>
      </c>
      <c r="D222" s="6" t="s">
        <v>15</v>
      </c>
      <c r="E222" s="4"/>
      <c r="F222" s="8"/>
      <c r="G222" s="4"/>
      <c r="H222" s="10" t="s">
        <v>239</v>
      </c>
      <c r="I222" s="10">
        <v>817.0</v>
      </c>
      <c r="J222" s="11" t="str">
        <f>IF(D222&lt;&gt;"",VLOOKUP(H222,TABLEITEM,5,FALSE),"")</f>
        <v>EA</v>
      </c>
      <c r="K222" s="12">
        <v>8.0</v>
      </c>
      <c r="L222" s="13" t="str">
        <f>IF(D222&lt;&gt;"",VLOOKUP(H222,TABLEITEM,2,FALSE),"")</f>
        <v/>
      </c>
      <c r="M222" s="13" t="str">
        <f>IF(D222&lt;&gt;"",VLOOKUP(H222,TABLEITEM,3,FALSE),"")</f>
        <v>CORD-END 16-12 สีเขียว</v>
      </c>
      <c r="N222" s="14">
        <f>INSTOCK!$I222*INSTOCK!$K222</f>
        <v>6536</v>
      </c>
      <c r="O222" s="4"/>
      <c r="P222" s="4"/>
    </row>
    <row r="223" ht="15.75" hidden="1" customHeight="1">
      <c r="B223" s="8">
        <v>221.0</v>
      </c>
      <c r="C223" s="9">
        <v>43199.0</v>
      </c>
      <c r="D223" s="6" t="s">
        <v>15</v>
      </c>
      <c r="E223" s="4"/>
      <c r="F223" s="8"/>
      <c r="G223" s="4"/>
      <c r="H223" s="10" t="s">
        <v>240</v>
      </c>
      <c r="I223" s="10">
        <v>225.0</v>
      </c>
      <c r="J223" s="11" t="str">
        <f>IF(D223&lt;&gt;"",VLOOKUP(H223,TABLEITEM,5,FALSE),"")</f>
        <v>EA</v>
      </c>
      <c r="K223" s="12">
        <v>17.0</v>
      </c>
      <c r="L223" s="13" t="str">
        <f>IF(D223&lt;&gt;"",VLOOKUP(H223,TABLEITEM,2,FALSE),"")</f>
        <v/>
      </c>
      <c r="M223" s="13" t="str">
        <f>IF(D223&lt;&gt;"",VLOOKUP(H223,TABLEITEM,3,FALSE),"")</f>
        <v>CORD-END 35-1.6 สีเทา</v>
      </c>
      <c r="N223" s="14">
        <f>INSTOCK!$I223*INSTOCK!$K223</f>
        <v>3825</v>
      </c>
      <c r="O223" s="4"/>
      <c r="P223" s="4"/>
    </row>
    <row r="224" ht="15.75" hidden="1" customHeight="1">
      <c r="B224" s="8">
        <v>222.0</v>
      </c>
      <c r="C224" s="9">
        <v>43199.0</v>
      </c>
      <c r="D224" s="6" t="s">
        <v>15</v>
      </c>
      <c r="E224" s="4"/>
      <c r="F224" s="8"/>
      <c r="G224" s="4"/>
      <c r="H224" s="10" t="s">
        <v>241</v>
      </c>
      <c r="I224" s="10">
        <v>0.0</v>
      </c>
      <c r="J224" s="11" t="str">
        <f>IF(D224&lt;&gt;"",VLOOKUP(H224,TABLEITEM,5,FALSE),"")</f>
        <v>EA</v>
      </c>
      <c r="K224" s="12">
        <v>25.0</v>
      </c>
      <c r="L224" s="13" t="str">
        <f>IF(D224&lt;&gt;"",VLOOKUP(H224,TABLEITEM,2,FALSE),"")</f>
        <v/>
      </c>
      <c r="M224" s="13" t="str">
        <f>IF(D224&lt;&gt;"",VLOOKUP(H224,TABLEITEM,3,FALSE),"")</f>
        <v>CORD-END 50-25 สีเขียว</v>
      </c>
      <c r="N224" s="14">
        <f>INSTOCK!$I224*INSTOCK!$K224</f>
        <v>0</v>
      </c>
      <c r="O224" s="4"/>
      <c r="P224" s="4"/>
    </row>
    <row r="225" ht="15.75" hidden="1" customHeight="1">
      <c r="B225" s="8">
        <v>223.0</v>
      </c>
      <c r="C225" s="9">
        <v>43199.0</v>
      </c>
      <c r="D225" s="6" t="s">
        <v>15</v>
      </c>
      <c r="E225" s="4"/>
      <c r="F225" s="8"/>
      <c r="G225" s="4"/>
      <c r="H225" s="10" t="s">
        <v>242</v>
      </c>
      <c r="I225" s="10">
        <v>4100.0</v>
      </c>
      <c r="J225" s="11" t="str">
        <f>IF(D225&lt;&gt;"",VLOOKUP(H225,TABLEITEM,5,FALSE),"")</f>
        <v>EA</v>
      </c>
      <c r="K225" s="12">
        <v>0.55</v>
      </c>
      <c r="L225" s="13" t="str">
        <f>IF(D225&lt;&gt;"",VLOOKUP(H225,TABLEITEM,2,FALSE),"")</f>
        <v/>
      </c>
      <c r="M225" s="13" t="str">
        <f>IF(D225&lt;&gt;"",VLOOKUP(H225,TABLEITEM,3,FALSE),"")</f>
        <v>หางปลาเข็มแบนแบบเปลือย 1.25-10</v>
      </c>
      <c r="N225" s="14">
        <f>INSTOCK!$I225*INSTOCK!$K225</f>
        <v>2255</v>
      </c>
      <c r="O225" s="4"/>
      <c r="P225" s="4"/>
    </row>
    <row r="226" ht="15.75" hidden="1" customHeight="1">
      <c r="B226" s="8">
        <v>224.0</v>
      </c>
      <c r="C226" s="9">
        <v>43199.0</v>
      </c>
      <c r="D226" s="6" t="s">
        <v>15</v>
      </c>
      <c r="E226" s="4"/>
      <c r="F226" s="8"/>
      <c r="G226" s="4"/>
      <c r="H226" s="10" t="s">
        <v>243</v>
      </c>
      <c r="I226" s="10">
        <v>8200.0</v>
      </c>
      <c r="J226" s="11" t="str">
        <f>IF(D226&lt;&gt;"",VLOOKUP(H226,TABLEITEM,5,FALSE),"")</f>
        <v>EA</v>
      </c>
      <c r="K226" s="12"/>
      <c r="L226" s="13" t="str">
        <f>IF(D226&lt;&gt;"",VLOOKUP(H226,TABLEITEM,2,FALSE),"")</f>
        <v/>
      </c>
      <c r="M226" s="13" t="str">
        <f>IF(D226&lt;&gt;"",VLOOKUP(H226,TABLEITEM,3,FALSE),"")</f>
        <v>หางปลาเข็มแบนแบบเปลือย 2-9</v>
      </c>
      <c r="N226" s="14">
        <f>INSTOCK!$I226*INSTOCK!$K226</f>
        <v>0</v>
      </c>
      <c r="O226" s="4"/>
      <c r="P226" s="4"/>
    </row>
    <row r="227" ht="15.75" hidden="1" customHeight="1">
      <c r="B227" s="8">
        <v>225.0</v>
      </c>
      <c r="C227" s="9">
        <v>43199.0</v>
      </c>
      <c r="D227" s="6" t="s">
        <v>15</v>
      </c>
      <c r="E227" s="4"/>
      <c r="F227" s="8"/>
      <c r="G227" s="4"/>
      <c r="H227" s="10" t="s">
        <v>244</v>
      </c>
      <c r="I227" s="10">
        <v>4917.0</v>
      </c>
      <c r="J227" s="11" t="str">
        <f>IF(D227&lt;&gt;"",VLOOKUP(H227,TABLEITEM,5,FALSE),"")</f>
        <v>EA</v>
      </c>
      <c r="K227" s="12">
        <v>1.56</v>
      </c>
      <c r="L227" s="13" t="str">
        <f>IF(D227&lt;&gt;"",VLOOKUP(H227,TABLEITEM,2,FALSE),"")</f>
        <v/>
      </c>
      <c r="M227" s="13" t="str">
        <f>IF(D227&lt;&gt;"",VLOOKUP(H227,TABLEITEM,3,FALSE),"")</f>
        <v>หางปลาเข็มแบนแบบเปลือย 5.5-10</v>
      </c>
      <c r="N227" s="14">
        <f>INSTOCK!$I227*INSTOCK!$K227</f>
        <v>7670.52</v>
      </c>
      <c r="O227" s="4"/>
      <c r="P227" s="4"/>
    </row>
    <row r="228" ht="15.75" hidden="1" customHeight="1">
      <c r="B228" s="8">
        <v>226.0</v>
      </c>
      <c r="C228" s="9">
        <v>43199.0</v>
      </c>
      <c r="D228" s="6" t="s">
        <v>15</v>
      </c>
      <c r="E228" s="4"/>
      <c r="F228" s="8"/>
      <c r="G228" s="4"/>
      <c r="H228" s="10" t="s">
        <v>245</v>
      </c>
      <c r="I228" s="10">
        <v>8800.0</v>
      </c>
      <c r="J228" s="11" t="str">
        <f>IF(D228&lt;&gt;"",VLOOKUP(H228,TABLEITEM,5,FALSE),"")</f>
        <v>EA</v>
      </c>
      <c r="K228" s="12">
        <v>0.9</v>
      </c>
      <c r="L228" s="13" t="str">
        <f>IF(D228&lt;&gt;"",VLOOKUP(H228,TABLEITEM,2,FALSE),"")</f>
        <v/>
      </c>
      <c r="M228" s="13" t="str">
        <f>IF(D228&lt;&gt;"",VLOOKUP(H228,TABLEITEM,3,FALSE),"")</f>
        <v>หางปลาแฉกเปลือย Y1.5-3S</v>
      </c>
      <c r="N228" s="14">
        <f>INSTOCK!$I228*INSTOCK!$K228</f>
        <v>7920</v>
      </c>
      <c r="O228" s="4"/>
      <c r="P228" s="4"/>
    </row>
    <row r="229" ht="15.75" hidden="1" customHeight="1">
      <c r="B229" s="8">
        <v>227.0</v>
      </c>
      <c r="C229" s="9">
        <v>43199.0</v>
      </c>
      <c r="D229" s="6" t="s">
        <v>15</v>
      </c>
      <c r="E229" s="4"/>
      <c r="F229" s="8"/>
      <c r="G229" s="4"/>
      <c r="H229" s="10" t="s">
        <v>246</v>
      </c>
      <c r="I229" s="10">
        <v>3600.0</v>
      </c>
      <c r="J229" s="11" t="str">
        <f>IF(D229&lt;&gt;"",VLOOKUP(H229,TABLEITEM,5,FALSE),"")</f>
        <v>EA</v>
      </c>
      <c r="K229" s="12">
        <v>0.87</v>
      </c>
      <c r="L229" s="13" t="str">
        <f>IF(D229&lt;&gt;"",VLOOKUP(H229,TABLEITEM,2,FALSE),"")</f>
        <v/>
      </c>
      <c r="M229" s="13" t="str">
        <f>IF(D229&lt;&gt;"",VLOOKUP(H229,TABLEITEM,3,FALSE),"")</f>
        <v>หางปลาแฉกเปลือย 2-4YS</v>
      </c>
      <c r="N229" s="14">
        <f>INSTOCK!$I229*INSTOCK!$K229</f>
        <v>3132</v>
      </c>
      <c r="O229" s="4"/>
      <c r="P229" s="4"/>
    </row>
    <row r="230" ht="15.75" hidden="1" customHeight="1">
      <c r="B230" s="8">
        <v>228.0</v>
      </c>
      <c r="C230" s="9">
        <v>43199.0</v>
      </c>
      <c r="D230" s="6" t="s">
        <v>15</v>
      </c>
      <c r="E230" s="4"/>
      <c r="F230" s="8"/>
      <c r="G230" s="4"/>
      <c r="H230" s="10" t="s">
        <v>247</v>
      </c>
      <c r="I230" s="10">
        <v>4300.0</v>
      </c>
      <c r="J230" s="11" t="str">
        <f>IF(D230&lt;&gt;"",VLOOKUP(H230,TABLEITEM,5,FALSE),"")</f>
        <v>EA</v>
      </c>
      <c r="K230" s="12">
        <v>0.9</v>
      </c>
      <c r="L230" s="13" t="str">
        <f>IF(D230&lt;&gt;"",VLOOKUP(H230,TABLEITEM,2,FALSE),"")</f>
        <v/>
      </c>
      <c r="M230" s="13" t="str">
        <f>IF(D230&lt;&gt;"",VLOOKUP(H230,TABLEITEM,3,FALSE),"")</f>
        <v>หางปลาแฉกเปลือย Y2.5-3S</v>
      </c>
      <c r="N230" s="14">
        <f>INSTOCK!$I230*INSTOCK!$K230</f>
        <v>3870</v>
      </c>
      <c r="O230" s="4"/>
      <c r="P230" s="4"/>
    </row>
    <row r="231" ht="15.75" hidden="1" customHeight="1">
      <c r="B231" s="8">
        <v>229.0</v>
      </c>
      <c r="C231" s="9">
        <v>43199.0</v>
      </c>
      <c r="D231" s="6" t="s">
        <v>15</v>
      </c>
      <c r="E231" s="4"/>
      <c r="F231" s="8"/>
      <c r="G231" s="4"/>
      <c r="H231" s="10" t="s">
        <v>248</v>
      </c>
      <c r="I231" s="10">
        <v>3700.0</v>
      </c>
      <c r="J231" s="11" t="str">
        <f>IF(D231&lt;&gt;"",VLOOKUP(H231,TABLEITEM,5,FALSE),"")</f>
        <v>EA</v>
      </c>
      <c r="K231" s="12">
        <v>0.87</v>
      </c>
      <c r="L231" s="13" t="str">
        <f>IF(D231&lt;&gt;"",VLOOKUP(H231,TABLEITEM,2,FALSE),"")</f>
        <v/>
      </c>
      <c r="M231" s="13" t="str">
        <f>IF(D231&lt;&gt;"",VLOOKUP(H231,TABLEITEM,3,FALSE),"")</f>
        <v>หางปลาแฉกเปลือย Y2.5-4S</v>
      </c>
      <c r="N231" s="14">
        <f>INSTOCK!$I231*INSTOCK!$K231</f>
        <v>3219</v>
      </c>
      <c r="O231" s="4"/>
      <c r="P231" s="4"/>
    </row>
    <row r="232" ht="15.75" hidden="1" customHeight="1">
      <c r="B232" s="8">
        <v>230.0</v>
      </c>
      <c r="C232" s="9">
        <v>43199.0</v>
      </c>
      <c r="D232" s="6" t="s">
        <v>15</v>
      </c>
      <c r="E232" s="4"/>
      <c r="F232" s="8"/>
      <c r="G232" s="4"/>
      <c r="H232" s="10" t="s">
        <v>249</v>
      </c>
      <c r="I232" s="10">
        <v>6100.0</v>
      </c>
      <c r="J232" s="11" t="str">
        <f>IF(D232&lt;&gt;"",VLOOKUP(H232,TABLEITEM,5,FALSE),"")</f>
        <v>EA</v>
      </c>
      <c r="K232" s="12">
        <v>1.56</v>
      </c>
      <c r="L232" s="13" t="str">
        <f>IF(D232&lt;&gt;"",VLOOKUP(H232,TABLEITEM,2,FALSE),"")</f>
        <v/>
      </c>
      <c r="M232" s="13" t="str">
        <f>IF(D232&lt;&gt;"",VLOOKUP(H232,TABLEITEM,3,FALSE),"")</f>
        <v>หางปลาแฉกเปลือย Y3.5-4</v>
      </c>
      <c r="N232" s="14">
        <f>INSTOCK!$I232*INSTOCK!$K232</f>
        <v>9516</v>
      </c>
      <c r="O232" s="4"/>
      <c r="P232" s="4"/>
    </row>
    <row r="233" ht="15.75" hidden="1" customHeight="1">
      <c r="B233" s="8">
        <v>231.0</v>
      </c>
      <c r="C233" s="9">
        <v>43199.0</v>
      </c>
      <c r="D233" s="6" t="s">
        <v>15</v>
      </c>
      <c r="E233" s="4"/>
      <c r="F233" s="8"/>
      <c r="G233" s="4"/>
      <c r="H233" s="10" t="s">
        <v>250</v>
      </c>
      <c r="I233" s="10">
        <v>2100.0</v>
      </c>
      <c r="J233" s="11" t="str">
        <f>IF(D233&lt;&gt;"",VLOOKUP(H233,TABLEITEM,5,FALSE),"")</f>
        <v>EA</v>
      </c>
      <c r="K233" s="12">
        <v>1.56</v>
      </c>
      <c r="L233" s="13" t="str">
        <f>IF(D233&lt;&gt;"",VLOOKUP(H233,TABLEITEM,2,FALSE),"")</f>
        <v/>
      </c>
      <c r="M233" s="13" t="str">
        <f>IF(D233&lt;&gt;"",VLOOKUP(H233,TABLEITEM,3,FALSE),"")</f>
        <v>หางปลาแฉกเปลือย Y3.5-5</v>
      </c>
      <c r="N233" s="14">
        <f>INSTOCK!$I233*INSTOCK!$K233</f>
        <v>3276</v>
      </c>
      <c r="O233" s="4"/>
      <c r="P233" s="4"/>
    </row>
    <row r="234" ht="15.75" hidden="1" customHeight="1">
      <c r="B234" s="8">
        <v>232.0</v>
      </c>
      <c r="C234" s="9">
        <v>43199.0</v>
      </c>
      <c r="D234" s="6" t="s">
        <v>15</v>
      </c>
      <c r="E234" s="4"/>
      <c r="F234" s="8"/>
      <c r="G234" s="4"/>
      <c r="H234" s="10" t="s">
        <v>251</v>
      </c>
      <c r="I234" s="10">
        <v>2417.0</v>
      </c>
      <c r="J234" s="11" t="str">
        <f>IF(D234&lt;&gt;"",VLOOKUP(H234,TABLEITEM,5,FALSE),"")</f>
        <v>EA</v>
      </c>
      <c r="K234" s="12">
        <v>1.5</v>
      </c>
      <c r="L234" s="13" t="str">
        <f>IF(D234&lt;&gt;"",VLOOKUP(H234,TABLEITEM,2,FALSE),"")</f>
        <v/>
      </c>
      <c r="M234" s="13" t="str">
        <f>IF(D234&lt;&gt;"",VLOOKUP(H234,TABLEITEM,3,FALSE),"")</f>
        <v>หางปลาแฉกเปลือย Y4-4</v>
      </c>
      <c r="N234" s="14">
        <f>INSTOCK!$I234*INSTOCK!$K234</f>
        <v>3625.5</v>
      </c>
      <c r="O234" s="4"/>
      <c r="P234" s="4"/>
    </row>
    <row r="235" ht="15.75" hidden="1" customHeight="1">
      <c r="B235" s="8">
        <v>233.0</v>
      </c>
      <c r="C235" s="9">
        <v>43199.0</v>
      </c>
      <c r="D235" s="6" t="s">
        <v>15</v>
      </c>
      <c r="E235" s="4"/>
      <c r="F235" s="8"/>
      <c r="G235" s="4"/>
      <c r="H235" s="10" t="s">
        <v>252</v>
      </c>
      <c r="I235" s="10">
        <v>0.0</v>
      </c>
      <c r="J235" s="11" t="str">
        <f>IF(D235&lt;&gt;"",VLOOKUP(H235,TABLEITEM,5,FALSE),"")</f>
        <v>EA</v>
      </c>
      <c r="K235" s="12">
        <v>1.84</v>
      </c>
      <c r="L235" s="13" t="str">
        <f>IF(D235&lt;&gt;"",VLOOKUP(H235,TABLEITEM,2,FALSE),"")</f>
        <v/>
      </c>
      <c r="M235" s="13" t="str">
        <f>IF(D235&lt;&gt;"",VLOOKUP(H235,TABLEITEM,3,FALSE),"")</f>
        <v>หางปลาแฉกเปลือย Y5.5-4</v>
      </c>
      <c r="N235" s="14">
        <f>INSTOCK!$I235*INSTOCK!$K235</f>
        <v>0</v>
      </c>
      <c r="O235" s="4"/>
      <c r="P235" s="4"/>
    </row>
    <row r="236" ht="15.75" hidden="1" customHeight="1">
      <c r="B236" s="8">
        <v>234.0</v>
      </c>
      <c r="C236" s="9">
        <v>43199.0</v>
      </c>
      <c r="D236" s="6" t="s">
        <v>15</v>
      </c>
      <c r="E236" s="4"/>
      <c r="F236" s="8"/>
      <c r="G236" s="4"/>
      <c r="H236" s="10" t="s">
        <v>253</v>
      </c>
      <c r="I236" s="10">
        <v>38.0</v>
      </c>
      <c r="J236" s="11" t="str">
        <f>IF(D236&lt;&gt;"",VLOOKUP(H236,TABLEITEM,5,FALSE),"")</f>
        <v>EA</v>
      </c>
      <c r="K236" s="12">
        <v>1.84</v>
      </c>
      <c r="L236" s="13" t="str">
        <f>IF(D236&lt;&gt;"",VLOOKUP(H236,TABLEITEM,2,FALSE),"")</f>
        <v/>
      </c>
      <c r="M236" s="13" t="str">
        <f>IF(D236&lt;&gt;"",VLOOKUP(H236,TABLEITEM,3,FALSE),"")</f>
        <v>หางปลาแฉกเปลือย Y5.5-5</v>
      </c>
      <c r="N236" s="14">
        <f>INSTOCK!$I236*INSTOCK!$K236</f>
        <v>69.92</v>
      </c>
      <c r="O236" s="4"/>
      <c r="P236" s="4"/>
    </row>
    <row r="237" ht="15.75" hidden="1" customHeight="1">
      <c r="B237" s="8">
        <v>235.0</v>
      </c>
      <c r="C237" s="9">
        <v>43199.0</v>
      </c>
      <c r="D237" s="6" t="s">
        <v>15</v>
      </c>
      <c r="E237" s="4"/>
      <c r="F237" s="8"/>
      <c r="G237" s="4"/>
      <c r="H237" s="10" t="s">
        <v>254</v>
      </c>
      <c r="I237" s="10">
        <v>1090.0</v>
      </c>
      <c r="J237" s="11" t="str">
        <f>IF(D237&lt;&gt;"",VLOOKUP(H237,TABLEITEM,5,FALSE),"")</f>
        <v>EA</v>
      </c>
      <c r="K237" s="12">
        <v>1.5</v>
      </c>
      <c r="L237" s="13" t="str">
        <f>IF(D237&lt;&gt;"",VLOOKUP(H237,TABLEITEM,2,FALSE),"")</f>
        <v/>
      </c>
      <c r="M237" s="13" t="str">
        <f>IF(D237&lt;&gt;"",VLOOKUP(H237,TABLEITEM,3,FALSE),"")</f>
        <v>หางปลาแฉกเปลือย Y6-4S</v>
      </c>
      <c r="N237" s="14">
        <f>INSTOCK!$I237*INSTOCK!$K237</f>
        <v>1635</v>
      </c>
      <c r="O237" s="4"/>
      <c r="P237" s="4"/>
    </row>
    <row r="238" ht="15.75" hidden="1" customHeight="1">
      <c r="B238" s="8">
        <v>236.0</v>
      </c>
      <c r="C238" s="9">
        <v>43199.0</v>
      </c>
      <c r="D238" s="6" t="s">
        <v>15</v>
      </c>
      <c r="E238" s="4"/>
      <c r="F238" s="8"/>
      <c r="G238" s="4"/>
      <c r="H238" s="10" t="s">
        <v>255</v>
      </c>
      <c r="I238" s="10">
        <v>1200.0</v>
      </c>
      <c r="J238" s="11" t="str">
        <f>IF(D238&lt;&gt;"",VLOOKUP(H238,TABLEITEM,5,FALSE),"")</f>
        <v>EA</v>
      </c>
      <c r="K238" s="12">
        <v>1.5</v>
      </c>
      <c r="L238" s="13" t="str">
        <f>IF(D238&lt;&gt;"",VLOOKUP(H238,TABLEITEM,2,FALSE),"")</f>
        <v/>
      </c>
      <c r="M238" s="13" t="str">
        <f>IF(D238&lt;&gt;"",VLOOKUP(H238,TABLEITEM,3,FALSE),"")</f>
        <v>หางปลาแฉกเปลือย Y6-5S</v>
      </c>
      <c r="N238" s="14">
        <f>INSTOCK!$I238*INSTOCK!$K238</f>
        <v>1800</v>
      </c>
      <c r="O238" s="4"/>
      <c r="P238" s="4"/>
    </row>
    <row r="239" ht="15.75" hidden="1" customHeight="1">
      <c r="B239" s="8">
        <v>237.0</v>
      </c>
      <c r="C239" s="9">
        <v>43199.0</v>
      </c>
      <c r="D239" s="6" t="s">
        <v>15</v>
      </c>
      <c r="E239" s="4"/>
      <c r="F239" s="8"/>
      <c r="G239" s="4"/>
      <c r="H239" s="10" t="s">
        <v>256</v>
      </c>
      <c r="I239" s="10">
        <v>1200.0</v>
      </c>
      <c r="J239" s="11" t="str">
        <f>IF(D239&lt;&gt;"",VLOOKUP(H239,TABLEITEM,5,FALSE),"")</f>
        <v>EA</v>
      </c>
      <c r="K239" s="12">
        <v>0.9</v>
      </c>
      <c r="L239" s="13" t="str">
        <f>IF(D239&lt;&gt;"",VLOOKUP(H239,TABLEITEM,2,FALSE),"")</f>
        <v/>
      </c>
      <c r="M239" s="13" t="str">
        <f>IF(D239&lt;&gt;"",VLOOKUP(H239,TABLEITEM,3,FALSE),"")</f>
        <v>หางปลาแฉกหุ้ม 1.5-3S</v>
      </c>
      <c r="N239" s="14">
        <f>INSTOCK!$I239*INSTOCK!$K239</f>
        <v>1080</v>
      </c>
      <c r="O239" s="4"/>
      <c r="P239" s="4"/>
    </row>
    <row r="240" ht="15.75" hidden="1" customHeight="1">
      <c r="B240" s="8">
        <v>238.0</v>
      </c>
      <c r="C240" s="9">
        <v>43199.0</v>
      </c>
      <c r="D240" s="6" t="s">
        <v>15</v>
      </c>
      <c r="E240" s="4"/>
      <c r="F240" s="8"/>
      <c r="G240" s="4"/>
      <c r="H240" s="10" t="s">
        <v>257</v>
      </c>
      <c r="I240" s="10">
        <v>1500.0</v>
      </c>
      <c r="J240" s="11" t="str">
        <f>IF(D240&lt;&gt;"",VLOOKUP(H240,TABLEITEM,5,FALSE),"")</f>
        <v>EA</v>
      </c>
      <c r="K240" s="12">
        <v>0.9</v>
      </c>
      <c r="L240" s="13" t="str">
        <f>IF(D240&lt;&gt;"",VLOOKUP(H240,TABLEITEM,2,FALSE),"")</f>
        <v/>
      </c>
      <c r="M240" s="13" t="str">
        <f>IF(D240&lt;&gt;"",VLOOKUP(H240,TABLEITEM,3,FALSE),"")</f>
        <v>หางปลาแฉกหุ้ม YF2.5+4S</v>
      </c>
      <c r="N240" s="14">
        <f>INSTOCK!$I240*INSTOCK!$K240</f>
        <v>1350</v>
      </c>
      <c r="O240" s="4"/>
      <c r="P240" s="4"/>
    </row>
    <row r="241" ht="15.75" hidden="1" customHeight="1">
      <c r="B241" s="8">
        <v>239.0</v>
      </c>
      <c r="C241" s="9">
        <v>43199.0</v>
      </c>
      <c r="D241" s="6" t="s">
        <v>15</v>
      </c>
      <c r="E241" s="4"/>
      <c r="F241" s="8"/>
      <c r="G241" s="4"/>
      <c r="H241" s="10" t="s">
        <v>258</v>
      </c>
      <c r="I241" s="10">
        <v>1001.0</v>
      </c>
      <c r="J241" s="11" t="str">
        <f>IF(D241&lt;&gt;"",VLOOKUP(H241,TABLEITEM,5,FALSE),"")</f>
        <v>EA</v>
      </c>
      <c r="K241" s="12">
        <v>1.6</v>
      </c>
      <c r="L241" s="13" t="str">
        <f>IF(D241&lt;&gt;"",VLOOKUP(H241,TABLEITEM,2,FALSE),"")</f>
        <v/>
      </c>
      <c r="M241" s="13" t="str">
        <f>IF(D241&lt;&gt;"",VLOOKUP(H241,TABLEITEM,3,FALSE),"")</f>
        <v>หางปลาแฉกหุ้ม 4-4</v>
      </c>
      <c r="N241" s="14">
        <f>INSTOCK!$I241*INSTOCK!$K241</f>
        <v>1601.6</v>
      </c>
      <c r="O241" s="4"/>
      <c r="P241" s="4"/>
    </row>
    <row r="242" ht="15.75" hidden="1" customHeight="1">
      <c r="B242" s="8">
        <v>240.0</v>
      </c>
      <c r="C242" s="9">
        <v>43199.0</v>
      </c>
      <c r="D242" s="6" t="s">
        <v>15</v>
      </c>
      <c r="E242" s="4"/>
      <c r="F242" s="8"/>
      <c r="G242" s="4"/>
      <c r="H242" s="10" t="s">
        <v>259</v>
      </c>
      <c r="I242" s="10">
        <v>22.0</v>
      </c>
      <c r="J242" s="11" t="str">
        <f>IF(D242&lt;&gt;"",VLOOKUP(H242,TABLEITEM,5,FALSE),"")</f>
        <v>EA</v>
      </c>
      <c r="K242" s="12">
        <v>1.9</v>
      </c>
      <c r="L242" s="13" t="str">
        <f>IF(D242&lt;&gt;"",VLOOKUP(H242,TABLEITEM,2,FALSE),"")</f>
        <v/>
      </c>
      <c r="M242" s="13" t="str">
        <f>IF(D242&lt;&gt;"",VLOOKUP(H242,TABLEITEM,3,FALSE),"")</f>
        <v>หางปลาแฉกหุ้ม 6-5</v>
      </c>
      <c r="N242" s="14">
        <f>INSTOCK!$I242*INSTOCK!$K242</f>
        <v>41.8</v>
      </c>
      <c r="O242" s="4"/>
      <c r="P242" s="4"/>
    </row>
    <row r="243" ht="15.75" hidden="1" customHeight="1">
      <c r="B243" s="8">
        <v>241.0</v>
      </c>
      <c r="C243" s="9">
        <v>43199.0</v>
      </c>
      <c r="D243" s="6" t="s">
        <v>15</v>
      </c>
      <c r="E243" s="4"/>
      <c r="F243" s="8"/>
      <c r="G243" s="4"/>
      <c r="H243" s="10" t="s">
        <v>260</v>
      </c>
      <c r="I243" s="10">
        <v>178.0</v>
      </c>
      <c r="J243" s="11" t="str">
        <f>IF(D243&lt;&gt;"",VLOOKUP(H243,TABLEITEM,5,FALSE),"")</f>
        <v>EA</v>
      </c>
      <c r="K243" s="12">
        <v>3.0</v>
      </c>
      <c r="L243" s="13" t="str">
        <f>IF(D243&lt;&gt;"",VLOOKUP(H243,TABLEITEM,2,FALSE),"")</f>
        <v/>
      </c>
      <c r="M243" s="13" t="str">
        <f>IF(D243&lt;&gt;"",VLOOKUP(H243,TABLEITEM,3,FALSE),"")</f>
        <v>หางปลาแฉกหุ้ม 6-6</v>
      </c>
      <c r="N243" s="14">
        <f>INSTOCK!$I243*INSTOCK!$K243</f>
        <v>534</v>
      </c>
      <c r="O243" s="4"/>
      <c r="P243" s="4"/>
    </row>
    <row r="244" ht="15.75" hidden="1" customHeight="1">
      <c r="B244" s="8">
        <v>242.0</v>
      </c>
      <c r="C244" s="9">
        <v>43199.0</v>
      </c>
      <c r="D244" s="6" t="s">
        <v>15</v>
      </c>
      <c r="E244" s="4"/>
      <c r="F244" s="8"/>
      <c r="G244" s="4"/>
      <c r="H244" s="10" t="s">
        <v>261</v>
      </c>
      <c r="I244" s="10">
        <v>1600.0</v>
      </c>
      <c r="J244" s="11" t="str">
        <f>IF(D244&lt;&gt;"",VLOOKUP(H244,TABLEITEM,5,FALSE),"")</f>
        <v>EA</v>
      </c>
      <c r="K244" s="12">
        <v>1.2</v>
      </c>
      <c r="L244" s="13" t="str">
        <f>IF(D244&lt;&gt;"",VLOOKUP(H244,TABLEITEM,2,FALSE),"")</f>
        <v/>
      </c>
      <c r="M244" s="13" t="str">
        <f>IF(D244&lt;&gt;"",VLOOKUP(H244,TABLEITEM,3,FALSE),"")</f>
        <v>หางปลากลมหุ้ม 1.5-3</v>
      </c>
      <c r="N244" s="14">
        <f>INSTOCK!$I244*INSTOCK!$K244</f>
        <v>1920</v>
      </c>
      <c r="O244" s="4"/>
      <c r="P244" s="4"/>
    </row>
    <row r="245" ht="15.75" hidden="1" customHeight="1">
      <c r="B245" s="8">
        <v>243.0</v>
      </c>
      <c r="C245" s="9">
        <v>43199.0</v>
      </c>
      <c r="D245" s="6" t="s">
        <v>15</v>
      </c>
      <c r="E245" s="4"/>
      <c r="F245" s="8"/>
      <c r="G245" s="4"/>
      <c r="H245" s="10" t="s">
        <v>262</v>
      </c>
      <c r="I245" s="10">
        <v>928.0</v>
      </c>
      <c r="J245" s="11" t="str">
        <f>IF(D245&lt;&gt;"",VLOOKUP(H245,TABLEITEM,5,FALSE),"")</f>
        <v>EA</v>
      </c>
      <c r="K245" s="12">
        <v>1.2</v>
      </c>
      <c r="L245" s="13" t="str">
        <f>IF(D245&lt;&gt;"",VLOOKUP(H245,TABLEITEM,2,FALSE),"")</f>
        <v/>
      </c>
      <c r="M245" s="13" t="str">
        <f>IF(D245&lt;&gt;"",VLOOKUP(H245,TABLEITEM,3,FALSE),"")</f>
        <v>หางปลากลมหุ้ม 2.5-5</v>
      </c>
      <c r="N245" s="14">
        <f>INSTOCK!$I245*INSTOCK!$K245</f>
        <v>1113.6</v>
      </c>
      <c r="O245" s="4"/>
      <c r="P245" s="4"/>
    </row>
    <row r="246" ht="15.75" hidden="1" customHeight="1">
      <c r="B246" s="8">
        <v>244.0</v>
      </c>
      <c r="C246" s="9">
        <v>43199.0</v>
      </c>
      <c r="D246" s="6" t="s">
        <v>15</v>
      </c>
      <c r="E246" s="4"/>
      <c r="F246" s="8"/>
      <c r="G246" s="4"/>
      <c r="H246" s="10" t="s">
        <v>263</v>
      </c>
      <c r="I246" s="10">
        <v>149.0</v>
      </c>
      <c r="J246" s="11" t="str">
        <f>IF(D246&lt;&gt;"",VLOOKUP(H246,TABLEITEM,5,FALSE),"")</f>
        <v>EA</v>
      </c>
      <c r="K246" s="12">
        <v>2.0</v>
      </c>
      <c r="L246" s="13" t="str">
        <f>IF(D246&lt;&gt;"",VLOOKUP(H246,TABLEITEM,2,FALSE),"")</f>
        <v/>
      </c>
      <c r="M246" s="13" t="str">
        <f>IF(D246&lt;&gt;"",VLOOKUP(H246,TABLEITEM,3,FALSE),"")</f>
        <v>หางปลากลมหุ้ม 4-4</v>
      </c>
      <c r="N246" s="14">
        <f>INSTOCK!$I246*INSTOCK!$K246</f>
        <v>298</v>
      </c>
      <c r="O246" s="4"/>
      <c r="P246" s="4"/>
    </row>
    <row r="247" ht="15.75" hidden="1" customHeight="1">
      <c r="B247" s="8">
        <v>245.0</v>
      </c>
      <c r="C247" s="9">
        <v>43199.0</v>
      </c>
      <c r="D247" s="6" t="s">
        <v>15</v>
      </c>
      <c r="E247" s="4"/>
      <c r="F247" s="8"/>
      <c r="G247" s="4"/>
      <c r="H247" s="10" t="s">
        <v>264</v>
      </c>
      <c r="I247" s="10">
        <v>610.0</v>
      </c>
      <c r="J247" s="11" t="str">
        <f>IF(D247&lt;&gt;"",VLOOKUP(H247,TABLEITEM,5,FALSE),"")</f>
        <v>EA</v>
      </c>
      <c r="K247" s="12">
        <v>1.2</v>
      </c>
      <c r="L247" s="13" t="str">
        <f>IF(D247&lt;&gt;"",VLOOKUP(H247,TABLEITEM,2,FALSE),"")</f>
        <v/>
      </c>
      <c r="M247" s="13" t="str">
        <f>IF(D247&lt;&gt;"",VLOOKUP(H247,TABLEITEM,3,FALSE),"")</f>
        <v>หางปลากลมหุ้ม 2.5-4</v>
      </c>
      <c r="N247" s="14">
        <f>INSTOCK!$I247*INSTOCK!$K247</f>
        <v>732</v>
      </c>
      <c r="O247" s="4"/>
      <c r="P247" s="4"/>
    </row>
    <row r="248" ht="15.75" hidden="1" customHeight="1">
      <c r="B248" s="8">
        <v>246.0</v>
      </c>
      <c r="C248" s="9">
        <v>43199.0</v>
      </c>
      <c r="D248" s="6" t="s">
        <v>15</v>
      </c>
      <c r="E248" s="4"/>
      <c r="F248" s="8"/>
      <c r="G248" s="4"/>
      <c r="H248" s="10" t="s">
        <v>265</v>
      </c>
      <c r="I248" s="10">
        <v>100.0</v>
      </c>
      <c r="J248" s="11" t="str">
        <f>IF(D248&lt;&gt;"",VLOOKUP(H248,TABLEITEM,5,FALSE),"")</f>
        <v>EA</v>
      </c>
      <c r="K248" s="12">
        <v>4.2</v>
      </c>
      <c r="L248" s="13" t="str">
        <f>IF(D248&lt;&gt;"",VLOOKUP(H248,TABLEITEM,2,FALSE),"")</f>
        <v/>
      </c>
      <c r="M248" s="13" t="str">
        <f>IF(D248&lt;&gt;"",VLOOKUP(H248,TABLEITEM,3,FALSE),"")</f>
        <v>หางปลากลมหุ้ม 5.5-10</v>
      </c>
      <c r="N248" s="14">
        <f>INSTOCK!$I248*INSTOCK!$K248</f>
        <v>420</v>
      </c>
      <c r="O248" s="4"/>
      <c r="P248" s="4"/>
    </row>
    <row r="249" ht="15.75" hidden="1" customHeight="1">
      <c r="B249" s="8">
        <v>247.0</v>
      </c>
      <c r="C249" s="9">
        <v>43199.0</v>
      </c>
      <c r="D249" s="6" t="s">
        <v>15</v>
      </c>
      <c r="E249" s="4"/>
      <c r="F249" s="8"/>
      <c r="G249" s="4"/>
      <c r="H249" s="10" t="s">
        <v>266</v>
      </c>
      <c r="I249" s="10">
        <v>352.0</v>
      </c>
      <c r="J249" s="11" t="str">
        <f>IF(D249&lt;&gt;"",VLOOKUP(H249,TABLEITEM,5,FALSE),"")</f>
        <v>EA</v>
      </c>
      <c r="K249" s="12">
        <v>2.0</v>
      </c>
      <c r="L249" s="13" t="str">
        <f>IF(D249&lt;&gt;"",VLOOKUP(H249,TABLEITEM,2,FALSE),"")</f>
        <v/>
      </c>
      <c r="M249" s="13" t="str">
        <f>IF(D249&lt;&gt;"",VLOOKUP(H249,TABLEITEM,3,FALSE),"")</f>
        <v>หางปลากลมหุ้ม 6-4</v>
      </c>
      <c r="N249" s="14">
        <f>INSTOCK!$I249*INSTOCK!$K249</f>
        <v>704</v>
      </c>
      <c r="O249" s="4"/>
      <c r="P249" s="4"/>
    </row>
    <row r="250" ht="15.75" hidden="1" customHeight="1">
      <c r="B250" s="8">
        <v>248.0</v>
      </c>
      <c r="C250" s="9">
        <v>43199.0</v>
      </c>
      <c r="D250" s="6" t="s">
        <v>15</v>
      </c>
      <c r="E250" s="4"/>
      <c r="F250" s="8"/>
      <c r="G250" s="4"/>
      <c r="H250" s="10" t="s">
        <v>267</v>
      </c>
      <c r="I250" s="10">
        <v>1500.0</v>
      </c>
      <c r="J250" s="11" t="str">
        <f>IF(D250&lt;&gt;"",VLOOKUP(H250,TABLEITEM,5,FALSE),"")</f>
        <v>EA</v>
      </c>
      <c r="K250" s="12">
        <v>3.0</v>
      </c>
      <c r="L250" s="13" t="str">
        <f>IF(D250&lt;&gt;"",VLOOKUP(H250,TABLEITEM,2,FALSE),"")</f>
        <v/>
      </c>
      <c r="M250" s="13" t="str">
        <f>IF(D250&lt;&gt;"",VLOOKUP(H250,TABLEITEM,3,FALSE),"")</f>
        <v>หางปลากลมหุ้ม 6-6</v>
      </c>
      <c r="N250" s="14">
        <f>INSTOCK!$I250*INSTOCK!$K250</f>
        <v>4500</v>
      </c>
      <c r="O250" s="4"/>
      <c r="P250" s="4"/>
    </row>
    <row r="251" ht="15.75" hidden="1" customHeight="1">
      <c r="B251" s="8">
        <v>249.0</v>
      </c>
      <c r="C251" s="9">
        <v>43199.0</v>
      </c>
      <c r="D251" s="6" t="s">
        <v>15</v>
      </c>
      <c r="E251" s="4"/>
      <c r="F251" s="8"/>
      <c r="G251" s="4"/>
      <c r="H251" s="10" t="s">
        <v>268</v>
      </c>
      <c r="I251" s="10">
        <v>82.0</v>
      </c>
      <c r="J251" s="11" t="str">
        <f>IF(D251&lt;&gt;"",VLOOKUP(H251,TABLEITEM,5,FALSE),"")</f>
        <v>EA</v>
      </c>
      <c r="K251" s="12">
        <v>3.0</v>
      </c>
      <c r="L251" s="13" t="str">
        <f>IF(D251&lt;&gt;"",VLOOKUP(H251,TABLEITEM,2,FALSE),"")</f>
        <v/>
      </c>
      <c r="M251" s="13" t="str">
        <f>IF(D251&lt;&gt;"",VLOOKUP(H251,TABLEITEM,3,FALSE),"")</f>
        <v>หางปลากลมหุ้ม 6-8</v>
      </c>
      <c r="N251" s="14">
        <f>INSTOCK!$I251*INSTOCK!$K251</f>
        <v>246</v>
      </c>
      <c r="O251" s="4"/>
      <c r="P251" s="4"/>
    </row>
    <row r="252" ht="15.75" hidden="1" customHeight="1">
      <c r="B252" s="8">
        <v>250.0</v>
      </c>
      <c r="C252" s="9">
        <v>43199.0</v>
      </c>
      <c r="D252" s="6" t="s">
        <v>15</v>
      </c>
      <c r="E252" s="4"/>
      <c r="F252" s="8"/>
      <c r="G252" s="4"/>
      <c r="H252" s="10" t="s">
        <v>269</v>
      </c>
      <c r="I252" s="10">
        <v>24.0</v>
      </c>
      <c r="J252" s="11" t="str">
        <f>IF(D252&lt;&gt;"",VLOOKUP(H252,TABLEITEM,5,FALSE),"")</f>
        <v>EA</v>
      </c>
      <c r="K252" s="12">
        <v>4.5</v>
      </c>
      <c r="L252" s="13" t="str">
        <f>IF(D252&lt;&gt;"",VLOOKUP(H252,TABLEITEM,2,FALSE),"")</f>
        <v/>
      </c>
      <c r="M252" s="13" t="str">
        <f>IF(D252&lt;&gt;"",VLOOKUP(H252,TABLEITEM,3,FALSE),"")</f>
        <v>หางปลากลมหุ้ม 6-10</v>
      </c>
      <c r="N252" s="14">
        <f>INSTOCK!$I252*INSTOCK!$K252</f>
        <v>108</v>
      </c>
      <c r="O252" s="4"/>
      <c r="P252" s="4"/>
    </row>
    <row r="253" ht="15.75" hidden="1" customHeight="1">
      <c r="B253" s="8">
        <v>251.0</v>
      </c>
      <c r="C253" s="9">
        <v>43199.0</v>
      </c>
      <c r="D253" s="6" t="s">
        <v>15</v>
      </c>
      <c r="E253" s="4"/>
      <c r="F253" s="8"/>
      <c r="G253" s="4"/>
      <c r="H253" s="10" t="s">
        <v>270</v>
      </c>
      <c r="I253" s="10">
        <v>803.0</v>
      </c>
      <c r="J253" s="11" t="str">
        <f>IF(D253&lt;&gt;"",VLOOKUP(H253,TABLEITEM,5,FALSE),"")</f>
        <v>EA</v>
      </c>
      <c r="K253" s="12">
        <v>0.9</v>
      </c>
      <c r="L253" s="13" t="str">
        <f>IF(D253&lt;&gt;"",VLOOKUP(H253,TABLEITEM,2,FALSE),"")</f>
        <v/>
      </c>
      <c r="M253" s="13" t="str">
        <f>IF(D253&lt;&gt;"",VLOOKUP(H253,TABLEITEM,3,FALSE),"")</f>
        <v>หางปลากลมเปลือย 1.5-3</v>
      </c>
      <c r="N253" s="14">
        <f>INSTOCK!$I253*INSTOCK!$K253</f>
        <v>722.7</v>
      </c>
      <c r="O253" s="4"/>
      <c r="P253" s="4"/>
    </row>
    <row r="254" ht="15.75" hidden="1" customHeight="1">
      <c r="B254" s="8">
        <v>252.0</v>
      </c>
      <c r="C254" s="9">
        <v>43199.0</v>
      </c>
      <c r="D254" s="6" t="s">
        <v>15</v>
      </c>
      <c r="E254" s="4"/>
      <c r="F254" s="8"/>
      <c r="G254" s="4"/>
      <c r="H254" s="10" t="s">
        <v>271</v>
      </c>
      <c r="I254" s="10">
        <v>5600.0</v>
      </c>
      <c r="J254" s="11" t="str">
        <f>IF(D254&lt;&gt;"",VLOOKUP(H254,TABLEITEM,5,FALSE),"")</f>
        <v>EA</v>
      </c>
      <c r="K254" s="12">
        <v>0.9</v>
      </c>
      <c r="L254" s="13" t="str">
        <f>IF(D254&lt;&gt;"",VLOOKUP(H254,TABLEITEM,2,FALSE),"")</f>
        <v/>
      </c>
      <c r="M254" s="13" t="str">
        <f>IF(D254&lt;&gt;"",VLOOKUP(H254,TABLEITEM,3,FALSE),"")</f>
        <v>หางปลากลมเปลือย 1.5-4</v>
      </c>
      <c r="N254" s="14">
        <f>INSTOCK!$I254*INSTOCK!$K254</f>
        <v>5040</v>
      </c>
      <c r="O254" s="4"/>
      <c r="P254" s="4"/>
    </row>
    <row r="255" ht="15.75" hidden="1" customHeight="1">
      <c r="B255" s="8">
        <v>253.0</v>
      </c>
      <c r="C255" s="9">
        <v>43199.0</v>
      </c>
      <c r="D255" s="6" t="s">
        <v>15</v>
      </c>
      <c r="E255" s="4"/>
      <c r="F255" s="8"/>
      <c r="G255" s="4"/>
      <c r="H255" s="10" t="s">
        <v>272</v>
      </c>
      <c r="I255" s="10">
        <v>1185.0</v>
      </c>
      <c r="J255" s="11" t="str">
        <f>IF(D255&lt;&gt;"",VLOOKUP(H255,TABLEITEM,5,FALSE),"")</f>
        <v>EA</v>
      </c>
      <c r="K255" s="12">
        <v>1.5</v>
      </c>
      <c r="L255" s="13" t="str">
        <f>IF(D255&lt;&gt;"",VLOOKUP(H255,TABLEITEM,2,FALSE),"")</f>
        <v/>
      </c>
      <c r="M255" s="13" t="str">
        <f>IF(D255&lt;&gt;"",VLOOKUP(H255,TABLEITEM,3,FALSE),"")</f>
        <v>หางปลาแฉกเปลือย Y6-5</v>
      </c>
      <c r="N255" s="14">
        <f>INSTOCK!$I255*INSTOCK!$K255</f>
        <v>1777.5</v>
      </c>
      <c r="O255" s="4"/>
      <c r="P255" s="4"/>
    </row>
    <row r="256" ht="15.75" hidden="1" customHeight="1">
      <c r="B256" s="8">
        <v>254.0</v>
      </c>
      <c r="C256" s="9">
        <v>43199.0</v>
      </c>
      <c r="D256" s="6" t="s">
        <v>15</v>
      </c>
      <c r="E256" s="4"/>
      <c r="F256" s="8"/>
      <c r="G256" s="4"/>
      <c r="H256" s="10" t="s">
        <v>273</v>
      </c>
      <c r="I256" s="10">
        <v>2000.0</v>
      </c>
      <c r="J256" s="11" t="str">
        <f>IF(D256&lt;&gt;"",VLOOKUP(H256,TABLEITEM,5,FALSE),"")</f>
        <v>EA</v>
      </c>
      <c r="K256" s="12">
        <v>2.25</v>
      </c>
      <c r="L256" s="13" t="str">
        <f>IF(D256&lt;&gt;"",VLOOKUP(H256,TABLEITEM,2,FALSE),"")</f>
        <v/>
      </c>
      <c r="M256" s="13" t="str">
        <f>IF(D256&lt;&gt;"",VLOOKUP(H256,TABLEITEM,3,FALSE),"")</f>
        <v>หางปลาแฉกเปลือย Y6-6</v>
      </c>
      <c r="N256" s="14">
        <f>INSTOCK!$I256*INSTOCK!$K256</f>
        <v>4500</v>
      </c>
      <c r="O256" s="4"/>
      <c r="P256" s="4"/>
    </row>
    <row r="257" ht="15.75" hidden="1" customHeight="1">
      <c r="B257" s="8">
        <v>255.0</v>
      </c>
      <c r="C257" s="9">
        <v>43199.0</v>
      </c>
      <c r="D257" s="6" t="s">
        <v>15</v>
      </c>
      <c r="E257" s="4"/>
      <c r="F257" s="8"/>
      <c r="G257" s="4"/>
      <c r="H257" s="10" t="s">
        <v>274</v>
      </c>
      <c r="I257" s="10">
        <v>1200.0</v>
      </c>
      <c r="J257" s="11" t="str">
        <f>IF(D257&lt;&gt;"",VLOOKUP(H257,TABLEITEM,5,FALSE),"")</f>
        <v>EA</v>
      </c>
      <c r="K257" s="12">
        <v>0.87</v>
      </c>
      <c r="L257" s="13" t="str">
        <f>IF(D257&lt;&gt;"",VLOOKUP(H257,TABLEITEM,2,FALSE),"")</f>
        <v/>
      </c>
      <c r="M257" s="13" t="str">
        <f>IF(D257&lt;&gt;"",VLOOKUP(H257,TABLEITEM,3,FALSE),"")</f>
        <v>หางปลากลมเปลือย 2-3</v>
      </c>
      <c r="N257" s="14">
        <f>INSTOCK!$I257*INSTOCK!$K257</f>
        <v>1044</v>
      </c>
      <c r="O257" s="4"/>
      <c r="P257" s="4"/>
    </row>
    <row r="258" ht="15.75" hidden="1" customHeight="1">
      <c r="B258" s="8">
        <v>256.0</v>
      </c>
      <c r="C258" s="9">
        <v>43199.0</v>
      </c>
      <c r="D258" s="6" t="s">
        <v>15</v>
      </c>
      <c r="E258" s="4"/>
      <c r="F258" s="8"/>
      <c r="G258" s="4"/>
      <c r="H258" s="10" t="s">
        <v>275</v>
      </c>
      <c r="I258" s="10">
        <v>775.0</v>
      </c>
      <c r="J258" s="11" t="str">
        <f>IF(D258&lt;&gt;"",VLOOKUP(H258,TABLEITEM,5,FALSE),"")</f>
        <v>EA</v>
      </c>
      <c r="K258" s="12">
        <v>1.02</v>
      </c>
      <c r="L258" s="13" t="str">
        <f>IF(D258&lt;&gt;"",VLOOKUP(H258,TABLEITEM,2,FALSE),"")</f>
        <v/>
      </c>
      <c r="M258" s="13" t="str">
        <f>IF(D258&lt;&gt;"",VLOOKUP(H258,TABLEITEM,3,FALSE),"")</f>
        <v>หางปลากลมเปลือย 2-4</v>
      </c>
      <c r="N258" s="14">
        <f>INSTOCK!$I258*INSTOCK!$K258</f>
        <v>790.5</v>
      </c>
      <c r="O258" s="4"/>
      <c r="P258" s="4"/>
    </row>
    <row r="259" ht="15.75" hidden="1" customHeight="1">
      <c r="B259" s="8">
        <v>257.0</v>
      </c>
      <c r="C259" s="9">
        <v>43199.0</v>
      </c>
      <c r="D259" s="6" t="s">
        <v>15</v>
      </c>
      <c r="E259" s="4"/>
      <c r="F259" s="8"/>
      <c r="G259" s="4"/>
      <c r="H259" s="10" t="s">
        <v>276</v>
      </c>
      <c r="I259" s="10">
        <v>480.0</v>
      </c>
      <c r="J259" s="11" t="str">
        <f>IF(D259&lt;&gt;"",VLOOKUP(H259,TABLEITEM,5,FALSE),"")</f>
        <v>EA</v>
      </c>
      <c r="K259" s="12">
        <v>1.02</v>
      </c>
      <c r="L259" s="13" t="str">
        <f>IF(D259&lt;&gt;"",VLOOKUP(H259,TABLEITEM,2,FALSE),"")</f>
        <v/>
      </c>
      <c r="M259" s="13" t="str">
        <f>IF(D259&lt;&gt;"",VLOOKUP(H259,TABLEITEM,3,FALSE),"")</f>
        <v>หางปลากลมเปลือย 2-5</v>
      </c>
      <c r="N259" s="14">
        <f>INSTOCK!$I259*INSTOCK!$K259</f>
        <v>489.6</v>
      </c>
      <c r="O259" s="4"/>
      <c r="P259" s="4"/>
    </row>
    <row r="260" ht="15.75" hidden="1" customHeight="1">
      <c r="B260" s="8">
        <v>258.0</v>
      </c>
      <c r="C260" s="9">
        <v>43199.0</v>
      </c>
      <c r="D260" s="6" t="s">
        <v>15</v>
      </c>
      <c r="E260" s="4"/>
      <c r="F260" s="8"/>
      <c r="G260" s="4"/>
      <c r="H260" s="10" t="s">
        <v>277</v>
      </c>
      <c r="I260" s="10">
        <v>1897.0</v>
      </c>
      <c r="J260" s="11" t="str">
        <f>IF(D260&lt;&gt;"",VLOOKUP(H260,TABLEITEM,5,FALSE),"")</f>
        <v>EA</v>
      </c>
      <c r="K260" s="12">
        <v>1.5</v>
      </c>
      <c r="L260" s="13" t="str">
        <f>IF(D260&lt;&gt;"",VLOOKUP(H260,TABLEITEM,2,FALSE),"")</f>
        <v/>
      </c>
      <c r="M260" s="13" t="str">
        <f>IF(D260&lt;&gt;"",VLOOKUP(H260,TABLEITEM,3,FALSE),"")</f>
        <v>หางปลากลมเปลือย 2-6</v>
      </c>
      <c r="N260" s="14">
        <f>INSTOCK!$I260*INSTOCK!$K260</f>
        <v>2845.5</v>
      </c>
      <c r="O260" s="4"/>
      <c r="P260" s="4"/>
    </row>
    <row r="261" ht="15.75" hidden="1" customHeight="1">
      <c r="B261" s="8">
        <v>259.0</v>
      </c>
      <c r="C261" s="9">
        <v>43199.0</v>
      </c>
      <c r="D261" s="6" t="s">
        <v>15</v>
      </c>
      <c r="E261" s="4"/>
      <c r="F261" s="8"/>
      <c r="G261" s="4"/>
      <c r="H261" s="10" t="s">
        <v>278</v>
      </c>
      <c r="I261" s="10">
        <v>197.0</v>
      </c>
      <c r="J261" s="11" t="str">
        <f>IF(D261&lt;&gt;"",VLOOKUP(H261,TABLEITEM,5,FALSE),"")</f>
        <v>EA</v>
      </c>
      <c r="K261" s="12">
        <v>1.6</v>
      </c>
      <c r="L261" s="13" t="str">
        <f>IF(D261&lt;&gt;"",VLOOKUP(H261,TABLEITEM,2,FALSE),"")</f>
        <v/>
      </c>
      <c r="M261" s="13" t="str">
        <f>IF(D261&lt;&gt;"",VLOOKUP(H261,TABLEITEM,3,FALSE),"")</f>
        <v>หางปลากลมเปลือย 2-8</v>
      </c>
      <c r="N261" s="14">
        <f>INSTOCK!$I261*INSTOCK!$K261</f>
        <v>315.2</v>
      </c>
      <c r="O261" s="4"/>
      <c r="P261" s="4"/>
    </row>
    <row r="262" ht="15.75" hidden="1" customHeight="1">
      <c r="B262" s="8">
        <v>260.0</v>
      </c>
      <c r="C262" s="9">
        <v>43199.0</v>
      </c>
      <c r="D262" s="6" t="s">
        <v>15</v>
      </c>
      <c r="E262" s="4"/>
      <c r="F262" s="8"/>
      <c r="G262" s="4"/>
      <c r="H262" s="10" t="s">
        <v>279</v>
      </c>
      <c r="I262" s="10">
        <v>2200.0</v>
      </c>
      <c r="J262" s="11" t="str">
        <f>IF(D262&lt;&gt;"",VLOOKUP(H262,TABLEITEM,5,FALSE),"")</f>
        <v>EA</v>
      </c>
      <c r="K262" s="12">
        <v>0.9</v>
      </c>
      <c r="L262" s="13" t="str">
        <f>IF(D262&lt;&gt;"",VLOOKUP(H262,TABLEITEM,2,FALSE),"")</f>
        <v/>
      </c>
      <c r="M262" s="13" t="str">
        <f>IF(D262&lt;&gt;"",VLOOKUP(H262,TABLEITEM,3,FALSE),"")</f>
        <v>หางปลากลมเปลือย 2.5-3</v>
      </c>
      <c r="N262" s="14">
        <f>INSTOCK!$I262*INSTOCK!$K262</f>
        <v>1980</v>
      </c>
      <c r="O262" s="4"/>
      <c r="P262" s="4"/>
    </row>
    <row r="263" ht="15.75" hidden="1" customHeight="1">
      <c r="B263" s="8">
        <v>261.0</v>
      </c>
      <c r="C263" s="9">
        <v>43199.0</v>
      </c>
      <c r="D263" s="6" t="s">
        <v>15</v>
      </c>
      <c r="E263" s="4"/>
      <c r="F263" s="8"/>
      <c r="G263" s="4"/>
      <c r="H263" s="10" t="s">
        <v>280</v>
      </c>
      <c r="I263" s="10">
        <v>4500.0</v>
      </c>
      <c r="J263" s="11" t="str">
        <f>IF(D263&lt;&gt;"",VLOOKUP(H263,TABLEITEM,5,FALSE),"")</f>
        <v>EA</v>
      </c>
      <c r="K263" s="12">
        <v>0.9</v>
      </c>
      <c r="L263" s="13" t="str">
        <f>IF(D263&lt;&gt;"",VLOOKUP(H263,TABLEITEM,2,FALSE),"")</f>
        <v/>
      </c>
      <c r="M263" s="13" t="str">
        <f>IF(D263&lt;&gt;"",VLOOKUP(H263,TABLEITEM,3,FALSE),"")</f>
        <v>หางปลากลมเปลือย 2.5-4</v>
      </c>
      <c r="N263" s="14">
        <f>INSTOCK!$I263*INSTOCK!$K263</f>
        <v>4050</v>
      </c>
      <c r="O263" s="4"/>
      <c r="P263" s="4"/>
    </row>
    <row r="264" ht="15.75" hidden="1" customHeight="1">
      <c r="B264" s="8">
        <v>262.0</v>
      </c>
      <c r="C264" s="9">
        <v>43199.0</v>
      </c>
      <c r="D264" s="6" t="s">
        <v>15</v>
      </c>
      <c r="E264" s="4"/>
      <c r="F264" s="8"/>
      <c r="G264" s="4"/>
      <c r="H264" s="10" t="s">
        <v>281</v>
      </c>
      <c r="I264" s="10">
        <v>4380.0</v>
      </c>
      <c r="J264" s="11" t="str">
        <f>IF(D264&lt;&gt;"",VLOOKUP(H264,TABLEITEM,5,FALSE),"")</f>
        <v>EA</v>
      </c>
      <c r="K264" s="12">
        <v>0.9</v>
      </c>
      <c r="L264" s="13" t="str">
        <f>IF(D264&lt;&gt;"",VLOOKUP(H264,TABLEITEM,2,FALSE),"")</f>
        <v/>
      </c>
      <c r="M264" s="13" t="str">
        <f>IF(D264&lt;&gt;"",VLOOKUP(H264,TABLEITEM,3,FALSE),"")</f>
        <v>หางปลากลมเปลือย 2.5-5</v>
      </c>
      <c r="N264" s="14">
        <f>INSTOCK!$I264*INSTOCK!$K264</f>
        <v>3942</v>
      </c>
      <c r="O264" s="4"/>
      <c r="P264" s="4"/>
    </row>
    <row r="265" ht="15.75" hidden="1" customHeight="1">
      <c r="B265" s="8">
        <v>263.0</v>
      </c>
      <c r="C265" s="9">
        <v>43199.0</v>
      </c>
      <c r="D265" s="6" t="s">
        <v>15</v>
      </c>
      <c r="E265" s="4"/>
      <c r="F265" s="8"/>
      <c r="G265" s="4"/>
      <c r="H265" s="10" t="s">
        <v>282</v>
      </c>
      <c r="I265" s="10">
        <v>1027.0</v>
      </c>
      <c r="J265" s="11" t="str">
        <f>IF(D265&lt;&gt;"",VLOOKUP(H265,TABLEITEM,5,FALSE),"")</f>
        <v>EA</v>
      </c>
      <c r="K265" s="12">
        <v>1.5</v>
      </c>
      <c r="L265" s="13" t="str">
        <f>IF(D265&lt;&gt;"",VLOOKUP(H265,TABLEITEM,2,FALSE),"")</f>
        <v/>
      </c>
      <c r="M265" s="13" t="str">
        <f>IF(D265&lt;&gt;"",VLOOKUP(H265,TABLEITEM,3,FALSE),"")</f>
        <v>หางปลากลมเปลือย 2.5-6</v>
      </c>
      <c r="N265" s="14">
        <f>INSTOCK!$I265*INSTOCK!$K265</f>
        <v>1540.5</v>
      </c>
      <c r="O265" s="4"/>
      <c r="P265" s="4"/>
    </row>
    <row r="266" ht="15.75" hidden="1" customHeight="1">
      <c r="B266" s="8">
        <v>264.0</v>
      </c>
      <c r="C266" s="9">
        <v>43199.0</v>
      </c>
      <c r="D266" s="6" t="s">
        <v>15</v>
      </c>
      <c r="E266" s="4"/>
      <c r="F266" s="8"/>
      <c r="G266" s="4"/>
      <c r="H266" s="10" t="s">
        <v>283</v>
      </c>
      <c r="I266" s="10">
        <v>130.0</v>
      </c>
      <c r="J266" s="11" t="str">
        <f>IF(D266&lt;&gt;"",VLOOKUP(H266,TABLEITEM,5,FALSE),"")</f>
        <v>EA</v>
      </c>
      <c r="K266" s="12">
        <v>1.65</v>
      </c>
      <c r="L266" s="13" t="str">
        <f>IF(D266&lt;&gt;"",VLOOKUP(H266,TABLEITEM,2,FALSE),"")</f>
        <v/>
      </c>
      <c r="M266" s="13" t="str">
        <f>IF(D266&lt;&gt;"",VLOOKUP(H266,TABLEITEM,3,FALSE),"")</f>
        <v>หางปลากลมเปลือย 3.5-4</v>
      </c>
      <c r="N266" s="14">
        <f>INSTOCK!$I266*INSTOCK!$K266</f>
        <v>214.5</v>
      </c>
      <c r="O266" s="4"/>
      <c r="P266" s="4"/>
    </row>
    <row r="267" ht="15.75" hidden="1" customHeight="1">
      <c r="B267" s="8">
        <v>265.0</v>
      </c>
      <c r="C267" s="9">
        <v>43199.0</v>
      </c>
      <c r="D267" s="6" t="s">
        <v>15</v>
      </c>
      <c r="E267" s="4"/>
      <c r="F267" s="8"/>
      <c r="G267" s="4"/>
      <c r="H267" s="10" t="s">
        <v>284</v>
      </c>
      <c r="I267" s="10">
        <v>1195.0</v>
      </c>
      <c r="J267" s="11" t="str">
        <f>IF(D267&lt;&gt;"",VLOOKUP(H267,TABLEITEM,5,FALSE),"")</f>
        <v>EA</v>
      </c>
      <c r="K267" s="12">
        <v>2.0</v>
      </c>
      <c r="L267" s="13" t="str">
        <f>IF(D267&lt;&gt;"",VLOOKUP(H267,TABLEITEM,2,FALSE),"")</f>
        <v/>
      </c>
      <c r="M267" s="13" t="str">
        <f>IF(D267&lt;&gt;"",VLOOKUP(H267,TABLEITEM,3,FALSE),"")</f>
        <v>หางปลากลมเปลือย 4-6</v>
      </c>
      <c r="N267" s="14">
        <f>INSTOCK!$I267*INSTOCK!$K267</f>
        <v>2390</v>
      </c>
      <c r="O267" s="4"/>
      <c r="P267" s="4"/>
    </row>
    <row r="268" ht="15.75" hidden="1" customHeight="1">
      <c r="B268" s="8">
        <v>266.0</v>
      </c>
      <c r="C268" s="9">
        <v>43199.0</v>
      </c>
      <c r="D268" s="6" t="s">
        <v>15</v>
      </c>
      <c r="E268" s="4"/>
      <c r="F268" s="8"/>
      <c r="G268" s="4"/>
      <c r="H268" s="10" t="s">
        <v>285</v>
      </c>
      <c r="I268" s="10">
        <v>0.0</v>
      </c>
      <c r="J268" s="11" t="str">
        <f>IF(D268&lt;&gt;"",VLOOKUP(H268,TABLEITEM,5,FALSE),"")</f>
        <v>EA</v>
      </c>
      <c r="K268" s="12">
        <v>2.65</v>
      </c>
      <c r="L268" s="13" t="str">
        <f>IF(D268&lt;&gt;"",VLOOKUP(H268,TABLEITEM,2,FALSE),"")</f>
        <v/>
      </c>
      <c r="M268" s="13" t="str">
        <f>IF(D268&lt;&gt;"",VLOOKUP(H268,TABLEITEM,3,FALSE),"")</f>
        <v>หางปลากลมเปลือย 5.5-6</v>
      </c>
      <c r="N268" s="14">
        <f>INSTOCK!$I268*INSTOCK!$K268</f>
        <v>0</v>
      </c>
      <c r="O268" s="4"/>
      <c r="P268" s="4"/>
    </row>
    <row r="269" ht="15.75" hidden="1" customHeight="1">
      <c r="B269" s="8">
        <v>267.0</v>
      </c>
      <c r="C269" s="9">
        <v>43199.0</v>
      </c>
      <c r="D269" s="6" t="s">
        <v>15</v>
      </c>
      <c r="E269" s="4"/>
      <c r="F269" s="8"/>
      <c r="G269" s="4"/>
      <c r="H269" s="10" t="s">
        <v>286</v>
      </c>
      <c r="I269" s="10">
        <v>200.0</v>
      </c>
      <c r="J269" s="11" t="str">
        <f>IF(D269&lt;&gt;"",VLOOKUP(H269,TABLEITEM,5,FALSE),"")</f>
        <v>EA</v>
      </c>
      <c r="K269" s="12">
        <v>3.1</v>
      </c>
      <c r="L269" s="13" t="str">
        <f>IF(D269&lt;&gt;"",VLOOKUP(H269,TABLEITEM,2,FALSE),"")</f>
        <v/>
      </c>
      <c r="M269" s="13" t="str">
        <f>IF(D269&lt;&gt;"",VLOOKUP(H269,TABLEITEM,3,FALSE),"")</f>
        <v>หางปลากลมเปลือย 5.5-8</v>
      </c>
      <c r="N269" s="14">
        <f>INSTOCK!$I269*INSTOCK!$K269</f>
        <v>620</v>
      </c>
      <c r="O269" s="4"/>
      <c r="P269" s="4"/>
    </row>
    <row r="270" ht="15.75" hidden="1" customHeight="1">
      <c r="B270" s="8">
        <v>268.0</v>
      </c>
      <c r="C270" s="9">
        <v>43199.0</v>
      </c>
      <c r="D270" s="6" t="s">
        <v>15</v>
      </c>
      <c r="E270" s="4"/>
      <c r="F270" s="8"/>
      <c r="G270" s="4"/>
      <c r="H270" s="10" t="s">
        <v>287</v>
      </c>
      <c r="I270" s="10">
        <v>1814.0</v>
      </c>
      <c r="J270" s="11" t="str">
        <f>IF(D270&lt;&gt;"",VLOOKUP(H270,TABLEITEM,5,FALSE),"")</f>
        <v>EA</v>
      </c>
      <c r="K270" s="12">
        <v>3.1</v>
      </c>
      <c r="L270" s="13" t="str">
        <f>IF(D270&lt;&gt;"",VLOOKUP(H270,TABLEITEM,2,FALSE),"")</f>
        <v/>
      </c>
      <c r="M270" s="13" t="str">
        <f>IF(D270&lt;&gt;"",VLOOKUP(H270,TABLEITEM,3,FALSE),"")</f>
        <v>หางปลากลมเปลือย 5.5-10</v>
      </c>
      <c r="N270" s="14">
        <f>INSTOCK!$I270*INSTOCK!$K270</f>
        <v>5623.4</v>
      </c>
      <c r="O270" s="4"/>
      <c r="P270" s="4"/>
    </row>
    <row r="271" ht="15.75" hidden="1" customHeight="1">
      <c r="B271" s="8">
        <v>269.0</v>
      </c>
      <c r="C271" s="9">
        <v>43199.0</v>
      </c>
      <c r="D271" s="6" t="s">
        <v>15</v>
      </c>
      <c r="E271" s="4"/>
      <c r="F271" s="8"/>
      <c r="G271" s="4"/>
      <c r="H271" s="10" t="s">
        <v>288</v>
      </c>
      <c r="I271" s="10">
        <v>610.0</v>
      </c>
      <c r="J271" s="11" t="str">
        <f>IF(D271&lt;&gt;"",VLOOKUP(H271,TABLEITEM,5,FALSE),"")</f>
        <v>EA</v>
      </c>
      <c r="K271" s="12">
        <v>2.5</v>
      </c>
      <c r="L271" s="13" t="str">
        <f>IF(D271&lt;&gt;"",VLOOKUP(H271,TABLEITEM,2,FALSE),"")</f>
        <v/>
      </c>
      <c r="M271" s="13" t="str">
        <f>IF(D271&lt;&gt;"",VLOOKUP(H271,TABLEITEM,3,FALSE),"")</f>
        <v>หางปลากลมเปลือย6-6</v>
      </c>
      <c r="N271" s="14">
        <f>INSTOCK!$I271*INSTOCK!$K271</f>
        <v>1525</v>
      </c>
      <c r="O271" s="4"/>
      <c r="P271" s="4"/>
    </row>
    <row r="272" ht="15.75" hidden="1" customHeight="1">
      <c r="B272" s="8">
        <v>270.0</v>
      </c>
      <c r="C272" s="9">
        <v>43199.0</v>
      </c>
      <c r="D272" s="6" t="s">
        <v>15</v>
      </c>
      <c r="E272" s="4"/>
      <c r="F272" s="8"/>
      <c r="G272" s="4"/>
      <c r="H272" s="10" t="s">
        <v>289</v>
      </c>
      <c r="I272" s="10">
        <v>501.0</v>
      </c>
      <c r="J272" s="11" t="str">
        <f>IF(D272&lt;&gt;"",VLOOKUP(H272,TABLEITEM,5,FALSE),"")</f>
        <v>EA</v>
      </c>
      <c r="K272" s="12">
        <v>2.19</v>
      </c>
      <c r="L272" s="13" t="str">
        <f>IF(D272&lt;&gt;"",VLOOKUP(H272,TABLEITEM,2,FALSE),"")</f>
        <v/>
      </c>
      <c r="M272" s="13" t="str">
        <f>IF(D272&lt;&gt;"",VLOOKUP(H272,TABLEITEM,3,FALSE),"")</f>
        <v>หางปลากลมเปลือย6-8</v>
      </c>
      <c r="N272" s="14">
        <f>INSTOCK!$I272*INSTOCK!$K272</f>
        <v>1097.19</v>
      </c>
      <c r="O272" s="4"/>
      <c r="P272" s="4"/>
    </row>
    <row r="273" ht="15.75" hidden="1" customHeight="1">
      <c r="B273" s="8">
        <v>271.0</v>
      </c>
      <c r="C273" s="9">
        <v>43199.0</v>
      </c>
      <c r="D273" s="6" t="s">
        <v>15</v>
      </c>
      <c r="E273" s="4"/>
      <c r="F273" s="8"/>
      <c r="G273" s="4"/>
      <c r="H273" s="10" t="s">
        <v>290</v>
      </c>
      <c r="I273" s="10">
        <v>2696.0</v>
      </c>
      <c r="J273" s="11" t="str">
        <f>IF(D273&lt;&gt;"",VLOOKUP(H273,TABLEITEM,5,FALSE),"")</f>
        <v>EA</v>
      </c>
      <c r="K273" s="12">
        <v>3.0</v>
      </c>
      <c r="L273" s="13" t="str">
        <f>IF(D273&lt;&gt;"",VLOOKUP(H273,TABLEITEM,2,FALSE),"")</f>
        <v/>
      </c>
      <c r="M273" s="13" t="str">
        <f>IF(D273&lt;&gt;"",VLOOKUP(H273,TABLEITEM,3,FALSE),"")</f>
        <v>หางปลากลมปลือย8-6</v>
      </c>
      <c r="N273" s="14">
        <f>INSTOCK!$I273*INSTOCK!$K273</f>
        <v>8088</v>
      </c>
      <c r="O273" s="4"/>
      <c r="P273" s="4"/>
    </row>
    <row r="274" ht="15.75" hidden="1" customHeight="1">
      <c r="B274" s="8">
        <v>272.0</v>
      </c>
      <c r="C274" s="9">
        <v>43199.0</v>
      </c>
      <c r="D274" s="6" t="s">
        <v>15</v>
      </c>
      <c r="E274" s="4"/>
      <c r="F274" s="8"/>
      <c r="G274" s="4"/>
      <c r="H274" s="10" t="s">
        <v>291</v>
      </c>
      <c r="I274" s="10">
        <v>2478.0</v>
      </c>
      <c r="J274" s="11" t="str">
        <f>IF(D274&lt;&gt;"",VLOOKUP(H274,TABLEITEM,5,FALSE),"")</f>
        <v>EA</v>
      </c>
      <c r="K274" s="12">
        <v>4.5</v>
      </c>
      <c r="L274" s="13" t="str">
        <f>IF(D274&lt;&gt;"",VLOOKUP(H274,TABLEITEM,2,FALSE),"")</f>
        <v/>
      </c>
      <c r="M274" s="13" t="str">
        <f>IF(D274&lt;&gt;"",VLOOKUP(H274,TABLEITEM,3,FALSE),"")</f>
        <v>หางปลากลมปลือย8-8</v>
      </c>
      <c r="N274" s="14">
        <f>INSTOCK!$I274*INSTOCK!$K274</f>
        <v>11151</v>
      </c>
      <c r="O274" s="4"/>
      <c r="P274" s="4"/>
    </row>
    <row r="275" ht="15.75" hidden="1" customHeight="1">
      <c r="B275" s="8">
        <v>273.0</v>
      </c>
      <c r="C275" s="9">
        <v>43199.0</v>
      </c>
      <c r="D275" s="6" t="s">
        <v>15</v>
      </c>
      <c r="E275" s="4"/>
      <c r="F275" s="8"/>
      <c r="G275" s="4"/>
      <c r="H275" s="10" t="s">
        <v>292</v>
      </c>
      <c r="I275" s="10">
        <v>1133.0</v>
      </c>
      <c r="J275" s="11" t="str">
        <f>IF(D275&lt;&gt;"",VLOOKUP(H275,TABLEITEM,5,FALSE),"")</f>
        <v>EA</v>
      </c>
      <c r="K275" s="12">
        <v>5.5</v>
      </c>
      <c r="L275" s="13" t="str">
        <f>IF(D275&lt;&gt;"",VLOOKUP(H275,TABLEITEM,2,FALSE),"")</f>
        <v/>
      </c>
      <c r="M275" s="13" t="str">
        <f>IF(D275&lt;&gt;"",VLOOKUP(H275,TABLEITEM,3,FALSE),"")</f>
        <v>หางปลากลมปลือย8-10</v>
      </c>
      <c r="N275" s="14">
        <f>INSTOCK!$I275*INSTOCK!$K275</f>
        <v>6231.5</v>
      </c>
      <c r="O275" s="4"/>
      <c r="P275" s="4"/>
    </row>
    <row r="276" ht="15.75" hidden="1" customHeight="1">
      <c r="B276" s="8">
        <v>274.0</v>
      </c>
      <c r="C276" s="9">
        <v>43199.0</v>
      </c>
      <c r="D276" s="6" t="s">
        <v>15</v>
      </c>
      <c r="E276" s="4"/>
      <c r="F276" s="8"/>
      <c r="G276" s="4"/>
      <c r="H276" s="10" t="s">
        <v>293</v>
      </c>
      <c r="I276" s="10">
        <v>907.0</v>
      </c>
      <c r="J276" s="11" t="str">
        <f>IF(D276&lt;&gt;"",VLOOKUP(H276,TABLEITEM,5,FALSE),"")</f>
        <v>EA</v>
      </c>
      <c r="K276" s="12">
        <v>7.5</v>
      </c>
      <c r="L276" s="13" t="str">
        <f>IF(D276&lt;&gt;"",VLOOKUP(H276,TABLEITEM,2,FALSE),"")</f>
        <v/>
      </c>
      <c r="M276" s="13" t="str">
        <f>IF(D276&lt;&gt;"",VLOOKUP(H276,TABLEITEM,3,FALSE),"")</f>
        <v>หางปลากลมเปลือย 14-6</v>
      </c>
      <c r="N276" s="14">
        <f>INSTOCK!$I276*INSTOCK!$K276</f>
        <v>6802.5</v>
      </c>
      <c r="O276" s="4"/>
      <c r="P276" s="4"/>
    </row>
    <row r="277" ht="15.75" hidden="1" customHeight="1">
      <c r="B277" s="8">
        <v>275.0</v>
      </c>
      <c r="C277" s="9">
        <v>43199.0</v>
      </c>
      <c r="D277" s="6" t="s">
        <v>15</v>
      </c>
      <c r="E277" s="4"/>
      <c r="F277" s="8"/>
      <c r="G277" s="4"/>
      <c r="H277" s="10" t="s">
        <v>294</v>
      </c>
      <c r="I277" s="10">
        <v>1273.0</v>
      </c>
      <c r="J277" s="11" t="str">
        <f>IF(D277&lt;&gt;"",VLOOKUP(H277,TABLEITEM,5,FALSE),"")</f>
        <v>EA</v>
      </c>
      <c r="K277" s="12">
        <v>7.5</v>
      </c>
      <c r="L277" s="13" t="str">
        <f>IF(D277&lt;&gt;"",VLOOKUP(H277,TABLEITEM,2,FALSE),"")</f>
        <v/>
      </c>
      <c r="M277" s="13" t="str">
        <f>IF(D277&lt;&gt;"",VLOOKUP(H277,TABLEITEM,3,FALSE),"")</f>
        <v>หางปลากลมเปลือย 14-8</v>
      </c>
      <c r="N277" s="14">
        <f>INSTOCK!$I277*INSTOCK!$K277</f>
        <v>9547.5</v>
      </c>
      <c r="O277" s="4"/>
      <c r="P277" s="4"/>
    </row>
    <row r="278" ht="15.75" hidden="1" customHeight="1">
      <c r="B278" s="8">
        <v>276.0</v>
      </c>
      <c r="C278" s="9">
        <v>43199.0</v>
      </c>
      <c r="D278" s="6" t="s">
        <v>15</v>
      </c>
      <c r="E278" s="4"/>
      <c r="F278" s="8"/>
      <c r="G278" s="4"/>
      <c r="H278" s="10" t="s">
        <v>295</v>
      </c>
      <c r="I278" s="10">
        <v>699.0</v>
      </c>
      <c r="J278" s="11" t="str">
        <f>IF(D278&lt;&gt;"",VLOOKUP(H278,TABLEITEM,5,FALSE),"")</f>
        <v>EA</v>
      </c>
      <c r="K278" s="12">
        <v>7.5</v>
      </c>
      <c r="L278" s="13" t="str">
        <f>IF(D278&lt;&gt;"",VLOOKUP(H278,TABLEITEM,2,FALSE),"")</f>
        <v/>
      </c>
      <c r="M278" s="13" t="str">
        <f>IF(D278&lt;&gt;"",VLOOKUP(H278,TABLEITEM,3,FALSE),"")</f>
        <v>หางปลากลมเปลือย 14-10</v>
      </c>
      <c r="N278" s="14">
        <f>INSTOCK!$I278*INSTOCK!$K278</f>
        <v>5242.5</v>
      </c>
      <c r="O278" s="4"/>
      <c r="P278" s="4"/>
    </row>
    <row r="279" ht="15.75" hidden="1" customHeight="1">
      <c r="B279" s="8">
        <v>277.0</v>
      </c>
      <c r="C279" s="9">
        <v>43199.0</v>
      </c>
      <c r="D279" s="6" t="s">
        <v>15</v>
      </c>
      <c r="E279" s="4"/>
      <c r="F279" s="8"/>
      <c r="G279" s="4"/>
      <c r="H279" s="10" t="s">
        <v>296</v>
      </c>
      <c r="I279" s="10">
        <v>404.0</v>
      </c>
      <c r="J279" s="11" t="str">
        <f>IF(D279&lt;&gt;"",VLOOKUP(H279,TABLEITEM,5,FALSE),"")</f>
        <v>EA</v>
      </c>
      <c r="K279" s="12">
        <v>7.5</v>
      </c>
      <c r="L279" s="13" t="str">
        <f>IF(D279&lt;&gt;"",VLOOKUP(H279,TABLEITEM,2,FALSE),"")</f>
        <v/>
      </c>
      <c r="M279" s="13" t="str">
        <f>IF(D279&lt;&gt;"",VLOOKUP(H279,TABLEITEM,3,FALSE),"")</f>
        <v>หางปลากลมเปลือย 14-12</v>
      </c>
      <c r="N279" s="14">
        <f>INSTOCK!$I279*INSTOCK!$K279</f>
        <v>3030</v>
      </c>
      <c r="O279" s="4"/>
      <c r="P279" s="4"/>
    </row>
    <row r="280" ht="15.75" hidden="1" customHeight="1">
      <c r="B280" s="8">
        <v>278.0</v>
      </c>
      <c r="C280" s="9">
        <v>43199.0</v>
      </c>
      <c r="D280" s="6" t="s">
        <v>15</v>
      </c>
      <c r="E280" s="4"/>
      <c r="F280" s="8"/>
      <c r="G280" s="4"/>
      <c r="H280" s="10" t="s">
        <v>297</v>
      </c>
      <c r="I280" s="10">
        <v>1044.0</v>
      </c>
      <c r="J280" s="11" t="str">
        <f>IF(D280&lt;&gt;"",VLOOKUP(H280,TABLEITEM,5,FALSE),"")</f>
        <v>EA</v>
      </c>
      <c r="K280" s="12">
        <v>1.4</v>
      </c>
      <c r="L280" s="13" t="str">
        <f>IF(D280&lt;&gt;"",VLOOKUP(H280,TABLEITEM,2,FALSE),"")</f>
        <v/>
      </c>
      <c r="M280" s="13" t="str">
        <f>IF(D280&lt;&gt;"",VLOOKUP(H280,TABLEITEM,3,FALSE),"")</f>
        <v>หางปลากลมเปลือย 4-4</v>
      </c>
      <c r="N280" s="14">
        <f>INSTOCK!$I280*INSTOCK!$K280</f>
        <v>1461.6</v>
      </c>
      <c r="O280" s="4"/>
      <c r="P280" s="4"/>
    </row>
    <row r="281" ht="15.75" hidden="1" customHeight="1">
      <c r="B281" s="8">
        <v>279.0</v>
      </c>
      <c r="C281" s="9">
        <v>43199.0</v>
      </c>
      <c r="D281" s="6" t="s">
        <v>15</v>
      </c>
      <c r="E281" s="4"/>
      <c r="F281" s="8"/>
      <c r="G281" s="4"/>
      <c r="H281" s="10" t="s">
        <v>298</v>
      </c>
      <c r="I281" s="10">
        <v>500.0</v>
      </c>
      <c r="J281" s="11" t="str">
        <f>IF(D281&lt;&gt;"",VLOOKUP(H281,TABLEITEM,5,FALSE),"")</f>
        <v>EA</v>
      </c>
      <c r="K281" s="12">
        <v>7.5</v>
      </c>
      <c r="L281" s="13" t="str">
        <f>IF(D281&lt;&gt;"",VLOOKUP(H281,TABLEITEM,2,FALSE),"")</f>
        <v/>
      </c>
      <c r="M281" s="13" t="str">
        <f>IF(D281&lt;&gt;"",VLOOKUP(H281,TABLEITEM,3,FALSE),"")</f>
        <v>หางปลากลมเปลือยหนา 16-6</v>
      </c>
      <c r="N281" s="14">
        <f>INSTOCK!$I281*INSTOCK!$K281</f>
        <v>3750</v>
      </c>
      <c r="O281" s="4"/>
      <c r="P281" s="4"/>
    </row>
    <row r="282" ht="15.75" hidden="1" customHeight="1">
      <c r="B282" s="8">
        <v>280.0</v>
      </c>
      <c r="C282" s="9">
        <v>43199.0</v>
      </c>
      <c r="D282" s="6" t="s">
        <v>15</v>
      </c>
      <c r="E282" s="4"/>
      <c r="F282" s="8"/>
      <c r="G282" s="4"/>
      <c r="H282" s="10" t="s">
        <v>299</v>
      </c>
      <c r="I282" s="10">
        <v>323.0</v>
      </c>
      <c r="J282" s="11" t="str">
        <f>IF(D282&lt;&gt;"",VLOOKUP(H282,TABLEITEM,5,FALSE),"")</f>
        <v>EA</v>
      </c>
      <c r="K282" s="12">
        <v>8.5</v>
      </c>
      <c r="L282" s="13" t="str">
        <f>IF(D282&lt;&gt;"",VLOOKUP(H282,TABLEITEM,2,FALSE),"")</f>
        <v/>
      </c>
      <c r="M282" s="13" t="str">
        <f>IF(D282&lt;&gt;"",VLOOKUP(H282,TABLEITEM,3,FALSE),"")</f>
        <v>หางปลากลมเปลือย 22-6</v>
      </c>
      <c r="N282" s="14">
        <f>INSTOCK!$I282*INSTOCK!$K282</f>
        <v>2745.5</v>
      </c>
      <c r="O282" s="4"/>
      <c r="P282" s="4"/>
    </row>
    <row r="283" ht="15.75" hidden="1" customHeight="1">
      <c r="B283" s="8">
        <v>281.0</v>
      </c>
      <c r="C283" s="9">
        <v>43199.0</v>
      </c>
      <c r="D283" s="6" t="s">
        <v>15</v>
      </c>
      <c r="E283" s="4"/>
      <c r="F283" s="8"/>
      <c r="G283" s="4"/>
      <c r="H283" s="10" t="s">
        <v>300</v>
      </c>
      <c r="I283" s="10">
        <v>219.0</v>
      </c>
      <c r="J283" s="11" t="str">
        <f>IF(D283&lt;&gt;"",VLOOKUP(H283,TABLEITEM,5,FALSE),"")</f>
        <v>EA</v>
      </c>
      <c r="K283" s="12">
        <v>8.5</v>
      </c>
      <c r="L283" s="13" t="str">
        <f>IF(D283&lt;&gt;"",VLOOKUP(H283,TABLEITEM,2,FALSE),"")</f>
        <v/>
      </c>
      <c r="M283" s="13" t="str">
        <f>IF(D283&lt;&gt;"",VLOOKUP(H283,TABLEITEM,3,FALSE),"")</f>
        <v>หางปลากลมเปลือย 22-8</v>
      </c>
      <c r="N283" s="14">
        <f>INSTOCK!$I283*INSTOCK!$K283</f>
        <v>1861.5</v>
      </c>
      <c r="O283" s="4"/>
      <c r="P283" s="4"/>
    </row>
    <row r="284" ht="15.75" hidden="1" customHeight="1">
      <c r="B284" s="8">
        <v>282.0</v>
      </c>
      <c r="C284" s="9">
        <v>43199.0</v>
      </c>
      <c r="D284" s="6" t="s">
        <v>15</v>
      </c>
      <c r="E284" s="4"/>
      <c r="F284" s="8"/>
      <c r="G284" s="4"/>
      <c r="H284" s="10" t="s">
        <v>301</v>
      </c>
      <c r="I284" s="10">
        <v>391.0</v>
      </c>
      <c r="J284" s="11" t="str">
        <f>IF(D284&lt;&gt;"",VLOOKUP(H284,TABLEITEM,5,FALSE),"")</f>
        <v>EA</v>
      </c>
      <c r="K284" s="12">
        <v>8.5</v>
      </c>
      <c r="L284" s="13" t="str">
        <f>IF(D284&lt;&gt;"",VLOOKUP(H284,TABLEITEM,2,FALSE),"")</f>
        <v/>
      </c>
      <c r="M284" s="13" t="str">
        <f>IF(D284&lt;&gt;"",VLOOKUP(H284,TABLEITEM,3,FALSE),"")</f>
        <v>หางปลากลมเปลือย 22-10</v>
      </c>
      <c r="N284" s="14">
        <f>INSTOCK!$I284*INSTOCK!$K284</f>
        <v>3323.5</v>
      </c>
      <c r="O284" s="4"/>
      <c r="P284" s="4"/>
    </row>
    <row r="285" ht="15.75" hidden="1" customHeight="1">
      <c r="B285" s="8">
        <v>283.0</v>
      </c>
      <c r="C285" s="9">
        <v>43199.0</v>
      </c>
      <c r="D285" s="6" t="s">
        <v>15</v>
      </c>
      <c r="E285" s="4"/>
      <c r="F285" s="8"/>
      <c r="G285" s="4"/>
      <c r="H285" s="10" t="s">
        <v>302</v>
      </c>
      <c r="I285" s="10">
        <v>386.0</v>
      </c>
      <c r="J285" s="11" t="str">
        <f>IF(D285&lt;&gt;"",VLOOKUP(H285,TABLEITEM,5,FALSE),"")</f>
        <v>EA</v>
      </c>
      <c r="K285" s="12">
        <v>10.5</v>
      </c>
      <c r="L285" s="13" t="str">
        <f>IF(D285&lt;&gt;"",VLOOKUP(H285,TABLEITEM,2,FALSE),"")</f>
        <v/>
      </c>
      <c r="M285" s="13" t="str">
        <f>IF(D285&lt;&gt;"",VLOOKUP(H285,TABLEITEM,3,FALSE),"")</f>
        <v>หางปลากลมเปลือย 22-12</v>
      </c>
      <c r="N285" s="14">
        <f>INSTOCK!$I285*INSTOCK!$K285</f>
        <v>4053</v>
      </c>
      <c r="O285" s="4"/>
      <c r="P285" s="4"/>
    </row>
    <row r="286" ht="15.75" hidden="1" customHeight="1">
      <c r="B286" s="8">
        <v>284.0</v>
      </c>
      <c r="C286" s="9">
        <v>43199.0</v>
      </c>
      <c r="D286" s="6" t="s">
        <v>15</v>
      </c>
      <c r="E286" s="4"/>
      <c r="F286" s="8"/>
      <c r="G286" s="4"/>
      <c r="H286" s="10" t="s">
        <v>303</v>
      </c>
      <c r="I286" s="10">
        <v>409.0</v>
      </c>
      <c r="J286" s="11" t="str">
        <f>IF(D286&lt;&gt;"",VLOOKUP(H286,TABLEITEM,5,FALSE),"")</f>
        <v>EA</v>
      </c>
      <c r="K286" s="12">
        <v>6.0</v>
      </c>
      <c r="L286" s="13" t="str">
        <f>IF(D286&lt;&gt;"",VLOOKUP(H286,TABLEITEM,2,FALSE),"")</f>
        <v/>
      </c>
      <c r="M286" s="13" t="str">
        <f>IF(D286&lt;&gt;"",VLOOKUP(H286,TABLEITEM,3,FALSE),"")</f>
        <v>หางปลากลมเปลือยหนา 16-8</v>
      </c>
      <c r="N286" s="14">
        <f>INSTOCK!$I286*INSTOCK!$K286</f>
        <v>2454</v>
      </c>
      <c r="O286" s="4"/>
      <c r="P286" s="4"/>
    </row>
    <row r="287" ht="15.75" hidden="1" customHeight="1">
      <c r="B287" s="8">
        <v>285.0</v>
      </c>
      <c r="C287" s="9">
        <v>43199.0</v>
      </c>
      <c r="D287" s="6" t="s">
        <v>15</v>
      </c>
      <c r="E287" s="4"/>
      <c r="F287" s="8"/>
      <c r="G287" s="4"/>
      <c r="H287" s="10" t="s">
        <v>304</v>
      </c>
      <c r="I287" s="10">
        <v>452.0</v>
      </c>
      <c r="J287" s="11" t="str">
        <f>IF(D287&lt;&gt;"",VLOOKUP(H287,TABLEITEM,5,FALSE),"")</f>
        <v>EA</v>
      </c>
      <c r="K287" s="12">
        <v>9.0</v>
      </c>
      <c r="L287" s="13" t="str">
        <f>IF(D287&lt;&gt;"",VLOOKUP(H287,TABLEITEM,2,FALSE),"")</f>
        <v/>
      </c>
      <c r="M287" s="13" t="str">
        <f>IF(D287&lt;&gt;"",VLOOKUP(H287,TABLEITEM,3,FALSE),"")</f>
        <v>หางปลากลมเปลือยหนา 25-6</v>
      </c>
      <c r="N287" s="14">
        <f>INSTOCK!$I287*INSTOCK!$K287</f>
        <v>4068</v>
      </c>
      <c r="O287" s="4"/>
      <c r="P287" s="4"/>
    </row>
    <row r="288" ht="15.75" hidden="1" customHeight="1">
      <c r="B288" s="8">
        <v>286.0</v>
      </c>
      <c r="C288" s="9">
        <v>43199.0</v>
      </c>
      <c r="D288" s="6" t="s">
        <v>15</v>
      </c>
      <c r="E288" s="4"/>
      <c r="F288" s="8"/>
      <c r="G288" s="4"/>
      <c r="H288" s="10" t="s">
        <v>305</v>
      </c>
      <c r="I288" s="10">
        <v>381.0</v>
      </c>
      <c r="J288" s="11" t="str">
        <f>IF(D288&lt;&gt;"",VLOOKUP(H288,TABLEITEM,5,FALSE),"")</f>
        <v>EA</v>
      </c>
      <c r="K288" s="12">
        <v>9.0</v>
      </c>
      <c r="L288" s="13" t="str">
        <f>IF(D288&lt;&gt;"",VLOOKUP(H288,TABLEITEM,2,FALSE),"")</f>
        <v/>
      </c>
      <c r="M288" s="13" t="str">
        <f>IF(D288&lt;&gt;"",VLOOKUP(H288,TABLEITEM,3,FALSE),"")</f>
        <v>หางปลากลมเปลือยหนา 25-8</v>
      </c>
      <c r="N288" s="14">
        <f>INSTOCK!$I288*INSTOCK!$K288</f>
        <v>3429</v>
      </c>
      <c r="O288" s="4"/>
      <c r="P288" s="4"/>
    </row>
    <row r="289" ht="15.75" hidden="1" customHeight="1">
      <c r="B289" s="8">
        <v>287.0</v>
      </c>
      <c r="C289" s="9">
        <v>43199.0</v>
      </c>
      <c r="D289" s="6" t="s">
        <v>15</v>
      </c>
      <c r="E289" s="4"/>
      <c r="F289" s="8"/>
      <c r="G289" s="4"/>
      <c r="H289" s="10" t="s">
        <v>306</v>
      </c>
      <c r="I289" s="10">
        <v>210.0</v>
      </c>
      <c r="J289" s="11" t="str">
        <f>IF(D289&lt;&gt;"",VLOOKUP(H289,TABLEITEM,5,FALSE),"")</f>
        <v>EA</v>
      </c>
      <c r="K289" s="12">
        <v>9.0</v>
      </c>
      <c r="L289" s="13" t="str">
        <f>IF(D289&lt;&gt;"",VLOOKUP(H289,TABLEITEM,2,FALSE),"")</f>
        <v/>
      </c>
      <c r="M289" s="13" t="str">
        <f>IF(D289&lt;&gt;"",VLOOKUP(H289,TABLEITEM,3,FALSE),"")</f>
        <v>หางปลากลมเปลือยหนา 25-10</v>
      </c>
      <c r="N289" s="14">
        <f>INSTOCK!$I289*INSTOCK!$K289</f>
        <v>1890</v>
      </c>
      <c r="O289" s="4"/>
      <c r="P289" s="4"/>
    </row>
    <row r="290" ht="15.75" hidden="1" customHeight="1">
      <c r="B290" s="8">
        <v>288.0</v>
      </c>
      <c r="C290" s="9">
        <v>43199.0</v>
      </c>
      <c r="D290" s="6" t="s">
        <v>15</v>
      </c>
      <c r="E290" s="4"/>
      <c r="F290" s="8"/>
      <c r="G290" s="4"/>
      <c r="H290" s="10" t="s">
        <v>307</v>
      </c>
      <c r="I290" s="10">
        <v>172.0</v>
      </c>
      <c r="J290" s="11" t="str">
        <f>IF(D290&lt;&gt;"",VLOOKUP(H290,TABLEITEM,5,FALSE),"")</f>
        <v>EA</v>
      </c>
      <c r="K290" s="12">
        <v>13.0</v>
      </c>
      <c r="L290" s="13" t="str">
        <f>IF(D290&lt;&gt;"",VLOOKUP(H290,TABLEITEM,2,FALSE),"")</f>
        <v/>
      </c>
      <c r="M290" s="13" t="str">
        <f>IF(D290&lt;&gt;"",VLOOKUP(H290,TABLEITEM,3,FALSE),"")</f>
        <v>หางปลากลมเปลือย35-6</v>
      </c>
      <c r="N290" s="14">
        <f>INSTOCK!$I290*INSTOCK!$K290</f>
        <v>2236</v>
      </c>
      <c r="O290" s="4"/>
      <c r="P290" s="4"/>
    </row>
    <row r="291" ht="15.75" hidden="1" customHeight="1">
      <c r="B291" s="8">
        <v>289.0</v>
      </c>
      <c r="C291" s="9">
        <v>43199.0</v>
      </c>
      <c r="D291" s="6" t="s">
        <v>15</v>
      </c>
      <c r="E291" s="4"/>
      <c r="F291" s="8"/>
      <c r="G291" s="4"/>
      <c r="H291" s="10" t="s">
        <v>308</v>
      </c>
      <c r="I291" s="10">
        <v>353.0</v>
      </c>
      <c r="J291" s="11" t="str">
        <f>IF(D291&lt;&gt;"",VLOOKUP(H291,TABLEITEM,5,FALSE),"")</f>
        <v>EA</v>
      </c>
      <c r="K291" s="12">
        <v>13.0</v>
      </c>
      <c r="L291" s="13" t="str">
        <f>IF(D291&lt;&gt;"",VLOOKUP(H291,TABLEITEM,2,FALSE),"")</f>
        <v/>
      </c>
      <c r="M291" s="13" t="str">
        <f>IF(D291&lt;&gt;"",VLOOKUP(H291,TABLEITEM,3,FALSE),"")</f>
        <v>หางปลากลมเปลือย35-8</v>
      </c>
      <c r="N291" s="14">
        <f>INSTOCK!$I291*INSTOCK!$K291</f>
        <v>4589</v>
      </c>
      <c r="O291" s="4"/>
      <c r="P291" s="4"/>
    </row>
    <row r="292" ht="15.75" hidden="1" customHeight="1">
      <c r="B292" s="8">
        <v>290.0</v>
      </c>
      <c r="C292" s="9">
        <v>43199.0</v>
      </c>
      <c r="D292" s="6" t="s">
        <v>15</v>
      </c>
      <c r="E292" s="4"/>
      <c r="F292" s="8"/>
      <c r="G292" s="4"/>
      <c r="H292" s="10" t="s">
        <v>309</v>
      </c>
      <c r="I292" s="10">
        <v>191.0</v>
      </c>
      <c r="J292" s="11" t="str">
        <f>IF(D292&lt;&gt;"",VLOOKUP(H292,TABLEITEM,5,FALSE),"")</f>
        <v>EA</v>
      </c>
      <c r="K292" s="12">
        <v>13.0</v>
      </c>
      <c r="L292" s="13" t="str">
        <f>IF(D292&lt;&gt;"",VLOOKUP(H292,TABLEITEM,2,FALSE),"")</f>
        <v/>
      </c>
      <c r="M292" s="13" t="str">
        <f>IF(D292&lt;&gt;"",VLOOKUP(H292,TABLEITEM,3,FALSE),"")</f>
        <v>หางปลากลมเปลือย35-10</v>
      </c>
      <c r="N292" s="14">
        <f>INSTOCK!$I292*INSTOCK!$K292</f>
        <v>2483</v>
      </c>
      <c r="O292" s="4"/>
      <c r="P292" s="4"/>
    </row>
    <row r="293" ht="15.75" hidden="1" customHeight="1">
      <c r="B293" s="8">
        <v>291.0</v>
      </c>
      <c r="C293" s="9">
        <v>43199.0</v>
      </c>
      <c r="D293" s="6" t="s">
        <v>15</v>
      </c>
      <c r="E293" s="4"/>
      <c r="F293" s="8"/>
      <c r="G293" s="4"/>
      <c r="H293" s="10" t="s">
        <v>310</v>
      </c>
      <c r="I293" s="10">
        <v>66.0</v>
      </c>
      <c r="J293" s="11" t="str">
        <f>IF(D293&lt;&gt;"",VLOOKUP(H293,TABLEITEM,5,FALSE),"")</f>
        <v>EA</v>
      </c>
      <c r="K293" s="12">
        <v>13.0</v>
      </c>
      <c r="L293" s="13" t="str">
        <f>IF(D293&lt;&gt;"",VLOOKUP(H293,TABLEITEM,2,FALSE),"")</f>
        <v/>
      </c>
      <c r="M293" s="13" t="str">
        <f>IF(D293&lt;&gt;"",VLOOKUP(H293,TABLEITEM,3,FALSE),"")</f>
        <v>หางปลากลมเปลือย35-12</v>
      </c>
      <c r="N293" s="14">
        <f>INSTOCK!$I293*INSTOCK!$K293</f>
        <v>858</v>
      </c>
      <c r="O293" s="4"/>
      <c r="P293" s="4"/>
    </row>
    <row r="294" ht="15.75" hidden="1" customHeight="1">
      <c r="B294" s="8">
        <v>292.0</v>
      </c>
      <c r="C294" s="9">
        <v>43199.0</v>
      </c>
      <c r="D294" s="6" t="s">
        <v>15</v>
      </c>
      <c r="E294" s="4"/>
      <c r="F294" s="8"/>
      <c r="G294" s="4"/>
      <c r="H294" s="10" t="s">
        <v>311</v>
      </c>
      <c r="I294" s="10">
        <v>148.0</v>
      </c>
      <c r="J294" s="11" t="str">
        <f>IF(D294&lt;&gt;"",VLOOKUP(H294,TABLEITEM,5,FALSE),"")</f>
        <v>EA</v>
      </c>
      <c r="K294" s="12">
        <v>18.0</v>
      </c>
      <c r="L294" s="13" t="str">
        <f>IF(D294&lt;&gt;"",VLOOKUP(H294,TABLEITEM,2,FALSE),"")</f>
        <v/>
      </c>
      <c r="M294" s="13" t="str">
        <f>IF(D294&lt;&gt;"",VLOOKUP(H294,TABLEITEM,3,FALSE),"")</f>
        <v>หางปลากลมเปลือย50-6</v>
      </c>
      <c r="N294" s="14">
        <f>INSTOCK!$I294*INSTOCK!$K294</f>
        <v>2664</v>
      </c>
      <c r="O294" s="4"/>
      <c r="P294" s="4"/>
    </row>
    <row r="295" ht="15.75" hidden="1" customHeight="1">
      <c r="B295" s="8">
        <v>293.0</v>
      </c>
      <c r="C295" s="9">
        <v>43199.0</v>
      </c>
      <c r="D295" s="6" t="s">
        <v>15</v>
      </c>
      <c r="E295" s="4"/>
      <c r="F295" s="8"/>
      <c r="G295" s="4"/>
      <c r="H295" s="10" t="s">
        <v>312</v>
      </c>
      <c r="I295" s="10">
        <v>632.0</v>
      </c>
      <c r="J295" s="11" t="str">
        <f>IF(D295&lt;&gt;"",VLOOKUP(H295,TABLEITEM,5,FALSE),"")</f>
        <v>EA</v>
      </c>
      <c r="K295" s="12">
        <v>18.0</v>
      </c>
      <c r="L295" s="13" t="str">
        <f>IF(D295&lt;&gt;"",VLOOKUP(H295,TABLEITEM,2,FALSE),"")</f>
        <v/>
      </c>
      <c r="M295" s="13" t="str">
        <f>IF(D295&lt;&gt;"",VLOOKUP(H295,TABLEITEM,3,FALSE),"")</f>
        <v>หางปลากลมเปลือย50-8</v>
      </c>
      <c r="N295" s="14">
        <f>INSTOCK!$I295*INSTOCK!$K295</f>
        <v>11376</v>
      </c>
      <c r="O295" s="4"/>
      <c r="P295" s="4"/>
    </row>
    <row r="296" ht="15.75" hidden="1" customHeight="1">
      <c r="B296" s="8">
        <v>294.0</v>
      </c>
      <c r="C296" s="9">
        <v>43199.0</v>
      </c>
      <c r="D296" s="6" t="s">
        <v>15</v>
      </c>
      <c r="E296" s="4"/>
      <c r="F296" s="8"/>
      <c r="G296" s="4"/>
      <c r="H296" s="10" t="s">
        <v>313</v>
      </c>
      <c r="I296" s="10">
        <v>154.0</v>
      </c>
      <c r="J296" s="11" t="str">
        <f>IF(D296&lt;&gt;"",VLOOKUP(H296,TABLEITEM,5,FALSE),"")</f>
        <v>EA</v>
      </c>
      <c r="K296" s="12">
        <v>18.0</v>
      </c>
      <c r="L296" s="13" t="str">
        <f>IF(D296&lt;&gt;"",VLOOKUP(H296,TABLEITEM,2,FALSE),"")</f>
        <v/>
      </c>
      <c r="M296" s="13" t="str">
        <f>IF(D296&lt;&gt;"",VLOOKUP(H296,TABLEITEM,3,FALSE),"")</f>
        <v>หางปลากลมเปลือย50-10</v>
      </c>
      <c r="N296" s="14">
        <f>INSTOCK!$I296*INSTOCK!$K296</f>
        <v>2772</v>
      </c>
      <c r="O296" s="4"/>
      <c r="P296" s="4"/>
    </row>
    <row r="297" ht="15.75" hidden="1" customHeight="1">
      <c r="B297" s="8">
        <v>295.0</v>
      </c>
      <c r="C297" s="9">
        <v>43199.0</v>
      </c>
      <c r="D297" s="6" t="s">
        <v>15</v>
      </c>
      <c r="E297" s="4"/>
      <c r="F297" s="8"/>
      <c r="G297" s="4"/>
      <c r="H297" s="10" t="s">
        <v>314</v>
      </c>
      <c r="I297" s="10">
        <v>137.0</v>
      </c>
      <c r="J297" s="11" t="str">
        <f>IF(D297&lt;&gt;"",VLOOKUP(H297,TABLEITEM,5,FALSE),"")</f>
        <v>EA</v>
      </c>
      <c r="K297" s="12">
        <v>18.0</v>
      </c>
      <c r="L297" s="13" t="str">
        <f>IF(D297&lt;&gt;"",VLOOKUP(H297,TABLEITEM,2,FALSE),"")</f>
        <v/>
      </c>
      <c r="M297" s="13" t="str">
        <f>IF(D297&lt;&gt;"",VLOOKUP(H297,TABLEITEM,3,FALSE),"")</f>
        <v>หางปลากลมเปลือย50-12</v>
      </c>
      <c r="N297" s="14">
        <f>INSTOCK!$I297*INSTOCK!$K297</f>
        <v>2466</v>
      </c>
      <c r="O297" s="4"/>
      <c r="P297" s="4"/>
    </row>
    <row r="298" ht="15.75" hidden="1" customHeight="1">
      <c r="B298" s="8">
        <v>296.0</v>
      </c>
      <c r="C298" s="9">
        <v>43199.0</v>
      </c>
      <c r="D298" s="6" t="s">
        <v>15</v>
      </c>
      <c r="E298" s="4"/>
      <c r="F298" s="8"/>
      <c r="G298" s="4"/>
      <c r="H298" s="10" t="s">
        <v>315</v>
      </c>
      <c r="I298" s="10">
        <v>250.0</v>
      </c>
      <c r="J298" s="11" t="str">
        <f>IF(D298&lt;&gt;"",VLOOKUP(H298,TABLEITEM,5,FALSE),"")</f>
        <v>EA</v>
      </c>
      <c r="K298" s="12">
        <v>25.0</v>
      </c>
      <c r="L298" s="13" t="str">
        <f>IF(D298&lt;&gt;"",VLOOKUP(H298,TABLEITEM,2,FALSE),"")</f>
        <v/>
      </c>
      <c r="M298" s="13" t="str">
        <f>IF(D298&lt;&gt;"",VLOOKUP(H298,TABLEITEM,3,FALSE),"")</f>
        <v>หางปลากลมเปลือย 70-8</v>
      </c>
      <c r="N298" s="14">
        <f>INSTOCK!$I298*INSTOCK!$K298</f>
        <v>6250</v>
      </c>
      <c r="O298" s="4"/>
      <c r="P298" s="4"/>
    </row>
    <row r="299" ht="15.75" hidden="1" customHeight="1">
      <c r="B299" s="8">
        <v>297.0</v>
      </c>
      <c r="C299" s="9">
        <v>43199.0</v>
      </c>
      <c r="D299" s="6" t="s">
        <v>15</v>
      </c>
      <c r="E299" s="4"/>
      <c r="F299" s="8"/>
      <c r="G299" s="4"/>
      <c r="H299" s="10" t="s">
        <v>316</v>
      </c>
      <c r="I299" s="10">
        <v>44.0</v>
      </c>
      <c r="J299" s="11" t="str">
        <f>IF(D299&lt;&gt;"",VLOOKUP(H299,TABLEITEM,5,FALSE),"")</f>
        <v>EA</v>
      </c>
      <c r="K299" s="12">
        <v>25.0</v>
      </c>
      <c r="L299" s="13" t="str">
        <f>IF(D299&lt;&gt;"",VLOOKUP(H299,TABLEITEM,2,FALSE),"")</f>
        <v/>
      </c>
      <c r="M299" s="13" t="str">
        <f>IF(D299&lt;&gt;"",VLOOKUP(H299,TABLEITEM,3,FALSE),"")</f>
        <v>หางปลากลมเปลือย 70-10</v>
      </c>
      <c r="N299" s="14">
        <f>INSTOCK!$I299*INSTOCK!$K299</f>
        <v>1100</v>
      </c>
      <c r="O299" s="4"/>
      <c r="P299" s="4"/>
    </row>
    <row r="300" ht="15.75" hidden="1" customHeight="1">
      <c r="B300" s="8">
        <v>298.0</v>
      </c>
      <c r="C300" s="9">
        <v>43199.0</v>
      </c>
      <c r="D300" s="6" t="s">
        <v>15</v>
      </c>
      <c r="E300" s="4"/>
      <c r="F300" s="8"/>
      <c r="G300" s="4"/>
      <c r="H300" s="10" t="s">
        <v>317</v>
      </c>
      <c r="I300" s="10">
        <v>96.0</v>
      </c>
      <c r="J300" s="11" t="str">
        <f>IF(D300&lt;&gt;"",VLOOKUP(H300,TABLEITEM,5,FALSE),"")</f>
        <v>EA</v>
      </c>
      <c r="K300" s="12">
        <v>25.0</v>
      </c>
      <c r="L300" s="13" t="str">
        <f>IF(D300&lt;&gt;"",VLOOKUP(H300,TABLEITEM,2,FALSE),"")</f>
        <v/>
      </c>
      <c r="M300" s="13" t="str">
        <f>IF(D300&lt;&gt;"",VLOOKUP(H300,TABLEITEM,3,FALSE),"")</f>
        <v>หางปลากลมเปลือย 70-12</v>
      </c>
      <c r="N300" s="14">
        <f>INSTOCK!$I300*INSTOCK!$K300</f>
        <v>2400</v>
      </c>
      <c r="O300" s="4"/>
      <c r="P300" s="4"/>
    </row>
    <row r="301" ht="15.75" hidden="1" customHeight="1">
      <c r="B301" s="8">
        <v>299.0</v>
      </c>
      <c r="C301" s="9">
        <v>43199.0</v>
      </c>
      <c r="D301" s="6" t="s">
        <v>15</v>
      </c>
      <c r="E301" s="4"/>
      <c r="F301" s="8"/>
      <c r="G301" s="4"/>
      <c r="H301" s="10" t="s">
        <v>318</v>
      </c>
      <c r="I301" s="10">
        <v>220.0</v>
      </c>
      <c r="J301" s="11" t="str">
        <f>IF(D301&lt;&gt;"",VLOOKUP(H301,TABLEITEM,5,FALSE),"")</f>
        <v>EA</v>
      </c>
      <c r="K301" s="12">
        <v>32.0</v>
      </c>
      <c r="L301" s="13" t="str">
        <f>IF(D301&lt;&gt;"",VLOOKUP(H301,TABLEITEM,2,FALSE),"")</f>
        <v/>
      </c>
      <c r="M301" s="13" t="str">
        <f>IF(D301&lt;&gt;"",VLOOKUP(H301,TABLEITEM,3,FALSE),"")</f>
        <v>หางปลากลมเปลือย 95-8</v>
      </c>
      <c r="N301" s="14">
        <f>INSTOCK!$I301*INSTOCK!$K301</f>
        <v>7040</v>
      </c>
      <c r="O301" s="4"/>
      <c r="P301" s="4"/>
    </row>
    <row r="302" ht="15.75" hidden="1" customHeight="1">
      <c r="B302" s="8">
        <v>300.0</v>
      </c>
      <c r="C302" s="9">
        <v>43199.0</v>
      </c>
      <c r="D302" s="6" t="s">
        <v>15</v>
      </c>
      <c r="E302" s="4"/>
      <c r="F302" s="8"/>
      <c r="G302" s="4"/>
      <c r="H302" s="10" t="s">
        <v>319</v>
      </c>
      <c r="I302" s="10">
        <v>244.0</v>
      </c>
      <c r="J302" s="11" t="str">
        <f>IF(D302&lt;&gt;"",VLOOKUP(H302,TABLEITEM,5,FALSE),"")</f>
        <v>EA</v>
      </c>
      <c r="K302" s="12">
        <v>32.0</v>
      </c>
      <c r="L302" s="13" t="str">
        <f>IF(D302&lt;&gt;"",VLOOKUP(H302,TABLEITEM,2,FALSE),"")</f>
        <v/>
      </c>
      <c r="M302" s="13" t="str">
        <f>IF(D302&lt;&gt;"",VLOOKUP(H302,TABLEITEM,3,FALSE),"")</f>
        <v>หางปลากลมเปลือย 95-10</v>
      </c>
      <c r="N302" s="14">
        <f>INSTOCK!$I302*INSTOCK!$K302</f>
        <v>7808</v>
      </c>
      <c r="O302" s="4"/>
      <c r="P302" s="4"/>
    </row>
    <row r="303" ht="15.75" hidden="1" customHeight="1">
      <c r="B303" s="8">
        <v>301.0</v>
      </c>
      <c r="C303" s="9">
        <v>43199.0</v>
      </c>
      <c r="D303" s="6" t="s">
        <v>15</v>
      </c>
      <c r="E303" s="4"/>
      <c r="F303" s="8"/>
      <c r="G303" s="4"/>
      <c r="H303" s="10" t="s">
        <v>320</v>
      </c>
      <c r="I303" s="10">
        <v>170.0</v>
      </c>
      <c r="J303" s="11" t="str">
        <f>IF(D303&lt;&gt;"",VLOOKUP(H303,TABLEITEM,5,FALSE),"")</f>
        <v>EA</v>
      </c>
      <c r="K303" s="12">
        <v>32.0</v>
      </c>
      <c r="L303" s="13" t="str">
        <f>IF(D303&lt;&gt;"",VLOOKUP(H303,TABLEITEM,2,FALSE),"")</f>
        <v/>
      </c>
      <c r="M303" s="13" t="str">
        <f>IF(D303&lt;&gt;"",VLOOKUP(H303,TABLEITEM,3,FALSE),"")</f>
        <v>หางปลากลมเปลือย 95-12</v>
      </c>
      <c r="N303" s="14">
        <f>INSTOCK!$I303*INSTOCK!$K303</f>
        <v>5440</v>
      </c>
      <c r="O303" s="4"/>
      <c r="P303" s="4"/>
    </row>
    <row r="304" ht="15.75" hidden="1" customHeight="1">
      <c r="B304" s="8">
        <v>302.0</v>
      </c>
      <c r="C304" s="9">
        <v>43199.0</v>
      </c>
      <c r="D304" s="6" t="s">
        <v>15</v>
      </c>
      <c r="E304" s="4"/>
      <c r="F304" s="8"/>
      <c r="G304" s="4"/>
      <c r="H304" s="10" t="s">
        <v>321</v>
      </c>
      <c r="I304" s="10">
        <v>43.0</v>
      </c>
      <c r="J304" s="11" t="str">
        <f>IF(D304&lt;&gt;"",VLOOKUP(H304,TABLEITEM,5,FALSE),"")</f>
        <v>EA</v>
      </c>
      <c r="K304" s="12">
        <v>32.0</v>
      </c>
      <c r="L304" s="13" t="str">
        <f>IF(D304&lt;&gt;"",VLOOKUP(H304,TABLEITEM,2,FALSE),"")</f>
        <v/>
      </c>
      <c r="M304" s="13" t="str">
        <f>IF(D304&lt;&gt;"",VLOOKUP(H304,TABLEITEM,3,FALSE),"")</f>
        <v>หางปลากลมเปลือย 95-14</v>
      </c>
      <c r="N304" s="14">
        <f>INSTOCK!$I304*INSTOCK!$K304</f>
        <v>1376</v>
      </c>
      <c r="O304" s="4"/>
      <c r="P304" s="4"/>
    </row>
    <row r="305" ht="15.75" hidden="1" customHeight="1">
      <c r="B305" s="8">
        <v>303.0</v>
      </c>
      <c r="C305" s="9">
        <v>43199.0</v>
      </c>
      <c r="D305" s="6" t="s">
        <v>15</v>
      </c>
      <c r="E305" s="4"/>
      <c r="F305" s="8"/>
      <c r="G305" s="4"/>
      <c r="H305" s="10" t="s">
        <v>322</v>
      </c>
      <c r="I305" s="10">
        <v>75.0</v>
      </c>
      <c r="J305" s="11" t="str">
        <f>IF(D305&lt;&gt;"",VLOOKUP(H305,TABLEITEM,5,FALSE),"")</f>
        <v>EA</v>
      </c>
      <c r="K305" s="12">
        <v>45.0</v>
      </c>
      <c r="L305" s="13" t="str">
        <f>IF(D305&lt;&gt;"",VLOOKUP(H305,TABLEITEM,2,FALSE),"")</f>
        <v/>
      </c>
      <c r="M305" s="13" t="str">
        <f>IF(D305&lt;&gt;"",VLOOKUP(H305,TABLEITEM,3,FALSE),"")</f>
        <v>หางปลากลมเปลือย 120-10</v>
      </c>
      <c r="N305" s="14">
        <f>INSTOCK!$I305*INSTOCK!$K305</f>
        <v>3375</v>
      </c>
      <c r="O305" s="4"/>
      <c r="P305" s="4"/>
    </row>
    <row r="306" ht="15.75" hidden="1" customHeight="1">
      <c r="B306" s="8">
        <v>304.0</v>
      </c>
      <c r="C306" s="9">
        <v>43199.0</v>
      </c>
      <c r="D306" s="6" t="s">
        <v>15</v>
      </c>
      <c r="E306" s="4"/>
      <c r="F306" s="8"/>
      <c r="G306" s="4"/>
      <c r="H306" s="10" t="s">
        <v>323</v>
      </c>
      <c r="I306" s="10">
        <v>73.0</v>
      </c>
      <c r="J306" s="11" t="str">
        <f>IF(D306&lt;&gt;"",VLOOKUP(H306,TABLEITEM,5,FALSE),"")</f>
        <v>EA</v>
      </c>
      <c r="K306" s="12">
        <v>45.0</v>
      </c>
      <c r="L306" s="13" t="str">
        <f>IF(D306&lt;&gt;"",VLOOKUP(H306,TABLEITEM,2,FALSE),"")</f>
        <v/>
      </c>
      <c r="M306" s="13" t="str">
        <f>IF(D306&lt;&gt;"",VLOOKUP(H306,TABLEITEM,3,FALSE),"")</f>
        <v>หางปลากลมเปลือย 120-12</v>
      </c>
      <c r="N306" s="14">
        <f>INSTOCK!$I306*INSTOCK!$K306</f>
        <v>3285</v>
      </c>
      <c r="O306" s="4"/>
      <c r="P306" s="4"/>
    </row>
    <row r="307" ht="15.75" hidden="1" customHeight="1">
      <c r="B307" s="8">
        <v>305.0</v>
      </c>
      <c r="C307" s="9">
        <v>43199.0</v>
      </c>
      <c r="D307" s="6" t="s">
        <v>15</v>
      </c>
      <c r="E307" s="4"/>
      <c r="F307" s="8"/>
      <c r="G307" s="4"/>
      <c r="H307" s="10" t="s">
        <v>324</v>
      </c>
      <c r="I307" s="10">
        <v>97.0</v>
      </c>
      <c r="J307" s="11" t="str">
        <f>IF(D307&lt;&gt;"",VLOOKUP(H307,TABLEITEM,5,FALSE),"")</f>
        <v>EA</v>
      </c>
      <c r="K307" s="12">
        <v>55.0</v>
      </c>
      <c r="L307" s="13" t="str">
        <f>IF(D307&lt;&gt;"",VLOOKUP(H307,TABLEITEM,2,FALSE),"")</f>
        <v/>
      </c>
      <c r="M307" s="13" t="str">
        <f>IF(D307&lt;&gt;"",VLOOKUP(H307,TABLEITEM,3,FALSE),"")</f>
        <v>หางปลากลมเปลือย 120-14</v>
      </c>
      <c r="N307" s="14">
        <f>INSTOCK!$I307*INSTOCK!$K307</f>
        <v>5335</v>
      </c>
      <c r="O307" s="4"/>
      <c r="P307" s="4"/>
    </row>
    <row r="308" ht="15.75" hidden="1" customHeight="1">
      <c r="B308" s="8">
        <v>306.0</v>
      </c>
      <c r="C308" s="9">
        <v>43199.0</v>
      </c>
      <c r="D308" s="6" t="s">
        <v>15</v>
      </c>
      <c r="E308" s="4"/>
      <c r="F308" s="8"/>
      <c r="G308" s="4"/>
      <c r="H308" s="10" t="s">
        <v>325</v>
      </c>
      <c r="I308" s="10">
        <v>120.0</v>
      </c>
      <c r="J308" s="11" t="str">
        <f>IF(D308&lt;&gt;"",VLOOKUP(H308,TABLEITEM,5,FALSE),"")</f>
        <v>EA</v>
      </c>
      <c r="K308" s="12">
        <v>55.0</v>
      </c>
      <c r="L308" s="13" t="str">
        <f>IF(D308&lt;&gt;"",VLOOKUP(H308,TABLEITEM,2,FALSE),"")</f>
        <v/>
      </c>
      <c r="M308" s="13" t="str">
        <f>IF(D308&lt;&gt;"",VLOOKUP(H308,TABLEITEM,3,FALSE),"")</f>
        <v>หางปลากลมเปลือย 120-16</v>
      </c>
      <c r="N308" s="14">
        <f>INSTOCK!$I308*INSTOCK!$K308</f>
        <v>6600</v>
      </c>
      <c r="O308" s="4"/>
      <c r="P308" s="4"/>
    </row>
    <row r="309" ht="15.75" hidden="1" customHeight="1">
      <c r="B309" s="8">
        <v>307.0</v>
      </c>
      <c r="C309" s="9">
        <v>43199.0</v>
      </c>
      <c r="D309" s="6" t="s">
        <v>15</v>
      </c>
      <c r="E309" s="4"/>
      <c r="F309" s="8"/>
      <c r="G309" s="4"/>
      <c r="H309" s="10" t="s">
        <v>326</v>
      </c>
      <c r="I309" s="10">
        <v>21.0</v>
      </c>
      <c r="J309" s="11" t="str">
        <f>IF(D309&lt;&gt;"",VLOOKUP(H309,TABLEITEM,5,FALSE),"")</f>
        <v>EA</v>
      </c>
      <c r="K309" s="12">
        <v>70.0</v>
      </c>
      <c r="L309" s="13" t="str">
        <f>IF(D309&lt;&gt;"",VLOOKUP(H309,TABLEITEM,2,FALSE),"")</f>
        <v/>
      </c>
      <c r="M309" s="13" t="str">
        <f>IF(D309&lt;&gt;"",VLOOKUP(H309,TABLEITEM,3,FALSE),"")</f>
        <v>หางปลากลมเปลือย 150-10</v>
      </c>
      <c r="N309" s="14">
        <f>INSTOCK!$I309*INSTOCK!$K309</f>
        <v>1470</v>
      </c>
      <c r="O309" s="4"/>
      <c r="P309" s="4"/>
    </row>
    <row r="310" ht="15.75" hidden="1" customHeight="1">
      <c r="B310" s="8">
        <v>308.0</v>
      </c>
      <c r="C310" s="9">
        <v>43199.0</v>
      </c>
      <c r="D310" s="6" t="s">
        <v>15</v>
      </c>
      <c r="E310" s="4"/>
      <c r="F310" s="8"/>
      <c r="G310" s="4"/>
      <c r="H310" s="10" t="s">
        <v>327</v>
      </c>
      <c r="I310" s="10">
        <v>53.0</v>
      </c>
      <c r="J310" s="11" t="str">
        <f>IF(D310&lt;&gt;"",VLOOKUP(H310,TABLEITEM,5,FALSE),"")</f>
        <v>EA</v>
      </c>
      <c r="K310" s="12">
        <v>70.0</v>
      </c>
      <c r="L310" s="13" t="str">
        <f>IF(D310&lt;&gt;"",VLOOKUP(H310,TABLEITEM,2,FALSE),"")</f>
        <v/>
      </c>
      <c r="M310" s="13" t="str">
        <f>IF(D310&lt;&gt;"",VLOOKUP(H310,TABLEITEM,3,FALSE),"")</f>
        <v>หางปลากลมเปลือย 150-12</v>
      </c>
      <c r="N310" s="14">
        <f>INSTOCK!$I310*INSTOCK!$K310</f>
        <v>3710</v>
      </c>
      <c r="O310" s="4"/>
      <c r="P310" s="4"/>
    </row>
    <row r="311" ht="15.75" hidden="1" customHeight="1">
      <c r="B311" s="8">
        <v>309.0</v>
      </c>
      <c r="C311" s="9">
        <v>43199.0</v>
      </c>
      <c r="D311" s="6" t="s">
        <v>15</v>
      </c>
      <c r="E311" s="4"/>
      <c r="F311" s="8"/>
      <c r="G311" s="4"/>
      <c r="H311" s="10" t="s">
        <v>328</v>
      </c>
      <c r="I311" s="10">
        <v>59.0</v>
      </c>
      <c r="J311" s="11" t="str">
        <f>IF(D311&lt;&gt;"",VLOOKUP(H311,TABLEITEM,5,FALSE),"")</f>
        <v>EA</v>
      </c>
      <c r="K311" s="12">
        <v>75.0</v>
      </c>
      <c r="L311" s="13" t="str">
        <f>IF(D311&lt;&gt;"",VLOOKUP(H311,TABLEITEM,2,FALSE),"")</f>
        <v/>
      </c>
      <c r="M311" s="13" t="str">
        <f>IF(D311&lt;&gt;"",VLOOKUP(H311,TABLEITEM,3,FALSE),"")</f>
        <v>หางปลากลมเปลือย 150-16</v>
      </c>
      <c r="N311" s="14">
        <f>INSTOCK!$I311*INSTOCK!$K311</f>
        <v>4425</v>
      </c>
      <c r="O311" s="4"/>
      <c r="P311" s="4"/>
    </row>
    <row r="312" ht="15.75" hidden="1" customHeight="1">
      <c r="B312" s="8">
        <v>310.0</v>
      </c>
      <c r="C312" s="9">
        <v>43199.0</v>
      </c>
      <c r="D312" s="6" t="s">
        <v>15</v>
      </c>
      <c r="E312" s="4"/>
      <c r="F312" s="8"/>
      <c r="G312" s="4"/>
      <c r="H312" s="10" t="s">
        <v>329</v>
      </c>
      <c r="I312" s="10">
        <v>37.0</v>
      </c>
      <c r="J312" s="11" t="str">
        <f>IF(D312&lt;&gt;"",VLOOKUP(H312,TABLEITEM,5,FALSE),"")</f>
        <v>EA</v>
      </c>
      <c r="K312" s="12">
        <v>75.0</v>
      </c>
      <c r="L312" s="13" t="str">
        <f>IF(D312&lt;&gt;"",VLOOKUP(H312,TABLEITEM,2,FALSE),"")</f>
        <v/>
      </c>
      <c r="M312" s="13" t="str">
        <f>IF(D312&lt;&gt;"",VLOOKUP(H312,TABLEITEM,3,FALSE),"")</f>
        <v>หางปลากลมเปลือย 150-14</v>
      </c>
      <c r="N312" s="14">
        <f>INSTOCK!$I312*INSTOCK!$K312</f>
        <v>2775</v>
      </c>
      <c r="O312" s="4"/>
      <c r="P312" s="4"/>
    </row>
    <row r="313" ht="15.75" hidden="1" customHeight="1">
      <c r="B313" s="8">
        <v>311.0</v>
      </c>
      <c r="C313" s="9">
        <v>43199.0</v>
      </c>
      <c r="D313" s="6" t="s">
        <v>15</v>
      </c>
      <c r="E313" s="4"/>
      <c r="F313" s="8"/>
      <c r="G313" s="4"/>
      <c r="H313" s="10" t="s">
        <v>330</v>
      </c>
      <c r="I313" s="10">
        <v>0.0</v>
      </c>
      <c r="J313" s="11" t="str">
        <f>IF(D313&lt;&gt;"",VLOOKUP(H313,TABLEITEM,5,FALSE),"")</f>
        <v>EA</v>
      </c>
      <c r="K313" s="12">
        <v>100.0</v>
      </c>
      <c r="L313" s="13" t="str">
        <f>IF(D313&lt;&gt;"",VLOOKUP(H313,TABLEITEM,2,FALSE),"")</f>
        <v/>
      </c>
      <c r="M313" s="13" t="str">
        <f>IF(D313&lt;&gt;"",VLOOKUP(H313,TABLEITEM,3,FALSE),"")</f>
        <v>หางปลากลมเปลือย 185-10</v>
      </c>
      <c r="N313" s="14">
        <f>INSTOCK!$I313*INSTOCK!$K313</f>
        <v>0</v>
      </c>
      <c r="O313" s="4"/>
      <c r="P313" s="4"/>
    </row>
    <row r="314" ht="15.75" hidden="1" customHeight="1">
      <c r="B314" s="8">
        <v>312.0</v>
      </c>
      <c r="C314" s="9">
        <v>43199.0</v>
      </c>
      <c r="D314" s="6" t="s">
        <v>15</v>
      </c>
      <c r="E314" s="4"/>
      <c r="F314" s="8"/>
      <c r="G314" s="4"/>
      <c r="H314" s="10" t="s">
        <v>331</v>
      </c>
      <c r="I314" s="10">
        <v>10.0</v>
      </c>
      <c r="J314" s="11" t="str">
        <f>IF(D314&lt;&gt;"",VLOOKUP(H314,TABLEITEM,5,FALSE),"")</f>
        <v>EA</v>
      </c>
      <c r="K314" s="12">
        <v>100.0</v>
      </c>
      <c r="L314" s="13" t="str">
        <f>IF(D314&lt;&gt;"",VLOOKUP(H314,TABLEITEM,2,FALSE),"")</f>
        <v/>
      </c>
      <c r="M314" s="13" t="str">
        <f>IF(D314&lt;&gt;"",VLOOKUP(H314,TABLEITEM,3,FALSE),"")</f>
        <v>หางปลากลมเปลือย 185-12</v>
      </c>
      <c r="N314" s="14">
        <f>INSTOCK!$I314*INSTOCK!$K314</f>
        <v>1000</v>
      </c>
      <c r="O314" s="4"/>
      <c r="P314" s="4"/>
    </row>
    <row r="315" ht="15.75" hidden="1" customHeight="1">
      <c r="B315" s="8">
        <v>313.0</v>
      </c>
      <c r="C315" s="9">
        <v>43199.0</v>
      </c>
      <c r="D315" s="6" t="s">
        <v>15</v>
      </c>
      <c r="E315" s="4"/>
      <c r="F315" s="8"/>
      <c r="G315" s="4"/>
      <c r="H315" s="10" t="s">
        <v>332</v>
      </c>
      <c r="I315" s="10">
        <v>32.0</v>
      </c>
      <c r="J315" s="11" t="str">
        <f>IF(D315&lt;&gt;"",VLOOKUP(H315,TABLEITEM,5,FALSE),"")</f>
        <v>EA</v>
      </c>
      <c r="K315" s="12">
        <v>100.0</v>
      </c>
      <c r="L315" s="13" t="str">
        <f>IF(D315&lt;&gt;"",VLOOKUP(H315,TABLEITEM,2,FALSE),"")</f>
        <v/>
      </c>
      <c r="M315" s="13" t="str">
        <f>IF(D315&lt;&gt;"",VLOOKUP(H315,TABLEITEM,3,FALSE),"")</f>
        <v>หางปลากลมเปลือย 185-14</v>
      </c>
      <c r="N315" s="14">
        <f>INSTOCK!$I315*INSTOCK!$K315</f>
        <v>3200</v>
      </c>
      <c r="O315" s="4"/>
      <c r="P315" s="4"/>
    </row>
    <row r="316" ht="15.75" hidden="1" customHeight="1">
      <c r="B316" s="8">
        <v>314.0</v>
      </c>
      <c r="C316" s="9">
        <v>43199.0</v>
      </c>
      <c r="D316" s="6" t="s">
        <v>15</v>
      </c>
      <c r="E316" s="4"/>
      <c r="F316" s="8"/>
      <c r="G316" s="4"/>
      <c r="H316" s="10" t="s">
        <v>333</v>
      </c>
      <c r="I316" s="10">
        <v>19.0</v>
      </c>
      <c r="J316" s="11" t="str">
        <f>IF(D316&lt;&gt;"",VLOOKUP(H316,TABLEITEM,5,FALSE),"")</f>
        <v>EA</v>
      </c>
      <c r="K316" s="12">
        <v>150.0</v>
      </c>
      <c r="L316" s="13" t="str">
        <f>IF(D316&lt;&gt;"",VLOOKUP(H316,TABLEITEM,2,FALSE),"")</f>
        <v/>
      </c>
      <c r="M316" s="13" t="str">
        <f>IF(D316&lt;&gt;"",VLOOKUP(H316,TABLEITEM,3,FALSE),"")</f>
        <v>หางปลากลมเปลือย 240-12</v>
      </c>
      <c r="N316" s="14">
        <f>INSTOCK!$I316*INSTOCK!$K316</f>
        <v>2850</v>
      </c>
      <c r="O316" s="4"/>
      <c r="P316" s="4"/>
    </row>
    <row r="317" ht="15.75" hidden="1" customHeight="1">
      <c r="B317" s="8">
        <v>315.0</v>
      </c>
      <c r="C317" s="9">
        <v>43199.0</v>
      </c>
      <c r="D317" s="6" t="s">
        <v>15</v>
      </c>
      <c r="E317" s="4"/>
      <c r="F317" s="8"/>
      <c r="G317" s="4"/>
      <c r="H317" s="10" t="s">
        <v>334</v>
      </c>
      <c r="I317" s="10">
        <v>0.0</v>
      </c>
      <c r="J317" s="11" t="str">
        <f>IF(D317&lt;&gt;"",VLOOKUP(H317,TABLEITEM,5,FALSE),"")</f>
        <v>EA</v>
      </c>
      <c r="K317" s="12">
        <v>150.0</v>
      </c>
      <c r="L317" s="13" t="str">
        <f>IF(D317&lt;&gt;"",VLOOKUP(H317,TABLEITEM,2,FALSE),"")</f>
        <v/>
      </c>
      <c r="M317" s="13" t="str">
        <f>IF(D317&lt;&gt;"",VLOOKUP(H317,TABLEITEM,3,FALSE),"")</f>
        <v>หางปลากลมเปลือย 240-14</v>
      </c>
      <c r="N317" s="14">
        <f>INSTOCK!$I317*INSTOCK!$K317</f>
        <v>0</v>
      </c>
      <c r="O317" s="4"/>
      <c r="P317" s="4"/>
    </row>
    <row r="318" ht="15.75" hidden="1" customHeight="1">
      <c r="B318" s="8">
        <v>316.0</v>
      </c>
      <c r="C318" s="9">
        <v>43199.0</v>
      </c>
      <c r="D318" s="6" t="s">
        <v>15</v>
      </c>
      <c r="E318" s="4"/>
      <c r="F318" s="8"/>
      <c r="G318" s="4"/>
      <c r="H318" s="10" t="s">
        <v>335</v>
      </c>
      <c r="I318" s="10">
        <v>0.0</v>
      </c>
      <c r="J318" s="11" t="str">
        <f>IF(D318&lt;&gt;"",VLOOKUP(H318,TABLEITEM,5,FALSE),"")</f>
        <v>EA</v>
      </c>
      <c r="K318" s="12">
        <v>150.0</v>
      </c>
      <c r="L318" s="13" t="str">
        <f>IF(D318&lt;&gt;"",VLOOKUP(H318,TABLEITEM,2,FALSE),"")</f>
        <v/>
      </c>
      <c r="M318" s="13" t="str">
        <f>IF(D318&lt;&gt;"",VLOOKUP(H318,TABLEITEM,3,FALSE),"")</f>
        <v>หางปลากลมเปลือย 240-16</v>
      </c>
      <c r="N318" s="14">
        <f>INSTOCK!$I318*INSTOCK!$K318</f>
        <v>0</v>
      </c>
      <c r="O318" s="4"/>
      <c r="P318" s="4"/>
    </row>
    <row r="319" ht="15.75" hidden="1" customHeight="1">
      <c r="B319" s="8">
        <v>317.0</v>
      </c>
      <c r="C319" s="9">
        <v>43199.0</v>
      </c>
      <c r="D319" s="6" t="s">
        <v>15</v>
      </c>
      <c r="E319" s="4"/>
      <c r="F319" s="8"/>
      <c r="G319" s="4"/>
      <c r="H319" s="10" t="s">
        <v>336</v>
      </c>
      <c r="I319" s="10">
        <v>0.0</v>
      </c>
      <c r="J319" s="11" t="str">
        <f>IF(D319&lt;&gt;"",VLOOKUP(H319,TABLEITEM,5,FALSE),"")</f>
        <v>EA</v>
      </c>
      <c r="K319" s="12">
        <v>200.0</v>
      </c>
      <c r="L319" s="13" t="str">
        <f>IF(D319&lt;&gt;"",VLOOKUP(H319,TABLEITEM,2,FALSE),"")</f>
        <v/>
      </c>
      <c r="M319" s="13" t="str">
        <f>IF(D319&lt;&gt;"",VLOOKUP(H319,TABLEITEM,3,FALSE),"")</f>
        <v>หางปลากลมเปลือย 300-12</v>
      </c>
      <c r="N319" s="14">
        <f>INSTOCK!$I319*INSTOCK!$K319</f>
        <v>0</v>
      </c>
      <c r="O319" s="4"/>
      <c r="P319" s="4"/>
    </row>
    <row r="320" ht="15.75" hidden="1" customHeight="1">
      <c r="B320" s="8">
        <v>318.0</v>
      </c>
      <c r="C320" s="9">
        <v>43199.0</v>
      </c>
      <c r="D320" s="6" t="s">
        <v>15</v>
      </c>
      <c r="E320" s="4"/>
      <c r="F320" s="8"/>
      <c r="G320" s="4"/>
      <c r="H320" s="10" t="s">
        <v>337</v>
      </c>
      <c r="I320" s="10">
        <v>14.0</v>
      </c>
      <c r="J320" s="11" t="str">
        <f>IF(D320&lt;&gt;"",VLOOKUP(H320,TABLEITEM,5,FALSE),"")</f>
        <v>EA</v>
      </c>
      <c r="K320" s="12">
        <v>200.0</v>
      </c>
      <c r="L320" s="13" t="str">
        <f>IF(D320&lt;&gt;"",VLOOKUP(H320,TABLEITEM,2,FALSE),"")</f>
        <v/>
      </c>
      <c r="M320" s="13" t="str">
        <f>IF(D320&lt;&gt;"",VLOOKUP(H320,TABLEITEM,3,FALSE),"")</f>
        <v>หางปลากลมเปลือย 300-14</v>
      </c>
      <c r="N320" s="14">
        <f>INSTOCK!$I320*INSTOCK!$K320</f>
        <v>2800</v>
      </c>
      <c r="O320" s="4"/>
      <c r="P320" s="4"/>
    </row>
    <row r="321" ht="15.75" hidden="1" customHeight="1">
      <c r="B321" s="8">
        <v>319.0</v>
      </c>
      <c r="C321" s="9">
        <v>43199.0</v>
      </c>
      <c r="D321" s="6" t="s">
        <v>15</v>
      </c>
      <c r="E321" s="4"/>
      <c r="F321" s="8"/>
      <c r="G321" s="4"/>
      <c r="H321" s="10" t="s">
        <v>338</v>
      </c>
      <c r="I321" s="10">
        <v>0.0</v>
      </c>
      <c r="J321" s="11" t="str">
        <f>IF(D321&lt;&gt;"",VLOOKUP(H321,TABLEITEM,5,FALSE),"")</f>
        <v>EA</v>
      </c>
      <c r="K321" s="12">
        <v>3.25</v>
      </c>
      <c r="L321" s="13" t="str">
        <f>IF(D321&lt;&gt;"",VLOOKUP(H321,TABLEITEM,2,FALSE),"")</f>
        <v/>
      </c>
      <c r="M321" s="13" t="str">
        <f>IF(D321&lt;&gt;"",VLOOKUP(H321,TABLEITEM,3,FALSE),"")</f>
        <v>หางปลาหัวเสียบก้านไม้ขีด 218-FD สีน้ำเงิน</v>
      </c>
      <c r="N321" s="14">
        <f>INSTOCK!$I321*INSTOCK!$K321</f>
        <v>0</v>
      </c>
      <c r="O321" s="4"/>
      <c r="P321" s="4"/>
    </row>
    <row r="322" ht="15.75" hidden="1" customHeight="1">
      <c r="B322" s="8">
        <v>320.0</v>
      </c>
      <c r="C322" s="9">
        <v>43199.0</v>
      </c>
      <c r="D322" s="6" t="s">
        <v>15</v>
      </c>
      <c r="E322" s="4"/>
      <c r="F322" s="8"/>
      <c r="G322" s="4"/>
      <c r="H322" s="10" t="s">
        <v>339</v>
      </c>
      <c r="I322" s="10">
        <v>1000.0</v>
      </c>
      <c r="J322" s="11" t="str">
        <f>IF(D322&lt;&gt;"",VLOOKUP(H322,TABLEITEM,5,FALSE),"")</f>
        <v>EA</v>
      </c>
      <c r="K322" s="12">
        <v>2.5</v>
      </c>
      <c r="L322" s="13" t="str">
        <f>IF(D322&lt;&gt;"",VLOOKUP(H322,TABLEITEM,2,FALSE),"")</f>
        <v/>
      </c>
      <c r="M322" s="13" t="str">
        <f>IF(D322&lt;&gt;"",VLOOKUP(H322,TABLEITEM,3,FALSE),"")</f>
        <v>หางปลาเสียบตัวเมียชนิดหุ้ม F2.5-A</v>
      </c>
      <c r="N322" s="14">
        <f>INSTOCK!$I322*INSTOCK!$K322</f>
        <v>2500</v>
      </c>
      <c r="O322" s="4"/>
      <c r="P322" s="4"/>
    </row>
    <row r="323" ht="15.75" hidden="1" customHeight="1">
      <c r="B323" s="8">
        <v>321.0</v>
      </c>
      <c r="C323" s="9">
        <v>43199.0</v>
      </c>
      <c r="D323" s="6" t="s">
        <v>15</v>
      </c>
      <c r="E323" s="4"/>
      <c r="F323" s="8"/>
      <c r="G323" s="4"/>
      <c r="H323" s="10" t="s">
        <v>340</v>
      </c>
      <c r="I323" s="10">
        <v>1145.0</v>
      </c>
      <c r="J323" s="11" t="str">
        <f>IF(D323&lt;&gt;"",VLOOKUP(H323,TABLEITEM,5,FALSE),"")</f>
        <v>EA</v>
      </c>
      <c r="K323" s="12">
        <v>2.5</v>
      </c>
      <c r="L323" s="13" t="str">
        <f>IF(D323&lt;&gt;"",VLOOKUP(H323,TABLEITEM,2,FALSE),"")</f>
        <v/>
      </c>
      <c r="M323" s="13" t="str">
        <f>IF(D323&lt;&gt;"",VLOOKUP(H323,TABLEITEM,3,FALSE),"")</f>
        <v>หางปลาเสียบตัวผู้ชนิดหุ้ม F2.5-B</v>
      </c>
      <c r="N323" s="14">
        <f>INSTOCK!$I323*INSTOCK!$K323</f>
        <v>2862.5</v>
      </c>
      <c r="O323" s="4"/>
      <c r="P323" s="4"/>
    </row>
    <row r="324" ht="15.75" hidden="1" customHeight="1">
      <c r="B324" s="8">
        <v>322.0</v>
      </c>
      <c r="C324" s="9">
        <v>43199.0</v>
      </c>
      <c r="D324" s="6" t="s">
        <v>15</v>
      </c>
      <c r="E324" s="4"/>
      <c r="F324" s="8"/>
      <c r="G324" s="4"/>
      <c r="H324" s="10" t="s">
        <v>341</v>
      </c>
      <c r="I324" s="10">
        <v>249.0</v>
      </c>
      <c r="J324" s="11" t="str">
        <f>IF(D324&lt;&gt;"",VLOOKUP(H324,TABLEITEM,5,FALSE),"")</f>
        <v>EA</v>
      </c>
      <c r="K324" s="12">
        <v>2.1</v>
      </c>
      <c r="L324" s="13" t="str">
        <f>IF(D324&lt;&gt;"",VLOOKUP(H324,TABLEITEM,2,FALSE),"")</f>
        <v/>
      </c>
      <c r="M324" s="13" t="str">
        <f>IF(D324&lt;&gt;"",VLOOKUP(H324,TABLEITEM,3,FALSE),"")</f>
        <v>หางปลาเสียบตัวผู้ชนิดหุ้ม F1.5-B</v>
      </c>
      <c r="N324" s="14">
        <f>INSTOCK!$I324*INSTOCK!$K324</f>
        <v>522.9</v>
      </c>
      <c r="O324" s="4"/>
      <c r="P324" s="4"/>
    </row>
    <row r="325" ht="15.75" hidden="1" customHeight="1">
      <c r="B325" s="8">
        <v>323.0</v>
      </c>
      <c r="C325" s="9">
        <v>43199.0</v>
      </c>
      <c r="D325" s="6" t="s">
        <v>15</v>
      </c>
      <c r="E325" s="4"/>
      <c r="F325" s="8"/>
      <c r="G325" s="4"/>
      <c r="H325" s="10" t="s">
        <v>342</v>
      </c>
      <c r="I325" s="10">
        <v>600.0</v>
      </c>
      <c r="J325" s="11" t="str">
        <f>IF(D325&lt;&gt;"",VLOOKUP(H325,TABLEITEM,5,FALSE),"")</f>
        <v>EA</v>
      </c>
      <c r="K325" s="12">
        <v>1.8</v>
      </c>
      <c r="L325" s="13" t="str">
        <f>IF(D325&lt;&gt;"",VLOOKUP(H325,TABLEITEM,2,FALSE),"")</f>
        <v/>
      </c>
      <c r="M325" s="13" t="str">
        <f>IF(D325&lt;&gt;"",VLOOKUP(H325,TABLEITEM,3,FALSE),"")</f>
        <v>หางปลาไม้แบด V2.5-7Aสีน้ำเงิน</v>
      </c>
      <c r="N325" s="14">
        <f>INSTOCK!$I325*INSTOCK!$K325</f>
        <v>1080</v>
      </c>
      <c r="O325" s="4"/>
      <c r="P325" s="4"/>
    </row>
    <row r="326" ht="15.75" hidden="1" customHeight="1">
      <c r="B326" s="8">
        <v>324.0</v>
      </c>
      <c r="C326" s="9">
        <v>43199.0</v>
      </c>
      <c r="D326" s="6" t="s">
        <v>15</v>
      </c>
      <c r="E326" s="4"/>
      <c r="F326" s="8"/>
      <c r="G326" s="4"/>
      <c r="H326" s="10" t="s">
        <v>343</v>
      </c>
      <c r="I326" s="10">
        <v>499.0</v>
      </c>
      <c r="J326" s="11" t="str">
        <f>IF(D326&lt;&gt;"",VLOOKUP(H326,TABLEITEM,5,FALSE),"")</f>
        <v>EA</v>
      </c>
      <c r="K326" s="12">
        <v>1.8</v>
      </c>
      <c r="L326" s="13" t="str">
        <f>IF(D326&lt;&gt;"",VLOOKUP(H326,TABLEITEM,2,FALSE),"")</f>
        <v/>
      </c>
      <c r="M326" s="13" t="str">
        <f>IF(D326&lt;&gt;"",VLOOKUP(H326,TABLEITEM,3,FALSE),"")</f>
        <v>หางปลาไม้แบด V1.5-7Aสีแดง</v>
      </c>
      <c r="N326" s="14">
        <f>INSTOCK!$I326*INSTOCK!$K326</f>
        <v>898.2</v>
      </c>
      <c r="O326" s="4"/>
      <c r="P326" s="4"/>
    </row>
    <row r="327" ht="15.75" hidden="1" customHeight="1">
      <c r="B327" s="8">
        <v>325.0</v>
      </c>
      <c r="C327" s="9">
        <v>43199.0</v>
      </c>
      <c r="D327" s="6" t="s">
        <v>15</v>
      </c>
      <c r="E327" s="4"/>
      <c r="F327" s="8"/>
      <c r="G327" s="4"/>
      <c r="H327" s="10" t="s">
        <v>344</v>
      </c>
      <c r="I327" s="10">
        <v>900.0</v>
      </c>
      <c r="J327" s="11" t="str">
        <f>IF(D327&lt;&gt;"",VLOOKUP(H327,TABLEITEM,5,FALSE),"")</f>
        <v>EA</v>
      </c>
      <c r="K327" s="12"/>
      <c r="L327" s="13" t="str">
        <f>IF(D327&lt;&gt;"",VLOOKUP(H327,TABLEITEM,2,FALSE),"")</f>
        <v/>
      </c>
      <c r="M327" s="13" t="str">
        <f>IF(D327&lt;&gt;"",VLOOKUP(H327,TABLEITEM,3,FALSE),"")</f>
        <v>หางปลาเสียบแบนสีแดง KT22-16</v>
      </c>
      <c r="N327" s="14">
        <f>INSTOCK!$I327*INSTOCK!$K327</f>
        <v>0</v>
      </c>
      <c r="O327" s="4"/>
      <c r="P327" s="4"/>
    </row>
    <row r="328" ht="15.75" hidden="1" customHeight="1">
      <c r="B328" s="8">
        <v>326.0</v>
      </c>
      <c r="C328" s="9">
        <v>43199.0</v>
      </c>
      <c r="D328" s="6" t="s">
        <v>15</v>
      </c>
      <c r="E328" s="4"/>
      <c r="F328" s="8"/>
      <c r="G328" s="4"/>
      <c r="H328" s="10" t="s">
        <v>345</v>
      </c>
      <c r="I328" s="10">
        <v>192.0</v>
      </c>
      <c r="J328" s="11" t="str">
        <f>IF(D328&lt;&gt;"",VLOOKUP(H328,TABLEITEM,5,FALSE),"")</f>
        <v>EA</v>
      </c>
      <c r="K328" s="12">
        <v>3.25</v>
      </c>
      <c r="L328" s="13" t="str">
        <f>IF(D328&lt;&gt;"",VLOOKUP(H328,TABLEITEM,2,FALSE),"")</f>
        <v/>
      </c>
      <c r="M328" s="13" t="str">
        <f>IF(D328&lt;&gt;"",VLOOKUP(H328,TABLEITEM,3,FALSE),"")</f>
        <v>หางปลาต่อกลาง BF6 สีเหลือง</v>
      </c>
      <c r="N328" s="14">
        <f>INSTOCK!$I328*INSTOCK!$K328</f>
        <v>624</v>
      </c>
      <c r="O328" s="4"/>
      <c r="P328" s="4"/>
    </row>
    <row r="329" ht="15.75" hidden="1" customHeight="1">
      <c r="B329" s="8">
        <v>327.0</v>
      </c>
      <c r="C329" s="9">
        <v>43199.0</v>
      </c>
      <c r="D329" s="6" t="s">
        <v>15</v>
      </c>
      <c r="E329" s="4"/>
      <c r="F329" s="8"/>
      <c r="G329" s="4"/>
      <c r="H329" s="10" t="s">
        <v>346</v>
      </c>
      <c r="I329" s="10">
        <v>0.0</v>
      </c>
      <c r="J329" s="11" t="str">
        <f>IF(D329&lt;&gt;"",VLOOKUP(H329,TABLEITEM,5,FALSE),"")</f>
        <v>EA</v>
      </c>
      <c r="K329" s="12">
        <v>2.0</v>
      </c>
      <c r="L329" s="13" t="str">
        <f>IF(D329&lt;&gt;"",VLOOKUP(H329,TABLEITEM,2,FALSE),"")</f>
        <v/>
      </c>
      <c r="M329" s="13" t="str">
        <f>IF(D329&lt;&gt;"",VLOOKUP(H329,TABLEITEM,3,FALSE),"")</f>
        <v>สลีฟต่อสาย F2A สีแดง</v>
      </c>
      <c r="N329" s="14">
        <f>INSTOCK!$I329*INSTOCK!$K329</f>
        <v>0</v>
      </c>
      <c r="O329" s="4"/>
      <c r="P329" s="4"/>
    </row>
    <row r="330" ht="15.75" hidden="1" customHeight="1">
      <c r="B330" s="8">
        <v>328.0</v>
      </c>
      <c r="C330" s="9">
        <v>43199.0</v>
      </c>
      <c r="D330" s="6" t="s">
        <v>15</v>
      </c>
      <c r="E330" s="4"/>
      <c r="F330" s="8"/>
      <c r="G330" s="4"/>
      <c r="H330" s="10" t="s">
        <v>347</v>
      </c>
      <c r="I330" s="10">
        <v>0.0</v>
      </c>
      <c r="J330" s="11" t="str">
        <f>IF(D330&lt;&gt;"",VLOOKUP(H330,TABLEITEM,5,FALSE),"")</f>
        <v>EA</v>
      </c>
      <c r="K330" s="12">
        <v>2.5</v>
      </c>
      <c r="L330" s="13" t="str">
        <f>IF(D330&lt;&gt;"",VLOOKUP(H330,TABLEITEM,2,FALSE),"")</f>
        <v/>
      </c>
      <c r="M330" s="13" t="str">
        <f>IF(D330&lt;&gt;"",VLOOKUP(H330,TABLEITEM,3,FALSE),"")</f>
        <v>สลีฟต่อสาย F2B สีน้ำเงิน</v>
      </c>
      <c r="N330" s="14">
        <f>INSTOCK!$I330*INSTOCK!$K330</f>
        <v>0</v>
      </c>
      <c r="O330" s="4"/>
      <c r="P330" s="4"/>
    </row>
    <row r="331" ht="15.75" hidden="1" customHeight="1">
      <c r="B331" s="8">
        <v>329.0</v>
      </c>
      <c r="C331" s="9">
        <v>43199.0</v>
      </c>
      <c r="D331" s="6" t="s">
        <v>15</v>
      </c>
      <c r="E331" s="4"/>
      <c r="F331" s="8"/>
      <c r="G331" s="4"/>
      <c r="H331" s="10" t="s">
        <v>348</v>
      </c>
      <c r="I331" s="10">
        <v>295.0</v>
      </c>
      <c r="J331" s="11" t="str">
        <f>IF(D331&lt;&gt;"",VLOOKUP(H331,TABLEITEM,5,FALSE),"")</f>
        <v>EA</v>
      </c>
      <c r="K331" s="12">
        <v>3.25</v>
      </c>
      <c r="L331" s="13" t="str">
        <f>IF(D331&lt;&gt;"",VLOOKUP(H331,TABLEITEM,2,FALSE),"")</f>
        <v/>
      </c>
      <c r="M331" s="13" t="str">
        <f>IF(D331&lt;&gt;"",VLOOKUP(H331,TABLEITEM,3,FALSE),"")</f>
        <v>สลีฟต่อสาย CL623 VBC5 สีแหลือง</v>
      </c>
      <c r="N331" s="14">
        <f>INSTOCK!$I331*INSTOCK!$K331</f>
        <v>958.75</v>
      </c>
      <c r="O331" s="4"/>
      <c r="P331" s="4"/>
    </row>
    <row r="332" ht="15.75" hidden="1" customHeight="1">
      <c r="B332" s="8">
        <v>330.0</v>
      </c>
      <c r="C332" s="9">
        <v>43199.0</v>
      </c>
      <c r="D332" s="6" t="s">
        <v>15</v>
      </c>
      <c r="E332" s="4"/>
      <c r="F332" s="8"/>
      <c r="G332" s="4"/>
      <c r="H332" s="10" t="s">
        <v>349</v>
      </c>
      <c r="I332" s="10">
        <v>400.0</v>
      </c>
      <c r="J332" s="11" t="str">
        <f>IF(D332&lt;&gt;"",VLOOKUP(H332,TABLEITEM,5,FALSE),"")</f>
        <v>EA</v>
      </c>
      <c r="K332" s="12">
        <v>5.25</v>
      </c>
      <c r="L332" s="13" t="str">
        <f>IF(D332&lt;&gt;"",VLOOKUP(H332,TABLEITEM,2,FALSE),"")</f>
        <v/>
      </c>
      <c r="M332" s="13" t="str">
        <f>IF(D332&lt;&gt;"",VLOOKUP(H332,TABLEITEM,3,FALSE),"")</f>
        <v>หางปลาเสียบก้านไม้ขีด 510-FBเหลือง</v>
      </c>
      <c r="N332" s="14">
        <f>INSTOCK!$I332*INSTOCK!$K332</f>
        <v>2100</v>
      </c>
      <c r="O332" s="4"/>
      <c r="P332" s="4"/>
    </row>
    <row r="333" ht="15.75" hidden="1" customHeight="1">
      <c r="B333" s="8">
        <v>331.0</v>
      </c>
      <c r="C333" s="9">
        <v>43199.0</v>
      </c>
      <c r="D333" s="6" t="s">
        <v>15</v>
      </c>
      <c r="E333" s="4"/>
      <c r="F333" s="8"/>
      <c r="G333" s="4"/>
      <c r="H333" s="10" t="s">
        <v>350</v>
      </c>
      <c r="I333" s="10">
        <v>0.0</v>
      </c>
      <c r="J333" s="11" t="str">
        <f>IF(D333&lt;&gt;"",VLOOKUP(H333,TABLEITEM,5,FALSE),"")</f>
        <v>EA</v>
      </c>
      <c r="K333" s="12">
        <v>6.0</v>
      </c>
      <c r="L333" s="13" t="str">
        <f>IF(D333&lt;&gt;"",VLOOKUP(H333,TABLEITEM,2,FALSE),"")</f>
        <v/>
      </c>
      <c r="M333" s="13" t="str">
        <f>IF(D333&lt;&gt;"",VLOOKUP(H333,TABLEITEM,3,FALSE),"")</f>
        <v>หางปลาเสียบก้านไม้ขีด 518-FBเหลือง</v>
      </c>
      <c r="N333" s="14">
        <f>INSTOCK!$I333*INSTOCK!$K333</f>
        <v>0</v>
      </c>
      <c r="O333" s="4"/>
      <c r="P333" s="4"/>
    </row>
    <row r="334" ht="15.75" hidden="1" customHeight="1">
      <c r="B334" s="8">
        <v>332.0</v>
      </c>
      <c r="C334" s="9">
        <v>43199.0</v>
      </c>
      <c r="D334" s="6" t="s">
        <v>15</v>
      </c>
      <c r="E334" s="4"/>
      <c r="F334" s="8"/>
      <c r="G334" s="4"/>
      <c r="H334" s="10" t="s">
        <v>351</v>
      </c>
      <c r="I334" s="10">
        <v>432.0</v>
      </c>
      <c r="J334" s="11" t="str">
        <f>IF(D334&lt;&gt;"",VLOOKUP(H334,TABLEITEM,5,FALSE),"")</f>
        <v>EA</v>
      </c>
      <c r="K334" s="12">
        <v>0.36</v>
      </c>
      <c r="L334" s="13" t="str">
        <f>IF(D334&lt;&gt;"",VLOOKUP(H334,TABLEITEM,2,FALSE),"")</f>
        <v/>
      </c>
      <c r="M334" s="13" t="str">
        <f>IF(D334&lt;&gt;"",VLOOKUP(H334,TABLEITEM,3,FALSE),"")</f>
        <v>ปลอกหุ้มหางปลา V-2 สีแดง</v>
      </c>
      <c r="N334" s="14">
        <f>INSTOCK!$I334*INSTOCK!$K334</f>
        <v>155.52</v>
      </c>
      <c r="O334" s="4"/>
      <c r="P334" s="4"/>
    </row>
    <row r="335" ht="15.75" hidden="1" customHeight="1">
      <c r="B335" s="8">
        <v>333.0</v>
      </c>
      <c r="C335" s="9">
        <v>43199.0</v>
      </c>
      <c r="D335" s="6" t="s">
        <v>15</v>
      </c>
      <c r="E335" s="4"/>
      <c r="F335" s="8"/>
      <c r="G335" s="4"/>
      <c r="H335" s="10" t="s">
        <v>352</v>
      </c>
      <c r="I335" s="10">
        <v>504.0</v>
      </c>
      <c r="J335" s="11" t="str">
        <f>IF(D335&lt;&gt;"",VLOOKUP(H335,TABLEITEM,5,FALSE),"")</f>
        <v>EA</v>
      </c>
      <c r="K335" s="12">
        <v>0.36</v>
      </c>
      <c r="L335" s="13" t="str">
        <f>IF(D335&lt;&gt;"",VLOOKUP(H335,TABLEITEM,2,FALSE),"")</f>
        <v/>
      </c>
      <c r="M335" s="13" t="str">
        <f>IF(D335&lt;&gt;"",VLOOKUP(H335,TABLEITEM,3,FALSE),"")</f>
        <v>ปลอกหุ้มหางปลา V-2 สีเหลือง</v>
      </c>
      <c r="N335" s="14">
        <f>INSTOCK!$I335*INSTOCK!$K335</f>
        <v>181.44</v>
      </c>
      <c r="O335" s="4"/>
      <c r="P335" s="4"/>
    </row>
    <row r="336" ht="15.75" hidden="1" customHeight="1">
      <c r="B336" s="8">
        <v>334.0</v>
      </c>
      <c r="C336" s="9">
        <v>43199.0</v>
      </c>
      <c r="D336" s="6" t="s">
        <v>15</v>
      </c>
      <c r="E336" s="4"/>
      <c r="F336" s="8"/>
      <c r="G336" s="4"/>
      <c r="H336" s="10" t="s">
        <v>353</v>
      </c>
      <c r="I336" s="10">
        <v>572.0</v>
      </c>
      <c r="J336" s="11" t="str">
        <f>IF(D336&lt;&gt;"",VLOOKUP(H336,TABLEITEM,5,FALSE),"")</f>
        <v>EA</v>
      </c>
      <c r="K336" s="12">
        <v>0.36</v>
      </c>
      <c r="L336" s="13" t="str">
        <f>IF(D336&lt;&gt;"",VLOOKUP(H336,TABLEITEM,2,FALSE),"")</f>
        <v/>
      </c>
      <c r="M336" s="13" t="str">
        <f>IF(D336&lt;&gt;"",VLOOKUP(H336,TABLEITEM,3,FALSE),"")</f>
        <v>ปลอกหุ้มหางปลา V-2 สีน้ำเงิน</v>
      </c>
      <c r="N336" s="14">
        <f>INSTOCK!$I336*INSTOCK!$K336</f>
        <v>205.92</v>
      </c>
      <c r="O336" s="4"/>
      <c r="P336" s="4"/>
    </row>
    <row r="337" ht="15.75" hidden="1" customHeight="1">
      <c r="B337" s="8">
        <v>335.0</v>
      </c>
      <c r="C337" s="9">
        <v>43199.0</v>
      </c>
      <c r="D337" s="6" t="s">
        <v>15</v>
      </c>
      <c r="E337" s="4"/>
      <c r="F337" s="8"/>
      <c r="G337" s="4"/>
      <c r="H337" s="10" t="s">
        <v>354</v>
      </c>
      <c r="I337" s="10">
        <v>490.0</v>
      </c>
      <c r="J337" s="11" t="str">
        <f>IF(D337&lt;&gt;"",VLOOKUP(H337,TABLEITEM,5,FALSE),"")</f>
        <v>EA</v>
      </c>
      <c r="K337" s="12">
        <v>0.36</v>
      </c>
      <c r="L337" s="13" t="str">
        <f>IF(D337&lt;&gt;"",VLOOKUP(H337,TABLEITEM,2,FALSE),"")</f>
        <v/>
      </c>
      <c r="M337" s="13" t="str">
        <f>IF(D337&lt;&gt;"",VLOOKUP(H337,TABLEITEM,3,FALSE),"")</f>
        <v>ปลอกหุ้มหางปลา V-2 สีขาว</v>
      </c>
      <c r="N337" s="14">
        <f>INSTOCK!$I337*INSTOCK!$K337</f>
        <v>176.4</v>
      </c>
      <c r="O337" s="4"/>
      <c r="P337" s="4"/>
    </row>
    <row r="338" ht="15.75" hidden="1" customHeight="1">
      <c r="B338" s="8">
        <v>336.0</v>
      </c>
      <c r="C338" s="9">
        <v>43199.0</v>
      </c>
      <c r="D338" s="6" t="s">
        <v>15</v>
      </c>
      <c r="E338" s="4"/>
      <c r="F338" s="8"/>
      <c r="G338" s="4"/>
      <c r="H338" s="10" t="s">
        <v>355</v>
      </c>
      <c r="I338" s="10">
        <v>649.0</v>
      </c>
      <c r="J338" s="11" t="str">
        <f>IF(D338&lt;&gt;"",VLOOKUP(H338,TABLEITEM,5,FALSE),"")</f>
        <v>EA</v>
      </c>
      <c r="K338" s="12">
        <v>0.36</v>
      </c>
      <c r="L338" s="13" t="str">
        <f>IF(D338&lt;&gt;"",VLOOKUP(H338,TABLEITEM,2,FALSE),"")</f>
        <v/>
      </c>
      <c r="M338" s="13" t="str">
        <f>IF(D338&lt;&gt;"",VLOOKUP(H338,TABLEITEM,3,FALSE),"")</f>
        <v>ปลอกหุ้มหางปลา V-2 สีเขียว</v>
      </c>
      <c r="N338" s="14">
        <f>INSTOCK!$I338*INSTOCK!$K338</f>
        <v>233.64</v>
      </c>
      <c r="O338" s="4"/>
      <c r="P338" s="4"/>
    </row>
    <row r="339" ht="15.75" hidden="1" customHeight="1">
      <c r="B339" s="8">
        <v>337.0</v>
      </c>
      <c r="C339" s="9">
        <v>43199.0</v>
      </c>
      <c r="D339" s="6" t="s">
        <v>15</v>
      </c>
      <c r="E339" s="4"/>
      <c r="F339" s="8"/>
      <c r="G339" s="4"/>
      <c r="H339" s="10" t="s">
        <v>356</v>
      </c>
      <c r="I339" s="10">
        <v>458.0</v>
      </c>
      <c r="J339" s="11" t="str">
        <f>IF(D339&lt;&gt;"",VLOOKUP(H339,TABLEITEM,5,FALSE),"")</f>
        <v>EA</v>
      </c>
      <c r="K339" s="12">
        <v>0.36</v>
      </c>
      <c r="L339" s="13" t="str">
        <f>IF(D339&lt;&gt;"",VLOOKUP(H339,TABLEITEM,2,FALSE),"")</f>
        <v/>
      </c>
      <c r="M339" s="13" t="str">
        <f>IF(D339&lt;&gt;"",VLOOKUP(H339,TABLEITEM,3,FALSE),"")</f>
        <v>ปลอกหุ้มหางปลา V-2 สีดำ</v>
      </c>
      <c r="N339" s="14">
        <f>INSTOCK!$I339*INSTOCK!$K339</f>
        <v>164.88</v>
      </c>
      <c r="O339" s="4"/>
      <c r="P339" s="4"/>
    </row>
    <row r="340" ht="15.75" hidden="1" customHeight="1">
      <c r="B340" s="8">
        <v>338.0</v>
      </c>
      <c r="C340" s="9">
        <v>43199.0</v>
      </c>
      <c r="D340" s="6" t="s">
        <v>15</v>
      </c>
      <c r="E340" s="4"/>
      <c r="F340" s="8"/>
      <c r="G340" s="4"/>
      <c r="H340" s="10" t="s">
        <v>357</v>
      </c>
      <c r="I340" s="10">
        <v>521.0</v>
      </c>
      <c r="J340" s="11" t="str">
        <f>IF(D340&lt;&gt;"",VLOOKUP(H340,TABLEITEM,5,FALSE),"")</f>
        <v>EA</v>
      </c>
      <c r="K340" s="12">
        <v>0.42</v>
      </c>
      <c r="L340" s="13" t="str">
        <f>IF(D340&lt;&gt;"",VLOOKUP(H340,TABLEITEM,2,FALSE),"")</f>
        <v/>
      </c>
      <c r="M340" s="13" t="str">
        <f>IF(D340&lt;&gt;"",VLOOKUP(H340,TABLEITEM,3,FALSE),"")</f>
        <v>ปลอกหุ้มหางปลา V-3 สีแดง</v>
      </c>
      <c r="N340" s="14">
        <f>INSTOCK!$I340*INSTOCK!$K340</f>
        <v>218.82</v>
      </c>
      <c r="O340" s="4"/>
      <c r="P340" s="4"/>
    </row>
    <row r="341" ht="15.75" hidden="1" customHeight="1">
      <c r="B341" s="8">
        <v>339.0</v>
      </c>
      <c r="C341" s="9">
        <v>43199.0</v>
      </c>
      <c r="D341" s="6" t="s">
        <v>15</v>
      </c>
      <c r="E341" s="4"/>
      <c r="F341" s="8"/>
      <c r="G341" s="4"/>
      <c r="H341" s="10" t="s">
        <v>358</v>
      </c>
      <c r="I341" s="10">
        <v>534.0</v>
      </c>
      <c r="J341" s="11" t="str">
        <f>IF(D341&lt;&gt;"",VLOOKUP(H341,TABLEITEM,5,FALSE),"")</f>
        <v>EA</v>
      </c>
      <c r="K341" s="12">
        <v>0.42</v>
      </c>
      <c r="L341" s="13" t="str">
        <f>IF(D341&lt;&gt;"",VLOOKUP(H341,TABLEITEM,2,FALSE),"")</f>
        <v/>
      </c>
      <c r="M341" s="13" t="str">
        <f>IF(D341&lt;&gt;"",VLOOKUP(H341,TABLEITEM,3,FALSE),"")</f>
        <v>ปลอกหุ้มหางปลา V-3 สีเหลือง</v>
      </c>
      <c r="N341" s="14">
        <f>INSTOCK!$I341*INSTOCK!$K341</f>
        <v>224.28</v>
      </c>
      <c r="O341" s="4"/>
      <c r="P341" s="4"/>
    </row>
    <row r="342" ht="15.75" hidden="1" customHeight="1">
      <c r="B342" s="8">
        <v>340.0</v>
      </c>
      <c r="C342" s="9">
        <v>43199.0</v>
      </c>
      <c r="D342" s="6" t="s">
        <v>15</v>
      </c>
      <c r="E342" s="4"/>
      <c r="F342" s="8"/>
      <c r="G342" s="4"/>
      <c r="H342" s="10" t="s">
        <v>359</v>
      </c>
      <c r="I342" s="10">
        <v>578.0</v>
      </c>
      <c r="J342" s="11" t="str">
        <f>IF(D342&lt;&gt;"",VLOOKUP(H342,TABLEITEM,5,FALSE),"")</f>
        <v>EA</v>
      </c>
      <c r="K342" s="12">
        <v>0.42</v>
      </c>
      <c r="L342" s="13" t="str">
        <f>IF(D342&lt;&gt;"",VLOOKUP(H342,TABLEITEM,2,FALSE),"")</f>
        <v/>
      </c>
      <c r="M342" s="13" t="str">
        <f>IF(D342&lt;&gt;"",VLOOKUP(H342,TABLEITEM,3,FALSE),"")</f>
        <v>ปลอกหุ้มหางปลา V-3 สีน้ำเงิน</v>
      </c>
      <c r="N342" s="14">
        <f>INSTOCK!$I342*INSTOCK!$K342</f>
        <v>242.76</v>
      </c>
      <c r="O342" s="4"/>
      <c r="P342" s="4"/>
    </row>
    <row r="343" ht="15.75" hidden="1" customHeight="1">
      <c r="B343" s="8">
        <v>341.0</v>
      </c>
      <c r="C343" s="9">
        <v>43199.0</v>
      </c>
      <c r="D343" s="6" t="s">
        <v>15</v>
      </c>
      <c r="E343" s="4"/>
      <c r="F343" s="8"/>
      <c r="G343" s="4"/>
      <c r="H343" s="10" t="s">
        <v>360</v>
      </c>
      <c r="I343" s="10">
        <v>328.0</v>
      </c>
      <c r="J343" s="11" t="str">
        <f>IF(D343&lt;&gt;"",VLOOKUP(H343,TABLEITEM,5,FALSE),"")</f>
        <v>EA</v>
      </c>
      <c r="K343" s="12">
        <v>0.42</v>
      </c>
      <c r="L343" s="13" t="str">
        <f>IF(D343&lt;&gt;"",VLOOKUP(H343,TABLEITEM,2,FALSE),"")</f>
        <v/>
      </c>
      <c r="M343" s="13" t="str">
        <f>IF(D343&lt;&gt;"",VLOOKUP(H343,TABLEITEM,3,FALSE),"")</f>
        <v>ปลอกหุ้มหางปลา V-3 สีขาว</v>
      </c>
      <c r="N343" s="14">
        <f>INSTOCK!$I343*INSTOCK!$K343</f>
        <v>137.76</v>
      </c>
      <c r="O343" s="4"/>
      <c r="P343" s="4"/>
    </row>
    <row r="344" ht="15.75" hidden="1" customHeight="1">
      <c r="B344" s="8">
        <v>342.0</v>
      </c>
      <c r="C344" s="9">
        <v>43199.0</v>
      </c>
      <c r="D344" s="6" t="s">
        <v>15</v>
      </c>
      <c r="E344" s="4"/>
      <c r="F344" s="8"/>
      <c r="G344" s="4"/>
      <c r="H344" s="10" t="s">
        <v>361</v>
      </c>
      <c r="I344" s="10">
        <v>579.0</v>
      </c>
      <c r="J344" s="11" t="str">
        <f>IF(D344&lt;&gt;"",VLOOKUP(H344,TABLEITEM,5,FALSE),"")</f>
        <v>EA</v>
      </c>
      <c r="K344" s="12">
        <v>0.42</v>
      </c>
      <c r="L344" s="13" t="str">
        <f>IF(D344&lt;&gt;"",VLOOKUP(H344,TABLEITEM,2,FALSE),"")</f>
        <v/>
      </c>
      <c r="M344" s="13" t="str">
        <f>IF(D344&lt;&gt;"",VLOOKUP(H344,TABLEITEM,3,FALSE),"")</f>
        <v>ปลอกหุ้มหางปลา V-3 สีเขียว</v>
      </c>
      <c r="N344" s="14">
        <f>INSTOCK!$I344*INSTOCK!$K344</f>
        <v>243.18</v>
      </c>
      <c r="O344" s="4"/>
      <c r="P344" s="4"/>
    </row>
    <row r="345" ht="15.75" hidden="1" customHeight="1">
      <c r="B345" s="8">
        <v>343.0</v>
      </c>
      <c r="C345" s="9">
        <v>43199.0</v>
      </c>
      <c r="D345" s="6" t="s">
        <v>15</v>
      </c>
      <c r="E345" s="4"/>
      <c r="F345" s="8"/>
      <c r="G345" s="4"/>
      <c r="H345" s="10" t="s">
        <v>362</v>
      </c>
      <c r="I345" s="10">
        <v>799.0</v>
      </c>
      <c r="J345" s="11" t="str">
        <f>IF(D345&lt;&gt;"",VLOOKUP(H345,TABLEITEM,5,FALSE),"")</f>
        <v>EA</v>
      </c>
      <c r="K345" s="12">
        <v>0.42</v>
      </c>
      <c r="L345" s="13" t="str">
        <f>IF(D345&lt;&gt;"",VLOOKUP(H345,TABLEITEM,2,FALSE),"")</f>
        <v/>
      </c>
      <c r="M345" s="13" t="str">
        <f>IF(D345&lt;&gt;"",VLOOKUP(H345,TABLEITEM,3,FALSE),"")</f>
        <v>ปลอกหุ้มหางปลา V-3 สีดำ</v>
      </c>
      <c r="N345" s="14">
        <f>INSTOCK!$I345*INSTOCK!$K345</f>
        <v>335.58</v>
      </c>
      <c r="O345" s="4"/>
      <c r="P345" s="4"/>
    </row>
    <row r="346" ht="15.75" hidden="1" customHeight="1">
      <c r="B346" s="8">
        <v>344.0</v>
      </c>
      <c r="C346" s="9">
        <v>43199.0</v>
      </c>
      <c r="D346" s="6" t="s">
        <v>15</v>
      </c>
      <c r="E346" s="4"/>
      <c r="F346" s="8"/>
      <c r="G346" s="4"/>
      <c r="H346" s="10" t="s">
        <v>363</v>
      </c>
      <c r="I346" s="10">
        <v>492.0</v>
      </c>
      <c r="J346" s="11" t="str">
        <f>IF(D346&lt;&gt;"",VLOOKUP(H346,TABLEITEM,5,FALSE),"")</f>
        <v>EA</v>
      </c>
      <c r="K346" s="12">
        <v>0.48</v>
      </c>
      <c r="L346" s="13" t="str">
        <f>IF(D346&lt;&gt;"",VLOOKUP(H346,TABLEITEM,2,FALSE),"")</f>
        <v/>
      </c>
      <c r="M346" s="13" t="str">
        <f>IF(D346&lt;&gt;"",VLOOKUP(H346,TABLEITEM,3,FALSE),"")</f>
        <v>ปลอกหุ้มหางปลา V-5 สีแดง</v>
      </c>
      <c r="N346" s="14">
        <f>INSTOCK!$I346*INSTOCK!$K346</f>
        <v>236.16</v>
      </c>
      <c r="O346" s="4"/>
      <c r="P346" s="4"/>
    </row>
    <row r="347" ht="15.75" hidden="1" customHeight="1">
      <c r="B347" s="8">
        <v>345.0</v>
      </c>
      <c r="C347" s="9">
        <v>43199.0</v>
      </c>
      <c r="D347" s="6" t="s">
        <v>15</v>
      </c>
      <c r="E347" s="4"/>
      <c r="F347" s="8"/>
      <c r="G347" s="4"/>
      <c r="H347" s="10" t="s">
        <v>364</v>
      </c>
      <c r="I347" s="10">
        <v>500.0</v>
      </c>
      <c r="J347" s="11" t="str">
        <f>IF(D347&lt;&gt;"",VLOOKUP(H347,TABLEITEM,5,FALSE),"")</f>
        <v>EA</v>
      </c>
      <c r="K347" s="12">
        <v>0.48</v>
      </c>
      <c r="L347" s="13" t="str">
        <f>IF(D347&lt;&gt;"",VLOOKUP(H347,TABLEITEM,2,FALSE),"")</f>
        <v/>
      </c>
      <c r="M347" s="13" t="str">
        <f>IF(D347&lt;&gt;"",VLOOKUP(H347,TABLEITEM,3,FALSE),"")</f>
        <v>ปลอกหุ้มหางปลา V-5 สีเหลือง</v>
      </c>
      <c r="N347" s="14">
        <f>INSTOCK!$I347*INSTOCK!$K347</f>
        <v>240</v>
      </c>
      <c r="O347" s="4"/>
      <c r="P347" s="4"/>
    </row>
    <row r="348" ht="15.75" hidden="1" customHeight="1">
      <c r="B348" s="8">
        <v>346.0</v>
      </c>
      <c r="C348" s="9">
        <v>43199.0</v>
      </c>
      <c r="D348" s="6" t="s">
        <v>15</v>
      </c>
      <c r="E348" s="4"/>
      <c r="F348" s="8"/>
      <c r="G348" s="4"/>
      <c r="H348" s="10" t="s">
        <v>365</v>
      </c>
      <c r="I348" s="10">
        <v>481.0</v>
      </c>
      <c r="J348" s="11" t="str">
        <f>IF(D348&lt;&gt;"",VLOOKUP(H348,TABLEITEM,5,FALSE),"")</f>
        <v>EA</v>
      </c>
      <c r="K348" s="12">
        <v>0.48</v>
      </c>
      <c r="L348" s="13" t="str">
        <f>IF(D348&lt;&gt;"",VLOOKUP(H348,TABLEITEM,2,FALSE),"")</f>
        <v/>
      </c>
      <c r="M348" s="13" t="str">
        <f>IF(D348&lt;&gt;"",VLOOKUP(H348,TABLEITEM,3,FALSE),"")</f>
        <v>ปลอกหุ้มหางปลา V-5 สีน้ำเงิน</v>
      </c>
      <c r="N348" s="14">
        <f>INSTOCK!$I348*INSTOCK!$K348</f>
        <v>230.88</v>
      </c>
      <c r="O348" s="4"/>
      <c r="P348" s="4"/>
    </row>
    <row r="349" ht="15.75" hidden="1" customHeight="1">
      <c r="B349" s="8">
        <v>347.0</v>
      </c>
      <c r="C349" s="9">
        <v>43199.0</v>
      </c>
      <c r="D349" s="6" t="s">
        <v>15</v>
      </c>
      <c r="E349" s="4"/>
      <c r="F349" s="8"/>
      <c r="G349" s="4"/>
      <c r="H349" s="10" t="s">
        <v>366</v>
      </c>
      <c r="I349" s="10">
        <v>419.0</v>
      </c>
      <c r="J349" s="11" t="str">
        <f>IF(D349&lt;&gt;"",VLOOKUP(H349,TABLEITEM,5,FALSE),"")</f>
        <v>EA</v>
      </c>
      <c r="K349" s="12">
        <v>0.48</v>
      </c>
      <c r="L349" s="13" t="str">
        <f>IF(D349&lt;&gt;"",VLOOKUP(H349,TABLEITEM,2,FALSE),"")</f>
        <v/>
      </c>
      <c r="M349" s="13" t="str">
        <f>IF(D349&lt;&gt;"",VLOOKUP(H349,TABLEITEM,3,FALSE),"")</f>
        <v>ปลอกหุ้มหางปลา V-5 สีขาว</v>
      </c>
      <c r="N349" s="14">
        <f>INSTOCK!$I349*INSTOCK!$K349</f>
        <v>201.12</v>
      </c>
      <c r="O349" s="4"/>
      <c r="P349" s="4"/>
    </row>
    <row r="350" ht="15.75" hidden="1" customHeight="1">
      <c r="B350" s="8">
        <v>348.0</v>
      </c>
      <c r="C350" s="9">
        <v>43199.0</v>
      </c>
      <c r="D350" s="6" t="s">
        <v>15</v>
      </c>
      <c r="E350" s="4"/>
      <c r="F350" s="8"/>
      <c r="G350" s="4"/>
      <c r="H350" s="10" t="s">
        <v>367</v>
      </c>
      <c r="I350" s="10">
        <v>792.0</v>
      </c>
      <c r="J350" s="11" t="str">
        <f>IF(D350&lt;&gt;"",VLOOKUP(H350,TABLEITEM,5,FALSE),"")</f>
        <v>EA</v>
      </c>
      <c r="K350" s="12">
        <v>0.48</v>
      </c>
      <c r="L350" s="13" t="str">
        <f>IF(D350&lt;&gt;"",VLOOKUP(H350,TABLEITEM,2,FALSE),"")</f>
        <v/>
      </c>
      <c r="M350" s="13" t="str">
        <f>IF(D350&lt;&gt;"",VLOOKUP(H350,TABLEITEM,3,FALSE),"")</f>
        <v>ปลอกหุ้มหางปลา V-5 สีเขียว</v>
      </c>
      <c r="N350" s="14">
        <f>INSTOCK!$I350*INSTOCK!$K350</f>
        <v>380.16</v>
      </c>
      <c r="O350" s="4"/>
      <c r="P350" s="4"/>
    </row>
    <row r="351" ht="15.75" hidden="1" customHeight="1">
      <c r="B351" s="8">
        <v>349.0</v>
      </c>
      <c r="C351" s="9">
        <v>43199.0</v>
      </c>
      <c r="D351" s="6" t="s">
        <v>15</v>
      </c>
      <c r="E351" s="4"/>
      <c r="F351" s="8"/>
      <c r="G351" s="4"/>
      <c r="H351" s="10" t="s">
        <v>368</v>
      </c>
      <c r="I351" s="10">
        <v>539.0</v>
      </c>
      <c r="J351" s="11" t="str">
        <f>IF(D351&lt;&gt;"",VLOOKUP(H351,TABLEITEM,5,FALSE),"")</f>
        <v>EA</v>
      </c>
      <c r="K351" s="12">
        <v>0.48</v>
      </c>
      <c r="L351" s="13" t="str">
        <f>IF(D351&lt;&gt;"",VLOOKUP(H351,TABLEITEM,2,FALSE),"")</f>
        <v/>
      </c>
      <c r="M351" s="13" t="str">
        <f>IF(D351&lt;&gt;"",VLOOKUP(H351,TABLEITEM,3,FALSE),"")</f>
        <v>ปลอกหุ้มหางปลา V-5 สีดำ</v>
      </c>
      <c r="N351" s="14">
        <f>INSTOCK!$I351*INSTOCK!$K351</f>
        <v>258.72</v>
      </c>
      <c r="O351" s="4"/>
      <c r="P351" s="4"/>
    </row>
    <row r="352" ht="15.75" hidden="1" customHeight="1">
      <c r="B352" s="8">
        <v>350.0</v>
      </c>
      <c r="C352" s="9">
        <v>43199.0</v>
      </c>
      <c r="D352" s="6" t="s">
        <v>15</v>
      </c>
      <c r="E352" s="4"/>
      <c r="F352" s="8"/>
      <c r="G352" s="4"/>
      <c r="H352" s="10" t="s">
        <v>369</v>
      </c>
      <c r="I352" s="10">
        <v>411.0</v>
      </c>
      <c r="J352" s="11" t="str">
        <f>IF(D352&lt;&gt;"",VLOOKUP(H352,TABLEITEM,5,FALSE),"")</f>
        <v>EA</v>
      </c>
      <c r="K352" s="12">
        <v>0.6</v>
      </c>
      <c r="L352" s="13" t="str">
        <f>IF(D352&lt;&gt;"",VLOOKUP(H352,TABLEITEM,2,FALSE),"")</f>
        <v/>
      </c>
      <c r="M352" s="13" t="str">
        <f>IF(D352&lt;&gt;"",VLOOKUP(H352,TABLEITEM,3,FALSE),"")</f>
        <v>ปลอกหุ้มหางปลา V-8 สีแดง</v>
      </c>
      <c r="N352" s="14">
        <f>INSTOCK!$I352*INSTOCK!$K352</f>
        <v>246.6</v>
      </c>
      <c r="O352" s="4"/>
      <c r="P352" s="4"/>
    </row>
    <row r="353" ht="15.75" hidden="1" customHeight="1">
      <c r="B353" s="8">
        <v>351.0</v>
      </c>
      <c r="C353" s="9">
        <v>43199.0</v>
      </c>
      <c r="D353" s="6" t="s">
        <v>15</v>
      </c>
      <c r="E353" s="4"/>
      <c r="F353" s="8"/>
      <c r="G353" s="4"/>
      <c r="H353" s="10" t="s">
        <v>370</v>
      </c>
      <c r="I353" s="10">
        <v>566.0</v>
      </c>
      <c r="J353" s="11" t="str">
        <f>IF(D353&lt;&gt;"",VLOOKUP(H353,TABLEITEM,5,FALSE),"")</f>
        <v>EA</v>
      </c>
      <c r="K353" s="12">
        <v>0.6</v>
      </c>
      <c r="L353" s="13" t="str">
        <f>IF(D353&lt;&gt;"",VLOOKUP(H353,TABLEITEM,2,FALSE),"")</f>
        <v/>
      </c>
      <c r="M353" s="13" t="str">
        <f>IF(D353&lt;&gt;"",VLOOKUP(H353,TABLEITEM,3,FALSE),"")</f>
        <v>ปลอกหุ้มหางปลา V-8 สีเหลือง</v>
      </c>
      <c r="N353" s="14">
        <f>INSTOCK!$I353*INSTOCK!$K353</f>
        <v>339.6</v>
      </c>
      <c r="O353" s="4"/>
      <c r="P353" s="4"/>
    </row>
    <row r="354" ht="15.75" hidden="1" customHeight="1">
      <c r="B354" s="8">
        <v>352.0</v>
      </c>
      <c r="C354" s="9">
        <v>43199.0</v>
      </c>
      <c r="D354" s="6" t="s">
        <v>15</v>
      </c>
      <c r="E354" s="4"/>
      <c r="F354" s="8"/>
      <c r="G354" s="4"/>
      <c r="H354" s="10" t="s">
        <v>371</v>
      </c>
      <c r="I354" s="10">
        <v>528.0</v>
      </c>
      <c r="J354" s="11" t="str">
        <f>IF(D354&lt;&gt;"",VLOOKUP(H354,TABLEITEM,5,FALSE),"")</f>
        <v>EA</v>
      </c>
      <c r="K354" s="12">
        <v>0.6</v>
      </c>
      <c r="L354" s="13" t="str">
        <f>IF(D354&lt;&gt;"",VLOOKUP(H354,TABLEITEM,2,FALSE),"")</f>
        <v/>
      </c>
      <c r="M354" s="13" t="str">
        <f>IF(D354&lt;&gt;"",VLOOKUP(H354,TABLEITEM,3,FALSE),"")</f>
        <v>ปลอกหุ้มหางปลา V-8 สีน้ำเงิน</v>
      </c>
      <c r="N354" s="14">
        <f>INSTOCK!$I354*INSTOCK!$K354</f>
        <v>316.8</v>
      </c>
      <c r="O354" s="4"/>
      <c r="P354" s="4"/>
    </row>
    <row r="355" ht="15.75" hidden="1" customHeight="1">
      <c r="B355" s="8">
        <v>353.0</v>
      </c>
      <c r="C355" s="9">
        <v>43199.0</v>
      </c>
      <c r="D355" s="6" t="s">
        <v>15</v>
      </c>
      <c r="E355" s="4"/>
      <c r="F355" s="8"/>
      <c r="G355" s="4"/>
      <c r="H355" s="10" t="s">
        <v>372</v>
      </c>
      <c r="I355" s="10">
        <v>414.0</v>
      </c>
      <c r="J355" s="11" t="str">
        <f>IF(D355&lt;&gt;"",VLOOKUP(H355,TABLEITEM,5,FALSE),"")</f>
        <v>EA</v>
      </c>
      <c r="K355" s="12">
        <v>0.6</v>
      </c>
      <c r="L355" s="13" t="str">
        <f>IF(D355&lt;&gt;"",VLOOKUP(H355,TABLEITEM,2,FALSE),"")</f>
        <v/>
      </c>
      <c r="M355" s="13" t="str">
        <f>IF(D355&lt;&gt;"",VLOOKUP(H355,TABLEITEM,3,FALSE),"")</f>
        <v>ปลอกหุ้มหางปลา V-8 สีขาว</v>
      </c>
      <c r="N355" s="14">
        <f>INSTOCK!$I355*INSTOCK!$K355</f>
        <v>248.4</v>
      </c>
      <c r="O355" s="4"/>
      <c r="P355" s="4"/>
    </row>
    <row r="356" ht="15.75" hidden="1" customHeight="1">
      <c r="B356" s="8">
        <v>354.0</v>
      </c>
      <c r="C356" s="9">
        <v>43199.0</v>
      </c>
      <c r="D356" s="6" t="s">
        <v>15</v>
      </c>
      <c r="E356" s="4"/>
      <c r="F356" s="8"/>
      <c r="G356" s="4"/>
      <c r="H356" s="10" t="s">
        <v>373</v>
      </c>
      <c r="I356" s="10">
        <v>662.0</v>
      </c>
      <c r="J356" s="11" t="str">
        <f>IF(D356&lt;&gt;"",VLOOKUP(H356,TABLEITEM,5,FALSE),"")</f>
        <v>EA</v>
      </c>
      <c r="K356" s="12">
        <v>0.6</v>
      </c>
      <c r="L356" s="13" t="str">
        <f>IF(D356&lt;&gt;"",VLOOKUP(H356,TABLEITEM,2,FALSE),"")</f>
        <v/>
      </c>
      <c r="M356" s="13" t="str">
        <f>IF(D356&lt;&gt;"",VLOOKUP(H356,TABLEITEM,3,FALSE),"")</f>
        <v>ปลอกหุ้มหางปลา V-8 สีเขียว</v>
      </c>
      <c r="N356" s="14">
        <f>INSTOCK!$I356*INSTOCK!$K356</f>
        <v>397.2</v>
      </c>
      <c r="O356" s="4"/>
      <c r="P356" s="4"/>
    </row>
    <row r="357" ht="15.75" hidden="1" customHeight="1">
      <c r="B357" s="8">
        <v>355.0</v>
      </c>
      <c r="C357" s="9">
        <v>43199.0</v>
      </c>
      <c r="D357" s="6" t="s">
        <v>15</v>
      </c>
      <c r="E357" s="4"/>
      <c r="F357" s="8"/>
      <c r="G357" s="4"/>
      <c r="H357" s="10" t="s">
        <v>374</v>
      </c>
      <c r="I357" s="10">
        <v>496.0</v>
      </c>
      <c r="J357" s="11" t="str">
        <f>IF(D357&lt;&gt;"",VLOOKUP(H357,TABLEITEM,5,FALSE),"")</f>
        <v>EA</v>
      </c>
      <c r="K357" s="12">
        <v>0.6</v>
      </c>
      <c r="L357" s="13" t="str">
        <f>IF(D357&lt;&gt;"",VLOOKUP(H357,TABLEITEM,2,FALSE),"")</f>
        <v/>
      </c>
      <c r="M357" s="13" t="str">
        <f>IF(D357&lt;&gt;"",VLOOKUP(H357,TABLEITEM,3,FALSE),"")</f>
        <v>ปลอกหุ้มหางปลา V-8 สีดำ</v>
      </c>
      <c r="N357" s="14">
        <f>INSTOCK!$I357*INSTOCK!$K357</f>
        <v>297.6</v>
      </c>
      <c r="O357" s="4"/>
      <c r="P357" s="4"/>
    </row>
    <row r="358" ht="15.75" hidden="1" customHeight="1">
      <c r="B358" s="8">
        <v>356.0</v>
      </c>
      <c r="C358" s="9">
        <v>43199.0</v>
      </c>
      <c r="D358" s="6" t="s">
        <v>15</v>
      </c>
      <c r="E358" s="4"/>
      <c r="F358" s="8"/>
      <c r="G358" s="4"/>
      <c r="H358" s="10" t="s">
        <v>375</v>
      </c>
      <c r="I358" s="10">
        <v>457.0</v>
      </c>
      <c r="J358" s="11" t="str">
        <f>IF(D358&lt;&gt;"",VLOOKUP(H358,TABLEITEM,5,FALSE),"")</f>
        <v>EA</v>
      </c>
      <c r="K358" s="12">
        <v>0.96</v>
      </c>
      <c r="L358" s="13" t="str">
        <f>IF(D358&lt;&gt;"",VLOOKUP(H358,TABLEITEM,2,FALSE),"")</f>
        <v/>
      </c>
      <c r="M358" s="13" t="str">
        <f>IF(D358&lt;&gt;"",VLOOKUP(H358,TABLEITEM,3,FALSE),"")</f>
        <v>ปลอกหุ้มหางปลา V-14 สีแดง</v>
      </c>
      <c r="N358" s="14">
        <f>INSTOCK!$I358*INSTOCK!$K358</f>
        <v>438.72</v>
      </c>
      <c r="O358" s="4"/>
      <c r="P358" s="4"/>
    </row>
    <row r="359" ht="15.75" hidden="1" customHeight="1">
      <c r="B359" s="8">
        <v>357.0</v>
      </c>
      <c r="C359" s="9">
        <v>43199.0</v>
      </c>
      <c r="D359" s="6" t="s">
        <v>15</v>
      </c>
      <c r="E359" s="4"/>
      <c r="F359" s="8"/>
      <c r="G359" s="4"/>
      <c r="H359" s="10" t="s">
        <v>376</v>
      </c>
      <c r="I359" s="10">
        <v>757.0</v>
      </c>
      <c r="J359" s="11" t="str">
        <f>IF(D359&lt;&gt;"",VLOOKUP(H359,TABLEITEM,5,FALSE),"")</f>
        <v>EA</v>
      </c>
      <c r="K359" s="12">
        <v>0.96</v>
      </c>
      <c r="L359" s="13" t="str">
        <f>IF(D359&lt;&gt;"",VLOOKUP(H359,TABLEITEM,2,FALSE),"")</f>
        <v/>
      </c>
      <c r="M359" s="13" t="str">
        <f>IF(D359&lt;&gt;"",VLOOKUP(H359,TABLEITEM,3,FALSE),"")</f>
        <v>ปลอกหุ้มหางปลา V-14สีเหลือง</v>
      </c>
      <c r="N359" s="14">
        <f>INSTOCK!$I359*INSTOCK!$K359</f>
        <v>726.72</v>
      </c>
      <c r="O359" s="4"/>
      <c r="P359" s="4"/>
    </row>
    <row r="360" ht="15.75" hidden="1" customHeight="1">
      <c r="B360" s="8">
        <v>358.0</v>
      </c>
      <c r="C360" s="9">
        <v>43199.0</v>
      </c>
      <c r="D360" s="6" t="s">
        <v>15</v>
      </c>
      <c r="E360" s="4"/>
      <c r="F360" s="8"/>
      <c r="G360" s="4"/>
      <c r="H360" s="10" t="s">
        <v>377</v>
      </c>
      <c r="I360" s="10">
        <v>501.0</v>
      </c>
      <c r="J360" s="11" t="str">
        <f>IF(D360&lt;&gt;"",VLOOKUP(H360,TABLEITEM,5,FALSE),"")</f>
        <v>EA</v>
      </c>
      <c r="K360" s="12">
        <v>0.96</v>
      </c>
      <c r="L360" s="13" t="str">
        <f>IF(D360&lt;&gt;"",VLOOKUP(H360,TABLEITEM,2,FALSE),"")</f>
        <v/>
      </c>
      <c r="M360" s="13" t="str">
        <f>IF(D360&lt;&gt;"",VLOOKUP(H360,TABLEITEM,3,FALSE),"")</f>
        <v>ปลอกหุ้มหางปลา V-14 สีน้ำเงิน</v>
      </c>
      <c r="N360" s="14">
        <f>INSTOCK!$I360*INSTOCK!$K360</f>
        <v>480.96</v>
      </c>
      <c r="O360" s="4"/>
      <c r="P360" s="4"/>
    </row>
    <row r="361" ht="15.75" hidden="1" customHeight="1">
      <c r="B361" s="8">
        <v>359.0</v>
      </c>
      <c r="C361" s="9">
        <v>43199.0</v>
      </c>
      <c r="D361" s="6" t="s">
        <v>15</v>
      </c>
      <c r="E361" s="4"/>
      <c r="F361" s="8"/>
      <c r="G361" s="4"/>
      <c r="H361" s="10" t="s">
        <v>378</v>
      </c>
      <c r="I361" s="10">
        <v>281.0</v>
      </c>
      <c r="J361" s="11" t="str">
        <f>IF(D361&lt;&gt;"",VLOOKUP(H361,TABLEITEM,5,FALSE),"")</f>
        <v>EA</v>
      </c>
      <c r="K361" s="12">
        <v>0.96</v>
      </c>
      <c r="L361" s="13" t="str">
        <f>IF(D361&lt;&gt;"",VLOOKUP(H361,TABLEITEM,2,FALSE),"")</f>
        <v/>
      </c>
      <c r="M361" s="13" t="str">
        <f>IF(D361&lt;&gt;"",VLOOKUP(H361,TABLEITEM,3,FALSE),"")</f>
        <v>ปลอกหุ้มหางปลา V-14สีขาว</v>
      </c>
      <c r="N361" s="14">
        <f>INSTOCK!$I361*INSTOCK!$K361</f>
        <v>269.76</v>
      </c>
      <c r="O361" s="4"/>
      <c r="P361" s="4"/>
    </row>
    <row r="362" ht="15.75" hidden="1" customHeight="1">
      <c r="B362" s="8">
        <v>360.0</v>
      </c>
      <c r="C362" s="9">
        <v>43199.0</v>
      </c>
      <c r="D362" s="6" t="s">
        <v>15</v>
      </c>
      <c r="E362" s="4"/>
      <c r="F362" s="8"/>
      <c r="G362" s="4"/>
      <c r="H362" s="10" t="s">
        <v>379</v>
      </c>
      <c r="I362" s="10">
        <v>656.0</v>
      </c>
      <c r="J362" s="11" t="str">
        <f>IF(D362&lt;&gt;"",VLOOKUP(H362,TABLEITEM,5,FALSE),"")</f>
        <v>EA</v>
      </c>
      <c r="K362" s="12">
        <v>0.96</v>
      </c>
      <c r="L362" s="13" t="str">
        <f>IF(D362&lt;&gt;"",VLOOKUP(H362,TABLEITEM,2,FALSE),"")</f>
        <v/>
      </c>
      <c r="M362" s="13" t="str">
        <f>IF(D362&lt;&gt;"",VLOOKUP(H362,TABLEITEM,3,FALSE),"")</f>
        <v>ปลอกหุ้มหางปลา V-14สีเขียว</v>
      </c>
      <c r="N362" s="14">
        <f>INSTOCK!$I362*INSTOCK!$K362</f>
        <v>629.76</v>
      </c>
      <c r="O362" s="4"/>
      <c r="P362" s="4"/>
    </row>
    <row r="363" ht="15.75" hidden="1" customHeight="1">
      <c r="B363" s="8">
        <v>361.0</v>
      </c>
      <c r="C363" s="9">
        <v>43199.0</v>
      </c>
      <c r="D363" s="6" t="s">
        <v>15</v>
      </c>
      <c r="E363" s="4"/>
      <c r="F363" s="8"/>
      <c r="G363" s="4"/>
      <c r="H363" s="10" t="s">
        <v>380</v>
      </c>
      <c r="I363" s="10">
        <v>552.0</v>
      </c>
      <c r="J363" s="11" t="str">
        <f>IF(D363&lt;&gt;"",VLOOKUP(H363,TABLEITEM,5,FALSE),"")</f>
        <v>EA</v>
      </c>
      <c r="K363" s="12">
        <v>0.96</v>
      </c>
      <c r="L363" s="13" t="str">
        <f>IF(D363&lt;&gt;"",VLOOKUP(H363,TABLEITEM,2,FALSE),"")</f>
        <v/>
      </c>
      <c r="M363" s="13" t="str">
        <f>IF(D363&lt;&gt;"",VLOOKUP(H363,TABLEITEM,3,FALSE),"")</f>
        <v>ปลอกหุ้มหางปลา V-14สีดำ</v>
      </c>
      <c r="N363" s="14">
        <f>INSTOCK!$I363*INSTOCK!$K363</f>
        <v>529.92</v>
      </c>
      <c r="O363" s="4"/>
      <c r="P363" s="4"/>
    </row>
    <row r="364" ht="15.75" hidden="1" customHeight="1">
      <c r="B364" s="8">
        <v>362.0</v>
      </c>
      <c r="C364" s="9">
        <v>43199.0</v>
      </c>
      <c r="D364" s="6" t="s">
        <v>15</v>
      </c>
      <c r="E364" s="4"/>
      <c r="F364" s="8"/>
      <c r="G364" s="4"/>
      <c r="H364" s="10" t="s">
        <v>381</v>
      </c>
      <c r="I364" s="10">
        <v>562.0</v>
      </c>
      <c r="J364" s="11" t="str">
        <f>IF(D364&lt;&gt;"",VLOOKUP(H364,TABLEITEM,5,FALSE),"")</f>
        <v>EA</v>
      </c>
      <c r="K364" s="12">
        <v>1.56</v>
      </c>
      <c r="L364" s="13" t="str">
        <f>IF(D364&lt;&gt;"",VLOOKUP(H364,TABLEITEM,2,FALSE),"")</f>
        <v/>
      </c>
      <c r="M364" s="13" t="str">
        <f>IF(D364&lt;&gt;"",VLOOKUP(H364,TABLEITEM,3,FALSE),"")</f>
        <v>ปลอกหุ้มหางปลา V-22 สีแดง</v>
      </c>
      <c r="N364" s="14">
        <f>INSTOCK!$I364*INSTOCK!$K364</f>
        <v>876.72</v>
      </c>
      <c r="O364" s="4"/>
      <c r="P364" s="4"/>
    </row>
    <row r="365" ht="15.75" hidden="1" customHeight="1">
      <c r="B365" s="8">
        <v>363.0</v>
      </c>
      <c r="C365" s="9">
        <v>43199.0</v>
      </c>
      <c r="D365" s="6" t="s">
        <v>15</v>
      </c>
      <c r="E365" s="4"/>
      <c r="F365" s="8"/>
      <c r="G365" s="4"/>
      <c r="H365" s="10" t="s">
        <v>382</v>
      </c>
      <c r="I365" s="10">
        <v>607.0</v>
      </c>
      <c r="J365" s="11" t="str">
        <f>IF(D365&lt;&gt;"",VLOOKUP(H365,TABLEITEM,5,FALSE),"")</f>
        <v>EA</v>
      </c>
      <c r="K365" s="12">
        <v>1.56</v>
      </c>
      <c r="L365" s="13" t="str">
        <f>IF(D365&lt;&gt;"",VLOOKUP(H365,TABLEITEM,2,FALSE),"")</f>
        <v/>
      </c>
      <c r="M365" s="13" t="str">
        <f>IF(D365&lt;&gt;"",VLOOKUP(H365,TABLEITEM,3,FALSE),"")</f>
        <v>ปลอกหุ้มหางปลา V-22สีเหลือง</v>
      </c>
      <c r="N365" s="14">
        <f>INSTOCK!$I365*INSTOCK!$K365</f>
        <v>946.92</v>
      </c>
      <c r="O365" s="4"/>
      <c r="P365" s="4"/>
    </row>
    <row r="366" ht="15.75" hidden="1" customHeight="1">
      <c r="B366" s="8">
        <v>364.0</v>
      </c>
      <c r="C366" s="9">
        <v>43199.0</v>
      </c>
      <c r="D366" s="6" t="s">
        <v>15</v>
      </c>
      <c r="E366" s="4"/>
      <c r="F366" s="8"/>
      <c r="G366" s="4"/>
      <c r="H366" s="10" t="s">
        <v>383</v>
      </c>
      <c r="I366" s="10">
        <v>461.0</v>
      </c>
      <c r="J366" s="11" t="str">
        <f>IF(D366&lt;&gt;"",VLOOKUP(H366,TABLEITEM,5,FALSE),"")</f>
        <v>EA</v>
      </c>
      <c r="K366" s="12">
        <v>1.56</v>
      </c>
      <c r="L366" s="13" t="str">
        <f>IF(D366&lt;&gt;"",VLOOKUP(H366,TABLEITEM,2,FALSE),"")</f>
        <v/>
      </c>
      <c r="M366" s="13" t="str">
        <f>IF(D366&lt;&gt;"",VLOOKUP(H366,TABLEITEM,3,FALSE),"")</f>
        <v>ปลอกหุ้มหางปลา V-22 สีน้ำเงิน</v>
      </c>
      <c r="N366" s="14">
        <f>INSTOCK!$I366*INSTOCK!$K366</f>
        <v>719.16</v>
      </c>
      <c r="O366" s="4"/>
      <c r="P366" s="4"/>
    </row>
    <row r="367" ht="15.75" hidden="1" customHeight="1">
      <c r="B367" s="8">
        <v>365.0</v>
      </c>
      <c r="C367" s="9">
        <v>43199.0</v>
      </c>
      <c r="D367" s="6" t="s">
        <v>15</v>
      </c>
      <c r="E367" s="4"/>
      <c r="F367" s="8"/>
      <c r="G367" s="4"/>
      <c r="H367" s="10" t="s">
        <v>384</v>
      </c>
      <c r="I367" s="10">
        <v>621.0</v>
      </c>
      <c r="J367" s="11" t="str">
        <f>IF(D367&lt;&gt;"",VLOOKUP(H367,TABLEITEM,5,FALSE),"")</f>
        <v>EA</v>
      </c>
      <c r="K367" s="12">
        <v>1.56</v>
      </c>
      <c r="L367" s="13" t="str">
        <f>IF(D367&lt;&gt;"",VLOOKUP(H367,TABLEITEM,2,FALSE),"")</f>
        <v/>
      </c>
      <c r="M367" s="13" t="str">
        <f>IF(D367&lt;&gt;"",VLOOKUP(H367,TABLEITEM,3,FALSE),"")</f>
        <v>ปลอกหุ้มหางปลา V-22สีขาว</v>
      </c>
      <c r="N367" s="14">
        <f>INSTOCK!$I367*INSTOCK!$K367</f>
        <v>968.76</v>
      </c>
      <c r="O367" s="4"/>
      <c r="P367" s="4"/>
    </row>
    <row r="368" ht="15.75" hidden="1" customHeight="1">
      <c r="B368" s="8">
        <v>366.0</v>
      </c>
      <c r="C368" s="9">
        <v>43199.0</v>
      </c>
      <c r="D368" s="6" t="s">
        <v>15</v>
      </c>
      <c r="E368" s="4"/>
      <c r="F368" s="8"/>
      <c r="G368" s="4"/>
      <c r="H368" s="10" t="s">
        <v>385</v>
      </c>
      <c r="I368" s="10">
        <v>751.0</v>
      </c>
      <c r="J368" s="11" t="str">
        <f>IF(D368&lt;&gt;"",VLOOKUP(H368,TABLEITEM,5,FALSE),"")</f>
        <v>EA</v>
      </c>
      <c r="K368" s="12">
        <v>1.56</v>
      </c>
      <c r="L368" s="13" t="str">
        <f>IF(D368&lt;&gt;"",VLOOKUP(H368,TABLEITEM,2,FALSE),"")</f>
        <v/>
      </c>
      <c r="M368" s="13" t="str">
        <f>IF(D368&lt;&gt;"",VLOOKUP(H368,TABLEITEM,3,FALSE),"")</f>
        <v>ปลอกหุ้มหางปลา V-22สีเขียว</v>
      </c>
      <c r="N368" s="14">
        <f>INSTOCK!$I368*INSTOCK!$K368</f>
        <v>1171.56</v>
      </c>
      <c r="O368" s="4"/>
      <c r="P368" s="4"/>
    </row>
    <row r="369" ht="15.75" hidden="1" customHeight="1">
      <c r="B369" s="8">
        <v>367.0</v>
      </c>
      <c r="C369" s="9">
        <v>43199.0</v>
      </c>
      <c r="D369" s="6" t="s">
        <v>15</v>
      </c>
      <c r="E369" s="4"/>
      <c r="F369" s="8"/>
      <c r="G369" s="4"/>
      <c r="H369" s="10" t="s">
        <v>386</v>
      </c>
      <c r="I369" s="10">
        <v>436.0</v>
      </c>
      <c r="J369" s="11" t="str">
        <f>IF(D369&lt;&gt;"",VLOOKUP(H369,TABLEITEM,5,FALSE),"")</f>
        <v>EA</v>
      </c>
      <c r="K369" s="12">
        <v>1.56</v>
      </c>
      <c r="L369" s="13" t="str">
        <f>IF(D369&lt;&gt;"",VLOOKUP(H369,TABLEITEM,2,FALSE),"")</f>
        <v/>
      </c>
      <c r="M369" s="13" t="str">
        <f>IF(D369&lt;&gt;"",VLOOKUP(H369,TABLEITEM,3,FALSE),"")</f>
        <v>ปลอกหุ้มหางปลา V-22สีดำ</v>
      </c>
      <c r="N369" s="14">
        <f>INSTOCK!$I369*INSTOCK!$K369</f>
        <v>680.16</v>
      </c>
      <c r="O369" s="4"/>
      <c r="P369" s="4"/>
    </row>
    <row r="370" ht="15.75" hidden="1" customHeight="1">
      <c r="B370" s="8">
        <v>368.0</v>
      </c>
      <c r="C370" s="9">
        <v>43199.0</v>
      </c>
      <c r="D370" s="6" t="s">
        <v>15</v>
      </c>
      <c r="E370" s="4"/>
      <c r="F370" s="8"/>
      <c r="G370" s="4"/>
      <c r="H370" s="10" t="s">
        <v>387</v>
      </c>
      <c r="I370" s="10">
        <v>193.0</v>
      </c>
      <c r="J370" s="11" t="str">
        <f>IF(D370&lt;&gt;"",VLOOKUP(H370,TABLEITEM,5,FALSE),"")</f>
        <v>EA</v>
      </c>
      <c r="K370" s="12">
        <v>1.92</v>
      </c>
      <c r="L370" s="13" t="str">
        <f>IF(D370&lt;&gt;"",VLOOKUP(H370,TABLEITEM,2,FALSE),"")</f>
        <v/>
      </c>
      <c r="M370" s="13" t="str">
        <f>IF(D370&lt;&gt;"",VLOOKUP(H370,TABLEITEM,3,FALSE),"")</f>
        <v>ปลอกหุ้มหางปลา V-38 สีแดง</v>
      </c>
      <c r="N370" s="14">
        <f>INSTOCK!$I370*INSTOCK!$K370</f>
        <v>370.56</v>
      </c>
      <c r="O370" s="4"/>
      <c r="P370" s="4"/>
    </row>
    <row r="371" ht="15.75" hidden="1" customHeight="1">
      <c r="B371" s="8">
        <v>369.0</v>
      </c>
      <c r="C371" s="9">
        <v>43199.0</v>
      </c>
      <c r="D371" s="6" t="s">
        <v>15</v>
      </c>
      <c r="E371" s="4"/>
      <c r="F371" s="8"/>
      <c r="G371" s="4"/>
      <c r="H371" s="10" t="s">
        <v>388</v>
      </c>
      <c r="I371" s="10">
        <v>419.0</v>
      </c>
      <c r="J371" s="11" t="str">
        <f>IF(D371&lt;&gt;"",VLOOKUP(H371,TABLEITEM,5,FALSE),"")</f>
        <v>EA</v>
      </c>
      <c r="K371" s="12">
        <v>1.92</v>
      </c>
      <c r="L371" s="13" t="str">
        <f>IF(D371&lt;&gt;"",VLOOKUP(H371,TABLEITEM,2,FALSE),"")</f>
        <v/>
      </c>
      <c r="M371" s="13" t="str">
        <f>IF(D371&lt;&gt;"",VLOOKUP(H371,TABLEITEM,3,FALSE),"")</f>
        <v>ปลอกหุ้มหางปลา V-38 สีเหลือง</v>
      </c>
      <c r="N371" s="14">
        <f>INSTOCK!$I371*INSTOCK!$K371</f>
        <v>804.48</v>
      </c>
      <c r="O371" s="4"/>
      <c r="P371" s="4"/>
    </row>
    <row r="372" ht="15.75" hidden="1" customHeight="1">
      <c r="B372" s="8">
        <v>370.0</v>
      </c>
      <c r="C372" s="9">
        <v>43199.0</v>
      </c>
      <c r="D372" s="6" t="s">
        <v>15</v>
      </c>
      <c r="E372" s="4"/>
      <c r="F372" s="8"/>
      <c r="G372" s="4"/>
      <c r="H372" s="10" t="s">
        <v>389</v>
      </c>
      <c r="I372" s="10">
        <v>515.0</v>
      </c>
      <c r="J372" s="11" t="str">
        <f>IF(D372&lt;&gt;"",VLOOKUP(H372,TABLEITEM,5,FALSE),"")</f>
        <v>EA</v>
      </c>
      <c r="K372" s="12">
        <v>1.92</v>
      </c>
      <c r="L372" s="13" t="str">
        <f>IF(D372&lt;&gt;"",VLOOKUP(H372,TABLEITEM,2,FALSE),"")</f>
        <v/>
      </c>
      <c r="M372" s="13" t="str">
        <f>IF(D372&lt;&gt;"",VLOOKUP(H372,TABLEITEM,3,FALSE),"")</f>
        <v>ปลอกหุ้มหางปลา V-38 สีน้ำเงิน</v>
      </c>
      <c r="N372" s="14">
        <f>INSTOCK!$I372*INSTOCK!$K372</f>
        <v>988.8</v>
      </c>
      <c r="O372" s="4"/>
      <c r="P372" s="4"/>
    </row>
    <row r="373" ht="15.75" hidden="1" customHeight="1">
      <c r="B373" s="8">
        <v>371.0</v>
      </c>
      <c r="C373" s="9">
        <v>43199.0</v>
      </c>
      <c r="D373" s="6" t="s">
        <v>15</v>
      </c>
      <c r="E373" s="4"/>
      <c r="F373" s="8"/>
      <c r="G373" s="4"/>
      <c r="H373" s="10" t="s">
        <v>390</v>
      </c>
      <c r="I373" s="10">
        <v>335.0</v>
      </c>
      <c r="J373" s="11" t="str">
        <f>IF(D373&lt;&gt;"",VLOOKUP(H373,TABLEITEM,5,FALSE),"")</f>
        <v>EA</v>
      </c>
      <c r="K373" s="12">
        <v>1.92</v>
      </c>
      <c r="L373" s="13" t="str">
        <f>IF(D373&lt;&gt;"",VLOOKUP(H373,TABLEITEM,2,FALSE),"")</f>
        <v/>
      </c>
      <c r="M373" s="13" t="str">
        <f>IF(D373&lt;&gt;"",VLOOKUP(H373,TABLEITEM,3,FALSE),"")</f>
        <v>ปลอกหุ้มหางปลา V-38 สีขาว</v>
      </c>
      <c r="N373" s="14">
        <f>INSTOCK!$I373*INSTOCK!$K373</f>
        <v>643.2</v>
      </c>
      <c r="O373" s="4"/>
      <c r="P373" s="4"/>
    </row>
    <row r="374" ht="15.75" hidden="1" customHeight="1">
      <c r="B374" s="8">
        <v>372.0</v>
      </c>
      <c r="C374" s="9">
        <v>43199.0</v>
      </c>
      <c r="D374" s="6" t="s">
        <v>15</v>
      </c>
      <c r="E374" s="4"/>
      <c r="F374" s="8"/>
      <c r="G374" s="4"/>
      <c r="H374" s="10" t="s">
        <v>391</v>
      </c>
      <c r="I374" s="10">
        <v>448.0</v>
      </c>
      <c r="J374" s="11" t="str">
        <f>IF(D374&lt;&gt;"",VLOOKUP(H374,TABLEITEM,5,FALSE),"")</f>
        <v>EA</v>
      </c>
      <c r="K374" s="12">
        <v>1.92</v>
      </c>
      <c r="L374" s="13" t="str">
        <f>IF(D374&lt;&gt;"",VLOOKUP(H374,TABLEITEM,2,FALSE),"")</f>
        <v/>
      </c>
      <c r="M374" s="13" t="str">
        <f>IF(D374&lt;&gt;"",VLOOKUP(H374,TABLEITEM,3,FALSE),"")</f>
        <v>ปลอกหุ้มหางปลา V-38 สีเขียว</v>
      </c>
      <c r="N374" s="14">
        <f>INSTOCK!$I374*INSTOCK!$K374</f>
        <v>860.16</v>
      </c>
      <c r="O374" s="4"/>
      <c r="P374" s="4"/>
    </row>
    <row r="375" ht="15.75" hidden="1" customHeight="1">
      <c r="B375" s="8">
        <v>373.0</v>
      </c>
      <c r="C375" s="9">
        <v>43199.0</v>
      </c>
      <c r="D375" s="6" t="s">
        <v>15</v>
      </c>
      <c r="E375" s="4"/>
      <c r="F375" s="8"/>
      <c r="G375" s="4"/>
      <c r="H375" s="10" t="s">
        <v>392</v>
      </c>
      <c r="I375" s="10">
        <v>608.0</v>
      </c>
      <c r="J375" s="11" t="str">
        <f>IF(D375&lt;&gt;"",VLOOKUP(H375,TABLEITEM,5,FALSE),"")</f>
        <v>EA</v>
      </c>
      <c r="K375" s="12">
        <v>1.92</v>
      </c>
      <c r="L375" s="13" t="str">
        <f>IF(D375&lt;&gt;"",VLOOKUP(H375,TABLEITEM,2,FALSE),"")</f>
        <v/>
      </c>
      <c r="M375" s="13" t="str">
        <f>IF(D375&lt;&gt;"",VLOOKUP(H375,TABLEITEM,3,FALSE),"")</f>
        <v>ปลอกหุ้มหางปลา V-38 สีดำ</v>
      </c>
      <c r="N375" s="14">
        <f>INSTOCK!$I375*INSTOCK!$K375</f>
        <v>1167.36</v>
      </c>
      <c r="O375" s="4"/>
      <c r="P375" s="4"/>
    </row>
    <row r="376" ht="15.75" hidden="1" customHeight="1">
      <c r="B376" s="8">
        <v>374.0</v>
      </c>
      <c r="C376" s="9">
        <v>43199.0</v>
      </c>
      <c r="D376" s="6" t="s">
        <v>15</v>
      </c>
      <c r="E376" s="4"/>
      <c r="F376" s="8"/>
      <c r="G376" s="4"/>
      <c r="H376" s="10" t="s">
        <v>393</v>
      </c>
      <c r="I376" s="10">
        <v>193.0</v>
      </c>
      <c r="J376" s="11" t="str">
        <f>IF(D376&lt;&gt;"",VLOOKUP(H376,TABLEITEM,5,FALSE),"")</f>
        <v>EA</v>
      </c>
      <c r="K376" s="12">
        <v>3.0</v>
      </c>
      <c r="L376" s="13" t="str">
        <f>IF(D376&lt;&gt;"",VLOOKUP(H376,TABLEITEM,2,FALSE),"")</f>
        <v/>
      </c>
      <c r="M376" s="13" t="str">
        <f>IF(D376&lt;&gt;"",VLOOKUP(H376,TABLEITEM,3,FALSE),"")</f>
        <v>ปลอกหุ้มหางปลา V-60 สีแดง</v>
      </c>
      <c r="N376" s="14">
        <f>INSTOCK!$I376*INSTOCK!$K376</f>
        <v>579</v>
      </c>
      <c r="O376" s="4"/>
      <c r="P376" s="4"/>
    </row>
    <row r="377" ht="15.75" hidden="1" customHeight="1">
      <c r="B377" s="8">
        <v>375.0</v>
      </c>
      <c r="C377" s="9">
        <v>43199.0</v>
      </c>
      <c r="D377" s="6" t="s">
        <v>15</v>
      </c>
      <c r="E377" s="4"/>
      <c r="F377" s="8"/>
      <c r="G377" s="4"/>
      <c r="H377" s="10" t="s">
        <v>394</v>
      </c>
      <c r="I377" s="10">
        <v>302.0</v>
      </c>
      <c r="J377" s="11" t="str">
        <f>IF(D377&lt;&gt;"",VLOOKUP(H377,TABLEITEM,5,FALSE),"")</f>
        <v>EA</v>
      </c>
      <c r="K377" s="12">
        <v>3.0</v>
      </c>
      <c r="L377" s="13" t="str">
        <f>IF(D377&lt;&gt;"",VLOOKUP(H377,TABLEITEM,2,FALSE),"")</f>
        <v/>
      </c>
      <c r="M377" s="13" t="str">
        <f>IF(D377&lt;&gt;"",VLOOKUP(H377,TABLEITEM,3,FALSE),"")</f>
        <v>ปลอกหุ้มหางปลา V-60 สีเหลือง</v>
      </c>
      <c r="N377" s="14">
        <f>INSTOCK!$I377*INSTOCK!$K377</f>
        <v>906</v>
      </c>
      <c r="O377" s="4"/>
      <c r="P377" s="4"/>
    </row>
    <row r="378" ht="15.75" hidden="1" customHeight="1">
      <c r="B378" s="8">
        <v>376.0</v>
      </c>
      <c r="C378" s="9">
        <v>43199.0</v>
      </c>
      <c r="D378" s="6" t="s">
        <v>15</v>
      </c>
      <c r="E378" s="4"/>
      <c r="F378" s="8"/>
      <c r="G378" s="4"/>
      <c r="H378" s="10" t="s">
        <v>395</v>
      </c>
      <c r="I378" s="10">
        <v>239.0</v>
      </c>
      <c r="J378" s="11" t="str">
        <f>IF(D378&lt;&gt;"",VLOOKUP(H378,TABLEITEM,5,FALSE),"")</f>
        <v>EA</v>
      </c>
      <c r="K378" s="12">
        <v>3.0</v>
      </c>
      <c r="L378" s="13" t="str">
        <f>IF(D378&lt;&gt;"",VLOOKUP(H378,TABLEITEM,2,FALSE),"")</f>
        <v/>
      </c>
      <c r="M378" s="13" t="str">
        <f>IF(D378&lt;&gt;"",VLOOKUP(H378,TABLEITEM,3,FALSE),"")</f>
        <v>ปลอกหุ้มหางปลา V-60 สีน้ำเงิน</v>
      </c>
      <c r="N378" s="14">
        <f>INSTOCK!$I378*INSTOCK!$K378</f>
        <v>717</v>
      </c>
      <c r="O378" s="4"/>
      <c r="P378" s="4"/>
    </row>
    <row r="379" ht="15.75" hidden="1" customHeight="1">
      <c r="B379" s="8">
        <v>377.0</v>
      </c>
      <c r="C379" s="9">
        <v>43199.0</v>
      </c>
      <c r="D379" s="6" t="s">
        <v>15</v>
      </c>
      <c r="E379" s="4"/>
      <c r="F379" s="8"/>
      <c r="G379" s="4"/>
      <c r="H379" s="10" t="s">
        <v>396</v>
      </c>
      <c r="I379" s="10">
        <v>704.0</v>
      </c>
      <c r="J379" s="11" t="str">
        <f>IF(D379&lt;&gt;"",VLOOKUP(H379,TABLEITEM,5,FALSE),"")</f>
        <v>EA</v>
      </c>
      <c r="K379" s="12">
        <v>3.0</v>
      </c>
      <c r="L379" s="13" t="str">
        <f>IF(D379&lt;&gt;"",VLOOKUP(H379,TABLEITEM,2,FALSE),"")</f>
        <v/>
      </c>
      <c r="M379" s="13" t="str">
        <f>IF(D379&lt;&gt;"",VLOOKUP(H379,TABLEITEM,3,FALSE),"")</f>
        <v>ปลอกหุ้มหางปลา V-60 สีขาว</v>
      </c>
      <c r="N379" s="14">
        <f>INSTOCK!$I379*INSTOCK!$K379</f>
        <v>2112</v>
      </c>
      <c r="O379" s="4"/>
      <c r="P379" s="4"/>
    </row>
    <row r="380" ht="15.75" hidden="1" customHeight="1">
      <c r="B380" s="8">
        <v>378.0</v>
      </c>
      <c r="C380" s="9">
        <v>43199.0</v>
      </c>
      <c r="D380" s="6" t="s">
        <v>15</v>
      </c>
      <c r="E380" s="4"/>
      <c r="F380" s="8"/>
      <c r="G380" s="4"/>
      <c r="H380" s="10" t="s">
        <v>397</v>
      </c>
      <c r="I380" s="10">
        <v>358.0</v>
      </c>
      <c r="J380" s="11" t="str">
        <f>IF(D380&lt;&gt;"",VLOOKUP(H380,TABLEITEM,5,FALSE),"")</f>
        <v>EA</v>
      </c>
      <c r="K380" s="12">
        <v>3.0</v>
      </c>
      <c r="L380" s="13" t="str">
        <f>IF(D380&lt;&gt;"",VLOOKUP(H380,TABLEITEM,2,FALSE),"")</f>
        <v/>
      </c>
      <c r="M380" s="13" t="str">
        <f>IF(D380&lt;&gt;"",VLOOKUP(H380,TABLEITEM,3,FALSE),"")</f>
        <v>ปลอกหุ้มหางปลา V-60 สีเขียว</v>
      </c>
      <c r="N380" s="14">
        <f>INSTOCK!$I380*INSTOCK!$K380</f>
        <v>1074</v>
      </c>
      <c r="O380" s="4"/>
      <c r="P380" s="4"/>
    </row>
    <row r="381" ht="15.75" hidden="1" customHeight="1">
      <c r="B381" s="8">
        <v>379.0</v>
      </c>
      <c r="C381" s="9">
        <v>43199.0</v>
      </c>
      <c r="D381" s="6" t="s">
        <v>15</v>
      </c>
      <c r="E381" s="4"/>
      <c r="F381" s="8"/>
      <c r="G381" s="4"/>
      <c r="H381" s="10" t="s">
        <v>398</v>
      </c>
      <c r="I381" s="10">
        <v>138.0</v>
      </c>
      <c r="J381" s="11" t="str">
        <f>IF(D381&lt;&gt;"",VLOOKUP(H381,TABLEITEM,5,FALSE),"")</f>
        <v>EA</v>
      </c>
      <c r="K381" s="12">
        <v>3.0</v>
      </c>
      <c r="L381" s="13" t="str">
        <f>IF(D381&lt;&gt;"",VLOOKUP(H381,TABLEITEM,2,FALSE),"")</f>
        <v/>
      </c>
      <c r="M381" s="13" t="str">
        <f>IF(D381&lt;&gt;"",VLOOKUP(H381,TABLEITEM,3,FALSE),"")</f>
        <v>ปลอกหุ้มหางปลา V-60 สีดำ</v>
      </c>
      <c r="N381" s="14">
        <f>INSTOCK!$I381*INSTOCK!$K381</f>
        <v>414</v>
      </c>
      <c r="O381" s="4"/>
      <c r="P381" s="4"/>
    </row>
    <row r="382" ht="15.75" hidden="1" customHeight="1">
      <c r="B382" s="8">
        <v>380.0</v>
      </c>
      <c r="C382" s="9">
        <v>43199.0</v>
      </c>
      <c r="D382" s="6" t="s">
        <v>15</v>
      </c>
      <c r="E382" s="4"/>
      <c r="F382" s="8"/>
      <c r="G382" s="4"/>
      <c r="H382" s="10" t="s">
        <v>399</v>
      </c>
      <c r="I382" s="10">
        <v>162.0</v>
      </c>
      <c r="J382" s="11" t="str">
        <f>IF(D382&lt;&gt;"",VLOOKUP(H382,TABLEITEM,5,FALSE),"")</f>
        <v>EA</v>
      </c>
      <c r="K382" s="12">
        <v>3.96</v>
      </c>
      <c r="L382" s="13" t="str">
        <f>IF(D382&lt;&gt;"",VLOOKUP(H382,TABLEITEM,2,FALSE),"")</f>
        <v/>
      </c>
      <c r="M382" s="13" t="str">
        <f>IF(D382&lt;&gt;"",VLOOKUP(H382,TABLEITEM,3,FALSE),"")</f>
        <v>ปลอกหุ้มหางปลา V-80 สีแดง</v>
      </c>
      <c r="N382" s="14">
        <f>INSTOCK!$I382*INSTOCK!$K382</f>
        <v>641.52</v>
      </c>
      <c r="O382" s="4"/>
      <c r="P382" s="4"/>
    </row>
    <row r="383" ht="15.75" hidden="1" customHeight="1">
      <c r="B383" s="8">
        <v>381.0</v>
      </c>
      <c r="C383" s="9">
        <v>43199.0</v>
      </c>
      <c r="D383" s="6" t="s">
        <v>15</v>
      </c>
      <c r="E383" s="4"/>
      <c r="F383" s="8"/>
      <c r="G383" s="4"/>
      <c r="H383" s="10" t="s">
        <v>400</v>
      </c>
      <c r="I383" s="10">
        <v>134.0</v>
      </c>
      <c r="J383" s="11" t="str">
        <f>IF(D383&lt;&gt;"",VLOOKUP(H383,TABLEITEM,5,FALSE),"")</f>
        <v>EA</v>
      </c>
      <c r="K383" s="12">
        <v>3.96</v>
      </c>
      <c r="L383" s="13" t="str">
        <f>IF(D383&lt;&gt;"",VLOOKUP(H383,TABLEITEM,2,FALSE),"")</f>
        <v/>
      </c>
      <c r="M383" s="13" t="str">
        <f>IF(D383&lt;&gt;"",VLOOKUP(H383,TABLEITEM,3,FALSE),"")</f>
        <v>ปลอกหุ้มหางปลา V-80 สีเหลือง</v>
      </c>
      <c r="N383" s="14">
        <f>INSTOCK!$I383*INSTOCK!$K383</f>
        <v>530.64</v>
      </c>
      <c r="O383" s="4"/>
      <c r="P383" s="4"/>
    </row>
    <row r="384" ht="15.75" hidden="1" customHeight="1">
      <c r="B384" s="8">
        <v>382.0</v>
      </c>
      <c r="C384" s="9">
        <v>43199.0</v>
      </c>
      <c r="D384" s="6" t="s">
        <v>15</v>
      </c>
      <c r="E384" s="4"/>
      <c r="F384" s="8"/>
      <c r="G384" s="4"/>
      <c r="H384" s="10" t="s">
        <v>401</v>
      </c>
      <c r="I384" s="10">
        <v>63.0</v>
      </c>
      <c r="J384" s="11" t="str">
        <f>IF(D384&lt;&gt;"",VLOOKUP(H384,TABLEITEM,5,FALSE),"")</f>
        <v>EA</v>
      </c>
      <c r="K384" s="12">
        <v>3.96</v>
      </c>
      <c r="L384" s="13" t="str">
        <f>IF(D384&lt;&gt;"",VLOOKUP(H384,TABLEITEM,2,FALSE),"")</f>
        <v/>
      </c>
      <c r="M384" s="13" t="str">
        <f>IF(D384&lt;&gt;"",VLOOKUP(H384,TABLEITEM,3,FALSE),"")</f>
        <v>ปลอกหุ้มหางปลา V-80 สีน้ำเงิน</v>
      </c>
      <c r="N384" s="14">
        <f>INSTOCK!$I384*INSTOCK!$K384</f>
        <v>249.48</v>
      </c>
      <c r="O384" s="4"/>
      <c r="P384" s="4"/>
    </row>
    <row r="385" ht="15.75" hidden="1" customHeight="1">
      <c r="B385" s="8">
        <v>383.0</v>
      </c>
      <c r="C385" s="9">
        <v>43199.0</v>
      </c>
      <c r="D385" s="6" t="s">
        <v>15</v>
      </c>
      <c r="E385" s="4"/>
      <c r="F385" s="8"/>
      <c r="G385" s="4"/>
      <c r="H385" s="10" t="s">
        <v>402</v>
      </c>
      <c r="I385" s="10">
        <v>98.0</v>
      </c>
      <c r="J385" s="11" t="str">
        <f>IF(D385&lt;&gt;"",VLOOKUP(H385,TABLEITEM,5,FALSE),"")</f>
        <v>EA</v>
      </c>
      <c r="K385" s="12">
        <v>3.96</v>
      </c>
      <c r="L385" s="13" t="str">
        <f>IF(D385&lt;&gt;"",VLOOKUP(H385,TABLEITEM,2,FALSE),"")</f>
        <v/>
      </c>
      <c r="M385" s="13" t="str">
        <f>IF(D385&lt;&gt;"",VLOOKUP(H385,TABLEITEM,3,FALSE),"")</f>
        <v>ปลอกหุ้มหางปลา V-80 สีขาว</v>
      </c>
      <c r="N385" s="14">
        <f>INSTOCK!$I385*INSTOCK!$K385</f>
        <v>388.08</v>
      </c>
      <c r="O385" s="4"/>
      <c r="P385" s="4"/>
    </row>
    <row r="386" ht="15.75" hidden="1" customHeight="1">
      <c r="B386" s="8">
        <v>384.0</v>
      </c>
      <c r="C386" s="9">
        <v>43199.0</v>
      </c>
      <c r="D386" s="6" t="s">
        <v>15</v>
      </c>
      <c r="E386" s="4"/>
      <c r="F386" s="8"/>
      <c r="G386" s="4"/>
      <c r="H386" s="10" t="s">
        <v>403</v>
      </c>
      <c r="I386" s="10">
        <v>87.0</v>
      </c>
      <c r="J386" s="11" t="str">
        <f>IF(D386&lt;&gt;"",VLOOKUP(H386,TABLEITEM,5,FALSE),"")</f>
        <v>EA</v>
      </c>
      <c r="K386" s="12">
        <v>3.96</v>
      </c>
      <c r="L386" s="13" t="str">
        <f>IF(D386&lt;&gt;"",VLOOKUP(H386,TABLEITEM,2,FALSE),"")</f>
        <v/>
      </c>
      <c r="M386" s="13" t="str">
        <f>IF(D386&lt;&gt;"",VLOOKUP(H386,TABLEITEM,3,FALSE),"")</f>
        <v>ปลอกหุ้มหางปลา V-80 สีเขียว</v>
      </c>
      <c r="N386" s="14">
        <f>INSTOCK!$I386*INSTOCK!$K386</f>
        <v>344.52</v>
      </c>
      <c r="O386" s="4"/>
      <c r="P386" s="4"/>
    </row>
    <row r="387" ht="15.75" hidden="1" customHeight="1">
      <c r="B387" s="8">
        <v>385.0</v>
      </c>
      <c r="C387" s="9">
        <v>43199.0</v>
      </c>
      <c r="D387" s="6" t="s">
        <v>15</v>
      </c>
      <c r="E387" s="4"/>
      <c r="F387" s="8"/>
      <c r="G387" s="4"/>
      <c r="H387" s="10" t="s">
        <v>404</v>
      </c>
      <c r="I387" s="10">
        <v>107.0</v>
      </c>
      <c r="J387" s="11" t="str">
        <f>IF(D387&lt;&gt;"",VLOOKUP(H387,TABLEITEM,5,FALSE),"")</f>
        <v>EA</v>
      </c>
      <c r="K387" s="12">
        <v>3.96</v>
      </c>
      <c r="L387" s="13" t="str">
        <f>IF(D387&lt;&gt;"",VLOOKUP(H387,TABLEITEM,2,FALSE),"")</f>
        <v/>
      </c>
      <c r="M387" s="13" t="str">
        <f>IF(D387&lt;&gt;"",VLOOKUP(H387,TABLEITEM,3,FALSE),"")</f>
        <v>ปลอกหุ้มหางปลา V-80 สีดำ</v>
      </c>
      <c r="N387" s="14">
        <f>INSTOCK!$I387*INSTOCK!$K387</f>
        <v>423.72</v>
      </c>
      <c r="O387" s="4"/>
      <c r="P387" s="4"/>
    </row>
    <row r="388" ht="15.75" hidden="1" customHeight="1">
      <c r="B388" s="8">
        <v>386.0</v>
      </c>
      <c r="C388" s="9">
        <v>43199.0</v>
      </c>
      <c r="D388" s="6" t="s">
        <v>15</v>
      </c>
      <c r="E388" s="4"/>
      <c r="F388" s="8"/>
      <c r="G388" s="4"/>
      <c r="H388" s="10" t="s">
        <v>405</v>
      </c>
      <c r="I388" s="10">
        <v>245.0</v>
      </c>
      <c r="J388" s="11" t="str">
        <f>IF(D388&lt;&gt;"",VLOOKUP(H388,TABLEITEM,5,FALSE),"")</f>
        <v>EA</v>
      </c>
      <c r="K388" s="12">
        <v>5.4</v>
      </c>
      <c r="L388" s="13" t="str">
        <f>IF(D388&lt;&gt;"",VLOOKUP(H388,TABLEITEM,2,FALSE),"")</f>
        <v/>
      </c>
      <c r="M388" s="13" t="str">
        <f>IF(D388&lt;&gt;"",VLOOKUP(H388,TABLEITEM,3,FALSE),"")</f>
        <v>ปลอกหุ้มหางปลา V-100 สีแดง</v>
      </c>
      <c r="N388" s="14">
        <f>INSTOCK!$I388*INSTOCK!$K388</f>
        <v>1323</v>
      </c>
      <c r="O388" s="4"/>
      <c r="P388" s="4"/>
    </row>
    <row r="389" ht="15.75" hidden="1" customHeight="1">
      <c r="B389" s="8">
        <v>387.0</v>
      </c>
      <c r="C389" s="9">
        <v>43199.0</v>
      </c>
      <c r="D389" s="6" t="s">
        <v>15</v>
      </c>
      <c r="E389" s="4"/>
      <c r="F389" s="8"/>
      <c r="G389" s="4"/>
      <c r="H389" s="10" t="s">
        <v>406</v>
      </c>
      <c r="I389" s="10">
        <v>250.0</v>
      </c>
      <c r="J389" s="11" t="str">
        <f>IF(D389&lt;&gt;"",VLOOKUP(H389,TABLEITEM,5,FALSE),"")</f>
        <v>EA</v>
      </c>
      <c r="K389" s="12">
        <v>5.4</v>
      </c>
      <c r="L389" s="13" t="str">
        <f>IF(D389&lt;&gt;"",VLOOKUP(H389,TABLEITEM,2,FALSE),"")</f>
        <v/>
      </c>
      <c r="M389" s="13" t="str">
        <f>IF(D389&lt;&gt;"",VLOOKUP(H389,TABLEITEM,3,FALSE),"")</f>
        <v>ปลอกหุ้มหางปลา V-100 สีเหลือง</v>
      </c>
      <c r="N389" s="14">
        <f>INSTOCK!$I389*INSTOCK!$K389</f>
        <v>1350</v>
      </c>
      <c r="O389" s="4"/>
      <c r="P389" s="4"/>
    </row>
    <row r="390" ht="15.75" hidden="1" customHeight="1">
      <c r="B390" s="8">
        <v>388.0</v>
      </c>
      <c r="C390" s="9">
        <v>43199.0</v>
      </c>
      <c r="D390" s="6" t="s">
        <v>15</v>
      </c>
      <c r="E390" s="4"/>
      <c r="F390" s="8"/>
      <c r="G390" s="4"/>
      <c r="H390" s="10" t="s">
        <v>407</v>
      </c>
      <c r="I390" s="10">
        <v>61.0</v>
      </c>
      <c r="J390" s="11" t="str">
        <f>IF(D390&lt;&gt;"",VLOOKUP(H390,TABLEITEM,5,FALSE),"")</f>
        <v>EA</v>
      </c>
      <c r="K390" s="12">
        <v>5.4</v>
      </c>
      <c r="L390" s="13" t="str">
        <f>IF(D390&lt;&gt;"",VLOOKUP(H390,TABLEITEM,2,FALSE),"")</f>
        <v/>
      </c>
      <c r="M390" s="13" t="str">
        <f>IF(D390&lt;&gt;"",VLOOKUP(H390,TABLEITEM,3,FALSE),"")</f>
        <v>ปลอกหุ้มหางปลา V-100 สีน้ำเงิน</v>
      </c>
      <c r="N390" s="14">
        <f>INSTOCK!$I390*INSTOCK!$K390</f>
        <v>329.4</v>
      </c>
      <c r="O390" s="4"/>
      <c r="P390" s="4"/>
    </row>
    <row r="391" ht="15.75" hidden="1" customHeight="1">
      <c r="B391" s="8">
        <v>389.0</v>
      </c>
      <c r="C391" s="9">
        <v>43199.0</v>
      </c>
      <c r="D391" s="6" t="s">
        <v>15</v>
      </c>
      <c r="E391" s="4"/>
      <c r="F391" s="8"/>
      <c r="G391" s="4"/>
      <c r="H391" s="10" t="s">
        <v>408</v>
      </c>
      <c r="I391" s="10">
        <v>139.0</v>
      </c>
      <c r="J391" s="11" t="str">
        <f>IF(D391&lt;&gt;"",VLOOKUP(H391,TABLEITEM,5,FALSE),"")</f>
        <v>EA</v>
      </c>
      <c r="K391" s="12">
        <v>5.4</v>
      </c>
      <c r="L391" s="13" t="str">
        <f>IF(D391&lt;&gt;"",VLOOKUP(H391,TABLEITEM,2,FALSE),"")</f>
        <v/>
      </c>
      <c r="M391" s="13" t="str">
        <f>IF(D391&lt;&gt;"",VLOOKUP(H391,TABLEITEM,3,FALSE),"")</f>
        <v>ปลอกหุ้มหางปลา V-100 สีขาว</v>
      </c>
      <c r="N391" s="14">
        <f>INSTOCK!$I391*INSTOCK!$K391</f>
        <v>750.6</v>
      </c>
      <c r="O391" s="4"/>
      <c r="P391" s="4"/>
    </row>
    <row r="392" ht="15.75" hidden="1" customHeight="1">
      <c r="B392" s="8">
        <v>390.0</v>
      </c>
      <c r="C392" s="9">
        <v>43199.0</v>
      </c>
      <c r="D392" s="6" t="s">
        <v>15</v>
      </c>
      <c r="E392" s="4"/>
      <c r="F392" s="8"/>
      <c r="G392" s="4"/>
      <c r="H392" s="10" t="s">
        <v>409</v>
      </c>
      <c r="I392" s="10">
        <v>37.0</v>
      </c>
      <c r="J392" s="11" t="str">
        <f>IF(D392&lt;&gt;"",VLOOKUP(H392,TABLEITEM,5,FALSE),"")</f>
        <v>EA</v>
      </c>
      <c r="K392" s="12">
        <v>5.4</v>
      </c>
      <c r="L392" s="13" t="str">
        <f>IF(D392&lt;&gt;"",VLOOKUP(H392,TABLEITEM,2,FALSE),"")</f>
        <v/>
      </c>
      <c r="M392" s="13" t="str">
        <f>IF(D392&lt;&gt;"",VLOOKUP(H392,TABLEITEM,3,FALSE),"")</f>
        <v>ปลอกหุ้มหางปลา V-100 สีเขียว</v>
      </c>
      <c r="N392" s="14">
        <f>INSTOCK!$I392*INSTOCK!$K392</f>
        <v>199.8</v>
      </c>
      <c r="O392" s="4"/>
      <c r="P392" s="4"/>
    </row>
    <row r="393" ht="15.75" hidden="1" customHeight="1">
      <c r="B393" s="8">
        <v>391.0</v>
      </c>
      <c r="C393" s="9">
        <v>43199.0</v>
      </c>
      <c r="D393" s="6" t="s">
        <v>15</v>
      </c>
      <c r="E393" s="4"/>
      <c r="F393" s="8"/>
      <c r="G393" s="4"/>
      <c r="H393" s="10" t="s">
        <v>410</v>
      </c>
      <c r="I393" s="10">
        <v>84.0</v>
      </c>
      <c r="J393" s="11" t="str">
        <f>IF(D393&lt;&gt;"",VLOOKUP(H393,TABLEITEM,5,FALSE),"")</f>
        <v>EA</v>
      </c>
      <c r="K393" s="12">
        <v>5.4</v>
      </c>
      <c r="L393" s="13" t="str">
        <f>IF(D393&lt;&gt;"",VLOOKUP(H393,TABLEITEM,2,FALSE),"")</f>
        <v/>
      </c>
      <c r="M393" s="13" t="str">
        <f>IF(D393&lt;&gt;"",VLOOKUP(H393,TABLEITEM,3,FALSE),"")</f>
        <v>ปลอกหุ้มหางปลา V-100 สีดำ</v>
      </c>
      <c r="N393" s="14">
        <f>INSTOCK!$I393*INSTOCK!$K393</f>
        <v>453.6</v>
      </c>
      <c r="O393" s="4"/>
      <c r="P393" s="4"/>
    </row>
    <row r="394" ht="15.75" hidden="1" customHeight="1">
      <c r="B394" s="8">
        <v>392.0</v>
      </c>
      <c r="C394" s="9">
        <v>43199.0</v>
      </c>
      <c r="D394" s="6" t="s">
        <v>15</v>
      </c>
      <c r="E394" s="4"/>
      <c r="F394" s="8"/>
      <c r="G394" s="4"/>
      <c r="H394" s="10" t="s">
        <v>411</v>
      </c>
      <c r="I394" s="10">
        <v>39.0</v>
      </c>
      <c r="J394" s="11" t="str">
        <f>IF(D394&lt;&gt;"",VLOOKUP(H394,TABLEITEM,5,FALSE),"")</f>
        <v>EA</v>
      </c>
      <c r="K394" s="12">
        <v>7.8</v>
      </c>
      <c r="L394" s="13" t="str">
        <f>IF(D394&lt;&gt;"",VLOOKUP(H394,TABLEITEM,2,FALSE),"")</f>
        <v/>
      </c>
      <c r="M394" s="13" t="str">
        <f>IF(D394&lt;&gt;"",VLOOKUP(H394,TABLEITEM,3,FALSE),"")</f>
        <v>ปลอกหุ้มหางปลา V-150 สีแดง</v>
      </c>
      <c r="N394" s="14">
        <f>INSTOCK!$I394*INSTOCK!$K394</f>
        <v>304.2</v>
      </c>
      <c r="O394" s="4"/>
      <c r="P394" s="4"/>
    </row>
    <row r="395" ht="15.75" hidden="1" customHeight="1">
      <c r="B395" s="8">
        <v>393.0</v>
      </c>
      <c r="C395" s="9">
        <v>43199.0</v>
      </c>
      <c r="D395" s="6" t="s">
        <v>15</v>
      </c>
      <c r="E395" s="4"/>
      <c r="F395" s="8"/>
      <c r="G395" s="4"/>
      <c r="H395" s="10" t="s">
        <v>412</v>
      </c>
      <c r="I395" s="10">
        <v>56.0</v>
      </c>
      <c r="J395" s="11" t="str">
        <f>IF(D395&lt;&gt;"",VLOOKUP(H395,TABLEITEM,5,FALSE),"")</f>
        <v>EA</v>
      </c>
      <c r="K395" s="12">
        <v>7.8</v>
      </c>
      <c r="L395" s="13" t="str">
        <f>IF(D395&lt;&gt;"",VLOOKUP(H395,TABLEITEM,2,FALSE),"")</f>
        <v/>
      </c>
      <c r="M395" s="13" t="str">
        <f>IF(D395&lt;&gt;"",VLOOKUP(H395,TABLEITEM,3,FALSE),"")</f>
        <v>ปลอกหุ้มหางปลา V-150 สีเหลือง</v>
      </c>
      <c r="N395" s="14">
        <f>INSTOCK!$I395*INSTOCK!$K395</f>
        <v>436.8</v>
      </c>
      <c r="O395" s="4"/>
      <c r="P395" s="4"/>
    </row>
    <row r="396" ht="15.75" hidden="1" customHeight="1">
      <c r="B396" s="8">
        <v>394.0</v>
      </c>
      <c r="C396" s="9">
        <v>43199.0</v>
      </c>
      <c r="D396" s="6" t="s">
        <v>15</v>
      </c>
      <c r="E396" s="4"/>
      <c r="F396" s="8"/>
      <c r="G396" s="4"/>
      <c r="H396" s="10" t="s">
        <v>413</v>
      </c>
      <c r="I396" s="10">
        <v>59.0</v>
      </c>
      <c r="J396" s="11" t="str">
        <f>IF(D396&lt;&gt;"",VLOOKUP(H396,TABLEITEM,5,FALSE),"")</f>
        <v>EA</v>
      </c>
      <c r="K396" s="12">
        <v>7.8</v>
      </c>
      <c r="L396" s="13" t="str">
        <f>IF(D396&lt;&gt;"",VLOOKUP(H396,TABLEITEM,2,FALSE),"")</f>
        <v/>
      </c>
      <c r="M396" s="13" t="str">
        <f>IF(D396&lt;&gt;"",VLOOKUP(H396,TABLEITEM,3,FALSE),"")</f>
        <v>ปลอกหุ้มหางปลา V-150 สีน้ำเงิน</v>
      </c>
      <c r="N396" s="14">
        <f>INSTOCK!$I396*INSTOCK!$K396</f>
        <v>460.2</v>
      </c>
      <c r="O396" s="4"/>
      <c r="P396" s="4"/>
    </row>
    <row r="397" ht="15.75" hidden="1" customHeight="1">
      <c r="B397" s="8">
        <v>395.0</v>
      </c>
      <c r="C397" s="9">
        <v>43199.0</v>
      </c>
      <c r="D397" s="6" t="s">
        <v>15</v>
      </c>
      <c r="E397" s="4"/>
      <c r="F397" s="8"/>
      <c r="G397" s="4"/>
      <c r="H397" s="10" t="s">
        <v>414</v>
      </c>
      <c r="I397" s="10">
        <v>73.0</v>
      </c>
      <c r="J397" s="11" t="str">
        <f>IF(D397&lt;&gt;"",VLOOKUP(H397,TABLEITEM,5,FALSE),"")</f>
        <v>EA</v>
      </c>
      <c r="K397" s="12">
        <v>7.8</v>
      </c>
      <c r="L397" s="13" t="str">
        <f>IF(D397&lt;&gt;"",VLOOKUP(H397,TABLEITEM,2,FALSE),"")</f>
        <v/>
      </c>
      <c r="M397" s="13" t="str">
        <f>IF(D397&lt;&gt;"",VLOOKUP(H397,TABLEITEM,3,FALSE),"")</f>
        <v>ปลอกหุ้มหางปลา V-150 สีขาว</v>
      </c>
      <c r="N397" s="14">
        <f>INSTOCK!$I397*INSTOCK!$K397</f>
        <v>569.4</v>
      </c>
      <c r="O397" s="4"/>
      <c r="P397" s="4"/>
    </row>
    <row r="398" ht="15.75" hidden="1" customHeight="1">
      <c r="B398" s="8">
        <v>396.0</v>
      </c>
      <c r="C398" s="9">
        <v>43199.0</v>
      </c>
      <c r="D398" s="6" t="s">
        <v>15</v>
      </c>
      <c r="E398" s="4"/>
      <c r="F398" s="8"/>
      <c r="G398" s="4"/>
      <c r="H398" s="10" t="s">
        <v>415</v>
      </c>
      <c r="I398" s="10">
        <v>0.0</v>
      </c>
      <c r="J398" s="11" t="str">
        <f>IF(D398&lt;&gt;"",VLOOKUP(H398,TABLEITEM,5,FALSE),"")</f>
        <v>EA</v>
      </c>
      <c r="K398" s="12">
        <v>7.8</v>
      </c>
      <c r="L398" s="13" t="str">
        <f>IF(D398&lt;&gt;"",VLOOKUP(H398,TABLEITEM,2,FALSE),"")</f>
        <v/>
      </c>
      <c r="M398" s="13" t="str">
        <f>IF(D398&lt;&gt;"",VLOOKUP(H398,TABLEITEM,3,FALSE),"")</f>
        <v>ปลอกหุ้มหางปลา V-150 สีเขียว</v>
      </c>
      <c r="N398" s="14">
        <f>INSTOCK!$I398*INSTOCK!$K398</f>
        <v>0</v>
      </c>
      <c r="O398" s="4"/>
      <c r="P398" s="4"/>
    </row>
    <row r="399" ht="15.75" hidden="1" customHeight="1">
      <c r="B399" s="8">
        <v>397.0</v>
      </c>
      <c r="C399" s="9">
        <v>43199.0</v>
      </c>
      <c r="D399" s="6" t="s">
        <v>15</v>
      </c>
      <c r="E399" s="4"/>
      <c r="F399" s="8"/>
      <c r="G399" s="4"/>
      <c r="H399" s="10" t="s">
        <v>416</v>
      </c>
      <c r="I399" s="10">
        <v>100.0</v>
      </c>
      <c r="J399" s="11" t="str">
        <f>IF(D399&lt;&gt;"",VLOOKUP(H399,TABLEITEM,5,FALSE),"")</f>
        <v>EA</v>
      </c>
      <c r="K399" s="12">
        <v>7.8</v>
      </c>
      <c r="L399" s="13" t="str">
        <f>IF(D399&lt;&gt;"",VLOOKUP(H399,TABLEITEM,2,FALSE),"")</f>
        <v/>
      </c>
      <c r="M399" s="13" t="str">
        <f>IF(D399&lt;&gt;"",VLOOKUP(H399,TABLEITEM,3,FALSE),"")</f>
        <v>ปลอกหุ้มหางปลา V-150 สีดำ</v>
      </c>
      <c r="N399" s="14">
        <f>INSTOCK!$I399*INSTOCK!$K399</f>
        <v>780</v>
      </c>
      <c r="O399" s="4"/>
      <c r="P399" s="4"/>
    </row>
    <row r="400" ht="15.75" hidden="1" customHeight="1">
      <c r="B400" s="8">
        <v>398.0</v>
      </c>
      <c r="C400" s="9">
        <v>43199.0</v>
      </c>
      <c r="D400" s="6" t="s">
        <v>15</v>
      </c>
      <c r="E400" s="4"/>
      <c r="F400" s="8"/>
      <c r="G400" s="4"/>
      <c r="H400" s="10" t="s">
        <v>417</v>
      </c>
      <c r="I400" s="10">
        <v>66.0</v>
      </c>
      <c r="J400" s="11" t="str">
        <f>IF(D400&lt;&gt;"",VLOOKUP(H400,TABLEITEM,5,FALSE),"")</f>
        <v>EA</v>
      </c>
      <c r="K400" s="12">
        <v>9.6</v>
      </c>
      <c r="L400" s="13" t="str">
        <f>IF(D400&lt;&gt;"",VLOOKUP(H400,TABLEITEM,2,FALSE),"")</f>
        <v/>
      </c>
      <c r="M400" s="13" t="str">
        <f>IF(D400&lt;&gt;"",VLOOKUP(H400,TABLEITEM,3,FALSE),"")</f>
        <v>ปลอกหุ้มหางปลา V-200 สีแดง</v>
      </c>
      <c r="N400" s="14">
        <f>INSTOCK!$I400*INSTOCK!$K400</f>
        <v>633.6</v>
      </c>
      <c r="O400" s="4"/>
      <c r="P400" s="4"/>
    </row>
    <row r="401" ht="15.75" hidden="1" customHeight="1">
      <c r="B401" s="8">
        <v>399.0</v>
      </c>
      <c r="C401" s="9">
        <v>43199.0</v>
      </c>
      <c r="D401" s="6" t="s">
        <v>15</v>
      </c>
      <c r="E401" s="4"/>
      <c r="F401" s="8"/>
      <c r="G401" s="4"/>
      <c r="H401" s="10" t="s">
        <v>418</v>
      </c>
      <c r="I401" s="10">
        <v>34.0</v>
      </c>
      <c r="J401" s="11" t="str">
        <f>IF(D401&lt;&gt;"",VLOOKUP(H401,TABLEITEM,5,FALSE),"")</f>
        <v>EA</v>
      </c>
      <c r="K401" s="12">
        <v>9.6</v>
      </c>
      <c r="L401" s="13" t="str">
        <f>IF(D401&lt;&gt;"",VLOOKUP(H401,TABLEITEM,2,FALSE),"")</f>
        <v/>
      </c>
      <c r="M401" s="13" t="str">
        <f>IF(D401&lt;&gt;"",VLOOKUP(H401,TABLEITEM,3,FALSE),"")</f>
        <v>ปลอกหุ้มหางปลา V-200 สีเหลือง</v>
      </c>
      <c r="N401" s="14">
        <f>INSTOCK!$I401*INSTOCK!$K401</f>
        <v>326.4</v>
      </c>
      <c r="O401" s="4"/>
      <c r="P401" s="4"/>
    </row>
    <row r="402" ht="15.75" hidden="1" customHeight="1">
      <c r="B402" s="8">
        <v>400.0</v>
      </c>
      <c r="C402" s="9">
        <v>43199.0</v>
      </c>
      <c r="D402" s="6" t="s">
        <v>15</v>
      </c>
      <c r="E402" s="4"/>
      <c r="F402" s="8"/>
      <c r="G402" s="4"/>
      <c r="H402" s="10" t="s">
        <v>419</v>
      </c>
      <c r="I402" s="10">
        <v>53.0</v>
      </c>
      <c r="J402" s="11" t="str">
        <f>IF(D402&lt;&gt;"",VLOOKUP(H402,TABLEITEM,5,FALSE),"")</f>
        <v>EA</v>
      </c>
      <c r="K402" s="12">
        <v>9.6</v>
      </c>
      <c r="L402" s="13" t="str">
        <f>IF(D402&lt;&gt;"",VLOOKUP(H402,TABLEITEM,2,FALSE),"")</f>
        <v/>
      </c>
      <c r="M402" s="13" t="str">
        <f>IF(D402&lt;&gt;"",VLOOKUP(H402,TABLEITEM,3,FALSE),"")</f>
        <v>ปลอกหุ้มหางปลา V-200 สีน้ำเงิน</v>
      </c>
      <c r="N402" s="14">
        <f>INSTOCK!$I402*INSTOCK!$K402</f>
        <v>508.8</v>
      </c>
      <c r="O402" s="4"/>
      <c r="P402" s="4"/>
    </row>
    <row r="403" ht="15.75" hidden="1" customHeight="1">
      <c r="B403" s="8">
        <v>401.0</v>
      </c>
      <c r="C403" s="9">
        <v>43199.0</v>
      </c>
      <c r="D403" s="6" t="s">
        <v>15</v>
      </c>
      <c r="E403" s="4"/>
      <c r="F403" s="8"/>
      <c r="G403" s="4"/>
      <c r="H403" s="10" t="s">
        <v>420</v>
      </c>
      <c r="I403" s="10">
        <v>10.0</v>
      </c>
      <c r="J403" s="11" t="str">
        <f>IF(D403&lt;&gt;"",VLOOKUP(H403,TABLEITEM,5,FALSE),"")</f>
        <v>EA</v>
      </c>
      <c r="K403" s="12">
        <v>9.6</v>
      </c>
      <c r="L403" s="13" t="str">
        <f>IF(D403&lt;&gt;"",VLOOKUP(H403,TABLEITEM,2,FALSE),"")</f>
        <v/>
      </c>
      <c r="M403" s="13" t="str">
        <f>IF(D403&lt;&gt;"",VLOOKUP(H403,TABLEITEM,3,FALSE),"")</f>
        <v>ปลอกหุ้มหางปลา V-200 สีขาว</v>
      </c>
      <c r="N403" s="14">
        <f>INSTOCK!$I403*INSTOCK!$K403</f>
        <v>96</v>
      </c>
      <c r="O403" s="4"/>
      <c r="P403" s="4"/>
    </row>
    <row r="404" ht="15.75" hidden="1" customHeight="1">
      <c r="B404" s="8">
        <v>402.0</v>
      </c>
      <c r="C404" s="9">
        <v>43199.0</v>
      </c>
      <c r="D404" s="6" t="s">
        <v>15</v>
      </c>
      <c r="E404" s="4"/>
      <c r="F404" s="8"/>
      <c r="G404" s="4"/>
      <c r="H404" s="10" t="s">
        <v>421</v>
      </c>
      <c r="I404" s="10">
        <v>2.0</v>
      </c>
      <c r="J404" s="11" t="str">
        <f>IF(D404&lt;&gt;"",VLOOKUP(H404,TABLEITEM,5,FALSE),"")</f>
        <v>EA</v>
      </c>
      <c r="K404" s="12">
        <v>9.6</v>
      </c>
      <c r="L404" s="13" t="str">
        <f>IF(D404&lt;&gt;"",VLOOKUP(H404,TABLEITEM,2,FALSE),"")</f>
        <v/>
      </c>
      <c r="M404" s="13" t="str">
        <f>IF(D404&lt;&gt;"",VLOOKUP(H404,TABLEITEM,3,FALSE),"")</f>
        <v>ปลอกหุ้มหางปลา V-200 สีเขียว</v>
      </c>
      <c r="N404" s="14">
        <f>INSTOCK!$I404*INSTOCK!$K404</f>
        <v>19.2</v>
      </c>
      <c r="O404" s="4"/>
      <c r="P404" s="4"/>
    </row>
    <row r="405" ht="15.75" hidden="1" customHeight="1">
      <c r="B405" s="8">
        <v>403.0</v>
      </c>
      <c r="C405" s="9">
        <v>43199.0</v>
      </c>
      <c r="D405" s="6" t="s">
        <v>15</v>
      </c>
      <c r="E405" s="4"/>
      <c r="F405" s="8"/>
      <c r="G405" s="4"/>
      <c r="H405" s="10" t="s">
        <v>422</v>
      </c>
      <c r="I405" s="10">
        <v>16.0</v>
      </c>
      <c r="J405" s="11" t="str">
        <f>IF(D405&lt;&gt;"",VLOOKUP(H405,TABLEITEM,5,FALSE),"")</f>
        <v>EA</v>
      </c>
      <c r="K405" s="12">
        <v>9.6</v>
      </c>
      <c r="L405" s="13" t="str">
        <f>IF(D405&lt;&gt;"",VLOOKUP(H405,TABLEITEM,2,FALSE),"")</f>
        <v/>
      </c>
      <c r="M405" s="13" t="str">
        <f>IF(D405&lt;&gt;"",VLOOKUP(H405,TABLEITEM,3,FALSE),"")</f>
        <v>ปลอกหุ้มหางปลา V-200 สีดำ</v>
      </c>
      <c r="N405" s="14">
        <f>INSTOCK!$I405*INSTOCK!$K405</f>
        <v>153.6</v>
      </c>
      <c r="O405" s="4"/>
      <c r="P405" s="4"/>
    </row>
    <row r="406" ht="15.75" hidden="1" customHeight="1">
      <c r="B406" s="8">
        <v>404.0</v>
      </c>
      <c r="C406" s="9">
        <v>43199.0</v>
      </c>
      <c r="D406" s="6" t="s">
        <v>15</v>
      </c>
      <c r="E406" s="4"/>
      <c r="F406" s="8"/>
      <c r="G406" s="4"/>
      <c r="H406" s="10" t="s">
        <v>423</v>
      </c>
      <c r="I406" s="10">
        <v>13.0</v>
      </c>
      <c r="J406" s="11" t="str">
        <f>IF(D406&lt;&gt;"",VLOOKUP(H406,TABLEITEM,5,FALSE),"")</f>
        <v>EA</v>
      </c>
      <c r="K406" s="12">
        <v>12.0</v>
      </c>
      <c r="L406" s="13" t="str">
        <f>IF(D406&lt;&gt;"",VLOOKUP(H406,TABLEITEM,2,FALSE),"")</f>
        <v/>
      </c>
      <c r="M406" s="13" t="str">
        <f>IF(D406&lt;&gt;"",VLOOKUP(H406,TABLEITEM,3,FALSE),"")</f>
        <v>ปลอกหุ้มหางปลา V-250 สีแดง</v>
      </c>
      <c r="N406" s="14">
        <f>INSTOCK!$I406*INSTOCK!$K406</f>
        <v>156</v>
      </c>
      <c r="O406" s="4"/>
      <c r="P406" s="4"/>
    </row>
    <row r="407" ht="15.75" hidden="1" customHeight="1">
      <c r="B407" s="8">
        <v>405.0</v>
      </c>
      <c r="C407" s="9">
        <v>43199.0</v>
      </c>
      <c r="D407" s="6" t="s">
        <v>15</v>
      </c>
      <c r="E407" s="4"/>
      <c r="F407" s="8"/>
      <c r="G407" s="4"/>
      <c r="H407" s="10" t="s">
        <v>424</v>
      </c>
      <c r="I407" s="10">
        <v>28.0</v>
      </c>
      <c r="J407" s="11" t="str">
        <f>IF(D407&lt;&gt;"",VLOOKUP(H407,TABLEITEM,5,FALSE),"")</f>
        <v>EA</v>
      </c>
      <c r="K407" s="12">
        <v>12.0</v>
      </c>
      <c r="L407" s="13" t="str">
        <f>IF(D407&lt;&gt;"",VLOOKUP(H407,TABLEITEM,2,FALSE),"")</f>
        <v/>
      </c>
      <c r="M407" s="13" t="str">
        <f>IF(D407&lt;&gt;"",VLOOKUP(H407,TABLEITEM,3,FALSE),"")</f>
        <v>ปลอกหุ้มหางปลา V-250 สีเหลือง</v>
      </c>
      <c r="N407" s="14">
        <f>INSTOCK!$I407*INSTOCK!$K407</f>
        <v>336</v>
      </c>
      <c r="O407" s="4"/>
      <c r="P407" s="4"/>
    </row>
    <row r="408" ht="15.75" hidden="1" customHeight="1">
      <c r="B408" s="8">
        <v>406.0</v>
      </c>
      <c r="C408" s="9">
        <v>43199.0</v>
      </c>
      <c r="D408" s="6" t="s">
        <v>15</v>
      </c>
      <c r="E408" s="4"/>
      <c r="F408" s="8"/>
      <c r="G408" s="4"/>
      <c r="H408" s="10" t="s">
        <v>425</v>
      </c>
      <c r="I408" s="10">
        <v>4.0</v>
      </c>
      <c r="J408" s="11" t="str">
        <f>IF(D408&lt;&gt;"",VLOOKUP(H408,TABLEITEM,5,FALSE),"")</f>
        <v>EA</v>
      </c>
      <c r="K408" s="12">
        <v>12.0</v>
      </c>
      <c r="L408" s="13" t="str">
        <f>IF(D408&lt;&gt;"",VLOOKUP(H408,TABLEITEM,2,FALSE),"")</f>
        <v/>
      </c>
      <c r="M408" s="13" t="str">
        <f>IF(D408&lt;&gt;"",VLOOKUP(H408,TABLEITEM,3,FALSE),"")</f>
        <v>ปลอกหุ้มหางปลา V-250 สีน้ำเงิน</v>
      </c>
      <c r="N408" s="14">
        <f>INSTOCK!$I408*INSTOCK!$K408</f>
        <v>48</v>
      </c>
      <c r="O408" s="4"/>
      <c r="P408" s="4"/>
    </row>
    <row r="409" ht="15.75" hidden="1" customHeight="1">
      <c r="B409" s="8">
        <v>407.0</v>
      </c>
      <c r="C409" s="9">
        <v>43199.0</v>
      </c>
      <c r="D409" s="6" t="s">
        <v>15</v>
      </c>
      <c r="E409" s="4"/>
      <c r="F409" s="8"/>
      <c r="G409" s="4"/>
      <c r="H409" s="10" t="s">
        <v>426</v>
      </c>
      <c r="I409" s="10">
        <v>78.0</v>
      </c>
      <c r="J409" s="11" t="str">
        <f>IF(D409&lt;&gt;"",VLOOKUP(H409,TABLEITEM,5,FALSE),"")</f>
        <v>EA</v>
      </c>
      <c r="K409" s="12">
        <v>12.0</v>
      </c>
      <c r="L409" s="13" t="str">
        <f>IF(D409&lt;&gt;"",VLOOKUP(H409,TABLEITEM,2,FALSE),"")</f>
        <v/>
      </c>
      <c r="M409" s="13" t="str">
        <f>IF(D409&lt;&gt;"",VLOOKUP(H409,TABLEITEM,3,FALSE),"")</f>
        <v>ปลอกหุ้มหางปลา V-250 สีขาว</v>
      </c>
      <c r="N409" s="14">
        <f>INSTOCK!$I409*INSTOCK!$K409</f>
        <v>936</v>
      </c>
      <c r="O409" s="4"/>
      <c r="P409" s="4"/>
    </row>
    <row r="410" ht="15.75" hidden="1" customHeight="1">
      <c r="B410" s="8">
        <v>408.0</v>
      </c>
      <c r="C410" s="9">
        <v>43199.0</v>
      </c>
      <c r="D410" s="6" t="s">
        <v>15</v>
      </c>
      <c r="E410" s="4"/>
      <c r="F410" s="8"/>
      <c r="G410" s="4"/>
      <c r="H410" s="10" t="s">
        <v>427</v>
      </c>
      <c r="I410" s="10">
        <v>0.0</v>
      </c>
      <c r="J410" s="11" t="str">
        <f>IF(D410&lt;&gt;"",VLOOKUP(H410,TABLEITEM,5,FALSE),"")</f>
        <v>EA</v>
      </c>
      <c r="K410" s="12">
        <v>12.0</v>
      </c>
      <c r="L410" s="13" t="str">
        <f>IF(D410&lt;&gt;"",VLOOKUP(H410,TABLEITEM,2,FALSE),"")</f>
        <v/>
      </c>
      <c r="M410" s="13" t="str">
        <f>IF(D410&lt;&gt;"",VLOOKUP(H410,TABLEITEM,3,FALSE),"")</f>
        <v>ปลอกหุ้มหางปลา V-250 สีเขียว</v>
      </c>
      <c r="N410" s="14">
        <f>INSTOCK!$I410*INSTOCK!$K410</f>
        <v>0</v>
      </c>
      <c r="O410" s="4"/>
      <c r="P410" s="4"/>
    </row>
    <row r="411" ht="15.75" hidden="1" customHeight="1">
      <c r="B411" s="8">
        <v>409.0</v>
      </c>
      <c r="C411" s="9">
        <v>43199.0</v>
      </c>
      <c r="D411" s="6" t="s">
        <v>15</v>
      </c>
      <c r="E411" s="4"/>
      <c r="F411" s="8"/>
      <c r="G411" s="4"/>
      <c r="H411" s="10" t="s">
        <v>428</v>
      </c>
      <c r="I411" s="10">
        <v>0.0</v>
      </c>
      <c r="J411" s="11" t="str">
        <f>IF(D411&lt;&gt;"",VLOOKUP(H411,TABLEITEM,5,FALSE),"")</f>
        <v>EA</v>
      </c>
      <c r="K411" s="12">
        <v>12.0</v>
      </c>
      <c r="L411" s="13" t="str">
        <f>IF(D411&lt;&gt;"",VLOOKUP(H411,TABLEITEM,2,FALSE),"")</f>
        <v/>
      </c>
      <c r="M411" s="13" t="str">
        <f>IF(D411&lt;&gt;"",VLOOKUP(H411,TABLEITEM,3,FALSE),"")</f>
        <v>ปลอกหุ้มหางปลา V-250 สีดำ</v>
      </c>
      <c r="N411" s="14">
        <f>INSTOCK!$I411*INSTOCK!$K411</f>
        <v>0</v>
      </c>
      <c r="O411" s="4"/>
      <c r="P411" s="4"/>
    </row>
    <row r="412" ht="15.75" hidden="1" customHeight="1">
      <c r="B412" s="8">
        <v>410.0</v>
      </c>
      <c r="C412" s="9">
        <v>43199.0</v>
      </c>
      <c r="D412" s="6" t="s">
        <v>15</v>
      </c>
      <c r="E412" s="4"/>
      <c r="F412" s="8"/>
      <c r="G412" s="4"/>
      <c r="H412" s="10" t="s">
        <v>429</v>
      </c>
      <c r="I412" s="10">
        <v>639.0</v>
      </c>
      <c r="J412" s="11" t="str">
        <f>IF(D412&lt;&gt;"",VLOOKUP(H412,TABLEITEM,5,FALSE),"")</f>
        <v>EA</v>
      </c>
      <c r="K412" s="12">
        <v>0.36</v>
      </c>
      <c r="L412" s="13" t="str">
        <f>IF(D412&lt;&gt;"",VLOOKUP(H412,TABLEITEM,2,FALSE),"")</f>
        <v/>
      </c>
      <c r="M412" s="13" t="str">
        <f>IF(D412&lt;&gt;"",VLOOKUP(H412,TABLEITEM,3,FALSE),"")</f>
        <v>ปลอกหุ้มหางปลา V-2 น้ำตาล</v>
      </c>
      <c r="N412" s="14">
        <f>INSTOCK!$I412*INSTOCK!$K412</f>
        <v>230.04</v>
      </c>
      <c r="O412" s="4"/>
      <c r="P412" s="4"/>
    </row>
    <row r="413" ht="15.75" hidden="1" customHeight="1">
      <c r="B413" s="8">
        <v>411.0</v>
      </c>
      <c r="C413" s="9">
        <v>43199.0</v>
      </c>
      <c r="D413" s="6" t="s">
        <v>15</v>
      </c>
      <c r="E413" s="4"/>
      <c r="F413" s="8"/>
      <c r="G413" s="4"/>
      <c r="H413" s="10" t="s">
        <v>430</v>
      </c>
      <c r="I413" s="10">
        <v>503.0</v>
      </c>
      <c r="J413" s="11" t="str">
        <f>IF(D413&lt;&gt;"",VLOOKUP(H413,TABLEITEM,5,FALSE),"")</f>
        <v>EA</v>
      </c>
      <c r="K413" s="12">
        <v>0.36</v>
      </c>
      <c r="L413" s="13" t="str">
        <f>IF(D413&lt;&gt;"",VLOOKUP(H413,TABLEITEM,2,FALSE),"")</f>
        <v/>
      </c>
      <c r="M413" s="13" t="str">
        <f>IF(D413&lt;&gt;"",VLOOKUP(H413,TABLEITEM,3,FALSE),"")</f>
        <v>ปลอกหุ้มหางปลา V-2 เทา</v>
      </c>
      <c r="N413" s="14">
        <f>INSTOCK!$I413*INSTOCK!$K413</f>
        <v>181.08</v>
      </c>
      <c r="O413" s="4"/>
      <c r="P413" s="4"/>
    </row>
    <row r="414" ht="15.75" hidden="1" customHeight="1">
      <c r="B414" s="8">
        <v>412.0</v>
      </c>
      <c r="C414" s="9">
        <v>43199.0</v>
      </c>
      <c r="D414" s="6" t="s">
        <v>15</v>
      </c>
      <c r="E414" s="4"/>
      <c r="F414" s="8"/>
      <c r="G414" s="4"/>
      <c r="H414" s="10" t="s">
        <v>431</v>
      </c>
      <c r="I414" s="10">
        <v>609.0</v>
      </c>
      <c r="J414" s="11" t="str">
        <f>IF(D414&lt;&gt;"",VLOOKUP(H414,TABLEITEM,5,FALSE),"")</f>
        <v>EA</v>
      </c>
      <c r="K414" s="12">
        <v>0.36</v>
      </c>
      <c r="L414" s="13" t="str">
        <f>IF(D414&lt;&gt;"",VLOOKUP(H414,TABLEITEM,2,FALSE),"")</f>
        <v/>
      </c>
      <c r="M414" s="13" t="str">
        <f>IF(D414&lt;&gt;"",VLOOKUP(H414,TABLEITEM,3,FALSE),"")</f>
        <v>ปลอกหุ้มหางปลา V-2 ฟ้า</v>
      </c>
      <c r="N414" s="14">
        <f>INSTOCK!$I414*INSTOCK!$K414</f>
        <v>219.24</v>
      </c>
      <c r="O414" s="4"/>
      <c r="P414" s="4"/>
    </row>
    <row r="415" ht="15.75" hidden="1" customHeight="1">
      <c r="B415" s="8">
        <v>413.0</v>
      </c>
      <c r="C415" s="9">
        <v>43199.0</v>
      </c>
      <c r="D415" s="6" t="s">
        <v>15</v>
      </c>
      <c r="E415" s="4"/>
      <c r="F415" s="8"/>
      <c r="G415" s="4"/>
      <c r="H415" s="10" t="s">
        <v>432</v>
      </c>
      <c r="I415" s="10">
        <v>733.0</v>
      </c>
      <c r="J415" s="11" t="str">
        <f>IF(D415&lt;&gt;"",VLOOKUP(H415,TABLEITEM,5,FALSE),"")</f>
        <v>EA</v>
      </c>
      <c r="K415" s="12">
        <v>0.42</v>
      </c>
      <c r="L415" s="13" t="str">
        <f>IF(D415&lt;&gt;"",VLOOKUP(H415,TABLEITEM,2,FALSE),"")</f>
        <v/>
      </c>
      <c r="M415" s="13" t="str">
        <f>IF(D415&lt;&gt;"",VLOOKUP(H415,TABLEITEM,3,FALSE),"")</f>
        <v>ปลอกหุ้มหางปลา V-3 น้ำตาล</v>
      </c>
      <c r="N415" s="14">
        <f>INSTOCK!$I415*INSTOCK!$K415</f>
        <v>307.86</v>
      </c>
      <c r="O415" s="4"/>
      <c r="P415" s="4"/>
    </row>
    <row r="416" ht="15.75" hidden="1" customHeight="1">
      <c r="B416" s="8">
        <v>414.0</v>
      </c>
      <c r="C416" s="9">
        <v>43199.0</v>
      </c>
      <c r="D416" s="6" t="s">
        <v>15</v>
      </c>
      <c r="E416" s="4"/>
      <c r="F416" s="8"/>
      <c r="G416" s="4"/>
      <c r="H416" s="10" t="s">
        <v>433</v>
      </c>
      <c r="I416" s="10">
        <v>728.0</v>
      </c>
      <c r="J416" s="11" t="str">
        <f>IF(D416&lt;&gt;"",VLOOKUP(H416,TABLEITEM,5,FALSE),"")</f>
        <v>EA</v>
      </c>
      <c r="K416" s="12">
        <v>0.42</v>
      </c>
      <c r="L416" s="13" t="str">
        <f>IF(D416&lt;&gt;"",VLOOKUP(H416,TABLEITEM,2,FALSE),"")</f>
        <v/>
      </c>
      <c r="M416" s="13" t="str">
        <f>IF(D416&lt;&gt;"",VLOOKUP(H416,TABLEITEM,3,FALSE),"")</f>
        <v>ปลอกหุ้มหางปลา V-3 เทา</v>
      </c>
      <c r="N416" s="14">
        <f>INSTOCK!$I416*INSTOCK!$K416</f>
        <v>305.76</v>
      </c>
      <c r="O416" s="4"/>
      <c r="P416" s="4"/>
    </row>
    <row r="417" ht="15.75" hidden="1" customHeight="1">
      <c r="B417" s="8">
        <v>415.0</v>
      </c>
      <c r="C417" s="9">
        <v>43199.0</v>
      </c>
      <c r="D417" s="6" t="s">
        <v>15</v>
      </c>
      <c r="E417" s="4"/>
      <c r="F417" s="8"/>
      <c r="G417" s="4"/>
      <c r="H417" s="10" t="s">
        <v>434</v>
      </c>
      <c r="I417" s="10">
        <v>532.0</v>
      </c>
      <c r="J417" s="11" t="str">
        <f>IF(D417&lt;&gt;"",VLOOKUP(H417,TABLEITEM,5,FALSE),"")</f>
        <v>EA</v>
      </c>
      <c r="K417" s="12">
        <v>0.42</v>
      </c>
      <c r="L417" s="13" t="str">
        <f>IF(D417&lt;&gt;"",VLOOKUP(H417,TABLEITEM,2,FALSE),"")</f>
        <v/>
      </c>
      <c r="M417" s="13" t="str">
        <f>IF(D417&lt;&gt;"",VLOOKUP(H417,TABLEITEM,3,FALSE),"")</f>
        <v>ปลอกหุ้มหางปลา V-3 ฟ้า</v>
      </c>
      <c r="N417" s="14">
        <f>INSTOCK!$I417*INSTOCK!$K417</f>
        <v>223.44</v>
      </c>
      <c r="O417" s="4"/>
      <c r="P417" s="4"/>
    </row>
    <row r="418" ht="15.75" hidden="1" customHeight="1">
      <c r="B418" s="8">
        <v>416.0</v>
      </c>
      <c r="C418" s="9">
        <v>43199.0</v>
      </c>
      <c r="D418" s="6" t="s">
        <v>15</v>
      </c>
      <c r="E418" s="4"/>
      <c r="F418" s="8"/>
      <c r="G418" s="4"/>
      <c r="H418" s="10" t="s">
        <v>435</v>
      </c>
      <c r="I418" s="10">
        <v>564.0</v>
      </c>
      <c r="J418" s="11" t="str">
        <f>IF(D418&lt;&gt;"",VLOOKUP(H418,TABLEITEM,5,FALSE),"")</f>
        <v>EA</v>
      </c>
      <c r="K418" s="12">
        <v>0.48</v>
      </c>
      <c r="L418" s="13" t="str">
        <f>IF(D418&lt;&gt;"",VLOOKUP(H418,TABLEITEM,2,FALSE),"")</f>
        <v/>
      </c>
      <c r="M418" s="13" t="str">
        <f>IF(D418&lt;&gt;"",VLOOKUP(H418,TABLEITEM,3,FALSE),"")</f>
        <v>ปลอกหุ้มหางปลา V-5 น้ำตาล</v>
      </c>
      <c r="N418" s="14">
        <f>INSTOCK!$I418*INSTOCK!$K418</f>
        <v>270.72</v>
      </c>
      <c r="O418" s="4"/>
      <c r="P418" s="4"/>
    </row>
    <row r="419" ht="15.75" hidden="1" customHeight="1">
      <c r="B419" s="8">
        <v>417.0</v>
      </c>
      <c r="C419" s="9">
        <v>43199.0</v>
      </c>
      <c r="D419" s="6" t="s">
        <v>15</v>
      </c>
      <c r="E419" s="4"/>
      <c r="F419" s="8"/>
      <c r="G419" s="4"/>
      <c r="H419" s="10" t="s">
        <v>436</v>
      </c>
      <c r="I419" s="10">
        <v>431.0</v>
      </c>
      <c r="J419" s="11" t="str">
        <f>IF(D419&lt;&gt;"",VLOOKUP(H419,TABLEITEM,5,FALSE),"")</f>
        <v>EA</v>
      </c>
      <c r="K419" s="12">
        <v>0.48</v>
      </c>
      <c r="L419" s="13" t="str">
        <f>IF(D419&lt;&gt;"",VLOOKUP(H419,TABLEITEM,2,FALSE),"")</f>
        <v/>
      </c>
      <c r="M419" s="13" t="str">
        <f>IF(D419&lt;&gt;"",VLOOKUP(H419,TABLEITEM,3,FALSE),"")</f>
        <v>ปลอกหุ้มหางปลา V-5 เทา</v>
      </c>
      <c r="N419" s="14">
        <f>INSTOCK!$I419*INSTOCK!$K419</f>
        <v>206.88</v>
      </c>
      <c r="O419" s="4"/>
      <c r="P419" s="4"/>
    </row>
    <row r="420" ht="15.75" hidden="1" customHeight="1">
      <c r="B420" s="8">
        <v>418.0</v>
      </c>
      <c r="C420" s="9">
        <v>43199.0</v>
      </c>
      <c r="D420" s="6" t="s">
        <v>15</v>
      </c>
      <c r="E420" s="4"/>
      <c r="F420" s="8"/>
      <c r="G420" s="4"/>
      <c r="H420" s="10" t="s">
        <v>437</v>
      </c>
      <c r="I420" s="10">
        <v>179.0</v>
      </c>
      <c r="J420" s="11" t="str">
        <f>IF(D420&lt;&gt;"",VLOOKUP(H420,TABLEITEM,5,FALSE),"")</f>
        <v>EA</v>
      </c>
      <c r="K420" s="12">
        <v>0.48</v>
      </c>
      <c r="L420" s="13" t="str">
        <f>IF(D420&lt;&gt;"",VLOOKUP(H420,TABLEITEM,2,FALSE),"")</f>
        <v/>
      </c>
      <c r="M420" s="13" t="str">
        <f>IF(D420&lt;&gt;"",VLOOKUP(H420,TABLEITEM,3,FALSE),"")</f>
        <v>ปลอกหุ้มหางปลา V-5 ฟ้า</v>
      </c>
      <c r="N420" s="14">
        <f>INSTOCK!$I420*INSTOCK!$K420</f>
        <v>85.92</v>
      </c>
      <c r="O420" s="4"/>
      <c r="P420" s="4"/>
    </row>
    <row r="421" ht="15.75" hidden="1" customHeight="1">
      <c r="B421" s="8">
        <v>419.0</v>
      </c>
      <c r="C421" s="9">
        <v>43199.0</v>
      </c>
      <c r="D421" s="6" t="s">
        <v>15</v>
      </c>
      <c r="E421" s="4"/>
      <c r="F421" s="8"/>
      <c r="G421" s="4"/>
      <c r="H421" s="10" t="s">
        <v>438</v>
      </c>
      <c r="I421" s="10">
        <v>499.0</v>
      </c>
      <c r="J421" s="11" t="str">
        <f>IF(D421&lt;&gt;"",VLOOKUP(H421,TABLEITEM,5,FALSE),"")</f>
        <v>EA</v>
      </c>
      <c r="K421" s="12">
        <v>0.6</v>
      </c>
      <c r="L421" s="13" t="str">
        <f>IF(D421&lt;&gt;"",VLOOKUP(H421,TABLEITEM,2,FALSE),"")</f>
        <v/>
      </c>
      <c r="M421" s="13" t="str">
        <f>IF(D421&lt;&gt;"",VLOOKUP(H421,TABLEITEM,3,FALSE),"")</f>
        <v>ปลอกหุ้มหางปลา V-8 น้ำตาล</v>
      </c>
      <c r="N421" s="14">
        <f>INSTOCK!$I421*INSTOCK!$K421</f>
        <v>299.4</v>
      </c>
      <c r="O421" s="4"/>
      <c r="P421" s="4"/>
    </row>
    <row r="422" ht="15.75" hidden="1" customHeight="1">
      <c r="B422" s="8">
        <v>420.0</v>
      </c>
      <c r="C422" s="9">
        <v>43199.0</v>
      </c>
      <c r="D422" s="6" t="s">
        <v>15</v>
      </c>
      <c r="E422" s="4"/>
      <c r="F422" s="8"/>
      <c r="G422" s="4"/>
      <c r="H422" s="10" t="s">
        <v>439</v>
      </c>
      <c r="I422" s="10">
        <v>499.0</v>
      </c>
      <c r="J422" s="11" t="str">
        <f>IF(D422&lt;&gt;"",VLOOKUP(H422,TABLEITEM,5,FALSE),"")</f>
        <v>EA</v>
      </c>
      <c r="K422" s="12">
        <v>0.6</v>
      </c>
      <c r="L422" s="13" t="str">
        <f>IF(D422&lt;&gt;"",VLOOKUP(H422,TABLEITEM,2,FALSE),"")</f>
        <v/>
      </c>
      <c r="M422" s="13" t="str">
        <f>IF(D422&lt;&gt;"",VLOOKUP(H422,TABLEITEM,3,FALSE),"")</f>
        <v>ปลอกหุ้มหางปลา V-8 เทา</v>
      </c>
      <c r="N422" s="14">
        <f>INSTOCK!$I422*INSTOCK!$K422</f>
        <v>299.4</v>
      </c>
      <c r="O422" s="4"/>
      <c r="P422" s="4"/>
    </row>
    <row r="423" ht="15.75" hidden="1" customHeight="1">
      <c r="B423" s="8">
        <v>421.0</v>
      </c>
      <c r="C423" s="9">
        <v>43199.0</v>
      </c>
      <c r="D423" s="6" t="s">
        <v>15</v>
      </c>
      <c r="E423" s="4"/>
      <c r="F423" s="8"/>
      <c r="G423" s="4"/>
      <c r="H423" s="10" t="s">
        <v>440</v>
      </c>
      <c r="I423" s="10">
        <v>274.0</v>
      </c>
      <c r="J423" s="11" t="str">
        <f>IF(D423&lt;&gt;"",VLOOKUP(H423,TABLEITEM,5,FALSE),"")</f>
        <v>EA</v>
      </c>
      <c r="K423" s="12">
        <v>0.6</v>
      </c>
      <c r="L423" s="13" t="str">
        <f>IF(D423&lt;&gt;"",VLOOKUP(H423,TABLEITEM,2,FALSE),"")</f>
        <v/>
      </c>
      <c r="M423" s="13" t="str">
        <f>IF(D423&lt;&gt;"",VLOOKUP(H423,TABLEITEM,3,FALSE),"")</f>
        <v>ปลอกหุ้มหางปลา V-8 ฟ้า</v>
      </c>
      <c r="N423" s="14">
        <f>INSTOCK!$I423*INSTOCK!$K423</f>
        <v>164.4</v>
      </c>
      <c r="O423" s="4"/>
      <c r="P423" s="4"/>
    </row>
    <row r="424" ht="15.75" hidden="1" customHeight="1">
      <c r="B424" s="8">
        <v>422.0</v>
      </c>
      <c r="C424" s="9">
        <v>43199.0</v>
      </c>
      <c r="D424" s="6" t="s">
        <v>15</v>
      </c>
      <c r="E424" s="4"/>
      <c r="F424" s="8"/>
      <c r="G424" s="4"/>
      <c r="H424" s="10" t="s">
        <v>441</v>
      </c>
      <c r="I424" s="10">
        <v>539.0</v>
      </c>
      <c r="J424" s="11" t="str">
        <f>IF(D424&lt;&gt;"",VLOOKUP(H424,TABLEITEM,5,FALSE),"")</f>
        <v>EA</v>
      </c>
      <c r="K424" s="12">
        <v>0.96</v>
      </c>
      <c r="L424" s="13" t="str">
        <f>IF(D424&lt;&gt;"",VLOOKUP(H424,TABLEITEM,2,FALSE),"")</f>
        <v/>
      </c>
      <c r="M424" s="13" t="str">
        <f>IF(D424&lt;&gt;"",VLOOKUP(H424,TABLEITEM,3,FALSE),"")</f>
        <v>ปลอกหุ้มหางปลา V-14 สีน้ำตาล</v>
      </c>
      <c r="N424" s="14">
        <f>INSTOCK!$I424*INSTOCK!$K424</f>
        <v>517.44</v>
      </c>
      <c r="O424" s="4"/>
      <c r="P424" s="4"/>
    </row>
    <row r="425" ht="15.75" hidden="1" customHeight="1">
      <c r="B425" s="8">
        <v>423.0</v>
      </c>
      <c r="C425" s="9">
        <v>43199.0</v>
      </c>
      <c r="D425" s="6" t="s">
        <v>15</v>
      </c>
      <c r="E425" s="4"/>
      <c r="F425" s="8"/>
      <c r="G425" s="4"/>
      <c r="H425" s="10" t="s">
        <v>442</v>
      </c>
      <c r="I425" s="10">
        <v>506.0</v>
      </c>
      <c r="J425" s="11" t="str">
        <f>IF(D425&lt;&gt;"",VLOOKUP(H425,TABLEITEM,5,FALSE),"")</f>
        <v>EA</v>
      </c>
      <c r="K425" s="12">
        <v>0.96</v>
      </c>
      <c r="L425" s="13" t="str">
        <f>IF(D425&lt;&gt;"",VLOOKUP(H425,TABLEITEM,2,FALSE),"")</f>
        <v/>
      </c>
      <c r="M425" s="13" t="str">
        <f>IF(D425&lt;&gt;"",VLOOKUP(H425,TABLEITEM,3,FALSE),"")</f>
        <v>ปลอกหุ้มหางปลา V-14 สีเทา</v>
      </c>
      <c r="N425" s="14">
        <f>INSTOCK!$I425*INSTOCK!$K425</f>
        <v>485.76</v>
      </c>
      <c r="O425" s="4"/>
      <c r="P425" s="4"/>
    </row>
    <row r="426" ht="15.75" hidden="1" customHeight="1">
      <c r="B426" s="8">
        <v>424.0</v>
      </c>
      <c r="C426" s="9">
        <v>43199.0</v>
      </c>
      <c r="D426" s="6" t="s">
        <v>15</v>
      </c>
      <c r="E426" s="4"/>
      <c r="F426" s="8"/>
      <c r="G426" s="4"/>
      <c r="H426" s="10" t="s">
        <v>443</v>
      </c>
      <c r="I426" s="10">
        <v>252.0</v>
      </c>
      <c r="J426" s="11" t="str">
        <f>IF(D426&lt;&gt;"",VLOOKUP(H426,TABLEITEM,5,FALSE),"")</f>
        <v>EA</v>
      </c>
      <c r="K426" s="12">
        <v>0.96</v>
      </c>
      <c r="L426" s="13" t="str">
        <f>IF(D426&lt;&gt;"",VLOOKUP(H426,TABLEITEM,2,FALSE),"")</f>
        <v/>
      </c>
      <c r="M426" s="13" t="str">
        <f>IF(D426&lt;&gt;"",VLOOKUP(H426,TABLEITEM,3,FALSE),"")</f>
        <v>ปลอกหุ้มหางปลา V-14 ฟ้า</v>
      </c>
      <c r="N426" s="14">
        <f>INSTOCK!$I426*INSTOCK!$K426</f>
        <v>241.92</v>
      </c>
      <c r="O426" s="4"/>
      <c r="P426" s="4"/>
    </row>
    <row r="427" ht="15.75" hidden="1" customHeight="1">
      <c r="B427" s="8">
        <v>425.0</v>
      </c>
      <c r="C427" s="9">
        <v>43199.0</v>
      </c>
      <c r="D427" s="6" t="s">
        <v>15</v>
      </c>
      <c r="E427" s="4"/>
      <c r="F427" s="8"/>
      <c r="G427" s="4"/>
      <c r="H427" s="10" t="s">
        <v>444</v>
      </c>
      <c r="I427" s="10">
        <v>505.0</v>
      </c>
      <c r="J427" s="11" t="str">
        <f>IF(D427&lt;&gt;"",VLOOKUP(H427,TABLEITEM,5,FALSE),"")</f>
        <v>EA</v>
      </c>
      <c r="K427" s="12">
        <v>1.56</v>
      </c>
      <c r="L427" s="13" t="str">
        <f>IF(D427&lt;&gt;"",VLOOKUP(H427,TABLEITEM,2,FALSE),"")</f>
        <v/>
      </c>
      <c r="M427" s="13" t="str">
        <f>IF(D427&lt;&gt;"",VLOOKUP(H427,TABLEITEM,3,FALSE),"")</f>
        <v>ปลอกหุ้มหางปลา V-22 น้ำตาล</v>
      </c>
      <c r="N427" s="14">
        <f>INSTOCK!$I427*INSTOCK!$K427</f>
        <v>787.8</v>
      </c>
      <c r="O427" s="4"/>
      <c r="P427" s="4"/>
    </row>
    <row r="428" ht="15.75" hidden="1" customHeight="1">
      <c r="B428" s="8">
        <v>426.0</v>
      </c>
      <c r="C428" s="9">
        <v>43199.0</v>
      </c>
      <c r="D428" s="6" t="s">
        <v>15</v>
      </c>
      <c r="E428" s="4"/>
      <c r="F428" s="8"/>
      <c r="G428" s="4"/>
      <c r="H428" s="10" t="s">
        <v>445</v>
      </c>
      <c r="I428" s="10">
        <v>454.0</v>
      </c>
      <c r="J428" s="11" t="str">
        <f>IF(D428&lt;&gt;"",VLOOKUP(H428,TABLEITEM,5,FALSE),"")</f>
        <v>EA</v>
      </c>
      <c r="K428" s="12">
        <v>1.56</v>
      </c>
      <c r="L428" s="13" t="str">
        <f>IF(D428&lt;&gt;"",VLOOKUP(H428,TABLEITEM,2,FALSE),"")</f>
        <v/>
      </c>
      <c r="M428" s="13" t="str">
        <f>IF(D428&lt;&gt;"",VLOOKUP(H428,TABLEITEM,3,FALSE),"")</f>
        <v>ปลอกหุ้มหางปลา V-22 เทา</v>
      </c>
      <c r="N428" s="14">
        <f>INSTOCK!$I428*INSTOCK!$K428</f>
        <v>708.24</v>
      </c>
      <c r="O428" s="4"/>
      <c r="P428" s="4"/>
    </row>
    <row r="429" ht="15.75" hidden="1" customHeight="1">
      <c r="B429" s="8">
        <v>427.0</v>
      </c>
      <c r="C429" s="9">
        <v>43199.0</v>
      </c>
      <c r="D429" s="6" t="s">
        <v>15</v>
      </c>
      <c r="E429" s="4"/>
      <c r="F429" s="8"/>
      <c r="G429" s="4"/>
      <c r="H429" s="10" t="s">
        <v>446</v>
      </c>
      <c r="I429" s="10">
        <v>276.0</v>
      </c>
      <c r="J429" s="11" t="str">
        <f>IF(D429&lt;&gt;"",VLOOKUP(H429,TABLEITEM,5,FALSE),"")</f>
        <v>EA</v>
      </c>
      <c r="K429" s="12">
        <v>1.56</v>
      </c>
      <c r="L429" s="13" t="str">
        <f>IF(D429&lt;&gt;"",VLOOKUP(H429,TABLEITEM,2,FALSE),"")</f>
        <v/>
      </c>
      <c r="M429" s="13" t="str">
        <f>IF(D429&lt;&gt;"",VLOOKUP(H429,TABLEITEM,3,FALSE),"")</f>
        <v>ปลอกหุ้มหางปลา V-22 ฟ้า</v>
      </c>
      <c r="N429" s="14">
        <f>INSTOCK!$I429*INSTOCK!$K429</f>
        <v>430.56</v>
      </c>
      <c r="O429" s="4"/>
      <c r="P429" s="4"/>
    </row>
    <row r="430" ht="15.75" hidden="1" customHeight="1">
      <c r="B430" s="8">
        <v>428.0</v>
      </c>
      <c r="C430" s="9">
        <v>43199.0</v>
      </c>
      <c r="D430" s="6" t="s">
        <v>15</v>
      </c>
      <c r="E430" s="4"/>
      <c r="F430" s="8"/>
      <c r="G430" s="4"/>
      <c r="H430" s="10" t="s">
        <v>447</v>
      </c>
      <c r="I430" s="10">
        <v>438.0</v>
      </c>
      <c r="J430" s="11" t="str">
        <f>IF(D430&lt;&gt;"",VLOOKUP(H430,TABLEITEM,5,FALSE),"")</f>
        <v>EA</v>
      </c>
      <c r="K430" s="12">
        <v>1.92</v>
      </c>
      <c r="L430" s="13" t="str">
        <f>IF(D430&lt;&gt;"",VLOOKUP(H430,TABLEITEM,2,FALSE),"")</f>
        <v/>
      </c>
      <c r="M430" s="13" t="str">
        <f>IF(D430&lt;&gt;"",VLOOKUP(H430,TABLEITEM,3,FALSE),"")</f>
        <v>ปลอกหุ้มหางปลา V-38 น้ำตาล</v>
      </c>
      <c r="N430" s="14">
        <f>INSTOCK!$I430*INSTOCK!$K430</f>
        <v>840.96</v>
      </c>
      <c r="O430" s="4"/>
      <c r="P430" s="4"/>
    </row>
    <row r="431" ht="15.75" hidden="1" customHeight="1">
      <c r="B431" s="8">
        <v>429.0</v>
      </c>
      <c r="C431" s="9">
        <v>43199.0</v>
      </c>
      <c r="D431" s="6" t="s">
        <v>15</v>
      </c>
      <c r="E431" s="4"/>
      <c r="F431" s="8"/>
      <c r="G431" s="4"/>
      <c r="H431" s="10" t="s">
        <v>448</v>
      </c>
      <c r="I431" s="10">
        <v>411.0</v>
      </c>
      <c r="J431" s="11" t="str">
        <f>IF(D431&lt;&gt;"",VLOOKUP(H431,TABLEITEM,5,FALSE),"")</f>
        <v>EA</v>
      </c>
      <c r="K431" s="12">
        <v>1.92</v>
      </c>
      <c r="L431" s="13" t="str">
        <f>IF(D431&lt;&gt;"",VLOOKUP(H431,TABLEITEM,2,FALSE),"")</f>
        <v/>
      </c>
      <c r="M431" s="13" t="str">
        <f>IF(D431&lt;&gt;"",VLOOKUP(H431,TABLEITEM,3,FALSE),"")</f>
        <v>ปลอกหุ้มหางปลา V-38 เทา</v>
      </c>
      <c r="N431" s="14">
        <f>INSTOCK!$I431*INSTOCK!$K431</f>
        <v>789.12</v>
      </c>
      <c r="O431" s="4"/>
      <c r="P431" s="4"/>
    </row>
    <row r="432" ht="15.75" hidden="1" customHeight="1">
      <c r="B432" s="8">
        <v>430.0</v>
      </c>
      <c r="C432" s="9">
        <v>43199.0</v>
      </c>
      <c r="D432" s="6" t="s">
        <v>15</v>
      </c>
      <c r="E432" s="4"/>
      <c r="F432" s="8"/>
      <c r="G432" s="4"/>
      <c r="H432" s="10" t="s">
        <v>449</v>
      </c>
      <c r="I432" s="10">
        <v>300.0</v>
      </c>
      <c r="J432" s="11" t="str">
        <f>IF(D432&lt;&gt;"",VLOOKUP(H432,TABLEITEM,5,FALSE),"")</f>
        <v>EA</v>
      </c>
      <c r="K432" s="12">
        <v>1.92</v>
      </c>
      <c r="L432" s="13" t="str">
        <f>IF(D432&lt;&gt;"",VLOOKUP(H432,TABLEITEM,2,FALSE),"")</f>
        <v/>
      </c>
      <c r="M432" s="13" t="str">
        <f>IF(D432&lt;&gt;"",VLOOKUP(H432,TABLEITEM,3,FALSE),"")</f>
        <v>ปลอกหุ้มหางปลา V-38 ฟ้า</v>
      </c>
      <c r="N432" s="14">
        <f>INSTOCK!$I432*INSTOCK!$K432</f>
        <v>576</v>
      </c>
      <c r="O432" s="4"/>
      <c r="P432" s="4"/>
    </row>
    <row r="433" ht="15.75" hidden="1" customHeight="1">
      <c r="B433" s="8">
        <v>431.0</v>
      </c>
      <c r="C433" s="9">
        <v>43199.0</v>
      </c>
      <c r="D433" s="6" t="s">
        <v>15</v>
      </c>
      <c r="E433" s="4"/>
      <c r="F433" s="8"/>
      <c r="G433" s="4"/>
      <c r="H433" s="10" t="s">
        <v>450</v>
      </c>
      <c r="I433" s="10">
        <v>124.0</v>
      </c>
      <c r="J433" s="11" t="str">
        <f>IF(D433&lt;&gt;"",VLOOKUP(H433,TABLEITEM,5,FALSE),"")</f>
        <v>EA</v>
      </c>
      <c r="K433" s="12">
        <v>3.0</v>
      </c>
      <c r="L433" s="13" t="str">
        <f>IF(D433&lt;&gt;"",VLOOKUP(H433,TABLEITEM,2,FALSE),"")</f>
        <v/>
      </c>
      <c r="M433" s="13" t="str">
        <f>IF(D433&lt;&gt;"",VLOOKUP(H433,TABLEITEM,3,FALSE),"")</f>
        <v>ปลอกหุ้มหางปลา V-60 น้ำตาล</v>
      </c>
      <c r="N433" s="14">
        <f>INSTOCK!$I433*INSTOCK!$K433</f>
        <v>372</v>
      </c>
      <c r="O433" s="4"/>
      <c r="P433" s="4"/>
    </row>
    <row r="434" ht="15.75" hidden="1" customHeight="1">
      <c r="B434" s="8">
        <v>432.0</v>
      </c>
      <c r="C434" s="9">
        <v>43199.0</v>
      </c>
      <c r="D434" s="6" t="s">
        <v>15</v>
      </c>
      <c r="E434" s="4"/>
      <c r="F434" s="8"/>
      <c r="G434" s="4"/>
      <c r="H434" s="10" t="s">
        <v>451</v>
      </c>
      <c r="I434" s="10">
        <v>121.0</v>
      </c>
      <c r="J434" s="11" t="str">
        <f>IF(D434&lt;&gt;"",VLOOKUP(H434,TABLEITEM,5,FALSE),"")</f>
        <v>EA</v>
      </c>
      <c r="K434" s="12">
        <v>3.0</v>
      </c>
      <c r="L434" s="13" t="str">
        <f>IF(D434&lt;&gt;"",VLOOKUP(H434,TABLEITEM,2,FALSE),"")</f>
        <v/>
      </c>
      <c r="M434" s="13" t="str">
        <f>IF(D434&lt;&gt;"",VLOOKUP(H434,TABLEITEM,3,FALSE),"")</f>
        <v>ปลอกหุ้มหางปลา V-60 เทา</v>
      </c>
      <c r="N434" s="14">
        <f>INSTOCK!$I434*INSTOCK!$K434</f>
        <v>363</v>
      </c>
      <c r="O434" s="4"/>
      <c r="P434" s="4"/>
    </row>
    <row r="435" ht="15.75" hidden="1" customHeight="1">
      <c r="B435" s="8">
        <v>433.0</v>
      </c>
      <c r="C435" s="9">
        <v>43199.0</v>
      </c>
      <c r="D435" s="6" t="s">
        <v>15</v>
      </c>
      <c r="E435" s="4"/>
      <c r="F435" s="8"/>
      <c r="G435" s="4"/>
      <c r="H435" s="10" t="s">
        <v>452</v>
      </c>
      <c r="I435" s="10">
        <v>100.0</v>
      </c>
      <c r="J435" s="11" t="str">
        <f>IF(D435&lt;&gt;"",VLOOKUP(H435,TABLEITEM,5,FALSE),"")</f>
        <v>EA</v>
      </c>
      <c r="K435" s="12">
        <v>3.0</v>
      </c>
      <c r="L435" s="13" t="str">
        <f>IF(D435&lt;&gt;"",VLOOKUP(H435,TABLEITEM,2,FALSE),"")</f>
        <v/>
      </c>
      <c r="M435" s="13" t="str">
        <f>IF(D435&lt;&gt;"",VLOOKUP(H435,TABLEITEM,3,FALSE),"")</f>
        <v>ปลอกหุ้มหางปลา V-60 ฟ้า</v>
      </c>
      <c r="N435" s="14">
        <f>INSTOCK!$I435*INSTOCK!$K435</f>
        <v>300</v>
      </c>
      <c r="O435" s="4"/>
      <c r="P435" s="4"/>
    </row>
    <row r="436" ht="15.75" hidden="1" customHeight="1">
      <c r="B436" s="8">
        <v>434.0</v>
      </c>
      <c r="C436" s="9">
        <v>43199.0</v>
      </c>
      <c r="D436" s="6" t="s">
        <v>15</v>
      </c>
      <c r="E436" s="4"/>
      <c r="F436" s="8"/>
      <c r="G436" s="4"/>
      <c r="H436" s="10" t="s">
        <v>453</v>
      </c>
      <c r="I436" s="10">
        <v>126.0</v>
      </c>
      <c r="J436" s="11" t="str">
        <f>IF(D436&lt;&gt;"",VLOOKUP(H436,TABLEITEM,5,FALSE),"")</f>
        <v>EA</v>
      </c>
      <c r="K436" s="12">
        <v>3.96</v>
      </c>
      <c r="L436" s="13" t="str">
        <f>IF(D436&lt;&gt;"",VLOOKUP(H436,TABLEITEM,2,FALSE),"")</f>
        <v/>
      </c>
      <c r="M436" s="13" t="str">
        <f>IF(D436&lt;&gt;"",VLOOKUP(H436,TABLEITEM,3,FALSE),"")</f>
        <v>ปลอกหุ้มหางปลา V-80 น้ำตาล</v>
      </c>
      <c r="N436" s="14">
        <f>INSTOCK!$I436*INSTOCK!$K436</f>
        <v>498.96</v>
      </c>
      <c r="O436" s="4"/>
      <c r="P436" s="4"/>
    </row>
    <row r="437" ht="15.75" hidden="1" customHeight="1">
      <c r="B437" s="8">
        <v>435.0</v>
      </c>
      <c r="C437" s="9">
        <v>43199.0</v>
      </c>
      <c r="D437" s="6" t="s">
        <v>15</v>
      </c>
      <c r="E437" s="4"/>
      <c r="F437" s="8"/>
      <c r="G437" s="4"/>
      <c r="H437" s="10" t="s">
        <v>454</v>
      </c>
      <c r="I437" s="10">
        <v>124.0</v>
      </c>
      <c r="J437" s="11" t="str">
        <f>IF(D437&lt;&gt;"",VLOOKUP(H437,TABLEITEM,5,FALSE),"")</f>
        <v>EA</v>
      </c>
      <c r="K437" s="12">
        <v>3.96</v>
      </c>
      <c r="L437" s="13" t="str">
        <f>IF(D437&lt;&gt;"",VLOOKUP(H437,TABLEITEM,2,FALSE),"")</f>
        <v/>
      </c>
      <c r="M437" s="13" t="str">
        <f>IF(D437&lt;&gt;"",VLOOKUP(H437,TABLEITEM,3,FALSE),"")</f>
        <v>ปลอกหุ้มหางปลา V-80 เทา</v>
      </c>
      <c r="N437" s="14">
        <f>INSTOCK!$I437*INSTOCK!$K437</f>
        <v>491.04</v>
      </c>
      <c r="O437" s="4"/>
      <c r="P437" s="4"/>
    </row>
    <row r="438" ht="15.75" hidden="1" customHeight="1">
      <c r="B438" s="8">
        <v>436.0</v>
      </c>
      <c r="C438" s="9">
        <v>43199.0</v>
      </c>
      <c r="D438" s="6" t="s">
        <v>15</v>
      </c>
      <c r="E438" s="4"/>
      <c r="F438" s="8"/>
      <c r="G438" s="4"/>
      <c r="H438" s="10" t="s">
        <v>455</v>
      </c>
      <c r="I438" s="10">
        <v>98.0</v>
      </c>
      <c r="J438" s="11" t="str">
        <f>IF(D438&lt;&gt;"",VLOOKUP(H438,TABLEITEM,5,FALSE),"")</f>
        <v>EA</v>
      </c>
      <c r="K438" s="12">
        <v>5.4</v>
      </c>
      <c r="L438" s="13" t="str">
        <f>IF(D438&lt;&gt;"",VLOOKUP(H438,TABLEITEM,2,FALSE),"")</f>
        <v/>
      </c>
      <c r="M438" s="13" t="str">
        <f>IF(D438&lt;&gt;"",VLOOKUP(H438,TABLEITEM,3,FALSE),"")</f>
        <v>ปลอกหุ้มหางปลา V-100 น้ำตาล</v>
      </c>
      <c r="N438" s="14">
        <f>INSTOCK!$I438*INSTOCK!$K438</f>
        <v>529.2</v>
      </c>
      <c r="O438" s="4"/>
      <c r="P438" s="4"/>
    </row>
    <row r="439" ht="15.75" hidden="1" customHeight="1">
      <c r="B439" s="8">
        <v>437.0</v>
      </c>
      <c r="C439" s="9">
        <v>43199.0</v>
      </c>
      <c r="D439" s="6" t="s">
        <v>15</v>
      </c>
      <c r="E439" s="4"/>
      <c r="F439" s="8"/>
      <c r="G439" s="4"/>
      <c r="H439" s="10" t="s">
        <v>456</v>
      </c>
      <c r="I439" s="10">
        <v>98.0</v>
      </c>
      <c r="J439" s="11" t="str">
        <f>IF(D439&lt;&gt;"",VLOOKUP(H439,TABLEITEM,5,FALSE),"")</f>
        <v>EA</v>
      </c>
      <c r="K439" s="12">
        <v>5.4</v>
      </c>
      <c r="L439" s="13" t="str">
        <f>IF(D439&lt;&gt;"",VLOOKUP(H439,TABLEITEM,2,FALSE),"")</f>
        <v/>
      </c>
      <c r="M439" s="13" t="str">
        <f>IF(D439&lt;&gt;"",VLOOKUP(H439,TABLEITEM,3,FALSE),"")</f>
        <v>ปลอกหุ้มหางปลา V-100 เทา</v>
      </c>
      <c r="N439" s="14">
        <f>INSTOCK!$I439*INSTOCK!$K439</f>
        <v>529.2</v>
      </c>
      <c r="O439" s="4"/>
      <c r="P439" s="4"/>
    </row>
    <row r="440" ht="15.75" hidden="1" customHeight="1">
      <c r="B440" s="8">
        <v>438.0</v>
      </c>
      <c r="C440" s="9">
        <v>43199.0</v>
      </c>
      <c r="D440" s="6" t="s">
        <v>15</v>
      </c>
      <c r="E440" s="4"/>
      <c r="F440" s="8"/>
      <c r="G440" s="4"/>
      <c r="H440" s="10" t="s">
        <v>457</v>
      </c>
      <c r="I440" s="10">
        <v>16.0</v>
      </c>
      <c r="J440" s="11" t="str">
        <f>IF(D440&lt;&gt;"",VLOOKUP(H440,TABLEITEM,5,FALSE),"")</f>
        <v>EA</v>
      </c>
      <c r="K440" s="12">
        <v>9.6</v>
      </c>
      <c r="L440" s="13" t="str">
        <f>IF(D440&lt;&gt;"",VLOOKUP(H440,TABLEITEM,2,FALSE),"")</f>
        <v/>
      </c>
      <c r="M440" s="13" t="str">
        <f>IF(D440&lt;&gt;"",VLOOKUP(H440,TABLEITEM,3,FALSE),"")</f>
        <v>ปลอกหุ้มหางปลา V-200 น้ำตาล</v>
      </c>
      <c r="N440" s="14">
        <f>INSTOCK!$I440*INSTOCK!$K440</f>
        <v>153.6</v>
      </c>
      <c r="O440" s="4"/>
      <c r="P440" s="4"/>
    </row>
    <row r="441" ht="15.75" hidden="1" customHeight="1">
      <c r="B441" s="8">
        <v>439.0</v>
      </c>
      <c r="C441" s="9">
        <v>43199.0</v>
      </c>
      <c r="D441" s="6" t="s">
        <v>15</v>
      </c>
      <c r="E441" s="4"/>
      <c r="F441" s="8"/>
      <c r="G441" s="4"/>
      <c r="H441" s="10" t="s">
        <v>458</v>
      </c>
      <c r="I441" s="10">
        <v>16.0</v>
      </c>
      <c r="J441" s="11" t="str">
        <f>IF(D441&lt;&gt;"",VLOOKUP(H441,TABLEITEM,5,FALSE),"")</f>
        <v>EA</v>
      </c>
      <c r="K441" s="12">
        <v>9.6</v>
      </c>
      <c r="L441" s="13" t="str">
        <f>IF(D441&lt;&gt;"",VLOOKUP(H441,TABLEITEM,2,FALSE),"")</f>
        <v/>
      </c>
      <c r="M441" s="13" t="str">
        <f>IF(D441&lt;&gt;"",VLOOKUP(H441,TABLEITEM,3,FALSE),"")</f>
        <v>ปลอกหุ้มหางปลา V-200 เทา</v>
      </c>
      <c r="N441" s="14">
        <f>INSTOCK!$I441*INSTOCK!$K441</f>
        <v>153.6</v>
      </c>
      <c r="O441" s="4"/>
      <c r="P441" s="4"/>
    </row>
    <row r="442" ht="15.75" hidden="1" customHeight="1">
      <c r="B442" s="8">
        <v>440.0</v>
      </c>
      <c r="C442" s="9">
        <v>43199.0</v>
      </c>
      <c r="D442" s="6" t="s">
        <v>15</v>
      </c>
      <c r="E442" s="4"/>
      <c r="F442" s="8"/>
      <c r="G442" s="4"/>
      <c r="H442" s="10" t="s">
        <v>459</v>
      </c>
      <c r="I442" s="10">
        <v>300.0</v>
      </c>
      <c r="J442" s="11" t="str">
        <f>IF(D442&lt;&gt;"",VLOOKUP(H442,TABLEITEM,5,FALSE),"")</f>
        <v>M</v>
      </c>
      <c r="K442" s="12">
        <v>9.6</v>
      </c>
      <c r="L442" s="13" t="str">
        <f>IF(D442&lt;&gt;"",VLOOKUP(H442,TABLEITEM,2,FALSE),"")</f>
        <v>wire</v>
      </c>
      <c r="M442" s="13" t="str">
        <f>IF(D442&lt;&gt;"",VLOOKUP(H442,TABLEITEM,3,FALSE),"")</f>
        <v>สายไฟ VSF#1x0.5 SQMM.สีน้ำเงิน</v>
      </c>
      <c r="N442" s="14">
        <f>INSTOCK!$I442*INSTOCK!$K442</f>
        <v>2880</v>
      </c>
      <c r="O442" s="4"/>
      <c r="P442" s="4"/>
    </row>
    <row r="443" ht="15.75" hidden="1" customHeight="1">
      <c r="B443" s="8">
        <v>441.0</v>
      </c>
      <c r="C443" s="9">
        <v>43199.0</v>
      </c>
      <c r="D443" s="6" t="s">
        <v>15</v>
      </c>
      <c r="E443" s="4"/>
      <c r="F443" s="8"/>
      <c r="G443" s="4"/>
      <c r="H443" s="10" t="s">
        <v>460</v>
      </c>
      <c r="I443" s="10">
        <v>600.0</v>
      </c>
      <c r="J443" s="11" t="str">
        <f>IF(D443&lt;&gt;"",VLOOKUP(H443,TABLEITEM,5,FALSE),"")</f>
        <v>M</v>
      </c>
      <c r="K443" s="12">
        <v>9.6</v>
      </c>
      <c r="L443" s="13" t="str">
        <f>IF(D443&lt;&gt;"",VLOOKUP(H443,TABLEITEM,2,FALSE),"")</f>
        <v>wire</v>
      </c>
      <c r="M443" s="13" t="str">
        <f>IF(D443&lt;&gt;"",VLOOKUP(H443,TABLEITEM,3,FALSE),"")</f>
        <v>สายไฟ VSF#1x0.75 SQMM.สีแดง</v>
      </c>
      <c r="N443" s="14">
        <f>INSTOCK!$I443*INSTOCK!$K443</f>
        <v>5760</v>
      </c>
      <c r="O443" s="4"/>
      <c r="P443" s="4"/>
    </row>
    <row r="444" ht="15.75" hidden="1" customHeight="1">
      <c r="B444" s="8">
        <v>442.0</v>
      </c>
      <c r="C444" s="9">
        <v>43199.0</v>
      </c>
      <c r="D444" s="6" t="s">
        <v>15</v>
      </c>
      <c r="E444" s="4"/>
      <c r="F444" s="8"/>
      <c r="G444" s="4"/>
      <c r="H444" s="10" t="s">
        <v>461</v>
      </c>
      <c r="I444" s="10">
        <v>400.0</v>
      </c>
      <c r="J444" s="11" t="str">
        <f>IF(D444&lt;&gt;"",VLOOKUP(H444,TABLEITEM,5,FALSE),"")</f>
        <v>M</v>
      </c>
      <c r="K444" s="12">
        <v>9.6</v>
      </c>
      <c r="L444" s="13" t="str">
        <f>IF(D444&lt;&gt;"",VLOOKUP(H444,TABLEITEM,2,FALSE),"")</f>
        <v>wire</v>
      </c>
      <c r="M444" s="13" t="str">
        <f>IF(D444&lt;&gt;"",VLOOKUP(H444,TABLEITEM,3,FALSE),"")</f>
        <v>สายไฟ VSF#1x0.75 SQMM.สีน้ำตาล</v>
      </c>
      <c r="N444" s="14">
        <f>INSTOCK!$I444*INSTOCK!$K444</f>
        <v>3840</v>
      </c>
      <c r="O444" s="4"/>
      <c r="P444" s="4"/>
    </row>
    <row r="445" ht="15.75" hidden="1" customHeight="1">
      <c r="B445" s="8">
        <v>443.0</v>
      </c>
      <c r="C445" s="9">
        <v>43199.0</v>
      </c>
      <c r="D445" s="6" t="s">
        <v>15</v>
      </c>
      <c r="E445" s="4"/>
      <c r="F445" s="8"/>
      <c r="G445" s="4"/>
      <c r="H445" s="10" t="s">
        <v>462</v>
      </c>
      <c r="I445" s="10">
        <v>1900.0</v>
      </c>
      <c r="J445" s="11" t="str">
        <f>IF(D445&lt;&gt;"",VLOOKUP(H445,TABLEITEM,5,FALSE),"")</f>
        <v>M</v>
      </c>
      <c r="K445" s="12">
        <v>5.0</v>
      </c>
      <c r="L445" s="13" t="str">
        <f>IF(D445&lt;&gt;"",VLOOKUP(H445,TABLEITEM,2,FALSE),"")</f>
        <v>wire</v>
      </c>
      <c r="M445" s="13" t="str">
        <f>IF(D445&lt;&gt;"",VLOOKUP(H445,TABLEITEM,3,FALSE),"")</f>
        <v>สายไฟ VSF1x1 SQMM.สีเหลือง</v>
      </c>
      <c r="N445" s="14">
        <f>INSTOCK!$I445*INSTOCK!$K445</f>
        <v>9500</v>
      </c>
      <c r="O445" s="4"/>
      <c r="P445" s="4"/>
    </row>
    <row r="446" ht="15.75" hidden="1" customHeight="1">
      <c r="B446" s="8">
        <v>444.0</v>
      </c>
      <c r="C446" s="9">
        <v>43199.0</v>
      </c>
      <c r="D446" s="6" t="s">
        <v>15</v>
      </c>
      <c r="E446" s="4"/>
      <c r="F446" s="8"/>
      <c r="G446" s="4"/>
      <c r="H446" s="10" t="s">
        <v>463</v>
      </c>
      <c r="I446" s="10">
        <v>1489.0</v>
      </c>
      <c r="J446" s="11" t="str">
        <f>IF(D446&lt;&gt;"",VLOOKUP(H446,TABLEITEM,5,FALSE),"")</f>
        <v>M</v>
      </c>
      <c r="K446" s="12">
        <v>5.0</v>
      </c>
      <c r="L446" s="13" t="str">
        <f>IF(D446&lt;&gt;"",VLOOKUP(H446,TABLEITEM,2,FALSE),"")</f>
        <v>wire</v>
      </c>
      <c r="M446" s="13" t="str">
        <f>IF(D446&lt;&gt;"",VLOOKUP(H446,TABLEITEM,3,FALSE),"")</f>
        <v>สายไฟ VSF1x1 SQMM.สีแดง</v>
      </c>
      <c r="N446" s="14">
        <f>INSTOCK!$I446*INSTOCK!$K446</f>
        <v>7445</v>
      </c>
      <c r="O446" s="4"/>
      <c r="P446" s="4"/>
    </row>
    <row r="447" ht="15.75" hidden="1" customHeight="1">
      <c r="B447" s="8">
        <v>445.0</v>
      </c>
      <c r="C447" s="9">
        <v>43199.0</v>
      </c>
      <c r="D447" s="6" t="s">
        <v>15</v>
      </c>
      <c r="E447" s="4"/>
      <c r="F447" s="8"/>
      <c r="G447" s="4"/>
      <c r="H447" s="10" t="s">
        <v>464</v>
      </c>
      <c r="I447" s="10">
        <v>1297.0</v>
      </c>
      <c r="J447" s="11" t="str">
        <f>IF(D447&lt;&gt;"",VLOOKUP(H447,TABLEITEM,5,FALSE),"")</f>
        <v>M</v>
      </c>
      <c r="K447" s="12">
        <v>5.0</v>
      </c>
      <c r="L447" s="13" t="str">
        <f>IF(D447&lt;&gt;"",VLOOKUP(H447,TABLEITEM,2,FALSE),"")</f>
        <v>wire</v>
      </c>
      <c r="M447" s="13" t="str">
        <f>IF(D447&lt;&gt;"",VLOOKUP(H447,TABLEITEM,3,FALSE),"")</f>
        <v>สายไฟ VSF1x1 SQMM.สีขาว</v>
      </c>
      <c r="N447" s="14">
        <f>INSTOCK!$I447*INSTOCK!$K447</f>
        <v>6485</v>
      </c>
      <c r="O447" s="4"/>
      <c r="P447" s="4"/>
    </row>
    <row r="448" ht="15.75" hidden="1" customHeight="1">
      <c r="B448" s="8">
        <v>446.0</v>
      </c>
      <c r="C448" s="9">
        <v>43199.0</v>
      </c>
      <c r="D448" s="6" t="s">
        <v>15</v>
      </c>
      <c r="E448" s="4"/>
      <c r="F448" s="8"/>
      <c r="G448" s="4"/>
      <c r="H448" s="10" t="s">
        <v>465</v>
      </c>
      <c r="I448" s="10">
        <v>311.0</v>
      </c>
      <c r="J448" s="11" t="str">
        <f>IF(D448&lt;&gt;"",VLOOKUP(H448,TABLEITEM,5,FALSE),"")</f>
        <v>M</v>
      </c>
      <c r="K448" s="12">
        <v>5.0</v>
      </c>
      <c r="L448" s="13" t="str">
        <f>IF(D448&lt;&gt;"",VLOOKUP(H448,TABLEITEM,2,FALSE),"")</f>
        <v>wire</v>
      </c>
      <c r="M448" s="13" t="str">
        <f>IF(D448&lt;&gt;"",VLOOKUP(H448,TABLEITEM,3,FALSE),"")</f>
        <v>สายไฟ VSF1x1 SQMM.สีดำ</v>
      </c>
      <c r="N448" s="14">
        <f>INSTOCK!$I448*INSTOCK!$K448</f>
        <v>1555</v>
      </c>
      <c r="O448" s="4"/>
      <c r="P448" s="4"/>
    </row>
    <row r="449" ht="15.75" hidden="1" customHeight="1">
      <c r="B449" s="8">
        <v>447.0</v>
      </c>
      <c r="C449" s="9">
        <v>43199.0</v>
      </c>
      <c r="D449" s="6" t="s">
        <v>15</v>
      </c>
      <c r="E449" s="4"/>
      <c r="F449" s="8"/>
      <c r="G449" s="4"/>
      <c r="H449" s="10" t="s">
        <v>466</v>
      </c>
      <c r="I449" s="10">
        <v>637.0</v>
      </c>
      <c r="J449" s="11" t="str">
        <f>IF(D449&lt;&gt;"",VLOOKUP(H449,TABLEITEM,5,FALSE),"")</f>
        <v>M</v>
      </c>
      <c r="K449" s="12">
        <v>5.0</v>
      </c>
      <c r="L449" s="13" t="str">
        <f>IF(D449&lt;&gt;"",VLOOKUP(H449,TABLEITEM,2,FALSE),"")</f>
        <v>wire</v>
      </c>
      <c r="M449" s="13" t="str">
        <f>IF(D449&lt;&gt;"",VLOOKUP(H449,TABLEITEM,3,FALSE),"")</f>
        <v>สายไฟ VSF1x1 SQMM.สีฟ้า</v>
      </c>
      <c r="N449" s="14">
        <f>INSTOCK!$I449*INSTOCK!$K449</f>
        <v>3185</v>
      </c>
      <c r="O449" s="4"/>
      <c r="P449" s="4"/>
    </row>
    <row r="450" ht="15.75" hidden="1" customHeight="1">
      <c r="B450" s="8">
        <v>448.0</v>
      </c>
      <c r="C450" s="9">
        <v>43199.0</v>
      </c>
      <c r="D450" s="6" t="s">
        <v>15</v>
      </c>
      <c r="E450" s="4"/>
      <c r="F450" s="8"/>
      <c r="G450" s="4"/>
      <c r="H450" s="10" t="s">
        <v>467</v>
      </c>
      <c r="I450" s="10">
        <v>500.0</v>
      </c>
      <c r="J450" s="11" t="str">
        <f>IF(D450&lt;&gt;"",VLOOKUP(H450,TABLEITEM,5,FALSE),"")</f>
        <v>M</v>
      </c>
      <c r="K450" s="12">
        <v>5.0</v>
      </c>
      <c r="L450" s="13" t="str">
        <f>IF(D450&lt;&gt;"",VLOOKUP(H450,TABLEITEM,2,FALSE),"")</f>
        <v>wire</v>
      </c>
      <c r="M450" s="13" t="str">
        <f>IF(D450&lt;&gt;"",VLOOKUP(H450,TABLEITEM,3,FALSE),"")</f>
        <v>สายไฟ VSF1x1 SQMM.สีน้ำตาล</v>
      </c>
      <c r="N450" s="14">
        <f>INSTOCK!$I450*INSTOCK!$K450</f>
        <v>2500</v>
      </c>
      <c r="O450" s="4"/>
      <c r="P450" s="4"/>
    </row>
    <row r="451" ht="15.75" hidden="1" customHeight="1">
      <c r="B451" s="8">
        <v>449.0</v>
      </c>
      <c r="C451" s="9">
        <v>43199.0</v>
      </c>
      <c r="D451" s="6" t="s">
        <v>15</v>
      </c>
      <c r="E451" s="4"/>
      <c r="F451" s="8"/>
      <c r="G451" s="4"/>
      <c r="H451" s="10" t="s">
        <v>468</v>
      </c>
      <c r="I451" s="10">
        <v>1100.0</v>
      </c>
      <c r="J451" s="11" t="str">
        <f>IF(D451&lt;&gt;"",VLOOKUP(H451,TABLEITEM,5,FALSE),"")</f>
        <v>M</v>
      </c>
      <c r="K451" s="12">
        <v>5.0</v>
      </c>
      <c r="L451" s="13" t="str">
        <f>IF(D451&lt;&gt;"",VLOOKUP(H451,TABLEITEM,2,FALSE),"")</f>
        <v>wire</v>
      </c>
      <c r="M451" s="13" t="str">
        <f>IF(D451&lt;&gt;"",VLOOKUP(H451,TABLEITEM,3,FALSE),"")</f>
        <v>สายไฟ VSF1x1 SQMM.สีเทา</v>
      </c>
      <c r="N451" s="14">
        <f>INSTOCK!$I451*INSTOCK!$K451</f>
        <v>5500</v>
      </c>
      <c r="O451" s="4"/>
      <c r="P451" s="4"/>
    </row>
    <row r="452" ht="15.75" hidden="1" customHeight="1">
      <c r="B452" s="8">
        <v>450.0</v>
      </c>
      <c r="C452" s="9">
        <v>43199.0</v>
      </c>
      <c r="D452" s="6" t="s">
        <v>15</v>
      </c>
      <c r="E452" s="4"/>
      <c r="F452" s="8"/>
      <c r="G452" s="4"/>
      <c r="H452" s="10" t="s">
        <v>469</v>
      </c>
      <c r="I452" s="10">
        <v>300.0</v>
      </c>
      <c r="J452" s="11" t="str">
        <f>IF(D452&lt;&gt;"",VLOOKUP(H452,TABLEITEM,5,FALSE),"")</f>
        <v>M</v>
      </c>
      <c r="K452" s="12">
        <v>5.0</v>
      </c>
      <c r="L452" s="13" t="str">
        <f>IF(D452&lt;&gt;"",VLOOKUP(H452,TABLEITEM,2,FALSE),"")</f>
        <v>wire</v>
      </c>
      <c r="M452" s="13" t="str">
        <f>IF(D452&lt;&gt;"",VLOOKUP(H452,TABLEITEM,3,FALSE),"")</f>
        <v>สายไฟ VSF1x1 SQMM.สีเขียว</v>
      </c>
      <c r="N452" s="14">
        <f>INSTOCK!$I452*INSTOCK!$K452</f>
        <v>1500</v>
      </c>
      <c r="O452" s="4"/>
      <c r="P452" s="4"/>
    </row>
    <row r="453" ht="15.75" hidden="1" customHeight="1">
      <c r="B453" s="8">
        <v>451.0</v>
      </c>
      <c r="C453" s="9">
        <v>43199.0</v>
      </c>
      <c r="D453" s="6" t="s">
        <v>15</v>
      </c>
      <c r="E453" s="4"/>
      <c r="F453" s="8"/>
      <c r="G453" s="4"/>
      <c r="H453" s="10" t="s">
        <v>470</v>
      </c>
      <c r="I453" s="10">
        <v>5653.0</v>
      </c>
      <c r="J453" s="11" t="str">
        <f>IF(D453&lt;&gt;"",VLOOKUP(H453,TABLEITEM,5,FALSE),"")</f>
        <v>M</v>
      </c>
      <c r="K453" s="12">
        <v>6.4</v>
      </c>
      <c r="L453" s="13" t="str">
        <f>IF(D453&lt;&gt;"",VLOOKUP(H453,TABLEITEM,2,FALSE),"")</f>
        <v>wire</v>
      </c>
      <c r="M453" s="13" t="str">
        <f>IF(D453&lt;&gt;"",VLOOKUP(H453,TABLEITEM,3,FALSE),"")</f>
        <v>สายไฟ VSF1x1.5 SQMM.สีเหลือง</v>
      </c>
      <c r="N453" s="14">
        <f>INSTOCK!$I453*INSTOCK!$K453</f>
        <v>36179.2</v>
      </c>
      <c r="O453" s="4"/>
      <c r="P453" s="4"/>
    </row>
    <row r="454" ht="15.75" hidden="1" customHeight="1">
      <c r="B454" s="8">
        <v>452.0</v>
      </c>
      <c r="C454" s="9">
        <v>43199.0</v>
      </c>
      <c r="D454" s="6" t="s">
        <v>15</v>
      </c>
      <c r="E454" s="4"/>
      <c r="F454" s="8"/>
      <c r="G454" s="4"/>
      <c r="H454" s="10" t="s">
        <v>471</v>
      </c>
      <c r="I454" s="10">
        <v>1614.0</v>
      </c>
      <c r="J454" s="11" t="str">
        <f>IF(D454&lt;&gt;"",VLOOKUP(H454,TABLEITEM,5,FALSE),"")</f>
        <v>M</v>
      </c>
      <c r="K454" s="12">
        <v>6.4</v>
      </c>
      <c r="L454" s="13" t="str">
        <f>IF(D454&lt;&gt;"",VLOOKUP(H454,TABLEITEM,2,FALSE),"")</f>
        <v>wire</v>
      </c>
      <c r="M454" s="13" t="str">
        <f>IF(D454&lt;&gt;"",VLOOKUP(H454,TABLEITEM,3,FALSE),"")</f>
        <v>สายไฟ VSF1x1.5 SQMM.สีแดง</v>
      </c>
      <c r="N454" s="14">
        <f>INSTOCK!$I454*INSTOCK!$K454</f>
        <v>10329.6</v>
      </c>
      <c r="O454" s="4"/>
      <c r="P454" s="4"/>
    </row>
    <row r="455" ht="15.75" hidden="1" customHeight="1">
      <c r="B455" s="8">
        <v>453.0</v>
      </c>
      <c r="C455" s="9">
        <v>43199.0</v>
      </c>
      <c r="D455" s="6" t="s">
        <v>15</v>
      </c>
      <c r="E455" s="4"/>
      <c r="F455" s="8"/>
      <c r="G455" s="4"/>
      <c r="H455" s="10" t="s">
        <v>472</v>
      </c>
      <c r="I455" s="10">
        <v>2222.0</v>
      </c>
      <c r="J455" s="11" t="str">
        <f>IF(D455&lt;&gt;"",VLOOKUP(H455,TABLEITEM,5,FALSE),"")</f>
        <v>M</v>
      </c>
      <c r="K455" s="12">
        <v>6.4</v>
      </c>
      <c r="L455" s="13" t="str">
        <f>IF(D455&lt;&gt;"",VLOOKUP(H455,TABLEITEM,2,FALSE),"")</f>
        <v>wire</v>
      </c>
      <c r="M455" s="13" t="str">
        <f>IF(D455&lt;&gt;"",VLOOKUP(H455,TABLEITEM,3,FALSE),"")</f>
        <v>สายไฟ VSF1x1.5 SQMM.สีขาว</v>
      </c>
      <c r="N455" s="14">
        <f>INSTOCK!$I455*INSTOCK!$K455</f>
        <v>14220.8</v>
      </c>
      <c r="O455" s="4"/>
      <c r="P455" s="4"/>
    </row>
    <row r="456" ht="15.75" hidden="1" customHeight="1">
      <c r="B456" s="8">
        <v>454.0</v>
      </c>
      <c r="C456" s="9">
        <v>43199.0</v>
      </c>
      <c r="D456" s="6" t="s">
        <v>15</v>
      </c>
      <c r="E456" s="4"/>
      <c r="F456" s="8"/>
      <c r="G456" s="4"/>
      <c r="H456" s="10" t="s">
        <v>473</v>
      </c>
      <c r="I456" s="10">
        <v>365.0</v>
      </c>
      <c r="J456" s="11" t="str">
        <f>IF(D456&lt;&gt;"",VLOOKUP(H456,TABLEITEM,5,FALSE),"")</f>
        <v>M</v>
      </c>
      <c r="K456" s="12">
        <v>6.4</v>
      </c>
      <c r="L456" s="13" t="str">
        <f>IF(D456&lt;&gt;"",VLOOKUP(H456,TABLEITEM,2,FALSE),"")</f>
        <v>wire</v>
      </c>
      <c r="M456" s="13" t="str">
        <f>IF(D456&lt;&gt;"",VLOOKUP(H456,TABLEITEM,3,FALSE),"")</f>
        <v>สายไฟ VSF1x1.5 SQMM.สีดำ</v>
      </c>
      <c r="N456" s="14">
        <f>INSTOCK!$I456*INSTOCK!$K456</f>
        <v>2336</v>
      </c>
      <c r="O456" s="4"/>
      <c r="P456" s="4"/>
    </row>
    <row r="457" ht="15.75" hidden="1" customHeight="1">
      <c r="B457" s="8">
        <v>455.0</v>
      </c>
      <c r="C457" s="9">
        <v>43199.0</v>
      </c>
      <c r="D457" s="6" t="s">
        <v>15</v>
      </c>
      <c r="E457" s="4"/>
      <c r="F457" s="8"/>
      <c r="G457" s="4"/>
      <c r="H457" s="10" t="s">
        <v>474</v>
      </c>
      <c r="I457" s="10">
        <v>668.0</v>
      </c>
      <c r="J457" s="11" t="str">
        <f>IF(D457&lt;&gt;"",VLOOKUP(H457,TABLEITEM,5,FALSE),"")</f>
        <v>M</v>
      </c>
      <c r="K457" s="12">
        <v>6.4</v>
      </c>
      <c r="L457" s="13" t="str">
        <f>IF(D457&lt;&gt;"",VLOOKUP(H457,TABLEITEM,2,FALSE),"")</f>
        <v>wire</v>
      </c>
      <c r="M457" s="13" t="str">
        <f>IF(D457&lt;&gt;"",VLOOKUP(H457,TABLEITEM,3,FALSE),"")</f>
        <v>สายไฟ VSF1x1.5 SQMM.สีเทา</v>
      </c>
      <c r="N457" s="14">
        <f>INSTOCK!$I457*INSTOCK!$K457</f>
        <v>4275.2</v>
      </c>
      <c r="O457" s="4"/>
      <c r="P457" s="4"/>
    </row>
    <row r="458" ht="15.75" hidden="1" customHeight="1">
      <c r="B458" s="8">
        <v>456.0</v>
      </c>
      <c r="C458" s="9">
        <v>43199.0</v>
      </c>
      <c r="D458" s="6" t="s">
        <v>15</v>
      </c>
      <c r="E458" s="4"/>
      <c r="F458" s="8"/>
      <c r="G458" s="4"/>
      <c r="H458" s="10" t="s">
        <v>475</v>
      </c>
      <c r="I458" s="10">
        <v>2200.0</v>
      </c>
      <c r="J458" s="11" t="str">
        <f>IF(D458&lt;&gt;"",VLOOKUP(H458,TABLEITEM,5,FALSE),"")</f>
        <v>M</v>
      </c>
      <c r="K458" s="12">
        <v>6.4</v>
      </c>
      <c r="L458" s="13" t="str">
        <f>IF(D458&lt;&gt;"",VLOOKUP(H458,TABLEITEM,2,FALSE),"")</f>
        <v>wire</v>
      </c>
      <c r="M458" s="13" t="str">
        <f>IF(D458&lt;&gt;"",VLOOKUP(H458,TABLEITEM,3,FALSE),"")</f>
        <v>สายไฟ VSF1x1.5 SQMM.สีน้ำเงิน</v>
      </c>
      <c r="N458" s="14">
        <f>INSTOCK!$I458*INSTOCK!$K458</f>
        <v>14080</v>
      </c>
      <c r="O458" s="4"/>
      <c r="P458" s="4"/>
    </row>
    <row r="459" ht="15.75" hidden="1" customHeight="1">
      <c r="B459" s="8">
        <v>457.0</v>
      </c>
      <c r="C459" s="9">
        <v>43199.0</v>
      </c>
      <c r="D459" s="6" t="s">
        <v>15</v>
      </c>
      <c r="E459" s="4"/>
      <c r="F459" s="8"/>
      <c r="G459" s="4"/>
      <c r="H459" s="10" t="s">
        <v>476</v>
      </c>
      <c r="I459" s="10">
        <v>1554.0</v>
      </c>
      <c r="J459" s="11" t="str">
        <f>IF(D459&lt;&gt;"",VLOOKUP(H459,TABLEITEM,5,FALSE),"")</f>
        <v>M</v>
      </c>
      <c r="K459" s="12">
        <v>6.4</v>
      </c>
      <c r="L459" s="13" t="str">
        <f>IF(D459&lt;&gt;"",VLOOKUP(H459,TABLEITEM,2,FALSE),"")</f>
        <v>wire</v>
      </c>
      <c r="M459" s="13" t="str">
        <f>IF(D459&lt;&gt;"",VLOOKUP(H459,TABLEITEM,3,FALSE),"")</f>
        <v>สายไฟ VSF1x1.5 SQMM.สีน้ำตาล</v>
      </c>
      <c r="N459" s="14">
        <f>INSTOCK!$I459*INSTOCK!$K459</f>
        <v>9945.6</v>
      </c>
      <c r="O459" s="4"/>
      <c r="P459" s="4"/>
    </row>
    <row r="460" ht="15.75" hidden="1" customHeight="1">
      <c r="B460" s="8">
        <v>458.0</v>
      </c>
      <c r="C460" s="9">
        <v>43199.0</v>
      </c>
      <c r="D460" s="6" t="s">
        <v>15</v>
      </c>
      <c r="E460" s="4"/>
      <c r="F460" s="8"/>
      <c r="G460" s="4"/>
      <c r="H460" s="10" t="s">
        <v>477</v>
      </c>
      <c r="I460" s="10">
        <v>326.0</v>
      </c>
      <c r="J460" s="11" t="str">
        <f>IF(D460&lt;&gt;"",VLOOKUP(H460,TABLEITEM,5,FALSE),"")</f>
        <v>M</v>
      </c>
      <c r="K460" s="12">
        <v>6.4</v>
      </c>
      <c r="L460" s="13" t="str">
        <f>IF(D460&lt;&gt;"",VLOOKUP(H460,TABLEITEM,2,FALSE),"")</f>
        <v>wire</v>
      </c>
      <c r="M460" s="13" t="str">
        <f>IF(D460&lt;&gt;"",VLOOKUP(H460,TABLEITEM,3,FALSE),"")</f>
        <v>สายไฟ VSF1x1.5 SQMM.สีเขียว</v>
      </c>
      <c r="N460" s="14">
        <f>INSTOCK!$I460*INSTOCK!$K460</f>
        <v>2086.4</v>
      </c>
      <c r="O460" s="4"/>
      <c r="P460" s="4"/>
    </row>
    <row r="461" ht="15.75" hidden="1" customHeight="1">
      <c r="B461" s="8">
        <v>459.0</v>
      </c>
      <c r="C461" s="9">
        <v>43199.0</v>
      </c>
      <c r="D461" s="6" t="s">
        <v>15</v>
      </c>
      <c r="E461" s="4"/>
      <c r="F461" s="8"/>
      <c r="G461" s="4"/>
      <c r="H461" s="10" t="s">
        <v>478</v>
      </c>
      <c r="I461" s="10">
        <v>283.0</v>
      </c>
      <c r="J461" s="11" t="str">
        <f>IF(D461&lt;&gt;"",VLOOKUP(H461,TABLEITEM,5,FALSE),"")</f>
        <v>M</v>
      </c>
      <c r="K461" s="12">
        <v>6.4</v>
      </c>
      <c r="L461" s="13" t="str">
        <f>IF(D461&lt;&gt;"",VLOOKUP(H461,TABLEITEM,2,FALSE),"")</f>
        <v>wire</v>
      </c>
      <c r="M461" s="13" t="str">
        <f>IF(D461&lt;&gt;"",VLOOKUP(H461,TABLEITEM,3,FALSE),"")</f>
        <v>สายกราวน์ VSF1x1.5 SQMM.สีเขียวเหลือง</v>
      </c>
      <c r="N461" s="14">
        <f>INSTOCK!$I461*INSTOCK!$K461</f>
        <v>1811.2</v>
      </c>
      <c r="O461" s="4"/>
      <c r="P461" s="4"/>
    </row>
    <row r="462" ht="15.75" hidden="1" customHeight="1">
      <c r="B462" s="8">
        <v>460.0</v>
      </c>
      <c r="C462" s="9">
        <v>43199.0</v>
      </c>
      <c r="D462" s="6" t="s">
        <v>15</v>
      </c>
      <c r="E462" s="4"/>
      <c r="F462" s="8"/>
      <c r="G462" s="4"/>
      <c r="H462" s="10" t="s">
        <v>479</v>
      </c>
      <c r="I462" s="10">
        <v>1700.0</v>
      </c>
      <c r="J462" s="11" t="str">
        <f>IF(D462&lt;&gt;"",VLOOKUP(H462,TABLEITEM,5,FALSE),"")</f>
        <v>M</v>
      </c>
      <c r="K462" s="12">
        <v>10.46</v>
      </c>
      <c r="L462" s="13" t="str">
        <f>IF(D462&lt;&gt;"",VLOOKUP(H462,TABLEITEM,2,FALSE),"")</f>
        <v>wire</v>
      </c>
      <c r="M462" s="13" t="str">
        <f>IF(D462&lt;&gt;"",VLOOKUP(H462,TABLEITEM,3,FALSE),"")</f>
        <v>สายไฟ VSF1x2.5 SQMM.สีเหลือง</v>
      </c>
      <c r="N462" s="14">
        <f>INSTOCK!$I462*INSTOCK!$K462</f>
        <v>17782</v>
      </c>
      <c r="O462" s="4"/>
      <c r="P462" s="4"/>
    </row>
    <row r="463" ht="15.75" hidden="1" customHeight="1">
      <c r="B463" s="8">
        <v>461.0</v>
      </c>
      <c r="C463" s="9">
        <v>43199.0</v>
      </c>
      <c r="D463" s="6" t="s">
        <v>15</v>
      </c>
      <c r="E463" s="4"/>
      <c r="F463" s="8"/>
      <c r="G463" s="4"/>
      <c r="H463" s="10" t="s">
        <v>480</v>
      </c>
      <c r="I463" s="10">
        <v>686.0</v>
      </c>
      <c r="J463" s="11" t="str">
        <f>IF(D463&lt;&gt;"",VLOOKUP(H463,TABLEITEM,5,FALSE),"")</f>
        <v>M</v>
      </c>
      <c r="K463" s="12">
        <v>10.46</v>
      </c>
      <c r="L463" s="13" t="str">
        <f>IF(D463&lt;&gt;"",VLOOKUP(H463,TABLEITEM,2,FALSE),"")</f>
        <v>wire</v>
      </c>
      <c r="M463" s="13" t="str">
        <f>IF(D463&lt;&gt;"",VLOOKUP(H463,TABLEITEM,3,FALSE),"")</f>
        <v>สายไฟ VSF1x2.5 SQMM.สีแดง</v>
      </c>
      <c r="N463" s="14">
        <f>INSTOCK!$I463*INSTOCK!$K463</f>
        <v>7175.56</v>
      </c>
      <c r="O463" s="4"/>
      <c r="P463" s="4"/>
    </row>
    <row r="464" ht="15.75" hidden="1" customHeight="1">
      <c r="B464" s="8">
        <v>462.0</v>
      </c>
      <c r="C464" s="9">
        <v>43199.0</v>
      </c>
      <c r="D464" s="6" t="s">
        <v>15</v>
      </c>
      <c r="E464" s="4"/>
      <c r="F464" s="8"/>
      <c r="G464" s="4"/>
      <c r="H464" s="10" t="s">
        <v>481</v>
      </c>
      <c r="I464" s="10">
        <v>1932.0</v>
      </c>
      <c r="J464" s="11" t="str">
        <f>IF(D464&lt;&gt;"",VLOOKUP(H464,TABLEITEM,5,FALSE),"")</f>
        <v>M</v>
      </c>
      <c r="K464" s="12">
        <v>10.46</v>
      </c>
      <c r="L464" s="13" t="str">
        <f>IF(D464&lt;&gt;"",VLOOKUP(H464,TABLEITEM,2,FALSE),"")</f>
        <v>wire</v>
      </c>
      <c r="M464" s="13" t="str">
        <f>IF(D464&lt;&gt;"",VLOOKUP(H464,TABLEITEM,3,FALSE),"")</f>
        <v>สายไฟ VSF1x2.5 SQMM.สีขาว</v>
      </c>
      <c r="N464" s="14">
        <f>INSTOCK!$I464*INSTOCK!$K464</f>
        <v>20208.72</v>
      </c>
      <c r="O464" s="4"/>
      <c r="P464" s="4"/>
    </row>
    <row r="465" ht="15.75" hidden="1" customHeight="1">
      <c r="B465" s="8">
        <v>463.0</v>
      </c>
      <c r="C465" s="9">
        <v>43199.0</v>
      </c>
      <c r="D465" s="6" t="s">
        <v>15</v>
      </c>
      <c r="E465" s="4"/>
      <c r="F465" s="8"/>
      <c r="G465" s="4"/>
      <c r="H465" s="10" t="s">
        <v>482</v>
      </c>
      <c r="I465" s="10">
        <v>151.0</v>
      </c>
      <c r="J465" s="11" t="str">
        <f>IF(D465&lt;&gt;"",VLOOKUP(H465,TABLEITEM,5,FALSE),"")</f>
        <v>M</v>
      </c>
      <c r="K465" s="12">
        <v>10.46</v>
      </c>
      <c r="L465" s="13" t="str">
        <f>IF(D465&lt;&gt;"",VLOOKUP(H465,TABLEITEM,2,FALSE),"")</f>
        <v>wire</v>
      </c>
      <c r="M465" s="13" t="str">
        <f>IF(D465&lt;&gt;"",VLOOKUP(H465,TABLEITEM,3,FALSE),"")</f>
        <v>สายไฟ VSF1x2.5 SQMM.สีดำ</v>
      </c>
      <c r="N465" s="14">
        <f>INSTOCK!$I465*INSTOCK!$K465</f>
        <v>1579.46</v>
      </c>
      <c r="O465" s="4"/>
      <c r="P465" s="4"/>
    </row>
    <row r="466" ht="15.75" hidden="1" customHeight="1">
      <c r="B466" s="8">
        <v>464.0</v>
      </c>
      <c r="C466" s="9">
        <v>43199.0</v>
      </c>
      <c r="D466" s="6" t="s">
        <v>15</v>
      </c>
      <c r="E466" s="4"/>
      <c r="F466" s="8"/>
      <c r="G466" s="4"/>
      <c r="H466" s="10" t="s">
        <v>483</v>
      </c>
      <c r="I466" s="10">
        <v>1172.0</v>
      </c>
      <c r="J466" s="11" t="str">
        <f>IF(D466&lt;&gt;"",VLOOKUP(H466,TABLEITEM,5,FALSE),"")</f>
        <v>M</v>
      </c>
      <c r="K466" s="12">
        <v>10.46</v>
      </c>
      <c r="L466" s="13" t="str">
        <f>IF(D466&lt;&gt;"",VLOOKUP(H466,TABLEITEM,2,FALSE),"")</f>
        <v>wire</v>
      </c>
      <c r="M466" s="13" t="str">
        <f>IF(D466&lt;&gt;"",VLOOKUP(H466,TABLEITEM,3,FALSE),"")</f>
        <v>สายไฟ VSF1x2.5 SQMM.สีเทา</v>
      </c>
      <c r="N466" s="14">
        <f>INSTOCK!$I466*INSTOCK!$K466</f>
        <v>12259.12</v>
      </c>
      <c r="O466" s="4"/>
      <c r="P466" s="4"/>
    </row>
    <row r="467" ht="15.75" hidden="1" customHeight="1">
      <c r="B467" s="8">
        <v>465.0</v>
      </c>
      <c r="C467" s="9">
        <v>43199.0</v>
      </c>
      <c r="D467" s="6" t="s">
        <v>15</v>
      </c>
      <c r="E467" s="4"/>
      <c r="F467" s="8"/>
      <c r="G467" s="4"/>
      <c r="H467" s="10" t="s">
        <v>484</v>
      </c>
      <c r="I467" s="10">
        <v>1502.0</v>
      </c>
      <c r="J467" s="11" t="str">
        <f>IF(D467&lt;&gt;"",VLOOKUP(H467,TABLEITEM,5,FALSE),"")</f>
        <v>M</v>
      </c>
      <c r="K467" s="12">
        <v>10.46</v>
      </c>
      <c r="L467" s="13" t="str">
        <f>IF(D467&lt;&gt;"",VLOOKUP(H467,TABLEITEM,2,FALSE),"")</f>
        <v>wire</v>
      </c>
      <c r="M467" s="13" t="str">
        <f>IF(D467&lt;&gt;"",VLOOKUP(H467,TABLEITEM,3,FALSE),"")</f>
        <v>สายไฟ VSF1x2.5 SQMM.สีน้ำเงิน</v>
      </c>
      <c r="N467" s="14">
        <f>INSTOCK!$I467*INSTOCK!$K467</f>
        <v>15710.92</v>
      </c>
      <c r="O467" s="4"/>
      <c r="P467" s="4"/>
    </row>
    <row r="468" ht="15.75" hidden="1" customHeight="1">
      <c r="B468" s="8">
        <v>466.0</v>
      </c>
      <c r="C468" s="9">
        <v>43199.0</v>
      </c>
      <c r="D468" s="6" t="s">
        <v>15</v>
      </c>
      <c r="E468" s="4"/>
      <c r="F468" s="8"/>
      <c r="G468" s="4"/>
      <c r="H468" s="10" t="s">
        <v>485</v>
      </c>
      <c r="I468" s="10">
        <v>1326.0</v>
      </c>
      <c r="J468" s="11" t="str">
        <f>IF(D468&lt;&gt;"",VLOOKUP(H468,TABLEITEM,5,FALSE),"")</f>
        <v>M</v>
      </c>
      <c r="K468" s="12">
        <v>10.46</v>
      </c>
      <c r="L468" s="13" t="str">
        <f>IF(D468&lt;&gt;"",VLOOKUP(H468,TABLEITEM,2,FALSE),"")</f>
        <v>wire</v>
      </c>
      <c r="M468" s="13" t="str">
        <f>IF(D468&lt;&gt;"",VLOOKUP(H468,TABLEITEM,3,FALSE),"")</f>
        <v>สายไฟ VSF1x2.5 SQMM.สีน้ำตาล</v>
      </c>
      <c r="N468" s="14">
        <f>INSTOCK!$I468*INSTOCK!$K468</f>
        <v>13869.96</v>
      </c>
      <c r="O468" s="4"/>
      <c r="P468" s="4"/>
    </row>
    <row r="469" ht="15.75" hidden="1" customHeight="1">
      <c r="B469" s="8">
        <v>467.0</v>
      </c>
      <c r="C469" s="9">
        <v>43199.0</v>
      </c>
      <c r="D469" s="6" t="s">
        <v>15</v>
      </c>
      <c r="E469" s="4"/>
      <c r="F469" s="8"/>
      <c r="G469" s="4"/>
      <c r="H469" s="10" t="s">
        <v>486</v>
      </c>
      <c r="I469" s="10">
        <v>195.0</v>
      </c>
      <c r="J469" s="11" t="str">
        <f>IF(D469&lt;&gt;"",VLOOKUP(H469,TABLEITEM,5,FALSE),"")</f>
        <v>M</v>
      </c>
      <c r="K469" s="12">
        <v>10.46</v>
      </c>
      <c r="L469" s="13" t="str">
        <f>IF(D469&lt;&gt;"",VLOOKUP(H469,TABLEITEM,2,FALSE),"")</f>
        <v>wire</v>
      </c>
      <c r="M469" s="13" t="str">
        <f>IF(D469&lt;&gt;"",VLOOKUP(H469,TABLEITEM,3,FALSE),"")</f>
        <v>สายกราวน์ VSF1x2.5 SQMM.สีเขียวเหลือง</v>
      </c>
      <c r="N469" s="14">
        <f>INSTOCK!$I469*INSTOCK!$K469</f>
        <v>2039.7</v>
      </c>
      <c r="O469" s="4"/>
      <c r="P469" s="4"/>
    </row>
    <row r="470" ht="15.75" hidden="1" customHeight="1">
      <c r="B470" s="8">
        <v>468.0</v>
      </c>
      <c r="C470" s="9">
        <v>43199.0</v>
      </c>
      <c r="D470" s="6" t="s">
        <v>15</v>
      </c>
      <c r="E470" s="4"/>
      <c r="F470" s="8"/>
      <c r="G470" s="4"/>
      <c r="H470" s="10" t="s">
        <v>487</v>
      </c>
      <c r="I470" s="10">
        <v>403.0</v>
      </c>
      <c r="J470" s="11" t="str">
        <f>IF(D470&lt;&gt;"",VLOOKUP(H470,TABLEITEM,5,FALSE),"")</f>
        <v>M</v>
      </c>
      <c r="K470" s="12">
        <v>15.47</v>
      </c>
      <c r="L470" s="13" t="str">
        <f>IF(D470&lt;&gt;"",VLOOKUP(H470,TABLEITEM,2,FALSE),"")</f>
        <v>wire</v>
      </c>
      <c r="M470" s="13" t="str">
        <f>IF(D470&lt;&gt;"",VLOOKUP(H470,TABLEITEM,3,FALSE),"")</f>
        <v>สายไฟ VSF1x4 SQMM.สีเหลือง</v>
      </c>
      <c r="N470" s="14">
        <f>INSTOCK!$I470*INSTOCK!$K470</f>
        <v>6234.41</v>
      </c>
      <c r="O470" s="4"/>
      <c r="P470" s="4"/>
    </row>
    <row r="471" ht="15.75" hidden="1" customHeight="1">
      <c r="B471" s="8">
        <v>469.0</v>
      </c>
      <c r="C471" s="9">
        <v>43199.0</v>
      </c>
      <c r="D471" s="6" t="s">
        <v>15</v>
      </c>
      <c r="E471" s="4"/>
      <c r="F471" s="8"/>
      <c r="G471" s="4"/>
      <c r="H471" s="10" t="s">
        <v>488</v>
      </c>
      <c r="I471" s="10">
        <v>216.0</v>
      </c>
      <c r="J471" s="11" t="str">
        <f>IF(D471&lt;&gt;"",VLOOKUP(H471,TABLEITEM,5,FALSE),"")</f>
        <v>M</v>
      </c>
      <c r="K471" s="12">
        <v>15.47</v>
      </c>
      <c r="L471" s="13" t="str">
        <f>IF(D471&lt;&gt;"",VLOOKUP(H471,TABLEITEM,2,FALSE),"")</f>
        <v>wire</v>
      </c>
      <c r="M471" s="13" t="str">
        <f>IF(D471&lt;&gt;"",VLOOKUP(H471,TABLEITEM,3,FALSE),"")</f>
        <v>สายไฟ VSF1x4 SQMM.สีแดง</v>
      </c>
      <c r="N471" s="14">
        <f>INSTOCK!$I471*INSTOCK!$K471</f>
        <v>3341.52</v>
      </c>
      <c r="O471" s="4"/>
      <c r="P471" s="4"/>
    </row>
    <row r="472" ht="15.75" hidden="1" customHeight="1">
      <c r="B472" s="8">
        <v>470.0</v>
      </c>
      <c r="C472" s="9">
        <v>43199.0</v>
      </c>
      <c r="D472" s="6" t="s">
        <v>15</v>
      </c>
      <c r="E472" s="4"/>
      <c r="F472" s="8"/>
      <c r="G472" s="4"/>
      <c r="H472" s="10" t="s">
        <v>489</v>
      </c>
      <c r="I472" s="10">
        <v>90.0</v>
      </c>
      <c r="J472" s="11" t="str">
        <f>IF(D472&lt;&gt;"",VLOOKUP(H472,TABLEITEM,5,FALSE),"")</f>
        <v>M</v>
      </c>
      <c r="K472" s="12">
        <v>15.47</v>
      </c>
      <c r="L472" s="13" t="str">
        <f>IF(D472&lt;&gt;"",VLOOKUP(H472,TABLEITEM,2,FALSE),"")</f>
        <v>wire</v>
      </c>
      <c r="M472" s="13" t="str">
        <f>IF(D472&lt;&gt;"",VLOOKUP(H472,TABLEITEM,3,FALSE),"")</f>
        <v>สายไฟ VSF1x4 SQMM.สีขาว</v>
      </c>
      <c r="N472" s="14">
        <f>INSTOCK!$I472*INSTOCK!$K472</f>
        <v>1392.3</v>
      </c>
      <c r="O472" s="4"/>
      <c r="P472" s="4"/>
    </row>
    <row r="473" ht="15.75" hidden="1" customHeight="1">
      <c r="B473" s="8">
        <v>471.0</v>
      </c>
      <c r="C473" s="9">
        <v>43199.0</v>
      </c>
      <c r="D473" s="6" t="s">
        <v>15</v>
      </c>
      <c r="E473" s="4"/>
      <c r="F473" s="8"/>
      <c r="G473" s="4"/>
      <c r="H473" s="10" t="s">
        <v>490</v>
      </c>
      <c r="I473" s="10">
        <v>656.0</v>
      </c>
      <c r="J473" s="11" t="str">
        <f>IF(D473&lt;&gt;"",VLOOKUP(H473,TABLEITEM,5,FALSE),"")</f>
        <v>M</v>
      </c>
      <c r="K473" s="12">
        <v>15.47</v>
      </c>
      <c r="L473" s="13" t="str">
        <f>IF(D473&lt;&gt;"",VLOOKUP(H473,TABLEITEM,2,FALSE),"")</f>
        <v>wire</v>
      </c>
      <c r="M473" s="13" t="str">
        <f>IF(D473&lt;&gt;"",VLOOKUP(H473,TABLEITEM,3,FALSE),"")</f>
        <v>สายไฟ VSF1x4 SQMM.สีดำ</v>
      </c>
      <c r="N473" s="14">
        <f>INSTOCK!$I473*INSTOCK!$K473</f>
        <v>10148.32</v>
      </c>
      <c r="O473" s="4"/>
      <c r="P473" s="4"/>
    </row>
    <row r="474" ht="15.75" hidden="1" customHeight="1">
      <c r="B474" s="8">
        <v>472.0</v>
      </c>
      <c r="C474" s="9">
        <v>43199.0</v>
      </c>
      <c r="D474" s="6" t="s">
        <v>15</v>
      </c>
      <c r="E474" s="4"/>
      <c r="F474" s="8"/>
      <c r="G474" s="4"/>
      <c r="H474" s="10" t="s">
        <v>491</v>
      </c>
      <c r="I474" s="10">
        <v>527.0</v>
      </c>
      <c r="J474" s="11" t="str">
        <f>IF(D474&lt;&gt;"",VLOOKUP(H474,TABLEITEM,5,FALSE),"")</f>
        <v>M</v>
      </c>
      <c r="K474" s="12">
        <v>15.47</v>
      </c>
      <c r="L474" s="13" t="str">
        <f>IF(D474&lt;&gt;"",VLOOKUP(H474,TABLEITEM,2,FALSE),"")</f>
        <v>wire</v>
      </c>
      <c r="M474" s="13" t="str">
        <f>IF(D474&lt;&gt;"",VLOOKUP(H474,TABLEITEM,3,FALSE),"")</f>
        <v>สายไฟ VSF1x4 SQMM.สีน้ำเงิน</v>
      </c>
      <c r="N474" s="14">
        <f>INSTOCK!$I474*INSTOCK!$K474</f>
        <v>8152.69</v>
      </c>
      <c r="O474" s="4"/>
      <c r="P474" s="4"/>
    </row>
    <row r="475" ht="15.75" hidden="1" customHeight="1">
      <c r="B475" s="8">
        <v>473.0</v>
      </c>
      <c r="C475" s="9">
        <v>43199.0</v>
      </c>
      <c r="D475" s="6" t="s">
        <v>15</v>
      </c>
      <c r="E475" s="4"/>
      <c r="F475" s="8"/>
      <c r="G475" s="4"/>
      <c r="H475" s="10" t="s">
        <v>492</v>
      </c>
      <c r="I475" s="10">
        <v>190.0</v>
      </c>
      <c r="J475" s="11" t="str">
        <f>IF(D475&lt;&gt;"",VLOOKUP(H475,TABLEITEM,5,FALSE),"")</f>
        <v>M</v>
      </c>
      <c r="K475" s="12">
        <v>15.47</v>
      </c>
      <c r="L475" s="13" t="str">
        <f>IF(D475&lt;&gt;"",VLOOKUP(H475,TABLEITEM,2,FALSE),"")</f>
        <v>wire</v>
      </c>
      <c r="M475" s="13" t="str">
        <f>IF(D475&lt;&gt;"",VLOOKUP(H475,TABLEITEM,3,FALSE),"")</f>
        <v>สายไฟ VSF1x4 SQMM.สีเขียว</v>
      </c>
      <c r="N475" s="14">
        <f>INSTOCK!$I475*INSTOCK!$K475</f>
        <v>2939.3</v>
      </c>
      <c r="O475" s="4"/>
      <c r="P475" s="4"/>
    </row>
    <row r="476" ht="15.75" hidden="1" customHeight="1">
      <c r="B476" s="8">
        <v>474.0</v>
      </c>
      <c r="C476" s="9">
        <v>43199.0</v>
      </c>
      <c r="D476" s="6" t="s">
        <v>15</v>
      </c>
      <c r="E476" s="4"/>
      <c r="F476" s="8"/>
      <c r="G476" s="4"/>
      <c r="H476" s="10" t="s">
        <v>493</v>
      </c>
      <c r="I476" s="10">
        <v>449.0</v>
      </c>
      <c r="J476" s="11" t="str">
        <f>IF(D476&lt;&gt;"",VLOOKUP(H476,TABLEITEM,5,FALSE),"")</f>
        <v>M</v>
      </c>
      <c r="K476" s="12">
        <v>15.47</v>
      </c>
      <c r="L476" s="13" t="str">
        <f>IF(D476&lt;&gt;"",VLOOKUP(H476,TABLEITEM,2,FALSE),"")</f>
        <v>wire</v>
      </c>
      <c r="M476" s="13" t="str">
        <f>IF(D476&lt;&gt;"",VLOOKUP(H476,TABLEITEM,3,FALSE),"")</f>
        <v>สายไฟ VSF1x4 SQMM.สีเทา</v>
      </c>
      <c r="N476" s="14">
        <f>INSTOCK!$I476*INSTOCK!$K476</f>
        <v>6946.03</v>
      </c>
      <c r="O476" s="4"/>
      <c r="P476" s="4"/>
    </row>
    <row r="477" ht="15.75" hidden="1" customHeight="1">
      <c r="B477" s="8">
        <v>475.0</v>
      </c>
      <c r="C477" s="9">
        <v>43199.0</v>
      </c>
      <c r="D477" s="6" t="s">
        <v>15</v>
      </c>
      <c r="E477" s="4"/>
      <c r="F477" s="8"/>
      <c r="G477" s="4"/>
      <c r="H477" s="10" t="s">
        <v>494</v>
      </c>
      <c r="I477" s="10">
        <v>348.0</v>
      </c>
      <c r="J477" s="11" t="str">
        <f>IF(D477&lt;&gt;"",VLOOKUP(H477,TABLEITEM,5,FALSE),"")</f>
        <v>M</v>
      </c>
      <c r="K477" s="12">
        <v>15.47</v>
      </c>
      <c r="L477" s="13" t="str">
        <f>IF(D477&lt;&gt;"",VLOOKUP(H477,TABLEITEM,2,FALSE),"")</f>
        <v>wire</v>
      </c>
      <c r="M477" s="13" t="str">
        <f>IF(D477&lt;&gt;"",VLOOKUP(H477,TABLEITEM,3,FALSE),"")</f>
        <v>สายไฟ VSF1x4 SQMM.สีน้ำตาล</v>
      </c>
      <c r="N477" s="14">
        <f>INSTOCK!$I477*INSTOCK!$K477</f>
        <v>5383.56</v>
      </c>
      <c r="O477" s="4"/>
      <c r="P477" s="4"/>
    </row>
    <row r="478" ht="15.75" hidden="1" customHeight="1">
      <c r="B478" s="8">
        <v>476.0</v>
      </c>
      <c r="C478" s="9">
        <v>43199.0</v>
      </c>
      <c r="D478" s="6" t="s">
        <v>15</v>
      </c>
      <c r="E478" s="4"/>
      <c r="F478" s="8"/>
      <c r="G478" s="4"/>
      <c r="H478" s="10" t="s">
        <v>495</v>
      </c>
      <c r="I478" s="10">
        <v>560.0</v>
      </c>
      <c r="J478" s="11" t="str">
        <f>IF(D478&lt;&gt;"",VLOOKUP(H478,TABLEITEM,5,FALSE),"")</f>
        <v>M</v>
      </c>
      <c r="K478" s="12">
        <v>15.47</v>
      </c>
      <c r="L478" s="13" t="str">
        <f>IF(D478&lt;&gt;"",VLOOKUP(H478,TABLEITEM,2,FALSE),"")</f>
        <v>wire</v>
      </c>
      <c r="M478" s="13" t="str">
        <f>IF(D478&lt;&gt;"",VLOOKUP(H478,TABLEITEM,3,FALSE),"")</f>
        <v>สายกราวน์ VSF1x4 SQMM.สีเขียวเหลือง</v>
      </c>
      <c r="N478" s="14">
        <f>INSTOCK!$I478*INSTOCK!$K478</f>
        <v>8663.2</v>
      </c>
      <c r="O478" s="4"/>
      <c r="P478" s="4"/>
    </row>
    <row r="479" ht="15.75" hidden="1" customHeight="1">
      <c r="B479" s="8">
        <v>477.0</v>
      </c>
      <c r="C479" s="9">
        <v>43199.0</v>
      </c>
      <c r="D479" s="6" t="s">
        <v>15</v>
      </c>
      <c r="E479" s="4"/>
      <c r="F479" s="8"/>
      <c r="G479" s="4"/>
      <c r="H479" s="10" t="s">
        <v>496</v>
      </c>
      <c r="I479" s="10">
        <v>531.0</v>
      </c>
      <c r="J479" s="11" t="str">
        <f>IF(D479&lt;&gt;"",VLOOKUP(H479,TABLEITEM,5,FALSE),"")</f>
        <v>M</v>
      </c>
      <c r="K479" s="12">
        <v>25.93</v>
      </c>
      <c r="L479" s="13" t="str">
        <f>IF(D479&lt;&gt;"",VLOOKUP(H479,TABLEITEM,2,FALSE),"")</f>
        <v>wire</v>
      </c>
      <c r="M479" s="13" t="str">
        <f>IF(D479&lt;&gt;"",VLOOKUP(H479,TABLEITEM,3,FALSE),"")</f>
        <v>สายไฟ VSF1x6 SQMM.สีดำ</v>
      </c>
      <c r="N479" s="14">
        <f>INSTOCK!$I479*INSTOCK!$K479</f>
        <v>13768.83</v>
      </c>
      <c r="O479" s="4"/>
      <c r="P479" s="4"/>
    </row>
    <row r="480" ht="15.75" hidden="1" customHeight="1">
      <c r="B480" s="8">
        <v>478.0</v>
      </c>
      <c r="C480" s="9">
        <v>43199.0</v>
      </c>
      <c r="D480" s="6" t="s">
        <v>15</v>
      </c>
      <c r="E480" s="4"/>
      <c r="F480" s="8"/>
      <c r="G480" s="4"/>
      <c r="H480" s="10" t="s">
        <v>497</v>
      </c>
      <c r="I480" s="10">
        <v>218.0</v>
      </c>
      <c r="J480" s="11" t="str">
        <f>IF(D480&lt;&gt;"",VLOOKUP(H480,TABLEITEM,5,FALSE),"")</f>
        <v>M</v>
      </c>
      <c r="K480" s="12">
        <v>25.93</v>
      </c>
      <c r="L480" s="13" t="str">
        <f>IF(D480&lt;&gt;"",VLOOKUP(H480,TABLEITEM,2,FALSE),"")</f>
        <v>wire</v>
      </c>
      <c r="M480" s="13" t="str">
        <f>IF(D480&lt;&gt;"",VLOOKUP(H480,TABLEITEM,3,FALSE),"")</f>
        <v>สายไฟ VSF1x6 SQMM.สีแดง</v>
      </c>
      <c r="N480" s="14">
        <f>INSTOCK!$I480*INSTOCK!$K480</f>
        <v>5652.74</v>
      </c>
      <c r="O480" s="4"/>
      <c r="P480" s="4"/>
    </row>
    <row r="481" ht="15.75" hidden="1" customHeight="1">
      <c r="B481" s="8">
        <v>479.0</v>
      </c>
      <c r="C481" s="9">
        <v>43199.0</v>
      </c>
      <c r="D481" s="6" t="s">
        <v>15</v>
      </c>
      <c r="E481" s="4"/>
      <c r="F481" s="8"/>
      <c r="G481" s="4"/>
      <c r="H481" s="10" t="s">
        <v>498</v>
      </c>
      <c r="I481" s="10">
        <v>66.0</v>
      </c>
      <c r="J481" s="11" t="str">
        <f>IF(D481&lt;&gt;"",VLOOKUP(H481,TABLEITEM,5,FALSE),"")</f>
        <v>M</v>
      </c>
      <c r="K481" s="12">
        <v>25.93</v>
      </c>
      <c r="L481" s="13" t="str">
        <f>IF(D481&lt;&gt;"",VLOOKUP(H481,TABLEITEM,2,FALSE),"")</f>
        <v>wire</v>
      </c>
      <c r="M481" s="13" t="str">
        <f>IF(D481&lt;&gt;"",VLOOKUP(H481,TABLEITEM,3,FALSE),"")</f>
        <v>สายไฟ VSF1x6 SQMM.สีเหลือง</v>
      </c>
      <c r="N481" s="14">
        <f>INSTOCK!$I481*INSTOCK!$K481</f>
        <v>1711.38</v>
      </c>
      <c r="O481" s="4"/>
      <c r="P481" s="4"/>
    </row>
    <row r="482" ht="15.75" hidden="1" customHeight="1">
      <c r="B482" s="8">
        <v>480.0</v>
      </c>
      <c r="C482" s="9">
        <v>43199.0</v>
      </c>
      <c r="D482" s="6" t="s">
        <v>15</v>
      </c>
      <c r="E482" s="4"/>
      <c r="F482" s="8"/>
      <c r="G482" s="4"/>
      <c r="H482" s="10" t="s">
        <v>499</v>
      </c>
      <c r="I482" s="10">
        <v>156.0</v>
      </c>
      <c r="J482" s="11" t="str">
        <f>IF(D482&lt;&gt;"",VLOOKUP(H482,TABLEITEM,5,FALSE),"")</f>
        <v>M</v>
      </c>
      <c r="K482" s="12">
        <v>25.93</v>
      </c>
      <c r="L482" s="13" t="str">
        <f>IF(D482&lt;&gt;"",VLOOKUP(H482,TABLEITEM,2,FALSE),"")</f>
        <v>wire</v>
      </c>
      <c r="M482" s="13" t="str">
        <f>IF(D482&lt;&gt;"",VLOOKUP(H482,TABLEITEM,3,FALSE),"")</f>
        <v>สายไฟ VSF1x6 SQMM.สีน้ำเงิน</v>
      </c>
      <c r="N482" s="14">
        <f>INSTOCK!$I482*INSTOCK!$K482</f>
        <v>4045.08</v>
      </c>
      <c r="O482" s="4"/>
      <c r="P482" s="4"/>
    </row>
    <row r="483" ht="15.75" hidden="1" customHeight="1">
      <c r="B483" s="8">
        <v>481.0</v>
      </c>
      <c r="C483" s="9">
        <v>43199.0</v>
      </c>
      <c r="D483" s="6" t="s">
        <v>15</v>
      </c>
      <c r="E483" s="4"/>
      <c r="F483" s="8"/>
      <c r="G483" s="4"/>
      <c r="H483" s="10" t="s">
        <v>500</v>
      </c>
      <c r="I483" s="10">
        <v>293.0</v>
      </c>
      <c r="J483" s="11" t="str">
        <f>IF(D483&lt;&gt;"",VLOOKUP(H483,TABLEITEM,5,FALSE),"")</f>
        <v>M</v>
      </c>
      <c r="K483" s="12">
        <v>25.93</v>
      </c>
      <c r="L483" s="13" t="str">
        <f>IF(D483&lt;&gt;"",VLOOKUP(H483,TABLEITEM,2,FALSE),"")</f>
        <v>wire</v>
      </c>
      <c r="M483" s="13" t="str">
        <f>IF(D483&lt;&gt;"",VLOOKUP(H483,TABLEITEM,3,FALSE),"")</f>
        <v>สายไฟ VSF1x6 SQMM.สีเขียว</v>
      </c>
      <c r="N483" s="14">
        <f>INSTOCK!$I483*INSTOCK!$K483</f>
        <v>7597.49</v>
      </c>
      <c r="O483" s="4"/>
      <c r="P483" s="4"/>
    </row>
    <row r="484" ht="15.75" hidden="1" customHeight="1">
      <c r="B484" s="8">
        <v>482.0</v>
      </c>
      <c r="C484" s="9">
        <v>43199.0</v>
      </c>
      <c r="D484" s="6" t="s">
        <v>15</v>
      </c>
      <c r="E484" s="4"/>
      <c r="F484" s="8"/>
      <c r="G484" s="4"/>
      <c r="H484" s="10" t="s">
        <v>501</v>
      </c>
      <c r="I484" s="10">
        <v>462.0</v>
      </c>
      <c r="J484" s="11" t="str">
        <f>IF(D484&lt;&gt;"",VLOOKUP(H484,TABLEITEM,5,FALSE),"")</f>
        <v>M</v>
      </c>
      <c r="K484" s="12">
        <v>25.93</v>
      </c>
      <c r="L484" s="13" t="str">
        <f>IF(D484&lt;&gt;"",VLOOKUP(H484,TABLEITEM,2,FALSE),"")</f>
        <v>wire</v>
      </c>
      <c r="M484" s="13" t="str">
        <f>IF(D484&lt;&gt;"",VLOOKUP(H484,TABLEITEM,3,FALSE),"")</f>
        <v>สายไฟ VSF1x6 SQMM.สีเทา</v>
      </c>
      <c r="N484" s="14">
        <f>INSTOCK!$I484*INSTOCK!$K484</f>
        <v>11979.66</v>
      </c>
      <c r="O484" s="4"/>
      <c r="P484" s="4"/>
    </row>
    <row r="485" ht="15.75" hidden="1" customHeight="1">
      <c r="B485" s="8">
        <v>483.0</v>
      </c>
      <c r="C485" s="9">
        <v>43199.0</v>
      </c>
      <c r="D485" s="6" t="s">
        <v>15</v>
      </c>
      <c r="E485" s="4"/>
      <c r="F485" s="8"/>
      <c r="G485" s="4"/>
      <c r="H485" s="10" t="s">
        <v>502</v>
      </c>
      <c r="I485" s="10">
        <v>200.0</v>
      </c>
      <c r="J485" s="11" t="str">
        <f>IF(D485&lt;&gt;"",VLOOKUP(H485,TABLEITEM,5,FALSE),"")</f>
        <v>M</v>
      </c>
      <c r="K485" s="12">
        <v>25.93</v>
      </c>
      <c r="L485" s="13" t="str">
        <f>IF(D485&lt;&gt;"",VLOOKUP(H485,TABLEITEM,2,FALSE),"")</f>
        <v>wire</v>
      </c>
      <c r="M485" s="13" t="str">
        <f>IF(D485&lt;&gt;"",VLOOKUP(H485,TABLEITEM,3,FALSE),"")</f>
        <v>สายไฟ VSF1x6 SQMM.สีขาว</v>
      </c>
      <c r="N485" s="14">
        <f>INSTOCK!$I485*INSTOCK!$K485</f>
        <v>5186</v>
      </c>
      <c r="O485" s="4"/>
      <c r="P485" s="4"/>
    </row>
    <row r="486" ht="15.75" hidden="1" customHeight="1">
      <c r="B486" s="8">
        <v>484.0</v>
      </c>
      <c r="C486" s="9">
        <v>43199.0</v>
      </c>
      <c r="D486" s="6" t="s">
        <v>15</v>
      </c>
      <c r="E486" s="4"/>
      <c r="F486" s="8"/>
      <c r="G486" s="4"/>
      <c r="H486" s="10" t="s">
        <v>503</v>
      </c>
      <c r="I486" s="10">
        <v>263.0</v>
      </c>
      <c r="J486" s="11" t="str">
        <f>IF(D486&lt;&gt;"",VLOOKUP(H486,TABLEITEM,5,FALSE),"")</f>
        <v>M</v>
      </c>
      <c r="K486" s="12">
        <v>25.93</v>
      </c>
      <c r="L486" s="13" t="str">
        <f>IF(D486&lt;&gt;"",VLOOKUP(H486,TABLEITEM,2,FALSE),"")</f>
        <v>wire</v>
      </c>
      <c r="M486" s="13" t="str">
        <f>IF(D486&lt;&gt;"",VLOOKUP(H486,TABLEITEM,3,FALSE),"")</f>
        <v>สายไฟ VSF1x10 SQMM.สีดำ</v>
      </c>
      <c r="N486" s="14">
        <f>INSTOCK!$I486*INSTOCK!$K486</f>
        <v>6819.59</v>
      </c>
      <c r="O486" s="4"/>
      <c r="P486" s="4"/>
    </row>
    <row r="487" ht="15.75" hidden="1" customHeight="1">
      <c r="B487" s="8">
        <v>485.0</v>
      </c>
      <c r="C487" s="9">
        <v>43199.0</v>
      </c>
      <c r="D487" s="6" t="s">
        <v>15</v>
      </c>
      <c r="E487" s="4"/>
      <c r="F487" s="8"/>
      <c r="G487" s="4"/>
      <c r="H487" s="10" t="s">
        <v>504</v>
      </c>
      <c r="I487" s="10">
        <v>200.0</v>
      </c>
      <c r="J487" s="11" t="str">
        <f>IF(D487&lt;&gt;"",VLOOKUP(H487,TABLEITEM,5,FALSE),"")</f>
        <v>M</v>
      </c>
      <c r="K487" s="12">
        <v>25.93</v>
      </c>
      <c r="L487" s="13" t="str">
        <f>IF(D487&lt;&gt;"",VLOOKUP(H487,TABLEITEM,2,FALSE),"")</f>
        <v>wire</v>
      </c>
      <c r="M487" s="13" t="str">
        <f>IF(D487&lt;&gt;"",VLOOKUP(H487,TABLEITEM,3,FALSE),"")</f>
        <v>สายกราวน์ VSF1x10 SQMM.สีเขียวเหลือง</v>
      </c>
      <c r="N487" s="14">
        <f>INSTOCK!$I487*INSTOCK!$K487</f>
        <v>5186</v>
      </c>
      <c r="O487" s="4"/>
      <c r="P487" s="4"/>
    </row>
    <row r="488" ht="15.75" hidden="1" customHeight="1">
      <c r="B488" s="8">
        <v>486.0</v>
      </c>
      <c r="C488" s="9">
        <v>43199.0</v>
      </c>
      <c r="D488" s="6" t="s">
        <v>15</v>
      </c>
      <c r="E488" s="4"/>
      <c r="F488" s="8"/>
      <c r="G488" s="4"/>
      <c r="H488" s="10" t="s">
        <v>505</v>
      </c>
      <c r="I488" s="10">
        <v>176.0</v>
      </c>
      <c r="J488" s="11" t="str">
        <f>IF(D488&lt;&gt;"",VLOOKUP(H488,TABLEITEM,5,FALSE),"")</f>
        <v>M</v>
      </c>
      <c r="K488" s="12">
        <v>59.69</v>
      </c>
      <c r="L488" s="13" t="str">
        <f>IF(D488&lt;&gt;"",VLOOKUP(H488,TABLEITEM,2,FALSE),"")</f>
        <v>wire</v>
      </c>
      <c r="M488" s="13" t="str">
        <f>IF(D488&lt;&gt;"",VLOOKUP(H488,TABLEITEM,3,FALSE),"")</f>
        <v>สายไฟ VSF1x10 SQMM.สีเขียว</v>
      </c>
      <c r="N488" s="14">
        <f>INSTOCK!$I488*INSTOCK!$K488</f>
        <v>10505.44</v>
      </c>
      <c r="O488" s="4"/>
      <c r="P488" s="4"/>
    </row>
    <row r="489" ht="15.75" hidden="1" customHeight="1">
      <c r="B489" s="8">
        <v>487.0</v>
      </c>
      <c r="C489" s="9">
        <v>43199.0</v>
      </c>
      <c r="D489" s="6" t="s">
        <v>15</v>
      </c>
      <c r="E489" s="4"/>
      <c r="F489" s="8"/>
      <c r="G489" s="4"/>
      <c r="H489" s="10" t="s">
        <v>506</v>
      </c>
      <c r="I489" s="10">
        <v>233.0</v>
      </c>
      <c r="J489" s="11" t="str">
        <f>IF(D489&lt;&gt;"",VLOOKUP(H489,TABLEITEM,5,FALSE),"")</f>
        <v>M</v>
      </c>
      <c r="K489" s="12">
        <v>76.5</v>
      </c>
      <c r="L489" s="13" t="str">
        <f>IF(D489&lt;&gt;"",VLOOKUP(H489,TABLEITEM,2,FALSE),"")</f>
        <v>wire</v>
      </c>
      <c r="M489" s="13" t="str">
        <f>IF(D489&lt;&gt;"",VLOOKUP(H489,TABLEITEM,3,FALSE),"")</f>
        <v>สายไฟ VSF1x16 SQMM.สีดำ</v>
      </c>
      <c r="N489" s="14">
        <f>INSTOCK!$I489*INSTOCK!$K489</f>
        <v>17824.5</v>
      </c>
      <c r="O489" s="4"/>
      <c r="P489" s="4"/>
    </row>
    <row r="490" ht="15.75" hidden="1" customHeight="1">
      <c r="B490" s="8">
        <v>488.0</v>
      </c>
      <c r="C490" s="9">
        <v>43199.0</v>
      </c>
      <c r="D490" s="6" t="s">
        <v>15</v>
      </c>
      <c r="E490" s="4"/>
      <c r="F490" s="8"/>
      <c r="G490" s="4"/>
      <c r="H490" s="10" t="s">
        <v>507</v>
      </c>
      <c r="I490" s="10">
        <v>86.0</v>
      </c>
      <c r="J490" s="11" t="str">
        <f>IF(D490&lt;&gt;"",VLOOKUP(H490,TABLEITEM,5,FALSE),"")</f>
        <v>M</v>
      </c>
      <c r="K490" s="12">
        <v>85.69</v>
      </c>
      <c r="L490" s="13" t="str">
        <f>IF(D490&lt;&gt;"",VLOOKUP(H490,TABLEITEM,2,FALSE),"")</f>
        <v>wire</v>
      </c>
      <c r="M490" s="13" t="str">
        <f>IF(D490&lt;&gt;"",VLOOKUP(H490,TABLEITEM,3,FALSE),"")</f>
        <v>สายไฟ VSF1x16 SQMM.สีเขียว</v>
      </c>
      <c r="N490" s="14">
        <f>INSTOCK!$I490*INSTOCK!$K490</f>
        <v>7369.34</v>
      </c>
      <c r="O490" s="4"/>
      <c r="P490" s="4"/>
    </row>
    <row r="491" ht="15.75" hidden="1" customHeight="1">
      <c r="B491" s="8">
        <v>489.0</v>
      </c>
      <c r="C491" s="9">
        <v>43199.0</v>
      </c>
      <c r="D491" s="6" t="s">
        <v>15</v>
      </c>
      <c r="E491" s="4"/>
      <c r="F491" s="8"/>
      <c r="G491" s="4"/>
      <c r="H491" s="10" t="s">
        <v>508</v>
      </c>
      <c r="I491" s="10">
        <v>33.0</v>
      </c>
      <c r="J491" s="11" t="str">
        <f>IF(D491&lt;&gt;"",VLOOKUP(H491,TABLEITEM,5,FALSE),"")</f>
        <v>M</v>
      </c>
      <c r="K491" s="12">
        <v>93.5</v>
      </c>
      <c r="L491" s="13" t="str">
        <f>IF(D491&lt;&gt;"",VLOOKUP(H491,TABLEITEM,2,FALSE),"")</f>
        <v>wire</v>
      </c>
      <c r="M491" s="13" t="str">
        <f>IF(D491&lt;&gt;"",VLOOKUP(H491,TABLEITEM,3,FALSE),"")</f>
        <v>สายไฟ VSF1x25 SQMM.สีดำ</v>
      </c>
      <c r="N491" s="14">
        <f>INSTOCK!$I491*INSTOCK!$K491</f>
        <v>3085.5</v>
      </c>
      <c r="O491" s="4"/>
      <c r="P491" s="4"/>
    </row>
    <row r="492" ht="15.75" hidden="1" customHeight="1">
      <c r="B492" s="8">
        <v>490.0</v>
      </c>
      <c r="C492" s="9">
        <v>43199.0</v>
      </c>
      <c r="D492" s="6" t="s">
        <v>15</v>
      </c>
      <c r="E492" s="4"/>
      <c r="F492" s="8"/>
      <c r="G492" s="4"/>
      <c r="H492" s="10" t="s">
        <v>509</v>
      </c>
      <c r="I492" s="10">
        <v>148.0</v>
      </c>
      <c r="J492" s="11" t="str">
        <f>IF(D492&lt;&gt;"",VLOOKUP(H492,TABLEITEM,5,FALSE),"")</f>
        <v>M</v>
      </c>
      <c r="K492" s="12">
        <v>150.0</v>
      </c>
      <c r="L492" s="13" t="str">
        <f>IF(D492&lt;&gt;"",VLOOKUP(H492,TABLEITEM,2,FALSE),"")</f>
        <v>wire</v>
      </c>
      <c r="M492" s="13" t="str">
        <f>IF(D492&lt;&gt;"",VLOOKUP(H492,TABLEITEM,3,FALSE),"")</f>
        <v>สายไฟ VSF1x35 SQMM.สีดำ</v>
      </c>
      <c r="N492" s="14">
        <f>INSTOCK!$I492*INSTOCK!$K492</f>
        <v>22200</v>
      </c>
      <c r="O492" s="4"/>
      <c r="P492" s="4"/>
    </row>
    <row r="493" ht="15.75" hidden="1" customHeight="1">
      <c r="B493" s="8">
        <v>491.0</v>
      </c>
      <c r="C493" s="9">
        <v>43199.0</v>
      </c>
      <c r="D493" s="6" t="s">
        <v>15</v>
      </c>
      <c r="E493" s="4"/>
      <c r="F493" s="8"/>
      <c r="G493" s="4"/>
      <c r="H493" s="10" t="s">
        <v>510</v>
      </c>
      <c r="I493" s="10">
        <v>46.0</v>
      </c>
      <c r="J493" s="11" t="str">
        <f>IF(D493&lt;&gt;"",VLOOKUP(H493,TABLEITEM,5,FALSE),"")</f>
        <v>M</v>
      </c>
      <c r="K493" s="12">
        <v>20.9</v>
      </c>
      <c r="L493" s="13" t="str">
        <f>IF(D493&lt;&gt;"",VLOOKUP(H493,TABLEITEM,2,FALSE),"")</f>
        <v>wire</v>
      </c>
      <c r="M493" s="13" t="str">
        <f>IF(D493&lt;&gt;"",VLOOKUP(H493,TABLEITEM,3,FALSE),"")</f>
        <v>สายLIYCY 3x0.34 สีเทา</v>
      </c>
      <c r="N493" s="14">
        <f>INSTOCK!$I493*INSTOCK!$K493</f>
        <v>961.4</v>
      </c>
      <c r="O493" s="4"/>
      <c r="P493" s="4"/>
    </row>
    <row r="494" ht="15.75" hidden="1" customHeight="1">
      <c r="B494" s="8">
        <v>492.0</v>
      </c>
      <c r="C494" s="9">
        <v>43199.0</v>
      </c>
      <c r="D494" s="6" t="s">
        <v>15</v>
      </c>
      <c r="E494" s="4"/>
      <c r="F494" s="8"/>
      <c r="G494" s="4"/>
      <c r="H494" s="10" t="s">
        <v>511</v>
      </c>
      <c r="I494" s="10">
        <v>326.0</v>
      </c>
      <c r="J494" s="11" t="str">
        <f>IF(D494&lt;&gt;"",VLOOKUP(H494,TABLEITEM,5,FALSE),"")</f>
        <v>M</v>
      </c>
      <c r="K494" s="12">
        <v>30.0</v>
      </c>
      <c r="L494" s="13" t="str">
        <f>IF(D494&lt;&gt;"",VLOOKUP(H494,TABLEITEM,2,FALSE),"")</f>
        <v>wire</v>
      </c>
      <c r="M494" s="13" t="str">
        <f>IF(D494&lt;&gt;"",VLOOKUP(H494,TABLEITEM,3,FALSE),"")</f>
        <v>สายTHW ขนาด 1x6 SQMM.สีดำ</v>
      </c>
      <c r="N494" s="14">
        <f>INSTOCK!$I494*INSTOCK!$K494</f>
        <v>9780</v>
      </c>
      <c r="O494" s="4"/>
      <c r="P494" s="4"/>
    </row>
    <row r="495" ht="15.75" hidden="1" customHeight="1">
      <c r="B495" s="8">
        <v>493.0</v>
      </c>
      <c r="C495" s="9">
        <v>43199.0</v>
      </c>
      <c r="D495" s="6" t="s">
        <v>15</v>
      </c>
      <c r="E495" s="4"/>
      <c r="F495" s="8"/>
      <c r="G495" s="4"/>
      <c r="H495" s="10" t="s">
        <v>512</v>
      </c>
      <c r="I495" s="10">
        <v>277.0</v>
      </c>
      <c r="J495" s="11" t="str">
        <f>IF(D495&lt;&gt;"",VLOOKUP(H495,TABLEITEM,5,FALSE),"")</f>
        <v>M</v>
      </c>
      <c r="K495" s="12">
        <v>49.3</v>
      </c>
      <c r="L495" s="13" t="str">
        <f>IF(D495&lt;&gt;"",VLOOKUP(H495,TABLEITEM,2,FALSE),"")</f>
        <v>wire</v>
      </c>
      <c r="M495" s="13" t="str">
        <f>IF(D495&lt;&gt;"",VLOOKUP(H495,TABLEITEM,3,FALSE),"")</f>
        <v>สายTHW ขนาด 1x10 SQMM.สีดำ</v>
      </c>
      <c r="N495" s="14">
        <f>INSTOCK!$I495*INSTOCK!$K495</f>
        <v>13656.1</v>
      </c>
      <c r="O495" s="4"/>
      <c r="P495" s="4"/>
    </row>
    <row r="496" ht="15.75" hidden="1" customHeight="1">
      <c r="B496" s="8">
        <v>494.0</v>
      </c>
      <c r="C496" s="9">
        <v>43199.0</v>
      </c>
      <c r="D496" s="6" t="s">
        <v>15</v>
      </c>
      <c r="E496" s="4"/>
      <c r="F496" s="8"/>
      <c r="G496" s="4"/>
      <c r="H496" s="10" t="s">
        <v>513</v>
      </c>
      <c r="I496" s="10">
        <v>235.0</v>
      </c>
      <c r="J496" s="11" t="str">
        <f>IF(D496&lt;&gt;"",VLOOKUP(H496,TABLEITEM,5,FALSE),"")</f>
        <v>M</v>
      </c>
      <c r="K496" s="12">
        <v>76.5</v>
      </c>
      <c r="L496" s="13" t="str">
        <f>IF(D496&lt;&gt;"",VLOOKUP(H496,TABLEITEM,2,FALSE),"")</f>
        <v>wire</v>
      </c>
      <c r="M496" s="13" t="str">
        <f>IF(D496&lt;&gt;"",VLOOKUP(H496,TABLEITEM,3,FALSE),"")</f>
        <v>สายTHW ขนาด 1x16 SQMM.สีดำ</v>
      </c>
      <c r="N496" s="14">
        <f>INSTOCK!$I496*INSTOCK!$K496</f>
        <v>17977.5</v>
      </c>
      <c r="O496" s="4"/>
      <c r="P496" s="4"/>
    </row>
    <row r="497" ht="15.75" hidden="1" customHeight="1">
      <c r="B497" s="8">
        <v>495.0</v>
      </c>
      <c r="C497" s="9">
        <v>43199.0</v>
      </c>
      <c r="D497" s="6" t="s">
        <v>15</v>
      </c>
      <c r="E497" s="4"/>
      <c r="F497" s="8"/>
      <c r="G497" s="4"/>
      <c r="H497" s="10" t="s">
        <v>514</v>
      </c>
      <c r="I497" s="10">
        <v>218.0</v>
      </c>
      <c r="J497" s="11" t="str">
        <f>IF(D497&lt;&gt;"",VLOOKUP(H497,TABLEITEM,5,FALSE),"")</f>
        <v>M</v>
      </c>
      <c r="K497" s="12">
        <v>120.0</v>
      </c>
      <c r="L497" s="13" t="str">
        <f>IF(D497&lt;&gt;"",VLOOKUP(H497,TABLEITEM,2,FALSE),"")</f>
        <v>wire</v>
      </c>
      <c r="M497" s="13" t="str">
        <f>IF(D497&lt;&gt;"",VLOOKUP(H497,TABLEITEM,3,FALSE),"")</f>
        <v>สายTHW ขนาด 1x25 SQMM.สีดำ</v>
      </c>
      <c r="N497" s="14">
        <f>INSTOCK!$I497*INSTOCK!$K497</f>
        <v>26160</v>
      </c>
      <c r="O497" s="4"/>
      <c r="P497" s="4"/>
    </row>
    <row r="498" ht="15.75" hidden="1" customHeight="1">
      <c r="B498" s="8">
        <v>496.0</v>
      </c>
      <c r="C498" s="9">
        <v>43199.0</v>
      </c>
      <c r="D498" s="6" t="s">
        <v>15</v>
      </c>
      <c r="E498" s="4"/>
      <c r="F498" s="8"/>
      <c r="G498" s="4"/>
      <c r="H498" s="10" t="s">
        <v>515</v>
      </c>
      <c r="I498" s="10">
        <v>185.0</v>
      </c>
      <c r="J498" s="11" t="str">
        <f>IF(D498&lt;&gt;"",VLOOKUP(H498,TABLEITEM,5,FALSE),"")</f>
        <v>M</v>
      </c>
      <c r="K498" s="12">
        <v>170.5</v>
      </c>
      <c r="L498" s="13" t="str">
        <f>IF(D498&lt;&gt;"",VLOOKUP(H498,TABLEITEM,2,FALSE),"")</f>
        <v>wire</v>
      </c>
      <c r="M498" s="13" t="str">
        <f>IF(D498&lt;&gt;"",VLOOKUP(H498,TABLEITEM,3,FALSE),"")</f>
        <v>สายTHW ขนาด 1x35 SQMM.สีดำ</v>
      </c>
      <c r="N498" s="14">
        <f>INSTOCK!$I498*INSTOCK!$K498</f>
        <v>31542.5</v>
      </c>
      <c r="O498" s="4"/>
      <c r="P498" s="4"/>
    </row>
    <row r="499" ht="15.75" hidden="1" customHeight="1">
      <c r="B499" s="8">
        <v>497.0</v>
      </c>
      <c r="C499" s="9">
        <v>43199.0</v>
      </c>
      <c r="D499" s="6" t="s">
        <v>15</v>
      </c>
      <c r="E499" s="4"/>
      <c r="F499" s="8"/>
      <c r="G499" s="4"/>
      <c r="H499" s="10" t="s">
        <v>516</v>
      </c>
      <c r="I499" s="10">
        <v>119.0</v>
      </c>
      <c r="J499" s="11" t="str">
        <f>IF(D499&lt;&gt;"",VLOOKUP(H499,TABLEITEM,5,FALSE),"")</f>
        <v>M</v>
      </c>
      <c r="K499" s="12">
        <v>229.2</v>
      </c>
      <c r="L499" s="13" t="str">
        <f>IF(D499&lt;&gt;"",VLOOKUP(H499,TABLEITEM,2,FALSE),"")</f>
        <v>wire</v>
      </c>
      <c r="M499" s="13" t="str">
        <f>IF(D499&lt;&gt;"",VLOOKUP(H499,TABLEITEM,3,FALSE),"")</f>
        <v>สายTHW ขนาด 1x50 SQMM.สีดำ</v>
      </c>
      <c r="N499" s="14">
        <f>INSTOCK!$I499*INSTOCK!$K499</f>
        <v>27274.8</v>
      </c>
      <c r="O499" s="4"/>
      <c r="P499" s="4"/>
    </row>
    <row r="500" ht="15.75" hidden="1" customHeight="1">
      <c r="B500" s="8">
        <v>498.0</v>
      </c>
      <c r="C500" s="9">
        <v>43199.0</v>
      </c>
      <c r="D500" s="6" t="s">
        <v>15</v>
      </c>
      <c r="E500" s="4"/>
      <c r="F500" s="8"/>
      <c r="G500" s="4"/>
      <c r="H500" s="10" t="s">
        <v>517</v>
      </c>
      <c r="I500" s="10">
        <v>134.0</v>
      </c>
      <c r="J500" s="11" t="str">
        <f>IF(D500&lt;&gt;"",VLOOKUP(H500,TABLEITEM,5,FALSE),"")</f>
        <v>M</v>
      </c>
      <c r="K500" s="12">
        <v>327.7</v>
      </c>
      <c r="L500" s="13" t="str">
        <f>IF(D500&lt;&gt;"",VLOOKUP(H500,TABLEITEM,2,FALSE),"")</f>
        <v>wire</v>
      </c>
      <c r="M500" s="13" t="str">
        <f>IF(D500&lt;&gt;"",VLOOKUP(H500,TABLEITEM,3,FALSE),"")</f>
        <v>สายTHW ขนาด 1x70 SQMM.สีดำ</v>
      </c>
      <c r="N500" s="14">
        <f>INSTOCK!$I500*INSTOCK!$K500</f>
        <v>43911.8</v>
      </c>
      <c r="O500" s="4"/>
      <c r="P500" s="4"/>
    </row>
    <row r="501" ht="15.75" hidden="1" customHeight="1">
      <c r="B501" s="8">
        <v>499.0</v>
      </c>
      <c r="C501" s="9">
        <v>43199.0</v>
      </c>
      <c r="D501" s="6" t="s">
        <v>15</v>
      </c>
      <c r="E501" s="4"/>
      <c r="F501" s="8"/>
      <c r="G501" s="4"/>
      <c r="H501" s="10" t="s">
        <v>518</v>
      </c>
      <c r="I501" s="10">
        <v>39.0</v>
      </c>
      <c r="J501" s="11" t="str">
        <f>IF(D501&lt;&gt;"",VLOOKUP(H501,TABLEITEM,5,FALSE),"")</f>
        <v>M</v>
      </c>
      <c r="K501" s="12">
        <v>451.5</v>
      </c>
      <c r="L501" s="13" t="str">
        <f>IF(D501&lt;&gt;"",VLOOKUP(H501,TABLEITEM,2,FALSE),"")</f>
        <v>wire</v>
      </c>
      <c r="M501" s="13" t="str">
        <f>IF(D501&lt;&gt;"",VLOOKUP(H501,TABLEITEM,3,FALSE),"")</f>
        <v>สายTHW ขนาด 1x95 SQMM.สีดำ</v>
      </c>
      <c r="N501" s="14">
        <f>INSTOCK!$I501*INSTOCK!$K501</f>
        <v>17608.5</v>
      </c>
      <c r="O501" s="4"/>
      <c r="P501" s="4"/>
    </row>
    <row r="502" ht="15.75" hidden="1" customHeight="1">
      <c r="B502" s="8">
        <v>500.0</v>
      </c>
      <c r="C502" s="9">
        <v>43199.0</v>
      </c>
      <c r="D502" s="6" t="s">
        <v>15</v>
      </c>
      <c r="E502" s="4"/>
      <c r="F502" s="8"/>
      <c r="G502" s="4"/>
      <c r="H502" s="10" t="s">
        <v>519</v>
      </c>
      <c r="I502" s="10">
        <v>36.0</v>
      </c>
      <c r="J502" s="11" t="str">
        <f>IF(D502&lt;&gt;"",VLOOKUP(H502,TABLEITEM,5,FALSE),"")</f>
        <v>M</v>
      </c>
      <c r="K502" s="12">
        <v>879.0</v>
      </c>
      <c r="L502" s="13" t="str">
        <f>IF(D502&lt;&gt;"",VLOOKUP(H502,TABLEITEM,2,FALSE),"")</f>
        <v>wire</v>
      </c>
      <c r="M502" s="13" t="str">
        <f>IF(D502&lt;&gt;"",VLOOKUP(H502,TABLEITEM,3,FALSE),"")</f>
        <v>สายTHW ขนาด 1x185 SQMM.สีดำ</v>
      </c>
      <c r="N502" s="14">
        <f>INSTOCK!$I502*INSTOCK!$K502</f>
        <v>31644</v>
      </c>
      <c r="O502" s="4"/>
      <c r="P502" s="4"/>
    </row>
    <row r="503" ht="15.75" hidden="1" customHeight="1">
      <c r="B503" s="8">
        <v>501.0</v>
      </c>
      <c r="C503" s="9">
        <v>43199.0</v>
      </c>
      <c r="D503" s="6" t="s">
        <v>15</v>
      </c>
      <c r="E503" s="4"/>
      <c r="F503" s="8"/>
      <c r="G503" s="4"/>
      <c r="H503" s="10" t="s">
        <v>520</v>
      </c>
      <c r="I503" s="10">
        <v>71.0</v>
      </c>
      <c r="J503" s="11" t="str">
        <f>IF(D503&lt;&gt;"",VLOOKUP(H503,TABLEITEM,5,FALSE),"")</f>
        <v>M</v>
      </c>
      <c r="K503" s="12">
        <v>49.3</v>
      </c>
      <c r="L503" s="13" t="str">
        <f>IF(D503&lt;&gt;"",VLOOKUP(H503,TABLEITEM,2,FALSE),"")</f>
        <v>wire</v>
      </c>
      <c r="M503" s="13" t="str">
        <f>IF(D503&lt;&gt;"",VLOOKUP(H503,TABLEITEM,3,FALSE),"")</f>
        <v>สายTHW ขนาด 1x10 SQMM.สีเขียว</v>
      </c>
      <c r="N503" s="14">
        <f>INSTOCK!$I503*INSTOCK!$K503</f>
        <v>3500.3</v>
      </c>
      <c r="O503" s="4"/>
      <c r="P503" s="4"/>
    </row>
    <row r="504" ht="15.75" hidden="1" customHeight="1">
      <c r="B504" s="8">
        <v>502.0</v>
      </c>
      <c r="C504" s="9">
        <v>43199.0</v>
      </c>
      <c r="D504" s="6" t="s">
        <v>15</v>
      </c>
      <c r="E504" s="4"/>
      <c r="F504" s="8"/>
      <c r="G504" s="4"/>
      <c r="H504" s="10" t="s">
        <v>521</v>
      </c>
      <c r="I504" s="10">
        <v>36.0</v>
      </c>
      <c r="J504" s="11" t="str">
        <f>IF(D504&lt;&gt;"",VLOOKUP(H504,TABLEITEM,5,FALSE),"")</f>
        <v>M</v>
      </c>
      <c r="K504" s="12">
        <v>76.5</v>
      </c>
      <c r="L504" s="13" t="str">
        <f>IF(D504&lt;&gt;"",VLOOKUP(H504,TABLEITEM,2,FALSE),"")</f>
        <v>wire</v>
      </c>
      <c r="M504" s="13" t="str">
        <f>IF(D504&lt;&gt;"",VLOOKUP(H504,TABLEITEM,3,FALSE),"")</f>
        <v>สายTHW ขนาด 1x16 SQMM.สีเขียว</v>
      </c>
      <c r="N504" s="14">
        <f>INSTOCK!$I504*INSTOCK!$K504</f>
        <v>2754</v>
      </c>
      <c r="O504" s="4"/>
      <c r="P504" s="4"/>
    </row>
    <row r="505" ht="15.75" hidden="1" customHeight="1">
      <c r="B505" s="8">
        <v>503.0</v>
      </c>
      <c r="C505" s="9">
        <v>43199.0</v>
      </c>
      <c r="D505" s="6" t="s">
        <v>15</v>
      </c>
      <c r="E505" s="4"/>
      <c r="F505" s="8"/>
      <c r="G505" s="4"/>
      <c r="H505" s="10" t="s">
        <v>522</v>
      </c>
      <c r="I505" s="10">
        <v>92.0</v>
      </c>
      <c r="J505" s="11" t="str">
        <f>IF(D505&lt;&gt;"",VLOOKUP(H505,TABLEITEM,5,FALSE),"")</f>
        <v>M</v>
      </c>
      <c r="K505" s="12">
        <v>120.0</v>
      </c>
      <c r="L505" s="13" t="str">
        <f>IF(D505&lt;&gt;"",VLOOKUP(H505,TABLEITEM,2,FALSE),"")</f>
        <v>wire</v>
      </c>
      <c r="M505" s="13" t="str">
        <f>IF(D505&lt;&gt;"",VLOOKUP(H505,TABLEITEM,3,FALSE),"")</f>
        <v>สายTHW ขนาด 1x25 SQMM.สีเขียว</v>
      </c>
      <c r="N505" s="14">
        <f>INSTOCK!$I505*INSTOCK!$K505</f>
        <v>11040</v>
      </c>
      <c r="O505" s="4"/>
      <c r="P505" s="4"/>
    </row>
    <row r="506" ht="15.75" hidden="1" customHeight="1">
      <c r="B506" s="8">
        <v>504.0</v>
      </c>
      <c r="C506" s="9">
        <v>43199.0</v>
      </c>
      <c r="D506" s="6" t="s">
        <v>15</v>
      </c>
      <c r="E506" s="4"/>
      <c r="F506" s="8"/>
      <c r="G506" s="4"/>
      <c r="H506" s="10" t="s">
        <v>523</v>
      </c>
      <c r="I506" s="10">
        <v>200.0</v>
      </c>
      <c r="J506" s="11" t="str">
        <f>IF(D506&lt;&gt;"",VLOOKUP(H506,TABLEITEM,5,FALSE),"")</f>
        <v>M</v>
      </c>
      <c r="K506" s="12">
        <v>8.2</v>
      </c>
      <c r="L506" s="13" t="str">
        <f>IF(D506&lt;&gt;"",VLOOKUP(H506,TABLEITEM,2,FALSE),"")</f>
        <v>wire</v>
      </c>
      <c r="M506" s="13" t="str">
        <f>IF(D506&lt;&gt;"",VLOOKUP(H506,TABLEITEM,3,FALSE),"")</f>
        <v>สายTHW ขนาด 1x1.5 SQMM.สีน้ำเงิน</v>
      </c>
      <c r="N506" s="14">
        <f>INSTOCK!$I506*INSTOCK!$K506</f>
        <v>1640</v>
      </c>
      <c r="O506" s="4"/>
      <c r="P506" s="4"/>
    </row>
    <row r="507" ht="15.75" hidden="1" customHeight="1">
      <c r="B507" s="8">
        <v>505.0</v>
      </c>
      <c r="C507" s="9">
        <v>43199.0</v>
      </c>
      <c r="D507" s="6" t="s">
        <v>15</v>
      </c>
      <c r="E507" s="4"/>
      <c r="F507" s="8"/>
      <c r="G507" s="4"/>
      <c r="H507" s="10" t="s">
        <v>524</v>
      </c>
      <c r="I507" s="10">
        <v>200.0</v>
      </c>
      <c r="J507" s="11" t="str">
        <f>IF(D507&lt;&gt;"",VLOOKUP(H507,TABLEITEM,5,FALSE),"")</f>
        <v>M</v>
      </c>
      <c r="K507" s="12">
        <v>8.2</v>
      </c>
      <c r="L507" s="13" t="str">
        <f>IF(D507&lt;&gt;"",VLOOKUP(H507,TABLEITEM,2,FALSE),"")</f>
        <v>wire</v>
      </c>
      <c r="M507" s="13" t="str">
        <f>IF(D507&lt;&gt;"",VLOOKUP(H507,TABLEITEM,3,FALSE),"")</f>
        <v>สายTHW ขนาด 1x1.5 SQMM.สีเขียว</v>
      </c>
      <c r="N507" s="14">
        <f>INSTOCK!$I507*INSTOCK!$K507</f>
        <v>1640</v>
      </c>
      <c r="O507" s="4"/>
      <c r="P507" s="4"/>
    </row>
    <row r="508" ht="15.75" hidden="1" customHeight="1">
      <c r="B508" s="8">
        <v>506.0</v>
      </c>
      <c r="C508" s="9">
        <v>43199.0</v>
      </c>
      <c r="D508" s="6" t="s">
        <v>15</v>
      </c>
      <c r="E508" s="4"/>
      <c r="F508" s="8"/>
      <c r="G508" s="4"/>
      <c r="H508" s="10" t="s">
        <v>525</v>
      </c>
      <c r="I508" s="10">
        <v>300.0</v>
      </c>
      <c r="J508" s="11" t="str">
        <f>IF(D508&lt;&gt;"",VLOOKUP(H508,TABLEITEM,5,FALSE),"")</f>
        <v>M</v>
      </c>
      <c r="K508" s="12">
        <v>12.1</v>
      </c>
      <c r="L508" s="13" t="str">
        <f>IF(D508&lt;&gt;"",VLOOKUP(H508,TABLEITEM,2,FALSE),"")</f>
        <v>wire</v>
      </c>
      <c r="M508" s="13" t="str">
        <f>IF(D508&lt;&gt;"",VLOOKUP(H508,TABLEITEM,3,FALSE),"")</f>
        <v>สายTHW ขนาด 1x2.5 SQMM.สีน้ำเงิน</v>
      </c>
      <c r="N508" s="14">
        <f>INSTOCK!$I508*INSTOCK!$K508</f>
        <v>3630</v>
      </c>
      <c r="O508" s="4"/>
      <c r="P508" s="4"/>
    </row>
    <row r="509" ht="15.75" hidden="1" customHeight="1">
      <c r="B509" s="8">
        <v>507.0</v>
      </c>
      <c r="C509" s="9">
        <v>43199.0</v>
      </c>
      <c r="D509" s="6" t="s">
        <v>15</v>
      </c>
      <c r="E509" s="4"/>
      <c r="F509" s="8"/>
      <c r="G509" s="4"/>
      <c r="H509" s="10" t="s">
        <v>526</v>
      </c>
      <c r="I509" s="10">
        <v>100.0</v>
      </c>
      <c r="J509" s="11" t="str">
        <f>IF(D509&lt;&gt;"",VLOOKUP(H509,TABLEITEM,5,FALSE),"")</f>
        <v>M</v>
      </c>
      <c r="K509" s="12">
        <v>12.1</v>
      </c>
      <c r="L509" s="13" t="str">
        <f>IF(D509&lt;&gt;"",VLOOKUP(H509,TABLEITEM,2,FALSE),"")</f>
        <v>wire</v>
      </c>
      <c r="M509" s="13" t="str">
        <f>IF(D509&lt;&gt;"",VLOOKUP(H509,TABLEITEM,3,FALSE),"")</f>
        <v>สายTHW ขนาด 1x2.5 SQMM.สีเขียว</v>
      </c>
      <c r="N509" s="14">
        <f>INSTOCK!$I509*INSTOCK!$K509</f>
        <v>1210</v>
      </c>
      <c r="O509" s="4"/>
      <c r="P509" s="4"/>
    </row>
    <row r="510" ht="15.75" hidden="1" customHeight="1">
      <c r="B510" s="8">
        <v>508.0</v>
      </c>
      <c r="C510" s="9">
        <v>43199.0</v>
      </c>
      <c r="D510" s="6" t="s">
        <v>15</v>
      </c>
      <c r="E510" s="4"/>
      <c r="F510" s="8"/>
      <c r="G510" s="4"/>
      <c r="H510" s="10" t="s">
        <v>527</v>
      </c>
      <c r="I510" s="10">
        <v>100.0</v>
      </c>
      <c r="J510" s="11" t="str">
        <f>IF(D510&lt;&gt;"",VLOOKUP(H510,TABLEITEM,5,FALSE),"")</f>
        <v>M</v>
      </c>
      <c r="K510" s="12">
        <v>18.7</v>
      </c>
      <c r="L510" s="13" t="str">
        <f>IF(D510&lt;&gt;"",VLOOKUP(H510,TABLEITEM,2,FALSE),"")</f>
        <v>wire</v>
      </c>
      <c r="M510" s="13" t="str">
        <f>IF(D510&lt;&gt;"",VLOOKUP(H510,TABLEITEM,3,FALSE),"")</f>
        <v>สายTHW ขนาด 1x4 SQMM.สีขาว</v>
      </c>
      <c r="N510" s="14">
        <f>INSTOCK!$I510*INSTOCK!$K510</f>
        <v>1870</v>
      </c>
      <c r="O510" s="4"/>
      <c r="P510" s="4"/>
    </row>
    <row r="511" ht="15.75" hidden="1" customHeight="1">
      <c r="B511" s="8">
        <v>509.0</v>
      </c>
      <c r="C511" s="9">
        <v>43199.0</v>
      </c>
      <c r="D511" s="6" t="s">
        <v>15</v>
      </c>
      <c r="E511" s="4"/>
      <c r="F511" s="8"/>
      <c r="G511" s="4"/>
      <c r="H511" s="10" t="s">
        <v>528</v>
      </c>
      <c r="I511" s="10">
        <v>103.0</v>
      </c>
      <c r="J511" s="11" t="str">
        <f>IF(D511&lt;&gt;"",VLOOKUP(H511,TABLEITEM,5,FALSE),"")</f>
        <v>M</v>
      </c>
      <c r="K511" s="12">
        <v>18.7</v>
      </c>
      <c r="L511" s="13" t="str">
        <f>IF(D511&lt;&gt;"",VLOOKUP(H511,TABLEITEM,2,FALSE),"")</f>
        <v>wire</v>
      </c>
      <c r="M511" s="13" t="str">
        <f>IF(D511&lt;&gt;"",VLOOKUP(H511,TABLEITEM,3,FALSE),"")</f>
        <v>สายTHW ขนาด 1x4 SQMM.สีดำ</v>
      </c>
      <c r="N511" s="14">
        <f>INSTOCK!$I511*INSTOCK!$K511</f>
        <v>1926.1</v>
      </c>
      <c r="O511" s="4"/>
      <c r="P511" s="4"/>
    </row>
    <row r="512" ht="15.75" hidden="1" customHeight="1">
      <c r="B512" s="8">
        <v>510.0</v>
      </c>
      <c r="C512" s="9">
        <v>43199.0</v>
      </c>
      <c r="D512" s="6" t="s">
        <v>15</v>
      </c>
      <c r="E512" s="4"/>
      <c r="F512" s="8"/>
      <c r="G512" s="4"/>
      <c r="H512" s="10" t="s">
        <v>529</v>
      </c>
      <c r="I512" s="10">
        <v>100.0</v>
      </c>
      <c r="J512" s="11" t="str">
        <f>IF(D512&lt;&gt;"",VLOOKUP(H512,TABLEITEM,5,FALSE),"")</f>
        <v>M</v>
      </c>
      <c r="K512" s="12">
        <v>18.7</v>
      </c>
      <c r="L512" s="13" t="str">
        <f>IF(D512&lt;&gt;"",VLOOKUP(H512,TABLEITEM,2,FALSE),"")</f>
        <v>wire</v>
      </c>
      <c r="M512" s="13" t="str">
        <f>IF(D512&lt;&gt;"",VLOOKUP(H512,TABLEITEM,3,FALSE),"")</f>
        <v>สายTHW ขนาด 1x4 SQMM.สีเขียว</v>
      </c>
      <c r="N512" s="14">
        <f>INSTOCK!$I512*INSTOCK!$K512</f>
        <v>1870</v>
      </c>
      <c r="O512" s="4"/>
      <c r="P512" s="4"/>
    </row>
    <row r="513" ht="15.75" hidden="1" customHeight="1">
      <c r="B513" s="8">
        <v>511.0</v>
      </c>
      <c r="C513" s="9">
        <v>43199.0</v>
      </c>
      <c r="D513" s="6" t="s">
        <v>15</v>
      </c>
      <c r="E513" s="4"/>
      <c r="F513" s="8"/>
      <c r="G513" s="4"/>
      <c r="H513" s="10" t="s">
        <v>530</v>
      </c>
      <c r="I513" s="10">
        <v>120.0</v>
      </c>
      <c r="J513" s="11" t="str">
        <f>IF(D513&lt;&gt;"",VLOOKUP(H513,TABLEITEM,5,FALSE),"")</f>
        <v>M</v>
      </c>
      <c r="K513" s="12">
        <v>93.1</v>
      </c>
      <c r="L513" s="13" t="str">
        <f>IF(D513&lt;&gt;"",VLOOKUP(H513,TABLEITEM,2,FALSE),"")</f>
        <v>Busbar</v>
      </c>
      <c r="M513" s="13" t="str">
        <f>IF(D513&lt;&gt;"",VLOOKUP(H513,TABLEITEM,3,FALSE),"")</f>
        <v>บัสบาร์ทองแดง 1/2"x1/8"</v>
      </c>
      <c r="N513" s="14">
        <f>INSTOCK!$I513*INSTOCK!$K513</f>
        <v>11172</v>
      </c>
      <c r="O513" s="4"/>
      <c r="P513" s="4"/>
    </row>
    <row r="514" ht="15.75" hidden="1" customHeight="1">
      <c r="B514" s="8">
        <v>512.0</v>
      </c>
      <c r="C514" s="9">
        <v>43199.0</v>
      </c>
      <c r="D514" s="6" t="s">
        <v>15</v>
      </c>
      <c r="E514" s="4"/>
      <c r="F514" s="8"/>
      <c r="G514" s="4"/>
      <c r="H514" s="10" t="s">
        <v>531</v>
      </c>
      <c r="I514" s="10">
        <v>95.0</v>
      </c>
      <c r="J514" s="11" t="str">
        <f>IF(D514&lt;&gt;"",VLOOKUP(H514,TABLEITEM,5,FALSE),"")</f>
        <v>M</v>
      </c>
      <c r="K514" s="12">
        <v>198.32</v>
      </c>
      <c r="L514" s="13" t="str">
        <f>IF(D514&lt;&gt;"",VLOOKUP(H514,TABLEITEM,2,FALSE),"")</f>
        <v>Busbar</v>
      </c>
      <c r="M514" s="13" t="str">
        <f>IF(D514&lt;&gt;"",VLOOKUP(H514,TABLEITEM,3,FALSE),"")</f>
        <v>บัสบาร์ทองแดง 1/2"x1/4"</v>
      </c>
      <c r="N514" s="14">
        <f>INSTOCK!$I514*INSTOCK!$K514</f>
        <v>18840.4</v>
      </c>
      <c r="O514" s="4"/>
      <c r="P514" s="4"/>
    </row>
    <row r="515" ht="15.75" hidden="1" customHeight="1">
      <c r="B515" s="8">
        <v>513.0</v>
      </c>
      <c r="C515" s="9">
        <v>43199.0</v>
      </c>
      <c r="D515" s="6" t="s">
        <v>15</v>
      </c>
      <c r="E515" s="4"/>
      <c r="F515" s="8"/>
      <c r="G515" s="4"/>
      <c r="H515" s="10" t="s">
        <v>532</v>
      </c>
      <c r="I515" s="10">
        <v>55.0</v>
      </c>
      <c r="J515" s="11" t="str">
        <f>IF(D515&lt;&gt;"",VLOOKUP(H515,TABLEITEM,5,FALSE),"")</f>
        <v>M</v>
      </c>
      <c r="K515" s="12">
        <v>123.28</v>
      </c>
      <c r="L515" s="13" t="str">
        <f>IF(D515&lt;&gt;"",VLOOKUP(H515,TABLEITEM,2,FALSE),"")</f>
        <v>Busbar</v>
      </c>
      <c r="M515" s="13" t="str">
        <f>IF(D515&lt;&gt;"",VLOOKUP(H515,TABLEITEM,3,FALSE),"")</f>
        <v>บัสบาร์ทองแดง 5/8"x1/8"</v>
      </c>
      <c r="N515" s="14">
        <f>INSTOCK!$I515*INSTOCK!$K515</f>
        <v>6780.4</v>
      </c>
      <c r="O515" s="4"/>
      <c r="P515" s="4"/>
    </row>
    <row r="516" ht="15.75" hidden="1" customHeight="1">
      <c r="B516" s="8">
        <v>514.0</v>
      </c>
      <c r="C516" s="9">
        <v>43199.0</v>
      </c>
      <c r="D516" s="6" t="s">
        <v>15</v>
      </c>
      <c r="E516" s="4"/>
      <c r="F516" s="8"/>
      <c r="G516" s="4"/>
      <c r="H516" s="10" t="s">
        <v>533</v>
      </c>
      <c r="I516" s="10">
        <v>75.0</v>
      </c>
      <c r="J516" s="11" t="str">
        <f>IF(D516&lt;&gt;"",VLOOKUP(H516,TABLEITEM,5,FALSE),"")</f>
        <v>M</v>
      </c>
      <c r="K516" s="12">
        <v>170.0</v>
      </c>
      <c r="L516" s="13" t="str">
        <f>IF(D516&lt;&gt;"",VLOOKUP(H516,TABLEITEM,2,FALSE),"")</f>
        <v>Busbar</v>
      </c>
      <c r="M516" s="13" t="str">
        <f>IF(D516&lt;&gt;"",VLOOKUP(H516,TABLEITEM,3,FALSE),"")</f>
        <v>บัสบาร์ทองแดง 5/8"x3/16"</v>
      </c>
      <c r="N516" s="14">
        <f>INSTOCK!$I516*INSTOCK!$K516</f>
        <v>12750</v>
      </c>
      <c r="O516" s="4"/>
      <c r="P516" s="4"/>
    </row>
    <row r="517" ht="15.75" hidden="1" customHeight="1">
      <c r="B517" s="8">
        <v>515.0</v>
      </c>
      <c r="C517" s="9">
        <v>43199.0</v>
      </c>
      <c r="D517" s="6" t="s">
        <v>15</v>
      </c>
      <c r="E517" s="4"/>
      <c r="F517" s="8"/>
      <c r="G517" s="4"/>
      <c r="H517" s="10" t="s">
        <v>534</v>
      </c>
      <c r="I517" s="10">
        <v>10.0</v>
      </c>
      <c r="J517" s="11" t="str">
        <f>IF(D517&lt;&gt;"",VLOOKUP(H517,TABLEITEM,5,FALSE),"")</f>
        <v>M</v>
      </c>
      <c r="K517" s="12">
        <v>150.0</v>
      </c>
      <c r="L517" s="13" t="str">
        <f>IF(D517&lt;&gt;"",VLOOKUP(H517,TABLEITEM,2,FALSE),"")</f>
        <v>Busbar</v>
      </c>
      <c r="M517" s="13" t="str">
        <f>IF(D517&lt;&gt;"",VLOOKUP(H517,TABLEITEM,3,FALSE),"")</f>
        <v>บัสบาร์ทองแดง 3/4"x1/8"</v>
      </c>
      <c r="N517" s="14">
        <f>INSTOCK!$I517*INSTOCK!$K517</f>
        <v>1500</v>
      </c>
      <c r="O517" s="4"/>
      <c r="P517" s="4"/>
    </row>
    <row r="518" ht="15.75" hidden="1" customHeight="1">
      <c r="B518" s="8">
        <v>516.0</v>
      </c>
      <c r="C518" s="9">
        <v>43199.0</v>
      </c>
      <c r="D518" s="6" t="s">
        <v>15</v>
      </c>
      <c r="E518" s="4"/>
      <c r="F518" s="8"/>
      <c r="G518" s="4"/>
      <c r="H518" s="10" t="s">
        <v>535</v>
      </c>
      <c r="I518" s="10">
        <v>140.0</v>
      </c>
      <c r="J518" s="11" t="str">
        <f>IF(D518&lt;&gt;"",VLOOKUP(H518,TABLEITEM,5,FALSE),"")</f>
        <v>M</v>
      </c>
      <c r="K518" s="12">
        <v>294.8</v>
      </c>
      <c r="L518" s="13" t="str">
        <f>IF(D518&lt;&gt;"",VLOOKUP(H518,TABLEITEM,2,FALSE),"")</f>
        <v>Busbar</v>
      </c>
      <c r="M518" s="13" t="str">
        <f>IF(D518&lt;&gt;"",VLOOKUP(H518,TABLEITEM,3,FALSE),"")</f>
        <v>บัสบาร์ทองแดง 3/4"x1/4"</v>
      </c>
      <c r="N518" s="14">
        <f>INSTOCK!$I518*INSTOCK!$K518</f>
        <v>41272</v>
      </c>
      <c r="O518" s="4"/>
      <c r="P518" s="4"/>
    </row>
    <row r="519" ht="15.75" hidden="1" customHeight="1">
      <c r="B519" s="8">
        <v>517.0</v>
      </c>
      <c r="C519" s="9">
        <v>43199.0</v>
      </c>
      <c r="D519" s="6" t="s">
        <v>15</v>
      </c>
      <c r="E519" s="4"/>
      <c r="F519" s="8"/>
      <c r="G519" s="4"/>
      <c r="H519" s="10" t="s">
        <v>536</v>
      </c>
      <c r="I519" s="10">
        <v>120.0</v>
      </c>
      <c r="J519" s="11" t="str">
        <f>IF(D519&lt;&gt;"",VLOOKUP(H519,TABLEITEM,5,FALSE),"")</f>
        <v>M</v>
      </c>
      <c r="K519" s="12">
        <v>196.1</v>
      </c>
      <c r="L519" s="13" t="str">
        <f>IF(D519&lt;&gt;"",VLOOKUP(H519,TABLEITEM,2,FALSE),"")</f>
        <v>Busbar</v>
      </c>
      <c r="M519" s="13" t="str">
        <f>IF(D519&lt;&gt;"",VLOOKUP(H519,TABLEITEM,3,FALSE),"")</f>
        <v>บัสบาร์ทองแดง 1"x1/8"</v>
      </c>
      <c r="N519" s="14">
        <f>INSTOCK!$I519*INSTOCK!$K519</f>
        <v>23532</v>
      </c>
      <c r="O519" s="4"/>
      <c r="P519" s="4"/>
    </row>
    <row r="520" ht="15.75" hidden="1" customHeight="1">
      <c r="B520" s="8">
        <v>518.0</v>
      </c>
      <c r="C520" s="9">
        <v>43199.0</v>
      </c>
      <c r="D520" s="6" t="s">
        <v>15</v>
      </c>
      <c r="E520" s="4"/>
      <c r="F520" s="8"/>
      <c r="G520" s="4"/>
      <c r="H520" s="10" t="s">
        <v>537</v>
      </c>
      <c r="I520" s="10">
        <v>35.0</v>
      </c>
      <c r="J520" s="11" t="str">
        <f>IF(D520&lt;&gt;"",VLOOKUP(H520,TABLEITEM,5,FALSE),"")</f>
        <v>M</v>
      </c>
      <c r="K520" s="12">
        <v>289.44</v>
      </c>
      <c r="L520" s="13" t="str">
        <f>IF(D520&lt;&gt;"",VLOOKUP(H520,TABLEITEM,2,FALSE),"")</f>
        <v>Busbar</v>
      </c>
      <c r="M520" s="13" t="str">
        <f>IF(D520&lt;&gt;"",VLOOKUP(H520,TABLEITEM,3,FALSE),"")</f>
        <v>บัสบาร์ทองแดง 1"x3/16"</v>
      </c>
      <c r="N520" s="14">
        <f>INSTOCK!$I520*INSTOCK!$K520</f>
        <v>10130.4</v>
      </c>
      <c r="O520" s="4"/>
      <c r="P520" s="4"/>
    </row>
    <row r="521" ht="15.75" hidden="1" customHeight="1">
      <c r="B521" s="8">
        <v>519.0</v>
      </c>
      <c r="C521" s="9">
        <v>43199.0</v>
      </c>
      <c r="D521" s="6" t="s">
        <v>15</v>
      </c>
      <c r="E521" s="4"/>
      <c r="F521" s="8"/>
      <c r="G521" s="4"/>
      <c r="H521" s="10" t="s">
        <v>538</v>
      </c>
      <c r="I521" s="10">
        <v>10.0</v>
      </c>
      <c r="J521" s="11" t="str">
        <f>IF(D521&lt;&gt;"",VLOOKUP(H521,TABLEITEM,5,FALSE),"")</f>
        <v>M</v>
      </c>
      <c r="K521" s="12">
        <v>391.28</v>
      </c>
      <c r="L521" s="13" t="str">
        <f>IF(D521&lt;&gt;"",VLOOKUP(H521,TABLEITEM,2,FALSE),"")</f>
        <v>Busbar</v>
      </c>
      <c r="M521" s="13" t="str">
        <f>IF(D521&lt;&gt;"",VLOOKUP(H521,TABLEITEM,3,FALSE),"")</f>
        <v>บัสบาร์ทองแดง 1"x1/4"</v>
      </c>
      <c r="N521" s="14">
        <f>INSTOCK!$I521*INSTOCK!$K521</f>
        <v>3912.8</v>
      </c>
      <c r="O521" s="4"/>
      <c r="P521" s="4"/>
    </row>
    <row r="522" ht="15.75" hidden="1" customHeight="1">
      <c r="B522" s="8">
        <v>520.0</v>
      </c>
      <c r="C522" s="9">
        <v>43199.0</v>
      </c>
      <c r="D522" s="6" t="s">
        <v>15</v>
      </c>
      <c r="E522" s="4"/>
      <c r="F522" s="8"/>
      <c r="G522" s="4"/>
      <c r="H522" s="10" t="s">
        <v>539</v>
      </c>
      <c r="I522" s="10">
        <v>90.0</v>
      </c>
      <c r="J522" s="11" t="str">
        <f>IF(D522&lt;&gt;"",VLOOKUP(H522,TABLEITEM,5,FALSE),"")</f>
        <v>M</v>
      </c>
      <c r="K522" s="12">
        <v>584.24</v>
      </c>
      <c r="L522" s="13" t="str">
        <f>IF(D522&lt;&gt;"",VLOOKUP(H522,TABLEITEM,2,FALSE),"")</f>
        <v>Busbar</v>
      </c>
      <c r="M522" s="13" t="str">
        <f>IF(D522&lt;&gt;"",VLOOKUP(H522,TABLEITEM,3,FALSE),"")</f>
        <v>บัสบาร์ทองแดง 1"x3/8"</v>
      </c>
      <c r="N522" s="14">
        <f>INSTOCK!$I522*INSTOCK!$K522</f>
        <v>52581.6</v>
      </c>
      <c r="O522" s="4"/>
      <c r="P522" s="4"/>
    </row>
    <row r="523" ht="15.75" hidden="1" customHeight="1">
      <c r="B523" s="8">
        <v>521.0</v>
      </c>
      <c r="C523" s="9">
        <v>43199.0</v>
      </c>
      <c r="D523" s="6" t="s">
        <v>15</v>
      </c>
      <c r="E523" s="4"/>
      <c r="F523" s="8"/>
      <c r="G523" s="4"/>
      <c r="H523" s="10" t="s">
        <v>540</v>
      </c>
      <c r="I523" s="10">
        <v>45.0</v>
      </c>
      <c r="J523" s="11" t="str">
        <f>IF(D523&lt;&gt;"",VLOOKUP(H523,TABLEITEM,5,FALSE),"")</f>
        <v>M</v>
      </c>
      <c r="K523" s="12">
        <v>667.0</v>
      </c>
      <c r="L523" s="13" t="str">
        <f>IF(D523&lt;&gt;"",VLOOKUP(H523,TABLEITEM,2,FALSE),"")</f>
        <v>Busbar</v>
      </c>
      <c r="M523" s="13" t="str">
        <f>IF(D523&lt;&gt;"",VLOOKUP(H523,TABLEITEM,3,FALSE),"")</f>
        <v>บัสบาร์ทองแดง 1"x1/2"</v>
      </c>
      <c r="N523" s="14">
        <f>INSTOCK!$I523*INSTOCK!$K523</f>
        <v>30015</v>
      </c>
      <c r="O523" s="4"/>
      <c r="P523" s="4"/>
    </row>
    <row r="524" ht="15.75" hidden="1" customHeight="1">
      <c r="B524" s="8">
        <v>522.0</v>
      </c>
      <c r="C524" s="9">
        <v>43199.0</v>
      </c>
      <c r="D524" s="6" t="s">
        <v>15</v>
      </c>
      <c r="E524" s="4"/>
      <c r="F524" s="8"/>
      <c r="G524" s="4"/>
      <c r="H524" s="10" t="s">
        <v>541</v>
      </c>
      <c r="I524" s="10">
        <v>5.0</v>
      </c>
      <c r="J524" s="11" t="str">
        <f>IF(D524&lt;&gt;"",VLOOKUP(H524,TABLEITEM,5,FALSE),"")</f>
        <v>M</v>
      </c>
      <c r="K524" s="12">
        <v>364.48</v>
      </c>
      <c r="L524" s="13" t="str">
        <f>IF(D524&lt;&gt;"",VLOOKUP(H524,TABLEITEM,2,FALSE),"")</f>
        <v>Busbar</v>
      </c>
      <c r="M524" s="13" t="str">
        <f>IF(D524&lt;&gt;"",VLOOKUP(H524,TABLEITEM,3,FALSE),"")</f>
        <v>บัสบาร์ทองแดง 1 1/4"x3/16"</v>
      </c>
      <c r="N524" s="14">
        <f>INSTOCK!$I524*INSTOCK!$K524</f>
        <v>1822.4</v>
      </c>
      <c r="O524" s="4"/>
      <c r="P524" s="4"/>
    </row>
    <row r="525" ht="15.75" hidden="1" customHeight="1">
      <c r="B525" s="8">
        <v>523.0</v>
      </c>
      <c r="C525" s="9">
        <v>43199.0</v>
      </c>
      <c r="D525" s="6" t="s">
        <v>15</v>
      </c>
      <c r="E525" s="4"/>
      <c r="F525" s="8"/>
      <c r="G525" s="4"/>
      <c r="H525" s="10" t="s">
        <v>542</v>
      </c>
      <c r="I525" s="10">
        <v>20.0</v>
      </c>
      <c r="J525" s="11" t="str">
        <f>IF(D525&lt;&gt;"",VLOOKUP(H525,TABLEITEM,5,FALSE),"")</f>
        <v>M</v>
      </c>
      <c r="K525" s="12">
        <v>391.3</v>
      </c>
      <c r="L525" s="13" t="str">
        <f>IF(D525&lt;&gt;"",VLOOKUP(H525,TABLEITEM,2,FALSE),"")</f>
        <v>Busbar</v>
      </c>
      <c r="M525" s="13" t="str">
        <f>IF(D525&lt;&gt;"",VLOOKUP(H525,TABLEITEM,3,FALSE),"")</f>
        <v>บัสบาร์ทองแดง 1 1/4"x1/4"</v>
      </c>
      <c r="N525" s="14">
        <f>INSTOCK!$I525*INSTOCK!$K525</f>
        <v>7826</v>
      </c>
      <c r="O525" s="4"/>
      <c r="P525" s="4"/>
    </row>
    <row r="526" ht="15.75" hidden="1" customHeight="1">
      <c r="B526" s="8">
        <v>524.0</v>
      </c>
      <c r="C526" s="9">
        <v>43199.0</v>
      </c>
      <c r="D526" s="6" t="s">
        <v>15</v>
      </c>
      <c r="E526" s="4"/>
      <c r="F526" s="8"/>
      <c r="G526" s="4"/>
      <c r="H526" s="10" t="s">
        <v>543</v>
      </c>
      <c r="I526" s="10">
        <v>10.0</v>
      </c>
      <c r="J526" s="11" t="str">
        <f>IF(D526&lt;&gt;"",VLOOKUP(H526,TABLEITEM,5,FALSE),"")</f>
        <v>M</v>
      </c>
      <c r="K526" s="12">
        <v>435.78</v>
      </c>
      <c r="L526" s="13" t="str">
        <f>IF(D526&lt;&gt;"",VLOOKUP(H526,TABLEITEM,2,FALSE),"")</f>
        <v>Busbar</v>
      </c>
      <c r="M526" s="13" t="str">
        <f>IF(D526&lt;&gt;"",VLOOKUP(H526,TABLEITEM,3,FALSE),"")</f>
        <v>บัสบาร์ทองแดง 1 1/2"x3/16"</v>
      </c>
      <c r="N526" s="14">
        <f>INSTOCK!$I526*INSTOCK!$K526</f>
        <v>4357.8</v>
      </c>
      <c r="O526" s="4"/>
      <c r="P526" s="4"/>
    </row>
    <row r="527" ht="15.75" hidden="1" customHeight="1">
      <c r="B527" s="8">
        <v>525.0</v>
      </c>
      <c r="C527" s="9">
        <v>43199.0</v>
      </c>
      <c r="D527" s="6" t="s">
        <v>15</v>
      </c>
      <c r="E527" s="4"/>
      <c r="F527" s="8"/>
      <c r="G527" s="4"/>
      <c r="H527" s="10" t="s">
        <v>544</v>
      </c>
      <c r="I527" s="10">
        <v>35.0</v>
      </c>
      <c r="J527" s="11" t="str">
        <f>IF(D527&lt;&gt;"",VLOOKUP(H527,TABLEITEM,5,FALSE),"")</f>
        <v>M</v>
      </c>
      <c r="K527" s="12">
        <v>1163.12</v>
      </c>
      <c r="L527" s="13" t="str">
        <f>IF(D527&lt;&gt;"",VLOOKUP(H527,TABLEITEM,2,FALSE),"")</f>
        <v>Busbar</v>
      </c>
      <c r="M527" s="13" t="str">
        <f>IF(D527&lt;&gt;"",VLOOKUP(H527,TABLEITEM,3,FALSE),"")</f>
        <v>บัสบาร์ทองแดง 1 1/2"x1/2"</v>
      </c>
      <c r="N527" s="14">
        <f>INSTOCK!$I527*INSTOCK!$K527</f>
        <v>40709.2</v>
      </c>
      <c r="O527" s="4"/>
      <c r="P527" s="4"/>
    </row>
    <row r="528" ht="15.75" hidden="1" customHeight="1">
      <c r="B528" s="8">
        <v>526.0</v>
      </c>
      <c r="C528" s="9">
        <v>43199.0</v>
      </c>
      <c r="D528" s="6" t="s">
        <v>15</v>
      </c>
      <c r="E528" s="4"/>
      <c r="F528" s="8"/>
      <c r="G528" s="4"/>
      <c r="H528" s="10" t="s">
        <v>545</v>
      </c>
      <c r="I528" s="10">
        <v>10.0</v>
      </c>
      <c r="J528" s="11" t="str">
        <f>IF(D528&lt;&gt;"",VLOOKUP(H528,TABLEITEM,5,FALSE),"")</f>
        <v>M</v>
      </c>
      <c r="K528" s="12">
        <v>777.2</v>
      </c>
      <c r="L528" s="13" t="str">
        <f>IF(D528&lt;&gt;"",VLOOKUP(H528,TABLEITEM,2,FALSE),"")</f>
        <v>Busbar</v>
      </c>
      <c r="M528" s="13" t="str">
        <f>IF(D528&lt;&gt;"",VLOOKUP(H528,TABLEITEM,3,FALSE),"")</f>
        <v>บัสบาร์ทองแดง 2"x1/4"</v>
      </c>
      <c r="N528" s="14">
        <f>INSTOCK!$I528*INSTOCK!$K528</f>
        <v>7772</v>
      </c>
      <c r="O528" s="4"/>
      <c r="P528" s="4"/>
    </row>
    <row r="529" ht="15.75" hidden="1" customHeight="1">
      <c r="B529" s="8">
        <v>527.0</v>
      </c>
      <c r="C529" s="9">
        <v>43199.0</v>
      </c>
      <c r="D529" s="6" t="s">
        <v>15</v>
      </c>
      <c r="E529" s="4"/>
      <c r="F529" s="8"/>
      <c r="G529" s="4"/>
      <c r="H529" s="10" t="s">
        <v>546</v>
      </c>
      <c r="I529" s="10">
        <v>25.0</v>
      </c>
      <c r="J529" s="11" t="str">
        <f>IF(D529&lt;&gt;"",VLOOKUP(H529,TABLEITEM,5,FALSE),"")</f>
        <v>M</v>
      </c>
      <c r="K529" s="12">
        <v>1445.0</v>
      </c>
      <c r="L529" s="13" t="str">
        <f>IF(D529&lt;&gt;"",VLOOKUP(H529,TABLEITEM,2,FALSE),"")</f>
        <v>Busbar</v>
      </c>
      <c r="M529" s="13" t="str">
        <f>IF(D529&lt;&gt;"",VLOOKUP(H529,TABLEITEM,3,FALSE),"")</f>
        <v>บัสบาร์ทองแดง 2"x1/2"</v>
      </c>
      <c r="N529" s="14">
        <f>INSTOCK!$I529*INSTOCK!$K529</f>
        <v>36125</v>
      </c>
      <c r="O529" s="4"/>
      <c r="P529" s="4"/>
    </row>
    <row r="530" ht="15.75" hidden="1" customHeight="1">
      <c r="B530" s="8">
        <v>528.0</v>
      </c>
      <c r="C530" s="9">
        <v>43199.0</v>
      </c>
      <c r="D530" s="6" t="s">
        <v>15</v>
      </c>
      <c r="E530" s="4"/>
      <c r="F530" s="8"/>
      <c r="G530" s="4"/>
      <c r="H530" s="10" t="s">
        <v>547</v>
      </c>
      <c r="I530" s="10">
        <v>15.0</v>
      </c>
      <c r="J530" s="11" t="str">
        <f>IF(D530&lt;&gt;"",VLOOKUP(H530,TABLEITEM,5,FALSE),"")</f>
        <v>M</v>
      </c>
      <c r="K530" s="12">
        <v>391.28</v>
      </c>
      <c r="L530" s="13" t="str">
        <f>IF(D530&lt;&gt;"",VLOOKUP(H530,TABLEITEM,2,FALSE),"")</f>
        <v>Busbar</v>
      </c>
      <c r="M530" s="13" t="str">
        <f>IF(D530&lt;&gt;"",VLOOKUP(H530,TABLEITEM,3,FALSE),"")</f>
        <v>บัสบาร์ทองแดง 2"x1/8"</v>
      </c>
      <c r="N530" s="14">
        <f>INSTOCK!$I530*INSTOCK!$K530</f>
        <v>5869.2</v>
      </c>
      <c r="O530" s="4"/>
      <c r="P530" s="4"/>
    </row>
    <row r="531" ht="15.75" hidden="1" customHeight="1">
      <c r="B531" s="8">
        <v>529.0</v>
      </c>
      <c r="C531" s="9">
        <v>43199.0</v>
      </c>
      <c r="D531" s="6" t="s">
        <v>15</v>
      </c>
      <c r="E531" s="4"/>
      <c r="F531" s="8"/>
      <c r="G531" s="4"/>
      <c r="H531" s="10" t="s">
        <v>548</v>
      </c>
      <c r="I531" s="10">
        <v>5.0</v>
      </c>
      <c r="J531" s="11" t="str">
        <f>IF(D531&lt;&gt;"",VLOOKUP(H531,TABLEITEM,5,FALSE),"")</f>
        <v>M</v>
      </c>
      <c r="K531" s="12">
        <v>868.8</v>
      </c>
      <c r="L531" s="13" t="str">
        <f>IF(D531&lt;&gt;"",VLOOKUP(H531,TABLEITEM,2,FALSE),"")</f>
        <v>Busbar</v>
      </c>
      <c r="M531" s="13" t="str">
        <f>IF(D531&lt;&gt;"",VLOOKUP(H531,TABLEITEM,3,FALSE),"")</f>
        <v>บัสบาร์ทองแดง 2 1/2"x1/4"</v>
      </c>
      <c r="N531" s="14">
        <f>INSTOCK!$I531*INSTOCK!$K531</f>
        <v>4344</v>
      </c>
      <c r="O531" s="4"/>
      <c r="P531" s="4"/>
    </row>
    <row r="532" ht="15.75" hidden="1" customHeight="1">
      <c r="B532" s="8">
        <v>530.0</v>
      </c>
      <c r="C532" s="9">
        <v>43199.0</v>
      </c>
      <c r="D532" s="6" t="s">
        <v>15</v>
      </c>
      <c r="E532" s="4"/>
      <c r="F532" s="8"/>
      <c r="G532" s="4"/>
      <c r="H532" s="10" t="s">
        <v>549</v>
      </c>
      <c r="I532" s="10">
        <v>5.0</v>
      </c>
      <c r="J532" s="11" t="str">
        <f>IF(D532&lt;&gt;"",VLOOKUP(H532,TABLEITEM,5,FALSE),"")</f>
        <v>M</v>
      </c>
      <c r="K532" s="12">
        <v>1452.56</v>
      </c>
      <c r="L532" s="13" t="str">
        <f>IF(D532&lt;&gt;"",VLOOKUP(H532,TABLEITEM,2,FALSE),"")</f>
        <v>Busbar</v>
      </c>
      <c r="M532" s="13" t="str">
        <f>IF(D532&lt;&gt;"",VLOOKUP(H532,TABLEITEM,3,FALSE),"")</f>
        <v>บัสบาร์ทองแดง 2 1/2"x3/8"</v>
      </c>
      <c r="N532" s="14">
        <f>INSTOCK!$I532*INSTOCK!$K532</f>
        <v>7262.8</v>
      </c>
      <c r="O532" s="4"/>
      <c r="P532" s="4"/>
    </row>
    <row r="533" ht="15.75" hidden="1" customHeight="1">
      <c r="B533" s="8">
        <v>531.0</v>
      </c>
      <c r="C533" s="9">
        <v>43199.0</v>
      </c>
      <c r="D533" s="6" t="s">
        <v>15</v>
      </c>
      <c r="E533" s="4"/>
      <c r="F533" s="8"/>
      <c r="G533" s="4"/>
      <c r="H533" s="10" t="s">
        <v>550</v>
      </c>
      <c r="I533" s="10">
        <v>5.0</v>
      </c>
      <c r="J533" s="11" t="str">
        <f>IF(D533&lt;&gt;"",VLOOKUP(H533,TABLEITEM,5,FALSE),"")</f>
        <v>M</v>
      </c>
      <c r="K533" s="12">
        <v>1934.96</v>
      </c>
      <c r="L533" s="13" t="str">
        <f>IF(D533&lt;&gt;"",VLOOKUP(H533,TABLEITEM,2,FALSE),"")</f>
        <v>Busbar</v>
      </c>
      <c r="M533" s="13" t="str">
        <f>IF(D533&lt;&gt;"",VLOOKUP(H533,TABLEITEM,3,FALSE),"")</f>
        <v>บัสบาร์ทองแดง 2 1/2"x1/2"</v>
      </c>
      <c r="N533" s="14">
        <f>INSTOCK!$I533*INSTOCK!$K533</f>
        <v>9674.8</v>
      </c>
      <c r="O533" s="4"/>
      <c r="P533" s="4"/>
    </row>
    <row r="534" ht="15.75" hidden="1" customHeight="1">
      <c r="B534" s="8">
        <v>532.0</v>
      </c>
      <c r="C534" s="9">
        <v>43199.0</v>
      </c>
      <c r="D534" s="6" t="s">
        <v>15</v>
      </c>
      <c r="E534" s="4"/>
      <c r="F534" s="8"/>
      <c r="G534" s="4"/>
      <c r="H534" s="10" t="s">
        <v>551</v>
      </c>
      <c r="I534" s="10">
        <v>15.0</v>
      </c>
      <c r="J534" s="11" t="str">
        <f>IF(D534&lt;&gt;"",VLOOKUP(H534,TABLEITEM,5,FALSE),"")</f>
        <v>M</v>
      </c>
      <c r="K534" s="12">
        <v>2320.88</v>
      </c>
      <c r="L534" s="13" t="str">
        <f>IF(D534&lt;&gt;"",VLOOKUP(H534,TABLEITEM,2,FALSE),"")</f>
        <v>Busbar</v>
      </c>
      <c r="M534" s="13" t="str">
        <f>IF(D534&lt;&gt;"",VLOOKUP(H534,TABLEITEM,3,FALSE),"")</f>
        <v>บัสบาร์ทองแดง 3"x1/2"</v>
      </c>
      <c r="N534" s="14">
        <f>INSTOCK!$I534*INSTOCK!$K534</f>
        <v>34813.2</v>
      </c>
      <c r="O534" s="4"/>
      <c r="P534" s="4"/>
    </row>
    <row r="535" ht="15.75" hidden="1" customHeight="1">
      <c r="B535" s="8">
        <v>533.0</v>
      </c>
      <c r="C535" s="9">
        <v>43199.0</v>
      </c>
      <c r="D535" s="6" t="s">
        <v>15</v>
      </c>
      <c r="E535" s="4"/>
      <c r="F535" s="8"/>
      <c r="G535" s="4"/>
      <c r="H535" s="10" t="s">
        <v>552</v>
      </c>
      <c r="I535" s="10">
        <v>30.0</v>
      </c>
      <c r="J535" s="11" t="str">
        <f>IF(D535&lt;&gt;"",VLOOKUP(H535,TABLEITEM,5,FALSE),"")</f>
        <v>M</v>
      </c>
      <c r="K535" s="12">
        <v>3092.72</v>
      </c>
      <c r="L535" s="13" t="str">
        <f>IF(D535&lt;&gt;"",VLOOKUP(H535,TABLEITEM,2,FALSE),"")</f>
        <v>Busbar</v>
      </c>
      <c r="M535" s="13" t="str">
        <f>IF(D535&lt;&gt;"",VLOOKUP(H535,TABLEITEM,3,FALSE),"")</f>
        <v>บัสบาร์ทองแดง 4"x1/2"</v>
      </c>
      <c r="N535" s="14">
        <f>INSTOCK!$I535*INSTOCK!$K535</f>
        <v>92781.6</v>
      </c>
      <c r="O535" s="4"/>
      <c r="P535" s="4"/>
    </row>
    <row r="536" ht="15.75" hidden="1" customHeight="1">
      <c r="B536" s="8">
        <v>534.0</v>
      </c>
      <c r="C536" s="9">
        <v>43199.0</v>
      </c>
      <c r="D536" s="6" t="s">
        <v>15</v>
      </c>
      <c r="E536" s="4"/>
      <c r="F536" s="8"/>
      <c r="G536" s="4"/>
      <c r="H536" s="10" t="s">
        <v>553</v>
      </c>
      <c r="I536" s="10">
        <v>5.0</v>
      </c>
      <c r="J536" s="11" t="str">
        <f>IF(D536&lt;&gt;"",VLOOKUP(H536,TABLEITEM,5,FALSE),"")</f>
        <v>M</v>
      </c>
      <c r="K536" s="12">
        <v>2899.76</v>
      </c>
      <c r="L536" s="13" t="str">
        <f>IF(D536&lt;&gt;"",VLOOKUP(H536,TABLEITEM,2,FALSE),"")</f>
        <v>Busbar</v>
      </c>
      <c r="M536" s="13" t="str">
        <f>IF(D536&lt;&gt;"",VLOOKUP(H536,TABLEITEM,3,FALSE),"")</f>
        <v>บัสบาร์ทองแดง 5"x3/8"</v>
      </c>
      <c r="N536" s="14">
        <f>INSTOCK!$I536*INSTOCK!$K536</f>
        <v>14498.8</v>
      </c>
      <c r="O536" s="4"/>
      <c r="P536" s="4"/>
    </row>
    <row r="537" ht="15.75" hidden="1" customHeight="1">
      <c r="B537" s="8">
        <v>535.0</v>
      </c>
      <c r="C537" s="9">
        <v>43199.0</v>
      </c>
      <c r="D537" s="6" t="s">
        <v>15</v>
      </c>
      <c r="E537" s="4"/>
      <c r="F537" s="8"/>
      <c r="G537" s="4"/>
      <c r="H537" s="10" t="s">
        <v>554</v>
      </c>
      <c r="I537" s="10">
        <v>10.0</v>
      </c>
      <c r="J537" s="11" t="str">
        <f>IF(D537&lt;&gt;"",VLOOKUP(H537,TABLEITEM,5,FALSE),"")</f>
        <v>M</v>
      </c>
      <c r="K537" s="12">
        <v>3478.64</v>
      </c>
      <c r="L537" s="13" t="str">
        <f>IF(D537&lt;&gt;"",VLOOKUP(H537,TABLEITEM,2,FALSE),"")</f>
        <v>Busbar</v>
      </c>
      <c r="M537" s="13" t="str">
        <f>IF(D537&lt;&gt;"",VLOOKUP(H537,TABLEITEM,3,FALSE),"")</f>
        <v>บัสบาร์ทองแดง 6"x3/8"</v>
      </c>
      <c r="N537" s="14">
        <f>INSTOCK!$I537*INSTOCK!$K537</f>
        <v>34786.4</v>
      </c>
      <c r="O537" s="4"/>
      <c r="P537" s="4"/>
    </row>
    <row r="538" ht="15.75" hidden="1" customHeight="1">
      <c r="B538" s="8">
        <v>536.0</v>
      </c>
      <c r="C538" s="9">
        <v>43199.0</v>
      </c>
      <c r="D538" s="6" t="s">
        <v>15</v>
      </c>
      <c r="E538" s="4"/>
      <c r="F538" s="8"/>
      <c r="G538" s="4"/>
      <c r="H538" s="10" t="s">
        <v>555</v>
      </c>
      <c r="I538" s="10">
        <v>5.0</v>
      </c>
      <c r="J538" s="11" t="str">
        <f>IF(D538&lt;&gt;"",VLOOKUP(H538,TABLEITEM,5,FALSE),"")</f>
        <v>M</v>
      </c>
      <c r="K538" s="12">
        <v>4636.4</v>
      </c>
      <c r="L538" s="13" t="str">
        <f>IF(D538&lt;&gt;"",VLOOKUP(H538,TABLEITEM,2,FALSE),"")</f>
        <v>Busbar</v>
      </c>
      <c r="M538" s="13" t="str">
        <f>IF(D538&lt;&gt;"",VLOOKUP(H538,TABLEITEM,3,FALSE),"")</f>
        <v>บัสบาร์ทองแดง 6"x1/2"</v>
      </c>
      <c r="N538" s="14">
        <f>INSTOCK!$I538*INSTOCK!$K538</f>
        <v>23182</v>
      </c>
      <c r="O538" s="4"/>
      <c r="P538" s="4"/>
    </row>
    <row r="539" ht="15.75" hidden="1" customHeight="1">
      <c r="B539" s="8">
        <v>537.0</v>
      </c>
      <c r="C539" s="9">
        <v>43199.0</v>
      </c>
      <c r="D539" s="6" t="s">
        <v>15</v>
      </c>
      <c r="E539" s="4"/>
      <c r="F539" s="8"/>
      <c r="G539" s="4"/>
      <c r="H539" s="10" t="s">
        <v>556</v>
      </c>
      <c r="I539" s="10">
        <v>35.0</v>
      </c>
      <c r="J539" s="11" t="str">
        <f>IF(D539&lt;&gt;"",VLOOKUP(H539,TABLEITEM,5,FALSE),"")</f>
        <v>M</v>
      </c>
      <c r="K539" s="12">
        <v>238.5</v>
      </c>
      <c r="L539" s="13" t="str">
        <f>IF(D539&lt;&gt;"",VLOOKUP(H539,TABLEITEM,2,FALSE),"")</f>
        <v>Busbar</v>
      </c>
      <c r="M539" s="13" t="str">
        <f>IF(D539&lt;&gt;"",VLOOKUP(H539,TABLEITEM,3,FALSE),"")</f>
        <v>บัสบาร์ทองแดง 20x5</v>
      </c>
      <c r="N539" s="14">
        <f>INSTOCK!$I539*INSTOCK!$K539</f>
        <v>8347.5</v>
      </c>
      <c r="O539" s="4"/>
      <c r="P539" s="4"/>
    </row>
    <row r="540" ht="15.75" hidden="1" customHeight="1">
      <c r="B540" s="8">
        <v>538.0</v>
      </c>
      <c r="C540" s="9">
        <v>43199.0</v>
      </c>
      <c r="D540" s="6" t="s">
        <v>15</v>
      </c>
      <c r="E540" s="4"/>
      <c r="F540" s="8"/>
      <c r="G540" s="4"/>
      <c r="H540" s="10" t="s">
        <v>557</v>
      </c>
      <c r="I540" s="10">
        <v>5.0</v>
      </c>
      <c r="J540" s="11" t="str">
        <f>IF(D540&lt;&gt;"",VLOOKUP(H540,TABLEITEM,5,FALSE),"")</f>
        <v>M</v>
      </c>
      <c r="K540" s="12">
        <v>182.24</v>
      </c>
      <c r="L540" s="13" t="str">
        <f>IF(D540&lt;&gt;"",VLOOKUP(H540,TABLEITEM,2,FALSE),"")</f>
        <v>Busbar</v>
      </c>
      <c r="M540" s="13" t="str">
        <f>IF(D540&lt;&gt;"",VLOOKUP(H540,TABLEITEM,3,FALSE),"")</f>
        <v>บัสบาร์ทองแดง 25x3</v>
      </c>
      <c r="N540" s="14">
        <f>INSTOCK!$I540*INSTOCK!$K540</f>
        <v>911.2</v>
      </c>
      <c r="O540" s="4"/>
      <c r="P540" s="4"/>
    </row>
    <row r="541" ht="15.75" hidden="1" customHeight="1">
      <c r="B541" s="8">
        <v>539.0</v>
      </c>
      <c r="C541" s="9">
        <v>43199.0</v>
      </c>
      <c r="D541" s="6" t="s">
        <v>15</v>
      </c>
      <c r="E541" s="4"/>
      <c r="F541" s="8"/>
      <c r="G541" s="4"/>
      <c r="H541" s="10" t="s">
        <v>558</v>
      </c>
      <c r="I541" s="10">
        <v>55.0</v>
      </c>
      <c r="J541" s="11" t="str">
        <f>IF(D541&lt;&gt;"",VLOOKUP(H541,TABLEITEM,5,FALSE),"")</f>
        <v>M</v>
      </c>
      <c r="K541" s="12">
        <v>257.6</v>
      </c>
      <c r="L541" s="13" t="str">
        <f>IF(D541&lt;&gt;"",VLOOKUP(H541,TABLEITEM,2,FALSE),"")</f>
        <v>Busbar</v>
      </c>
      <c r="M541" s="13" t="str">
        <f>IF(D541&lt;&gt;"",VLOOKUP(H541,TABLEITEM,3,FALSE),"")</f>
        <v>บัสบาร์ทองแดง 25x5</v>
      </c>
      <c r="N541" s="14">
        <f>INSTOCK!$I541*INSTOCK!$K541</f>
        <v>14168</v>
      </c>
      <c r="O541" s="4"/>
      <c r="P541" s="4"/>
    </row>
    <row r="542" ht="15.75" hidden="1" customHeight="1">
      <c r="B542" s="8">
        <v>540.0</v>
      </c>
      <c r="C542" s="9">
        <v>43199.0</v>
      </c>
      <c r="D542" s="6" t="s">
        <v>15</v>
      </c>
      <c r="E542" s="4"/>
      <c r="F542" s="8"/>
      <c r="G542" s="4"/>
      <c r="H542" s="10" t="s">
        <v>559</v>
      </c>
      <c r="I542" s="10">
        <v>25.0</v>
      </c>
      <c r="J542" s="11" t="str">
        <f>IF(D542&lt;&gt;"",VLOOKUP(H542,TABLEITEM,5,FALSE),"")</f>
        <v>M</v>
      </c>
      <c r="K542" s="12">
        <v>308.2</v>
      </c>
      <c r="L542" s="13" t="str">
        <f>IF(D542&lt;&gt;"",VLOOKUP(H542,TABLEITEM,2,FALSE),"")</f>
        <v>Busbar</v>
      </c>
      <c r="M542" s="13" t="str">
        <f>IF(D542&lt;&gt;"",VLOOKUP(H542,TABLEITEM,3,FALSE),"")</f>
        <v>บัสบาร์ทองแดง 30x5</v>
      </c>
      <c r="N542" s="14">
        <f>INSTOCK!$I542*INSTOCK!$K542</f>
        <v>7705</v>
      </c>
      <c r="O542" s="4"/>
      <c r="P542" s="4"/>
    </row>
    <row r="543" ht="15.75" hidden="1" customHeight="1">
      <c r="B543" s="8">
        <v>541.0</v>
      </c>
      <c r="C543" s="9">
        <v>43199.0</v>
      </c>
      <c r="D543" s="6" t="s">
        <v>15</v>
      </c>
      <c r="E543" s="4"/>
      <c r="F543" s="8"/>
      <c r="G543" s="4"/>
      <c r="H543" s="10" t="s">
        <v>560</v>
      </c>
      <c r="I543" s="10">
        <v>10.0</v>
      </c>
      <c r="J543" s="11" t="str">
        <f>IF(D543&lt;&gt;"",VLOOKUP(H543,TABLEITEM,5,FALSE),"")</f>
        <v>M</v>
      </c>
      <c r="K543" s="12">
        <v>737.0</v>
      </c>
      <c r="L543" s="13" t="str">
        <f>IF(D543&lt;&gt;"",VLOOKUP(H543,TABLEITEM,2,FALSE),"")</f>
        <v>Busbar</v>
      </c>
      <c r="M543" s="13" t="str">
        <f>IF(D543&lt;&gt;"",VLOOKUP(H543,TABLEITEM,3,FALSE),"")</f>
        <v>บัสบาร์ทองแดง 30x10</v>
      </c>
      <c r="N543" s="14">
        <f>INSTOCK!$I543*INSTOCK!$K543</f>
        <v>7370</v>
      </c>
      <c r="O543" s="4"/>
      <c r="P543" s="4"/>
    </row>
    <row r="544" ht="15.75" hidden="1" customHeight="1">
      <c r="B544" s="8">
        <v>542.0</v>
      </c>
      <c r="C544" s="9">
        <v>43199.0</v>
      </c>
      <c r="D544" s="6" t="s">
        <v>15</v>
      </c>
      <c r="E544" s="4"/>
      <c r="F544" s="8"/>
      <c r="G544" s="4"/>
      <c r="H544" s="10" t="s">
        <v>561</v>
      </c>
      <c r="I544" s="10">
        <v>20.0</v>
      </c>
      <c r="J544" s="11" t="str">
        <f>IF(D544&lt;&gt;"",VLOOKUP(H544,TABLEITEM,5,FALSE),"")</f>
        <v>M</v>
      </c>
      <c r="K544" s="12">
        <v>823.4</v>
      </c>
      <c r="L544" s="13" t="str">
        <f>IF(D544&lt;&gt;"",VLOOKUP(H544,TABLEITEM,2,FALSE),"")</f>
        <v>Busbar</v>
      </c>
      <c r="M544" s="13" t="str">
        <f>IF(D544&lt;&gt;"",VLOOKUP(H544,TABLEITEM,3,FALSE),"")</f>
        <v>บัสบาร์ทองแดง 40x10</v>
      </c>
      <c r="N544" s="14">
        <f>INSTOCK!$I544*INSTOCK!$K544</f>
        <v>16468</v>
      </c>
      <c r="O544" s="4"/>
      <c r="P544" s="4"/>
    </row>
    <row r="545" ht="15.75" hidden="1" customHeight="1">
      <c r="B545" s="8">
        <v>543.0</v>
      </c>
      <c r="C545" s="9">
        <v>43199.0</v>
      </c>
      <c r="D545" s="6" t="s">
        <v>15</v>
      </c>
      <c r="E545" s="4"/>
      <c r="F545" s="8"/>
      <c r="G545" s="4"/>
      <c r="H545" s="10" t="s">
        <v>562</v>
      </c>
      <c r="I545" s="10">
        <v>5.0</v>
      </c>
      <c r="J545" s="11" t="str">
        <f>IF(D545&lt;&gt;"",VLOOKUP(H545,TABLEITEM,5,FALSE),"")</f>
        <v>M</v>
      </c>
      <c r="K545" s="12">
        <v>1142.4</v>
      </c>
      <c r="L545" s="13" t="str">
        <f>IF(D545&lt;&gt;"",VLOOKUP(H545,TABLEITEM,2,FALSE),"")</f>
        <v>Busbar</v>
      </c>
      <c r="M545" s="13" t="str">
        <f>IF(D545&lt;&gt;"",VLOOKUP(H545,TABLEITEM,3,FALSE),"")</f>
        <v>บัสบาร์ทองแดง 50x10</v>
      </c>
      <c r="N545" s="14">
        <f>INSTOCK!$I545*INSTOCK!$K545</f>
        <v>5712</v>
      </c>
      <c r="O545" s="4"/>
      <c r="P545" s="4"/>
    </row>
    <row r="546" ht="15.75" hidden="1" customHeight="1">
      <c r="B546" s="8">
        <v>544.0</v>
      </c>
      <c r="C546" s="9">
        <v>43199.0</v>
      </c>
      <c r="D546" s="6" t="s">
        <v>15</v>
      </c>
      <c r="E546" s="4"/>
      <c r="F546" s="8"/>
      <c r="G546" s="4"/>
      <c r="H546" s="10" t="s">
        <v>563</v>
      </c>
      <c r="I546" s="10">
        <v>25.0</v>
      </c>
      <c r="J546" s="11" t="str">
        <f>IF(D546&lt;&gt;"",VLOOKUP(H546,TABLEITEM,5,FALSE),"")</f>
        <v>M</v>
      </c>
      <c r="K546" s="12">
        <v>1313.2</v>
      </c>
      <c r="L546" s="13" t="str">
        <f>IF(D546&lt;&gt;"",VLOOKUP(H546,TABLEITEM,2,FALSE),"")</f>
        <v>Busbar</v>
      </c>
      <c r="M546" s="13" t="str">
        <f>IF(D546&lt;&gt;"",VLOOKUP(H546,TABLEITEM,3,FALSE),"")</f>
        <v>บัสบาร์ทองแดง 60x10</v>
      </c>
      <c r="N546" s="14">
        <f>INSTOCK!$I546*INSTOCK!$K546</f>
        <v>32830</v>
      </c>
      <c r="O546" s="4"/>
      <c r="P546" s="4"/>
    </row>
    <row r="547" ht="15.75" hidden="1" customHeight="1">
      <c r="B547" s="8">
        <v>545.0</v>
      </c>
      <c r="C547" s="9">
        <v>43199.0</v>
      </c>
      <c r="D547" s="6" t="s">
        <v>15</v>
      </c>
      <c r="E547" s="4"/>
      <c r="F547" s="8"/>
      <c r="G547" s="4"/>
      <c r="H547" s="10" t="s">
        <v>564</v>
      </c>
      <c r="I547" s="10">
        <v>15.0</v>
      </c>
      <c r="J547" s="11" t="str">
        <f>IF(D547&lt;&gt;"",VLOOKUP(H547,TABLEITEM,5,FALSE),"")</f>
        <v>M</v>
      </c>
      <c r="K547" s="12">
        <v>2056.2</v>
      </c>
      <c r="L547" s="13" t="str">
        <f>IF(D547&lt;&gt;"",VLOOKUP(H547,TABLEITEM,2,FALSE),"")</f>
        <v>Busbar</v>
      </c>
      <c r="M547" s="13" t="str">
        <f>IF(D547&lt;&gt;"",VLOOKUP(H547,TABLEITEM,3,FALSE),"")</f>
        <v>บัสบาร์ทองแดง 100x10</v>
      </c>
      <c r="N547" s="14">
        <f>INSTOCK!$I547*INSTOCK!$K547</f>
        <v>30843</v>
      </c>
      <c r="O547" s="4"/>
      <c r="P547" s="4"/>
    </row>
    <row r="548" ht="15.75" hidden="1" customHeight="1">
      <c r="B548" s="8">
        <v>546.0</v>
      </c>
      <c r="C548" s="9">
        <v>43199.0</v>
      </c>
      <c r="D548" s="6" t="s">
        <v>15</v>
      </c>
      <c r="E548" s="4"/>
      <c r="F548" s="8"/>
      <c r="G548" s="4"/>
      <c r="H548" s="10" t="s">
        <v>565</v>
      </c>
      <c r="I548" s="10">
        <v>10.0</v>
      </c>
      <c r="J548" s="11" t="str">
        <f>IF(D548&lt;&gt;"",VLOOKUP(H548,TABLEITEM,5,FALSE),"")</f>
        <v>M</v>
      </c>
      <c r="K548" s="12">
        <v>2872.96</v>
      </c>
      <c r="L548" s="13" t="str">
        <f>IF(D548&lt;&gt;"",VLOOKUP(H548,TABLEITEM,2,FALSE),"")</f>
        <v>Busbar</v>
      </c>
      <c r="M548" s="13" t="str">
        <f>IF(D548&lt;&gt;"",VLOOKUP(H548,TABLEITEM,3,FALSE),"")</f>
        <v>บัสบาร์ทองแดง 120x10</v>
      </c>
      <c r="N548" s="14">
        <f>INSTOCK!$I548*INSTOCK!$K548</f>
        <v>28729.6</v>
      </c>
      <c r="O548" s="4"/>
      <c r="P548" s="4"/>
    </row>
    <row r="549" ht="15.75" hidden="1" customHeight="1">
      <c r="B549" s="8">
        <v>547.0</v>
      </c>
      <c r="C549" s="9">
        <v>43199.0</v>
      </c>
      <c r="D549" s="6" t="s">
        <v>15</v>
      </c>
      <c r="E549" s="4"/>
      <c r="F549" s="8"/>
      <c r="G549" s="4"/>
      <c r="H549" s="10" t="s">
        <v>566</v>
      </c>
      <c r="I549" s="10">
        <v>2.0</v>
      </c>
      <c r="J549" s="11" t="str">
        <f>IF(D549&lt;&gt;"",VLOOKUP(H549,TABLEITEM,5,FALSE),"")</f>
        <v>แผ่น</v>
      </c>
      <c r="K549" s="12">
        <v>20368.0</v>
      </c>
      <c r="L549" s="13" t="str">
        <f>IF(D549&lt;&gt;"",VLOOKUP(H549,TABLEITEM,2,FALSE),"")</f>
        <v>Busbar</v>
      </c>
      <c r="M549" s="13" t="str">
        <f>IF(D549&lt;&gt;"",VLOOKUP(H549,TABLEITEM,3,FALSE),"")</f>
        <v>บัสบาร์ทองแดง 2MM(4x8)แผ่น</v>
      </c>
      <c r="N549" s="14">
        <f>INSTOCK!$I549*INSTOCK!$K549</f>
        <v>40736</v>
      </c>
      <c r="O549" s="4"/>
      <c r="P549" s="4"/>
    </row>
    <row r="550" ht="15.75" hidden="1" customHeight="1">
      <c r="B550" s="8">
        <v>548.0</v>
      </c>
      <c r="C550" s="9">
        <v>43199.0</v>
      </c>
      <c r="D550" s="6" t="s">
        <v>15</v>
      </c>
      <c r="E550" s="4"/>
      <c r="F550" s="8"/>
      <c r="G550" s="4"/>
      <c r="H550" s="10" t="s">
        <v>567</v>
      </c>
      <c r="I550" s="10">
        <v>1.0</v>
      </c>
      <c r="J550" s="11" t="str">
        <f>IF(D550&lt;&gt;"",VLOOKUP(H550,TABLEITEM,5,FALSE),"")</f>
        <v>แผ่น</v>
      </c>
      <c r="K550" s="12">
        <v>30780.0</v>
      </c>
      <c r="L550" s="13" t="str">
        <f>IF(D550&lt;&gt;"",VLOOKUP(H550,TABLEITEM,2,FALSE),"")</f>
        <v>Busbar</v>
      </c>
      <c r="M550" s="13" t="str">
        <f>IF(D550&lt;&gt;"",VLOOKUP(H550,TABLEITEM,3,FALSE),"")</f>
        <v>บัสบาร์ทองแดง 3MM(4x8)แผ่น</v>
      </c>
      <c r="N550" s="14">
        <f>INSTOCK!$I550*INSTOCK!$K550</f>
        <v>30780</v>
      </c>
      <c r="O550" s="4"/>
      <c r="P550" s="4"/>
    </row>
    <row r="551" ht="15.75" hidden="1" customHeight="1">
      <c r="B551" s="8">
        <v>549.0</v>
      </c>
      <c r="C551" s="9">
        <v>43199.0</v>
      </c>
      <c r="D551" s="6" t="s">
        <v>15</v>
      </c>
      <c r="E551" s="4"/>
      <c r="F551" s="8"/>
      <c r="G551" s="4"/>
      <c r="H551" s="10" t="s">
        <v>568</v>
      </c>
      <c r="I551" s="10">
        <v>64.0</v>
      </c>
      <c r="J551" s="11" t="str">
        <f>IF(D551&lt;&gt;"",VLOOKUP(H551,TABLEITEM,5,FALSE),"")</f>
        <v>EA</v>
      </c>
      <c r="K551" s="12"/>
      <c r="L551" s="13" t="str">
        <f>IF(D551&lt;&gt;"",VLOOKUP(H551,TABLEITEM,2,FALSE),"")</f>
        <v>Busbar</v>
      </c>
      <c r="M551" s="13" t="str">
        <f>IF(D551&lt;&gt;"",VLOOKUP(H551,TABLEITEM,3,FALSE),"")</f>
        <v>ลักต่อบาร์ตัวแซด</v>
      </c>
      <c r="N551" s="14">
        <f>INSTOCK!$I551*INSTOCK!$K551</f>
        <v>0</v>
      </c>
      <c r="O551" s="4"/>
      <c r="P551" s="4"/>
    </row>
    <row r="552" ht="15.75" hidden="1" customHeight="1">
      <c r="B552" s="8">
        <v>550.0</v>
      </c>
      <c r="C552" s="9">
        <v>43199.0</v>
      </c>
      <c r="D552" s="6" t="s">
        <v>15</v>
      </c>
      <c r="E552" s="4"/>
      <c r="F552" s="8"/>
      <c r="G552" s="4" t="s">
        <v>569</v>
      </c>
      <c r="H552" s="10" t="s">
        <v>570</v>
      </c>
      <c r="I552" s="10">
        <v>35.0</v>
      </c>
      <c r="J552" s="11" t="str">
        <f>IF(D552&lt;&gt;"",VLOOKUP(H552,TABLEITEM,5,FALSE),"")</f>
        <v>EA</v>
      </c>
      <c r="K552" s="12"/>
      <c r="L552" s="13" t="str">
        <f>IF(D552&lt;&gt;"",VLOOKUP(H552,TABLEITEM,2,FALSE),"")</f>
        <v>Busbar</v>
      </c>
      <c r="M552" s="13" t="str">
        <f>IF(D552&lt;&gt;"",VLOOKUP(H552,TABLEITEM,3,FALSE),"")</f>
        <v>ลักต่อบาร์ตัวตรง</v>
      </c>
      <c r="N552" s="14">
        <f>INSTOCK!$I552*INSTOCK!$K552</f>
        <v>0</v>
      </c>
      <c r="O552" s="4"/>
      <c r="P552" s="4"/>
    </row>
    <row r="553" ht="15.75" hidden="1" customHeight="1">
      <c r="B553" s="8">
        <v>551.0</v>
      </c>
      <c r="C553" s="9">
        <v>43199.0</v>
      </c>
      <c r="D553" s="6" t="s">
        <v>15</v>
      </c>
      <c r="E553" s="4"/>
      <c r="F553" s="8"/>
      <c r="G553" s="4"/>
      <c r="H553" s="10" t="s">
        <v>571</v>
      </c>
      <c r="I553" s="10">
        <v>231.0</v>
      </c>
      <c r="J553" s="11" t="str">
        <f>IF(D553&lt;&gt;"",VLOOKUP(H553,TABLEITEM,5,FALSE),"")</f>
        <v>EA</v>
      </c>
      <c r="K553" s="12"/>
      <c r="L553" s="13" t="str">
        <f>IF(D553&lt;&gt;"",VLOOKUP(H553,TABLEITEM,2,FALSE),"")</f>
        <v>Busbar</v>
      </c>
      <c r="M553" s="13" t="str">
        <f>IF(D553&lt;&gt;"",VLOOKUP(H553,TABLEITEM,3,FALSE),"")</f>
        <v>บัสบาร์ BS-12-224-2 บน</v>
      </c>
      <c r="N553" s="14">
        <f>INSTOCK!$I553*INSTOCK!$K553</f>
        <v>0</v>
      </c>
      <c r="O553" s="4"/>
      <c r="P553" s="4"/>
    </row>
    <row r="554" ht="15.75" hidden="1" customHeight="1">
      <c r="B554" s="8">
        <v>552.0</v>
      </c>
      <c r="C554" s="9">
        <v>43199.0</v>
      </c>
      <c r="D554" s="6" t="s">
        <v>15</v>
      </c>
      <c r="E554" s="4"/>
      <c r="F554" s="8"/>
      <c r="G554" s="4"/>
      <c r="H554" s="10" t="s">
        <v>572</v>
      </c>
      <c r="I554" s="10">
        <v>94.0</v>
      </c>
      <c r="J554" s="11" t="str">
        <f>IF(D554&lt;&gt;"",VLOOKUP(H554,TABLEITEM,5,FALSE),"")</f>
        <v>EA</v>
      </c>
      <c r="K554" s="12"/>
      <c r="L554" s="13" t="str">
        <f>IF(D554&lt;&gt;"",VLOOKUP(H554,TABLEITEM,2,FALSE),"")</f>
        <v>Busbar</v>
      </c>
      <c r="M554" s="13" t="str">
        <f>IF(D554&lt;&gt;"",VLOOKUP(H554,TABLEITEM,3,FALSE),"")</f>
        <v>บัสบาร์ BS-12-224-2 กลาง</v>
      </c>
      <c r="N554" s="14">
        <f>INSTOCK!$I554*INSTOCK!$K554</f>
        <v>0</v>
      </c>
      <c r="O554" s="4"/>
      <c r="P554" s="4"/>
    </row>
    <row r="555" ht="15.75" hidden="1" customHeight="1">
      <c r="B555" s="8">
        <v>553.0</v>
      </c>
      <c r="C555" s="9">
        <v>43199.0</v>
      </c>
      <c r="D555" s="6" t="s">
        <v>15</v>
      </c>
      <c r="E555" s="4"/>
      <c r="F555" s="8"/>
      <c r="G555" s="4"/>
      <c r="H555" s="10" t="s">
        <v>573</v>
      </c>
      <c r="I555" s="10">
        <v>95.0</v>
      </c>
      <c r="J555" s="11" t="str">
        <f>IF(D555&lt;&gt;"",VLOOKUP(H555,TABLEITEM,5,FALSE),"")</f>
        <v>EA</v>
      </c>
      <c r="K555" s="12"/>
      <c r="L555" s="13" t="str">
        <f>IF(D555&lt;&gt;"",VLOOKUP(H555,TABLEITEM,2,FALSE),"")</f>
        <v>Busbar</v>
      </c>
      <c r="M555" s="13" t="str">
        <f>IF(D555&lt;&gt;"",VLOOKUP(H555,TABLEITEM,3,FALSE),"")</f>
        <v>บัสบาร์ BS-15-224-2 บน</v>
      </c>
      <c r="N555" s="14">
        <f>INSTOCK!$I555*INSTOCK!$K555</f>
        <v>0</v>
      </c>
      <c r="O555" s="4"/>
      <c r="P555" s="4"/>
    </row>
    <row r="556" ht="15.75" hidden="1" customHeight="1">
      <c r="B556" s="8">
        <v>554.0</v>
      </c>
      <c r="C556" s="9">
        <v>43199.0</v>
      </c>
      <c r="D556" s="6" t="s">
        <v>15</v>
      </c>
      <c r="E556" s="4"/>
      <c r="F556" s="8"/>
      <c r="G556" s="4"/>
      <c r="H556" s="10" t="s">
        <v>574</v>
      </c>
      <c r="I556" s="10">
        <v>25.0</v>
      </c>
      <c r="J556" s="11" t="str">
        <f>IF(D556&lt;&gt;"",VLOOKUP(H556,TABLEITEM,5,FALSE),"")</f>
        <v>EA</v>
      </c>
      <c r="K556" s="12"/>
      <c r="L556" s="13" t="str">
        <f>IF(D556&lt;&gt;"",VLOOKUP(H556,TABLEITEM,2,FALSE),"")</f>
        <v>Busbar</v>
      </c>
      <c r="M556" s="13" t="str">
        <f>IF(D556&lt;&gt;"",VLOOKUP(H556,TABLEITEM,3,FALSE),"")</f>
        <v>บัสบาร์ BS-15-224-2 กลาง</v>
      </c>
      <c r="N556" s="14">
        <f>INSTOCK!$I556*INSTOCK!$K556</f>
        <v>0</v>
      </c>
      <c r="O556" s="4"/>
      <c r="P556" s="4"/>
    </row>
    <row r="557" ht="15.75" hidden="1" customHeight="1">
      <c r="B557" s="8">
        <v>555.0</v>
      </c>
      <c r="C557" s="9">
        <v>43199.0</v>
      </c>
      <c r="D557" s="6" t="s">
        <v>15</v>
      </c>
      <c r="E557" s="4"/>
      <c r="F557" s="8"/>
      <c r="G557" s="4"/>
      <c r="H557" s="10" t="s">
        <v>575</v>
      </c>
      <c r="I557" s="10">
        <v>14.0</v>
      </c>
      <c r="J557" s="11" t="str">
        <f>IF(D557&lt;&gt;"",VLOOKUP(H557,TABLEITEM,5,FALSE),"")</f>
        <v>EA</v>
      </c>
      <c r="K557" s="12"/>
      <c r="L557" s="13" t="str">
        <f>IF(D557&lt;&gt;"",VLOOKUP(H557,TABLEITEM,2,FALSE),"")</f>
        <v>Busbar</v>
      </c>
      <c r="M557" s="13" t="str">
        <f>IF(D557&lt;&gt;"",VLOOKUP(H557,TABLEITEM,3,FALSE),"")</f>
        <v>บัสบาร์ BS-20-213-2 บน</v>
      </c>
      <c r="N557" s="14">
        <f>INSTOCK!$I557*INSTOCK!$K557</f>
        <v>0</v>
      </c>
      <c r="O557" s="4"/>
      <c r="P557" s="4"/>
    </row>
    <row r="558" ht="15.75" hidden="1" customHeight="1">
      <c r="B558" s="8">
        <v>556.0</v>
      </c>
      <c r="C558" s="9">
        <v>43199.0</v>
      </c>
      <c r="D558" s="6" t="s">
        <v>15</v>
      </c>
      <c r="E558" s="4"/>
      <c r="F558" s="8"/>
      <c r="G558" s="4"/>
      <c r="H558" s="10" t="s">
        <v>576</v>
      </c>
      <c r="I558" s="10">
        <v>14.0</v>
      </c>
      <c r="J558" s="11" t="str">
        <f>IF(D558&lt;&gt;"",VLOOKUP(H558,TABLEITEM,5,FALSE),"")</f>
        <v>EA</v>
      </c>
      <c r="K558" s="12"/>
      <c r="L558" s="13" t="str">
        <f>IF(D558&lt;&gt;"",VLOOKUP(H558,TABLEITEM,2,FALSE),"")</f>
        <v>Busbar</v>
      </c>
      <c r="M558" s="13" t="str">
        <f>IF(D558&lt;&gt;"",VLOOKUP(H558,TABLEITEM,3,FALSE),"")</f>
        <v>บัสบาร์ BS-20-213-2 กลาง</v>
      </c>
      <c r="N558" s="14">
        <f>INSTOCK!$I558*INSTOCK!$K558</f>
        <v>0</v>
      </c>
      <c r="O558" s="4"/>
      <c r="P558" s="4"/>
    </row>
    <row r="559" ht="15.75" hidden="1" customHeight="1">
      <c r="B559" s="8">
        <v>557.0</v>
      </c>
      <c r="C559" s="9">
        <v>43199.0</v>
      </c>
      <c r="D559" s="6" t="s">
        <v>15</v>
      </c>
      <c r="E559" s="4"/>
      <c r="F559" s="8"/>
      <c r="G559" s="4"/>
      <c r="H559" s="10" t="s">
        <v>577</v>
      </c>
      <c r="I559" s="10">
        <v>36.0</v>
      </c>
      <c r="J559" s="11" t="str">
        <f>IF(D559&lt;&gt;"",VLOOKUP(H559,TABLEITEM,5,FALSE),"")</f>
        <v>EA</v>
      </c>
      <c r="K559" s="12"/>
      <c r="L559" s="13" t="str">
        <f>IF(D559&lt;&gt;"",VLOOKUP(H559,TABLEITEM,2,FALSE),"")</f>
        <v>Busbar</v>
      </c>
      <c r="M559" s="13" t="str">
        <f>IF(D559&lt;&gt;"",VLOOKUP(H559,TABLEITEM,3,FALSE),"")</f>
        <v>บัสบาร์ BS-20-196-3 บน</v>
      </c>
      <c r="N559" s="14">
        <f>INSTOCK!$I559*INSTOCK!$K559</f>
        <v>0</v>
      </c>
      <c r="O559" s="4"/>
      <c r="P559" s="4"/>
    </row>
    <row r="560" ht="15.75" hidden="1" customHeight="1">
      <c r="B560" s="8">
        <v>558.0</v>
      </c>
      <c r="C560" s="9">
        <v>43199.0</v>
      </c>
      <c r="D560" s="6" t="s">
        <v>15</v>
      </c>
      <c r="E560" s="4"/>
      <c r="F560" s="8"/>
      <c r="G560" s="4"/>
      <c r="H560" s="10" t="s">
        <v>578</v>
      </c>
      <c r="I560" s="10">
        <v>18.0</v>
      </c>
      <c r="J560" s="11" t="str">
        <f>IF(D560&lt;&gt;"",VLOOKUP(H560,TABLEITEM,5,FALSE),"")</f>
        <v>EA</v>
      </c>
      <c r="K560" s="12"/>
      <c r="L560" s="13" t="str">
        <f>IF(D560&lt;&gt;"",VLOOKUP(H560,TABLEITEM,2,FALSE),"")</f>
        <v>Busbar</v>
      </c>
      <c r="M560" s="13" t="str">
        <f>IF(D560&lt;&gt;"",VLOOKUP(H560,TABLEITEM,3,FALSE),"")</f>
        <v>บัสบาร์ BS-20-196-3 กลาง</v>
      </c>
      <c r="N560" s="14">
        <f>INSTOCK!$I560*INSTOCK!$K560</f>
        <v>0</v>
      </c>
      <c r="O560" s="4"/>
      <c r="P560" s="4"/>
    </row>
    <row r="561" ht="15.75" hidden="1" customHeight="1">
      <c r="B561" s="8">
        <v>559.0</v>
      </c>
      <c r="C561" s="9">
        <v>43199.0</v>
      </c>
      <c r="D561" s="6" t="s">
        <v>15</v>
      </c>
      <c r="E561" s="4"/>
      <c r="F561" s="8"/>
      <c r="G561" s="4"/>
      <c r="H561" s="10" t="s">
        <v>579</v>
      </c>
      <c r="I561" s="10">
        <v>22.0</v>
      </c>
      <c r="J561" s="11" t="str">
        <f>IF(D561&lt;&gt;"",VLOOKUP(H561,TABLEITEM,5,FALSE),"")</f>
        <v>EA</v>
      </c>
      <c r="K561" s="12"/>
      <c r="L561" s="13" t="str">
        <f>IF(D561&lt;&gt;"",VLOOKUP(H561,TABLEITEM,2,FALSE),"")</f>
        <v>Busbar</v>
      </c>
      <c r="M561" s="13" t="str">
        <f>IF(D561&lt;&gt;"",VLOOKUP(H561,TABLEITEM,3,FALSE),"")</f>
        <v>บัสบาร์ BS-20-220-3 บน</v>
      </c>
      <c r="N561" s="14">
        <f>INSTOCK!$I561*INSTOCK!$K561</f>
        <v>0</v>
      </c>
      <c r="O561" s="4"/>
      <c r="P561" s="4"/>
    </row>
    <row r="562" ht="15.75" hidden="1" customHeight="1">
      <c r="B562" s="8">
        <v>560.0</v>
      </c>
      <c r="C562" s="9">
        <v>43199.0</v>
      </c>
      <c r="D562" s="6" t="s">
        <v>15</v>
      </c>
      <c r="E562" s="4"/>
      <c r="F562" s="8"/>
      <c r="G562" s="4"/>
      <c r="H562" s="10" t="s">
        <v>580</v>
      </c>
      <c r="I562" s="10">
        <v>10.0</v>
      </c>
      <c r="J562" s="11" t="str">
        <f>IF(D562&lt;&gt;"",VLOOKUP(H562,TABLEITEM,5,FALSE),"")</f>
        <v>EA</v>
      </c>
      <c r="K562" s="12"/>
      <c r="L562" s="13" t="str">
        <f>IF(D562&lt;&gt;"",VLOOKUP(H562,TABLEITEM,2,FALSE),"")</f>
        <v>Busbar</v>
      </c>
      <c r="M562" s="13" t="str">
        <f>IF(D562&lt;&gt;"",VLOOKUP(H562,TABLEITEM,3,FALSE),"")</f>
        <v>บัสบาร์ BS-20-220-3 กลาง</v>
      </c>
      <c r="N562" s="14">
        <f>INSTOCK!$I562*INSTOCK!$K562</f>
        <v>0</v>
      </c>
      <c r="O562" s="4"/>
      <c r="P562" s="4"/>
    </row>
    <row r="563" ht="15.75" hidden="1" customHeight="1">
      <c r="B563" s="8">
        <v>561.0</v>
      </c>
      <c r="C563" s="9">
        <v>43199.0</v>
      </c>
      <c r="D563" s="6" t="s">
        <v>15</v>
      </c>
      <c r="E563" s="4"/>
      <c r="F563" s="8"/>
      <c r="G563" s="4"/>
      <c r="H563" s="10" t="s">
        <v>581</v>
      </c>
      <c r="I563" s="10">
        <v>21.0</v>
      </c>
      <c r="J563" s="11" t="str">
        <f>IF(D563&lt;&gt;"",VLOOKUP(H563,TABLEITEM,5,FALSE),"")</f>
        <v>EA</v>
      </c>
      <c r="K563" s="12"/>
      <c r="L563" s="13" t="str">
        <f>IF(D563&lt;&gt;"",VLOOKUP(H563,TABLEITEM,2,FALSE),"")</f>
        <v>Busbar</v>
      </c>
      <c r="M563" s="13" t="str">
        <f>IF(D563&lt;&gt;"",VLOOKUP(H563,TABLEITEM,3,FALSE),"")</f>
        <v>บัสบาร์ BS-15-280-2 บน</v>
      </c>
      <c r="N563" s="14">
        <f>INSTOCK!$I563*INSTOCK!$K563</f>
        <v>0</v>
      </c>
      <c r="O563" s="4"/>
      <c r="P563" s="4"/>
    </row>
    <row r="564" ht="15.75" hidden="1" customHeight="1">
      <c r="B564" s="8">
        <v>562.0</v>
      </c>
      <c r="C564" s="9">
        <v>43199.0</v>
      </c>
      <c r="D564" s="6" t="s">
        <v>15</v>
      </c>
      <c r="E564" s="4"/>
      <c r="F564" s="8"/>
      <c r="G564" s="4"/>
      <c r="H564" s="10" t="s">
        <v>582</v>
      </c>
      <c r="I564" s="10">
        <v>11.0</v>
      </c>
      <c r="J564" s="11" t="str">
        <f>IF(D564&lt;&gt;"",VLOOKUP(H564,TABLEITEM,5,FALSE),"")</f>
        <v>EA</v>
      </c>
      <c r="K564" s="12"/>
      <c r="L564" s="13" t="str">
        <f>IF(D564&lt;&gt;"",VLOOKUP(H564,TABLEITEM,2,FALSE),"")</f>
        <v>Busbar</v>
      </c>
      <c r="M564" s="13" t="str">
        <f>IF(D564&lt;&gt;"",VLOOKUP(H564,TABLEITEM,3,FALSE),"")</f>
        <v>บัสบาร์ BS-15-280-2 กลาง</v>
      </c>
      <c r="N564" s="14">
        <f>INSTOCK!$I564*INSTOCK!$K564</f>
        <v>0</v>
      </c>
      <c r="O564" s="4"/>
      <c r="P564" s="4"/>
    </row>
    <row r="565" ht="15.75" hidden="1" customHeight="1">
      <c r="B565" s="8">
        <v>563.0</v>
      </c>
      <c r="C565" s="9">
        <v>43199.0</v>
      </c>
      <c r="D565" s="6" t="s">
        <v>15</v>
      </c>
      <c r="E565" s="4"/>
      <c r="F565" s="8"/>
      <c r="G565" s="4" t="s">
        <v>583</v>
      </c>
      <c r="H565" s="10" t="s">
        <v>584</v>
      </c>
      <c r="I565" s="10">
        <v>336.0</v>
      </c>
      <c r="J565" s="11" t="str">
        <f>IF(D565&lt;&gt;"",VLOOKUP(H565,TABLEITEM,5,FALSE),"")</f>
        <v>EA</v>
      </c>
      <c r="K565" s="12">
        <v>113.75</v>
      </c>
      <c r="L565" s="13" t="str">
        <f>IF(D565&lt;&gt;"",VLOOKUP(H565,TABLEITEM,2,FALSE),"")</f>
        <v>Support</v>
      </c>
      <c r="M565" s="13" t="str">
        <f>IF(D565&lt;&gt;"",VLOOKUP(H565,TABLEITEM,3,FALSE),"")</f>
        <v>SUPPORT VFM S7 2030 180</v>
      </c>
      <c r="N565" s="14">
        <f>INSTOCK!$I565*INSTOCK!$K565</f>
        <v>38220</v>
      </c>
      <c r="O565" s="4" t="s">
        <v>585</v>
      </c>
      <c r="P565" s="4"/>
    </row>
    <row r="566" ht="15.75" hidden="1" customHeight="1">
      <c r="B566" s="8">
        <v>564.0</v>
      </c>
      <c r="C566" s="9">
        <v>43199.0</v>
      </c>
      <c r="D566" s="6" t="s">
        <v>15</v>
      </c>
      <c r="E566" s="4"/>
      <c r="F566" s="8"/>
      <c r="G566" s="4" t="s">
        <v>583</v>
      </c>
      <c r="H566" s="10" t="s">
        <v>586</v>
      </c>
      <c r="I566" s="10">
        <v>461.0</v>
      </c>
      <c r="J566" s="11" t="str">
        <f>IF(D566&lt;&gt;"",VLOOKUP(H566,TABLEITEM,5,FALSE),"")</f>
        <v>EA</v>
      </c>
      <c r="K566" s="12">
        <v>113.75</v>
      </c>
      <c r="L566" s="13" t="str">
        <f>IF(D566&lt;&gt;"",VLOOKUP(H566,TABLEITEM,2,FALSE),"")</f>
        <v>Support</v>
      </c>
      <c r="M566" s="13" t="str">
        <f>IF(D566&lt;&gt;"",VLOOKUP(H566,TABLEITEM,3,FALSE),"")</f>
        <v>SUPPORT VFM S11 2030 180</v>
      </c>
      <c r="N566" s="14">
        <f>INSTOCK!$I566*INSTOCK!$K566</f>
        <v>52438.75</v>
      </c>
      <c r="O566" s="4" t="s">
        <v>585</v>
      </c>
      <c r="P566" s="4"/>
    </row>
    <row r="567" ht="15.75" hidden="1" customHeight="1">
      <c r="B567" s="8">
        <v>565.0</v>
      </c>
      <c r="C567" s="9">
        <v>43199.0</v>
      </c>
      <c r="D567" s="6" t="s">
        <v>15</v>
      </c>
      <c r="E567" s="4"/>
      <c r="F567" s="8"/>
      <c r="G567" s="4" t="s">
        <v>583</v>
      </c>
      <c r="H567" s="10" t="s">
        <v>587</v>
      </c>
      <c r="I567" s="10">
        <v>431.0</v>
      </c>
      <c r="J567" s="11" t="str">
        <f>IF(D567&lt;&gt;"",VLOOKUP(H567,TABLEITEM,5,FALSE),"")</f>
        <v>EA</v>
      </c>
      <c r="K567" s="12">
        <v>113.75</v>
      </c>
      <c r="L567" s="13" t="str">
        <f>IF(D567&lt;&gt;"",VLOOKUP(H567,TABLEITEM,2,FALSE),"")</f>
        <v>Support</v>
      </c>
      <c r="M567" s="13" t="str">
        <f>IF(D567&lt;&gt;"",VLOOKUP(H567,TABLEITEM,3,FALSE),"")</f>
        <v>SUPPORT VFM S13.5 2030 180</v>
      </c>
      <c r="N567" s="14">
        <f>INSTOCK!$I567*INSTOCK!$K567</f>
        <v>49026.25</v>
      </c>
      <c r="O567" s="4" t="s">
        <v>585</v>
      </c>
      <c r="P567" s="4"/>
    </row>
    <row r="568" ht="15.75" hidden="1" customHeight="1">
      <c r="B568" s="8">
        <v>566.0</v>
      </c>
      <c r="C568" s="9">
        <v>43199.0</v>
      </c>
      <c r="D568" s="6" t="s">
        <v>15</v>
      </c>
      <c r="E568" s="4"/>
      <c r="F568" s="8"/>
      <c r="G568" s="4" t="s">
        <v>583</v>
      </c>
      <c r="H568" s="10" t="s">
        <v>588</v>
      </c>
      <c r="I568" s="10">
        <v>670.0</v>
      </c>
      <c r="J568" s="11" t="str">
        <f>IF(D568&lt;&gt;"",VLOOKUP(H568,TABLEITEM,5,FALSE),"")</f>
        <v>EA</v>
      </c>
      <c r="K568" s="12">
        <v>188.5</v>
      </c>
      <c r="L568" s="13" t="str">
        <f>IF(D568&lt;&gt;"",VLOOKUP(H568,TABLEITEM,2,FALSE),"")</f>
        <v>Support</v>
      </c>
      <c r="M568" s="13" t="str">
        <f>IF(D568&lt;&gt;"",VLOOKUP(H568,TABLEITEM,3,FALSE),"")</f>
        <v>SUPPORT VFM D7 2040 270</v>
      </c>
      <c r="N568" s="14">
        <f>INSTOCK!$I568*INSTOCK!$K568</f>
        <v>126295</v>
      </c>
      <c r="O568" s="4" t="s">
        <v>589</v>
      </c>
      <c r="P568" s="4"/>
    </row>
    <row r="569" ht="15.75" hidden="1" customHeight="1">
      <c r="B569" s="8">
        <v>567.0</v>
      </c>
      <c r="C569" s="9">
        <v>43199.0</v>
      </c>
      <c r="D569" s="6" t="s">
        <v>15</v>
      </c>
      <c r="E569" s="4"/>
      <c r="F569" s="8"/>
      <c r="G569" s="4" t="s">
        <v>583</v>
      </c>
      <c r="H569" s="10" t="s">
        <v>590</v>
      </c>
      <c r="I569" s="10">
        <v>418.0</v>
      </c>
      <c r="J569" s="11" t="str">
        <f>IF(D569&lt;&gt;"",VLOOKUP(H569,TABLEITEM,5,FALSE),"")</f>
        <v>EA</v>
      </c>
      <c r="K569" s="12">
        <v>188.5</v>
      </c>
      <c r="L569" s="13" t="str">
        <f>IF(D569&lt;&gt;"",VLOOKUP(H569,TABLEITEM,2,FALSE),"")</f>
        <v>Support</v>
      </c>
      <c r="M569" s="13" t="str">
        <f>IF(D569&lt;&gt;"",VLOOKUP(H569,TABLEITEM,3,FALSE),"")</f>
        <v>SUPPORT VFM D11 2040 270</v>
      </c>
      <c r="N569" s="14">
        <f>INSTOCK!$I569*INSTOCK!$K569</f>
        <v>78793</v>
      </c>
      <c r="O569" s="4" t="s">
        <v>589</v>
      </c>
      <c r="P569" s="4"/>
    </row>
    <row r="570" ht="15.75" hidden="1" customHeight="1">
      <c r="B570" s="8">
        <v>568.0</v>
      </c>
      <c r="C570" s="9">
        <v>43199.0</v>
      </c>
      <c r="D570" s="6" t="s">
        <v>15</v>
      </c>
      <c r="E570" s="4"/>
      <c r="F570" s="8"/>
      <c r="G570" s="4" t="s">
        <v>583</v>
      </c>
      <c r="H570" s="10" t="s">
        <v>591</v>
      </c>
      <c r="I570" s="10">
        <v>474.0</v>
      </c>
      <c r="J570" s="11" t="str">
        <f>IF(D570&lt;&gt;"",VLOOKUP(H570,TABLEITEM,5,FALSE),"")</f>
        <v>EA</v>
      </c>
      <c r="K570" s="12">
        <v>188.5</v>
      </c>
      <c r="L570" s="13" t="str">
        <f>IF(D570&lt;&gt;"",VLOOKUP(H570,TABLEITEM,2,FALSE),"")</f>
        <v>Support</v>
      </c>
      <c r="M570" s="13" t="str">
        <f>IF(D570&lt;&gt;"",VLOOKUP(H570,TABLEITEM,3,FALSE),"")</f>
        <v>SUPPORT VFM D13.5 2040 270</v>
      </c>
      <c r="N570" s="14">
        <f>INSTOCK!$I570*INSTOCK!$K570</f>
        <v>89349</v>
      </c>
      <c r="O570" s="4" t="s">
        <v>589</v>
      </c>
      <c r="P570" s="4"/>
    </row>
    <row r="571" ht="15.75" hidden="1" customHeight="1">
      <c r="B571" s="8">
        <v>569.0</v>
      </c>
      <c r="C571" s="9">
        <v>43199.0</v>
      </c>
      <c r="D571" s="6" t="s">
        <v>15</v>
      </c>
      <c r="E571" s="4"/>
      <c r="F571" s="8"/>
      <c r="G571" s="4" t="s">
        <v>583</v>
      </c>
      <c r="H571" s="10" t="s">
        <v>592</v>
      </c>
      <c r="I571" s="10">
        <v>198.0</v>
      </c>
      <c r="J571" s="11" t="str">
        <f>IF(D571&lt;&gt;"",VLOOKUP(H571,TABLEITEM,5,FALSE),"")</f>
        <v>EA</v>
      </c>
      <c r="K571" s="12">
        <v>370.5</v>
      </c>
      <c r="L571" s="13" t="str">
        <f>IF(D571&lt;&gt;"",VLOOKUP(H571,TABLEITEM,2,FALSE),"")</f>
        <v>Support</v>
      </c>
      <c r="M571" s="13" t="str">
        <f>IF(D571&lt;&gt;"",VLOOKUP(H571,TABLEITEM,3,FALSE),"")</f>
        <v>SUPPORT VFM D11 2040 390</v>
      </c>
      <c r="N571" s="14">
        <f>INSTOCK!$I571*INSTOCK!$K571</f>
        <v>73359</v>
      </c>
      <c r="O571" s="4" t="s">
        <v>593</v>
      </c>
      <c r="P571" s="4"/>
    </row>
    <row r="572" ht="15.75" hidden="1" customHeight="1">
      <c r="B572" s="8">
        <v>570.0</v>
      </c>
      <c r="C572" s="9">
        <v>43199.0</v>
      </c>
      <c r="D572" s="6" t="s">
        <v>15</v>
      </c>
      <c r="E572" s="4"/>
      <c r="F572" s="8"/>
      <c r="G572" s="4" t="s">
        <v>583</v>
      </c>
      <c r="H572" s="10" t="s">
        <v>594</v>
      </c>
      <c r="I572" s="10">
        <v>337.0</v>
      </c>
      <c r="J572" s="11" t="str">
        <f>IF(D572&lt;&gt;"",VLOOKUP(H572,TABLEITEM,5,FALSE),"")</f>
        <v>EA</v>
      </c>
      <c r="K572" s="12">
        <v>370.5</v>
      </c>
      <c r="L572" s="13" t="str">
        <f>IF(D572&lt;&gt;"",VLOOKUP(H572,TABLEITEM,2,FALSE),"")</f>
        <v>Support</v>
      </c>
      <c r="M572" s="13" t="str">
        <f>IF(D572&lt;&gt;"",VLOOKUP(H572,TABLEITEM,3,FALSE),"")</f>
        <v>SUPPORT VFM D13.5 2540 390</v>
      </c>
      <c r="N572" s="14">
        <f>INSTOCK!$I572*INSTOCK!$K572</f>
        <v>124858.5</v>
      </c>
      <c r="O572" s="4" t="s">
        <v>593</v>
      </c>
      <c r="P572" s="4"/>
    </row>
    <row r="573" ht="15.75" hidden="1" customHeight="1">
      <c r="B573" s="8">
        <v>571.0</v>
      </c>
      <c r="C573" s="9">
        <v>43199.0</v>
      </c>
      <c r="D573" s="6" t="s">
        <v>15</v>
      </c>
      <c r="E573" s="4"/>
      <c r="F573" s="8"/>
      <c r="G573" s="4" t="s">
        <v>583</v>
      </c>
      <c r="H573" s="10" t="s">
        <v>595</v>
      </c>
      <c r="I573" s="10">
        <v>36.0</v>
      </c>
      <c r="J573" s="11" t="str">
        <f>IF(D573&lt;&gt;"",VLOOKUP(H573,TABLEITEM,5,FALSE),"")</f>
        <v>EA</v>
      </c>
      <c r="K573" s="12"/>
      <c r="L573" s="13" t="str">
        <f>IF(D573&lt;&gt;"",VLOOKUP(H573,TABLEITEM,2,FALSE),"")</f>
        <v>Support</v>
      </c>
      <c r="M573" s="13" t="str">
        <f>IF(D573&lt;&gt;"",VLOOKUP(H573,TABLEITEM,3,FALSE),"")</f>
        <v>FLATBAR 12x12x2340MM.</v>
      </c>
      <c r="N573" s="14">
        <f>INSTOCK!$I573*INSTOCK!$K573</f>
        <v>0</v>
      </c>
      <c r="O573" s="4"/>
      <c r="P573" s="4"/>
    </row>
    <row r="574" ht="15.75" hidden="1" customHeight="1">
      <c r="B574" s="8">
        <v>572.0</v>
      </c>
      <c r="C574" s="9">
        <v>43199.0</v>
      </c>
      <c r="D574" s="6" t="s">
        <v>15</v>
      </c>
      <c r="E574" s="4"/>
      <c r="F574" s="8"/>
      <c r="G574" s="4" t="s">
        <v>583</v>
      </c>
      <c r="H574" s="10" t="s">
        <v>596</v>
      </c>
      <c r="I574" s="10">
        <v>24.0</v>
      </c>
      <c r="J574" s="11" t="str">
        <f>IF(D574&lt;&gt;"",VLOOKUP(H574,TABLEITEM,5,FALSE),"")</f>
        <v>EA</v>
      </c>
      <c r="K574" s="12"/>
      <c r="L574" s="13" t="str">
        <f>IF(D574&lt;&gt;"",VLOOKUP(H574,TABLEITEM,2,FALSE),"")</f>
        <v>Support</v>
      </c>
      <c r="M574" s="13" t="str">
        <f>IF(D574&lt;&gt;"",VLOOKUP(H574,TABLEITEM,3,FALSE),"")</f>
        <v>FLATBAR 20x40x2340MM.</v>
      </c>
      <c r="N574" s="14">
        <f>INSTOCK!$I574*INSTOCK!$K574</f>
        <v>0</v>
      </c>
      <c r="O574" s="4"/>
      <c r="P574" s="4"/>
    </row>
    <row r="575" ht="15.75" hidden="1" customHeight="1">
      <c r="B575" s="8">
        <v>573.0</v>
      </c>
      <c r="C575" s="9">
        <v>43199.0</v>
      </c>
      <c r="D575" s="6" t="s">
        <v>15</v>
      </c>
      <c r="E575" s="4"/>
      <c r="F575" s="8"/>
      <c r="G575" s="4" t="s">
        <v>583</v>
      </c>
      <c r="H575" s="10" t="s">
        <v>597</v>
      </c>
      <c r="I575" s="10">
        <v>20.0</v>
      </c>
      <c r="J575" s="11" t="str">
        <f>IF(D575&lt;&gt;"",VLOOKUP(H575,TABLEITEM,5,FALSE),"")</f>
        <v>EA</v>
      </c>
      <c r="K575" s="12"/>
      <c r="L575" s="13" t="str">
        <f>IF(D575&lt;&gt;"",VLOOKUP(H575,TABLEITEM,2,FALSE),"")</f>
        <v>Support</v>
      </c>
      <c r="M575" s="13" t="str">
        <f>IF(D575&lt;&gt;"",VLOOKUP(H575,TABLEITEM,3,FALSE),"")</f>
        <v>FLATBAR 25x40x2340MM.</v>
      </c>
      <c r="N575" s="14">
        <f>INSTOCK!$I575*INSTOCK!$K575</f>
        <v>0</v>
      </c>
      <c r="O575" s="4"/>
      <c r="P575" s="4"/>
    </row>
    <row r="576" ht="15.75" hidden="1" customHeight="1">
      <c r="B576" s="8">
        <v>574.0</v>
      </c>
      <c r="C576" s="9">
        <v>43199.0</v>
      </c>
      <c r="D576" s="6" t="s">
        <v>15</v>
      </c>
      <c r="E576" s="4"/>
      <c r="F576" s="8"/>
      <c r="G576" s="4" t="s">
        <v>583</v>
      </c>
      <c r="H576" s="10" t="s">
        <v>598</v>
      </c>
      <c r="I576" s="10">
        <v>1.0</v>
      </c>
      <c r="J576" s="11" t="str">
        <f>IF(D576&lt;&gt;"",VLOOKUP(H576,TABLEITEM,5,FALSE),"")</f>
        <v>EA</v>
      </c>
      <c r="K576" s="12">
        <v>13.0</v>
      </c>
      <c r="L576" s="13" t="str">
        <f>IF(D576&lt;&gt;"",VLOOKUP(H576,TABLEITEM,2,FALSE),"")</f>
        <v>Support</v>
      </c>
      <c r="M576" s="13" t="str">
        <f>IF(D576&lt;&gt;"",VLOOKUP(H576,TABLEITEM,3,FALSE),"")</f>
        <v>ลูกถ้วย D35 M6</v>
      </c>
      <c r="N576" s="14">
        <f>INSTOCK!$I576*INSTOCK!$K576</f>
        <v>13</v>
      </c>
      <c r="O576" s="4"/>
      <c r="P576" s="4"/>
    </row>
    <row r="577" ht="15.75" hidden="1" customHeight="1">
      <c r="B577" s="8">
        <v>575.0</v>
      </c>
      <c r="C577" s="9">
        <v>43199.0</v>
      </c>
      <c r="D577" s="6" t="s">
        <v>15</v>
      </c>
      <c r="E577" s="4"/>
      <c r="F577" s="8"/>
      <c r="G577" s="4" t="s">
        <v>583</v>
      </c>
      <c r="H577" s="10" t="s">
        <v>599</v>
      </c>
      <c r="I577" s="10">
        <v>3450.0</v>
      </c>
      <c r="J577" s="11" t="str">
        <f>IF(D577&lt;&gt;"",VLOOKUP(H577,TABLEITEM,5,FALSE),"")</f>
        <v>EA</v>
      </c>
      <c r="K577" s="17">
        <v>13.0</v>
      </c>
      <c r="L577" s="13" t="str">
        <f>IF(D577&lt;&gt;"",VLOOKUP(H577,TABLEITEM,2,FALSE),"")</f>
        <v>Support</v>
      </c>
      <c r="M577" s="13" t="str">
        <f>IF(D577&lt;&gt;"",VLOOKUP(H577,TABLEITEM,3,FALSE),"")</f>
        <v>ลูกถ้วย D35 M8</v>
      </c>
      <c r="N577" s="14">
        <f>INSTOCK!$I577*INSTOCK!$K577</f>
        <v>44850</v>
      </c>
      <c r="O577" s="4"/>
      <c r="P577" s="4"/>
    </row>
    <row r="578" ht="15.75" hidden="1" customHeight="1">
      <c r="B578" s="8">
        <v>576.0</v>
      </c>
      <c r="C578" s="9">
        <v>43199.0</v>
      </c>
      <c r="D578" s="6" t="s">
        <v>15</v>
      </c>
      <c r="E578" s="4"/>
      <c r="F578" s="8"/>
      <c r="G578" s="4" t="s">
        <v>583</v>
      </c>
      <c r="H578" s="10" t="s">
        <v>600</v>
      </c>
      <c r="I578" s="10">
        <v>2895.0</v>
      </c>
      <c r="J578" s="11" t="str">
        <f>IF(D578&lt;&gt;"",VLOOKUP(H578,TABLEITEM,5,FALSE),"")</f>
        <v>EA</v>
      </c>
      <c r="K578" s="12">
        <v>26.0</v>
      </c>
      <c r="L578" s="13" t="str">
        <f>IF(D578&lt;&gt;"",VLOOKUP(H578,TABLEITEM,2,FALSE),"")</f>
        <v>Support</v>
      </c>
      <c r="M578" s="13" t="str">
        <f>IF(D578&lt;&gt;"",VLOOKUP(H578,TABLEITEM,3,FALSE),"")</f>
        <v>ลูกถ้วย D51 M8</v>
      </c>
      <c r="N578" s="14">
        <f>INSTOCK!$I578*INSTOCK!$K578</f>
        <v>75270</v>
      </c>
      <c r="O578" s="4"/>
      <c r="P578" s="4"/>
    </row>
    <row r="579" ht="15.75" hidden="1" customHeight="1">
      <c r="B579" s="8">
        <v>577.0</v>
      </c>
      <c r="C579" s="9">
        <v>43199.0</v>
      </c>
      <c r="D579" s="6" t="s">
        <v>15</v>
      </c>
      <c r="E579" s="4"/>
      <c r="F579" s="8"/>
      <c r="G579" s="4" t="s">
        <v>601</v>
      </c>
      <c r="H579" s="10" t="s">
        <v>602</v>
      </c>
      <c r="I579" s="10">
        <v>101.0</v>
      </c>
      <c r="J579" s="11" t="str">
        <f>IF(D579&lt;&gt;"",VLOOKUP(H579,TABLEITEM,5,FALSE),"")</f>
        <v>EA</v>
      </c>
      <c r="K579" s="12"/>
      <c r="L579" s="13" t="str">
        <f>IF(D579&lt;&gt;"",VLOOKUP(H579,TABLEITEM,2,FALSE),"")</f>
        <v>Support</v>
      </c>
      <c r="M579" s="13" t="str">
        <f>IF(D579&lt;&gt;"",VLOOKUP(H579,TABLEITEM,3,FALSE),"")</f>
        <v>ลูกถ้วย 12 KV</v>
      </c>
      <c r="N579" s="14">
        <f>INSTOCK!$I579*INSTOCK!$K579</f>
        <v>0</v>
      </c>
      <c r="O579" s="4"/>
      <c r="P579" s="4"/>
    </row>
    <row r="580" ht="15.75" hidden="1" customHeight="1">
      <c r="B580" s="8">
        <v>578.0</v>
      </c>
      <c r="C580" s="9">
        <v>43199.0</v>
      </c>
      <c r="D580" s="6" t="s">
        <v>15</v>
      </c>
      <c r="E580" s="4"/>
      <c r="F580" s="8"/>
      <c r="G580" s="4" t="s">
        <v>601</v>
      </c>
      <c r="H580" s="18" t="s">
        <v>603</v>
      </c>
      <c r="I580" s="18">
        <v>29.0</v>
      </c>
      <c r="J580" s="11" t="str">
        <f>IF(D580&lt;&gt;"",VLOOKUP(H580,TABLEITEM,5,FALSE),"")</f>
        <v>EA</v>
      </c>
      <c r="K580" s="17"/>
      <c r="L580" s="13" t="str">
        <f>IF(D580&lt;&gt;"",VLOOKUP(H580,TABLEITEM,2,FALSE),"")</f>
        <v>Support</v>
      </c>
      <c r="M580" s="13" t="str">
        <f>IF(D580&lt;&gt;"",VLOOKUP(H580,TABLEITEM,3,FALSE),"")</f>
        <v>ลูกถ้วย 24 KV</v>
      </c>
      <c r="N580" s="14">
        <f>INSTOCK!$I580*INSTOCK!$K580</f>
        <v>0</v>
      </c>
      <c r="O580" s="4"/>
      <c r="P580" s="4"/>
    </row>
    <row r="581" ht="15.75" hidden="1" customHeight="1">
      <c r="B581" s="8"/>
      <c r="C581" s="9">
        <v>43199.0</v>
      </c>
      <c r="D581" s="6" t="s">
        <v>15</v>
      </c>
      <c r="E581" s="19">
        <v>42223.0</v>
      </c>
      <c r="F581" s="8" t="s">
        <v>604</v>
      </c>
      <c r="G581" s="4" t="s">
        <v>605</v>
      </c>
      <c r="H581" s="10" t="s">
        <v>606</v>
      </c>
      <c r="I581" s="20">
        <v>80000.0</v>
      </c>
      <c r="J581" s="11" t="str">
        <f>IF(D581&lt;&gt;"",VLOOKUP(H581,TABLEITEM,5,FALSE),"")</f>
        <v>EA</v>
      </c>
      <c r="K581" s="12">
        <v>0.6</v>
      </c>
      <c r="L581" s="13" t="str">
        <f>IF(D581&lt;&gt;"",VLOOKUP(H581,TABLEITEM,2,FALSE),"")</f>
        <v/>
      </c>
      <c r="M581" s="13" t="str">
        <f>IF(D581&lt;&gt;"",VLOOKUP(H581,TABLEITEM,3,FALSE),"")</f>
        <v>แหวนฉิ่ง M6</v>
      </c>
      <c r="N581" s="14">
        <f>INSTOCK!$I581*INSTOCK!$K581</f>
        <v>48000</v>
      </c>
      <c r="O581" s="4" t="s">
        <v>607</v>
      </c>
      <c r="P581" s="4" t="s">
        <v>608</v>
      </c>
    </row>
    <row r="582" ht="15.75" hidden="1" customHeight="1">
      <c r="B582" s="8"/>
      <c r="C582" s="9">
        <v>43199.0</v>
      </c>
      <c r="D582" s="6" t="s">
        <v>15</v>
      </c>
      <c r="E582" s="19">
        <v>42223.0</v>
      </c>
      <c r="F582" s="8" t="s">
        <v>604</v>
      </c>
      <c r="G582" s="4" t="s">
        <v>605</v>
      </c>
      <c r="H582" s="10" t="s">
        <v>609</v>
      </c>
      <c r="I582" s="20">
        <v>80000.0</v>
      </c>
      <c r="J582" s="11" t="str">
        <f>IF(D582&lt;&gt;"",VLOOKUP(H582,TABLEITEM,5,FALSE),"")</f>
        <v>EA</v>
      </c>
      <c r="K582" s="12">
        <v>1.0</v>
      </c>
      <c r="L582" s="13" t="str">
        <f>IF(D582&lt;&gt;"",VLOOKUP(H582,TABLEITEM,2,FALSE),"")</f>
        <v/>
      </c>
      <c r="M582" s="13" t="str">
        <f>IF(D582&lt;&gt;"",VLOOKUP(H582,TABLEITEM,3,FALSE),"")</f>
        <v>แหวนฉิ่ง M8</v>
      </c>
      <c r="N582" s="14">
        <f>INSTOCK!$I582*INSTOCK!$K582</f>
        <v>80000</v>
      </c>
      <c r="O582" s="4" t="s">
        <v>610</v>
      </c>
      <c r="P582" s="4" t="s">
        <v>608</v>
      </c>
    </row>
    <row r="583" ht="15.75" hidden="1" customHeight="1">
      <c r="B583" s="8"/>
      <c r="C583" s="9">
        <v>43199.0</v>
      </c>
      <c r="D583" s="6" t="s">
        <v>15</v>
      </c>
      <c r="E583" s="19">
        <v>42223.0</v>
      </c>
      <c r="F583" s="8" t="s">
        <v>604</v>
      </c>
      <c r="G583" s="4" t="s">
        <v>605</v>
      </c>
      <c r="H583" s="10" t="s">
        <v>611</v>
      </c>
      <c r="I583" s="20">
        <v>80000.0</v>
      </c>
      <c r="J583" s="11" t="str">
        <f>IF(D583&lt;&gt;"",VLOOKUP(H583,TABLEITEM,5,FALSE),"")</f>
        <v>EA</v>
      </c>
      <c r="K583" s="12">
        <v>1.6</v>
      </c>
      <c r="L583" s="13" t="str">
        <f>IF(D583&lt;&gt;"",VLOOKUP(H583,TABLEITEM,2,FALSE),"")</f>
        <v/>
      </c>
      <c r="M583" s="13" t="str">
        <f>IF(D583&lt;&gt;"",VLOOKUP(H583,TABLEITEM,3,FALSE),"")</f>
        <v>แหวนฉิ่ง M10</v>
      </c>
      <c r="N583" s="14">
        <f>INSTOCK!$I583*INSTOCK!$K583</f>
        <v>128000</v>
      </c>
      <c r="O583" s="4" t="s">
        <v>612</v>
      </c>
      <c r="P583" s="4" t="s">
        <v>608</v>
      </c>
    </row>
    <row r="584" ht="15.75" hidden="1" customHeight="1">
      <c r="B584" s="8"/>
      <c r="C584" s="9">
        <v>43199.0</v>
      </c>
      <c r="D584" s="6" t="s">
        <v>15</v>
      </c>
      <c r="E584" s="19">
        <v>42223.0</v>
      </c>
      <c r="F584" s="8" t="s">
        <v>604</v>
      </c>
      <c r="G584" s="4" t="s">
        <v>605</v>
      </c>
      <c r="H584" s="10" t="s">
        <v>613</v>
      </c>
      <c r="I584" s="20">
        <v>80000.0</v>
      </c>
      <c r="J584" s="11" t="str">
        <f>IF(D584&lt;&gt;"",VLOOKUP(H584,TABLEITEM,5,FALSE),"")</f>
        <v>EA</v>
      </c>
      <c r="K584" s="12">
        <v>2.7</v>
      </c>
      <c r="L584" s="13" t="str">
        <f>IF(D584&lt;&gt;"",VLOOKUP(H584,TABLEITEM,2,FALSE),"")</f>
        <v/>
      </c>
      <c r="M584" s="13" t="str">
        <f>IF(D584&lt;&gt;"",VLOOKUP(H584,TABLEITEM,3,FALSE),"")</f>
        <v>แหวนฉิ่ง M12</v>
      </c>
      <c r="N584" s="14">
        <f>INSTOCK!$I584*INSTOCK!$K584</f>
        <v>216000</v>
      </c>
      <c r="O584" s="4" t="s">
        <v>614</v>
      </c>
      <c r="P584" s="4" t="s">
        <v>608</v>
      </c>
    </row>
    <row r="585" ht="15.75" hidden="1" customHeight="1">
      <c r="B585" s="8">
        <v>722.0</v>
      </c>
      <c r="C585" s="9">
        <v>43110.0</v>
      </c>
      <c r="D585" s="6" t="s">
        <v>615</v>
      </c>
      <c r="E585" s="4">
        <v>6.101000085E9</v>
      </c>
      <c r="F585" s="8" t="s">
        <v>616</v>
      </c>
      <c r="G585" s="4" t="s">
        <v>617</v>
      </c>
      <c r="H585" s="18" t="s">
        <v>556</v>
      </c>
      <c r="I585" s="18">
        <v>50.0</v>
      </c>
      <c r="J585" s="11" t="str">
        <f>IF(D585&lt;&gt;"",VLOOKUP(H585,TABLEITEM,5,FALSE),"")</f>
        <v>M</v>
      </c>
      <c r="K585" s="17">
        <v>241.2</v>
      </c>
      <c r="L585" s="13" t="str">
        <f>IF(D585&lt;&gt;"",VLOOKUP(H585,TABLEITEM,2,FALSE),"")</f>
        <v>Busbar</v>
      </c>
      <c r="M585" s="13" t="str">
        <f>IF(D585&lt;&gt;"",VLOOKUP(H585,TABLEITEM,3,FALSE),"")</f>
        <v>บัสบาร์ทองแดง 20x5</v>
      </c>
      <c r="N585" s="14">
        <f>INSTOCK!$I585*INSTOCK!$K585</f>
        <v>12060</v>
      </c>
      <c r="O585" s="4"/>
      <c r="P585" s="4"/>
    </row>
    <row r="586" ht="15.75" hidden="1" customHeight="1">
      <c r="B586" s="8">
        <v>723.0</v>
      </c>
      <c r="C586" s="9">
        <v>43125.0</v>
      </c>
      <c r="D586" s="6" t="s">
        <v>618</v>
      </c>
      <c r="E586" s="4">
        <v>6.101000094E9</v>
      </c>
      <c r="F586" s="8" t="s">
        <v>604</v>
      </c>
      <c r="G586" s="4" t="s">
        <v>617</v>
      </c>
      <c r="H586" s="18" t="s">
        <v>556</v>
      </c>
      <c r="I586" s="18">
        <v>100.0</v>
      </c>
      <c r="J586" s="11" t="str">
        <f>IF(D586&lt;&gt;"",VLOOKUP(H586,TABLEITEM,5,FALSE),"")</f>
        <v>M</v>
      </c>
      <c r="K586" s="17">
        <v>238.5</v>
      </c>
      <c r="L586" s="13" t="str">
        <f>IF(D586&lt;&gt;"",VLOOKUP(H586,TABLEITEM,2,FALSE),"")</f>
        <v>Busbar</v>
      </c>
      <c r="M586" s="13" t="str">
        <f>IF(D586&lt;&gt;"",VLOOKUP(H586,TABLEITEM,3,FALSE),"")</f>
        <v>บัสบาร์ทองแดง 20x5</v>
      </c>
      <c r="N586" s="14">
        <f>INSTOCK!$I586*INSTOCK!$K586</f>
        <v>23850</v>
      </c>
      <c r="O586" s="4"/>
      <c r="P586" s="4"/>
    </row>
    <row r="587" ht="15.75" hidden="1" customHeight="1">
      <c r="B587" s="8">
        <v>724.0</v>
      </c>
      <c r="C587" s="9">
        <v>43304.0</v>
      </c>
      <c r="D587" s="6" t="s">
        <v>619</v>
      </c>
      <c r="E587" s="4">
        <v>6.107000878E9</v>
      </c>
      <c r="F587" s="8"/>
      <c r="G587" s="4" t="s">
        <v>617</v>
      </c>
      <c r="H587" s="18" t="s">
        <v>556</v>
      </c>
      <c r="I587" s="18">
        <v>55.0</v>
      </c>
      <c r="J587" s="11" t="str">
        <f>IF(D587&lt;&gt;"",VLOOKUP(H587,TABLEITEM,5,FALSE),"")</f>
        <v>M</v>
      </c>
      <c r="K587" s="17">
        <v>229.5</v>
      </c>
      <c r="L587" s="13" t="str">
        <f>IF(D587&lt;&gt;"",VLOOKUP(H587,TABLEITEM,2,FALSE),"")</f>
        <v>Busbar</v>
      </c>
      <c r="M587" s="13" t="str">
        <f>IF(D587&lt;&gt;"",VLOOKUP(H587,TABLEITEM,3,FALSE),"")</f>
        <v>บัสบาร์ทองแดง 20x5</v>
      </c>
      <c r="N587" s="14">
        <f>INSTOCK!$I587*INSTOCK!$K587</f>
        <v>12622.5</v>
      </c>
      <c r="O587" s="4"/>
      <c r="P587" s="4"/>
    </row>
    <row r="588" ht="15.75" hidden="1" customHeight="1">
      <c r="B588" s="8">
        <v>725.0</v>
      </c>
      <c r="C588" s="9">
        <v>43223.0</v>
      </c>
      <c r="D588" s="6" t="s">
        <v>620</v>
      </c>
      <c r="E588" s="4">
        <v>6.105000521E9</v>
      </c>
      <c r="F588" s="8" t="s">
        <v>604</v>
      </c>
      <c r="G588" s="4" t="s">
        <v>617</v>
      </c>
      <c r="H588" s="18" t="s">
        <v>556</v>
      </c>
      <c r="I588" s="18">
        <v>100.0</v>
      </c>
      <c r="J588" s="11" t="str">
        <f>IF(D588&lt;&gt;"",VLOOKUP(H588,TABLEITEM,5,FALSE),"")</f>
        <v>M</v>
      </c>
      <c r="K588" s="17">
        <v>238.5</v>
      </c>
      <c r="L588" s="13" t="str">
        <f>IF(D588&lt;&gt;"",VLOOKUP(H588,TABLEITEM,2,FALSE),"")</f>
        <v>Busbar</v>
      </c>
      <c r="M588" s="13" t="str">
        <f>IF(D588&lt;&gt;"",VLOOKUP(H588,TABLEITEM,3,FALSE),"")</f>
        <v>บัสบาร์ทองแดง 20x5</v>
      </c>
      <c r="N588" s="14">
        <f>INSTOCK!$I588*INSTOCK!$K588</f>
        <v>23850</v>
      </c>
      <c r="O588" s="4"/>
      <c r="P588" s="4"/>
    </row>
    <row r="589" ht="15.75" hidden="1" customHeight="1">
      <c r="B589" s="8">
        <v>726.0</v>
      </c>
      <c r="C589" s="9">
        <v>43223.0</v>
      </c>
      <c r="D589" s="6" t="s">
        <v>620</v>
      </c>
      <c r="E589" s="4">
        <v>6.105000521E9</v>
      </c>
      <c r="F589" s="8" t="s">
        <v>604</v>
      </c>
      <c r="G589" s="4" t="s">
        <v>617</v>
      </c>
      <c r="H589" s="10" t="s">
        <v>558</v>
      </c>
      <c r="I589" s="18">
        <v>50.0</v>
      </c>
      <c r="J589" s="11" t="str">
        <f>IF(D589&lt;&gt;"",VLOOKUP(H589,TABLEITEM,5,FALSE),"")</f>
        <v>M</v>
      </c>
      <c r="K589" s="17">
        <v>296.8</v>
      </c>
      <c r="L589" s="13" t="str">
        <f>IF(D589&lt;&gt;"",VLOOKUP(H589,TABLEITEM,2,FALSE),"")</f>
        <v>Busbar</v>
      </c>
      <c r="M589" s="13" t="str">
        <f>IF(D589&lt;&gt;"",VLOOKUP(H589,TABLEITEM,3,FALSE),"")</f>
        <v>บัสบาร์ทองแดง 25x5</v>
      </c>
      <c r="N589" s="14">
        <f>INSTOCK!$I589*INSTOCK!$K589</f>
        <v>14840</v>
      </c>
      <c r="O589" s="4"/>
      <c r="P589" s="4"/>
    </row>
    <row r="590" ht="15.75" hidden="1" customHeight="1">
      <c r="B590" s="8">
        <v>730.0</v>
      </c>
      <c r="C590" s="9">
        <v>43246.0</v>
      </c>
      <c r="D590" s="6" t="s">
        <v>621</v>
      </c>
      <c r="E590" s="4">
        <v>6.105000642E9</v>
      </c>
      <c r="F590" s="8" t="s">
        <v>622</v>
      </c>
      <c r="G590" s="4" t="s">
        <v>617</v>
      </c>
      <c r="H590" s="10" t="s">
        <v>559</v>
      </c>
      <c r="I590" s="18">
        <v>50.0</v>
      </c>
      <c r="J590" s="11" t="str">
        <f>IF(D590&lt;&gt;"",VLOOKUP(H590,TABLEITEM,5,FALSE),"")</f>
        <v>M</v>
      </c>
      <c r="K590" s="17">
        <v>355.1</v>
      </c>
      <c r="L590" s="13" t="str">
        <f>IF(D590&lt;&gt;"",VLOOKUP(H590,TABLEITEM,2,FALSE),"")</f>
        <v>Busbar</v>
      </c>
      <c r="M590" s="13" t="str">
        <f>IF(D590&lt;&gt;"",VLOOKUP(H590,TABLEITEM,3,FALSE),"")</f>
        <v>บัสบาร์ทองแดง 30x5</v>
      </c>
      <c r="N590" s="14">
        <f>INSTOCK!$I590*INSTOCK!$K590</f>
        <v>17755</v>
      </c>
      <c r="O590" s="4"/>
      <c r="P590" s="4"/>
    </row>
    <row r="591" ht="15.75" hidden="1" customHeight="1">
      <c r="B591" s="8">
        <v>731.0</v>
      </c>
      <c r="C591" s="9">
        <v>43304.0</v>
      </c>
      <c r="D591" s="6" t="s">
        <v>619</v>
      </c>
      <c r="E591" s="4">
        <v>6.107000878E9</v>
      </c>
      <c r="F591" s="8"/>
      <c r="G591" s="4" t="s">
        <v>617</v>
      </c>
      <c r="H591" s="10" t="s">
        <v>559</v>
      </c>
      <c r="I591" s="18">
        <v>40.0</v>
      </c>
      <c r="J591" s="11" t="str">
        <f>IF(D591&lt;&gt;"",VLOOKUP(H591,TABLEITEM,5,FALSE),"")</f>
        <v>M</v>
      </c>
      <c r="K591" s="17">
        <v>341.7</v>
      </c>
      <c r="L591" s="13" t="str">
        <f>IF(D591&lt;&gt;"",VLOOKUP(H591,TABLEITEM,2,FALSE),"")</f>
        <v>Busbar</v>
      </c>
      <c r="M591" s="13" t="str">
        <f>IF(D591&lt;&gt;"",VLOOKUP(H591,TABLEITEM,3,FALSE),"")</f>
        <v>บัสบาร์ทองแดง 30x5</v>
      </c>
      <c r="N591" s="14">
        <f>INSTOCK!$I591*INSTOCK!$K591</f>
        <v>13668</v>
      </c>
      <c r="O591" s="4"/>
      <c r="P591" s="4"/>
    </row>
    <row r="592" ht="15.75" hidden="1" customHeight="1">
      <c r="B592" s="8">
        <v>732.0</v>
      </c>
      <c r="C592" s="9">
        <v>43236.0</v>
      </c>
      <c r="D592" s="6" t="s">
        <v>623</v>
      </c>
      <c r="E592" s="4">
        <v>6.105000585E9</v>
      </c>
      <c r="F592" s="8" t="s">
        <v>624</v>
      </c>
      <c r="G592" s="4" t="s">
        <v>617</v>
      </c>
      <c r="H592" s="10" t="s">
        <v>559</v>
      </c>
      <c r="I592" s="18">
        <v>25.0</v>
      </c>
      <c r="J592" s="11" t="str">
        <f>IF(D592&lt;&gt;"",VLOOKUP(H592,TABLEITEM,5,FALSE),"")</f>
        <v>M</v>
      </c>
      <c r="K592" s="17">
        <v>355.1</v>
      </c>
      <c r="L592" s="13" t="str">
        <f>IF(D592&lt;&gt;"",VLOOKUP(H592,TABLEITEM,2,FALSE),"")</f>
        <v>Busbar</v>
      </c>
      <c r="M592" s="13" t="str">
        <f>IF(D592&lt;&gt;"",VLOOKUP(H592,TABLEITEM,3,FALSE),"")</f>
        <v>บัสบาร์ทองแดง 30x5</v>
      </c>
      <c r="N592" s="14">
        <f>INSTOCK!$I592*INSTOCK!$K592</f>
        <v>8877.5</v>
      </c>
      <c r="O592" s="4"/>
      <c r="P592" s="4"/>
    </row>
    <row r="593" ht="15.75" hidden="1" customHeight="1">
      <c r="B593" s="8">
        <v>733.0</v>
      </c>
      <c r="C593" s="9">
        <v>43223.0</v>
      </c>
      <c r="D593" s="6" t="s">
        <v>620</v>
      </c>
      <c r="E593" s="4">
        <v>6.105000521E9</v>
      </c>
      <c r="F593" s="8" t="s">
        <v>604</v>
      </c>
      <c r="G593" s="4" t="s">
        <v>617</v>
      </c>
      <c r="H593" s="10" t="s">
        <v>559</v>
      </c>
      <c r="I593" s="18">
        <v>25.0</v>
      </c>
      <c r="J593" s="11" t="str">
        <f>IF(D593&lt;&gt;"",VLOOKUP(H593,TABLEITEM,5,FALSE),"")</f>
        <v>M</v>
      </c>
      <c r="K593" s="17">
        <v>355.1</v>
      </c>
      <c r="L593" s="13" t="str">
        <f>IF(D593&lt;&gt;"",VLOOKUP(H593,TABLEITEM,2,FALSE),"")</f>
        <v>Busbar</v>
      </c>
      <c r="M593" s="13" t="str">
        <f>IF(D593&lt;&gt;"",VLOOKUP(H593,TABLEITEM,3,FALSE),"")</f>
        <v>บัสบาร์ทองแดง 30x5</v>
      </c>
      <c r="N593" s="14">
        <f>INSTOCK!$I593*INSTOCK!$K593</f>
        <v>8877.5</v>
      </c>
      <c r="O593" s="4"/>
      <c r="P593" s="4"/>
    </row>
    <row r="594" ht="15.75" hidden="1" customHeight="1">
      <c r="B594" s="8">
        <v>734.0</v>
      </c>
      <c r="C594" s="9">
        <v>43110.0</v>
      </c>
      <c r="D594" s="6" t="s">
        <v>615</v>
      </c>
      <c r="E594" s="4">
        <v>6.101000085E9</v>
      </c>
      <c r="F594" s="8" t="s">
        <v>616</v>
      </c>
      <c r="G594" s="4" t="s">
        <v>617</v>
      </c>
      <c r="H594" s="10" t="s">
        <v>559</v>
      </c>
      <c r="I594" s="18">
        <v>25.0</v>
      </c>
      <c r="J594" s="11" t="str">
        <f>IF(D594&lt;&gt;"",VLOOKUP(H594,TABLEITEM,5,FALSE),"")</f>
        <v>M</v>
      </c>
      <c r="K594" s="17">
        <v>359.12</v>
      </c>
      <c r="L594" s="13" t="str">
        <f>IF(D594&lt;&gt;"",VLOOKUP(H594,TABLEITEM,2,FALSE),"")</f>
        <v>Busbar</v>
      </c>
      <c r="M594" s="13" t="str">
        <f>IF(D594&lt;&gt;"",VLOOKUP(H594,TABLEITEM,3,FALSE),"")</f>
        <v>บัสบาร์ทองแดง 30x5</v>
      </c>
      <c r="N594" s="14">
        <f>INSTOCK!$I594*INSTOCK!$K594</f>
        <v>8978</v>
      </c>
      <c r="O594" s="4"/>
      <c r="P594" s="4"/>
    </row>
    <row r="595" ht="15.75" hidden="1" customHeight="1">
      <c r="B595" s="8">
        <v>735.0</v>
      </c>
      <c r="C595" s="9">
        <v>43223.0</v>
      </c>
      <c r="D595" s="6" t="s">
        <v>620</v>
      </c>
      <c r="E595" s="4">
        <v>6.105000521E9</v>
      </c>
      <c r="F595" s="8" t="s">
        <v>604</v>
      </c>
      <c r="G595" s="4" t="s">
        <v>617</v>
      </c>
      <c r="H595" s="18" t="s">
        <v>560</v>
      </c>
      <c r="I595" s="18">
        <v>25.0</v>
      </c>
      <c r="J595" s="11" t="str">
        <f>IF(D595&lt;&gt;"",VLOOKUP(H595,TABLEITEM,5,FALSE),"")</f>
        <v>M</v>
      </c>
      <c r="K595" s="17">
        <v>710.2</v>
      </c>
      <c r="L595" s="13" t="str">
        <f>IF(D595&lt;&gt;"",VLOOKUP(H595,TABLEITEM,2,FALSE),"")</f>
        <v>Busbar</v>
      </c>
      <c r="M595" s="13" t="str">
        <f>IF(D595&lt;&gt;"",VLOOKUP(H595,TABLEITEM,3,FALSE),"")</f>
        <v>บัสบาร์ทองแดง 30x10</v>
      </c>
      <c r="N595" s="14">
        <f>INSTOCK!$I595*INSTOCK!$K595</f>
        <v>17755</v>
      </c>
      <c r="O595" s="4"/>
      <c r="P595" s="4"/>
    </row>
    <row r="596" ht="15.75" hidden="1" customHeight="1">
      <c r="B596" s="8">
        <v>736.0</v>
      </c>
      <c r="C596" s="9">
        <v>43246.0</v>
      </c>
      <c r="D596" s="6" t="s">
        <v>621</v>
      </c>
      <c r="E596" s="4">
        <v>6.105000642E9</v>
      </c>
      <c r="F596" s="8" t="s">
        <v>622</v>
      </c>
      <c r="G596" s="4" t="s">
        <v>617</v>
      </c>
      <c r="H596" s="18" t="s">
        <v>560</v>
      </c>
      <c r="I596" s="18">
        <v>35.0</v>
      </c>
      <c r="J596" s="11" t="str">
        <f>IF(D596&lt;&gt;"",VLOOKUP(H596,TABLEITEM,5,FALSE),"")</f>
        <v>M</v>
      </c>
      <c r="K596" s="17">
        <v>710.2</v>
      </c>
      <c r="L596" s="13" t="str">
        <f>IF(D596&lt;&gt;"",VLOOKUP(H596,TABLEITEM,2,FALSE),"")</f>
        <v>Busbar</v>
      </c>
      <c r="M596" s="13" t="str">
        <f>IF(D596&lt;&gt;"",VLOOKUP(H596,TABLEITEM,3,FALSE),"")</f>
        <v>บัสบาร์ทองแดง 30x10</v>
      </c>
      <c r="N596" s="14">
        <f>INSTOCK!$I596*INSTOCK!$K596</f>
        <v>24857</v>
      </c>
      <c r="O596" s="4"/>
      <c r="P596" s="4"/>
    </row>
    <row r="597" ht="15.75" hidden="1" customHeight="1">
      <c r="B597" s="8">
        <v>737.0</v>
      </c>
      <c r="C597" s="9">
        <v>43304.0</v>
      </c>
      <c r="D597" s="6" t="s">
        <v>619</v>
      </c>
      <c r="E597" s="4">
        <v>6.107000878E9</v>
      </c>
      <c r="F597" s="8"/>
      <c r="G597" s="4" t="s">
        <v>617</v>
      </c>
      <c r="H597" s="18" t="s">
        <v>560</v>
      </c>
      <c r="I597" s="18">
        <v>15.0</v>
      </c>
      <c r="J597" s="11" t="str">
        <f>IF(D597&lt;&gt;"",VLOOKUP(H597,TABLEITEM,5,FALSE),"")</f>
        <v>M</v>
      </c>
      <c r="K597" s="17">
        <v>683.4</v>
      </c>
      <c r="L597" s="13" t="str">
        <f>IF(D597&lt;&gt;"",VLOOKUP(H597,TABLEITEM,2,FALSE),"")</f>
        <v>Busbar</v>
      </c>
      <c r="M597" s="13" t="str">
        <f>IF(D597&lt;&gt;"",VLOOKUP(H597,TABLEITEM,3,FALSE),"")</f>
        <v>บัสบาร์ทองแดง 30x10</v>
      </c>
      <c r="N597" s="14">
        <f>INSTOCK!$I597*INSTOCK!$K597</f>
        <v>10251</v>
      </c>
      <c r="O597" s="4"/>
      <c r="P597" s="4"/>
    </row>
    <row r="598" ht="15.75" hidden="1" customHeight="1">
      <c r="B598" s="8">
        <v>738.0</v>
      </c>
      <c r="C598" s="9">
        <v>43155.0</v>
      </c>
      <c r="D598" s="6" t="s">
        <v>625</v>
      </c>
      <c r="E598" s="4">
        <v>6.102000238E9</v>
      </c>
      <c r="F598" s="8" t="s">
        <v>604</v>
      </c>
      <c r="G598" s="4" t="s">
        <v>617</v>
      </c>
      <c r="H598" s="18" t="s">
        <v>561</v>
      </c>
      <c r="I598" s="18">
        <v>25.0</v>
      </c>
      <c r="J598" s="11" t="str">
        <f>IF(D598&lt;&gt;"",VLOOKUP(H598,TABLEITEM,5,FALSE),"")</f>
        <v>M</v>
      </c>
      <c r="K598" s="17">
        <v>948.7</v>
      </c>
      <c r="L598" s="13" t="str">
        <f>IF(D598&lt;&gt;"",VLOOKUP(H598,TABLEITEM,2,FALSE),"")</f>
        <v>Busbar</v>
      </c>
      <c r="M598" s="13" t="str">
        <f>IF(D598&lt;&gt;"",VLOOKUP(H598,TABLEITEM,3,FALSE),"")</f>
        <v>บัสบาร์ทองแดง 40x10</v>
      </c>
      <c r="N598" s="14">
        <f>INSTOCK!$I598*INSTOCK!$K598</f>
        <v>23717.5</v>
      </c>
      <c r="O598" s="4"/>
      <c r="P598" s="4"/>
    </row>
    <row r="599" ht="15.75" hidden="1" customHeight="1">
      <c r="B599" s="8">
        <v>739.0</v>
      </c>
      <c r="C599" s="9">
        <v>43223.0</v>
      </c>
      <c r="D599" s="6" t="s">
        <v>620</v>
      </c>
      <c r="E599" s="4">
        <v>6.105000521E9</v>
      </c>
      <c r="F599" s="8" t="s">
        <v>604</v>
      </c>
      <c r="G599" s="4" t="s">
        <v>617</v>
      </c>
      <c r="H599" s="18" t="s">
        <v>561</v>
      </c>
      <c r="I599" s="18">
        <v>25.0</v>
      </c>
      <c r="J599" s="11" t="str">
        <f>IF(D599&lt;&gt;"",VLOOKUP(H599,TABLEITEM,5,FALSE),"")</f>
        <v>M</v>
      </c>
      <c r="K599" s="17">
        <v>948.7</v>
      </c>
      <c r="L599" s="13" t="str">
        <f>IF(D599&lt;&gt;"",VLOOKUP(H599,TABLEITEM,2,FALSE),"")</f>
        <v>Busbar</v>
      </c>
      <c r="M599" s="13" t="str">
        <f>IF(D599&lt;&gt;"",VLOOKUP(H599,TABLEITEM,3,FALSE),"")</f>
        <v>บัสบาร์ทองแดง 40x10</v>
      </c>
      <c r="N599" s="14">
        <f>INSTOCK!$I599*INSTOCK!$K599</f>
        <v>23717.5</v>
      </c>
      <c r="O599" s="4"/>
      <c r="P599" s="4"/>
    </row>
    <row r="600" ht="15.75" hidden="1" customHeight="1">
      <c r="B600" s="8">
        <v>740.0</v>
      </c>
      <c r="C600" s="9">
        <v>43246.0</v>
      </c>
      <c r="D600" s="6" t="s">
        <v>621</v>
      </c>
      <c r="E600" s="4">
        <v>6.105000642E9</v>
      </c>
      <c r="F600" s="8" t="s">
        <v>622</v>
      </c>
      <c r="G600" s="4" t="s">
        <v>617</v>
      </c>
      <c r="H600" s="18" t="s">
        <v>562</v>
      </c>
      <c r="I600" s="18">
        <v>40.0</v>
      </c>
      <c r="J600" s="11" t="str">
        <f>IF(D600&lt;&gt;"",VLOOKUP(H600,TABLEITEM,5,FALSE),"")</f>
        <v>M</v>
      </c>
      <c r="K600" s="17">
        <v>1187.2</v>
      </c>
      <c r="L600" s="13" t="str">
        <f>IF(D600&lt;&gt;"",VLOOKUP(H600,TABLEITEM,2,FALSE),"")</f>
        <v>Busbar</v>
      </c>
      <c r="M600" s="13" t="str">
        <f>IF(D600&lt;&gt;"",VLOOKUP(H600,TABLEITEM,3,FALSE),"")</f>
        <v>บัสบาร์ทองแดง 50x10</v>
      </c>
      <c r="N600" s="14">
        <f>INSTOCK!$I600*INSTOCK!$K600</f>
        <v>47488</v>
      </c>
      <c r="O600" s="4"/>
      <c r="P600" s="4"/>
    </row>
    <row r="601" ht="15.75" hidden="1" customHeight="1">
      <c r="B601" s="8">
        <v>741.0</v>
      </c>
      <c r="C601" s="9">
        <v>43278.0</v>
      </c>
      <c r="D601" s="6" t="s">
        <v>626</v>
      </c>
      <c r="E601" s="4">
        <v>6.106000782E9</v>
      </c>
      <c r="F601" s="8" t="s">
        <v>627</v>
      </c>
      <c r="G601" s="4" t="s">
        <v>617</v>
      </c>
      <c r="H601" s="18" t="s">
        <v>562</v>
      </c>
      <c r="I601" s="18">
        <v>25.0</v>
      </c>
      <c r="J601" s="11" t="str">
        <f>IF(D601&lt;&gt;"",VLOOKUP(H601,TABLEITEM,5,FALSE),"")</f>
        <v>M</v>
      </c>
      <c r="K601" s="17">
        <v>1187.2</v>
      </c>
      <c r="L601" s="13" t="str">
        <f>IF(D601&lt;&gt;"",VLOOKUP(H601,TABLEITEM,2,FALSE),"")</f>
        <v>Busbar</v>
      </c>
      <c r="M601" s="13" t="str">
        <f>IF(D601&lt;&gt;"",VLOOKUP(H601,TABLEITEM,3,FALSE),"")</f>
        <v>บัสบาร์ทองแดง 50x10</v>
      </c>
      <c r="N601" s="14">
        <f>INSTOCK!$I601*INSTOCK!$K601</f>
        <v>29680</v>
      </c>
      <c r="O601" s="4"/>
      <c r="P601" s="4"/>
    </row>
    <row r="602" ht="15.75" hidden="1" customHeight="1">
      <c r="B602" s="8">
        <v>742.0</v>
      </c>
      <c r="C602" s="9">
        <v>43304.0</v>
      </c>
      <c r="D602" s="6" t="s">
        <v>619</v>
      </c>
      <c r="E602" s="4">
        <v>6.107000878E9</v>
      </c>
      <c r="F602" s="8"/>
      <c r="G602" s="4" t="s">
        <v>617</v>
      </c>
      <c r="H602" s="18" t="s">
        <v>562</v>
      </c>
      <c r="I602" s="18">
        <v>15.0</v>
      </c>
      <c r="J602" s="11" t="str">
        <f>IF(D602&lt;&gt;"",VLOOKUP(H602,TABLEITEM,5,FALSE),"")</f>
        <v>M</v>
      </c>
      <c r="K602" s="17">
        <v>1142.4</v>
      </c>
      <c r="L602" s="13" t="str">
        <f>IF(D602&lt;&gt;"",VLOOKUP(H602,TABLEITEM,2,FALSE),"")</f>
        <v>Busbar</v>
      </c>
      <c r="M602" s="13" t="str">
        <f>IF(D602&lt;&gt;"",VLOOKUP(H602,TABLEITEM,3,FALSE),"")</f>
        <v>บัสบาร์ทองแดง 50x10</v>
      </c>
      <c r="N602" s="14">
        <f>INSTOCK!$I602*INSTOCK!$K602</f>
        <v>17136</v>
      </c>
      <c r="O602" s="4"/>
      <c r="P602" s="4"/>
    </row>
    <row r="603" ht="15.75" hidden="1" customHeight="1">
      <c r="B603" s="8">
        <v>743.0</v>
      </c>
      <c r="C603" s="9">
        <v>43155.0</v>
      </c>
      <c r="D603" s="6" t="s">
        <v>625</v>
      </c>
      <c r="E603" s="4">
        <v>6.102000238E9</v>
      </c>
      <c r="F603" s="8" t="s">
        <v>604</v>
      </c>
      <c r="G603" s="4" t="s">
        <v>617</v>
      </c>
      <c r="H603" s="18" t="s">
        <v>562</v>
      </c>
      <c r="I603" s="18">
        <v>25.0</v>
      </c>
      <c r="J603" s="11" t="str">
        <f>IF(D603&lt;&gt;"",VLOOKUP(H603,TABLEITEM,5,FALSE),"")</f>
        <v>M</v>
      </c>
      <c r="K603" s="17">
        <v>1187.2</v>
      </c>
      <c r="L603" s="13" t="str">
        <f>IF(D603&lt;&gt;"",VLOOKUP(H603,TABLEITEM,2,FALSE),"")</f>
        <v>Busbar</v>
      </c>
      <c r="M603" s="13" t="str">
        <f>IF(D603&lt;&gt;"",VLOOKUP(H603,TABLEITEM,3,FALSE),"")</f>
        <v>บัสบาร์ทองแดง 50x10</v>
      </c>
      <c r="N603" s="14">
        <f>INSTOCK!$I603*INSTOCK!$K603</f>
        <v>29680</v>
      </c>
      <c r="O603" s="4"/>
      <c r="P603" s="4"/>
    </row>
    <row r="604" ht="15.75" hidden="1" customHeight="1">
      <c r="B604" s="8">
        <v>744.0</v>
      </c>
      <c r="C604" s="9">
        <v>43110.0</v>
      </c>
      <c r="D604" s="6" t="s">
        <v>615</v>
      </c>
      <c r="E604" s="4">
        <v>6.101000085E9</v>
      </c>
      <c r="F604" s="8" t="s">
        <v>616</v>
      </c>
      <c r="G604" s="4" t="s">
        <v>617</v>
      </c>
      <c r="H604" s="10" t="s">
        <v>628</v>
      </c>
      <c r="I604" s="10">
        <v>25.0</v>
      </c>
      <c r="J604" s="11" t="str">
        <f>IF(D604&lt;&gt;"",VLOOKUP(H604,TABLEITEM,5,FALSE),"")</f>
        <v>M</v>
      </c>
      <c r="K604" s="12">
        <v>718.24</v>
      </c>
      <c r="L604" s="13" t="str">
        <f>IF(D604&lt;&gt;"",VLOOKUP(H604,TABLEITEM,2,FALSE),"")</f>
        <v>Busbar</v>
      </c>
      <c r="M604" s="13" t="str">
        <f>IF(D604&lt;&gt;"",VLOOKUP(H604,TABLEITEM,3,FALSE),"")</f>
        <v>บัสบาร์ทองแดง 30x10</v>
      </c>
      <c r="N604" s="14">
        <f>INSTOCK!$I604*INSTOCK!$K604</f>
        <v>17956</v>
      </c>
      <c r="O604" s="4"/>
      <c r="P604" s="4"/>
    </row>
    <row r="605" ht="15.75" hidden="1" customHeight="1">
      <c r="B605" s="8">
        <v>745.0</v>
      </c>
      <c r="C605" s="9">
        <v>43110.0</v>
      </c>
      <c r="D605" s="6" t="s">
        <v>615</v>
      </c>
      <c r="E605" s="4">
        <v>6.101000085E9</v>
      </c>
      <c r="F605" s="8" t="s">
        <v>616</v>
      </c>
      <c r="G605" s="4" t="s">
        <v>617</v>
      </c>
      <c r="H605" s="18" t="s">
        <v>562</v>
      </c>
      <c r="I605" s="18">
        <v>25.0</v>
      </c>
      <c r="J605" s="11" t="str">
        <f>IF(D605&lt;&gt;"",VLOOKUP(H605,TABLEITEM,5,FALSE),"")</f>
        <v>M</v>
      </c>
      <c r="K605" s="17">
        <v>1200.64</v>
      </c>
      <c r="L605" s="13" t="str">
        <f>IF(D605&lt;&gt;"",VLOOKUP(H605,TABLEITEM,2,FALSE),"")</f>
        <v>Busbar</v>
      </c>
      <c r="M605" s="13" t="str">
        <f>IF(D605&lt;&gt;"",VLOOKUP(H605,TABLEITEM,3,FALSE),"")</f>
        <v>บัสบาร์ทองแดง 50x10</v>
      </c>
      <c r="N605" s="14">
        <f>INSTOCK!$I605*INSTOCK!$K605</f>
        <v>30016</v>
      </c>
      <c r="O605" s="4"/>
      <c r="P605" s="4"/>
    </row>
    <row r="606" ht="15.75" hidden="1" customHeight="1">
      <c r="B606" s="8">
        <v>746.0</v>
      </c>
      <c r="C606" s="9">
        <v>43236.0</v>
      </c>
      <c r="D606" s="6" t="s">
        <v>623</v>
      </c>
      <c r="E606" s="4">
        <v>6.105000585E9</v>
      </c>
      <c r="F606" s="8" t="s">
        <v>624</v>
      </c>
      <c r="G606" s="4" t="s">
        <v>617</v>
      </c>
      <c r="H606" s="18" t="s">
        <v>629</v>
      </c>
      <c r="I606" s="18">
        <v>10.0</v>
      </c>
      <c r="J606" s="11" t="str">
        <f>IF(D606&lt;&gt;"",VLOOKUP(H606,TABLEITEM,5,FALSE),"")</f>
        <v>M</v>
      </c>
      <c r="K606" s="17">
        <v>1897.4</v>
      </c>
      <c r="L606" s="13" t="str">
        <f>IF(D606&lt;&gt;"",VLOOKUP(H606,TABLEITEM,2,FALSE),"")</f>
        <v>Busbar</v>
      </c>
      <c r="M606" s="13" t="str">
        <f>IF(D606&lt;&gt;"",VLOOKUP(H606,TABLEITEM,3,FALSE),"")</f>
        <v>บัสบาร์ทองแดง 80x10</v>
      </c>
      <c r="N606" s="14">
        <f>INSTOCK!$I606*INSTOCK!$K606</f>
        <v>18974</v>
      </c>
      <c r="O606" s="4"/>
      <c r="P606" s="4"/>
    </row>
    <row r="607" ht="15.75" hidden="1" customHeight="1">
      <c r="B607" s="8">
        <v>747.0</v>
      </c>
      <c r="C607" s="9">
        <v>43110.0</v>
      </c>
      <c r="D607" s="6" t="s">
        <v>615</v>
      </c>
      <c r="E607" s="4">
        <v>6.101000085E9</v>
      </c>
      <c r="F607" s="8" t="s">
        <v>616</v>
      </c>
      <c r="G607" s="4" t="s">
        <v>617</v>
      </c>
      <c r="H607" s="18" t="s">
        <v>629</v>
      </c>
      <c r="I607" s="18">
        <v>15.0</v>
      </c>
      <c r="J607" s="11" t="str">
        <f>IF(D607&lt;&gt;"",VLOOKUP(H607,TABLEITEM,5,FALSE),"")</f>
        <v>M</v>
      </c>
      <c r="K607" s="17">
        <v>1918.88</v>
      </c>
      <c r="L607" s="13" t="str">
        <f>IF(D607&lt;&gt;"",VLOOKUP(H607,TABLEITEM,2,FALSE),"")</f>
        <v>Busbar</v>
      </c>
      <c r="M607" s="13" t="str">
        <f>IF(D607&lt;&gt;"",VLOOKUP(H607,TABLEITEM,3,FALSE),"")</f>
        <v>บัสบาร์ทองแดง 80x10</v>
      </c>
      <c r="N607" s="14">
        <f>INSTOCK!$I607*INSTOCK!$K607</f>
        <v>28783.2</v>
      </c>
      <c r="O607" s="4"/>
      <c r="P607" s="4"/>
    </row>
    <row r="608" ht="15.75" hidden="1" customHeight="1">
      <c r="B608" s="8">
        <v>748.0</v>
      </c>
      <c r="C608" s="9">
        <v>43236.0</v>
      </c>
      <c r="D608" s="6" t="s">
        <v>623</v>
      </c>
      <c r="E608" s="4">
        <v>6.105000585E9</v>
      </c>
      <c r="F608" s="8" t="s">
        <v>624</v>
      </c>
      <c r="G608" s="4" t="s">
        <v>617</v>
      </c>
      <c r="H608" s="18" t="s">
        <v>564</v>
      </c>
      <c r="I608" s="18">
        <v>35.0</v>
      </c>
      <c r="J608" s="11" t="str">
        <f>IF(D608&lt;&gt;"",VLOOKUP(H608,TABLEITEM,5,FALSE),"")</f>
        <v>M</v>
      </c>
      <c r="K608" s="17">
        <v>2369.1</v>
      </c>
      <c r="L608" s="13" t="str">
        <f>IF(D608&lt;&gt;"",VLOOKUP(H608,TABLEITEM,2,FALSE),"")</f>
        <v>Busbar</v>
      </c>
      <c r="M608" s="13" t="str">
        <f>IF(D608&lt;&gt;"",VLOOKUP(H608,TABLEITEM,3,FALSE),"")</f>
        <v>บัสบาร์ทองแดง 100x10</v>
      </c>
      <c r="N608" s="14">
        <f>INSTOCK!$I608*INSTOCK!$K608</f>
        <v>82918.5</v>
      </c>
      <c r="O608" s="4"/>
      <c r="P608" s="4"/>
    </row>
    <row r="609" ht="15.75" hidden="1" customHeight="1">
      <c r="B609" s="8">
        <v>749.0</v>
      </c>
      <c r="C609" s="9">
        <v>43238.0</v>
      </c>
      <c r="D609" s="6" t="s">
        <v>630</v>
      </c>
      <c r="E609" s="4">
        <v>6.105000597E9</v>
      </c>
      <c r="F609" s="8" t="s">
        <v>624</v>
      </c>
      <c r="G609" s="4" t="s">
        <v>617</v>
      </c>
      <c r="H609" s="18" t="s">
        <v>564</v>
      </c>
      <c r="I609" s="18">
        <v>15.0</v>
      </c>
      <c r="J609" s="11" t="str">
        <f>IF(D609&lt;&gt;"",VLOOKUP(H609,TABLEITEM,5,FALSE),"")</f>
        <v>M</v>
      </c>
      <c r="K609" s="17">
        <v>2369.1</v>
      </c>
      <c r="L609" s="13" t="str">
        <f>IF(D609&lt;&gt;"",VLOOKUP(H609,TABLEITEM,2,FALSE),"")</f>
        <v>Busbar</v>
      </c>
      <c r="M609" s="13" t="str">
        <f>IF(D609&lt;&gt;"",VLOOKUP(H609,TABLEITEM,3,FALSE),"")</f>
        <v>บัสบาร์ทองแดง 100x10</v>
      </c>
      <c r="N609" s="14">
        <f>INSTOCK!$I609*INSTOCK!$K609</f>
        <v>35536.5</v>
      </c>
      <c r="O609" s="4"/>
      <c r="P609" s="4"/>
    </row>
    <row r="610" ht="15.75" hidden="1" customHeight="1">
      <c r="B610" s="8">
        <v>750.0</v>
      </c>
      <c r="C610" s="9">
        <v>43250.0</v>
      </c>
      <c r="D610" s="6" t="s">
        <v>631</v>
      </c>
      <c r="E610" s="4">
        <v>6.105000657E9</v>
      </c>
      <c r="F610" s="8" t="s">
        <v>632</v>
      </c>
      <c r="G610" s="4" t="s">
        <v>617</v>
      </c>
      <c r="H610" s="18" t="s">
        <v>564</v>
      </c>
      <c r="I610" s="18">
        <v>15.0</v>
      </c>
      <c r="J610" s="11" t="str">
        <f>IF(D610&lt;&gt;"",VLOOKUP(H610,TABLEITEM,5,FALSE),"")</f>
        <v>M</v>
      </c>
      <c r="K610" s="17">
        <v>2369.1</v>
      </c>
      <c r="L610" s="13" t="str">
        <f>IF(D610&lt;&gt;"",VLOOKUP(H610,TABLEITEM,2,FALSE),"")</f>
        <v>Busbar</v>
      </c>
      <c r="M610" s="13" t="str">
        <f>IF(D610&lt;&gt;"",VLOOKUP(H610,TABLEITEM,3,FALSE),"")</f>
        <v>บัสบาร์ทองแดง 100x10</v>
      </c>
      <c r="N610" s="14">
        <f>INSTOCK!$I610*INSTOCK!$K610</f>
        <v>35536.5</v>
      </c>
      <c r="O610" s="4"/>
      <c r="P610" s="4"/>
    </row>
    <row r="611" ht="15.75" hidden="1" customHeight="1">
      <c r="B611" s="8">
        <v>751.0</v>
      </c>
      <c r="C611" s="9">
        <v>43264.0</v>
      </c>
      <c r="D611" s="6" t="s">
        <v>604</v>
      </c>
      <c r="E611" s="4"/>
      <c r="F611" s="8"/>
      <c r="G611" s="4" t="s">
        <v>633</v>
      </c>
      <c r="H611" s="10" t="s">
        <v>568</v>
      </c>
      <c r="I611" s="18">
        <v>100.0</v>
      </c>
      <c r="J611" s="11" t="str">
        <f>IF(D611&lt;&gt;"",VLOOKUP(H611,TABLEITEM,5,FALSE),"")</f>
        <v>EA</v>
      </c>
      <c r="K611" s="17"/>
      <c r="L611" s="13" t="str">
        <f>IF(D611&lt;&gt;"",VLOOKUP(H611,TABLEITEM,2,FALSE),"")</f>
        <v>Busbar</v>
      </c>
      <c r="M611" s="13" t="str">
        <f>IF(D611&lt;&gt;"",VLOOKUP(H611,TABLEITEM,3,FALSE),"")</f>
        <v>ลักต่อบาร์ตัวแซด</v>
      </c>
      <c r="N611" s="14">
        <f>INSTOCK!$I611*INSTOCK!$K611</f>
        <v>0</v>
      </c>
      <c r="O611" s="4"/>
      <c r="P611" s="4"/>
    </row>
    <row r="612" ht="15.75" hidden="1" customHeight="1">
      <c r="B612" s="8">
        <v>752.0</v>
      </c>
      <c r="C612" s="9">
        <v>43264.0</v>
      </c>
      <c r="D612" s="6" t="s">
        <v>604</v>
      </c>
      <c r="E612" s="4"/>
      <c r="F612" s="8"/>
      <c r="G612" s="4" t="s">
        <v>633</v>
      </c>
      <c r="H612" s="10" t="s">
        <v>570</v>
      </c>
      <c r="I612" s="10">
        <v>50.0</v>
      </c>
      <c r="J612" s="11" t="str">
        <f>IF(D612&lt;&gt;"",VLOOKUP(H612,TABLEITEM,5,FALSE),"")</f>
        <v>EA</v>
      </c>
      <c r="K612" s="12"/>
      <c r="L612" s="13" t="str">
        <f>IF(D612&lt;&gt;"",VLOOKUP(H612,TABLEITEM,2,FALSE),"")</f>
        <v>Busbar</v>
      </c>
      <c r="M612" s="13" t="str">
        <f>IF(D612&lt;&gt;"",VLOOKUP(H612,TABLEITEM,3,FALSE),"")</f>
        <v>ลักต่อบาร์ตัวตรง</v>
      </c>
      <c r="N612" s="14">
        <f>INSTOCK!$I612*INSTOCK!$K612</f>
        <v>0</v>
      </c>
      <c r="O612" s="4"/>
      <c r="P612" s="4"/>
    </row>
    <row r="613" ht="15.75" hidden="1" customHeight="1">
      <c r="B613" s="8">
        <v>753.0</v>
      </c>
      <c r="C613" s="9">
        <v>43257.0</v>
      </c>
      <c r="D613" s="6" t="s">
        <v>634</v>
      </c>
      <c r="E613" s="4">
        <v>6.106000693E9</v>
      </c>
      <c r="F613" s="8" t="s">
        <v>635</v>
      </c>
      <c r="G613" s="4" t="s">
        <v>636</v>
      </c>
      <c r="H613" s="10" t="s">
        <v>566</v>
      </c>
      <c r="I613" s="18">
        <v>2.0</v>
      </c>
      <c r="J613" s="11" t="str">
        <f>IF(D613&lt;&gt;"",VLOOKUP(H613,TABLEITEM,5,FALSE),"")</f>
        <v>แผ่น</v>
      </c>
      <c r="K613" s="17">
        <v>19000.0</v>
      </c>
      <c r="L613" s="13" t="str">
        <f>IF(D613&lt;&gt;"",VLOOKUP(H613,TABLEITEM,2,FALSE),"")</f>
        <v>Busbar</v>
      </c>
      <c r="M613" s="13" t="str">
        <f>IF(D613&lt;&gt;"",VLOOKUP(H613,TABLEITEM,3,FALSE),"")</f>
        <v>บัสบาร์ทองแดง 2MM(4x8)แผ่น</v>
      </c>
      <c r="N613" s="14">
        <f>INSTOCK!$I613*INSTOCK!$K613</f>
        <v>38000</v>
      </c>
      <c r="O613" s="4"/>
      <c r="P613" s="4"/>
    </row>
    <row r="614" ht="15.75" hidden="1" customHeight="1">
      <c r="B614" s="8">
        <v>754.0</v>
      </c>
      <c r="C614" s="9">
        <v>43304.0</v>
      </c>
      <c r="D614" s="6" t="s">
        <v>637</v>
      </c>
      <c r="E614" s="4">
        <v>6.107000879E9</v>
      </c>
      <c r="F614" s="8"/>
      <c r="G614" s="4" t="s">
        <v>617</v>
      </c>
      <c r="H614" s="10" t="s">
        <v>566</v>
      </c>
      <c r="I614" s="10">
        <v>2.0</v>
      </c>
      <c r="J614" s="11" t="str">
        <f>IF(D614&lt;&gt;"",VLOOKUP(H614,TABLEITEM,5,FALSE),"")</f>
        <v>แผ่น</v>
      </c>
      <c r="K614" s="12">
        <v>19000.0</v>
      </c>
      <c r="L614" s="13" t="str">
        <f>IF(D614&lt;&gt;"",VLOOKUP(H614,TABLEITEM,2,FALSE),"")</f>
        <v>Busbar</v>
      </c>
      <c r="M614" s="13" t="str">
        <f>IF(D614&lt;&gt;"",VLOOKUP(H614,TABLEITEM,3,FALSE),"")</f>
        <v>บัสบาร์ทองแดง 2MM(4x8)แผ่น</v>
      </c>
      <c r="N614" s="14">
        <f>INSTOCK!$I614*INSTOCK!$K614</f>
        <v>38000</v>
      </c>
      <c r="O614" s="4"/>
      <c r="P614" s="4"/>
    </row>
    <row r="615" ht="15.75" hidden="1" customHeight="1">
      <c r="B615" s="8">
        <v>755.0</v>
      </c>
      <c r="C615" s="9">
        <v>43304.0</v>
      </c>
      <c r="D615" s="6" t="s">
        <v>637</v>
      </c>
      <c r="E615" s="4">
        <v>6.107000879E9</v>
      </c>
      <c r="F615" s="8"/>
      <c r="G615" s="4" t="s">
        <v>617</v>
      </c>
      <c r="H615" s="18" t="s">
        <v>567</v>
      </c>
      <c r="I615" s="18">
        <v>1.0</v>
      </c>
      <c r="J615" s="11" t="str">
        <f>IF(D615&lt;&gt;"",VLOOKUP(H615,TABLEITEM,5,FALSE),"")</f>
        <v>แผ่น</v>
      </c>
      <c r="K615" s="17">
        <v>29000.0</v>
      </c>
      <c r="L615" s="13" t="str">
        <f>IF(D615&lt;&gt;"",VLOOKUP(H615,TABLEITEM,2,FALSE),"")</f>
        <v>Busbar</v>
      </c>
      <c r="M615" s="13" t="str">
        <f>IF(D615&lt;&gt;"",VLOOKUP(H615,TABLEITEM,3,FALSE),"")</f>
        <v>บัสบาร์ทองแดง 3MM(4x8)แผ่น</v>
      </c>
      <c r="N615" s="14">
        <f>INSTOCK!$I615*INSTOCK!$K615</f>
        <v>29000</v>
      </c>
      <c r="O615" s="4"/>
      <c r="P615" s="4"/>
    </row>
    <row r="616" ht="15.75" hidden="1" customHeight="1">
      <c r="B616" s="8">
        <v>756.0</v>
      </c>
      <c r="C616" s="9">
        <v>43285.0</v>
      </c>
      <c r="D616" s="6" t="s">
        <v>604</v>
      </c>
      <c r="E616" s="4"/>
      <c r="F616" s="8"/>
      <c r="G616" s="4" t="s">
        <v>633</v>
      </c>
      <c r="H616" s="10" t="s">
        <v>573</v>
      </c>
      <c r="I616" s="18">
        <v>179.0</v>
      </c>
      <c r="J616" s="11" t="str">
        <f>IF(D616&lt;&gt;"",VLOOKUP(H616,TABLEITEM,5,FALSE),"")</f>
        <v>EA</v>
      </c>
      <c r="K616" s="17"/>
      <c r="L616" s="13" t="str">
        <f>IF(D616&lt;&gt;"",VLOOKUP(H616,TABLEITEM,2,FALSE),"")</f>
        <v>Busbar</v>
      </c>
      <c r="M616" s="13" t="str">
        <f>IF(D616&lt;&gt;"",VLOOKUP(H616,TABLEITEM,3,FALSE),"")</f>
        <v>บัสบาร์ BS-15-224-2 บน</v>
      </c>
      <c r="N616" s="14">
        <f>INSTOCK!$I616*INSTOCK!$K616</f>
        <v>0</v>
      </c>
      <c r="O616" s="4"/>
      <c r="P616" s="4"/>
    </row>
    <row r="617" ht="15.75" hidden="1" customHeight="1">
      <c r="B617" s="8">
        <v>757.0</v>
      </c>
      <c r="C617" s="9">
        <v>43297.0</v>
      </c>
      <c r="D617" s="6" t="s">
        <v>604</v>
      </c>
      <c r="E617" s="4"/>
      <c r="F617" s="8"/>
      <c r="G617" s="4" t="s">
        <v>633</v>
      </c>
      <c r="H617" s="10" t="s">
        <v>573</v>
      </c>
      <c r="I617" s="18">
        <v>172.0</v>
      </c>
      <c r="J617" s="11" t="str">
        <f>IF(D617&lt;&gt;"",VLOOKUP(H617,TABLEITEM,5,FALSE),"")</f>
        <v>EA</v>
      </c>
      <c r="K617" s="17"/>
      <c r="L617" s="13" t="str">
        <f>IF(D617&lt;&gt;"",VLOOKUP(H617,TABLEITEM,2,FALSE),"")</f>
        <v>Busbar</v>
      </c>
      <c r="M617" s="13" t="str">
        <f>IF(D617&lt;&gt;"",VLOOKUP(H617,TABLEITEM,3,FALSE),"")</f>
        <v>บัสบาร์ BS-15-224-2 บน</v>
      </c>
      <c r="N617" s="14">
        <f>INSTOCK!$I617*INSTOCK!$K617</f>
        <v>0</v>
      </c>
      <c r="O617" s="4"/>
      <c r="P617" s="4"/>
    </row>
    <row r="618" ht="15.75" hidden="1" customHeight="1">
      <c r="B618" s="8">
        <v>758.0</v>
      </c>
      <c r="C618" s="9">
        <v>43285.0</v>
      </c>
      <c r="D618" s="6" t="s">
        <v>604</v>
      </c>
      <c r="E618" s="4"/>
      <c r="F618" s="8"/>
      <c r="G618" s="4" t="s">
        <v>633</v>
      </c>
      <c r="H618" s="10" t="s">
        <v>574</v>
      </c>
      <c r="I618" s="18">
        <v>92.0</v>
      </c>
      <c r="J618" s="11" t="str">
        <f>IF(D618&lt;&gt;"",VLOOKUP(H618,TABLEITEM,5,FALSE),"")</f>
        <v>EA</v>
      </c>
      <c r="K618" s="17"/>
      <c r="L618" s="13" t="str">
        <f>IF(D618&lt;&gt;"",VLOOKUP(H618,TABLEITEM,2,FALSE),"")</f>
        <v>Busbar</v>
      </c>
      <c r="M618" s="13" t="str">
        <f>IF(D618&lt;&gt;"",VLOOKUP(H618,TABLEITEM,3,FALSE),"")</f>
        <v>บัสบาร์ BS-15-224-2 กลาง</v>
      </c>
      <c r="N618" s="14">
        <f>INSTOCK!$I618*INSTOCK!$K618</f>
        <v>0</v>
      </c>
      <c r="O618" s="4"/>
      <c r="P618" s="4"/>
    </row>
    <row r="619" ht="15.75" hidden="1" customHeight="1">
      <c r="B619" s="8">
        <v>759.0</v>
      </c>
      <c r="C619" s="9">
        <v>43297.0</v>
      </c>
      <c r="D619" s="6" t="s">
        <v>604</v>
      </c>
      <c r="E619" s="4"/>
      <c r="F619" s="8"/>
      <c r="G619" s="4" t="s">
        <v>633</v>
      </c>
      <c r="H619" s="10" t="s">
        <v>574</v>
      </c>
      <c r="I619" s="10">
        <v>92.0</v>
      </c>
      <c r="J619" s="11" t="str">
        <f>IF(D619&lt;&gt;"",VLOOKUP(H619,TABLEITEM,5,FALSE),"")</f>
        <v>EA</v>
      </c>
      <c r="K619" s="12"/>
      <c r="L619" s="13" t="str">
        <f>IF(D619&lt;&gt;"",VLOOKUP(H619,TABLEITEM,2,FALSE),"")</f>
        <v>Busbar</v>
      </c>
      <c r="M619" s="13" t="str">
        <f>IF(D619&lt;&gt;"",VLOOKUP(H619,TABLEITEM,3,FALSE),"")</f>
        <v>บัสบาร์ BS-15-224-2 กลาง</v>
      </c>
      <c r="N619" s="14">
        <f>INSTOCK!$I619*INSTOCK!$K619</f>
        <v>0</v>
      </c>
      <c r="O619" s="4"/>
      <c r="P619" s="4"/>
    </row>
    <row r="620" ht="15.75" hidden="1" customHeight="1">
      <c r="B620" s="8">
        <v>760.0</v>
      </c>
      <c r="C620" s="9">
        <v>43133.0</v>
      </c>
      <c r="D620" s="6" t="s">
        <v>638</v>
      </c>
      <c r="E620" s="4">
        <v>6.10200014E9</v>
      </c>
      <c r="F620" s="8" t="s">
        <v>604</v>
      </c>
      <c r="G620" s="4" t="s">
        <v>617</v>
      </c>
      <c r="H620" s="18" t="s">
        <v>533</v>
      </c>
      <c r="I620" s="18">
        <v>100.0</v>
      </c>
      <c r="J620" s="11" t="str">
        <f>IF(D620&lt;&gt;"",VLOOKUP(H620,TABLEITEM,5,FALSE),"")</f>
        <v>M</v>
      </c>
      <c r="K620" s="17">
        <v>180.2</v>
      </c>
      <c r="L620" s="13" t="str">
        <f>IF(D620&lt;&gt;"",VLOOKUP(H620,TABLEITEM,2,FALSE),"")</f>
        <v>Busbar</v>
      </c>
      <c r="M620" s="13" t="str">
        <f>IF(D620&lt;&gt;"",VLOOKUP(H620,TABLEITEM,3,FALSE),"")</f>
        <v>บัสบาร์ทองแดง 5/8"x3/16"</v>
      </c>
      <c r="N620" s="14">
        <f>INSTOCK!$I620*INSTOCK!$K620</f>
        <v>18020</v>
      </c>
      <c r="O620" s="4"/>
      <c r="P620" s="4"/>
    </row>
    <row r="621" ht="15.75" hidden="1" customHeight="1">
      <c r="B621" s="8">
        <v>761.0</v>
      </c>
      <c r="C621" s="9">
        <v>43155.0</v>
      </c>
      <c r="D621" s="6" t="s">
        <v>625</v>
      </c>
      <c r="E621" s="4">
        <v>6.102000238E9</v>
      </c>
      <c r="F621" s="8" t="s">
        <v>604</v>
      </c>
      <c r="G621" s="4" t="s">
        <v>617</v>
      </c>
      <c r="H621" s="18" t="s">
        <v>534</v>
      </c>
      <c r="I621" s="18">
        <v>50.0</v>
      </c>
      <c r="J621" s="11" t="str">
        <f>IF(D621&lt;&gt;"",VLOOKUP(H621,TABLEITEM,5,FALSE),"")</f>
        <v>M</v>
      </c>
      <c r="K621" s="17">
        <v>148.4</v>
      </c>
      <c r="L621" s="13" t="str">
        <f>IF(D621&lt;&gt;"",VLOOKUP(H621,TABLEITEM,2,FALSE),"")</f>
        <v>Busbar</v>
      </c>
      <c r="M621" s="13" t="str">
        <f>IF(D621&lt;&gt;"",VLOOKUP(H621,TABLEITEM,3,FALSE),"")</f>
        <v>บัสบาร์ทองแดง 3/4"x1/8"</v>
      </c>
      <c r="N621" s="14">
        <f>INSTOCK!$I621*INSTOCK!$K621</f>
        <v>7420</v>
      </c>
      <c r="O621" s="4"/>
      <c r="P621" s="4"/>
    </row>
    <row r="622" ht="15.75" hidden="1" customHeight="1">
      <c r="B622" s="8">
        <v>762.0</v>
      </c>
      <c r="C622" s="9">
        <v>43182.0</v>
      </c>
      <c r="D622" s="6" t="s">
        <v>639</v>
      </c>
      <c r="E622" s="4">
        <v>6.103000357E9</v>
      </c>
      <c r="F622" s="8" t="s">
        <v>640</v>
      </c>
      <c r="G622" s="4" t="s">
        <v>641</v>
      </c>
      <c r="H622" s="18" t="s">
        <v>542</v>
      </c>
      <c r="I622" s="18">
        <v>50.0</v>
      </c>
      <c r="J622" s="11" t="str">
        <f>IF(D622&lt;&gt;"",VLOOKUP(H622,TABLEITEM,5,FALSE),"")</f>
        <v>M</v>
      </c>
      <c r="K622" s="17">
        <v>473.2</v>
      </c>
      <c r="L622" s="13" t="str">
        <f>IF(D622&lt;&gt;"",VLOOKUP(H622,TABLEITEM,2,FALSE),"")</f>
        <v>Busbar</v>
      </c>
      <c r="M622" s="13" t="str">
        <f>IF(D622&lt;&gt;"",VLOOKUP(H622,TABLEITEM,3,FALSE),"")</f>
        <v>บัสบาร์ทองแดง 1 1/4"x1/4"</v>
      </c>
      <c r="N622" s="14">
        <f>INSTOCK!$I622*INSTOCK!$K622</f>
        <v>23660</v>
      </c>
      <c r="O622" s="4"/>
      <c r="P622" s="4"/>
    </row>
    <row r="623" ht="15.75" hidden="1" customHeight="1">
      <c r="B623" s="8">
        <v>763.0</v>
      </c>
      <c r="C623" s="9">
        <v>43257.0</v>
      </c>
      <c r="D623" s="6" t="s">
        <v>634</v>
      </c>
      <c r="E623" s="4">
        <v>6.106000693E9</v>
      </c>
      <c r="F623" s="8" t="s">
        <v>635</v>
      </c>
      <c r="G623" s="4" t="s">
        <v>636</v>
      </c>
      <c r="H623" s="18" t="s">
        <v>546</v>
      </c>
      <c r="I623" s="18">
        <v>40.0</v>
      </c>
      <c r="J623" s="11" t="str">
        <f>IF(D623&lt;&gt;"",VLOOKUP(H623,TABLEITEM,5,FALSE),"")</f>
        <v>M</v>
      </c>
      <c r="K623" s="17">
        <v>1531.7</v>
      </c>
      <c r="L623" s="13" t="str">
        <f>IF(D623&lt;&gt;"",VLOOKUP(H623,TABLEITEM,2,FALSE),"")</f>
        <v>Busbar</v>
      </c>
      <c r="M623" s="13" t="str">
        <f>IF(D623&lt;&gt;"",VLOOKUP(H623,TABLEITEM,3,FALSE),"")</f>
        <v>บัสบาร์ทองแดง 2"x1/2"</v>
      </c>
      <c r="N623" s="14">
        <f>INSTOCK!$I623*INSTOCK!$K623</f>
        <v>61268</v>
      </c>
      <c r="O623" s="4"/>
      <c r="P623" s="4"/>
    </row>
    <row r="624" ht="15.75" hidden="1" customHeight="1">
      <c r="B624" s="8">
        <v>764.0</v>
      </c>
      <c r="C624" s="9">
        <v>43335.0</v>
      </c>
      <c r="D624" s="6" t="s">
        <v>642</v>
      </c>
      <c r="E624" s="4">
        <v>6.108001007E9</v>
      </c>
      <c r="F624" s="8" t="s">
        <v>643</v>
      </c>
      <c r="G624" s="4" t="s">
        <v>617</v>
      </c>
      <c r="H624" s="18" t="s">
        <v>644</v>
      </c>
      <c r="I624" s="18">
        <v>50.0</v>
      </c>
      <c r="J624" s="11" t="str">
        <f>IF(D624&lt;&gt;"",VLOOKUP(H624,TABLEITEM,5,FALSE),"")</f>
        <v>M</v>
      </c>
      <c r="K624" s="17">
        <v>1592.5</v>
      </c>
      <c r="L624" s="13" t="str">
        <f>IF(D624&lt;&gt;"",VLOOKUP(H624,TABLEITEM,2,FALSE),"")</f>
        <v>Busbar</v>
      </c>
      <c r="M624" s="13" t="str">
        <f>IF(D624&lt;&gt;"",VLOOKUP(H624,TABLEITEM,3,FALSE),"")</f>
        <v>บัสบาร์ทองแดง 3"x3/8"</v>
      </c>
      <c r="N624" s="14">
        <f>INSTOCK!$I624*INSTOCK!$K624</f>
        <v>79625</v>
      </c>
      <c r="O624" s="4"/>
      <c r="P624" s="4"/>
    </row>
    <row r="625" ht="15.75" hidden="1" customHeight="1">
      <c r="B625" s="8">
        <v>766.0</v>
      </c>
      <c r="C625" s="9">
        <v>43363.0</v>
      </c>
      <c r="D625" s="6" t="s">
        <v>645</v>
      </c>
      <c r="E625" s="4">
        <v>6.109001156E9</v>
      </c>
      <c r="F625" s="8" t="s">
        <v>604</v>
      </c>
      <c r="G625" s="4" t="s">
        <v>617</v>
      </c>
      <c r="H625" s="18" t="s">
        <v>556</v>
      </c>
      <c r="I625" s="18">
        <v>100.0</v>
      </c>
      <c r="J625" s="11" t="str">
        <f>IF(D625&lt;&gt;"",VLOOKUP(H625,TABLEITEM,5,FALSE),"")</f>
        <v>M</v>
      </c>
      <c r="K625" s="17">
        <v>216.0</v>
      </c>
      <c r="L625" s="13" t="str">
        <f>IF(D625&lt;&gt;"",VLOOKUP(H625,TABLEITEM,2,FALSE),"")</f>
        <v>Busbar</v>
      </c>
      <c r="M625" s="13" t="str">
        <f>IF(D625&lt;&gt;"",VLOOKUP(H625,TABLEITEM,3,FALSE),"")</f>
        <v>บัสบาร์ทองแดง 20x5</v>
      </c>
      <c r="N625" s="14">
        <f>INSTOCK!$I625*INSTOCK!$K625</f>
        <v>21600</v>
      </c>
      <c r="O625" s="4"/>
      <c r="P625" s="4"/>
    </row>
    <row r="626" ht="15.75" hidden="1" customHeight="1">
      <c r="B626" s="8">
        <v>767.0</v>
      </c>
      <c r="C626" s="9">
        <v>43363.0</v>
      </c>
      <c r="D626" s="6" t="s">
        <v>645</v>
      </c>
      <c r="E626" s="4">
        <v>6.109001156E9</v>
      </c>
      <c r="F626" s="8" t="s">
        <v>604</v>
      </c>
      <c r="G626" s="4" t="s">
        <v>617</v>
      </c>
      <c r="H626" s="18" t="s">
        <v>559</v>
      </c>
      <c r="I626" s="18">
        <v>50.0</v>
      </c>
      <c r="J626" s="11" t="str">
        <f>IF(D626&lt;&gt;"",VLOOKUP(H626,TABLEITEM,5,FALSE),"")</f>
        <v>M</v>
      </c>
      <c r="K626" s="17">
        <v>321.6</v>
      </c>
      <c r="L626" s="13" t="str">
        <f>IF(D626&lt;&gt;"",VLOOKUP(H626,TABLEITEM,2,FALSE),"")</f>
        <v>Busbar</v>
      </c>
      <c r="M626" s="13" t="str">
        <f>IF(D626&lt;&gt;"",VLOOKUP(H626,TABLEITEM,3,FALSE),"")</f>
        <v>บัสบาร์ทองแดง 30x5</v>
      </c>
      <c r="N626" s="14">
        <f>INSTOCK!$I626*INSTOCK!$K626</f>
        <v>16080</v>
      </c>
      <c r="O626" s="4"/>
      <c r="P626" s="4"/>
    </row>
    <row r="627" ht="15.75" hidden="1" customHeight="1">
      <c r="B627" s="8">
        <v>768.0</v>
      </c>
      <c r="C627" s="9">
        <v>43363.0</v>
      </c>
      <c r="D627" s="6" t="s">
        <v>645</v>
      </c>
      <c r="E627" s="4">
        <v>6.109001156E9</v>
      </c>
      <c r="F627" s="8" t="s">
        <v>604</v>
      </c>
      <c r="G627" s="4" t="s">
        <v>617</v>
      </c>
      <c r="H627" s="18" t="s">
        <v>560</v>
      </c>
      <c r="I627" s="18">
        <v>25.0</v>
      </c>
      <c r="J627" s="11" t="str">
        <f>IF(D627&lt;&gt;"",VLOOKUP(H627,TABLEITEM,5,FALSE),"")</f>
        <v>M</v>
      </c>
      <c r="K627" s="17">
        <v>643.2</v>
      </c>
      <c r="L627" s="13" t="str">
        <f>IF(D627&lt;&gt;"",VLOOKUP(H627,TABLEITEM,2,FALSE),"")</f>
        <v>Busbar</v>
      </c>
      <c r="M627" s="13" t="str">
        <f>IF(D627&lt;&gt;"",VLOOKUP(H627,TABLEITEM,3,FALSE),"")</f>
        <v>บัสบาร์ทองแดง 30x10</v>
      </c>
      <c r="N627" s="14">
        <f>INSTOCK!$I627*INSTOCK!$K627</f>
        <v>16080</v>
      </c>
      <c r="O627" s="4"/>
      <c r="P627" s="4"/>
    </row>
    <row r="628" ht="15.75" hidden="1" customHeight="1">
      <c r="B628" s="8">
        <v>769.0</v>
      </c>
      <c r="C628" s="9">
        <v>43363.0</v>
      </c>
      <c r="D628" s="6" t="s">
        <v>645</v>
      </c>
      <c r="E628" s="4">
        <v>6.109001156E9</v>
      </c>
      <c r="F628" s="8" t="s">
        <v>604</v>
      </c>
      <c r="G628" s="4" t="s">
        <v>617</v>
      </c>
      <c r="H628" s="18" t="s">
        <v>561</v>
      </c>
      <c r="I628" s="18">
        <v>25.0</v>
      </c>
      <c r="J628" s="11" t="str">
        <f>IF(D628&lt;&gt;"",VLOOKUP(H628,TABLEITEM,5,FALSE),"")</f>
        <v>M</v>
      </c>
      <c r="K628" s="17">
        <v>859.2</v>
      </c>
      <c r="L628" s="13" t="str">
        <f>IF(D628&lt;&gt;"",VLOOKUP(H628,TABLEITEM,2,FALSE),"")</f>
        <v>Busbar</v>
      </c>
      <c r="M628" s="13" t="str">
        <f>IF(D628&lt;&gt;"",VLOOKUP(H628,TABLEITEM,3,FALSE),"")</f>
        <v>บัสบาร์ทองแดง 40x10</v>
      </c>
      <c r="N628" s="14">
        <f>INSTOCK!$I628*INSTOCK!$K628</f>
        <v>21480</v>
      </c>
      <c r="O628" s="4"/>
      <c r="P628" s="4"/>
    </row>
    <row r="629" ht="15.75" hidden="1" customHeight="1">
      <c r="B629" s="8">
        <v>886.0</v>
      </c>
      <c r="C629" s="9">
        <v>43370.0</v>
      </c>
      <c r="D629" s="6">
        <v>6103048.0</v>
      </c>
      <c r="E629" s="4"/>
      <c r="F629" s="8"/>
      <c r="G629" s="4" t="s">
        <v>617</v>
      </c>
      <c r="H629" s="18" t="s">
        <v>551</v>
      </c>
      <c r="I629" s="18">
        <v>25.0</v>
      </c>
      <c r="J629" s="11" t="str">
        <f>IF(D629&lt;&gt;"",VLOOKUP(H629,TABLEITEM,5,FALSE),"")</f>
        <v>M</v>
      </c>
      <c r="K629" s="17"/>
      <c r="L629" s="13" t="str">
        <f>IF(D629&lt;&gt;"",VLOOKUP(H629,TABLEITEM,2,FALSE),"")</f>
        <v>Busbar</v>
      </c>
      <c r="M629" s="13" t="str">
        <f>IF(D629&lt;&gt;"",VLOOKUP(H629,TABLEITEM,3,FALSE),"")</f>
        <v>บัสบาร์ทองแดง 3"x1/2"</v>
      </c>
      <c r="N629" s="14">
        <f>INSTOCK!$I629*INSTOCK!$K629</f>
        <v>0</v>
      </c>
      <c r="O629" s="4"/>
      <c r="P629" s="4"/>
    </row>
    <row r="630" ht="15.75" hidden="1" customHeight="1">
      <c r="B630" s="8">
        <v>887.0</v>
      </c>
      <c r="C630" s="9">
        <v>43370.0</v>
      </c>
      <c r="D630" s="6">
        <v>6103048.0</v>
      </c>
      <c r="E630" s="4"/>
      <c r="F630" s="8"/>
      <c r="G630" s="4" t="s">
        <v>617</v>
      </c>
      <c r="H630" s="18" t="s">
        <v>562</v>
      </c>
      <c r="I630" s="18">
        <v>25.0</v>
      </c>
      <c r="J630" s="11" t="str">
        <f>IF(D630&lt;&gt;"",VLOOKUP(H630,TABLEITEM,5,FALSE),"")</f>
        <v>M</v>
      </c>
      <c r="K630" s="17"/>
      <c r="L630" s="13" t="str">
        <f>IF(D630&lt;&gt;"",VLOOKUP(H630,TABLEITEM,2,FALSE),"")</f>
        <v>Busbar</v>
      </c>
      <c r="M630" s="13" t="str">
        <f>IF(D630&lt;&gt;"",VLOOKUP(H630,TABLEITEM,3,FALSE),"")</f>
        <v>บัสบาร์ทองแดง 50x10</v>
      </c>
      <c r="N630" s="14">
        <f>INSTOCK!$I630*INSTOCK!$K630</f>
        <v>0</v>
      </c>
      <c r="O630" s="4"/>
      <c r="P630" s="4"/>
    </row>
    <row r="631" ht="15.75" hidden="1" customHeight="1">
      <c r="B631" s="8">
        <v>902.0</v>
      </c>
      <c r="C631" s="9">
        <v>22335.0</v>
      </c>
      <c r="D631" s="6" t="s">
        <v>646</v>
      </c>
      <c r="E631" s="4">
        <v>6.102000237E9</v>
      </c>
      <c r="F631" s="8" t="s">
        <v>647</v>
      </c>
      <c r="G631" s="4" t="s">
        <v>617</v>
      </c>
      <c r="H631" s="18" t="s">
        <v>648</v>
      </c>
      <c r="I631" s="18">
        <v>18.0</v>
      </c>
      <c r="J631" s="11" t="str">
        <f>IF(D631&lt;&gt;"",VLOOKUP(H631,TABLEITEM,5,FALSE),"")</f>
        <v>M</v>
      </c>
      <c r="K631" s="17">
        <v>206.67</v>
      </c>
      <c r="L631" s="13" t="str">
        <f>IF(D631&lt;&gt;"",VLOOKUP(H631,TABLEITEM,2,FALSE),"")</f>
        <v>Busbar</v>
      </c>
      <c r="M631" s="13" t="str">
        <f>IF(D631&lt;&gt;"",VLOOKUP(H631,TABLEITEM,3,FALSE),"")</f>
        <v>บัสบาร์ทองแดง 2"x3/8"</v>
      </c>
      <c r="N631" s="14">
        <f>INSTOCK!$I631*INSTOCK!$K631</f>
        <v>3720.06</v>
      </c>
      <c r="O631" s="4"/>
      <c r="P631" s="4"/>
    </row>
    <row r="632" ht="15.75" hidden="1" customHeight="1">
      <c r="B632" s="8">
        <v>905.0</v>
      </c>
      <c r="C632" s="9">
        <v>43154.0</v>
      </c>
      <c r="D632" s="6" t="s">
        <v>649</v>
      </c>
      <c r="E632" s="4">
        <v>6.10200016E9</v>
      </c>
      <c r="F632" s="8" t="s">
        <v>604</v>
      </c>
      <c r="G632" s="4" t="s">
        <v>583</v>
      </c>
      <c r="H632" s="10" t="s">
        <v>584</v>
      </c>
      <c r="I632" s="10">
        <v>1000.0</v>
      </c>
      <c r="J632" s="11" t="str">
        <f>IF(D632&lt;&gt;"",VLOOKUP(H632,TABLEITEM,5,FALSE),"")</f>
        <v>EA</v>
      </c>
      <c r="K632" s="12">
        <v>113.75</v>
      </c>
      <c r="L632" s="13" t="str">
        <f>IF(D632&lt;&gt;"",VLOOKUP(H632,TABLEITEM,2,FALSE),"")</f>
        <v>Support</v>
      </c>
      <c r="M632" s="13" t="str">
        <f>IF(D632&lt;&gt;"",VLOOKUP(H632,TABLEITEM,3,FALSE),"")</f>
        <v>SUPPORT VFM S7 2030 180</v>
      </c>
      <c r="N632" s="14">
        <f>INSTOCK!$I632*INSTOCK!$K632</f>
        <v>113750</v>
      </c>
      <c r="O632" s="4" t="s">
        <v>585</v>
      </c>
      <c r="P632" s="4"/>
    </row>
    <row r="633" ht="15.75" hidden="1" customHeight="1">
      <c r="B633" s="8">
        <v>906.0</v>
      </c>
      <c r="C633" s="9">
        <v>43154.0</v>
      </c>
      <c r="D633" s="6" t="s">
        <v>649</v>
      </c>
      <c r="E633" s="4">
        <v>6.10200016E9</v>
      </c>
      <c r="F633" s="8" t="s">
        <v>604</v>
      </c>
      <c r="G633" s="4" t="s">
        <v>583</v>
      </c>
      <c r="H633" s="10" t="s">
        <v>590</v>
      </c>
      <c r="I633" s="10">
        <v>300.0</v>
      </c>
      <c r="J633" s="11" t="str">
        <f>IF(D633&lt;&gt;"",VLOOKUP(H633,TABLEITEM,5,FALSE),"")</f>
        <v>EA</v>
      </c>
      <c r="K633" s="12">
        <v>188.5</v>
      </c>
      <c r="L633" s="13" t="str">
        <f>IF(D633&lt;&gt;"",VLOOKUP(H633,TABLEITEM,2,FALSE),"")</f>
        <v>Support</v>
      </c>
      <c r="M633" s="13" t="str">
        <f>IF(D633&lt;&gt;"",VLOOKUP(H633,TABLEITEM,3,FALSE),"")</f>
        <v>SUPPORT VFM D11 2040 270</v>
      </c>
      <c r="N633" s="14">
        <f>INSTOCK!$I633*INSTOCK!$K633</f>
        <v>56550</v>
      </c>
      <c r="O633" s="4" t="s">
        <v>589</v>
      </c>
      <c r="P633" s="4"/>
    </row>
    <row r="634" ht="15.75" hidden="1" customHeight="1">
      <c r="B634" s="8">
        <v>907.0</v>
      </c>
      <c r="C634" s="9">
        <v>43154.0</v>
      </c>
      <c r="D634" s="6" t="s">
        <v>649</v>
      </c>
      <c r="E634" s="4">
        <v>6.10200016E9</v>
      </c>
      <c r="F634" s="8" t="s">
        <v>604</v>
      </c>
      <c r="G634" s="4" t="s">
        <v>583</v>
      </c>
      <c r="H634" s="10" t="s">
        <v>592</v>
      </c>
      <c r="I634" s="10">
        <v>300.0</v>
      </c>
      <c r="J634" s="11" t="str">
        <f>IF(D634&lt;&gt;"",VLOOKUP(H634,TABLEITEM,5,FALSE),"")</f>
        <v>EA</v>
      </c>
      <c r="K634" s="12">
        <v>370.5</v>
      </c>
      <c r="L634" s="13" t="str">
        <f>IF(D634&lt;&gt;"",VLOOKUP(H634,TABLEITEM,2,FALSE),"")</f>
        <v>Support</v>
      </c>
      <c r="M634" s="13" t="str">
        <f>IF(D634&lt;&gt;"",VLOOKUP(H634,TABLEITEM,3,FALSE),"")</f>
        <v>SUPPORT VFM D11 2040 390</v>
      </c>
      <c r="N634" s="14">
        <f>INSTOCK!$I634*INSTOCK!$K634</f>
        <v>111150</v>
      </c>
      <c r="O634" s="4" t="s">
        <v>593</v>
      </c>
      <c r="P634" s="4"/>
    </row>
    <row r="635" ht="15.75" hidden="1" customHeight="1">
      <c r="B635" s="8">
        <v>908.0</v>
      </c>
      <c r="C635" s="9">
        <v>43154.0</v>
      </c>
      <c r="D635" s="6" t="s">
        <v>649</v>
      </c>
      <c r="E635" s="4">
        <v>6.10200016E9</v>
      </c>
      <c r="F635" s="8" t="s">
        <v>604</v>
      </c>
      <c r="G635" s="4" t="s">
        <v>583</v>
      </c>
      <c r="H635" s="10" t="s">
        <v>594</v>
      </c>
      <c r="I635" s="10">
        <v>100.0</v>
      </c>
      <c r="J635" s="11" t="str">
        <f>IF(D635&lt;&gt;"",VLOOKUP(H635,TABLEITEM,5,FALSE),"")</f>
        <v>EA</v>
      </c>
      <c r="K635" s="12">
        <v>370.5</v>
      </c>
      <c r="L635" s="13" t="str">
        <f>IF(D635&lt;&gt;"",VLOOKUP(H635,TABLEITEM,2,FALSE),"")</f>
        <v>Support</v>
      </c>
      <c r="M635" s="13" t="str">
        <f>IF(D635&lt;&gt;"",VLOOKUP(H635,TABLEITEM,3,FALSE),"")</f>
        <v>SUPPORT VFM D13.5 2540 390</v>
      </c>
      <c r="N635" s="14">
        <f>INSTOCK!$I635*INSTOCK!$K635</f>
        <v>37050</v>
      </c>
      <c r="O635" s="4" t="s">
        <v>593</v>
      </c>
      <c r="P635" s="4"/>
    </row>
    <row r="636" ht="15.75" hidden="1" customHeight="1">
      <c r="B636" s="8">
        <v>909.0</v>
      </c>
      <c r="C636" s="9">
        <v>43193.0</v>
      </c>
      <c r="D636" s="6" t="s">
        <v>650</v>
      </c>
      <c r="E636" s="4">
        <v>6.103000355E9</v>
      </c>
      <c r="F636" s="8" t="s">
        <v>604</v>
      </c>
      <c r="G636" s="4" t="s">
        <v>583</v>
      </c>
      <c r="H636" s="10" t="s">
        <v>599</v>
      </c>
      <c r="I636" s="10">
        <v>5000.0</v>
      </c>
      <c r="J636" s="11" t="str">
        <f>IF(D636&lt;&gt;"",VLOOKUP(H636,TABLEITEM,5,FALSE),"")</f>
        <v>EA</v>
      </c>
      <c r="K636" s="12">
        <v>13.0</v>
      </c>
      <c r="L636" s="13" t="str">
        <f>IF(D636&lt;&gt;"",VLOOKUP(H636,TABLEITEM,2,FALSE),"")</f>
        <v>Support</v>
      </c>
      <c r="M636" s="13" t="str">
        <f>IF(D636&lt;&gt;"",VLOOKUP(H636,TABLEITEM,3,FALSE),"")</f>
        <v>ลูกถ้วย D35 M8</v>
      </c>
      <c r="N636" s="14">
        <f>INSTOCK!$I636*INSTOCK!$K636</f>
        <v>65000</v>
      </c>
      <c r="O636" s="4" t="s">
        <v>651</v>
      </c>
      <c r="P636" s="4"/>
    </row>
    <row r="637" ht="15.75" hidden="1" customHeight="1">
      <c r="B637" s="8">
        <v>910.0</v>
      </c>
      <c r="C637" s="9">
        <v>43193.0</v>
      </c>
      <c r="D637" s="6" t="s">
        <v>650</v>
      </c>
      <c r="E637" s="4">
        <v>6.103000355E9</v>
      </c>
      <c r="F637" s="8" t="s">
        <v>604</v>
      </c>
      <c r="G637" s="4" t="s">
        <v>583</v>
      </c>
      <c r="H637" s="10" t="s">
        <v>584</v>
      </c>
      <c r="I637" s="10">
        <v>500.0</v>
      </c>
      <c r="J637" s="11" t="str">
        <f>IF(D637&lt;&gt;"",VLOOKUP(H637,TABLEITEM,5,FALSE),"")</f>
        <v>EA</v>
      </c>
      <c r="K637" s="12">
        <v>113.75</v>
      </c>
      <c r="L637" s="13" t="str">
        <f>IF(D637&lt;&gt;"",VLOOKUP(H637,TABLEITEM,2,FALSE),"")</f>
        <v>Support</v>
      </c>
      <c r="M637" s="13" t="str">
        <f>IF(D637&lt;&gt;"",VLOOKUP(H637,TABLEITEM,3,FALSE),"")</f>
        <v>SUPPORT VFM S7 2030 180</v>
      </c>
      <c r="N637" s="14">
        <f>INSTOCK!$I637*INSTOCK!$K637</f>
        <v>56875</v>
      </c>
      <c r="O637" s="4" t="s">
        <v>585</v>
      </c>
      <c r="P637" s="4"/>
    </row>
    <row r="638" ht="15.75" hidden="1" customHeight="1">
      <c r="B638" s="8">
        <v>911.0</v>
      </c>
      <c r="C638" s="9">
        <v>43193.0</v>
      </c>
      <c r="D638" s="6" t="s">
        <v>650</v>
      </c>
      <c r="E638" s="4">
        <v>6.103000355E9</v>
      </c>
      <c r="F638" s="8" t="s">
        <v>604</v>
      </c>
      <c r="G638" s="4" t="s">
        <v>583</v>
      </c>
      <c r="H638" s="10" t="s">
        <v>590</v>
      </c>
      <c r="I638" s="10">
        <v>500.0</v>
      </c>
      <c r="J638" s="11" t="str">
        <f>IF(D638&lt;&gt;"",VLOOKUP(H638,TABLEITEM,5,FALSE),"")</f>
        <v>EA</v>
      </c>
      <c r="K638" s="12">
        <v>188.5</v>
      </c>
      <c r="L638" s="13" t="str">
        <f>IF(D638&lt;&gt;"",VLOOKUP(H638,TABLEITEM,2,FALSE),"")</f>
        <v>Support</v>
      </c>
      <c r="M638" s="13" t="str">
        <f>IF(D638&lt;&gt;"",VLOOKUP(H638,TABLEITEM,3,FALSE),"")</f>
        <v>SUPPORT VFM D11 2040 270</v>
      </c>
      <c r="N638" s="14">
        <f>INSTOCK!$I638*INSTOCK!$K638</f>
        <v>94250</v>
      </c>
      <c r="O638" s="4" t="s">
        <v>589</v>
      </c>
      <c r="P638" s="4"/>
    </row>
    <row r="639" ht="15.75" hidden="1" customHeight="1">
      <c r="B639" s="8">
        <v>912.0</v>
      </c>
      <c r="C639" s="9">
        <v>43193.0</v>
      </c>
      <c r="D639" s="6" t="s">
        <v>650</v>
      </c>
      <c r="E639" s="4">
        <v>6.103000355E9</v>
      </c>
      <c r="F639" s="8" t="s">
        <v>604</v>
      </c>
      <c r="G639" s="4" t="s">
        <v>583</v>
      </c>
      <c r="H639" s="10" t="s">
        <v>592</v>
      </c>
      <c r="I639" s="10">
        <v>200.0</v>
      </c>
      <c r="J639" s="11" t="str">
        <f>IF(D639&lt;&gt;"",VLOOKUP(H639,TABLEITEM,5,FALSE),"")</f>
        <v>EA</v>
      </c>
      <c r="K639" s="12">
        <v>370.5</v>
      </c>
      <c r="L639" s="13" t="str">
        <f>IF(D639&lt;&gt;"",VLOOKUP(H639,TABLEITEM,2,FALSE),"")</f>
        <v>Support</v>
      </c>
      <c r="M639" s="13" t="str">
        <f>IF(D639&lt;&gt;"",VLOOKUP(H639,TABLEITEM,3,FALSE),"")</f>
        <v>SUPPORT VFM D11 2040 390</v>
      </c>
      <c r="N639" s="14">
        <f>INSTOCK!$I639*INSTOCK!$K639</f>
        <v>74100</v>
      </c>
      <c r="O639" s="4" t="s">
        <v>593</v>
      </c>
      <c r="P639" s="4"/>
    </row>
    <row r="640" ht="15.75" hidden="1" customHeight="1">
      <c r="B640" s="8">
        <v>913.0</v>
      </c>
      <c r="C640" s="9">
        <v>43291.0</v>
      </c>
      <c r="D640" s="6" t="s">
        <v>652</v>
      </c>
      <c r="E640" s="4">
        <v>6.106000731E9</v>
      </c>
      <c r="F640" s="8" t="s">
        <v>604</v>
      </c>
      <c r="G640" s="4" t="s">
        <v>583</v>
      </c>
      <c r="H640" s="10" t="s">
        <v>599</v>
      </c>
      <c r="I640" s="10">
        <v>3000.0</v>
      </c>
      <c r="J640" s="11" t="str">
        <f>IF(D640&lt;&gt;"",VLOOKUP(H640,TABLEITEM,5,FALSE),"")</f>
        <v>EA</v>
      </c>
      <c r="K640" s="12">
        <v>13.0</v>
      </c>
      <c r="L640" s="13" t="str">
        <f>IF(D640&lt;&gt;"",VLOOKUP(H640,TABLEITEM,2,FALSE),"")</f>
        <v>Support</v>
      </c>
      <c r="M640" s="13" t="str">
        <f>IF(D640&lt;&gt;"",VLOOKUP(H640,TABLEITEM,3,FALSE),"")</f>
        <v>ลูกถ้วย D35 M8</v>
      </c>
      <c r="N640" s="14">
        <f>INSTOCK!$I640*INSTOCK!$K640</f>
        <v>39000</v>
      </c>
      <c r="O640" s="4" t="s">
        <v>651</v>
      </c>
      <c r="P640" s="4"/>
    </row>
    <row r="641" ht="15.75" hidden="1" customHeight="1">
      <c r="B641" s="8">
        <v>914.0</v>
      </c>
      <c r="C641" s="9">
        <v>43291.0</v>
      </c>
      <c r="D641" s="6" t="s">
        <v>652</v>
      </c>
      <c r="E641" s="4">
        <v>6.106000731E9</v>
      </c>
      <c r="F641" s="8" t="s">
        <v>604</v>
      </c>
      <c r="G641" s="4" t="s">
        <v>583</v>
      </c>
      <c r="H641" s="10" t="s">
        <v>586</v>
      </c>
      <c r="I641" s="10">
        <v>200.0</v>
      </c>
      <c r="J641" s="11" t="str">
        <f>IF(D641&lt;&gt;"",VLOOKUP(H641,TABLEITEM,5,FALSE),"")</f>
        <v>EA</v>
      </c>
      <c r="K641" s="12">
        <v>113.75</v>
      </c>
      <c r="L641" s="13" t="str">
        <f>IF(D641&lt;&gt;"",VLOOKUP(H641,TABLEITEM,2,FALSE),"")</f>
        <v>Support</v>
      </c>
      <c r="M641" s="13" t="str">
        <f>IF(D641&lt;&gt;"",VLOOKUP(H641,TABLEITEM,3,FALSE),"")</f>
        <v>SUPPORT VFM S11 2030 180</v>
      </c>
      <c r="N641" s="14">
        <f>INSTOCK!$I641*INSTOCK!$K641</f>
        <v>22750</v>
      </c>
      <c r="O641" s="4" t="s">
        <v>585</v>
      </c>
      <c r="P641" s="4"/>
    </row>
    <row r="642" ht="15.75" hidden="1" customHeight="1">
      <c r="B642" s="8">
        <v>915.0</v>
      </c>
      <c r="C642" s="9">
        <v>43291.0</v>
      </c>
      <c r="D642" s="6" t="s">
        <v>652</v>
      </c>
      <c r="E642" s="4">
        <v>6.106000731E9</v>
      </c>
      <c r="F642" s="8" t="s">
        <v>604</v>
      </c>
      <c r="G642" s="4" t="s">
        <v>583</v>
      </c>
      <c r="H642" s="10" t="s">
        <v>588</v>
      </c>
      <c r="I642" s="10">
        <v>400.0</v>
      </c>
      <c r="J642" s="11" t="str">
        <f>IF(D642&lt;&gt;"",VLOOKUP(H642,TABLEITEM,5,FALSE),"")</f>
        <v>EA</v>
      </c>
      <c r="K642" s="12">
        <v>188.5</v>
      </c>
      <c r="L642" s="13" t="str">
        <f>IF(D642&lt;&gt;"",VLOOKUP(H642,TABLEITEM,2,FALSE),"")</f>
        <v>Support</v>
      </c>
      <c r="M642" s="13" t="str">
        <f>IF(D642&lt;&gt;"",VLOOKUP(H642,TABLEITEM,3,FALSE),"")</f>
        <v>SUPPORT VFM D7 2040 270</v>
      </c>
      <c r="N642" s="14">
        <f>INSTOCK!$I642*INSTOCK!$K642</f>
        <v>75400</v>
      </c>
      <c r="O642" s="4" t="s">
        <v>589</v>
      </c>
      <c r="P642" s="4"/>
    </row>
    <row r="643" ht="15.75" hidden="1" customHeight="1">
      <c r="B643" s="8">
        <v>916.0</v>
      </c>
      <c r="C643" s="9">
        <v>43291.0</v>
      </c>
      <c r="D643" s="6" t="s">
        <v>652</v>
      </c>
      <c r="E643" s="4">
        <v>6.106000731E9</v>
      </c>
      <c r="F643" s="8" t="s">
        <v>604</v>
      </c>
      <c r="G643" s="4" t="s">
        <v>583</v>
      </c>
      <c r="H643" s="10" t="s">
        <v>590</v>
      </c>
      <c r="I643" s="10">
        <v>400.0</v>
      </c>
      <c r="J643" s="11" t="str">
        <f>IF(D643&lt;&gt;"",VLOOKUP(H643,TABLEITEM,5,FALSE),"")</f>
        <v>EA</v>
      </c>
      <c r="K643" s="12">
        <v>188.5</v>
      </c>
      <c r="L643" s="13" t="str">
        <f>IF(D643&lt;&gt;"",VLOOKUP(H643,TABLEITEM,2,FALSE),"")</f>
        <v>Support</v>
      </c>
      <c r="M643" s="13" t="str">
        <f>IF(D643&lt;&gt;"",VLOOKUP(H643,TABLEITEM,3,FALSE),"")</f>
        <v>SUPPORT VFM D11 2040 270</v>
      </c>
      <c r="N643" s="14">
        <f>INSTOCK!$I643*INSTOCK!$K643</f>
        <v>75400</v>
      </c>
      <c r="O643" s="4" t="s">
        <v>589</v>
      </c>
      <c r="P643" s="4"/>
    </row>
    <row r="644" ht="15.75" hidden="1" customHeight="1">
      <c r="B644" s="8">
        <v>917.0</v>
      </c>
      <c r="C644" s="9">
        <v>43291.0</v>
      </c>
      <c r="D644" s="6" t="s">
        <v>652</v>
      </c>
      <c r="E644" s="4">
        <v>6.106000731E9</v>
      </c>
      <c r="F644" s="8" t="s">
        <v>604</v>
      </c>
      <c r="G644" s="4" t="s">
        <v>583</v>
      </c>
      <c r="H644" s="10" t="s">
        <v>592</v>
      </c>
      <c r="I644" s="10">
        <v>200.0</v>
      </c>
      <c r="J644" s="11" t="str">
        <f>IF(D644&lt;&gt;"",VLOOKUP(H644,TABLEITEM,5,FALSE),"")</f>
        <v>EA</v>
      </c>
      <c r="K644" s="12">
        <v>370.5</v>
      </c>
      <c r="L644" s="13" t="str">
        <f>IF(D644&lt;&gt;"",VLOOKUP(H644,TABLEITEM,2,FALSE),"")</f>
        <v>Support</v>
      </c>
      <c r="M644" s="13" t="str">
        <f>IF(D644&lt;&gt;"",VLOOKUP(H644,TABLEITEM,3,FALSE),"")</f>
        <v>SUPPORT VFM D11 2040 390</v>
      </c>
      <c r="N644" s="14">
        <f>INSTOCK!$I644*INSTOCK!$K644</f>
        <v>74100</v>
      </c>
      <c r="O644" s="4" t="s">
        <v>593</v>
      </c>
      <c r="P644" s="4"/>
    </row>
    <row r="645" ht="15.75" hidden="1" customHeight="1">
      <c r="B645" s="8">
        <v>918.0</v>
      </c>
      <c r="C645" s="9">
        <v>43371.0</v>
      </c>
      <c r="D645" s="6" t="s">
        <v>653</v>
      </c>
      <c r="E645" s="4" t="s">
        <v>654</v>
      </c>
      <c r="F645" s="8" t="s">
        <v>604</v>
      </c>
      <c r="G645" s="4" t="s">
        <v>583</v>
      </c>
      <c r="H645" s="10" t="s">
        <v>599</v>
      </c>
      <c r="I645" s="18">
        <v>3000.0</v>
      </c>
      <c r="J645" s="11" t="str">
        <f>IF(D645&lt;&gt;"",VLOOKUP(H645,TABLEITEM,5,FALSE),"")</f>
        <v>EA</v>
      </c>
      <c r="K645" s="17">
        <v>13.0</v>
      </c>
      <c r="L645" s="13" t="str">
        <f>IF(D645&lt;&gt;"",VLOOKUP(H645,TABLEITEM,2,FALSE),"")</f>
        <v>Support</v>
      </c>
      <c r="M645" s="13" t="str">
        <f>IF(D645&lt;&gt;"",VLOOKUP(H645,TABLEITEM,3,FALSE),"")</f>
        <v>ลูกถ้วย D35 M8</v>
      </c>
      <c r="N645" s="14">
        <f>INSTOCK!$I645*INSTOCK!$K645</f>
        <v>39000</v>
      </c>
      <c r="O645" s="4" t="s">
        <v>651</v>
      </c>
      <c r="P645" s="4"/>
    </row>
    <row r="646" ht="15.75" hidden="1" customHeight="1">
      <c r="B646" s="8">
        <v>919.0</v>
      </c>
      <c r="C646" s="9">
        <v>43371.0</v>
      </c>
      <c r="D646" s="6" t="s">
        <v>653</v>
      </c>
      <c r="E646" s="4" t="s">
        <v>654</v>
      </c>
      <c r="F646" s="8" t="s">
        <v>604</v>
      </c>
      <c r="G646" s="4" t="s">
        <v>583</v>
      </c>
      <c r="H646" s="10" t="s">
        <v>600</v>
      </c>
      <c r="I646" s="10">
        <v>1000.0</v>
      </c>
      <c r="J646" s="11" t="str">
        <f>IF(D646&lt;&gt;"",VLOOKUP(H646,TABLEITEM,5,FALSE),"")</f>
        <v>EA</v>
      </c>
      <c r="K646" s="12">
        <v>26.0</v>
      </c>
      <c r="L646" s="13" t="str">
        <f>IF(D646&lt;&gt;"",VLOOKUP(H646,TABLEITEM,2,FALSE),"")</f>
        <v>Support</v>
      </c>
      <c r="M646" s="13" t="str">
        <f>IF(D646&lt;&gt;"",VLOOKUP(H646,TABLEITEM,3,FALSE),"")</f>
        <v>ลูกถ้วย D51 M8</v>
      </c>
      <c r="N646" s="14">
        <f>INSTOCK!$I646*INSTOCK!$K646</f>
        <v>26000</v>
      </c>
      <c r="O646" s="4" t="s">
        <v>655</v>
      </c>
      <c r="P646" s="4"/>
    </row>
    <row r="647" ht="15.75" hidden="1" customHeight="1">
      <c r="B647" s="8">
        <v>920.0</v>
      </c>
      <c r="C647" s="9">
        <v>43371.0</v>
      </c>
      <c r="D647" s="6" t="s">
        <v>653</v>
      </c>
      <c r="E647" s="4" t="s">
        <v>654</v>
      </c>
      <c r="F647" s="8" t="s">
        <v>604</v>
      </c>
      <c r="G647" s="4" t="s">
        <v>583</v>
      </c>
      <c r="H647" s="10" t="s">
        <v>584</v>
      </c>
      <c r="I647" s="10">
        <v>400.0</v>
      </c>
      <c r="J647" s="11" t="str">
        <f>IF(D647&lt;&gt;"",VLOOKUP(H647,TABLEITEM,5,FALSE),"")</f>
        <v>EA</v>
      </c>
      <c r="K647" s="12">
        <v>113.75</v>
      </c>
      <c r="L647" s="13" t="str">
        <f>IF(D647&lt;&gt;"",VLOOKUP(H647,TABLEITEM,2,FALSE),"")</f>
        <v>Support</v>
      </c>
      <c r="M647" s="13" t="str">
        <f>IF(D647&lt;&gt;"",VLOOKUP(H647,TABLEITEM,3,FALSE),"")</f>
        <v>SUPPORT VFM S7 2030 180</v>
      </c>
      <c r="N647" s="14">
        <f>INSTOCK!$I647*INSTOCK!$K647</f>
        <v>45500</v>
      </c>
      <c r="O647" s="4" t="s">
        <v>585</v>
      </c>
      <c r="P647" s="4"/>
    </row>
    <row r="648" ht="15.75" hidden="1" customHeight="1">
      <c r="B648" s="8">
        <v>921.0</v>
      </c>
      <c r="C648" s="9">
        <v>43371.0</v>
      </c>
      <c r="D648" s="6" t="s">
        <v>653</v>
      </c>
      <c r="E648" s="4" t="s">
        <v>654</v>
      </c>
      <c r="F648" s="8" t="s">
        <v>604</v>
      </c>
      <c r="G648" s="4" t="s">
        <v>583</v>
      </c>
      <c r="H648" s="10" t="s">
        <v>588</v>
      </c>
      <c r="I648" s="18">
        <v>200.0</v>
      </c>
      <c r="J648" s="11" t="str">
        <f>IF(D648&lt;&gt;"",VLOOKUP(H648,TABLEITEM,5,FALSE),"")</f>
        <v>EA</v>
      </c>
      <c r="K648" s="17">
        <v>188.5</v>
      </c>
      <c r="L648" s="13" t="str">
        <f>IF(D648&lt;&gt;"",VLOOKUP(H648,TABLEITEM,2,FALSE),"")</f>
        <v>Support</v>
      </c>
      <c r="M648" s="13" t="str">
        <f>IF(D648&lt;&gt;"",VLOOKUP(H648,TABLEITEM,3,FALSE),"")</f>
        <v>SUPPORT VFM D7 2040 270</v>
      </c>
      <c r="N648" s="14">
        <f>INSTOCK!$I648*INSTOCK!$K648</f>
        <v>37700</v>
      </c>
      <c r="O648" s="4" t="s">
        <v>589</v>
      </c>
      <c r="P648" s="4"/>
    </row>
    <row r="649" ht="15.75" hidden="1" customHeight="1">
      <c r="B649" s="8">
        <v>922.0</v>
      </c>
      <c r="C649" s="9">
        <v>43371.0</v>
      </c>
      <c r="D649" s="6" t="s">
        <v>653</v>
      </c>
      <c r="E649" s="4" t="s">
        <v>654</v>
      </c>
      <c r="F649" s="8" t="s">
        <v>604</v>
      </c>
      <c r="G649" s="4" t="s">
        <v>583</v>
      </c>
      <c r="H649" s="10" t="s">
        <v>590</v>
      </c>
      <c r="I649" s="10">
        <v>400.0</v>
      </c>
      <c r="J649" s="11" t="str">
        <f>IF(D649&lt;&gt;"",VLOOKUP(H649,TABLEITEM,5,FALSE),"")</f>
        <v>EA</v>
      </c>
      <c r="K649" s="12">
        <v>188.5</v>
      </c>
      <c r="L649" s="13" t="str">
        <f>IF(D649&lt;&gt;"",VLOOKUP(H649,TABLEITEM,2,FALSE),"")</f>
        <v>Support</v>
      </c>
      <c r="M649" s="13" t="str">
        <f>IF(D649&lt;&gt;"",VLOOKUP(H649,TABLEITEM,3,FALSE),"")</f>
        <v>SUPPORT VFM D11 2040 270</v>
      </c>
      <c r="N649" s="14">
        <f>INSTOCK!$I649*INSTOCK!$K649</f>
        <v>75400</v>
      </c>
      <c r="O649" s="4" t="s">
        <v>589</v>
      </c>
      <c r="P649" s="4"/>
    </row>
    <row r="650" ht="15.75" hidden="1" customHeight="1">
      <c r="B650" s="8">
        <v>923.0</v>
      </c>
      <c r="C650" s="9">
        <v>43371.0</v>
      </c>
      <c r="D650" s="6" t="s">
        <v>653</v>
      </c>
      <c r="E650" s="4" t="s">
        <v>654</v>
      </c>
      <c r="F650" s="8" t="s">
        <v>604</v>
      </c>
      <c r="G650" s="4" t="s">
        <v>583</v>
      </c>
      <c r="H650" s="10" t="s">
        <v>592</v>
      </c>
      <c r="I650" s="10">
        <v>200.0</v>
      </c>
      <c r="J650" s="11" t="str">
        <f>IF(D650&lt;&gt;"",VLOOKUP(H650,TABLEITEM,5,FALSE),"")</f>
        <v>EA</v>
      </c>
      <c r="K650" s="12">
        <v>370.5</v>
      </c>
      <c r="L650" s="13" t="str">
        <f>IF(D650&lt;&gt;"",VLOOKUP(H650,TABLEITEM,2,FALSE),"")</f>
        <v>Support</v>
      </c>
      <c r="M650" s="13" t="str">
        <f>IF(D650&lt;&gt;"",VLOOKUP(H650,TABLEITEM,3,FALSE),"")</f>
        <v>SUPPORT VFM D11 2040 390</v>
      </c>
      <c r="N650" s="14">
        <f>INSTOCK!$I650*INSTOCK!$K650</f>
        <v>74100</v>
      </c>
      <c r="O650" s="4" t="s">
        <v>593</v>
      </c>
      <c r="P650" s="4"/>
    </row>
    <row r="651" ht="15.75" hidden="1" customHeight="1">
      <c r="B651" s="8">
        <v>924.0</v>
      </c>
      <c r="C651" s="9">
        <v>43371.0</v>
      </c>
      <c r="D651" s="6" t="s">
        <v>653</v>
      </c>
      <c r="E651" s="4" t="s">
        <v>654</v>
      </c>
      <c r="F651" s="8" t="s">
        <v>604</v>
      </c>
      <c r="G651" s="4" t="s">
        <v>583</v>
      </c>
      <c r="H651" s="18" t="s">
        <v>656</v>
      </c>
      <c r="I651" s="18">
        <v>100.0</v>
      </c>
      <c r="J651" s="11" t="str">
        <f>IF(D651&lt;&gt;"",VLOOKUP(H651,TABLEITEM,5,FALSE),"")</f>
        <v>EA</v>
      </c>
      <c r="K651" s="17">
        <v>97.5</v>
      </c>
      <c r="L651" s="13" t="str">
        <f>IF(D651&lt;&gt;"",VLOOKUP(H651,TABLEITEM,2,FALSE),"")</f>
        <v>Support</v>
      </c>
      <c r="M651" s="13" t="str">
        <f>IF(D651&lt;&gt;"",VLOOKUP(H651,TABLEITEM,3,FALSE),"")</f>
        <v>SUPPORT VFM D11 2040 124</v>
      </c>
      <c r="N651" s="14">
        <f>INSTOCK!$I651*INSTOCK!$K651</f>
        <v>9750</v>
      </c>
      <c r="O651" s="4" t="s">
        <v>657</v>
      </c>
      <c r="P651" s="4"/>
    </row>
    <row r="652" ht="15.75" hidden="1" customHeight="1">
      <c r="B652" s="8">
        <v>925.0</v>
      </c>
      <c r="C652" s="9">
        <v>43371.0</v>
      </c>
      <c r="D652" s="6" t="s">
        <v>653</v>
      </c>
      <c r="E652" s="4" t="s">
        <v>654</v>
      </c>
      <c r="F652" s="8" t="s">
        <v>604</v>
      </c>
      <c r="G652" s="4" t="s">
        <v>583</v>
      </c>
      <c r="H652" s="18" t="s">
        <v>658</v>
      </c>
      <c r="I652" s="18">
        <v>100.0</v>
      </c>
      <c r="J652" s="11" t="str">
        <f>IF(D652&lt;&gt;"",VLOOKUP(H652,TABLEITEM,5,FALSE),"")</f>
        <v>EA</v>
      </c>
      <c r="K652" s="17">
        <v>97.5</v>
      </c>
      <c r="L652" s="13" t="str">
        <f>IF(D652&lt;&gt;"",VLOOKUP(H652,TABLEITEM,2,FALSE),"")</f>
        <v>Support</v>
      </c>
      <c r="M652" s="13" t="str">
        <f>IF(D652&lt;&gt;"",VLOOKUP(H652,TABLEITEM,3,FALSE),"")</f>
        <v>SUPPORT VFM D13.5 2040 124</v>
      </c>
      <c r="N652" s="14">
        <f>INSTOCK!$I652*INSTOCK!$K652</f>
        <v>9750</v>
      </c>
      <c r="O652" s="4" t="s">
        <v>657</v>
      </c>
      <c r="P652" s="4"/>
    </row>
    <row r="653" ht="15.75" hidden="1" customHeight="1">
      <c r="B653" s="8">
        <v>926.0</v>
      </c>
      <c r="C653" s="9">
        <v>43378.0</v>
      </c>
      <c r="D653" s="6">
        <v>610033.0</v>
      </c>
      <c r="E653" s="4"/>
      <c r="F653" s="8" t="s">
        <v>604</v>
      </c>
      <c r="G653" s="4" t="s">
        <v>633</v>
      </c>
      <c r="H653" s="10" t="s">
        <v>571</v>
      </c>
      <c r="I653" s="18">
        <v>215.0</v>
      </c>
      <c r="J653" s="11" t="str">
        <f>IF(D653&lt;&gt;"",VLOOKUP(H653,TABLEITEM,5,FALSE),"")</f>
        <v>EA</v>
      </c>
      <c r="K653" s="17"/>
      <c r="L653" s="13" t="str">
        <f>IF(D653&lt;&gt;"",VLOOKUP(H653,TABLEITEM,2,FALSE),"")</f>
        <v>Busbar</v>
      </c>
      <c r="M653" s="13" t="str">
        <f>IF(D653&lt;&gt;"",VLOOKUP(H653,TABLEITEM,3,FALSE),"")</f>
        <v>บัสบาร์ BS-12-224-2 บน</v>
      </c>
      <c r="N653" s="14">
        <f>INSTOCK!$I653*INSTOCK!$K653</f>
        <v>0</v>
      </c>
      <c r="O653" s="4"/>
      <c r="P653" s="4"/>
    </row>
    <row r="654" ht="15.75" hidden="1" customHeight="1">
      <c r="B654" s="8">
        <v>927.0</v>
      </c>
      <c r="C654" s="9">
        <v>43378.0</v>
      </c>
      <c r="D654" s="6">
        <v>610033.0</v>
      </c>
      <c r="E654" s="4"/>
      <c r="F654" s="8" t="s">
        <v>604</v>
      </c>
      <c r="G654" s="4" t="s">
        <v>633</v>
      </c>
      <c r="H654" s="10" t="s">
        <v>572</v>
      </c>
      <c r="I654" s="18">
        <v>123.0</v>
      </c>
      <c r="J654" s="11" t="str">
        <f>IF(D654&lt;&gt;"",VLOOKUP(H654,TABLEITEM,5,FALSE),"")</f>
        <v>EA</v>
      </c>
      <c r="K654" s="17"/>
      <c r="L654" s="13" t="str">
        <f>IF(D654&lt;&gt;"",VLOOKUP(H654,TABLEITEM,2,FALSE),"")</f>
        <v>Busbar</v>
      </c>
      <c r="M654" s="13" t="str">
        <f>IF(D654&lt;&gt;"",VLOOKUP(H654,TABLEITEM,3,FALSE),"")</f>
        <v>บัสบาร์ BS-12-224-2 กลาง</v>
      </c>
      <c r="N654" s="14">
        <f>INSTOCK!$I654*INSTOCK!$K654</f>
        <v>0</v>
      </c>
      <c r="O654" s="4"/>
      <c r="P654" s="4"/>
    </row>
    <row r="655" ht="15.75" hidden="1" customHeight="1">
      <c r="B655" s="8">
        <v>928.0</v>
      </c>
      <c r="C655" s="9">
        <v>43378.0</v>
      </c>
      <c r="D655" s="6">
        <v>610033.0</v>
      </c>
      <c r="E655" s="4"/>
      <c r="F655" s="8" t="s">
        <v>604</v>
      </c>
      <c r="G655" s="4" t="s">
        <v>633</v>
      </c>
      <c r="H655" s="10" t="s">
        <v>573</v>
      </c>
      <c r="I655" s="18">
        <v>68.0</v>
      </c>
      <c r="J655" s="11" t="str">
        <f>IF(D655&lt;&gt;"",VLOOKUP(H655,TABLEITEM,5,FALSE),"")</f>
        <v>EA</v>
      </c>
      <c r="K655" s="17"/>
      <c r="L655" s="13" t="str">
        <f>IF(D655&lt;&gt;"",VLOOKUP(H655,TABLEITEM,2,FALSE),"")</f>
        <v>Busbar</v>
      </c>
      <c r="M655" s="13" t="str">
        <f>IF(D655&lt;&gt;"",VLOOKUP(H655,TABLEITEM,3,FALSE),"")</f>
        <v>บัสบาร์ BS-15-224-2 บน</v>
      </c>
      <c r="N655" s="14">
        <f>INSTOCK!$I655*INSTOCK!$K655</f>
        <v>0</v>
      </c>
      <c r="O655" s="4"/>
      <c r="P655" s="4"/>
    </row>
    <row r="656" ht="15.75" hidden="1" customHeight="1">
      <c r="B656" s="8">
        <v>950.0</v>
      </c>
      <c r="C656" s="9">
        <v>43378.0</v>
      </c>
      <c r="D656" s="6" t="s">
        <v>659</v>
      </c>
      <c r="E656" s="4">
        <v>6.110001241E9</v>
      </c>
      <c r="F656" s="8" t="s">
        <v>604</v>
      </c>
      <c r="G656" s="4" t="s">
        <v>617</v>
      </c>
      <c r="H656" s="10" t="s">
        <v>660</v>
      </c>
      <c r="I656" s="10">
        <v>25.0</v>
      </c>
      <c r="J656" s="11" t="str">
        <f>IF(D656&lt;&gt;"",VLOOKUP(H656,TABLEITEM,5,FALSE),"")</f>
        <v>M</v>
      </c>
      <c r="K656" s="12">
        <v>2145.6</v>
      </c>
      <c r="L656" s="13" t="str">
        <f>IF(D656&lt;&gt;"",VLOOKUP(H656,TABLEITEM,2,FALSE),"")</f>
        <v>Busbar</v>
      </c>
      <c r="M656" s="13" t="str">
        <f>IF(D656&lt;&gt;"",VLOOKUP(H656,TABLEITEM,3,FALSE),"")</f>
        <v>บัสบาร์ทองแดง 100x10</v>
      </c>
      <c r="N656" s="14">
        <f>INSTOCK!$I656*INSTOCK!$K656</f>
        <v>53640</v>
      </c>
      <c r="O656" s="4" t="s">
        <v>661</v>
      </c>
      <c r="P656" s="4"/>
    </row>
    <row r="657" ht="15.75" hidden="1" customHeight="1">
      <c r="B657" s="8">
        <v>951.0</v>
      </c>
      <c r="C657" s="9">
        <v>43378.0</v>
      </c>
      <c r="D657" s="6" t="s">
        <v>659</v>
      </c>
      <c r="E657" s="4">
        <v>6.110001241E9</v>
      </c>
      <c r="F657" s="8" t="s">
        <v>604</v>
      </c>
      <c r="G657" s="4" t="s">
        <v>617</v>
      </c>
      <c r="H657" s="10" t="s">
        <v>662</v>
      </c>
      <c r="I657" s="10">
        <v>100.0</v>
      </c>
      <c r="J657" s="11" t="str">
        <f>IF(D657&lt;&gt;"",VLOOKUP(H657,TABLEITEM,5,FALSE),"")</f>
        <v>M</v>
      </c>
      <c r="K657" s="12">
        <v>100.8</v>
      </c>
      <c r="L657" s="13" t="str">
        <f>IF(D657&lt;&gt;"",VLOOKUP(H657,TABLEITEM,2,FALSE),"")</f>
        <v>Busbar</v>
      </c>
      <c r="M657" s="13" t="str">
        <f>IF(D657&lt;&gt;"",VLOOKUP(H657,TABLEITEM,3,FALSE),"")</f>
        <v>บัสบาร์ทองแดง 15x3</v>
      </c>
      <c r="N657" s="14">
        <f>INSTOCK!$I657*INSTOCK!$K657</f>
        <v>10080</v>
      </c>
      <c r="O657" s="4" t="s">
        <v>663</v>
      </c>
      <c r="P657" s="4"/>
    </row>
    <row r="658" ht="15.75" hidden="1" customHeight="1">
      <c r="B658" s="8">
        <v>952.0</v>
      </c>
      <c r="C658" s="9">
        <v>43105.0</v>
      </c>
      <c r="D658" s="6" t="s">
        <v>664</v>
      </c>
      <c r="E658" s="4">
        <v>6.012001603E9</v>
      </c>
      <c r="F658" s="8" t="s">
        <v>604</v>
      </c>
      <c r="G658" s="4" t="s">
        <v>665</v>
      </c>
      <c r="H658" s="10" t="s">
        <v>482</v>
      </c>
      <c r="I658" s="10">
        <v>2000.0</v>
      </c>
      <c r="J658" s="11" t="str">
        <f>IF(D658&lt;&gt;"",VLOOKUP(H658,TABLEITEM,5,FALSE),"")</f>
        <v>M</v>
      </c>
      <c r="K658" s="12">
        <v>10.0</v>
      </c>
      <c r="L658" s="13" t="str">
        <f>IF(D658&lt;&gt;"",VLOOKUP(H658,TABLEITEM,2,FALSE),"")</f>
        <v>wire</v>
      </c>
      <c r="M658" s="13" t="str">
        <f>IF(D658&lt;&gt;"",VLOOKUP(H658,TABLEITEM,3,FALSE),"")</f>
        <v>สายไฟ VSF1x2.5 SQMM.สีดำ</v>
      </c>
      <c r="N658" s="14">
        <f>INSTOCK!$I658*INSTOCK!$K658</f>
        <v>20000</v>
      </c>
      <c r="O658" s="4" t="s">
        <v>666</v>
      </c>
      <c r="P658" s="4"/>
    </row>
    <row r="659" ht="15.75" hidden="1" customHeight="1">
      <c r="B659" s="8">
        <v>953.0</v>
      </c>
      <c r="C659" s="9">
        <v>43105.0</v>
      </c>
      <c r="D659" s="6" t="s">
        <v>664</v>
      </c>
      <c r="E659" s="4">
        <v>6.012001603E9</v>
      </c>
      <c r="F659" s="8" t="s">
        <v>604</v>
      </c>
      <c r="G659" s="4" t="s">
        <v>665</v>
      </c>
      <c r="H659" s="10" t="s">
        <v>667</v>
      </c>
      <c r="I659" s="10">
        <v>1000.0</v>
      </c>
      <c r="J659" s="11" t="str">
        <f>IF(D659&lt;&gt;"",VLOOKUP(H659,TABLEITEM,5,FALSE),"")</f>
        <v>M</v>
      </c>
      <c r="K659" s="12">
        <v>5.96</v>
      </c>
      <c r="L659" s="13" t="str">
        <f>IF(D659&lt;&gt;"",VLOOKUP(H659,TABLEITEM,2,FALSE),"")</f>
        <v>wire</v>
      </c>
      <c r="M659" s="13" t="str">
        <f>IF(D659&lt;&gt;"",VLOOKUP(H659,TABLEITEM,3,FALSE),"")</f>
        <v>สายไฟ VSF1x1.5 SQMM.สีดำ</v>
      </c>
      <c r="N659" s="14">
        <f>INSTOCK!$I659*INSTOCK!$K659</f>
        <v>5960</v>
      </c>
      <c r="O659" s="4" t="s">
        <v>666</v>
      </c>
      <c r="P659" s="4"/>
    </row>
    <row r="660" ht="15.75" hidden="1" customHeight="1">
      <c r="B660" s="8">
        <v>954.0</v>
      </c>
      <c r="C660" s="9">
        <v>43105.0</v>
      </c>
      <c r="D660" s="6" t="s">
        <v>668</v>
      </c>
      <c r="E660" s="4">
        <v>6.012001608E9</v>
      </c>
      <c r="F660" s="8" t="s">
        <v>604</v>
      </c>
      <c r="G660" s="4" t="s">
        <v>665</v>
      </c>
      <c r="H660" s="10" t="s">
        <v>508</v>
      </c>
      <c r="I660" s="10">
        <v>100.0</v>
      </c>
      <c r="J660" s="11" t="str">
        <f>IF(D660&lt;&gt;"",VLOOKUP(H660,TABLEITEM,5,FALSE),"")</f>
        <v>M</v>
      </c>
      <c r="K660" s="12">
        <v>93.5</v>
      </c>
      <c r="L660" s="13" t="str">
        <f>IF(D660&lt;&gt;"",VLOOKUP(H660,TABLEITEM,2,FALSE),"")</f>
        <v>wire</v>
      </c>
      <c r="M660" s="13" t="str">
        <f>IF(D660&lt;&gt;"",VLOOKUP(H660,TABLEITEM,3,FALSE),"")</f>
        <v>สายไฟ VSF1x25 SQMM.สีดำ</v>
      </c>
      <c r="N660" s="14">
        <f>INSTOCK!$I660*INSTOCK!$K660</f>
        <v>9350</v>
      </c>
      <c r="O660" s="4" t="s">
        <v>666</v>
      </c>
      <c r="P660" s="4"/>
    </row>
    <row r="661" ht="15.75" hidden="1" customHeight="1">
      <c r="B661" s="8">
        <v>955.0</v>
      </c>
      <c r="C661" s="9">
        <v>43105.0</v>
      </c>
      <c r="D661" s="6" t="s">
        <v>669</v>
      </c>
      <c r="E661" s="4">
        <v>6.101000009E9</v>
      </c>
      <c r="F661" s="8" t="s">
        <v>604</v>
      </c>
      <c r="G661" s="4" t="s">
        <v>665</v>
      </c>
      <c r="H661" s="10" t="s">
        <v>670</v>
      </c>
      <c r="I661" s="10">
        <v>500.0</v>
      </c>
      <c r="J661" s="11" t="str">
        <f>IF(D661&lt;&gt;"",VLOOKUP(H661,TABLEITEM,5,FALSE),"")</f>
        <v>M</v>
      </c>
      <c r="K661" s="12">
        <v>25.0</v>
      </c>
      <c r="L661" s="13" t="str">
        <f>IF(D661&lt;&gt;"",VLOOKUP(H661,TABLEITEM,2,FALSE),"")</f>
        <v>wire</v>
      </c>
      <c r="M661" s="13" t="str">
        <f>IF(D661&lt;&gt;"",VLOOKUP(H661,TABLEITEM,3,FALSE),"")</f>
        <v>สายกราวน์ VSF1x6 SQMM.สีเขียวเหลือง</v>
      </c>
      <c r="N661" s="14">
        <f>INSTOCK!$I661*INSTOCK!$K661</f>
        <v>12500</v>
      </c>
      <c r="O661" s="4" t="s">
        <v>666</v>
      </c>
      <c r="P661" s="4"/>
    </row>
    <row r="662" ht="15.75" hidden="1" customHeight="1">
      <c r="B662" s="8">
        <v>956.0</v>
      </c>
      <c r="C662" s="9">
        <v>43150.0</v>
      </c>
      <c r="D662" s="6" t="s">
        <v>671</v>
      </c>
      <c r="E662" s="4">
        <v>6.102000213E9</v>
      </c>
      <c r="F662" s="8" t="s">
        <v>604</v>
      </c>
      <c r="G662" s="4" t="s">
        <v>665</v>
      </c>
      <c r="H662" s="18" t="s">
        <v>672</v>
      </c>
      <c r="I662" s="18">
        <v>2000.0</v>
      </c>
      <c r="J662" s="11" t="str">
        <f>IF(D662&lt;&gt;"",VLOOKUP(H662,TABLEITEM,5,FALSE),"")</f>
        <v>M</v>
      </c>
      <c r="K662" s="17">
        <v>5.0</v>
      </c>
      <c r="L662" s="13" t="str">
        <f>IF(D662&lt;&gt;"",VLOOKUP(H662,TABLEITEM,2,FALSE),"")</f>
        <v>wire</v>
      </c>
      <c r="M662" s="13" t="str">
        <f>IF(D662&lt;&gt;"",VLOOKUP(H662,TABLEITEM,3,FALSE),"")</f>
        <v>สายไฟ VSF1x1 SQMM.สีเหลือง</v>
      </c>
      <c r="N662" s="14">
        <f>INSTOCK!$I662*INSTOCK!$K662</f>
        <v>10000</v>
      </c>
      <c r="O662" s="4" t="s">
        <v>666</v>
      </c>
      <c r="P662" s="4"/>
    </row>
    <row r="663" ht="15.75" hidden="1" customHeight="1">
      <c r="B663" s="8">
        <v>957.0</v>
      </c>
      <c r="C663" s="9">
        <v>43150.0</v>
      </c>
      <c r="D663" s="6" t="s">
        <v>671</v>
      </c>
      <c r="E663" s="4">
        <v>6.102000213E9</v>
      </c>
      <c r="F663" s="8" t="s">
        <v>604</v>
      </c>
      <c r="G663" s="4" t="s">
        <v>665</v>
      </c>
      <c r="H663" s="18" t="s">
        <v>673</v>
      </c>
      <c r="I663" s="18">
        <v>1000.0</v>
      </c>
      <c r="J663" s="11" t="str">
        <f>IF(D663&lt;&gt;"",VLOOKUP(H663,TABLEITEM,5,FALSE),"")</f>
        <v>M</v>
      </c>
      <c r="K663" s="17">
        <v>5.0</v>
      </c>
      <c r="L663" s="13" t="str">
        <f>IF(D663&lt;&gt;"",VLOOKUP(H663,TABLEITEM,2,FALSE),"")</f>
        <v>wire</v>
      </c>
      <c r="M663" s="13" t="str">
        <f>IF(D663&lt;&gt;"",VLOOKUP(H663,TABLEITEM,3,FALSE),"")</f>
        <v>สายไฟ VSF1x1 SQMM.สีฟ้า</v>
      </c>
      <c r="N663" s="14">
        <f>INSTOCK!$I663*INSTOCK!$K663</f>
        <v>5000</v>
      </c>
      <c r="O663" s="4" t="s">
        <v>666</v>
      </c>
      <c r="P663" s="4"/>
    </row>
    <row r="664" ht="15.75" hidden="1" customHeight="1">
      <c r="B664" s="8">
        <v>958.0</v>
      </c>
      <c r="C664" s="9">
        <v>43133.0</v>
      </c>
      <c r="D664" s="6" t="s">
        <v>674</v>
      </c>
      <c r="E664" s="4">
        <v>6.102000141E9</v>
      </c>
      <c r="F664" s="8" t="s">
        <v>604</v>
      </c>
      <c r="G664" s="4" t="s">
        <v>665</v>
      </c>
      <c r="H664" s="18" t="s">
        <v>672</v>
      </c>
      <c r="I664" s="18">
        <v>1500.0</v>
      </c>
      <c r="J664" s="11" t="str">
        <f>IF(D664&lt;&gt;"",VLOOKUP(H664,TABLEITEM,5,FALSE),"")</f>
        <v>M</v>
      </c>
      <c r="K664" s="17">
        <v>5.0</v>
      </c>
      <c r="L664" s="13" t="str">
        <f>IF(D664&lt;&gt;"",VLOOKUP(H664,TABLEITEM,2,FALSE),"")</f>
        <v>wire</v>
      </c>
      <c r="M664" s="13" t="str">
        <f>IF(D664&lt;&gt;"",VLOOKUP(H664,TABLEITEM,3,FALSE),"")</f>
        <v>สายไฟ VSF1x1 SQMM.สีเหลือง</v>
      </c>
      <c r="N664" s="14">
        <f>INSTOCK!$I664*INSTOCK!$K664</f>
        <v>7500</v>
      </c>
      <c r="O664" s="4" t="s">
        <v>666</v>
      </c>
      <c r="P664" s="4"/>
    </row>
    <row r="665" ht="15.75" hidden="1" customHeight="1">
      <c r="B665" s="8">
        <v>959.0</v>
      </c>
      <c r="C665" s="9">
        <v>43237.0</v>
      </c>
      <c r="D665" s="6" t="s">
        <v>675</v>
      </c>
      <c r="E665" s="4">
        <v>6.105000596E9</v>
      </c>
      <c r="F665" s="8" t="s">
        <v>604</v>
      </c>
      <c r="G665" s="4" t="s">
        <v>665</v>
      </c>
      <c r="H665" s="18" t="s">
        <v>479</v>
      </c>
      <c r="I665" s="18">
        <v>1000.0</v>
      </c>
      <c r="J665" s="11" t="str">
        <f>IF(D665&lt;&gt;"",VLOOKUP(H665,TABLEITEM,5,FALSE),"")</f>
        <v>M</v>
      </c>
      <c r="K665" s="17">
        <v>9.8</v>
      </c>
      <c r="L665" s="13" t="str">
        <f>IF(D665&lt;&gt;"",VLOOKUP(H665,TABLEITEM,2,FALSE),"")</f>
        <v>wire</v>
      </c>
      <c r="M665" s="13" t="str">
        <f>IF(D665&lt;&gt;"",VLOOKUP(H665,TABLEITEM,3,FALSE),"")</f>
        <v>สายไฟ VSF1x2.5 SQMM.สีเหลือง</v>
      </c>
      <c r="N665" s="14">
        <f>INSTOCK!$I665*INSTOCK!$K665</f>
        <v>9800</v>
      </c>
      <c r="O665" s="4" t="s">
        <v>666</v>
      </c>
      <c r="P665" s="4"/>
    </row>
    <row r="666" ht="15.75" hidden="1" customHeight="1">
      <c r="B666" s="8">
        <v>960.0</v>
      </c>
      <c r="C666" s="9">
        <v>43235.0</v>
      </c>
      <c r="D666" s="6" t="s">
        <v>676</v>
      </c>
      <c r="E666" s="4">
        <v>6.105000577E9</v>
      </c>
      <c r="F666" s="8" t="s">
        <v>604</v>
      </c>
      <c r="G666" s="4" t="s">
        <v>665</v>
      </c>
      <c r="H666" s="18" t="s">
        <v>672</v>
      </c>
      <c r="I666" s="18">
        <v>2000.0</v>
      </c>
      <c r="J666" s="11" t="str">
        <f>IF(D666&lt;&gt;"",VLOOKUP(H666,TABLEITEM,5,FALSE),"")</f>
        <v>M</v>
      </c>
      <c r="K666" s="17">
        <v>5.0</v>
      </c>
      <c r="L666" s="13" t="str">
        <f>IF(D666&lt;&gt;"",VLOOKUP(H666,TABLEITEM,2,FALSE),"")</f>
        <v>wire</v>
      </c>
      <c r="M666" s="13" t="str">
        <f>IF(D666&lt;&gt;"",VLOOKUP(H666,TABLEITEM,3,FALSE),"")</f>
        <v>สายไฟ VSF1x1 SQMM.สีเหลือง</v>
      </c>
      <c r="N666" s="14">
        <f>INSTOCK!$I666*INSTOCK!$K666</f>
        <v>10000</v>
      </c>
      <c r="O666" s="4" t="s">
        <v>666</v>
      </c>
      <c r="P666" s="4"/>
    </row>
    <row r="667" ht="15.75" hidden="1" customHeight="1">
      <c r="B667" s="8">
        <v>961.0</v>
      </c>
      <c r="C667" s="9">
        <v>43222.0</v>
      </c>
      <c r="D667" s="6" t="s">
        <v>677</v>
      </c>
      <c r="E667" s="4">
        <v>6.10400052E9</v>
      </c>
      <c r="F667" s="8" t="s">
        <v>604</v>
      </c>
      <c r="G667" s="4" t="s">
        <v>665</v>
      </c>
      <c r="H667" s="18" t="s">
        <v>678</v>
      </c>
      <c r="I667" s="18">
        <v>500.0</v>
      </c>
      <c r="J667" s="11" t="str">
        <f>IF(D667&lt;&gt;"",VLOOKUP(H667,TABLEITEM,5,FALSE),"")</f>
        <v>M</v>
      </c>
      <c r="K667" s="17">
        <v>5.0</v>
      </c>
      <c r="L667" s="13" t="str">
        <f>IF(D667&lt;&gt;"",VLOOKUP(H667,TABLEITEM,2,FALSE),"")</f>
        <v>wire</v>
      </c>
      <c r="M667" s="13" t="str">
        <f>IF(D667&lt;&gt;"",VLOOKUP(H667,TABLEITEM,3,FALSE),"")</f>
        <v>สายไฟ VSF1x1 SQMM.สีดำ</v>
      </c>
      <c r="N667" s="14">
        <f>INSTOCK!$I667*INSTOCK!$K667</f>
        <v>2500</v>
      </c>
      <c r="O667" s="4" t="s">
        <v>666</v>
      </c>
      <c r="P667" s="4"/>
    </row>
    <row r="668" ht="15.75" hidden="1" customHeight="1">
      <c r="B668" s="8">
        <v>962.0</v>
      </c>
      <c r="C668" s="9">
        <v>43222.0</v>
      </c>
      <c r="D668" s="6" t="s">
        <v>677</v>
      </c>
      <c r="E668" s="4">
        <v>6.10400052E9</v>
      </c>
      <c r="F668" s="8" t="s">
        <v>604</v>
      </c>
      <c r="G668" s="4" t="s">
        <v>665</v>
      </c>
      <c r="H668" s="10" t="s">
        <v>679</v>
      </c>
      <c r="I668" s="10">
        <v>200.0</v>
      </c>
      <c r="J668" s="11" t="str">
        <f>IF(D668&lt;&gt;"",VLOOKUP(H668,TABLEITEM,5,FALSE),"")</f>
        <v>M</v>
      </c>
      <c r="K668" s="12">
        <v>10.0</v>
      </c>
      <c r="L668" s="13" t="str">
        <f>IF(D668&lt;&gt;"",VLOOKUP(H668,TABLEITEM,2,FALSE),"")</f>
        <v>wire</v>
      </c>
      <c r="M668" s="13" t="str">
        <f>IF(D668&lt;&gt;"",VLOOKUP(H668,TABLEITEM,3,FALSE),"")</f>
        <v>สายกราวน์ VSF1x2.5 SQMM.สีเขียวเหลือง</v>
      </c>
      <c r="N668" s="14">
        <f>INSTOCK!$I668*INSTOCK!$K668</f>
        <v>2000</v>
      </c>
      <c r="O668" s="4" t="s">
        <v>666</v>
      </c>
      <c r="P668" s="4"/>
    </row>
    <row r="669" ht="15.75" hidden="1" customHeight="1">
      <c r="B669" s="8">
        <v>963.0</v>
      </c>
      <c r="C669" s="9">
        <v>43222.0</v>
      </c>
      <c r="D669" s="6" t="s">
        <v>677</v>
      </c>
      <c r="E669" s="4">
        <v>6.10400052E9</v>
      </c>
      <c r="F669" s="8" t="s">
        <v>604</v>
      </c>
      <c r="G669" s="4" t="s">
        <v>665</v>
      </c>
      <c r="H669" s="10" t="s">
        <v>680</v>
      </c>
      <c r="I669" s="10">
        <v>100.0</v>
      </c>
      <c r="J669" s="11" t="str">
        <f>IF(D669&lt;&gt;"",VLOOKUP(H669,TABLEITEM,5,FALSE),"")</f>
        <v>M</v>
      </c>
      <c r="K669" s="12">
        <v>195.0</v>
      </c>
      <c r="L669" s="13" t="str">
        <f>IF(D669&lt;&gt;"",VLOOKUP(H669,TABLEITEM,2,FALSE),"")</f>
        <v>wire</v>
      </c>
      <c r="M669" s="13" t="str">
        <f>IF(D669&lt;&gt;"",VLOOKUP(H669,TABLEITEM,3,FALSE),"")</f>
        <v>สายไฟ VSF1x50 SQMM.สีดำ</v>
      </c>
      <c r="N669" s="14">
        <f>INSTOCK!$I669*INSTOCK!$K669</f>
        <v>19500</v>
      </c>
      <c r="O669" s="4" t="s">
        <v>666</v>
      </c>
      <c r="P669" s="4"/>
    </row>
    <row r="670" ht="15.75" hidden="1" customHeight="1">
      <c r="B670" s="8">
        <v>964.0</v>
      </c>
      <c r="C670" s="9">
        <v>43222.0</v>
      </c>
      <c r="D670" s="6" t="s">
        <v>681</v>
      </c>
      <c r="E670" s="4">
        <v>6.104000496E9</v>
      </c>
      <c r="F670" s="8" t="s">
        <v>604</v>
      </c>
      <c r="G670" s="4" t="s">
        <v>665</v>
      </c>
      <c r="H670" s="18" t="s">
        <v>682</v>
      </c>
      <c r="I670" s="18">
        <v>500.0</v>
      </c>
      <c r="J670" s="11" t="str">
        <f>IF(D670&lt;&gt;"",VLOOKUP(H670,TABLEITEM,5,FALSE),"")</f>
        <v>M</v>
      </c>
      <c r="K670" s="17">
        <v>6.0</v>
      </c>
      <c r="L670" s="13" t="str">
        <f>IF(D670&lt;&gt;"",VLOOKUP(H670,TABLEITEM,2,FALSE),"")</f>
        <v>wire</v>
      </c>
      <c r="M670" s="13" t="str">
        <f>IF(D670&lt;&gt;"",VLOOKUP(H670,TABLEITEM,3,FALSE),"")</f>
        <v>สายไฟ VSF1x1.5 SQMM.สีน้ำตาล</v>
      </c>
      <c r="N670" s="14">
        <f>INSTOCK!$I670*INSTOCK!$K670</f>
        <v>3000</v>
      </c>
      <c r="O670" s="4" t="s">
        <v>666</v>
      </c>
      <c r="P670" s="4"/>
    </row>
    <row r="671" ht="15.75" hidden="1" customHeight="1">
      <c r="B671" s="8">
        <v>983.0</v>
      </c>
      <c r="C671" s="9">
        <v>43332.0</v>
      </c>
      <c r="D671" s="6" t="s">
        <v>683</v>
      </c>
      <c r="E671" s="4">
        <v>6.106000763E9</v>
      </c>
      <c r="F671" s="8" t="s">
        <v>684</v>
      </c>
      <c r="G671" s="4" t="s">
        <v>665</v>
      </c>
      <c r="H671" s="18" t="s">
        <v>685</v>
      </c>
      <c r="I671" s="18">
        <v>500.0</v>
      </c>
      <c r="J671" s="11" t="str">
        <f>IF(D671&lt;&gt;"",VLOOKUP(H671,TABLEITEM,5,FALSE),"")</f>
        <v>M</v>
      </c>
      <c r="K671" s="17">
        <v>6.0</v>
      </c>
      <c r="L671" s="13" t="str">
        <f>IF(D671&lt;&gt;"",VLOOKUP(H671,TABLEITEM,2,FALSE),"")</f>
        <v>wire</v>
      </c>
      <c r="M671" s="13" t="str">
        <f>IF(D671&lt;&gt;"",VLOOKUP(H671,TABLEITEM,3,FALSE),"")</f>
        <v>สายไฟ VSF1x0.75SQMM.สีเหลือง</v>
      </c>
      <c r="N671" s="14">
        <f>INSTOCK!$I671*INSTOCK!$K671</f>
        <v>3000</v>
      </c>
      <c r="O671" s="4" t="s">
        <v>666</v>
      </c>
      <c r="P671" s="4"/>
    </row>
    <row r="672" ht="15.75" hidden="1" customHeight="1">
      <c r="B672" s="8">
        <v>984.0</v>
      </c>
      <c r="C672" s="9">
        <v>43330.0</v>
      </c>
      <c r="D672" s="6" t="s">
        <v>686</v>
      </c>
      <c r="E672" s="4">
        <v>6.106000743E9</v>
      </c>
      <c r="F672" s="8" t="s">
        <v>684</v>
      </c>
      <c r="G672" s="4" t="s">
        <v>665</v>
      </c>
      <c r="H672" s="18" t="s">
        <v>687</v>
      </c>
      <c r="I672" s="18">
        <v>200.0</v>
      </c>
      <c r="J672" s="11" t="str">
        <f>IF(D672&lt;&gt;"",VLOOKUP(H672,TABLEITEM,5,FALSE),"")</f>
        <v>M</v>
      </c>
      <c r="K672" s="17">
        <v>6.0</v>
      </c>
      <c r="L672" s="13" t="str">
        <f>IF(D672&lt;&gt;"",VLOOKUP(H672,TABLEITEM,2,FALSE),"")</f>
        <v>wire</v>
      </c>
      <c r="M672" s="13" t="str">
        <f>IF(D672&lt;&gt;"",VLOOKUP(H672,TABLEITEM,3,FALSE),"")</f>
        <v>สายไฟ VSF#1x0.75 SQMM.สีแดง</v>
      </c>
      <c r="N672" s="14">
        <f>INSTOCK!$I672*INSTOCK!$K672</f>
        <v>1200</v>
      </c>
      <c r="O672" s="4" t="s">
        <v>666</v>
      </c>
      <c r="P672" s="4"/>
    </row>
    <row r="673" ht="15.75" hidden="1" customHeight="1">
      <c r="B673" s="8">
        <v>985.0</v>
      </c>
      <c r="C673" s="9">
        <v>43330.0</v>
      </c>
      <c r="D673" s="6" t="s">
        <v>686</v>
      </c>
      <c r="E673" s="4">
        <v>6.106000743E9</v>
      </c>
      <c r="F673" s="8" t="s">
        <v>684</v>
      </c>
      <c r="G673" s="4" t="s">
        <v>665</v>
      </c>
      <c r="H673" s="10" t="s">
        <v>688</v>
      </c>
      <c r="I673" s="10">
        <v>600.0</v>
      </c>
      <c r="J673" s="11" t="str">
        <f>IF(D673&lt;&gt;"",VLOOKUP(H673,TABLEITEM,5,FALSE),"")</f>
        <v>M</v>
      </c>
      <c r="K673" s="12">
        <v>6.0</v>
      </c>
      <c r="L673" s="13" t="str">
        <f>IF(D673&lt;&gt;"",VLOOKUP(H673,TABLEITEM,2,FALSE),"")</f>
        <v>wire</v>
      </c>
      <c r="M673" s="13" t="str">
        <f>IF(D673&lt;&gt;"",VLOOKUP(H673,TABLEITEM,3,FALSE),"")</f>
        <v>สายไฟ VSF1x0.75 SQMM.สีขาว</v>
      </c>
      <c r="N673" s="14">
        <f>INSTOCK!$I673*INSTOCK!$K673</f>
        <v>3600</v>
      </c>
      <c r="O673" s="4" t="s">
        <v>666</v>
      </c>
      <c r="P673" s="4"/>
    </row>
    <row r="674" ht="15.75" hidden="1" customHeight="1">
      <c r="B674" s="8">
        <v>986.0</v>
      </c>
      <c r="C674" s="9">
        <v>43330.0</v>
      </c>
      <c r="D674" s="6" t="s">
        <v>686</v>
      </c>
      <c r="E674" s="4">
        <v>6.106000743E9</v>
      </c>
      <c r="F674" s="8" t="s">
        <v>684</v>
      </c>
      <c r="G674" s="4" t="s">
        <v>665</v>
      </c>
      <c r="H674" s="10" t="s">
        <v>689</v>
      </c>
      <c r="I674" s="10">
        <v>200.0</v>
      </c>
      <c r="J674" s="11" t="str">
        <f>IF(D674&lt;&gt;"",VLOOKUP(H674,TABLEITEM,5,FALSE),"")</f>
        <v>M</v>
      </c>
      <c r="K674" s="12">
        <v>6.0</v>
      </c>
      <c r="L674" s="13" t="str">
        <f>IF(D674&lt;&gt;"",VLOOKUP(H674,TABLEITEM,2,FALSE),"")</f>
        <v>wire</v>
      </c>
      <c r="M674" s="13" t="str">
        <f>IF(D674&lt;&gt;"",VLOOKUP(H674,TABLEITEM,3,FALSE),"")</f>
        <v>สายไฟ VSF#1x0.75 SQMM.สีน้ำตาล</v>
      </c>
      <c r="N674" s="14">
        <f>INSTOCK!$I674*INSTOCK!$K674</f>
        <v>1200</v>
      </c>
      <c r="O674" s="4" t="s">
        <v>666</v>
      </c>
      <c r="P674" s="4"/>
    </row>
    <row r="675" ht="15.75" hidden="1" customHeight="1">
      <c r="B675" s="8">
        <v>987.0</v>
      </c>
      <c r="C675" s="9">
        <v>43330.0</v>
      </c>
      <c r="D675" s="6" t="s">
        <v>686</v>
      </c>
      <c r="E675" s="4">
        <v>6.106000743E9</v>
      </c>
      <c r="F675" s="8" t="s">
        <v>684</v>
      </c>
      <c r="G675" s="4" t="s">
        <v>665</v>
      </c>
      <c r="H675" s="10" t="s">
        <v>690</v>
      </c>
      <c r="I675" s="10">
        <v>600.0</v>
      </c>
      <c r="J675" s="11" t="str">
        <f>IF(D675&lt;&gt;"",VLOOKUP(H675,TABLEITEM,5,FALSE),"")</f>
        <v>M</v>
      </c>
      <c r="K675" s="12">
        <v>6.0</v>
      </c>
      <c r="L675" s="13" t="str">
        <f>IF(D675&lt;&gt;"",VLOOKUP(H675,TABLEITEM,2,FALSE),"")</f>
        <v>wire</v>
      </c>
      <c r="M675" s="13" t="str">
        <f>IF(D675&lt;&gt;"",VLOOKUP(H675,TABLEITEM,3,FALSE),"")</f>
        <v>สายไฟ VSF1x0.75 SQMM.สีน้ำเงิน</v>
      </c>
      <c r="N675" s="14">
        <f>INSTOCK!$I675*INSTOCK!$K675</f>
        <v>3600</v>
      </c>
      <c r="O675" s="4" t="s">
        <v>666</v>
      </c>
      <c r="P675" s="4"/>
    </row>
    <row r="676" ht="15.75" hidden="1" customHeight="1">
      <c r="B676" s="8">
        <v>988.0</v>
      </c>
      <c r="C676" s="9">
        <v>43330.0</v>
      </c>
      <c r="D676" s="6" t="s">
        <v>686</v>
      </c>
      <c r="E676" s="4">
        <v>6.106000743E9</v>
      </c>
      <c r="F676" s="8" t="s">
        <v>684</v>
      </c>
      <c r="G676" s="4" t="s">
        <v>665</v>
      </c>
      <c r="H676" s="10" t="s">
        <v>685</v>
      </c>
      <c r="I676" s="10">
        <v>600.0</v>
      </c>
      <c r="J676" s="11" t="str">
        <f>IF(D676&lt;&gt;"",VLOOKUP(H676,TABLEITEM,5,FALSE),"")</f>
        <v>M</v>
      </c>
      <c r="K676" s="12">
        <v>6.0</v>
      </c>
      <c r="L676" s="13" t="str">
        <f>IF(D676&lt;&gt;"",VLOOKUP(H676,TABLEITEM,2,FALSE),"")</f>
        <v>wire</v>
      </c>
      <c r="M676" s="13" t="str">
        <f>IF(D676&lt;&gt;"",VLOOKUP(H676,TABLEITEM,3,FALSE),"")</f>
        <v>สายไฟ VSF1x0.75SQMM.สีเหลือง</v>
      </c>
      <c r="N676" s="14">
        <f>INSTOCK!$I676*INSTOCK!$K676</f>
        <v>3600</v>
      </c>
      <c r="O676" s="4" t="s">
        <v>666</v>
      </c>
      <c r="P676" s="4"/>
    </row>
    <row r="677" ht="15.75" hidden="1" customHeight="1">
      <c r="B677" s="8">
        <v>989.0</v>
      </c>
      <c r="C677" s="9">
        <v>43252.0</v>
      </c>
      <c r="D677" s="6" t="s">
        <v>691</v>
      </c>
      <c r="E677" s="4">
        <v>6.105000654E9</v>
      </c>
      <c r="F677" s="8" t="s">
        <v>604</v>
      </c>
      <c r="G677" s="4" t="s">
        <v>692</v>
      </c>
      <c r="H677" s="18" t="s">
        <v>515</v>
      </c>
      <c r="I677" s="18">
        <v>100.0</v>
      </c>
      <c r="J677" s="11" t="str">
        <f>IF(D677&lt;&gt;"",VLOOKUP(H677,TABLEITEM,5,FALSE),"")</f>
        <v>M</v>
      </c>
      <c r="K677" s="17">
        <v>83.545</v>
      </c>
      <c r="L677" s="13" t="str">
        <f>IF(D677&lt;&gt;"",VLOOKUP(H677,TABLEITEM,2,FALSE),"")</f>
        <v>wire</v>
      </c>
      <c r="M677" s="13" t="str">
        <f>IF(D677&lt;&gt;"",VLOOKUP(H677,TABLEITEM,3,FALSE),"")</f>
        <v>สายTHW ขนาด 1x35 SQMM.สีดำ</v>
      </c>
      <c r="N677" s="14">
        <f>INSTOCK!$I677*INSTOCK!$K677</f>
        <v>8354.5</v>
      </c>
      <c r="O677" s="4" t="s">
        <v>693</v>
      </c>
      <c r="P677" s="4"/>
    </row>
    <row r="678" ht="15.75" hidden="1" customHeight="1">
      <c r="B678" s="8">
        <v>993.0</v>
      </c>
      <c r="C678" s="9">
        <v>43283.0</v>
      </c>
      <c r="D678" s="6" t="s">
        <v>694</v>
      </c>
      <c r="E678" s="4">
        <v>6.106000788E9</v>
      </c>
      <c r="F678" s="8" t="s">
        <v>604</v>
      </c>
      <c r="G678" s="4" t="s">
        <v>665</v>
      </c>
      <c r="H678" s="18" t="s">
        <v>672</v>
      </c>
      <c r="I678" s="18">
        <v>2000.0</v>
      </c>
      <c r="J678" s="11" t="str">
        <f>IF(D678&lt;&gt;"",VLOOKUP(H678,TABLEITEM,5,FALSE),"")</f>
        <v>M</v>
      </c>
      <c r="K678" s="17">
        <v>5.0</v>
      </c>
      <c r="L678" s="13" t="str">
        <f>IF(D678&lt;&gt;"",VLOOKUP(H678,TABLEITEM,2,FALSE),"")</f>
        <v>wire</v>
      </c>
      <c r="M678" s="13" t="str">
        <f>IF(D678&lt;&gt;"",VLOOKUP(H678,TABLEITEM,3,FALSE),"")</f>
        <v>สายไฟ VSF1x1 SQMM.สีเหลือง</v>
      </c>
      <c r="N678" s="14">
        <f>INSTOCK!$I678*INSTOCK!$K678</f>
        <v>10000</v>
      </c>
      <c r="O678" s="4" t="s">
        <v>666</v>
      </c>
      <c r="P678" s="4"/>
    </row>
    <row r="679" ht="15.75" hidden="1" customHeight="1">
      <c r="B679" s="8">
        <v>994.0</v>
      </c>
      <c r="C679" s="9">
        <v>43283.0</v>
      </c>
      <c r="D679" s="6" t="s">
        <v>694</v>
      </c>
      <c r="E679" s="4">
        <v>6.106000788E9</v>
      </c>
      <c r="F679" s="8" t="s">
        <v>604</v>
      </c>
      <c r="G679" s="4" t="s">
        <v>665</v>
      </c>
      <c r="H679" s="10" t="s">
        <v>695</v>
      </c>
      <c r="I679" s="10">
        <v>1000.0</v>
      </c>
      <c r="J679" s="11" t="str">
        <f>IF(D679&lt;&gt;"",VLOOKUP(H679,TABLEITEM,5,FALSE),"")</f>
        <v>M</v>
      </c>
      <c r="K679" s="12">
        <v>5.0</v>
      </c>
      <c r="L679" s="13" t="str">
        <f>IF(D679&lt;&gt;"",VLOOKUP(H679,TABLEITEM,2,FALSE),"")</f>
        <v>wire</v>
      </c>
      <c r="M679" s="13" t="str">
        <f>IF(D679&lt;&gt;"",VLOOKUP(H679,TABLEITEM,3,FALSE),"")</f>
        <v>สายไฟ VSF1x1 SQMM.สีน้ำเงิน</v>
      </c>
      <c r="N679" s="14">
        <f>INSTOCK!$I679*INSTOCK!$K679</f>
        <v>5000</v>
      </c>
      <c r="O679" s="4" t="s">
        <v>666</v>
      </c>
      <c r="P679" s="4"/>
    </row>
    <row r="680" ht="15.75" hidden="1" customHeight="1">
      <c r="B680" s="8">
        <v>995.0</v>
      </c>
      <c r="C680" s="9">
        <v>43283.0</v>
      </c>
      <c r="D680" s="6" t="s">
        <v>694</v>
      </c>
      <c r="E680" s="4">
        <v>6.106000788E9</v>
      </c>
      <c r="F680" s="8" t="s">
        <v>604</v>
      </c>
      <c r="G680" s="4" t="s">
        <v>665</v>
      </c>
      <c r="H680" s="10" t="s">
        <v>479</v>
      </c>
      <c r="I680" s="10">
        <v>500.0</v>
      </c>
      <c r="J680" s="11" t="str">
        <f>IF(D680&lt;&gt;"",VLOOKUP(H680,TABLEITEM,5,FALSE),"")</f>
        <v>M</v>
      </c>
      <c r="K680" s="12">
        <v>9.8</v>
      </c>
      <c r="L680" s="13" t="str">
        <f>IF(D680&lt;&gt;"",VLOOKUP(H680,TABLEITEM,2,FALSE),"")</f>
        <v>wire</v>
      </c>
      <c r="M680" s="13" t="str">
        <f>IF(D680&lt;&gt;"",VLOOKUP(H680,TABLEITEM,3,FALSE),"")</f>
        <v>สายไฟ VSF1x2.5 SQMM.สีเหลือง</v>
      </c>
      <c r="N680" s="14">
        <f>INSTOCK!$I680*INSTOCK!$K680</f>
        <v>4900</v>
      </c>
      <c r="O680" s="4" t="s">
        <v>666</v>
      </c>
      <c r="P680" s="4"/>
    </row>
    <row r="681" ht="15.75" hidden="1" customHeight="1">
      <c r="B681" s="8">
        <v>997.0</v>
      </c>
      <c r="C681" s="9">
        <v>43130.0</v>
      </c>
      <c r="D681" s="6">
        <v>33269.0</v>
      </c>
      <c r="E681" s="4">
        <v>6.10100011E9</v>
      </c>
      <c r="F681" s="8" t="s">
        <v>604</v>
      </c>
      <c r="G681" s="4" t="s">
        <v>696</v>
      </c>
      <c r="H681" s="18" t="s">
        <v>37</v>
      </c>
      <c r="I681" s="18">
        <v>20.0</v>
      </c>
      <c r="J681" s="11" t="str">
        <f>IF(D681&lt;&gt;"",VLOOKUP(H681,TABLEITEM,5,FALSE),"")</f>
        <v>EA</v>
      </c>
      <c r="K681" s="17">
        <v>145.0</v>
      </c>
      <c r="L681" s="13">
        <v>0.0</v>
      </c>
      <c r="M681" s="13" t="s">
        <v>697</v>
      </c>
      <c r="N681" s="14">
        <v>2900.0</v>
      </c>
      <c r="O681" s="4"/>
      <c r="P681" s="4"/>
    </row>
    <row r="682" ht="15.75" hidden="1" customHeight="1">
      <c r="B682" s="8">
        <v>998.0</v>
      </c>
      <c r="C682" s="9">
        <v>43130.0</v>
      </c>
      <c r="D682" s="6">
        <v>33265.0</v>
      </c>
      <c r="E682" s="4">
        <v>6.101000118E9</v>
      </c>
      <c r="F682" s="8" t="s">
        <v>604</v>
      </c>
      <c r="G682" s="4" t="s">
        <v>696</v>
      </c>
      <c r="H682" s="18" t="s">
        <v>43</v>
      </c>
      <c r="I682" s="18">
        <v>3.0</v>
      </c>
      <c r="J682" s="11" t="str">
        <f>IF(D682&lt;&gt;"",VLOOKUP(H682,TABLEITEM,5,FALSE),"")</f>
        <v>ปี๊ป</v>
      </c>
      <c r="K682" s="17">
        <v>590.0</v>
      </c>
      <c r="L682" s="13">
        <v>0.0</v>
      </c>
      <c r="M682" s="13" t="s">
        <v>698</v>
      </c>
      <c r="N682" s="14">
        <v>1770.0</v>
      </c>
      <c r="O682" s="4"/>
      <c r="P682" s="4"/>
    </row>
    <row r="683" ht="15.75" hidden="1" customHeight="1">
      <c r="B683" s="8">
        <v>999.0</v>
      </c>
      <c r="C683" s="9">
        <v>43130.0</v>
      </c>
      <c r="D683" s="6">
        <v>33265.0</v>
      </c>
      <c r="E683" s="4">
        <v>6.101000118E9</v>
      </c>
      <c r="F683" s="8" t="s">
        <v>604</v>
      </c>
      <c r="G683" s="4" t="s">
        <v>696</v>
      </c>
      <c r="H683" s="18" t="s">
        <v>44</v>
      </c>
      <c r="I683" s="18">
        <v>4.0</v>
      </c>
      <c r="J683" s="11" t="str">
        <f>IF(D683&lt;&gt;"",VLOOKUP(H683,TABLEITEM,5,FALSE),"")</f>
        <v>ปี๊ป</v>
      </c>
      <c r="K683" s="17">
        <v>370.0</v>
      </c>
      <c r="L683" s="13">
        <v>0.0</v>
      </c>
      <c r="M683" s="13" t="s">
        <v>699</v>
      </c>
      <c r="N683" s="14">
        <v>1480.0</v>
      </c>
      <c r="O683" s="4"/>
      <c r="P683" s="4"/>
    </row>
    <row r="684" ht="15.75" hidden="1" customHeight="1">
      <c r="B684" s="8">
        <v>1000.0</v>
      </c>
      <c r="C684" s="9">
        <v>43125.0</v>
      </c>
      <c r="D684" s="6" t="s">
        <v>700</v>
      </c>
      <c r="E684" s="4"/>
      <c r="F684" s="8" t="s">
        <v>701</v>
      </c>
      <c r="G684" s="4" t="s">
        <v>702</v>
      </c>
      <c r="H684" s="18" t="s">
        <v>703</v>
      </c>
      <c r="I684" s="18">
        <v>20.0</v>
      </c>
      <c r="J684" s="11" t="str">
        <f>IF(D684&lt;&gt;"",VLOOKUP(H684,TABLEITEM,5,FALSE),"")</f>
        <v>#N/A</v>
      </c>
      <c r="K684" s="17">
        <v>180.0</v>
      </c>
      <c r="L684" s="13">
        <v>0.0</v>
      </c>
      <c r="M684" s="13" t="s">
        <v>704</v>
      </c>
      <c r="N684" s="14">
        <v>3600.0</v>
      </c>
      <c r="O684" s="4"/>
      <c r="P684" s="4"/>
    </row>
    <row r="685" ht="15.75" hidden="1" customHeight="1">
      <c r="B685" s="8">
        <v>1001.0</v>
      </c>
      <c r="C685" s="9">
        <v>43124.0</v>
      </c>
      <c r="D685" s="6" t="s">
        <v>705</v>
      </c>
      <c r="E685" s="4">
        <v>6.101000095E9</v>
      </c>
      <c r="F685" s="8" t="s">
        <v>706</v>
      </c>
      <c r="G685" s="4" t="s">
        <v>702</v>
      </c>
      <c r="H685" s="18" t="s">
        <v>707</v>
      </c>
      <c r="I685" s="18">
        <v>20.0</v>
      </c>
      <c r="J685" s="11" t="str">
        <f>IF(D685&lt;&gt;"",VLOOKUP(H685,TABLEITEM,5,FALSE),"")</f>
        <v>KG.</v>
      </c>
      <c r="K685" s="17">
        <v>180.0</v>
      </c>
      <c r="L685" s="13">
        <v>0.0</v>
      </c>
      <c r="M685" s="13" t="s">
        <v>708</v>
      </c>
      <c r="N685" s="14">
        <v>3600.0</v>
      </c>
      <c r="O685" s="4"/>
      <c r="P685" s="4"/>
    </row>
    <row r="686" ht="15.75" hidden="1" customHeight="1">
      <c r="B686" s="8">
        <v>1002.0</v>
      </c>
      <c r="C686" s="9">
        <v>43123.0</v>
      </c>
      <c r="D686" s="6">
        <v>6.10114122E8</v>
      </c>
      <c r="E686" s="4" t="s">
        <v>709</v>
      </c>
      <c r="F686" s="8" t="s">
        <v>710</v>
      </c>
      <c r="G686" s="4" t="s">
        <v>711</v>
      </c>
      <c r="H686" s="18" t="s">
        <v>712</v>
      </c>
      <c r="I686" s="18">
        <v>20.0</v>
      </c>
      <c r="J686" s="11" t="str">
        <f>IF(D686&lt;&gt;"",VLOOKUP(H686,TABLEITEM,5,FALSE),"")</f>
        <v>KG.</v>
      </c>
      <c r="K686" s="17">
        <v>148.75</v>
      </c>
      <c r="L686" s="13">
        <v>0.0</v>
      </c>
      <c r="M686" s="13" t="s">
        <v>713</v>
      </c>
      <c r="N686" s="14">
        <v>2975.0</v>
      </c>
      <c r="O686" s="4" t="s">
        <v>714</v>
      </c>
      <c r="P686" s="4"/>
    </row>
    <row r="687" ht="15.75" hidden="1" customHeight="1">
      <c r="B687" s="8">
        <v>1003.0</v>
      </c>
      <c r="C687" s="9">
        <v>43118.0</v>
      </c>
      <c r="D687" s="6" t="s">
        <v>715</v>
      </c>
      <c r="E687" s="4">
        <v>6.101000073E9</v>
      </c>
      <c r="F687" s="8" t="s">
        <v>716</v>
      </c>
      <c r="G687" s="4" t="s">
        <v>702</v>
      </c>
      <c r="H687" s="18" t="s">
        <v>92</v>
      </c>
      <c r="I687" s="18">
        <v>40.0</v>
      </c>
      <c r="J687" s="11" t="str">
        <f>IF(D687&lt;&gt;"",VLOOKUP(H687,TABLEITEM,5,FALSE),"")</f>
        <v>KG.</v>
      </c>
      <c r="K687" s="17">
        <v>115.0</v>
      </c>
      <c r="L687" s="13">
        <v>0.0</v>
      </c>
      <c r="M687" s="13" t="s">
        <v>717</v>
      </c>
      <c r="N687" s="14">
        <v>4600.0</v>
      </c>
      <c r="O687" s="4"/>
      <c r="P687" s="4"/>
    </row>
    <row r="688" ht="15.75" hidden="1" customHeight="1">
      <c r="B688" s="8">
        <v>1004.0</v>
      </c>
      <c r="C688" s="9">
        <v>43117.0</v>
      </c>
      <c r="D688" s="6">
        <v>6101041.0</v>
      </c>
      <c r="E688" s="4">
        <v>6.101000028E9</v>
      </c>
      <c r="F688" s="8" t="s">
        <v>604</v>
      </c>
      <c r="G688" s="4" t="s">
        <v>718</v>
      </c>
      <c r="H688" s="18" t="s">
        <v>71</v>
      </c>
      <c r="I688" s="18">
        <v>60.0</v>
      </c>
      <c r="J688" s="11" t="str">
        <f>IF(D688&lt;&gt;"",VLOOKUP(H688,TABLEITEM,5,FALSE),"")</f>
        <v>กป.</v>
      </c>
      <c r="K688" s="17">
        <v>50.0</v>
      </c>
      <c r="L688" s="13">
        <v>0.0</v>
      </c>
      <c r="M688" s="13" t="s">
        <v>719</v>
      </c>
      <c r="N688" s="14">
        <v>3000.0</v>
      </c>
      <c r="O688" s="4"/>
      <c r="P688" s="4"/>
    </row>
    <row r="689" ht="15.75" hidden="1" customHeight="1">
      <c r="B689" s="8">
        <v>1005.0</v>
      </c>
      <c r="C689" s="9">
        <v>43117.0</v>
      </c>
      <c r="D689" s="6" t="s">
        <v>720</v>
      </c>
      <c r="E689" s="4">
        <v>6.101000057E9</v>
      </c>
      <c r="F689" s="8" t="s">
        <v>604</v>
      </c>
      <c r="G689" s="4" t="s">
        <v>721</v>
      </c>
      <c r="H689" s="18" t="s">
        <v>204</v>
      </c>
      <c r="I689" s="18">
        <v>40.0</v>
      </c>
      <c r="J689" s="11" t="str">
        <f>IF(D689&lt;&gt;"",VLOOKUP(H689,TABLEITEM,5,FALSE),"")</f>
        <v>EA</v>
      </c>
      <c r="K689" s="17">
        <v>102.432</v>
      </c>
      <c r="L689" s="13">
        <v>0.0</v>
      </c>
      <c r="M689" s="13" t="s">
        <v>722</v>
      </c>
      <c r="N689" s="14">
        <v>4097.28</v>
      </c>
      <c r="O689" s="4" t="s">
        <v>723</v>
      </c>
      <c r="P689" s="4"/>
    </row>
    <row r="690" ht="15.75" hidden="1" customHeight="1">
      <c r="B690" s="8">
        <v>1006.0</v>
      </c>
      <c r="C690" s="9">
        <v>43112.0</v>
      </c>
      <c r="D690" s="6" t="s">
        <v>724</v>
      </c>
      <c r="E690" s="4">
        <v>6.101000041E9</v>
      </c>
      <c r="F690" s="8" t="s">
        <v>604</v>
      </c>
      <c r="G690" s="4" t="s">
        <v>725</v>
      </c>
      <c r="H690" s="18" t="s">
        <v>726</v>
      </c>
      <c r="I690" s="18">
        <v>1000.0</v>
      </c>
      <c r="J690" s="11" t="str">
        <f>IF(D690&lt;&gt;"",VLOOKUP(H690,TABLEITEM,5,FALSE),"")</f>
        <v>M</v>
      </c>
      <c r="K690" s="17">
        <v>10.0</v>
      </c>
      <c r="L690" s="13">
        <v>0.0</v>
      </c>
      <c r="M690" s="13" t="s">
        <v>727</v>
      </c>
      <c r="N690" s="14">
        <v>10000.0</v>
      </c>
      <c r="O690" s="4"/>
      <c r="P690" s="4"/>
    </row>
    <row r="691" ht="15.75" hidden="1" customHeight="1">
      <c r="B691" s="8">
        <v>1007.0</v>
      </c>
      <c r="C691" s="9">
        <v>43112.0</v>
      </c>
      <c r="D691" s="6" t="s">
        <v>728</v>
      </c>
      <c r="E691" s="4">
        <v>6.101000042E9</v>
      </c>
      <c r="F691" s="8" t="s">
        <v>604</v>
      </c>
      <c r="G691" s="4" t="s">
        <v>729</v>
      </c>
      <c r="H691" s="18" t="s">
        <v>27</v>
      </c>
      <c r="I691" s="18">
        <v>2000.0</v>
      </c>
      <c r="J691" s="11" t="str">
        <f>IF(D691&lt;&gt;"",VLOOKUP(H691,TABLEITEM,5,FALSE),"")</f>
        <v>M</v>
      </c>
      <c r="K691" s="17">
        <v>12.0</v>
      </c>
      <c r="L691" s="13">
        <v>0.0</v>
      </c>
      <c r="M691" s="13" t="s">
        <v>730</v>
      </c>
      <c r="N691" s="14">
        <v>24000.0</v>
      </c>
      <c r="O691" s="4"/>
      <c r="P691" s="4"/>
    </row>
    <row r="692" ht="15.75" hidden="1" customHeight="1">
      <c r="B692" s="8">
        <v>1008.0</v>
      </c>
      <c r="C692" s="9">
        <v>43110.0</v>
      </c>
      <c r="D692" s="6" t="s">
        <v>731</v>
      </c>
      <c r="E692" s="4">
        <v>6.10100002E9</v>
      </c>
      <c r="F692" s="8" t="s">
        <v>604</v>
      </c>
      <c r="G692" s="4" t="s">
        <v>725</v>
      </c>
      <c r="H692" s="18" t="s">
        <v>26</v>
      </c>
      <c r="I692" s="18">
        <v>1500.0</v>
      </c>
      <c r="J692" s="11" t="str">
        <f>IF(D692&lt;&gt;"",VLOOKUP(H692,TABLEITEM,5,FALSE),"")</f>
        <v>M</v>
      </c>
      <c r="K692" s="17">
        <v>18.0</v>
      </c>
      <c r="L692" s="13">
        <v>0.0</v>
      </c>
      <c r="M692" s="13" t="s">
        <v>732</v>
      </c>
      <c r="N692" s="14">
        <v>27000.0</v>
      </c>
      <c r="O692" s="4"/>
      <c r="P692" s="4"/>
    </row>
    <row r="693" ht="15.75" hidden="1" customHeight="1">
      <c r="B693" s="8">
        <v>1009.0</v>
      </c>
      <c r="C693" s="9">
        <v>43170.0</v>
      </c>
      <c r="D693" s="6" t="s">
        <v>733</v>
      </c>
      <c r="E693" s="4">
        <v>6.101000033E9</v>
      </c>
      <c r="F693" s="8" t="s">
        <v>604</v>
      </c>
      <c r="G693" s="4" t="s">
        <v>665</v>
      </c>
      <c r="H693" s="18" t="s">
        <v>510</v>
      </c>
      <c r="I693" s="18">
        <v>200.0</v>
      </c>
      <c r="J693" s="11" t="str">
        <f>IF(D693&lt;&gt;"",VLOOKUP(H693,TABLEITEM,5,FALSE),"")</f>
        <v>M</v>
      </c>
      <c r="K693" s="17">
        <v>20.0</v>
      </c>
      <c r="L693" s="13" t="s">
        <v>734</v>
      </c>
      <c r="M693" s="13" t="s">
        <v>735</v>
      </c>
      <c r="N693" s="14">
        <v>4000.0</v>
      </c>
      <c r="O693" s="4"/>
      <c r="P693" s="4"/>
    </row>
    <row r="694" ht="15.75" hidden="1" customHeight="1">
      <c r="B694" s="8">
        <v>1010.0</v>
      </c>
      <c r="C694" s="9">
        <v>43105.0</v>
      </c>
      <c r="D694" s="6" t="s">
        <v>736</v>
      </c>
      <c r="E694" s="4">
        <v>6.101000007E9</v>
      </c>
      <c r="F694" s="8" t="s">
        <v>604</v>
      </c>
      <c r="G694" s="4" t="s">
        <v>737</v>
      </c>
      <c r="H694" s="18" t="s">
        <v>16</v>
      </c>
      <c r="I694" s="18">
        <v>480.0</v>
      </c>
      <c r="J694" s="11" t="str">
        <f>IF(D694&lt;&gt;"",VLOOKUP(H694,TABLEITEM,5,FALSE),"")</f>
        <v>คู่</v>
      </c>
      <c r="K694" s="17">
        <v>4.58333</v>
      </c>
      <c r="L694" s="13">
        <v>0.0</v>
      </c>
      <c r="M694" s="13" t="s">
        <v>738</v>
      </c>
      <c r="N694" s="14">
        <v>2199.9984</v>
      </c>
      <c r="O694" s="4" t="s">
        <v>739</v>
      </c>
      <c r="P694" s="4"/>
    </row>
    <row r="695" ht="15.75" hidden="1" customHeight="1">
      <c r="B695" s="8">
        <v>1011.0</v>
      </c>
      <c r="C695" s="9">
        <v>43105.0</v>
      </c>
      <c r="D695" s="6" t="s">
        <v>736</v>
      </c>
      <c r="E695" s="4">
        <v>6.101000007E9</v>
      </c>
      <c r="F695" s="8" t="s">
        <v>604</v>
      </c>
      <c r="G695" s="4" t="s">
        <v>737</v>
      </c>
      <c r="H695" s="10" t="s">
        <v>18</v>
      </c>
      <c r="I695" s="10">
        <v>120.0</v>
      </c>
      <c r="J695" s="11" t="str">
        <f>IF(D695&lt;&gt;"",VLOOKUP(H695,TABLEITEM,5,FALSE),"")</f>
        <v>EA</v>
      </c>
      <c r="K695" s="12">
        <v>2.5</v>
      </c>
      <c r="L695" s="13">
        <v>0.0</v>
      </c>
      <c r="M695" s="13" t="s">
        <v>740</v>
      </c>
      <c r="N695" s="14">
        <v>300.0</v>
      </c>
      <c r="O695" s="4" t="s">
        <v>741</v>
      </c>
      <c r="P695" s="4"/>
    </row>
    <row r="696" ht="15.75" hidden="1" customHeight="1">
      <c r="B696" s="8">
        <v>1012.0</v>
      </c>
      <c r="C696" s="9">
        <v>43104.0</v>
      </c>
      <c r="D696" s="6" t="s">
        <v>742</v>
      </c>
      <c r="E696" s="4">
        <v>6.101000006E9</v>
      </c>
      <c r="F696" s="8" t="s">
        <v>604</v>
      </c>
      <c r="G696" s="4" t="s">
        <v>743</v>
      </c>
      <c r="H696" s="18" t="s">
        <v>86</v>
      </c>
      <c r="I696" s="18">
        <v>500.0</v>
      </c>
      <c r="J696" s="11" t="str">
        <f>IF(D696&lt;&gt;"",VLOOKUP(H696,TABLEITEM,5,FALSE),"")</f>
        <v>KG.</v>
      </c>
      <c r="K696" s="17">
        <v>139.05</v>
      </c>
      <c r="L696" s="13">
        <v>0.0</v>
      </c>
      <c r="M696" s="13" t="s">
        <v>744</v>
      </c>
      <c r="N696" s="14">
        <v>69525.0</v>
      </c>
      <c r="O696" s="4"/>
      <c r="P696" s="4"/>
    </row>
    <row r="697" ht="15.75" hidden="1" customHeight="1">
      <c r="B697" s="8">
        <v>1013.0</v>
      </c>
      <c r="C697" s="9">
        <v>43104.0</v>
      </c>
      <c r="D697" s="6" t="s">
        <v>745</v>
      </c>
      <c r="E697" s="4">
        <v>6.101000003E9</v>
      </c>
      <c r="F697" s="8" t="s">
        <v>746</v>
      </c>
      <c r="G697" s="4" t="s">
        <v>743</v>
      </c>
      <c r="H697" s="18" t="s">
        <v>747</v>
      </c>
      <c r="I697" s="18">
        <v>20.0</v>
      </c>
      <c r="J697" s="11" t="str">
        <f>IF(D697&lt;&gt;"",VLOOKUP(H697,TABLEITEM,5,FALSE),"")</f>
        <v>#N/A</v>
      </c>
      <c r="K697" s="17">
        <v>130.0</v>
      </c>
      <c r="L697" s="13">
        <v>0.0</v>
      </c>
      <c r="M697" s="13" t="s">
        <v>748</v>
      </c>
      <c r="N697" s="14">
        <v>2600.0</v>
      </c>
      <c r="O697" s="4"/>
      <c r="P697" s="4"/>
    </row>
    <row r="698" ht="15.75" hidden="1" customHeight="1">
      <c r="B698" s="8">
        <v>1014.0</v>
      </c>
      <c r="C698" s="9">
        <v>43103.0</v>
      </c>
      <c r="D698" s="6">
        <v>6.1010046E7</v>
      </c>
      <c r="E698" s="4" t="s">
        <v>749</v>
      </c>
      <c r="F698" s="8" t="s">
        <v>750</v>
      </c>
      <c r="G698" s="4" t="s">
        <v>711</v>
      </c>
      <c r="H698" s="18" t="s">
        <v>751</v>
      </c>
      <c r="I698" s="18">
        <v>20.0</v>
      </c>
      <c r="J698" s="11" t="str">
        <f>IF(D698&lt;&gt;"",VLOOKUP(H698,TABLEITEM,5,FALSE),"")</f>
        <v>#N/A</v>
      </c>
      <c r="K698" s="17">
        <v>180.0</v>
      </c>
      <c r="L698" s="13">
        <v>0.0</v>
      </c>
      <c r="M698" s="13" t="s">
        <v>752</v>
      </c>
      <c r="N698" s="14">
        <v>3600.0</v>
      </c>
      <c r="O698" s="4"/>
      <c r="P698" s="4"/>
    </row>
    <row r="699" ht="15.75" hidden="1" customHeight="1">
      <c r="B699" s="8">
        <v>1015.0</v>
      </c>
      <c r="C699" s="9">
        <v>43157.0</v>
      </c>
      <c r="D699" s="6">
        <v>6.1021149E7</v>
      </c>
      <c r="E699" s="4">
        <v>6.102000241E9</v>
      </c>
      <c r="F699" s="8" t="s">
        <v>753</v>
      </c>
      <c r="G699" s="4" t="s">
        <v>711</v>
      </c>
      <c r="H699" s="10" t="s">
        <v>754</v>
      </c>
      <c r="I699" s="18">
        <v>20.0</v>
      </c>
      <c r="J699" s="11" t="str">
        <f>IF(D699&lt;&gt;"",VLOOKUP(H699,TABLEITEM,5,FALSE),"")</f>
        <v>KG.</v>
      </c>
      <c r="K699" s="17">
        <v>144.0</v>
      </c>
      <c r="L699" s="13">
        <v>0.0</v>
      </c>
      <c r="M699" s="13" t="s">
        <v>755</v>
      </c>
      <c r="N699" s="14">
        <v>2880.0</v>
      </c>
      <c r="O699" s="4" t="s">
        <v>756</v>
      </c>
      <c r="P699" s="4"/>
    </row>
    <row r="700" ht="15.75" hidden="1" customHeight="1">
      <c r="B700" s="8">
        <v>1016.0</v>
      </c>
      <c r="C700" s="9">
        <v>43157.0</v>
      </c>
      <c r="D700" s="6" t="s">
        <v>757</v>
      </c>
      <c r="E700" s="4">
        <v>6.102000248E9</v>
      </c>
      <c r="F700" s="8" t="s">
        <v>758</v>
      </c>
      <c r="G700" s="4" t="s">
        <v>702</v>
      </c>
      <c r="H700" s="18" t="s">
        <v>759</v>
      </c>
      <c r="I700" s="18">
        <v>40.0</v>
      </c>
      <c r="J700" s="11" t="str">
        <f>IF(D700&lt;&gt;"",VLOOKUP(H700,TABLEITEM,5,FALSE),"")</f>
        <v>#N/A</v>
      </c>
      <c r="K700" s="17">
        <v>130.0</v>
      </c>
      <c r="L700" s="13">
        <v>0.0</v>
      </c>
      <c r="M700" s="13" t="s">
        <v>760</v>
      </c>
      <c r="N700" s="14">
        <v>5200.0</v>
      </c>
      <c r="O700" s="4"/>
      <c r="P700" s="4"/>
    </row>
    <row r="701" ht="15.75" hidden="1" customHeight="1">
      <c r="B701" s="8">
        <v>1017.0</v>
      </c>
      <c r="C701" s="9">
        <v>43155.0</v>
      </c>
      <c r="D701" s="6">
        <v>33575.0</v>
      </c>
      <c r="E701" s="4">
        <v>6.102000239E9</v>
      </c>
      <c r="F701" s="8" t="s">
        <v>604</v>
      </c>
      <c r="G701" s="4" t="s">
        <v>696</v>
      </c>
      <c r="H701" s="18" t="s">
        <v>44</v>
      </c>
      <c r="I701" s="18">
        <v>4.0</v>
      </c>
      <c r="J701" s="11" t="str">
        <f>IF(D701&lt;&gt;"",VLOOKUP(H701,TABLEITEM,5,FALSE),"")</f>
        <v>ปี๊ป</v>
      </c>
      <c r="K701" s="17">
        <v>370.0</v>
      </c>
      <c r="L701" s="13">
        <v>0.0</v>
      </c>
      <c r="M701" s="13" t="s">
        <v>699</v>
      </c>
      <c r="N701" s="14">
        <v>1480.0</v>
      </c>
      <c r="O701" s="4"/>
      <c r="P701" s="4"/>
    </row>
    <row r="702" ht="15.75" hidden="1" customHeight="1">
      <c r="B702" s="8">
        <v>1018.0</v>
      </c>
      <c r="C702" s="9">
        <v>43153.0</v>
      </c>
      <c r="D702" s="6" t="s">
        <v>761</v>
      </c>
      <c r="E702" s="4">
        <v>6.102000225E9</v>
      </c>
      <c r="F702" s="8" t="s">
        <v>604</v>
      </c>
      <c r="G702" s="4" t="s">
        <v>743</v>
      </c>
      <c r="H702" s="18" t="s">
        <v>86</v>
      </c>
      <c r="I702" s="18">
        <v>500.0</v>
      </c>
      <c r="J702" s="11" t="str">
        <f>IF(D702&lt;&gt;"",VLOOKUP(H702,TABLEITEM,5,FALSE),"")</f>
        <v>KG.</v>
      </c>
      <c r="K702" s="17">
        <v>139.05</v>
      </c>
      <c r="L702" s="13">
        <v>0.0</v>
      </c>
      <c r="M702" s="13" t="s">
        <v>744</v>
      </c>
      <c r="N702" s="14">
        <v>69525.0</v>
      </c>
      <c r="O702" s="4"/>
      <c r="P702" s="4"/>
    </row>
    <row r="703" ht="15.75" hidden="1" customHeight="1">
      <c r="B703" s="8">
        <v>1019.0</v>
      </c>
      <c r="C703" s="9">
        <v>43182.0</v>
      </c>
      <c r="D703" s="6" t="s">
        <v>762</v>
      </c>
      <c r="E703" s="4">
        <v>6.102000227E9</v>
      </c>
      <c r="F703" s="8" t="s">
        <v>604</v>
      </c>
      <c r="G703" s="4" t="s">
        <v>737</v>
      </c>
      <c r="H703" s="18" t="s">
        <v>18</v>
      </c>
      <c r="I703" s="18">
        <v>240.0</v>
      </c>
      <c r="J703" s="11" t="str">
        <f>IF(D703&lt;&gt;"",VLOOKUP(H703,TABLEITEM,5,FALSE),"")</f>
        <v>EA</v>
      </c>
      <c r="K703" s="17">
        <v>2.5</v>
      </c>
      <c r="L703" s="13">
        <v>0.0</v>
      </c>
      <c r="M703" s="13" t="s">
        <v>740</v>
      </c>
      <c r="N703" s="14">
        <v>600.0</v>
      </c>
      <c r="O703" s="4" t="s">
        <v>763</v>
      </c>
      <c r="P703" s="4"/>
    </row>
    <row r="704" ht="15.75" hidden="1" customHeight="1">
      <c r="B704" s="8">
        <v>1020.0</v>
      </c>
      <c r="C704" s="9">
        <v>43152.0</v>
      </c>
      <c r="D704" s="6" t="s">
        <v>764</v>
      </c>
      <c r="E704" s="4">
        <v>6.102000228E9</v>
      </c>
      <c r="F704" s="8" t="s">
        <v>604</v>
      </c>
      <c r="G704" s="4" t="s">
        <v>765</v>
      </c>
      <c r="H704" s="18" t="s">
        <v>85</v>
      </c>
      <c r="I704" s="18">
        <v>200.0</v>
      </c>
      <c r="J704" s="11" t="str">
        <f>IF(D704&lt;&gt;"",VLOOKUP(H704,TABLEITEM,5,FALSE),"")</f>
        <v>KG.</v>
      </c>
      <c r="K704" s="17">
        <v>112.0</v>
      </c>
      <c r="L704" s="13">
        <v>0.0</v>
      </c>
      <c r="M704" s="13" t="s">
        <v>766</v>
      </c>
      <c r="N704" s="14">
        <v>22400.0</v>
      </c>
      <c r="O704" s="4"/>
      <c r="P704" s="4"/>
    </row>
    <row r="705" ht="15.75" hidden="1" customHeight="1">
      <c r="B705" s="8">
        <v>1021.0</v>
      </c>
      <c r="C705" s="9">
        <v>43143.0</v>
      </c>
      <c r="D705" s="6" t="s">
        <v>767</v>
      </c>
      <c r="E705" s="4">
        <v>6.102000196E9</v>
      </c>
      <c r="F705" s="8" t="s">
        <v>604</v>
      </c>
      <c r="G705" s="4" t="s">
        <v>721</v>
      </c>
      <c r="H705" s="18" t="s">
        <v>207</v>
      </c>
      <c r="I705" s="18">
        <v>48.0</v>
      </c>
      <c r="J705" s="11" t="str">
        <f>IF(D705&lt;&gt;"",VLOOKUP(H705,TABLEITEM,5,FALSE),"")</f>
        <v>EA</v>
      </c>
      <c r="K705" s="17">
        <v>168.78</v>
      </c>
      <c r="L705" s="13">
        <v>0.0</v>
      </c>
      <c r="M705" s="13" t="s">
        <v>768</v>
      </c>
      <c r="N705" s="14">
        <v>8101.4400000000005</v>
      </c>
      <c r="O705" s="4" t="s">
        <v>769</v>
      </c>
      <c r="P705" s="4"/>
    </row>
    <row r="706" ht="15.75" hidden="1" customHeight="1">
      <c r="B706" s="8">
        <v>1022.0</v>
      </c>
      <c r="C706" s="9">
        <v>43143.0</v>
      </c>
      <c r="D706" s="6" t="s">
        <v>770</v>
      </c>
      <c r="E706" s="4">
        <v>6.102000179E9</v>
      </c>
      <c r="F706" s="8" t="s">
        <v>604</v>
      </c>
      <c r="G706" s="4" t="s">
        <v>737</v>
      </c>
      <c r="H706" s="18" t="s">
        <v>16</v>
      </c>
      <c r="I706" s="18">
        <v>480.0</v>
      </c>
      <c r="J706" s="11" t="str">
        <f>IF(D706&lt;&gt;"",VLOOKUP(H706,TABLEITEM,5,FALSE),"")</f>
        <v>คู่</v>
      </c>
      <c r="K706" s="17">
        <v>4.58333</v>
      </c>
      <c r="L706" s="13">
        <v>0.0</v>
      </c>
      <c r="M706" s="13" t="s">
        <v>738</v>
      </c>
      <c r="N706" s="14">
        <v>2199.9984</v>
      </c>
      <c r="O706" s="4" t="s">
        <v>739</v>
      </c>
      <c r="P706" s="4"/>
    </row>
    <row r="707" ht="15.75" hidden="1" customHeight="1">
      <c r="B707" s="8">
        <v>1023.0</v>
      </c>
      <c r="C707" s="9">
        <v>43136.0</v>
      </c>
      <c r="D707" s="6" t="s">
        <v>771</v>
      </c>
      <c r="E707" s="4">
        <v>6.10200015E9</v>
      </c>
      <c r="F707" s="8" t="s">
        <v>604</v>
      </c>
      <c r="G707" s="4" t="s">
        <v>743</v>
      </c>
      <c r="H707" s="18" t="s">
        <v>75</v>
      </c>
      <c r="I707" s="18">
        <v>200.0</v>
      </c>
      <c r="J707" s="11" t="str">
        <f>IF(D707&lt;&gt;"",VLOOKUP(H707,TABLEITEM,5,FALSE),"")</f>
        <v>KG.</v>
      </c>
      <c r="K707" s="17">
        <v>149.35</v>
      </c>
      <c r="L707" s="13">
        <v>0.0</v>
      </c>
      <c r="M707" s="13" t="s">
        <v>772</v>
      </c>
      <c r="N707" s="14">
        <v>29870.0</v>
      </c>
      <c r="O707" s="4"/>
      <c r="P707" s="4"/>
    </row>
    <row r="708" ht="15.75" hidden="1" customHeight="1">
      <c r="B708" s="8">
        <v>1024.0</v>
      </c>
      <c r="C708" s="9">
        <v>43132.0</v>
      </c>
      <c r="D708" s="6" t="s">
        <v>773</v>
      </c>
      <c r="E708" s="4">
        <v>6.101000105E9</v>
      </c>
      <c r="F708" s="8" t="s">
        <v>604</v>
      </c>
      <c r="G708" s="4" t="s">
        <v>743</v>
      </c>
      <c r="H708" s="18" t="s">
        <v>73</v>
      </c>
      <c r="I708" s="18">
        <v>1000.0</v>
      </c>
      <c r="J708" s="11" t="str">
        <f>IF(D708&lt;&gt;"",VLOOKUP(H708,TABLEITEM,5,FALSE),"")</f>
        <v>KG.</v>
      </c>
      <c r="K708" s="17">
        <v>99.85</v>
      </c>
      <c r="L708" s="13">
        <v>0.0</v>
      </c>
      <c r="M708" s="13" t="s">
        <v>774</v>
      </c>
      <c r="N708" s="14">
        <v>99850.0</v>
      </c>
      <c r="O708" s="4"/>
      <c r="P708" s="4"/>
    </row>
    <row r="709" ht="15.75" hidden="1" customHeight="1">
      <c r="B709" s="8">
        <v>1025.0</v>
      </c>
      <c r="C709" s="9">
        <v>43132.0</v>
      </c>
      <c r="D709" s="6" t="s">
        <v>775</v>
      </c>
      <c r="E709" s="4">
        <v>6.101000111E9</v>
      </c>
      <c r="F709" s="8" t="s">
        <v>604</v>
      </c>
      <c r="G709" s="4" t="s">
        <v>725</v>
      </c>
      <c r="H709" s="18" t="s">
        <v>726</v>
      </c>
      <c r="I709" s="18">
        <v>1000.0</v>
      </c>
      <c r="J709" s="11" t="str">
        <f>IF(D709&lt;&gt;"",VLOOKUP(H709,TABLEITEM,5,FALSE),"")</f>
        <v>M</v>
      </c>
      <c r="K709" s="17">
        <v>10.0</v>
      </c>
      <c r="L709" s="13">
        <v>0.0</v>
      </c>
      <c r="M709" s="13" t="s">
        <v>727</v>
      </c>
      <c r="N709" s="14">
        <v>10000.0</v>
      </c>
      <c r="O709" s="4"/>
      <c r="P709" s="4"/>
    </row>
    <row r="710" ht="15.75" hidden="1" customHeight="1">
      <c r="B710" s="8">
        <v>1026.0</v>
      </c>
      <c r="C710" s="9">
        <v>43132.0</v>
      </c>
      <c r="D710" s="6" t="s">
        <v>775</v>
      </c>
      <c r="E710" s="4">
        <v>6.101000111E9</v>
      </c>
      <c r="F710" s="8" t="s">
        <v>604</v>
      </c>
      <c r="G710" s="4" t="s">
        <v>725</v>
      </c>
      <c r="H710" s="10" t="s">
        <v>26</v>
      </c>
      <c r="I710" s="10">
        <v>2000.0</v>
      </c>
      <c r="J710" s="11" t="str">
        <f>IF(D710&lt;&gt;"",VLOOKUP(H710,TABLEITEM,5,FALSE),"")</f>
        <v>M</v>
      </c>
      <c r="K710" s="12">
        <v>18.0</v>
      </c>
      <c r="L710" s="13">
        <v>0.0</v>
      </c>
      <c r="M710" s="13" t="s">
        <v>732</v>
      </c>
      <c r="N710" s="14">
        <v>36000.0</v>
      </c>
      <c r="O710" s="4"/>
      <c r="P710" s="4"/>
    </row>
    <row r="711" ht="15.75" hidden="1" customHeight="1">
      <c r="B711" s="8">
        <v>1027.0</v>
      </c>
      <c r="C711" s="9">
        <v>43186.0</v>
      </c>
      <c r="D711" s="6" t="s">
        <v>776</v>
      </c>
      <c r="E711" s="4">
        <v>6.103000382E9</v>
      </c>
      <c r="F711" s="8" t="s">
        <v>604</v>
      </c>
      <c r="G711" s="4" t="s">
        <v>743</v>
      </c>
      <c r="H711" s="18" t="s">
        <v>73</v>
      </c>
      <c r="I711" s="18">
        <v>1000.0</v>
      </c>
      <c r="J711" s="11" t="str">
        <f>IF(D711&lt;&gt;"",VLOOKUP(H711,TABLEITEM,5,FALSE),"")</f>
        <v>KG.</v>
      </c>
      <c r="K711" s="17">
        <v>99.85</v>
      </c>
      <c r="L711" s="13">
        <v>0.0</v>
      </c>
      <c r="M711" s="13" t="s">
        <v>774</v>
      </c>
      <c r="N711" s="14">
        <v>99850.0</v>
      </c>
      <c r="O711" s="4"/>
      <c r="P711" s="4"/>
    </row>
    <row r="712" ht="15.75" hidden="1" customHeight="1">
      <c r="B712" s="8">
        <v>1028.0</v>
      </c>
      <c r="C712" s="9">
        <v>43182.0</v>
      </c>
      <c r="D712" s="6" t="s">
        <v>777</v>
      </c>
      <c r="E712" s="4"/>
      <c r="F712" s="8" t="s">
        <v>778</v>
      </c>
      <c r="G712" s="4" t="s">
        <v>702</v>
      </c>
      <c r="H712" s="18" t="s">
        <v>779</v>
      </c>
      <c r="I712" s="18">
        <v>40.0</v>
      </c>
      <c r="J712" s="11" t="str">
        <f>IF(D712&lt;&gt;"",VLOOKUP(H712,TABLEITEM,5,FALSE),"")</f>
        <v>KG.</v>
      </c>
      <c r="K712" s="17">
        <v>130.0</v>
      </c>
      <c r="L712" s="13">
        <v>0.0</v>
      </c>
      <c r="M712" s="13" t="s">
        <v>760</v>
      </c>
      <c r="N712" s="14">
        <v>5200.0</v>
      </c>
      <c r="O712" s="4"/>
      <c r="P712" s="4"/>
    </row>
    <row r="713" ht="15.75" hidden="1" customHeight="1">
      <c r="B713" s="8">
        <v>1029.0</v>
      </c>
      <c r="C713" s="9">
        <v>43180.0</v>
      </c>
      <c r="D713" s="6" t="s">
        <v>780</v>
      </c>
      <c r="E713" s="4"/>
      <c r="F713" s="8" t="s">
        <v>778</v>
      </c>
      <c r="G713" s="4" t="s">
        <v>702</v>
      </c>
      <c r="H713" s="18" t="s">
        <v>779</v>
      </c>
      <c r="I713" s="18">
        <v>20.0</v>
      </c>
      <c r="J713" s="11" t="str">
        <f>IF(D713&lt;&gt;"",VLOOKUP(H713,TABLEITEM,5,FALSE),"")</f>
        <v>KG.</v>
      </c>
      <c r="K713" s="17">
        <v>130.0</v>
      </c>
      <c r="L713" s="13">
        <v>0.0</v>
      </c>
      <c r="M713" s="13" t="s">
        <v>760</v>
      </c>
      <c r="N713" s="14">
        <v>2600.0</v>
      </c>
      <c r="O713" s="4"/>
      <c r="P713" s="4"/>
    </row>
    <row r="714" ht="15.75" hidden="1" customHeight="1">
      <c r="B714" s="8">
        <v>1030.0</v>
      </c>
      <c r="C714" s="9">
        <v>43178.0</v>
      </c>
      <c r="D714" s="6" t="s">
        <v>781</v>
      </c>
      <c r="E714" s="4">
        <v>6.103000342E9</v>
      </c>
      <c r="F714" s="8" t="s">
        <v>782</v>
      </c>
      <c r="G714" s="4" t="s">
        <v>702</v>
      </c>
      <c r="H714" s="18" t="s">
        <v>779</v>
      </c>
      <c r="I714" s="18">
        <v>120.0</v>
      </c>
      <c r="J714" s="11" t="str">
        <f>IF(D714&lt;&gt;"",VLOOKUP(H714,TABLEITEM,5,FALSE),"")</f>
        <v>KG.</v>
      </c>
      <c r="K714" s="17">
        <v>130.0</v>
      </c>
      <c r="L714" s="13">
        <v>0.0</v>
      </c>
      <c r="M714" s="13" t="s">
        <v>760</v>
      </c>
      <c r="N714" s="14">
        <v>15600.0</v>
      </c>
      <c r="O714" s="4"/>
      <c r="P714" s="4"/>
    </row>
    <row r="715" ht="15.75" hidden="1" customHeight="1">
      <c r="B715" s="8">
        <v>1031.0</v>
      </c>
      <c r="C715" s="9">
        <v>43174.0</v>
      </c>
      <c r="D715" s="6" t="s">
        <v>783</v>
      </c>
      <c r="E715" s="4">
        <v>6.103000314E9</v>
      </c>
      <c r="F715" s="8" t="s">
        <v>604</v>
      </c>
      <c r="G715" s="4" t="s">
        <v>721</v>
      </c>
      <c r="H715" s="18" t="s">
        <v>221</v>
      </c>
      <c r="I715" s="18">
        <v>300.0</v>
      </c>
      <c r="J715" s="11" t="str">
        <f>IF(D715&lt;&gt;"",VLOOKUP(H715,TABLEITEM,5,FALSE),"")</f>
        <v>M</v>
      </c>
      <c r="K715" s="17">
        <v>7.566</v>
      </c>
      <c r="L715" s="13">
        <v>0.0</v>
      </c>
      <c r="M715" s="13" t="s">
        <v>784</v>
      </c>
      <c r="N715" s="14">
        <v>2269.7999999999997</v>
      </c>
      <c r="O715" s="4" t="s">
        <v>785</v>
      </c>
      <c r="P715" s="4"/>
    </row>
    <row r="716" ht="15.75" hidden="1" customHeight="1">
      <c r="B716" s="8">
        <v>1032.0</v>
      </c>
      <c r="C716" s="9">
        <v>43174.0</v>
      </c>
      <c r="D716" s="6" t="s">
        <v>783</v>
      </c>
      <c r="E716" s="4">
        <v>6.103000314E9</v>
      </c>
      <c r="F716" s="8" t="s">
        <v>604</v>
      </c>
      <c r="G716" s="4" t="s">
        <v>721</v>
      </c>
      <c r="H716" s="10" t="s">
        <v>204</v>
      </c>
      <c r="I716" s="10">
        <v>40.0</v>
      </c>
      <c r="J716" s="11" t="str">
        <f>IF(D716&lt;&gt;"",VLOOKUP(H716,TABLEITEM,5,FALSE),"")</f>
        <v>EA</v>
      </c>
      <c r="K716" s="12">
        <v>102.432</v>
      </c>
      <c r="L716" s="13">
        <v>0.0</v>
      </c>
      <c r="M716" s="13" t="s">
        <v>722</v>
      </c>
      <c r="N716" s="14">
        <v>4097.28</v>
      </c>
      <c r="O716" s="4" t="s">
        <v>723</v>
      </c>
      <c r="P716" s="4"/>
    </row>
    <row r="717" ht="15.75" hidden="1" customHeight="1">
      <c r="B717" s="8">
        <v>1033.0</v>
      </c>
      <c r="C717" s="9">
        <v>43172.0</v>
      </c>
      <c r="D717" s="6" t="s">
        <v>786</v>
      </c>
      <c r="E717" s="4">
        <v>6.103000304E9</v>
      </c>
      <c r="F717" s="8"/>
      <c r="G717" s="4" t="s">
        <v>702</v>
      </c>
      <c r="H717" s="18" t="s">
        <v>703</v>
      </c>
      <c r="I717" s="18">
        <v>80.0</v>
      </c>
      <c r="J717" s="11" t="str">
        <f>IF(D717&lt;&gt;"",VLOOKUP(H717,TABLEITEM,5,FALSE),"")</f>
        <v>#N/A</v>
      </c>
      <c r="K717" s="17">
        <v>180.0</v>
      </c>
      <c r="L717" s="13">
        <v>0.0</v>
      </c>
      <c r="M717" s="13" t="s">
        <v>704</v>
      </c>
      <c r="N717" s="14">
        <v>14400.0</v>
      </c>
      <c r="O717" s="4"/>
      <c r="P717" s="4"/>
    </row>
    <row r="718" ht="15.75" hidden="1" customHeight="1">
      <c r="B718" s="8">
        <v>1034.0</v>
      </c>
      <c r="C718" s="9">
        <v>43168.0</v>
      </c>
      <c r="D718" s="6">
        <v>6.1030376E7</v>
      </c>
      <c r="E718" s="4">
        <v>6.103000288E9</v>
      </c>
      <c r="F718" s="8" t="s">
        <v>787</v>
      </c>
      <c r="G718" s="4" t="s">
        <v>711</v>
      </c>
      <c r="H718" s="18" t="s">
        <v>788</v>
      </c>
      <c r="I718" s="18">
        <v>20.0</v>
      </c>
      <c r="J718" s="11" t="str">
        <f>IF(D718&lt;&gt;"",VLOOKUP(H718,TABLEITEM,5,FALSE),"")</f>
        <v>KG.</v>
      </c>
      <c r="K718" s="17">
        <v>155.0</v>
      </c>
      <c r="L718" s="13">
        <v>0.0</v>
      </c>
      <c r="M718" s="13" t="s">
        <v>789</v>
      </c>
      <c r="N718" s="14">
        <v>3100.0</v>
      </c>
      <c r="O718" s="4"/>
      <c r="P718" s="4"/>
    </row>
    <row r="719" ht="15.75" hidden="1" customHeight="1">
      <c r="B719" s="8">
        <v>1035.0</v>
      </c>
      <c r="C719" s="9">
        <v>43168.0</v>
      </c>
      <c r="D719" s="6">
        <v>6.1030376E7</v>
      </c>
      <c r="E719" s="4">
        <v>6.103000288E9</v>
      </c>
      <c r="F719" s="8" t="s">
        <v>787</v>
      </c>
      <c r="G719" s="4" t="s">
        <v>711</v>
      </c>
      <c r="H719" s="10" t="s">
        <v>790</v>
      </c>
      <c r="I719" s="10">
        <v>20.0</v>
      </c>
      <c r="J719" s="11" t="str">
        <f>IF(D719&lt;&gt;"",VLOOKUP(H719,TABLEITEM,5,FALSE),"")</f>
        <v>KG.</v>
      </c>
      <c r="K719" s="12">
        <v>161.5</v>
      </c>
      <c r="L719" s="13">
        <v>0.0</v>
      </c>
      <c r="M719" s="13" t="s">
        <v>791</v>
      </c>
      <c r="N719" s="14">
        <v>3230.0</v>
      </c>
      <c r="O719" s="4" t="s">
        <v>792</v>
      </c>
      <c r="P719" s="4"/>
    </row>
    <row r="720" ht="15.75" hidden="1" customHeight="1">
      <c r="B720" s="8">
        <v>1036.0</v>
      </c>
      <c r="C720" s="9">
        <v>43413.0</v>
      </c>
      <c r="D720" s="6" t="s">
        <v>793</v>
      </c>
      <c r="E720" s="4">
        <v>6.111001384E9</v>
      </c>
      <c r="F720" s="8" t="s">
        <v>604</v>
      </c>
      <c r="G720" s="4" t="s">
        <v>765</v>
      </c>
      <c r="H720" s="10" t="s">
        <v>85</v>
      </c>
      <c r="I720" s="10">
        <v>200.0</v>
      </c>
      <c r="J720" s="11" t="str">
        <f>IF(D720&lt;&gt;"",VLOOKUP(H720,TABLEITEM,5,FALSE),"")</f>
        <v>KG.</v>
      </c>
      <c r="K720" s="12">
        <v>112.0</v>
      </c>
      <c r="L720" s="13" t="str">
        <f>IF(D720&lt;&gt;"",VLOOKUP(H720,TABLEITEM,2,FALSE),"")</f>
        <v/>
      </c>
      <c r="M720" s="13" t="str">
        <f>IF(D720&lt;&gt;"",VLOOKUP(H720,TABLEITEM,3,FALSE),"")</f>
        <v>สีฝุ่น GH433241 สีเทาย่น</v>
      </c>
      <c r="N720" s="14">
        <f>INSTOCK!$I720*INSTOCK!$K720</f>
        <v>22400</v>
      </c>
      <c r="O720" s="4"/>
      <c r="P720" s="4"/>
    </row>
    <row r="721" ht="15.75" hidden="1" customHeight="1">
      <c r="B721" s="8">
        <v>1037.0</v>
      </c>
      <c r="C721" s="9">
        <v>43269.0</v>
      </c>
      <c r="D721" s="6" t="s">
        <v>794</v>
      </c>
      <c r="E721" s="4">
        <v>6.106000733E9</v>
      </c>
      <c r="F721" s="8" t="s">
        <v>604</v>
      </c>
      <c r="G721" s="4" t="s">
        <v>743</v>
      </c>
      <c r="H721" s="10" t="s">
        <v>73</v>
      </c>
      <c r="I721" s="10">
        <v>1000.0</v>
      </c>
      <c r="J721" s="11" t="str">
        <f>IF(D721&lt;&gt;"",VLOOKUP(H721,TABLEITEM,5,FALSE),"")</f>
        <v>KG.</v>
      </c>
      <c r="K721" s="12">
        <v>99.85</v>
      </c>
      <c r="L721" s="13" t="str">
        <f>IF(D721&lt;&gt;"",VLOOKUP(H721,TABLEITEM,2,FALSE),"")</f>
        <v/>
      </c>
      <c r="M721" s="13" t="str">
        <f>IF(D721&lt;&gt;"",VLOOKUP(H721,TABLEITEM,3,FALSE),"")</f>
        <v>สีฝุ่น สีครีมย่น 1002782PX20</v>
      </c>
      <c r="N721" s="14">
        <f>INSTOCK!$I721*INSTOCK!$K721</f>
        <v>99850</v>
      </c>
      <c r="O721" s="4"/>
      <c r="P721" s="21" t="s">
        <v>795</v>
      </c>
    </row>
    <row r="722" ht="15.75" hidden="1" customHeight="1">
      <c r="B722" s="8">
        <v>1038.0</v>
      </c>
      <c r="C722" s="9">
        <v>43269.0</v>
      </c>
      <c r="D722" s="6" t="s">
        <v>796</v>
      </c>
      <c r="E722" s="4">
        <v>6.106000734E9</v>
      </c>
      <c r="F722" s="8" t="s">
        <v>604</v>
      </c>
      <c r="G722" s="4" t="s">
        <v>765</v>
      </c>
      <c r="H722" s="10" t="s">
        <v>85</v>
      </c>
      <c r="I722" s="10">
        <v>200.0</v>
      </c>
      <c r="J722" s="11" t="str">
        <f>IF(D722&lt;&gt;"",VLOOKUP(H722,TABLEITEM,5,FALSE),"")</f>
        <v>KG.</v>
      </c>
      <c r="K722" s="12">
        <v>112.0</v>
      </c>
      <c r="L722" s="13" t="str">
        <f>IF(D722&lt;&gt;"",VLOOKUP(H722,TABLEITEM,2,FALSE),"")</f>
        <v/>
      </c>
      <c r="M722" s="13" t="str">
        <f>IF(D722&lt;&gt;"",VLOOKUP(H722,TABLEITEM,3,FALSE),"")</f>
        <v>สีฝุ่น GH433241 สีเทาย่น</v>
      </c>
      <c r="N722" s="14">
        <f>INSTOCK!$I722*INSTOCK!$K722</f>
        <v>22400</v>
      </c>
      <c r="O722" s="4"/>
      <c r="P722" s="4"/>
    </row>
    <row r="723" ht="15.75" hidden="1" customHeight="1">
      <c r="B723" s="8">
        <v>1039.0</v>
      </c>
      <c r="C723" s="9">
        <v>43267.0</v>
      </c>
      <c r="D723" s="6">
        <v>34855.0</v>
      </c>
      <c r="E723" s="4">
        <v>6.106000736E9</v>
      </c>
      <c r="F723" s="8" t="s">
        <v>604</v>
      </c>
      <c r="G723" s="4" t="s">
        <v>696</v>
      </c>
      <c r="H723" s="10" t="s">
        <v>44</v>
      </c>
      <c r="I723" s="10">
        <v>3.0</v>
      </c>
      <c r="J723" s="11" t="str">
        <f>IF(D723&lt;&gt;"",VLOOKUP(H723,TABLEITEM,5,FALSE),"")</f>
        <v>ปี๊ป</v>
      </c>
      <c r="K723" s="12">
        <v>370.0</v>
      </c>
      <c r="L723" s="13" t="str">
        <f>IF(D723&lt;&gt;"",VLOOKUP(H723,TABLEITEM,2,FALSE),"")</f>
        <v/>
      </c>
      <c r="M723" s="13" t="str">
        <f>IF(D723&lt;&gt;"",VLOOKUP(H723,TABLEITEM,3,FALSE),"")</f>
        <v>ทินเนอร์ AAA</v>
      </c>
      <c r="N723" s="14">
        <f>INSTOCK!$I723*INSTOCK!$K723</f>
        <v>1110</v>
      </c>
      <c r="O723" s="4"/>
      <c r="P723" s="4"/>
    </row>
    <row r="724" ht="15.75" hidden="1" customHeight="1">
      <c r="B724" s="8">
        <v>1040.0</v>
      </c>
      <c r="C724" s="9">
        <v>43267.0</v>
      </c>
      <c r="D724" s="6">
        <v>34855.0</v>
      </c>
      <c r="E724" s="4">
        <v>6.106000736E9</v>
      </c>
      <c r="F724" s="8" t="s">
        <v>604</v>
      </c>
      <c r="G724" s="4" t="s">
        <v>696</v>
      </c>
      <c r="H724" s="10" t="s">
        <v>43</v>
      </c>
      <c r="I724" s="10">
        <v>3.0</v>
      </c>
      <c r="J724" s="11" t="str">
        <f>IF(D724&lt;&gt;"",VLOOKUP(H724,TABLEITEM,5,FALSE),"")</f>
        <v>ปี๊ป</v>
      </c>
      <c r="K724" s="12">
        <v>590.0</v>
      </c>
      <c r="L724" s="13" t="str">
        <f>IF(D724&lt;&gt;"",VLOOKUP(H724,TABLEITEM,2,FALSE),"")</f>
        <v/>
      </c>
      <c r="M724" s="13" t="str">
        <f>IF(D724&lt;&gt;"",VLOOKUP(H724,TABLEITEM,3,FALSE),"")</f>
        <v>ทินเนอร์อคลิลิค</v>
      </c>
      <c r="N724" s="14">
        <f>INSTOCK!$I724*INSTOCK!$K724</f>
        <v>1770</v>
      </c>
      <c r="O724" s="4"/>
      <c r="P724" s="4"/>
    </row>
    <row r="725" ht="15.75" hidden="1" customHeight="1">
      <c r="B725" s="8">
        <v>1041.0</v>
      </c>
      <c r="C725" s="9">
        <v>43266.0</v>
      </c>
      <c r="D725" s="6" t="s">
        <v>797</v>
      </c>
      <c r="E725" s="4">
        <v>6.106000707E9</v>
      </c>
      <c r="F725" s="8" t="s">
        <v>604</v>
      </c>
      <c r="G725" s="4" t="s">
        <v>798</v>
      </c>
      <c r="H725" s="10" t="s">
        <v>799</v>
      </c>
      <c r="I725" s="10">
        <v>100.0</v>
      </c>
      <c r="J725" s="11" t="str">
        <f>IF(D725&lt;&gt;"",VLOOKUP(H725,TABLEITEM,5,FALSE),"")</f>
        <v>EA</v>
      </c>
      <c r="K725" s="12">
        <v>30.0</v>
      </c>
      <c r="L725" s="13" t="str">
        <f>IF(D725&lt;&gt;"",VLOOKUP(H725,TABLEITEM,2,FALSE),"")</f>
        <v/>
      </c>
      <c r="M725" s="13" t="str">
        <f>IF(D725&lt;&gt;"",VLOOKUP(H725,TABLEITEM,3,FALSE),"")</f>
        <v>กุญแจหกเหลี่ยม รุ่น 174</v>
      </c>
      <c r="N725" s="14">
        <f>INSTOCK!$I725*INSTOCK!$K725</f>
        <v>3000</v>
      </c>
      <c r="O725" s="4"/>
      <c r="P725" s="4"/>
    </row>
    <row r="726" ht="15.75" hidden="1" customHeight="1">
      <c r="B726" s="8">
        <v>1042.0</v>
      </c>
      <c r="C726" s="9">
        <v>43263.0</v>
      </c>
      <c r="D726" s="6" t="s">
        <v>800</v>
      </c>
      <c r="E726" s="4"/>
      <c r="F726" s="8" t="s">
        <v>801</v>
      </c>
      <c r="G726" s="4" t="s">
        <v>802</v>
      </c>
      <c r="H726" s="10" t="s">
        <v>803</v>
      </c>
      <c r="I726" s="10">
        <v>20.0</v>
      </c>
      <c r="J726" s="11" t="str">
        <f>IF(D726&lt;&gt;"",VLOOKUP(H726,TABLEITEM,5,FALSE),"")</f>
        <v>ถัง</v>
      </c>
      <c r="K726" s="12">
        <v>1140.19</v>
      </c>
      <c r="L726" s="13" t="str">
        <f>IF(D726&lt;&gt;"",VLOOKUP(H726,TABLEITEM,2,FALSE),"")</f>
        <v/>
      </c>
      <c r="M726" s="13" t="str">
        <f>IF(D726&lt;&gt;"",VLOOKUP(H726,TABLEITEM,3,FALSE),"")</f>
        <v>แก๊สหุงต้ม 48กก</v>
      </c>
      <c r="N726" s="14">
        <f>INSTOCK!$I726*INSTOCK!$K726</f>
        <v>22803.8</v>
      </c>
      <c r="O726" s="4"/>
      <c r="P726" s="4"/>
    </row>
    <row r="727" ht="15.75" hidden="1" customHeight="1">
      <c r="B727" s="8">
        <v>1043.0</v>
      </c>
      <c r="C727" s="9">
        <v>43263.0</v>
      </c>
      <c r="D727" s="6" t="s">
        <v>804</v>
      </c>
      <c r="E727" s="4">
        <v>6.104000516E9</v>
      </c>
      <c r="F727" s="8" t="s">
        <v>604</v>
      </c>
      <c r="G727" s="4" t="s">
        <v>721</v>
      </c>
      <c r="H727" s="10" t="s">
        <v>182</v>
      </c>
      <c r="I727" s="10">
        <v>200.0</v>
      </c>
      <c r="J727" s="11" t="str">
        <f>IF(D727&lt;&gt;"",VLOOKUP(H727,TABLEITEM,5,FALSE),"")</f>
        <v>EA</v>
      </c>
      <c r="K727" s="12">
        <v>0.81965</v>
      </c>
      <c r="L727" s="13" t="str">
        <f>IF(D727&lt;&gt;"",VLOOKUP(H727,TABLEITEM,2,FALSE),"")</f>
        <v/>
      </c>
      <c r="M727" s="13" t="str">
        <f>IF(D727&lt;&gt;"",VLOOKUP(H727,TABLEITEM,3,FALSE),"")</f>
        <v>โฮปลั๊ก 10 มิล</v>
      </c>
      <c r="N727" s="14">
        <f>INSTOCK!$I727*INSTOCK!$K727</f>
        <v>163.93</v>
      </c>
      <c r="O727" s="4" t="s">
        <v>805</v>
      </c>
      <c r="P727" s="4"/>
    </row>
    <row r="728" ht="15.75" hidden="1" customHeight="1">
      <c r="B728" s="8">
        <v>1044.0</v>
      </c>
      <c r="C728" s="9">
        <v>43129.0</v>
      </c>
      <c r="D728" s="6" t="s">
        <v>806</v>
      </c>
      <c r="E728" s="4">
        <v>6.101000122E9</v>
      </c>
      <c r="F728" s="8" t="s">
        <v>807</v>
      </c>
      <c r="G728" s="4" t="s">
        <v>808</v>
      </c>
      <c r="H728" s="18" t="s">
        <v>809</v>
      </c>
      <c r="I728" s="18">
        <v>1.0</v>
      </c>
      <c r="J728" s="11" t="str">
        <f>IF(D728&lt;&gt;"",VLOOKUP(H728,TABLEITEM,5,FALSE),"")</f>
        <v>ท่อ</v>
      </c>
      <c r="K728" s="17">
        <v>2700.0</v>
      </c>
      <c r="L728" s="13">
        <v>0.0</v>
      </c>
      <c r="M728" s="13" t="s">
        <v>810</v>
      </c>
      <c r="N728" s="14">
        <v>2700.0</v>
      </c>
      <c r="O728" s="4"/>
      <c r="P728" s="4"/>
    </row>
    <row r="729" ht="15.75" hidden="1" customHeight="1">
      <c r="B729" s="8">
        <v>1045.0</v>
      </c>
      <c r="C729" s="9">
        <v>43126.0</v>
      </c>
      <c r="D729" s="6" t="s">
        <v>811</v>
      </c>
      <c r="E729" s="4">
        <v>6.101000101E9</v>
      </c>
      <c r="F729" s="8" t="s">
        <v>807</v>
      </c>
      <c r="G729" s="4" t="s">
        <v>808</v>
      </c>
      <c r="H729" s="18" t="s">
        <v>812</v>
      </c>
      <c r="I729" s="18">
        <v>1.0</v>
      </c>
      <c r="J729" s="11" t="str">
        <f>IF(D729&lt;&gt;"",VLOOKUP(H729,TABLEITEM,5,FALSE),"")</f>
        <v>ท่อ</v>
      </c>
      <c r="K729" s="17">
        <v>2960.0</v>
      </c>
      <c r="L729" s="13">
        <v>0.0</v>
      </c>
      <c r="M729" s="13" t="s">
        <v>813</v>
      </c>
      <c r="N729" s="14">
        <v>2960.0</v>
      </c>
      <c r="O729" s="4"/>
      <c r="P729" s="4"/>
    </row>
    <row r="730" ht="15.75" hidden="1" customHeight="1">
      <c r="B730" s="8">
        <v>1046.0</v>
      </c>
      <c r="C730" s="9">
        <v>43125.0</v>
      </c>
      <c r="D730" s="6" t="s">
        <v>814</v>
      </c>
      <c r="E730" s="4">
        <v>6.1010001E9</v>
      </c>
      <c r="F730" s="8" t="s">
        <v>807</v>
      </c>
      <c r="G730" s="4" t="s">
        <v>808</v>
      </c>
      <c r="H730" s="18" t="s">
        <v>809</v>
      </c>
      <c r="I730" s="18">
        <v>1.0</v>
      </c>
      <c r="J730" s="11" t="str">
        <f>IF(D730&lt;&gt;"",VLOOKUP(H730,TABLEITEM,5,FALSE),"")</f>
        <v>ท่อ</v>
      </c>
      <c r="K730" s="17">
        <v>2700.0</v>
      </c>
      <c r="L730" s="13">
        <v>0.0</v>
      </c>
      <c r="M730" s="13" t="s">
        <v>810</v>
      </c>
      <c r="N730" s="14">
        <v>2700.0</v>
      </c>
      <c r="O730" s="4"/>
      <c r="P730" s="4"/>
    </row>
    <row r="731" ht="15.75" hidden="1" customHeight="1">
      <c r="B731" s="8">
        <v>1047.0</v>
      </c>
      <c r="C731" s="9">
        <v>43118.0</v>
      </c>
      <c r="D731" s="6" t="s">
        <v>815</v>
      </c>
      <c r="E731" s="4">
        <v>6.101000067E9</v>
      </c>
      <c r="F731" s="8" t="s">
        <v>604</v>
      </c>
      <c r="G731" s="4" t="s">
        <v>808</v>
      </c>
      <c r="H731" s="10" t="s">
        <v>816</v>
      </c>
      <c r="I731" s="10">
        <v>5.0</v>
      </c>
      <c r="J731" s="11" t="str">
        <f>IF(D731&lt;&gt;"",VLOOKUP(H731,TABLEITEM,5,FALSE),"")</f>
        <v>ท่อ</v>
      </c>
      <c r="K731" s="12">
        <v>600.0</v>
      </c>
      <c r="L731" s="13">
        <v>0.0</v>
      </c>
      <c r="M731" s="13" t="s">
        <v>817</v>
      </c>
      <c r="N731" s="14">
        <v>3000.0</v>
      </c>
      <c r="O731" s="4"/>
      <c r="P731" s="4"/>
    </row>
    <row r="732" ht="15.75" hidden="1" customHeight="1">
      <c r="B732" s="8">
        <v>1048.0</v>
      </c>
      <c r="C732" s="9">
        <v>43118.0</v>
      </c>
      <c r="D732" s="6" t="s">
        <v>815</v>
      </c>
      <c r="E732" s="4">
        <v>6.101000067E9</v>
      </c>
      <c r="F732" s="8" t="s">
        <v>604</v>
      </c>
      <c r="G732" s="4" t="s">
        <v>808</v>
      </c>
      <c r="H732" s="18" t="s">
        <v>818</v>
      </c>
      <c r="I732" s="18">
        <v>12.0</v>
      </c>
      <c r="J732" s="11" t="str">
        <f>IF(D732&lt;&gt;"",VLOOKUP(H732,TABLEITEM,5,FALSE),"")</f>
        <v>ท่อ</v>
      </c>
      <c r="K732" s="17">
        <v>300.0</v>
      </c>
      <c r="L732" s="13">
        <v>0.0</v>
      </c>
      <c r="M732" s="13" t="s">
        <v>819</v>
      </c>
      <c r="N732" s="14">
        <v>3600.0</v>
      </c>
      <c r="O732" s="4"/>
      <c r="P732" s="4"/>
    </row>
    <row r="733" ht="15.75" hidden="1" customHeight="1">
      <c r="B733" s="8">
        <v>1049.0</v>
      </c>
      <c r="C733" s="9">
        <v>43115.0</v>
      </c>
      <c r="D733" s="6" t="s">
        <v>820</v>
      </c>
      <c r="E733" s="4">
        <v>6.101000051E9</v>
      </c>
      <c r="F733" s="8" t="s">
        <v>807</v>
      </c>
      <c r="G733" s="4" t="s">
        <v>808</v>
      </c>
      <c r="H733" s="10" t="s">
        <v>809</v>
      </c>
      <c r="I733" s="10">
        <v>1.0</v>
      </c>
      <c r="J733" s="11" t="str">
        <f>IF(D733&lt;&gt;"",VLOOKUP(H733,TABLEITEM,5,FALSE),"")</f>
        <v>ท่อ</v>
      </c>
      <c r="K733" s="12">
        <v>2700.0</v>
      </c>
      <c r="L733" s="13">
        <v>0.0</v>
      </c>
      <c r="M733" s="13" t="s">
        <v>810</v>
      </c>
      <c r="N733" s="14">
        <v>2700.0</v>
      </c>
      <c r="O733" s="4"/>
      <c r="P733" s="4"/>
    </row>
    <row r="734" ht="15.75" hidden="1" customHeight="1">
      <c r="B734" s="8">
        <v>1050.0</v>
      </c>
      <c r="C734" s="9">
        <v>43110.0</v>
      </c>
      <c r="D734" s="6" t="s">
        <v>821</v>
      </c>
      <c r="E734" s="4">
        <v>6.101000032E9</v>
      </c>
      <c r="F734" s="8" t="s">
        <v>807</v>
      </c>
      <c r="G734" s="4" t="s">
        <v>808</v>
      </c>
      <c r="H734" s="18" t="s">
        <v>809</v>
      </c>
      <c r="I734" s="18">
        <v>1.0</v>
      </c>
      <c r="J734" s="11" t="str">
        <f>IF(D734&lt;&gt;"",VLOOKUP(H734,TABLEITEM,5,FALSE),"")</f>
        <v>ท่อ</v>
      </c>
      <c r="K734" s="17">
        <v>2700.0</v>
      </c>
      <c r="L734" s="13">
        <v>0.0</v>
      </c>
      <c r="M734" s="13" t="s">
        <v>810</v>
      </c>
      <c r="N734" s="14">
        <v>2700.0</v>
      </c>
      <c r="O734" s="4"/>
      <c r="P734" s="4"/>
    </row>
    <row r="735" ht="15.75" hidden="1" customHeight="1">
      <c r="B735" s="8">
        <v>1051.0</v>
      </c>
      <c r="C735" s="9">
        <v>43155.0</v>
      </c>
      <c r="D735" s="6" t="s">
        <v>822</v>
      </c>
      <c r="E735" s="4">
        <v>6.102000235E9</v>
      </c>
      <c r="F735" s="8" t="s">
        <v>807</v>
      </c>
      <c r="G735" s="4" t="s">
        <v>808</v>
      </c>
      <c r="H735" s="10" t="s">
        <v>809</v>
      </c>
      <c r="I735" s="10">
        <v>1.0</v>
      </c>
      <c r="J735" s="11" t="str">
        <f>IF(D735&lt;&gt;"",VLOOKUP(H735,TABLEITEM,5,FALSE),"")</f>
        <v>ท่อ</v>
      </c>
      <c r="K735" s="12">
        <v>2700.0</v>
      </c>
      <c r="L735" s="13">
        <v>0.0</v>
      </c>
      <c r="M735" s="13" t="s">
        <v>810</v>
      </c>
      <c r="N735" s="14">
        <v>2700.0</v>
      </c>
      <c r="O735" s="4"/>
      <c r="P735" s="4"/>
    </row>
    <row r="736" ht="15.75" hidden="1" customHeight="1">
      <c r="B736" s="8">
        <v>1052.0</v>
      </c>
      <c r="C736" s="9">
        <v>43155.0</v>
      </c>
      <c r="D736" s="6" t="s">
        <v>822</v>
      </c>
      <c r="E736" s="4">
        <v>6.102000235E9</v>
      </c>
      <c r="F736" s="8" t="s">
        <v>823</v>
      </c>
      <c r="G736" s="4" t="s">
        <v>808</v>
      </c>
      <c r="H736" s="18" t="s">
        <v>824</v>
      </c>
      <c r="I736" s="18">
        <v>1.0</v>
      </c>
      <c r="J736" s="11" t="str">
        <f>IF(D736&lt;&gt;"",VLOOKUP(H736,TABLEITEM,5,FALSE),"")</f>
        <v>ท่อ</v>
      </c>
      <c r="K736" s="17">
        <v>600.0</v>
      </c>
      <c r="L736" s="13">
        <v>0.0</v>
      </c>
      <c r="M736" s="13" t="s">
        <v>825</v>
      </c>
      <c r="N736" s="14">
        <v>600.0</v>
      </c>
      <c r="O736" s="4"/>
      <c r="P736" s="4"/>
    </row>
    <row r="737" ht="15.75" hidden="1" customHeight="1">
      <c r="B737" s="8">
        <v>1053.0</v>
      </c>
      <c r="C737" s="9">
        <v>43151.0</v>
      </c>
      <c r="D737" s="6" t="s">
        <v>826</v>
      </c>
      <c r="E737" s="4">
        <v>6.102000221E9</v>
      </c>
      <c r="F737" s="8" t="s">
        <v>807</v>
      </c>
      <c r="G737" s="4" t="s">
        <v>808</v>
      </c>
      <c r="H737" s="10" t="s">
        <v>809</v>
      </c>
      <c r="I737" s="10">
        <v>1.0</v>
      </c>
      <c r="J737" s="11" t="str">
        <f>IF(D737&lt;&gt;"",VLOOKUP(H737,TABLEITEM,5,FALSE),"")</f>
        <v>ท่อ</v>
      </c>
      <c r="K737" s="12">
        <v>2700.0</v>
      </c>
      <c r="L737" s="13">
        <v>0.0</v>
      </c>
      <c r="M737" s="13" t="s">
        <v>810</v>
      </c>
      <c r="N737" s="14">
        <v>2700.0</v>
      </c>
      <c r="O737" s="4"/>
      <c r="P737" s="4"/>
    </row>
    <row r="738" ht="15.75" hidden="1" customHeight="1">
      <c r="B738" s="8">
        <v>1054.0</v>
      </c>
      <c r="C738" s="9">
        <v>43150.0</v>
      </c>
      <c r="D738" s="6" t="s">
        <v>827</v>
      </c>
      <c r="E738" s="4">
        <v>6.102000215E9</v>
      </c>
      <c r="F738" s="8" t="s">
        <v>604</v>
      </c>
      <c r="G738" s="4" t="s">
        <v>808</v>
      </c>
      <c r="H738" s="10" t="s">
        <v>816</v>
      </c>
      <c r="I738" s="10">
        <v>3.0</v>
      </c>
      <c r="J738" s="11" t="str">
        <f>IF(D738&lt;&gt;"",VLOOKUP(H738,TABLEITEM,5,FALSE),"")</f>
        <v>ท่อ</v>
      </c>
      <c r="K738" s="12">
        <v>600.0</v>
      </c>
      <c r="L738" s="13">
        <v>0.0</v>
      </c>
      <c r="M738" s="13" t="s">
        <v>817</v>
      </c>
      <c r="N738" s="14">
        <v>1800.0</v>
      </c>
      <c r="O738" s="4"/>
      <c r="P738" s="4"/>
    </row>
    <row r="739" ht="15.75" hidden="1" customHeight="1">
      <c r="B739" s="8">
        <v>1055.0</v>
      </c>
      <c r="C739" s="9">
        <v>43150.0</v>
      </c>
      <c r="D739" s="6" t="s">
        <v>827</v>
      </c>
      <c r="E739" s="4">
        <v>6.102000215E9</v>
      </c>
      <c r="F739" s="8" t="s">
        <v>604</v>
      </c>
      <c r="G739" s="4" t="s">
        <v>808</v>
      </c>
      <c r="H739" s="10" t="s">
        <v>818</v>
      </c>
      <c r="I739" s="10">
        <v>16.0</v>
      </c>
      <c r="J739" s="11" t="str">
        <f>IF(D739&lt;&gt;"",VLOOKUP(H739,TABLEITEM,5,FALSE),"")</f>
        <v>ท่อ</v>
      </c>
      <c r="K739" s="12">
        <v>300.0</v>
      </c>
      <c r="L739" s="13">
        <v>0.0</v>
      </c>
      <c r="M739" s="13" t="s">
        <v>819</v>
      </c>
      <c r="N739" s="14">
        <v>4800.0</v>
      </c>
      <c r="O739" s="4"/>
      <c r="P739" s="4"/>
    </row>
    <row r="740" ht="15.75" hidden="1" customHeight="1">
      <c r="B740" s="8">
        <v>1056.0</v>
      </c>
      <c r="C740" s="9">
        <v>43145.0</v>
      </c>
      <c r="D740" s="6" t="s">
        <v>828</v>
      </c>
      <c r="E740" s="4">
        <v>6.102000199E9</v>
      </c>
      <c r="F740" s="8" t="s">
        <v>807</v>
      </c>
      <c r="G740" s="4" t="s">
        <v>808</v>
      </c>
      <c r="H740" s="18" t="s">
        <v>809</v>
      </c>
      <c r="I740" s="18">
        <v>1.0</v>
      </c>
      <c r="J740" s="11" t="str">
        <f>IF(D740&lt;&gt;"",VLOOKUP(H740,TABLEITEM,5,FALSE),"")</f>
        <v>ท่อ</v>
      </c>
      <c r="K740" s="17">
        <v>2700.0</v>
      </c>
      <c r="L740" s="13">
        <v>0.0</v>
      </c>
      <c r="M740" s="13" t="s">
        <v>810</v>
      </c>
      <c r="N740" s="14">
        <v>2700.0</v>
      </c>
      <c r="O740" s="4"/>
      <c r="P740" s="4"/>
    </row>
    <row r="741" ht="15.75" hidden="1" customHeight="1">
      <c r="B741" s="8">
        <v>1057.0</v>
      </c>
      <c r="C741" s="9">
        <v>43139.0</v>
      </c>
      <c r="D741" s="6" t="s">
        <v>829</v>
      </c>
      <c r="E741" s="4">
        <v>6.102000165E9</v>
      </c>
      <c r="F741" s="8" t="s">
        <v>807</v>
      </c>
      <c r="G741" s="4" t="s">
        <v>808</v>
      </c>
      <c r="H741" s="10" t="s">
        <v>809</v>
      </c>
      <c r="I741" s="10">
        <v>1.0</v>
      </c>
      <c r="J741" s="11" t="str">
        <f>IF(D741&lt;&gt;"",VLOOKUP(H741,TABLEITEM,5,FALSE),"")</f>
        <v>ท่อ</v>
      </c>
      <c r="K741" s="12">
        <v>2700.0</v>
      </c>
      <c r="L741" s="13">
        <v>0.0</v>
      </c>
      <c r="M741" s="13" t="s">
        <v>810</v>
      </c>
      <c r="N741" s="14">
        <v>2700.0</v>
      </c>
      <c r="O741" s="4"/>
      <c r="P741" s="4"/>
    </row>
    <row r="742" ht="15.75" hidden="1" customHeight="1">
      <c r="B742" s="8">
        <v>1058.0</v>
      </c>
      <c r="C742" s="9">
        <v>43136.0</v>
      </c>
      <c r="D742" s="6" t="s">
        <v>830</v>
      </c>
      <c r="E742" s="4">
        <v>6.102000144E9</v>
      </c>
      <c r="F742" s="8" t="s">
        <v>807</v>
      </c>
      <c r="G742" s="4" t="s">
        <v>808</v>
      </c>
      <c r="H742" s="10" t="s">
        <v>809</v>
      </c>
      <c r="I742" s="10">
        <v>1.0</v>
      </c>
      <c r="J742" s="11" t="str">
        <f>IF(D742&lt;&gt;"",VLOOKUP(H742,TABLEITEM,5,FALSE),"")</f>
        <v>ท่อ</v>
      </c>
      <c r="K742" s="12">
        <v>2700.0</v>
      </c>
      <c r="L742" s="13">
        <v>0.0</v>
      </c>
      <c r="M742" s="13" t="s">
        <v>810</v>
      </c>
      <c r="N742" s="14">
        <v>2700.0</v>
      </c>
      <c r="O742" s="4"/>
      <c r="P742" s="4"/>
    </row>
    <row r="743" ht="15.75" hidden="1" customHeight="1">
      <c r="B743" s="8">
        <v>1059.0</v>
      </c>
      <c r="C743" s="9">
        <v>43136.0</v>
      </c>
      <c r="D743" s="6" t="s">
        <v>830</v>
      </c>
      <c r="E743" s="4">
        <v>6.102000144E9</v>
      </c>
      <c r="F743" s="8" t="s">
        <v>807</v>
      </c>
      <c r="G743" s="4" t="s">
        <v>808</v>
      </c>
      <c r="H743" s="18" t="s">
        <v>831</v>
      </c>
      <c r="I743" s="18">
        <v>1.0</v>
      </c>
      <c r="J743" s="11" t="str">
        <f>IF(D743&lt;&gt;"",VLOOKUP(H743,TABLEITEM,5,FALSE),"")</f>
        <v>ท่อ</v>
      </c>
      <c r="K743" s="17">
        <v>7700.0</v>
      </c>
      <c r="L743" s="13">
        <v>0.0</v>
      </c>
      <c r="M743" s="13" t="s">
        <v>832</v>
      </c>
      <c r="N743" s="14">
        <v>7700.0</v>
      </c>
      <c r="O743" s="4"/>
      <c r="P743" s="4"/>
    </row>
    <row r="744" ht="15.75" hidden="1" customHeight="1">
      <c r="B744" s="8">
        <v>1060.0</v>
      </c>
      <c r="C744" s="9">
        <v>43406.0</v>
      </c>
      <c r="D744" s="6" t="s">
        <v>833</v>
      </c>
      <c r="E744" s="4">
        <v>6.11100134E9</v>
      </c>
      <c r="F744" s="8" t="s">
        <v>807</v>
      </c>
      <c r="G744" s="4" t="s">
        <v>808</v>
      </c>
      <c r="H744" s="10" t="s">
        <v>809</v>
      </c>
      <c r="I744" s="10">
        <v>1.0</v>
      </c>
      <c r="J744" s="11" t="str">
        <f>IF(D744&lt;&gt;"",VLOOKUP(H744,TABLEITEM,5,FALSE),"")</f>
        <v>ท่อ</v>
      </c>
      <c r="K744" s="12">
        <v>2700.0</v>
      </c>
      <c r="L744" s="13">
        <v>0.0</v>
      </c>
      <c r="M744" s="13" t="s">
        <v>810</v>
      </c>
      <c r="N744" s="14">
        <v>2700.0</v>
      </c>
      <c r="O744" s="4"/>
      <c r="P744" s="4"/>
    </row>
    <row r="745" ht="15.75" hidden="1" customHeight="1">
      <c r="B745" s="8">
        <v>1061.0</v>
      </c>
      <c r="C745" s="9">
        <v>43405.0</v>
      </c>
      <c r="D745" s="6" t="s">
        <v>834</v>
      </c>
      <c r="E745" s="4">
        <v>6.110001325E9</v>
      </c>
      <c r="F745" s="8" t="s">
        <v>604</v>
      </c>
      <c r="G745" s="4" t="s">
        <v>808</v>
      </c>
      <c r="H745" s="10" t="s">
        <v>818</v>
      </c>
      <c r="I745" s="10">
        <v>11.0</v>
      </c>
      <c r="J745" s="11" t="str">
        <f>IF(D745&lt;&gt;"",VLOOKUP(H745,TABLEITEM,5,FALSE),"")</f>
        <v>ท่อ</v>
      </c>
      <c r="K745" s="12">
        <v>300.0</v>
      </c>
      <c r="L745" s="13">
        <v>0.0</v>
      </c>
      <c r="M745" s="13" t="s">
        <v>819</v>
      </c>
      <c r="N745" s="14">
        <v>3300.0</v>
      </c>
      <c r="O745" s="4"/>
      <c r="P745" s="4"/>
    </row>
    <row r="746" ht="15.75" hidden="1" customHeight="1">
      <c r="B746" s="8">
        <v>1062.0</v>
      </c>
      <c r="C746" s="9">
        <v>43405.0</v>
      </c>
      <c r="D746" s="6" t="s">
        <v>834</v>
      </c>
      <c r="E746" s="4">
        <v>6.110001325E9</v>
      </c>
      <c r="F746" s="8" t="s">
        <v>604</v>
      </c>
      <c r="G746" s="4" t="s">
        <v>808</v>
      </c>
      <c r="H746" s="10" t="s">
        <v>816</v>
      </c>
      <c r="I746" s="10">
        <v>5.0</v>
      </c>
      <c r="J746" s="11" t="str">
        <f>IF(D746&lt;&gt;"",VLOOKUP(H746,TABLEITEM,5,FALSE),"")</f>
        <v>ท่อ</v>
      </c>
      <c r="K746" s="12">
        <v>600.0</v>
      </c>
      <c r="L746" s="13">
        <v>0.0</v>
      </c>
      <c r="M746" s="13" t="s">
        <v>817</v>
      </c>
      <c r="N746" s="14">
        <v>3000.0</v>
      </c>
      <c r="O746" s="4"/>
      <c r="P746" s="4"/>
    </row>
    <row r="747" ht="15.75" hidden="1" customHeight="1">
      <c r="B747" s="8">
        <v>1063.0</v>
      </c>
      <c r="C747" s="9">
        <v>43132.0</v>
      </c>
      <c r="D747" s="6" t="s">
        <v>835</v>
      </c>
      <c r="E747" s="4">
        <v>6.101000131E9</v>
      </c>
      <c r="F747" s="8" t="s">
        <v>807</v>
      </c>
      <c r="G747" s="4" t="s">
        <v>808</v>
      </c>
      <c r="H747" s="18" t="s">
        <v>809</v>
      </c>
      <c r="I747" s="18">
        <v>1.0</v>
      </c>
      <c r="J747" s="11" t="str">
        <f>IF(D747&lt;&gt;"",VLOOKUP(H747,TABLEITEM,5,FALSE),"")</f>
        <v>ท่อ</v>
      </c>
      <c r="K747" s="17">
        <v>2700.0</v>
      </c>
      <c r="L747" s="13">
        <v>0.0</v>
      </c>
      <c r="M747" s="13" t="s">
        <v>810</v>
      </c>
      <c r="N747" s="14">
        <v>2700.0</v>
      </c>
      <c r="O747" s="4"/>
      <c r="P747" s="4"/>
    </row>
    <row r="748" ht="15.75" hidden="1" customHeight="1">
      <c r="B748" s="8">
        <v>1064.0</v>
      </c>
      <c r="C748" s="9">
        <v>43188.0</v>
      </c>
      <c r="D748" s="6" t="s">
        <v>836</v>
      </c>
      <c r="E748" s="4">
        <v>6.103000398E9</v>
      </c>
      <c r="F748" s="8" t="s">
        <v>807</v>
      </c>
      <c r="G748" s="4" t="s">
        <v>808</v>
      </c>
      <c r="H748" s="18" t="s">
        <v>809</v>
      </c>
      <c r="I748" s="18">
        <v>1.0</v>
      </c>
      <c r="J748" s="11" t="str">
        <f>IF(D748&lt;&gt;"",VLOOKUP(H748,TABLEITEM,5,FALSE),"")</f>
        <v>ท่อ</v>
      </c>
      <c r="K748" s="17">
        <v>2700.0</v>
      </c>
      <c r="L748" s="13">
        <v>0.0</v>
      </c>
      <c r="M748" s="13" t="s">
        <v>810</v>
      </c>
      <c r="N748" s="14">
        <v>2700.0</v>
      </c>
      <c r="O748" s="4"/>
      <c r="P748" s="4"/>
    </row>
    <row r="749" ht="15.75" hidden="1" customHeight="1">
      <c r="B749" s="8">
        <v>1065.0</v>
      </c>
      <c r="C749" s="9">
        <v>43186.0</v>
      </c>
      <c r="D749" s="6" t="s">
        <v>837</v>
      </c>
      <c r="E749" s="4">
        <v>6.103000377E9</v>
      </c>
      <c r="F749" s="8" t="s">
        <v>807</v>
      </c>
      <c r="G749" s="4" t="s">
        <v>808</v>
      </c>
      <c r="H749" s="10" t="s">
        <v>809</v>
      </c>
      <c r="I749" s="10">
        <v>1.0</v>
      </c>
      <c r="J749" s="11" t="str">
        <f>IF(D749&lt;&gt;"",VLOOKUP(H749,TABLEITEM,5,FALSE),"")</f>
        <v>ท่อ</v>
      </c>
      <c r="K749" s="12">
        <v>2700.0</v>
      </c>
      <c r="L749" s="13">
        <v>0.0</v>
      </c>
      <c r="M749" s="13" t="s">
        <v>810</v>
      </c>
      <c r="N749" s="14">
        <v>2700.0</v>
      </c>
      <c r="O749" s="4"/>
      <c r="P749" s="4"/>
    </row>
    <row r="750" ht="15.75" hidden="1" customHeight="1">
      <c r="B750" s="8">
        <v>1066.0</v>
      </c>
      <c r="C750" s="9">
        <v>43186.0</v>
      </c>
      <c r="D750" s="6" t="s">
        <v>837</v>
      </c>
      <c r="E750" s="4">
        <v>6.103000377E9</v>
      </c>
      <c r="F750" s="8" t="s">
        <v>604</v>
      </c>
      <c r="G750" s="4" t="s">
        <v>808</v>
      </c>
      <c r="H750" s="10" t="s">
        <v>831</v>
      </c>
      <c r="I750" s="10">
        <v>1.0</v>
      </c>
      <c r="J750" s="11" t="str">
        <f>IF(D750&lt;&gt;"",VLOOKUP(H750,TABLEITEM,5,FALSE),"")</f>
        <v>ท่อ</v>
      </c>
      <c r="K750" s="12">
        <v>7700.0</v>
      </c>
      <c r="L750" s="13">
        <v>0.0</v>
      </c>
      <c r="M750" s="13" t="s">
        <v>832</v>
      </c>
      <c r="N750" s="14">
        <v>7700.0</v>
      </c>
      <c r="O750" s="4"/>
      <c r="P750" s="4"/>
    </row>
    <row r="751" ht="15.75" hidden="1" customHeight="1">
      <c r="B751" s="8">
        <v>1067.0</v>
      </c>
      <c r="C751" s="9">
        <v>43182.0</v>
      </c>
      <c r="D751" s="6" t="s">
        <v>838</v>
      </c>
      <c r="E751" s="4">
        <v>6.103000361E9</v>
      </c>
      <c r="F751" s="8" t="s">
        <v>807</v>
      </c>
      <c r="G751" s="4" t="s">
        <v>808</v>
      </c>
      <c r="H751" s="18" t="s">
        <v>809</v>
      </c>
      <c r="I751" s="18">
        <v>1.0</v>
      </c>
      <c r="J751" s="11" t="str">
        <f>IF(D751&lt;&gt;"",VLOOKUP(H751,TABLEITEM,5,FALSE),"")</f>
        <v>ท่อ</v>
      </c>
      <c r="K751" s="17">
        <v>2700.0</v>
      </c>
      <c r="L751" s="13">
        <v>0.0</v>
      </c>
      <c r="M751" s="13" t="s">
        <v>810</v>
      </c>
      <c r="N751" s="14">
        <v>2700.0</v>
      </c>
      <c r="O751" s="4"/>
      <c r="P751" s="4"/>
    </row>
    <row r="752" ht="15.75" hidden="1" customHeight="1">
      <c r="B752" s="8">
        <v>1068.0</v>
      </c>
      <c r="C752" s="9">
        <v>43180.0</v>
      </c>
      <c r="D752" s="6" t="s">
        <v>839</v>
      </c>
      <c r="E752" s="4">
        <v>6.103000349E9</v>
      </c>
      <c r="F752" s="8" t="s">
        <v>604</v>
      </c>
      <c r="G752" s="4" t="s">
        <v>808</v>
      </c>
      <c r="H752" s="10" t="s">
        <v>816</v>
      </c>
      <c r="I752" s="10">
        <v>4.0</v>
      </c>
      <c r="J752" s="11" t="str">
        <f>IF(D752&lt;&gt;"",VLOOKUP(H752,TABLEITEM,5,FALSE),"")</f>
        <v>ท่อ</v>
      </c>
      <c r="K752" s="12">
        <v>600.0</v>
      </c>
      <c r="L752" s="13">
        <v>0.0</v>
      </c>
      <c r="M752" s="13" t="s">
        <v>817</v>
      </c>
      <c r="N752" s="14">
        <v>2400.0</v>
      </c>
      <c r="O752" s="4"/>
      <c r="P752" s="4"/>
    </row>
    <row r="753" ht="15.75" hidden="1" customHeight="1">
      <c r="B753" s="8">
        <v>1069.0</v>
      </c>
      <c r="C753" s="9">
        <v>43180.0</v>
      </c>
      <c r="D753" s="6" t="s">
        <v>839</v>
      </c>
      <c r="E753" s="4">
        <v>6.103000349E9</v>
      </c>
      <c r="F753" s="8" t="s">
        <v>604</v>
      </c>
      <c r="G753" s="4" t="s">
        <v>808</v>
      </c>
      <c r="H753" s="10" t="s">
        <v>818</v>
      </c>
      <c r="I753" s="10">
        <v>14.0</v>
      </c>
      <c r="J753" s="11" t="str">
        <f>IF(D753&lt;&gt;"",VLOOKUP(H753,TABLEITEM,5,FALSE),"")</f>
        <v>ท่อ</v>
      </c>
      <c r="K753" s="12">
        <v>300.0</v>
      </c>
      <c r="L753" s="13">
        <v>0.0</v>
      </c>
      <c r="M753" s="13" t="s">
        <v>819</v>
      </c>
      <c r="N753" s="14">
        <v>4200.0</v>
      </c>
      <c r="O753" s="4"/>
      <c r="P753" s="4"/>
    </row>
    <row r="754" ht="15.75" hidden="1" customHeight="1">
      <c r="B754" s="8">
        <v>1070.0</v>
      </c>
      <c r="C754" s="9">
        <v>43179.0</v>
      </c>
      <c r="D754" s="6" t="s">
        <v>840</v>
      </c>
      <c r="E754" s="4">
        <v>6.103000343E9</v>
      </c>
      <c r="F754" s="8" t="s">
        <v>807</v>
      </c>
      <c r="G754" s="4" t="s">
        <v>808</v>
      </c>
      <c r="H754" s="10" t="s">
        <v>809</v>
      </c>
      <c r="I754" s="10">
        <v>1.0</v>
      </c>
      <c r="J754" s="11" t="str">
        <f>IF(D754&lt;&gt;"",VLOOKUP(H754,TABLEITEM,5,FALSE),"")</f>
        <v>ท่อ</v>
      </c>
      <c r="K754" s="12">
        <v>2700.0</v>
      </c>
      <c r="L754" s="13">
        <v>0.0</v>
      </c>
      <c r="M754" s="13" t="s">
        <v>810</v>
      </c>
      <c r="N754" s="14">
        <v>2700.0</v>
      </c>
      <c r="O754" s="4"/>
      <c r="P754" s="4"/>
    </row>
    <row r="755" ht="15.75" hidden="1" customHeight="1">
      <c r="B755" s="8">
        <v>1071.0</v>
      </c>
      <c r="C755" s="9">
        <v>43176.0</v>
      </c>
      <c r="D755" s="6" t="s">
        <v>841</v>
      </c>
      <c r="E755" s="4">
        <v>6.10300032E9</v>
      </c>
      <c r="F755" s="8" t="s">
        <v>807</v>
      </c>
      <c r="G755" s="4" t="s">
        <v>808</v>
      </c>
      <c r="H755" s="18" t="s">
        <v>809</v>
      </c>
      <c r="I755" s="18">
        <v>1.0</v>
      </c>
      <c r="J755" s="11" t="str">
        <f>IF(D755&lt;&gt;"",VLOOKUP(H755,TABLEITEM,5,FALSE),"")</f>
        <v>ท่อ</v>
      </c>
      <c r="K755" s="17">
        <v>2700.0</v>
      </c>
      <c r="L755" s="13">
        <v>0.0</v>
      </c>
      <c r="M755" s="13" t="s">
        <v>810</v>
      </c>
      <c r="N755" s="14">
        <v>2700.0</v>
      </c>
      <c r="O755" s="4"/>
      <c r="P755" s="4"/>
    </row>
    <row r="756" ht="15.75" hidden="1" customHeight="1">
      <c r="B756" s="8">
        <v>1072.0</v>
      </c>
      <c r="C756" s="9">
        <v>43175.0</v>
      </c>
      <c r="D756" s="6" t="s">
        <v>842</v>
      </c>
      <c r="E756" s="4">
        <v>6.10300032E9</v>
      </c>
      <c r="F756" s="8" t="s">
        <v>807</v>
      </c>
      <c r="G756" s="4" t="s">
        <v>808</v>
      </c>
      <c r="H756" s="18" t="s">
        <v>809</v>
      </c>
      <c r="I756" s="18">
        <v>1.0</v>
      </c>
      <c r="J756" s="11" t="str">
        <f>IF(D756&lt;&gt;"",VLOOKUP(H756,TABLEITEM,5,FALSE),"")</f>
        <v>ท่อ</v>
      </c>
      <c r="K756" s="17">
        <v>2700.0</v>
      </c>
      <c r="L756" s="13">
        <v>0.0</v>
      </c>
      <c r="M756" s="13" t="s">
        <v>810</v>
      </c>
      <c r="N756" s="14">
        <v>2700.0</v>
      </c>
      <c r="O756" s="4"/>
      <c r="P756" s="4"/>
    </row>
    <row r="757" ht="15.75" hidden="1" customHeight="1">
      <c r="B757" s="8">
        <v>1073.0</v>
      </c>
      <c r="C757" s="9">
        <v>43173.0</v>
      </c>
      <c r="D757" s="6" t="s">
        <v>843</v>
      </c>
      <c r="E757" s="4">
        <v>6.103000303E9</v>
      </c>
      <c r="F757" s="8" t="s">
        <v>807</v>
      </c>
      <c r="G757" s="4" t="s">
        <v>808</v>
      </c>
      <c r="H757" s="18" t="s">
        <v>809</v>
      </c>
      <c r="I757" s="18">
        <v>1.0</v>
      </c>
      <c r="J757" s="11" t="str">
        <f>IF(D757&lt;&gt;"",VLOOKUP(H757,TABLEITEM,5,FALSE),"")</f>
        <v>ท่อ</v>
      </c>
      <c r="K757" s="17">
        <v>2700.0</v>
      </c>
      <c r="L757" s="13">
        <v>0.0</v>
      </c>
      <c r="M757" s="13" t="s">
        <v>810</v>
      </c>
      <c r="N757" s="14">
        <v>2700.0</v>
      </c>
      <c r="O757" s="4"/>
      <c r="P757" s="4"/>
    </row>
    <row r="758" ht="15.75" hidden="1" customHeight="1">
      <c r="B758" s="8">
        <v>1074.0</v>
      </c>
      <c r="C758" s="9">
        <v>43161.0</v>
      </c>
      <c r="D758" s="6" t="s">
        <v>844</v>
      </c>
      <c r="E758" s="4">
        <v>6.102000269E9</v>
      </c>
      <c r="F758" s="8" t="s">
        <v>807</v>
      </c>
      <c r="G758" s="4" t="s">
        <v>808</v>
      </c>
      <c r="H758" s="10" t="s">
        <v>809</v>
      </c>
      <c r="I758" s="10">
        <v>1.0</v>
      </c>
      <c r="J758" s="11" t="str">
        <f>IF(D758&lt;&gt;"",VLOOKUP(H758,TABLEITEM,5,FALSE),"")</f>
        <v>ท่อ</v>
      </c>
      <c r="K758" s="12">
        <v>2700.0</v>
      </c>
      <c r="L758" s="13">
        <v>0.0</v>
      </c>
      <c r="M758" s="13" t="s">
        <v>810</v>
      </c>
      <c r="N758" s="14">
        <v>2700.0</v>
      </c>
      <c r="O758" s="4"/>
      <c r="P758" s="4"/>
    </row>
    <row r="759" ht="15.75" hidden="1" customHeight="1">
      <c r="B759" s="8">
        <v>1075.0</v>
      </c>
      <c r="C759" s="9">
        <v>43161.0</v>
      </c>
      <c r="D759" s="6" t="s">
        <v>844</v>
      </c>
      <c r="E759" s="4">
        <v>6.102000269E9</v>
      </c>
      <c r="F759" s="8" t="s">
        <v>807</v>
      </c>
      <c r="G759" s="4" t="s">
        <v>808</v>
      </c>
      <c r="H759" s="18" t="s">
        <v>812</v>
      </c>
      <c r="I759" s="18">
        <v>1.0</v>
      </c>
      <c r="J759" s="11" t="str">
        <f>IF(D759&lt;&gt;"",VLOOKUP(H759,TABLEITEM,5,FALSE),"")</f>
        <v>ท่อ</v>
      </c>
      <c r="K759" s="17">
        <v>2960.0</v>
      </c>
      <c r="L759" s="13">
        <v>0.0</v>
      </c>
      <c r="M759" s="13" t="s">
        <v>813</v>
      </c>
      <c r="N759" s="14">
        <v>2960.0</v>
      </c>
      <c r="O759" s="4"/>
      <c r="P759" s="4"/>
    </row>
    <row r="760" ht="15.75" hidden="1" customHeight="1">
      <c r="B760" s="8">
        <v>1076.0</v>
      </c>
      <c r="C760" s="9">
        <v>43218.0</v>
      </c>
      <c r="D760" s="6" t="s">
        <v>845</v>
      </c>
      <c r="E760" s="4">
        <v>6.104000511E9</v>
      </c>
      <c r="F760" s="8" t="s">
        <v>807</v>
      </c>
      <c r="G760" s="4" t="s">
        <v>808</v>
      </c>
      <c r="H760" s="10" t="s">
        <v>809</v>
      </c>
      <c r="I760" s="10">
        <v>1.0</v>
      </c>
      <c r="J760" s="11" t="str">
        <f>IF(D760&lt;&gt;"",VLOOKUP(H760,TABLEITEM,5,FALSE),"")</f>
        <v>ท่อ</v>
      </c>
      <c r="K760" s="12">
        <v>2700.0</v>
      </c>
      <c r="L760" s="13">
        <v>0.0</v>
      </c>
      <c r="M760" s="13" t="s">
        <v>810</v>
      </c>
      <c r="N760" s="14">
        <v>2700.0</v>
      </c>
      <c r="O760" s="4"/>
      <c r="P760" s="4"/>
    </row>
    <row r="761" ht="15.75" hidden="1" customHeight="1">
      <c r="B761" s="8">
        <v>1077.0</v>
      </c>
      <c r="C761" s="9">
        <v>43218.0</v>
      </c>
      <c r="D761" s="6" t="s">
        <v>845</v>
      </c>
      <c r="E761" s="4">
        <v>6.104000511E9</v>
      </c>
      <c r="F761" s="8" t="s">
        <v>807</v>
      </c>
      <c r="G761" s="4" t="s">
        <v>808</v>
      </c>
      <c r="H761" s="18" t="s">
        <v>824</v>
      </c>
      <c r="I761" s="18">
        <v>1.0</v>
      </c>
      <c r="J761" s="11" t="str">
        <f>IF(D761&lt;&gt;"",VLOOKUP(H761,TABLEITEM,5,FALSE),"")</f>
        <v>ท่อ</v>
      </c>
      <c r="K761" s="17">
        <v>600.0</v>
      </c>
      <c r="L761" s="13">
        <v>0.0</v>
      </c>
      <c r="M761" s="13" t="s">
        <v>825</v>
      </c>
      <c r="N761" s="14">
        <v>600.0</v>
      </c>
      <c r="O761" s="4"/>
      <c r="P761" s="4"/>
    </row>
    <row r="762" ht="15.75" hidden="1" customHeight="1">
      <c r="B762" s="8">
        <v>1078.0</v>
      </c>
      <c r="C762" s="9">
        <v>43215.0</v>
      </c>
      <c r="D762" s="6" t="s">
        <v>846</v>
      </c>
      <c r="E762" s="4">
        <v>6.104000492E9</v>
      </c>
      <c r="F762" s="8" t="s">
        <v>604</v>
      </c>
      <c r="G762" s="4" t="s">
        <v>808</v>
      </c>
      <c r="H762" s="10" t="s">
        <v>818</v>
      </c>
      <c r="I762" s="10">
        <v>16.0</v>
      </c>
      <c r="J762" s="11" t="str">
        <f>IF(D762&lt;&gt;"",VLOOKUP(H762,TABLEITEM,5,FALSE),"")</f>
        <v>ท่อ</v>
      </c>
      <c r="K762" s="12">
        <v>300.0</v>
      </c>
      <c r="L762" s="13">
        <v>0.0</v>
      </c>
      <c r="M762" s="13" t="s">
        <v>819</v>
      </c>
      <c r="N762" s="14">
        <v>4800.0</v>
      </c>
      <c r="O762" s="4"/>
      <c r="P762" s="4"/>
    </row>
    <row r="763" ht="15.75" hidden="1" customHeight="1">
      <c r="B763" s="8">
        <v>1079.0</v>
      </c>
      <c r="C763" s="9">
        <v>43215.0</v>
      </c>
      <c r="D763" s="6" t="s">
        <v>846</v>
      </c>
      <c r="E763" s="4">
        <v>6.104000492E9</v>
      </c>
      <c r="F763" s="8" t="s">
        <v>604</v>
      </c>
      <c r="G763" s="4" t="s">
        <v>808</v>
      </c>
      <c r="H763" s="10" t="s">
        <v>816</v>
      </c>
      <c r="I763" s="10">
        <v>4.0</v>
      </c>
      <c r="J763" s="11" t="str">
        <f>IF(D763&lt;&gt;"",VLOOKUP(H763,TABLEITEM,5,FALSE),"")</f>
        <v>ท่อ</v>
      </c>
      <c r="K763" s="12">
        <v>600.0</v>
      </c>
      <c r="L763" s="13">
        <v>0.0</v>
      </c>
      <c r="M763" s="13" t="s">
        <v>817</v>
      </c>
      <c r="N763" s="14">
        <v>2400.0</v>
      </c>
      <c r="O763" s="4"/>
      <c r="P763" s="4"/>
    </row>
    <row r="764" ht="15.75" hidden="1" customHeight="1">
      <c r="B764" s="8">
        <v>1080.0</v>
      </c>
      <c r="C764" s="9">
        <v>43214.0</v>
      </c>
      <c r="D764" s="6" t="s">
        <v>847</v>
      </c>
      <c r="E764" s="4">
        <v>6.104000489E9</v>
      </c>
      <c r="F764" s="8" t="s">
        <v>807</v>
      </c>
      <c r="G764" s="4" t="s">
        <v>808</v>
      </c>
      <c r="H764" s="18" t="s">
        <v>809</v>
      </c>
      <c r="I764" s="18">
        <v>1.0</v>
      </c>
      <c r="J764" s="11" t="str">
        <f>IF(D764&lt;&gt;"",VLOOKUP(H764,TABLEITEM,5,FALSE),"")</f>
        <v>ท่อ</v>
      </c>
      <c r="K764" s="17">
        <v>2700.0</v>
      </c>
      <c r="L764" s="13">
        <v>0.0</v>
      </c>
      <c r="M764" s="13" t="s">
        <v>810</v>
      </c>
      <c r="N764" s="14">
        <v>2700.0</v>
      </c>
      <c r="O764" s="4"/>
      <c r="P764" s="4"/>
    </row>
    <row r="765" ht="15.75" hidden="1" customHeight="1">
      <c r="B765" s="8">
        <v>1081.0</v>
      </c>
      <c r="C765" s="9">
        <v>43209.0</v>
      </c>
      <c r="D765" s="6" t="s">
        <v>848</v>
      </c>
      <c r="E765" s="4">
        <v>6.10400045E9</v>
      </c>
      <c r="F765" s="8" t="s">
        <v>807</v>
      </c>
      <c r="G765" s="4" t="s">
        <v>808</v>
      </c>
      <c r="H765" s="10" t="s">
        <v>809</v>
      </c>
      <c r="I765" s="10">
        <v>1.0</v>
      </c>
      <c r="J765" s="11" t="str">
        <f>IF(D765&lt;&gt;"",VLOOKUP(H765,TABLEITEM,5,FALSE),"")</f>
        <v>ท่อ</v>
      </c>
      <c r="K765" s="12">
        <v>2700.0</v>
      </c>
      <c r="L765" s="13">
        <v>0.0</v>
      </c>
      <c r="M765" s="13" t="s">
        <v>810</v>
      </c>
      <c r="N765" s="14">
        <v>2700.0</v>
      </c>
      <c r="O765" s="4"/>
      <c r="P765" s="4"/>
    </row>
    <row r="766" ht="15.75" hidden="1" customHeight="1">
      <c r="B766" s="8">
        <v>1082.0</v>
      </c>
      <c r="C766" s="9">
        <v>43209.0</v>
      </c>
      <c r="D766" s="6" t="s">
        <v>848</v>
      </c>
      <c r="E766" s="4">
        <v>6.10400045E9</v>
      </c>
      <c r="F766" s="8" t="s">
        <v>807</v>
      </c>
      <c r="G766" s="4" t="s">
        <v>808</v>
      </c>
      <c r="H766" s="18" t="s">
        <v>812</v>
      </c>
      <c r="I766" s="18">
        <v>1.0</v>
      </c>
      <c r="J766" s="11" t="str">
        <f>IF(D766&lt;&gt;"",VLOOKUP(H766,TABLEITEM,5,FALSE),"")</f>
        <v>ท่อ</v>
      </c>
      <c r="K766" s="17">
        <v>2960.0</v>
      </c>
      <c r="L766" s="13">
        <v>0.0</v>
      </c>
      <c r="M766" s="13" t="s">
        <v>813</v>
      </c>
      <c r="N766" s="14">
        <v>2960.0</v>
      </c>
      <c r="O766" s="4"/>
      <c r="P766" s="4"/>
    </row>
    <row r="767" ht="15.75" hidden="1" customHeight="1">
      <c r="B767" s="8">
        <v>1083.0</v>
      </c>
      <c r="C767" s="9">
        <v>43199.0</v>
      </c>
      <c r="D767" s="6" t="s">
        <v>849</v>
      </c>
      <c r="E767" s="4">
        <v>6.104000434E9</v>
      </c>
      <c r="F767" s="8" t="s">
        <v>807</v>
      </c>
      <c r="G767" s="4" t="s">
        <v>808</v>
      </c>
      <c r="H767" s="18" t="s">
        <v>809</v>
      </c>
      <c r="I767" s="18">
        <v>1.0</v>
      </c>
      <c r="J767" s="11" t="str">
        <f>IF(D767&lt;&gt;"",VLOOKUP(H767,TABLEITEM,5,FALSE),"")</f>
        <v>ท่อ</v>
      </c>
      <c r="K767" s="17">
        <v>2700.0</v>
      </c>
      <c r="L767" s="13">
        <v>0.0</v>
      </c>
      <c r="M767" s="13" t="s">
        <v>810</v>
      </c>
      <c r="N767" s="14">
        <v>2700.0</v>
      </c>
      <c r="O767" s="4"/>
      <c r="P767" s="4"/>
    </row>
    <row r="768" ht="15.75" hidden="1" customHeight="1">
      <c r="B768" s="8">
        <v>1084.0</v>
      </c>
      <c r="C768" s="9">
        <v>43195.0</v>
      </c>
      <c r="D768" s="6" t="s">
        <v>850</v>
      </c>
      <c r="E768" s="4">
        <v>6.10400043E9</v>
      </c>
      <c r="F768" s="8" t="s">
        <v>807</v>
      </c>
      <c r="G768" s="4" t="s">
        <v>808</v>
      </c>
      <c r="H768" s="18" t="s">
        <v>809</v>
      </c>
      <c r="I768" s="18">
        <v>1.0</v>
      </c>
      <c r="J768" s="11" t="str">
        <f>IF(D768&lt;&gt;"",VLOOKUP(H768,TABLEITEM,5,FALSE),"")</f>
        <v>ท่อ</v>
      </c>
      <c r="K768" s="17">
        <v>2700.0</v>
      </c>
      <c r="L768" s="13">
        <v>0.0</v>
      </c>
      <c r="M768" s="13" t="s">
        <v>810</v>
      </c>
      <c r="N768" s="14">
        <v>2700.0</v>
      </c>
      <c r="O768" s="4"/>
      <c r="P768" s="4"/>
    </row>
    <row r="769" ht="15.75" hidden="1" customHeight="1">
      <c r="B769" s="8">
        <v>1085.0</v>
      </c>
      <c r="C769" s="9">
        <v>43193.0</v>
      </c>
      <c r="D769" s="6" t="s">
        <v>851</v>
      </c>
      <c r="E769" s="4">
        <v>6.104000416E9</v>
      </c>
      <c r="F769" s="8" t="s">
        <v>807</v>
      </c>
      <c r="G769" s="4" t="s">
        <v>808</v>
      </c>
      <c r="H769" s="18" t="s">
        <v>824</v>
      </c>
      <c r="I769" s="18">
        <v>1.0</v>
      </c>
      <c r="J769" s="11" t="str">
        <f>IF(D769&lt;&gt;"",VLOOKUP(H769,TABLEITEM,5,FALSE),"")</f>
        <v>ท่อ</v>
      </c>
      <c r="K769" s="17">
        <v>600.0</v>
      </c>
      <c r="L769" s="13">
        <v>0.0</v>
      </c>
      <c r="M769" s="13" t="s">
        <v>825</v>
      </c>
      <c r="N769" s="14">
        <v>600.0</v>
      </c>
      <c r="O769" s="4"/>
      <c r="P769" s="4"/>
    </row>
    <row r="770" ht="15.75" hidden="1" customHeight="1">
      <c r="B770" s="8">
        <v>1086.0</v>
      </c>
      <c r="C770" s="9">
        <v>43251.0</v>
      </c>
      <c r="D770" s="6" t="s">
        <v>852</v>
      </c>
      <c r="E770" s="4">
        <v>6.105000659E9</v>
      </c>
      <c r="F770" s="8" t="s">
        <v>807</v>
      </c>
      <c r="G770" s="4" t="s">
        <v>808</v>
      </c>
      <c r="H770" s="18" t="s">
        <v>809</v>
      </c>
      <c r="I770" s="18">
        <v>1.0</v>
      </c>
      <c r="J770" s="11" t="str">
        <f>IF(D770&lt;&gt;"",VLOOKUP(H770,TABLEITEM,5,FALSE),"")</f>
        <v>ท่อ</v>
      </c>
      <c r="K770" s="17">
        <v>2700.0</v>
      </c>
      <c r="L770" s="13">
        <v>0.0</v>
      </c>
      <c r="M770" s="13" t="s">
        <v>810</v>
      </c>
      <c r="N770" s="14">
        <v>2700.0</v>
      </c>
      <c r="O770" s="4"/>
      <c r="P770" s="4"/>
    </row>
    <row r="771" ht="15.75" hidden="1" customHeight="1">
      <c r="B771" s="8">
        <v>1087.0</v>
      </c>
      <c r="C771" s="9">
        <v>43248.0</v>
      </c>
      <c r="D771" s="6" t="s">
        <v>853</v>
      </c>
      <c r="E771" s="4">
        <v>6.105000646E9</v>
      </c>
      <c r="F771" s="8" t="s">
        <v>807</v>
      </c>
      <c r="G771" s="4" t="s">
        <v>808</v>
      </c>
      <c r="H771" s="18" t="s">
        <v>809</v>
      </c>
      <c r="I771" s="18">
        <v>1.0</v>
      </c>
      <c r="J771" s="11" t="str">
        <f>IF(D771&lt;&gt;"",VLOOKUP(H771,TABLEITEM,5,FALSE),"")</f>
        <v>ท่อ</v>
      </c>
      <c r="K771" s="17">
        <v>2700.0</v>
      </c>
      <c r="L771" s="13">
        <v>0.0</v>
      </c>
      <c r="M771" s="13" t="s">
        <v>810</v>
      </c>
      <c r="N771" s="14">
        <v>2700.0</v>
      </c>
      <c r="O771" s="4"/>
      <c r="P771" s="4"/>
    </row>
    <row r="772" ht="15.75" hidden="1" customHeight="1">
      <c r="B772" s="8">
        <v>1088.0</v>
      </c>
      <c r="C772" s="9">
        <v>43238.0</v>
      </c>
      <c r="D772" s="6" t="s">
        <v>854</v>
      </c>
      <c r="E772" s="4">
        <v>6.105000588E9</v>
      </c>
      <c r="F772" s="8" t="s">
        <v>807</v>
      </c>
      <c r="G772" s="4" t="s">
        <v>808</v>
      </c>
      <c r="H772" s="10" t="s">
        <v>809</v>
      </c>
      <c r="I772" s="10">
        <v>1.0</v>
      </c>
      <c r="J772" s="11" t="str">
        <f>IF(D772&lt;&gt;"",VLOOKUP(H772,TABLEITEM,5,FALSE),"")</f>
        <v>ท่อ</v>
      </c>
      <c r="K772" s="12">
        <v>2700.0</v>
      </c>
      <c r="L772" s="13">
        <v>0.0</v>
      </c>
      <c r="M772" s="13" t="s">
        <v>810</v>
      </c>
      <c r="N772" s="14">
        <v>2700.0</v>
      </c>
      <c r="O772" s="4"/>
      <c r="P772" s="4"/>
    </row>
    <row r="773" ht="15.75" hidden="1" customHeight="1">
      <c r="B773" s="8">
        <v>1089.0</v>
      </c>
      <c r="C773" s="9">
        <v>43238.0</v>
      </c>
      <c r="D773" s="6" t="s">
        <v>855</v>
      </c>
      <c r="E773" s="4">
        <v>6.105000591E9</v>
      </c>
      <c r="F773" s="8" t="s">
        <v>604</v>
      </c>
      <c r="G773" s="4" t="s">
        <v>808</v>
      </c>
      <c r="H773" s="10" t="s">
        <v>818</v>
      </c>
      <c r="I773" s="10">
        <v>9.0</v>
      </c>
      <c r="J773" s="11" t="str">
        <f>IF(D773&lt;&gt;"",VLOOKUP(H773,TABLEITEM,5,FALSE),"")</f>
        <v>ท่อ</v>
      </c>
      <c r="K773" s="12">
        <v>300.0</v>
      </c>
      <c r="L773" s="13">
        <v>0.0</v>
      </c>
      <c r="M773" s="13" t="s">
        <v>819</v>
      </c>
      <c r="N773" s="14">
        <v>2700.0</v>
      </c>
      <c r="O773" s="4"/>
      <c r="P773" s="4"/>
    </row>
    <row r="774" ht="15.75" hidden="1" customHeight="1">
      <c r="B774" s="8">
        <v>1090.0</v>
      </c>
      <c r="C774" s="9">
        <v>43238.0</v>
      </c>
      <c r="D774" s="6" t="s">
        <v>855</v>
      </c>
      <c r="E774" s="4">
        <v>6.105000591E9</v>
      </c>
      <c r="F774" s="8" t="s">
        <v>604</v>
      </c>
      <c r="G774" s="4" t="s">
        <v>808</v>
      </c>
      <c r="H774" s="18" t="s">
        <v>816</v>
      </c>
      <c r="I774" s="18">
        <v>3.0</v>
      </c>
      <c r="J774" s="11" t="str">
        <f>IF(D774&lt;&gt;"",VLOOKUP(H774,TABLEITEM,5,FALSE),"")</f>
        <v>ท่อ</v>
      </c>
      <c r="K774" s="17">
        <v>600.0</v>
      </c>
      <c r="L774" s="13">
        <v>0.0</v>
      </c>
      <c r="M774" s="13" t="s">
        <v>817</v>
      </c>
      <c r="N774" s="14">
        <v>1800.0</v>
      </c>
      <c r="O774" s="4"/>
      <c r="P774" s="4"/>
    </row>
    <row r="775" ht="15.75" hidden="1" customHeight="1">
      <c r="B775" s="8">
        <v>1091.0</v>
      </c>
      <c r="C775" s="9">
        <v>43232.0</v>
      </c>
      <c r="D775" s="6" t="s">
        <v>856</v>
      </c>
      <c r="E775" s="4">
        <v>6.105000563E9</v>
      </c>
      <c r="F775" s="8" t="s">
        <v>807</v>
      </c>
      <c r="G775" s="4" t="s">
        <v>808</v>
      </c>
      <c r="H775" s="18" t="s">
        <v>809</v>
      </c>
      <c r="I775" s="18">
        <v>1.0</v>
      </c>
      <c r="J775" s="11" t="str">
        <f>IF(D775&lt;&gt;"",VLOOKUP(H775,TABLEITEM,5,FALSE),"")</f>
        <v>ท่อ</v>
      </c>
      <c r="K775" s="17">
        <v>2700.0</v>
      </c>
      <c r="L775" s="13">
        <v>0.0</v>
      </c>
      <c r="M775" s="13" t="s">
        <v>810</v>
      </c>
      <c r="N775" s="14">
        <v>2700.0</v>
      </c>
      <c r="O775" s="4"/>
      <c r="P775" s="4"/>
    </row>
    <row r="776" ht="15.75" hidden="1" customHeight="1">
      <c r="B776" s="8">
        <v>1092.0</v>
      </c>
      <c r="C776" s="9">
        <v>43231.0</v>
      </c>
      <c r="D776" s="6" t="s">
        <v>857</v>
      </c>
      <c r="E776" s="4">
        <v>6.105000563E9</v>
      </c>
      <c r="F776" s="8" t="s">
        <v>807</v>
      </c>
      <c r="G776" s="4" t="s">
        <v>808</v>
      </c>
      <c r="H776" s="18" t="s">
        <v>809</v>
      </c>
      <c r="I776" s="18">
        <v>1.0</v>
      </c>
      <c r="J776" s="11" t="str">
        <f>IF(D776&lt;&gt;"",VLOOKUP(H776,TABLEITEM,5,FALSE),"")</f>
        <v>ท่อ</v>
      </c>
      <c r="K776" s="17">
        <v>2700.0</v>
      </c>
      <c r="L776" s="13">
        <v>0.0</v>
      </c>
      <c r="M776" s="13" t="s">
        <v>810</v>
      </c>
      <c r="N776" s="14">
        <v>2700.0</v>
      </c>
      <c r="O776" s="4"/>
      <c r="P776" s="4"/>
    </row>
    <row r="777" ht="15.75" hidden="1" customHeight="1">
      <c r="B777" s="8">
        <v>1093.0</v>
      </c>
      <c r="C777" s="9">
        <v>43230.0</v>
      </c>
      <c r="D777" s="6" t="s">
        <v>858</v>
      </c>
      <c r="E777" s="4">
        <v>6.105000553E9</v>
      </c>
      <c r="F777" s="8" t="s">
        <v>807</v>
      </c>
      <c r="G777" s="4" t="s">
        <v>808</v>
      </c>
      <c r="H777" s="18" t="s">
        <v>809</v>
      </c>
      <c r="I777" s="18">
        <v>1.0</v>
      </c>
      <c r="J777" s="11" t="str">
        <f>IF(D777&lt;&gt;"",VLOOKUP(H777,TABLEITEM,5,FALSE),"")</f>
        <v>ท่อ</v>
      </c>
      <c r="K777" s="17">
        <v>2700.0</v>
      </c>
      <c r="L777" s="13">
        <v>0.0</v>
      </c>
      <c r="M777" s="13" t="s">
        <v>810</v>
      </c>
      <c r="N777" s="14">
        <v>2700.0</v>
      </c>
      <c r="O777" s="4"/>
      <c r="P777" s="4"/>
    </row>
    <row r="778" ht="15.75" hidden="1" customHeight="1">
      <c r="B778" s="8">
        <v>1094.0</v>
      </c>
      <c r="C778" s="9">
        <v>43229.0</v>
      </c>
      <c r="D778" s="6" t="s">
        <v>859</v>
      </c>
      <c r="E778" s="4">
        <v>6.105000544E9</v>
      </c>
      <c r="F778" s="8" t="s">
        <v>807</v>
      </c>
      <c r="G778" s="4" t="s">
        <v>808</v>
      </c>
      <c r="H778" s="10" t="s">
        <v>809</v>
      </c>
      <c r="I778" s="10">
        <v>1.0</v>
      </c>
      <c r="J778" s="11" t="str">
        <f>IF(D778&lt;&gt;"",VLOOKUP(H778,TABLEITEM,5,FALSE),"")</f>
        <v>ท่อ</v>
      </c>
      <c r="K778" s="12">
        <v>2700.0</v>
      </c>
      <c r="L778" s="13">
        <v>0.0</v>
      </c>
      <c r="M778" s="13" t="s">
        <v>810</v>
      </c>
      <c r="N778" s="14">
        <v>2700.0</v>
      </c>
      <c r="O778" s="4"/>
      <c r="P778" s="4"/>
    </row>
    <row r="779" ht="15.75" hidden="1" customHeight="1">
      <c r="B779" s="8">
        <v>1095.0</v>
      </c>
      <c r="C779" s="9">
        <v>43229.0</v>
      </c>
      <c r="D779" s="6" t="s">
        <v>859</v>
      </c>
      <c r="E779" s="4">
        <v>6.105000544E9</v>
      </c>
      <c r="F779" s="8" t="s">
        <v>823</v>
      </c>
      <c r="G779" s="4" t="s">
        <v>808</v>
      </c>
      <c r="H779" s="18" t="s">
        <v>824</v>
      </c>
      <c r="I779" s="18">
        <v>2.0</v>
      </c>
      <c r="J779" s="11" t="str">
        <f>IF(D779&lt;&gt;"",VLOOKUP(H779,TABLEITEM,5,FALSE),"")</f>
        <v>ท่อ</v>
      </c>
      <c r="K779" s="17">
        <v>600.0</v>
      </c>
      <c r="L779" s="13">
        <v>0.0</v>
      </c>
      <c r="M779" s="13" t="s">
        <v>825</v>
      </c>
      <c r="N779" s="14">
        <v>1200.0</v>
      </c>
      <c r="O779" s="4"/>
      <c r="P779" s="4"/>
    </row>
    <row r="780" ht="15.75" hidden="1" customHeight="1">
      <c r="B780" s="8">
        <v>1096.0</v>
      </c>
      <c r="C780" s="9">
        <v>43224.0</v>
      </c>
      <c r="D780" s="6" t="s">
        <v>860</v>
      </c>
      <c r="E780" s="4">
        <v>6.105000541E9</v>
      </c>
      <c r="F780" s="8" t="s">
        <v>807</v>
      </c>
      <c r="G780" s="4" t="s">
        <v>808</v>
      </c>
      <c r="H780" s="18" t="s">
        <v>809</v>
      </c>
      <c r="I780" s="18">
        <v>1.0</v>
      </c>
      <c r="J780" s="11" t="str">
        <f>IF(D780&lt;&gt;"",VLOOKUP(H780,TABLEITEM,5,FALSE),"")</f>
        <v>ท่อ</v>
      </c>
      <c r="K780" s="17">
        <v>2700.0</v>
      </c>
      <c r="L780" s="13">
        <v>0.0</v>
      </c>
      <c r="M780" s="13" t="s">
        <v>810</v>
      </c>
      <c r="N780" s="14">
        <v>2700.0</v>
      </c>
      <c r="O780" s="4"/>
      <c r="P780" s="4"/>
    </row>
    <row r="781" ht="15.75" hidden="1" customHeight="1">
      <c r="B781" s="8">
        <v>1097.0</v>
      </c>
      <c r="C781" s="9">
        <v>43278.0</v>
      </c>
      <c r="D781" s="6" t="s">
        <v>861</v>
      </c>
      <c r="E781" s="4">
        <v>6.106000779E9</v>
      </c>
      <c r="F781" s="8" t="s">
        <v>604</v>
      </c>
      <c r="G781" s="4" t="s">
        <v>808</v>
      </c>
      <c r="H781" s="10" t="s">
        <v>816</v>
      </c>
      <c r="I781" s="10">
        <v>6.0</v>
      </c>
      <c r="J781" s="11" t="str">
        <f>IF(D781&lt;&gt;"",VLOOKUP(H781,TABLEITEM,5,FALSE),"")</f>
        <v>ท่อ</v>
      </c>
      <c r="K781" s="12">
        <v>600.0</v>
      </c>
      <c r="L781" s="13">
        <v>0.0</v>
      </c>
      <c r="M781" s="13" t="s">
        <v>817</v>
      </c>
      <c r="N781" s="14">
        <v>3600.0</v>
      </c>
      <c r="O781" s="4"/>
      <c r="P781" s="4"/>
    </row>
    <row r="782" ht="15.75" hidden="1" customHeight="1">
      <c r="B782" s="8">
        <v>1098.0</v>
      </c>
      <c r="C782" s="9">
        <v>43278.0</v>
      </c>
      <c r="D782" s="6" t="s">
        <v>861</v>
      </c>
      <c r="E782" s="4">
        <v>6.106000779E9</v>
      </c>
      <c r="F782" s="8" t="s">
        <v>604</v>
      </c>
      <c r="G782" s="4" t="s">
        <v>808</v>
      </c>
      <c r="H782" s="18" t="s">
        <v>818</v>
      </c>
      <c r="I782" s="18">
        <v>12.0</v>
      </c>
      <c r="J782" s="11" t="str">
        <f>IF(D782&lt;&gt;"",VLOOKUP(H782,TABLEITEM,5,FALSE),"")</f>
        <v>ท่อ</v>
      </c>
      <c r="K782" s="17">
        <v>300.0</v>
      </c>
      <c r="L782" s="13">
        <v>0.0</v>
      </c>
      <c r="M782" s="13" t="s">
        <v>819</v>
      </c>
      <c r="N782" s="14">
        <v>3600.0</v>
      </c>
      <c r="O782" s="4"/>
      <c r="P782" s="4"/>
    </row>
    <row r="783" ht="15.75" hidden="1" customHeight="1">
      <c r="B783" s="8">
        <v>1099.0</v>
      </c>
      <c r="C783" s="9">
        <v>43273.0</v>
      </c>
      <c r="D783" s="6" t="s">
        <v>862</v>
      </c>
      <c r="E783" s="4">
        <v>6.106000764E9</v>
      </c>
      <c r="F783" s="8" t="s">
        <v>807</v>
      </c>
      <c r="G783" s="4" t="s">
        <v>808</v>
      </c>
      <c r="H783" s="18" t="s">
        <v>809</v>
      </c>
      <c r="I783" s="18">
        <v>1.0</v>
      </c>
      <c r="J783" s="11" t="str">
        <f>IF(D783&lt;&gt;"",VLOOKUP(H783,TABLEITEM,5,FALSE),"")</f>
        <v>ท่อ</v>
      </c>
      <c r="K783" s="17">
        <v>2700.0</v>
      </c>
      <c r="L783" s="13">
        <v>0.0</v>
      </c>
      <c r="M783" s="13" t="s">
        <v>810</v>
      </c>
      <c r="N783" s="14">
        <v>2700.0</v>
      </c>
      <c r="O783" s="4"/>
      <c r="P783" s="4"/>
    </row>
    <row r="784" ht="15.75" hidden="1" customHeight="1">
      <c r="B784" s="8">
        <v>1100.0</v>
      </c>
      <c r="C784" s="9">
        <v>43118.0</v>
      </c>
      <c r="D784" s="6" t="s">
        <v>863</v>
      </c>
      <c r="E784" s="4"/>
      <c r="F784" s="8" t="s">
        <v>801</v>
      </c>
      <c r="G784" s="4" t="s">
        <v>802</v>
      </c>
      <c r="H784" s="10" t="s">
        <v>803</v>
      </c>
      <c r="I784" s="18">
        <v>20.0</v>
      </c>
      <c r="J784" s="11" t="str">
        <f>IF(D784&lt;&gt;"",VLOOKUP(H784,TABLEITEM,5,FALSE),"")</f>
        <v>ถัง</v>
      </c>
      <c r="K784" s="17">
        <v>1121.5</v>
      </c>
      <c r="L784" s="13">
        <v>0.0</v>
      </c>
      <c r="M784" s="13" t="s">
        <v>864</v>
      </c>
      <c r="N784" s="14">
        <v>22430.0</v>
      </c>
      <c r="O784" s="4"/>
      <c r="P784" s="4"/>
    </row>
    <row r="785" ht="15.75" hidden="1" customHeight="1">
      <c r="B785" s="8">
        <v>1101.0</v>
      </c>
      <c r="C785" s="9">
        <v>43106.0</v>
      </c>
      <c r="D785" s="6" t="s">
        <v>865</v>
      </c>
      <c r="E785" s="4"/>
      <c r="F785" s="8" t="s">
        <v>801</v>
      </c>
      <c r="G785" s="4" t="s">
        <v>802</v>
      </c>
      <c r="H785" s="10" t="s">
        <v>803</v>
      </c>
      <c r="I785" s="18">
        <v>15.0</v>
      </c>
      <c r="J785" s="11" t="str">
        <f>IF(D785&lt;&gt;"",VLOOKUP(H785,TABLEITEM,5,FALSE),"")</f>
        <v>ถัง</v>
      </c>
      <c r="K785" s="17">
        <v>1121.5</v>
      </c>
      <c r="L785" s="13">
        <v>0.0</v>
      </c>
      <c r="M785" s="13" t="s">
        <v>864</v>
      </c>
      <c r="N785" s="14">
        <v>16822.5</v>
      </c>
      <c r="O785" s="4"/>
      <c r="P785" s="4"/>
    </row>
    <row r="786" ht="15.75" hidden="1" customHeight="1">
      <c r="B786" s="8">
        <v>1102.0</v>
      </c>
      <c r="C786" s="9">
        <v>43094.0</v>
      </c>
      <c r="D786" s="6" t="s">
        <v>866</v>
      </c>
      <c r="E786" s="4"/>
      <c r="F786" s="8" t="s">
        <v>801</v>
      </c>
      <c r="G786" s="4" t="s">
        <v>802</v>
      </c>
      <c r="H786" s="10" t="s">
        <v>803</v>
      </c>
      <c r="I786" s="10">
        <v>15.0</v>
      </c>
      <c r="J786" s="11" t="str">
        <f>IF(D786&lt;&gt;"",VLOOKUP(H786,TABLEITEM,5,FALSE),"")</f>
        <v>ถัง</v>
      </c>
      <c r="K786" s="12">
        <v>1098.13</v>
      </c>
      <c r="L786" s="13">
        <v>0.0</v>
      </c>
      <c r="M786" s="13" t="s">
        <v>864</v>
      </c>
      <c r="N786" s="14">
        <v>16471.95</v>
      </c>
      <c r="O786" s="4"/>
      <c r="P786" s="4"/>
    </row>
    <row r="787" ht="15.75" hidden="1" customHeight="1">
      <c r="B787" s="8">
        <v>1103.0</v>
      </c>
      <c r="C787" s="9">
        <v>43159.0</v>
      </c>
      <c r="D787" s="6" t="s">
        <v>867</v>
      </c>
      <c r="E787" s="4"/>
      <c r="F787" s="8" t="s">
        <v>801</v>
      </c>
      <c r="G787" s="4" t="s">
        <v>802</v>
      </c>
      <c r="H787" s="10" t="s">
        <v>803</v>
      </c>
      <c r="I787" s="18">
        <v>15.0</v>
      </c>
      <c r="J787" s="11" t="str">
        <f>IF(D787&lt;&gt;"",VLOOKUP(H787,TABLEITEM,5,FALSE),"")</f>
        <v>ถัง</v>
      </c>
      <c r="K787" s="17">
        <v>1121.5</v>
      </c>
      <c r="L787" s="13">
        <v>0.0</v>
      </c>
      <c r="M787" s="13" t="s">
        <v>864</v>
      </c>
      <c r="N787" s="14">
        <v>16822.5</v>
      </c>
      <c r="O787" s="4"/>
      <c r="P787" s="4"/>
    </row>
    <row r="788" ht="15.75" hidden="1" customHeight="1">
      <c r="B788" s="8">
        <v>1104.0</v>
      </c>
      <c r="C788" s="9">
        <v>43143.0</v>
      </c>
      <c r="D788" s="6" t="s">
        <v>868</v>
      </c>
      <c r="E788" s="4"/>
      <c r="F788" s="8" t="s">
        <v>801</v>
      </c>
      <c r="G788" s="4" t="s">
        <v>802</v>
      </c>
      <c r="H788" s="10" t="s">
        <v>803</v>
      </c>
      <c r="I788" s="18">
        <v>19.0</v>
      </c>
      <c r="J788" s="11" t="str">
        <f>IF(D788&lt;&gt;"",VLOOKUP(H788,TABLEITEM,5,FALSE),"")</f>
        <v>ถัง</v>
      </c>
      <c r="K788" s="17">
        <v>1121.5</v>
      </c>
      <c r="L788" s="13">
        <v>0.0</v>
      </c>
      <c r="M788" s="13" t="s">
        <v>864</v>
      </c>
      <c r="N788" s="14">
        <v>21308.5</v>
      </c>
      <c r="O788" s="4"/>
      <c r="P788" s="4"/>
    </row>
    <row r="789" ht="15.75" hidden="1" customHeight="1">
      <c r="B789" s="8">
        <v>1105.0</v>
      </c>
      <c r="C789" s="9">
        <v>43133.0</v>
      </c>
      <c r="D789" s="6" t="s">
        <v>869</v>
      </c>
      <c r="E789" s="4"/>
      <c r="F789" s="8" t="s">
        <v>801</v>
      </c>
      <c r="G789" s="4" t="s">
        <v>802</v>
      </c>
      <c r="H789" s="10" t="s">
        <v>803</v>
      </c>
      <c r="I789" s="18">
        <v>15.0</v>
      </c>
      <c r="J789" s="11" t="str">
        <f>IF(D789&lt;&gt;"",VLOOKUP(H789,TABLEITEM,5,FALSE),"")</f>
        <v>ถัง</v>
      </c>
      <c r="K789" s="17">
        <v>1121.5</v>
      </c>
      <c r="L789" s="13">
        <v>0.0</v>
      </c>
      <c r="M789" s="13" t="s">
        <v>864</v>
      </c>
      <c r="N789" s="14">
        <v>16822.5</v>
      </c>
      <c r="O789" s="4"/>
      <c r="P789" s="4"/>
    </row>
    <row r="790" ht="15.75" hidden="1" customHeight="1">
      <c r="B790" s="8">
        <v>1106.0</v>
      </c>
      <c r="C790" s="9">
        <v>43186.0</v>
      </c>
      <c r="D790" s="6" t="s">
        <v>870</v>
      </c>
      <c r="E790" s="4"/>
      <c r="F790" s="8" t="s">
        <v>801</v>
      </c>
      <c r="G790" s="4" t="s">
        <v>802</v>
      </c>
      <c r="H790" s="10" t="s">
        <v>803</v>
      </c>
      <c r="I790" s="18">
        <v>15.0</v>
      </c>
      <c r="J790" s="11" t="str">
        <f>IF(D790&lt;&gt;"",VLOOKUP(H790,TABLEITEM,5,FALSE),"")</f>
        <v>ถัง</v>
      </c>
      <c r="K790" s="17">
        <v>1121.5</v>
      </c>
      <c r="L790" s="13">
        <v>0.0</v>
      </c>
      <c r="M790" s="13" t="s">
        <v>864</v>
      </c>
      <c r="N790" s="14">
        <v>16822.5</v>
      </c>
      <c r="O790" s="4"/>
      <c r="P790" s="4"/>
    </row>
    <row r="791" ht="15.75" hidden="1" customHeight="1">
      <c r="B791" s="8">
        <v>1107.0</v>
      </c>
      <c r="C791" s="9">
        <v>43174.0</v>
      </c>
      <c r="D791" s="6" t="s">
        <v>871</v>
      </c>
      <c r="E791" s="4"/>
      <c r="F791" s="8" t="s">
        <v>801</v>
      </c>
      <c r="G791" s="4" t="s">
        <v>802</v>
      </c>
      <c r="H791" s="10" t="s">
        <v>803</v>
      </c>
      <c r="I791" s="18">
        <v>20.0</v>
      </c>
      <c r="J791" s="11" t="str">
        <f>IF(D791&lt;&gt;"",VLOOKUP(H791,TABLEITEM,5,FALSE),"")</f>
        <v>ถัง</v>
      </c>
      <c r="K791" s="17">
        <v>1121.5</v>
      </c>
      <c r="L791" s="13">
        <v>0.0</v>
      </c>
      <c r="M791" s="13" t="s">
        <v>864</v>
      </c>
      <c r="N791" s="14">
        <v>22430.0</v>
      </c>
      <c r="O791" s="4"/>
      <c r="P791" s="4"/>
    </row>
    <row r="792" ht="15.75" hidden="1" customHeight="1">
      <c r="B792" s="8">
        <v>1108.0</v>
      </c>
      <c r="C792" s="9">
        <v>43215.0</v>
      </c>
      <c r="D792" s="6" t="s">
        <v>872</v>
      </c>
      <c r="E792" s="4">
        <v>6.104000501E9</v>
      </c>
      <c r="F792" s="8" t="s">
        <v>801</v>
      </c>
      <c r="G792" s="4" t="s">
        <v>802</v>
      </c>
      <c r="H792" s="10" t="s">
        <v>803</v>
      </c>
      <c r="I792" s="18">
        <v>20.0</v>
      </c>
      <c r="J792" s="11" t="str">
        <f>IF(D792&lt;&gt;"",VLOOKUP(H792,TABLEITEM,5,FALSE),"")</f>
        <v>ถัง</v>
      </c>
      <c r="K792" s="17">
        <v>1121.5</v>
      </c>
      <c r="L792" s="13">
        <v>0.0</v>
      </c>
      <c r="M792" s="13" t="s">
        <v>864</v>
      </c>
      <c r="N792" s="14">
        <v>22430.0</v>
      </c>
      <c r="O792" s="4"/>
      <c r="P792" s="4"/>
    </row>
    <row r="793" ht="15.75" hidden="1" customHeight="1">
      <c r="B793" s="8">
        <v>1109.0</v>
      </c>
      <c r="C793" s="9">
        <v>43200.0</v>
      </c>
      <c r="D793" s="6" t="s">
        <v>873</v>
      </c>
      <c r="E793" s="4"/>
      <c r="F793" s="8" t="s">
        <v>801</v>
      </c>
      <c r="G793" s="4" t="s">
        <v>802</v>
      </c>
      <c r="H793" s="10" t="s">
        <v>803</v>
      </c>
      <c r="I793" s="18">
        <v>15.0</v>
      </c>
      <c r="J793" s="11" t="str">
        <f>IF(D793&lt;&gt;"",VLOOKUP(H793,TABLEITEM,5,FALSE),"")</f>
        <v>ถัง</v>
      </c>
      <c r="K793" s="17">
        <v>1121.5</v>
      </c>
      <c r="L793" s="13">
        <v>0.0</v>
      </c>
      <c r="M793" s="13" t="s">
        <v>864</v>
      </c>
      <c r="N793" s="14">
        <v>16822.5</v>
      </c>
      <c r="O793" s="4"/>
      <c r="P793" s="4"/>
    </row>
    <row r="794" ht="15.75" hidden="1" customHeight="1">
      <c r="B794" s="8">
        <v>1110.0</v>
      </c>
      <c r="C794" s="9">
        <v>43237.0</v>
      </c>
      <c r="D794" s="6" t="s">
        <v>874</v>
      </c>
      <c r="E794" s="4"/>
      <c r="F794" s="8" t="s">
        <v>801</v>
      </c>
      <c r="G794" s="4" t="s">
        <v>802</v>
      </c>
      <c r="H794" s="10" t="s">
        <v>803</v>
      </c>
      <c r="I794" s="18">
        <v>20.0</v>
      </c>
      <c r="J794" s="11" t="str">
        <f>IF(D794&lt;&gt;"",VLOOKUP(H794,TABLEITEM,5,FALSE),"")</f>
        <v>ถัง</v>
      </c>
      <c r="K794" s="17">
        <v>1121.5</v>
      </c>
      <c r="L794" s="13">
        <v>0.0</v>
      </c>
      <c r="M794" s="13" t="s">
        <v>864</v>
      </c>
      <c r="N794" s="14">
        <v>22430.0</v>
      </c>
      <c r="O794" s="4"/>
      <c r="P794" s="4"/>
    </row>
    <row r="795" ht="15.75" hidden="1" customHeight="1">
      <c r="B795" s="8">
        <v>1111.0</v>
      </c>
      <c r="C795" s="9">
        <v>43224.0</v>
      </c>
      <c r="D795" s="6" t="s">
        <v>875</v>
      </c>
      <c r="E795" s="4"/>
      <c r="F795" s="8" t="s">
        <v>801</v>
      </c>
      <c r="G795" s="4" t="s">
        <v>802</v>
      </c>
      <c r="H795" s="10" t="s">
        <v>803</v>
      </c>
      <c r="I795" s="18">
        <v>15.0</v>
      </c>
      <c r="J795" s="11" t="str">
        <f>IF(D795&lt;&gt;"",VLOOKUP(H795,TABLEITEM,5,FALSE),"")</f>
        <v>ถัง</v>
      </c>
      <c r="K795" s="17">
        <v>1121.5</v>
      </c>
      <c r="L795" s="13">
        <v>0.0</v>
      </c>
      <c r="M795" s="13" t="s">
        <v>864</v>
      </c>
      <c r="N795" s="14">
        <v>16822.5</v>
      </c>
      <c r="O795" s="4"/>
      <c r="P795" s="4"/>
    </row>
    <row r="796" ht="15.75" hidden="1" customHeight="1">
      <c r="B796" s="8">
        <v>1112.0</v>
      </c>
      <c r="C796" s="9">
        <v>43273.0</v>
      </c>
      <c r="D796" s="6" t="s">
        <v>876</v>
      </c>
      <c r="E796" s="4">
        <v>6.10600077E9</v>
      </c>
      <c r="F796" s="8" t="s">
        <v>801</v>
      </c>
      <c r="G796" s="4" t="s">
        <v>802</v>
      </c>
      <c r="H796" s="10" t="s">
        <v>803</v>
      </c>
      <c r="I796" s="18">
        <v>15.0</v>
      </c>
      <c r="J796" s="11" t="str">
        <f>IF(D796&lt;&gt;"",VLOOKUP(H796,TABLEITEM,5,FALSE),"")</f>
        <v>ถัง</v>
      </c>
      <c r="K796" s="17">
        <v>1140.19</v>
      </c>
      <c r="L796" s="13">
        <v>0.0</v>
      </c>
      <c r="M796" s="13" t="s">
        <v>864</v>
      </c>
      <c r="N796" s="14">
        <v>17102.850000000002</v>
      </c>
      <c r="O796" s="4"/>
      <c r="P796" s="4"/>
    </row>
    <row r="797" ht="15.75" hidden="1" customHeight="1">
      <c r="B797" s="8">
        <v>1113.0</v>
      </c>
      <c r="C797" s="9">
        <v>43118.0</v>
      </c>
      <c r="D797" s="6" t="s">
        <v>877</v>
      </c>
      <c r="E797" s="4">
        <v>6.101000063E9</v>
      </c>
      <c r="F797" s="8" t="s">
        <v>604</v>
      </c>
      <c r="G797" s="4" t="s">
        <v>798</v>
      </c>
      <c r="H797" s="18" t="s">
        <v>120</v>
      </c>
      <c r="I797" s="18">
        <v>200.0</v>
      </c>
      <c r="J797" s="11" t="str">
        <f>IF(D797&lt;&gt;"",VLOOKUP(H797,TABLEITEM,5,FALSE),"")</f>
        <v>EA</v>
      </c>
      <c r="K797" s="17">
        <v>45.0</v>
      </c>
      <c r="L797" s="13">
        <v>0.0</v>
      </c>
      <c r="M797" s="13" t="s">
        <v>878</v>
      </c>
      <c r="N797" s="14">
        <v>9000.0</v>
      </c>
      <c r="O797" s="4"/>
      <c r="P797" s="4"/>
    </row>
    <row r="798" ht="15.75" hidden="1" customHeight="1">
      <c r="B798" s="8">
        <v>1114.0</v>
      </c>
      <c r="C798" s="9">
        <v>43116.0</v>
      </c>
      <c r="D798" s="6" t="s">
        <v>879</v>
      </c>
      <c r="E798" s="4" t="s">
        <v>880</v>
      </c>
      <c r="F798" s="8" t="s">
        <v>604</v>
      </c>
      <c r="G798" s="4" t="s">
        <v>798</v>
      </c>
      <c r="H798" s="18" t="s">
        <v>116</v>
      </c>
      <c r="I798" s="18">
        <v>1700.0</v>
      </c>
      <c r="J798" s="11" t="str">
        <f>IF(D798&lt;&gt;"",VLOOKUP(H798,TABLEITEM,5,FALSE),"")</f>
        <v>EA</v>
      </c>
      <c r="K798" s="17">
        <v>23.0</v>
      </c>
      <c r="L798" s="13">
        <v>0.0</v>
      </c>
      <c r="M798" s="13" t="s">
        <v>881</v>
      </c>
      <c r="N798" s="14">
        <v>39100.0</v>
      </c>
      <c r="O798" s="4"/>
      <c r="P798" s="4"/>
    </row>
    <row r="799" ht="15.75" hidden="1" customHeight="1">
      <c r="B799" s="8">
        <v>1115.0</v>
      </c>
      <c r="C799" s="9">
        <v>43132.0</v>
      </c>
      <c r="D799" s="6" t="s">
        <v>882</v>
      </c>
      <c r="E799" s="4">
        <v>6.101000119E9</v>
      </c>
      <c r="F799" s="8" t="s">
        <v>604</v>
      </c>
      <c r="G799" s="4" t="s">
        <v>798</v>
      </c>
      <c r="H799" s="10" t="s">
        <v>883</v>
      </c>
      <c r="I799" s="10">
        <v>100.0</v>
      </c>
      <c r="J799" s="11" t="str">
        <f>IF(D799&lt;&gt;"",VLOOKUP(H799,TABLEITEM,5,FALSE),"")</f>
        <v>EA</v>
      </c>
      <c r="K799" s="12">
        <v>10.0</v>
      </c>
      <c r="L799" s="13">
        <v>0.0</v>
      </c>
      <c r="M799" s="13" t="s">
        <v>884</v>
      </c>
      <c r="N799" s="14">
        <v>1000.0</v>
      </c>
      <c r="O799" s="4"/>
      <c r="P799" s="4"/>
    </row>
    <row r="800" ht="15.75" hidden="1" customHeight="1">
      <c r="B800" s="8">
        <v>1116.0</v>
      </c>
      <c r="C800" s="9">
        <v>43132.0</v>
      </c>
      <c r="D800" s="6" t="s">
        <v>885</v>
      </c>
      <c r="E800" s="4" t="s">
        <v>886</v>
      </c>
      <c r="F800" s="8" t="s">
        <v>604</v>
      </c>
      <c r="G800" s="4" t="s">
        <v>798</v>
      </c>
      <c r="H800" s="18" t="s">
        <v>116</v>
      </c>
      <c r="I800" s="18">
        <v>300.0</v>
      </c>
      <c r="J800" s="11" t="str">
        <f>IF(D800&lt;&gt;"",VLOOKUP(H800,TABLEITEM,5,FALSE),"")</f>
        <v>EA</v>
      </c>
      <c r="K800" s="17">
        <v>23.0</v>
      </c>
      <c r="L800" s="13">
        <v>0.0</v>
      </c>
      <c r="M800" s="13" t="s">
        <v>881</v>
      </c>
      <c r="N800" s="14">
        <v>6900.0</v>
      </c>
      <c r="O800" s="4"/>
      <c r="P800" s="4"/>
    </row>
    <row r="801" ht="15.75" hidden="1" customHeight="1">
      <c r="B801" s="8">
        <v>1117.0</v>
      </c>
      <c r="C801" s="9">
        <v>43165.0</v>
      </c>
      <c r="D801" s="6" t="s">
        <v>887</v>
      </c>
      <c r="E801" s="4">
        <v>6.103000279E9</v>
      </c>
      <c r="F801" s="8" t="s">
        <v>604</v>
      </c>
      <c r="G801" s="4" t="s">
        <v>798</v>
      </c>
      <c r="H801" s="18" t="s">
        <v>117</v>
      </c>
      <c r="I801" s="18">
        <v>100.0</v>
      </c>
      <c r="J801" s="11" t="str">
        <f>IF(D801&lt;&gt;"",VLOOKUP(H801,TABLEITEM,5,FALSE),"")</f>
        <v>EA</v>
      </c>
      <c r="K801" s="17">
        <v>30.0</v>
      </c>
      <c r="L801" s="13">
        <v>0.0</v>
      </c>
      <c r="M801" s="13" t="s">
        <v>888</v>
      </c>
      <c r="N801" s="14">
        <v>3000.0</v>
      </c>
      <c r="O801" s="4"/>
      <c r="P801" s="4"/>
    </row>
    <row r="802" ht="15.75" hidden="1" customHeight="1">
      <c r="B802" s="8">
        <v>1118.0</v>
      </c>
      <c r="C802" s="9">
        <v>43246.0</v>
      </c>
      <c r="D802" s="6" t="s">
        <v>889</v>
      </c>
      <c r="E802" s="4">
        <v>6.105000594E9</v>
      </c>
      <c r="F802" s="8" t="s">
        <v>604</v>
      </c>
      <c r="G802" s="4" t="s">
        <v>798</v>
      </c>
      <c r="H802" s="18" t="s">
        <v>116</v>
      </c>
      <c r="I802" s="18">
        <v>1000.0</v>
      </c>
      <c r="J802" s="11" t="str">
        <f>IF(D802&lt;&gt;"",VLOOKUP(H802,TABLEITEM,5,FALSE),"")</f>
        <v>EA</v>
      </c>
      <c r="K802" s="17">
        <v>23.0</v>
      </c>
      <c r="L802" s="13">
        <v>0.0</v>
      </c>
      <c r="M802" s="13" t="s">
        <v>881</v>
      </c>
      <c r="N802" s="14">
        <v>23000.0</v>
      </c>
      <c r="O802" s="4"/>
      <c r="P802" s="4"/>
    </row>
    <row r="803" ht="15.75" hidden="1" customHeight="1">
      <c r="B803" s="8">
        <v>1119.0</v>
      </c>
      <c r="C803" s="9">
        <v>43242.0</v>
      </c>
      <c r="D803" s="6" t="s">
        <v>890</v>
      </c>
      <c r="E803" s="4">
        <v>6.105000578E9</v>
      </c>
      <c r="F803" s="8" t="s">
        <v>604</v>
      </c>
      <c r="G803" s="4" t="s">
        <v>798</v>
      </c>
      <c r="H803" s="18" t="s">
        <v>891</v>
      </c>
      <c r="I803" s="18">
        <v>1000.0</v>
      </c>
      <c r="J803" s="11" t="str">
        <f>IF(D803&lt;&gt;"",VLOOKUP(H803,TABLEITEM,5,FALSE),"")</f>
        <v>EA</v>
      </c>
      <c r="K803" s="17">
        <v>6.0</v>
      </c>
      <c r="L803" s="13">
        <v>0.0</v>
      </c>
      <c r="M803" s="13" t="s">
        <v>892</v>
      </c>
      <c r="N803" s="14">
        <v>6000.0</v>
      </c>
      <c r="O803" s="4"/>
      <c r="P803" s="4"/>
    </row>
    <row r="804" ht="15.75" hidden="1" customHeight="1">
      <c r="B804" s="8">
        <v>1120.0</v>
      </c>
      <c r="C804" s="9">
        <v>43241.0</v>
      </c>
      <c r="D804" s="6" t="s">
        <v>893</v>
      </c>
      <c r="E804" s="4">
        <v>6.105000594E9</v>
      </c>
      <c r="F804" s="8" t="s">
        <v>604</v>
      </c>
      <c r="G804" s="4" t="s">
        <v>798</v>
      </c>
      <c r="H804" s="10" t="s">
        <v>883</v>
      </c>
      <c r="I804" s="10">
        <v>100.0</v>
      </c>
      <c r="J804" s="11" t="str">
        <f>IF(D804&lt;&gt;"",VLOOKUP(H804,TABLEITEM,5,FALSE),"")</f>
        <v>EA</v>
      </c>
      <c r="K804" s="12">
        <v>10.0</v>
      </c>
      <c r="L804" s="13">
        <v>0.0</v>
      </c>
      <c r="M804" s="13" t="s">
        <v>884</v>
      </c>
      <c r="N804" s="14">
        <v>1000.0</v>
      </c>
      <c r="O804" s="4"/>
      <c r="P804" s="4"/>
    </row>
    <row r="805" ht="15.75" hidden="1" customHeight="1">
      <c r="B805" s="8">
        <v>1121.0</v>
      </c>
      <c r="C805" s="9">
        <v>43241.0</v>
      </c>
      <c r="D805" s="6" t="s">
        <v>893</v>
      </c>
      <c r="E805" s="4">
        <v>6.105000594E9</v>
      </c>
      <c r="F805" s="8" t="s">
        <v>604</v>
      </c>
      <c r="G805" s="4" t="s">
        <v>798</v>
      </c>
      <c r="H805" s="18" t="s">
        <v>117</v>
      </c>
      <c r="I805" s="18">
        <v>100.0</v>
      </c>
      <c r="J805" s="11" t="str">
        <f>IF(D805&lt;&gt;"",VLOOKUP(H805,TABLEITEM,5,FALSE),"")</f>
        <v>EA</v>
      </c>
      <c r="K805" s="17">
        <v>30.0</v>
      </c>
      <c r="L805" s="13">
        <v>0.0</v>
      </c>
      <c r="M805" s="13" t="s">
        <v>888</v>
      </c>
      <c r="N805" s="14">
        <v>3000.0</v>
      </c>
      <c r="O805" s="4"/>
      <c r="P805" s="4"/>
    </row>
    <row r="806" ht="15.75" hidden="1" customHeight="1">
      <c r="B806" s="8">
        <v>1122.0</v>
      </c>
      <c r="C806" s="9">
        <v>43225.0</v>
      </c>
      <c r="D806" s="6" t="s">
        <v>894</v>
      </c>
      <c r="E806" s="4">
        <v>6.105000527E9</v>
      </c>
      <c r="F806" s="8" t="s">
        <v>604</v>
      </c>
      <c r="G806" s="4" t="s">
        <v>798</v>
      </c>
      <c r="H806" s="10" t="s">
        <v>121</v>
      </c>
      <c r="I806" s="10">
        <v>100.0</v>
      </c>
      <c r="J806" s="11" t="str">
        <f>IF(D806&lt;&gt;"",VLOOKUP(H806,TABLEITEM,5,FALSE),"")</f>
        <v>EA</v>
      </c>
      <c r="K806" s="12">
        <v>23.0</v>
      </c>
      <c r="L806" s="13">
        <v>0.0</v>
      </c>
      <c r="M806" s="13" t="s">
        <v>895</v>
      </c>
      <c r="N806" s="14">
        <v>2300.0</v>
      </c>
      <c r="O806" s="4"/>
      <c r="P806" s="4"/>
    </row>
    <row r="807" ht="15.75" hidden="1" customHeight="1">
      <c r="B807" s="8">
        <v>1123.0</v>
      </c>
      <c r="C807" s="9">
        <v>43225.0</v>
      </c>
      <c r="D807" s="6" t="s">
        <v>894</v>
      </c>
      <c r="E807" s="4">
        <v>6.105000527E9</v>
      </c>
      <c r="F807" s="8" t="s">
        <v>604</v>
      </c>
      <c r="G807" s="4" t="s">
        <v>798</v>
      </c>
      <c r="H807" s="18" t="s">
        <v>799</v>
      </c>
      <c r="I807" s="18">
        <v>100.0</v>
      </c>
      <c r="J807" s="11" t="str">
        <f>IF(D807&lt;&gt;"",VLOOKUP(H807,TABLEITEM,5,FALSE),"")</f>
        <v>EA</v>
      </c>
      <c r="K807" s="17">
        <v>30.0</v>
      </c>
      <c r="L807" s="13">
        <v>0.0</v>
      </c>
      <c r="M807" s="13" t="s">
        <v>896</v>
      </c>
      <c r="N807" s="14">
        <v>3000.0</v>
      </c>
      <c r="O807" s="4"/>
      <c r="P807" s="4"/>
    </row>
    <row r="808" ht="15.75" hidden="1" customHeight="1">
      <c r="B808" s="8">
        <v>1124.0</v>
      </c>
      <c r="C808" s="9">
        <v>43118.0</v>
      </c>
      <c r="D808" s="6" t="s">
        <v>897</v>
      </c>
      <c r="E808" s="4"/>
      <c r="F808" s="8"/>
      <c r="G808" s="4" t="s">
        <v>898</v>
      </c>
      <c r="H808" s="18" t="s">
        <v>899</v>
      </c>
      <c r="I808" s="18">
        <v>1.0</v>
      </c>
      <c r="J808" s="11" t="str">
        <f>IF(D808&lt;&gt;"",VLOOKUP(H808,TABLEITEM,5,FALSE),"")</f>
        <v>LIT</v>
      </c>
      <c r="K808" s="17">
        <v>380.0</v>
      </c>
      <c r="L808" s="13">
        <v>0.0</v>
      </c>
      <c r="M808" s="13" t="s">
        <v>900</v>
      </c>
      <c r="N808" s="14">
        <v>380.0</v>
      </c>
      <c r="O808" s="4" t="s">
        <v>901</v>
      </c>
      <c r="P808" s="4"/>
    </row>
    <row r="809" ht="15.75" hidden="1" customHeight="1">
      <c r="B809" s="8">
        <v>1125.0</v>
      </c>
      <c r="C809" s="9">
        <v>43108.0</v>
      </c>
      <c r="D809" s="6" t="s">
        <v>902</v>
      </c>
      <c r="E809" s="4"/>
      <c r="F809" s="8" t="s">
        <v>903</v>
      </c>
      <c r="G809" s="4" t="s">
        <v>898</v>
      </c>
      <c r="H809" s="18" t="s">
        <v>899</v>
      </c>
      <c r="I809" s="18">
        <v>1.0</v>
      </c>
      <c r="J809" s="11" t="str">
        <f>IF(D809&lt;&gt;"",VLOOKUP(H809,TABLEITEM,5,FALSE),"")</f>
        <v>LIT</v>
      </c>
      <c r="K809" s="17">
        <v>460.0</v>
      </c>
      <c r="L809" s="13">
        <v>0.0</v>
      </c>
      <c r="M809" s="13" t="s">
        <v>900</v>
      </c>
      <c r="N809" s="14">
        <v>460.0</v>
      </c>
      <c r="O809" s="4" t="s">
        <v>904</v>
      </c>
      <c r="P809" s="4"/>
    </row>
    <row r="810" ht="15.75" hidden="1" customHeight="1">
      <c r="B810" s="8">
        <v>1126.0</v>
      </c>
      <c r="C810" s="9">
        <v>43104.0</v>
      </c>
      <c r="D810" s="6" t="s">
        <v>905</v>
      </c>
      <c r="E810" s="4"/>
      <c r="F810" s="8" t="s">
        <v>906</v>
      </c>
      <c r="G810" s="4" t="s">
        <v>898</v>
      </c>
      <c r="H810" s="10" t="s">
        <v>899</v>
      </c>
      <c r="I810" s="10">
        <v>8.0</v>
      </c>
      <c r="J810" s="11" t="str">
        <f>IF(D810&lt;&gt;"",VLOOKUP(H810,TABLEITEM,5,FALSE),"")</f>
        <v>LIT</v>
      </c>
      <c r="K810" s="12">
        <v>360.0</v>
      </c>
      <c r="L810" s="13">
        <v>0.0</v>
      </c>
      <c r="M810" s="13" t="s">
        <v>900</v>
      </c>
      <c r="N810" s="14">
        <v>2880.0</v>
      </c>
      <c r="O810" s="4" t="s">
        <v>907</v>
      </c>
      <c r="P810" s="4"/>
    </row>
    <row r="811" ht="15.75" hidden="1" customHeight="1">
      <c r="B811" s="8">
        <v>1127.0</v>
      </c>
      <c r="C811" s="9">
        <v>43104.0</v>
      </c>
      <c r="D811" s="6" t="s">
        <v>905</v>
      </c>
      <c r="E811" s="4"/>
      <c r="F811" s="8" t="s">
        <v>908</v>
      </c>
      <c r="G811" s="4" t="s">
        <v>898</v>
      </c>
      <c r="H811" s="10" t="s">
        <v>899</v>
      </c>
      <c r="I811" s="10">
        <v>1.0</v>
      </c>
      <c r="J811" s="11" t="str">
        <f>IF(D811&lt;&gt;"",VLOOKUP(H811,TABLEITEM,5,FALSE),"")</f>
        <v>LIT</v>
      </c>
      <c r="K811" s="12">
        <v>380.0</v>
      </c>
      <c r="L811" s="13">
        <v>0.0</v>
      </c>
      <c r="M811" s="13" t="s">
        <v>900</v>
      </c>
      <c r="N811" s="14">
        <v>380.0</v>
      </c>
      <c r="O811" s="4" t="s">
        <v>909</v>
      </c>
      <c r="P811" s="4"/>
    </row>
    <row r="812" ht="15.75" hidden="1" customHeight="1">
      <c r="B812" s="8">
        <v>1128.0</v>
      </c>
      <c r="C812" s="9">
        <v>43104.0</v>
      </c>
      <c r="D812" s="6" t="s">
        <v>905</v>
      </c>
      <c r="E812" s="4"/>
      <c r="F812" s="8" t="s">
        <v>910</v>
      </c>
      <c r="G812" s="4" t="s">
        <v>898</v>
      </c>
      <c r="H812" s="18" t="s">
        <v>899</v>
      </c>
      <c r="I812" s="18">
        <v>1.0</v>
      </c>
      <c r="J812" s="11" t="str">
        <f>IF(D812&lt;&gt;"",VLOOKUP(H812,TABLEITEM,5,FALSE),"")</f>
        <v>LIT</v>
      </c>
      <c r="K812" s="17">
        <v>460.0</v>
      </c>
      <c r="L812" s="13">
        <v>0.0</v>
      </c>
      <c r="M812" s="13" t="s">
        <v>900</v>
      </c>
      <c r="N812" s="14">
        <v>460.0</v>
      </c>
      <c r="O812" s="4" t="s">
        <v>904</v>
      </c>
      <c r="P812" s="4"/>
    </row>
    <row r="813" ht="15.75" hidden="1" customHeight="1">
      <c r="B813" s="8">
        <v>1129.0</v>
      </c>
      <c r="C813" s="9">
        <v>43154.0</v>
      </c>
      <c r="D813" s="6" t="s">
        <v>911</v>
      </c>
      <c r="E813" s="4"/>
      <c r="F813" s="8" t="s">
        <v>912</v>
      </c>
      <c r="G813" s="4" t="s">
        <v>898</v>
      </c>
      <c r="H813" s="18" t="s">
        <v>899</v>
      </c>
      <c r="I813" s="18">
        <v>1.0</v>
      </c>
      <c r="J813" s="11" t="str">
        <f>IF(D813&lt;&gt;"",VLOOKUP(H813,TABLEITEM,5,FALSE),"")</f>
        <v>LIT</v>
      </c>
      <c r="K813" s="17">
        <v>380.0</v>
      </c>
      <c r="L813" s="13">
        <v>0.0</v>
      </c>
      <c r="M813" s="13" t="s">
        <v>900</v>
      </c>
      <c r="N813" s="14">
        <v>380.0</v>
      </c>
      <c r="O813" s="4" t="s">
        <v>913</v>
      </c>
      <c r="P813" s="4"/>
    </row>
    <row r="814" ht="15.75" hidden="1" customHeight="1">
      <c r="B814" s="8">
        <v>1130.0</v>
      </c>
      <c r="C814" s="9">
        <v>43152.0</v>
      </c>
      <c r="D814" s="6" t="s">
        <v>914</v>
      </c>
      <c r="E814" s="4"/>
      <c r="F814" s="8"/>
      <c r="G814" s="4" t="s">
        <v>898</v>
      </c>
      <c r="H814" s="18" t="s">
        <v>899</v>
      </c>
      <c r="I814" s="18">
        <v>1.0</v>
      </c>
      <c r="J814" s="11" t="str">
        <f>IF(D814&lt;&gt;"",VLOOKUP(H814,TABLEITEM,5,FALSE),"")</f>
        <v>LIT</v>
      </c>
      <c r="K814" s="17">
        <v>380.0</v>
      </c>
      <c r="L814" s="13">
        <v>0.0</v>
      </c>
      <c r="M814" s="13" t="s">
        <v>900</v>
      </c>
      <c r="N814" s="14">
        <v>380.0</v>
      </c>
      <c r="O814" s="4" t="s">
        <v>915</v>
      </c>
      <c r="P814" s="4"/>
    </row>
    <row r="815" ht="15.75" hidden="1" customHeight="1">
      <c r="B815" s="8">
        <v>1131.0</v>
      </c>
      <c r="C815" s="9">
        <v>43186.0</v>
      </c>
      <c r="D815" s="6" t="s">
        <v>916</v>
      </c>
      <c r="E815" s="4"/>
      <c r="F815" s="8" t="s">
        <v>917</v>
      </c>
      <c r="G815" s="4" t="s">
        <v>898</v>
      </c>
      <c r="H815" s="10" t="s">
        <v>899</v>
      </c>
      <c r="I815" s="10">
        <v>12.0</v>
      </c>
      <c r="J815" s="11" t="str">
        <f>IF(D815&lt;&gt;"",VLOOKUP(H815,TABLEITEM,5,FALSE),"")</f>
        <v>LIT</v>
      </c>
      <c r="K815" s="12">
        <v>380.0</v>
      </c>
      <c r="L815" s="13">
        <v>0.0</v>
      </c>
      <c r="M815" s="13" t="s">
        <v>900</v>
      </c>
      <c r="N815" s="14">
        <v>4560.0</v>
      </c>
      <c r="O815" s="4" t="s">
        <v>918</v>
      </c>
      <c r="P815" s="4"/>
    </row>
    <row r="816" ht="15.75" hidden="1" customHeight="1">
      <c r="B816" s="8">
        <v>1132.0</v>
      </c>
      <c r="C816" s="9">
        <v>43185.0</v>
      </c>
      <c r="D816" s="6" t="s">
        <v>919</v>
      </c>
      <c r="E816" s="4"/>
      <c r="F816" s="8" t="s">
        <v>920</v>
      </c>
      <c r="G816" s="4" t="s">
        <v>898</v>
      </c>
      <c r="H816" s="18" t="s">
        <v>899</v>
      </c>
      <c r="I816" s="18">
        <v>1.0</v>
      </c>
      <c r="J816" s="11" t="str">
        <f>IF(D816&lt;&gt;"",VLOOKUP(H816,TABLEITEM,5,FALSE),"")</f>
        <v>LIT</v>
      </c>
      <c r="K816" s="17">
        <v>145.0</v>
      </c>
      <c r="L816" s="13">
        <v>0.0</v>
      </c>
      <c r="M816" s="13" t="s">
        <v>900</v>
      </c>
      <c r="N816" s="14">
        <v>145.0</v>
      </c>
      <c r="O816" s="4" t="s">
        <v>921</v>
      </c>
      <c r="P816" s="4"/>
    </row>
    <row r="817" ht="15.75" hidden="1" customHeight="1">
      <c r="B817" s="8">
        <v>1133.0</v>
      </c>
      <c r="C817" s="9">
        <v>43125.0</v>
      </c>
      <c r="D817" s="6" t="s">
        <v>922</v>
      </c>
      <c r="E817" s="4"/>
      <c r="F817" s="8"/>
      <c r="G817" s="4" t="s">
        <v>898</v>
      </c>
      <c r="H817" s="18" t="s">
        <v>899</v>
      </c>
      <c r="I817" s="18">
        <v>5.0</v>
      </c>
      <c r="J817" s="11" t="str">
        <f>IF(D817&lt;&gt;"",VLOOKUP(H817,TABLEITEM,5,FALSE),"")</f>
        <v>LIT</v>
      </c>
      <c r="K817" s="17">
        <v>360.0</v>
      </c>
      <c r="L817" s="13">
        <v>0.0</v>
      </c>
      <c r="M817" s="13" t="s">
        <v>900</v>
      </c>
      <c r="N817" s="14">
        <v>1800.0</v>
      </c>
      <c r="O817" s="4" t="s">
        <v>923</v>
      </c>
      <c r="P817" s="4"/>
    </row>
    <row r="818" ht="15.75" hidden="1" customHeight="1">
      <c r="B818" s="8">
        <v>1134.0</v>
      </c>
      <c r="C818" s="9">
        <v>43180.0</v>
      </c>
      <c r="D818" s="6" t="s">
        <v>924</v>
      </c>
      <c r="E818" s="4"/>
      <c r="F818" s="8" t="s">
        <v>925</v>
      </c>
      <c r="G818" s="4" t="s">
        <v>898</v>
      </c>
      <c r="H818" s="10" t="s">
        <v>899</v>
      </c>
      <c r="I818" s="10">
        <v>1.0</v>
      </c>
      <c r="J818" s="11" t="str">
        <f>IF(D818&lt;&gt;"",VLOOKUP(H818,TABLEITEM,5,FALSE),"")</f>
        <v>LIT</v>
      </c>
      <c r="K818" s="12">
        <v>400.0</v>
      </c>
      <c r="L818" s="13">
        <v>0.0</v>
      </c>
      <c r="M818" s="13" t="s">
        <v>900</v>
      </c>
      <c r="N818" s="14">
        <v>400.0</v>
      </c>
      <c r="O818" s="4" t="s">
        <v>926</v>
      </c>
      <c r="P818" s="4"/>
    </row>
    <row r="819" ht="15.75" hidden="1" customHeight="1">
      <c r="B819" s="8">
        <v>1135.0</v>
      </c>
      <c r="C819" s="9">
        <v>43180.0</v>
      </c>
      <c r="D819" s="6" t="s">
        <v>924</v>
      </c>
      <c r="E819" s="4"/>
      <c r="F819" s="8" t="s">
        <v>927</v>
      </c>
      <c r="G819" s="4" t="s">
        <v>898</v>
      </c>
      <c r="H819" s="18" t="s">
        <v>899</v>
      </c>
      <c r="I819" s="18">
        <v>5.0</v>
      </c>
      <c r="J819" s="11" t="str">
        <f>IF(D819&lt;&gt;"",VLOOKUP(H819,TABLEITEM,5,FALSE),"")</f>
        <v>LIT</v>
      </c>
      <c r="K819" s="17">
        <v>380.0</v>
      </c>
      <c r="L819" s="13">
        <v>0.0</v>
      </c>
      <c r="M819" s="13" t="s">
        <v>900</v>
      </c>
      <c r="N819" s="14">
        <v>1900.0</v>
      </c>
      <c r="O819" s="4" t="s">
        <v>928</v>
      </c>
      <c r="P819" s="4"/>
    </row>
    <row r="820" ht="15.75" hidden="1" customHeight="1">
      <c r="B820" s="8">
        <v>1136.0</v>
      </c>
      <c r="C820" s="9">
        <v>43167.0</v>
      </c>
      <c r="D820" s="6" t="s">
        <v>929</v>
      </c>
      <c r="E820" s="4"/>
      <c r="F820" s="8"/>
      <c r="G820" s="4" t="s">
        <v>898</v>
      </c>
      <c r="H820" s="18" t="s">
        <v>899</v>
      </c>
      <c r="I820" s="18">
        <v>1.0</v>
      </c>
      <c r="J820" s="11" t="str">
        <f>IF(D820&lt;&gt;"",VLOOKUP(H820,TABLEITEM,5,FALSE),"")</f>
        <v>LIT</v>
      </c>
      <c r="K820" s="17">
        <v>380.0</v>
      </c>
      <c r="L820" s="13">
        <v>0.0</v>
      </c>
      <c r="M820" s="13" t="s">
        <v>900</v>
      </c>
      <c r="N820" s="14">
        <v>380.0</v>
      </c>
      <c r="O820" s="4" t="s">
        <v>930</v>
      </c>
      <c r="P820" s="4"/>
    </row>
    <row r="821" ht="15.75" hidden="1" customHeight="1">
      <c r="B821" s="8">
        <v>1137.0</v>
      </c>
      <c r="C821" s="9">
        <v>43236.0</v>
      </c>
      <c r="D821" s="6" t="s">
        <v>931</v>
      </c>
      <c r="E821" s="4"/>
      <c r="F821" s="8" t="s">
        <v>932</v>
      </c>
      <c r="G821" s="4" t="s">
        <v>898</v>
      </c>
      <c r="H821" s="18" t="s">
        <v>899</v>
      </c>
      <c r="I821" s="18">
        <v>1.0</v>
      </c>
      <c r="J821" s="11" t="str">
        <f>IF(D821&lt;&gt;"",VLOOKUP(H821,TABLEITEM,5,FALSE),"")</f>
        <v>LIT</v>
      </c>
      <c r="K821" s="17">
        <v>380.0</v>
      </c>
      <c r="L821" s="13">
        <v>0.0</v>
      </c>
      <c r="M821" s="13" t="s">
        <v>900</v>
      </c>
      <c r="N821" s="14">
        <v>380.0</v>
      </c>
      <c r="O821" s="4" t="s">
        <v>933</v>
      </c>
      <c r="P821" s="4"/>
    </row>
    <row r="822" ht="15.75" hidden="1" customHeight="1">
      <c r="B822" s="8">
        <v>1138.0</v>
      </c>
      <c r="C822" s="9">
        <v>43270.0</v>
      </c>
      <c r="D822" s="6" t="s">
        <v>934</v>
      </c>
      <c r="E822" s="4"/>
      <c r="F822" s="8" t="s">
        <v>935</v>
      </c>
      <c r="G822" s="4" t="s">
        <v>898</v>
      </c>
      <c r="H822" s="18" t="s">
        <v>899</v>
      </c>
      <c r="I822" s="18">
        <v>1.0</v>
      </c>
      <c r="J822" s="11" t="str">
        <f>IF(D822&lt;&gt;"",VLOOKUP(H822,TABLEITEM,5,FALSE),"")</f>
        <v>LIT</v>
      </c>
      <c r="K822" s="17">
        <v>420.0</v>
      </c>
      <c r="L822" s="13">
        <v>0.0</v>
      </c>
      <c r="M822" s="13" t="s">
        <v>900</v>
      </c>
      <c r="N822" s="14">
        <v>420.0</v>
      </c>
      <c r="O822" s="4" t="s">
        <v>936</v>
      </c>
      <c r="P822" s="4"/>
    </row>
    <row r="823" ht="15.75" hidden="1" customHeight="1">
      <c r="B823" s="8">
        <v>1139.0</v>
      </c>
      <c r="C823" s="9">
        <v>43263.0</v>
      </c>
      <c r="D823" s="6" t="s">
        <v>937</v>
      </c>
      <c r="E823" s="4">
        <v>6.106000723E9</v>
      </c>
      <c r="F823" s="8" t="s">
        <v>807</v>
      </c>
      <c r="G823" s="4" t="s">
        <v>808</v>
      </c>
      <c r="H823" s="18" t="s">
        <v>809</v>
      </c>
      <c r="I823" s="18">
        <v>1.0</v>
      </c>
      <c r="J823" s="11" t="str">
        <f>IF(D823&lt;&gt;"",VLOOKUP(H823,TABLEITEM,5,FALSE),"")</f>
        <v>ท่อ</v>
      </c>
      <c r="K823" s="17">
        <v>2700.0</v>
      </c>
      <c r="L823" s="13" t="str">
        <f>IF(D823&lt;&gt;"",VLOOKUP(H823,TABLEITEM,2,FALSE),"")</f>
        <v/>
      </c>
      <c r="M823" s="13" t="str">
        <f>IF(D823&lt;&gt;"",VLOOKUP(H823,TABLEITEM,3,FALSE),"")</f>
        <v>ไนโตรเจนเหลว ขนาด 100คิว</v>
      </c>
      <c r="N823" s="14">
        <f>INSTOCK!$I823*INSTOCK!$K823</f>
        <v>2700</v>
      </c>
      <c r="O823" s="4"/>
      <c r="P823" s="4"/>
    </row>
    <row r="824" ht="15.75" hidden="1" customHeight="1">
      <c r="B824" s="8">
        <v>1140.0</v>
      </c>
      <c r="C824" s="9">
        <v>43262.0</v>
      </c>
      <c r="D824" s="6" t="s">
        <v>938</v>
      </c>
      <c r="E824" s="4">
        <v>6.10600071E9</v>
      </c>
      <c r="F824" s="8" t="s">
        <v>604</v>
      </c>
      <c r="G824" s="4" t="s">
        <v>737</v>
      </c>
      <c r="H824" s="18" t="s">
        <v>939</v>
      </c>
      <c r="I824" s="18">
        <v>10.0</v>
      </c>
      <c r="J824" s="11" t="str">
        <f>IF(D824&lt;&gt;"",VLOOKUP(H824,TABLEITEM,5,FALSE),"")</f>
        <v>ROLL</v>
      </c>
      <c r="K824" s="17">
        <v>750.0</v>
      </c>
      <c r="L824" s="13" t="str">
        <f>IF(D824&lt;&gt;"",VLOOKUP(H824,TABLEITEM,2,FALSE),"")</f>
        <v/>
      </c>
      <c r="M824" s="13" t="str">
        <f>IF(D824&lt;&gt;"",VLOOKUP(H824,TABLEITEM,3,FALSE),"")</f>
        <v>ลวดเชื่อมco2</v>
      </c>
      <c r="N824" s="14">
        <f>INSTOCK!$I824*INSTOCK!$K824</f>
        <v>7500</v>
      </c>
      <c r="O824" s="4" t="s">
        <v>940</v>
      </c>
      <c r="P824" s="4"/>
    </row>
    <row r="825" ht="15.75" hidden="1" customHeight="1">
      <c r="B825" s="8">
        <v>1141.0</v>
      </c>
      <c r="C825" s="9">
        <v>43262.0</v>
      </c>
      <c r="D825" s="6" t="s">
        <v>941</v>
      </c>
      <c r="E825" s="4">
        <v>6.106000718E9</v>
      </c>
      <c r="F825" s="8" t="s">
        <v>807</v>
      </c>
      <c r="G825" s="4" t="s">
        <v>808</v>
      </c>
      <c r="H825" s="18" t="s">
        <v>812</v>
      </c>
      <c r="I825" s="18">
        <v>1.0</v>
      </c>
      <c r="J825" s="11" t="str">
        <f>IF(D825&lt;&gt;"",VLOOKUP(H825,TABLEITEM,5,FALSE),"")</f>
        <v>ท่อ</v>
      </c>
      <c r="K825" s="17">
        <v>2960.0</v>
      </c>
      <c r="L825" s="13" t="str">
        <f>IF(D825&lt;&gt;"",VLOOKUP(H825,TABLEITEM,2,FALSE),"")</f>
        <v/>
      </c>
      <c r="M825" s="13" t="str">
        <f>IF(D825&lt;&gt;"",VLOOKUP(H825,TABLEITEM,3,FALSE),"")</f>
        <v>ออกซิเจนเหลว ขนาด 148 คิว</v>
      </c>
      <c r="N825" s="14">
        <f>INSTOCK!$I825*INSTOCK!$K825</f>
        <v>2960</v>
      </c>
      <c r="O825" s="4"/>
      <c r="P825" s="4"/>
    </row>
    <row r="826" ht="15.75" hidden="1" customHeight="1">
      <c r="B826" s="8">
        <v>1142.0</v>
      </c>
      <c r="C826" s="9">
        <v>43260.0</v>
      </c>
      <c r="D826" s="6" t="s">
        <v>942</v>
      </c>
      <c r="E826" s="4">
        <v>6.106000706E9</v>
      </c>
      <c r="F826" s="8" t="s">
        <v>604</v>
      </c>
      <c r="G826" s="4" t="s">
        <v>808</v>
      </c>
      <c r="H826" s="18" t="s">
        <v>816</v>
      </c>
      <c r="I826" s="18">
        <v>4.0</v>
      </c>
      <c r="J826" s="11" t="str">
        <f>IF(D826&lt;&gt;"",VLOOKUP(H826,TABLEITEM,5,FALSE),"")</f>
        <v>ท่อ</v>
      </c>
      <c r="K826" s="17">
        <v>600.0</v>
      </c>
      <c r="L826" s="13" t="str">
        <f>IF(D826&lt;&gt;"",VLOOKUP(H826,TABLEITEM,2,FALSE),"")</f>
        <v/>
      </c>
      <c r="M826" s="13" t="str">
        <f>IF(D826&lt;&gt;"",VLOOKUP(H826,TABLEITEM,3,FALSE),"")</f>
        <v>อาร์กอน ขนาด 6คิว</v>
      </c>
      <c r="N826" s="14">
        <f>INSTOCK!$I826*INSTOCK!$K826</f>
        <v>2400</v>
      </c>
      <c r="O826" s="4"/>
      <c r="P826" s="4"/>
    </row>
    <row r="827" ht="15.75" hidden="1" customHeight="1">
      <c r="B827" s="8">
        <v>1143.0</v>
      </c>
      <c r="C827" s="9">
        <v>43260.0</v>
      </c>
      <c r="D827" s="6" t="s">
        <v>942</v>
      </c>
      <c r="E827" s="4">
        <v>6.106000706E9</v>
      </c>
      <c r="F827" s="8" t="s">
        <v>604</v>
      </c>
      <c r="G827" s="4" t="s">
        <v>808</v>
      </c>
      <c r="H827" s="18" t="s">
        <v>818</v>
      </c>
      <c r="I827" s="18">
        <v>10.0</v>
      </c>
      <c r="J827" s="11" t="str">
        <f>IF(D827&lt;&gt;"",VLOOKUP(H827,TABLEITEM,5,FALSE),"")</f>
        <v>ท่อ</v>
      </c>
      <c r="K827" s="17">
        <v>300.0</v>
      </c>
      <c r="L827" s="13" t="str">
        <f>IF(D827&lt;&gt;"",VLOOKUP(H827,TABLEITEM,2,FALSE),"")</f>
        <v/>
      </c>
      <c r="M827" s="13" t="str">
        <f>IF(D827&lt;&gt;"",VLOOKUP(H827,TABLEITEM,3,FALSE),"")</f>
        <v>คาร์บอนไดออกไซด์ ขนาด 25 กก</v>
      </c>
      <c r="N827" s="14">
        <f>INSTOCK!$I827*INSTOCK!$K827</f>
        <v>3000</v>
      </c>
      <c r="O827" s="4"/>
      <c r="P827" s="4"/>
    </row>
    <row r="828" ht="15.75" hidden="1" customHeight="1">
      <c r="B828" s="8">
        <v>1144.0</v>
      </c>
      <c r="C828" s="9">
        <v>43259.0</v>
      </c>
      <c r="D828" s="6" t="s">
        <v>943</v>
      </c>
      <c r="E828" s="4"/>
      <c r="F828" s="8" t="s">
        <v>944</v>
      </c>
      <c r="G828" s="4" t="s">
        <v>898</v>
      </c>
      <c r="H828" s="10" t="s">
        <v>899</v>
      </c>
      <c r="I828" s="10">
        <v>1.0</v>
      </c>
      <c r="J828" s="11" t="str">
        <f>IF(D828&lt;&gt;"",VLOOKUP(H828,TABLEITEM,5,FALSE),"")</f>
        <v>LIT</v>
      </c>
      <c r="K828" s="12">
        <v>380.0</v>
      </c>
      <c r="L828" s="13" t="str">
        <f>IF(D828&lt;&gt;"",VLOOKUP(H828,TABLEITEM,2,FALSE),"")</f>
        <v/>
      </c>
      <c r="M828" s="13" t="str">
        <f>IF(D828&lt;&gt;"",VLOOKUP(H828,TABLEITEM,3,FALSE),"")</f>
        <v>สีพ่นแห้งเร็ว(สีผสม)</v>
      </c>
      <c r="N828" s="14">
        <f>INSTOCK!$I828*INSTOCK!$K828</f>
        <v>380</v>
      </c>
      <c r="O828" s="4" t="s">
        <v>945</v>
      </c>
      <c r="P828" s="4"/>
    </row>
    <row r="829" ht="15.75" hidden="1" customHeight="1">
      <c r="B829" s="8">
        <v>1145.0</v>
      </c>
      <c r="C829" s="9">
        <v>43258.0</v>
      </c>
      <c r="D829" s="6" t="s">
        <v>946</v>
      </c>
      <c r="E829" s="4"/>
      <c r="F829" s="8" t="s">
        <v>947</v>
      </c>
      <c r="G829" s="4" t="s">
        <v>743</v>
      </c>
      <c r="H829" s="18" t="s">
        <v>948</v>
      </c>
      <c r="I829" s="18">
        <v>40.0</v>
      </c>
      <c r="J829" s="11" t="str">
        <f>IF(D829&lt;&gt;"",VLOOKUP(H829,TABLEITEM,5,FALSE),"")</f>
        <v>KG.</v>
      </c>
      <c r="K829" s="17">
        <v>170.98</v>
      </c>
      <c r="L829" s="13" t="str">
        <f>IF(D829&lt;&gt;"",VLOOKUP(H829,TABLEITEM,2,FALSE),"")</f>
        <v/>
      </c>
      <c r="M829" s="13" t="str">
        <f>IF(D829&lt;&gt;"",VLOOKUP(H829,TABLEITEM,3,FALSE),"")</f>
        <v>สีฝุ่น 1016090PX20</v>
      </c>
      <c r="N829" s="14">
        <f>INSTOCK!$I829*INSTOCK!$K829</f>
        <v>6839.2</v>
      </c>
      <c r="O829" s="4"/>
      <c r="P829" s="4"/>
    </row>
    <row r="830" ht="15.75" hidden="1" customHeight="1">
      <c r="B830" s="8">
        <v>1146.0</v>
      </c>
      <c r="C830" s="9">
        <v>43258.0</v>
      </c>
      <c r="D830" s="6" t="s">
        <v>949</v>
      </c>
      <c r="E830" s="4">
        <v>6.106000686E9</v>
      </c>
      <c r="F830" s="8" t="s">
        <v>604</v>
      </c>
      <c r="G830" s="4" t="s">
        <v>950</v>
      </c>
      <c r="H830" s="18" t="s">
        <v>951</v>
      </c>
      <c r="I830" s="18">
        <v>50.0</v>
      </c>
      <c r="J830" s="11" t="str">
        <f>IF(D830&lt;&gt;"",VLOOKUP(H830,TABLEITEM,5,FALSE),"")</f>
        <v>M</v>
      </c>
      <c r="K830" s="17">
        <v>32.0</v>
      </c>
      <c r="L830" s="13" t="str">
        <f>IF(D830&lt;&gt;"",VLOOKUP(H830,TABLEITEM,2,FALSE),"")</f>
        <v/>
      </c>
      <c r="M830" s="13" t="str">
        <f>IF(D830&lt;&gt;"",VLOOKUP(H830,TABLEITEM,3,FALSE),"")</f>
        <v>Heat Shrink G5 # 25   สีแดง</v>
      </c>
      <c r="N830" s="14">
        <f>INSTOCK!$I830*INSTOCK!$K830</f>
        <v>1600</v>
      </c>
      <c r="O830" s="4"/>
      <c r="P830" s="4"/>
    </row>
    <row r="831" ht="15.75" hidden="1" customHeight="1">
      <c r="B831" s="8">
        <v>1147.0</v>
      </c>
      <c r="C831" s="9">
        <v>43258.0</v>
      </c>
      <c r="D831" s="6" t="s">
        <v>949</v>
      </c>
      <c r="E831" s="4">
        <v>6.106000686E9</v>
      </c>
      <c r="F831" s="8" t="s">
        <v>604</v>
      </c>
      <c r="G831" s="4" t="s">
        <v>950</v>
      </c>
      <c r="H831" s="10" t="s">
        <v>952</v>
      </c>
      <c r="I831" s="18">
        <v>50.0</v>
      </c>
      <c r="J831" s="11" t="str">
        <f>IF(D831&lt;&gt;"",VLOOKUP(H831,TABLEITEM,5,FALSE),"")</f>
        <v>M</v>
      </c>
      <c r="K831" s="12">
        <v>32.0</v>
      </c>
      <c r="L831" s="13" t="str">
        <f>IF(D831&lt;&gt;"",VLOOKUP(H831,TABLEITEM,2,FALSE),"")</f>
        <v/>
      </c>
      <c r="M831" s="13" t="str">
        <f>IF(D831&lt;&gt;"",VLOOKUP(H831,TABLEITEM,3,FALSE),"")</f>
        <v>Heat Shrink G5 # 25   สีเหลือง</v>
      </c>
      <c r="N831" s="14">
        <f>INSTOCK!$I831*INSTOCK!$K831</f>
        <v>1600</v>
      </c>
      <c r="O831" s="4"/>
      <c r="P831" s="4"/>
    </row>
    <row r="832" ht="15.75" hidden="1" customHeight="1">
      <c r="B832" s="8">
        <v>1148.0</v>
      </c>
      <c r="C832" s="9">
        <v>43258.0</v>
      </c>
      <c r="D832" s="6" t="s">
        <v>949</v>
      </c>
      <c r="E832" s="4">
        <v>6.106000686E9</v>
      </c>
      <c r="F832" s="8" t="s">
        <v>604</v>
      </c>
      <c r="G832" s="4" t="s">
        <v>950</v>
      </c>
      <c r="H832" s="10" t="s">
        <v>953</v>
      </c>
      <c r="I832" s="18">
        <v>50.0</v>
      </c>
      <c r="J832" s="11" t="str">
        <f>IF(D832&lt;&gt;"",VLOOKUP(H832,TABLEITEM,5,FALSE),"")</f>
        <v>M</v>
      </c>
      <c r="K832" s="12">
        <v>32.0</v>
      </c>
      <c r="L832" s="13" t="str">
        <f>IF(D832&lt;&gt;"",VLOOKUP(H832,TABLEITEM,2,FALSE),"")</f>
        <v/>
      </c>
      <c r="M832" s="13" t="str">
        <f>IF(D832&lt;&gt;"",VLOOKUP(H832,TABLEITEM,3,FALSE),"")</f>
        <v>Heat Shrink G5 # 25   สีน้ำเงิน</v>
      </c>
      <c r="N832" s="14">
        <f>INSTOCK!$I832*INSTOCK!$K832</f>
        <v>1600</v>
      </c>
      <c r="O832" s="4"/>
      <c r="P832" s="4"/>
    </row>
    <row r="833" ht="15.75" hidden="1" customHeight="1">
      <c r="B833" s="8">
        <v>1149.0</v>
      </c>
      <c r="C833" s="9">
        <v>43257.0</v>
      </c>
      <c r="D833" s="6" t="s">
        <v>954</v>
      </c>
      <c r="E833" s="4">
        <v>6.106000685E9</v>
      </c>
      <c r="F833" s="8" t="s">
        <v>604</v>
      </c>
      <c r="G833" s="4" t="s">
        <v>702</v>
      </c>
      <c r="H833" s="18" t="s">
        <v>82</v>
      </c>
      <c r="I833" s="18">
        <v>100.0</v>
      </c>
      <c r="J833" s="11" t="str">
        <f>IF(D833&lt;&gt;"",VLOOKUP(H833,TABLEITEM,5,FALSE),"")</f>
        <v>KG.</v>
      </c>
      <c r="K833" s="17">
        <v>130.0</v>
      </c>
      <c r="L833" s="13" t="str">
        <f>IF(D833&lt;&gt;"",VLOOKUP(H833,TABLEITEM,2,FALSE),"")</f>
        <v/>
      </c>
      <c r="M833" s="13" t="str">
        <f>IF(D833&lt;&gt;"",VLOOKUP(H833,TABLEITEM,3,FALSE),"")</f>
        <v>สีฝุ่น FF 110/908/C สีครีมเหลือง</v>
      </c>
      <c r="N833" s="14">
        <f>INSTOCK!$I833*INSTOCK!$K833</f>
        <v>13000</v>
      </c>
      <c r="O833" s="4"/>
      <c r="P833" s="4"/>
    </row>
    <row r="834" ht="15.75" hidden="1" customHeight="1">
      <c r="B834" s="8">
        <v>1150.0</v>
      </c>
      <c r="C834" s="9">
        <v>43257.0</v>
      </c>
      <c r="D834" s="6" t="s">
        <v>955</v>
      </c>
      <c r="E834" s="4">
        <v>6.106060038E9</v>
      </c>
      <c r="F834" s="8" t="s">
        <v>807</v>
      </c>
      <c r="G834" s="4" t="s">
        <v>808</v>
      </c>
      <c r="H834" s="18" t="s">
        <v>809</v>
      </c>
      <c r="I834" s="18">
        <v>1.0</v>
      </c>
      <c r="J834" s="11" t="str">
        <f>IF(D834&lt;&gt;"",VLOOKUP(H834,TABLEITEM,5,FALSE),"")</f>
        <v>ท่อ</v>
      </c>
      <c r="K834" s="17">
        <v>2700.0</v>
      </c>
      <c r="L834" s="13" t="str">
        <f>IF(D834&lt;&gt;"",VLOOKUP(H834,TABLEITEM,2,FALSE),"")</f>
        <v/>
      </c>
      <c r="M834" s="13" t="str">
        <f>IF(D834&lt;&gt;"",VLOOKUP(H834,TABLEITEM,3,FALSE),"")</f>
        <v>ไนโตรเจนเหลว ขนาด 100คิว</v>
      </c>
      <c r="N834" s="14">
        <f>INSTOCK!$I834*INSTOCK!$K834</f>
        <v>2700</v>
      </c>
      <c r="O834" s="4"/>
      <c r="P834" s="4"/>
    </row>
    <row r="835" ht="15.75" hidden="1" customHeight="1">
      <c r="B835" s="8">
        <v>1151.0</v>
      </c>
      <c r="C835" s="9">
        <v>43257.0</v>
      </c>
      <c r="D835" s="6" t="s">
        <v>956</v>
      </c>
      <c r="E835" s="4">
        <v>6.106000689E9</v>
      </c>
      <c r="F835" s="8" t="s">
        <v>604</v>
      </c>
      <c r="G835" s="4" t="s">
        <v>957</v>
      </c>
      <c r="H835" s="18" t="s">
        <v>119</v>
      </c>
      <c r="I835" s="18">
        <v>200.0</v>
      </c>
      <c r="J835" s="11" t="str">
        <f>IF(D835&lt;&gt;"",VLOOKUP(H835,TABLEITEM,5,FALSE),"")</f>
        <v>EA</v>
      </c>
      <c r="K835" s="17">
        <v>100.0</v>
      </c>
      <c r="L835" s="13" t="str">
        <f>IF(D835&lt;&gt;"",VLOOKUP(H835,TABLEITEM,2,FALSE),"")</f>
        <v/>
      </c>
      <c r="M835" s="13" t="str">
        <f>IF(D835&lt;&gt;"",VLOOKUP(H835,TABLEITEM,3,FALSE),"")</f>
        <v>กุญแจเขาควายกันน้ำMS-306-2-1</v>
      </c>
      <c r="N835" s="14">
        <f>INSTOCK!$I835*INSTOCK!$K835</f>
        <v>20000</v>
      </c>
      <c r="O835" s="4"/>
      <c r="P835" s="4"/>
    </row>
    <row r="836" ht="15.75" hidden="1" customHeight="1">
      <c r="B836" s="8">
        <v>1152.0</v>
      </c>
      <c r="C836" s="9">
        <v>43257.0</v>
      </c>
      <c r="D836" s="6" t="s">
        <v>958</v>
      </c>
      <c r="E836" s="4">
        <v>6.106000698E9</v>
      </c>
      <c r="F836" s="8" t="s">
        <v>604</v>
      </c>
      <c r="G836" s="4" t="s">
        <v>721</v>
      </c>
      <c r="H836" s="18" t="s">
        <v>176</v>
      </c>
      <c r="I836" s="18">
        <v>500.0</v>
      </c>
      <c r="J836" s="11" t="str">
        <f>IF(D836&lt;&gt;"",VLOOKUP(H836,TABLEITEM,5,FALSE),"")</f>
        <v>EA</v>
      </c>
      <c r="K836" s="17">
        <v>1.05924</v>
      </c>
      <c r="L836" s="13" t="str">
        <f>IF(D836&lt;&gt;"",VLOOKUP(H836,TABLEITEM,2,FALSE),"")</f>
        <v/>
      </c>
      <c r="M836" s="13" t="str">
        <f>IF(D836&lt;&gt;"",VLOOKUP(H836,TABLEITEM,3,FALSE),"")</f>
        <v>หมวกสวมเล็ก</v>
      </c>
      <c r="N836" s="14">
        <f>INSTOCK!$I836*INSTOCK!$K836</f>
        <v>529.62</v>
      </c>
      <c r="O836" s="4" t="s">
        <v>959</v>
      </c>
      <c r="P836" s="4"/>
    </row>
    <row r="837" ht="15.75" hidden="1" customHeight="1">
      <c r="B837" s="8">
        <v>1153.0</v>
      </c>
      <c r="C837" s="9">
        <v>43256.0</v>
      </c>
      <c r="D837" s="6" t="s">
        <v>960</v>
      </c>
      <c r="E837" s="4"/>
      <c r="F837" s="8" t="s">
        <v>961</v>
      </c>
      <c r="G837" s="4" t="s">
        <v>898</v>
      </c>
      <c r="H837" s="18" t="s">
        <v>899</v>
      </c>
      <c r="I837" s="18">
        <v>8.0</v>
      </c>
      <c r="J837" s="11" t="str">
        <f>IF(D837&lt;&gt;"",VLOOKUP(H837,TABLEITEM,5,FALSE),"")</f>
        <v>LIT</v>
      </c>
      <c r="K837" s="17">
        <v>380.0</v>
      </c>
      <c r="L837" s="13" t="str">
        <f>IF(D837&lt;&gt;"",VLOOKUP(H837,TABLEITEM,2,FALSE),"")</f>
        <v/>
      </c>
      <c r="M837" s="13" t="str">
        <f>IF(D837&lt;&gt;"",VLOOKUP(H837,TABLEITEM,3,FALSE),"")</f>
        <v>สีพ่นแห้งเร็ว(สีผสม)</v>
      </c>
      <c r="N837" s="14">
        <f>INSTOCK!$I837*INSTOCK!$K837</f>
        <v>3040</v>
      </c>
      <c r="O837" s="4" t="s">
        <v>962</v>
      </c>
      <c r="P837" s="4"/>
    </row>
    <row r="838" ht="15.75" hidden="1" customHeight="1">
      <c r="B838" s="8">
        <v>1154.0</v>
      </c>
      <c r="C838" s="9">
        <v>43255.0</v>
      </c>
      <c r="D838" s="6" t="s">
        <v>963</v>
      </c>
      <c r="E838" s="4">
        <v>6.106000666E9</v>
      </c>
      <c r="F838" s="8" t="s">
        <v>964</v>
      </c>
      <c r="G838" s="4" t="s">
        <v>965</v>
      </c>
      <c r="H838" s="18" t="s">
        <v>966</v>
      </c>
      <c r="I838" s="18">
        <v>32.0</v>
      </c>
      <c r="J838" s="11" t="str">
        <f>IF(D838&lt;&gt;"",VLOOKUP(H838,TABLEITEM,5,FALSE),"")</f>
        <v>EA</v>
      </c>
      <c r="K838" s="17">
        <v>28.0</v>
      </c>
      <c r="L838" s="13" t="str">
        <f>IF(D838&lt;&gt;"",VLOOKUP(H838,TABLEITEM,2,FALSE),"")</f>
        <v/>
      </c>
      <c r="M838" s="13" t="str">
        <f>IF(D838&lt;&gt;"",VLOOKUP(H838,TABLEITEM,3,FALSE),"")</f>
        <v>ลูกปืน 6000ZZ</v>
      </c>
      <c r="N838" s="14">
        <f>INSTOCK!$I838*INSTOCK!$K838</f>
        <v>896</v>
      </c>
      <c r="O838" s="4"/>
      <c r="P838" s="4"/>
    </row>
    <row r="839" ht="15.75" hidden="1" customHeight="1">
      <c r="B839" s="8">
        <v>1155.0</v>
      </c>
      <c r="C839" s="9">
        <v>43255.0</v>
      </c>
      <c r="D839" s="6" t="s">
        <v>967</v>
      </c>
      <c r="E839" s="4">
        <v>6.10500065E9</v>
      </c>
      <c r="F839" s="8" t="s">
        <v>604</v>
      </c>
      <c r="G839" s="4" t="s">
        <v>743</v>
      </c>
      <c r="H839" s="18" t="s">
        <v>86</v>
      </c>
      <c r="I839" s="18">
        <v>500.0</v>
      </c>
      <c r="J839" s="11" t="str">
        <f>IF(D839&lt;&gt;"",VLOOKUP(H839,TABLEITEM,5,FALSE),"")</f>
        <v>KG.</v>
      </c>
      <c r="K839" s="17">
        <v>139.05</v>
      </c>
      <c r="L839" s="13" t="str">
        <f>IF(D839&lt;&gt;"",VLOOKUP(H839,TABLEITEM,2,FALSE),"")</f>
        <v/>
      </c>
      <c r="M839" s="13" t="str">
        <f>IF(D839&lt;&gt;"",VLOOKUP(H839,TABLEITEM,3,FALSE),"")</f>
        <v>สีฝุ่น ครีมเรียบ 1204551PX20</v>
      </c>
      <c r="N839" s="14">
        <f>INSTOCK!$I839*INSTOCK!$K839</f>
        <v>69525</v>
      </c>
      <c r="O839" s="4"/>
      <c r="P839" s="4"/>
    </row>
    <row r="840" ht="15.75" hidden="1" customHeight="1">
      <c r="B840" s="8">
        <v>1156.0</v>
      </c>
      <c r="C840" s="9">
        <v>43253.0</v>
      </c>
      <c r="D840" s="6" t="s">
        <v>968</v>
      </c>
      <c r="E840" s="4">
        <v>6.106000665E9</v>
      </c>
      <c r="F840" s="8" t="s">
        <v>823</v>
      </c>
      <c r="G840" s="4" t="s">
        <v>808</v>
      </c>
      <c r="H840" s="18" t="s">
        <v>824</v>
      </c>
      <c r="I840" s="18">
        <v>2.0</v>
      </c>
      <c r="J840" s="11" t="str">
        <f>IF(D840&lt;&gt;"",VLOOKUP(H840,TABLEITEM,5,FALSE),"")</f>
        <v>ท่อ</v>
      </c>
      <c r="K840" s="17">
        <v>600.0</v>
      </c>
      <c r="L840" s="13" t="str">
        <f>IF(D840&lt;&gt;"",VLOOKUP(H840,TABLEITEM,2,FALSE),"")</f>
        <v/>
      </c>
      <c r="M840" s="13" t="str">
        <f>IF(D840&lt;&gt;"",VLOOKUP(H840,TABLEITEM,3,FALSE),"")</f>
        <v>20% CO2 Balance AR ขนาด 6คิว</v>
      </c>
      <c r="N840" s="14">
        <f>INSTOCK!$I840*INSTOCK!$K840</f>
        <v>1200</v>
      </c>
      <c r="O840" s="4"/>
      <c r="P840" s="4"/>
    </row>
    <row r="841" ht="15.75" hidden="1" customHeight="1">
      <c r="B841" s="8">
        <v>1157.0</v>
      </c>
      <c r="C841" s="9">
        <v>43252.0</v>
      </c>
      <c r="D841" s="6">
        <v>34653.0</v>
      </c>
      <c r="E841" s="4">
        <v>6.105000641E9</v>
      </c>
      <c r="F841" s="8" t="s">
        <v>604</v>
      </c>
      <c r="G841" s="4" t="s">
        <v>696</v>
      </c>
      <c r="H841" s="18" t="s">
        <v>44</v>
      </c>
      <c r="I841" s="18">
        <v>4.0</v>
      </c>
      <c r="J841" s="11" t="str">
        <f>IF(D841&lt;&gt;"",VLOOKUP(H841,TABLEITEM,5,FALSE),"")</f>
        <v>ปี๊ป</v>
      </c>
      <c r="K841" s="17">
        <v>370.0</v>
      </c>
      <c r="L841" s="13" t="str">
        <f>IF(D841&lt;&gt;"",VLOOKUP(H841,TABLEITEM,2,FALSE),"")</f>
        <v/>
      </c>
      <c r="M841" s="13" t="str">
        <f>IF(D841&lt;&gt;"",VLOOKUP(H841,TABLEITEM,3,FALSE),"")</f>
        <v>ทินเนอร์ AAA</v>
      </c>
      <c r="N841" s="14">
        <f>INSTOCK!$I841*INSTOCK!$K841</f>
        <v>1480</v>
      </c>
      <c r="O841" s="4"/>
      <c r="P841" s="4"/>
    </row>
    <row r="842" ht="15.75" hidden="1" customHeight="1">
      <c r="B842" s="8">
        <v>1158.0</v>
      </c>
      <c r="C842" s="9">
        <v>43252.0</v>
      </c>
      <c r="D842" s="6" t="s">
        <v>969</v>
      </c>
      <c r="E842" s="4">
        <v>6.105000649E9</v>
      </c>
      <c r="F842" s="8" t="s">
        <v>604</v>
      </c>
      <c r="G842" s="4" t="s">
        <v>765</v>
      </c>
      <c r="H842" s="18" t="s">
        <v>87</v>
      </c>
      <c r="I842" s="18">
        <v>214.0</v>
      </c>
      <c r="J842" s="11" t="str">
        <f>IF(D842&lt;&gt;"",VLOOKUP(H842,TABLEITEM,5,FALSE),"")</f>
        <v>KG.</v>
      </c>
      <c r="K842" s="17">
        <v>140.0</v>
      </c>
      <c r="L842" s="13" t="str">
        <f>IF(D842&lt;&gt;"",VLOOKUP(H842,TABLEITEM,2,FALSE),"")</f>
        <v/>
      </c>
      <c r="M842" s="13" t="str">
        <f>IF(D842&lt;&gt;"",VLOOKUP(H842,TABLEITEM,3,FALSE),"")</f>
        <v>สีฝุ่น GH413041F Sand Grey</v>
      </c>
      <c r="N842" s="14">
        <f>INSTOCK!$I842*INSTOCK!$K842</f>
        <v>29960</v>
      </c>
      <c r="O842" s="4"/>
      <c r="P842" s="4"/>
    </row>
    <row r="843" ht="15.75" hidden="1" customHeight="1">
      <c r="B843" s="8">
        <v>1159.0</v>
      </c>
      <c r="C843" s="9">
        <v>43252.0</v>
      </c>
      <c r="D843" s="6">
        <v>6.1060053E7</v>
      </c>
      <c r="E843" s="4">
        <v>6.105000661E9</v>
      </c>
      <c r="F843" s="8" t="s">
        <v>970</v>
      </c>
      <c r="G843" s="4" t="s">
        <v>711</v>
      </c>
      <c r="H843" s="18" t="s">
        <v>105</v>
      </c>
      <c r="I843" s="18">
        <v>20.0</v>
      </c>
      <c r="J843" s="11" t="str">
        <f>IF(D843&lt;&gt;"",VLOOKUP(H843,TABLEITEM,5,FALSE),"")</f>
        <v>KG.</v>
      </c>
      <c r="K843" s="17">
        <v>165.75</v>
      </c>
      <c r="L843" s="13" t="str">
        <f>IF(D843&lt;&gt;"",VLOOKUP(H843,TABLEITEM,2,FALSE),"")</f>
        <v/>
      </c>
      <c r="M843" s="13" t="str">
        <f>IF(D843&lt;&gt;"",VLOOKUP(H843,TABLEITEM,3,FALSE),"")</f>
        <v>สีฝุ่น M10001 WN</v>
      </c>
      <c r="N843" s="14">
        <f>INSTOCK!$I843*INSTOCK!$K843</f>
        <v>3315</v>
      </c>
      <c r="O843" s="4" t="s">
        <v>971</v>
      </c>
      <c r="P843" s="4"/>
    </row>
    <row r="844" ht="15.75" hidden="1" customHeight="1">
      <c r="B844" s="8">
        <v>1160.0</v>
      </c>
      <c r="C844" s="9">
        <v>43252.0</v>
      </c>
      <c r="D844" s="6" t="s">
        <v>972</v>
      </c>
      <c r="E844" s="4">
        <v>6.105000647E9</v>
      </c>
      <c r="F844" s="8" t="s">
        <v>604</v>
      </c>
      <c r="G844" s="4" t="s">
        <v>737</v>
      </c>
      <c r="H844" s="18" t="s">
        <v>16</v>
      </c>
      <c r="I844" s="18">
        <v>360.0</v>
      </c>
      <c r="J844" s="11" t="str">
        <f>IF(D844&lt;&gt;"",VLOOKUP(H844,TABLEITEM,5,FALSE),"")</f>
        <v>คู่</v>
      </c>
      <c r="K844" s="17">
        <v>4.58333</v>
      </c>
      <c r="L844" s="13" t="str">
        <f>IF(D844&lt;&gt;"",VLOOKUP(H844,TABLEITEM,2,FALSE),"")</f>
        <v/>
      </c>
      <c r="M844" s="13" t="str">
        <f>IF(D844&lt;&gt;"",VLOOKUP(H844,TABLEITEM,3,FALSE),"")</f>
        <v>ถุงมือผ้า</v>
      </c>
      <c r="N844" s="14">
        <f>INSTOCK!$I844*INSTOCK!$K844</f>
        <v>1649.9988</v>
      </c>
      <c r="O844" s="4" t="s">
        <v>973</v>
      </c>
      <c r="P844" s="4"/>
    </row>
    <row r="845" ht="15.75" hidden="1" customHeight="1">
      <c r="B845" s="8">
        <v>1161.0</v>
      </c>
      <c r="C845" s="9">
        <v>43252.0</v>
      </c>
      <c r="D845" s="6" t="s">
        <v>974</v>
      </c>
      <c r="E845" s="4">
        <v>6.105000648E9</v>
      </c>
      <c r="F845" s="8" t="s">
        <v>604</v>
      </c>
      <c r="G845" s="4" t="s">
        <v>975</v>
      </c>
      <c r="H845" s="18" t="s">
        <v>976</v>
      </c>
      <c r="I845" s="18">
        <v>60.0</v>
      </c>
      <c r="J845" s="11" t="str">
        <f>IF(D845&lt;&gt;"",VLOOKUP(H845,TABLEITEM,5,FALSE),"")</f>
        <v>ROLL</v>
      </c>
      <c r="K845" s="17">
        <v>140.0</v>
      </c>
      <c r="L845" s="13" t="str">
        <f>IF(D845&lt;&gt;"",VLOOKUP(H845,TABLEITEM,2,FALSE),"")</f>
        <v/>
      </c>
      <c r="M845" s="13" t="str">
        <f>IF(D845&lt;&gt;"",VLOOKUP(H845,TABLEITEM,3,FALSE),"")</f>
        <v>พลาสติกห่อตู้ 20micx50cmx300m</v>
      </c>
      <c r="N845" s="14">
        <f>INSTOCK!$I845*INSTOCK!$K845</f>
        <v>8400</v>
      </c>
      <c r="O845" s="4" t="s">
        <v>977</v>
      </c>
      <c r="P845" s="4"/>
    </row>
    <row r="846" ht="15.75" hidden="1" customHeight="1">
      <c r="B846" s="8">
        <v>1162.0</v>
      </c>
      <c r="C846" s="9">
        <v>43252.0</v>
      </c>
      <c r="D846" s="6">
        <v>6106003.0</v>
      </c>
      <c r="E846" s="4">
        <v>6.105000616E9</v>
      </c>
      <c r="F846" s="8" t="s">
        <v>604</v>
      </c>
      <c r="G846" s="4" t="s">
        <v>718</v>
      </c>
      <c r="H846" s="18" t="s">
        <v>70</v>
      </c>
      <c r="I846" s="18">
        <v>600.0</v>
      </c>
      <c r="J846" s="11" t="str">
        <f>IF(D846&lt;&gt;"",VLOOKUP(H846,TABLEITEM,5,FALSE),"")</f>
        <v>กป.</v>
      </c>
      <c r="K846" s="17">
        <v>50.0</v>
      </c>
      <c r="L846" s="13" t="str">
        <f>IF(D846&lt;&gt;"",VLOOKUP(H846,TABLEITEM,2,FALSE),"")</f>
        <v/>
      </c>
      <c r="M846" s="13" t="str">
        <f>IF(D846&lt;&gt;"",VLOOKUP(H846,TABLEITEM,3,FALSE),"")</f>
        <v>สีสเปรย์ TDK#C1204551PX20</v>
      </c>
      <c r="N846" s="14">
        <f>INSTOCK!$I846*INSTOCK!$K846</f>
        <v>30000</v>
      </c>
      <c r="O846" s="4"/>
      <c r="P846" s="4"/>
    </row>
    <row r="847" ht="15.75" hidden="1" customHeight="1">
      <c r="B847" s="8">
        <v>1163.0</v>
      </c>
      <c r="C847" s="9">
        <v>43251.0</v>
      </c>
      <c r="D847" s="6" t="s">
        <v>978</v>
      </c>
      <c r="E847" s="4"/>
      <c r="F847" s="8" t="s">
        <v>801</v>
      </c>
      <c r="G847" s="4" t="s">
        <v>802</v>
      </c>
      <c r="H847" s="10" t="s">
        <v>803</v>
      </c>
      <c r="I847" s="18">
        <v>19.0</v>
      </c>
      <c r="J847" s="11" t="str">
        <f>IF(D847&lt;&gt;"",VLOOKUP(H847,TABLEITEM,5,FALSE),"")</f>
        <v>ถัง</v>
      </c>
      <c r="K847" s="17">
        <v>1140.19</v>
      </c>
      <c r="L847" s="13" t="str">
        <f>IF(D847&lt;&gt;"",VLOOKUP(H847,TABLEITEM,2,FALSE),"")</f>
        <v/>
      </c>
      <c r="M847" s="13" t="str">
        <f>IF(D847&lt;&gt;"",VLOOKUP(H847,TABLEITEM,3,FALSE),"")</f>
        <v>แก๊สหุงต้ม 48กก</v>
      </c>
      <c r="N847" s="14">
        <f>INSTOCK!$I847*INSTOCK!$K847</f>
        <v>21663.61</v>
      </c>
      <c r="O847" s="4"/>
      <c r="P847" s="4"/>
    </row>
    <row r="848" ht="15.75" hidden="1" customHeight="1">
      <c r="B848" s="8">
        <v>1164.0</v>
      </c>
      <c r="C848" s="9">
        <v>43116.0</v>
      </c>
      <c r="D848" s="6" t="s">
        <v>979</v>
      </c>
      <c r="E848" s="4" t="s">
        <v>980</v>
      </c>
      <c r="F848" s="8" t="s">
        <v>981</v>
      </c>
      <c r="G848" s="4" t="s">
        <v>982</v>
      </c>
      <c r="H848" s="10" t="s">
        <v>983</v>
      </c>
      <c r="I848" s="10">
        <v>200.0</v>
      </c>
      <c r="J848" s="11" t="str">
        <f>IF(D848&lt;&gt;"",VLOOKUP(H848,TABLEITEM,5,FALSE),"")</f>
        <v>KG.</v>
      </c>
      <c r="K848" s="12">
        <v>37.0</v>
      </c>
      <c r="L848" s="13">
        <v>0.0</v>
      </c>
      <c r="M848" s="13" t="s">
        <v>984</v>
      </c>
      <c r="N848" s="14">
        <v>7400.0</v>
      </c>
      <c r="O848" s="4" t="s">
        <v>985</v>
      </c>
      <c r="P848" s="4"/>
    </row>
    <row r="849" ht="15.75" hidden="1" customHeight="1">
      <c r="B849" s="8">
        <v>1165.0</v>
      </c>
      <c r="C849" s="9">
        <v>43116.0</v>
      </c>
      <c r="D849" s="6" t="s">
        <v>979</v>
      </c>
      <c r="E849" s="4" t="s">
        <v>980</v>
      </c>
      <c r="F849" s="8" t="s">
        <v>981</v>
      </c>
      <c r="G849" s="4" t="s">
        <v>982</v>
      </c>
      <c r="H849" s="18" t="s">
        <v>986</v>
      </c>
      <c r="I849" s="18">
        <v>300.0</v>
      </c>
      <c r="J849" s="11" t="str">
        <f>IF(D849&lt;&gt;"",VLOOKUP(H849,TABLEITEM,5,FALSE),"")</f>
        <v>KG.</v>
      </c>
      <c r="K849" s="17">
        <v>41.0</v>
      </c>
      <c r="L849" s="13">
        <v>0.0</v>
      </c>
      <c r="M849" s="13" t="s">
        <v>987</v>
      </c>
      <c r="N849" s="14">
        <v>12300.0</v>
      </c>
      <c r="O849" s="4" t="s">
        <v>988</v>
      </c>
      <c r="P849" s="4"/>
    </row>
    <row r="850" ht="15.75" hidden="1" customHeight="1">
      <c r="B850" s="8">
        <v>1166.0</v>
      </c>
      <c r="C850" s="9">
        <v>43157.0</v>
      </c>
      <c r="D850" s="6" t="s">
        <v>989</v>
      </c>
      <c r="E850" s="4">
        <v>6.102000242E9</v>
      </c>
      <c r="F850" s="8" t="s">
        <v>981</v>
      </c>
      <c r="G850" s="4" t="s">
        <v>982</v>
      </c>
      <c r="H850" s="10" t="s">
        <v>986</v>
      </c>
      <c r="I850" s="10">
        <v>390.0</v>
      </c>
      <c r="J850" s="11" t="str">
        <f>IF(D850&lt;&gt;"",VLOOKUP(H850,TABLEITEM,5,FALSE),"")</f>
        <v>KG.</v>
      </c>
      <c r="K850" s="12">
        <v>41.0</v>
      </c>
      <c r="L850" s="13">
        <v>0.0</v>
      </c>
      <c r="M850" s="13" t="s">
        <v>987</v>
      </c>
      <c r="N850" s="14">
        <v>15990.0</v>
      </c>
      <c r="O850" s="4" t="s">
        <v>990</v>
      </c>
      <c r="P850" s="4"/>
    </row>
    <row r="851" ht="15.75" hidden="1" customHeight="1">
      <c r="B851" s="8">
        <v>1167.0</v>
      </c>
      <c r="C851" s="9">
        <v>43157.0</v>
      </c>
      <c r="D851" s="6" t="s">
        <v>989</v>
      </c>
      <c r="E851" s="4">
        <v>6.102000242E9</v>
      </c>
      <c r="F851" s="8" t="s">
        <v>981</v>
      </c>
      <c r="G851" s="4" t="s">
        <v>982</v>
      </c>
      <c r="H851" s="10" t="s">
        <v>991</v>
      </c>
      <c r="I851" s="10">
        <v>20.0</v>
      </c>
      <c r="J851" s="11" t="str">
        <f>IF(D851&lt;&gt;"",VLOOKUP(H851,TABLEITEM,5,FALSE),"")</f>
        <v>KG.</v>
      </c>
      <c r="K851" s="12">
        <v>18.0</v>
      </c>
      <c r="L851" s="13">
        <v>0.0</v>
      </c>
      <c r="M851" s="13" t="s">
        <v>992</v>
      </c>
      <c r="N851" s="14">
        <v>360.0</v>
      </c>
      <c r="O851" s="4" t="s">
        <v>993</v>
      </c>
      <c r="P851" s="4"/>
    </row>
    <row r="852" ht="15.75" hidden="1" customHeight="1">
      <c r="B852" s="8">
        <v>1168.0</v>
      </c>
      <c r="C852" s="9">
        <v>43157.0</v>
      </c>
      <c r="D852" s="6" t="s">
        <v>989</v>
      </c>
      <c r="E852" s="4">
        <v>6.102000242E9</v>
      </c>
      <c r="F852" s="8" t="s">
        <v>981</v>
      </c>
      <c r="G852" s="4" t="s">
        <v>982</v>
      </c>
      <c r="H852" s="10" t="s">
        <v>983</v>
      </c>
      <c r="I852" s="10">
        <v>140.0</v>
      </c>
      <c r="J852" s="11" t="str">
        <f>IF(D852&lt;&gt;"",VLOOKUP(H852,TABLEITEM,5,FALSE),"")</f>
        <v>KG.</v>
      </c>
      <c r="K852" s="12">
        <v>37.0</v>
      </c>
      <c r="L852" s="13">
        <v>0.0</v>
      </c>
      <c r="M852" s="13" t="s">
        <v>984</v>
      </c>
      <c r="N852" s="14">
        <v>5180.0</v>
      </c>
      <c r="O852" s="4" t="s">
        <v>994</v>
      </c>
      <c r="P852" s="4"/>
    </row>
    <row r="853" ht="15.75" hidden="1" customHeight="1">
      <c r="B853" s="8">
        <v>1169.0</v>
      </c>
      <c r="C853" s="9">
        <v>43157.0</v>
      </c>
      <c r="D853" s="6" t="s">
        <v>989</v>
      </c>
      <c r="E853" s="4">
        <v>6.102000242E9</v>
      </c>
      <c r="F853" s="8" t="s">
        <v>981</v>
      </c>
      <c r="G853" s="4" t="s">
        <v>982</v>
      </c>
      <c r="H853" s="18" t="s">
        <v>995</v>
      </c>
      <c r="I853" s="18">
        <v>80.0</v>
      </c>
      <c r="J853" s="11" t="str">
        <f>IF(D853&lt;&gt;"",VLOOKUP(H853,TABLEITEM,5,FALSE),"")</f>
        <v>KG.</v>
      </c>
      <c r="K853" s="17">
        <v>21.0</v>
      </c>
      <c r="L853" s="13">
        <v>0.0</v>
      </c>
      <c r="M853" s="13" t="s">
        <v>996</v>
      </c>
      <c r="N853" s="14">
        <v>1680.0</v>
      </c>
      <c r="O853" s="4" t="s">
        <v>997</v>
      </c>
      <c r="P853" s="4"/>
    </row>
    <row r="854" ht="15.75" hidden="1" customHeight="1">
      <c r="B854" s="8">
        <v>1170.0</v>
      </c>
      <c r="C854" s="9">
        <v>43161.0</v>
      </c>
      <c r="D854" s="6" t="s">
        <v>998</v>
      </c>
      <c r="E854" s="4">
        <v>6.102000267E9</v>
      </c>
      <c r="F854" s="8" t="s">
        <v>981</v>
      </c>
      <c r="G854" s="4" t="s">
        <v>982</v>
      </c>
      <c r="H854" s="10" t="s">
        <v>986</v>
      </c>
      <c r="I854" s="10">
        <v>300.0</v>
      </c>
      <c r="J854" s="11" t="str">
        <f>IF(D854&lt;&gt;"",VLOOKUP(H854,TABLEITEM,5,FALSE),"")</f>
        <v>KG.</v>
      </c>
      <c r="K854" s="12">
        <v>41.0</v>
      </c>
      <c r="L854" s="13">
        <v>0.0</v>
      </c>
      <c r="M854" s="13" t="s">
        <v>987</v>
      </c>
      <c r="N854" s="14">
        <v>12300.0</v>
      </c>
      <c r="O854" s="4"/>
      <c r="P854" s="4"/>
    </row>
    <row r="855" ht="15.75" hidden="1" customHeight="1">
      <c r="B855" s="8">
        <v>1171.0</v>
      </c>
      <c r="C855" s="9">
        <v>43161.0</v>
      </c>
      <c r="D855" s="6" t="s">
        <v>998</v>
      </c>
      <c r="E855" s="4">
        <v>6.102000267E9</v>
      </c>
      <c r="F855" s="8" t="s">
        <v>981</v>
      </c>
      <c r="G855" s="4" t="s">
        <v>982</v>
      </c>
      <c r="H855" s="10" t="s">
        <v>991</v>
      </c>
      <c r="I855" s="10">
        <v>100.0</v>
      </c>
      <c r="J855" s="11" t="str">
        <f>IF(D855&lt;&gt;"",VLOOKUP(H855,TABLEITEM,5,FALSE),"")</f>
        <v>KG.</v>
      </c>
      <c r="K855" s="12">
        <v>18.0</v>
      </c>
      <c r="L855" s="13">
        <v>0.0</v>
      </c>
      <c r="M855" s="13" t="s">
        <v>992</v>
      </c>
      <c r="N855" s="14">
        <v>1800.0</v>
      </c>
      <c r="O855" s="4"/>
      <c r="P855" s="4"/>
    </row>
    <row r="856" ht="15.75" hidden="1" customHeight="1">
      <c r="B856" s="8">
        <v>1172.0</v>
      </c>
      <c r="C856" s="9">
        <v>43161.0</v>
      </c>
      <c r="D856" s="6" t="s">
        <v>998</v>
      </c>
      <c r="E856" s="4">
        <v>6.102000267E9</v>
      </c>
      <c r="F856" s="8" t="s">
        <v>981</v>
      </c>
      <c r="G856" s="4" t="s">
        <v>982</v>
      </c>
      <c r="H856" s="10" t="s">
        <v>983</v>
      </c>
      <c r="I856" s="10">
        <v>100.0</v>
      </c>
      <c r="J856" s="11" t="str">
        <f>IF(D856&lt;&gt;"",VLOOKUP(H856,TABLEITEM,5,FALSE),"")</f>
        <v>KG.</v>
      </c>
      <c r="K856" s="12">
        <v>37.0</v>
      </c>
      <c r="L856" s="13">
        <v>0.0</v>
      </c>
      <c r="M856" s="13" t="s">
        <v>984</v>
      </c>
      <c r="N856" s="14">
        <v>3700.0</v>
      </c>
      <c r="O856" s="4"/>
      <c r="P856" s="4"/>
    </row>
    <row r="857" ht="15.75" hidden="1" customHeight="1">
      <c r="B857" s="8">
        <v>1173.0</v>
      </c>
      <c r="C857" s="9">
        <v>43161.0</v>
      </c>
      <c r="D857" s="6" t="s">
        <v>998</v>
      </c>
      <c r="E857" s="4">
        <v>6.102000267E9</v>
      </c>
      <c r="F857" s="8" t="s">
        <v>981</v>
      </c>
      <c r="G857" s="4" t="s">
        <v>982</v>
      </c>
      <c r="H857" s="18" t="s">
        <v>995</v>
      </c>
      <c r="I857" s="18">
        <v>100.0</v>
      </c>
      <c r="J857" s="11" t="str">
        <f>IF(D857&lt;&gt;"",VLOOKUP(H857,TABLEITEM,5,FALSE),"")</f>
        <v>KG.</v>
      </c>
      <c r="K857" s="17">
        <v>21.0</v>
      </c>
      <c r="L857" s="13">
        <v>0.0</v>
      </c>
      <c r="M857" s="13" t="s">
        <v>996</v>
      </c>
      <c r="N857" s="14">
        <v>2100.0</v>
      </c>
      <c r="O857" s="4"/>
      <c r="P857" s="4"/>
    </row>
    <row r="858" ht="15.75" hidden="1" customHeight="1">
      <c r="B858" s="8">
        <v>1174.0</v>
      </c>
      <c r="C858" s="9">
        <v>43229.0</v>
      </c>
      <c r="D858" s="6" t="s">
        <v>999</v>
      </c>
      <c r="E858" s="4">
        <v>6.105000545E9</v>
      </c>
      <c r="F858" s="8" t="s">
        <v>981</v>
      </c>
      <c r="G858" s="4" t="s">
        <v>982</v>
      </c>
      <c r="H858" s="10" t="s">
        <v>983</v>
      </c>
      <c r="I858" s="10">
        <v>200.0</v>
      </c>
      <c r="J858" s="11" t="str">
        <f>IF(D858&lt;&gt;"",VLOOKUP(H858,TABLEITEM,5,FALSE),"")</f>
        <v>KG.</v>
      </c>
      <c r="K858" s="12">
        <v>37.0</v>
      </c>
      <c r="L858" s="13">
        <v>0.0</v>
      </c>
      <c r="M858" s="13" t="s">
        <v>984</v>
      </c>
      <c r="N858" s="14">
        <v>7400.0</v>
      </c>
      <c r="O858" s="4"/>
      <c r="P858" s="4"/>
    </row>
    <row r="859" ht="15.75" hidden="1" customHeight="1">
      <c r="B859" s="8">
        <v>1175.0</v>
      </c>
      <c r="C859" s="9">
        <v>43229.0</v>
      </c>
      <c r="D859" s="6" t="s">
        <v>999</v>
      </c>
      <c r="E859" s="4">
        <v>6.105000545E9</v>
      </c>
      <c r="F859" s="8" t="s">
        <v>981</v>
      </c>
      <c r="G859" s="4" t="s">
        <v>982</v>
      </c>
      <c r="H859" s="18" t="s">
        <v>986</v>
      </c>
      <c r="I859" s="18">
        <v>300.0</v>
      </c>
      <c r="J859" s="11" t="str">
        <f>IF(D859&lt;&gt;"",VLOOKUP(H859,TABLEITEM,5,FALSE),"")</f>
        <v>KG.</v>
      </c>
      <c r="K859" s="17">
        <v>41.0</v>
      </c>
      <c r="L859" s="13">
        <v>0.0</v>
      </c>
      <c r="M859" s="13" t="s">
        <v>987</v>
      </c>
      <c r="N859" s="14">
        <v>12300.0</v>
      </c>
      <c r="O859" s="4"/>
      <c r="P859" s="4"/>
    </row>
    <row r="860" ht="15.75" hidden="1" customHeight="1">
      <c r="B860" s="8">
        <v>1176.0</v>
      </c>
      <c r="C860" s="9">
        <v>43278.0</v>
      </c>
      <c r="D860" s="6" t="s">
        <v>1000</v>
      </c>
      <c r="E860" s="4">
        <v>6.106000777E9</v>
      </c>
      <c r="F860" s="8" t="s">
        <v>981</v>
      </c>
      <c r="G860" s="4" t="s">
        <v>982</v>
      </c>
      <c r="H860" s="10" t="s">
        <v>983</v>
      </c>
      <c r="I860" s="10">
        <v>200.0</v>
      </c>
      <c r="J860" s="11" t="str">
        <f>IF(D860&lt;&gt;"",VLOOKUP(H860,TABLEITEM,5,FALSE),"")</f>
        <v>KG.</v>
      </c>
      <c r="K860" s="12">
        <v>37.0</v>
      </c>
      <c r="L860" s="13">
        <v>0.0</v>
      </c>
      <c r="M860" s="13" t="s">
        <v>984</v>
      </c>
      <c r="N860" s="14">
        <v>7400.0</v>
      </c>
      <c r="O860" s="4"/>
      <c r="P860" s="4"/>
    </row>
    <row r="861" ht="15.75" hidden="1" customHeight="1">
      <c r="B861" s="8">
        <v>1177.0</v>
      </c>
      <c r="C861" s="9">
        <v>43278.0</v>
      </c>
      <c r="D861" s="6" t="s">
        <v>1000</v>
      </c>
      <c r="E861" s="4">
        <v>6.106000777E9</v>
      </c>
      <c r="F861" s="8" t="s">
        <v>981</v>
      </c>
      <c r="G861" s="4" t="s">
        <v>982</v>
      </c>
      <c r="H861" s="10" t="s">
        <v>986</v>
      </c>
      <c r="I861" s="10">
        <v>300.0</v>
      </c>
      <c r="J861" s="11" t="str">
        <f>IF(D861&lt;&gt;"",VLOOKUP(H861,TABLEITEM,5,FALSE),"")</f>
        <v>KG.</v>
      </c>
      <c r="K861" s="12">
        <v>41.0</v>
      </c>
      <c r="L861" s="13">
        <v>0.0</v>
      </c>
      <c r="M861" s="13" t="s">
        <v>987</v>
      </c>
      <c r="N861" s="14">
        <v>12300.0</v>
      </c>
      <c r="O861" s="4"/>
      <c r="P861" s="4"/>
    </row>
    <row r="862" ht="15.75" hidden="1" customHeight="1">
      <c r="B862" s="8">
        <v>1178.0</v>
      </c>
      <c r="C862" s="9">
        <v>43278.0</v>
      </c>
      <c r="D862" s="6" t="s">
        <v>1000</v>
      </c>
      <c r="E862" s="4">
        <v>6.106000777E9</v>
      </c>
      <c r="F862" s="8" t="s">
        <v>981</v>
      </c>
      <c r="G862" s="4" t="s">
        <v>982</v>
      </c>
      <c r="H862" s="18" t="s">
        <v>991</v>
      </c>
      <c r="I862" s="18">
        <v>100.0</v>
      </c>
      <c r="J862" s="11" t="str">
        <f>IF(D862&lt;&gt;"",VLOOKUP(H862,TABLEITEM,5,FALSE),"")</f>
        <v>KG.</v>
      </c>
      <c r="K862" s="17">
        <v>18.0</v>
      </c>
      <c r="L862" s="13">
        <v>0.0</v>
      </c>
      <c r="M862" s="13" t="s">
        <v>992</v>
      </c>
      <c r="N862" s="14">
        <v>1800.0</v>
      </c>
      <c r="O862" s="4"/>
      <c r="P862" s="4"/>
    </row>
    <row r="863" ht="15.75" hidden="1" customHeight="1">
      <c r="B863" s="8">
        <v>1179.0</v>
      </c>
      <c r="C863" s="9">
        <v>43115.0</v>
      </c>
      <c r="D863" s="6" t="s">
        <v>1001</v>
      </c>
      <c r="E863" s="4">
        <v>6.101000043E9</v>
      </c>
      <c r="F863" s="8" t="s">
        <v>604</v>
      </c>
      <c r="G863" s="4" t="s">
        <v>975</v>
      </c>
      <c r="H863" s="18" t="s">
        <v>976</v>
      </c>
      <c r="I863" s="18">
        <v>60.0</v>
      </c>
      <c r="J863" s="11" t="str">
        <f>IF(D863&lt;&gt;"",VLOOKUP(H863,TABLEITEM,5,FALSE),"")</f>
        <v>ROLL</v>
      </c>
      <c r="K863" s="17">
        <v>140.0</v>
      </c>
      <c r="L863" s="13">
        <v>0.0</v>
      </c>
      <c r="M863" s="13" t="s">
        <v>1002</v>
      </c>
      <c r="N863" s="14">
        <v>8400.0</v>
      </c>
      <c r="O863" s="4" t="s">
        <v>1003</v>
      </c>
      <c r="P863" s="4"/>
    </row>
    <row r="864" ht="15.75" hidden="1" customHeight="1">
      <c r="B864" s="8">
        <v>1180.0</v>
      </c>
      <c r="C864" s="9">
        <v>43150.0</v>
      </c>
      <c r="D864" s="6" t="s">
        <v>1004</v>
      </c>
      <c r="E864" s="4">
        <v>6.102000217E9</v>
      </c>
      <c r="F864" s="8" t="s">
        <v>604</v>
      </c>
      <c r="G864" s="4" t="s">
        <v>975</v>
      </c>
      <c r="H864" s="18" t="s">
        <v>19</v>
      </c>
      <c r="I864" s="18">
        <v>60.0</v>
      </c>
      <c r="J864" s="11" t="str">
        <f>IF(D864&lt;&gt;"",VLOOKUP(H864,TABLEITEM,5,FALSE),"")</f>
        <v>ROLL</v>
      </c>
      <c r="K864" s="17">
        <v>140.0</v>
      </c>
      <c r="L864" s="13">
        <v>0.0</v>
      </c>
      <c r="M864" s="13" t="s">
        <v>1002</v>
      </c>
      <c r="N864" s="14">
        <v>8400.0</v>
      </c>
      <c r="O864" s="4" t="s">
        <v>1003</v>
      </c>
      <c r="P864" s="4"/>
    </row>
    <row r="865" ht="15.75" hidden="1" customHeight="1">
      <c r="B865" s="8">
        <v>1181.0</v>
      </c>
      <c r="C865" s="9">
        <v>43187.0</v>
      </c>
      <c r="D865" s="6" t="s">
        <v>1005</v>
      </c>
      <c r="E865" s="4">
        <v>6.103000381E9</v>
      </c>
      <c r="F865" s="8" t="s">
        <v>604</v>
      </c>
      <c r="G865" s="4" t="s">
        <v>975</v>
      </c>
      <c r="H865" s="18" t="s">
        <v>976</v>
      </c>
      <c r="I865" s="18">
        <v>60.0</v>
      </c>
      <c r="J865" s="11" t="str">
        <f>IF(D865&lt;&gt;"",VLOOKUP(H865,TABLEITEM,5,FALSE),"")</f>
        <v>ROLL</v>
      </c>
      <c r="K865" s="17">
        <v>140.0</v>
      </c>
      <c r="L865" s="13">
        <v>0.0</v>
      </c>
      <c r="M865" s="13" t="s">
        <v>1002</v>
      </c>
      <c r="N865" s="14">
        <v>8400.0</v>
      </c>
      <c r="O865" s="4" t="s">
        <v>1003</v>
      </c>
      <c r="P865" s="4"/>
    </row>
    <row r="866" ht="15.75" hidden="1" customHeight="1">
      <c r="B866" s="8">
        <v>1182.0</v>
      </c>
      <c r="C866" s="9">
        <v>43405.0</v>
      </c>
      <c r="D866" s="6" t="s">
        <v>1006</v>
      </c>
      <c r="E866" s="4">
        <v>6.110001328E9</v>
      </c>
      <c r="F866" s="8" t="s">
        <v>604</v>
      </c>
      <c r="G866" s="4" t="s">
        <v>975</v>
      </c>
      <c r="H866" s="18" t="s">
        <v>19</v>
      </c>
      <c r="I866" s="18">
        <v>60.0</v>
      </c>
      <c r="J866" s="11" t="str">
        <f>IF(D866&lt;&gt;"",VLOOKUP(H866,TABLEITEM,5,FALSE),"")</f>
        <v>ROLL</v>
      </c>
      <c r="K866" s="17">
        <v>140.0</v>
      </c>
      <c r="L866" s="13">
        <v>0.0</v>
      </c>
      <c r="M866" s="13" t="s">
        <v>1002</v>
      </c>
      <c r="N866" s="14">
        <v>8400.0</v>
      </c>
      <c r="O866" s="4" t="s">
        <v>1003</v>
      </c>
      <c r="P866" s="4"/>
    </row>
    <row r="867" ht="15.75" hidden="1" customHeight="1">
      <c r="B867" s="8">
        <v>1183.0</v>
      </c>
      <c r="C867" s="9">
        <v>43222.0</v>
      </c>
      <c r="D867" s="6" t="s">
        <v>1007</v>
      </c>
      <c r="E867" s="4">
        <v>6.104000512E9</v>
      </c>
      <c r="F867" s="8" t="s">
        <v>604</v>
      </c>
      <c r="G867" s="4" t="s">
        <v>975</v>
      </c>
      <c r="H867" s="18" t="s">
        <v>976</v>
      </c>
      <c r="I867" s="18">
        <v>60.0</v>
      </c>
      <c r="J867" s="11" t="str">
        <f>IF(D867&lt;&gt;"",VLOOKUP(H867,TABLEITEM,5,FALSE),"")</f>
        <v>ROLL</v>
      </c>
      <c r="K867" s="17">
        <v>140.0</v>
      </c>
      <c r="L867" s="13">
        <v>0.0</v>
      </c>
      <c r="M867" s="13" t="s">
        <v>1002</v>
      </c>
      <c r="N867" s="14">
        <v>8400.0</v>
      </c>
      <c r="O867" s="4" t="s">
        <v>1003</v>
      </c>
      <c r="P867" s="4"/>
    </row>
    <row r="868" ht="15.75" hidden="1" customHeight="1">
      <c r="B868" s="8">
        <v>1184.0</v>
      </c>
      <c r="C868" s="9">
        <v>43273.0</v>
      </c>
      <c r="D868" s="6" t="s">
        <v>1008</v>
      </c>
      <c r="E868" s="4">
        <v>6.106000765E9</v>
      </c>
      <c r="F868" s="8" t="s">
        <v>604</v>
      </c>
      <c r="G868" s="4" t="s">
        <v>975</v>
      </c>
      <c r="H868" s="18" t="s">
        <v>976</v>
      </c>
      <c r="I868" s="18">
        <v>60.0</v>
      </c>
      <c r="J868" s="11" t="str">
        <f>IF(D868&lt;&gt;"",VLOOKUP(H868,TABLEITEM,5,FALSE),"")</f>
        <v>ROLL</v>
      </c>
      <c r="K868" s="17">
        <v>140.0</v>
      </c>
      <c r="L868" s="13">
        <v>0.0</v>
      </c>
      <c r="M868" s="13" t="s">
        <v>1002</v>
      </c>
      <c r="N868" s="14">
        <v>8400.0</v>
      </c>
      <c r="O868" s="4" t="s">
        <v>1003</v>
      </c>
      <c r="P868" s="4"/>
    </row>
    <row r="869" ht="15.75" hidden="1" customHeight="1">
      <c r="B869" s="8">
        <v>1185.0</v>
      </c>
      <c r="C869" s="9">
        <v>43117.0</v>
      </c>
      <c r="D869" s="6">
        <v>5340.0</v>
      </c>
      <c r="E869" s="4">
        <v>6.101000062E9</v>
      </c>
      <c r="F869" s="8" t="s">
        <v>604</v>
      </c>
      <c r="G869" s="4" t="s">
        <v>1009</v>
      </c>
      <c r="H869" s="18" t="s">
        <v>1010</v>
      </c>
      <c r="I869" s="18">
        <v>100.0</v>
      </c>
      <c r="J869" s="11" t="str">
        <f>IF(D869&lt;&gt;"",VLOOKUP(H869,TABLEITEM,5,FALSE),"")</f>
        <v>EA</v>
      </c>
      <c r="K869" s="17">
        <v>200.0</v>
      </c>
      <c r="L869" s="13">
        <v>0.0</v>
      </c>
      <c r="M869" s="13" t="s">
        <v>1011</v>
      </c>
      <c r="N869" s="14">
        <v>20000.0</v>
      </c>
      <c r="O869" s="4"/>
      <c r="P869" s="4"/>
    </row>
    <row r="870" ht="15.75" hidden="1" customHeight="1">
      <c r="B870" s="8">
        <v>1186.0</v>
      </c>
      <c r="C870" s="9">
        <v>43141.0</v>
      </c>
      <c r="D870" s="6">
        <v>5501.0</v>
      </c>
      <c r="E870" s="4">
        <v>6.102000182E9</v>
      </c>
      <c r="F870" s="8" t="s">
        <v>604</v>
      </c>
      <c r="G870" s="4" t="s">
        <v>1009</v>
      </c>
      <c r="H870" s="18" t="s">
        <v>1012</v>
      </c>
      <c r="I870" s="18">
        <v>300.0</v>
      </c>
      <c r="J870" s="11" t="str">
        <f>IF(D870&lt;&gt;"",VLOOKUP(H870,TABLEITEM,5,FALSE),"")</f>
        <v>EA</v>
      </c>
      <c r="K870" s="17">
        <v>33.0</v>
      </c>
      <c r="L870" s="13">
        <v>0.0</v>
      </c>
      <c r="M870" s="13" t="s">
        <v>1013</v>
      </c>
      <c r="N870" s="14">
        <v>9900.0</v>
      </c>
      <c r="O870" s="4"/>
      <c r="P870" s="4"/>
    </row>
    <row r="871" ht="15.75" hidden="1" customHeight="1">
      <c r="B871" s="8">
        <v>1187.0</v>
      </c>
      <c r="C871" s="9">
        <v>43174.0</v>
      </c>
      <c r="D871" s="6">
        <v>5709.0</v>
      </c>
      <c r="E871" s="4">
        <v>6.103000315E9</v>
      </c>
      <c r="F871" s="8" t="s">
        <v>604</v>
      </c>
      <c r="G871" s="4" t="s">
        <v>1009</v>
      </c>
      <c r="H871" s="18" t="s">
        <v>1014</v>
      </c>
      <c r="I871" s="18">
        <v>100.0</v>
      </c>
      <c r="J871" s="11" t="str">
        <f>IF(D871&lt;&gt;"",VLOOKUP(H871,TABLEITEM,5,FALSE),"")</f>
        <v>EA</v>
      </c>
      <c r="K871" s="17">
        <v>90.0</v>
      </c>
      <c r="L871" s="13">
        <v>0.0</v>
      </c>
      <c r="M871" s="13" t="s">
        <v>1015</v>
      </c>
      <c r="N871" s="14">
        <v>9000.0</v>
      </c>
      <c r="O871" s="4"/>
      <c r="P871" s="4"/>
    </row>
    <row r="872" ht="15.75" hidden="1" customHeight="1">
      <c r="B872" s="8">
        <v>1188.0</v>
      </c>
      <c r="C872" s="9">
        <v>43222.0</v>
      </c>
      <c r="D872" s="6">
        <v>5960.0</v>
      </c>
      <c r="E872" s="4">
        <v>6.104000515E9</v>
      </c>
      <c r="F872" s="8" t="s">
        <v>604</v>
      </c>
      <c r="G872" s="4" t="s">
        <v>1009</v>
      </c>
      <c r="H872" s="18" t="s">
        <v>126</v>
      </c>
      <c r="I872" s="18">
        <v>93.0</v>
      </c>
      <c r="J872" s="11" t="str">
        <f>IF(D872&lt;&gt;"",VLOOKUP(H872,TABLEITEM,5,FALSE),"")</f>
        <v>EA</v>
      </c>
      <c r="K872" s="17">
        <v>200.0</v>
      </c>
      <c r="L872" s="13">
        <v>0.0</v>
      </c>
      <c r="M872" s="13" t="s">
        <v>1011</v>
      </c>
      <c r="N872" s="14">
        <v>18600.0</v>
      </c>
      <c r="O872" s="4"/>
      <c r="P872" s="4"/>
    </row>
    <row r="873" ht="15.75" hidden="1" customHeight="1">
      <c r="B873" s="8">
        <v>1189.0</v>
      </c>
      <c r="C873" s="9">
        <v>43311.0</v>
      </c>
      <c r="D873" s="6" t="s">
        <v>1016</v>
      </c>
      <c r="E873" s="4"/>
      <c r="F873" s="8"/>
      <c r="G873" s="4" t="s">
        <v>898</v>
      </c>
      <c r="H873" s="18" t="s">
        <v>899</v>
      </c>
      <c r="I873" s="18">
        <v>2.0</v>
      </c>
      <c r="J873" s="11" t="str">
        <f>IF(D873&lt;&gt;"",VLOOKUP(H873,TABLEITEM,5,FALSE),"")</f>
        <v>LIT</v>
      </c>
      <c r="K873" s="17">
        <v>400.0</v>
      </c>
      <c r="L873" s="13" t="str">
        <f>IF(D873&lt;&gt;"",VLOOKUP(H873,TABLEITEM,2,FALSE),"")</f>
        <v/>
      </c>
      <c r="M873" s="13" t="str">
        <f>IF(D873&lt;&gt;"",VLOOKUP(H873,TABLEITEM,3,FALSE),"")</f>
        <v>สีพ่นแห้งเร็ว(สีผสม)</v>
      </c>
      <c r="N873" s="14">
        <f>INSTOCK!$I873*INSTOCK!$K873</f>
        <v>800</v>
      </c>
      <c r="O873" s="4" t="s">
        <v>1017</v>
      </c>
      <c r="P873" s="4"/>
    </row>
    <row r="874" ht="15.75" hidden="1" customHeight="1">
      <c r="B874" s="8">
        <v>1190.0</v>
      </c>
      <c r="C874" s="9">
        <v>43305.0</v>
      </c>
      <c r="D874" s="6" t="s">
        <v>1018</v>
      </c>
      <c r="E874" s="4"/>
      <c r="F874" s="8" t="s">
        <v>801</v>
      </c>
      <c r="G874" s="4" t="s">
        <v>802</v>
      </c>
      <c r="H874" s="10" t="s">
        <v>803</v>
      </c>
      <c r="I874" s="18">
        <v>15.0</v>
      </c>
      <c r="J874" s="11" t="str">
        <f>IF(D874&lt;&gt;"",VLOOKUP(H874,TABLEITEM,5,FALSE),"")</f>
        <v>ถัง</v>
      </c>
      <c r="K874" s="17">
        <v>1140.19</v>
      </c>
      <c r="L874" s="13" t="str">
        <f>IF(D874&lt;&gt;"",VLOOKUP(H874,TABLEITEM,2,FALSE),"")</f>
        <v/>
      </c>
      <c r="M874" s="13" t="str">
        <f>IF(D874&lt;&gt;"",VLOOKUP(H874,TABLEITEM,3,FALSE),"")</f>
        <v>แก๊สหุงต้ม 48กก</v>
      </c>
      <c r="N874" s="14">
        <f>INSTOCK!$I874*INSTOCK!$K874</f>
        <v>17102.85</v>
      </c>
      <c r="O874" s="4"/>
      <c r="P874" s="4"/>
    </row>
    <row r="875" ht="15.75" hidden="1" customHeight="1">
      <c r="B875" s="8">
        <v>1191.0</v>
      </c>
      <c r="C875" s="9">
        <v>43305.0</v>
      </c>
      <c r="D875" s="6" t="s">
        <v>1019</v>
      </c>
      <c r="E875" s="4">
        <v>6.107000884E9</v>
      </c>
      <c r="F875" s="8"/>
      <c r="G875" s="4" t="s">
        <v>743</v>
      </c>
      <c r="H875" s="18" t="s">
        <v>1020</v>
      </c>
      <c r="I875" s="18">
        <v>20.0</v>
      </c>
      <c r="J875" s="11" t="str">
        <f>IF(D875&lt;&gt;"",VLOOKUP(H875,TABLEITEM,5,FALSE),"")</f>
        <v>KG.</v>
      </c>
      <c r="K875" s="17">
        <v>150.0</v>
      </c>
      <c r="L875" s="13" t="str">
        <f>IF(D875&lt;&gt;"",VLOOKUP(H875,TABLEITEM,2,FALSE),"")</f>
        <v/>
      </c>
      <c r="M875" s="13" t="str">
        <f>IF(D875&lt;&gt;"",VLOOKUP(H875,TABLEITEM,3,FALSE),"")</f>
        <v>สีฝุ่น 1205339PX20</v>
      </c>
      <c r="N875" s="14">
        <f>INSTOCK!$I875*INSTOCK!$K875</f>
        <v>3000</v>
      </c>
      <c r="O875" s="4"/>
      <c r="P875" s="4"/>
    </row>
    <row r="876" ht="15.75" hidden="1" customHeight="1">
      <c r="B876" s="8">
        <v>1192.0</v>
      </c>
      <c r="C876" s="9">
        <v>43305.0</v>
      </c>
      <c r="D876" s="6" t="s">
        <v>1021</v>
      </c>
      <c r="E876" s="4">
        <v>6.107000884E9</v>
      </c>
      <c r="F876" s="8"/>
      <c r="G876" s="4" t="s">
        <v>743</v>
      </c>
      <c r="H876" s="10" t="s">
        <v>1022</v>
      </c>
      <c r="I876" s="10">
        <v>20.0</v>
      </c>
      <c r="J876" s="11" t="str">
        <f>IF(D876&lt;&gt;"",VLOOKUP(H876,TABLEITEM,5,FALSE),"")</f>
        <v>KG.</v>
      </c>
      <c r="K876" s="12">
        <v>160.0</v>
      </c>
      <c r="L876" s="13" t="str">
        <f>IF(D876&lt;&gt;"",VLOOKUP(H876,TABLEITEM,2,FALSE),"")</f>
        <v/>
      </c>
      <c r="M876" s="13" t="str">
        <f>IF(D876&lt;&gt;"",VLOOKUP(H876,TABLEITEM,3,FALSE),"")</f>
        <v>สีฝุ่น  1002905PX20</v>
      </c>
      <c r="N876" s="14">
        <f>INSTOCK!$I876*INSTOCK!$K876</f>
        <v>3200</v>
      </c>
      <c r="O876" s="4"/>
      <c r="P876" s="4"/>
    </row>
    <row r="877" ht="15.75" hidden="1" customHeight="1">
      <c r="B877" s="8">
        <v>1193.0</v>
      </c>
      <c r="C877" s="9">
        <v>43304.0</v>
      </c>
      <c r="D877" s="6" t="s">
        <v>1023</v>
      </c>
      <c r="E877" s="4"/>
      <c r="F877" s="8"/>
      <c r="G877" s="4" t="s">
        <v>702</v>
      </c>
      <c r="H877" s="18" t="s">
        <v>1024</v>
      </c>
      <c r="I877" s="18">
        <v>100.0</v>
      </c>
      <c r="J877" s="11" t="str">
        <f>IF(D877&lt;&gt;"",VLOOKUP(H877,TABLEITEM,5,FALSE),"")</f>
        <v>KG.</v>
      </c>
      <c r="K877" s="17">
        <v>115.0</v>
      </c>
      <c r="L877" s="13" t="str">
        <f>IF(D877&lt;&gt;"",VLOOKUP(H877,TABLEITEM,2,FALSE),"")</f>
        <v/>
      </c>
      <c r="M877" s="13" t="str">
        <f>IF(D877&lt;&gt;"",VLOOKUP(H877,TABLEITEM,3,FALSE),"")</f>
        <v>สีฝุ่น FF 110/815/C สีผิวเงา</v>
      </c>
      <c r="N877" s="14">
        <f>INSTOCK!$I877*INSTOCK!$K877</f>
        <v>11500</v>
      </c>
      <c r="O877" s="4"/>
      <c r="P877" s="4"/>
    </row>
    <row r="878" ht="15.75" hidden="1" customHeight="1">
      <c r="B878" s="8">
        <v>1194.0</v>
      </c>
      <c r="C878" s="9">
        <v>43302.0</v>
      </c>
      <c r="D878" s="6" t="s">
        <v>1025</v>
      </c>
      <c r="E878" s="4">
        <v>6.107000873E9</v>
      </c>
      <c r="F878" s="8"/>
      <c r="G878" s="4" t="s">
        <v>808</v>
      </c>
      <c r="H878" s="18" t="s">
        <v>812</v>
      </c>
      <c r="I878" s="18">
        <v>1.0</v>
      </c>
      <c r="J878" s="11" t="str">
        <f>IF(D878&lt;&gt;"",VLOOKUP(H878,TABLEITEM,5,FALSE),"")</f>
        <v>ท่อ</v>
      </c>
      <c r="K878" s="17">
        <v>2960.0</v>
      </c>
      <c r="L878" s="13" t="str">
        <f>IF(D878&lt;&gt;"",VLOOKUP(H878,TABLEITEM,2,FALSE),"")</f>
        <v/>
      </c>
      <c r="M878" s="13" t="str">
        <f>IF(D878&lt;&gt;"",VLOOKUP(H878,TABLEITEM,3,FALSE),"")</f>
        <v>ออกซิเจนเหลว ขนาด 148 คิว</v>
      </c>
      <c r="N878" s="14">
        <f>INSTOCK!$I878*INSTOCK!$K878</f>
        <v>2960</v>
      </c>
      <c r="O878" s="4"/>
      <c r="P878" s="4"/>
    </row>
    <row r="879" ht="15.75" hidden="1" customHeight="1">
      <c r="B879" s="8">
        <v>1195.0</v>
      </c>
      <c r="C879" s="9">
        <v>43298.0</v>
      </c>
      <c r="D879" s="6">
        <v>6.1070869E7</v>
      </c>
      <c r="E879" s="4">
        <v>6.107000869E9</v>
      </c>
      <c r="F879" s="8"/>
      <c r="G879" s="4" t="s">
        <v>711</v>
      </c>
      <c r="H879" s="18" t="s">
        <v>1026</v>
      </c>
      <c r="I879" s="18">
        <v>20.0</v>
      </c>
      <c r="J879" s="11" t="str">
        <f>IF(D879&lt;&gt;"",VLOOKUP(H879,TABLEITEM,5,FALSE),"")</f>
        <v>KG.</v>
      </c>
      <c r="K879" s="17">
        <v>130.0</v>
      </c>
      <c r="L879" s="13" t="str">
        <f>IF(D879&lt;&gt;"",VLOOKUP(H879,TABLEITEM,2,FALSE),"")</f>
        <v/>
      </c>
      <c r="M879" s="13" t="str">
        <f>IF(D879&lt;&gt;"",VLOOKUP(H879,TABLEITEM,3,FALSE),"")</f>
        <v>สีฝุ่น S00319AN สีขาว</v>
      </c>
      <c r="N879" s="14">
        <f>INSTOCK!$I879*INSTOCK!$K879</f>
        <v>2600</v>
      </c>
      <c r="O879" s="4"/>
      <c r="P879" s="21" t="s">
        <v>1027</v>
      </c>
    </row>
    <row r="880" ht="15.75" hidden="1" customHeight="1">
      <c r="B880" s="8">
        <v>1196.0</v>
      </c>
      <c r="C880" s="9">
        <v>43300.0</v>
      </c>
      <c r="D880" s="6" t="s">
        <v>1028</v>
      </c>
      <c r="E880" s="4">
        <v>6.107000866E9</v>
      </c>
      <c r="F880" s="8" t="s">
        <v>807</v>
      </c>
      <c r="G880" s="4" t="s">
        <v>808</v>
      </c>
      <c r="H880" s="10" t="s">
        <v>809</v>
      </c>
      <c r="I880" s="10">
        <v>1.0</v>
      </c>
      <c r="J880" s="11" t="str">
        <f>IF(D880&lt;&gt;"",VLOOKUP(H880,TABLEITEM,5,FALSE),"")</f>
        <v>ท่อ</v>
      </c>
      <c r="K880" s="12">
        <v>2700.0</v>
      </c>
      <c r="L880" s="13" t="str">
        <f>IF(D880&lt;&gt;"",VLOOKUP(H880,TABLEITEM,2,FALSE),"")</f>
        <v/>
      </c>
      <c r="M880" s="13" t="str">
        <f>IF(D880&lt;&gt;"",VLOOKUP(H880,TABLEITEM,3,FALSE),"")</f>
        <v>ไนโตรเจนเหลว ขนาด 100คิว</v>
      </c>
      <c r="N880" s="14">
        <f>INSTOCK!$I880*INSTOCK!$K880</f>
        <v>2700</v>
      </c>
      <c r="O880" s="4"/>
      <c r="P880" s="4"/>
    </row>
    <row r="881" ht="15.75" hidden="1" customHeight="1">
      <c r="B881" s="8">
        <v>1197.0</v>
      </c>
      <c r="C881" s="9">
        <v>43300.0</v>
      </c>
      <c r="D881" s="6" t="s">
        <v>1028</v>
      </c>
      <c r="E881" s="4">
        <v>6.107000866E9</v>
      </c>
      <c r="F881" s="8" t="s">
        <v>604</v>
      </c>
      <c r="G881" s="4" t="s">
        <v>808</v>
      </c>
      <c r="H881" s="10" t="s">
        <v>831</v>
      </c>
      <c r="I881" s="10">
        <v>1.0</v>
      </c>
      <c r="J881" s="11" t="str">
        <f>IF(D881&lt;&gt;"",VLOOKUP(H881,TABLEITEM,5,FALSE),"")</f>
        <v>ท่อ</v>
      </c>
      <c r="K881" s="12">
        <v>7700.0</v>
      </c>
      <c r="L881" s="13" t="str">
        <f>IF(D881&lt;&gt;"",VLOOKUP(H881,TABLEITEM,2,FALSE),"")</f>
        <v/>
      </c>
      <c r="M881" s="13" t="str">
        <f>IF(D881&lt;&gt;"",VLOOKUP(H881,TABLEITEM,3,FALSE),"")</f>
        <v>5% CO2.34% N2,61% HELIUM 7</v>
      </c>
      <c r="N881" s="14">
        <f>INSTOCK!$I881*INSTOCK!$K881</f>
        <v>7700</v>
      </c>
      <c r="O881" s="4"/>
      <c r="P881" s="4"/>
    </row>
    <row r="882" ht="15.75" hidden="1" customHeight="1">
      <c r="B882" s="8">
        <v>1198.0</v>
      </c>
      <c r="C882" s="9">
        <v>43300.0</v>
      </c>
      <c r="D882" s="6" t="s">
        <v>1029</v>
      </c>
      <c r="E882" s="4" t="s">
        <v>1030</v>
      </c>
      <c r="F882" s="8"/>
      <c r="G882" s="4" t="s">
        <v>743</v>
      </c>
      <c r="H882" s="10" t="s">
        <v>1031</v>
      </c>
      <c r="I882" s="10">
        <v>80.0</v>
      </c>
      <c r="J882" s="11" t="str">
        <f>IF(D882&lt;&gt;"",VLOOKUP(H882,TABLEITEM,5,FALSE),"")</f>
        <v>KG.</v>
      </c>
      <c r="K882" s="12">
        <v>139.05</v>
      </c>
      <c r="L882" s="13" t="str">
        <f>IF(D882&lt;&gt;"",VLOOKUP(H882,TABLEITEM,2,FALSE),"")</f>
        <v/>
      </c>
      <c r="M882" s="13" t="str">
        <f>IF(D882&lt;&gt;"",VLOOKUP(H882,TABLEITEM,3,FALSE),"")</f>
        <v>สีฝุ่น 1021517PX20 </v>
      </c>
      <c r="N882" s="14">
        <f>INSTOCK!$I882*INSTOCK!$K882</f>
        <v>11124</v>
      </c>
      <c r="O882" s="4"/>
      <c r="P882" s="4"/>
    </row>
    <row r="883" ht="15.75" hidden="1" customHeight="1">
      <c r="B883" s="8">
        <v>1199.0</v>
      </c>
      <c r="C883" s="9">
        <v>43299.0</v>
      </c>
      <c r="D883" s="6" t="s">
        <v>1032</v>
      </c>
      <c r="E883" s="4">
        <v>6.107000859E9</v>
      </c>
      <c r="F883" s="8" t="s">
        <v>604</v>
      </c>
      <c r="G883" s="4" t="s">
        <v>1033</v>
      </c>
      <c r="H883" s="10" t="s">
        <v>24</v>
      </c>
      <c r="I883" s="10">
        <v>1000.0</v>
      </c>
      <c r="J883" s="11" t="str">
        <f>IF(D883&lt;&gt;"",VLOOKUP(H883,TABLEITEM,5,FALSE),"")</f>
        <v>EA</v>
      </c>
      <c r="K883" s="12">
        <v>4.5</v>
      </c>
      <c r="L883" s="13" t="str">
        <f>IF(D883&lt;&gt;"",VLOOKUP(H883,TABLEITEM,2,FALSE),"")</f>
        <v/>
      </c>
      <c r="M883" s="13" t="str">
        <f>IF(D883&lt;&gt;"",VLOOKUP(H883,TABLEITEM,3,FALSE),"")</f>
        <v>กระดาษทรายกลม#120</v>
      </c>
      <c r="N883" s="14">
        <f>INSTOCK!$I883*INSTOCK!$K883</f>
        <v>4500</v>
      </c>
      <c r="O883" s="4"/>
      <c r="P883" s="4"/>
    </row>
    <row r="884" ht="15.75" hidden="1" customHeight="1">
      <c r="B884" s="8">
        <v>1200.0</v>
      </c>
      <c r="C884" s="9">
        <v>43299.0</v>
      </c>
      <c r="D884" s="6" t="s">
        <v>1034</v>
      </c>
      <c r="E884" s="4">
        <v>6.107000836E9</v>
      </c>
      <c r="F884" s="8" t="s">
        <v>604</v>
      </c>
      <c r="G884" s="4" t="s">
        <v>798</v>
      </c>
      <c r="H884" s="10" t="s">
        <v>130</v>
      </c>
      <c r="I884" s="10">
        <v>50.0</v>
      </c>
      <c r="J884" s="11" t="str">
        <f>IF(D884&lt;&gt;"",VLOOKUP(H884,TABLEITEM,5,FALSE),"")</f>
        <v>EA</v>
      </c>
      <c r="K884" s="12">
        <v>20.0</v>
      </c>
      <c r="L884" s="13" t="str">
        <f>IF(D884&lt;&gt;"",VLOOKUP(H884,TABLEITEM,2,FALSE),"")</f>
        <v/>
      </c>
      <c r="M884" s="13" t="str">
        <f>IF(D884&lt;&gt;"",VLOOKUP(H884,TABLEITEM,3,FALSE),"")</f>
        <v>มือจับ 1A-261-91-H</v>
      </c>
      <c r="N884" s="14">
        <f>INSTOCK!$I884*INSTOCK!$K884</f>
        <v>1000</v>
      </c>
      <c r="O884" s="4"/>
      <c r="P884" s="4"/>
    </row>
    <row r="885" ht="15.75" hidden="1" customHeight="1">
      <c r="B885" s="8">
        <v>1201.0</v>
      </c>
      <c r="C885" s="9">
        <v>43299.0</v>
      </c>
      <c r="D885" s="6" t="s">
        <v>1034</v>
      </c>
      <c r="E885" s="4">
        <v>6.107000836E9</v>
      </c>
      <c r="F885" s="8" t="s">
        <v>604</v>
      </c>
      <c r="G885" s="4" t="s">
        <v>798</v>
      </c>
      <c r="H885" s="10" t="s">
        <v>1035</v>
      </c>
      <c r="I885" s="10">
        <v>50.0</v>
      </c>
      <c r="J885" s="11" t="str">
        <f>IF(D885&lt;&gt;"",VLOOKUP(H885,TABLEITEM,5,FALSE),"")</f>
        <v>EA</v>
      </c>
      <c r="K885" s="12">
        <v>20.0</v>
      </c>
      <c r="L885" s="13" t="str">
        <f>IF(D885&lt;&gt;"",VLOOKUP(H885,TABLEITEM,2,FALSE),"")</f>
        <v/>
      </c>
      <c r="M885" s="13" t="str">
        <f>IF(D885&lt;&gt;"",VLOOKUP(H885,TABLEITEM,3,FALSE),"")</f>
        <v>มือจับ 1A-262-91-H</v>
      </c>
      <c r="N885" s="14">
        <f>INSTOCK!$I885*INSTOCK!$K885</f>
        <v>1000</v>
      </c>
      <c r="O885" s="4"/>
      <c r="P885" s="4"/>
    </row>
    <row r="886" ht="15.75" hidden="1" customHeight="1">
      <c r="B886" s="8">
        <v>1202.0</v>
      </c>
      <c r="C886" s="9">
        <v>43298.0</v>
      </c>
      <c r="D886" s="6" t="s">
        <v>1036</v>
      </c>
      <c r="E886" s="4">
        <v>6.10700086E9</v>
      </c>
      <c r="F886" s="8" t="s">
        <v>604</v>
      </c>
      <c r="G886" s="4" t="s">
        <v>725</v>
      </c>
      <c r="H886" s="10" t="s">
        <v>1037</v>
      </c>
      <c r="I886" s="10">
        <v>300.0</v>
      </c>
      <c r="J886" s="11" t="str">
        <f>IF(D886&lt;&gt;"",VLOOKUP(H886,TABLEITEM,5,FALSE),"")</f>
        <v>M</v>
      </c>
      <c r="K886" s="12">
        <v>7.0</v>
      </c>
      <c r="L886" s="13" t="str">
        <f>IF(D886&lt;&gt;"",VLOOKUP(H886,TABLEITEM,2,FALSE),"")</f>
        <v/>
      </c>
      <c r="M886" s="13" t="str">
        <f>IF(D886&lt;&gt;"",VLOOKUP(H886,TABLEITEM,3,FALSE),"")</f>
        <v>ยางกันบาดร่อง 6มิล</v>
      </c>
      <c r="N886" s="14">
        <f>INSTOCK!$I886*INSTOCK!$K886</f>
        <v>2100</v>
      </c>
      <c r="O886" s="4"/>
      <c r="P886" s="4"/>
    </row>
    <row r="887" ht="15.75" hidden="1" customHeight="1">
      <c r="B887" s="8">
        <v>1203.0</v>
      </c>
      <c r="C887" s="9">
        <v>43298.0</v>
      </c>
      <c r="D887" s="6" t="s">
        <v>1036</v>
      </c>
      <c r="E887" s="4">
        <v>6.10700086E9</v>
      </c>
      <c r="F887" s="8" t="s">
        <v>604</v>
      </c>
      <c r="G887" s="4" t="s">
        <v>725</v>
      </c>
      <c r="H887" s="10" t="s">
        <v>726</v>
      </c>
      <c r="I887" s="10">
        <v>300.0</v>
      </c>
      <c r="J887" s="11" t="str">
        <f>IF(D887&lt;&gt;"",VLOOKUP(H887,TABLEITEM,5,FALSE),"")</f>
        <v>M</v>
      </c>
      <c r="K887" s="12">
        <v>10.0</v>
      </c>
      <c r="L887" s="13" t="str">
        <f>IF(D887&lt;&gt;"",VLOOKUP(H887,TABLEITEM,2,FALSE),"")</f>
        <v/>
      </c>
      <c r="M887" s="13" t="str">
        <f>IF(D887&lt;&gt;"",VLOOKUP(H887,TABLEITEM,3,FALSE),"")</f>
        <v>ยางกันบาดร่อง 10มิล</v>
      </c>
      <c r="N887" s="14">
        <f>INSTOCK!$I887*INSTOCK!$K887</f>
        <v>3000</v>
      </c>
      <c r="O887" s="4"/>
      <c r="P887" s="4"/>
    </row>
    <row r="888" ht="15.75" hidden="1" customHeight="1">
      <c r="B888" s="8">
        <v>1204.0</v>
      </c>
      <c r="C888" s="9">
        <v>43298.0</v>
      </c>
      <c r="D888" s="6">
        <v>35215.0</v>
      </c>
      <c r="E888" s="4">
        <v>6.107000858E9</v>
      </c>
      <c r="F888" s="8" t="s">
        <v>604</v>
      </c>
      <c r="G888" s="4" t="s">
        <v>696</v>
      </c>
      <c r="H888" s="10" t="s">
        <v>1038</v>
      </c>
      <c r="I888" s="10">
        <v>20.0</v>
      </c>
      <c r="J888" s="11" t="str">
        <f>IF(D888&lt;&gt;"",VLOOKUP(H888,TABLEITEM,5,FALSE),"")</f>
        <v>EA</v>
      </c>
      <c r="K888" s="12">
        <v>145.0</v>
      </c>
      <c r="L888" s="13" t="str">
        <f>IF(D888&lt;&gt;"",VLOOKUP(H888,TABLEITEM,2,FALSE),"")</f>
        <v/>
      </c>
      <c r="M888" s="13" t="str">
        <f>IF(D888&lt;&gt;"",VLOOKUP(H888,TABLEITEM,3,FALSE),"")</f>
        <v>ซิลิโคนใส</v>
      </c>
      <c r="N888" s="14">
        <f>INSTOCK!$I888*INSTOCK!$K888</f>
        <v>2900</v>
      </c>
      <c r="O888" s="4"/>
      <c r="P888" s="4"/>
    </row>
    <row r="889" ht="15.75" hidden="1" customHeight="1">
      <c r="B889" s="8">
        <v>1205.0</v>
      </c>
      <c r="C889" s="9">
        <v>43298.0</v>
      </c>
      <c r="D889" s="6" t="s">
        <v>1039</v>
      </c>
      <c r="E889" s="4">
        <v>6.107000857E9</v>
      </c>
      <c r="F889" s="8" t="s">
        <v>604</v>
      </c>
      <c r="G889" s="4" t="s">
        <v>743</v>
      </c>
      <c r="H889" s="10" t="s">
        <v>86</v>
      </c>
      <c r="I889" s="10">
        <v>120.0</v>
      </c>
      <c r="J889" s="11" t="str">
        <f>IF(D889&lt;&gt;"",VLOOKUP(H889,TABLEITEM,5,FALSE),"")</f>
        <v>KG.</v>
      </c>
      <c r="K889" s="12">
        <v>139.05</v>
      </c>
      <c r="L889" s="13" t="str">
        <f>IF(D889&lt;&gt;"",VLOOKUP(H889,TABLEITEM,2,FALSE),"")</f>
        <v/>
      </c>
      <c r="M889" s="13" t="str">
        <f>IF(D889&lt;&gt;"",VLOOKUP(H889,TABLEITEM,3,FALSE),"")</f>
        <v>สีฝุ่น ครีมเรียบ 1204551PX20</v>
      </c>
      <c r="N889" s="14">
        <f>INSTOCK!$I889*INSTOCK!$K889</f>
        <v>16686</v>
      </c>
      <c r="O889" s="4"/>
      <c r="P889" s="4"/>
    </row>
    <row r="890" ht="15.75" hidden="1" customHeight="1">
      <c r="B890" s="8">
        <v>1206.0</v>
      </c>
      <c r="C890" s="9">
        <v>43120.0</v>
      </c>
      <c r="D890" s="6" t="s">
        <v>1040</v>
      </c>
      <c r="E890" s="4">
        <v>6.10100007E9</v>
      </c>
      <c r="F890" s="8" t="s">
        <v>604</v>
      </c>
      <c r="G890" s="4" t="s">
        <v>965</v>
      </c>
      <c r="H890" s="18" t="s">
        <v>46</v>
      </c>
      <c r="I890" s="18">
        <v>10.0</v>
      </c>
      <c r="J890" s="11" t="str">
        <f>IF(D890&lt;&gt;"",VLOOKUP(H890,TABLEITEM,5,FALSE),"")</f>
        <v>ROLL</v>
      </c>
      <c r="K890" s="17">
        <v>90.0</v>
      </c>
      <c r="L890" s="13">
        <v>0.0</v>
      </c>
      <c r="M890" s="13" t="s">
        <v>1041</v>
      </c>
      <c r="N890" s="14">
        <v>900.0</v>
      </c>
      <c r="O890" s="4"/>
      <c r="P890" s="4"/>
    </row>
    <row r="891" ht="15.75" hidden="1" customHeight="1">
      <c r="B891" s="8">
        <v>1207.0</v>
      </c>
      <c r="C891" s="9">
        <v>43120.0</v>
      </c>
      <c r="D891" s="6" t="s">
        <v>1040</v>
      </c>
      <c r="E891" s="4">
        <v>6.10100007E9</v>
      </c>
      <c r="F891" s="8" t="s">
        <v>604</v>
      </c>
      <c r="G891" s="4" t="s">
        <v>965</v>
      </c>
      <c r="H891" s="18" t="s">
        <v>38</v>
      </c>
      <c r="I891" s="18">
        <v>200.0</v>
      </c>
      <c r="J891" s="11" t="str">
        <f>IF(D891&lt;&gt;"",VLOOKUP(H891,TABLEITEM,5,FALSE),"")</f>
        <v>EA</v>
      </c>
      <c r="K891" s="17">
        <v>2.0</v>
      </c>
      <c r="L891" s="13">
        <v>0.0</v>
      </c>
      <c r="M891" s="13" t="s">
        <v>1042</v>
      </c>
      <c r="N891" s="14">
        <v>400.0</v>
      </c>
      <c r="O891" s="4"/>
      <c r="P891" s="4"/>
    </row>
    <row r="892" ht="15.75" hidden="1" customHeight="1">
      <c r="B892" s="8">
        <v>1208.0</v>
      </c>
      <c r="C892" s="9">
        <v>43143.0</v>
      </c>
      <c r="D892" s="6" t="s">
        <v>1043</v>
      </c>
      <c r="E892" s="4">
        <v>6.102000191E9</v>
      </c>
      <c r="F892" s="8" t="s">
        <v>604</v>
      </c>
      <c r="G892" s="4" t="s">
        <v>965</v>
      </c>
      <c r="H892" s="18" t="s">
        <v>111</v>
      </c>
      <c r="I892" s="18">
        <v>24.0</v>
      </c>
      <c r="J892" s="11" t="str">
        <f>IF(D892&lt;&gt;"",VLOOKUP(H892,TABLEITEM,5,FALSE),"")</f>
        <v>กป.</v>
      </c>
      <c r="K892" s="17">
        <v>41.6666</v>
      </c>
      <c r="L892" s="13">
        <v>0.0</v>
      </c>
      <c r="M892" s="13" t="s">
        <v>1044</v>
      </c>
      <c r="N892" s="14">
        <v>999.9984000000001</v>
      </c>
      <c r="O892" s="4" t="s">
        <v>1045</v>
      </c>
      <c r="P892" s="4"/>
    </row>
    <row r="893" ht="15.75" hidden="1" customHeight="1">
      <c r="B893" s="8">
        <v>1209.0</v>
      </c>
      <c r="C893" s="9">
        <v>43143.0</v>
      </c>
      <c r="D893" s="6" t="s">
        <v>1043</v>
      </c>
      <c r="E893" s="4">
        <v>6.102000191E9</v>
      </c>
      <c r="F893" s="8" t="s">
        <v>604</v>
      </c>
      <c r="G893" s="4" t="s">
        <v>965</v>
      </c>
      <c r="H893" s="10" t="s">
        <v>66</v>
      </c>
      <c r="I893" s="10">
        <v>24.0</v>
      </c>
      <c r="J893" s="11" t="str">
        <f>IF(D893&lt;&gt;"",VLOOKUP(H893,TABLEITEM,5,FALSE),"")</f>
        <v>กป.</v>
      </c>
      <c r="K893" s="12">
        <v>41.6666</v>
      </c>
      <c r="L893" s="13">
        <v>0.0</v>
      </c>
      <c r="M893" s="13" t="s">
        <v>1046</v>
      </c>
      <c r="N893" s="14">
        <v>999.9984000000001</v>
      </c>
      <c r="O893" s="4" t="s">
        <v>1045</v>
      </c>
      <c r="P893" s="4"/>
    </row>
    <row r="894" ht="15.75" hidden="1" customHeight="1">
      <c r="B894" s="8">
        <v>1210.0</v>
      </c>
      <c r="C894" s="9">
        <v>43125.0</v>
      </c>
      <c r="D894" s="6" t="s">
        <v>1047</v>
      </c>
      <c r="E894" s="4">
        <v>6.10100004E9</v>
      </c>
      <c r="F894" s="8"/>
      <c r="G894" s="4" t="s">
        <v>965</v>
      </c>
      <c r="H894" s="18" t="s">
        <v>1048</v>
      </c>
      <c r="I894" s="18">
        <v>1.0</v>
      </c>
      <c r="J894" s="11" t="str">
        <f>IF(D894&lt;&gt;"",VLOOKUP(H894,TABLEITEM,5,FALSE),"")</f>
        <v>ห่อ</v>
      </c>
      <c r="K894" s="17">
        <v>280.0</v>
      </c>
      <c r="L894" s="13">
        <v>0.0</v>
      </c>
      <c r="M894" s="13" t="s">
        <v>1049</v>
      </c>
      <c r="N894" s="14">
        <v>280.0</v>
      </c>
      <c r="O894" s="4"/>
      <c r="P894" s="4"/>
    </row>
    <row r="895" ht="15.75" hidden="1" customHeight="1">
      <c r="B895" s="8">
        <v>1211.0</v>
      </c>
      <c r="C895" s="9">
        <v>43123.0</v>
      </c>
      <c r="D895" s="6" t="s">
        <v>1050</v>
      </c>
      <c r="E895" s="4">
        <v>6.101000092E9</v>
      </c>
      <c r="F895" s="8" t="s">
        <v>1051</v>
      </c>
      <c r="G895" s="4" t="s">
        <v>965</v>
      </c>
      <c r="H895" s="18" t="s">
        <v>966</v>
      </c>
      <c r="I895" s="18">
        <v>20.0</v>
      </c>
      <c r="J895" s="11" t="str">
        <f>IF(D895&lt;&gt;"",VLOOKUP(H895,TABLEITEM,5,FALSE),"")</f>
        <v>EA</v>
      </c>
      <c r="K895" s="17">
        <v>28.0</v>
      </c>
      <c r="L895" s="13">
        <v>0.0</v>
      </c>
      <c r="M895" s="13" t="s">
        <v>1052</v>
      </c>
      <c r="N895" s="14">
        <v>560.0</v>
      </c>
      <c r="O895" s="4"/>
      <c r="P895" s="4"/>
    </row>
    <row r="896" ht="15.75" hidden="1" customHeight="1">
      <c r="B896" s="8">
        <v>1212.0</v>
      </c>
      <c r="C896" s="9">
        <v>43158.0</v>
      </c>
      <c r="D896" s="6" t="s">
        <v>1053</v>
      </c>
      <c r="E896" s="4">
        <v>6.102000245E9</v>
      </c>
      <c r="F896" s="8" t="s">
        <v>1054</v>
      </c>
      <c r="G896" s="4" t="s">
        <v>965</v>
      </c>
      <c r="H896" s="18" t="s">
        <v>966</v>
      </c>
      <c r="I896" s="18">
        <v>20.0</v>
      </c>
      <c r="J896" s="11" t="str">
        <f>IF(D896&lt;&gt;"",VLOOKUP(H896,TABLEITEM,5,FALSE),"")</f>
        <v>EA</v>
      </c>
      <c r="K896" s="17">
        <v>28.0</v>
      </c>
      <c r="L896" s="13">
        <v>0.0</v>
      </c>
      <c r="M896" s="13" t="s">
        <v>1052</v>
      </c>
      <c r="N896" s="14">
        <v>560.0</v>
      </c>
      <c r="O896" s="4"/>
      <c r="P896" s="4"/>
    </row>
    <row r="897" ht="15.75" hidden="1" customHeight="1">
      <c r="B897" s="8">
        <v>1213.0</v>
      </c>
      <c r="C897" s="9">
        <v>43136.0</v>
      </c>
      <c r="D897" s="6" t="s">
        <v>1055</v>
      </c>
      <c r="E897" s="4">
        <v>6.102000198E9</v>
      </c>
      <c r="F897" s="8" t="s">
        <v>1056</v>
      </c>
      <c r="G897" s="4" t="s">
        <v>965</v>
      </c>
      <c r="H897" s="18" t="s">
        <v>966</v>
      </c>
      <c r="I897" s="18">
        <v>20.0</v>
      </c>
      <c r="J897" s="11" t="str">
        <f>IF(D897&lt;&gt;"",VLOOKUP(H897,TABLEITEM,5,FALSE),"")</f>
        <v>EA</v>
      </c>
      <c r="K897" s="17">
        <v>28.0</v>
      </c>
      <c r="L897" s="13">
        <v>0.0</v>
      </c>
      <c r="M897" s="13" t="s">
        <v>1052</v>
      </c>
      <c r="N897" s="14">
        <v>560.0</v>
      </c>
      <c r="O897" s="4"/>
      <c r="P897" s="4"/>
    </row>
    <row r="898" ht="15.75" hidden="1" customHeight="1">
      <c r="B898" s="8">
        <v>1214.0</v>
      </c>
      <c r="C898" s="9">
        <v>43175.0</v>
      </c>
      <c r="D898" s="6" t="s">
        <v>1057</v>
      </c>
      <c r="E898" s="4">
        <v>6.103000332E9</v>
      </c>
      <c r="F898" s="8" t="s">
        <v>1058</v>
      </c>
      <c r="G898" s="4" t="s">
        <v>965</v>
      </c>
      <c r="H898" s="18" t="s">
        <v>966</v>
      </c>
      <c r="I898" s="18">
        <v>40.0</v>
      </c>
      <c r="J898" s="11" t="str">
        <f>IF(D898&lt;&gt;"",VLOOKUP(H898,TABLEITEM,5,FALSE),"")</f>
        <v>EA</v>
      </c>
      <c r="K898" s="17">
        <v>28.0</v>
      </c>
      <c r="L898" s="13">
        <v>0.0</v>
      </c>
      <c r="M898" s="13" t="s">
        <v>1052</v>
      </c>
      <c r="N898" s="14">
        <v>1120.0</v>
      </c>
      <c r="O898" s="4"/>
      <c r="P898" s="4"/>
    </row>
    <row r="899" ht="15.75" hidden="1" customHeight="1">
      <c r="B899" s="8">
        <v>1215.0</v>
      </c>
      <c r="C899" s="9">
        <v>43201.0</v>
      </c>
      <c r="D899" s="6" t="s">
        <v>1059</v>
      </c>
      <c r="E899" s="4">
        <v>6.104000439E9</v>
      </c>
      <c r="F899" s="8" t="s">
        <v>604</v>
      </c>
      <c r="G899" s="4" t="s">
        <v>965</v>
      </c>
      <c r="H899" s="18" t="s">
        <v>46</v>
      </c>
      <c r="I899" s="18">
        <v>10.0</v>
      </c>
      <c r="J899" s="11" t="str">
        <f>IF(D899&lt;&gt;"",VLOOKUP(H899,TABLEITEM,5,FALSE),"")</f>
        <v>ROLL</v>
      </c>
      <c r="K899" s="17">
        <v>95.0</v>
      </c>
      <c r="L899" s="13">
        <v>0.0</v>
      </c>
      <c r="M899" s="13" t="s">
        <v>1041</v>
      </c>
      <c r="N899" s="14">
        <v>950.0</v>
      </c>
      <c r="O899" s="4"/>
      <c r="P899" s="4"/>
    </row>
    <row r="900" ht="15.75" hidden="1" customHeight="1">
      <c r="B900" s="8">
        <v>1216.0</v>
      </c>
      <c r="C900" s="9">
        <v>43242.0</v>
      </c>
      <c r="D900" s="6" t="s">
        <v>1060</v>
      </c>
      <c r="E900" s="4">
        <v>6.10500062E9</v>
      </c>
      <c r="F900" s="8" t="s">
        <v>1061</v>
      </c>
      <c r="G900" s="4" t="s">
        <v>965</v>
      </c>
      <c r="H900" s="18" t="s">
        <v>966</v>
      </c>
      <c r="I900" s="18">
        <v>60.0</v>
      </c>
      <c r="J900" s="11" t="str">
        <f>IF(D900&lt;&gt;"",VLOOKUP(H900,TABLEITEM,5,FALSE),"")</f>
        <v>EA</v>
      </c>
      <c r="K900" s="17">
        <v>28.0</v>
      </c>
      <c r="L900" s="13">
        <v>0.0</v>
      </c>
      <c r="M900" s="13" t="s">
        <v>1052</v>
      </c>
      <c r="N900" s="14">
        <v>1680.0</v>
      </c>
      <c r="O900" s="4"/>
      <c r="P900" s="4"/>
    </row>
    <row r="901" ht="15.75" hidden="1" customHeight="1">
      <c r="B901" s="8">
        <v>1217.0</v>
      </c>
      <c r="C901" s="9">
        <v>43117.0</v>
      </c>
      <c r="D901" s="6">
        <v>3882.0</v>
      </c>
      <c r="E901" s="4"/>
      <c r="F901" s="8" t="s">
        <v>1062</v>
      </c>
      <c r="G901" s="4" t="s">
        <v>1063</v>
      </c>
      <c r="H901" s="18" t="s">
        <v>1064</v>
      </c>
      <c r="I901" s="18">
        <v>3.0</v>
      </c>
      <c r="J901" s="11" t="str">
        <f>IF(D901&lt;&gt;"",VLOOKUP(H901,TABLEITEM,5,FALSE),"")</f>
        <v>SET</v>
      </c>
      <c r="K901" s="17">
        <v>380.0</v>
      </c>
      <c r="L901" s="13">
        <v>0.0</v>
      </c>
      <c r="M901" s="13" t="s">
        <v>1065</v>
      </c>
      <c r="N901" s="14">
        <v>1140.0</v>
      </c>
      <c r="O901" s="4"/>
      <c r="P901" s="4"/>
    </row>
    <row r="902" ht="15.75" hidden="1" customHeight="1">
      <c r="B902" s="8">
        <v>1218.0</v>
      </c>
      <c r="C902" s="9">
        <v>43117.0</v>
      </c>
      <c r="D902" s="6">
        <v>3882.0</v>
      </c>
      <c r="E902" s="4"/>
      <c r="F902" s="8" t="s">
        <v>1062</v>
      </c>
      <c r="G902" s="4" t="s">
        <v>1063</v>
      </c>
      <c r="H902" s="18" t="s">
        <v>1066</v>
      </c>
      <c r="I902" s="18">
        <v>1.0</v>
      </c>
      <c r="J902" s="11" t="str">
        <f>IF(D902&lt;&gt;"",VLOOKUP(H902,TABLEITEM,5,FALSE),"")</f>
        <v>SET</v>
      </c>
      <c r="K902" s="17">
        <v>380.0</v>
      </c>
      <c r="L902" s="13">
        <v>0.0</v>
      </c>
      <c r="M902" s="13" t="s">
        <v>1067</v>
      </c>
      <c r="N902" s="14">
        <v>380.0</v>
      </c>
      <c r="O902" s="4"/>
      <c r="P902" s="4"/>
    </row>
    <row r="903" ht="15.75" hidden="1" customHeight="1">
      <c r="B903" s="8">
        <v>1219.0</v>
      </c>
      <c r="C903" s="9">
        <v>43154.0</v>
      </c>
      <c r="D903" s="6">
        <v>3928.0</v>
      </c>
      <c r="E903" s="4">
        <v>6.102000233E9</v>
      </c>
      <c r="F903" s="8"/>
      <c r="G903" s="4" t="s">
        <v>1063</v>
      </c>
      <c r="H903" s="18" t="s">
        <v>1066</v>
      </c>
      <c r="I903" s="18">
        <v>13.0</v>
      </c>
      <c r="J903" s="11" t="str">
        <f>IF(D903&lt;&gt;"",VLOOKUP(H903,TABLEITEM,5,FALSE),"")</f>
        <v>SET</v>
      </c>
      <c r="K903" s="17">
        <v>380.0</v>
      </c>
      <c r="L903" s="13">
        <v>0.0</v>
      </c>
      <c r="M903" s="13" t="s">
        <v>1067</v>
      </c>
      <c r="N903" s="14">
        <v>4940.0</v>
      </c>
      <c r="O903" s="4"/>
      <c r="P903" s="4"/>
    </row>
    <row r="904" ht="15.75" hidden="1" customHeight="1">
      <c r="B904" s="8">
        <v>1220.0</v>
      </c>
      <c r="C904" s="9">
        <v>43140.0</v>
      </c>
      <c r="D904" s="6">
        <v>3913.0</v>
      </c>
      <c r="E904" s="4">
        <v>6.102000177E9</v>
      </c>
      <c r="F904" s="8" t="s">
        <v>1068</v>
      </c>
      <c r="G904" s="4" t="s">
        <v>1063</v>
      </c>
      <c r="H904" s="18" t="s">
        <v>1066</v>
      </c>
      <c r="I904" s="18">
        <v>1.0</v>
      </c>
      <c r="J904" s="11" t="str">
        <f>IF(D904&lt;&gt;"",VLOOKUP(H904,TABLEITEM,5,FALSE),"")</f>
        <v>SET</v>
      </c>
      <c r="K904" s="17">
        <v>380.0</v>
      </c>
      <c r="L904" s="13">
        <v>0.0</v>
      </c>
      <c r="M904" s="13" t="s">
        <v>1067</v>
      </c>
      <c r="N904" s="14">
        <v>380.0</v>
      </c>
      <c r="O904" s="4"/>
      <c r="P904" s="4"/>
    </row>
    <row r="905" ht="15.75" hidden="1" customHeight="1">
      <c r="B905" s="8">
        <v>1221.0</v>
      </c>
      <c r="C905" s="9">
        <v>43111.0</v>
      </c>
      <c r="D905" s="6" t="s">
        <v>1069</v>
      </c>
      <c r="E905" s="4">
        <v>6.101000029E9</v>
      </c>
      <c r="F905" s="8" t="s">
        <v>604</v>
      </c>
      <c r="G905" s="4" t="s">
        <v>1070</v>
      </c>
      <c r="H905" s="18" t="s">
        <v>1071</v>
      </c>
      <c r="I905" s="18">
        <v>25.0</v>
      </c>
      <c r="J905" s="11" t="str">
        <f>IF(D905&lt;&gt;"",VLOOKUP(H905,TABLEITEM,5,FALSE),"")</f>
        <v>EA</v>
      </c>
      <c r="K905" s="17">
        <v>85.0</v>
      </c>
      <c r="L905" s="13">
        <v>0.0</v>
      </c>
      <c r="M905" s="13" t="s">
        <v>1072</v>
      </c>
      <c r="N905" s="14">
        <v>2125.0</v>
      </c>
      <c r="O905" s="4"/>
      <c r="P905" s="4"/>
    </row>
    <row r="906" ht="15.75" hidden="1" customHeight="1">
      <c r="B906" s="8">
        <v>1222.0</v>
      </c>
      <c r="C906" s="9">
        <v>43150.0</v>
      </c>
      <c r="D906" s="6" t="s">
        <v>1073</v>
      </c>
      <c r="E906" s="4">
        <v>6.102000214E9</v>
      </c>
      <c r="F906" s="8" t="s">
        <v>604</v>
      </c>
      <c r="G906" s="4" t="s">
        <v>1070</v>
      </c>
      <c r="H906" s="18" t="s">
        <v>22</v>
      </c>
      <c r="I906" s="18">
        <v>200.0</v>
      </c>
      <c r="J906" s="11" t="str">
        <f>IF(D906&lt;&gt;"",VLOOKUP(H906,TABLEITEM,5,FALSE),"")</f>
        <v>EA</v>
      </c>
      <c r="K906" s="17">
        <v>38.0</v>
      </c>
      <c r="L906" s="13">
        <v>0.0</v>
      </c>
      <c r="M906" s="13" t="s">
        <v>1074</v>
      </c>
      <c r="N906" s="14">
        <v>7600.0</v>
      </c>
      <c r="O906" s="4"/>
      <c r="P906" s="4"/>
    </row>
    <row r="907" ht="15.75" hidden="1" customHeight="1">
      <c r="B907" s="8">
        <v>1223.0</v>
      </c>
      <c r="C907" s="9">
        <v>43175.0</v>
      </c>
      <c r="D907" s="6" t="s">
        <v>1075</v>
      </c>
      <c r="E907" s="4">
        <v>6.103000312E9</v>
      </c>
      <c r="F907" s="8" t="s">
        <v>604</v>
      </c>
      <c r="G907" s="4" t="s">
        <v>1070</v>
      </c>
      <c r="H907" s="18" t="s">
        <v>22</v>
      </c>
      <c r="I907" s="18">
        <v>300.0</v>
      </c>
      <c r="J907" s="11" t="str">
        <f>IF(D907&lt;&gt;"",VLOOKUP(H907,TABLEITEM,5,FALSE),"")</f>
        <v>EA</v>
      </c>
      <c r="K907" s="17">
        <v>38.0</v>
      </c>
      <c r="L907" s="13">
        <v>0.0</v>
      </c>
      <c r="M907" s="13" t="s">
        <v>1074</v>
      </c>
      <c r="N907" s="14">
        <v>11400.0</v>
      </c>
      <c r="O907" s="4"/>
      <c r="P907" s="4"/>
    </row>
    <row r="908" ht="15.75" hidden="1" customHeight="1">
      <c r="B908" s="8">
        <v>1224.0</v>
      </c>
      <c r="C908" s="9">
        <v>43213.0</v>
      </c>
      <c r="D908" s="6" t="s">
        <v>1076</v>
      </c>
      <c r="E908" s="4">
        <v>6.104000474E9</v>
      </c>
      <c r="F908" s="8" t="s">
        <v>604</v>
      </c>
      <c r="G908" s="4" t="s">
        <v>1070</v>
      </c>
      <c r="H908" s="18" t="s">
        <v>22</v>
      </c>
      <c r="I908" s="18">
        <v>200.0</v>
      </c>
      <c r="J908" s="11" t="str">
        <f>IF(D908&lt;&gt;"",VLOOKUP(H908,TABLEITEM,5,FALSE),"")</f>
        <v>EA</v>
      </c>
      <c r="K908" s="17">
        <v>38.0</v>
      </c>
      <c r="L908" s="13">
        <v>0.0</v>
      </c>
      <c r="M908" s="13" t="s">
        <v>1074</v>
      </c>
      <c r="N908" s="14">
        <v>7600.0</v>
      </c>
      <c r="O908" s="4"/>
      <c r="P908" s="4"/>
    </row>
    <row r="909" ht="15.75" hidden="1" customHeight="1">
      <c r="B909" s="8">
        <v>1225.0</v>
      </c>
      <c r="C909" s="9">
        <v>43242.0</v>
      </c>
      <c r="D909" s="6" t="s">
        <v>1077</v>
      </c>
      <c r="E909" s="4">
        <v>6.105000592E9</v>
      </c>
      <c r="F909" s="8" t="s">
        <v>604</v>
      </c>
      <c r="G909" s="4" t="s">
        <v>1070</v>
      </c>
      <c r="H909" s="18" t="s">
        <v>23</v>
      </c>
      <c r="I909" s="18">
        <v>100.0</v>
      </c>
      <c r="J909" s="11" t="str">
        <f>IF(D909&lt;&gt;"",VLOOKUP(H909,TABLEITEM,5,FALSE),"")</f>
        <v>EA</v>
      </c>
      <c r="K909" s="17">
        <v>38.0</v>
      </c>
      <c r="L909" s="13">
        <v>0.0</v>
      </c>
      <c r="M909" s="13" t="s">
        <v>1078</v>
      </c>
      <c r="N909" s="14">
        <v>3800.0</v>
      </c>
      <c r="O909" s="4"/>
      <c r="P909" s="4"/>
    </row>
    <row r="910" ht="15.75" hidden="1" customHeight="1">
      <c r="B910" s="8">
        <v>1226.0</v>
      </c>
      <c r="C910" s="9">
        <v>43237.0</v>
      </c>
      <c r="D910" s="6" t="s">
        <v>1079</v>
      </c>
      <c r="E910" s="4">
        <v>6.105000592E9</v>
      </c>
      <c r="F910" s="8" t="s">
        <v>604</v>
      </c>
      <c r="G910" s="4" t="s">
        <v>1070</v>
      </c>
      <c r="H910" s="18" t="s">
        <v>22</v>
      </c>
      <c r="I910" s="18">
        <v>200.0</v>
      </c>
      <c r="J910" s="11" t="str">
        <f>IF(D910&lt;&gt;"",VLOOKUP(H910,TABLEITEM,5,FALSE),"")</f>
        <v>EA</v>
      </c>
      <c r="K910" s="17">
        <v>38.0</v>
      </c>
      <c r="L910" s="13">
        <v>0.0</v>
      </c>
      <c r="M910" s="13" t="s">
        <v>1074</v>
      </c>
      <c r="N910" s="14">
        <v>7600.0</v>
      </c>
      <c r="O910" s="4"/>
      <c r="P910" s="4"/>
    </row>
    <row r="911" ht="15.75" hidden="1" customHeight="1">
      <c r="B911" s="8">
        <v>1227.0</v>
      </c>
      <c r="C911" s="9">
        <v>43270.0</v>
      </c>
      <c r="D911" s="6" t="s">
        <v>1080</v>
      </c>
      <c r="E911" s="4">
        <v>6.106000735E9</v>
      </c>
      <c r="F911" s="8" t="s">
        <v>604</v>
      </c>
      <c r="G911" s="4" t="s">
        <v>1070</v>
      </c>
      <c r="H911" s="18" t="s">
        <v>22</v>
      </c>
      <c r="I911" s="18">
        <v>300.0</v>
      </c>
      <c r="J911" s="11" t="str">
        <f>IF(D911&lt;&gt;"",VLOOKUP(H911,TABLEITEM,5,FALSE),"")</f>
        <v>EA</v>
      </c>
      <c r="K911" s="17">
        <v>38.0</v>
      </c>
      <c r="L911" s="13">
        <v>0.0</v>
      </c>
      <c r="M911" s="13" t="s">
        <v>1074</v>
      </c>
      <c r="N911" s="14">
        <v>11400.0</v>
      </c>
      <c r="O911" s="4"/>
      <c r="P911" s="4"/>
    </row>
    <row r="912" ht="15.75" hidden="1" customHeight="1">
      <c r="B912" s="8">
        <v>1228.0</v>
      </c>
      <c r="C912" s="9">
        <v>43296.0</v>
      </c>
      <c r="D912" s="6" t="s">
        <v>1081</v>
      </c>
      <c r="E912" s="4">
        <v>6.107000862E9</v>
      </c>
      <c r="F912" s="8" t="s">
        <v>604</v>
      </c>
      <c r="G912" s="4" t="s">
        <v>692</v>
      </c>
      <c r="H912" s="10" t="s">
        <v>1082</v>
      </c>
      <c r="I912" s="10">
        <v>100.0</v>
      </c>
      <c r="J912" s="11" t="str">
        <f>IF(D912&lt;&gt;"",VLOOKUP(H912,TABLEITEM,5,FALSE),"")</f>
        <v>M</v>
      </c>
      <c r="K912" s="12">
        <v>76.5</v>
      </c>
      <c r="L912" s="13" t="str">
        <f>IF(D912&lt;&gt;"",VLOOKUP(H912,TABLEITEM,2,FALSE),"")</f>
        <v>wire</v>
      </c>
      <c r="M912" s="13" t="str">
        <f>IF(D912&lt;&gt;"",VLOOKUP(H912,TABLEITEM,3,FALSE),"")</f>
        <v>สายTHW ขนาด 1x16 SQMM.สีดำ</v>
      </c>
      <c r="N912" s="14">
        <f>INSTOCK!$I912*INSTOCK!$K912</f>
        <v>7650</v>
      </c>
      <c r="O912" s="4"/>
      <c r="P912" s="4"/>
    </row>
    <row r="913" ht="15.75" hidden="1" customHeight="1">
      <c r="B913" s="8">
        <v>1229.0</v>
      </c>
      <c r="C913" s="9">
        <v>43294.0</v>
      </c>
      <c r="D913" s="6" t="s">
        <v>1083</v>
      </c>
      <c r="E913" s="4">
        <v>6.107000846E9</v>
      </c>
      <c r="F913" s="8" t="s">
        <v>604</v>
      </c>
      <c r="G913" s="4" t="s">
        <v>808</v>
      </c>
      <c r="H913" s="10" t="s">
        <v>818</v>
      </c>
      <c r="I913" s="10">
        <v>4.0</v>
      </c>
      <c r="J913" s="11" t="str">
        <f>IF(D913&lt;&gt;"",VLOOKUP(H913,TABLEITEM,5,FALSE),"")</f>
        <v>ท่อ</v>
      </c>
      <c r="K913" s="12">
        <v>300.0</v>
      </c>
      <c r="L913" s="13" t="str">
        <f>IF(D913&lt;&gt;"",VLOOKUP(H913,TABLEITEM,2,FALSE),"")</f>
        <v/>
      </c>
      <c r="M913" s="13" t="str">
        <f>IF(D913&lt;&gt;"",VLOOKUP(H913,TABLEITEM,3,FALSE),"")</f>
        <v>คาร์บอนไดออกไซด์ ขนาด 25 กก</v>
      </c>
      <c r="N913" s="14">
        <f>INSTOCK!$I913*INSTOCK!$K913</f>
        <v>1200</v>
      </c>
      <c r="O913" s="4"/>
      <c r="P913" s="4"/>
    </row>
    <row r="914" ht="15.75" hidden="1" customHeight="1">
      <c r="B914" s="8">
        <v>1230.0</v>
      </c>
      <c r="C914" s="9">
        <v>43293.0</v>
      </c>
      <c r="D914" s="6" t="s">
        <v>1084</v>
      </c>
      <c r="E914" s="4"/>
      <c r="F914" s="8" t="s">
        <v>1085</v>
      </c>
      <c r="G914" s="4" t="s">
        <v>898</v>
      </c>
      <c r="H914" s="10" t="s">
        <v>899</v>
      </c>
      <c r="I914" s="10">
        <v>3.0</v>
      </c>
      <c r="J914" s="11" t="str">
        <f>IF(D914&lt;&gt;"",VLOOKUP(H914,TABLEITEM,5,FALSE),"")</f>
        <v>LIT</v>
      </c>
      <c r="K914" s="12">
        <v>420.0</v>
      </c>
      <c r="L914" s="13" t="str">
        <f>IF(D914&lt;&gt;"",VLOOKUP(H914,TABLEITEM,2,FALSE),"")</f>
        <v/>
      </c>
      <c r="M914" s="13" t="str">
        <f>IF(D914&lt;&gt;"",VLOOKUP(H914,TABLEITEM,3,FALSE),"")</f>
        <v>สีพ่นแห้งเร็ว(สีผสม)</v>
      </c>
      <c r="N914" s="14">
        <f>INSTOCK!$I914*INSTOCK!$K914</f>
        <v>1260</v>
      </c>
      <c r="O914" s="4" t="s">
        <v>1086</v>
      </c>
      <c r="P914" s="4"/>
    </row>
    <row r="915" ht="15.75" hidden="1" customHeight="1">
      <c r="B915" s="8">
        <v>1231.0</v>
      </c>
      <c r="C915" s="9">
        <v>43293.0</v>
      </c>
      <c r="D915" s="6" t="s">
        <v>1084</v>
      </c>
      <c r="E915" s="4"/>
      <c r="F915" s="8" t="s">
        <v>1085</v>
      </c>
      <c r="G915" s="4" t="s">
        <v>898</v>
      </c>
      <c r="H915" s="10" t="s">
        <v>899</v>
      </c>
      <c r="I915" s="10">
        <v>2.0</v>
      </c>
      <c r="J915" s="11" t="str">
        <f>IF(D915&lt;&gt;"",VLOOKUP(H915,TABLEITEM,5,FALSE),"")</f>
        <v>LIT</v>
      </c>
      <c r="K915" s="12">
        <v>440.0</v>
      </c>
      <c r="L915" s="13" t="str">
        <f>IF(D915&lt;&gt;"",VLOOKUP(H915,TABLEITEM,2,FALSE),"")</f>
        <v/>
      </c>
      <c r="M915" s="13" t="str">
        <f>IF(D915&lt;&gt;"",VLOOKUP(H915,TABLEITEM,3,FALSE),"")</f>
        <v>สีพ่นแห้งเร็ว(สีผสม)</v>
      </c>
      <c r="N915" s="14">
        <f>INSTOCK!$I915*INSTOCK!$K915</f>
        <v>880</v>
      </c>
      <c r="O915" s="4" t="s">
        <v>1087</v>
      </c>
      <c r="P915" s="4"/>
    </row>
    <row r="916" ht="15.75" hidden="1" customHeight="1">
      <c r="B916" s="8">
        <v>1232.0</v>
      </c>
      <c r="C916" s="9">
        <v>43293.0</v>
      </c>
      <c r="D916" s="6" t="s">
        <v>1088</v>
      </c>
      <c r="E916" s="4"/>
      <c r="F916" s="8" t="s">
        <v>801</v>
      </c>
      <c r="G916" s="4" t="s">
        <v>802</v>
      </c>
      <c r="H916" s="10" t="s">
        <v>803</v>
      </c>
      <c r="I916" s="10">
        <v>15.0</v>
      </c>
      <c r="J916" s="11" t="str">
        <f>IF(D916&lt;&gt;"",VLOOKUP(H916,TABLEITEM,5,FALSE),"")</f>
        <v>ถัง</v>
      </c>
      <c r="K916" s="12">
        <v>1140.19</v>
      </c>
      <c r="L916" s="13" t="str">
        <f>IF(D916&lt;&gt;"",VLOOKUP(H916,TABLEITEM,2,FALSE),"")</f>
        <v/>
      </c>
      <c r="M916" s="13" t="str">
        <f>IF(D916&lt;&gt;"",VLOOKUP(H916,TABLEITEM,3,FALSE),"")</f>
        <v>แก๊สหุงต้ม 48กก</v>
      </c>
      <c r="N916" s="14">
        <f>INSTOCK!$I916*INSTOCK!$K916</f>
        <v>17102.85</v>
      </c>
      <c r="O916" s="4"/>
      <c r="P916" s="4"/>
    </row>
    <row r="917" ht="15.75" hidden="1" customHeight="1">
      <c r="B917" s="8">
        <v>1233.0</v>
      </c>
      <c r="C917" s="9">
        <v>43293.0</v>
      </c>
      <c r="D917" s="6" t="s">
        <v>1089</v>
      </c>
      <c r="E917" s="4">
        <v>6.107000848E9</v>
      </c>
      <c r="F917" s="8" t="s">
        <v>807</v>
      </c>
      <c r="G917" s="4" t="s">
        <v>808</v>
      </c>
      <c r="H917" s="10" t="s">
        <v>809</v>
      </c>
      <c r="I917" s="10">
        <v>1.0</v>
      </c>
      <c r="J917" s="11" t="str">
        <f>IF(D917&lt;&gt;"",VLOOKUP(H917,TABLEITEM,5,FALSE),"")</f>
        <v>ท่อ</v>
      </c>
      <c r="K917" s="12">
        <v>2700.0</v>
      </c>
      <c r="L917" s="13" t="str">
        <f>IF(D917&lt;&gt;"",VLOOKUP(H917,TABLEITEM,2,FALSE),"")</f>
        <v/>
      </c>
      <c r="M917" s="13" t="str">
        <f>IF(D917&lt;&gt;"",VLOOKUP(H917,TABLEITEM,3,FALSE),"")</f>
        <v>ไนโตรเจนเหลว ขนาด 100คิว</v>
      </c>
      <c r="N917" s="14">
        <f>INSTOCK!$I917*INSTOCK!$K917</f>
        <v>2700</v>
      </c>
      <c r="O917" s="4"/>
      <c r="P917" s="4"/>
    </row>
    <row r="918" ht="15.75" hidden="1" customHeight="1">
      <c r="B918" s="8">
        <v>1234.0</v>
      </c>
      <c r="C918" s="9">
        <v>43293.0</v>
      </c>
      <c r="D918" s="6" t="s">
        <v>1090</v>
      </c>
      <c r="E918" s="4">
        <v>6.107000846E9</v>
      </c>
      <c r="F918" s="8" t="s">
        <v>604</v>
      </c>
      <c r="G918" s="4" t="s">
        <v>808</v>
      </c>
      <c r="H918" s="10" t="s">
        <v>818</v>
      </c>
      <c r="I918" s="10">
        <v>6.0</v>
      </c>
      <c r="J918" s="11" t="str">
        <f>IF(D918&lt;&gt;"",VLOOKUP(H918,TABLEITEM,5,FALSE),"")</f>
        <v>ท่อ</v>
      </c>
      <c r="K918" s="12">
        <v>300.0</v>
      </c>
      <c r="L918" s="13" t="str">
        <f>IF(D918&lt;&gt;"",VLOOKUP(H918,TABLEITEM,2,FALSE),"")</f>
        <v/>
      </c>
      <c r="M918" s="13" t="str">
        <f>IF(D918&lt;&gt;"",VLOOKUP(H918,TABLEITEM,3,FALSE),"")</f>
        <v>คาร์บอนไดออกไซด์ ขนาด 25 กก</v>
      </c>
      <c r="N918" s="14">
        <f>INSTOCK!$I918*INSTOCK!$K918</f>
        <v>1800</v>
      </c>
      <c r="O918" s="4"/>
      <c r="P918" s="4"/>
    </row>
    <row r="919" ht="15.75" hidden="1" customHeight="1">
      <c r="B919" s="8">
        <v>1235.0</v>
      </c>
      <c r="C919" s="9">
        <v>43293.0</v>
      </c>
      <c r="D919" s="6" t="s">
        <v>1090</v>
      </c>
      <c r="E919" s="4">
        <v>6.107000846E9</v>
      </c>
      <c r="F919" s="8" t="s">
        <v>604</v>
      </c>
      <c r="G919" s="4" t="s">
        <v>808</v>
      </c>
      <c r="H919" s="10" t="s">
        <v>816</v>
      </c>
      <c r="I919" s="10">
        <v>4.0</v>
      </c>
      <c r="J919" s="11" t="str">
        <f>IF(D919&lt;&gt;"",VLOOKUP(H919,TABLEITEM,5,FALSE),"")</f>
        <v>ท่อ</v>
      </c>
      <c r="K919" s="12">
        <v>600.0</v>
      </c>
      <c r="L919" s="13" t="str">
        <f>IF(D919&lt;&gt;"",VLOOKUP(H919,TABLEITEM,2,FALSE),"")</f>
        <v/>
      </c>
      <c r="M919" s="13" t="str">
        <f>IF(D919&lt;&gt;"",VLOOKUP(H919,TABLEITEM,3,FALSE),"")</f>
        <v>อาร์กอน ขนาด 6คิว</v>
      </c>
      <c r="N919" s="14">
        <f>INSTOCK!$I919*INSTOCK!$K919</f>
        <v>2400</v>
      </c>
      <c r="O919" s="4"/>
      <c r="P919" s="4"/>
    </row>
    <row r="920" ht="15.75" hidden="1" customHeight="1">
      <c r="B920" s="8">
        <v>1236.0</v>
      </c>
      <c r="C920" s="9">
        <v>43292.0</v>
      </c>
      <c r="D920" s="6" t="s">
        <v>1091</v>
      </c>
      <c r="E920" s="4"/>
      <c r="F920" s="8" t="s">
        <v>604</v>
      </c>
      <c r="G920" s="4" t="s">
        <v>1092</v>
      </c>
      <c r="H920" s="10" t="s">
        <v>816</v>
      </c>
      <c r="I920" s="10">
        <v>4.0</v>
      </c>
      <c r="J920" s="11" t="str">
        <f>IF(D920&lt;&gt;"",VLOOKUP(H920,TABLEITEM,5,FALSE),"")</f>
        <v>ท่อ</v>
      </c>
      <c r="K920" s="12">
        <v>600.0</v>
      </c>
      <c r="L920" s="13" t="str">
        <f>IF(D920&lt;&gt;"",VLOOKUP(H920,TABLEITEM,2,FALSE),"")</f>
        <v/>
      </c>
      <c r="M920" s="13" t="str">
        <f>IF(D920&lt;&gt;"",VLOOKUP(H920,TABLEITEM,3,FALSE),"")</f>
        <v>อาร์กอน ขนาด 6คิว</v>
      </c>
      <c r="N920" s="14">
        <f>INSTOCK!$I920*INSTOCK!$K920</f>
        <v>2400</v>
      </c>
      <c r="O920" s="4"/>
      <c r="P920" s="4"/>
    </row>
    <row r="921" ht="15.75" hidden="1" customHeight="1">
      <c r="B921" s="8">
        <v>1237.0</v>
      </c>
      <c r="C921" s="9">
        <v>43292.0</v>
      </c>
      <c r="D921" s="6" t="s">
        <v>1091</v>
      </c>
      <c r="E921" s="4"/>
      <c r="F921" s="8" t="s">
        <v>604</v>
      </c>
      <c r="G921" s="4" t="s">
        <v>1092</v>
      </c>
      <c r="H921" s="10" t="s">
        <v>818</v>
      </c>
      <c r="I921" s="10">
        <v>4.0</v>
      </c>
      <c r="J921" s="11" t="str">
        <f>IF(D921&lt;&gt;"",VLOOKUP(H921,TABLEITEM,5,FALSE),"")</f>
        <v>ท่อ</v>
      </c>
      <c r="K921" s="12">
        <v>280.0</v>
      </c>
      <c r="L921" s="13" t="str">
        <f>IF(D921&lt;&gt;"",VLOOKUP(H921,TABLEITEM,2,FALSE),"")</f>
        <v/>
      </c>
      <c r="M921" s="13" t="str">
        <f>IF(D921&lt;&gt;"",VLOOKUP(H921,TABLEITEM,3,FALSE),"")</f>
        <v>คาร์บอนไดออกไซด์ ขนาด 25 กก</v>
      </c>
      <c r="N921" s="14">
        <f>INSTOCK!$I921*INSTOCK!$K921</f>
        <v>1120</v>
      </c>
      <c r="O921" s="4"/>
      <c r="P921" s="4"/>
    </row>
    <row r="922" ht="15.75" hidden="1" customHeight="1">
      <c r="B922" s="8">
        <v>1238.0</v>
      </c>
      <c r="C922" s="9">
        <v>43290.0</v>
      </c>
      <c r="D922" s="6" t="s">
        <v>1093</v>
      </c>
      <c r="E922" s="4">
        <v>6.10700083E9</v>
      </c>
      <c r="F922" s="8" t="s">
        <v>807</v>
      </c>
      <c r="G922" s="4" t="s">
        <v>808</v>
      </c>
      <c r="H922" s="10" t="s">
        <v>809</v>
      </c>
      <c r="I922" s="10">
        <v>1.0</v>
      </c>
      <c r="J922" s="11" t="str">
        <f>IF(D922&lt;&gt;"",VLOOKUP(H922,TABLEITEM,5,FALSE),"")</f>
        <v>ท่อ</v>
      </c>
      <c r="K922" s="12">
        <v>2700.0</v>
      </c>
      <c r="L922" s="13" t="str">
        <f>IF(D922&lt;&gt;"",VLOOKUP(H922,TABLEITEM,2,FALSE),"")</f>
        <v/>
      </c>
      <c r="M922" s="13" t="str">
        <f>IF(D922&lt;&gt;"",VLOOKUP(H922,TABLEITEM,3,FALSE),"")</f>
        <v>ไนโตรเจนเหลว ขนาด 100คิว</v>
      </c>
      <c r="N922" s="14">
        <f>INSTOCK!$I922*INSTOCK!$K922</f>
        <v>2700</v>
      </c>
      <c r="O922" s="4"/>
      <c r="P922" s="4"/>
    </row>
    <row r="923" ht="15.75" hidden="1" customHeight="1">
      <c r="B923" s="8">
        <v>1239.0</v>
      </c>
      <c r="C923" s="9">
        <v>43104.0</v>
      </c>
      <c r="D923" s="6" t="s">
        <v>1094</v>
      </c>
      <c r="E923" s="4"/>
      <c r="F923" s="8" t="s">
        <v>604</v>
      </c>
      <c r="G923" s="4" t="s">
        <v>1092</v>
      </c>
      <c r="H923" s="18" t="s">
        <v>818</v>
      </c>
      <c r="I923" s="18">
        <v>17.0</v>
      </c>
      <c r="J923" s="11" t="str">
        <f>IF(D923&lt;&gt;"",VLOOKUP(H923,TABLEITEM,5,FALSE),"")</f>
        <v>ท่อ</v>
      </c>
      <c r="K923" s="17">
        <v>280.0</v>
      </c>
      <c r="L923" s="13">
        <v>0.0</v>
      </c>
      <c r="M923" s="13" t="s">
        <v>819</v>
      </c>
      <c r="N923" s="14">
        <v>4760.0</v>
      </c>
      <c r="O923" s="4"/>
      <c r="P923" s="4"/>
    </row>
    <row r="924" ht="15.75" hidden="1" customHeight="1">
      <c r="B924" s="8">
        <v>1240.0</v>
      </c>
      <c r="C924" s="9">
        <v>43104.0</v>
      </c>
      <c r="D924" s="6" t="s">
        <v>1094</v>
      </c>
      <c r="E924" s="4"/>
      <c r="F924" s="8" t="s">
        <v>604</v>
      </c>
      <c r="G924" s="4" t="s">
        <v>1092</v>
      </c>
      <c r="H924" s="10" t="s">
        <v>816</v>
      </c>
      <c r="I924" s="10">
        <v>4.0</v>
      </c>
      <c r="J924" s="11" t="str">
        <f>IF(D924&lt;&gt;"",VLOOKUP(H924,TABLEITEM,5,FALSE),"")</f>
        <v>ท่อ</v>
      </c>
      <c r="K924" s="12">
        <v>600.0</v>
      </c>
      <c r="L924" s="13">
        <v>0.0</v>
      </c>
      <c r="M924" s="13" t="s">
        <v>817</v>
      </c>
      <c r="N924" s="14">
        <v>2400.0</v>
      </c>
      <c r="O924" s="4"/>
      <c r="P924" s="4"/>
    </row>
    <row r="925" ht="15.75" hidden="1" customHeight="1">
      <c r="B925" s="8">
        <v>1241.0</v>
      </c>
      <c r="C925" s="9">
        <v>43188.0</v>
      </c>
      <c r="D925" s="6" t="s">
        <v>1095</v>
      </c>
      <c r="E925" s="4"/>
      <c r="F925" s="8" t="s">
        <v>604</v>
      </c>
      <c r="G925" s="4" t="s">
        <v>1092</v>
      </c>
      <c r="H925" s="10" t="s">
        <v>818</v>
      </c>
      <c r="I925" s="10">
        <v>13.0</v>
      </c>
      <c r="J925" s="11" t="str">
        <f>IF(D925&lt;&gt;"",VLOOKUP(H925,TABLEITEM,5,FALSE),"")</f>
        <v>ท่อ</v>
      </c>
      <c r="K925" s="12">
        <v>280.0</v>
      </c>
      <c r="L925" s="13">
        <v>0.0</v>
      </c>
      <c r="M925" s="13" t="s">
        <v>819</v>
      </c>
      <c r="N925" s="14">
        <v>3640.0</v>
      </c>
      <c r="O925" s="4"/>
      <c r="P925" s="4"/>
    </row>
    <row r="926" ht="15.75" hidden="1" customHeight="1">
      <c r="B926" s="8">
        <v>1242.0</v>
      </c>
      <c r="C926" s="9">
        <v>43188.0</v>
      </c>
      <c r="D926" s="6" t="s">
        <v>1095</v>
      </c>
      <c r="E926" s="4"/>
      <c r="F926" s="8" t="s">
        <v>604</v>
      </c>
      <c r="G926" s="4" t="s">
        <v>1092</v>
      </c>
      <c r="H926" s="18" t="s">
        <v>816</v>
      </c>
      <c r="I926" s="18">
        <v>7.0</v>
      </c>
      <c r="J926" s="11" t="str">
        <f>IF(D926&lt;&gt;"",VLOOKUP(H926,TABLEITEM,5,FALSE),"")</f>
        <v>ท่อ</v>
      </c>
      <c r="K926" s="17">
        <v>600.0</v>
      </c>
      <c r="L926" s="13">
        <v>0.0</v>
      </c>
      <c r="M926" s="13" t="s">
        <v>817</v>
      </c>
      <c r="N926" s="14">
        <v>4200.0</v>
      </c>
      <c r="O926" s="4"/>
      <c r="P926" s="4"/>
    </row>
    <row r="927" ht="15.75" hidden="1" customHeight="1">
      <c r="B927" s="8">
        <v>1243.0</v>
      </c>
      <c r="C927" s="9">
        <v>43167.0</v>
      </c>
      <c r="D927" s="6" t="s">
        <v>1096</v>
      </c>
      <c r="E927" s="4"/>
      <c r="F927" s="8" t="s">
        <v>604</v>
      </c>
      <c r="G927" s="4" t="s">
        <v>1092</v>
      </c>
      <c r="H927" s="10" t="s">
        <v>818</v>
      </c>
      <c r="I927" s="10">
        <v>12.0</v>
      </c>
      <c r="J927" s="11" t="str">
        <f>IF(D927&lt;&gt;"",VLOOKUP(H927,TABLEITEM,5,FALSE),"")</f>
        <v>ท่อ</v>
      </c>
      <c r="K927" s="12">
        <v>280.0</v>
      </c>
      <c r="L927" s="13">
        <v>0.0</v>
      </c>
      <c r="M927" s="13" t="s">
        <v>819</v>
      </c>
      <c r="N927" s="14">
        <v>3360.0</v>
      </c>
      <c r="O927" s="4"/>
      <c r="P927" s="4"/>
    </row>
    <row r="928" ht="15.75" hidden="1" customHeight="1">
      <c r="B928" s="8">
        <v>1244.0</v>
      </c>
      <c r="C928" s="9">
        <v>43167.0</v>
      </c>
      <c r="D928" s="6" t="s">
        <v>1096</v>
      </c>
      <c r="E928" s="4"/>
      <c r="F928" s="8" t="s">
        <v>604</v>
      </c>
      <c r="G928" s="4" t="s">
        <v>1092</v>
      </c>
      <c r="H928" s="18" t="s">
        <v>816</v>
      </c>
      <c r="I928" s="18">
        <v>1.0</v>
      </c>
      <c r="J928" s="11" t="str">
        <f>IF(D928&lt;&gt;"",VLOOKUP(H928,TABLEITEM,5,FALSE),"")</f>
        <v>ท่อ</v>
      </c>
      <c r="K928" s="17">
        <v>600.0</v>
      </c>
      <c r="L928" s="13">
        <v>0.0</v>
      </c>
      <c r="M928" s="13" t="s">
        <v>817</v>
      </c>
      <c r="N928" s="14">
        <v>600.0</v>
      </c>
      <c r="O928" s="4"/>
      <c r="P928" s="4"/>
    </row>
    <row r="929" ht="15.75" hidden="1" customHeight="1">
      <c r="B929" s="8">
        <v>1245.0</v>
      </c>
      <c r="C929" s="9">
        <v>43245.0</v>
      </c>
      <c r="D929" s="6" t="s">
        <v>1097</v>
      </c>
      <c r="E929" s="4"/>
      <c r="F929" s="8" t="s">
        <v>604</v>
      </c>
      <c r="G929" s="4" t="s">
        <v>1092</v>
      </c>
      <c r="H929" s="18" t="s">
        <v>818</v>
      </c>
      <c r="I929" s="18">
        <v>12.0</v>
      </c>
      <c r="J929" s="11" t="str">
        <f>IF(D929&lt;&gt;"",VLOOKUP(H929,TABLEITEM,5,FALSE),"")</f>
        <v>ท่อ</v>
      </c>
      <c r="K929" s="17">
        <v>280.0</v>
      </c>
      <c r="L929" s="13">
        <v>0.0</v>
      </c>
      <c r="M929" s="13" t="s">
        <v>819</v>
      </c>
      <c r="N929" s="14">
        <v>3360.0</v>
      </c>
      <c r="O929" s="4"/>
      <c r="P929" s="4"/>
    </row>
    <row r="930" ht="15.75" hidden="1" customHeight="1">
      <c r="B930" s="8">
        <v>1246.0</v>
      </c>
      <c r="C930" s="9">
        <v>43222.0</v>
      </c>
      <c r="D930" s="6" t="s">
        <v>1098</v>
      </c>
      <c r="E930" s="4"/>
      <c r="F930" s="8" t="s">
        <v>604</v>
      </c>
      <c r="G930" s="4" t="s">
        <v>1092</v>
      </c>
      <c r="H930" s="10" t="s">
        <v>818</v>
      </c>
      <c r="I930" s="10">
        <v>15.0</v>
      </c>
      <c r="J930" s="11" t="str">
        <f>IF(D930&lt;&gt;"",VLOOKUP(H930,TABLEITEM,5,FALSE),"")</f>
        <v>ท่อ</v>
      </c>
      <c r="K930" s="12">
        <v>280.0</v>
      </c>
      <c r="L930" s="13">
        <v>0.0</v>
      </c>
      <c r="M930" s="13" t="s">
        <v>819</v>
      </c>
      <c r="N930" s="14">
        <v>4200.0</v>
      </c>
      <c r="O930" s="4"/>
      <c r="P930" s="4"/>
    </row>
    <row r="931" ht="15.75" hidden="1" customHeight="1">
      <c r="B931" s="8">
        <v>1247.0</v>
      </c>
      <c r="C931" s="9">
        <v>43222.0</v>
      </c>
      <c r="D931" s="6" t="s">
        <v>1098</v>
      </c>
      <c r="E931" s="4"/>
      <c r="F931" s="8" t="s">
        <v>604</v>
      </c>
      <c r="G931" s="4" t="s">
        <v>1092</v>
      </c>
      <c r="H931" s="18" t="s">
        <v>816</v>
      </c>
      <c r="I931" s="18">
        <v>5.0</v>
      </c>
      <c r="J931" s="11" t="str">
        <f>IF(D931&lt;&gt;"",VLOOKUP(H931,TABLEITEM,5,FALSE),"")</f>
        <v>ท่อ</v>
      </c>
      <c r="K931" s="17">
        <v>600.0</v>
      </c>
      <c r="L931" s="13">
        <v>0.0</v>
      </c>
      <c r="M931" s="13" t="s">
        <v>817</v>
      </c>
      <c r="N931" s="14">
        <v>3000.0</v>
      </c>
      <c r="O931" s="4"/>
      <c r="P931" s="4"/>
    </row>
    <row r="932" ht="15.75" hidden="1" customHeight="1">
      <c r="B932" s="8">
        <v>1248.0</v>
      </c>
      <c r="C932" s="9">
        <v>43269.0</v>
      </c>
      <c r="D932" s="6" t="s">
        <v>1099</v>
      </c>
      <c r="E932" s="4"/>
      <c r="F932" s="8" t="s">
        <v>604</v>
      </c>
      <c r="G932" s="4" t="s">
        <v>1092</v>
      </c>
      <c r="H932" s="10" t="s">
        <v>816</v>
      </c>
      <c r="I932" s="10">
        <v>5.0</v>
      </c>
      <c r="J932" s="11" t="str">
        <f>IF(D932&lt;&gt;"",VLOOKUP(H932,TABLEITEM,5,FALSE),"")</f>
        <v>ท่อ</v>
      </c>
      <c r="K932" s="12">
        <v>600.0</v>
      </c>
      <c r="L932" s="13">
        <v>0.0</v>
      </c>
      <c r="M932" s="13" t="s">
        <v>817</v>
      </c>
      <c r="N932" s="14">
        <v>3000.0</v>
      </c>
      <c r="O932" s="4"/>
      <c r="P932" s="4"/>
    </row>
    <row r="933" ht="15.75" hidden="1" customHeight="1">
      <c r="B933" s="8">
        <v>1249.0</v>
      </c>
      <c r="C933" s="9">
        <v>43269.0</v>
      </c>
      <c r="D933" s="6" t="s">
        <v>1099</v>
      </c>
      <c r="E933" s="4"/>
      <c r="F933" s="8" t="s">
        <v>604</v>
      </c>
      <c r="G933" s="4" t="s">
        <v>1092</v>
      </c>
      <c r="H933" s="18" t="s">
        <v>818</v>
      </c>
      <c r="I933" s="18">
        <v>13.0</v>
      </c>
      <c r="J933" s="11" t="str">
        <f>IF(D933&lt;&gt;"",VLOOKUP(H933,TABLEITEM,5,FALSE),"")</f>
        <v>ท่อ</v>
      </c>
      <c r="K933" s="17">
        <v>280.0</v>
      </c>
      <c r="L933" s="13">
        <v>0.0</v>
      </c>
      <c r="M933" s="13" t="s">
        <v>819</v>
      </c>
      <c r="N933" s="14">
        <v>3640.0</v>
      </c>
      <c r="O933" s="4"/>
      <c r="P933" s="4"/>
    </row>
    <row r="934" ht="15.75" hidden="1" customHeight="1">
      <c r="B934" s="8">
        <v>1250.0</v>
      </c>
      <c r="C934" s="9">
        <v>43116.0</v>
      </c>
      <c r="D934" s="6">
        <v>6101267.0</v>
      </c>
      <c r="E934" s="4">
        <v>6.101000055E9</v>
      </c>
      <c r="F934" s="8" t="s">
        <v>604</v>
      </c>
      <c r="G934" s="4" t="s">
        <v>1100</v>
      </c>
      <c r="H934" s="18" t="s">
        <v>276</v>
      </c>
      <c r="I934" s="18">
        <v>2500.0</v>
      </c>
      <c r="J934" s="11" t="str">
        <f>IF(D934&lt;&gt;"",VLOOKUP(H934,TABLEITEM,5,FALSE),"")</f>
        <v>EA</v>
      </c>
      <c r="K934" s="17">
        <v>0.663</v>
      </c>
      <c r="L934" s="13" t="str">
        <f>IF(D934&lt;&gt;"",VLOOKUP(H934,TABLEITEM,2,FALSE),"")</f>
        <v/>
      </c>
      <c r="M934" s="13" t="str">
        <f>IF(D934&lt;&gt;"",VLOOKUP(H934,TABLEITEM,3,FALSE),"")</f>
        <v>หางปลากลมเปลือย 2-5</v>
      </c>
      <c r="N934" s="14" t="str">
        <f>[1]!Table1[[#This Row],[qty]]*[1]!Table1[[#This Row],[UNIT/Price]]</f>
        <v>#ERROR!</v>
      </c>
      <c r="O934" s="4" t="s">
        <v>1101</v>
      </c>
      <c r="P934" s="4"/>
    </row>
    <row r="935" ht="15.75" hidden="1" customHeight="1">
      <c r="B935" s="8">
        <v>1251.0</v>
      </c>
      <c r="C935" s="9">
        <v>43116.0</v>
      </c>
      <c r="D935" s="6">
        <v>6101267.0</v>
      </c>
      <c r="E935" s="4">
        <v>6.101000055E9</v>
      </c>
      <c r="F935" s="8" t="s">
        <v>604</v>
      </c>
      <c r="G935" s="4" t="s">
        <v>1100</v>
      </c>
      <c r="H935" s="18" t="s">
        <v>278</v>
      </c>
      <c r="I935" s="18">
        <v>2500.0</v>
      </c>
      <c r="J935" s="11" t="str">
        <f>IF(D935&lt;&gt;"",VLOOKUP(H935,TABLEITEM,5,FALSE),"")</f>
        <v>EA</v>
      </c>
      <c r="K935" s="17">
        <v>1.04</v>
      </c>
      <c r="L935" s="13" t="str">
        <f>IF(D935&lt;&gt;"",VLOOKUP(H935,TABLEITEM,2,FALSE),"")</f>
        <v/>
      </c>
      <c r="M935" s="13" t="str">
        <f>IF(D935&lt;&gt;"",VLOOKUP(H935,TABLEITEM,3,FALSE),"")</f>
        <v>หางปลากลมเปลือย 2-8</v>
      </c>
      <c r="N935" s="14" t="str">
        <f>[1]!Table1[[#This Row],[qty]]*[1]!Table1[[#This Row],[UNIT/Price]]</f>
        <v>#ERROR!</v>
      </c>
      <c r="O935" s="4" t="s">
        <v>1102</v>
      </c>
      <c r="P935" s="4"/>
    </row>
    <row r="936" ht="15.75" hidden="1" customHeight="1">
      <c r="B936" s="8">
        <v>1252.0</v>
      </c>
      <c r="C936" s="9">
        <v>43175.0</v>
      </c>
      <c r="D936" s="6" t="s">
        <v>1103</v>
      </c>
      <c r="E936" s="4">
        <v>6.103000326E9</v>
      </c>
      <c r="F936" s="8" t="s">
        <v>604</v>
      </c>
      <c r="G936" s="4" t="s">
        <v>1104</v>
      </c>
      <c r="H936" s="18" t="s">
        <v>1105</v>
      </c>
      <c r="I936" s="18">
        <v>25.0</v>
      </c>
      <c r="J936" s="11" t="str">
        <f>IF(D936&lt;&gt;"",VLOOKUP(H936,TABLEITEM,5,FALSE),"")</f>
        <v>M</v>
      </c>
      <c r="K936" s="17">
        <v>77.75</v>
      </c>
      <c r="L936" s="13">
        <v>0.0</v>
      </c>
      <c r="M936" s="13" t="s">
        <v>1106</v>
      </c>
      <c r="N936" s="14">
        <v>1943.75</v>
      </c>
      <c r="O936" s="4"/>
      <c r="P936" s="4"/>
    </row>
    <row r="937" ht="15.75" hidden="1" customHeight="1">
      <c r="B937" s="8">
        <v>1253.0</v>
      </c>
      <c r="C937" s="9">
        <v>43175.0</v>
      </c>
      <c r="D937" s="6" t="s">
        <v>1103</v>
      </c>
      <c r="E937" s="4">
        <v>6.103000326E9</v>
      </c>
      <c r="F937" s="8" t="s">
        <v>604</v>
      </c>
      <c r="G937" s="4" t="s">
        <v>1104</v>
      </c>
      <c r="H937" s="10" t="s">
        <v>1107</v>
      </c>
      <c r="I937" s="10">
        <v>25.0</v>
      </c>
      <c r="J937" s="11" t="str">
        <f>IF(D937&lt;&gt;"",VLOOKUP(H937,TABLEITEM,5,FALSE),"")</f>
        <v>M</v>
      </c>
      <c r="K937" s="12">
        <v>77.75</v>
      </c>
      <c r="L937" s="13">
        <v>0.0</v>
      </c>
      <c r="M937" s="13" t="s">
        <v>1108</v>
      </c>
      <c r="N937" s="14">
        <v>1943.75</v>
      </c>
      <c r="O937" s="4"/>
      <c r="P937" s="4"/>
    </row>
    <row r="938" ht="15.75" hidden="1" customHeight="1">
      <c r="B938" s="8">
        <v>1254.0</v>
      </c>
      <c r="C938" s="9">
        <v>43175.0</v>
      </c>
      <c r="D938" s="6" t="s">
        <v>1103</v>
      </c>
      <c r="E938" s="4">
        <v>6.103000326E9</v>
      </c>
      <c r="F938" s="8" t="s">
        <v>604</v>
      </c>
      <c r="G938" s="4" t="s">
        <v>1104</v>
      </c>
      <c r="H938" s="10" t="s">
        <v>1109</v>
      </c>
      <c r="I938" s="10">
        <v>25.0</v>
      </c>
      <c r="J938" s="11" t="str">
        <f>IF(D938&lt;&gt;"",VLOOKUP(H938,TABLEITEM,5,FALSE),"")</f>
        <v>M</v>
      </c>
      <c r="K938" s="12">
        <v>77.75</v>
      </c>
      <c r="L938" s="13">
        <v>0.0</v>
      </c>
      <c r="M938" s="13" t="s">
        <v>1110</v>
      </c>
      <c r="N938" s="14">
        <v>1943.75</v>
      </c>
      <c r="O938" s="4"/>
      <c r="P938" s="4"/>
    </row>
    <row r="939" ht="15.75" hidden="1" customHeight="1">
      <c r="B939" s="8">
        <v>1255.0</v>
      </c>
      <c r="C939" s="9">
        <v>43191.0</v>
      </c>
      <c r="D939" s="6" t="s">
        <v>1111</v>
      </c>
      <c r="E939" s="4">
        <v>6.103000403E9</v>
      </c>
      <c r="F939" s="8" t="s">
        <v>604</v>
      </c>
      <c r="G939" s="4" t="s">
        <v>1104</v>
      </c>
      <c r="H939" s="18" t="s">
        <v>1112</v>
      </c>
      <c r="I939" s="18">
        <v>100.0</v>
      </c>
      <c r="J939" s="11" t="str">
        <f>IF(D939&lt;&gt;"",VLOOKUP(H939,TABLEITEM,5,FALSE),"")</f>
        <v>M</v>
      </c>
      <c r="K939" s="17">
        <v>8.5</v>
      </c>
      <c r="L939" s="13">
        <v>0.0</v>
      </c>
      <c r="M939" s="13" t="s">
        <v>1113</v>
      </c>
      <c r="N939" s="14">
        <v>850.0</v>
      </c>
      <c r="O939" s="4"/>
      <c r="P939" s="4"/>
    </row>
    <row r="940" ht="15.75" hidden="1" customHeight="1">
      <c r="B940" s="8">
        <v>1256.0</v>
      </c>
      <c r="C940" s="9">
        <v>43191.0</v>
      </c>
      <c r="D940" s="6" t="s">
        <v>1111</v>
      </c>
      <c r="E940" s="4">
        <v>6.103000403E9</v>
      </c>
      <c r="F940" s="8" t="s">
        <v>604</v>
      </c>
      <c r="G940" s="4" t="s">
        <v>1104</v>
      </c>
      <c r="H940" s="10" t="s">
        <v>1114</v>
      </c>
      <c r="I940" s="10">
        <v>100.0</v>
      </c>
      <c r="J940" s="11" t="str">
        <f>IF(D940&lt;&gt;"",VLOOKUP(H940,TABLEITEM,5,FALSE),"")</f>
        <v>M</v>
      </c>
      <c r="K940" s="12">
        <v>8.5</v>
      </c>
      <c r="L940" s="13">
        <v>0.0</v>
      </c>
      <c r="M940" s="13" t="s">
        <v>1115</v>
      </c>
      <c r="N940" s="14">
        <v>850.0</v>
      </c>
      <c r="O940" s="4"/>
      <c r="P940" s="4"/>
    </row>
    <row r="941" ht="15.75" hidden="1" customHeight="1">
      <c r="B941" s="8">
        <v>1257.0</v>
      </c>
      <c r="C941" s="9">
        <v>43191.0</v>
      </c>
      <c r="D941" s="6" t="s">
        <v>1111</v>
      </c>
      <c r="E941" s="4">
        <v>6.103000403E9</v>
      </c>
      <c r="F941" s="8" t="s">
        <v>604</v>
      </c>
      <c r="G941" s="4" t="s">
        <v>1104</v>
      </c>
      <c r="H941" s="10" t="s">
        <v>1116</v>
      </c>
      <c r="I941" s="10">
        <v>100.0</v>
      </c>
      <c r="J941" s="11" t="str">
        <f>IF(D941&lt;&gt;"",VLOOKUP(H941,TABLEITEM,5,FALSE),"")</f>
        <v>M</v>
      </c>
      <c r="K941" s="12">
        <v>8.5</v>
      </c>
      <c r="L941" s="13">
        <v>0.0</v>
      </c>
      <c r="M941" s="13" t="s">
        <v>1117</v>
      </c>
      <c r="N941" s="14">
        <v>850.0</v>
      </c>
      <c r="O941" s="4"/>
      <c r="P941" s="4"/>
    </row>
    <row r="942" ht="15.75" hidden="1" customHeight="1">
      <c r="B942" s="8">
        <v>1258.0</v>
      </c>
      <c r="C942" s="9">
        <v>43191.0</v>
      </c>
      <c r="D942" s="6" t="s">
        <v>1111</v>
      </c>
      <c r="E942" s="4">
        <v>6.103000403E9</v>
      </c>
      <c r="F942" s="8" t="s">
        <v>604</v>
      </c>
      <c r="G942" s="4" t="s">
        <v>1104</v>
      </c>
      <c r="H942" s="10" t="s">
        <v>1118</v>
      </c>
      <c r="I942" s="10">
        <v>100.0</v>
      </c>
      <c r="J942" s="11" t="str">
        <f>IF(D942&lt;&gt;"",VLOOKUP(H942,TABLEITEM,5,FALSE),"")</f>
        <v>M</v>
      </c>
      <c r="K942" s="12">
        <v>16.52</v>
      </c>
      <c r="L942" s="13">
        <v>0.0</v>
      </c>
      <c r="M942" s="13" t="s">
        <v>1119</v>
      </c>
      <c r="N942" s="14">
        <v>1652.0</v>
      </c>
      <c r="O942" s="4"/>
      <c r="P942" s="4"/>
    </row>
    <row r="943" ht="15.75" hidden="1" customHeight="1">
      <c r="B943" s="8">
        <v>1259.0</v>
      </c>
      <c r="C943" s="9">
        <v>43242.0</v>
      </c>
      <c r="D943" s="6" t="s">
        <v>1120</v>
      </c>
      <c r="E943" s="4">
        <v>6.105000617E9</v>
      </c>
      <c r="F943" s="8" t="s">
        <v>604</v>
      </c>
      <c r="G943" s="4" t="s">
        <v>1104</v>
      </c>
      <c r="H943" s="18" t="s">
        <v>1107</v>
      </c>
      <c r="I943" s="18">
        <v>25.0</v>
      </c>
      <c r="J943" s="11" t="str">
        <f>IF(D943&lt;&gt;"",VLOOKUP(H943,TABLEITEM,5,FALSE),"")</f>
        <v>M</v>
      </c>
      <c r="K943" s="17">
        <v>77.75</v>
      </c>
      <c r="L943" s="13">
        <v>0.0</v>
      </c>
      <c r="M943" s="13" t="s">
        <v>1108</v>
      </c>
      <c r="N943" s="14">
        <v>1943.75</v>
      </c>
      <c r="O943" s="4"/>
      <c r="P943" s="4"/>
    </row>
    <row r="944" ht="15.75" hidden="1" customHeight="1">
      <c r="B944" s="8">
        <v>1260.0</v>
      </c>
      <c r="C944" s="9">
        <v>43241.0</v>
      </c>
      <c r="D944" s="6" t="s">
        <v>1121</v>
      </c>
      <c r="E944" s="4">
        <v>6.105000604E9</v>
      </c>
      <c r="F944" s="8" t="s">
        <v>604</v>
      </c>
      <c r="G944" s="4" t="s">
        <v>1104</v>
      </c>
      <c r="H944" s="18" t="s">
        <v>1122</v>
      </c>
      <c r="I944" s="18">
        <v>25.0</v>
      </c>
      <c r="J944" s="11" t="str">
        <f>IF(D944&lt;&gt;"",VLOOKUP(H944,TABLEITEM,5,FALSE),"")</f>
        <v>M</v>
      </c>
      <c r="K944" s="17">
        <v>354.86</v>
      </c>
      <c r="L944" s="13">
        <v>0.0</v>
      </c>
      <c r="M944" s="13" t="s">
        <v>1123</v>
      </c>
      <c r="N944" s="14">
        <v>8871.5</v>
      </c>
      <c r="O944" s="4"/>
      <c r="P944" s="4"/>
    </row>
    <row r="945" ht="15.75" hidden="1" customHeight="1">
      <c r="B945" s="8">
        <v>1261.0</v>
      </c>
      <c r="C945" s="9">
        <v>43223.0</v>
      </c>
      <c r="D945" s="6" t="s">
        <v>1124</v>
      </c>
      <c r="E945" s="4">
        <v>6.105000526E9</v>
      </c>
      <c r="F945" s="8" t="s">
        <v>604</v>
      </c>
      <c r="G945" s="4" t="s">
        <v>1104</v>
      </c>
      <c r="H945" s="18" t="s">
        <v>1125</v>
      </c>
      <c r="I945" s="18">
        <v>25.0</v>
      </c>
      <c r="J945" s="11" t="str">
        <f>IF(D945&lt;&gt;"",VLOOKUP(H945,TABLEITEM,5,FALSE),"")</f>
        <v>M</v>
      </c>
      <c r="K945" s="17">
        <v>403.74</v>
      </c>
      <c r="L945" s="13">
        <v>0.0</v>
      </c>
      <c r="M945" s="13" t="s">
        <v>1126</v>
      </c>
      <c r="N945" s="14">
        <v>10093.5</v>
      </c>
      <c r="O945" s="4"/>
      <c r="P945" s="4"/>
    </row>
    <row r="946" ht="15.75" hidden="1" customHeight="1">
      <c r="B946" s="8">
        <v>1262.0</v>
      </c>
      <c r="C946" s="9">
        <v>43110.0</v>
      </c>
      <c r="D946" s="6">
        <v>6.1010093E7</v>
      </c>
      <c r="E946" s="4">
        <v>6.101000031E9</v>
      </c>
      <c r="F946" s="8" t="s">
        <v>604</v>
      </c>
      <c r="G946" s="4" t="s">
        <v>1127</v>
      </c>
      <c r="H946" s="18" t="s">
        <v>1128</v>
      </c>
      <c r="I946" s="18">
        <v>24.0</v>
      </c>
      <c r="J946" s="11" t="str">
        <f>IF(D946&lt;&gt;"",VLOOKUP(H946,TABLEITEM,5,FALSE),"")</f>
        <v>คู่</v>
      </c>
      <c r="K946" s="17">
        <v>41.6666</v>
      </c>
      <c r="L946" s="13">
        <v>0.0</v>
      </c>
      <c r="M946" s="13" t="s">
        <v>1129</v>
      </c>
      <c r="N946" s="14">
        <v>999.9984000000001</v>
      </c>
      <c r="O946" s="4" t="s">
        <v>1045</v>
      </c>
      <c r="P946" s="4"/>
    </row>
    <row r="947" ht="15.75" hidden="1" customHeight="1">
      <c r="B947" s="8">
        <v>1263.0</v>
      </c>
      <c r="C947" s="9">
        <v>43185.0</v>
      </c>
      <c r="D947" s="6">
        <v>6.1020341E7</v>
      </c>
      <c r="E947" s="4">
        <v>6.102000246E9</v>
      </c>
      <c r="F947" s="8" t="s">
        <v>604</v>
      </c>
      <c r="G947" s="4" t="s">
        <v>1127</v>
      </c>
      <c r="H947" s="18" t="s">
        <v>17</v>
      </c>
      <c r="I947" s="18">
        <v>24.0</v>
      </c>
      <c r="J947" s="11" t="str">
        <f>IF(D947&lt;&gt;"",VLOOKUP(H947,TABLEITEM,5,FALSE),"")</f>
        <v>คู่</v>
      </c>
      <c r="K947" s="17">
        <v>41.6666</v>
      </c>
      <c r="L947" s="13">
        <v>0.0</v>
      </c>
      <c r="M947" s="13" t="s">
        <v>1129</v>
      </c>
      <c r="N947" s="14">
        <v>999.9984000000001</v>
      </c>
      <c r="O947" s="4" t="s">
        <v>1045</v>
      </c>
      <c r="P947" s="4"/>
    </row>
    <row r="948" ht="15.75" hidden="1" customHeight="1">
      <c r="B948" s="8">
        <v>1264.0</v>
      </c>
      <c r="C948" s="9">
        <v>43222.0</v>
      </c>
      <c r="D948" s="6">
        <v>6.1040007E7</v>
      </c>
      <c r="E948" s="4">
        <v>6.103000402E9</v>
      </c>
      <c r="F948" s="8" t="s">
        <v>604</v>
      </c>
      <c r="G948" s="4" t="s">
        <v>1127</v>
      </c>
      <c r="H948" s="18" t="s">
        <v>17</v>
      </c>
      <c r="I948" s="18">
        <v>24.0</v>
      </c>
      <c r="J948" s="11" t="str">
        <f>IF(D948&lt;&gt;"",VLOOKUP(H948,TABLEITEM,5,FALSE),"")</f>
        <v>คู่</v>
      </c>
      <c r="K948" s="17">
        <v>41.6666</v>
      </c>
      <c r="L948" s="13">
        <v>0.0</v>
      </c>
      <c r="M948" s="13" t="s">
        <v>1129</v>
      </c>
      <c r="N948" s="14">
        <v>999.9984000000001</v>
      </c>
      <c r="O948" s="4"/>
      <c r="P948" s="4"/>
    </row>
    <row r="949" ht="15.75" hidden="1" customHeight="1">
      <c r="B949" s="8">
        <v>1265.0</v>
      </c>
      <c r="C949" s="9">
        <v>43238.0</v>
      </c>
      <c r="D949" s="6">
        <v>6.1050235E7</v>
      </c>
      <c r="E949" s="4">
        <v>6.105000602E9</v>
      </c>
      <c r="F949" s="8" t="s">
        <v>604</v>
      </c>
      <c r="G949" s="4" t="s">
        <v>1127</v>
      </c>
      <c r="H949" s="18" t="s">
        <v>17</v>
      </c>
      <c r="I949" s="18">
        <v>24.0</v>
      </c>
      <c r="J949" s="11" t="str">
        <f>IF(D949&lt;&gt;"",VLOOKUP(H949,TABLEITEM,5,FALSE),"")</f>
        <v>คู่</v>
      </c>
      <c r="K949" s="17">
        <v>41.6666</v>
      </c>
      <c r="L949" s="13">
        <v>0.0</v>
      </c>
      <c r="M949" s="13" t="s">
        <v>1129</v>
      </c>
      <c r="N949" s="14">
        <v>999.9984000000001</v>
      </c>
      <c r="O949" s="4" t="s">
        <v>1045</v>
      </c>
      <c r="P949" s="4"/>
    </row>
    <row r="950" ht="15.75" hidden="1" customHeight="1">
      <c r="B950" s="8">
        <v>1266.0</v>
      </c>
      <c r="C950" s="9">
        <v>43152.0</v>
      </c>
      <c r="D950" s="6">
        <v>6.10206452E8</v>
      </c>
      <c r="E950" s="4">
        <v>6.102000231E9</v>
      </c>
      <c r="F950" s="8"/>
      <c r="G950" s="4" t="s">
        <v>1130</v>
      </c>
      <c r="H950" s="18" t="s">
        <v>180</v>
      </c>
      <c r="I950" s="18">
        <v>3.0</v>
      </c>
      <c r="J950" s="11" t="str">
        <f>IF(D950&lt;&gt;"",VLOOKUP(H950,TABLEITEM,5,FALSE),"")</f>
        <v>EA</v>
      </c>
      <c r="K950" s="17">
        <v>21.1</v>
      </c>
      <c r="L950" s="13">
        <v>0.0</v>
      </c>
      <c r="M950" s="13" t="s">
        <v>1131</v>
      </c>
      <c r="N950" s="14">
        <v>63.300000000000004</v>
      </c>
      <c r="O950" s="4" t="s">
        <v>1132</v>
      </c>
      <c r="P950" s="4"/>
    </row>
    <row r="951" ht="15.75" hidden="1" customHeight="1">
      <c r="B951" s="8">
        <v>1267.0</v>
      </c>
      <c r="C951" s="9">
        <v>43175.0</v>
      </c>
      <c r="D951" s="6">
        <v>6.10305025E8</v>
      </c>
      <c r="E951" s="4">
        <v>6.103000328E9</v>
      </c>
      <c r="F951" s="8"/>
      <c r="G951" s="4" t="s">
        <v>1130</v>
      </c>
      <c r="H951" s="18" t="s">
        <v>1133</v>
      </c>
      <c r="I951" s="18">
        <v>15.0</v>
      </c>
      <c r="J951" s="11" t="str">
        <f>IF(D951&lt;&gt;"",VLOOKUP(H951,TABLEITEM,5,FALSE),"")</f>
        <v>EA</v>
      </c>
      <c r="K951" s="17">
        <v>13.8</v>
      </c>
      <c r="L951" s="13">
        <v>0.0</v>
      </c>
      <c r="M951" s="13" t="s">
        <v>1134</v>
      </c>
      <c r="N951" s="14">
        <v>207.0</v>
      </c>
      <c r="O951" s="4" t="s">
        <v>1135</v>
      </c>
      <c r="P951" s="4"/>
    </row>
    <row r="952" ht="15.75" hidden="1" customHeight="1">
      <c r="B952" s="8">
        <v>1268.0</v>
      </c>
      <c r="C952" s="9">
        <v>43174.0</v>
      </c>
      <c r="D952" s="6">
        <v>6.10304723E8</v>
      </c>
      <c r="E952" s="4">
        <v>6.103000318E9</v>
      </c>
      <c r="F952" s="8"/>
      <c r="G952" s="4" t="s">
        <v>1130</v>
      </c>
      <c r="H952" s="18" t="s">
        <v>1133</v>
      </c>
      <c r="I952" s="18">
        <v>15.0</v>
      </c>
      <c r="J952" s="11" t="str">
        <f>IF(D952&lt;&gt;"",VLOOKUP(H952,TABLEITEM,5,FALSE),"")</f>
        <v>EA</v>
      </c>
      <c r="K952" s="17">
        <v>13.8</v>
      </c>
      <c r="L952" s="13">
        <v>0.0</v>
      </c>
      <c r="M952" s="13" t="s">
        <v>1134</v>
      </c>
      <c r="N952" s="14">
        <v>207.0</v>
      </c>
      <c r="O952" s="4" t="s">
        <v>1135</v>
      </c>
      <c r="P952" s="4"/>
    </row>
    <row r="953" ht="15.75" hidden="1" customHeight="1">
      <c r="B953" s="8">
        <v>1269.0</v>
      </c>
      <c r="C953" s="9">
        <v>43105.0</v>
      </c>
      <c r="D953" s="6" t="s">
        <v>1136</v>
      </c>
      <c r="E953" s="4">
        <v>6.101000011E9</v>
      </c>
      <c r="F953" s="8" t="s">
        <v>604</v>
      </c>
      <c r="G953" s="4" t="s">
        <v>721</v>
      </c>
      <c r="H953" s="18" t="s">
        <v>159</v>
      </c>
      <c r="I953" s="18">
        <v>3000.0</v>
      </c>
      <c r="J953" s="11" t="str">
        <f>IF(D953&lt;&gt;"",VLOOKUP(H953,TABLEITEM,5,FALSE),"")</f>
        <v>EA</v>
      </c>
      <c r="K953" s="17">
        <v>0.10476</v>
      </c>
      <c r="L953" s="13">
        <v>0.0</v>
      </c>
      <c r="M953" s="13" t="s">
        <v>1137</v>
      </c>
      <c r="N953" s="14">
        <v>314.28000000000003</v>
      </c>
      <c r="O953" s="4" t="s">
        <v>1138</v>
      </c>
      <c r="P953" s="4"/>
    </row>
    <row r="954" ht="15.75" hidden="1" customHeight="1">
      <c r="B954" s="8">
        <v>1270.0</v>
      </c>
      <c r="C954" s="9">
        <v>43105.0</v>
      </c>
      <c r="D954" s="6" t="s">
        <v>1136</v>
      </c>
      <c r="E954" s="4">
        <v>6.101000011E9</v>
      </c>
      <c r="F954" s="8" t="s">
        <v>604</v>
      </c>
      <c r="G954" s="4" t="s">
        <v>721</v>
      </c>
      <c r="H954" s="10" t="s">
        <v>166</v>
      </c>
      <c r="I954" s="10">
        <v>1000.0</v>
      </c>
      <c r="J954" s="11" t="str">
        <f>IF(D954&lt;&gt;"",VLOOKUP(H954,TABLEITEM,5,FALSE),"")</f>
        <v>EA</v>
      </c>
      <c r="K954" s="12">
        <v>0.9894</v>
      </c>
      <c r="L954" s="13">
        <v>0.0</v>
      </c>
      <c r="M954" s="13" t="s">
        <v>1139</v>
      </c>
      <c r="N954" s="14">
        <v>989.4</v>
      </c>
      <c r="O954" s="4" t="s">
        <v>1140</v>
      </c>
      <c r="P954" s="4"/>
    </row>
    <row r="955" ht="15.75" hidden="1" customHeight="1">
      <c r="B955" s="8">
        <v>1271.0</v>
      </c>
      <c r="C955" s="9">
        <v>43105.0</v>
      </c>
      <c r="D955" s="6" t="s">
        <v>1136</v>
      </c>
      <c r="E955" s="4">
        <v>6.101000011E9</v>
      </c>
      <c r="F955" s="8" t="s">
        <v>604</v>
      </c>
      <c r="G955" s="4" t="s">
        <v>721</v>
      </c>
      <c r="H955" s="10" t="s">
        <v>223</v>
      </c>
      <c r="I955" s="10">
        <v>200.0</v>
      </c>
      <c r="J955" s="11" t="str">
        <f>IF(D955&lt;&gt;"",VLOOKUP(H955,TABLEITEM,5,FALSE),"")</f>
        <v>M</v>
      </c>
      <c r="K955" s="12">
        <v>11.349</v>
      </c>
      <c r="L955" s="13">
        <v>0.0</v>
      </c>
      <c r="M955" s="13" t="s">
        <v>1141</v>
      </c>
      <c r="N955" s="14">
        <v>2269.8</v>
      </c>
      <c r="O955" s="4" t="s">
        <v>1142</v>
      </c>
      <c r="P955" s="4"/>
    </row>
    <row r="956" ht="15.75" hidden="1" customHeight="1">
      <c r="B956" s="8">
        <v>1272.0</v>
      </c>
      <c r="C956" s="9">
        <v>43150.0</v>
      </c>
      <c r="D956" s="6" t="s">
        <v>1143</v>
      </c>
      <c r="E956" s="4">
        <v>6.102000216E9</v>
      </c>
      <c r="F956" s="8" t="s">
        <v>604</v>
      </c>
      <c r="G956" s="4" t="s">
        <v>721</v>
      </c>
      <c r="H956" s="18" t="s">
        <v>222</v>
      </c>
      <c r="I956" s="18">
        <v>200.0</v>
      </c>
      <c r="J956" s="11" t="str">
        <f>IF(D956&lt;&gt;"",VLOOKUP(H956,TABLEITEM,5,FALSE),"")</f>
        <v>M</v>
      </c>
      <c r="K956" s="17">
        <v>9.4575</v>
      </c>
      <c r="L956" s="13">
        <v>0.0</v>
      </c>
      <c r="M956" s="13" t="s">
        <v>1144</v>
      </c>
      <c r="N956" s="14">
        <v>1891.5</v>
      </c>
      <c r="O956" s="4" t="s">
        <v>1145</v>
      </c>
      <c r="P956" s="4"/>
    </row>
    <row r="957" ht="15.75" hidden="1" customHeight="1">
      <c r="B957" s="8">
        <v>1273.0</v>
      </c>
      <c r="C957" s="9">
        <v>43132.0</v>
      </c>
      <c r="D957" s="6" t="s">
        <v>1146</v>
      </c>
      <c r="E957" s="4" t="s">
        <v>1147</v>
      </c>
      <c r="F957" s="8" t="s">
        <v>604</v>
      </c>
      <c r="G957" s="4" t="s">
        <v>721</v>
      </c>
      <c r="H957" s="18" t="s">
        <v>166</v>
      </c>
      <c r="I957" s="18">
        <v>1000.0</v>
      </c>
      <c r="J957" s="11" t="str">
        <f>IF(D957&lt;&gt;"",VLOOKUP(H957,TABLEITEM,5,FALSE),"")</f>
        <v>EA</v>
      </c>
      <c r="K957" s="17">
        <v>0.8984</v>
      </c>
      <c r="L957" s="13">
        <v>0.0</v>
      </c>
      <c r="M957" s="13" t="s">
        <v>1139</v>
      </c>
      <c r="N957" s="14">
        <v>898.4</v>
      </c>
      <c r="O957" s="21" t="s">
        <v>1140</v>
      </c>
      <c r="P957" s="4"/>
    </row>
    <row r="958" ht="15.75" hidden="1" customHeight="1">
      <c r="B958" s="8">
        <v>1274.0</v>
      </c>
      <c r="C958" s="9">
        <v>43406.0</v>
      </c>
      <c r="D958" s="6" t="s">
        <v>1148</v>
      </c>
      <c r="E958" s="4">
        <v>6.111001344E9</v>
      </c>
      <c r="F958" s="8" t="s">
        <v>604</v>
      </c>
      <c r="G958" s="4" t="s">
        <v>721</v>
      </c>
      <c r="H958" s="18" t="s">
        <v>204</v>
      </c>
      <c r="I958" s="18">
        <v>40.0</v>
      </c>
      <c r="J958" s="11" t="str">
        <f>IF(D958&lt;&gt;"",VLOOKUP(H958,TABLEITEM,5,FALSE),"")</f>
        <v>EA</v>
      </c>
      <c r="K958" s="17">
        <v>102.5</v>
      </c>
      <c r="L958" s="13">
        <v>0.0</v>
      </c>
      <c r="M958" s="13" t="s">
        <v>722</v>
      </c>
      <c r="N958" s="14">
        <v>4100.0</v>
      </c>
      <c r="O958" s="4" t="s">
        <v>1149</v>
      </c>
      <c r="P958" s="4"/>
    </row>
    <row r="959" ht="15.75" hidden="1" customHeight="1">
      <c r="B959" s="8">
        <v>1275.0</v>
      </c>
      <c r="C959" s="9">
        <v>43406.0</v>
      </c>
      <c r="D959" s="6" t="s">
        <v>1148</v>
      </c>
      <c r="E959" s="4">
        <v>6.111001344E9</v>
      </c>
      <c r="F959" s="8" t="s">
        <v>604</v>
      </c>
      <c r="G959" s="4" t="s">
        <v>721</v>
      </c>
      <c r="H959" s="18" t="s">
        <v>206</v>
      </c>
      <c r="I959" s="18">
        <v>30.0</v>
      </c>
      <c r="J959" s="11" t="str">
        <f>IF(D959&lt;&gt;"",VLOOKUP(H959,TABLEITEM,5,FALSE),"")</f>
        <v>EA</v>
      </c>
      <c r="K959" s="17">
        <v>146.7</v>
      </c>
      <c r="L959" s="13">
        <v>0.0</v>
      </c>
      <c r="M959" s="13" t="s">
        <v>1150</v>
      </c>
      <c r="N959" s="14">
        <v>4401.0</v>
      </c>
      <c r="O959" s="4" t="s">
        <v>1151</v>
      </c>
      <c r="P959" s="4"/>
    </row>
    <row r="960" ht="15.75" hidden="1" customHeight="1">
      <c r="B960" s="8">
        <v>1276.0</v>
      </c>
      <c r="C960" s="9">
        <v>43201.0</v>
      </c>
      <c r="D960" s="6" t="s">
        <v>1152</v>
      </c>
      <c r="E960" s="4">
        <v>6.104000424E9</v>
      </c>
      <c r="F960" s="8" t="s">
        <v>604</v>
      </c>
      <c r="G960" s="4" t="s">
        <v>721</v>
      </c>
      <c r="H960" s="18" t="s">
        <v>173</v>
      </c>
      <c r="I960" s="18">
        <v>1000.0</v>
      </c>
      <c r="J960" s="11" t="str">
        <f>IF(D960&lt;&gt;"",VLOOKUP(H960,TABLEITEM,5,FALSE),"")</f>
        <v>EA</v>
      </c>
      <c r="K960" s="17">
        <v>1.7654</v>
      </c>
      <c r="L960" s="13">
        <v>0.0</v>
      </c>
      <c r="M960" s="13" t="s">
        <v>1153</v>
      </c>
      <c r="N960" s="14">
        <v>1765.4</v>
      </c>
      <c r="O960" s="4" t="s">
        <v>1154</v>
      </c>
      <c r="P960" s="4"/>
    </row>
    <row r="961" ht="15.75" hidden="1" customHeight="1">
      <c r="B961" s="8">
        <v>1277.0</v>
      </c>
      <c r="C961" s="9">
        <v>43245.0</v>
      </c>
      <c r="D961" s="6" t="s">
        <v>1155</v>
      </c>
      <c r="E961" s="4">
        <v>6.105000621E9</v>
      </c>
      <c r="F961" s="8" t="s">
        <v>604</v>
      </c>
      <c r="G961" s="4" t="s">
        <v>721</v>
      </c>
      <c r="H961" s="18" t="s">
        <v>225</v>
      </c>
      <c r="I961" s="18">
        <v>100.0</v>
      </c>
      <c r="J961" s="11" t="str">
        <f>IF(D961&lt;&gt;"",VLOOKUP(H961,TABLEITEM,5,FALSE),"")</f>
        <v>M</v>
      </c>
      <c r="K961" s="17">
        <v>14.5</v>
      </c>
      <c r="L961" s="13">
        <v>0.0</v>
      </c>
      <c r="M961" s="13" t="s">
        <v>1156</v>
      </c>
      <c r="N961" s="14">
        <v>1450.0</v>
      </c>
      <c r="O961" s="4" t="s">
        <v>1157</v>
      </c>
      <c r="P961" s="4"/>
    </row>
    <row r="962" ht="15.75" hidden="1" customHeight="1">
      <c r="B962" s="8">
        <v>1278.0</v>
      </c>
      <c r="C962" s="9">
        <v>43241.0</v>
      </c>
      <c r="D962" s="6" t="s">
        <v>1158</v>
      </c>
      <c r="E962" s="4">
        <v>6.105000618E9</v>
      </c>
      <c r="F962" s="8" t="s">
        <v>604</v>
      </c>
      <c r="G962" s="4" t="s">
        <v>721</v>
      </c>
      <c r="H962" s="10" t="s">
        <v>224</v>
      </c>
      <c r="I962" s="10">
        <v>100.0</v>
      </c>
      <c r="J962" s="11" t="str">
        <f>IF(D962&lt;&gt;"",VLOOKUP(H962,TABLEITEM,5,FALSE),"")</f>
        <v>M</v>
      </c>
      <c r="K962" s="12">
        <v>11.9795</v>
      </c>
      <c r="L962" s="13">
        <v>0.0</v>
      </c>
      <c r="M962" s="13" t="s">
        <v>1159</v>
      </c>
      <c r="N962" s="14">
        <v>1197.95</v>
      </c>
      <c r="O962" s="4" t="s">
        <v>1160</v>
      </c>
      <c r="P962" s="4"/>
    </row>
    <row r="963" ht="15.75" hidden="1" customHeight="1">
      <c r="B963" s="8">
        <v>1279.0</v>
      </c>
      <c r="C963" s="9">
        <v>43241.0</v>
      </c>
      <c r="D963" s="6" t="s">
        <v>1158</v>
      </c>
      <c r="E963" s="4">
        <v>6.105000618E9</v>
      </c>
      <c r="F963" s="8" t="s">
        <v>604</v>
      </c>
      <c r="G963" s="4" t="s">
        <v>721</v>
      </c>
      <c r="H963" s="18" t="s">
        <v>223</v>
      </c>
      <c r="I963" s="18">
        <v>100.0</v>
      </c>
      <c r="J963" s="11" t="str">
        <f>IF(D963&lt;&gt;"",VLOOKUP(H963,TABLEITEM,5,FALSE),"")</f>
        <v>M</v>
      </c>
      <c r="K963" s="17">
        <v>11.349</v>
      </c>
      <c r="L963" s="13">
        <v>0.0</v>
      </c>
      <c r="M963" s="13" t="s">
        <v>1141</v>
      </c>
      <c r="N963" s="14">
        <v>1134.9</v>
      </c>
      <c r="O963" s="4" t="s">
        <v>1142</v>
      </c>
      <c r="P963" s="4"/>
    </row>
    <row r="964" ht="15.75" hidden="1" customHeight="1">
      <c r="B964" s="8">
        <v>1280.0</v>
      </c>
      <c r="C964" s="9">
        <v>43239.0</v>
      </c>
      <c r="D964" s="6" t="s">
        <v>1161</v>
      </c>
      <c r="E964" s="4">
        <v>6.105000595E9</v>
      </c>
      <c r="F964" s="8" t="s">
        <v>604</v>
      </c>
      <c r="G964" s="4" t="s">
        <v>721</v>
      </c>
      <c r="H964" s="10" t="s">
        <v>173</v>
      </c>
      <c r="I964" s="10">
        <v>1000.0</v>
      </c>
      <c r="J964" s="11" t="str">
        <f>IF(D964&lt;&gt;"",VLOOKUP(H964,TABLEITEM,5,FALSE),"")</f>
        <v>EA</v>
      </c>
      <c r="K964" s="12">
        <v>1.7654</v>
      </c>
      <c r="L964" s="13">
        <v>0.0</v>
      </c>
      <c r="M964" s="13" t="s">
        <v>1153</v>
      </c>
      <c r="N964" s="14">
        <v>1765.4</v>
      </c>
      <c r="O964" s="4" t="s">
        <v>1154</v>
      </c>
      <c r="P964" s="4"/>
    </row>
    <row r="965" ht="15.75" hidden="1" customHeight="1">
      <c r="B965" s="8">
        <v>1281.0</v>
      </c>
      <c r="C965" s="9">
        <v>43239.0</v>
      </c>
      <c r="D965" s="6" t="s">
        <v>1161</v>
      </c>
      <c r="E965" s="4">
        <v>6.105000595E9</v>
      </c>
      <c r="F965" s="8" t="s">
        <v>604</v>
      </c>
      <c r="G965" s="4" t="s">
        <v>721</v>
      </c>
      <c r="H965" s="10" t="s">
        <v>223</v>
      </c>
      <c r="I965" s="10">
        <v>200.0</v>
      </c>
      <c r="J965" s="11" t="str">
        <f>IF(D965&lt;&gt;"",VLOOKUP(H965,TABLEITEM,5,FALSE),"")</f>
        <v>M</v>
      </c>
      <c r="K965" s="12">
        <v>11.349</v>
      </c>
      <c r="L965" s="13">
        <v>0.0</v>
      </c>
      <c r="M965" s="13" t="s">
        <v>1141</v>
      </c>
      <c r="N965" s="14">
        <v>2269.8</v>
      </c>
      <c r="O965" s="4" t="s">
        <v>1142</v>
      </c>
      <c r="P965" s="4"/>
    </row>
    <row r="966" ht="15.75" hidden="1" customHeight="1">
      <c r="B966" s="8">
        <v>1282.0</v>
      </c>
      <c r="C966" s="9">
        <v>43239.0</v>
      </c>
      <c r="D966" s="6" t="s">
        <v>1161</v>
      </c>
      <c r="E966" s="4">
        <v>6.105000595E9</v>
      </c>
      <c r="F966" s="8" t="s">
        <v>604</v>
      </c>
      <c r="G966" s="4" t="s">
        <v>721</v>
      </c>
      <c r="H966" s="18" t="s">
        <v>1162</v>
      </c>
      <c r="I966" s="18">
        <v>2000.0</v>
      </c>
      <c r="J966" s="11" t="str">
        <f>IF(D966&lt;&gt;"",VLOOKUP(H966,TABLEITEM,5,FALSE),"")</f>
        <v>EA</v>
      </c>
      <c r="K966" s="17">
        <v>1.059</v>
      </c>
      <c r="L966" s="13">
        <v>0.0</v>
      </c>
      <c r="M966" s="13" t="s">
        <v>1163</v>
      </c>
      <c r="N966" s="14">
        <v>2118.0</v>
      </c>
      <c r="O966" s="4" t="s">
        <v>959</v>
      </c>
      <c r="P966" s="4"/>
    </row>
    <row r="967" ht="15.75" hidden="1" customHeight="1">
      <c r="B967" s="8">
        <v>1283.0</v>
      </c>
      <c r="C967" s="9">
        <v>43222.0</v>
      </c>
      <c r="D967" s="6" t="s">
        <v>1164</v>
      </c>
      <c r="E967" s="4">
        <v>6.104000516E9</v>
      </c>
      <c r="F967" s="8" t="s">
        <v>604</v>
      </c>
      <c r="G967" s="4" t="s">
        <v>721</v>
      </c>
      <c r="H967" s="10" t="s">
        <v>159</v>
      </c>
      <c r="I967" s="10">
        <v>2000.0</v>
      </c>
      <c r="J967" s="11" t="str">
        <f>IF(D967&lt;&gt;"",VLOOKUP(H967,TABLEITEM,5,FALSE),"")</f>
        <v>EA</v>
      </c>
      <c r="K967" s="12">
        <v>0.09312</v>
      </c>
      <c r="L967" s="13">
        <v>0.0</v>
      </c>
      <c r="M967" s="13" t="s">
        <v>1137</v>
      </c>
      <c r="N967" s="14">
        <v>186.23999999999998</v>
      </c>
      <c r="O967" s="4" t="s">
        <v>1165</v>
      </c>
      <c r="P967" s="4"/>
    </row>
    <row r="968" ht="15.75" hidden="1" customHeight="1">
      <c r="B968" s="8">
        <v>1284.0</v>
      </c>
      <c r="C968" s="9">
        <v>43222.0</v>
      </c>
      <c r="D968" s="6" t="s">
        <v>1164</v>
      </c>
      <c r="E968" s="4">
        <v>6.104000516E9</v>
      </c>
      <c r="F968" s="8" t="s">
        <v>604</v>
      </c>
      <c r="G968" s="4" t="s">
        <v>721</v>
      </c>
      <c r="H968" s="18" t="s">
        <v>208</v>
      </c>
      <c r="I968" s="18">
        <v>16.0</v>
      </c>
      <c r="J968" s="11" t="str">
        <f>IF(D968&lt;&gt;"",VLOOKUP(H968,TABLEITEM,5,FALSE),"")</f>
        <v>EA</v>
      </c>
      <c r="K968" s="17">
        <v>188.5681</v>
      </c>
      <c r="L968" s="13">
        <v>0.0</v>
      </c>
      <c r="M968" s="13" t="s">
        <v>1166</v>
      </c>
      <c r="N968" s="14">
        <v>3017.0896</v>
      </c>
      <c r="O968" s="4" t="s">
        <v>1167</v>
      </c>
      <c r="P968" s="4"/>
    </row>
    <row r="969" ht="15.75" hidden="1" customHeight="1">
      <c r="B969" s="8">
        <v>1285.0</v>
      </c>
      <c r="C969" s="9">
        <v>43270.0</v>
      </c>
      <c r="D969" s="6" t="s">
        <v>1168</v>
      </c>
      <c r="E969" s="4">
        <v>6.106000744E9</v>
      </c>
      <c r="F969" s="8" t="s">
        <v>684</v>
      </c>
      <c r="G969" s="4" t="s">
        <v>721</v>
      </c>
      <c r="H969" s="18" t="s">
        <v>1169</v>
      </c>
      <c r="I969" s="18">
        <v>10.0</v>
      </c>
      <c r="J969" s="11" t="str">
        <f>IF(D969&lt;&gt;"",VLOOKUP(H969,TABLEITEM,5,FALSE),"")</f>
        <v>EA</v>
      </c>
      <c r="K969" s="17">
        <v>416.13</v>
      </c>
      <c r="L969" s="13">
        <v>0.0</v>
      </c>
      <c r="M969" s="13" t="s">
        <v>1170</v>
      </c>
      <c r="N969" s="14">
        <v>4161.3</v>
      </c>
      <c r="O969" s="4" t="s">
        <v>1171</v>
      </c>
      <c r="P969" s="4"/>
    </row>
    <row r="970" ht="15.75" hidden="1" customHeight="1">
      <c r="B970" s="8">
        <v>1286.0</v>
      </c>
      <c r="C970" s="9">
        <v>43287.0</v>
      </c>
      <c r="D970" s="6" t="s">
        <v>1172</v>
      </c>
      <c r="E970" s="4">
        <v>6.107000823E9</v>
      </c>
      <c r="F970" s="8" t="s">
        <v>604</v>
      </c>
      <c r="G970" s="4" t="s">
        <v>737</v>
      </c>
      <c r="H970" s="10" t="s">
        <v>939</v>
      </c>
      <c r="I970" s="10">
        <v>10.0</v>
      </c>
      <c r="J970" s="11" t="str">
        <f>IF(D970&lt;&gt;"",VLOOKUP(H970,TABLEITEM,5,FALSE),"")</f>
        <v>ROLL</v>
      </c>
      <c r="K970" s="12">
        <v>750.0</v>
      </c>
      <c r="L970" s="13" t="str">
        <f>IF(D970&lt;&gt;"",VLOOKUP(H970,TABLEITEM,2,FALSE),"")</f>
        <v/>
      </c>
      <c r="M970" s="13" t="str">
        <f>IF(D970&lt;&gt;"",VLOOKUP(H970,TABLEITEM,3,FALSE),"")</f>
        <v>ลวดเชื่อมco2</v>
      </c>
      <c r="N970" s="14">
        <f>INSTOCK!$I970*INSTOCK!$K970</f>
        <v>7500</v>
      </c>
      <c r="O970" s="4" t="s">
        <v>940</v>
      </c>
      <c r="P970" s="4"/>
    </row>
    <row r="971" ht="15.75" hidden="1" customHeight="1">
      <c r="B971" s="8">
        <v>1287.0</v>
      </c>
      <c r="C971" s="9">
        <v>43157.0</v>
      </c>
      <c r="D971" s="6" t="s">
        <v>1173</v>
      </c>
      <c r="E971" s="4">
        <v>6.102000249E9</v>
      </c>
      <c r="F971" s="8" t="s">
        <v>604</v>
      </c>
      <c r="G971" s="4" t="s">
        <v>1033</v>
      </c>
      <c r="H971" s="18" t="s">
        <v>24</v>
      </c>
      <c r="I971" s="18">
        <v>1000.0</v>
      </c>
      <c r="J971" s="11" t="str">
        <f>IF(D971&lt;&gt;"",VLOOKUP(H971,TABLEITEM,5,FALSE),"")</f>
        <v>EA</v>
      </c>
      <c r="K971" s="17">
        <v>4.5</v>
      </c>
      <c r="L971" s="13">
        <v>0.0</v>
      </c>
      <c r="M971" s="13" t="s">
        <v>1174</v>
      </c>
      <c r="N971" s="14">
        <v>4500.0</v>
      </c>
      <c r="O971" s="4"/>
      <c r="P971" s="4"/>
    </row>
    <row r="972" ht="15.75" hidden="1" customHeight="1">
      <c r="B972" s="8">
        <v>1288.0</v>
      </c>
      <c r="C972" s="9">
        <v>43138.0</v>
      </c>
      <c r="D972" s="6" t="s">
        <v>1175</v>
      </c>
      <c r="E972" s="4">
        <v>6.102000158E9</v>
      </c>
      <c r="F972" s="8" t="s">
        <v>604</v>
      </c>
      <c r="G972" s="4" t="s">
        <v>1033</v>
      </c>
      <c r="H972" s="18" t="s">
        <v>1176</v>
      </c>
      <c r="I972" s="18">
        <v>300.0</v>
      </c>
      <c r="J972" s="11" t="str">
        <f>IF(D972&lt;&gt;"",VLOOKUP(H972,TABLEITEM,5,FALSE),"")</f>
        <v>EA</v>
      </c>
      <c r="K972" s="17">
        <v>5.0</v>
      </c>
      <c r="L972" s="13">
        <v>0.0</v>
      </c>
      <c r="M972" s="13" t="s">
        <v>1177</v>
      </c>
      <c r="N972" s="14">
        <v>1500.0</v>
      </c>
      <c r="O972" s="4"/>
      <c r="P972" s="4"/>
    </row>
    <row r="973" ht="15.75" hidden="1" customHeight="1">
      <c r="B973" s="8">
        <v>1289.0</v>
      </c>
      <c r="C973" s="9">
        <v>43208.0</v>
      </c>
      <c r="D973" s="6" t="s">
        <v>1178</v>
      </c>
      <c r="E973" s="4">
        <v>6.104000445E9</v>
      </c>
      <c r="F973" s="8" t="s">
        <v>604</v>
      </c>
      <c r="G973" s="4" t="s">
        <v>1033</v>
      </c>
      <c r="H973" s="18" t="s">
        <v>24</v>
      </c>
      <c r="I973" s="18">
        <v>1000.0</v>
      </c>
      <c r="J973" s="11" t="str">
        <f>IF(D973&lt;&gt;"",VLOOKUP(H973,TABLEITEM,5,FALSE),"")</f>
        <v>EA</v>
      </c>
      <c r="K973" s="17">
        <v>4.5</v>
      </c>
      <c r="L973" s="13">
        <v>0.0</v>
      </c>
      <c r="M973" s="13" t="s">
        <v>1174</v>
      </c>
      <c r="N973" s="14">
        <v>4500.0</v>
      </c>
      <c r="O973" s="4"/>
      <c r="P973" s="4"/>
    </row>
    <row r="974" ht="15.75" hidden="1" customHeight="1">
      <c r="B974" s="8">
        <v>1290.0</v>
      </c>
      <c r="C974" s="9">
        <v>43248.0</v>
      </c>
      <c r="D974" s="6" t="s">
        <v>1179</v>
      </c>
      <c r="E974" s="4">
        <v>6.105000643E9</v>
      </c>
      <c r="F974" s="8" t="s">
        <v>604</v>
      </c>
      <c r="G974" s="4" t="s">
        <v>1033</v>
      </c>
      <c r="H974" s="18" t="s">
        <v>24</v>
      </c>
      <c r="I974" s="18">
        <v>1000.0</v>
      </c>
      <c r="J974" s="11" t="str">
        <f>IF(D974&lt;&gt;"",VLOOKUP(H974,TABLEITEM,5,FALSE),"")</f>
        <v>EA</v>
      </c>
      <c r="K974" s="17">
        <v>4.5</v>
      </c>
      <c r="L974" s="13">
        <v>0.0</v>
      </c>
      <c r="M974" s="13" t="s">
        <v>1174</v>
      </c>
      <c r="N974" s="14">
        <v>4500.0</v>
      </c>
      <c r="O974" s="4"/>
      <c r="P974" s="4"/>
    </row>
    <row r="975" ht="15.75" hidden="1" customHeight="1">
      <c r="B975" s="8">
        <v>1291.0</v>
      </c>
      <c r="C975" s="9">
        <v>43231.0</v>
      </c>
      <c r="D975" s="6" t="s">
        <v>1180</v>
      </c>
      <c r="E975" s="4">
        <v>6.105000555E9</v>
      </c>
      <c r="F975" s="8" t="s">
        <v>1181</v>
      </c>
      <c r="G975" s="4" t="s">
        <v>1033</v>
      </c>
      <c r="H975" s="18" t="s">
        <v>1176</v>
      </c>
      <c r="I975" s="18">
        <v>300.0</v>
      </c>
      <c r="J975" s="11" t="str">
        <f>IF(D975&lt;&gt;"",VLOOKUP(H975,TABLEITEM,5,FALSE),"")</f>
        <v>EA</v>
      </c>
      <c r="K975" s="17">
        <v>5.0</v>
      </c>
      <c r="L975" s="13">
        <v>0.0</v>
      </c>
      <c r="M975" s="13" t="s">
        <v>1177</v>
      </c>
      <c r="N975" s="14">
        <v>1500.0</v>
      </c>
      <c r="O975" s="4"/>
      <c r="P975" s="4"/>
    </row>
    <row r="976" ht="15.75" hidden="1" customHeight="1">
      <c r="B976" s="8">
        <v>1292.0</v>
      </c>
      <c r="C976" s="9">
        <v>43273.0</v>
      </c>
      <c r="D976" s="6" t="s">
        <v>1182</v>
      </c>
      <c r="E976" s="4">
        <v>6.10600075E9</v>
      </c>
      <c r="F976" s="8" t="s">
        <v>604</v>
      </c>
      <c r="G976" s="4" t="s">
        <v>1033</v>
      </c>
      <c r="H976" s="18" t="s">
        <v>24</v>
      </c>
      <c r="I976" s="18">
        <v>1000.0</v>
      </c>
      <c r="J976" s="11" t="str">
        <f>IF(D976&lt;&gt;"",VLOOKUP(H976,TABLEITEM,5,FALSE),"")</f>
        <v>EA</v>
      </c>
      <c r="K976" s="17">
        <v>4.5</v>
      </c>
      <c r="L976" s="13">
        <v>0.0</v>
      </c>
      <c r="M976" s="13" t="s">
        <v>1174</v>
      </c>
      <c r="N976" s="14">
        <v>4500.0</v>
      </c>
      <c r="O976" s="4"/>
      <c r="P976" s="4"/>
    </row>
    <row r="977" ht="15.75" hidden="1" customHeight="1">
      <c r="B977" s="8">
        <v>1293.0</v>
      </c>
      <c r="C977" s="9">
        <v>43287.0</v>
      </c>
      <c r="D977" s="6" t="s">
        <v>1183</v>
      </c>
      <c r="E977" s="4">
        <v>6.107000816E9</v>
      </c>
      <c r="F977" s="8" t="s">
        <v>604</v>
      </c>
      <c r="G977" s="4" t="s">
        <v>1033</v>
      </c>
      <c r="H977" s="10" t="s">
        <v>1176</v>
      </c>
      <c r="I977" s="10">
        <v>300.0</v>
      </c>
      <c r="J977" s="11" t="str">
        <f>IF(D977&lt;&gt;"",VLOOKUP(H977,TABLEITEM,5,FALSE),"")</f>
        <v>EA</v>
      </c>
      <c r="K977" s="12">
        <v>5.0</v>
      </c>
      <c r="L977" s="13" t="str">
        <f>IF(D977&lt;&gt;"",VLOOKUP(H977,TABLEITEM,2,FALSE),"")</f>
        <v/>
      </c>
      <c r="M977" s="13" t="str">
        <f>IF(D977&lt;&gt;"",VLOOKUP(H977,TABLEITEM,3,FALSE),"")</f>
        <v>กระดาษทรายกลม#80</v>
      </c>
      <c r="N977" s="14">
        <f>INSTOCK!$I977*INSTOCK!$K977</f>
        <v>1500</v>
      </c>
      <c r="O977" s="4"/>
      <c r="P977" s="4"/>
    </row>
    <row r="978" ht="15.75" hidden="1" customHeight="1">
      <c r="B978" s="8">
        <v>1294.0</v>
      </c>
      <c r="C978" s="9">
        <v>43284.0</v>
      </c>
      <c r="D978" s="6" t="s">
        <v>1184</v>
      </c>
      <c r="E978" s="4">
        <v>6.10600078E9</v>
      </c>
      <c r="F978" s="8" t="s">
        <v>604</v>
      </c>
      <c r="G978" s="4" t="s">
        <v>798</v>
      </c>
      <c r="H978" s="10" t="s">
        <v>115</v>
      </c>
      <c r="I978" s="10">
        <v>1000.0</v>
      </c>
      <c r="J978" s="11" t="str">
        <f>IF(D978&lt;&gt;"",VLOOKUP(H978,TABLEITEM,5,FALSE),"")</f>
        <v>EA</v>
      </c>
      <c r="K978" s="12">
        <v>23.0</v>
      </c>
      <c r="L978" s="13" t="str">
        <f>IF(D978&lt;&gt;"",VLOOKUP(H978,TABLEITEM,2,FALSE),"")</f>
        <v/>
      </c>
      <c r="M978" s="13" t="str">
        <f>IF(D978&lt;&gt;"",VLOOKUP(H978,TABLEITEM,3,FALSE),"")</f>
        <v>กุญแจกลมดำ แบบมีก้านลิ้นยาว178-04-G-247</v>
      </c>
      <c r="N978" s="14">
        <f>INSTOCK!$I978*INSTOCK!$K978</f>
        <v>23000</v>
      </c>
      <c r="O978" s="4"/>
      <c r="P978" s="4"/>
    </row>
    <row r="979" ht="15.75" hidden="1" customHeight="1">
      <c r="B979" s="8">
        <v>1295.0</v>
      </c>
      <c r="C979" s="9">
        <v>43284.0</v>
      </c>
      <c r="D979" s="6" t="s">
        <v>1184</v>
      </c>
      <c r="E979" s="4">
        <v>6.10600078E9</v>
      </c>
      <c r="F979" s="8" t="s">
        <v>604</v>
      </c>
      <c r="G979" s="4" t="s">
        <v>798</v>
      </c>
      <c r="H979" s="10" t="s">
        <v>121</v>
      </c>
      <c r="I979" s="10">
        <v>100.0</v>
      </c>
      <c r="J979" s="11" t="str">
        <f>IF(D979&lt;&gt;"",VLOOKUP(H979,TABLEITEM,5,FALSE),"")</f>
        <v>EA</v>
      </c>
      <c r="K979" s="12">
        <v>23.0</v>
      </c>
      <c r="L979" s="13" t="str">
        <f>IF(D979&lt;&gt;"",VLOOKUP(H979,TABLEITEM,2,FALSE),"")</f>
        <v/>
      </c>
      <c r="M979" s="13" t="str">
        <f>IF(D979&lt;&gt;"",VLOOKUP(H979,TABLEITEM,3,FALSE),"")</f>
        <v>กุญแจสมอเรือ169-03-G-016</v>
      </c>
      <c r="N979" s="14">
        <f>INSTOCK!$I979*INSTOCK!$K979</f>
        <v>2300</v>
      </c>
      <c r="O979" s="4"/>
      <c r="P979" s="4"/>
    </row>
    <row r="980" ht="15.75" hidden="1" customHeight="1">
      <c r="B980" s="8">
        <v>1296.0</v>
      </c>
      <c r="C980" s="9">
        <v>43284.0</v>
      </c>
      <c r="D980" s="6" t="s">
        <v>1185</v>
      </c>
      <c r="E980" s="4">
        <v>6.107000813E9</v>
      </c>
      <c r="F980" s="8" t="s">
        <v>807</v>
      </c>
      <c r="G980" s="4" t="s">
        <v>808</v>
      </c>
      <c r="H980" s="10" t="s">
        <v>809</v>
      </c>
      <c r="I980" s="10">
        <v>1.0</v>
      </c>
      <c r="J980" s="11" t="str">
        <f>IF(D980&lt;&gt;"",VLOOKUP(H980,TABLEITEM,5,FALSE),"")</f>
        <v>ท่อ</v>
      </c>
      <c r="K980" s="12">
        <v>2700.0</v>
      </c>
      <c r="L980" s="13" t="str">
        <f>IF(D980&lt;&gt;"",VLOOKUP(H980,TABLEITEM,2,FALSE),"")</f>
        <v/>
      </c>
      <c r="M980" s="13" t="str">
        <f>IF(D980&lt;&gt;"",VLOOKUP(H980,TABLEITEM,3,FALSE),"")</f>
        <v>ไนโตรเจนเหลว ขนาด 100คิว</v>
      </c>
      <c r="N980" s="14">
        <f>INSTOCK!$I980*INSTOCK!$K980</f>
        <v>2700</v>
      </c>
      <c r="O980" s="4"/>
      <c r="P980" s="4"/>
    </row>
    <row r="981" ht="15.75" hidden="1" customHeight="1">
      <c r="B981" s="8">
        <v>1297.0</v>
      </c>
      <c r="C981" s="9">
        <v>43283.0</v>
      </c>
      <c r="D981" s="6" t="s">
        <v>1186</v>
      </c>
      <c r="E981" s="4">
        <v>6.106000803E9</v>
      </c>
      <c r="F981" s="8" t="s">
        <v>604</v>
      </c>
      <c r="G981" s="4" t="s">
        <v>743</v>
      </c>
      <c r="H981" s="10" t="s">
        <v>75</v>
      </c>
      <c r="I981" s="10">
        <v>200.0</v>
      </c>
      <c r="J981" s="11" t="str">
        <f>IF(D981&lt;&gt;"",VLOOKUP(H981,TABLEITEM,5,FALSE),"")</f>
        <v>KG.</v>
      </c>
      <c r="K981" s="12">
        <v>149.35</v>
      </c>
      <c r="L981" s="13" t="str">
        <f>IF(D981&lt;&gt;"",VLOOKUP(H981,TABLEITEM,2,FALSE),"")</f>
        <v/>
      </c>
      <c r="M981" s="13" t="str">
        <f>IF(D981&lt;&gt;"",VLOOKUP(H981,TABLEITEM,3,FALSE),"")</f>
        <v>สีฝุ่น สีครีมย่น 1002735PX20</v>
      </c>
      <c r="N981" s="14">
        <f>INSTOCK!$I981*INSTOCK!$K981</f>
        <v>29870</v>
      </c>
      <c r="O981" s="4"/>
      <c r="P981" s="4"/>
    </row>
    <row r="982" ht="15.75" hidden="1" customHeight="1">
      <c r="B982" s="8">
        <v>1298.0</v>
      </c>
      <c r="C982" s="9">
        <v>43283.0</v>
      </c>
      <c r="D982" s="6" t="s">
        <v>1187</v>
      </c>
      <c r="E982" s="4">
        <v>6.106000786E9</v>
      </c>
      <c r="F982" s="8" t="s">
        <v>604</v>
      </c>
      <c r="G982" s="4" t="s">
        <v>721</v>
      </c>
      <c r="H982" s="10" t="s">
        <v>159</v>
      </c>
      <c r="I982" s="10">
        <v>2000.0</v>
      </c>
      <c r="J982" s="11" t="str">
        <f>IF(D982&lt;&gt;"",VLOOKUP(H982,TABLEITEM,5,FALSE),"")</f>
        <v>EA</v>
      </c>
      <c r="K982" s="12">
        <v>0.1164</v>
      </c>
      <c r="L982" s="13" t="str">
        <f>IF(D982&lt;&gt;"",VLOOKUP(H982,TABLEITEM,2,FALSE),"")</f>
        <v/>
      </c>
      <c r="M982" s="13" t="str">
        <f>IF(D982&lt;&gt;"",VLOOKUP(H982,TABLEITEM,3,FALSE),"")</f>
        <v>เคเบิ้ลไทร์ 4" สีขาวCT-100-2C</v>
      </c>
      <c r="N982" s="14">
        <f>INSTOCK!$I982*INSTOCK!$K982</f>
        <v>232.8</v>
      </c>
      <c r="O982" s="4"/>
      <c r="P982" s="4"/>
    </row>
    <row r="983" ht="15.75" hidden="1" customHeight="1">
      <c r="B983" s="8">
        <v>1299.0</v>
      </c>
      <c r="C983" s="9">
        <v>43283.0</v>
      </c>
      <c r="D983" s="6" t="s">
        <v>1187</v>
      </c>
      <c r="E983" s="4">
        <v>6.106000786E9</v>
      </c>
      <c r="F983" s="8" t="s">
        <v>604</v>
      </c>
      <c r="G983" s="4" t="s">
        <v>721</v>
      </c>
      <c r="H983" s="10" t="s">
        <v>204</v>
      </c>
      <c r="I983" s="10">
        <v>40.0</v>
      </c>
      <c r="J983" s="11" t="str">
        <f>IF(D983&lt;&gt;"",VLOOKUP(H983,TABLEITEM,5,FALSE),"")</f>
        <v>EA</v>
      </c>
      <c r="K983" s="12">
        <v>102.432</v>
      </c>
      <c r="L983" s="13" t="str">
        <f>IF(D983&lt;&gt;"",VLOOKUP(H983,TABLEITEM,2,FALSE),"")</f>
        <v/>
      </c>
      <c r="M983" s="13" t="str">
        <f>IF(D983&lt;&gt;"",VLOOKUP(H983,TABLEITEM,3,FALSE),"")</f>
        <v>รางวายดัก/รางPVC 33x45 mm.</v>
      </c>
      <c r="N983" s="14">
        <f>INSTOCK!$I983*INSTOCK!$K983</f>
        <v>4097.28</v>
      </c>
      <c r="O983" s="4"/>
      <c r="P983" s="4"/>
    </row>
    <row r="984" ht="15.75" hidden="1" customHeight="1">
      <c r="B984" s="8">
        <v>1300.0</v>
      </c>
      <c r="C984" s="9">
        <v>43141.0</v>
      </c>
      <c r="D984" s="6" t="s">
        <v>1188</v>
      </c>
      <c r="E984" s="4">
        <v>6.10200018E9</v>
      </c>
      <c r="F984" s="8" t="s">
        <v>604</v>
      </c>
      <c r="G984" s="4" t="s">
        <v>957</v>
      </c>
      <c r="H984" s="18" t="s">
        <v>1189</v>
      </c>
      <c r="I984" s="18">
        <v>200.0</v>
      </c>
      <c r="J984" s="11" t="str">
        <f>IF(D984&lt;&gt;"",VLOOKUP(H984,TABLEITEM,5,FALSE),"")</f>
        <v>EA</v>
      </c>
      <c r="K984" s="17">
        <v>100.0</v>
      </c>
      <c r="L984" s="13">
        <v>0.0</v>
      </c>
      <c r="M984" s="13" t="s">
        <v>1190</v>
      </c>
      <c r="N984" s="14">
        <v>20000.0</v>
      </c>
      <c r="O984" s="4"/>
      <c r="P984" s="21" t="s">
        <v>1191</v>
      </c>
    </row>
    <row r="985" ht="15.75" hidden="1" customHeight="1">
      <c r="B985" s="8">
        <v>1301.0</v>
      </c>
      <c r="C985" s="9">
        <v>43192.0</v>
      </c>
      <c r="D985" s="6" t="s">
        <v>1192</v>
      </c>
      <c r="E985" s="4">
        <v>6.103000385E9</v>
      </c>
      <c r="F985" s="8" t="s">
        <v>604</v>
      </c>
      <c r="G985" s="4" t="s">
        <v>957</v>
      </c>
      <c r="H985" s="18" t="s">
        <v>1193</v>
      </c>
      <c r="I985" s="18">
        <v>200.0</v>
      </c>
      <c r="J985" s="11" t="str">
        <f>IF(D985&lt;&gt;"",VLOOKUP(H985,TABLEITEM,5,FALSE),"")</f>
        <v>EA</v>
      </c>
      <c r="K985" s="17">
        <v>100.0</v>
      </c>
      <c r="L985" s="13">
        <v>0.0</v>
      </c>
      <c r="M985" s="13" t="s">
        <v>1190</v>
      </c>
      <c r="N985" s="14">
        <v>20000.0</v>
      </c>
      <c r="O985" s="4"/>
      <c r="P985" s="4"/>
    </row>
    <row r="986" ht="15.75" hidden="1" customHeight="1">
      <c r="B986" s="8">
        <v>1302.0</v>
      </c>
      <c r="C986" s="9">
        <v>43213.0</v>
      </c>
      <c r="D986" s="6" t="s">
        <v>1194</v>
      </c>
      <c r="E986" s="4">
        <v>6.104000455E9</v>
      </c>
      <c r="F986" s="8" t="s">
        <v>604</v>
      </c>
      <c r="G986" s="4" t="s">
        <v>725</v>
      </c>
      <c r="H986" s="18" t="s">
        <v>34</v>
      </c>
      <c r="I986" s="18">
        <v>500.0</v>
      </c>
      <c r="J986" s="11" t="str">
        <f>IF(D986&lt;&gt;"",VLOOKUP(H986,TABLEITEM,5,FALSE),"")</f>
        <v>M</v>
      </c>
      <c r="K986" s="17">
        <v>12.0</v>
      </c>
      <c r="L986" s="13">
        <v>0.0</v>
      </c>
      <c r="M986" s="13" t="s">
        <v>1195</v>
      </c>
      <c r="N986" s="14">
        <v>6000.0</v>
      </c>
      <c r="O986" s="4"/>
      <c r="P986" s="4"/>
    </row>
    <row r="987" ht="15.75" hidden="1" customHeight="1">
      <c r="B987" s="8">
        <v>1303.0</v>
      </c>
      <c r="C987" s="9">
        <v>43195.0</v>
      </c>
      <c r="D987" s="6" t="s">
        <v>1196</v>
      </c>
      <c r="E987" s="4">
        <v>6.104000423E9</v>
      </c>
      <c r="F987" s="8" t="s">
        <v>604</v>
      </c>
      <c r="G987" s="4" t="s">
        <v>725</v>
      </c>
      <c r="H987" s="18" t="s">
        <v>26</v>
      </c>
      <c r="I987" s="18">
        <v>1500.0</v>
      </c>
      <c r="J987" s="11" t="str">
        <f>IF(D987&lt;&gt;"",VLOOKUP(H987,TABLEITEM,5,FALSE),"")</f>
        <v>M</v>
      </c>
      <c r="K987" s="17">
        <v>18.0</v>
      </c>
      <c r="L987" s="13">
        <v>0.0</v>
      </c>
      <c r="M987" s="13" t="s">
        <v>732</v>
      </c>
      <c r="N987" s="14">
        <v>27000.0</v>
      </c>
      <c r="O987" s="4"/>
      <c r="P987" s="4"/>
    </row>
    <row r="988" ht="15.75" hidden="1" customHeight="1">
      <c r="B988" s="8">
        <v>1304.0</v>
      </c>
      <c r="C988" s="9">
        <v>43230.0</v>
      </c>
      <c r="D988" s="6" t="s">
        <v>1197</v>
      </c>
      <c r="E988" s="4">
        <v>6.105000557E9</v>
      </c>
      <c r="F988" s="8" t="s">
        <v>604</v>
      </c>
      <c r="G988" s="4" t="s">
        <v>725</v>
      </c>
      <c r="H988" s="18" t="s">
        <v>26</v>
      </c>
      <c r="I988" s="18">
        <v>1500.0</v>
      </c>
      <c r="J988" s="11" t="str">
        <f>IF(D988&lt;&gt;"",VLOOKUP(H988,TABLEITEM,5,FALSE),"")</f>
        <v>M</v>
      </c>
      <c r="K988" s="17">
        <v>18.0</v>
      </c>
      <c r="L988" s="13">
        <v>0.0</v>
      </c>
      <c r="M988" s="13" t="s">
        <v>732</v>
      </c>
      <c r="N988" s="14">
        <v>27000.0</v>
      </c>
      <c r="O988" s="4"/>
      <c r="P988" s="4"/>
    </row>
    <row r="989" ht="15.75" hidden="1" customHeight="1">
      <c r="B989" s="8">
        <v>1305.0</v>
      </c>
      <c r="C989" s="9">
        <v>43271.0</v>
      </c>
      <c r="D989" s="6" t="s">
        <v>1198</v>
      </c>
      <c r="E989" s="4">
        <v>6.106000752E9</v>
      </c>
      <c r="F989" s="8" t="s">
        <v>604</v>
      </c>
      <c r="G989" s="4" t="s">
        <v>725</v>
      </c>
      <c r="H989" s="18" t="s">
        <v>26</v>
      </c>
      <c r="I989" s="18">
        <v>1500.0</v>
      </c>
      <c r="J989" s="11" t="str">
        <f>IF(D989&lt;&gt;"",VLOOKUP(H989,TABLEITEM,5,FALSE),"")</f>
        <v>M</v>
      </c>
      <c r="K989" s="17">
        <v>18.0</v>
      </c>
      <c r="L989" s="13">
        <v>0.0</v>
      </c>
      <c r="M989" s="13" t="s">
        <v>732</v>
      </c>
      <c r="N989" s="14">
        <v>27000.0</v>
      </c>
      <c r="O989" s="4"/>
      <c r="P989" s="4"/>
    </row>
    <row r="990" ht="15.75" hidden="1" customHeight="1">
      <c r="B990" s="8">
        <v>1306.0</v>
      </c>
      <c r="C990" s="9">
        <v>43342.0</v>
      </c>
      <c r="D990" s="6" t="s">
        <v>1199</v>
      </c>
      <c r="E990" s="4"/>
      <c r="F990" s="8" t="s">
        <v>801</v>
      </c>
      <c r="G990" s="4" t="s">
        <v>802</v>
      </c>
      <c r="H990" s="10" t="s">
        <v>803</v>
      </c>
      <c r="I990" s="10">
        <v>19.0</v>
      </c>
      <c r="J990" s="11" t="str">
        <f>IF(D990&lt;&gt;"",VLOOKUP(H990,TABLEITEM,5,FALSE),"")</f>
        <v>ถัง</v>
      </c>
      <c r="K990" s="12">
        <v>1140.19</v>
      </c>
      <c r="L990" s="13" t="str">
        <f>IF(D990&lt;&gt;"",VLOOKUP(H990,TABLEITEM,2,FALSE),"")</f>
        <v/>
      </c>
      <c r="M990" s="13" t="str">
        <f>IF(D990&lt;&gt;"",VLOOKUP(H990,TABLEITEM,3,FALSE),"")</f>
        <v>แก๊สหุงต้ม 48กก</v>
      </c>
      <c r="N990" s="14">
        <f>INSTOCK!$I990*INSTOCK!$K990</f>
        <v>21663.61</v>
      </c>
      <c r="O990" s="4"/>
      <c r="P990" s="4"/>
    </row>
    <row r="991" ht="15.75" hidden="1" customHeight="1">
      <c r="B991" s="8">
        <v>1307.0</v>
      </c>
      <c r="C991" s="9">
        <v>43175.0</v>
      </c>
      <c r="D991" s="6" t="s">
        <v>1200</v>
      </c>
      <c r="E991" s="4">
        <v>6.10300033E9</v>
      </c>
      <c r="F991" s="8" t="s">
        <v>1201</v>
      </c>
      <c r="G991" s="4" t="s">
        <v>1202</v>
      </c>
      <c r="H991" s="18" t="s">
        <v>1203</v>
      </c>
      <c r="I991" s="18">
        <v>10.0</v>
      </c>
      <c r="J991" s="11" t="str">
        <f>IF(D991&lt;&gt;"",VLOOKUP(H991,TABLEITEM,5,FALSE),"")</f>
        <v>EA</v>
      </c>
      <c r="K991" s="17">
        <v>952.0</v>
      </c>
      <c r="L991" s="13" t="str">
        <f>IF(D991&lt;&gt;"",VLOOKUP(H991,TABLEITEM,2,FALSE),"")</f>
        <v/>
      </c>
      <c r="M991" s="13" t="str">
        <f>IF(D991&lt;&gt;"",VLOOKUP(H991,TABLEITEM,3,FALSE),"")</f>
        <v>กุญแจ TAKIGEN A-481N-4-1</v>
      </c>
      <c r="N991" s="14" t="str">
        <f>[1]!Table1[[#This Row],[qty]]*[1]!Table1[[#This Row],[UNIT/Price]]</f>
        <v>#ERROR!</v>
      </c>
      <c r="O991" s="4"/>
      <c r="P991" s="4"/>
    </row>
    <row r="992" ht="15.75" hidden="1" customHeight="1">
      <c r="B992" s="8">
        <v>1308.0</v>
      </c>
      <c r="C992" s="9">
        <v>43185.0</v>
      </c>
      <c r="D992" s="6" t="s">
        <v>1204</v>
      </c>
      <c r="E992" s="4">
        <v>6.10300037E9</v>
      </c>
      <c r="F992" s="8" t="s">
        <v>1205</v>
      </c>
      <c r="G992" s="4" t="s">
        <v>729</v>
      </c>
      <c r="H992" s="18" t="s">
        <v>1206</v>
      </c>
      <c r="I992" s="18">
        <v>50.0</v>
      </c>
      <c r="J992" s="11" t="str">
        <f>IF(D992&lt;&gt;"",VLOOKUP(H992,TABLEITEM,5,FALSE),"")</f>
        <v>M</v>
      </c>
      <c r="K992" s="17">
        <v>36.0</v>
      </c>
      <c r="L992" s="13">
        <v>0.0</v>
      </c>
      <c r="M992" s="13" t="s">
        <v>1207</v>
      </c>
      <c r="N992" s="14">
        <v>1800.0</v>
      </c>
      <c r="O992" s="4"/>
      <c r="P992" s="4"/>
    </row>
    <row r="993" ht="15.75" hidden="1" customHeight="1">
      <c r="B993" s="8">
        <v>1309.0</v>
      </c>
      <c r="C993" s="9">
        <v>43407.0</v>
      </c>
      <c r="D993" s="6" t="s">
        <v>1208</v>
      </c>
      <c r="E993" s="4">
        <v>6.111001345E9</v>
      </c>
      <c r="F993" s="8" t="s">
        <v>604</v>
      </c>
      <c r="G993" s="4" t="s">
        <v>729</v>
      </c>
      <c r="H993" s="18" t="s">
        <v>28</v>
      </c>
      <c r="I993" s="18">
        <v>500.0</v>
      </c>
      <c r="J993" s="11" t="str">
        <f>IF(D993&lt;&gt;"",VLOOKUP(H993,TABLEITEM,5,FALSE),"")</f>
        <v>M</v>
      </c>
      <c r="K993" s="17">
        <v>12.0</v>
      </c>
      <c r="L993" s="13">
        <v>0.0</v>
      </c>
      <c r="M993" s="13" t="s">
        <v>1209</v>
      </c>
      <c r="N993" s="14">
        <v>6000.0</v>
      </c>
      <c r="O993" s="4"/>
      <c r="P993" s="4"/>
    </row>
    <row r="994" ht="15.75" hidden="1" customHeight="1">
      <c r="B994" s="8">
        <v>1310.0</v>
      </c>
      <c r="C994" s="9">
        <v>43209.0</v>
      </c>
      <c r="D994" s="6" t="s">
        <v>1210</v>
      </c>
      <c r="E994" s="4">
        <v>6.104000454E9</v>
      </c>
      <c r="F994" s="8" t="s">
        <v>604</v>
      </c>
      <c r="G994" s="4" t="s">
        <v>729</v>
      </c>
      <c r="H994" s="18" t="s">
        <v>29</v>
      </c>
      <c r="I994" s="18">
        <v>1000.0</v>
      </c>
      <c r="J994" s="11" t="str">
        <f>IF(D994&lt;&gt;"",VLOOKUP(H994,TABLEITEM,5,FALSE),"")</f>
        <v>M</v>
      </c>
      <c r="K994" s="17">
        <v>17.0</v>
      </c>
      <c r="L994" s="13">
        <v>0.0</v>
      </c>
      <c r="M994" s="13" t="s">
        <v>1211</v>
      </c>
      <c r="N994" s="14">
        <v>17000.0</v>
      </c>
      <c r="O994" s="4"/>
      <c r="P994" s="4"/>
    </row>
    <row r="995" ht="15.75" hidden="1" customHeight="1">
      <c r="B995" s="8">
        <v>1311.0</v>
      </c>
      <c r="C995" s="9">
        <v>43201.0</v>
      </c>
      <c r="D995" s="6" t="s">
        <v>1212</v>
      </c>
      <c r="E995" s="4">
        <v>6.104000438E9</v>
      </c>
      <c r="F995" s="8" t="s">
        <v>604</v>
      </c>
      <c r="G995" s="4" t="s">
        <v>729</v>
      </c>
      <c r="H995" s="18" t="s">
        <v>28</v>
      </c>
      <c r="I995" s="18">
        <v>500.0</v>
      </c>
      <c r="J995" s="11" t="str">
        <f>IF(D995&lt;&gt;"",VLOOKUP(H995,TABLEITEM,5,FALSE),"")</f>
        <v>M</v>
      </c>
      <c r="K995" s="17">
        <v>12.0</v>
      </c>
      <c r="L995" s="13">
        <v>0.0</v>
      </c>
      <c r="M995" s="13" t="s">
        <v>1209</v>
      </c>
      <c r="N995" s="14">
        <v>6000.0</v>
      </c>
      <c r="O995" s="4"/>
      <c r="P995" s="4"/>
    </row>
    <row r="996" ht="15.75" hidden="1" customHeight="1">
      <c r="B996" s="8">
        <v>1312.0</v>
      </c>
      <c r="C996" s="9">
        <v>43242.0</v>
      </c>
      <c r="D996" s="6" t="s">
        <v>1120</v>
      </c>
      <c r="E996" s="4">
        <v>6.105000615E9</v>
      </c>
      <c r="F996" s="8" t="s">
        <v>604</v>
      </c>
      <c r="G996" s="4" t="s">
        <v>729</v>
      </c>
      <c r="H996" s="18" t="s">
        <v>28</v>
      </c>
      <c r="I996" s="18">
        <v>500.0</v>
      </c>
      <c r="J996" s="11" t="str">
        <f>IF(D996&lt;&gt;"",VLOOKUP(H996,TABLEITEM,5,FALSE),"")</f>
        <v>M</v>
      </c>
      <c r="K996" s="17">
        <v>12.0</v>
      </c>
      <c r="L996" s="13">
        <v>0.0</v>
      </c>
      <c r="M996" s="13" t="s">
        <v>1209</v>
      </c>
      <c r="N996" s="14">
        <v>6000.0</v>
      </c>
      <c r="O996" s="4"/>
      <c r="P996" s="4"/>
    </row>
    <row r="997" ht="15.75" hidden="1" customHeight="1">
      <c r="B997" s="8">
        <v>1313.0</v>
      </c>
      <c r="C997" s="9">
        <v>43271.0</v>
      </c>
      <c r="D997" s="6" t="s">
        <v>1213</v>
      </c>
      <c r="E997" s="4">
        <v>6.106000751E9</v>
      </c>
      <c r="F997" s="8" t="s">
        <v>604</v>
      </c>
      <c r="G997" s="4" t="s">
        <v>729</v>
      </c>
      <c r="H997" s="18" t="s">
        <v>27</v>
      </c>
      <c r="I997" s="18">
        <v>1000.0</v>
      </c>
      <c r="J997" s="11" t="str">
        <f>IF(D997&lt;&gt;"",VLOOKUP(H997,TABLEITEM,5,FALSE),"")</f>
        <v>M</v>
      </c>
      <c r="K997" s="17">
        <v>12.0</v>
      </c>
      <c r="L997" s="13">
        <v>0.0</v>
      </c>
      <c r="M997" s="13" t="s">
        <v>730</v>
      </c>
      <c r="N997" s="14">
        <v>12000.0</v>
      </c>
      <c r="O997" s="4"/>
      <c r="P997" s="4"/>
    </row>
    <row r="998" ht="15.75" hidden="1" customHeight="1">
      <c r="B998" s="8">
        <v>1314.0</v>
      </c>
      <c r="C998" s="9">
        <v>43342.0</v>
      </c>
      <c r="D998" s="6" t="s">
        <v>1214</v>
      </c>
      <c r="E998" s="4">
        <v>6.108000958E9</v>
      </c>
      <c r="F998" s="8" t="s">
        <v>604</v>
      </c>
      <c r="G998" s="4" t="s">
        <v>798</v>
      </c>
      <c r="H998" s="10" t="s">
        <v>116</v>
      </c>
      <c r="I998" s="10">
        <v>1000.0</v>
      </c>
      <c r="J998" s="11" t="str">
        <f>IF(D998&lt;&gt;"",VLOOKUP(H998,TABLEITEM,5,FALSE),"")</f>
        <v>EA</v>
      </c>
      <c r="K998" s="12">
        <v>23.0</v>
      </c>
      <c r="L998" s="13" t="str">
        <f>IF(D998&lt;&gt;"",VLOOKUP(H998,TABLEITEM,2,FALSE),"")</f>
        <v/>
      </c>
      <c r="M998" s="13" t="str">
        <f>IF(D998&lt;&gt;"",VLOOKUP(H998,TABLEITEM,3,FALSE),"")</f>
        <v>กุญแจกลมดำ แบบมีก้านลิ้นสั้น178-04-G-293</v>
      </c>
      <c r="N998" s="14">
        <f>INSTOCK!$I998*INSTOCK!$K998</f>
        <v>23000</v>
      </c>
      <c r="O998" s="4"/>
      <c r="P998" s="4"/>
    </row>
    <row r="999" ht="15.75" hidden="1" customHeight="1">
      <c r="B999" s="8">
        <v>1315.0</v>
      </c>
      <c r="C999" s="9">
        <v>43342.0</v>
      </c>
      <c r="D999" s="6" t="s">
        <v>1215</v>
      </c>
      <c r="E999" s="4">
        <v>6.108001031E9</v>
      </c>
      <c r="F999" s="8" t="s">
        <v>807</v>
      </c>
      <c r="G999" s="4" t="s">
        <v>808</v>
      </c>
      <c r="H999" s="10" t="s">
        <v>812</v>
      </c>
      <c r="I999" s="10">
        <v>1.0</v>
      </c>
      <c r="J999" s="11" t="str">
        <f>IF(D999&lt;&gt;"",VLOOKUP(H999,TABLEITEM,5,FALSE),"")</f>
        <v>ท่อ</v>
      </c>
      <c r="K999" s="12">
        <v>2960.0</v>
      </c>
      <c r="L999" s="13" t="str">
        <f>IF(D999&lt;&gt;"",VLOOKUP(H999,TABLEITEM,2,FALSE),"")</f>
        <v/>
      </c>
      <c r="M999" s="13" t="str">
        <f>IF(D999&lt;&gt;"",VLOOKUP(H999,TABLEITEM,3,FALSE),"")</f>
        <v>ออกซิเจนเหลว ขนาด 148 คิว</v>
      </c>
      <c r="N999" s="14">
        <f>INSTOCK!$I999*INSTOCK!$K999</f>
        <v>2960</v>
      </c>
      <c r="O999" s="4"/>
      <c r="P999" s="4"/>
    </row>
    <row r="1000" ht="15.75" hidden="1" customHeight="1">
      <c r="B1000" s="8">
        <v>1316.0</v>
      </c>
      <c r="C1000" s="9">
        <v>43341.0</v>
      </c>
      <c r="D1000" s="6" t="s">
        <v>1216</v>
      </c>
      <c r="E1000" s="4">
        <v>6.108001046E9</v>
      </c>
      <c r="F1000" s="8" t="s">
        <v>604</v>
      </c>
      <c r="G1000" s="4" t="s">
        <v>721</v>
      </c>
      <c r="H1000" s="10" t="s">
        <v>159</v>
      </c>
      <c r="I1000" s="10">
        <v>2000.0</v>
      </c>
      <c r="J1000" s="11" t="str">
        <f>IF(D1000&lt;&gt;"",VLOOKUP(H1000,TABLEITEM,5,FALSE),"")</f>
        <v>EA</v>
      </c>
      <c r="K1000" s="12">
        <v>0.1164</v>
      </c>
      <c r="L1000" s="13" t="str">
        <f>IF(D1000&lt;&gt;"",VLOOKUP(H1000,TABLEITEM,2,FALSE),"")</f>
        <v/>
      </c>
      <c r="M1000" s="13" t="str">
        <f>IF(D1000&lt;&gt;"",VLOOKUP(H1000,TABLEITEM,3,FALSE),"")</f>
        <v>เคเบิ้ลไทร์ 4" สีขาวCT-100-2C</v>
      </c>
      <c r="N1000" s="14">
        <f>INSTOCK!$I1000*INSTOCK!$K1000</f>
        <v>232.8</v>
      </c>
      <c r="O1000" s="4" t="s">
        <v>1217</v>
      </c>
      <c r="P1000" s="4"/>
    </row>
    <row r="1001" ht="15.75" hidden="1" customHeight="1">
      <c r="B1001" s="8">
        <v>1317.0</v>
      </c>
      <c r="C1001" s="9">
        <v>43341.0</v>
      </c>
      <c r="D1001" s="6" t="s">
        <v>1218</v>
      </c>
      <c r="E1001" s="4">
        <v>6.108001046E9</v>
      </c>
      <c r="F1001" s="8" t="s">
        <v>604</v>
      </c>
      <c r="G1001" s="4" t="s">
        <v>721</v>
      </c>
      <c r="H1001" s="10" t="s">
        <v>163</v>
      </c>
      <c r="I1001" s="10">
        <v>2000.0</v>
      </c>
      <c r="J1001" s="11" t="str">
        <f>IF(D1001&lt;&gt;"",VLOOKUP(H1001,TABLEITEM,5,FALSE),"")</f>
        <v>EA</v>
      </c>
      <c r="K1001" s="12">
        <v>0.4074</v>
      </c>
      <c r="L1001" s="13" t="str">
        <f>IF(D1001&lt;&gt;"",VLOOKUP(H1001,TABLEITEM,2,FALSE),"")</f>
        <v/>
      </c>
      <c r="M1001" s="13" t="str">
        <f>IF(D1001&lt;&gt;"",VLOOKUP(H1001,TABLEITEM,3,FALSE),"")</f>
        <v>เคเบิ้ลไทร์ 8" สีขาวCT-200-3C</v>
      </c>
      <c r="N1001" s="14">
        <f>INSTOCK!$I1001*INSTOCK!$K1001</f>
        <v>814.8</v>
      </c>
      <c r="O1001" s="4" t="s">
        <v>1219</v>
      </c>
      <c r="P1001" s="4"/>
    </row>
    <row r="1002" ht="15.75" hidden="1" customHeight="1">
      <c r="B1002" s="8">
        <v>1318.0</v>
      </c>
      <c r="C1002" s="9">
        <v>43341.0</v>
      </c>
      <c r="D1002" s="6" t="s">
        <v>1220</v>
      </c>
      <c r="E1002" s="4">
        <v>6.108001046E9</v>
      </c>
      <c r="F1002" s="8" t="s">
        <v>604</v>
      </c>
      <c r="G1002" s="4" t="s">
        <v>721</v>
      </c>
      <c r="H1002" s="10" t="s">
        <v>208</v>
      </c>
      <c r="I1002" s="10">
        <v>16.0</v>
      </c>
      <c r="J1002" s="11" t="str">
        <f>IF(D1002&lt;&gt;"",VLOOKUP(H1002,TABLEITEM,5,FALSE),"")</f>
        <v>EA</v>
      </c>
      <c r="K1002" s="12">
        <v>188.568</v>
      </c>
      <c r="L1002" s="13" t="str">
        <f>IF(D1002&lt;&gt;"",VLOOKUP(H1002,TABLEITEM,2,FALSE),"")</f>
        <v/>
      </c>
      <c r="M1002" s="13" t="str">
        <f>IF(D1002&lt;&gt;"",VLOOKUP(H1002,TABLEITEM,3,FALSE),"")</f>
        <v>รางวายดัก/รางPVC 65x65 mm.</v>
      </c>
      <c r="N1002" s="14">
        <f>INSTOCK!$I1002*INSTOCK!$K1002</f>
        <v>3017.088</v>
      </c>
      <c r="O1002" s="4" t="s">
        <v>1167</v>
      </c>
      <c r="P1002" s="4"/>
    </row>
    <row r="1003" ht="15.75" hidden="1" customHeight="1">
      <c r="B1003" s="8">
        <v>1319.0</v>
      </c>
      <c r="C1003" s="9">
        <v>43341.0</v>
      </c>
      <c r="D1003" s="6" t="s">
        <v>1221</v>
      </c>
      <c r="E1003" s="4">
        <v>6.108001036E9</v>
      </c>
      <c r="F1003" s="8" t="s">
        <v>1222</v>
      </c>
      <c r="G1003" s="4" t="s">
        <v>743</v>
      </c>
      <c r="H1003" s="10" t="s">
        <v>1031</v>
      </c>
      <c r="I1003" s="10">
        <v>20.0</v>
      </c>
      <c r="J1003" s="11" t="str">
        <f>IF(D1003&lt;&gt;"",VLOOKUP(H1003,TABLEITEM,5,FALSE),"")</f>
        <v>KG.</v>
      </c>
      <c r="K1003" s="12">
        <v>139.0</v>
      </c>
      <c r="L1003" s="13" t="str">
        <f>IF(D1003&lt;&gt;"",VLOOKUP(H1003,TABLEITEM,2,FALSE),"")</f>
        <v/>
      </c>
      <c r="M1003" s="13" t="str">
        <f>IF(D1003&lt;&gt;"",VLOOKUP(H1003,TABLEITEM,3,FALSE),"")</f>
        <v>สีฝุ่น 1021517PX20 </v>
      </c>
      <c r="N1003" s="14">
        <f>INSTOCK!$I1003*INSTOCK!$K1003</f>
        <v>2780</v>
      </c>
      <c r="O1003" s="4"/>
      <c r="P1003" s="4"/>
    </row>
    <row r="1004" ht="15.75" hidden="1" customHeight="1">
      <c r="B1004" s="8">
        <v>1320.0</v>
      </c>
      <c r="C1004" s="9">
        <v>43340.0</v>
      </c>
      <c r="D1004" s="6" t="s">
        <v>1223</v>
      </c>
      <c r="E1004" s="4">
        <v>6.108001023E9</v>
      </c>
      <c r="F1004" s="8" t="s">
        <v>807</v>
      </c>
      <c r="G1004" s="4" t="s">
        <v>808</v>
      </c>
      <c r="H1004" s="10" t="s">
        <v>809</v>
      </c>
      <c r="I1004" s="10">
        <v>1.0</v>
      </c>
      <c r="J1004" s="11" t="str">
        <f>IF(D1004&lt;&gt;"",VLOOKUP(H1004,TABLEITEM,5,FALSE),"")</f>
        <v>ท่อ</v>
      </c>
      <c r="K1004" s="12">
        <v>2700.0</v>
      </c>
      <c r="L1004" s="13" t="str">
        <f>IF(D1004&lt;&gt;"",VLOOKUP(H1004,TABLEITEM,2,FALSE),"")</f>
        <v/>
      </c>
      <c r="M1004" s="13" t="str">
        <f>IF(D1004&lt;&gt;"",VLOOKUP(H1004,TABLEITEM,3,FALSE),"")</f>
        <v>ไนโตรเจนเหลว ขนาด 100คิว</v>
      </c>
      <c r="N1004" s="14">
        <f>INSTOCK!$I1004*INSTOCK!$K1004</f>
        <v>2700</v>
      </c>
      <c r="O1004" s="4"/>
      <c r="P1004" s="4"/>
    </row>
    <row r="1005" ht="15.75" hidden="1" customHeight="1">
      <c r="B1005" s="8">
        <v>1321.0</v>
      </c>
      <c r="C1005" s="9">
        <v>43339.0</v>
      </c>
      <c r="D1005" s="6" t="s">
        <v>1224</v>
      </c>
      <c r="E1005" s="4"/>
      <c r="F1005" s="8" t="s">
        <v>1225</v>
      </c>
      <c r="G1005" s="4" t="s">
        <v>702</v>
      </c>
      <c r="H1005" s="10" t="s">
        <v>92</v>
      </c>
      <c r="I1005" s="10">
        <v>20.0</v>
      </c>
      <c r="J1005" s="11" t="str">
        <f>IF(D1005&lt;&gt;"",VLOOKUP(H1005,TABLEITEM,5,FALSE),"")</f>
        <v>KG.</v>
      </c>
      <c r="K1005" s="12">
        <v>115.0</v>
      </c>
      <c r="L1005" s="13" t="str">
        <f>IF(D1005&lt;&gt;"",VLOOKUP(H1005,TABLEITEM,2,FALSE),"")</f>
        <v/>
      </c>
      <c r="M1005" s="13" t="str">
        <f>IF(D1005&lt;&gt;"",VLOOKUP(H1005,TABLEITEM,3,FALSE),"")</f>
        <v>สีฝุ่น FF110/703/c สีดำผิวเงา</v>
      </c>
      <c r="N1005" s="14">
        <f>INSTOCK!$I1005*INSTOCK!$K1005</f>
        <v>2300</v>
      </c>
      <c r="O1005" s="4"/>
      <c r="P1005" s="4"/>
    </row>
    <row r="1006" ht="15.75" hidden="1" customHeight="1">
      <c r="B1006" s="8">
        <v>1322.0</v>
      </c>
      <c r="C1006" s="9">
        <v>43337.0</v>
      </c>
      <c r="D1006" s="6" t="s">
        <v>1226</v>
      </c>
      <c r="E1006" s="4">
        <v>6.108000992E9</v>
      </c>
      <c r="F1006" s="8" t="s">
        <v>604</v>
      </c>
      <c r="G1006" s="4" t="s">
        <v>798</v>
      </c>
      <c r="H1006" s="10" t="s">
        <v>1227</v>
      </c>
      <c r="I1006" s="10">
        <v>100.0</v>
      </c>
      <c r="J1006" s="11" t="str">
        <f>IF(D1006&lt;&gt;"",VLOOKUP(H1006,TABLEITEM,5,FALSE),"")</f>
        <v>EA</v>
      </c>
      <c r="K1006" s="12">
        <v>30.0</v>
      </c>
      <c r="L1006" s="13" t="str">
        <f>IF(D1006&lt;&gt;"",VLOOKUP(H1006,TABLEITEM,2,FALSE),"")</f>
        <v/>
      </c>
      <c r="M1006" s="13" t="str">
        <f>IF(D1006&lt;&gt;"",VLOOKUP(H1006,TABLEITEM,3,FALSE),"")</f>
        <v>กุญแจหกเหลี่ยม รุ่น 174</v>
      </c>
      <c r="N1006" s="14">
        <f>INSTOCK!$I1006*INSTOCK!$K1006</f>
        <v>3000</v>
      </c>
      <c r="O1006" s="4"/>
      <c r="P1006" s="4"/>
    </row>
    <row r="1007" ht="15.75" hidden="1" customHeight="1">
      <c r="B1007" s="8">
        <v>1323.0</v>
      </c>
      <c r="C1007" s="9">
        <v>43337.0</v>
      </c>
      <c r="D1007" s="6" t="s">
        <v>1226</v>
      </c>
      <c r="E1007" s="4">
        <v>6.108000992E9</v>
      </c>
      <c r="F1007" s="8" t="s">
        <v>604</v>
      </c>
      <c r="G1007" s="4" t="s">
        <v>798</v>
      </c>
      <c r="H1007" s="10" t="s">
        <v>121</v>
      </c>
      <c r="I1007" s="10">
        <v>100.0</v>
      </c>
      <c r="J1007" s="11" t="str">
        <f>IF(D1007&lt;&gt;"",VLOOKUP(H1007,TABLEITEM,5,FALSE),"")</f>
        <v>EA</v>
      </c>
      <c r="K1007" s="12">
        <v>23.0</v>
      </c>
      <c r="L1007" s="13" t="str">
        <f>IF(D1007&lt;&gt;"",VLOOKUP(H1007,TABLEITEM,2,FALSE),"")</f>
        <v/>
      </c>
      <c r="M1007" s="13" t="str">
        <f>IF(D1007&lt;&gt;"",VLOOKUP(H1007,TABLEITEM,3,FALSE),"")</f>
        <v>กุญแจสมอเรือ169-03-G-016</v>
      </c>
      <c r="N1007" s="14">
        <f>INSTOCK!$I1007*INSTOCK!$K1007</f>
        <v>2300</v>
      </c>
      <c r="O1007" s="4"/>
      <c r="P1007" s="4"/>
    </row>
    <row r="1008" ht="15.75" hidden="1" customHeight="1">
      <c r="B1008" s="8">
        <v>1324.0</v>
      </c>
      <c r="C1008" s="9">
        <v>43336.0</v>
      </c>
      <c r="D1008" s="6" t="s">
        <v>1228</v>
      </c>
      <c r="E1008" s="4"/>
      <c r="F1008" s="8" t="s">
        <v>801</v>
      </c>
      <c r="G1008" s="4" t="s">
        <v>802</v>
      </c>
      <c r="H1008" s="10" t="s">
        <v>803</v>
      </c>
      <c r="I1008" s="10">
        <v>15.0</v>
      </c>
      <c r="J1008" s="11" t="str">
        <f>IF(D1008&lt;&gt;"",VLOOKUP(H1008,TABLEITEM,5,FALSE),"")</f>
        <v>ถัง</v>
      </c>
      <c r="K1008" s="12">
        <v>1140.19</v>
      </c>
      <c r="L1008" s="13" t="str">
        <f>IF(D1008&lt;&gt;"",VLOOKUP(H1008,TABLEITEM,2,FALSE),"")</f>
        <v/>
      </c>
      <c r="M1008" s="13" t="str">
        <f>IF(D1008&lt;&gt;"",VLOOKUP(H1008,TABLEITEM,3,FALSE),"")</f>
        <v>แก๊สหุงต้ม 48กก</v>
      </c>
      <c r="N1008" s="14">
        <f>INSTOCK!$I1008*INSTOCK!$K1008</f>
        <v>17102.85</v>
      </c>
      <c r="O1008" s="4"/>
      <c r="P1008" s="4"/>
    </row>
    <row r="1009" ht="15.75" hidden="1" customHeight="1">
      <c r="B1009" s="8">
        <v>1325.0</v>
      </c>
      <c r="C1009" s="9">
        <v>43336.0</v>
      </c>
      <c r="D1009" s="6" t="s">
        <v>1229</v>
      </c>
      <c r="E1009" s="4">
        <v>6.108001008E9</v>
      </c>
      <c r="F1009" s="8" t="s">
        <v>604</v>
      </c>
      <c r="G1009" s="4" t="s">
        <v>808</v>
      </c>
      <c r="H1009" s="10" t="s">
        <v>816</v>
      </c>
      <c r="I1009" s="10">
        <v>6.0</v>
      </c>
      <c r="J1009" s="11" t="str">
        <f>IF(D1009&lt;&gt;"",VLOOKUP(H1009,TABLEITEM,5,FALSE),"")</f>
        <v>ท่อ</v>
      </c>
      <c r="K1009" s="12">
        <v>600.0</v>
      </c>
      <c r="L1009" s="13" t="str">
        <f>IF(D1009&lt;&gt;"",VLOOKUP(H1009,TABLEITEM,2,FALSE),"")</f>
        <v/>
      </c>
      <c r="M1009" s="13" t="str">
        <f>IF(D1009&lt;&gt;"",VLOOKUP(H1009,TABLEITEM,3,FALSE),"")</f>
        <v>อาร์กอน ขนาด 6คิว</v>
      </c>
      <c r="N1009" s="14">
        <f>INSTOCK!$I1009*INSTOCK!$K1009</f>
        <v>3600</v>
      </c>
      <c r="O1009" s="4"/>
      <c r="P1009" s="4"/>
    </row>
    <row r="1010" ht="15.75" hidden="1" customHeight="1">
      <c r="B1010" s="8">
        <v>1326.0</v>
      </c>
      <c r="C1010" s="9">
        <v>43336.0</v>
      </c>
      <c r="D1010" s="6" t="s">
        <v>1229</v>
      </c>
      <c r="E1010" s="4">
        <v>6.108001008E9</v>
      </c>
      <c r="F1010" s="8" t="s">
        <v>604</v>
      </c>
      <c r="G1010" s="4" t="s">
        <v>808</v>
      </c>
      <c r="H1010" s="10" t="s">
        <v>818</v>
      </c>
      <c r="I1010" s="10">
        <v>12.0</v>
      </c>
      <c r="J1010" s="11" t="str">
        <f>IF(D1010&lt;&gt;"",VLOOKUP(H1010,TABLEITEM,5,FALSE),"")</f>
        <v>ท่อ</v>
      </c>
      <c r="K1010" s="12">
        <v>300.0</v>
      </c>
      <c r="L1010" s="13" t="str">
        <f>IF(D1010&lt;&gt;"",VLOOKUP(H1010,TABLEITEM,2,FALSE),"")</f>
        <v/>
      </c>
      <c r="M1010" s="13" t="str">
        <f>IF(D1010&lt;&gt;"",VLOOKUP(H1010,TABLEITEM,3,FALSE),"")</f>
        <v>คาร์บอนไดออกไซด์ ขนาด 25 กก</v>
      </c>
      <c r="N1010" s="14">
        <f>INSTOCK!$I1010*INSTOCK!$K1010</f>
        <v>3600</v>
      </c>
      <c r="O1010" s="4"/>
      <c r="P1010" s="4"/>
    </row>
    <row r="1011" ht="15.75" hidden="1" customHeight="1">
      <c r="B1011" s="8">
        <v>1327.0</v>
      </c>
      <c r="C1011" s="9">
        <v>43336.0</v>
      </c>
      <c r="D1011" s="6" t="s">
        <v>1230</v>
      </c>
      <c r="E1011" s="4">
        <v>6.108000993E9</v>
      </c>
      <c r="F1011" s="8" t="s">
        <v>604</v>
      </c>
      <c r="G1011" s="4" t="s">
        <v>765</v>
      </c>
      <c r="H1011" s="10" t="s">
        <v>85</v>
      </c>
      <c r="I1011" s="10">
        <v>200.0</v>
      </c>
      <c r="J1011" s="11" t="str">
        <f>IF(D1011&lt;&gt;"",VLOOKUP(H1011,TABLEITEM,5,FALSE),"")</f>
        <v>KG.</v>
      </c>
      <c r="K1011" s="12">
        <v>112.0</v>
      </c>
      <c r="L1011" s="13" t="str">
        <f>IF(D1011&lt;&gt;"",VLOOKUP(H1011,TABLEITEM,2,FALSE),"")</f>
        <v/>
      </c>
      <c r="M1011" s="13" t="str">
        <f>IF(D1011&lt;&gt;"",VLOOKUP(H1011,TABLEITEM,3,FALSE),"")</f>
        <v>สีฝุ่น GH433241 สีเทาย่น</v>
      </c>
      <c r="N1011" s="14">
        <f>INSTOCK!$I1011*INSTOCK!$K1011</f>
        <v>22400</v>
      </c>
      <c r="O1011" s="4"/>
      <c r="P1011" s="4"/>
    </row>
    <row r="1012" ht="15.75" hidden="1" customHeight="1">
      <c r="B1012" s="8">
        <v>1328.0</v>
      </c>
      <c r="C1012" s="9">
        <v>43334.0</v>
      </c>
      <c r="D1012" s="6" t="s">
        <v>1231</v>
      </c>
      <c r="E1012" s="4">
        <v>6.108000989E9</v>
      </c>
      <c r="F1012" s="8" t="s">
        <v>807</v>
      </c>
      <c r="G1012" s="4" t="s">
        <v>808</v>
      </c>
      <c r="H1012" s="10" t="s">
        <v>809</v>
      </c>
      <c r="I1012" s="10">
        <v>1.0</v>
      </c>
      <c r="J1012" s="11" t="str">
        <f>IF(D1012&lt;&gt;"",VLOOKUP(H1012,TABLEITEM,5,FALSE),"")</f>
        <v>ท่อ</v>
      </c>
      <c r="K1012" s="12">
        <v>2700.0</v>
      </c>
      <c r="L1012" s="13" t="str">
        <f>IF(D1012&lt;&gt;"",VLOOKUP(H1012,TABLEITEM,2,FALSE),"")</f>
        <v/>
      </c>
      <c r="M1012" s="13" t="str">
        <f>IF(D1012&lt;&gt;"",VLOOKUP(H1012,TABLEITEM,3,FALSE),"")</f>
        <v>ไนโตรเจนเหลว ขนาด 100คิว</v>
      </c>
      <c r="N1012" s="14">
        <f>INSTOCK!$I1012*INSTOCK!$K1012</f>
        <v>2700</v>
      </c>
      <c r="O1012" s="4"/>
      <c r="P1012" s="4"/>
    </row>
    <row r="1013" ht="15.75" hidden="1" customHeight="1">
      <c r="B1013" s="8">
        <v>1329.0</v>
      </c>
      <c r="C1013" s="9">
        <v>43334.0</v>
      </c>
      <c r="D1013" s="6">
        <v>6670.0</v>
      </c>
      <c r="E1013" s="4">
        <v>6.108000994E9</v>
      </c>
      <c r="F1013" s="8" t="s">
        <v>604</v>
      </c>
      <c r="G1013" s="4" t="s">
        <v>1009</v>
      </c>
      <c r="H1013" s="10" t="s">
        <v>1232</v>
      </c>
      <c r="I1013" s="10">
        <v>200.0</v>
      </c>
      <c r="J1013" s="11" t="str">
        <f>IF(D1013&lt;&gt;"",VLOOKUP(H1013,TABLEITEM,5,FALSE),"")</f>
        <v>EA</v>
      </c>
      <c r="K1013" s="12">
        <v>180.0</v>
      </c>
      <c r="L1013" s="13" t="str">
        <f>IF(D1013&lt;&gt;"",VLOOKUP(H1013,TABLEITEM,2,FALSE),"")</f>
        <v/>
      </c>
      <c r="M1013" s="13" t="str">
        <f>IF(D1013&lt;&gt;"",VLOOKUP(H1013,TABLEITEM,3,FALSE),"")</f>
        <v>กุญแจกดเด้งสีดำ MS480-2</v>
      </c>
      <c r="N1013" s="14">
        <f>INSTOCK!$I1013*INSTOCK!$K1013</f>
        <v>36000</v>
      </c>
      <c r="O1013" s="4"/>
      <c r="P1013" s="4"/>
    </row>
    <row r="1014" ht="15.75" hidden="1" customHeight="1">
      <c r="B1014" s="8">
        <v>1330.0</v>
      </c>
      <c r="C1014" s="9">
        <v>43334.0</v>
      </c>
      <c r="D1014" s="6" t="s">
        <v>1233</v>
      </c>
      <c r="E1014" s="4">
        <v>6.108000997E9</v>
      </c>
      <c r="F1014" s="8" t="s">
        <v>1234</v>
      </c>
      <c r="G1014" s="4" t="s">
        <v>965</v>
      </c>
      <c r="H1014" s="10" t="s">
        <v>1235</v>
      </c>
      <c r="I1014" s="10">
        <v>20.0</v>
      </c>
      <c r="J1014" s="11" t="str">
        <f>IF(D1014&lt;&gt;"",VLOOKUP(H1014,TABLEITEM,5,FALSE),"")</f>
        <v>EA</v>
      </c>
      <c r="K1014" s="12">
        <v>28.0</v>
      </c>
      <c r="L1014" s="13" t="str">
        <f>IF(D1014&lt;&gt;"",VLOOKUP(H1014,TABLEITEM,2,FALSE),"")</f>
        <v/>
      </c>
      <c r="M1014" s="13" t="str">
        <f>IF(D1014&lt;&gt;"",VLOOKUP(H1014,TABLEITEM,3,FALSE),"")</f>
        <v>ลูกปืน 6000ZZ</v>
      </c>
      <c r="N1014" s="14">
        <f>INSTOCK!$I1014*INSTOCK!$K1014</f>
        <v>560</v>
      </c>
      <c r="O1014" s="4"/>
      <c r="P1014" s="4"/>
    </row>
    <row r="1015" ht="15.75" hidden="1" customHeight="1">
      <c r="B1015" s="8">
        <v>1331.0</v>
      </c>
      <c r="C1015" s="9">
        <v>43333.0</v>
      </c>
      <c r="D1015" s="6" t="s">
        <v>1236</v>
      </c>
      <c r="E1015" s="4">
        <v>6.108000991E9</v>
      </c>
      <c r="F1015" s="8" t="s">
        <v>604</v>
      </c>
      <c r="G1015" s="4" t="s">
        <v>729</v>
      </c>
      <c r="H1015" s="10" t="s">
        <v>29</v>
      </c>
      <c r="I1015" s="10">
        <v>1000.0</v>
      </c>
      <c r="J1015" s="11" t="str">
        <f>IF(D1015&lt;&gt;"",VLOOKUP(H1015,TABLEITEM,5,FALSE),"")</f>
        <v>M</v>
      </c>
      <c r="K1015" s="12">
        <v>17.0</v>
      </c>
      <c r="L1015" s="13" t="str">
        <f>IF(D1015&lt;&gt;"",VLOOKUP(H1015,TABLEITEM,2,FALSE),"")</f>
        <v/>
      </c>
      <c r="M1015" s="13" t="str">
        <f>IF(D1015&lt;&gt;"",VLOOKUP(H1015,TABLEITEM,3,FALSE),"")</f>
        <v>ยางฟองน้ำ1"x1/4''</v>
      </c>
      <c r="N1015" s="14">
        <f>INSTOCK!$I1015*INSTOCK!$K1015</f>
        <v>17000</v>
      </c>
      <c r="O1015" s="4"/>
      <c r="P1015" s="4"/>
    </row>
    <row r="1016" ht="15.75" hidden="1" customHeight="1">
      <c r="B1016" s="8">
        <v>1332.0</v>
      </c>
      <c r="C1016" s="9">
        <v>43332.0</v>
      </c>
      <c r="D1016" s="6" t="s">
        <v>1237</v>
      </c>
      <c r="E1016" s="4"/>
      <c r="F1016" s="8" t="s">
        <v>1238</v>
      </c>
      <c r="G1016" s="4" t="s">
        <v>898</v>
      </c>
      <c r="H1016" s="10" t="s">
        <v>899</v>
      </c>
      <c r="I1016" s="10">
        <v>1.0</v>
      </c>
      <c r="J1016" s="11" t="str">
        <f>IF(D1016&lt;&gt;"",VLOOKUP(H1016,TABLEITEM,5,FALSE),"")</f>
        <v>LIT</v>
      </c>
      <c r="K1016" s="12">
        <v>400.0</v>
      </c>
      <c r="L1016" s="13" t="str">
        <f>IF(D1016&lt;&gt;"",VLOOKUP(H1016,TABLEITEM,2,FALSE),"")</f>
        <v/>
      </c>
      <c r="M1016" s="13" t="str">
        <f>IF(D1016&lt;&gt;"",VLOOKUP(H1016,TABLEITEM,3,FALSE),"")</f>
        <v>สีพ่นแห้งเร็ว(สีผสม)</v>
      </c>
      <c r="N1016" s="14">
        <f>INSTOCK!$I1016*INSTOCK!$K1016</f>
        <v>400</v>
      </c>
      <c r="O1016" s="4" t="s">
        <v>1017</v>
      </c>
      <c r="P1016" s="4"/>
    </row>
    <row r="1017" ht="15.75" hidden="1" customHeight="1">
      <c r="B1017" s="8">
        <v>1333.0</v>
      </c>
      <c r="C1017" s="9">
        <v>43332.0</v>
      </c>
      <c r="D1017" s="6" t="s">
        <v>1239</v>
      </c>
      <c r="E1017" s="4">
        <v>6.108000985E9</v>
      </c>
      <c r="F1017" s="8" t="s">
        <v>823</v>
      </c>
      <c r="G1017" s="4" t="s">
        <v>808</v>
      </c>
      <c r="H1017" s="10" t="s">
        <v>824</v>
      </c>
      <c r="I1017" s="10">
        <v>2.0</v>
      </c>
      <c r="J1017" s="11" t="str">
        <f>IF(D1017&lt;&gt;"",VLOOKUP(H1017,TABLEITEM,5,FALSE),"")</f>
        <v>ท่อ</v>
      </c>
      <c r="K1017" s="12">
        <v>600.0</v>
      </c>
      <c r="L1017" s="13" t="str">
        <f>IF(D1017&lt;&gt;"",VLOOKUP(H1017,TABLEITEM,2,FALSE),"")</f>
        <v/>
      </c>
      <c r="M1017" s="13" t="str">
        <f>IF(D1017&lt;&gt;"",VLOOKUP(H1017,TABLEITEM,3,FALSE),"")</f>
        <v>20% CO2 Balance AR ขนาด 6คิว</v>
      </c>
      <c r="N1017" s="14">
        <f>INSTOCK!$I1017*INSTOCK!$K1017</f>
        <v>1200</v>
      </c>
      <c r="O1017" s="4"/>
      <c r="P1017" s="4"/>
    </row>
    <row r="1018" ht="15.75" hidden="1" customHeight="1">
      <c r="B1018" s="8">
        <v>1334.0</v>
      </c>
      <c r="C1018" s="9">
        <v>43332.0</v>
      </c>
      <c r="D1018" s="6" t="s">
        <v>1240</v>
      </c>
      <c r="E1018" s="4">
        <v>6.108000987E9</v>
      </c>
      <c r="F1018" s="8" t="s">
        <v>807</v>
      </c>
      <c r="G1018" s="4" t="s">
        <v>808</v>
      </c>
      <c r="H1018" s="10" t="s">
        <v>809</v>
      </c>
      <c r="I1018" s="10">
        <v>1.0</v>
      </c>
      <c r="J1018" s="11" t="str">
        <f>IF(D1018&lt;&gt;"",VLOOKUP(H1018,TABLEITEM,5,FALSE),"")</f>
        <v>ท่อ</v>
      </c>
      <c r="K1018" s="12">
        <v>2700.0</v>
      </c>
      <c r="L1018" s="13" t="str">
        <f>IF(D1018&lt;&gt;"",VLOOKUP(H1018,TABLEITEM,2,FALSE),"")</f>
        <v/>
      </c>
      <c r="M1018" s="13" t="str">
        <f>IF(D1018&lt;&gt;"",VLOOKUP(H1018,TABLEITEM,3,FALSE),"")</f>
        <v>ไนโตรเจนเหลว ขนาด 100คิว</v>
      </c>
      <c r="N1018" s="14">
        <f>INSTOCK!$I1018*INSTOCK!$K1018</f>
        <v>2700</v>
      </c>
      <c r="O1018" s="4"/>
      <c r="P1018" s="4"/>
    </row>
    <row r="1019" ht="15.75" hidden="1" customHeight="1">
      <c r="B1019" s="8">
        <v>1335.0</v>
      </c>
      <c r="C1019" s="9">
        <v>43330.0</v>
      </c>
      <c r="D1019" s="6" t="s">
        <v>1241</v>
      </c>
      <c r="E1019" s="4">
        <v>6.108000977E9</v>
      </c>
      <c r="F1019" s="8" t="s">
        <v>604</v>
      </c>
      <c r="G1019" s="4" t="s">
        <v>725</v>
      </c>
      <c r="H1019" s="10" t="s">
        <v>26</v>
      </c>
      <c r="I1019" s="10">
        <v>1500.0</v>
      </c>
      <c r="J1019" s="11" t="str">
        <f>IF(D1019&lt;&gt;"",VLOOKUP(H1019,TABLEITEM,5,FALSE),"")</f>
        <v>M</v>
      </c>
      <c r="K1019" s="12">
        <v>18.0</v>
      </c>
      <c r="L1019" s="13" t="str">
        <f>IF(D1019&lt;&gt;"",VLOOKUP(H1019,TABLEITEM,2,FALSE),"")</f>
        <v/>
      </c>
      <c r="M1019" s="13" t="str">
        <f>IF(D1019&lt;&gt;"",VLOOKUP(H1019,TABLEITEM,3,FALSE),"")</f>
        <v>ยางโปร่ง#110</v>
      </c>
      <c r="N1019" s="14">
        <f>INSTOCK!$I1019*INSTOCK!$K1019</f>
        <v>27000</v>
      </c>
      <c r="O1019" s="4"/>
      <c r="P1019" s="4"/>
    </row>
    <row r="1020" ht="15.75" hidden="1" customHeight="1">
      <c r="B1020" s="8">
        <v>1336.0</v>
      </c>
      <c r="C1020" s="9">
        <v>43330.0</v>
      </c>
      <c r="D1020" s="6" t="s">
        <v>1242</v>
      </c>
      <c r="E1020" s="4">
        <v>6.10800986E8</v>
      </c>
      <c r="F1020" s="8" t="s">
        <v>604</v>
      </c>
      <c r="G1020" s="4" t="s">
        <v>965</v>
      </c>
      <c r="H1020" s="10" t="s">
        <v>1235</v>
      </c>
      <c r="I1020" s="10">
        <v>48.0</v>
      </c>
      <c r="J1020" s="11" t="str">
        <f>IF(D1020&lt;&gt;"",VLOOKUP(H1020,TABLEITEM,5,FALSE),"")</f>
        <v>EA</v>
      </c>
      <c r="K1020" s="12">
        <v>28.0</v>
      </c>
      <c r="L1020" s="13" t="str">
        <f>IF(D1020&lt;&gt;"",VLOOKUP(H1020,TABLEITEM,2,FALSE),"")</f>
        <v/>
      </c>
      <c r="M1020" s="13" t="str">
        <f>IF(D1020&lt;&gt;"",VLOOKUP(H1020,TABLEITEM,3,FALSE),"")</f>
        <v>ลูกปืน 6000ZZ</v>
      </c>
      <c r="N1020" s="14">
        <f>INSTOCK!$I1020*INSTOCK!$K1020</f>
        <v>1344</v>
      </c>
      <c r="O1020" s="4"/>
      <c r="P1020" s="21" t="s">
        <v>1243</v>
      </c>
    </row>
    <row r="1021" ht="15.75" hidden="1" customHeight="1">
      <c r="B1021" s="8">
        <v>1337.0</v>
      </c>
      <c r="C1021" s="9">
        <v>43329.0</v>
      </c>
      <c r="D1021" s="6" t="s">
        <v>1244</v>
      </c>
      <c r="E1021" s="4"/>
      <c r="F1021" s="8" t="s">
        <v>1245</v>
      </c>
      <c r="G1021" s="4" t="s">
        <v>898</v>
      </c>
      <c r="H1021" s="10" t="s">
        <v>899</v>
      </c>
      <c r="I1021" s="10">
        <v>2.0</v>
      </c>
      <c r="J1021" s="11" t="str">
        <f>IF(D1021&lt;&gt;"",VLOOKUP(H1021,TABLEITEM,5,FALSE),"")</f>
        <v>LIT</v>
      </c>
      <c r="K1021" s="12">
        <v>380.0</v>
      </c>
      <c r="L1021" s="13" t="str">
        <f>IF(D1021&lt;&gt;"",VLOOKUP(H1021,TABLEITEM,2,FALSE),"")</f>
        <v/>
      </c>
      <c r="M1021" s="13" t="str">
        <f>IF(D1021&lt;&gt;"",VLOOKUP(H1021,TABLEITEM,3,FALSE),"")</f>
        <v>สีพ่นแห้งเร็ว(สีผสม)</v>
      </c>
      <c r="N1021" s="14">
        <f>INSTOCK!$I1021*INSTOCK!$K1021</f>
        <v>760</v>
      </c>
      <c r="O1021" s="4" t="s">
        <v>907</v>
      </c>
      <c r="P1021" s="4"/>
    </row>
    <row r="1022" ht="15.75" hidden="1" customHeight="1">
      <c r="B1022" s="8">
        <v>1338.0</v>
      </c>
      <c r="C1022" s="9">
        <v>43329.0</v>
      </c>
      <c r="D1022" s="6" t="s">
        <v>1246</v>
      </c>
      <c r="E1022" s="4">
        <v>6.108000978E9</v>
      </c>
      <c r="F1022" s="8" t="s">
        <v>604</v>
      </c>
      <c r="G1022" s="4" t="s">
        <v>743</v>
      </c>
      <c r="H1022" s="10" t="s">
        <v>86</v>
      </c>
      <c r="I1022" s="10">
        <v>500.0</v>
      </c>
      <c r="J1022" s="11" t="str">
        <f>IF(D1022&lt;&gt;"",VLOOKUP(H1022,TABLEITEM,5,FALSE),"")</f>
        <v>KG.</v>
      </c>
      <c r="K1022" s="12">
        <v>139.05</v>
      </c>
      <c r="L1022" s="13" t="str">
        <f>IF(D1022&lt;&gt;"",VLOOKUP(H1022,TABLEITEM,2,FALSE),"")</f>
        <v/>
      </c>
      <c r="M1022" s="13" t="str">
        <f>IF(D1022&lt;&gt;"",VLOOKUP(H1022,TABLEITEM,3,FALSE),"")</f>
        <v>สีฝุ่น ครีมเรียบ 1204551PX20</v>
      </c>
      <c r="N1022" s="14">
        <f>INSTOCK!$I1022*INSTOCK!$K1022</f>
        <v>69525</v>
      </c>
      <c r="O1022" s="4"/>
      <c r="P1022" s="4"/>
    </row>
    <row r="1023" ht="15.75" hidden="1" customHeight="1">
      <c r="B1023" s="8">
        <v>1339.0</v>
      </c>
      <c r="C1023" s="9">
        <v>43328.0</v>
      </c>
      <c r="D1023" s="6">
        <v>4184.0</v>
      </c>
      <c r="E1023" s="4">
        <v>6.108000967E9</v>
      </c>
      <c r="F1023" s="8"/>
      <c r="G1023" s="4" t="s">
        <v>1063</v>
      </c>
      <c r="H1023" s="10" t="s">
        <v>1247</v>
      </c>
      <c r="I1023" s="10">
        <v>2.0</v>
      </c>
      <c r="J1023" s="11" t="str">
        <f>IF(D1023&lt;&gt;"",VLOOKUP(H1023,TABLEITEM,5,FALSE),"")</f>
        <v>SET</v>
      </c>
      <c r="K1023" s="12">
        <v>380.0</v>
      </c>
      <c r="L1023" s="13" t="str">
        <f>IF(D1023&lt;&gt;"",VLOOKUP(H1023,TABLEITEM,2,FALSE),"")</f>
        <v/>
      </c>
      <c r="M1023" s="13" t="str">
        <f>IF(D1023&lt;&gt;"",VLOOKUP(H1023,TABLEITEM,3,FALSE),"")</f>
        <v>Pusbutton black BP915</v>
      </c>
      <c r="N1023" s="14">
        <f>INSTOCK!$I1023*INSTOCK!$K1023</f>
        <v>760</v>
      </c>
      <c r="O1023" s="4"/>
      <c r="P1023" s="4"/>
    </row>
    <row r="1024" ht="15.75" hidden="1" customHeight="1">
      <c r="B1024" s="8">
        <v>1340.0</v>
      </c>
      <c r="C1024" s="9">
        <v>43328.0</v>
      </c>
      <c r="D1024" s="6" t="s">
        <v>1248</v>
      </c>
      <c r="E1024" s="4">
        <v>6.108000976E9</v>
      </c>
      <c r="F1024" s="8" t="s">
        <v>807</v>
      </c>
      <c r="G1024" s="4" t="s">
        <v>808</v>
      </c>
      <c r="H1024" s="10" t="s">
        <v>812</v>
      </c>
      <c r="I1024" s="10">
        <v>1.0</v>
      </c>
      <c r="J1024" s="11" t="str">
        <f>IF(D1024&lt;&gt;"",VLOOKUP(H1024,TABLEITEM,5,FALSE),"")</f>
        <v>ท่อ</v>
      </c>
      <c r="K1024" s="12">
        <v>2960.0</v>
      </c>
      <c r="L1024" s="13" t="str">
        <f>IF(D1024&lt;&gt;"",VLOOKUP(H1024,TABLEITEM,2,FALSE),"")</f>
        <v/>
      </c>
      <c r="M1024" s="13" t="str">
        <f>IF(D1024&lt;&gt;"",VLOOKUP(H1024,TABLEITEM,3,FALSE),"")</f>
        <v>ออกซิเจนเหลว ขนาด 148 คิว</v>
      </c>
      <c r="N1024" s="14">
        <f>INSTOCK!$I1024*INSTOCK!$K1024</f>
        <v>2960</v>
      </c>
      <c r="O1024" s="4"/>
      <c r="P1024" s="4"/>
    </row>
    <row r="1025" ht="15.75" hidden="1" customHeight="1">
      <c r="B1025" s="8">
        <v>1341.0</v>
      </c>
      <c r="C1025" s="9">
        <v>43328.0</v>
      </c>
      <c r="D1025" s="6" t="s">
        <v>1248</v>
      </c>
      <c r="E1025" s="4">
        <v>6.108000976E9</v>
      </c>
      <c r="F1025" s="8" t="s">
        <v>807</v>
      </c>
      <c r="G1025" s="4" t="s">
        <v>808</v>
      </c>
      <c r="H1025" s="10" t="s">
        <v>809</v>
      </c>
      <c r="I1025" s="10">
        <v>1.0</v>
      </c>
      <c r="J1025" s="11" t="str">
        <f>IF(D1025&lt;&gt;"",VLOOKUP(H1025,TABLEITEM,5,FALSE),"")</f>
        <v>ท่อ</v>
      </c>
      <c r="K1025" s="12">
        <v>2700.0</v>
      </c>
      <c r="L1025" s="13" t="str">
        <f>IF(D1025&lt;&gt;"",VLOOKUP(H1025,TABLEITEM,2,FALSE),"")</f>
        <v/>
      </c>
      <c r="M1025" s="13" t="str">
        <f>IF(D1025&lt;&gt;"",VLOOKUP(H1025,TABLEITEM,3,FALSE),"")</f>
        <v>ไนโตรเจนเหลว ขนาด 100คิว</v>
      </c>
      <c r="N1025" s="14">
        <f>INSTOCK!$I1025*INSTOCK!$K1025</f>
        <v>2700</v>
      </c>
      <c r="O1025" s="4"/>
      <c r="P1025" s="4"/>
    </row>
    <row r="1026" ht="15.75" hidden="1" customHeight="1">
      <c r="B1026" s="8">
        <v>1342.0</v>
      </c>
      <c r="C1026" s="9">
        <v>43328.0</v>
      </c>
      <c r="D1026" s="6">
        <v>6636.0</v>
      </c>
      <c r="E1026" s="4">
        <v>6.108000972E9</v>
      </c>
      <c r="F1026" s="8" t="s">
        <v>604</v>
      </c>
      <c r="G1026" s="4" t="s">
        <v>1009</v>
      </c>
      <c r="H1026" s="10" t="s">
        <v>1249</v>
      </c>
      <c r="I1026" s="10">
        <v>15.0</v>
      </c>
      <c r="J1026" s="11" t="str">
        <f>IF(D1026&lt;&gt;"",VLOOKUP(H1026,TABLEITEM,5,FALSE),"")</f>
        <v>EA</v>
      </c>
      <c r="K1026" s="12">
        <v>190.0</v>
      </c>
      <c r="L1026" s="13" t="str">
        <f>IF(D1026&lt;&gt;"",VLOOKUP(H1026,TABLEITEM,2,FALSE),"")</f>
        <v/>
      </c>
      <c r="M1026" s="13" t="str">
        <f>IF(D1026&lt;&gt;"",VLOOKUP(H1026,TABLEITEM,3,FALSE),"")</f>
        <v>กุญแจกดเด้งสีดำ MS480-2</v>
      </c>
      <c r="N1026" s="14">
        <f>INSTOCK!$I1026*INSTOCK!$K1026</f>
        <v>2850</v>
      </c>
      <c r="O1026" s="4"/>
      <c r="P1026" s="4"/>
    </row>
    <row r="1027" ht="15.75" hidden="1" customHeight="1">
      <c r="B1027" s="8">
        <v>1343.0</v>
      </c>
      <c r="C1027" s="9">
        <v>43327.0</v>
      </c>
      <c r="D1027" s="6" t="s">
        <v>1250</v>
      </c>
      <c r="E1027" s="4">
        <v>6.108000963E9</v>
      </c>
      <c r="F1027" s="8" t="s">
        <v>604</v>
      </c>
      <c r="G1027" s="4" t="s">
        <v>957</v>
      </c>
      <c r="H1027" s="10" t="s">
        <v>1193</v>
      </c>
      <c r="I1027" s="10">
        <v>200.0</v>
      </c>
      <c r="J1027" s="11" t="str">
        <f>IF(D1027&lt;&gt;"",VLOOKUP(H1027,TABLEITEM,5,FALSE),"")</f>
        <v>EA</v>
      </c>
      <c r="K1027" s="12">
        <v>100.0</v>
      </c>
      <c r="L1027" s="13" t="str">
        <f>IF(D1027&lt;&gt;"",VLOOKUP(H1027,TABLEITEM,2,FALSE),"")</f>
        <v/>
      </c>
      <c r="M1027" s="13" t="str">
        <f>IF(D1027&lt;&gt;"",VLOOKUP(H1027,TABLEITEM,3,FALSE),"")</f>
        <v>กุญแจเขาควายกันน้ำMS-306-2-1</v>
      </c>
      <c r="N1027" s="14">
        <f>INSTOCK!$I1027*INSTOCK!$K1027</f>
        <v>20000</v>
      </c>
      <c r="O1027" s="4"/>
      <c r="P1027" s="4"/>
    </row>
    <row r="1028" ht="15.75" hidden="1" customHeight="1">
      <c r="B1028" s="8">
        <v>1344.0</v>
      </c>
      <c r="C1028" s="9">
        <v>43326.0</v>
      </c>
      <c r="D1028" s="6" t="s">
        <v>1251</v>
      </c>
      <c r="E1028" s="4"/>
      <c r="F1028" s="8" t="s">
        <v>1252</v>
      </c>
      <c r="G1028" s="4" t="s">
        <v>702</v>
      </c>
      <c r="H1028" s="10" t="s">
        <v>92</v>
      </c>
      <c r="I1028" s="10">
        <v>20.0</v>
      </c>
      <c r="J1028" s="11" t="str">
        <f>IF(D1028&lt;&gt;"",VLOOKUP(H1028,TABLEITEM,5,FALSE),"")</f>
        <v>KG.</v>
      </c>
      <c r="K1028" s="12">
        <v>115.0</v>
      </c>
      <c r="L1028" s="13" t="str">
        <f>IF(D1028&lt;&gt;"",VLOOKUP(H1028,TABLEITEM,2,FALSE),"")</f>
        <v/>
      </c>
      <c r="M1028" s="13" t="str">
        <f>IF(D1028&lt;&gt;"",VLOOKUP(H1028,TABLEITEM,3,FALSE),"")</f>
        <v>สีฝุ่น FF110/703/c สีดำผิวเงา</v>
      </c>
      <c r="N1028" s="14">
        <f>INSTOCK!$I1028*INSTOCK!$K1028</f>
        <v>2300</v>
      </c>
      <c r="O1028" s="4"/>
      <c r="P1028" s="4"/>
    </row>
    <row r="1029" ht="15.75" hidden="1" customHeight="1">
      <c r="B1029" s="8">
        <v>1345.0</v>
      </c>
      <c r="C1029" s="9">
        <v>43326.0</v>
      </c>
      <c r="D1029" s="6" t="s">
        <v>1251</v>
      </c>
      <c r="E1029" s="4"/>
      <c r="F1029" s="8" t="s">
        <v>1252</v>
      </c>
      <c r="G1029" s="4" t="s">
        <v>702</v>
      </c>
      <c r="H1029" s="10" t="s">
        <v>779</v>
      </c>
      <c r="I1029" s="10">
        <v>20.0</v>
      </c>
      <c r="J1029" s="11" t="str">
        <f>IF(D1029&lt;&gt;"",VLOOKUP(H1029,TABLEITEM,5,FALSE),"")</f>
        <v>KG.</v>
      </c>
      <c r="K1029" s="12">
        <v>130.0</v>
      </c>
      <c r="L1029" s="13" t="str">
        <f>IF(D1029&lt;&gt;"",VLOOKUP(H1029,TABLEITEM,2,FALSE),"")</f>
        <v/>
      </c>
      <c r="M1029" s="13" t="str">
        <f>IF(D1029&lt;&gt;"",VLOOKUP(H1029,TABLEITEM,3,FALSE),"")</f>
        <v>สีฝุ่น FF110/948/C สีครีม</v>
      </c>
      <c r="N1029" s="14">
        <f>INSTOCK!$I1029*INSTOCK!$K1029</f>
        <v>2600</v>
      </c>
      <c r="O1029" s="4"/>
      <c r="P1029" s="4"/>
    </row>
    <row r="1030" ht="15.75" hidden="1" customHeight="1">
      <c r="B1030" s="8">
        <v>1346.0</v>
      </c>
      <c r="C1030" s="9">
        <v>43326.0</v>
      </c>
      <c r="D1030" s="6" t="s">
        <v>1253</v>
      </c>
      <c r="E1030" s="4">
        <v>6.108000959E9</v>
      </c>
      <c r="F1030" s="8" t="s">
        <v>604</v>
      </c>
      <c r="G1030" s="4" t="s">
        <v>737</v>
      </c>
      <c r="H1030" s="10" t="s">
        <v>939</v>
      </c>
      <c r="I1030" s="10">
        <v>10.0</v>
      </c>
      <c r="J1030" s="11" t="str">
        <f>IF(D1030&lt;&gt;"",VLOOKUP(H1030,TABLEITEM,5,FALSE),"")</f>
        <v>ROLL</v>
      </c>
      <c r="K1030" s="12">
        <v>750.0</v>
      </c>
      <c r="L1030" s="13" t="str">
        <f>IF(D1030&lt;&gt;"",VLOOKUP(H1030,TABLEITEM,2,FALSE),"")</f>
        <v/>
      </c>
      <c r="M1030" s="13" t="str">
        <f>IF(D1030&lt;&gt;"",VLOOKUP(H1030,TABLEITEM,3,FALSE),"")</f>
        <v>ลวดเชื่อมco2</v>
      </c>
      <c r="N1030" s="14">
        <f>INSTOCK!$I1030*INSTOCK!$K1030</f>
        <v>7500</v>
      </c>
      <c r="O1030" s="4" t="s">
        <v>940</v>
      </c>
      <c r="P1030" s="4"/>
    </row>
    <row r="1031" ht="15.75" hidden="1" customHeight="1">
      <c r="B1031" s="8">
        <v>1347.0</v>
      </c>
      <c r="C1031" s="9">
        <v>43326.0</v>
      </c>
      <c r="D1031" s="6" t="s">
        <v>1254</v>
      </c>
      <c r="E1031" s="4"/>
      <c r="F1031" s="8" t="s">
        <v>801</v>
      </c>
      <c r="G1031" s="4" t="s">
        <v>802</v>
      </c>
      <c r="H1031" s="10" t="s">
        <v>803</v>
      </c>
      <c r="I1031" s="10">
        <v>20.0</v>
      </c>
      <c r="J1031" s="11" t="str">
        <f>IF(D1031&lt;&gt;"",VLOOKUP(H1031,TABLEITEM,5,FALSE),"")</f>
        <v>ถัง</v>
      </c>
      <c r="K1031" s="12">
        <v>1140.19</v>
      </c>
      <c r="L1031" s="13" t="str">
        <f>IF(D1031&lt;&gt;"",VLOOKUP(H1031,TABLEITEM,2,FALSE),"")</f>
        <v/>
      </c>
      <c r="M1031" s="13" t="str">
        <f>IF(D1031&lt;&gt;"",VLOOKUP(H1031,TABLEITEM,3,FALSE),"")</f>
        <v>แก๊สหุงต้ม 48กก</v>
      </c>
      <c r="N1031" s="14">
        <f>INSTOCK!$I1031*INSTOCK!$K1031</f>
        <v>22803.8</v>
      </c>
      <c r="O1031" s="4"/>
      <c r="P1031" s="4"/>
    </row>
    <row r="1032" ht="15.75" hidden="1" customHeight="1">
      <c r="B1032" s="8">
        <v>1348.0</v>
      </c>
      <c r="C1032" s="9">
        <v>43326.0</v>
      </c>
      <c r="D1032" s="6" t="s">
        <v>1255</v>
      </c>
      <c r="E1032" s="4">
        <v>6.10800096E9</v>
      </c>
      <c r="F1032" s="8" t="s">
        <v>604</v>
      </c>
      <c r="G1032" s="4" t="s">
        <v>725</v>
      </c>
      <c r="H1032" s="10" t="s">
        <v>726</v>
      </c>
      <c r="I1032" s="10">
        <v>500.0</v>
      </c>
      <c r="J1032" s="11" t="str">
        <f>IF(D1032&lt;&gt;"",VLOOKUP(H1032,TABLEITEM,5,FALSE),"")</f>
        <v>M</v>
      </c>
      <c r="K1032" s="12">
        <v>10.0</v>
      </c>
      <c r="L1032" s="13" t="str">
        <f>IF(D1032&lt;&gt;"",VLOOKUP(H1032,TABLEITEM,2,FALSE),"")</f>
        <v/>
      </c>
      <c r="M1032" s="13" t="str">
        <f>IF(D1032&lt;&gt;"",VLOOKUP(H1032,TABLEITEM,3,FALSE),"")</f>
        <v>ยางกันบาดร่อง 10มิล</v>
      </c>
      <c r="N1032" s="14">
        <f>INSTOCK!$I1032*INSTOCK!$K1032</f>
        <v>5000</v>
      </c>
      <c r="O1032" s="4"/>
      <c r="P1032" s="4"/>
    </row>
    <row r="1033" ht="15.75" hidden="1" customHeight="1">
      <c r="B1033" s="8">
        <v>1349.0</v>
      </c>
      <c r="C1033" s="9">
        <v>43326.0</v>
      </c>
      <c r="D1033" s="6" t="s">
        <v>1256</v>
      </c>
      <c r="E1033" s="4">
        <v>6.108000966E9</v>
      </c>
      <c r="F1033" s="8" t="s">
        <v>1257</v>
      </c>
      <c r="G1033" s="4" t="s">
        <v>1258</v>
      </c>
      <c r="H1033" s="10" t="s">
        <v>1259</v>
      </c>
      <c r="I1033" s="10">
        <v>20.0</v>
      </c>
      <c r="J1033" s="11" t="str">
        <f>IF(D1033&lt;&gt;"",VLOOKUP(H1033,TABLEITEM,5,FALSE),"")</f>
        <v>KG.</v>
      </c>
      <c r="K1033" s="12">
        <v>130.0</v>
      </c>
      <c r="L1033" s="13" t="str">
        <f>IF(D1033&lt;&gt;"",VLOOKUP(H1033,TABLEITEM,2,FALSE),"")</f>
        <v/>
      </c>
      <c r="M1033" s="13" t="str">
        <f>IF(D1033&lt;&gt;"",VLOOKUP(H1033,TABLEITEM,3,FALSE),"")</f>
        <v>สีฝุ่น HB 45206 M BLACK MATT</v>
      </c>
      <c r="N1033" s="14">
        <f>INSTOCK!$I1033*INSTOCK!$K1033</f>
        <v>2600</v>
      </c>
      <c r="O1033" s="4"/>
      <c r="P1033" s="4"/>
    </row>
    <row r="1034" ht="15.75" hidden="1" customHeight="1">
      <c r="B1034" s="8">
        <v>1350.0</v>
      </c>
      <c r="C1034" s="9">
        <v>43145.0</v>
      </c>
      <c r="D1034" s="6" t="s">
        <v>1260</v>
      </c>
      <c r="E1034" s="4">
        <v>6.1020002E9</v>
      </c>
      <c r="F1034" s="8" t="s">
        <v>912</v>
      </c>
      <c r="G1034" s="4" t="s">
        <v>1258</v>
      </c>
      <c r="H1034" s="18" t="s">
        <v>1261</v>
      </c>
      <c r="I1034" s="18">
        <v>20.0</v>
      </c>
      <c r="J1034" s="11" t="str">
        <f>IF(D1034&lt;&gt;"",VLOOKUP(H1034,TABLEITEM,5,FALSE),"")</f>
        <v>KG.</v>
      </c>
      <c r="K1034" s="17">
        <v>130.0</v>
      </c>
      <c r="L1034" s="13">
        <v>0.0</v>
      </c>
      <c r="M1034" s="13" t="s">
        <v>1262</v>
      </c>
      <c r="N1034" s="14">
        <v>2600.0</v>
      </c>
      <c r="O1034" s="4"/>
      <c r="P1034" s="4"/>
    </row>
    <row r="1035" ht="15.75" hidden="1" customHeight="1">
      <c r="B1035" s="8">
        <v>1351.0</v>
      </c>
      <c r="C1035" s="9">
        <v>43276.0</v>
      </c>
      <c r="D1035" s="6" t="s">
        <v>1263</v>
      </c>
      <c r="E1035" s="4">
        <v>6.106000772E9</v>
      </c>
      <c r="F1035" s="8" t="s">
        <v>1264</v>
      </c>
      <c r="G1035" s="4" t="s">
        <v>1258</v>
      </c>
      <c r="H1035" s="18" t="s">
        <v>1261</v>
      </c>
      <c r="I1035" s="18">
        <v>20.0</v>
      </c>
      <c r="J1035" s="11" t="str">
        <f>IF(D1035&lt;&gt;"",VLOOKUP(H1035,TABLEITEM,5,FALSE),"")</f>
        <v>KG.</v>
      </c>
      <c r="K1035" s="17">
        <v>130.0</v>
      </c>
      <c r="L1035" s="13">
        <v>0.0</v>
      </c>
      <c r="M1035" s="13" t="s">
        <v>1262</v>
      </c>
      <c r="N1035" s="14">
        <v>2600.0</v>
      </c>
      <c r="O1035" s="4"/>
      <c r="P1035" s="4"/>
    </row>
    <row r="1036" ht="15.75" hidden="1" customHeight="1">
      <c r="B1036" s="8">
        <v>1352.0</v>
      </c>
      <c r="C1036" s="9">
        <v>43326.0</v>
      </c>
      <c r="D1036" s="6" t="s">
        <v>1265</v>
      </c>
      <c r="E1036" s="4">
        <v>6.108000955E9</v>
      </c>
      <c r="F1036" s="8" t="s">
        <v>604</v>
      </c>
      <c r="G1036" s="4" t="s">
        <v>965</v>
      </c>
      <c r="H1036" s="10" t="s">
        <v>1235</v>
      </c>
      <c r="I1036" s="10">
        <v>24.0</v>
      </c>
      <c r="J1036" s="11" t="str">
        <f>IF(D1036&lt;&gt;"",VLOOKUP(H1036,TABLEITEM,5,FALSE),"")</f>
        <v>EA</v>
      </c>
      <c r="K1036" s="12">
        <v>28.0</v>
      </c>
      <c r="L1036" s="13" t="str">
        <f>IF(D1036&lt;&gt;"",VLOOKUP(H1036,TABLEITEM,2,FALSE),"")</f>
        <v/>
      </c>
      <c r="M1036" s="13" t="str">
        <f>IF(D1036&lt;&gt;"",VLOOKUP(H1036,TABLEITEM,3,FALSE),"")</f>
        <v>ลูกปืน 6000ZZ</v>
      </c>
      <c r="N1036" s="14">
        <f>INSTOCK!$I1036*INSTOCK!$K1036</f>
        <v>672</v>
      </c>
      <c r="O1036" s="4"/>
      <c r="P1036" s="4"/>
    </row>
    <row r="1037" ht="15.75" hidden="1" customHeight="1">
      <c r="B1037" s="8">
        <v>1353.0</v>
      </c>
      <c r="C1037" s="9">
        <v>43322.0</v>
      </c>
      <c r="D1037" s="6" t="s">
        <v>1266</v>
      </c>
      <c r="E1037" s="4">
        <v>6.10800095E9</v>
      </c>
      <c r="F1037" s="8" t="s">
        <v>1267</v>
      </c>
      <c r="G1037" s="4" t="s">
        <v>702</v>
      </c>
      <c r="H1037" s="10" t="s">
        <v>92</v>
      </c>
      <c r="I1037" s="10">
        <v>20.0</v>
      </c>
      <c r="J1037" s="11" t="str">
        <f>IF(D1037&lt;&gt;"",VLOOKUP(H1037,TABLEITEM,5,FALSE),"")</f>
        <v>KG.</v>
      </c>
      <c r="K1037" s="12">
        <v>115.0</v>
      </c>
      <c r="L1037" s="13" t="str">
        <f>IF(D1037&lt;&gt;"",VLOOKUP(H1037,TABLEITEM,2,FALSE),"")</f>
        <v/>
      </c>
      <c r="M1037" s="13" t="str">
        <f>IF(D1037&lt;&gt;"",VLOOKUP(H1037,TABLEITEM,3,FALSE),"")</f>
        <v>สีฝุ่น FF110/703/c สีดำผิวเงา</v>
      </c>
      <c r="N1037" s="14">
        <f>INSTOCK!$I1037*INSTOCK!$K1037</f>
        <v>2300</v>
      </c>
      <c r="O1037" s="4"/>
      <c r="P1037" s="4"/>
    </row>
    <row r="1038" ht="15.75" hidden="1" customHeight="1">
      <c r="B1038" s="8">
        <v>1354.0</v>
      </c>
      <c r="C1038" s="9">
        <v>43322.0</v>
      </c>
      <c r="D1038" s="6" t="s">
        <v>1268</v>
      </c>
      <c r="E1038" s="4">
        <v>6.108000949E9</v>
      </c>
      <c r="F1038" s="8" t="s">
        <v>807</v>
      </c>
      <c r="G1038" s="4" t="s">
        <v>808</v>
      </c>
      <c r="H1038" s="10" t="s">
        <v>809</v>
      </c>
      <c r="I1038" s="10">
        <v>1.0</v>
      </c>
      <c r="J1038" s="11" t="str">
        <f>IF(D1038&lt;&gt;"",VLOOKUP(H1038,TABLEITEM,5,FALSE),"")</f>
        <v>ท่อ</v>
      </c>
      <c r="K1038" s="12">
        <v>2700.0</v>
      </c>
      <c r="L1038" s="13" t="str">
        <f>IF(D1038&lt;&gt;"",VLOOKUP(H1038,TABLEITEM,2,FALSE),"")</f>
        <v/>
      </c>
      <c r="M1038" s="13" t="str">
        <f>IF(D1038&lt;&gt;"",VLOOKUP(H1038,TABLEITEM,3,FALSE),"")</f>
        <v>ไนโตรเจนเหลว ขนาด 100คิว</v>
      </c>
      <c r="N1038" s="14">
        <f>INSTOCK!$I1038*INSTOCK!$K1038</f>
        <v>2700</v>
      </c>
      <c r="O1038" s="4"/>
      <c r="P1038" s="4"/>
    </row>
    <row r="1039" ht="15.75" hidden="1" customHeight="1">
      <c r="B1039" s="8">
        <v>1355.0</v>
      </c>
      <c r="C1039" s="9">
        <v>43322.0</v>
      </c>
      <c r="D1039" s="6" t="s">
        <v>1269</v>
      </c>
      <c r="E1039" s="4">
        <v>6.107000857E9</v>
      </c>
      <c r="F1039" s="8" t="s">
        <v>604</v>
      </c>
      <c r="G1039" s="4" t="s">
        <v>743</v>
      </c>
      <c r="H1039" s="10" t="s">
        <v>86</v>
      </c>
      <c r="I1039" s="10">
        <v>380.0</v>
      </c>
      <c r="J1039" s="11" t="str">
        <f>IF(D1039&lt;&gt;"",VLOOKUP(H1039,TABLEITEM,5,FALSE),"")</f>
        <v>KG.</v>
      </c>
      <c r="K1039" s="12">
        <v>139.05</v>
      </c>
      <c r="L1039" s="13" t="str">
        <f>IF(D1039&lt;&gt;"",VLOOKUP(H1039,TABLEITEM,2,FALSE),"")</f>
        <v/>
      </c>
      <c r="M1039" s="13" t="str">
        <f>IF(D1039&lt;&gt;"",VLOOKUP(H1039,TABLEITEM,3,FALSE),"")</f>
        <v>สีฝุ่น ครีมเรียบ 1204551PX20</v>
      </c>
      <c r="N1039" s="14">
        <f>INSTOCK!$I1039*INSTOCK!$K1039</f>
        <v>52839</v>
      </c>
      <c r="O1039" s="4"/>
      <c r="P1039" s="4"/>
    </row>
    <row r="1040" ht="15.75" hidden="1" customHeight="1">
      <c r="B1040" s="8">
        <v>1356.0</v>
      </c>
      <c r="C1040" s="9">
        <v>43321.0</v>
      </c>
      <c r="D1040" s="6" t="s">
        <v>1270</v>
      </c>
      <c r="E1040" s="4">
        <v>6.108000934E9</v>
      </c>
      <c r="F1040" s="8" t="s">
        <v>1271</v>
      </c>
      <c r="G1040" s="4" t="s">
        <v>743</v>
      </c>
      <c r="H1040" s="10" t="s">
        <v>1020</v>
      </c>
      <c r="I1040" s="10">
        <v>20.0</v>
      </c>
      <c r="J1040" s="11" t="str">
        <f>IF(D1040&lt;&gt;"",VLOOKUP(H1040,TABLEITEM,5,FALSE),"")</f>
        <v>KG.</v>
      </c>
      <c r="K1040" s="12">
        <v>150.0</v>
      </c>
      <c r="L1040" s="13" t="str">
        <f>IF(D1040&lt;&gt;"",VLOOKUP(H1040,TABLEITEM,2,FALSE),"")</f>
        <v/>
      </c>
      <c r="M1040" s="13" t="str">
        <f>IF(D1040&lt;&gt;"",VLOOKUP(H1040,TABLEITEM,3,FALSE),"")</f>
        <v>สีฝุ่น 1205339PX20</v>
      </c>
      <c r="N1040" s="14">
        <f>INSTOCK!$I1040*INSTOCK!$K1040</f>
        <v>3000</v>
      </c>
      <c r="O1040" s="4"/>
      <c r="P1040" s="4"/>
    </row>
    <row r="1041" ht="15.75" hidden="1" customHeight="1">
      <c r="B1041" s="8">
        <v>1357.0</v>
      </c>
      <c r="C1041" s="9">
        <v>43321.0</v>
      </c>
      <c r="D1041" s="6" t="s">
        <v>1272</v>
      </c>
      <c r="E1041" s="4">
        <v>6.108000937E9</v>
      </c>
      <c r="F1041" s="8" t="s">
        <v>604</v>
      </c>
      <c r="G1041" s="4" t="s">
        <v>765</v>
      </c>
      <c r="H1041" s="10" t="s">
        <v>85</v>
      </c>
      <c r="I1041" s="10">
        <v>200.0</v>
      </c>
      <c r="J1041" s="11" t="str">
        <f>IF(D1041&lt;&gt;"",VLOOKUP(H1041,TABLEITEM,5,FALSE),"")</f>
        <v>KG.</v>
      </c>
      <c r="K1041" s="12">
        <v>112.0</v>
      </c>
      <c r="L1041" s="13" t="str">
        <f>IF(D1041&lt;&gt;"",VLOOKUP(H1041,TABLEITEM,2,FALSE),"")</f>
        <v/>
      </c>
      <c r="M1041" s="13" t="str">
        <f>IF(D1041&lt;&gt;"",VLOOKUP(H1041,TABLEITEM,3,FALSE),"")</f>
        <v>สีฝุ่น GH433241 สีเทาย่น</v>
      </c>
      <c r="N1041" s="14">
        <f>INSTOCK!$I1041*INSTOCK!$K1041</f>
        <v>22400</v>
      </c>
      <c r="O1041" s="4"/>
      <c r="P1041" s="4"/>
    </row>
    <row r="1042" ht="15.75" hidden="1" customHeight="1">
      <c r="B1042" s="8">
        <v>1358.0</v>
      </c>
      <c r="C1042" s="9">
        <v>43320.0</v>
      </c>
      <c r="D1042" s="6">
        <v>6.1080157E7</v>
      </c>
      <c r="E1042" s="4">
        <v>6.108000936E9</v>
      </c>
      <c r="F1042" s="8" t="s">
        <v>604</v>
      </c>
      <c r="G1042" s="4" t="s">
        <v>1127</v>
      </c>
      <c r="H1042" s="10" t="s">
        <v>17</v>
      </c>
      <c r="I1042" s="10">
        <v>24.0</v>
      </c>
      <c r="J1042" s="11" t="str">
        <f>IF(D1042&lt;&gt;"",VLOOKUP(H1042,TABLEITEM,5,FALSE),"")</f>
        <v>คู่</v>
      </c>
      <c r="K1042" s="12">
        <v>41.6666</v>
      </c>
      <c r="L1042" s="13" t="str">
        <f>IF(D1042&lt;&gt;"",VLOOKUP(H1042,TABLEITEM,2,FALSE),"")</f>
        <v/>
      </c>
      <c r="M1042" s="13" t="str">
        <f>IF(D1042&lt;&gt;"",VLOOKUP(H1042,TABLEITEM,3,FALSE),"")</f>
        <v>ถุงมือหนัง</v>
      </c>
      <c r="N1042" s="14">
        <f>INSTOCK!$I1042*INSTOCK!$K1042</f>
        <v>999.9984</v>
      </c>
      <c r="O1042" s="4" t="s">
        <v>1045</v>
      </c>
      <c r="P1042" s="4"/>
    </row>
    <row r="1043" ht="15.75" hidden="1" customHeight="1">
      <c r="B1043" s="8">
        <v>1359.0</v>
      </c>
      <c r="C1043" s="9">
        <v>43320.0</v>
      </c>
      <c r="D1043" s="6" t="s">
        <v>1273</v>
      </c>
      <c r="E1043" s="4">
        <v>6.108000931E9</v>
      </c>
      <c r="F1043" s="8" t="s">
        <v>807</v>
      </c>
      <c r="G1043" s="4" t="s">
        <v>808</v>
      </c>
      <c r="H1043" s="10" t="s">
        <v>812</v>
      </c>
      <c r="I1043" s="10">
        <v>1.0</v>
      </c>
      <c r="J1043" s="11" t="str">
        <f>IF(D1043&lt;&gt;"",VLOOKUP(H1043,TABLEITEM,5,FALSE),"")</f>
        <v>ท่อ</v>
      </c>
      <c r="K1043" s="12">
        <v>2960.0</v>
      </c>
      <c r="L1043" s="13" t="str">
        <f>IF(D1043&lt;&gt;"",VLOOKUP(H1043,TABLEITEM,2,FALSE),"")</f>
        <v/>
      </c>
      <c r="M1043" s="13" t="str">
        <f>IF(D1043&lt;&gt;"",VLOOKUP(H1043,TABLEITEM,3,FALSE),"")</f>
        <v>ออกซิเจนเหลว ขนาด 148 คิว</v>
      </c>
      <c r="N1043" s="14">
        <f>INSTOCK!$I1043*INSTOCK!$K1043</f>
        <v>2960</v>
      </c>
      <c r="O1043" s="4"/>
      <c r="P1043" s="4"/>
    </row>
    <row r="1044" ht="15.75" hidden="1" customHeight="1">
      <c r="B1044" s="8">
        <v>1360.0</v>
      </c>
      <c r="C1044" s="9">
        <v>43182.0</v>
      </c>
      <c r="D1044" s="6">
        <v>4.18025321E8</v>
      </c>
      <c r="E1044" s="4">
        <v>6.103000354E9</v>
      </c>
      <c r="F1044" s="8" t="s">
        <v>604</v>
      </c>
      <c r="G1044" s="4" t="s">
        <v>1274</v>
      </c>
      <c r="H1044" s="18" t="s">
        <v>1275</v>
      </c>
      <c r="I1044" s="18">
        <v>48.0</v>
      </c>
      <c r="J1044" s="11" t="str">
        <f>IF(D1044&lt;&gt;"",VLOOKUP(H1044,TABLEITEM,5,FALSE),"")</f>
        <v>ม้วน</v>
      </c>
      <c r="K1044" s="17">
        <v>47.0</v>
      </c>
      <c r="L1044" s="13" t="str">
        <f>IF(D1044&lt;&gt;"",VLOOKUP(H1044,TABLEITEM,2,FALSE),"")</f>
        <v/>
      </c>
      <c r="M1044" s="13" t="str">
        <f>IF(D1044&lt;&gt;"",VLOOKUP(H1044,TABLEITEM,3,FALSE),"")</f>
        <v>เทปกาวย่น 48มมx50ม</v>
      </c>
      <c r="N1044" s="14" t="str">
        <f>[1]!Table1[[#This Row],[qty]]*[1]!Table1[[#This Row],[UNIT/Price]]</f>
        <v>#ERROR!</v>
      </c>
      <c r="O1044" s="4" t="s">
        <v>1276</v>
      </c>
      <c r="P1044" s="4"/>
    </row>
    <row r="1045" ht="15.75" hidden="1" customHeight="1">
      <c r="B1045" s="8">
        <v>1361.0</v>
      </c>
      <c r="C1045" s="9">
        <v>43319.0</v>
      </c>
      <c r="D1045" s="6">
        <v>6.1080333E7</v>
      </c>
      <c r="E1045" s="4">
        <v>6.108000924E9</v>
      </c>
      <c r="F1045" s="8" t="s">
        <v>1277</v>
      </c>
      <c r="G1045" s="4" t="s">
        <v>711</v>
      </c>
      <c r="H1045" s="10" t="s">
        <v>712</v>
      </c>
      <c r="I1045" s="10">
        <v>20.0</v>
      </c>
      <c r="J1045" s="11" t="str">
        <f>IF(D1045&lt;&gt;"",VLOOKUP(H1045,TABLEITEM,5,FALSE),"")</f>
        <v>KG.</v>
      </c>
      <c r="K1045" s="12">
        <v>148.75</v>
      </c>
      <c r="L1045" s="13" t="str">
        <f>IF(D1045&lt;&gt;"",VLOOKUP(H1045,TABLEITEM,2,FALSE),"")</f>
        <v/>
      </c>
      <c r="M1045" s="13" t="str">
        <f>IF(D1045&lt;&gt;"",VLOOKUP(H1045,TABLEITEM,3,FALSE),"")</f>
        <v>สีฝุ่น M70460 CN</v>
      </c>
      <c r="N1045" s="14">
        <f>INSTOCK!$I1045*INSTOCK!$K1045</f>
        <v>2975</v>
      </c>
      <c r="O1045" s="4" t="s">
        <v>714</v>
      </c>
      <c r="P1045" s="4"/>
    </row>
    <row r="1046" ht="15.75" hidden="1" customHeight="1">
      <c r="B1046" s="8">
        <v>1362.0</v>
      </c>
      <c r="C1046" s="9">
        <v>43318.0</v>
      </c>
      <c r="D1046" s="6" t="s">
        <v>1278</v>
      </c>
      <c r="E1046" s="4"/>
      <c r="F1046" s="8" t="s">
        <v>604</v>
      </c>
      <c r="G1046" s="4" t="s">
        <v>1092</v>
      </c>
      <c r="H1046" s="10" t="s">
        <v>816</v>
      </c>
      <c r="I1046" s="10">
        <v>2.0</v>
      </c>
      <c r="J1046" s="11" t="str">
        <f>IF(D1046&lt;&gt;"",VLOOKUP(H1046,TABLEITEM,5,FALSE),"")</f>
        <v>ท่อ</v>
      </c>
      <c r="K1046" s="12">
        <v>600.0</v>
      </c>
      <c r="L1046" s="13" t="str">
        <f>IF(D1046&lt;&gt;"",VLOOKUP(H1046,TABLEITEM,2,FALSE),"")</f>
        <v/>
      </c>
      <c r="M1046" s="13" t="str">
        <f>IF(D1046&lt;&gt;"",VLOOKUP(H1046,TABLEITEM,3,FALSE),"")</f>
        <v>อาร์กอน ขนาด 6คิว</v>
      </c>
      <c r="N1046" s="14">
        <f>INSTOCK!$I1046*INSTOCK!$K1046</f>
        <v>1200</v>
      </c>
      <c r="O1046" s="4"/>
      <c r="P1046" s="4"/>
    </row>
    <row r="1047" ht="15.75" hidden="1" customHeight="1">
      <c r="B1047" s="8">
        <v>1363.0</v>
      </c>
      <c r="C1047" s="9">
        <v>43318.0</v>
      </c>
      <c r="D1047" s="6" t="s">
        <v>1278</v>
      </c>
      <c r="E1047" s="4"/>
      <c r="F1047" s="8" t="s">
        <v>604</v>
      </c>
      <c r="G1047" s="4" t="s">
        <v>1092</v>
      </c>
      <c r="H1047" s="10" t="s">
        <v>818</v>
      </c>
      <c r="I1047" s="10">
        <v>17.0</v>
      </c>
      <c r="J1047" s="11" t="str">
        <f>IF(D1047&lt;&gt;"",VLOOKUP(H1047,TABLEITEM,5,FALSE),"")</f>
        <v>ท่อ</v>
      </c>
      <c r="K1047" s="12">
        <v>280.0</v>
      </c>
      <c r="L1047" s="13" t="str">
        <f>IF(D1047&lt;&gt;"",VLOOKUP(H1047,TABLEITEM,2,FALSE),"")</f>
        <v/>
      </c>
      <c r="M1047" s="13" t="str">
        <f>IF(D1047&lt;&gt;"",VLOOKUP(H1047,TABLEITEM,3,FALSE),"")</f>
        <v>คาร์บอนไดออกไซด์ ขนาด 25 กก</v>
      </c>
      <c r="N1047" s="14">
        <f>INSTOCK!$I1047*INSTOCK!$K1047</f>
        <v>4760</v>
      </c>
      <c r="O1047" s="4"/>
      <c r="P1047" s="4"/>
    </row>
    <row r="1048" ht="15.75" hidden="1" customHeight="1">
      <c r="B1048" s="8">
        <v>1364.0</v>
      </c>
      <c r="C1048" s="9">
        <v>43318.0</v>
      </c>
      <c r="D1048" s="6" t="s">
        <v>1279</v>
      </c>
      <c r="E1048" s="4">
        <v>6.108000923E9</v>
      </c>
      <c r="F1048" s="4" t="s">
        <v>1280</v>
      </c>
      <c r="G1048" s="4" t="s">
        <v>702</v>
      </c>
      <c r="H1048" s="10" t="s">
        <v>779</v>
      </c>
      <c r="I1048" s="10">
        <v>20.0</v>
      </c>
      <c r="J1048" s="11" t="str">
        <f>IF(D1048&lt;&gt;"",VLOOKUP(H1048,TABLEITEM,5,FALSE),"")</f>
        <v>KG.</v>
      </c>
      <c r="K1048" s="12">
        <v>130.0</v>
      </c>
      <c r="L1048" s="13" t="str">
        <f>IF(D1048&lt;&gt;"",VLOOKUP(H1048,TABLEITEM,2,FALSE),"")</f>
        <v/>
      </c>
      <c r="M1048" s="13" t="str">
        <f>IF(D1048&lt;&gt;"",VLOOKUP(H1048,TABLEITEM,3,FALSE),"")</f>
        <v>สีฝุ่น FF110/948/C สีครีม</v>
      </c>
      <c r="N1048" s="14">
        <f>INSTOCK!$I1048*INSTOCK!$K1048</f>
        <v>2600</v>
      </c>
      <c r="O1048" s="4"/>
      <c r="P1048" s="4"/>
    </row>
    <row r="1049" ht="15.75" hidden="1" customHeight="1">
      <c r="B1049" s="8">
        <v>1365.0</v>
      </c>
      <c r="C1049" s="9">
        <v>43318.0</v>
      </c>
      <c r="D1049" s="6" t="s">
        <v>1281</v>
      </c>
      <c r="E1049" s="4"/>
      <c r="F1049" s="8" t="s">
        <v>801</v>
      </c>
      <c r="G1049" s="4" t="s">
        <v>802</v>
      </c>
      <c r="H1049" s="10" t="s">
        <v>803</v>
      </c>
      <c r="I1049" s="10">
        <v>20.0</v>
      </c>
      <c r="J1049" s="11" t="str">
        <f>IF(D1049&lt;&gt;"",VLOOKUP(H1049,TABLEITEM,5,FALSE),"")</f>
        <v>ถัง</v>
      </c>
      <c r="K1049" s="12">
        <v>1140.19</v>
      </c>
      <c r="L1049" s="13" t="str">
        <f>IF(D1049&lt;&gt;"",VLOOKUP(H1049,TABLEITEM,2,FALSE),"")</f>
        <v/>
      </c>
      <c r="M1049" s="13" t="str">
        <f>IF(D1049&lt;&gt;"",VLOOKUP(H1049,TABLEITEM,3,FALSE),"")</f>
        <v>แก๊สหุงต้ม 48กก</v>
      </c>
      <c r="N1049" s="14">
        <f>INSTOCK!$I1049*INSTOCK!$K1049</f>
        <v>22803.8</v>
      </c>
      <c r="O1049" s="4"/>
      <c r="P1049" s="4"/>
    </row>
    <row r="1050" ht="15.75" hidden="1" customHeight="1">
      <c r="B1050" s="8">
        <v>1366.0</v>
      </c>
      <c r="C1050" s="9">
        <v>43315.0</v>
      </c>
      <c r="D1050" s="6" t="s">
        <v>1282</v>
      </c>
      <c r="E1050" s="4">
        <v>6.107000895E9</v>
      </c>
      <c r="F1050" s="8" t="s">
        <v>604</v>
      </c>
      <c r="G1050" s="4" t="s">
        <v>798</v>
      </c>
      <c r="H1050" s="10" t="s">
        <v>120</v>
      </c>
      <c r="I1050" s="10">
        <v>100.0</v>
      </c>
      <c r="J1050" s="11" t="str">
        <f>IF(D1050&lt;&gt;"",VLOOKUP(H1050,TABLEITEM,5,FALSE),"")</f>
        <v>EA</v>
      </c>
      <c r="K1050" s="12">
        <v>45.0</v>
      </c>
      <c r="L1050" s="13" t="str">
        <f>IF(D1050&lt;&gt;"",VLOOKUP(H1050,TABLEITEM,2,FALSE),"")</f>
        <v/>
      </c>
      <c r="M1050" s="13" t="str">
        <f>IF(D1050&lt;&gt;"",VLOOKUP(H1050,TABLEITEM,3,FALSE),"")</f>
        <v>กุญแจเขากวาง1B-19-03-G-104</v>
      </c>
      <c r="N1050" s="14">
        <f>INSTOCK!$I1050*INSTOCK!$K1050</f>
        <v>4500</v>
      </c>
      <c r="O1050" s="4"/>
      <c r="P1050" s="4"/>
    </row>
    <row r="1051" ht="15.75" hidden="1" customHeight="1">
      <c r="B1051" s="8">
        <v>1367.0</v>
      </c>
      <c r="C1051" s="9">
        <v>43315.0</v>
      </c>
      <c r="D1051" s="6" t="s">
        <v>1283</v>
      </c>
      <c r="E1051" s="4">
        <v>6.107000886E9</v>
      </c>
      <c r="F1051" s="8" t="s">
        <v>604</v>
      </c>
      <c r="G1051" s="4" t="s">
        <v>798</v>
      </c>
      <c r="H1051" s="10" t="s">
        <v>1284</v>
      </c>
      <c r="I1051" s="10">
        <v>1000.0</v>
      </c>
      <c r="J1051" s="11" t="str">
        <f>IF(D1051&lt;&gt;"",VLOOKUP(H1051,TABLEITEM,5,FALSE),"")</f>
        <v>EA</v>
      </c>
      <c r="K1051" s="12">
        <v>23.0</v>
      </c>
      <c r="L1051" s="13" t="str">
        <f>IF(D1051&lt;&gt;"",VLOOKUP(H1051,TABLEITEM,2,FALSE),"")</f>
        <v/>
      </c>
      <c r="M1051" s="13" t="str">
        <f>IF(D1051&lt;&gt;"",VLOOKUP(H1051,TABLEITEM,3,FALSE),"")</f>
        <v>กุญแจกลมดำ แบบมีก้านลิ้นสั้น178-04-G-293</v>
      </c>
      <c r="N1051" s="14">
        <f>INSTOCK!$I1051*INSTOCK!$K1051</f>
        <v>23000</v>
      </c>
      <c r="O1051" s="4"/>
      <c r="P1051" s="4"/>
    </row>
    <row r="1052" ht="15.75" hidden="1" customHeight="1">
      <c r="B1052" s="8">
        <v>1368.0</v>
      </c>
      <c r="C1052" s="9">
        <v>43314.0</v>
      </c>
      <c r="D1052" s="6" t="s">
        <v>1285</v>
      </c>
      <c r="E1052" s="4">
        <v>6.108000911E9</v>
      </c>
      <c r="F1052" s="8" t="s">
        <v>604</v>
      </c>
      <c r="G1052" s="4" t="s">
        <v>743</v>
      </c>
      <c r="H1052" s="10" t="s">
        <v>73</v>
      </c>
      <c r="I1052" s="10">
        <v>1000.0</v>
      </c>
      <c r="J1052" s="11" t="str">
        <f>IF(D1052&lt;&gt;"",VLOOKUP(H1052,TABLEITEM,5,FALSE),"")</f>
        <v>KG.</v>
      </c>
      <c r="K1052" s="12">
        <v>99.85</v>
      </c>
      <c r="L1052" s="13" t="str">
        <f>IF(D1052&lt;&gt;"",VLOOKUP(H1052,TABLEITEM,2,FALSE),"")</f>
        <v/>
      </c>
      <c r="M1052" s="13" t="str">
        <f>IF(D1052&lt;&gt;"",VLOOKUP(H1052,TABLEITEM,3,FALSE),"")</f>
        <v>สีฝุ่น สีครีมย่น 1002782PX20</v>
      </c>
      <c r="N1052" s="14">
        <f>INSTOCK!$I1052*INSTOCK!$K1052</f>
        <v>99850</v>
      </c>
      <c r="O1052" s="4"/>
      <c r="P1052" s="4"/>
    </row>
    <row r="1053" ht="15.75" hidden="1" customHeight="1">
      <c r="B1053" s="8">
        <v>1369.0</v>
      </c>
      <c r="C1053" s="9">
        <v>43314.0</v>
      </c>
      <c r="D1053" s="6" t="s">
        <v>1286</v>
      </c>
      <c r="E1053" s="4">
        <v>6.108000909E9</v>
      </c>
      <c r="F1053" s="8" t="s">
        <v>807</v>
      </c>
      <c r="G1053" s="4" t="s">
        <v>808</v>
      </c>
      <c r="H1053" s="10" t="s">
        <v>809</v>
      </c>
      <c r="I1053" s="10">
        <v>1.0</v>
      </c>
      <c r="J1053" s="11" t="str">
        <f>IF(D1053&lt;&gt;"",VLOOKUP(H1053,TABLEITEM,5,FALSE),"")</f>
        <v>ท่อ</v>
      </c>
      <c r="K1053" s="12">
        <v>2700.0</v>
      </c>
      <c r="L1053" s="13" t="str">
        <f>IF(D1053&lt;&gt;"",VLOOKUP(H1053,TABLEITEM,2,FALSE),"")</f>
        <v/>
      </c>
      <c r="M1053" s="13" t="str">
        <f>IF(D1053&lt;&gt;"",VLOOKUP(H1053,TABLEITEM,3,FALSE),"")</f>
        <v>ไนโตรเจนเหลว ขนาด 100คิว</v>
      </c>
      <c r="N1053" s="14">
        <f>INSTOCK!$I1053*INSTOCK!$K1053</f>
        <v>2700</v>
      </c>
      <c r="O1053" s="4"/>
      <c r="P1053" s="4"/>
    </row>
    <row r="1054" ht="15.75" hidden="1" customHeight="1">
      <c r="B1054" s="8">
        <v>1370.0</v>
      </c>
      <c r="C1054" s="9">
        <v>43314.0</v>
      </c>
      <c r="D1054" s="6" t="s">
        <v>1236</v>
      </c>
      <c r="E1054" s="4">
        <v>6.107000891E9</v>
      </c>
      <c r="F1054" s="8" t="s">
        <v>604</v>
      </c>
      <c r="G1054" s="4" t="s">
        <v>725</v>
      </c>
      <c r="H1054" s="10" t="s">
        <v>26</v>
      </c>
      <c r="I1054" s="10">
        <v>2000.0</v>
      </c>
      <c r="J1054" s="11" t="str">
        <f>IF(D1054&lt;&gt;"",VLOOKUP(H1054,TABLEITEM,5,FALSE),"")</f>
        <v>M</v>
      </c>
      <c r="K1054" s="12">
        <v>18.0</v>
      </c>
      <c r="L1054" s="13" t="str">
        <f>IF(D1054&lt;&gt;"",VLOOKUP(H1054,TABLEITEM,2,FALSE),"")</f>
        <v/>
      </c>
      <c r="M1054" s="13" t="str">
        <f>IF(D1054&lt;&gt;"",VLOOKUP(H1054,TABLEITEM,3,FALSE),"")</f>
        <v>ยางโปร่ง#110</v>
      </c>
      <c r="N1054" s="14">
        <f>INSTOCK!$I1054*INSTOCK!$K1054</f>
        <v>36000</v>
      </c>
      <c r="O1054" s="4"/>
      <c r="P1054" s="4"/>
    </row>
    <row r="1055" ht="15.75" hidden="1" customHeight="1">
      <c r="B1055" s="8">
        <v>1371.0</v>
      </c>
      <c r="C1055" s="9">
        <v>43313.0</v>
      </c>
      <c r="D1055" s="6" t="s">
        <v>1287</v>
      </c>
      <c r="E1055" s="4">
        <v>6.10700885E8</v>
      </c>
      <c r="F1055" s="8" t="s">
        <v>604</v>
      </c>
      <c r="G1055" s="4" t="s">
        <v>737</v>
      </c>
      <c r="H1055" s="10" t="s">
        <v>16</v>
      </c>
      <c r="I1055" s="10">
        <v>360.0</v>
      </c>
      <c r="J1055" s="11" t="str">
        <f>IF(D1055&lt;&gt;"",VLOOKUP(H1055,TABLEITEM,5,FALSE),"")</f>
        <v>คู่</v>
      </c>
      <c r="K1055" s="12">
        <v>4.583333</v>
      </c>
      <c r="L1055" s="13" t="str">
        <f>IF(D1055&lt;&gt;"",VLOOKUP(H1055,TABLEITEM,2,FALSE),"")</f>
        <v/>
      </c>
      <c r="M1055" s="13" t="str">
        <f>IF(D1055&lt;&gt;"",VLOOKUP(H1055,TABLEITEM,3,FALSE),"")</f>
        <v>ถุงมือผ้า</v>
      </c>
      <c r="N1055" s="14">
        <f>INSTOCK!$I1055*INSTOCK!$K1055</f>
        <v>1649.99988</v>
      </c>
      <c r="O1055" s="4" t="s">
        <v>973</v>
      </c>
      <c r="P1055" s="4"/>
    </row>
    <row r="1056" ht="15.75" hidden="1" customHeight="1">
      <c r="B1056" s="8">
        <v>1372.0</v>
      </c>
      <c r="C1056" s="9">
        <v>43313.0</v>
      </c>
      <c r="D1056" s="6" t="s">
        <v>1287</v>
      </c>
      <c r="E1056" s="4">
        <v>6.10700885E8</v>
      </c>
      <c r="F1056" s="8" t="s">
        <v>604</v>
      </c>
      <c r="G1056" s="4" t="s">
        <v>737</v>
      </c>
      <c r="H1056" s="10" t="s">
        <v>18</v>
      </c>
      <c r="I1056" s="10">
        <v>240.0</v>
      </c>
      <c r="J1056" s="11" t="str">
        <f>IF(D1056&lt;&gt;"",VLOOKUP(H1056,TABLEITEM,5,FALSE),"")</f>
        <v>EA</v>
      </c>
      <c r="K1056" s="12">
        <v>2.5</v>
      </c>
      <c r="L1056" s="13" t="str">
        <f>IF(D1056&lt;&gt;"",VLOOKUP(H1056,TABLEITEM,2,FALSE),"")</f>
        <v/>
      </c>
      <c r="M1056" s="13" t="str">
        <f>IF(D1056&lt;&gt;"",VLOOKUP(H1056,TABLEITEM,3,FALSE),"")</f>
        <v>ผ้าปิดจมูก</v>
      </c>
      <c r="N1056" s="14">
        <f>INSTOCK!$I1056*INSTOCK!$K1056</f>
        <v>600</v>
      </c>
      <c r="O1056" s="4" t="s">
        <v>763</v>
      </c>
      <c r="P1056" s="4"/>
    </row>
    <row r="1057" ht="15.75" hidden="1" customHeight="1">
      <c r="B1057" s="8">
        <v>1373.0</v>
      </c>
      <c r="C1057" s="9">
        <v>43313.0</v>
      </c>
      <c r="D1057" s="6">
        <v>6536.0</v>
      </c>
      <c r="E1057" s="4">
        <v>6.107000897E9</v>
      </c>
      <c r="F1057" s="8" t="s">
        <v>604</v>
      </c>
      <c r="G1057" s="4" t="s">
        <v>1009</v>
      </c>
      <c r="H1057" s="10" t="s">
        <v>1014</v>
      </c>
      <c r="I1057" s="10">
        <v>100.0</v>
      </c>
      <c r="J1057" s="11" t="str">
        <f>IF(D1057&lt;&gt;"",VLOOKUP(H1057,TABLEITEM,5,FALSE),"")</f>
        <v>EA</v>
      </c>
      <c r="K1057" s="12">
        <v>90.0</v>
      </c>
      <c r="L1057" s="13" t="str">
        <f>IF(D1057&lt;&gt;"",VLOOKUP(H1057,TABLEITEM,2,FALSE),"")</f>
        <v/>
      </c>
      <c r="M1057" s="13" t="str">
        <f>IF(D1057&lt;&gt;"",VLOOKUP(H1057,TABLEITEM,3,FALSE),"")</f>
        <v>DOOR LOCKER AB301-3-1</v>
      </c>
      <c r="N1057" s="14">
        <f>INSTOCK!$I1057*INSTOCK!$K1057</f>
        <v>9000</v>
      </c>
      <c r="O1057" s="4"/>
      <c r="P1057" s="4"/>
    </row>
    <row r="1058" ht="15.75" hidden="1" customHeight="1">
      <c r="B1058" s="8">
        <v>1374.0</v>
      </c>
      <c r="C1058" s="9">
        <v>43313.0</v>
      </c>
      <c r="D1058" s="6" t="s">
        <v>1288</v>
      </c>
      <c r="E1058" s="4">
        <v>6.107000896E9</v>
      </c>
      <c r="F1058" s="8" t="s">
        <v>604</v>
      </c>
      <c r="G1058" s="4" t="s">
        <v>1289</v>
      </c>
      <c r="H1058" s="18" t="s">
        <v>1290</v>
      </c>
      <c r="I1058" s="10">
        <v>400.0</v>
      </c>
      <c r="J1058" s="11" t="str">
        <f>IF(D1058&lt;&gt;"",VLOOKUP(H1058,TABLEITEM,5,FALSE),"")</f>
        <v>EA</v>
      </c>
      <c r="K1058" s="12">
        <v>12.8</v>
      </c>
      <c r="L1058" s="13" t="str">
        <f>IF(D1058&lt;&gt;"",VLOOKUP(H1058,TABLEITEM,2,FALSE),"")</f>
        <v/>
      </c>
      <c r="M1058" s="13" t="str">
        <f>IF(D1058&lt;&gt;"",VLOOKUP(H1058,TABLEITEM,3,FALSE),"")</f>
        <v>มือจับตัวซี 4 นิ้ว มือจับโครเมี่ยม</v>
      </c>
      <c r="N1058" s="14">
        <f>INSTOCK!$I1058*INSTOCK!$K1058</f>
        <v>5120</v>
      </c>
      <c r="O1058" s="4"/>
      <c r="P1058" s="4"/>
    </row>
    <row r="1059" ht="15.75" hidden="1" customHeight="1">
      <c r="B1059" s="8">
        <v>1375.0</v>
      </c>
      <c r="C1059" s="9">
        <v>43118.0</v>
      </c>
      <c r="D1059" s="6" t="s">
        <v>1291</v>
      </c>
      <c r="E1059" s="4">
        <v>6.101000061E9</v>
      </c>
      <c r="F1059" s="8" t="s">
        <v>604</v>
      </c>
      <c r="G1059" s="4" t="s">
        <v>1289</v>
      </c>
      <c r="H1059" s="18" t="s">
        <v>1290</v>
      </c>
      <c r="I1059" s="18">
        <v>400.0</v>
      </c>
      <c r="J1059" s="11" t="str">
        <f>IF(D1059&lt;&gt;"",VLOOKUP(H1059,TABLEITEM,5,FALSE),"")</f>
        <v>EA</v>
      </c>
      <c r="K1059" s="17">
        <v>11.2</v>
      </c>
      <c r="L1059" s="13">
        <v>0.0</v>
      </c>
      <c r="M1059" s="13" t="s">
        <v>1292</v>
      </c>
      <c r="N1059" s="14">
        <v>4480.0</v>
      </c>
      <c r="O1059" s="4"/>
      <c r="P1059" s="4"/>
    </row>
    <row r="1060" ht="15.75" hidden="1" customHeight="1">
      <c r="B1060" s="8">
        <v>1376.0</v>
      </c>
      <c r="C1060" s="9">
        <v>43145.0</v>
      </c>
      <c r="D1060" s="6" t="s">
        <v>1293</v>
      </c>
      <c r="E1060" s="4">
        <v>6.101000093E9</v>
      </c>
      <c r="F1060" s="8" t="s">
        <v>604</v>
      </c>
      <c r="G1060" s="4" t="s">
        <v>1289</v>
      </c>
      <c r="H1060" s="18" t="s">
        <v>1294</v>
      </c>
      <c r="I1060" s="18">
        <v>300.0</v>
      </c>
      <c r="J1060" s="11" t="str">
        <f>IF(D1060&lt;&gt;"",VLOOKUP(H1060,TABLEITEM,5,FALSE),"")</f>
        <v>EA</v>
      </c>
      <c r="K1060" s="17">
        <v>11.2</v>
      </c>
      <c r="L1060" s="13">
        <v>0.0</v>
      </c>
      <c r="M1060" s="13" t="s">
        <v>1295</v>
      </c>
      <c r="N1060" s="14">
        <v>3360.0</v>
      </c>
      <c r="O1060" s="4"/>
      <c r="P1060" s="4"/>
    </row>
    <row r="1061" ht="15.75" hidden="1" customHeight="1">
      <c r="B1061" s="8">
        <v>1377.0</v>
      </c>
      <c r="C1061" s="9">
        <v>43182.0</v>
      </c>
      <c r="D1061" s="6" t="s">
        <v>1296</v>
      </c>
      <c r="E1061" s="4">
        <v>6.103000296E9</v>
      </c>
      <c r="F1061" s="8" t="s">
        <v>604</v>
      </c>
      <c r="G1061" s="4" t="s">
        <v>1289</v>
      </c>
      <c r="H1061" s="18" t="s">
        <v>150</v>
      </c>
      <c r="I1061" s="18">
        <v>300.0</v>
      </c>
      <c r="J1061" s="11" t="str">
        <f>IF(D1061&lt;&gt;"",VLOOKUP(H1061,TABLEITEM,5,FALSE),"")</f>
        <v>EA</v>
      </c>
      <c r="K1061" s="17">
        <v>9.0</v>
      </c>
      <c r="L1061" s="13">
        <v>0.0</v>
      </c>
      <c r="M1061" s="13" t="s">
        <v>1297</v>
      </c>
      <c r="N1061" s="14">
        <v>2700.0</v>
      </c>
      <c r="O1061" s="4" t="s">
        <v>1298</v>
      </c>
      <c r="P1061" s="4"/>
    </row>
    <row r="1062" ht="15.75" hidden="1" customHeight="1">
      <c r="B1062" s="8">
        <v>1378.0</v>
      </c>
      <c r="C1062" s="9">
        <v>43168.0</v>
      </c>
      <c r="D1062" s="6" t="s">
        <v>1299</v>
      </c>
      <c r="E1062" s="4">
        <v>6.103000286E9</v>
      </c>
      <c r="F1062" s="8" t="s">
        <v>604</v>
      </c>
      <c r="G1062" s="4" t="s">
        <v>1289</v>
      </c>
      <c r="H1062" s="10" t="s">
        <v>1300</v>
      </c>
      <c r="I1062" s="10">
        <v>1000.0</v>
      </c>
      <c r="J1062" s="11" t="str">
        <f>IF(D1062&lt;&gt;"",VLOOKUP(H1062,TABLEITEM,5,FALSE),"")</f>
        <v>EA</v>
      </c>
      <c r="K1062" s="12">
        <v>21.0</v>
      </c>
      <c r="L1062" s="13">
        <v>0.0</v>
      </c>
      <c r="M1062" s="13" t="s">
        <v>1301</v>
      </c>
      <c r="N1062" s="14">
        <v>21000.0</v>
      </c>
      <c r="O1062" s="4" t="s">
        <v>1302</v>
      </c>
      <c r="P1062" s="4"/>
    </row>
    <row r="1063" ht="15.75" hidden="1" customHeight="1">
      <c r="B1063" s="8">
        <v>1379.0</v>
      </c>
      <c r="C1063" s="9">
        <v>43168.0</v>
      </c>
      <c r="D1063" s="6" t="s">
        <v>1299</v>
      </c>
      <c r="E1063" s="4">
        <v>6.103000286E9</v>
      </c>
      <c r="F1063" s="8" t="s">
        <v>604</v>
      </c>
      <c r="G1063" s="4" t="s">
        <v>1289</v>
      </c>
      <c r="H1063" s="18" t="s">
        <v>1303</v>
      </c>
      <c r="I1063" s="18">
        <v>50.0</v>
      </c>
      <c r="J1063" s="11" t="str">
        <f>IF(D1063&lt;&gt;"",VLOOKUP(H1063,TABLEITEM,5,FALSE),"")</f>
        <v>EA</v>
      </c>
      <c r="K1063" s="17">
        <v>9.0</v>
      </c>
      <c r="L1063" s="13">
        <v>0.0</v>
      </c>
      <c r="M1063" s="13" t="s">
        <v>1304</v>
      </c>
      <c r="N1063" s="14">
        <v>450.0</v>
      </c>
      <c r="O1063" s="4" t="s">
        <v>1298</v>
      </c>
      <c r="P1063" s="4"/>
    </row>
    <row r="1064" ht="15.75" hidden="1" customHeight="1">
      <c r="B1064" s="8">
        <v>1380.0</v>
      </c>
      <c r="C1064" s="9">
        <v>43192.0</v>
      </c>
      <c r="D1064" s="6" t="s">
        <v>1305</v>
      </c>
      <c r="E1064" s="4">
        <v>6.103000383E9</v>
      </c>
      <c r="F1064" s="8" t="s">
        <v>604</v>
      </c>
      <c r="G1064" s="4" t="s">
        <v>1289</v>
      </c>
      <c r="H1064" s="18" t="s">
        <v>156</v>
      </c>
      <c r="I1064" s="18">
        <v>100.0</v>
      </c>
      <c r="J1064" s="11" t="str">
        <f>IF(D1064&lt;&gt;"",VLOOKUP(H1064,TABLEITEM,5,FALSE),"")</f>
        <v>EA</v>
      </c>
      <c r="K1064" s="17">
        <v>9.0</v>
      </c>
      <c r="L1064" s="13">
        <v>0.0</v>
      </c>
      <c r="M1064" s="13" t="s">
        <v>1306</v>
      </c>
      <c r="N1064" s="14">
        <v>900.0</v>
      </c>
      <c r="O1064" s="4" t="s">
        <v>1298</v>
      </c>
      <c r="P1064" s="4"/>
    </row>
    <row r="1065" ht="15.75" hidden="1" customHeight="1">
      <c r="B1065" s="8">
        <v>1381.0</v>
      </c>
      <c r="C1065" s="9">
        <v>43239.0</v>
      </c>
      <c r="D1065" s="6" t="s">
        <v>1307</v>
      </c>
      <c r="E1065" s="4">
        <v>6.105000598E9</v>
      </c>
      <c r="F1065" s="8" t="s">
        <v>604</v>
      </c>
      <c r="G1065" s="4" t="s">
        <v>1289</v>
      </c>
      <c r="H1065" s="18" t="s">
        <v>1308</v>
      </c>
      <c r="I1065" s="18">
        <v>20.0</v>
      </c>
      <c r="J1065" s="11" t="str">
        <f>IF(D1065&lt;&gt;"",VLOOKUP(H1065,TABLEITEM,5,FALSE),"")</f>
        <v>EA</v>
      </c>
      <c r="K1065" s="17">
        <v>72.0</v>
      </c>
      <c r="L1065" s="13">
        <v>0.0</v>
      </c>
      <c r="M1065" s="13" t="s">
        <v>1309</v>
      </c>
      <c r="N1065" s="14">
        <v>1440.0</v>
      </c>
      <c r="O1065" s="4" t="s">
        <v>1310</v>
      </c>
      <c r="P1065" s="4"/>
    </row>
    <row r="1066" ht="15.75" hidden="1" customHeight="1">
      <c r="B1066" s="8">
        <v>1382.0</v>
      </c>
      <c r="C1066" s="9">
        <v>43231.0</v>
      </c>
      <c r="D1066" s="6" t="s">
        <v>1311</v>
      </c>
      <c r="E1066" s="4">
        <v>6.105000556E9</v>
      </c>
      <c r="F1066" s="8" t="s">
        <v>604</v>
      </c>
      <c r="G1066" s="4" t="s">
        <v>1289</v>
      </c>
      <c r="H1066" s="18" t="s">
        <v>1290</v>
      </c>
      <c r="I1066" s="18">
        <v>600.0</v>
      </c>
      <c r="J1066" s="11" t="str">
        <f>IF(D1066&lt;&gt;"",VLOOKUP(H1066,TABLEITEM,5,FALSE),"")</f>
        <v>EA</v>
      </c>
      <c r="K1066" s="17">
        <v>11.2</v>
      </c>
      <c r="L1066" s="13">
        <v>0.0</v>
      </c>
      <c r="M1066" s="13" t="s">
        <v>1292</v>
      </c>
      <c r="N1066" s="14">
        <v>6720.0</v>
      </c>
      <c r="O1066" s="4"/>
      <c r="P1066" s="4"/>
    </row>
    <row r="1067" ht="15.75" hidden="1" customHeight="1">
      <c r="B1067" s="8">
        <v>1383.0</v>
      </c>
      <c r="C1067" s="9">
        <v>43224.0</v>
      </c>
      <c r="D1067" s="6" t="s">
        <v>1312</v>
      </c>
      <c r="E1067" s="4">
        <v>6.1040000441E10</v>
      </c>
      <c r="F1067" s="8" t="s">
        <v>604</v>
      </c>
      <c r="G1067" s="4" t="s">
        <v>1289</v>
      </c>
      <c r="H1067" s="18" t="s">
        <v>131</v>
      </c>
      <c r="I1067" s="18">
        <v>400.0</v>
      </c>
      <c r="J1067" s="11" t="str">
        <f>IF(D1067&lt;&gt;"",VLOOKUP(H1067,TABLEITEM,5,FALSE),"")</f>
        <v>EA</v>
      </c>
      <c r="K1067" s="17">
        <v>11.2</v>
      </c>
      <c r="L1067" s="13">
        <v>0.0</v>
      </c>
      <c r="M1067" s="13" t="s">
        <v>1292</v>
      </c>
      <c r="N1067" s="14">
        <v>4480.0</v>
      </c>
      <c r="O1067" s="4"/>
      <c r="P1067" s="4"/>
    </row>
    <row r="1068" ht="15.75" hidden="1" customHeight="1">
      <c r="B1068" s="8">
        <v>1384.0</v>
      </c>
      <c r="C1068" s="9">
        <v>43313.0</v>
      </c>
      <c r="D1068" s="6">
        <v>35355.0</v>
      </c>
      <c r="E1068" s="4">
        <v>6.107000894E9</v>
      </c>
      <c r="F1068" s="8" t="s">
        <v>604</v>
      </c>
      <c r="G1068" s="4" t="s">
        <v>696</v>
      </c>
      <c r="H1068" s="10" t="s">
        <v>44</v>
      </c>
      <c r="I1068" s="10">
        <v>4.0</v>
      </c>
      <c r="J1068" s="11" t="str">
        <f>IF(D1068&lt;&gt;"",VLOOKUP(H1068,TABLEITEM,5,FALSE),"")</f>
        <v>ปี๊ป</v>
      </c>
      <c r="K1068" s="12">
        <v>370.0</v>
      </c>
      <c r="L1068" s="13" t="str">
        <f>IF(D1068&lt;&gt;"",VLOOKUP(H1068,TABLEITEM,2,FALSE),"")</f>
        <v/>
      </c>
      <c r="M1068" s="13" t="str">
        <f>IF(D1068&lt;&gt;"",VLOOKUP(H1068,TABLEITEM,3,FALSE),"")</f>
        <v>ทินเนอร์ AAA</v>
      </c>
      <c r="N1068" s="14">
        <f>INSTOCK!$I1068*INSTOCK!$K1068</f>
        <v>1480</v>
      </c>
      <c r="O1068" s="4"/>
      <c r="P1068" s="4"/>
    </row>
    <row r="1069" ht="15.75" hidden="1" customHeight="1">
      <c r="B1069" s="8">
        <v>1385.0</v>
      </c>
      <c r="C1069" s="9">
        <v>43313.0</v>
      </c>
      <c r="D1069" s="6" t="s">
        <v>1313</v>
      </c>
      <c r="E1069" s="4">
        <v>6.107000893E9</v>
      </c>
      <c r="F1069" s="8" t="s">
        <v>604</v>
      </c>
      <c r="G1069" s="4" t="s">
        <v>975</v>
      </c>
      <c r="H1069" s="10" t="s">
        <v>19</v>
      </c>
      <c r="I1069" s="10">
        <v>60.0</v>
      </c>
      <c r="J1069" s="11" t="str">
        <f>IF(D1069&lt;&gt;"",VLOOKUP(H1069,TABLEITEM,5,FALSE),"")</f>
        <v>ROLL</v>
      </c>
      <c r="K1069" s="12">
        <v>140.0</v>
      </c>
      <c r="L1069" s="13" t="str">
        <f>IF(D1069&lt;&gt;"",VLOOKUP(H1069,TABLEITEM,2,FALSE),"")</f>
        <v/>
      </c>
      <c r="M1069" s="13" t="str">
        <f>IF(D1069&lt;&gt;"",VLOOKUP(H1069,TABLEITEM,3,FALSE),"")</f>
        <v>พลาสติกห่อตู้ 20micx50cmx300m</v>
      </c>
      <c r="N1069" s="14">
        <f>INSTOCK!$I1069*INSTOCK!$K1069</f>
        <v>8400</v>
      </c>
      <c r="O1069" s="4" t="s">
        <v>977</v>
      </c>
      <c r="P1069" s="4"/>
    </row>
    <row r="1070" ht="15.75" hidden="1" customHeight="1">
      <c r="B1070" s="8">
        <v>1386.0</v>
      </c>
      <c r="C1070" s="9">
        <v>43313.0</v>
      </c>
      <c r="D1070" s="6" t="s">
        <v>1314</v>
      </c>
      <c r="E1070" s="4">
        <v>6.107000892E9</v>
      </c>
      <c r="F1070" s="8" t="s">
        <v>604</v>
      </c>
      <c r="G1070" s="4" t="s">
        <v>729</v>
      </c>
      <c r="H1070" s="10" t="s">
        <v>28</v>
      </c>
      <c r="I1070" s="10">
        <v>500.0</v>
      </c>
      <c r="J1070" s="11" t="str">
        <f>IF(D1070&lt;&gt;"",VLOOKUP(H1070,TABLEITEM,5,FALSE),"")</f>
        <v>M</v>
      </c>
      <c r="K1070" s="12">
        <v>12.0</v>
      </c>
      <c r="L1070" s="13" t="str">
        <f>IF(D1070&lt;&gt;"",VLOOKUP(H1070,TABLEITEM,2,FALSE),"")</f>
        <v/>
      </c>
      <c r="M1070" s="13" t="str">
        <f>IF(D1070&lt;&gt;"",VLOOKUP(H1070,TABLEITEM,3,FALSE),"")</f>
        <v>ยางฟองน้ำ1"x1/8"</v>
      </c>
      <c r="N1070" s="14">
        <f>INSTOCK!$I1070*INSTOCK!$K1070</f>
        <v>6000</v>
      </c>
      <c r="O1070" s="4"/>
      <c r="P1070" s="4"/>
    </row>
    <row r="1071" ht="15.75" hidden="1" customHeight="1">
      <c r="B1071" s="8">
        <v>1387.0</v>
      </c>
      <c r="C1071" s="9">
        <v>43313.0</v>
      </c>
      <c r="D1071" s="6" t="s">
        <v>1314</v>
      </c>
      <c r="E1071" s="4">
        <v>6.107000892E9</v>
      </c>
      <c r="F1071" s="8" t="s">
        <v>604</v>
      </c>
      <c r="G1071" s="4" t="s">
        <v>729</v>
      </c>
      <c r="H1071" s="10" t="s">
        <v>29</v>
      </c>
      <c r="I1071" s="10">
        <v>500.0</v>
      </c>
      <c r="J1071" s="11" t="str">
        <f>IF(D1071&lt;&gt;"",VLOOKUP(H1071,TABLEITEM,5,FALSE),"")</f>
        <v>M</v>
      </c>
      <c r="K1071" s="12">
        <v>17.0</v>
      </c>
      <c r="L1071" s="13" t="str">
        <f>IF(D1071&lt;&gt;"",VLOOKUP(H1071,TABLEITEM,2,FALSE),"")</f>
        <v/>
      </c>
      <c r="M1071" s="13" t="str">
        <f>IF(D1071&lt;&gt;"",VLOOKUP(H1071,TABLEITEM,3,FALSE),"")</f>
        <v>ยางฟองน้ำ1"x1/4''</v>
      </c>
      <c r="N1071" s="14">
        <f>INSTOCK!$I1071*INSTOCK!$K1071</f>
        <v>8500</v>
      </c>
      <c r="O1071" s="4"/>
      <c r="P1071" s="22" t="s">
        <v>1315</v>
      </c>
    </row>
    <row r="1072" ht="15.75" hidden="1" customHeight="1">
      <c r="B1072" s="8">
        <v>1388.0</v>
      </c>
      <c r="C1072" s="9">
        <v>43370.0</v>
      </c>
      <c r="D1072" s="6" t="s">
        <v>1316</v>
      </c>
      <c r="E1072" s="4">
        <v>6.109001204E9</v>
      </c>
      <c r="F1072" s="8" t="s">
        <v>604</v>
      </c>
      <c r="G1072" s="4" t="s">
        <v>721</v>
      </c>
      <c r="H1072" s="10" t="s">
        <v>221</v>
      </c>
      <c r="I1072" s="10">
        <v>300.0</v>
      </c>
      <c r="J1072" s="11" t="str">
        <f>IF(D1072&lt;&gt;"",VLOOKUP(H1072,TABLEITEM,5,FALSE),"")</f>
        <v>M</v>
      </c>
      <c r="K1072" s="12">
        <v>7.566</v>
      </c>
      <c r="L1072" s="13" t="str">
        <f>IF(D1072&lt;&gt;"",VLOOKUP(H1072,TABLEITEM,2,FALSE),"")</f>
        <v/>
      </c>
      <c r="M1072" s="13" t="str">
        <f>IF(D1072&lt;&gt;"",VLOOKUP(H1072,TABLEITEM,3,FALSE),"")</f>
        <v>ท่ออ่อนลูกฟูกชิดผ่า/ท่อผ่าดำ 7มิล</v>
      </c>
      <c r="N1072" s="14">
        <f>INSTOCK!$I1072*INSTOCK!$K1072</f>
        <v>2269.8</v>
      </c>
      <c r="O1072" s="4" t="s">
        <v>1317</v>
      </c>
      <c r="P1072" s="21" t="s">
        <v>1318</v>
      </c>
    </row>
    <row r="1073" ht="15.75" hidden="1" customHeight="1">
      <c r="B1073" s="8">
        <v>1389.0</v>
      </c>
      <c r="C1073" s="9">
        <v>43370.0</v>
      </c>
      <c r="D1073" s="6" t="s">
        <v>1316</v>
      </c>
      <c r="E1073" s="4">
        <v>6.109001204E9</v>
      </c>
      <c r="F1073" s="8" t="s">
        <v>604</v>
      </c>
      <c r="G1073" s="4" t="s">
        <v>721</v>
      </c>
      <c r="H1073" s="10" t="s">
        <v>159</v>
      </c>
      <c r="I1073" s="10">
        <v>2000.0</v>
      </c>
      <c r="J1073" s="11" t="str">
        <f>IF(D1073&lt;&gt;"",VLOOKUP(H1073,TABLEITEM,5,FALSE),"")</f>
        <v>EA</v>
      </c>
      <c r="K1073" s="12">
        <v>0.1164</v>
      </c>
      <c r="L1073" s="13" t="str">
        <f>IF(D1073&lt;&gt;"",VLOOKUP(H1073,TABLEITEM,2,FALSE),"")</f>
        <v/>
      </c>
      <c r="M1073" s="13" t="str">
        <f>IF(D1073&lt;&gt;"",VLOOKUP(H1073,TABLEITEM,3,FALSE),"")</f>
        <v>เคเบิ้ลไทร์ 4" สีขาวCT-100-2C</v>
      </c>
      <c r="N1073" s="14">
        <f>INSTOCK!$I1073*INSTOCK!$K1073</f>
        <v>232.8</v>
      </c>
      <c r="O1073" s="4" t="s">
        <v>1319</v>
      </c>
      <c r="P1073" s="4"/>
    </row>
    <row r="1074" ht="15.75" hidden="1" customHeight="1">
      <c r="B1074" s="8">
        <v>1390.0</v>
      </c>
      <c r="C1074" s="9">
        <v>43370.0</v>
      </c>
      <c r="D1074" s="6" t="s">
        <v>1316</v>
      </c>
      <c r="E1074" s="4">
        <v>6.109001204E9</v>
      </c>
      <c r="F1074" s="8" t="s">
        <v>604</v>
      </c>
      <c r="G1074" s="4" t="s">
        <v>721</v>
      </c>
      <c r="H1074" s="10" t="s">
        <v>202</v>
      </c>
      <c r="I1074" s="10">
        <v>54.0</v>
      </c>
      <c r="J1074" s="11" t="str">
        <f>IF(D1074&lt;&gt;"",VLOOKUP(H1074,TABLEITEM,5,FALSE),"")</f>
        <v>EA</v>
      </c>
      <c r="K1074" s="12">
        <v>93.12</v>
      </c>
      <c r="L1074" s="13" t="str">
        <f>IF(D1074&lt;&gt;"",VLOOKUP(H1074,TABLEITEM,2,FALSE),"")</f>
        <v/>
      </c>
      <c r="M1074" s="13" t="str">
        <f>IF(D1074&lt;&gt;"",VLOOKUP(H1074,TABLEITEM,3,FALSE),"")</f>
        <v>รางวายดัก/รางPVC 25x45 mm.</v>
      </c>
      <c r="N1074" s="14">
        <f>INSTOCK!$I1074*INSTOCK!$K1074</f>
        <v>5028.48</v>
      </c>
      <c r="O1074" s="4" t="s">
        <v>1320</v>
      </c>
      <c r="P1074" s="4"/>
    </row>
    <row r="1075" ht="15.75" hidden="1" customHeight="1">
      <c r="B1075" s="8">
        <v>1391.0</v>
      </c>
      <c r="C1075" s="9">
        <v>43370.0</v>
      </c>
      <c r="D1075" s="6" t="s">
        <v>1316</v>
      </c>
      <c r="E1075" s="4">
        <v>6.109001204E9</v>
      </c>
      <c r="F1075" s="8" t="s">
        <v>604</v>
      </c>
      <c r="G1075" s="4" t="s">
        <v>721</v>
      </c>
      <c r="H1075" s="10" t="s">
        <v>205</v>
      </c>
      <c r="I1075" s="10">
        <v>30.0</v>
      </c>
      <c r="J1075" s="11" t="str">
        <f>IF(D1075&lt;&gt;"",VLOOKUP(H1075,TABLEITEM,5,FALSE),"")</f>
        <v>EA</v>
      </c>
      <c r="K1075" s="12">
        <v>157.14</v>
      </c>
      <c r="L1075" s="13" t="str">
        <f>IF(D1075&lt;&gt;"",VLOOKUP(H1075,TABLEITEM,2,FALSE),"")</f>
        <v/>
      </c>
      <c r="M1075" s="13" t="str">
        <f>IF(D1075&lt;&gt;"",VLOOKUP(H1075,TABLEITEM,3,FALSE),"")</f>
        <v>รางวายดัก/รางPVC 33x65 mm.</v>
      </c>
      <c r="N1075" s="14">
        <f>INSTOCK!$I1075*INSTOCK!$K1075</f>
        <v>4714.2</v>
      </c>
      <c r="O1075" s="4" t="s">
        <v>1321</v>
      </c>
      <c r="P1075" s="4"/>
    </row>
    <row r="1076" ht="15.75" hidden="1" customHeight="1">
      <c r="B1076" s="8">
        <v>1392.0</v>
      </c>
      <c r="C1076" s="9">
        <v>43370.0</v>
      </c>
      <c r="D1076" s="6" t="s">
        <v>1322</v>
      </c>
      <c r="E1076" s="4">
        <v>6.109001212E9</v>
      </c>
      <c r="F1076" s="8" t="s">
        <v>807</v>
      </c>
      <c r="G1076" s="4" t="s">
        <v>808</v>
      </c>
      <c r="H1076" s="10" t="s">
        <v>809</v>
      </c>
      <c r="I1076" s="10">
        <v>1.0</v>
      </c>
      <c r="J1076" s="11" t="str">
        <f>IF(D1076&lt;&gt;"",VLOOKUP(H1076,TABLEITEM,5,FALSE),"")</f>
        <v>ท่อ</v>
      </c>
      <c r="K1076" s="12">
        <v>2700.0</v>
      </c>
      <c r="L1076" s="13" t="str">
        <f>IF(D1076&lt;&gt;"",VLOOKUP(H1076,TABLEITEM,2,FALSE),"")</f>
        <v/>
      </c>
      <c r="M1076" s="13" t="str">
        <f>IF(D1076&lt;&gt;"",VLOOKUP(H1076,TABLEITEM,3,FALSE),"")</f>
        <v>ไนโตรเจนเหลว ขนาด 100คิว</v>
      </c>
      <c r="N1076" s="14">
        <f>INSTOCK!$I1076*INSTOCK!$K1076</f>
        <v>2700</v>
      </c>
      <c r="O1076" s="4"/>
      <c r="P1076" s="4"/>
    </row>
    <row r="1077" ht="15.75" hidden="1" customHeight="1">
      <c r="B1077" s="8">
        <v>1393.0</v>
      </c>
      <c r="C1077" s="9">
        <v>43369.0</v>
      </c>
      <c r="D1077" s="6" t="s">
        <v>1323</v>
      </c>
      <c r="E1077" s="4">
        <v>6.109001202E9</v>
      </c>
      <c r="F1077" s="8" t="s">
        <v>604</v>
      </c>
      <c r="G1077" s="4" t="s">
        <v>692</v>
      </c>
      <c r="H1077" s="10" t="s">
        <v>1324</v>
      </c>
      <c r="I1077" s="10">
        <v>100.0</v>
      </c>
      <c r="J1077" s="11" t="str">
        <f>IF(D1077&lt;&gt;"",VLOOKUP(H1077,TABLEITEM,5,FALSE),"")</f>
        <v>M</v>
      </c>
      <c r="K1077" s="12">
        <v>80.135</v>
      </c>
      <c r="L1077" s="13" t="str">
        <f>IF(D1077&lt;&gt;"",VLOOKUP(H1077,TABLEITEM,2,FALSE),"")</f>
        <v/>
      </c>
      <c r="M1077" s="13" t="str">
        <f>IF(D1077&lt;&gt;"",VLOOKUP(H1077,TABLEITEM,3,FALSE),"")</f>
        <v>สายTHW ขนาด 1x35 SQMM.สีเขียว</v>
      </c>
      <c r="N1077" s="14">
        <f>INSTOCK!$I1077*INSTOCK!$K1077</f>
        <v>8013.5</v>
      </c>
      <c r="O1077" s="4" t="s">
        <v>1325</v>
      </c>
      <c r="P1077" s="4"/>
    </row>
    <row r="1078" ht="15.75" hidden="1" customHeight="1">
      <c r="B1078" s="8">
        <v>1394.0</v>
      </c>
      <c r="C1078" s="9">
        <v>43369.0</v>
      </c>
      <c r="D1078" s="6" t="s">
        <v>1326</v>
      </c>
      <c r="E1078" s="4">
        <v>6.109001203E9</v>
      </c>
      <c r="F1078" s="8" t="s">
        <v>1327</v>
      </c>
      <c r="G1078" s="4" t="s">
        <v>743</v>
      </c>
      <c r="H1078" s="10" t="s">
        <v>1328</v>
      </c>
      <c r="I1078" s="10">
        <v>20.0</v>
      </c>
      <c r="J1078" s="11" t="str">
        <f>IF(D1078&lt;&gt;"",VLOOKUP(H1078,TABLEITEM,5,FALSE),"")</f>
        <v>KG.</v>
      </c>
      <c r="K1078" s="12">
        <v>125.38</v>
      </c>
      <c r="L1078" s="13" t="str">
        <f>IF(D1078&lt;&gt;"",VLOOKUP(H1078,TABLEITEM,2,FALSE),"")</f>
        <v/>
      </c>
      <c r="M1078" s="13" t="str">
        <f>IF(D1078&lt;&gt;"",VLOOKUP(H1078,TABLEITEM,3,FALSE),"")</f>
        <v>สีฝุ่น 1002788PX20</v>
      </c>
      <c r="N1078" s="14">
        <f>INSTOCK!$I1078*INSTOCK!$K1078</f>
        <v>2507.6</v>
      </c>
      <c r="O1078" s="4"/>
      <c r="P1078" s="4"/>
    </row>
    <row r="1079" ht="15.75" hidden="1" customHeight="1">
      <c r="B1079" s="8">
        <v>1395.0</v>
      </c>
      <c r="C1079" s="9">
        <v>43369.0</v>
      </c>
      <c r="D1079" s="6" t="s">
        <v>1329</v>
      </c>
      <c r="E1079" s="4">
        <v>6.109001195E9</v>
      </c>
      <c r="F1079" s="8" t="s">
        <v>1330</v>
      </c>
      <c r="G1079" s="4" t="s">
        <v>702</v>
      </c>
      <c r="H1079" s="10" t="s">
        <v>1331</v>
      </c>
      <c r="I1079" s="10">
        <v>20.0</v>
      </c>
      <c r="J1079" s="11" t="str">
        <f>IF(D1079&lt;&gt;"",VLOOKUP(H1079,TABLEITEM,5,FALSE),"")</f>
        <v>KG.</v>
      </c>
      <c r="K1079" s="12">
        <v>135.0</v>
      </c>
      <c r="L1079" s="13" t="str">
        <f>IF(D1079&lt;&gt;"",VLOOKUP(H1079,TABLEITEM,2,FALSE),"")</f>
        <v/>
      </c>
      <c r="M1079" s="13" t="str">
        <f>IF(D1079&lt;&gt;"",VLOOKUP(H1079,TABLEITEM,3,FALSE),"")</f>
        <v>สีฝุ่น PR26/2081/C</v>
      </c>
      <c r="N1079" s="14">
        <f>INSTOCK!$I1079*INSTOCK!$K1079</f>
        <v>2700</v>
      </c>
      <c r="O1079" s="4"/>
      <c r="P1079" s="4"/>
    </row>
    <row r="1080" ht="15.75" hidden="1" customHeight="1">
      <c r="B1080" s="8">
        <v>1396.0</v>
      </c>
      <c r="C1080" s="9">
        <v>43369.0</v>
      </c>
      <c r="D1080" s="6" t="s">
        <v>1332</v>
      </c>
      <c r="E1080" s="4">
        <v>6.109001197E9</v>
      </c>
      <c r="F1080" s="8" t="s">
        <v>823</v>
      </c>
      <c r="G1080" s="4" t="s">
        <v>808</v>
      </c>
      <c r="H1080" s="10" t="s">
        <v>824</v>
      </c>
      <c r="I1080" s="10">
        <v>2.0</v>
      </c>
      <c r="J1080" s="11" t="str">
        <f>IF(D1080&lt;&gt;"",VLOOKUP(H1080,TABLEITEM,5,FALSE),"")</f>
        <v>ท่อ</v>
      </c>
      <c r="K1080" s="12">
        <v>600.0</v>
      </c>
      <c r="L1080" s="13" t="str">
        <f>IF(D1080&lt;&gt;"",VLOOKUP(H1080,TABLEITEM,2,FALSE),"")</f>
        <v/>
      </c>
      <c r="M1080" s="13" t="str">
        <f>IF(D1080&lt;&gt;"",VLOOKUP(H1080,TABLEITEM,3,FALSE),"")</f>
        <v>20% CO2 Balance AR ขนาด 6คิว</v>
      </c>
      <c r="N1080" s="14">
        <f>INSTOCK!$I1080*INSTOCK!$K1080</f>
        <v>1200</v>
      </c>
      <c r="O1080" s="4"/>
      <c r="P1080" s="4"/>
    </row>
    <row r="1081" ht="15.75" hidden="1" customHeight="1">
      <c r="B1081" s="8">
        <v>1397.0</v>
      </c>
      <c r="C1081" s="9">
        <v>43368.0</v>
      </c>
      <c r="D1081" s="6" t="s">
        <v>1333</v>
      </c>
      <c r="E1081" s="4">
        <v>6.109001194E9</v>
      </c>
      <c r="F1081" s="8" t="s">
        <v>604</v>
      </c>
      <c r="G1081" s="4" t="s">
        <v>665</v>
      </c>
      <c r="H1081" s="10" t="s">
        <v>462</v>
      </c>
      <c r="I1081" s="10">
        <v>2000.0</v>
      </c>
      <c r="J1081" s="11" t="str">
        <f>IF(D1081&lt;&gt;"",VLOOKUP(H1081,TABLEITEM,5,FALSE),"")</f>
        <v>M</v>
      </c>
      <c r="K1081" s="12">
        <v>5.0</v>
      </c>
      <c r="L1081" s="13" t="str">
        <f>IF(D1081&lt;&gt;"",VLOOKUP(H1081,TABLEITEM,2,FALSE),"")</f>
        <v>wire</v>
      </c>
      <c r="M1081" s="13" t="str">
        <f>IF(D1081&lt;&gt;"",VLOOKUP(H1081,TABLEITEM,3,FALSE),"")</f>
        <v>สายไฟ VSF1x1 SQMM.สีเหลือง</v>
      </c>
      <c r="N1081" s="14">
        <f>INSTOCK!$I1081*INSTOCK!$K1081</f>
        <v>10000</v>
      </c>
      <c r="O1081" s="4" t="s">
        <v>666</v>
      </c>
      <c r="P1081" s="4"/>
    </row>
    <row r="1082" ht="15.75" hidden="1" customHeight="1">
      <c r="B1082" s="8">
        <v>1398.0</v>
      </c>
      <c r="C1082" s="9">
        <v>43368.0</v>
      </c>
      <c r="D1082" s="6" t="s">
        <v>1334</v>
      </c>
      <c r="E1082" s="4">
        <v>6.109001194E9</v>
      </c>
      <c r="F1082" s="8" t="s">
        <v>604</v>
      </c>
      <c r="G1082" s="4" t="s">
        <v>665</v>
      </c>
      <c r="H1082" s="10" t="s">
        <v>459</v>
      </c>
      <c r="I1082" s="10">
        <v>500.0</v>
      </c>
      <c r="J1082" s="11" t="str">
        <f>IF(D1082&lt;&gt;"",VLOOKUP(H1082,TABLEITEM,5,FALSE),"")</f>
        <v>M</v>
      </c>
      <c r="K1082" s="12">
        <v>3.18</v>
      </c>
      <c r="L1082" s="13" t="str">
        <f>IF(D1082&lt;&gt;"",VLOOKUP(H1082,TABLEITEM,2,FALSE),"")</f>
        <v>wire</v>
      </c>
      <c r="M1082" s="13" t="str">
        <f>IF(D1082&lt;&gt;"",VLOOKUP(H1082,TABLEITEM,3,FALSE),"")</f>
        <v>สายไฟ VSF#1x0.5 SQMM.สีน้ำเงิน</v>
      </c>
      <c r="N1082" s="14">
        <f>INSTOCK!$I1082*INSTOCK!$K1082</f>
        <v>1590</v>
      </c>
      <c r="O1082" s="4" t="s">
        <v>666</v>
      </c>
      <c r="P1082" s="4"/>
    </row>
    <row r="1083" ht="15.75" hidden="1" customHeight="1">
      <c r="B1083" s="8">
        <v>1399.0</v>
      </c>
      <c r="C1083" s="9">
        <v>43367.0</v>
      </c>
      <c r="D1083" s="6" t="s">
        <v>1335</v>
      </c>
      <c r="E1083" s="4"/>
      <c r="F1083" s="8">
        <v>611983.0</v>
      </c>
      <c r="G1083" s="4" t="s">
        <v>898</v>
      </c>
      <c r="H1083" s="10" t="s">
        <v>899</v>
      </c>
      <c r="I1083" s="10">
        <v>1.0</v>
      </c>
      <c r="J1083" s="11" t="str">
        <f>IF(D1083&lt;&gt;"",VLOOKUP(H1083,TABLEITEM,5,FALSE),"")</f>
        <v>LIT</v>
      </c>
      <c r="K1083" s="12">
        <v>400.0</v>
      </c>
      <c r="L1083" s="13" t="str">
        <f>IF(D1083&lt;&gt;"",VLOOKUP(H1083,TABLEITEM,2,FALSE),"")</f>
        <v/>
      </c>
      <c r="M1083" s="13" t="str">
        <f>IF(D1083&lt;&gt;"",VLOOKUP(H1083,TABLEITEM,3,FALSE),"")</f>
        <v>สีพ่นแห้งเร็ว(สีผสม)</v>
      </c>
      <c r="N1083" s="14">
        <f>INSTOCK!$I1083*INSTOCK!$K1083</f>
        <v>400</v>
      </c>
      <c r="O1083" s="4" t="s">
        <v>1017</v>
      </c>
      <c r="P1083" s="4"/>
    </row>
    <row r="1084" ht="15.75" hidden="1" customHeight="1">
      <c r="B1084" s="8">
        <v>1400.0</v>
      </c>
      <c r="C1084" s="9">
        <v>43367.0</v>
      </c>
      <c r="D1084" s="6">
        <v>3601.0</v>
      </c>
      <c r="E1084" s="4">
        <v>6.109001185E9</v>
      </c>
      <c r="F1084" s="8" t="s">
        <v>604</v>
      </c>
      <c r="G1084" s="4" t="s">
        <v>975</v>
      </c>
      <c r="H1084" s="10" t="s">
        <v>19</v>
      </c>
      <c r="I1084" s="10">
        <v>60.0</v>
      </c>
      <c r="J1084" s="11" t="str">
        <f>IF(D1084&lt;&gt;"",VLOOKUP(H1084,TABLEITEM,5,FALSE),"")</f>
        <v>ROLL</v>
      </c>
      <c r="K1084" s="12">
        <v>140.0</v>
      </c>
      <c r="L1084" s="13" t="str">
        <f>IF(D1084&lt;&gt;"",VLOOKUP(H1084,TABLEITEM,2,FALSE),"")</f>
        <v/>
      </c>
      <c r="M1084" s="13" t="str">
        <f>IF(D1084&lt;&gt;"",VLOOKUP(H1084,TABLEITEM,3,FALSE),"")</f>
        <v>พลาสติกห่อตู้ 20micx50cmx300m</v>
      </c>
      <c r="N1084" s="14">
        <f>INSTOCK!$I1084*INSTOCK!$K1084</f>
        <v>8400</v>
      </c>
      <c r="O1084" s="4" t="s">
        <v>977</v>
      </c>
      <c r="P1084" s="4"/>
    </row>
    <row r="1085" ht="15.75" hidden="1" customHeight="1">
      <c r="B1085" s="8">
        <v>1401.0</v>
      </c>
      <c r="C1085" s="9">
        <v>43365.0</v>
      </c>
      <c r="D1085" s="6" t="s">
        <v>1336</v>
      </c>
      <c r="E1085" s="4"/>
      <c r="F1085" s="8" t="s">
        <v>801</v>
      </c>
      <c r="G1085" s="4" t="s">
        <v>802</v>
      </c>
      <c r="H1085" s="10" t="s">
        <v>803</v>
      </c>
      <c r="I1085" s="10">
        <v>15.0</v>
      </c>
      <c r="J1085" s="11" t="str">
        <f>IF(D1085&lt;&gt;"",VLOOKUP(H1085,TABLEITEM,5,FALSE),"")</f>
        <v>ถัง</v>
      </c>
      <c r="K1085" s="12">
        <v>1140.19</v>
      </c>
      <c r="L1085" s="13" t="str">
        <f>IF(D1085&lt;&gt;"",VLOOKUP(H1085,TABLEITEM,2,FALSE),"")</f>
        <v/>
      </c>
      <c r="M1085" s="13" t="str">
        <f>IF(D1085&lt;&gt;"",VLOOKUP(H1085,TABLEITEM,3,FALSE),"")</f>
        <v>แก๊สหุงต้ม 48กก</v>
      </c>
      <c r="N1085" s="14">
        <f>INSTOCK!$I1085*INSTOCK!$K1085</f>
        <v>17102.85</v>
      </c>
      <c r="O1085" s="4"/>
      <c r="P1085" s="4"/>
    </row>
    <row r="1086" ht="15.75" hidden="1" customHeight="1">
      <c r="B1086" s="8">
        <v>1402.0</v>
      </c>
      <c r="C1086" s="9">
        <v>43365.0</v>
      </c>
      <c r="D1086" s="6" t="s">
        <v>1337</v>
      </c>
      <c r="E1086" s="4"/>
      <c r="F1086" s="8" t="s">
        <v>1338</v>
      </c>
      <c r="G1086" s="4" t="s">
        <v>898</v>
      </c>
      <c r="H1086" s="10" t="s">
        <v>899</v>
      </c>
      <c r="I1086" s="10">
        <v>1.0</v>
      </c>
      <c r="J1086" s="11" t="str">
        <f>IF(D1086&lt;&gt;"",VLOOKUP(H1086,TABLEITEM,5,FALSE),"")</f>
        <v>LIT</v>
      </c>
      <c r="K1086" s="12">
        <v>400.0</v>
      </c>
      <c r="L1086" s="13" t="str">
        <f>IF(D1086&lt;&gt;"",VLOOKUP(H1086,TABLEITEM,2,FALSE),"")</f>
        <v/>
      </c>
      <c r="M1086" s="13" t="str">
        <f>IF(D1086&lt;&gt;"",VLOOKUP(H1086,TABLEITEM,3,FALSE),"")</f>
        <v>สีพ่นแห้งเร็ว(สีผสม)</v>
      </c>
      <c r="N1086" s="14">
        <f>INSTOCK!$I1086*INSTOCK!$K1086</f>
        <v>400</v>
      </c>
      <c r="O1086" s="4" t="s">
        <v>1017</v>
      </c>
      <c r="P1086" s="4"/>
    </row>
    <row r="1087" ht="15.75" hidden="1" customHeight="1">
      <c r="B1087" s="8">
        <v>1403.0</v>
      </c>
      <c r="C1087" s="9">
        <v>43365.0</v>
      </c>
      <c r="D1087" s="6" t="s">
        <v>1339</v>
      </c>
      <c r="E1087" s="4">
        <v>6.109001181E9</v>
      </c>
      <c r="F1087" s="8" t="s">
        <v>807</v>
      </c>
      <c r="G1087" s="4" t="s">
        <v>808</v>
      </c>
      <c r="H1087" s="10" t="s">
        <v>831</v>
      </c>
      <c r="I1087" s="10">
        <v>1.0</v>
      </c>
      <c r="J1087" s="11" t="str">
        <f>IF(D1087&lt;&gt;"",VLOOKUP(H1087,TABLEITEM,5,FALSE),"")</f>
        <v>ท่อ</v>
      </c>
      <c r="K1087" s="12">
        <v>7700.0</v>
      </c>
      <c r="L1087" s="13" t="str">
        <f>IF(D1087&lt;&gt;"",VLOOKUP(H1087,TABLEITEM,2,FALSE),"")</f>
        <v/>
      </c>
      <c r="M1087" s="13" t="str">
        <f>IF(D1087&lt;&gt;"",VLOOKUP(H1087,TABLEITEM,3,FALSE),"")</f>
        <v>5% CO2.34% N2,61% HELIUM 7</v>
      </c>
      <c r="N1087" s="14">
        <f>INSTOCK!$I1087*INSTOCK!$K1087</f>
        <v>7700</v>
      </c>
      <c r="O1087" s="4"/>
      <c r="P1087" s="4"/>
    </row>
    <row r="1088" ht="15.75" hidden="1" customHeight="1">
      <c r="B1088" s="8">
        <v>1404.0</v>
      </c>
      <c r="C1088" s="9">
        <v>43365.0</v>
      </c>
      <c r="D1088" s="6" t="s">
        <v>1340</v>
      </c>
      <c r="E1088" s="4"/>
      <c r="F1088" s="8" t="s">
        <v>604</v>
      </c>
      <c r="G1088" s="4" t="s">
        <v>1289</v>
      </c>
      <c r="H1088" s="10" t="s">
        <v>131</v>
      </c>
      <c r="I1088" s="10">
        <v>1000.0</v>
      </c>
      <c r="J1088" s="11" t="str">
        <f>IF(D1088&lt;&gt;"",VLOOKUP(H1088,TABLEITEM,5,FALSE),"")</f>
        <v>EA</v>
      </c>
      <c r="K1088" s="12">
        <v>11.2</v>
      </c>
      <c r="L1088" s="13" t="str">
        <f>IF(D1088&lt;&gt;"",VLOOKUP(H1088,TABLEITEM,2,FALSE),"")</f>
        <v/>
      </c>
      <c r="M1088" s="13" t="str">
        <f>IF(D1088&lt;&gt;"",VLOOKUP(H1088,TABLEITEM,3,FALSE),"")</f>
        <v>มือจับตัวซี 4 นิ้ว มือจับโครเมี่ยม</v>
      </c>
      <c r="N1088" s="14">
        <f>INSTOCK!$I1088*INSTOCK!$K1088</f>
        <v>11200</v>
      </c>
      <c r="O1088" s="4"/>
      <c r="P1088" s="4"/>
    </row>
    <row r="1089" ht="15.75" hidden="1" customHeight="1">
      <c r="B1089" s="8">
        <v>1405.0</v>
      </c>
      <c r="C1089" s="9">
        <v>43364.0</v>
      </c>
      <c r="D1089" s="6" t="s">
        <v>1341</v>
      </c>
      <c r="E1089" s="4">
        <v>6.109001186E9</v>
      </c>
      <c r="F1089" s="8" t="s">
        <v>1342</v>
      </c>
      <c r="G1089" s="4" t="s">
        <v>692</v>
      </c>
      <c r="H1089" s="10" t="s">
        <v>515</v>
      </c>
      <c r="I1089" s="10">
        <v>200.0</v>
      </c>
      <c r="J1089" s="11" t="str">
        <f>IF(D1089&lt;&gt;"",VLOOKUP(H1089,TABLEITEM,5,FALSE),"")</f>
        <v>M</v>
      </c>
      <c r="K1089" s="12">
        <v>80.135</v>
      </c>
      <c r="L1089" s="13" t="str">
        <f>IF(D1089&lt;&gt;"",VLOOKUP(H1089,TABLEITEM,2,FALSE),"")</f>
        <v>wire</v>
      </c>
      <c r="M1089" s="13" t="str">
        <f>IF(D1089&lt;&gt;"",VLOOKUP(H1089,TABLEITEM,3,FALSE),"")</f>
        <v>สายTHW ขนาด 1x35 SQMM.สีดำ</v>
      </c>
      <c r="N1089" s="14">
        <f>INSTOCK!$I1089*INSTOCK!$K1089</f>
        <v>16027</v>
      </c>
      <c r="O1089" s="4" t="s">
        <v>1343</v>
      </c>
      <c r="P1089" s="4" t="s">
        <v>1344</v>
      </c>
    </row>
    <row r="1090" ht="15.75" hidden="1" customHeight="1">
      <c r="B1090" s="8">
        <v>1406.0</v>
      </c>
      <c r="C1090" s="9">
        <v>43364.0</v>
      </c>
      <c r="D1090" s="6" t="s">
        <v>1345</v>
      </c>
      <c r="E1090" s="4">
        <v>6.109001155E9</v>
      </c>
      <c r="F1090" s="8" t="s">
        <v>604</v>
      </c>
      <c r="G1090" s="4" t="s">
        <v>725</v>
      </c>
      <c r="H1090" s="10" t="s">
        <v>726</v>
      </c>
      <c r="I1090" s="10">
        <v>500.0</v>
      </c>
      <c r="J1090" s="11" t="str">
        <f>IF(D1090&lt;&gt;"",VLOOKUP(H1090,TABLEITEM,5,FALSE),"")</f>
        <v>M</v>
      </c>
      <c r="K1090" s="12">
        <v>10.0</v>
      </c>
      <c r="L1090" s="13" t="str">
        <f>IF(D1090&lt;&gt;"",VLOOKUP(H1090,TABLEITEM,2,FALSE),"")</f>
        <v/>
      </c>
      <c r="M1090" s="13" t="str">
        <f>IF(D1090&lt;&gt;"",VLOOKUP(H1090,TABLEITEM,3,FALSE),"")</f>
        <v>ยางกันบาดร่อง 10มิล</v>
      </c>
      <c r="N1090" s="14">
        <f>INSTOCK!$I1090*INSTOCK!$K1090</f>
        <v>5000</v>
      </c>
      <c r="O1090" s="4"/>
      <c r="P1090" s="4"/>
    </row>
    <row r="1091" ht="15.75" hidden="1" customHeight="1">
      <c r="B1091" s="8">
        <v>1407.0</v>
      </c>
      <c r="C1091" s="9">
        <v>43364.0</v>
      </c>
      <c r="D1091" s="6" t="s">
        <v>1346</v>
      </c>
      <c r="E1091" s="4">
        <v>6.10900118E9</v>
      </c>
      <c r="F1091" s="8" t="s">
        <v>1347</v>
      </c>
      <c r="G1091" s="4" t="s">
        <v>1258</v>
      </c>
      <c r="H1091" s="10" t="s">
        <v>1259</v>
      </c>
      <c r="I1091" s="10">
        <v>20.0</v>
      </c>
      <c r="J1091" s="11" t="str">
        <f>IF(D1091&lt;&gt;"",VLOOKUP(H1091,TABLEITEM,5,FALSE),"")</f>
        <v>KG.</v>
      </c>
      <c r="K1091" s="12">
        <v>130.0</v>
      </c>
      <c r="L1091" s="13" t="str">
        <f>IF(D1091&lt;&gt;"",VLOOKUP(H1091,TABLEITEM,2,FALSE),"")</f>
        <v/>
      </c>
      <c r="M1091" s="13" t="str">
        <f>IF(D1091&lt;&gt;"",VLOOKUP(H1091,TABLEITEM,3,FALSE),"")</f>
        <v>สีฝุ่น HB 45206 M BLACK MATT</v>
      </c>
      <c r="N1091" s="14">
        <f>INSTOCK!$I1091*INSTOCK!$K1091</f>
        <v>2600</v>
      </c>
      <c r="O1091" s="4"/>
      <c r="P1091" s="4"/>
    </row>
    <row r="1092" ht="15.75" hidden="1" customHeight="1">
      <c r="B1092" s="8">
        <v>1408.0</v>
      </c>
      <c r="C1092" s="9">
        <v>43364.0</v>
      </c>
      <c r="D1092" s="6" t="s">
        <v>1348</v>
      </c>
      <c r="E1092" s="4">
        <v>6.109001184E9</v>
      </c>
      <c r="F1092" s="8" t="s">
        <v>604</v>
      </c>
      <c r="G1092" s="4" t="s">
        <v>729</v>
      </c>
      <c r="H1092" s="10" t="s">
        <v>27</v>
      </c>
      <c r="I1092" s="10">
        <v>1000.0</v>
      </c>
      <c r="J1092" s="11" t="str">
        <f>IF(D1092&lt;&gt;"",VLOOKUP(H1092,TABLEITEM,5,FALSE),"")</f>
        <v>M</v>
      </c>
      <c r="K1092" s="12">
        <v>12.0</v>
      </c>
      <c r="L1092" s="13" t="str">
        <f>IF(D1092&lt;&gt;"",VLOOKUP(H1092,TABLEITEM,2,FALSE),"")</f>
        <v/>
      </c>
      <c r="M1092" s="13" t="str">
        <f>IF(D1092&lt;&gt;"",VLOOKUP(H1092,TABLEITEM,3,FALSE),"")</f>
        <v>ยางฟองน้ำ 3/4''x3/16''</v>
      </c>
      <c r="N1092" s="14">
        <f>INSTOCK!$I1092*INSTOCK!$K1092</f>
        <v>12000</v>
      </c>
      <c r="O1092" s="4"/>
      <c r="P1092" s="4"/>
    </row>
    <row r="1093" ht="15.75" hidden="1" customHeight="1">
      <c r="B1093" s="8">
        <v>1409.0</v>
      </c>
      <c r="C1093" s="9">
        <v>43363.0</v>
      </c>
      <c r="D1093" s="6" t="s">
        <v>1349</v>
      </c>
      <c r="E1093" s="4">
        <v>6.109001152E9</v>
      </c>
      <c r="F1093" s="8" t="s">
        <v>604</v>
      </c>
      <c r="G1093" s="4" t="s">
        <v>798</v>
      </c>
      <c r="H1093" s="10" t="s">
        <v>883</v>
      </c>
      <c r="I1093" s="10">
        <v>100.0</v>
      </c>
      <c r="J1093" s="11" t="str">
        <f>IF(D1093&lt;&gt;"",VLOOKUP(H1093,TABLEITEM,5,FALSE),"")</f>
        <v>EA</v>
      </c>
      <c r="K1093" s="12">
        <v>10.0</v>
      </c>
      <c r="L1093" s="13" t="str">
        <f>IF(D1093&lt;&gt;"",VLOOKUP(H1093,TABLEITEM,2,FALSE),"")</f>
        <v/>
      </c>
      <c r="M1093" s="13" t="str">
        <f>IF(D1093&lt;&gt;"",VLOOKUP(H1093,TABLEITEM,3,FALSE),"")</f>
        <v>ลูกไข 1K077-01</v>
      </c>
      <c r="N1093" s="14">
        <f>INSTOCK!$I1093*INSTOCK!$K1093</f>
        <v>1000</v>
      </c>
      <c r="O1093" s="4"/>
      <c r="P1093" s="4"/>
    </row>
    <row r="1094" ht="15.75" hidden="1" customHeight="1">
      <c r="B1094" s="8">
        <v>1410.0</v>
      </c>
      <c r="C1094" s="9">
        <v>43363.0</v>
      </c>
      <c r="D1094" s="6" t="s">
        <v>1350</v>
      </c>
      <c r="E1094" s="4">
        <v>6.109001166E9</v>
      </c>
      <c r="F1094" s="8" t="s">
        <v>604</v>
      </c>
      <c r="G1094" s="4" t="s">
        <v>665</v>
      </c>
      <c r="H1094" s="10" t="s">
        <v>510</v>
      </c>
      <c r="I1094" s="10">
        <v>200.0</v>
      </c>
      <c r="J1094" s="11" t="str">
        <f>IF(D1094&lt;&gt;"",VLOOKUP(H1094,TABLEITEM,5,FALSE),"")</f>
        <v>M</v>
      </c>
      <c r="K1094" s="12">
        <v>19.85</v>
      </c>
      <c r="L1094" s="13" t="str">
        <f>IF(D1094&lt;&gt;"",VLOOKUP(H1094,TABLEITEM,2,FALSE),"")</f>
        <v>wire</v>
      </c>
      <c r="M1094" s="13" t="str">
        <f>IF(D1094&lt;&gt;"",VLOOKUP(H1094,TABLEITEM,3,FALSE),"")</f>
        <v>สายLIYCY 3x0.34 สีเทา</v>
      </c>
      <c r="N1094" s="14">
        <f>INSTOCK!$I1094*INSTOCK!$K1094</f>
        <v>3970</v>
      </c>
      <c r="O1094" s="4" t="s">
        <v>666</v>
      </c>
      <c r="P1094" s="4"/>
    </row>
    <row r="1095" ht="15.75" hidden="1" customHeight="1">
      <c r="B1095" s="8">
        <v>1411.0</v>
      </c>
      <c r="C1095" s="9">
        <v>43362.0</v>
      </c>
      <c r="D1095" s="6" t="s">
        <v>1351</v>
      </c>
      <c r="E1095" s="4">
        <v>6.109001154E9</v>
      </c>
      <c r="F1095" s="8" t="s">
        <v>604</v>
      </c>
      <c r="G1095" s="4" t="s">
        <v>737</v>
      </c>
      <c r="H1095" s="10" t="s">
        <v>16</v>
      </c>
      <c r="I1095" s="10">
        <v>360.0</v>
      </c>
      <c r="J1095" s="11" t="str">
        <f>IF(D1095&lt;&gt;"",VLOOKUP(H1095,TABLEITEM,5,FALSE),"")</f>
        <v>คู่</v>
      </c>
      <c r="K1095" s="12">
        <v>4.58333</v>
      </c>
      <c r="L1095" s="13" t="str">
        <f>IF(D1095&lt;&gt;"",VLOOKUP(H1095,TABLEITEM,2,FALSE),"")</f>
        <v/>
      </c>
      <c r="M1095" s="13" t="str">
        <f>IF(D1095&lt;&gt;"",VLOOKUP(H1095,TABLEITEM,3,FALSE),"")</f>
        <v>ถุงมือผ้า</v>
      </c>
      <c r="N1095" s="14">
        <f>INSTOCK!$I1095*INSTOCK!$K1095</f>
        <v>1649.9988</v>
      </c>
      <c r="O1095" s="4" t="s">
        <v>973</v>
      </c>
      <c r="P1095" s="4"/>
    </row>
    <row r="1096" ht="15.75" hidden="1" customHeight="1">
      <c r="B1096" s="8">
        <v>1412.0</v>
      </c>
      <c r="C1096" s="9">
        <v>43362.0</v>
      </c>
      <c r="D1096" s="6" t="s">
        <v>1352</v>
      </c>
      <c r="E1096" s="4">
        <v>6.109001157E9</v>
      </c>
      <c r="F1096" s="8" t="s">
        <v>807</v>
      </c>
      <c r="G1096" s="4" t="s">
        <v>808</v>
      </c>
      <c r="H1096" s="10" t="s">
        <v>809</v>
      </c>
      <c r="I1096" s="10">
        <v>1.0</v>
      </c>
      <c r="J1096" s="11" t="str">
        <f>IF(D1096&lt;&gt;"",VLOOKUP(H1096,TABLEITEM,5,FALSE),"")</f>
        <v>ท่อ</v>
      </c>
      <c r="K1096" s="12">
        <v>2700.0</v>
      </c>
      <c r="L1096" s="13" t="str">
        <f>IF(D1096&lt;&gt;"",VLOOKUP(H1096,TABLEITEM,2,FALSE),"")</f>
        <v/>
      </c>
      <c r="M1096" s="13" t="str">
        <f>IF(D1096&lt;&gt;"",VLOOKUP(H1096,TABLEITEM,3,FALSE),"")</f>
        <v>ไนโตรเจนเหลว ขนาด 100คิว</v>
      </c>
      <c r="N1096" s="14">
        <f>INSTOCK!$I1096*INSTOCK!$K1096</f>
        <v>2700</v>
      </c>
      <c r="O1096" s="4"/>
      <c r="P1096" s="4"/>
    </row>
    <row r="1097" ht="15.75" hidden="1" customHeight="1">
      <c r="B1097" s="8">
        <v>1413.0</v>
      </c>
      <c r="C1097" s="9">
        <v>43362.0</v>
      </c>
      <c r="D1097" s="6" t="s">
        <v>1352</v>
      </c>
      <c r="E1097" s="4">
        <v>6.109001157E9</v>
      </c>
      <c r="F1097" s="8" t="s">
        <v>807</v>
      </c>
      <c r="G1097" s="4" t="s">
        <v>808</v>
      </c>
      <c r="H1097" s="10" t="s">
        <v>812</v>
      </c>
      <c r="I1097" s="10">
        <v>1.0</v>
      </c>
      <c r="J1097" s="11" t="str">
        <f>IF(D1097&lt;&gt;"",VLOOKUP(H1097,TABLEITEM,5,FALSE),"")</f>
        <v>ท่อ</v>
      </c>
      <c r="K1097" s="12">
        <v>2960.0</v>
      </c>
      <c r="L1097" s="13" t="str">
        <f>IF(D1097&lt;&gt;"",VLOOKUP(H1097,TABLEITEM,2,FALSE),"")</f>
        <v/>
      </c>
      <c r="M1097" s="13" t="str">
        <f>IF(D1097&lt;&gt;"",VLOOKUP(H1097,TABLEITEM,3,FALSE),"")</f>
        <v>ออกซิเจนเหลว ขนาด 148 คิว</v>
      </c>
      <c r="N1097" s="14">
        <f>INSTOCK!$I1097*INSTOCK!$K1097</f>
        <v>2960</v>
      </c>
      <c r="O1097" s="4"/>
      <c r="P1097" s="4"/>
    </row>
    <row r="1098" ht="15.75" hidden="1" customHeight="1">
      <c r="B1098" s="8">
        <v>1414.0</v>
      </c>
      <c r="C1098" s="9">
        <v>43362.0</v>
      </c>
      <c r="D1098" s="6" t="s">
        <v>1353</v>
      </c>
      <c r="E1098" s="4">
        <v>6.109001153E9</v>
      </c>
      <c r="F1098" s="8" t="s">
        <v>604</v>
      </c>
      <c r="G1098" s="4" t="s">
        <v>808</v>
      </c>
      <c r="H1098" s="10" t="s">
        <v>816</v>
      </c>
      <c r="I1098" s="10">
        <v>2.0</v>
      </c>
      <c r="J1098" s="11" t="str">
        <f>IF(D1098&lt;&gt;"",VLOOKUP(H1098,TABLEITEM,5,FALSE),"")</f>
        <v>ท่อ</v>
      </c>
      <c r="K1098" s="12">
        <v>600.0</v>
      </c>
      <c r="L1098" s="13" t="str">
        <f>IF(D1098&lt;&gt;"",VLOOKUP(H1098,TABLEITEM,2,FALSE),"")</f>
        <v/>
      </c>
      <c r="M1098" s="13" t="str">
        <f>IF(D1098&lt;&gt;"",VLOOKUP(H1098,TABLEITEM,3,FALSE),"")</f>
        <v>อาร์กอน ขนาด 6คิว</v>
      </c>
      <c r="N1098" s="14">
        <f>INSTOCK!$I1098*INSTOCK!$K1098</f>
        <v>1200</v>
      </c>
      <c r="O1098" s="4"/>
      <c r="P1098" s="4"/>
    </row>
    <row r="1099" ht="15.75" hidden="1" customHeight="1">
      <c r="B1099" s="8">
        <v>1415.0</v>
      </c>
      <c r="C1099" s="9">
        <v>43362.0</v>
      </c>
      <c r="D1099" s="6" t="s">
        <v>1353</v>
      </c>
      <c r="E1099" s="4">
        <v>6.109001153E9</v>
      </c>
      <c r="F1099" s="8" t="s">
        <v>604</v>
      </c>
      <c r="G1099" s="4" t="s">
        <v>808</v>
      </c>
      <c r="H1099" s="10" t="s">
        <v>818</v>
      </c>
      <c r="I1099" s="10">
        <v>10.0</v>
      </c>
      <c r="J1099" s="11" t="str">
        <f>IF(D1099&lt;&gt;"",VLOOKUP(H1099,TABLEITEM,5,FALSE),"")</f>
        <v>ท่อ</v>
      </c>
      <c r="K1099" s="12">
        <v>300.0</v>
      </c>
      <c r="L1099" s="13" t="str">
        <f>IF(D1099&lt;&gt;"",VLOOKUP(H1099,TABLEITEM,2,FALSE),"")</f>
        <v/>
      </c>
      <c r="M1099" s="13" t="str">
        <f>IF(D1099&lt;&gt;"",VLOOKUP(H1099,TABLEITEM,3,FALSE),"")</f>
        <v>คาร์บอนไดออกไซด์ ขนาด 25 กก</v>
      </c>
      <c r="N1099" s="14">
        <f>INSTOCK!$I1099*INSTOCK!$K1099</f>
        <v>3000</v>
      </c>
      <c r="O1099" s="4"/>
      <c r="P1099" s="4"/>
    </row>
    <row r="1100" ht="15.75" hidden="1" customHeight="1">
      <c r="B1100" s="8">
        <v>1416.0</v>
      </c>
      <c r="C1100" s="9">
        <v>43426.0</v>
      </c>
      <c r="D1100" s="6" t="s">
        <v>1354</v>
      </c>
      <c r="E1100" s="4">
        <v>6.111001484E9</v>
      </c>
      <c r="F1100" s="8" t="s">
        <v>1355</v>
      </c>
      <c r="G1100" s="4" t="s">
        <v>617</v>
      </c>
      <c r="H1100" s="10" t="s">
        <v>565</v>
      </c>
      <c r="I1100" s="10">
        <v>40.0</v>
      </c>
      <c r="J1100" s="11" t="str">
        <f>IF(D1100&lt;&gt;"",VLOOKUP(H1100,TABLEITEM,5,FALSE),"")</f>
        <v>M</v>
      </c>
      <c r="K1100" s="12">
        <v>2540.6</v>
      </c>
      <c r="L1100" s="13" t="str">
        <f>IF(D1100&lt;&gt;"",VLOOKUP(H1100,TABLEITEM,2,FALSE),"")</f>
        <v>Busbar</v>
      </c>
      <c r="M1100" s="13" t="str">
        <f>IF(D1100&lt;&gt;"",VLOOKUP(H1100,TABLEITEM,3,FALSE),"")</f>
        <v>บัสบาร์ทองแดง 120x10</v>
      </c>
      <c r="N1100" s="14">
        <f>INSTOCK!$I1100*INSTOCK!$K1100</f>
        <v>101624</v>
      </c>
      <c r="O1100" s="4" t="s">
        <v>1356</v>
      </c>
      <c r="P1100" s="4"/>
    </row>
    <row r="1101" ht="15.75" hidden="1" customHeight="1">
      <c r="B1101" s="8">
        <v>1417.0</v>
      </c>
      <c r="C1101" s="9">
        <v>43426.0</v>
      </c>
      <c r="D1101" s="6" t="s">
        <v>1354</v>
      </c>
      <c r="E1101" s="4">
        <v>6.111001484E9</v>
      </c>
      <c r="F1101" s="8" t="s">
        <v>1355</v>
      </c>
      <c r="G1101" s="4" t="s">
        <v>617</v>
      </c>
      <c r="H1101" s="10" t="s">
        <v>563</v>
      </c>
      <c r="I1101" s="10">
        <v>55.0</v>
      </c>
      <c r="J1101" s="11" t="str">
        <f>IF(D1101&lt;&gt;"",VLOOKUP(H1101,TABLEITEM,5,FALSE),"")</f>
        <v>M</v>
      </c>
      <c r="K1101" s="12">
        <v>1270.3</v>
      </c>
      <c r="L1101" s="13" t="str">
        <f>IF(D1101&lt;&gt;"",VLOOKUP(H1101,TABLEITEM,2,FALSE),"")</f>
        <v>Busbar</v>
      </c>
      <c r="M1101" s="13" t="str">
        <f>IF(D1101&lt;&gt;"",VLOOKUP(H1101,TABLEITEM,3,FALSE),"")</f>
        <v>บัสบาร์ทองแดง 60x10</v>
      </c>
      <c r="N1101" s="14">
        <f>INSTOCK!$I1101*INSTOCK!$K1101</f>
        <v>69866.5</v>
      </c>
      <c r="O1101" s="4" t="s">
        <v>1357</v>
      </c>
      <c r="P1101" s="4"/>
    </row>
    <row r="1102" ht="15.75" hidden="1" customHeight="1">
      <c r="B1102" s="8">
        <v>1418.0</v>
      </c>
      <c r="C1102" s="9">
        <v>43426.0</v>
      </c>
      <c r="D1102" s="6" t="s">
        <v>1358</v>
      </c>
      <c r="E1102" s="4">
        <v>6.111001484E9</v>
      </c>
      <c r="F1102" s="8" t="s">
        <v>1355</v>
      </c>
      <c r="G1102" s="4" t="s">
        <v>617</v>
      </c>
      <c r="H1102" s="10" t="s">
        <v>1359</v>
      </c>
      <c r="I1102" s="10">
        <v>15.0</v>
      </c>
      <c r="J1102" s="11" t="str">
        <f>IF(D1102&lt;&gt;"",VLOOKUP(H1102,TABLEITEM,5,FALSE),"")</f>
        <v>M</v>
      </c>
      <c r="K1102" s="12">
        <v>635.1</v>
      </c>
      <c r="L1102" s="13" t="str">
        <f>IF(D1102&lt;&gt;"",VLOOKUP(H1102,TABLEITEM,2,FALSE),"")</f>
        <v>Busbar</v>
      </c>
      <c r="M1102" s="13" t="str">
        <f>IF(D1102&lt;&gt;"",VLOOKUP(H1102,TABLEITEM,3,FALSE),"")</f>
        <v>บัสบาร์ทองแดง 60x5</v>
      </c>
      <c r="N1102" s="14">
        <f>INSTOCK!$I1102*INSTOCK!$K1102</f>
        <v>9526.5</v>
      </c>
      <c r="O1102" s="4" t="s">
        <v>1360</v>
      </c>
      <c r="P1102" s="4"/>
    </row>
    <row r="1103" ht="15.75" hidden="1" customHeight="1">
      <c r="B1103" s="8">
        <v>1419.0</v>
      </c>
      <c r="C1103" s="9">
        <v>43426.0</v>
      </c>
      <c r="D1103" s="6" t="s">
        <v>1358</v>
      </c>
      <c r="E1103" s="4">
        <v>6.111001484E9</v>
      </c>
      <c r="F1103" s="8" t="s">
        <v>1355</v>
      </c>
      <c r="G1103" s="4" t="s">
        <v>617</v>
      </c>
      <c r="H1103" s="10" t="s">
        <v>1361</v>
      </c>
      <c r="I1103" s="10">
        <v>75.0</v>
      </c>
      <c r="J1103" s="11" t="str">
        <f>IF(D1103&lt;&gt;"",VLOOKUP(H1103,TABLEITEM,5,FALSE),"")</f>
        <v>M</v>
      </c>
      <c r="K1103" s="12">
        <v>213.3</v>
      </c>
      <c r="L1103" s="13" t="str">
        <f>IF(D1103&lt;&gt;"",VLOOKUP(H1103,TABLEITEM,2,FALSE),"")</f>
        <v>Busbar</v>
      </c>
      <c r="M1103" s="13" t="str">
        <f>IF(D1103&lt;&gt;"",VLOOKUP(H1103,TABLEITEM,3,FALSE),"")</f>
        <v>บัสบาร์ทองแดง 20x5</v>
      </c>
      <c r="N1103" s="14">
        <f>INSTOCK!$I1103*INSTOCK!$K1103</f>
        <v>15997.5</v>
      </c>
      <c r="O1103" s="4" t="s">
        <v>1362</v>
      </c>
      <c r="P1103" s="4"/>
    </row>
    <row r="1104" ht="15.75" hidden="1" customHeight="1">
      <c r="B1104" s="8">
        <v>1420.0</v>
      </c>
      <c r="C1104" s="9">
        <v>43426.0</v>
      </c>
      <c r="D1104" s="6" t="s">
        <v>1358</v>
      </c>
      <c r="E1104" s="4">
        <v>6.111001484E9</v>
      </c>
      <c r="F1104" s="8" t="s">
        <v>1355</v>
      </c>
      <c r="G1104" s="4" t="s">
        <v>617</v>
      </c>
      <c r="H1104" s="10" t="s">
        <v>1363</v>
      </c>
      <c r="I1104" s="10">
        <v>15.0</v>
      </c>
      <c r="J1104" s="11" t="str">
        <f>IF(D1104&lt;&gt;"",VLOOKUP(H1104,TABLEITEM,5,FALSE),"")</f>
        <v>M</v>
      </c>
      <c r="K1104" s="12">
        <v>1369.9</v>
      </c>
      <c r="L1104" s="13" t="str">
        <f>IF(D1104&lt;&gt;"",VLOOKUP(H1104,TABLEITEM,2,FALSE),"")</f>
        <v>Busbar</v>
      </c>
      <c r="M1104" s="13" t="str">
        <f>IF(D1104&lt;&gt;"",VLOOKUP(H1104,TABLEITEM,3,FALSE),"")</f>
        <v>บัสบาร์ทองแดง 2"x1/2"</v>
      </c>
      <c r="N1104" s="14">
        <f>INSTOCK!$I1104*INSTOCK!$K1104</f>
        <v>20548.5</v>
      </c>
      <c r="O1104" s="4" t="s">
        <v>1364</v>
      </c>
      <c r="P1104" s="4"/>
    </row>
    <row r="1105" ht="15.75" hidden="1" customHeight="1">
      <c r="B1105" s="8">
        <v>1421.0</v>
      </c>
      <c r="C1105" s="9">
        <v>43431.0</v>
      </c>
      <c r="D1105" s="6" t="s">
        <v>1365</v>
      </c>
      <c r="E1105" s="4">
        <v>6.111001526E9</v>
      </c>
      <c r="F1105" s="8" t="s">
        <v>1366</v>
      </c>
      <c r="G1105" s="4" t="s">
        <v>617</v>
      </c>
      <c r="H1105" s="10" t="s">
        <v>629</v>
      </c>
      <c r="I1105" s="10">
        <v>5.0</v>
      </c>
      <c r="J1105" s="11" t="str">
        <f>IF(D1105&lt;&gt;"",VLOOKUP(H1105,TABLEITEM,5,FALSE),"")</f>
        <v>M</v>
      </c>
      <c r="K1105" s="12">
        <v>1696.9</v>
      </c>
      <c r="L1105" s="13" t="str">
        <f>IF(D1105&lt;&gt;"",VLOOKUP(H1105,TABLEITEM,2,FALSE),"")</f>
        <v>Busbar</v>
      </c>
      <c r="M1105" s="13" t="str">
        <f>IF(D1105&lt;&gt;"",VLOOKUP(H1105,TABLEITEM,3,FALSE),"")</f>
        <v>บัสบาร์ทองแดง 80x10</v>
      </c>
      <c r="N1105" s="14">
        <f>INSTOCK!$I1105*INSTOCK!$K1105</f>
        <v>8484.5</v>
      </c>
      <c r="O1105" s="4" t="s">
        <v>1367</v>
      </c>
      <c r="P1105" s="4"/>
    </row>
    <row r="1106" ht="15.75" hidden="1" customHeight="1">
      <c r="A1106" s="23">
        <v>7.0</v>
      </c>
      <c r="B1106" s="8">
        <v>1422.0</v>
      </c>
      <c r="C1106" s="9">
        <v>43431.0</v>
      </c>
      <c r="D1106" s="6" t="s">
        <v>1365</v>
      </c>
      <c r="E1106" s="4">
        <v>6.111001526E9</v>
      </c>
      <c r="F1106" s="8" t="s">
        <v>1368</v>
      </c>
      <c r="G1106" s="4" t="s">
        <v>617</v>
      </c>
      <c r="H1106" s="10" t="s">
        <v>552</v>
      </c>
      <c r="I1106" s="10">
        <v>5.0</v>
      </c>
      <c r="J1106" s="11" t="str">
        <f>IF(D1106&lt;&gt;"",VLOOKUP(H1106,TABLEITEM,5,FALSE),"")</f>
        <v>M</v>
      </c>
      <c r="K1106" s="12">
        <v>2734.9</v>
      </c>
      <c r="L1106" s="13" t="str">
        <f>IF(D1106&lt;&gt;"",VLOOKUP(H1106,TABLEITEM,2,FALSE),"")</f>
        <v>Busbar</v>
      </c>
      <c r="M1106" s="13" t="str">
        <f>IF(D1106&lt;&gt;"",VLOOKUP(H1106,TABLEITEM,3,FALSE),"")</f>
        <v>บัสบาร์ทองแดง 4"x1/2"</v>
      </c>
      <c r="N1106" s="14">
        <f>INSTOCK!$I1106*INSTOCK!$K1106</f>
        <v>13674.5</v>
      </c>
      <c r="O1106" s="4" t="s">
        <v>1369</v>
      </c>
      <c r="P1106" s="24" t="s">
        <v>1370</v>
      </c>
    </row>
    <row r="1107" ht="15.75" hidden="1" customHeight="1">
      <c r="B1107" s="8">
        <v>1423.0</v>
      </c>
      <c r="C1107" s="9">
        <v>43441.0</v>
      </c>
      <c r="D1107" s="6" t="s">
        <v>1371</v>
      </c>
      <c r="E1107" s="4">
        <v>6.112001585E9</v>
      </c>
      <c r="F1107" s="8" t="s">
        <v>1372</v>
      </c>
      <c r="G1107" s="4" t="s">
        <v>617</v>
      </c>
      <c r="H1107" s="10" t="s">
        <v>552</v>
      </c>
      <c r="I1107" s="10">
        <v>10.0</v>
      </c>
      <c r="J1107" s="11" t="str">
        <f>IF(D1107&lt;&gt;"",VLOOKUP(H1107,TABLEITEM,5,FALSE),"")</f>
        <v>M</v>
      </c>
      <c r="K1107" s="12">
        <v>2769.6</v>
      </c>
      <c r="L1107" s="13" t="str">
        <f>IF(D1107&lt;&gt;"",VLOOKUP(H1107,TABLEITEM,2,FALSE),"")</f>
        <v>Busbar</v>
      </c>
      <c r="M1107" s="13" t="str">
        <f>IF(D1107&lt;&gt;"",VLOOKUP(H1107,TABLEITEM,3,FALSE),"")</f>
        <v>บัสบาร์ทองแดง 4"x1/2"</v>
      </c>
      <c r="N1107" s="14">
        <f>INSTOCK!$I1107*INSTOCK!$K1107</f>
        <v>27696</v>
      </c>
      <c r="O1107" s="4" t="s">
        <v>1373</v>
      </c>
      <c r="P1107" s="4"/>
    </row>
    <row r="1108" ht="15.75" hidden="1" customHeight="1">
      <c r="B1108" s="8">
        <v>1424.0</v>
      </c>
      <c r="C1108" s="9">
        <v>43441.0</v>
      </c>
      <c r="D1108" s="6" t="s">
        <v>1374</v>
      </c>
      <c r="E1108" s="4">
        <v>6.112001583E9</v>
      </c>
      <c r="F1108" s="8" t="s">
        <v>604</v>
      </c>
      <c r="G1108" s="4" t="s">
        <v>617</v>
      </c>
      <c r="H1108" s="10" t="s">
        <v>1361</v>
      </c>
      <c r="I1108" s="10">
        <v>25.0</v>
      </c>
      <c r="J1108" s="11" t="str">
        <f>IF(D1108&lt;&gt;"",VLOOKUP(H1108,TABLEITEM,5,FALSE),"")</f>
        <v>M</v>
      </c>
      <c r="K1108" s="12">
        <v>216.0</v>
      </c>
      <c r="L1108" s="13" t="str">
        <f>IF(D1108&lt;&gt;"",VLOOKUP(H1108,TABLEITEM,2,FALSE),"")</f>
        <v>Busbar</v>
      </c>
      <c r="M1108" s="13" t="str">
        <f>IF(D1108&lt;&gt;"",VLOOKUP(H1108,TABLEITEM,3,FALSE),"")</f>
        <v>บัสบาร์ทองแดง 20x5</v>
      </c>
      <c r="N1108" s="14">
        <f>INSTOCK!$I1108*INSTOCK!$K1108</f>
        <v>5400</v>
      </c>
      <c r="O1108" s="4" t="s">
        <v>1375</v>
      </c>
      <c r="P1108" s="4"/>
    </row>
    <row r="1109" ht="15.75" hidden="1" customHeight="1">
      <c r="B1109" s="8">
        <v>1425.0</v>
      </c>
      <c r="C1109" s="9">
        <v>43441.0</v>
      </c>
      <c r="D1109" s="6" t="s">
        <v>1374</v>
      </c>
      <c r="E1109" s="4">
        <v>6.112001583E9</v>
      </c>
      <c r="F1109" s="8" t="s">
        <v>604</v>
      </c>
      <c r="G1109" s="4" t="s">
        <v>617</v>
      </c>
      <c r="H1109" s="10" t="s">
        <v>559</v>
      </c>
      <c r="I1109" s="10">
        <v>50.0</v>
      </c>
      <c r="J1109" s="11" t="str">
        <f>IF(D1109&lt;&gt;"",VLOOKUP(H1109,TABLEITEM,5,FALSE),"")</f>
        <v>M</v>
      </c>
      <c r="K1109" s="12">
        <v>321.6</v>
      </c>
      <c r="L1109" s="13" t="str">
        <f>IF(D1109&lt;&gt;"",VLOOKUP(H1109,TABLEITEM,2,FALSE),"")</f>
        <v>Busbar</v>
      </c>
      <c r="M1109" s="13" t="str">
        <f>IF(D1109&lt;&gt;"",VLOOKUP(H1109,TABLEITEM,3,FALSE),"")</f>
        <v>บัสบาร์ทองแดง 30x5</v>
      </c>
      <c r="N1109" s="14">
        <f>INSTOCK!$I1109*INSTOCK!$K1109</f>
        <v>16080</v>
      </c>
      <c r="O1109" s="4" t="s">
        <v>1376</v>
      </c>
      <c r="P1109" s="4"/>
    </row>
    <row r="1110" ht="15.75" hidden="1" customHeight="1">
      <c r="B1110" s="8">
        <v>1426.0</v>
      </c>
      <c r="C1110" s="9">
        <v>43441.0</v>
      </c>
      <c r="D1110" s="6" t="s">
        <v>1374</v>
      </c>
      <c r="E1110" s="4">
        <v>6.112001583E9</v>
      </c>
      <c r="F1110" s="8" t="s">
        <v>604</v>
      </c>
      <c r="G1110" s="4" t="s">
        <v>617</v>
      </c>
      <c r="H1110" s="10" t="s">
        <v>1377</v>
      </c>
      <c r="I1110" s="10">
        <v>50.0</v>
      </c>
      <c r="J1110" s="11" t="str">
        <f>IF(D1110&lt;&gt;"",VLOOKUP(H1110,TABLEITEM,5,FALSE),"")</f>
        <v>M</v>
      </c>
      <c r="K1110" s="12">
        <v>100.8</v>
      </c>
      <c r="L1110" s="13" t="str">
        <f>IF(D1110&lt;&gt;"",VLOOKUP(H1110,TABLEITEM,2,FALSE),"")</f>
        <v>Busbar</v>
      </c>
      <c r="M1110" s="13" t="str">
        <f>IF(D1110&lt;&gt;"",VLOOKUP(H1110,TABLEITEM,3,FALSE),"")</f>
        <v>บัสบาร์ทองแดง 15x3</v>
      </c>
      <c r="N1110" s="14">
        <f>INSTOCK!$I1110*INSTOCK!$K1110</f>
        <v>5040</v>
      </c>
      <c r="O1110" s="4" t="s">
        <v>1378</v>
      </c>
      <c r="P1110" s="4"/>
    </row>
    <row r="1111" ht="15.75" hidden="1" customHeight="1">
      <c r="B1111" s="8">
        <v>1427.0</v>
      </c>
      <c r="C1111" s="9">
        <v>43363.0</v>
      </c>
      <c r="D1111" s="6" t="s">
        <v>1379</v>
      </c>
      <c r="E1111" s="4">
        <v>6.109001168E9</v>
      </c>
      <c r="F1111" s="8" t="s">
        <v>604</v>
      </c>
      <c r="G1111" s="4" t="s">
        <v>729</v>
      </c>
      <c r="H1111" s="10" t="s">
        <v>1380</v>
      </c>
      <c r="I1111" s="10">
        <v>20.0</v>
      </c>
      <c r="J1111" s="11" t="str">
        <f>IF(D1111&lt;&gt;"",VLOOKUP(H1111,TABLEITEM,5,FALSE),"")</f>
        <v>EA</v>
      </c>
      <c r="K1111" s="12">
        <v>450.0</v>
      </c>
      <c r="L1111" s="13" t="str">
        <f>IF(D1111&lt;&gt;"",VLOOKUP(H1111,TABLEITEM,2,FALSE),"")</f>
        <v/>
      </c>
      <c r="M1111" s="13" t="str">
        <f>IF(D1111&lt;&gt;"",VLOOKUP(H1111,TABLEITEM,3,FALSE),"")</f>
        <v>พีวีซี สีดำ 670x1460 หนา 0.5มม</v>
      </c>
      <c r="N1111" s="14">
        <f>INSTOCK!$I1111*INSTOCK!$K1111</f>
        <v>9000</v>
      </c>
      <c r="O1111" s="4"/>
      <c r="P1111" s="4"/>
    </row>
    <row r="1112" ht="15.75" hidden="1" customHeight="1">
      <c r="B1112" s="8">
        <v>1428.0</v>
      </c>
      <c r="C1112" s="9">
        <v>43360.0</v>
      </c>
      <c r="D1112" s="6" t="s">
        <v>1381</v>
      </c>
      <c r="E1112" s="4" t="s">
        <v>1382</v>
      </c>
      <c r="F1112" s="8" t="s">
        <v>1383</v>
      </c>
      <c r="G1112" s="4" t="s">
        <v>692</v>
      </c>
      <c r="H1112" s="10" t="s">
        <v>1384</v>
      </c>
      <c r="I1112" s="10">
        <v>190.0</v>
      </c>
      <c r="J1112" s="11" t="str">
        <f>IF(D1112&lt;&gt;"",VLOOKUP(H1112,TABLEITEM,5,FALSE),"")</f>
        <v>M</v>
      </c>
      <c r="K1112" s="12">
        <v>185.7</v>
      </c>
      <c r="L1112" s="13" t="str">
        <f>IF(D1112&lt;&gt;"",VLOOKUP(H1112,TABLEITEM,2,FALSE),"")</f>
        <v/>
      </c>
      <c r="M1112" s="13" t="str">
        <f>IF(D1112&lt;&gt;"",VLOOKUP(H1112,TABLEITEM,3,FALSE),"")</f>
        <v>สายไฟ NYY 4x16 SQMM </v>
      </c>
      <c r="N1112" s="14">
        <f>INSTOCK!$I1112*INSTOCK!$K1112</f>
        <v>35283</v>
      </c>
      <c r="O1112" s="4" t="s">
        <v>1385</v>
      </c>
      <c r="P1112" s="4"/>
    </row>
    <row r="1113" ht="15.75" hidden="1" customHeight="1">
      <c r="B1113" s="8">
        <v>1429.0</v>
      </c>
      <c r="C1113" s="9">
        <v>43360.0</v>
      </c>
      <c r="D1113" s="6" t="s">
        <v>1381</v>
      </c>
      <c r="E1113" s="4" t="s">
        <v>1382</v>
      </c>
      <c r="F1113" s="8" t="s">
        <v>1383</v>
      </c>
      <c r="G1113" s="4" t="s">
        <v>692</v>
      </c>
      <c r="H1113" s="10" t="s">
        <v>1386</v>
      </c>
      <c r="I1113" s="10">
        <v>150.0</v>
      </c>
      <c r="J1113" s="11" t="str">
        <f>IF(D1113&lt;&gt;"",VLOOKUP(H1113,TABLEITEM,5,FALSE),"")</f>
        <v>M</v>
      </c>
      <c r="K1113" s="12">
        <v>271.1</v>
      </c>
      <c r="L1113" s="13" t="str">
        <f>IF(D1113&lt;&gt;"",VLOOKUP(H1113,TABLEITEM,2,FALSE),"")</f>
        <v/>
      </c>
      <c r="M1113" s="13" t="str">
        <f>IF(D1113&lt;&gt;"",VLOOKUP(H1113,TABLEITEM,3,FALSE),"")</f>
        <v>สายไฟ CVV 30x2.5 SQMM</v>
      </c>
      <c r="N1113" s="14">
        <f>INSTOCK!$I1113*INSTOCK!$K1113</f>
        <v>40665</v>
      </c>
      <c r="O1113" s="4" t="s">
        <v>1387</v>
      </c>
      <c r="P1113" s="4"/>
    </row>
    <row r="1114" ht="15.75" hidden="1" customHeight="1">
      <c r="B1114" s="8">
        <v>1430.0</v>
      </c>
      <c r="C1114" s="9">
        <v>43360.0</v>
      </c>
      <c r="D1114" s="6" t="s">
        <v>1388</v>
      </c>
      <c r="E1114" s="4">
        <v>6.109001147E9</v>
      </c>
      <c r="F1114" s="8" t="s">
        <v>1389</v>
      </c>
      <c r="G1114" s="4" t="s">
        <v>965</v>
      </c>
      <c r="H1114" s="10" t="s">
        <v>1235</v>
      </c>
      <c r="I1114" s="10">
        <v>20.0</v>
      </c>
      <c r="J1114" s="11" t="str">
        <f>IF(D1114&lt;&gt;"",VLOOKUP(H1114,TABLEITEM,5,FALSE),"")</f>
        <v>EA</v>
      </c>
      <c r="K1114" s="12">
        <v>28.0</v>
      </c>
      <c r="L1114" s="13" t="str">
        <f>IF(D1114&lt;&gt;"",VLOOKUP(H1114,TABLEITEM,2,FALSE),"")</f>
        <v/>
      </c>
      <c r="M1114" s="13" t="str">
        <f>IF(D1114&lt;&gt;"",VLOOKUP(H1114,TABLEITEM,3,FALSE),"")</f>
        <v>ลูกปืน 6000ZZ</v>
      </c>
      <c r="N1114" s="14">
        <f>INSTOCK!$I1114*INSTOCK!$K1114</f>
        <v>560</v>
      </c>
      <c r="O1114" s="4"/>
      <c r="P1114" s="4"/>
    </row>
    <row r="1115" ht="15.75" hidden="1" customHeight="1">
      <c r="B1115" s="8">
        <v>1431.0</v>
      </c>
      <c r="C1115" s="9">
        <v>43360.0</v>
      </c>
      <c r="D1115" s="6" t="s">
        <v>1390</v>
      </c>
      <c r="E1115" s="4">
        <v>6.109001145E9</v>
      </c>
      <c r="F1115" s="8" t="s">
        <v>1391</v>
      </c>
      <c r="G1115" s="4" t="s">
        <v>743</v>
      </c>
      <c r="H1115" s="10" t="s">
        <v>948</v>
      </c>
      <c r="I1115" s="10">
        <v>40.0</v>
      </c>
      <c r="J1115" s="11" t="str">
        <f>IF(D1115&lt;&gt;"",VLOOKUP(H1115,TABLEITEM,5,FALSE),"")</f>
        <v>KG.</v>
      </c>
      <c r="K1115" s="12">
        <v>170.98</v>
      </c>
      <c r="L1115" s="13" t="str">
        <f>IF(D1115&lt;&gt;"",VLOOKUP(H1115,TABLEITEM,2,FALSE),"")</f>
        <v/>
      </c>
      <c r="M1115" s="13" t="str">
        <f>IF(D1115&lt;&gt;"",VLOOKUP(H1115,TABLEITEM,3,FALSE),"")</f>
        <v>สีฝุ่น 1016090PX20</v>
      </c>
      <c r="N1115" s="14">
        <f>INSTOCK!$I1115*INSTOCK!$K1115</f>
        <v>6839.2</v>
      </c>
      <c r="O1115" s="4"/>
      <c r="P1115" s="4"/>
    </row>
    <row r="1116" ht="15.75" hidden="1" customHeight="1">
      <c r="B1116" s="8">
        <v>1432.0</v>
      </c>
      <c r="C1116" s="9">
        <v>43357.0</v>
      </c>
      <c r="D1116" s="6" t="s">
        <v>1392</v>
      </c>
      <c r="E1116" s="4">
        <v>6.109001135E9</v>
      </c>
      <c r="F1116" s="8" t="s">
        <v>807</v>
      </c>
      <c r="G1116" s="4" t="s">
        <v>808</v>
      </c>
      <c r="H1116" s="10" t="s">
        <v>809</v>
      </c>
      <c r="I1116" s="10">
        <v>1.0</v>
      </c>
      <c r="J1116" s="11" t="str">
        <f>IF(D1116&lt;&gt;"",VLOOKUP(H1116,TABLEITEM,5,FALSE),"")</f>
        <v>ท่อ</v>
      </c>
      <c r="K1116" s="12">
        <v>2700.0</v>
      </c>
      <c r="L1116" s="13" t="str">
        <f>IF(D1116&lt;&gt;"",VLOOKUP(H1116,TABLEITEM,2,FALSE),"")</f>
        <v/>
      </c>
      <c r="M1116" s="13" t="str">
        <f>IF(D1116&lt;&gt;"",VLOOKUP(H1116,TABLEITEM,3,FALSE),"")</f>
        <v>ไนโตรเจนเหลว ขนาด 100คิว</v>
      </c>
      <c r="N1116" s="14">
        <f>INSTOCK!$I1116*INSTOCK!$K1116</f>
        <v>2700</v>
      </c>
      <c r="O1116" s="4"/>
      <c r="P1116" s="4"/>
    </row>
    <row r="1117" ht="15.75" hidden="1" customHeight="1">
      <c r="B1117" s="8">
        <v>1433.0</v>
      </c>
      <c r="C1117" s="9">
        <v>43356.0</v>
      </c>
      <c r="D1117" s="6" t="s">
        <v>1393</v>
      </c>
      <c r="E1117" s="4">
        <v>6.109001123E9</v>
      </c>
      <c r="F1117" s="8" t="s">
        <v>981</v>
      </c>
      <c r="G1117" s="4" t="s">
        <v>982</v>
      </c>
      <c r="H1117" s="10" t="s">
        <v>983</v>
      </c>
      <c r="I1117" s="10">
        <v>200.0</v>
      </c>
      <c r="J1117" s="11" t="str">
        <f>IF(D1117&lt;&gt;"",VLOOKUP(H1117,TABLEITEM,5,FALSE),"")</f>
        <v>KG.</v>
      </c>
      <c r="K1117" s="12">
        <v>37.0</v>
      </c>
      <c r="L1117" s="13" t="str">
        <f>IF(D1117&lt;&gt;"",VLOOKUP(H1117,TABLEITEM,2,FALSE),"")</f>
        <v/>
      </c>
      <c r="M1117" s="13" t="str">
        <f>IF(D1117&lt;&gt;"",VLOOKUP(H1117,TABLEITEM,3,FALSE),"")</f>
        <v>เคมี ADDITIVE P-8</v>
      </c>
      <c r="N1117" s="14">
        <f>INSTOCK!$I1117*INSTOCK!$K1117</f>
        <v>7400</v>
      </c>
      <c r="O1117" s="4"/>
      <c r="P1117" s="4"/>
    </row>
    <row r="1118" ht="15.75" hidden="1" customHeight="1">
      <c r="B1118" s="8">
        <v>1434.0</v>
      </c>
      <c r="C1118" s="9">
        <v>43356.0</v>
      </c>
      <c r="D1118" s="6" t="s">
        <v>1393</v>
      </c>
      <c r="E1118" s="4">
        <v>6.109001123E9</v>
      </c>
      <c r="F1118" s="8" t="s">
        <v>981</v>
      </c>
      <c r="G1118" s="4" t="s">
        <v>982</v>
      </c>
      <c r="H1118" s="10" t="s">
        <v>986</v>
      </c>
      <c r="I1118" s="10">
        <v>300.0</v>
      </c>
      <c r="J1118" s="11" t="str">
        <f>IF(D1118&lt;&gt;"",VLOOKUP(H1118,TABLEITEM,5,FALSE),"")</f>
        <v>KG.</v>
      </c>
      <c r="K1118" s="12">
        <v>41.0</v>
      </c>
      <c r="L1118" s="13" t="str">
        <f>IF(D1118&lt;&gt;"",VLOOKUP(H1118,TABLEITEM,2,FALSE),"")</f>
        <v/>
      </c>
      <c r="M1118" s="13" t="str">
        <f>IF(D1118&lt;&gt;"",VLOOKUP(H1118,TABLEITEM,3,FALSE),"")</f>
        <v>เคมีฟอสเฟต PN-134</v>
      </c>
      <c r="N1118" s="14">
        <f>INSTOCK!$I1118*INSTOCK!$K1118</f>
        <v>12300</v>
      </c>
      <c r="O1118" s="4"/>
      <c r="P1118" s="4"/>
    </row>
    <row r="1119" ht="15.75" hidden="1" customHeight="1">
      <c r="B1119" s="8">
        <v>1435.0</v>
      </c>
      <c r="C1119" s="9">
        <v>43355.0</v>
      </c>
      <c r="D1119" s="6" t="s">
        <v>1394</v>
      </c>
      <c r="E1119" s="4">
        <v>6.109001117E9</v>
      </c>
      <c r="F1119" s="8" t="s">
        <v>604</v>
      </c>
      <c r="G1119" s="4" t="s">
        <v>1395</v>
      </c>
      <c r="H1119" s="10" t="s">
        <v>518</v>
      </c>
      <c r="I1119" s="10">
        <v>100.0</v>
      </c>
      <c r="J1119" s="11" t="str">
        <f>IF(D1119&lt;&gt;"",VLOOKUP(H1119,TABLEITEM,5,FALSE),"")</f>
        <v>M</v>
      </c>
      <c r="K1119" s="12">
        <v>218.9775</v>
      </c>
      <c r="L1119" s="13" t="str">
        <f>IF(D1119&lt;&gt;"",VLOOKUP(H1119,TABLEITEM,2,FALSE),"")</f>
        <v>wire</v>
      </c>
      <c r="M1119" s="13" t="str">
        <f>IF(D1119&lt;&gt;"",VLOOKUP(H1119,TABLEITEM,3,FALSE),"")</f>
        <v>สายTHW ขนาด 1x95 SQMM.สีดำ</v>
      </c>
      <c r="N1119" s="14">
        <f>INSTOCK!$I1119*INSTOCK!$K1119</f>
        <v>21897.75</v>
      </c>
      <c r="O1119" s="4" t="s">
        <v>1396</v>
      </c>
      <c r="P1119" s="4"/>
    </row>
    <row r="1120" ht="15.75" hidden="1" customHeight="1">
      <c r="B1120" s="8">
        <v>1436.0</v>
      </c>
      <c r="C1120" s="9">
        <v>43355.0</v>
      </c>
      <c r="D1120" s="6" t="s">
        <v>1397</v>
      </c>
      <c r="E1120" s="4"/>
      <c r="F1120" s="8" t="s">
        <v>1398</v>
      </c>
      <c r="G1120" s="4" t="s">
        <v>898</v>
      </c>
      <c r="H1120" s="10" t="s">
        <v>899</v>
      </c>
      <c r="I1120" s="10">
        <v>1.0</v>
      </c>
      <c r="J1120" s="11" t="str">
        <f>IF(D1120&lt;&gt;"",VLOOKUP(H1120,TABLEITEM,5,FALSE),"")</f>
        <v>LIT</v>
      </c>
      <c r="K1120" s="12">
        <v>400.0</v>
      </c>
      <c r="L1120" s="13" t="str">
        <f>IF(D1120&lt;&gt;"",VLOOKUP(H1120,TABLEITEM,2,FALSE),"")</f>
        <v/>
      </c>
      <c r="M1120" s="13" t="str">
        <f>IF(D1120&lt;&gt;"",VLOOKUP(H1120,TABLEITEM,3,FALSE),"")</f>
        <v>สีพ่นแห้งเร็ว(สีผสม)</v>
      </c>
      <c r="N1120" s="14">
        <f>INSTOCK!$I1120*INSTOCK!$K1120</f>
        <v>400</v>
      </c>
      <c r="O1120" s="4" t="s">
        <v>1399</v>
      </c>
      <c r="P1120" s="4"/>
    </row>
    <row r="1121" ht="15.75" hidden="1" customHeight="1">
      <c r="B1121" s="8">
        <v>1437.0</v>
      </c>
      <c r="C1121" s="9">
        <v>43355.0</v>
      </c>
      <c r="D1121" s="6" t="s">
        <v>1400</v>
      </c>
      <c r="E1121" s="4">
        <v>6.109001099E9</v>
      </c>
      <c r="F1121" s="8" t="s">
        <v>604</v>
      </c>
      <c r="G1121" s="4" t="s">
        <v>743</v>
      </c>
      <c r="H1121" s="10" t="s">
        <v>73</v>
      </c>
      <c r="I1121" s="10">
        <v>1000.0</v>
      </c>
      <c r="J1121" s="11" t="str">
        <f>IF(D1121&lt;&gt;"",VLOOKUP(H1121,TABLEITEM,5,FALSE),"")</f>
        <v>KG.</v>
      </c>
      <c r="K1121" s="12">
        <v>99.85</v>
      </c>
      <c r="L1121" s="13" t="str">
        <f>IF(D1121&lt;&gt;"",VLOOKUP(H1121,TABLEITEM,2,FALSE),"")</f>
        <v/>
      </c>
      <c r="M1121" s="13" t="str">
        <f>IF(D1121&lt;&gt;"",VLOOKUP(H1121,TABLEITEM,3,FALSE),"")</f>
        <v>สีฝุ่น สีครีมย่น 1002782PX20</v>
      </c>
      <c r="N1121" s="14">
        <f>INSTOCK!$I1121*INSTOCK!$K1121</f>
        <v>99850</v>
      </c>
      <c r="O1121" s="4"/>
      <c r="P1121" s="4"/>
    </row>
    <row r="1122" ht="15.75" hidden="1" customHeight="1">
      <c r="B1122" s="8">
        <v>1438.0</v>
      </c>
      <c r="C1122" s="9">
        <v>43354.0</v>
      </c>
      <c r="D1122" s="6" t="s">
        <v>1401</v>
      </c>
      <c r="E1122" s="4">
        <v>6.109001106E9</v>
      </c>
      <c r="F1122" s="8" t="s">
        <v>807</v>
      </c>
      <c r="G1122" s="4" t="s">
        <v>808</v>
      </c>
      <c r="H1122" s="10" t="s">
        <v>809</v>
      </c>
      <c r="I1122" s="10">
        <v>1.0</v>
      </c>
      <c r="J1122" s="11" t="str">
        <f>IF(D1122&lt;&gt;"",VLOOKUP(H1122,TABLEITEM,5,FALSE),"")</f>
        <v>ท่อ</v>
      </c>
      <c r="K1122" s="12">
        <v>2700.0</v>
      </c>
      <c r="L1122" s="13" t="str">
        <f>IF(D1122&lt;&gt;"",VLOOKUP(H1122,TABLEITEM,2,FALSE),"")</f>
        <v/>
      </c>
      <c r="M1122" s="13" t="str">
        <f>IF(D1122&lt;&gt;"",VLOOKUP(H1122,TABLEITEM,3,FALSE),"")</f>
        <v>ไนโตรเจนเหลว ขนาด 100คิว</v>
      </c>
      <c r="N1122" s="14">
        <f>INSTOCK!$I1122*INSTOCK!$K1122</f>
        <v>2700</v>
      </c>
      <c r="O1122" s="4"/>
      <c r="P1122" s="4"/>
    </row>
    <row r="1123" ht="15.75" hidden="1" customHeight="1">
      <c r="B1123" s="8">
        <v>1439.0</v>
      </c>
      <c r="C1123" s="9">
        <v>43353.0</v>
      </c>
      <c r="D1123" s="6" t="s">
        <v>1402</v>
      </c>
      <c r="E1123" s="4"/>
      <c r="F1123" s="8" t="s">
        <v>801</v>
      </c>
      <c r="G1123" s="4" t="s">
        <v>802</v>
      </c>
      <c r="H1123" s="10" t="s">
        <v>803</v>
      </c>
      <c r="I1123" s="10">
        <v>19.0</v>
      </c>
      <c r="J1123" s="11" t="str">
        <f>IF(D1123&lt;&gt;"",VLOOKUP(H1123,TABLEITEM,5,FALSE),"")</f>
        <v>ถัง</v>
      </c>
      <c r="K1123" s="12">
        <v>1140.19</v>
      </c>
      <c r="L1123" s="13" t="str">
        <f>IF(D1123&lt;&gt;"",VLOOKUP(H1123,TABLEITEM,2,FALSE),"")</f>
        <v/>
      </c>
      <c r="M1123" s="13" t="str">
        <f>IF(D1123&lt;&gt;"",VLOOKUP(H1123,TABLEITEM,3,FALSE),"")</f>
        <v>แก๊สหุงต้ม 48กก</v>
      </c>
      <c r="N1123" s="14">
        <f>INSTOCK!$I1123*INSTOCK!$K1123</f>
        <v>21663.61</v>
      </c>
      <c r="O1123" s="4"/>
      <c r="P1123" s="4"/>
    </row>
    <row r="1124" ht="15.75" hidden="1" customHeight="1">
      <c r="B1124" s="8">
        <v>1440.0</v>
      </c>
      <c r="C1124" s="9">
        <v>43353.0</v>
      </c>
      <c r="D1124" s="6" t="s">
        <v>1403</v>
      </c>
      <c r="E1124" s="4">
        <v>6.109001104E9</v>
      </c>
      <c r="F1124" s="8" t="s">
        <v>604</v>
      </c>
      <c r="G1124" s="4" t="s">
        <v>721</v>
      </c>
      <c r="H1124" s="10" t="s">
        <v>160</v>
      </c>
      <c r="I1124" s="10">
        <v>2000.0</v>
      </c>
      <c r="J1124" s="11" t="str">
        <f>IF(D1124&lt;&gt;"",VLOOKUP(H1124,TABLEITEM,5,FALSE),"")</f>
        <v>EA</v>
      </c>
      <c r="K1124" s="12">
        <v>0.1164</v>
      </c>
      <c r="L1124" s="13" t="str">
        <f>IF(D1124&lt;&gt;"",VLOOKUP(H1124,TABLEITEM,2,FALSE),"")</f>
        <v/>
      </c>
      <c r="M1124" s="13" t="str">
        <f>IF(D1124&lt;&gt;"",VLOOKUP(H1124,TABLEITEM,3,FALSE),"")</f>
        <v>เคเบิ้ลไทร์ 4" สีดำCT-100-B-2C</v>
      </c>
      <c r="N1124" s="14">
        <f>INSTOCK!$I1124*INSTOCK!$K1124</f>
        <v>232.8</v>
      </c>
      <c r="O1124" s="4" t="s">
        <v>1217</v>
      </c>
      <c r="P1124" s="4"/>
    </row>
    <row r="1125" ht="15.75" hidden="1" customHeight="1">
      <c r="B1125" s="8">
        <v>1441.0</v>
      </c>
      <c r="C1125" s="9">
        <v>43353.0</v>
      </c>
      <c r="D1125" s="6" t="s">
        <v>1403</v>
      </c>
      <c r="E1125" s="4">
        <v>6.109001104E9</v>
      </c>
      <c r="F1125" s="8" t="s">
        <v>604</v>
      </c>
      <c r="G1125" s="4" t="s">
        <v>721</v>
      </c>
      <c r="H1125" s="10" t="s">
        <v>166</v>
      </c>
      <c r="I1125" s="10">
        <v>1000.0</v>
      </c>
      <c r="J1125" s="11" t="str">
        <f>IF(D1125&lt;&gt;"",VLOOKUP(H1125,TABLEITEM,5,FALSE),"")</f>
        <v>EA</v>
      </c>
      <c r="K1125" s="12">
        <v>1.0476</v>
      </c>
      <c r="L1125" s="13" t="str">
        <f>IF(D1125&lt;&gt;"",VLOOKUP(H1125,TABLEITEM,2,FALSE),"")</f>
        <v/>
      </c>
      <c r="M1125" s="13" t="str">
        <f>IF(D1125&lt;&gt;"",VLOOKUP(H1125,TABLEITEM,3,FALSE),"")</f>
        <v>เคเบิ้ลไทร์ 12" สีดำCT-310B-4C</v>
      </c>
      <c r="N1125" s="14">
        <f>INSTOCK!$I1125*INSTOCK!$K1125</f>
        <v>1047.6</v>
      </c>
      <c r="O1125" s="4" t="s">
        <v>1404</v>
      </c>
      <c r="P1125" s="4"/>
    </row>
    <row r="1126" ht="15.75" hidden="1" customHeight="1">
      <c r="B1126" s="8">
        <v>1442.0</v>
      </c>
      <c r="C1126" s="9">
        <v>43353.0</v>
      </c>
      <c r="D1126" s="6" t="s">
        <v>1403</v>
      </c>
      <c r="E1126" s="4">
        <v>6.109001104E9</v>
      </c>
      <c r="F1126" s="8" t="s">
        <v>604</v>
      </c>
      <c r="G1126" s="4" t="s">
        <v>721</v>
      </c>
      <c r="H1126" s="10" t="s">
        <v>173</v>
      </c>
      <c r="I1126" s="10">
        <v>1000.0</v>
      </c>
      <c r="J1126" s="11" t="str">
        <f>IF(D1126&lt;&gt;"",VLOOKUP(H1126,TABLEITEM,5,FALSE),"")</f>
        <v>EA</v>
      </c>
      <c r="K1126" s="12">
        <v>1.9545</v>
      </c>
      <c r="L1126" s="13" t="str">
        <f>IF(D1126&lt;&gt;"",VLOOKUP(H1126,TABLEITEM,2,FALSE),"")</f>
        <v/>
      </c>
      <c r="M1126" s="13" t="str">
        <f>IF(D1126&lt;&gt;"",VLOOKUP(H1126,TABLEITEM,3,FALSE),"")</f>
        <v>แป้นกาวเล็กTM2121-4WP</v>
      </c>
      <c r="N1126" s="14">
        <f>INSTOCK!$I1126*INSTOCK!$K1126</f>
        <v>1954.5</v>
      </c>
      <c r="O1126" s="4" t="s">
        <v>1405</v>
      </c>
      <c r="P1126" s="4"/>
    </row>
    <row r="1127" ht="15.75" hidden="1" customHeight="1">
      <c r="B1127" s="8">
        <v>1443.0</v>
      </c>
      <c r="C1127" s="9">
        <v>43353.0</v>
      </c>
      <c r="D1127" s="6" t="s">
        <v>1406</v>
      </c>
      <c r="E1127" s="4">
        <v>6.1090011E9</v>
      </c>
      <c r="F1127" s="8" t="s">
        <v>604</v>
      </c>
      <c r="G1127" s="4" t="s">
        <v>665</v>
      </c>
      <c r="H1127" s="10" t="s">
        <v>679</v>
      </c>
      <c r="I1127" s="10">
        <v>500.0</v>
      </c>
      <c r="J1127" s="11" t="str">
        <f>IF(D1127&lt;&gt;"",VLOOKUP(H1127,TABLEITEM,5,FALSE),"")</f>
        <v>M</v>
      </c>
      <c r="K1127" s="12">
        <v>9.8</v>
      </c>
      <c r="L1127" s="13" t="str">
        <f>IF(D1127&lt;&gt;"",VLOOKUP(H1127,TABLEITEM,2,FALSE),"")</f>
        <v>wire</v>
      </c>
      <c r="M1127" s="13" t="str">
        <f>IF(D1127&lt;&gt;"",VLOOKUP(H1127,TABLEITEM,3,FALSE),"")</f>
        <v>สายกราวน์ VSF1x2.5 SQMM.สีเขียวเหลือง</v>
      </c>
      <c r="N1127" s="14">
        <f>INSTOCK!$I1127*INSTOCK!$K1127</f>
        <v>4900</v>
      </c>
      <c r="O1127" s="4"/>
      <c r="P1127" s="4"/>
    </row>
    <row r="1128" ht="15.75" hidden="1" customHeight="1">
      <c r="B1128" s="8">
        <v>1444.0</v>
      </c>
      <c r="C1128" s="9">
        <v>43349.0</v>
      </c>
      <c r="D1128" s="6" t="s">
        <v>1407</v>
      </c>
      <c r="E1128" s="4">
        <v>6.109001074E9</v>
      </c>
      <c r="F1128" s="8" t="s">
        <v>604</v>
      </c>
      <c r="G1128" s="4" t="s">
        <v>743</v>
      </c>
      <c r="H1128" s="10" t="s">
        <v>86</v>
      </c>
      <c r="I1128" s="10">
        <v>500.0</v>
      </c>
      <c r="J1128" s="11" t="str">
        <f>IF(D1128&lt;&gt;"",VLOOKUP(H1128,TABLEITEM,5,FALSE),"")</f>
        <v>KG.</v>
      </c>
      <c r="K1128" s="12">
        <v>139.0</v>
      </c>
      <c r="L1128" s="13" t="str">
        <f>IF(D1128&lt;&gt;"",VLOOKUP(H1128,TABLEITEM,2,FALSE),"")</f>
        <v/>
      </c>
      <c r="M1128" s="13" t="str">
        <f>IF(D1128&lt;&gt;"",VLOOKUP(H1128,TABLEITEM,3,FALSE),"")</f>
        <v>สีฝุ่น ครีมเรียบ 1204551PX20</v>
      </c>
      <c r="N1128" s="14">
        <f>INSTOCK!$I1128*INSTOCK!$K1128</f>
        <v>69500</v>
      </c>
      <c r="O1128" s="4"/>
      <c r="P1128" s="4"/>
    </row>
    <row r="1129" ht="15.75" hidden="1" customHeight="1">
      <c r="B1129" s="8">
        <v>1445.0</v>
      </c>
      <c r="C1129" s="9">
        <v>43348.0</v>
      </c>
      <c r="D1129" s="6" t="s">
        <v>1408</v>
      </c>
      <c r="E1129" s="4">
        <v>6.10900107E9</v>
      </c>
      <c r="F1129" s="8" t="s">
        <v>604</v>
      </c>
      <c r="G1129" s="4" t="s">
        <v>737</v>
      </c>
      <c r="H1129" s="10" t="s">
        <v>939</v>
      </c>
      <c r="I1129" s="10">
        <v>10.0</v>
      </c>
      <c r="J1129" s="11" t="str">
        <f>IF(D1129&lt;&gt;"",VLOOKUP(H1129,TABLEITEM,5,FALSE),"")</f>
        <v>ROLL</v>
      </c>
      <c r="K1129" s="12">
        <v>750.0</v>
      </c>
      <c r="L1129" s="13" t="str">
        <f>IF(D1129&lt;&gt;"",VLOOKUP(H1129,TABLEITEM,2,FALSE),"")</f>
        <v/>
      </c>
      <c r="M1129" s="13" t="str">
        <f>IF(D1129&lt;&gt;"",VLOOKUP(H1129,TABLEITEM,3,FALSE),"")</f>
        <v>ลวดเชื่อมco2</v>
      </c>
      <c r="N1129" s="14">
        <f>INSTOCK!$I1129*INSTOCK!$K1129</f>
        <v>7500</v>
      </c>
      <c r="O1129" s="4" t="s">
        <v>1409</v>
      </c>
      <c r="P1129" s="4"/>
    </row>
    <row r="1130" ht="15.75" hidden="1" customHeight="1">
      <c r="B1130" s="8">
        <v>1446.0</v>
      </c>
      <c r="C1130" s="9">
        <v>43348.0</v>
      </c>
      <c r="D1130" s="6" t="s">
        <v>1410</v>
      </c>
      <c r="E1130" s="4">
        <v>6.109001075E9</v>
      </c>
      <c r="F1130" s="8" t="s">
        <v>604</v>
      </c>
      <c r="G1130" s="4" t="s">
        <v>665</v>
      </c>
      <c r="H1130" s="10" t="s">
        <v>490</v>
      </c>
      <c r="I1130" s="10">
        <v>500.0</v>
      </c>
      <c r="J1130" s="11" t="str">
        <f>IF(D1130&lt;&gt;"",VLOOKUP(H1130,TABLEITEM,5,FALSE),"")</f>
        <v>M</v>
      </c>
      <c r="K1130" s="12">
        <v>15.47</v>
      </c>
      <c r="L1130" s="13" t="str">
        <f>IF(D1130&lt;&gt;"",VLOOKUP(H1130,TABLEITEM,2,FALSE),"")</f>
        <v>wire</v>
      </c>
      <c r="M1130" s="13" t="str">
        <f>IF(D1130&lt;&gt;"",VLOOKUP(H1130,TABLEITEM,3,FALSE),"")</f>
        <v>สายไฟ VSF1x4 SQMM.สีดำ</v>
      </c>
      <c r="N1130" s="14">
        <f>INSTOCK!$I1130*INSTOCK!$K1130</f>
        <v>7735</v>
      </c>
      <c r="O1130" s="4"/>
      <c r="P1130" s="4"/>
    </row>
    <row r="1131" ht="15.75" hidden="1" customHeight="1">
      <c r="B1131" s="8">
        <v>1447.0</v>
      </c>
      <c r="C1131" s="9">
        <v>43347.0</v>
      </c>
      <c r="D1131" s="6">
        <v>6.1090035E7</v>
      </c>
      <c r="E1131" s="4"/>
      <c r="F1131" s="8" t="s">
        <v>604</v>
      </c>
      <c r="G1131" s="4" t="s">
        <v>1092</v>
      </c>
      <c r="H1131" s="10" t="s">
        <v>816</v>
      </c>
      <c r="I1131" s="10">
        <v>3.0</v>
      </c>
      <c r="J1131" s="11" t="str">
        <f>IF(D1131&lt;&gt;"",VLOOKUP(H1131,TABLEITEM,5,FALSE),"")</f>
        <v>ท่อ</v>
      </c>
      <c r="K1131" s="12">
        <v>600.0</v>
      </c>
      <c r="L1131" s="13" t="str">
        <f>IF(D1131&lt;&gt;"",VLOOKUP(H1131,TABLEITEM,2,FALSE),"")</f>
        <v/>
      </c>
      <c r="M1131" s="13" t="str">
        <f>IF(D1131&lt;&gt;"",VLOOKUP(H1131,TABLEITEM,3,FALSE),"")</f>
        <v>อาร์กอน ขนาด 6คิว</v>
      </c>
      <c r="N1131" s="14">
        <f>INSTOCK!$I1131*INSTOCK!$K1131</f>
        <v>1800</v>
      </c>
      <c r="O1131" s="4"/>
      <c r="P1131" s="4"/>
    </row>
    <row r="1132" ht="15.75" hidden="1" customHeight="1">
      <c r="B1132" s="8">
        <v>1448.0</v>
      </c>
      <c r="C1132" s="9">
        <v>43347.0</v>
      </c>
      <c r="D1132" s="6">
        <v>6.1090035E7</v>
      </c>
      <c r="E1132" s="4"/>
      <c r="F1132" s="8" t="s">
        <v>604</v>
      </c>
      <c r="G1132" s="4" t="s">
        <v>1092</v>
      </c>
      <c r="H1132" s="10" t="s">
        <v>818</v>
      </c>
      <c r="I1132" s="10">
        <v>15.0</v>
      </c>
      <c r="J1132" s="11" t="str">
        <f>IF(D1132&lt;&gt;"",VLOOKUP(H1132,TABLEITEM,5,FALSE),"")</f>
        <v>ท่อ</v>
      </c>
      <c r="K1132" s="12">
        <v>280.0</v>
      </c>
      <c r="L1132" s="13" t="str">
        <f>IF(D1132&lt;&gt;"",VLOOKUP(H1132,TABLEITEM,2,FALSE),"")</f>
        <v/>
      </c>
      <c r="M1132" s="13" t="str">
        <f>IF(D1132&lt;&gt;"",VLOOKUP(H1132,TABLEITEM,3,FALSE),"")</f>
        <v>คาร์บอนไดออกไซด์ ขนาด 25 กก</v>
      </c>
      <c r="N1132" s="14">
        <f>INSTOCK!$I1132*INSTOCK!$K1132</f>
        <v>4200</v>
      </c>
      <c r="O1132" s="4"/>
      <c r="P1132" s="4"/>
    </row>
    <row r="1133" ht="15.75" hidden="1" customHeight="1">
      <c r="B1133" s="8">
        <v>1449.0</v>
      </c>
      <c r="C1133" s="9">
        <v>43346.0</v>
      </c>
      <c r="D1133" s="6" t="s">
        <v>1411</v>
      </c>
      <c r="E1133" s="4">
        <v>6.108001037E9</v>
      </c>
      <c r="F1133" s="8" t="s">
        <v>604</v>
      </c>
      <c r="G1133" s="4" t="s">
        <v>1070</v>
      </c>
      <c r="H1133" s="10" t="s">
        <v>22</v>
      </c>
      <c r="I1133" s="10">
        <v>200.0</v>
      </c>
      <c r="J1133" s="11" t="str">
        <f>IF(D1133&lt;&gt;"",VLOOKUP(H1133,TABLEITEM,5,FALSE),"")</f>
        <v>EA</v>
      </c>
      <c r="K1133" s="12">
        <v>38.0</v>
      </c>
      <c r="L1133" s="13" t="str">
        <f>IF(D1133&lt;&gt;"",VLOOKUP(H1133,TABLEITEM,2,FALSE),"")</f>
        <v/>
      </c>
      <c r="M1133" s="13" t="str">
        <f>IF(D1133&lt;&gt;"",VLOOKUP(H1133,TABLEITEM,3,FALSE),"")</f>
        <v>ใบขัดซ้อน # 80</v>
      </c>
      <c r="N1133" s="14">
        <f>INSTOCK!$I1133*INSTOCK!$K1133</f>
        <v>7600</v>
      </c>
      <c r="O1133" s="4"/>
      <c r="P1133" s="4"/>
    </row>
    <row r="1134" ht="15.75" hidden="1" customHeight="1">
      <c r="B1134" s="8">
        <v>1450.0</v>
      </c>
      <c r="C1134" s="9">
        <v>43346.0</v>
      </c>
      <c r="D1134" s="6" t="s">
        <v>1412</v>
      </c>
      <c r="E1134" s="4">
        <v>6.108001045E9</v>
      </c>
      <c r="F1134" s="8" t="s">
        <v>604</v>
      </c>
      <c r="G1134" s="4" t="s">
        <v>665</v>
      </c>
      <c r="H1134" s="10" t="s">
        <v>462</v>
      </c>
      <c r="I1134" s="10">
        <v>2000.0</v>
      </c>
      <c r="J1134" s="11" t="str">
        <f>IF(D1134&lt;&gt;"",VLOOKUP(H1134,TABLEITEM,5,FALSE),"")</f>
        <v>M</v>
      </c>
      <c r="K1134" s="12">
        <v>5.0</v>
      </c>
      <c r="L1134" s="13" t="str">
        <f>IF(D1134&lt;&gt;"",VLOOKUP(H1134,TABLEITEM,2,FALSE),"")</f>
        <v>wire</v>
      </c>
      <c r="M1134" s="13" t="str">
        <f>IF(D1134&lt;&gt;"",VLOOKUP(H1134,TABLEITEM,3,FALSE),"")</f>
        <v>สายไฟ VSF1x1 SQMM.สีเหลือง</v>
      </c>
      <c r="N1134" s="14">
        <f>INSTOCK!$I1134*INSTOCK!$K1134</f>
        <v>10000</v>
      </c>
      <c r="O1134" s="4"/>
      <c r="P1134" s="4"/>
    </row>
    <row r="1135" ht="15.75" hidden="1" customHeight="1">
      <c r="B1135" s="8">
        <v>1451.0</v>
      </c>
      <c r="C1135" s="9">
        <v>43346.0</v>
      </c>
      <c r="D1135" s="6" t="s">
        <v>1412</v>
      </c>
      <c r="E1135" s="4">
        <v>6.108001045E9</v>
      </c>
      <c r="F1135" s="8" t="s">
        <v>604</v>
      </c>
      <c r="G1135" s="4" t="s">
        <v>665</v>
      </c>
      <c r="H1135" s="10" t="s">
        <v>479</v>
      </c>
      <c r="I1135" s="10">
        <v>1000.0</v>
      </c>
      <c r="J1135" s="11" t="str">
        <f>IF(D1135&lt;&gt;"",VLOOKUP(H1135,TABLEITEM,5,FALSE),"")</f>
        <v>M</v>
      </c>
      <c r="K1135" s="12">
        <v>9.8</v>
      </c>
      <c r="L1135" s="13" t="str">
        <f>IF(D1135&lt;&gt;"",VLOOKUP(H1135,TABLEITEM,2,FALSE),"")</f>
        <v>wire</v>
      </c>
      <c r="M1135" s="13" t="str">
        <f>IF(D1135&lt;&gt;"",VLOOKUP(H1135,TABLEITEM,3,FALSE),"")</f>
        <v>สายไฟ VSF1x2.5 SQMM.สีเหลือง</v>
      </c>
      <c r="N1135" s="14">
        <f>INSTOCK!$I1135*INSTOCK!$K1135</f>
        <v>9800</v>
      </c>
      <c r="O1135" s="4"/>
      <c r="P1135" s="4"/>
    </row>
    <row r="1136" ht="15.75" hidden="1" customHeight="1">
      <c r="B1136" s="8">
        <v>1452.0</v>
      </c>
      <c r="C1136" s="9">
        <v>43346.0</v>
      </c>
      <c r="D1136" s="6" t="s">
        <v>1413</v>
      </c>
      <c r="E1136" s="4">
        <v>6.106000765E9</v>
      </c>
      <c r="F1136" s="8" t="s">
        <v>604</v>
      </c>
      <c r="G1136" s="4" t="s">
        <v>975</v>
      </c>
      <c r="H1136" s="10" t="s">
        <v>976</v>
      </c>
      <c r="I1136" s="10">
        <v>60.0</v>
      </c>
      <c r="J1136" s="11" t="str">
        <f>IF(D1136&lt;&gt;"",VLOOKUP(H1136,TABLEITEM,5,FALSE),"")</f>
        <v>ROLL</v>
      </c>
      <c r="K1136" s="12">
        <v>140.0</v>
      </c>
      <c r="L1136" s="13" t="str">
        <f>IF(D1136&lt;&gt;"",VLOOKUP(H1136,TABLEITEM,2,FALSE),"")</f>
        <v/>
      </c>
      <c r="M1136" s="13" t="str">
        <f>IF(D1136&lt;&gt;"",VLOOKUP(H1136,TABLEITEM,3,FALSE),"")</f>
        <v>พลาสติกห่อตู้ 20micx50cmx300m</v>
      </c>
      <c r="N1136" s="14">
        <f>INSTOCK!$I1136*INSTOCK!$K1136</f>
        <v>8400</v>
      </c>
      <c r="O1136" s="4" t="s">
        <v>977</v>
      </c>
      <c r="P1136" s="4"/>
    </row>
    <row r="1137" ht="15.75" hidden="1" customHeight="1">
      <c r="B1137" s="8">
        <v>1453.0</v>
      </c>
      <c r="C1137" s="9">
        <v>43344.0</v>
      </c>
      <c r="D1137" s="6" t="s">
        <v>1414</v>
      </c>
      <c r="E1137" s="4">
        <v>6.10800104E9</v>
      </c>
      <c r="F1137" s="8" t="s">
        <v>604</v>
      </c>
      <c r="G1137" s="4" t="s">
        <v>1033</v>
      </c>
      <c r="H1137" s="10" t="s">
        <v>24</v>
      </c>
      <c r="I1137" s="10">
        <v>1000.0</v>
      </c>
      <c r="J1137" s="11" t="str">
        <f>IF(D1137&lt;&gt;"",VLOOKUP(H1137,TABLEITEM,5,FALSE),"")</f>
        <v>EA</v>
      </c>
      <c r="K1137" s="12">
        <v>4.5</v>
      </c>
      <c r="L1137" s="13" t="str">
        <f>IF(D1137&lt;&gt;"",VLOOKUP(H1137,TABLEITEM,2,FALSE),"")</f>
        <v/>
      </c>
      <c r="M1137" s="13" t="str">
        <f>IF(D1137&lt;&gt;"",VLOOKUP(H1137,TABLEITEM,3,FALSE),"")</f>
        <v>กระดาษทรายกลม#120</v>
      </c>
      <c r="N1137" s="14">
        <f>INSTOCK!$I1137*INSTOCK!$K1137</f>
        <v>4500</v>
      </c>
      <c r="O1137" s="4"/>
      <c r="P1137" s="4"/>
    </row>
    <row r="1138" ht="15.75" hidden="1" customHeight="1">
      <c r="B1138" s="8">
        <v>1454.0</v>
      </c>
      <c r="C1138" s="9">
        <v>43344.0</v>
      </c>
      <c r="D1138" s="6" t="s">
        <v>1415</v>
      </c>
      <c r="E1138" s="4">
        <v>6.108001041E9</v>
      </c>
      <c r="F1138" s="8" t="s">
        <v>604</v>
      </c>
      <c r="G1138" s="4" t="s">
        <v>737</v>
      </c>
      <c r="H1138" s="10" t="s">
        <v>16</v>
      </c>
      <c r="I1138" s="10">
        <v>360.0</v>
      </c>
      <c r="J1138" s="11" t="str">
        <f>IF(D1138&lt;&gt;"",VLOOKUP(H1138,TABLEITEM,5,FALSE),"")</f>
        <v>คู่</v>
      </c>
      <c r="K1138" s="12">
        <v>4.58333</v>
      </c>
      <c r="L1138" s="13" t="str">
        <f>IF(D1138&lt;&gt;"",VLOOKUP(H1138,TABLEITEM,2,FALSE),"")</f>
        <v/>
      </c>
      <c r="M1138" s="13" t="str">
        <f>IF(D1138&lt;&gt;"",VLOOKUP(H1138,TABLEITEM,3,FALSE),"")</f>
        <v>ถุงมือผ้า</v>
      </c>
      <c r="N1138" s="14">
        <f>INSTOCK!$I1138*INSTOCK!$K1138</f>
        <v>1649.9988</v>
      </c>
      <c r="O1138" s="4" t="s">
        <v>973</v>
      </c>
      <c r="P1138" s="4"/>
    </row>
    <row r="1139" ht="15.75" hidden="1" customHeight="1">
      <c r="B1139" s="8">
        <v>1455.0</v>
      </c>
      <c r="C1139" s="9">
        <v>43344.0</v>
      </c>
      <c r="D1139" s="6" t="s">
        <v>1415</v>
      </c>
      <c r="E1139" s="4">
        <v>6.108001041E9</v>
      </c>
      <c r="F1139" s="8" t="s">
        <v>604</v>
      </c>
      <c r="G1139" s="4" t="s">
        <v>737</v>
      </c>
      <c r="H1139" s="10" t="s">
        <v>18</v>
      </c>
      <c r="I1139" s="10">
        <v>240.0</v>
      </c>
      <c r="J1139" s="11" t="str">
        <f>IF(D1139&lt;&gt;"",VLOOKUP(H1139,TABLEITEM,5,FALSE),"")</f>
        <v>EA</v>
      </c>
      <c r="K1139" s="12">
        <v>2.5</v>
      </c>
      <c r="L1139" s="13" t="str">
        <f>IF(D1139&lt;&gt;"",VLOOKUP(H1139,TABLEITEM,2,FALSE),"")</f>
        <v/>
      </c>
      <c r="M1139" s="13" t="str">
        <f>IF(D1139&lt;&gt;"",VLOOKUP(H1139,TABLEITEM,3,FALSE),"")</f>
        <v>ผ้าปิดจมูก</v>
      </c>
      <c r="N1139" s="14">
        <f>INSTOCK!$I1139*INSTOCK!$K1139</f>
        <v>600</v>
      </c>
      <c r="O1139" s="4" t="s">
        <v>763</v>
      </c>
      <c r="P1139" s="4"/>
    </row>
    <row r="1140" ht="15.75" hidden="1" customHeight="1">
      <c r="B1140" s="8">
        <v>1456.0</v>
      </c>
      <c r="C1140" s="9">
        <v>43344.0</v>
      </c>
      <c r="D1140" s="6">
        <v>6738.0</v>
      </c>
      <c r="E1140" s="4">
        <v>6.108000972E9</v>
      </c>
      <c r="F1140" s="8" t="s">
        <v>604</v>
      </c>
      <c r="G1140" s="4" t="s">
        <v>1009</v>
      </c>
      <c r="H1140" s="10" t="s">
        <v>1232</v>
      </c>
      <c r="I1140" s="10">
        <v>35.0</v>
      </c>
      <c r="J1140" s="11" t="str">
        <f>IF(D1140&lt;&gt;"",VLOOKUP(H1140,TABLEITEM,5,FALSE),"")</f>
        <v>EA</v>
      </c>
      <c r="K1140" s="12">
        <v>190.0</v>
      </c>
      <c r="L1140" s="13" t="str">
        <f>IF(D1140&lt;&gt;"",VLOOKUP(H1140,TABLEITEM,2,FALSE),"")</f>
        <v/>
      </c>
      <c r="M1140" s="13" t="str">
        <f>IF(D1140&lt;&gt;"",VLOOKUP(H1140,TABLEITEM,3,FALSE),"")</f>
        <v>กุญแจกดเด้งสีดำ MS480-2</v>
      </c>
      <c r="N1140" s="14">
        <f>INSTOCK!$I1140*INSTOCK!$K1140</f>
        <v>6650</v>
      </c>
      <c r="O1140" s="4"/>
      <c r="P1140" s="4"/>
    </row>
    <row r="1141" ht="15.75" hidden="1" customHeight="1">
      <c r="B1141" s="8">
        <v>1457.0</v>
      </c>
      <c r="C1141" s="9">
        <v>43400.0</v>
      </c>
      <c r="D1141" s="6" t="s">
        <v>1416</v>
      </c>
      <c r="E1141" s="4"/>
      <c r="F1141" s="8" t="s">
        <v>801</v>
      </c>
      <c r="G1141" s="4" t="s">
        <v>1417</v>
      </c>
      <c r="H1141" s="10" t="s">
        <v>803</v>
      </c>
      <c r="I1141" s="10">
        <v>20.0</v>
      </c>
      <c r="J1141" s="11" t="str">
        <f>IF(D1141&lt;&gt;"",VLOOKUP(H1141,TABLEITEM,5,FALSE),"")</f>
        <v>ถัง</v>
      </c>
      <c r="K1141" s="12">
        <v>981.31</v>
      </c>
      <c r="L1141" s="13" t="str">
        <f>IF(D1141&lt;&gt;"",VLOOKUP(H1141,TABLEITEM,2,FALSE),"")</f>
        <v/>
      </c>
      <c r="M1141" s="13" t="str">
        <f>IF(D1141&lt;&gt;"",VLOOKUP(H1141,TABLEITEM,3,FALSE),"")</f>
        <v>แก๊สหุงต้ม 48กก</v>
      </c>
      <c r="N1141" s="14">
        <f>INSTOCK!$I1141*INSTOCK!$K1141</f>
        <v>19626.2</v>
      </c>
      <c r="O1141" s="4"/>
      <c r="P1141" s="4"/>
    </row>
    <row r="1142" ht="15.75" hidden="1" customHeight="1">
      <c r="B1142" s="8">
        <v>1458.0</v>
      </c>
      <c r="C1142" s="9">
        <v>43400.0</v>
      </c>
      <c r="D1142" s="6" t="s">
        <v>1418</v>
      </c>
      <c r="E1142" s="4">
        <v>6.110001319E9</v>
      </c>
      <c r="F1142" s="8" t="s">
        <v>807</v>
      </c>
      <c r="G1142" s="4" t="s">
        <v>808</v>
      </c>
      <c r="H1142" s="10" t="s">
        <v>812</v>
      </c>
      <c r="I1142" s="10">
        <v>1.0</v>
      </c>
      <c r="J1142" s="11" t="str">
        <f>IF(D1142&lt;&gt;"",VLOOKUP(H1142,TABLEITEM,5,FALSE),"")</f>
        <v>ท่อ</v>
      </c>
      <c r="K1142" s="12">
        <v>2960.0</v>
      </c>
      <c r="L1142" s="13" t="str">
        <f>IF(D1142&lt;&gt;"",VLOOKUP(H1142,TABLEITEM,2,FALSE),"")</f>
        <v/>
      </c>
      <c r="M1142" s="13" t="str">
        <f>IF(D1142&lt;&gt;"",VLOOKUP(H1142,TABLEITEM,3,FALSE),"")</f>
        <v>ออกซิเจนเหลว ขนาด 148 คิว</v>
      </c>
      <c r="N1142" s="14">
        <f>INSTOCK!$I1142*INSTOCK!$K1142</f>
        <v>2960</v>
      </c>
      <c r="O1142" s="4"/>
      <c r="P1142" s="4"/>
    </row>
    <row r="1143" ht="15.75" hidden="1" customHeight="1">
      <c r="B1143" s="8">
        <v>1459.0</v>
      </c>
      <c r="C1143" s="9">
        <v>43400.0</v>
      </c>
      <c r="D1143" s="6" t="s">
        <v>1419</v>
      </c>
      <c r="E1143" s="4"/>
      <c r="F1143" s="8" t="s">
        <v>1420</v>
      </c>
      <c r="G1143" s="4" t="s">
        <v>965</v>
      </c>
      <c r="H1143" s="10" t="s">
        <v>1421</v>
      </c>
      <c r="I1143" s="10">
        <v>2.0</v>
      </c>
      <c r="J1143" s="11" t="str">
        <f>IF(D1143&lt;&gt;"",VLOOKUP(H1143,TABLEITEM,5,FALSE),"")</f>
        <v>ห่อ</v>
      </c>
      <c r="K1143" s="12">
        <v>120.0</v>
      </c>
      <c r="L1143" s="13" t="str">
        <f>IF(D1143&lt;&gt;"",VLOOKUP(H1143,TABLEITEM,2,FALSE),"")</f>
        <v/>
      </c>
      <c r="M1143" s="13" t="str">
        <f>IF(D1143&lt;&gt;"",VLOOKUP(H1143,TABLEITEM,3,FALSE),"")</f>
        <v>ลวดเชื่อม KOBE 2.6มิล</v>
      </c>
      <c r="N1143" s="14">
        <f>INSTOCK!$I1143*INSTOCK!$K1143</f>
        <v>240</v>
      </c>
      <c r="O1143" s="4"/>
      <c r="P1143" s="4"/>
    </row>
    <row r="1144" ht="15.75" hidden="1" customHeight="1">
      <c r="B1144" s="8">
        <v>1460.0</v>
      </c>
      <c r="C1144" s="9">
        <v>43398.0</v>
      </c>
      <c r="D1144" s="6" t="s">
        <v>1422</v>
      </c>
      <c r="E1144" s="4">
        <v>6.110001312E9</v>
      </c>
      <c r="F1144" s="8" t="s">
        <v>807</v>
      </c>
      <c r="G1144" s="4" t="s">
        <v>808</v>
      </c>
      <c r="H1144" s="10" t="s">
        <v>809</v>
      </c>
      <c r="I1144" s="10">
        <v>1.0</v>
      </c>
      <c r="J1144" s="11" t="str">
        <f>IF(D1144&lt;&gt;"",VLOOKUP(H1144,TABLEITEM,5,FALSE),"")</f>
        <v>ท่อ</v>
      </c>
      <c r="K1144" s="12">
        <v>2700.0</v>
      </c>
      <c r="L1144" s="13" t="str">
        <f>IF(D1144&lt;&gt;"",VLOOKUP(H1144,TABLEITEM,2,FALSE),"")</f>
        <v/>
      </c>
      <c r="M1144" s="13" t="str">
        <f>IF(D1144&lt;&gt;"",VLOOKUP(H1144,TABLEITEM,3,FALSE),"")</f>
        <v>ไนโตรเจนเหลว ขนาด 100คิว</v>
      </c>
      <c r="N1144" s="14">
        <f>INSTOCK!$I1144*INSTOCK!$K1144</f>
        <v>2700</v>
      </c>
      <c r="O1144" s="4"/>
      <c r="P1144" s="4"/>
    </row>
    <row r="1145" ht="15.75" hidden="1" customHeight="1">
      <c r="B1145" s="8">
        <v>1461.0</v>
      </c>
      <c r="C1145" s="9">
        <v>43398.0</v>
      </c>
      <c r="D1145" s="6" t="s">
        <v>1423</v>
      </c>
      <c r="E1145" s="4">
        <v>6.11000131E9</v>
      </c>
      <c r="F1145" s="8" t="s">
        <v>981</v>
      </c>
      <c r="G1145" s="4" t="s">
        <v>982</v>
      </c>
      <c r="H1145" s="10" t="s">
        <v>983</v>
      </c>
      <c r="I1145" s="10">
        <v>200.0</v>
      </c>
      <c r="J1145" s="11" t="str">
        <f>IF(D1145&lt;&gt;"",VLOOKUP(H1145,TABLEITEM,5,FALSE),"")</f>
        <v>KG.</v>
      </c>
      <c r="K1145" s="12">
        <v>37.0</v>
      </c>
      <c r="L1145" s="13" t="str">
        <f>IF(D1145&lt;&gt;"",VLOOKUP(H1145,TABLEITEM,2,FALSE),"")</f>
        <v/>
      </c>
      <c r="M1145" s="13" t="str">
        <f>IF(D1145&lt;&gt;"",VLOOKUP(H1145,TABLEITEM,3,FALSE),"")</f>
        <v>เคมี ADDITIVE P-8</v>
      </c>
      <c r="N1145" s="14">
        <f>INSTOCK!$I1145*INSTOCK!$K1145</f>
        <v>7400</v>
      </c>
      <c r="O1145" s="4"/>
      <c r="P1145" s="4"/>
    </row>
    <row r="1146" ht="15.75" hidden="1" customHeight="1">
      <c r="B1146" s="8">
        <v>1462.0</v>
      </c>
      <c r="C1146" s="9">
        <v>43398.0</v>
      </c>
      <c r="D1146" s="6" t="s">
        <v>1423</v>
      </c>
      <c r="E1146" s="4">
        <v>6.11000131E9</v>
      </c>
      <c r="F1146" s="8" t="s">
        <v>981</v>
      </c>
      <c r="G1146" s="4" t="s">
        <v>982</v>
      </c>
      <c r="H1146" s="10" t="s">
        <v>986</v>
      </c>
      <c r="I1146" s="10">
        <v>300.0</v>
      </c>
      <c r="J1146" s="11" t="str">
        <f>IF(D1146&lt;&gt;"",VLOOKUP(H1146,TABLEITEM,5,FALSE),"")</f>
        <v>KG.</v>
      </c>
      <c r="K1146" s="12">
        <v>41.0</v>
      </c>
      <c r="L1146" s="13" t="str">
        <f>IF(D1146&lt;&gt;"",VLOOKUP(H1146,TABLEITEM,2,FALSE),"")</f>
        <v/>
      </c>
      <c r="M1146" s="13" t="str">
        <f>IF(D1146&lt;&gt;"",VLOOKUP(H1146,TABLEITEM,3,FALSE),"")</f>
        <v>เคมีฟอสเฟต PN-134</v>
      </c>
      <c r="N1146" s="14">
        <f>INSTOCK!$I1146*INSTOCK!$K1146</f>
        <v>12300</v>
      </c>
      <c r="O1146" s="4"/>
      <c r="P1146" s="4"/>
    </row>
    <row r="1147" ht="15.75" hidden="1" customHeight="1">
      <c r="B1147" s="8">
        <v>1463.0</v>
      </c>
      <c r="C1147" s="9">
        <v>43398.0</v>
      </c>
      <c r="D1147" s="6" t="s">
        <v>1423</v>
      </c>
      <c r="E1147" s="4">
        <v>6.11000131E9</v>
      </c>
      <c r="F1147" s="8" t="s">
        <v>981</v>
      </c>
      <c r="G1147" s="4" t="s">
        <v>982</v>
      </c>
      <c r="H1147" s="10" t="s">
        <v>991</v>
      </c>
      <c r="I1147" s="10">
        <v>100.0</v>
      </c>
      <c r="J1147" s="11" t="str">
        <f>IF(D1147&lt;&gt;"",VLOOKUP(H1147,TABLEITEM,5,FALSE),"")</f>
        <v>KG.</v>
      </c>
      <c r="K1147" s="12">
        <v>18.0</v>
      </c>
      <c r="L1147" s="13" t="str">
        <f>IF(D1147&lt;&gt;"",VLOOKUP(H1147,TABLEITEM,2,FALSE),"")</f>
        <v/>
      </c>
      <c r="M1147" s="13" t="str">
        <f>IF(D1147&lt;&gt;"",VLOOKUP(H1147,TABLEITEM,3,FALSE),"")</f>
        <v>เคมีตัวเร่งฟอสเฟต</v>
      </c>
      <c r="N1147" s="14">
        <f>INSTOCK!$I1147*INSTOCK!$K1147</f>
        <v>1800</v>
      </c>
      <c r="O1147" s="4"/>
      <c r="P1147" s="4"/>
    </row>
    <row r="1148" ht="15.75" hidden="1" customHeight="1">
      <c r="B1148" s="8">
        <v>1464.0</v>
      </c>
      <c r="C1148" s="9">
        <v>43395.0</v>
      </c>
      <c r="D1148" s="6">
        <v>6.110096311E9</v>
      </c>
      <c r="E1148" s="4">
        <v>6.110001309E9</v>
      </c>
      <c r="F1148" s="8" t="s">
        <v>1424</v>
      </c>
      <c r="G1148" s="4" t="s">
        <v>711</v>
      </c>
      <c r="H1148" s="10" t="s">
        <v>754</v>
      </c>
      <c r="I1148" s="10">
        <v>20.0</v>
      </c>
      <c r="J1148" s="11" t="str">
        <f>IF(D1148&lt;&gt;"",VLOOKUP(H1148,TABLEITEM,5,FALSE),"")</f>
        <v>KG.</v>
      </c>
      <c r="K1148" s="12">
        <v>144.0</v>
      </c>
      <c r="L1148" s="13" t="str">
        <f>IF(D1148&lt;&gt;"",VLOOKUP(H1148,TABLEITEM,2,FALSE),"")</f>
        <v/>
      </c>
      <c r="M1148" s="13" t="str">
        <f>IF(D1148&lt;&gt;"",VLOOKUP(H1148,TABLEITEM,3,FALSE),"")</f>
        <v>สีฝุ่น P70003 AN สีครีม</v>
      </c>
      <c r="N1148" s="14">
        <f>INSTOCK!$I1148*INSTOCK!$K1148</f>
        <v>2880</v>
      </c>
      <c r="O1148" s="4" t="s">
        <v>756</v>
      </c>
      <c r="P1148" s="4"/>
    </row>
    <row r="1149" ht="15.75" hidden="1" customHeight="1">
      <c r="B1149" s="8">
        <v>1465.0</v>
      </c>
      <c r="C1149" s="9">
        <v>43391.0</v>
      </c>
      <c r="D1149" s="6">
        <v>7068.0</v>
      </c>
      <c r="E1149" s="4">
        <v>6.110001304E9</v>
      </c>
      <c r="F1149" s="8" t="s">
        <v>604</v>
      </c>
      <c r="G1149" s="4" t="s">
        <v>1009</v>
      </c>
      <c r="H1149" s="10" t="s">
        <v>1232</v>
      </c>
      <c r="I1149" s="10">
        <v>200.0</v>
      </c>
      <c r="J1149" s="11" t="str">
        <f>IF(D1149&lt;&gt;"",VLOOKUP(H1149,TABLEITEM,5,FALSE),"")</f>
        <v>EA</v>
      </c>
      <c r="K1149" s="12">
        <v>180.0</v>
      </c>
      <c r="L1149" s="13" t="str">
        <f>IF(D1149&lt;&gt;"",VLOOKUP(H1149,TABLEITEM,2,FALSE),"")</f>
        <v/>
      </c>
      <c r="M1149" s="13" t="str">
        <f>IF(D1149&lt;&gt;"",VLOOKUP(H1149,TABLEITEM,3,FALSE),"")</f>
        <v>กุญแจกดเด้งสีดำ MS480-2</v>
      </c>
      <c r="N1149" s="14">
        <f>INSTOCK!$I1149*INSTOCK!$K1149</f>
        <v>36000</v>
      </c>
      <c r="O1149" s="4"/>
      <c r="P1149" s="4"/>
    </row>
    <row r="1150" ht="15.75" hidden="1" customHeight="1">
      <c r="B1150" s="8">
        <v>1466.0</v>
      </c>
      <c r="C1150" s="9">
        <v>43391.0</v>
      </c>
      <c r="D1150" s="6">
        <v>7068.0</v>
      </c>
      <c r="E1150" s="4">
        <v>6.110001304E9</v>
      </c>
      <c r="F1150" s="8" t="s">
        <v>604</v>
      </c>
      <c r="G1150" s="4" t="s">
        <v>1009</v>
      </c>
      <c r="H1150" s="10" t="s">
        <v>1014</v>
      </c>
      <c r="I1150" s="10">
        <v>100.0</v>
      </c>
      <c r="J1150" s="11" t="str">
        <f>IF(D1150&lt;&gt;"",VLOOKUP(H1150,TABLEITEM,5,FALSE),"")</f>
        <v>EA</v>
      </c>
      <c r="K1150" s="12">
        <v>90.0</v>
      </c>
      <c r="L1150" s="13" t="str">
        <f>IF(D1150&lt;&gt;"",VLOOKUP(H1150,TABLEITEM,2,FALSE),"")</f>
        <v/>
      </c>
      <c r="M1150" s="13" t="str">
        <f>IF(D1150&lt;&gt;"",VLOOKUP(H1150,TABLEITEM,3,FALSE),"")</f>
        <v>DOOR LOCKER AB301-3-1</v>
      </c>
      <c r="N1150" s="14">
        <f>INSTOCK!$I1150*INSTOCK!$K1150</f>
        <v>9000</v>
      </c>
      <c r="O1150" s="4"/>
      <c r="P1150" s="4"/>
    </row>
    <row r="1151" ht="15.75" hidden="1" customHeight="1">
      <c r="B1151" s="8">
        <v>1467.0</v>
      </c>
      <c r="C1151" s="9">
        <v>43391.0</v>
      </c>
      <c r="D1151" s="6" t="s">
        <v>1425</v>
      </c>
      <c r="E1151" s="4">
        <v>6.110001305E9</v>
      </c>
      <c r="F1151" s="8" t="s">
        <v>604</v>
      </c>
      <c r="G1151" s="4" t="s">
        <v>1202</v>
      </c>
      <c r="H1151" s="10" t="s">
        <v>1426</v>
      </c>
      <c r="I1151" s="10">
        <v>100.0</v>
      </c>
      <c r="J1151" s="11" t="str">
        <f>IF(D1151&lt;&gt;"",VLOOKUP(H1151,TABLEITEM,5,FALSE),"")</f>
        <v>EA</v>
      </c>
      <c r="K1151" s="12">
        <v>128.0</v>
      </c>
      <c r="L1151" s="13" t="str">
        <f>IF(D1151&lt;&gt;"",VLOOKUP(H1151,TABLEITEM,2,FALSE),"")</f>
        <v/>
      </c>
      <c r="M1151" s="13" t="str">
        <f>IF(D1151&lt;&gt;"",VLOOKUP(H1151,TABLEITEM,3,FALSE),"")</f>
        <v>กุญแจหูกระเป๋าสปริงC-1007-2</v>
      </c>
      <c r="N1151" s="14">
        <f>INSTOCK!$I1151*INSTOCK!$K1151</f>
        <v>12800</v>
      </c>
      <c r="O1151" s="4"/>
      <c r="P1151" s="4"/>
    </row>
    <row r="1152" ht="15.75" hidden="1" customHeight="1">
      <c r="B1152" s="8">
        <v>1468.0</v>
      </c>
      <c r="C1152" s="9">
        <v>43391.0</v>
      </c>
      <c r="D1152" s="6" t="s">
        <v>1427</v>
      </c>
      <c r="E1152" s="4">
        <v>6.110001303E9</v>
      </c>
      <c r="F1152" s="8" t="s">
        <v>604</v>
      </c>
      <c r="G1152" s="4" t="s">
        <v>665</v>
      </c>
      <c r="H1152" s="10" t="s">
        <v>1428</v>
      </c>
      <c r="I1152" s="10">
        <v>1000.0</v>
      </c>
      <c r="J1152" s="11" t="str">
        <f>IF(D1152&lt;&gt;"",VLOOKUP(H1152,TABLEITEM,5,FALSE),"")</f>
        <v>M</v>
      </c>
      <c r="K1152" s="12">
        <v>5.0</v>
      </c>
      <c r="L1152" s="13" t="str">
        <f>IF(D1152&lt;&gt;"",VLOOKUP(H1152,TABLEITEM,2,FALSE),"")</f>
        <v>wire</v>
      </c>
      <c r="M1152" s="13" t="str">
        <f>IF(D1152&lt;&gt;"",VLOOKUP(H1152,TABLEITEM,3,FALSE),"")</f>
        <v>สายไฟ VSF1x1 SQMM.สีน้ำเงิน</v>
      </c>
      <c r="N1152" s="14">
        <f>INSTOCK!$I1152*INSTOCK!$K1152</f>
        <v>5000</v>
      </c>
      <c r="O1152" s="4"/>
      <c r="P1152" s="4"/>
    </row>
    <row r="1153" ht="15.75" hidden="1" customHeight="1">
      <c r="B1153" s="8">
        <v>1469.0</v>
      </c>
      <c r="C1153" s="9">
        <v>43390.0</v>
      </c>
      <c r="D1153" s="6" t="s">
        <v>1429</v>
      </c>
      <c r="E1153" s="4">
        <v>6.110001286E9</v>
      </c>
      <c r="F1153" s="8" t="s">
        <v>604</v>
      </c>
      <c r="G1153" s="4" t="s">
        <v>1033</v>
      </c>
      <c r="H1153" s="10" t="s">
        <v>24</v>
      </c>
      <c r="I1153" s="10">
        <v>1000.0</v>
      </c>
      <c r="J1153" s="11" t="str">
        <f>IF(D1153&lt;&gt;"",VLOOKUP(H1153,TABLEITEM,5,FALSE),"")</f>
        <v>EA</v>
      </c>
      <c r="K1153" s="12">
        <v>4.5</v>
      </c>
      <c r="L1153" s="13" t="str">
        <f>IF(D1153&lt;&gt;"",VLOOKUP(H1153,TABLEITEM,2,FALSE),"")</f>
        <v/>
      </c>
      <c r="M1153" s="13" t="str">
        <f>IF(D1153&lt;&gt;"",VLOOKUP(H1153,TABLEITEM,3,FALSE),"")</f>
        <v>กระดาษทรายกลม#120</v>
      </c>
      <c r="N1153" s="14">
        <f>INSTOCK!$I1153*INSTOCK!$K1153</f>
        <v>4500</v>
      </c>
      <c r="O1153" s="4"/>
      <c r="P1153" s="4"/>
    </row>
    <row r="1154" ht="15.75" hidden="1" customHeight="1">
      <c r="B1154" s="8">
        <v>1470.0</v>
      </c>
      <c r="C1154" s="9">
        <v>43390.0</v>
      </c>
      <c r="D1154" s="6" t="s">
        <v>1430</v>
      </c>
      <c r="E1154" s="4"/>
      <c r="F1154" s="8" t="s">
        <v>1431</v>
      </c>
      <c r="G1154" s="4" t="s">
        <v>898</v>
      </c>
      <c r="H1154" s="10" t="s">
        <v>899</v>
      </c>
      <c r="I1154" s="10">
        <v>2.0</v>
      </c>
      <c r="J1154" s="11" t="str">
        <f>IF(D1154&lt;&gt;"",VLOOKUP(H1154,TABLEITEM,5,FALSE),"")</f>
        <v>LIT</v>
      </c>
      <c r="K1154" s="12">
        <v>380.0</v>
      </c>
      <c r="L1154" s="13" t="str">
        <f>IF(D1154&lt;&gt;"",VLOOKUP(H1154,TABLEITEM,2,FALSE),"")</f>
        <v/>
      </c>
      <c r="M1154" s="13" t="str">
        <f>IF(D1154&lt;&gt;"",VLOOKUP(H1154,TABLEITEM,3,FALSE),"")</f>
        <v>สีพ่นแห้งเร็ว(สีผสม)</v>
      </c>
      <c r="N1154" s="14">
        <f>INSTOCK!$I1154*INSTOCK!$K1154</f>
        <v>760</v>
      </c>
      <c r="O1154" s="4" t="s">
        <v>928</v>
      </c>
      <c r="P1154" s="4"/>
    </row>
    <row r="1155" ht="15.75" hidden="1" customHeight="1">
      <c r="B1155" s="8">
        <v>1471.0</v>
      </c>
      <c r="C1155" s="9">
        <v>43390.0</v>
      </c>
      <c r="D1155" s="6" t="s">
        <v>1432</v>
      </c>
      <c r="E1155" s="4"/>
      <c r="F1155" s="8" t="s">
        <v>801</v>
      </c>
      <c r="G1155" s="4" t="s">
        <v>1417</v>
      </c>
      <c r="H1155" s="10" t="s">
        <v>803</v>
      </c>
      <c r="I1155" s="10">
        <v>15.0</v>
      </c>
      <c r="J1155" s="11" t="str">
        <f>IF(D1155&lt;&gt;"",VLOOKUP(H1155,TABLEITEM,5,FALSE),"")</f>
        <v>ถัง</v>
      </c>
      <c r="K1155" s="12">
        <v>981.31</v>
      </c>
      <c r="L1155" s="13" t="str">
        <f>IF(D1155&lt;&gt;"",VLOOKUP(H1155,TABLEITEM,2,FALSE),"")</f>
        <v/>
      </c>
      <c r="M1155" s="13" t="str">
        <f>IF(D1155&lt;&gt;"",VLOOKUP(H1155,TABLEITEM,3,FALSE),"")</f>
        <v>แก๊สหุงต้ม 48กก</v>
      </c>
      <c r="N1155" s="14">
        <f>INSTOCK!$I1155*INSTOCK!$K1155</f>
        <v>14719.65</v>
      </c>
      <c r="O1155" s="4"/>
      <c r="P1155" s="4"/>
    </row>
    <row r="1156" ht="15.75" hidden="1" customHeight="1">
      <c r="B1156" s="8">
        <v>1472.0</v>
      </c>
      <c r="C1156" s="9">
        <v>43390.0</v>
      </c>
      <c r="D1156" s="6" t="s">
        <v>1433</v>
      </c>
      <c r="E1156" s="4">
        <v>6.110001297E9</v>
      </c>
      <c r="F1156" s="8" t="s">
        <v>1434</v>
      </c>
      <c r="G1156" s="4" t="s">
        <v>1258</v>
      </c>
      <c r="H1156" s="10" t="s">
        <v>1261</v>
      </c>
      <c r="I1156" s="10">
        <v>20.0</v>
      </c>
      <c r="J1156" s="11" t="str">
        <f>IF(D1156&lt;&gt;"",VLOOKUP(H1156,TABLEITEM,5,FALSE),"")</f>
        <v>KG.</v>
      </c>
      <c r="K1156" s="12">
        <v>130.0</v>
      </c>
      <c r="L1156" s="13" t="str">
        <f>IF(D1156&lt;&gt;"",VLOOKUP(H1156,TABLEITEM,2,FALSE),"")</f>
        <v/>
      </c>
      <c r="M1156" s="13" t="str">
        <f>IF(D1156&lt;&gt;"",VLOOKUP(H1156,TABLEITEM,3,FALSE),"")</f>
        <v>สีฝุ่น HB 45014 N GREY</v>
      </c>
      <c r="N1156" s="14">
        <f>INSTOCK!$I1156*INSTOCK!$K1156</f>
        <v>2600</v>
      </c>
      <c r="O1156" s="4"/>
      <c r="P1156" s="4"/>
    </row>
    <row r="1157" ht="15.75" hidden="1" customHeight="1">
      <c r="B1157" s="8">
        <v>1473.0</v>
      </c>
      <c r="C1157" s="9">
        <v>43390.0</v>
      </c>
      <c r="D1157" s="6" t="s">
        <v>1435</v>
      </c>
      <c r="E1157" s="4">
        <v>6.110001296E9</v>
      </c>
      <c r="F1157" s="8" t="s">
        <v>1436</v>
      </c>
      <c r="G1157" s="4" t="s">
        <v>721</v>
      </c>
      <c r="H1157" s="10" t="s">
        <v>1437</v>
      </c>
      <c r="I1157" s="10">
        <v>7.0</v>
      </c>
      <c r="J1157" s="11" t="str">
        <f>IF(D1157&lt;&gt;"",VLOOKUP(H1157,TABLEITEM,5,FALSE),"")</f>
        <v>EA</v>
      </c>
      <c r="K1157" s="12">
        <v>149.72</v>
      </c>
      <c r="L1157" s="13" t="str">
        <f>IF(D1157&lt;&gt;"",VLOOKUP(H1157,TABLEITEM,2,FALSE),"")</f>
        <v/>
      </c>
      <c r="M1157" s="13" t="str">
        <f>IF(D1157&lt;&gt;"",VLOOKUP(H1157,TABLEITEM,3,FALSE),"")</f>
        <v>ออดชนิดเสียงดังไม่ต่อเนื่องมีแลมป์ LED</v>
      </c>
      <c r="N1157" s="14">
        <f>INSTOCK!$I1157*INSTOCK!$K1157</f>
        <v>1048.04</v>
      </c>
      <c r="O1157" s="4" t="s">
        <v>1438</v>
      </c>
      <c r="P1157" s="4"/>
    </row>
    <row r="1158" ht="15.75" hidden="1" customHeight="1">
      <c r="B1158" s="8">
        <v>1474.0</v>
      </c>
      <c r="C1158" s="9">
        <v>43390.0</v>
      </c>
      <c r="D1158" s="6" t="s">
        <v>1439</v>
      </c>
      <c r="E1158" s="4">
        <v>6.110001284E9</v>
      </c>
      <c r="F1158" s="8" t="s">
        <v>604</v>
      </c>
      <c r="G1158" s="4" t="s">
        <v>743</v>
      </c>
      <c r="H1158" s="10" t="s">
        <v>86</v>
      </c>
      <c r="I1158" s="10">
        <v>500.0</v>
      </c>
      <c r="J1158" s="11" t="str">
        <f>IF(D1158&lt;&gt;"",VLOOKUP(H1158,TABLEITEM,5,FALSE),"")</f>
        <v>KG.</v>
      </c>
      <c r="K1158" s="12">
        <v>139.0</v>
      </c>
      <c r="L1158" s="13" t="str">
        <f>IF(D1158&lt;&gt;"",VLOOKUP(H1158,TABLEITEM,2,FALSE),"")</f>
        <v/>
      </c>
      <c r="M1158" s="13" t="str">
        <f>IF(D1158&lt;&gt;"",VLOOKUP(H1158,TABLEITEM,3,FALSE),"")</f>
        <v>สีฝุ่น ครีมเรียบ 1204551PX20</v>
      </c>
      <c r="N1158" s="14">
        <f>INSTOCK!$I1158*INSTOCK!$K1158</f>
        <v>69500</v>
      </c>
      <c r="O1158" s="4"/>
      <c r="P1158" s="4"/>
    </row>
    <row r="1159" ht="15.75" hidden="1" customHeight="1">
      <c r="B1159" s="8">
        <v>1475.0</v>
      </c>
      <c r="C1159" s="9">
        <v>43390.0</v>
      </c>
      <c r="D1159" s="6" t="s">
        <v>1440</v>
      </c>
      <c r="E1159" s="4">
        <v>6.110001284E9</v>
      </c>
      <c r="F1159" s="8" t="s">
        <v>604</v>
      </c>
      <c r="G1159" s="4" t="s">
        <v>743</v>
      </c>
      <c r="H1159" s="10" t="s">
        <v>73</v>
      </c>
      <c r="I1159" s="10">
        <v>1000.0</v>
      </c>
      <c r="J1159" s="11" t="str">
        <f>IF(D1159&lt;&gt;"",VLOOKUP(H1159,TABLEITEM,5,FALSE),"")</f>
        <v>KG.</v>
      </c>
      <c r="K1159" s="12">
        <v>99.85</v>
      </c>
      <c r="L1159" s="13" t="str">
        <f>IF(D1159&lt;&gt;"",VLOOKUP(H1159,TABLEITEM,2,FALSE),"")</f>
        <v/>
      </c>
      <c r="M1159" s="13" t="str">
        <f>IF(D1159&lt;&gt;"",VLOOKUP(H1159,TABLEITEM,3,FALSE),"")</f>
        <v>สีฝุ่น สีครีมย่น 1002782PX20</v>
      </c>
      <c r="N1159" s="14">
        <f>INSTOCK!$I1159*INSTOCK!$K1159</f>
        <v>99850</v>
      </c>
      <c r="O1159" s="4"/>
      <c r="P1159" s="4"/>
    </row>
    <row r="1160" ht="15.75" hidden="1" customHeight="1">
      <c r="B1160" s="8">
        <v>1476.0</v>
      </c>
      <c r="C1160" s="9">
        <v>43389.0</v>
      </c>
      <c r="D1160" s="6" t="s">
        <v>1441</v>
      </c>
      <c r="E1160" s="4">
        <v>6.110001292E9</v>
      </c>
      <c r="F1160" s="8" t="s">
        <v>1442</v>
      </c>
      <c r="G1160" s="4" t="s">
        <v>692</v>
      </c>
      <c r="H1160" s="10" t="s">
        <v>1443</v>
      </c>
      <c r="I1160" s="10">
        <v>100.0</v>
      </c>
      <c r="J1160" s="11" t="str">
        <f>IF(D1160&lt;&gt;"",VLOOKUP(H1160,TABLEITEM,5,FALSE),"")</f>
        <v>M</v>
      </c>
      <c r="K1160" s="12">
        <v>12.267</v>
      </c>
      <c r="L1160" s="13" t="str">
        <f>IF(D1160&lt;&gt;"",VLOOKUP(H1160,TABLEITEM,2,FALSE),"")</f>
        <v/>
      </c>
      <c r="M1160" s="13" t="str">
        <f>IF(D1160&lt;&gt;"",VLOOKUP(H1160,TABLEITEM,3,FALSE),"")</f>
        <v>สายไฟ VCT 2x1SQMM</v>
      </c>
      <c r="N1160" s="14">
        <f>INSTOCK!$I1160*INSTOCK!$K1160</f>
        <v>1226.7</v>
      </c>
      <c r="O1160" s="4" t="s">
        <v>1444</v>
      </c>
      <c r="P1160" s="4"/>
    </row>
    <row r="1161" ht="15.75" hidden="1" customHeight="1">
      <c r="B1161" s="8">
        <v>1477.0</v>
      </c>
      <c r="C1161" s="9">
        <v>43384.0</v>
      </c>
      <c r="D1161" s="6" t="s">
        <v>1445</v>
      </c>
      <c r="E1161" s="4">
        <v>6.110001271E9</v>
      </c>
      <c r="F1161" s="8" t="s">
        <v>1383</v>
      </c>
      <c r="G1161" s="4" t="s">
        <v>1446</v>
      </c>
      <c r="H1161" s="10" t="s">
        <v>1447</v>
      </c>
      <c r="I1161" s="10">
        <v>45.0</v>
      </c>
      <c r="J1161" s="11" t="str">
        <f>IF(D1161&lt;&gt;"",VLOOKUP(H1161,TABLEITEM,5,FALSE),"")</f>
        <v>M</v>
      </c>
      <c r="K1161" s="12">
        <v>150.826</v>
      </c>
      <c r="L1161" s="13" t="str">
        <f>IF(D1161&lt;&gt;"",VLOOKUP(H1161,TABLEITEM,2,FALSE),"")</f>
        <v/>
      </c>
      <c r="M1161" s="13" t="str">
        <f>IF(D1161&lt;&gt;"",VLOOKUP(H1161,TABLEITEM,3,FALSE),"")</f>
        <v>สายไฟ CVV 15x2.5MM</v>
      </c>
      <c r="N1161" s="14">
        <f>INSTOCK!$I1161*INSTOCK!$K1161</f>
        <v>6787.17</v>
      </c>
      <c r="O1161" s="4" t="s">
        <v>1448</v>
      </c>
      <c r="P1161" s="4"/>
    </row>
    <row r="1162" ht="15.75" hidden="1" customHeight="1">
      <c r="B1162" s="8">
        <v>1478.0</v>
      </c>
      <c r="C1162" s="9">
        <v>43384.0</v>
      </c>
      <c r="D1162" s="6" t="s">
        <v>1449</v>
      </c>
      <c r="E1162" s="4">
        <v>6.110001255E9</v>
      </c>
      <c r="F1162" s="8" t="s">
        <v>604</v>
      </c>
      <c r="G1162" s="4" t="s">
        <v>798</v>
      </c>
      <c r="H1162" s="10" t="s">
        <v>112</v>
      </c>
      <c r="I1162" s="10">
        <v>100.0</v>
      </c>
      <c r="J1162" s="11" t="str">
        <f>IF(D1162&lt;&gt;"",VLOOKUP(H1162,TABLEITEM,5,FALSE),"")</f>
        <v>EA</v>
      </c>
      <c r="K1162" s="12">
        <v>30.0</v>
      </c>
      <c r="L1162" s="13" t="str">
        <f>IF(D1162&lt;&gt;"",VLOOKUP(H1163,TABLEITEM,2,FALSE),"")</f>
        <v/>
      </c>
      <c r="M1162" s="13" t="str">
        <f>IF(D1162&lt;&gt;"",VLOOKUP(H1162,TABLEITEM,3,FALSE),"")</f>
        <v>กุญแจกลมดำ174-04-G016-16</v>
      </c>
      <c r="N1162" s="14">
        <f>INSTOCK!$I1162*INSTOCK!$K1162</f>
        <v>3000</v>
      </c>
      <c r="O1162" s="4"/>
      <c r="P1162" s="4"/>
    </row>
    <row r="1163" ht="15.75" hidden="1" customHeight="1">
      <c r="B1163" s="8">
        <v>1479.0</v>
      </c>
      <c r="C1163" s="9">
        <v>43384.0</v>
      </c>
      <c r="D1163" s="6" t="s">
        <v>1449</v>
      </c>
      <c r="E1163" s="4">
        <v>6.110001255E9</v>
      </c>
      <c r="F1163" s="8" t="s">
        <v>604</v>
      </c>
      <c r="G1163" s="4" t="s">
        <v>798</v>
      </c>
      <c r="H1163" s="10" t="s">
        <v>120</v>
      </c>
      <c r="I1163" s="10">
        <v>100.0</v>
      </c>
      <c r="J1163" s="11" t="str">
        <f>IF(D1163&lt;&gt;"",VLOOKUP(H1163,TABLEITEM,5,FALSE),"")</f>
        <v>EA</v>
      </c>
      <c r="K1163" s="12">
        <v>45.0</v>
      </c>
      <c r="L1163" s="13" t="str">
        <f>IF(D1163&lt;&gt;"",VLOOKUP(H1164,TABLEITEM,2,FALSE),"")</f>
        <v/>
      </c>
      <c r="M1163" s="13" t="str">
        <f>IF(D1163&lt;&gt;"",VLOOKUP(H1163,TABLEITEM,3,FALSE),"")</f>
        <v>กุญแจเขากวาง1B-19-03-G-104</v>
      </c>
      <c r="N1163" s="14">
        <f>INSTOCK!$I1163*INSTOCK!$K1163</f>
        <v>4500</v>
      </c>
      <c r="O1163" s="4"/>
      <c r="P1163" s="4"/>
    </row>
    <row r="1164" ht="15.75" hidden="1" customHeight="1">
      <c r="B1164" s="8">
        <v>1480.0</v>
      </c>
      <c r="C1164" s="9">
        <v>43384.0</v>
      </c>
      <c r="D1164" s="6" t="s">
        <v>1450</v>
      </c>
      <c r="E1164" s="4">
        <v>6.110001266E9</v>
      </c>
      <c r="F1164" s="8" t="s">
        <v>807</v>
      </c>
      <c r="G1164" s="4" t="s">
        <v>808</v>
      </c>
      <c r="H1164" s="10" t="s">
        <v>809</v>
      </c>
      <c r="I1164" s="10">
        <v>1.0</v>
      </c>
      <c r="J1164" s="11" t="str">
        <f>IF(D1164&lt;&gt;"",VLOOKUP(H1164,TABLEITEM,5,FALSE),"")</f>
        <v>ท่อ</v>
      </c>
      <c r="K1164" s="12">
        <v>2700.0</v>
      </c>
      <c r="L1164" s="13" t="str">
        <f>IF(D1164&lt;&gt;"",VLOOKUP(H1164,TABLEITEM,2,FALSE),"")</f>
        <v/>
      </c>
      <c r="M1164" s="13" t="str">
        <f>IF(D1164&lt;&gt;"",VLOOKUP(H1164,TABLEITEM,3,FALSE),"")</f>
        <v>ไนโตรเจนเหลว ขนาด 100คิว</v>
      </c>
      <c r="N1164" s="14">
        <f>INSTOCK!$I1164*INSTOCK!$K1164</f>
        <v>2700</v>
      </c>
      <c r="O1164" s="4"/>
      <c r="P1164" s="4"/>
    </row>
    <row r="1165" ht="15.75" hidden="1" customHeight="1">
      <c r="B1165" s="8">
        <v>1481.0</v>
      </c>
      <c r="C1165" s="9">
        <v>43384.0</v>
      </c>
      <c r="D1165" s="6" t="s">
        <v>1451</v>
      </c>
      <c r="E1165" s="4">
        <v>6.110001267E9</v>
      </c>
      <c r="F1165" s="8" t="s">
        <v>1452</v>
      </c>
      <c r="G1165" s="4" t="s">
        <v>1453</v>
      </c>
      <c r="H1165" s="10" t="s">
        <v>1454</v>
      </c>
      <c r="I1165" s="10">
        <v>2.0</v>
      </c>
      <c r="J1165" s="11" t="str">
        <f>IF(D1165&lt;&gt;"",VLOOKUP(H1165,TABLEITEM,5,FALSE),"")</f>
        <v>EA</v>
      </c>
      <c r="K1165" s="12">
        <v>1463.0</v>
      </c>
      <c r="L1165" s="13" t="str">
        <f>IF(D1165&lt;&gt;"",VLOOKUP(H1165,TABLEITEM,2,FALSE),"")</f>
        <v/>
      </c>
      <c r="M1165" s="13" t="str">
        <f>IF(D1165&lt;&gt;"",VLOOKUP(H1165,TABLEITEM,3,FALSE),"")</f>
        <v>พัดลม PMV250N ดูดลมเข้า 6"</v>
      </c>
      <c r="N1165" s="14">
        <f>INSTOCK!$I1165*INSTOCK!$K1165</f>
        <v>2926</v>
      </c>
      <c r="O1165" s="4" t="s">
        <v>1455</v>
      </c>
      <c r="P1165" s="4"/>
    </row>
    <row r="1166" ht="15.75" hidden="1" customHeight="1">
      <c r="B1166" s="8">
        <v>1482.0</v>
      </c>
      <c r="C1166" s="9">
        <v>43384.0</v>
      </c>
      <c r="D1166" s="6" t="s">
        <v>1451</v>
      </c>
      <c r="E1166" s="4">
        <v>6.110001267E9</v>
      </c>
      <c r="F1166" s="8" t="s">
        <v>1452</v>
      </c>
      <c r="G1166" s="4" t="s">
        <v>1453</v>
      </c>
      <c r="H1166" s="10" t="s">
        <v>1456</v>
      </c>
      <c r="I1166" s="10">
        <v>2.0</v>
      </c>
      <c r="J1166" s="11" t="str">
        <f>IF(D1166&lt;&gt;"",VLOOKUP(H1166,TABLEITEM,5,FALSE),"")</f>
        <v>EA</v>
      </c>
      <c r="K1166" s="12">
        <v>532.0</v>
      </c>
      <c r="L1166" s="13" t="str">
        <f>IF(D1166&lt;&gt;"",VLOOKUP(H1166,TABLEITEM,2,FALSE),"")</f>
        <v/>
      </c>
      <c r="M1166" s="13" t="str">
        <f>IF(D1166&lt;&gt;"",VLOOKUP(H1166,TABLEITEM,3,FALSE),"")</f>
        <v>Filter PMF25 6 นิ้ว</v>
      </c>
      <c r="N1166" s="14">
        <f>INSTOCK!$I1166*INSTOCK!$K1166</f>
        <v>1064</v>
      </c>
      <c r="O1166" s="4" t="s">
        <v>1457</v>
      </c>
      <c r="P1166" s="4"/>
    </row>
    <row r="1167" ht="15.75" hidden="1" customHeight="1">
      <c r="B1167" s="8">
        <v>1483.0</v>
      </c>
      <c r="C1167" s="9">
        <v>43384.0</v>
      </c>
      <c r="D1167" s="6" t="s">
        <v>1458</v>
      </c>
      <c r="E1167" s="4">
        <v>6.110001273E9</v>
      </c>
      <c r="F1167" s="8" t="s">
        <v>604</v>
      </c>
      <c r="G1167" s="4" t="s">
        <v>721</v>
      </c>
      <c r="H1167" s="10" t="s">
        <v>164</v>
      </c>
      <c r="I1167" s="10">
        <v>2000.0</v>
      </c>
      <c r="J1167" s="11" t="str">
        <f>IF(D1167&lt;&gt;"",VLOOKUP(H1167,TABLEITEM,5,FALSE),"")</f>
        <v>EA</v>
      </c>
      <c r="K1167" s="12">
        <v>0.4074</v>
      </c>
      <c r="L1167" s="13" t="str">
        <f>IF(D1167&lt;&gt;"",VLOOKUP(H1167,TABLEITEM,2,FALSE),"")</f>
        <v/>
      </c>
      <c r="M1167" s="13" t="str">
        <f>IF(D1167&lt;&gt;"",VLOOKUP(H1167,TABLEITEM,3,FALSE),"")</f>
        <v>เคเบิ้ลไทร์ 8" สีดำCT-200B-3C</v>
      </c>
      <c r="N1167" s="14">
        <f>INSTOCK!$I1167*INSTOCK!$K1167</f>
        <v>814.8</v>
      </c>
      <c r="O1167" s="4" t="s">
        <v>1219</v>
      </c>
      <c r="P1167" s="4"/>
    </row>
    <row r="1168" ht="15.75" hidden="1" customHeight="1">
      <c r="B1168" s="8">
        <v>1484.0</v>
      </c>
      <c r="C1168" s="9">
        <v>43384.0</v>
      </c>
      <c r="D1168" s="6" t="s">
        <v>1458</v>
      </c>
      <c r="E1168" s="4">
        <v>6.110001273E9</v>
      </c>
      <c r="F1168" s="8" t="s">
        <v>604</v>
      </c>
      <c r="G1168" s="4" t="s">
        <v>721</v>
      </c>
      <c r="H1168" s="10" t="s">
        <v>166</v>
      </c>
      <c r="I1168" s="10">
        <v>1000.0</v>
      </c>
      <c r="J1168" s="11" t="str">
        <f>IF(D1168&lt;&gt;"",VLOOKUP(H1168,TABLEITEM,5,FALSE),"")</f>
        <v>EA</v>
      </c>
      <c r="K1168" s="12">
        <v>1.0476</v>
      </c>
      <c r="L1168" s="13" t="str">
        <f>IF(D1168&lt;&gt;"",VLOOKUP(H1168,TABLEITEM,2,FALSE),"")</f>
        <v/>
      </c>
      <c r="M1168" s="13" t="str">
        <f>IF(D1168&lt;&gt;"",VLOOKUP(H1168,TABLEITEM,3,FALSE),"")</f>
        <v>เคเบิ้ลไทร์ 12" สีดำCT-310B-4C</v>
      </c>
      <c r="N1168" s="14">
        <f>INSTOCK!$I1168*INSTOCK!$K1168</f>
        <v>1047.6</v>
      </c>
      <c r="O1168" s="4" t="s">
        <v>1404</v>
      </c>
      <c r="P1168" s="4"/>
    </row>
    <row r="1169" ht="15.75" hidden="1" customHeight="1">
      <c r="B1169" s="8">
        <v>1485.0</v>
      </c>
      <c r="C1169" s="9">
        <v>43383.0</v>
      </c>
      <c r="D1169" s="6">
        <v>6.1100145E7</v>
      </c>
      <c r="E1169" s="4"/>
      <c r="F1169" s="8" t="s">
        <v>604</v>
      </c>
      <c r="G1169" s="4" t="s">
        <v>1092</v>
      </c>
      <c r="H1169" s="10" t="s">
        <v>818</v>
      </c>
      <c r="I1169" s="10">
        <v>15.0</v>
      </c>
      <c r="J1169" s="11" t="str">
        <f>IF(D1169&lt;&gt;"",VLOOKUP(H1169,TABLEITEM,5,FALSE),"")</f>
        <v>ท่อ</v>
      </c>
      <c r="K1169" s="12">
        <v>280.0</v>
      </c>
      <c r="L1169" s="13" t="str">
        <f>IF(D1169&lt;&gt;"",VLOOKUP(H1169,TABLEITEM,2,FALSE),"")</f>
        <v/>
      </c>
      <c r="M1169" s="13" t="str">
        <f>IF(D1169&lt;&gt;"",VLOOKUP(H1169,TABLEITEM,3,FALSE),"")</f>
        <v>คาร์บอนไดออกไซด์ ขนาด 25 กก</v>
      </c>
      <c r="N1169" s="14">
        <f>INSTOCK!$I1169*INSTOCK!$K1169</f>
        <v>4200</v>
      </c>
      <c r="O1169" s="4"/>
      <c r="P1169" s="4"/>
    </row>
    <row r="1170" ht="15.75" hidden="1" customHeight="1">
      <c r="B1170" s="8">
        <v>1486.0</v>
      </c>
      <c r="C1170" s="9">
        <v>43383.0</v>
      </c>
      <c r="D1170" s="6">
        <v>6.1100145E7</v>
      </c>
      <c r="E1170" s="4"/>
      <c r="F1170" s="8" t="s">
        <v>604</v>
      </c>
      <c r="G1170" s="4" t="s">
        <v>1092</v>
      </c>
      <c r="H1170" s="10" t="s">
        <v>816</v>
      </c>
      <c r="I1170" s="10">
        <v>5.0</v>
      </c>
      <c r="J1170" s="11" t="str">
        <f>IF(D1170&lt;&gt;"",VLOOKUP(H1170,TABLEITEM,5,FALSE),"")</f>
        <v>ท่อ</v>
      </c>
      <c r="K1170" s="12">
        <v>600.0</v>
      </c>
      <c r="L1170" s="13" t="str">
        <f>IF(D1170&lt;&gt;"",VLOOKUP(H1170,TABLEITEM,2,FALSE),"")</f>
        <v/>
      </c>
      <c r="M1170" s="13" t="str">
        <f>IF(D1170&lt;&gt;"",VLOOKUP(H1170,TABLEITEM,3,FALSE),"")</f>
        <v>อาร์กอน ขนาด 6คิว</v>
      </c>
      <c r="N1170" s="14">
        <f>INSTOCK!$I1170*INSTOCK!$K1170</f>
        <v>3000</v>
      </c>
      <c r="O1170" s="4"/>
      <c r="P1170" s="4"/>
    </row>
    <row r="1171" ht="15.75" hidden="1" customHeight="1">
      <c r="B1171" s="8">
        <v>1487.0</v>
      </c>
      <c r="C1171" s="9">
        <v>43383.0</v>
      </c>
      <c r="D1171" s="6">
        <v>6.1100524E7</v>
      </c>
      <c r="E1171" s="4">
        <v>6.110001265E9</v>
      </c>
      <c r="F1171" s="8" t="s">
        <v>1459</v>
      </c>
      <c r="G1171" s="4" t="s">
        <v>711</v>
      </c>
      <c r="H1171" s="10" t="s">
        <v>109</v>
      </c>
      <c r="I1171" s="10">
        <v>20.0</v>
      </c>
      <c r="J1171" s="11" t="str">
        <f>IF(D1171&lt;&gt;"",VLOOKUP(H1171,TABLEITEM,5,FALSE),"")</f>
        <v>KG.</v>
      </c>
      <c r="K1171" s="12">
        <v>153.0</v>
      </c>
      <c r="L1171" s="13" t="str">
        <f>IF(D1171&lt;&gt;"",VLOOKUP(H1171,TABLEITEM,2,FALSE),"")</f>
        <v/>
      </c>
      <c r="M1171" s="13" t="str">
        <f>IF(D1171&lt;&gt;"",VLOOKUP(H1171,TABLEITEM,3,FALSE),"")</f>
        <v>สีฝุ่น P90097 BN</v>
      </c>
      <c r="N1171" s="14">
        <f>INSTOCK!$I1171*INSTOCK!$K1171</f>
        <v>3060</v>
      </c>
      <c r="O1171" s="4" t="s">
        <v>1460</v>
      </c>
      <c r="P1171" s="4"/>
    </row>
    <row r="1172" ht="15.75" hidden="1" customHeight="1">
      <c r="B1172" s="8">
        <v>1488.0</v>
      </c>
      <c r="C1172" s="9">
        <v>43383.0</v>
      </c>
      <c r="D1172" s="6" t="s">
        <v>1461</v>
      </c>
      <c r="E1172" s="4">
        <v>6.110001256E9</v>
      </c>
      <c r="F1172" s="8" t="s">
        <v>604</v>
      </c>
      <c r="G1172" s="4" t="s">
        <v>957</v>
      </c>
      <c r="H1172" s="10" t="s">
        <v>1193</v>
      </c>
      <c r="I1172" s="10">
        <v>200.0</v>
      </c>
      <c r="J1172" s="11" t="str">
        <f>IF(D1172&lt;&gt;"",VLOOKUP(H1172,TABLEITEM,5,FALSE),"")</f>
        <v>EA</v>
      </c>
      <c r="K1172" s="12">
        <v>100.0</v>
      </c>
      <c r="L1172" s="13" t="str">
        <f>IF(D1172&lt;&gt;"",VLOOKUP(H1172,TABLEITEM,2,FALSE),"")</f>
        <v/>
      </c>
      <c r="M1172" s="13" t="str">
        <f>IF(D1172&lt;&gt;"",VLOOKUP(H1172,TABLEITEM,3,FALSE),"")</f>
        <v>กุญแจเขาควายกันน้ำMS-306-2-1</v>
      </c>
      <c r="N1172" s="14">
        <f>INSTOCK!$I1172*INSTOCK!$K1172</f>
        <v>20000</v>
      </c>
      <c r="O1172" s="4"/>
      <c r="P1172" s="4"/>
    </row>
    <row r="1173" ht="15.75" hidden="1" customHeight="1">
      <c r="B1173" s="8">
        <v>1489.0</v>
      </c>
      <c r="C1173" s="9">
        <v>43382.0</v>
      </c>
      <c r="D1173" s="6" t="s">
        <v>1462</v>
      </c>
      <c r="E1173" s="4">
        <v>6.110001259E9</v>
      </c>
      <c r="F1173" s="8" t="s">
        <v>604</v>
      </c>
      <c r="G1173" s="4" t="s">
        <v>737</v>
      </c>
      <c r="H1173" s="10" t="s">
        <v>18</v>
      </c>
      <c r="I1173" s="10">
        <v>240.0</v>
      </c>
      <c r="J1173" s="11" t="str">
        <f>IF(D1173&lt;&gt;"",VLOOKUP(H1173,TABLEITEM,5,FALSE),"")</f>
        <v>EA</v>
      </c>
      <c r="K1173" s="12">
        <v>2.5</v>
      </c>
      <c r="L1173" s="13" t="str">
        <f>IF(D1173&lt;&gt;"",VLOOKUP(H1173,TABLEITEM,2,FALSE),"")</f>
        <v/>
      </c>
      <c r="M1173" s="13" t="str">
        <f>IF(D1173&lt;&gt;"",VLOOKUP(H1173,TABLEITEM,3,FALSE),"")</f>
        <v>ผ้าปิดจมูก</v>
      </c>
      <c r="N1173" s="14">
        <f>INSTOCK!$I1173*INSTOCK!$K1173</f>
        <v>600</v>
      </c>
      <c r="O1173" s="4" t="s">
        <v>763</v>
      </c>
      <c r="P1173" s="4"/>
    </row>
    <row r="1174" ht="15.75" hidden="1" customHeight="1">
      <c r="B1174" s="8">
        <v>1490.0</v>
      </c>
      <c r="C1174" s="9">
        <v>43382.0</v>
      </c>
      <c r="D1174" s="6">
        <v>7005.0</v>
      </c>
      <c r="E1174" s="4">
        <v>6.110001257E9</v>
      </c>
      <c r="F1174" s="8" t="s">
        <v>604</v>
      </c>
      <c r="G1174" s="4" t="s">
        <v>1009</v>
      </c>
      <c r="H1174" s="10" t="s">
        <v>126</v>
      </c>
      <c r="I1174" s="10">
        <v>200.0</v>
      </c>
      <c r="J1174" s="11" t="str">
        <f>IF(D1174&lt;&gt;"",VLOOKUP(H1174,TABLEITEM,5,FALSE),"")</f>
        <v>EA</v>
      </c>
      <c r="K1174" s="12">
        <v>200.0</v>
      </c>
      <c r="L1174" s="13" t="str">
        <f>IF(D1174&lt;&gt;"",VLOOKUP(H1174,TABLEITEM,2,FALSE),"")</f>
        <v/>
      </c>
      <c r="M1174" s="13" t="str">
        <f>IF(D1174&lt;&gt;"",VLOOKUP(H1174,TABLEITEM,3,FALSE),"")</f>
        <v>กุญแจMS306-1-1</v>
      </c>
      <c r="N1174" s="14">
        <f>INSTOCK!$I1174*INSTOCK!$K1174</f>
        <v>40000</v>
      </c>
      <c r="O1174" s="4"/>
      <c r="P1174" s="4"/>
    </row>
    <row r="1175" ht="15.75" hidden="1" customHeight="1">
      <c r="B1175" s="8">
        <v>1491.0</v>
      </c>
      <c r="C1175" s="9">
        <v>43382.0</v>
      </c>
      <c r="D1175" s="6">
        <v>36203.0</v>
      </c>
      <c r="E1175" s="4">
        <v>6.110001258E9</v>
      </c>
      <c r="F1175" s="8" t="s">
        <v>604</v>
      </c>
      <c r="G1175" s="4" t="s">
        <v>696</v>
      </c>
      <c r="H1175" s="10" t="s">
        <v>44</v>
      </c>
      <c r="I1175" s="10">
        <v>2.0</v>
      </c>
      <c r="J1175" s="11" t="str">
        <f>IF(D1175&lt;&gt;"",VLOOKUP(H1175,TABLEITEM,5,FALSE),"")</f>
        <v>ปี๊ป</v>
      </c>
      <c r="K1175" s="12">
        <v>370.0</v>
      </c>
      <c r="L1175" s="13" t="str">
        <f>IF(D1175&lt;&gt;"",VLOOKUP(H1175,TABLEITEM,2,FALSE),"")</f>
        <v/>
      </c>
      <c r="M1175" s="13" t="str">
        <f>IF(D1175&lt;&gt;"",VLOOKUP(H1175,TABLEITEM,3,FALSE),"")</f>
        <v>ทินเนอร์ AAA</v>
      </c>
      <c r="N1175" s="14">
        <f>INSTOCK!$I1175*INSTOCK!$K1175</f>
        <v>740</v>
      </c>
      <c r="O1175" s="4"/>
      <c r="P1175" s="4"/>
    </row>
    <row r="1176" ht="15.75" hidden="1" customHeight="1">
      <c r="B1176" s="8">
        <v>1492.0</v>
      </c>
      <c r="C1176" s="9">
        <v>43382.0</v>
      </c>
      <c r="D1176" s="6">
        <v>36203.0</v>
      </c>
      <c r="E1176" s="4">
        <v>6.110001258E9</v>
      </c>
      <c r="F1176" s="8" t="s">
        <v>604</v>
      </c>
      <c r="G1176" s="4" t="s">
        <v>696</v>
      </c>
      <c r="H1176" s="10" t="s">
        <v>43</v>
      </c>
      <c r="I1176" s="10">
        <v>3.0</v>
      </c>
      <c r="J1176" s="11" t="str">
        <f>IF(D1176&lt;&gt;"",VLOOKUP(H1176,TABLEITEM,5,FALSE),"")</f>
        <v>ปี๊ป</v>
      </c>
      <c r="K1176" s="12">
        <v>590.0</v>
      </c>
      <c r="L1176" s="13" t="str">
        <f>IF(D1176&lt;&gt;"",VLOOKUP(H1176,TABLEITEM,2,FALSE),"")</f>
        <v/>
      </c>
      <c r="M1176" s="13" t="str">
        <f>IF(D1176&lt;&gt;"",VLOOKUP(H1176,TABLEITEM,3,FALSE),"")</f>
        <v>ทินเนอร์อคลิลิค</v>
      </c>
      <c r="N1176" s="14">
        <f>INSTOCK!$I1176*INSTOCK!$K1176</f>
        <v>1770</v>
      </c>
      <c r="O1176" s="4"/>
      <c r="P1176" s="4"/>
    </row>
    <row r="1177" ht="15.75" hidden="1" customHeight="1">
      <c r="B1177" s="8">
        <v>1493.0</v>
      </c>
      <c r="C1177" s="9">
        <v>43381.0</v>
      </c>
      <c r="D1177" s="6">
        <v>6.1100393E7</v>
      </c>
      <c r="E1177" s="4">
        <v>6.110001253E9</v>
      </c>
      <c r="F1177" s="8" t="s">
        <v>1459</v>
      </c>
      <c r="G1177" s="4" t="s">
        <v>711</v>
      </c>
      <c r="H1177" s="10" t="s">
        <v>109</v>
      </c>
      <c r="I1177" s="10">
        <v>20.0</v>
      </c>
      <c r="J1177" s="11" t="str">
        <f>IF(D1177&lt;&gt;"",VLOOKUP(H1177,TABLEITEM,5,FALSE),"")</f>
        <v>KG.</v>
      </c>
      <c r="K1177" s="12">
        <v>153.0</v>
      </c>
      <c r="L1177" s="13" t="str">
        <f>IF(D1177&lt;&gt;"",VLOOKUP(H1177,TABLEITEM,2,FALSE),"")</f>
        <v/>
      </c>
      <c r="M1177" s="13" t="str">
        <f>IF(D1177&lt;&gt;"",VLOOKUP(H1177,TABLEITEM,3,FALSE),"")</f>
        <v>สีฝุ่น P90097 BN</v>
      </c>
      <c r="N1177" s="14">
        <f>INSTOCK!$I1177*INSTOCK!$K1177</f>
        <v>3060</v>
      </c>
      <c r="O1177" s="4" t="s">
        <v>1460</v>
      </c>
      <c r="P1177" s="4"/>
    </row>
    <row r="1178" ht="15.75" hidden="1" customHeight="1">
      <c r="B1178" s="8">
        <v>1494.0</v>
      </c>
      <c r="C1178" s="9">
        <v>43378.0</v>
      </c>
      <c r="D1178" s="6" t="s">
        <v>1463</v>
      </c>
      <c r="E1178" s="4">
        <v>6.110001239E9</v>
      </c>
      <c r="F1178" s="8" t="s">
        <v>604</v>
      </c>
      <c r="G1178" s="4" t="s">
        <v>965</v>
      </c>
      <c r="H1178" s="10" t="s">
        <v>67</v>
      </c>
      <c r="I1178" s="10">
        <v>12.0</v>
      </c>
      <c r="J1178" s="11" t="str">
        <f>IF(D1178&lt;&gt;"",VLOOKUP(H1178,TABLEITEM,5,FALSE),"")</f>
        <v>กป.</v>
      </c>
      <c r="K1178" s="12">
        <v>41.6667</v>
      </c>
      <c r="L1178" s="13" t="str">
        <f>IF(D1178&lt;&gt;"",VLOOKUP(H1178,TABLEITEM,2,FALSE),"")</f>
        <v/>
      </c>
      <c r="M1178" s="13" t="str">
        <f>IF(D1178&lt;&gt;"",VLOOKUP(H1178,TABLEITEM,3,FALSE),"")</f>
        <v>สีสเปรย์ สีฟ้า</v>
      </c>
      <c r="N1178" s="14">
        <f>INSTOCK!$I1178*INSTOCK!$K1178</f>
        <v>500.0004</v>
      </c>
      <c r="O1178" s="4" t="s">
        <v>1464</v>
      </c>
      <c r="P1178" s="4"/>
    </row>
    <row r="1179" ht="15.75" hidden="1" customHeight="1">
      <c r="B1179" s="8">
        <v>1495.0</v>
      </c>
      <c r="C1179" s="9">
        <v>43376.0</v>
      </c>
      <c r="D1179" s="6" t="s">
        <v>1465</v>
      </c>
      <c r="E1179" s="4"/>
      <c r="F1179" s="8" t="s">
        <v>801</v>
      </c>
      <c r="G1179" s="4" t="s">
        <v>802</v>
      </c>
      <c r="H1179" s="10" t="s">
        <v>803</v>
      </c>
      <c r="I1179" s="10">
        <v>15.0</v>
      </c>
      <c r="J1179" s="11" t="str">
        <f>IF(D1179&lt;&gt;"",VLOOKUP(H1179,TABLEITEM,5,FALSE),"")</f>
        <v>ถัง</v>
      </c>
      <c r="K1179" s="12">
        <v>1140.19</v>
      </c>
      <c r="L1179" s="13" t="str">
        <f>IF(D1179&lt;&gt;"",VLOOKUP(H1179,TABLEITEM,2,FALSE),"")</f>
        <v/>
      </c>
      <c r="M1179" s="13" t="str">
        <f>IF(D1179&lt;&gt;"",VLOOKUP(H1179,TABLEITEM,3,FALSE),"")</f>
        <v>แก๊สหุงต้ม 48กก</v>
      </c>
      <c r="N1179" s="14">
        <f>INSTOCK!$I1179*INSTOCK!$K1179</f>
        <v>17102.85</v>
      </c>
      <c r="O1179" s="4"/>
      <c r="P1179" s="4"/>
    </row>
    <row r="1180" ht="15.75" hidden="1" customHeight="1">
      <c r="B1180" s="8">
        <v>1496.0</v>
      </c>
      <c r="C1180" s="9">
        <v>43376.0</v>
      </c>
      <c r="D1180" s="6" t="s">
        <v>1466</v>
      </c>
      <c r="E1180" s="4">
        <v>6.110001228E9</v>
      </c>
      <c r="F1180" s="8" t="s">
        <v>604</v>
      </c>
      <c r="G1180" s="4" t="s">
        <v>737</v>
      </c>
      <c r="H1180" s="10" t="s">
        <v>20</v>
      </c>
      <c r="I1180" s="10">
        <v>10.0</v>
      </c>
      <c r="J1180" s="11" t="str">
        <f>IF(D1180&lt;&gt;"",VLOOKUP(H1180,TABLEITEM,5,FALSE),"")</f>
        <v>ROLL</v>
      </c>
      <c r="K1180" s="12">
        <v>750.0</v>
      </c>
      <c r="L1180" s="13" t="str">
        <f>IF(D1180&lt;&gt;"",VLOOKUP(H1180,TABLEITEM,2,FALSE),"")</f>
        <v/>
      </c>
      <c r="M1180" s="13" t="str">
        <f>IF(D1180&lt;&gt;"",VLOOKUP(H1180,TABLEITEM,3,FALSE),"")</f>
        <v>ลวดเชื่อมco2</v>
      </c>
      <c r="N1180" s="14">
        <f>INSTOCK!$I1180*INSTOCK!$K1180</f>
        <v>7500</v>
      </c>
      <c r="O1180" s="4" t="s">
        <v>1409</v>
      </c>
      <c r="P1180" s="4"/>
    </row>
    <row r="1181" ht="15.75" hidden="1" customHeight="1">
      <c r="B1181" s="8">
        <v>1497.0</v>
      </c>
      <c r="C1181" s="9">
        <v>43376.0</v>
      </c>
      <c r="D1181" s="6" t="s">
        <v>1467</v>
      </c>
      <c r="E1181" s="4">
        <v>6.11000123E9</v>
      </c>
      <c r="F1181" s="8" t="s">
        <v>604</v>
      </c>
      <c r="G1181" s="4" t="s">
        <v>743</v>
      </c>
      <c r="H1181" s="10" t="s">
        <v>75</v>
      </c>
      <c r="I1181" s="10">
        <v>200.0</v>
      </c>
      <c r="J1181" s="11" t="str">
        <f>IF(D1181&lt;&gt;"",VLOOKUP(H1181,TABLEITEM,5,FALSE),"")</f>
        <v>KG.</v>
      </c>
      <c r="K1181" s="12">
        <v>149.35</v>
      </c>
      <c r="L1181" s="13" t="str">
        <f>IF(D1181&lt;&gt;"",VLOOKUP(H1181,TABLEITEM,2,FALSE),"")</f>
        <v/>
      </c>
      <c r="M1181" s="13" t="str">
        <f>IF(D1181&lt;&gt;"",VLOOKUP(H1181,TABLEITEM,3,FALSE),"")</f>
        <v>สีฝุ่น สีครีมย่น 1002735PX20</v>
      </c>
      <c r="N1181" s="14">
        <f>INSTOCK!$I1181*INSTOCK!$K1181</f>
        <v>29870</v>
      </c>
      <c r="O1181" s="4"/>
      <c r="P1181" s="4"/>
    </row>
    <row r="1182" ht="15.75" hidden="1" customHeight="1">
      <c r="B1182" s="8">
        <v>1498.0</v>
      </c>
      <c r="C1182" s="9">
        <v>43376.0</v>
      </c>
      <c r="D1182" s="6" t="s">
        <v>1468</v>
      </c>
      <c r="E1182" s="4">
        <v>6.110001231E9</v>
      </c>
      <c r="F1182" s="8" t="s">
        <v>604</v>
      </c>
      <c r="G1182" s="4" t="s">
        <v>765</v>
      </c>
      <c r="H1182" s="10" t="s">
        <v>85</v>
      </c>
      <c r="I1182" s="10">
        <v>200.0</v>
      </c>
      <c r="J1182" s="11" t="str">
        <f>IF(D1182&lt;&gt;"",VLOOKUP(H1182,TABLEITEM,5,FALSE),"")</f>
        <v>KG.</v>
      </c>
      <c r="K1182" s="12">
        <v>112.0</v>
      </c>
      <c r="L1182" s="13" t="str">
        <f>IF(D1182&lt;&gt;"",VLOOKUP(H1182,TABLEITEM,2,FALSE),"")</f>
        <v/>
      </c>
      <c r="M1182" s="13" t="str">
        <f>IF(D1182&lt;&gt;"",VLOOKUP(H1182,TABLEITEM,3,FALSE),"")</f>
        <v>สีฝุ่น GH433241 สีเทาย่น</v>
      </c>
      <c r="N1182" s="14">
        <f>INSTOCK!$I1182*INSTOCK!$K1182</f>
        <v>22400</v>
      </c>
      <c r="O1182" s="4"/>
      <c r="P1182" s="4"/>
    </row>
    <row r="1183" ht="15.75" hidden="1" customHeight="1">
      <c r="B1183" s="8">
        <v>1499.0</v>
      </c>
      <c r="C1183" s="9">
        <v>43375.0</v>
      </c>
      <c r="D1183" s="6" t="s">
        <v>1469</v>
      </c>
      <c r="E1183" s="4">
        <v>6.110001225E9</v>
      </c>
      <c r="F1183" s="8" t="s">
        <v>1470</v>
      </c>
      <c r="G1183" s="4" t="s">
        <v>702</v>
      </c>
      <c r="H1183" s="10" t="s">
        <v>93</v>
      </c>
      <c r="I1183" s="10">
        <v>20.0</v>
      </c>
      <c r="J1183" s="11" t="str">
        <f>IF(D1183&lt;&gt;"",VLOOKUP(H1183,TABLEITEM,5,FALSE),"")</f>
        <v>KG.</v>
      </c>
      <c r="K1183" s="12">
        <v>130.0</v>
      </c>
      <c r="L1183" s="13" t="str">
        <f>IF(D1183&lt;&gt;"",VLOOKUP(H1183,TABLEITEM,2,FALSE),"")</f>
        <v/>
      </c>
      <c r="M1183" s="13" t="str">
        <f>IF(D1183&lt;&gt;"",VLOOKUP(H1183,TABLEITEM,3,FALSE),"")</f>
        <v>สีฝุ่น FF110/981/c </v>
      </c>
      <c r="N1183" s="14">
        <f>INSTOCK!$I1183*INSTOCK!$K1183</f>
        <v>2600</v>
      </c>
      <c r="O1183" s="4"/>
      <c r="P1183" s="4"/>
    </row>
    <row r="1184" ht="15.75" hidden="1" customHeight="1">
      <c r="B1184" s="8">
        <v>1500.0</v>
      </c>
      <c r="C1184" s="9">
        <v>43375.0</v>
      </c>
      <c r="D1184" s="6" t="s">
        <v>1471</v>
      </c>
      <c r="E1184" s="4">
        <v>6.110001224E9</v>
      </c>
      <c r="F1184" s="8" t="s">
        <v>807</v>
      </c>
      <c r="G1184" s="4" t="s">
        <v>808</v>
      </c>
      <c r="H1184" s="10" t="s">
        <v>809</v>
      </c>
      <c r="I1184" s="10">
        <v>1.0</v>
      </c>
      <c r="J1184" s="11" t="str">
        <f>IF(D1184&lt;&gt;"",VLOOKUP(H1184,TABLEITEM,5,FALSE),"")</f>
        <v>ท่อ</v>
      </c>
      <c r="K1184" s="12">
        <v>2700.0</v>
      </c>
      <c r="L1184" s="13" t="str">
        <f>IF(D1184&lt;&gt;"",VLOOKUP(H1184,TABLEITEM,2,FALSE),"")</f>
        <v/>
      </c>
      <c r="M1184" s="13" t="str">
        <f>IF(D1184&lt;&gt;"",VLOOKUP(H1184,TABLEITEM,3,FALSE),"")</f>
        <v>ไนโตรเจนเหลว ขนาด 100คิว</v>
      </c>
      <c r="N1184" s="14">
        <f>INSTOCK!$I1184*INSTOCK!$K1184</f>
        <v>2700</v>
      </c>
      <c r="O1184" s="4"/>
      <c r="P1184" s="4"/>
    </row>
    <row r="1185" ht="15.75" hidden="1" customHeight="1">
      <c r="B1185" s="8">
        <v>1501.0</v>
      </c>
      <c r="C1185" s="9">
        <v>43375.0</v>
      </c>
      <c r="D1185" s="6" t="s">
        <v>1472</v>
      </c>
      <c r="E1185" s="4">
        <v>6.109001209E9</v>
      </c>
      <c r="F1185" s="8" t="s">
        <v>604</v>
      </c>
      <c r="G1185" s="4" t="s">
        <v>725</v>
      </c>
      <c r="H1185" s="10" t="s">
        <v>26</v>
      </c>
      <c r="I1185" s="10">
        <v>2000.0</v>
      </c>
      <c r="J1185" s="11" t="str">
        <f>IF(D1185&lt;&gt;"",VLOOKUP(H1185,TABLEITEM,5,FALSE),"")</f>
        <v>M</v>
      </c>
      <c r="K1185" s="12">
        <v>18.0</v>
      </c>
      <c r="L1185" s="13" t="str">
        <f>IF(D1185&lt;&gt;"",VLOOKUP(H1185,TABLEITEM,2,FALSE),"")</f>
        <v/>
      </c>
      <c r="M1185" s="13" t="str">
        <f>IF(D1185&lt;&gt;"",VLOOKUP(H1185,TABLEITEM,3,FALSE),"")</f>
        <v>ยางโปร่ง#110</v>
      </c>
      <c r="N1185" s="14">
        <f>INSTOCK!$I1185*INSTOCK!$K1185</f>
        <v>36000</v>
      </c>
      <c r="O1185" s="4"/>
      <c r="P1185" s="4"/>
    </row>
    <row r="1186" ht="15.75" hidden="1" customHeight="1">
      <c r="B1186" s="8">
        <v>1502.0</v>
      </c>
      <c r="C1186" s="9">
        <v>43375.0</v>
      </c>
      <c r="D1186" s="6" t="s">
        <v>1473</v>
      </c>
      <c r="E1186" s="4">
        <v>6.110001226E9</v>
      </c>
      <c r="F1186" s="8" t="s">
        <v>1474</v>
      </c>
      <c r="G1186" s="4" t="s">
        <v>1258</v>
      </c>
      <c r="H1186" s="10" t="s">
        <v>1261</v>
      </c>
      <c r="I1186" s="10">
        <v>20.0</v>
      </c>
      <c r="J1186" s="11" t="str">
        <f>IF(D1186&lt;&gt;"",VLOOKUP(H1186,TABLEITEM,5,FALSE),"")</f>
        <v>KG.</v>
      </c>
      <c r="K1186" s="12">
        <v>130.0</v>
      </c>
      <c r="L1186" s="13" t="str">
        <f>IF(D1186&lt;&gt;"",VLOOKUP(H1186,TABLEITEM,2,FALSE),"")</f>
        <v/>
      </c>
      <c r="M1186" s="13" t="str">
        <f>IF(D1186&lt;&gt;"",VLOOKUP(H1186,TABLEITEM,3,FALSE),"")</f>
        <v>สีฝุ่น HB 45014 N GREY</v>
      </c>
      <c r="N1186" s="14">
        <f>INSTOCK!$I1186*INSTOCK!$K1186</f>
        <v>2600</v>
      </c>
      <c r="O1186" s="4"/>
      <c r="P1186" s="4"/>
    </row>
    <row r="1187" ht="15.75" hidden="1" customHeight="1">
      <c r="B1187" s="8">
        <v>1503.0</v>
      </c>
      <c r="C1187" s="9">
        <v>43375.0</v>
      </c>
      <c r="D1187" s="6" t="s">
        <v>1475</v>
      </c>
      <c r="E1187" s="4">
        <v>6.110001233E9</v>
      </c>
      <c r="F1187" s="8" t="s">
        <v>604</v>
      </c>
      <c r="G1187" s="4" t="s">
        <v>692</v>
      </c>
      <c r="H1187" s="10" t="s">
        <v>513</v>
      </c>
      <c r="I1187" s="10">
        <v>200.0</v>
      </c>
      <c r="J1187" s="11" t="str">
        <f>IF(D1187&lt;&gt;"",VLOOKUP(H1187,TABLEITEM,5,FALSE),"")</f>
        <v>M</v>
      </c>
      <c r="K1187" s="12">
        <v>35.955</v>
      </c>
      <c r="L1187" s="13" t="str">
        <f>IF(D1187&lt;&gt;"",VLOOKUP(H1187,TABLEITEM,2,FALSE),"")</f>
        <v>wire</v>
      </c>
      <c r="M1187" s="13" t="str">
        <f>IF(D1187&lt;&gt;"",VLOOKUP(H1187,TABLEITEM,3,FALSE),"")</f>
        <v>สายTHW ขนาด 1x16 SQMM.สีดำ</v>
      </c>
      <c r="N1187" s="14">
        <f>INSTOCK!$I1187*INSTOCK!$K1187</f>
        <v>7191</v>
      </c>
      <c r="O1187" s="4" t="s">
        <v>1476</v>
      </c>
      <c r="P1187" s="4"/>
    </row>
    <row r="1188" ht="15.75" hidden="1" customHeight="1">
      <c r="B1188" s="8">
        <v>1504.0</v>
      </c>
      <c r="C1188" s="9">
        <v>43131.0</v>
      </c>
      <c r="D1188" s="6" t="s">
        <v>1477</v>
      </c>
      <c r="E1188" s="4">
        <v>6.101000127E9</v>
      </c>
      <c r="F1188" s="8" t="s">
        <v>1478</v>
      </c>
      <c r="G1188" s="4" t="s">
        <v>1479</v>
      </c>
      <c r="H1188" s="10" t="s">
        <v>1480</v>
      </c>
      <c r="I1188" s="10">
        <v>2.0</v>
      </c>
      <c r="J1188" s="11" t="str">
        <f>IF(D1188&lt;&gt;"",VLOOKUP(H1188,TABLEITEM,5,FALSE),"")</f>
        <v>EA</v>
      </c>
      <c r="K1188" s="12">
        <v>284.0</v>
      </c>
      <c r="L1188" s="13" t="str">
        <f>IF(D1188&lt;&gt;"",VLOOKUP(H1188,TABLEITEM,2,FALSE),"")</f>
        <v/>
      </c>
      <c r="M1188" s="13" t="str">
        <f>IF(D1188&lt;&gt;"",VLOOKUP(H1188,TABLEITEM,3,FALSE),"")</f>
        <v>Printed marker for 5mm</v>
      </c>
      <c r="N1188" s="14">
        <f>INSTOCK!$I1188*INSTOCK!$K1188</f>
        <v>568</v>
      </c>
      <c r="O1188" s="4" t="s">
        <v>1481</v>
      </c>
      <c r="P1188" s="21" t="s">
        <v>1482</v>
      </c>
    </row>
    <row r="1189" ht="15.75" hidden="1" customHeight="1">
      <c r="B1189" s="8">
        <v>1505.0</v>
      </c>
      <c r="C1189" s="9">
        <v>43130.0</v>
      </c>
      <c r="D1189" s="6" t="s">
        <v>1483</v>
      </c>
      <c r="E1189" s="4">
        <v>6.101000125E9</v>
      </c>
      <c r="F1189" s="8" t="s">
        <v>1484</v>
      </c>
      <c r="G1189" s="4" t="s">
        <v>1485</v>
      </c>
      <c r="H1189" s="10" t="s">
        <v>1486</v>
      </c>
      <c r="I1189" s="10">
        <v>6.0</v>
      </c>
      <c r="J1189" s="11" t="str">
        <f>IF(D1189&lt;&gt;"",VLOOKUP(H1189,TABLEITEM,5,FALSE),"")</f>
        <v>EA</v>
      </c>
      <c r="K1189" s="12">
        <v>214.2</v>
      </c>
      <c r="L1189" s="13" t="str">
        <f>IF(D1189&lt;&gt;"",VLOOKUP(H1189,TABLEITEM,2,FALSE),"")</f>
        <v/>
      </c>
      <c r="M1189" s="13" t="str">
        <f>IF(D1189&lt;&gt;"",VLOOKUP(H1189,TABLEITEM,3,FALSE),"")</f>
        <v>MCB 1P 50A 6KA </v>
      </c>
      <c r="N1189" s="14">
        <f>INSTOCK!$I1189*INSTOCK!$K1189</f>
        <v>1285.2</v>
      </c>
      <c r="O1189" s="4" t="s">
        <v>1487</v>
      </c>
      <c r="P1189" s="4"/>
    </row>
    <row r="1190" ht="15.75" hidden="1" customHeight="1">
      <c r="B1190" s="8">
        <v>1506.0</v>
      </c>
      <c r="C1190" s="9">
        <v>43130.0</v>
      </c>
      <c r="D1190" s="6" t="s">
        <v>1483</v>
      </c>
      <c r="E1190" s="4">
        <v>6.101000125E9</v>
      </c>
      <c r="F1190" s="8" t="s">
        <v>1484</v>
      </c>
      <c r="G1190" s="4" t="s">
        <v>1485</v>
      </c>
      <c r="H1190" s="10" t="s">
        <v>1488</v>
      </c>
      <c r="I1190" s="10">
        <v>2.0</v>
      </c>
      <c r="J1190" s="11" t="str">
        <f>IF(D1190&lt;&gt;"",VLOOKUP(H1190,TABLEITEM,5,FALSE),"")</f>
        <v>EA</v>
      </c>
      <c r="K1190" s="12">
        <v>94.5</v>
      </c>
      <c r="L1190" s="13" t="str">
        <f>IF(D1190&lt;&gt;"",VLOOKUP(H1190,TABLEITEM,2,FALSE),"")</f>
        <v/>
      </c>
      <c r="M1190" s="13" t="str">
        <f>IF(D1190&lt;&gt;"",VLOOKUP(H1190,TABLEITEM,3,FALSE),"")</f>
        <v>MCB 1P 32A 6KA</v>
      </c>
      <c r="N1190" s="14">
        <f>INSTOCK!$I1190*INSTOCK!$K1190</f>
        <v>189</v>
      </c>
      <c r="O1190" s="4" t="s">
        <v>1487</v>
      </c>
      <c r="P1190" s="4"/>
    </row>
    <row r="1191" ht="15.75" hidden="1" customHeight="1">
      <c r="B1191" s="8">
        <v>1507.0</v>
      </c>
      <c r="C1191" s="9">
        <v>43130.0</v>
      </c>
      <c r="D1191" s="6" t="s">
        <v>1483</v>
      </c>
      <c r="E1191" s="4">
        <v>6.101000125E9</v>
      </c>
      <c r="F1191" s="8" t="s">
        <v>1484</v>
      </c>
      <c r="G1191" s="4" t="s">
        <v>1485</v>
      </c>
      <c r="H1191" s="10" t="s">
        <v>1489</v>
      </c>
      <c r="I1191" s="10">
        <v>1.0</v>
      </c>
      <c r="J1191" s="11" t="str">
        <f>IF(D1191&lt;&gt;"",VLOOKUP(H1191,TABLEITEM,5,FALSE),"")</f>
        <v>EA</v>
      </c>
      <c r="K1191" s="12">
        <v>94.5</v>
      </c>
      <c r="L1191" s="13" t="str">
        <f>IF(D1191&lt;&gt;"",VLOOKUP(H1191,TABLEITEM,2,FALSE),"")</f>
        <v/>
      </c>
      <c r="M1191" s="13" t="str">
        <f>IF(D1191&lt;&gt;"",VLOOKUP(H1191,TABLEITEM,3,FALSE),"")</f>
        <v>MCB 1P 16A 6KA</v>
      </c>
      <c r="N1191" s="14">
        <f>INSTOCK!$I1191*INSTOCK!$K1191</f>
        <v>94.5</v>
      </c>
      <c r="O1191" s="4" t="s">
        <v>1487</v>
      </c>
      <c r="P1191" s="4"/>
    </row>
    <row r="1192" ht="15.75" hidden="1" customHeight="1">
      <c r="B1192" s="8">
        <v>1508.0</v>
      </c>
      <c r="C1192" s="9">
        <v>43130.0</v>
      </c>
      <c r="D1192" s="6" t="s">
        <v>1483</v>
      </c>
      <c r="E1192" s="4">
        <v>6.101000125E9</v>
      </c>
      <c r="F1192" s="8" t="s">
        <v>1484</v>
      </c>
      <c r="G1192" s="4" t="s">
        <v>1485</v>
      </c>
      <c r="H1192" s="10" t="s">
        <v>1490</v>
      </c>
      <c r="I1192" s="10">
        <v>1.0</v>
      </c>
      <c r="J1192" s="11" t="str">
        <f>IF(D1192&lt;&gt;"",VLOOKUP(H1192,TABLEITEM,5,FALSE),"")</f>
        <v>EA</v>
      </c>
      <c r="K1192" s="12">
        <v>1213.8</v>
      </c>
      <c r="L1192" s="13" t="str">
        <f>IF(D1192&lt;&gt;"",VLOOKUP(H1192,TABLEITEM,2,FALSE),"")</f>
        <v/>
      </c>
      <c r="M1192" s="13" t="str">
        <f>IF(D1192&lt;&gt;"",VLOOKUP(H1192,TABLEITEM,3,FALSE),"")</f>
        <v>MCB 3P 50A 6KA</v>
      </c>
      <c r="N1192" s="14">
        <f>INSTOCK!$I1192*INSTOCK!$K1192</f>
        <v>1213.8</v>
      </c>
      <c r="O1192" s="4" t="s">
        <v>1487</v>
      </c>
      <c r="P1192" s="4"/>
    </row>
    <row r="1193" ht="15.75" hidden="1" customHeight="1">
      <c r="B1193" s="8">
        <v>1509.0</v>
      </c>
      <c r="C1193" s="9">
        <v>43127.0</v>
      </c>
      <c r="D1193" s="6">
        <v>6.10107323E8</v>
      </c>
      <c r="E1193" s="4">
        <v>6.101000116E9</v>
      </c>
      <c r="F1193" s="8" t="s">
        <v>604</v>
      </c>
      <c r="G1193" s="4" t="s">
        <v>1130</v>
      </c>
      <c r="H1193" s="10" t="s">
        <v>1491</v>
      </c>
      <c r="I1193" s="10">
        <v>10.0</v>
      </c>
      <c r="J1193" s="11" t="str">
        <f>IF(D1193&lt;&gt;"",VLOOKUP(H1193,TABLEITEM,5,FALSE),"")</f>
        <v>EA</v>
      </c>
      <c r="K1193" s="12">
        <v>15.84</v>
      </c>
      <c r="L1193" s="13" t="str">
        <f>IF(D1193&lt;&gt;"",VLOOKUP(H1193,TABLEITEM,2,FALSE),"")</f>
        <v/>
      </c>
      <c r="M1193" s="13" t="str">
        <f>IF(D1193&lt;&gt;"",VLOOKUP(H1193,TABLEITEM,3,FALSE),"")</f>
        <v>ฝา WEAG-6803W</v>
      </c>
      <c r="N1193" s="14">
        <f>INSTOCK!$I1193*INSTOCK!$K1193</f>
        <v>158.4</v>
      </c>
      <c r="O1193" s="4" t="s">
        <v>1492</v>
      </c>
      <c r="P1193" s="4" t="s">
        <v>1493</v>
      </c>
    </row>
    <row r="1194" ht="15.75" hidden="1" customHeight="1">
      <c r="B1194" s="8">
        <v>1510.0</v>
      </c>
      <c r="C1194" s="9">
        <v>43126.0</v>
      </c>
      <c r="D1194" s="6" t="s">
        <v>1494</v>
      </c>
      <c r="E1194" s="4">
        <v>6.101000099E9</v>
      </c>
      <c r="F1194" s="8" t="s">
        <v>1495</v>
      </c>
      <c r="G1194" s="4" t="s">
        <v>1496</v>
      </c>
      <c r="H1194" s="10" t="s">
        <v>1497</v>
      </c>
      <c r="I1194" s="10">
        <v>1.0</v>
      </c>
      <c r="J1194" s="11" t="str">
        <f>IF(D1194&lt;&gt;"",VLOOKUP(H1194,TABLEITEM,5,FALSE),"")</f>
        <v>EA</v>
      </c>
      <c r="K1194" s="12">
        <v>8254.0</v>
      </c>
      <c r="L1194" s="13" t="str">
        <f>IF(D1194&lt;&gt;"",VLOOKUP(H1194,TABLEITEM,2,FALSE),"")</f>
        <v/>
      </c>
      <c r="M1194" s="13" t="str">
        <f>IF(D1194&lt;&gt;"",VLOOKUP(H1194,TABLEITEM,3,FALSE),"")</f>
        <v>SURGE MS230/3+1 125A</v>
      </c>
      <c r="N1194" s="14">
        <f>INSTOCK!$I1194*INSTOCK!$K1194</f>
        <v>8254</v>
      </c>
      <c r="O1194" s="4" t="s">
        <v>1498</v>
      </c>
      <c r="P1194" s="4"/>
    </row>
    <row r="1195" ht="15.75" hidden="1" customHeight="1">
      <c r="B1195" s="8">
        <v>1511.0</v>
      </c>
      <c r="C1195" s="9">
        <v>43125.0</v>
      </c>
      <c r="D1195" s="6" t="s">
        <v>1499</v>
      </c>
      <c r="E1195" s="4" t="s">
        <v>1500</v>
      </c>
      <c r="F1195" s="8" t="s">
        <v>1495</v>
      </c>
      <c r="G1195" s="4" t="s">
        <v>1501</v>
      </c>
      <c r="H1195" s="10" t="s">
        <v>1502</v>
      </c>
      <c r="I1195" s="10">
        <v>3.0</v>
      </c>
      <c r="J1195" s="11" t="str">
        <f>IF(D1195&lt;&gt;"",VLOOKUP(H1195,TABLEITEM,5,FALSE),"")</f>
        <v>EA</v>
      </c>
      <c r="K1195" s="12">
        <v>266.76</v>
      </c>
      <c r="L1195" s="13" t="str">
        <f>IF(D1195&lt;&gt;"",VLOOKUP(H1195,TABLEITEM,2,FALSE),"")</f>
        <v/>
      </c>
      <c r="M1195" s="13" t="str">
        <f>IF(D1195&lt;&gt;"",VLOOKUP(H1195,TABLEITEM,3,FALSE),"")</f>
        <v>FUSE LINK #00 125A</v>
      </c>
      <c r="N1195" s="14">
        <f>INSTOCK!$I1195*INSTOCK!$K1195</f>
        <v>800.28</v>
      </c>
      <c r="O1195" s="4" t="s">
        <v>1503</v>
      </c>
      <c r="P1195" s="4" t="s">
        <v>1504</v>
      </c>
    </row>
    <row r="1196" ht="15.75" hidden="1" customHeight="1">
      <c r="B1196" s="8">
        <v>1512.0</v>
      </c>
      <c r="C1196" s="9">
        <v>43125.0</v>
      </c>
      <c r="D1196" s="6" t="s">
        <v>1499</v>
      </c>
      <c r="E1196" s="4" t="s">
        <v>1500</v>
      </c>
      <c r="F1196" s="8" t="s">
        <v>1495</v>
      </c>
      <c r="G1196" s="4" t="s">
        <v>1501</v>
      </c>
      <c r="H1196" s="10" t="s">
        <v>1505</v>
      </c>
      <c r="I1196" s="10">
        <v>1.0</v>
      </c>
      <c r="J1196" s="11" t="str">
        <f>IF(D1196&lt;&gt;"",VLOOKUP(H1196,TABLEITEM,5,FALSE),"")</f>
        <v>EA</v>
      </c>
      <c r="K1196" s="12">
        <v>974.7</v>
      </c>
      <c r="L1196" s="13" t="str">
        <f>IF(D1196&lt;&gt;"",VLOOKUP(H1196,TABLEITEM,2,FALSE),"")</f>
        <v/>
      </c>
      <c r="M1196" s="13" t="str">
        <f>IF(D1196&lt;&gt;"",VLOOKUP(H1196,TABLEITEM,3,FALSE),"")</f>
        <v>FUSE XLP #00 3P</v>
      </c>
      <c r="N1196" s="14">
        <f>INSTOCK!$I1196*INSTOCK!$K1196</f>
        <v>974.7</v>
      </c>
      <c r="O1196" s="4" t="s">
        <v>1506</v>
      </c>
      <c r="P1196" s="4" t="s">
        <v>1504</v>
      </c>
    </row>
    <row r="1197" ht="15.75" hidden="1" customHeight="1">
      <c r="B1197" s="8">
        <v>1513.0</v>
      </c>
      <c r="C1197" s="9">
        <v>43125.0</v>
      </c>
      <c r="D1197" s="6" t="s">
        <v>1499</v>
      </c>
      <c r="E1197" s="4" t="s">
        <v>1500</v>
      </c>
      <c r="F1197" s="8" t="s">
        <v>1495</v>
      </c>
      <c r="G1197" s="4" t="s">
        <v>1501</v>
      </c>
      <c r="H1197" s="10" t="s">
        <v>1507</v>
      </c>
      <c r="I1197" s="10">
        <v>1.0</v>
      </c>
      <c r="J1197" s="11" t="str">
        <f>IF(D1197&lt;&gt;"",VLOOKUP(H1197,TABLEITEM,5,FALSE),"")</f>
        <v>EA</v>
      </c>
      <c r="K1197" s="12">
        <v>1580.0</v>
      </c>
      <c r="L1197" s="13" t="str">
        <f>IF(D1197&lt;&gt;"",VLOOKUP(H1197,TABLEITEM,2,FALSE),"")</f>
        <v/>
      </c>
      <c r="M1197" s="13" t="str">
        <f>IF(D1197&lt;&gt;"",VLOOKUP(H1197,TABLEITEM,3,FALSE),"")</f>
        <v>XT1C TMD160 3P 25KA</v>
      </c>
      <c r="N1197" s="14">
        <f>INSTOCK!$I1197*INSTOCK!$K1197</f>
        <v>1580</v>
      </c>
      <c r="O1197" s="4" t="s">
        <v>1508</v>
      </c>
      <c r="P1197" s="4" t="s">
        <v>1504</v>
      </c>
    </row>
    <row r="1198" ht="15.75" hidden="1" customHeight="1">
      <c r="B1198" s="8">
        <v>1514.0</v>
      </c>
      <c r="C1198" s="9">
        <v>43125.0</v>
      </c>
      <c r="D1198" s="6" t="s">
        <v>1499</v>
      </c>
      <c r="E1198" s="4" t="s">
        <v>1500</v>
      </c>
      <c r="F1198" s="8" t="s">
        <v>1495</v>
      </c>
      <c r="G1198" s="4" t="s">
        <v>1501</v>
      </c>
      <c r="H1198" s="10" t="s">
        <v>1509</v>
      </c>
      <c r="I1198" s="10">
        <v>5.0</v>
      </c>
      <c r="J1198" s="11" t="str">
        <f>IF(D1198&lt;&gt;"",VLOOKUP(H1198,TABLEITEM,5,FALSE),"")</f>
        <v>EA</v>
      </c>
      <c r="K1198" s="12">
        <v>1160.0</v>
      </c>
      <c r="L1198" s="13" t="str">
        <f>IF(D1198&lt;&gt;"",VLOOKUP(H1198,TABLEITEM,2,FALSE),"")</f>
        <v/>
      </c>
      <c r="M1198" s="13" t="str">
        <f>IF(D1198&lt;&gt;"",VLOOKUP(H1198,TABLEITEM,3,FALSE),"")</f>
        <v>MCCB TMF40 3P 18KA</v>
      </c>
      <c r="N1198" s="14">
        <f>INSTOCK!$I1198*INSTOCK!$K1198</f>
        <v>5800</v>
      </c>
      <c r="O1198" s="4" t="s">
        <v>1510</v>
      </c>
      <c r="P1198" s="4" t="s">
        <v>1504</v>
      </c>
    </row>
    <row r="1199" ht="15.75" hidden="1" customHeight="1">
      <c r="B1199" s="8">
        <v>1515.0</v>
      </c>
      <c r="C1199" s="9">
        <v>43125.0</v>
      </c>
      <c r="D1199" s="6" t="s">
        <v>1511</v>
      </c>
      <c r="E1199" s="4">
        <v>6.101000106E9</v>
      </c>
      <c r="F1199" s="8" t="s">
        <v>1495</v>
      </c>
      <c r="G1199" s="4" t="s">
        <v>1512</v>
      </c>
      <c r="H1199" s="10" t="s">
        <v>1513</v>
      </c>
      <c r="I1199" s="10">
        <v>3.0</v>
      </c>
      <c r="J1199" s="11" t="str">
        <f>IF(D1199&lt;&gt;"",VLOOKUP(H1199,TABLEITEM,5,FALSE),"")</f>
        <v>EA</v>
      </c>
      <c r="K1199" s="12">
        <v>648.0</v>
      </c>
      <c r="L1199" s="13" t="str">
        <f>IF(D1199&lt;&gt;"",VLOOKUP(H1199,TABLEITEM,2,FALSE),"")</f>
        <v/>
      </c>
      <c r="M1199" s="13" t="str">
        <f>IF(D1199&lt;&gt;"",VLOOKUP(H1199,TABLEITEM,3,FALSE),"")</f>
        <v>CRC AS1B-200/5 3.75VA</v>
      </c>
      <c r="N1199" s="14">
        <f>INSTOCK!$I1199*INSTOCK!$K1199</f>
        <v>1944</v>
      </c>
      <c r="O1199" s="4" t="s">
        <v>1514</v>
      </c>
      <c r="P1199" s="4"/>
    </row>
    <row r="1200" ht="15.75" hidden="1" customHeight="1">
      <c r="B1200" s="8">
        <v>1516.0</v>
      </c>
      <c r="C1200" s="9">
        <v>43122.0</v>
      </c>
      <c r="D1200" s="6" t="s">
        <v>1515</v>
      </c>
      <c r="E1200" s="4">
        <v>6.101000082E9</v>
      </c>
      <c r="F1200" s="8"/>
      <c r="G1200" s="4" t="s">
        <v>1516</v>
      </c>
      <c r="H1200" s="10" t="s">
        <v>1517</v>
      </c>
      <c r="I1200" s="10">
        <v>3.0</v>
      </c>
      <c r="J1200" s="11" t="str">
        <f>IF(D1200&lt;&gt;"",VLOOKUP(H1200,TABLEITEM,5,FALSE),"")</f>
        <v>EA</v>
      </c>
      <c r="K1200" s="12">
        <v>146.25</v>
      </c>
      <c r="L1200" s="13" t="str">
        <f>IF(D1200&lt;&gt;"",VLOOKUP(H1200,TABLEITEM,2,FALSE),"")</f>
        <v/>
      </c>
      <c r="M1200" s="13" t="str">
        <f>IF(D1200&lt;&gt;"",VLOOKUP(H1200,TABLEITEM,3,FALSE),"")</f>
        <v>Power plug ตัวเมียเฉียง 3P+E+N 16A</v>
      </c>
      <c r="N1200" s="14">
        <f>INSTOCK!$I1200*INSTOCK!$K1200</f>
        <v>438.75</v>
      </c>
      <c r="O1200" s="4" t="s">
        <v>1518</v>
      </c>
      <c r="P1200" s="4"/>
    </row>
    <row r="1201" ht="15.75" hidden="1" customHeight="1">
      <c r="B1201" s="8">
        <v>1517.0</v>
      </c>
      <c r="C1201" s="9">
        <v>43122.0</v>
      </c>
      <c r="D1201" s="6" t="s">
        <v>1515</v>
      </c>
      <c r="E1201" s="4">
        <v>6.101000082E9</v>
      </c>
      <c r="F1201" s="8"/>
      <c r="G1201" s="4" t="s">
        <v>1516</v>
      </c>
      <c r="H1201" s="10" t="s">
        <v>1519</v>
      </c>
      <c r="I1201" s="10">
        <v>3.0</v>
      </c>
      <c r="J1201" s="11" t="str">
        <f>IF(D1201&lt;&gt;"",VLOOKUP(H1201,TABLEITEM,5,FALSE),"")</f>
        <v>EA</v>
      </c>
      <c r="K1201" s="12">
        <v>103.5</v>
      </c>
      <c r="L1201" s="13" t="str">
        <f>IF(D1201&lt;&gt;"",VLOOKUP(H1201,TABLEITEM,2,FALSE),"")</f>
        <v/>
      </c>
      <c r="M1201" s="13" t="str">
        <f>IF(D1201&lt;&gt;"",VLOOKUP(H1201,TABLEITEM,3,FALSE),"")</f>
        <v>Power plug ตัวผู้กลางทาง 3P+E+N 16A</v>
      </c>
      <c r="N1201" s="14">
        <f>INSTOCK!$I1201*INSTOCK!$K1201</f>
        <v>310.5</v>
      </c>
      <c r="O1201" s="4" t="s">
        <v>1520</v>
      </c>
      <c r="P1201" s="4"/>
    </row>
    <row r="1202" ht="15.75" hidden="1" customHeight="1">
      <c r="B1202" s="8">
        <v>1518.0</v>
      </c>
      <c r="C1202" s="9">
        <v>43119.0</v>
      </c>
      <c r="D1202" s="6" t="s">
        <v>1521</v>
      </c>
      <c r="E1202" s="4"/>
      <c r="F1202" s="8"/>
      <c r="G1202" s="4" t="s">
        <v>1522</v>
      </c>
      <c r="H1202" s="10" t="s">
        <v>1523</v>
      </c>
      <c r="I1202" s="10">
        <v>50.0</v>
      </c>
      <c r="J1202" s="11" t="str">
        <f>IF(D1202&lt;&gt;"",VLOOKUP(H1202,TABLEITEM,5,FALSE),"")</f>
        <v>EA</v>
      </c>
      <c r="K1202" s="12">
        <v>60.0</v>
      </c>
      <c r="L1202" s="13" t="str">
        <f>IF(D1202&lt;&gt;"",VLOOKUP(H1202,TABLEITEM,2,FALSE),"")</f>
        <v/>
      </c>
      <c r="M1202" s="13" t="str">
        <f>IF(D1202&lt;&gt;"",VLOOKUP(H1202,TABLEITEM,3,FALSE),"")</f>
        <v>หลอดปิงปองESS/บับ 3W/WW-PL/E</v>
      </c>
      <c r="N1202" s="14">
        <f>INSTOCK!$I1202*INSTOCK!$K1202</f>
        <v>3000</v>
      </c>
      <c r="O1202" s="4"/>
      <c r="P1202" s="4"/>
    </row>
    <row r="1203" ht="15.75" hidden="1" customHeight="1">
      <c r="B1203" s="8">
        <v>1519.0</v>
      </c>
      <c r="C1203" s="9">
        <v>43119.0</v>
      </c>
      <c r="D1203" s="6" t="s">
        <v>1524</v>
      </c>
      <c r="E1203" s="4">
        <v>6.101000077E9</v>
      </c>
      <c r="F1203" s="8" t="s">
        <v>1525</v>
      </c>
      <c r="G1203" s="4" t="s">
        <v>1479</v>
      </c>
      <c r="H1203" s="10" t="s">
        <v>1480</v>
      </c>
      <c r="I1203" s="10">
        <v>1.0</v>
      </c>
      <c r="J1203" s="11" t="str">
        <f>IF(D1203&lt;&gt;"",VLOOKUP(H1203,TABLEITEM,5,FALSE),"")</f>
        <v>EA</v>
      </c>
      <c r="K1203" s="12">
        <v>284.0</v>
      </c>
      <c r="L1203" s="13" t="str">
        <f>IF(D1203&lt;&gt;"",VLOOKUP(H1203,TABLEITEM,2,FALSE),"")</f>
        <v/>
      </c>
      <c r="M1203" s="13" t="str">
        <f>IF(D1203&lt;&gt;"",VLOOKUP(H1203,TABLEITEM,3,FALSE),"")</f>
        <v>Printed marker for 5mm</v>
      </c>
      <c r="N1203" s="14">
        <f>INSTOCK!$I1203*INSTOCK!$K1203</f>
        <v>284</v>
      </c>
      <c r="O1203" s="4"/>
      <c r="P1203" s="4"/>
    </row>
    <row r="1204" ht="15.75" hidden="1" customHeight="1">
      <c r="B1204" s="8">
        <v>1520.0</v>
      </c>
      <c r="C1204" s="9">
        <v>43118.0</v>
      </c>
      <c r="D1204" s="6" t="s">
        <v>1526</v>
      </c>
      <c r="E1204" s="4"/>
      <c r="F1204" s="8"/>
      <c r="G1204" s="4" t="s">
        <v>1522</v>
      </c>
      <c r="H1204" s="10" t="s">
        <v>1523</v>
      </c>
      <c r="I1204" s="10">
        <v>12.0</v>
      </c>
      <c r="J1204" s="11" t="str">
        <f>IF(D1204&lt;&gt;"",VLOOKUP(H1204,TABLEITEM,5,FALSE),"")</f>
        <v>EA</v>
      </c>
      <c r="K1204" s="12">
        <v>60.0</v>
      </c>
      <c r="L1204" s="13" t="str">
        <f>IF(D1204&lt;&gt;"",VLOOKUP(H1204,TABLEITEM,2,FALSE),"")</f>
        <v/>
      </c>
      <c r="M1204" s="13" t="str">
        <f>IF(D1204&lt;&gt;"",VLOOKUP(H1204,TABLEITEM,3,FALSE),"")</f>
        <v>หลอดปิงปองESS/บับ 3W/WW-PL/E</v>
      </c>
      <c r="N1204" s="14">
        <f>INSTOCK!$I1204*INSTOCK!$K1204</f>
        <v>720</v>
      </c>
      <c r="O1204" s="4"/>
      <c r="P1204" s="4"/>
    </row>
    <row r="1205" ht="15.75" hidden="1" customHeight="1">
      <c r="B1205" s="8">
        <v>1521.0</v>
      </c>
      <c r="C1205" s="9">
        <v>43118.0</v>
      </c>
      <c r="D1205" s="6" t="s">
        <v>1526</v>
      </c>
      <c r="E1205" s="4"/>
      <c r="F1205" s="8"/>
      <c r="G1205" s="4" t="s">
        <v>1522</v>
      </c>
      <c r="H1205" s="10" t="s">
        <v>1527</v>
      </c>
      <c r="I1205" s="10">
        <v>100.0</v>
      </c>
      <c r="J1205" s="11" t="str">
        <f>IF(D1205&lt;&gt;"",VLOOKUP(H1205,TABLEITEM,5,FALSE),"")</f>
        <v>EA</v>
      </c>
      <c r="K1205" s="12">
        <v>14.0</v>
      </c>
      <c r="L1205" s="13" t="str">
        <f>IF(D1205&lt;&gt;"",VLOOKUP(H1205,TABLEITEM,2,FALSE),"")</f>
        <v/>
      </c>
      <c r="M1205" s="13" t="str">
        <f>IF(D1205&lt;&gt;"",VLOOKUP(H1205,TABLEITEM,3,FALSE),"")</f>
        <v>ขั้วยางกันน้ำ (มอก)E27</v>
      </c>
      <c r="N1205" s="14">
        <f>INSTOCK!$I1205*INSTOCK!$K1205</f>
        <v>1400</v>
      </c>
      <c r="O1205" s="4"/>
      <c r="P1205" s="4"/>
    </row>
    <row r="1206" ht="15.75" hidden="1" customHeight="1">
      <c r="B1206" s="8">
        <v>1522.0</v>
      </c>
      <c r="C1206" s="9">
        <v>43117.0</v>
      </c>
      <c r="D1206" s="6" t="s">
        <v>1528</v>
      </c>
      <c r="E1206" s="4">
        <v>6.101000065E9</v>
      </c>
      <c r="F1206" s="8" t="s">
        <v>604</v>
      </c>
      <c r="G1206" s="4" t="s">
        <v>1529</v>
      </c>
      <c r="H1206" s="10" t="s">
        <v>1530</v>
      </c>
      <c r="I1206" s="10">
        <v>2000.0</v>
      </c>
      <c r="J1206" s="11" t="str">
        <f>IF(D1206&lt;&gt;"",VLOOKUP(H1206,TABLEITEM,5,FALSE),"")</f>
        <v>EA</v>
      </c>
      <c r="K1206" s="12">
        <v>1.9452</v>
      </c>
      <c r="L1206" s="13" t="str">
        <f>IF(D1206&lt;&gt;"",VLOOKUP(H1206,TABLEITEM,2,FALSE),"")</f>
        <v/>
      </c>
      <c r="M1206" s="13" t="str">
        <f>IF(D1206&lt;&gt;"",VLOOKUP(H1206,TABLEITEM,3,FALSE),"")</f>
        <v>หางปลากลมเปลือย 3.5-5</v>
      </c>
      <c r="N1206" s="14">
        <f>INSTOCK!$I1206*INSTOCK!$K1206</f>
        <v>3890.4</v>
      </c>
      <c r="O1206" s="4" t="s">
        <v>1531</v>
      </c>
      <c r="P1206" s="4" t="s">
        <v>1532</v>
      </c>
    </row>
    <row r="1207" ht="15.75" hidden="1" customHeight="1">
      <c r="B1207" s="8">
        <v>1523.0</v>
      </c>
      <c r="C1207" s="9">
        <v>43117.0</v>
      </c>
      <c r="D1207" s="6">
        <v>6.10104446E8</v>
      </c>
      <c r="E1207" s="4">
        <v>6.101000075E9</v>
      </c>
      <c r="F1207" s="8"/>
      <c r="G1207" s="4" t="s">
        <v>1130</v>
      </c>
      <c r="H1207" s="10" t="s">
        <v>300</v>
      </c>
      <c r="I1207" s="10">
        <v>600.0</v>
      </c>
      <c r="J1207" s="11" t="str">
        <f>IF(D1207&lt;&gt;"",VLOOKUP(H1207,TABLEITEM,5,FALSE),"")</f>
        <v>EA</v>
      </c>
      <c r="K1207" s="12">
        <v>5.525</v>
      </c>
      <c r="L1207" s="13" t="str">
        <f>IF(D1207&lt;&gt;"",VLOOKUP(H1207,TABLEITEM,2,FALSE),"")</f>
        <v/>
      </c>
      <c r="M1207" s="13" t="str">
        <f>IF(D1207&lt;&gt;"",VLOOKUP(H1207,TABLEITEM,3,FALSE),"")</f>
        <v>หางปลากลมเปลือย 22-8</v>
      </c>
      <c r="N1207" s="14">
        <f>INSTOCK!$I1207*INSTOCK!$K1207</f>
        <v>3315</v>
      </c>
      <c r="O1207" s="4" t="s">
        <v>1533</v>
      </c>
      <c r="P1207" s="4"/>
    </row>
    <row r="1208" ht="15.75" hidden="1" customHeight="1">
      <c r="B1208" s="8">
        <v>1524.0</v>
      </c>
      <c r="C1208" s="9">
        <v>43117.0</v>
      </c>
      <c r="D1208" s="6">
        <v>6.10104446E8</v>
      </c>
      <c r="E1208" s="4">
        <v>6.101000075E9</v>
      </c>
      <c r="F1208" s="8"/>
      <c r="G1208" s="4" t="s">
        <v>1130</v>
      </c>
      <c r="H1208" s="10" t="s">
        <v>1534</v>
      </c>
      <c r="I1208" s="10">
        <v>10.0</v>
      </c>
      <c r="J1208" s="11" t="str">
        <f>IF(D1208&lt;&gt;"",VLOOKUP(H1208,TABLEITEM,5,FALSE),"")</f>
        <v>EA</v>
      </c>
      <c r="K1208" s="12">
        <v>114.31</v>
      </c>
      <c r="L1208" s="13" t="str">
        <f>IF(D1208&lt;&gt;"",VLOOKUP(H1208,TABLEITEM,2,FALSE),"")</f>
        <v/>
      </c>
      <c r="M1208" s="13" t="str">
        <f>IF(D1208&lt;&gt;"",VLOOKUP(H1208,TABLEITEM,3,FALSE),"")</f>
        <v>ปลั๊กคู่มีกราวWNG 15923-7</v>
      </c>
      <c r="N1208" s="14">
        <f>INSTOCK!$I1208*INSTOCK!$K1208</f>
        <v>1143.1</v>
      </c>
      <c r="O1208" s="4" t="s">
        <v>1492</v>
      </c>
      <c r="P1208" s="4"/>
    </row>
    <row r="1209" ht="15.75" hidden="1" customHeight="1">
      <c r="B1209" s="8">
        <v>1525.0</v>
      </c>
      <c r="C1209" s="9">
        <v>43117.0</v>
      </c>
      <c r="D1209" s="6">
        <v>6.10104446E8</v>
      </c>
      <c r="E1209" s="4">
        <v>6.101000075E9</v>
      </c>
      <c r="F1209" s="8"/>
      <c r="G1209" s="4" t="s">
        <v>1130</v>
      </c>
      <c r="H1209" s="10" t="s">
        <v>1535</v>
      </c>
      <c r="I1209" s="10">
        <v>25.0</v>
      </c>
      <c r="J1209" s="11" t="str">
        <f>IF(D1209&lt;&gt;"",VLOOKUP(H1209,TABLEITEM,5,FALSE),"")</f>
        <v>EA</v>
      </c>
      <c r="K1209" s="12">
        <v>38.0</v>
      </c>
      <c r="L1209" s="13" t="str">
        <f>IF(D1209&lt;&gt;"",VLOOKUP(H1209,TABLEITEM,2,FALSE),"")</f>
        <v/>
      </c>
      <c r="M1209" s="13" t="str">
        <f>IF(D1209&lt;&gt;"",VLOOKUP(H1209,TABLEITEM,3,FALSE),"")</f>
        <v>หลอดนีออน 36W</v>
      </c>
      <c r="N1209" s="14">
        <f>INSTOCK!$I1209*INSTOCK!$K1209</f>
        <v>950</v>
      </c>
      <c r="O1209" s="4"/>
      <c r="P1209" s="4"/>
    </row>
    <row r="1210" ht="15.75" hidden="1" customHeight="1">
      <c r="B1210" s="8">
        <v>1526.0</v>
      </c>
      <c r="C1210" s="9">
        <v>43117.0</v>
      </c>
      <c r="D1210" s="6" t="s">
        <v>1536</v>
      </c>
      <c r="E1210" s="4">
        <v>6.101000056E9</v>
      </c>
      <c r="F1210" s="8" t="s">
        <v>604</v>
      </c>
      <c r="G1210" s="4" t="s">
        <v>1537</v>
      </c>
      <c r="H1210" s="10" t="s">
        <v>1538</v>
      </c>
      <c r="I1210" s="10">
        <v>5000.0</v>
      </c>
      <c r="J1210" s="11" t="str">
        <f>IF(D1210&lt;&gt;"",VLOOKUP(H1210,TABLEITEM,5,FALSE),"")</f>
        <v>EA</v>
      </c>
      <c r="K1210" s="12">
        <v>1.55</v>
      </c>
      <c r="L1210" s="13" t="str">
        <f>IF(D1210&lt;&gt;"",VLOOKUP(H1210,TABLEITEM,2,FALSE),"")</f>
        <v/>
      </c>
      <c r="M1210" s="13" t="str">
        <f>IF(D1210&lt;&gt;"",VLOOKUP(H1210,TABLEITEM,3,FALSE),"")</f>
        <v>รีเวท M6 / ลูกยิงป๊อบนัท M6</v>
      </c>
      <c r="N1210" s="14">
        <f>INSTOCK!$I1210*INSTOCK!$K1210</f>
        <v>7750</v>
      </c>
      <c r="O1210" s="4"/>
      <c r="P1210" s="4"/>
    </row>
    <row r="1211" ht="15.75" hidden="1" customHeight="1">
      <c r="B1211" s="8">
        <v>1527.0</v>
      </c>
      <c r="C1211" s="9">
        <v>43110.0</v>
      </c>
      <c r="D1211" s="6" t="s">
        <v>1539</v>
      </c>
      <c r="E1211" s="4">
        <v>6.101000037E9</v>
      </c>
      <c r="F1211" s="8" t="s">
        <v>633</v>
      </c>
      <c r="G1211" s="4" t="s">
        <v>1522</v>
      </c>
      <c r="H1211" s="10" t="s">
        <v>1540</v>
      </c>
      <c r="I1211" s="10">
        <v>10.0</v>
      </c>
      <c r="J1211" s="11" t="str">
        <f>IF(D1211&lt;&gt;"",VLOOKUP(H1211,TABLEITEM,5,FALSE),"")</f>
        <v>EA</v>
      </c>
      <c r="K1211" s="12">
        <v>136.0</v>
      </c>
      <c r="L1211" s="13" t="str">
        <f>IF(D1211&lt;&gt;"",VLOOKUP(H1211,TABLEITEM,2,FALSE),"")</f>
        <v/>
      </c>
      <c r="M1211" s="13" t="str">
        <f>IF(D1211&lt;&gt;"",VLOOKUP(H1211,TABLEITEM,3,FALSE),"")</f>
        <v>หลอด LED/บับ 10.5-85W/65K-PL</v>
      </c>
      <c r="N1211" s="14">
        <f>INSTOCK!$I1211*INSTOCK!$K1211</f>
        <v>1360</v>
      </c>
      <c r="O1211" s="4"/>
      <c r="P1211" s="4"/>
    </row>
    <row r="1212" ht="15.75" hidden="1" customHeight="1">
      <c r="B1212" s="8">
        <v>1528.0</v>
      </c>
      <c r="C1212" s="9">
        <v>43110.0</v>
      </c>
      <c r="D1212" s="6" t="s">
        <v>1541</v>
      </c>
      <c r="E1212" s="4"/>
      <c r="F1212" s="8" t="s">
        <v>633</v>
      </c>
      <c r="G1212" s="4" t="s">
        <v>1522</v>
      </c>
      <c r="H1212" s="10" t="s">
        <v>1542</v>
      </c>
      <c r="I1212" s="10">
        <v>3.0</v>
      </c>
      <c r="J1212" s="11" t="str">
        <f>IF(D1212&lt;&gt;"",VLOOKUP(H1212,TABLEITEM,5,FALSE),"")</f>
        <v>EA</v>
      </c>
      <c r="K1212" s="12">
        <v>220.0</v>
      </c>
      <c r="L1212" s="13" t="str">
        <f>IF(D1212&lt;&gt;"",VLOOKUP(H1212,TABLEITEM,2,FALSE),"")</f>
        <v/>
      </c>
      <c r="M1212" s="13" t="str">
        <f>IF(D1212&lt;&gt;"",VLOOKUP(H1212,TABLEITEM,3,FALSE),"")</f>
        <v>หลอดแสงจันทร์ HPL-N400W</v>
      </c>
      <c r="N1212" s="14">
        <f>INSTOCK!$I1212*INSTOCK!$K1212</f>
        <v>660</v>
      </c>
      <c r="O1212" s="4"/>
      <c r="P1212" s="4"/>
    </row>
    <row r="1213" ht="15.75" customHeight="1">
      <c r="B1213" s="8">
        <v>1529.0</v>
      </c>
      <c r="C1213" s="9">
        <v>43110.0</v>
      </c>
      <c r="D1213" s="6" t="s">
        <v>1541</v>
      </c>
      <c r="E1213" s="4"/>
      <c r="F1213" s="8" t="s">
        <v>633</v>
      </c>
      <c r="G1213" s="4" t="s">
        <v>1522</v>
      </c>
      <c r="H1213" s="10" t="s">
        <v>1543</v>
      </c>
      <c r="I1213" s="10">
        <v>20.0</v>
      </c>
      <c r="J1213" s="11" t="str">
        <f>IF(D1213&lt;&gt;"",VLOOKUP(H1213,TABLEITEM,5,FALSE),"")</f>
        <v>EA</v>
      </c>
      <c r="K1213" s="12">
        <v>55.0</v>
      </c>
      <c r="L1213" s="13" t="str">
        <f>IF(D1213&lt;&gt;"",VLOOKUP(H1213,TABLEITEM,2,FALSE),"")</f>
        <v/>
      </c>
      <c r="M1213" s="13" t="str">
        <f>IF(D1213&lt;&gt;"",VLOOKUP(H1213,TABLEITEM,3,FALSE),"")</f>
        <v>บ๊อกยางสนาม 2"x4" </v>
      </c>
      <c r="N1213" s="14">
        <f>INSTOCK!$I1213*INSTOCK!$K1213</f>
        <v>1100</v>
      </c>
      <c r="O1213" s="4"/>
      <c r="P1213" s="4"/>
    </row>
    <row r="1214" ht="15.75" hidden="1" customHeight="1">
      <c r="B1214" s="8">
        <v>1530.0</v>
      </c>
      <c r="C1214" s="9">
        <v>43393.0</v>
      </c>
      <c r="D1214" s="6">
        <v>36314.0</v>
      </c>
      <c r="E1214" s="4">
        <v>6.110001306E9</v>
      </c>
      <c r="F1214" s="8" t="s">
        <v>633</v>
      </c>
      <c r="G1214" s="4" t="s">
        <v>696</v>
      </c>
      <c r="H1214" s="10" t="s">
        <v>1544</v>
      </c>
      <c r="I1214" s="10">
        <v>1.0</v>
      </c>
      <c r="J1214" s="11" t="str">
        <f>IF(D1214&lt;&gt;"",VLOOKUP(H1214,TABLEITEM,5,FALSE),"")</f>
        <v>EA</v>
      </c>
      <c r="K1214" s="12">
        <v>7500.0</v>
      </c>
      <c r="L1214" s="13" t="str">
        <f>IF(D1214&lt;&gt;"",VLOOKUP(H1214,TABLEITEM,2,FALSE),"")</f>
        <v/>
      </c>
      <c r="M1214" s="13" t="str">
        <f>IF(D1214&lt;&gt;"",VLOOKUP(H1214,TABLEITEM,3,FALSE),"")</f>
        <v>ปั้มน้ำ WM-P350XS</v>
      </c>
      <c r="N1214" s="14">
        <f>INSTOCK!$I1214*INSTOCK!$K1214</f>
        <v>7500</v>
      </c>
      <c r="O1214" s="4" t="s">
        <v>1545</v>
      </c>
      <c r="P1214" s="4"/>
    </row>
    <row r="1215" ht="15.75" hidden="1" customHeight="1">
      <c r="B1215" s="8">
        <v>1531.0</v>
      </c>
      <c r="C1215" s="9">
        <v>43392.0</v>
      </c>
      <c r="D1215" s="6">
        <v>83726.0</v>
      </c>
      <c r="E1215" s="4">
        <v>6.110001307E9</v>
      </c>
      <c r="F1215" s="8" t="s">
        <v>604</v>
      </c>
      <c r="G1215" s="4" t="s">
        <v>1546</v>
      </c>
      <c r="H1215" s="10" t="s">
        <v>1547</v>
      </c>
      <c r="I1215" s="10">
        <v>10.0</v>
      </c>
      <c r="J1215" s="11" t="str">
        <f>IF(D1215&lt;&gt;"",VLOOKUP(H1215,TABLEITEM,5,FALSE),"")</f>
        <v>EA</v>
      </c>
      <c r="K1215" s="12">
        <v>490.0</v>
      </c>
      <c r="L1215" s="13" t="str">
        <f>IF(D1215&lt;&gt;"",VLOOKUP(H1215,TABLEITEM,2,FALSE),"")</f>
        <v/>
      </c>
      <c r="M1215" s="13" t="str">
        <f>IF(D1215&lt;&gt;"",VLOOKUP(H1215,TABLEITEM,3,FALSE),"")</f>
        <v>ล้อขัดใยสังเคราะห์ 100x100x35mmAC/R8</v>
      </c>
      <c r="N1215" s="14">
        <f>INSTOCK!$I1215*INSTOCK!$K1215</f>
        <v>4900</v>
      </c>
      <c r="O1215" s="4"/>
      <c r="P1215" s="4"/>
    </row>
    <row r="1216" ht="15.75" hidden="1" customHeight="1">
      <c r="B1216" s="8">
        <v>1532.0</v>
      </c>
      <c r="C1216" s="9">
        <v>43392.0</v>
      </c>
      <c r="D1216" s="6">
        <v>83726.0</v>
      </c>
      <c r="E1216" s="4">
        <v>6.110001307E9</v>
      </c>
      <c r="F1216" s="8" t="s">
        <v>604</v>
      </c>
      <c r="G1216" s="4" t="s">
        <v>1546</v>
      </c>
      <c r="H1216" s="10" t="s">
        <v>1548</v>
      </c>
      <c r="I1216" s="10">
        <v>2.0</v>
      </c>
      <c r="J1216" s="11" t="str">
        <f>IF(D1216&lt;&gt;"",VLOOKUP(H1216,TABLEITEM,5,FALSE),"")</f>
        <v>EA</v>
      </c>
      <c r="K1216" s="12">
        <v>150.0</v>
      </c>
      <c r="L1216" s="13" t="str">
        <f>IF(D1216&lt;&gt;"",VLOOKUP(H1216,TABLEITEM,2,FALSE),"")</f>
        <v/>
      </c>
      <c r="M1216" s="13" t="str">
        <f>IF(D1216&lt;&gt;"",VLOOKUP(H1216,TABLEITEM,3,FALSE),"")</f>
        <v>แปรงถ่านเครื่องขัดลายสเตนเลส</v>
      </c>
      <c r="N1216" s="14">
        <f>INSTOCK!$I1216*INSTOCK!$K1216</f>
        <v>300</v>
      </c>
      <c r="O1216" s="4"/>
      <c r="P1216" s="4"/>
    </row>
    <row r="1217" ht="15.75" hidden="1" customHeight="1">
      <c r="B1217" s="8">
        <v>1533.0</v>
      </c>
      <c r="C1217" s="9">
        <v>43390.0</v>
      </c>
      <c r="D1217" s="6" t="s">
        <v>1549</v>
      </c>
      <c r="E1217" s="4"/>
      <c r="F1217" s="8" t="s">
        <v>604</v>
      </c>
      <c r="G1217" s="4" t="s">
        <v>1522</v>
      </c>
      <c r="H1217" s="10" t="s">
        <v>1550</v>
      </c>
      <c r="I1217" s="10">
        <v>20.0</v>
      </c>
      <c r="J1217" s="11" t="str">
        <f>IF(D1217&lt;&gt;"",VLOOKUP(H1217,TABLEITEM,5,FALSE),"")</f>
        <v>EA</v>
      </c>
      <c r="K1217" s="12">
        <v>6.0</v>
      </c>
      <c r="L1217" s="13" t="str">
        <f>IF(D1217&lt;&gt;"",VLOOKUP(H1217,TABLEITEM,2,FALSE),"")</f>
        <v/>
      </c>
      <c r="M1217" s="13" t="str">
        <f>IF(D1217&lt;&gt;"",VLOOKUP(H1217,TABLEITEM,3,FALSE),"")</f>
        <v>แจ๊คตัวผู้ CAT5</v>
      </c>
      <c r="N1217" s="14">
        <f>INSTOCK!$I1217*INSTOCK!$K1217</f>
        <v>120</v>
      </c>
      <c r="O1217" s="4"/>
      <c r="P1217" s="4"/>
    </row>
    <row r="1218" ht="15.75" hidden="1" customHeight="1">
      <c r="B1218" s="8">
        <v>1534.0</v>
      </c>
      <c r="C1218" s="9">
        <v>43390.0</v>
      </c>
      <c r="D1218" s="6" t="s">
        <v>1549</v>
      </c>
      <c r="E1218" s="4"/>
      <c r="F1218" s="8" t="s">
        <v>604</v>
      </c>
      <c r="G1218" s="4" t="s">
        <v>1522</v>
      </c>
      <c r="H1218" s="10" t="s">
        <v>1551</v>
      </c>
      <c r="I1218" s="10">
        <v>20.0</v>
      </c>
      <c r="J1218" s="11" t="str">
        <f>IF(D1218&lt;&gt;"",VLOOKUP(H1218,TABLEITEM,5,FALSE),"")</f>
        <v>EA</v>
      </c>
      <c r="K1218" s="12">
        <v>9.0</v>
      </c>
      <c r="L1218" s="13" t="str">
        <f>IF(D1218&lt;&gt;"",VLOOKUP(H1218,TABLEITEM,2,FALSE),"")</f>
        <v/>
      </c>
      <c r="M1218" s="13" t="str">
        <f>IF(D1218&lt;&gt;"",VLOOKUP(H1218,TABLEITEM,3,FALSE),"")</f>
        <v>แจ๊คตัวผู้ CAT6</v>
      </c>
      <c r="N1218" s="14">
        <f>INSTOCK!$I1218*INSTOCK!$K1218</f>
        <v>180</v>
      </c>
      <c r="O1218" s="4"/>
      <c r="P1218" s="4"/>
    </row>
    <row r="1219" ht="15.75" hidden="1" customHeight="1">
      <c r="B1219" s="8">
        <v>1535.0</v>
      </c>
      <c r="C1219" s="9">
        <v>43390.0</v>
      </c>
      <c r="D1219" s="6">
        <v>6.11005472E8</v>
      </c>
      <c r="E1219" s="4">
        <v>6.110001295E9</v>
      </c>
      <c r="F1219" s="8"/>
      <c r="G1219" s="4" t="s">
        <v>1130</v>
      </c>
      <c r="H1219" s="10" t="s">
        <v>1552</v>
      </c>
      <c r="I1219" s="10">
        <v>7.0</v>
      </c>
      <c r="J1219" s="11" t="str">
        <f>IF(D1219&lt;&gt;"",VLOOKUP(H1219,TABLEITEM,5,FALSE),"")</f>
        <v>EA</v>
      </c>
      <c r="K1219" s="12">
        <v>1690.0</v>
      </c>
      <c r="L1219" s="13" t="str">
        <f>IF(D1219&lt;&gt;"",VLOOKUP(H1219,TABLEITEM,2,FALSE),"")</f>
        <v/>
      </c>
      <c r="M1219" s="13" t="str">
        <f>IF(D1219&lt;&gt;"",VLOOKUP(H1219,TABLEITEM,3,FALSE),"")</f>
        <v>RELAY G4Q-212S 220VAC</v>
      </c>
      <c r="N1219" s="14">
        <f>INSTOCK!$I1219*INSTOCK!$K1219</f>
        <v>11830</v>
      </c>
      <c r="O1219" s="4" t="s">
        <v>1553</v>
      </c>
      <c r="P1219" s="4"/>
    </row>
    <row r="1220" ht="15.75" hidden="1" customHeight="1">
      <c r="B1220" s="8">
        <v>1536.0</v>
      </c>
      <c r="C1220" s="9">
        <v>43390.0</v>
      </c>
      <c r="D1220" s="6">
        <v>6.11005472E8</v>
      </c>
      <c r="E1220" s="4">
        <v>6.110001295E9</v>
      </c>
      <c r="F1220" s="8"/>
      <c r="G1220" s="4" t="s">
        <v>1130</v>
      </c>
      <c r="H1220" s="10" t="s">
        <v>1554</v>
      </c>
      <c r="I1220" s="10">
        <v>36.0</v>
      </c>
      <c r="J1220" s="11" t="str">
        <f>IF(D1220&lt;&gt;"",VLOOKUP(H1220,TABLEITEM,5,FALSE),"")</f>
        <v>EA</v>
      </c>
      <c r="K1220" s="12">
        <v>106.0</v>
      </c>
      <c r="L1220" s="13" t="str">
        <f>IF(D1220&lt;&gt;"",VLOOKUP(H1220,TABLEITEM,2,FALSE),"")</f>
        <v/>
      </c>
      <c r="M1220" s="13" t="str">
        <f>IF(D1220&lt;&gt;"",VLOOKUP(H1220,TABLEITEM,3,FALSE),"")</f>
        <v>RELAY MY2N-GS 220/240VAC</v>
      </c>
      <c r="N1220" s="14">
        <f>INSTOCK!$I1220*INSTOCK!$K1220</f>
        <v>3816</v>
      </c>
      <c r="O1220" s="4"/>
      <c r="P1220" s="4"/>
    </row>
    <row r="1221" ht="15.75" hidden="1" customHeight="1">
      <c r="B1221" s="8">
        <v>1537.0</v>
      </c>
      <c r="C1221" s="9">
        <v>43390.0</v>
      </c>
      <c r="D1221" s="6">
        <v>6.11005472E8</v>
      </c>
      <c r="E1221" s="4">
        <v>6.110001295E9</v>
      </c>
      <c r="F1221" s="8"/>
      <c r="G1221" s="4" t="s">
        <v>1130</v>
      </c>
      <c r="H1221" s="10" t="s">
        <v>1555</v>
      </c>
      <c r="I1221" s="10">
        <v>50.0</v>
      </c>
      <c r="J1221" s="11" t="str">
        <f>IF(D1221&lt;&gt;"",VLOOKUP(H1221,TABLEITEM,5,FALSE),"")</f>
        <v>EA</v>
      </c>
      <c r="K1221" s="12">
        <v>40.0</v>
      </c>
      <c r="L1221" s="13" t="str">
        <f>IF(D1221&lt;&gt;"",VLOOKUP(H1221,TABLEITEM,2,FALSE),"")</f>
        <v/>
      </c>
      <c r="M1221" s="13" t="str">
        <f>IF(D1221&lt;&gt;"",VLOOKUP(H1221,TABLEITEM,3,FALSE),"")</f>
        <v>SOCKET PYF-08A-E </v>
      </c>
      <c r="N1221" s="14">
        <f>INSTOCK!$I1221*INSTOCK!$K1221</f>
        <v>2000</v>
      </c>
      <c r="O1221" s="4"/>
      <c r="P1221" s="4"/>
    </row>
    <row r="1222" ht="15.75" hidden="1" customHeight="1">
      <c r="B1222" s="8">
        <v>1538.0</v>
      </c>
      <c r="C1222" s="9">
        <v>43390.0</v>
      </c>
      <c r="D1222" s="6">
        <v>6.11005472E8</v>
      </c>
      <c r="E1222" s="4">
        <v>6.110001295E9</v>
      </c>
      <c r="F1222" s="8"/>
      <c r="G1222" s="4" t="s">
        <v>1130</v>
      </c>
      <c r="H1222" s="10" t="s">
        <v>1556</v>
      </c>
      <c r="I1222" s="10">
        <v>6.0</v>
      </c>
      <c r="J1222" s="11" t="str">
        <f>IF(D1222&lt;&gt;"",VLOOKUP(H1222,TABLEITEM,5,FALSE),"")</f>
        <v>EA</v>
      </c>
      <c r="K1222" s="12">
        <v>185.0</v>
      </c>
      <c r="L1222" s="13" t="str">
        <f>IF(D1222&lt;&gt;"",VLOOKUP(H1222,TABLEITEM,2,FALSE),"")</f>
        <v/>
      </c>
      <c r="M1222" s="13" t="str">
        <f>IF(D1222&lt;&gt;"",VLOOKUP(H1222,TABLEITEM,3,FALSE),"")</f>
        <v>SOCKET 8PFA-1</v>
      </c>
      <c r="N1222" s="14">
        <f>INSTOCK!$I1222*INSTOCK!$K1222</f>
        <v>1110</v>
      </c>
      <c r="O1222" s="4"/>
      <c r="P1222" s="4"/>
    </row>
    <row r="1223" ht="15.75" hidden="1" customHeight="1">
      <c r="B1223" s="8">
        <v>1539.0</v>
      </c>
      <c r="C1223" s="9">
        <v>43390.0</v>
      </c>
      <c r="D1223" s="6" t="s">
        <v>1557</v>
      </c>
      <c r="E1223" s="4">
        <v>6.110001294E9</v>
      </c>
      <c r="F1223" s="8" t="s">
        <v>1436</v>
      </c>
      <c r="G1223" s="4" t="s">
        <v>1485</v>
      </c>
      <c r="H1223" s="10" t="s">
        <v>1558</v>
      </c>
      <c r="I1223" s="10">
        <v>5.0</v>
      </c>
      <c r="J1223" s="11" t="str">
        <f>IF(D1223&lt;&gt;"",VLOOKUP(H1223,TABLEITEM,5,FALSE),"")</f>
        <v>EA</v>
      </c>
      <c r="K1223" s="12">
        <v>378.0</v>
      </c>
      <c r="L1223" s="13" t="str">
        <f>IF(D1223&lt;&gt;"",VLOOKUP(H1223,TABLEITEM,2,FALSE),"")</f>
        <v/>
      </c>
      <c r="M1223" s="13" t="str">
        <f>IF(D1223&lt;&gt;"",VLOOKUP(H1223,TABLEITEM,3,FALSE),"")</f>
        <v>CONTACTOR LC1D09M7</v>
      </c>
      <c r="N1223" s="14">
        <f>INSTOCK!$I1223*INSTOCK!$K1223</f>
        <v>1890</v>
      </c>
      <c r="O1223" s="4" t="s">
        <v>1487</v>
      </c>
      <c r="P1223" s="4"/>
    </row>
    <row r="1224" ht="15.75" hidden="1" customHeight="1">
      <c r="B1224" s="8">
        <v>1540.0</v>
      </c>
      <c r="C1224" s="9">
        <v>43390.0</v>
      </c>
      <c r="D1224" s="6" t="s">
        <v>1557</v>
      </c>
      <c r="E1224" s="4">
        <v>6.110001294E9</v>
      </c>
      <c r="F1224" s="8" t="s">
        <v>1436</v>
      </c>
      <c r="G1224" s="4" t="s">
        <v>1485</v>
      </c>
      <c r="H1224" s="10" t="s">
        <v>1559</v>
      </c>
      <c r="I1224" s="10">
        <v>1.0</v>
      </c>
      <c r="J1224" s="11" t="str">
        <f>IF(D1224&lt;&gt;"",VLOOKUP(H1224,TABLEITEM,5,FALSE),"")</f>
        <v>EA</v>
      </c>
      <c r="K1224" s="12">
        <v>1125.6</v>
      </c>
      <c r="L1224" s="13" t="str">
        <f>IF(D1224&lt;&gt;"",VLOOKUP(H1224,TABLEITEM,2,FALSE),"")</f>
        <v/>
      </c>
      <c r="M1224" s="13" t="str">
        <f>IF(D1224&lt;&gt;"",VLOOKUP(H1224,TABLEITEM,3,FALSE),"")</f>
        <v>CONTACTOR LC1D25M7</v>
      </c>
      <c r="N1224" s="14">
        <f>INSTOCK!$I1224*INSTOCK!$K1224</f>
        <v>1125.6</v>
      </c>
      <c r="O1224" s="4" t="s">
        <v>1487</v>
      </c>
      <c r="P1224" s="4"/>
    </row>
    <row r="1225" ht="15.75" hidden="1" customHeight="1">
      <c r="B1225" s="8">
        <v>1541.0</v>
      </c>
      <c r="C1225" s="9">
        <v>43390.0</v>
      </c>
      <c r="D1225" s="6" t="s">
        <v>1557</v>
      </c>
      <c r="E1225" s="4">
        <v>6.110001294E9</v>
      </c>
      <c r="F1225" s="8" t="s">
        <v>1436</v>
      </c>
      <c r="G1225" s="4" t="s">
        <v>1485</v>
      </c>
      <c r="H1225" s="10" t="s">
        <v>1560</v>
      </c>
      <c r="I1225" s="10">
        <v>14.0</v>
      </c>
      <c r="J1225" s="11" t="str">
        <f>IF(D1225&lt;&gt;"",VLOOKUP(H1225,TABLEITEM,5,FALSE),"")</f>
        <v>EA</v>
      </c>
      <c r="K1225" s="12">
        <v>331.8</v>
      </c>
      <c r="L1225" s="13" t="str">
        <f>IF(D1225&lt;&gt;"",VLOOKUP(H1225,TABLEITEM,2,FALSE),"")</f>
        <v/>
      </c>
      <c r="M1225" s="13" t="str">
        <f>IF(D1225&lt;&gt;"",VLOOKUP(H1225,TABLEITEM,3,FALSE),"")</f>
        <v>GV2&amp;GV3 AUXILIARY GVAD0110</v>
      </c>
      <c r="N1225" s="14">
        <f>INSTOCK!$I1225*INSTOCK!$K1225</f>
        <v>4645.2</v>
      </c>
      <c r="O1225" s="4" t="s">
        <v>1487</v>
      </c>
      <c r="P1225" s="4"/>
    </row>
    <row r="1226" ht="15.75" hidden="1" customHeight="1">
      <c r="B1226" s="8">
        <v>1542.0</v>
      </c>
      <c r="C1226" s="9">
        <v>43390.0</v>
      </c>
      <c r="D1226" s="6" t="s">
        <v>1557</v>
      </c>
      <c r="E1226" s="4">
        <v>6.110001294E9</v>
      </c>
      <c r="F1226" s="8" t="s">
        <v>1436</v>
      </c>
      <c r="G1226" s="4" t="s">
        <v>1485</v>
      </c>
      <c r="H1226" s="10" t="s">
        <v>1561</v>
      </c>
      <c r="I1226" s="10">
        <v>12.0</v>
      </c>
      <c r="J1226" s="11" t="str">
        <f>IF(D1226&lt;&gt;"",VLOOKUP(H1226,TABLEITEM,5,FALSE),"")</f>
        <v>EA</v>
      </c>
      <c r="K1226" s="12">
        <v>1125.6</v>
      </c>
      <c r="L1226" s="13" t="str">
        <f>IF(D1226&lt;&gt;"",VLOOKUP(H1226,TABLEITEM,2,FALSE),"")</f>
        <v/>
      </c>
      <c r="M1226" s="13" t="str">
        <f>IF(D1226&lt;&gt;"",VLOOKUP(H1226,TABLEITEM,3,FALSE),"")</f>
        <v>MOTOR CIRCUIT BRWAKER GV2ME10</v>
      </c>
      <c r="N1226" s="14">
        <f>INSTOCK!$I1226*INSTOCK!$K1226</f>
        <v>13507.2</v>
      </c>
      <c r="O1226" s="4" t="s">
        <v>1487</v>
      </c>
      <c r="P1226" s="4"/>
    </row>
    <row r="1227" ht="15.75" hidden="1" customHeight="1">
      <c r="B1227" s="8">
        <v>1543.0</v>
      </c>
      <c r="C1227" s="9">
        <v>43390.0</v>
      </c>
      <c r="D1227" s="6" t="s">
        <v>1557</v>
      </c>
      <c r="E1227" s="4">
        <v>6.110001294E9</v>
      </c>
      <c r="F1227" s="8" t="s">
        <v>1436</v>
      </c>
      <c r="G1227" s="4" t="s">
        <v>1485</v>
      </c>
      <c r="H1227" s="10" t="s">
        <v>1562</v>
      </c>
      <c r="I1227" s="10">
        <v>2.0</v>
      </c>
      <c r="J1227" s="11" t="str">
        <f>IF(D1227&lt;&gt;"",VLOOKUP(H1227,TABLEITEM,5,FALSE),"")</f>
        <v>EA</v>
      </c>
      <c r="K1227" s="12">
        <v>1251.6</v>
      </c>
      <c r="L1227" s="13" t="str">
        <f>IF(D1227&lt;&gt;"",VLOOKUP(H1227,TABLEITEM,2,FALSE),"")</f>
        <v/>
      </c>
      <c r="M1227" s="13" t="str">
        <f>IF(D1227&lt;&gt;"",VLOOKUP(H1227,TABLEITEM,3,FALSE),"")</f>
        <v>MOTOR CIRCUIT BRWAKER GV2ME16</v>
      </c>
      <c r="N1227" s="14">
        <f>INSTOCK!$I1227*INSTOCK!$K1227</f>
        <v>2503.2</v>
      </c>
      <c r="O1227" s="4" t="s">
        <v>1487</v>
      </c>
      <c r="P1227" s="4"/>
    </row>
    <row r="1228" ht="15.75" hidden="1" customHeight="1">
      <c r="B1228" s="8">
        <v>1544.0</v>
      </c>
      <c r="C1228" s="9">
        <v>43385.0</v>
      </c>
      <c r="D1228" s="6" t="s">
        <v>1563</v>
      </c>
      <c r="E1228" s="4">
        <v>6.110001263E9</v>
      </c>
      <c r="F1228" s="8" t="s">
        <v>604</v>
      </c>
      <c r="G1228" s="4" t="s">
        <v>1564</v>
      </c>
      <c r="H1228" s="10" t="s">
        <v>1565</v>
      </c>
      <c r="I1228" s="10">
        <v>100.0</v>
      </c>
      <c r="J1228" s="11" t="str">
        <f>IF(D1228&lt;&gt;"",VLOOKUP(H1228,TABLEITEM,5,FALSE),"")</f>
        <v>EA</v>
      </c>
      <c r="K1228" s="12">
        <v>18.0</v>
      </c>
      <c r="L1228" s="13" t="str">
        <f>IF(D1228&lt;&gt;"",VLOOKUP(H1228,TABLEITEM,2,FALSE),"")</f>
        <v/>
      </c>
      <c r="M1228" s="13" t="str">
        <f>IF(D1228&lt;&gt;"",VLOOKUP(H1228,TABLEITEM,3,FALSE),"")</f>
        <v>กาว BT-10M</v>
      </c>
      <c r="N1228" s="14">
        <f>INSTOCK!$I1228*INSTOCK!$K1228</f>
        <v>1800</v>
      </c>
      <c r="O1228" s="4"/>
      <c r="P1228" s="4"/>
    </row>
    <row r="1229" ht="15.75" hidden="1" customHeight="1">
      <c r="B1229" s="8">
        <v>1545.0</v>
      </c>
      <c r="C1229" s="9">
        <v>43385.0</v>
      </c>
      <c r="D1229" s="6">
        <v>6.11004638E8</v>
      </c>
      <c r="E1229" s="4">
        <v>6.11000128E9</v>
      </c>
      <c r="F1229" s="8"/>
      <c r="G1229" s="4" t="s">
        <v>1130</v>
      </c>
      <c r="H1229" s="10" t="s">
        <v>1566</v>
      </c>
      <c r="I1229" s="10">
        <v>1.0</v>
      </c>
      <c r="J1229" s="11" t="str">
        <f>IF(D1229&lt;&gt;"",VLOOKUP(H1229,TABLEITEM,5,FALSE),"")</f>
        <v>pcs</v>
      </c>
      <c r="K1229" s="12">
        <v>825.0</v>
      </c>
      <c r="L1229" s="13" t="str">
        <f>IF(D1229&lt;&gt;"",VLOOKUP(H1229,TABLEITEM,2,FALSE),"")</f>
        <v/>
      </c>
      <c r="M1229" s="13" t="str">
        <f>IF(D1229&lt;&gt;"",VLOOKUP(H1229,TABLEITEM,3,FALSE),"")</f>
        <v>พัดลม WB236-A2LG 220VAC 8"</v>
      </c>
      <c r="N1229" s="14">
        <f>INSTOCK!$I1229*INSTOCK!$K1229</f>
        <v>825</v>
      </c>
      <c r="O1229" s="4" t="s">
        <v>1567</v>
      </c>
      <c r="P1229" s="4"/>
    </row>
    <row r="1230" ht="15.75" hidden="1" customHeight="1">
      <c r="B1230" s="8">
        <v>1546.0</v>
      </c>
      <c r="C1230" s="9">
        <v>43384.0</v>
      </c>
      <c r="D1230" s="6" t="s">
        <v>1568</v>
      </c>
      <c r="E1230" s="4">
        <v>6.110001268E9</v>
      </c>
      <c r="F1230" s="8" t="s">
        <v>1569</v>
      </c>
      <c r="G1230" s="4" t="s">
        <v>692</v>
      </c>
      <c r="H1230" s="10" t="s">
        <v>1570</v>
      </c>
      <c r="I1230" s="10">
        <v>100.0</v>
      </c>
      <c r="J1230" s="11" t="str">
        <f>IF(D1230&lt;&gt;"",VLOOKUP(H1230,TABLEITEM,5,FALSE),"")</f>
        <v>M</v>
      </c>
      <c r="K1230" s="12">
        <v>16.262</v>
      </c>
      <c r="L1230" s="13" t="str">
        <f>IF(D1230&lt;&gt;"",VLOOKUP(H1230,TABLEITEM,2,FALSE),"")</f>
        <v/>
      </c>
      <c r="M1230" s="13" t="str">
        <f>IF(D1230&lt;&gt;"",VLOOKUP(H1230,TABLEITEM,3,FALSE),"")</f>
        <v>สายไฟ VCT 2x1.5SQMM</v>
      </c>
      <c r="N1230" s="14">
        <f>INSTOCK!$I1230*INSTOCK!$K1230</f>
        <v>1626.2</v>
      </c>
      <c r="O1230" s="4" t="s">
        <v>1571</v>
      </c>
      <c r="P1230" s="4"/>
    </row>
    <row r="1231" ht="15.75" hidden="1" customHeight="1">
      <c r="B1231" s="8">
        <v>1547.0</v>
      </c>
      <c r="C1231" s="9">
        <v>43384.0</v>
      </c>
      <c r="D1231" s="6" t="s">
        <v>1568</v>
      </c>
      <c r="E1231" s="4">
        <v>6.110001268E9</v>
      </c>
      <c r="F1231" s="8" t="s">
        <v>1569</v>
      </c>
      <c r="G1231" s="4" t="s">
        <v>692</v>
      </c>
      <c r="H1231" s="10" t="s">
        <v>1572</v>
      </c>
      <c r="I1231" s="10">
        <v>100.0</v>
      </c>
      <c r="J1231" s="11" t="str">
        <f>IF(D1231&lt;&gt;"",VLOOKUP(H1231,TABLEITEM,5,FALSE),"")</f>
        <v>M</v>
      </c>
      <c r="K1231" s="12">
        <v>20.633</v>
      </c>
      <c r="L1231" s="13" t="str">
        <f>IF(D1231&lt;&gt;"",VLOOKUP(H1231,TABLEITEM,2,FALSE),"")</f>
        <v/>
      </c>
      <c r="M1231" s="13" t="str">
        <f>IF(D1231&lt;&gt;"",VLOOKUP(H1231,TABLEITEM,3,FALSE),"")</f>
        <v>สายไฟ VCT 3x1.5SQMM</v>
      </c>
      <c r="N1231" s="14">
        <f>INSTOCK!$I1231*INSTOCK!$K1231</f>
        <v>2063.3</v>
      </c>
      <c r="O1231" s="4" t="s">
        <v>1573</v>
      </c>
      <c r="P1231" s="4"/>
    </row>
    <row r="1232" ht="15.75" hidden="1" customHeight="1">
      <c r="B1232" s="8">
        <v>1548.0</v>
      </c>
      <c r="C1232" s="9">
        <v>43384.0</v>
      </c>
      <c r="D1232" s="6" t="s">
        <v>1568</v>
      </c>
      <c r="E1232" s="4">
        <v>6.110001268E9</v>
      </c>
      <c r="F1232" s="8" t="s">
        <v>1569</v>
      </c>
      <c r="G1232" s="4" t="s">
        <v>692</v>
      </c>
      <c r="H1232" s="10" t="s">
        <v>1574</v>
      </c>
      <c r="I1232" s="10">
        <v>100.0</v>
      </c>
      <c r="J1232" s="11" t="str">
        <f>IF(D1232&lt;&gt;"",VLOOKUP(H1232,TABLEITEM,5,FALSE),"")</f>
        <v>M</v>
      </c>
      <c r="K1232" s="12">
        <v>26.696</v>
      </c>
      <c r="L1232" s="13" t="str">
        <f>IF(D1232&lt;&gt;"",VLOOKUP(H1232,TABLEITEM,2,FALSE),"")</f>
        <v/>
      </c>
      <c r="M1232" s="13" t="str">
        <f>IF(D1232&lt;&gt;"",VLOOKUP(H1232,TABLEITEM,3,FALSE),"")</f>
        <v>สายไฟ VCT 4x1.5SQMM</v>
      </c>
      <c r="N1232" s="14">
        <f>INSTOCK!$I1232*INSTOCK!$K1232</f>
        <v>2669.6</v>
      </c>
      <c r="O1232" s="4" t="s">
        <v>1575</v>
      </c>
      <c r="P1232" s="4"/>
    </row>
    <row r="1233" ht="15.75" hidden="1" customHeight="1">
      <c r="B1233" s="8">
        <v>1549.0</v>
      </c>
      <c r="C1233" s="9">
        <v>43384.0</v>
      </c>
      <c r="D1233" s="6" t="s">
        <v>1568</v>
      </c>
      <c r="E1233" s="4">
        <v>6.110001268E9</v>
      </c>
      <c r="F1233" s="8" t="s">
        <v>1569</v>
      </c>
      <c r="G1233" s="4" t="s">
        <v>692</v>
      </c>
      <c r="H1233" s="10" t="s">
        <v>1576</v>
      </c>
      <c r="I1233" s="10">
        <v>400.0</v>
      </c>
      <c r="J1233" s="11" t="str">
        <f>IF(D1233&lt;&gt;"",VLOOKUP(H1233,TABLEITEM,5,FALSE),"")</f>
        <v>M</v>
      </c>
      <c r="K1233" s="12">
        <v>38.07</v>
      </c>
      <c r="L1233" s="13" t="str">
        <f>IF(D1233&lt;&gt;"",VLOOKUP(H1233,TABLEITEM,2,FALSE),"")</f>
        <v/>
      </c>
      <c r="M1233" s="13" t="str">
        <f>IF(D1233&lt;&gt;"",VLOOKUP(H1233,TABLEITEM,3,FALSE),"")</f>
        <v>สายไฟ CV 1x16SQMM</v>
      </c>
      <c r="N1233" s="14">
        <f>INSTOCK!$I1233*INSTOCK!$K1233</f>
        <v>15228</v>
      </c>
      <c r="O1233" s="4" t="s">
        <v>1577</v>
      </c>
      <c r="P1233" s="4"/>
    </row>
    <row r="1234" ht="15.75" hidden="1" customHeight="1">
      <c r="B1234" s="8">
        <v>1550.0</v>
      </c>
      <c r="C1234" s="9">
        <v>43383.0</v>
      </c>
      <c r="D1234" s="6" t="s">
        <v>1578</v>
      </c>
      <c r="E1234" s="4">
        <v>6.110001261E9</v>
      </c>
      <c r="F1234" s="8" t="s">
        <v>604</v>
      </c>
      <c r="G1234" s="4" t="s">
        <v>1537</v>
      </c>
      <c r="H1234" s="10" t="s">
        <v>1538</v>
      </c>
      <c r="I1234" s="10">
        <v>5000.0</v>
      </c>
      <c r="J1234" s="11" t="str">
        <f>IF(D1234&lt;&gt;"",VLOOKUP(H1234,TABLEITEM,5,FALSE),"")</f>
        <v>EA</v>
      </c>
      <c r="K1234" s="12">
        <v>1.55</v>
      </c>
      <c r="L1234" s="13" t="str">
        <f>IF(D1234&lt;&gt;"",VLOOKUP(H1234,TABLEITEM,2,FALSE),"")</f>
        <v/>
      </c>
      <c r="M1234" s="13" t="str">
        <f>IF(D1234&lt;&gt;"",VLOOKUP(H1234,TABLEITEM,3,FALSE),"")</f>
        <v>รีเวท M6 / ลูกยิงป๊อบนัท M6</v>
      </c>
      <c r="N1234" s="14">
        <f>INSTOCK!$I1234*INSTOCK!$K1234</f>
        <v>7750</v>
      </c>
      <c r="O1234" s="4"/>
      <c r="P1234" s="4"/>
    </row>
    <row r="1235" ht="15.75" hidden="1" customHeight="1">
      <c r="B1235" s="8">
        <v>1551.0</v>
      </c>
      <c r="C1235" s="9">
        <v>43383.0</v>
      </c>
      <c r="D1235" s="6" t="s">
        <v>1579</v>
      </c>
      <c r="E1235" s="4">
        <v>6.110001269E9</v>
      </c>
      <c r="F1235" s="8" t="s">
        <v>1580</v>
      </c>
      <c r="G1235" s="4" t="s">
        <v>1485</v>
      </c>
      <c r="H1235" s="10" t="s">
        <v>1581</v>
      </c>
      <c r="I1235" s="10">
        <v>3.0</v>
      </c>
      <c r="J1235" s="11" t="str">
        <f>IF(D1235&lt;&gt;"",VLOOKUP(H1235,TABLEITEM,5,FALSE),"")</f>
        <v>EA</v>
      </c>
      <c r="K1235" s="12">
        <v>445.2</v>
      </c>
      <c r="L1235" s="13" t="str">
        <f>IF(D1235&lt;&gt;"",VLOOKUP(H1235,TABLEITEM,2,FALSE),"")</f>
        <v/>
      </c>
      <c r="M1235" s="13" t="str">
        <f>IF(D1235&lt;&gt;"",VLOOKUP(H1235,TABLEITEM,3,FALSE),"")</f>
        <v>HARMONY XB4 PB EMER XB4BS8442</v>
      </c>
      <c r="N1235" s="14">
        <f>INSTOCK!$I1235*INSTOCK!$K1235</f>
        <v>1335.6</v>
      </c>
      <c r="O1235" s="4" t="s">
        <v>1487</v>
      </c>
      <c r="P1235" s="4"/>
    </row>
    <row r="1236" ht="15.75" hidden="1" customHeight="1">
      <c r="B1236" s="8">
        <v>1552.0</v>
      </c>
      <c r="C1236" s="9">
        <v>43383.0</v>
      </c>
      <c r="D1236" s="6" t="s">
        <v>1579</v>
      </c>
      <c r="E1236" s="4">
        <v>6.110001269E9</v>
      </c>
      <c r="F1236" s="8" t="s">
        <v>1580</v>
      </c>
      <c r="G1236" s="4" t="s">
        <v>1485</v>
      </c>
      <c r="H1236" s="10" t="s">
        <v>1582</v>
      </c>
      <c r="I1236" s="10">
        <v>5.0</v>
      </c>
      <c r="J1236" s="11" t="str">
        <f>IF(D1236&lt;&gt;"",VLOOKUP(H1236,TABLEITEM,5,FALSE),"")</f>
        <v>EA</v>
      </c>
      <c r="K1236" s="12">
        <v>151.2</v>
      </c>
      <c r="L1236" s="13" t="str">
        <f>IF(D1236&lt;&gt;"",VLOOKUP(H1236,TABLEITEM,2,FALSE),"")</f>
        <v/>
      </c>
      <c r="M1236" s="13" t="str">
        <f>IF(D1236&lt;&gt;"",VLOOKUP(H1236,TABLEITEM,3,FALSE),"")</f>
        <v>HARMONY XB4 SELECTOR SWITCH ZB4BD2</v>
      </c>
      <c r="N1236" s="14">
        <f>INSTOCK!$I1236*INSTOCK!$K1236</f>
        <v>756</v>
      </c>
      <c r="O1236" s="4" t="s">
        <v>1487</v>
      </c>
      <c r="P1236" s="4"/>
    </row>
    <row r="1237" ht="15.75" hidden="1" customHeight="1">
      <c r="B1237" s="8">
        <v>1553.0</v>
      </c>
      <c r="C1237" s="9">
        <v>43383.0</v>
      </c>
      <c r="D1237" s="6" t="s">
        <v>1579</v>
      </c>
      <c r="E1237" s="4">
        <v>6.110001269E9</v>
      </c>
      <c r="F1237" s="8" t="s">
        <v>1580</v>
      </c>
      <c r="G1237" s="4" t="s">
        <v>1485</v>
      </c>
      <c r="H1237" s="10" t="s">
        <v>1583</v>
      </c>
      <c r="I1237" s="10">
        <v>5.0</v>
      </c>
      <c r="J1237" s="11" t="str">
        <f>IF(D1237&lt;&gt;"",VLOOKUP(H1237,TABLEITEM,5,FALSE),"")</f>
        <v>EA</v>
      </c>
      <c r="K1237" s="12">
        <v>151.2</v>
      </c>
      <c r="L1237" s="13" t="str">
        <f>IF(D1237&lt;&gt;"",VLOOKUP(H1237,TABLEITEM,2,FALSE),"")</f>
        <v/>
      </c>
      <c r="M1237" s="13" t="str">
        <f>IF(D1237&lt;&gt;"",VLOOKUP(H1237,TABLEITEM,3,FALSE),"")</f>
        <v>HARMONY XB4 SELECTOR SWITCH ZB4BD3</v>
      </c>
      <c r="N1237" s="14">
        <f>INSTOCK!$I1237*INSTOCK!$K1237</f>
        <v>756</v>
      </c>
      <c r="O1237" s="4" t="s">
        <v>1487</v>
      </c>
      <c r="P1237" s="4"/>
    </row>
    <row r="1238" ht="15.75" hidden="1" customHeight="1">
      <c r="B1238" s="8">
        <v>1554.0</v>
      </c>
      <c r="C1238" s="9">
        <v>43383.0</v>
      </c>
      <c r="D1238" s="6" t="s">
        <v>1579</v>
      </c>
      <c r="E1238" s="4">
        <v>6.110001269E9</v>
      </c>
      <c r="F1238" s="8" t="s">
        <v>1580</v>
      </c>
      <c r="G1238" s="4" t="s">
        <v>1485</v>
      </c>
      <c r="H1238" s="10" t="s">
        <v>1584</v>
      </c>
      <c r="I1238" s="10">
        <v>10.0</v>
      </c>
      <c r="J1238" s="11" t="str">
        <f>IF(D1238&lt;&gt;"",VLOOKUP(H1238,TABLEITEM,5,FALSE),"")</f>
        <v>EA</v>
      </c>
      <c r="K1238" s="12">
        <v>130.2</v>
      </c>
      <c r="L1238" s="13" t="str">
        <f>IF(D1238&lt;&gt;"",VLOOKUP(H1238,TABLEITEM,2,FALSE),"")</f>
        <v/>
      </c>
      <c r="M1238" s="13" t="str">
        <f>IF(D1238&lt;&gt;"",VLOOKUP(H1238,TABLEITEM,3,FALSE),"")</f>
        <v>HARMONY XB4 SINGLE CONTACT ZB4BZ101</v>
      </c>
      <c r="N1238" s="14">
        <f>INSTOCK!$I1238*INSTOCK!$K1238</f>
        <v>1302</v>
      </c>
      <c r="O1238" s="4" t="s">
        <v>1487</v>
      </c>
      <c r="P1238" s="4"/>
    </row>
    <row r="1239" ht="15.75" hidden="1" customHeight="1">
      <c r="B1239" s="8">
        <v>1555.0</v>
      </c>
      <c r="C1239" s="9">
        <v>43381.0</v>
      </c>
      <c r="D1239" s="6" t="s">
        <v>1585</v>
      </c>
      <c r="E1239" s="4">
        <v>6.11000126E9</v>
      </c>
      <c r="F1239" s="8" t="s">
        <v>1586</v>
      </c>
      <c r="G1239" s="4" t="s">
        <v>1587</v>
      </c>
      <c r="H1239" s="10" t="s">
        <v>1588</v>
      </c>
      <c r="I1239" s="10">
        <v>3.0</v>
      </c>
      <c r="J1239" s="11" t="str">
        <f>IF(D1239&lt;&gt;"",VLOOKUP(H1239,TABLEITEM,5,FALSE),"")</f>
        <v>EA</v>
      </c>
      <c r="K1239" s="12">
        <v>1881.0</v>
      </c>
      <c r="L1239" s="13" t="str">
        <f>IF(D1239&lt;&gt;"",VLOOKUP(H1239,TABLEITEM,2,FALSE),"")</f>
        <v/>
      </c>
      <c r="M1239" s="13" t="str">
        <f>IF(D1239&lt;&gt;"",VLOOKUP(H1239,TABLEITEM,3,FALSE),"")</f>
        <v>เบรกเกอร์ NV63-CV 2P 15A</v>
      </c>
      <c r="N1239" s="14">
        <f>INSTOCK!$I1239*INSTOCK!$K1239</f>
        <v>5643</v>
      </c>
      <c r="O1239" s="4" t="s">
        <v>1589</v>
      </c>
      <c r="P1239" s="4"/>
    </row>
    <row r="1240" ht="15.75" hidden="1" customHeight="1">
      <c r="B1240" s="8">
        <v>1556.0</v>
      </c>
      <c r="C1240" s="9">
        <v>43378.0</v>
      </c>
      <c r="D1240" s="6">
        <v>1.211180107E10</v>
      </c>
      <c r="E1240" s="4">
        <v>6.10800094E9</v>
      </c>
      <c r="F1240" s="8" t="s">
        <v>604</v>
      </c>
      <c r="G1240" s="4" t="s">
        <v>1590</v>
      </c>
      <c r="H1240" s="10" t="s">
        <v>1591</v>
      </c>
      <c r="I1240" s="10">
        <v>1.0</v>
      </c>
      <c r="J1240" s="11" t="str">
        <f>IF(D1240&lt;&gt;"",VLOOKUP(H1240,TABLEITEM,5,FALSE),"")</f>
        <v>EA</v>
      </c>
      <c r="K1240" s="12">
        <v>880.0</v>
      </c>
      <c r="L1240" s="13" t="str">
        <f>IF(D1240&lt;&gt;"",VLOOKUP(H1240,TABLEITEM,2,FALSE),"")</f>
        <v/>
      </c>
      <c r="M1240" s="13" t="str">
        <f>IF(D1240&lt;&gt;"",VLOOKUP(H1240,TABLEITEM,3,FALSE),"")</f>
        <v>CEMENTED CARBIDE 3.175x114x0.762</v>
      </c>
      <c r="N1240" s="14">
        <f>INSTOCK!$I1240*INSTOCK!$K1240</f>
        <v>880</v>
      </c>
      <c r="O1240" s="4"/>
      <c r="P1240" s="4"/>
    </row>
    <row r="1241" ht="15.75" hidden="1" customHeight="1">
      <c r="B1241" s="8">
        <v>1557.0</v>
      </c>
      <c r="C1241" s="9">
        <v>43378.0</v>
      </c>
      <c r="D1241" s="6">
        <v>1.211180107E10</v>
      </c>
      <c r="E1241" s="4">
        <v>6.10800094E9</v>
      </c>
      <c r="F1241" s="8" t="s">
        <v>604</v>
      </c>
      <c r="G1241" s="4" t="s">
        <v>1590</v>
      </c>
      <c r="H1241" s="10" t="s">
        <v>1592</v>
      </c>
      <c r="I1241" s="10">
        <v>1.0</v>
      </c>
      <c r="J1241" s="11" t="str">
        <f>IF(D1241&lt;&gt;"",VLOOKUP(H1241,TABLEITEM,5,FALSE),"")</f>
        <v>EA</v>
      </c>
      <c r="K1241" s="12">
        <v>880.0</v>
      </c>
      <c r="L1241" s="13" t="str">
        <f>IF(D1241&lt;&gt;"",VLOOKUP(H1241,TABLEITEM,2,FALSE),"")</f>
        <v/>
      </c>
      <c r="M1241" s="13" t="str">
        <f>IF(D1241&lt;&gt;"",VLOOKUP(H1241,TABLEITEM,3,FALSE),"")</f>
        <v>CEMENTED CARBIDE 3.175x114x0.127</v>
      </c>
      <c r="N1241" s="14">
        <f>INSTOCK!$I1241*INSTOCK!$K1241</f>
        <v>880</v>
      </c>
      <c r="O1241" s="4"/>
      <c r="P1241" s="4"/>
    </row>
    <row r="1242" ht="15.75" hidden="1" customHeight="1">
      <c r="B1242" s="8">
        <v>1558.0</v>
      </c>
      <c r="C1242" s="9">
        <v>43378.0</v>
      </c>
      <c r="D1242" s="6">
        <v>1.211180107E10</v>
      </c>
      <c r="E1242" s="4">
        <v>6.10800094E9</v>
      </c>
      <c r="F1242" s="8" t="s">
        <v>604</v>
      </c>
      <c r="G1242" s="4" t="s">
        <v>1590</v>
      </c>
      <c r="H1242" s="10" t="s">
        <v>1593</v>
      </c>
      <c r="I1242" s="10">
        <v>1.0</v>
      </c>
      <c r="J1242" s="11" t="str">
        <f>IF(D1242&lt;&gt;"",VLOOKUP(H1242,TABLEITEM,5,FALSE),"")</f>
        <v>EA</v>
      </c>
      <c r="K1242" s="12">
        <v>880.0</v>
      </c>
      <c r="L1242" s="13" t="str">
        <f>IF(D1242&lt;&gt;"",VLOOKUP(H1242,TABLEITEM,2,FALSE),"")</f>
        <v/>
      </c>
      <c r="M1242" s="13" t="str">
        <f>IF(D1242&lt;&gt;"",VLOOKUP(H1242,TABLEITEM,3,FALSE),"")</f>
        <v>CEMENTED CARBIDE 3.175x114x0.254</v>
      </c>
      <c r="N1242" s="14">
        <f>INSTOCK!$I1242*INSTOCK!$K1242</f>
        <v>880</v>
      </c>
      <c r="O1242" s="4"/>
      <c r="P1242" s="4"/>
    </row>
    <row r="1243" ht="15.75" hidden="1" customHeight="1">
      <c r="B1243" s="8">
        <v>1559.0</v>
      </c>
      <c r="C1243" s="9">
        <v>43378.0</v>
      </c>
      <c r="D1243" s="6" t="s">
        <v>1594</v>
      </c>
      <c r="E1243" s="4">
        <v>6.110001249E9</v>
      </c>
      <c r="F1243" s="8" t="s">
        <v>1595</v>
      </c>
      <c r="G1243" s="4" t="s">
        <v>1596</v>
      </c>
      <c r="H1243" s="10" t="s">
        <v>1597</v>
      </c>
      <c r="I1243" s="10">
        <v>78.0</v>
      </c>
      <c r="J1243" s="11" t="str">
        <f>IF(D1243&lt;&gt;"",VLOOKUP(H1243,TABLEITEM,5,FALSE),"")</f>
        <v>EA</v>
      </c>
      <c r="K1243" s="12">
        <v>74.0</v>
      </c>
      <c r="L1243" s="13" t="str">
        <f>IF(D1243&lt;&gt;"",VLOOKUP(H1243,TABLEITEM,2,FALSE),"")</f>
        <v/>
      </c>
      <c r="M1243" s="13" t="str">
        <f>IF(D1243&lt;&gt;"",VLOOKUP(H1243,TABLEITEM,3,FALSE),"")</f>
        <v>MCB SH201-C6</v>
      </c>
      <c r="N1243" s="14">
        <f>INSTOCK!$I1243*INSTOCK!$K1243</f>
        <v>5772</v>
      </c>
      <c r="O1243" s="4" t="s">
        <v>1598</v>
      </c>
      <c r="P1243" s="4"/>
    </row>
    <row r="1244" ht="15.75" hidden="1" customHeight="1">
      <c r="B1244" s="8">
        <v>1560.0</v>
      </c>
      <c r="C1244" s="9">
        <v>43378.0</v>
      </c>
      <c r="D1244" s="6">
        <v>6.11002348E8</v>
      </c>
      <c r="E1244" s="4">
        <v>6.110001248E9</v>
      </c>
      <c r="F1244" s="8"/>
      <c r="G1244" s="4" t="s">
        <v>1130</v>
      </c>
      <c r="H1244" s="10" t="s">
        <v>1599</v>
      </c>
      <c r="I1244" s="10">
        <v>2.0</v>
      </c>
      <c r="J1244" s="11" t="str">
        <f>IF(D1244&lt;&gt;"",VLOOKUP(H1244,TABLEITEM,5,FALSE),"")</f>
        <v>EA</v>
      </c>
      <c r="K1244" s="12">
        <v>306.375</v>
      </c>
      <c r="L1244" s="13" t="str">
        <f>IF(D1244&lt;&gt;"",VLOOKUP(H1244,TABLEITEM,2,FALSE),"")</f>
        <v/>
      </c>
      <c r="M1244" s="13" t="str">
        <f>IF(D1244&lt;&gt;"",VLOOKUP(H1244,TABLEITEM,3,FALSE),"")</f>
        <v>CT1500/5 MSQ130 </v>
      </c>
      <c r="N1244" s="14">
        <f>INSTOCK!$I1244*INSTOCK!$K1244</f>
        <v>612.75</v>
      </c>
      <c r="O1244" s="4" t="s">
        <v>1600</v>
      </c>
      <c r="P1244" s="4" t="s">
        <v>1601</v>
      </c>
    </row>
    <row r="1245" ht="15.75" hidden="1" customHeight="1">
      <c r="B1245" s="8">
        <v>1561.0</v>
      </c>
      <c r="C1245" s="9">
        <v>43377.0</v>
      </c>
      <c r="D1245" s="6">
        <v>6.11001715E8</v>
      </c>
      <c r="E1245" s="4">
        <v>6.11000124E9</v>
      </c>
      <c r="F1245" s="8"/>
      <c r="G1245" s="4" t="s">
        <v>1130</v>
      </c>
      <c r="H1245" s="10" t="s">
        <v>1602</v>
      </c>
      <c r="I1245" s="10">
        <v>1.0</v>
      </c>
      <c r="J1245" s="11" t="str">
        <f>IF(D1245&lt;&gt;"",VLOOKUP(H1245,TABLEITEM,5,FALSE),"")</f>
        <v>EA</v>
      </c>
      <c r="K1245" s="12">
        <v>1978.0</v>
      </c>
      <c r="L1245" s="13" t="str">
        <f>IF(D1245&lt;&gt;"",VLOOKUP(H1245,TABLEITEM,2,FALSE),"")</f>
        <v/>
      </c>
      <c r="M1245" s="13" t="str">
        <f>IF(D1245&lt;&gt;"",VLOOKUP(H1245,TABLEITEM,3,FALSE),"")</f>
        <v>เบรกเกอร์ NF125-SV 3P 125A</v>
      </c>
      <c r="N1245" s="14">
        <f>INSTOCK!$I1245*INSTOCK!$K1245</f>
        <v>1978</v>
      </c>
      <c r="O1245" s="4" t="s">
        <v>1603</v>
      </c>
      <c r="P1245" s="4"/>
    </row>
    <row r="1246" ht="15.75" hidden="1" customHeight="1">
      <c r="B1246" s="8">
        <v>1562.0</v>
      </c>
      <c r="C1246" s="9">
        <v>43377.0</v>
      </c>
      <c r="D1246" s="6">
        <v>6.11001715E8</v>
      </c>
      <c r="E1246" s="4">
        <v>6.11000124E9</v>
      </c>
      <c r="F1246" s="8"/>
      <c r="G1246" s="4" t="s">
        <v>1130</v>
      </c>
      <c r="H1246" s="10" t="s">
        <v>1604</v>
      </c>
      <c r="I1246" s="10">
        <v>1.0</v>
      </c>
      <c r="J1246" s="11" t="str">
        <f>IF(D1246&lt;&gt;"",VLOOKUP(H1246,TABLEITEM,5,FALSE),"")</f>
        <v>EA</v>
      </c>
      <c r="K1246" s="12">
        <v>1518.0</v>
      </c>
      <c r="L1246" s="13" t="str">
        <f>IF(D1246&lt;&gt;"",VLOOKUP(H1246,TABLEITEM,2,FALSE),"")</f>
        <v/>
      </c>
      <c r="M1246" s="13" t="str">
        <f>IF(D1246&lt;&gt;"",VLOOKUP(H1246,TABLEITEM,3,FALSE),"")</f>
        <v>เบรกเกอร์ NF125-CV 3P 100A</v>
      </c>
      <c r="N1246" s="14">
        <f>INSTOCK!$I1246*INSTOCK!$K1246</f>
        <v>1518</v>
      </c>
      <c r="O1246" s="4" t="s">
        <v>1605</v>
      </c>
      <c r="P1246" s="4"/>
    </row>
    <row r="1247" ht="15.75" hidden="1" customHeight="1">
      <c r="B1247" s="8">
        <v>1563.0</v>
      </c>
      <c r="C1247" s="9">
        <v>43377.0</v>
      </c>
      <c r="D1247" s="6">
        <v>6.11001715E8</v>
      </c>
      <c r="E1247" s="4">
        <v>6.11000124E9</v>
      </c>
      <c r="F1247" s="8"/>
      <c r="G1247" s="4" t="s">
        <v>1130</v>
      </c>
      <c r="H1247" s="10" t="s">
        <v>1606</v>
      </c>
      <c r="I1247" s="10">
        <v>1.0</v>
      </c>
      <c r="J1247" s="11" t="str">
        <f>IF(D1247&lt;&gt;"",VLOOKUP(H1247,TABLEITEM,5,FALSE),"")</f>
        <v>EA</v>
      </c>
      <c r="K1247" s="12">
        <v>874.0</v>
      </c>
      <c r="L1247" s="13" t="str">
        <f>IF(D1247&lt;&gt;"",VLOOKUP(H1247,TABLEITEM,2,FALSE),"")</f>
        <v/>
      </c>
      <c r="M1247" s="13" t="str">
        <f>IF(D1247&lt;&gt;"",VLOOKUP(H1247,TABLEITEM,3,FALSE),"")</f>
        <v>เบรกเกอร์ NF63-CV 3P 32A</v>
      </c>
      <c r="N1247" s="14">
        <f>INSTOCK!$I1247*INSTOCK!$K1247</f>
        <v>874</v>
      </c>
      <c r="O1247" s="4" t="s">
        <v>1607</v>
      </c>
      <c r="P1247" s="4"/>
    </row>
    <row r="1248" ht="15.75" hidden="1" customHeight="1">
      <c r="B1248" s="8">
        <v>1564.0</v>
      </c>
      <c r="C1248" s="9">
        <v>43377.0</v>
      </c>
      <c r="D1248" s="6">
        <v>6.11001715E8</v>
      </c>
      <c r="E1248" s="4">
        <v>6.11000124E9</v>
      </c>
      <c r="F1248" s="8"/>
      <c r="G1248" s="4" t="s">
        <v>1130</v>
      </c>
      <c r="H1248" s="10" t="s">
        <v>1608</v>
      </c>
      <c r="I1248" s="10">
        <v>3.0</v>
      </c>
      <c r="J1248" s="11" t="str">
        <f>IF(D1248&lt;&gt;"",VLOOKUP(H1248,TABLEITEM,5,FALSE),"")</f>
        <v>EA</v>
      </c>
      <c r="K1248" s="12">
        <v>490.2</v>
      </c>
      <c r="L1248" s="13" t="str">
        <f>IF(D1248&lt;&gt;"",VLOOKUP(H1248,TABLEITEM,2,FALSE),"")</f>
        <v/>
      </c>
      <c r="M1248" s="13" t="str">
        <f>IF(D1248&lt;&gt;"",VLOOKUP(H1248,TABLEITEM,3,FALSE),"")</f>
        <v>CIRCUIT CP30-BA 1P 2A</v>
      </c>
      <c r="N1248" s="14">
        <f>INSTOCK!$I1248*INSTOCK!$K1248</f>
        <v>1470.6</v>
      </c>
      <c r="O1248" s="4" t="s">
        <v>1609</v>
      </c>
      <c r="P1248" s="4"/>
    </row>
    <row r="1249" ht="15.75" hidden="1" customHeight="1">
      <c r="B1249" s="8">
        <v>1565.0</v>
      </c>
      <c r="C1249" s="9">
        <v>43377.0</v>
      </c>
      <c r="D1249" s="6" t="s">
        <v>1610</v>
      </c>
      <c r="E1249" s="4">
        <v>6.110001229E9</v>
      </c>
      <c r="F1249" s="8" t="s">
        <v>604</v>
      </c>
      <c r="G1249" s="4" t="s">
        <v>1611</v>
      </c>
      <c r="H1249" s="10" t="s">
        <v>195</v>
      </c>
      <c r="I1249" s="10">
        <v>60.0</v>
      </c>
      <c r="J1249" s="11" t="str">
        <f>IF(D1249&lt;&gt;"",VLOOKUP(H1249,TABLEITEM,5,FALSE),"")</f>
        <v>EA</v>
      </c>
      <c r="K1249" s="12">
        <v>75.0</v>
      </c>
      <c r="L1249" s="13" t="str">
        <f>IF(D1249&lt;&gt;"",VLOOKUP(H1249,TABLEITEM,2,FALSE),"")</f>
        <v/>
      </c>
      <c r="M1249" s="13" t="str">
        <f>IF(D1249&lt;&gt;"",VLOOKUP(H1249,TABLEITEM,3,FALSE),"")</f>
        <v>TERMINAL BLOCK TX100</v>
      </c>
      <c r="N1249" s="14">
        <f>INSTOCK!$I1249*INSTOCK!$K1249</f>
        <v>4500</v>
      </c>
      <c r="O1249" s="4"/>
      <c r="P1249" s="4"/>
    </row>
    <row r="1250" ht="15.75" hidden="1" customHeight="1">
      <c r="B1250" s="8">
        <v>1566.0</v>
      </c>
      <c r="C1250" s="9">
        <v>43376.0</v>
      </c>
      <c r="D1250" s="6" t="s">
        <v>1612</v>
      </c>
      <c r="E1250" s="4">
        <v>6.110001234E9</v>
      </c>
      <c r="F1250" s="8"/>
      <c r="G1250" s="4" t="s">
        <v>1516</v>
      </c>
      <c r="H1250" s="10" t="s">
        <v>1613</v>
      </c>
      <c r="I1250" s="10">
        <v>1.0</v>
      </c>
      <c r="J1250" s="11" t="str">
        <f>IF(D1250&lt;&gt;"",VLOOKUP(H1250,TABLEITEM,5,FALSE),"")</f>
        <v>EA</v>
      </c>
      <c r="K1250" s="12">
        <v>434.6</v>
      </c>
      <c r="L1250" s="13" t="str">
        <f>IF(D1250&lt;&gt;"",VLOOKUP(H1250,TABLEITEM,2,FALSE),"")</f>
        <v/>
      </c>
      <c r="M1250" s="13" t="str">
        <f>IF(D1250&lt;&gt;"",VLOOKUP(H1250,TABLEITEM,3,FALSE),"")</f>
        <v>HARMONY XB4 PB EMER XB4BS8342</v>
      </c>
      <c r="N1250" s="14">
        <f>INSTOCK!$I1250*INSTOCK!$K1250</f>
        <v>434.6</v>
      </c>
      <c r="O1250" s="4" t="s">
        <v>1614</v>
      </c>
      <c r="P1250" s="4"/>
    </row>
    <row r="1251" ht="15.75" hidden="1" customHeight="1">
      <c r="B1251" s="8">
        <v>1567.0</v>
      </c>
      <c r="C1251" s="9">
        <v>43376.0</v>
      </c>
      <c r="D1251" s="6" t="s">
        <v>1612</v>
      </c>
      <c r="E1251" s="4">
        <v>6.110001234E9</v>
      </c>
      <c r="F1251" s="8"/>
      <c r="G1251" s="4" t="s">
        <v>1516</v>
      </c>
      <c r="H1251" s="10" t="s">
        <v>1615</v>
      </c>
      <c r="I1251" s="10">
        <v>3.0</v>
      </c>
      <c r="J1251" s="11" t="str">
        <f>IF(D1251&lt;&gt;"",VLOOKUP(H1251,TABLEITEM,5,FALSE),"")</f>
        <v>EA</v>
      </c>
      <c r="K1251" s="12">
        <v>189.0</v>
      </c>
      <c r="L1251" s="13" t="str">
        <f>IF(D1251&lt;&gt;"",VLOOKUP(H1251,TABLEITEM,2,FALSE),"")</f>
        <v/>
      </c>
      <c r="M1251" s="13" t="str">
        <f>IF(D1251&lt;&gt;"",VLOOKUP(H1251,TABLEITEM,3,FALSE),"")</f>
        <v>เพาเวอร์ปลั๊ก 3P 16A 230V</v>
      </c>
      <c r="N1251" s="14">
        <f>INSTOCK!$I1251*INSTOCK!$K1251</f>
        <v>567</v>
      </c>
      <c r="O1251" s="4" t="s">
        <v>1616</v>
      </c>
      <c r="P1251" s="4"/>
    </row>
    <row r="1252" ht="15.75" hidden="1" customHeight="1">
      <c r="B1252" s="8">
        <v>1568.0</v>
      </c>
      <c r="C1252" s="9">
        <v>43376.0</v>
      </c>
      <c r="D1252" s="6">
        <v>6110012.0</v>
      </c>
      <c r="E1252" s="4"/>
      <c r="F1252" s="8" t="s">
        <v>604</v>
      </c>
      <c r="G1252" s="4" t="s">
        <v>1617</v>
      </c>
      <c r="H1252" s="10" t="s">
        <v>1618</v>
      </c>
      <c r="I1252" s="10">
        <v>36.0</v>
      </c>
      <c r="J1252" s="11" t="str">
        <f>IF(D1252&lt;&gt;"",VLOOKUP(H1252,TABLEITEM,5,FALSE),"")</f>
        <v>EA</v>
      </c>
      <c r="K1252" s="12">
        <v>148.0</v>
      </c>
      <c r="L1252" s="13" t="str">
        <f>IF(D1252&lt;&gt;"",VLOOKUP(H1252,TABLEITEM,2,FALSE),"")</f>
        <v/>
      </c>
      <c r="M1252" s="13" t="str">
        <f>IF(D1252&lt;&gt;"",VLOOKUP(H1252,TABLEITEM,3,FALSE),"")</f>
        <v>ตลับเมตร KDS 3.5M</v>
      </c>
      <c r="N1252" s="14">
        <f>INSTOCK!$I1252*INSTOCK!$K1252</f>
        <v>5328</v>
      </c>
      <c r="O1252" s="4"/>
      <c r="P1252" s="4"/>
    </row>
    <row r="1253" ht="15.75" hidden="1" customHeight="1">
      <c r="B1253" s="8">
        <v>1569.0</v>
      </c>
      <c r="C1253" s="9">
        <v>43375.0</v>
      </c>
      <c r="D1253" s="6">
        <v>6.11000992E8</v>
      </c>
      <c r="E1253" s="4">
        <v>6.110001232E9</v>
      </c>
      <c r="F1253" s="8"/>
      <c r="G1253" s="4" t="s">
        <v>1130</v>
      </c>
      <c r="H1253" s="10" t="s">
        <v>316</v>
      </c>
      <c r="I1253" s="10">
        <v>200.0</v>
      </c>
      <c r="J1253" s="11" t="str">
        <f>IF(D1253&lt;&gt;"",VLOOKUP(H1253,TABLEITEM,5,FALSE),"")</f>
        <v>EA</v>
      </c>
      <c r="K1253" s="12">
        <v>21.0</v>
      </c>
      <c r="L1253" s="13" t="str">
        <f>IF(D1253&lt;&gt;"",VLOOKUP(H1253,TABLEITEM,2,FALSE),"")</f>
        <v/>
      </c>
      <c r="M1253" s="13" t="str">
        <f>IF(D1253&lt;&gt;"",VLOOKUP(H1253,TABLEITEM,3,FALSE),"")</f>
        <v>หางปลากลมเปลือย 70-10</v>
      </c>
      <c r="N1253" s="14">
        <f>INSTOCK!$I1253*INSTOCK!$K1253</f>
        <v>4200</v>
      </c>
      <c r="O1253" s="4" t="s">
        <v>1619</v>
      </c>
      <c r="P1253" s="4"/>
    </row>
    <row r="1254" ht="15.75" hidden="1" customHeight="1">
      <c r="B1254" s="8">
        <v>1570.0</v>
      </c>
      <c r="C1254" s="9">
        <v>43375.0</v>
      </c>
      <c r="D1254" s="6">
        <v>6.11000992E8</v>
      </c>
      <c r="E1254" s="4">
        <v>6.110001232E9</v>
      </c>
      <c r="F1254" s="8"/>
      <c r="G1254" s="4" t="s">
        <v>1130</v>
      </c>
      <c r="H1254" s="10" t="s">
        <v>1620</v>
      </c>
      <c r="I1254" s="10">
        <v>1.0</v>
      </c>
      <c r="J1254" s="11" t="str">
        <f>IF(D1254&lt;&gt;"",VLOOKUP(H1254,TABLEITEM,5,FALSE),"")</f>
        <v>EA</v>
      </c>
      <c r="K1254" s="12">
        <v>851.0</v>
      </c>
      <c r="L1254" s="13" t="str">
        <f>IF(D1254&lt;&gt;"",VLOOKUP(H1254,TABLEITEM,2,FALSE),"")</f>
        <v/>
      </c>
      <c r="M1254" s="13" t="str">
        <f>IF(D1254&lt;&gt;"",VLOOKUP(H1254,TABLEITEM,3,FALSE),"")</f>
        <v>เบรกเกอร์ NF32-SV 3P 32A</v>
      </c>
      <c r="N1254" s="14">
        <f>INSTOCK!$I1254*INSTOCK!$K1254</f>
        <v>851</v>
      </c>
      <c r="O1254" s="4" t="s">
        <v>1621</v>
      </c>
      <c r="P1254" s="4"/>
    </row>
    <row r="1255" ht="15.75" hidden="1" customHeight="1">
      <c r="B1255" s="8">
        <v>1571.0</v>
      </c>
      <c r="C1255" s="9">
        <v>43375.0</v>
      </c>
      <c r="D1255" s="6">
        <v>6.11000992E8</v>
      </c>
      <c r="E1255" s="4">
        <v>6.110001232E9</v>
      </c>
      <c r="F1255" s="8"/>
      <c r="G1255" s="4" t="s">
        <v>1130</v>
      </c>
      <c r="H1255" s="10" t="s">
        <v>1622</v>
      </c>
      <c r="I1255" s="10">
        <v>3.0</v>
      </c>
      <c r="J1255" s="11" t="str">
        <f>IF(D1255&lt;&gt;"",VLOOKUP(H1255,TABLEITEM,5,FALSE),"")</f>
        <v>EA</v>
      </c>
      <c r="K1255" s="12">
        <v>598.0</v>
      </c>
      <c r="L1255" s="13" t="str">
        <f>IF(D1255&lt;&gt;"",VLOOKUP(H1255,TABLEITEM,2,FALSE),"")</f>
        <v/>
      </c>
      <c r="M1255" s="13" t="str">
        <f>IF(D1255&lt;&gt;"",VLOOKUP(H1255,TABLEITEM,3,FALSE),"")</f>
        <v>เบรกเกอร์ NF32-SV 2P 20A</v>
      </c>
      <c r="N1255" s="14">
        <f>INSTOCK!$I1255*INSTOCK!$K1255</f>
        <v>1794</v>
      </c>
      <c r="O1255" s="4" t="s">
        <v>1623</v>
      </c>
      <c r="P1255" s="4"/>
    </row>
    <row r="1256" ht="15.75" hidden="1" customHeight="1">
      <c r="B1256" s="8">
        <v>1572.0</v>
      </c>
      <c r="C1256" s="9">
        <v>43375.0</v>
      </c>
      <c r="D1256" s="6" t="s">
        <v>1624</v>
      </c>
      <c r="E1256" s="4">
        <v>6.10900121E9</v>
      </c>
      <c r="F1256" s="8" t="s">
        <v>604</v>
      </c>
      <c r="G1256" s="4" t="s">
        <v>1611</v>
      </c>
      <c r="H1256" s="10" t="s">
        <v>199</v>
      </c>
      <c r="I1256" s="10">
        <v>15.0</v>
      </c>
      <c r="J1256" s="11" t="str">
        <f>IF(D1256&lt;&gt;"",VLOOKUP(H1256,TABLEITEM,5,FALSE),"")</f>
        <v>EA</v>
      </c>
      <c r="K1256" s="12">
        <v>177.31</v>
      </c>
      <c r="L1256" s="13" t="str">
        <f>IF(D1256&lt;&gt;"",VLOOKUP(H1256,TABLEITEM,2,FALSE),"")</f>
        <v/>
      </c>
      <c r="M1256" s="13" t="str">
        <f>IF(D1256&lt;&gt;"",VLOOKUP(H1256,TABLEITEM,3,FALSE),"")</f>
        <v>TERMINAL BLOCK TX200</v>
      </c>
      <c r="N1256" s="14">
        <f>INSTOCK!$I1256*INSTOCK!$K1256</f>
        <v>2659.65</v>
      </c>
      <c r="O1256" s="4"/>
      <c r="P1256" s="4"/>
    </row>
    <row r="1257" ht="15.75" hidden="1" customHeight="1">
      <c r="B1257" s="8">
        <v>1573.0</v>
      </c>
      <c r="C1257" s="9">
        <v>43374.0</v>
      </c>
      <c r="D1257" s="6" t="s">
        <v>1625</v>
      </c>
      <c r="E1257" s="4">
        <v>6.109001221E9</v>
      </c>
      <c r="F1257" s="8" t="s">
        <v>1626</v>
      </c>
      <c r="G1257" s="4" t="s">
        <v>1446</v>
      </c>
      <c r="H1257" s="10" t="s">
        <v>1627</v>
      </c>
      <c r="I1257" s="10">
        <v>5.0</v>
      </c>
      <c r="J1257" s="11" t="str">
        <f>IF(D1257&lt;&gt;"",VLOOKUP(H1257,TABLEITEM,5,FALSE),"")</f>
        <v>EA</v>
      </c>
      <c r="K1257" s="12">
        <v>650.0</v>
      </c>
      <c r="L1257" s="13" t="str">
        <f>IF(D1257&lt;&gt;"",VLOOKUP(H1257,TABLEITEM,2,FALSE),"")</f>
        <v/>
      </c>
      <c r="M1257" s="13" t="str">
        <f>IF(D1257&lt;&gt;"",VLOOKUP(H1257,TABLEITEM,3,FALSE),"")</f>
        <v>คีมย้ำหางปลา SU-6</v>
      </c>
      <c r="N1257" s="14">
        <f>INSTOCK!$I1257*INSTOCK!$K1257</f>
        <v>3250</v>
      </c>
      <c r="O1257" s="4" t="s">
        <v>1628</v>
      </c>
      <c r="P1257" s="4"/>
    </row>
    <row r="1258" ht="15.75" hidden="1" customHeight="1">
      <c r="B1258" s="8">
        <v>1574.0</v>
      </c>
      <c r="C1258" s="9">
        <v>43374.0</v>
      </c>
      <c r="D1258" s="6" t="s">
        <v>1629</v>
      </c>
      <c r="E1258" s="4">
        <v>6.108000996E9</v>
      </c>
      <c r="F1258" s="8" t="s">
        <v>1630</v>
      </c>
      <c r="G1258" s="4" t="s">
        <v>1631</v>
      </c>
      <c r="H1258" s="10" t="s">
        <v>1632</v>
      </c>
      <c r="I1258" s="10">
        <v>5.0</v>
      </c>
      <c r="J1258" s="11" t="str">
        <f>IF(D1258&lt;&gt;"",VLOOKUP(H1258,TABLEITEM,5,FALSE),"")</f>
        <v>EA</v>
      </c>
      <c r="K1258" s="12">
        <v>6000.0</v>
      </c>
      <c r="L1258" s="13" t="str">
        <f>IF(D1258&lt;&gt;"",VLOOKUP(H1258,TABLEITEM,2,FALSE),"")</f>
        <v/>
      </c>
      <c r="M1258" s="13" t="str">
        <f>IF(D1258&lt;&gt;"",VLOOKUP(H1258,TABLEITEM,3,FALSE),"")</f>
        <v>ACS355-03E-01A2-4/0.37KW(1/2 HP)380-480V</v>
      </c>
      <c r="N1258" s="14">
        <f>INSTOCK!$I1258*INSTOCK!$K1258</f>
        <v>30000</v>
      </c>
      <c r="O1258" s="4" t="s">
        <v>1504</v>
      </c>
      <c r="P1258" s="4"/>
    </row>
    <row r="1259" ht="15.75" hidden="1" customHeight="1">
      <c r="B1259" s="8">
        <v>1575.0</v>
      </c>
      <c r="C1259" s="9">
        <v>43374.0</v>
      </c>
      <c r="D1259" s="6" t="s">
        <v>1629</v>
      </c>
      <c r="E1259" s="4">
        <v>6.108000996E9</v>
      </c>
      <c r="F1259" s="8" t="s">
        <v>1630</v>
      </c>
      <c r="G1259" s="4" t="s">
        <v>1631</v>
      </c>
      <c r="H1259" s="10" t="s">
        <v>1633</v>
      </c>
      <c r="I1259" s="10">
        <v>2.0</v>
      </c>
      <c r="J1259" s="11" t="str">
        <f>IF(D1259&lt;&gt;"",VLOOKUP(H1259,TABLEITEM,5,FALSE),"")</f>
        <v>EA</v>
      </c>
      <c r="K1259" s="12">
        <v>8000.0</v>
      </c>
      <c r="L1259" s="13" t="str">
        <f>IF(D1259&lt;&gt;"",VLOOKUP(H1259,TABLEITEM,2,FALSE),"")</f>
        <v/>
      </c>
      <c r="M1259" s="13" t="str">
        <f>IF(D1259&lt;&gt;"",VLOOKUP(H1259,TABLEITEM,3,FALSE),"")</f>
        <v>ACS355-03E-04A1-4/1.5KW(2 HP)380-480V</v>
      </c>
      <c r="N1259" s="14">
        <f>INSTOCK!$I1259*INSTOCK!$K1259</f>
        <v>16000</v>
      </c>
      <c r="O1259" s="4" t="s">
        <v>1504</v>
      </c>
      <c r="P1259" s="4"/>
    </row>
    <row r="1260" ht="15.75" hidden="1" customHeight="1">
      <c r="B1260" s="8">
        <v>1576.0</v>
      </c>
      <c r="C1260" s="9">
        <v>43374.0</v>
      </c>
      <c r="D1260" s="6" t="s">
        <v>1629</v>
      </c>
      <c r="E1260" s="4">
        <v>6.108000996E9</v>
      </c>
      <c r="F1260" s="8" t="s">
        <v>1630</v>
      </c>
      <c r="G1260" s="4" t="s">
        <v>1631</v>
      </c>
      <c r="H1260" s="10" t="s">
        <v>1634</v>
      </c>
      <c r="I1260" s="10">
        <v>1.0</v>
      </c>
      <c r="J1260" s="11" t="str">
        <f>IF(D1260&lt;&gt;"",VLOOKUP(H1260,TABLEITEM,5,FALSE),"")</f>
        <v>EA</v>
      </c>
      <c r="K1260" s="12">
        <v>8600.0</v>
      </c>
      <c r="L1260" s="13" t="str">
        <f>IF(D1260&lt;&gt;"",VLOOKUP(H1260,TABLEITEM,2,FALSE),"")</f>
        <v/>
      </c>
      <c r="M1260" s="13" t="str">
        <f>IF(D1260&lt;&gt;"",VLOOKUP(H1260,TABLEITEM,3,FALSE),"")</f>
        <v>ACS355-03E-05A6-4/2.2KW(3 HP)380-480V</v>
      </c>
      <c r="N1260" s="14">
        <f>INSTOCK!$I1260*INSTOCK!$K1260</f>
        <v>8600</v>
      </c>
      <c r="O1260" s="4" t="s">
        <v>1504</v>
      </c>
      <c r="P1260" s="4"/>
    </row>
    <row r="1261" ht="15.75" hidden="1" customHeight="1">
      <c r="B1261" s="8">
        <v>1577.0</v>
      </c>
      <c r="C1261" s="9">
        <v>43374.0</v>
      </c>
      <c r="D1261" s="6" t="s">
        <v>1629</v>
      </c>
      <c r="E1261" s="4">
        <v>6.108000996E9</v>
      </c>
      <c r="F1261" s="8" t="s">
        <v>1630</v>
      </c>
      <c r="G1261" s="4" t="s">
        <v>1631</v>
      </c>
      <c r="H1261" s="10" t="s">
        <v>1635</v>
      </c>
      <c r="I1261" s="10">
        <v>2.0</v>
      </c>
      <c r="J1261" s="11" t="str">
        <f>IF(D1261&lt;&gt;"",VLOOKUP(H1261,TABLEITEM,5,FALSE),"")</f>
        <v>EA</v>
      </c>
      <c r="K1261" s="12">
        <v>9500.0</v>
      </c>
      <c r="L1261" s="13" t="str">
        <f>IF(D1261&lt;&gt;"",VLOOKUP(H1261,TABLEITEM,2,FALSE),"")</f>
        <v/>
      </c>
      <c r="M1261" s="13" t="str">
        <f>IF(D1261&lt;&gt;"",VLOOKUP(H1261,TABLEITEM,3,FALSE),"")</f>
        <v>ACS355-03E-07A3-4/3KW(4 HP)380-480V</v>
      </c>
      <c r="N1261" s="14">
        <f>INSTOCK!$I1261*INSTOCK!$K1261</f>
        <v>19000</v>
      </c>
      <c r="O1261" s="4" t="s">
        <v>1504</v>
      </c>
      <c r="P1261" s="4"/>
    </row>
    <row r="1262" ht="15.75" hidden="1" customHeight="1">
      <c r="B1262" s="8">
        <v>1578.0</v>
      </c>
      <c r="C1262" s="9">
        <v>43374.0</v>
      </c>
      <c r="D1262" s="6" t="s">
        <v>1629</v>
      </c>
      <c r="E1262" s="4">
        <v>6.108000996E9</v>
      </c>
      <c r="F1262" s="8" t="s">
        <v>1630</v>
      </c>
      <c r="G1262" s="4" t="s">
        <v>1631</v>
      </c>
      <c r="H1262" s="10" t="s">
        <v>1636</v>
      </c>
      <c r="I1262" s="10">
        <v>1.0</v>
      </c>
      <c r="J1262" s="11" t="str">
        <f>IF(D1262&lt;&gt;"",VLOOKUP(H1262,TABLEITEM,5,FALSE),"")</f>
        <v>EA</v>
      </c>
      <c r="K1262" s="12">
        <v>12800.0</v>
      </c>
      <c r="L1262" s="13" t="str">
        <f>IF(D1262&lt;&gt;"",VLOOKUP(H1262,TABLEITEM,2,FALSE),"")</f>
        <v/>
      </c>
      <c r="M1262" s="13" t="str">
        <f>IF(D1262&lt;&gt;"",VLOOKUP(H1262,TABLEITEM,3,FALSE),"")</f>
        <v>ACS355-03E-12A5-4/5.5KW(7.5 HP)380-480V</v>
      </c>
      <c r="N1262" s="14">
        <f>INSTOCK!$I1262*INSTOCK!$K1262</f>
        <v>12800</v>
      </c>
      <c r="O1262" s="4" t="s">
        <v>1504</v>
      </c>
      <c r="P1262" s="4"/>
    </row>
    <row r="1263" ht="15.75" hidden="1" customHeight="1">
      <c r="B1263" s="8">
        <v>1579.0</v>
      </c>
      <c r="C1263" s="9">
        <v>43374.0</v>
      </c>
      <c r="D1263" s="6" t="s">
        <v>1629</v>
      </c>
      <c r="E1263" s="4">
        <v>6.108000996E9</v>
      </c>
      <c r="F1263" s="8" t="s">
        <v>1630</v>
      </c>
      <c r="G1263" s="4" t="s">
        <v>1631</v>
      </c>
      <c r="H1263" s="10" t="s">
        <v>1637</v>
      </c>
      <c r="I1263" s="10">
        <v>1.0</v>
      </c>
      <c r="J1263" s="11" t="str">
        <f>IF(D1263&lt;&gt;"",VLOOKUP(H1263,TABLEITEM,5,FALSE),"")</f>
        <v>EA</v>
      </c>
      <c r="K1263" s="12">
        <v>15500.0</v>
      </c>
      <c r="L1263" s="13" t="str">
        <f>IF(D1263&lt;&gt;"",VLOOKUP(H1263,TABLEITEM,2,FALSE),"")</f>
        <v/>
      </c>
      <c r="M1263" s="13" t="str">
        <f>IF(D1263&lt;&gt;"",VLOOKUP(H1263,TABLEITEM,3,FALSE),"")</f>
        <v>ACS355-03E-15A6-4/7.5KW(10 HP)380-480V</v>
      </c>
      <c r="N1263" s="14">
        <f>INSTOCK!$I1263*INSTOCK!$K1263</f>
        <v>15500</v>
      </c>
      <c r="O1263" s="4" t="s">
        <v>1504</v>
      </c>
      <c r="P1263" s="4"/>
    </row>
    <row r="1264" ht="15.75" hidden="1" customHeight="1">
      <c r="B1264" s="8">
        <v>1580.0</v>
      </c>
      <c r="C1264" s="9">
        <v>43374.0</v>
      </c>
      <c r="D1264" s="6" t="s">
        <v>1629</v>
      </c>
      <c r="E1264" s="4">
        <v>6.108000996E9</v>
      </c>
      <c r="F1264" s="8" t="s">
        <v>1630</v>
      </c>
      <c r="G1264" s="4" t="s">
        <v>1631</v>
      </c>
      <c r="H1264" s="10" t="s">
        <v>1638</v>
      </c>
      <c r="I1264" s="10">
        <v>2.0</v>
      </c>
      <c r="J1264" s="11" t="str">
        <f>IF(D1264&lt;&gt;"",VLOOKUP(H1264,TABLEITEM,5,FALSE),"")</f>
        <v>EA</v>
      </c>
      <c r="K1264" s="12">
        <v>19000.0</v>
      </c>
      <c r="L1264" s="13" t="str">
        <f>IF(D1264&lt;&gt;"",VLOOKUP(H1264,TABLEITEM,2,FALSE),"")</f>
        <v/>
      </c>
      <c r="M1264" s="13" t="str">
        <f>IF(D1264&lt;&gt;"",VLOOKUP(H1264,TABLEITEM,3,FALSE),"")</f>
        <v>ACS355-03E-23A1-4/11KW(15 HP)380-480V</v>
      </c>
      <c r="N1264" s="14">
        <f>INSTOCK!$I1264*INSTOCK!$K1264</f>
        <v>38000</v>
      </c>
      <c r="O1264" s="4" t="s">
        <v>1504</v>
      </c>
      <c r="P1264" s="4"/>
    </row>
    <row r="1265" ht="15.75" hidden="1" customHeight="1">
      <c r="B1265" s="8">
        <v>1581.0</v>
      </c>
      <c r="C1265" s="9">
        <v>43374.0</v>
      </c>
      <c r="D1265" s="6" t="s">
        <v>1629</v>
      </c>
      <c r="E1265" s="4">
        <v>6.108000996E9</v>
      </c>
      <c r="F1265" s="8" t="s">
        <v>1630</v>
      </c>
      <c r="G1265" s="4" t="s">
        <v>1631</v>
      </c>
      <c r="H1265" s="10" t="s">
        <v>1639</v>
      </c>
      <c r="I1265" s="10">
        <v>1.0</v>
      </c>
      <c r="J1265" s="11" t="str">
        <f>IF(D1265&lt;&gt;"",VLOOKUP(H1265,TABLEITEM,5,FALSE),"")</f>
        <v>EA</v>
      </c>
      <c r="K1265" s="12">
        <v>10700.0</v>
      </c>
      <c r="L1265" s="13" t="str">
        <f>IF(D1265&lt;&gt;"",VLOOKUP(H1265,TABLEITEM,2,FALSE),"")</f>
        <v/>
      </c>
      <c r="M1265" s="13" t="str">
        <f>IF(D1265&lt;&gt;"",VLOOKUP(H1265,TABLEITEM,3,FALSE),"")</f>
        <v>ACS355-03E-08A8-4/4KW(5 HP)380-480V</v>
      </c>
      <c r="N1265" s="14">
        <f>INSTOCK!$I1265*INSTOCK!$K1265</f>
        <v>10700</v>
      </c>
      <c r="O1265" s="4" t="s">
        <v>1504</v>
      </c>
      <c r="P1265" s="4"/>
    </row>
    <row r="1266" ht="15.75" hidden="1" customHeight="1">
      <c r="B1266" s="8">
        <v>1582.0</v>
      </c>
      <c r="C1266" s="9">
        <v>43374.0</v>
      </c>
      <c r="D1266" s="6" t="s">
        <v>1629</v>
      </c>
      <c r="E1266" s="4">
        <v>6.108000996E9</v>
      </c>
      <c r="F1266" s="8" t="s">
        <v>1630</v>
      </c>
      <c r="G1266" s="4" t="s">
        <v>1631</v>
      </c>
      <c r="H1266" s="10" t="s">
        <v>1640</v>
      </c>
      <c r="I1266" s="10">
        <v>15.0</v>
      </c>
      <c r="J1266" s="11" t="str">
        <f>IF(D1266&lt;&gt;"",VLOOKUP(H1266,TABLEITEM,5,FALSE),"")</f>
        <v>EA</v>
      </c>
      <c r="K1266" s="12"/>
      <c r="L1266" s="13" t="str">
        <f>IF(D1266&lt;&gt;"",VLOOKUP(H1266,TABLEITEM,2,FALSE),"")</f>
        <v/>
      </c>
      <c r="M1266" s="13" t="str">
        <f>IF(D1266&lt;&gt;"",VLOOKUP(H1266,TABLEITEM,3,FALSE),"")</f>
        <v>ACS-CP-C(BASIC CONTRON PANEL)</v>
      </c>
      <c r="N1266" s="14">
        <f>INSTOCK!$I1266*INSTOCK!$K1266</f>
        <v>0</v>
      </c>
      <c r="O1266" s="4" t="s">
        <v>1504</v>
      </c>
      <c r="P1266" s="4"/>
    </row>
    <row r="1267" ht="15.75" hidden="1" customHeight="1">
      <c r="B1267" s="8">
        <v>1583.0</v>
      </c>
      <c r="C1267" s="9">
        <v>43374.0</v>
      </c>
      <c r="D1267" s="6" t="s">
        <v>1629</v>
      </c>
      <c r="E1267" s="4">
        <v>6.108000996E9</v>
      </c>
      <c r="F1267" s="8" t="s">
        <v>1630</v>
      </c>
      <c r="G1267" s="4" t="s">
        <v>1631</v>
      </c>
      <c r="H1267" s="10" t="s">
        <v>1641</v>
      </c>
      <c r="I1267" s="10">
        <v>5.0</v>
      </c>
      <c r="J1267" s="11" t="str">
        <f>IF(D1267&lt;&gt;"",VLOOKUP(H1267,TABLEITEM,5,FALSE),"")</f>
        <v>EA</v>
      </c>
      <c r="K1267" s="12"/>
      <c r="L1267" s="13" t="str">
        <f>IF(D1267&lt;&gt;"",VLOOKUP(H1267,TABLEITEM,2,FALSE),"")</f>
        <v/>
      </c>
      <c r="M1267" s="13" t="str">
        <f>IF(D1267&lt;&gt;"",VLOOKUP(H1267,TABLEITEM,3,FALSE),"")</f>
        <v>ACS 5E RJ45 PATCH CORD 3M.</v>
      </c>
      <c r="N1267" s="14">
        <f>INSTOCK!$I1267*INSTOCK!$K1267</f>
        <v>0</v>
      </c>
      <c r="O1267" s="4" t="s">
        <v>1504</v>
      </c>
      <c r="P1267" s="4"/>
    </row>
    <row r="1268" ht="15.75" hidden="1" customHeight="1">
      <c r="B1268" s="8">
        <v>1584.0</v>
      </c>
      <c r="C1268" s="9">
        <v>43434.0</v>
      </c>
      <c r="D1268" s="6" t="s">
        <v>1642</v>
      </c>
      <c r="E1268" s="4">
        <v>6.11100155E9</v>
      </c>
      <c r="F1268" s="8" t="s">
        <v>807</v>
      </c>
      <c r="G1268" s="4" t="s">
        <v>808</v>
      </c>
      <c r="H1268" s="10" t="s">
        <v>809</v>
      </c>
      <c r="I1268" s="10">
        <v>1.0</v>
      </c>
      <c r="J1268" s="11" t="str">
        <f>IF(D1268&lt;&gt;"",VLOOKUP(H1268,TABLEITEM,5,FALSE),"")</f>
        <v>ท่อ</v>
      </c>
      <c r="K1268" s="12">
        <v>2700.0</v>
      </c>
      <c r="L1268" s="13" t="str">
        <f>IF(D1268&lt;&gt;"",VLOOKUP(H1268,TABLEITEM,2,FALSE),"")</f>
        <v/>
      </c>
      <c r="M1268" s="13" t="str">
        <f>IF(D1268&lt;&gt;"",VLOOKUP(H1268,TABLEITEM,3,FALSE),"")</f>
        <v>ไนโตรเจนเหลว ขนาด 100คิว</v>
      </c>
      <c r="N1268" s="14">
        <f>INSTOCK!$I1268*INSTOCK!$K1268</f>
        <v>2700</v>
      </c>
      <c r="O1268" s="4"/>
      <c r="P1268" s="4"/>
    </row>
    <row r="1269" ht="15.75" hidden="1" customHeight="1">
      <c r="B1269" s="8">
        <v>1585.0</v>
      </c>
      <c r="C1269" s="9">
        <v>43434.0</v>
      </c>
      <c r="D1269" s="6" t="s">
        <v>1643</v>
      </c>
      <c r="E1269" s="4"/>
      <c r="F1269" s="8" t="s">
        <v>1644</v>
      </c>
      <c r="G1269" s="4" t="s">
        <v>898</v>
      </c>
      <c r="H1269" s="10" t="s">
        <v>899</v>
      </c>
      <c r="I1269" s="10">
        <v>1.0</v>
      </c>
      <c r="J1269" s="11" t="str">
        <f>IF(D1269&lt;&gt;"",VLOOKUP(H1269,TABLEITEM,5,FALSE),"")</f>
        <v>LIT</v>
      </c>
      <c r="K1269" s="12">
        <v>390.0</v>
      </c>
      <c r="L1269" s="13" t="str">
        <f>IF(D1269&lt;&gt;"",VLOOKUP(H1269,TABLEITEM,2,FALSE),"")</f>
        <v/>
      </c>
      <c r="M1269" s="13" t="str">
        <f>IF(D1269&lt;&gt;"",VLOOKUP(H1269,TABLEITEM,3,FALSE),"")</f>
        <v>สีพ่นแห้งเร็ว(สีผสม)</v>
      </c>
      <c r="N1269" s="14">
        <f>INSTOCK!$I1269*INSTOCK!$K1269</f>
        <v>390</v>
      </c>
      <c r="O1269" s="4" t="s">
        <v>1645</v>
      </c>
      <c r="P1269" s="4"/>
    </row>
    <row r="1270" ht="15.75" hidden="1" customHeight="1">
      <c r="B1270" s="8">
        <v>1586.0</v>
      </c>
      <c r="C1270" s="9">
        <v>43433.0</v>
      </c>
      <c r="D1270" s="6" t="s">
        <v>1646</v>
      </c>
      <c r="E1270" s="4">
        <v>6.111001537E9</v>
      </c>
      <c r="F1270" s="8" t="s">
        <v>1647</v>
      </c>
      <c r="G1270" s="4" t="s">
        <v>1512</v>
      </c>
      <c r="H1270" s="10" t="s">
        <v>1648</v>
      </c>
      <c r="I1270" s="10">
        <v>1.0</v>
      </c>
      <c r="J1270" s="11" t="str">
        <f>IF(D1270&lt;&gt;"",VLOOKUP(H1270,TABLEITEM,5,FALSE),"")</f>
        <v>EA</v>
      </c>
      <c r="K1270" s="12">
        <v>2200.0</v>
      </c>
      <c r="L1270" s="13" t="str">
        <f>IF(D1270&lt;&gt;"",VLOOKUP(H1270,TABLEITEM,2,FALSE),"")</f>
        <v/>
      </c>
      <c r="M1270" s="13" t="str">
        <f>IF(D1270&lt;&gt;"",VLOOKUP(H1270,TABLEITEM,3,FALSE),"")</f>
        <v>READY TO CLOSE FOR E2.2-E6.2</v>
      </c>
      <c r="N1270" s="14">
        <f>INSTOCK!$I1270*INSTOCK!$K1270</f>
        <v>2200</v>
      </c>
      <c r="O1270" s="4" t="s">
        <v>1504</v>
      </c>
      <c r="P1270" s="4"/>
    </row>
    <row r="1271" ht="15.75" hidden="1" customHeight="1">
      <c r="B1271" s="8">
        <v>1587.0</v>
      </c>
      <c r="C1271" s="9">
        <v>43433.0</v>
      </c>
      <c r="D1271" s="6" t="s">
        <v>1649</v>
      </c>
      <c r="E1271" s="4">
        <v>6.111001542E9</v>
      </c>
      <c r="F1271" s="8" t="s">
        <v>1650</v>
      </c>
      <c r="G1271" s="4" t="s">
        <v>1485</v>
      </c>
      <c r="H1271" s="10" t="s">
        <v>1651</v>
      </c>
      <c r="I1271" s="10">
        <v>5.0</v>
      </c>
      <c r="J1271" s="11" t="str">
        <f>IF(D1271&lt;&gt;"",VLOOKUP(H1271,TABLEITEM,5,FALSE),"")</f>
        <v>EA</v>
      </c>
      <c r="K1271" s="12">
        <v>625.0</v>
      </c>
      <c r="L1271" s="13" t="str">
        <f>IF(D1271&lt;&gt;"",VLOOKUP(H1271,TABLEITEM,2,FALSE),"")</f>
        <v/>
      </c>
      <c r="M1271" s="13" t="str">
        <f>IF(D1271&lt;&gt;"",VLOOKUP(H1271,TABLEITEM,3,FALSE),"")</f>
        <v>IC60N 2P 3A 10KA 400VAC</v>
      </c>
      <c r="N1271" s="14">
        <f>INSTOCK!$I1271*INSTOCK!$K1271</f>
        <v>3125</v>
      </c>
      <c r="O1271" s="4" t="s">
        <v>1487</v>
      </c>
      <c r="P1271" s="4"/>
    </row>
    <row r="1272" ht="15.75" hidden="1" customHeight="1">
      <c r="B1272" s="8">
        <v>1588.0</v>
      </c>
      <c r="C1272" s="9">
        <v>43433.0</v>
      </c>
      <c r="D1272" s="6" t="s">
        <v>1649</v>
      </c>
      <c r="E1272" s="4">
        <v>6.111001542E9</v>
      </c>
      <c r="F1272" s="8" t="s">
        <v>1650</v>
      </c>
      <c r="G1272" s="4" t="s">
        <v>1485</v>
      </c>
      <c r="H1272" s="10" t="s">
        <v>1652</v>
      </c>
      <c r="I1272" s="10">
        <v>5.0</v>
      </c>
      <c r="J1272" s="11" t="str">
        <f>IF(D1272&lt;&gt;"",VLOOKUP(H1272,TABLEITEM,5,FALSE),"")</f>
        <v>EA</v>
      </c>
      <c r="K1272" s="12">
        <v>345.0</v>
      </c>
      <c r="L1272" s="13" t="str">
        <f>IF(D1272&lt;&gt;"",VLOOKUP(H1272,TABLEITEM,2,FALSE),"")</f>
        <v/>
      </c>
      <c r="M1272" s="13" t="str">
        <f>IF(D1272&lt;&gt;"",VLOOKUP(H1272,TABLEITEM,3,FALSE),"")</f>
        <v>IC60N 2P 6A 10KA 400VAC</v>
      </c>
      <c r="N1272" s="14">
        <f>INSTOCK!$I1272*INSTOCK!$K1272</f>
        <v>1725</v>
      </c>
      <c r="O1272" s="4" t="s">
        <v>1487</v>
      </c>
      <c r="P1272" s="4"/>
    </row>
    <row r="1273" ht="15.75" hidden="1" customHeight="1">
      <c r="B1273" s="8">
        <v>1589.0</v>
      </c>
      <c r="C1273" s="9">
        <v>43433.0</v>
      </c>
      <c r="D1273" s="6" t="s">
        <v>1649</v>
      </c>
      <c r="E1273" s="4">
        <v>6.111001542E9</v>
      </c>
      <c r="F1273" s="8" t="s">
        <v>1650</v>
      </c>
      <c r="G1273" s="4" t="s">
        <v>1485</v>
      </c>
      <c r="H1273" s="10" t="s">
        <v>1653</v>
      </c>
      <c r="I1273" s="10">
        <v>10.0</v>
      </c>
      <c r="J1273" s="11" t="str">
        <f>IF(D1273&lt;&gt;"",VLOOKUP(H1273,TABLEITEM,5,FALSE),"")</f>
        <v>EA</v>
      </c>
      <c r="K1273" s="12">
        <v>483.8</v>
      </c>
      <c r="L1273" s="13" t="str">
        <f>IF(D1273&lt;&gt;"",VLOOKUP(H1273,TABLEITEM,2,FALSE),"")</f>
        <v/>
      </c>
      <c r="M1273" s="13" t="str">
        <f>IF(D1273&lt;&gt;"",VLOOKUP(H1273,TABLEITEM,3,FALSE),"")</f>
        <v>CONTACTOR 3P AC3 12A 220VAC</v>
      </c>
      <c r="N1273" s="14">
        <f>INSTOCK!$I1273*INSTOCK!$K1273</f>
        <v>4838</v>
      </c>
      <c r="O1273" s="4" t="s">
        <v>1487</v>
      </c>
      <c r="P1273" s="4"/>
    </row>
    <row r="1274" ht="15.75" hidden="1" customHeight="1">
      <c r="B1274" s="8">
        <v>1590.0</v>
      </c>
      <c r="C1274" s="9">
        <v>43433.0</v>
      </c>
      <c r="D1274" s="6" t="s">
        <v>1654</v>
      </c>
      <c r="E1274" s="4">
        <v>6.111001512E9</v>
      </c>
      <c r="F1274" s="8" t="s">
        <v>1650</v>
      </c>
      <c r="G1274" s="4" t="s">
        <v>1485</v>
      </c>
      <c r="H1274" s="10" t="s">
        <v>1655</v>
      </c>
      <c r="I1274" s="10">
        <v>1.0</v>
      </c>
      <c r="J1274" s="11" t="str">
        <f>IF(D1274&lt;&gt;"",VLOOKUP(H1274,TABLEITEM,5,FALSE),"")</f>
        <v>EA</v>
      </c>
      <c r="K1274" s="12">
        <v>1029.1</v>
      </c>
      <c r="L1274" s="13" t="str">
        <f>IF(D1274&lt;&gt;"",VLOOKUP(H1274,TABLEITEM,2,FALSE),"")</f>
        <v/>
      </c>
      <c r="M1274" s="13" t="str">
        <f>IF(D1274&lt;&gt;"",VLOOKUP(H1274,TABLEITEM,3,FALSE),"")</f>
        <v>VARIO EMERGENCY SWITCH VCF1 32A</v>
      </c>
      <c r="N1274" s="14">
        <f>INSTOCK!$I1274*INSTOCK!$K1274</f>
        <v>1029.1</v>
      </c>
      <c r="O1274" s="4" t="s">
        <v>1487</v>
      </c>
      <c r="P1274" s="4"/>
    </row>
    <row r="1275" ht="15.75" hidden="1" customHeight="1">
      <c r="B1275" s="8">
        <v>1591.0</v>
      </c>
      <c r="C1275" s="9">
        <v>43433.0</v>
      </c>
      <c r="D1275" s="6">
        <v>36727.0</v>
      </c>
      <c r="E1275" s="4">
        <v>6.11100154E9</v>
      </c>
      <c r="F1275" s="8" t="s">
        <v>604</v>
      </c>
      <c r="G1275" s="4" t="s">
        <v>696</v>
      </c>
      <c r="H1275" s="10" t="s">
        <v>1656</v>
      </c>
      <c r="I1275" s="10">
        <v>1.0</v>
      </c>
      <c r="J1275" s="11" t="str">
        <f>IF(D1275&lt;&gt;"",VLOOKUP(H1275,TABLEITEM,5,FALSE),"")</f>
        <v>SET</v>
      </c>
      <c r="K1275" s="12">
        <v>2150.0</v>
      </c>
      <c r="L1275" s="13" t="str">
        <f>IF(D1275&lt;&gt;"",VLOOKUP(H1275,TABLEITEM,2,FALSE),"")</f>
        <v/>
      </c>
      <c r="M1275" s="13" t="str">
        <f>IF(D1275&lt;&gt;"",VLOOKUP(H1275,TABLEITEM,3,FALSE),"")</f>
        <v>ชุดประแจบล็อค 25/ตัวชุด</v>
      </c>
      <c r="N1275" s="14">
        <f>INSTOCK!$I1275*INSTOCK!$K1275</f>
        <v>2150</v>
      </c>
      <c r="O1275" s="4" t="s">
        <v>1657</v>
      </c>
      <c r="P1275" s="4"/>
    </row>
    <row r="1276" ht="15.75" hidden="1" customHeight="1">
      <c r="B1276" s="8">
        <v>1592.0</v>
      </c>
      <c r="C1276" s="9">
        <v>43433.0</v>
      </c>
      <c r="D1276" s="6">
        <v>36727.0</v>
      </c>
      <c r="E1276" s="4">
        <v>6.11100154E9</v>
      </c>
      <c r="F1276" s="8" t="s">
        <v>604</v>
      </c>
      <c r="G1276" s="4" t="s">
        <v>696</v>
      </c>
      <c r="H1276" s="10" t="s">
        <v>1658</v>
      </c>
      <c r="I1276" s="10">
        <v>10.0</v>
      </c>
      <c r="J1276" s="11" t="str">
        <f>IF(D1276&lt;&gt;"",VLOOKUP(H1276,TABLEITEM,5,FALSE),"")</f>
        <v>EA</v>
      </c>
      <c r="K1276" s="12">
        <v>82.0</v>
      </c>
      <c r="L1276" s="13" t="str">
        <f>IF(D1276&lt;&gt;"",VLOOKUP(H1276,TABLEITEM,2,FALSE),"")</f>
        <v/>
      </c>
      <c r="M1276" s="13" t="str">
        <f>IF(D1276&lt;&gt;"",VLOOKUP(H1276,TABLEITEM,3,FALSE),"")</f>
        <v>ประแจแหวนข้างปากตาย #10</v>
      </c>
      <c r="N1276" s="14">
        <f>INSTOCK!$I1276*INSTOCK!$K1276</f>
        <v>820</v>
      </c>
      <c r="O1276" s="4" t="s">
        <v>1659</v>
      </c>
      <c r="P1276" s="4"/>
    </row>
    <row r="1277" ht="15.75" hidden="1" customHeight="1">
      <c r="B1277" s="8">
        <v>1593.0</v>
      </c>
      <c r="C1277" s="9">
        <v>43433.0</v>
      </c>
      <c r="D1277" s="6">
        <v>36727.0</v>
      </c>
      <c r="E1277" s="4">
        <v>6.11100154E9</v>
      </c>
      <c r="F1277" s="8" t="s">
        <v>604</v>
      </c>
      <c r="G1277" s="4" t="s">
        <v>696</v>
      </c>
      <c r="H1277" s="10" t="s">
        <v>1660</v>
      </c>
      <c r="I1277" s="10">
        <v>10.0</v>
      </c>
      <c r="J1277" s="11" t="str">
        <f>IF(D1277&lt;&gt;"",VLOOKUP(H1277,TABLEITEM,5,FALSE),"")</f>
        <v>EA</v>
      </c>
      <c r="K1277" s="12">
        <v>99.0</v>
      </c>
      <c r="L1277" s="13" t="str">
        <f>IF(D1277&lt;&gt;"",VLOOKUP(H1277,TABLEITEM,2,FALSE),"")</f>
        <v/>
      </c>
      <c r="M1277" s="13" t="str">
        <f>IF(D1277&lt;&gt;"",VLOOKUP(H1277,TABLEITEM,3,FALSE),"")</f>
        <v>ประแจแหวนข้างปากตาย #13</v>
      </c>
      <c r="N1277" s="14">
        <f>INSTOCK!$I1277*INSTOCK!$K1277</f>
        <v>990</v>
      </c>
      <c r="O1277" s="4" t="s">
        <v>1659</v>
      </c>
      <c r="P1277" s="4"/>
    </row>
    <row r="1278" ht="15.75" hidden="1" customHeight="1">
      <c r="B1278" s="8">
        <v>1594.0</v>
      </c>
      <c r="C1278" s="9">
        <v>43433.0</v>
      </c>
      <c r="D1278" s="6">
        <v>36727.0</v>
      </c>
      <c r="E1278" s="4">
        <v>6.11100154E9</v>
      </c>
      <c r="F1278" s="8" t="s">
        <v>604</v>
      </c>
      <c r="G1278" s="4" t="s">
        <v>696</v>
      </c>
      <c r="H1278" s="10" t="s">
        <v>1661</v>
      </c>
      <c r="I1278" s="10">
        <v>4.0</v>
      </c>
      <c r="J1278" s="11" t="str">
        <f>IF(D1278&lt;&gt;"",VLOOKUP(H1278,TABLEITEM,5,FALSE),"")</f>
        <v>EA</v>
      </c>
      <c r="K1278" s="12">
        <v>139.0</v>
      </c>
      <c r="L1278" s="13" t="str">
        <f>IF(D1278&lt;&gt;"",VLOOKUP(H1278,TABLEITEM,2,FALSE),"")</f>
        <v/>
      </c>
      <c r="M1278" s="13" t="str">
        <f>IF(D1278&lt;&gt;"",VLOOKUP(H1278,TABLEITEM,3,FALSE),"")</f>
        <v>ประแจแหวนข้างปากตาย #17</v>
      </c>
      <c r="N1278" s="14">
        <f>INSTOCK!$I1278*INSTOCK!$K1278</f>
        <v>556</v>
      </c>
      <c r="O1278" s="4" t="s">
        <v>1659</v>
      </c>
      <c r="P1278" s="4"/>
    </row>
    <row r="1279" ht="15.75" hidden="1" customHeight="1">
      <c r="B1279" s="8">
        <v>1595.0</v>
      </c>
      <c r="C1279" s="9">
        <v>43433.0</v>
      </c>
      <c r="D1279" s="6">
        <v>36727.0</v>
      </c>
      <c r="E1279" s="4">
        <v>6.11100154E9</v>
      </c>
      <c r="F1279" s="8" t="s">
        <v>604</v>
      </c>
      <c r="G1279" s="4" t="s">
        <v>696</v>
      </c>
      <c r="H1279" s="10" t="s">
        <v>1662</v>
      </c>
      <c r="I1279" s="10">
        <v>4.0</v>
      </c>
      <c r="J1279" s="11" t="str">
        <f>IF(D1279&lt;&gt;"",VLOOKUP(H1279,TABLEITEM,5,FALSE),"")</f>
        <v>EA</v>
      </c>
      <c r="K1279" s="12">
        <v>168.0</v>
      </c>
      <c r="L1279" s="13" t="str">
        <f>IF(D1279&lt;&gt;"",VLOOKUP(H1279,TABLEITEM,2,FALSE),"")</f>
        <v/>
      </c>
      <c r="M1279" s="13" t="str">
        <f>IF(D1279&lt;&gt;"",VLOOKUP(H1279,TABLEITEM,3,FALSE),"")</f>
        <v>ประแจแหวนข้างปากตาย #19</v>
      </c>
      <c r="N1279" s="14">
        <f>INSTOCK!$I1279*INSTOCK!$K1279</f>
        <v>672</v>
      </c>
      <c r="O1279" s="4" t="s">
        <v>1659</v>
      </c>
      <c r="P1279" s="4"/>
    </row>
    <row r="1280" ht="15.75" hidden="1" customHeight="1">
      <c r="B1280" s="8">
        <v>1596.0</v>
      </c>
      <c r="C1280" s="9">
        <v>43433.0</v>
      </c>
      <c r="D1280" s="6">
        <v>36727.0</v>
      </c>
      <c r="E1280" s="4">
        <v>6.11100154E9</v>
      </c>
      <c r="F1280" s="8" t="s">
        <v>604</v>
      </c>
      <c r="G1280" s="4" t="s">
        <v>696</v>
      </c>
      <c r="H1280" s="10" t="s">
        <v>1663</v>
      </c>
      <c r="I1280" s="10">
        <v>5.0</v>
      </c>
      <c r="J1280" s="11" t="str">
        <f>IF(D1280&lt;&gt;"",VLOOKUP(H1280,TABLEITEM,5,FALSE),"")</f>
        <v>EA</v>
      </c>
      <c r="K1280" s="12">
        <v>125.0</v>
      </c>
      <c r="L1280" s="13" t="str">
        <f>IF(D1280&lt;&gt;"",VLOOKUP(H1280,TABLEITEM,2,FALSE),"")</f>
        <v/>
      </c>
      <c r="M1280" s="13" t="str">
        <f>IF(D1280&lt;&gt;"",VLOOKUP(H1280,TABLEITEM,3,FALSE),"")</f>
        <v>ประแจแหวน 12-13</v>
      </c>
      <c r="N1280" s="14">
        <f>INSTOCK!$I1280*INSTOCK!$K1280</f>
        <v>625</v>
      </c>
      <c r="O1280" s="4" t="s">
        <v>1659</v>
      </c>
      <c r="P1280" s="4"/>
    </row>
    <row r="1281" ht="15.75" hidden="1" customHeight="1">
      <c r="B1281" s="8">
        <v>1597.0</v>
      </c>
      <c r="C1281" s="9">
        <v>43433.0</v>
      </c>
      <c r="D1281" s="6">
        <v>36727.0</v>
      </c>
      <c r="E1281" s="4">
        <v>6.11100154E9</v>
      </c>
      <c r="F1281" s="8" t="s">
        <v>604</v>
      </c>
      <c r="G1281" s="4" t="s">
        <v>696</v>
      </c>
      <c r="H1281" s="10" t="s">
        <v>1664</v>
      </c>
      <c r="I1281" s="10">
        <v>5.0</v>
      </c>
      <c r="J1281" s="11" t="str">
        <f>IF(D1281&lt;&gt;"",VLOOKUP(H1281,TABLEITEM,5,FALSE),"")</f>
        <v>EA</v>
      </c>
      <c r="K1281" s="12">
        <v>206.0</v>
      </c>
      <c r="L1281" s="13" t="str">
        <f>IF(D1281&lt;&gt;"",VLOOKUP(H1281,TABLEITEM,2,FALSE),"")</f>
        <v/>
      </c>
      <c r="M1281" s="13" t="str">
        <f>IF(D1281&lt;&gt;"",VLOOKUP(H1281,TABLEITEM,3,FALSE),"")</f>
        <v>ประแจแหวน 17-19</v>
      </c>
      <c r="N1281" s="14">
        <f>INSTOCK!$I1281*INSTOCK!$K1281</f>
        <v>1030</v>
      </c>
      <c r="O1281" s="4" t="s">
        <v>1659</v>
      </c>
      <c r="P1281" s="4"/>
    </row>
    <row r="1282" ht="15.75" hidden="1" customHeight="1">
      <c r="B1282" s="8">
        <v>1598.0</v>
      </c>
      <c r="C1282" s="9">
        <v>43433.0</v>
      </c>
      <c r="D1282" s="6">
        <v>36727.0</v>
      </c>
      <c r="E1282" s="4">
        <v>6.11100154E9</v>
      </c>
      <c r="F1282" s="8" t="s">
        <v>604</v>
      </c>
      <c r="G1282" s="4" t="s">
        <v>696</v>
      </c>
      <c r="H1282" s="10" t="s">
        <v>1665</v>
      </c>
      <c r="I1282" s="10">
        <v>1.0</v>
      </c>
      <c r="J1282" s="11" t="str">
        <f>IF(D1282&lt;&gt;"",VLOOKUP(H1282,TABLEITEM,5,FALSE),"")</f>
        <v>SET</v>
      </c>
      <c r="K1282" s="12">
        <v>260.0</v>
      </c>
      <c r="L1282" s="13" t="str">
        <f>IF(D1282&lt;&gt;"",VLOOKUP(H1282,TABLEITEM,2,FALSE),"")</f>
        <v/>
      </c>
      <c r="M1282" s="13" t="str">
        <f>IF(D1282&lt;&gt;"",VLOOKUP(H1282,TABLEITEM,3,FALSE),"")</f>
        <v>ประแจดาว(ทอล์ค) 9/ตัวชุด</v>
      </c>
      <c r="N1282" s="14">
        <f>INSTOCK!$I1282*INSTOCK!$K1282</f>
        <v>260</v>
      </c>
      <c r="O1282" s="4" t="s">
        <v>1659</v>
      </c>
      <c r="P1282" s="4"/>
    </row>
    <row r="1283" ht="15.75" hidden="1" customHeight="1">
      <c r="B1283" s="8">
        <v>1599.0</v>
      </c>
      <c r="C1283" s="9">
        <v>43433.0</v>
      </c>
      <c r="D1283" s="6">
        <v>36727.0</v>
      </c>
      <c r="E1283" s="4">
        <v>6.11100154E9</v>
      </c>
      <c r="F1283" s="8" t="s">
        <v>604</v>
      </c>
      <c r="G1283" s="4" t="s">
        <v>696</v>
      </c>
      <c r="H1283" s="10" t="s">
        <v>1666</v>
      </c>
      <c r="I1283" s="10">
        <v>5.0</v>
      </c>
      <c r="J1283" s="11" t="str">
        <f>IF(D1283&lt;&gt;"",VLOOKUP(H1283,TABLEITEM,5,FALSE),"")</f>
        <v>EA</v>
      </c>
      <c r="K1283" s="12">
        <v>12.0</v>
      </c>
      <c r="L1283" s="13" t="str">
        <f>IF(D1283&lt;&gt;"",VLOOKUP(H1283,TABLEITEM,2,FALSE),"")</f>
        <v/>
      </c>
      <c r="M1283" s="13" t="str">
        <f>IF(D1283&lt;&gt;"",VLOOKUP(H1283,TABLEITEM,3,FALSE),"")</f>
        <v>ประแจหกเหลี่ยมสั้นดำ #2.5</v>
      </c>
      <c r="N1283" s="14">
        <f>INSTOCK!$I1283*INSTOCK!$K1283</f>
        <v>60</v>
      </c>
      <c r="O1283" s="4"/>
      <c r="P1283" s="4"/>
    </row>
    <row r="1284" ht="15.75" hidden="1" customHeight="1">
      <c r="B1284" s="8">
        <v>1600.0</v>
      </c>
      <c r="C1284" s="9">
        <v>43433.0</v>
      </c>
      <c r="D1284" s="6" t="s">
        <v>1667</v>
      </c>
      <c r="E1284" s="4">
        <v>6.111001539E9</v>
      </c>
      <c r="F1284" s="8" t="s">
        <v>1668</v>
      </c>
      <c r="G1284" s="4" t="s">
        <v>743</v>
      </c>
      <c r="H1284" s="10" t="s">
        <v>77</v>
      </c>
      <c r="I1284" s="10">
        <v>20.0</v>
      </c>
      <c r="J1284" s="11" t="str">
        <f>IF(D1284&lt;&gt;"",VLOOKUP(H1284,TABLEITEM,5,FALSE),"")</f>
        <v>KG.</v>
      </c>
      <c r="K1284" s="12">
        <v>120.0</v>
      </c>
      <c r="L1284" s="13" t="str">
        <f>IF(D1284&lt;&gt;"",VLOOKUP(H1284,TABLEITEM,2,FALSE),"")</f>
        <v/>
      </c>
      <c r="M1284" s="13" t="str">
        <f>IF(D1284&lt;&gt;"",VLOOKUP(H1284,TABLEITEM,3,FALSE),"")</f>
        <v>สีฝุ่น GREY BUTTER 1025216PX20</v>
      </c>
      <c r="N1284" s="14">
        <f>INSTOCK!$I1284*INSTOCK!$K1284</f>
        <v>2400</v>
      </c>
      <c r="O1284" s="4"/>
      <c r="P1284" s="4"/>
    </row>
    <row r="1285" ht="15.75" hidden="1" customHeight="1">
      <c r="B1285" s="8">
        <v>1601.0</v>
      </c>
      <c r="C1285" s="9">
        <v>43432.0</v>
      </c>
      <c r="D1285" s="6">
        <v>6111615.0</v>
      </c>
      <c r="E1285" s="4">
        <v>6.111001543E9</v>
      </c>
      <c r="F1285" s="8" t="s">
        <v>604</v>
      </c>
      <c r="G1285" s="4" t="s">
        <v>1100</v>
      </c>
      <c r="H1285" s="10" t="s">
        <v>371</v>
      </c>
      <c r="I1285" s="10">
        <v>500.0</v>
      </c>
      <c r="J1285" s="11" t="str">
        <f>IF(D1285&lt;&gt;"",VLOOKUP(H1285,TABLEITEM,5,FALSE),"")</f>
        <v>EA</v>
      </c>
      <c r="K1285" s="12">
        <v>0.36</v>
      </c>
      <c r="L1285" s="13" t="str">
        <f>IF(D1285&lt;&gt;"",VLOOKUP(H1285,TABLEITEM,2,FALSE),"")</f>
        <v/>
      </c>
      <c r="M1285" s="13" t="str">
        <f>IF(D1285&lt;&gt;"",VLOOKUP(H1285,TABLEITEM,3,FALSE),"")</f>
        <v>ปลอกหุ้มหางปลา V-8 สีน้ำเงิน</v>
      </c>
      <c r="N1285" s="14">
        <f>INSTOCK!$I1285*INSTOCK!$K1285</f>
        <v>180</v>
      </c>
      <c r="O1285" s="4" t="s">
        <v>1669</v>
      </c>
      <c r="P1285" s="4"/>
    </row>
    <row r="1286" ht="15.75" hidden="1" customHeight="1">
      <c r="B1286" s="8">
        <v>1602.0</v>
      </c>
      <c r="C1286" s="9">
        <v>43432.0</v>
      </c>
      <c r="D1286" s="6" t="s">
        <v>1670</v>
      </c>
      <c r="E1286" s="4">
        <v>6.111001533E9</v>
      </c>
      <c r="F1286" s="8" t="s">
        <v>1442</v>
      </c>
      <c r="G1286" s="4" t="s">
        <v>1671</v>
      </c>
      <c r="H1286" s="10" t="s">
        <v>1672</v>
      </c>
      <c r="I1286" s="10">
        <v>20.0</v>
      </c>
      <c r="J1286" s="11" t="str">
        <f>IF(D1286&lt;&gt;"",VLOOKUP(H1286,TABLEITEM,5,FALSE),"")</f>
        <v>SET</v>
      </c>
      <c r="K1286" s="12">
        <v>150.0</v>
      </c>
      <c r="L1286" s="13" t="str">
        <f>IF(D1286&lt;&gt;"",VLOOKUP(H1286,TABLEITEM,2,FALSE),"")</f>
        <v/>
      </c>
      <c r="M1286" s="13" t="str">
        <f>IF(D1286&lt;&gt;"",VLOOKUP(H1286,TABLEITEM,3,FALSE),"")</f>
        <v>แปรงถ่าน BOSCH GWS 7-100</v>
      </c>
      <c r="N1286" s="14">
        <f>INSTOCK!$I1286*INSTOCK!$K1286</f>
        <v>3000</v>
      </c>
      <c r="O1286" s="4"/>
      <c r="P1286" s="4"/>
    </row>
    <row r="1287" ht="15.75" hidden="1" customHeight="1">
      <c r="B1287" s="8">
        <v>1603.0</v>
      </c>
      <c r="C1287" s="9">
        <v>43432.0</v>
      </c>
      <c r="D1287" s="6" t="s">
        <v>1673</v>
      </c>
      <c r="E1287" s="4"/>
      <c r="F1287" s="8" t="s">
        <v>801</v>
      </c>
      <c r="G1287" s="4" t="s">
        <v>1417</v>
      </c>
      <c r="H1287" s="10" t="s">
        <v>803</v>
      </c>
      <c r="I1287" s="10">
        <v>20.0</v>
      </c>
      <c r="J1287" s="11" t="str">
        <f>IF(D1287&lt;&gt;"",VLOOKUP(H1287,TABLEITEM,5,FALSE),"")</f>
        <v>ถัง</v>
      </c>
      <c r="K1287" s="12">
        <v>981.31</v>
      </c>
      <c r="L1287" s="13" t="str">
        <f>IF(D1287&lt;&gt;"",VLOOKUP(H1287,TABLEITEM,2,FALSE),"")</f>
        <v/>
      </c>
      <c r="M1287" s="13" t="str">
        <f>IF(D1287&lt;&gt;"",VLOOKUP(H1287,TABLEITEM,3,FALSE),"")</f>
        <v>แก๊สหุงต้ม 48กก</v>
      </c>
      <c r="N1287" s="14">
        <f>INSTOCK!$I1287*INSTOCK!$K1287</f>
        <v>19626.2</v>
      </c>
      <c r="O1287" s="4"/>
      <c r="P1287" s="4"/>
    </row>
    <row r="1288" ht="15.75" hidden="1" customHeight="1">
      <c r="B1288" s="8">
        <v>1604.0</v>
      </c>
      <c r="C1288" s="9">
        <v>43449.0</v>
      </c>
      <c r="D1288" s="6" t="s">
        <v>1674</v>
      </c>
      <c r="E1288" s="4">
        <v>6.112001636E9</v>
      </c>
      <c r="F1288" s="8" t="s">
        <v>1675</v>
      </c>
      <c r="G1288" s="4" t="s">
        <v>617</v>
      </c>
      <c r="H1288" s="10" t="s">
        <v>546</v>
      </c>
      <c r="I1288" s="10">
        <v>25.0</v>
      </c>
      <c r="J1288" s="11" t="str">
        <f>IF(D1288&lt;&gt;"",VLOOKUP(H1288,TABLEITEM,5,FALSE),"")</f>
        <v>M</v>
      </c>
      <c r="K1288" s="12">
        <v>1387.2</v>
      </c>
      <c r="L1288" s="13" t="str">
        <f>IF(D1288&lt;&gt;"",VLOOKUP(H1288,TABLEITEM,2,FALSE),"")</f>
        <v>Busbar</v>
      </c>
      <c r="M1288" s="13" t="str">
        <f>IF(D1288&lt;&gt;"",VLOOKUP(H1288,TABLEITEM,3,FALSE),"")</f>
        <v>บัสบาร์ทองแดง 2"x1/2"</v>
      </c>
      <c r="N1288" s="14">
        <f>INSTOCK!$I1288*INSTOCK!$K1288</f>
        <v>34680</v>
      </c>
      <c r="O1288" s="4" t="s">
        <v>1676</v>
      </c>
      <c r="P1288" s="4"/>
    </row>
    <row r="1289" ht="15.75" hidden="1" customHeight="1">
      <c r="B1289" s="8">
        <v>1605.0</v>
      </c>
      <c r="C1289" s="9">
        <v>43432.0</v>
      </c>
      <c r="D1289" s="6" t="s">
        <v>1677</v>
      </c>
      <c r="E1289" s="4">
        <v>6.111001535E9</v>
      </c>
      <c r="F1289" s="8" t="s">
        <v>1420</v>
      </c>
      <c r="G1289" s="4" t="s">
        <v>965</v>
      </c>
      <c r="H1289" s="10" t="s">
        <v>1678</v>
      </c>
      <c r="I1289" s="10">
        <v>2.0</v>
      </c>
      <c r="J1289" s="11" t="str">
        <f>IF(D1289&lt;&gt;"",VLOOKUP(H1289,TABLEITEM,5,FALSE),"")</f>
        <v>EA</v>
      </c>
      <c r="K1289" s="12">
        <v>200.0</v>
      </c>
      <c r="L1289" s="13" t="str">
        <f>IF(D1289&lt;&gt;"",VLOOKUP(H1289,TABLEITEM,2,FALSE),"")</f>
        <v/>
      </c>
      <c r="M1289" s="13" t="str">
        <f>IF(D1289&lt;&gt;"",VLOOKUP(H1289,TABLEITEM,3,FALSE),"")</f>
        <v>สีรองพื้นกันสนิม Lotto</v>
      </c>
      <c r="N1289" s="14">
        <f>INSTOCK!$I1289*INSTOCK!$K1289</f>
        <v>400</v>
      </c>
      <c r="O1289" s="4"/>
      <c r="P1289" s="4"/>
    </row>
    <row r="1290" ht="15.75" hidden="1" customHeight="1">
      <c r="B1290" s="8">
        <v>1606.0</v>
      </c>
      <c r="C1290" s="9">
        <v>43432.0</v>
      </c>
      <c r="D1290" s="6" t="s">
        <v>1677</v>
      </c>
      <c r="E1290" s="4">
        <v>6.111001535E9</v>
      </c>
      <c r="F1290" s="8" t="s">
        <v>1420</v>
      </c>
      <c r="G1290" s="4" t="s">
        <v>965</v>
      </c>
      <c r="H1290" s="10" t="s">
        <v>1679</v>
      </c>
      <c r="I1290" s="10">
        <v>1.0</v>
      </c>
      <c r="J1290" s="11" t="str">
        <f>IF(D1290&lt;&gt;"",VLOOKUP(H1290,TABLEITEM,5,FALSE),"")</f>
        <v>กล</v>
      </c>
      <c r="K1290" s="12">
        <v>300.0</v>
      </c>
      <c r="L1290" s="13" t="str">
        <f>IF(D1290&lt;&gt;"",VLOOKUP(H1290,TABLEITEM,2,FALSE),"")</f>
        <v/>
      </c>
      <c r="M1290" s="13" t="str">
        <f>IF(D1290&lt;&gt;"",VLOOKUP(H1290,TABLEITEM,3,FALSE),"")</f>
        <v>สีน้ำมันดำด้าน DENZO-888</v>
      </c>
      <c r="N1290" s="14">
        <f>INSTOCK!$I1290*INSTOCK!$K1290</f>
        <v>300</v>
      </c>
      <c r="O1290" s="4"/>
      <c r="P1290" s="4"/>
    </row>
    <row r="1291" ht="15.75" hidden="1" customHeight="1">
      <c r="B1291" s="8">
        <v>1607.0</v>
      </c>
      <c r="C1291" s="9">
        <v>43432.0</v>
      </c>
      <c r="D1291" s="6" t="s">
        <v>1677</v>
      </c>
      <c r="E1291" s="4">
        <v>6.111001535E9</v>
      </c>
      <c r="F1291" s="8" t="s">
        <v>1420</v>
      </c>
      <c r="G1291" s="4" t="s">
        <v>965</v>
      </c>
      <c r="H1291" s="10" t="s">
        <v>1680</v>
      </c>
      <c r="I1291" s="10">
        <v>2.0</v>
      </c>
      <c r="J1291" s="11" t="str">
        <f>IF(D1291&lt;&gt;"",VLOOKUP(H1291,TABLEITEM,5,FALSE),"")</f>
        <v>EA</v>
      </c>
      <c r="K1291" s="12">
        <v>20.0</v>
      </c>
      <c r="L1291" s="13" t="str">
        <f>IF(D1291&lt;&gt;"",VLOOKUP(H1291,TABLEITEM,2,FALSE),"")</f>
        <v/>
      </c>
      <c r="M1291" s="13" t="str">
        <f>IF(D1291&lt;&gt;"",VLOOKUP(H1291,TABLEITEM,3,FALSE),"")</f>
        <v>แปรงทาสี 3"</v>
      </c>
      <c r="N1291" s="14">
        <f>INSTOCK!$I1291*INSTOCK!$K1291</f>
        <v>40</v>
      </c>
      <c r="O1291" s="4"/>
      <c r="P1291" s="4"/>
    </row>
    <row r="1292" ht="15.75" hidden="1" customHeight="1">
      <c r="B1292" s="8">
        <v>1608.0</v>
      </c>
      <c r="C1292" s="9">
        <v>43432.0</v>
      </c>
      <c r="D1292" s="6" t="s">
        <v>1677</v>
      </c>
      <c r="E1292" s="4">
        <v>6.111001535E9</v>
      </c>
      <c r="F1292" s="8" t="s">
        <v>1420</v>
      </c>
      <c r="G1292" s="4" t="s">
        <v>965</v>
      </c>
      <c r="H1292" s="10" t="s">
        <v>1681</v>
      </c>
      <c r="I1292" s="10">
        <v>2.0</v>
      </c>
      <c r="J1292" s="11" t="str">
        <f>IF(D1292&lt;&gt;"",VLOOKUP(H1292,TABLEITEM,5,FALSE),"")</f>
        <v>EA</v>
      </c>
      <c r="K1292" s="12">
        <v>45.0</v>
      </c>
      <c r="L1292" s="13" t="str">
        <f>IF(D1292&lt;&gt;"",VLOOKUP(H1292,TABLEITEM,2,FALSE),"")</f>
        <v/>
      </c>
      <c r="M1292" s="13" t="str">
        <f>IF(D1292&lt;&gt;"",VLOOKUP(H1292,TABLEITEM,3,FALSE),"")</f>
        <v>ลูกกลิ้งทาสี Somax 7"</v>
      </c>
      <c r="N1292" s="14">
        <f>INSTOCK!$I1292*INSTOCK!$K1292</f>
        <v>90</v>
      </c>
      <c r="O1292" s="4"/>
      <c r="P1292" s="4"/>
    </row>
    <row r="1293" ht="15.75" hidden="1" customHeight="1">
      <c r="B1293" s="8">
        <v>1609.0</v>
      </c>
      <c r="C1293" s="9">
        <v>43432.0</v>
      </c>
      <c r="D1293" s="6" t="s">
        <v>1682</v>
      </c>
      <c r="E1293" s="4">
        <v>6.111001521E9</v>
      </c>
      <c r="F1293" s="8" t="s">
        <v>604</v>
      </c>
      <c r="G1293" s="4" t="s">
        <v>975</v>
      </c>
      <c r="H1293" s="10" t="s">
        <v>19</v>
      </c>
      <c r="I1293" s="10">
        <v>60.0</v>
      </c>
      <c r="J1293" s="11" t="str">
        <f>IF(D1293&lt;&gt;"",VLOOKUP(H1293,TABLEITEM,5,FALSE),"")</f>
        <v>ROLL</v>
      </c>
      <c r="K1293" s="12">
        <v>140.0</v>
      </c>
      <c r="L1293" s="13" t="str">
        <f>IF(D1293&lt;&gt;"",VLOOKUP(H1293,TABLEITEM,2,FALSE),"")</f>
        <v/>
      </c>
      <c r="M1293" s="13" t="str">
        <f>IF(D1293&lt;&gt;"",VLOOKUP(H1293,TABLEITEM,3,FALSE),"")</f>
        <v>พลาสติกห่อตู้ 20micx50cmx300m</v>
      </c>
      <c r="N1293" s="14">
        <f>INSTOCK!$I1293*INSTOCK!$K1293</f>
        <v>8400</v>
      </c>
      <c r="O1293" s="4" t="s">
        <v>977</v>
      </c>
      <c r="P1293" s="4"/>
    </row>
    <row r="1294" ht="15.75" hidden="1" customHeight="1">
      <c r="B1294" s="8">
        <v>1610.0</v>
      </c>
      <c r="C1294" s="9">
        <v>43432.0</v>
      </c>
      <c r="D1294" s="6" t="s">
        <v>1683</v>
      </c>
      <c r="E1294" s="4">
        <v>6.111001514E9</v>
      </c>
      <c r="F1294" s="8" t="s">
        <v>1650</v>
      </c>
      <c r="G1294" s="4" t="s">
        <v>1684</v>
      </c>
      <c r="H1294" s="10" t="s">
        <v>1685</v>
      </c>
      <c r="I1294" s="10">
        <v>5.0</v>
      </c>
      <c r="J1294" s="11" t="str">
        <f>IF(D1294&lt;&gt;"",VLOOKUP(H1294,TABLEITEM,5,FALSE),"")</f>
        <v>EA</v>
      </c>
      <c r="K1294" s="12">
        <v>9603.0</v>
      </c>
      <c r="L1294" s="13" t="str">
        <f>IF(D1294&lt;&gt;"",VLOOKUP(H1294,TABLEITEM,2,FALSE),"")</f>
        <v/>
      </c>
      <c r="M1294" s="13" t="str">
        <f>IF(D1294&lt;&gt;"",VLOOKUP(H1294,TABLEITEM,3,FALSE),"")</f>
        <v>DELTA INVERTER 3.7KW 5HP 380V 3PHASE</v>
      </c>
      <c r="N1294" s="14">
        <f>INSTOCK!$I1294*INSTOCK!$K1294</f>
        <v>48015</v>
      </c>
      <c r="O1294" s="4" t="s">
        <v>1686</v>
      </c>
      <c r="P1294" s="4"/>
    </row>
    <row r="1295" ht="15.75" hidden="1" customHeight="1">
      <c r="B1295" s="8">
        <v>1611.0</v>
      </c>
      <c r="C1295" s="9">
        <v>43432.0</v>
      </c>
      <c r="D1295" s="6" t="s">
        <v>1683</v>
      </c>
      <c r="E1295" s="4">
        <v>6.111001514E9</v>
      </c>
      <c r="F1295" s="8" t="s">
        <v>1650</v>
      </c>
      <c r="G1295" s="4" t="s">
        <v>1684</v>
      </c>
      <c r="H1295" s="10" t="s">
        <v>1687</v>
      </c>
      <c r="I1295" s="10">
        <v>5.0</v>
      </c>
      <c r="J1295" s="11" t="str">
        <f>IF(D1295&lt;&gt;"",VLOOKUP(H1295,TABLEITEM,5,FALSE),"")</f>
        <v>EA</v>
      </c>
      <c r="K1295" s="12">
        <v>4656.0</v>
      </c>
      <c r="L1295" s="13" t="str">
        <f>IF(D1295&lt;&gt;"",VLOOKUP(H1295,TABLEITEM,2,FALSE),"")</f>
        <v/>
      </c>
      <c r="M1295" s="13" t="str">
        <f>IF(D1295&lt;&gt;"",VLOOKUP(H1295,TABLEITEM,3,FALSE),"")</f>
        <v>DELTA INVERTER 0.4KW 1/2HP 220V 1PHASE</v>
      </c>
      <c r="N1295" s="14">
        <f>INSTOCK!$I1295*INSTOCK!$K1295</f>
        <v>23280</v>
      </c>
      <c r="O1295" s="4" t="s">
        <v>1688</v>
      </c>
      <c r="P1295" s="4"/>
    </row>
    <row r="1296" ht="15.75" hidden="1" customHeight="1">
      <c r="B1296" s="8">
        <v>1612.0</v>
      </c>
      <c r="C1296" s="9">
        <v>43431.0</v>
      </c>
      <c r="D1296" s="6">
        <v>6.11108407E8</v>
      </c>
      <c r="E1296" s="4">
        <v>6.111001528E9</v>
      </c>
      <c r="F1296" s="8"/>
      <c r="G1296" s="4" t="s">
        <v>1130</v>
      </c>
      <c r="H1296" s="10" t="s">
        <v>1689</v>
      </c>
      <c r="I1296" s="10">
        <v>1.0</v>
      </c>
      <c r="J1296" s="11" t="str">
        <f>IF(D1296&lt;&gt;"",VLOOKUP(H1296,TABLEITEM,5,FALSE),"")</f>
        <v>EA</v>
      </c>
      <c r="K1296" s="12">
        <v>318.2</v>
      </c>
      <c r="L1296" s="13" t="str">
        <f>IF(D1296&lt;&gt;"",VLOOKUP(H1296,TABLEITEM,2,FALSE),"")</f>
        <v/>
      </c>
      <c r="M1296" s="13" t="str">
        <f>IF(D1296&lt;&gt;"",VLOOKUP(H1296,TABLEITEM,3,FALSE),"")</f>
        <v>Pushbuttons XB4-BC21</v>
      </c>
      <c r="N1296" s="14">
        <f>INSTOCK!$I1296*INSTOCK!$K1296</f>
        <v>318.2</v>
      </c>
      <c r="O1296" s="4" t="s">
        <v>1690</v>
      </c>
      <c r="P1296" s="4" t="s">
        <v>1487</v>
      </c>
    </row>
    <row r="1297" ht="15.75" hidden="1" customHeight="1">
      <c r="B1297" s="8">
        <v>1613.0</v>
      </c>
      <c r="C1297" s="9">
        <v>241758.0</v>
      </c>
      <c r="D1297" s="6" t="s">
        <v>1691</v>
      </c>
      <c r="E1297" s="4">
        <v>6.111001511E9</v>
      </c>
      <c r="F1297" s="8" t="s">
        <v>1692</v>
      </c>
      <c r="G1297" s="4" t="s">
        <v>1693</v>
      </c>
      <c r="H1297" s="10" t="s">
        <v>1694</v>
      </c>
      <c r="I1297" s="10">
        <v>22.0</v>
      </c>
      <c r="J1297" s="11" t="str">
        <f>IF(D1297&lt;&gt;"",VLOOKUP(H1297,TABLEITEM,5,FALSE),"")</f>
        <v>EA</v>
      </c>
      <c r="K1297" s="12">
        <v>1117.2482</v>
      </c>
      <c r="L1297" s="13" t="str">
        <f>IF(D1297&lt;&gt;"",VLOOKUP(H1297,TABLEITEM,2,FALSE),"")</f>
        <v/>
      </c>
      <c r="M1297" s="13" t="str">
        <f>IF(D1297&lt;&gt;"",VLOOKUP(H1297,TABLEITEM,3,FALSE),"")</f>
        <v>Circuil Breaker FH202AC-40/0.03</v>
      </c>
      <c r="N1297" s="14">
        <f>INSTOCK!$I1297*INSTOCK!$K1297</f>
        <v>24579.4604</v>
      </c>
      <c r="O1297" s="4" t="s">
        <v>1695</v>
      </c>
      <c r="P1297" s="4"/>
    </row>
    <row r="1298" ht="15.75" hidden="1" customHeight="1">
      <c r="B1298" s="8">
        <v>1614.0</v>
      </c>
      <c r="C1298" s="9">
        <v>241758.0</v>
      </c>
      <c r="D1298" s="6" t="s">
        <v>1691</v>
      </c>
      <c r="E1298" s="4">
        <v>6.111001511E9</v>
      </c>
      <c r="F1298" s="8" t="s">
        <v>1696</v>
      </c>
      <c r="G1298" s="4" t="s">
        <v>1693</v>
      </c>
      <c r="H1298" s="10" t="s">
        <v>1697</v>
      </c>
      <c r="I1298" s="10">
        <v>4.0</v>
      </c>
      <c r="J1298" s="11" t="str">
        <f>IF(D1298&lt;&gt;"",VLOOKUP(H1298,TABLEITEM,5,FALSE),"")</f>
        <v>EA</v>
      </c>
      <c r="K1298" s="12">
        <v>1810.56</v>
      </c>
      <c r="L1298" s="13" t="str">
        <f>IF(D1298&lt;&gt;"",VLOOKUP(H1298,TABLEITEM,2,FALSE),"")</f>
        <v/>
      </c>
      <c r="M1298" s="13" t="str">
        <f>IF(D1298&lt;&gt;"",VLOOKUP(H1298,TABLEITEM,3,FALSE),"")</f>
        <v>Circuil Breaker FH204AC-40/0.03</v>
      </c>
      <c r="N1298" s="14">
        <f>INSTOCK!$I1298*INSTOCK!$K1298</f>
        <v>7242.24</v>
      </c>
      <c r="O1298" s="4" t="s">
        <v>1698</v>
      </c>
      <c r="P1298" s="4"/>
    </row>
    <row r="1299" ht="15.75" hidden="1" customHeight="1">
      <c r="B1299" s="8">
        <v>1615.0</v>
      </c>
      <c r="C1299" s="9">
        <v>241758.0</v>
      </c>
      <c r="D1299" s="6" t="s">
        <v>1691</v>
      </c>
      <c r="E1299" s="4">
        <v>6.111001511E9</v>
      </c>
      <c r="F1299" s="8" t="s">
        <v>1699</v>
      </c>
      <c r="G1299" s="4" t="s">
        <v>1693</v>
      </c>
      <c r="H1299" s="10" t="s">
        <v>1700</v>
      </c>
      <c r="I1299" s="10">
        <v>2.0</v>
      </c>
      <c r="J1299" s="11" t="str">
        <f>IF(D1299&lt;&gt;"",VLOOKUP(H1299,TABLEITEM,5,FALSE),"")</f>
        <v>EA</v>
      </c>
      <c r="K1299" s="12">
        <v>1766.4</v>
      </c>
      <c r="L1299" s="13" t="str">
        <f>IF(D1299&lt;&gt;"",VLOOKUP(H1299,TABLEITEM,2,FALSE),"")</f>
        <v/>
      </c>
      <c r="M1299" s="13" t="str">
        <f>IF(D1299&lt;&gt;"",VLOOKUP(H1299,TABLEITEM,3,FALSE),"")</f>
        <v>Circuil Breaker FH202AC-63/0.03</v>
      </c>
      <c r="N1299" s="14">
        <f>INSTOCK!$I1299*INSTOCK!$K1299</f>
        <v>3532.8</v>
      </c>
      <c r="O1299" s="4" t="s">
        <v>1701</v>
      </c>
      <c r="P1299" s="4"/>
    </row>
    <row r="1300" ht="15.75" hidden="1" customHeight="1">
      <c r="B1300" s="8">
        <v>1616.0</v>
      </c>
      <c r="C1300" s="9">
        <v>241758.0</v>
      </c>
      <c r="D1300" s="6" t="s">
        <v>1691</v>
      </c>
      <c r="E1300" s="4">
        <v>6.111001511E9</v>
      </c>
      <c r="F1300" s="8" t="s">
        <v>1702</v>
      </c>
      <c r="G1300" s="4" t="s">
        <v>1693</v>
      </c>
      <c r="H1300" s="10" t="s">
        <v>1703</v>
      </c>
      <c r="I1300" s="10">
        <v>1.0</v>
      </c>
      <c r="J1300" s="11" t="str">
        <f>IF(D1300&lt;&gt;"",VLOOKUP(H1300,TABLEITEM,5,FALSE),"")</f>
        <v>EA</v>
      </c>
      <c r="K1300" s="12">
        <v>2649.6</v>
      </c>
      <c r="L1300" s="13" t="str">
        <f>IF(D1300&lt;&gt;"",VLOOKUP(H1300,TABLEITEM,2,FALSE),"")</f>
        <v/>
      </c>
      <c r="M1300" s="13" t="str">
        <f>IF(D1300&lt;&gt;"",VLOOKUP(H1300,TABLEITEM,3,FALSE),"")</f>
        <v>Circuil Breaker FH204AC-63/0.03</v>
      </c>
      <c r="N1300" s="14">
        <f>INSTOCK!$I1300*INSTOCK!$K1300</f>
        <v>2649.6</v>
      </c>
      <c r="O1300" s="4" t="s">
        <v>1704</v>
      </c>
      <c r="P1300" s="4"/>
    </row>
    <row r="1301" ht="15.75" hidden="1" customHeight="1">
      <c r="B1301" s="8">
        <v>1617.0</v>
      </c>
      <c r="C1301" s="9">
        <v>241758.0</v>
      </c>
      <c r="D1301" s="6" t="s">
        <v>1691</v>
      </c>
      <c r="E1301" s="4">
        <v>6.111001511E9</v>
      </c>
      <c r="F1301" s="8" t="s">
        <v>1705</v>
      </c>
      <c r="G1301" s="4" t="s">
        <v>1693</v>
      </c>
      <c r="H1301" s="10" t="s">
        <v>1706</v>
      </c>
      <c r="I1301" s="10">
        <v>1.0</v>
      </c>
      <c r="J1301" s="11" t="str">
        <f>IF(D1301&lt;&gt;"",VLOOKUP(H1301,TABLEITEM,5,FALSE),"")</f>
        <v>EA</v>
      </c>
      <c r="K1301" s="12">
        <v>2200.0</v>
      </c>
      <c r="L1301" s="13" t="str">
        <f>IF(D1301&lt;&gt;"",VLOOKUP(H1301,TABLEITEM,2,FALSE),"")</f>
        <v/>
      </c>
      <c r="M1301" s="13" t="str">
        <f>IF(D1301&lt;&gt;"",VLOOKUP(H1301,TABLEITEM,3,FALSE),"")</f>
        <v>MCCB A2C 250 TMF200 3P </v>
      </c>
      <c r="N1301" s="14">
        <f>INSTOCK!$I1301*INSTOCK!$K1301</f>
        <v>2200</v>
      </c>
      <c r="O1301" s="4" t="s">
        <v>1707</v>
      </c>
      <c r="P1301" s="4"/>
    </row>
    <row r="1302" ht="15.75" hidden="1" customHeight="1">
      <c r="B1302" s="8">
        <v>1618.0</v>
      </c>
      <c r="C1302" s="9">
        <v>43431.0</v>
      </c>
      <c r="D1302" s="6" t="s">
        <v>1708</v>
      </c>
      <c r="E1302" s="4">
        <v>6.111001532E9</v>
      </c>
      <c r="F1302" s="8" t="s">
        <v>1709</v>
      </c>
      <c r="G1302" s="4" t="s">
        <v>1710</v>
      </c>
      <c r="H1302" s="10" t="s">
        <v>1711</v>
      </c>
      <c r="I1302" s="10">
        <v>1.0</v>
      </c>
      <c r="J1302" s="11" t="str">
        <f>IF(D1302&lt;&gt;"",VLOOKUP(H1302,TABLEITEM,5,FALSE),"")</f>
        <v>EA</v>
      </c>
      <c r="K1302" s="12">
        <v>2625.0</v>
      </c>
      <c r="L1302" s="13" t="str">
        <f>IF(D1302&lt;&gt;"",VLOOKUP(H1302,TABLEITEM,2,FALSE),"")</f>
        <v/>
      </c>
      <c r="M1302" s="13" t="str">
        <f>IF(D1302&lt;&gt;"",VLOOKUP(H1302,TABLEITEM,3,FALSE),"")</f>
        <v>Din Rail Barth Leakage Relay Din300-240VAC</v>
      </c>
      <c r="N1302" s="14">
        <f>INSTOCK!$I1302*INSTOCK!$K1302</f>
        <v>2625</v>
      </c>
      <c r="O1302" s="4" t="s">
        <v>1712</v>
      </c>
      <c r="P1302" s="4"/>
    </row>
    <row r="1303" ht="15.75" hidden="1" customHeight="1">
      <c r="B1303" s="8">
        <v>1619.0</v>
      </c>
      <c r="C1303" s="9">
        <v>43431.0</v>
      </c>
      <c r="D1303" s="6" t="s">
        <v>1708</v>
      </c>
      <c r="E1303" s="4">
        <v>6.111001532E9</v>
      </c>
      <c r="F1303" s="8" t="s">
        <v>1709</v>
      </c>
      <c r="G1303" s="4" t="s">
        <v>1710</v>
      </c>
      <c r="H1303" s="10" t="s">
        <v>1713</v>
      </c>
      <c r="I1303" s="10">
        <v>1.0</v>
      </c>
      <c r="J1303" s="11" t="str">
        <f>IF(D1303&lt;&gt;"",VLOOKUP(H1303,TABLEITEM,5,FALSE),"")</f>
        <v>EA</v>
      </c>
      <c r="K1303" s="12">
        <v>1695.0</v>
      </c>
      <c r="L1303" s="13" t="str">
        <f>IF(D1303&lt;&gt;"",VLOOKUP(H1303,TABLEITEM,2,FALSE),"")</f>
        <v/>
      </c>
      <c r="M1303" s="13" t="str">
        <f>IF(D1303&lt;&gt;"",VLOOKUP(H1303,TABLEITEM,3,FALSE),"")</f>
        <v>Special Core ZCT 80mm</v>
      </c>
      <c r="N1303" s="14">
        <f>INSTOCK!$I1303*INSTOCK!$K1303</f>
        <v>1695</v>
      </c>
      <c r="O1303" s="4" t="s">
        <v>1714</v>
      </c>
      <c r="P1303" s="4"/>
    </row>
    <row r="1304" ht="15.75" hidden="1" customHeight="1">
      <c r="B1304" s="8">
        <v>1620.0</v>
      </c>
      <c r="C1304" s="9">
        <v>43431.0</v>
      </c>
      <c r="D1304" s="6" t="s">
        <v>1715</v>
      </c>
      <c r="E1304" s="4">
        <v>6.111000531E9</v>
      </c>
      <c r="F1304" s="8" t="s">
        <v>1716</v>
      </c>
      <c r="G1304" s="4" t="s">
        <v>692</v>
      </c>
      <c r="H1304" s="10" t="s">
        <v>1717</v>
      </c>
      <c r="I1304" s="10">
        <v>3.0</v>
      </c>
      <c r="J1304" s="11" t="str">
        <f>IF(D1304&lt;&gt;"",VLOOKUP(H1304,TABLEITEM,5,FALSE),"")</f>
        <v>EA</v>
      </c>
      <c r="K1304" s="12">
        <v>1170.0</v>
      </c>
      <c r="L1304" s="13" t="str">
        <f>IF(D1304&lt;&gt;"",VLOOKUP(H1304,TABLEITEM,2,FALSE),"")</f>
        <v/>
      </c>
      <c r="M1304" s="13" t="str">
        <f>IF(D1304&lt;&gt;"",VLOOKUP(H1304,TABLEITEM,3,FALSE),"")</f>
        <v>MCCB A1C125 3P 60A 25KA</v>
      </c>
      <c r="N1304" s="14">
        <f>INSTOCK!$I1304*INSTOCK!$K1304</f>
        <v>3510</v>
      </c>
      <c r="O1304" s="4" t="s">
        <v>1718</v>
      </c>
      <c r="P1304" s="4"/>
    </row>
    <row r="1305" ht="15.75" hidden="1" customHeight="1">
      <c r="B1305" s="8">
        <v>1621.0</v>
      </c>
      <c r="C1305" s="9">
        <v>43431.0</v>
      </c>
      <c r="D1305" s="6" t="s">
        <v>1719</v>
      </c>
      <c r="E1305" s="4">
        <v>6.111001529E9</v>
      </c>
      <c r="F1305" s="8" t="s">
        <v>1720</v>
      </c>
      <c r="G1305" s="4" t="s">
        <v>692</v>
      </c>
      <c r="H1305" s="10" t="s">
        <v>1721</v>
      </c>
      <c r="I1305" s="10">
        <v>1.0</v>
      </c>
      <c r="J1305" s="11" t="str">
        <f>IF(D1305&lt;&gt;"",VLOOKUP(H1305,TABLEITEM,5,FALSE),"")</f>
        <v>EA</v>
      </c>
      <c r="K1305" s="12">
        <v>478.0</v>
      </c>
      <c r="L1305" s="13" t="str">
        <f>IF(D1305&lt;&gt;"",VLOOKUP(H1305,TABLEITEM,2,FALSE),"")</f>
        <v/>
      </c>
      <c r="M1305" s="13" t="str">
        <f>IF(D1305&lt;&gt;"",VLOOKUP(H1305,TABLEITEM,3,FALSE),"")</f>
        <v>Consumer Unit SCP-07</v>
      </c>
      <c r="N1305" s="14">
        <f>INSTOCK!$I1305*INSTOCK!$K1305</f>
        <v>478</v>
      </c>
      <c r="O1305" s="4" t="s">
        <v>1722</v>
      </c>
      <c r="P1305" s="4"/>
    </row>
    <row r="1306" ht="15.75" hidden="1" customHeight="1">
      <c r="B1306" s="8">
        <v>1622.0</v>
      </c>
      <c r="C1306" s="9">
        <v>43431.0</v>
      </c>
      <c r="D1306" s="6" t="s">
        <v>1719</v>
      </c>
      <c r="E1306" s="4">
        <v>6.111001529E9</v>
      </c>
      <c r="F1306" s="8" t="s">
        <v>1720</v>
      </c>
      <c r="G1306" s="4" t="s">
        <v>692</v>
      </c>
      <c r="H1306" s="10" t="s">
        <v>1717</v>
      </c>
      <c r="I1306" s="10">
        <v>1.0</v>
      </c>
      <c r="J1306" s="11" t="str">
        <f>IF(D1306&lt;&gt;"",VLOOKUP(H1306,TABLEITEM,5,FALSE),"")</f>
        <v>EA</v>
      </c>
      <c r="K1306" s="12">
        <v>1170.0</v>
      </c>
      <c r="L1306" s="13" t="str">
        <f>IF(D1306&lt;&gt;"",VLOOKUP(H1306,TABLEITEM,2,FALSE),"")</f>
        <v/>
      </c>
      <c r="M1306" s="13" t="str">
        <f>IF(D1306&lt;&gt;"",VLOOKUP(H1306,TABLEITEM,3,FALSE),"")</f>
        <v>MCCB A1C125 3P 60A 25KA</v>
      </c>
      <c r="N1306" s="14">
        <f>INSTOCK!$I1306*INSTOCK!$K1306</f>
        <v>1170</v>
      </c>
      <c r="O1306" s="4" t="s">
        <v>1718</v>
      </c>
      <c r="P1306" s="4"/>
    </row>
    <row r="1307" ht="15.75" hidden="1" customHeight="1">
      <c r="B1307" s="8">
        <v>1623.0</v>
      </c>
      <c r="C1307" s="9">
        <v>43431.0</v>
      </c>
      <c r="D1307" s="6" t="s">
        <v>1723</v>
      </c>
      <c r="E1307" s="4">
        <v>6.11100152E9</v>
      </c>
      <c r="F1307" s="8" t="s">
        <v>604</v>
      </c>
      <c r="G1307" s="4" t="s">
        <v>692</v>
      </c>
      <c r="H1307" s="10" t="s">
        <v>512</v>
      </c>
      <c r="I1307" s="10">
        <v>100.0</v>
      </c>
      <c r="J1307" s="11" t="str">
        <f>IF(D1307&lt;&gt;"",VLOOKUP(H1307,TABLEITEM,5,FALSE),"")</f>
        <v>M</v>
      </c>
      <c r="K1307" s="12">
        <v>22.678</v>
      </c>
      <c r="L1307" s="13" t="str">
        <f>IF(D1307&lt;&gt;"",VLOOKUP(H1307,TABLEITEM,2,FALSE),"")</f>
        <v>wire</v>
      </c>
      <c r="M1307" s="13" t="str">
        <f>IF(D1307&lt;&gt;"",VLOOKUP(H1307,TABLEITEM,3,FALSE),"")</f>
        <v>สายTHW ขนาด 1x10 SQMM.สีดำ</v>
      </c>
      <c r="N1307" s="14">
        <f>INSTOCK!$I1307*INSTOCK!$K1307</f>
        <v>2267.8</v>
      </c>
      <c r="O1307" s="25" t="s">
        <v>1724</v>
      </c>
      <c r="P1307" s="4"/>
    </row>
    <row r="1308" ht="15.75" hidden="1" customHeight="1">
      <c r="B1308" s="8">
        <v>1624.0</v>
      </c>
      <c r="C1308" s="9">
        <v>43431.0</v>
      </c>
      <c r="D1308" s="6">
        <v>6.11108295E8</v>
      </c>
      <c r="E1308" s="4">
        <v>6.111001524E9</v>
      </c>
      <c r="F1308" s="8" t="s">
        <v>604</v>
      </c>
      <c r="G1308" s="4" t="s">
        <v>1130</v>
      </c>
      <c r="H1308" s="10" t="s">
        <v>168</v>
      </c>
      <c r="I1308" s="10">
        <v>100.0</v>
      </c>
      <c r="J1308" s="11" t="str">
        <f>IF(D1308&lt;&gt;"",VLOOKUP(H1308,TABLEITEM,5,FALSE),"")</f>
        <v>M</v>
      </c>
      <c r="K1308" s="12">
        <v>3.75</v>
      </c>
      <c r="L1308" s="13" t="str">
        <f>IF(D1308&lt;&gt;"",VLOOKUP(H1308,TABLEITEM,2,FALSE),"")</f>
        <v/>
      </c>
      <c r="M1308" s="13" t="str">
        <f>IF(D1308&lt;&gt;"",VLOOKUP(H1308,TABLEITEM,3,FALSE),"")</f>
        <v>ไส้ไก่ NO.8</v>
      </c>
      <c r="N1308" s="14">
        <f>INSTOCK!$I1308*INSTOCK!$K1308</f>
        <v>375</v>
      </c>
      <c r="O1308" s="4" t="s">
        <v>1725</v>
      </c>
      <c r="P1308" s="4"/>
    </row>
    <row r="1309" ht="15.75" hidden="1" customHeight="1">
      <c r="B1309" s="8">
        <v>1625.0</v>
      </c>
      <c r="C1309" s="9">
        <v>43431.0</v>
      </c>
      <c r="D1309" s="6">
        <v>6.11108215E8</v>
      </c>
      <c r="E1309" s="4">
        <v>6.111001518E9</v>
      </c>
      <c r="F1309" s="8" t="s">
        <v>1650</v>
      </c>
      <c r="G1309" s="4" t="s">
        <v>1130</v>
      </c>
      <c r="H1309" s="10" t="s">
        <v>1726</v>
      </c>
      <c r="I1309" s="10">
        <v>5.0</v>
      </c>
      <c r="J1309" s="11" t="str">
        <f>IF(D1309&lt;&gt;"",VLOOKUP(H1309,TABLEITEM,5,FALSE),"")</f>
        <v>EA</v>
      </c>
      <c r="K1309" s="12">
        <v>3312.4</v>
      </c>
      <c r="L1309" s="13" t="str">
        <f>IF(D1309&lt;&gt;"",VLOOKUP(H1309,TABLEITEM,2,FALSE),"")</f>
        <v/>
      </c>
      <c r="M1309" s="13" t="str">
        <f>IF(D1309&lt;&gt;"",VLOOKUP(H1309,TABLEITEM,3,FALSE),"")</f>
        <v>Power supply S8VS-06024</v>
      </c>
      <c r="N1309" s="14">
        <f>INSTOCK!$I1309*INSTOCK!$K1309</f>
        <v>16562</v>
      </c>
      <c r="O1309" s="4" t="s">
        <v>1727</v>
      </c>
      <c r="P1309" s="4"/>
    </row>
    <row r="1310" ht="15.75" hidden="1" customHeight="1">
      <c r="B1310" s="8">
        <v>1626.0</v>
      </c>
      <c r="C1310" s="9">
        <v>43431.0</v>
      </c>
      <c r="D1310" s="6">
        <v>6.11108215E8</v>
      </c>
      <c r="E1310" s="4">
        <v>6.111001518E9</v>
      </c>
      <c r="F1310" s="8" t="s">
        <v>1650</v>
      </c>
      <c r="G1310" s="4" t="s">
        <v>1130</v>
      </c>
      <c r="H1310" s="10" t="s">
        <v>1728</v>
      </c>
      <c r="I1310" s="10">
        <v>15.0</v>
      </c>
      <c r="J1310" s="11" t="str">
        <f>IF(D1310&lt;&gt;"",VLOOKUP(H1310,TABLEITEM,5,FALSE),"")</f>
        <v>EA</v>
      </c>
      <c r="K1310" s="12">
        <v>133.0</v>
      </c>
      <c r="L1310" s="13" t="str">
        <f>IF(D1310&lt;&gt;"",VLOOKUP(H1310,TABLEITEM,2,FALSE),"")</f>
        <v/>
      </c>
      <c r="M1310" s="13" t="str">
        <f>IF(D1310&lt;&gt;"",VLOOKUP(H1310,TABLEITEM,3,FALSE),"")</f>
        <v>Relay MY4N-GS 220/240VAC </v>
      </c>
      <c r="N1310" s="14">
        <f>INSTOCK!$I1310*INSTOCK!$K1310</f>
        <v>1995</v>
      </c>
      <c r="O1310" s="4"/>
      <c r="P1310" s="4"/>
    </row>
    <row r="1311" ht="15.75" hidden="1" customHeight="1">
      <c r="B1311" s="8">
        <v>1627.0</v>
      </c>
      <c r="C1311" s="9">
        <v>43431.0</v>
      </c>
      <c r="D1311" s="6">
        <v>6.11108215E8</v>
      </c>
      <c r="E1311" s="4">
        <v>6.111001518E9</v>
      </c>
      <c r="F1311" s="8" t="s">
        <v>1650</v>
      </c>
      <c r="G1311" s="4" t="s">
        <v>1130</v>
      </c>
      <c r="H1311" s="10" t="s">
        <v>1729</v>
      </c>
      <c r="I1311" s="10">
        <v>5.0</v>
      </c>
      <c r="J1311" s="11" t="str">
        <f>IF(D1311&lt;&gt;"",VLOOKUP(H1311,TABLEITEM,5,FALSE),"")</f>
        <v>EA</v>
      </c>
      <c r="K1311" s="12">
        <v>3488.8</v>
      </c>
      <c r="L1311" s="13" t="str">
        <f>IF(D1311&lt;&gt;"",VLOOKUP(H1311,TABLEITEM,2,FALSE),"")</f>
        <v/>
      </c>
      <c r="M1311" s="13" t="str">
        <f>IF(D1311&lt;&gt;"",VLOOKUP(H1311,TABLEITEM,3,FALSE),"")</f>
        <v>Timer H5CN-XBN 100-240VAC</v>
      </c>
      <c r="N1311" s="14">
        <f>INSTOCK!$I1311*INSTOCK!$K1311</f>
        <v>17444</v>
      </c>
      <c r="O1311" s="4" t="s">
        <v>1730</v>
      </c>
      <c r="P1311" s="4"/>
    </row>
    <row r="1312" ht="15.75" hidden="1" customHeight="1">
      <c r="B1312" s="8">
        <v>1628.0</v>
      </c>
      <c r="C1312" s="9">
        <v>43431.0</v>
      </c>
      <c r="D1312" s="6">
        <v>6.11108215E8</v>
      </c>
      <c r="E1312" s="4">
        <v>6.111001518E9</v>
      </c>
      <c r="F1312" s="8" t="s">
        <v>1650</v>
      </c>
      <c r="G1312" s="4" t="s">
        <v>1130</v>
      </c>
      <c r="H1312" s="10" t="s">
        <v>1731</v>
      </c>
      <c r="I1312" s="10">
        <v>5.0</v>
      </c>
      <c r="J1312" s="11" t="str">
        <f>IF(D1312&lt;&gt;"",VLOOKUP(H1312,TABLEITEM,5,FALSE),"")</f>
        <v>EA</v>
      </c>
      <c r="K1312" s="12">
        <v>5390.0</v>
      </c>
      <c r="L1312" s="13" t="str">
        <f>IF(D1312&lt;&gt;"",VLOOKUP(H1312,TABLEITEM,2,FALSE),"")</f>
        <v/>
      </c>
      <c r="M1312" s="13" t="str">
        <f>IF(D1312&lt;&gt;"",VLOOKUP(H1312,TABLEITEM,3,FALSE),"")</f>
        <v>Counter H7CN-XLN 100-240VAC</v>
      </c>
      <c r="N1312" s="14">
        <f>INSTOCK!$I1312*INSTOCK!$K1312</f>
        <v>26950</v>
      </c>
      <c r="O1312" s="4" t="s">
        <v>1732</v>
      </c>
      <c r="P1312" s="4"/>
    </row>
    <row r="1313" ht="15.75" hidden="1" customHeight="1">
      <c r="B1313" s="8">
        <v>1629.0</v>
      </c>
      <c r="C1313" s="9">
        <v>43431.0</v>
      </c>
      <c r="D1313" s="6">
        <v>6.11108215E8</v>
      </c>
      <c r="E1313" s="4">
        <v>6.111001518E9</v>
      </c>
      <c r="F1313" s="8" t="s">
        <v>1650</v>
      </c>
      <c r="G1313" s="4" t="s">
        <v>1130</v>
      </c>
      <c r="H1313" s="10" t="s">
        <v>1733</v>
      </c>
      <c r="I1313" s="10">
        <v>10.0</v>
      </c>
      <c r="J1313" s="11" t="str">
        <f>IF(D1313&lt;&gt;"",VLOOKUP(H1313,TABLEITEM,5,FALSE),"")</f>
        <v>EA</v>
      </c>
      <c r="K1313" s="12">
        <v>73.5</v>
      </c>
      <c r="L1313" s="13" t="str">
        <f>IF(D1313&lt;&gt;"",VLOOKUP(H1313,TABLEITEM,2,FALSE),"")</f>
        <v/>
      </c>
      <c r="M1313" s="13" t="str">
        <f>IF(D1313&lt;&gt;"",VLOOKUP(H1313,TABLEITEM,3,FALSE),"")</f>
        <v>Socket Y92-F30</v>
      </c>
      <c r="N1313" s="14">
        <f>INSTOCK!$I1313*INSTOCK!$K1313</f>
        <v>735</v>
      </c>
      <c r="O1313" s="4" t="s">
        <v>1734</v>
      </c>
      <c r="P1313" s="4"/>
    </row>
    <row r="1314" ht="15.75" hidden="1" customHeight="1">
      <c r="B1314" s="8">
        <v>1630.0</v>
      </c>
      <c r="C1314" s="9">
        <v>43431.0</v>
      </c>
      <c r="D1314" s="6">
        <v>6.11108215E8</v>
      </c>
      <c r="E1314" s="4">
        <v>6.111001518E9</v>
      </c>
      <c r="F1314" s="8" t="s">
        <v>1650</v>
      </c>
      <c r="G1314" s="4" t="s">
        <v>1130</v>
      </c>
      <c r="H1314" s="10" t="s">
        <v>1735</v>
      </c>
      <c r="I1314" s="10">
        <v>80.0</v>
      </c>
      <c r="J1314" s="11" t="str">
        <f>IF(D1314&lt;&gt;"",VLOOKUP(H1314,TABLEITEM,5,FALSE),"")</f>
        <v>EA</v>
      </c>
      <c r="K1314" s="12">
        <v>301.84</v>
      </c>
      <c r="L1314" s="13" t="str">
        <f>IF(D1314&lt;&gt;"",VLOOKUP(H1314,TABLEITEM,2,FALSE),"")</f>
        <v/>
      </c>
      <c r="M1314" s="13" t="str">
        <f>IF(D1314&lt;&gt;"",VLOOKUP(H1314,TABLEITEM,3,FALSE),"")</f>
        <v>Relay G2R-2SN(S)220VAC</v>
      </c>
      <c r="N1314" s="14">
        <f>INSTOCK!$I1314*INSTOCK!$K1314</f>
        <v>24147.2</v>
      </c>
      <c r="O1314" s="4" t="s">
        <v>1736</v>
      </c>
      <c r="P1314" s="4"/>
    </row>
    <row r="1315" ht="15.75" hidden="1" customHeight="1">
      <c r="B1315" s="8">
        <v>1631.0</v>
      </c>
      <c r="C1315" s="9">
        <v>43431.0</v>
      </c>
      <c r="D1315" s="6">
        <v>6.11108215E8</v>
      </c>
      <c r="E1315" s="4">
        <v>6.111001518E9</v>
      </c>
      <c r="F1315" s="8" t="s">
        <v>1650</v>
      </c>
      <c r="G1315" s="4" t="s">
        <v>1130</v>
      </c>
      <c r="H1315" s="10" t="s">
        <v>1737</v>
      </c>
      <c r="I1315" s="10">
        <v>80.0</v>
      </c>
      <c r="J1315" s="11" t="str">
        <f>IF(D1315&lt;&gt;"",VLOOKUP(H1315,TABLEITEM,5,FALSE),"")</f>
        <v>EA</v>
      </c>
      <c r="K1315" s="12">
        <v>163.66</v>
      </c>
      <c r="L1315" s="13" t="str">
        <f>IF(D1315&lt;&gt;"",VLOOKUP(H1315,TABLEITEM,2,FALSE),"")</f>
        <v/>
      </c>
      <c r="M1315" s="13" t="str">
        <f>IF(D1315&lt;&gt;"",VLOOKUP(H1315,TABLEITEM,3,FALSE),"")</f>
        <v>Socket P2RF-08E</v>
      </c>
      <c r="N1315" s="14">
        <f>INSTOCK!$I1315*INSTOCK!$K1315</f>
        <v>13092.8</v>
      </c>
      <c r="O1315" s="4" t="s">
        <v>1738</v>
      </c>
      <c r="P1315" s="4"/>
    </row>
    <row r="1316" ht="15.75" hidden="1" customHeight="1">
      <c r="B1316" s="8">
        <v>1632.0</v>
      </c>
      <c r="C1316" s="9">
        <v>43431.0</v>
      </c>
      <c r="D1316" s="6">
        <v>6.11108214E8</v>
      </c>
      <c r="E1316" s="4">
        <v>6.111001519E9</v>
      </c>
      <c r="F1316" s="8"/>
      <c r="G1316" s="4" t="s">
        <v>1130</v>
      </c>
      <c r="H1316" s="10" t="s">
        <v>1739</v>
      </c>
      <c r="I1316" s="10">
        <v>10.0</v>
      </c>
      <c r="J1316" s="11" t="str">
        <f>IF(D1316&lt;&gt;"",VLOOKUP(H1316,TABLEITEM,5,FALSE),"")</f>
        <v>EA</v>
      </c>
      <c r="K1316" s="12">
        <v>119.232</v>
      </c>
      <c r="L1316" s="13" t="str">
        <f>IF(D1316&lt;&gt;"",VLOOKUP(H1316,TABLEITEM,2,FALSE),"")</f>
        <v/>
      </c>
      <c r="M1316" s="13" t="str">
        <f>IF(D1316&lt;&gt;"",VLOOKUP(H1316,TABLEITEM,3,FALSE),"")</f>
        <v>ปลั๊กคู่มีกราวWEG 15929 2P+G</v>
      </c>
      <c r="N1316" s="14">
        <f>INSTOCK!$I1316*INSTOCK!$K1316</f>
        <v>1192.32</v>
      </c>
      <c r="O1316" s="4" t="s">
        <v>1740</v>
      </c>
      <c r="P1316" s="4"/>
    </row>
    <row r="1317" ht="15.75" hidden="1" customHeight="1">
      <c r="B1317" s="8">
        <v>1633.0</v>
      </c>
      <c r="C1317" s="9">
        <v>43431.0</v>
      </c>
      <c r="D1317" s="6" t="s">
        <v>1741</v>
      </c>
      <c r="E1317" s="4">
        <v>6.111001512E9</v>
      </c>
      <c r="F1317" s="8" t="s">
        <v>1650</v>
      </c>
      <c r="G1317" s="4" t="s">
        <v>1485</v>
      </c>
      <c r="H1317" s="10" t="s">
        <v>1582</v>
      </c>
      <c r="I1317" s="10">
        <v>10.0</v>
      </c>
      <c r="J1317" s="11" t="str">
        <f>IF(D1317&lt;&gt;"",VLOOKUP(H1317,TABLEITEM,5,FALSE),"")</f>
        <v>EA</v>
      </c>
      <c r="K1317" s="12">
        <v>147.6</v>
      </c>
      <c r="L1317" s="13" t="str">
        <f>IF(D1317&lt;&gt;"",VLOOKUP(H1317,TABLEITEM,2,FALSE),"")</f>
        <v/>
      </c>
      <c r="M1317" s="13" t="str">
        <f>IF(D1317&lt;&gt;"",VLOOKUP(H1317,TABLEITEM,3,FALSE),"")</f>
        <v>HARMONY XB4 SELECTOR SWITCH ZB4BD2</v>
      </c>
      <c r="N1317" s="14">
        <f>INSTOCK!$I1317*INSTOCK!$K1317</f>
        <v>1476</v>
      </c>
      <c r="O1317" s="4" t="s">
        <v>1487</v>
      </c>
      <c r="P1317" s="4"/>
    </row>
    <row r="1318" ht="15.75" hidden="1" customHeight="1">
      <c r="B1318" s="8">
        <v>1634.0</v>
      </c>
      <c r="C1318" s="9">
        <v>43431.0</v>
      </c>
      <c r="D1318" s="6" t="s">
        <v>1741</v>
      </c>
      <c r="E1318" s="4">
        <v>6.111001512E9</v>
      </c>
      <c r="F1318" s="8" t="s">
        <v>1650</v>
      </c>
      <c r="G1318" s="4" t="s">
        <v>1485</v>
      </c>
      <c r="H1318" s="10" t="s">
        <v>1742</v>
      </c>
      <c r="I1318" s="10">
        <v>10.0</v>
      </c>
      <c r="J1318" s="11" t="str">
        <f>IF(D1318&lt;&gt;"",VLOOKUP(H1318,TABLEITEM,5,FALSE),"")</f>
        <v>EA</v>
      </c>
      <c r="K1318" s="12">
        <v>127.1</v>
      </c>
      <c r="L1318" s="13" t="str">
        <f>IF(D1318&lt;&gt;"",VLOOKUP(H1318,TABLEITEM,2,FALSE),"")</f>
        <v/>
      </c>
      <c r="M1318" s="13" t="str">
        <f>IF(D1318&lt;&gt;"",VLOOKUP(H1318,TABLEITEM,3,FALSE),"")</f>
        <v>HARMONY XB4 SINGER CONTACT BLOCK ZB4BZ102</v>
      </c>
      <c r="N1318" s="14">
        <f>INSTOCK!$I1318*INSTOCK!$K1318</f>
        <v>1271</v>
      </c>
      <c r="O1318" s="4" t="s">
        <v>1487</v>
      </c>
      <c r="P1318" s="4"/>
    </row>
    <row r="1319" ht="15.75" hidden="1" customHeight="1">
      <c r="B1319" s="8">
        <v>1635.0</v>
      </c>
      <c r="C1319" s="9">
        <v>43431.0</v>
      </c>
      <c r="D1319" s="6" t="s">
        <v>1741</v>
      </c>
      <c r="E1319" s="4">
        <v>6.111001512E9</v>
      </c>
      <c r="F1319" s="8" t="s">
        <v>1650</v>
      </c>
      <c r="G1319" s="4" t="s">
        <v>1485</v>
      </c>
      <c r="H1319" s="10" t="s">
        <v>1583</v>
      </c>
      <c r="I1319" s="10">
        <v>5.0</v>
      </c>
      <c r="J1319" s="11" t="str">
        <f>IF(D1319&lt;&gt;"",VLOOKUP(H1319,TABLEITEM,5,FALSE),"")</f>
        <v>EA</v>
      </c>
      <c r="K1319" s="12">
        <v>151.7</v>
      </c>
      <c r="L1319" s="13" t="str">
        <f>IF(D1319&lt;&gt;"",VLOOKUP(H1319,TABLEITEM,2,FALSE),"")</f>
        <v/>
      </c>
      <c r="M1319" s="13" t="str">
        <f>IF(D1319&lt;&gt;"",VLOOKUP(H1319,TABLEITEM,3,FALSE),"")</f>
        <v>HARMONY XB4 SELECTOR SWITCH ZB4BD3</v>
      </c>
      <c r="N1319" s="14">
        <f>INSTOCK!$I1319*INSTOCK!$K1319</f>
        <v>758.5</v>
      </c>
      <c r="O1319" s="4" t="s">
        <v>1487</v>
      </c>
      <c r="P1319" s="4"/>
    </row>
    <row r="1320" ht="15.75" hidden="1" customHeight="1">
      <c r="B1320" s="8">
        <v>1636.0</v>
      </c>
      <c r="C1320" s="9">
        <v>43431.0</v>
      </c>
      <c r="D1320" s="6" t="s">
        <v>1741</v>
      </c>
      <c r="E1320" s="4">
        <v>6.111001512E9</v>
      </c>
      <c r="F1320" s="8" t="s">
        <v>1650</v>
      </c>
      <c r="G1320" s="4" t="s">
        <v>1485</v>
      </c>
      <c r="H1320" s="10" t="s">
        <v>1584</v>
      </c>
      <c r="I1320" s="10">
        <v>5.0</v>
      </c>
      <c r="J1320" s="11" t="str">
        <f>IF(D1320&lt;&gt;"",VLOOKUP(H1320,TABLEITEM,5,FALSE),"")</f>
        <v>EA</v>
      </c>
      <c r="K1320" s="12">
        <v>127.1</v>
      </c>
      <c r="L1320" s="13" t="str">
        <f>IF(D1320&lt;&gt;"",VLOOKUP(H1320,TABLEITEM,2,FALSE),"")</f>
        <v/>
      </c>
      <c r="M1320" s="13" t="str">
        <f>IF(D1320&lt;&gt;"",VLOOKUP(H1320,TABLEITEM,3,FALSE),"")</f>
        <v>HARMONY XB4 SINGLE CONTACT ZB4BZ101</v>
      </c>
      <c r="N1320" s="14">
        <f>INSTOCK!$I1320*INSTOCK!$K1320</f>
        <v>635.5</v>
      </c>
      <c r="O1320" s="4" t="s">
        <v>1487</v>
      </c>
      <c r="P1320" s="4"/>
    </row>
    <row r="1321" ht="15.75" hidden="1" customHeight="1">
      <c r="B1321" s="8">
        <v>1637.0</v>
      </c>
      <c r="C1321" s="9">
        <v>43431.0</v>
      </c>
      <c r="D1321" s="6" t="s">
        <v>1741</v>
      </c>
      <c r="E1321" s="4">
        <v>6.111001512E9</v>
      </c>
      <c r="F1321" s="8" t="s">
        <v>1650</v>
      </c>
      <c r="G1321" s="4" t="s">
        <v>1485</v>
      </c>
      <c r="H1321" s="10" t="s">
        <v>1743</v>
      </c>
      <c r="I1321" s="10">
        <v>5.0</v>
      </c>
      <c r="J1321" s="11" t="str">
        <f>IF(D1321&lt;&gt;"",VLOOKUP(H1321,TABLEITEM,5,FALSE),"")</f>
        <v>EA</v>
      </c>
      <c r="K1321" s="12">
        <v>65.6</v>
      </c>
      <c r="L1321" s="13" t="str">
        <f>IF(D1321&lt;&gt;"",VLOOKUP(H1321,TABLEITEM,2,FALSE),"")</f>
        <v/>
      </c>
      <c r="M1321" s="13" t="str">
        <f>IF(D1321&lt;&gt;"",VLOOKUP(H1321,TABLEITEM,3,FALSE),"")</f>
        <v>SINGLE CONTACT BLOCK #22 1NO ZBE101</v>
      </c>
      <c r="N1321" s="14">
        <f>INSTOCK!$I1321*INSTOCK!$K1321</f>
        <v>328</v>
      </c>
      <c r="O1321" s="4" t="s">
        <v>1487</v>
      </c>
      <c r="P1321" s="4"/>
    </row>
    <row r="1322" ht="15.75" hidden="1" customHeight="1">
      <c r="B1322" s="8">
        <v>1638.0</v>
      </c>
      <c r="C1322" s="9">
        <v>43431.0</v>
      </c>
      <c r="D1322" s="6" t="s">
        <v>1741</v>
      </c>
      <c r="E1322" s="4">
        <v>6.111001512E9</v>
      </c>
      <c r="F1322" s="8" t="s">
        <v>1650</v>
      </c>
      <c r="G1322" s="4" t="s">
        <v>1485</v>
      </c>
      <c r="H1322" s="10" t="s">
        <v>1744</v>
      </c>
      <c r="I1322" s="10">
        <v>30.0</v>
      </c>
      <c r="J1322" s="11" t="str">
        <f>IF(D1322&lt;&gt;"",VLOOKUP(H1322,TABLEITEM,5,FALSE),"")</f>
        <v>EA</v>
      </c>
      <c r="K1322" s="12">
        <v>180.4</v>
      </c>
      <c r="L1322" s="13" t="str">
        <f>IF(D1322&lt;&gt;"",VLOOKUP(H1322,TABLEITEM,2,FALSE),"")</f>
        <v/>
      </c>
      <c r="M1322" s="13" t="str">
        <f>IF(D1322&lt;&gt;"",VLOOKUP(H1322,TABLEITEM,3,FALSE),"")</f>
        <v>PUSHBUTTON #22 1NO XB4BA31</v>
      </c>
      <c r="N1322" s="14">
        <f>INSTOCK!$I1322*INSTOCK!$K1322</f>
        <v>5412</v>
      </c>
      <c r="O1322" s="4" t="s">
        <v>1487</v>
      </c>
      <c r="P1322" s="4"/>
    </row>
    <row r="1323" ht="15.75" hidden="1" customHeight="1">
      <c r="B1323" s="8">
        <v>1639.0</v>
      </c>
      <c r="C1323" s="9">
        <v>43431.0</v>
      </c>
      <c r="D1323" s="6" t="s">
        <v>1741</v>
      </c>
      <c r="E1323" s="4">
        <v>6.111001512E9</v>
      </c>
      <c r="F1323" s="8" t="s">
        <v>1650</v>
      </c>
      <c r="G1323" s="4" t="s">
        <v>1485</v>
      </c>
      <c r="H1323" s="10" t="s">
        <v>1744</v>
      </c>
      <c r="I1323" s="10">
        <v>5.0</v>
      </c>
      <c r="J1323" s="11" t="str">
        <f>IF(D1323&lt;&gt;"",VLOOKUP(H1323,TABLEITEM,5,FALSE),"")</f>
        <v>EA</v>
      </c>
      <c r="K1323" s="12">
        <v>53.3</v>
      </c>
      <c r="L1323" s="13" t="str">
        <f>IF(D1323&lt;&gt;"",VLOOKUP(H1323,TABLEITEM,2,FALSE),"")</f>
        <v/>
      </c>
      <c r="M1323" s="13" t="str">
        <f>IF(D1323&lt;&gt;"",VLOOKUP(H1323,TABLEITEM,3,FALSE),"")</f>
        <v>PUSHBUTTON #22 1NO XB4BA31</v>
      </c>
      <c r="N1323" s="14">
        <f>INSTOCK!$I1323*INSTOCK!$K1323</f>
        <v>266.5</v>
      </c>
      <c r="O1323" s="4" t="s">
        <v>1487</v>
      </c>
      <c r="P1323" s="4"/>
    </row>
    <row r="1324" ht="15.75" hidden="1" customHeight="1">
      <c r="B1324" s="8">
        <v>1640.0</v>
      </c>
      <c r="C1324" s="9">
        <v>43431.0</v>
      </c>
      <c r="D1324" s="6" t="s">
        <v>1741</v>
      </c>
      <c r="E1324" s="4">
        <v>6.111001512E9</v>
      </c>
      <c r="F1324" s="8" t="s">
        <v>1650</v>
      </c>
      <c r="G1324" s="4" t="s">
        <v>1485</v>
      </c>
      <c r="H1324" s="10" t="s">
        <v>1745</v>
      </c>
      <c r="I1324" s="10">
        <v>5.0</v>
      </c>
      <c r="J1324" s="11" t="str">
        <f>IF(D1324&lt;&gt;"",VLOOKUP(H1324,TABLEITEM,5,FALSE),"")</f>
        <v>EA</v>
      </c>
      <c r="K1324" s="12">
        <v>127.1</v>
      </c>
      <c r="L1324" s="13" t="str">
        <f>IF(D1324&lt;&gt;"",VLOOKUP(H1324,TABLEITEM,2,FALSE),"")</f>
        <v/>
      </c>
      <c r="M1324" s="13" t="str">
        <f>IF(D1324&lt;&gt;"",VLOOKUP(H1324,TABLEITEM,3,FALSE),"")</f>
        <v>PUSHBUTTON #22 RED ZB4BA4</v>
      </c>
      <c r="N1324" s="14">
        <f>INSTOCK!$I1324*INSTOCK!$K1324</f>
        <v>635.5</v>
      </c>
      <c r="O1324" s="4" t="s">
        <v>1487</v>
      </c>
      <c r="P1324" s="4"/>
    </row>
    <row r="1325" ht="15.75" hidden="1" customHeight="1">
      <c r="B1325" s="8">
        <v>1641.0</v>
      </c>
      <c r="C1325" s="9">
        <v>43431.0</v>
      </c>
      <c r="D1325" s="6" t="s">
        <v>1741</v>
      </c>
      <c r="E1325" s="4">
        <v>6.111001512E9</v>
      </c>
      <c r="F1325" s="8" t="s">
        <v>1650</v>
      </c>
      <c r="G1325" s="4" t="s">
        <v>1485</v>
      </c>
      <c r="H1325" s="10" t="s">
        <v>1746</v>
      </c>
      <c r="I1325" s="10">
        <v>5.0</v>
      </c>
      <c r="J1325" s="11" t="str">
        <f>IF(D1325&lt;&gt;"",VLOOKUP(H1325,TABLEITEM,5,FALSE),"")</f>
        <v>EA</v>
      </c>
      <c r="K1325" s="12">
        <v>53.3</v>
      </c>
      <c r="L1325" s="13" t="str">
        <f>IF(D1325&lt;&gt;"",VLOOKUP(H1325,TABLEITEM,2,FALSE),"")</f>
        <v/>
      </c>
      <c r="M1325" s="13" t="str">
        <f>IF(D1325&lt;&gt;"",VLOOKUP(H1325,TABLEITEM,3,FALSE),"")</f>
        <v>PUSHBUTTON #22 YELLOW ZB4BA5</v>
      </c>
      <c r="N1325" s="14">
        <f>INSTOCK!$I1325*INSTOCK!$K1325</f>
        <v>266.5</v>
      </c>
      <c r="O1325" s="4" t="s">
        <v>1487</v>
      </c>
      <c r="P1325" s="4"/>
    </row>
    <row r="1326" ht="15.75" hidden="1" customHeight="1">
      <c r="B1326" s="8">
        <v>1642.0</v>
      </c>
      <c r="C1326" s="9">
        <v>43431.0</v>
      </c>
      <c r="D1326" s="6" t="s">
        <v>1741</v>
      </c>
      <c r="E1326" s="4">
        <v>6.111001512E9</v>
      </c>
      <c r="F1326" s="8" t="s">
        <v>1650</v>
      </c>
      <c r="G1326" s="4" t="s">
        <v>1485</v>
      </c>
      <c r="H1326" s="10" t="s">
        <v>1584</v>
      </c>
      <c r="I1326" s="10">
        <v>5.0</v>
      </c>
      <c r="J1326" s="11" t="str">
        <f>IF(D1326&lt;&gt;"",VLOOKUP(H1326,TABLEITEM,5,FALSE),"")</f>
        <v>EA</v>
      </c>
      <c r="K1326" s="12">
        <v>127.1</v>
      </c>
      <c r="L1326" s="13" t="str">
        <f>IF(D1326&lt;&gt;"",VLOOKUP(H1326,TABLEITEM,2,FALSE),"")</f>
        <v/>
      </c>
      <c r="M1326" s="13" t="str">
        <f>IF(D1326&lt;&gt;"",VLOOKUP(H1326,TABLEITEM,3,FALSE),"")</f>
        <v>HARMONY XB4 SINGLE CONTACT ZB4BZ101</v>
      </c>
      <c r="N1326" s="14">
        <f>INSTOCK!$I1326*INSTOCK!$K1326</f>
        <v>635.5</v>
      </c>
      <c r="O1326" s="4" t="s">
        <v>1487</v>
      </c>
      <c r="P1326" s="4"/>
    </row>
    <row r="1327" ht="15.75" hidden="1" customHeight="1">
      <c r="B1327" s="8">
        <v>1643.0</v>
      </c>
      <c r="C1327" s="9">
        <v>43431.0</v>
      </c>
      <c r="D1327" s="6" t="s">
        <v>1741</v>
      </c>
      <c r="E1327" s="4">
        <v>6.111001512E9</v>
      </c>
      <c r="F1327" s="8" t="s">
        <v>1650</v>
      </c>
      <c r="G1327" s="4" t="s">
        <v>1485</v>
      </c>
      <c r="H1327" s="10" t="s">
        <v>1747</v>
      </c>
      <c r="I1327" s="10">
        <v>5.0</v>
      </c>
      <c r="J1327" s="11" t="str">
        <f>IF(D1327&lt;&gt;"",VLOOKUP(H1327,TABLEITEM,5,FALSE),"")</f>
        <v>EA</v>
      </c>
      <c r="K1327" s="12">
        <v>586.3</v>
      </c>
      <c r="L1327" s="13" t="str">
        <f>IF(D1327&lt;&gt;"",VLOOKUP(H1327,TABLEITEM,2,FALSE),"")</f>
        <v/>
      </c>
      <c r="M1327" s="13" t="str">
        <f>IF(D1327&lt;&gt;"",VLOOKUP(H1327,TABLEITEM,3,FALSE),"")</f>
        <v>PUSHBUTTON #22 1NO+1NC 220-240V XB4BW33M5</v>
      </c>
      <c r="N1327" s="14">
        <f>INSTOCK!$I1327*INSTOCK!$K1327</f>
        <v>2931.5</v>
      </c>
      <c r="O1327" s="4" t="s">
        <v>1487</v>
      </c>
      <c r="P1327" s="4"/>
    </row>
    <row r="1328" ht="15.75" hidden="1" customHeight="1">
      <c r="B1328" s="8">
        <v>1644.0</v>
      </c>
      <c r="C1328" s="9">
        <v>43431.0</v>
      </c>
      <c r="D1328" s="6" t="s">
        <v>1741</v>
      </c>
      <c r="E1328" s="4">
        <v>6.111001512E9</v>
      </c>
      <c r="F1328" s="8" t="s">
        <v>1650</v>
      </c>
      <c r="G1328" s="4" t="s">
        <v>1485</v>
      </c>
      <c r="H1328" s="10" t="s">
        <v>1581</v>
      </c>
      <c r="I1328" s="10">
        <v>5.0</v>
      </c>
      <c r="J1328" s="11" t="str">
        <f>IF(D1328&lt;&gt;"",VLOOKUP(H1328,TABLEITEM,5,FALSE),"")</f>
        <v>EA</v>
      </c>
      <c r="K1328" s="12">
        <v>434.6</v>
      </c>
      <c r="L1328" s="13" t="str">
        <f>IF(D1328&lt;&gt;"",VLOOKUP(H1328,TABLEITEM,2,FALSE),"")</f>
        <v/>
      </c>
      <c r="M1328" s="13" t="str">
        <f>IF(D1328&lt;&gt;"",VLOOKUP(H1328,TABLEITEM,3,FALSE),"")</f>
        <v>HARMONY XB4 PB EMER XB4BS8442</v>
      </c>
      <c r="N1328" s="14">
        <f>INSTOCK!$I1328*INSTOCK!$K1328</f>
        <v>2173</v>
      </c>
      <c r="O1328" s="4" t="s">
        <v>1487</v>
      </c>
      <c r="P1328" s="4"/>
    </row>
    <row r="1329" ht="15.75" hidden="1" customHeight="1">
      <c r="B1329" s="8">
        <v>1645.0</v>
      </c>
      <c r="C1329" s="9">
        <v>43431.0</v>
      </c>
      <c r="D1329" s="6" t="s">
        <v>1741</v>
      </c>
      <c r="E1329" s="4">
        <v>6.111001512E9</v>
      </c>
      <c r="F1329" s="8" t="s">
        <v>1650</v>
      </c>
      <c r="G1329" s="4" t="s">
        <v>1485</v>
      </c>
      <c r="H1329" s="10" t="s">
        <v>1748</v>
      </c>
      <c r="I1329" s="10">
        <v>4.0</v>
      </c>
      <c r="J1329" s="11" t="str">
        <f>IF(D1329&lt;&gt;"",VLOOKUP(H1329,TABLEITEM,5,FALSE),"")</f>
        <v>EA</v>
      </c>
      <c r="K1329" s="12">
        <v>233.7</v>
      </c>
      <c r="L1329" s="13" t="str">
        <f>IF(D1329&lt;&gt;"",VLOOKUP(H1329,TABLEITEM,2,FALSE),"")</f>
        <v/>
      </c>
      <c r="M1329" s="13" t="str">
        <f>IF(D1329&lt;&gt;"",VLOOKUP(H1329,TABLEITEM,3,FALSE),"")</f>
        <v>PILOT LIGHT #22 230-240V (W)XB4BVM1</v>
      </c>
      <c r="N1329" s="14">
        <f>INSTOCK!$I1329*INSTOCK!$K1329</f>
        <v>934.8</v>
      </c>
      <c r="O1329" s="4" t="s">
        <v>1487</v>
      </c>
      <c r="P1329" s="4"/>
    </row>
    <row r="1330" ht="15.75" hidden="1" customHeight="1">
      <c r="B1330" s="8">
        <v>1646.0</v>
      </c>
      <c r="C1330" s="9">
        <v>43431.0</v>
      </c>
      <c r="D1330" s="6" t="s">
        <v>1741</v>
      </c>
      <c r="E1330" s="4">
        <v>6.111001512E9</v>
      </c>
      <c r="F1330" s="8" t="s">
        <v>1650</v>
      </c>
      <c r="G1330" s="4" t="s">
        <v>1485</v>
      </c>
      <c r="H1330" s="10" t="s">
        <v>1748</v>
      </c>
      <c r="I1330" s="10">
        <v>1.0</v>
      </c>
      <c r="J1330" s="11" t="str">
        <f>IF(D1330&lt;&gt;"",VLOOKUP(H1330,TABLEITEM,5,FALSE),"")</f>
        <v>EA</v>
      </c>
      <c r="K1330" s="12">
        <v>233.7</v>
      </c>
      <c r="L1330" s="13" t="str">
        <f>IF(D1330&lt;&gt;"",VLOOKUP(H1330,TABLEITEM,2,FALSE),"")</f>
        <v/>
      </c>
      <c r="M1330" s="13" t="str">
        <f>IF(D1330&lt;&gt;"",VLOOKUP(H1330,TABLEITEM,3,FALSE),"")</f>
        <v>PILOT LIGHT #22 230-240V (W)XB4BVM1</v>
      </c>
      <c r="N1330" s="14">
        <f>INSTOCK!$I1330*INSTOCK!$K1330</f>
        <v>233.7</v>
      </c>
      <c r="O1330" s="4" t="s">
        <v>1487</v>
      </c>
      <c r="P1330" s="4"/>
    </row>
    <row r="1331" ht="15.75" hidden="1" customHeight="1">
      <c r="B1331" s="8">
        <v>1647.0</v>
      </c>
      <c r="C1331" s="9">
        <v>43431.0</v>
      </c>
      <c r="D1331" s="6" t="s">
        <v>1741</v>
      </c>
      <c r="E1331" s="4">
        <v>6.111001512E9</v>
      </c>
      <c r="F1331" s="8" t="s">
        <v>1650</v>
      </c>
      <c r="G1331" s="4" t="s">
        <v>1485</v>
      </c>
      <c r="H1331" s="10" t="s">
        <v>1749</v>
      </c>
      <c r="I1331" s="10">
        <v>15.0</v>
      </c>
      <c r="J1331" s="11" t="str">
        <f>IF(D1331&lt;&gt;"",VLOOKUP(H1331,TABLEITEM,5,FALSE),"")</f>
        <v>EA</v>
      </c>
      <c r="K1331" s="12">
        <v>233.7</v>
      </c>
      <c r="L1331" s="13" t="str">
        <f>IF(D1331&lt;&gt;"",VLOOKUP(H1331,TABLEITEM,2,FALSE),"")</f>
        <v/>
      </c>
      <c r="M1331" s="13" t="str">
        <f>IF(D1331&lt;&gt;"",VLOOKUP(H1331,TABLEITEM,3,FALSE),"")</f>
        <v>PILOT LIGHT #22 230-240V (G)XB4BVM3</v>
      </c>
      <c r="N1331" s="14">
        <f>INSTOCK!$I1331*INSTOCK!$K1331</f>
        <v>3505.5</v>
      </c>
      <c r="O1331" s="4" t="s">
        <v>1487</v>
      </c>
      <c r="P1331" s="4"/>
    </row>
    <row r="1332" ht="15.75" hidden="1" customHeight="1">
      <c r="B1332" s="8">
        <v>1648.0</v>
      </c>
      <c r="C1332" s="9">
        <v>43431.0</v>
      </c>
      <c r="D1332" s="6" t="s">
        <v>1741</v>
      </c>
      <c r="E1332" s="4">
        <v>6.111001512E9</v>
      </c>
      <c r="F1332" s="8" t="s">
        <v>1650</v>
      </c>
      <c r="G1332" s="4" t="s">
        <v>1485</v>
      </c>
      <c r="H1332" s="10" t="s">
        <v>1750</v>
      </c>
      <c r="I1332" s="10">
        <v>5.0</v>
      </c>
      <c r="J1332" s="11" t="str">
        <f>IF(D1332&lt;&gt;"",VLOOKUP(H1332,TABLEITEM,5,FALSE),"")</f>
        <v>EA</v>
      </c>
      <c r="K1332" s="12">
        <v>233.7</v>
      </c>
      <c r="L1332" s="13" t="str">
        <f>IF(D1332&lt;&gt;"",VLOOKUP(H1332,TABLEITEM,2,FALSE),"")</f>
        <v/>
      </c>
      <c r="M1332" s="13" t="str">
        <f>IF(D1332&lt;&gt;"",VLOOKUP(H1332,TABLEITEM,3,FALSE),"")</f>
        <v>PILOT LIGHT #22 230-240V (R)XB4BVM4</v>
      </c>
      <c r="N1332" s="14">
        <f>INSTOCK!$I1332*INSTOCK!$K1332</f>
        <v>1168.5</v>
      </c>
      <c r="O1332" s="4" t="s">
        <v>1487</v>
      </c>
      <c r="P1332" s="4"/>
    </row>
    <row r="1333" ht="15.75" hidden="1" customHeight="1">
      <c r="B1333" s="8">
        <v>1649.0</v>
      </c>
      <c r="C1333" s="9">
        <v>43431.0</v>
      </c>
      <c r="D1333" s="6" t="s">
        <v>1741</v>
      </c>
      <c r="E1333" s="4">
        <v>6.111001512E9</v>
      </c>
      <c r="F1333" s="8" t="s">
        <v>1650</v>
      </c>
      <c r="G1333" s="4" t="s">
        <v>1485</v>
      </c>
      <c r="H1333" s="10" t="s">
        <v>1655</v>
      </c>
      <c r="I1333" s="10">
        <v>2.0</v>
      </c>
      <c r="J1333" s="11" t="str">
        <f>IF(D1333&lt;&gt;"",VLOOKUP(H1333,TABLEITEM,5,FALSE),"")</f>
        <v>EA</v>
      </c>
      <c r="K1333" s="12">
        <v>1029.1</v>
      </c>
      <c r="L1333" s="13" t="str">
        <f>IF(D1333&lt;&gt;"",VLOOKUP(H1333,TABLEITEM,2,FALSE),"")</f>
        <v/>
      </c>
      <c r="M1333" s="13" t="str">
        <f>IF(D1333&lt;&gt;"",VLOOKUP(H1333,TABLEITEM,3,FALSE),"")</f>
        <v>VARIO EMERGENCY SWITCH VCF1 32A</v>
      </c>
      <c r="N1333" s="14">
        <f>INSTOCK!$I1333*INSTOCK!$K1333</f>
        <v>2058.2</v>
      </c>
      <c r="O1333" s="4" t="s">
        <v>1487</v>
      </c>
      <c r="P1333" s="4"/>
    </row>
    <row r="1334" ht="15.75" hidden="1" customHeight="1">
      <c r="B1334" s="8">
        <v>1650.0</v>
      </c>
      <c r="C1334" s="9">
        <v>43431.0</v>
      </c>
      <c r="D1334" s="6" t="s">
        <v>1741</v>
      </c>
      <c r="E1334" s="4">
        <v>6.111001512E9</v>
      </c>
      <c r="F1334" s="8" t="s">
        <v>1650</v>
      </c>
      <c r="G1334" s="4" t="s">
        <v>1485</v>
      </c>
      <c r="H1334" s="10" t="s">
        <v>1751</v>
      </c>
      <c r="I1334" s="10">
        <v>5.0</v>
      </c>
      <c r="J1334" s="11" t="str">
        <f>IF(D1334&lt;&gt;"",VLOOKUP(H1334,TABLEITEM,5,FALSE),"")</f>
        <v>EA</v>
      </c>
      <c r="K1334" s="12">
        <v>1201.3</v>
      </c>
      <c r="L1334" s="13" t="str">
        <f>IF(D1334&lt;&gt;"",VLOOKUP(H1334,TABLEITEM,2,FALSE),"")</f>
        <v/>
      </c>
      <c r="M1334" s="13" t="str">
        <f>IF(D1334&lt;&gt;"",VLOOKUP(H1334,TABLEITEM,3,FALSE),"")</f>
        <v>MOTOR CIR CUIT BREAKER 2.5-4A GV2P08</v>
      </c>
      <c r="N1334" s="14">
        <f>INSTOCK!$I1334*INSTOCK!$K1334</f>
        <v>6006.5</v>
      </c>
      <c r="O1334" s="4" t="s">
        <v>1487</v>
      </c>
      <c r="P1334" s="4"/>
    </row>
    <row r="1335" ht="15.75" hidden="1" customHeight="1">
      <c r="B1335" s="8">
        <v>1651.0</v>
      </c>
      <c r="C1335" s="9">
        <v>43431.0</v>
      </c>
      <c r="D1335" s="6" t="s">
        <v>1741</v>
      </c>
      <c r="E1335" s="4">
        <v>6.111001512E9</v>
      </c>
      <c r="F1335" s="8" t="s">
        <v>1650</v>
      </c>
      <c r="G1335" s="4" t="s">
        <v>1485</v>
      </c>
      <c r="H1335" s="10" t="s">
        <v>1752</v>
      </c>
      <c r="I1335" s="10">
        <v>5.0</v>
      </c>
      <c r="J1335" s="11" t="str">
        <f>IF(D1335&lt;&gt;"",VLOOKUP(H1335,TABLEITEM,5,FALSE),"")</f>
        <v>EA</v>
      </c>
      <c r="K1335" s="12">
        <v>1201.3</v>
      </c>
      <c r="L1335" s="13" t="str">
        <f>IF(D1335&lt;&gt;"",VLOOKUP(H1335,TABLEITEM,2,FALSE),"")</f>
        <v/>
      </c>
      <c r="M1335" s="13" t="str">
        <f>IF(D1335&lt;&gt;"",VLOOKUP(H1335,TABLEITEM,3,FALSE),"")</f>
        <v>MOTOR CIR CUIT BREAKER 6-10A GV2P14</v>
      </c>
      <c r="N1335" s="14">
        <f>INSTOCK!$I1335*INSTOCK!$K1335</f>
        <v>6006.5</v>
      </c>
      <c r="O1335" s="4" t="s">
        <v>1487</v>
      </c>
      <c r="P1335" s="4"/>
    </row>
    <row r="1336" ht="15.75" hidden="1" customHeight="1">
      <c r="B1336" s="8">
        <v>1652.0</v>
      </c>
      <c r="C1336" s="9">
        <v>43431.0</v>
      </c>
      <c r="D1336" s="6" t="s">
        <v>1741</v>
      </c>
      <c r="E1336" s="4">
        <v>6.111001512E9</v>
      </c>
      <c r="F1336" s="8" t="s">
        <v>1650</v>
      </c>
      <c r="G1336" s="4" t="s">
        <v>1485</v>
      </c>
      <c r="H1336" s="10" t="s">
        <v>1753</v>
      </c>
      <c r="I1336" s="10">
        <v>5.0</v>
      </c>
      <c r="J1336" s="11" t="str">
        <f>IF(D1336&lt;&gt;"",VLOOKUP(H1336,TABLEITEM,5,FALSE),"")</f>
        <v>EA</v>
      </c>
      <c r="K1336" s="12">
        <v>252.15</v>
      </c>
      <c r="L1336" s="13" t="str">
        <f>IF(D1336&lt;&gt;"",VLOOKUP(H1336,TABLEITEM,2,FALSE),"")</f>
        <v/>
      </c>
      <c r="M1336" s="13" t="str">
        <f>IF(D1336&lt;&gt;"",VLOOKUP(H1336,TABLEITEM,3,FALSE),"")</f>
        <v>AUXILIARY CONTACT BLOCK 2N/O LADN20</v>
      </c>
      <c r="N1336" s="14">
        <f>INSTOCK!$I1336*INSTOCK!$K1336</f>
        <v>1260.75</v>
      </c>
      <c r="O1336" s="4" t="s">
        <v>1487</v>
      </c>
      <c r="P1336" s="4"/>
    </row>
    <row r="1337" ht="15.75" hidden="1" customHeight="1">
      <c r="B1337" s="8">
        <v>1653.0</v>
      </c>
      <c r="C1337" s="9">
        <v>43431.0</v>
      </c>
      <c r="D1337" s="6">
        <v>36693.0</v>
      </c>
      <c r="E1337" s="4">
        <v>6.111001525E9</v>
      </c>
      <c r="F1337" s="8" t="s">
        <v>604</v>
      </c>
      <c r="G1337" s="4" t="s">
        <v>696</v>
      </c>
      <c r="H1337" s="10" t="s">
        <v>110</v>
      </c>
      <c r="I1337" s="10">
        <v>24.0</v>
      </c>
      <c r="J1337" s="11" t="str">
        <f>IF(D1337&lt;&gt;"",VLOOKUP(H1337,TABLEITEM,5,FALSE),"")</f>
        <v>กป.</v>
      </c>
      <c r="K1337" s="12">
        <v>41.6667</v>
      </c>
      <c r="L1337" s="13" t="str">
        <f>IF(D1337&lt;&gt;"",VLOOKUP(H1337,TABLEITEM,2,FALSE),"")</f>
        <v/>
      </c>
      <c r="M1337" s="13" t="str">
        <f>IF(D1337&lt;&gt;"",VLOOKUP(H1337,TABLEITEM,3,FALSE),"")</f>
        <v>สีสเปรย์ สีน้ำตาล</v>
      </c>
      <c r="N1337" s="14">
        <f>INSTOCK!$I1337*INSTOCK!$K1337</f>
        <v>1000.0008</v>
      </c>
      <c r="O1337" s="4" t="s">
        <v>1754</v>
      </c>
      <c r="P1337" s="4"/>
    </row>
    <row r="1338" ht="15.75" hidden="1" customHeight="1">
      <c r="B1338" s="8">
        <v>1654.0</v>
      </c>
      <c r="C1338" s="9">
        <v>43431.0</v>
      </c>
      <c r="D1338" s="6" t="s">
        <v>1755</v>
      </c>
      <c r="E1338" s="4">
        <v>6.111001516E9</v>
      </c>
      <c r="F1338" s="8" t="s">
        <v>1650</v>
      </c>
      <c r="G1338" s="4" t="s">
        <v>1516</v>
      </c>
      <c r="H1338" s="10" t="s">
        <v>1756</v>
      </c>
      <c r="I1338" s="10">
        <v>14.0</v>
      </c>
      <c r="J1338" s="11" t="str">
        <f>IF(D1338&lt;&gt;"",VLOOKUP(H1338,TABLEITEM,5,FALSE),"")</f>
        <v>EA</v>
      </c>
      <c r="K1338" s="12">
        <v>303.4</v>
      </c>
      <c r="L1338" s="13" t="str">
        <f>IF(D1338&lt;&gt;"",VLOOKUP(H1338,TABLEITEM,2,FALSE),"")</f>
        <v/>
      </c>
      <c r="M1338" s="13" t="str">
        <f>IF(D1338&lt;&gt;"",VLOOKUP(H1338,TABLEITEM,3,FALSE),"")</f>
        <v>PUSHBUTTON XB4BC21</v>
      </c>
      <c r="N1338" s="14">
        <f>INSTOCK!$I1338*INSTOCK!$K1338</f>
        <v>4247.6</v>
      </c>
      <c r="O1338" s="4" t="s">
        <v>1757</v>
      </c>
      <c r="P1338" s="4"/>
    </row>
    <row r="1339" ht="15.75" hidden="1" customHeight="1">
      <c r="B1339" s="8">
        <v>1655.0</v>
      </c>
      <c r="C1339" s="9">
        <v>43431.0</v>
      </c>
      <c r="D1339" s="6" t="s">
        <v>1755</v>
      </c>
      <c r="E1339" s="4">
        <v>6.111001516E9</v>
      </c>
      <c r="F1339" s="8" t="s">
        <v>1650</v>
      </c>
      <c r="G1339" s="4" t="s">
        <v>1516</v>
      </c>
      <c r="H1339" s="10" t="s">
        <v>1758</v>
      </c>
      <c r="I1339" s="10">
        <v>5.0</v>
      </c>
      <c r="J1339" s="11" t="str">
        <f>IF(D1339&lt;&gt;"",VLOOKUP(H1339,TABLEITEM,5,FALSE),"")</f>
        <v>EA</v>
      </c>
      <c r="K1339" s="12">
        <v>471.5</v>
      </c>
      <c r="L1339" s="13" t="str">
        <f>IF(D1339&lt;&gt;"",VLOOKUP(H1339,TABLEITEM,2,FALSE),"")</f>
        <v/>
      </c>
      <c r="M1339" s="13" t="str">
        <f>IF(D1339&lt;&gt;"",VLOOKUP(H1339,TABLEITEM,3,FALSE),"")</f>
        <v>KEY SWITCHES,2POS,1N/O+1N/C XB4BG45</v>
      </c>
      <c r="N1339" s="14">
        <f>INSTOCK!$I1339*INSTOCK!$K1339</f>
        <v>2357.5</v>
      </c>
      <c r="O1339" s="4" t="s">
        <v>1759</v>
      </c>
      <c r="P1339" s="4"/>
    </row>
    <row r="1340" ht="15.75" hidden="1" customHeight="1">
      <c r="B1340" s="8">
        <v>1656.0</v>
      </c>
      <c r="C1340" s="9">
        <v>43431.0</v>
      </c>
      <c r="D1340" s="6" t="s">
        <v>1755</v>
      </c>
      <c r="E1340" s="4">
        <v>6.111001516E9</v>
      </c>
      <c r="F1340" s="8" t="s">
        <v>1650</v>
      </c>
      <c r="G1340" s="4" t="s">
        <v>1516</v>
      </c>
      <c r="H1340" s="10" t="s">
        <v>1655</v>
      </c>
      <c r="I1340" s="10">
        <v>2.0</v>
      </c>
      <c r="J1340" s="11" t="str">
        <f>IF(D1340&lt;&gt;"",VLOOKUP(H1340,TABLEITEM,5,FALSE),"")</f>
        <v>EA</v>
      </c>
      <c r="K1340" s="12">
        <v>1029.1</v>
      </c>
      <c r="L1340" s="13" t="str">
        <f>IF(D1340&lt;&gt;"",VLOOKUP(H1340,TABLEITEM,2,FALSE),"")</f>
        <v/>
      </c>
      <c r="M1340" s="13" t="str">
        <f>IF(D1340&lt;&gt;"",VLOOKUP(H1340,TABLEITEM,3,FALSE),"")</f>
        <v>VARIO EMERGENCY SWITCH VCF1 32A</v>
      </c>
      <c r="N1340" s="14">
        <f>INSTOCK!$I1340*INSTOCK!$K1340</f>
        <v>2058.2</v>
      </c>
      <c r="O1340" s="4" t="s">
        <v>1760</v>
      </c>
      <c r="P1340" s="4"/>
    </row>
    <row r="1341" ht="15.75" hidden="1" customHeight="1">
      <c r="B1341" s="8">
        <v>1657.0</v>
      </c>
      <c r="C1341" s="9">
        <v>43430.0</v>
      </c>
      <c r="D1341" s="6" t="s">
        <v>1761</v>
      </c>
      <c r="E1341" s="4">
        <v>6.111001501E9</v>
      </c>
      <c r="F1341" s="8" t="s">
        <v>1762</v>
      </c>
      <c r="G1341" s="26" t="s">
        <v>1763</v>
      </c>
      <c r="H1341" s="10" t="s">
        <v>1764</v>
      </c>
      <c r="I1341" s="10">
        <v>5.0</v>
      </c>
      <c r="J1341" s="11" t="str">
        <f>IF(D1341&lt;&gt;"",VLOOKUP(H1341,TABLEITEM,5,FALSE),"")</f>
        <v>EA</v>
      </c>
      <c r="K1341" s="12">
        <v>416.0</v>
      </c>
      <c r="L1341" s="13" t="str">
        <f>IF(D1341&lt;&gt;"",VLOOKUP(H1341,TABLEITEM,2,FALSE),"")</f>
        <v/>
      </c>
      <c r="M1341" s="13" t="str">
        <f>IF(D1341&lt;&gt;"",VLOOKUP(H1341,TABLEITEM,3,FALSE),"")</f>
        <v>THERMOSTAT TS-050SR-C(0-50C)</v>
      </c>
      <c r="N1341" s="14">
        <f>INSTOCK!$I1341*INSTOCK!$K1341</f>
        <v>2080</v>
      </c>
      <c r="O1341" s="8" t="s">
        <v>1765</v>
      </c>
      <c r="P1341" s="4"/>
    </row>
    <row r="1342" ht="15.75" hidden="1" customHeight="1">
      <c r="B1342" s="8">
        <v>1658.0</v>
      </c>
      <c r="C1342" s="9">
        <v>43430.0</v>
      </c>
      <c r="D1342" s="6" t="s">
        <v>1766</v>
      </c>
      <c r="E1342" s="4">
        <v>6.11100151E9</v>
      </c>
      <c r="F1342" s="8" t="s">
        <v>1767</v>
      </c>
      <c r="G1342" s="4" t="s">
        <v>692</v>
      </c>
      <c r="H1342" s="10" t="s">
        <v>1768</v>
      </c>
      <c r="I1342" s="10">
        <v>1.0</v>
      </c>
      <c r="J1342" s="11" t="str">
        <f>IF(D1342&lt;&gt;"",VLOOKUP(H1342,TABLEITEM,5,FALSE),"")</f>
        <v>EA</v>
      </c>
      <c r="K1342" s="12">
        <v>1170.0</v>
      </c>
      <c r="L1342" s="13" t="str">
        <f>IF(D1342&lt;&gt;"",VLOOKUP(H1342,TABLEITEM,2,FALSE),"")</f>
        <v/>
      </c>
      <c r="M1342" s="13" t="str">
        <f>IF(D1342&lt;&gt;"",VLOOKUP(H1342,TABLEITEM,3,FALSE),"")</f>
        <v>MCCB A1C125 3P 30A 25KA</v>
      </c>
      <c r="N1342" s="14">
        <f>INSTOCK!$I1342*INSTOCK!$K1342</f>
        <v>1170</v>
      </c>
      <c r="O1342" s="4" t="s">
        <v>1718</v>
      </c>
      <c r="P1342" s="4" t="s">
        <v>1504</v>
      </c>
    </row>
    <row r="1343" ht="15.75" hidden="1" customHeight="1">
      <c r="B1343" s="8">
        <v>1659.0</v>
      </c>
      <c r="C1343" s="9">
        <v>43430.0</v>
      </c>
      <c r="D1343" s="6" t="s">
        <v>1766</v>
      </c>
      <c r="E1343" s="4">
        <v>6.11100151E9</v>
      </c>
      <c r="F1343" s="8" t="s">
        <v>1767</v>
      </c>
      <c r="G1343" s="4" t="s">
        <v>692</v>
      </c>
      <c r="H1343" s="10" t="s">
        <v>1769</v>
      </c>
      <c r="I1343" s="10">
        <v>1.0</v>
      </c>
      <c r="J1343" s="11" t="str">
        <f>IF(D1343&lt;&gt;"",VLOOKUP(H1343,TABLEITEM,5,FALSE),"")</f>
        <v>EA</v>
      </c>
      <c r="K1343" s="12">
        <v>1170.0</v>
      </c>
      <c r="L1343" s="13" t="str">
        <f>IF(D1343&lt;&gt;"",VLOOKUP(H1343,TABLEITEM,2,FALSE),"")</f>
        <v/>
      </c>
      <c r="M1343" s="13" t="str">
        <f>IF(D1343&lt;&gt;"",VLOOKUP(H1343,TABLEITEM,3,FALSE),"")</f>
        <v>MCCB A1C125 3P 50A 25KA</v>
      </c>
      <c r="N1343" s="14">
        <f>INSTOCK!$I1343*INSTOCK!$K1343</f>
        <v>1170</v>
      </c>
      <c r="O1343" s="4" t="s">
        <v>1718</v>
      </c>
      <c r="P1343" s="4" t="s">
        <v>1504</v>
      </c>
    </row>
    <row r="1344" ht="15.75" hidden="1" customHeight="1">
      <c r="B1344" s="8">
        <v>1660.0</v>
      </c>
      <c r="C1344" s="9">
        <v>43430.0</v>
      </c>
      <c r="D1344" s="6" t="s">
        <v>1766</v>
      </c>
      <c r="E1344" s="4">
        <v>6.11100151E9</v>
      </c>
      <c r="F1344" s="8" t="s">
        <v>1767</v>
      </c>
      <c r="G1344" s="4" t="s">
        <v>692</v>
      </c>
      <c r="H1344" s="10" t="s">
        <v>1768</v>
      </c>
      <c r="I1344" s="10">
        <v>1.0</v>
      </c>
      <c r="J1344" s="11" t="str">
        <f>IF(D1344&lt;&gt;"",VLOOKUP(H1344,TABLEITEM,5,FALSE),"")</f>
        <v>EA</v>
      </c>
      <c r="K1344" s="12">
        <v>1170.0</v>
      </c>
      <c r="L1344" s="13" t="str">
        <f>IF(D1344&lt;&gt;"",VLOOKUP(H1344,TABLEITEM,2,FALSE),"")</f>
        <v/>
      </c>
      <c r="M1344" s="13" t="str">
        <f>IF(D1344&lt;&gt;"",VLOOKUP(H1344,TABLEITEM,3,FALSE),"")</f>
        <v>MCCB A1C125 3P 30A 25KA</v>
      </c>
      <c r="N1344" s="14">
        <f>INSTOCK!$I1344*INSTOCK!$K1344</f>
        <v>1170</v>
      </c>
      <c r="O1344" s="4" t="s">
        <v>1718</v>
      </c>
      <c r="P1344" s="4" t="s">
        <v>1504</v>
      </c>
    </row>
    <row r="1345" ht="15.75" hidden="1" customHeight="1">
      <c r="B1345" s="8">
        <v>1661.0</v>
      </c>
      <c r="C1345" s="9">
        <v>43430.0</v>
      </c>
      <c r="D1345" s="6" t="s">
        <v>1766</v>
      </c>
      <c r="E1345" s="4">
        <v>6.11100151E9</v>
      </c>
      <c r="F1345" s="8" t="s">
        <v>1767</v>
      </c>
      <c r="G1345" s="4" t="s">
        <v>692</v>
      </c>
      <c r="H1345" s="10" t="s">
        <v>1768</v>
      </c>
      <c r="I1345" s="10">
        <v>4.0</v>
      </c>
      <c r="J1345" s="11" t="str">
        <f>IF(D1345&lt;&gt;"",VLOOKUP(H1345,TABLEITEM,5,FALSE),"")</f>
        <v>EA</v>
      </c>
      <c r="K1345" s="12">
        <v>1170.0</v>
      </c>
      <c r="L1345" s="13" t="str">
        <f>IF(D1345&lt;&gt;"",VLOOKUP(H1345,TABLEITEM,2,FALSE),"")</f>
        <v/>
      </c>
      <c r="M1345" s="13" t="str">
        <f>IF(D1345&lt;&gt;"",VLOOKUP(H1345,TABLEITEM,3,FALSE),"")</f>
        <v>MCCB A1C125 3P 30A 25KA</v>
      </c>
      <c r="N1345" s="14">
        <f>INSTOCK!$I1345*INSTOCK!$K1345</f>
        <v>4680</v>
      </c>
      <c r="O1345" s="4" t="s">
        <v>1718</v>
      </c>
      <c r="P1345" s="4" t="s">
        <v>1504</v>
      </c>
    </row>
    <row r="1346" ht="15.75" hidden="1" customHeight="1">
      <c r="B1346" s="8">
        <v>1662.0</v>
      </c>
      <c r="C1346" s="9">
        <v>43430.0</v>
      </c>
      <c r="D1346" s="6" t="s">
        <v>1766</v>
      </c>
      <c r="E1346" s="4">
        <v>6.11100151E9</v>
      </c>
      <c r="F1346" s="8" t="s">
        <v>1767</v>
      </c>
      <c r="G1346" s="4" t="s">
        <v>692</v>
      </c>
      <c r="H1346" s="10" t="s">
        <v>1769</v>
      </c>
      <c r="I1346" s="10">
        <v>1.0</v>
      </c>
      <c r="J1346" s="11" t="str">
        <f>IF(D1346&lt;&gt;"",VLOOKUP(H1346,TABLEITEM,5,FALSE),"")</f>
        <v>EA</v>
      </c>
      <c r="K1346" s="12">
        <v>1170.0</v>
      </c>
      <c r="L1346" s="13" t="str">
        <f>IF(D1346&lt;&gt;"",VLOOKUP(H1346,TABLEITEM,2,FALSE),"")</f>
        <v/>
      </c>
      <c r="M1346" s="13" t="str">
        <f>IF(D1346&lt;&gt;"",VLOOKUP(H1346,TABLEITEM,3,FALSE),"")</f>
        <v>MCCB A1C125 3P 50A 25KA</v>
      </c>
      <c r="N1346" s="14">
        <f>INSTOCK!$I1346*INSTOCK!$K1346</f>
        <v>1170</v>
      </c>
      <c r="O1346" s="4" t="s">
        <v>1718</v>
      </c>
      <c r="P1346" s="4" t="s">
        <v>1504</v>
      </c>
    </row>
    <row r="1347" ht="15.75" hidden="1" customHeight="1">
      <c r="B1347" s="8">
        <v>1663.0</v>
      </c>
      <c r="C1347" s="9">
        <v>43430.0</v>
      </c>
      <c r="D1347" s="6" t="s">
        <v>1766</v>
      </c>
      <c r="E1347" s="4">
        <v>6.11100151E9</v>
      </c>
      <c r="F1347" s="8" t="s">
        <v>1767</v>
      </c>
      <c r="G1347" s="4" t="s">
        <v>692</v>
      </c>
      <c r="H1347" s="10" t="s">
        <v>1717</v>
      </c>
      <c r="I1347" s="10">
        <v>1.0</v>
      </c>
      <c r="J1347" s="11" t="str">
        <f>IF(D1347&lt;&gt;"",VLOOKUP(H1347,TABLEITEM,5,FALSE),"")</f>
        <v>EA</v>
      </c>
      <c r="K1347" s="12">
        <v>1170.0</v>
      </c>
      <c r="L1347" s="13" t="str">
        <f>IF(D1347&lt;&gt;"",VLOOKUP(H1347,TABLEITEM,2,FALSE),"")</f>
        <v/>
      </c>
      <c r="M1347" s="13" t="str">
        <f>IF(D1347&lt;&gt;"",VLOOKUP(H1347,TABLEITEM,3,FALSE),"")</f>
        <v>MCCB A1C125 3P 60A 25KA</v>
      </c>
      <c r="N1347" s="14">
        <f>INSTOCK!$I1347*INSTOCK!$K1347</f>
        <v>1170</v>
      </c>
      <c r="O1347" s="4" t="s">
        <v>1718</v>
      </c>
      <c r="P1347" s="4" t="s">
        <v>1504</v>
      </c>
    </row>
    <row r="1348" ht="15.75" hidden="1" customHeight="1">
      <c r="B1348" s="8">
        <v>1664.0</v>
      </c>
      <c r="C1348" s="9">
        <v>43430.0</v>
      </c>
      <c r="D1348" s="6" t="s">
        <v>1766</v>
      </c>
      <c r="E1348" s="4">
        <v>6.11100151E9</v>
      </c>
      <c r="F1348" s="8" t="s">
        <v>1767</v>
      </c>
      <c r="G1348" s="4" t="s">
        <v>692</v>
      </c>
      <c r="H1348" s="10" t="s">
        <v>1768</v>
      </c>
      <c r="I1348" s="10">
        <v>1.0</v>
      </c>
      <c r="J1348" s="11" t="str">
        <f>IF(D1348&lt;&gt;"",VLOOKUP(H1348,TABLEITEM,5,FALSE),"")</f>
        <v>EA</v>
      </c>
      <c r="K1348" s="12">
        <v>1170.0</v>
      </c>
      <c r="L1348" s="13" t="str">
        <f>IF(D1348&lt;&gt;"",VLOOKUP(H1348,TABLEITEM,2,FALSE),"")</f>
        <v/>
      </c>
      <c r="M1348" s="13" t="str">
        <f>IF(D1348&lt;&gt;"",VLOOKUP(H1348,TABLEITEM,3,FALSE),"")</f>
        <v>MCCB A1C125 3P 30A 25KA</v>
      </c>
      <c r="N1348" s="14">
        <f>INSTOCK!$I1348*INSTOCK!$K1348</f>
        <v>1170</v>
      </c>
      <c r="O1348" s="4" t="s">
        <v>1718</v>
      </c>
      <c r="P1348" s="4" t="s">
        <v>1504</v>
      </c>
    </row>
    <row r="1349" ht="15.75" hidden="1" customHeight="1">
      <c r="B1349" s="8">
        <v>1665.0</v>
      </c>
      <c r="C1349" s="9">
        <v>43430.0</v>
      </c>
      <c r="D1349" s="6" t="s">
        <v>1766</v>
      </c>
      <c r="E1349" s="4">
        <v>6.11100151E9</v>
      </c>
      <c r="F1349" s="8" t="s">
        <v>1767</v>
      </c>
      <c r="G1349" s="4" t="s">
        <v>692</v>
      </c>
      <c r="H1349" s="10" t="s">
        <v>1770</v>
      </c>
      <c r="I1349" s="10">
        <v>1.0</v>
      </c>
      <c r="J1349" s="11" t="str">
        <f>IF(D1349&lt;&gt;"",VLOOKUP(H1349,TABLEITEM,5,FALSE),"")</f>
        <v>EA</v>
      </c>
      <c r="K1349" s="12">
        <v>1170.0</v>
      </c>
      <c r="L1349" s="13" t="str">
        <f>IF(D1349&lt;&gt;"",VLOOKUP(H1349,TABLEITEM,2,FALSE),"")</f>
        <v/>
      </c>
      <c r="M1349" s="13" t="str">
        <f>IF(D1349&lt;&gt;"",VLOOKUP(H1349,TABLEITEM,3,FALSE),"")</f>
        <v>MCCB A1C125 3P 100A 25KA</v>
      </c>
      <c r="N1349" s="14">
        <f>INSTOCK!$I1349*INSTOCK!$K1349</f>
        <v>1170</v>
      </c>
      <c r="O1349" s="4" t="s">
        <v>1718</v>
      </c>
      <c r="P1349" s="4" t="s">
        <v>1504</v>
      </c>
    </row>
    <row r="1350" ht="15.75" hidden="1" customHeight="1">
      <c r="B1350" s="8">
        <v>1666.0</v>
      </c>
      <c r="C1350" s="9">
        <v>43430.0</v>
      </c>
      <c r="D1350" s="6" t="s">
        <v>1766</v>
      </c>
      <c r="E1350" s="4">
        <v>6.11100151E9</v>
      </c>
      <c r="F1350" s="8" t="s">
        <v>1767</v>
      </c>
      <c r="G1350" s="4" t="s">
        <v>692</v>
      </c>
      <c r="H1350" s="10" t="s">
        <v>1768</v>
      </c>
      <c r="I1350" s="10">
        <v>4.0</v>
      </c>
      <c r="J1350" s="11" t="str">
        <f>IF(D1350&lt;&gt;"",VLOOKUP(H1350,TABLEITEM,5,FALSE),"")</f>
        <v>EA</v>
      </c>
      <c r="K1350" s="12">
        <v>1170.0</v>
      </c>
      <c r="L1350" s="13" t="str">
        <f>IF(D1350&lt;&gt;"",VLOOKUP(H1350,TABLEITEM,2,FALSE),"")</f>
        <v/>
      </c>
      <c r="M1350" s="13" t="str">
        <f>IF(D1350&lt;&gt;"",VLOOKUP(H1350,TABLEITEM,3,FALSE),"")</f>
        <v>MCCB A1C125 3P 30A 25KA</v>
      </c>
      <c r="N1350" s="14">
        <f>INSTOCK!$I1350*INSTOCK!$K1350</f>
        <v>4680</v>
      </c>
      <c r="O1350" s="4" t="s">
        <v>1718</v>
      </c>
      <c r="P1350" s="4" t="s">
        <v>1504</v>
      </c>
    </row>
    <row r="1351" ht="15.75" hidden="1" customHeight="1">
      <c r="B1351" s="8">
        <v>1667.0</v>
      </c>
      <c r="C1351" s="9">
        <v>43430.0</v>
      </c>
      <c r="D1351" s="6" t="s">
        <v>1766</v>
      </c>
      <c r="E1351" s="4">
        <v>6.11100151E9</v>
      </c>
      <c r="F1351" s="8" t="s">
        <v>1767</v>
      </c>
      <c r="G1351" s="4" t="s">
        <v>692</v>
      </c>
      <c r="H1351" s="10" t="s">
        <v>1769</v>
      </c>
      <c r="I1351" s="10">
        <v>1.0</v>
      </c>
      <c r="J1351" s="11" t="str">
        <f>IF(D1351&lt;&gt;"",VLOOKUP(H1351,TABLEITEM,5,FALSE),"")</f>
        <v>EA</v>
      </c>
      <c r="K1351" s="12">
        <v>1170.0</v>
      </c>
      <c r="L1351" s="13" t="str">
        <f>IF(D1351&lt;&gt;"",VLOOKUP(H1351,TABLEITEM,2,FALSE),"")</f>
        <v/>
      </c>
      <c r="M1351" s="13" t="str">
        <f>IF(D1351&lt;&gt;"",VLOOKUP(H1351,TABLEITEM,3,FALSE),"")</f>
        <v>MCCB A1C125 3P 50A 25KA</v>
      </c>
      <c r="N1351" s="14">
        <f>INSTOCK!$I1351*INSTOCK!$K1351</f>
        <v>1170</v>
      </c>
      <c r="O1351" s="4" t="s">
        <v>1718</v>
      </c>
      <c r="P1351" s="4" t="s">
        <v>1504</v>
      </c>
    </row>
    <row r="1352" ht="15.75" hidden="1" customHeight="1">
      <c r="B1352" s="8">
        <v>1668.0</v>
      </c>
      <c r="C1352" s="9">
        <v>43430.0</v>
      </c>
      <c r="D1352" s="6" t="s">
        <v>1766</v>
      </c>
      <c r="E1352" s="4">
        <v>6.11100151E9</v>
      </c>
      <c r="F1352" s="8" t="s">
        <v>1767</v>
      </c>
      <c r="G1352" s="4" t="s">
        <v>692</v>
      </c>
      <c r="H1352" s="10" t="s">
        <v>1717</v>
      </c>
      <c r="I1352" s="10">
        <v>2.0</v>
      </c>
      <c r="J1352" s="11" t="str">
        <f>IF(D1352&lt;&gt;"",VLOOKUP(H1352,TABLEITEM,5,FALSE),"")</f>
        <v>EA</v>
      </c>
      <c r="K1352" s="12">
        <v>1170.0</v>
      </c>
      <c r="L1352" s="13" t="str">
        <f>IF(D1352&lt;&gt;"",VLOOKUP(H1352,TABLEITEM,2,FALSE),"")</f>
        <v/>
      </c>
      <c r="M1352" s="13" t="str">
        <f>IF(D1352&lt;&gt;"",VLOOKUP(H1352,TABLEITEM,3,FALSE),"")</f>
        <v>MCCB A1C125 3P 60A 25KA</v>
      </c>
      <c r="N1352" s="14">
        <f>INSTOCK!$I1352*INSTOCK!$K1352</f>
        <v>2340</v>
      </c>
      <c r="O1352" s="4" t="s">
        <v>1718</v>
      </c>
      <c r="P1352" s="4" t="s">
        <v>1504</v>
      </c>
    </row>
    <row r="1353" ht="15.75" hidden="1" customHeight="1">
      <c r="B1353" s="8">
        <v>1669.0</v>
      </c>
      <c r="C1353" s="9">
        <v>43430.0</v>
      </c>
      <c r="D1353" s="6" t="s">
        <v>1766</v>
      </c>
      <c r="E1353" s="4">
        <v>6.11100151E9</v>
      </c>
      <c r="F1353" s="8" t="s">
        <v>1767</v>
      </c>
      <c r="G1353" s="4" t="s">
        <v>692</v>
      </c>
      <c r="H1353" s="10" t="s">
        <v>1768</v>
      </c>
      <c r="I1353" s="10">
        <v>1.0</v>
      </c>
      <c r="J1353" s="11" t="str">
        <f>IF(D1353&lt;&gt;"",VLOOKUP(H1353,TABLEITEM,5,FALSE),"")</f>
        <v>EA</v>
      </c>
      <c r="K1353" s="12">
        <v>1170.0</v>
      </c>
      <c r="L1353" s="13" t="str">
        <f>IF(D1353&lt;&gt;"",VLOOKUP(H1353,TABLEITEM,2,FALSE),"")</f>
        <v/>
      </c>
      <c r="M1353" s="13" t="str">
        <f>IF(D1353&lt;&gt;"",VLOOKUP(H1353,TABLEITEM,3,FALSE),"")</f>
        <v>MCCB A1C125 3P 30A 25KA</v>
      </c>
      <c r="N1353" s="14">
        <f>INSTOCK!$I1353*INSTOCK!$K1353</f>
        <v>1170</v>
      </c>
      <c r="O1353" s="4" t="s">
        <v>1718</v>
      </c>
      <c r="P1353" s="4" t="s">
        <v>1504</v>
      </c>
    </row>
    <row r="1354" ht="15.75" hidden="1" customHeight="1">
      <c r="B1354" s="8">
        <v>1670.0</v>
      </c>
      <c r="C1354" s="9">
        <v>43430.0</v>
      </c>
      <c r="D1354" s="6" t="s">
        <v>1766</v>
      </c>
      <c r="E1354" s="4">
        <v>6.11100151E9</v>
      </c>
      <c r="F1354" s="8" t="s">
        <v>1767</v>
      </c>
      <c r="G1354" s="4" t="s">
        <v>692</v>
      </c>
      <c r="H1354" s="10" t="s">
        <v>1770</v>
      </c>
      <c r="I1354" s="10">
        <v>1.0</v>
      </c>
      <c r="J1354" s="11" t="str">
        <f>IF(D1354&lt;&gt;"",VLOOKUP(H1354,TABLEITEM,5,FALSE),"")</f>
        <v>EA</v>
      </c>
      <c r="K1354" s="12">
        <v>1170.0</v>
      </c>
      <c r="L1354" s="13" t="str">
        <f>IF(D1354&lt;&gt;"",VLOOKUP(H1354,TABLEITEM,2,FALSE),"")</f>
        <v/>
      </c>
      <c r="M1354" s="13" t="str">
        <f>IF(D1354&lt;&gt;"",VLOOKUP(H1354,TABLEITEM,3,FALSE),"")</f>
        <v>MCCB A1C125 3P 100A 25KA</v>
      </c>
      <c r="N1354" s="14">
        <f>INSTOCK!$I1354*INSTOCK!$K1354</f>
        <v>1170</v>
      </c>
      <c r="O1354" s="4" t="s">
        <v>1718</v>
      </c>
      <c r="P1354" s="4" t="s">
        <v>1504</v>
      </c>
    </row>
    <row r="1355" ht="15.75" hidden="1" customHeight="1">
      <c r="B1355" s="8">
        <v>1671.0</v>
      </c>
      <c r="C1355" s="9">
        <v>43430.0</v>
      </c>
      <c r="D1355" s="6" t="s">
        <v>1766</v>
      </c>
      <c r="E1355" s="4">
        <v>6.11100151E9</v>
      </c>
      <c r="F1355" s="8" t="s">
        <v>1767</v>
      </c>
      <c r="G1355" s="4" t="s">
        <v>692</v>
      </c>
      <c r="H1355" s="10" t="s">
        <v>1771</v>
      </c>
      <c r="I1355" s="10">
        <v>1.0</v>
      </c>
      <c r="J1355" s="11" t="str">
        <f>IF(D1355&lt;&gt;"",VLOOKUP(H1355,TABLEITEM,5,FALSE),"")</f>
        <v>EA</v>
      </c>
      <c r="K1355" s="12">
        <v>819.0</v>
      </c>
      <c r="L1355" s="13" t="str">
        <f>IF(D1355&lt;&gt;"",VLOOKUP(H1355,TABLEITEM,2,FALSE),"")</f>
        <v/>
      </c>
      <c r="M1355" s="13" t="str">
        <f>IF(D1355&lt;&gt;"",VLOOKUP(H1355,TABLEITEM,3,FALSE),"")</f>
        <v>SHUNT-OPENING RELEASES A1-2</v>
      </c>
      <c r="N1355" s="14">
        <f>INSTOCK!$I1355*INSTOCK!$K1355</f>
        <v>819</v>
      </c>
      <c r="O1355" s="4" t="s">
        <v>1772</v>
      </c>
      <c r="P1355" s="4" t="s">
        <v>1504</v>
      </c>
    </row>
    <row r="1356" ht="15.75" hidden="1" customHeight="1">
      <c r="B1356" s="8">
        <v>1672.0</v>
      </c>
      <c r="C1356" s="9">
        <v>43430.0</v>
      </c>
      <c r="D1356" s="6" t="s">
        <v>1766</v>
      </c>
      <c r="E1356" s="4">
        <v>6.11100151E9</v>
      </c>
      <c r="F1356" s="8" t="s">
        <v>1767</v>
      </c>
      <c r="G1356" s="4" t="s">
        <v>692</v>
      </c>
      <c r="H1356" s="10" t="s">
        <v>1717</v>
      </c>
      <c r="I1356" s="10">
        <v>1.0</v>
      </c>
      <c r="J1356" s="11" t="str">
        <f>IF(D1356&lt;&gt;"",VLOOKUP(H1356,TABLEITEM,5,FALSE),"")</f>
        <v>EA</v>
      </c>
      <c r="K1356" s="12">
        <v>1170.0</v>
      </c>
      <c r="L1356" s="13" t="str">
        <f>IF(D1356&lt;&gt;"",VLOOKUP(H1356,TABLEITEM,2,FALSE),"")</f>
        <v/>
      </c>
      <c r="M1356" s="13" t="str">
        <f>IF(D1356&lt;&gt;"",VLOOKUP(H1356,TABLEITEM,3,FALSE),"")</f>
        <v>MCCB A1C125 3P 60A 25KA</v>
      </c>
      <c r="N1356" s="14">
        <f>INSTOCK!$I1356*INSTOCK!$K1356</f>
        <v>1170</v>
      </c>
      <c r="O1356" s="4" t="s">
        <v>1718</v>
      </c>
      <c r="P1356" s="4" t="s">
        <v>1504</v>
      </c>
    </row>
    <row r="1357" ht="15.75" hidden="1" customHeight="1">
      <c r="B1357" s="8">
        <v>1673.0</v>
      </c>
      <c r="C1357" s="9">
        <v>43430.0</v>
      </c>
      <c r="D1357" s="6" t="s">
        <v>1766</v>
      </c>
      <c r="E1357" s="4">
        <v>6.11100151E9</v>
      </c>
      <c r="F1357" s="8" t="s">
        <v>1767</v>
      </c>
      <c r="G1357" s="4" t="s">
        <v>692</v>
      </c>
      <c r="H1357" s="10" t="s">
        <v>1717</v>
      </c>
      <c r="I1357" s="10">
        <v>1.0</v>
      </c>
      <c r="J1357" s="11" t="str">
        <f>IF(D1357&lt;&gt;"",VLOOKUP(H1357,TABLEITEM,5,FALSE),"")</f>
        <v>EA</v>
      </c>
      <c r="K1357" s="12">
        <v>1170.0</v>
      </c>
      <c r="L1357" s="13" t="str">
        <f>IF(D1357&lt;&gt;"",VLOOKUP(H1357,TABLEITEM,2,FALSE),"")</f>
        <v/>
      </c>
      <c r="M1357" s="13" t="str">
        <f>IF(D1357&lt;&gt;"",VLOOKUP(H1357,TABLEITEM,3,FALSE),"")</f>
        <v>MCCB A1C125 3P 60A 25KA</v>
      </c>
      <c r="N1357" s="14">
        <f>INSTOCK!$I1357*INSTOCK!$K1357</f>
        <v>1170</v>
      </c>
      <c r="O1357" s="4" t="s">
        <v>1718</v>
      </c>
      <c r="P1357" s="4" t="s">
        <v>1504</v>
      </c>
    </row>
    <row r="1358" ht="15.75" hidden="1" customHeight="1">
      <c r="B1358" s="8">
        <v>1674.0</v>
      </c>
      <c r="C1358" s="9">
        <v>43430.0</v>
      </c>
      <c r="D1358" s="6" t="s">
        <v>1773</v>
      </c>
      <c r="E1358" s="4">
        <v>6.111001495E9</v>
      </c>
      <c r="F1358" s="8" t="s">
        <v>604</v>
      </c>
      <c r="G1358" s="4" t="s">
        <v>665</v>
      </c>
      <c r="H1358" s="10" t="s">
        <v>462</v>
      </c>
      <c r="I1358" s="10">
        <v>2000.0</v>
      </c>
      <c r="J1358" s="11" t="str">
        <f>IF(D1358&lt;&gt;"",VLOOKUP(H1358,TABLEITEM,5,FALSE),"")</f>
        <v>M</v>
      </c>
      <c r="K1358" s="12">
        <v>5.0</v>
      </c>
      <c r="L1358" s="13" t="str">
        <f>IF(D1358&lt;&gt;"",VLOOKUP(H1358,TABLEITEM,2,FALSE),"")</f>
        <v>wire</v>
      </c>
      <c r="M1358" s="13" t="str">
        <f>IF(D1358&lt;&gt;"",VLOOKUP(H1358,TABLEITEM,3,FALSE),"")</f>
        <v>สายไฟ VSF1x1 SQMM.สีเหลือง</v>
      </c>
      <c r="N1358" s="14">
        <f>INSTOCK!$I1358*INSTOCK!$K1358</f>
        <v>10000</v>
      </c>
      <c r="O1358" s="4" t="s">
        <v>1774</v>
      </c>
      <c r="P1358" s="4"/>
    </row>
    <row r="1359" ht="15.75" hidden="1" customHeight="1">
      <c r="B1359" s="8">
        <v>1675.0</v>
      </c>
      <c r="C1359" s="9">
        <v>43430.0</v>
      </c>
      <c r="D1359" s="6" t="s">
        <v>1775</v>
      </c>
      <c r="E1359" s="4">
        <v>6.111001443E9</v>
      </c>
      <c r="F1359" s="8" t="s">
        <v>1776</v>
      </c>
      <c r="G1359" s="4" t="s">
        <v>1777</v>
      </c>
      <c r="H1359" s="10" t="s">
        <v>1778</v>
      </c>
      <c r="I1359" s="10">
        <v>670.0</v>
      </c>
      <c r="J1359" s="11" t="str">
        <f>IF(D1359&lt;&gt;"",VLOOKUP(H1359,TABLEITEM,5,FALSE),"")</f>
        <v>EA</v>
      </c>
      <c r="K1359" s="12">
        <v>1.85</v>
      </c>
      <c r="L1359" s="13" t="str">
        <f>IF(D1359&lt;&gt;"",VLOOKUP(H1359,TABLEITEM,2,FALSE),"")</f>
        <v/>
      </c>
      <c r="M1359" s="13" t="str">
        <f>IF(D1359&lt;&gt;"",VLOOKUP(H1359,TABLEITEM,3,FALSE),"")</f>
        <v>สกรูหัวจมชุบขาว M4x35</v>
      </c>
      <c r="N1359" s="14">
        <f>INSTOCK!$I1359*INSTOCK!$K1359</f>
        <v>1239.5</v>
      </c>
      <c r="O1359" s="4"/>
      <c r="P1359" s="4"/>
    </row>
    <row r="1360" ht="15.75" hidden="1" customHeight="1">
      <c r="B1360" s="8">
        <v>1676.0</v>
      </c>
      <c r="C1360" s="9">
        <v>43428.0</v>
      </c>
      <c r="D1360" s="6" t="s">
        <v>1779</v>
      </c>
      <c r="E1360" s="4">
        <v>6.111001502E9</v>
      </c>
      <c r="F1360" s="8" t="s">
        <v>1780</v>
      </c>
      <c r="G1360" s="4" t="s">
        <v>1631</v>
      </c>
      <c r="H1360" s="10" t="s">
        <v>1781</v>
      </c>
      <c r="I1360" s="10">
        <v>1.0</v>
      </c>
      <c r="J1360" s="11" t="str">
        <f>IF(D1360&lt;&gt;"",VLOOKUP(H1360,TABLEITEM,5,FALSE),"")</f>
        <v>EA</v>
      </c>
      <c r="K1360" s="12">
        <v>4700.0</v>
      </c>
      <c r="L1360" s="13" t="str">
        <f>IF(D1360&lt;&gt;"",VLOOKUP(H1360,TABLEITEM,2,FALSE),"")</f>
        <v/>
      </c>
      <c r="M1360" s="13" t="str">
        <f>IF(D1360&lt;&gt;"",VLOOKUP(H1360,TABLEITEM,3,FALSE),"")</f>
        <v>DIGITAL METER DIRIS A20</v>
      </c>
      <c r="N1360" s="14">
        <f>INSTOCK!$I1360*INSTOCK!$K1360</f>
        <v>4700</v>
      </c>
      <c r="O1360" s="4" t="s">
        <v>1782</v>
      </c>
      <c r="P1360" s="4"/>
    </row>
    <row r="1361" ht="15.75" hidden="1" customHeight="1">
      <c r="B1361" s="8">
        <v>1677.0</v>
      </c>
      <c r="C1361" s="9">
        <v>43428.0</v>
      </c>
      <c r="D1361" s="6" t="s">
        <v>1783</v>
      </c>
      <c r="E1361" s="4">
        <v>6.111001508E9</v>
      </c>
      <c r="F1361" s="8" t="s">
        <v>1784</v>
      </c>
      <c r="G1361" s="4" t="s">
        <v>1710</v>
      </c>
      <c r="H1361" s="10" t="s">
        <v>1785</v>
      </c>
      <c r="I1361" s="10">
        <v>1.0</v>
      </c>
      <c r="J1361" s="11" t="str">
        <f>IF(D1361&lt;&gt;"",VLOOKUP(H1361,TABLEITEM,5,FALSE),"")</f>
        <v>EA</v>
      </c>
      <c r="K1361" s="12">
        <v>995.0</v>
      </c>
      <c r="L1361" s="13" t="str">
        <f>IF(D1361&lt;&gt;"",VLOOKUP(H1361,TABLEITEM,2,FALSE),"")</f>
        <v/>
      </c>
      <c r="M1361" s="13" t="str">
        <f>IF(D1361&lt;&gt;"",VLOOKUP(H1361,TABLEITEM,3,FALSE),"")</f>
        <v>Special Core ZCT 40mm</v>
      </c>
      <c r="N1361" s="14">
        <f>INSTOCK!$I1361*INSTOCK!$K1361</f>
        <v>995</v>
      </c>
      <c r="O1361" s="4" t="s">
        <v>1786</v>
      </c>
      <c r="P1361" s="4"/>
    </row>
    <row r="1362" ht="15.75" hidden="1" customHeight="1">
      <c r="B1362" s="8">
        <v>1678.0</v>
      </c>
      <c r="C1362" s="9">
        <v>43428.0</v>
      </c>
      <c r="D1362" s="6" t="s">
        <v>1783</v>
      </c>
      <c r="E1362" s="4">
        <v>6.111001508E9</v>
      </c>
      <c r="F1362" s="8" t="s">
        <v>1784</v>
      </c>
      <c r="G1362" s="4" t="s">
        <v>1710</v>
      </c>
      <c r="H1362" s="10" t="s">
        <v>1711</v>
      </c>
      <c r="I1362" s="10">
        <v>1.0</v>
      </c>
      <c r="J1362" s="11" t="str">
        <f>IF(D1362&lt;&gt;"",VLOOKUP(H1362,TABLEITEM,5,FALSE),"")</f>
        <v>EA</v>
      </c>
      <c r="K1362" s="12">
        <v>2625.0</v>
      </c>
      <c r="L1362" s="13" t="str">
        <f>IF(D1362&lt;&gt;"",VLOOKUP(H1362,TABLEITEM,2,FALSE),"")</f>
        <v/>
      </c>
      <c r="M1362" s="13" t="str">
        <f>IF(D1362&lt;&gt;"",VLOOKUP(H1362,TABLEITEM,3,FALSE),"")</f>
        <v>Din Rail Barth Leakage Relay Din300-240VAC</v>
      </c>
      <c r="N1362" s="14">
        <f>INSTOCK!$I1362*INSTOCK!$K1362</f>
        <v>2625</v>
      </c>
      <c r="O1362" s="4" t="s">
        <v>1712</v>
      </c>
      <c r="P1362" s="4"/>
    </row>
    <row r="1363" ht="15.75" hidden="1" customHeight="1">
      <c r="B1363" s="8">
        <v>1679.0</v>
      </c>
      <c r="C1363" s="9">
        <v>43428.0</v>
      </c>
      <c r="D1363" s="6" t="s">
        <v>1787</v>
      </c>
      <c r="E1363" s="4">
        <v>6.111001505E9</v>
      </c>
      <c r="F1363" s="8" t="s">
        <v>604</v>
      </c>
      <c r="G1363" s="4" t="s">
        <v>1788</v>
      </c>
      <c r="H1363" s="10" t="s">
        <v>1789</v>
      </c>
      <c r="I1363" s="10">
        <v>997.0</v>
      </c>
      <c r="J1363" s="11" t="str">
        <f>IF(D1363&lt;&gt;"",VLOOKUP(H1363,TABLEITEM,5,FALSE),"")</f>
        <v>EA</v>
      </c>
      <c r="K1363" s="12">
        <v>2.0</v>
      </c>
      <c r="L1363" s="13" t="str">
        <f>IF(D1363&lt;&gt;"",VLOOKUP(H1363,TABLEITEM,2,FALSE),"")</f>
        <v/>
      </c>
      <c r="M1363" s="13" t="str">
        <f>IF(D1363&lt;&gt;"",VLOOKUP(H1363,TABLEITEM,3,FALSE),"")</f>
        <v>ม้วนบูชฝาใน PC#009</v>
      </c>
      <c r="N1363" s="14">
        <f>INSTOCK!$I1363*INSTOCK!$K1363</f>
        <v>1994</v>
      </c>
      <c r="O1363" s="4"/>
      <c r="P1363" s="4"/>
    </row>
    <row r="1364" ht="15.75" hidden="1" customHeight="1">
      <c r="B1364" s="8">
        <v>1680.0</v>
      </c>
      <c r="C1364" s="9">
        <v>43427.0</v>
      </c>
      <c r="D1364" s="6" t="s">
        <v>1790</v>
      </c>
      <c r="E1364" s="4">
        <v>6.111001496E9</v>
      </c>
      <c r="F1364" s="8" t="s">
        <v>604</v>
      </c>
      <c r="G1364" s="4" t="s">
        <v>702</v>
      </c>
      <c r="H1364" s="10" t="s">
        <v>83</v>
      </c>
      <c r="I1364" s="10">
        <v>40.0</v>
      </c>
      <c r="J1364" s="11" t="str">
        <f>IF(D1364&lt;&gt;"",VLOOKUP(H1364,TABLEITEM,5,FALSE),"")</f>
        <v>KG.</v>
      </c>
      <c r="K1364" s="12">
        <v>125.0</v>
      </c>
      <c r="L1364" s="13" t="str">
        <f>IF(D1364&lt;&gt;"",VLOOKUP(H1364,TABLEITEM,2,FALSE),"")</f>
        <v/>
      </c>
      <c r="M1364" s="13" t="str">
        <f>IF(D1364&lt;&gt;"",VLOOKUP(H1364,TABLEITEM,3,FALSE),"")</f>
        <v>สีฝุ่น FF 110/90/C สีขาวเรียบ</v>
      </c>
      <c r="N1364" s="14">
        <f>INSTOCK!$I1364*INSTOCK!$K1364</f>
        <v>5000</v>
      </c>
      <c r="O1364" s="4"/>
      <c r="P1364" s="4"/>
    </row>
    <row r="1365" ht="15.75" hidden="1" customHeight="1">
      <c r="B1365" s="8">
        <v>1681.0</v>
      </c>
      <c r="C1365" s="9">
        <v>43427.0</v>
      </c>
      <c r="D1365" s="6" t="s">
        <v>1791</v>
      </c>
      <c r="E1365" s="4">
        <v>6.111001507E9</v>
      </c>
      <c r="F1365" s="8" t="s">
        <v>1792</v>
      </c>
      <c r="G1365" s="4" t="s">
        <v>1596</v>
      </c>
      <c r="H1365" s="10" t="s">
        <v>1793</v>
      </c>
      <c r="I1365" s="10">
        <v>1.0</v>
      </c>
      <c r="J1365" s="11" t="str">
        <f>IF(D1365&lt;&gt;"",VLOOKUP(H1365,TABLEITEM,5,FALSE),"")</f>
        <v>EA</v>
      </c>
      <c r="K1365" s="12">
        <v>652.0</v>
      </c>
      <c r="L1365" s="13" t="str">
        <f>IF(D1365&lt;&gt;"",VLOOKUP(H1365,TABLEITEM,2,FALSE),"")</f>
        <v/>
      </c>
      <c r="M1365" s="13" t="str">
        <f>IF(D1365&lt;&gt;"",VLOOKUP(H1365,TABLEITEM,3,FALSE),"")</f>
        <v>MCB SH203-C32</v>
      </c>
      <c r="N1365" s="14">
        <f>INSTOCK!$I1365*INSTOCK!$K1365</f>
        <v>652</v>
      </c>
      <c r="O1365" s="4" t="s">
        <v>1794</v>
      </c>
      <c r="P1365" s="4" t="s">
        <v>1504</v>
      </c>
    </row>
    <row r="1366" ht="15.75" hidden="1" customHeight="1">
      <c r="B1366" s="8">
        <v>1682.0</v>
      </c>
      <c r="C1366" s="9">
        <v>43427.0</v>
      </c>
      <c r="D1366" s="6" t="s">
        <v>1791</v>
      </c>
      <c r="E1366" s="4">
        <v>6.111001507E9</v>
      </c>
      <c r="F1366" s="8" t="s">
        <v>1792</v>
      </c>
      <c r="G1366" s="4" t="s">
        <v>1596</v>
      </c>
      <c r="H1366" s="10" t="s">
        <v>1795</v>
      </c>
      <c r="I1366" s="10">
        <v>5.0</v>
      </c>
      <c r="J1366" s="11" t="str">
        <f>IF(D1366&lt;&gt;"",VLOOKUP(H1366,TABLEITEM,5,FALSE),"")</f>
        <v>EA</v>
      </c>
      <c r="K1366" s="12">
        <v>74.0</v>
      </c>
      <c r="L1366" s="13" t="str">
        <f>IF(D1366&lt;&gt;"",VLOOKUP(H1366,TABLEITEM,2,FALSE),"")</f>
        <v/>
      </c>
      <c r="M1366" s="13" t="str">
        <f>IF(D1366&lt;&gt;"",VLOOKUP(H1366,TABLEITEM,3,FALSE),"")</f>
        <v>MCB SH201-C20</v>
      </c>
      <c r="N1366" s="14">
        <f>INSTOCK!$I1366*INSTOCK!$K1366</f>
        <v>370</v>
      </c>
      <c r="O1366" s="4" t="s">
        <v>1598</v>
      </c>
      <c r="P1366" s="4" t="s">
        <v>1504</v>
      </c>
    </row>
    <row r="1367" ht="15.75" hidden="1" customHeight="1">
      <c r="B1367" s="8">
        <v>1683.0</v>
      </c>
      <c r="C1367" s="9">
        <v>43427.0</v>
      </c>
      <c r="D1367" s="6" t="s">
        <v>1791</v>
      </c>
      <c r="E1367" s="4">
        <v>6.111001507E9</v>
      </c>
      <c r="F1367" s="8" t="s">
        <v>1792</v>
      </c>
      <c r="G1367" s="4" t="s">
        <v>1596</v>
      </c>
      <c r="H1367" s="10" t="s">
        <v>1796</v>
      </c>
      <c r="I1367" s="10">
        <v>1.0</v>
      </c>
      <c r="J1367" s="11" t="str">
        <f>IF(D1367&lt;&gt;"",VLOOKUP(H1367,TABLEITEM,5,FALSE),"")</f>
        <v>EA</v>
      </c>
      <c r="K1367" s="12">
        <v>2230.0</v>
      </c>
      <c r="L1367" s="13" t="str">
        <f>IF(D1367&lt;&gt;"",VLOOKUP(H1367,TABLEITEM,2,FALSE),"")</f>
        <v/>
      </c>
      <c r="M1367" s="13" t="str">
        <f>IF(D1367&lt;&gt;"",VLOOKUP(H1367,TABLEITEM,3,FALSE),"")</f>
        <v>FORMULA DB12CL200</v>
      </c>
      <c r="N1367" s="14">
        <f>INSTOCK!$I1367*INSTOCK!$K1367</f>
        <v>2230</v>
      </c>
      <c r="O1367" s="4" t="s">
        <v>1797</v>
      </c>
      <c r="P1367" s="4" t="s">
        <v>1504</v>
      </c>
    </row>
    <row r="1368" ht="15.75" hidden="1" customHeight="1">
      <c r="B1368" s="8">
        <v>1684.0</v>
      </c>
      <c r="C1368" s="9">
        <v>43427.0</v>
      </c>
      <c r="D1368" s="6" t="s">
        <v>1791</v>
      </c>
      <c r="E1368" s="4">
        <v>6.111001507E9</v>
      </c>
      <c r="F1368" s="8" t="s">
        <v>1792</v>
      </c>
      <c r="G1368" s="4" t="s">
        <v>1596</v>
      </c>
      <c r="H1368" s="10" t="s">
        <v>1795</v>
      </c>
      <c r="I1368" s="10">
        <v>24.0</v>
      </c>
      <c r="J1368" s="11" t="str">
        <f>IF(D1368&lt;&gt;"",VLOOKUP(H1368,TABLEITEM,5,FALSE),"")</f>
        <v>EA</v>
      </c>
      <c r="K1368" s="12">
        <v>74.0</v>
      </c>
      <c r="L1368" s="13" t="str">
        <f>IF(D1368&lt;&gt;"",VLOOKUP(H1368,TABLEITEM,2,FALSE),"")</f>
        <v/>
      </c>
      <c r="M1368" s="13" t="str">
        <f>IF(D1368&lt;&gt;"",VLOOKUP(H1368,TABLEITEM,3,FALSE),"")</f>
        <v>MCB SH201-C20</v>
      </c>
      <c r="N1368" s="14">
        <f>INSTOCK!$I1368*INSTOCK!$K1368</f>
        <v>1776</v>
      </c>
      <c r="O1368" s="4" t="s">
        <v>1598</v>
      </c>
      <c r="P1368" s="4" t="s">
        <v>1504</v>
      </c>
    </row>
    <row r="1369" ht="15.75" hidden="1" customHeight="1">
      <c r="B1369" s="8">
        <v>1685.0</v>
      </c>
      <c r="C1369" s="9">
        <v>43427.0</v>
      </c>
      <c r="D1369" s="6" t="s">
        <v>1791</v>
      </c>
      <c r="E1369" s="4">
        <v>6.111001507E9</v>
      </c>
      <c r="F1369" s="8" t="s">
        <v>1792</v>
      </c>
      <c r="G1369" s="4" t="s">
        <v>1596</v>
      </c>
      <c r="H1369" s="10" t="s">
        <v>1798</v>
      </c>
      <c r="I1369" s="10">
        <v>7.0</v>
      </c>
      <c r="J1369" s="11" t="str">
        <f>IF(D1369&lt;&gt;"",VLOOKUP(H1369,TABLEITEM,5,FALSE),"")</f>
        <v>EA</v>
      </c>
      <c r="K1369" s="12">
        <v>74.0</v>
      </c>
      <c r="L1369" s="13" t="str">
        <f>IF(D1369&lt;&gt;"",VLOOKUP(H1369,TABLEITEM,2,FALSE),"")</f>
        <v/>
      </c>
      <c r="M1369" s="13" t="str">
        <f>IF(D1369&lt;&gt;"",VLOOKUP(H1369,TABLEITEM,3,FALSE),"")</f>
        <v>MCB SH201-C10</v>
      </c>
      <c r="N1369" s="14">
        <f>INSTOCK!$I1369*INSTOCK!$K1369</f>
        <v>518</v>
      </c>
      <c r="O1369" s="4" t="s">
        <v>1598</v>
      </c>
      <c r="P1369" s="4" t="s">
        <v>1504</v>
      </c>
    </row>
    <row r="1370" ht="15.75" hidden="1" customHeight="1">
      <c r="B1370" s="8">
        <v>1686.0</v>
      </c>
      <c r="C1370" s="9">
        <v>43427.0</v>
      </c>
      <c r="D1370" s="6" t="s">
        <v>1791</v>
      </c>
      <c r="E1370" s="4">
        <v>6.111001507E9</v>
      </c>
      <c r="F1370" s="8" t="s">
        <v>1792</v>
      </c>
      <c r="G1370" s="4" t="s">
        <v>1596</v>
      </c>
      <c r="H1370" s="10" t="s">
        <v>1721</v>
      </c>
      <c r="I1370" s="10">
        <v>5.0</v>
      </c>
      <c r="J1370" s="11" t="str">
        <f>IF(D1370&lt;&gt;"",VLOOKUP(H1370,TABLEITEM,5,FALSE),"")</f>
        <v>EA</v>
      </c>
      <c r="K1370" s="12">
        <v>456.0</v>
      </c>
      <c r="L1370" s="13" t="str">
        <f>IF(D1370&lt;&gt;"",VLOOKUP(H1370,TABLEITEM,2,FALSE),"")</f>
        <v/>
      </c>
      <c r="M1370" s="13" t="str">
        <f>IF(D1370&lt;&gt;"",VLOOKUP(H1370,TABLEITEM,3,FALSE),"")</f>
        <v>Consumer Unit SCP-07</v>
      </c>
      <c r="N1370" s="14">
        <f>INSTOCK!$I1370*INSTOCK!$K1370</f>
        <v>2280</v>
      </c>
      <c r="O1370" s="4" t="s">
        <v>1799</v>
      </c>
      <c r="P1370" s="4" t="s">
        <v>1504</v>
      </c>
    </row>
    <row r="1371" ht="15.75" hidden="1" customHeight="1">
      <c r="B1371" s="8">
        <v>1687.0</v>
      </c>
      <c r="C1371" s="9">
        <v>43427.0</v>
      </c>
      <c r="D1371" s="6" t="s">
        <v>1791</v>
      </c>
      <c r="E1371" s="4">
        <v>6.111001507E9</v>
      </c>
      <c r="F1371" s="8" t="s">
        <v>1792</v>
      </c>
      <c r="G1371" s="4" t="s">
        <v>1596</v>
      </c>
      <c r="H1371" s="10" t="s">
        <v>1795</v>
      </c>
      <c r="I1371" s="10">
        <v>8.0</v>
      </c>
      <c r="J1371" s="11" t="str">
        <f>IF(D1371&lt;&gt;"",VLOOKUP(H1371,TABLEITEM,5,FALSE),"")</f>
        <v>EA</v>
      </c>
      <c r="K1371" s="12">
        <v>74.0</v>
      </c>
      <c r="L1371" s="13" t="str">
        <f>IF(D1371&lt;&gt;"",VLOOKUP(H1371,TABLEITEM,2,FALSE),"")</f>
        <v/>
      </c>
      <c r="M1371" s="13" t="str">
        <f>IF(D1371&lt;&gt;"",VLOOKUP(H1371,TABLEITEM,3,FALSE),"")</f>
        <v>MCB SH201-C20</v>
      </c>
      <c r="N1371" s="14">
        <f>INSTOCK!$I1371*INSTOCK!$K1371</f>
        <v>592</v>
      </c>
      <c r="O1371" s="4" t="s">
        <v>1800</v>
      </c>
      <c r="P1371" s="4" t="s">
        <v>1504</v>
      </c>
    </row>
    <row r="1372" ht="15.75" hidden="1" customHeight="1">
      <c r="B1372" s="8">
        <v>1688.0</v>
      </c>
      <c r="C1372" s="9">
        <v>43427.0</v>
      </c>
      <c r="D1372" s="6" t="s">
        <v>1791</v>
      </c>
      <c r="E1372" s="4">
        <v>6.111001507E9</v>
      </c>
      <c r="F1372" s="8" t="s">
        <v>1792</v>
      </c>
      <c r="G1372" s="4" t="s">
        <v>1596</v>
      </c>
      <c r="H1372" s="10" t="s">
        <v>1801</v>
      </c>
      <c r="I1372" s="10">
        <v>1.0</v>
      </c>
      <c r="J1372" s="11" t="str">
        <f>IF(D1372&lt;&gt;"",VLOOKUP(H1372,TABLEITEM,5,FALSE),"")</f>
        <v>EA</v>
      </c>
      <c r="K1372" s="12">
        <v>578.0</v>
      </c>
      <c r="L1372" s="13" t="str">
        <f>IF(D1372&lt;&gt;"",VLOOKUP(H1372,TABLEITEM,2,FALSE),"")</f>
        <v/>
      </c>
      <c r="M1372" s="13" t="str">
        <f>IF(D1372&lt;&gt;"",VLOOKUP(H1372,TABLEITEM,3,FALSE),"")</f>
        <v>Consumer Unit SCP-10</v>
      </c>
      <c r="N1372" s="14">
        <f>INSTOCK!$I1372*INSTOCK!$K1372</f>
        <v>578</v>
      </c>
      <c r="O1372" s="4" t="s">
        <v>1802</v>
      </c>
      <c r="P1372" s="4" t="s">
        <v>1504</v>
      </c>
    </row>
    <row r="1373" ht="15.75" hidden="1" customHeight="1">
      <c r="B1373" s="8">
        <v>1689.0</v>
      </c>
      <c r="C1373" s="9">
        <v>43427.0</v>
      </c>
      <c r="D1373" s="6" t="s">
        <v>1791</v>
      </c>
      <c r="E1373" s="4">
        <v>6.111001507E9</v>
      </c>
      <c r="F1373" s="8" t="s">
        <v>1792</v>
      </c>
      <c r="G1373" s="4" t="s">
        <v>1596</v>
      </c>
      <c r="H1373" s="10" t="s">
        <v>1798</v>
      </c>
      <c r="I1373" s="10">
        <v>3.0</v>
      </c>
      <c r="J1373" s="11" t="str">
        <f>IF(D1373&lt;&gt;"",VLOOKUP(H1373,TABLEITEM,5,FALSE),"")</f>
        <v>EA</v>
      </c>
      <c r="K1373" s="12">
        <v>74.0</v>
      </c>
      <c r="L1373" s="13" t="str">
        <f>IF(D1373&lt;&gt;"",VLOOKUP(H1373,TABLEITEM,2,FALSE),"")</f>
        <v/>
      </c>
      <c r="M1373" s="13" t="str">
        <f>IF(D1373&lt;&gt;"",VLOOKUP(H1373,TABLEITEM,3,FALSE),"")</f>
        <v>MCB SH201-C10</v>
      </c>
      <c r="N1373" s="14">
        <f>INSTOCK!$I1373*INSTOCK!$K1373</f>
        <v>222</v>
      </c>
      <c r="O1373" s="4" t="s">
        <v>1598</v>
      </c>
      <c r="P1373" s="4" t="s">
        <v>1504</v>
      </c>
    </row>
    <row r="1374" ht="15.75" hidden="1" customHeight="1">
      <c r="B1374" s="8">
        <v>1690.0</v>
      </c>
      <c r="C1374" s="9">
        <v>43427.0</v>
      </c>
      <c r="D1374" s="6" t="s">
        <v>1791</v>
      </c>
      <c r="E1374" s="4">
        <v>6.111001507E9</v>
      </c>
      <c r="F1374" s="8" t="s">
        <v>1792</v>
      </c>
      <c r="G1374" s="4" t="s">
        <v>1596</v>
      </c>
      <c r="H1374" s="10" t="s">
        <v>1795</v>
      </c>
      <c r="I1374" s="10">
        <v>19.0</v>
      </c>
      <c r="J1374" s="11" t="str">
        <f>IF(D1374&lt;&gt;"",VLOOKUP(H1374,TABLEITEM,5,FALSE),"")</f>
        <v>EA</v>
      </c>
      <c r="K1374" s="12">
        <v>74.0</v>
      </c>
      <c r="L1374" s="13" t="str">
        <f>IF(D1374&lt;&gt;"",VLOOKUP(H1374,TABLEITEM,2,FALSE),"")</f>
        <v/>
      </c>
      <c r="M1374" s="13" t="str">
        <f>IF(D1374&lt;&gt;"",VLOOKUP(H1374,TABLEITEM,3,FALSE),"")</f>
        <v>MCB SH201-C20</v>
      </c>
      <c r="N1374" s="14">
        <f>INSTOCK!$I1374*INSTOCK!$K1374</f>
        <v>1406</v>
      </c>
      <c r="O1374" s="4" t="s">
        <v>1598</v>
      </c>
      <c r="P1374" s="4" t="s">
        <v>1504</v>
      </c>
    </row>
    <row r="1375" ht="15.75" hidden="1" customHeight="1">
      <c r="B1375" s="8">
        <v>1691.0</v>
      </c>
      <c r="C1375" s="9">
        <v>43427.0</v>
      </c>
      <c r="D1375" s="6" t="s">
        <v>1791</v>
      </c>
      <c r="E1375" s="4">
        <v>6.111001507E9</v>
      </c>
      <c r="F1375" s="8" t="s">
        <v>1792</v>
      </c>
      <c r="G1375" s="4" t="s">
        <v>1596</v>
      </c>
      <c r="H1375" s="10" t="s">
        <v>1803</v>
      </c>
      <c r="I1375" s="10">
        <v>3.0</v>
      </c>
      <c r="J1375" s="11" t="str">
        <f>IF(D1375&lt;&gt;"",VLOOKUP(H1375,TABLEITEM,5,FALSE),"")</f>
        <v>EA</v>
      </c>
      <c r="K1375" s="12">
        <v>74.0</v>
      </c>
      <c r="L1375" s="13" t="str">
        <f>IF(D1375&lt;&gt;"",VLOOKUP(H1375,TABLEITEM,2,FALSE),"")</f>
        <v/>
      </c>
      <c r="M1375" s="13" t="str">
        <f>IF(D1375&lt;&gt;"",VLOOKUP(H1375,TABLEITEM,3,FALSE),"")</f>
        <v>MCB SH201-C32</v>
      </c>
      <c r="N1375" s="14">
        <f>INSTOCK!$I1375*INSTOCK!$K1375</f>
        <v>222</v>
      </c>
      <c r="O1375" s="4" t="s">
        <v>1598</v>
      </c>
      <c r="P1375" s="4" t="s">
        <v>1504</v>
      </c>
    </row>
    <row r="1376" ht="15.75" hidden="1" customHeight="1">
      <c r="B1376" s="8">
        <v>1692.0</v>
      </c>
      <c r="C1376" s="9">
        <v>43427.0</v>
      </c>
      <c r="D1376" s="6" t="s">
        <v>1791</v>
      </c>
      <c r="E1376" s="4">
        <v>6.111001507E9</v>
      </c>
      <c r="F1376" s="8" t="s">
        <v>1792</v>
      </c>
      <c r="G1376" s="4" t="s">
        <v>1596</v>
      </c>
      <c r="H1376" s="10" t="s">
        <v>1804</v>
      </c>
      <c r="I1376" s="10">
        <v>2.0</v>
      </c>
      <c r="J1376" s="11" t="str">
        <f>IF(D1376&lt;&gt;"",VLOOKUP(H1376,TABLEITEM,5,FALSE),"")</f>
        <v>EA</v>
      </c>
      <c r="K1376" s="12">
        <v>150.0</v>
      </c>
      <c r="L1376" s="13" t="str">
        <f>IF(D1376&lt;&gt;"",VLOOKUP(H1376,TABLEITEM,2,FALSE),"")</f>
        <v/>
      </c>
      <c r="M1376" s="13" t="str">
        <f>IF(D1376&lt;&gt;"",VLOOKUP(H1376,TABLEITEM,3,FALSE),"")</f>
        <v>MCB SH201-C50</v>
      </c>
      <c r="N1376" s="14">
        <f>INSTOCK!$I1376*INSTOCK!$K1376</f>
        <v>300</v>
      </c>
      <c r="O1376" s="4" t="s">
        <v>1805</v>
      </c>
      <c r="P1376" s="4" t="s">
        <v>1504</v>
      </c>
    </row>
    <row r="1377" ht="15.75" hidden="1" customHeight="1">
      <c r="B1377" s="8">
        <v>1693.0</v>
      </c>
      <c r="C1377" s="9">
        <v>43427.0</v>
      </c>
      <c r="D1377" s="6" t="s">
        <v>1791</v>
      </c>
      <c r="E1377" s="4">
        <v>6.111001507E9</v>
      </c>
      <c r="F1377" s="8" t="s">
        <v>1792</v>
      </c>
      <c r="G1377" s="4" t="s">
        <v>1596</v>
      </c>
      <c r="H1377" s="10" t="s">
        <v>1806</v>
      </c>
      <c r="I1377" s="10">
        <v>1.0</v>
      </c>
      <c r="J1377" s="11" t="str">
        <f>IF(D1377&lt;&gt;"",VLOOKUP(H1377,TABLEITEM,5,FALSE),"")</f>
        <v>EA</v>
      </c>
      <c r="K1377" s="12">
        <v>150.0</v>
      </c>
      <c r="L1377" s="13" t="str">
        <f>IF(D1377&lt;&gt;"",VLOOKUP(H1377,TABLEITEM,2,FALSE),"")</f>
        <v/>
      </c>
      <c r="M1377" s="13" t="str">
        <f>IF(D1377&lt;&gt;"",VLOOKUP(H1377,TABLEITEM,3,FALSE),"")</f>
        <v>MCB SH201-C63</v>
      </c>
      <c r="N1377" s="14">
        <f>INSTOCK!$I1377*INSTOCK!$K1377</f>
        <v>150</v>
      </c>
      <c r="O1377" s="4" t="s">
        <v>1805</v>
      </c>
      <c r="P1377" s="4" t="s">
        <v>1504</v>
      </c>
    </row>
    <row r="1378" ht="15.75" hidden="1" customHeight="1">
      <c r="B1378" s="8">
        <v>1694.0</v>
      </c>
      <c r="C1378" s="9">
        <v>43427.0</v>
      </c>
      <c r="D1378" s="6" t="s">
        <v>1791</v>
      </c>
      <c r="E1378" s="4">
        <v>6.111001507E9</v>
      </c>
      <c r="F1378" s="8" t="s">
        <v>1792</v>
      </c>
      <c r="G1378" s="4" t="s">
        <v>1596</v>
      </c>
      <c r="H1378" s="10" t="s">
        <v>1801</v>
      </c>
      <c r="I1378" s="10">
        <v>2.0</v>
      </c>
      <c r="J1378" s="11" t="str">
        <f>IF(D1378&lt;&gt;"",VLOOKUP(H1378,TABLEITEM,5,FALSE),"")</f>
        <v>EA</v>
      </c>
      <c r="K1378" s="12">
        <v>578.0</v>
      </c>
      <c r="L1378" s="13" t="str">
        <f>IF(D1378&lt;&gt;"",VLOOKUP(H1378,TABLEITEM,2,FALSE),"")</f>
        <v/>
      </c>
      <c r="M1378" s="13" t="str">
        <f>IF(D1378&lt;&gt;"",VLOOKUP(H1378,TABLEITEM,3,FALSE),"")</f>
        <v>Consumer Unit SCP-10</v>
      </c>
      <c r="N1378" s="14">
        <f>INSTOCK!$I1378*INSTOCK!$K1378</f>
        <v>1156</v>
      </c>
      <c r="O1378" s="4" t="s">
        <v>1802</v>
      </c>
      <c r="P1378" s="4" t="s">
        <v>1504</v>
      </c>
    </row>
    <row r="1379" ht="15.0" hidden="1" customHeight="1">
      <c r="B1379" s="8">
        <v>1695.0</v>
      </c>
      <c r="C1379" s="9">
        <v>43427.0</v>
      </c>
      <c r="D1379" s="6" t="s">
        <v>1791</v>
      </c>
      <c r="E1379" s="4">
        <v>6.111001507E9</v>
      </c>
      <c r="F1379" s="8" t="s">
        <v>1792</v>
      </c>
      <c r="G1379" s="4" t="s">
        <v>1596</v>
      </c>
      <c r="H1379" s="10" t="s">
        <v>1721</v>
      </c>
      <c r="I1379" s="10">
        <v>2.0</v>
      </c>
      <c r="J1379" s="11" t="str">
        <f>IF(D1379&lt;&gt;"",VLOOKUP(H1379,TABLEITEM,5,FALSE),"")</f>
        <v>EA</v>
      </c>
      <c r="K1379" s="12">
        <v>456.0</v>
      </c>
      <c r="L1379" s="13" t="str">
        <f>IF(D1379&lt;&gt;"",VLOOKUP(H1379,TABLEITEM,2,FALSE),"")</f>
        <v/>
      </c>
      <c r="M1379" s="13" t="str">
        <f>IF(D1379&lt;&gt;"",VLOOKUP(H1379,TABLEITEM,3,FALSE),"")</f>
        <v>Consumer Unit SCP-07</v>
      </c>
      <c r="N1379" s="14">
        <f>INSTOCK!$I1379*INSTOCK!$K1379</f>
        <v>912</v>
      </c>
      <c r="O1379" s="4" t="s">
        <v>1799</v>
      </c>
      <c r="P1379" s="4" t="s">
        <v>1504</v>
      </c>
    </row>
    <row r="1380" ht="21.75" hidden="1" customHeight="1">
      <c r="B1380" s="8">
        <v>1696.0</v>
      </c>
      <c r="C1380" s="9">
        <v>43427.0</v>
      </c>
      <c r="D1380" s="6" t="s">
        <v>1791</v>
      </c>
      <c r="E1380" s="4">
        <v>6.111001507E9</v>
      </c>
      <c r="F1380" s="8" t="s">
        <v>1792</v>
      </c>
      <c r="G1380" s="4" t="s">
        <v>1596</v>
      </c>
      <c r="H1380" s="10" t="s">
        <v>1798</v>
      </c>
      <c r="I1380" s="10">
        <v>24.0</v>
      </c>
      <c r="J1380" s="11" t="str">
        <f>IF(D1380&lt;&gt;"",VLOOKUP(H1380,TABLEITEM,5,FALSE),"")</f>
        <v>EA</v>
      </c>
      <c r="K1380" s="12">
        <v>74.0</v>
      </c>
      <c r="L1380" s="13" t="str">
        <f>IF(D1380&lt;&gt;"",VLOOKUP(H1380,TABLEITEM,2,FALSE),"")</f>
        <v/>
      </c>
      <c r="M1380" s="13" t="str">
        <f>IF(D1380&lt;&gt;"",VLOOKUP(H1380,TABLEITEM,3,FALSE),"")</f>
        <v>MCB SH201-C10</v>
      </c>
      <c r="N1380" s="14">
        <f>INSTOCK!$I1380*INSTOCK!$K1380</f>
        <v>1776</v>
      </c>
      <c r="O1380" s="4" t="s">
        <v>1598</v>
      </c>
      <c r="P1380" s="4" t="s">
        <v>1504</v>
      </c>
    </row>
    <row r="1381" ht="15.75" hidden="1" customHeight="1">
      <c r="B1381" s="8">
        <v>1697.0</v>
      </c>
      <c r="C1381" s="9">
        <v>43427.0</v>
      </c>
      <c r="D1381" s="6" t="s">
        <v>1791</v>
      </c>
      <c r="E1381" s="4">
        <v>6.111001507E9</v>
      </c>
      <c r="F1381" s="8" t="s">
        <v>1792</v>
      </c>
      <c r="G1381" s="4" t="s">
        <v>1596</v>
      </c>
      <c r="H1381" s="10" t="s">
        <v>1795</v>
      </c>
      <c r="I1381" s="10">
        <v>27.0</v>
      </c>
      <c r="J1381" s="11" t="str">
        <f>IF(D1381&lt;&gt;"",VLOOKUP(H1381,TABLEITEM,5,FALSE),"")</f>
        <v>EA</v>
      </c>
      <c r="K1381" s="12">
        <v>74.0</v>
      </c>
      <c r="L1381" s="13" t="str">
        <f>IF(D1381&lt;&gt;"",VLOOKUP(H1381,TABLEITEM,2,FALSE),"")</f>
        <v/>
      </c>
      <c r="M1381" s="13" t="str">
        <f>IF(D1381&lt;&gt;"",VLOOKUP(H1381,TABLEITEM,3,FALSE),"")</f>
        <v>MCB SH201-C20</v>
      </c>
      <c r="N1381" s="14">
        <f>INSTOCK!$I1381*INSTOCK!$K1381</f>
        <v>1998</v>
      </c>
      <c r="O1381" s="4" t="s">
        <v>1598</v>
      </c>
      <c r="P1381" s="4" t="s">
        <v>1504</v>
      </c>
    </row>
    <row r="1382" ht="15.75" hidden="1" customHeight="1">
      <c r="B1382" s="8">
        <v>1698.0</v>
      </c>
      <c r="C1382" s="9">
        <v>43427.0</v>
      </c>
      <c r="D1382" s="6" t="s">
        <v>1791</v>
      </c>
      <c r="E1382" s="4">
        <v>6.111001507E9</v>
      </c>
      <c r="F1382" s="8" t="s">
        <v>1792</v>
      </c>
      <c r="G1382" s="4" t="s">
        <v>1596</v>
      </c>
      <c r="H1382" s="10" t="s">
        <v>1803</v>
      </c>
      <c r="I1382" s="10">
        <v>3.0</v>
      </c>
      <c r="J1382" s="11" t="str">
        <f>IF(D1382&lt;&gt;"",VLOOKUP(H1382,TABLEITEM,5,FALSE),"")</f>
        <v>EA</v>
      </c>
      <c r="K1382" s="12">
        <v>74.0</v>
      </c>
      <c r="L1382" s="13" t="str">
        <f>IF(D1382&lt;&gt;"",VLOOKUP(H1382,TABLEITEM,2,FALSE),"")</f>
        <v/>
      </c>
      <c r="M1382" s="13" t="str">
        <f>IF(D1382&lt;&gt;"",VLOOKUP(H1382,TABLEITEM,3,FALSE),"")</f>
        <v>MCB SH201-C32</v>
      </c>
      <c r="N1382" s="14">
        <f>INSTOCK!$I1382*INSTOCK!$K1382</f>
        <v>222</v>
      </c>
      <c r="O1382" s="4" t="s">
        <v>1598</v>
      </c>
      <c r="P1382" s="4" t="s">
        <v>1504</v>
      </c>
    </row>
    <row r="1383" ht="15.75" hidden="1" customHeight="1">
      <c r="B1383" s="8">
        <v>1699.0</v>
      </c>
      <c r="C1383" s="9">
        <v>43427.0</v>
      </c>
      <c r="D1383" s="6" t="s">
        <v>1791</v>
      </c>
      <c r="E1383" s="4">
        <v>6.111001507E9</v>
      </c>
      <c r="F1383" s="8" t="s">
        <v>1792</v>
      </c>
      <c r="G1383" s="4" t="s">
        <v>1596</v>
      </c>
      <c r="H1383" s="10" t="s">
        <v>1801</v>
      </c>
      <c r="I1383" s="10">
        <v>6.0</v>
      </c>
      <c r="J1383" s="11" t="str">
        <f>IF(D1383&lt;&gt;"",VLOOKUP(H1383,TABLEITEM,5,FALSE),"")</f>
        <v>EA</v>
      </c>
      <c r="K1383" s="12">
        <v>578.0</v>
      </c>
      <c r="L1383" s="13" t="str">
        <f>IF(D1383&lt;&gt;"",VLOOKUP(H1383,TABLEITEM,2,FALSE),"")</f>
        <v/>
      </c>
      <c r="M1383" s="13" t="str">
        <f>IF(D1383&lt;&gt;"",VLOOKUP(H1383,TABLEITEM,3,FALSE),"")</f>
        <v>Consumer Unit SCP-10</v>
      </c>
      <c r="N1383" s="14">
        <f>INSTOCK!$I1383*INSTOCK!$K1383</f>
        <v>3468</v>
      </c>
      <c r="O1383" s="4" t="s">
        <v>1802</v>
      </c>
      <c r="P1383" s="4" t="s">
        <v>1504</v>
      </c>
    </row>
    <row r="1384" ht="15.75" hidden="1" customHeight="1">
      <c r="B1384" s="8">
        <v>1700.0</v>
      </c>
      <c r="C1384" s="9">
        <v>43427.0</v>
      </c>
      <c r="D1384" s="6" t="s">
        <v>1807</v>
      </c>
      <c r="E1384" s="4">
        <v>6.111001506E9</v>
      </c>
      <c r="F1384" s="8" t="s">
        <v>1808</v>
      </c>
      <c r="G1384" s="4" t="s">
        <v>1596</v>
      </c>
      <c r="H1384" s="10" t="s">
        <v>1721</v>
      </c>
      <c r="I1384" s="10">
        <v>2.0</v>
      </c>
      <c r="J1384" s="11" t="str">
        <f>IF(D1384&lt;&gt;"",VLOOKUP(H1384,TABLEITEM,5,FALSE),"")</f>
        <v>EA</v>
      </c>
      <c r="K1384" s="12">
        <v>456.0</v>
      </c>
      <c r="L1384" s="13" t="str">
        <f>IF(D1384&lt;&gt;"",VLOOKUP(H1384,TABLEITEM,2,FALSE),"")</f>
        <v/>
      </c>
      <c r="M1384" s="13" t="str">
        <f>IF(D1384&lt;&gt;"",VLOOKUP(H1384,TABLEITEM,3,FALSE),"")</f>
        <v>Consumer Unit SCP-07</v>
      </c>
      <c r="N1384" s="14">
        <f>INSTOCK!$I1384*INSTOCK!$K1384</f>
        <v>912</v>
      </c>
      <c r="O1384" s="4" t="s">
        <v>1799</v>
      </c>
      <c r="P1384" s="4"/>
    </row>
    <row r="1385" ht="15.75" hidden="1" customHeight="1">
      <c r="B1385" s="8">
        <v>1701.0</v>
      </c>
      <c r="C1385" s="9">
        <v>43427.0</v>
      </c>
      <c r="D1385" s="6" t="s">
        <v>1807</v>
      </c>
      <c r="E1385" s="4">
        <v>6.111001506E9</v>
      </c>
      <c r="F1385" s="8" t="s">
        <v>1808</v>
      </c>
      <c r="G1385" s="4" t="s">
        <v>1596</v>
      </c>
      <c r="H1385" s="10" t="s">
        <v>1795</v>
      </c>
      <c r="I1385" s="10">
        <v>12.0</v>
      </c>
      <c r="J1385" s="11" t="str">
        <f>IF(D1385&lt;&gt;"",VLOOKUP(H1385,TABLEITEM,5,FALSE),"")</f>
        <v>EA</v>
      </c>
      <c r="K1385" s="12">
        <v>74.0</v>
      </c>
      <c r="L1385" s="13" t="str">
        <f>IF(D1385&lt;&gt;"",VLOOKUP(H1385,TABLEITEM,2,FALSE),"")</f>
        <v/>
      </c>
      <c r="M1385" s="13" t="str">
        <f>IF(D1385&lt;&gt;"",VLOOKUP(H1385,TABLEITEM,3,FALSE),"")</f>
        <v>MCB SH201-C20</v>
      </c>
      <c r="N1385" s="14">
        <f>INSTOCK!$I1385*INSTOCK!$K1385</f>
        <v>888</v>
      </c>
      <c r="O1385" s="4" t="s">
        <v>1598</v>
      </c>
      <c r="P1385" s="4"/>
    </row>
    <row r="1386" ht="15.75" hidden="1" customHeight="1">
      <c r="B1386" s="8">
        <v>1702.0</v>
      </c>
      <c r="C1386" s="9">
        <v>43427.0</v>
      </c>
      <c r="D1386" s="6" t="s">
        <v>1807</v>
      </c>
      <c r="E1386" s="4">
        <v>6.111001506E9</v>
      </c>
      <c r="F1386" s="8" t="s">
        <v>1808</v>
      </c>
      <c r="G1386" s="4" t="s">
        <v>1596</v>
      </c>
      <c r="H1386" s="10" t="s">
        <v>1721</v>
      </c>
      <c r="I1386" s="10">
        <v>1.0</v>
      </c>
      <c r="J1386" s="11" t="str">
        <f>IF(D1386&lt;&gt;"",VLOOKUP(H1386,TABLEITEM,5,FALSE),"")</f>
        <v>EA</v>
      </c>
      <c r="K1386" s="12">
        <v>456.0</v>
      </c>
      <c r="L1386" s="13" t="str">
        <f>IF(D1386&lt;&gt;"",VLOOKUP(H1386,TABLEITEM,2,FALSE),"")</f>
        <v/>
      </c>
      <c r="M1386" s="13" t="str">
        <f>IF(D1386&lt;&gt;"",VLOOKUP(H1386,TABLEITEM,3,FALSE),"")</f>
        <v>Consumer Unit SCP-07</v>
      </c>
      <c r="N1386" s="14">
        <f>INSTOCK!$I1386*INSTOCK!$K1386</f>
        <v>456</v>
      </c>
      <c r="O1386" s="4" t="s">
        <v>1799</v>
      </c>
      <c r="P1386" s="4"/>
    </row>
    <row r="1387" ht="15.75" hidden="1" customHeight="1">
      <c r="B1387" s="8">
        <v>1703.0</v>
      </c>
      <c r="C1387" s="9">
        <v>43427.0</v>
      </c>
      <c r="D1387" s="6" t="s">
        <v>1807</v>
      </c>
      <c r="E1387" s="4">
        <v>6.111001506E9</v>
      </c>
      <c r="F1387" s="8" t="s">
        <v>1808</v>
      </c>
      <c r="G1387" s="4" t="s">
        <v>1596</v>
      </c>
      <c r="H1387" s="10" t="s">
        <v>1803</v>
      </c>
      <c r="I1387" s="10">
        <v>6.0</v>
      </c>
      <c r="J1387" s="11" t="str">
        <f>IF(D1387&lt;&gt;"",VLOOKUP(H1387,TABLEITEM,5,FALSE),"")</f>
        <v>EA</v>
      </c>
      <c r="K1387" s="12">
        <v>74.0</v>
      </c>
      <c r="L1387" s="13" t="str">
        <f>IF(D1387&lt;&gt;"",VLOOKUP(H1387,TABLEITEM,2,FALSE),"")</f>
        <v/>
      </c>
      <c r="M1387" s="13" t="str">
        <f>IF(D1387&lt;&gt;"",VLOOKUP(H1387,TABLEITEM,3,FALSE),"")</f>
        <v>MCB SH201-C32</v>
      </c>
      <c r="N1387" s="14">
        <f>INSTOCK!$I1387*INSTOCK!$K1387</f>
        <v>444</v>
      </c>
      <c r="O1387" s="4" t="s">
        <v>1598</v>
      </c>
      <c r="P1387" s="4"/>
    </row>
    <row r="1388" ht="15.75" hidden="1" customHeight="1">
      <c r="B1388" s="8">
        <v>1704.0</v>
      </c>
      <c r="C1388" s="9">
        <v>43427.0</v>
      </c>
      <c r="D1388" s="6" t="s">
        <v>1807</v>
      </c>
      <c r="E1388" s="4">
        <v>6.111001506E9</v>
      </c>
      <c r="F1388" s="8" t="s">
        <v>1808</v>
      </c>
      <c r="G1388" s="4" t="s">
        <v>1596</v>
      </c>
      <c r="H1388" s="10" t="s">
        <v>1809</v>
      </c>
      <c r="I1388" s="10">
        <v>1.0</v>
      </c>
      <c r="J1388" s="11" t="str">
        <f>IF(D1388&lt;&gt;"",VLOOKUP(H1388,TABLEITEM,5,FALSE),"")</f>
        <v>EA</v>
      </c>
      <c r="K1388" s="12">
        <v>2076.0</v>
      </c>
      <c r="L1388" s="13" t="str">
        <f>IF(D1388&lt;&gt;"",VLOOKUP(H1388,TABLEITEM,2,FALSE),"")</f>
        <v/>
      </c>
      <c r="M1388" s="13" t="str">
        <f>IF(D1388&lt;&gt;"",VLOOKUP(H1388,TABLEITEM,3,FALSE),"")</f>
        <v>Y-D STARTERS AF CONTACTOR AF65-30-11</v>
      </c>
      <c r="N1388" s="14">
        <f>INSTOCK!$I1388*INSTOCK!$K1388</f>
        <v>2076</v>
      </c>
      <c r="O1388" s="4" t="s">
        <v>1810</v>
      </c>
      <c r="P1388" s="4"/>
    </row>
    <row r="1389" ht="15.75" hidden="1" customHeight="1">
      <c r="B1389" s="8">
        <v>1705.0</v>
      </c>
      <c r="C1389" s="9">
        <v>43427.0</v>
      </c>
      <c r="D1389" s="6" t="s">
        <v>1807</v>
      </c>
      <c r="E1389" s="4">
        <v>6.111001506E9</v>
      </c>
      <c r="F1389" s="8" t="s">
        <v>1808</v>
      </c>
      <c r="G1389" s="4" t="s">
        <v>1596</v>
      </c>
      <c r="H1389" s="10" t="s">
        <v>1811</v>
      </c>
      <c r="I1389" s="10">
        <v>3.0</v>
      </c>
      <c r="J1389" s="11" t="str">
        <f>IF(D1389&lt;&gt;"",VLOOKUP(H1389,TABLEITEM,5,FALSE),"")</f>
        <v>EA</v>
      </c>
      <c r="K1389" s="12">
        <v>1204.0</v>
      </c>
      <c r="L1389" s="13" t="str">
        <f>IF(D1389&lt;&gt;"",VLOOKUP(H1389,TABLEITEM,2,FALSE),"")</f>
        <v/>
      </c>
      <c r="M1389" s="13" t="str">
        <f>IF(D1389&lt;&gt;"",VLOOKUP(H1389,TABLEITEM,3,FALSE),"")</f>
        <v>Consumer Unit SCP-20</v>
      </c>
      <c r="N1389" s="14">
        <f>INSTOCK!$I1389*INSTOCK!$K1389</f>
        <v>3612</v>
      </c>
      <c r="O1389" s="4" t="s">
        <v>1812</v>
      </c>
      <c r="P1389" s="4"/>
    </row>
    <row r="1390" ht="15.75" hidden="1" customHeight="1">
      <c r="B1390" s="8">
        <v>1706.0</v>
      </c>
      <c r="C1390" s="9">
        <v>43427.0</v>
      </c>
      <c r="D1390" s="6" t="s">
        <v>1807</v>
      </c>
      <c r="E1390" s="4">
        <v>6.111001506E9</v>
      </c>
      <c r="F1390" s="8" t="s">
        <v>1808</v>
      </c>
      <c r="G1390" s="4" t="s">
        <v>1596</v>
      </c>
      <c r="H1390" s="10" t="s">
        <v>1798</v>
      </c>
      <c r="I1390" s="10">
        <v>60.0</v>
      </c>
      <c r="J1390" s="11" t="str">
        <f>IF(D1390&lt;&gt;"",VLOOKUP(H1390,TABLEITEM,5,FALSE),"")</f>
        <v>EA</v>
      </c>
      <c r="K1390" s="12">
        <v>74.0</v>
      </c>
      <c r="L1390" s="13" t="str">
        <f>IF(D1390&lt;&gt;"",VLOOKUP(H1390,TABLEITEM,2,FALSE),"")</f>
        <v/>
      </c>
      <c r="M1390" s="13" t="str">
        <f>IF(D1390&lt;&gt;"",VLOOKUP(H1390,TABLEITEM,3,FALSE),"")</f>
        <v>MCB SH201-C10</v>
      </c>
      <c r="N1390" s="14">
        <f>INSTOCK!$I1390*INSTOCK!$K1390</f>
        <v>4440</v>
      </c>
      <c r="O1390" s="4" t="s">
        <v>1598</v>
      </c>
      <c r="P1390" s="4"/>
    </row>
    <row r="1391" ht="15.75" hidden="1" customHeight="1">
      <c r="B1391" s="8">
        <v>1707.0</v>
      </c>
      <c r="C1391" s="9">
        <v>43427.0</v>
      </c>
      <c r="D1391" s="6" t="s">
        <v>1807</v>
      </c>
      <c r="E1391" s="4">
        <v>6.111001506E9</v>
      </c>
      <c r="F1391" s="8" t="s">
        <v>1808</v>
      </c>
      <c r="G1391" s="4" t="s">
        <v>1596</v>
      </c>
      <c r="H1391" s="10" t="s">
        <v>1801</v>
      </c>
      <c r="I1391" s="10">
        <v>1.0</v>
      </c>
      <c r="J1391" s="11" t="str">
        <f>IF(D1391&lt;&gt;"",VLOOKUP(H1391,TABLEITEM,5,FALSE),"")</f>
        <v>EA</v>
      </c>
      <c r="K1391" s="12">
        <v>578.0</v>
      </c>
      <c r="L1391" s="13" t="str">
        <f>IF(D1391&lt;&gt;"",VLOOKUP(H1391,TABLEITEM,2,FALSE),"")</f>
        <v/>
      </c>
      <c r="M1391" s="13" t="str">
        <f>IF(D1391&lt;&gt;"",VLOOKUP(H1391,TABLEITEM,3,FALSE),"")</f>
        <v>Consumer Unit SCP-10</v>
      </c>
      <c r="N1391" s="14">
        <f>INSTOCK!$I1391*INSTOCK!$K1391</f>
        <v>578</v>
      </c>
      <c r="O1391" s="4" t="s">
        <v>1813</v>
      </c>
      <c r="P1391" s="4"/>
    </row>
    <row r="1392" ht="15.75" hidden="1" customHeight="1">
      <c r="B1392" s="8">
        <v>1708.0</v>
      </c>
      <c r="C1392" s="9">
        <v>43427.0</v>
      </c>
      <c r="D1392" s="6" t="s">
        <v>1807</v>
      </c>
      <c r="E1392" s="4">
        <v>6.111001506E9</v>
      </c>
      <c r="F1392" s="8" t="s">
        <v>1808</v>
      </c>
      <c r="G1392" s="4" t="s">
        <v>1596</v>
      </c>
      <c r="H1392" s="10" t="s">
        <v>1795</v>
      </c>
      <c r="I1392" s="10">
        <v>8.0</v>
      </c>
      <c r="J1392" s="11" t="str">
        <f>IF(D1392&lt;&gt;"",VLOOKUP(H1392,TABLEITEM,5,FALSE),"")</f>
        <v>EA</v>
      </c>
      <c r="K1392" s="12">
        <v>74.0</v>
      </c>
      <c r="L1392" s="13" t="str">
        <f>IF(D1392&lt;&gt;"",VLOOKUP(H1392,TABLEITEM,2,FALSE),"")</f>
        <v/>
      </c>
      <c r="M1392" s="13" t="str">
        <f>IF(D1392&lt;&gt;"",VLOOKUP(H1392,TABLEITEM,3,FALSE),"")</f>
        <v>MCB SH201-C20</v>
      </c>
      <c r="N1392" s="14">
        <f>INSTOCK!$I1392*INSTOCK!$K1392</f>
        <v>592</v>
      </c>
      <c r="O1392" s="4" t="s">
        <v>1598</v>
      </c>
      <c r="P1392" s="4"/>
    </row>
    <row r="1393" ht="15.75" hidden="1" customHeight="1">
      <c r="B1393" s="8">
        <v>1709.0</v>
      </c>
      <c r="C1393" s="9">
        <v>43427.0</v>
      </c>
      <c r="D1393" s="6" t="s">
        <v>1814</v>
      </c>
      <c r="E1393" s="4">
        <v>6.111001481E9</v>
      </c>
      <c r="F1393" s="8" t="s">
        <v>1815</v>
      </c>
      <c r="G1393" s="4" t="s">
        <v>1816</v>
      </c>
      <c r="H1393" s="10" t="s">
        <v>1817</v>
      </c>
      <c r="I1393" s="10">
        <v>10.0</v>
      </c>
      <c r="J1393" s="11" t="str">
        <f>IF(D1393&lt;&gt;"",VLOOKUP(H1393,TABLEITEM,5,FALSE),"")</f>
        <v>EA</v>
      </c>
      <c r="K1393" s="12">
        <v>399.0</v>
      </c>
      <c r="L1393" s="13" t="str">
        <f>IF(D1393&lt;&gt;"",VLOOKUP(H1393,TABLEITEM,2,FALSE),"")</f>
        <v/>
      </c>
      <c r="M1393" s="13" t="str">
        <f>IF(D1393&lt;&gt;"",VLOOKUP(H1393,TABLEITEM,3,FALSE),"")</f>
        <v>VOLTMETER 96x96mm 400A AC96</v>
      </c>
      <c r="N1393" s="14">
        <f>INSTOCK!$I1393*INSTOCK!$K1393</f>
        <v>3990</v>
      </c>
      <c r="O1393" s="4" t="s">
        <v>1818</v>
      </c>
      <c r="P1393" s="4" t="s">
        <v>1819</v>
      </c>
    </row>
    <row r="1394" ht="15.75" hidden="1" customHeight="1">
      <c r="B1394" s="8">
        <v>1710.0</v>
      </c>
      <c r="C1394" s="9">
        <v>43427.0</v>
      </c>
      <c r="D1394" s="6" t="s">
        <v>1820</v>
      </c>
      <c r="E1394" s="4" t="s">
        <v>1821</v>
      </c>
      <c r="F1394" s="8" t="s">
        <v>1647</v>
      </c>
      <c r="G1394" s="4" t="s">
        <v>1512</v>
      </c>
      <c r="H1394" s="10" t="s">
        <v>1822</v>
      </c>
      <c r="I1394" s="10">
        <v>1.0</v>
      </c>
      <c r="J1394" s="11" t="str">
        <f>IF(D1394&lt;&gt;"",VLOOKUP(H1394,TABLEITEM,5,FALSE),"")</f>
        <v>EA</v>
      </c>
      <c r="K1394" s="12">
        <v>4072.5</v>
      </c>
      <c r="L1394" s="13" t="str">
        <f>IF(D1394&lt;&gt;"",VLOOKUP(H1394,TABLEITEM,2,FALSE),"")</f>
        <v/>
      </c>
      <c r="M1394" s="13" t="str">
        <f>IF(D1394&lt;&gt;"",VLOOKUP(H1394,TABLEITEM,3,FALSE),"")</f>
        <v>PHASE MONTOR CM-MPS.43 300-500V</v>
      </c>
      <c r="N1394" s="14">
        <f>INSTOCK!$I1394*INSTOCK!$K1394</f>
        <v>4072.5</v>
      </c>
      <c r="O1394" s="4" t="s">
        <v>1823</v>
      </c>
      <c r="P1394" s="4"/>
    </row>
    <row r="1395" ht="15.75" hidden="1" customHeight="1">
      <c r="B1395" s="8">
        <v>1711.0</v>
      </c>
      <c r="C1395" s="9">
        <v>43427.0</v>
      </c>
      <c r="D1395" s="6" t="s">
        <v>1820</v>
      </c>
      <c r="E1395" s="4" t="s">
        <v>1821</v>
      </c>
      <c r="F1395" s="8" t="s">
        <v>1647</v>
      </c>
      <c r="G1395" s="4" t="s">
        <v>1512</v>
      </c>
      <c r="H1395" s="10" t="s">
        <v>1824</v>
      </c>
      <c r="I1395" s="10">
        <v>2.0</v>
      </c>
      <c r="J1395" s="11" t="str">
        <f>IF(D1395&lt;&gt;"",VLOOKUP(H1395,TABLEITEM,5,FALSE),"")</f>
        <v>EA</v>
      </c>
      <c r="K1395" s="12">
        <v>305.56</v>
      </c>
      <c r="L1395" s="13" t="str">
        <f>IF(D1395&lt;&gt;"",VLOOKUP(H1395,TABLEITEM,2,FALSE),"")</f>
        <v/>
      </c>
      <c r="M1395" s="13" t="str">
        <f>IF(D1395&lt;&gt;"",VLOOKUP(H1395,TABLEITEM,3,FALSE),"")</f>
        <v>MCB 2P 16A 10KA</v>
      </c>
      <c r="N1395" s="14">
        <f>INSTOCK!$I1395*INSTOCK!$K1395</f>
        <v>611.12</v>
      </c>
      <c r="O1395" s="4" t="s">
        <v>1825</v>
      </c>
      <c r="P1395" s="4"/>
    </row>
    <row r="1396" ht="15.75" hidden="1" customHeight="1">
      <c r="B1396" s="8">
        <v>1712.0</v>
      </c>
      <c r="C1396" s="9">
        <v>43427.0</v>
      </c>
      <c r="D1396" s="6" t="s">
        <v>1826</v>
      </c>
      <c r="E1396" s="4">
        <v>6.111001498E9</v>
      </c>
      <c r="F1396" s="8" t="s">
        <v>604</v>
      </c>
      <c r="G1396" s="4" t="s">
        <v>692</v>
      </c>
      <c r="H1396" s="10" t="s">
        <v>513</v>
      </c>
      <c r="I1396" s="10">
        <v>200.0</v>
      </c>
      <c r="J1396" s="11" t="str">
        <f>IF(D1396&lt;&gt;"",VLOOKUP(H1396,TABLEITEM,5,FALSE),"")</f>
        <v>M</v>
      </c>
      <c r="K1396" s="12">
        <v>35.19</v>
      </c>
      <c r="L1396" s="13" t="str">
        <f>IF(D1396&lt;&gt;"",VLOOKUP(H1396,TABLEITEM,2,FALSE),"")</f>
        <v>wire</v>
      </c>
      <c r="M1396" s="13" t="str">
        <f>IF(D1396&lt;&gt;"",VLOOKUP(H1396,TABLEITEM,3,FALSE),"")</f>
        <v>สายTHW ขนาด 1x16 SQMM.สีดำ</v>
      </c>
      <c r="N1396" s="14">
        <f>INSTOCK!$I1396*INSTOCK!$K1396</f>
        <v>7038</v>
      </c>
      <c r="O1396" s="25" t="s">
        <v>1827</v>
      </c>
      <c r="P1396" s="4" t="s">
        <v>1344</v>
      </c>
    </row>
    <row r="1397" ht="15.75" hidden="1" customHeight="1">
      <c r="B1397" s="8">
        <v>1713.0</v>
      </c>
      <c r="C1397" s="9">
        <v>43427.0</v>
      </c>
      <c r="D1397" s="6" t="s">
        <v>1826</v>
      </c>
      <c r="E1397" s="4">
        <v>6.111001498E9</v>
      </c>
      <c r="F1397" s="8" t="s">
        <v>604</v>
      </c>
      <c r="G1397" s="4" t="s">
        <v>692</v>
      </c>
      <c r="H1397" s="10" t="s">
        <v>515</v>
      </c>
      <c r="I1397" s="10">
        <v>100.0</v>
      </c>
      <c r="J1397" s="11" t="str">
        <f>IF(D1397&lt;&gt;"",VLOOKUP(H1397,TABLEITEM,5,FALSE),"")</f>
        <v>M</v>
      </c>
      <c r="K1397" s="12">
        <v>78.43</v>
      </c>
      <c r="L1397" s="13" t="str">
        <f>IF(D1397&lt;&gt;"",VLOOKUP(H1397,TABLEITEM,2,FALSE),"")</f>
        <v>wire</v>
      </c>
      <c r="M1397" s="13" t="str">
        <f>IF(D1397&lt;&gt;"",VLOOKUP(H1397,TABLEITEM,3,FALSE),"")</f>
        <v>สายTHW ขนาด 1x35 SQMM.สีดำ</v>
      </c>
      <c r="N1397" s="14">
        <f>INSTOCK!$I1397*INSTOCK!$K1397</f>
        <v>7843</v>
      </c>
      <c r="O1397" s="4" t="s">
        <v>1828</v>
      </c>
      <c r="P1397" s="4" t="s">
        <v>1344</v>
      </c>
    </row>
    <row r="1398" ht="15.75" hidden="1" customHeight="1">
      <c r="B1398" s="8">
        <v>1714.0</v>
      </c>
      <c r="C1398" s="9">
        <v>43427.0</v>
      </c>
      <c r="D1398" s="6" t="s">
        <v>1826</v>
      </c>
      <c r="E1398" s="4">
        <v>6.111001498E9</v>
      </c>
      <c r="F1398" s="8" t="s">
        <v>604</v>
      </c>
      <c r="G1398" s="4" t="s">
        <v>692</v>
      </c>
      <c r="H1398" s="10" t="s">
        <v>516</v>
      </c>
      <c r="I1398" s="10">
        <v>100.0</v>
      </c>
      <c r="J1398" s="11" t="str">
        <f>IF(D1398&lt;&gt;"",VLOOKUP(H1398,TABLEITEM,5,FALSE),"")</f>
        <v>M</v>
      </c>
      <c r="K1398" s="12">
        <v>105.432</v>
      </c>
      <c r="L1398" s="13" t="str">
        <f>IF(D1398&lt;&gt;"",VLOOKUP(H1398,TABLEITEM,2,FALSE),"")</f>
        <v>wire</v>
      </c>
      <c r="M1398" s="13" t="str">
        <f>IF(D1398&lt;&gt;"",VLOOKUP(H1398,TABLEITEM,3,FALSE),"")</f>
        <v>สายTHW ขนาด 1x50 SQMM.สีดำ</v>
      </c>
      <c r="N1398" s="14">
        <f>INSTOCK!$I1398*INSTOCK!$K1398</f>
        <v>10543.2</v>
      </c>
      <c r="O1398" s="4" t="s">
        <v>1829</v>
      </c>
      <c r="P1398" s="4" t="s">
        <v>1344</v>
      </c>
    </row>
    <row r="1399" ht="15.75" hidden="1" customHeight="1">
      <c r="B1399" s="8">
        <v>1715.0</v>
      </c>
      <c r="C1399" s="9">
        <v>43427.0</v>
      </c>
      <c r="D1399" s="6">
        <v>6.1110746E8</v>
      </c>
      <c r="E1399" s="4">
        <v>6.111001497E9</v>
      </c>
      <c r="F1399" s="8" t="s">
        <v>604</v>
      </c>
      <c r="G1399" s="4" t="s">
        <v>1130</v>
      </c>
      <c r="H1399" s="10" t="s">
        <v>248</v>
      </c>
      <c r="I1399" s="10">
        <v>2500.0</v>
      </c>
      <c r="J1399" s="11" t="str">
        <f>IF(D1399&lt;&gt;"",VLOOKUP(H1399,TABLEITEM,5,FALSE),"")</f>
        <v>EA</v>
      </c>
      <c r="K1399" s="12">
        <v>0.63</v>
      </c>
      <c r="L1399" s="13" t="str">
        <f>IF(D1399&lt;&gt;"",VLOOKUP(H1399,TABLEITEM,2,FALSE),"")</f>
        <v/>
      </c>
      <c r="M1399" s="13" t="str">
        <f>IF(D1399&lt;&gt;"",VLOOKUP(H1399,TABLEITEM,3,FALSE),"")</f>
        <v>หางปลาแฉกเปลือย Y2.5-4S</v>
      </c>
      <c r="N1399" s="14">
        <f>INSTOCK!$I1399*INSTOCK!$K1399</f>
        <v>1575</v>
      </c>
      <c r="O1399" s="4" t="s">
        <v>1830</v>
      </c>
      <c r="P1399" s="4" t="s">
        <v>1831</v>
      </c>
    </row>
    <row r="1400" ht="15.75" hidden="1" customHeight="1">
      <c r="B1400" s="8">
        <v>1716.0</v>
      </c>
      <c r="C1400" s="9">
        <v>43427.0</v>
      </c>
      <c r="D1400" s="6">
        <v>6.1107415E7</v>
      </c>
      <c r="E1400" s="4">
        <v>6.111001494E9</v>
      </c>
      <c r="F1400" s="8"/>
      <c r="G1400" s="4" t="s">
        <v>1130</v>
      </c>
      <c r="H1400" s="10" t="s">
        <v>1832</v>
      </c>
      <c r="I1400" s="10">
        <v>30.0</v>
      </c>
      <c r="J1400" s="11" t="str">
        <f>IF(D1400&lt;&gt;"",VLOOKUP(H1400,TABLEITEM,5,FALSE),"")</f>
        <v>EA</v>
      </c>
      <c r="K1400" s="12">
        <v>50.0</v>
      </c>
      <c r="L1400" s="13" t="str">
        <f>IF(D1400&lt;&gt;"",VLOOKUP(H1400,TABLEITEM,2,FALSE),"")</f>
        <v/>
      </c>
      <c r="M1400" s="13" t="str">
        <f>IF(D1400&lt;&gt;"",VLOOKUP(H1400,TABLEITEM,3,FALSE),"")</f>
        <v>SOCKET PYF-14A-E</v>
      </c>
      <c r="N1400" s="14">
        <f>INSTOCK!$I1400*INSTOCK!$K1400</f>
        <v>1500</v>
      </c>
      <c r="O1400" s="4"/>
      <c r="P1400" s="4"/>
    </row>
    <row r="1401" ht="15.75" hidden="1" customHeight="1">
      <c r="B1401" s="8">
        <v>1717.0</v>
      </c>
      <c r="C1401" s="9">
        <v>43427.0</v>
      </c>
      <c r="D1401" s="6">
        <v>6.1107415E7</v>
      </c>
      <c r="E1401" s="4">
        <v>6.111001494E9</v>
      </c>
      <c r="F1401" s="8"/>
      <c r="G1401" s="4" t="s">
        <v>1130</v>
      </c>
      <c r="H1401" s="10" t="s">
        <v>1833</v>
      </c>
      <c r="I1401" s="10">
        <v>6.0</v>
      </c>
      <c r="J1401" s="11" t="str">
        <f>IF(D1401&lt;&gt;"",VLOOKUP(H1401,TABLEITEM,5,FALSE),"")</f>
        <v>EA</v>
      </c>
      <c r="K1401" s="12">
        <v>620.0</v>
      </c>
      <c r="L1401" s="13" t="str">
        <f>IF(D1401&lt;&gt;"",VLOOKUP(H1401,TABLEITEM,2,FALSE),"")</f>
        <v/>
      </c>
      <c r="M1401" s="13" t="str">
        <f>IF(D1401&lt;&gt;"",VLOOKUP(H1401,TABLEITEM,3,FALSE),"")</f>
        <v>Timer H3CR-A8 100-240VAC</v>
      </c>
      <c r="N1401" s="14">
        <f>INSTOCK!$I1401*INSTOCK!$K1401</f>
        <v>3720</v>
      </c>
      <c r="O1401" s="4"/>
      <c r="P1401" s="4"/>
    </row>
    <row r="1402" ht="15.75" hidden="1" customHeight="1">
      <c r="B1402" s="8">
        <v>1718.0</v>
      </c>
      <c r="C1402" s="9">
        <v>43427.0</v>
      </c>
      <c r="D1402" s="6">
        <v>6.1107415E7</v>
      </c>
      <c r="E1402" s="4">
        <v>6.111001494E9</v>
      </c>
      <c r="F1402" s="8"/>
      <c r="G1402" s="4" t="s">
        <v>1130</v>
      </c>
      <c r="H1402" s="10" t="s">
        <v>1834</v>
      </c>
      <c r="I1402" s="10">
        <v>6.0</v>
      </c>
      <c r="J1402" s="11" t="str">
        <f>IF(D1402&lt;&gt;"",VLOOKUP(H1402,TABLEITEM,5,FALSE),"")</f>
        <v>EA</v>
      </c>
      <c r="K1402" s="12">
        <v>57.82</v>
      </c>
      <c r="L1402" s="13" t="str">
        <f>IF(D1402&lt;&gt;"",VLOOKUP(H1402,TABLEITEM,2,FALSE),"")</f>
        <v/>
      </c>
      <c r="M1402" s="13" t="str">
        <f>IF(D1402&lt;&gt;"",VLOOKUP(H1402,TABLEITEM,3,FALSE),"")</f>
        <v>SOCKET PF083A-E</v>
      </c>
      <c r="N1402" s="14">
        <f>INSTOCK!$I1402*INSTOCK!$K1402</f>
        <v>346.92</v>
      </c>
      <c r="O1402" s="4" t="s">
        <v>1835</v>
      </c>
      <c r="P1402" s="4"/>
    </row>
    <row r="1403" ht="15.75" hidden="1" customHeight="1">
      <c r="B1403" s="8">
        <v>1719.0</v>
      </c>
      <c r="C1403" s="9">
        <v>43427.0</v>
      </c>
      <c r="D1403" s="6">
        <v>6.11107613E8</v>
      </c>
      <c r="E1403" s="4">
        <v>6.1110015E9</v>
      </c>
      <c r="F1403" s="8"/>
      <c r="G1403" s="4" t="s">
        <v>1130</v>
      </c>
      <c r="H1403" s="10" t="s">
        <v>1832</v>
      </c>
      <c r="I1403" s="10">
        <v>50.0</v>
      </c>
      <c r="J1403" s="11" t="str">
        <f>IF(D1403&lt;&gt;"",VLOOKUP(H1403,TABLEITEM,5,FALSE),"")</f>
        <v>EA</v>
      </c>
      <c r="K1403" s="12">
        <v>50.0</v>
      </c>
      <c r="L1403" s="13" t="str">
        <f>IF(D1403&lt;&gt;"",VLOOKUP(H1403,TABLEITEM,2,FALSE),"")</f>
        <v/>
      </c>
      <c r="M1403" s="13" t="str">
        <f>IF(D1403&lt;&gt;"",VLOOKUP(H1403,TABLEITEM,3,FALSE),"")</f>
        <v>SOCKET PYF-14A-E</v>
      </c>
      <c r="N1403" s="14">
        <f>INSTOCK!$I1403*INSTOCK!$K1403</f>
        <v>2500</v>
      </c>
      <c r="O1403" s="4"/>
      <c r="P1403" s="4"/>
    </row>
    <row r="1404" ht="15.75" hidden="1" customHeight="1">
      <c r="B1404" s="8">
        <v>1720.0</v>
      </c>
      <c r="C1404" s="9">
        <v>43427.0</v>
      </c>
      <c r="D1404" s="6" t="s">
        <v>1836</v>
      </c>
      <c r="E1404" s="4">
        <v>6.111001499E9</v>
      </c>
      <c r="F1404" s="8" t="s">
        <v>1837</v>
      </c>
      <c r="G1404" s="4" t="s">
        <v>1485</v>
      </c>
      <c r="H1404" s="10" t="s">
        <v>1838</v>
      </c>
      <c r="I1404" s="10">
        <v>20.0</v>
      </c>
      <c r="J1404" s="11" t="str">
        <f>IF(D1404&lt;&gt;"",VLOOKUP(H1404,TABLEITEM,5,FALSE),"")</f>
        <v>EA</v>
      </c>
      <c r="K1404" s="12">
        <v>71.75</v>
      </c>
      <c r="L1404" s="13"/>
      <c r="M1404" s="13" t="str">
        <f>IF(D1404&lt;&gt;"",VLOOKUP(H1404,TABLEITEM,3,FALSE),"")</f>
        <v>MINIATURE RELAY LED 2C/O 230VAC 5A</v>
      </c>
      <c r="N1404" s="14">
        <f>INSTOCK!$I1404*INSTOCK!$K1404</f>
        <v>1435</v>
      </c>
      <c r="O1404" s="4"/>
      <c r="P1404" s="4" t="s">
        <v>1487</v>
      </c>
    </row>
    <row r="1405" ht="15.75" hidden="1" customHeight="1">
      <c r="B1405" s="8">
        <v>1721.0</v>
      </c>
      <c r="C1405" s="9">
        <v>43427.0</v>
      </c>
      <c r="D1405" s="6" t="s">
        <v>1836</v>
      </c>
      <c r="E1405" s="4">
        <v>6.111001499E9</v>
      </c>
      <c r="F1405" s="8" t="s">
        <v>1837</v>
      </c>
      <c r="G1405" s="4" t="s">
        <v>1485</v>
      </c>
      <c r="H1405" s="10" t="s">
        <v>1839</v>
      </c>
      <c r="I1405" s="10">
        <v>30.0</v>
      </c>
      <c r="J1405" s="11" t="str">
        <f>IF(D1405&lt;&gt;"",VLOOKUP(H1405,TABLEITEM,5,FALSE),"")</f>
        <v>EA</v>
      </c>
      <c r="K1405" s="12">
        <v>86.1</v>
      </c>
      <c r="L1405" s="13" t="str">
        <f>IF(D1405&lt;&gt;"",VLOOKUP(H1405,TABLEITEM,2,FALSE),"")</f>
        <v/>
      </c>
      <c r="M1405" s="13" t="str">
        <f>IF(D1405&lt;&gt;"",VLOOKUP(H1405,TABLEITEM,3,FALSE),"")</f>
        <v>MINIATURE RELAY LED 4C/O 230VAC 3A</v>
      </c>
      <c r="N1405" s="14">
        <f>INSTOCK!$I1405*INSTOCK!$K1405</f>
        <v>2583</v>
      </c>
      <c r="O1405" s="4"/>
      <c r="P1405" s="4" t="s">
        <v>1487</v>
      </c>
    </row>
    <row r="1406" ht="15.75" hidden="1" customHeight="1">
      <c r="B1406" s="8">
        <v>1722.0</v>
      </c>
      <c r="C1406" s="9">
        <v>43427.0</v>
      </c>
      <c r="D1406" s="6" t="s">
        <v>1840</v>
      </c>
      <c r="E1406" s="4">
        <v>6.111001491E9</v>
      </c>
      <c r="F1406" s="8" t="s">
        <v>1716</v>
      </c>
      <c r="G1406" s="4" t="s">
        <v>1485</v>
      </c>
      <c r="H1406" s="10" t="s">
        <v>1841</v>
      </c>
      <c r="I1406" s="10">
        <v>5.0</v>
      </c>
      <c r="J1406" s="11" t="str">
        <f>IF(D1406&lt;&gt;"",VLOOKUP(H1406,TABLEITEM,5,FALSE),"")</f>
        <v>EA</v>
      </c>
      <c r="K1406" s="12">
        <v>533.0</v>
      </c>
      <c r="L1406" s="13" t="str">
        <f>IF(D1406&lt;&gt;"",VLOOKUP(H1406,TABLEITEM,2,FALSE),"")</f>
        <v/>
      </c>
      <c r="M1406" s="13" t="str">
        <f>IF(D1406&lt;&gt;"",VLOOKUP(H1406,TABLEITEM,3,FALSE),"")</f>
        <v>K CAM SWITCH 3L AND 3L-N 45 12A</v>
      </c>
      <c r="N1406" s="14">
        <f>INSTOCK!$I1406*INSTOCK!$K1406</f>
        <v>2665</v>
      </c>
      <c r="O1406" s="4"/>
      <c r="P1406" s="4" t="s">
        <v>1487</v>
      </c>
    </row>
    <row r="1407" ht="15.75" hidden="1" customHeight="1">
      <c r="B1407" s="8">
        <v>1723.0</v>
      </c>
      <c r="C1407" s="9">
        <v>43427.0</v>
      </c>
      <c r="D1407" s="6" t="s">
        <v>1840</v>
      </c>
      <c r="E1407" s="4">
        <v>6.111001491E9</v>
      </c>
      <c r="F1407" s="8" t="s">
        <v>1716</v>
      </c>
      <c r="G1407" s="4" t="s">
        <v>1485</v>
      </c>
      <c r="H1407" s="10" t="s">
        <v>1839</v>
      </c>
      <c r="I1407" s="10">
        <v>43.0</v>
      </c>
      <c r="J1407" s="11" t="str">
        <f>IF(D1407&lt;&gt;"",VLOOKUP(H1407,TABLEITEM,5,FALSE),"")</f>
        <v>EA</v>
      </c>
      <c r="K1407" s="12">
        <v>86.1</v>
      </c>
      <c r="L1407" s="13" t="str">
        <f>IF(D1407&lt;&gt;"",VLOOKUP(H1407,TABLEITEM,2,FALSE),"")</f>
        <v/>
      </c>
      <c r="M1407" s="13" t="str">
        <f>IF(D1407&lt;&gt;"",VLOOKUP(H1407,TABLEITEM,3,FALSE),"")</f>
        <v>MINIATURE RELAY LED 4C/O 230VAC 3A</v>
      </c>
      <c r="N1407" s="14">
        <f>INSTOCK!$I1407*INSTOCK!$K1407</f>
        <v>3702.3</v>
      </c>
      <c r="O1407" s="4"/>
      <c r="P1407" s="4" t="s">
        <v>1487</v>
      </c>
    </row>
    <row r="1408" ht="15.75" hidden="1" customHeight="1">
      <c r="B1408" s="8">
        <v>1724.0</v>
      </c>
      <c r="C1408" s="9">
        <v>43427.0</v>
      </c>
      <c r="D1408" s="6" t="s">
        <v>1840</v>
      </c>
      <c r="E1408" s="4">
        <v>6.111001491E9</v>
      </c>
      <c r="F1408" s="8" t="s">
        <v>1716</v>
      </c>
      <c r="G1408" s="4" t="s">
        <v>1485</v>
      </c>
      <c r="H1408" s="10" t="s">
        <v>1582</v>
      </c>
      <c r="I1408" s="10">
        <v>5.0</v>
      </c>
      <c r="J1408" s="11" t="str">
        <f>IF(D1408&lt;&gt;"",VLOOKUP(H1408,TABLEITEM,5,FALSE),"")</f>
        <v>EA</v>
      </c>
      <c r="K1408" s="12">
        <v>147.6</v>
      </c>
      <c r="L1408" s="13" t="str">
        <f>IF(D1408&lt;&gt;"",VLOOKUP(H1408,TABLEITEM,2,FALSE),"")</f>
        <v/>
      </c>
      <c r="M1408" s="13" t="str">
        <f>IF(D1408&lt;&gt;"",VLOOKUP(H1408,TABLEITEM,3,FALSE),"")</f>
        <v>HARMONY XB4 SELECTOR SWITCH ZB4BD2</v>
      </c>
      <c r="N1408" s="14">
        <f>INSTOCK!$I1408*INSTOCK!$K1408</f>
        <v>738</v>
      </c>
      <c r="O1408" s="4"/>
      <c r="P1408" s="4" t="s">
        <v>1487</v>
      </c>
    </row>
    <row r="1409" ht="15.75" hidden="1" customHeight="1">
      <c r="B1409" s="8">
        <v>1725.0</v>
      </c>
      <c r="C1409" s="9">
        <v>43427.0</v>
      </c>
      <c r="D1409" s="6" t="s">
        <v>1840</v>
      </c>
      <c r="E1409" s="4">
        <v>6.111001491E9</v>
      </c>
      <c r="F1409" s="8" t="s">
        <v>1716</v>
      </c>
      <c r="G1409" s="4" t="s">
        <v>1485</v>
      </c>
      <c r="H1409" s="10" t="s">
        <v>1583</v>
      </c>
      <c r="I1409" s="10">
        <v>5.0</v>
      </c>
      <c r="J1409" s="11" t="str">
        <f>IF(D1409&lt;&gt;"",VLOOKUP(H1409,TABLEITEM,5,FALSE),"")</f>
        <v>EA</v>
      </c>
      <c r="K1409" s="12">
        <v>147.6</v>
      </c>
      <c r="L1409" s="13" t="str">
        <f>IF(D1409&lt;&gt;"",VLOOKUP(H1409,TABLEITEM,2,FALSE),"")</f>
        <v/>
      </c>
      <c r="M1409" s="13" t="str">
        <f>IF(D1409&lt;&gt;"",VLOOKUP(H1409,TABLEITEM,3,FALSE),"")</f>
        <v>HARMONY XB4 SELECTOR SWITCH ZB4BD3</v>
      </c>
      <c r="N1409" s="14">
        <f>INSTOCK!$I1409*INSTOCK!$K1409</f>
        <v>738</v>
      </c>
      <c r="O1409" s="4"/>
      <c r="P1409" s="4" t="s">
        <v>1487</v>
      </c>
    </row>
    <row r="1410" ht="15.75" hidden="1" customHeight="1">
      <c r="B1410" s="8">
        <v>1726.0</v>
      </c>
      <c r="C1410" s="9">
        <v>43427.0</v>
      </c>
      <c r="D1410" s="6" t="s">
        <v>1840</v>
      </c>
      <c r="E1410" s="4">
        <v>6.111001491E9</v>
      </c>
      <c r="F1410" s="8" t="s">
        <v>1716</v>
      </c>
      <c r="G1410" s="4" t="s">
        <v>1485</v>
      </c>
      <c r="H1410" s="10" t="s">
        <v>1584</v>
      </c>
      <c r="I1410" s="10">
        <v>10.0</v>
      </c>
      <c r="J1410" s="11" t="str">
        <f>IF(D1410&lt;&gt;"",VLOOKUP(H1410,TABLEITEM,5,FALSE),"")</f>
        <v>EA</v>
      </c>
      <c r="K1410" s="12">
        <v>127.1</v>
      </c>
      <c r="L1410" s="13" t="str">
        <f>IF(D1410&lt;&gt;"",VLOOKUP(H1410,TABLEITEM,2,FALSE),"")</f>
        <v/>
      </c>
      <c r="M1410" s="13" t="str">
        <f>IF(D1410&lt;&gt;"",VLOOKUP(H1410,TABLEITEM,3,FALSE),"")</f>
        <v>HARMONY XB4 SINGLE CONTACT ZB4BZ101</v>
      </c>
      <c r="N1410" s="14">
        <f>INSTOCK!$I1410*INSTOCK!$K1410</f>
        <v>1271</v>
      </c>
      <c r="O1410" s="4"/>
      <c r="P1410" s="4" t="s">
        <v>1487</v>
      </c>
    </row>
    <row r="1411" ht="15.75" hidden="1" customHeight="1">
      <c r="B1411" s="8">
        <v>1727.0</v>
      </c>
      <c r="C1411" s="9">
        <v>43427.0</v>
      </c>
      <c r="D1411" s="6">
        <v>6111537.0</v>
      </c>
      <c r="E1411" s="4">
        <v>6.111001503E9</v>
      </c>
      <c r="F1411" s="8" t="s">
        <v>604</v>
      </c>
      <c r="G1411" s="4" t="s">
        <v>1100</v>
      </c>
      <c r="H1411" s="10" t="s">
        <v>386</v>
      </c>
      <c r="I1411" s="10">
        <v>400.0</v>
      </c>
      <c r="J1411" s="11" t="str">
        <f>IF(D1411&lt;&gt;"",VLOOKUP(H1411,TABLEITEM,5,FALSE),"")</f>
        <v>EA</v>
      </c>
      <c r="K1411" s="12">
        <v>0.936</v>
      </c>
      <c r="L1411" s="13" t="str">
        <f>IF(D1411&lt;&gt;"",VLOOKUP(H1411,TABLEITEM,2,FALSE),"")</f>
        <v/>
      </c>
      <c r="M1411" s="13" t="str">
        <f>IF(D1411&lt;&gt;"",VLOOKUP(H1411,TABLEITEM,3,FALSE),"")</f>
        <v>ปลอกหุ้มหางปลา V-22สีดำ</v>
      </c>
      <c r="N1411" s="14">
        <f>INSTOCK!$I1411*INSTOCK!$K1411</f>
        <v>374.4</v>
      </c>
      <c r="O1411" s="4" t="s">
        <v>1842</v>
      </c>
      <c r="P1411" s="4"/>
    </row>
    <row r="1412" ht="15.75" hidden="1" customHeight="1">
      <c r="B1412" s="8">
        <v>1728.0</v>
      </c>
      <c r="C1412" s="9">
        <v>43427.0</v>
      </c>
      <c r="D1412" s="6">
        <v>6111537.0</v>
      </c>
      <c r="E1412" s="4">
        <v>6.111001503E9</v>
      </c>
      <c r="F1412" s="8" t="s">
        <v>604</v>
      </c>
      <c r="G1412" s="4" t="s">
        <v>1100</v>
      </c>
      <c r="H1412" s="10" t="s">
        <v>385</v>
      </c>
      <c r="I1412" s="10">
        <v>400.0</v>
      </c>
      <c r="J1412" s="11" t="str">
        <f>IF(D1412&lt;&gt;"",VLOOKUP(H1412,TABLEITEM,5,FALSE),"")</f>
        <v>EA</v>
      </c>
      <c r="K1412" s="12">
        <v>0.936</v>
      </c>
      <c r="L1412" s="13" t="str">
        <f>IF(D1412&lt;&gt;"",VLOOKUP(H1412,TABLEITEM,2,FALSE),"")</f>
        <v/>
      </c>
      <c r="M1412" s="13" t="str">
        <f>IF(D1412&lt;&gt;"",VLOOKUP(H1412,TABLEITEM,3,FALSE),"")</f>
        <v>ปลอกหุ้มหางปลา V-22สีเขียว</v>
      </c>
      <c r="N1412" s="14">
        <f>INSTOCK!$I1412*INSTOCK!$K1412</f>
        <v>374.4</v>
      </c>
      <c r="O1412" s="4" t="s">
        <v>1842</v>
      </c>
      <c r="P1412" s="4"/>
    </row>
    <row r="1413" ht="15.75" hidden="1" customHeight="1">
      <c r="B1413" s="8">
        <v>1729.0</v>
      </c>
      <c r="C1413" s="9">
        <v>43427.0</v>
      </c>
      <c r="D1413" s="6">
        <v>6111536.0</v>
      </c>
      <c r="E1413" s="4">
        <v>6.111001503E9</v>
      </c>
      <c r="F1413" s="8" t="s">
        <v>604</v>
      </c>
      <c r="G1413" s="4" t="s">
        <v>1100</v>
      </c>
      <c r="H1413" s="10" t="s">
        <v>293</v>
      </c>
      <c r="I1413" s="10">
        <v>1000.0</v>
      </c>
      <c r="J1413" s="11" t="str">
        <f>IF(D1413&lt;&gt;"",VLOOKUP(H1413,TABLEITEM,5,FALSE),"")</f>
        <v>EA</v>
      </c>
      <c r="K1413" s="12">
        <v>4.7288</v>
      </c>
      <c r="L1413" s="13" t="str">
        <f>IF(D1413&lt;&gt;"",VLOOKUP(H1413,TABLEITEM,2,FALSE),"")</f>
        <v/>
      </c>
      <c r="M1413" s="13" t="str">
        <f>IF(D1413&lt;&gt;"",VLOOKUP(H1413,TABLEITEM,3,FALSE),"")</f>
        <v>หางปลากลมเปลือย 14-6</v>
      </c>
      <c r="N1413" s="14">
        <f>INSTOCK!$I1413*INSTOCK!$K1413</f>
        <v>4728.8</v>
      </c>
      <c r="O1413" s="4" t="s">
        <v>1843</v>
      </c>
      <c r="P1413" s="4"/>
    </row>
    <row r="1414" ht="15.75" hidden="1" customHeight="1">
      <c r="B1414" s="8">
        <v>1730.0</v>
      </c>
      <c r="C1414" s="9">
        <v>43427.0</v>
      </c>
      <c r="D1414" s="6">
        <v>6111536.0</v>
      </c>
      <c r="E1414" s="4">
        <v>6.111001503E9</v>
      </c>
      <c r="F1414" s="8" t="s">
        <v>604</v>
      </c>
      <c r="G1414" s="4" t="s">
        <v>1100</v>
      </c>
      <c r="H1414" s="10" t="s">
        <v>1844</v>
      </c>
      <c r="I1414" s="10">
        <v>500.0</v>
      </c>
      <c r="J1414" s="11" t="str">
        <f>IF(D1414&lt;&gt;"",VLOOKUP(H1414,TABLEITEM,5,FALSE),"")</f>
        <v>EA</v>
      </c>
      <c r="K1414" s="12">
        <v>0.288</v>
      </c>
      <c r="L1414" s="13" t="str">
        <f>IF(D1414&lt;&gt;"",VLOOKUP(H1414,TABLEITEM,2,FALSE),"")</f>
        <v/>
      </c>
      <c r="M1414" s="13" t="str">
        <f>IF(D1414&lt;&gt;"",VLOOKUP(H1414,TABLEITEM,3,FALSE),"")</f>
        <v>ปลอกหุ้มหางปลา V-5 สีน้ำตาล</v>
      </c>
      <c r="N1414" s="14">
        <f>INSTOCK!$I1414*INSTOCK!$K1414</f>
        <v>144</v>
      </c>
      <c r="O1414" s="4" t="s">
        <v>1845</v>
      </c>
      <c r="P1414" s="4"/>
    </row>
    <row r="1415" ht="15.75" hidden="1" customHeight="1">
      <c r="B1415" s="8">
        <v>1731.0</v>
      </c>
      <c r="C1415" s="9">
        <v>43427.0</v>
      </c>
      <c r="D1415" s="6">
        <v>6111536.0</v>
      </c>
      <c r="E1415" s="4">
        <v>6.111001503E9</v>
      </c>
      <c r="F1415" s="8" t="s">
        <v>604</v>
      </c>
      <c r="G1415" s="4" t="s">
        <v>1100</v>
      </c>
      <c r="H1415" s="10" t="s">
        <v>368</v>
      </c>
      <c r="I1415" s="10">
        <v>300.0</v>
      </c>
      <c r="J1415" s="11" t="str">
        <f>IF(D1415&lt;&gt;"",VLOOKUP(H1415,TABLEITEM,5,FALSE),"")</f>
        <v>EA</v>
      </c>
      <c r="K1415" s="12">
        <v>0.288</v>
      </c>
      <c r="L1415" s="13" t="str">
        <f>IF(D1415&lt;&gt;"",VLOOKUP(H1415,TABLEITEM,2,FALSE),"")</f>
        <v/>
      </c>
      <c r="M1415" s="13" t="str">
        <f>IF(D1415&lt;&gt;"",VLOOKUP(H1415,TABLEITEM,3,FALSE),"")</f>
        <v>ปลอกหุ้มหางปลา V-5 สีดำ</v>
      </c>
      <c r="N1415" s="14">
        <f>INSTOCK!$I1415*INSTOCK!$K1415</f>
        <v>86.4</v>
      </c>
      <c r="O1415" s="4" t="s">
        <v>1845</v>
      </c>
      <c r="P1415" s="4"/>
    </row>
    <row r="1416" ht="15.75" hidden="1" customHeight="1">
      <c r="B1416" s="8">
        <v>1732.0</v>
      </c>
      <c r="C1416" s="9">
        <v>43427.0</v>
      </c>
      <c r="D1416" s="6">
        <v>6111536.0</v>
      </c>
      <c r="E1416" s="4">
        <v>6.111001503E9</v>
      </c>
      <c r="F1416" s="8" t="s">
        <v>604</v>
      </c>
      <c r="G1416" s="4" t="s">
        <v>1100</v>
      </c>
      <c r="H1416" s="10" t="s">
        <v>1846</v>
      </c>
      <c r="I1416" s="10">
        <v>300.0</v>
      </c>
      <c r="J1416" s="11" t="str">
        <f>IF(D1416&lt;&gt;"",VLOOKUP(H1416,TABLEITEM,5,FALSE),"")</f>
        <v>EA</v>
      </c>
      <c r="K1416" s="12">
        <v>0.288</v>
      </c>
      <c r="L1416" s="13" t="str">
        <f>IF(D1416&lt;&gt;"",VLOOKUP(H1416,TABLEITEM,2,FALSE),"")</f>
        <v/>
      </c>
      <c r="M1416" s="13" t="str">
        <f>IF(D1416&lt;&gt;"",VLOOKUP(H1416,TABLEITEM,3,FALSE),"")</f>
        <v>ปลอกหุ้มหางปลา V-5 สีเทา</v>
      </c>
      <c r="N1416" s="14">
        <f>INSTOCK!$I1416*INSTOCK!$K1416</f>
        <v>86.4</v>
      </c>
      <c r="O1416" s="4" t="s">
        <v>1845</v>
      </c>
      <c r="P1416" s="4"/>
    </row>
    <row r="1417" ht="15.75" hidden="1" customHeight="1">
      <c r="B1417" s="8">
        <v>1733.0</v>
      </c>
      <c r="C1417" s="9">
        <v>43427.0</v>
      </c>
      <c r="D1417" s="6">
        <v>6111536.0</v>
      </c>
      <c r="E1417" s="4">
        <v>6.111001503E9</v>
      </c>
      <c r="F1417" s="8" t="s">
        <v>604</v>
      </c>
      <c r="G1417" s="4" t="s">
        <v>1100</v>
      </c>
      <c r="H1417" s="10" t="s">
        <v>1847</v>
      </c>
      <c r="I1417" s="10">
        <v>300.0</v>
      </c>
      <c r="J1417" s="11" t="str">
        <f>IF(D1417&lt;&gt;"",VLOOKUP(H1417,TABLEITEM,5,FALSE),"")</f>
        <v>EA</v>
      </c>
      <c r="K1417" s="12">
        <v>0.36</v>
      </c>
      <c r="L1417" s="13" t="str">
        <f>IF(D1417&lt;&gt;"",VLOOKUP(H1417,TABLEITEM,2,FALSE),"")</f>
        <v/>
      </c>
      <c r="M1417" s="13" t="str">
        <f>IF(D1417&lt;&gt;"",VLOOKUP(H1417,TABLEITEM,3,FALSE),"")</f>
        <v>ปลอกหุ้มหางปลา V-8 สีน้ำตาล</v>
      </c>
      <c r="N1417" s="14">
        <f>INSTOCK!$I1417*INSTOCK!$K1417</f>
        <v>108</v>
      </c>
      <c r="O1417" s="4" t="s">
        <v>1669</v>
      </c>
      <c r="P1417" s="4"/>
    </row>
    <row r="1418" ht="15.75" hidden="1" customHeight="1">
      <c r="B1418" s="8">
        <v>1734.0</v>
      </c>
      <c r="C1418" s="9">
        <v>43427.0</v>
      </c>
      <c r="D1418" s="6">
        <v>6111536.0</v>
      </c>
      <c r="E1418" s="4">
        <v>6.111001503E9</v>
      </c>
      <c r="F1418" s="8" t="s">
        <v>604</v>
      </c>
      <c r="G1418" s="4" t="s">
        <v>1100</v>
      </c>
      <c r="H1418" s="10" t="s">
        <v>374</v>
      </c>
      <c r="I1418" s="10">
        <v>300.0</v>
      </c>
      <c r="J1418" s="11" t="str">
        <f>IF(D1418&lt;&gt;"",VLOOKUP(H1418,TABLEITEM,5,FALSE),"")</f>
        <v>EA</v>
      </c>
      <c r="K1418" s="12">
        <v>0.36</v>
      </c>
      <c r="L1418" s="13" t="str">
        <f>IF(D1418&lt;&gt;"",VLOOKUP(H1418,TABLEITEM,2,FALSE),"")</f>
        <v/>
      </c>
      <c r="M1418" s="13" t="str">
        <f>IF(D1418&lt;&gt;"",VLOOKUP(H1418,TABLEITEM,3,FALSE),"")</f>
        <v>ปลอกหุ้มหางปลา V-8 สีดำ</v>
      </c>
      <c r="N1418" s="14">
        <f>INSTOCK!$I1418*INSTOCK!$K1418</f>
        <v>108</v>
      </c>
      <c r="O1418" s="4" t="s">
        <v>1669</v>
      </c>
      <c r="P1418" s="4"/>
    </row>
    <row r="1419" ht="15.75" hidden="1" customHeight="1">
      <c r="B1419" s="8">
        <v>1735.0</v>
      </c>
      <c r="C1419" s="9">
        <v>43427.0</v>
      </c>
      <c r="D1419" s="6">
        <v>6111536.0</v>
      </c>
      <c r="E1419" s="4">
        <v>6.111001503E9</v>
      </c>
      <c r="F1419" s="8" t="s">
        <v>604</v>
      </c>
      <c r="G1419" s="4" t="s">
        <v>1100</v>
      </c>
      <c r="H1419" s="10" t="s">
        <v>1848</v>
      </c>
      <c r="I1419" s="10">
        <v>300.0</v>
      </c>
      <c r="J1419" s="11" t="str">
        <f>IF(D1419&lt;&gt;"",VLOOKUP(H1419,TABLEITEM,5,FALSE),"")</f>
        <v>EA</v>
      </c>
      <c r="K1419" s="12">
        <v>0.36</v>
      </c>
      <c r="L1419" s="13" t="str">
        <f>IF(D1419&lt;&gt;"",VLOOKUP(H1419,TABLEITEM,2,FALSE),"")</f>
        <v/>
      </c>
      <c r="M1419" s="13" t="str">
        <f>IF(D1419&lt;&gt;"",VLOOKUP(H1419,TABLEITEM,3,FALSE),"")</f>
        <v>ปลอกหุ้มหางปลา V-8 สีเทา</v>
      </c>
      <c r="N1419" s="14">
        <f>INSTOCK!$I1419*INSTOCK!$K1419</f>
        <v>108</v>
      </c>
      <c r="O1419" s="4" t="s">
        <v>1669</v>
      </c>
      <c r="P1419" s="4"/>
    </row>
    <row r="1420" ht="15.75" hidden="1" customHeight="1">
      <c r="B1420" s="8">
        <v>1736.0</v>
      </c>
      <c r="C1420" s="9">
        <v>43427.0</v>
      </c>
      <c r="D1420" s="6">
        <v>6111536.0</v>
      </c>
      <c r="E1420" s="4">
        <v>6.111001503E9</v>
      </c>
      <c r="F1420" s="8" t="s">
        <v>604</v>
      </c>
      <c r="G1420" s="4" t="s">
        <v>1100</v>
      </c>
      <c r="H1420" s="10" t="s">
        <v>441</v>
      </c>
      <c r="I1420" s="10">
        <v>500.0</v>
      </c>
      <c r="J1420" s="11" t="str">
        <f>IF(D1420&lt;&gt;"",VLOOKUP(H1420,TABLEITEM,5,FALSE),"")</f>
        <v>EA</v>
      </c>
      <c r="K1420" s="12">
        <v>0.576</v>
      </c>
      <c r="L1420" s="13" t="str">
        <f>IF(D1420&lt;&gt;"",VLOOKUP(H1420,TABLEITEM,2,FALSE),"")</f>
        <v/>
      </c>
      <c r="M1420" s="13" t="str">
        <f>IF(D1420&lt;&gt;"",VLOOKUP(H1420,TABLEITEM,3,FALSE),"")</f>
        <v>ปลอกหุ้มหางปลา V-14 สีน้ำตาล</v>
      </c>
      <c r="N1420" s="14">
        <f>INSTOCK!$I1420*INSTOCK!$K1420</f>
        <v>288</v>
      </c>
      <c r="O1420" s="4" t="s">
        <v>1849</v>
      </c>
      <c r="P1420" s="4"/>
    </row>
    <row r="1421" ht="15.75" hidden="1" customHeight="1">
      <c r="B1421" s="8">
        <v>1737.0</v>
      </c>
      <c r="C1421" s="9">
        <v>43427.0</v>
      </c>
      <c r="D1421" s="6">
        <v>6111536.0</v>
      </c>
      <c r="E1421" s="4">
        <v>6.111001503E9</v>
      </c>
      <c r="F1421" s="8" t="s">
        <v>604</v>
      </c>
      <c r="G1421" s="4" t="s">
        <v>1100</v>
      </c>
      <c r="H1421" s="10" t="s">
        <v>380</v>
      </c>
      <c r="I1421" s="10">
        <v>500.0</v>
      </c>
      <c r="J1421" s="11" t="str">
        <f>IF(D1421&lt;&gt;"",VLOOKUP(H1421,TABLEITEM,5,FALSE),"")</f>
        <v>EA</v>
      </c>
      <c r="K1421" s="12">
        <v>0.576</v>
      </c>
      <c r="L1421" s="13" t="str">
        <f>IF(D1421&lt;&gt;"",VLOOKUP(H1421,TABLEITEM,2,FALSE),"")</f>
        <v/>
      </c>
      <c r="M1421" s="13" t="str">
        <f>IF(D1421&lt;&gt;"",VLOOKUP(H1421,TABLEITEM,3,FALSE),"")</f>
        <v>ปลอกหุ้มหางปลา V-14สีดำ</v>
      </c>
      <c r="N1421" s="14">
        <f>INSTOCK!$I1421*INSTOCK!$K1421</f>
        <v>288</v>
      </c>
      <c r="O1421" s="4" t="s">
        <v>1849</v>
      </c>
      <c r="P1421" s="4"/>
    </row>
    <row r="1422" ht="15.75" hidden="1" customHeight="1">
      <c r="B1422" s="8">
        <v>1738.0</v>
      </c>
      <c r="C1422" s="9">
        <v>43427.0</v>
      </c>
      <c r="D1422" s="6">
        <v>6111536.0</v>
      </c>
      <c r="E1422" s="4">
        <v>6.111001503E9</v>
      </c>
      <c r="F1422" s="8" t="s">
        <v>604</v>
      </c>
      <c r="G1422" s="4" t="s">
        <v>1100</v>
      </c>
      <c r="H1422" s="10" t="s">
        <v>1850</v>
      </c>
      <c r="I1422" s="10">
        <v>500.0</v>
      </c>
      <c r="J1422" s="11" t="str">
        <f>IF(D1422&lt;&gt;"",VLOOKUP(H1422,TABLEITEM,5,FALSE),"")</f>
        <v>EA</v>
      </c>
      <c r="K1422" s="12">
        <v>0.576</v>
      </c>
      <c r="L1422" s="13" t="str">
        <f>IF(D1422&lt;&gt;"",VLOOKUP(H1422,TABLEITEM,2,FALSE),"")</f>
        <v/>
      </c>
      <c r="M1422" s="13" t="str">
        <f>IF(D1422&lt;&gt;"",VLOOKUP(H1422,TABLEITEM,3,FALSE),"")</f>
        <v>ปลอกหุ้มหางปลา V-14 GY เขียวเหลือง</v>
      </c>
      <c r="N1422" s="14">
        <f>INSTOCK!$I1422*INSTOCK!$K1422</f>
        <v>288</v>
      </c>
      <c r="O1422" s="4" t="s">
        <v>1849</v>
      </c>
      <c r="P1422" s="4"/>
    </row>
    <row r="1423" ht="15.75" hidden="1" customHeight="1">
      <c r="B1423" s="8">
        <v>1739.0</v>
      </c>
      <c r="C1423" s="9">
        <v>43427.0</v>
      </c>
      <c r="D1423" s="6">
        <v>6111536.0</v>
      </c>
      <c r="E1423" s="4">
        <v>6.111001503E9</v>
      </c>
      <c r="F1423" s="8" t="s">
        <v>604</v>
      </c>
      <c r="G1423" s="4" t="s">
        <v>1100</v>
      </c>
      <c r="H1423" s="10" t="s">
        <v>377</v>
      </c>
      <c r="I1423" s="10">
        <v>300.0</v>
      </c>
      <c r="J1423" s="11" t="str">
        <f>IF(D1423&lt;&gt;"",VLOOKUP(H1423,TABLEITEM,5,FALSE),"")</f>
        <v>EA</v>
      </c>
      <c r="K1423" s="12">
        <v>0.576</v>
      </c>
      <c r="L1423" s="13" t="str">
        <f>IF(D1423&lt;&gt;"",VLOOKUP(H1423,TABLEITEM,2,FALSE),"")</f>
        <v/>
      </c>
      <c r="M1423" s="13" t="str">
        <f>IF(D1423&lt;&gt;"",VLOOKUP(H1423,TABLEITEM,3,FALSE),"")</f>
        <v>ปลอกหุ้มหางปลา V-14 สีน้ำเงิน</v>
      </c>
      <c r="N1423" s="14">
        <f>INSTOCK!$I1423*INSTOCK!$K1423</f>
        <v>172.8</v>
      </c>
      <c r="O1423" s="4" t="s">
        <v>1849</v>
      </c>
      <c r="P1423" s="4"/>
    </row>
    <row r="1424" ht="15.75" hidden="1" customHeight="1">
      <c r="B1424" s="8">
        <v>1740.0</v>
      </c>
      <c r="C1424" s="9">
        <v>43427.0</v>
      </c>
      <c r="D1424" s="6">
        <v>6111536.0</v>
      </c>
      <c r="E1424" s="4">
        <v>6.111001503E9</v>
      </c>
      <c r="F1424" s="8" t="s">
        <v>604</v>
      </c>
      <c r="G1424" s="4" t="s">
        <v>1100</v>
      </c>
      <c r="H1424" s="10" t="s">
        <v>1851</v>
      </c>
      <c r="I1424" s="10">
        <v>400.0</v>
      </c>
      <c r="J1424" s="11" t="str">
        <f>IF(D1424&lt;&gt;"",VLOOKUP(H1424,TABLEITEM,5,FALSE),"")</f>
        <v>EA</v>
      </c>
      <c r="K1424" s="12">
        <v>0.936</v>
      </c>
      <c r="L1424" s="13" t="str">
        <f>IF(D1424&lt;&gt;"",VLOOKUP(H1424,TABLEITEM,2,FALSE),"")</f>
        <v/>
      </c>
      <c r="M1424" s="13" t="str">
        <f>IF(D1424&lt;&gt;"",VLOOKUP(H1424,TABLEITEM,3,FALSE),"")</f>
        <v>ปลอกหุ้มหางปลา V-22 สีน้ำตาล</v>
      </c>
      <c r="N1424" s="14">
        <f>INSTOCK!$I1424*INSTOCK!$K1424</f>
        <v>374.4</v>
      </c>
      <c r="O1424" s="4" t="s">
        <v>1842</v>
      </c>
      <c r="P1424" s="4"/>
    </row>
    <row r="1425" ht="15.75" hidden="1" customHeight="1">
      <c r="B1425" s="8">
        <v>1741.0</v>
      </c>
      <c r="C1425" s="9">
        <v>43427.0</v>
      </c>
      <c r="D1425" s="6" t="s">
        <v>1852</v>
      </c>
      <c r="E1425" s="4">
        <v>6.111001492E9</v>
      </c>
      <c r="F1425" s="8"/>
      <c r="G1425" s="4" t="s">
        <v>1516</v>
      </c>
      <c r="H1425" s="10" t="s">
        <v>1853</v>
      </c>
      <c r="I1425" s="10">
        <v>5.0</v>
      </c>
      <c r="J1425" s="11" t="str">
        <f>IF(D1425&lt;&gt;"",VLOOKUP(H1425,TABLEITEM,5,FALSE),"")</f>
        <v>EA</v>
      </c>
      <c r="K1425" s="12">
        <v>533.0</v>
      </c>
      <c r="L1425" s="13" t="str">
        <f>IF(D1425&lt;&gt;"",VLOOKUP(H1425,TABLEITEM,2,FALSE),"")</f>
        <v/>
      </c>
      <c r="M1425" s="13" t="str">
        <f>IF(D1425&lt;&gt;"",VLOOKUP(H1425,TABLEITEM,3,FALSE),"")</f>
        <v>K CAM SWITCH K1F003MLH</v>
      </c>
      <c r="N1425" s="14">
        <f>INSTOCK!$I1425*INSTOCK!$K1425</f>
        <v>2665</v>
      </c>
      <c r="O1425" s="4" t="s">
        <v>1854</v>
      </c>
      <c r="P1425" s="4"/>
    </row>
    <row r="1426" ht="15.75" hidden="1" customHeight="1">
      <c r="B1426" s="8">
        <v>1742.0</v>
      </c>
      <c r="C1426" s="9">
        <v>43427.0</v>
      </c>
      <c r="D1426" s="6" t="s">
        <v>1855</v>
      </c>
      <c r="E1426" s="4">
        <v>6.111001437E9</v>
      </c>
      <c r="F1426" s="8" t="s">
        <v>604</v>
      </c>
      <c r="G1426" s="4" t="s">
        <v>1777</v>
      </c>
      <c r="H1426" s="10" t="s">
        <v>1856</v>
      </c>
      <c r="I1426" s="10">
        <v>10000.0</v>
      </c>
      <c r="J1426" s="11" t="str">
        <f>IF(D1426&lt;&gt;"",VLOOKUP(H1426,TABLEITEM,5,FALSE),"")</f>
        <v>EA</v>
      </c>
      <c r="K1426" s="12">
        <v>0.99</v>
      </c>
      <c r="L1426" s="13" t="str">
        <f>IF(D1426&lt;&gt;"",VLOOKUP(H1426,TABLEITEM,2,FALSE),"")</f>
        <v/>
      </c>
      <c r="M1426" s="13" t="str">
        <f>IF(D1426&lt;&gt;"",VLOOKUP(H1426,TABLEITEM,3,FALSE),"")</f>
        <v>สกรูหัวติดแหวน M 6x10</v>
      </c>
      <c r="N1426" s="14">
        <f>INSTOCK!$I1426*INSTOCK!$K1426</f>
        <v>9900</v>
      </c>
      <c r="O1426" s="4" t="s">
        <v>1857</v>
      </c>
      <c r="P1426" s="4"/>
    </row>
    <row r="1427" ht="15.75" hidden="1" customHeight="1">
      <c r="B1427" s="8">
        <v>1743.0</v>
      </c>
      <c r="C1427" s="9">
        <v>43427.0</v>
      </c>
      <c r="D1427" s="6" t="s">
        <v>1858</v>
      </c>
      <c r="E1427" s="4">
        <v>6.111001487E9</v>
      </c>
      <c r="F1427" s="8" t="s">
        <v>604</v>
      </c>
      <c r="G1427" s="4" t="s">
        <v>1777</v>
      </c>
      <c r="H1427" s="10" t="s">
        <v>1859</v>
      </c>
      <c r="I1427" s="10">
        <v>3000.0</v>
      </c>
      <c r="J1427" s="11" t="str">
        <f>IF(D1427&lt;&gt;"",VLOOKUP(H1427,TABLEITEM,5,FALSE),"")</f>
        <v>EA</v>
      </c>
      <c r="K1427" s="12">
        <v>0.9035</v>
      </c>
      <c r="L1427" s="13" t="str">
        <f>IF(D1427&lt;&gt;"",VLOOKUP(H1427,TABLEITEM,2,FALSE),"")</f>
        <v/>
      </c>
      <c r="M1427" s="13" t="str">
        <f>IF(D1427&lt;&gt;"",VLOOKUP(H1427,TABLEITEM,3,FALSE),"")</f>
        <v>สกรูหัวเหลี่ยมชุบขาว M8x25</v>
      </c>
      <c r="N1427" s="14">
        <f>INSTOCK!$I1427*INSTOCK!$K1427</f>
        <v>2710.5</v>
      </c>
      <c r="O1427" s="4" t="s">
        <v>1860</v>
      </c>
      <c r="P1427" s="4"/>
    </row>
    <row r="1428" ht="15.75" hidden="1" customHeight="1">
      <c r="B1428" s="8">
        <v>1744.0</v>
      </c>
      <c r="C1428" s="9">
        <v>43427.0</v>
      </c>
      <c r="D1428" s="6" t="s">
        <v>1861</v>
      </c>
      <c r="E1428" s="4">
        <v>6.111001484E9</v>
      </c>
      <c r="F1428" s="8" t="s">
        <v>604</v>
      </c>
      <c r="G1428" s="4" t="s">
        <v>617</v>
      </c>
      <c r="H1428" s="10" t="s">
        <v>560</v>
      </c>
      <c r="I1428" s="10">
        <v>20.0</v>
      </c>
      <c r="J1428" s="11" t="str">
        <f>IF(D1428&lt;&gt;"",VLOOKUP(H1428,TABLEITEM,5,FALSE),"")</f>
        <v>M</v>
      </c>
      <c r="K1428" s="12">
        <v>635.16</v>
      </c>
      <c r="L1428" s="13" t="str">
        <f>IF(D1428&lt;&gt;"",VLOOKUP(H1428,TABLEITEM,2,FALSE),"")</f>
        <v>Busbar</v>
      </c>
      <c r="M1428" s="13" t="str">
        <f>IF(D1428&lt;&gt;"",VLOOKUP(H1428,TABLEITEM,3,FALSE),"")</f>
        <v>บัสบาร์ทองแดง 30x10</v>
      </c>
      <c r="N1428" s="14">
        <f>INSTOCK!$I1428*INSTOCK!$K1428</f>
        <v>12703.2</v>
      </c>
      <c r="O1428" s="4" t="s">
        <v>1862</v>
      </c>
      <c r="P1428" s="4"/>
    </row>
    <row r="1429" ht="15.75" hidden="1" customHeight="1">
      <c r="B1429" s="8">
        <v>1745.0</v>
      </c>
      <c r="C1429" s="9">
        <v>43426.0</v>
      </c>
      <c r="D1429" s="6" t="s">
        <v>1863</v>
      </c>
      <c r="E1429" s="4">
        <v>6.10900122E9</v>
      </c>
      <c r="F1429" s="8"/>
      <c r="G1429" s="4" t="s">
        <v>1864</v>
      </c>
      <c r="H1429" s="10" t="s">
        <v>1865</v>
      </c>
      <c r="I1429" s="10">
        <v>1.0</v>
      </c>
      <c r="J1429" s="11" t="str">
        <f>IF(D1429&lt;&gt;"",VLOOKUP(H1429,TABLEITEM,5,FALSE),"")</f>
        <v>DRUM</v>
      </c>
      <c r="K1429" s="12">
        <v>7500.0</v>
      </c>
      <c r="L1429" s="13" t="str">
        <f>IF(D1429&lt;&gt;"",VLOOKUP(H1429,TABLEITEM,2,FALSE),"")</f>
        <v/>
      </c>
      <c r="M1429" s="13" t="str">
        <f>IF(D1429&lt;&gt;"",VLOOKUP(H1429,TABLEITEM,3,FALSE),"")</f>
        <v>PU FOAM GLUE A IP67-3 (25KG=8DRUM)</v>
      </c>
      <c r="N1429" s="14">
        <f>INSTOCK!$I1429*INSTOCK!$K1429</f>
        <v>7500</v>
      </c>
      <c r="O1429" s="4"/>
      <c r="P1429" s="4"/>
    </row>
    <row r="1430" ht="15.75" hidden="1" customHeight="1">
      <c r="B1430" s="8">
        <v>1746.0</v>
      </c>
      <c r="C1430" s="9">
        <v>43426.0</v>
      </c>
      <c r="D1430" s="6" t="s">
        <v>1863</v>
      </c>
      <c r="E1430" s="4">
        <v>6.10900122E9</v>
      </c>
      <c r="F1430" s="8"/>
      <c r="G1430" s="4" t="s">
        <v>1864</v>
      </c>
      <c r="H1430" s="10" t="s">
        <v>1866</v>
      </c>
      <c r="I1430" s="10">
        <v>1.0</v>
      </c>
      <c r="J1430" s="11" t="str">
        <f>IF(D1430&lt;&gt;"",VLOOKUP(H1430,TABLEITEM,5,FALSE),"")</f>
        <v>DRUM</v>
      </c>
      <c r="K1430" s="12">
        <v>18000.0</v>
      </c>
      <c r="L1430" s="13" t="str">
        <f>IF(D1430&lt;&gt;"",VLOOKUP(H1430,TABLEITEM,2,FALSE),"")</f>
        <v/>
      </c>
      <c r="M1430" s="13" t="str">
        <f>IF(D1430&lt;&gt;"",VLOOKUP(H1430,TABLEITEM,3,FALSE),"")</f>
        <v>PU FOAM GLUE B IP67-3 (25KG=2DRUM)</v>
      </c>
      <c r="N1430" s="14">
        <f>INSTOCK!$I1430*INSTOCK!$K1430</f>
        <v>18000</v>
      </c>
      <c r="O1430" s="4"/>
      <c r="P1430" s="4"/>
    </row>
    <row r="1431" ht="15.75" hidden="1" customHeight="1">
      <c r="B1431" s="8">
        <v>1747.0</v>
      </c>
      <c r="C1431" s="9">
        <v>43426.0</v>
      </c>
      <c r="D1431" s="6" t="s">
        <v>1863</v>
      </c>
      <c r="E1431" s="4">
        <v>6.10900122E9</v>
      </c>
      <c r="F1431" s="8"/>
      <c r="G1431" s="4" t="s">
        <v>1864</v>
      </c>
      <c r="H1431" s="10" t="s">
        <v>1867</v>
      </c>
      <c r="I1431" s="10">
        <v>1.0</v>
      </c>
      <c r="J1431" s="11" t="str">
        <f>IF(D1431&lt;&gt;"",VLOOKUP(H1431,TABLEITEM,5,FALSE),"")</f>
        <v>LOT</v>
      </c>
      <c r="K1431" s="12">
        <v>3400.0</v>
      </c>
      <c r="L1431" s="13" t="str">
        <f>IF(D1431&lt;&gt;"",VLOOKUP(H1431,TABLEITEM,2,FALSE),"")</f>
        <v/>
      </c>
      <c r="M1431" s="13" t="str">
        <f>IF(D1431&lt;&gt;"",VLOOKUP(H1431,TABLEITEM,3,FALSE),"")</f>
        <v>WOOD PACKING</v>
      </c>
      <c r="N1431" s="14">
        <f>INSTOCK!$I1431*INSTOCK!$K1431</f>
        <v>3400</v>
      </c>
      <c r="O1431" s="4"/>
      <c r="P1431" s="4"/>
    </row>
    <row r="1432" ht="15.75" hidden="1" customHeight="1">
      <c r="B1432" s="8">
        <v>1748.0</v>
      </c>
      <c r="C1432" s="9">
        <v>43426.0</v>
      </c>
      <c r="D1432" s="6" t="s">
        <v>1863</v>
      </c>
      <c r="E1432" s="4">
        <v>6.10900122E9</v>
      </c>
      <c r="F1432" s="8"/>
      <c r="G1432" s="4" t="s">
        <v>1864</v>
      </c>
      <c r="H1432" s="10" t="s">
        <v>1868</v>
      </c>
      <c r="I1432" s="10">
        <v>1.0</v>
      </c>
      <c r="J1432" s="11" t="str">
        <f>IF(D1432&lt;&gt;"",VLOOKUP(H1432,TABLEITEM,5,FALSE),"")</f>
        <v>LOT</v>
      </c>
      <c r="K1432" s="12">
        <v>25000.0</v>
      </c>
      <c r="L1432" s="13" t="str">
        <f>IF(D1432&lt;&gt;"",VLOOKUP(H1432,TABLEITEM,2,FALSE),"")</f>
        <v/>
      </c>
      <c r="M1432" s="13" t="str">
        <f>IF(D1432&lt;&gt;"",VLOOKUP(H1432,TABLEITEM,3,FALSE),"")</f>
        <v>SHIPPING CHARGHE FROM KLANG PORT TO BKK</v>
      </c>
      <c r="N1432" s="14">
        <f>INSTOCK!$I1432*INSTOCK!$K1432</f>
        <v>25000</v>
      </c>
      <c r="O1432" s="4"/>
      <c r="P1432" s="4"/>
    </row>
    <row r="1433" ht="15.75" hidden="1" customHeight="1">
      <c r="B1433" s="8">
        <v>1749.0</v>
      </c>
      <c r="C1433" s="9">
        <v>43426.0</v>
      </c>
      <c r="D1433" s="6" t="s">
        <v>1869</v>
      </c>
      <c r="E1433" s="4">
        <v>6.111001488E9</v>
      </c>
      <c r="F1433" s="8" t="s">
        <v>604</v>
      </c>
      <c r="G1433" s="4" t="s">
        <v>1870</v>
      </c>
      <c r="H1433" s="10" t="s">
        <v>1871</v>
      </c>
      <c r="I1433" s="10">
        <v>2000.0</v>
      </c>
      <c r="J1433" s="11" t="str">
        <f>IF(D1433&lt;&gt;"",VLOOKUP(H1433,TABLEITEM,5,FALSE),"")</f>
        <v>EA</v>
      </c>
      <c r="K1433" s="12">
        <v>0.312</v>
      </c>
      <c r="L1433" s="13" t="str">
        <f>IF(D1433&lt;&gt;"",VLOOKUP(H1433,TABLEITEM,2,FALSE),"")</f>
        <v/>
      </c>
      <c r="M1433" s="13" t="str">
        <f>IF(D1433&lt;&gt;"",VLOOKUP(H1433,TABLEITEM,3,FALSE),"")</f>
        <v>สกรูสแตนเลสหัวร่ม M4x6</v>
      </c>
      <c r="N1433" s="14">
        <f>INSTOCK!$I1433*INSTOCK!$K1433</f>
        <v>624</v>
      </c>
      <c r="O1433" s="4" t="s">
        <v>1872</v>
      </c>
      <c r="P1433" s="4"/>
    </row>
    <row r="1434" ht="15.75" hidden="1" customHeight="1">
      <c r="B1434" s="8">
        <v>1750.0</v>
      </c>
      <c r="C1434" s="9">
        <v>43426.0</v>
      </c>
      <c r="D1434" s="6" t="s">
        <v>1873</v>
      </c>
      <c r="E1434" s="4">
        <v>6.111001485E9</v>
      </c>
      <c r="F1434" s="8" t="s">
        <v>604</v>
      </c>
      <c r="G1434" s="4" t="s">
        <v>702</v>
      </c>
      <c r="H1434" s="10" t="s">
        <v>83</v>
      </c>
      <c r="I1434" s="10">
        <v>100.0</v>
      </c>
      <c r="J1434" s="11" t="str">
        <f>IF(D1434&lt;&gt;"",VLOOKUP(H1434,TABLEITEM,5,FALSE),"")</f>
        <v>KG.</v>
      </c>
      <c r="K1434" s="12">
        <v>125.0</v>
      </c>
      <c r="L1434" s="13" t="str">
        <f>IF(D1434&lt;&gt;"",VLOOKUP(H1434,TABLEITEM,2,FALSE),"")</f>
        <v/>
      </c>
      <c r="M1434" s="13" t="str">
        <f>IF(D1434&lt;&gt;"",VLOOKUP(H1434,TABLEITEM,3,FALSE),"")</f>
        <v>สีฝุ่น FF 110/90/C สีขาวเรียบ</v>
      </c>
      <c r="N1434" s="14">
        <f>INSTOCK!$I1434*INSTOCK!$K1434</f>
        <v>12500</v>
      </c>
      <c r="O1434" s="4"/>
      <c r="P1434" s="4"/>
    </row>
    <row r="1435" ht="15.75" hidden="1" customHeight="1">
      <c r="B1435" s="8">
        <v>1751.0</v>
      </c>
      <c r="C1435" s="9">
        <v>43426.0</v>
      </c>
      <c r="D1435" s="6" t="s">
        <v>1874</v>
      </c>
      <c r="E1435" s="4">
        <v>6.111001486E9</v>
      </c>
      <c r="F1435" s="8" t="s">
        <v>604</v>
      </c>
      <c r="G1435" s="4" t="s">
        <v>808</v>
      </c>
      <c r="H1435" s="10" t="s">
        <v>816</v>
      </c>
      <c r="I1435" s="10">
        <v>5.0</v>
      </c>
      <c r="J1435" s="11" t="str">
        <f>IF(D1435&lt;&gt;"",VLOOKUP(H1435,TABLEITEM,5,FALSE),"")</f>
        <v>ท่อ</v>
      </c>
      <c r="K1435" s="12">
        <v>600.0</v>
      </c>
      <c r="L1435" s="13" t="str">
        <f>IF(D1435&lt;&gt;"",VLOOKUP(H1435,TABLEITEM,2,FALSE),"")</f>
        <v/>
      </c>
      <c r="M1435" s="13" t="str">
        <f>IF(D1435&lt;&gt;"",VLOOKUP(H1435,TABLEITEM,3,FALSE),"")</f>
        <v>อาร์กอน ขนาด 6คิว</v>
      </c>
      <c r="N1435" s="14">
        <f>INSTOCK!$I1435*INSTOCK!$K1435</f>
        <v>3000</v>
      </c>
      <c r="O1435" s="4"/>
      <c r="P1435" s="4"/>
    </row>
    <row r="1436" ht="15.75" hidden="1" customHeight="1">
      <c r="B1436" s="8">
        <v>1752.0</v>
      </c>
      <c r="C1436" s="9">
        <v>43426.0</v>
      </c>
      <c r="D1436" s="6" t="s">
        <v>1874</v>
      </c>
      <c r="E1436" s="4">
        <v>6.111001486E9</v>
      </c>
      <c r="F1436" s="8" t="s">
        <v>604</v>
      </c>
      <c r="G1436" s="4" t="s">
        <v>808</v>
      </c>
      <c r="H1436" s="10" t="s">
        <v>818</v>
      </c>
      <c r="I1436" s="10">
        <v>12.0</v>
      </c>
      <c r="J1436" s="11" t="str">
        <f>IF(D1436&lt;&gt;"",VLOOKUP(H1436,TABLEITEM,5,FALSE),"")</f>
        <v>ท่อ</v>
      </c>
      <c r="K1436" s="12">
        <v>300.0</v>
      </c>
      <c r="L1436" s="13" t="str">
        <f>IF(D1436&lt;&gt;"",VLOOKUP(H1436,TABLEITEM,2,FALSE),"")</f>
        <v/>
      </c>
      <c r="M1436" s="13" t="str">
        <f>IF(D1436&lt;&gt;"",VLOOKUP(H1436,TABLEITEM,3,FALSE),"")</f>
        <v>คาร์บอนไดออกไซด์ ขนาด 25 กก</v>
      </c>
      <c r="N1436" s="14">
        <f>INSTOCK!$I1436*INSTOCK!$K1436</f>
        <v>3600</v>
      </c>
      <c r="O1436" s="4"/>
      <c r="P1436" s="4"/>
    </row>
    <row r="1437" ht="15.75" hidden="1" customHeight="1">
      <c r="B1437" s="8">
        <v>1753.0</v>
      </c>
      <c r="C1437" s="9">
        <v>43426.0</v>
      </c>
      <c r="D1437" s="6">
        <v>96001.0</v>
      </c>
      <c r="E1437" s="4">
        <v>6.110001331E9</v>
      </c>
      <c r="F1437" s="8" t="s">
        <v>604</v>
      </c>
      <c r="G1437" s="4" t="s">
        <v>1875</v>
      </c>
      <c r="H1437" s="10" t="s">
        <v>1876</v>
      </c>
      <c r="I1437" s="10">
        <v>10.0</v>
      </c>
      <c r="J1437" s="11" t="str">
        <f>IF(D1437&lt;&gt;"",VLOOKUP(H1437,TABLEITEM,5,FALSE),"")</f>
        <v>EA</v>
      </c>
      <c r="K1437" s="12">
        <v>1640.0</v>
      </c>
      <c r="L1437" s="13" t="str">
        <f>IF(D1437&lt;&gt;"",VLOOKUP(H1437,TABLEITEM,2,FALSE),"")</f>
        <v/>
      </c>
      <c r="M1437" s="13" t="str">
        <f>IF(D1437&lt;&gt;"",VLOOKUP(H1437,TABLEITEM,3,FALSE),"")</f>
        <v>ใบเลื่อยสายพาน AMADA SGLB 27x0.9x3660x6/10</v>
      </c>
      <c r="N1437" s="14">
        <f>INSTOCK!$I1437*INSTOCK!$K1437</f>
        <v>16400</v>
      </c>
      <c r="O1437" s="4"/>
      <c r="P1437" s="4"/>
    </row>
    <row r="1438" ht="15.75" hidden="1" customHeight="1">
      <c r="B1438" s="8">
        <v>1754.0</v>
      </c>
      <c r="C1438" s="9">
        <v>43426.0</v>
      </c>
      <c r="D1438" s="6" t="s">
        <v>1877</v>
      </c>
      <c r="E1438" s="4">
        <v>6.108001033E9</v>
      </c>
      <c r="F1438" s="8" t="s">
        <v>1366</v>
      </c>
      <c r="G1438" s="4" t="s">
        <v>1501</v>
      </c>
      <c r="H1438" s="10" t="s">
        <v>1878</v>
      </c>
      <c r="I1438" s="10">
        <v>3.0</v>
      </c>
      <c r="J1438" s="11" t="str">
        <f>IF(D1438&lt;&gt;"",VLOOKUP(H1438,TABLEITEM,5,FALSE),"")</f>
        <v>EA</v>
      </c>
      <c r="K1438" s="12">
        <v>22809.5</v>
      </c>
      <c r="L1438" s="13" t="str">
        <f>IF(D1438&lt;&gt;"",VLOOKUP(H1438,TABLEITEM,2,FALSE),"")</f>
        <v/>
      </c>
      <c r="M1438" s="13" t="str">
        <f>IF(D1438&lt;&gt;"",VLOOKUP(H1438,TABLEITEM,3,FALSE),"")</f>
        <v>SURGE PROTECTIVE OVR T1+2 3L 25</v>
      </c>
      <c r="N1438" s="14">
        <f>INSTOCK!$I1438*INSTOCK!$K1438</f>
        <v>68428.5</v>
      </c>
      <c r="O1438" s="4" t="s">
        <v>1879</v>
      </c>
      <c r="P1438" s="4"/>
    </row>
    <row r="1439" ht="15.75" hidden="1" customHeight="1">
      <c r="B1439" s="8">
        <v>1755.0</v>
      </c>
      <c r="C1439" s="9">
        <v>43426.0</v>
      </c>
      <c r="D1439" s="6" t="s">
        <v>1670</v>
      </c>
      <c r="E1439" s="4">
        <v>6.111001482E9</v>
      </c>
      <c r="F1439" s="8" t="s">
        <v>604</v>
      </c>
      <c r="G1439" s="4" t="s">
        <v>725</v>
      </c>
      <c r="H1439" s="10" t="s">
        <v>26</v>
      </c>
      <c r="I1439" s="10">
        <v>1500.0</v>
      </c>
      <c r="J1439" s="11" t="str">
        <f>IF(D1439&lt;&gt;"",VLOOKUP(H1439,TABLEITEM,5,FALSE),"")</f>
        <v>M</v>
      </c>
      <c r="K1439" s="12">
        <v>18.0</v>
      </c>
      <c r="L1439" s="13" t="str">
        <f>IF(D1439&lt;&gt;"",VLOOKUP(H1439,TABLEITEM,2,FALSE),"")</f>
        <v/>
      </c>
      <c r="M1439" s="13" t="str">
        <f>IF(D1439&lt;&gt;"",VLOOKUP(H1439,TABLEITEM,3,FALSE),"")</f>
        <v>ยางโปร่ง#110</v>
      </c>
      <c r="N1439" s="14">
        <f>INSTOCK!$I1439*INSTOCK!$K1439</f>
        <v>27000</v>
      </c>
      <c r="O1439" s="4"/>
      <c r="P1439" s="4"/>
    </row>
    <row r="1440" ht="15.75" hidden="1" customHeight="1">
      <c r="B1440" s="8">
        <v>1756.0</v>
      </c>
      <c r="C1440" s="9">
        <v>43426.0</v>
      </c>
      <c r="D1440" s="6" t="s">
        <v>1880</v>
      </c>
      <c r="E1440" s="4">
        <v>6.111001463E9</v>
      </c>
      <c r="F1440" s="8" t="s">
        <v>604</v>
      </c>
      <c r="G1440" s="4" t="s">
        <v>965</v>
      </c>
      <c r="H1440" s="10" t="s">
        <v>45</v>
      </c>
      <c r="I1440" s="10">
        <v>1.0</v>
      </c>
      <c r="J1440" s="11" t="str">
        <f>IF(D1440&lt;&gt;"",VLOOKUP(H1440,TABLEITEM,5,FALSE),"")</f>
        <v>กล</v>
      </c>
      <c r="K1440" s="12">
        <v>280.0</v>
      </c>
      <c r="L1440" s="13" t="str">
        <f>IF(D1440&lt;&gt;"",VLOOKUP(H1440,TABLEITEM,2,FALSE),"")</f>
        <v/>
      </c>
      <c r="M1440" s="13" t="str">
        <f>IF(D1440&lt;&gt;"",VLOOKUP(H1440,TABLEITEM,3,FALSE),"")</f>
        <v>สีโป้ว</v>
      </c>
      <c r="N1440" s="14">
        <f>INSTOCK!$I1440*INSTOCK!$K1440</f>
        <v>280</v>
      </c>
      <c r="O1440" s="4"/>
      <c r="P1440" s="4"/>
    </row>
    <row r="1441" ht="15.75" customHeight="1">
      <c r="B1441" s="8">
        <v>1757.0</v>
      </c>
      <c r="C1441" s="9">
        <v>43426.0</v>
      </c>
      <c r="D1441" s="6" t="s">
        <v>1880</v>
      </c>
      <c r="E1441" s="4">
        <v>6.111001463E9</v>
      </c>
      <c r="F1441" s="8" t="s">
        <v>604</v>
      </c>
      <c r="G1441" s="4" t="s">
        <v>965</v>
      </c>
      <c r="H1441" s="10" t="s">
        <v>1881</v>
      </c>
      <c r="I1441" s="10">
        <v>1.0</v>
      </c>
      <c r="J1441" s="11" t="str">
        <f>IF(D1441&lt;&gt;"",VLOOKUP(H1441,TABLEITEM,5,FALSE),"")</f>
        <v>EA</v>
      </c>
      <c r="K1441" s="12">
        <v>8.0</v>
      </c>
      <c r="L1441" s="13" t="str">
        <f>IF(D1441&lt;&gt;"",VLOOKUP(H1441,TABLEITEM,2,FALSE),"")</f>
        <v/>
      </c>
      <c r="M1441" s="13" t="str">
        <f>IF(D1441&lt;&gt;"",VLOOKUP(H1441,TABLEITEM,3,FALSE),"")</f>
        <v>บ๊อกลอย PVC 2x4</v>
      </c>
      <c r="N1441" s="14">
        <f>INSTOCK!$I1441*INSTOCK!$K1441</f>
        <v>8</v>
      </c>
      <c r="O1441" s="4"/>
      <c r="P1441" s="4"/>
    </row>
    <row r="1442" ht="15.75" hidden="1" customHeight="1">
      <c r="B1442" s="8">
        <v>1758.0</v>
      </c>
      <c r="C1442" s="9">
        <v>43426.0</v>
      </c>
      <c r="D1442" s="6" t="s">
        <v>1882</v>
      </c>
      <c r="E1442" s="4">
        <v>6.111001483E9</v>
      </c>
      <c r="F1442" s="8" t="s">
        <v>604</v>
      </c>
      <c r="G1442" s="4" t="s">
        <v>965</v>
      </c>
      <c r="H1442" s="10" t="s">
        <v>46</v>
      </c>
      <c r="I1442" s="10">
        <v>1.0</v>
      </c>
      <c r="J1442" s="11" t="str">
        <f>IF(D1442&lt;&gt;"",VLOOKUP(H1442,TABLEITEM,5,FALSE),"")</f>
        <v>ROLL</v>
      </c>
      <c r="K1442" s="12">
        <v>90.0</v>
      </c>
      <c r="L1442" s="13" t="str">
        <f>IF(D1442&lt;&gt;"",VLOOKUP(H1442,TABLEITEM,2,FALSE),"")</f>
        <v/>
      </c>
      <c r="M1442" s="13" t="str">
        <f>IF(D1442&lt;&gt;"",VLOOKUP(H1442,TABLEITEM,3,FALSE),"")</f>
        <v>ลวดดำ</v>
      </c>
      <c r="N1442" s="14">
        <f>INSTOCK!$I1442*INSTOCK!$K1442</f>
        <v>90</v>
      </c>
      <c r="O1442" s="4"/>
      <c r="P1442" s="4"/>
    </row>
    <row r="1443" ht="15.75" hidden="1" customHeight="1">
      <c r="B1443" s="8">
        <v>1759.0</v>
      </c>
      <c r="C1443" s="9">
        <v>43426.0</v>
      </c>
      <c r="D1443" s="6" t="s">
        <v>1883</v>
      </c>
      <c r="E1443" s="4">
        <v>6.111001429E9</v>
      </c>
      <c r="F1443" s="8" t="s">
        <v>604</v>
      </c>
      <c r="G1443" s="4" t="s">
        <v>1777</v>
      </c>
      <c r="H1443" s="10" t="s">
        <v>1884</v>
      </c>
      <c r="I1443" s="10">
        <v>3000.0</v>
      </c>
      <c r="J1443" s="11" t="str">
        <f>IF(D1443&lt;&gt;"",VLOOKUP(H1443,TABLEITEM,5,FALSE),"")</f>
        <v>EA</v>
      </c>
      <c r="K1443" s="12">
        <v>1.8</v>
      </c>
      <c r="L1443" s="13" t="str">
        <f>IF(D1443&lt;&gt;"",VLOOKUP(H1443,TABLEITEM,2,FALSE),"")</f>
        <v/>
      </c>
      <c r="M1443" s="13" t="str">
        <f>IF(D1443&lt;&gt;"",VLOOKUP(H1443,TABLEITEM,3,FALSE),"")</f>
        <v>สกรูหัวติดแหวน M 6x35 ชุบขาว</v>
      </c>
      <c r="N1443" s="14">
        <f>INSTOCK!$I1443*INSTOCK!$K1443</f>
        <v>5400</v>
      </c>
      <c r="O1443" s="4" t="s">
        <v>1885</v>
      </c>
      <c r="P1443" s="4"/>
    </row>
    <row r="1444" ht="15.75" hidden="1" customHeight="1">
      <c r="B1444" s="8">
        <v>1760.0</v>
      </c>
      <c r="C1444" s="9">
        <v>43426.0</v>
      </c>
      <c r="D1444" s="6" t="s">
        <v>1886</v>
      </c>
      <c r="E1444" s="4">
        <v>6.111001399E9</v>
      </c>
      <c r="F1444" s="8" t="s">
        <v>604</v>
      </c>
      <c r="G1444" s="4" t="s">
        <v>1777</v>
      </c>
      <c r="H1444" s="10" t="s">
        <v>1887</v>
      </c>
      <c r="I1444" s="10">
        <v>2000.0</v>
      </c>
      <c r="J1444" s="11" t="str">
        <f>IF(D1444&lt;&gt;"",VLOOKUP(H1444,TABLEITEM,5,FALSE),"")</f>
        <v>EA</v>
      </c>
      <c r="K1444" s="12">
        <v>0.375</v>
      </c>
      <c r="L1444" s="13" t="str">
        <f>IF(D1444&lt;&gt;"",VLOOKUP(H1444,TABLEITEM,2,FALSE),"")</f>
        <v/>
      </c>
      <c r="M1444" s="13" t="str">
        <f>IF(D1444&lt;&gt;"",VLOOKUP(H1444,TABLEITEM,3,FALSE),"")</f>
        <v>แหวนอีแปะ M12  ชุบขาว</v>
      </c>
      <c r="N1444" s="14">
        <f>INSTOCK!$I1444*INSTOCK!$K1444</f>
        <v>750</v>
      </c>
      <c r="O1444" s="4" t="s">
        <v>1888</v>
      </c>
      <c r="P1444" s="4"/>
    </row>
    <row r="1445" ht="15.75" hidden="1" customHeight="1">
      <c r="B1445" s="8">
        <v>1761.0</v>
      </c>
      <c r="C1445" s="9">
        <v>43426.0</v>
      </c>
      <c r="D1445" s="6" t="s">
        <v>1886</v>
      </c>
      <c r="E1445" s="4">
        <v>6.111001399E9</v>
      </c>
      <c r="F1445" s="8" t="s">
        <v>604</v>
      </c>
      <c r="G1445" s="4" t="s">
        <v>1777</v>
      </c>
      <c r="H1445" s="10" t="s">
        <v>1889</v>
      </c>
      <c r="I1445" s="10">
        <v>500.0</v>
      </c>
      <c r="J1445" s="11" t="str">
        <f>IF(D1445&lt;&gt;"",VLOOKUP(H1445,TABLEITEM,5,FALSE),"")</f>
        <v>EA</v>
      </c>
      <c r="K1445" s="12">
        <v>0.13</v>
      </c>
      <c r="L1445" s="13" t="str">
        <f>IF(D1445&lt;&gt;"",VLOOKUP(H1445,TABLEITEM,2,FALSE),"")</f>
        <v/>
      </c>
      <c r="M1445" s="13" t="str">
        <f>IF(D1445&lt;&gt;"",VLOOKUP(H1445,TABLEITEM,3,FALSE),"")</f>
        <v>แหวนสปริง M12   ชุบขาว</v>
      </c>
      <c r="N1445" s="14">
        <f>INSTOCK!$I1445*INSTOCK!$K1445</f>
        <v>65</v>
      </c>
      <c r="O1445" s="4"/>
      <c r="P1445" s="4"/>
    </row>
    <row r="1446" ht="15.75" hidden="1" customHeight="1">
      <c r="B1446" s="8">
        <v>1762.0</v>
      </c>
      <c r="C1446" s="9">
        <v>43426.0</v>
      </c>
      <c r="D1446" s="6" t="s">
        <v>1886</v>
      </c>
      <c r="E1446" s="4">
        <v>6.111001399E9</v>
      </c>
      <c r="F1446" s="8" t="s">
        <v>604</v>
      </c>
      <c r="G1446" s="4" t="s">
        <v>1777</v>
      </c>
      <c r="H1446" s="10" t="s">
        <v>1890</v>
      </c>
      <c r="I1446" s="10">
        <v>1000.0</v>
      </c>
      <c r="J1446" s="11" t="str">
        <f>IF(D1446&lt;&gt;"",VLOOKUP(H1446,TABLEITEM,5,FALSE),"")</f>
        <v>EA</v>
      </c>
      <c r="K1446" s="12">
        <v>0.25</v>
      </c>
      <c r="L1446" s="13" t="str">
        <f>IF(D1446&lt;&gt;"",VLOOKUP(H1446,TABLEITEM,2,FALSE),"")</f>
        <v/>
      </c>
      <c r="M1446" s="13" t="str">
        <f>IF(D1446&lt;&gt;"",VLOOKUP(H1446,TABLEITEM,3,FALSE),"")</f>
        <v>สกรูหัวกลมชุบขาว M5x10</v>
      </c>
      <c r="N1446" s="14">
        <f>INSTOCK!$I1446*INSTOCK!$K1446</f>
        <v>250</v>
      </c>
      <c r="O1446" s="4" t="s">
        <v>1891</v>
      </c>
      <c r="P1446" s="4"/>
    </row>
    <row r="1447" ht="15.75" hidden="1" customHeight="1">
      <c r="B1447" s="8">
        <v>1763.0</v>
      </c>
      <c r="C1447" s="9">
        <v>43425.0</v>
      </c>
      <c r="D1447" s="6" t="s">
        <v>1892</v>
      </c>
      <c r="E1447" s="4">
        <v>6.111001476E9</v>
      </c>
      <c r="F1447" s="8" t="s">
        <v>807</v>
      </c>
      <c r="G1447" s="4" t="s">
        <v>808</v>
      </c>
      <c r="H1447" s="10" t="s">
        <v>809</v>
      </c>
      <c r="I1447" s="10">
        <v>1.0</v>
      </c>
      <c r="J1447" s="11" t="str">
        <f>IF(D1447&lt;&gt;"",VLOOKUP(H1447,TABLEITEM,5,FALSE),"")</f>
        <v>ท่อ</v>
      </c>
      <c r="K1447" s="12">
        <v>2700.0</v>
      </c>
      <c r="L1447" s="13" t="str">
        <f>IF(D1447&lt;&gt;"",VLOOKUP(H1447,TABLEITEM,2,FALSE),"")</f>
        <v/>
      </c>
      <c r="M1447" s="13" t="str">
        <f>IF(D1447&lt;&gt;"",VLOOKUP(H1447,TABLEITEM,3,FALSE),"")</f>
        <v>ไนโตรเจนเหลว ขนาด 100คิว</v>
      </c>
      <c r="N1447" s="14">
        <f>INSTOCK!$I1447*INSTOCK!$K1447</f>
        <v>2700</v>
      </c>
      <c r="O1447" s="4"/>
      <c r="P1447" s="4"/>
    </row>
    <row r="1448" ht="15.75" hidden="1" customHeight="1">
      <c r="B1448" s="8">
        <v>1764.0</v>
      </c>
      <c r="C1448" s="9">
        <v>43425.0</v>
      </c>
      <c r="D1448" s="6" t="s">
        <v>1892</v>
      </c>
      <c r="E1448" s="4">
        <v>6.111001476E9</v>
      </c>
      <c r="F1448" s="8" t="s">
        <v>807</v>
      </c>
      <c r="G1448" s="4" t="s">
        <v>808</v>
      </c>
      <c r="H1448" s="10" t="s">
        <v>831</v>
      </c>
      <c r="I1448" s="10">
        <v>1.0</v>
      </c>
      <c r="J1448" s="11" t="str">
        <f>IF(D1448&lt;&gt;"",VLOOKUP(H1448,TABLEITEM,5,FALSE),"")</f>
        <v>ท่อ</v>
      </c>
      <c r="K1448" s="12">
        <v>7700.0</v>
      </c>
      <c r="L1448" s="13" t="str">
        <f>IF(D1448&lt;&gt;"",VLOOKUP(H1448,TABLEITEM,2,FALSE),"")</f>
        <v/>
      </c>
      <c r="M1448" s="13" t="str">
        <f>IF(D1448&lt;&gt;"",VLOOKUP(H1448,TABLEITEM,3,FALSE),"")</f>
        <v>5% CO2.34% N2,61% HELIUM 7</v>
      </c>
      <c r="N1448" s="14">
        <f>INSTOCK!$I1448*INSTOCK!$K1448</f>
        <v>7700</v>
      </c>
      <c r="O1448" s="4"/>
      <c r="P1448" s="4"/>
    </row>
    <row r="1449" ht="15.75" hidden="1" customHeight="1">
      <c r="B1449" s="8">
        <v>1765.0</v>
      </c>
      <c r="C1449" s="9">
        <v>43425.0</v>
      </c>
      <c r="D1449" s="6" t="s">
        <v>1893</v>
      </c>
      <c r="E1449" s="4">
        <v>6.11100148E9</v>
      </c>
      <c r="F1449" s="8" t="s">
        <v>1815</v>
      </c>
      <c r="G1449" s="4" t="s">
        <v>1501</v>
      </c>
      <c r="H1449" s="10" t="s">
        <v>1894</v>
      </c>
      <c r="I1449" s="10">
        <v>50.0</v>
      </c>
      <c r="J1449" s="11" t="str">
        <f>IF(D1449&lt;&gt;"",VLOOKUP(H1449,TABLEITEM,5,FALSE),"")</f>
        <v>EA</v>
      </c>
      <c r="K1449" s="12">
        <v>70.0</v>
      </c>
      <c r="L1449" s="13" t="str">
        <f>IF(D1449&lt;&gt;"",VLOOKUP(H1449,TABLEITEM,2,FALSE),"")</f>
        <v/>
      </c>
      <c r="M1449" s="13" t="str">
        <f>IF(D1449&lt;&gt;"",VLOOKUP(H1449,TABLEITEM,3,FALSE),"")</f>
        <v>FUSE CONTROL 1P 10x38 4A</v>
      </c>
      <c r="N1449" s="14">
        <f>INSTOCK!$I1449*INSTOCK!$K1449</f>
        <v>3500</v>
      </c>
      <c r="O1449" s="4"/>
      <c r="P1449" s="4" t="s">
        <v>1504</v>
      </c>
    </row>
    <row r="1450" ht="15.75" hidden="1" customHeight="1">
      <c r="B1450" s="8">
        <v>1766.0</v>
      </c>
      <c r="C1450" s="9">
        <v>43425.0</v>
      </c>
      <c r="D1450" s="6" t="s">
        <v>1893</v>
      </c>
      <c r="E1450" s="4">
        <v>6.11100148E9</v>
      </c>
      <c r="F1450" s="8" t="s">
        <v>1815</v>
      </c>
      <c r="G1450" s="4" t="s">
        <v>1501</v>
      </c>
      <c r="H1450" s="10" t="s">
        <v>1895</v>
      </c>
      <c r="I1450" s="10">
        <v>50.0</v>
      </c>
      <c r="J1450" s="11" t="str">
        <f>IF(D1450&lt;&gt;"",VLOOKUP(H1450,TABLEITEM,5,FALSE),"")</f>
        <v>EA</v>
      </c>
      <c r="K1450" s="12">
        <v>70.0</v>
      </c>
      <c r="L1450" s="13" t="str">
        <f>IF(D1450&lt;&gt;"",VLOOKUP(H1450,TABLEITEM,2,FALSE),"")</f>
        <v/>
      </c>
      <c r="M1450" s="13" t="str">
        <f>IF(D1450&lt;&gt;"",VLOOKUP(H1450,TABLEITEM,3,FALSE),"")</f>
        <v>FUSE CONTROL 1P 10x38 6A</v>
      </c>
      <c r="N1450" s="14">
        <f>INSTOCK!$I1450*INSTOCK!$K1450</f>
        <v>3500</v>
      </c>
      <c r="O1450" s="4"/>
      <c r="P1450" s="4" t="s">
        <v>1504</v>
      </c>
    </row>
    <row r="1451" ht="15.75" hidden="1" customHeight="1">
      <c r="B1451" s="8">
        <v>1767.0</v>
      </c>
      <c r="C1451" s="9">
        <v>43425.0</v>
      </c>
      <c r="D1451" s="6" t="s">
        <v>1896</v>
      </c>
      <c r="E1451" s="4">
        <v>6.11100149E9</v>
      </c>
      <c r="F1451" s="8" t="s">
        <v>1647</v>
      </c>
      <c r="G1451" s="4" t="s">
        <v>1512</v>
      </c>
      <c r="H1451" s="10" t="s">
        <v>1822</v>
      </c>
      <c r="I1451" s="10">
        <v>1.0</v>
      </c>
      <c r="J1451" s="11" t="str">
        <f>IF(D1451&lt;&gt;"",VLOOKUP(H1451,TABLEITEM,5,FALSE),"")</f>
        <v>EA</v>
      </c>
      <c r="K1451" s="12">
        <v>4072.5</v>
      </c>
      <c r="L1451" s="13" t="str">
        <f>IF(D1451&lt;&gt;"",VLOOKUP(H1451,TABLEITEM,2,FALSE),"")</f>
        <v/>
      </c>
      <c r="M1451" s="13" t="str">
        <f>IF(D1451&lt;&gt;"",VLOOKUP(H1451,TABLEITEM,3,FALSE),"")</f>
        <v>PHASE MONTOR CM-MPS.43 300-500V</v>
      </c>
      <c r="N1451" s="14">
        <f>INSTOCK!$I1451*INSTOCK!$K1451</f>
        <v>4072.5</v>
      </c>
      <c r="O1451" s="4" t="s">
        <v>1823</v>
      </c>
      <c r="P1451" s="4"/>
    </row>
    <row r="1452" ht="15.75" hidden="1" customHeight="1">
      <c r="B1452" s="8">
        <v>1768.0</v>
      </c>
      <c r="C1452" s="9">
        <v>43425.0</v>
      </c>
      <c r="D1452" s="6">
        <v>6.11106627E8</v>
      </c>
      <c r="E1452" s="4">
        <v>6.111001477E9</v>
      </c>
      <c r="F1452" s="8"/>
      <c r="G1452" s="4" t="s">
        <v>1130</v>
      </c>
      <c r="H1452" s="10" t="s">
        <v>1897</v>
      </c>
      <c r="I1452" s="10">
        <v>6.0</v>
      </c>
      <c r="J1452" s="11" t="str">
        <f>IF(D1452&lt;&gt;"",VLOOKUP(H1452,TABLEITEM,5,FALSE),"")</f>
        <v>EA</v>
      </c>
      <c r="K1452" s="12">
        <v>121.125</v>
      </c>
      <c r="L1452" s="13" t="str">
        <f>IF(D1452&lt;&gt;"",VLOOKUP(H1452,TABLEITEM,2,FALSE),"")</f>
        <v/>
      </c>
      <c r="M1452" s="13" t="str">
        <f>IF(D1452&lt;&gt;"",VLOOKUP(H1452,TABLEITEM,3,FALSE),"")</f>
        <v>CT 200/5 MQS40</v>
      </c>
      <c r="N1452" s="14">
        <f>INSTOCK!$I1452*INSTOCK!$K1452</f>
        <v>726.75</v>
      </c>
      <c r="O1452" s="4" t="s">
        <v>1898</v>
      </c>
      <c r="P1452" s="4" t="s">
        <v>1601</v>
      </c>
    </row>
    <row r="1453" ht="15.75" hidden="1" customHeight="1">
      <c r="B1453" s="8">
        <v>1769.0</v>
      </c>
      <c r="C1453" s="9">
        <v>43425.0</v>
      </c>
      <c r="D1453" s="6" t="s">
        <v>1899</v>
      </c>
      <c r="E1453" s="4">
        <v>6.111001479E9</v>
      </c>
      <c r="F1453" s="8" t="s">
        <v>1815</v>
      </c>
      <c r="G1453" s="4" t="s">
        <v>1516</v>
      </c>
      <c r="H1453" s="10" t="s">
        <v>1900</v>
      </c>
      <c r="I1453" s="10">
        <v>6.0</v>
      </c>
      <c r="J1453" s="11" t="str">
        <f>IF(D1453&lt;&gt;"",VLOOKUP(H1453,TABLEITEM,5,FALSE),"")</f>
        <v>EA</v>
      </c>
      <c r="K1453" s="12">
        <v>945.0</v>
      </c>
      <c r="L1453" s="13" t="str">
        <f>IF(D1453&lt;&gt;"",VLOOKUP(H1453,TABLEITEM,2,FALSE),"")</f>
        <v/>
      </c>
      <c r="M1453" s="13" t="str">
        <f>IF(D1453&lt;&gt;"",VLOOKUP(H1453,TABLEITEM,3,FALSE),"")</f>
        <v>Power plug ตัวเมียฝังกันน้ำ 3P+N+E 63A</v>
      </c>
      <c r="N1453" s="14">
        <f>INSTOCK!$I1453*INSTOCK!$K1453</f>
        <v>5670</v>
      </c>
      <c r="O1453" s="4" t="s">
        <v>1901</v>
      </c>
      <c r="P1453" s="4" t="s">
        <v>1902</v>
      </c>
    </row>
    <row r="1454" ht="15.75" hidden="1" customHeight="1">
      <c r="B1454" s="8">
        <v>1770.0</v>
      </c>
      <c r="C1454" s="9">
        <v>43425.0</v>
      </c>
      <c r="D1454" s="6" t="s">
        <v>1903</v>
      </c>
      <c r="E1454" s="4">
        <v>6.111001475E9</v>
      </c>
      <c r="F1454" s="8" t="s">
        <v>1668</v>
      </c>
      <c r="G1454" s="4" t="s">
        <v>1904</v>
      </c>
      <c r="H1454" s="10" t="s">
        <v>1905</v>
      </c>
      <c r="I1454" s="10">
        <v>4.0</v>
      </c>
      <c r="J1454" s="11" t="str">
        <f>IF(D1454&lt;&gt;"",VLOOKUP(H1454,TABLEITEM,5,FALSE),"")</f>
        <v>EA</v>
      </c>
      <c r="K1454" s="12">
        <v>441.0</v>
      </c>
      <c r="L1454" s="13" t="str">
        <f>IF(D1454&lt;&gt;"",VLOOKUP(H1454,TABLEITEM,2,FALSE),"")</f>
        <v/>
      </c>
      <c r="M1454" s="13" t="str">
        <f>IF(D1454&lt;&gt;"",VLOOKUP(H1454,TABLEITEM,3,FALSE),"")</f>
        <v>PILOT LIGHT APW146D-R(22mm)</v>
      </c>
      <c r="N1454" s="14">
        <f>INSTOCK!$I1454*INSTOCK!$K1454</f>
        <v>1764</v>
      </c>
      <c r="O1454" s="4" t="s">
        <v>1906</v>
      </c>
      <c r="P1454" s="4" t="s">
        <v>1907</v>
      </c>
    </row>
    <row r="1455" ht="15.75" hidden="1" customHeight="1">
      <c r="B1455" s="8">
        <v>1771.0</v>
      </c>
      <c r="C1455" s="9">
        <v>43425.0</v>
      </c>
      <c r="D1455" s="6" t="s">
        <v>1903</v>
      </c>
      <c r="E1455" s="4">
        <v>6.111001475E9</v>
      </c>
      <c r="F1455" s="8" t="s">
        <v>1908</v>
      </c>
      <c r="G1455" s="4" t="s">
        <v>1904</v>
      </c>
      <c r="H1455" s="10" t="s">
        <v>1909</v>
      </c>
      <c r="I1455" s="10">
        <v>4.0</v>
      </c>
      <c r="J1455" s="11" t="str">
        <f>IF(D1455&lt;&gt;"",VLOOKUP(H1455,TABLEITEM,5,FALSE),"")</f>
        <v>EA</v>
      </c>
      <c r="K1455" s="12">
        <v>441.0</v>
      </c>
      <c r="L1455" s="13" t="str">
        <f>IF(D1455&lt;&gt;"",VLOOKUP(H1455,TABLEITEM,2,FALSE),"")</f>
        <v/>
      </c>
      <c r="M1455" s="13" t="str">
        <f>IF(D1455&lt;&gt;"",VLOOKUP(H1455,TABLEITEM,3,FALSE),"")</f>
        <v>PILOT LIGHT APW146D-Y(22mm)</v>
      </c>
      <c r="N1455" s="14">
        <f>INSTOCK!$I1455*INSTOCK!$K1455</f>
        <v>1764</v>
      </c>
      <c r="O1455" s="4" t="s">
        <v>1906</v>
      </c>
      <c r="P1455" s="4" t="s">
        <v>1907</v>
      </c>
    </row>
    <row r="1456" ht="15.75" hidden="1" customHeight="1">
      <c r="B1456" s="8">
        <v>1772.0</v>
      </c>
      <c r="C1456" s="9">
        <v>43425.0</v>
      </c>
      <c r="D1456" s="6" t="s">
        <v>1903</v>
      </c>
      <c r="E1456" s="4">
        <v>6.111001475E9</v>
      </c>
      <c r="F1456" s="8" t="s">
        <v>1910</v>
      </c>
      <c r="G1456" s="4" t="s">
        <v>1904</v>
      </c>
      <c r="H1456" s="10" t="s">
        <v>1911</v>
      </c>
      <c r="I1456" s="10">
        <v>4.0</v>
      </c>
      <c r="J1456" s="11" t="str">
        <f>IF(D1456&lt;&gt;"",VLOOKUP(H1456,TABLEITEM,5,FALSE),"")</f>
        <v>EA</v>
      </c>
      <c r="K1456" s="12">
        <v>595.0</v>
      </c>
      <c r="L1456" s="13" t="str">
        <f>IF(D1456&lt;&gt;"",VLOOKUP(H1456,TABLEITEM,2,FALSE),"")</f>
        <v/>
      </c>
      <c r="M1456" s="13" t="str">
        <f>IF(D1456&lt;&gt;"",VLOOKUP(H1456,TABLEITEM,3,FALSE),"")</f>
        <v>PILOT LIGHT APW146D-S(22mm)</v>
      </c>
      <c r="N1456" s="14">
        <f>INSTOCK!$I1456*INSTOCK!$K1456</f>
        <v>2380</v>
      </c>
      <c r="O1456" s="4" t="s">
        <v>1912</v>
      </c>
      <c r="P1456" s="4" t="s">
        <v>1907</v>
      </c>
    </row>
    <row r="1457" ht="15.75" hidden="1" customHeight="1">
      <c r="B1457" s="8">
        <v>1773.0</v>
      </c>
      <c r="C1457" s="9">
        <v>43472.0</v>
      </c>
      <c r="D1457" s="6" t="s">
        <v>1913</v>
      </c>
      <c r="E1457" s="4">
        <v>6.112001672E9</v>
      </c>
      <c r="F1457" s="8" t="s">
        <v>604</v>
      </c>
      <c r="G1457" s="4" t="s">
        <v>743</v>
      </c>
      <c r="H1457" s="10" t="s">
        <v>73</v>
      </c>
      <c r="I1457" s="10">
        <v>420.0</v>
      </c>
      <c r="J1457" s="11" t="str">
        <f>IF(D1457&lt;&gt;"",VLOOKUP(H1457,TABLEITEM,5,FALSE),"")</f>
        <v>KG.</v>
      </c>
      <c r="K1457" s="12">
        <v>99.85</v>
      </c>
      <c r="L1457" s="13" t="str">
        <f>IF(D1457&lt;&gt;"",VLOOKUP(H1457,TABLEITEM,2,FALSE),"")</f>
        <v/>
      </c>
      <c r="M1457" s="13" t="str">
        <f>IF(D1457&lt;&gt;"",VLOOKUP(H1457,TABLEITEM,3,FALSE),"")</f>
        <v>สีฝุ่น สีครีมย่น 1002782PX20</v>
      </c>
      <c r="N1457" s="14">
        <f>INSTOCK!$I1457*INSTOCK!$K1457</f>
        <v>41937</v>
      </c>
      <c r="O1457" s="4"/>
      <c r="P1457" s="4"/>
    </row>
    <row r="1458" ht="15.75" hidden="1" customHeight="1">
      <c r="B1458" s="8">
        <v>1774.0</v>
      </c>
      <c r="C1458" s="9">
        <v>43472.0</v>
      </c>
      <c r="D1458" s="6" t="s">
        <v>1914</v>
      </c>
      <c r="E1458" s="4">
        <v>6.112001672E9</v>
      </c>
      <c r="F1458" s="8" t="s">
        <v>604</v>
      </c>
      <c r="G1458" s="4" t="s">
        <v>743</v>
      </c>
      <c r="H1458" s="10" t="s">
        <v>86</v>
      </c>
      <c r="I1458" s="10">
        <v>500.0</v>
      </c>
      <c r="J1458" s="11" t="str">
        <f>IF(D1458&lt;&gt;"",VLOOKUP(H1458,TABLEITEM,5,FALSE),"")</f>
        <v>KG.</v>
      </c>
      <c r="K1458" s="12">
        <v>139.0</v>
      </c>
      <c r="L1458" s="13" t="str">
        <f>IF(D1458&lt;&gt;"",VLOOKUP(H1458,TABLEITEM,2,FALSE),"")</f>
        <v/>
      </c>
      <c r="M1458" s="13" t="str">
        <f>IF(D1458&lt;&gt;"",VLOOKUP(H1458,TABLEITEM,3,FALSE),"")</f>
        <v>สีฝุ่น ครีมเรียบ 1204551PX20</v>
      </c>
      <c r="N1458" s="14">
        <f>INSTOCK!$I1458*INSTOCK!$K1458</f>
        <v>69500</v>
      </c>
      <c r="O1458" s="4"/>
      <c r="P1458" s="4"/>
    </row>
    <row r="1459" ht="15.75" hidden="1" customHeight="1">
      <c r="B1459" s="8">
        <v>1775.0</v>
      </c>
      <c r="C1459" s="9">
        <v>43472.0</v>
      </c>
      <c r="D1459" s="6" t="s">
        <v>1915</v>
      </c>
      <c r="E1459" s="4">
        <v>6.112001687E9</v>
      </c>
      <c r="F1459" s="8" t="s">
        <v>604</v>
      </c>
      <c r="G1459" s="4" t="s">
        <v>665</v>
      </c>
      <c r="H1459" s="10" t="s">
        <v>508</v>
      </c>
      <c r="I1459" s="10">
        <v>100.0</v>
      </c>
      <c r="J1459" s="11" t="str">
        <f>IF(D1459&lt;&gt;"",VLOOKUP(H1459,TABLEITEM,5,FALSE),"")</f>
        <v>M</v>
      </c>
      <c r="K1459" s="12">
        <v>93.5</v>
      </c>
      <c r="L1459" s="13" t="str">
        <f>IF(D1459&lt;&gt;"",VLOOKUP(H1459,TABLEITEM,2,FALSE),"")</f>
        <v>wire</v>
      </c>
      <c r="M1459" s="13" t="str">
        <f>IF(D1459&lt;&gt;"",VLOOKUP(H1459,TABLEITEM,3,FALSE),"")</f>
        <v>สายไฟ VSF1x25 SQMM.สีดำ</v>
      </c>
      <c r="N1459" s="14">
        <f>INSTOCK!$I1459*INSTOCK!$K1459</f>
        <v>9350</v>
      </c>
      <c r="O1459" s="4"/>
      <c r="P1459" s="4" t="s">
        <v>1774</v>
      </c>
    </row>
    <row r="1460" ht="15.75" hidden="1" customHeight="1">
      <c r="B1460" s="8">
        <v>1776.0</v>
      </c>
      <c r="C1460" s="9">
        <v>43472.0</v>
      </c>
      <c r="D1460" s="6" t="s">
        <v>1916</v>
      </c>
      <c r="E1460" s="4">
        <v>6.201000015E9</v>
      </c>
      <c r="F1460" s="8" t="s">
        <v>1383</v>
      </c>
      <c r="G1460" s="4" t="s">
        <v>1485</v>
      </c>
      <c r="H1460" s="10" t="s">
        <v>1917</v>
      </c>
      <c r="I1460" s="10">
        <v>1.0</v>
      </c>
      <c r="J1460" s="11" t="str">
        <f>IF(D1460&lt;&gt;"",VLOOKUP(H1460,TABLEITEM,5,FALSE),"")</f>
        <v>EA</v>
      </c>
      <c r="K1460" s="12">
        <v>23493.0</v>
      </c>
      <c r="L1460" s="13" t="str">
        <f>IF(D1460&lt;&gt;"",VLOOKUP(H1460,TABLEITEM,2,FALSE),"")</f>
        <v/>
      </c>
      <c r="M1460" s="13" t="str">
        <f>IF(D1460&lt;&gt;"",VLOOKUP(H1460,TABLEITEM,3,FALSE),"")</f>
        <v>CONTROL UNIT ATS 220VACFOR ATS 100-630A</v>
      </c>
      <c r="N1460" s="14">
        <f>INSTOCK!$I1460*INSTOCK!$K1460</f>
        <v>23493</v>
      </c>
      <c r="O1460" s="4"/>
      <c r="P1460" s="4" t="s">
        <v>1487</v>
      </c>
    </row>
    <row r="1461" ht="15.75" hidden="1" customHeight="1">
      <c r="B1461" s="8">
        <v>1777.0</v>
      </c>
      <c r="C1461" s="9">
        <v>43472.0</v>
      </c>
      <c r="D1461" s="6" t="s">
        <v>1916</v>
      </c>
      <c r="E1461" s="4">
        <v>6.201000015E9</v>
      </c>
      <c r="F1461" s="8" t="s">
        <v>1383</v>
      </c>
      <c r="G1461" s="4" t="s">
        <v>1485</v>
      </c>
      <c r="H1461" s="10" t="s">
        <v>1918</v>
      </c>
      <c r="I1461" s="10">
        <v>1.0</v>
      </c>
      <c r="J1461" s="11" t="str">
        <f>IF(D1461&lt;&gt;"",VLOOKUP(H1461,TABLEITEM,5,FALSE),"")</f>
        <v>EA</v>
      </c>
      <c r="K1461" s="12">
        <v>4715.0</v>
      </c>
      <c r="L1461" s="13" t="str">
        <f>IF(D1461&lt;&gt;"",VLOOKUP(H1461,TABLEITEM,2,FALSE),"")</f>
        <v/>
      </c>
      <c r="M1461" s="13" t="str">
        <f>IF(D1461&lt;&gt;"",VLOOKUP(H1461,TABLEITEM,3,FALSE),"")</f>
        <v>IVE UNIT 48/440V 50/60HZ 440V 60HZ</v>
      </c>
      <c r="N1461" s="14">
        <f>INSTOCK!$I1461*INSTOCK!$K1461</f>
        <v>4715</v>
      </c>
      <c r="O1461" s="4"/>
      <c r="P1461" s="4" t="s">
        <v>1487</v>
      </c>
    </row>
    <row r="1462" ht="15.75" hidden="1" customHeight="1">
      <c r="B1462" s="8">
        <v>1778.0</v>
      </c>
      <c r="C1462" s="9">
        <v>43472.0</v>
      </c>
      <c r="D1462" s="6" t="s">
        <v>1919</v>
      </c>
      <c r="E1462" s="4">
        <v>6.112001671E9</v>
      </c>
      <c r="F1462" s="8" t="s">
        <v>604</v>
      </c>
      <c r="G1462" s="4" t="s">
        <v>1070</v>
      </c>
      <c r="H1462" s="10" t="s">
        <v>35</v>
      </c>
      <c r="I1462" s="10">
        <v>25.0</v>
      </c>
      <c r="J1462" s="11" t="str">
        <f>IF(D1462&lt;&gt;"",VLOOKUP(H1462,TABLEITEM,5,FALSE),"")</f>
        <v>EA</v>
      </c>
      <c r="K1462" s="12">
        <v>85.0</v>
      </c>
      <c r="L1462" s="13" t="str">
        <f>IF(D1462&lt;&gt;"",VLOOKUP(H1462,TABLEITEM,2,FALSE),"")</f>
        <v/>
      </c>
      <c r="M1462" s="13" t="str">
        <f>IF(D1462&lt;&gt;"",VLOOKUP(H1462,TABLEITEM,3,FALSE),"")</f>
        <v>ใบตัดไฟเบอร์ #16</v>
      </c>
      <c r="N1462" s="14">
        <f>INSTOCK!$I1462*INSTOCK!$K1462</f>
        <v>2125</v>
      </c>
      <c r="O1462" s="4"/>
      <c r="P1462" s="4" t="s">
        <v>1920</v>
      </c>
    </row>
    <row r="1463" ht="15.75" hidden="1" customHeight="1">
      <c r="B1463" s="8">
        <v>1779.0</v>
      </c>
      <c r="C1463" s="9">
        <v>43470.0</v>
      </c>
      <c r="D1463" s="6">
        <v>7519.0</v>
      </c>
      <c r="E1463" s="4">
        <v>6.112001678E9</v>
      </c>
      <c r="F1463" s="8" t="s">
        <v>604</v>
      </c>
      <c r="G1463" s="4" t="s">
        <v>1009</v>
      </c>
      <c r="H1463" s="10" t="s">
        <v>1249</v>
      </c>
      <c r="I1463" s="10">
        <v>200.0</v>
      </c>
      <c r="J1463" s="11" t="str">
        <f>IF(D1463&lt;&gt;"",VLOOKUP(H1463,TABLEITEM,5,FALSE),"")</f>
        <v>EA</v>
      </c>
      <c r="K1463" s="12">
        <v>180.0</v>
      </c>
      <c r="L1463" s="13" t="str">
        <f>IF(D1463&lt;&gt;"",VLOOKUP(H1463,TABLEITEM,2,FALSE),"")</f>
        <v/>
      </c>
      <c r="M1463" s="13" t="str">
        <f>IF(D1463&lt;&gt;"",VLOOKUP(H1463,TABLEITEM,3,FALSE),"")</f>
        <v>กุญแจกดเด้งสีดำ MS480-2</v>
      </c>
      <c r="N1463" s="14">
        <f>INSTOCK!$I1463*INSTOCK!$K1463</f>
        <v>36000</v>
      </c>
      <c r="O1463" s="4"/>
      <c r="P1463" s="4"/>
    </row>
    <row r="1464" ht="15.75" hidden="1" customHeight="1">
      <c r="B1464" s="8">
        <v>1780.0</v>
      </c>
      <c r="C1464" s="9">
        <v>43470.0</v>
      </c>
      <c r="D1464" s="6">
        <v>37039.0</v>
      </c>
      <c r="E1464" s="4">
        <v>6.112001673E9</v>
      </c>
      <c r="F1464" s="8" t="s">
        <v>604</v>
      </c>
      <c r="G1464" s="4" t="s">
        <v>696</v>
      </c>
      <c r="H1464" s="10" t="s">
        <v>1921</v>
      </c>
      <c r="I1464" s="10">
        <v>24.0</v>
      </c>
      <c r="J1464" s="11" t="str">
        <f>IF(D1464&lt;&gt;"",VLOOKUP(H1464,TABLEITEM,5,FALSE),"")</f>
        <v>กป.</v>
      </c>
      <c r="K1464" s="12">
        <v>41.6666</v>
      </c>
      <c r="L1464" s="13" t="str">
        <f>IF(D1464&lt;&gt;"",VLOOKUP(H1464,TABLEITEM,2,FALSE),"")</f>
        <v/>
      </c>
      <c r="M1464" s="13" t="str">
        <f>IF(D1464&lt;&gt;"",VLOOKUP(H1464,TABLEITEM,3,FALSE),"")</f>
        <v>สีสเปรย์ สีขาว</v>
      </c>
      <c r="N1464" s="14">
        <f>INSTOCK!$I1464*INSTOCK!$K1464</f>
        <v>999.9984</v>
      </c>
      <c r="O1464" s="4" t="s">
        <v>1045</v>
      </c>
      <c r="P1464" s="4"/>
    </row>
    <row r="1465" ht="15.75" hidden="1" customHeight="1">
      <c r="B1465" s="8">
        <v>1781.0</v>
      </c>
      <c r="C1465" s="9">
        <v>43469.0</v>
      </c>
      <c r="D1465" s="6" t="s">
        <v>1922</v>
      </c>
      <c r="E1465" s="4">
        <v>6.112001662E9</v>
      </c>
      <c r="F1465" s="8" t="s">
        <v>604</v>
      </c>
      <c r="G1465" s="4" t="s">
        <v>1923</v>
      </c>
      <c r="H1465" s="10" t="s">
        <v>1924</v>
      </c>
      <c r="I1465" s="10">
        <v>6.0</v>
      </c>
      <c r="J1465" s="11" t="str">
        <f>IF(D1465&lt;&gt;"",VLOOKUP(H1465,TABLEITEM,5,FALSE),"")</f>
        <v>EA</v>
      </c>
      <c r="K1465" s="12">
        <v>157.0</v>
      </c>
      <c r="L1465" s="13" t="str">
        <f>IF(D1465&lt;&gt;"",VLOOKUP(H1465,TABLEITEM,2,FALSE),"")</f>
        <v/>
      </c>
      <c r="M1465" s="13" t="str">
        <f>IF(D1465&lt;&gt;"",VLOOKUP(H1465,TABLEITEM,3,FALSE),"")</f>
        <v>ล้อเป็น 3" M 03S 075DSWPP</v>
      </c>
      <c r="N1465" s="14">
        <f>INSTOCK!$I1465*INSTOCK!$K1465</f>
        <v>942</v>
      </c>
      <c r="O1465" s="4"/>
      <c r="P1465" s="4"/>
    </row>
    <row r="1466" ht="15.75" hidden="1" customHeight="1">
      <c r="B1466" s="8">
        <v>1782.0</v>
      </c>
      <c r="C1466" s="9">
        <v>43470.0</v>
      </c>
      <c r="D1466" s="6" t="s">
        <v>1925</v>
      </c>
      <c r="E1466" s="4">
        <v>6.201000009E9</v>
      </c>
      <c r="F1466" s="8" t="s">
        <v>604</v>
      </c>
      <c r="G1466" s="4" t="s">
        <v>975</v>
      </c>
      <c r="H1466" s="10" t="s">
        <v>19</v>
      </c>
      <c r="I1466" s="10">
        <v>60.0</v>
      </c>
      <c r="J1466" s="11" t="str">
        <f>IF(D1466&lt;&gt;"",VLOOKUP(H1466,TABLEITEM,5,FALSE),"")</f>
        <v>ROLL</v>
      </c>
      <c r="K1466" s="12">
        <v>140.0</v>
      </c>
      <c r="L1466" s="13" t="str">
        <f>IF(D1466&lt;&gt;"",VLOOKUP(H1466,TABLEITEM,2,FALSE),"")</f>
        <v/>
      </c>
      <c r="M1466" s="13" t="str">
        <f>IF(D1466&lt;&gt;"",VLOOKUP(H1466,TABLEITEM,3,FALSE),"")</f>
        <v>พลาสติกห่อตู้ 20micx50cmx300m</v>
      </c>
      <c r="N1466" s="14">
        <f>INSTOCK!$I1466*INSTOCK!$K1466</f>
        <v>8400</v>
      </c>
      <c r="O1466" s="4" t="s">
        <v>977</v>
      </c>
      <c r="P1466" s="4"/>
    </row>
    <row r="1467" ht="15.75" hidden="1" customHeight="1">
      <c r="B1467" s="8">
        <v>1783.0</v>
      </c>
      <c r="C1467" s="9">
        <v>43470.0</v>
      </c>
      <c r="D1467" s="6" t="s">
        <v>1926</v>
      </c>
      <c r="E1467" s="4">
        <v>6.112001674E9</v>
      </c>
      <c r="F1467" s="8" t="s">
        <v>604</v>
      </c>
      <c r="G1467" s="4" t="s">
        <v>721</v>
      </c>
      <c r="H1467" s="10" t="s">
        <v>221</v>
      </c>
      <c r="I1467" s="10">
        <v>300.0</v>
      </c>
      <c r="J1467" s="11" t="str">
        <f>IF(D1467&lt;&gt;"",VLOOKUP(H1467,TABLEITEM,5,FALSE),"")</f>
        <v>M</v>
      </c>
      <c r="K1467" s="12">
        <v>7.566</v>
      </c>
      <c r="L1467" s="13" t="str">
        <f>IF(D1467&lt;&gt;"",VLOOKUP(H1467,TABLEITEM,2,FALSE),"")</f>
        <v/>
      </c>
      <c r="M1467" s="13" t="str">
        <f>IF(D1467&lt;&gt;"",VLOOKUP(H1467,TABLEITEM,3,FALSE),"")</f>
        <v>ท่ออ่อนลูกฟูกชิดผ่า/ท่อผ่าดำ 7มิล</v>
      </c>
      <c r="N1467" s="14">
        <f>INSTOCK!$I1467*INSTOCK!$K1467</f>
        <v>2269.8</v>
      </c>
      <c r="O1467" s="4" t="s">
        <v>785</v>
      </c>
      <c r="P1467" s="4"/>
    </row>
    <row r="1468" ht="15.75" hidden="1" customHeight="1">
      <c r="B1468" s="8">
        <v>1784.0</v>
      </c>
      <c r="C1468" s="9">
        <v>43470.0</v>
      </c>
      <c r="D1468" s="6" t="s">
        <v>1926</v>
      </c>
      <c r="E1468" s="4">
        <v>6.112001674E9</v>
      </c>
      <c r="F1468" s="8" t="s">
        <v>604</v>
      </c>
      <c r="G1468" s="4" t="s">
        <v>721</v>
      </c>
      <c r="H1468" s="10" t="s">
        <v>159</v>
      </c>
      <c r="I1468" s="10">
        <v>3000.0</v>
      </c>
      <c r="J1468" s="11" t="str">
        <f>IF(D1468&lt;&gt;"",VLOOKUP(H1468,TABLEITEM,5,FALSE),"")</f>
        <v>EA</v>
      </c>
      <c r="K1468" s="12">
        <v>0.1164</v>
      </c>
      <c r="L1468" s="13" t="str">
        <f>IF(D1468&lt;&gt;"",VLOOKUP(H1468,TABLEITEM,2,FALSE),"")</f>
        <v/>
      </c>
      <c r="M1468" s="13" t="str">
        <f>IF(D1468&lt;&gt;"",VLOOKUP(H1468,TABLEITEM,3,FALSE),"")</f>
        <v>เคเบิ้ลไทร์ 4" สีขาวCT-100-2C</v>
      </c>
      <c r="N1468" s="14">
        <f>INSTOCK!$I1468*INSTOCK!$K1468</f>
        <v>349.2</v>
      </c>
      <c r="O1468" s="4" t="s">
        <v>1217</v>
      </c>
      <c r="P1468" s="4"/>
    </row>
    <row r="1469" ht="15.75" hidden="1" customHeight="1">
      <c r="B1469" s="8">
        <v>1785.0</v>
      </c>
      <c r="C1469" s="9">
        <v>43469.0</v>
      </c>
      <c r="D1469" s="6">
        <v>37029.0</v>
      </c>
      <c r="E1469" s="4"/>
      <c r="F1469" s="8" t="s">
        <v>604</v>
      </c>
      <c r="G1469" s="4" t="s">
        <v>696</v>
      </c>
      <c r="H1469" s="10" t="s">
        <v>55</v>
      </c>
      <c r="I1469" s="10">
        <v>30.0</v>
      </c>
      <c r="J1469" s="11" t="str">
        <f>IF(D1469&lt;&gt;"",VLOOKUP(H1469,TABLEITEM,5,FALSE),"")</f>
        <v>EA</v>
      </c>
      <c r="K1469" s="12">
        <v>15.0</v>
      </c>
      <c r="L1469" s="13" t="str">
        <f>IF(D1469&lt;&gt;"",VLOOKUP(H1469,TABLEITEM,2,FALSE),"")</f>
        <v/>
      </c>
      <c r="M1469" s="13" t="str">
        <f>IF(D1469&lt;&gt;"",VLOOKUP(H1469,TABLEITEM,3,FALSE),"")</f>
        <v>เทปใส 2''</v>
      </c>
      <c r="N1469" s="14">
        <f>INSTOCK!$I1469*INSTOCK!$K1469</f>
        <v>450</v>
      </c>
      <c r="O1469" s="4"/>
      <c r="P1469" s="4" t="s">
        <v>1927</v>
      </c>
    </row>
    <row r="1470" ht="15.75" hidden="1" customHeight="1">
      <c r="B1470" s="8">
        <v>1786.0</v>
      </c>
      <c r="C1470" s="9">
        <v>43468.0</v>
      </c>
      <c r="D1470" s="6">
        <v>6.20100499E8</v>
      </c>
      <c r="E1470" s="4">
        <v>6.201000011E9</v>
      </c>
      <c r="F1470" s="8" t="s">
        <v>604</v>
      </c>
      <c r="G1470" s="4" t="s">
        <v>1130</v>
      </c>
      <c r="H1470" s="10" t="s">
        <v>1928</v>
      </c>
      <c r="I1470" s="10">
        <v>10.0</v>
      </c>
      <c r="J1470" s="11" t="str">
        <f>IF(D1470&lt;&gt;"",VLOOKUP(H1470,TABLEITEM,5,FALSE),"")</f>
        <v>EA</v>
      </c>
      <c r="K1470" s="12">
        <v>168.0</v>
      </c>
      <c r="L1470" s="13" t="str">
        <f>IF(D1470&lt;&gt;"",VLOOKUP(H1470,TABLEITEM,2,FALSE),"")</f>
        <v/>
      </c>
      <c r="M1470" s="13" t="str">
        <f>IF(D1470&lt;&gt;"",VLOOKUP(H1470,TABLEITEM,3,FALSE),"")</f>
        <v>MICRO SWITCH TM-1307-1 </v>
      </c>
      <c r="N1470" s="14">
        <f>INSTOCK!$I1470*INSTOCK!$K1470</f>
        <v>1680</v>
      </c>
      <c r="O1470" s="4" t="s">
        <v>1929</v>
      </c>
      <c r="P1470" s="4" t="s">
        <v>1930</v>
      </c>
    </row>
    <row r="1471" ht="15.75" hidden="1" customHeight="1">
      <c r="B1471" s="8">
        <v>1787.0</v>
      </c>
      <c r="C1471" s="9">
        <v>43468.0</v>
      </c>
      <c r="D1471" s="6">
        <v>6.20100499E8</v>
      </c>
      <c r="E1471" s="4">
        <v>6.201000011E9</v>
      </c>
      <c r="F1471" s="8" t="s">
        <v>604</v>
      </c>
      <c r="G1471" s="4" t="s">
        <v>1130</v>
      </c>
      <c r="H1471" s="10" t="s">
        <v>1931</v>
      </c>
      <c r="I1471" s="10">
        <v>10.0</v>
      </c>
      <c r="J1471" s="11" t="str">
        <f>IF(D1471&lt;&gt;"",VLOOKUP(H1471,TABLEITEM,5,FALSE),"")</f>
        <v>EA</v>
      </c>
      <c r="K1471" s="12">
        <v>21.6</v>
      </c>
      <c r="L1471" s="13" t="str">
        <f>IF(D1471&lt;&gt;"",VLOOKUP(H1471,TABLEITEM,2,FALSE),"")</f>
        <v/>
      </c>
      <c r="M1471" s="13" t="str">
        <f>IF(D1471&lt;&gt;"",VLOOKUP(H1471,TABLEITEM,3,FALSE),"")</f>
        <v>ปลอกหุ้มไมโคร TAP-Z</v>
      </c>
      <c r="N1471" s="14">
        <f>INSTOCK!$I1471*INSTOCK!$K1471</f>
        <v>216</v>
      </c>
      <c r="O1471" s="4" t="s">
        <v>1932</v>
      </c>
      <c r="P1471" s="4" t="s">
        <v>1930</v>
      </c>
    </row>
    <row r="1472" ht="15.75" hidden="1" customHeight="1">
      <c r="B1472" s="8">
        <v>1788.0</v>
      </c>
      <c r="C1472" s="9">
        <v>43468.0</v>
      </c>
      <c r="D1472" s="6" t="s">
        <v>1933</v>
      </c>
      <c r="E1472" s="4">
        <v>6.20100001E9</v>
      </c>
      <c r="F1472" s="8" t="s">
        <v>604</v>
      </c>
      <c r="G1472" s="4" t="s">
        <v>1446</v>
      </c>
      <c r="H1472" s="10" t="s">
        <v>1540</v>
      </c>
      <c r="I1472" s="10">
        <v>12.0</v>
      </c>
      <c r="J1472" s="11" t="str">
        <f>IF(D1472&lt;&gt;"",VLOOKUP(H1472,TABLEITEM,5,FALSE),"")</f>
        <v>EA</v>
      </c>
      <c r="K1472" s="12">
        <v>120.0</v>
      </c>
      <c r="L1472" s="13" t="str">
        <f>IF(D1472&lt;&gt;"",VLOOKUP(H1472,TABLEITEM,2,FALSE),"")</f>
        <v/>
      </c>
      <c r="M1472" s="13" t="str">
        <f>IF(D1472&lt;&gt;"",VLOOKUP(H1472,TABLEITEM,3,FALSE),"")</f>
        <v>หลอด LED/บับ 10.5-85W/65K-PL</v>
      </c>
      <c r="N1472" s="14">
        <f>INSTOCK!$I1472*INSTOCK!$K1472</f>
        <v>1440</v>
      </c>
      <c r="O1472" s="4"/>
      <c r="P1472" s="4" t="s">
        <v>1934</v>
      </c>
    </row>
    <row r="1473" ht="15.75" hidden="1" customHeight="1">
      <c r="B1473" s="8">
        <v>1789.0</v>
      </c>
      <c r="C1473" s="9">
        <v>43470.0</v>
      </c>
      <c r="D1473" s="6" t="s">
        <v>1935</v>
      </c>
      <c r="E1473" s="4">
        <v>6.112001638E9</v>
      </c>
      <c r="F1473" s="8" t="s">
        <v>604</v>
      </c>
      <c r="G1473" s="4" t="s">
        <v>1777</v>
      </c>
      <c r="H1473" s="10" t="s">
        <v>1890</v>
      </c>
      <c r="I1473" s="10">
        <v>1000.0</v>
      </c>
      <c r="J1473" s="11" t="str">
        <f>IF(D1473&lt;&gt;"",VLOOKUP(H1473,TABLEITEM,5,FALSE),"")</f>
        <v>EA</v>
      </c>
      <c r="K1473" s="12">
        <v>0.13</v>
      </c>
      <c r="L1473" s="13" t="str">
        <f>IF(D1473&lt;&gt;"",VLOOKUP(H1473,TABLEITEM,2,FALSE),"")</f>
        <v/>
      </c>
      <c r="M1473" s="13" t="str">
        <f>IF(D1473&lt;&gt;"",VLOOKUP(H1473,TABLEITEM,3,FALSE),"")</f>
        <v>สกรูหัวกลมชุบขาว M5x10</v>
      </c>
      <c r="N1473" s="14">
        <f>INSTOCK!$I1473*INSTOCK!$K1473</f>
        <v>130</v>
      </c>
      <c r="O1473" s="4"/>
      <c r="P1473" s="4"/>
    </row>
    <row r="1474" ht="15.75" hidden="1" customHeight="1">
      <c r="B1474" s="8">
        <v>1790.0</v>
      </c>
      <c r="C1474" s="9">
        <v>43470.0</v>
      </c>
      <c r="D1474" s="6" t="s">
        <v>1935</v>
      </c>
      <c r="E1474" s="4">
        <v>6.112001638E9</v>
      </c>
      <c r="F1474" s="8" t="s">
        <v>604</v>
      </c>
      <c r="G1474" s="4" t="s">
        <v>1777</v>
      </c>
      <c r="H1474" s="10" t="s">
        <v>1936</v>
      </c>
      <c r="I1474" s="10">
        <v>1000.0</v>
      </c>
      <c r="J1474" s="11" t="str">
        <f>IF(D1474&lt;&gt;"",VLOOKUP(H1474,TABLEITEM,5,FALSE),"")</f>
        <v>EA</v>
      </c>
      <c r="K1474" s="12">
        <v>0.189</v>
      </c>
      <c r="L1474" s="13" t="str">
        <f>IF(D1474&lt;&gt;"",VLOOKUP(H1474,TABLEITEM,2,FALSE),"")</f>
        <v/>
      </c>
      <c r="M1474" s="13" t="str">
        <f>IF(D1474&lt;&gt;"",VLOOKUP(H1474,TABLEITEM,3,FALSE),"")</f>
        <v>สกรูหัวกลมชุบขาว M6x10</v>
      </c>
      <c r="N1474" s="14">
        <f>INSTOCK!$I1474*INSTOCK!$K1474</f>
        <v>189</v>
      </c>
      <c r="O1474" s="4" t="s">
        <v>1937</v>
      </c>
      <c r="P1474" s="4"/>
    </row>
    <row r="1475" ht="15.75" hidden="1" customHeight="1">
      <c r="B1475" s="8">
        <v>1791.0</v>
      </c>
      <c r="C1475" s="9">
        <v>43470.0</v>
      </c>
      <c r="D1475" s="6" t="s">
        <v>1938</v>
      </c>
      <c r="E1475" s="4"/>
      <c r="F1475" s="8" t="s">
        <v>1939</v>
      </c>
      <c r="G1475" s="4" t="s">
        <v>1940</v>
      </c>
      <c r="H1475" s="10" t="s">
        <v>1941</v>
      </c>
      <c r="I1475" s="10">
        <v>50.0</v>
      </c>
      <c r="J1475" s="11" t="str">
        <f>IF(D1475&lt;&gt;"",VLOOKUP(H1475,TABLEITEM,5,FALSE),"")</f>
        <v>EA</v>
      </c>
      <c r="K1475" s="12">
        <v>6.0</v>
      </c>
      <c r="L1475" s="13" t="str">
        <f>IF(D1475&lt;&gt;"",VLOOKUP(H1475,TABLEITEM,2,FALSE),"")</f>
        <v/>
      </c>
      <c r="M1475" s="13" t="str">
        <f>IF(D1475&lt;&gt;"",VLOOKUP(H1475,TABLEITEM,3,FALSE),"")</f>
        <v>สกรูสแตนเลสหัวเหลี่ยม M10x25</v>
      </c>
      <c r="N1475" s="14">
        <f>INSTOCK!$I1475*INSTOCK!$K1475</f>
        <v>300</v>
      </c>
      <c r="O1475" s="4"/>
      <c r="P1475" s="4"/>
    </row>
    <row r="1476" ht="15.75" hidden="1" customHeight="1">
      <c r="B1476" s="8">
        <v>1792.0</v>
      </c>
      <c r="C1476" s="9">
        <v>43470.0</v>
      </c>
      <c r="D1476" s="6" t="s">
        <v>1938</v>
      </c>
      <c r="E1476" s="4"/>
      <c r="F1476" s="8" t="s">
        <v>1939</v>
      </c>
      <c r="G1476" s="4" t="s">
        <v>1940</v>
      </c>
      <c r="H1476" s="10" t="s">
        <v>1942</v>
      </c>
      <c r="I1476" s="10">
        <v>50.0</v>
      </c>
      <c r="J1476" s="11" t="str">
        <f>IF(D1476&lt;&gt;"",VLOOKUP(H1476,TABLEITEM,5,FALSE),"")</f>
        <v>EA</v>
      </c>
      <c r="K1476" s="12">
        <v>3.0</v>
      </c>
      <c r="L1476" s="13" t="str">
        <f>IF(D1476&lt;&gt;"",VLOOKUP(H1476,TABLEITEM,2,FALSE),"")</f>
        <v/>
      </c>
      <c r="M1476" s="13" t="str">
        <f>IF(D1476&lt;&gt;"",VLOOKUP(H1476,TABLEITEM,3,FALSE),"")</f>
        <v>หัวน๊อต SUS M10</v>
      </c>
      <c r="N1476" s="14">
        <f>INSTOCK!$I1476*INSTOCK!$K1476</f>
        <v>150</v>
      </c>
      <c r="O1476" s="4"/>
      <c r="P1476" s="4"/>
    </row>
    <row r="1477" ht="15.75" hidden="1" customHeight="1">
      <c r="B1477" s="8">
        <v>1793.0</v>
      </c>
      <c r="C1477" s="9">
        <v>43470.0</v>
      </c>
      <c r="D1477" s="6" t="s">
        <v>1938</v>
      </c>
      <c r="E1477" s="4"/>
      <c r="F1477" s="8" t="s">
        <v>1939</v>
      </c>
      <c r="G1477" s="4" t="s">
        <v>1940</v>
      </c>
      <c r="H1477" s="10" t="s">
        <v>1943</v>
      </c>
      <c r="I1477" s="10">
        <v>50.0</v>
      </c>
      <c r="J1477" s="11" t="str">
        <f>IF(D1477&lt;&gt;"",VLOOKUP(H1477,TABLEITEM,5,FALSE),"")</f>
        <v>EA</v>
      </c>
      <c r="K1477" s="12">
        <v>1.5</v>
      </c>
      <c r="L1477" s="13" t="str">
        <f>IF(D1477&lt;&gt;"",VLOOKUP(H1477,TABLEITEM,2,FALSE),"")</f>
        <v/>
      </c>
      <c r="M1477" s="13" t="str">
        <f>IF(D1477&lt;&gt;"",VLOOKUP(H1477,TABLEITEM,3,FALSE),"")</f>
        <v>แหวนอีแปะ SUS M10</v>
      </c>
      <c r="N1477" s="14">
        <f>INSTOCK!$I1477*INSTOCK!$K1477</f>
        <v>75</v>
      </c>
      <c r="O1477" s="4"/>
      <c r="P1477" s="4"/>
    </row>
    <row r="1478" ht="15.75" hidden="1" customHeight="1">
      <c r="B1478" s="8">
        <v>1794.0</v>
      </c>
      <c r="C1478" s="9">
        <v>43470.0</v>
      </c>
      <c r="D1478" s="6" t="s">
        <v>1938</v>
      </c>
      <c r="E1478" s="4"/>
      <c r="F1478" s="8" t="s">
        <v>1939</v>
      </c>
      <c r="G1478" s="4" t="s">
        <v>1940</v>
      </c>
      <c r="H1478" s="10" t="s">
        <v>1944</v>
      </c>
      <c r="I1478" s="10">
        <v>50.0</v>
      </c>
      <c r="J1478" s="11" t="str">
        <f>IF(D1478&lt;&gt;"",VLOOKUP(H1478,TABLEITEM,5,FALSE),"")</f>
        <v>EA</v>
      </c>
      <c r="K1478" s="12">
        <v>1.5</v>
      </c>
      <c r="L1478" s="13" t="str">
        <f>IF(D1478&lt;&gt;"",VLOOKUP(H1478,TABLEITEM,2,FALSE),"")</f>
        <v/>
      </c>
      <c r="M1478" s="13" t="str">
        <f>IF(D1478&lt;&gt;"",VLOOKUP(H1478,TABLEITEM,3,FALSE),"")</f>
        <v>แหวนสปริง SUS M10</v>
      </c>
      <c r="N1478" s="14">
        <f>INSTOCK!$I1478*INSTOCK!$K1478</f>
        <v>75</v>
      </c>
      <c r="O1478" s="4"/>
      <c r="P1478" s="4"/>
    </row>
    <row r="1479" ht="15.75" hidden="1" customHeight="1">
      <c r="B1479" s="8">
        <v>1795.0</v>
      </c>
      <c r="C1479" s="9">
        <v>43470.0</v>
      </c>
      <c r="D1479" s="6" t="s">
        <v>1938</v>
      </c>
      <c r="E1479" s="4"/>
      <c r="F1479" s="8" t="s">
        <v>1939</v>
      </c>
      <c r="G1479" s="4" t="s">
        <v>1940</v>
      </c>
      <c r="H1479" s="10" t="s">
        <v>1942</v>
      </c>
      <c r="I1479" s="10">
        <v>6.0</v>
      </c>
      <c r="J1479" s="11" t="str">
        <f>IF(D1479&lt;&gt;"",VLOOKUP(H1479,TABLEITEM,5,FALSE),"")</f>
        <v>EA</v>
      </c>
      <c r="K1479" s="12">
        <v>3.0</v>
      </c>
      <c r="L1479" s="13" t="str">
        <f>IF(D1479&lt;&gt;"",VLOOKUP(H1479,TABLEITEM,2,FALSE),"")</f>
        <v/>
      </c>
      <c r="M1479" s="13" t="str">
        <f>IF(D1479&lt;&gt;"",VLOOKUP(H1479,TABLEITEM,3,FALSE),"")</f>
        <v>หัวน๊อต SUS M10</v>
      </c>
      <c r="N1479" s="14">
        <f>INSTOCK!$I1479*INSTOCK!$K1479</f>
        <v>18</v>
      </c>
      <c r="O1479" s="4"/>
      <c r="P1479" s="4"/>
    </row>
    <row r="1480" ht="15.75" hidden="1" customHeight="1">
      <c r="B1480" s="8">
        <v>1796.0</v>
      </c>
      <c r="C1480" s="9">
        <v>43469.0</v>
      </c>
      <c r="D1480" s="6" t="s">
        <v>1945</v>
      </c>
      <c r="E1480" s="4"/>
      <c r="F1480" s="8" t="s">
        <v>604</v>
      </c>
      <c r="G1480" s="4" t="s">
        <v>1946</v>
      </c>
      <c r="H1480" s="10" t="s">
        <v>1947</v>
      </c>
      <c r="I1480" s="10">
        <v>2.0</v>
      </c>
      <c r="J1480" s="11" t="str">
        <f>IF(D1480&lt;&gt;"",VLOOKUP(H1480,TABLEITEM,5,FALSE),"")</f>
        <v>KG.</v>
      </c>
      <c r="K1480" s="12">
        <v>756.0</v>
      </c>
      <c r="L1480" s="13" t="str">
        <f>IF(D1480&lt;&gt;"",VLOOKUP(H1480,TABLEITEM,2,FALSE),"")</f>
        <v/>
      </c>
      <c r="M1480" s="13" t="str">
        <f>IF(D1480&lt;&gt;"",VLOOKUP(H1480,TABLEITEM,3,FALSE),"")</f>
        <v>กระดาษลูกฟูก 48"เกรด A</v>
      </c>
      <c r="N1480" s="14">
        <f>INSTOCK!$I1480*INSTOCK!$K1480</f>
        <v>1512</v>
      </c>
      <c r="O1480" s="4" t="s">
        <v>1948</v>
      </c>
      <c r="P1480" s="4" t="s">
        <v>1949</v>
      </c>
    </row>
    <row r="1481" ht="15.75" hidden="1" customHeight="1">
      <c r="B1481" s="8">
        <v>1797.0</v>
      </c>
      <c r="C1481" s="9">
        <v>43472.0</v>
      </c>
      <c r="D1481" s="6">
        <v>37057.0</v>
      </c>
      <c r="E1481" s="4">
        <v>6.112001695E9</v>
      </c>
      <c r="F1481" s="8" t="s">
        <v>1950</v>
      </c>
      <c r="G1481" s="4" t="s">
        <v>696</v>
      </c>
      <c r="H1481" s="10" t="s">
        <v>1951</v>
      </c>
      <c r="I1481" s="10">
        <v>12.0</v>
      </c>
      <c r="J1481" s="11" t="str">
        <f>IF(D1481&lt;&gt;"",VLOOKUP(H1481,TABLEITEM,5,FALSE),"")</f>
        <v>EA</v>
      </c>
      <c r="K1481" s="12">
        <v>25.0</v>
      </c>
      <c r="L1481" s="13" t="str">
        <f>IF(D1481&lt;&gt;"",VLOOKUP(H1481,TABLEITEM,2,FALSE),"")</f>
        <v/>
      </c>
      <c r="M1481" s="13" t="str">
        <f>IF(D1481&lt;&gt;"",VLOOKUP(H1481,TABLEITEM,3,FALSE),"")</f>
        <v>พุกตะกั่ว 3/8"</v>
      </c>
      <c r="N1481" s="14">
        <f>INSTOCK!$I1481*INSTOCK!$K1481</f>
        <v>300</v>
      </c>
      <c r="O1481" s="4"/>
      <c r="P1481" s="4"/>
    </row>
    <row r="1482" ht="15.75" hidden="1" customHeight="1">
      <c r="B1482" s="8">
        <v>1798.0</v>
      </c>
      <c r="C1482" s="9">
        <v>43472.0</v>
      </c>
      <c r="D1482" s="6">
        <v>37057.0</v>
      </c>
      <c r="E1482" s="4">
        <v>6.112001695E9</v>
      </c>
      <c r="F1482" s="8" t="s">
        <v>1950</v>
      </c>
      <c r="G1482" s="4" t="s">
        <v>696</v>
      </c>
      <c r="H1482" s="10" t="s">
        <v>1952</v>
      </c>
      <c r="I1482" s="10">
        <v>12.0</v>
      </c>
      <c r="J1482" s="11" t="str">
        <f>IF(D1482&lt;&gt;"",VLOOKUP(H1482,TABLEITEM,5,FALSE),"")</f>
        <v>EA</v>
      </c>
      <c r="K1482" s="12">
        <v>6.0</v>
      </c>
      <c r="L1482" s="13" t="str">
        <f>IF(D1482&lt;&gt;"",VLOOKUP(H1482,TABLEITEM,2,FALSE),"")</f>
        <v/>
      </c>
      <c r="M1482" s="13" t="str">
        <f>IF(D1482&lt;&gt;"",VLOOKUP(H1482,TABLEITEM,3,FALSE),"")</f>
        <v>สกรูหัวเหลี่ยม 3/8"x2"</v>
      </c>
      <c r="N1482" s="14">
        <f>INSTOCK!$I1482*INSTOCK!$K1482</f>
        <v>72</v>
      </c>
      <c r="O1482" s="4"/>
      <c r="P1482" s="4"/>
    </row>
    <row r="1483" ht="15.75" hidden="1" customHeight="1">
      <c r="B1483" s="8">
        <v>1799.0</v>
      </c>
      <c r="C1483" s="9">
        <v>43469.0</v>
      </c>
      <c r="D1483" s="6" t="s">
        <v>1953</v>
      </c>
      <c r="E1483" s="4">
        <v>6.201000008E9</v>
      </c>
      <c r="F1483" s="8" t="s">
        <v>1205</v>
      </c>
      <c r="G1483" s="4" t="s">
        <v>729</v>
      </c>
      <c r="H1483" s="10" t="s">
        <v>1206</v>
      </c>
      <c r="I1483" s="10">
        <v>50.0</v>
      </c>
      <c r="J1483" s="11" t="str">
        <f>IF(D1483&lt;&gt;"",VLOOKUP(H1483,TABLEITEM,5,FALSE),"")</f>
        <v>M</v>
      </c>
      <c r="K1483" s="12">
        <v>36.0</v>
      </c>
      <c r="L1483" s="13" t="str">
        <f>IF(D1483&lt;&gt;"",VLOOKUP(H1483,TABLEITEM,2,FALSE),"")</f>
        <v/>
      </c>
      <c r="M1483" s="13" t="str">
        <f>IF(D1483&lt;&gt;"",VLOOKUP(H1483,TABLEITEM,3,FALSE),"")</f>
        <v>ยางม้วนตัวเอสใหญ่ </v>
      </c>
      <c r="N1483" s="14">
        <f>INSTOCK!$I1483*INSTOCK!$K1483</f>
        <v>1800</v>
      </c>
      <c r="O1483" s="4"/>
      <c r="P1483" s="4"/>
    </row>
    <row r="1484" ht="15.75" hidden="1" customHeight="1">
      <c r="B1484" s="8">
        <v>1800.0</v>
      </c>
      <c r="C1484" s="9">
        <v>43468.0</v>
      </c>
      <c r="D1484" s="6" t="s">
        <v>1954</v>
      </c>
      <c r="E1484" s="4">
        <v>6.112001668E9</v>
      </c>
      <c r="F1484" s="8" t="s">
        <v>604</v>
      </c>
      <c r="G1484" s="4" t="s">
        <v>737</v>
      </c>
      <c r="H1484" s="10" t="s">
        <v>16</v>
      </c>
      <c r="I1484" s="10">
        <v>360.0</v>
      </c>
      <c r="J1484" s="11" t="str">
        <f>IF(D1484&lt;&gt;"",VLOOKUP(H1484,TABLEITEM,5,FALSE),"")</f>
        <v>คู่</v>
      </c>
      <c r="K1484" s="12">
        <v>4.58333</v>
      </c>
      <c r="L1484" s="13" t="str">
        <f>IF(D1484&lt;&gt;"",VLOOKUP(H1484,TABLEITEM,2,FALSE),"")</f>
        <v/>
      </c>
      <c r="M1484" s="13" t="str">
        <f>IF(D1484&lt;&gt;"",VLOOKUP(H1484,TABLEITEM,3,FALSE),"")</f>
        <v>ถุงมือผ้า</v>
      </c>
      <c r="N1484" s="14">
        <f>INSTOCK!$I1484*INSTOCK!$K1484</f>
        <v>1649.9988</v>
      </c>
      <c r="O1484" s="4" t="s">
        <v>973</v>
      </c>
      <c r="P1484" s="4"/>
    </row>
    <row r="1485" ht="15.75" hidden="1" customHeight="1">
      <c r="B1485" s="8">
        <v>1801.0</v>
      </c>
      <c r="C1485" s="9">
        <v>43468.0</v>
      </c>
      <c r="D1485" s="6" t="s">
        <v>1955</v>
      </c>
      <c r="E1485" s="4">
        <v>6.112001677E9</v>
      </c>
      <c r="F1485" s="8" t="s">
        <v>604</v>
      </c>
      <c r="G1485" s="4" t="s">
        <v>665</v>
      </c>
      <c r="H1485" s="10" t="s">
        <v>479</v>
      </c>
      <c r="I1485" s="10">
        <v>500.0</v>
      </c>
      <c r="J1485" s="11" t="str">
        <f>IF(D1485&lt;&gt;"",VLOOKUP(H1485,TABLEITEM,5,FALSE),"")</f>
        <v>M</v>
      </c>
      <c r="K1485" s="12">
        <v>9.8</v>
      </c>
      <c r="L1485" s="13" t="str">
        <f>IF(D1485&lt;&gt;"",VLOOKUP(H1485,TABLEITEM,2,FALSE),"")</f>
        <v>wire</v>
      </c>
      <c r="M1485" s="13" t="str">
        <f>IF(D1485&lt;&gt;"",VLOOKUP(H1485,TABLEITEM,3,FALSE),"")</f>
        <v>สายไฟ VSF1x2.5 SQMM.สีเหลือง</v>
      </c>
      <c r="N1485" s="14">
        <f>INSTOCK!$I1485*INSTOCK!$K1485</f>
        <v>4900</v>
      </c>
      <c r="O1485" s="4"/>
      <c r="P1485" s="4"/>
    </row>
    <row r="1486" ht="15.75" hidden="1" customHeight="1">
      <c r="B1486" s="8">
        <v>1802.0</v>
      </c>
      <c r="C1486" s="9">
        <v>43468.0</v>
      </c>
      <c r="D1486" s="6" t="s">
        <v>1956</v>
      </c>
      <c r="E1486" s="4">
        <v>6.201000002E9</v>
      </c>
      <c r="F1486" s="8" t="s">
        <v>807</v>
      </c>
      <c r="G1486" s="4" t="s">
        <v>808</v>
      </c>
      <c r="H1486" s="10" t="s">
        <v>809</v>
      </c>
      <c r="I1486" s="10">
        <v>1.0</v>
      </c>
      <c r="J1486" s="11" t="str">
        <f>IF(D1486&lt;&gt;"",VLOOKUP(H1486,TABLEITEM,5,FALSE),"")</f>
        <v>ท่อ</v>
      </c>
      <c r="K1486" s="12">
        <v>2700.0</v>
      </c>
      <c r="L1486" s="13" t="str">
        <f>IF(D1486&lt;&gt;"",VLOOKUP(H1486,TABLEITEM,2,FALSE),"")</f>
        <v/>
      </c>
      <c r="M1486" s="13" t="str">
        <f>IF(D1486&lt;&gt;"",VLOOKUP(H1486,TABLEITEM,3,FALSE),"")</f>
        <v>ไนโตรเจนเหลว ขนาด 100คิว</v>
      </c>
      <c r="N1486" s="14">
        <f>INSTOCK!$I1486*INSTOCK!$K1486</f>
        <v>2700</v>
      </c>
      <c r="O1486" s="4"/>
      <c r="P1486" s="4"/>
    </row>
    <row r="1487" ht="15.75" hidden="1" customHeight="1">
      <c r="B1487" s="8">
        <v>1803.0</v>
      </c>
      <c r="C1487" s="9">
        <v>43468.0</v>
      </c>
      <c r="D1487" s="6" t="s">
        <v>1956</v>
      </c>
      <c r="E1487" s="4">
        <v>6.201000002E9</v>
      </c>
      <c r="F1487" s="8" t="s">
        <v>807</v>
      </c>
      <c r="G1487" s="4" t="s">
        <v>808</v>
      </c>
      <c r="H1487" s="10" t="s">
        <v>1957</v>
      </c>
      <c r="I1487" s="10">
        <v>1.0</v>
      </c>
      <c r="J1487" s="11" t="str">
        <f>IF(D1487&lt;&gt;"",VLOOKUP(H1487,TABLEITEM,5,FALSE),"")</f>
        <v>EA</v>
      </c>
      <c r="K1487" s="12">
        <v>180.0</v>
      </c>
      <c r="L1487" s="13" t="str">
        <f>IF(D1487&lt;&gt;"",VLOOKUP(H1487,TABLEITEM,2,FALSE),"")</f>
        <v/>
      </c>
      <c r="M1487" s="13" t="str">
        <f>IF(D1487&lt;&gt;"",VLOOKUP(H1487,TABLEITEM,3,FALSE),"")</f>
        <v>ไนโตรเจน ขนาด 6Q </v>
      </c>
      <c r="N1487" s="14">
        <f>INSTOCK!$I1487*INSTOCK!$K1487</f>
        <v>180</v>
      </c>
      <c r="O1487" s="4"/>
      <c r="P1487" s="4"/>
    </row>
    <row r="1488" ht="15.75" hidden="1" customHeight="1">
      <c r="B1488" s="8">
        <v>1804.0</v>
      </c>
      <c r="C1488" s="9">
        <v>43468.0</v>
      </c>
      <c r="D1488" s="6">
        <v>6201020.0</v>
      </c>
      <c r="E1488" s="4">
        <v>6.11200168E9</v>
      </c>
      <c r="F1488" s="8" t="s">
        <v>604</v>
      </c>
      <c r="G1488" s="4" t="s">
        <v>1100</v>
      </c>
      <c r="H1488" s="10" t="s">
        <v>276</v>
      </c>
      <c r="I1488" s="10">
        <v>2500.0</v>
      </c>
      <c r="J1488" s="11" t="str">
        <f>IF(D1488&lt;&gt;"",VLOOKUP(H1488,TABLEITEM,5,FALSE),"")</f>
        <v>EA</v>
      </c>
      <c r="K1488" s="12">
        <v>0.663</v>
      </c>
      <c r="L1488" s="13" t="str">
        <f>IF(D1488&lt;&gt;"",VLOOKUP(H1488,TABLEITEM,2,FALSE),"")</f>
        <v/>
      </c>
      <c r="M1488" s="13" t="str">
        <f>IF(D1488&lt;&gt;"",VLOOKUP(H1488,TABLEITEM,3,FALSE),"")</f>
        <v>หางปลากลมเปลือย 2-5</v>
      </c>
      <c r="N1488" s="14">
        <f>INSTOCK!$I1488*INSTOCK!$K1488</f>
        <v>1657.5</v>
      </c>
      <c r="O1488" s="4" t="s">
        <v>1958</v>
      </c>
      <c r="P1488" s="4"/>
    </row>
    <row r="1489" ht="15.75" hidden="1" customHeight="1">
      <c r="B1489" s="8">
        <v>1805.0</v>
      </c>
      <c r="C1489" s="9">
        <v>43468.0</v>
      </c>
      <c r="D1489" s="6">
        <v>6201020.0</v>
      </c>
      <c r="E1489" s="4">
        <v>6.11200168E9</v>
      </c>
      <c r="F1489" s="8" t="s">
        <v>604</v>
      </c>
      <c r="G1489" s="4" t="s">
        <v>1100</v>
      </c>
      <c r="H1489" s="10" t="s">
        <v>294</v>
      </c>
      <c r="I1489" s="10">
        <v>1000.0</v>
      </c>
      <c r="J1489" s="11" t="str">
        <f>IF(D1489&lt;&gt;"",VLOOKUP(H1489,TABLEITEM,5,FALSE),"")</f>
        <v>EA</v>
      </c>
      <c r="K1489" s="12">
        <v>4.875</v>
      </c>
      <c r="L1489" s="13" t="str">
        <f>IF(D1489&lt;&gt;"",VLOOKUP(H1489,TABLEITEM,2,FALSE),"")</f>
        <v/>
      </c>
      <c r="M1489" s="13" t="str">
        <f>IF(D1489&lt;&gt;"",VLOOKUP(H1489,TABLEITEM,3,FALSE),"")</f>
        <v>หางปลากลมเปลือย 14-8</v>
      </c>
      <c r="N1489" s="14">
        <f>INSTOCK!$I1489*INSTOCK!$K1489</f>
        <v>4875</v>
      </c>
      <c r="O1489" s="4" t="s">
        <v>1959</v>
      </c>
      <c r="P1489" s="4"/>
    </row>
    <row r="1490" ht="15.75" hidden="1" customHeight="1">
      <c r="B1490" s="8">
        <v>1806.0</v>
      </c>
      <c r="C1490" s="9">
        <v>43468.0</v>
      </c>
      <c r="D1490" s="6" t="s">
        <v>1960</v>
      </c>
      <c r="E1490" s="4">
        <v>6.112001693E9</v>
      </c>
      <c r="F1490" s="8" t="s">
        <v>1961</v>
      </c>
      <c r="G1490" s="4" t="s">
        <v>1962</v>
      </c>
      <c r="H1490" s="10" t="s">
        <v>1963</v>
      </c>
      <c r="I1490" s="10">
        <v>1.0</v>
      </c>
      <c r="J1490" s="11" t="str">
        <f>IF(D1490&lt;&gt;"",VLOOKUP(H1490,TABLEITEM,5,FALSE),"")</f>
        <v>EA</v>
      </c>
      <c r="K1490" s="12">
        <v>4200.0</v>
      </c>
      <c r="L1490" s="13" t="str">
        <f>IF(D1490&lt;&gt;"",VLOOKUP(H1490,TABLEITEM,2,FALSE),"")</f>
        <v/>
      </c>
      <c r="M1490" s="13" t="str">
        <f>IF(D1490&lt;&gt;"",VLOOKUP(H1490,TABLEITEM,3,FALSE),"")</f>
        <v>SURGE STPT240K275V-4P AC230VAC 4P 40A</v>
      </c>
      <c r="N1490" s="14">
        <f>INSTOCK!$I1490*INSTOCK!$K1490</f>
        <v>4200</v>
      </c>
      <c r="O1490" s="4"/>
      <c r="P1490" s="4" t="s">
        <v>1964</v>
      </c>
    </row>
    <row r="1491" ht="15.75" hidden="1" customHeight="1">
      <c r="B1491" s="8">
        <v>1807.0</v>
      </c>
      <c r="C1491" s="9">
        <v>43468.0</v>
      </c>
      <c r="D1491" s="6" t="s">
        <v>1965</v>
      </c>
      <c r="E1491" s="4">
        <v>6.11200167E9</v>
      </c>
      <c r="F1491" s="8" t="s">
        <v>604</v>
      </c>
      <c r="G1491" s="4" t="s">
        <v>725</v>
      </c>
      <c r="H1491" s="10" t="s">
        <v>1966</v>
      </c>
      <c r="I1491" s="10">
        <v>800.0</v>
      </c>
      <c r="J1491" s="11" t="str">
        <f>IF(D1491&lt;&gt;"",VLOOKUP(H1491,TABLEITEM,5,FALSE),"")</f>
        <v>M</v>
      </c>
      <c r="K1491" s="12">
        <v>13.0</v>
      </c>
      <c r="L1491" s="13" t="str">
        <f>IF(D1491&lt;&gt;"",VLOOKUP(H1491,TABLEITEM,2,FALSE),"")</f>
        <v/>
      </c>
      <c r="M1491" s="13" t="str">
        <f>IF(D1491&lt;&gt;"",VLOOKUP(H1491,TABLEITEM,3,FALSE),"")</f>
        <v>ยางฟองน้ำแถบกาว 3mm.X13m. </v>
      </c>
      <c r="N1491" s="14">
        <f>INSTOCK!$I1491*INSTOCK!$K1491</f>
        <v>10400</v>
      </c>
      <c r="O1491" s="4"/>
      <c r="P1491" s="4"/>
    </row>
    <row r="1492" ht="15.75" hidden="1" customHeight="1">
      <c r="B1492" s="8">
        <v>1808.0</v>
      </c>
      <c r="C1492" s="9">
        <v>43468.0</v>
      </c>
      <c r="D1492" s="6" t="s">
        <v>1965</v>
      </c>
      <c r="E1492" s="4">
        <v>6.11200167E9</v>
      </c>
      <c r="F1492" s="8" t="s">
        <v>604</v>
      </c>
      <c r="G1492" s="4" t="s">
        <v>725</v>
      </c>
      <c r="H1492" s="10" t="s">
        <v>726</v>
      </c>
      <c r="I1492" s="10">
        <v>500.0</v>
      </c>
      <c r="J1492" s="11" t="str">
        <f>IF(D1492&lt;&gt;"",VLOOKUP(H1492,TABLEITEM,5,FALSE),"")</f>
        <v>M</v>
      </c>
      <c r="K1492" s="12">
        <v>10.0</v>
      </c>
      <c r="L1492" s="13" t="str">
        <f>IF(D1492&lt;&gt;"",VLOOKUP(H1492,TABLEITEM,2,FALSE),"")</f>
        <v/>
      </c>
      <c r="M1492" s="13" t="str">
        <f>IF(D1492&lt;&gt;"",VLOOKUP(H1492,TABLEITEM,3,FALSE),"")</f>
        <v>ยางกันบาดร่อง 10มิล</v>
      </c>
      <c r="N1492" s="14">
        <f>INSTOCK!$I1492*INSTOCK!$K1492</f>
        <v>5000</v>
      </c>
      <c r="O1492" s="4"/>
      <c r="P1492" s="4"/>
    </row>
    <row r="1493" ht="15.75" hidden="1" customHeight="1">
      <c r="B1493" s="8">
        <v>1809.0</v>
      </c>
      <c r="C1493" s="9">
        <v>43468.0</v>
      </c>
      <c r="D1493" s="6" t="s">
        <v>1967</v>
      </c>
      <c r="E1493" s="4">
        <v>6.112001676E9</v>
      </c>
      <c r="F1493" s="8" t="s">
        <v>604</v>
      </c>
      <c r="G1493" s="4" t="s">
        <v>1904</v>
      </c>
      <c r="H1493" s="10" t="s">
        <v>213</v>
      </c>
      <c r="I1493" s="10">
        <v>400.0</v>
      </c>
      <c r="J1493" s="11" t="str">
        <f>IF(D1493&lt;&gt;"",VLOOKUP(H1493,TABLEITEM,5,FALSE),"")</f>
        <v>M</v>
      </c>
      <c r="K1493" s="12">
        <v>4.95</v>
      </c>
      <c r="L1493" s="13" t="str">
        <f>IF(D1493&lt;&gt;"",VLOOKUP(H1493,TABLEITEM,2,FALSE),"")</f>
        <v/>
      </c>
      <c r="M1493" s="13" t="str">
        <f>IF(D1493&lt;&gt;"",VLOOKUP(H1493,TABLEITEM,3,FALSE),"")</f>
        <v>TUEB 3.2</v>
      </c>
      <c r="N1493" s="14">
        <f>INSTOCK!$I1493*INSTOCK!$K1493</f>
        <v>1980</v>
      </c>
      <c r="O1493" s="4" t="s">
        <v>214</v>
      </c>
      <c r="P1493" s="4"/>
    </row>
    <row r="1494" ht="15.75" hidden="1" customHeight="1">
      <c r="B1494" s="8">
        <v>1810.0</v>
      </c>
      <c r="C1494" s="9">
        <v>43467.0</v>
      </c>
      <c r="D1494" s="6" t="s">
        <v>1968</v>
      </c>
      <c r="E1494" s="4">
        <v>6.201000004E9</v>
      </c>
      <c r="F1494" s="8" t="s">
        <v>1969</v>
      </c>
      <c r="G1494" s="4" t="s">
        <v>1485</v>
      </c>
      <c r="H1494" s="10" t="s">
        <v>1970</v>
      </c>
      <c r="I1494" s="10">
        <v>1.0</v>
      </c>
      <c r="J1494" s="11" t="str">
        <f>IF(D1494&lt;&gt;"",VLOOKUP(H1494,TABLEITEM,5,FALSE),"")</f>
        <v>EA</v>
      </c>
      <c r="K1494" s="12">
        <v>4054.9</v>
      </c>
      <c r="L1494" s="13" t="str">
        <f>IF(D1494&lt;&gt;"",VLOOKUP(H1494,TABLEITEM,2,FALSE),"")</f>
        <v/>
      </c>
      <c r="M1494" s="13" t="str">
        <f>IF(D1494&lt;&gt;"",VLOOKUP(H1494,TABLEITEM,3,FALSE),"")</f>
        <v>MCCB NSX 250N 3P 250 A</v>
      </c>
      <c r="N1494" s="14">
        <f>INSTOCK!$I1494*INSTOCK!$K1494</f>
        <v>4054.9</v>
      </c>
      <c r="O1494" s="4"/>
      <c r="P1494" s="4"/>
    </row>
    <row r="1495" ht="15.75" hidden="1" customHeight="1">
      <c r="B1495" s="8">
        <v>1811.0</v>
      </c>
      <c r="C1495" s="9">
        <v>43468.0</v>
      </c>
      <c r="D1495" s="6" t="s">
        <v>1971</v>
      </c>
      <c r="E1495" s="4">
        <v>6.11200166E9</v>
      </c>
      <c r="F1495" s="8" t="s">
        <v>604</v>
      </c>
      <c r="G1495" s="4" t="s">
        <v>617</v>
      </c>
      <c r="H1495" s="10" t="s">
        <v>536</v>
      </c>
      <c r="I1495" s="10">
        <v>50.0</v>
      </c>
      <c r="J1495" s="11" t="str">
        <f>IF(D1495&lt;&gt;"",VLOOKUP(H1495,TABLEITEM,5,FALSE),"")</f>
        <v>M</v>
      </c>
      <c r="K1495" s="12">
        <v>177.6</v>
      </c>
      <c r="L1495" s="13" t="str">
        <f>IF(D1495&lt;&gt;"",VLOOKUP(H1495,TABLEITEM,2,FALSE),"")</f>
        <v>Busbar</v>
      </c>
      <c r="M1495" s="13" t="str">
        <f>IF(D1495&lt;&gt;"",VLOOKUP(H1495,TABLEITEM,3,FALSE),"")</f>
        <v>บัสบาร์ทองแดง 1"x1/8"</v>
      </c>
      <c r="N1495" s="14">
        <f>INSTOCK!$I1495*INSTOCK!$K1495</f>
        <v>8880</v>
      </c>
      <c r="O1495" s="4" t="s">
        <v>1972</v>
      </c>
      <c r="P1495" s="4"/>
    </row>
    <row r="1496" ht="15.75" hidden="1" customHeight="1">
      <c r="B1496" s="8">
        <v>1812.0</v>
      </c>
      <c r="C1496" s="9">
        <v>43469.0</v>
      </c>
      <c r="D1496" s="6">
        <v>37011.0</v>
      </c>
      <c r="E1496" s="4">
        <v>6.112001697E9</v>
      </c>
      <c r="F1496" s="8" t="s">
        <v>1973</v>
      </c>
      <c r="G1496" s="4" t="s">
        <v>696</v>
      </c>
      <c r="H1496" s="10" t="s">
        <v>1974</v>
      </c>
      <c r="I1496" s="10">
        <v>1.0</v>
      </c>
      <c r="J1496" s="11" t="str">
        <f>IF(D1496&lt;&gt;"",VLOOKUP(H1496,TABLEITEM,5,FALSE),"")</f>
        <v>pcs</v>
      </c>
      <c r="K1496" s="12">
        <v>1900.0</v>
      </c>
      <c r="L1496" s="13" t="str">
        <f>IF(D1496&lt;&gt;"",VLOOKUP(H1496,TABLEITEM,2,FALSE),"")</f>
        <v/>
      </c>
      <c r="M1496" s="13" t="str">
        <f>IF(D1496&lt;&gt;"",VLOOKUP(H1496,TABLEITEM,3,FALSE),"")</f>
        <v>พัดลมติดผนัง 22" IW22M1</v>
      </c>
      <c r="N1496" s="14">
        <f>INSTOCK!$I1496*INSTOCK!$K1496</f>
        <v>1900</v>
      </c>
      <c r="O1496" s="4"/>
      <c r="P1496" s="4" t="s">
        <v>1975</v>
      </c>
    </row>
    <row r="1497" ht="15.75" hidden="1" customHeight="1">
      <c r="B1497" s="8">
        <v>1813.0</v>
      </c>
      <c r="C1497" s="9">
        <v>43467.0</v>
      </c>
      <c r="D1497" s="6" t="s">
        <v>1976</v>
      </c>
      <c r="E1497" s="4">
        <v>6.201000003E9</v>
      </c>
      <c r="F1497" s="8" t="s">
        <v>1961</v>
      </c>
      <c r="G1497" s="4" t="s">
        <v>1512</v>
      </c>
      <c r="H1497" s="10" t="s">
        <v>1977</v>
      </c>
      <c r="I1497" s="10">
        <v>1.0</v>
      </c>
      <c r="J1497" s="11" t="str">
        <f>IF(D1497&lt;&gt;"",VLOOKUP(H1497,TABLEITEM,5,FALSE),"")</f>
        <v>EA</v>
      </c>
      <c r="K1497" s="12">
        <v>1394.6175</v>
      </c>
      <c r="L1497" s="13" t="str">
        <f>IF(D1497&lt;&gt;"",VLOOKUP(H1497,TABLEITEM,2,FALSE),"")</f>
        <v/>
      </c>
      <c r="M1497" s="13" t="str">
        <f>IF(D1497&lt;&gt;"",VLOOKUP(H1497,TABLEITEM,3,FALSE),"")</f>
        <v>MCCB 3P 30AT/125AF 36KA</v>
      </c>
      <c r="N1497" s="14">
        <f>INSTOCK!$I1497*INSTOCK!$K1497</f>
        <v>1394.6175</v>
      </c>
      <c r="O1497" s="4" t="s">
        <v>1978</v>
      </c>
      <c r="P1497" s="4"/>
    </row>
    <row r="1498" ht="15.75" hidden="1" customHeight="1">
      <c r="B1498" s="8">
        <v>1814.0</v>
      </c>
      <c r="C1498" s="9">
        <v>43467.0</v>
      </c>
      <c r="D1498" s="6" t="s">
        <v>1976</v>
      </c>
      <c r="E1498" s="4">
        <v>6.201000003E9</v>
      </c>
      <c r="F1498" s="8" t="s">
        <v>1961</v>
      </c>
      <c r="G1498" s="4" t="s">
        <v>1512</v>
      </c>
      <c r="H1498" s="10" t="s">
        <v>1979</v>
      </c>
      <c r="I1498" s="10">
        <v>3.0</v>
      </c>
      <c r="J1498" s="11" t="str">
        <f>IF(D1498&lt;&gt;"",VLOOKUP(H1498,TABLEITEM,5,FALSE),"")</f>
        <v>EA</v>
      </c>
      <c r="K1498" s="12">
        <v>1001.7675</v>
      </c>
      <c r="L1498" s="13" t="str">
        <f>IF(D1498&lt;&gt;"",VLOOKUP(H1498,TABLEITEM,2,FALSE),"")</f>
        <v/>
      </c>
      <c r="M1498" s="13" t="str">
        <f>IF(D1498&lt;&gt;"",VLOOKUP(H1498,TABLEITEM,3,FALSE),"")</f>
        <v>MCCB 2P 30AT/125AF 50KA</v>
      </c>
      <c r="N1498" s="14">
        <f>INSTOCK!$I1498*INSTOCK!$K1498</f>
        <v>3005.3025</v>
      </c>
      <c r="O1498" s="4" t="s">
        <v>1980</v>
      </c>
      <c r="P1498" s="4"/>
    </row>
    <row r="1499" ht="15.75" hidden="1" customHeight="1">
      <c r="B1499" s="8">
        <v>1815.0</v>
      </c>
      <c r="C1499" s="9">
        <v>43467.0</v>
      </c>
      <c r="D1499" s="6">
        <v>6.20100035E8</v>
      </c>
      <c r="E1499" s="4">
        <v>6.112001692E9</v>
      </c>
      <c r="F1499" s="8">
        <v>612657.0</v>
      </c>
      <c r="G1499" s="4" t="s">
        <v>1130</v>
      </c>
      <c r="H1499" s="10" t="s">
        <v>1981</v>
      </c>
      <c r="I1499" s="10">
        <v>3.0</v>
      </c>
      <c r="J1499" s="11" t="str">
        <f>IF(D1499&lt;&gt;"",VLOOKUP(H1499,TABLEITEM,5,FALSE),"")</f>
        <v>EA</v>
      </c>
      <c r="K1499" s="12">
        <v>121.12333</v>
      </c>
      <c r="L1499" s="13" t="str">
        <f>IF(D1499&lt;&gt;"",VLOOKUP(H1499,TABLEITEM,2,FALSE),"")</f>
        <v/>
      </c>
      <c r="M1499" s="13" t="str">
        <f>IF(D1499&lt;&gt;"",VLOOKUP(H1499,TABLEITEM,3,FALSE),"")</f>
        <v>CT30/5 MSQ40</v>
      </c>
      <c r="N1499" s="14">
        <f>INSTOCK!$I1499*INSTOCK!$K1499</f>
        <v>363.36999</v>
      </c>
      <c r="O1499" s="4" t="s">
        <v>1898</v>
      </c>
      <c r="P1499" s="4"/>
    </row>
    <row r="1500" ht="15.75" hidden="1" customHeight="1">
      <c r="B1500" s="8">
        <v>1816.0</v>
      </c>
      <c r="C1500" s="9">
        <v>43469.0</v>
      </c>
      <c r="D1500" s="6" t="s">
        <v>1982</v>
      </c>
      <c r="E1500" s="4" t="s">
        <v>1983</v>
      </c>
      <c r="F1500" s="8" t="s">
        <v>1984</v>
      </c>
      <c r="G1500" s="4" t="s">
        <v>1985</v>
      </c>
      <c r="H1500" s="10" t="s">
        <v>1986</v>
      </c>
      <c r="I1500" s="10">
        <v>1.0</v>
      </c>
      <c r="J1500" s="11" t="str">
        <f>IF(D1500&lt;&gt;"",VLOOKUP(H1500,TABLEITEM,5,FALSE),"")</f>
        <v>คู่</v>
      </c>
      <c r="K1500" s="12">
        <v>560.0</v>
      </c>
      <c r="L1500" s="13" t="str">
        <f>IF(D1500&lt;&gt;"",VLOOKUP(H1500,TABLEITEM,2,FALSE),"")</f>
        <v/>
      </c>
      <c r="M1500" s="13" t="str">
        <f>IF(D1500&lt;&gt;"",VLOOKUP(H1500,TABLEITEM,3,FALSE),"")</f>
        <v>รองเท้าหุ้มข้อหนังอัดลาย CB102</v>
      </c>
      <c r="N1500" s="14">
        <f>INSTOCK!$I1500*INSTOCK!$K1500</f>
        <v>560</v>
      </c>
      <c r="O1500" s="4"/>
      <c r="P1500" s="4"/>
    </row>
    <row r="1501" ht="15.75" hidden="1" customHeight="1">
      <c r="B1501" s="8">
        <v>1817.0</v>
      </c>
      <c r="C1501" s="9">
        <v>43469.0</v>
      </c>
      <c r="D1501" s="6" t="s">
        <v>1982</v>
      </c>
      <c r="E1501" s="4" t="s">
        <v>1983</v>
      </c>
      <c r="F1501" s="8" t="s">
        <v>1984</v>
      </c>
      <c r="G1501" s="4" t="s">
        <v>1985</v>
      </c>
      <c r="H1501" s="10" t="s">
        <v>1986</v>
      </c>
      <c r="I1501" s="10">
        <v>1.0</v>
      </c>
      <c r="J1501" s="11" t="str">
        <f>IF(D1501&lt;&gt;"",VLOOKUP(H1501,TABLEITEM,5,FALSE),"")</f>
        <v>คู่</v>
      </c>
      <c r="K1501" s="12">
        <v>560.0</v>
      </c>
      <c r="L1501" s="13" t="str">
        <f>IF(D1501&lt;&gt;"",VLOOKUP(H1501,TABLEITEM,2,FALSE),"")</f>
        <v/>
      </c>
      <c r="M1501" s="13" t="str">
        <f>IF(D1501&lt;&gt;"",VLOOKUP(H1501,TABLEITEM,3,FALSE),"")</f>
        <v>รองเท้าหุ้มข้อหนังอัดลาย CB102</v>
      </c>
      <c r="N1501" s="14">
        <f>INSTOCK!$I1501*INSTOCK!$K1501</f>
        <v>560</v>
      </c>
      <c r="O1501" s="4"/>
      <c r="P1501" s="4"/>
    </row>
    <row r="1502" ht="15.75" hidden="1" customHeight="1">
      <c r="B1502" s="8">
        <v>1818.0</v>
      </c>
      <c r="C1502" s="9">
        <v>43556.0</v>
      </c>
      <c r="D1502" s="6" t="s">
        <v>1987</v>
      </c>
      <c r="E1502" s="4">
        <v>6.112001669E9</v>
      </c>
      <c r="F1502" s="8" t="s">
        <v>604</v>
      </c>
      <c r="G1502" s="4" t="s">
        <v>1033</v>
      </c>
      <c r="H1502" s="10" t="s">
        <v>1176</v>
      </c>
      <c r="I1502" s="10">
        <v>1000.0</v>
      </c>
      <c r="J1502" s="11" t="str">
        <f>IF(D1502&lt;&gt;"",VLOOKUP(H1502,TABLEITEM,5,FALSE),"")</f>
        <v>EA</v>
      </c>
      <c r="K1502" s="12">
        <v>4.5</v>
      </c>
      <c r="L1502" s="13" t="str">
        <f>IF(D1502&lt;&gt;"",VLOOKUP(H1502,TABLEITEM,2,FALSE),"")</f>
        <v/>
      </c>
      <c r="M1502" s="13" t="str">
        <f>IF(D1502&lt;&gt;"",VLOOKUP(H1502,TABLEITEM,3,FALSE),"")</f>
        <v>กระดาษทรายกลม#80</v>
      </c>
      <c r="N1502" s="14">
        <f>INSTOCK!$I1502*INSTOCK!$K1502</f>
        <v>4500</v>
      </c>
      <c r="O1502" s="4"/>
      <c r="P1502" s="4"/>
    </row>
    <row r="1503" ht="15.75" hidden="1" customHeight="1">
      <c r="B1503" s="8">
        <v>1819.0</v>
      </c>
      <c r="C1503" s="9">
        <v>43425.0</v>
      </c>
      <c r="D1503" s="6" t="s">
        <v>1988</v>
      </c>
      <c r="E1503" s="4">
        <v>6.111001473E9</v>
      </c>
      <c r="F1503" s="8" t="s">
        <v>1989</v>
      </c>
      <c r="G1503" s="4" t="s">
        <v>1990</v>
      </c>
      <c r="H1503" s="10" t="s">
        <v>1991</v>
      </c>
      <c r="I1503" s="10">
        <v>12.0</v>
      </c>
      <c r="J1503" s="11" t="str">
        <f>IF(D1503&lt;&gt;"",VLOOKUP(H1503,TABLEITEM,5,FALSE),"")</f>
        <v>EA</v>
      </c>
      <c r="K1503" s="12">
        <v>8.5</v>
      </c>
      <c r="L1503" s="13" t="str">
        <f>IF(D1503&lt;&gt;"",VLOOKUP(H1503,TABLEITEM,2,FALSE),"")</f>
        <v/>
      </c>
      <c r="M1503" s="13" t="str">
        <f>IF(D1503&lt;&gt;"",VLOOKUP(H1503,TABLEITEM,3,FALSE),"")</f>
        <v>ปากกาเคมี/มาร์คเกอร์ ตราม้า 2หัว น้ำเงิน</v>
      </c>
      <c r="N1503" s="14">
        <f>INSTOCK!$I1503*INSTOCK!$K1503</f>
        <v>102</v>
      </c>
      <c r="O1503" s="4"/>
      <c r="P1503" s="4"/>
    </row>
    <row r="1504" ht="15.75" hidden="1" customHeight="1">
      <c r="B1504" s="8">
        <v>1820.0</v>
      </c>
      <c r="C1504" s="9">
        <v>43425.0</v>
      </c>
      <c r="D1504" s="6" t="s">
        <v>1988</v>
      </c>
      <c r="E1504" s="4">
        <v>6.111001473E9</v>
      </c>
      <c r="F1504" s="8" t="s">
        <v>1989</v>
      </c>
      <c r="G1504" s="4" t="s">
        <v>1990</v>
      </c>
      <c r="H1504" s="10" t="s">
        <v>1992</v>
      </c>
      <c r="I1504" s="10">
        <v>2.0</v>
      </c>
      <c r="J1504" s="11" t="str">
        <f>IF(D1504&lt;&gt;"",VLOOKUP(H1504,TABLEITEM,5,FALSE),"")</f>
        <v>PACK</v>
      </c>
      <c r="K1504" s="12">
        <v>119.0</v>
      </c>
      <c r="L1504" s="13" t="str">
        <f>IF(D1504&lt;&gt;"",VLOOKUP(H1504,TABLEITEM,2,FALSE),"")</f>
        <v/>
      </c>
      <c r="M1504" s="13" t="str">
        <f>IF(D1504&lt;&gt;"",VLOOKUP(H1504,TABLEITEM,3,FALSE),"")</f>
        <v>ถ่านอัลคาไลน์ Panasonic AA (แพ็ค 8ก้อน)</v>
      </c>
      <c r="N1504" s="14">
        <f>INSTOCK!$I1504*INSTOCK!$K1504</f>
        <v>238</v>
      </c>
      <c r="O1504" s="4"/>
      <c r="P1504" s="4"/>
    </row>
    <row r="1505" ht="15.75" hidden="1" customHeight="1">
      <c r="B1505" s="8">
        <v>1821.0</v>
      </c>
      <c r="C1505" s="9">
        <v>43425.0</v>
      </c>
      <c r="D1505" s="6" t="s">
        <v>1988</v>
      </c>
      <c r="E1505" s="4">
        <v>6.111001473E9</v>
      </c>
      <c r="F1505" s="8" t="s">
        <v>1989</v>
      </c>
      <c r="G1505" s="4" t="s">
        <v>1990</v>
      </c>
      <c r="H1505" s="10" t="s">
        <v>1993</v>
      </c>
      <c r="I1505" s="10">
        <v>3.0</v>
      </c>
      <c r="J1505" s="11" t="str">
        <f>IF(D1505&lt;&gt;"",VLOOKUP(H1505,TABLEITEM,5,FALSE),"")</f>
        <v>PACK</v>
      </c>
      <c r="K1505" s="12">
        <v>120.0</v>
      </c>
      <c r="L1505" s="13" t="str">
        <f>IF(D1505&lt;&gt;"",VLOOKUP(H1505,TABLEITEM,2,FALSE),"")</f>
        <v/>
      </c>
      <c r="M1505" s="13" t="str">
        <f>IF(D1505&lt;&gt;"",VLOOKUP(H1505,TABLEITEM,3,FALSE),"")</f>
        <v>ถ่านอัลคาไลน์ 9V panasonic</v>
      </c>
      <c r="N1505" s="14">
        <f>INSTOCK!$I1505*INSTOCK!$K1505</f>
        <v>360</v>
      </c>
      <c r="O1505" s="4"/>
      <c r="P1505" s="4"/>
    </row>
    <row r="1506" ht="15.75" hidden="1" customHeight="1">
      <c r="B1506" s="8">
        <v>1822.0</v>
      </c>
      <c r="C1506" s="9">
        <v>43425.0</v>
      </c>
      <c r="D1506" s="6" t="s">
        <v>1988</v>
      </c>
      <c r="E1506" s="4">
        <v>6.111001473E9</v>
      </c>
      <c r="F1506" s="8" t="s">
        <v>1989</v>
      </c>
      <c r="G1506" s="4" t="s">
        <v>1990</v>
      </c>
      <c r="H1506" s="10" t="s">
        <v>1994</v>
      </c>
      <c r="I1506" s="10">
        <v>1.0</v>
      </c>
      <c r="J1506" s="11" t="str">
        <f>IF(D1506&lt;&gt;"",VLOOKUP(H1506,TABLEITEM,5,FALSE),"")</f>
        <v>ชุด</v>
      </c>
      <c r="K1506" s="12">
        <v>145.0</v>
      </c>
      <c r="L1506" s="13" t="str">
        <f>IF(D1506&lt;&gt;"",VLOOKUP(H1506,TABLEITEM,2,FALSE),"")</f>
        <v/>
      </c>
      <c r="M1506" s="13" t="str">
        <f>IF(D1506&lt;&gt;"",VLOOKUP(H1506,TABLEITEM,3,FALSE),"")</f>
        <v>กระดาษถ่ายเอกสารสี ตราช้าง สีเขียวอ่อน 259754.8แกรม (500แผ่น)</v>
      </c>
      <c r="N1506" s="14">
        <f>INSTOCK!$I1506*INSTOCK!$K1506</f>
        <v>145</v>
      </c>
      <c r="O1506" s="4"/>
      <c r="P1506" s="4"/>
    </row>
    <row r="1507" ht="15.75" hidden="1" customHeight="1">
      <c r="B1507" s="8">
        <v>1823.0</v>
      </c>
      <c r="C1507" s="9">
        <v>43425.0</v>
      </c>
      <c r="D1507" s="6" t="s">
        <v>1988</v>
      </c>
      <c r="E1507" s="4">
        <v>6.111001473E9</v>
      </c>
      <c r="F1507" s="8" t="s">
        <v>1989</v>
      </c>
      <c r="G1507" s="4" t="s">
        <v>1990</v>
      </c>
      <c r="H1507" s="10" t="s">
        <v>1995</v>
      </c>
      <c r="I1507" s="10">
        <v>6.0</v>
      </c>
      <c r="J1507" s="11" t="str">
        <f>IF(D1507&lt;&gt;"",VLOOKUP(H1507,TABLEITEM,5,FALSE),"")</f>
        <v>EA</v>
      </c>
      <c r="K1507" s="12">
        <v>37.0</v>
      </c>
      <c r="L1507" s="13" t="str">
        <f>IF(D1507&lt;&gt;"",VLOOKUP(H1507,TABLEITEM,2,FALSE),"")</f>
        <v/>
      </c>
      <c r="M1507" s="13" t="str">
        <f>IF(D1507&lt;&gt;"",VLOOKUP(H1507,TABLEITEM,3,FALSE),"")</f>
        <v>ปากกาลบคำผิด ควอนตั้ม นอร์ดิค โกล์ด 7มล.</v>
      </c>
      <c r="N1507" s="14">
        <f>INSTOCK!$I1507*INSTOCK!$K1507</f>
        <v>222</v>
      </c>
      <c r="O1507" s="4"/>
      <c r="P1507" s="4"/>
    </row>
    <row r="1508" ht="15.75" hidden="1" customHeight="1">
      <c r="B1508" s="8">
        <v>1824.0</v>
      </c>
      <c r="C1508" s="9">
        <v>43425.0</v>
      </c>
      <c r="D1508" s="6" t="s">
        <v>1988</v>
      </c>
      <c r="E1508" s="4">
        <v>6.111001473E9</v>
      </c>
      <c r="F1508" s="8" t="s">
        <v>1989</v>
      </c>
      <c r="G1508" s="4" t="s">
        <v>1990</v>
      </c>
      <c r="H1508" s="10" t="s">
        <v>1996</v>
      </c>
      <c r="I1508" s="10">
        <v>6.0</v>
      </c>
      <c r="J1508" s="11" t="str">
        <f>IF(D1508&lt;&gt;"",VLOOKUP(H1508,TABLEITEM,5,FALSE),"")</f>
        <v>EA</v>
      </c>
      <c r="K1508" s="12">
        <v>14.0</v>
      </c>
      <c r="L1508" s="13" t="str">
        <f>IF(D1508&lt;&gt;"",VLOOKUP(H1508,TABLEITEM,2,FALSE),"")</f>
        <v/>
      </c>
      <c r="M1508" s="13" t="str">
        <f>IF(D1508&lt;&gt;"",VLOOKUP(H1508,TABLEITEM,3,FALSE),"")</f>
        <v>ปากกาเน้นข้อความ ควอนตั้ม QH-710ชมพู</v>
      </c>
      <c r="N1508" s="14">
        <f>INSTOCK!$I1508*INSTOCK!$K1508</f>
        <v>84</v>
      </c>
      <c r="O1508" s="4"/>
      <c r="P1508" s="4"/>
    </row>
    <row r="1509" ht="15.75" hidden="1" customHeight="1">
      <c r="B1509" s="8">
        <v>1825.0</v>
      </c>
      <c r="C1509" s="9">
        <v>43424.0</v>
      </c>
      <c r="D1509" s="6" t="s">
        <v>1997</v>
      </c>
      <c r="E1509" s="4">
        <v>6.111001398E9</v>
      </c>
      <c r="F1509" s="8" t="s">
        <v>604</v>
      </c>
      <c r="G1509" s="4" t="s">
        <v>1870</v>
      </c>
      <c r="H1509" s="10" t="s">
        <v>1998</v>
      </c>
      <c r="I1509" s="10">
        <v>1000.0</v>
      </c>
      <c r="J1509" s="11" t="str">
        <f>IF(D1509&lt;&gt;"",VLOOKUP(H1509,TABLEITEM,5,FALSE),"")</f>
        <v>EA</v>
      </c>
      <c r="K1509" s="12">
        <v>0.495</v>
      </c>
      <c r="L1509" s="13" t="str">
        <f>IF(D1509&lt;&gt;"",VLOOKUP(H1509,TABLEITEM,2,FALSE),"")</f>
        <v/>
      </c>
      <c r="M1509" s="13" t="str">
        <f>IF(D1509&lt;&gt;"",VLOOKUP(H1509,TABLEITEM,3,FALSE),"")</f>
        <v>แหวนอีแปะ M10   HDG</v>
      </c>
      <c r="N1509" s="14">
        <f>INSTOCK!$I1509*INSTOCK!$K1509</f>
        <v>495</v>
      </c>
      <c r="O1509" s="4" t="s">
        <v>1999</v>
      </c>
      <c r="P1509" s="4"/>
    </row>
    <row r="1510" ht="15.75" hidden="1" customHeight="1">
      <c r="B1510" s="8">
        <v>1826.0</v>
      </c>
      <c r="C1510" s="9">
        <v>43424.0</v>
      </c>
      <c r="D1510" s="6">
        <v>6.11106537E8</v>
      </c>
      <c r="E1510" s="4">
        <v>6.111001474E9</v>
      </c>
      <c r="F1510" s="8"/>
      <c r="G1510" s="4" t="s">
        <v>1130</v>
      </c>
      <c r="H1510" s="10" t="s">
        <v>2000</v>
      </c>
      <c r="I1510" s="10">
        <v>16.0</v>
      </c>
      <c r="J1510" s="11" t="str">
        <f>IF(D1510&lt;&gt;"",VLOOKUP(H1510,TABLEITEM,5,FALSE),"")</f>
        <v>EA</v>
      </c>
      <c r="K1510" s="12">
        <v>1978.0</v>
      </c>
      <c r="L1510" s="13" t="str">
        <f>IF(D1510&lt;&gt;"",VLOOKUP(H1510,TABLEITEM,2,FALSE),"")</f>
        <v/>
      </c>
      <c r="M1510" s="13" t="str">
        <f>IF(D1510&lt;&gt;"",VLOOKUP(H1510,TABLEITEM,3,FALSE),"")</f>
        <v>BREAKER NF125-SV 3P 100A</v>
      </c>
      <c r="N1510" s="14">
        <f>INSTOCK!$I1510*INSTOCK!$K1510</f>
        <v>31648</v>
      </c>
      <c r="O1510" s="4" t="s">
        <v>1603</v>
      </c>
      <c r="P1510" s="4"/>
    </row>
    <row r="1511" ht="15.75" hidden="1" customHeight="1">
      <c r="B1511" s="8">
        <v>1827.0</v>
      </c>
      <c r="C1511" s="9">
        <v>43424.0</v>
      </c>
      <c r="D1511" s="6">
        <v>6.11106537E8</v>
      </c>
      <c r="E1511" s="4">
        <v>6.111001474E9</v>
      </c>
      <c r="F1511" s="8"/>
      <c r="G1511" s="4" t="s">
        <v>1130</v>
      </c>
      <c r="H1511" s="10" t="s">
        <v>1608</v>
      </c>
      <c r="I1511" s="10">
        <v>12.0</v>
      </c>
      <c r="J1511" s="11" t="str">
        <f>IF(D1511&lt;&gt;"",VLOOKUP(H1511,TABLEITEM,5,FALSE),"")</f>
        <v>EA</v>
      </c>
      <c r="K1511" s="12">
        <v>490.2</v>
      </c>
      <c r="L1511" s="13" t="str">
        <f>IF(D1511&lt;&gt;"",VLOOKUP(H1511,TABLEITEM,2,FALSE),"")</f>
        <v/>
      </c>
      <c r="M1511" s="13" t="str">
        <f>IF(D1511&lt;&gt;"",VLOOKUP(H1511,TABLEITEM,3,FALSE),"")</f>
        <v>CIRCUIT CP30-BA 1P 2A</v>
      </c>
      <c r="N1511" s="14">
        <f>INSTOCK!$I1511*INSTOCK!$K1511</f>
        <v>5882.4</v>
      </c>
      <c r="O1511" s="4" t="s">
        <v>1609</v>
      </c>
      <c r="P1511" s="4"/>
    </row>
    <row r="1512" ht="15.75" hidden="1" customHeight="1">
      <c r="B1512" s="8">
        <v>1828.0</v>
      </c>
      <c r="C1512" s="9">
        <v>43424.0</v>
      </c>
      <c r="D1512" s="6">
        <v>6.11106537E8</v>
      </c>
      <c r="E1512" s="4">
        <v>6.111001474E9</v>
      </c>
      <c r="F1512" s="8"/>
      <c r="G1512" s="4" t="s">
        <v>1130</v>
      </c>
      <c r="H1512" s="10" t="s">
        <v>2001</v>
      </c>
      <c r="I1512" s="10">
        <v>4.0</v>
      </c>
      <c r="J1512" s="11" t="str">
        <f>IF(D1512&lt;&gt;"",VLOOKUP(H1512,TABLEITEM,5,FALSE),"")</f>
        <v>EA</v>
      </c>
      <c r="K1512" s="12">
        <v>8096.0</v>
      </c>
      <c r="L1512" s="13" t="str">
        <f>IF(D1512&lt;&gt;"",VLOOKUP(H1512,TABLEITEM,2,FALSE),"")</f>
        <v/>
      </c>
      <c r="M1512" s="13" t="str">
        <f>IF(D1512&lt;&gt;"",VLOOKUP(H1512,TABLEITEM,3,FALSE),"")</f>
        <v>BREAKER NF400-SW 3P 400A</v>
      </c>
      <c r="N1512" s="14">
        <f>INSTOCK!$I1512*INSTOCK!$K1512</f>
        <v>32384</v>
      </c>
      <c r="O1512" s="4" t="s">
        <v>2002</v>
      </c>
      <c r="P1512" s="4"/>
    </row>
    <row r="1513" ht="15.75" hidden="1" customHeight="1">
      <c r="B1513" s="8">
        <v>1829.0</v>
      </c>
      <c r="C1513" s="9">
        <v>43424.0</v>
      </c>
      <c r="D1513" s="6" t="s">
        <v>2003</v>
      </c>
      <c r="E1513" s="4">
        <v>6.111001478E9</v>
      </c>
      <c r="F1513" s="8" t="s">
        <v>1815</v>
      </c>
      <c r="G1513" s="4" t="s">
        <v>1485</v>
      </c>
      <c r="H1513" s="10" t="s">
        <v>2004</v>
      </c>
      <c r="I1513" s="10">
        <v>50.0</v>
      </c>
      <c r="J1513" s="11" t="str">
        <f>IF(D1513&lt;&gt;"",VLOOKUP(H1513,TABLEITEM,5,FALSE),"")</f>
        <v>EA</v>
      </c>
      <c r="K1513" s="12">
        <v>82.0</v>
      </c>
      <c r="L1513" s="13" t="str">
        <f>IF(D1513&lt;&gt;"",VLOOKUP(H1513,TABLEITEM,2,FALSE),"")</f>
        <v/>
      </c>
      <c r="M1513" s="13" t="str">
        <f>IF(D1513&lt;&gt;"",VLOOKUP(H1513,TABLEITEM,3,FALSE),"")</f>
        <v>PILOT LIGHT LED 240V RED</v>
      </c>
      <c r="N1513" s="14">
        <f>INSTOCK!$I1513*INSTOCK!$K1513</f>
        <v>4100</v>
      </c>
      <c r="O1513" s="4"/>
      <c r="P1513" s="4" t="s">
        <v>1487</v>
      </c>
    </row>
    <row r="1514" ht="15.75" hidden="1" customHeight="1">
      <c r="B1514" s="8">
        <v>1830.0</v>
      </c>
      <c r="C1514" s="9">
        <v>43424.0</v>
      </c>
      <c r="D1514" s="6" t="s">
        <v>2003</v>
      </c>
      <c r="E1514" s="4">
        <v>6.111001478E9</v>
      </c>
      <c r="F1514" s="8" t="s">
        <v>1815</v>
      </c>
      <c r="G1514" s="4" t="s">
        <v>1485</v>
      </c>
      <c r="H1514" s="10" t="s">
        <v>2005</v>
      </c>
      <c r="I1514" s="10">
        <v>50.0</v>
      </c>
      <c r="J1514" s="11" t="str">
        <f>IF(D1514&lt;&gt;"",VLOOKUP(H1514,TABLEITEM,5,FALSE),"")</f>
        <v>EA</v>
      </c>
      <c r="K1514" s="12">
        <v>82.0</v>
      </c>
      <c r="L1514" s="13" t="str">
        <f>IF(D1514&lt;&gt;"",VLOOKUP(H1514,TABLEITEM,2,FALSE),"")</f>
        <v/>
      </c>
      <c r="M1514" s="13" t="str">
        <f>IF(D1514&lt;&gt;"",VLOOKUP(H1514,TABLEITEM,3,FALSE),"")</f>
        <v>PILOT LIGHT LED 240V BLUE</v>
      </c>
      <c r="N1514" s="14">
        <f>INSTOCK!$I1514*INSTOCK!$K1514</f>
        <v>4100</v>
      </c>
      <c r="O1514" s="4"/>
      <c r="P1514" s="4" t="s">
        <v>1487</v>
      </c>
    </row>
    <row r="1515" ht="15.75" hidden="1" customHeight="1">
      <c r="B1515" s="8">
        <v>1831.0</v>
      </c>
      <c r="C1515" s="9">
        <v>43424.0</v>
      </c>
      <c r="D1515" s="6" t="s">
        <v>2003</v>
      </c>
      <c r="E1515" s="4">
        <v>6.111001478E9</v>
      </c>
      <c r="F1515" s="8" t="s">
        <v>1815</v>
      </c>
      <c r="G1515" s="4" t="s">
        <v>1485</v>
      </c>
      <c r="H1515" s="10" t="s">
        <v>2006</v>
      </c>
      <c r="I1515" s="10">
        <v>50.0</v>
      </c>
      <c r="J1515" s="11" t="str">
        <f>IF(D1515&lt;&gt;"",VLOOKUP(H1515,TABLEITEM,5,FALSE),"")</f>
        <v>EA</v>
      </c>
      <c r="K1515" s="12">
        <v>82.0</v>
      </c>
      <c r="L1515" s="13" t="str">
        <f>IF(D1515&lt;&gt;"",VLOOKUP(H1515,TABLEITEM,2,FALSE),"")</f>
        <v/>
      </c>
      <c r="M1515" s="13" t="str">
        <f>IF(D1515&lt;&gt;"",VLOOKUP(H1515,TABLEITEM,3,FALSE),"")</f>
        <v>PILOT LIGHT LED 240V GREEN</v>
      </c>
      <c r="N1515" s="14">
        <f>INSTOCK!$I1515*INSTOCK!$K1515</f>
        <v>4100</v>
      </c>
      <c r="O1515" s="4"/>
      <c r="P1515" s="4" t="s">
        <v>1487</v>
      </c>
    </row>
    <row r="1516" ht="15.75" hidden="1" customHeight="1">
      <c r="B1516" s="8">
        <v>1832.0</v>
      </c>
      <c r="C1516" s="9">
        <v>43424.0</v>
      </c>
      <c r="D1516" s="6" t="s">
        <v>2007</v>
      </c>
      <c r="E1516" s="4">
        <v>6.111001461E9</v>
      </c>
      <c r="F1516" s="8" t="s">
        <v>2008</v>
      </c>
      <c r="G1516" s="4" t="s">
        <v>2009</v>
      </c>
      <c r="H1516" s="10" t="s">
        <v>2010</v>
      </c>
      <c r="I1516" s="10">
        <v>1.0</v>
      </c>
      <c r="J1516" s="11" t="str">
        <f>IF(D1516&lt;&gt;"",VLOOKUP(H1516,TABLEITEM,5,FALSE),"")</f>
        <v>EA</v>
      </c>
      <c r="K1516" s="12">
        <v>20000.0</v>
      </c>
      <c r="L1516" s="13" t="str">
        <f>IF(D1516&lt;&gt;"",VLOOKUP(H1516,TABLEITEM,2,FALSE),"")</f>
        <v/>
      </c>
      <c r="M1516" s="13" t="str">
        <f>IF(D1516&lt;&gt;"",VLOOKUP(H1516,TABLEITEM,3,FALSE),"")</f>
        <v>สวิทซ์ลำแสง/ม่านแสง SF4B-H20G</v>
      </c>
      <c r="N1516" s="14">
        <f>INSTOCK!$I1516*INSTOCK!$K1516</f>
        <v>20000</v>
      </c>
      <c r="O1516" s="4"/>
      <c r="P1516" s="4"/>
    </row>
    <row r="1517" ht="15.75" hidden="1" customHeight="1">
      <c r="B1517" s="8">
        <v>1833.0</v>
      </c>
      <c r="C1517" s="9">
        <v>43424.0</v>
      </c>
      <c r="D1517" s="6" t="s">
        <v>2007</v>
      </c>
      <c r="E1517" s="4">
        <v>6.111001461E9</v>
      </c>
      <c r="F1517" s="8" t="s">
        <v>2008</v>
      </c>
      <c r="G1517" s="4" t="s">
        <v>2009</v>
      </c>
      <c r="H1517" s="10" t="s">
        <v>2011</v>
      </c>
      <c r="I1517" s="10">
        <v>1.0</v>
      </c>
      <c r="J1517" s="11" t="str">
        <f>IF(D1517&lt;&gt;"",VLOOKUP(H1517,TABLEITEM,5,FALSE),"")</f>
        <v>EA</v>
      </c>
      <c r="K1517" s="12"/>
      <c r="L1517" s="13" t="str">
        <f>IF(D1517&lt;&gt;"",VLOOKUP(H1517,TABLEITEM,2,FALSE),"")</f>
        <v/>
      </c>
      <c r="M1517" s="13" t="str">
        <f>IF(D1517&lt;&gt;"",VLOOKUP(H1517,TABLEITEM,3,FALSE),"")</f>
        <v>ขายึด MS-SF4BG-1</v>
      </c>
      <c r="N1517" s="14">
        <f>INSTOCK!$I1517*INSTOCK!$K1517</f>
        <v>0</v>
      </c>
      <c r="O1517" s="4"/>
      <c r="P1517" s="4"/>
    </row>
    <row r="1518" ht="15.75" hidden="1" customHeight="1">
      <c r="B1518" s="8">
        <v>1834.0</v>
      </c>
      <c r="C1518" s="9">
        <v>43424.0</v>
      </c>
      <c r="D1518" s="6" t="s">
        <v>2007</v>
      </c>
      <c r="E1518" s="4">
        <v>6.111001461E9</v>
      </c>
      <c r="F1518" s="8" t="s">
        <v>2008</v>
      </c>
      <c r="G1518" s="4" t="s">
        <v>2009</v>
      </c>
      <c r="H1518" s="10" t="s">
        <v>2012</v>
      </c>
      <c r="I1518" s="10">
        <v>1.0</v>
      </c>
      <c r="J1518" s="11" t="str">
        <f>IF(D1518&lt;&gt;"",VLOOKUP(H1518,TABLEITEM,5,FALSE),"")</f>
        <v>EA</v>
      </c>
      <c r="K1518" s="12"/>
      <c r="L1518" s="13" t="str">
        <f>IF(D1518&lt;&gt;"",VLOOKUP(H1518,TABLEITEM,2,FALSE),"")</f>
        <v/>
      </c>
      <c r="M1518" s="13" t="str">
        <f>IF(D1518&lt;&gt;"",VLOOKUP(H1518,TABLEITEM,3,FALSE),"")</f>
        <v>สายเคเบิ้ล SF-CCB7,FOR SF4B,8-CORE</v>
      </c>
      <c r="N1518" s="14">
        <f>INSTOCK!$I1518*INSTOCK!$K1518</f>
        <v>0</v>
      </c>
      <c r="O1518" s="4"/>
      <c r="P1518" s="4"/>
    </row>
    <row r="1519" ht="15.75" hidden="1" customHeight="1">
      <c r="B1519" s="8">
        <v>1835.0</v>
      </c>
      <c r="C1519" s="9">
        <v>43424.0</v>
      </c>
      <c r="D1519" s="6">
        <v>6.1110294E7</v>
      </c>
      <c r="E1519" s="4">
        <v>6.111001455E9</v>
      </c>
      <c r="F1519" s="8" t="s">
        <v>604</v>
      </c>
      <c r="G1519" s="4" t="s">
        <v>1127</v>
      </c>
      <c r="H1519" s="10" t="s">
        <v>17</v>
      </c>
      <c r="I1519" s="10">
        <v>24.0</v>
      </c>
      <c r="J1519" s="11" t="str">
        <f>IF(D1519&lt;&gt;"",VLOOKUP(H1519,TABLEITEM,5,FALSE),"")</f>
        <v>คู่</v>
      </c>
      <c r="K1519" s="12">
        <v>41.6666</v>
      </c>
      <c r="L1519" s="13" t="str">
        <f>IF(D1519&lt;&gt;"",VLOOKUP(H1519,TABLEITEM,2,FALSE),"")</f>
        <v/>
      </c>
      <c r="M1519" s="13" t="str">
        <f>IF(D1519&lt;&gt;"",VLOOKUP(H1519,TABLEITEM,3,FALSE),"")</f>
        <v>ถุงมือหนัง</v>
      </c>
      <c r="N1519" s="14">
        <f>INSTOCK!$I1519*INSTOCK!$K1519</f>
        <v>999.9984</v>
      </c>
      <c r="O1519" s="4" t="s">
        <v>1045</v>
      </c>
      <c r="P1519" s="4"/>
    </row>
    <row r="1520" ht="15.75" hidden="1" customHeight="1">
      <c r="B1520" s="8">
        <v>1836.0</v>
      </c>
      <c r="C1520" s="9">
        <v>43424.0</v>
      </c>
      <c r="D1520" s="6">
        <v>6.11106243E8</v>
      </c>
      <c r="E1520" s="4">
        <v>6.111001419E9</v>
      </c>
      <c r="F1520" s="8" t="s">
        <v>604</v>
      </c>
      <c r="G1520" s="4" t="s">
        <v>1130</v>
      </c>
      <c r="H1520" s="10" t="s">
        <v>1535</v>
      </c>
      <c r="I1520" s="10">
        <v>25.0</v>
      </c>
      <c r="J1520" s="11" t="str">
        <f>IF(D1520&lt;&gt;"",VLOOKUP(H1520,TABLEITEM,5,FALSE),"")</f>
        <v>EA</v>
      </c>
      <c r="K1520" s="12">
        <v>38.0</v>
      </c>
      <c r="L1520" s="13" t="str">
        <f>IF(D1520&lt;&gt;"",VLOOKUP(H1520,TABLEITEM,2,FALSE),"")</f>
        <v/>
      </c>
      <c r="M1520" s="13" t="str">
        <f>IF(D1520&lt;&gt;"",VLOOKUP(H1520,TABLEITEM,3,FALSE),"")</f>
        <v>หลอดนีออน 36W</v>
      </c>
      <c r="N1520" s="14">
        <f>INSTOCK!$I1520*INSTOCK!$K1520</f>
        <v>950</v>
      </c>
      <c r="O1520" s="4"/>
      <c r="P1520" s="4"/>
    </row>
    <row r="1521" ht="15.75" hidden="1" customHeight="1">
      <c r="B1521" s="8">
        <v>1837.0</v>
      </c>
      <c r="C1521" s="9">
        <v>43424.0</v>
      </c>
      <c r="D1521" s="6" t="s">
        <v>2013</v>
      </c>
      <c r="E1521" s="4">
        <v>6.111001472E9</v>
      </c>
      <c r="F1521" s="8" t="s">
        <v>1989</v>
      </c>
      <c r="G1521" s="4" t="s">
        <v>2014</v>
      </c>
      <c r="H1521" s="10" t="s">
        <v>2015</v>
      </c>
      <c r="I1521" s="10">
        <v>6.0</v>
      </c>
      <c r="J1521" s="11" t="str">
        <f>IF(D1521&lt;&gt;"",VLOOKUP(H1521,TABLEITEM,5,FALSE),"")</f>
        <v>EA</v>
      </c>
      <c r="K1521" s="12">
        <v>88.79</v>
      </c>
      <c r="L1521" s="13" t="str">
        <f>IF(D1521&lt;&gt;"",VLOOKUP(H1521,TABLEITEM,2,FALSE),"")</f>
        <v/>
      </c>
      <c r="M1521" s="13" t="str">
        <f>IF(D1521&lt;&gt;"",VLOOKUP(H1521,TABLEITEM,3,FALSE),"")</f>
        <v>ลูกยางหมึก 18มม. โมแพ็ค MX-600S</v>
      </c>
      <c r="N1521" s="14">
        <f>INSTOCK!$I1521*INSTOCK!$K1521</f>
        <v>532.74</v>
      </c>
      <c r="O1521" s="4"/>
      <c r="P1521" s="4"/>
    </row>
    <row r="1522" ht="15.75" hidden="1" customHeight="1">
      <c r="B1522" s="8">
        <v>1838.0</v>
      </c>
      <c r="C1522" s="9">
        <v>43424.0</v>
      </c>
      <c r="D1522" s="6" t="s">
        <v>2013</v>
      </c>
      <c r="E1522" s="4">
        <v>6.111001472E9</v>
      </c>
      <c r="F1522" s="8" t="s">
        <v>1989</v>
      </c>
      <c r="G1522" s="4" t="s">
        <v>2014</v>
      </c>
      <c r="H1522" s="10" t="s">
        <v>2016</v>
      </c>
      <c r="I1522" s="10">
        <v>5.0</v>
      </c>
      <c r="J1522" s="11" t="str">
        <f>IF(D1522&lt;&gt;"",VLOOKUP(H1522,TABLEITEM,5,FALSE),"")</f>
        <v>EA</v>
      </c>
      <c r="K1522" s="12">
        <v>242.99</v>
      </c>
      <c r="L1522" s="13" t="str">
        <f>IF(D1522&lt;&gt;"",VLOOKUP(H1522,TABLEITEM,2,FALSE),"")</f>
        <v/>
      </c>
      <c r="M1522" s="13" t="str">
        <f>IF(D1522&lt;&gt;"",VLOOKUP(H1522,TABLEITEM,3,FALSE),"")</f>
        <v>เม้าส์ออฟฟิต สีดำ Logitech M100R</v>
      </c>
      <c r="N1522" s="14">
        <f>INSTOCK!$I1522*INSTOCK!$K1522</f>
        <v>1214.95</v>
      </c>
      <c r="O1522" s="4"/>
      <c r="P1522" s="4"/>
    </row>
    <row r="1523" ht="15.75" hidden="1" customHeight="1">
      <c r="A1523" s="27"/>
      <c r="B1523" s="28">
        <v>1839.0</v>
      </c>
      <c r="C1523" s="29">
        <v>43424.0</v>
      </c>
      <c r="D1523" s="30" t="s">
        <v>2017</v>
      </c>
      <c r="E1523" s="31" t="s">
        <v>2018</v>
      </c>
      <c r="F1523" s="32"/>
      <c r="G1523" s="31" t="s">
        <v>1485</v>
      </c>
      <c r="H1523" s="33" t="s">
        <v>2019</v>
      </c>
      <c r="I1523" s="33">
        <v>-12.0</v>
      </c>
      <c r="J1523" s="11" t="str">
        <f>IF(D1523&lt;&gt;"",VLOOKUP(H1523,TABLEITEM,5,FALSE),"")</f>
        <v>EA</v>
      </c>
      <c r="K1523" s="34">
        <v>1459.6</v>
      </c>
      <c r="L1523" s="31" t="str">
        <f>IF(D1523&lt;&gt;"",VLOOKUP(H1523,TABLEITEM,2,FALSE),"")</f>
        <v/>
      </c>
      <c r="M1523" s="31" t="str">
        <f>IF(D1523&lt;&gt;"",VLOOKUP(H1523,TABLEITEM,3,FALSE),"")</f>
        <v>CVS 100F TM800 3P 3D 380/415 VAC 36KA</v>
      </c>
      <c r="N1523" s="35">
        <f>INSTOCK!$I1523*INSTOCK!$K1523</f>
        <v>-17515.2</v>
      </c>
      <c r="O1523" s="31"/>
      <c r="P1523" s="31" t="s">
        <v>2020</v>
      </c>
    </row>
    <row r="1524" ht="15.75" hidden="1" customHeight="1">
      <c r="B1524" s="8">
        <v>1840.0</v>
      </c>
      <c r="C1524" s="9">
        <v>43423.0</v>
      </c>
      <c r="D1524" s="6" t="s">
        <v>2021</v>
      </c>
      <c r="E1524" s="4"/>
      <c r="F1524" s="8" t="s">
        <v>604</v>
      </c>
      <c r="G1524" s="4" t="s">
        <v>2022</v>
      </c>
      <c r="H1524" s="10" t="s">
        <v>2023</v>
      </c>
      <c r="I1524" s="10">
        <v>20.0</v>
      </c>
      <c r="J1524" s="11" t="str">
        <f>IF(D1524&lt;&gt;"",VLOOKUP(H1524,TABLEITEM,5,FALSE),"")</f>
        <v>EA</v>
      </c>
      <c r="K1524" s="12">
        <v>70.0</v>
      </c>
      <c r="L1524" s="13" t="str">
        <f>IF(D1524&lt;&gt;"",VLOOKUP(H1524,TABLEITEM,2,FALSE),"")</f>
        <v/>
      </c>
      <c r="M1524" s="13" t="str">
        <f>IF(D1524&lt;&gt;"",VLOOKUP(H1524,TABLEITEM,3,FALSE),"")</f>
        <v>ต๊าป M4 มือ 2</v>
      </c>
      <c r="N1524" s="14">
        <f>INSTOCK!$I1524*INSTOCK!$K1524</f>
        <v>1400</v>
      </c>
      <c r="O1524" s="4"/>
      <c r="P1524" s="4"/>
    </row>
    <row r="1525" ht="15.75" hidden="1" customHeight="1">
      <c r="B1525" s="8">
        <v>1841.0</v>
      </c>
      <c r="C1525" s="9">
        <v>43423.0</v>
      </c>
      <c r="D1525" s="6" t="s">
        <v>2021</v>
      </c>
      <c r="E1525" s="4"/>
      <c r="F1525" s="8" t="s">
        <v>604</v>
      </c>
      <c r="G1525" s="4" t="s">
        <v>2022</v>
      </c>
      <c r="H1525" s="10" t="s">
        <v>2024</v>
      </c>
      <c r="I1525" s="10">
        <v>10.0</v>
      </c>
      <c r="J1525" s="11" t="str">
        <f>IF(D1525&lt;&gt;"",VLOOKUP(H1525,TABLEITEM,5,FALSE),"")</f>
        <v>EA</v>
      </c>
      <c r="K1525" s="12">
        <v>70.0</v>
      </c>
      <c r="L1525" s="13" t="str">
        <f>IF(D1525&lt;&gt;"",VLOOKUP(H1525,TABLEITEM,2,FALSE),"")</f>
        <v/>
      </c>
      <c r="M1525" s="13" t="str">
        <f>IF(D1525&lt;&gt;"",VLOOKUP(H1525,TABLEITEM,3,FALSE),"")</f>
        <v>ต๊าป M5 มือ 2</v>
      </c>
      <c r="N1525" s="14">
        <f>INSTOCK!$I1525*INSTOCK!$K1525</f>
        <v>700</v>
      </c>
      <c r="O1525" s="4"/>
      <c r="P1525" s="4"/>
    </row>
    <row r="1526" ht="15.75" hidden="1" customHeight="1">
      <c r="B1526" s="8">
        <v>1842.0</v>
      </c>
      <c r="C1526" s="9">
        <v>43423.0</v>
      </c>
      <c r="D1526" s="6" t="s">
        <v>2021</v>
      </c>
      <c r="E1526" s="4"/>
      <c r="F1526" s="8" t="s">
        <v>604</v>
      </c>
      <c r="G1526" s="4" t="s">
        <v>2022</v>
      </c>
      <c r="H1526" s="10" t="s">
        <v>2025</v>
      </c>
      <c r="I1526" s="10">
        <v>20.0</v>
      </c>
      <c r="J1526" s="11" t="str">
        <f>IF(D1526&lt;&gt;"",VLOOKUP(H1526,TABLEITEM,5,FALSE),"")</f>
        <v>EA</v>
      </c>
      <c r="K1526" s="12">
        <v>70.0</v>
      </c>
      <c r="L1526" s="13" t="str">
        <f>IF(D1526&lt;&gt;"",VLOOKUP(H1526,TABLEITEM,2,FALSE),"")</f>
        <v/>
      </c>
      <c r="M1526" s="13" t="str">
        <f>IF(D1526&lt;&gt;"",VLOOKUP(H1526,TABLEITEM,3,FALSE),"")</f>
        <v>ต๊าป M6 มือ 2</v>
      </c>
      <c r="N1526" s="14">
        <f>INSTOCK!$I1526*INSTOCK!$K1526</f>
        <v>1400</v>
      </c>
      <c r="O1526" s="4"/>
      <c r="P1526" s="4"/>
    </row>
    <row r="1527" ht="15.75" hidden="1" customHeight="1">
      <c r="B1527" s="8">
        <v>1843.0</v>
      </c>
      <c r="C1527" s="9">
        <v>43423.0</v>
      </c>
      <c r="D1527" s="6" t="s">
        <v>2021</v>
      </c>
      <c r="E1527" s="4"/>
      <c r="F1527" s="8" t="s">
        <v>604</v>
      </c>
      <c r="G1527" s="4" t="s">
        <v>2022</v>
      </c>
      <c r="H1527" s="10" t="s">
        <v>2026</v>
      </c>
      <c r="I1527" s="10">
        <v>26.0</v>
      </c>
      <c r="J1527" s="11" t="str">
        <f>IF(D1527&lt;&gt;"",VLOOKUP(H1527,TABLEITEM,5,FALSE),"")</f>
        <v>EA</v>
      </c>
      <c r="K1527" s="12">
        <v>80.0</v>
      </c>
      <c r="L1527" s="13" t="str">
        <f>IF(D1527&lt;&gt;"",VLOOKUP(H1527,TABLEITEM,2,FALSE),"")</f>
        <v/>
      </c>
      <c r="M1527" s="13" t="str">
        <f>IF(D1527&lt;&gt;"",VLOOKUP(H1527,TABLEITEM,3,FALSE),"")</f>
        <v>ต๊าป M8 มือ 2</v>
      </c>
      <c r="N1527" s="14">
        <f>INSTOCK!$I1527*INSTOCK!$K1527</f>
        <v>2080</v>
      </c>
      <c r="O1527" s="4"/>
      <c r="P1527" s="4"/>
    </row>
    <row r="1528" ht="15.75" hidden="1" customHeight="1">
      <c r="B1528" s="8">
        <v>1844.0</v>
      </c>
      <c r="C1528" s="9">
        <v>43423.0</v>
      </c>
      <c r="D1528" s="6" t="s">
        <v>2027</v>
      </c>
      <c r="E1528" s="4">
        <v>6.111001454E9</v>
      </c>
      <c r="F1528" s="8" t="s">
        <v>604</v>
      </c>
      <c r="G1528" s="4" t="s">
        <v>665</v>
      </c>
      <c r="H1528" s="10" t="s">
        <v>482</v>
      </c>
      <c r="I1528" s="10">
        <v>500.0</v>
      </c>
      <c r="J1528" s="11" t="str">
        <f>IF(D1528&lt;&gt;"",VLOOKUP(H1528,TABLEITEM,5,FALSE),"")</f>
        <v>M</v>
      </c>
      <c r="K1528" s="12">
        <v>10.0</v>
      </c>
      <c r="L1528" s="13" t="str">
        <f>IF(D1528&lt;&gt;"",VLOOKUP(H1528,TABLEITEM,2,FALSE),"")</f>
        <v>wire</v>
      </c>
      <c r="M1528" s="13" t="str">
        <f>IF(D1528&lt;&gt;"",VLOOKUP(H1528,TABLEITEM,3,FALSE),"")</f>
        <v>สายไฟ VSF1x2.5 SQMM.สีดำ</v>
      </c>
      <c r="N1528" s="14">
        <f>INSTOCK!$I1528*INSTOCK!$K1528</f>
        <v>5000</v>
      </c>
      <c r="O1528" s="4"/>
      <c r="P1528" s="4" t="s">
        <v>1774</v>
      </c>
    </row>
    <row r="1529" ht="15.75" hidden="1" customHeight="1">
      <c r="B1529" s="8">
        <v>1845.0</v>
      </c>
      <c r="C1529" s="9">
        <v>43423.0</v>
      </c>
      <c r="D1529" s="6" t="s">
        <v>2027</v>
      </c>
      <c r="E1529" s="4">
        <v>6.111001454E9</v>
      </c>
      <c r="F1529" s="8" t="s">
        <v>604</v>
      </c>
      <c r="G1529" s="4" t="s">
        <v>665</v>
      </c>
      <c r="H1529" s="10" t="s">
        <v>496</v>
      </c>
      <c r="I1529" s="10">
        <v>300.0</v>
      </c>
      <c r="J1529" s="11" t="str">
        <f>IF(D1529&lt;&gt;"",VLOOKUP(H1529,TABLEITEM,5,FALSE),"")</f>
        <v>M</v>
      </c>
      <c r="K1529" s="12">
        <v>22.93</v>
      </c>
      <c r="L1529" s="13" t="str">
        <f>IF(D1529&lt;&gt;"",VLOOKUP(H1529,TABLEITEM,2,FALSE),"")</f>
        <v>wire</v>
      </c>
      <c r="M1529" s="13" t="str">
        <f>IF(D1529&lt;&gt;"",VLOOKUP(H1529,TABLEITEM,3,FALSE),"")</f>
        <v>สายไฟ VSF1x6 SQMM.สีดำ</v>
      </c>
      <c r="N1529" s="14">
        <f>INSTOCK!$I1529*INSTOCK!$K1529</f>
        <v>6879</v>
      </c>
      <c r="O1529" s="4"/>
      <c r="P1529" s="4" t="s">
        <v>1774</v>
      </c>
    </row>
    <row r="1530" ht="15.75" hidden="1" customHeight="1">
      <c r="B1530" s="8">
        <v>1846.0</v>
      </c>
      <c r="C1530" s="9">
        <v>43423.0</v>
      </c>
      <c r="D1530" s="6" t="s">
        <v>2027</v>
      </c>
      <c r="E1530" s="4">
        <v>6.111001454E9</v>
      </c>
      <c r="F1530" s="8" t="s">
        <v>604</v>
      </c>
      <c r="G1530" s="4" t="s">
        <v>665</v>
      </c>
      <c r="H1530" s="10" t="s">
        <v>503</v>
      </c>
      <c r="I1530" s="10">
        <v>100.0</v>
      </c>
      <c r="J1530" s="11" t="str">
        <f>IF(D1530&lt;&gt;"",VLOOKUP(H1530,TABLEITEM,5,FALSE),"")</f>
        <v>M</v>
      </c>
      <c r="K1530" s="12">
        <v>39.18</v>
      </c>
      <c r="L1530" s="13" t="str">
        <f>IF(D1530&lt;&gt;"",VLOOKUP(H1530,TABLEITEM,2,FALSE),"")</f>
        <v>wire</v>
      </c>
      <c r="M1530" s="13" t="str">
        <f>IF(D1530&lt;&gt;"",VLOOKUP(H1530,TABLEITEM,3,FALSE),"")</f>
        <v>สายไฟ VSF1x10 SQMM.สีดำ</v>
      </c>
      <c r="N1530" s="14">
        <f>INSTOCK!$I1530*INSTOCK!$K1530</f>
        <v>3918</v>
      </c>
      <c r="O1530" s="4"/>
      <c r="P1530" s="4" t="s">
        <v>1774</v>
      </c>
    </row>
    <row r="1531" ht="15.75" hidden="1" customHeight="1">
      <c r="B1531" s="8">
        <v>1847.0</v>
      </c>
      <c r="C1531" s="9">
        <v>43423.0</v>
      </c>
      <c r="D1531" s="6" t="s">
        <v>2027</v>
      </c>
      <c r="E1531" s="4">
        <v>6.111001454E9</v>
      </c>
      <c r="F1531" s="8" t="s">
        <v>604</v>
      </c>
      <c r="G1531" s="4" t="s">
        <v>665</v>
      </c>
      <c r="H1531" s="10" t="s">
        <v>506</v>
      </c>
      <c r="I1531" s="10">
        <v>100.0</v>
      </c>
      <c r="J1531" s="11" t="str">
        <f>IF(D1531&lt;&gt;"",VLOOKUP(H1531,TABLEITEM,5,FALSE),"")</f>
        <v>M</v>
      </c>
      <c r="K1531" s="12">
        <v>60.58</v>
      </c>
      <c r="L1531" s="13" t="str">
        <f>IF(D1531&lt;&gt;"",VLOOKUP(H1531,TABLEITEM,2,FALSE),"")</f>
        <v>wire</v>
      </c>
      <c r="M1531" s="13" t="str">
        <f>IF(D1531&lt;&gt;"",VLOOKUP(H1531,TABLEITEM,3,FALSE),"")</f>
        <v>สายไฟ VSF1x16 SQMM.สีดำ</v>
      </c>
      <c r="N1531" s="14">
        <f>INSTOCK!$I1531*INSTOCK!$K1531</f>
        <v>6058</v>
      </c>
      <c r="O1531" s="4"/>
      <c r="P1531" s="4" t="s">
        <v>1774</v>
      </c>
    </row>
    <row r="1532" ht="15.75" hidden="1" customHeight="1">
      <c r="B1532" s="8">
        <v>1848.0</v>
      </c>
      <c r="C1532" s="9">
        <v>43423.0</v>
      </c>
      <c r="D1532" s="6" t="s">
        <v>2028</v>
      </c>
      <c r="E1532" s="4">
        <v>6.111001456E9</v>
      </c>
      <c r="F1532" s="8" t="s">
        <v>604</v>
      </c>
      <c r="G1532" s="4" t="s">
        <v>725</v>
      </c>
      <c r="H1532" s="10" t="s">
        <v>726</v>
      </c>
      <c r="I1532" s="10">
        <v>500.0</v>
      </c>
      <c r="J1532" s="11" t="str">
        <f>IF(D1532&lt;&gt;"",VLOOKUP(H1532,TABLEITEM,5,FALSE),"")</f>
        <v>M</v>
      </c>
      <c r="K1532" s="12">
        <v>10.0</v>
      </c>
      <c r="L1532" s="13" t="str">
        <f>IF(D1532&lt;&gt;"",VLOOKUP(H1532,TABLEITEM,2,FALSE),"")</f>
        <v/>
      </c>
      <c r="M1532" s="13" t="str">
        <f>IF(D1532&lt;&gt;"",VLOOKUP(H1532,TABLEITEM,3,FALSE),"")</f>
        <v>ยางกันบาดร่อง 10มิล</v>
      </c>
      <c r="N1532" s="14">
        <f>INSTOCK!$I1532*INSTOCK!$K1532</f>
        <v>5000</v>
      </c>
      <c r="O1532" s="4"/>
      <c r="P1532" s="4"/>
    </row>
    <row r="1533" ht="15.75" hidden="1" customHeight="1">
      <c r="B1533" s="8">
        <v>1849.0</v>
      </c>
      <c r="C1533" s="9">
        <v>43423.0</v>
      </c>
      <c r="D1533" s="6" t="s">
        <v>2029</v>
      </c>
      <c r="E1533" s="4">
        <v>6.111001467E9</v>
      </c>
      <c r="F1533" s="8" t="s">
        <v>2030</v>
      </c>
      <c r="G1533" s="4" t="s">
        <v>1596</v>
      </c>
      <c r="H1533" s="10" t="s">
        <v>1798</v>
      </c>
      <c r="I1533" s="10">
        <v>21.0</v>
      </c>
      <c r="J1533" s="11" t="str">
        <f>IF(D1533&lt;&gt;"",VLOOKUP(H1533,TABLEITEM,5,FALSE),"")</f>
        <v>EA</v>
      </c>
      <c r="K1533" s="12">
        <v>74.0</v>
      </c>
      <c r="L1533" s="13" t="str">
        <f>IF(D1533&lt;&gt;"",VLOOKUP(H1533,TABLEITEM,2,FALSE),"")</f>
        <v/>
      </c>
      <c r="M1533" s="13" t="str">
        <f>IF(D1533&lt;&gt;"",VLOOKUP(H1533,TABLEITEM,3,FALSE),"")</f>
        <v>MCB SH201-C10</v>
      </c>
      <c r="N1533" s="14">
        <f>INSTOCK!$I1533*INSTOCK!$K1533</f>
        <v>1554</v>
      </c>
      <c r="O1533" s="4" t="s">
        <v>1598</v>
      </c>
      <c r="P1533" s="4"/>
    </row>
    <row r="1534" ht="15.75" hidden="1" customHeight="1">
      <c r="B1534" s="8">
        <v>1850.0</v>
      </c>
      <c r="C1534" s="9">
        <v>43423.0</v>
      </c>
      <c r="D1534" s="6" t="s">
        <v>2029</v>
      </c>
      <c r="E1534" s="4">
        <v>6.111001467E9</v>
      </c>
      <c r="F1534" s="8" t="s">
        <v>2030</v>
      </c>
      <c r="G1534" s="4" t="s">
        <v>1596</v>
      </c>
      <c r="H1534" s="10" t="s">
        <v>1721</v>
      </c>
      <c r="I1534" s="10">
        <v>2.0</v>
      </c>
      <c r="J1534" s="11" t="str">
        <f>IF(D1534&lt;&gt;"",VLOOKUP(H1534,TABLEITEM,5,FALSE),"")</f>
        <v>EA</v>
      </c>
      <c r="K1534" s="12">
        <v>456.0</v>
      </c>
      <c r="L1534" s="13" t="str">
        <f>IF(D1534&lt;&gt;"",VLOOKUP(H1534,TABLEITEM,2,FALSE),"")</f>
        <v/>
      </c>
      <c r="M1534" s="13" t="str">
        <f>IF(D1534&lt;&gt;"",VLOOKUP(H1534,TABLEITEM,3,FALSE),"")</f>
        <v>Consumer Unit SCP-07</v>
      </c>
      <c r="N1534" s="14">
        <f>INSTOCK!$I1534*INSTOCK!$K1534</f>
        <v>912</v>
      </c>
      <c r="O1534" s="4" t="s">
        <v>1799</v>
      </c>
      <c r="P1534" s="4"/>
    </row>
    <row r="1535" ht="15.75" hidden="1" customHeight="1">
      <c r="B1535" s="8">
        <v>1851.0</v>
      </c>
      <c r="C1535" s="9">
        <v>43423.0</v>
      </c>
      <c r="D1535" s="6" t="s">
        <v>2029</v>
      </c>
      <c r="E1535" s="4">
        <v>6.111001467E9</v>
      </c>
      <c r="F1535" s="8" t="s">
        <v>2030</v>
      </c>
      <c r="G1535" s="4" t="s">
        <v>1596</v>
      </c>
      <c r="H1535" s="10" t="s">
        <v>1801</v>
      </c>
      <c r="I1535" s="10">
        <v>1.0</v>
      </c>
      <c r="J1535" s="11" t="str">
        <f>IF(D1535&lt;&gt;"",VLOOKUP(H1535,TABLEITEM,5,FALSE),"")</f>
        <v>EA</v>
      </c>
      <c r="K1535" s="12">
        <v>578.0</v>
      </c>
      <c r="L1535" s="13" t="str">
        <f>IF(D1535&lt;&gt;"",VLOOKUP(H1535,TABLEITEM,2,FALSE),"")</f>
        <v/>
      </c>
      <c r="M1535" s="13" t="str">
        <f>IF(D1535&lt;&gt;"",VLOOKUP(H1535,TABLEITEM,3,FALSE),"")</f>
        <v>Consumer Unit SCP-10</v>
      </c>
      <c r="N1535" s="14">
        <f>INSTOCK!$I1535*INSTOCK!$K1535</f>
        <v>578</v>
      </c>
      <c r="O1535" s="4" t="s">
        <v>1802</v>
      </c>
      <c r="P1535" s="4"/>
    </row>
    <row r="1536" ht="15.75" hidden="1" customHeight="1">
      <c r="B1536" s="8">
        <v>1852.0</v>
      </c>
      <c r="C1536" s="9">
        <v>43423.0</v>
      </c>
      <c r="D1536" s="6" t="s">
        <v>2029</v>
      </c>
      <c r="E1536" s="4">
        <v>6.111001467E9</v>
      </c>
      <c r="F1536" s="8" t="s">
        <v>2030</v>
      </c>
      <c r="G1536" s="4" t="s">
        <v>1596</v>
      </c>
      <c r="H1536" s="10" t="s">
        <v>1798</v>
      </c>
      <c r="I1536" s="10">
        <v>10.0</v>
      </c>
      <c r="J1536" s="11" t="str">
        <f>IF(D1536&lt;&gt;"",VLOOKUP(H1536,TABLEITEM,5,FALSE),"")</f>
        <v>EA</v>
      </c>
      <c r="K1536" s="12">
        <v>74.0</v>
      </c>
      <c r="L1536" s="13" t="str">
        <f>IF(D1536&lt;&gt;"",VLOOKUP(H1536,TABLEITEM,2,FALSE),"")</f>
        <v/>
      </c>
      <c r="M1536" s="13" t="str">
        <f>IF(D1536&lt;&gt;"",VLOOKUP(H1536,TABLEITEM,3,FALSE),"")</f>
        <v>MCB SH201-C10</v>
      </c>
      <c r="N1536" s="14">
        <f>INSTOCK!$I1536*INSTOCK!$K1536</f>
        <v>740</v>
      </c>
      <c r="O1536" s="4" t="s">
        <v>1598</v>
      </c>
      <c r="P1536" s="4"/>
    </row>
    <row r="1537" ht="15.75" hidden="1" customHeight="1">
      <c r="B1537" s="8">
        <v>1853.0</v>
      </c>
      <c r="C1537" s="9">
        <v>43423.0</v>
      </c>
      <c r="D1537" s="6" t="s">
        <v>2029</v>
      </c>
      <c r="E1537" s="4">
        <v>6.111001467E9</v>
      </c>
      <c r="F1537" s="8" t="s">
        <v>2030</v>
      </c>
      <c r="G1537" s="4" t="s">
        <v>1596</v>
      </c>
      <c r="H1537" s="10" t="s">
        <v>1721</v>
      </c>
      <c r="I1537" s="10">
        <v>3.0</v>
      </c>
      <c r="J1537" s="11" t="str">
        <f>IF(D1537&lt;&gt;"",VLOOKUP(H1537,TABLEITEM,5,FALSE),"")</f>
        <v>EA</v>
      </c>
      <c r="K1537" s="12">
        <v>456.0</v>
      </c>
      <c r="L1537" s="13" t="str">
        <f>IF(D1537&lt;&gt;"",VLOOKUP(H1537,TABLEITEM,2,FALSE),"")</f>
        <v/>
      </c>
      <c r="M1537" s="13" t="str">
        <f>IF(D1537&lt;&gt;"",VLOOKUP(H1537,TABLEITEM,3,FALSE),"")</f>
        <v>Consumer Unit SCP-07</v>
      </c>
      <c r="N1537" s="14">
        <f>INSTOCK!$I1537*INSTOCK!$K1537</f>
        <v>1368</v>
      </c>
      <c r="O1537" s="4" t="s">
        <v>2031</v>
      </c>
      <c r="P1537" s="4"/>
    </row>
    <row r="1538" ht="15.75" hidden="1" customHeight="1">
      <c r="B1538" s="8">
        <v>1854.0</v>
      </c>
      <c r="C1538" s="9">
        <v>43423.0</v>
      </c>
      <c r="D1538" s="6" t="s">
        <v>2029</v>
      </c>
      <c r="E1538" s="4">
        <v>6.111001467E9</v>
      </c>
      <c r="F1538" s="8" t="s">
        <v>2030</v>
      </c>
      <c r="G1538" s="4" t="s">
        <v>1596</v>
      </c>
      <c r="H1538" s="10" t="s">
        <v>1798</v>
      </c>
      <c r="I1538" s="10">
        <v>10.0</v>
      </c>
      <c r="J1538" s="11" t="str">
        <f>IF(D1538&lt;&gt;"",VLOOKUP(H1538,TABLEITEM,5,FALSE),"")</f>
        <v>EA</v>
      </c>
      <c r="K1538" s="12">
        <v>74.0</v>
      </c>
      <c r="L1538" s="13" t="str">
        <f>IF(D1538&lt;&gt;"",VLOOKUP(H1538,TABLEITEM,2,FALSE),"")</f>
        <v/>
      </c>
      <c r="M1538" s="13" t="str">
        <f>IF(D1538&lt;&gt;"",VLOOKUP(H1538,TABLEITEM,3,FALSE),"")</f>
        <v>MCB SH201-C10</v>
      </c>
      <c r="N1538" s="14">
        <f>INSTOCK!$I1538*INSTOCK!$K1538</f>
        <v>740</v>
      </c>
      <c r="O1538" s="4" t="s">
        <v>1598</v>
      </c>
      <c r="P1538" s="4"/>
    </row>
    <row r="1539" ht="15.75" hidden="1" customHeight="1">
      <c r="B1539" s="8">
        <v>1855.0</v>
      </c>
      <c r="C1539" s="9">
        <v>43423.0</v>
      </c>
      <c r="D1539" s="6" t="s">
        <v>2029</v>
      </c>
      <c r="E1539" s="4">
        <v>6.111001467E9</v>
      </c>
      <c r="F1539" s="8" t="s">
        <v>2030</v>
      </c>
      <c r="G1539" s="4" t="s">
        <v>1596</v>
      </c>
      <c r="H1539" s="10" t="s">
        <v>1721</v>
      </c>
      <c r="I1539" s="10">
        <v>3.0</v>
      </c>
      <c r="J1539" s="11" t="str">
        <f>IF(D1539&lt;&gt;"",VLOOKUP(H1539,TABLEITEM,5,FALSE),"")</f>
        <v>EA</v>
      </c>
      <c r="K1539" s="12">
        <v>456.0</v>
      </c>
      <c r="L1539" s="13" t="str">
        <f>IF(D1539&lt;&gt;"",VLOOKUP(H1539,TABLEITEM,2,FALSE),"")</f>
        <v/>
      </c>
      <c r="M1539" s="13" t="str">
        <f>IF(D1539&lt;&gt;"",VLOOKUP(H1539,TABLEITEM,3,FALSE),"")</f>
        <v>Consumer Unit SCP-07</v>
      </c>
      <c r="N1539" s="14">
        <f>INSTOCK!$I1539*INSTOCK!$K1539</f>
        <v>1368</v>
      </c>
      <c r="O1539" s="4" t="s">
        <v>2031</v>
      </c>
      <c r="P1539" s="4"/>
    </row>
    <row r="1540" ht="15.75" hidden="1" customHeight="1">
      <c r="B1540" s="8">
        <v>1856.0</v>
      </c>
      <c r="C1540" s="9">
        <v>43423.0</v>
      </c>
      <c r="D1540" s="6" t="s">
        <v>2029</v>
      </c>
      <c r="E1540" s="4">
        <v>6.111001467E9</v>
      </c>
      <c r="F1540" s="8" t="s">
        <v>2030</v>
      </c>
      <c r="G1540" s="4" t="s">
        <v>1596</v>
      </c>
      <c r="H1540" s="10" t="s">
        <v>1798</v>
      </c>
      <c r="I1540" s="10">
        <v>9.0</v>
      </c>
      <c r="J1540" s="11" t="str">
        <f>IF(D1540&lt;&gt;"",VLOOKUP(H1540,TABLEITEM,5,FALSE),"")</f>
        <v>EA</v>
      </c>
      <c r="K1540" s="12">
        <v>74.0</v>
      </c>
      <c r="L1540" s="13" t="str">
        <f>IF(D1540&lt;&gt;"",VLOOKUP(H1540,TABLEITEM,2,FALSE),"")</f>
        <v/>
      </c>
      <c r="M1540" s="13" t="str">
        <f>IF(D1540&lt;&gt;"",VLOOKUP(H1540,TABLEITEM,3,FALSE),"")</f>
        <v>MCB SH201-C10</v>
      </c>
      <c r="N1540" s="14">
        <f>INSTOCK!$I1540*INSTOCK!$K1540</f>
        <v>666</v>
      </c>
      <c r="O1540" s="4" t="s">
        <v>1598</v>
      </c>
      <c r="P1540" s="4"/>
    </row>
    <row r="1541" ht="15.75" hidden="1" customHeight="1">
      <c r="B1541" s="8">
        <v>1857.0</v>
      </c>
      <c r="C1541" s="9">
        <v>43423.0</v>
      </c>
      <c r="D1541" s="6" t="s">
        <v>2029</v>
      </c>
      <c r="E1541" s="4">
        <v>6.111001467E9</v>
      </c>
      <c r="F1541" s="8" t="s">
        <v>2030</v>
      </c>
      <c r="G1541" s="4" t="s">
        <v>1596</v>
      </c>
      <c r="H1541" s="10" t="s">
        <v>1721</v>
      </c>
      <c r="I1541" s="10">
        <v>3.0</v>
      </c>
      <c r="J1541" s="11" t="str">
        <f>IF(D1541&lt;&gt;"",VLOOKUP(H1541,TABLEITEM,5,FALSE),"")</f>
        <v>EA</v>
      </c>
      <c r="K1541" s="12">
        <v>456.0</v>
      </c>
      <c r="L1541" s="13" t="str">
        <f>IF(D1541&lt;&gt;"",VLOOKUP(H1541,TABLEITEM,2,FALSE),"")</f>
        <v/>
      </c>
      <c r="M1541" s="13" t="str">
        <f>IF(D1541&lt;&gt;"",VLOOKUP(H1541,TABLEITEM,3,FALSE),"")</f>
        <v>Consumer Unit SCP-07</v>
      </c>
      <c r="N1541" s="14">
        <f>INSTOCK!$I1541*INSTOCK!$K1541</f>
        <v>1368</v>
      </c>
      <c r="O1541" s="4" t="s">
        <v>2031</v>
      </c>
      <c r="P1541" s="4"/>
    </row>
    <row r="1542" ht="15.75" hidden="1" customHeight="1">
      <c r="B1542" s="8">
        <v>1858.0</v>
      </c>
      <c r="C1542" s="9">
        <v>43423.0</v>
      </c>
      <c r="D1542" s="6" t="s">
        <v>2032</v>
      </c>
      <c r="E1542" s="4">
        <v>6.111001464E9</v>
      </c>
      <c r="F1542" s="8" t="s">
        <v>2030</v>
      </c>
      <c r="G1542" s="4" t="s">
        <v>1596</v>
      </c>
      <c r="H1542" s="10" t="s">
        <v>1795</v>
      </c>
      <c r="I1542" s="10">
        <v>12.0</v>
      </c>
      <c r="J1542" s="11" t="str">
        <f>IF(D1542&lt;&gt;"",VLOOKUP(H1542,TABLEITEM,5,FALSE),"")</f>
        <v>EA</v>
      </c>
      <c r="K1542" s="12">
        <v>74.0</v>
      </c>
      <c r="L1542" s="13" t="str">
        <f>IF(D1542&lt;&gt;"",VLOOKUP(H1542,TABLEITEM,2,FALSE),"")</f>
        <v/>
      </c>
      <c r="M1542" s="13" t="str">
        <f>IF(D1542&lt;&gt;"",VLOOKUP(H1542,TABLEITEM,3,FALSE),"")</f>
        <v>MCB SH201-C20</v>
      </c>
      <c r="N1542" s="14">
        <f>INSTOCK!$I1542*INSTOCK!$K1542</f>
        <v>888</v>
      </c>
      <c r="O1542" s="4" t="s">
        <v>1598</v>
      </c>
      <c r="P1542" s="4"/>
    </row>
    <row r="1543" ht="15.75" hidden="1" customHeight="1">
      <c r="B1543" s="8">
        <v>1859.0</v>
      </c>
      <c r="C1543" s="9">
        <v>43423.0</v>
      </c>
      <c r="D1543" s="6" t="s">
        <v>2032</v>
      </c>
      <c r="E1543" s="4">
        <v>6.111001464E9</v>
      </c>
      <c r="F1543" s="8" t="s">
        <v>2030</v>
      </c>
      <c r="G1543" s="4" t="s">
        <v>1596</v>
      </c>
      <c r="H1543" s="10" t="s">
        <v>1803</v>
      </c>
      <c r="I1543" s="10">
        <v>9.0</v>
      </c>
      <c r="J1543" s="11" t="str">
        <f>IF(D1543&lt;&gt;"",VLOOKUP(H1543,TABLEITEM,5,FALSE),"")</f>
        <v>EA</v>
      </c>
      <c r="K1543" s="12">
        <v>74.0</v>
      </c>
      <c r="L1543" s="13" t="str">
        <f>IF(D1543&lt;&gt;"",VLOOKUP(H1543,TABLEITEM,2,FALSE),"")</f>
        <v/>
      </c>
      <c r="M1543" s="13" t="str">
        <f>IF(D1543&lt;&gt;"",VLOOKUP(H1543,TABLEITEM,3,FALSE),"")</f>
        <v>MCB SH201-C32</v>
      </c>
      <c r="N1543" s="14">
        <f>INSTOCK!$I1543*INSTOCK!$K1543</f>
        <v>666</v>
      </c>
      <c r="O1543" s="4" t="s">
        <v>1598</v>
      </c>
      <c r="P1543" s="4"/>
    </row>
    <row r="1544" ht="15.75" hidden="1" customHeight="1">
      <c r="B1544" s="8">
        <v>1860.0</v>
      </c>
      <c r="C1544" s="9">
        <v>43423.0</v>
      </c>
      <c r="D1544" s="6" t="s">
        <v>2032</v>
      </c>
      <c r="E1544" s="4">
        <v>6.111001464E9</v>
      </c>
      <c r="F1544" s="8" t="s">
        <v>2030</v>
      </c>
      <c r="G1544" s="4" t="s">
        <v>1596</v>
      </c>
      <c r="H1544" s="10" t="s">
        <v>1721</v>
      </c>
      <c r="I1544" s="10">
        <v>3.0</v>
      </c>
      <c r="J1544" s="11" t="str">
        <f>IF(D1544&lt;&gt;"",VLOOKUP(H1544,TABLEITEM,5,FALSE),"")</f>
        <v>EA</v>
      </c>
      <c r="K1544" s="12">
        <v>456.0</v>
      </c>
      <c r="L1544" s="13" t="str">
        <f>IF(D1544&lt;&gt;"",VLOOKUP(H1544,TABLEITEM,2,FALSE),"")</f>
        <v/>
      </c>
      <c r="M1544" s="13" t="str">
        <f>IF(D1544&lt;&gt;"",VLOOKUP(H1544,TABLEITEM,3,FALSE),"")</f>
        <v>Consumer Unit SCP-07</v>
      </c>
      <c r="N1544" s="14">
        <f>INSTOCK!$I1544*INSTOCK!$K1544</f>
        <v>1368</v>
      </c>
      <c r="O1544" s="4" t="s">
        <v>2031</v>
      </c>
      <c r="P1544" s="4"/>
    </row>
    <row r="1545" ht="15.75" hidden="1" customHeight="1">
      <c r="B1545" s="8">
        <v>1861.0</v>
      </c>
      <c r="C1545" s="9">
        <v>43423.0</v>
      </c>
      <c r="D1545" s="6" t="s">
        <v>2032</v>
      </c>
      <c r="E1545" s="4">
        <v>6.111001464E9</v>
      </c>
      <c r="F1545" s="8" t="s">
        <v>2030</v>
      </c>
      <c r="G1545" s="4" t="s">
        <v>1596</v>
      </c>
      <c r="H1545" s="10" t="s">
        <v>1795</v>
      </c>
      <c r="I1545" s="10">
        <v>9.0</v>
      </c>
      <c r="J1545" s="11" t="str">
        <f>IF(D1545&lt;&gt;"",VLOOKUP(H1545,TABLEITEM,5,FALSE),"")</f>
        <v>EA</v>
      </c>
      <c r="K1545" s="12">
        <v>74.0</v>
      </c>
      <c r="L1545" s="13" t="str">
        <f>IF(D1545&lt;&gt;"",VLOOKUP(H1545,TABLEITEM,2,FALSE),"")</f>
        <v/>
      </c>
      <c r="M1545" s="13" t="str">
        <f>IF(D1545&lt;&gt;"",VLOOKUP(H1545,TABLEITEM,3,FALSE),"")</f>
        <v>MCB SH201-C20</v>
      </c>
      <c r="N1545" s="14">
        <f>INSTOCK!$I1545*INSTOCK!$K1545</f>
        <v>666</v>
      </c>
      <c r="O1545" s="4" t="s">
        <v>1598</v>
      </c>
      <c r="P1545" s="4"/>
    </row>
    <row r="1546" ht="15.75" hidden="1" customHeight="1">
      <c r="B1546" s="8">
        <v>1862.0</v>
      </c>
      <c r="C1546" s="9">
        <v>43423.0</v>
      </c>
      <c r="D1546" s="6" t="s">
        <v>2032</v>
      </c>
      <c r="E1546" s="4">
        <v>6.111001464E9</v>
      </c>
      <c r="F1546" s="8" t="s">
        <v>2030</v>
      </c>
      <c r="G1546" s="4" t="s">
        <v>1596</v>
      </c>
      <c r="H1546" s="10" t="s">
        <v>1803</v>
      </c>
      <c r="I1546" s="10">
        <v>6.0</v>
      </c>
      <c r="J1546" s="11" t="str">
        <f>IF(D1546&lt;&gt;"",VLOOKUP(H1546,TABLEITEM,5,FALSE),"")</f>
        <v>EA</v>
      </c>
      <c r="K1546" s="12">
        <v>74.0</v>
      </c>
      <c r="L1546" s="13" t="str">
        <f>IF(D1546&lt;&gt;"",VLOOKUP(H1546,TABLEITEM,2,FALSE),"")</f>
        <v/>
      </c>
      <c r="M1546" s="13" t="str">
        <f>IF(D1546&lt;&gt;"",VLOOKUP(H1546,TABLEITEM,3,FALSE),"")</f>
        <v>MCB SH201-C32</v>
      </c>
      <c r="N1546" s="14">
        <f>INSTOCK!$I1546*INSTOCK!$K1546</f>
        <v>444</v>
      </c>
      <c r="O1546" s="4" t="s">
        <v>1598</v>
      </c>
      <c r="P1546" s="4"/>
    </row>
    <row r="1547" ht="15.75" hidden="1" customHeight="1">
      <c r="B1547" s="8">
        <v>1863.0</v>
      </c>
      <c r="C1547" s="9">
        <v>43423.0</v>
      </c>
      <c r="D1547" s="6" t="s">
        <v>2032</v>
      </c>
      <c r="E1547" s="4">
        <v>6.111001464E9</v>
      </c>
      <c r="F1547" s="8" t="s">
        <v>2030</v>
      </c>
      <c r="G1547" s="4" t="s">
        <v>1596</v>
      </c>
      <c r="H1547" s="10" t="s">
        <v>1721</v>
      </c>
      <c r="I1547" s="10">
        <v>3.0</v>
      </c>
      <c r="J1547" s="11" t="str">
        <f>IF(D1547&lt;&gt;"",VLOOKUP(H1547,TABLEITEM,5,FALSE),"")</f>
        <v>EA</v>
      </c>
      <c r="K1547" s="12">
        <v>456.0</v>
      </c>
      <c r="L1547" s="13" t="str">
        <f>IF(D1547&lt;&gt;"",VLOOKUP(H1547,TABLEITEM,2,FALSE),"")</f>
        <v/>
      </c>
      <c r="M1547" s="13" t="str">
        <f>IF(D1547&lt;&gt;"",VLOOKUP(H1547,TABLEITEM,3,FALSE),"")</f>
        <v>Consumer Unit SCP-07</v>
      </c>
      <c r="N1547" s="14">
        <f>INSTOCK!$I1547*INSTOCK!$K1547</f>
        <v>1368</v>
      </c>
      <c r="O1547" s="4" t="s">
        <v>1799</v>
      </c>
      <c r="P1547" s="4"/>
    </row>
    <row r="1548" ht="15.75" hidden="1" customHeight="1">
      <c r="B1548" s="8">
        <v>1864.0</v>
      </c>
      <c r="C1548" s="9">
        <v>43423.0</v>
      </c>
      <c r="D1548" s="6" t="s">
        <v>2033</v>
      </c>
      <c r="E1548" s="4">
        <v>6.111001468E9</v>
      </c>
      <c r="F1548" s="8" t="s">
        <v>2030</v>
      </c>
      <c r="G1548" s="4" t="s">
        <v>1596</v>
      </c>
      <c r="H1548" s="10" t="s">
        <v>1798</v>
      </c>
      <c r="I1548" s="10">
        <v>21.0</v>
      </c>
      <c r="J1548" s="11" t="str">
        <f>IF(D1548&lt;&gt;"",VLOOKUP(H1548,TABLEITEM,5,FALSE),"")</f>
        <v>EA</v>
      </c>
      <c r="K1548" s="12">
        <v>74.0</v>
      </c>
      <c r="L1548" s="13" t="str">
        <f>IF(D1548&lt;&gt;"",VLOOKUP(H1548,TABLEITEM,2,FALSE),"")</f>
        <v/>
      </c>
      <c r="M1548" s="13" t="str">
        <f>IF(D1548&lt;&gt;"",VLOOKUP(H1548,TABLEITEM,3,FALSE),"")</f>
        <v>MCB SH201-C10</v>
      </c>
      <c r="N1548" s="14">
        <f>INSTOCK!$I1548*INSTOCK!$K1548</f>
        <v>1554</v>
      </c>
      <c r="O1548" s="4" t="s">
        <v>1598</v>
      </c>
      <c r="P1548" s="4"/>
    </row>
    <row r="1549" ht="15.75" hidden="1" customHeight="1">
      <c r="B1549" s="8">
        <v>1865.0</v>
      </c>
      <c r="C1549" s="9">
        <v>43423.0</v>
      </c>
      <c r="D1549" s="6" t="s">
        <v>2033</v>
      </c>
      <c r="E1549" s="4">
        <v>6.111001468E9</v>
      </c>
      <c r="F1549" s="8" t="s">
        <v>2030</v>
      </c>
      <c r="G1549" s="4" t="s">
        <v>1596</v>
      </c>
      <c r="H1549" s="10" t="s">
        <v>1721</v>
      </c>
      <c r="I1549" s="10">
        <v>3.0</v>
      </c>
      <c r="J1549" s="11" t="str">
        <f>IF(D1549&lt;&gt;"",VLOOKUP(H1549,TABLEITEM,5,FALSE),"")</f>
        <v>EA</v>
      </c>
      <c r="K1549" s="12">
        <v>456.0</v>
      </c>
      <c r="L1549" s="13" t="str">
        <f>IF(D1549&lt;&gt;"",VLOOKUP(H1549,TABLEITEM,2,FALSE),"")</f>
        <v/>
      </c>
      <c r="M1549" s="13" t="str">
        <f>IF(D1549&lt;&gt;"",VLOOKUP(H1549,TABLEITEM,3,FALSE),"")</f>
        <v>Consumer Unit SCP-07</v>
      </c>
      <c r="N1549" s="14">
        <f>INSTOCK!$I1549*INSTOCK!$K1549</f>
        <v>1368</v>
      </c>
      <c r="O1549" s="4" t="s">
        <v>1799</v>
      </c>
      <c r="P1549" s="4"/>
    </row>
    <row r="1550" ht="15.75" hidden="1" customHeight="1">
      <c r="B1550" s="8">
        <v>1866.0</v>
      </c>
      <c r="C1550" s="9">
        <v>43423.0</v>
      </c>
      <c r="D1550" s="6" t="s">
        <v>2033</v>
      </c>
      <c r="E1550" s="4">
        <v>6.111001468E9</v>
      </c>
      <c r="F1550" s="8" t="s">
        <v>2030</v>
      </c>
      <c r="G1550" s="4" t="s">
        <v>1596</v>
      </c>
      <c r="H1550" s="10" t="s">
        <v>2034</v>
      </c>
      <c r="I1550" s="10">
        <v>1.0</v>
      </c>
      <c r="J1550" s="11" t="str">
        <f>IF(D1550&lt;&gt;"",VLOOKUP(H1550,TABLEITEM,5,FALSE),"")</f>
        <v>EA</v>
      </c>
      <c r="K1550" s="12">
        <v>286.0</v>
      </c>
      <c r="L1550" s="13" t="str">
        <f>IF(D1550&lt;&gt;"",VLOOKUP(H1550,TABLEITEM,2,FALSE),"")</f>
        <v/>
      </c>
      <c r="M1550" s="13" t="str">
        <f>IF(D1550&lt;&gt;"",VLOOKUP(H1550,TABLEITEM,3,FALSE),"")</f>
        <v>MCB 2P 20A 10KA</v>
      </c>
      <c r="N1550" s="14">
        <f>INSTOCK!$I1550*INSTOCK!$K1550</f>
        <v>286</v>
      </c>
      <c r="O1550" s="4" t="s">
        <v>2035</v>
      </c>
      <c r="P1550" s="4"/>
    </row>
    <row r="1551" ht="15.75" hidden="1" customHeight="1">
      <c r="B1551" s="8">
        <v>1867.0</v>
      </c>
      <c r="C1551" s="9">
        <v>43423.0</v>
      </c>
      <c r="D1551" s="6" t="s">
        <v>2033</v>
      </c>
      <c r="E1551" s="4">
        <v>6.111001468E9</v>
      </c>
      <c r="F1551" s="8" t="s">
        <v>2030</v>
      </c>
      <c r="G1551" s="4" t="s">
        <v>1596</v>
      </c>
      <c r="H1551" s="10" t="s">
        <v>1795</v>
      </c>
      <c r="I1551" s="10">
        <v>9.0</v>
      </c>
      <c r="J1551" s="11" t="str">
        <f>IF(D1551&lt;&gt;"",VLOOKUP(H1551,TABLEITEM,5,FALSE),"")</f>
        <v>EA</v>
      </c>
      <c r="K1551" s="12">
        <v>74.0</v>
      </c>
      <c r="L1551" s="13" t="str">
        <f>IF(D1551&lt;&gt;"",VLOOKUP(H1551,TABLEITEM,2,FALSE),"")</f>
        <v/>
      </c>
      <c r="M1551" s="13" t="str">
        <f>IF(D1551&lt;&gt;"",VLOOKUP(H1551,TABLEITEM,3,FALSE),"")</f>
        <v>MCB SH201-C20</v>
      </c>
      <c r="N1551" s="14">
        <f>INSTOCK!$I1551*INSTOCK!$K1551</f>
        <v>666</v>
      </c>
      <c r="O1551" s="4" t="s">
        <v>1598</v>
      </c>
      <c r="P1551" s="4"/>
    </row>
    <row r="1552" ht="15.75" hidden="1" customHeight="1">
      <c r="B1552" s="8">
        <v>1868.0</v>
      </c>
      <c r="C1552" s="9">
        <v>43423.0</v>
      </c>
      <c r="D1552" s="6" t="s">
        <v>2033</v>
      </c>
      <c r="E1552" s="4">
        <v>6.111001468E9</v>
      </c>
      <c r="F1552" s="8" t="s">
        <v>2030</v>
      </c>
      <c r="G1552" s="4" t="s">
        <v>1596</v>
      </c>
      <c r="H1552" s="10" t="s">
        <v>1803</v>
      </c>
      <c r="I1552" s="10">
        <v>6.0</v>
      </c>
      <c r="J1552" s="11" t="str">
        <f>IF(D1552&lt;&gt;"",VLOOKUP(H1552,TABLEITEM,5,FALSE),"")</f>
        <v>EA</v>
      </c>
      <c r="K1552" s="12">
        <v>74.0</v>
      </c>
      <c r="L1552" s="13" t="str">
        <f>IF(D1552&lt;&gt;"",VLOOKUP(H1552,TABLEITEM,2,FALSE),"")</f>
        <v/>
      </c>
      <c r="M1552" s="13" t="str">
        <f>IF(D1552&lt;&gt;"",VLOOKUP(H1552,TABLEITEM,3,FALSE),"")</f>
        <v>MCB SH201-C32</v>
      </c>
      <c r="N1552" s="14">
        <f>INSTOCK!$I1552*INSTOCK!$K1552</f>
        <v>444</v>
      </c>
      <c r="O1552" s="4" t="s">
        <v>1598</v>
      </c>
      <c r="P1552" s="4"/>
    </row>
    <row r="1553" ht="15.75" hidden="1" customHeight="1">
      <c r="B1553" s="8">
        <v>1869.0</v>
      </c>
      <c r="C1553" s="9">
        <v>43423.0</v>
      </c>
      <c r="D1553" s="6" t="s">
        <v>2033</v>
      </c>
      <c r="E1553" s="4">
        <v>6.111001468E9</v>
      </c>
      <c r="F1553" s="8" t="s">
        <v>2030</v>
      </c>
      <c r="G1553" s="4" t="s">
        <v>1596</v>
      </c>
      <c r="H1553" s="10" t="s">
        <v>1721</v>
      </c>
      <c r="I1553" s="10">
        <v>3.0</v>
      </c>
      <c r="J1553" s="11" t="str">
        <f>IF(D1553&lt;&gt;"",VLOOKUP(H1553,TABLEITEM,5,FALSE),"")</f>
        <v>EA</v>
      </c>
      <c r="K1553" s="12">
        <v>456.0</v>
      </c>
      <c r="L1553" s="13" t="str">
        <f>IF(D1553&lt;&gt;"",VLOOKUP(H1553,TABLEITEM,2,FALSE),"")</f>
        <v/>
      </c>
      <c r="M1553" s="13" t="str">
        <f>IF(D1553&lt;&gt;"",VLOOKUP(H1553,TABLEITEM,3,FALSE),"")</f>
        <v>Consumer Unit SCP-07</v>
      </c>
      <c r="N1553" s="14">
        <f>INSTOCK!$I1553*INSTOCK!$K1553</f>
        <v>1368</v>
      </c>
      <c r="O1553" s="4" t="s">
        <v>1799</v>
      </c>
      <c r="P1553" s="4"/>
    </row>
    <row r="1554" ht="15.75" hidden="1" customHeight="1">
      <c r="B1554" s="8">
        <v>1870.0</v>
      </c>
      <c r="C1554" s="9">
        <v>43423.0</v>
      </c>
      <c r="D1554" s="6" t="s">
        <v>2033</v>
      </c>
      <c r="E1554" s="4">
        <v>6.111001468E9</v>
      </c>
      <c r="F1554" s="8" t="s">
        <v>2030</v>
      </c>
      <c r="G1554" s="4" t="s">
        <v>1596</v>
      </c>
      <c r="H1554" s="10" t="s">
        <v>1795</v>
      </c>
      <c r="I1554" s="10">
        <v>9.0</v>
      </c>
      <c r="J1554" s="11" t="str">
        <f>IF(D1554&lt;&gt;"",VLOOKUP(H1554,TABLEITEM,5,FALSE),"")</f>
        <v>EA</v>
      </c>
      <c r="K1554" s="12">
        <v>74.0</v>
      </c>
      <c r="L1554" s="13" t="str">
        <f>IF(D1554&lt;&gt;"",VLOOKUP(H1554,TABLEITEM,2,FALSE),"")</f>
        <v/>
      </c>
      <c r="M1554" s="13" t="str">
        <f>IF(D1554&lt;&gt;"",VLOOKUP(H1554,TABLEITEM,3,FALSE),"")</f>
        <v>MCB SH201-C20</v>
      </c>
      <c r="N1554" s="14">
        <f>INSTOCK!$I1554*INSTOCK!$K1554</f>
        <v>666</v>
      </c>
      <c r="O1554" s="4" t="s">
        <v>1598</v>
      </c>
      <c r="P1554" s="4"/>
    </row>
    <row r="1555" ht="15.75" hidden="1" customHeight="1">
      <c r="B1555" s="8">
        <v>1871.0</v>
      </c>
      <c r="C1555" s="9">
        <v>43423.0</v>
      </c>
      <c r="D1555" s="6" t="s">
        <v>2033</v>
      </c>
      <c r="E1555" s="4">
        <v>6.111001468E9</v>
      </c>
      <c r="F1555" s="8" t="s">
        <v>2030</v>
      </c>
      <c r="G1555" s="4" t="s">
        <v>1596</v>
      </c>
      <c r="H1555" s="10" t="s">
        <v>1803</v>
      </c>
      <c r="I1555" s="10">
        <v>6.0</v>
      </c>
      <c r="J1555" s="11" t="str">
        <f>IF(D1555&lt;&gt;"",VLOOKUP(H1555,TABLEITEM,5,FALSE),"")</f>
        <v>EA</v>
      </c>
      <c r="K1555" s="12">
        <v>74.0</v>
      </c>
      <c r="L1555" s="13" t="str">
        <f>IF(D1555&lt;&gt;"",VLOOKUP(H1555,TABLEITEM,2,FALSE),"")</f>
        <v/>
      </c>
      <c r="M1555" s="13" t="str">
        <f>IF(D1555&lt;&gt;"",VLOOKUP(H1555,TABLEITEM,3,FALSE),"")</f>
        <v>MCB SH201-C32</v>
      </c>
      <c r="N1555" s="14">
        <f>INSTOCK!$I1555*INSTOCK!$K1555</f>
        <v>444</v>
      </c>
      <c r="O1555" s="4" t="s">
        <v>1598</v>
      </c>
      <c r="P1555" s="4"/>
    </row>
    <row r="1556" ht="15.75" hidden="1" customHeight="1">
      <c r="B1556" s="8">
        <v>1872.0</v>
      </c>
      <c r="C1556" s="9">
        <v>43423.0</v>
      </c>
      <c r="D1556" s="6" t="s">
        <v>2033</v>
      </c>
      <c r="E1556" s="4">
        <v>6.111001468E9</v>
      </c>
      <c r="F1556" s="8" t="s">
        <v>2030</v>
      </c>
      <c r="G1556" s="4" t="s">
        <v>1596</v>
      </c>
      <c r="H1556" s="10" t="s">
        <v>1721</v>
      </c>
      <c r="I1556" s="10">
        <v>3.0</v>
      </c>
      <c r="J1556" s="11" t="str">
        <f>IF(D1556&lt;&gt;"",VLOOKUP(H1556,TABLEITEM,5,FALSE),"")</f>
        <v>EA</v>
      </c>
      <c r="K1556" s="12">
        <v>456.0</v>
      </c>
      <c r="L1556" s="13" t="str">
        <f>IF(D1556&lt;&gt;"",VLOOKUP(H1556,TABLEITEM,2,FALSE),"")</f>
        <v/>
      </c>
      <c r="M1556" s="13" t="str">
        <f>IF(D1556&lt;&gt;"",VLOOKUP(H1556,TABLEITEM,3,FALSE),"")</f>
        <v>Consumer Unit SCP-07</v>
      </c>
      <c r="N1556" s="14">
        <f>INSTOCK!$I1556*INSTOCK!$K1556</f>
        <v>1368</v>
      </c>
      <c r="O1556" s="4" t="s">
        <v>1799</v>
      </c>
      <c r="P1556" s="4"/>
    </row>
    <row r="1557" ht="15.75" hidden="1" customHeight="1">
      <c r="B1557" s="8">
        <v>1873.0</v>
      </c>
      <c r="C1557" s="9">
        <v>43423.0</v>
      </c>
      <c r="D1557" s="6" t="s">
        <v>2036</v>
      </c>
      <c r="E1557" s="4">
        <v>6.111001466E9</v>
      </c>
      <c r="F1557" s="8" t="s">
        <v>2030</v>
      </c>
      <c r="G1557" s="4" t="s">
        <v>692</v>
      </c>
      <c r="H1557" s="10" t="s">
        <v>1769</v>
      </c>
      <c r="I1557" s="10">
        <v>1.0</v>
      </c>
      <c r="J1557" s="11" t="str">
        <f>IF(D1557&lt;&gt;"",VLOOKUP(H1557,TABLEITEM,5,FALSE),"")</f>
        <v>EA</v>
      </c>
      <c r="K1557" s="12">
        <v>1170.0</v>
      </c>
      <c r="L1557" s="13" t="str">
        <f>IF(D1557&lt;&gt;"",VLOOKUP(H1557,TABLEITEM,2,FALSE),"")</f>
        <v/>
      </c>
      <c r="M1557" s="13" t="str">
        <f>IF(D1557&lt;&gt;"",VLOOKUP(H1557,TABLEITEM,3,FALSE),"")</f>
        <v>MCCB A1C125 3P 50A 25KA</v>
      </c>
      <c r="N1557" s="14">
        <f>INSTOCK!$I1557*INSTOCK!$K1557</f>
        <v>1170</v>
      </c>
      <c r="O1557" s="4" t="s">
        <v>1718</v>
      </c>
      <c r="P1557" s="4"/>
    </row>
    <row r="1558" ht="15.75" hidden="1" customHeight="1">
      <c r="B1558" s="8">
        <v>1874.0</v>
      </c>
      <c r="C1558" s="9">
        <v>43423.0</v>
      </c>
      <c r="D1558" s="6" t="s">
        <v>2036</v>
      </c>
      <c r="E1558" s="4">
        <v>6.111001466E9</v>
      </c>
      <c r="F1558" s="8" t="s">
        <v>2030</v>
      </c>
      <c r="G1558" s="4" t="s">
        <v>692</v>
      </c>
      <c r="H1558" s="10" t="s">
        <v>1694</v>
      </c>
      <c r="I1558" s="10">
        <v>3.0</v>
      </c>
      <c r="J1558" s="11" t="str">
        <f>IF(D1558&lt;&gt;"",VLOOKUP(H1558,TABLEITEM,5,FALSE),"")</f>
        <v>EA</v>
      </c>
      <c r="K1558" s="12">
        <v>1062.6</v>
      </c>
      <c r="L1558" s="13" t="str">
        <f>IF(D1558&lt;&gt;"",VLOOKUP(H1558,TABLEITEM,2,FALSE),"")</f>
        <v/>
      </c>
      <c r="M1558" s="13" t="str">
        <f>IF(D1558&lt;&gt;"",VLOOKUP(H1558,TABLEITEM,3,FALSE),"")</f>
        <v>Circuil Breaker FH202AC-40/0.03</v>
      </c>
      <c r="N1558" s="14">
        <f>INSTOCK!$I1558*INSTOCK!$K1558</f>
        <v>3187.8</v>
      </c>
      <c r="O1558" s="4" t="s">
        <v>2037</v>
      </c>
      <c r="P1558" s="4"/>
    </row>
    <row r="1559" ht="15.75" hidden="1" customHeight="1">
      <c r="B1559" s="8">
        <v>1875.0</v>
      </c>
      <c r="C1559" s="9">
        <v>43423.0</v>
      </c>
      <c r="D1559" s="6" t="s">
        <v>2036</v>
      </c>
      <c r="E1559" s="4">
        <v>6.111001466E9</v>
      </c>
      <c r="F1559" s="8" t="s">
        <v>2030</v>
      </c>
      <c r="G1559" s="4" t="s">
        <v>692</v>
      </c>
      <c r="H1559" s="10" t="s">
        <v>1769</v>
      </c>
      <c r="I1559" s="10">
        <v>1.0</v>
      </c>
      <c r="J1559" s="11" t="str">
        <f>IF(D1559&lt;&gt;"",VLOOKUP(H1559,TABLEITEM,5,FALSE),"")</f>
        <v>EA</v>
      </c>
      <c r="K1559" s="12">
        <v>1170.0</v>
      </c>
      <c r="L1559" s="13" t="str">
        <f>IF(D1559&lt;&gt;"",VLOOKUP(H1559,TABLEITEM,2,FALSE),"")</f>
        <v/>
      </c>
      <c r="M1559" s="13" t="str">
        <f>IF(D1559&lt;&gt;"",VLOOKUP(H1559,TABLEITEM,3,FALSE),"")</f>
        <v>MCCB A1C125 3P 50A 25KA</v>
      </c>
      <c r="N1559" s="14">
        <f>INSTOCK!$I1559*INSTOCK!$K1559</f>
        <v>1170</v>
      </c>
      <c r="O1559" s="4"/>
      <c r="P1559" s="4"/>
    </row>
    <row r="1560" ht="15.75" hidden="1" customHeight="1">
      <c r="B1560" s="8">
        <v>1876.0</v>
      </c>
      <c r="C1560" s="9">
        <v>43423.0</v>
      </c>
      <c r="D1560" s="6" t="s">
        <v>2036</v>
      </c>
      <c r="E1560" s="4">
        <v>6.111001466E9</v>
      </c>
      <c r="F1560" s="8" t="s">
        <v>2030</v>
      </c>
      <c r="G1560" s="4" t="s">
        <v>692</v>
      </c>
      <c r="H1560" s="10" t="s">
        <v>1694</v>
      </c>
      <c r="I1560" s="10">
        <v>3.0</v>
      </c>
      <c r="J1560" s="11" t="str">
        <f>IF(D1560&lt;&gt;"",VLOOKUP(H1560,TABLEITEM,5,FALSE),"")</f>
        <v>EA</v>
      </c>
      <c r="K1560" s="12">
        <v>1062.6</v>
      </c>
      <c r="L1560" s="13" t="str">
        <f>IF(D1560&lt;&gt;"",VLOOKUP(H1560,TABLEITEM,2,FALSE),"")</f>
        <v/>
      </c>
      <c r="M1560" s="13" t="str">
        <f>IF(D1560&lt;&gt;"",VLOOKUP(H1560,TABLEITEM,3,FALSE),"")</f>
        <v>Circuil Breaker FH202AC-40/0.03</v>
      </c>
      <c r="N1560" s="14">
        <f>INSTOCK!$I1560*INSTOCK!$K1560</f>
        <v>3187.8</v>
      </c>
      <c r="O1560" s="4"/>
      <c r="P1560" s="4"/>
    </row>
    <row r="1561" ht="15.75" hidden="1" customHeight="1">
      <c r="B1561" s="8">
        <v>1877.0</v>
      </c>
      <c r="C1561" s="9">
        <v>43423.0</v>
      </c>
      <c r="D1561" s="6" t="s">
        <v>2036</v>
      </c>
      <c r="E1561" s="4">
        <v>6.111001466E9</v>
      </c>
      <c r="F1561" s="8" t="s">
        <v>2030</v>
      </c>
      <c r="G1561" s="4" t="s">
        <v>692</v>
      </c>
      <c r="H1561" s="10" t="s">
        <v>1769</v>
      </c>
      <c r="I1561" s="10">
        <v>1.0</v>
      </c>
      <c r="J1561" s="11" t="str">
        <f>IF(D1561&lt;&gt;"",VLOOKUP(H1561,TABLEITEM,5,FALSE),"")</f>
        <v>EA</v>
      </c>
      <c r="K1561" s="12">
        <v>1170.0</v>
      </c>
      <c r="L1561" s="13" t="str">
        <f>IF(D1561&lt;&gt;"",VLOOKUP(H1561,TABLEITEM,2,FALSE),"")</f>
        <v/>
      </c>
      <c r="M1561" s="13" t="str">
        <f>IF(D1561&lt;&gt;"",VLOOKUP(H1561,TABLEITEM,3,FALSE),"")</f>
        <v>MCCB A1C125 3P 50A 25KA</v>
      </c>
      <c r="N1561" s="14">
        <f>INSTOCK!$I1561*INSTOCK!$K1561</f>
        <v>1170</v>
      </c>
      <c r="O1561" s="4"/>
      <c r="P1561" s="4"/>
    </row>
    <row r="1562" ht="15.75" hidden="1" customHeight="1">
      <c r="B1562" s="8">
        <v>1878.0</v>
      </c>
      <c r="C1562" s="9">
        <v>43423.0</v>
      </c>
      <c r="D1562" s="6" t="s">
        <v>2036</v>
      </c>
      <c r="E1562" s="4">
        <v>6.111001466E9</v>
      </c>
      <c r="F1562" s="8" t="s">
        <v>2030</v>
      </c>
      <c r="G1562" s="4" t="s">
        <v>692</v>
      </c>
      <c r="H1562" s="10" t="s">
        <v>1694</v>
      </c>
      <c r="I1562" s="10">
        <v>3.0</v>
      </c>
      <c r="J1562" s="11" t="str">
        <f>IF(D1562&lt;&gt;"",VLOOKUP(H1562,TABLEITEM,5,FALSE),"")</f>
        <v>EA</v>
      </c>
      <c r="K1562" s="12">
        <v>1062.6</v>
      </c>
      <c r="L1562" s="13" t="str">
        <f>IF(D1562&lt;&gt;"",VLOOKUP(H1562,TABLEITEM,2,FALSE),"")</f>
        <v/>
      </c>
      <c r="M1562" s="13" t="str">
        <f>IF(D1562&lt;&gt;"",VLOOKUP(H1562,TABLEITEM,3,FALSE),"")</f>
        <v>Circuil Breaker FH202AC-40/0.03</v>
      </c>
      <c r="N1562" s="14">
        <f>INSTOCK!$I1562*INSTOCK!$K1562</f>
        <v>3187.8</v>
      </c>
      <c r="O1562" s="4"/>
      <c r="P1562" s="4"/>
    </row>
    <row r="1563" ht="15.75" hidden="1" customHeight="1">
      <c r="B1563" s="8">
        <v>1879.0</v>
      </c>
      <c r="C1563" s="9">
        <v>43423.0</v>
      </c>
      <c r="D1563" s="6" t="s">
        <v>2036</v>
      </c>
      <c r="E1563" s="4">
        <v>6.111001466E9</v>
      </c>
      <c r="F1563" s="8" t="s">
        <v>2030</v>
      </c>
      <c r="G1563" s="4" t="s">
        <v>692</v>
      </c>
      <c r="H1563" s="10" t="s">
        <v>1769</v>
      </c>
      <c r="I1563" s="10">
        <v>1.0</v>
      </c>
      <c r="J1563" s="11" t="str">
        <f>IF(D1563&lt;&gt;"",VLOOKUP(H1563,TABLEITEM,5,FALSE),"")</f>
        <v>EA</v>
      </c>
      <c r="K1563" s="12">
        <v>1170.0</v>
      </c>
      <c r="L1563" s="13" t="str">
        <f>IF(D1563&lt;&gt;"",VLOOKUP(H1563,TABLEITEM,2,FALSE),"")</f>
        <v/>
      </c>
      <c r="M1563" s="13" t="str">
        <f>IF(D1563&lt;&gt;"",VLOOKUP(H1563,TABLEITEM,3,FALSE),"")</f>
        <v>MCCB A1C125 3P 50A 25KA</v>
      </c>
      <c r="N1563" s="14">
        <f>INSTOCK!$I1563*INSTOCK!$K1563</f>
        <v>1170</v>
      </c>
      <c r="O1563" s="4"/>
      <c r="P1563" s="4"/>
    </row>
    <row r="1564" ht="15.75" hidden="1" customHeight="1">
      <c r="B1564" s="8">
        <v>1880.0</v>
      </c>
      <c r="C1564" s="9">
        <v>43423.0</v>
      </c>
      <c r="D1564" s="6" t="s">
        <v>2036</v>
      </c>
      <c r="E1564" s="4">
        <v>6.111001466E9</v>
      </c>
      <c r="F1564" s="8" t="s">
        <v>2030</v>
      </c>
      <c r="G1564" s="4" t="s">
        <v>692</v>
      </c>
      <c r="H1564" s="10" t="s">
        <v>1694</v>
      </c>
      <c r="I1564" s="10">
        <v>3.0</v>
      </c>
      <c r="J1564" s="11" t="str">
        <f>IF(D1564&lt;&gt;"",VLOOKUP(H1564,TABLEITEM,5,FALSE),"")</f>
        <v>EA</v>
      </c>
      <c r="K1564" s="12">
        <v>1062.6</v>
      </c>
      <c r="L1564" s="13" t="str">
        <f>IF(D1564&lt;&gt;"",VLOOKUP(H1564,TABLEITEM,2,FALSE),"")</f>
        <v/>
      </c>
      <c r="M1564" s="13" t="str">
        <f>IF(D1564&lt;&gt;"",VLOOKUP(H1564,TABLEITEM,3,FALSE),"")</f>
        <v>Circuil Breaker FH202AC-40/0.03</v>
      </c>
      <c r="N1564" s="14">
        <f>INSTOCK!$I1564*INSTOCK!$K1564</f>
        <v>3187.8</v>
      </c>
      <c r="O1564" s="4"/>
      <c r="P1564" s="4"/>
    </row>
    <row r="1565" ht="15.75" hidden="1" customHeight="1">
      <c r="B1565" s="8">
        <v>1881.0</v>
      </c>
      <c r="C1565" s="9">
        <v>43423.0</v>
      </c>
      <c r="D1565" s="6" t="s">
        <v>2038</v>
      </c>
      <c r="E1565" s="4">
        <v>6.111001465E9</v>
      </c>
      <c r="F1565" s="8" t="s">
        <v>2030</v>
      </c>
      <c r="G1565" s="4" t="s">
        <v>692</v>
      </c>
      <c r="H1565" s="10" t="s">
        <v>1717</v>
      </c>
      <c r="I1565" s="10">
        <v>1.0</v>
      </c>
      <c r="J1565" s="11" t="str">
        <f>IF(D1565&lt;&gt;"",VLOOKUP(H1565,TABLEITEM,5,FALSE),"")</f>
        <v>EA</v>
      </c>
      <c r="K1565" s="12">
        <v>1170.0</v>
      </c>
      <c r="L1565" s="13" t="str">
        <f>IF(D1565&lt;&gt;"",VLOOKUP(H1565,TABLEITEM,2,FALSE),"")</f>
        <v/>
      </c>
      <c r="M1565" s="13" t="str">
        <f>IF(D1565&lt;&gt;"",VLOOKUP(H1565,TABLEITEM,3,FALSE),"")</f>
        <v>MCCB A1C125 3P 60A 25KA</v>
      </c>
      <c r="N1565" s="14">
        <f>INSTOCK!$I1565*INSTOCK!$K1565</f>
        <v>1170</v>
      </c>
      <c r="O1565" s="4"/>
      <c r="P1565" s="4"/>
    </row>
    <row r="1566" ht="15.75" hidden="1" customHeight="1">
      <c r="B1566" s="8">
        <v>1882.0</v>
      </c>
      <c r="C1566" s="9">
        <v>43423.0</v>
      </c>
      <c r="D1566" s="6" t="s">
        <v>2038</v>
      </c>
      <c r="E1566" s="4">
        <v>6.111001465E9</v>
      </c>
      <c r="F1566" s="8" t="s">
        <v>2030</v>
      </c>
      <c r="G1566" s="4" t="s">
        <v>692</v>
      </c>
      <c r="H1566" s="10" t="s">
        <v>1694</v>
      </c>
      <c r="I1566" s="10">
        <v>4.0</v>
      </c>
      <c r="J1566" s="11" t="str">
        <f>IF(D1566&lt;&gt;"",VLOOKUP(H1566,TABLEITEM,5,FALSE),"")</f>
        <v>EA</v>
      </c>
      <c r="K1566" s="12">
        <v>1062.6</v>
      </c>
      <c r="L1566" s="13" t="str">
        <f>IF(D1566&lt;&gt;"",VLOOKUP(H1566,TABLEITEM,2,FALSE),"")</f>
        <v/>
      </c>
      <c r="M1566" s="13" t="str">
        <f>IF(D1566&lt;&gt;"",VLOOKUP(H1566,TABLEITEM,3,FALSE),"")</f>
        <v>Circuil Breaker FH202AC-40/0.03</v>
      </c>
      <c r="N1566" s="14">
        <f>INSTOCK!$I1566*INSTOCK!$K1566</f>
        <v>4250.4</v>
      </c>
      <c r="O1566" s="4"/>
      <c r="P1566" s="4"/>
    </row>
    <row r="1567" ht="15.75" hidden="1" customHeight="1">
      <c r="B1567" s="8">
        <v>1883.0</v>
      </c>
      <c r="C1567" s="9">
        <v>43423.0</v>
      </c>
      <c r="D1567" s="6" t="s">
        <v>2038</v>
      </c>
      <c r="E1567" s="4">
        <v>6.111001465E9</v>
      </c>
      <c r="F1567" s="8" t="s">
        <v>2030</v>
      </c>
      <c r="G1567" s="4" t="s">
        <v>692</v>
      </c>
      <c r="H1567" s="10" t="s">
        <v>1769</v>
      </c>
      <c r="I1567" s="10">
        <v>1.0</v>
      </c>
      <c r="J1567" s="11" t="str">
        <f>IF(D1567&lt;&gt;"",VLOOKUP(H1567,TABLEITEM,5,FALSE),"")</f>
        <v>EA</v>
      </c>
      <c r="K1567" s="12">
        <v>1170.0</v>
      </c>
      <c r="L1567" s="13" t="str">
        <f>IF(D1567&lt;&gt;"",VLOOKUP(H1567,TABLEITEM,2,FALSE),"")</f>
        <v/>
      </c>
      <c r="M1567" s="13" t="str">
        <f>IF(D1567&lt;&gt;"",VLOOKUP(H1567,TABLEITEM,3,FALSE),"")</f>
        <v>MCCB A1C125 3P 50A 25KA</v>
      </c>
      <c r="N1567" s="14">
        <f>INSTOCK!$I1567*INSTOCK!$K1567</f>
        <v>1170</v>
      </c>
      <c r="O1567" s="4"/>
      <c r="P1567" s="4"/>
    </row>
    <row r="1568" ht="15.75" hidden="1" customHeight="1">
      <c r="B1568" s="8">
        <v>1884.0</v>
      </c>
      <c r="C1568" s="9">
        <v>43423.0</v>
      </c>
      <c r="D1568" s="6" t="s">
        <v>2038</v>
      </c>
      <c r="E1568" s="4">
        <v>6.111001465E9</v>
      </c>
      <c r="F1568" s="8" t="s">
        <v>2030</v>
      </c>
      <c r="G1568" s="4" t="s">
        <v>692</v>
      </c>
      <c r="H1568" s="10" t="s">
        <v>1768</v>
      </c>
      <c r="I1568" s="10">
        <v>1.0</v>
      </c>
      <c r="J1568" s="11" t="str">
        <f>IF(D1568&lt;&gt;"",VLOOKUP(H1568,TABLEITEM,5,FALSE),"")</f>
        <v>EA</v>
      </c>
      <c r="K1568" s="12">
        <v>1170.0</v>
      </c>
      <c r="L1568" s="13" t="str">
        <f>IF(D1568&lt;&gt;"",VLOOKUP(H1568,TABLEITEM,2,FALSE),"")</f>
        <v/>
      </c>
      <c r="M1568" s="13" t="str">
        <f>IF(D1568&lt;&gt;"",VLOOKUP(H1568,TABLEITEM,3,FALSE),"")</f>
        <v>MCCB A1C125 3P 30A 25KA</v>
      </c>
      <c r="N1568" s="14">
        <f>INSTOCK!$I1568*INSTOCK!$K1568</f>
        <v>1170</v>
      </c>
      <c r="O1568" s="4"/>
      <c r="P1568" s="4"/>
    </row>
    <row r="1569" ht="15.75" hidden="1" customHeight="1">
      <c r="B1569" s="8">
        <v>1885.0</v>
      </c>
      <c r="C1569" s="9">
        <v>43423.0</v>
      </c>
      <c r="D1569" s="6" t="s">
        <v>2038</v>
      </c>
      <c r="E1569" s="4">
        <v>6.111001465E9</v>
      </c>
      <c r="F1569" s="8" t="s">
        <v>2030</v>
      </c>
      <c r="G1569" s="4" t="s">
        <v>692</v>
      </c>
      <c r="H1569" s="10" t="s">
        <v>1717</v>
      </c>
      <c r="I1569" s="10">
        <v>1.0</v>
      </c>
      <c r="J1569" s="11" t="str">
        <f>IF(D1569&lt;&gt;"",VLOOKUP(H1569,TABLEITEM,5,FALSE),"")</f>
        <v>EA</v>
      </c>
      <c r="K1569" s="12">
        <v>1170.0</v>
      </c>
      <c r="L1569" s="13" t="s">
        <v>2039</v>
      </c>
      <c r="M1569" s="13" t="str">
        <f>IF(D1569&lt;&gt;"",VLOOKUP(H1569,TABLEITEM,3,FALSE),"")</f>
        <v>MCCB A1C125 3P 60A 25KA</v>
      </c>
      <c r="N1569" s="14">
        <f>INSTOCK!$I1569*INSTOCK!$K1569</f>
        <v>1170</v>
      </c>
      <c r="O1569" s="4"/>
      <c r="P1569" s="4"/>
    </row>
    <row r="1570" ht="15.75" hidden="1" customHeight="1">
      <c r="B1570" s="8">
        <v>1886.0</v>
      </c>
      <c r="C1570" s="9">
        <v>43423.0</v>
      </c>
      <c r="D1570" s="6" t="s">
        <v>2038</v>
      </c>
      <c r="E1570" s="4">
        <v>6.111001465E9</v>
      </c>
      <c r="F1570" s="8" t="s">
        <v>2030</v>
      </c>
      <c r="G1570" s="4" t="s">
        <v>692</v>
      </c>
      <c r="H1570" s="10" t="s">
        <v>1769</v>
      </c>
      <c r="I1570" s="10">
        <v>1.0</v>
      </c>
      <c r="J1570" s="11" t="str">
        <f>IF(D1570&lt;&gt;"",VLOOKUP(H1570,TABLEITEM,5,FALSE),"")</f>
        <v>EA</v>
      </c>
      <c r="K1570" s="12">
        <v>1170.0</v>
      </c>
      <c r="L1570" s="13" t="str">
        <f>IF(D1570&lt;&gt;"",VLOOKUP(H1570,TABLEITEM,2,FALSE),"")</f>
        <v/>
      </c>
      <c r="M1570" s="13" t="str">
        <f>IF(D1570&lt;&gt;"",VLOOKUP(H1570,TABLEITEM,3,FALSE),"")</f>
        <v>MCCB A1C125 3P 50A 25KA</v>
      </c>
      <c r="N1570" s="14">
        <f>INSTOCK!$I1570*INSTOCK!$K1570</f>
        <v>1170</v>
      </c>
      <c r="O1570" s="4"/>
      <c r="P1570" s="4"/>
    </row>
    <row r="1571" ht="15.75" hidden="1" customHeight="1">
      <c r="B1571" s="8">
        <v>1887.0</v>
      </c>
      <c r="C1571" s="9">
        <v>43423.0</v>
      </c>
      <c r="D1571" s="6" t="s">
        <v>2038</v>
      </c>
      <c r="E1571" s="4">
        <v>6.111001465E9</v>
      </c>
      <c r="F1571" s="8" t="s">
        <v>2030</v>
      </c>
      <c r="G1571" s="4" t="s">
        <v>692</v>
      </c>
      <c r="H1571" s="10" t="s">
        <v>1694</v>
      </c>
      <c r="I1571" s="10">
        <v>6.0</v>
      </c>
      <c r="J1571" s="11" t="str">
        <f>IF(D1571&lt;&gt;"",VLOOKUP(H1571,TABLEITEM,5,FALSE),"")</f>
        <v>EA</v>
      </c>
      <c r="K1571" s="12">
        <v>1062.6</v>
      </c>
      <c r="L1571" s="13" t="str">
        <f>IF(D1571&lt;&gt;"",VLOOKUP(H1571,TABLEITEM,2,FALSE),"")</f>
        <v/>
      </c>
      <c r="M1571" s="13" t="str">
        <f>IF(D1571&lt;&gt;"",VLOOKUP(H1571,TABLEITEM,3,FALSE),"")</f>
        <v>Circuil Breaker FH202AC-40/0.03</v>
      </c>
      <c r="N1571" s="14">
        <f>INSTOCK!$I1571*INSTOCK!$K1571</f>
        <v>6375.6</v>
      </c>
      <c r="O1571" s="4"/>
      <c r="P1571" s="4"/>
    </row>
    <row r="1572" ht="15.75" hidden="1" customHeight="1">
      <c r="B1572" s="8">
        <v>1888.0</v>
      </c>
      <c r="C1572" s="9">
        <v>43423.0</v>
      </c>
      <c r="D1572" s="6" t="s">
        <v>2038</v>
      </c>
      <c r="E1572" s="4">
        <v>6.111001465E9</v>
      </c>
      <c r="F1572" s="8" t="s">
        <v>2030</v>
      </c>
      <c r="G1572" s="4" t="s">
        <v>692</v>
      </c>
      <c r="H1572" s="10" t="s">
        <v>1768</v>
      </c>
      <c r="I1572" s="10">
        <v>3.0</v>
      </c>
      <c r="J1572" s="11" t="str">
        <f>IF(D1572&lt;&gt;"",VLOOKUP(H1572,TABLEITEM,5,FALSE),"")</f>
        <v>EA</v>
      </c>
      <c r="K1572" s="12">
        <v>1170.0</v>
      </c>
      <c r="L1572" s="13" t="str">
        <f>IF(D1572&lt;&gt;"",VLOOKUP(H1572,TABLEITEM,2,FALSE),"")</f>
        <v/>
      </c>
      <c r="M1572" s="13" t="str">
        <f>IF(D1572&lt;&gt;"",VLOOKUP(H1572,TABLEITEM,3,FALSE),"")</f>
        <v>MCCB A1C125 3P 30A 25KA</v>
      </c>
      <c r="N1572" s="14">
        <f>INSTOCK!$I1572*INSTOCK!$K1572</f>
        <v>3510</v>
      </c>
      <c r="O1572" s="4"/>
      <c r="P1572" s="4"/>
    </row>
    <row r="1573" ht="15.75" hidden="1" customHeight="1">
      <c r="B1573" s="8">
        <v>1889.0</v>
      </c>
      <c r="C1573" s="9">
        <v>43473.0</v>
      </c>
      <c r="D1573" s="6" t="s">
        <v>2040</v>
      </c>
      <c r="E1573" s="4">
        <v>6.112001699E9</v>
      </c>
      <c r="F1573" s="8" t="s">
        <v>981</v>
      </c>
      <c r="G1573" s="4" t="s">
        <v>965</v>
      </c>
      <c r="H1573" s="10" t="s">
        <v>2041</v>
      </c>
      <c r="I1573" s="10">
        <v>2.0</v>
      </c>
      <c r="J1573" s="11" t="str">
        <f>IF(D1573&lt;&gt;"",VLOOKUP(H1573,TABLEITEM,5,FALSE),"")</f>
        <v>กล</v>
      </c>
      <c r="K1573" s="12">
        <v>290.0</v>
      </c>
      <c r="L1573" s="13" t="str">
        <f>IF(D1573&lt;&gt;"",VLOOKUP(H1573,TABLEITEM,2,FALSE),"")</f>
        <v/>
      </c>
      <c r="M1573" s="13" t="str">
        <f>IF(D1573&lt;&gt;"",VLOOKUP(H1573,TABLEITEM,3,FALSE),"")</f>
        <v>สีน้ำมัน LOTTO 1186</v>
      </c>
      <c r="N1573" s="14">
        <f>INSTOCK!$I1573*INSTOCK!$K1573</f>
        <v>580</v>
      </c>
      <c r="O1573" s="4"/>
      <c r="P1573" s="4"/>
    </row>
    <row r="1574" ht="15.75" hidden="1" customHeight="1">
      <c r="B1574" s="8">
        <v>1890.0</v>
      </c>
      <c r="C1574" s="9">
        <v>43473.0</v>
      </c>
      <c r="D1574" s="6" t="s">
        <v>2040</v>
      </c>
      <c r="E1574" s="4">
        <v>6.112001699E9</v>
      </c>
      <c r="F1574" s="8" t="s">
        <v>981</v>
      </c>
      <c r="G1574" s="4" t="s">
        <v>965</v>
      </c>
      <c r="H1574" s="18" t="s">
        <v>1680</v>
      </c>
      <c r="I1574" s="10">
        <v>2.0</v>
      </c>
      <c r="J1574" s="11" t="str">
        <f>IF(D1574&lt;&gt;"",VLOOKUP(H1574,TABLEITEM,5,FALSE),"")</f>
        <v>EA</v>
      </c>
      <c r="K1574" s="12">
        <v>20.0</v>
      </c>
      <c r="L1574" s="13" t="str">
        <f>IF(D1574&lt;&gt;"",VLOOKUP(H1574,TABLEITEM,2,FALSE),"")</f>
        <v/>
      </c>
      <c r="M1574" s="13" t="str">
        <f>IF(D1574&lt;&gt;"",VLOOKUP(H1574,TABLEITEM,3,FALSE),"")</f>
        <v>แปรงทาสี 3"</v>
      </c>
      <c r="N1574" s="14">
        <f>INSTOCK!$I1574*INSTOCK!$K1574</f>
        <v>40</v>
      </c>
      <c r="O1574" s="4"/>
      <c r="P1574" s="4"/>
    </row>
    <row r="1575" ht="15.75" hidden="1" customHeight="1">
      <c r="B1575" s="8">
        <v>1891.0</v>
      </c>
      <c r="C1575" s="9">
        <v>43472.0</v>
      </c>
      <c r="D1575" s="6">
        <v>6.20101344E8</v>
      </c>
      <c r="E1575" s="4">
        <v>6.201000024E9</v>
      </c>
      <c r="F1575" s="8" t="s">
        <v>2042</v>
      </c>
      <c r="G1575" s="4" t="s">
        <v>1130</v>
      </c>
      <c r="H1575" s="10" t="s">
        <v>2043</v>
      </c>
      <c r="I1575" s="10">
        <v>3.0</v>
      </c>
      <c r="J1575" s="11" t="str">
        <f>IF(D1575&lt;&gt;"",VLOOKUP(H1575,TABLEITEM,5,FALSE),"")</f>
        <v>EA</v>
      </c>
      <c r="K1575" s="12">
        <v>255.78</v>
      </c>
      <c r="L1575" s="13" t="str">
        <f>IF(D1575&lt;&gt;"",VLOOKUP(H1575,TABLEITEM,2,FALSE),"")</f>
        <v/>
      </c>
      <c r="M1575" s="13" t="str">
        <f>IF(D1575&lt;&gt;"",VLOOKUP(H1575,TABLEITEM,3,FALSE),"")</f>
        <v>MICRO SWITCH Z-15GQ22-B</v>
      </c>
      <c r="N1575" s="14">
        <f>INSTOCK!$I1575*INSTOCK!$K1575</f>
        <v>767.34</v>
      </c>
      <c r="O1575" s="4" t="s">
        <v>2044</v>
      </c>
      <c r="P1575" s="4"/>
    </row>
    <row r="1576" ht="15.75" hidden="1" customHeight="1">
      <c r="B1576" s="8">
        <v>1892.0</v>
      </c>
      <c r="C1576" s="9">
        <v>43472.0</v>
      </c>
      <c r="D1576" s="6" t="s">
        <v>2045</v>
      </c>
      <c r="E1576" s="4">
        <v>6.201000031E9</v>
      </c>
      <c r="F1576" s="8" t="s">
        <v>1961</v>
      </c>
      <c r="G1576" s="4" t="s">
        <v>1596</v>
      </c>
      <c r="H1576" s="10" t="s">
        <v>1505</v>
      </c>
      <c r="I1576" s="10">
        <v>1.0</v>
      </c>
      <c r="J1576" s="11" t="str">
        <f>IF(D1576&lt;&gt;"",VLOOKUP(H1576,TABLEITEM,5,FALSE),"")</f>
        <v>EA</v>
      </c>
      <c r="K1576" s="12">
        <v>970.0</v>
      </c>
      <c r="L1576" s="13" t="str">
        <f>IF(D1576&lt;&gt;"",VLOOKUP(H1576,TABLEITEM,2,FALSE),"")</f>
        <v/>
      </c>
      <c r="M1576" s="13" t="str">
        <f>IF(D1576&lt;&gt;"",VLOOKUP(H1576,TABLEITEM,3,FALSE),"")</f>
        <v>FUSE XLP #00 3P</v>
      </c>
      <c r="N1576" s="14">
        <f>INSTOCK!$I1576*INSTOCK!$K1576</f>
        <v>970</v>
      </c>
      <c r="O1576" s="4" t="s">
        <v>2046</v>
      </c>
      <c r="P1576" s="4"/>
    </row>
    <row r="1577" ht="15.75" hidden="1" customHeight="1">
      <c r="B1577" s="8">
        <v>1893.0</v>
      </c>
      <c r="C1577" s="9">
        <v>43472.0</v>
      </c>
      <c r="D1577" s="6" t="s">
        <v>2047</v>
      </c>
      <c r="E1577" s="4">
        <v>6.201000029E9</v>
      </c>
      <c r="F1577" s="8" t="s">
        <v>604</v>
      </c>
      <c r="G1577" s="4" t="s">
        <v>721</v>
      </c>
      <c r="H1577" s="10" t="s">
        <v>204</v>
      </c>
      <c r="I1577" s="10">
        <v>40.0</v>
      </c>
      <c r="J1577" s="11" t="str">
        <f>IF(D1577&lt;&gt;"",VLOOKUP(H1577,TABLEITEM,5,FALSE),"")</f>
        <v>EA</v>
      </c>
      <c r="K1577" s="12">
        <v>102.432</v>
      </c>
      <c r="L1577" s="13" t="str">
        <f>IF(D1577&lt;&gt;"",VLOOKUP(H1577,TABLEITEM,2,FALSE),"")</f>
        <v/>
      </c>
      <c r="M1577" s="13" t="str">
        <f>IF(D1577&lt;&gt;"",VLOOKUP(H1577,TABLEITEM,3,FALSE),"")</f>
        <v>รางวายดัก/รางPVC 33x45 mm.</v>
      </c>
      <c r="N1577" s="14">
        <f>INSTOCK!$I1577*INSTOCK!$K1577</f>
        <v>4097.28</v>
      </c>
      <c r="O1577" s="4" t="s">
        <v>723</v>
      </c>
      <c r="P1577" s="4"/>
    </row>
    <row r="1578" ht="15.75" hidden="1" customHeight="1">
      <c r="B1578" s="8">
        <v>1894.0</v>
      </c>
      <c r="C1578" s="9">
        <v>43473.0</v>
      </c>
      <c r="D1578" s="6" t="s">
        <v>2048</v>
      </c>
      <c r="E1578" s="4"/>
      <c r="F1578" s="8" t="s">
        <v>604</v>
      </c>
      <c r="G1578" s="4" t="s">
        <v>765</v>
      </c>
      <c r="H1578" s="10" t="s">
        <v>85</v>
      </c>
      <c r="I1578" s="10">
        <v>200.0</v>
      </c>
      <c r="J1578" s="11" t="str">
        <f>IF(D1578&lt;&gt;"",VLOOKUP(H1578,TABLEITEM,5,FALSE),"")</f>
        <v>KG.</v>
      </c>
      <c r="K1578" s="12">
        <v>112.0</v>
      </c>
      <c r="L1578" s="13" t="str">
        <f>IF(D1578&lt;&gt;"",VLOOKUP(H1578,TABLEITEM,2,FALSE),"")</f>
        <v/>
      </c>
      <c r="M1578" s="13" t="str">
        <f>IF(D1578&lt;&gt;"",VLOOKUP(H1578,TABLEITEM,3,FALSE),"")</f>
        <v>สีฝุ่น GH433241 สีเทาย่น</v>
      </c>
      <c r="N1578" s="14">
        <f>INSTOCK!$I1578*INSTOCK!$K1578</f>
        <v>22400</v>
      </c>
      <c r="O1578" s="4"/>
      <c r="P1578" s="4"/>
    </row>
    <row r="1579" ht="15.75" hidden="1" customHeight="1">
      <c r="B1579" s="8">
        <v>1895.0</v>
      </c>
      <c r="C1579" s="9">
        <v>43473.0</v>
      </c>
      <c r="D1579" s="6" t="s">
        <v>2049</v>
      </c>
      <c r="E1579" s="4">
        <v>6.201000028E9</v>
      </c>
      <c r="F1579" s="8" t="s">
        <v>604</v>
      </c>
      <c r="G1579" s="4" t="s">
        <v>1453</v>
      </c>
      <c r="H1579" s="10" t="s">
        <v>2050</v>
      </c>
      <c r="I1579" s="10">
        <v>9.0</v>
      </c>
      <c r="J1579" s="11" t="str">
        <f>IF(D1579&lt;&gt;"",VLOOKUP(H1579,TABLEITEM,5,FALSE),"")</f>
        <v>EA</v>
      </c>
      <c r="K1579" s="12">
        <v>837.9</v>
      </c>
      <c r="L1579" s="13" t="str">
        <f>IF(D1579&lt;&gt;"",VLOOKUP(H1579,TABLEITEM,2,FALSE),"")</f>
        <v/>
      </c>
      <c r="M1579" s="13" t="str">
        <f>IF(D1579&lt;&gt;"",VLOOKUP(H1579,TABLEITEM,3,FALSE),"")</f>
        <v>พัดลม PMV25C.01220 6"</v>
      </c>
      <c r="N1579" s="14">
        <f>INSTOCK!$I1579*INSTOCK!$K1579</f>
        <v>7541.1</v>
      </c>
      <c r="O1579" s="4" t="s">
        <v>2051</v>
      </c>
      <c r="P1579" s="4"/>
    </row>
    <row r="1580" ht="15.75" hidden="1" customHeight="1">
      <c r="B1580" s="8">
        <v>1896.0</v>
      </c>
      <c r="C1580" s="9">
        <v>43473.0</v>
      </c>
      <c r="D1580" s="6">
        <v>37062.0</v>
      </c>
      <c r="E1580" s="4">
        <v>6.201000033E9</v>
      </c>
      <c r="F1580" s="8" t="s">
        <v>2052</v>
      </c>
      <c r="G1580" s="4" t="s">
        <v>696</v>
      </c>
      <c r="H1580" s="10" t="s">
        <v>2053</v>
      </c>
      <c r="I1580" s="10">
        <v>3.0</v>
      </c>
      <c r="J1580" s="11" t="str">
        <f>IF(D1580&lt;&gt;"",VLOOKUP(H1580,TABLEITEM,5,FALSE),"")</f>
        <v>EA</v>
      </c>
      <c r="K1580" s="12">
        <v>2400.0</v>
      </c>
      <c r="L1580" s="13" t="str">
        <f>IF(D1580&lt;&gt;"",VLOOKUP(H1580,TABLEITEM,2,FALSE),"")</f>
        <v/>
      </c>
      <c r="M1580" s="13" t="str">
        <f>IF(D1580&lt;&gt;"",VLOOKUP(H1580,TABLEITEM,3,FALSE),"")</f>
        <v>สว่านไฟฟ้า(กระแทก) GSB 16RE</v>
      </c>
      <c r="N1580" s="14">
        <f>INSTOCK!$I1580*INSTOCK!$K1580</f>
        <v>7200</v>
      </c>
      <c r="O1580" s="4"/>
      <c r="P1580" s="4"/>
    </row>
    <row r="1581" ht="15.75" hidden="1" customHeight="1">
      <c r="B1581" s="8">
        <v>1897.0</v>
      </c>
      <c r="C1581" s="9">
        <v>43473.0</v>
      </c>
      <c r="D1581" s="6">
        <v>37061.0</v>
      </c>
      <c r="E1581" s="4">
        <v>6.20100003E9</v>
      </c>
      <c r="F1581" s="8" t="s">
        <v>604</v>
      </c>
      <c r="G1581" s="4" t="s">
        <v>696</v>
      </c>
      <c r="H1581" s="10" t="s">
        <v>2054</v>
      </c>
      <c r="I1581" s="10">
        <v>3.0</v>
      </c>
      <c r="J1581" s="11" t="str">
        <f>IF(D1581&lt;&gt;"",VLOOKUP(H1581,TABLEITEM,5,FALSE),"")</f>
        <v>EA</v>
      </c>
      <c r="K1581" s="12">
        <v>330.0</v>
      </c>
      <c r="L1581" s="13" t="str">
        <f>IF(D1581&lt;&gt;"",VLOOKUP(H1581,TABLEITEM,2,FALSE),"")</f>
        <v/>
      </c>
      <c r="M1581" s="13" t="str">
        <f>IF(D1581&lt;&gt;"",VLOOKUP(H1581,TABLEITEM,3,FALSE),"")</f>
        <v>CRC CO CONTACT CLENER</v>
      </c>
      <c r="N1581" s="14">
        <f>INSTOCK!$I1581*INSTOCK!$K1581</f>
        <v>990</v>
      </c>
      <c r="O1581" s="4"/>
      <c r="P1581" s="4"/>
    </row>
    <row r="1582" ht="15.75" hidden="1" customHeight="1">
      <c r="B1582" s="8">
        <v>1898.0</v>
      </c>
      <c r="C1582" s="9">
        <v>43472.0</v>
      </c>
      <c r="D1582" s="6" t="s">
        <v>2055</v>
      </c>
      <c r="E1582" s="4">
        <v>6.201000001E9</v>
      </c>
      <c r="F1582" s="8" t="s">
        <v>2052</v>
      </c>
      <c r="G1582" s="4" t="s">
        <v>2056</v>
      </c>
      <c r="H1582" s="10" t="s">
        <v>2057</v>
      </c>
      <c r="I1582" s="10">
        <v>1.0</v>
      </c>
      <c r="J1582" s="11" t="str">
        <f>IF(D1582&lt;&gt;"",VLOOKUP(H1582,TABLEITEM,5,FALSE),"")</f>
        <v>EA</v>
      </c>
      <c r="K1582" s="12">
        <v>66150.0</v>
      </c>
      <c r="L1582" s="13" t="str">
        <f>IF(D1582&lt;&gt;"",VLOOKUP(H1582,TABLEITEM,2,FALSE),"")</f>
        <v/>
      </c>
      <c r="M1582" s="13" t="str">
        <f>IF(D1582&lt;&gt;"",VLOOKUP(H1582,TABLEITEM,3,FALSE),"")</f>
        <v>RIVKLE P2007 POWER TOOL</v>
      </c>
      <c r="N1582" s="14">
        <f>INSTOCK!$I1582*INSTOCK!$K1582</f>
        <v>66150</v>
      </c>
      <c r="O1582" s="4"/>
      <c r="P1582" s="4"/>
    </row>
    <row r="1583" ht="15.75" hidden="1" customHeight="1">
      <c r="B1583" s="8">
        <v>1899.0</v>
      </c>
      <c r="C1583" s="9">
        <v>43472.0</v>
      </c>
      <c r="D1583" s="6" t="s">
        <v>2055</v>
      </c>
      <c r="E1583" s="4">
        <v>6.201000001E9</v>
      </c>
      <c r="F1583" s="8" t="s">
        <v>2052</v>
      </c>
      <c r="G1583" s="4" t="s">
        <v>2056</v>
      </c>
      <c r="H1583" s="10" t="s">
        <v>2058</v>
      </c>
      <c r="I1583" s="10">
        <v>1.0</v>
      </c>
      <c r="J1583" s="11" t="str">
        <f>IF(D1583&lt;&gt;"",VLOOKUP(H1583,TABLEITEM,5,FALSE),"")</f>
        <v>EA</v>
      </c>
      <c r="K1583" s="12"/>
      <c r="L1583" s="13" t="str">
        <f>IF(D1583&lt;&gt;"",VLOOKUP(H1583,TABLEITEM,2,FALSE),"")</f>
        <v/>
      </c>
      <c r="M1583" s="13" t="str">
        <f>IF(D1583&lt;&gt;"",VLOOKUP(H1583,TABLEITEM,3,FALSE),"")</f>
        <v>RIVKLE OPEN MANDREL M6</v>
      </c>
      <c r="N1583" s="14">
        <f>INSTOCK!$I1583*INSTOCK!$K1583</f>
        <v>0</v>
      </c>
      <c r="O1583" s="4"/>
      <c r="P1583" s="4"/>
    </row>
    <row r="1584" ht="15.75" hidden="1" customHeight="1">
      <c r="B1584" s="8">
        <v>1900.0</v>
      </c>
      <c r="C1584" s="9">
        <v>43472.0</v>
      </c>
      <c r="D1584" s="6" t="s">
        <v>2055</v>
      </c>
      <c r="E1584" s="4">
        <v>6.201000001E9</v>
      </c>
      <c r="F1584" s="8" t="s">
        <v>2052</v>
      </c>
      <c r="G1584" s="4" t="s">
        <v>2056</v>
      </c>
      <c r="H1584" s="10" t="s">
        <v>2059</v>
      </c>
      <c r="I1584" s="10">
        <v>1.0</v>
      </c>
      <c r="J1584" s="11" t="str">
        <f>IF(D1584&lt;&gt;"",VLOOKUP(H1584,TABLEITEM,5,FALSE),"")</f>
        <v>EA</v>
      </c>
      <c r="K1584" s="12"/>
      <c r="L1584" s="13" t="str">
        <f>IF(D1584&lt;&gt;"",VLOOKUP(H1584,TABLEITEM,2,FALSE),"")</f>
        <v/>
      </c>
      <c r="M1584" s="13" t="str">
        <f>IF(D1584&lt;&gt;"",VLOOKUP(H1584,TABLEITEM,3,FALSE),"")</f>
        <v>RIVKLE OPEN MANDREL M8</v>
      </c>
      <c r="N1584" s="14">
        <f>INSTOCK!$I1584*INSTOCK!$K1584</f>
        <v>0</v>
      </c>
      <c r="O1584" s="4"/>
      <c r="P1584" s="4"/>
    </row>
    <row r="1585" ht="15.75" hidden="1" customHeight="1">
      <c r="B1585" s="8">
        <v>1901.0</v>
      </c>
      <c r="C1585" s="9">
        <v>43472.0</v>
      </c>
      <c r="D1585" s="6" t="s">
        <v>2055</v>
      </c>
      <c r="E1585" s="4">
        <v>6.201000001E9</v>
      </c>
      <c r="F1585" s="8" t="s">
        <v>2052</v>
      </c>
      <c r="G1585" s="4" t="s">
        <v>2056</v>
      </c>
      <c r="H1585" s="10" t="s">
        <v>2060</v>
      </c>
      <c r="I1585" s="10">
        <v>1.0</v>
      </c>
      <c r="J1585" s="11" t="str">
        <f>IF(D1585&lt;&gt;"",VLOOKUP(H1585,TABLEITEM,5,FALSE),"")</f>
        <v>EA</v>
      </c>
      <c r="K1585" s="12"/>
      <c r="L1585" s="13" t="str">
        <f>IF(D1585&lt;&gt;"",VLOOKUP(H1585,TABLEITEM,2,FALSE),"")</f>
        <v/>
      </c>
      <c r="M1585" s="13" t="str">
        <f>IF(D1585&lt;&gt;"",VLOOKUP(H1585,TABLEITEM,3,FALSE),"")</f>
        <v>RIVKLE OPEN ANVIL D6</v>
      </c>
      <c r="N1585" s="14">
        <f>INSTOCK!$I1585*INSTOCK!$K1585</f>
        <v>0</v>
      </c>
      <c r="O1585" s="4"/>
      <c r="P1585" s="4"/>
    </row>
    <row r="1586" ht="15.75" hidden="1" customHeight="1">
      <c r="B1586" s="8">
        <v>1902.0</v>
      </c>
      <c r="C1586" s="9">
        <v>43472.0</v>
      </c>
      <c r="D1586" s="6" t="s">
        <v>2055</v>
      </c>
      <c r="E1586" s="4">
        <v>6.201000001E9</v>
      </c>
      <c r="F1586" s="8" t="s">
        <v>2052</v>
      </c>
      <c r="G1586" s="4" t="s">
        <v>2056</v>
      </c>
      <c r="H1586" s="10" t="s">
        <v>2061</v>
      </c>
      <c r="I1586" s="10">
        <v>1.0</v>
      </c>
      <c r="J1586" s="11" t="str">
        <f>IF(D1586&lt;&gt;"",VLOOKUP(H1586,TABLEITEM,5,FALSE),"")</f>
        <v>EA</v>
      </c>
      <c r="K1586" s="12"/>
      <c r="L1586" s="13" t="str">
        <f>IF(D1586&lt;&gt;"",VLOOKUP(H1586,TABLEITEM,2,FALSE),"")</f>
        <v/>
      </c>
      <c r="M1586" s="13" t="str">
        <f>IF(D1586&lt;&gt;"",VLOOKUP(H1586,TABLEITEM,3,FALSE),"")</f>
        <v>RIVKLE OPEN ANVIL D8</v>
      </c>
      <c r="N1586" s="14">
        <f>INSTOCK!$I1586*INSTOCK!$K1586</f>
        <v>0</v>
      </c>
      <c r="O1586" s="4"/>
      <c r="P1586" s="4"/>
    </row>
    <row r="1587" ht="15.75" hidden="1" customHeight="1">
      <c r="B1587" s="8">
        <v>1903.0</v>
      </c>
      <c r="C1587" s="9">
        <v>43473.0</v>
      </c>
      <c r="D1587" s="6" t="s">
        <v>2062</v>
      </c>
      <c r="E1587" s="4">
        <v>6.201000007E9</v>
      </c>
      <c r="F1587" s="8" t="s">
        <v>604</v>
      </c>
      <c r="G1587" s="4" t="s">
        <v>965</v>
      </c>
      <c r="H1587" s="10" t="s">
        <v>2063</v>
      </c>
      <c r="I1587" s="10">
        <v>10.0</v>
      </c>
      <c r="J1587" s="11" t="str">
        <f>IF(D1587&lt;&gt;"",VLOOKUP(H1587,TABLEITEM,5,FALSE),"")</f>
        <v>M</v>
      </c>
      <c r="K1587" s="12">
        <v>60.0</v>
      </c>
      <c r="L1587" s="13" t="str">
        <f>IF(D1587&lt;&gt;"",VLOOKUP(H1587,TABLEITEM,2,FALSE),"")</f>
        <v/>
      </c>
      <c r="M1587" s="13" t="str">
        <f>IF(D1587&lt;&gt;"",VLOOKUP(H1587,TABLEITEM,3,FALSE),"")</f>
        <v>สายยางน้ำ 2"</v>
      </c>
      <c r="N1587" s="14">
        <f>INSTOCK!$I1587*INSTOCK!$K1587</f>
        <v>600</v>
      </c>
      <c r="O1587" s="4"/>
      <c r="P1587" s="4"/>
    </row>
    <row r="1588" ht="15.75" hidden="1" customHeight="1">
      <c r="B1588" s="8">
        <v>1904.0</v>
      </c>
      <c r="C1588" s="9">
        <v>43473.0</v>
      </c>
      <c r="D1588" s="6" t="s">
        <v>2062</v>
      </c>
      <c r="E1588" s="4">
        <v>6.201000007E9</v>
      </c>
      <c r="F1588" s="8" t="s">
        <v>604</v>
      </c>
      <c r="G1588" s="4" t="s">
        <v>965</v>
      </c>
      <c r="H1588" s="10" t="s">
        <v>2064</v>
      </c>
      <c r="I1588" s="10">
        <v>2.0</v>
      </c>
      <c r="J1588" s="11" t="str">
        <f>IF(D1588&lt;&gt;"",VLOOKUP(H1588,TABLEITEM,5,FALSE),"")</f>
        <v>EA</v>
      </c>
      <c r="K1588" s="12">
        <v>10.0</v>
      </c>
      <c r="L1588" s="13" t="str">
        <f>IF(D1588&lt;&gt;"",VLOOKUP(H1588,TABLEITEM,2,FALSE),"")</f>
        <v/>
      </c>
      <c r="M1588" s="13" t="str">
        <f>IF(D1588&lt;&gt;"",VLOOKUP(H1588,TABLEITEM,3,FALSE),"")</f>
        <v>เข็มขัดรัดสายยาง 2"</v>
      </c>
      <c r="N1588" s="14">
        <f>INSTOCK!$I1588*INSTOCK!$K1588</f>
        <v>20</v>
      </c>
      <c r="O1588" s="4"/>
      <c r="P1588" s="4"/>
    </row>
    <row r="1589" ht="15.75" hidden="1" customHeight="1">
      <c r="B1589" s="8">
        <v>1905.0</v>
      </c>
      <c r="C1589" s="9">
        <v>43473.0</v>
      </c>
      <c r="D1589" s="6" t="s">
        <v>2062</v>
      </c>
      <c r="E1589" s="4">
        <v>6.201000007E9</v>
      </c>
      <c r="F1589" s="8" t="s">
        <v>604</v>
      </c>
      <c r="G1589" s="4" t="s">
        <v>965</v>
      </c>
      <c r="H1589" s="10" t="s">
        <v>38</v>
      </c>
      <c r="I1589" s="10">
        <v>200.0</v>
      </c>
      <c r="J1589" s="11" t="str">
        <f>IF(D1589&lt;&gt;"",VLOOKUP(H1589,TABLEITEM,5,FALSE),"")</f>
        <v>EA</v>
      </c>
      <c r="K1589" s="12">
        <v>2.0</v>
      </c>
      <c r="L1589" s="13" t="str">
        <f>IF(D1589&lt;&gt;"",VLOOKUP(H1589,TABLEITEM,2,FALSE),"")</f>
        <v/>
      </c>
      <c r="M1589" s="13" t="str">
        <f>IF(D1589&lt;&gt;"",VLOOKUP(H1589,TABLEITEM,3,FALSE),"")</f>
        <v>กระจกใส</v>
      </c>
      <c r="N1589" s="14">
        <f>INSTOCK!$I1589*INSTOCK!$K1589</f>
        <v>400</v>
      </c>
      <c r="O1589" s="4"/>
      <c r="P1589" s="4"/>
    </row>
    <row r="1590" ht="15.75" hidden="1" customHeight="1">
      <c r="B1590" s="8">
        <v>1906.0</v>
      </c>
      <c r="C1590" s="9">
        <v>43473.0</v>
      </c>
      <c r="D1590" s="6" t="s">
        <v>2062</v>
      </c>
      <c r="E1590" s="4">
        <v>6.201000007E9</v>
      </c>
      <c r="F1590" s="8" t="s">
        <v>604</v>
      </c>
      <c r="G1590" s="4" t="s">
        <v>965</v>
      </c>
      <c r="H1590" s="10" t="s">
        <v>59</v>
      </c>
      <c r="I1590" s="10">
        <v>3.0</v>
      </c>
      <c r="J1590" s="11" t="str">
        <f>IF(D1590&lt;&gt;"",VLOOKUP(H1590,TABLEITEM,5,FALSE),"")</f>
        <v>EA</v>
      </c>
      <c r="K1590" s="12">
        <v>100.0</v>
      </c>
      <c r="L1590" s="13" t="str">
        <f>IF(D1590&lt;&gt;"",VLOOKUP(H1590,TABLEITEM,2,FALSE),"")</f>
        <v/>
      </c>
      <c r="M1590" s="13" t="str">
        <f>IF(D1590&lt;&gt;"",VLOOKUP(H1590,TABLEITEM,3,FALSE),"")</f>
        <v>โซเน็ก</v>
      </c>
      <c r="N1590" s="14">
        <f>INSTOCK!$I1590*INSTOCK!$K1590</f>
        <v>300</v>
      </c>
      <c r="O1590" s="4"/>
      <c r="P1590" s="4"/>
    </row>
    <row r="1591" ht="15.75" hidden="1" customHeight="1">
      <c r="B1591" s="8">
        <v>1907.0</v>
      </c>
      <c r="C1591" s="9">
        <v>43469.0</v>
      </c>
      <c r="D1591" s="36" t="s">
        <v>2065</v>
      </c>
      <c r="E1591" s="36">
        <v>6.112001665E9</v>
      </c>
      <c r="F1591" s="37" t="s">
        <v>604</v>
      </c>
      <c r="G1591" s="36" t="s">
        <v>2066</v>
      </c>
      <c r="H1591" s="10" t="s">
        <v>566</v>
      </c>
      <c r="I1591" s="10">
        <v>2.0</v>
      </c>
      <c r="J1591" s="11" t="str">
        <f>IF(D1591&lt;&gt;"",VLOOKUP(H1591,TABLEITEM,5,FALSE),"")</f>
        <v>แผ่น</v>
      </c>
      <c r="K1591" s="12">
        <v>18800.0</v>
      </c>
      <c r="L1591" s="13" t="str">
        <f>IF(D1591&lt;&gt;"",VLOOKUP(H1591,TABLEITEM,2,FALSE),"")</f>
        <v>Busbar</v>
      </c>
      <c r="M1591" s="13" t="str">
        <f>IF(D1591&lt;&gt;"",VLOOKUP(H1591,TABLEITEM,3,FALSE),"")</f>
        <v>บัสบาร์ทองแดง 2MM(4x8)แผ่น</v>
      </c>
      <c r="N1591" s="14">
        <f>INSTOCK!$I1591*INSTOCK!$K1591</f>
        <v>37600</v>
      </c>
      <c r="O1591" s="4"/>
      <c r="P1591" s="4"/>
    </row>
    <row r="1592" ht="15.75" hidden="1" customHeight="1">
      <c r="B1592" s="8">
        <v>1908.0</v>
      </c>
      <c r="C1592" s="9">
        <v>43469.0</v>
      </c>
      <c r="D1592" s="36" t="s">
        <v>2065</v>
      </c>
      <c r="E1592" s="36">
        <v>6.112001665E9</v>
      </c>
      <c r="F1592" s="37" t="s">
        <v>604</v>
      </c>
      <c r="G1592" s="4" t="s">
        <v>2066</v>
      </c>
      <c r="H1592" s="10" t="s">
        <v>567</v>
      </c>
      <c r="I1592" s="10">
        <v>1.0</v>
      </c>
      <c r="J1592" s="11" t="str">
        <f>IF(D1592&lt;&gt;"",VLOOKUP(H1592,TABLEITEM,5,FALSE),"")</f>
        <v>แผ่น</v>
      </c>
      <c r="K1592" s="12">
        <v>28500.0</v>
      </c>
      <c r="L1592" s="13" t="str">
        <f>IF(D1592&lt;&gt;"",VLOOKUP(H1592,TABLEITEM,2,FALSE),"")</f>
        <v>Busbar</v>
      </c>
      <c r="M1592" s="13" t="str">
        <f>IF(D1592&lt;&gt;"",VLOOKUP(H1592,TABLEITEM,3,FALSE),"")</f>
        <v>บัสบาร์ทองแดง 3MM(4x8)แผ่น</v>
      </c>
      <c r="N1592" s="14">
        <f>INSTOCK!$I1592*INSTOCK!$K1592</f>
        <v>28500</v>
      </c>
      <c r="O1592" s="4"/>
      <c r="P1592" s="4"/>
    </row>
    <row r="1593" ht="15.75" hidden="1" customHeight="1">
      <c r="B1593" s="8">
        <v>1909.0</v>
      </c>
      <c r="C1593" s="9">
        <v>43474.0</v>
      </c>
      <c r="D1593" s="6" t="s">
        <v>2067</v>
      </c>
      <c r="E1593" s="4">
        <v>6.112001675E9</v>
      </c>
      <c r="F1593" s="8" t="s">
        <v>604</v>
      </c>
      <c r="G1593" s="4" t="s">
        <v>1611</v>
      </c>
      <c r="H1593" s="10" t="s">
        <v>188</v>
      </c>
      <c r="I1593" s="10">
        <v>1200.0</v>
      </c>
      <c r="J1593" s="11" t="str">
        <f>IF(D1593&lt;&gt;"",VLOOKUP(H1593,TABLEITEM,5,FALSE),"")</f>
        <v>EA</v>
      </c>
      <c r="K1593" s="12">
        <v>9.0</v>
      </c>
      <c r="L1593" s="13" t="str">
        <f>IF(D1593&lt;&gt;"",VLOOKUP(H1593,TABLEITEM,2,FALSE),"")</f>
        <v/>
      </c>
      <c r="M1593" s="13" t="str">
        <f>IF(D1593&lt;&gt;"",VLOOKUP(H1593,TABLEITEM,3,FALSE),"")</f>
        <v>TERMINAL BLOCK TX10</v>
      </c>
      <c r="N1593" s="14">
        <f>INSTOCK!$I1593*INSTOCK!$K1593</f>
        <v>10800</v>
      </c>
      <c r="O1593" s="4"/>
      <c r="P1593" s="4"/>
    </row>
    <row r="1594" ht="15.75" hidden="1" customHeight="1">
      <c r="B1594" s="8">
        <v>1910.0</v>
      </c>
      <c r="C1594" s="9">
        <v>43474.0</v>
      </c>
      <c r="D1594" s="6" t="s">
        <v>2067</v>
      </c>
      <c r="E1594" s="4">
        <v>6.112001675E9</v>
      </c>
      <c r="F1594" s="8" t="s">
        <v>604</v>
      </c>
      <c r="G1594" s="4" t="s">
        <v>1611</v>
      </c>
      <c r="H1594" s="10" t="s">
        <v>189</v>
      </c>
      <c r="I1594" s="10">
        <v>200.0</v>
      </c>
      <c r="J1594" s="11" t="str">
        <f>IF(D1594&lt;&gt;"",VLOOKUP(H1594,TABLEITEM,5,FALSE),"")</f>
        <v>EA</v>
      </c>
      <c r="K1594" s="12">
        <v>5.0</v>
      </c>
      <c r="L1594" s="13" t="str">
        <f>IF(D1594&lt;&gt;"",VLOOKUP(H1594,TABLEITEM,2,FALSE),"")</f>
        <v/>
      </c>
      <c r="M1594" s="13" t="str">
        <f>IF(D1594&lt;&gt;"",VLOOKUP(H1594,TABLEITEM,3,FALSE),"")</f>
        <v>END PLATE TXA1</v>
      </c>
      <c r="N1594" s="14">
        <f>INSTOCK!$I1594*INSTOCK!$K1594</f>
        <v>1000</v>
      </c>
      <c r="O1594" s="4"/>
      <c r="P1594" s="4"/>
    </row>
    <row r="1595" ht="15.75" hidden="1" customHeight="1">
      <c r="B1595" s="8">
        <v>1911.0</v>
      </c>
      <c r="C1595" s="9">
        <v>43474.0</v>
      </c>
      <c r="D1595" s="6" t="s">
        <v>2067</v>
      </c>
      <c r="E1595" s="4">
        <v>6.112001675E9</v>
      </c>
      <c r="F1595" s="8" t="s">
        <v>604</v>
      </c>
      <c r="G1595" s="4" t="s">
        <v>1611</v>
      </c>
      <c r="H1595" s="10" t="s">
        <v>200</v>
      </c>
      <c r="I1595" s="10">
        <v>400.0</v>
      </c>
      <c r="J1595" s="11" t="str">
        <f>IF(D1595&lt;&gt;"",VLOOKUP(H1595,TABLEITEM,5,FALSE),"")</f>
        <v>EA</v>
      </c>
      <c r="K1595" s="12">
        <v>16.0</v>
      </c>
      <c r="L1595" s="13" t="str">
        <f>IF(D1595&lt;&gt;"",VLOOKUP(H1595,TABLEITEM,2,FALSE),"")</f>
        <v/>
      </c>
      <c r="M1595" s="13" t="str">
        <f>IF(D1595&lt;&gt;"",VLOOKUP(H1595,TABLEITEM,3,FALSE),"")</f>
        <v>STOPPER TXE2</v>
      </c>
      <c r="N1595" s="14">
        <f>INSTOCK!$I1595*INSTOCK!$K1595</f>
        <v>6400</v>
      </c>
      <c r="O1595" s="4"/>
      <c r="P1595" s="4"/>
    </row>
    <row r="1596" ht="15.75" hidden="1" customHeight="1">
      <c r="B1596" s="8">
        <v>1912.0</v>
      </c>
      <c r="C1596" s="9">
        <v>43474.0</v>
      </c>
      <c r="D1596" s="6">
        <v>6.2010281E7</v>
      </c>
      <c r="E1596" s="4">
        <v>6.112001696E9</v>
      </c>
      <c r="F1596" s="8" t="s">
        <v>2068</v>
      </c>
      <c r="G1596" s="4" t="s">
        <v>711</v>
      </c>
      <c r="H1596" s="10" t="s">
        <v>109</v>
      </c>
      <c r="I1596" s="10">
        <v>20.0</v>
      </c>
      <c r="J1596" s="11" t="str">
        <f>IF(D1596&lt;&gt;"",VLOOKUP(H1596,TABLEITEM,5,FALSE),"")</f>
        <v>KG.</v>
      </c>
      <c r="K1596" s="12">
        <v>153.0</v>
      </c>
      <c r="L1596" s="13" t="str">
        <f>IF(D1596&lt;&gt;"",VLOOKUP(H1596,TABLEITEM,2,FALSE),"")</f>
        <v/>
      </c>
      <c r="M1596" s="13" t="str">
        <f>IF(D1596&lt;&gt;"",VLOOKUP(H1596,TABLEITEM,3,FALSE),"")</f>
        <v>สีฝุ่น P90097 BN</v>
      </c>
      <c r="N1596" s="14">
        <f>INSTOCK!$I1596*INSTOCK!$K1596</f>
        <v>3060</v>
      </c>
      <c r="O1596" s="4" t="s">
        <v>1460</v>
      </c>
      <c r="P1596" s="4"/>
    </row>
    <row r="1597" ht="15.75" hidden="1" customHeight="1">
      <c r="B1597" s="8">
        <v>1913.0</v>
      </c>
      <c r="C1597" s="9">
        <v>43473.0</v>
      </c>
      <c r="D1597" s="6" t="s">
        <v>2069</v>
      </c>
      <c r="E1597" s="4">
        <v>6.201000036E9</v>
      </c>
      <c r="F1597" s="8" t="s">
        <v>633</v>
      </c>
      <c r="G1597" s="4" t="s">
        <v>2014</v>
      </c>
      <c r="H1597" s="10" t="s">
        <v>2070</v>
      </c>
      <c r="I1597" s="10">
        <v>7.0</v>
      </c>
      <c r="J1597" s="11" t="str">
        <f>IF(D1597&lt;&gt;"",VLOOKUP(H1597,TABLEITEM,5,FALSE),"")</f>
        <v>EA</v>
      </c>
      <c r="K1597" s="12">
        <v>462.62</v>
      </c>
      <c r="L1597" s="13" t="str">
        <f>IF(D1597&lt;&gt;"",VLOOKUP(H1597,TABLEITEM,2,FALSE),"")</f>
        <v/>
      </c>
      <c r="M1597" s="13" t="str">
        <f>IF(D1597&lt;&gt;"",VLOOKUP(H1597,TABLEITEM,3,FALSE),"")</f>
        <v>ม็อบดันฝุ่นไมโครไฟเบอร์ 24" โพลิ-ไบร์ท 5676-2</v>
      </c>
      <c r="N1597" s="14">
        <f>INSTOCK!$I1597*INSTOCK!$K1597</f>
        <v>3238.34</v>
      </c>
      <c r="O1597" s="4"/>
      <c r="P1597" s="4"/>
    </row>
    <row r="1598" ht="15.75" hidden="1" customHeight="1">
      <c r="B1598" s="8">
        <v>1914.0</v>
      </c>
      <c r="C1598" s="9">
        <v>43473.0</v>
      </c>
      <c r="D1598" s="6" t="s">
        <v>2069</v>
      </c>
      <c r="E1598" s="4">
        <v>6.201000036E9</v>
      </c>
      <c r="F1598" s="8" t="s">
        <v>633</v>
      </c>
      <c r="G1598" s="4" t="s">
        <v>2014</v>
      </c>
      <c r="H1598" s="10" t="s">
        <v>2071</v>
      </c>
      <c r="I1598" s="10">
        <v>1.0</v>
      </c>
      <c r="J1598" s="11" t="str">
        <f>IF(D1598&lt;&gt;"",VLOOKUP(H1598,TABLEITEM,5,FALSE),"")</f>
        <v>คู่</v>
      </c>
      <c r="K1598" s="12">
        <v>42.06</v>
      </c>
      <c r="L1598" s="13" t="str">
        <f>IF(D1598&lt;&gt;"",VLOOKUP(H1598,TABLEITEM,2,FALSE),"")</f>
        <v/>
      </c>
      <c r="M1598" s="13" t="str">
        <f>IF(D1598&lt;&gt;"",VLOOKUP(H1598,TABLEITEM,3,FALSE),"")</f>
        <v>ถุงมือยาง ขนาดใหญ่ L สก๊อตไบร์ท</v>
      </c>
      <c r="N1598" s="14">
        <f>INSTOCK!$I1598*INSTOCK!$K1598</f>
        <v>42.06</v>
      </c>
      <c r="O1598" s="4"/>
      <c r="P1598" s="4"/>
    </row>
    <row r="1599" ht="15.75" hidden="1" customHeight="1">
      <c r="B1599" s="8">
        <v>1915.0</v>
      </c>
      <c r="C1599" s="9">
        <v>43473.0</v>
      </c>
      <c r="D1599" s="6" t="s">
        <v>2069</v>
      </c>
      <c r="E1599" s="4">
        <v>6.201000036E9</v>
      </c>
      <c r="F1599" s="8" t="s">
        <v>633</v>
      </c>
      <c r="G1599" s="4" t="s">
        <v>2014</v>
      </c>
      <c r="H1599" s="10" t="s">
        <v>2072</v>
      </c>
      <c r="I1599" s="10">
        <v>10.0</v>
      </c>
      <c r="J1599" s="11" t="str">
        <f>IF(D1599&lt;&gt;"",VLOOKUP(H1599,TABLEITEM,5,FALSE),"")</f>
        <v>EA</v>
      </c>
      <c r="K1599" s="12">
        <v>275.7</v>
      </c>
      <c r="L1599" s="13" t="str">
        <f>IF(D1599&lt;&gt;"",VLOOKUP(H1599,TABLEITEM,2,FALSE),"")</f>
        <v/>
      </c>
      <c r="M1599" s="13" t="str">
        <f>IF(D1599&lt;&gt;"",VLOOKUP(H1599,TABLEITEM,3,FALSE),"")</f>
        <v>อะไหล่ผ้าดันฝุ่นไมโครไฟเบอร์ น้ำเงิน โพลี-ไบร์ท</v>
      </c>
      <c r="N1599" s="14">
        <f>INSTOCK!$I1599*INSTOCK!$K1599</f>
        <v>2757</v>
      </c>
      <c r="O1599" s="4"/>
      <c r="P1599" s="4"/>
    </row>
    <row r="1600" ht="15.75" hidden="1" customHeight="1">
      <c r="B1600" s="8">
        <v>1916.0</v>
      </c>
      <c r="C1600" s="9">
        <v>43470.0</v>
      </c>
      <c r="D1600" s="6" t="s">
        <v>2073</v>
      </c>
      <c r="E1600" s="4">
        <v>6.112001684E9</v>
      </c>
      <c r="F1600" s="8" t="s">
        <v>604</v>
      </c>
      <c r="G1600" s="4" t="s">
        <v>1777</v>
      </c>
      <c r="H1600" s="10" t="s">
        <v>2074</v>
      </c>
      <c r="I1600" s="10">
        <v>2000.0</v>
      </c>
      <c r="J1600" s="11" t="str">
        <f>IF(D1600&lt;&gt;"",VLOOKUP(H1600,TABLEITEM,5,FALSE),"")</f>
        <v>EA</v>
      </c>
      <c r="K1600" s="12">
        <v>0.429</v>
      </c>
      <c r="L1600" s="13" t="str">
        <f>IF(D1600&lt;&gt;"",VLOOKUP(H1600,TABLEITEM,2,FALSE),"")</f>
        <v/>
      </c>
      <c r="M1600" s="13" t="str">
        <f>IF(D1600&lt;&gt;"",VLOOKUP(H1600,TABLEITEM,3,FALSE),"")</f>
        <v>สกรูหัวเหลี่ยมชุบขาว M 6x20</v>
      </c>
      <c r="N1600" s="14">
        <f>INSTOCK!$I1600*INSTOCK!$K1600</f>
        <v>858</v>
      </c>
      <c r="O1600" s="4" t="s">
        <v>2075</v>
      </c>
      <c r="P1600" s="4"/>
    </row>
    <row r="1601" ht="15.75" hidden="1" customHeight="1">
      <c r="B1601" s="8">
        <v>1917.0</v>
      </c>
      <c r="C1601" s="9">
        <v>43470.0</v>
      </c>
      <c r="D1601" s="6" t="s">
        <v>2073</v>
      </c>
      <c r="E1601" s="4">
        <v>6.112001684E9</v>
      </c>
      <c r="F1601" s="8" t="s">
        <v>604</v>
      </c>
      <c r="G1601" s="4" t="s">
        <v>1777</v>
      </c>
      <c r="H1601" s="10" t="s">
        <v>2076</v>
      </c>
      <c r="I1601" s="10">
        <v>500.0</v>
      </c>
      <c r="J1601" s="11" t="str">
        <f>IF(D1601&lt;&gt;"",VLOOKUP(H1601,TABLEITEM,5,FALSE),"")</f>
        <v>EA</v>
      </c>
      <c r="K1601" s="12">
        <v>0.494</v>
      </c>
      <c r="L1601" s="13" t="str">
        <f>IF(D1601&lt;&gt;"",VLOOKUP(H1601,TABLEITEM,2,FALSE),"")</f>
        <v/>
      </c>
      <c r="M1601" s="13" t="str">
        <f>IF(D1601&lt;&gt;"",VLOOKUP(H1601,TABLEITEM,3,FALSE),"")</f>
        <v>สกรูหัวเหลี่ยมชุบขาว M 6x25</v>
      </c>
      <c r="N1601" s="14">
        <f>INSTOCK!$I1601*INSTOCK!$K1601</f>
        <v>247</v>
      </c>
      <c r="O1601" s="4" t="s">
        <v>2077</v>
      </c>
      <c r="P1601" s="4"/>
    </row>
    <row r="1602" ht="15.75" hidden="1" customHeight="1">
      <c r="B1602" s="8">
        <v>1918.0</v>
      </c>
      <c r="C1602" s="9">
        <v>43470.0</v>
      </c>
      <c r="D1602" s="6" t="s">
        <v>2073</v>
      </c>
      <c r="E1602" s="4">
        <v>6.112001684E9</v>
      </c>
      <c r="F1602" s="8" t="s">
        <v>604</v>
      </c>
      <c r="G1602" s="4" t="s">
        <v>1777</v>
      </c>
      <c r="H1602" s="10" t="s">
        <v>2078</v>
      </c>
      <c r="I1602" s="10">
        <v>10000.0</v>
      </c>
      <c r="J1602" s="11" t="str">
        <f>IF(D1602&lt;&gt;"",VLOOKUP(H1602,TABLEITEM,5,FALSE),"")</f>
        <v>EA</v>
      </c>
      <c r="K1602" s="12">
        <v>0.075</v>
      </c>
      <c r="L1602" s="13" t="str">
        <f>IF(D1602&lt;&gt;"",VLOOKUP(H1602,TABLEITEM,2,FALSE),"")</f>
        <v/>
      </c>
      <c r="M1602" s="13" t="str">
        <f>IF(D1602&lt;&gt;"",VLOOKUP(H1602,TABLEITEM,3,FALSE),"")</f>
        <v>แหวนสปริง M8_Z ชุบขาว</v>
      </c>
      <c r="N1602" s="14">
        <f>INSTOCK!$I1602*INSTOCK!$K1602</f>
        <v>750</v>
      </c>
      <c r="O1602" s="4" t="s">
        <v>2079</v>
      </c>
      <c r="P1602" s="4"/>
    </row>
    <row r="1603" ht="15.75" hidden="1" customHeight="1">
      <c r="B1603" s="8">
        <v>1919.0</v>
      </c>
      <c r="C1603" s="9">
        <v>43470.0</v>
      </c>
      <c r="D1603" s="6" t="s">
        <v>2073</v>
      </c>
      <c r="E1603" s="4">
        <v>6.112001684E9</v>
      </c>
      <c r="F1603" s="8" t="s">
        <v>604</v>
      </c>
      <c r="G1603" s="4" t="s">
        <v>1777</v>
      </c>
      <c r="H1603" s="10" t="s">
        <v>2080</v>
      </c>
      <c r="I1603" s="10">
        <v>10000.0</v>
      </c>
      <c r="J1603" s="11" t="str">
        <f>IF(D1603&lt;&gt;"",VLOOKUP(H1603,TABLEITEM,5,FALSE),"")</f>
        <v>EA</v>
      </c>
      <c r="K1603" s="12">
        <v>0.36</v>
      </c>
      <c r="L1603" s="13" t="str">
        <f>IF(D1603&lt;&gt;"",VLOOKUP(H1603,TABLEITEM,2,FALSE),"")</f>
        <v/>
      </c>
      <c r="M1603" s="13" t="str">
        <f>IF(D1603&lt;&gt;"",VLOOKUP(H1603,TABLEITEM,3,FALSE),"")</f>
        <v>หัวน็อต M 8 ชุบขาว</v>
      </c>
      <c r="N1603" s="14">
        <f>INSTOCK!$I1603*INSTOCK!$K1603</f>
        <v>3600</v>
      </c>
      <c r="O1603" s="4" t="s">
        <v>2081</v>
      </c>
      <c r="P1603" s="4"/>
    </row>
    <row r="1604" ht="15.75" hidden="1" customHeight="1">
      <c r="B1604" s="8">
        <v>1920.0</v>
      </c>
      <c r="C1604" s="9">
        <v>43470.0</v>
      </c>
      <c r="D1604" s="6" t="s">
        <v>2073</v>
      </c>
      <c r="E1604" s="4">
        <v>6.112001684E9</v>
      </c>
      <c r="F1604" s="8" t="s">
        <v>604</v>
      </c>
      <c r="G1604" s="4" t="s">
        <v>1777</v>
      </c>
      <c r="H1604" s="10" t="s">
        <v>2082</v>
      </c>
      <c r="I1604" s="10">
        <v>3000.0</v>
      </c>
      <c r="J1604" s="11" t="str">
        <f>IF(D1604&lt;&gt;"",VLOOKUP(H1604,TABLEITEM,5,FALSE),"")</f>
        <v>EA</v>
      </c>
      <c r="K1604" s="12">
        <v>0.22</v>
      </c>
      <c r="L1604" s="13" t="str">
        <f>IF(D1604&lt;&gt;"",VLOOKUP(H1604,TABLEITEM,2,FALSE),"")</f>
        <v/>
      </c>
      <c r="M1604" s="13" t="str">
        <f>IF(D1604&lt;&gt;"",VLOOKUP(H1604,TABLEITEM,3,FALSE),"")</f>
        <v>สกรูหัวหมวก  M5x8</v>
      </c>
      <c r="N1604" s="14">
        <f>INSTOCK!$I1604*INSTOCK!$K1604</f>
        <v>660</v>
      </c>
      <c r="O1604" s="4" t="s">
        <v>2083</v>
      </c>
      <c r="P1604" s="4"/>
    </row>
    <row r="1605" ht="15.75" hidden="1" customHeight="1">
      <c r="B1605" s="8">
        <v>1921.0</v>
      </c>
      <c r="C1605" s="9">
        <v>43470.0</v>
      </c>
      <c r="D1605" s="6" t="s">
        <v>2073</v>
      </c>
      <c r="E1605" s="4">
        <v>6.112001684E9</v>
      </c>
      <c r="F1605" s="8" t="s">
        <v>604</v>
      </c>
      <c r="G1605" s="4" t="s">
        <v>1777</v>
      </c>
      <c r="H1605" s="10" t="s">
        <v>2084</v>
      </c>
      <c r="I1605" s="10">
        <v>10000.0</v>
      </c>
      <c r="J1605" s="11" t="str">
        <f>IF(D1605&lt;&gt;"",VLOOKUP(H1605,TABLEITEM,5,FALSE),"")</f>
        <v>EA</v>
      </c>
      <c r="K1605" s="12">
        <v>0.24</v>
      </c>
      <c r="L1605" s="13" t="str">
        <f>IF(D1605&lt;&gt;"",VLOOKUP(H1605,TABLEITEM,2,FALSE),"")</f>
        <v/>
      </c>
      <c r="M1605" s="13" t="str">
        <f>IF(D1605&lt;&gt;"",VLOOKUP(H1605,TABLEITEM,3,FALSE),"")</f>
        <v>ติดจาน M5</v>
      </c>
      <c r="N1605" s="14">
        <f>INSTOCK!$I1605*INSTOCK!$K1605</f>
        <v>2400</v>
      </c>
      <c r="O1605" s="4" t="s">
        <v>2085</v>
      </c>
      <c r="P1605" s="4"/>
    </row>
    <row r="1606" ht="15.75" hidden="1" customHeight="1">
      <c r="B1606" s="8">
        <v>1922.0</v>
      </c>
      <c r="C1606" s="9">
        <v>43470.0</v>
      </c>
      <c r="D1606" s="6" t="s">
        <v>2073</v>
      </c>
      <c r="E1606" s="4">
        <v>6.112001684E9</v>
      </c>
      <c r="F1606" s="8" t="s">
        <v>604</v>
      </c>
      <c r="G1606" s="4" t="s">
        <v>1777</v>
      </c>
      <c r="H1606" s="10" t="s">
        <v>2086</v>
      </c>
      <c r="I1606" s="10">
        <v>10000.0</v>
      </c>
      <c r="J1606" s="11" t="str">
        <f>IF(D1606&lt;&gt;"",VLOOKUP(H1606,TABLEITEM,5,FALSE),"")</f>
        <v>EA</v>
      </c>
      <c r="K1606" s="12">
        <v>0.54</v>
      </c>
      <c r="L1606" s="13" t="str">
        <f>IF(D1606&lt;&gt;"",VLOOKUP(H1606,TABLEITEM,2,FALSE),"")</f>
        <v/>
      </c>
      <c r="M1606" s="13" t="str">
        <f>IF(D1606&lt;&gt;"",VLOOKUP(H1606,TABLEITEM,3,FALSE),"")</f>
        <v>ติดจาน M8</v>
      </c>
      <c r="N1606" s="14">
        <f>INSTOCK!$I1606*INSTOCK!$K1606</f>
        <v>5400</v>
      </c>
      <c r="O1606" s="4" t="s">
        <v>2087</v>
      </c>
      <c r="P1606" s="4"/>
    </row>
    <row r="1607" ht="15.75" hidden="1" customHeight="1">
      <c r="B1607" s="8">
        <v>1923.0</v>
      </c>
      <c r="C1607" s="9">
        <v>43470.0</v>
      </c>
      <c r="D1607" s="6" t="s">
        <v>2073</v>
      </c>
      <c r="E1607" s="4">
        <v>6.112001684E9</v>
      </c>
      <c r="F1607" s="8" t="s">
        <v>604</v>
      </c>
      <c r="G1607" s="4" t="s">
        <v>1777</v>
      </c>
      <c r="H1607" s="10" t="s">
        <v>2088</v>
      </c>
      <c r="I1607" s="10">
        <v>500.0</v>
      </c>
      <c r="J1607" s="11" t="str">
        <f>IF(D1607&lt;&gt;"",VLOOKUP(H1607,TABLEITEM,5,FALSE),"")</f>
        <v>EA</v>
      </c>
      <c r="K1607" s="12">
        <v>0.13</v>
      </c>
      <c r="L1607" s="13" t="str">
        <f>IF(D1607&lt;&gt;"",VLOOKUP(H1607,TABLEITEM,2,FALSE),"")</f>
        <v/>
      </c>
      <c r="M1607" s="13" t="str">
        <f>IF(D1607&lt;&gt;"",VLOOKUP(H1607,TABLEITEM,3,FALSE),"")</f>
        <v>สกรูเตเปอร์ M5x10</v>
      </c>
      <c r="N1607" s="14">
        <f>INSTOCK!$I1607*INSTOCK!$K1607</f>
        <v>65</v>
      </c>
      <c r="O1607" s="4" t="s">
        <v>2089</v>
      </c>
      <c r="P1607" s="4"/>
    </row>
    <row r="1608" ht="15.75" hidden="1" customHeight="1">
      <c r="B1608" s="8">
        <v>1924.0</v>
      </c>
      <c r="C1608" s="9">
        <v>43470.0</v>
      </c>
      <c r="D1608" s="6" t="s">
        <v>2073</v>
      </c>
      <c r="E1608" s="4">
        <v>6.112001684E9</v>
      </c>
      <c r="F1608" s="8" t="s">
        <v>604</v>
      </c>
      <c r="G1608" s="4" t="s">
        <v>1777</v>
      </c>
      <c r="H1608" s="10" t="s">
        <v>2090</v>
      </c>
      <c r="I1608" s="10">
        <v>300.0</v>
      </c>
      <c r="J1608" s="11" t="str">
        <f>IF(D1608&lt;&gt;"",VLOOKUP(H1608,TABLEITEM,5,FALSE),"")</f>
        <v>EA</v>
      </c>
      <c r="K1608" s="12">
        <v>1.68333</v>
      </c>
      <c r="L1608" s="13" t="str">
        <f>IF(D1608&lt;&gt;"",VLOOKUP(H1608,TABLEITEM,2,FALSE),"")</f>
        <v/>
      </c>
      <c r="M1608" s="13" t="str">
        <f>IF(D1608&lt;&gt;"",VLOOKUP(H1608,TABLEITEM,3,FALSE),"")</f>
        <v>สกรูหัวเหลี่ยมชุบขาว M10x30</v>
      </c>
      <c r="N1608" s="14">
        <f>INSTOCK!$I1608*INSTOCK!$K1608</f>
        <v>504.999</v>
      </c>
      <c r="O1608" s="4" t="s">
        <v>2091</v>
      </c>
      <c r="P1608" s="4"/>
    </row>
    <row r="1609" ht="15.75" hidden="1" customHeight="1">
      <c r="B1609" s="8">
        <v>1925.0</v>
      </c>
      <c r="C1609" s="9">
        <v>43470.0</v>
      </c>
      <c r="D1609" s="6" t="s">
        <v>2073</v>
      </c>
      <c r="E1609" s="4">
        <v>6.112001684E9</v>
      </c>
      <c r="F1609" s="8" t="s">
        <v>604</v>
      </c>
      <c r="G1609" s="4" t="s">
        <v>1777</v>
      </c>
      <c r="H1609" s="10" t="s">
        <v>2092</v>
      </c>
      <c r="I1609" s="10">
        <v>300.0</v>
      </c>
      <c r="J1609" s="11" t="str">
        <f>IF(D1609&lt;&gt;"",VLOOKUP(H1609,TABLEITEM,5,FALSE),"")</f>
        <v>EA</v>
      </c>
      <c r="K1609" s="12">
        <v>1.846</v>
      </c>
      <c r="L1609" s="13" t="str">
        <f>IF(D1609&lt;&gt;"",VLOOKUP(H1609,TABLEITEM,2,FALSE),"")</f>
        <v/>
      </c>
      <c r="M1609" s="13" t="str">
        <f>IF(D1609&lt;&gt;"",VLOOKUP(H1609,TABLEITEM,3,FALSE),"")</f>
        <v>สกรูหัวเหลี่ยมชุบขาว M10x35</v>
      </c>
      <c r="N1609" s="14">
        <f>INSTOCK!$I1609*INSTOCK!$K1609</f>
        <v>553.8</v>
      </c>
      <c r="O1609" s="4" t="s">
        <v>2093</v>
      </c>
      <c r="P1609" s="4"/>
    </row>
    <row r="1610" ht="15.75" hidden="1" customHeight="1">
      <c r="B1610" s="8">
        <v>1926.0</v>
      </c>
      <c r="C1610" s="9">
        <v>43470.0</v>
      </c>
      <c r="D1610" s="6" t="s">
        <v>2073</v>
      </c>
      <c r="E1610" s="4">
        <v>6.112001684E9</v>
      </c>
      <c r="F1610" s="8" t="s">
        <v>604</v>
      </c>
      <c r="G1610" s="4" t="s">
        <v>1777</v>
      </c>
      <c r="H1610" s="10" t="s">
        <v>2094</v>
      </c>
      <c r="I1610" s="10">
        <v>2000.0</v>
      </c>
      <c r="J1610" s="11" t="str">
        <f>IF(D1610&lt;&gt;"",VLOOKUP(H1610,TABLEITEM,5,FALSE),"")</f>
        <v>EA</v>
      </c>
      <c r="K1610" s="12">
        <v>0.75</v>
      </c>
      <c r="L1610" s="13" t="str">
        <f>IF(D1610&lt;&gt;"",VLOOKUP(H1610,TABLEITEM,2,FALSE),"")</f>
        <v/>
      </c>
      <c r="M1610" s="13" t="str">
        <f>IF(D1610&lt;&gt;"",VLOOKUP(H1610,TABLEITEM,3,FALSE),"")</f>
        <v>หัวน้อต       M10   ชุบขาว</v>
      </c>
      <c r="N1610" s="14">
        <f>INSTOCK!$I1610*INSTOCK!$K1610</f>
        <v>1500</v>
      </c>
      <c r="O1610" s="4" t="s">
        <v>2095</v>
      </c>
      <c r="P1610" s="4"/>
    </row>
    <row r="1611" ht="15.75" hidden="1" customHeight="1">
      <c r="B1611" s="8">
        <v>1927.0</v>
      </c>
      <c r="C1611" s="9">
        <v>43470.0</v>
      </c>
      <c r="D1611" s="6" t="s">
        <v>2073</v>
      </c>
      <c r="E1611" s="4">
        <v>6.112001684E9</v>
      </c>
      <c r="F1611" s="8" t="s">
        <v>604</v>
      </c>
      <c r="G1611" s="4" t="s">
        <v>1777</v>
      </c>
      <c r="H1611" s="10" t="s">
        <v>2096</v>
      </c>
      <c r="I1611" s="10">
        <v>300.0</v>
      </c>
      <c r="J1611" s="11" t="str">
        <f>IF(D1611&lt;&gt;"",VLOOKUP(H1611,TABLEITEM,5,FALSE),"")</f>
        <v>EA</v>
      </c>
      <c r="K1611" s="12">
        <v>2.6325</v>
      </c>
      <c r="L1611" s="13" t="str">
        <f>IF(D1611&lt;&gt;"",VLOOKUP(H1611,TABLEITEM,2,FALSE),"")</f>
        <v/>
      </c>
      <c r="M1611" s="13" t="str">
        <f>IF(D1611&lt;&gt;"",VLOOKUP(H1611,TABLEITEM,3,FALSE),"")</f>
        <v>สกรูหัวเหลี่ยมชุบรุ้ง M12x35</v>
      </c>
      <c r="N1611" s="14">
        <f>INSTOCK!$I1611*INSTOCK!$K1611</f>
        <v>789.75</v>
      </c>
      <c r="O1611" s="4" t="s">
        <v>2097</v>
      </c>
      <c r="P1611" s="4"/>
    </row>
    <row r="1612" ht="15.75" hidden="1" customHeight="1">
      <c r="B1612" s="8">
        <v>1928.0</v>
      </c>
      <c r="C1612" s="9">
        <v>43470.0</v>
      </c>
      <c r="D1612" s="6" t="s">
        <v>2073</v>
      </c>
      <c r="E1612" s="4">
        <v>6.112001684E9</v>
      </c>
      <c r="F1612" s="8" t="s">
        <v>604</v>
      </c>
      <c r="G1612" s="4" t="s">
        <v>1777</v>
      </c>
      <c r="H1612" s="10" t="s">
        <v>2098</v>
      </c>
      <c r="I1612" s="10">
        <v>300.0</v>
      </c>
      <c r="J1612" s="11" t="str">
        <f>IF(D1612&lt;&gt;"",VLOOKUP(H1612,TABLEITEM,5,FALSE),"")</f>
        <v>EA</v>
      </c>
      <c r="K1612" s="12">
        <v>3.289</v>
      </c>
      <c r="L1612" s="13" t="str">
        <f>IF(D1612&lt;&gt;"",VLOOKUP(H1612,TABLEITEM,2,FALSE),"")</f>
        <v/>
      </c>
      <c r="M1612" s="13" t="str">
        <f>IF(D1612&lt;&gt;"",VLOOKUP(H1612,TABLEITEM,3,FALSE),"")</f>
        <v>สกรูหัวเหลี่ยมชุบขาว M12x45</v>
      </c>
      <c r="N1612" s="14">
        <f>INSTOCK!$I1612*INSTOCK!$K1612</f>
        <v>986.7</v>
      </c>
      <c r="O1612" s="4" t="s">
        <v>2099</v>
      </c>
      <c r="P1612" s="4"/>
    </row>
    <row r="1613" ht="15.75" hidden="1" customHeight="1">
      <c r="B1613" s="8">
        <v>1929.0</v>
      </c>
      <c r="C1613" s="9">
        <v>43470.0</v>
      </c>
      <c r="D1613" s="6" t="s">
        <v>2073</v>
      </c>
      <c r="E1613" s="4">
        <v>6.112001684E9</v>
      </c>
      <c r="F1613" s="8" t="s">
        <v>604</v>
      </c>
      <c r="G1613" s="4" t="s">
        <v>1777</v>
      </c>
      <c r="H1613" s="10" t="s">
        <v>2100</v>
      </c>
      <c r="I1613" s="10">
        <v>4700.0</v>
      </c>
      <c r="J1613" s="11" t="str">
        <f>IF(D1613&lt;&gt;"",VLOOKUP(H1613,TABLEITEM,5,FALSE),"")</f>
        <v>EA</v>
      </c>
      <c r="K1613" s="12">
        <v>0.7995</v>
      </c>
      <c r="L1613" s="13" t="str">
        <f>IF(D1613&lt;&gt;"",VLOOKUP(H1613,TABLEITEM,2,FALSE),"")</f>
        <v/>
      </c>
      <c r="M1613" s="13" t="str">
        <f>IF(D1613&lt;&gt;"",VLOOKUP(H1613,TABLEITEM,3,FALSE),"")</f>
        <v>สกรูหัวเหลี่ยมชุบขาว M8x20</v>
      </c>
      <c r="N1613" s="14">
        <f>INSTOCK!$I1613*INSTOCK!$K1613</f>
        <v>3757.65</v>
      </c>
      <c r="O1613" s="25" t="s">
        <v>2101</v>
      </c>
      <c r="P1613" s="4"/>
    </row>
    <row r="1614" ht="15.75" hidden="1" customHeight="1">
      <c r="B1614" s="8">
        <v>1930.0</v>
      </c>
      <c r="C1614" s="9">
        <v>43470.0</v>
      </c>
      <c r="D1614" s="6" t="s">
        <v>2073</v>
      </c>
      <c r="E1614" s="4">
        <v>6.112001684E9</v>
      </c>
      <c r="F1614" s="8" t="s">
        <v>604</v>
      </c>
      <c r="G1614" s="4" t="s">
        <v>1777</v>
      </c>
      <c r="H1614" s="10" t="s">
        <v>2102</v>
      </c>
      <c r="I1614" s="10">
        <v>20000.0</v>
      </c>
      <c r="J1614" s="11" t="str">
        <f>IF(D1614&lt;&gt;"",VLOOKUP(H1614,TABLEITEM,5,FALSE),"")</f>
        <v>EA</v>
      </c>
      <c r="K1614" s="12">
        <v>0.09</v>
      </c>
      <c r="L1614" s="13" t="str">
        <f>IF(D1614&lt;&gt;"",VLOOKUP(H1614,TABLEITEM,2,FALSE),"")</f>
        <v/>
      </c>
      <c r="M1614" s="13" t="str">
        <f>IF(D1614&lt;&gt;"",VLOOKUP(H1614,TABLEITEM,3,FALSE),"")</f>
        <v>แหวนอีแปะ M8 ชุบขาว</v>
      </c>
      <c r="N1614" s="14">
        <f>INSTOCK!$I1614*INSTOCK!$K1614</f>
        <v>1800</v>
      </c>
      <c r="O1614" s="4" t="s">
        <v>2103</v>
      </c>
      <c r="P1614" s="4"/>
    </row>
    <row r="1615" ht="15.75" hidden="1" customHeight="1">
      <c r="B1615" s="8">
        <v>1931.0</v>
      </c>
      <c r="C1615" s="9">
        <v>43470.0</v>
      </c>
      <c r="D1615" s="6" t="s">
        <v>2073</v>
      </c>
      <c r="E1615" s="4">
        <v>6.112001684E9</v>
      </c>
      <c r="F1615" s="8" t="s">
        <v>604</v>
      </c>
      <c r="G1615" s="4" t="s">
        <v>1777</v>
      </c>
      <c r="H1615" s="10" t="s">
        <v>2104</v>
      </c>
      <c r="I1615" s="10">
        <v>6000.0</v>
      </c>
      <c r="J1615" s="11" t="str">
        <f>IF(D1615&lt;&gt;"",VLOOKUP(H1615,TABLEITEM,5,FALSE),"")</f>
        <v>EA</v>
      </c>
      <c r="K1615" s="12">
        <v>0.27</v>
      </c>
      <c r="L1615" s="13" t="str">
        <f>IF(D1615&lt;&gt;"",VLOOKUP(H1615,TABLEITEM,2,FALSE),"")</f>
        <v/>
      </c>
      <c r="M1615" s="13" t="str">
        <f>IF(D1615&lt;&gt;"",VLOOKUP(H1615,TABLEITEM,3,FALSE),"")</f>
        <v>ติดจาน M6</v>
      </c>
      <c r="N1615" s="14">
        <f>INSTOCK!$I1615*INSTOCK!$K1615</f>
        <v>1620</v>
      </c>
      <c r="O1615" s="4" t="s">
        <v>2105</v>
      </c>
      <c r="P1615" s="4"/>
    </row>
    <row r="1616" ht="15.75" hidden="1" customHeight="1">
      <c r="B1616" s="8">
        <v>1932.0</v>
      </c>
      <c r="C1616" s="9">
        <v>43470.0</v>
      </c>
      <c r="D1616" s="6" t="s">
        <v>2073</v>
      </c>
      <c r="E1616" s="4">
        <v>6.112001684E9</v>
      </c>
      <c r="F1616" s="8" t="s">
        <v>604</v>
      </c>
      <c r="G1616" s="4" t="s">
        <v>1777</v>
      </c>
      <c r="H1616" s="10" t="s">
        <v>2106</v>
      </c>
      <c r="I1616" s="10">
        <v>300.0</v>
      </c>
      <c r="J1616" s="11" t="str">
        <f>IF(D1616&lt;&gt;"",VLOOKUP(H1616,TABLEITEM,5,FALSE),"")</f>
        <v>EA</v>
      </c>
      <c r="K1616" s="12">
        <v>2.86</v>
      </c>
      <c r="L1616" s="13" t="str">
        <f>IF(D1616&lt;&gt;"",VLOOKUP(H1616,TABLEITEM,2,FALSE),"")</f>
        <v/>
      </c>
      <c r="M1616" s="13" t="str">
        <f>IF(D1616&lt;&gt;"",VLOOKUP(H1616,TABLEITEM,3,FALSE),"")</f>
        <v>สกรูหัวเหลี่ยมชุบขาว M12x40</v>
      </c>
      <c r="N1616" s="14">
        <f>INSTOCK!$I1616*INSTOCK!$K1616</f>
        <v>858</v>
      </c>
      <c r="O1616" s="4" t="s">
        <v>2107</v>
      </c>
      <c r="P1616" s="4"/>
    </row>
    <row r="1617" ht="15.75" hidden="1" customHeight="1">
      <c r="B1617" s="8">
        <v>1933.0</v>
      </c>
      <c r="C1617" s="9">
        <v>43475.0</v>
      </c>
      <c r="D1617" s="6" t="s">
        <v>2108</v>
      </c>
      <c r="E1617" s="4" t="s">
        <v>2109</v>
      </c>
      <c r="F1617" s="8" t="s">
        <v>2110</v>
      </c>
      <c r="G1617" s="4" t="s">
        <v>2111</v>
      </c>
      <c r="H1617" s="10" t="s">
        <v>2112</v>
      </c>
      <c r="I1617" s="10">
        <v>1.0</v>
      </c>
      <c r="J1617" s="11" t="str">
        <f>IF(D1617&lt;&gt;"",VLOOKUP(H1617,TABLEITEM,5,FALSE),"")</f>
        <v>EA</v>
      </c>
      <c r="K1617" s="12">
        <v>255000.0</v>
      </c>
      <c r="L1617" s="13" t="str">
        <f>IF(D1617&lt;&gt;"",VLOOKUP(H1617,TABLEITEM,2,FALSE),"")</f>
        <v/>
      </c>
      <c r="M1617" s="13" t="str">
        <f>IF(D1617&lt;&gt;"",VLOOKUP(H1617,TABLEITEM,3,FALSE),"")</f>
        <v>Sub scription Service of Solid Works Premium 3Yrs.2019</v>
      </c>
      <c r="N1617" s="14">
        <f>INSTOCK!$I1617*INSTOCK!$K1617</f>
        <v>255000</v>
      </c>
      <c r="O1617" s="4"/>
      <c r="P1617" s="4"/>
    </row>
    <row r="1618" ht="15.75" hidden="1" customHeight="1">
      <c r="B1618" s="8">
        <v>1934.0</v>
      </c>
      <c r="C1618" s="9">
        <v>43475.0</v>
      </c>
      <c r="D1618" s="6" t="s">
        <v>2108</v>
      </c>
      <c r="E1618" s="4" t="s">
        <v>2109</v>
      </c>
      <c r="F1618" s="8" t="s">
        <v>2110</v>
      </c>
      <c r="G1618" s="4" t="s">
        <v>2111</v>
      </c>
      <c r="H1618" s="10" t="s">
        <v>2113</v>
      </c>
      <c r="I1618" s="10">
        <v>1.0</v>
      </c>
      <c r="J1618" s="11" t="str">
        <f>IF(D1618&lt;&gt;"",VLOOKUP(H1618,TABLEITEM,5,FALSE),"")</f>
        <v>EA</v>
      </c>
      <c r="K1618" s="12">
        <v>180000.0</v>
      </c>
      <c r="L1618" s="13" t="str">
        <f>IF(D1618&lt;&gt;"",VLOOKUP(H1618,TABLEITEM,2,FALSE),"")</f>
        <v/>
      </c>
      <c r="M1618" s="13" t="str">
        <f>IF(D1618&lt;&gt;"",VLOOKUP(H1618,TABLEITEM,3,FALSE),"")</f>
        <v>Sub scription Service of Solid Works Premium 3Yrs.2019</v>
      </c>
      <c r="N1618" s="14">
        <f>INSTOCK!$I1618*INSTOCK!$K1618</f>
        <v>180000</v>
      </c>
      <c r="O1618" s="4"/>
      <c r="P1618" s="4"/>
    </row>
    <row r="1619" ht="15.75" hidden="1" customHeight="1">
      <c r="B1619" s="8">
        <v>1935.0</v>
      </c>
      <c r="C1619" s="9">
        <v>43475.0</v>
      </c>
      <c r="D1619" s="6" t="s">
        <v>2108</v>
      </c>
      <c r="E1619" s="4" t="s">
        <v>2109</v>
      </c>
      <c r="F1619" s="8" t="s">
        <v>2110</v>
      </c>
      <c r="G1619" s="4" t="s">
        <v>2111</v>
      </c>
      <c r="H1619" s="10" t="s">
        <v>2114</v>
      </c>
      <c r="I1619" s="10">
        <v>1.0</v>
      </c>
      <c r="J1619" s="11" t="str">
        <f>IF(D1619&lt;&gt;"",VLOOKUP(H1619,TABLEITEM,5,FALSE),"")</f>
        <v>EA</v>
      </c>
      <c r="K1619" s="12">
        <v>-145000.0</v>
      </c>
      <c r="L1619" s="13" t="str">
        <f>IF(D1619&lt;&gt;"",VLOOKUP(H1619,TABLEITEM,2,FALSE),"")</f>
        <v/>
      </c>
      <c r="M1619" s="13" t="str">
        <f>IF(D1619&lt;&gt;"",VLOOKUP(H1619,TABLEITEM,3,FALSE),"")</f>
        <v>ส่วนลดพิเศษ</v>
      </c>
      <c r="N1619" s="14">
        <f>INSTOCK!$I1619*INSTOCK!$K1619</f>
        <v>-145000</v>
      </c>
      <c r="O1619" s="4"/>
      <c r="P1619" s="4"/>
    </row>
    <row r="1620" ht="15.75" hidden="1" customHeight="1">
      <c r="B1620" s="8">
        <v>1936.0</v>
      </c>
      <c r="C1620" s="9">
        <v>43475.0</v>
      </c>
      <c r="D1620" s="6" t="s">
        <v>2115</v>
      </c>
      <c r="E1620" s="4">
        <v>6.201000038E9</v>
      </c>
      <c r="F1620" s="8" t="s">
        <v>604</v>
      </c>
      <c r="G1620" s="4" t="s">
        <v>1033</v>
      </c>
      <c r="H1620" s="10" t="s">
        <v>1176</v>
      </c>
      <c r="I1620" s="10">
        <v>300.0</v>
      </c>
      <c r="J1620" s="11" t="str">
        <f>IF(D1620&lt;&gt;"",VLOOKUP(H1620,TABLEITEM,5,FALSE),"")</f>
        <v>EA</v>
      </c>
      <c r="K1620" s="12">
        <v>5.0</v>
      </c>
      <c r="L1620" s="13" t="str">
        <f>IF(D1620&lt;&gt;"",VLOOKUP(H1620,TABLEITEM,2,FALSE),"")</f>
        <v/>
      </c>
      <c r="M1620" s="13" t="str">
        <f>IF(D1620&lt;&gt;"",VLOOKUP(H1620,TABLEITEM,3,FALSE),"")</f>
        <v>กระดาษทรายกลม#80</v>
      </c>
      <c r="N1620" s="14">
        <f>INSTOCK!$I1620*INSTOCK!$K1620</f>
        <v>1500</v>
      </c>
      <c r="O1620" s="4"/>
      <c r="P1620" s="4"/>
    </row>
    <row r="1621" ht="15.75" hidden="1" customHeight="1">
      <c r="B1621" s="8">
        <v>1937.0</v>
      </c>
      <c r="C1621" s="9">
        <v>43475.0</v>
      </c>
      <c r="D1621" s="6">
        <v>6.2010339E7</v>
      </c>
      <c r="E1621" s="4">
        <v>6.201000045E9</v>
      </c>
      <c r="F1621" s="8" t="s">
        <v>2116</v>
      </c>
      <c r="G1621" s="4" t="s">
        <v>711</v>
      </c>
      <c r="H1621" s="10" t="s">
        <v>2117</v>
      </c>
      <c r="I1621" s="10">
        <v>40.0</v>
      </c>
      <c r="J1621" s="11" t="str">
        <f>IF(D1621&lt;&gt;"",VLOOKUP(H1621,TABLEITEM,5,FALSE),"")</f>
        <v>KG.</v>
      </c>
      <c r="K1621" s="12">
        <v>153.0</v>
      </c>
      <c r="L1621" s="13" t="str">
        <f>IF(D1621&lt;&gt;"",VLOOKUP(H1621,TABLEITEM,2,FALSE),"")</f>
        <v/>
      </c>
      <c r="M1621" s="13" t="str">
        <f>IF(D1621&lt;&gt;"",VLOOKUP(H1621,TABLEITEM,3,FALSE),"")</f>
        <v>สีฝุ่น M90079 BN สีครีมเรียบ</v>
      </c>
      <c r="N1621" s="14">
        <f>INSTOCK!$I1621*INSTOCK!$K1621</f>
        <v>6120</v>
      </c>
      <c r="O1621" s="4" t="s">
        <v>1460</v>
      </c>
      <c r="P1621" s="4"/>
    </row>
    <row r="1622" ht="15.75" hidden="1" customHeight="1">
      <c r="B1622" s="8">
        <v>1938.0</v>
      </c>
      <c r="C1622" s="9">
        <v>43475.0</v>
      </c>
      <c r="D1622" s="6" t="s">
        <v>2118</v>
      </c>
      <c r="E1622" s="4"/>
      <c r="F1622" s="8" t="s">
        <v>801</v>
      </c>
      <c r="G1622" s="4" t="s">
        <v>1417</v>
      </c>
      <c r="H1622" s="10" t="s">
        <v>2119</v>
      </c>
      <c r="I1622" s="10">
        <v>20.0</v>
      </c>
      <c r="J1622" s="11" t="str">
        <f>IF(D1622&lt;&gt;"",VLOOKUP(H1622,TABLEITEM,5,FALSE),"")</f>
        <v>ถัง</v>
      </c>
      <c r="K1622" s="12">
        <v>981.31</v>
      </c>
      <c r="L1622" s="13" t="str">
        <f>IF(D1622&lt;&gt;"",VLOOKUP(H1622,TABLEITEM,2,FALSE),"")</f>
        <v/>
      </c>
      <c r="M1622" s="13" t="str">
        <f>IF(D1622&lt;&gt;"",VLOOKUP(H1622,TABLEITEM,3,FALSE),"")</f>
        <v>แก๊สหุงต้ม 48กก</v>
      </c>
      <c r="N1622" s="14">
        <f>INSTOCK!$I1622*INSTOCK!$K1622</f>
        <v>19626.2</v>
      </c>
      <c r="O1622" s="4"/>
      <c r="P1622" s="4"/>
    </row>
    <row r="1623" ht="15.75" hidden="1" customHeight="1">
      <c r="B1623" s="8">
        <v>1939.0</v>
      </c>
      <c r="C1623" s="9">
        <v>43475.0</v>
      </c>
      <c r="D1623" s="6" t="s">
        <v>2120</v>
      </c>
      <c r="E1623" s="4"/>
      <c r="F1623" s="8" t="s">
        <v>604</v>
      </c>
      <c r="G1623" s="4" t="s">
        <v>2121</v>
      </c>
      <c r="H1623" s="10" t="s">
        <v>2122</v>
      </c>
      <c r="I1623" s="10">
        <v>300.0</v>
      </c>
      <c r="J1623" s="11" t="str">
        <f>IF(D1623&lt;&gt;"",VLOOKUP(H1623,TABLEITEM,5,FALSE),"")</f>
        <v>EA</v>
      </c>
      <c r="K1623" s="12">
        <v>30.0</v>
      </c>
      <c r="L1623" s="13" t="str">
        <f>IF(D1623&lt;&gt;"",VLOOKUP(H1623,TABLEITEM,2,FALSE),"")</f>
        <v/>
      </c>
      <c r="M1623" s="13" t="str">
        <f>IF(D1623&lt;&gt;"",VLOOKUP(H1623,TABLEITEM,3,FALSE),"")</f>
        <v>ห่วงตู้ M12 ชุบขาว</v>
      </c>
      <c r="N1623" s="14">
        <f>INSTOCK!$I1623*INSTOCK!$K1623</f>
        <v>9000</v>
      </c>
      <c r="O1623" s="4"/>
      <c r="P1623" s="4"/>
    </row>
    <row r="1624" ht="15.75" hidden="1" customHeight="1">
      <c r="B1624" s="8">
        <v>1940.0</v>
      </c>
      <c r="C1624" s="9">
        <v>43474.0</v>
      </c>
      <c r="D1624" s="6" t="s">
        <v>2123</v>
      </c>
      <c r="E1624" s="4">
        <v>6.101000042E9</v>
      </c>
      <c r="F1624" s="8" t="s">
        <v>1383</v>
      </c>
      <c r="G1624" s="4" t="s">
        <v>1446</v>
      </c>
      <c r="H1624" s="10" t="s">
        <v>1447</v>
      </c>
      <c r="I1624" s="10">
        <v>14.0</v>
      </c>
      <c r="J1624" s="11" t="str">
        <f>IF(D1624&lt;&gt;"",VLOOKUP(H1624,TABLEITEM,5,FALSE),"")</f>
        <v>M</v>
      </c>
      <c r="K1624" s="12">
        <v>174.03</v>
      </c>
      <c r="L1624" s="13" t="str">
        <f>IF(D1624&lt;&gt;"",VLOOKUP(H1624,TABLEITEM,2,FALSE),"")</f>
        <v/>
      </c>
      <c r="M1624" s="13" t="str">
        <f>IF(D1624&lt;&gt;"",VLOOKUP(H1624,TABLEITEM,3,FALSE),"")</f>
        <v>สายไฟ CVV 15x2.5MM</v>
      </c>
      <c r="N1624" s="14">
        <f>INSTOCK!$I1624*INSTOCK!$K1624</f>
        <v>2436.42</v>
      </c>
      <c r="O1624" s="4" t="s">
        <v>2124</v>
      </c>
      <c r="P1624" s="4"/>
    </row>
    <row r="1625" ht="15.75" hidden="1" customHeight="1">
      <c r="B1625" s="8">
        <v>1941.0</v>
      </c>
      <c r="C1625" s="9">
        <v>43477.0</v>
      </c>
      <c r="D1625" s="6" t="s">
        <v>2125</v>
      </c>
      <c r="E1625" s="4">
        <v>6.201000025E9</v>
      </c>
      <c r="F1625" s="8" t="s">
        <v>604</v>
      </c>
      <c r="G1625" s="4" t="s">
        <v>617</v>
      </c>
      <c r="H1625" s="10" t="s">
        <v>1361</v>
      </c>
      <c r="I1625" s="10">
        <v>50.0</v>
      </c>
      <c r="J1625" s="11" t="str">
        <f>IF(D1625&lt;&gt;"",VLOOKUP(H1625,TABLEITEM,5,FALSE),"")</f>
        <v>M</v>
      </c>
      <c r="K1625" s="12">
        <v>216.0</v>
      </c>
      <c r="L1625" s="13" t="str">
        <f>IF(D1625&lt;&gt;"",VLOOKUP(H1625,TABLEITEM,2,FALSE),"")</f>
        <v>Busbar</v>
      </c>
      <c r="M1625" s="13" t="str">
        <f>IF(D1625&lt;&gt;"",VLOOKUP(H1625,TABLEITEM,3,FALSE),"")</f>
        <v>บัสบาร์ทองแดง 20x5</v>
      </c>
      <c r="N1625" s="14">
        <f>INSTOCK!$I1625*INSTOCK!$K1625</f>
        <v>10800</v>
      </c>
      <c r="O1625" s="4" t="s">
        <v>2126</v>
      </c>
      <c r="P1625" s="4"/>
    </row>
    <row r="1626" ht="15.75" hidden="1" customHeight="1">
      <c r="B1626" s="8">
        <v>1942.0</v>
      </c>
      <c r="C1626" s="9">
        <v>43477.0</v>
      </c>
      <c r="D1626" s="6" t="s">
        <v>2127</v>
      </c>
      <c r="E1626" s="4">
        <v>6.20100005E9</v>
      </c>
      <c r="F1626" s="8" t="s">
        <v>604</v>
      </c>
      <c r="G1626" s="4" t="s">
        <v>721</v>
      </c>
      <c r="H1626" s="10" t="s">
        <v>224</v>
      </c>
      <c r="I1626" s="10">
        <v>100.0</v>
      </c>
      <c r="J1626" s="11" t="str">
        <f>IF(D1626&lt;&gt;"",VLOOKUP(H1626,TABLEITEM,5,FALSE),"")</f>
        <v>M</v>
      </c>
      <c r="K1626" s="12">
        <v>11.9795</v>
      </c>
      <c r="L1626" s="13" t="str">
        <f>IF(D1626&lt;&gt;"",VLOOKUP(H1626,TABLEITEM,2,FALSE),"")</f>
        <v/>
      </c>
      <c r="M1626" s="13" t="str">
        <f>IF(D1626&lt;&gt;"",VLOOKUP(H1626,TABLEITEM,3,FALSE),"")</f>
        <v>ท่ออ่อนลูกฟูกชิดผ่า/ท่อผ่าดำ 15มิล</v>
      </c>
      <c r="N1626" s="14">
        <f>INSTOCK!$I1626*INSTOCK!$K1626</f>
        <v>1197.95</v>
      </c>
      <c r="O1626" s="4" t="s">
        <v>1160</v>
      </c>
      <c r="P1626" s="4"/>
    </row>
    <row r="1627" ht="15.75" hidden="1" customHeight="1">
      <c r="B1627" s="8">
        <v>1943.0</v>
      </c>
      <c r="C1627" s="9">
        <v>43477.0</v>
      </c>
      <c r="D1627" s="6" t="s">
        <v>2127</v>
      </c>
      <c r="E1627" s="4">
        <v>6.20100005E9</v>
      </c>
      <c r="F1627" s="8" t="s">
        <v>604</v>
      </c>
      <c r="G1627" s="4" t="s">
        <v>721</v>
      </c>
      <c r="H1627" s="10" t="s">
        <v>226</v>
      </c>
      <c r="I1627" s="10">
        <v>50.0</v>
      </c>
      <c r="J1627" s="11" t="str">
        <f>IF(D1627&lt;&gt;"",VLOOKUP(H1627,TABLEITEM,5,FALSE),"")</f>
        <v>M</v>
      </c>
      <c r="K1627" s="12">
        <v>17.654</v>
      </c>
      <c r="L1627" s="13" t="str">
        <f>IF(D1627&lt;&gt;"",VLOOKUP(H1627,TABLEITEM,2,FALSE),"")</f>
        <v/>
      </c>
      <c r="M1627" s="13" t="str">
        <f>IF(D1627&lt;&gt;"",VLOOKUP(H1627,TABLEITEM,3,FALSE),"")</f>
        <v>ท่ออ่อนลูกฟูกชิดผ่า/ท่อผ่าดำ 25มิล</v>
      </c>
      <c r="N1627" s="14">
        <f>INSTOCK!$I1627*INSTOCK!$K1627</f>
        <v>882.7</v>
      </c>
      <c r="O1627" s="4" t="s">
        <v>2128</v>
      </c>
      <c r="P1627" s="4"/>
    </row>
    <row r="1628" ht="15.75" hidden="1" customHeight="1">
      <c r="B1628" s="8">
        <v>1944.0</v>
      </c>
      <c r="C1628" s="9">
        <v>43475.0</v>
      </c>
      <c r="D1628" s="6" t="s">
        <v>2129</v>
      </c>
      <c r="E1628" s="4">
        <v>6.201000047E9</v>
      </c>
      <c r="F1628" s="8" t="s">
        <v>1383</v>
      </c>
      <c r="G1628" s="4" t="s">
        <v>1485</v>
      </c>
      <c r="H1628" s="10" t="s">
        <v>2130</v>
      </c>
      <c r="I1628" s="10">
        <v>1.0</v>
      </c>
      <c r="J1628" s="11" t="str">
        <f>IF(D1628&lt;&gt;"",VLOOKUP(H1628,TABLEITEM,5,FALSE),"")</f>
        <v>EA</v>
      </c>
      <c r="K1628" s="12">
        <v>9512.0</v>
      </c>
      <c r="L1628" s="13" t="str">
        <f>IF(D1628&lt;&gt;"",VLOOKUP(H1628,TABLEITEM,2,FALSE),"")</f>
        <v/>
      </c>
      <c r="M1628" s="13" t="str">
        <f>IF(D1628&lt;&gt;"",VLOOKUP(H1628,TABLEITEM,3,FALSE),"")</f>
        <v>NSX630F 3P (36KA AT 380/415 V)MICROLOGIC 2.3 630A</v>
      </c>
      <c r="N1628" s="14">
        <f>INSTOCK!$I1628*INSTOCK!$K1628</f>
        <v>9512</v>
      </c>
      <c r="O1628" s="4"/>
      <c r="P1628" s="4" t="s">
        <v>1487</v>
      </c>
    </row>
    <row r="1629" ht="15.75" hidden="1" customHeight="1">
      <c r="B1629" s="8">
        <v>1945.0</v>
      </c>
      <c r="C1629" s="9">
        <v>43476.0</v>
      </c>
      <c r="D1629" s="6" t="s">
        <v>2131</v>
      </c>
      <c r="E1629" s="4">
        <v>6.201000015E9</v>
      </c>
      <c r="F1629" s="8" t="s">
        <v>1383</v>
      </c>
      <c r="G1629" s="4" t="s">
        <v>1485</v>
      </c>
      <c r="H1629" s="10" t="s">
        <v>2132</v>
      </c>
      <c r="I1629" s="10">
        <v>1.0</v>
      </c>
      <c r="J1629" s="11" t="str">
        <f>IF(D1629&lt;&gt;"",VLOOKUP(H1629,TABLEITEM,5,FALSE),"")</f>
        <v>EA</v>
      </c>
      <c r="K1629" s="12">
        <v>28208.0</v>
      </c>
      <c r="L1629" s="13" t="str">
        <f>IF(D1629&lt;&gt;"",VLOOKUP(H1629,TABLEITEM,2,FALSE),"")</f>
        <v/>
      </c>
      <c r="M1629" s="13" t="str">
        <f>IF(D1629&lt;&gt;"",VLOOKUP(H1629,TABLEITEM,3,FALSE),"")</f>
        <v>CONTROL UNIC ATS 220VAC FOR ATS800-1600A</v>
      </c>
      <c r="N1629" s="14">
        <f>INSTOCK!$I1629*INSTOCK!$K1629</f>
        <v>28208</v>
      </c>
      <c r="O1629" s="4"/>
      <c r="P1629" s="4" t="s">
        <v>1487</v>
      </c>
    </row>
    <row r="1630" ht="15.75" hidden="1" customHeight="1">
      <c r="B1630" s="8">
        <v>1946.0</v>
      </c>
      <c r="C1630" s="9">
        <v>43475.0</v>
      </c>
      <c r="D1630" s="6" t="s">
        <v>2133</v>
      </c>
      <c r="E1630" s="4">
        <v>6.201000044E9</v>
      </c>
      <c r="F1630" s="8" t="s">
        <v>1383</v>
      </c>
      <c r="G1630" s="4" t="s">
        <v>2009</v>
      </c>
      <c r="H1630" s="10" t="s">
        <v>2134</v>
      </c>
      <c r="I1630" s="10">
        <v>5.0</v>
      </c>
      <c r="J1630" s="11" t="str">
        <f>IF(D1630&lt;&gt;"",VLOOKUP(H1630,TABLEITEM,5,FALSE),"")</f>
        <v>EA</v>
      </c>
      <c r="K1630" s="12">
        <v>1275.0</v>
      </c>
      <c r="L1630" s="13" t="str">
        <f>IF(D1630&lt;&gt;"",VLOOKUP(H1630,TABLEITEM,2,FALSE),"")</f>
        <v/>
      </c>
      <c r="M1630" s="13" t="str">
        <f>IF(D1630&lt;&gt;"",VLOOKUP(H1630,TABLEITEM,3,FALSE),"")</f>
        <v>สวิทซ์ลูกลอย/สายเคเบิ้ลFT-3C,WITH 4m PVC</v>
      </c>
      <c r="N1630" s="14">
        <f>INSTOCK!$I1630*INSTOCK!$K1630</f>
        <v>6375</v>
      </c>
      <c r="O1630" s="4"/>
      <c r="P1630" s="4"/>
    </row>
    <row r="1631" ht="15.75" hidden="1" customHeight="1">
      <c r="B1631" s="8">
        <v>1947.0</v>
      </c>
      <c r="C1631" s="9">
        <v>43479.0</v>
      </c>
      <c r="D1631" s="6">
        <v>37107.0</v>
      </c>
      <c r="E1631" s="4">
        <v>6.201000054E9</v>
      </c>
      <c r="F1631" s="8" t="s">
        <v>604</v>
      </c>
      <c r="G1631" s="4" t="s">
        <v>696</v>
      </c>
      <c r="H1631" s="10" t="s">
        <v>2135</v>
      </c>
      <c r="I1631" s="10">
        <v>5.0</v>
      </c>
      <c r="J1631" s="11" t="str">
        <f>IF(D1631&lt;&gt;"",VLOOKUP(H1631,TABLEITEM,5,FALSE),"")</f>
        <v>แผง</v>
      </c>
      <c r="K1631" s="12">
        <v>125.0</v>
      </c>
      <c r="L1631" s="13" t="str">
        <f>IF(D1631&lt;&gt;"",VLOOKUP(H1631,TABLEITEM,2,FALSE),"")</f>
        <v/>
      </c>
      <c r="M1631" s="13" t="str">
        <f>IF(D1631&lt;&gt;"",VLOOKUP(H1631,TABLEITEM,3,FALSE),"")</f>
        <v>ใบเลื่อยจิ๊กซอ BOSCH T118A</v>
      </c>
      <c r="N1631" s="14">
        <f>INSTOCK!$I1631*INSTOCK!$K1631</f>
        <v>625</v>
      </c>
      <c r="O1631" s="4"/>
      <c r="P1631" s="4"/>
    </row>
    <row r="1632" ht="15.75" hidden="1" customHeight="1">
      <c r="B1632" s="8">
        <v>1948.0</v>
      </c>
      <c r="C1632" s="9">
        <v>43479.0</v>
      </c>
      <c r="D1632" s="6">
        <v>37107.0</v>
      </c>
      <c r="E1632" s="4">
        <v>6.201000054E9</v>
      </c>
      <c r="F1632" s="8" t="s">
        <v>604</v>
      </c>
      <c r="G1632" s="4" t="s">
        <v>696</v>
      </c>
      <c r="H1632" s="10" t="s">
        <v>55</v>
      </c>
      <c r="I1632" s="10">
        <v>72.0</v>
      </c>
      <c r="J1632" s="11" t="str">
        <f>IF(D1632&lt;&gt;"",VLOOKUP(H1632,TABLEITEM,5,FALSE),"")</f>
        <v>EA</v>
      </c>
      <c r="K1632" s="12">
        <v>12.0</v>
      </c>
      <c r="L1632" s="13" t="str">
        <f>IF(D1632&lt;&gt;"",VLOOKUP(H1632,TABLEITEM,2,FALSE),"")</f>
        <v/>
      </c>
      <c r="M1632" s="13" t="str">
        <f>IF(D1632&lt;&gt;"",VLOOKUP(H1632,TABLEITEM,3,FALSE),"")</f>
        <v>เทปใส 2''</v>
      </c>
      <c r="N1632" s="14">
        <f>INSTOCK!$I1632*INSTOCK!$K1632</f>
        <v>864</v>
      </c>
      <c r="O1632" s="4"/>
      <c r="P1632" s="4" t="s">
        <v>1927</v>
      </c>
    </row>
    <row r="1633" ht="15.75" hidden="1" customHeight="1">
      <c r="B1633" s="8">
        <v>1949.0</v>
      </c>
      <c r="C1633" s="9">
        <v>43479.0</v>
      </c>
      <c r="D1633" s="6" t="s">
        <v>2136</v>
      </c>
      <c r="E1633" s="4">
        <v>6.201000057E9</v>
      </c>
      <c r="F1633" s="8" t="s">
        <v>2137</v>
      </c>
      <c r="G1633" s="4" t="s">
        <v>2138</v>
      </c>
      <c r="H1633" s="10" t="s">
        <v>2139</v>
      </c>
      <c r="I1633" s="10">
        <v>4.0</v>
      </c>
      <c r="J1633" s="11" t="str">
        <f>IF(D1633&lt;&gt;"",VLOOKUP(H1633,TABLEITEM,5,FALSE),"")</f>
        <v>ถัง</v>
      </c>
      <c r="K1633" s="12">
        <v>1630.0</v>
      </c>
      <c r="L1633" s="13" t="str">
        <f>IF(D1633&lt;&gt;"",VLOOKUP(H1633,TABLEITEM,2,FALSE),"")</f>
        <v/>
      </c>
      <c r="M1633" s="13" t="str">
        <f>IF(D1633&lt;&gt;"",VLOOKUP(H1633,TABLEITEM,3,FALSE),"")</f>
        <v>MOBIL NUTO H46-1/20LT</v>
      </c>
      <c r="N1633" s="14">
        <f>INSTOCK!$I1633*INSTOCK!$K1633</f>
        <v>6520</v>
      </c>
      <c r="O1633" s="4"/>
      <c r="P1633" s="4"/>
    </row>
    <row r="1634" ht="15.75" hidden="1" customHeight="1">
      <c r="B1634" s="8">
        <v>1950.0</v>
      </c>
      <c r="C1634" s="9">
        <v>43479.0</v>
      </c>
      <c r="D1634" s="6" t="s">
        <v>2140</v>
      </c>
      <c r="E1634" s="4">
        <v>6.201000043E9</v>
      </c>
      <c r="F1634" s="8" t="s">
        <v>1383</v>
      </c>
      <c r="G1634" s="4" t="s">
        <v>2009</v>
      </c>
      <c r="H1634" s="10" t="s">
        <v>2141</v>
      </c>
      <c r="I1634" s="10">
        <v>1.0</v>
      </c>
      <c r="J1634" s="11" t="str">
        <f>IF(D1634&lt;&gt;"",VLOOKUP(H1634,TABLEITEM,5,FALSE),"")</f>
        <v/>
      </c>
      <c r="K1634" s="12">
        <v>9800.0</v>
      </c>
      <c r="L1634" s="13" t="str">
        <f>IF(D1634&lt;&gt;"",VLOOKUP(H1634,TABLEITEM,2,FALSE),"")</f>
        <v/>
      </c>
      <c r="M1634" s="13" t="str">
        <f>IF(D1634&lt;&gt;"",VLOOKUP(H1634,TABLEITEM,3,FALSE),"")</f>
        <v>มัลิมิเตอร์/ดิจิตอล รุ่น 1051 KYORITSU</v>
      </c>
      <c r="N1634" s="14">
        <f>INSTOCK!$I1634*INSTOCK!$K1634</f>
        <v>9800</v>
      </c>
      <c r="O1634" s="4"/>
      <c r="P1634" s="4"/>
    </row>
    <row r="1635" ht="15.75" hidden="1" customHeight="1">
      <c r="B1635" s="8">
        <v>1951.0</v>
      </c>
      <c r="C1635" s="9">
        <v>43475.0</v>
      </c>
      <c r="D1635" s="6" t="s">
        <v>2142</v>
      </c>
      <c r="E1635" s="4">
        <v>6.112001684E9</v>
      </c>
      <c r="F1635" s="8" t="s">
        <v>604</v>
      </c>
      <c r="G1635" s="4" t="s">
        <v>1777</v>
      </c>
      <c r="H1635" s="10" t="s">
        <v>2100</v>
      </c>
      <c r="I1635" s="10">
        <v>5300.0</v>
      </c>
      <c r="J1635" s="11" t="str">
        <f>IF(D1635&lt;&gt;"",VLOOKUP(H1635,TABLEITEM,5,FALSE),"")</f>
        <v>EA</v>
      </c>
      <c r="K1635" s="12">
        <v>0.79995</v>
      </c>
      <c r="L1635" s="13" t="str">
        <f>IF(D1635&lt;&gt;"",VLOOKUP(H1635,TABLEITEM,2,FALSE),"")</f>
        <v/>
      </c>
      <c r="M1635" s="13" t="str">
        <f>IF(D1635&lt;&gt;"",VLOOKUP(H1635,TABLEITEM,3,FALSE),"")</f>
        <v>สกรูหัวเหลี่ยมชุบขาว M8x20</v>
      </c>
      <c r="N1635" s="14">
        <f>INSTOCK!$I1635*INSTOCK!$K1635</f>
        <v>4239.735</v>
      </c>
      <c r="O1635" s="4" t="s">
        <v>2101</v>
      </c>
      <c r="P1635" s="4"/>
    </row>
    <row r="1636" ht="15.75" hidden="1" customHeight="1">
      <c r="B1636" s="8">
        <v>1952.0</v>
      </c>
      <c r="C1636" s="9">
        <v>43475.0</v>
      </c>
      <c r="D1636" s="6" t="s">
        <v>2142</v>
      </c>
      <c r="E1636" s="4">
        <v>6.112001684E9</v>
      </c>
      <c r="F1636" s="8" t="s">
        <v>604</v>
      </c>
      <c r="G1636" s="4" t="s">
        <v>1777</v>
      </c>
      <c r="H1636" s="10" t="s">
        <v>1856</v>
      </c>
      <c r="I1636" s="10">
        <v>10000.0</v>
      </c>
      <c r="J1636" s="11" t="str">
        <f>IF(D1636&lt;&gt;"",VLOOKUP(H1636,TABLEITEM,5,FALSE),"")</f>
        <v>EA</v>
      </c>
      <c r="K1636" s="12">
        <v>0.99</v>
      </c>
      <c r="L1636" s="13" t="str">
        <f>IF(D1636&lt;&gt;"",VLOOKUP(H1636,TABLEITEM,2,FALSE),"")</f>
        <v/>
      </c>
      <c r="M1636" s="13" t="str">
        <f>IF(D1636&lt;&gt;"",VLOOKUP(H1636,TABLEITEM,3,FALSE),"")</f>
        <v>สกรูหัวติดแหวน M 6x10</v>
      </c>
      <c r="N1636" s="14">
        <f>INSTOCK!$I1636*INSTOCK!$K1636</f>
        <v>9900</v>
      </c>
      <c r="O1636" s="4" t="s">
        <v>1857</v>
      </c>
      <c r="P1636" s="4"/>
    </row>
    <row r="1637" ht="15.75" hidden="1" customHeight="1">
      <c r="B1637" s="8">
        <v>1953.0</v>
      </c>
      <c r="C1637" s="9">
        <v>43477.0</v>
      </c>
      <c r="D1637" s="6" t="s">
        <v>2143</v>
      </c>
      <c r="E1637" s="4">
        <v>6.201000052E9</v>
      </c>
      <c r="F1637" s="8" t="s">
        <v>604</v>
      </c>
      <c r="G1637" s="4" t="s">
        <v>2144</v>
      </c>
      <c r="H1637" s="10" t="s">
        <v>2145</v>
      </c>
      <c r="I1637" s="10">
        <v>24.0</v>
      </c>
      <c r="J1637" s="11" t="str">
        <f>IF(D1637&lt;&gt;"",VLOOKUP(H1637,TABLEITEM,5,FALSE),"")</f>
        <v>EA</v>
      </c>
      <c r="K1637" s="12">
        <v>127.375</v>
      </c>
      <c r="L1637" s="13" t="str">
        <f>IF(D1637&lt;&gt;"",VLOOKUP(H1637,TABLEITEM,2,FALSE),"")</f>
        <v/>
      </c>
      <c r="M1637" s="13" t="str">
        <f>IF(D1637&lt;&gt;"",VLOOKUP(H1637,TABLEITEM,3,FALSE),"")</f>
        <v>Filter LS  VF-011 ซองลมสีดำ</v>
      </c>
      <c r="N1637" s="14">
        <f>INSTOCK!$I1637*INSTOCK!$K1637</f>
        <v>3057</v>
      </c>
      <c r="O1637" s="4" t="s">
        <v>2146</v>
      </c>
      <c r="P1637" s="4"/>
    </row>
    <row r="1638" ht="15.75" hidden="1" customHeight="1">
      <c r="B1638" s="8">
        <v>1954.0</v>
      </c>
      <c r="C1638" s="9">
        <v>43476.0</v>
      </c>
      <c r="D1638" s="6" t="s">
        <v>2147</v>
      </c>
      <c r="E1638" s="4">
        <v>6.201000034E9</v>
      </c>
      <c r="F1638" s="8" t="s">
        <v>633</v>
      </c>
      <c r="G1638" s="4" t="s">
        <v>2148</v>
      </c>
      <c r="H1638" s="10" t="s">
        <v>2149</v>
      </c>
      <c r="I1638" s="10">
        <v>1.0</v>
      </c>
      <c r="J1638" s="11" t="str">
        <f>IF(D1638&lt;&gt;"",VLOOKUP(H1638,TABLEITEM,5,FALSE),"")</f>
        <v>LOT</v>
      </c>
      <c r="K1638" s="12">
        <v>1800.0</v>
      </c>
      <c r="L1638" s="13" t="str">
        <f>IF(D1638&lt;&gt;"",VLOOKUP(H1638,TABLEITEM,2,FALSE),"")</f>
        <v/>
      </c>
      <c r="M1638" s="13" t="str">
        <f>IF(D1638&lt;&gt;"",VLOOKUP(H1638,TABLEITEM,3,FALSE),"")</f>
        <v>SERVIICE เครื่องชั่ง DI-81P-150KG</v>
      </c>
      <c r="N1638" s="14">
        <f>INSTOCK!$I1638*INSTOCK!$K1638</f>
        <v>1800</v>
      </c>
      <c r="O1638" s="4"/>
      <c r="P1638" s="4"/>
    </row>
    <row r="1639" ht="15.75" hidden="1" customHeight="1">
      <c r="B1639" s="8">
        <v>1955.0</v>
      </c>
      <c r="C1639" s="9">
        <v>43479.0</v>
      </c>
      <c r="D1639" s="6" t="s">
        <v>2150</v>
      </c>
      <c r="E1639" s="4">
        <v>6.201000053E9</v>
      </c>
      <c r="F1639" s="8" t="s">
        <v>604</v>
      </c>
      <c r="G1639" s="4" t="s">
        <v>965</v>
      </c>
      <c r="H1639" s="10" t="s">
        <v>2151</v>
      </c>
      <c r="I1639" s="10">
        <v>1.0</v>
      </c>
      <c r="J1639" s="11" t="str">
        <f>IF(D1639&lt;&gt;"",VLOOKUP(H1639,TABLEITEM,5,FALSE),"")</f>
        <v>EA</v>
      </c>
      <c r="K1639" s="12">
        <v>1400.0</v>
      </c>
      <c r="L1639" s="13" t="str">
        <f>IF(D1639&lt;&gt;"",VLOOKUP(H1639,TABLEITEM,2,FALSE),"")</f>
        <v/>
      </c>
      <c r="M1639" s="13" t="str">
        <f>IF(D1639&lt;&gt;"",VLOOKUP(H1639,TABLEITEM,3,FALSE),"")</f>
        <v>เครื่องเจียร์ 7-100 BOSCH</v>
      </c>
      <c r="N1639" s="14">
        <f>INSTOCK!$I1639*INSTOCK!$K1639</f>
        <v>1400</v>
      </c>
      <c r="O1639" s="4"/>
      <c r="P1639" s="4"/>
    </row>
    <row r="1640" ht="15.75" hidden="1" customHeight="1">
      <c r="B1640" s="8">
        <v>1956.0</v>
      </c>
      <c r="C1640" s="9">
        <v>43479.0</v>
      </c>
      <c r="D1640" s="6" t="s">
        <v>2150</v>
      </c>
      <c r="E1640" s="4">
        <v>6.201000053E9</v>
      </c>
      <c r="F1640" s="8" t="s">
        <v>604</v>
      </c>
      <c r="G1640" s="4" t="s">
        <v>965</v>
      </c>
      <c r="H1640" s="10" t="s">
        <v>2152</v>
      </c>
      <c r="I1640" s="10">
        <v>10.0</v>
      </c>
      <c r="J1640" s="11" t="str">
        <f>IF(D1640&lt;&gt;"",VLOOKUP(H1640,TABLEITEM,5,FALSE),"")</f>
        <v>EA</v>
      </c>
      <c r="K1640" s="12">
        <v>30.0</v>
      </c>
      <c r="L1640" s="13" t="str">
        <f>IF(D1640&lt;&gt;"",VLOOKUP(H1640,TABLEITEM,2,FALSE),"")</f>
        <v/>
      </c>
      <c r="M1640" s="13" t="str">
        <f>IF(D1640&lt;&gt;"",VLOOKUP(H1640,TABLEITEM,3,FALSE),"")</f>
        <v>ไม้กวาดดอกหญ้า</v>
      </c>
      <c r="N1640" s="14">
        <f>INSTOCK!$I1640*INSTOCK!$K1640</f>
        <v>300</v>
      </c>
      <c r="O1640" s="4"/>
      <c r="P1640" s="4"/>
    </row>
    <row r="1641" ht="15.75" hidden="1" customHeight="1">
      <c r="B1641" s="8">
        <v>1957.0</v>
      </c>
      <c r="C1641" s="9">
        <v>43479.0</v>
      </c>
      <c r="D1641" s="6" t="s">
        <v>2150</v>
      </c>
      <c r="E1641" s="4">
        <v>6.201000053E9</v>
      </c>
      <c r="F1641" s="8" t="s">
        <v>604</v>
      </c>
      <c r="G1641" s="4" t="s">
        <v>965</v>
      </c>
      <c r="H1641" s="10" t="s">
        <v>59</v>
      </c>
      <c r="I1641" s="10">
        <v>12.0</v>
      </c>
      <c r="J1641" s="11" t="str">
        <f>IF(D1641&lt;&gt;"",VLOOKUP(H1641,TABLEITEM,5,FALSE),"")</f>
        <v>EA</v>
      </c>
      <c r="K1641" s="12">
        <v>100.0</v>
      </c>
      <c r="L1641" s="13" t="str">
        <f>IF(D1641&lt;&gt;"",VLOOKUP(H1641,TABLEITEM,2,FALSE),"")</f>
        <v/>
      </c>
      <c r="M1641" s="13" t="str">
        <f>IF(D1641&lt;&gt;"",VLOOKUP(H1641,TABLEITEM,3,FALSE),"")</f>
        <v>โซเน็ก</v>
      </c>
      <c r="N1641" s="14">
        <f>INSTOCK!$I1641*INSTOCK!$K1641</f>
        <v>1200</v>
      </c>
      <c r="O1641" s="4"/>
      <c r="P1641" s="4"/>
    </row>
    <row r="1642" ht="15.75" hidden="1" customHeight="1">
      <c r="B1642" s="8">
        <v>1958.0</v>
      </c>
      <c r="C1642" s="9">
        <v>43479.0</v>
      </c>
      <c r="D1642" s="6" t="s">
        <v>2150</v>
      </c>
      <c r="E1642" s="4">
        <v>6.201000053E9</v>
      </c>
      <c r="F1642" s="8" t="s">
        <v>604</v>
      </c>
      <c r="G1642" s="4" t="s">
        <v>965</v>
      </c>
      <c r="H1642" s="10" t="s">
        <v>2153</v>
      </c>
      <c r="I1642" s="10">
        <v>20.0</v>
      </c>
      <c r="J1642" s="11" t="str">
        <f>IF(D1642&lt;&gt;"",VLOOKUP(H1642,TABLEITEM,5,FALSE),"")</f>
        <v>EA</v>
      </c>
      <c r="K1642" s="12">
        <v>8.0</v>
      </c>
      <c r="L1642" s="13" t="str">
        <f>IF(D1642&lt;&gt;"",VLOOKUP(H1642,TABLEITEM,2,FALSE),"")</f>
        <v/>
      </c>
      <c r="M1642" s="13" t="str">
        <f>IF(D1642&lt;&gt;"",VLOOKUP(H1642,TABLEITEM,3,FALSE),"")</f>
        <v>เทปพันเกลียว</v>
      </c>
      <c r="N1642" s="14">
        <f>INSTOCK!$I1642*INSTOCK!$K1642</f>
        <v>160</v>
      </c>
      <c r="O1642" s="4"/>
      <c r="P1642" s="4"/>
    </row>
    <row r="1643" ht="15.75" hidden="1" customHeight="1">
      <c r="B1643" s="8">
        <v>1959.0</v>
      </c>
      <c r="C1643" s="9">
        <v>43423.0</v>
      </c>
      <c r="D1643" s="6" t="s">
        <v>2154</v>
      </c>
      <c r="E1643" s="4">
        <v>6.111001469E9</v>
      </c>
      <c r="F1643" s="8" t="s">
        <v>2030</v>
      </c>
      <c r="G1643" s="4" t="s">
        <v>692</v>
      </c>
      <c r="H1643" s="10" t="s">
        <v>1769</v>
      </c>
      <c r="I1643" s="10">
        <v>1.0</v>
      </c>
      <c r="J1643" s="11" t="str">
        <f>IF(D1643&lt;&gt;"",VLOOKUP(H1643,TABLEITEM,5,FALSE),"")</f>
        <v>EA</v>
      </c>
      <c r="K1643" s="12">
        <v>1170.0</v>
      </c>
      <c r="L1643" s="13" t="str">
        <f>IF(D1643&lt;&gt;"",VLOOKUP(H1643,TABLEITEM,2,FALSE),"")</f>
        <v/>
      </c>
      <c r="M1643" s="13" t="str">
        <f>IF(D1643&lt;&gt;"",VLOOKUP(H1643,TABLEITEM,3,FALSE),"")</f>
        <v>MCCB A1C125 3P 50A 25KA</v>
      </c>
      <c r="N1643" s="14">
        <f>INSTOCK!$I1643*INSTOCK!$K1643</f>
        <v>1170</v>
      </c>
      <c r="O1643" s="4"/>
      <c r="P1643" s="4"/>
    </row>
    <row r="1644" ht="15.75" hidden="1" customHeight="1">
      <c r="B1644" s="8">
        <v>1960.0</v>
      </c>
      <c r="C1644" s="9">
        <v>43423.0</v>
      </c>
      <c r="D1644" s="6" t="s">
        <v>2154</v>
      </c>
      <c r="E1644" s="4">
        <v>6.111001469E9</v>
      </c>
      <c r="F1644" s="8" t="s">
        <v>2030</v>
      </c>
      <c r="G1644" s="4" t="s">
        <v>692</v>
      </c>
      <c r="H1644" s="10" t="s">
        <v>1694</v>
      </c>
      <c r="I1644" s="10">
        <v>3.0</v>
      </c>
      <c r="J1644" s="11" t="str">
        <f>IF(D1644&lt;&gt;"",VLOOKUP(H1644,TABLEITEM,5,FALSE),"")</f>
        <v>EA</v>
      </c>
      <c r="K1644" s="12">
        <v>1062.333</v>
      </c>
      <c r="L1644" s="13" t="str">
        <f>IF(D1644&lt;&gt;"",VLOOKUP(H1644,TABLEITEM,2,FALSE),"")</f>
        <v/>
      </c>
      <c r="M1644" s="13" t="str">
        <f>IF(D1644&lt;&gt;"",VLOOKUP(H1644,TABLEITEM,3,FALSE),"")</f>
        <v>Circuil Breaker FH202AC-40/0.03</v>
      </c>
      <c r="N1644" s="14">
        <f>INSTOCK!$I1644*INSTOCK!$K1644</f>
        <v>3186.999</v>
      </c>
      <c r="O1644" s="4"/>
      <c r="P1644" s="4"/>
    </row>
    <row r="1645" ht="15.75" hidden="1" customHeight="1">
      <c r="B1645" s="8">
        <v>1961.0</v>
      </c>
      <c r="C1645" s="9">
        <v>43423.0</v>
      </c>
      <c r="D1645" s="6" t="s">
        <v>2154</v>
      </c>
      <c r="E1645" s="4">
        <v>6.111001469E9</v>
      </c>
      <c r="F1645" s="8" t="s">
        <v>2030</v>
      </c>
      <c r="G1645" s="4" t="s">
        <v>692</v>
      </c>
      <c r="H1645" s="10" t="s">
        <v>1717</v>
      </c>
      <c r="I1645" s="10">
        <v>1.0</v>
      </c>
      <c r="J1645" s="11" t="str">
        <f>IF(D1645&lt;&gt;"",VLOOKUP(H1645,TABLEITEM,5,FALSE),"")</f>
        <v>EA</v>
      </c>
      <c r="K1645" s="12">
        <v>1170.0</v>
      </c>
      <c r="L1645" s="13" t="str">
        <f>IF(D1645&lt;&gt;"",VLOOKUP(H1645,TABLEITEM,2,FALSE),"")</f>
        <v/>
      </c>
      <c r="M1645" s="13" t="str">
        <f>IF(D1645&lt;&gt;"",VLOOKUP(H1645,TABLEITEM,3,FALSE),"")</f>
        <v>MCCB A1C125 3P 60A 25KA</v>
      </c>
      <c r="N1645" s="14">
        <f>INSTOCK!$I1645*INSTOCK!$K1645</f>
        <v>1170</v>
      </c>
      <c r="O1645" s="4"/>
      <c r="P1645" s="4"/>
    </row>
    <row r="1646" ht="15.75" hidden="1" customHeight="1">
      <c r="B1646" s="8">
        <v>1962.0</v>
      </c>
      <c r="C1646" s="9">
        <v>43423.0</v>
      </c>
      <c r="D1646" s="6" t="s">
        <v>2154</v>
      </c>
      <c r="E1646" s="4">
        <v>6.111001469E9</v>
      </c>
      <c r="F1646" s="8" t="s">
        <v>2030</v>
      </c>
      <c r="G1646" s="4" t="s">
        <v>692</v>
      </c>
      <c r="H1646" s="10" t="s">
        <v>1694</v>
      </c>
      <c r="I1646" s="10">
        <v>5.0</v>
      </c>
      <c r="J1646" s="11" t="str">
        <f>IF(D1646&lt;&gt;"",VLOOKUP(H1646,TABLEITEM,5,FALSE),"")</f>
        <v>EA</v>
      </c>
      <c r="K1646" s="12">
        <v>1062.333</v>
      </c>
      <c r="L1646" s="13" t="str">
        <f>IF(D1646&lt;&gt;"",VLOOKUP(H1646,TABLEITEM,2,FALSE),"")</f>
        <v/>
      </c>
      <c r="M1646" s="13" t="str">
        <f>IF(D1646&lt;&gt;"",VLOOKUP(H1646,TABLEITEM,3,FALSE),"")</f>
        <v>Circuil Breaker FH202AC-40/0.03</v>
      </c>
      <c r="N1646" s="14">
        <f>INSTOCK!$I1646*INSTOCK!$K1646</f>
        <v>5311.665</v>
      </c>
      <c r="O1646" s="4"/>
      <c r="P1646" s="4"/>
    </row>
    <row r="1647" ht="15.75" hidden="1" customHeight="1">
      <c r="B1647" s="8">
        <v>1963.0</v>
      </c>
      <c r="C1647" s="9">
        <v>43423.0</v>
      </c>
      <c r="D1647" s="6" t="s">
        <v>2154</v>
      </c>
      <c r="E1647" s="4">
        <v>6.111001469E9</v>
      </c>
      <c r="F1647" s="8" t="s">
        <v>2030</v>
      </c>
      <c r="G1647" s="4" t="s">
        <v>692</v>
      </c>
      <c r="H1647" s="10" t="s">
        <v>1768</v>
      </c>
      <c r="I1647" s="10">
        <v>2.0</v>
      </c>
      <c r="J1647" s="11" t="str">
        <f>IF(D1647&lt;&gt;"",VLOOKUP(H1647,TABLEITEM,5,FALSE),"")</f>
        <v>EA</v>
      </c>
      <c r="K1647" s="12">
        <v>1170.0</v>
      </c>
      <c r="L1647" s="13" t="str">
        <f>IF(D1647&lt;&gt;"",VLOOKUP(H1647,TABLEITEM,2,FALSE),"")</f>
        <v/>
      </c>
      <c r="M1647" s="13" t="str">
        <f>IF(D1647&lt;&gt;"",VLOOKUP(H1647,TABLEITEM,3,FALSE),"")</f>
        <v>MCCB A1C125 3P 30A 25KA</v>
      </c>
      <c r="N1647" s="14">
        <f>INSTOCK!$I1647*INSTOCK!$K1647</f>
        <v>2340</v>
      </c>
      <c r="O1647" s="4"/>
      <c r="P1647" s="4"/>
    </row>
    <row r="1648" ht="15.75" hidden="1" customHeight="1">
      <c r="B1648" s="8">
        <v>1964.0</v>
      </c>
      <c r="C1648" s="9">
        <v>43423.0</v>
      </c>
      <c r="D1648" s="6" t="s">
        <v>2154</v>
      </c>
      <c r="E1648" s="4">
        <v>6.111001469E9</v>
      </c>
      <c r="F1648" s="8" t="s">
        <v>2030</v>
      </c>
      <c r="G1648" s="4" t="s">
        <v>692</v>
      </c>
      <c r="H1648" s="10" t="s">
        <v>1717</v>
      </c>
      <c r="I1648" s="10">
        <v>1.0</v>
      </c>
      <c r="J1648" s="11" t="str">
        <f>IF(D1648&lt;&gt;"",VLOOKUP(H1648,TABLEITEM,5,FALSE),"")</f>
        <v>EA</v>
      </c>
      <c r="K1648" s="12">
        <v>1170.0</v>
      </c>
      <c r="L1648" s="13" t="str">
        <f>IF(D1648&lt;&gt;"",VLOOKUP(H1648,TABLEITEM,2,FALSE),"")</f>
        <v/>
      </c>
      <c r="M1648" s="13" t="str">
        <f>IF(D1648&lt;&gt;"",VLOOKUP(H1648,TABLEITEM,3,FALSE),"")</f>
        <v>MCCB A1C125 3P 60A 25KA</v>
      </c>
      <c r="N1648" s="14">
        <f>INSTOCK!$I1648*INSTOCK!$K1648</f>
        <v>1170</v>
      </c>
      <c r="O1648" s="4"/>
      <c r="P1648" s="4"/>
    </row>
    <row r="1649" ht="15.75" hidden="1" customHeight="1">
      <c r="B1649" s="8">
        <v>1965.0</v>
      </c>
      <c r="C1649" s="9">
        <v>43423.0</v>
      </c>
      <c r="D1649" s="6" t="s">
        <v>2154</v>
      </c>
      <c r="E1649" s="4">
        <v>6.111001469E9</v>
      </c>
      <c r="F1649" s="8" t="s">
        <v>2030</v>
      </c>
      <c r="G1649" s="4" t="s">
        <v>692</v>
      </c>
      <c r="H1649" s="10" t="s">
        <v>1769</v>
      </c>
      <c r="I1649" s="10">
        <v>1.0</v>
      </c>
      <c r="J1649" s="11" t="str">
        <f>IF(D1649&lt;&gt;"",VLOOKUP(H1649,TABLEITEM,5,FALSE),"")</f>
        <v>EA</v>
      </c>
      <c r="K1649" s="12">
        <v>1170.0</v>
      </c>
      <c r="L1649" s="13" t="str">
        <f>IF(D1649&lt;&gt;"",VLOOKUP(H1649,TABLEITEM,2,FALSE),"")</f>
        <v/>
      </c>
      <c r="M1649" s="13" t="str">
        <f>IF(D1649&lt;&gt;"",VLOOKUP(H1649,TABLEITEM,3,FALSE),"")</f>
        <v>MCCB A1C125 3P 50A 25KA</v>
      </c>
      <c r="N1649" s="14">
        <f>INSTOCK!$I1649*INSTOCK!$K1649</f>
        <v>1170</v>
      </c>
      <c r="O1649" s="4"/>
      <c r="P1649" s="4"/>
    </row>
    <row r="1650" ht="15.75" hidden="1" customHeight="1">
      <c r="B1650" s="8">
        <v>1966.0</v>
      </c>
      <c r="C1650" s="9">
        <v>43423.0</v>
      </c>
      <c r="D1650" s="6" t="s">
        <v>2154</v>
      </c>
      <c r="E1650" s="4">
        <v>6.111001469E9</v>
      </c>
      <c r="F1650" s="8" t="s">
        <v>2030</v>
      </c>
      <c r="G1650" s="4" t="s">
        <v>692</v>
      </c>
      <c r="H1650" s="10" t="s">
        <v>1694</v>
      </c>
      <c r="I1650" s="10">
        <v>6.0</v>
      </c>
      <c r="J1650" s="11" t="str">
        <f>IF(D1650&lt;&gt;"",VLOOKUP(H1650,TABLEITEM,5,FALSE),"")</f>
        <v>EA</v>
      </c>
      <c r="K1650" s="12">
        <v>1062.333</v>
      </c>
      <c r="L1650" s="13" t="str">
        <f>IF(D1650&lt;&gt;"",VLOOKUP(H1650,TABLEITEM,2,FALSE),"")</f>
        <v/>
      </c>
      <c r="M1650" s="13" t="str">
        <f>IF(D1650&lt;&gt;"",VLOOKUP(H1650,TABLEITEM,3,FALSE),"")</f>
        <v>Circuil Breaker FH202AC-40/0.03</v>
      </c>
      <c r="N1650" s="14">
        <f>INSTOCK!$I1650*INSTOCK!$K1650</f>
        <v>6373.998</v>
      </c>
      <c r="O1650" s="4"/>
      <c r="P1650" s="4"/>
    </row>
    <row r="1651" ht="15.75" hidden="1" customHeight="1">
      <c r="B1651" s="8">
        <v>1967.0</v>
      </c>
      <c r="C1651" s="9">
        <v>43423.0</v>
      </c>
      <c r="D1651" s="6" t="s">
        <v>2154</v>
      </c>
      <c r="E1651" s="4">
        <v>6.111001469E9</v>
      </c>
      <c r="F1651" s="8" t="s">
        <v>2030</v>
      </c>
      <c r="G1651" s="4" t="s">
        <v>692</v>
      </c>
      <c r="H1651" s="10" t="s">
        <v>1768</v>
      </c>
      <c r="I1651" s="10">
        <v>3.0</v>
      </c>
      <c r="J1651" s="11" t="str">
        <f>IF(D1651&lt;&gt;"",VLOOKUP(H1651,TABLEITEM,5,FALSE),"")</f>
        <v>EA</v>
      </c>
      <c r="K1651" s="12">
        <v>1170.0</v>
      </c>
      <c r="L1651" s="13" t="str">
        <f>IF(D1651&lt;&gt;"",VLOOKUP(H1651,TABLEITEM,2,FALSE),"")</f>
        <v/>
      </c>
      <c r="M1651" s="13" t="str">
        <f>IF(D1651&lt;&gt;"",VLOOKUP(H1651,TABLEITEM,3,FALSE),"")</f>
        <v>MCCB A1C125 3P 30A 25KA</v>
      </c>
      <c r="N1651" s="14">
        <f>INSTOCK!$I1651*INSTOCK!$K1651</f>
        <v>3510</v>
      </c>
      <c r="O1651" s="4"/>
      <c r="P1651" s="4"/>
    </row>
    <row r="1652" ht="15.75" hidden="1" customHeight="1">
      <c r="B1652" s="8">
        <v>1968.0</v>
      </c>
      <c r="C1652" s="9">
        <v>43119.0</v>
      </c>
      <c r="D1652" s="6" t="s">
        <v>2155</v>
      </c>
      <c r="E1652" s="4">
        <v>6.11100146E9</v>
      </c>
      <c r="F1652" s="8" t="s">
        <v>2156</v>
      </c>
      <c r="G1652" s="4" t="s">
        <v>1485</v>
      </c>
      <c r="H1652" s="10" t="s">
        <v>1653</v>
      </c>
      <c r="I1652" s="10">
        <v>2.0</v>
      </c>
      <c r="J1652" s="11" t="str">
        <f>IF(D1652&lt;&gt;"",VLOOKUP(H1652,TABLEITEM,5,FALSE),"")</f>
        <v>EA</v>
      </c>
      <c r="K1652" s="12">
        <v>483.8</v>
      </c>
      <c r="L1652" s="13" t="str">
        <f>IF(D1652&lt;&gt;"",VLOOKUP(H1652,TABLEITEM,2,FALSE),"")</f>
        <v/>
      </c>
      <c r="M1652" s="13" t="str">
        <f>IF(D1652&lt;&gt;"",VLOOKUP(H1652,TABLEITEM,3,FALSE),"")</f>
        <v>CONTACTOR 3P AC3 12A 220VAC</v>
      </c>
      <c r="N1652" s="14">
        <f>INSTOCK!$I1652*INSTOCK!$K1652</f>
        <v>967.6</v>
      </c>
      <c r="O1652" s="4"/>
      <c r="P1652" s="4"/>
    </row>
    <row r="1653" ht="15.75" hidden="1" customHeight="1">
      <c r="B1653" s="8">
        <v>1969.0</v>
      </c>
      <c r="C1653" s="9">
        <v>43119.0</v>
      </c>
      <c r="D1653" s="6" t="s">
        <v>2155</v>
      </c>
      <c r="E1653" s="4">
        <v>6.11100146E9</v>
      </c>
      <c r="F1653" s="8" t="s">
        <v>2156</v>
      </c>
      <c r="G1653" s="4" t="s">
        <v>1485</v>
      </c>
      <c r="H1653" s="10" t="s">
        <v>2157</v>
      </c>
      <c r="I1653" s="10">
        <v>50.0</v>
      </c>
      <c r="J1653" s="11" t="str">
        <f>IF(D1653&lt;&gt;"",VLOOKUP(H1653,TABLEITEM,5,FALSE),"")</f>
        <v>EA</v>
      </c>
      <c r="K1653" s="12">
        <v>82.0</v>
      </c>
      <c r="L1653" s="13" t="str">
        <f>IF(D1653&lt;&gt;"",VLOOKUP(H1653,TABLEITEM,2,FALSE),"")</f>
        <v/>
      </c>
      <c r="M1653" s="13" t="str">
        <f>IF(D1653&lt;&gt;"",VLOOKUP(H1653,TABLEITEM,3,FALSE),"")</f>
        <v>PILOT LIGHT LED 240V YELLOW</v>
      </c>
      <c r="N1653" s="14">
        <f>INSTOCK!$I1653*INSTOCK!$K1653</f>
        <v>4100</v>
      </c>
      <c r="O1653" s="4"/>
      <c r="P1653" s="4"/>
    </row>
    <row r="1654" ht="15.75" hidden="1" customHeight="1">
      <c r="B1654" s="8">
        <v>1970.0</v>
      </c>
      <c r="C1654" s="9">
        <v>43119.0</v>
      </c>
      <c r="D1654" s="6" t="s">
        <v>2155</v>
      </c>
      <c r="E1654" s="4">
        <v>6.11100146E9</v>
      </c>
      <c r="F1654" s="8" t="s">
        <v>2156</v>
      </c>
      <c r="G1654" s="4" t="s">
        <v>1485</v>
      </c>
      <c r="H1654" s="10" t="s">
        <v>2158</v>
      </c>
      <c r="I1654" s="10">
        <v>1.0</v>
      </c>
      <c r="J1654" s="11" t="str">
        <f>IF(D1654&lt;&gt;"",VLOOKUP(H1654,TABLEITEM,5,FALSE),"")</f>
        <v>EA</v>
      </c>
      <c r="K1654" s="12">
        <v>516.6</v>
      </c>
      <c r="L1654" s="13" t="str">
        <f>IF(D1654&lt;&gt;"",VLOOKUP(H1654,TABLEITEM,2,FALSE),"")</f>
        <v/>
      </c>
      <c r="M1654" s="13" t="str">
        <f>IF(D1654&lt;&gt;"",VLOOKUP(H1654,TABLEITEM,3,FALSE),"")</f>
        <v>OVERLOAD RALAY 2.5-4A CLASS 10A</v>
      </c>
      <c r="N1654" s="14">
        <f>INSTOCK!$I1654*INSTOCK!$K1654</f>
        <v>516.6</v>
      </c>
      <c r="O1654" s="4"/>
      <c r="P1654" s="4"/>
    </row>
    <row r="1655" ht="15.75" hidden="1" customHeight="1">
      <c r="B1655" s="8">
        <v>1971.0</v>
      </c>
      <c r="C1655" s="9">
        <v>43119.0</v>
      </c>
      <c r="D1655" s="6" t="s">
        <v>2155</v>
      </c>
      <c r="E1655" s="4">
        <v>6.11100146E9</v>
      </c>
      <c r="F1655" s="8" t="s">
        <v>2156</v>
      </c>
      <c r="G1655" s="4" t="s">
        <v>1485</v>
      </c>
      <c r="H1655" s="10" t="s">
        <v>2159</v>
      </c>
      <c r="I1655" s="10">
        <v>2.0</v>
      </c>
      <c r="J1655" s="11" t="str">
        <f>IF(D1655&lt;&gt;"",VLOOKUP(H1655,TABLEITEM,5,FALSE),"")</f>
        <v>EA</v>
      </c>
      <c r="K1655" s="12">
        <v>274.7</v>
      </c>
      <c r="L1655" s="13" t="str">
        <f>IF(D1655&lt;&gt;"",VLOOKUP(H1655,TABLEITEM,2,FALSE),"")</f>
        <v/>
      </c>
      <c r="M1655" s="13" t="str">
        <f>IF(D1655&lt;&gt;"",VLOOKUP(H1655,TABLEITEM,3,FALSE),"")</f>
        <v>SELEATOR SWITCH #22 2POS STAY PUT RON</v>
      </c>
      <c r="N1655" s="14">
        <f>INSTOCK!$I1655*INSTOCK!$K1655</f>
        <v>549.4</v>
      </c>
      <c r="O1655" s="4"/>
      <c r="P1655" s="4"/>
    </row>
    <row r="1656" ht="15.75" hidden="1" customHeight="1">
      <c r="B1656" s="8">
        <v>1972.0</v>
      </c>
      <c r="C1656" s="9">
        <v>43423.0</v>
      </c>
      <c r="D1656" s="6" t="s">
        <v>2160</v>
      </c>
      <c r="E1656" s="4">
        <v>6.1110014E9</v>
      </c>
      <c r="F1656" s="8" t="s">
        <v>2161</v>
      </c>
      <c r="G1656" s="4" t="s">
        <v>2162</v>
      </c>
      <c r="H1656" s="10" t="s">
        <v>2163</v>
      </c>
      <c r="I1656" s="10">
        <v>12.0</v>
      </c>
      <c r="J1656" s="11" t="str">
        <f>IF(D1656&lt;&gt;"",VLOOKUP(H1656,TABLEITEM,5,FALSE),"")</f>
        <v>EA</v>
      </c>
      <c r="K1656" s="12">
        <v>345.0</v>
      </c>
      <c r="L1656" s="13" t="str">
        <f>IF(D1656&lt;&gt;"",VLOOKUP(H1656,TABLEITEM,2,FALSE),"")</f>
        <v/>
      </c>
      <c r="M1656" s="13" t="str">
        <f>IF(D1656&lt;&gt;"",VLOOKUP(H1656,TABLEITEM,3,FALSE),"")</f>
        <v>ล้อยูรีเทนเหล็กหล่อ 4" หน้ายาง 40mm โครงเชื่อมล้อเป็น</v>
      </c>
      <c r="N1656" s="14">
        <f>INSTOCK!$I1656*INSTOCK!$K1656</f>
        <v>4140</v>
      </c>
      <c r="O1656" s="4"/>
      <c r="P1656" s="4"/>
    </row>
    <row r="1657" ht="15.75" hidden="1" customHeight="1">
      <c r="B1657" s="8">
        <v>1973.0</v>
      </c>
      <c r="C1657" s="9">
        <v>43423.0</v>
      </c>
      <c r="D1657" s="6" t="s">
        <v>2160</v>
      </c>
      <c r="E1657" s="4">
        <v>6.1110014E9</v>
      </c>
      <c r="F1657" s="8" t="s">
        <v>2161</v>
      </c>
      <c r="G1657" s="4" t="s">
        <v>2162</v>
      </c>
      <c r="H1657" s="10" t="s">
        <v>2164</v>
      </c>
      <c r="I1657" s="10">
        <v>12.0</v>
      </c>
      <c r="J1657" s="11" t="str">
        <f>IF(D1657&lt;&gt;"",VLOOKUP(H1657,TABLEITEM,5,FALSE),"")</f>
        <v>EA</v>
      </c>
      <c r="K1657" s="12">
        <v>315.0</v>
      </c>
      <c r="L1657" s="13" t="str">
        <f>IF(D1657&lt;&gt;"",VLOOKUP(H1657,TABLEITEM,2,FALSE),"")</f>
        <v/>
      </c>
      <c r="M1657" s="13" t="str">
        <f>IF(D1657&lt;&gt;"",VLOOKUP(H1657,TABLEITEM,3,FALSE),"")</f>
        <v>ล้อยูรีเทนเหล็กหล่อ 4" หน้ายาง 40mm โครงเชื่อมล้อตาย</v>
      </c>
      <c r="N1657" s="14">
        <f>INSTOCK!$I1657*INSTOCK!$K1657</f>
        <v>3780</v>
      </c>
      <c r="O1657" s="4"/>
      <c r="P1657" s="4"/>
    </row>
    <row r="1658" ht="15.75" hidden="1" customHeight="1">
      <c r="B1658" s="8">
        <v>1974.0</v>
      </c>
      <c r="C1658" s="9">
        <v>43423.0</v>
      </c>
      <c r="D1658" s="6" t="s">
        <v>2165</v>
      </c>
      <c r="E1658" s="4">
        <v>6.111001443E9</v>
      </c>
      <c r="F1658" s="8" t="s">
        <v>2166</v>
      </c>
      <c r="G1658" s="4" t="s">
        <v>1777</v>
      </c>
      <c r="H1658" s="10" t="s">
        <v>1778</v>
      </c>
      <c r="I1658" s="10">
        <v>330.0</v>
      </c>
      <c r="J1658" s="11" t="str">
        <f>IF(D1658&lt;&gt;"",VLOOKUP(H1658,TABLEITEM,5,FALSE),"")</f>
        <v>EA</v>
      </c>
      <c r="K1658" s="12">
        <v>1.85</v>
      </c>
      <c r="L1658" s="13" t="str">
        <f>IF(D1658&lt;&gt;"",VLOOKUP(H1658,TABLEITEM,2,FALSE),"")</f>
        <v/>
      </c>
      <c r="M1658" s="13" t="str">
        <f>IF(D1658&lt;&gt;"",VLOOKUP(H1658,TABLEITEM,3,FALSE),"")</f>
        <v>สกรูหัวจมชุบขาว M4x35</v>
      </c>
      <c r="N1658" s="14">
        <f>INSTOCK!$I1658*INSTOCK!$K1658</f>
        <v>610.5</v>
      </c>
      <c r="O1658" s="4"/>
      <c r="P1658" s="4"/>
    </row>
    <row r="1659" ht="15.75" hidden="1" customHeight="1">
      <c r="B1659" s="8">
        <v>1975.0</v>
      </c>
      <c r="C1659" s="9">
        <v>43423.0</v>
      </c>
      <c r="D1659" s="6" t="s">
        <v>2165</v>
      </c>
      <c r="E1659" s="4">
        <v>6.111001443E9</v>
      </c>
      <c r="F1659" s="8" t="s">
        <v>2166</v>
      </c>
      <c r="G1659" s="4" t="s">
        <v>1777</v>
      </c>
      <c r="H1659" s="10" t="s">
        <v>2167</v>
      </c>
      <c r="I1659" s="10">
        <v>4000.0</v>
      </c>
      <c r="J1659" s="11" t="str">
        <f>IF(D1659&lt;&gt;"",VLOOKUP(H1659,TABLEITEM,5,FALSE),"")</f>
        <v>EA</v>
      </c>
      <c r="K1659" s="12">
        <v>0.05</v>
      </c>
      <c r="L1659" s="13" t="str">
        <f>IF(D1659&lt;&gt;"",VLOOKUP(H1659,TABLEITEM,2,FALSE),"")</f>
        <v/>
      </c>
      <c r="M1659" s="13" t="str">
        <f>IF(D1659&lt;&gt;"",VLOOKUP(H1659,TABLEITEM,3,FALSE),"")</f>
        <v>แหวนอีแปะ M4  ชุบขาว</v>
      </c>
      <c r="N1659" s="14">
        <f>INSTOCK!$I1659*INSTOCK!$K1659</f>
        <v>200</v>
      </c>
      <c r="O1659" s="4" t="s">
        <v>2168</v>
      </c>
      <c r="P1659" s="4"/>
    </row>
    <row r="1660" ht="15.75" hidden="1" customHeight="1">
      <c r="B1660" s="8">
        <v>1976.0</v>
      </c>
      <c r="C1660" s="9">
        <v>43423.0</v>
      </c>
      <c r="D1660" s="6" t="s">
        <v>2165</v>
      </c>
      <c r="E1660" s="4">
        <v>6.111001443E9</v>
      </c>
      <c r="F1660" s="8" t="s">
        <v>2166</v>
      </c>
      <c r="G1660" s="4" t="s">
        <v>1777</v>
      </c>
      <c r="H1660" s="10" t="s">
        <v>2169</v>
      </c>
      <c r="I1660" s="10">
        <v>4000.0</v>
      </c>
      <c r="J1660" s="11" t="str">
        <f>IF(D1660&lt;&gt;"",VLOOKUP(H1660,TABLEITEM,5,FALSE),"")</f>
        <v>EA</v>
      </c>
      <c r="K1660" s="12">
        <v>0.3</v>
      </c>
      <c r="L1660" s="13" t="str">
        <f>IF(D1660&lt;&gt;"",VLOOKUP(H1660,TABLEITEM,2,FALSE),"")</f>
        <v/>
      </c>
      <c r="M1660" s="13" t="str">
        <f>IF(D1660&lt;&gt;"",VLOOKUP(H1660,TABLEITEM,3,FALSE),"")</f>
        <v>หัวน้อต       M4   ชุบขาว</v>
      </c>
      <c r="N1660" s="14">
        <f>INSTOCK!$I1660*INSTOCK!$K1660</f>
        <v>1200</v>
      </c>
      <c r="O1660" s="4" t="s">
        <v>2170</v>
      </c>
      <c r="P1660" s="4"/>
    </row>
    <row r="1661" ht="15.75" hidden="1" customHeight="1">
      <c r="B1661" s="8">
        <v>1977.0</v>
      </c>
      <c r="C1661" s="9">
        <v>43421.0</v>
      </c>
      <c r="D1661" s="6" t="s">
        <v>2171</v>
      </c>
      <c r="E1661" s="4"/>
      <c r="F1661" s="8" t="s">
        <v>801</v>
      </c>
      <c r="G1661" s="4" t="s">
        <v>1417</v>
      </c>
      <c r="H1661" s="10" t="s">
        <v>803</v>
      </c>
      <c r="I1661" s="10">
        <v>20.0</v>
      </c>
      <c r="J1661" s="11" t="str">
        <f>IF(D1661&lt;&gt;"",VLOOKUP(H1661,TABLEITEM,5,FALSE),"")</f>
        <v>ถัง</v>
      </c>
      <c r="K1661" s="12">
        <v>981.31</v>
      </c>
      <c r="L1661" s="13" t="str">
        <f>IF(D1661&lt;&gt;"",VLOOKUP(H1661,TABLEITEM,2,FALSE),"")</f>
        <v/>
      </c>
      <c r="M1661" s="13" t="str">
        <f>IF(D1661&lt;&gt;"",VLOOKUP(H1661,TABLEITEM,3,FALSE),"")</f>
        <v>แก๊สหุงต้ม 48กก</v>
      </c>
      <c r="N1661" s="14">
        <f>INSTOCK!$I1661*INSTOCK!$K1661</f>
        <v>19626.2</v>
      </c>
      <c r="O1661" s="4"/>
      <c r="P1661" s="4"/>
    </row>
    <row r="1662" ht="15.75" hidden="1" customHeight="1">
      <c r="B1662" s="8">
        <v>1978.0</v>
      </c>
      <c r="C1662" s="9">
        <v>43421.0</v>
      </c>
      <c r="D1662" s="6" t="s">
        <v>2172</v>
      </c>
      <c r="E1662" s="4">
        <v>6.111001457E9</v>
      </c>
      <c r="F1662" s="8" t="s">
        <v>604</v>
      </c>
      <c r="G1662" s="4" t="s">
        <v>721</v>
      </c>
      <c r="H1662" s="10" t="s">
        <v>159</v>
      </c>
      <c r="I1662" s="10">
        <v>3000.0</v>
      </c>
      <c r="J1662" s="11" t="str">
        <f>IF(D1662&lt;&gt;"",VLOOKUP(H1662,TABLEITEM,5,FALSE),"")</f>
        <v>EA</v>
      </c>
      <c r="K1662" s="12">
        <v>0.1164</v>
      </c>
      <c r="L1662" s="13" t="str">
        <f>IF(D1662&lt;&gt;"",VLOOKUP(H1662,TABLEITEM,2,FALSE),"")</f>
        <v/>
      </c>
      <c r="M1662" s="13" t="str">
        <f>IF(D1662&lt;&gt;"",VLOOKUP(H1662,TABLEITEM,3,FALSE),"")</f>
        <v>เคเบิ้ลไทร์ 4" สีขาวCT-100-2C</v>
      </c>
      <c r="N1662" s="14">
        <f>INSTOCK!$I1662*INSTOCK!$K1662</f>
        <v>349.2</v>
      </c>
      <c r="O1662" s="4" t="s">
        <v>1217</v>
      </c>
      <c r="P1662" s="4"/>
    </row>
    <row r="1663" ht="15.75" hidden="1" customHeight="1">
      <c r="B1663" s="8">
        <v>1979.0</v>
      </c>
      <c r="C1663" s="9">
        <v>43421.0</v>
      </c>
      <c r="D1663" s="6" t="s">
        <v>2172</v>
      </c>
      <c r="E1663" s="4">
        <v>6.111001457E9</v>
      </c>
      <c r="F1663" s="8" t="s">
        <v>604</v>
      </c>
      <c r="G1663" s="4" t="s">
        <v>721</v>
      </c>
      <c r="H1663" s="10" t="s">
        <v>203</v>
      </c>
      <c r="I1663" s="10">
        <v>54.0</v>
      </c>
      <c r="J1663" s="11" t="str">
        <f>IF(D1663&lt;&gt;"",VLOOKUP(H1663,TABLEITEM,5,FALSE),"")</f>
        <v>EA</v>
      </c>
      <c r="K1663" s="12">
        <v>93.12</v>
      </c>
      <c r="L1663" s="13" t="str">
        <f>IF(D1663&lt;&gt;"",VLOOKUP(H1663,TABLEITEM,2,FALSE),"")</f>
        <v/>
      </c>
      <c r="M1663" s="13" t="str">
        <f>IF(D1663&lt;&gt;"",VLOOKUP(H1663,TABLEITEM,3,FALSE),"")</f>
        <v>รางวายดัก/รางPVC 33x33 mm.</v>
      </c>
      <c r="N1663" s="14">
        <f>INSTOCK!$I1663*INSTOCK!$K1663</f>
        <v>5028.48</v>
      </c>
      <c r="O1663" s="4" t="s">
        <v>2173</v>
      </c>
      <c r="P1663" s="4"/>
    </row>
    <row r="1664" ht="15.75" hidden="1" customHeight="1">
      <c r="B1664" s="8">
        <v>1980.0</v>
      </c>
      <c r="C1664" s="9">
        <v>43421.0</v>
      </c>
      <c r="D1664" s="6">
        <v>6.11105686E8</v>
      </c>
      <c r="E1664" s="4">
        <v>6.111001459E9</v>
      </c>
      <c r="F1664" s="8" t="s">
        <v>2174</v>
      </c>
      <c r="G1664" s="4" t="s">
        <v>1130</v>
      </c>
      <c r="H1664" s="10" t="s">
        <v>1981</v>
      </c>
      <c r="I1664" s="10">
        <v>2.0</v>
      </c>
      <c r="J1664" s="11" t="str">
        <f>IF(D1664&lt;&gt;"",VLOOKUP(H1664,TABLEITEM,5,FALSE),"")</f>
        <v>EA</v>
      </c>
      <c r="K1664" s="12">
        <v>121.125</v>
      </c>
      <c r="L1664" s="13" t="str">
        <f>IF(D1664&lt;&gt;"",VLOOKUP(H1664,TABLEITEM,2,FALSE),"")</f>
        <v/>
      </c>
      <c r="M1664" s="13" t="str">
        <f>IF(D1664&lt;&gt;"",VLOOKUP(H1664,TABLEITEM,3,FALSE),"")</f>
        <v>CT30/5 MSQ40</v>
      </c>
      <c r="N1664" s="14">
        <f>INSTOCK!$I1664*INSTOCK!$K1664</f>
        <v>242.25</v>
      </c>
      <c r="O1664" s="4" t="s">
        <v>1898</v>
      </c>
      <c r="P1664" s="4"/>
    </row>
    <row r="1665" ht="15.75" hidden="1" customHeight="1">
      <c r="B1665" s="8">
        <v>1981.0</v>
      </c>
      <c r="C1665" s="9">
        <v>43421.0</v>
      </c>
      <c r="D1665" s="6">
        <v>6.11105686E8</v>
      </c>
      <c r="E1665" s="4">
        <v>6.111001459E9</v>
      </c>
      <c r="F1665" s="8" t="s">
        <v>2174</v>
      </c>
      <c r="G1665" s="4" t="s">
        <v>1130</v>
      </c>
      <c r="H1665" s="10" t="s">
        <v>2175</v>
      </c>
      <c r="I1665" s="10">
        <v>2.0</v>
      </c>
      <c r="J1665" s="11" t="str">
        <f>IF(D1665&lt;&gt;"",VLOOKUP(H1665,TABLEITEM,5,FALSE),"")</f>
        <v>EA</v>
      </c>
      <c r="K1665" s="12">
        <v>1225.0</v>
      </c>
      <c r="L1665" s="13" t="str">
        <f>IF(D1665&lt;&gt;"",VLOOKUP(H1665,TABLEITEM,2,FALSE),"")</f>
        <v/>
      </c>
      <c r="M1665" s="13" t="str">
        <f>IF(D1665&lt;&gt;"",VLOOKUP(H1665,TABLEITEM,3,FALSE),"")</f>
        <v>COUNTER H7EC-N </v>
      </c>
      <c r="N1665" s="14">
        <f>INSTOCK!$I1665*INSTOCK!$K1665</f>
        <v>2450</v>
      </c>
      <c r="O1665" s="4" t="s">
        <v>2176</v>
      </c>
      <c r="P1665" s="4"/>
    </row>
    <row r="1666" ht="15.75" hidden="1" customHeight="1">
      <c r="B1666" s="8">
        <v>1982.0</v>
      </c>
      <c r="C1666" s="9">
        <v>43421.0</v>
      </c>
      <c r="D1666" s="6">
        <v>6.11105686E8</v>
      </c>
      <c r="E1666" s="4">
        <v>6.111001459E9</v>
      </c>
      <c r="F1666" s="8" t="s">
        <v>2174</v>
      </c>
      <c r="G1666" s="4" t="s">
        <v>1130</v>
      </c>
      <c r="H1666" s="10" t="s">
        <v>2177</v>
      </c>
      <c r="I1666" s="10">
        <v>2.0</v>
      </c>
      <c r="J1666" s="11" t="str">
        <f>IF(D1666&lt;&gt;"",VLOOKUP(H1666,TABLEITEM,5,FALSE),"")</f>
        <v>EA</v>
      </c>
      <c r="K1666" s="12">
        <v>308.7</v>
      </c>
      <c r="L1666" s="13" t="str">
        <f>IF(D1666&lt;&gt;"",VLOOKUP(H1666,TABLEITEM,2,FALSE),"")</f>
        <v/>
      </c>
      <c r="M1666" s="13" t="str">
        <f>IF(D1666&lt;&gt;"",VLOOKUP(H1666,TABLEITEM,3,FALSE),"")</f>
        <v>RELAY LY4N 220/240VAC</v>
      </c>
      <c r="N1666" s="14">
        <f>INSTOCK!$I1666*INSTOCK!$K1666</f>
        <v>617.4</v>
      </c>
      <c r="O1666" s="4" t="s">
        <v>2178</v>
      </c>
      <c r="P1666" s="4"/>
    </row>
    <row r="1667" ht="15.75" hidden="1" customHeight="1">
      <c r="B1667" s="8">
        <v>1983.0</v>
      </c>
      <c r="C1667" s="9">
        <v>43421.0</v>
      </c>
      <c r="D1667" s="6">
        <v>6.11105686E8</v>
      </c>
      <c r="E1667" s="4">
        <v>6.111001459E9</v>
      </c>
      <c r="F1667" s="8" t="s">
        <v>2174</v>
      </c>
      <c r="G1667" s="4" t="s">
        <v>1130</v>
      </c>
      <c r="H1667" s="10" t="s">
        <v>2179</v>
      </c>
      <c r="I1667" s="10">
        <v>2.0</v>
      </c>
      <c r="J1667" s="11" t="str">
        <f>IF(D1667&lt;&gt;"",VLOOKUP(H1667,TABLEITEM,5,FALSE),"")</f>
        <v>EA</v>
      </c>
      <c r="K1667" s="12">
        <v>156.8</v>
      </c>
      <c r="L1667" s="13" t="str">
        <f>IF(D1667&lt;&gt;"",VLOOKUP(H1667,TABLEITEM,2,FALSE),"")</f>
        <v/>
      </c>
      <c r="M1667" s="13" t="str">
        <f>IF(D1667&lt;&gt;"",VLOOKUP(H1667,TABLEITEM,3,FALSE),"")</f>
        <v>SOCKET PTF14A-E</v>
      </c>
      <c r="N1667" s="14">
        <f>INSTOCK!$I1667*INSTOCK!$K1667</f>
        <v>313.6</v>
      </c>
      <c r="O1667" s="4" t="s">
        <v>2180</v>
      </c>
      <c r="P1667" s="4"/>
    </row>
    <row r="1668" ht="15.75" hidden="1" customHeight="1">
      <c r="B1668" s="8">
        <v>1984.0</v>
      </c>
      <c r="C1668" s="9">
        <v>43421.0</v>
      </c>
      <c r="D1668" s="6">
        <v>6.11105686E8</v>
      </c>
      <c r="E1668" s="4">
        <v>6.111001459E9</v>
      </c>
      <c r="F1668" s="8" t="s">
        <v>2174</v>
      </c>
      <c r="G1668" s="4" t="s">
        <v>1130</v>
      </c>
      <c r="H1668" s="10" t="s">
        <v>2181</v>
      </c>
      <c r="I1668" s="10">
        <v>10.0</v>
      </c>
      <c r="J1668" s="11" t="str">
        <f>IF(D1668&lt;&gt;"",VLOOKUP(H1668,TABLEITEM,5,FALSE),"")</f>
        <v>EA</v>
      </c>
      <c r="K1668" s="12">
        <v>117.0</v>
      </c>
      <c r="L1668" s="13" t="str">
        <f>IF(D1668&lt;&gt;"",VLOOKUP(H1668,TABLEITEM,2,FALSE),"")</f>
        <v/>
      </c>
      <c r="M1668" s="13" t="str">
        <f>IF(D1668&lt;&gt;"",VLOOKUP(H1668,TABLEITEM,3,FALSE),"")</f>
        <v>RELAY MKS2P 220AC</v>
      </c>
      <c r="N1668" s="14">
        <f>INSTOCK!$I1668*INSTOCK!$K1668</f>
        <v>1170</v>
      </c>
      <c r="O1668" s="4"/>
      <c r="P1668" s="4"/>
    </row>
    <row r="1669" ht="15.75" hidden="1" customHeight="1">
      <c r="B1669" s="8">
        <v>1985.0</v>
      </c>
      <c r="C1669" s="9">
        <v>43421.0</v>
      </c>
      <c r="D1669" s="6">
        <v>6.11105686E8</v>
      </c>
      <c r="E1669" s="4">
        <v>6.111001459E9</v>
      </c>
      <c r="F1669" s="8" t="s">
        <v>2174</v>
      </c>
      <c r="G1669" s="4" t="s">
        <v>1130</v>
      </c>
      <c r="H1669" s="10" t="s">
        <v>1834</v>
      </c>
      <c r="I1669" s="10">
        <v>10.0</v>
      </c>
      <c r="J1669" s="11" t="str">
        <f>IF(D1669&lt;&gt;"",VLOOKUP(H1669,TABLEITEM,5,FALSE),"")</f>
        <v>EA</v>
      </c>
      <c r="K1669" s="12">
        <v>57.82</v>
      </c>
      <c r="L1669" s="13" t="str">
        <f>IF(D1669&lt;&gt;"",VLOOKUP(H1669,TABLEITEM,2,FALSE),"")</f>
        <v/>
      </c>
      <c r="M1669" s="13" t="str">
        <f>IF(D1669&lt;&gt;"",VLOOKUP(H1669,TABLEITEM,3,FALSE),"")</f>
        <v>SOCKET PF083A-E</v>
      </c>
      <c r="N1669" s="14">
        <f>INSTOCK!$I1669*INSTOCK!$K1669</f>
        <v>578.2</v>
      </c>
      <c r="O1669" s="4" t="s">
        <v>1835</v>
      </c>
      <c r="P1669" s="4"/>
    </row>
    <row r="1670" ht="15.75" hidden="1" customHeight="1">
      <c r="B1670" s="8">
        <v>1986.0</v>
      </c>
      <c r="C1670" s="9">
        <v>43421.0</v>
      </c>
      <c r="D1670" s="6" t="s">
        <v>2182</v>
      </c>
      <c r="E1670" s="6">
        <v>6.111001445E9</v>
      </c>
      <c r="F1670" s="8" t="s">
        <v>604</v>
      </c>
      <c r="G1670" s="4" t="s">
        <v>1289</v>
      </c>
      <c r="H1670" s="10" t="s">
        <v>1303</v>
      </c>
      <c r="I1670" s="10">
        <v>50.0</v>
      </c>
      <c r="J1670" s="11" t="str">
        <f>IF(D1670&lt;&gt;"",VLOOKUP(H1670,TABLEITEM,5,FALSE),"")</f>
        <v>EA</v>
      </c>
      <c r="K1670" s="12">
        <v>9.0</v>
      </c>
      <c r="L1670" s="13" t="str">
        <f>IF(D1670&lt;&gt;"",VLOOKUP(H1670,TABLEITEM,2,FALSE),"")</f>
        <v/>
      </c>
      <c r="M1670" s="13" t="str">
        <f>IF(D1670&lt;&gt;"",VLOOKUP(H1670,TABLEITEM,3,FALSE),"")</f>
        <v>part/แป้นหน้ากันชน SM-20 ชุบนิเกิ้ล</v>
      </c>
      <c r="N1670" s="14">
        <f>INSTOCK!$I1670*INSTOCK!$K1670</f>
        <v>450</v>
      </c>
      <c r="O1670" s="4" t="s">
        <v>1298</v>
      </c>
      <c r="P1670" s="4"/>
    </row>
    <row r="1671" ht="15.75" hidden="1" customHeight="1">
      <c r="B1671" s="8">
        <v>1987.0</v>
      </c>
      <c r="C1671" s="9">
        <v>43421.0</v>
      </c>
      <c r="D1671" s="6">
        <v>6.11105685E8</v>
      </c>
      <c r="E1671" s="4">
        <v>6.111001458E9</v>
      </c>
      <c r="F1671" s="8"/>
      <c r="G1671" s="4" t="s">
        <v>1130</v>
      </c>
      <c r="H1671" s="10" t="s">
        <v>1832</v>
      </c>
      <c r="I1671" s="10">
        <v>40.0</v>
      </c>
      <c r="J1671" s="11" t="str">
        <f>IF(D1671&lt;&gt;"",VLOOKUP(H1671,TABLEITEM,5,FALSE),"")</f>
        <v>EA</v>
      </c>
      <c r="K1671" s="12">
        <v>50.0</v>
      </c>
      <c r="L1671" s="13" t="str">
        <f>IF(D1671&lt;&gt;"",VLOOKUP(H1671,TABLEITEM,2,FALSE),"")</f>
        <v/>
      </c>
      <c r="M1671" s="13" t="str">
        <f>IF(D1671&lt;&gt;"",VLOOKUP(H1671,TABLEITEM,3,FALSE),"")</f>
        <v>SOCKET PYF-14A-E</v>
      </c>
      <c r="N1671" s="14">
        <f>INSTOCK!$I1671*INSTOCK!$K1671</f>
        <v>2000</v>
      </c>
      <c r="O1671" s="4"/>
      <c r="P1671" s="4"/>
    </row>
    <row r="1672" ht="15.75" hidden="1" customHeight="1">
      <c r="B1672" s="8">
        <v>1988.0</v>
      </c>
      <c r="C1672" s="9">
        <v>43421.0</v>
      </c>
      <c r="D1672" s="6">
        <v>6.11105685E8</v>
      </c>
      <c r="E1672" s="4">
        <v>6.111001458E9</v>
      </c>
      <c r="F1672" s="8"/>
      <c r="G1672" s="4" t="s">
        <v>1130</v>
      </c>
      <c r="H1672" s="10" t="s">
        <v>1728</v>
      </c>
      <c r="I1672" s="10">
        <v>40.0</v>
      </c>
      <c r="J1672" s="11" t="str">
        <f>IF(D1672&lt;&gt;"",VLOOKUP(H1672,TABLEITEM,5,FALSE),"")</f>
        <v>EA</v>
      </c>
      <c r="K1672" s="12">
        <v>133.0</v>
      </c>
      <c r="L1672" s="13" t="str">
        <f>IF(D1672&lt;&gt;"",VLOOKUP(H1672,TABLEITEM,2,FALSE),"")</f>
        <v/>
      </c>
      <c r="M1672" s="13" t="str">
        <f>IF(D1672&lt;&gt;"",VLOOKUP(H1672,TABLEITEM,3,FALSE),"")</f>
        <v>Relay MY4N-GS 220/240VAC </v>
      </c>
      <c r="N1672" s="14">
        <f>INSTOCK!$I1672*INSTOCK!$K1672</f>
        <v>5320</v>
      </c>
      <c r="O1672" s="4"/>
      <c r="P1672" s="4"/>
    </row>
    <row r="1673" ht="15.75" hidden="1" customHeight="1">
      <c r="B1673" s="8">
        <v>1989.0</v>
      </c>
      <c r="C1673" s="9">
        <v>43421.0</v>
      </c>
      <c r="D1673" s="6">
        <v>6.11105685E8</v>
      </c>
      <c r="E1673" s="4">
        <v>6.111001458E9</v>
      </c>
      <c r="F1673" s="8"/>
      <c r="G1673" s="4" t="s">
        <v>1130</v>
      </c>
      <c r="H1673" s="10" t="s">
        <v>1739</v>
      </c>
      <c r="I1673" s="10">
        <v>5.0</v>
      </c>
      <c r="J1673" s="11" t="str">
        <f>IF(D1673&lt;&gt;"",VLOOKUP(H1673,TABLEITEM,5,FALSE),"")</f>
        <v>EA</v>
      </c>
      <c r="K1673" s="12">
        <v>114.0</v>
      </c>
      <c r="L1673" s="13" t="str">
        <f>IF(D1673&lt;&gt;"",VLOOKUP(H1673,TABLEITEM,2,FALSE),"")</f>
        <v/>
      </c>
      <c r="M1673" s="13" t="str">
        <f>IF(D1673&lt;&gt;"",VLOOKUP(H1673,TABLEITEM,3,FALSE),"")</f>
        <v>ปลั๊กคู่มีกราวWEG 15929 2P+G</v>
      </c>
      <c r="N1673" s="14">
        <f>INSTOCK!$I1673*INSTOCK!$K1673</f>
        <v>570</v>
      </c>
      <c r="O1673" s="4"/>
      <c r="P1673" s="4"/>
    </row>
    <row r="1674" ht="15.75" hidden="1" customHeight="1">
      <c r="B1674" s="8">
        <v>1990.0</v>
      </c>
      <c r="C1674" s="9">
        <v>43421.0</v>
      </c>
      <c r="D1674" s="6">
        <v>6.11105685E8</v>
      </c>
      <c r="E1674" s="4">
        <v>6.111001458E9</v>
      </c>
      <c r="F1674" s="8"/>
      <c r="G1674" s="4" t="s">
        <v>1130</v>
      </c>
      <c r="H1674" s="10" t="s">
        <v>2183</v>
      </c>
      <c r="I1674" s="10">
        <v>5.0</v>
      </c>
      <c r="J1674" s="11" t="str">
        <f>IF(D1674&lt;&gt;"",VLOOKUP(H1674,TABLEITEM,5,FALSE),"")</f>
        <v>EA</v>
      </c>
      <c r="K1674" s="12">
        <v>257.6</v>
      </c>
      <c r="L1674" s="13" t="str">
        <f>IF(D1674&lt;&gt;"",VLOOKUP(H1674,TABLEITEM,2,FALSE),"")</f>
        <v/>
      </c>
      <c r="M1674" s="13" t="str">
        <f>IF(D1674&lt;&gt;"",VLOOKUP(H1674,TABLEITEM,3,FALSE),"")</f>
        <v>ฝาพลาสติกกันน้ำ WEG-7903</v>
      </c>
      <c r="N1674" s="14">
        <f>INSTOCK!$I1674*INSTOCK!$K1674</f>
        <v>1288</v>
      </c>
      <c r="O1674" s="4" t="s">
        <v>2184</v>
      </c>
      <c r="P1674" s="4"/>
    </row>
    <row r="1675" ht="15.75" hidden="1" customHeight="1">
      <c r="B1675" s="8">
        <v>1992.0</v>
      </c>
      <c r="C1675" s="9">
        <v>43482.0</v>
      </c>
      <c r="D1675" s="6" t="s">
        <v>2185</v>
      </c>
      <c r="E1675" s="4">
        <v>6.201000072E9</v>
      </c>
      <c r="F1675" s="8" t="s">
        <v>2186</v>
      </c>
      <c r="G1675" s="4" t="s">
        <v>1446</v>
      </c>
      <c r="H1675" s="10" t="s">
        <v>2187</v>
      </c>
      <c r="I1675" s="10">
        <v>12.0</v>
      </c>
      <c r="J1675" s="11" t="str">
        <f>IF(D1675&lt;&gt;"",VLOOKUP(H1675,TABLEITEM,5,FALSE),"")</f>
        <v>EA</v>
      </c>
      <c r="K1675" s="12">
        <v>95.0</v>
      </c>
      <c r="L1675" s="13" t="str">
        <f>IF(D1675&lt;&gt;"",VLOOKUP(H1675,TABLEITEM,2,FALSE),"")</f>
        <v/>
      </c>
      <c r="M1675" s="13" t="str">
        <f>IF(D1675&lt;&gt;"",VLOOKUP(H1675,TABLEITEM,3,FALSE),"")</f>
        <v>หลอด LED/บับ 9W/PL WARMWHITE</v>
      </c>
      <c r="N1675" s="14">
        <f>INSTOCK!$I1675*INSTOCK!$K1675</f>
        <v>1140</v>
      </c>
      <c r="O1675" s="4"/>
      <c r="P1675" s="4"/>
    </row>
    <row r="1676" ht="15.75" hidden="1" customHeight="1">
      <c r="B1676" s="8">
        <v>1993.0</v>
      </c>
      <c r="C1676" s="9">
        <v>43482.0</v>
      </c>
      <c r="D1676" s="6" t="s">
        <v>2188</v>
      </c>
      <c r="E1676" s="4">
        <v>6.201000076E9</v>
      </c>
      <c r="F1676" s="8" t="s">
        <v>2189</v>
      </c>
      <c r="G1676" s="4" t="s">
        <v>1485</v>
      </c>
      <c r="H1676" s="10" t="s">
        <v>2006</v>
      </c>
      <c r="I1676" s="10">
        <v>100.0</v>
      </c>
      <c r="J1676" s="11" t="str">
        <f>IF(D1676&lt;&gt;"",VLOOKUP(H1676,TABLEITEM,5,FALSE),"")</f>
        <v>EA</v>
      </c>
      <c r="K1676" s="12">
        <v>82.0</v>
      </c>
      <c r="L1676" s="13" t="str">
        <f>IF(D1676&lt;&gt;"",VLOOKUP(H1676,TABLEITEM,2,FALSE),"")</f>
        <v/>
      </c>
      <c r="M1676" s="13" t="str">
        <f>IF(D1676&lt;&gt;"",VLOOKUP(H1676,TABLEITEM,3,FALSE),"")</f>
        <v>PILOT LIGHT LED 240V GREEN</v>
      </c>
      <c r="N1676" s="14">
        <f>INSTOCK!$I1676*INSTOCK!$K1676</f>
        <v>8200</v>
      </c>
      <c r="O1676" s="4"/>
      <c r="P1676" s="4" t="s">
        <v>1487</v>
      </c>
    </row>
    <row r="1677" ht="15.75" hidden="1" customHeight="1">
      <c r="B1677" s="8">
        <v>1994.0</v>
      </c>
      <c r="C1677" s="9">
        <v>43482.0</v>
      </c>
      <c r="D1677" s="6" t="s">
        <v>2188</v>
      </c>
      <c r="E1677" s="4">
        <v>6.201000076E9</v>
      </c>
      <c r="F1677" s="8" t="s">
        <v>2189</v>
      </c>
      <c r="G1677" s="4" t="s">
        <v>1485</v>
      </c>
      <c r="H1677" s="10" t="s">
        <v>2004</v>
      </c>
      <c r="I1677" s="10">
        <v>50.0</v>
      </c>
      <c r="J1677" s="11" t="str">
        <f>IF(D1677&lt;&gt;"",VLOOKUP(H1677,TABLEITEM,5,FALSE),"")</f>
        <v>EA</v>
      </c>
      <c r="K1677" s="12">
        <v>82.0</v>
      </c>
      <c r="L1677" s="13" t="str">
        <f>IF(D1677&lt;&gt;"",VLOOKUP(H1677,TABLEITEM,2,FALSE),"")</f>
        <v/>
      </c>
      <c r="M1677" s="13" t="str">
        <f>IF(D1677&lt;&gt;"",VLOOKUP(H1677,TABLEITEM,3,FALSE),"")</f>
        <v>PILOT LIGHT LED 240V RED</v>
      </c>
      <c r="N1677" s="14">
        <f>INSTOCK!$I1677*INSTOCK!$K1677</f>
        <v>4100</v>
      </c>
      <c r="O1677" s="4"/>
      <c r="P1677" s="4" t="s">
        <v>1487</v>
      </c>
    </row>
    <row r="1678" ht="15.75" hidden="1" customHeight="1">
      <c r="B1678" s="8">
        <v>1995.0</v>
      </c>
      <c r="C1678" s="9">
        <v>43482.0</v>
      </c>
      <c r="D1678" s="6" t="s">
        <v>2188</v>
      </c>
      <c r="E1678" s="4">
        <v>6.201000076E9</v>
      </c>
      <c r="F1678" s="8" t="s">
        <v>2189</v>
      </c>
      <c r="G1678" s="4" t="s">
        <v>1485</v>
      </c>
      <c r="H1678" s="10" t="s">
        <v>2157</v>
      </c>
      <c r="I1678" s="10">
        <v>30.0</v>
      </c>
      <c r="J1678" s="11" t="str">
        <f>IF(D1678&lt;&gt;"",VLOOKUP(H1678,TABLEITEM,5,FALSE),"")</f>
        <v>EA</v>
      </c>
      <c r="K1678" s="12">
        <v>82.0</v>
      </c>
      <c r="L1678" s="13" t="str">
        <f>IF(D1678&lt;&gt;"",VLOOKUP(H1678,TABLEITEM,2,FALSE),"")</f>
        <v/>
      </c>
      <c r="M1678" s="13" t="str">
        <f>IF(D1678&lt;&gt;"",VLOOKUP(H1678,TABLEITEM,3,FALSE),"")</f>
        <v>PILOT LIGHT LED 240V YELLOW</v>
      </c>
      <c r="N1678" s="14">
        <f>INSTOCK!$I1678*INSTOCK!$K1678</f>
        <v>2460</v>
      </c>
      <c r="O1678" s="4"/>
      <c r="P1678" s="4" t="s">
        <v>1487</v>
      </c>
    </row>
    <row r="1679" ht="15.75" hidden="1" customHeight="1">
      <c r="B1679" s="8">
        <v>1996.0</v>
      </c>
      <c r="C1679" s="9">
        <v>43482.0</v>
      </c>
      <c r="D1679" s="6" t="s">
        <v>2188</v>
      </c>
      <c r="E1679" s="4">
        <v>6.201000076E9</v>
      </c>
      <c r="F1679" s="8" t="s">
        <v>2189</v>
      </c>
      <c r="G1679" s="4" t="s">
        <v>1485</v>
      </c>
      <c r="H1679" s="10" t="s">
        <v>2190</v>
      </c>
      <c r="I1679" s="10">
        <v>50.0</v>
      </c>
      <c r="J1679" s="11" t="str">
        <f>IF(D1679&lt;&gt;"",VLOOKUP(H1679,TABLEITEM,5,FALSE),"")</f>
        <v>EA</v>
      </c>
      <c r="K1679" s="12">
        <v>108.65</v>
      </c>
      <c r="L1679" s="13" t="str">
        <f>IF(D1679&lt;&gt;"",VLOOKUP(H1679,TABLEITEM,2,FALSE),"")</f>
        <v/>
      </c>
      <c r="M1679" s="13" t="str">
        <f>IF(D1679&lt;&gt;"",VLOOKUP(H1679,TABLEITEM,3,FALSE),"")</f>
        <v>SELECTOR SWITCH BLACK 2POSITIONS 1NO</v>
      </c>
      <c r="N1679" s="14">
        <f>INSTOCK!$I1679*INSTOCK!$K1679</f>
        <v>5432.5</v>
      </c>
      <c r="O1679" s="4"/>
      <c r="P1679" s="4" t="s">
        <v>1487</v>
      </c>
    </row>
    <row r="1680" ht="15.75" hidden="1" customHeight="1">
      <c r="B1680" s="8">
        <v>1997.0</v>
      </c>
      <c r="C1680" s="9">
        <v>43482.0</v>
      </c>
      <c r="D1680" s="6" t="s">
        <v>2188</v>
      </c>
      <c r="E1680" s="4">
        <v>6.201000076E9</v>
      </c>
      <c r="F1680" s="8" t="s">
        <v>2189</v>
      </c>
      <c r="G1680" s="4" t="s">
        <v>1485</v>
      </c>
      <c r="H1680" s="10" t="s">
        <v>2191</v>
      </c>
      <c r="I1680" s="10">
        <v>50.0</v>
      </c>
      <c r="J1680" s="11" t="str">
        <f>IF(D1680&lt;&gt;"",VLOOKUP(H1680,TABLEITEM,5,FALSE),"")</f>
        <v>EA</v>
      </c>
      <c r="K1680" s="12">
        <v>108.65</v>
      </c>
      <c r="L1680" s="13" t="str">
        <f>IF(D1680&lt;&gt;"",VLOOKUP(H1680,TABLEITEM,2,FALSE),"")</f>
        <v/>
      </c>
      <c r="M1680" s="13" t="str">
        <f>IF(D1680&lt;&gt;"",VLOOKUP(H1680,TABLEITEM,3,FALSE),"")</f>
        <v>SELECTOR SWITCH BLACK 3POSITIONS 2NO</v>
      </c>
      <c r="N1680" s="14">
        <f>INSTOCK!$I1680*INSTOCK!$K1680</f>
        <v>5432.5</v>
      </c>
      <c r="O1680" s="4"/>
      <c r="P1680" s="4" t="s">
        <v>1487</v>
      </c>
    </row>
    <row r="1681" ht="15.75" hidden="1" customHeight="1">
      <c r="B1681" s="8">
        <v>1998.0</v>
      </c>
      <c r="C1681" s="9">
        <v>43481.0</v>
      </c>
      <c r="D1681" s="6" t="s">
        <v>2192</v>
      </c>
      <c r="E1681" s="4">
        <v>6.201000068E9</v>
      </c>
      <c r="F1681" s="8" t="s">
        <v>2193</v>
      </c>
      <c r="G1681" s="4" t="s">
        <v>1904</v>
      </c>
      <c r="H1681" s="10" t="s">
        <v>2194</v>
      </c>
      <c r="I1681" s="10">
        <v>1.0</v>
      </c>
      <c r="J1681" s="11" t="str">
        <f>IF(D1681&lt;&gt;"",VLOOKUP(H1681,TABLEITEM,5,FALSE),"")</f>
        <v>EA</v>
      </c>
      <c r="K1681" s="12">
        <v>1665.0</v>
      </c>
      <c r="L1681" s="13" t="str">
        <f>IF(D1681&lt;&gt;"",VLOOKUP(H1681,TABLEITEM,2,FALSE),"")</f>
        <v/>
      </c>
      <c r="M1681" s="13" t="str">
        <f>IF(D1681&lt;&gt;"",VLOOKUP(H1681,TABLEITEM,3,FALSE),"")</f>
        <v>TIMER MIL72E D120(TACTIC371.2PLUS)</v>
      </c>
      <c r="N1681" s="14">
        <f>INSTOCK!$I1681*INSTOCK!$K1681</f>
        <v>1665</v>
      </c>
      <c r="O1681" s="4" t="s">
        <v>2195</v>
      </c>
      <c r="P1681" s="4" t="s">
        <v>2196</v>
      </c>
    </row>
    <row r="1682" ht="15.75" hidden="1" customHeight="1">
      <c r="B1682" s="8">
        <v>1999.0</v>
      </c>
      <c r="C1682" s="9">
        <v>43480.0</v>
      </c>
      <c r="D1682" s="6" t="s">
        <v>2197</v>
      </c>
      <c r="E1682" s="4">
        <v>6.201000067E9</v>
      </c>
      <c r="F1682" s="8" t="s">
        <v>2198</v>
      </c>
      <c r="G1682" s="4" t="s">
        <v>1485</v>
      </c>
      <c r="H1682" s="10" t="s">
        <v>2199</v>
      </c>
      <c r="I1682" s="10">
        <v>2.0</v>
      </c>
      <c r="J1682" s="11" t="str">
        <f>IF(D1682&lt;&gt;"",VLOOKUP(H1682,TABLEITEM,5,FALSE),"")</f>
        <v>EA</v>
      </c>
      <c r="K1682" s="12">
        <v>1332.5</v>
      </c>
      <c r="L1682" s="13" t="str">
        <f>IF(D1682&lt;&gt;"",VLOOKUP(H1682,TABLEITEM,2,FALSE),"")</f>
        <v/>
      </c>
      <c r="M1682" s="13" t="str">
        <f>IF(D1682&lt;&gt;"",VLOOKUP(H1682,TABLEITEM,3,FALSE),"")</f>
        <v>GV2 CIRCUIT BREAKER MAGNETIC 25A SCREW CLAMP </v>
      </c>
      <c r="N1682" s="14">
        <f>INSTOCK!$I1682*INSTOCK!$K1682</f>
        <v>2665</v>
      </c>
      <c r="O1682" s="4"/>
      <c r="P1682" s="4"/>
    </row>
    <row r="1683" ht="15.75" hidden="1" customHeight="1">
      <c r="B1683" s="8">
        <v>2000.0</v>
      </c>
      <c r="C1683" s="9">
        <v>43480.0</v>
      </c>
      <c r="D1683" s="6" t="s">
        <v>2197</v>
      </c>
      <c r="E1683" s="4">
        <v>6.201000067E9</v>
      </c>
      <c r="F1683" s="8" t="s">
        <v>2198</v>
      </c>
      <c r="G1683" s="4" t="s">
        <v>1485</v>
      </c>
      <c r="H1683" s="10" t="s">
        <v>2200</v>
      </c>
      <c r="I1683" s="10">
        <v>2.0</v>
      </c>
      <c r="J1683" s="11" t="str">
        <f>IF(D1683&lt;&gt;"",VLOOKUP(H1683,TABLEITEM,5,FALSE),"")</f>
        <v>EA</v>
      </c>
      <c r="K1683" s="12">
        <v>323.9</v>
      </c>
      <c r="L1683" s="13" t="str">
        <f>IF(D1683&lt;&gt;"",VLOOKUP(H1683,TABLEITEM,2,FALSE),"")</f>
        <v/>
      </c>
      <c r="M1683" s="13" t="str">
        <f>IF(D1683&lt;&gt;"",VLOOKUP(H1683,TABLEITEM,3,FALSE),"")</f>
        <v>GV2&amp;GV3 AUXILIARY GVAD1010</v>
      </c>
      <c r="N1683" s="14">
        <f>INSTOCK!$I1683*INSTOCK!$K1683</f>
        <v>647.8</v>
      </c>
      <c r="O1683" s="4"/>
      <c r="P1683" s="4"/>
    </row>
    <row r="1684" ht="15.75" hidden="1" customHeight="1">
      <c r="B1684" s="8">
        <v>2001.0</v>
      </c>
      <c r="C1684" s="9">
        <v>43480.0</v>
      </c>
      <c r="D1684" s="6" t="s">
        <v>2201</v>
      </c>
      <c r="E1684" s="4">
        <v>6.20100007E9</v>
      </c>
      <c r="F1684" s="8" t="s">
        <v>2193</v>
      </c>
      <c r="G1684" s="4" t="s">
        <v>1512</v>
      </c>
      <c r="H1684" s="10" t="s">
        <v>1809</v>
      </c>
      <c r="I1684" s="10">
        <v>1.0</v>
      </c>
      <c r="J1684" s="11" t="str">
        <f>IF(D1684&lt;&gt;"",VLOOKUP(H1684,TABLEITEM,5,FALSE),"")</f>
        <v>EA</v>
      </c>
      <c r="K1684" s="12">
        <v>2218.72</v>
      </c>
      <c r="L1684" s="13" t="str">
        <f>IF(D1684&lt;&gt;"",VLOOKUP(H1684,TABLEITEM,2,FALSE),"")</f>
        <v/>
      </c>
      <c r="M1684" s="13" t="str">
        <f>IF(D1684&lt;&gt;"",VLOOKUP(H1684,TABLEITEM,3,FALSE),"")</f>
        <v>Y-D STARTERS AF CONTACTOR AF65-30-11</v>
      </c>
      <c r="N1684" s="14">
        <f>INSTOCK!$I1684*INSTOCK!$K1684</f>
        <v>2218.72</v>
      </c>
      <c r="O1684" s="4" t="s">
        <v>2202</v>
      </c>
      <c r="P1684" s="4"/>
    </row>
    <row r="1685" ht="15.75" hidden="1" customHeight="1">
      <c r="B1685" s="8">
        <v>2002.0</v>
      </c>
      <c r="C1685" s="9">
        <v>43481.0</v>
      </c>
      <c r="D1685" s="6" t="s">
        <v>2203</v>
      </c>
      <c r="E1685" s="4">
        <v>6.201000071E9</v>
      </c>
      <c r="F1685" s="8" t="s">
        <v>807</v>
      </c>
      <c r="G1685" s="4" t="s">
        <v>808</v>
      </c>
      <c r="H1685" s="10" t="s">
        <v>812</v>
      </c>
      <c r="I1685" s="10">
        <v>1.0</v>
      </c>
      <c r="J1685" s="11" t="str">
        <f>IF(D1685&lt;&gt;"",VLOOKUP(H1685,TABLEITEM,5,FALSE),"")</f>
        <v>ท่อ</v>
      </c>
      <c r="K1685" s="12">
        <v>2960.0</v>
      </c>
      <c r="L1685" s="13" t="str">
        <f>IF(D1685&lt;&gt;"",VLOOKUP(H1685,TABLEITEM,2,FALSE),"")</f>
        <v/>
      </c>
      <c r="M1685" s="13" t="str">
        <f>IF(D1685&lt;&gt;"",VLOOKUP(H1685,TABLEITEM,3,FALSE),"")</f>
        <v>ออกซิเจนเหลว ขนาด 148 คิว</v>
      </c>
      <c r="N1685" s="14">
        <f>INSTOCK!$I1685*INSTOCK!$K1685</f>
        <v>2960</v>
      </c>
      <c r="O1685" s="4"/>
      <c r="P1685" s="4"/>
    </row>
    <row r="1686" ht="15.75" hidden="1" customHeight="1">
      <c r="B1686" s="8">
        <v>2003.0</v>
      </c>
      <c r="C1686" s="9">
        <v>43481.0</v>
      </c>
      <c r="D1686" s="6" t="s">
        <v>2204</v>
      </c>
      <c r="E1686" s="4">
        <v>6.201000069E9</v>
      </c>
      <c r="F1686" s="8" t="s">
        <v>604</v>
      </c>
      <c r="G1686" s="4" t="s">
        <v>965</v>
      </c>
      <c r="H1686" s="10" t="s">
        <v>45</v>
      </c>
      <c r="I1686" s="10">
        <v>1.0</v>
      </c>
      <c r="J1686" s="11" t="str">
        <f>IF(D1686&lt;&gt;"",VLOOKUP(H1686,TABLEITEM,5,FALSE),"")</f>
        <v>กล</v>
      </c>
      <c r="K1686" s="12">
        <v>280.0</v>
      </c>
      <c r="L1686" s="13" t="str">
        <f>IF(D1686&lt;&gt;"",VLOOKUP(H1686,TABLEITEM,2,FALSE),"")</f>
        <v/>
      </c>
      <c r="M1686" s="13" t="str">
        <f>IF(D1686&lt;&gt;"",VLOOKUP(H1686,TABLEITEM,3,FALSE),"")</f>
        <v>สีโป้ว</v>
      </c>
      <c r="N1686" s="14">
        <f>INSTOCK!$I1686*INSTOCK!$K1686</f>
        <v>280</v>
      </c>
      <c r="O1686" s="4"/>
      <c r="P1686" s="4"/>
    </row>
    <row r="1687" ht="15.75" hidden="1" customHeight="1">
      <c r="B1687" s="8">
        <v>2004.0</v>
      </c>
      <c r="C1687" s="9">
        <v>43481.0</v>
      </c>
      <c r="D1687" s="6" t="s">
        <v>2204</v>
      </c>
      <c r="E1687" s="4">
        <v>6.201000069E9</v>
      </c>
      <c r="F1687" s="8" t="s">
        <v>604</v>
      </c>
      <c r="G1687" s="4" t="s">
        <v>965</v>
      </c>
      <c r="H1687" s="10" t="s">
        <v>2205</v>
      </c>
      <c r="I1687" s="10">
        <v>5.0</v>
      </c>
      <c r="J1687" s="11" t="str">
        <f>IF(D1687&lt;&gt;"",VLOOKUP(H1687,TABLEITEM,5,FALSE),"")</f>
        <v>EA</v>
      </c>
      <c r="K1687" s="12">
        <v>15.0</v>
      </c>
      <c r="L1687" s="13" t="str">
        <f>IF(D1687&lt;&gt;"",VLOOKUP(H1687,TABLEITEM,2,FALSE),"")</f>
        <v/>
      </c>
      <c r="M1687" s="13" t="str">
        <f>IF(D1687&lt;&gt;"",VLOOKUP(H1687,TABLEITEM,3,FALSE),"")</f>
        <v>ขันตักน้ำแบบมีด้าม</v>
      </c>
      <c r="N1687" s="14">
        <f>INSTOCK!$I1687*INSTOCK!$K1687</f>
        <v>75</v>
      </c>
      <c r="O1687" s="4"/>
      <c r="P1687" s="4"/>
    </row>
    <row r="1688" ht="15.75" hidden="1" customHeight="1">
      <c r="B1688" s="8">
        <v>2005.0</v>
      </c>
      <c r="C1688" s="9">
        <v>43480.0</v>
      </c>
      <c r="D1688" s="6" t="s">
        <v>2206</v>
      </c>
      <c r="E1688" s="4">
        <v>6.112001602E9</v>
      </c>
      <c r="F1688" s="8" t="s">
        <v>2207</v>
      </c>
      <c r="G1688" s="4" t="s">
        <v>2208</v>
      </c>
      <c r="H1688" s="10" t="s">
        <v>2209</v>
      </c>
      <c r="I1688" s="10">
        <v>1.0</v>
      </c>
      <c r="J1688" s="11" t="str">
        <f>IF(D1688&lt;&gt;"",VLOOKUP(H1688,TABLEITEM,5,FALSE),"")</f>
        <v>EA</v>
      </c>
      <c r="K1688" s="12">
        <v>9600.0</v>
      </c>
      <c r="L1688" s="13" t="str">
        <f>IF(D1688&lt;&gt;"",VLOOKUP(H1688,TABLEITEM,2,FALSE),"")</f>
        <v/>
      </c>
      <c r="M1688" s="13" t="str">
        <f>IF(D1688&lt;&gt;"",VLOOKUP(H1688,TABLEITEM,3,FALSE),"")</f>
        <v>AN ใบมีดบน PUNCH</v>
      </c>
      <c r="N1688" s="14">
        <f>INSTOCK!$I1688*INSTOCK!$K1688</f>
        <v>9600</v>
      </c>
      <c r="O1688" s="4"/>
      <c r="P1688" s="4"/>
    </row>
    <row r="1689" ht="15.75" hidden="1" customHeight="1">
      <c r="B1689" s="8">
        <v>2006.0</v>
      </c>
      <c r="C1689" s="9">
        <v>43480.0</v>
      </c>
      <c r="D1689" s="6" t="s">
        <v>2206</v>
      </c>
      <c r="E1689" s="4">
        <v>6.112001602E9</v>
      </c>
      <c r="F1689" s="8" t="s">
        <v>2207</v>
      </c>
      <c r="G1689" s="4" t="s">
        <v>2208</v>
      </c>
      <c r="H1689" s="10" t="s">
        <v>2210</v>
      </c>
      <c r="I1689" s="10">
        <v>1.0</v>
      </c>
      <c r="J1689" s="11" t="str">
        <f>IF(D1689&lt;&gt;"",VLOOKUP(H1689,TABLEITEM,5,FALSE),"")</f>
        <v>EA</v>
      </c>
      <c r="K1689" s="12">
        <v>8700.0</v>
      </c>
      <c r="L1689" s="13" t="str">
        <f>IF(D1689&lt;&gt;"",VLOOKUP(H1689,TABLEITEM,2,FALSE),"")</f>
        <v/>
      </c>
      <c r="M1689" s="13" t="str">
        <f>IF(D1689&lt;&gt;"",VLOOKUP(H1689,TABLEITEM,3,FALSE),"")</f>
        <v>AN ใบมีดล่าง DIE</v>
      </c>
      <c r="N1689" s="14">
        <f>INSTOCK!$I1689*INSTOCK!$K1689</f>
        <v>8700</v>
      </c>
      <c r="O1689" s="4"/>
      <c r="P1689" s="4"/>
    </row>
    <row r="1690" ht="15.75" hidden="1" customHeight="1">
      <c r="B1690" s="8">
        <v>2007.0</v>
      </c>
      <c r="C1690" s="9">
        <v>43480.0</v>
      </c>
      <c r="D1690" s="6" t="s">
        <v>2206</v>
      </c>
      <c r="E1690" s="4">
        <v>6.112001602E9</v>
      </c>
      <c r="F1690" s="8" t="s">
        <v>2207</v>
      </c>
      <c r="G1690" s="4" t="s">
        <v>2208</v>
      </c>
      <c r="H1690" s="10" t="s">
        <v>2211</v>
      </c>
      <c r="I1690" s="10">
        <v>2.0</v>
      </c>
      <c r="J1690" s="11" t="str">
        <f>IF(D1690&lt;&gt;"",VLOOKUP(H1690,TABLEITEM,5,FALSE),"")</f>
        <v>EA</v>
      </c>
      <c r="K1690" s="12">
        <v>6300.0</v>
      </c>
      <c r="L1690" s="13" t="str">
        <f>IF(D1690&lt;&gt;"",VLOOKUP(H1690,TABLEITEM,2,FALSE),"")</f>
        <v/>
      </c>
      <c r="M1690" s="13" t="str">
        <f>IF(D1690&lt;&gt;"",VLOOKUP(H1690,TABLEITEM,3,FALSE),"")</f>
        <v>AH 10C 0.8mm PUNCH&amp;DIE</v>
      </c>
      <c r="N1690" s="14">
        <f>INSTOCK!$I1690*INSTOCK!$K1690</f>
        <v>12600</v>
      </c>
      <c r="O1690" s="4"/>
      <c r="P1690" s="4"/>
    </row>
    <row r="1691" ht="15.75" hidden="1" customHeight="1">
      <c r="B1691" s="8">
        <v>2008.0</v>
      </c>
      <c r="C1691" s="9">
        <v>43480.0</v>
      </c>
      <c r="D1691" s="6" t="s">
        <v>2206</v>
      </c>
      <c r="E1691" s="4">
        <v>6.112001602E9</v>
      </c>
      <c r="F1691" s="8" t="s">
        <v>2207</v>
      </c>
      <c r="G1691" s="4" t="s">
        <v>2208</v>
      </c>
      <c r="H1691" s="10" t="s">
        <v>2212</v>
      </c>
      <c r="I1691" s="10">
        <v>1.0</v>
      </c>
      <c r="J1691" s="11" t="str">
        <f>IF(D1691&lt;&gt;"",VLOOKUP(H1691,TABLEITEM,5,FALSE),"")</f>
        <v>EA</v>
      </c>
      <c r="K1691" s="12">
        <v>4200.0</v>
      </c>
      <c r="L1691" s="13" t="str">
        <f>IF(D1691&lt;&gt;"",VLOOKUP(H1691,TABLEITEM,2,FALSE),"")</f>
        <v/>
      </c>
      <c r="M1691" s="13" t="str">
        <f>IF(D1691&lt;&gt;"",VLOOKUP(H1691,TABLEITEM,3,FALSE),"")</f>
        <v>AH 12PUNCH</v>
      </c>
      <c r="N1691" s="14">
        <f>INSTOCK!$I1691*INSTOCK!$K1691</f>
        <v>4200</v>
      </c>
      <c r="O1691" s="4"/>
      <c r="P1691" s="4"/>
    </row>
    <row r="1692" ht="15.75" hidden="1" customHeight="1">
      <c r="B1692" s="8">
        <v>2009.0</v>
      </c>
      <c r="C1692" s="9">
        <v>43480.0</v>
      </c>
      <c r="D1692" s="6" t="s">
        <v>2206</v>
      </c>
      <c r="E1692" s="4">
        <v>6.112001602E9</v>
      </c>
      <c r="F1692" s="8" t="s">
        <v>2207</v>
      </c>
      <c r="G1692" s="4" t="s">
        <v>2208</v>
      </c>
      <c r="H1692" s="10" t="s">
        <v>2213</v>
      </c>
      <c r="I1692" s="10">
        <v>2.0</v>
      </c>
      <c r="J1692" s="11" t="str">
        <f>IF(D1692&lt;&gt;"",VLOOKUP(H1692,TABLEITEM,5,FALSE),"")</f>
        <v>EA</v>
      </c>
      <c r="K1692" s="12">
        <v>450.0</v>
      </c>
      <c r="L1692" s="13" t="str">
        <f>IF(D1692&lt;&gt;"",VLOOKUP(H1692,TABLEITEM,2,FALSE),"")</f>
        <v/>
      </c>
      <c r="M1692" s="13" t="str">
        <f>IF(D1692&lt;&gt;"",VLOOKUP(H1692,TABLEITEM,3,FALSE),"")</f>
        <v>AH UROTHANC</v>
      </c>
      <c r="N1692" s="14">
        <f>INSTOCK!$I1692*INSTOCK!$K1692</f>
        <v>900</v>
      </c>
      <c r="O1692" s="4"/>
      <c r="P1692" s="4"/>
    </row>
    <row r="1693" ht="15.75" hidden="1" customHeight="1">
      <c r="B1693" s="8">
        <v>2010.0</v>
      </c>
      <c r="C1693" s="9">
        <v>43480.0</v>
      </c>
      <c r="D1693" s="6" t="s">
        <v>2206</v>
      </c>
      <c r="E1693" s="4">
        <v>6.112001602E9</v>
      </c>
      <c r="F1693" s="8" t="s">
        <v>2207</v>
      </c>
      <c r="G1693" s="4" t="s">
        <v>2208</v>
      </c>
      <c r="H1693" s="10" t="s">
        <v>2214</v>
      </c>
      <c r="I1693" s="10">
        <v>2.0</v>
      </c>
      <c r="J1693" s="11" t="str">
        <f>IF(D1693&lt;&gt;"",VLOOKUP(H1693,TABLEITEM,5,FALSE),"")</f>
        <v>EA</v>
      </c>
      <c r="K1693" s="12">
        <v>450.0</v>
      </c>
      <c r="L1693" s="13" t="str">
        <f>IF(D1693&lt;&gt;"",VLOOKUP(H1693,TABLEITEM,2,FALSE),"")</f>
        <v/>
      </c>
      <c r="M1693" s="13" t="str">
        <f>IF(D1693&lt;&gt;"",VLOOKUP(H1693,TABLEITEM,3,FALSE),"")</f>
        <v>AH SPRING</v>
      </c>
      <c r="N1693" s="14">
        <f>INSTOCK!$I1693*INSTOCK!$K1693</f>
        <v>900</v>
      </c>
      <c r="O1693" s="4"/>
      <c r="P1693" s="4"/>
    </row>
    <row r="1694" ht="15.75" hidden="1" customHeight="1">
      <c r="B1694" s="8">
        <v>2011.0</v>
      </c>
      <c r="C1694" s="9">
        <v>43482.0</v>
      </c>
      <c r="D1694" s="6" t="s">
        <v>2215</v>
      </c>
      <c r="E1694" s="4">
        <v>6.201000023E9</v>
      </c>
      <c r="F1694" s="8" t="s">
        <v>2216</v>
      </c>
      <c r="G1694" s="4" t="s">
        <v>2217</v>
      </c>
      <c r="H1694" s="10" t="s">
        <v>2218</v>
      </c>
      <c r="I1694" s="10">
        <v>1.0</v>
      </c>
      <c r="J1694" s="11" t="str">
        <f>IF(D1694&lt;&gt;"",VLOOKUP(H1694,TABLEITEM,5,FALSE),"")</f>
        <v>EA</v>
      </c>
      <c r="K1694" s="12">
        <v>630.0</v>
      </c>
      <c r="L1694" s="13" t="str">
        <f>IF(D1694&lt;&gt;"",VLOOKUP(H1694,TABLEITEM,2,FALSE),"")</f>
        <v/>
      </c>
      <c r="M1694" s="13" t="str">
        <f>IF(D1694&lt;&gt;"",VLOOKUP(H1694,TABLEITEM,3,FALSE),"")</f>
        <v>Vernier Caliper</v>
      </c>
      <c r="N1694" s="14">
        <f>INSTOCK!$I1694*INSTOCK!$K1694</f>
        <v>630</v>
      </c>
      <c r="O1694" s="4" t="s">
        <v>2219</v>
      </c>
      <c r="P1694" s="4"/>
    </row>
    <row r="1695" ht="15.75" hidden="1" customHeight="1">
      <c r="B1695" s="8">
        <v>2012.0</v>
      </c>
      <c r="C1695" s="9">
        <v>43482.0</v>
      </c>
      <c r="D1695" s="6" t="s">
        <v>2215</v>
      </c>
      <c r="E1695" s="4">
        <v>6.201000023E9</v>
      </c>
      <c r="F1695" s="8" t="s">
        <v>2216</v>
      </c>
      <c r="G1695" s="4" t="s">
        <v>2217</v>
      </c>
      <c r="H1695" s="10" t="s">
        <v>2220</v>
      </c>
      <c r="I1695" s="10">
        <v>1.0</v>
      </c>
      <c r="J1695" s="11" t="str">
        <f>IF(D1695&lt;&gt;"",VLOOKUP(H1695,TABLEITEM,5,FALSE),"")</f>
        <v>EA</v>
      </c>
      <c r="K1695" s="12">
        <v>1080.0</v>
      </c>
      <c r="L1695" s="13" t="str">
        <f>IF(D1695&lt;&gt;"",VLOOKUP(H1695,TABLEITEM,2,FALSE),"")</f>
        <v/>
      </c>
      <c r="M1695" s="13" t="str">
        <f>IF(D1695&lt;&gt;"",VLOOKUP(H1695,TABLEITEM,3,FALSE),"")</f>
        <v>Torque Wrench</v>
      </c>
      <c r="N1695" s="14">
        <f>INSTOCK!$I1695*INSTOCK!$K1695</f>
        <v>1080</v>
      </c>
      <c r="O1695" s="4" t="s">
        <v>2221</v>
      </c>
      <c r="P1695" s="4"/>
    </row>
    <row r="1696" ht="15.75" hidden="1" customHeight="1">
      <c r="B1696" s="8">
        <v>2013.0</v>
      </c>
      <c r="C1696" s="9">
        <v>43482.0</v>
      </c>
      <c r="D1696" s="6" t="s">
        <v>2215</v>
      </c>
      <c r="E1696" s="4">
        <v>6.201000023E9</v>
      </c>
      <c r="F1696" s="8" t="s">
        <v>2216</v>
      </c>
      <c r="G1696" s="4" t="s">
        <v>2217</v>
      </c>
      <c r="H1696" s="10" t="s">
        <v>2222</v>
      </c>
      <c r="I1696" s="10">
        <v>1.0</v>
      </c>
      <c r="J1696" s="11" t="str">
        <f>IF(D1696&lt;&gt;"",VLOOKUP(H1696,TABLEITEM,5,FALSE),"")</f>
        <v>EA</v>
      </c>
      <c r="K1696" s="12">
        <v>2250.0</v>
      </c>
      <c r="L1696" s="13" t="str">
        <f>IF(D1696&lt;&gt;"",VLOOKUP(H1696,TABLEITEM,2,FALSE),"")</f>
        <v/>
      </c>
      <c r="M1696" s="13" t="str">
        <f>IF(D1696&lt;&gt;"",VLOOKUP(H1696,TABLEITEM,3,FALSE),"")</f>
        <v>Insulqation Tester</v>
      </c>
      <c r="N1696" s="14">
        <f>INSTOCK!$I1696*INSTOCK!$K1696</f>
        <v>2250</v>
      </c>
      <c r="O1696" s="4" t="s">
        <v>2223</v>
      </c>
      <c r="P1696" s="4"/>
    </row>
    <row r="1697" ht="15.75" hidden="1" customHeight="1">
      <c r="B1697" s="8">
        <v>2014.0</v>
      </c>
      <c r="C1697" s="9">
        <v>43482.0</v>
      </c>
      <c r="D1697" s="6" t="s">
        <v>2215</v>
      </c>
      <c r="E1697" s="4">
        <v>6.201000023E9</v>
      </c>
      <c r="F1697" s="8" t="s">
        <v>2216</v>
      </c>
      <c r="G1697" s="4" t="s">
        <v>2217</v>
      </c>
      <c r="H1697" s="10" t="s">
        <v>2224</v>
      </c>
      <c r="I1697" s="10">
        <v>1.0</v>
      </c>
      <c r="J1697" s="11" t="str">
        <f>IF(D1697&lt;&gt;"",VLOOKUP(H1697,TABLEITEM,5,FALSE),"")</f>
        <v/>
      </c>
      <c r="K1697" s="12">
        <v>1800.0</v>
      </c>
      <c r="L1697" s="13" t="str">
        <f>IF(D1697&lt;&gt;"",VLOOKUP(H1697,TABLEITEM,2,FALSE),"")</f>
        <v/>
      </c>
      <c r="M1697" s="13" t="str">
        <f>IF(D1697&lt;&gt;"",VLOOKUP(H1697,TABLEITEM,3,FALSE),"")</f>
        <v>True RMS Multimeter</v>
      </c>
      <c r="N1697" s="14">
        <f>INSTOCK!$I1697*INSTOCK!$K1697</f>
        <v>1800</v>
      </c>
      <c r="O1697" s="4" t="s">
        <v>2225</v>
      </c>
      <c r="P1697" s="4"/>
    </row>
    <row r="1698" ht="15.75" hidden="1" customHeight="1">
      <c r="B1698" s="8">
        <v>2015.0</v>
      </c>
      <c r="C1698" s="9">
        <v>43482.0</v>
      </c>
      <c r="D1698" s="6" t="s">
        <v>2215</v>
      </c>
      <c r="E1698" s="4">
        <v>6.201000023E9</v>
      </c>
      <c r="F1698" s="8" t="s">
        <v>2216</v>
      </c>
      <c r="G1698" s="4" t="s">
        <v>2217</v>
      </c>
      <c r="H1698" s="10" t="s">
        <v>2226</v>
      </c>
      <c r="I1698" s="10">
        <v>1.0</v>
      </c>
      <c r="J1698" s="11" t="str">
        <f>IF(D1698&lt;&gt;"",VLOOKUP(H1698,TABLEITEM,5,FALSE),"")</f>
        <v/>
      </c>
      <c r="K1698" s="12">
        <v>2250.0</v>
      </c>
      <c r="L1698" s="13" t="str">
        <f>IF(D1698&lt;&gt;"",VLOOKUP(H1698,TABLEITEM,2,FALSE),"")</f>
        <v/>
      </c>
      <c r="M1698" s="13" t="str">
        <f>IF(D1698&lt;&gt;"",VLOOKUP(H1698,TABLEITEM,3,FALSE),"")</f>
        <v>Withsta nding Hitester</v>
      </c>
      <c r="N1698" s="14">
        <f>INSTOCK!$I1698*INSTOCK!$K1698</f>
        <v>2250</v>
      </c>
      <c r="O1698" s="4" t="s">
        <v>2223</v>
      </c>
      <c r="P1698" s="4"/>
    </row>
    <row r="1699" ht="15.75" hidden="1" customHeight="1">
      <c r="B1699" s="8">
        <v>2016.0</v>
      </c>
      <c r="C1699" s="9">
        <v>43482.0</v>
      </c>
      <c r="D1699" s="6" t="s">
        <v>2227</v>
      </c>
      <c r="E1699" s="4">
        <v>6.201000051E9</v>
      </c>
      <c r="F1699" s="8" t="s">
        <v>604</v>
      </c>
      <c r="G1699" s="4" t="s">
        <v>1777</v>
      </c>
      <c r="H1699" s="10" t="s">
        <v>2228</v>
      </c>
      <c r="I1699" s="10">
        <v>2000.0</v>
      </c>
      <c r="J1699" s="11" t="str">
        <f>IF(D1699&lt;&gt;"",VLOOKUP(H1699,TABLEITEM,5,FALSE),"")</f>
        <v>EA</v>
      </c>
      <c r="K1699" s="12">
        <v>0.3</v>
      </c>
      <c r="L1699" s="13" t="str">
        <f>IF(D1699&lt;&gt;"",VLOOKUP(H1699,TABLEITEM,2,FALSE),"")</f>
        <v/>
      </c>
      <c r="M1699" s="13" t="str">
        <f>IF(D1699&lt;&gt;"",VLOOKUP(H1699,TABLEITEM,3,FALSE),"")</f>
        <v>หัวน้อต       M5   ชุบขาว</v>
      </c>
      <c r="N1699" s="14">
        <f>INSTOCK!$I1699*INSTOCK!$K1699</f>
        <v>600</v>
      </c>
      <c r="O1699" s="4" t="s">
        <v>2170</v>
      </c>
      <c r="P1699" s="4"/>
    </row>
    <row r="1700" ht="15.75" hidden="1" customHeight="1">
      <c r="B1700" s="8">
        <v>2017.0</v>
      </c>
      <c r="C1700" s="9">
        <v>43482.0</v>
      </c>
      <c r="D1700" s="6" t="s">
        <v>2229</v>
      </c>
      <c r="E1700" s="4">
        <v>6.201000077E9</v>
      </c>
      <c r="F1700" s="8" t="s">
        <v>604</v>
      </c>
      <c r="G1700" s="4" t="s">
        <v>1501</v>
      </c>
      <c r="H1700" s="10" t="s">
        <v>1894</v>
      </c>
      <c r="I1700" s="10">
        <v>100.0</v>
      </c>
      <c r="J1700" s="11" t="str">
        <f>IF(D1700&lt;&gt;"",VLOOKUP(H1700,TABLEITEM,5,FALSE),"")</f>
        <v>EA</v>
      </c>
      <c r="K1700" s="12">
        <v>70.0</v>
      </c>
      <c r="L1700" s="13" t="str">
        <f>IF(D1700&lt;&gt;"",VLOOKUP(H1700,TABLEITEM,2,FALSE),"")</f>
        <v/>
      </c>
      <c r="M1700" s="13" t="str">
        <f>IF(D1700&lt;&gt;"",VLOOKUP(H1700,TABLEITEM,3,FALSE),"")</f>
        <v>FUSE CONTROL 1P 10x38 4A</v>
      </c>
      <c r="N1700" s="14">
        <f>INSTOCK!$I1700*INSTOCK!$K1700</f>
        <v>7000</v>
      </c>
      <c r="O1700" s="4"/>
      <c r="P1700" s="4" t="s">
        <v>1504</v>
      </c>
    </row>
    <row r="1701" ht="15.75" hidden="1" customHeight="1">
      <c r="B1701" s="8">
        <v>2018.0</v>
      </c>
      <c r="C1701" s="9">
        <v>43482.0</v>
      </c>
      <c r="D1701" s="6">
        <v>6.20104431E8</v>
      </c>
      <c r="E1701" s="4">
        <v>6.201000082E9</v>
      </c>
      <c r="F1701" s="8" t="s">
        <v>2230</v>
      </c>
      <c r="G1701" s="4" t="s">
        <v>1130</v>
      </c>
      <c r="H1701" s="10" t="s">
        <v>2177</v>
      </c>
      <c r="I1701" s="10">
        <v>23.0</v>
      </c>
      <c r="J1701" s="11" t="str">
        <f>IF(D1701&lt;&gt;"",VLOOKUP(H1701,TABLEITEM,5,FALSE),"")</f>
        <v>EA</v>
      </c>
      <c r="K1701" s="12">
        <v>308.7</v>
      </c>
      <c r="L1701" s="13" t="str">
        <f>IF(D1701&lt;&gt;"",VLOOKUP(H1701,TABLEITEM,2,FALSE),"")</f>
        <v/>
      </c>
      <c r="M1701" s="13" t="str">
        <f>IF(D1701&lt;&gt;"",VLOOKUP(H1701,TABLEITEM,3,FALSE),"")</f>
        <v>RELAY LY4N 220/240VAC</v>
      </c>
      <c r="N1701" s="14">
        <f>INSTOCK!$I1701*INSTOCK!$K1701</f>
        <v>7100.1</v>
      </c>
      <c r="O1701" s="4" t="s">
        <v>2178</v>
      </c>
      <c r="P1701" s="4" t="s">
        <v>2231</v>
      </c>
    </row>
    <row r="1702" ht="15.75" hidden="1" customHeight="1">
      <c r="B1702" s="8">
        <v>2019.0</v>
      </c>
      <c r="C1702" s="9">
        <v>43482.0</v>
      </c>
      <c r="D1702" s="6">
        <v>6.20104431E8</v>
      </c>
      <c r="E1702" s="4">
        <v>6.201000082E9</v>
      </c>
      <c r="F1702" s="8" t="s">
        <v>2230</v>
      </c>
      <c r="G1702" s="4" t="s">
        <v>1130</v>
      </c>
      <c r="H1702" s="10" t="s">
        <v>2179</v>
      </c>
      <c r="I1702" s="10">
        <v>23.0</v>
      </c>
      <c r="J1702" s="11" t="str">
        <f>IF(D1702&lt;&gt;"",VLOOKUP(H1702,TABLEITEM,5,FALSE),"")</f>
        <v>EA</v>
      </c>
      <c r="K1702" s="12">
        <v>156.8</v>
      </c>
      <c r="L1702" s="13" t="str">
        <f>IF(D1702&lt;&gt;"",VLOOKUP(H1702,TABLEITEM,2,FALSE),"")</f>
        <v/>
      </c>
      <c r="M1702" s="13" t="str">
        <f>IF(D1702&lt;&gt;"",VLOOKUP(H1702,TABLEITEM,3,FALSE),"")</f>
        <v>SOCKET PTF14A-E</v>
      </c>
      <c r="N1702" s="14">
        <f>INSTOCK!$I1702*INSTOCK!$K1702</f>
        <v>3606.4</v>
      </c>
      <c r="O1702" s="4" t="s">
        <v>2180</v>
      </c>
      <c r="P1702" s="4" t="s">
        <v>2231</v>
      </c>
    </row>
    <row r="1703" ht="15.75" hidden="1" customHeight="1">
      <c r="B1703" s="8">
        <v>2020.0</v>
      </c>
      <c r="C1703" s="9">
        <v>43482.0</v>
      </c>
      <c r="D1703" s="6" t="s">
        <v>2232</v>
      </c>
      <c r="E1703" s="4">
        <v>6.201000075E9</v>
      </c>
      <c r="F1703" s="8" t="s">
        <v>2233</v>
      </c>
      <c r="G1703" s="4" t="s">
        <v>1904</v>
      </c>
      <c r="H1703" s="10" t="s">
        <v>2194</v>
      </c>
      <c r="I1703" s="10">
        <v>3.0</v>
      </c>
      <c r="J1703" s="11" t="str">
        <f>IF(D1703&lt;&gt;"",VLOOKUP(H1703,TABLEITEM,5,FALSE),"")</f>
        <v>EA</v>
      </c>
      <c r="K1703" s="12">
        <v>1665.0</v>
      </c>
      <c r="L1703" s="13" t="str">
        <f>IF(D1703&lt;&gt;"",VLOOKUP(H1703,TABLEITEM,2,FALSE),"")</f>
        <v/>
      </c>
      <c r="M1703" s="13" t="str">
        <f>IF(D1703&lt;&gt;"",VLOOKUP(H1703,TABLEITEM,3,FALSE),"")</f>
        <v>TIMER MIL72E D120(TACTIC371.2PLUS)</v>
      </c>
      <c r="N1703" s="14">
        <f>INSTOCK!$I1703*INSTOCK!$K1703</f>
        <v>4995</v>
      </c>
      <c r="O1703" s="4" t="s">
        <v>2195</v>
      </c>
      <c r="P1703" s="4"/>
    </row>
    <row r="1704" ht="15.75" hidden="1" customHeight="1">
      <c r="B1704" s="8">
        <v>2021.0</v>
      </c>
      <c r="C1704" s="9">
        <v>43467.0</v>
      </c>
      <c r="D1704" s="6">
        <v>6.20100151E8</v>
      </c>
      <c r="E1704" s="4">
        <v>6.112001679E9</v>
      </c>
      <c r="F1704" s="8" t="s">
        <v>604</v>
      </c>
      <c r="G1704" s="4" t="s">
        <v>1130</v>
      </c>
      <c r="H1704" s="10" t="s">
        <v>248</v>
      </c>
      <c r="I1704" s="10">
        <v>2500.0</v>
      </c>
      <c r="J1704" s="11" t="str">
        <f>IF(D1704&lt;&gt;"",VLOOKUP(H1704,TABLEITEM,5,FALSE),"")</f>
        <v>EA</v>
      </c>
      <c r="K1704" s="12">
        <v>0.63</v>
      </c>
      <c r="L1704" s="13" t="str">
        <f>IF(D1704&lt;&gt;"",VLOOKUP(H1704,TABLEITEM,2,FALSE),"")</f>
        <v/>
      </c>
      <c r="M1704" s="13" t="str">
        <f>IF(D1704&lt;&gt;"",VLOOKUP(H1704,TABLEITEM,3,FALSE),"")</f>
        <v>หางปลาแฉกเปลือย Y2.5-4S</v>
      </c>
      <c r="N1704" s="14">
        <f>INSTOCK!$I1704*INSTOCK!$K1704</f>
        <v>1575</v>
      </c>
      <c r="O1704" s="4" t="s">
        <v>1830</v>
      </c>
      <c r="P1704" s="4" t="s">
        <v>1831</v>
      </c>
    </row>
    <row r="1705" ht="15.75" hidden="1" customHeight="1">
      <c r="B1705" s="8">
        <v>2022.0</v>
      </c>
      <c r="C1705" s="9">
        <v>43467.0</v>
      </c>
      <c r="D1705" s="6">
        <v>6.20100151E8</v>
      </c>
      <c r="E1705" s="4">
        <v>6.112001679E9</v>
      </c>
      <c r="F1705" s="8" t="s">
        <v>604</v>
      </c>
      <c r="G1705" s="4" t="s">
        <v>1130</v>
      </c>
      <c r="H1705" s="10" t="s">
        <v>300</v>
      </c>
      <c r="I1705" s="10">
        <v>300.0</v>
      </c>
      <c r="J1705" s="11" t="str">
        <f>IF(D1705&lt;&gt;"",VLOOKUP(H1705,TABLEITEM,5,FALSE),"")</f>
        <v>EA</v>
      </c>
      <c r="K1705" s="12">
        <v>5.525</v>
      </c>
      <c r="L1705" s="13" t="str">
        <f>IF(D1705&lt;&gt;"",VLOOKUP(H1705,TABLEITEM,2,FALSE),"")</f>
        <v/>
      </c>
      <c r="M1705" s="13" t="str">
        <f>IF(D1705&lt;&gt;"",VLOOKUP(H1705,TABLEITEM,3,FALSE),"")</f>
        <v>หางปลากลมเปลือย 22-8</v>
      </c>
      <c r="N1705" s="14">
        <f>INSTOCK!$I1705*INSTOCK!$K1705</f>
        <v>1657.5</v>
      </c>
      <c r="O1705" s="4" t="s">
        <v>1533</v>
      </c>
      <c r="P1705" s="4" t="s">
        <v>1532</v>
      </c>
    </row>
    <row r="1706" ht="15.75" hidden="1" customHeight="1">
      <c r="B1706" s="8">
        <v>2023.0</v>
      </c>
      <c r="C1706" s="9">
        <v>43479.0</v>
      </c>
      <c r="D1706" s="6" t="s">
        <v>2234</v>
      </c>
      <c r="E1706" s="4">
        <v>6.201000063E9</v>
      </c>
      <c r="F1706" s="8" t="s">
        <v>2235</v>
      </c>
      <c r="G1706" s="4" t="s">
        <v>1596</v>
      </c>
      <c r="H1706" s="10" t="s">
        <v>2236</v>
      </c>
      <c r="I1706" s="10">
        <v>1.0</v>
      </c>
      <c r="J1706" s="11" t="str">
        <f>IF(D1706&lt;&gt;"",VLOOKUP(H1706,TABLEITEM,5,FALSE),"")</f>
        <v>EA</v>
      </c>
      <c r="K1706" s="12">
        <v>18954.0</v>
      </c>
      <c r="L1706" s="13" t="str">
        <f>IF(D1706&lt;&gt;"",VLOOKUP(H1706,TABLEITEM,2,FALSE),"")</f>
        <v/>
      </c>
      <c r="M1706" s="13" t="str">
        <f>IF(D1706&lt;&gt;"",VLOOKUP(H1706,TABLEITEM,3,FALSE),"")</f>
        <v>MECHANIEAL INTERLOCK TYPE A FIXED E2.2</v>
      </c>
      <c r="N1706" s="14">
        <f>INSTOCK!$I1706*INSTOCK!$K1706</f>
        <v>18954</v>
      </c>
      <c r="O1706" s="4" t="s">
        <v>2237</v>
      </c>
      <c r="P1706" s="4"/>
    </row>
    <row r="1707" ht="15.75" hidden="1" customHeight="1">
      <c r="B1707" s="8">
        <v>2024.0</v>
      </c>
      <c r="C1707" s="9">
        <v>43482.0</v>
      </c>
      <c r="D1707" s="6" t="s">
        <v>2238</v>
      </c>
      <c r="E1707" s="4" t="s">
        <v>2239</v>
      </c>
      <c r="F1707" s="8" t="s">
        <v>2240</v>
      </c>
      <c r="G1707" s="4" t="s">
        <v>1596</v>
      </c>
      <c r="H1707" s="10" t="s">
        <v>2241</v>
      </c>
      <c r="I1707" s="10">
        <v>23.0</v>
      </c>
      <c r="J1707" s="11" t="str">
        <f>IF(D1707&lt;&gt;"",VLOOKUP(H1707,TABLEITEM,5,FALSE),"")</f>
        <v>EA</v>
      </c>
      <c r="K1707" s="12">
        <v>286.0</v>
      </c>
      <c r="L1707" s="13" t="str">
        <f>IF(D1707&lt;&gt;"",VLOOKUP(H1707,TABLEITEM,2,FALSE),"")</f>
        <v/>
      </c>
      <c r="M1707" s="13" t="str">
        <f>IF(D1707&lt;&gt;"",VLOOKUP(H1707,TABLEITEM,3,FALSE),"")</f>
        <v>MCB 2P 10A 10KA</v>
      </c>
      <c r="N1707" s="14">
        <f>INSTOCK!$I1707*INSTOCK!$K1707</f>
        <v>6578</v>
      </c>
      <c r="O1707" s="4" t="s">
        <v>2035</v>
      </c>
      <c r="P1707" s="4"/>
    </row>
    <row r="1708" ht="15.75" hidden="1" customHeight="1">
      <c r="B1708" s="8">
        <v>2025.0</v>
      </c>
      <c r="C1708" s="9">
        <v>43482.0</v>
      </c>
      <c r="D1708" s="6" t="s">
        <v>2238</v>
      </c>
      <c r="E1708" s="4" t="s">
        <v>2239</v>
      </c>
      <c r="F1708" s="8" t="s">
        <v>2240</v>
      </c>
      <c r="G1708" s="4" t="s">
        <v>1596</v>
      </c>
      <c r="H1708" s="10" t="s">
        <v>2242</v>
      </c>
      <c r="I1708" s="10">
        <v>17.0</v>
      </c>
      <c r="J1708" s="11" t="str">
        <f>IF(D1708&lt;&gt;"",VLOOKUP(H1708,TABLEITEM,5,FALSE),"")</f>
        <v>EA</v>
      </c>
      <c r="K1708" s="12">
        <v>860.0</v>
      </c>
      <c r="L1708" s="13" t="str">
        <f>IF(D1708&lt;&gt;"",VLOOKUP(H1708,TABLEITEM,2,FALSE),"")</f>
        <v/>
      </c>
      <c r="M1708" s="13" t="str">
        <f>IF(D1708&lt;&gt;"",VLOOKUP(H1708,TABLEITEM,3,FALSE),"")</f>
        <v>MCB 3P 16A 10KA</v>
      </c>
      <c r="N1708" s="14">
        <f>INSTOCK!$I1708*INSTOCK!$K1708</f>
        <v>14620</v>
      </c>
      <c r="O1708" s="4" t="s">
        <v>2243</v>
      </c>
      <c r="P1708" s="4"/>
    </row>
    <row r="1709" ht="15.75" hidden="1" customHeight="1">
      <c r="B1709" s="8">
        <v>2026.0</v>
      </c>
      <c r="C1709" s="9">
        <v>43482.0</v>
      </c>
      <c r="D1709" s="6" t="s">
        <v>2238</v>
      </c>
      <c r="E1709" s="4" t="s">
        <v>2239</v>
      </c>
      <c r="F1709" s="8" t="s">
        <v>2240</v>
      </c>
      <c r="G1709" s="4" t="s">
        <v>1596</v>
      </c>
      <c r="H1709" s="10" t="s">
        <v>2244</v>
      </c>
      <c r="I1709" s="10">
        <v>23.0</v>
      </c>
      <c r="J1709" s="11" t="str">
        <f>IF(D1709&lt;&gt;"",VLOOKUP(H1709,TABLEITEM,5,FALSE),"")</f>
        <v>EA</v>
      </c>
      <c r="K1709" s="12">
        <v>314.2156</v>
      </c>
      <c r="L1709" s="13" t="str">
        <f>IF(D1709&lt;&gt;"",VLOOKUP(H1709,TABLEITEM,2,FALSE),"")</f>
        <v/>
      </c>
      <c r="M1709" s="13" t="str">
        <f>IF(D1709&lt;&gt;"",VLOOKUP(H1709,TABLEITEM,3,FALSE),"")</f>
        <v>CONTACTORS AF09-30-10</v>
      </c>
      <c r="N1709" s="14">
        <f>INSTOCK!$I1709*INSTOCK!$K1709</f>
        <v>7226.9588</v>
      </c>
      <c r="O1709" s="4" t="s">
        <v>2245</v>
      </c>
      <c r="P1709" s="4"/>
    </row>
    <row r="1710" ht="15.75" hidden="1" customHeight="1">
      <c r="B1710" s="8">
        <v>2027.0</v>
      </c>
      <c r="C1710" s="9">
        <v>43482.0</v>
      </c>
      <c r="D1710" s="6" t="s">
        <v>2238</v>
      </c>
      <c r="E1710" s="4" t="s">
        <v>2239</v>
      </c>
      <c r="F1710" s="8" t="s">
        <v>2240</v>
      </c>
      <c r="G1710" s="4" t="s">
        <v>1596</v>
      </c>
      <c r="H1710" s="10" t="s">
        <v>2246</v>
      </c>
      <c r="I1710" s="10">
        <v>8.0</v>
      </c>
      <c r="J1710" s="11" t="str">
        <f>IF(D1710&lt;&gt;"",VLOOKUP(H1710,TABLEITEM,5,FALSE),"")</f>
        <v>EA</v>
      </c>
      <c r="K1710" s="12">
        <v>382.5</v>
      </c>
      <c r="L1710" s="13" t="str">
        <f>IF(D1710&lt;&gt;"",VLOOKUP(H1710,TABLEITEM,2,FALSE),"")</f>
        <v/>
      </c>
      <c r="M1710" s="13" t="str">
        <f>IF(D1710&lt;&gt;"",VLOOKUP(H1710,TABLEITEM,3,FALSE),"")</f>
        <v>CONTACTORS AF12-30-10</v>
      </c>
      <c r="N1710" s="14">
        <f>INSTOCK!$I1710*INSTOCK!$K1710</f>
        <v>3060</v>
      </c>
      <c r="O1710" s="4" t="s">
        <v>2247</v>
      </c>
      <c r="P1710" s="4"/>
    </row>
    <row r="1711" ht="15.75" hidden="1" customHeight="1">
      <c r="B1711" s="8">
        <v>2028.0</v>
      </c>
      <c r="C1711" s="9">
        <v>43482.0</v>
      </c>
      <c r="D1711" s="6" t="s">
        <v>2238</v>
      </c>
      <c r="E1711" s="4" t="s">
        <v>2239</v>
      </c>
      <c r="F1711" s="8" t="s">
        <v>2240</v>
      </c>
      <c r="G1711" s="4" t="s">
        <v>1596</v>
      </c>
      <c r="H1711" s="10" t="s">
        <v>2248</v>
      </c>
      <c r="I1711" s="10">
        <v>4.0</v>
      </c>
      <c r="J1711" s="11" t="str">
        <f>IF(D1711&lt;&gt;"",VLOOKUP(H1711,TABLEITEM,5,FALSE),"")</f>
        <v>EA</v>
      </c>
      <c r="K1711" s="12">
        <v>465.975</v>
      </c>
      <c r="L1711" s="13" t="str">
        <f>IF(D1711&lt;&gt;"",VLOOKUP(H1711,TABLEITEM,2,FALSE),"")</f>
        <v/>
      </c>
      <c r="M1711" s="13" t="str">
        <f>IF(D1711&lt;&gt;"",VLOOKUP(H1711,TABLEITEM,3,FALSE),"")</f>
        <v>OVERLOAD RALAY TF42-13</v>
      </c>
      <c r="N1711" s="14">
        <f>INSTOCK!$I1711*INSTOCK!$K1711</f>
        <v>1863.9</v>
      </c>
      <c r="O1711" s="4" t="s">
        <v>2249</v>
      </c>
      <c r="P1711" s="4"/>
    </row>
    <row r="1712" ht="15.75" hidden="1" customHeight="1">
      <c r="B1712" s="8">
        <v>2029.0</v>
      </c>
      <c r="C1712" s="9">
        <v>43482.0</v>
      </c>
      <c r="D1712" s="6" t="s">
        <v>2238</v>
      </c>
      <c r="E1712" s="4" t="s">
        <v>2239</v>
      </c>
      <c r="F1712" s="8" t="s">
        <v>2240</v>
      </c>
      <c r="G1712" s="4" t="s">
        <v>1596</v>
      </c>
      <c r="H1712" s="10" t="s">
        <v>2250</v>
      </c>
      <c r="I1712" s="10">
        <v>4.0</v>
      </c>
      <c r="J1712" s="11" t="str">
        <f>IF(D1712&lt;&gt;"",VLOOKUP(H1712,TABLEITEM,5,FALSE),"")</f>
        <v>EA</v>
      </c>
      <c r="K1712" s="12">
        <v>1111.5</v>
      </c>
      <c r="L1712" s="13" t="str">
        <f>IF(D1712&lt;&gt;"",VLOOKUP(H1712,TABLEITEM,2,FALSE),"")</f>
        <v/>
      </c>
      <c r="M1712" s="13" t="str">
        <f>IF(D1712&lt;&gt;"",VLOOKUP(H1712,TABLEITEM,3,FALSE),"")</f>
        <v>ELECTRONIC TIMER CT-ERE</v>
      </c>
      <c r="N1712" s="14">
        <f>INSTOCK!$I1712*INSTOCK!$K1712</f>
        <v>4446</v>
      </c>
      <c r="O1712" s="4" t="s">
        <v>2251</v>
      </c>
      <c r="P1712" s="4"/>
    </row>
    <row r="1713" ht="15.75" hidden="1" customHeight="1">
      <c r="B1713" s="8">
        <v>2030.0</v>
      </c>
      <c r="C1713" s="9">
        <v>43482.0</v>
      </c>
      <c r="D1713" s="6" t="s">
        <v>2238</v>
      </c>
      <c r="E1713" s="4" t="s">
        <v>2239</v>
      </c>
      <c r="F1713" s="8" t="s">
        <v>2240</v>
      </c>
      <c r="G1713" s="4" t="s">
        <v>1596</v>
      </c>
      <c r="H1713" s="10" t="s">
        <v>2252</v>
      </c>
      <c r="I1713" s="10">
        <v>4.0</v>
      </c>
      <c r="J1713" s="11" t="str">
        <f>IF(D1713&lt;&gt;"",VLOOKUP(H1713,TABLEITEM,5,FALSE),"")</f>
        <v>EA</v>
      </c>
      <c r="K1713" s="12">
        <v>555.75</v>
      </c>
      <c r="L1713" s="13" t="str">
        <f>IF(D1713&lt;&gt;"",VLOOKUP(H1713,TABLEITEM,2,FALSE),"")</f>
        <v/>
      </c>
      <c r="M1713" s="13" t="str">
        <f>IF(D1713&lt;&gt;"",VLOOKUP(H1713,TABLEITEM,3,FALSE),"")</f>
        <v>MACHANICA INTERLOCK VEM4</v>
      </c>
      <c r="N1713" s="14">
        <f>INSTOCK!$I1713*INSTOCK!$K1713</f>
        <v>2223</v>
      </c>
      <c r="O1713" s="4" t="s">
        <v>2253</v>
      </c>
      <c r="P1713" s="4"/>
    </row>
    <row r="1714" ht="15.75" hidden="1" customHeight="1">
      <c r="B1714" s="8">
        <v>2031.0</v>
      </c>
      <c r="C1714" s="9">
        <v>43482.0</v>
      </c>
      <c r="D1714" s="6" t="s">
        <v>2238</v>
      </c>
      <c r="E1714" s="4" t="s">
        <v>2239</v>
      </c>
      <c r="F1714" s="8" t="s">
        <v>2240</v>
      </c>
      <c r="G1714" s="4" t="s">
        <v>1596</v>
      </c>
      <c r="H1714" s="10" t="s">
        <v>2254</v>
      </c>
      <c r="I1714" s="10">
        <v>23.0</v>
      </c>
      <c r="J1714" s="11" t="str">
        <f>IF(D1714&lt;&gt;"",VLOOKUP(H1714,TABLEITEM,5,FALSE),"")</f>
        <v>EA</v>
      </c>
      <c r="K1714" s="12">
        <v>74.7826</v>
      </c>
      <c r="L1714" s="13" t="str">
        <f>IF(D1714&lt;&gt;"",VLOOKUP(H1714,TABLEITEM,2,FALSE),"")</f>
        <v/>
      </c>
      <c r="M1714" s="13" t="str">
        <f>IF(D1714&lt;&gt;"",VLOOKUP(H1714,TABLEITEM,3,FALSE),"")</f>
        <v>CA4-01 NC คอนแทคช่วย</v>
      </c>
      <c r="N1714" s="14">
        <f>INSTOCK!$I1714*INSTOCK!$K1714</f>
        <v>1719.9998</v>
      </c>
      <c r="O1714" s="4" t="s">
        <v>2255</v>
      </c>
      <c r="P1714" s="4"/>
    </row>
    <row r="1715" ht="15.75" hidden="1" customHeight="1">
      <c r="B1715" s="8">
        <v>2032.0</v>
      </c>
      <c r="C1715" s="9">
        <v>43482.0</v>
      </c>
      <c r="D1715" s="6" t="s">
        <v>2238</v>
      </c>
      <c r="E1715" s="4" t="s">
        <v>2239</v>
      </c>
      <c r="F1715" s="8" t="s">
        <v>2240</v>
      </c>
      <c r="G1715" s="4" t="s">
        <v>1596</v>
      </c>
      <c r="H1715" s="10" t="s">
        <v>2256</v>
      </c>
      <c r="I1715" s="10">
        <v>1.0</v>
      </c>
      <c r="J1715" s="11" t="str">
        <f>IF(D1715&lt;&gt;"",VLOOKUP(H1715,TABLEITEM,5,FALSE),"")</f>
        <v>EA</v>
      </c>
      <c r="K1715" s="12">
        <v>418.95</v>
      </c>
      <c r="L1715" s="13" t="str">
        <f>IF(D1715&lt;&gt;"",VLOOKUP(H1715,TABLEITEM,2,FALSE),"")</f>
        <v/>
      </c>
      <c r="M1715" s="13" t="str">
        <f>IF(D1715&lt;&gt;"",VLOOKUP(H1715,TABLEITEM,3,FALSE),"")</f>
        <v>OVERLOAD RALAY TF42-1.0</v>
      </c>
      <c r="N1715" s="14">
        <f>INSTOCK!$I1715*INSTOCK!$K1715</f>
        <v>418.95</v>
      </c>
      <c r="O1715" s="4" t="s">
        <v>2257</v>
      </c>
      <c r="P1715" s="4"/>
    </row>
    <row r="1716" ht="15.75" hidden="1" customHeight="1">
      <c r="B1716" s="8">
        <v>2033.0</v>
      </c>
      <c r="C1716" s="9">
        <v>43482.0</v>
      </c>
      <c r="D1716" s="6" t="s">
        <v>2238</v>
      </c>
      <c r="E1716" s="4" t="s">
        <v>2239</v>
      </c>
      <c r="F1716" s="8" t="s">
        <v>2240</v>
      </c>
      <c r="G1716" s="4" t="s">
        <v>1596</v>
      </c>
      <c r="H1716" s="10" t="s">
        <v>2258</v>
      </c>
      <c r="I1716" s="10">
        <v>15.0</v>
      </c>
      <c r="J1716" s="11" t="str">
        <f>IF(D1716&lt;&gt;"",VLOOKUP(H1716,TABLEITEM,5,FALSE),"")</f>
        <v>EA</v>
      </c>
      <c r="K1716" s="12">
        <v>418.95</v>
      </c>
      <c r="L1716" s="13" t="str">
        <f>IF(D1716&lt;&gt;"",VLOOKUP(H1716,TABLEITEM,2,FALSE),"")</f>
        <v/>
      </c>
      <c r="M1716" s="13" t="str">
        <f>IF(D1716&lt;&gt;"",VLOOKUP(H1716,TABLEITEM,3,FALSE),"")</f>
        <v>OVERLOAD RALAY TF42-2.3</v>
      </c>
      <c r="N1716" s="14">
        <f>INSTOCK!$I1716*INSTOCK!$K1716</f>
        <v>6284.25</v>
      </c>
      <c r="O1716" s="4" t="s">
        <v>2257</v>
      </c>
      <c r="P1716" s="4"/>
    </row>
    <row r="1717" ht="15.75" hidden="1" customHeight="1">
      <c r="B1717" s="8">
        <v>2034.0</v>
      </c>
      <c r="C1717" s="9">
        <v>43482.0</v>
      </c>
      <c r="D1717" s="6" t="s">
        <v>2238</v>
      </c>
      <c r="E1717" s="4" t="s">
        <v>2239</v>
      </c>
      <c r="F1717" s="8" t="s">
        <v>2240</v>
      </c>
      <c r="G1717" s="4" t="s">
        <v>1596</v>
      </c>
      <c r="H1717" s="10" t="s">
        <v>2259</v>
      </c>
      <c r="I1717" s="10">
        <v>2.0</v>
      </c>
      <c r="J1717" s="11" t="str">
        <f>IF(D1717&lt;&gt;"",VLOOKUP(H1717,TABLEITEM,5,FALSE),"")</f>
        <v>EA</v>
      </c>
      <c r="K1717" s="12">
        <v>418.95</v>
      </c>
      <c r="L1717" s="13" t="str">
        <f>IF(D1717&lt;&gt;"",VLOOKUP(H1717,TABLEITEM,2,FALSE),"")</f>
        <v/>
      </c>
      <c r="M1717" s="13" t="str">
        <f>IF(D1717&lt;&gt;"",VLOOKUP(H1717,TABLEITEM,3,FALSE),"")</f>
        <v>OVERLOAD RALAY TF42-3.1</v>
      </c>
      <c r="N1717" s="14">
        <f>INSTOCK!$I1717*INSTOCK!$K1717</f>
        <v>837.9</v>
      </c>
      <c r="O1717" s="4" t="s">
        <v>2257</v>
      </c>
      <c r="P1717" s="4"/>
    </row>
    <row r="1718" ht="15.75" hidden="1" customHeight="1">
      <c r="B1718" s="8">
        <v>2035.0</v>
      </c>
      <c r="C1718" s="9">
        <v>43482.0</v>
      </c>
      <c r="D1718" s="6" t="s">
        <v>2260</v>
      </c>
      <c r="E1718" s="4">
        <v>6.201000079E9</v>
      </c>
      <c r="F1718" s="8" t="s">
        <v>2261</v>
      </c>
      <c r="G1718" s="4" t="s">
        <v>1512</v>
      </c>
      <c r="H1718" s="10" t="s">
        <v>2262</v>
      </c>
      <c r="I1718" s="10">
        <v>1.0</v>
      </c>
      <c r="J1718" s="11" t="str">
        <f>IF(D1718&lt;&gt;"",VLOOKUP(H1718,TABLEITEM,5,FALSE),"")</f>
        <v>EA</v>
      </c>
      <c r="K1718" s="12">
        <v>427.77</v>
      </c>
      <c r="L1718" s="13" t="str">
        <f>IF(D1718&lt;&gt;"",VLOOKUP(H1718,TABLEITEM,2,FALSE),"")</f>
        <v/>
      </c>
      <c r="M1718" s="13" t="str">
        <f>IF(D1718&lt;&gt;"",VLOOKUP(H1718,TABLEITEM,3,FALSE),"")</f>
        <v>OVERLOAD RALAY TF42-0.74</v>
      </c>
      <c r="N1718" s="14">
        <f>INSTOCK!$I1718*INSTOCK!$K1718</f>
        <v>427.77</v>
      </c>
      <c r="O1718" s="4" t="s">
        <v>2263</v>
      </c>
      <c r="P1718" s="4"/>
    </row>
    <row r="1719" ht="15.75" hidden="1" customHeight="1">
      <c r="B1719" s="8">
        <v>2036.0</v>
      </c>
      <c r="C1719" s="9">
        <v>43482.0</v>
      </c>
      <c r="D1719" s="6" t="s">
        <v>2260</v>
      </c>
      <c r="E1719" s="4">
        <v>6.201000079E9</v>
      </c>
      <c r="F1719" s="8" t="s">
        <v>2261</v>
      </c>
      <c r="G1719" s="4" t="s">
        <v>1512</v>
      </c>
      <c r="H1719" s="10" t="s">
        <v>2264</v>
      </c>
      <c r="I1719" s="10">
        <v>4.0</v>
      </c>
      <c r="J1719" s="11" t="str">
        <f>IF(D1719&lt;&gt;"",VLOOKUP(H1719,TABLEITEM,5,FALSE),"")</f>
        <v>EA</v>
      </c>
      <c r="K1719" s="12">
        <v>1260.0</v>
      </c>
      <c r="L1719" s="13" t="str">
        <f>IF(D1719&lt;&gt;"",VLOOKUP(H1719,TABLEITEM,2,FALSE),"")</f>
        <v/>
      </c>
      <c r="M1719" s="13" t="str">
        <f>IF(D1719&lt;&gt;"",VLOOKUP(H1719,TABLEITEM,3,FALSE),"")</f>
        <v>MCB S203-C50 3P 10KA</v>
      </c>
      <c r="N1719" s="14">
        <f>INSTOCK!$I1719*INSTOCK!$K1719</f>
        <v>5040</v>
      </c>
      <c r="O1719" s="4" t="s">
        <v>2265</v>
      </c>
      <c r="P1719" s="4"/>
    </row>
    <row r="1720" ht="15.75" hidden="1" customHeight="1">
      <c r="B1720" s="8">
        <v>2037.0</v>
      </c>
      <c r="C1720" s="9">
        <v>43483.0</v>
      </c>
      <c r="D1720" s="6" t="s">
        <v>2266</v>
      </c>
      <c r="E1720" s="4"/>
      <c r="F1720" s="8" t="s">
        <v>2267</v>
      </c>
      <c r="G1720" s="4" t="s">
        <v>898</v>
      </c>
      <c r="H1720" s="10" t="s">
        <v>2268</v>
      </c>
      <c r="I1720" s="10">
        <v>1.0</v>
      </c>
      <c r="J1720" s="11" t="str">
        <f>IF(D1720&lt;&gt;"",VLOOKUP(H1720,TABLEITEM,5,FALSE),"")</f>
        <v>LIT</v>
      </c>
      <c r="K1720" s="12">
        <v>400.0</v>
      </c>
      <c r="L1720" s="13" t="str">
        <f>IF(D1720&lt;&gt;"",VLOOKUP(H1720,TABLEITEM,2,FALSE),"")</f>
        <v/>
      </c>
      <c r="M1720" s="13" t="str">
        <f>IF(D1720&lt;&gt;"",VLOOKUP(H1720,TABLEITEM,3,FALSE),"")</f>
        <v>สีพ่นแห้งเร็ว(สีผสม)</v>
      </c>
      <c r="N1720" s="14">
        <f>INSTOCK!$I1720*INSTOCK!$K1720</f>
        <v>400</v>
      </c>
      <c r="O1720" s="4" t="s">
        <v>2269</v>
      </c>
      <c r="P1720" s="4"/>
    </row>
    <row r="1721" ht="15.75" hidden="1" customHeight="1">
      <c r="B1721" s="8">
        <v>2038.0</v>
      </c>
      <c r="C1721" s="9">
        <v>43483.0</v>
      </c>
      <c r="D1721" s="6" t="s">
        <v>2270</v>
      </c>
      <c r="E1721" s="4" t="s">
        <v>2271</v>
      </c>
      <c r="F1721" s="8" t="s">
        <v>1383</v>
      </c>
      <c r="G1721" s="4" t="s">
        <v>1587</v>
      </c>
      <c r="H1721" s="10" t="s">
        <v>2272</v>
      </c>
      <c r="I1721" s="10">
        <v>2.0</v>
      </c>
      <c r="J1721" s="11" t="str">
        <f>IF(D1721&lt;&gt;"",VLOOKUP(H1721,TABLEITEM,5,FALSE),"")</f>
        <v>EA</v>
      </c>
      <c r="K1721" s="12">
        <v>310.0</v>
      </c>
      <c r="L1721" s="13" t="str">
        <f>IF(D1721&lt;&gt;"",VLOOKUP(H1721,TABLEITEM,2,FALSE),"")</f>
        <v/>
      </c>
      <c r="M1721" s="13" t="str">
        <f>IF(D1721&lt;&gt;"",VLOOKUP(H1721,TABLEITEM,3,FALSE),"")</f>
        <v>โอเวอร์โหลด TH-T18 2.1A</v>
      </c>
      <c r="N1721" s="14">
        <f>INSTOCK!$I1721*INSTOCK!$K1721</f>
        <v>620</v>
      </c>
      <c r="O1721" s="4" t="s">
        <v>2273</v>
      </c>
      <c r="P1721" s="4"/>
    </row>
    <row r="1722" ht="15.75" hidden="1" customHeight="1">
      <c r="B1722" s="8">
        <v>2039.0</v>
      </c>
      <c r="C1722" s="9">
        <v>43483.0</v>
      </c>
      <c r="D1722" s="6" t="s">
        <v>2270</v>
      </c>
      <c r="E1722" s="4" t="s">
        <v>2271</v>
      </c>
      <c r="F1722" s="8" t="s">
        <v>1383</v>
      </c>
      <c r="G1722" s="4" t="s">
        <v>1587</v>
      </c>
      <c r="H1722" s="10" t="s">
        <v>2274</v>
      </c>
      <c r="I1722" s="10">
        <v>2.0</v>
      </c>
      <c r="J1722" s="11" t="str">
        <f>IF(D1722&lt;&gt;"",VLOOKUP(H1722,TABLEITEM,5,FALSE),"")</f>
        <v>EA</v>
      </c>
      <c r="K1722" s="12">
        <v>310.0</v>
      </c>
      <c r="L1722" s="13" t="str">
        <f>IF(D1722&lt;&gt;"",VLOOKUP(H1722,TABLEITEM,2,FALSE),"")</f>
        <v/>
      </c>
      <c r="M1722" s="13" t="str">
        <f>IF(D1722&lt;&gt;"",VLOOKUP(H1722,TABLEITEM,3,FALSE),"")</f>
        <v>โอเวอร์โหลด TH-T18 3.6A</v>
      </c>
      <c r="N1722" s="14">
        <f>INSTOCK!$I1722*INSTOCK!$K1722</f>
        <v>620</v>
      </c>
      <c r="O1722" s="4" t="s">
        <v>2273</v>
      </c>
      <c r="P1722" s="4"/>
    </row>
    <row r="1723" ht="15.75" hidden="1" customHeight="1">
      <c r="B1723" s="8">
        <v>2040.0</v>
      </c>
      <c r="C1723" s="9">
        <v>43486.0</v>
      </c>
      <c r="D1723" s="6" t="s">
        <v>2275</v>
      </c>
      <c r="E1723" s="4">
        <v>6.201000083E9</v>
      </c>
      <c r="F1723" s="8" t="s">
        <v>2276</v>
      </c>
      <c r="G1723" s="4" t="s">
        <v>965</v>
      </c>
      <c r="H1723" s="10" t="s">
        <v>2277</v>
      </c>
      <c r="I1723" s="10">
        <v>1.0</v>
      </c>
      <c r="J1723" s="11" t="str">
        <f>IF(D1723&lt;&gt;"",VLOOKUP(H1723,TABLEITEM,5,FALSE),"")</f>
        <v>กล</v>
      </c>
      <c r="K1723" s="12">
        <v>290.0</v>
      </c>
      <c r="L1723" s="13" t="str">
        <f>IF(D1723&lt;&gt;"",VLOOKUP(H1723,TABLEITEM,2,FALSE),"")</f>
        <v/>
      </c>
      <c r="M1723" s="13" t="str">
        <f>IF(D1723&lt;&gt;"",VLOOKUP(H1723,TABLEITEM,3,FALSE),"")</f>
        <v>สีน้ำมัน LOTTO 1156</v>
      </c>
      <c r="N1723" s="14">
        <f>INSTOCK!$I1723*INSTOCK!$K1723</f>
        <v>290</v>
      </c>
      <c r="O1723" s="4"/>
      <c r="P1723" s="4"/>
    </row>
    <row r="1724" ht="15.75" hidden="1" customHeight="1">
      <c r="B1724" s="8">
        <v>2041.0</v>
      </c>
      <c r="C1724" s="9">
        <v>43487.0</v>
      </c>
      <c r="D1724" s="6" t="s">
        <v>2278</v>
      </c>
      <c r="E1724" s="4">
        <v>6.201000094E9</v>
      </c>
      <c r="F1724" s="8" t="s">
        <v>604</v>
      </c>
      <c r="G1724" s="4" t="s">
        <v>965</v>
      </c>
      <c r="H1724" s="10" t="s">
        <v>45</v>
      </c>
      <c r="I1724" s="10">
        <v>1.0</v>
      </c>
      <c r="J1724" s="11" t="str">
        <f>IF(D1724&lt;&gt;"",VLOOKUP(H1724,TABLEITEM,5,FALSE),"")</f>
        <v>กล</v>
      </c>
      <c r="K1724" s="12">
        <v>280.0</v>
      </c>
      <c r="L1724" s="13" t="str">
        <f>IF(D1724&lt;&gt;"",VLOOKUP(H1724,TABLEITEM,2,FALSE),"")</f>
        <v/>
      </c>
      <c r="M1724" s="13" t="str">
        <f>IF(D1724&lt;&gt;"",VLOOKUP(H1724,TABLEITEM,3,FALSE),"")</f>
        <v>สีโป้ว</v>
      </c>
      <c r="N1724" s="14">
        <f>INSTOCK!$I1724*INSTOCK!$K1724</f>
        <v>280</v>
      </c>
      <c r="O1724" s="4"/>
      <c r="P1724" s="4"/>
    </row>
    <row r="1725" ht="15.75" hidden="1" customHeight="1">
      <c r="B1725" s="8">
        <v>2042.0</v>
      </c>
      <c r="C1725" s="9">
        <v>43479.0</v>
      </c>
      <c r="D1725" s="6" t="s">
        <v>2279</v>
      </c>
      <c r="E1725" s="4">
        <v>6.201000056E9</v>
      </c>
      <c r="F1725" s="8" t="s">
        <v>2280</v>
      </c>
      <c r="G1725" s="4" t="s">
        <v>2281</v>
      </c>
      <c r="H1725" s="10" t="s">
        <v>2282</v>
      </c>
      <c r="I1725" s="10">
        <v>160.5</v>
      </c>
      <c r="J1725" s="11" t="str">
        <f>IF(D1725&lt;&gt;"",VLOOKUP(H1725,TABLEITEM,5,FALSE),"")</f>
        <v>EA</v>
      </c>
      <c r="K1725" s="12">
        <v>650.0</v>
      </c>
      <c r="L1725" s="13" t="str">
        <f>IF(D1725&lt;&gt;"",VLOOKUP(H1725,TABLEITEM,2,FALSE),"")</f>
        <v/>
      </c>
      <c r="M1725" s="13" t="str">
        <f>IF(D1725&lt;&gt;"",VLOOKUP(H1725,TABLEITEM,3,FALSE),"")</f>
        <v>โซ่ 5 ตัน รุ่นมาตรฐาน STD</v>
      </c>
      <c r="N1725" s="14">
        <f>INSTOCK!$I1725*INSTOCK!$K1725</f>
        <v>104325</v>
      </c>
      <c r="O1725" s="4"/>
      <c r="P1725" s="4"/>
    </row>
    <row r="1726" ht="15.75" hidden="1" customHeight="1">
      <c r="B1726" s="8">
        <v>2043.0</v>
      </c>
      <c r="C1726" s="9">
        <v>43479.0</v>
      </c>
      <c r="D1726" s="6" t="s">
        <v>2279</v>
      </c>
      <c r="E1726" s="4">
        <v>6.201000056E9</v>
      </c>
      <c r="F1726" s="8" t="s">
        <v>2280</v>
      </c>
      <c r="G1726" s="4" t="s">
        <v>2281</v>
      </c>
      <c r="H1726" s="10" t="s">
        <v>2283</v>
      </c>
      <c r="I1726" s="10">
        <v>20.0</v>
      </c>
      <c r="J1726" s="11" t="str">
        <f>IF(D1726&lt;&gt;"",VLOOKUP(H1726,TABLEITEM,5,FALSE),"")</f>
        <v>EA</v>
      </c>
      <c r="K1726" s="12">
        <v>48.0</v>
      </c>
      <c r="L1726" s="13" t="str">
        <f>IF(D1726&lt;&gt;"",VLOOKUP(H1726,TABLEITEM,2,FALSE),"")</f>
        <v/>
      </c>
      <c r="M1726" s="13" t="str">
        <f>IF(D1726&lt;&gt;"",VLOOKUP(H1726,TABLEITEM,3,FALSE),"")</f>
        <v>วายแฮงเกอร์ 5 ตัน+ จิ๊กเสียบ</v>
      </c>
      <c r="N1726" s="14">
        <f>INSTOCK!$I1726*INSTOCK!$K1726</f>
        <v>960</v>
      </c>
      <c r="O1726" s="4"/>
      <c r="P1726" s="4"/>
    </row>
    <row r="1727" ht="15.75" hidden="1" customHeight="1">
      <c r="B1727" s="8">
        <v>2044.0</v>
      </c>
      <c r="C1727" s="9">
        <v>43487.0</v>
      </c>
      <c r="D1727" s="6" t="s">
        <v>2284</v>
      </c>
      <c r="E1727" s="4">
        <v>6.112001672E9</v>
      </c>
      <c r="F1727" s="8" t="s">
        <v>604</v>
      </c>
      <c r="G1727" s="4" t="s">
        <v>743</v>
      </c>
      <c r="H1727" s="10" t="s">
        <v>73</v>
      </c>
      <c r="I1727" s="10">
        <v>580.0</v>
      </c>
      <c r="J1727" s="11" t="str">
        <f>IF(D1727&lt;&gt;"",VLOOKUP(H1727,TABLEITEM,5,FALSE),"")</f>
        <v>KG.</v>
      </c>
      <c r="K1727" s="12">
        <v>99.85</v>
      </c>
      <c r="L1727" s="13" t="str">
        <f>IF(D1727&lt;&gt;"",VLOOKUP(H1727,TABLEITEM,2,FALSE),"")</f>
        <v/>
      </c>
      <c r="M1727" s="13" t="str">
        <f>IF(D1727&lt;&gt;"",VLOOKUP(H1727,TABLEITEM,3,FALSE),"")</f>
        <v>สีฝุ่น สีครีมย่น 1002782PX20</v>
      </c>
      <c r="N1727" s="14">
        <f>INSTOCK!$I1727*INSTOCK!$K1727</f>
        <v>57913</v>
      </c>
      <c r="O1727" s="4"/>
      <c r="P1727" s="4"/>
    </row>
    <row r="1728" ht="15.75" hidden="1" customHeight="1">
      <c r="B1728" s="8">
        <v>2045.0</v>
      </c>
      <c r="C1728" s="9">
        <v>43473.0</v>
      </c>
      <c r="D1728" s="6">
        <v>6.20101678E8</v>
      </c>
      <c r="E1728" s="4">
        <v>6.201000037E9</v>
      </c>
      <c r="F1728" s="8" t="s">
        <v>2285</v>
      </c>
      <c r="G1728" s="4" t="s">
        <v>1130</v>
      </c>
      <c r="H1728" s="10" t="s">
        <v>2286</v>
      </c>
      <c r="I1728" s="10">
        <v>6.0</v>
      </c>
      <c r="J1728" s="11" t="str">
        <f>IF(D1728&lt;&gt;"",VLOOKUP(H1728,TABLEITEM,5,FALSE),"")</f>
        <v>EA</v>
      </c>
      <c r="K1728" s="12">
        <v>420.375</v>
      </c>
      <c r="L1728" s="13" t="str">
        <f>IF(D1728&lt;&gt;"",VLOOKUP(H1728,TABLEITEM,2,FALSE),"")</f>
        <v/>
      </c>
      <c r="M1728" s="13" t="str">
        <f>IF(D1728&lt;&gt;"",VLOOKUP(H1728,TABLEITEM,3,FALSE),"")</f>
        <v>CT16000/5 BIG ONE</v>
      </c>
      <c r="N1728" s="14">
        <f>INSTOCK!$I1728*INSTOCK!$K1728</f>
        <v>2522.25</v>
      </c>
      <c r="O1728" s="4" t="s">
        <v>2287</v>
      </c>
      <c r="P1728" s="4" t="s">
        <v>2288</v>
      </c>
    </row>
    <row r="1729" ht="15.75" hidden="1" customHeight="1">
      <c r="B1729" s="8">
        <v>2046.0</v>
      </c>
      <c r="C1729" s="9">
        <v>43473.0</v>
      </c>
      <c r="D1729" s="6">
        <v>6.20101678E8</v>
      </c>
      <c r="E1729" s="4">
        <v>6.201000037E9</v>
      </c>
      <c r="F1729" s="8" t="s">
        <v>2285</v>
      </c>
      <c r="G1729" s="4" t="s">
        <v>1130</v>
      </c>
      <c r="H1729" s="10" t="s">
        <v>2289</v>
      </c>
      <c r="I1729" s="10">
        <v>3.0</v>
      </c>
      <c r="J1729" s="11" t="str">
        <f>IF(D1729&lt;&gt;"",VLOOKUP(H1729,TABLEITEM,5,FALSE),"")</f>
        <v>EA</v>
      </c>
      <c r="K1729" s="12">
        <v>121.1233</v>
      </c>
      <c r="L1729" s="13" t="str">
        <f>IF(D1729&lt;&gt;"",VLOOKUP(H1729,TABLEITEM,2,FALSE),"")</f>
        <v/>
      </c>
      <c r="M1729" s="13" t="str">
        <f>IF(D1729&lt;&gt;"",VLOOKUP(H1729,TABLEITEM,3,FALSE),"")</f>
        <v>CT400/5 BIG ONE</v>
      </c>
      <c r="N1729" s="14">
        <f>INSTOCK!$I1729*INSTOCK!$K1729</f>
        <v>363.3699</v>
      </c>
      <c r="O1729" s="4" t="s">
        <v>1898</v>
      </c>
      <c r="P1729" s="4" t="s">
        <v>2288</v>
      </c>
    </row>
    <row r="1730" ht="15.75" hidden="1" customHeight="1">
      <c r="B1730" s="8">
        <v>2047.0</v>
      </c>
      <c r="C1730" s="9">
        <v>43473.0</v>
      </c>
      <c r="D1730" s="6">
        <v>6.20101678E8</v>
      </c>
      <c r="E1730" s="4">
        <v>6.201000037E9</v>
      </c>
      <c r="F1730" s="8" t="s">
        <v>2285</v>
      </c>
      <c r="G1730" s="4" t="s">
        <v>1130</v>
      </c>
      <c r="H1730" s="10" t="s">
        <v>2290</v>
      </c>
      <c r="I1730" s="10">
        <v>6.0</v>
      </c>
      <c r="J1730" s="11" t="str">
        <f>IF(D1730&lt;&gt;"",VLOOKUP(H1730,TABLEITEM,5,FALSE),"")</f>
        <v>EA</v>
      </c>
      <c r="K1730" s="12">
        <v>121.125</v>
      </c>
      <c r="L1730" s="13" t="str">
        <f>IF(D1730&lt;&gt;"",VLOOKUP(H1730,TABLEITEM,2,FALSE),"")</f>
        <v/>
      </c>
      <c r="M1730" s="13" t="str">
        <f>IF(D1730&lt;&gt;"",VLOOKUP(H1730,TABLEITEM,3,FALSE),"")</f>
        <v>CT250/5 BIG ONE</v>
      </c>
      <c r="N1730" s="14">
        <f>INSTOCK!$I1730*INSTOCK!$K1730</f>
        <v>726.75</v>
      </c>
      <c r="O1730" s="4" t="s">
        <v>1898</v>
      </c>
      <c r="P1730" s="4" t="s">
        <v>2288</v>
      </c>
    </row>
    <row r="1731" ht="15.75" customHeight="1">
      <c r="B1731" s="8">
        <v>2048.0</v>
      </c>
      <c r="C1731" s="9">
        <v>43486.0</v>
      </c>
      <c r="D1731" s="6" t="s">
        <v>2291</v>
      </c>
      <c r="E1731" s="4">
        <v>6.11200161E9</v>
      </c>
      <c r="F1731" s="8" t="s">
        <v>604</v>
      </c>
      <c r="G1731" s="4" t="s">
        <v>2292</v>
      </c>
      <c r="H1731" s="10" t="s">
        <v>2293</v>
      </c>
      <c r="I1731" s="10">
        <v>2.0</v>
      </c>
      <c r="J1731" s="11" t="str">
        <f>IF(D1731&lt;&gt;"",VLOOKUP(H1731,TABLEITEM,5,FALSE),"")</f>
        <v>EA</v>
      </c>
      <c r="K1731" s="12">
        <v>7480.0</v>
      </c>
      <c r="L1731" s="13" t="str">
        <f>IF(D1731&lt;&gt;"",VLOOKUP(H1731,TABLEITEM,2,FALSE),"")</f>
        <v/>
      </c>
      <c r="M1731" s="13" t="str">
        <f>IF(D1731&lt;&gt;"",VLOOKUP(H1731,TABLEITEM,3,FALSE),"")</f>
        <v>บ๊อกลม1/2" AI4161</v>
      </c>
      <c r="N1731" s="14">
        <f>INSTOCK!$I1731*INSTOCK!$K1731</f>
        <v>14960</v>
      </c>
      <c r="O1731" s="8" t="s">
        <v>2294</v>
      </c>
      <c r="P1731" s="4" t="s">
        <v>2295</v>
      </c>
    </row>
    <row r="1732" ht="15.75" hidden="1" customHeight="1">
      <c r="B1732" s="8">
        <v>2049.0</v>
      </c>
      <c r="C1732" s="9">
        <v>43480.0</v>
      </c>
      <c r="D1732" s="6" t="s">
        <v>2296</v>
      </c>
      <c r="E1732" s="4">
        <v>6.201000065E9</v>
      </c>
      <c r="F1732" s="8" t="s">
        <v>2297</v>
      </c>
      <c r="G1732" s="4" t="s">
        <v>2298</v>
      </c>
      <c r="H1732" s="10" t="s">
        <v>2299</v>
      </c>
      <c r="I1732" s="10">
        <v>1.0</v>
      </c>
      <c r="J1732" s="11" t="str">
        <f>IF(D1732&lt;&gt;"",VLOOKUP(H1732,TABLEITEM,5,FALSE),"")</f>
        <v>EA</v>
      </c>
      <c r="K1732" s="12">
        <v>3880.0</v>
      </c>
      <c r="L1732" s="13" t="str">
        <f>IF(D1732&lt;&gt;"",VLOOKUP(H1732,TABLEITEM,2,FALSE),"")</f>
        <v/>
      </c>
      <c r="M1732" s="13" t="str">
        <f>IF(D1732&lt;&gt;"",VLOOKUP(H1732,TABLEITEM,3,FALSE),"")</f>
        <v>MYD013-15W LED MOVABLE WORKINGLIGHT</v>
      </c>
      <c r="N1732" s="14">
        <f>INSTOCK!$I1732*INSTOCK!$K1732</f>
        <v>3880</v>
      </c>
      <c r="O1732" s="4"/>
      <c r="P1732" s="4"/>
    </row>
    <row r="1733" ht="15.75" hidden="1" customHeight="1">
      <c r="B1733" s="8">
        <v>2050.0</v>
      </c>
      <c r="C1733" s="9">
        <v>43487.0</v>
      </c>
      <c r="D1733" s="6" t="s">
        <v>2300</v>
      </c>
      <c r="E1733" s="4">
        <v>6.201000059E9</v>
      </c>
      <c r="F1733" s="8" t="s">
        <v>604</v>
      </c>
      <c r="G1733" s="4" t="s">
        <v>2301</v>
      </c>
      <c r="H1733" s="10" t="s">
        <v>2302</v>
      </c>
      <c r="I1733" s="10">
        <v>2000.0</v>
      </c>
      <c r="J1733" s="11" t="str">
        <f>IF(D1733&lt;&gt;"",VLOOKUP(H1733,TABLEITEM,5,FALSE),"")</f>
        <v>EA</v>
      </c>
      <c r="K1733" s="12">
        <v>1.5</v>
      </c>
      <c r="L1733" s="13" t="str">
        <f>IF(D1733&lt;&gt;"",VLOOKUP(H1733,TABLEITEM,2,FALSE),"")</f>
        <v/>
      </c>
      <c r="M1733" s="13" t="str">
        <f>IF(D1733&lt;&gt;"",VLOOKUP(H1733,TABLEITEM,3,FALSE),"")</f>
        <v>ไส้กลางบานพับชุบขาว</v>
      </c>
      <c r="N1733" s="14">
        <f>INSTOCK!$I1733*INSTOCK!$K1733</f>
        <v>3000</v>
      </c>
      <c r="O1733" s="4"/>
      <c r="P1733" s="4"/>
    </row>
    <row r="1734" ht="15.75" hidden="1" customHeight="1">
      <c r="B1734" s="8">
        <v>2051.0</v>
      </c>
      <c r="C1734" s="9">
        <v>43474.0</v>
      </c>
      <c r="D1734" s="6" t="s">
        <v>2303</v>
      </c>
      <c r="E1734" s="4">
        <v>6.112001632E9</v>
      </c>
      <c r="F1734" s="8" t="s">
        <v>604</v>
      </c>
      <c r="G1734" s="4" t="s">
        <v>2301</v>
      </c>
      <c r="H1734" s="10" t="s">
        <v>2304</v>
      </c>
      <c r="I1734" s="10">
        <v>2000.0</v>
      </c>
      <c r="J1734" s="11" t="str">
        <f>IF(D1734&lt;&gt;"",VLOOKUP(H1734,TABLEITEM,5,FALSE),"")</f>
        <v>EA</v>
      </c>
      <c r="K1734" s="12">
        <v>4.0</v>
      </c>
      <c r="L1734" s="13" t="str">
        <f>IF(D1734&lt;&gt;"",VLOOKUP(H1734,TABLEITEM,2,FALSE),"")</f>
        <v/>
      </c>
      <c r="M1734" s="13" t="str">
        <f>IF(D1734&lt;&gt;"",VLOOKUP(H1734,TABLEITEM,3,FALSE),"")</f>
        <v>บานพับตู้ Knock Down รุ่นพับงอ-ใหม่</v>
      </c>
      <c r="N1734" s="14">
        <f>INSTOCK!$I1734*INSTOCK!$K1734</f>
        <v>8000</v>
      </c>
      <c r="O1734" s="4"/>
      <c r="P1734" s="4"/>
    </row>
    <row r="1735" ht="15.75" hidden="1" customHeight="1">
      <c r="B1735" s="8">
        <v>2052.0</v>
      </c>
      <c r="C1735" s="9">
        <v>43487.0</v>
      </c>
      <c r="D1735" s="6" t="s">
        <v>2305</v>
      </c>
      <c r="E1735" s="4">
        <v>6.112001633E9</v>
      </c>
      <c r="F1735" s="8" t="s">
        <v>604</v>
      </c>
      <c r="G1735" s="4" t="s">
        <v>2301</v>
      </c>
      <c r="H1735" s="10" t="s">
        <v>2304</v>
      </c>
      <c r="I1735" s="10">
        <v>2000.0</v>
      </c>
      <c r="J1735" s="11" t="str">
        <f>IF(D1735&lt;&gt;"",VLOOKUP(H1735,TABLEITEM,5,FALSE),"")</f>
        <v>EA</v>
      </c>
      <c r="K1735" s="12">
        <v>4.0</v>
      </c>
      <c r="L1735" s="13" t="str">
        <f>IF(D1735&lt;&gt;"",VLOOKUP(H1735,TABLEITEM,2,FALSE),"")</f>
        <v/>
      </c>
      <c r="M1735" s="13" t="str">
        <f>IF(D1735&lt;&gt;"",VLOOKUP(H1735,TABLEITEM,3,FALSE),"")</f>
        <v>บานพับตู้ Knock Down รุ่นพับงอ-ใหม่</v>
      </c>
      <c r="N1735" s="14">
        <f>INSTOCK!$I1735*INSTOCK!$K1735</f>
        <v>8000</v>
      </c>
      <c r="O1735" s="4"/>
      <c r="P1735" s="4"/>
    </row>
    <row r="1736" ht="15.75" hidden="1" customHeight="1">
      <c r="B1736" s="8">
        <v>2053.0</v>
      </c>
      <c r="C1736" s="9">
        <v>43483.0</v>
      </c>
      <c r="D1736" s="6">
        <v>6.20107E7</v>
      </c>
      <c r="E1736" s="4">
        <v>6.201000081E9</v>
      </c>
      <c r="F1736" s="8" t="s">
        <v>2306</v>
      </c>
      <c r="G1736" s="4" t="s">
        <v>711</v>
      </c>
      <c r="H1736" s="10" t="s">
        <v>105</v>
      </c>
      <c r="I1736" s="10">
        <v>20.0</v>
      </c>
      <c r="J1736" s="11" t="str">
        <f>IF(D1736&lt;&gt;"",VLOOKUP(H1736,TABLEITEM,5,FALSE),"")</f>
        <v>KG.</v>
      </c>
      <c r="K1736" s="12">
        <v>165.75</v>
      </c>
      <c r="L1736" s="13" t="str">
        <f>IF(D1736&lt;&gt;"",VLOOKUP(H1736,TABLEITEM,2,FALSE),"")</f>
        <v/>
      </c>
      <c r="M1736" s="13" t="str">
        <f>IF(D1736&lt;&gt;"",VLOOKUP(H1736,TABLEITEM,3,FALSE),"")</f>
        <v>สีฝุ่น M10001 WN</v>
      </c>
      <c r="N1736" s="14">
        <f>INSTOCK!$I1736*INSTOCK!$K1736</f>
        <v>3315</v>
      </c>
      <c r="O1736" s="4" t="s">
        <v>971</v>
      </c>
      <c r="P1736" s="4"/>
    </row>
    <row r="1737" ht="15.75" hidden="1" customHeight="1">
      <c r="B1737" s="8">
        <v>2054.0</v>
      </c>
      <c r="C1737" s="9">
        <v>43483.0</v>
      </c>
      <c r="D1737" s="6">
        <v>6.20107E7</v>
      </c>
      <c r="E1737" s="4">
        <v>6.201000081E9</v>
      </c>
      <c r="F1737" s="8" t="s">
        <v>2306</v>
      </c>
      <c r="G1737" s="4" t="s">
        <v>711</v>
      </c>
      <c r="H1737" s="10" t="s">
        <v>712</v>
      </c>
      <c r="I1737" s="10">
        <v>20.0</v>
      </c>
      <c r="J1737" s="11" t="str">
        <f>IF(D1737&lt;&gt;"",VLOOKUP(H1737,TABLEITEM,5,FALSE),"")</f>
        <v>KG.</v>
      </c>
      <c r="K1737" s="12">
        <v>148.75</v>
      </c>
      <c r="L1737" s="13" t="str">
        <f>IF(D1737&lt;&gt;"",VLOOKUP(H1737,TABLEITEM,2,FALSE),"")</f>
        <v/>
      </c>
      <c r="M1737" s="13" t="str">
        <f>IF(D1737&lt;&gt;"",VLOOKUP(H1737,TABLEITEM,3,FALSE),"")</f>
        <v>สีฝุ่น M70460 CN</v>
      </c>
      <c r="N1737" s="14">
        <f>INSTOCK!$I1737*INSTOCK!$K1737</f>
        <v>2975</v>
      </c>
      <c r="O1737" s="4" t="s">
        <v>714</v>
      </c>
      <c r="P1737" s="4"/>
    </row>
    <row r="1738" ht="15.75" hidden="1" customHeight="1">
      <c r="B1738" s="8">
        <v>2055.0</v>
      </c>
      <c r="C1738" s="9">
        <v>43483.0</v>
      </c>
      <c r="D1738" s="6">
        <v>6.20107E7</v>
      </c>
      <c r="E1738" s="4">
        <v>6.201000081E9</v>
      </c>
      <c r="F1738" s="8" t="s">
        <v>2306</v>
      </c>
      <c r="G1738" s="4" t="s">
        <v>711</v>
      </c>
      <c r="H1738" s="10" t="s">
        <v>2117</v>
      </c>
      <c r="I1738" s="10">
        <v>20.0</v>
      </c>
      <c r="J1738" s="11" t="str">
        <f>IF(D1738&lt;&gt;"",VLOOKUP(H1738,TABLEITEM,5,FALSE),"")</f>
        <v>KG.</v>
      </c>
      <c r="K1738" s="12">
        <v>153.0</v>
      </c>
      <c r="L1738" s="13" t="str">
        <f>IF(D1738&lt;&gt;"",VLOOKUP(H1738,TABLEITEM,2,FALSE),"")</f>
        <v/>
      </c>
      <c r="M1738" s="13" t="str">
        <f>IF(D1738&lt;&gt;"",VLOOKUP(H1738,TABLEITEM,3,FALSE),"")</f>
        <v>สีฝุ่น M90079 BN สีครีมเรียบ</v>
      </c>
      <c r="N1738" s="14">
        <f>INSTOCK!$I1738*INSTOCK!$K1738</f>
        <v>3060</v>
      </c>
      <c r="O1738" s="4" t="s">
        <v>1460</v>
      </c>
      <c r="P1738" s="4"/>
    </row>
    <row r="1739" ht="15.75" hidden="1" customHeight="1">
      <c r="B1739" s="8">
        <v>2056.0</v>
      </c>
      <c r="C1739" s="9">
        <v>43490.0</v>
      </c>
      <c r="D1739" s="6">
        <v>37260.0</v>
      </c>
      <c r="E1739" s="4">
        <v>6.201000102E9</v>
      </c>
      <c r="F1739" s="8" t="s">
        <v>604</v>
      </c>
      <c r="G1739" s="4" t="s">
        <v>696</v>
      </c>
      <c r="H1739" s="10" t="s">
        <v>61</v>
      </c>
      <c r="I1739" s="10">
        <v>12.0</v>
      </c>
      <c r="J1739" s="11" t="str">
        <f>IF(D1739&lt;&gt;"",VLOOKUP(H1739,TABLEITEM,5,FALSE),"")</f>
        <v>กป.</v>
      </c>
      <c r="K1739" s="12">
        <v>41.6666</v>
      </c>
      <c r="L1739" s="13" t="str">
        <f>IF(D1739&lt;&gt;"",VLOOKUP(H1739,TABLEITEM,2,FALSE),"")</f>
        <v/>
      </c>
      <c r="M1739" s="13" t="str">
        <f>IF(D1739&lt;&gt;"",VLOOKUP(H1739,TABLEITEM,3,FALSE),"")</f>
        <v>สีสเปรย์ สีแดง</v>
      </c>
      <c r="N1739" s="14">
        <f>INSTOCK!$I1739*INSTOCK!$K1739</f>
        <v>499.9992</v>
      </c>
      <c r="O1739" s="4"/>
      <c r="P1739" s="4"/>
    </row>
    <row r="1740" ht="15.75" hidden="1" customHeight="1">
      <c r="B1740" s="8">
        <v>2057.0</v>
      </c>
      <c r="C1740" s="9">
        <v>43490.0</v>
      </c>
      <c r="D1740" s="6">
        <v>37260.0</v>
      </c>
      <c r="E1740" s="4">
        <v>6.201000102E9</v>
      </c>
      <c r="F1740" s="8" t="s">
        <v>604</v>
      </c>
      <c r="G1740" s="4" t="s">
        <v>696</v>
      </c>
      <c r="H1740" s="10" t="s">
        <v>62</v>
      </c>
      <c r="I1740" s="10">
        <v>12.0</v>
      </c>
      <c r="J1740" s="11" t="str">
        <f>IF(D1740&lt;&gt;"",VLOOKUP(H1740,TABLEITEM,5,FALSE),"")</f>
        <v>กป.</v>
      </c>
      <c r="K1740" s="12">
        <v>41.6666</v>
      </c>
      <c r="L1740" s="13" t="str">
        <f>IF(D1740&lt;&gt;"",VLOOKUP(H1740,TABLEITEM,2,FALSE),"")</f>
        <v/>
      </c>
      <c r="M1740" s="13" t="str">
        <f>IF(D1740&lt;&gt;"",VLOOKUP(H1740,TABLEITEM,3,FALSE),"")</f>
        <v>สีสเปรย์ สีน้ำเงิน</v>
      </c>
      <c r="N1740" s="14">
        <f>INSTOCK!$I1740*INSTOCK!$K1740</f>
        <v>499.9992</v>
      </c>
      <c r="O1740" s="4"/>
      <c r="P1740" s="4"/>
    </row>
    <row r="1741" ht="15.75" hidden="1" customHeight="1">
      <c r="B1741" s="8">
        <v>2058.0</v>
      </c>
      <c r="C1741" s="9">
        <v>43490.0</v>
      </c>
      <c r="D1741" s="6">
        <v>37260.0</v>
      </c>
      <c r="E1741" s="4">
        <v>6.201000102E9</v>
      </c>
      <c r="F1741" s="8" t="s">
        <v>604</v>
      </c>
      <c r="G1741" s="4" t="s">
        <v>696</v>
      </c>
      <c r="H1741" s="10" t="s">
        <v>66</v>
      </c>
      <c r="I1741" s="10">
        <v>24.0</v>
      </c>
      <c r="J1741" s="11" t="str">
        <f>IF(D1741&lt;&gt;"",VLOOKUP(H1741,TABLEITEM,5,FALSE),"")</f>
        <v>กป.</v>
      </c>
      <c r="K1741" s="12">
        <v>41.6666</v>
      </c>
      <c r="L1741" s="13" t="str">
        <f>IF(D1741&lt;&gt;"",VLOOKUP(H1741,TABLEITEM,2,FALSE),"")</f>
        <v/>
      </c>
      <c r="M1741" s="13" t="str">
        <f>IF(D1741&lt;&gt;"",VLOOKUP(H1741,TABLEITEM,3,FALSE),"")</f>
        <v>สีสเปรย์ สีดำ</v>
      </c>
      <c r="N1741" s="14">
        <f>INSTOCK!$I1741*INSTOCK!$K1741</f>
        <v>999.9984</v>
      </c>
      <c r="O1741" s="4"/>
      <c r="P1741" s="4"/>
    </row>
    <row r="1742" ht="15.75" hidden="1" customHeight="1">
      <c r="B1742" s="8">
        <v>2059.0</v>
      </c>
      <c r="C1742" s="9">
        <v>43490.0</v>
      </c>
      <c r="D1742" s="6" t="s">
        <v>2307</v>
      </c>
      <c r="E1742" s="4">
        <v>6.201000103E9</v>
      </c>
      <c r="F1742" s="8" t="s">
        <v>604</v>
      </c>
      <c r="G1742" s="4" t="s">
        <v>743</v>
      </c>
      <c r="H1742" s="10" t="s">
        <v>77</v>
      </c>
      <c r="I1742" s="10">
        <v>20.0</v>
      </c>
      <c r="J1742" s="11" t="str">
        <f>IF(D1742&lt;&gt;"",VLOOKUP(H1742,TABLEITEM,5,FALSE),"")</f>
        <v>KG.</v>
      </c>
      <c r="K1742" s="12">
        <v>120.0</v>
      </c>
      <c r="L1742" s="13" t="str">
        <f>IF(D1742&lt;&gt;"",VLOOKUP(H1742,TABLEITEM,2,FALSE),"")</f>
        <v/>
      </c>
      <c r="M1742" s="13" t="str">
        <f>IF(D1742&lt;&gt;"",VLOOKUP(H1742,TABLEITEM,3,FALSE),"")</f>
        <v>สีฝุ่น GREY BUTTER 1025216PX20</v>
      </c>
      <c r="N1742" s="14">
        <f>INSTOCK!$I1742*INSTOCK!$K1742</f>
        <v>2400</v>
      </c>
      <c r="O1742" s="4"/>
      <c r="P1742" s="4"/>
    </row>
    <row r="1743" ht="15.75" hidden="1" customHeight="1">
      <c r="B1743" s="8">
        <v>2060.0</v>
      </c>
      <c r="C1743" s="9">
        <v>43490.0</v>
      </c>
      <c r="D1743" s="6" t="s">
        <v>2308</v>
      </c>
      <c r="E1743" s="4">
        <v>6.201000105E9</v>
      </c>
      <c r="F1743" s="8" t="s">
        <v>604</v>
      </c>
      <c r="G1743" s="4" t="s">
        <v>1611</v>
      </c>
      <c r="H1743" s="10" t="s">
        <v>190</v>
      </c>
      <c r="I1743" s="10">
        <v>600.0</v>
      </c>
      <c r="J1743" s="11" t="str">
        <f>IF(D1743&lt;&gt;"",VLOOKUP(H1743,TABLEITEM,5,FALSE),"")</f>
        <v>EA</v>
      </c>
      <c r="K1743" s="12">
        <v>11.5</v>
      </c>
      <c r="L1743" s="13" t="str">
        <f>IF(D1743&lt;&gt;"",VLOOKUP(H1743,TABLEITEM,2,FALSE),"")</f>
        <v/>
      </c>
      <c r="M1743" s="13" t="str">
        <f>IF(D1743&lt;&gt;"",VLOOKUP(H1743,TABLEITEM,3,FALSE),"")</f>
        <v>TERMINAL BLOCK TX20</v>
      </c>
      <c r="N1743" s="14">
        <f>INSTOCK!$I1743*INSTOCK!$K1743</f>
        <v>6900</v>
      </c>
      <c r="O1743" s="4"/>
      <c r="P1743" s="4"/>
    </row>
    <row r="1744" ht="15.75" hidden="1" customHeight="1">
      <c r="B1744" s="8">
        <v>2061.0</v>
      </c>
      <c r="C1744" s="9">
        <v>43490.0</v>
      </c>
      <c r="D1744" s="6" t="s">
        <v>2308</v>
      </c>
      <c r="E1744" s="4">
        <v>6.201000105E9</v>
      </c>
      <c r="F1744" s="8" t="s">
        <v>604</v>
      </c>
      <c r="G1744" s="4" t="s">
        <v>1611</v>
      </c>
      <c r="H1744" s="10" t="s">
        <v>189</v>
      </c>
      <c r="I1744" s="10">
        <v>200.0</v>
      </c>
      <c r="J1744" s="11" t="str">
        <f>IF(D1744&lt;&gt;"",VLOOKUP(H1744,TABLEITEM,5,FALSE),"")</f>
        <v>EA</v>
      </c>
      <c r="K1744" s="12">
        <v>5.0</v>
      </c>
      <c r="L1744" s="13" t="str">
        <f>IF(D1744&lt;&gt;"",VLOOKUP(H1744,TABLEITEM,2,FALSE),"")</f>
        <v/>
      </c>
      <c r="M1744" s="13" t="str">
        <f>IF(D1744&lt;&gt;"",VLOOKUP(H1744,TABLEITEM,3,FALSE),"")</f>
        <v>END PLATE TXA1</v>
      </c>
      <c r="N1744" s="14">
        <f>INSTOCK!$I1744*INSTOCK!$K1744</f>
        <v>1000</v>
      </c>
      <c r="O1744" s="4"/>
      <c r="P1744" s="4"/>
    </row>
    <row r="1745" ht="15.75" hidden="1" customHeight="1">
      <c r="B1745" s="8">
        <v>2062.0</v>
      </c>
      <c r="C1745" s="9">
        <v>43490.0</v>
      </c>
      <c r="D1745" s="6" t="s">
        <v>2309</v>
      </c>
      <c r="E1745" s="4">
        <v>6.2010001E9</v>
      </c>
      <c r="F1745" s="8" t="s">
        <v>604</v>
      </c>
      <c r="G1745" s="4" t="s">
        <v>1033</v>
      </c>
      <c r="H1745" s="10" t="s">
        <v>2310</v>
      </c>
      <c r="I1745" s="10">
        <v>3.0</v>
      </c>
      <c r="J1745" s="11" t="str">
        <f>IF(D1745&lt;&gt;"",VLOOKUP(H1745,TABLEITEM,5,FALSE),"")</f>
        <v>EA</v>
      </c>
      <c r="K1745" s="12">
        <v>550.0</v>
      </c>
      <c r="L1745" s="13" t="str">
        <f>IF(D1745&lt;&gt;"",VLOOKUP(H1745,TABLEITEM,2,FALSE),"")</f>
        <v/>
      </c>
      <c r="M1745" s="13" t="str">
        <f>IF(D1745&lt;&gt;"",VLOOKUP(H1745,TABLEITEM,3,FALSE),"")</f>
        <v>แป้นจานขัด 5"</v>
      </c>
      <c r="N1745" s="14">
        <f>INSTOCK!$I1745*INSTOCK!$K1745</f>
        <v>1650</v>
      </c>
      <c r="O1745" s="4"/>
      <c r="P1745" s="4"/>
    </row>
    <row r="1746" ht="15.75" hidden="1" customHeight="1">
      <c r="B1746" s="8">
        <v>2063.0</v>
      </c>
      <c r="C1746" s="9">
        <v>43489.0</v>
      </c>
      <c r="D1746" s="6" t="s">
        <v>2311</v>
      </c>
      <c r="E1746" s="4">
        <v>6.201000099E9</v>
      </c>
      <c r="F1746" s="8" t="s">
        <v>807</v>
      </c>
      <c r="G1746" s="4" t="s">
        <v>808</v>
      </c>
      <c r="H1746" s="10" t="s">
        <v>809</v>
      </c>
      <c r="I1746" s="10">
        <v>1.0</v>
      </c>
      <c r="J1746" s="11" t="str">
        <f>IF(D1746&lt;&gt;"",VLOOKUP(H1746,TABLEITEM,5,FALSE),"")</f>
        <v>ท่อ</v>
      </c>
      <c r="K1746" s="12">
        <v>2700.0</v>
      </c>
      <c r="L1746" s="13" t="str">
        <f>IF(D1746&lt;&gt;"",VLOOKUP(H1746,TABLEITEM,2,FALSE),"")</f>
        <v/>
      </c>
      <c r="M1746" s="13" t="str">
        <f>IF(D1746&lt;&gt;"",VLOOKUP(H1746,TABLEITEM,3,FALSE),"")</f>
        <v>ไนโตรเจนเหลว ขนาด 100คิว</v>
      </c>
      <c r="N1746" s="14">
        <f>INSTOCK!$I1746*INSTOCK!$K1746</f>
        <v>2700</v>
      </c>
      <c r="O1746" s="4"/>
      <c r="P1746" s="4"/>
    </row>
    <row r="1747" ht="15.75" hidden="1" customHeight="1">
      <c r="B1747" s="8">
        <v>2064.0</v>
      </c>
      <c r="C1747" s="9">
        <v>43488.0</v>
      </c>
      <c r="D1747" s="6">
        <v>37232.0</v>
      </c>
      <c r="E1747" s="4">
        <v>6.201000093E9</v>
      </c>
      <c r="F1747" s="8" t="s">
        <v>604</v>
      </c>
      <c r="G1747" s="4" t="s">
        <v>696</v>
      </c>
      <c r="H1747" s="10" t="s">
        <v>37</v>
      </c>
      <c r="I1747" s="10">
        <v>20.0</v>
      </c>
      <c r="J1747" s="11" t="str">
        <f>IF(D1747&lt;&gt;"",VLOOKUP(H1747,TABLEITEM,5,FALSE),"")</f>
        <v>EA</v>
      </c>
      <c r="K1747" s="12">
        <v>145.0</v>
      </c>
      <c r="L1747" s="13" t="str">
        <f>IF(D1747&lt;&gt;"",VLOOKUP(H1747,TABLEITEM,2,FALSE),"")</f>
        <v/>
      </c>
      <c r="M1747" s="13" t="str">
        <f>IF(D1747&lt;&gt;"",VLOOKUP(H1747,TABLEITEM,3,FALSE),"")</f>
        <v>ซิลิโคนใส</v>
      </c>
      <c r="N1747" s="14">
        <f>INSTOCK!$I1747*INSTOCK!$K1747</f>
        <v>2900</v>
      </c>
      <c r="O1747" s="4"/>
      <c r="P1747" s="4" t="s">
        <v>2312</v>
      </c>
    </row>
    <row r="1748" ht="15.75" hidden="1" customHeight="1">
      <c r="B1748" s="8">
        <v>2065.0</v>
      </c>
      <c r="C1748" s="9">
        <v>43488.0</v>
      </c>
      <c r="D1748" s="6" t="s">
        <v>2313</v>
      </c>
      <c r="E1748" s="4">
        <v>6.201000091E9</v>
      </c>
      <c r="F1748" s="8" t="s">
        <v>2314</v>
      </c>
      <c r="G1748" s="4" t="s">
        <v>617</v>
      </c>
      <c r="H1748" s="10" t="s">
        <v>644</v>
      </c>
      <c r="I1748" s="10">
        <v>10.0</v>
      </c>
      <c r="J1748" s="11" t="str">
        <f>IF(D1748&lt;&gt;"",VLOOKUP(H1748,TABLEITEM,5,FALSE),"")</f>
        <v>M</v>
      </c>
      <c r="K1748" s="12">
        <v>1560.0</v>
      </c>
      <c r="L1748" s="13" t="str">
        <f>IF(D1748&lt;&gt;"",VLOOKUP(H1748,TABLEITEM,2,FALSE),"")</f>
        <v>Busbar</v>
      </c>
      <c r="M1748" s="13" t="str">
        <f>IF(D1748&lt;&gt;"",VLOOKUP(H1748,TABLEITEM,3,FALSE),"")</f>
        <v>บัสบาร์ทองแดง 3"x3/8"</v>
      </c>
      <c r="N1748" s="14">
        <f>INSTOCK!$I1748*INSTOCK!$K1748</f>
        <v>15600</v>
      </c>
      <c r="O1748" s="4" t="s">
        <v>2315</v>
      </c>
      <c r="P1748" s="4"/>
    </row>
    <row r="1749" ht="15.75" hidden="1" customHeight="1">
      <c r="B1749" s="8">
        <v>2066.0</v>
      </c>
      <c r="C1749" s="9">
        <v>43489.0</v>
      </c>
      <c r="D1749" s="6">
        <v>6201501.0</v>
      </c>
      <c r="E1749" s="4">
        <v>6.201000109E9</v>
      </c>
      <c r="F1749" s="8" t="s">
        <v>604</v>
      </c>
      <c r="G1749" s="4" t="s">
        <v>1100</v>
      </c>
      <c r="H1749" s="10" t="s">
        <v>375</v>
      </c>
      <c r="I1749" s="10">
        <v>500.0</v>
      </c>
      <c r="J1749" s="11" t="str">
        <f>IF(D1749&lt;&gt;"",VLOOKUP(H1749,TABLEITEM,5,FALSE),"")</f>
        <v>EA</v>
      </c>
      <c r="K1749" s="12">
        <v>0.576</v>
      </c>
      <c r="L1749" s="13" t="str">
        <f>IF(D1749&lt;&gt;"",VLOOKUP(H1749,TABLEITEM,2,FALSE),"")</f>
        <v/>
      </c>
      <c r="M1749" s="13" t="str">
        <f>IF(D1749&lt;&gt;"",VLOOKUP(H1749,TABLEITEM,3,FALSE),"")</f>
        <v>ปลอกหุ้มหางปลา V-14 สีแดง</v>
      </c>
      <c r="N1749" s="14">
        <f>INSTOCK!$I1749*INSTOCK!$K1749</f>
        <v>288</v>
      </c>
      <c r="O1749" s="4" t="s">
        <v>1849</v>
      </c>
      <c r="P1749" s="4"/>
    </row>
    <row r="1750" ht="15.75" hidden="1" customHeight="1">
      <c r="B1750" s="8">
        <v>2067.0</v>
      </c>
      <c r="C1750" s="9">
        <v>43489.0</v>
      </c>
      <c r="D1750" s="6">
        <v>6201501.0</v>
      </c>
      <c r="E1750" s="4">
        <v>6.201000109E9</v>
      </c>
      <c r="F1750" s="8" t="s">
        <v>604</v>
      </c>
      <c r="G1750" s="4" t="s">
        <v>1100</v>
      </c>
      <c r="H1750" s="10" t="s">
        <v>377</v>
      </c>
      <c r="I1750" s="10">
        <v>500.0</v>
      </c>
      <c r="J1750" s="11" t="str">
        <f>IF(D1750&lt;&gt;"",VLOOKUP(H1750,TABLEITEM,5,FALSE),"")</f>
        <v>EA</v>
      </c>
      <c r="K1750" s="12">
        <v>0.576</v>
      </c>
      <c r="L1750" s="13" t="str">
        <f>IF(D1750&lt;&gt;"",VLOOKUP(H1750,TABLEITEM,2,FALSE),"")</f>
        <v/>
      </c>
      <c r="M1750" s="13" t="str">
        <f>IF(D1750&lt;&gt;"",VLOOKUP(H1750,TABLEITEM,3,FALSE),"")</f>
        <v>ปลอกหุ้มหางปลา V-14 สีน้ำเงิน</v>
      </c>
      <c r="N1750" s="14">
        <f>INSTOCK!$I1750*INSTOCK!$K1750</f>
        <v>288</v>
      </c>
      <c r="O1750" s="4" t="s">
        <v>1849</v>
      </c>
      <c r="P1750" s="4"/>
    </row>
    <row r="1751" ht="15.75" hidden="1" customHeight="1">
      <c r="B1751" s="8">
        <v>2068.0</v>
      </c>
      <c r="C1751" s="9">
        <v>43489.0</v>
      </c>
      <c r="D1751" s="6">
        <v>6201501.0</v>
      </c>
      <c r="E1751" s="4">
        <v>6.201000109E9</v>
      </c>
      <c r="F1751" s="8" t="s">
        <v>604</v>
      </c>
      <c r="G1751" s="4" t="s">
        <v>1100</v>
      </c>
      <c r="H1751" s="10" t="s">
        <v>380</v>
      </c>
      <c r="I1751" s="10">
        <v>300.0</v>
      </c>
      <c r="J1751" s="11" t="str">
        <f>IF(D1751&lt;&gt;"",VLOOKUP(H1751,TABLEITEM,5,FALSE),"")</f>
        <v>EA</v>
      </c>
      <c r="K1751" s="12">
        <v>0.576</v>
      </c>
      <c r="L1751" s="13" t="str">
        <f>IF(D1751&lt;&gt;"",VLOOKUP(H1751,TABLEITEM,2,FALSE),"")</f>
        <v/>
      </c>
      <c r="M1751" s="13" t="str">
        <f>IF(D1751&lt;&gt;"",VLOOKUP(H1751,TABLEITEM,3,FALSE),"")</f>
        <v>ปลอกหุ้มหางปลา V-14สีดำ</v>
      </c>
      <c r="N1751" s="14">
        <f>INSTOCK!$I1751*INSTOCK!$K1751</f>
        <v>172.8</v>
      </c>
      <c r="O1751" s="4" t="s">
        <v>1849</v>
      </c>
      <c r="P1751" s="4"/>
    </row>
    <row r="1752" ht="15.75" hidden="1" customHeight="1">
      <c r="B1752" s="8">
        <v>2069.0</v>
      </c>
      <c r="C1752" s="9">
        <v>43488.0</v>
      </c>
      <c r="D1752" s="6" t="s">
        <v>2316</v>
      </c>
      <c r="E1752" s="4">
        <v>6.20100009E9</v>
      </c>
      <c r="F1752" s="8" t="s">
        <v>604</v>
      </c>
      <c r="G1752" s="4" t="s">
        <v>702</v>
      </c>
      <c r="H1752" s="10" t="s">
        <v>80</v>
      </c>
      <c r="I1752" s="10">
        <v>100.0</v>
      </c>
      <c r="J1752" s="11" t="str">
        <f>IF(D1752&lt;&gt;"",VLOOKUP(H1752,TABLEITEM,5,FALSE),"")</f>
        <v>KG.</v>
      </c>
      <c r="K1752" s="12">
        <v>115.0</v>
      </c>
      <c r="L1752" s="13" t="str">
        <f>IF(D1752&lt;&gt;"",VLOOKUP(H1752,TABLEITEM,2,FALSE),"")</f>
        <v/>
      </c>
      <c r="M1752" s="13" t="str">
        <f>IF(D1752&lt;&gt;"",VLOOKUP(H1752,TABLEITEM,3,FALSE),"")</f>
        <v>สีฝุ่น FF 110/815/C สีผิวเงา</v>
      </c>
      <c r="N1752" s="14">
        <f>INSTOCK!$I1752*INSTOCK!$K1752</f>
        <v>11500</v>
      </c>
      <c r="O1752" s="4"/>
      <c r="P1752" s="4"/>
    </row>
    <row r="1753" ht="15.75" hidden="1" customHeight="1">
      <c r="B1753" s="8">
        <v>2070.0</v>
      </c>
      <c r="C1753" s="9">
        <v>43488.0</v>
      </c>
      <c r="D1753" s="6" t="s">
        <v>2317</v>
      </c>
      <c r="E1753" s="4">
        <v>6.201000089E9</v>
      </c>
      <c r="F1753" s="8" t="s">
        <v>604</v>
      </c>
      <c r="G1753" s="4" t="s">
        <v>808</v>
      </c>
      <c r="H1753" s="10" t="s">
        <v>816</v>
      </c>
      <c r="I1753" s="10">
        <v>4.0</v>
      </c>
      <c r="J1753" s="11" t="str">
        <f>IF(D1753&lt;&gt;"",VLOOKUP(H1753,TABLEITEM,5,FALSE),"")</f>
        <v>ท่อ</v>
      </c>
      <c r="K1753" s="12">
        <v>600.0</v>
      </c>
      <c r="L1753" s="13" t="str">
        <f>IF(D1753&lt;&gt;"",VLOOKUP(H1753,TABLEITEM,2,FALSE),"")</f>
        <v/>
      </c>
      <c r="M1753" s="13" t="str">
        <f>IF(D1753&lt;&gt;"",VLOOKUP(H1753,TABLEITEM,3,FALSE),"")</f>
        <v>อาร์กอน ขนาด 6คิว</v>
      </c>
      <c r="N1753" s="14">
        <f>INSTOCK!$I1753*INSTOCK!$K1753</f>
        <v>2400</v>
      </c>
      <c r="O1753" s="4"/>
      <c r="P1753" s="4"/>
    </row>
    <row r="1754" ht="15.75" hidden="1" customHeight="1">
      <c r="B1754" s="8">
        <v>2071.0</v>
      </c>
      <c r="C1754" s="9">
        <v>43488.0</v>
      </c>
      <c r="D1754" s="6" t="s">
        <v>2317</v>
      </c>
      <c r="E1754" s="4">
        <v>6.201000089E9</v>
      </c>
      <c r="F1754" s="8" t="s">
        <v>604</v>
      </c>
      <c r="G1754" s="4" t="s">
        <v>808</v>
      </c>
      <c r="H1754" s="10" t="s">
        <v>818</v>
      </c>
      <c r="I1754" s="10">
        <v>15.0</v>
      </c>
      <c r="J1754" s="11" t="str">
        <f>IF(D1754&lt;&gt;"",VLOOKUP(H1754,TABLEITEM,5,FALSE),"")</f>
        <v>ท่อ</v>
      </c>
      <c r="K1754" s="12">
        <v>300.0</v>
      </c>
      <c r="L1754" s="13" t="str">
        <f>IF(D1754&lt;&gt;"",VLOOKUP(H1754,TABLEITEM,2,FALSE),"")</f>
        <v/>
      </c>
      <c r="M1754" s="13" t="str">
        <f>IF(D1754&lt;&gt;"",VLOOKUP(H1754,TABLEITEM,3,FALSE),"")</f>
        <v>คาร์บอนไดออกไซด์ ขนาด 25 กก</v>
      </c>
      <c r="N1754" s="14">
        <f>INSTOCK!$I1754*INSTOCK!$K1754</f>
        <v>4500</v>
      </c>
      <c r="O1754" s="4"/>
      <c r="P1754" s="4"/>
    </row>
    <row r="1755" ht="15.75" hidden="1" customHeight="1">
      <c r="B1755" s="8">
        <v>2072.0</v>
      </c>
      <c r="C1755" s="9">
        <v>43489.0</v>
      </c>
      <c r="D1755" s="6" t="s">
        <v>2318</v>
      </c>
      <c r="E1755" s="4">
        <v>6.201000108E9</v>
      </c>
      <c r="F1755" s="8" t="s">
        <v>604</v>
      </c>
      <c r="G1755" s="4" t="s">
        <v>665</v>
      </c>
      <c r="H1755" s="10" t="s">
        <v>462</v>
      </c>
      <c r="I1755" s="10">
        <v>1500.0</v>
      </c>
      <c r="J1755" s="11" t="str">
        <f>IF(D1755&lt;&gt;"",VLOOKUP(H1755,TABLEITEM,5,FALSE),"")</f>
        <v>M</v>
      </c>
      <c r="K1755" s="12">
        <v>5.0</v>
      </c>
      <c r="L1755" s="13" t="str">
        <f>IF(D1755&lt;&gt;"",VLOOKUP(H1755,TABLEITEM,2,FALSE),"")</f>
        <v>wire</v>
      </c>
      <c r="M1755" s="13" t="str">
        <f>IF(D1755&lt;&gt;"",VLOOKUP(H1755,TABLEITEM,3,FALSE),"")</f>
        <v>สายไฟ VSF1x1 SQMM.สีเหลือง</v>
      </c>
      <c r="N1755" s="14">
        <f>INSTOCK!$I1755*INSTOCK!$K1755</f>
        <v>7500</v>
      </c>
      <c r="O1755" s="4"/>
      <c r="P1755" s="4"/>
    </row>
    <row r="1756" ht="15.75" hidden="1" customHeight="1">
      <c r="B1756" s="8">
        <v>2073.0</v>
      </c>
      <c r="C1756" s="9">
        <v>43490.0</v>
      </c>
      <c r="D1756" s="6" t="s">
        <v>2319</v>
      </c>
      <c r="E1756" s="4">
        <v>6.201000114E9</v>
      </c>
      <c r="F1756" s="8" t="s">
        <v>604</v>
      </c>
      <c r="G1756" s="4" t="s">
        <v>2320</v>
      </c>
      <c r="H1756" s="10" t="s">
        <v>513</v>
      </c>
      <c r="I1756" s="10">
        <v>200.0</v>
      </c>
      <c r="J1756" s="11" t="str">
        <f>IF(D1756&lt;&gt;"",VLOOKUP(H1756,TABLEITEM,5,FALSE),"")</f>
        <v>M</v>
      </c>
      <c r="K1756" s="12">
        <v>35.955</v>
      </c>
      <c r="L1756" s="13" t="str">
        <f>IF(D1756&lt;&gt;"",VLOOKUP(H1756,TABLEITEM,2,FALSE),"")</f>
        <v>wire</v>
      </c>
      <c r="M1756" s="13" t="str">
        <f>IF(D1756&lt;&gt;"",VLOOKUP(H1756,TABLEITEM,3,FALSE),"")</f>
        <v>สายTHW ขนาด 1x16 SQMM.สีดำ</v>
      </c>
      <c r="N1756" s="14">
        <f>INSTOCK!$I1756*INSTOCK!$K1756</f>
        <v>7191</v>
      </c>
      <c r="O1756" s="4" t="s">
        <v>1476</v>
      </c>
      <c r="P1756" s="4"/>
    </row>
    <row r="1757" ht="15.75" hidden="1" customHeight="1">
      <c r="B1757" s="8">
        <v>2074.0</v>
      </c>
      <c r="C1757" s="9">
        <v>43488.0</v>
      </c>
      <c r="D1757" s="6" t="s">
        <v>2321</v>
      </c>
      <c r="E1757" s="4">
        <v>6.201000092E9</v>
      </c>
      <c r="F1757" s="8" t="s">
        <v>604</v>
      </c>
      <c r="G1757" s="4" t="s">
        <v>2320</v>
      </c>
      <c r="H1757" s="10" t="s">
        <v>513</v>
      </c>
      <c r="I1757" s="10">
        <v>100.0</v>
      </c>
      <c r="J1757" s="11" t="str">
        <f>IF(D1757&lt;&gt;"",VLOOKUP(H1757,TABLEITEM,5,FALSE),"")</f>
        <v>M</v>
      </c>
      <c r="K1757" s="12">
        <v>35.955</v>
      </c>
      <c r="L1757" s="13" t="str">
        <f>IF(D1757&lt;&gt;"",VLOOKUP(H1757,TABLEITEM,2,FALSE),"")</f>
        <v>wire</v>
      </c>
      <c r="M1757" s="13" t="str">
        <f>IF(D1757&lt;&gt;"",VLOOKUP(H1757,TABLEITEM,3,FALSE),"")</f>
        <v>สายTHW ขนาด 1x16 SQMM.สีดำ</v>
      </c>
      <c r="N1757" s="14">
        <f>INSTOCK!$I1757*INSTOCK!$K1757</f>
        <v>3595.5</v>
      </c>
      <c r="O1757" s="4"/>
      <c r="P1757" s="4"/>
    </row>
    <row r="1758" ht="15.75" hidden="1" customHeight="1">
      <c r="B1758" s="8">
        <v>2075.0</v>
      </c>
      <c r="C1758" s="9">
        <v>43488.0</v>
      </c>
      <c r="D1758" s="6" t="s">
        <v>2321</v>
      </c>
      <c r="E1758" s="4">
        <v>6.201000092E9</v>
      </c>
      <c r="F1758" s="8" t="s">
        <v>604</v>
      </c>
      <c r="G1758" s="4" t="s">
        <v>2320</v>
      </c>
      <c r="H1758" s="10" t="s">
        <v>512</v>
      </c>
      <c r="I1758" s="10">
        <v>200.0</v>
      </c>
      <c r="J1758" s="11" t="str">
        <f>IF(D1758&lt;&gt;"",VLOOKUP(H1758,TABLEITEM,5,FALSE),"")</f>
        <v>M</v>
      </c>
      <c r="K1758" s="12">
        <v>23.171</v>
      </c>
      <c r="L1758" s="13" t="str">
        <f>IF(D1758&lt;&gt;"",VLOOKUP(H1758,TABLEITEM,2,FALSE),"")</f>
        <v>wire</v>
      </c>
      <c r="M1758" s="13" t="str">
        <f>IF(D1758&lt;&gt;"",VLOOKUP(H1758,TABLEITEM,3,FALSE),"")</f>
        <v>สายTHW ขนาด 1x10 SQMM.สีดำ</v>
      </c>
      <c r="N1758" s="14">
        <f>INSTOCK!$I1758*INSTOCK!$K1758</f>
        <v>4634.2</v>
      </c>
      <c r="O1758" s="4" t="s">
        <v>2322</v>
      </c>
      <c r="P1758" s="4"/>
    </row>
    <row r="1759" ht="15.75" hidden="1" customHeight="1">
      <c r="B1759" s="8">
        <v>2076.0</v>
      </c>
      <c r="C1759" s="9">
        <v>43487.0</v>
      </c>
      <c r="D1759" s="6" t="s">
        <v>2323</v>
      </c>
      <c r="E1759" s="4">
        <v>6.201000098E9</v>
      </c>
      <c r="F1759" s="8" t="s">
        <v>1383</v>
      </c>
      <c r="G1759" s="4" t="s">
        <v>1485</v>
      </c>
      <c r="H1759" s="10" t="s">
        <v>2324</v>
      </c>
      <c r="I1759" s="10">
        <v>2.0</v>
      </c>
      <c r="J1759" s="11" t="str">
        <f>IF(D1759&lt;&gt;"",VLOOKUP(H1759,TABLEITEM,5,FALSE),"")</f>
        <v>EA</v>
      </c>
      <c r="K1759" s="12">
        <v>446.9</v>
      </c>
      <c r="L1759" s="13" t="str">
        <f>IF(D1759&lt;&gt;"",VLOOKUP(H1759,TABLEITEM,2,FALSE),"")</f>
        <v/>
      </c>
      <c r="M1759" s="13" t="str">
        <f>IF(D1759&lt;&gt;"",VLOOKUP(H1759,TABLEITEM,3,FALSE),"")</f>
        <v>AUXILIARY CONTACT 2450</v>
      </c>
      <c r="N1759" s="14">
        <f>INSTOCK!$I1759*INSTOCK!$K1759</f>
        <v>893.8</v>
      </c>
      <c r="O1759" s="4"/>
      <c r="P1759" s="4"/>
    </row>
    <row r="1760" ht="15.75" hidden="1" customHeight="1">
      <c r="B1760" s="8">
        <v>2077.0</v>
      </c>
      <c r="C1760" s="9" t="s">
        <v>2325</v>
      </c>
      <c r="D1760" s="6" t="s">
        <v>2326</v>
      </c>
      <c r="E1760" s="4">
        <v>6.201000139E9</v>
      </c>
      <c r="F1760" s="8" t="s">
        <v>604</v>
      </c>
      <c r="G1760" s="4" t="s">
        <v>2327</v>
      </c>
      <c r="H1760" s="10" t="s">
        <v>2328</v>
      </c>
      <c r="I1760" s="10">
        <v>5000.0</v>
      </c>
      <c r="J1760" s="11" t="str">
        <f>IF(D1760&lt;&gt;"",VLOOKUP(H1760,TABLEITEM,5,FALSE),"")</f>
        <v>EA</v>
      </c>
      <c r="K1760" s="12">
        <v>0.65</v>
      </c>
      <c r="L1760" s="13" t="str">
        <f>IF(D1760&lt;&gt;"",VLOOKUP(H1760,TABLEITEM,2,FALSE),"")</f>
        <v/>
      </c>
      <c r="M1760" s="13" t="str">
        <f>IF(D1760&lt;&gt;"",VLOOKUP(H1760,TABLEITEM,3,FALSE),"")</f>
        <v>สตัด M4x10</v>
      </c>
      <c r="N1760" s="14">
        <f>INSTOCK!$I1760*INSTOCK!$K1760</f>
        <v>3250</v>
      </c>
      <c r="O1760" s="4"/>
      <c r="P1760" s="4"/>
    </row>
    <row r="1761" ht="15.75" hidden="1" customHeight="1">
      <c r="B1761" s="8">
        <v>2078.0</v>
      </c>
      <c r="C1761" s="9" t="s">
        <v>2325</v>
      </c>
      <c r="D1761" s="6" t="s">
        <v>2326</v>
      </c>
      <c r="E1761" s="4">
        <v>6.201000139E9</v>
      </c>
      <c r="F1761" s="8" t="s">
        <v>604</v>
      </c>
      <c r="G1761" s="4" t="s">
        <v>2327</v>
      </c>
      <c r="H1761" s="10" t="s">
        <v>2329</v>
      </c>
      <c r="I1761" s="10">
        <v>500.0</v>
      </c>
      <c r="J1761" s="11" t="str">
        <f>IF(D1761&lt;&gt;"",VLOOKUP(H1761,TABLEITEM,5,FALSE),"")</f>
        <v>EA</v>
      </c>
      <c r="K1761" s="12">
        <v>2.7</v>
      </c>
      <c r="L1761" s="13" t="str">
        <f>IF(D1761&lt;&gt;"",VLOOKUP(H1761,TABLEITEM,2,FALSE),"")</f>
        <v/>
      </c>
      <c r="M1761" s="13" t="str">
        <f>IF(D1761&lt;&gt;"",VLOOKUP(H1761,TABLEITEM,3,FALSE),"")</f>
        <v>สตัด M4X25</v>
      </c>
      <c r="N1761" s="14">
        <f>INSTOCK!$I1761*INSTOCK!$K1761</f>
        <v>1350</v>
      </c>
      <c r="O1761" s="4"/>
      <c r="P1761" s="4"/>
    </row>
    <row r="1762" ht="15.75" hidden="1" customHeight="1">
      <c r="B1762" s="8">
        <v>2079.0</v>
      </c>
      <c r="C1762" s="9">
        <v>43490.0</v>
      </c>
      <c r="D1762" s="6" t="s">
        <v>2330</v>
      </c>
      <c r="E1762" s="4">
        <v>6.201000122E9</v>
      </c>
      <c r="F1762" s="8" t="s">
        <v>2331</v>
      </c>
      <c r="G1762" s="4" t="s">
        <v>2332</v>
      </c>
      <c r="H1762" s="10" t="s">
        <v>2333</v>
      </c>
      <c r="I1762" s="10">
        <v>1.0</v>
      </c>
      <c r="J1762" s="11" t="str">
        <f>IF(D1762&lt;&gt;"",VLOOKUP(H1762,TABLEITEM,5,FALSE),"")</f>
        <v/>
      </c>
      <c r="K1762" s="12">
        <v>950.0</v>
      </c>
      <c r="L1762" s="13" t="str">
        <f>IF(D1762&lt;&gt;"",VLOOKUP(H1762,TABLEITEM,2,FALSE),"")</f>
        <v/>
      </c>
      <c r="M1762" s="13" t="str">
        <f>IF(D1762&lt;&gt;"",VLOOKUP(H1762,TABLEITEM,3,FALSE),"")</f>
        <v>มิเตอร์ไฟฟ้า MF-33 1P 2W 15(45)A</v>
      </c>
      <c r="N1762" s="14">
        <f>INSTOCK!$I1762*INSTOCK!$K1762</f>
        <v>950</v>
      </c>
      <c r="O1762" s="4" t="s">
        <v>2334</v>
      </c>
      <c r="P1762" s="4"/>
    </row>
    <row r="1763" ht="15.75" hidden="1" customHeight="1">
      <c r="B1763" s="8">
        <v>2080.0</v>
      </c>
      <c r="C1763" s="9">
        <v>43481.0</v>
      </c>
      <c r="D1763" s="6" t="s">
        <v>2335</v>
      </c>
      <c r="E1763" s="4">
        <v>6.201000041E9</v>
      </c>
      <c r="F1763" s="8" t="s">
        <v>1383</v>
      </c>
      <c r="G1763" s="4" t="s">
        <v>692</v>
      </c>
      <c r="H1763" s="10" t="s">
        <v>2336</v>
      </c>
      <c r="I1763" s="10">
        <v>60.0</v>
      </c>
      <c r="J1763" s="11" t="str">
        <f>IF(D1763&lt;&gt;"",VLOOKUP(H1763,TABLEITEM,5,FALSE),"")</f>
        <v>M</v>
      </c>
      <c r="K1763" s="12">
        <v>71.604</v>
      </c>
      <c r="L1763" s="13" t="str">
        <f>IF(D1763&lt;&gt;"",VLOOKUP(H1763,TABLEITEM,2,FALSE),"")</f>
        <v/>
      </c>
      <c r="M1763" s="13" t="str">
        <f>IF(D1763&lt;&gt;"",VLOOKUP(H1763,TABLEITEM,3,FALSE),"")</f>
        <v>สายไฟ CVV 10x1.5</v>
      </c>
      <c r="N1763" s="14">
        <f>INSTOCK!$I1763*INSTOCK!$K1763</f>
        <v>4296.24</v>
      </c>
      <c r="O1763" s="4" t="s">
        <v>2337</v>
      </c>
      <c r="P1763" s="4"/>
    </row>
    <row r="1764" ht="15.75" hidden="1" customHeight="1">
      <c r="B1764" s="8">
        <v>2081.0</v>
      </c>
      <c r="C1764" s="9">
        <v>43481.0</v>
      </c>
      <c r="D1764" s="6" t="s">
        <v>2335</v>
      </c>
      <c r="E1764" s="4">
        <v>6.201000041E9</v>
      </c>
      <c r="F1764" s="8" t="s">
        <v>1383</v>
      </c>
      <c r="G1764" s="4" t="s">
        <v>692</v>
      </c>
      <c r="H1764" s="10" t="s">
        <v>2338</v>
      </c>
      <c r="I1764" s="10">
        <v>200.0</v>
      </c>
      <c r="J1764" s="11" t="str">
        <f>IF(D1764&lt;&gt;"",VLOOKUP(H1764,TABLEITEM,5,FALSE),"")</f>
        <v>M</v>
      </c>
      <c r="K1764" s="12">
        <v>48.093</v>
      </c>
      <c r="L1764" s="13" t="str">
        <f>IF(D1764&lt;&gt;"",VLOOKUP(H1764,TABLEITEM,2,FALSE),"")</f>
        <v/>
      </c>
      <c r="M1764" s="13" t="str">
        <f>IF(D1764&lt;&gt;"",VLOOKUP(H1764,TABLEITEM,3,FALSE),"")</f>
        <v>สายไฟ CVV 7x1.5</v>
      </c>
      <c r="N1764" s="14">
        <f>INSTOCK!$I1764*INSTOCK!$K1764</f>
        <v>9618.6</v>
      </c>
      <c r="O1764" s="4" t="s">
        <v>2339</v>
      </c>
      <c r="P1764" s="4"/>
    </row>
    <row r="1765" ht="15.75" hidden="1" customHeight="1">
      <c r="B1765" s="8">
        <v>2082.0</v>
      </c>
      <c r="C1765" s="9">
        <v>43481.0</v>
      </c>
      <c r="D1765" s="6" t="s">
        <v>2335</v>
      </c>
      <c r="E1765" s="4">
        <v>6.201000041E9</v>
      </c>
      <c r="F1765" s="8" t="s">
        <v>1383</v>
      </c>
      <c r="G1765" s="4" t="s">
        <v>692</v>
      </c>
      <c r="H1765" s="10" t="s">
        <v>1572</v>
      </c>
      <c r="I1765" s="10">
        <v>100.0</v>
      </c>
      <c r="J1765" s="11" t="str">
        <f>IF(D1765&lt;&gt;"",VLOOKUP(H1765,TABLEITEM,5,FALSE),"")</f>
        <v>M</v>
      </c>
      <c r="K1765" s="12">
        <v>20.194</v>
      </c>
      <c r="L1765" s="13" t="str">
        <f>IF(D1765&lt;&gt;"",VLOOKUP(H1765,TABLEITEM,2,FALSE),"")</f>
        <v/>
      </c>
      <c r="M1765" s="13" t="str">
        <f>IF(D1765&lt;&gt;"",VLOOKUP(H1765,TABLEITEM,3,FALSE),"")</f>
        <v>สายไฟ VCT 3x1.5SQMM</v>
      </c>
      <c r="N1765" s="14">
        <f>INSTOCK!$I1765*INSTOCK!$K1765</f>
        <v>2019.4</v>
      </c>
      <c r="O1765" s="4" t="s">
        <v>2340</v>
      </c>
      <c r="P1765" s="4"/>
    </row>
    <row r="1766" ht="15.75" hidden="1" customHeight="1">
      <c r="B1766" s="8">
        <v>2083.0</v>
      </c>
      <c r="C1766" s="9">
        <v>43487.0</v>
      </c>
      <c r="D1766" s="6" t="s">
        <v>2341</v>
      </c>
      <c r="E1766" s="4">
        <v>6.201000096E9</v>
      </c>
      <c r="F1766" s="8" t="s">
        <v>2342</v>
      </c>
      <c r="G1766" s="4" t="s">
        <v>1485</v>
      </c>
      <c r="H1766" s="10" t="s">
        <v>1561</v>
      </c>
      <c r="I1766" s="10">
        <v>1.0</v>
      </c>
      <c r="J1766" s="11" t="str">
        <f>IF(D1766&lt;&gt;"",VLOOKUP(H1766,TABLEITEM,5,FALSE),"")</f>
        <v>EA</v>
      </c>
      <c r="K1766" s="12">
        <v>1098.8</v>
      </c>
      <c r="L1766" s="13" t="str">
        <f>IF(D1766&lt;&gt;"",VLOOKUP(H1766,TABLEITEM,2,FALSE),"")</f>
        <v/>
      </c>
      <c r="M1766" s="13" t="str">
        <f>IF(D1766&lt;&gt;"",VLOOKUP(H1766,TABLEITEM,3,FALSE),"")</f>
        <v>MOTOR CIRCUIT BRWAKER GV2ME10</v>
      </c>
      <c r="N1766" s="14">
        <f>INSTOCK!$I1766*INSTOCK!$K1766</f>
        <v>1098.8</v>
      </c>
      <c r="O1766" s="4"/>
      <c r="P1766" s="4"/>
    </row>
    <row r="1767" ht="15.75" hidden="1" customHeight="1">
      <c r="B1767" s="8">
        <v>2084.0</v>
      </c>
      <c r="C1767" s="9">
        <v>43481.0</v>
      </c>
      <c r="D1767" s="6" t="s">
        <v>2343</v>
      </c>
      <c r="E1767" s="4">
        <v>6.112001688E9</v>
      </c>
      <c r="F1767" s="8" t="s">
        <v>604</v>
      </c>
      <c r="G1767" s="4" t="s">
        <v>583</v>
      </c>
      <c r="H1767" s="10" t="s">
        <v>600</v>
      </c>
      <c r="I1767" s="10">
        <v>1500.0</v>
      </c>
      <c r="J1767" s="11" t="str">
        <f>IF(D1767&lt;&gt;"",VLOOKUP(H1767,TABLEITEM,5,FALSE),"")</f>
        <v>EA</v>
      </c>
      <c r="K1767" s="12">
        <v>26.0</v>
      </c>
      <c r="L1767" s="13" t="str">
        <f>IF(D1767&lt;&gt;"",VLOOKUP(H1767,TABLEITEM,2,FALSE),"")</f>
        <v>Support</v>
      </c>
      <c r="M1767" s="13" t="str">
        <f>IF(D1767&lt;&gt;"",VLOOKUP(H1767,TABLEITEM,3,FALSE),"")</f>
        <v>ลูกถ้วย D51 M8</v>
      </c>
      <c r="N1767" s="14">
        <f>INSTOCK!$I1767*INSTOCK!$K1767</f>
        <v>39000</v>
      </c>
      <c r="O1767" s="4" t="s">
        <v>655</v>
      </c>
      <c r="P1767" s="4"/>
    </row>
    <row r="1768" ht="15.75" hidden="1" customHeight="1">
      <c r="B1768" s="8">
        <v>2085.0</v>
      </c>
      <c r="C1768" s="9">
        <v>43481.0</v>
      </c>
      <c r="D1768" s="6" t="s">
        <v>2343</v>
      </c>
      <c r="E1768" s="4">
        <v>6.112001688E9</v>
      </c>
      <c r="F1768" s="8" t="s">
        <v>604</v>
      </c>
      <c r="G1768" s="4" t="s">
        <v>583</v>
      </c>
      <c r="H1768" s="10" t="s">
        <v>584</v>
      </c>
      <c r="I1768" s="10">
        <v>600.0</v>
      </c>
      <c r="J1768" s="11" t="str">
        <f>IF(D1768&lt;&gt;"",VLOOKUP(H1768,TABLEITEM,5,FALSE),"")</f>
        <v>EA</v>
      </c>
      <c r="K1768" s="12">
        <v>113.75</v>
      </c>
      <c r="L1768" s="13" t="str">
        <f>IF(D1768&lt;&gt;"",VLOOKUP(H1768,TABLEITEM,2,FALSE),"")</f>
        <v>Support</v>
      </c>
      <c r="M1768" s="13" t="str">
        <f>IF(D1768&lt;&gt;"",VLOOKUP(H1768,TABLEITEM,3,FALSE),"")</f>
        <v>SUPPORT VFM S7 2030 180</v>
      </c>
      <c r="N1768" s="14">
        <f>INSTOCK!$I1768*INSTOCK!$K1768</f>
        <v>68250</v>
      </c>
      <c r="O1768" s="4" t="s">
        <v>585</v>
      </c>
      <c r="P1768" s="4"/>
    </row>
    <row r="1769" ht="15.75" hidden="1" customHeight="1">
      <c r="B1769" s="8">
        <v>2086.0</v>
      </c>
      <c r="C1769" s="9">
        <v>43481.0</v>
      </c>
      <c r="D1769" s="6" t="s">
        <v>2343</v>
      </c>
      <c r="E1769" s="4">
        <v>6.112001688E9</v>
      </c>
      <c r="F1769" s="8" t="s">
        <v>604</v>
      </c>
      <c r="G1769" s="4" t="s">
        <v>583</v>
      </c>
      <c r="H1769" s="10" t="s">
        <v>586</v>
      </c>
      <c r="I1769" s="10">
        <v>200.0</v>
      </c>
      <c r="J1769" s="11" t="str">
        <f>IF(D1769&lt;&gt;"",VLOOKUP(H1769,TABLEITEM,5,FALSE),"")</f>
        <v>EA</v>
      </c>
      <c r="K1769" s="12">
        <v>113.75</v>
      </c>
      <c r="L1769" s="13" t="str">
        <f>IF(D1769&lt;&gt;"",VLOOKUP(H1769,TABLEITEM,2,FALSE),"")</f>
        <v>Support</v>
      </c>
      <c r="M1769" s="13" t="str">
        <f>IF(D1769&lt;&gt;"",VLOOKUP(H1769,TABLEITEM,3,FALSE),"")</f>
        <v>SUPPORT VFM S11 2030 180</v>
      </c>
      <c r="N1769" s="14">
        <f>INSTOCK!$I1769*INSTOCK!$K1769</f>
        <v>22750</v>
      </c>
      <c r="O1769" s="4" t="s">
        <v>585</v>
      </c>
      <c r="P1769" s="4"/>
    </row>
    <row r="1770" ht="15.75" hidden="1" customHeight="1">
      <c r="B1770" s="8">
        <v>2087.0</v>
      </c>
      <c r="C1770" s="9">
        <v>43481.0</v>
      </c>
      <c r="D1770" s="6" t="s">
        <v>2343</v>
      </c>
      <c r="E1770" s="4">
        <v>6.112001688E9</v>
      </c>
      <c r="F1770" s="8" t="s">
        <v>604</v>
      </c>
      <c r="G1770" s="4" t="s">
        <v>583</v>
      </c>
      <c r="H1770" s="10" t="s">
        <v>588</v>
      </c>
      <c r="I1770" s="10">
        <v>200.0</v>
      </c>
      <c r="J1770" s="11" t="str">
        <f>IF(D1770&lt;&gt;"",VLOOKUP(H1770,TABLEITEM,5,FALSE),"")</f>
        <v>EA</v>
      </c>
      <c r="K1770" s="12">
        <v>188.5</v>
      </c>
      <c r="L1770" s="13" t="str">
        <f>IF(D1770&lt;&gt;"",VLOOKUP(H1770,TABLEITEM,2,FALSE),"")</f>
        <v>Support</v>
      </c>
      <c r="M1770" s="13" t="str">
        <f>IF(D1770&lt;&gt;"",VLOOKUP(H1770,TABLEITEM,3,FALSE),"")</f>
        <v>SUPPORT VFM D7 2040 270</v>
      </c>
      <c r="N1770" s="14">
        <f>INSTOCK!$I1770*INSTOCK!$K1770</f>
        <v>37700</v>
      </c>
      <c r="O1770" s="4" t="s">
        <v>589</v>
      </c>
      <c r="P1770" s="4"/>
    </row>
    <row r="1771" ht="15.75" hidden="1" customHeight="1">
      <c r="B1771" s="8">
        <v>2088.0</v>
      </c>
      <c r="C1771" s="9">
        <v>43481.0</v>
      </c>
      <c r="D1771" s="6" t="s">
        <v>2343</v>
      </c>
      <c r="E1771" s="4">
        <v>6.112001688E9</v>
      </c>
      <c r="F1771" s="8" t="s">
        <v>604</v>
      </c>
      <c r="G1771" s="4" t="s">
        <v>583</v>
      </c>
      <c r="H1771" s="10" t="s">
        <v>592</v>
      </c>
      <c r="I1771" s="10">
        <v>200.0</v>
      </c>
      <c r="J1771" s="11" t="str">
        <f>IF(D1771&lt;&gt;"",VLOOKUP(H1771,TABLEITEM,5,FALSE),"")</f>
        <v>EA</v>
      </c>
      <c r="K1771" s="12">
        <v>370.5</v>
      </c>
      <c r="L1771" s="13" t="str">
        <f>IF(D1771&lt;&gt;"",VLOOKUP(H1771,TABLEITEM,2,FALSE),"")</f>
        <v>Support</v>
      </c>
      <c r="M1771" s="13" t="str">
        <f>IF(D1771&lt;&gt;"",VLOOKUP(H1771,TABLEITEM,3,FALSE),"")</f>
        <v>SUPPORT VFM D11 2040 390</v>
      </c>
      <c r="N1771" s="14">
        <f>INSTOCK!$I1771*INSTOCK!$K1771</f>
        <v>74100</v>
      </c>
      <c r="O1771" s="4" t="s">
        <v>593</v>
      </c>
      <c r="P1771" s="4"/>
    </row>
    <row r="1772" ht="15.75" hidden="1" customHeight="1">
      <c r="B1772" s="8">
        <v>2089.0</v>
      </c>
      <c r="C1772" s="9">
        <v>43481.0</v>
      </c>
      <c r="D1772" s="6" t="s">
        <v>2343</v>
      </c>
      <c r="E1772" s="4">
        <v>6.112001688E9</v>
      </c>
      <c r="F1772" s="8" t="s">
        <v>604</v>
      </c>
      <c r="G1772" s="4" t="s">
        <v>583</v>
      </c>
      <c r="H1772" s="10" t="s">
        <v>2344</v>
      </c>
      <c r="I1772" s="10">
        <v>100.0</v>
      </c>
      <c r="J1772" s="11" t="str">
        <f>IF(D1772&lt;&gt;"",VLOOKUP(H1772,TABLEITEM,5,FALSE),"")</f>
        <v>EA</v>
      </c>
      <c r="K1772" s="12">
        <v>162.5</v>
      </c>
      <c r="L1772" s="13" t="str">
        <f>IF(D1772&lt;&gt;"",VLOOKUP(H1772,TABLEITEM,2,FALSE),"")</f>
        <v>Support</v>
      </c>
      <c r="M1772" s="13" t="str">
        <f>IF(D1772&lt;&gt;"",VLOOKUP(H1772,TABLEITEM,3,FALSE),"")</f>
        <v>INSULATOR TUBE 8.1x13.5x1829m</v>
      </c>
      <c r="N1772" s="14">
        <f>INSTOCK!$I1772*INSTOCK!$K1772</f>
        <v>16250</v>
      </c>
      <c r="O1772" s="4" t="s">
        <v>2345</v>
      </c>
      <c r="P1772" s="4"/>
    </row>
    <row r="1773" ht="15.75" hidden="1" customHeight="1">
      <c r="B1773" s="8">
        <v>2090.0</v>
      </c>
      <c r="C1773" s="9">
        <v>43481.0</v>
      </c>
      <c r="D1773" s="6" t="s">
        <v>2343</v>
      </c>
      <c r="E1773" s="4">
        <v>6.112001688E9</v>
      </c>
      <c r="F1773" s="8" t="s">
        <v>604</v>
      </c>
      <c r="G1773" s="4" t="s">
        <v>583</v>
      </c>
      <c r="H1773" s="10" t="s">
        <v>2346</v>
      </c>
      <c r="I1773" s="10">
        <v>100.0</v>
      </c>
      <c r="J1773" s="11" t="str">
        <f>IF(D1773&lt;&gt;"",VLOOKUP(H1773,TABLEITEM,5,FALSE),"")</f>
        <v>EA</v>
      </c>
      <c r="K1773" s="12">
        <v>178.75</v>
      </c>
      <c r="L1773" s="13" t="str">
        <f>IF(D1773&lt;&gt;"",VLOOKUP(H1773,TABLEITEM,2,FALSE),"")</f>
        <v>Support</v>
      </c>
      <c r="M1773" s="13" t="str">
        <f>IF(D1773&lt;&gt;"",VLOOKUP(H1773,TABLEITEM,3,FALSE),"")</f>
        <v>FLATBAR 9x12x2340MM.</v>
      </c>
      <c r="N1773" s="14">
        <f>INSTOCK!$I1773*INSTOCK!$K1773</f>
        <v>17875</v>
      </c>
      <c r="O1773" s="4" t="s">
        <v>2347</v>
      </c>
      <c r="P1773" s="4"/>
    </row>
    <row r="1774" ht="15.75" hidden="1" customHeight="1">
      <c r="B1774" s="8">
        <v>2091.0</v>
      </c>
      <c r="C1774" s="9">
        <v>43493.0</v>
      </c>
      <c r="D1774" s="6" t="s">
        <v>2348</v>
      </c>
      <c r="E1774" s="4"/>
      <c r="F1774" s="8" t="s">
        <v>2349</v>
      </c>
      <c r="G1774" s="4" t="s">
        <v>2350</v>
      </c>
      <c r="H1774" s="10" t="s">
        <v>2351</v>
      </c>
      <c r="I1774" s="10">
        <v>200.0</v>
      </c>
      <c r="J1774" s="11" t="str">
        <f>IF(D1774&lt;&gt;"",VLOOKUP(H1774,TABLEITEM,5,FALSE),"")</f>
        <v>KG.</v>
      </c>
      <c r="K1774" s="12">
        <v>122.0</v>
      </c>
      <c r="L1774" s="13" t="str">
        <f>IF(D1774&lt;&gt;"",VLOOKUP(H1774,TABLEITEM,2,FALSE),"")</f>
        <v/>
      </c>
      <c r="M1774" s="13" t="str">
        <f>IF(D1774&lt;&gt;"",VLOOKUP(H1774,TABLEITEM,3,FALSE),"")</f>
        <v>สีฝุ่น P2049A สีส้ม ภายนอก</v>
      </c>
      <c r="N1774" s="14">
        <f>INSTOCK!$I1774*INSTOCK!$K1774</f>
        <v>24400</v>
      </c>
      <c r="O1774" s="4"/>
      <c r="P1774" s="4"/>
    </row>
    <row r="1775" ht="15.75" hidden="1" customHeight="1">
      <c r="B1775" s="8">
        <v>2092.0</v>
      </c>
      <c r="C1775" s="9">
        <v>43494.0</v>
      </c>
      <c r="D1775" s="6" t="s">
        <v>2352</v>
      </c>
      <c r="E1775" s="4" t="s">
        <v>2270</v>
      </c>
      <c r="F1775" s="8" t="s">
        <v>1383</v>
      </c>
      <c r="G1775" s="4" t="s">
        <v>1587</v>
      </c>
      <c r="H1775" s="10" t="s">
        <v>2272</v>
      </c>
      <c r="I1775" s="10">
        <v>-2.0</v>
      </c>
      <c r="J1775" s="11" t="str">
        <f>IF(D1775&lt;&gt;"",VLOOKUP(H1775,TABLEITEM,5,FALSE),"")</f>
        <v>EA</v>
      </c>
      <c r="K1775" s="12">
        <v>-310.0</v>
      </c>
      <c r="L1775" s="13" t="str">
        <f>IF(D1775&lt;&gt;"",VLOOKUP(H1775,TABLEITEM,2,FALSE),"")</f>
        <v/>
      </c>
      <c r="M1775" s="13" t="str">
        <f>IF(D1775&lt;&gt;"",VLOOKUP(H1775,TABLEITEM,3,FALSE),"")</f>
        <v>โอเวอร์โหลด TH-T18 2.1A</v>
      </c>
      <c r="N1775" s="14">
        <f>INSTOCK!$I1775*INSTOCK!$K1775</f>
        <v>620</v>
      </c>
      <c r="O1775" s="4" t="s">
        <v>2273</v>
      </c>
      <c r="P1775" s="4"/>
    </row>
    <row r="1776" ht="15.75" hidden="1" customHeight="1">
      <c r="B1776" s="8">
        <v>2093.0</v>
      </c>
      <c r="C1776" s="9">
        <v>43494.0</v>
      </c>
      <c r="D1776" s="6">
        <v>37297.0</v>
      </c>
      <c r="E1776" s="4">
        <v>6.201000133E9</v>
      </c>
      <c r="F1776" s="8" t="s">
        <v>604</v>
      </c>
      <c r="G1776" s="4" t="s">
        <v>696</v>
      </c>
      <c r="H1776" s="10" t="s">
        <v>150</v>
      </c>
      <c r="I1776" s="10">
        <v>300.0</v>
      </c>
      <c r="J1776" s="11" t="str">
        <f>IF(D1776&lt;&gt;"",VLOOKUP(H1776,TABLEITEM,5,FALSE),"")</f>
        <v>EA</v>
      </c>
      <c r="K1776" s="12">
        <v>12.5</v>
      </c>
      <c r="L1776" s="13" t="str">
        <f>IF(D1776&lt;&gt;"",VLOOKUP(H1776,TABLEITEM,2,FALSE),"")</f>
        <v/>
      </c>
      <c r="M1776" s="13" t="str">
        <f>IF(D1776&lt;&gt;"",VLOOKUP(H1776,TABLEITEM,3,FALSE),"")</f>
        <v>บานพับ 1''1/2 สแตนเลส</v>
      </c>
      <c r="N1776" s="14">
        <f>INSTOCK!$I1776*INSTOCK!$K1776</f>
        <v>3750</v>
      </c>
      <c r="O1776" s="4"/>
      <c r="P1776" s="4"/>
    </row>
    <row r="1777" ht="15.75" hidden="1" customHeight="1">
      <c r="B1777" s="8">
        <v>2094.0</v>
      </c>
      <c r="C1777" s="9">
        <v>43494.0</v>
      </c>
      <c r="D1777" s="6" t="s">
        <v>2353</v>
      </c>
      <c r="E1777" s="4">
        <v>6.201000132E9</v>
      </c>
      <c r="F1777" s="8" t="s">
        <v>604</v>
      </c>
      <c r="G1777" s="4" t="s">
        <v>1289</v>
      </c>
      <c r="H1777" s="10" t="s">
        <v>2354</v>
      </c>
      <c r="I1777" s="10">
        <v>100.0</v>
      </c>
      <c r="J1777" s="11" t="str">
        <f>IF(D1777&lt;&gt;"",VLOOKUP(H1777,TABLEITEM,5,FALSE),"")</f>
        <v>EA</v>
      </c>
      <c r="K1777" s="12">
        <v>9.0</v>
      </c>
      <c r="L1777" s="13" t="str">
        <f>IF(D1777&lt;&gt;"",VLOOKUP(H1777,TABLEITEM,2,FALSE),"")</f>
        <v/>
      </c>
      <c r="M1777" s="13" t="str">
        <f>IF(D1777&lt;&gt;"",VLOOKUP(H1777,TABLEITEM,3,FALSE),"")</f>
        <v>กันชนแม่เหล็กตัวใหญ๋</v>
      </c>
      <c r="N1777" s="14">
        <f>INSTOCK!$I1777*INSTOCK!$K1777</f>
        <v>900</v>
      </c>
      <c r="O1777" s="4" t="s">
        <v>1298</v>
      </c>
      <c r="P1777" s="4"/>
    </row>
    <row r="1778" ht="15.75" hidden="1" customHeight="1">
      <c r="B1778" s="8">
        <v>2095.0</v>
      </c>
      <c r="C1778" s="9">
        <v>43494.0</v>
      </c>
      <c r="D1778" s="6" t="s">
        <v>2353</v>
      </c>
      <c r="E1778" s="4">
        <v>6.201000132E9</v>
      </c>
      <c r="F1778" s="8" t="s">
        <v>604</v>
      </c>
      <c r="G1778" s="4" t="s">
        <v>1289</v>
      </c>
      <c r="H1778" s="10" t="s">
        <v>1303</v>
      </c>
      <c r="I1778" s="10">
        <v>100.0</v>
      </c>
      <c r="J1778" s="11" t="str">
        <f>IF(D1778&lt;&gt;"",VLOOKUP(H1778,TABLEITEM,5,FALSE),"")</f>
        <v>EA</v>
      </c>
      <c r="K1778" s="12"/>
      <c r="L1778" s="13" t="str">
        <f>IF(D1778&lt;&gt;"",VLOOKUP(H1778,TABLEITEM,2,FALSE),"")</f>
        <v/>
      </c>
      <c r="M1778" s="13" t="str">
        <f>IF(D1778&lt;&gt;"",VLOOKUP(H1778,TABLEITEM,3,FALSE),"")</f>
        <v>part/แป้นหน้ากันชน SM-20 ชุบนิเกิ้ล</v>
      </c>
      <c r="N1778" s="14">
        <f>INSTOCK!$I1778*INSTOCK!$K1778</f>
        <v>0</v>
      </c>
      <c r="O1778" s="4"/>
      <c r="P1778" s="4"/>
    </row>
    <row r="1779" ht="15.75" hidden="1" customHeight="1">
      <c r="B1779" s="8">
        <v>2096.0</v>
      </c>
      <c r="C1779" s="9">
        <v>43494.0</v>
      </c>
      <c r="D1779" s="6" t="s">
        <v>2355</v>
      </c>
      <c r="E1779" s="4">
        <v>6.201000135E9</v>
      </c>
      <c r="F1779" s="8" t="s">
        <v>981</v>
      </c>
      <c r="G1779" s="4" t="s">
        <v>982</v>
      </c>
      <c r="H1779" s="10" t="s">
        <v>983</v>
      </c>
      <c r="I1779" s="10">
        <v>200.0</v>
      </c>
      <c r="J1779" s="11" t="str">
        <f>IF(D1779&lt;&gt;"",VLOOKUP(H1779,TABLEITEM,5,FALSE),"")</f>
        <v>KG.</v>
      </c>
      <c r="K1779" s="12">
        <v>37.0</v>
      </c>
      <c r="L1779" s="13" t="str">
        <f>IF(D1779&lt;&gt;"",VLOOKUP(H1779,TABLEITEM,2,FALSE),"")</f>
        <v/>
      </c>
      <c r="M1779" s="13" t="str">
        <f>IF(D1779&lt;&gt;"",VLOOKUP(H1779,TABLEITEM,3,FALSE),"")</f>
        <v>เคมี ADDITIVE P-8</v>
      </c>
      <c r="N1779" s="14">
        <f>INSTOCK!$I1779*INSTOCK!$K1779</f>
        <v>7400</v>
      </c>
      <c r="O1779" s="4"/>
      <c r="P1779" s="4"/>
    </row>
    <row r="1780" ht="15.75" hidden="1" customHeight="1">
      <c r="B1780" s="8">
        <v>2097.0</v>
      </c>
      <c r="C1780" s="9">
        <v>43494.0</v>
      </c>
      <c r="D1780" s="6" t="s">
        <v>2355</v>
      </c>
      <c r="E1780" s="4">
        <v>6.201000135E9</v>
      </c>
      <c r="F1780" s="8" t="s">
        <v>981</v>
      </c>
      <c r="G1780" s="4" t="s">
        <v>982</v>
      </c>
      <c r="H1780" s="10" t="s">
        <v>986</v>
      </c>
      <c r="I1780" s="10">
        <v>300.0</v>
      </c>
      <c r="J1780" s="11" t="str">
        <f>IF(D1780&lt;&gt;"",VLOOKUP(H1780,TABLEITEM,5,FALSE),"")</f>
        <v>KG.</v>
      </c>
      <c r="K1780" s="12">
        <v>41.0</v>
      </c>
      <c r="L1780" s="13" t="str">
        <f>IF(D1780&lt;&gt;"",VLOOKUP(H1780,TABLEITEM,2,FALSE),"")</f>
        <v/>
      </c>
      <c r="M1780" s="13" t="str">
        <f>IF(D1780&lt;&gt;"",VLOOKUP(H1780,TABLEITEM,3,FALSE),"")</f>
        <v>เคมีฟอสเฟต PN-134</v>
      </c>
      <c r="N1780" s="14">
        <f>INSTOCK!$I1780*INSTOCK!$K1780</f>
        <v>12300</v>
      </c>
      <c r="O1780" s="4"/>
      <c r="P1780" s="4"/>
    </row>
    <row r="1781" ht="15.75" hidden="1" customHeight="1">
      <c r="B1781" s="8">
        <v>2098.0</v>
      </c>
      <c r="C1781" s="9">
        <v>43494.0</v>
      </c>
      <c r="D1781" s="6" t="s">
        <v>2355</v>
      </c>
      <c r="E1781" s="4">
        <v>6.201000135E9</v>
      </c>
      <c r="F1781" s="8" t="s">
        <v>981</v>
      </c>
      <c r="G1781" s="4" t="s">
        <v>982</v>
      </c>
      <c r="H1781" s="10" t="s">
        <v>991</v>
      </c>
      <c r="I1781" s="10">
        <v>100.0</v>
      </c>
      <c r="J1781" s="11" t="str">
        <f>IF(D1781&lt;&gt;"",VLOOKUP(H1781,TABLEITEM,5,FALSE),"")</f>
        <v>KG.</v>
      </c>
      <c r="K1781" s="12">
        <v>18.0</v>
      </c>
      <c r="L1781" s="13" t="str">
        <f>IF(D1781&lt;&gt;"",VLOOKUP(H1781,TABLEITEM,2,FALSE),"")</f>
        <v/>
      </c>
      <c r="M1781" s="13" t="str">
        <f>IF(D1781&lt;&gt;"",VLOOKUP(H1781,TABLEITEM,3,FALSE),"")</f>
        <v>เคมีตัวเร่งฟอสเฟต</v>
      </c>
      <c r="N1781" s="14">
        <f>INSTOCK!$I1781*INSTOCK!$K1781</f>
        <v>1800</v>
      </c>
      <c r="O1781" s="4"/>
      <c r="P1781" s="4"/>
    </row>
    <row r="1782" ht="15.75" hidden="1" customHeight="1">
      <c r="B1782" s="8">
        <v>2099.0</v>
      </c>
      <c r="C1782" s="9">
        <v>43494.0</v>
      </c>
      <c r="D1782" s="6" t="s">
        <v>2355</v>
      </c>
      <c r="E1782" s="4">
        <v>6.201000135E9</v>
      </c>
      <c r="F1782" s="8" t="s">
        <v>981</v>
      </c>
      <c r="G1782" s="4" t="s">
        <v>982</v>
      </c>
      <c r="H1782" s="10" t="s">
        <v>2356</v>
      </c>
      <c r="I1782" s="10">
        <v>2.0</v>
      </c>
      <c r="J1782" s="11" t="str">
        <f>IF(D1782&lt;&gt;"",VLOOKUP(H1782,TABLEITEM,5,FALSE),"")</f>
        <v>KG.</v>
      </c>
      <c r="K1782" s="12">
        <v>250.0</v>
      </c>
      <c r="L1782" s="13" t="str">
        <f>IF(D1782&lt;&gt;"",VLOOKUP(H1782,TABLEITEM,2,FALSE),"")</f>
        <v/>
      </c>
      <c r="M1782" s="13" t="str">
        <f>IF(D1782&lt;&gt;"",VLOOKUP(H1782,TABLEITEM,3,FALSE),"")</f>
        <v>เคมีวัดตัวเร่งเบอร์ 55 500g</v>
      </c>
      <c r="N1782" s="14">
        <f>INSTOCK!$I1782*INSTOCK!$K1782</f>
        <v>500</v>
      </c>
      <c r="O1782" s="4"/>
      <c r="P1782" s="4"/>
    </row>
    <row r="1783" ht="15.75" hidden="1" customHeight="1">
      <c r="B1783" s="8">
        <v>2100.0</v>
      </c>
      <c r="C1783" s="9">
        <v>43494.0</v>
      </c>
      <c r="D1783" s="6" t="s">
        <v>2357</v>
      </c>
      <c r="E1783" s="4"/>
      <c r="F1783" s="8" t="s">
        <v>801</v>
      </c>
      <c r="G1783" s="4" t="s">
        <v>1417</v>
      </c>
      <c r="H1783" s="10" t="s">
        <v>803</v>
      </c>
      <c r="I1783" s="10">
        <v>15.0</v>
      </c>
      <c r="J1783" s="11" t="str">
        <f>IF(D1783&lt;&gt;"",VLOOKUP(H1783,TABLEITEM,5,FALSE),"")</f>
        <v>ถัง</v>
      </c>
      <c r="K1783" s="12">
        <v>981.31</v>
      </c>
      <c r="L1783" s="13" t="str">
        <f>IF(D1783&lt;&gt;"",VLOOKUP(H1783,TABLEITEM,2,FALSE),"")</f>
        <v/>
      </c>
      <c r="M1783" s="13" t="str">
        <f>IF(D1783&lt;&gt;"",VLOOKUP(H1783,TABLEITEM,3,FALSE),"")</f>
        <v>แก๊สหุงต้ม 48กก</v>
      </c>
      <c r="N1783" s="14">
        <f>INSTOCK!$I1783*INSTOCK!$K1783</f>
        <v>14719.65</v>
      </c>
      <c r="O1783" s="4"/>
      <c r="P1783" s="4"/>
    </row>
    <row r="1784" ht="15.75" hidden="1" customHeight="1">
      <c r="B1784" s="8">
        <v>2101.0</v>
      </c>
      <c r="C1784" s="9">
        <v>43494.0</v>
      </c>
      <c r="D1784" s="6">
        <v>6.2011114E7</v>
      </c>
      <c r="E1784" s="4">
        <v>6.201000141E9</v>
      </c>
      <c r="F1784" s="8" t="s">
        <v>2349</v>
      </c>
      <c r="G1784" s="4" t="s">
        <v>711</v>
      </c>
      <c r="H1784" s="10" t="s">
        <v>2358</v>
      </c>
      <c r="I1784" s="10">
        <v>100.0</v>
      </c>
      <c r="J1784" s="11" t="str">
        <f>IF(D1784&lt;&gt;"",VLOOKUP(H1784,TABLEITEM,5,FALSE),"")</f>
        <v>KG.</v>
      </c>
      <c r="K1784" s="12">
        <v>153.0</v>
      </c>
      <c r="L1784" s="13" t="str">
        <f>IF(D1784&lt;&gt;"",VLOOKUP(H1784,TABLEITEM,2,FALSE),"")</f>
        <v/>
      </c>
      <c r="M1784" s="13" t="str">
        <f>IF(D1784&lt;&gt;"",VLOOKUP(H1784,TABLEITEM,3,FALSE),"")</f>
        <v>สีฝุ่น P08019AN สีขาว</v>
      </c>
      <c r="N1784" s="14">
        <f>INSTOCK!$I1784*INSTOCK!$K1784</f>
        <v>15300</v>
      </c>
      <c r="O1784" s="4" t="s">
        <v>1460</v>
      </c>
      <c r="P1784" s="4"/>
    </row>
    <row r="1785" ht="15.75" hidden="1" customHeight="1">
      <c r="B1785" s="8">
        <v>2102.0</v>
      </c>
      <c r="C1785" s="9">
        <v>43496.0</v>
      </c>
      <c r="D1785" s="6" t="s">
        <v>2359</v>
      </c>
      <c r="E1785" s="4"/>
      <c r="F1785" s="8" t="s">
        <v>2349</v>
      </c>
      <c r="G1785" s="4" t="s">
        <v>898</v>
      </c>
      <c r="H1785" s="10" t="s">
        <v>2268</v>
      </c>
      <c r="I1785" s="10">
        <v>1.0</v>
      </c>
      <c r="J1785" s="11" t="str">
        <f>IF(D1785&lt;&gt;"",VLOOKUP(H1785,TABLEITEM,5,FALSE),"")</f>
        <v>LIT</v>
      </c>
      <c r="K1785" s="12">
        <v>420.0</v>
      </c>
      <c r="L1785" s="13" t="str">
        <f>IF(D1785&lt;&gt;"",VLOOKUP(H1785,TABLEITEM,2,FALSE),"")</f>
        <v/>
      </c>
      <c r="M1785" s="13" t="str">
        <f>IF(D1785&lt;&gt;"",VLOOKUP(H1785,TABLEITEM,3,FALSE),"")</f>
        <v>สีพ่นแห้งเร็ว(สีผสม)</v>
      </c>
      <c r="N1785" s="14">
        <f>INSTOCK!$I1785*INSTOCK!$K1785</f>
        <v>420</v>
      </c>
      <c r="O1785" s="4" t="s">
        <v>2360</v>
      </c>
      <c r="P1785" s="4"/>
    </row>
    <row r="1786" ht="15.75" hidden="1" customHeight="1">
      <c r="B1786" s="8">
        <v>2103.0</v>
      </c>
      <c r="C1786" s="9">
        <v>43496.0</v>
      </c>
      <c r="D1786" s="6" t="s">
        <v>2359</v>
      </c>
      <c r="E1786" s="4"/>
      <c r="F1786" s="8" t="s">
        <v>2349</v>
      </c>
      <c r="G1786" s="4" t="s">
        <v>898</v>
      </c>
      <c r="H1786" s="10" t="s">
        <v>2268</v>
      </c>
      <c r="I1786" s="10">
        <v>1.0</v>
      </c>
      <c r="J1786" s="11" t="str">
        <f>IF(D1786&lt;&gt;"",VLOOKUP(H1786,TABLEITEM,5,FALSE),"")</f>
        <v>LIT</v>
      </c>
      <c r="K1786" s="12">
        <v>380.0</v>
      </c>
      <c r="L1786" s="13" t="str">
        <f>IF(D1786&lt;&gt;"",VLOOKUP(H1786,TABLEITEM,2,FALSE),"")</f>
        <v/>
      </c>
      <c r="M1786" s="13" t="str">
        <f>IF(D1786&lt;&gt;"",VLOOKUP(H1786,TABLEITEM,3,FALSE),"")</f>
        <v>สีพ่นแห้งเร็ว(สีผสม)</v>
      </c>
      <c r="N1786" s="14">
        <f>INSTOCK!$I1786*INSTOCK!$K1786</f>
        <v>380</v>
      </c>
      <c r="O1786" s="4" t="s">
        <v>2361</v>
      </c>
      <c r="P1786" s="4"/>
    </row>
    <row r="1787" ht="15.75" hidden="1" customHeight="1">
      <c r="B1787" s="8">
        <v>2104.0</v>
      </c>
      <c r="C1787" s="9">
        <v>43496.0</v>
      </c>
      <c r="D1787" s="6" t="s">
        <v>2362</v>
      </c>
      <c r="E1787" s="4">
        <v>6.20100016E9</v>
      </c>
      <c r="F1787" s="8" t="s">
        <v>807</v>
      </c>
      <c r="G1787" s="4" t="s">
        <v>808</v>
      </c>
      <c r="H1787" s="10" t="s">
        <v>831</v>
      </c>
      <c r="I1787" s="10">
        <v>1.0</v>
      </c>
      <c r="J1787" s="11" t="str">
        <f>IF(D1787&lt;&gt;"",VLOOKUP(H1787,TABLEITEM,5,FALSE),"")</f>
        <v>ท่อ</v>
      </c>
      <c r="K1787" s="12">
        <v>7700.0</v>
      </c>
      <c r="L1787" s="13" t="str">
        <f>IF(D1787&lt;&gt;"",VLOOKUP(H1787,TABLEITEM,2,FALSE),"")</f>
        <v/>
      </c>
      <c r="M1787" s="13" t="str">
        <f>IF(D1787&lt;&gt;"",VLOOKUP(H1787,TABLEITEM,3,FALSE),"")</f>
        <v>5% CO2.34% N2,61% HELIUM 7</v>
      </c>
      <c r="N1787" s="14">
        <f>INSTOCK!$I1787*INSTOCK!$K1787</f>
        <v>7700</v>
      </c>
      <c r="O1787" s="4"/>
      <c r="P1787" s="4"/>
    </row>
    <row r="1788" ht="15.75" hidden="1" customHeight="1">
      <c r="B1788" s="8">
        <v>2105.0</v>
      </c>
      <c r="C1788" s="9">
        <v>43497.0</v>
      </c>
      <c r="D1788" s="6">
        <v>37324.0</v>
      </c>
      <c r="E1788" s="4">
        <v>6.201000152E9</v>
      </c>
      <c r="F1788" s="8" t="s">
        <v>604</v>
      </c>
      <c r="G1788" s="4" t="s">
        <v>696</v>
      </c>
      <c r="H1788" s="10" t="s">
        <v>44</v>
      </c>
      <c r="I1788" s="10">
        <v>2.0</v>
      </c>
      <c r="J1788" s="11" t="str">
        <f>IF(D1788&lt;&gt;"",VLOOKUP(H1788,TABLEITEM,5,FALSE),"")</f>
        <v>ปี๊ป</v>
      </c>
      <c r="K1788" s="12">
        <v>370.0</v>
      </c>
      <c r="L1788" s="13" t="str">
        <f>IF(D1788&lt;&gt;"",VLOOKUP(H1788,TABLEITEM,2,FALSE),"")</f>
        <v/>
      </c>
      <c r="M1788" s="13" t="str">
        <f>IF(D1788&lt;&gt;"",VLOOKUP(H1788,TABLEITEM,3,FALSE),"")</f>
        <v>ทินเนอร์ AAA</v>
      </c>
      <c r="N1788" s="14">
        <f>INSTOCK!$I1788*INSTOCK!$K1788</f>
        <v>740</v>
      </c>
      <c r="O1788" s="4"/>
      <c r="P1788" s="4"/>
    </row>
    <row r="1789" ht="15.75" hidden="1" customHeight="1">
      <c r="B1789" s="8">
        <v>2106.0</v>
      </c>
      <c r="C1789" s="9">
        <v>43497.0</v>
      </c>
      <c r="D1789" s="6" t="s">
        <v>2363</v>
      </c>
      <c r="E1789" s="4">
        <v>6.201000165E9</v>
      </c>
      <c r="F1789" s="8" t="s">
        <v>807</v>
      </c>
      <c r="G1789" s="4" t="s">
        <v>808</v>
      </c>
      <c r="H1789" s="10" t="s">
        <v>812</v>
      </c>
      <c r="I1789" s="10">
        <v>1.0</v>
      </c>
      <c r="J1789" s="11" t="str">
        <f>IF(D1789&lt;&gt;"",VLOOKUP(H1789,TABLEITEM,5,FALSE),"")</f>
        <v>ท่อ</v>
      </c>
      <c r="K1789" s="12">
        <v>2960.0</v>
      </c>
      <c r="L1789" s="13" t="str">
        <f>IF(D1789&lt;&gt;"",VLOOKUP(H1789,TABLEITEM,2,FALSE),"")</f>
        <v/>
      </c>
      <c r="M1789" s="13" t="str">
        <f>IF(D1789&lt;&gt;"",VLOOKUP(H1789,TABLEITEM,3,FALSE),"")</f>
        <v>ออกซิเจนเหลว ขนาด 148 คิว</v>
      </c>
      <c r="N1789" s="14">
        <f>INSTOCK!$I1789*INSTOCK!$K1789</f>
        <v>2960</v>
      </c>
      <c r="O1789" s="4"/>
      <c r="P1789" s="4"/>
    </row>
    <row r="1790" ht="15.75" hidden="1" customHeight="1">
      <c r="B1790" s="8">
        <v>2107.0</v>
      </c>
      <c r="C1790" s="9">
        <v>43497.0</v>
      </c>
      <c r="D1790" s="6">
        <v>6.20200028E8</v>
      </c>
      <c r="E1790" s="4">
        <v>6.201000117E9</v>
      </c>
      <c r="F1790" s="8" t="s">
        <v>604</v>
      </c>
      <c r="G1790" s="4" t="s">
        <v>1130</v>
      </c>
      <c r="H1790" s="10" t="s">
        <v>245</v>
      </c>
      <c r="I1790" s="10">
        <v>7500.0</v>
      </c>
      <c r="J1790" s="11" t="str">
        <f>IF(D1790&lt;&gt;"",VLOOKUP(H1790,TABLEITEM,5,FALSE),"")</f>
        <v>EA</v>
      </c>
      <c r="K1790" s="12">
        <v>0.63</v>
      </c>
      <c r="L1790" s="13" t="str">
        <f>IF(D1790&lt;&gt;"",VLOOKUP(H1790,TABLEITEM,2,FALSE),"")</f>
        <v/>
      </c>
      <c r="M1790" s="13" t="str">
        <f>IF(D1790&lt;&gt;"",VLOOKUP(H1790,TABLEITEM,3,FALSE),"")</f>
        <v>หางปลาแฉกเปลือย Y1.5-3S</v>
      </c>
      <c r="N1790" s="14">
        <f>INSTOCK!$I1790*INSTOCK!$K1790</f>
        <v>4725</v>
      </c>
      <c r="O1790" s="4" t="s">
        <v>1830</v>
      </c>
      <c r="P1790" s="4"/>
    </row>
    <row r="1791" ht="15.75" hidden="1" customHeight="1">
      <c r="B1791" s="8">
        <v>2108.0</v>
      </c>
      <c r="C1791" s="9">
        <v>43497.0</v>
      </c>
      <c r="D1791" s="6">
        <v>6.20200028E8</v>
      </c>
      <c r="E1791" s="4">
        <v>6.201000117E9</v>
      </c>
      <c r="F1791" s="8" t="s">
        <v>604</v>
      </c>
      <c r="G1791" s="4" t="s">
        <v>1130</v>
      </c>
      <c r="H1791" s="10" t="s">
        <v>2364</v>
      </c>
      <c r="I1791" s="10">
        <v>10.0</v>
      </c>
      <c r="J1791" s="11" t="str">
        <f>IF(D1791&lt;&gt;"",VLOOKUP(H1791,TABLEITEM,5,FALSE),"")</f>
        <v>EA</v>
      </c>
      <c r="K1791" s="12">
        <v>16.192</v>
      </c>
      <c r="L1791" s="13" t="str">
        <f>IF(D1791&lt;&gt;"",VLOOKUP(H1791,TABLEITEM,2,FALSE),"")</f>
        <v/>
      </c>
      <c r="M1791" s="13" t="str">
        <f>IF(D1791&lt;&gt;"",VLOOKUP(H1791,TABLEITEM,3,FALSE),"")</f>
        <v>ฝาพลาสติก 1 ช่อง WEG-6801K</v>
      </c>
      <c r="N1791" s="14">
        <f>INSTOCK!$I1791*INSTOCK!$K1791</f>
        <v>161.92</v>
      </c>
      <c r="O1791" s="4" t="s">
        <v>2365</v>
      </c>
      <c r="P1791" s="4"/>
    </row>
    <row r="1792" ht="15.75" hidden="1" customHeight="1">
      <c r="B1792" s="8">
        <v>2109.0</v>
      </c>
      <c r="C1792" s="9">
        <v>43498.0</v>
      </c>
      <c r="D1792" s="6" t="s">
        <v>2366</v>
      </c>
      <c r="E1792" s="4">
        <v>6.20100015E9</v>
      </c>
      <c r="F1792" s="8" t="s">
        <v>604</v>
      </c>
      <c r="G1792" s="4" t="s">
        <v>725</v>
      </c>
      <c r="H1792" s="10" t="s">
        <v>26</v>
      </c>
      <c r="I1792" s="10">
        <v>1500.0</v>
      </c>
      <c r="J1792" s="11" t="str">
        <f>IF(D1792&lt;&gt;"",VLOOKUP(H1792,TABLEITEM,5,FALSE),"")</f>
        <v>M</v>
      </c>
      <c r="K1792" s="12">
        <v>18.0</v>
      </c>
      <c r="L1792" s="13" t="str">
        <f>IF(D1792&lt;&gt;"",VLOOKUP(H1792,TABLEITEM,2,FALSE),"")</f>
        <v/>
      </c>
      <c r="M1792" s="13" t="str">
        <f>IF(D1792&lt;&gt;"",VLOOKUP(H1792,TABLEITEM,3,FALSE),"")</f>
        <v>ยางโปร่ง#110</v>
      </c>
      <c r="N1792" s="14">
        <f>INSTOCK!$I1792*INSTOCK!$K1792</f>
        <v>27000</v>
      </c>
      <c r="O1792" s="4"/>
      <c r="P1792" s="4"/>
    </row>
    <row r="1793" ht="15.75" hidden="1" customHeight="1">
      <c r="B1793" s="8">
        <v>2110.0</v>
      </c>
      <c r="C1793" s="9">
        <v>43497.0</v>
      </c>
      <c r="D1793" s="6">
        <v>6.2020135E7</v>
      </c>
      <c r="E1793" s="4">
        <v>6.201000166E9</v>
      </c>
      <c r="F1793" s="8" t="s">
        <v>2349</v>
      </c>
      <c r="G1793" s="4" t="s">
        <v>711</v>
      </c>
      <c r="H1793" s="10" t="s">
        <v>2358</v>
      </c>
      <c r="I1793" s="10">
        <v>100.0</v>
      </c>
      <c r="J1793" s="11" t="str">
        <f>IF(D1793&lt;&gt;"",VLOOKUP(H1793,TABLEITEM,5,FALSE),"")</f>
        <v>KG.</v>
      </c>
      <c r="K1793" s="12">
        <v>153.0</v>
      </c>
      <c r="L1793" s="13" t="str">
        <f>IF(D1793&lt;&gt;"",VLOOKUP(H1793,TABLEITEM,2,FALSE),"")</f>
        <v/>
      </c>
      <c r="M1793" s="13" t="str">
        <f>IF(D1793&lt;&gt;"",VLOOKUP(H1793,TABLEITEM,3,FALSE),"")</f>
        <v>สีฝุ่น P08019AN สีขาว</v>
      </c>
      <c r="N1793" s="14">
        <f>INSTOCK!$I1793*INSTOCK!$K1793</f>
        <v>15300</v>
      </c>
      <c r="O1793" s="4" t="s">
        <v>1460</v>
      </c>
      <c r="P1793" s="4"/>
    </row>
    <row r="1794" ht="15.75" hidden="1" customHeight="1">
      <c r="B1794" s="8">
        <v>2111.0</v>
      </c>
      <c r="C1794" s="9">
        <v>43497.0</v>
      </c>
      <c r="D1794" s="6" t="s">
        <v>2367</v>
      </c>
      <c r="E1794" s="4">
        <v>6.201000161E9</v>
      </c>
      <c r="F1794" s="8" t="s">
        <v>2368</v>
      </c>
      <c r="G1794" s="4" t="s">
        <v>2138</v>
      </c>
      <c r="H1794" s="10" t="s">
        <v>2369</v>
      </c>
      <c r="I1794" s="10">
        <v>1.0</v>
      </c>
      <c r="J1794" s="11" t="str">
        <f>IF(D1794&lt;&gt;"",VLOOKUP(H1794,TABLEITEM,5,FALSE),"")</f>
        <v>ถัง</v>
      </c>
      <c r="K1794" s="12">
        <v>1730.0</v>
      </c>
      <c r="L1794" s="13" t="str">
        <f>IF(D1794&lt;&gt;"",VLOOKUP(H1794,TABLEITEM,2,FALSE),"")</f>
        <v/>
      </c>
      <c r="M1794" s="13" t="str">
        <f>IF(D1794&lt;&gt;"",VLOOKUP(H1794,TABLEITEM,3,FALSE),"")</f>
        <v>MOBIL NUTO H32-1/20LT</v>
      </c>
      <c r="N1794" s="14">
        <f>INSTOCK!$I1794*INSTOCK!$K1794</f>
        <v>1730</v>
      </c>
      <c r="O1794" s="4"/>
      <c r="P1794" s="4"/>
    </row>
    <row r="1795" ht="15.75" hidden="1" customHeight="1">
      <c r="B1795" s="8">
        <v>2112.0</v>
      </c>
      <c r="C1795" s="9">
        <v>43489.0</v>
      </c>
      <c r="D1795" s="6" t="s">
        <v>2370</v>
      </c>
      <c r="E1795" s="4">
        <v>6.201000101E9</v>
      </c>
      <c r="F1795" s="8" t="s">
        <v>2342</v>
      </c>
      <c r="G1795" s="4" t="s">
        <v>1485</v>
      </c>
      <c r="H1795" s="10" t="s">
        <v>2200</v>
      </c>
      <c r="I1795" s="10">
        <v>1.0</v>
      </c>
      <c r="J1795" s="11" t="str">
        <f>IF(D1795&lt;&gt;"",VLOOKUP(H1795,TABLEITEM,5,FALSE),"")</f>
        <v>EA</v>
      </c>
      <c r="K1795" s="12">
        <v>323.9</v>
      </c>
      <c r="L1795" s="13" t="str">
        <f>IF(D1795&lt;&gt;"",VLOOKUP(H1795,TABLEITEM,2,FALSE),"")</f>
        <v/>
      </c>
      <c r="M1795" s="13" t="str">
        <f>IF(D1795&lt;&gt;"",VLOOKUP(H1795,TABLEITEM,3,FALSE),"")</f>
        <v>GV2&amp;GV3 AUXILIARY GVAD1010</v>
      </c>
      <c r="N1795" s="14">
        <f>INSTOCK!$I1795*INSTOCK!$K1795</f>
        <v>323.9</v>
      </c>
      <c r="O1795" s="4"/>
      <c r="P1795" s="4"/>
    </row>
    <row r="1796" ht="15.75" hidden="1" customHeight="1">
      <c r="B1796" s="8">
        <v>2113.0</v>
      </c>
      <c r="C1796" s="9">
        <v>43489.0</v>
      </c>
      <c r="D1796" s="6">
        <v>6.20106258E8</v>
      </c>
      <c r="E1796" s="4">
        <v>6.201000111E9</v>
      </c>
      <c r="F1796" s="8" t="s">
        <v>2371</v>
      </c>
      <c r="G1796" s="4" t="s">
        <v>1130</v>
      </c>
      <c r="H1796" s="10" t="s">
        <v>2372</v>
      </c>
      <c r="I1796" s="10">
        <v>10.0</v>
      </c>
      <c r="J1796" s="11" t="str">
        <f>IF(D1796&lt;&gt;"",VLOOKUP(H1796,TABLEITEM,5,FALSE),"")</f>
        <v>EA</v>
      </c>
      <c r="K1796" s="12">
        <v>27.968</v>
      </c>
      <c r="L1796" s="13" t="str">
        <f>IF(D1796&lt;&gt;"",VLOOKUP(H1796,TABLEITEM,2,FALSE),"")</f>
        <v/>
      </c>
      <c r="M1796" s="13" t="str">
        <f>IF(D1796&lt;&gt;"",VLOOKUP(H1796,TABLEITEM,3,FALSE),"")</f>
        <v>Switch WEG-5001K</v>
      </c>
      <c r="N1796" s="14">
        <f>INSTOCK!$I1796*INSTOCK!$K1796</f>
        <v>279.68</v>
      </c>
      <c r="O1796" s="4" t="s">
        <v>2373</v>
      </c>
      <c r="P1796" s="4"/>
    </row>
    <row r="1797" ht="15.75" hidden="1" customHeight="1">
      <c r="B1797" s="8">
        <v>2114.0</v>
      </c>
      <c r="C1797" s="9">
        <v>43491.0</v>
      </c>
      <c r="D1797" s="6" t="s">
        <v>2374</v>
      </c>
      <c r="E1797" s="4">
        <v>6.201000063E9</v>
      </c>
      <c r="F1797" s="8" t="s">
        <v>604</v>
      </c>
      <c r="G1797" s="4" t="s">
        <v>721</v>
      </c>
      <c r="H1797" s="10" t="s">
        <v>159</v>
      </c>
      <c r="I1797" s="10">
        <v>1000.0</v>
      </c>
      <c r="J1797" s="11" t="str">
        <f>IF(D1797&lt;&gt;"",VLOOKUP(H1797,TABLEITEM,5,FALSE),"")</f>
        <v>EA</v>
      </c>
      <c r="K1797" s="12">
        <v>1.0476</v>
      </c>
      <c r="L1797" s="13" t="str">
        <f>IF(D1797&lt;&gt;"",VLOOKUP(H1797,TABLEITEM,2,FALSE),"")</f>
        <v/>
      </c>
      <c r="M1797" s="13" t="str">
        <f>IF(D1797&lt;&gt;"",VLOOKUP(H1797,TABLEITEM,3,FALSE),"")</f>
        <v>เคเบิ้ลไทร์ 4" สีขาวCT-100-2C</v>
      </c>
      <c r="N1797" s="14">
        <f>INSTOCK!$I1797*INSTOCK!$K1797</f>
        <v>1047.6</v>
      </c>
      <c r="O1797" s="4" t="s">
        <v>1404</v>
      </c>
      <c r="P1797" s="4"/>
    </row>
    <row r="1798" ht="15.75" hidden="1" customHeight="1">
      <c r="B1798" s="8">
        <v>2115.0</v>
      </c>
      <c r="C1798" s="9">
        <v>43497.0</v>
      </c>
      <c r="D1798" s="6" t="s">
        <v>2375</v>
      </c>
      <c r="E1798" s="4">
        <v>6.201000163E9</v>
      </c>
      <c r="F1798" s="8" t="s">
        <v>604</v>
      </c>
      <c r="G1798" s="4" t="s">
        <v>665</v>
      </c>
      <c r="H1798" s="10" t="s">
        <v>479</v>
      </c>
      <c r="I1798" s="10">
        <v>1000.0</v>
      </c>
      <c r="J1798" s="11" t="str">
        <f>IF(D1798&lt;&gt;"",VLOOKUP(H1798,TABLEITEM,5,FALSE),"")</f>
        <v>M</v>
      </c>
      <c r="K1798" s="12">
        <v>9.8</v>
      </c>
      <c r="L1798" s="13" t="str">
        <f>IF(D1798&lt;&gt;"",VLOOKUP(H1798,TABLEITEM,2,FALSE),"")</f>
        <v>wire</v>
      </c>
      <c r="M1798" s="13" t="str">
        <f>IF(D1798&lt;&gt;"",VLOOKUP(H1798,TABLEITEM,3,FALSE),"")</f>
        <v>สายไฟ VSF1x2.5 SQMM.สีเหลือง</v>
      </c>
      <c r="N1798" s="14">
        <f>INSTOCK!$I1798*INSTOCK!$K1798</f>
        <v>9800</v>
      </c>
      <c r="O1798" s="4"/>
      <c r="P1798" s="4"/>
    </row>
    <row r="1799" ht="15.75" hidden="1" customHeight="1">
      <c r="B1799" s="8">
        <v>2116.0</v>
      </c>
      <c r="C1799" s="9">
        <v>43490.0</v>
      </c>
      <c r="D1799" s="6">
        <v>6.2011021E7</v>
      </c>
      <c r="E1799" s="4">
        <v>6.201000118E9</v>
      </c>
      <c r="F1799" s="8" t="s">
        <v>2376</v>
      </c>
      <c r="G1799" s="4" t="s">
        <v>711</v>
      </c>
      <c r="H1799" s="10" t="s">
        <v>105</v>
      </c>
      <c r="I1799" s="10">
        <v>20.0</v>
      </c>
      <c r="J1799" s="11" t="str">
        <f>IF(D1799&lt;&gt;"",VLOOKUP(H1799,TABLEITEM,5,FALSE),"")</f>
        <v>KG.</v>
      </c>
      <c r="K1799" s="12">
        <v>165.75</v>
      </c>
      <c r="L1799" s="13" t="str">
        <f>IF(D1799&lt;&gt;"",VLOOKUP(H1799,TABLEITEM,2,FALSE),"")</f>
        <v/>
      </c>
      <c r="M1799" s="13" t="str">
        <f>IF(D1799&lt;&gt;"",VLOOKUP(H1799,TABLEITEM,3,FALSE),"")</f>
        <v>สีฝุ่น M10001 WN</v>
      </c>
      <c r="N1799" s="14">
        <f>INSTOCK!$I1799*INSTOCK!$K1799</f>
        <v>3315</v>
      </c>
      <c r="O1799" s="4" t="s">
        <v>971</v>
      </c>
      <c r="P1799" s="4"/>
    </row>
    <row r="1800" ht="15.75" hidden="1" customHeight="1">
      <c r="B1800" s="8">
        <v>2117.0</v>
      </c>
      <c r="C1800" s="9">
        <v>43490.0</v>
      </c>
      <c r="D1800" s="6" t="s">
        <v>2377</v>
      </c>
      <c r="E1800" s="4">
        <v>6.201000115E9</v>
      </c>
      <c r="F1800" s="8" t="s">
        <v>604</v>
      </c>
      <c r="G1800" s="4" t="s">
        <v>1516</v>
      </c>
      <c r="H1800" s="10" t="s">
        <v>2191</v>
      </c>
      <c r="I1800" s="10">
        <v>10.0</v>
      </c>
      <c r="J1800" s="11" t="str">
        <f>IF(D1800&lt;&gt;"",VLOOKUP(H1800,TABLEITEM,5,FALSE),"")</f>
        <v>EA</v>
      </c>
      <c r="K1800" s="12">
        <v>108.65</v>
      </c>
      <c r="L1800" s="13" t="str">
        <f>IF(D1800&lt;&gt;"",VLOOKUP(H1800,TABLEITEM,2,FALSE),"")</f>
        <v/>
      </c>
      <c r="M1800" s="13" t="str">
        <f>IF(D1800&lt;&gt;"",VLOOKUP(H1800,TABLEITEM,3,FALSE),"")</f>
        <v>SELECTOR SWITCH BLACK 3POSITIONS 2NO</v>
      </c>
      <c r="N1800" s="14">
        <f>INSTOCK!$I1800*INSTOCK!$K1800</f>
        <v>1086.5</v>
      </c>
      <c r="O1800" s="4" t="s">
        <v>2378</v>
      </c>
      <c r="P1800" s="4"/>
    </row>
    <row r="1801" ht="15.75" hidden="1" customHeight="1">
      <c r="B1801" s="8">
        <v>2118.0</v>
      </c>
      <c r="C1801" s="9">
        <v>43497.0</v>
      </c>
      <c r="D1801" s="6" t="s">
        <v>2379</v>
      </c>
      <c r="E1801" s="4">
        <v>6.201000164E9</v>
      </c>
      <c r="F1801" s="8" t="s">
        <v>2380</v>
      </c>
      <c r="G1801" s="4" t="s">
        <v>617</v>
      </c>
      <c r="H1801" s="10" t="s">
        <v>546</v>
      </c>
      <c r="I1801" s="10">
        <v>25.0</v>
      </c>
      <c r="J1801" s="11" t="str">
        <f>IF(D1801&lt;&gt;"",VLOOKUP(H1801,TABLEITEM,5,FALSE),"")</f>
        <v>M</v>
      </c>
      <c r="K1801" s="12">
        <v>1375.64</v>
      </c>
      <c r="L1801" s="13" t="str">
        <f>IF(D1801&lt;&gt;"",VLOOKUP(H1801,TABLEITEM,2,FALSE),"")</f>
        <v>Busbar</v>
      </c>
      <c r="M1801" s="13" t="str">
        <f>IF(D1801&lt;&gt;"",VLOOKUP(H1801,TABLEITEM,3,FALSE),"")</f>
        <v>บัสบาร์ทองแดง 2"x1/2"</v>
      </c>
      <c r="N1801" s="14">
        <f>INSTOCK!$I1801*INSTOCK!$K1801</f>
        <v>34391</v>
      </c>
      <c r="O1801" s="4" t="s">
        <v>2381</v>
      </c>
      <c r="P1801" s="4"/>
    </row>
    <row r="1802" ht="15.75" hidden="1" customHeight="1">
      <c r="B1802" s="8">
        <v>2119.0</v>
      </c>
      <c r="C1802" s="9">
        <v>43497.0</v>
      </c>
      <c r="D1802" s="6" t="s">
        <v>2379</v>
      </c>
      <c r="E1802" s="4">
        <v>6.201000164E9</v>
      </c>
      <c r="F1802" s="8" t="s">
        <v>2380</v>
      </c>
      <c r="G1802" s="4" t="s">
        <v>617</v>
      </c>
      <c r="H1802" s="10" t="s">
        <v>560</v>
      </c>
      <c r="I1802" s="10">
        <v>20.0</v>
      </c>
      <c r="J1802" s="11" t="str">
        <f>IF(D1802&lt;&gt;"",VLOOKUP(H1802,TABLEITEM,5,FALSE),"")</f>
        <v>M</v>
      </c>
      <c r="K1802" s="12">
        <v>637.84</v>
      </c>
      <c r="L1802" s="13" t="str">
        <f>IF(D1802&lt;&gt;"",VLOOKUP(H1802,TABLEITEM,2,FALSE),"")</f>
        <v>Busbar</v>
      </c>
      <c r="M1802" s="13" t="str">
        <f>IF(D1802&lt;&gt;"",VLOOKUP(H1802,TABLEITEM,3,FALSE),"")</f>
        <v>บัสบาร์ทองแดง 30x10</v>
      </c>
      <c r="N1802" s="14">
        <f>INSTOCK!$I1802*INSTOCK!$K1802</f>
        <v>12756.8</v>
      </c>
      <c r="O1802" s="4" t="s">
        <v>2381</v>
      </c>
      <c r="P1802" s="4"/>
    </row>
    <row r="1803" ht="15.75" hidden="1" customHeight="1">
      <c r="B1803" s="8">
        <v>2120.0</v>
      </c>
      <c r="C1803" s="9">
        <v>43498.0</v>
      </c>
      <c r="D1803" s="6">
        <v>714.0</v>
      </c>
      <c r="E1803" s="4">
        <v>6.112001681E9</v>
      </c>
      <c r="F1803" s="8" t="s">
        <v>604</v>
      </c>
      <c r="G1803" s="4" t="s">
        <v>2382</v>
      </c>
      <c r="H1803" s="10" t="s">
        <v>2383</v>
      </c>
      <c r="I1803" s="10">
        <v>500.0</v>
      </c>
      <c r="J1803" s="11" t="str">
        <f>IF(D1803&lt;&gt;"",VLOOKUP(H1803,TABLEITEM,5,FALSE),"")</f>
        <v>EA</v>
      </c>
      <c r="K1803" s="12">
        <v>10.5</v>
      </c>
      <c r="L1803" s="13" t="str">
        <f>IF(D1803&lt;&gt;"",VLOOKUP(H1803,TABLEITEM,2,FALSE),"")</f>
        <v/>
      </c>
      <c r="M1803" s="13" t="str">
        <f>IF(D1803&lt;&gt;"",VLOOKUP(H1803,TABLEITEM,3,FALSE),"")</f>
        <v>บูชยึด E1 32x20 ชุบขาว</v>
      </c>
      <c r="N1803" s="14">
        <f>INSTOCK!$I1803*INSTOCK!$K1803</f>
        <v>5250</v>
      </c>
      <c r="O1803" s="4"/>
      <c r="P1803" s="4"/>
    </row>
    <row r="1804" ht="15.75" hidden="1" customHeight="1">
      <c r="B1804" s="8">
        <v>2121.0</v>
      </c>
      <c r="C1804" s="9">
        <v>43497.0</v>
      </c>
      <c r="D1804" s="6" t="s">
        <v>2384</v>
      </c>
      <c r="E1804" s="4">
        <v>6.112001684E9</v>
      </c>
      <c r="F1804" s="8" t="s">
        <v>604</v>
      </c>
      <c r="G1804" s="4" t="s">
        <v>1777</v>
      </c>
      <c r="H1804" s="10" t="s">
        <v>2106</v>
      </c>
      <c r="I1804" s="10">
        <v>100.0</v>
      </c>
      <c r="J1804" s="11" t="str">
        <f>IF(D1804&lt;&gt;"",VLOOKUP(H1804,TABLEITEM,5,FALSE),"")</f>
        <v>EA</v>
      </c>
      <c r="K1804" s="12">
        <v>2.86</v>
      </c>
      <c r="L1804" s="13" t="str">
        <f>IF(D1804&lt;&gt;"",VLOOKUP(H1804,TABLEITEM,2,FALSE),"")</f>
        <v/>
      </c>
      <c r="M1804" s="13" t="str">
        <f>IF(D1804&lt;&gt;"",VLOOKUP(H1804,TABLEITEM,3,FALSE),"")</f>
        <v>สกรูหัวเหลี่ยมชุบขาว M12x40</v>
      </c>
      <c r="N1804" s="14">
        <f>INSTOCK!$I1804*INSTOCK!$K1804</f>
        <v>286</v>
      </c>
      <c r="O1804" s="4" t="s">
        <v>2107</v>
      </c>
      <c r="P1804" s="4"/>
    </row>
    <row r="1805" ht="15.75" hidden="1" customHeight="1">
      <c r="B1805" s="8">
        <v>2122.0</v>
      </c>
      <c r="C1805" s="9">
        <v>43489.0</v>
      </c>
      <c r="D1805" s="6" t="s">
        <v>2385</v>
      </c>
      <c r="E1805" s="4"/>
      <c r="F1805" s="8" t="s">
        <v>2371</v>
      </c>
      <c r="G1805" s="4" t="s">
        <v>1485</v>
      </c>
      <c r="H1805" s="10" t="s">
        <v>2386</v>
      </c>
      <c r="I1805" s="10">
        <v>2.0</v>
      </c>
      <c r="J1805" s="11" t="str">
        <f>IF(D1805&lt;&gt;"",VLOOKUP(H1805,TABLEITEM,5,FALSE),"")</f>
        <v>EA</v>
      </c>
      <c r="K1805" s="12">
        <v>1098.8</v>
      </c>
      <c r="L1805" s="13" t="str">
        <f>IF(D1805&lt;&gt;"",VLOOKUP(H1805,TABLEITEM,2,FALSE),"")</f>
        <v/>
      </c>
      <c r="M1805" s="13" t="str">
        <f>IF(D1805&lt;&gt;"",VLOOKUP(H1805,TABLEITEM,3,FALSE),"")</f>
        <v>MOTOR CIRCUIT BRWAKER GV2ME08</v>
      </c>
      <c r="N1805" s="14">
        <f>INSTOCK!$I1805*INSTOCK!$K1805</f>
        <v>2197.6</v>
      </c>
      <c r="O1805" s="4"/>
      <c r="P1805" s="4"/>
    </row>
    <row r="1806" ht="15.75" hidden="1" customHeight="1">
      <c r="B1806" s="8">
        <v>2123.0</v>
      </c>
      <c r="C1806" s="9">
        <v>43489.0</v>
      </c>
      <c r="D1806" s="6" t="s">
        <v>2385</v>
      </c>
      <c r="E1806" s="4"/>
      <c r="F1806" s="8" t="s">
        <v>2371</v>
      </c>
      <c r="G1806" s="4" t="s">
        <v>1485</v>
      </c>
      <c r="H1806" s="10" t="s">
        <v>2200</v>
      </c>
      <c r="I1806" s="10">
        <v>4.0</v>
      </c>
      <c r="J1806" s="11" t="str">
        <f>IF(D1806&lt;&gt;"",VLOOKUP(H1806,TABLEITEM,5,FALSE),"")</f>
        <v>EA</v>
      </c>
      <c r="K1806" s="12">
        <v>323.9</v>
      </c>
      <c r="L1806" s="13" t="str">
        <f>IF(D1806&lt;&gt;"",VLOOKUP(H1806,TABLEITEM,2,FALSE),"")</f>
        <v/>
      </c>
      <c r="M1806" s="13" t="str">
        <f>IF(D1806&lt;&gt;"",VLOOKUP(H1806,TABLEITEM,3,FALSE),"")</f>
        <v>GV2&amp;GV3 AUXILIARY GVAD1010</v>
      </c>
      <c r="N1806" s="14">
        <f>INSTOCK!$I1806*INSTOCK!$K1806</f>
        <v>1295.6</v>
      </c>
      <c r="O1806" s="4"/>
      <c r="P1806" s="4"/>
    </row>
    <row r="1807" ht="15.75" hidden="1" customHeight="1">
      <c r="B1807" s="8">
        <v>2124.0</v>
      </c>
      <c r="C1807" s="9">
        <v>43489.0</v>
      </c>
      <c r="D1807" s="6" t="s">
        <v>2387</v>
      </c>
      <c r="E1807" s="4" t="s">
        <v>2388</v>
      </c>
      <c r="F1807" s="8" t="s">
        <v>604</v>
      </c>
      <c r="G1807" s="4" t="s">
        <v>1788</v>
      </c>
      <c r="H1807" s="10" t="s">
        <v>2389</v>
      </c>
      <c r="I1807" s="10">
        <v>846.0</v>
      </c>
      <c r="J1807" s="11" t="str">
        <f>IF(D1807&lt;&gt;"",VLOOKUP(H1807,TABLEITEM,5,FALSE),"")</f>
        <v>EA</v>
      </c>
      <c r="K1807" s="12">
        <v>6.7</v>
      </c>
      <c r="L1807" s="13" t="str">
        <f>IF(D1807&lt;&gt;"",VLOOKUP(H1807,TABLEITEM,2,FALSE),"")</f>
        <v/>
      </c>
      <c r="M1807" s="13" t="str">
        <f>IF(D1807&lt;&gt;"",VLOOKUP(H1807,TABLEITEM,3,FALSE),"")</f>
        <v>บานพับตู้ Knock Down รุ่นพับงอ</v>
      </c>
      <c r="N1807" s="14">
        <f>INSTOCK!$I1807*INSTOCK!$K1807</f>
        <v>5668.2</v>
      </c>
      <c r="O1807" s="4"/>
      <c r="P1807" s="4"/>
    </row>
    <row r="1808" ht="15.75" hidden="1" customHeight="1">
      <c r="B1808" s="8">
        <v>2125.0</v>
      </c>
      <c r="C1808" s="9">
        <v>43498.0</v>
      </c>
      <c r="D1808" s="6" t="s">
        <v>2390</v>
      </c>
      <c r="E1808" s="4">
        <v>6.201000156E9</v>
      </c>
      <c r="F1808" s="8" t="s">
        <v>604</v>
      </c>
      <c r="G1808" s="4" t="s">
        <v>1777</v>
      </c>
      <c r="H1808" s="10" t="s">
        <v>2391</v>
      </c>
      <c r="I1808" s="10">
        <v>1000.0</v>
      </c>
      <c r="J1808" s="11" t="str">
        <f>IF(D1808&lt;&gt;"",VLOOKUP(H1808,TABLEITEM,5,FALSE),"")</f>
        <v>EA</v>
      </c>
      <c r="K1808" s="12">
        <v>0.84</v>
      </c>
      <c r="L1808" s="13" t="str">
        <f>IF(D1808&lt;&gt;"",VLOOKUP(H1808,TABLEITEM,2,FALSE),"")</f>
        <v/>
      </c>
      <c r="M1808" s="13" t="str">
        <f>IF(D1808&lt;&gt;"",VLOOKUP(H1808,TABLEITEM,3,FALSE),"")</f>
        <v>แหวนพลาสติก M5</v>
      </c>
      <c r="N1808" s="14">
        <f>INSTOCK!$I1808*INSTOCK!$K1808</f>
        <v>840</v>
      </c>
      <c r="O1808" s="4"/>
      <c r="P1808" s="4"/>
    </row>
    <row r="1809" ht="15.75" hidden="1" customHeight="1">
      <c r="B1809" s="8">
        <v>2126.0</v>
      </c>
      <c r="C1809" s="9">
        <v>43498.0</v>
      </c>
      <c r="D1809" s="6" t="s">
        <v>2390</v>
      </c>
      <c r="E1809" s="4">
        <v>6.201000156E9</v>
      </c>
      <c r="F1809" s="8" t="s">
        <v>604</v>
      </c>
      <c r="G1809" s="4" t="s">
        <v>1777</v>
      </c>
      <c r="H1809" s="10" t="s">
        <v>2392</v>
      </c>
      <c r="I1809" s="10">
        <v>510.0</v>
      </c>
      <c r="J1809" s="11" t="str">
        <f>IF(D1809&lt;&gt;"",VLOOKUP(H1809,TABLEITEM,5,FALSE),"")</f>
        <v>EA</v>
      </c>
      <c r="K1809" s="12">
        <v>1.0</v>
      </c>
      <c r="L1809" s="13" t="str">
        <f>IF(D1809&lt;&gt;"",VLOOKUP(H1809,TABLEITEM,2,FALSE),"")</f>
        <v/>
      </c>
      <c r="M1809" s="13" t="str">
        <f>IF(D1809&lt;&gt;"",VLOOKUP(H1809,TABLEITEM,3,FALSE),"")</f>
        <v>แหวนพลาสติก M6</v>
      </c>
      <c r="N1809" s="14">
        <f>INSTOCK!$I1809*INSTOCK!$K1809</f>
        <v>510</v>
      </c>
      <c r="O1809" s="4"/>
      <c r="P1809" s="4"/>
    </row>
    <row r="1810" ht="15.75" hidden="1" customHeight="1">
      <c r="B1810" s="8">
        <v>2127.0</v>
      </c>
      <c r="C1810" s="9">
        <v>43490.0</v>
      </c>
      <c r="D1810" s="6">
        <v>6.2011013E7</v>
      </c>
      <c r="E1810" s="4">
        <v>6.201000113E9</v>
      </c>
      <c r="F1810" s="8" t="s">
        <v>2376</v>
      </c>
      <c r="G1810" s="4" t="s">
        <v>711</v>
      </c>
      <c r="H1810" s="10" t="s">
        <v>2117</v>
      </c>
      <c r="I1810" s="10">
        <v>100.0</v>
      </c>
      <c r="J1810" s="11" t="str">
        <f>IF(D1810&lt;&gt;"",VLOOKUP(H1810,TABLEITEM,5,FALSE),"")</f>
        <v>KG.</v>
      </c>
      <c r="K1810" s="12">
        <v>153.0</v>
      </c>
      <c r="L1810" s="13" t="str">
        <f>IF(D1810&lt;&gt;"",VLOOKUP(H1810,TABLEITEM,2,FALSE),"")</f>
        <v/>
      </c>
      <c r="M1810" s="13" t="str">
        <f>IF(D1810&lt;&gt;"",VLOOKUP(H1810,TABLEITEM,3,FALSE),"")</f>
        <v>สีฝุ่น M90079 BN สีครีมเรียบ</v>
      </c>
      <c r="N1810" s="14">
        <f>INSTOCK!$I1810*INSTOCK!$K1810</f>
        <v>15300</v>
      </c>
      <c r="O1810" s="4" t="s">
        <v>1460</v>
      </c>
      <c r="P1810" s="4"/>
    </row>
    <row r="1811" ht="15.75" hidden="1" customHeight="1">
      <c r="B1811" s="8">
        <v>2128.0</v>
      </c>
      <c r="C1811" s="9">
        <v>43497.0</v>
      </c>
      <c r="D1811" s="6" t="s">
        <v>2393</v>
      </c>
      <c r="E1811" s="4" t="s">
        <v>2394</v>
      </c>
      <c r="F1811" s="8" t="s">
        <v>604</v>
      </c>
      <c r="G1811" s="4" t="s">
        <v>1777</v>
      </c>
      <c r="H1811" s="10" t="s">
        <v>2395</v>
      </c>
      <c r="I1811" s="10">
        <v>10000.0</v>
      </c>
      <c r="J1811" s="11" t="str">
        <f>IF(D1811&lt;&gt;"",VLOOKUP(H1811,TABLEITEM,5,FALSE),"")</f>
        <v>EA</v>
      </c>
      <c r="K1811" s="12">
        <v>0.99</v>
      </c>
      <c r="L1811" s="13" t="str">
        <f>IF(D1811&lt;&gt;"",VLOOKUP(H1811,TABLEITEM,2,FALSE),"")</f>
        <v/>
      </c>
      <c r="M1811" s="13" t="str">
        <f>IF(D1811&lt;&gt;"",VLOOKUP(H1811,TABLEITEM,3,FALSE),"")</f>
        <v>สกรูหัวเหลี่ยมชุบขาว M 6x10</v>
      </c>
      <c r="N1811" s="14">
        <f>INSTOCK!$I1811*INSTOCK!$K1811</f>
        <v>9900</v>
      </c>
      <c r="O1811" s="4" t="s">
        <v>2396</v>
      </c>
      <c r="P1811" s="4"/>
    </row>
    <row r="1812" ht="15.75" hidden="1" customHeight="1">
      <c r="B1812" s="8">
        <v>2129.0</v>
      </c>
      <c r="C1812" s="9">
        <v>43497.0</v>
      </c>
      <c r="D1812" s="6" t="s">
        <v>2397</v>
      </c>
      <c r="E1812" s="4">
        <v>6.201000125E9</v>
      </c>
      <c r="F1812" s="8" t="s">
        <v>604</v>
      </c>
      <c r="G1812" s="4" t="s">
        <v>1777</v>
      </c>
      <c r="H1812" s="10" t="s">
        <v>2398</v>
      </c>
      <c r="I1812" s="10">
        <v>3000.0</v>
      </c>
      <c r="J1812" s="11" t="str">
        <f>IF(D1812&lt;&gt;"",VLOOKUP(H1812,TABLEITEM,5,FALSE),"")</f>
        <v>EA</v>
      </c>
      <c r="K1812" s="12">
        <v>0.104</v>
      </c>
      <c r="L1812" s="13" t="str">
        <f>IF(D1812&lt;&gt;"",VLOOKUP(H1812,TABLEITEM,2,FALSE),"")</f>
        <v/>
      </c>
      <c r="M1812" s="13" t="str">
        <f>IF(D1812&lt;&gt;"",VLOOKUP(H1812,TABLEITEM,3,FALSE),"")</f>
        <v>สกรูหัวหมวก  M4x10</v>
      </c>
      <c r="N1812" s="14">
        <f>INSTOCK!$I1812*INSTOCK!$K1812</f>
        <v>312</v>
      </c>
      <c r="O1812" s="25" t="s">
        <v>2399</v>
      </c>
      <c r="P1812" s="4"/>
    </row>
    <row r="1813" ht="15.75" hidden="1" customHeight="1">
      <c r="B1813" s="8">
        <v>2130.0</v>
      </c>
      <c r="C1813" s="9">
        <v>43497.0</v>
      </c>
      <c r="D1813" s="6" t="s">
        <v>2397</v>
      </c>
      <c r="E1813" s="4">
        <v>6.201000125E9</v>
      </c>
      <c r="F1813" s="8" t="s">
        <v>604</v>
      </c>
      <c r="G1813" s="4" t="s">
        <v>1777</v>
      </c>
      <c r="H1813" s="10" t="s">
        <v>2400</v>
      </c>
      <c r="I1813" s="10">
        <v>5000.0</v>
      </c>
      <c r="J1813" s="11" t="str">
        <f>IF(D1813&lt;&gt;"",VLOOKUP(H1813,TABLEITEM,5,FALSE),"")</f>
        <v>EA</v>
      </c>
      <c r="K1813" s="12">
        <v>0.216</v>
      </c>
      <c r="L1813" s="13" t="str">
        <f>IF(D1813&lt;&gt;"",VLOOKUP(H1813,TABLEITEM,2,FALSE),"")</f>
        <v/>
      </c>
      <c r="M1813" s="13" t="str">
        <f>IF(D1813&lt;&gt;"",VLOOKUP(H1813,TABLEITEM,3,FALSE),"")</f>
        <v>สกรูหัวหมวก  M6x10</v>
      </c>
      <c r="N1813" s="14">
        <f>INSTOCK!$I1813*INSTOCK!$K1813</f>
        <v>1080</v>
      </c>
      <c r="O1813" s="4" t="s">
        <v>2401</v>
      </c>
      <c r="P1813" s="4"/>
    </row>
    <row r="1814" ht="15.75" hidden="1" customHeight="1">
      <c r="B1814" s="8">
        <v>2131.0</v>
      </c>
      <c r="C1814" s="9">
        <v>43497.0</v>
      </c>
      <c r="D1814" s="6" t="s">
        <v>2397</v>
      </c>
      <c r="E1814" s="4">
        <v>6.201000125E9</v>
      </c>
      <c r="F1814" s="8" t="s">
        <v>604</v>
      </c>
      <c r="G1814" s="4" t="s">
        <v>1777</v>
      </c>
      <c r="H1814" s="10" t="s">
        <v>2402</v>
      </c>
      <c r="I1814" s="10">
        <v>3000.0</v>
      </c>
      <c r="J1814" s="11" t="str">
        <f>IF(D1814&lt;&gt;"",VLOOKUP(H1814,TABLEITEM,5,FALSE),"")</f>
        <v>EA</v>
      </c>
      <c r="K1814" s="12">
        <v>0.256</v>
      </c>
      <c r="L1814" s="13" t="str">
        <f>IF(D1814&lt;&gt;"",VLOOKUP(H1814,TABLEITEM,2,FALSE),"")</f>
        <v/>
      </c>
      <c r="M1814" s="13" t="str">
        <f>IF(D1814&lt;&gt;"",VLOOKUP(H1814,TABLEITEM,3,FALSE),"")</f>
        <v>สกรูหัวหมวก  M6x15</v>
      </c>
      <c r="N1814" s="14">
        <f>INSTOCK!$I1814*INSTOCK!$K1814</f>
        <v>768</v>
      </c>
      <c r="O1814" s="4" t="s">
        <v>2403</v>
      </c>
      <c r="P1814" s="4"/>
    </row>
    <row r="1815" ht="15.75" hidden="1" customHeight="1">
      <c r="B1815" s="8">
        <v>2132.0</v>
      </c>
      <c r="C1815" s="9">
        <v>43497.0</v>
      </c>
      <c r="D1815" s="6" t="s">
        <v>2397</v>
      </c>
      <c r="E1815" s="4">
        <v>6.201000125E9</v>
      </c>
      <c r="F1815" s="8" t="s">
        <v>604</v>
      </c>
      <c r="G1815" s="4" t="s">
        <v>1777</v>
      </c>
      <c r="H1815" s="10" t="s">
        <v>2404</v>
      </c>
      <c r="I1815" s="10">
        <v>2000.0</v>
      </c>
      <c r="J1815" s="11" t="str">
        <f>IF(D1815&lt;&gt;"",VLOOKUP(H1815,TABLEITEM,5,FALSE),"")</f>
        <v>EA</v>
      </c>
      <c r="K1815" s="12">
        <v>0.378</v>
      </c>
      <c r="L1815" s="13" t="str">
        <f>IF(D1815&lt;&gt;"",VLOOKUP(H1815,TABLEITEM,2,FALSE),"")</f>
        <v/>
      </c>
      <c r="M1815" s="13" t="str">
        <f>IF(D1815&lt;&gt;"",VLOOKUP(H1815,TABLEITEM,3,FALSE),"")</f>
        <v>สกรูหัวหมวก M6x35 JT</v>
      </c>
      <c r="N1815" s="14">
        <f>INSTOCK!$I1815*INSTOCK!$K1815</f>
        <v>756</v>
      </c>
      <c r="O1815" s="4" t="s">
        <v>2405</v>
      </c>
      <c r="P1815" s="4"/>
    </row>
    <row r="1816" ht="15.75" hidden="1" customHeight="1">
      <c r="B1816" s="8">
        <v>2133.0</v>
      </c>
      <c r="C1816" s="9">
        <v>43493.0</v>
      </c>
      <c r="D1816" s="6" t="s">
        <v>2406</v>
      </c>
      <c r="E1816" s="4">
        <v>6.201000123E9</v>
      </c>
      <c r="F1816" s="8" t="s">
        <v>2331</v>
      </c>
      <c r="G1816" s="4" t="s">
        <v>1485</v>
      </c>
      <c r="H1816" s="10" t="s">
        <v>2407</v>
      </c>
      <c r="I1816" s="10">
        <v>1.0</v>
      </c>
      <c r="J1816" s="11" t="str">
        <f>IF(D1816&lt;&gt;"",VLOOKUP(H1816,TABLEITEM,5,FALSE),"")</f>
        <v>EA</v>
      </c>
      <c r="K1816" s="12">
        <v>1092.0</v>
      </c>
      <c r="L1816" s="13" t="str">
        <f>IF(D1816&lt;&gt;"",VLOOKUP(H1816,TABLEITEM,2,FALSE),"")</f>
        <v/>
      </c>
      <c r="M1816" s="13" t="str">
        <f>IF(D1816&lt;&gt;"",VLOOKUP(H1816,TABLEITEM,3,FALSE),"")</f>
        <v>CLASSIC C-UNIT 1PH 2W+G6 CCT(MAIN NOT INCLUDE)</v>
      </c>
      <c r="N1816" s="14">
        <f>INSTOCK!$I1816*INSTOCK!$K1816</f>
        <v>1092</v>
      </c>
      <c r="O1816" s="4"/>
      <c r="P1816" s="4"/>
    </row>
    <row r="1817" ht="15.75" hidden="1" customHeight="1">
      <c r="B1817" s="8">
        <v>2134.0</v>
      </c>
      <c r="C1817" s="9">
        <v>43493.0</v>
      </c>
      <c r="D1817" s="6" t="s">
        <v>2406</v>
      </c>
      <c r="E1817" s="4">
        <v>6.201000123E9</v>
      </c>
      <c r="F1817" s="8" t="s">
        <v>2331</v>
      </c>
      <c r="G1817" s="4" t="s">
        <v>1485</v>
      </c>
      <c r="H1817" s="10" t="s">
        <v>2408</v>
      </c>
      <c r="I1817" s="10">
        <v>1.0</v>
      </c>
      <c r="J1817" s="11" t="str">
        <f>IF(D1817&lt;&gt;"",VLOOKUP(H1817,TABLEITEM,5,FALSE),"")</f>
        <v>EA</v>
      </c>
      <c r="K1817" s="12">
        <v>580.0</v>
      </c>
      <c r="L1817" s="13" t="str">
        <f>IF(D1817&lt;&gt;"",VLOOKUP(H1817,TABLEITEM,2,FALSE),"")</f>
        <v/>
      </c>
      <c r="M1817" s="13" t="str">
        <f>IF(D1817&lt;&gt;"",VLOOKUP(H1817,TABLEITEM,3,FALSE),"")</f>
        <v>BCB 2P 50A IC=10KA AT240/415VAC</v>
      </c>
      <c r="N1817" s="14">
        <f>INSTOCK!$I1817*INSTOCK!$K1817</f>
        <v>580</v>
      </c>
      <c r="O1817" s="4"/>
      <c r="P1817" s="4"/>
    </row>
    <row r="1818" ht="15.75" hidden="1" customHeight="1">
      <c r="B1818" s="8">
        <v>2135.0</v>
      </c>
      <c r="C1818" s="9">
        <v>43493.0</v>
      </c>
      <c r="D1818" s="6" t="s">
        <v>2406</v>
      </c>
      <c r="E1818" s="4">
        <v>6.201000123E9</v>
      </c>
      <c r="F1818" s="8" t="s">
        <v>2331</v>
      </c>
      <c r="G1818" s="4" t="s">
        <v>1485</v>
      </c>
      <c r="H1818" s="10" t="s">
        <v>2409</v>
      </c>
      <c r="I1818" s="10">
        <v>4.0</v>
      </c>
      <c r="J1818" s="11" t="str">
        <f>IF(D1818&lt;&gt;"",VLOOKUP(H1818,TABLEITEM,5,FALSE),"")</f>
        <v>EA</v>
      </c>
      <c r="K1818" s="12">
        <v>90.0</v>
      </c>
      <c r="L1818" s="13" t="str">
        <f>IF(D1818&lt;&gt;"",VLOOKUP(H1818,TABLEITEM,2,FALSE),"")</f>
        <v/>
      </c>
      <c r="M1818" s="13" t="str">
        <f>IF(D1818&lt;&gt;"",VLOOKUP(H1818,TABLEITEM,3,FALSE),"")</f>
        <v>BCB 1P 16A IC=16KA AT240/415VAC</v>
      </c>
      <c r="N1818" s="14">
        <f>INSTOCK!$I1818*INSTOCK!$K1818</f>
        <v>360</v>
      </c>
      <c r="O1818" s="4"/>
      <c r="P1818" s="4"/>
    </row>
    <row r="1819" ht="15.75" hidden="1" customHeight="1">
      <c r="B1819" s="8">
        <v>2136.0</v>
      </c>
      <c r="C1819" s="9">
        <v>43493.0</v>
      </c>
      <c r="D1819" s="6" t="s">
        <v>2406</v>
      </c>
      <c r="E1819" s="4">
        <v>6.201000123E9</v>
      </c>
      <c r="F1819" s="8" t="s">
        <v>2331</v>
      </c>
      <c r="G1819" s="4" t="s">
        <v>1485</v>
      </c>
      <c r="H1819" s="10" t="s">
        <v>2410</v>
      </c>
      <c r="I1819" s="10">
        <v>1.0</v>
      </c>
      <c r="J1819" s="11" t="str">
        <f>IF(D1819&lt;&gt;"",VLOOKUP(H1819,TABLEITEM,5,FALSE),"")</f>
        <v>EA</v>
      </c>
      <c r="K1819" s="12">
        <v>90.0</v>
      </c>
      <c r="L1819" s="13" t="str">
        <f>IF(D1819&lt;&gt;"",VLOOKUP(H1819,TABLEITEM,2,FALSE),"")</f>
        <v/>
      </c>
      <c r="M1819" s="13" t="str">
        <f>IF(D1819&lt;&gt;"",VLOOKUP(H1819,TABLEITEM,3,FALSE),"")</f>
        <v>BCB 1P 25A IC=6KA AT240/415VAC</v>
      </c>
      <c r="N1819" s="14">
        <f>INSTOCK!$I1819*INSTOCK!$K1819</f>
        <v>90</v>
      </c>
      <c r="O1819" s="4"/>
      <c r="P1819" s="4"/>
    </row>
    <row r="1820" ht="15.75" hidden="1" customHeight="1">
      <c r="B1820" s="8">
        <v>2137.0</v>
      </c>
      <c r="C1820" s="9">
        <v>43493.0</v>
      </c>
      <c r="D1820" s="6" t="s">
        <v>2411</v>
      </c>
      <c r="E1820" s="4"/>
      <c r="F1820" s="8" t="s">
        <v>2349</v>
      </c>
      <c r="G1820" s="4" t="s">
        <v>2412</v>
      </c>
      <c r="H1820" s="10" t="s">
        <v>2413</v>
      </c>
      <c r="I1820" s="10">
        <v>1000.0</v>
      </c>
      <c r="J1820" s="11" t="str">
        <f>IF(D1820&lt;&gt;"",VLOOKUP(H1820,TABLEITEM,5,FALSE),"")</f>
        <v>EA</v>
      </c>
      <c r="K1820" s="12">
        <v>6.5</v>
      </c>
      <c r="L1820" s="13" t="str">
        <f>IF(D1820&lt;&gt;"",VLOOKUP(H1820,TABLEITEM,2,FALSE),"")</f>
        <v/>
      </c>
      <c r="M1820" s="13" t="str">
        <f>IF(D1820&lt;&gt;"",VLOOKUP(H1820,TABLEITEM,3,FALSE),"")</f>
        <v>สตัดตัวเมีย M3x12</v>
      </c>
      <c r="N1820" s="14">
        <f>INSTOCK!$I1820*INSTOCK!$K1820</f>
        <v>6500</v>
      </c>
      <c r="O1820" s="4"/>
      <c r="P1820" s="4"/>
    </row>
    <row r="1821" ht="15.75" hidden="1" customHeight="1">
      <c r="B1821" s="8">
        <v>2138.0</v>
      </c>
      <c r="C1821" s="9">
        <v>43497.0</v>
      </c>
      <c r="D1821" s="6" t="s">
        <v>2414</v>
      </c>
      <c r="E1821" s="4">
        <v>6.201000156E9</v>
      </c>
      <c r="F1821" s="8" t="s">
        <v>604</v>
      </c>
      <c r="G1821" s="4" t="s">
        <v>1777</v>
      </c>
      <c r="H1821" s="10" t="s">
        <v>2169</v>
      </c>
      <c r="I1821" s="10">
        <v>5000.0</v>
      </c>
      <c r="J1821" s="11" t="str">
        <f>IF(D1821&lt;&gt;"",VLOOKUP(H1821,TABLEITEM,5,FALSE),"")</f>
        <v>EA</v>
      </c>
      <c r="K1821" s="12">
        <v>0.085</v>
      </c>
      <c r="L1821" s="13" t="str">
        <f>IF(D1821&lt;&gt;"",VLOOKUP(H1821,TABLEITEM,2,FALSE),"")</f>
        <v/>
      </c>
      <c r="M1821" s="13" t="str">
        <f>IF(D1821&lt;&gt;"",VLOOKUP(H1821,TABLEITEM,3,FALSE),"")</f>
        <v>หัวน้อต       M4   ชุบขาว</v>
      </c>
      <c r="N1821" s="14">
        <f>INSTOCK!$I1821*INSTOCK!$K1821</f>
        <v>425</v>
      </c>
      <c r="O1821" s="4" t="s">
        <v>2415</v>
      </c>
      <c r="P1821" s="4"/>
    </row>
    <row r="1822" ht="15.75" hidden="1" customHeight="1">
      <c r="B1822" s="8">
        <v>2139.0</v>
      </c>
      <c r="C1822" s="9">
        <v>43497.0</v>
      </c>
      <c r="D1822" s="6" t="s">
        <v>2414</v>
      </c>
      <c r="E1822" s="4">
        <v>6.201000156E9</v>
      </c>
      <c r="F1822" s="8" t="s">
        <v>604</v>
      </c>
      <c r="G1822" s="4" t="s">
        <v>1777</v>
      </c>
      <c r="H1822" s="10" t="s">
        <v>2416</v>
      </c>
      <c r="I1822" s="10">
        <v>5000.0</v>
      </c>
      <c r="J1822" s="11" t="str">
        <f>IF(D1822&lt;&gt;"",VLOOKUP(H1822,TABLEITEM,5,FALSE),"")</f>
        <v>EA</v>
      </c>
      <c r="K1822" s="12">
        <v>0.055</v>
      </c>
      <c r="L1822" s="13" t="str">
        <f>IF(D1822&lt;&gt;"",VLOOKUP(H1822,TABLEITEM,2,FALSE),"")</f>
        <v/>
      </c>
      <c r="M1822" s="13" t="str">
        <f>IF(D1822&lt;&gt;"",VLOOKUP(H1822,TABLEITEM,3,FALSE),"")</f>
        <v>แหวนสปริง M4   ชุบขาว</v>
      </c>
      <c r="N1822" s="14">
        <f>INSTOCK!$I1822*INSTOCK!$K1822</f>
        <v>275</v>
      </c>
      <c r="O1822" s="4" t="s">
        <v>2417</v>
      </c>
      <c r="P1822" s="4"/>
    </row>
    <row r="1823" ht="15.75" hidden="1" customHeight="1">
      <c r="B1823" s="8">
        <v>2140.0</v>
      </c>
      <c r="C1823" s="9">
        <v>43497.0</v>
      </c>
      <c r="D1823" s="6" t="s">
        <v>2414</v>
      </c>
      <c r="E1823" s="4">
        <v>6.201000156E9</v>
      </c>
      <c r="F1823" s="8" t="s">
        <v>604</v>
      </c>
      <c r="G1823" s="4" t="s">
        <v>1777</v>
      </c>
      <c r="H1823" s="10" t="s">
        <v>2418</v>
      </c>
      <c r="I1823" s="10">
        <v>2000.0</v>
      </c>
      <c r="J1823" s="11" t="str">
        <f>IF(D1823&lt;&gt;"",VLOOKUP(H1823,TABLEITEM,5,FALSE),"")</f>
        <v>EA</v>
      </c>
      <c r="K1823" s="12">
        <v>0.091</v>
      </c>
      <c r="L1823" s="13" t="str">
        <f>IF(D1823&lt;&gt;"",VLOOKUP(H1823,TABLEITEM,2,FALSE),"")</f>
        <v/>
      </c>
      <c r="M1823" s="13" t="str">
        <f>IF(D1823&lt;&gt;"",VLOOKUP(H1823,TABLEITEM,3,FALSE),"")</f>
        <v>สกรูเตเปอร์ M4x10</v>
      </c>
      <c r="N1823" s="14">
        <f>INSTOCK!$I1823*INSTOCK!$K1823</f>
        <v>182</v>
      </c>
      <c r="O1823" s="4" t="s">
        <v>2419</v>
      </c>
      <c r="P1823" s="4"/>
    </row>
    <row r="1824" ht="15.75" hidden="1" customHeight="1">
      <c r="B1824" s="8">
        <v>2141.0</v>
      </c>
      <c r="C1824" s="9">
        <v>43497.0</v>
      </c>
      <c r="D1824" s="6" t="s">
        <v>2414</v>
      </c>
      <c r="E1824" s="4">
        <v>6.201000156E9</v>
      </c>
      <c r="F1824" s="8" t="s">
        <v>604</v>
      </c>
      <c r="G1824" s="4" t="s">
        <v>1777</v>
      </c>
      <c r="H1824" s="10" t="s">
        <v>2420</v>
      </c>
      <c r="I1824" s="10">
        <v>300.0</v>
      </c>
      <c r="J1824" s="11" t="str">
        <f>IF(D1824&lt;&gt;"",VLOOKUP(H1824,TABLEITEM,5,FALSE),"")</f>
        <v>EA</v>
      </c>
      <c r="K1824" s="12">
        <v>2.145</v>
      </c>
      <c r="L1824" s="13" t="str">
        <f>IF(D1824&lt;&gt;"",VLOOKUP(H1824,TABLEITEM,2,FALSE),"")</f>
        <v/>
      </c>
      <c r="M1824" s="13" t="str">
        <f>IF(D1824&lt;&gt;"",VLOOKUP(H1824,TABLEITEM,3,FALSE),"")</f>
        <v>สกรูหัวเหลี่ยมชุบขาว M10x40</v>
      </c>
      <c r="N1824" s="14">
        <f>INSTOCK!$I1824*INSTOCK!$K1824</f>
        <v>643.5</v>
      </c>
      <c r="O1824" s="4" t="s">
        <v>2421</v>
      </c>
      <c r="P1824" s="4"/>
    </row>
    <row r="1825" ht="15.75" hidden="1" customHeight="1">
      <c r="B1825" s="8">
        <v>2142.0</v>
      </c>
      <c r="C1825" s="9">
        <v>43497.0</v>
      </c>
      <c r="D1825" s="6" t="s">
        <v>2414</v>
      </c>
      <c r="E1825" s="4">
        <v>6.201000156E9</v>
      </c>
      <c r="F1825" s="8" t="s">
        <v>604</v>
      </c>
      <c r="G1825" s="4" t="s">
        <v>1777</v>
      </c>
      <c r="H1825" s="10" t="s">
        <v>2422</v>
      </c>
      <c r="I1825" s="10">
        <v>300.0</v>
      </c>
      <c r="J1825" s="11" t="str">
        <f>IF(D1825&lt;&gt;"",VLOOKUP(H1825,TABLEITEM,5,FALSE),"")</f>
        <v>EA</v>
      </c>
      <c r="K1825" s="12">
        <v>2.8145</v>
      </c>
      <c r="L1825" s="13" t="str">
        <f>IF(D1825&lt;&gt;"",VLOOKUP(H1825,TABLEITEM,2,FALSE),"")</f>
        <v/>
      </c>
      <c r="M1825" s="13" t="str">
        <f>IF(D1825&lt;&gt;"",VLOOKUP(H1825,TABLEITEM,3,FALSE),"")</f>
        <v>สกรูหัวเหลี่ยมชุบขาว M10x55</v>
      </c>
      <c r="N1825" s="14">
        <f>INSTOCK!$I1825*INSTOCK!$K1825</f>
        <v>844.35</v>
      </c>
      <c r="O1825" s="4" t="s">
        <v>2423</v>
      </c>
      <c r="P1825" s="4"/>
    </row>
    <row r="1826" ht="15.75" hidden="1" customHeight="1">
      <c r="B1826" s="8">
        <v>2143.0</v>
      </c>
      <c r="C1826" s="9">
        <v>43497.0</v>
      </c>
      <c r="D1826" s="6" t="s">
        <v>2414</v>
      </c>
      <c r="E1826" s="4">
        <v>6.201000156E9</v>
      </c>
      <c r="F1826" s="8" t="s">
        <v>604</v>
      </c>
      <c r="G1826" s="4" t="s">
        <v>1777</v>
      </c>
      <c r="H1826" s="10" t="s">
        <v>2424</v>
      </c>
      <c r="I1826" s="10">
        <v>300.0</v>
      </c>
      <c r="J1826" s="11" t="str">
        <f>IF(D1826&lt;&gt;"",VLOOKUP(H1826,TABLEITEM,5,FALSE),"")</f>
        <v>EA</v>
      </c>
      <c r="K1826" s="12">
        <v>3.5555</v>
      </c>
      <c r="L1826" s="13" t="str">
        <f>IF(D1826&lt;&gt;"",VLOOKUP(H1826,TABLEITEM,2,FALSE),"")</f>
        <v/>
      </c>
      <c r="M1826" s="13" t="str">
        <f>IF(D1826&lt;&gt;"",VLOOKUP(H1826,TABLEITEM,3,FALSE),"")</f>
        <v>สกรูหัวเหลี่ยมชุบขาว M12x50</v>
      </c>
      <c r="N1826" s="14">
        <f>INSTOCK!$I1826*INSTOCK!$K1826</f>
        <v>1066.65</v>
      </c>
      <c r="O1826" s="4" t="s">
        <v>2425</v>
      </c>
      <c r="P1826" s="4"/>
    </row>
    <row r="1827" ht="15.75" hidden="1" customHeight="1">
      <c r="B1827" s="8">
        <v>2144.0</v>
      </c>
      <c r="C1827" s="9">
        <v>43497.0</v>
      </c>
      <c r="D1827" s="6" t="s">
        <v>2414</v>
      </c>
      <c r="E1827" s="4">
        <v>6.201000156E9</v>
      </c>
      <c r="F1827" s="8" t="s">
        <v>604</v>
      </c>
      <c r="G1827" s="4" t="s">
        <v>1777</v>
      </c>
      <c r="H1827" s="10" t="s">
        <v>2426</v>
      </c>
      <c r="I1827" s="10">
        <v>2000.0</v>
      </c>
      <c r="J1827" s="11" t="str">
        <f>IF(D1827&lt;&gt;"",VLOOKUP(H1827,TABLEITEM,5,FALSE),"")</f>
        <v>EA</v>
      </c>
      <c r="K1827" s="12">
        <v>0.3</v>
      </c>
      <c r="L1827" s="13" t="str">
        <f>IF(D1827&lt;&gt;"",VLOOKUP(H1827,TABLEITEM,2,FALSE),"")</f>
        <v/>
      </c>
      <c r="M1827" s="13" t="str">
        <f>IF(D1827&lt;&gt;"",VLOOKUP(H1827,TABLEITEM,3,FALSE),"")</f>
        <v>หัวน็อตล็อค M4</v>
      </c>
      <c r="N1827" s="14">
        <f>INSTOCK!$I1827*INSTOCK!$K1827</f>
        <v>600</v>
      </c>
      <c r="O1827" s="4" t="s">
        <v>2170</v>
      </c>
      <c r="P1827" s="4"/>
    </row>
    <row r="1828" ht="15.75" hidden="1" customHeight="1">
      <c r="B1828" s="8">
        <v>2145.0</v>
      </c>
      <c r="C1828" s="9">
        <v>43497.0</v>
      </c>
      <c r="D1828" s="6" t="s">
        <v>2414</v>
      </c>
      <c r="E1828" s="4">
        <v>6.201000156E9</v>
      </c>
      <c r="F1828" s="8" t="s">
        <v>604</v>
      </c>
      <c r="G1828" s="4" t="s">
        <v>1777</v>
      </c>
      <c r="H1828" s="10" t="s">
        <v>2392</v>
      </c>
      <c r="I1828" s="10">
        <v>490.0</v>
      </c>
      <c r="J1828" s="11" t="str">
        <f>IF(D1828&lt;&gt;"",VLOOKUP(H1828,TABLEITEM,5,FALSE),"")</f>
        <v>EA</v>
      </c>
      <c r="K1828" s="12">
        <v>1.0</v>
      </c>
      <c r="L1828" s="13" t="str">
        <f>IF(D1828&lt;&gt;"",VLOOKUP(H1828,TABLEITEM,2,FALSE),"")</f>
        <v/>
      </c>
      <c r="M1828" s="13" t="str">
        <f>IF(D1828&lt;&gt;"",VLOOKUP(H1828,TABLEITEM,3,FALSE),"")</f>
        <v>แหวนพลาสติก M6</v>
      </c>
      <c r="N1828" s="14">
        <f>INSTOCK!$I1828*INSTOCK!$K1828</f>
        <v>490</v>
      </c>
      <c r="O1828" s="4">
        <v>1.0</v>
      </c>
      <c r="P1828" s="4"/>
    </row>
    <row r="1829" ht="15.75" hidden="1" customHeight="1">
      <c r="B1829" s="8">
        <v>2146.0</v>
      </c>
      <c r="C1829" s="9">
        <v>43497.0</v>
      </c>
      <c r="D1829" s="6" t="s">
        <v>2414</v>
      </c>
      <c r="E1829" s="4">
        <v>6.201000156E9</v>
      </c>
      <c r="F1829" s="8" t="s">
        <v>604</v>
      </c>
      <c r="G1829" s="4" t="s">
        <v>1777</v>
      </c>
      <c r="H1829" s="10" t="s">
        <v>2427</v>
      </c>
      <c r="I1829" s="10">
        <v>300.0</v>
      </c>
      <c r="J1829" s="11" t="str">
        <f>IF(D1829&lt;&gt;"",VLOOKUP(H1829,TABLEITEM,5,FALSE),"")</f>
        <v>EA</v>
      </c>
      <c r="K1829" s="12">
        <v>1.416666</v>
      </c>
      <c r="L1829" s="13" t="str">
        <f>IF(D1829&lt;&gt;"",VLOOKUP(H1829,TABLEITEM,2,FALSE),"")</f>
        <v/>
      </c>
      <c r="M1829" s="13" t="str">
        <f>IF(D1829&lt;&gt;"",VLOOKUP(H1829,TABLEITEM,3,FALSE),"")</f>
        <v>สกรูหัวเหลี่ยมชุบขาว M10x20</v>
      </c>
      <c r="N1829" s="14">
        <f>INSTOCK!$I1829*INSTOCK!$K1829</f>
        <v>424.9998</v>
      </c>
      <c r="O1829" s="4" t="s">
        <v>2428</v>
      </c>
      <c r="P1829" s="4"/>
    </row>
    <row r="1830" ht="15.75" hidden="1" customHeight="1">
      <c r="B1830" s="8">
        <v>2147.0</v>
      </c>
      <c r="C1830" s="9">
        <v>43497.0</v>
      </c>
      <c r="D1830" s="6" t="s">
        <v>2414</v>
      </c>
      <c r="E1830" s="4">
        <v>6.201000156E9</v>
      </c>
      <c r="F1830" s="8" t="s">
        <v>604</v>
      </c>
      <c r="G1830" s="4" t="s">
        <v>1777</v>
      </c>
      <c r="H1830" s="10" t="s">
        <v>2429</v>
      </c>
      <c r="I1830" s="10">
        <v>400.0</v>
      </c>
      <c r="J1830" s="11" t="str">
        <f>IF(D1830&lt;&gt;"",VLOOKUP(H1830,TABLEITEM,5,FALSE),"")</f>
        <v>EA</v>
      </c>
      <c r="K1830" s="12">
        <v>2.5675</v>
      </c>
      <c r="L1830" s="13" t="str">
        <f>IF(D1830&lt;&gt;"",VLOOKUP(H1830,TABLEITEM,2,FALSE),"")</f>
        <v/>
      </c>
      <c r="M1830" s="13" t="str">
        <f>IF(D1830&lt;&gt;"",VLOOKUP(H1830,TABLEITEM,3,FALSE),"")</f>
        <v>สกรูหัวเหลี่ยมชุบขาว M10x50</v>
      </c>
      <c r="N1830" s="14">
        <f>INSTOCK!$I1830*INSTOCK!$K1830</f>
        <v>1027</v>
      </c>
      <c r="O1830" s="4" t="s">
        <v>2430</v>
      </c>
      <c r="P1830" s="4"/>
    </row>
    <row r="1831" ht="15.75" hidden="1" customHeight="1">
      <c r="B1831" s="8">
        <v>2148.0</v>
      </c>
      <c r="C1831" s="9">
        <v>43490.0</v>
      </c>
      <c r="D1831" s="6" t="s">
        <v>2431</v>
      </c>
      <c r="E1831" s="4">
        <v>6.201000104E9</v>
      </c>
      <c r="F1831" s="8" t="s">
        <v>604</v>
      </c>
      <c r="G1831" s="4" t="s">
        <v>2121</v>
      </c>
      <c r="H1831" s="10" t="s">
        <v>2432</v>
      </c>
      <c r="I1831" s="10">
        <v>10000.0</v>
      </c>
      <c r="J1831" s="11" t="str">
        <f>IF(D1831&lt;&gt;"",VLOOKUP(H1831,TABLEITEM,5,FALSE),"")</f>
        <v>EA</v>
      </c>
      <c r="K1831" s="12">
        <v>0.37</v>
      </c>
      <c r="L1831" s="13" t="str">
        <f>IF(D1831&lt;&gt;"",VLOOKUP(H1831,TABLEITEM,2,FALSE),"")</f>
        <v/>
      </c>
      <c r="M1831" s="13" t="str">
        <f>IF(D1831&lt;&gt;"",VLOOKUP(H1831,TABLEITEM,3,FALSE),"")</f>
        <v>สกรูเกลียวปล่อยปลายตัด M4x10</v>
      </c>
      <c r="N1831" s="14">
        <f>INSTOCK!$I1831*INSTOCK!$K1831</f>
        <v>3700</v>
      </c>
      <c r="O1831" s="4"/>
      <c r="P1831" s="4"/>
    </row>
    <row r="1832" ht="15.75" hidden="1" customHeight="1">
      <c r="B1832" s="8">
        <v>2149.0</v>
      </c>
      <c r="C1832" s="9">
        <v>43490.0</v>
      </c>
      <c r="D1832" s="6" t="s">
        <v>2433</v>
      </c>
      <c r="E1832" s="4">
        <v>6.201000121E9</v>
      </c>
      <c r="F1832" s="8" t="s">
        <v>2349</v>
      </c>
      <c r="G1832" s="4" t="s">
        <v>1512</v>
      </c>
      <c r="H1832" s="10" t="s">
        <v>2254</v>
      </c>
      <c r="I1832" s="10">
        <v>4.0</v>
      </c>
      <c r="J1832" s="11" t="str">
        <f>IF(D1832&lt;&gt;"",VLOOKUP(H1832,TABLEITEM,5,FALSE),"")</f>
        <v>EA</v>
      </c>
      <c r="K1832" s="12">
        <v>175.0</v>
      </c>
      <c r="L1832" s="13" t="str">
        <f>IF(D1832&lt;&gt;"",VLOOKUP(H1832,TABLEITEM,2,FALSE),"")</f>
        <v/>
      </c>
      <c r="M1832" s="13" t="str">
        <f>IF(D1832&lt;&gt;"",VLOOKUP(H1832,TABLEITEM,3,FALSE),"")</f>
        <v>CA4-01 NC คอนแทคช่วย</v>
      </c>
      <c r="N1832" s="14">
        <f>INSTOCK!$I1832*INSTOCK!$K1832</f>
        <v>700</v>
      </c>
      <c r="O1832" s="4"/>
      <c r="P1832" s="4"/>
    </row>
    <row r="1833" ht="15.75" hidden="1" customHeight="1">
      <c r="B1833" s="8">
        <v>2150.0</v>
      </c>
      <c r="C1833" s="9">
        <v>43497.0</v>
      </c>
      <c r="D1833" s="6" t="s">
        <v>2434</v>
      </c>
      <c r="E1833" s="4">
        <v>6.201000136E9</v>
      </c>
      <c r="F1833" s="8" t="s">
        <v>2435</v>
      </c>
      <c r="G1833" s="4" t="s">
        <v>1516</v>
      </c>
      <c r="H1833" s="10" t="s">
        <v>2436</v>
      </c>
      <c r="I1833" s="10">
        <v>1.0</v>
      </c>
      <c r="J1833" s="11" t="str">
        <f>IF(D1833&lt;&gt;"",VLOOKUP(H1833,TABLEITEM,5,FALSE),"")</f>
        <v>EA</v>
      </c>
      <c r="K1833" s="12">
        <v>146.25</v>
      </c>
      <c r="L1833" s="13" t="str">
        <f>IF(D1833&lt;&gt;"",VLOOKUP(H1833,TABLEITEM,2,FALSE),"")</f>
        <v/>
      </c>
      <c r="M1833" s="13" t="str">
        <f>IF(D1833&lt;&gt;"",VLOOKUP(H1833,TABLEITEM,3,FALSE),"")</f>
        <v>Power plug ปลั๊กตัวเมียฝัง  3P+N+E 16A</v>
      </c>
      <c r="N1833" s="14">
        <f>INSTOCK!$I1833*INSTOCK!$K1833</f>
        <v>146.25</v>
      </c>
      <c r="O1833" s="4" t="s">
        <v>1518</v>
      </c>
      <c r="P1833" s="4"/>
    </row>
    <row r="1834" ht="15.75" hidden="1" customHeight="1">
      <c r="B1834" s="8">
        <v>2151.0</v>
      </c>
      <c r="C1834" s="9">
        <v>43497.0</v>
      </c>
      <c r="D1834" s="6" t="s">
        <v>2434</v>
      </c>
      <c r="E1834" s="4">
        <v>6.201000136E9</v>
      </c>
      <c r="F1834" s="8" t="s">
        <v>2435</v>
      </c>
      <c r="G1834" s="4" t="s">
        <v>1516</v>
      </c>
      <c r="H1834" s="10" t="s">
        <v>1519</v>
      </c>
      <c r="I1834" s="10">
        <v>1.0</v>
      </c>
      <c r="J1834" s="11" t="str">
        <f>IF(D1834&lt;&gt;"",VLOOKUP(H1834,TABLEITEM,5,FALSE),"")</f>
        <v>EA</v>
      </c>
      <c r="K1834" s="12">
        <v>103.5</v>
      </c>
      <c r="L1834" s="13" t="str">
        <f>IF(D1834&lt;&gt;"",VLOOKUP(H1834,TABLEITEM,2,FALSE),"")</f>
        <v/>
      </c>
      <c r="M1834" s="13" t="str">
        <f>IF(D1834&lt;&gt;"",VLOOKUP(H1834,TABLEITEM,3,FALSE),"")</f>
        <v>Power plug ตัวผู้กลางทาง 3P+E+N 16A</v>
      </c>
      <c r="N1834" s="14">
        <f>INSTOCK!$I1834*INSTOCK!$K1834</f>
        <v>103.5</v>
      </c>
      <c r="O1834" s="4" t="s">
        <v>1520</v>
      </c>
      <c r="P1834" s="4"/>
    </row>
    <row r="1835" ht="15.75" hidden="1" customHeight="1">
      <c r="B1835" s="8">
        <v>2152.0</v>
      </c>
      <c r="C1835" s="9">
        <v>43495.0</v>
      </c>
      <c r="D1835" s="6" t="s">
        <v>2437</v>
      </c>
      <c r="E1835" s="4">
        <v>6.201000155E9</v>
      </c>
      <c r="F1835" s="8" t="s">
        <v>1989</v>
      </c>
      <c r="G1835" s="4" t="s">
        <v>1990</v>
      </c>
      <c r="H1835" s="10" t="s">
        <v>2438</v>
      </c>
      <c r="I1835" s="10">
        <v>6.0</v>
      </c>
      <c r="J1835" s="11" t="str">
        <f>IF(D1835&lt;&gt;"",VLOOKUP(H1835,TABLEITEM,5,FALSE),"")</f>
        <v>EA</v>
      </c>
      <c r="K1835" s="12">
        <v>50.0</v>
      </c>
      <c r="L1835" s="13" t="str">
        <f>IF(D1835&lt;&gt;"",VLOOKUP(H1835,TABLEITEM,2,FALSE),"")</f>
        <v/>
      </c>
      <c r="M1835" s="13" t="str">
        <f>IF(D1835&lt;&gt;"",VLOOKUP(H1835,TABLEITEM,3,FALSE),"")</f>
        <v>ปากกาเพ้นท์ ซากุระ XPMK-B 2มม ดำ</v>
      </c>
      <c r="N1835" s="14">
        <f>INSTOCK!$I1835*INSTOCK!$K1835</f>
        <v>300</v>
      </c>
      <c r="O1835" s="4"/>
      <c r="P1835" s="4"/>
    </row>
    <row r="1836" ht="15.75" hidden="1" customHeight="1">
      <c r="B1836" s="8">
        <v>2153.0</v>
      </c>
      <c r="C1836" s="9">
        <v>43495.0</v>
      </c>
      <c r="D1836" s="6" t="s">
        <v>2437</v>
      </c>
      <c r="E1836" s="4">
        <v>6.201000155E9</v>
      </c>
      <c r="F1836" s="8" t="s">
        <v>1989</v>
      </c>
      <c r="G1836" s="4" t="s">
        <v>1990</v>
      </c>
      <c r="H1836" s="10" t="s">
        <v>2439</v>
      </c>
      <c r="I1836" s="10">
        <v>6.0</v>
      </c>
      <c r="J1836" s="11" t="str">
        <f>IF(D1836&lt;&gt;"",VLOOKUP(H1836,TABLEITEM,5,FALSE),"")</f>
        <v>EA</v>
      </c>
      <c r="K1836" s="12">
        <v>29.0</v>
      </c>
      <c r="L1836" s="13" t="str">
        <f>IF(D1836&lt;&gt;"",VLOOKUP(H1836,TABLEITEM,2,FALSE),"")</f>
        <v/>
      </c>
      <c r="M1836" s="13" t="str">
        <f>IF(D1836&lt;&gt;"",VLOOKUP(H1836,TABLEITEM,3,FALSE),"")</f>
        <v>ปากกาลบคำผิด ควอนตั้ม มารีนบลู 5มล.</v>
      </c>
      <c r="N1836" s="14">
        <f>INSTOCK!$I1836*INSTOCK!$K1836</f>
        <v>174</v>
      </c>
      <c r="O1836" s="4"/>
      <c r="P1836" s="4"/>
    </row>
    <row r="1837" ht="15.75" hidden="1" customHeight="1">
      <c r="B1837" s="8">
        <v>2154.0</v>
      </c>
      <c r="C1837" s="9">
        <v>43495.0</v>
      </c>
      <c r="D1837" s="6" t="s">
        <v>2437</v>
      </c>
      <c r="E1837" s="4">
        <v>6.201000155E9</v>
      </c>
      <c r="F1837" s="8" t="s">
        <v>1989</v>
      </c>
      <c r="G1837" s="4" t="s">
        <v>1990</v>
      </c>
      <c r="H1837" s="10" t="s">
        <v>2440</v>
      </c>
      <c r="I1837" s="10">
        <v>12.0</v>
      </c>
      <c r="J1837" s="11" t="str">
        <f>IF(D1837&lt;&gt;"",VLOOKUP(H1837,TABLEITEM,5,FALSE),"")</f>
        <v>EA</v>
      </c>
      <c r="K1837" s="12">
        <v>9.25</v>
      </c>
      <c r="L1837" s="13" t="str">
        <f>IF(D1837&lt;&gt;"",VLOOKUP(H1837,TABLEITEM,2,FALSE),"")</f>
        <v/>
      </c>
      <c r="M1837" s="13" t="str">
        <f>IF(D1837&lt;&gt;"",VLOOKUP(H1837,TABLEITEM,3,FALSE),"")</f>
        <v>ลวดเย็บกระดาษ MAX NO.M8-1M</v>
      </c>
      <c r="N1837" s="14">
        <f>INSTOCK!$I1837*INSTOCK!$K1837</f>
        <v>111</v>
      </c>
      <c r="O1837" s="4"/>
      <c r="P1837" s="4"/>
    </row>
    <row r="1838" ht="15.75" hidden="1" customHeight="1">
      <c r="B1838" s="8">
        <v>2155.0</v>
      </c>
      <c r="C1838" s="9">
        <v>43495.0</v>
      </c>
      <c r="D1838" s="6" t="s">
        <v>2437</v>
      </c>
      <c r="E1838" s="4">
        <v>6.201000155E9</v>
      </c>
      <c r="F1838" s="8" t="s">
        <v>1989</v>
      </c>
      <c r="G1838" s="4" t="s">
        <v>1990</v>
      </c>
      <c r="H1838" s="10" t="s">
        <v>2441</v>
      </c>
      <c r="I1838" s="10">
        <v>1.0</v>
      </c>
      <c r="J1838" s="11" t="str">
        <f>IF(D1838&lt;&gt;"",VLOOKUP(H1838,TABLEITEM,5,FALSE),"")</f>
        <v>pack</v>
      </c>
      <c r="K1838" s="12">
        <v>90.0</v>
      </c>
      <c r="L1838" s="13" t="str">
        <f>IF(D1838&lt;&gt;"",VLOOKUP(H1838,TABLEITEM,2,FALSE),"")</f>
        <v/>
      </c>
      <c r="M1838" s="13" t="str">
        <f>IF(D1838&lt;&gt;"",VLOOKUP(H1838,TABLEITEM,3,FALSE),"")</f>
        <v>ป้ายสติ๊กเกอร์ ขาวเงา/มัน ไลเนอร์ LN-601(50แผ่น)</v>
      </c>
      <c r="N1838" s="14">
        <f>INSTOCK!$I1838*INSTOCK!$K1838</f>
        <v>90</v>
      </c>
      <c r="O1838" s="4"/>
      <c r="P1838" s="4"/>
    </row>
    <row r="1839" ht="15.75" hidden="1" customHeight="1">
      <c r="B1839" s="8">
        <v>2156.0</v>
      </c>
      <c r="C1839" s="9">
        <v>43490.0</v>
      </c>
      <c r="D1839" s="6" t="s">
        <v>2442</v>
      </c>
      <c r="E1839" s="4">
        <v>6.201000095E9</v>
      </c>
      <c r="F1839" s="8" t="s">
        <v>2230</v>
      </c>
      <c r="G1839" s="4" t="s">
        <v>2443</v>
      </c>
      <c r="H1839" s="10" t="s">
        <v>2444</v>
      </c>
      <c r="I1839" s="10">
        <v>23.0</v>
      </c>
      <c r="J1839" s="11" t="str">
        <f>IF(D1839&lt;&gt;"",VLOOKUP(H1839,TABLEITEM,5,FALSE),"")</f>
        <v>EA</v>
      </c>
      <c r="K1839" s="12">
        <v>278.3</v>
      </c>
      <c r="L1839" s="13" t="str">
        <f>IF(D1839&lt;&gt;"",VLOOKUP(H1839,TABLEITEM,2,FALSE),"")</f>
        <v/>
      </c>
      <c r="M1839" s="13" t="str">
        <f>IF(D1839&lt;&gt;"",VLOOKUP(H1839,TABLEITEM,3,FALSE),"")</f>
        <v>หม้อแปลง Tranformer TR-2822 1ph SW 220V 50-60Hz/24V 50VA </v>
      </c>
      <c r="N1839" s="14">
        <f>INSTOCK!$I1839*INSTOCK!$K1839</f>
        <v>6400.9</v>
      </c>
      <c r="O1839" s="4"/>
      <c r="P1839" s="4"/>
    </row>
    <row r="1840" ht="15.75" hidden="1" customHeight="1">
      <c r="B1840" s="8">
        <v>2157.0</v>
      </c>
      <c r="C1840" s="9">
        <v>43494.0</v>
      </c>
      <c r="D1840" s="6" t="s">
        <v>2326</v>
      </c>
      <c r="E1840" s="4">
        <v>6.201000139E9</v>
      </c>
      <c r="F1840" s="8" t="s">
        <v>2349</v>
      </c>
      <c r="G1840" s="4" t="s">
        <v>2445</v>
      </c>
      <c r="H1840" s="10" t="s">
        <v>2446</v>
      </c>
      <c r="I1840" s="10">
        <v>5000.0</v>
      </c>
      <c r="J1840" s="11" t="str">
        <f>IF(D1840&lt;&gt;"",VLOOKUP(H1840,TABLEITEM,5,FALSE),"")</f>
        <v>EA</v>
      </c>
      <c r="K1840" s="12">
        <v>0.65</v>
      </c>
      <c r="L1840" s="13" t="str">
        <f>IF(D1840&lt;&gt;"",VLOOKUP(H1840,TABLEITEM,2,FALSE),"")</f>
        <v/>
      </c>
      <c r="M1840" s="13" t="str">
        <f>IF(D1840&lt;&gt;"",VLOOKUP(H1840,TABLEITEM,3,FALSE),"")</f>
        <v>สตัด M4x10</v>
      </c>
      <c r="N1840" s="14">
        <f>INSTOCK!$I1840*INSTOCK!$K1840</f>
        <v>3250</v>
      </c>
      <c r="O1840" s="4"/>
      <c r="P1840" s="4"/>
    </row>
    <row r="1841" ht="15.75" hidden="1" customHeight="1">
      <c r="B1841" s="8">
        <v>2158.0</v>
      </c>
      <c r="C1841" s="9">
        <v>43494.0</v>
      </c>
      <c r="D1841" s="6" t="s">
        <v>2326</v>
      </c>
      <c r="E1841" s="4">
        <v>6.201000139E9</v>
      </c>
      <c r="F1841" s="8" t="s">
        <v>2349</v>
      </c>
      <c r="G1841" s="4" t="s">
        <v>2445</v>
      </c>
      <c r="H1841" s="10" t="s">
        <v>2447</v>
      </c>
      <c r="I1841" s="10">
        <v>500.0</v>
      </c>
      <c r="J1841" s="11" t="str">
        <f>IF(D1841&lt;&gt;"",VLOOKUP(H1841,TABLEITEM,5,FALSE),"")</f>
        <v>EA</v>
      </c>
      <c r="K1841" s="12">
        <v>2.7</v>
      </c>
      <c r="L1841" s="13" t="str">
        <f>IF(D1841&lt;&gt;"",VLOOKUP(H1841,TABLEITEM,2,FALSE),"")</f>
        <v/>
      </c>
      <c r="M1841" s="13" t="str">
        <f>IF(D1841&lt;&gt;"",VLOOKUP(H1841,TABLEITEM,3,FALSE),"")</f>
        <v>สตัด M4X25</v>
      </c>
      <c r="N1841" s="14">
        <f>INSTOCK!$I1841*INSTOCK!$K1841</f>
        <v>1350</v>
      </c>
      <c r="O1841" s="4"/>
      <c r="P1841" s="4"/>
    </row>
    <row r="1842" ht="15.75" hidden="1" customHeight="1">
      <c r="B1842" s="8">
        <v>2159.0</v>
      </c>
      <c r="C1842" s="9">
        <v>43497.0</v>
      </c>
      <c r="D1842" s="6" t="s">
        <v>2448</v>
      </c>
      <c r="E1842" s="4"/>
      <c r="F1842" s="8" t="s">
        <v>2449</v>
      </c>
      <c r="G1842" s="4" t="s">
        <v>2450</v>
      </c>
      <c r="H1842" s="10" t="s">
        <v>2451</v>
      </c>
      <c r="I1842" s="10">
        <v>5.0</v>
      </c>
      <c r="J1842" s="11" t="str">
        <f>IF(D1842&lt;&gt;"",VLOOKUP(H1842,TABLEITEM,5,FALSE),"")</f>
        <v>EA</v>
      </c>
      <c r="K1842" s="12">
        <v>180.0</v>
      </c>
      <c r="L1842" s="13" t="str">
        <f>IF(D1842&lt;&gt;"",VLOOKUP(H1842,TABLEITEM,2,FALSE),"")</f>
        <v/>
      </c>
      <c r="M1842" s="13" t="str">
        <f>IF(D1842&lt;&gt;"",VLOOKUP(H1842,TABLEITEM,3,FALSE),"")</f>
        <v>เสื้อโปโล(เสื้อพนักงาน)</v>
      </c>
      <c r="N1842" s="14">
        <f>INSTOCK!$I1842*INSTOCK!$K1842</f>
        <v>900</v>
      </c>
      <c r="O1842" s="4"/>
      <c r="P1842" s="4"/>
    </row>
    <row r="1843" ht="15.75" hidden="1" customHeight="1">
      <c r="B1843" s="8">
        <v>2160.0</v>
      </c>
      <c r="C1843" s="9">
        <v>43493.0</v>
      </c>
      <c r="D1843" s="6" t="s">
        <v>2452</v>
      </c>
      <c r="E1843" s="4">
        <v>6.201000127E9</v>
      </c>
      <c r="F1843" s="8" t="s">
        <v>604</v>
      </c>
      <c r="G1843" s="4" t="s">
        <v>2453</v>
      </c>
      <c r="H1843" s="10" t="s">
        <v>2454</v>
      </c>
      <c r="I1843" s="10">
        <v>20.0</v>
      </c>
      <c r="J1843" s="11" t="str">
        <f>IF(D1843&lt;&gt;"",VLOOKUP(H1843,TABLEITEM,5,FALSE),"")</f>
        <v>EA</v>
      </c>
      <c r="K1843" s="12">
        <v>43.23</v>
      </c>
      <c r="L1843" s="13" t="str">
        <f>IF(D1843&lt;&gt;"",VLOOKUP(H1843,TABLEITEM,2,FALSE),"")</f>
        <v/>
      </c>
      <c r="M1843" s="13" t="str">
        <f>IF(D1843&lt;&gt;"",VLOOKUP(H1843,TABLEITEM,3,FALSE),"")</f>
        <v>ดอกสว่าน นาซิ L/N 500 5.00มิล</v>
      </c>
      <c r="N1843" s="14">
        <f>INSTOCK!$I1843*INSTOCK!$K1843</f>
        <v>864.6</v>
      </c>
      <c r="O1843" s="4"/>
      <c r="P1843" s="4"/>
    </row>
    <row r="1844" ht="15.75" hidden="1" customHeight="1">
      <c r="B1844" s="8">
        <v>2161.0</v>
      </c>
      <c r="C1844" s="9">
        <v>43493.0</v>
      </c>
      <c r="D1844" s="6" t="s">
        <v>2455</v>
      </c>
      <c r="E1844" s="4">
        <v>6.201000107E9</v>
      </c>
      <c r="F1844" s="8" t="s">
        <v>604</v>
      </c>
      <c r="G1844" s="4" t="s">
        <v>2456</v>
      </c>
      <c r="H1844" s="10" t="s">
        <v>211</v>
      </c>
      <c r="I1844" s="10">
        <v>50.0</v>
      </c>
      <c r="J1844" s="11" t="str">
        <f>IF(D1844&lt;&gt;"",VLOOKUP(H1844,TABLEITEM,5,FALSE),"")</f>
        <v>EA</v>
      </c>
      <c r="K1844" s="12">
        <v>117.0</v>
      </c>
      <c r="L1844" s="13" t="str">
        <f>IF(D1844&lt;&gt;"",VLOOKUP(H1844,TABLEITEM,2,FALSE),"")</f>
        <v/>
      </c>
      <c r="M1844" s="13" t="str">
        <f>IF(D1844&lt;&gt;"",VLOOKUP(H1844,TABLEITEM,3,FALSE),"")</f>
        <v>รางรีเลย์</v>
      </c>
      <c r="N1844" s="14">
        <f>INSTOCK!$I1844*INSTOCK!$K1844</f>
        <v>5850</v>
      </c>
      <c r="O1844" s="4"/>
      <c r="P1844" s="4"/>
    </row>
    <row r="1845" ht="15.75" hidden="1" customHeight="1">
      <c r="B1845" s="8">
        <v>2162.0</v>
      </c>
      <c r="C1845" s="9">
        <v>43497.0</v>
      </c>
      <c r="D1845" s="6" t="s">
        <v>2457</v>
      </c>
      <c r="E1845" s="4">
        <v>6.201000151E9</v>
      </c>
      <c r="F1845" s="8" t="s">
        <v>604</v>
      </c>
      <c r="G1845" s="4" t="s">
        <v>965</v>
      </c>
      <c r="H1845" s="10" t="s">
        <v>42</v>
      </c>
      <c r="I1845" s="10">
        <v>2.0</v>
      </c>
      <c r="J1845" s="11" t="str">
        <f>IF(D1845&lt;&gt;"",VLOOKUP(H1845,TABLEITEM,5,FALSE),"")</f>
        <v>กล.</v>
      </c>
      <c r="K1845" s="12">
        <v>250.0</v>
      </c>
      <c r="L1845" s="13" t="str">
        <f>IF(D1845&lt;&gt;"",VLOOKUP(H1845,TABLEITEM,2,FALSE),"")</f>
        <v/>
      </c>
      <c r="M1845" s="13" t="str">
        <f>IF(D1845&lt;&gt;"",VLOOKUP(H1845,TABLEITEM,3,FALSE),"")</f>
        <v>แอลกอฮอลดีพิเศษ</v>
      </c>
      <c r="N1845" s="14">
        <f>INSTOCK!$I1845*INSTOCK!$K1845</f>
        <v>500</v>
      </c>
      <c r="O1845" s="4"/>
      <c r="P1845" s="4"/>
    </row>
    <row r="1846" ht="15.75" hidden="1" customHeight="1">
      <c r="B1846" s="8">
        <v>2165.0</v>
      </c>
      <c r="C1846" s="9">
        <v>43489.0</v>
      </c>
      <c r="D1846" s="6" t="s">
        <v>2458</v>
      </c>
      <c r="E1846" s="4">
        <v>6.201000087E9</v>
      </c>
      <c r="F1846" s="8" t="s">
        <v>2459</v>
      </c>
      <c r="G1846" s="4" t="s">
        <v>2460</v>
      </c>
      <c r="H1846" s="10" t="s">
        <v>2461</v>
      </c>
      <c r="I1846" s="10">
        <v>1.0</v>
      </c>
      <c r="J1846" s="11" t="str">
        <f>IF(D1846&lt;&gt;"",VLOOKUP(H1846,TABLEITEM,5,FALSE),"")</f>
        <v>LOT</v>
      </c>
      <c r="K1846" s="12">
        <v>800.0</v>
      </c>
      <c r="L1846" s="13" t="str">
        <f>IF(D1846&lt;&gt;"",VLOOKUP(H1846,TABLEITEM,2,FALSE),"")</f>
        <v/>
      </c>
      <c r="M1846" s="13" t="str">
        <f>IF(D1846&lt;&gt;"",VLOOKUP(H1846,TABLEITEM,3,FALSE),"")</f>
        <v>SERVICE-ONSITE</v>
      </c>
      <c r="N1846" s="14">
        <f>INSTOCK!$I1846*INSTOCK!$K1846</f>
        <v>800</v>
      </c>
      <c r="O1846" s="4"/>
      <c r="P1846" s="4"/>
    </row>
    <row r="1847" ht="15.75" hidden="1" customHeight="1">
      <c r="B1847" s="8">
        <v>2166.0</v>
      </c>
      <c r="C1847" s="9">
        <v>43489.0</v>
      </c>
      <c r="D1847" s="6" t="s">
        <v>2458</v>
      </c>
      <c r="E1847" s="4">
        <v>6.201000087E9</v>
      </c>
      <c r="F1847" s="8" t="s">
        <v>2459</v>
      </c>
      <c r="G1847" s="4" t="s">
        <v>2460</v>
      </c>
      <c r="H1847" s="10" t="s">
        <v>2462</v>
      </c>
      <c r="I1847" s="10">
        <v>2.0</v>
      </c>
      <c r="J1847" s="11" t="str">
        <f>IF(D1847&lt;&gt;"",VLOOKUP(H1847,TABLEITEM,5,FALSE),"")</f>
        <v>EA</v>
      </c>
      <c r="K1847" s="12">
        <v>2500.0</v>
      </c>
      <c r="L1847" s="13" t="str">
        <f>IF(D1847&lt;&gt;"",VLOOKUP(H1847,TABLEITEM,2,FALSE),"")</f>
        <v/>
      </c>
      <c r="M1847" s="13" t="str">
        <f>IF(D1847&lt;&gt;"",VLOOKUP(H1847,TABLEITEM,3,FALSE),"")</f>
        <v>INSTALL-AP100 v.5.20.05 AND DR.ABE v2.12.19</v>
      </c>
      <c r="N1847" s="14">
        <f>INSTOCK!$I1847*INSTOCK!$K1847</f>
        <v>5000</v>
      </c>
      <c r="O1847" s="4"/>
      <c r="P1847" s="4"/>
    </row>
    <row r="1848" ht="15.75" hidden="1" customHeight="1">
      <c r="B1848" s="8">
        <v>2167.0</v>
      </c>
      <c r="C1848" s="9">
        <v>43493.0</v>
      </c>
      <c r="D1848" s="6" t="s">
        <v>2463</v>
      </c>
      <c r="E1848" s="4">
        <v>6.201000085E9</v>
      </c>
      <c r="F1848" s="8" t="s">
        <v>2464</v>
      </c>
      <c r="G1848" s="4" t="s">
        <v>2465</v>
      </c>
      <c r="H1848" s="10" t="s">
        <v>2466</v>
      </c>
      <c r="I1848" s="10">
        <v>3.0</v>
      </c>
      <c r="J1848" s="11" t="str">
        <f>IF(D1848&lt;&gt;"",VLOOKUP(H1848,TABLEITEM,5,FALSE),"")</f>
        <v>pcs</v>
      </c>
      <c r="K1848" s="12">
        <v>3800.0</v>
      </c>
      <c r="L1848" s="13" t="str">
        <f>IF(D1848&lt;&gt;"",VLOOKUP(H1848,TABLEITEM,2,FALSE),"")</f>
        <v/>
      </c>
      <c r="M1848" s="13" t="str">
        <f>IF(D1848&lt;&gt;"",VLOOKUP(H1848,TABLEITEM,3,FALSE),"")</f>
        <v>ชุดกรองลม C4020-15W-A15W F+R ต่อข้าง</v>
      </c>
      <c r="N1848" s="14">
        <f>INSTOCK!$I1848*INSTOCK!$K1848</f>
        <v>11400</v>
      </c>
      <c r="O1848" s="4"/>
      <c r="P1848" s="4"/>
    </row>
    <row r="1849" ht="15.75" hidden="1" customHeight="1">
      <c r="B1849" s="8">
        <v>2168.0</v>
      </c>
      <c r="C1849" s="9">
        <v>43481.0</v>
      </c>
      <c r="D1849" s="6">
        <v>621004.0</v>
      </c>
      <c r="E1849" s="4">
        <v>6.201000013E9</v>
      </c>
      <c r="F1849" s="8" t="s">
        <v>1989</v>
      </c>
      <c r="G1849" s="4" t="s">
        <v>2467</v>
      </c>
      <c r="H1849" s="10" t="s">
        <v>2468</v>
      </c>
      <c r="I1849" s="10">
        <v>2000.0</v>
      </c>
      <c r="J1849" s="11" t="str">
        <f>IF(D1849&lt;&gt;"",VLOOKUP(H1849,TABLEITEM,5,FALSE),"")</f>
        <v>ชุด</v>
      </c>
      <c r="K1849" s="12">
        <v>3.6</v>
      </c>
      <c r="L1849" s="13" t="str">
        <f>IF(D1849&lt;&gt;"",VLOOKUP(H1849,TABLEITEM,2,FALSE),"")</f>
        <v/>
      </c>
      <c r="M1849" s="13" t="str">
        <f>IF(D1849&lt;&gt;"",VLOOKUP(H1849,TABLEITEM,3,FALSE),"")</f>
        <v>ฟอร์มใบเสร็จรับเงิน ขนาด 9"x8" 3ชั้น 1สี</v>
      </c>
      <c r="N1849" s="14">
        <f>INSTOCK!$I1849*INSTOCK!$K1849</f>
        <v>7200</v>
      </c>
      <c r="O1849" s="4"/>
      <c r="P1849" s="4"/>
    </row>
    <row r="1850" ht="15.75" hidden="1" customHeight="1">
      <c r="B1850" s="8">
        <v>2169.0</v>
      </c>
      <c r="C1850" s="9">
        <v>43474.0</v>
      </c>
      <c r="D1850" s="6" t="s">
        <v>2469</v>
      </c>
      <c r="E1850" s="4">
        <v>6.201000032E9</v>
      </c>
      <c r="F1850" s="8" t="s">
        <v>604</v>
      </c>
      <c r="G1850" s="4" t="s">
        <v>1788</v>
      </c>
      <c r="H1850" s="10" t="s">
        <v>2470</v>
      </c>
      <c r="I1850" s="10">
        <v>132.0</v>
      </c>
      <c r="J1850" s="11" t="str">
        <f>IF(D1850&lt;&gt;"",VLOOKUP(H1850,TABLEITEM,5,FALSE),"")</f>
        <v>EA</v>
      </c>
      <c r="K1850" s="12">
        <v>8.4</v>
      </c>
      <c r="L1850" s="13" t="str">
        <f>IF(D1850&lt;&gt;"",VLOOKUP(H1850,TABLEITEM,2,FALSE),"")</f>
        <v/>
      </c>
      <c r="M1850" s="13" t="str">
        <f>IF(D1850&lt;&gt;"",VLOOKUP(H1850,TABLEITEM,3,FALSE),"")</f>
        <v>สลักบานประตู 780 mm.</v>
      </c>
      <c r="N1850" s="14">
        <f>INSTOCK!$I1850*INSTOCK!$K1850</f>
        <v>1108.8</v>
      </c>
      <c r="O1850" s="4"/>
      <c r="P1850" s="4"/>
    </row>
    <row r="1851" ht="15.75" hidden="1" customHeight="1">
      <c r="B1851" s="8">
        <v>2170.0</v>
      </c>
      <c r="C1851" s="9">
        <v>43474.0</v>
      </c>
      <c r="D1851" s="6" t="s">
        <v>2469</v>
      </c>
      <c r="E1851" s="4">
        <v>6.201000032E9</v>
      </c>
      <c r="F1851" s="8" t="s">
        <v>604</v>
      </c>
      <c r="G1851" s="4" t="s">
        <v>1788</v>
      </c>
      <c r="H1851" s="10" t="s">
        <v>2471</v>
      </c>
      <c r="I1851" s="10">
        <v>33.0</v>
      </c>
      <c r="J1851" s="11" t="str">
        <f>IF(D1851&lt;&gt;"",VLOOKUP(H1851,TABLEITEM,5,FALSE),"")</f>
        <v>EA</v>
      </c>
      <c r="K1851" s="12">
        <v>8.4</v>
      </c>
      <c r="L1851" s="13" t="str">
        <f>IF(D1851&lt;&gt;"",VLOOKUP(H1851,TABLEITEM,2,FALSE),"")</f>
        <v/>
      </c>
      <c r="M1851" s="13" t="str">
        <f>IF(D1851&lt;&gt;"",VLOOKUP(H1851,TABLEITEM,3,FALSE),"")</f>
        <v>สลักบานประตู 880 mm.</v>
      </c>
      <c r="N1851" s="14">
        <f>INSTOCK!$I1851*INSTOCK!$K1851</f>
        <v>277.2</v>
      </c>
      <c r="O1851" s="4"/>
      <c r="P1851" s="4"/>
    </row>
    <row r="1852" ht="15.75" hidden="1" customHeight="1">
      <c r="B1852" s="8">
        <v>2171.0</v>
      </c>
      <c r="C1852" s="9">
        <v>43474.0</v>
      </c>
      <c r="D1852" s="6" t="s">
        <v>2469</v>
      </c>
      <c r="E1852" s="4">
        <v>6.201000032E9</v>
      </c>
      <c r="F1852" s="8" t="s">
        <v>604</v>
      </c>
      <c r="G1852" s="4" t="s">
        <v>1788</v>
      </c>
      <c r="H1852" s="10" t="s">
        <v>2472</v>
      </c>
      <c r="I1852" s="10">
        <v>239.0</v>
      </c>
      <c r="J1852" s="11" t="str">
        <f>IF(D1852&lt;&gt;"",VLOOKUP(H1852,TABLEITEM,5,FALSE),"")</f>
        <v>EA</v>
      </c>
      <c r="K1852" s="12">
        <v>8.4</v>
      </c>
      <c r="L1852" s="13" t="str">
        <f>IF(D1852&lt;&gt;"",VLOOKUP(H1852,TABLEITEM,2,FALSE),"")</f>
        <v/>
      </c>
      <c r="M1852" s="13" t="str">
        <f>IF(D1852&lt;&gt;"",VLOOKUP(H1852,TABLEITEM,3,FALSE),"")</f>
        <v>สลักบานประตู 930 mm.</v>
      </c>
      <c r="N1852" s="14">
        <f>INSTOCK!$I1852*INSTOCK!$K1852</f>
        <v>2007.6</v>
      </c>
      <c r="O1852" s="4"/>
      <c r="P1852" s="4"/>
    </row>
    <row r="1853" ht="15.75" hidden="1" customHeight="1">
      <c r="B1853" s="8">
        <v>2172.0</v>
      </c>
      <c r="C1853" s="9">
        <v>43474.0</v>
      </c>
      <c r="D1853" s="6" t="s">
        <v>2469</v>
      </c>
      <c r="E1853" s="4">
        <v>6.201000032E9</v>
      </c>
      <c r="F1853" s="8" t="s">
        <v>604</v>
      </c>
      <c r="G1853" s="4" t="s">
        <v>1788</v>
      </c>
      <c r="H1853" s="10" t="s">
        <v>2473</v>
      </c>
      <c r="I1853" s="10">
        <v>80.0</v>
      </c>
      <c r="J1853" s="11" t="str">
        <f>IF(D1853&lt;&gt;"",VLOOKUP(H1853,TABLEITEM,5,FALSE),"")</f>
        <v>EA</v>
      </c>
      <c r="K1853" s="12">
        <v>8.4</v>
      </c>
      <c r="L1853" s="13" t="str">
        <f>IF(D1853&lt;&gt;"",VLOOKUP(H1853,TABLEITEM,2,FALSE),"")</f>
        <v/>
      </c>
      <c r="M1853" s="13" t="str">
        <f>IF(D1853&lt;&gt;"",VLOOKUP(H1853,TABLEITEM,3,FALSE),"")</f>
        <v>สลักบานประตู 1210 มิล</v>
      </c>
      <c r="N1853" s="14">
        <f>INSTOCK!$I1853*INSTOCK!$K1853</f>
        <v>672</v>
      </c>
      <c r="O1853" s="4"/>
      <c r="P1853" s="4"/>
    </row>
    <row r="1854" ht="15.75" hidden="1" customHeight="1">
      <c r="B1854" s="8">
        <v>2173.0</v>
      </c>
      <c r="C1854" s="9">
        <v>43474.0</v>
      </c>
      <c r="D1854" s="6" t="s">
        <v>2469</v>
      </c>
      <c r="E1854" s="4">
        <v>6.201000032E9</v>
      </c>
      <c r="F1854" s="8" t="s">
        <v>604</v>
      </c>
      <c r="G1854" s="4" t="s">
        <v>1788</v>
      </c>
      <c r="H1854" s="10" t="s">
        <v>2474</v>
      </c>
      <c r="I1854" s="10">
        <v>198.0</v>
      </c>
      <c r="J1854" s="11" t="str">
        <f>IF(D1854&lt;&gt;"",VLOOKUP(H1854,TABLEITEM,5,FALSE),"")</f>
        <v>EA</v>
      </c>
      <c r="K1854" s="12">
        <v>8.4</v>
      </c>
      <c r="L1854" s="13" t="str">
        <f>IF(D1854&lt;&gt;"",VLOOKUP(H1854,TABLEITEM,2,FALSE),"")</f>
        <v/>
      </c>
      <c r="M1854" s="13" t="str">
        <f>IF(D1854&lt;&gt;"",VLOOKUP(H1854,TABLEITEM,3,FALSE),"")</f>
        <v>สลักบานประตู 980 mm.</v>
      </c>
      <c r="N1854" s="14">
        <f>INSTOCK!$I1854*INSTOCK!$K1854</f>
        <v>1663.2</v>
      </c>
      <c r="O1854" s="4"/>
      <c r="P1854" s="4"/>
    </row>
    <row r="1855" ht="15.75" hidden="1" customHeight="1">
      <c r="B1855" s="8">
        <v>2174.0</v>
      </c>
      <c r="C1855" s="9">
        <v>43474.0</v>
      </c>
      <c r="D1855" s="6" t="s">
        <v>2469</v>
      </c>
      <c r="E1855" s="4">
        <v>6.201000032E9</v>
      </c>
      <c r="F1855" s="8" t="s">
        <v>604</v>
      </c>
      <c r="G1855" s="4" t="s">
        <v>1788</v>
      </c>
      <c r="H1855" s="10" t="s">
        <v>2475</v>
      </c>
      <c r="I1855" s="10">
        <v>66.0</v>
      </c>
      <c r="J1855" s="11" t="str">
        <f>IF(D1855&lt;&gt;"",VLOOKUP(H1855,TABLEITEM,5,FALSE),"")</f>
        <v>EA</v>
      </c>
      <c r="K1855" s="12">
        <v>8.4</v>
      </c>
      <c r="L1855" s="13" t="str">
        <f>IF(D1855&lt;&gt;"",VLOOKUP(H1855,TABLEITEM,2,FALSE),"")</f>
        <v/>
      </c>
      <c r="M1855" s="13" t="str">
        <f>IF(D1855&lt;&gt;"",VLOOKUP(H1855,TABLEITEM,3,FALSE),"")</f>
        <v>สลักบานประตู 1060 มิล</v>
      </c>
      <c r="N1855" s="14">
        <f>INSTOCK!$I1855*INSTOCK!$K1855</f>
        <v>554.4</v>
      </c>
      <c r="O1855" s="4"/>
      <c r="P1855" s="4"/>
    </row>
    <row r="1856" ht="15.75" hidden="1" customHeight="1">
      <c r="B1856" s="8">
        <v>2175.0</v>
      </c>
      <c r="C1856" s="9">
        <v>43474.0</v>
      </c>
      <c r="D1856" s="6" t="s">
        <v>2469</v>
      </c>
      <c r="E1856" s="4">
        <v>6.201000032E9</v>
      </c>
      <c r="F1856" s="8" t="s">
        <v>604</v>
      </c>
      <c r="G1856" s="4" t="s">
        <v>1788</v>
      </c>
      <c r="H1856" s="10" t="s">
        <v>2476</v>
      </c>
      <c r="I1856" s="10">
        <v>50.0</v>
      </c>
      <c r="J1856" s="11" t="str">
        <f>IF(D1856&lt;&gt;"",VLOOKUP(H1856,TABLEITEM,5,FALSE),"")</f>
        <v>EA</v>
      </c>
      <c r="K1856" s="12">
        <v>8.4</v>
      </c>
      <c r="L1856" s="13" t="str">
        <f>IF(D1856&lt;&gt;"",VLOOKUP(H1856,TABLEITEM,2,FALSE),"")</f>
        <v/>
      </c>
      <c r="M1856" s="13" t="str">
        <f>IF(D1856&lt;&gt;"",VLOOKUP(H1856,TABLEITEM,3,FALSE),"")</f>
        <v>สลักบานประตู 400 mm.</v>
      </c>
      <c r="N1856" s="14">
        <f>INSTOCK!$I1856*INSTOCK!$K1856</f>
        <v>420</v>
      </c>
      <c r="O1856" s="4"/>
      <c r="P1856" s="4"/>
    </row>
    <row r="1857" ht="15.75" hidden="1" customHeight="1">
      <c r="B1857" s="8">
        <v>2176.0</v>
      </c>
      <c r="C1857" s="9">
        <v>43495.0</v>
      </c>
      <c r="D1857" s="6" t="s">
        <v>2477</v>
      </c>
      <c r="E1857" s="4">
        <v>6.201000134E9</v>
      </c>
      <c r="F1857" s="8" t="s">
        <v>2478</v>
      </c>
      <c r="G1857" s="4" t="s">
        <v>2479</v>
      </c>
      <c r="H1857" s="10" t="s">
        <v>2480</v>
      </c>
      <c r="I1857" s="10">
        <v>1.0</v>
      </c>
      <c r="J1857" s="11" t="str">
        <f>IF(D1857&lt;&gt;"",VLOOKUP(H1857,TABLEITEM,5,FALSE),"")</f>
        <v>EA</v>
      </c>
      <c r="K1857" s="12">
        <v>17747.66</v>
      </c>
      <c r="L1857" s="13" t="str">
        <f>IF(D1857&lt;&gt;"",VLOOKUP(H1857,TABLEITEM,2,FALSE),"")</f>
        <v/>
      </c>
      <c r="M1857" s="13" t="str">
        <f>IF(D1857&lt;&gt;"",VLOOKUP(H1857,TABLEITEM,3,FALSE),"")</f>
        <v>BROTHER PT-E850TKWLI เครื่องพิมพ์ฉลาก</v>
      </c>
      <c r="N1857" s="14">
        <f>INSTOCK!$I1857*INSTOCK!$K1857</f>
        <v>17747.66</v>
      </c>
      <c r="O1857" s="4"/>
      <c r="P1857" s="4"/>
    </row>
    <row r="1858" ht="15.75" hidden="1" customHeight="1">
      <c r="B1858" s="8">
        <v>2177.0</v>
      </c>
      <c r="C1858" s="9">
        <v>43495.0</v>
      </c>
      <c r="D1858" s="6" t="s">
        <v>2477</v>
      </c>
      <c r="E1858" s="4">
        <v>6.201000134E9</v>
      </c>
      <c r="F1858" s="8" t="s">
        <v>2478</v>
      </c>
      <c r="G1858" s="4" t="s">
        <v>2479</v>
      </c>
      <c r="H1858" s="10" t="s">
        <v>2481</v>
      </c>
      <c r="I1858" s="10"/>
      <c r="J1858" s="11" t="str">
        <f>IF(D1858&lt;&gt;"",VLOOKUP(H1858,TABLEITEM,5,FALSE),"")</f>
        <v>EA</v>
      </c>
      <c r="K1858" s="12"/>
      <c r="L1858" s="13" t="str">
        <f>IF(D1858&lt;&gt;"",VLOOKUP(H1858,TABLEITEM,2,FALSE),"")</f>
        <v/>
      </c>
      <c r="M1858" s="13" t="str">
        <f>IF(D1858&lt;&gt;"",VLOOKUP(H1858,TABLEITEM,3,FALSE),"")</f>
        <v>BROTHER TR-100BK เทปผ้าหมึก</v>
      </c>
      <c r="N1858" s="14">
        <f>INSTOCK!$I1858*INSTOCK!$K1858</f>
        <v>0</v>
      </c>
      <c r="O1858" s="4" t="s">
        <v>2482</v>
      </c>
      <c r="P1858" s="4"/>
    </row>
    <row r="1859" ht="15.75" hidden="1" customHeight="1">
      <c r="B1859" s="8">
        <v>2178.0</v>
      </c>
      <c r="C1859" s="9">
        <v>43495.0</v>
      </c>
      <c r="D1859" s="6" t="s">
        <v>2477</v>
      </c>
      <c r="E1859" s="4">
        <v>6.201000134E9</v>
      </c>
      <c r="F1859" s="8" t="s">
        <v>2478</v>
      </c>
      <c r="G1859" s="4" t="s">
        <v>2479</v>
      </c>
      <c r="H1859" s="10" t="s">
        <v>2483</v>
      </c>
      <c r="I1859" s="10"/>
      <c r="J1859" s="11" t="str">
        <f>IF(D1859&lt;&gt;"",VLOOKUP(H1859,TABLEITEM,5,FALSE),"")</f>
        <v/>
      </c>
      <c r="K1859" s="12"/>
      <c r="L1859" s="13" t="str">
        <f>IF(D1859&lt;&gt;"",VLOOKUP(H1859,TABLEITEM,2,FALSE),"")</f>
        <v/>
      </c>
      <c r="M1859" s="13" t="str">
        <f>IF(D1859&lt;&gt;"",VLOOKUP(H1859,TABLEITEM,3,FALSE),"")</f>
        <v>BS TECH PVC ปลอกสาย 3.2มิล</v>
      </c>
      <c r="N1859" s="14">
        <f>INSTOCK!$I1859*INSTOCK!$K1859</f>
        <v>0</v>
      </c>
      <c r="O1859" s="4" t="s">
        <v>2482</v>
      </c>
      <c r="P1859" s="4"/>
    </row>
    <row r="1860" ht="15.75" hidden="1" customHeight="1">
      <c r="B1860" s="8">
        <v>2179.0</v>
      </c>
      <c r="C1860" s="9">
        <v>43495.0</v>
      </c>
      <c r="D1860" s="6" t="s">
        <v>2477</v>
      </c>
      <c r="E1860" s="4">
        <v>6.201000134E9</v>
      </c>
      <c r="F1860" s="8" t="s">
        <v>2478</v>
      </c>
      <c r="G1860" s="4" t="s">
        <v>2479</v>
      </c>
      <c r="H1860" s="10" t="s">
        <v>2484</v>
      </c>
      <c r="I1860" s="10"/>
      <c r="J1860" s="11" t="str">
        <f>IF(D1860&lt;&gt;"",VLOOKUP(H1860,TABLEITEM,5,FALSE),"")</f>
        <v>EA</v>
      </c>
      <c r="K1860" s="12"/>
      <c r="L1860" s="13" t="str">
        <f>IF(D1860&lt;&gt;"",VLOOKUP(H1860,TABLEITEM,2,FALSE),"")</f>
        <v/>
      </c>
      <c r="M1860" s="13" t="str">
        <f>IF(D1860&lt;&gt;"",VLOOKUP(H1860,TABLEITEM,3,FALSE),"")</f>
        <v>กระเป๋าสะพายสำหรับใสเครื่องพิมพ์</v>
      </c>
      <c r="N1860" s="14">
        <f>INSTOCK!$I1860*INSTOCK!$K1860</f>
        <v>0</v>
      </c>
      <c r="O1860" s="4" t="s">
        <v>2482</v>
      </c>
      <c r="P1860" s="4"/>
    </row>
    <row r="1861" ht="15.75" hidden="1" customHeight="1">
      <c r="B1861" s="8">
        <v>2180.0</v>
      </c>
      <c r="C1861" s="9">
        <v>43495.0</v>
      </c>
      <c r="D1861" s="6" t="s">
        <v>2477</v>
      </c>
      <c r="E1861" s="4">
        <v>6.201000134E9</v>
      </c>
      <c r="F1861" s="8" t="s">
        <v>2478</v>
      </c>
      <c r="G1861" s="4" t="s">
        <v>2479</v>
      </c>
      <c r="H1861" s="10" t="s">
        <v>2485</v>
      </c>
      <c r="I1861" s="10"/>
      <c r="J1861" s="11" t="str">
        <f>IF(D1861&lt;&gt;"",VLOOKUP(H1861,TABLEITEM,5,FALSE),"")</f>
        <v/>
      </c>
      <c r="K1861" s="12"/>
      <c r="L1861" s="13" t="str">
        <f>IF(D1861&lt;&gt;"",VLOOKUP(H1861,TABLEITEM,2,FALSE),"")</f>
        <v/>
      </c>
      <c r="M1861" s="13" t="str">
        <f>IF(D1861&lt;&gt;"",VLOOKUP(H1861,TABLEITEM,3,FALSE),"")</f>
        <v>GIFT VOUCHER@500.-</v>
      </c>
      <c r="N1861" s="14">
        <f>INSTOCK!$I1861*INSTOCK!$K1861</f>
        <v>0</v>
      </c>
      <c r="O1861" s="4" t="s">
        <v>2482</v>
      </c>
      <c r="P1861" s="4"/>
    </row>
    <row r="1862" ht="15.75" hidden="1" customHeight="1">
      <c r="B1862" s="8">
        <v>2181.0</v>
      </c>
      <c r="C1862" s="9">
        <v>43498.0</v>
      </c>
      <c r="D1862" s="6" t="s">
        <v>2486</v>
      </c>
      <c r="E1862" s="4"/>
      <c r="F1862" s="8" t="s">
        <v>2349</v>
      </c>
      <c r="G1862" s="4" t="s">
        <v>2487</v>
      </c>
      <c r="H1862" s="10" t="s">
        <v>2488</v>
      </c>
      <c r="I1862" s="10">
        <v>15.0</v>
      </c>
      <c r="J1862" s="11" t="str">
        <f>IF(D1862&lt;&gt;"",VLOOKUP(H1862,TABLEITEM,5,FALSE),"")</f>
        <v>EA</v>
      </c>
      <c r="K1862" s="12">
        <v>40.0</v>
      </c>
      <c r="L1862" s="13" t="str">
        <f>IF(D1862&lt;&gt;"",VLOOKUP(H1862,TABLEITEM,2,FALSE),"")</f>
        <v/>
      </c>
      <c r="M1862" s="13" t="str">
        <f>IF(D1862&lt;&gt;"",VLOOKUP(H1862,TABLEITEM,3,FALSE),"")</f>
        <v>สปริง 1"</v>
      </c>
      <c r="N1862" s="14">
        <f>INSTOCK!$I1862*INSTOCK!$K1862</f>
        <v>600</v>
      </c>
      <c r="O1862" s="4"/>
      <c r="P1862" s="4"/>
    </row>
    <row r="1863" ht="15.75" hidden="1" customHeight="1">
      <c r="B1863" s="8">
        <v>2182.0</v>
      </c>
      <c r="C1863" s="9">
        <v>43500.0</v>
      </c>
      <c r="D1863" s="6" t="s">
        <v>2489</v>
      </c>
      <c r="E1863" s="4"/>
      <c r="F1863" s="8" t="s">
        <v>801</v>
      </c>
      <c r="G1863" s="4" t="s">
        <v>1417</v>
      </c>
      <c r="H1863" s="10" t="s">
        <v>803</v>
      </c>
      <c r="I1863" s="10">
        <v>20.0</v>
      </c>
      <c r="J1863" s="11" t="str">
        <f>IF(D1863&lt;&gt;"",VLOOKUP(H1863,TABLEITEM,5,FALSE),"")</f>
        <v>ถัง</v>
      </c>
      <c r="K1863" s="12">
        <v>981.31</v>
      </c>
      <c r="L1863" s="13" t="str">
        <f>IF(D1863&lt;&gt;"",VLOOKUP(H1863,TABLEITEM,2,FALSE),"")</f>
        <v/>
      </c>
      <c r="M1863" s="13" t="str">
        <f>IF(D1863&lt;&gt;"",VLOOKUP(H1863,TABLEITEM,3,FALSE),"")</f>
        <v>แก๊สหุงต้ม 48กก</v>
      </c>
      <c r="N1863" s="14">
        <f>INSTOCK!$I1863*INSTOCK!$K1863</f>
        <v>19626.2</v>
      </c>
      <c r="O1863" s="4"/>
      <c r="P1863" s="4"/>
    </row>
    <row r="1864" ht="15.75" hidden="1" customHeight="1">
      <c r="B1864" s="8">
        <v>2183.0</v>
      </c>
      <c r="C1864" s="9">
        <v>43502.0</v>
      </c>
      <c r="D1864" s="6">
        <v>37383.0</v>
      </c>
      <c r="E1864" s="4">
        <v>6.202000169E9</v>
      </c>
      <c r="F1864" s="8" t="s">
        <v>2478</v>
      </c>
      <c r="G1864" s="4" t="s">
        <v>696</v>
      </c>
      <c r="H1864" s="10" t="s">
        <v>2490</v>
      </c>
      <c r="I1864" s="10">
        <v>2.0</v>
      </c>
      <c r="J1864" s="11" t="str">
        <f>IF(D1864&lt;&gt;"",VLOOKUP(H1864,TABLEITEM,5,FALSE),"")</f>
        <v>EA</v>
      </c>
      <c r="K1864" s="12">
        <v>650.0</v>
      </c>
      <c r="L1864" s="13" t="str">
        <f>IF(D1864&lt;&gt;"",VLOOKUP(H1864,TABLEITEM,2,FALSE),"")</f>
        <v/>
      </c>
      <c r="M1864" s="13" t="str">
        <f>IF(D1864&lt;&gt;"",VLOOKUP(H1864,TABLEITEM,3,FALSE),"")</f>
        <v>หัวแร้งเชื่อมตะกั่ว 130W รุ่น NO.980F-V22</v>
      </c>
      <c r="N1864" s="14">
        <f>INSTOCK!$I1864*INSTOCK!$K1864</f>
        <v>1300</v>
      </c>
      <c r="O1864" s="4"/>
      <c r="P1864" s="4"/>
    </row>
    <row r="1865" ht="15.75" hidden="1" customHeight="1">
      <c r="B1865" s="8">
        <v>2184.0</v>
      </c>
      <c r="C1865" s="9">
        <v>43502.0</v>
      </c>
      <c r="D1865" s="6">
        <v>6.2020287E7</v>
      </c>
      <c r="E1865" s="4">
        <v>6.202000183E9</v>
      </c>
      <c r="F1865" s="8" t="s">
        <v>2349</v>
      </c>
      <c r="G1865" s="4" t="s">
        <v>711</v>
      </c>
      <c r="H1865" s="10" t="s">
        <v>2358</v>
      </c>
      <c r="I1865" s="10">
        <v>20.0</v>
      </c>
      <c r="J1865" s="11" t="str">
        <f>IF(D1865&lt;&gt;"",VLOOKUP(H1865,TABLEITEM,5,FALSE),"")</f>
        <v>KG.</v>
      </c>
      <c r="K1865" s="12">
        <v>153.0</v>
      </c>
      <c r="L1865" s="13" t="str">
        <f>IF(D1865&lt;&gt;"",VLOOKUP(H1865,TABLEITEM,2,FALSE),"")</f>
        <v/>
      </c>
      <c r="M1865" s="13" t="str">
        <f>IF(D1865&lt;&gt;"",VLOOKUP(H1865,TABLEITEM,3,FALSE),"")</f>
        <v>สีฝุ่น P08019AN สีขาว</v>
      </c>
      <c r="N1865" s="14">
        <f>INSTOCK!$I1865*INSTOCK!$K1865</f>
        <v>3060</v>
      </c>
      <c r="O1865" s="4" t="s">
        <v>1460</v>
      </c>
      <c r="P1865" s="4"/>
    </row>
    <row r="1866" ht="15.75" hidden="1" customHeight="1">
      <c r="B1866" s="8">
        <v>2185.0</v>
      </c>
      <c r="C1866" s="9">
        <v>43502.0</v>
      </c>
      <c r="D1866" s="6" t="s">
        <v>2491</v>
      </c>
      <c r="E1866" s="4">
        <v>6.202000174E9</v>
      </c>
      <c r="F1866" s="8" t="s">
        <v>604</v>
      </c>
      <c r="G1866" s="4" t="s">
        <v>737</v>
      </c>
      <c r="H1866" s="10" t="s">
        <v>16</v>
      </c>
      <c r="I1866" s="10">
        <v>360.0</v>
      </c>
      <c r="J1866" s="11" t="str">
        <f>IF(D1866&lt;&gt;"",VLOOKUP(H1866,TABLEITEM,5,FALSE),"")</f>
        <v>คู่</v>
      </c>
      <c r="K1866" s="12">
        <v>4.58333</v>
      </c>
      <c r="L1866" s="13" t="str">
        <f>IF(D1866&lt;&gt;"",VLOOKUP(H1866,TABLEITEM,2,FALSE),"")</f>
        <v/>
      </c>
      <c r="M1866" s="13" t="str">
        <f>IF(D1866&lt;&gt;"",VLOOKUP(H1866,TABLEITEM,3,FALSE),"")</f>
        <v>ถุงมือผ้า</v>
      </c>
      <c r="N1866" s="14">
        <f>INSTOCK!$I1866*INSTOCK!$K1866</f>
        <v>1649.9988</v>
      </c>
      <c r="O1866" s="4" t="s">
        <v>973</v>
      </c>
      <c r="P1866" s="4"/>
    </row>
    <row r="1867" ht="15.75" hidden="1" customHeight="1">
      <c r="B1867" s="8">
        <v>2186.0</v>
      </c>
      <c r="C1867" s="9">
        <v>43502.0</v>
      </c>
      <c r="D1867" s="6" t="s">
        <v>2492</v>
      </c>
      <c r="E1867" s="4">
        <v>6.202000179E9</v>
      </c>
      <c r="F1867" s="8" t="s">
        <v>2349</v>
      </c>
      <c r="G1867" s="4" t="s">
        <v>2412</v>
      </c>
      <c r="H1867" s="10" t="s">
        <v>2493</v>
      </c>
      <c r="I1867" s="10">
        <v>1000.0</v>
      </c>
      <c r="J1867" s="11" t="str">
        <f>IF(D1867&lt;&gt;"",VLOOKUP(H1867,TABLEITEM,5,FALSE),"")</f>
        <v>EA</v>
      </c>
      <c r="K1867" s="12">
        <v>6.5</v>
      </c>
      <c r="L1867" s="13" t="str">
        <f>IF(D1867&lt;&gt;"",VLOOKUP(H1867,TABLEITEM,2,FALSE),"")</f>
        <v/>
      </c>
      <c r="M1867" s="13" t="str">
        <f>IF(D1867&lt;&gt;"",VLOOKUP(H1867,TABLEITEM,3,FALSE),"")</f>
        <v>สตัดตัวเมีย M3x12</v>
      </c>
      <c r="N1867" s="14">
        <f>INSTOCK!$I1867*INSTOCK!$K1867</f>
        <v>6500</v>
      </c>
      <c r="O1867" s="4"/>
      <c r="P1867" s="4"/>
    </row>
    <row r="1868" ht="15.75" hidden="1" customHeight="1">
      <c r="B1868" s="8">
        <v>2187.0</v>
      </c>
      <c r="C1868" s="9">
        <v>43502.0</v>
      </c>
      <c r="D1868" s="6" t="s">
        <v>2494</v>
      </c>
      <c r="E1868" s="4"/>
      <c r="F1868" s="8" t="s">
        <v>2349</v>
      </c>
      <c r="G1868" s="4" t="s">
        <v>2495</v>
      </c>
      <c r="H1868" s="10" t="s">
        <v>2496</v>
      </c>
      <c r="I1868" s="10">
        <v>1000.0</v>
      </c>
      <c r="J1868" s="11" t="str">
        <f>IF(D1868&lt;&gt;"",VLOOKUP(H1868,TABLEITEM,5,FALSE),"")</f>
        <v>EA</v>
      </c>
      <c r="K1868" s="12">
        <v>0.13</v>
      </c>
      <c r="L1868" s="13" t="str">
        <f>IF(D1868&lt;&gt;"",VLOOKUP(H1868,TABLEITEM,2,FALSE),"")</f>
        <v/>
      </c>
      <c r="M1868" s="13" t="str">
        <f>IF(D1868&lt;&gt;"",VLOOKUP(H1868,TABLEITEM,3,FALSE),"")</f>
        <v>สกรูหัวกลมชุบขาว M3x20</v>
      </c>
      <c r="N1868" s="14">
        <f>INSTOCK!$I1868*INSTOCK!$K1868</f>
        <v>130</v>
      </c>
      <c r="O1868" s="4"/>
      <c r="P1868" s="4"/>
    </row>
    <row r="1869" ht="15.75" hidden="1" customHeight="1">
      <c r="B1869" s="8">
        <v>2188.0</v>
      </c>
      <c r="C1869" s="9">
        <v>43501.0</v>
      </c>
      <c r="D1869" s="6" t="s">
        <v>2497</v>
      </c>
      <c r="E1869" s="4">
        <v>6.202000176E9</v>
      </c>
      <c r="F1869" s="8" t="s">
        <v>604</v>
      </c>
      <c r="G1869" s="4" t="s">
        <v>665</v>
      </c>
      <c r="H1869" s="10" t="s">
        <v>1428</v>
      </c>
      <c r="I1869" s="10">
        <v>1000.0</v>
      </c>
      <c r="J1869" s="11" t="str">
        <f>IF(D1869&lt;&gt;"",VLOOKUP(H1869,TABLEITEM,5,FALSE),"")</f>
        <v>M</v>
      </c>
      <c r="K1869" s="12">
        <v>5.0</v>
      </c>
      <c r="L1869" s="13" t="str">
        <f>IF(D1869&lt;&gt;"",VLOOKUP(H1869,TABLEITEM,2,FALSE),"")</f>
        <v>wire</v>
      </c>
      <c r="M1869" s="13" t="str">
        <f>IF(D1869&lt;&gt;"",VLOOKUP(H1869,TABLEITEM,3,FALSE),"")</f>
        <v>สายไฟ VSF1x1 SQMM.สีน้ำเงิน</v>
      </c>
      <c r="N1869" s="14">
        <f>INSTOCK!$I1869*INSTOCK!$K1869</f>
        <v>5000</v>
      </c>
      <c r="O1869" s="4"/>
      <c r="P1869" s="4"/>
    </row>
    <row r="1870" ht="15.75" hidden="1" customHeight="1">
      <c r="B1870" s="8">
        <v>2189.0</v>
      </c>
      <c r="C1870" s="9">
        <v>43502.0</v>
      </c>
      <c r="D1870" s="6" t="s">
        <v>2498</v>
      </c>
      <c r="E1870" s="4">
        <v>6.201000153E9</v>
      </c>
      <c r="F1870" s="8" t="s">
        <v>2349</v>
      </c>
      <c r="G1870" s="4" t="s">
        <v>798</v>
      </c>
      <c r="H1870" s="10" t="s">
        <v>2499</v>
      </c>
      <c r="I1870" s="10">
        <v>500.0</v>
      </c>
      <c r="J1870" s="11" t="str">
        <f>IF(D1870&lt;&gt;"",VLOOKUP(H1870,TABLEITEM,5,FALSE),"")</f>
        <v>EA</v>
      </c>
      <c r="K1870" s="12">
        <v>67.5</v>
      </c>
      <c r="L1870" s="13" t="str">
        <f>IF(D1870&lt;&gt;"",VLOOKUP(H1870,TABLEITEM,2,FALSE),"")</f>
        <v/>
      </c>
      <c r="M1870" s="13" t="str">
        <f>IF(D1870&lt;&gt;"",VLOOKUP(H1870,TABLEITEM,3,FALSE),"")</f>
        <v>กุญแจ locke 1A-262-20-91-C01-K3Z</v>
      </c>
      <c r="N1870" s="14">
        <f>INSTOCK!$I1870*INSTOCK!$K1870</f>
        <v>33750</v>
      </c>
      <c r="O1870" s="8" t="s">
        <v>2500</v>
      </c>
      <c r="P1870" s="4"/>
    </row>
    <row r="1871" ht="15.75" hidden="1" customHeight="1">
      <c r="B1871" s="8">
        <v>2190.0</v>
      </c>
      <c r="C1871" s="9">
        <v>43502.0</v>
      </c>
      <c r="D1871" s="6" t="s">
        <v>2501</v>
      </c>
      <c r="E1871" s="4">
        <v>6.201000126E9</v>
      </c>
      <c r="F1871" s="8" t="s">
        <v>2349</v>
      </c>
      <c r="G1871" s="4" t="s">
        <v>798</v>
      </c>
      <c r="H1871" s="10" t="s">
        <v>2502</v>
      </c>
      <c r="I1871" s="10">
        <v>1000.0</v>
      </c>
      <c r="J1871" s="11" t="str">
        <f>IF(D1871&lt;&gt;"",VLOOKUP(H1871,TABLEITEM,5,FALSE),"")</f>
        <v>EA</v>
      </c>
      <c r="K1871" s="12">
        <v>67.5</v>
      </c>
      <c r="L1871" s="13" t="str">
        <f>IF(D1871&lt;&gt;"",VLOOKUP(H1871,TABLEITEM,2,FALSE),"")</f>
        <v/>
      </c>
      <c r="M1871" s="13" t="str">
        <f>IF(D1871&lt;&gt;"",VLOOKUP(H1871,TABLEITEM,3,FALSE),"")</f>
        <v>กุญแจ locker 1A-261-20-91-C01-J9Z</v>
      </c>
      <c r="N1871" s="14">
        <f>INSTOCK!$I1871*INSTOCK!$K1871</f>
        <v>67500</v>
      </c>
      <c r="O1871" s="4" t="s">
        <v>2500</v>
      </c>
      <c r="P1871" s="4"/>
    </row>
    <row r="1872" ht="15.75" hidden="1" customHeight="1">
      <c r="B1872" s="8">
        <v>2191.0</v>
      </c>
      <c r="C1872" s="9">
        <v>43502.0</v>
      </c>
      <c r="D1872" s="6" t="s">
        <v>2503</v>
      </c>
      <c r="E1872" s="4"/>
      <c r="F1872" s="8" t="s">
        <v>604</v>
      </c>
      <c r="G1872" s="4" t="s">
        <v>1092</v>
      </c>
      <c r="H1872" s="10" t="s">
        <v>818</v>
      </c>
      <c r="I1872" s="10">
        <v>19.0</v>
      </c>
      <c r="J1872" s="11" t="str">
        <f>IF(D1872&lt;&gt;"",VLOOKUP(H1872,TABLEITEM,5,FALSE),"")</f>
        <v>ท่อ</v>
      </c>
      <c r="K1872" s="12">
        <v>280.0</v>
      </c>
      <c r="L1872" s="13" t="str">
        <f>IF(D1872&lt;&gt;"",VLOOKUP(H1872,TABLEITEM,2,FALSE),"")</f>
        <v/>
      </c>
      <c r="M1872" s="13" t="str">
        <f>IF(D1872&lt;&gt;"",VLOOKUP(H1872,TABLEITEM,3,FALSE),"")</f>
        <v>คาร์บอนไดออกไซด์ ขนาด 25 กก</v>
      </c>
      <c r="N1872" s="14">
        <f>INSTOCK!$I1872*INSTOCK!$K1872</f>
        <v>5320</v>
      </c>
      <c r="O1872" s="4"/>
      <c r="P1872" s="4"/>
    </row>
    <row r="1873" ht="15.75" hidden="1" customHeight="1">
      <c r="B1873" s="8">
        <v>2192.0</v>
      </c>
      <c r="C1873" s="9">
        <v>43503.0</v>
      </c>
      <c r="D1873" s="6" t="s">
        <v>2504</v>
      </c>
      <c r="E1873" s="4"/>
      <c r="F1873" s="8" t="s">
        <v>604</v>
      </c>
      <c r="G1873" s="4" t="s">
        <v>702</v>
      </c>
      <c r="H1873" s="10" t="s">
        <v>80</v>
      </c>
      <c r="I1873" s="10">
        <v>100.0</v>
      </c>
      <c r="J1873" s="11" t="str">
        <f>IF(D1873&lt;&gt;"",VLOOKUP(H1873,TABLEITEM,5,FALSE),"")</f>
        <v>KG.</v>
      </c>
      <c r="K1873" s="12">
        <v>115.0</v>
      </c>
      <c r="L1873" s="13" t="str">
        <f>IF(D1873&lt;&gt;"",VLOOKUP(H1873,TABLEITEM,2,FALSE),"")</f>
        <v/>
      </c>
      <c r="M1873" s="13" t="str">
        <f>IF(D1873&lt;&gt;"",VLOOKUP(H1873,TABLEITEM,3,FALSE),"")</f>
        <v>สีฝุ่น FF 110/815/C สีผิวเงา</v>
      </c>
      <c r="N1873" s="14">
        <f>INSTOCK!$I1873*INSTOCK!$K1873</f>
        <v>11500</v>
      </c>
      <c r="O1873" s="4"/>
      <c r="P1873" s="4"/>
    </row>
    <row r="1874" ht="15.75" hidden="1" customHeight="1">
      <c r="B1874" s="8">
        <v>2193.0</v>
      </c>
      <c r="C1874" s="9">
        <v>43503.0</v>
      </c>
      <c r="D1874" s="6">
        <v>7755.0</v>
      </c>
      <c r="E1874" s="4">
        <v>6.202000192E9</v>
      </c>
      <c r="F1874" s="8" t="s">
        <v>604</v>
      </c>
      <c r="G1874" s="4" t="s">
        <v>1009</v>
      </c>
      <c r="H1874" s="10" t="s">
        <v>148</v>
      </c>
      <c r="I1874" s="10">
        <v>300.0</v>
      </c>
      <c r="J1874" s="11" t="str">
        <f>IF(D1874&lt;&gt;"",VLOOKUP(H1874,TABLEITEM,5,FALSE),"")</f>
        <v>EA</v>
      </c>
      <c r="K1874" s="12">
        <v>33.0</v>
      </c>
      <c r="L1874" s="13" t="str">
        <f>IF(D1874&lt;&gt;"",VLOOKUP(H1874,TABLEITEM,2,FALSE),"")</f>
        <v/>
      </c>
      <c r="M1874" s="13" t="str">
        <f>IF(D1874&lt;&gt;"",VLOOKUP(H1874,TABLEITEM,3,FALSE),"")</f>
        <v>KEY-LOCKHINGES HL-042บานพับผีเสื้อดำ</v>
      </c>
      <c r="N1874" s="14">
        <f>INSTOCK!$I1874*INSTOCK!$K1874</f>
        <v>9900</v>
      </c>
      <c r="O1874" s="4"/>
      <c r="P1874" s="4"/>
    </row>
    <row r="1875" ht="15.75" hidden="1" customHeight="1">
      <c r="B1875" s="8">
        <v>2194.0</v>
      </c>
      <c r="C1875" s="9">
        <v>43503.0</v>
      </c>
      <c r="D1875" s="6" t="s">
        <v>2505</v>
      </c>
      <c r="E1875" s="4">
        <v>6.201000119E9</v>
      </c>
      <c r="F1875" s="8" t="s">
        <v>604</v>
      </c>
      <c r="G1875" s="4" t="s">
        <v>1537</v>
      </c>
      <c r="H1875" s="10" t="s">
        <v>1538</v>
      </c>
      <c r="I1875" s="10">
        <v>5000.0</v>
      </c>
      <c r="J1875" s="11" t="str">
        <f>IF(D1875&lt;&gt;"",VLOOKUP(H1875,TABLEITEM,5,FALSE),"")</f>
        <v>EA</v>
      </c>
      <c r="K1875" s="12">
        <v>1.55</v>
      </c>
      <c r="L1875" s="13" t="str">
        <f>IF(D1875&lt;&gt;"",VLOOKUP(H1875,TABLEITEM,2,FALSE),"")</f>
        <v/>
      </c>
      <c r="M1875" s="13" t="str">
        <f>IF(D1875&lt;&gt;"",VLOOKUP(H1875,TABLEITEM,3,FALSE),"")</f>
        <v>รีเวท M6 / ลูกยิงป๊อบนัท M6</v>
      </c>
      <c r="N1875" s="14">
        <f>INSTOCK!$I1875*INSTOCK!$K1875</f>
        <v>7750</v>
      </c>
      <c r="O1875" s="4"/>
      <c r="P1875" s="4"/>
    </row>
    <row r="1876" ht="15.75" hidden="1" customHeight="1">
      <c r="B1876" s="8">
        <v>2195.0</v>
      </c>
      <c r="C1876" s="9">
        <v>43503.0</v>
      </c>
      <c r="D1876" s="6" t="s">
        <v>2506</v>
      </c>
      <c r="E1876" s="4" t="s">
        <v>2507</v>
      </c>
      <c r="F1876" s="8" t="s">
        <v>604</v>
      </c>
      <c r="G1876" s="4" t="s">
        <v>1537</v>
      </c>
      <c r="H1876" s="10" t="s">
        <v>2508</v>
      </c>
      <c r="I1876" s="10">
        <v>2000.0</v>
      </c>
      <c r="J1876" s="11" t="str">
        <f>IF(D1876&lt;&gt;"",VLOOKUP(H1876,TABLEITEM,5,FALSE),"")</f>
        <v>EA</v>
      </c>
      <c r="K1876" s="12">
        <v>1.5</v>
      </c>
      <c r="L1876" s="13" t="str">
        <f>IF(D1876&lt;&gt;"",VLOOKUP(H1876,TABLEITEM,2,FALSE),"")</f>
        <v/>
      </c>
      <c r="M1876" s="13" t="str">
        <f>IF(D1876&lt;&gt;"",VLOOKUP(H1876,TABLEITEM,3,FALSE),"")</f>
        <v>รีเวท M4</v>
      </c>
      <c r="N1876" s="14">
        <f>INSTOCK!$I1876*INSTOCK!$K1876</f>
        <v>3000</v>
      </c>
      <c r="O1876" s="4"/>
      <c r="P1876" s="4"/>
    </row>
    <row r="1877" ht="15.75" hidden="1" customHeight="1">
      <c r="B1877" s="8">
        <v>2196.0</v>
      </c>
      <c r="C1877" s="9">
        <v>43503.0</v>
      </c>
      <c r="D1877" s="6" t="s">
        <v>2509</v>
      </c>
      <c r="E1877" s="4">
        <v>6.202000181E9</v>
      </c>
      <c r="F1877" s="8" t="s">
        <v>604</v>
      </c>
      <c r="G1877" s="4" t="s">
        <v>1537</v>
      </c>
      <c r="H1877" s="10" t="s">
        <v>2510</v>
      </c>
      <c r="I1877" s="10">
        <v>2000.0</v>
      </c>
      <c r="J1877" s="11" t="str">
        <f>IF(D1877&lt;&gt;"",VLOOKUP(H1877,TABLEITEM,5,FALSE),"")</f>
        <v>EA</v>
      </c>
      <c r="K1877" s="12">
        <v>1.55</v>
      </c>
      <c r="L1877" s="13" t="str">
        <f>IF(D1877&lt;&gt;"",VLOOKUP(H1877,TABLEITEM,2,FALSE),"")</f>
        <v/>
      </c>
      <c r="M1877" s="13" t="str">
        <f>IF(D1877&lt;&gt;"",VLOOKUP(H1877,TABLEITEM,3,FALSE),"")</f>
        <v>รีเวท M5</v>
      </c>
      <c r="N1877" s="14">
        <f>INSTOCK!$I1877*INSTOCK!$K1877</f>
        <v>3100</v>
      </c>
      <c r="O1877" s="4"/>
      <c r="P1877" s="4"/>
    </row>
    <row r="1878" ht="15.75" hidden="1" customHeight="1">
      <c r="B1878" s="8">
        <v>2197.0</v>
      </c>
      <c r="C1878" s="9">
        <v>43507.0</v>
      </c>
      <c r="D1878" s="6" t="s">
        <v>2511</v>
      </c>
      <c r="E1878" s="4">
        <v>6.202000196E9</v>
      </c>
      <c r="F1878" s="8" t="s">
        <v>604</v>
      </c>
      <c r="G1878" s="4" t="s">
        <v>1870</v>
      </c>
      <c r="H1878" s="10" t="s">
        <v>2512</v>
      </c>
      <c r="I1878" s="10">
        <v>3000.0</v>
      </c>
      <c r="J1878" s="11" t="str">
        <f>IF(D1878&lt;&gt;"",VLOOKUP(H1878,TABLEITEM,5,FALSE),"")</f>
        <v>EA</v>
      </c>
      <c r="K1878" s="12">
        <v>1.265</v>
      </c>
      <c r="L1878" s="13" t="str">
        <f>IF(D1878&lt;&gt;"",VLOOKUP(H1878,TABLEITEM,2,FALSE),"")</f>
        <v/>
      </c>
      <c r="M1878" s="13" t="str">
        <f>IF(D1878&lt;&gt;"",VLOOKUP(H1878,TABLEITEM,3,FALSE),"")</f>
        <v>หัวน้อต M10  HDG</v>
      </c>
      <c r="N1878" s="14">
        <f>INSTOCK!$I1878*INSTOCK!$K1878</f>
        <v>3795</v>
      </c>
      <c r="O1878" s="4" t="s">
        <v>2513</v>
      </c>
      <c r="P1878" s="4"/>
    </row>
    <row r="1879" ht="15.75" hidden="1" customHeight="1">
      <c r="B1879" s="8">
        <v>2198.0</v>
      </c>
      <c r="C1879" s="9">
        <v>43508.0</v>
      </c>
      <c r="D1879" s="6" t="s">
        <v>2514</v>
      </c>
      <c r="E1879" s="4">
        <v>6.202000208E9</v>
      </c>
      <c r="F1879" s="8" t="s">
        <v>604</v>
      </c>
      <c r="G1879" s="4" t="s">
        <v>1289</v>
      </c>
      <c r="H1879" s="10" t="s">
        <v>156</v>
      </c>
      <c r="I1879" s="10">
        <v>100.0</v>
      </c>
      <c r="J1879" s="11" t="str">
        <f>IF(D1879&lt;&gt;"",VLOOKUP(H1879,TABLEITEM,5,FALSE),"")</f>
        <v>EA</v>
      </c>
      <c r="K1879" s="12">
        <v>9.0</v>
      </c>
      <c r="L1879" s="13" t="str">
        <f>IF(D1879&lt;&gt;"",VLOOKUP(H1879,TABLEITEM,2,FALSE),"")</f>
        <v/>
      </c>
      <c r="M1879" s="13" t="str">
        <f>IF(D1879&lt;&gt;"",VLOOKUP(H1879,TABLEITEM,3,FALSE),"")</f>
        <v>แม่เหล็กสีน้าตาล</v>
      </c>
      <c r="N1879" s="14">
        <f>INSTOCK!$I1879*INSTOCK!$K1879</f>
        <v>900</v>
      </c>
      <c r="O1879" s="4" t="s">
        <v>1298</v>
      </c>
      <c r="P1879" s="4"/>
    </row>
    <row r="1880" ht="15.75" hidden="1" customHeight="1">
      <c r="B1880" s="8">
        <v>2199.0</v>
      </c>
      <c r="C1880" s="9">
        <v>43508.0</v>
      </c>
      <c r="D1880" s="6" t="s">
        <v>2514</v>
      </c>
      <c r="E1880" s="4">
        <v>6.202000208E9</v>
      </c>
      <c r="F1880" s="8" t="s">
        <v>604</v>
      </c>
      <c r="G1880" s="4" t="s">
        <v>1289</v>
      </c>
      <c r="H1880" s="10" t="s">
        <v>1303</v>
      </c>
      <c r="I1880" s="10">
        <v>100.0</v>
      </c>
      <c r="J1880" s="11" t="str">
        <f>IF(D1880&lt;&gt;"",VLOOKUP(H1880,TABLEITEM,5,FALSE),"")</f>
        <v>EA</v>
      </c>
      <c r="K1880" s="12"/>
      <c r="L1880" s="13" t="str">
        <f>IF(D1880&lt;&gt;"",VLOOKUP(H1880,TABLEITEM,2,FALSE),"")</f>
        <v/>
      </c>
      <c r="M1880" s="13" t="str">
        <f>IF(D1880&lt;&gt;"",VLOOKUP(H1880,TABLEITEM,3,FALSE),"")</f>
        <v>part/แป้นหน้ากันชน SM-20 ชุบนิเกิ้ล</v>
      </c>
      <c r="N1880" s="14">
        <f>INSTOCK!$I1880*INSTOCK!$K1880</f>
        <v>0</v>
      </c>
      <c r="O1880" s="4"/>
      <c r="P1880" s="4"/>
    </row>
    <row r="1881" ht="15.75" hidden="1" customHeight="1">
      <c r="B1881" s="8">
        <v>2200.0</v>
      </c>
      <c r="C1881" s="9">
        <v>43507.0</v>
      </c>
      <c r="D1881" s="6" t="s">
        <v>2515</v>
      </c>
      <c r="E1881" s="4"/>
      <c r="F1881" s="8" t="s">
        <v>604</v>
      </c>
      <c r="G1881" s="4" t="s">
        <v>702</v>
      </c>
      <c r="H1881" s="10" t="s">
        <v>79</v>
      </c>
      <c r="I1881" s="10">
        <v>40.0</v>
      </c>
      <c r="J1881" s="11" t="str">
        <f>IF(D1881&lt;&gt;"",VLOOKUP(H1881,TABLEITEM,5,FALSE),"")</f>
        <v>KG.</v>
      </c>
      <c r="K1881" s="12">
        <v>140.0</v>
      </c>
      <c r="L1881" s="13" t="str">
        <f>IF(D1881&lt;&gt;"",VLOOKUP(H1881,TABLEITEM,2,FALSE),"")</f>
        <v/>
      </c>
      <c r="M1881" s="13" t="str">
        <f>IF(D1881&lt;&gt;"",VLOOKUP(H1881,TABLEITEM,3,FALSE),"")</f>
        <v>สีฝุ่นFF110/600/Cสีส้ม</v>
      </c>
      <c r="N1881" s="14">
        <f>INSTOCK!$I1881*INSTOCK!$K1881</f>
        <v>5600</v>
      </c>
      <c r="O1881" s="4"/>
      <c r="P1881" s="4"/>
    </row>
    <row r="1882" ht="15.75" hidden="1" customHeight="1">
      <c r="B1882" s="8">
        <v>2201.0</v>
      </c>
      <c r="C1882" s="9">
        <v>43501.0</v>
      </c>
      <c r="D1882" s="6" t="s">
        <v>2516</v>
      </c>
      <c r="E1882" s="4">
        <v>6.201000157E9</v>
      </c>
      <c r="F1882" s="8" t="s">
        <v>2517</v>
      </c>
      <c r="G1882" s="4" t="s">
        <v>1202</v>
      </c>
      <c r="H1882" s="10" t="s">
        <v>2518</v>
      </c>
      <c r="I1882" s="10">
        <v>1200.0</v>
      </c>
      <c r="J1882" s="11" t="str">
        <f>IF(D1882&lt;&gt;"",VLOOKUP(H1882,TABLEITEM,5,FALSE),"")</f>
        <v>EA</v>
      </c>
      <c r="K1882" s="12">
        <v>9.0</v>
      </c>
      <c r="L1882" s="13" t="str">
        <f>IF(D1882&lt;&gt;"",VLOOKUP(H1882,TABLEITEM,2,FALSE),"")</f>
        <v/>
      </c>
      <c r="M1882" s="13" t="str">
        <f>IF(D1882&lt;&gt;"",VLOOKUP(H1882,TABLEITEM,3,FALSE),"")</f>
        <v>C-30-MC-40 MASKING CAP</v>
      </c>
      <c r="N1882" s="14">
        <f>INSTOCK!$I1882*INSTOCK!$K1882</f>
        <v>10800</v>
      </c>
      <c r="O1882" s="4"/>
      <c r="P1882" s="4"/>
    </row>
    <row r="1883" ht="15.75" hidden="1" customHeight="1">
      <c r="B1883" s="8">
        <v>2202.0</v>
      </c>
      <c r="C1883" s="9">
        <v>43501.0</v>
      </c>
      <c r="D1883" s="6">
        <v>1.959060712E9</v>
      </c>
      <c r="E1883" s="4">
        <v>6.112001644E9</v>
      </c>
      <c r="F1883" s="8" t="s">
        <v>823</v>
      </c>
      <c r="G1883" s="4" t="s">
        <v>2519</v>
      </c>
      <c r="H1883" s="10" t="s">
        <v>2520</v>
      </c>
      <c r="I1883" s="10">
        <v>1.0</v>
      </c>
      <c r="J1883" s="11" t="str">
        <f>IF(D1883&lt;&gt;"",VLOOKUP(H1883,TABLEITEM,5,FALSE),"")</f>
        <v>EA</v>
      </c>
      <c r="K1883" s="12">
        <v>67000.0</v>
      </c>
      <c r="L1883" s="13" t="str">
        <f>IF(D1883&lt;&gt;"",VLOOKUP(H1883,TABLEITEM,2,FALSE),"")</f>
        <v/>
      </c>
      <c r="M1883" s="13" t="str">
        <f>IF(D1883&lt;&gt;"",VLOOKUP(H1883,TABLEITEM,3,FALSE),"")</f>
        <v>RO-PREVENTIVE</v>
      </c>
      <c r="N1883" s="14">
        <f>INSTOCK!$I1883*INSTOCK!$K1883</f>
        <v>67000</v>
      </c>
      <c r="O1883" s="4"/>
      <c r="P1883" s="4"/>
    </row>
    <row r="1884" ht="15.75" hidden="1" customHeight="1">
      <c r="B1884" s="8">
        <v>2203.0</v>
      </c>
      <c r="C1884" s="9">
        <v>43503.0</v>
      </c>
      <c r="D1884" s="6" t="s">
        <v>2521</v>
      </c>
      <c r="E1884" s="4">
        <v>6.202000177E9</v>
      </c>
      <c r="F1884" s="8" t="s">
        <v>604</v>
      </c>
      <c r="G1884" s="4" t="s">
        <v>1777</v>
      </c>
      <c r="H1884" s="10" t="s">
        <v>2522</v>
      </c>
      <c r="I1884" s="10">
        <v>1000.0</v>
      </c>
      <c r="J1884" s="11" t="str">
        <f>IF(D1884&lt;&gt;"",VLOOKUP(H1884,TABLEITEM,5,FALSE),"")</f>
        <v>EA</v>
      </c>
      <c r="K1884" s="12">
        <v>0.12</v>
      </c>
      <c r="L1884" s="13" t="str">
        <f>IF(D1884&lt;&gt;"",VLOOKUP(H1884,TABLEITEM,2,FALSE),"")</f>
        <v/>
      </c>
      <c r="M1884" s="13" t="str">
        <f>IF(D1884&lt;&gt;"",VLOOKUP(H1884,TABLEITEM,3,FALSE),"")</f>
        <v>สกรูหัวกลมชุบขาว M3x10</v>
      </c>
      <c r="N1884" s="14">
        <f>INSTOCK!$I1884*INSTOCK!$K1884</f>
        <v>120</v>
      </c>
      <c r="O1884" s="4"/>
      <c r="P1884" s="4"/>
    </row>
    <row r="1885" ht="15.75" hidden="1" customHeight="1">
      <c r="B1885" s="8">
        <v>2204.0</v>
      </c>
      <c r="C1885" s="9">
        <v>43503.0</v>
      </c>
      <c r="D1885" s="6" t="s">
        <v>2521</v>
      </c>
      <c r="E1885" s="4">
        <v>6.202000177E9</v>
      </c>
      <c r="F1885" s="8" t="s">
        <v>604</v>
      </c>
      <c r="G1885" s="4" t="s">
        <v>1777</v>
      </c>
      <c r="H1885" s="10" t="s">
        <v>2523</v>
      </c>
      <c r="I1885" s="10">
        <v>3000.0</v>
      </c>
      <c r="J1885" s="11" t="str">
        <f>IF(D1885&lt;&gt;"",VLOOKUP(H1885,TABLEITEM,5,FALSE),"")</f>
        <v>EA</v>
      </c>
      <c r="K1885" s="12">
        <v>1.196</v>
      </c>
      <c r="L1885" s="13" t="str">
        <f>IF(D1885&lt;&gt;"",VLOOKUP(H1885,TABLEITEM,2,FALSE),"")</f>
        <v/>
      </c>
      <c r="M1885" s="13" t="str">
        <f>IF(D1885&lt;&gt;"",VLOOKUP(H1885,TABLEITEM,3,FALSE),"")</f>
        <v>สกรูหัวเหลี่ยมชุบขาว M8x35</v>
      </c>
      <c r="N1885" s="14">
        <f>INSTOCK!$I1885*INSTOCK!$K1885</f>
        <v>3588</v>
      </c>
      <c r="O1885" s="4" t="s">
        <v>2524</v>
      </c>
      <c r="P1885" s="4"/>
    </row>
    <row r="1886" ht="15.75" hidden="1" customHeight="1">
      <c r="B1886" s="8">
        <v>2205.0</v>
      </c>
      <c r="C1886" s="9">
        <v>43476.0</v>
      </c>
      <c r="D1886" s="6" t="s">
        <v>2525</v>
      </c>
      <c r="E1886" s="4" t="s">
        <v>2526</v>
      </c>
      <c r="F1886" s="8" t="s">
        <v>2527</v>
      </c>
      <c r="G1886" s="4" t="s">
        <v>2528</v>
      </c>
      <c r="H1886" s="10" t="s">
        <v>2529</v>
      </c>
      <c r="I1886" s="10">
        <v>1070.0</v>
      </c>
      <c r="J1886" s="11" t="str">
        <f>IF(D1886&lt;&gt;"",VLOOKUP(H1886,TABLEITEM,5,FALSE),"")</f>
        <v>KG.</v>
      </c>
      <c r="K1886" s="12">
        <v>17.0</v>
      </c>
      <c r="L1886" s="13" t="str">
        <f>IF(D1886&lt;&gt;"",VLOOKUP(H1886,TABLEITEM,2,FALSE),"")</f>
        <v/>
      </c>
      <c r="M1886" s="13" t="str">
        <f>IF(D1886&lt;&gt;"",VLOOKUP(H1886,TABLEITEM,3,FALSE),"")</f>
        <v>งานชุบ HOT DIP</v>
      </c>
      <c r="N1886" s="14">
        <f>INSTOCK!$I1886*INSTOCK!$K1886</f>
        <v>18190</v>
      </c>
      <c r="O1886" s="4"/>
      <c r="P1886" s="4"/>
    </row>
    <row r="1887" ht="15.75" hidden="1" customHeight="1">
      <c r="B1887" s="8">
        <v>2206.0</v>
      </c>
      <c r="C1887" s="9">
        <v>43502.0</v>
      </c>
      <c r="D1887" s="6">
        <v>6.20201767E8</v>
      </c>
      <c r="E1887" s="4">
        <v>6.20200019E9</v>
      </c>
      <c r="F1887" s="8" t="s">
        <v>1383</v>
      </c>
      <c r="G1887" s="4" t="s">
        <v>1130</v>
      </c>
      <c r="H1887" s="10" t="s">
        <v>2530</v>
      </c>
      <c r="I1887" s="10">
        <v>1.0</v>
      </c>
      <c r="J1887" s="11" t="str">
        <f>IF(D1887&lt;&gt;"",VLOOKUP(H1887,TABLEITEM,5,FALSE),"")</f>
        <v>EA</v>
      </c>
      <c r="K1887" s="12">
        <v>780.0</v>
      </c>
      <c r="L1887" s="13" t="str">
        <f>IF(D1887&lt;&gt;"",VLOOKUP(H1887,TABLEITEM,2,FALSE),"")</f>
        <v/>
      </c>
      <c r="M1887" s="13" t="str">
        <f>IF(D1887&lt;&gt;"",VLOOKUP(H1887,TABLEITEM,3,FALSE),"")</f>
        <v>LEVEL SWITCH 61F-G-AP</v>
      </c>
      <c r="N1887" s="14">
        <f>INSTOCK!$I1887*INSTOCK!$K1887</f>
        <v>780</v>
      </c>
      <c r="O1887" s="4"/>
      <c r="P1887" s="4"/>
    </row>
    <row r="1888" ht="15.75" hidden="1" customHeight="1">
      <c r="B1888" s="8">
        <v>2207.0</v>
      </c>
      <c r="C1888" s="9">
        <v>43502.0</v>
      </c>
      <c r="D1888" s="6">
        <v>6.20201767E8</v>
      </c>
      <c r="E1888" s="4">
        <v>6.20200019E9</v>
      </c>
      <c r="F1888" s="8" t="s">
        <v>1383</v>
      </c>
      <c r="G1888" s="4" t="s">
        <v>1130</v>
      </c>
      <c r="H1888" s="10" t="s">
        <v>2531</v>
      </c>
      <c r="I1888" s="10">
        <v>3.0</v>
      </c>
      <c r="J1888" s="11" t="str">
        <f>IF(D1888&lt;&gt;"",VLOOKUP(H1888,TABLEITEM,5,FALSE),"")</f>
        <v>EA</v>
      </c>
      <c r="K1888" s="12">
        <v>65.66</v>
      </c>
      <c r="L1888" s="13" t="str">
        <f>IF(D1888&lt;&gt;"",VLOOKUP(H1888,TABLEITEM,2,FALSE),"")</f>
        <v/>
      </c>
      <c r="M1888" s="13" t="str">
        <f>IF(D1888&lt;&gt;"",VLOOKUP(H1888,TABLEITEM,3,FALSE),"")</f>
        <v>ELECTRODE 1M F-03-01-TH SUS304</v>
      </c>
      <c r="N1888" s="14">
        <f>INSTOCK!$I1888*INSTOCK!$K1888</f>
        <v>196.98</v>
      </c>
      <c r="O1888" s="4" t="s">
        <v>2532</v>
      </c>
      <c r="P1888" s="4"/>
    </row>
    <row r="1889" ht="15.75" hidden="1" customHeight="1">
      <c r="B1889" s="8">
        <v>2208.0</v>
      </c>
      <c r="C1889" s="9">
        <v>43502.0</v>
      </c>
      <c r="D1889" s="6">
        <v>6.20201767E8</v>
      </c>
      <c r="E1889" s="4">
        <v>6.20200019E9</v>
      </c>
      <c r="F1889" s="8" t="s">
        <v>1383</v>
      </c>
      <c r="G1889" s="4" t="s">
        <v>1130</v>
      </c>
      <c r="H1889" s="10" t="s">
        <v>2533</v>
      </c>
      <c r="I1889" s="10">
        <v>1.0</v>
      </c>
      <c r="J1889" s="11" t="str">
        <f>IF(D1889&lt;&gt;"",VLOOKUP(H1889,TABLEITEM,5,FALSE),"")</f>
        <v>EA</v>
      </c>
      <c r="K1889" s="12">
        <v>333.2</v>
      </c>
      <c r="L1889" s="13" t="str">
        <f>IF(D1889&lt;&gt;"",VLOOKUP(H1889,TABLEITEM,2,FALSE),"")</f>
        <v/>
      </c>
      <c r="M1889" s="13" t="str">
        <f>IF(D1889&lt;&gt;"",VLOOKUP(H1889,TABLEITEM,3,FALSE),"")</f>
        <v>ELECTRDE HOLDER PS-3S-AP</v>
      </c>
      <c r="N1889" s="14">
        <f>INSTOCK!$I1889*INSTOCK!$K1889</f>
        <v>333.2</v>
      </c>
      <c r="O1889" s="4" t="s">
        <v>2534</v>
      </c>
      <c r="P1889" s="4"/>
    </row>
    <row r="1890" ht="15.75" hidden="1" customHeight="1">
      <c r="B1890" s="8">
        <v>2209.0</v>
      </c>
      <c r="C1890" s="9">
        <v>43508.0</v>
      </c>
      <c r="D1890" s="6" t="s">
        <v>2535</v>
      </c>
      <c r="E1890" s="4"/>
      <c r="F1890" s="8" t="s">
        <v>2536</v>
      </c>
      <c r="G1890" s="4" t="s">
        <v>2350</v>
      </c>
      <c r="H1890" s="10" t="s">
        <v>2537</v>
      </c>
      <c r="I1890" s="10">
        <v>260.0</v>
      </c>
      <c r="J1890" s="11" t="str">
        <f>IF(D1890&lt;&gt;"",VLOOKUP(H1890,TABLEITEM,5,FALSE),"")</f>
        <v>KG.</v>
      </c>
      <c r="K1890" s="12">
        <v>122.0</v>
      </c>
      <c r="L1890" s="13" t="str">
        <f>IF(D1890&lt;&gt;"",VLOOKUP(H1890,TABLEITEM,2,FALSE),"")</f>
        <v/>
      </c>
      <c r="M1890" s="13" t="str">
        <f>IF(D1890&lt;&gt;"",VLOOKUP(H1890,TABLEITEM,3,FALSE),"")</f>
        <v>สีฝุ่น L4001  สีส้มภายนอก P2049A</v>
      </c>
      <c r="N1890" s="14">
        <f>INSTOCK!$I1890*INSTOCK!$K1890</f>
        <v>31720</v>
      </c>
      <c r="O1890" s="4"/>
      <c r="P1890" s="4"/>
    </row>
    <row r="1891" ht="15.75" hidden="1" customHeight="1">
      <c r="B1891" s="8">
        <v>2210.0</v>
      </c>
      <c r="C1891" s="9">
        <v>43508.0</v>
      </c>
      <c r="D1891" s="6" t="s">
        <v>2535</v>
      </c>
      <c r="E1891" s="4"/>
      <c r="F1891" s="8" t="s">
        <v>2536</v>
      </c>
      <c r="G1891" s="4" t="s">
        <v>2350</v>
      </c>
      <c r="H1891" s="10" t="s">
        <v>2538</v>
      </c>
      <c r="I1891" s="10">
        <v>200.0</v>
      </c>
      <c r="J1891" s="11" t="str">
        <f>IF(D1891&lt;&gt;"",VLOOKUP(H1891,TABLEITEM,5,FALSE),"")</f>
        <v>KG.</v>
      </c>
      <c r="K1891" s="12">
        <v>122.0</v>
      </c>
      <c r="L1891" s="13" t="str">
        <f>IF(D1891&lt;&gt;"",VLOOKUP(H1891,TABLEITEM,2,FALSE),"")</f>
        <v/>
      </c>
      <c r="M1891" s="13" t="str">
        <f>IF(D1891&lt;&gt;"",VLOOKUP(H1891,TABLEITEM,3,FALSE),"")</f>
        <v>สีฝุ่น P0001A  สีขาว </v>
      </c>
      <c r="N1891" s="14">
        <f>INSTOCK!$I1891*INSTOCK!$K1891</f>
        <v>24400</v>
      </c>
      <c r="O1891" s="4"/>
      <c r="P1891" s="4"/>
    </row>
    <row r="1892" ht="15.75" hidden="1" customHeight="1">
      <c r="B1892" s="8">
        <v>2211.0</v>
      </c>
      <c r="C1892" s="9">
        <v>43503.0</v>
      </c>
      <c r="D1892" s="6">
        <v>6.2020083E7</v>
      </c>
      <c r="E1892" s="4">
        <v>6.202000193E9</v>
      </c>
      <c r="F1892" s="8" t="s">
        <v>604</v>
      </c>
      <c r="G1892" s="4" t="s">
        <v>1127</v>
      </c>
      <c r="H1892" s="10" t="s">
        <v>17</v>
      </c>
      <c r="I1892" s="10">
        <v>24.0</v>
      </c>
      <c r="J1892" s="11" t="str">
        <f>IF(D1892&lt;&gt;"",VLOOKUP(H1892,TABLEITEM,5,FALSE),"")</f>
        <v>คู่</v>
      </c>
      <c r="K1892" s="12">
        <v>41.6666</v>
      </c>
      <c r="L1892" s="13" t="str">
        <f>IF(D1892&lt;&gt;"",VLOOKUP(H1892,TABLEITEM,2,FALSE),"")</f>
        <v/>
      </c>
      <c r="M1892" s="13" t="str">
        <f>IF(D1892&lt;&gt;"",VLOOKUP(H1892,TABLEITEM,3,FALSE),"")</f>
        <v>ถุงมือหนัง</v>
      </c>
      <c r="N1892" s="14">
        <f>INSTOCK!$I1892*INSTOCK!$K1892</f>
        <v>999.9984</v>
      </c>
      <c r="O1892" s="4" t="s">
        <v>1045</v>
      </c>
      <c r="P1892" s="4"/>
    </row>
    <row r="1893" ht="15.75" hidden="1" customHeight="1">
      <c r="B1893" s="8">
        <v>2212.0</v>
      </c>
      <c r="C1893" s="9">
        <v>43508.0</v>
      </c>
      <c r="D1893" s="6" t="s">
        <v>2539</v>
      </c>
      <c r="E1893" s="4">
        <v>6.202000207E9</v>
      </c>
      <c r="F1893" s="8" t="s">
        <v>604</v>
      </c>
      <c r="G1893" s="4" t="s">
        <v>1777</v>
      </c>
      <c r="H1893" s="10" t="s">
        <v>2522</v>
      </c>
      <c r="I1893" s="10">
        <v>2000.0</v>
      </c>
      <c r="J1893" s="11" t="str">
        <f>IF(D1893&lt;&gt;"",VLOOKUP(H1893,TABLEITEM,5,FALSE),"")</f>
        <v>EA</v>
      </c>
      <c r="K1893" s="12">
        <v>0.12</v>
      </c>
      <c r="L1893" s="13" t="str">
        <f>IF(D1893&lt;&gt;"",VLOOKUP(H1893,TABLEITEM,2,FALSE),"")</f>
        <v/>
      </c>
      <c r="M1893" s="13" t="str">
        <f>IF(D1893&lt;&gt;"",VLOOKUP(H1893,TABLEITEM,3,FALSE),"")</f>
        <v>สกรูหัวกลมชุบขาว M3x10</v>
      </c>
      <c r="N1893" s="14">
        <f>INSTOCK!$I1893*INSTOCK!$K1893</f>
        <v>240</v>
      </c>
      <c r="O1893" s="4"/>
      <c r="P1893" s="4"/>
    </row>
    <row r="1894" ht="15.75" hidden="1" customHeight="1">
      <c r="B1894" s="8">
        <v>2213.0</v>
      </c>
      <c r="C1894" s="9">
        <v>43508.0</v>
      </c>
      <c r="D1894" s="6" t="s">
        <v>2539</v>
      </c>
      <c r="E1894" s="4">
        <v>6.202000207E9</v>
      </c>
      <c r="F1894" s="8" t="s">
        <v>604</v>
      </c>
      <c r="G1894" s="4" t="s">
        <v>1777</v>
      </c>
      <c r="H1894" s="10" t="s">
        <v>2398</v>
      </c>
      <c r="I1894" s="10">
        <v>7000.0</v>
      </c>
      <c r="J1894" s="11" t="str">
        <f>IF(D1894&lt;&gt;"",VLOOKUP(H1894,TABLEITEM,5,FALSE),"")</f>
        <v>EA</v>
      </c>
      <c r="K1894" s="12">
        <v>0.104</v>
      </c>
      <c r="L1894" s="13" t="str">
        <f>IF(D1894&lt;&gt;"",VLOOKUP(H1894,TABLEITEM,2,FALSE),"")</f>
        <v/>
      </c>
      <c r="M1894" s="13" t="str">
        <f>IF(D1894&lt;&gt;"",VLOOKUP(H1894,TABLEITEM,3,FALSE),"")</f>
        <v>สกรูหัวหมวก  M4x10</v>
      </c>
      <c r="N1894" s="14">
        <f>INSTOCK!$I1894*INSTOCK!$K1894</f>
        <v>728</v>
      </c>
      <c r="O1894" s="4" t="s">
        <v>2399</v>
      </c>
      <c r="P1894" s="4"/>
    </row>
    <row r="1895" ht="15.75" hidden="1" customHeight="1">
      <c r="B1895" s="8">
        <v>2214.0</v>
      </c>
      <c r="C1895" s="9">
        <v>43508.0</v>
      </c>
      <c r="D1895" s="6" t="s">
        <v>2539</v>
      </c>
      <c r="E1895" s="4">
        <v>6.202000207E9</v>
      </c>
      <c r="F1895" s="8" t="s">
        <v>604</v>
      </c>
      <c r="G1895" s="4" t="s">
        <v>1777</v>
      </c>
      <c r="H1895" s="10" t="s">
        <v>2540</v>
      </c>
      <c r="I1895" s="10">
        <v>3000.0</v>
      </c>
      <c r="J1895" s="11" t="str">
        <f>IF(D1895&lt;&gt;"",VLOOKUP(H1895,TABLEITEM,5,FALSE),"")</f>
        <v>EA</v>
      </c>
      <c r="K1895" s="12">
        <v>0.18</v>
      </c>
      <c r="L1895" s="13" t="str">
        <f>IF(D1895&lt;&gt;"",VLOOKUP(H1895,TABLEITEM,2,FALSE),"")</f>
        <v/>
      </c>
      <c r="M1895" s="13" t="str">
        <f>IF(D1895&lt;&gt;"",VLOOKUP(H1895,TABLEITEM,3,FALSE),"")</f>
        <v>หัวน้อต M3 ชุบขาว</v>
      </c>
      <c r="N1895" s="14">
        <f>INSTOCK!$I1895*INSTOCK!$K1895</f>
        <v>540</v>
      </c>
      <c r="O1895" s="4"/>
      <c r="P1895" s="4"/>
    </row>
    <row r="1896" ht="15.75" hidden="1" customHeight="1">
      <c r="B1896" s="8">
        <v>2215.0</v>
      </c>
      <c r="C1896" s="9">
        <v>43508.0</v>
      </c>
      <c r="D1896" s="6" t="s">
        <v>2541</v>
      </c>
      <c r="E1896" s="4">
        <v>6.202000213E9</v>
      </c>
      <c r="F1896" s="8" t="s">
        <v>2542</v>
      </c>
      <c r="G1896" s="4" t="s">
        <v>2445</v>
      </c>
      <c r="H1896" s="10" t="s">
        <v>2446</v>
      </c>
      <c r="I1896" s="10">
        <v>5000.0</v>
      </c>
      <c r="J1896" s="11" t="str">
        <f>IF(D1896&lt;&gt;"",VLOOKUP(H1896,TABLEITEM,5,FALSE),"")</f>
        <v>EA</v>
      </c>
      <c r="K1896" s="12">
        <v>0.65</v>
      </c>
      <c r="L1896" s="13" t="str">
        <f>IF(D1896&lt;&gt;"",VLOOKUP(H1896,TABLEITEM,2,FALSE),"")</f>
        <v/>
      </c>
      <c r="M1896" s="13" t="str">
        <f>IF(D1896&lt;&gt;"",VLOOKUP(H1896,TABLEITEM,3,FALSE),"")</f>
        <v>สตัด M4x10</v>
      </c>
      <c r="N1896" s="14">
        <f>INSTOCK!$I1896*INSTOCK!$K1896</f>
        <v>3250</v>
      </c>
      <c r="O1896" s="4"/>
      <c r="P1896" s="4"/>
    </row>
    <row r="1897" ht="15.75" hidden="1" customHeight="1">
      <c r="B1897" s="8">
        <v>2216.0</v>
      </c>
      <c r="C1897" s="9">
        <v>43505.0</v>
      </c>
      <c r="D1897" s="6">
        <v>6.20202537E8</v>
      </c>
      <c r="E1897" s="4">
        <v>6.2020002E9</v>
      </c>
      <c r="F1897" s="8" t="s">
        <v>2543</v>
      </c>
      <c r="G1897" s="4" t="s">
        <v>1130</v>
      </c>
      <c r="H1897" s="10" t="s">
        <v>1556</v>
      </c>
      <c r="I1897" s="10">
        <v>1.0</v>
      </c>
      <c r="J1897" s="11" t="str">
        <f>IF(D1897&lt;&gt;"",VLOOKUP(H1897,TABLEITEM,5,FALSE),"")</f>
        <v>EA</v>
      </c>
      <c r="K1897" s="12">
        <v>181.3</v>
      </c>
      <c r="L1897" s="13" t="str">
        <f>IF(D1897&lt;&gt;"",VLOOKUP(H1897,TABLEITEM,2,FALSE),"")</f>
        <v/>
      </c>
      <c r="M1897" s="13" t="str">
        <f>IF(D1897&lt;&gt;"",VLOOKUP(H1897,TABLEITEM,3,FALSE),"")</f>
        <v>SOCKET 8PFA-1</v>
      </c>
      <c r="N1897" s="14">
        <f>INSTOCK!$I1897*INSTOCK!$K1897</f>
        <v>181.3</v>
      </c>
      <c r="O1897" s="4" t="s">
        <v>2544</v>
      </c>
      <c r="P1897" s="4"/>
    </row>
    <row r="1898" ht="15.75" hidden="1" customHeight="1">
      <c r="B1898" s="8">
        <v>2217.0</v>
      </c>
      <c r="C1898" s="9">
        <v>43505.0</v>
      </c>
      <c r="D1898" s="6">
        <v>6.20202537E8</v>
      </c>
      <c r="E1898" s="4">
        <v>6.2020002E9</v>
      </c>
      <c r="F1898" s="8" t="s">
        <v>2543</v>
      </c>
      <c r="G1898" s="4" t="s">
        <v>1130</v>
      </c>
      <c r="H1898" s="10" t="s">
        <v>1552</v>
      </c>
      <c r="I1898" s="10">
        <v>1.0</v>
      </c>
      <c r="J1898" s="11" t="str">
        <f>IF(D1898&lt;&gt;"",VLOOKUP(H1898,TABLEITEM,5,FALSE),"")</f>
        <v>EA</v>
      </c>
      <c r="K1898" s="12">
        <v>1656.2</v>
      </c>
      <c r="L1898" s="13" t="str">
        <f>IF(D1898&lt;&gt;"",VLOOKUP(H1898,TABLEITEM,2,FALSE),"")</f>
        <v/>
      </c>
      <c r="M1898" s="13" t="str">
        <f>IF(D1898&lt;&gt;"",VLOOKUP(H1898,TABLEITEM,3,FALSE),"")</f>
        <v>RELAY G4Q-212S 220VAC</v>
      </c>
      <c r="N1898" s="14">
        <f>INSTOCK!$I1898*INSTOCK!$K1898</f>
        <v>1656.2</v>
      </c>
      <c r="O1898" s="4" t="s">
        <v>2545</v>
      </c>
      <c r="P1898" s="4"/>
    </row>
    <row r="1899" ht="15.75" hidden="1" customHeight="1">
      <c r="B1899" s="8">
        <v>2218.0</v>
      </c>
      <c r="C1899" s="9">
        <v>43505.0</v>
      </c>
      <c r="D1899" s="6">
        <v>6.20202537E8</v>
      </c>
      <c r="E1899" s="4">
        <v>6.2020002E9</v>
      </c>
      <c r="F1899" s="8" t="s">
        <v>2543</v>
      </c>
      <c r="G1899" s="4" t="s">
        <v>1130</v>
      </c>
      <c r="H1899" s="10" t="s">
        <v>1554</v>
      </c>
      <c r="I1899" s="10">
        <v>10.0</v>
      </c>
      <c r="J1899" s="11" t="str">
        <f>IF(D1899&lt;&gt;"",VLOOKUP(H1899,TABLEITEM,5,FALSE),"")</f>
        <v>EA</v>
      </c>
      <c r="K1899" s="12">
        <v>106.0</v>
      </c>
      <c r="L1899" s="13" t="str">
        <f>IF(D1899&lt;&gt;"",VLOOKUP(H1899,TABLEITEM,2,FALSE),"")</f>
        <v/>
      </c>
      <c r="M1899" s="13" t="str">
        <f>IF(D1899&lt;&gt;"",VLOOKUP(H1899,TABLEITEM,3,FALSE),"")</f>
        <v>RELAY MY2N-GS 220/240VAC</v>
      </c>
      <c r="N1899" s="14">
        <f>INSTOCK!$I1899*INSTOCK!$K1899</f>
        <v>1060</v>
      </c>
      <c r="O1899" s="4"/>
      <c r="P1899" s="4"/>
    </row>
    <row r="1900" ht="15.75" hidden="1" customHeight="1">
      <c r="B1900" s="8">
        <v>2219.0</v>
      </c>
      <c r="C1900" s="9">
        <v>43505.0</v>
      </c>
      <c r="D1900" s="6">
        <v>6.20202537E8</v>
      </c>
      <c r="E1900" s="4">
        <v>6.2020002E9</v>
      </c>
      <c r="F1900" s="8" t="s">
        <v>2543</v>
      </c>
      <c r="G1900" s="4" t="s">
        <v>1130</v>
      </c>
      <c r="H1900" s="10" t="s">
        <v>2546</v>
      </c>
      <c r="I1900" s="10">
        <v>1.0</v>
      </c>
      <c r="J1900" s="11" t="str">
        <f>IF(D1900&lt;&gt;"",VLOOKUP(H1900,TABLEITEM,5,FALSE),"")</f>
        <v>EA</v>
      </c>
      <c r="K1900" s="12">
        <v>980.0</v>
      </c>
      <c r="L1900" s="13" t="str">
        <f>IF(D1900&lt;&gt;"",VLOOKUP(H1900,TABLEITEM,2,FALSE),"")</f>
        <v/>
      </c>
      <c r="M1900" s="13" t="str">
        <f>IF(D1900&lt;&gt;"",VLOOKUP(H1900,TABLEITEM,3,FALSE),"")</f>
        <v>PATLITE RHB-230L-R 220V REVOLVING LIGHT</v>
      </c>
      <c r="N1900" s="14">
        <f>INSTOCK!$I1900*INSTOCK!$K1900</f>
        <v>980</v>
      </c>
      <c r="O1900" s="4"/>
      <c r="P1900" s="4"/>
    </row>
    <row r="1901" ht="15.75" hidden="1" customHeight="1">
      <c r="B1901" s="8">
        <v>2220.0</v>
      </c>
      <c r="C1901" s="9">
        <v>43505.0</v>
      </c>
      <c r="D1901" s="6">
        <v>6.20202537E8</v>
      </c>
      <c r="E1901" s="4">
        <v>6.2020002E9</v>
      </c>
      <c r="F1901" s="8" t="s">
        <v>2543</v>
      </c>
      <c r="G1901" s="4" t="s">
        <v>1130</v>
      </c>
      <c r="H1901" s="10" t="s">
        <v>2547</v>
      </c>
      <c r="I1901" s="10">
        <v>1.0</v>
      </c>
      <c r="J1901" s="11" t="str">
        <f>IF(D1901&lt;&gt;"",VLOOKUP(H1901,TABLEITEM,5,FALSE),"")</f>
        <v>EA</v>
      </c>
      <c r="K1901" s="12">
        <v>384.75</v>
      </c>
      <c r="L1901" s="13" t="str">
        <f>IF(D1901&lt;&gt;"",VLOOKUP(H1901,TABLEITEM,2,FALSE),"")</f>
        <v/>
      </c>
      <c r="M1901" s="13" t="str">
        <f>IF(D1901&lt;&gt;"",VLOOKUP(H1901,TABLEITEM,3,FALSE),"")</f>
        <v>ไซเรนเล็ก MS-190 220VAC</v>
      </c>
      <c r="N1901" s="14">
        <f>INSTOCK!$I1901*INSTOCK!$K1901</f>
        <v>384.75</v>
      </c>
      <c r="O1901" s="4" t="s">
        <v>2548</v>
      </c>
      <c r="P1901" s="4"/>
    </row>
    <row r="1902" ht="15.75" hidden="1" customHeight="1">
      <c r="B1902" s="8">
        <v>2221.0</v>
      </c>
      <c r="C1902" s="9">
        <v>43507.0</v>
      </c>
      <c r="D1902" s="6">
        <v>6.20203E8</v>
      </c>
      <c r="E1902" s="4">
        <v>6.202000214E9</v>
      </c>
      <c r="F1902" s="8" t="s">
        <v>2549</v>
      </c>
      <c r="G1902" s="4" t="s">
        <v>1130</v>
      </c>
      <c r="H1902" s="10" t="s">
        <v>2550</v>
      </c>
      <c r="I1902" s="10">
        <v>3.0</v>
      </c>
      <c r="J1902" s="11" t="str">
        <f>IF(D1902&lt;&gt;"",VLOOKUP(H1902,TABLEITEM,5,FALSE),"")</f>
        <v>EA</v>
      </c>
      <c r="K1902" s="12">
        <v>121.12333</v>
      </c>
      <c r="L1902" s="13" t="str">
        <f>IF(D1902&lt;&gt;"",VLOOKUP(H1902,TABLEITEM,2,FALSE),"")</f>
        <v/>
      </c>
      <c r="M1902" s="13" t="str">
        <f>IF(D1902&lt;&gt;"",VLOOKUP(H1902,TABLEITEM,3,FALSE),"")</f>
        <v>CT150/5 MQS40</v>
      </c>
      <c r="N1902" s="14">
        <f>INSTOCK!$I1902*INSTOCK!$K1902</f>
        <v>363.36999</v>
      </c>
      <c r="O1902" s="4" t="s">
        <v>1898</v>
      </c>
      <c r="P1902" s="4"/>
    </row>
    <row r="1903" ht="15.75" hidden="1" customHeight="1">
      <c r="B1903" s="8">
        <v>2222.0</v>
      </c>
      <c r="C1903" s="9">
        <v>43504.0</v>
      </c>
      <c r="D1903" s="6" t="s">
        <v>2551</v>
      </c>
      <c r="E1903" s="4">
        <v>6.202000199E9</v>
      </c>
      <c r="F1903" s="8" t="s">
        <v>2543</v>
      </c>
      <c r="G1903" s="4" t="s">
        <v>1485</v>
      </c>
      <c r="H1903" s="10" t="s">
        <v>1562</v>
      </c>
      <c r="I1903" s="10">
        <v>2.0</v>
      </c>
      <c r="J1903" s="11" t="str">
        <f>IF(D1903&lt;&gt;"",VLOOKUP(H1903,TABLEITEM,5,FALSE),"")</f>
        <v>EA</v>
      </c>
      <c r="K1903" s="12">
        <v>1221.8</v>
      </c>
      <c r="L1903" s="13" t="str">
        <f>IF(D1903&lt;&gt;"",VLOOKUP(H1903,TABLEITEM,2,FALSE),"")</f>
        <v/>
      </c>
      <c r="M1903" s="13" t="str">
        <f>IF(D1903&lt;&gt;"",VLOOKUP(H1903,TABLEITEM,3,FALSE),"")</f>
        <v>MOTOR CIRCUIT BRWAKER GV2ME16</v>
      </c>
      <c r="N1903" s="14">
        <f>INSTOCK!$I1903*INSTOCK!$K1903</f>
        <v>2443.6</v>
      </c>
      <c r="O1903" s="4"/>
      <c r="P1903" s="4"/>
    </row>
    <row r="1904" ht="15.75" hidden="1" customHeight="1">
      <c r="B1904" s="8">
        <v>2223.0</v>
      </c>
      <c r="C1904" s="9">
        <v>43504.0</v>
      </c>
      <c r="D1904" s="6" t="s">
        <v>2551</v>
      </c>
      <c r="E1904" s="4">
        <v>6.202000199E9</v>
      </c>
      <c r="F1904" s="8" t="s">
        <v>2543</v>
      </c>
      <c r="G1904" s="4" t="s">
        <v>1485</v>
      </c>
      <c r="H1904" s="10" t="s">
        <v>1559</v>
      </c>
      <c r="I1904" s="10">
        <v>2.0</v>
      </c>
      <c r="J1904" s="11" t="str">
        <f>IF(D1904&lt;&gt;"",VLOOKUP(H1904,TABLEITEM,5,FALSE),"")</f>
        <v>EA</v>
      </c>
      <c r="K1904" s="12">
        <v>1098.8</v>
      </c>
      <c r="L1904" s="13" t="str">
        <f>IF(D1904&lt;&gt;"",VLOOKUP(H1904,TABLEITEM,2,FALSE),"")</f>
        <v/>
      </c>
      <c r="M1904" s="13" t="str">
        <f>IF(D1904&lt;&gt;"",VLOOKUP(H1904,TABLEITEM,3,FALSE),"")</f>
        <v>CONTACTOR LC1D25M7</v>
      </c>
      <c r="N1904" s="14">
        <f>INSTOCK!$I1904*INSTOCK!$K1904</f>
        <v>2197.6</v>
      </c>
      <c r="O1904" s="4"/>
      <c r="P1904" s="4"/>
    </row>
    <row r="1905" ht="15.75" hidden="1" customHeight="1">
      <c r="B1905" s="8">
        <v>2224.0</v>
      </c>
      <c r="C1905" s="9">
        <v>43500.0</v>
      </c>
      <c r="D1905" s="6" t="s">
        <v>2552</v>
      </c>
      <c r="E1905" s="4">
        <v>6.201000158E9</v>
      </c>
      <c r="F1905" s="8" t="s">
        <v>1973</v>
      </c>
      <c r="G1905" s="4" t="s">
        <v>2292</v>
      </c>
      <c r="H1905" s="10" t="s">
        <v>2553</v>
      </c>
      <c r="I1905" s="10">
        <v>1.0</v>
      </c>
      <c r="J1905" s="11" t="str">
        <f>IF(D1905&lt;&gt;"",VLOOKUP(H1905,TABLEITEM,5,FALSE),"")</f>
        <v>EA</v>
      </c>
      <c r="K1905" s="12">
        <v>7566.0</v>
      </c>
      <c r="L1905" s="13" t="str">
        <f>IF(D1905&lt;&gt;"",VLOOKUP(H1905,TABLEITEM,2,FALSE),"")</f>
        <v/>
      </c>
      <c r="M1905" s="13" t="str">
        <f>IF(D1905&lt;&gt;"",VLOOKUP(H1905,TABLEITEM,3,FALSE),"")</f>
        <v>เครื่องขัด APS-125 (NVL)</v>
      </c>
      <c r="N1905" s="14">
        <f>INSTOCK!$I1905*INSTOCK!$K1905</f>
        <v>7566</v>
      </c>
      <c r="O1905" s="4"/>
      <c r="P1905" s="4"/>
    </row>
    <row r="1906" ht="15.75" hidden="1" customHeight="1">
      <c r="B1906" s="8">
        <v>2225.0</v>
      </c>
      <c r="C1906" s="9">
        <v>43503.0</v>
      </c>
      <c r="D1906" s="6" t="s">
        <v>2554</v>
      </c>
      <c r="E1906" s="4">
        <v>6.202000189E9</v>
      </c>
      <c r="F1906" s="8" t="s">
        <v>604</v>
      </c>
      <c r="G1906" s="26" t="s">
        <v>1763</v>
      </c>
      <c r="H1906" s="10" t="s">
        <v>1764</v>
      </c>
      <c r="I1906" s="10">
        <v>10.0</v>
      </c>
      <c r="J1906" s="11" t="str">
        <f>IF(D1906&lt;&gt;"",VLOOKUP(H1906,TABLEITEM,5,FALSE),"")</f>
        <v>EA</v>
      </c>
      <c r="K1906" s="12">
        <v>416.0</v>
      </c>
      <c r="L1906" s="13" t="str">
        <f>IF(D1906&lt;&gt;"",VLOOKUP(H1906,TABLEITEM,2,FALSE),"")</f>
        <v/>
      </c>
      <c r="M1906" s="13" t="str">
        <f>IF(D1906&lt;&gt;"",VLOOKUP(H1906,TABLEITEM,3,FALSE),"")</f>
        <v>THERMOSTAT TS-050SR-C(0-50C)</v>
      </c>
      <c r="N1906" s="14">
        <f>INSTOCK!$I1906*INSTOCK!$K1906</f>
        <v>4160</v>
      </c>
      <c r="O1906" s="4" t="s">
        <v>1765</v>
      </c>
      <c r="P1906" s="4"/>
    </row>
    <row r="1907" ht="15.75" hidden="1" customHeight="1">
      <c r="B1907" s="8">
        <v>2226.0</v>
      </c>
      <c r="C1907" s="9">
        <v>43507.0</v>
      </c>
      <c r="D1907" s="6">
        <v>6202016.0</v>
      </c>
      <c r="E1907" s="4"/>
      <c r="F1907" s="8" t="s">
        <v>604</v>
      </c>
      <c r="G1907" s="4" t="s">
        <v>1617</v>
      </c>
      <c r="H1907" s="10" t="s">
        <v>1618</v>
      </c>
      <c r="I1907" s="10">
        <v>36.0</v>
      </c>
      <c r="J1907" s="11" t="str">
        <f>IF(D1907&lt;&gt;"",VLOOKUP(H1907,TABLEITEM,5,FALSE),"")</f>
        <v>EA</v>
      </c>
      <c r="K1907" s="12">
        <v>148.0</v>
      </c>
      <c r="L1907" s="13" t="str">
        <f>IF(D1907&lt;&gt;"",VLOOKUP(H1907,TABLEITEM,2,FALSE),"")</f>
        <v/>
      </c>
      <c r="M1907" s="13" t="str">
        <f>IF(D1907&lt;&gt;"",VLOOKUP(H1907,TABLEITEM,3,FALSE),"")</f>
        <v>ตลับเมตร KDS 3.5M</v>
      </c>
      <c r="N1907" s="14">
        <f>INSTOCK!$I1907*INSTOCK!$K1907</f>
        <v>5328</v>
      </c>
      <c r="O1907" s="4"/>
      <c r="P1907" s="4"/>
    </row>
    <row r="1908" ht="15.75" hidden="1" customHeight="1">
      <c r="B1908" s="8">
        <v>2227.0</v>
      </c>
      <c r="C1908" s="9">
        <v>43501.0</v>
      </c>
      <c r="D1908" s="6">
        <v>4.19012289E8</v>
      </c>
      <c r="E1908" s="4">
        <v>6.202000175E9</v>
      </c>
      <c r="F1908" s="8" t="s">
        <v>604</v>
      </c>
      <c r="G1908" s="4" t="s">
        <v>1274</v>
      </c>
      <c r="H1908" s="10" t="s">
        <v>2555</v>
      </c>
      <c r="I1908" s="10">
        <v>4.0</v>
      </c>
      <c r="J1908" s="11" t="str">
        <f>IF(D1908&lt;&gt;"",VLOOKUP(H1908,TABLEITEM,5,FALSE),"")</f>
        <v>EA</v>
      </c>
      <c r="K1908" s="12">
        <v>700.0</v>
      </c>
      <c r="L1908" s="13" t="str">
        <f>IF(D1908&lt;&gt;"",VLOOKUP(H1908,TABLEITEM,2,FALSE),"")</f>
        <v/>
      </c>
      <c r="M1908" s="13" t="str">
        <f>IF(D1908&lt;&gt;"",VLOOKUP(H1908,TABLEITEM,3,FALSE),"")</f>
        <v>สก๊อตไบร์ MULTI-FLEX ขนาด 8x20 สีเทา (60แผ่น/ม้วน)</v>
      </c>
      <c r="N1908" s="14">
        <f>INSTOCK!$I1908*INSTOCK!$K1908</f>
        <v>2800</v>
      </c>
      <c r="O1908" s="4"/>
      <c r="P1908" s="4"/>
    </row>
    <row r="1909" ht="15.75" hidden="1" customHeight="1">
      <c r="B1909" s="8">
        <v>2228.0</v>
      </c>
      <c r="C1909" s="9">
        <v>43507.0</v>
      </c>
      <c r="D1909" s="6" t="s">
        <v>2556</v>
      </c>
      <c r="E1909" s="4">
        <v>6.202000195E9</v>
      </c>
      <c r="F1909" s="8" t="s">
        <v>2449</v>
      </c>
      <c r="G1909" s="4" t="s">
        <v>1985</v>
      </c>
      <c r="H1909" s="10" t="s">
        <v>2557</v>
      </c>
      <c r="I1909" s="10">
        <v>1.0</v>
      </c>
      <c r="J1909" s="11" t="str">
        <f>IF(D1909&lt;&gt;"",VLOOKUP(H1909,TABLEITEM,5,FALSE),"")</f>
        <v>คู่</v>
      </c>
      <c r="K1909" s="12">
        <v>560.0</v>
      </c>
      <c r="L1909" s="13" t="str">
        <f>IF(D1909&lt;&gt;"",VLOOKUP(H1909,TABLEITEM,2,FALSE),"")</f>
        <v/>
      </c>
      <c r="M1909" s="13" t="str">
        <f>IF(D1909&lt;&gt;"",VLOOKUP(H1909,TABLEITEM,3,FALSE),"")</f>
        <v>รองเท้าหุ้มส้นพื้นยาง CB800</v>
      </c>
      <c r="N1909" s="14">
        <f>INSTOCK!$I1909*INSTOCK!$K1909</f>
        <v>560</v>
      </c>
      <c r="O1909" s="10" t="s">
        <v>2558</v>
      </c>
      <c r="P1909" s="4"/>
    </row>
    <row r="1910" ht="15.75" hidden="1" customHeight="1">
      <c r="B1910" s="8">
        <v>2229.0</v>
      </c>
      <c r="C1910" s="9">
        <v>43507.0</v>
      </c>
      <c r="D1910" s="6" t="s">
        <v>2556</v>
      </c>
      <c r="E1910" s="4">
        <v>6.202000195E9</v>
      </c>
      <c r="F1910" s="8" t="s">
        <v>2449</v>
      </c>
      <c r="G1910" s="4" t="s">
        <v>1985</v>
      </c>
      <c r="H1910" s="10" t="s">
        <v>2557</v>
      </c>
      <c r="I1910" s="10">
        <v>1.0</v>
      </c>
      <c r="J1910" s="11" t="str">
        <f>IF(D1910&lt;&gt;"",VLOOKUP(H1910,TABLEITEM,5,FALSE),"")</f>
        <v>คู่</v>
      </c>
      <c r="K1910" s="12">
        <v>560.0</v>
      </c>
      <c r="L1910" s="13" t="str">
        <f>IF(D1910&lt;&gt;"",VLOOKUP(H1910,TABLEITEM,2,FALSE),"")</f>
        <v/>
      </c>
      <c r="M1910" s="13" t="str">
        <f>IF(D1910&lt;&gt;"",VLOOKUP(H1910,TABLEITEM,3,FALSE),"")</f>
        <v>รองเท้าหุ้มส้นพื้นยาง CB800</v>
      </c>
      <c r="N1910" s="14">
        <f>INSTOCK!$I1910*INSTOCK!$K1910</f>
        <v>560</v>
      </c>
      <c r="O1910" s="10" t="s">
        <v>2559</v>
      </c>
      <c r="P1910" s="4"/>
    </row>
    <row r="1911" ht="15.75" hidden="1" customHeight="1">
      <c r="B1911" s="8">
        <v>2230.0</v>
      </c>
      <c r="C1911" s="9">
        <v>43507.0</v>
      </c>
      <c r="D1911" s="6" t="s">
        <v>2556</v>
      </c>
      <c r="E1911" s="4">
        <v>6.202000195E9</v>
      </c>
      <c r="F1911" s="8" t="s">
        <v>2449</v>
      </c>
      <c r="G1911" s="4" t="s">
        <v>1985</v>
      </c>
      <c r="H1911" s="10" t="s">
        <v>2557</v>
      </c>
      <c r="I1911" s="10">
        <v>1.0</v>
      </c>
      <c r="J1911" s="11" t="str">
        <f>IF(D1911&lt;&gt;"",VLOOKUP(H1911,TABLEITEM,5,FALSE),"")</f>
        <v>คู่</v>
      </c>
      <c r="K1911" s="12">
        <v>560.0</v>
      </c>
      <c r="L1911" s="13" t="str">
        <f>IF(D1911&lt;&gt;"",VLOOKUP(H1911,TABLEITEM,2,FALSE),"")</f>
        <v/>
      </c>
      <c r="M1911" s="13" t="str">
        <f>IF(D1911&lt;&gt;"",VLOOKUP(H1911,TABLEITEM,3,FALSE),"")</f>
        <v>รองเท้าหุ้มส้นพื้นยาง CB800</v>
      </c>
      <c r="N1911" s="14">
        <f>INSTOCK!$I1911*INSTOCK!$K1911</f>
        <v>560</v>
      </c>
      <c r="O1911" s="10" t="s">
        <v>2560</v>
      </c>
      <c r="P1911" s="4"/>
    </row>
    <row r="1912" ht="15.75" hidden="1" customHeight="1">
      <c r="B1912" s="8">
        <v>2231.0</v>
      </c>
      <c r="C1912" s="9">
        <v>43507.0</v>
      </c>
      <c r="D1912" s="6" t="s">
        <v>2556</v>
      </c>
      <c r="E1912" s="4">
        <v>6.202000195E9</v>
      </c>
      <c r="F1912" s="8" t="s">
        <v>2449</v>
      </c>
      <c r="G1912" s="4" t="s">
        <v>1985</v>
      </c>
      <c r="H1912" s="10" t="s">
        <v>1986</v>
      </c>
      <c r="I1912" s="10">
        <v>1.0</v>
      </c>
      <c r="J1912" s="11" t="str">
        <f>IF(D1912&lt;&gt;"",VLOOKUP(H1912,TABLEITEM,5,FALSE),"")</f>
        <v>คู่</v>
      </c>
      <c r="K1912" s="12">
        <v>560.0</v>
      </c>
      <c r="L1912" s="13" t="str">
        <f>IF(D1912&lt;&gt;"",VLOOKUP(H1912,TABLEITEM,2,FALSE),"")</f>
        <v/>
      </c>
      <c r="M1912" s="13" t="str">
        <f>IF(D1912&lt;&gt;"",VLOOKUP(H1912,TABLEITEM,3,FALSE),"")</f>
        <v>รองเท้าหุ้มข้อหนังอัดลาย CB102</v>
      </c>
      <c r="N1912" s="14">
        <f>INSTOCK!$I1912*INSTOCK!$K1912</f>
        <v>560</v>
      </c>
      <c r="O1912" s="10" t="s">
        <v>2561</v>
      </c>
      <c r="P1912" s="4"/>
    </row>
    <row r="1913" ht="15.75" hidden="1" customHeight="1">
      <c r="B1913" s="8">
        <v>2232.0</v>
      </c>
      <c r="C1913" s="9">
        <v>43508.0</v>
      </c>
      <c r="D1913" s="6" t="s">
        <v>2562</v>
      </c>
      <c r="E1913" s="4">
        <v>6.20100011E9</v>
      </c>
      <c r="F1913" s="8" t="s">
        <v>2563</v>
      </c>
      <c r="G1913" s="4" t="s">
        <v>2208</v>
      </c>
      <c r="H1913" s="10" t="s">
        <v>2564</v>
      </c>
      <c r="I1913" s="10">
        <v>4.0</v>
      </c>
      <c r="J1913" s="11" t="str">
        <f>IF(D1913&lt;&gt;"",VLOOKUP(H1913,TABLEITEM,5,FALSE),"")</f>
        <v>EA</v>
      </c>
      <c r="K1913" s="12">
        <v>250.0</v>
      </c>
      <c r="L1913" s="13" t="str">
        <f>IF(D1913&lt;&gt;"",VLOOKUP(H1913,TABLEITEM,2,FALSE),"")</f>
        <v/>
      </c>
      <c r="M1913" s="13" t="str">
        <f>IF(D1913&lt;&gt;"",VLOOKUP(H1913,TABLEITEM,3,FALSE),"")</f>
        <v>AN-SPRING</v>
      </c>
      <c r="N1913" s="14">
        <f>INSTOCK!$I1913*INSTOCK!$K1913</f>
        <v>1000</v>
      </c>
      <c r="O1913" s="4"/>
      <c r="P1913" s="4"/>
    </row>
    <row r="1914" ht="15.75" hidden="1" customHeight="1">
      <c r="B1914" s="8">
        <v>2233.0</v>
      </c>
      <c r="C1914" s="9">
        <v>43508.0</v>
      </c>
      <c r="D1914" s="6" t="s">
        <v>2565</v>
      </c>
      <c r="E1914" s="4">
        <v>6.202000216E9</v>
      </c>
      <c r="F1914" s="8" t="s">
        <v>2549</v>
      </c>
      <c r="G1914" s="4" t="s">
        <v>1962</v>
      </c>
      <c r="H1914" s="18" t="s">
        <v>1963</v>
      </c>
      <c r="I1914" s="10">
        <v>1.0</v>
      </c>
      <c r="J1914" s="11" t="str">
        <f>IF(D1914&lt;&gt;"",VLOOKUP(H1914,TABLEITEM,5,FALSE),"")</f>
        <v>EA</v>
      </c>
      <c r="K1914" s="12">
        <v>4200.0</v>
      </c>
      <c r="L1914" s="13" t="str">
        <f>IF(D1914&lt;&gt;"",VLOOKUP(H1914,TABLEITEM,2,FALSE),"")</f>
        <v/>
      </c>
      <c r="M1914" s="13" t="str">
        <f>IF(D1914&lt;&gt;"",VLOOKUP(H1914,TABLEITEM,3,FALSE),"")</f>
        <v>SURGE STPT240K275V-4P AC230VAC 4P 40A</v>
      </c>
      <c r="N1914" s="14">
        <f>INSTOCK!$I1914*INSTOCK!$K1914</f>
        <v>4200</v>
      </c>
      <c r="O1914" s="4"/>
      <c r="P1914" s="4"/>
    </row>
    <row r="1915" ht="15.75" hidden="1" customHeight="1">
      <c r="B1915" s="8">
        <v>2234.0</v>
      </c>
      <c r="C1915" s="9">
        <v>43507.0</v>
      </c>
      <c r="D1915" s="6" t="s">
        <v>2566</v>
      </c>
      <c r="E1915" s="4">
        <v>6.202000215E9</v>
      </c>
      <c r="F1915" s="8" t="s">
        <v>2549</v>
      </c>
      <c r="G1915" s="4" t="s">
        <v>1485</v>
      </c>
      <c r="H1915" s="10" t="s">
        <v>2567</v>
      </c>
      <c r="I1915" s="10">
        <v>1.0</v>
      </c>
      <c r="J1915" s="11" t="str">
        <f>IF(D1915&lt;&gt;"",VLOOKUP(H1915,TABLEITEM,5,FALSE),"")</f>
        <v>EA</v>
      </c>
      <c r="K1915" s="12">
        <v>2723.0</v>
      </c>
      <c r="L1915" s="13" t="str">
        <f>IF(D1915&lt;&gt;"",VLOOKUP(H1915,TABLEITEM,2,FALSE),"")</f>
        <v/>
      </c>
      <c r="M1915" s="13" t="str">
        <f>IF(D1915&lt;&gt;"",VLOOKUP(H1915,TABLEITEM,3,FALSE),"")</f>
        <v>MCCB 3P EZC250F 125AT/250AF 18KA 415VAC</v>
      </c>
      <c r="N1915" s="14">
        <f>INSTOCK!$I1915*INSTOCK!$K1915</f>
        <v>2723</v>
      </c>
      <c r="O1915" s="4"/>
      <c r="P1915" s="4"/>
    </row>
    <row r="1916" ht="15.75" hidden="1" customHeight="1">
      <c r="B1916" s="8">
        <v>2235.0</v>
      </c>
      <c r="C1916" s="9">
        <v>43507.0</v>
      </c>
      <c r="D1916" s="6" t="s">
        <v>2566</v>
      </c>
      <c r="E1916" s="4">
        <v>6.202000215E9</v>
      </c>
      <c r="F1916" s="8" t="s">
        <v>2568</v>
      </c>
      <c r="G1916" s="4" t="s">
        <v>1485</v>
      </c>
      <c r="H1916" s="10" t="s">
        <v>2569</v>
      </c>
      <c r="I1916" s="10">
        <v>2.0</v>
      </c>
      <c r="J1916" s="11" t="str">
        <f>IF(D1916&lt;&gt;"",VLOOKUP(H1916,TABLEITEM,5,FALSE),"")</f>
        <v>EA</v>
      </c>
      <c r="K1916" s="12">
        <v>1837.5</v>
      </c>
      <c r="L1916" s="13" t="str">
        <f>IF(D1916&lt;&gt;"",VLOOKUP(H1916,TABLEITEM,2,FALSE),"")</f>
        <v/>
      </c>
      <c r="M1916" s="13" t="str">
        <f>IF(D1916&lt;&gt;"",VLOOKUP(H1916,TABLEITEM,3,FALSE),"")</f>
        <v>MCCB 3P EZC100N 60AT/100AF 15KA 415VAC</v>
      </c>
      <c r="N1916" s="14">
        <f>INSTOCK!$I1916*INSTOCK!$K1916</f>
        <v>3675</v>
      </c>
      <c r="O1916" s="4"/>
      <c r="P1916" s="4"/>
    </row>
    <row r="1917" ht="15.75" hidden="1" customHeight="1">
      <c r="B1917" s="8">
        <v>2236.0</v>
      </c>
      <c r="C1917" s="9">
        <v>43507.0</v>
      </c>
      <c r="D1917" s="6" t="s">
        <v>2566</v>
      </c>
      <c r="E1917" s="4">
        <v>6.202000215E9</v>
      </c>
      <c r="F1917" s="8" t="s">
        <v>2570</v>
      </c>
      <c r="G1917" s="4" t="s">
        <v>1485</v>
      </c>
      <c r="H1917" s="10" t="s">
        <v>2571</v>
      </c>
      <c r="I1917" s="10">
        <v>1.0</v>
      </c>
      <c r="J1917" s="11" t="str">
        <f>IF(D1917&lt;&gt;"",VLOOKUP(H1917,TABLEITEM,5,FALSE),"")</f>
        <v>EA</v>
      </c>
      <c r="K1917" s="12">
        <v>2723.0</v>
      </c>
      <c r="L1917" s="13" t="str">
        <f>IF(D1917&lt;&gt;"",VLOOKUP(H1917,TABLEITEM,2,FALSE),"")</f>
        <v/>
      </c>
      <c r="M1917" s="13" t="str">
        <f>IF(D1917&lt;&gt;"",VLOOKUP(H1917,TABLEITEM,3,FALSE),"")</f>
        <v>MCCB 3P EZC250F 150At/250AF 18KA 415VAC</v>
      </c>
      <c r="N1917" s="14">
        <f>INSTOCK!$I1917*INSTOCK!$K1917</f>
        <v>2723</v>
      </c>
      <c r="O1917" s="4"/>
      <c r="P1917" s="4"/>
    </row>
    <row r="1918" ht="15.75" hidden="1" customHeight="1">
      <c r="B1918" s="8">
        <v>2237.0</v>
      </c>
      <c r="C1918" s="9">
        <v>43503.0</v>
      </c>
      <c r="D1918" s="6" t="s">
        <v>2572</v>
      </c>
      <c r="E1918" s="4">
        <v>6.2020000185E10</v>
      </c>
      <c r="F1918" s="8" t="s">
        <v>2349</v>
      </c>
      <c r="G1918" s="4" t="s">
        <v>965</v>
      </c>
      <c r="H1918" s="10" t="s">
        <v>2573</v>
      </c>
      <c r="I1918" s="10">
        <v>2.0</v>
      </c>
      <c r="J1918" s="11" t="str">
        <f>IF(D1918&lt;&gt;"",VLOOKUP(H1918,TABLEITEM,5,FALSE),"")</f>
        <v>SET</v>
      </c>
      <c r="K1918" s="12">
        <v>60.0</v>
      </c>
      <c r="L1918" s="13" t="str">
        <f>IF(D1918&lt;&gt;"",VLOOKUP(H1918,TABLEITEM,2,FALSE),"")</f>
        <v/>
      </c>
      <c r="M1918" s="13" t="str">
        <f>IF(D1918&lt;&gt;"",VLOOKUP(H1918,TABLEITEM,3,FALSE),"")</f>
        <v>ดอกต๊าป M3 (3ตัวชุด)</v>
      </c>
      <c r="N1918" s="14">
        <f>INSTOCK!$I1918*INSTOCK!$K1918</f>
        <v>120</v>
      </c>
      <c r="O1918" s="4"/>
      <c r="P1918" s="4"/>
    </row>
    <row r="1919" ht="15.75" hidden="1" customHeight="1">
      <c r="B1919" s="8">
        <v>2238.0</v>
      </c>
      <c r="C1919" s="9">
        <v>43503.0</v>
      </c>
      <c r="D1919" s="6">
        <v>6.2020031E7</v>
      </c>
      <c r="E1919" s="4">
        <v>6.202000194E9</v>
      </c>
      <c r="F1919" s="8" t="s">
        <v>604</v>
      </c>
      <c r="G1919" s="4" t="s">
        <v>2574</v>
      </c>
      <c r="H1919" s="10" t="s">
        <v>2575</v>
      </c>
      <c r="I1919" s="10">
        <v>10.0</v>
      </c>
      <c r="J1919" s="11" t="str">
        <f>IF(D1919&lt;&gt;"",VLOOKUP(H1919,TABLEITEM,5,FALSE),"")</f>
        <v>ROLL</v>
      </c>
      <c r="K1919" s="12">
        <v>735.0</v>
      </c>
      <c r="L1919" s="13" t="str">
        <f>IF(D1919&lt;&gt;"",VLOOKUP(H1919,TABLEITEM,2,FALSE),"")</f>
        <v/>
      </c>
      <c r="M1919" s="13" t="str">
        <f>IF(D1919&lt;&gt;"",VLOOKUP(H1919,TABLEITEM,3,FALSE),"")</f>
        <v>ลวดเชื่อม CO2 0.8mm</v>
      </c>
      <c r="N1919" s="14">
        <f>INSTOCK!$I1919*INSTOCK!$K1919</f>
        <v>7350</v>
      </c>
      <c r="O1919" s="4"/>
      <c r="P1919" s="4"/>
    </row>
    <row r="1920" ht="15.75" hidden="1" customHeight="1">
      <c r="B1920" s="8">
        <v>2239.0</v>
      </c>
      <c r="C1920" s="9">
        <v>43503.0</v>
      </c>
      <c r="D1920" s="6" t="s">
        <v>2576</v>
      </c>
      <c r="E1920" s="4">
        <v>6.202000173E9</v>
      </c>
      <c r="F1920" s="8" t="s">
        <v>604</v>
      </c>
      <c r="G1920" s="4" t="s">
        <v>965</v>
      </c>
      <c r="H1920" s="10" t="s">
        <v>46</v>
      </c>
      <c r="I1920" s="10">
        <v>10.0</v>
      </c>
      <c r="J1920" s="11" t="str">
        <f>IF(D1920&lt;&gt;"",VLOOKUP(H1920,TABLEITEM,5,FALSE),"")</f>
        <v>ROLL</v>
      </c>
      <c r="K1920" s="12">
        <v>90.0</v>
      </c>
      <c r="L1920" s="13" t="str">
        <f>IF(D1920&lt;&gt;"",VLOOKUP(H1920,TABLEITEM,2,FALSE),"")</f>
        <v/>
      </c>
      <c r="M1920" s="13" t="str">
        <f>IF(D1920&lt;&gt;"",VLOOKUP(H1920,TABLEITEM,3,FALSE),"")</f>
        <v>ลวดดำ</v>
      </c>
      <c r="N1920" s="14">
        <f>INSTOCK!$I1920*INSTOCK!$K1920</f>
        <v>900</v>
      </c>
      <c r="O1920" s="4"/>
      <c r="P1920" s="4"/>
    </row>
    <row r="1921" ht="15.75" hidden="1" customHeight="1">
      <c r="B1921" s="8">
        <v>2240.0</v>
      </c>
      <c r="C1921" s="9">
        <v>43503.0</v>
      </c>
      <c r="D1921" s="6" t="s">
        <v>2576</v>
      </c>
      <c r="E1921" s="4">
        <v>6.202000173E9</v>
      </c>
      <c r="F1921" s="8" t="s">
        <v>604</v>
      </c>
      <c r="G1921" s="4" t="s">
        <v>965</v>
      </c>
      <c r="H1921" s="10" t="s">
        <v>45</v>
      </c>
      <c r="I1921" s="10">
        <v>1.0</v>
      </c>
      <c r="J1921" s="11" t="str">
        <f>IF(D1921&lt;&gt;"",VLOOKUP(H1921,TABLEITEM,5,FALSE),"")</f>
        <v>กล</v>
      </c>
      <c r="K1921" s="12">
        <v>280.0</v>
      </c>
      <c r="L1921" s="13" t="str">
        <f>IF(D1921&lt;&gt;"",VLOOKUP(H1921,TABLEITEM,2,FALSE),"")</f>
        <v/>
      </c>
      <c r="M1921" s="13" t="str">
        <f>IF(D1921&lt;&gt;"",VLOOKUP(H1921,TABLEITEM,3,FALSE),"")</f>
        <v>สีโป้ว</v>
      </c>
      <c r="N1921" s="14">
        <f>INSTOCK!$I1921*INSTOCK!$K1921</f>
        <v>280</v>
      </c>
      <c r="O1921" s="4"/>
      <c r="P1921" s="4"/>
    </row>
    <row r="1922" ht="15.75" hidden="1" customHeight="1">
      <c r="B1922" s="8">
        <v>2241.0</v>
      </c>
      <c r="C1922" s="9">
        <v>43503.0</v>
      </c>
      <c r="D1922" s="6" t="s">
        <v>2576</v>
      </c>
      <c r="E1922" s="4">
        <v>6.202000173E9</v>
      </c>
      <c r="F1922" s="8" t="s">
        <v>604</v>
      </c>
      <c r="G1922" s="4" t="s">
        <v>965</v>
      </c>
      <c r="H1922" s="10" t="s">
        <v>2577</v>
      </c>
      <c r="I1922" s="10">
        <v>20.0</v>
      </c>
      <c r="J1922" s="11" t="str">
        <f>IF(D1922&lt;&gt;"",VLOOKUP(H1922,TABLEITEM,5,FALSE),"")</f>
        <v>EA</v>
      </c>
      <c r="K1922" s="12">
        <v>20.0</v>
      </c>
      <c r="L1922" s="13" t="str">
        <f>IF(D1922&lt;&gt;"",VLOOKUP(H1922,TABLEITEM,2,FALSE),"")</f>
        <v/>
      </c>
      <c r="M1922" s="13" t="str">
        <f>IF(D1922&lt;&gt;"",VLOOKUP(H1922,TABLEITEM,3,FALSE),"")</f>
        <v>ข้อต่อคอปเปอร์เกลียวนอก 1/4"</v>
      </c>
      <c r="N1922" s="14">
        <f>INSTOCK!$I1922*INSTOCK!$K1922</f>
        <v>400</v>
      </c>
      <c r="O1922" s="4"/>
      <c r="P1922" s="4"/>
    </row>
    <row r="1923" ht="15.75" hidden="1" customHeight="1">
      <c r="B1923" s="8">
        <v>2242.0</v>
      </c>
      <c r="C1923" s="9">
        <v>43505.0</v>
      </c>
      <c r="D1923" s="6" t="s">
        <v>2578</v>
      </c>
      <c r="E1923" s="4"/>
      <c r="F1923" s="8" t="s">
        <v>2543</v>
      </c>
      <c r="G1923" s="4" t="s">
        <v>2579</v>
      </c>
      <c r="H1923" s="10" t="s">
        <v>2580</v>
      </c>
      <c r="I1923" s="10">
        <v>1.0</v>
      </c>
      <c r="J1923" s="11" t="str">
        <f>IF(D1923&lt;&gt;"",VLOOKUP(H1923,TABLEITEM,5,FALSE),"")</f>
        <v>EA</v>
      </c>
      <c r="K1923" s="12">
        <v>240.0</v>
      </c>
      <c r="L1923" s="13" t="str">
        <f>IF(D1923&lt;&gt;"",VLOOKUP(H1923,TABLEITEM,2,FALSE),"")</f>
        <v/>
      </c>
      <c r="M1923" s="13" t="str">
        <f>IF(D1923&lt;&gt;"",VLOOKUP(H1923,TABLEITEM,3,FALSE),"")</f>
        <v>หม้อแปลง 250V/24V 50VA</v>
      </c>
      <c r="N1923" s="14">
        <f>INSTOCK!$I1923*INSTOCK!$K1923</f>
        <v>240</v>
      </c>
      <c r="O1923" s="4"/>
      <c r="P1923" s="4"/>
    </row>
    <row r="1924" ht="15.75" hidden="1" customHeight="1">
      <c r="B1924" s="8">
        <v>2243.0</v>
      </c>
      <c r="C1924" s="9">
        <v>43500.0</v>
      </c>
      <c r="D1924" s="6">
        <v>190201.0</v>
      </c>
      <c r="E1924" s="4"/>
      <c r="F1924" s="8" t="s">
        <v>2581</v>
      </c>
      <c r="G1924" s="4" t="s">
        <v>2582</v>
      </c>
      <c r="H1924" s="10" t="s">
        <v>2583</v>
      </c>
      <c r="I1924" s="10">
        <v>2.0</v>
      </c>
      <c r="J1924" s="11" t="str">
        <f>IF(D1924&lt;&gt;"",VLOOKUP(H1924,TABLEITEM,5,FALSE),"")</f>
        <v>EA</v>
      </c>
      <c r="K1924" s="12">
        <v>240.0</v>
      </c>
      <c r="L1924" s="13" t="str">
        <f>IF(D1924&lt;&gt;"",VLOOKUP(H1924,TABLEITEM,2,FALSE),"")</f>
        <v/>
      </c>
      <c r="M1924" s="13" t="str">
        <f>IF(D1924&lt;&gt;"",VLOOKUP(H1924,TABLEITEM,3,FALSE),"")</f>
        <v>ป้ายไวนิล</v>
      </c>
      <c r="N1924" s="14">
        <f>INSTOCK!$I1924*INSTOCK!$K1924</f>
        <v>480</v>
      </c>
      <c r="O1924" s="4"/>
      <c r="P1924" s="4"/>
    </row>
    <row r="1925" ht="15.75" hidden="1" customHeight="1">
      <c r="B1925" s="8">
        <v>2244.0</v>
      </c>
      <c r="C1925" s="9">
        <v>43502.0</v>
      </c>
      <c r="D1925" s="6" t="s">
        <v>2584</v>
      </c>
      <c r="E1925" s="4">
        <v>6.202000184E9</v>
      </c>
      <c r="F1925" s="8" t="s">
        <v>604</v>
      </c>
      <c r="G1925" s="4" t="s">
        <v>2453</v>
      </c>
      <c r="H1925" s="10" t="s">
        <v>2585</v>
      </c>
      <c r="I1925" s="10">
        <v>20.0</v>
      </c>
      <c r="J1925" s="11" t="str">
        <f>IF(D1925&lt;&gt;"",VLOOKUP(H1925,TABLEITEM,5,FALSE),"")</f>
        <v>EA</v>
      </c>
      <c r="K1925" s="12">
        <v>31.26</v>
      </c>
      <c r="L1925" s="13" t="str">
        <f>IF(D1925&lt;&gt;"",VLOOKUP(H1925,TABLEITEM,2,FALSE),"")</f>
        <v/>
      </c>
      <c r="M1925" s="13" t="str">
        <f>IF(D1925&lt;&gt;"",VLOOKUP(H1925,TABLEITEM,3,FALSE),"")</f>
        <v>ดอกสว่านนาซิ L/N 500 4.0mm</v>
      </c>
      <c r="N1925" s="14">
        <f>INSTOCK!$I1925*INSTOCK!$K1925</f>
        <v>625.2</v>
      </c>
      <c r="O1925" s="4"/>
      <c r="P1925" s="4"/>
    </row>
    <row r="1926" ht="15.75" hidden="1" customHeight="1">
      <c r="B1926" s="8">
        <v>2245.0</v>
      </c>
      <c r="C1926" s="9">
        <v>43502.0</v>
      </c>
      <c r="D1926" s="6" t="s">
        <v>2584</v>
      </c>
      <c r="E1926" s="4">
        <v>6.202000184E9</v>
      </c>
      <c r="F1926" s="8" t="s">
        <v>604</v>
      </c>
      <c r="G1926" s="4" t="s">
        <v>2453</v>
      </c>
      <c r="H1926" s="10" t="s">
        <v>2586</v>
      </c>
      <c r="I1926" s="10">
        <v>5.0</v>
      </c>
      <c r="J1926" s="11" t="str">
        <f>IF(D1926&lt;&gt;"",VLOOKUP(H1926,TABLEITEM,5,FALSE),"")</f>
        <v>EA</v>
      </c>
      <c r="K1926" s="12">
        <v>116.38</v>
      </c>
      <c r="L1926" s="13" t="str">
        <f>IF(D1926&lt;&gt;"",VLOOKUP(H1926,TABLEITEM,2,FALSE),"")</f>
        <v/>
      </c>
      <c r="M1926" s="13" t="str">
        <f>IF(D1926&lt;&gt;"",VLOOKUP(H1926,TABLEITEM,3,FALSE),"")</f>
        <v>ดอกสว่านนาซิ L/N 500 9.0mm</v>
      </c>
      <c r="N1926" s="14">
        <f>INSTOCK!$I1926*INSTOCK!$K1926</f>
        <v>581.9</v>
      </c>
      <c r="O1926" s="4"/>
      <c r="P1926" s="4"/>
    </row>
    <row r="1927" ht="15.75" hidden="1" customHeight="1">
      <c r="B1927" s="8">
        <v>2246.0</v>
      </c>
      <c r="C1927" s="9">
        <v>43502.0</v>
      </c>
      <c r="D1927" s="6" t="s">
        <v>2584</v>
      </c>
      <c r="E1927" s="4">
        <v>6.202000184E9</v>
      </c>
      <c r="F1927" s="8" t="s">
        <v>604</v>
      </c>
      <c r="G1927" s="4" t="s">
        <v>2453</v>
      </c>
      <c r="H1927" s="10" t="s">
        <v>2587</v>
      </c>
      <c r="I1927" s="10">
        <v>5.0</v>
      </c>
      <c r="J1927" s="11" t="str">
        <f>IF(D1927&lt;&gt;"",VLOOKUP(H1927,TABLEITEM,5,FALSE),"")</f>
        <v>EA</v>
      </c>
      <c r="K1927" s="12">
        <v>149.63</v>
      </c>
      <c r="L1927" s="13" t="str">
        <f>IF(D1927&lt;&gt;"",VLOOKUP(H1927,TABLEITEM,2,FALSE),"")</f>
        <v/>
      </c>
      <c r="M1927" s="13" t="str">
        <f>IF(D1927&lt;&gt;"",VLOOKUP(H1927,TABLEITEM,3,FALSE),"")</f>
        <v>ดอกสว่านนาซิ L/N 500 10.0mm</v>
      </c>
      <c r="N1927" s="14">
        <f>INSTOCK!$I1927*INSTOCK!$K1927</f>
        <v>748.15</v>
      </c>
      <c r="O1927" s="4"/>
      <c r="P1927" s="4"/>
    </row>
    <row r="1928" ht="15.75" hidden="1" customHeight="1">
      <c r="B1928" s="8">
        <v>2247.0</v>
      </c>
      <c r="C1928" s="9">
        <v>43502.0</v>
      </c>
      <c r="D1928" s="6" t="s">
        <v>2584</v>
      </c>
      <c r="E1928" s="4">
        <v>6.202000184E9</v>
      </c>
      <c r="F1928" s="8" t="s">
        <v>604</v>
      </c>
      <c r="G1928" s="4" t="s">
        <v>2453</v>
      </c>
      <c r="H1928" s="10" t="s">
        <v>2588</v>
      </c>
      <c r="I1928" s="10">
        <v>5.0</v>
      </c>
      <c r="J1928" s="11" t="str">
        <f>IF(D1928&lt;&gt;"",VLOOKUP(H1928,TABLEITEM,5,FALSE),"")</f>
        <v>EA</v>
      </c>
      <c r="K1928" s="12">
        <v>26.6</v>
      </c>
      <c r="L1928" s="13" t="str">
        <f>IF(D1928&lt;&gt;"",VLOOKUP(H1928,TABLEITEM,2,FALSE),"")</f>
        <v/>
      </c>
      <c r="M1928" s="13" t="str">
        <f>IF(D1928&lt;&gt;"",VLOOKUP(H1928,TABLEITEM,3,FALSE),"")</f>
        <v>ดอกสว่านนาซิ L/N 500 2.2mm</v>
      </c>
      <c r="N1928" s="14">
        <f>INSTOCK!$I1928*INSTOCK!$K1928</f>
        <v>133</v>
      </c>
      <c r="O1928" s="4"/>
      <c r="P1928" s="4"/>
    </row>
    <row r="1929" ht="15.75" hidden="1" customHeight="1">
      <c r="B1929" s="8">
        <v>2248.0</v>
      </c>
      <c r="C1929" s="9">
        <v>43509.0</v>
      </c>
      <c r="D1929" s="6">
        <v>84619.0</v>
      </c>
      <c r="E1929" s="4">
        <v>6.202000178E9</v>
      </c>
      <c r="F1929" s="8" t="s">
        <v>604</v>
      </c>
      <c r="G1929" s="4" t="s">
        <v>2589</v>
      </c>
      <c r="H1929" s="10" t="s">
        <v>2590</v>
      </c>
      <c r="I1929" s="10">
        <v>1000.0</v>
      </c>
      <c r="J1929" s="11" t="str">
        <f>IF(D1929&lt;&gt;"",VLOOKUP(H1929,TABLEITEM,5,FALSE),"")</f>
        <v>EA</v>
      </c>
      <c r="K1929" s="12">
        <v>1.37</v>
      </c>
      <c r="L1929" s="13" t="str">
        <f>IF(D1929&lt;&gt;"",VLOOKUP(H1929,TABLEITEM,2,FALSE),"")</f>
        <v/>
      </c>
      <c r="M1929" s="13" t="str">
        <f>IF(D1929&lt;&gt;"",VLOOKUP(H1929,TABLEITEM,3,FALSE),"")</f>
        <v>สตัด M4x15</v>
      </c>
      <c r="N1929" s="14">
        <f>INSTOCK!$I1929*INSTOCK!$K1929</f>
        <v>1370</v>
      </c>
      <c r="O1929" s="4" t="s">
        <v>2591</v>
      </c>
      <c r="P1929" s="4"/>
    </row>
    <row r="1930" ht="15.75" hidden="1" customHeight="1">
      <c r="B1930" s="8">
        <v>2249.0</v>
      </c>
      <c r="C1930" s="9">
        <v>43509.0</v>
      </c>
      <c r="D1930" s="6" t="s">
        <v>2592</v>
      </c>
      <c r="E1930" s="4"/>
      <c r="F1930" s="8" t="s">
        <v>633</v>
      </c>
      <c r="G1930" s="4" t="s">
        <v>2593</v>
      </c>
      <c r="H1930" s="10" t="s">
        <v>2594</v>
      </c>
      <c r="I1930" s="10">
        <v>5.0</v>
      </c>
      <c r="J1930" s="11" t="str">
        <f>IF(D1930&lt;&gt;"",VLOOKUP(H1930,TABLEITEM,5,FALSE),"")</f>
        <v>EA</v>
      </c>
      <c r="K1930" s="12">
        <v>500.0</v>
      </c>
      <c r="L1930" s="13" t="str">
        <f>IF(D1930&lt;&gt;"",VLOOKUP(H1930,TABLEITEM,2,FALSE),"")</f>
        <v/>
      </c>
      <c r="M1930" s="13" t="str">
        <f>IF(D1930&lt;&gt;"",VLOOKUP(H1930,TABLEITEM,3,FALSE),"")</f>
        <v>ทรายหยาบ</v>
      </c>
      <c r="N1930" s="14">
        <f>INSTOCK!$I1930*INSTOCK!$K1930</f>
        <v>2500</v>
      </c>
      <c r="O1930" s="4"/>
      <c r="P1930" s="4"/>
    </row>
    <row r="1931" ht="15.75" hidden="1" customHeight="1">
      <c r="B1931" s="8">
        <v>2250.0</v>
      </c>
      <c r="C1931" s="9">
        <v>43510.0</v>
      </c>
      <c r="D1931" s="6">
        <v>7819.0</v>
      </c>
      <c r="E1931" s="4">
        <v>6.202000225E9</v>
      </c>
      <c r="F1931" s="8" t="s">
        <v>2595</v>
      </c>
      <c r="G1931" s="4" t="s">
        <v>1009</v>
      </c>
      <c r="H1931" s="10" t="s">
        <v>2596</v>
      </c>
      <c r="I1931" s="10">
        <v>200.0</v>
      </c>
      <c r="J1931" s="11" t="str">
        <f>IF(D1931&lt;&gt;"",VLOOKUP(H1931,TABLEITEM,5,FALSE),"")</f>
        <v>EA</v>
      </c>
      <c r="K1931" s="12">
        <v>33.0</v>
      </c>
      <c r="L1931" s="13" t="str">
        <f>IF(D1931&lt;&gt;"",VLOOKUP(H1931,TABLEITEM,2,FALSE),"")</f>
        <v/>
      </c>
      <c r="M1931" s="13" t="str">
        <f>IF(D1931&lt;&gt;"",VLOOKUP(H1931,TABLEITEM,3,FALSE),"")</f>
        <v>KEY-LOCKHINGES HL-027</v>
      </c>
      <c r="N1931" s="14">
        <f>INSTOCK!$I1931*INSTOCK!$K1931</f>
        <v>6600</v>
      </c>
      <c r="O1931" s="4"/>
      <c r="P1931" s="4"/>
    </row>
    <row r="1932" ht="15.75" hidden="1" customHeight="1">
      <c r="B1932" s="8">
        <v>2251.0</v>
      </c>
      <c r="C1932" s="9">
        <v>43510.0</v>
      </c>
      <c r="D1932" s="6" t="s">
        <v>2597</v>
      </c>
      <c r="E1932" s="4"/>
      <c r="F1932" s="8" t="s">
        <v>2598</v>
      </c>
      <c r="G1932" s="4" t="s">
        <v>2350</v>
      </c>
      <c r="H1932" s="10" t="s">
        <v>2538</v>
      </c>
      <c r="I1932" s="10">
        <v>60.0</v>
      </c>
      <c r="J1932" s="11" t="str">
        <f>IF(D1932&lt;&gt;"",VLOOKUP(H1932,TABLEITEM,5,FALSE),"")</f>
        <v>KG.</v>
      </c>
      <c r="K1932" s="12">
        <v>122.0</v>
      </c>
      <c r="L1932" s="13" t="str">
        <f>IF(D1932&lt;&gt;"",VLOOKUP(H1932,TABLEITEM,2,FALSE),"")</f>
        <v/>
      </c>
      <c r="M1932" s="13" t="str">
        <f>IF(D1932&lt;&gt;"",VLOOKUP(H1932,TABLEITEM,3,FALSE),"")</f>
        <v>สีฝุ่น P0001A  สีขาว </v>
      </c>
      <c r="N1932" s="14">
        <f>INSTOCK!$I1932*INSTOCK!$K1932</f>
        <v>7320</v>
      </c>
      <c r="O1932" s="4"/>
      <c r="P1932" s="4"/>
    </row>
    <row r="1933" ht="15.75" hidden="1" customHeight="1">
      <c r="B1933" s="8">
        <v>2252.0</v>
      </c>
      <c r="C1933" s="9">
        <v>43510.0</v>
      </c>
      <c r="D1933" s="6" t="s">
        <v>2597</v>
      </c>
      <c r="E1933" s="4"/>
      <c r="F1933" s="8" t="s">
        <v>2598</v>
      </c>
      <c r="G1933" s="4" t="s">
        <v>2350</v>
      </c>
      <c r="H1933" s="10" t="s">
        <v>2599</v>
      </c>
      <c r="I1933" s="10">
        <v>100.0</v>
      </c>
      <c r="J1933" s="11" t="str">
        <f>IF(D1933&lt;&gt;"",VLOOKUP(H1933,TABLEITEM,5,FALSE),"")</f>
        <v>KG.</v>
      </c>
      <c r="K1933" s="12">
        <v>122.0</v>
      </c>
      <c r="L1933" s="13" t="str">
        <f>IF(D1933&lt;&gt;"",VLOOKUP(H1933,TABLEITEM,2,FALSE),"")</f>
        <v/>
      </c>
      <c r="M1933" s="13" t="str">
        <f>IF(D1933&lt;&gt;"",VLOOKUP(H1933,TABLEITEM,3,FALSE),"")</f>
        <v>สีฝุ่น P9001A  สีเทาดำ</v>
      </c>
      <c r="N1933" s="14">
        <f>INSTOCK!$I1933*INSTOCK!$K1933</f>
        <v>12200</v>
      </c>
      <c r="O1933" s="4"/>
      <c r="P1933" s="4"/>
    </row>
    <row r="1934" ht="15.75" hidden="1" customHeight="1">
      <c r="B1934" s="8">
        <v>2253.0</v>
      </c>
      <c r="C1934" s="9">
        <v>43511.0</v>
      </c>
      <c r="D1934" s="6" t="s">
        <v>2600</v>
      </c>
      <c r="E1934" s="4">
        <v>6.202000227E9</v>
      </c>
      <c r="F1934" s="8" t="s">
        <v>604</v>
      </c>
      <c r="G1934" s="4" t="s">
        <v>975</v>
      </c>
      <c r="H1934" s="10" t="s">
        <v>19</v>
      </c>
      <c r="I1934" s="10">
        <v>60.0</v>
      </c>
      <c r="J1934" s="11" t="str">
        <f>IF(D1934&lt;&gt;"",VLOOKUP(H1934,TABLEITEM,5,FALSE),"")</f>
        <v>ROLL</v>
      </c>
      <c r="K1934" s="12">
        <v>140.0</v>
      </c>
      <c r="L1934" s="13" t="str">
        <f>IF(D1934&lt;&gt;"",VLOOKUP(H1934,TABLEITEM,2,FALSE),"")</f>
        <v/>
      </c>
      <c r="M1934" s="13" t="str">
        <f>IF(D1934&lt;&gt;"",VLOOKUP(H1934,TABLEITEM,3,FALSE),"")</f>
        <v>พลาสติกห่อตู้ 20micx50cmx300m</v>
      </c>
      <c r="N1934" s="14">
        <f>INSTOCK!$I1934*INSTOCK!$K1934</f>
        <v>8400</v>
      </c>
      <c r="O1934" s="4" t="s">
        <v>977</v>
      </c>
      <c r="P1934" s="4"/>
    </row>
    <row r="1935" ht="15.75" hidden="1" customHeight="1">
      <c r="B1935" s="8">
        <v>2254.0</v>
      </c>
      <c r="C1935" s="9">
        <v>43509.0</v>
      </c>
      <c r="D1935" s="6" t="s">
        <v>2601</v>
      </c>
      <c r="E1935" s="4">
        <v>6.202000222E9</v>
      </c>
      <c r="F1935" s="8" t="s">
        <v>2602</v>
      </c>
      <c r="G1935" s="4" t="s">
        <v>1485</v>
      </c>
      <c r="H1935" s="10" t="s">
        <v>2603</v>
      </c>
      <c r="I1935" s="10">
        <v>3.0</v>
      </c>
      <c r="J1935" s="11" t="str">
        <f>IF(D1935&lt;&gt;"",VLOOKUP(H1935,TABLEITEM,5,FALSE),"")</f>
        <v>EA</v>
      </c>
      <c r="K1935" s="12">
        <v>600.0</v>
      </c>
      <c r="L1935" s="13" t="str">
        <f>IF(D1935&lt;&gt;"",VLOOKUP(H1935,TABLEITEM,2,FALSE),"")</f>
        <v/>
      </c>
      <c r="M1935" s="13" t="str">
        <f>IF(D1935&lt;&gt;"",VLOOKUP(H1935,TABLEITEM,3,FALSE),"")</f>
        <v>IC60N 2P 63A C CURVE 10KA 400VAC</v>
      </c>
      <c r="N1935" s="14">
        <f>INSTOCK!$I1935*INSTOCK!$K1935</f>
        <v>1800</v>
      </c>
      <c r="O1935" s="4"/>
      <c r="P1935" s="4"/>
    </row>
    <row r="1936" ht="15.75" hidden="1" customHeight="1">
      <c r="B1936" s="8">
        <v>2255.0</v>
      </c>
      <c r="C1936" s="9">
        <v>43509.0</v>
      </c>
      <c r="D1936" s="6" t="s">
        <v>2604</v>
      </c>
      <c r="E1936" s="4">
        <v>6.202000219E9</v>
      </c>
      <c r="F1936" s="8" t="s">
        <v>604</v>
      </c>
      <c r="G1936" s="4" t="s">
        <v>808</v>
      </c>
      <c r="H1936" s="10" t="s">
        <v>809</v>
      </c>
      <c r="I1936" s="10">
        <v>1.0</v>
      </c>
      <c r="J1936" s="11" t="str">
        <f>IF(D1936&lt;&gt;"",VLOOKUP(H1936,TABLEITEM,5,FALSE),"")</f>
        <v>ท่อ</v>
      </c>
      <c r="K1936" s="12">
        <v>2700.0</v>
      </c>
      <c r="L1936" s="13" t="str">
        <f>IF(D1936&lt;&gt;"",VLOOKUP(H1936,TABLEITEM,2,FALSE),"")</f>
        <v/>
      </c>
      <c r="M1936" s="13" t="str">
        <f>IF(D1936&lt;&gt;"",VLOOKUP(H1936,TABLEITEM,3,FALSE),"")</f>
        <v>ไนโตรเจนเหลว ขนาด 100คิว</v>
      </c>
      <c r="N1936" s="14">
        <f>INSTOCK!$I1936*INSTOCK!$K1936</f>
        <v>2700</v>
      </c>
      <c r="O1936" s="4"/>
      <c r="P1936" s="4"/>
    </row>
    <row r="1937" ht="15.75" hidden="1" customHeight="1">
      <c r="B1937" s="8">
        <v>2256.0</v>
      </c>
      <c r="C1937" s="9">
        <v>43509.0</v>
      </c>
      <c r="D1937" s="6" t="s">
        <v>2604</v>
      </c>
      <c r="E1937" s="4">
        <v>6.202000219E9</v>
      </c>
      <c r="F1937" s="8" t="s">
        <v>604</v>
      </c>
      <c r="G1937" s="4" t="s">
        <v>808</v>
      </c>
      <c r="H1937" s="10" t="s">
        <v>824</v>
      </c>
      <c r="I1937" s="10">
        <v>2.0</v>
      </c>
      <c r="J1937" s="11" t="str">
        <f>IF(D1937&lt;&gt;"",VLOOKUP(H1937,TABLEITEM,5,FALSE),"")</f>
        <v>ท่อ</v>
      </c>
      <c r="K1937" s="12">
        <v>600.0</v>
      </c>
      <c r="L1937" s="13" t="str">
        <f>IF(D1937&lt;&gt;"",VLOOKUP(H1937,TABLEITEM,2,FALSE),"")</f>
        <v/>
      </c>
      <c r="M1937" s="13" t="str">
        <f>IF(D1937&lt;&gt;"",VLOOKUP(H1937,TABLEITEM,3,FALSE),"")</f>
        <v>20% CO2 Balance AR ขนาด 6คิว</v>
      </c>
      <c r="N1937" s="14">
        <f>INSTOCK!$I1937*INSTOCK!$K1937</f>
        <v>1200</v>
      </c>
      <c r="O1937" s="4"/>
      <c r="P1937" s="4"/>
    </row>
    <row r="1938" ht="15.75" hidden="1" customHeight="1">
      <c r="B1938" s="8">
        <v>2257.0</v>
      </c>
      <c r="C1938" s="9">
        <v>43511.0</v>
      </c>
      <c r="D1938" s="6" t="s">
        <v>2605</v>
      </c>
      <c r="E1938" s="4">
        <v>6.20200022E9</v>
      </c>
      <c r="F1938" s="8" t="s">
        <v>2606</v>
      </c>
      <c r="G1938" s="4" t="s">
        <v>1671</v>
      </c>
      <c r="H1938" s="10" t="s">
        <v>2607</v>
      </c>
      <c r="I1938" s="10">
        <v>3.0</v>
      </c>
      <c r="J1938" s="11" t="str">
        <f>IF(D1938&lt;&gt;"",VLOOKUP(H1938,TABLEITEM,5,FALSE),"")</f>
        <v>EA</v>
      </c>
      <c r="K1938" s="12">
        <v>85.0</v>
      </c>
      <c r="L1938" s="13" t="str">
        <f>IF(D1938&lt;&gt;"",VLOOKUP(H1938,TABLEITEM,2,FALSE),"")</f>
        <v/>
      </c>
      <c r="M1938" s="13" t="str">
        <f>IF(D1938&lt;&gt;"",VLOOKUP(H1938,TABLEITEM,3,FALSE),"")</f>
        <v>บูชกลึง M35x30ต๊าปเกลียวใน M10 E4</v>
      </c>
      <c r="N1938" s="14">
        <f>INSTOCK!$I1938*INSTOCK!$K1938</f>
        <v>255</v>
      </c>
      <c r="O1938" s="4"/>
      <c r="P1938" s="4"/>
    </row>
    <row r="1939" ht="15.75" hidden="1" customHeight="1">
      <c r="B1939" s="8">
        <v>2258.0</v>
      </c>
      <c r="C1939" s="9">
        <v>43510.0</v>
      </c>
      <c r="D1939" s="6" t="s">
        <v>2608</v>
      </c>
      <c r="E1939" s="4">
        <v>6.202000226E9</v>
      </c>
      <c r="F1939" s="8" t="s">
        <v>604</v>
      </c>
      <c r="G1939" s="4" t="s">
        <v>957</v>
      </c>
      <c r="H1939" s="10" t="s">
        <v>1193</v>
      </c>
      <c r="I1939" s="10">
        <v>200.0</v>
      </c>
      <c r="J1939" s="11" t="str">
        <f>IF(D1939&lt;&gt;"",VLOOKUP(H1939,TABLEITEM,5,FALSE),"")</f>
        <v>EA</v>
      </c>
      <c r="K1939" s="12">
        <v>100.0</v>
      </c>
      <c r="L1939" s="13" t="str">
        <f>IF(D1939&lt;&gt;"",VLOOKUP(H1939,TABLEITEM,2,FALSE),"")</f>
        <v/>
      </c>
      <c r="M1939" s="13" t="str">
        <f>IF(D1939&lt;&gt;"",VLOOKUP(H1939,TABLEITEM,3,FALSE),"")</f>
        <v>กุญแจเขาควายกันน้ำMS-306-2-1</v>
      </c>
      <c r="N1939" s="14">
        <f>INSTOCK!$I1939*INSTOCK!$K1939</f>
        <v>20000</v>
      </c>
      <c r="O1939" s="4"/>
      <c r="P1939" s="4"/>
    </row>
    <row r="1940" ht="15.75" hidden="1" customHeight="1">
      <c r="B1940" s="8">
        <v>2259.0</v>
      </c>
      <c r="C1940" s="9">
        <v>43509.0</v>
      </c>
      <c r="D1940" s="6">
        <v>6.2020386E8</v>
      </c>
      <c r="E1940" s="4">
        <v>6.20200023E9</v>
      </c>
      <c r="F1940" s="8" t="s">
        <v>604</v>
      </c>
      <c r="G1940" s="4" t="s">
        <v>1130</v>
      </c>
      <c r="H1940" s="10" t="s">
        <v>1555</v>
      </c>
      <c r="I1940" s="10">
        <v>10.0</v>
      </c>
      <c r="J1940" s="11" t="str">
        <f>IF(D1940&lt;&gt;"",VLOOKUP(H1940,TABLEITEM,5,FALSE),"")</f>
        <v>EA</v>
      </c>
      <c r="K1940" s="12">
        <v>40.0</v>
      </c>
      <c r="L1940" s="13" t="str">
        <f>IF(D1940&lt;&gt;"",VLOOKUP(H1940,TABLEITEM,2,FALSE),"")</f>
        <v/>
      </c>
      <c r="M1940" s="13" t="str">
        <f>IF(D1940&lt;&gt;"",VLOOKUP(H1940,TABLEITEM,3,FALSE),"")</f>
        <v>SOCKET PYF-08A-E </v>
      </c>
      <c r="N1940" s="14">
        <f>INSTOCK!$I1940*INSTOCK!$K1940</f>
        <v>400</v>
      </c>
      <c r="O1940" s="4"/>
      <c r="P1940" s="4"/>
    </row>
    <row r="1941" ht="15.75" hidden="1" customHeight="1">
      <c r="B1941" s="8">
        <v>2260.0</v>
      </c>
      <c r="C1941" s="9">
        <v>43509.0</v>
      </c>
      <c r="D1941" s="6" t="s">
        <v>2609</v>
      </c>
      <c r="E1941" s="4" t="s">
        <v>2610</v>
      </c>
      <c r="F1941" s="8" t="s">
        <v>2602</v>
      </c>
      <c r="G1941" s="4" t="s">
        <v>1516</v>
      </c>
      <c r="H1941" s="10" t="s">
        <v>2611</v>
      </c>
      <c r="I1941" s="10">
        <v>3.0</v>
      </c>
      <c r="J1941" s="11" t="str">
        <f>IF(D1941&lt;&gt;"",VLOOKUP(H1941,TABLEITEM,5,FALSE),"")</f>
        <v>EA</v>
      </c>
      <c r="K1941" s="12">
        <v>1824.0</v>
      </c>
      <c r="L1941" s="13" t="str">
        <f>IF(D1941&lt;&gt;"",VLOOKUP(H1941,TABLEITEM,2,FALSE),"")</f>
        <v/>
      </c>
      <c r="M1941" s="13" t="str">
        <f>IF(D1941&lt;&gt;"",VLOOKUP(H1941,TABLEITEM,3,FALSE),"")</f>
        <v>C120N 2P 100A C 10000A 415V MINIATURE</v>
      </c>
      <c r="N1941" s="14">
        <f>INSTOCK!$I1941*INSTOCK!$K1941</f>
        <v>5472</v>
      </c>
      <c r="O1941" s="4" t="s">
        <v>2612</v>
      </c>
      <c r="P1941" s="4"/>
    </row>
    <row r="1942" ht="15.75" hidden="1" customHeight="1">
      <c r="B1942" s="8">
        <v>2261.0</v>
      </c>
      <c r="C1942" s="9">
        <v>43509.0</v>
      </c>
      <c r="D1942" s="6" t="s">
        <v>2613</v>
      </c>
      <c r="E1942" s="4">
        <v>6.202000224E9</v>
      </c>
      <c r="F1942" s="8" t="s">
        <v>2549</v>
      </c>
      <c r="G1942" s="4" t="s">
        <v>1587</v>
      </c>
      <c r="H1942" s="10" t="s">
        <v>2614</v>
      </c>
      <c r="I1942" s="10">
        <v>1.0</v>
      </c>
      <c r="J1942" s="11" t="str">
        <f>IF(D1942&lt;&gt;"",VLOOKUP(H1942,TABLEITEM,5,FALSE),"")</f>
        <v>EA</v>
      </c>
      <c r="K1942" s="12">
        <v>6750.0</v>
      </c>
      <c r="L1942" s="13" t="str">
        <f>IF(D1942&lt;&gt;"",VLOOKUP(H1942,TABLEITEM,2,FALSE),"")</f>
        <v/>
      </c>
      <c r="M1942" s="13" t="str">
        <f>IF(D1942&lt;&gt;"",VLOOKUP(H1942,TABLEITEM,3,FALSE),"")</f>
        <v>มัลติมิเตอร์ ME96SsEA-MB 3P3W/3P4W 5/1A</v>
      </c>
      <c r="N1942" s="14">
        <f>INSTOCK!$I1942*INSTOCK!$K1942</f>
        <v>6750</v>
      </c>
      <c r="O1942" s="4"/>
      <c r="P1942" s="4"/>
    </row>
    <row r="1943" ht="15.75" hidden="1" customHeight="1">
      <c r="B1943" s="8">
        <v>2262.0</v>
      </c>
      <c r="C1943" s="9">
        <v>43509.0</v>
      </c>
      <c r="D1943" s="6" t="s">
        <v>2615</v>
      </c>
      <c r="E1943" s="4">
        <v>6.202000229E9</v>
      </c>
      <c r="F1943" s="8" t="s">
        <v>604</v>
      </c>
      <c r="G1943" s="4" t="s">
        <v>965</v>
      </c>
      <c r="H1943" s="10" t="s">
        <v>2616</v>
      </c>
      <c r="I1943" s="10">
        <v>10.0</v>
      </c>
      <c r="J1943" s="11" t="str">
        <f>IF(D1943&lt;&gt;"",VLOOKUP(H1943,TABLEITEM,5,FALSE),"")</f>
        <v>M</v>
      </c>
      <c r="K1943" s="12">
        <v>12.0</v>
      </c>
      <c r="L1943" s="13" t="str">
        <f>IF(D1943&lt;&gt;"",VLOOKUP(H1943,TABLEITEM,2,FALSE),"")</f>
        <v/>
      </c>
      <c r="M1943" s="13" t="str">
        <f>IF(D1943&lt;&gt;"",VLOOKUP(H1943,TABLEITEM,3,FALSE),"")</f>
        <v>สายยางน้ำ 5/8"</v>
      </c>
      <c r="N1943" s="14">
        <f>INSTOCK!$I1943*INSTOCK!$K1943</f>
        <v>120</v>
      </c>
      <c r="O1943" s="4"/>
      <c r="P1943" s="4"/>
    </row>
    <row r="1944" ht="15.75" hidden="1" customHeight="1">
      <c r="B1944" s="8">
        <v>2263.0</v>
      </c>
      <c r="C1944" s="9">
        <v>43510.0</v>
      </c>
      <c r="D1944" s="6" t="s">
        <v>2617</v>
      </c>
      <c r="E1944" s="4">
        <v>6.202000233E9</v>
      </c>
      <c r="F1944" s="8" t="s">
        <v>2618</v>
      </c>
      <c r="G1944" s="4" t="s">
        <v>2619</v>
      </c>
      <c r="H1944" s="10" t="s">
        <v>2620</v>
      </c>
      <c r="I1944" s="10">
        <v>6.0</v>
      </c>
      <c r="J1944" s="11" t="str">
        <f>IF(D1944&lt;&gt;"",VLOOKUP(H1944,TABLEITEM,5,FALSE),"")</f>
        <v>EA</v>
      </c>
      <c r="K1944" s="12">
        <v>500.0</v>
      </c>
      <c r="L1944" s="13" t="str">
        <f>IF(D1944&lt;&gt;"",VLOOKUP(H1944,TABLEITEM,2,FALSE),"")</f>
        <v/>
      </c>
      <c r="M1944" s="13" t="str">
        <f>IF(D1944&lt;&gt;"",VLOOKUP(H1944,TABLEITEM,3,FALSE),"")</f>
        <v>Fuse Base TL00/3 Bus-mounting Fuse Disconnector 3P 160A</v>
      </c>
      <c r="N1944" s="14">
        <f>INSTOCK!$I1944*INSTOCK!$K1944</f>
        <v>3000</v>
      </c>
      <c r="O1944" s="4" t="s">
        <v>2621</v>
      </c>
      <c r="P1944" s="4"/>
    </row>
    <row r="1945" ht="15.75" hidden="1" customHeight="1">
      <c r="B1945" s="8">
        <v>2264.0</v>
      </c>
      <c r="C1945" s="9">
        <v>43510.0</v>
      </c>
      <c r="D1945" s="6" t="s">
        <v>2617</v>
      </c>
      <c r="E1945" s="4">
        <v>6.202000233E9</v>
      </c>
      <c r="F1945" s="8" t="s">
        <v>2618</v>
      </c>
      <c r="G1945" s="4" t="s">
        <v>2619</v>
      </c>
      <c r="H1945" s="10" t="s">
        <v>2622</v>
      </c>
      <c r="I1945" s="10">
        <v>18.0</v>
      </c>
      <c r="J1945" s="11" t="str">
        <f>IF(D1945&lt;&gt;"",VLOOKUP(H1945,TABLEITEM,5,FALSE),"")</f>
        <v>EA</v>
      </c>
      <c r="K1945" s="12">
        <v>65.0</v>
      </c>
      <c r="L1945" s="13" t="str">
        <f>IF(D1945&lt;&gt;"",VLOOKUP(H1945,TABLEITEM,2,FALSE),"")</f>
        <v/>
      </c>
      <c r="M1945" s="13" t="str">
        <f>IF(D1945&lt;&gt;"",VLOOKUP(H1945,TABLEITEM,3,FALSE),"")</f>
        <v>Fuse Link NH00 Fuse Double Indicator gG-gL 125A</v>
      </c>
      <c r="N1945" s="14">
        <f>INSTOCK!$I1945*INSTOCK!$K1945</f>
        <v>1170</v>
      </c>
      <c r="O1945" s="4" t="s">
        <v>2623</v>
      </c>
      <c r="P1945" s="4"/>
    </row>
    <row r="1946" ht="15.75" hidden="1" customHeight="1">
      <c r="B1946" s="8">
        <v>2265.0</v>
      </c>
      <c r="C1946" s="9">
        <v>43511.0</v>
      </c>
      <c r="D1946" s="6" t="s">
        <v>2624</v>
      </c>
      <c r="E1946" s="4"/>
      <c r="F1946" s="8" t="s">
        <v>801</v>
      </c>
      <c r="G1946" s="4" t="s">
        <v>1417</v>
      </c>
      <c r="H1946" s="10" t="s">
        <v>803</v>
      </c>
      <c r="I1946" s="10">
        <v>15.0</v>
      </c>
      <c r="J1946" s="11" t="str">
        <f>IF(D1946&lt;&gt;"",VLOOKUP(H1946,TABLEITEM,5,FALSE),"")</f>
        <v>ถัง</v>
      </c>
      <c r="K1946" s="12">
        <v>981.31</v>
      </c>
      <c r="L1946" s="13" t="str">
        <f>IF(D1946&lt;&gt;"",VLOOKUP(H1946,TABLEITEM,2,FALSE),"")</f>
        <v/>
      </c>
      <c r="M1946" s="13" t="str">
        <f>IF(D1946&lt;&gt;"",VLOOKUP(H1946,TABLEITEM,3,FALSE),"")</f>
        <v>แก๊สหุงต้ม 48กก</v>
      </c>
      <c r="N1946" s="14">
        <f>INSTOCK!$I1946*INSTOCK!$K1946</f>
        <v>14719.65</v>
      </c>
      <c r="O1946" s="4"/>
      <c r="P1946" s="4"/>
    </row>
    <row r="1947" ht="15.75" hidden="1" customHeight="1">
      <c r="B1947" s="8">
        <v>2266.0</v>
      </c>
      <c r="C1947" s="9">
        <v>43509.0</v>
      </c>
      <c r="D1947" s="6" t="s">
        <v>2625</v>
      </c>
      <c r="E1947" s="4">
        <v>6.202000203E9</v>
      </c>
      <c r="F1947" s="8" t="s">
        <v>2542</v>
      </c>
      <c r="G1947" s="4" t="s">
        <v>2626</v>
      </c>
      <c r="H1947" s="10" t="s">
        <v>2627</v>
      </c>
      <c r="I1947" s="10">
        <v>200.0</v>
      </c>
      <c r="J1947" s="11" t="str">
        <f>IF(D1947&lt;&gt;"",VLOOKUP(H1947,TABLEITEM,5,FALSE),"")</f>
        <v>EA</v>
      </c>
      <c r="K1947" s="12">
        <v>2.5</v>
      </c>
      <c r="L1947" s="13" t="str">
        <f>IF(D1947&lt;&gt;"",VLOOKUP(H1947,TABLEITEM,2,FALSE),"")</f>
        <v/>
      </c>
      <c r="M1947" s="13" t="str">
        <f>IF(D1947&lt;&gt;"",VLOOKUP(H1947,TABLEITEM,3,FALSE),"")</f>
        <v>สปริงกด 0.7mm ID 6.0mm L 25.0mm ไม่ชุบ</v>
      </c>
      <c r="N1947" s="14">
        <f>INSTOCK!$I1947*INSTOCK!$K1947</f>
        <v>500</v>
      </c>
      <c r="O1947" s="4"/>
      <c r="P1947" s="4"/>
    </row>
    <row r="1948" ht="15.75" hidden="1" customHeight="1">
      <c r="B1948" s="8">
        <v>2267.0</v>
      </c>
      <c r="C1948" s="9">
        <v>43511.0</v>
      </c>
      <c r="D1948" s="6" t="s">
        <v>2628</v>
      </c>
      <c r="E1948" s="4">
        <v>6.202000235E9</v>
      </c>
      <c r="F1948" s="8" t="s">
        <v>2629</v>
      </c>
      <c r="G1948" s="4" t="s">
        <v>2630</v>
      </c>
      <c r="H1948" s="10" t="s">
        <v>2631</v>
      </c>
      <c r="I1948" s="10">
        <v>2.0</v>
      </c>
      <c r="J1948" s="11" t="str">
        <f>IF(D1948&lt;&gt;"",VLOOKUP(H1948,TABLEITEM,5,FALSE),"")</f>
        <v>EA</v>
      </c>
      <c r="K1948" s="12">
        <v>783.5</v>
      </c>
      <c r="L1948" s="13" t="str">
        <f>IF(D1948&lt;&gt;"",VLOOKUP(H1948,TABLEITEM,2,FALSE),"")</f>
        <v/>
      </c>
      <c r="M1948" s="13" t="str">
        <f>IF(D1948&lt;&gt;"",VLOOKUP(H1948,TABLEITEM,3,FALSE),"")</f>
        <v>RUBBER FLEX COLLET FOR VTA TAPPER</v>
      </c>
      <c r="N1948" s="14">
        <f>INSTOCK!$I1948*INSTOCK!$K1948</f>
        <v>1567</v>
      </c>
      <c r="O1948" s="4" t="s">
        <v>2632</v>
      </c>
      <c r="P1948" s="4"/>
    </row>
    <row r="1949" ht="15.75" hidden="1" customHeight="1">
      <c r="B1949" s="8">
        <v>2268.0</v>
      </c>
      <c r="C1949" s="9">
        <v>43514.0</v>
      </c>
      <c r="D1949" s="6" t="s">
        <v>2633</v>
      </c>
      <c r="E1949" s="4"/>
      <c r="F1949" s="8" t="s">
        <v>2634</v>
      </c>
      <c r="G1949" s="4" t="s">
        <v>2635</v>
      </c>
      <c r="H1949" s="10" t="s">
        <v>2636</v>
      </c>
      <c r="I1949" s="10">
        <v>571.5</v>
      </c>
      <c r="J1949" s="11" t="str">
        <f>IF(D1949&lt;&gt;"",VLOOKUP(H1949,TABLEITEM,5,FALSE),"")</f>
        <v>LOT</v>
      </c>
      <c r="K1949" s="12">
        <v>20.0</v>
      </c>
      <c r="L1949" s="13" t="str">
        <f>IF(D1949&lt;&gt;"",VLOOKUP(H1949,TABLEITEM,2,FALSE),"")</f>
        <v/>
      </c>
      <c r="M1949" s="13" t="str">
        <f>IF(D1949&lt;&gt;"",VLOOKUP(H1949,TABLEITEM,3,FALSE),"")</f>
        <v>ค่าคอม ตู้น้ำมัน</v>
      </c>
      <c r="N1949" s="14">
        <f>INSTOCK!$I1949*INSTOCK!$K1949</f>
        <v>11430</v>
      </c>
      <c r="O1949" s="4" t="s">
        <v>2637</v>
      </c>
      <c r="P1949" s="4"/>
    </row>
    <row r="1950" ht="15.75" hidden="1" customHeight="1">
      <c r="B1950" s="8">
        <v>2269.0</v>
      </c>
      <c r="C1950" s="9">
        <v>43504.0</v>
      </c>
      <c r="D1950" s="6" t="s">
        <v>2638</v>
      </c>
      <c r="E1950" s="4"/>
      <c r="F1950" s="8" t="s">
        <v>2639</v>
      </c>
      <c r="G1950" s="4" t="s">
        <v>2635</v>
      </c>
      <c r="H1950" s="10" t="s">
        <v>2636</v>
      </c>
      <c r="I1950" s="10">
        <v>952.5</v>
      </c>
      <c r="J1950" s="11" t="str">
        <f>IF(D1950&lt;&gt;"",VLOOKUP(H1950,TABLEITEM,5,FALSE),"")</f>
        <v>LOT</v>
      </c>
      <c r="K1950" s="12">
        <v>20.0</v>
      </c>
      <c r="L1950" s="13" t="str">
        <f>IF(D1950&lt;&gt;"",VLOOKUP(H1950,TABLEITEM,2,FALSE),"")</f>
        <v/>
      </c>
      <c r="M1950" s="13" t="str">
        <f>IF(D1950&lt;&gt;"",VLOOKUP(H1950,TABLEITEM,3,FALSE),"")</f>
        <v>ค่าคอม ตู้น้ำมัน</v>
      </c>
      <c r="N1950" s="14">
        <f>INSTOCK!$I1950*INSTOCK!$K1950</f>
        <v>19050</v>
      </c>
      <c r="O1950" s="4" t="s">
        <v>2640</v>
      </c>
      <c r="P1950" s="4"/>
    </row>
    <row r="1951" ht="15.75" hidden="1" customHeight="1">
      <c r="B1951" s="8">
        <v>2270.0</v>
      </c>
      <c r="C1951" s="9">
        <v>43516.0</v>
      </c>
      <c r="D1951" s="6" t="s">
        <v>2641</v>
      </c>
      <c r="E1951" s="4">
        <v>6.202000254E9</v>
      </c>
      <c r="F1951" s="8" t="s">
        <v>807</v>
      </c>
      <c r="G1951" s="4" t="s">
        <v>808</v>
      </c>
      <c r="H1951" s="10" t="s">
        <v>812</v>
      </c>
      <c r="I1951" s="10">
        <v>1.0</v>
      </c>
      <c r="J1951" s="11" t="str">
        <f>IF(D1951&lt;&gt;"",VLOOKUP(H1951,TABLEITEM,5,FALSE),"")</f>
        <v>ท่อ</v>
      </c>
      <c r="K1951" s="12">
        <v>2960.0</v>
      </c>
      <c r="L1951" s="13" t="str">
        <f>IF(D1951&lt;&gt;"",VLOOKUP(H1951,TABLEITEM,2,FALSE),"")</f>
        <v/>
      </c>
      <c r="M1951" s="13" t="str">
        <f>IF(D1951&lt;&gt;"",VLOOKUP(H1951,TABLEITEM,3,FALSE),"")</f>
        <v>ออกซิเจนเหลว ขนาด 148 คิว</v>
      </c>
      <c r="N1951" s="14">
        <f>INSTOCK!$I1951*INSTOCK!$K1951</f>
        <v>2960</v>
      </c>
      <c r="O1951" s="4"/>
      <c r="P1951" s="4"/>
    </row>
    <row r="1952" ht="15.75" hidden="1" customHeight="1">
      <c r="B1952" s="8">
        <v>2271.0</v>
      </c>
      <c r="C1952" s="9">
        <v>43511.0</v>
      </c>
      <c r="D1952" s="6">
        <v>37508.0</v>
      </c>
      <c r="E1952" s="4">
        <v>6.202000239E9</v>
      </c>
      <c r="F1952" s="8" t="s">
        <v>2598</v>
      </c>
      <c r="G1952" s="4" t="s">
        <v>696</v>
      </c>
      <c r="H1952" s="10" t="s">
        <v>2642</v>
      </c>
      <c r="I1952" s="10">
        <v>25.0</v>
      </c>
      <c r="J1952" s="11" t="str">
        <f>IF(D1952&lt;&gt;"",VLOOKUP(H1952,TABLEITEM,5,FALSE),"")</f>
        <v>EA</v>
      </c>
      <c r="K1952" s="12">
        <v>150.0</v>
      </c>
      <c r="L1952" s="13" t="str">
        <f>IF(D1952&lt;&gt;"",VLOOKUP(H1952,TABLEITEM,2,FALSE),"")</f>
        <v/>
      </c>
      <c r="M1952" s="13" t="str">
        <f>IF(D1952&lt;&gt;"",VLOOKUP(H1952,TABLEITEM,3,FALSE),"")</f>
        <v>อะคริลิคโฟมเทป 12mmx10M #4229</v>
      </c>
      <c r="N1952" s="14">
        <f>INSTOCK!$I1952*INSTOCK!$K1952</f>
        <v>3750</v>
      </c>
      <c r="O1952" s="4"/>
      <c r="P1952" s="4"/>
    </row>
    <row r="1953" ht="15.75" hidden="1" customHeight="1">
      <c r="B1953" s="8">
        <v>2272.0</v>
      </c>
      <c r="C1953" s="9">
        <v>43511.0</v>
      </c>
      <c r="D1953" s="6" t="s">
        <v>2643</v>
      </c>
      <c r="E1953" s="4">
        <v>6.202000228E9</v>
      </c>
      <c r="F1953" s="8" t="s">
        <v>604</v>
      </c>
      <c r="G1953" s="4" t="s">
        <v>1070</v>
      </c>
      <c r="H1953" s="10" t="s">
        <v>22</v>
      </c>
      <c r="I1953" s="10">
        <v>200.0</v>
      </c>
      <c r="J1953" s="11" t="str">
        <f>IF(D1953&lt;&gt;"",VLOOKUP(H1953,TABLEITEM,5,FALSE),"")</f>
        <v>EA</v>
      </c>
      <c r="K1953" s="12">
        <v>38.0</v>
      </c>
      <c r="L1953" s="13" t="str">
        <f>IF(D1953&lt;&gt;"",VLOOKUP(H1953,TABLEITEM,2,FALSE),"")</f>
        <v/>
      </c>
      <c r="M1953" s="13" t="str">
        <f>IF(D1953&lt;&gt;"",VLOOKUP(H1953,TABLEITEM,3,FALSE),"")</f>
        <v>ใบขัดซ้อน # 80</v>
      </c>
      <c r="N1953" s="14">
        <f>INSTOCK!$I1953*INSTOCK!$K1953</f>
        <v>7600</v>
      </c>
      <c r="O1953" s="4"/>
      <c r="P1953" s="4"/>
    </row>
    <row r="1954" ht="15.75" hidden="1" customHeight="1">
      <c r="B1954" s="8">
        <v>2273.0</v>
      </c>
      <c r="C1954" s="9">
        <v>43517.0</v>
      </c>
      <c r="D1954" s="6" t="s">
        <v>2644</v>
      </c>
      <c r="E1954" s="4">
        <v>6.202000253E9</v>
      </c>
      <c r="F1954" s="8" t="s">
        <v>2645</v>
      </c>
      <c r="G1954" s="4" t="s">
        <v>2350</v>
      </c>
      <c r="H1954" s="10" t="s">
        <v>2599</v>
      </c>
      <c r="I1954" s="10">
        <v>200.0</v>
      </c>
      <c r="J1954" s="11" t="str">
        <f>IF(D1954&lt;&gt;"",VLOOKUP(H1954,TABLEITEM,5,FALSE),"")</f>
        <v>KG.</v>
      </c>
      <c r="K1954" s="12">
        <v>122.0</v>
      </c>
      <c r="L1954" s="13" t="str">
        <f>IF(D1954&lt;&gt;"",VLOOKUP(H1954,TABLEITEM,2,FALSE),"")</f>
        <v/>
      </c>
      <c r="M1954" s="13" t="str">
        <f>IF(D1954&lt;&gt;"",VLOOKUP(H1954,TABLEITEM,3,FALSE),"")</f>
        <v>สีฝุ่น P9001A  สีเทาดำ</v>
      </c>
      <c r="N1954" s="14">
        <f>INSTOCK!$I1954*INSTOCK!$K1954</f>
        <v>24400</v>
      </c>
      <c r="O1954" s="4"/>
      <c r="P1954" s="4"/>
    </row>
    <row r="1955" ht="15.75" hidden="1" customHeight="1">
      <c r="B1955" s="8">
        <v>2274.0</v>
      </c>
      <c r="C1955" s="9">
        <v>43517.0</v>
      </c>
      <c r="D1955" s="6" t="s">
        <v>2644</v>
      </c>
      <c r="E1955" s="4">
        <v>6.202000253E9</v>
      </c>
      <c r="F1955" s="8" t="s">
        <v>2645</v>
      </c>
      <c r="G1955" s="4" t="s">
        <v>2350</v>
      </c>
      <c r="H1955" s="10" t="s">
        <v>2537</v>
      </c>
      <c r="I1955" s="10">
        <v>100.0</v>
      </c>
      <c r="J1955" s="11" t="str">
        <f>IF(D1955&lt;&gt;"",VLOOKUP(H1955,TABLEITEM,5,FALSE),"")</f>
        <v>KG.</v>
      </c>
      <c r="K1955" s="12">
        <v>122.0</v>
      </c>
      <c r="L1955" s="13" t="str">
        <f>IF(D1955&lt;&gt;"",VLOOKUP(H1955,TABLEITEM,2,FALSE),"")</f>
        <v/>
      </c>
      <c r="M1955" s="13" t="str">
        <f>IF(D1955&lt;&gt;"",VLOOKUP(H1955,TABLEITEM,3,FALSE),"")</f>
        <v>สีฝุ่น L4001  สีส้มภายนอก P2049A</v>
      </c>
      <c r="N1955" s="14">
        <f>INSTOCK!$I1955*INSTOCK!$K1955</f>
        <v>12200</v>
      </c>
      <c r="O1955" s="4"/>
      <c r="P1955" s="4"/>
    </row>
    <row r="1956" ht="15.75" hidden="1" customHeight="1">
      <c r="B1956" s="8">
        <v>2275.0</v>
      </c>
      <c r="C1956" s="9">
        <v>43517.0</v>
      </c>
      <c r="D1956" s="6" t="s">
        <v>2646</v>
      </c>
      <c r="E1956" s="4"/>
      <c r="F1956" s="8" t="s">
        <v>2542</v>
      </c>
      <c r="G1956" s="4" t="s">
        <v>898</v>
      </c>
      <c r="H1956" s="10" t="s">
        <v>2268</v>
      </c>
      <c r="I1956" s="10">
        <v>2.0</v>
      </c>
      <c r="J1956" s="11" t="str">
        <f>IF(D1956&lt;&gt;"",VLOOKUP(H1956,TABLEITEM,5,FALSE),"")</f>
        <v>LIT</v>
      </c>
      <c r="K1956" s="12">
        <v>420.0</v>
      </c>
      <c r="L1956" s="13" t="str">
        <f>IF(D1956&lt;&gt;"",VLOOKUP(H1956,TABLEITEM,2,FALSE),"")</f>
        <v/>
      </c>
      <c r="M1956" s="13" t="str">
        <f>IF(D1956&lt;&gt;"",VLOOKUP(H1956,TABLEITEM,3,FALSE),"")</f>
        <v>สีพ่นแห้งเร็ว(สีผสม)</v>
      </c>
      <c r="N1956" s="14">
        <f>INSTOCK!$I1956*INSTOCK!$K1956</f>
        <v>840</v>
      </c>
      <c r="O1956" s="4" t="s">
        <v>2360</v>
      </c>
      <c r="P1956" s="4"/>
    </row>
    <row r="1957" ht="15.75" hidden="1" customHeight="1">
      <c r="B1957" s="8">
        <v>2276.0</v>
      </c>
      <c r="C1957" s="9">
        <v>43517.0</v>
      </c>
      <c r="D1957" s="6" t="s">
        <v>2646</v>
      </c>
      <c r="E1957" s="4"/>
      <c r="F1957" s="8" t="s">
        <v>2542</v>
      </c>
      <c r="G1957" s="4" t="s">
        <v>898</v>
      </c>
      <c r="H1957" s="10" t="s">
        <v>2268</v>
      </c>
      <c r="I1957" s="10">
        <v>2.0</v>
      </c>
      <c r="J1957" s="11" t="str">
        <f>IF(D1957&lt;&gt;"",VLOOKUP(H1957,TABLEITEM,5,FALSE),"")</f>
        <v>LIT</v>
      </c>
      <c r="K1957" s="12">
        <v>380.0</v>
      </c>
      <c r="L1957" s="13" t="str">
        <f>IF(D1957&lt;&gt;"",VLOOKUP(H1957,TABLEITEM,2,FALSE),"")</f>
        <v/>
      </c>
      <c r="M1957" s="13" t="str">
        <f>IF(D1957&lt;&gt;"",VLOOKUP(H1957,TABLEITEM,3,FALSE),"")</f>
        <v>สีพ่นแห้งเร็ว(สีผสม)</v>
      </c>
      <c r="N1957" s="14">
        <f>INSTOCK!$I1957*INSTOCK!$K1957</f>
        <v>760</v>
      </c>
      <c r="O1957" s="4" t="s">
        <v>2647</v>
      </c>
      <c r="P1957" s="4"/>
    </row>
    <row r="1958" ht="15.75" hidden="1" customHeight="1">
      <c r="B1958" s="8">
        <v>2277.0</v>
      </c>
      <c r="C1958" s="9">
        <v>43516.0</v>
      </c>
      <c r="D1958" s="6" t="s">
        <v>2648</v>
      </c>
      <c r="E1958" s="4">
        <v>6.202000249E9</v>
      </c>
      <c r="F1958" s="8" t="s">
        <v>2598</v>
      </c>
      <c r="G1958" s="4" t="s">
        <v>1777</v>
      </c>
      <c r="H1958" s="10" t="s">
        <v>2402</v>
      </c>
      <c r="I1958" s="10">
        <v>10000.0</v>
      </c>
      <c r="J1958" s="11" t="str">
        <f>IF(D1958&lt;&gt;"",VLOOKUP(H1958,TABLEITEM,5,FALSE),"")</f>
        <v>EA</v>
      </c>
      <c r="K1958" s="12">
        <v>0.256</v>
      </c>
      <c r="L1958" s="13" t="str">
        <f>IF(D1958&lt;&gt;"",VLOOKUP(H1958,TABLEITEM,2,FALSE),"")</f>
        <v/>
      </c>
      <c r="M1958" s="13" t="str">
        <f>IF(D1958&lt;&gt;"",VLOOKUP(H1958,TABLEITEM,3,FALSE),"")</f>
        <v>สกรูหัวหมวก  M6x15</v>
      </c>
      <c r="N1958" s="14">
        <f>INSTOCK!$I1958*INSTOCK!$K1958</f>
        <v>2560</v>
      </c>
      <c r="O1958" s="4" t="s">
        <v>2403</v>
      </c>
      <c r="P1958" s="4"/>
    </row>
    <row r="1959" ht="15.75" hidden="1" customHeight="1">
      <c r="B1959" s="8">
        <v>2278.0</v>
      </c>
      <c r="C1959" s="9">
        <v>43516.0</v>
      </c>
      <c r="D1959" s="6" t="s">
        <v>2648</v>
      </c>
      <c r="E1959" s="4">
        <v>6.202000249E9</v>
      </c>
      <c r="F1959" s="8" t="s">
        <v>2598</v>
      </c>
      <c r="G1959" s="4" t="s">
        <v>1777</v>
      </c>
      <c r="H1959" s="10" t="s">
        <v>2418</v>
      </c>
      <c r="I1959" s="10">
        <v>2000.0</v>
      </c>
      <c r="J1959" s="11" t="str">
        <f>IF(D1959&lt;&gt;"",VLOOKUP(H1959,TABLEITEM,5,FALSE),"")</f>
        <v>EA</v>
      </c>
      <c r="K1959" s="12">
        <v>0.091</v>
      </c>
      <c r="L1959" s="13" t="str">
        <f>IF(D1959&lt;&gt;"",VLOOKUP(H1959,TABLEITEM,2,FALSE),"")</f>
        <v/>
      </c>
      <c r="M1959" s="13" t="str">
        <f>IF(D1959&lt;&gt;"",VLOOKUP(H1959,TABLEITEM,3,FALSE),"")</f>
        <v>สกรูเตเปอร์ M4x10</v>
      </c>
      <c r="N1959" s="14">
        <f>INSTOCK!$I1959*INSTOCK!$K1959</f>
        <v>182</v>
      </c>
      <c r="O1959" s="4" t="s">
        <v>2419</v>
      </c>
      <c r="P1959" s="4"/>
    </row>
    <row r="1960" ht="15.75" hidden="1" customHeight="1">
      <c r="B1960" s="8">
        <v>2279.0</v>
      </c>
      <c r="C1960" s="9">
        <v>43516.0</v>
      </c>
      <c r="D1960" s="6" t="s">
        <v>2648</v>
      </c>
      <c r="E1960" s="4">
        <v>6.202000249E9</v>
      </c>
      <c r="F1960" s="8" t="s">
        <v>2598</v>
      </c>
      <c r="G1960" s="4" t="s">
        <v>1777</v>
      </c>
      <c r="H1960" s="10" t="s">
        <v>2169</v>
      </c>
      <c r="I1960" s="10">
        <v>11000.0</v>
      </c>
      <c r="J1960" s="11" t="str">
        <f>IF(D1960&lt;&gt;"",VLOOKUP(H1960,TABLEITEM,5,FALSE),"")</f>
        <v>EA</v>
      </c>
      <c r="K1960" s="12">
        <v>0.085</v>
      </c>
      <c r="L1960" s="13" t="str">
        <f>IF(D1960&lt;&gt;"",VLOOKUP(H1960,TABLEITEM,2,FALSE),"")</f>
        <v/>
      </c>
      <c r="M1960" s="13" t="str">
        <f>IF(D1960&lt;&gt;"",VLOOKUP(H1960,TABLEITEM,3,FALSE),"")</f>
        <v>หัวน้อต       M4   ชุบขาว</v>
      </c>
      <c r="N1960" s="14">
        <f>INSTOCK!$I1960*INSTOCK!$K1960</f>
        <v>935</v>
      </c>
      <c r="O1960" s="4" t="s">
        <v>2649</v>
      </c>
      <c r="P1960" s="4"/>
    </row>
    <row r="1961" ht="15.75" hidden="1" customHeight="1">
      <c r="B1961" s="8">
        <v>2280.0</v>
      </c>
      <c r="C1961" s="9">
        <v>43516.0</v>
      </c>
      <c r="D1961" s="6" t="s">
        <v>2648</v>
      </c>
      <c r="E1961" s="4">
        <v>6.202000249E9</v>
      </c>
      <c r="F1961" s="8" t="s">
        <v>2598</v>
      </c>
      <c r="G1961" s="4" t="s">
        <v>1777</v>
      </c>
      <c r="H1961" s="10" t="s">
        <v>2426</v>
      </c>
      <c r="I1961" s="10">
        <v>2000.0</v>
      </c>
      <c r="J1961" s="11" t="str">
        <f>IF(D1961&lt;&gt;"",VLOOKUP(H1961,TABLEITEM,5,FALSE),"")</f>
        <v>EA</v>
      </c>
      <c r="K1961" s="12">
        <v>0.3</v>
      </c>
      <c r="L1961" s="13" t="str">
        <f>IF(D1961&lt;&gt;"",VLOOKUP(H1961,TABLEITEM,2,FALSE),"")</f>
        <v/>
      </c>
      <c r="M1961" s="13" t="str">
        <f>IF(D1961&lt;&gt;"",VLOOKUP(H1961,TABLEITEM,3,FALSE),"")</f>
        <v>หัวน็อตล็อค M4</v>
      </c>
      <c r="N1961" s="14">
        <f>INSTOCK!$I1961*INSTOCK!$K1961</f>
        <v>600</v>
      </c>
      <c r="O1961" s="4" t="s">
        <v>2170</v>
      </c>
      <c r="P1961" s="4"/>
    </row>
    <row r="1962" ht="15.75" hidden="1" customHeight="1">
      <c r="B1962" s="8">
        <v>2281.0</v>
      </c>
      <c r="C1962" s="9">
        <v>43514.0</v>
      </c>
      <c r="D1962" s="6" t="s">
        <v>2650</v>
      </c>
      <c r="E1962" s="4">
        <v>6.201000084E9</v>
      </c>
      <c r="F1962" s="8" t="s">
        <v>604</v>
      </c>
      <c r="G1962" s="4" t="s">
        <v>2651</v>
      </c>
      <c r="H1962" s="10" t="s">
        <v>2652</v>
      </c>
      <c r="I1962" s="10">
        <v>500.0</v>
      </c>
      <c r="J1962" s="11" t="str">
        <f>IF(D1962&lt;&gt;"",VLOOKUP(H1962,TABLEITEM,5,FALSE),"")</f>
        <v>M</v>
      </c>
      <c r="K1962" s="12">
        <v>100.0</v>
      </c>
      <c r="L1962" s="13" t="str">
        <f>IF(D1962&lt;&gt;"",VLOOKUP(H1962,TABLEITEM,2,FALSE),"")</f>
        <v/>
      </c>
      <c r="M1962" s="13" t="str">
        <f>IF(D1962&lt;&gt;"",VLOOKUP(H1962,TABLEITEM,3,FALSE),"")</f>
        <v>ยางขอบกระจก ร่อง 3-6 มิล </v>
      </c>
      <c r="N1962" s="14">
        <f>INSTOCK!$I1962*INSTOCK!$K1962</f>
        <v>50000</v>
      </c>
      <c r="O1962" s="4" t="s">
        <v>2653</v>
      </c>
      <c r="P1962" s="4"/>
    </row>
    <row r="1963" ht="15.75" hidden="1" customHeight="1">
      <c r="B1963" s="8">
        <v>2282.0</v>
      </c>
      <c r="C1963" s="9">
        <v>43514.0</v>
      </c>
      <c r="D1963" s="6" t="s">
        <v>2654</v>
      </c>
      <c r="E1963" s="4" t="s">
        <v>2655</v>
      </c>
      <c r="F1963" s="8" t="s">
        <v>604</v>
      </c>
      <c r="G1963" s="4" t="s">
        <v>2651</v>
      </c>
      <c r="H1963" s="10" t="s">
        <v>2652</v>
      </c>
      <c r="I1963" s="10">
        <v>500.0</v>
      </c>
      <c r="J1963" s="11" t="str">
        <f>IF(D1963&lt;&gt;"",VLOOKUP(H1963,TABLEITEM,5,FALSE),"")</f>
        <v>M</v>
      </c>
      <c r="K1963" s="12">
        <v>100.0</v>
      </c>
      <c r="L1963" s="13" t="str">
        <f>IF(D1963&lt;&gt;"",VLOOKUP(H1963,TABLEITEM,2,FALSE),"")</f>
        <v/>
      </c>
      <c r="M1963" s="13" t="str">
        <f>IF(D1963&lt;&gt;"",VLOOKUP(H1963,TABLEITEM,3,FALSE),"")</f>
        <v>ยางขอบกระจก ร่อง 3-6 มิล </v>
      </c>
      <c r="N1963" s="14">
        <f>INSTOCK!$I1963*INSTOCK!$K1963</f>
        <v>50000</v>
      </c>
      <c r="O1963" s="4" t="s">
        <v>2653</v>
      </c>
      <c r="P1963" s="4"/>
    </row>
    <row r="1964" ht="15.75" hidden="1" customHeight="1">
      <c r="B1964" s="8">
        <v>2283.0</v>
      </c>
      <c r="C1964" s="9">
        <v>43514.0</v>
      </c>
      <c r="D1964" s="6" t="s">
        <v>2656</v>
      </c>
      <c r="E1964" s="4">
        <v>6.20200021E9</v>
      </c>
      <c r="F1964" s="8" t="s">
        <v>2542</v>
      </c>
      <c r="G1964" s="4" t="s">
        <v>2626</v>
      </c>
      <c r="H1964" s="10" t="s">
        <v>2657</v>
      </c>
      <c r="I1964" s="10">
        <v>6000.0</v>
      </c>
      <c r="J1964" s="11" t="str">
        <f>IF(D1964&lt;&gt;"",VLOOKUP(H1964,TABLEITEM,5,FALSE),"")</f>
        <v>EA</v>
      </c>
      <c r="K1964" s="12">
        <v>3.0</v>
      </c>
      <c r="L1964" s="13" t="str">
        <f>IF(D1964&lt;&gt;"",VLOOKUP(H1964,TABLEITEM,2,FALSE),"")</f>
        <v/>
      </c>
      <c r="M1964" s="13" t="str">
        <f>IF(D1964&lt;&gt;"",VLOOKUP(H1964,TABLEITEM,3,FALSE),"")</f>
        <v>สปริงกด 0.7mm ID 6.0mm L 25.0mm ชุบรุ้ง</v>
      </c>
      <c r="N1964" s="14">
        <f>INSTOCK!$I1964*INSTOCK!$K1964</f>
        <v>18000</v>
      </c>
      <c r="O1964" s="4"/>
      <c r="P1964" s="4"/>
    </row>
    <row r="1965" ht="15.75" hidden="1" customHeight="1">
      <c r="B1965" s="8">
        <v>2284.0</v>
      </c>
      <c r="C1965" s="9">
        <v>43512.0</v>
      </c>
      <c r="D1965" s="6" t="s">
        <v>2658</v>
      </c>
      <c r="E1965" s="4">
        <v>6.202000238E9</v>
      </c>
      <c r="F1965" s="8" t="s">
        <v>2595</v>
      </c>
      <c r="G1965" s="4" t="s">
        <v>798</v>
      </c>
      <c r="H1965" s="10" t="s">
        <v>122</v>
      </c>
      <c r="I1965" s="10">
        <v>100.0</v>
      </c>
      <c r="J1965" s="11" t="str">
        <f>IF(D1965&lt;&gt;"",VLOOKUP(H1965,TABLEITEM,5,FALSE),"")</f>
        <v>EA</v>
      </c>
      <c r="K1965" s="12">
        <v>31.0</v>
      </c>
      <c r="L1965" s="13" t="str">
        <f>IF(D1965&lt;&gt;"",VLOOKUP(H1965,TABLEITEM,2,FALSE),"")</f>
        <v/>
      </c>
      <c r="M1965" s="13" t="str">
        <f>IF(D1965&lt;&gt;"",VLOOKUP(H1965,TABLEITEM,3,FALSE),"")</f>
        <v>กุญแจล็อคเกอร์1C-157-03-C01</v>
      </c>
      <c r="N1965" s="14">
        <f>INSTOCK!$I1965*INSTOCK!$K1965</f>
        <v>3100</v>
      </c>
      <c r="O1965" s="4"/>
      <c r="P1965" s="4"/>
    </row>
    <row r="1966" ht="15.75" hidden="1" customHeight="1">
      <c r="B1966" s="8">
        <v>2285.0</v>
      </c>
      <c r="C1966" s="9">
        <v>43514.0</v>
      </c>
      <c r="D1966" s="6" t="s">
        <v>2659</v>
      </c>
      <c r="E1966" s="4">
        <v>6.202000248E9</v>
      </c>
      <c r="F1966" s="8" t="s">
        <v>2598</v>
      </c>
      <c r="G1966" s="4" t="s">
        <v>2121</v>
      </c>
      <c r="H1966" s="10" t="s">
        <v>2432</v>
      </c>
      <c r="I1966" s="10">
        <v>5000.0</v>
      </c>
      <c r="J1966" s="11" t="str">
        <f>IF(D1966&lt;&gt;"",VLOOKUP(H1966,TABLEITEM,5,FALSE),"")</f>
        <v>EA</v>
      </c>
      <c r="K1966" s="12">
        <v>0.37</v>
      </c>
      <c r="L1966" s="13" t="str">
        <f>IF(D1966&lt;&gt;"",VLOOKUP(H1966,TABLEITEM,2,FALSE),"")</f>
        <v/>
      </c>
      <c r="M1966" s="13" t="str">
        <f>IF(D1966&lt;&gt;"",VLOOKUP(H1966,TABLEITEM,3,FALSE),"")</f>
        <v>สกรูเกลียวปล่อยปลายตัด M4x10</v>
      </c>
      <c r="N1966" s="14">
        <f>INSTOCK!$I1966*INSTOCK!$K1966</f>
        <v>1850</v>
      </c>
      <c r="O1966" s="4"/>
      <c r="P1966" s="4"/>
    </row>
    <row r="1967" ht="15.75" hidden="1" customHeight="1">
      <c r="B1967" s="8">
        <v>2286.0</v>
      </c>
      <c r="C1967" s="9">
        <v>43512.0</v>
      </c>
      <c r="D1967" s="6" t="s">
        <v>2660</v>
      </c>
      <c r="E1967" s="4">
        <v>6.202000206E9</v>
      </c>
      <c r="F1967" s="8" t="s">
        <v>604</v>
      </c>
      <c r="G1967" s="4" t="s">
        <v>2121</v>
      </c>
      <c r="H1967" s="10" t="s">
        <v>2122</v>
      </c>
      <c r="I1967" s="10">
        <v>300.0</v>
      </c>
      <c r="J1967" s="11" t="str">
        <f>IF(D1967&lt;&gt;"",VLOOKUP(H1967,TABLEITEM,5,FALSE),"")</f>
        <v>EA</v>
      </c>
      <c r="K1967" s="12">
        <v>30.0</v>
      </c>
      <c r="L1967" s="13" t="str">
        <f>IF(D1967&lt;&gt;"",VLOOKUP(H1967,TABLEITEM,2,FALSE),"")</f>
        <v/>
      </c>
      <c r="M1967" s="13" t="str">
        <f>IF(D1967&lt;&gt;"",VLOOKUP(H1967,TABLEITEM,3,FALSE),"")</f>
        <v>ห่วงตู้ M12 ชุบขาว</v>
      </c>
      <c r="N1967" s="14">
        <f>INSTOCK!$I1967*INSTOCK!$K1967</f>
        <v>9000</v>
      </c>
      <c r="O1967" s="4"/>
      <c r="P1967" s="4"/>
    </row>
    <row r="1968" ht="15.75" hidden="1" customHeight="1">
      <c r="B1968" s="8">
        <v>2287.0</v>
      </c>
      <c r="C1968" s="9">
        <v>43518.0</v>
      </c>
      <c r="D1968" s="6" t="s">
        <v>2661</v>
      </c>
      <c r="E1968" s="4">
        <v>6.202000265E9</v>
      </c>
      <c r="F1968" s="8" t="s">
        <v>2598</v>
      </c>
      <c r="G1968" s="4" t="s">
        <v>2121</v>
      </c>
      <c r="H1968" s="10" t="s">
        <v>2432</v>
      </c>
      <c r="I1968" s="10">
        <v>10000.0</v>
      </c>
      <c r="J1968" s="11" t="str">
        <f>IF(D1968&lt;&gt;"",VLOOKUP(H1968,TABLEITEM,5,FALSE),"")</f>
        <v>EA</v>
      </c>
      <c r="K1968" s="12">
        <v>0.37</v>
      </c>
      <c r="L1968" s="13" t="str">
        <f>IF(D1968&lt;&gt;"",VLOOKUP(H1968,TABLEITEM,2,FALSE),"")</f>
        <v/>
      </c>
      <c r="M1968" s="13" t="str">
        <f>IF(D1968&lt;&gt;"",VLOOKUP(H1968,TABLEITEM,3,FALSE),"")</f>
        <v>สกรูเกลียวปล่อยปลายตัด M4x10</v>
      </c>
      <c r="N1968" s="14">
        <f>INSTOCK!$I1968*INSTOCK!$K1968</f>
        <v>3700</v>
      </c>
      <c r="O1968" s="4"/>
      <c r="P1968" s="4"/>
    </row>
    <row r="1969" ht="15.75" hidden="1" customHeight="1">
      <c r="B1969" s="8">
        <v>2288.0</v>
      </c>
      <c r="C1969" s="9">
        <v>43516.0</v>
      </c>
      <c r="D1969" s="6" t="s">
        <v>2662</v>
      </c>
      <c r="E1969" s="4">
        <v>6.202000256E9</v>
      </c>
      <c r="F1969" s="8" t="s">
        <v>2663</v>
      </c>
      <c r="G1969" s="4" t="s">
        <v>1070</v>
      </c>
      <c r="H1969" s="10" t="s">
        <v>2664</v>
      </c>
      <c r="I1969" s="10">
        <v>1.0</v>
      </c>
      <c r="J1969" s="11" t="str">
        <f>IF(D1969&lt;&gt;"",VLOOKUP(H1969,TABLEITEM,5,FALSE),"")</f>
        <v>EA</v>
      </c>
      <c r="K1969" s="12">
        <v>2600.0</v>
      </c>
      <c r="L1969" s="13" t="str">
        <f>IF(D1969&lt;&gt;"",VLOOKUP(H1969,TABLEITEM,2,FALSE),"")</f>
        <v/>
      </c>
      <c r="M1969" s="13" t="str">
        <f>IF(D1969&lt;&gt;"",VLOOKUP(H1969,TABLEITEM,3,FALSE),"")</f>
        <v>สายเชื่อม CO2 WELDING TORCH 200A PANA END</v>
      </c>
      <c r="N1969" s="14">
        <f>INSTOCK!$I1969*INSTOCK!$K1969</f>
        <v>2600</v>
      </c>
      <c r="O1969" s="4"/>
      <c r="P1969" s="4"/>
    </row>
    <row r="1970" ht="15.75" hidden="1" customHeight="1">
      <c r="B1970" s="8">
        <v>2289.0</v>
      </c>
      <c r="C1970" s="9">
        <v>43517.0</v>
      </c>
      <c r="D1970" s="6" t="s">
        <v>2665</v>
      </c>
      <c r="E1970" s="4">
        <v>6.202000266E9</v>
      </c>
      <c r="F1970" s="8" t="s">
        <v>2666</v>
      </c>
      <c r="G1970" s="4" t="s">
        <v>2320</v>
      </c>
      <c r="H1970" s="10" t="s">
        <v>513</v>
      </c>
      <c r="I1970" s="10">
        <v>300.0</v>
      </c>
      <c r="J1970" s="11" t="str">
        <f>IF(D1970&lt;&gt;"",VLOOKUP(H1970,TABLEITEM,5,FALSE),"")</f>
        <v>M</v>
      </c>
      <c r="K1970" s="12">
        <v>35.955</v>
      </c>
      <c r="L1970" s="13" t="str">
        <f>IF(D1970&lt;&gt;"",VLOOKUP(H1970,TABLEITEM,2,FALSE),"")</f>
        <v>wire</v>
      </c>
      <c r="M1970" s="13" t="str">
        <f>IF(D1970&lt;&gt;"",VLOOKUP(H1970,TABLEITEM,3,FALSE),"")</f>
        <v>สายTHW ขนาด 1x16 SQMM.สีดำ</v>
      </c>
      <c r="N1970" s="14">
        <f>INSTOCK!$I1970*INSTOCK!$K1970</f>
        <v>10786.5</v>
      </c>
      <c r="O1970" s="4" t="s">
        <v>1476</v>
      </c>
      <c r="P1970" s="4"/>
    </row>
    <row r="1971" ht="15.75" hidden="1" customHeight="1">
      <c r="B1971" s="8">
        <v>2290.0</v>
      </c>
      <c r="C1971" s="9">
        <v>43518.0</v>
      </c>
      <c r="D1971" s="6" t="s">
        <v>2667</v>
      </c>
      <c r="E1971" s="4">
        <v>6.202000247E9</v>
      </c>
      <c r="F1971" s="8" t="s">
        <v>2598</v>
      </c>
      <c r="G1971" s="4" t="s">
        <v>1537</v>
      </c>
      <c r="H1971" s="10" t="s">
        <v>1538</v>
      </c>
      <c r="I1971" s="10">
        <v>5000.0</v>
      </c>
      <c r="J1971" s="11" t="str">
        <f>IF(D1971&lt;&gt;"",VLOOKUP(H1971,TABLEITEM,5,FALSE),"")</f>
        <v>EA</v>
      </c>
      <c r="K1971" s="12">
        <v>1.55</v>
      </c>
      <c r="L1971" s="13" t="str">
        <f>IF(D1971&lt;&gt;"",VLOOKUP(H1971,TABLEITEM,2,FALSE),"")</f>
        <v/>
      </c>
      <c r="M1971" s="13" t="str">
        <f>IF(D1971&lt;&gt;"",VLOOKUP(H1971,TABLEITEM,3,FALSE),"")</f>
        <v>รีเวท M6 / ลูกยิงป๊อบนัท M6</v>
      </c>
      <c r="N1971" s="14">
        <f>INSTOCK!$I1971*INSTOCK!$K1971</f>
        <v>7750</v>
      </c>
      <c r="O1971" s="4"/>
      <c r="P1971" s="4"/>
    </row>
    <row r="1972" ht="15.75" hidden="1" customHeight="1">
      <c r="B1972" s="8">
        <v>2291.0</v>
      </c>
      <c r="C1972" s="9">
        <v>43517.0</v>
      </c>
      <c r="D1972" s="6">
        <v>84699.0</v>
      </c>
      <c r="E1972" s="4">
        <v>6.20100014E9</v>
      </c>
      <c r="F1972" s="8" t="s">
        <v>604</v>
      </c>
      <c r="G1972" s="4" t="s">
        <v>2589</v>
      </c>
      <c r="H1972" s="10" t="s">
        <v>2668</v>
      </c>
      <c r="I1972" s="10">
        <v>2000.0</v>
      </c>
      <c r="J1972" s="11" t="str">
        <f>IF(D1972&lt;&gt;"",VLOOKUP(H1972,TABLEITEM,5,FALSE),"")</f>
        <v>EA</v>
      </c>
      <c r="K1972" s="12">
        <v>1.15</v>
      </c>
      <c r="L1972" s="13" t="str">
        <f>IF(D1972&lt;&gt;"",VLOOKUP(H1972,TABLEITEM,2,FALSE),"")</f>
        <v/>
      </c>
      <c r="M1972" s="13" t="str">
        <f>IF(D1972&lt;&gt;"",VLOOKUP(H1972,TABLEITEM,3,FALSE),"")</f>
        <v>สตัด M5x10</v>
      </c>
      <c r="N1972" s="14">
        <f>INSTOCK!$I1972*INSTOCK!$K1972</f>
        <v>2300</v>
      </c>
      <c r="O1972" s="4"/>
      <c r="P1972" s="4"/>
    </row>
    <row r="1973" ht="15.75" hidden="1" customHeight="1">
      <c r="B1973" s="8">
        <v>2292.0</v>
      </c>
      <c r="C1973" s="9">
        <v>43153.0</v>
      </c>
      <c r="D1973" s="6" t="s">
        <v>2669</v>
      </c>
      <c r="E1973" s="4">
        <v>6.202000267E9</v>
      </c>
      <c r="F1973" s="8" t="s">
        <v>604</v>
      </c>
      <c r="G1973" s="4" t="s">
        <v>665</v>
      </c>
      <c r="H1973" s="10" t="s">
        <v>462</v>
      </c>
      <c r="I1973" s="10">
        <v>1500.0</v>
      </c>
      <c r="J1973" s="11" t="str">
        <f>IF(D1973&lt;&gt;"",VLOOKUP(H1973,TABLEITEM,5,FALSE),"")</f>
        <v>M</v>
      </c>
      <c r="K1973" s="12">
        <v>5.0</v>
      </c>
      <c r="L1973" s="13" t="str">
        <f>IF(D1973&lt;&gt;"",VLOOKUP(H1973,TABLEITEM,2,FALSE),"")</f>
        <v>wire</v>
      </c>
      <c r="M1973" s="13" t="str">
        <f>IF(D1973&lt;&gt;"",VLOOKUP(H1973,TABLEITEM,3,FALSE),"")</f>
        <v>สายไฟ VSF1x1 SQMM.สีเหลือง</v>
      </c>
      <c r="N1973" s="14">
        <f>INSTOCK!$I1973*INSTOCK!$K1973</f>
        <v>7500</v>
      </c>
      <c r="O1973" s="4"/>
      <c r="P1973" s="4"/>
    </row>
    <row r="1974" ht="15.75" hidden="1" customHeight="1">
      <c r="B1974" s="8">
        <v>2293.0</v>
      </c>
      <c r="C1974" s="9">
        <v>43517.0</v>
      </c>
      <c r="D1974" s="6" t="s">
        <v>2670</v>
      </c>
      <c r="E1974" s="4"/>
      <c r="F1974" s="8" t="s">
        <v>2671</v>
      </c>
      <c r="G1974" s="4" t="s">
        <v>2672</v>
      </c>
      <c r="H1974" s="10" t="s">
        <v>2673</v>
      </c>
      <c r="I1974" s="10">
        <v>16.0</v>
      </c>
      <c r="J1974" s="11" t="str">
        <f>IF(D1974&lt;&gt;"",VLOOKUP(H1974,TABLEITEM,5,FALSE),"")</f>
        <v>EA</v>
      </c>
      <c r="K1974" s="12">
        <v>144.0</v>
      </c>
      <c r="L1974" s="13" t="str">
        <f>IF(D1974&lt;&gt;"",VLOOKUP(H1974,TABLEITEM,2,FALSE),"")</f>
        <v/>
      </c>
      <c r="M1974" s="13" t="str">
        <f>IF(D1974&lt;&gt;"",VLOOKUP(H1974,TABLEITEM,3,FALSE),"")</f>
        <v>Toggle Clamp KC-431</v>
      </c>
      <c r="N1974" s="14">
        <f>INSTOCK!$I1974*INSTOCK!$K1974</f>
        <v>2304</v>
      </c>
      <c r="O1974" s="4"/>
      <c r="P1974" s="4"/>
    </row>
    <row r="1975" ht="15.75" hidden="1" customHeight="1">
      <c r="B1975" s="8">
        <v>2294.0</v>
      </c>
      <c r="C1975" s="9">
        <v>43517.0</v>
      </c>
      <c r="D1975" s="6" t="s">
        <v>2670</v>
      </c>
      <c r="E1975" s="4"/>
      <c r="F1975" s="8" t="s">
        <v>2671</v>
      </c>
      <c r="G1975" s="4" t="s">
        <v>2672</v>
      </c>
      <c r="H1975" s="10" t="s">
        <v>2674</v>
      </c>
      <c r="I1975" s="10">
        <v>16.0</v>
      </c>
      <c r="J1975" s="11" t="str">
        <f>IF(D1975&lt;&gt;"",VLOOKUP(H1975,TABLEITEM,5,FALSE),"")</f>
        <v>EA</v>
      </c>
      <c r="K1975" s="12">
        <v>207.0</v>
      </c>
      <c r="L1975" s="13" t="str">
        <f>IF(D1975&lt;&gt;"",VLOOKUP(H1975,TABLEITEM,2,FALSE),"")</f>
        <v/>
      </c>
      <c r="M1975" s="13" t="str">
        <f>IF(D1975&lt;&gt;"",VLOOKUP(H1975,TABLEITEM,3,FALSE),"")</f>
        <v>Toggle Clamp KC-40341</v>
      </c>
      <c r="N1975" s="14">
        <f>INSTOCK!$I1975*INSTOCK!$K1975</f>
        <v>3312</v>
      </c>
      <c r="O1975" s="4"/>
      <c r="P1975" s="4"/>
    </row>
    <row r="1976" ht="15.75" hidden="1" customHeight="1">
      <c r="B1976" s="8">
        <v>2295.0</v>
      </c>
      <c r="C1976" s="9">
        <v>43512.0</v>
      </c>
      <c r="D1976" s="6" t="s">
        <v>2675</v>
      </c>
      <c r="E1976" s="4">
        <v>6.202000242E9</v>
      </c>
      <c r="F1976" s="8" t="s">
        <v>604</v>
      </c>
      <c r="G1976" s="4" t="s">
        <v>729</v>
      </c>
      <c r="H1976" s="10" t="s">
        <v>27</v>
      </c>
      <c r="I1976" s="10">
        <v>1500.0</v>
      </c>
      <c r="J1976" s="11" t="str">
        <f>IF(D1976&lt;&gt;"",VLOOKUP(H1976,TABLEITEM,5,FALSE),"")</f>
        <v>M</v>
      </c>
      <c r="K1976" s="12">
        <v>12.0</v>
      </c>
      <c r="L1976" s="13" t="str">
        <f>IF(D1976&lt;&gt;"",VLOOKUP(H1976,TABLEITEM,2,FALSE),"")</f>
        <v/>
      </c>
      <c r="M1976" s="13" t="str">
        <f>IF(D1976&lt;&gt;"",VLOOKUP(H1976,TABLEITEM,3,FALSE),"")</f>
        <v>ยางฟองน้ำ 3/4''x3/16''</v>
      </c>
      <c r="N1976" s="14">
        <f>INSTOCK!$I1976*INSTOCK!$K1976</f>
        <v>18000</v>
      </c>
      <c r="O1976" s="4"/>
      <c r="P1976" s="4"/>
    </row>
    <row r="1977" ht="15.75" hidden="1" customHeight="1">
      <c r="B1977" s="8">
        <v>2296.0</v>
      </c>
      <c r="C1977" s="9">
        <v>43518.0</v>
      </c>
      <c r="D1977" s="6" t="s">
        <v>2676</v>
      </c>
      <c r="E1977" s="4">
        <v>6.202000264E9</v>
      </c>
      <c r="F1977" s="8" t="s">
        <v>604</v>
      </c>
      <c r="G1977" s="4" t="s">
        <v>721</v>
      </c>
      <c r="H1977" s="10" t="s">
        <v>159</v>
      </c>
      <c r="I1977" s="10">
        <v>2000.0</v>
      </c>
      <c r="J1977" s="11" t="str">
        <f>IF(D1977&lt;&gt;"",VLOOKUP(H1977,TABLEITEM,5,FALSE),"")</f>
        <v>EA</v>
      </c>
      <c r="K1977" s="12">
        <v>0.1164</v>
      </c>
      <c r="L1977" s="13" t="str">
        <f>IF(D1977&lt;&gt;"",VLOOKUP(H1977,TABLEITEM,2,FALSE),"")</f>
        <v/>
      </c>
      <c r="M1977" s="13" t="str">
        <f>IF(D1977&lt;&gt;"",VLOOKUP(H1977,TABLEITEM,3,FALSE),"")</f>
        <v>เคเบิ้ลไทร์ 4" สีขาวCT-100-2C</v>
      </c>
      <c r="N1977" s="14">
        <f>INSTOCK!$I1977*INSTOCK!$K1977</f>
        <v>232.8</v>
      </c>
      <c r="O1977" s="4" t="s">
        <v>1217</v>
      </c>
      <c r="P1977" s="4"/>
    </row>
    <row r="1978" ht="15.75" hidden="1" customHeight="1">
      <c r="B1978" s="8">
        <v>2297.0</v>
      </c>
      <c r="C1978" s="9">
        <v>43518.0</v>
      </c>
      <c r="D1978" s="6" t="s">
        <v>2676</v>
      </c>
      <c r="E1978" s="4">
        <v>6.202000264E9</v>
      </c>
      <c r="F1978" s="8" t="s">
        <v>604</v>
      </c>
      <c r="G1978" s="4" t="s">
        <v>721</v>
      </c>
      <c r="H1978" s="10" t="s">
        <v>160</v>
      </c>
      <c r="I1978" s="10">
        <v>2000.0</v>
      </c>
      <c r="J1978" s="11" t="str">
        <f>IF(D1978&lt;&gt;"",VLOOKUP(H1978,TABLEITEM,5,FALSE),"")</f>
        <v>EA</v>
      </c>
      <c r="K1978" s="12">
        <v>0.1164</v>
      </c>
      <c r="L1978" s="13" t="str">
        <f>IF(D1978&lt;&gt;"",VLOOKUP(H1978,TABLEITEM,2,FALSE),"")</f>
        <v/>
      </c>
      <c r="M1978" s="13" t="str">
        <f>IF(D1978&lt;&gt;"",VLOOKUP(H1978,TABLEITEM,3,FALSE),"")</f>
        <v>เคเบิ้ลไทร์ 4" สีดำCT-100-B-2C</v>
      </c>
      <c r="N1978" s="14">
        <f>INSTOCK!$I1978*INSTOCK!$K1978</f>
        <v>232.8</v>
      </c>
      <c r="O1978" s="4" t="s">
        <v>1217</v>
      </c>
      <c r="P1978" s="4"/>
    </row>
    <row r="1979" ht="15.75" hidden="1" customHeight="1">
      <c r="B1979" s="8">
        <v>2298.0</v>
      </c>
      <c r="C1979" s="9">
        <v>43518.0</v>
      </c>
      <c r="D1979" s="6" t="s">
        <v>2676</v>
      </c>
      <c r="E1979" s="4">
        <v>6.202000264E9</v>
      </c>
      <c r="F1979" s="8" t="s">
        <v>604</v>
      </c>
      <c r="G1979" s="4" t="s">
        <v>721</v>
      </c>
      <c r="H1979" s="10" t="s">
        <v>164</v>
      </c>
      <c r="I1979" s="10">
        <v>2000.0</v>
      </c>
      <c r="J1979" s="11" t="str">
        <f>IF(D1979&lt;&gt;"",VLOOKUP(H1979,TABLEITEM,5,FALSE),"")</f>
        <v>EA</v>
      </c>
      <c r="K1979" s="12">
        <v>0.4074</v>
      </c>
      <c r="L1979" s="13" t="str">
        <f>IF(D1979&lt;&gt;"",VLOOKUP(H1979,TABLEITEM,2,FALSE),"")</f>
        <v/>
      </c>
      <c r="M1979" s="13" t="str">
        <f>IF(D1979&lt;&gt;"",VLOOKUP(H1979,TABLEITEM,3,FALSE),"")</f>
        <v>เคเบิ้ลไทร์ 8" สีดำCT-200B-3C</v>
      </c>
      <c r="N1979" s="14">
        <f>INSTOCK!$I1979*INSTOCK!$K1979</f>
        <v>814.8</v>
      </c>
      <c r="O1979" s="4" t="s">
        <v>1219</v>
      </c>
      <c r="P1979" s="4"/>
    </row>
    <row r="1980" ht="15.75" hidden="1" customHeight="1">
      <c r="B1980" s="8">
        <v>2299.0</v>
      </c>
      <c r="C1980" s="9">
        <v>43518.0</v>
      </c>
      <c r="D1980" s="6" t="s">
        <v>2676</v>
      </c>
      <c r="E1980" s="4">
        <v>6.202000264E9</v>
      </c>
      <c r="F1980" s="8" t="s">
        <v>604</v>
      </c>
      <c r="G1980" s="4" t="s">
        <v>721</v>
      </c>
      <c r="H1980" s="10" t="s">
        <v>173</v>
      </c>
      <c r="I1980" s="10">
        <v>700.0</v>
      </c>
      <c r="J1980" s="11" t="str">
        <f>IF(D1980&lt;&gt;"",VLOOKUP(H1980,TABLEITEM,5,FALSE),"")</f>
        <v>EA</v>
      </c>
      <c r="K1980" s="12">
        <v>1.95455</v>
      </c>
      <c r="L1980" s="13" t="str">
        <f>IF(D1980&lt;&gt;"",VLOOKUP(H1980,TABLEITEM,2,FALSE),"")</f>
        <v/>
      </c>
      <c r="M1980" s="13" t="str">
        <f>IF(D1980&lt;&gt;"",VLOOKUP(H1980,TABLEITEM,3,FALSE),"")</f>
        <v>แป้นกาวเล็กTM2121-4WP</v>
      </c>
      <c r="N1980" s="14">
        <f>INSTOCK!$I1980*INSTOCK!$K1980</f>
        <v>1368.185</v>
      </c>
      <c r="O1980" s="4" t="s">
        <v>1405</v>
      </c>
      <c r="P1980" s="4"/>
    </row>
    <row r="1981" ht="15.75" hidden="1" customHeight="1">
      <c r="B1981" s="8">
        <v>2300.0</v>
      </c>
      <c r="C1981" s="9">
        <v>43518.0</v>
      </c>
      <c r="D1981" s="6">
        <v>37572.0</v>
      </c>
      <c r="E1981" s="4">
        <v>6.202000259E9</v>
      </c>
      <c r="F1981" s="8" t="s">
        <v>604</v>
      </c>
      <c r="G1981" s="4" t="s">
        <v>696</v>
      </c>
      <c r="H1981" s="10" t="s">
        <v>2677</v>
      </c>
      <c r="I1981" s="10">
        <v>12.0</v>
      </c>
      <c r="J1981" s="11" t="str">
        <f>IF(D1981&lt;&gt;"",VLOOKUP(H1981,TABLEITEM,5,FALSE),"")</f>
        <v>EA</v>
      </c>
      <c r="K1981" s="12">
        <v>80.0</v>
      </c>
      <c r="L1981" s="13" t="str">
        <f>IF(D1981&lt;&gt;"",VLOOKUP(H1981,TABLEITEM,2,FALSE),"")</f>
        <v/>
      </c>
      <c r="M1981" s="13" t="str">
        <f>IF(D1981&lt;&gt;"",VLOOKUP(H1981,TABLEITEM,3,FALSE),"")</f>
        <v>ผ้ากันเปื้อนแบบยีนส์ </v>
      </c>
      <c r="N1981" s="14">
        <f>INSTOCK!$I1981*INSTOCK!$K1981</f>
        <v>960</v>
      </c>
      <c r="O1981" s="4"/>
      <c r="P1981" s="4"/>
    </row>
    <row r="1982" ht="15.75" hidden="1" customHeight="1">
      <c r="B1982" s="8">
        <v>2301.0</v>
      </c>
      <c r="C1982" s="9">
        <v>43518.0</v>
      </c>
      <c r="D1982" s="6" t="s">
        <v>2678</v>
      </c>
      <c r="E1982" s="4">
        <v>6.202000274E9</v>
      </c>
      <c r="F1982" s="8" t="s">
        <v>604</v>
      </c>
      <c r="G1982" s="4" t="s">
        <v>2679</v>
      </c>
      <c r="H1982" s="10" t="s">
        <v>2680</v>
      </c>
      <c r="I1982" s="10">
        <v>20.0</v>
      </c>
      <c r="J1982" s="11" t="str">
        <f>IF(D1982&lt;&gt;"",VLOOKUP(H1982,TABLEITEM,5,FALSE),"")</f>
        <v>แผ่น</v>
      </c>
      <c r="K1982" s="12">
        <v>2350.0</v>
      </c>
      <c r="L1982" s="13" t="str">
        <f>IF(D1982&lt;&gt;"",VLOOKUP(H1982,TABLEITEM,2,FALSE),"")</f>
        <v/>
      </c>
      <c r="M1982" s="13" t="str">
        <f>IF(D1982&lt;&gt;"",VLOOKUP(H1982,TABLEITEM,3,FALSE),"")</f>
        <v>GRAVOGRAPH (CLEAR) WHITE</v>
      </c>
      <c r="N1982" s="14">
        <f>INSTOCK!$I1982*INSTOCK!$K1982</f>
        <v>47000</v>
      </c>
      <c r="O1982" s="4"/>
      <c r="P1982" s="4"/>
    </row>
    <row r="1983" ht="15.75" hidden="1" customHeight="1">
      <c r="B1983" s="8">
        <v>2302.0</v>
      </c>
      <c r="C1983" s="9">
        <v>43516.0</v>
      </c>
      <c r="D1983" s="6" t="s">
        <v>2681</v>
      </c>
      <c r="E1983" s="4">
        <v>6.202000255E9</v>
      </c>
      <c r="F1983" s="8" t="s">
        <v>807</v>
      </c>
      <c r="G1983" s="4" t="s">
        <v>2460</v>
      </c>
      <c r="H1983" s="10" t="s">
        <v>2682</v>
      </c>
      <c r="I1983" s="10">
        <v>5.0</v>
      </c>
      <c r="J1983" s="11" t="str">
        <f>IF(D1983&lt;&gt;"",VLOOKUP(H1983,TABLEITEM,5,FALSE),"")</f>
        <v>EA</v>
      </c>
      <c r="K1983" s="12">
        <v>460.0</v>
      </c>
      <c r="L1983" s="13" t="str">
        <f>IF(D1983&lt;&gt;"",VLOOKUP(H1983,TABLEITEM,2,FALSE),"")</f>
        <v/>
      </c>
      <c r="M1983" s="13" t="str">
        <f>IF(D1983&lt;&gt;"",VLOOKUP(H1983,TABLEITEM,3,FALSE),"")</f>
        <v>SINGLE NOZZLE S2.0 CODE AA501057</v>
      </c>
      <c r="N1983" s="14">
        <f>INSTOCK!$I1983*INSTOCK!$K1983</f>
        <v>2300</v>
      </c>
      <c r="O1983" s="4"/>
      <c r="P1983" s="4"/>
    </row>
    <row r="1984" ht="15.75" hidden="1" customHeight="1">
      <c r="B1984" s="8">
        <v>2303.0</v>
      </c>
      <c r="C1984" s="9">
        <v>43517.0</v>
      </c>
      <c r="D1984" s="6" t="s">
        <v>2683</v>
      </c>
      <c r="E1984" s="4">
        <v>6.202000271E9</v>
      </c>
      <c r="F1984" s="8" t="s">
        <v>1989</v>
      </c>
      <c r="G1984" s="4" t="s">
        <v>2014</v>
      </c>
      <c r="H1984" s="10" t="s">
        <v>2016</v>
      </c>
      <c r="I1984" s="10">
        <v>5.0</v>
      </c>
      <c r="J1984" s="11" t="str">
        <f>IF(D1984&lt;&gt;"",VLOOKUP(H1984,TABLEITEM,5,FALSE),"")</f>
        <v>EA</v>
      </c>
      <c r="K1984" s="12">
        <v>271.03</v>
      </c>
      <c r="L1984" s="13" t="str">
        <f>IF(D1984&lt;&gt;"",VLOOKUP(H1984,TABLEITEM,2,FALSE),"")</f>
        <v/>
      </c>
      <c r="M1984" s="13" t="str">
        <f>IF(D1984&lt;&gt;"",VLOOKUP(H1984,TABLEITEM,3,FALSE),"")</f>
        <v>เม้าส์ออฟฟิต สีดำ Logitech M100R</v>
      </c>
      <c r="N1984" s="14">
        <f>INSTOCK!$I1984*INSTOCK!$K1984</f>
        <v>1355.15</v>
      </c>
      <c r="O1984" s="4"/>
      <c r="P1984" s="4"/>
    </row>
    <row r="1985" ht="15.75" hidden="1" customHeight="1">
      <c r="B1985" s="8">
        <v>2304.0</v>
      </c>
      <c r="C1985" s="9">
        <v>43517.0</v>
      </c>
      <c r="D1985" s="6" t="s">
        <v>2683</v>
      </c>
      <c r="E1985" s="4">
        <v>6.202000271E9</v>
      </c>
      <c r="F1985" s="8" t="s">
        <v>1989</v>
      </c>
      <c r="G1985" s="4" t="s">
        <v>2014</v>
      </c>
      <c r="H1985" s="10" t="s">
        <v>2684</v>
      </c>
      <c r="I1985" s="10">
        <v>2.0</v>
      </c>
      <c r="J1985" s="11" t="str">
        <f>IF(D1985&lt;&gt;"",VLOOKUP(H1985,TABLEITEM,5,FALSE),"")</f>
        <v>EA</v>
      </c>
      <c r="K1985" s="12">
        <v>107.48</v>
      </c>
      <c r="L1985" s="13" t="str">
        <f>IF(D1985&lt;&gt;"",VLOOKUP(H1985,TABLEITEM,2,FALSE),"")</f>
        <v/>
      </c>
      <c r="M1985" s="13" t="str">
        <f>IF(D1985&lt;&gt;"",VLOOKUP(H1985,TABLEITEM,3,FALSE),"")</f>
        <v>สมุดปกอ่อน 60แกรม 80แผ่น (6เล่ม/แพ็ค)วีนัส F980-9</v>
      </c>
      <c r="N1985" s="14">
        <f>INSTOCK!$I1985*INSTOCK!$K1985</f>
        <v>214.96</v>
      </c>
      <c r="O1985" s="4"/>
      <c r="P1985" s="4"/>
    </row>
    <row r="1986" ht="15.75" hidden="1" customHeight="1">
      <c r="B1986" s="8">
        <v>2305.0</v>
      </c>
      <c r="C1986" s="9">
        <v>43511.0</v>
      </c>
      <c r="D1986" s="6" t="s">
        <v>2366</v>
      </c>
      <c r="E1986" s="4">
        <v>6.202000234E9</v>
      </c>
      <c r="F1986" s="8" t="s">
        <v>2685</v>
      </c>
      <c r="G1986" s="4" t="s">
        <v>2686</v>
      </c>
      <c r="H1986" s="10" t="s">
        <v>2687</v>
      </c>
      <c r="I1986" s="10">
        <v>3.0</v>
      </c>
      <c r="J1986" s="11" t="str">
        <f>IF(D1986&lt;&gt;"",VLOOKUP(H1986,TABLEITEM,5,FALSE),"")</f>
        <v>EA</v>
      </c>
      <c r="K1986" s="12">
        <v>690.0</v>
      </c>
      <c r="L1986" s="13" t="str">
        <f>IF(D1986&lt;&gt;"",VLOOKUP(H1986,TABLEITEM,2,FALSE),"")</f>
        <v/>
      </c>
      <c r="M1986" s="13" t="str">
        <f>IF(D1986&lt;&gt;"",VLOOKUP(H1986,TABLEITEM,3,FALSE),"")</f>
        <v>CLAMPING SLEEVE 3,2/DIA8x44 TTW 4500RO</v>
      </c>
      <c r="N1986" s="14">
        <f>INSTOCK!$I1986*INSTOCK!$K1986</f>
        <v>2070</v>
      </c>
      <c r="O1986" s="4"/>
      <c r="P1986" s="4"/>
    </row>
    <row r="1987" ht="15.75" hidden="1" customHeight="1">
      <c r="B1987" s="8">
        <v>2306.0</v>
      </c>
      <c r="C1987" s="9">
        <v>43511.0</v>
      </c>
      <c r="D1987" s="6">
        <v>6201179.0</v>
      </c>
      <c r="E1987" s="4">
        <v>6.202000188E9</v>
      </c>
      <c r="F1987" s="8" t="s">
        <v>633</v>
      </c>
      <c r="G1987" s="4" t="s">
        <v>2688</v>
      </c>
      <c r="H1987" s="10" t="s">
        <v>2689</v>
      </c>
      <c r="I1987" s="10">
        <v>4.0</v>
      </c>
      <c r="J1987" s="11" t="str">
        <f>IF(D1987&lt;&gt;"",VLOOKUP(H1987,TABLEITEM,5,FALSE),"")</f>
        <v>SET</v>
      </c>
      <c r="K1987" s="12">
        <v>8000.0</v>
      </c>
      <c r="L1987" s="13" t="str">
        <f>IF(D1987&lt;&gt;"",VLOOKUP(H1987,TABLEITEM,2,FALSE),"")</f>
        <v/>
      </c>
      <c r="M1987" s="13" t="str">
        <f>IF(D1987&lt;&gt;"",VLOOKUP(H1987,TABLEITEM,3,FALSE),"")</f>
        <v>AUTODESK AUTOCAD LT COMMERCIAL MAINTENANCE (1YEAR)</v>
      </c>
      <c r="N1987" s="14">
        <f>INSTOCK!$I1987*INSTOCK!$K1987</f>
        <v>32000</v>
      </c>
      <c r="O1987" s="4"/>
      <c r="P1987" s="4"/>
    </row>
    <row r="1988" ht="15.75" hidden="1" customHeight="1">
      <c r="B1988" s="8">
        <v>2307.0</v>
      </c>
      <c r="C1988" s="9">
        <v>43521.0</v>
      </c>
      <c r="D1988" s="6" t="s">
        <v>2690</v>
      </c>
      <c r="E1988" s="4">
        <v>6.202000263E9</v>
      </c>
      <c r="F1988" s="8" t="s">
        <v>604</v>
      </c>
      <c r="G1988" s="4" t="s">
        <v>617</v>
      </c>
      <c r="H1988" s="10" t="s">
        <v>1361</v>
      </c>
      <c r="I1988" s="10">
        <v>50.0</v>
      </c>
      <c r="J1988" s="11" t="str">
        <f>IF(D1988&lt;&gt;"",VLOOKUP(H1988,TABLEITEM,5,FALSE),"")</f>
        <v>M</v>
      </c>
      <c r="K1988" s="12">
        <v>214.2</v>
      </c>
      <c r="L1988" s="13" t="str">
        <f>IF(D1988&lt;&gt;"",VLOOKUP(H1988,TABLEITEM,2,FALSE),"")</f>
        <v>Busbar</v>
      </c>
      <c r="M1988" s="13" t="str">
        <f>IF(D1988&lt;&gt;"",VLOOKUP(H1988,TABLEITEM,3,FALSE),"")</f>
        <v>บัสบาร์ทองแดง 20x5</v>
      </c>
      <c r="N1988" s="14">
        <f>INSTOCK!$I1988*INSTOCK!$K1988</f>
        <v>10710</v>
      </c>
      <c r="O1988" s="4" t="s">
        <v>2691</v>
      </c>
      <c r="P1988" s="4"/>
    </row>
    <row r="1989" ht="15.75" hidden="1" customHeight="1">
      <c r="B1989" s="8">
        <v>2308.0</v>
      </c>
      <c r="C1989" s="9">
        <v>43518.0</v>
      </c>
      <c r="D1989" s="6">
        <v>37588.0</v>
      </c>
      <c r="E1989" s="4">
        <v>6.202000279E9</v>
      </c>
      <c r="F1989" s="8" t="s">
        <v>2645</v>
      </c>
      <c r="G1989" s="4" t="s">
        <v>696</v>
      </c>
      <c r="H1989" s="10" t="s">
        <v>2692</v>
      </c>
      <c r="I1989" s="10">
        <v>200.0</v>
      </c>
      <c r="J1989" s="11" t="str">
        <f>IF(D1989&lt;&gt;"",VLOOKUP(H1989,TABLEITEM,5,FALSE),"")</f>
        <v>EA</v>
      </c>
      <c r="K1989" s="12">
        <v>22.0</v>
      </c>
      <c r="L1989" s="13" t="str">
        <f>IF(D1989&lt;&gt;"",VLOOKUP(H1989,TABLEITEM,2,FALSE),"")</f>
        <v/>
      </c>
      <c r="M1989" s="13" t="str">
        <f>IF(D1989&lt;&gt;"",VLOOKUP(H1989,TABLEITEM,3,FALSE),"")</f>
        <v>บานพับเหล็กถอดได้ 1 1/4"</v>
      </c>
      <c r="N1989" s="14">
        <f>INSTOCK!$I1989*INSTOCK!$K1989</f>
        <v>4400</v>
      </c>
      <c r="O1989" s="4"/>
      <c r="P1989" s="4"/>
    </row>
    <row r="1990" ht="15.75" hidden="1" customHeight="1">
      <c r="B1990" s="8">
        <v>2309.0</v>
      </c>
      <c r="C1990" s="9">
        <v>43519.0</v>
      </c>
      <c r="D1990" s="6" t="s">
        <v>2693</v>
      </c>
      <c r="E1990" s="4">
        <v>6.202000283E9</v>
      </c>
      <c r="F1990" s="8" t="s">
        <v>2598</v>
      </c>
      <c r="G1990" s="4" t="s">
        <v>2445</v>
      </c>
      <c r="H1990" s="18" t="s">
        <v>2694</v>
      </c>
      <c r="I1990" s="10">
        <v>10000.0</v>
      </c>
      <c r="J1990" s="11" t="str">
        <f>IF(D1990&lt;&gt;"",VLOOKUP(H1990,TABLEITEM,5,FALSE),"")</f>
        <v>EA</v>
      </c>
      <c r="K1990" s="12">
        <v>0.65</v>
      </c>
      <c r="L1990" s="13" t="str">
        <f>IF(D1990&lt;&gt;"",VLOOKUP(H1990,TABLEITEM,2,FALSE),"")</f>
        <v/>
      </c>
      <c r="M1990" s="13" t="str">
        <f>IF(D1990&lt;&gt;"",VLOOKUP(H1990,TABLEITEM,3,FALSE),"")</f>
        <v>สตัดแบบย้ำ Clinch Stud M4X10 Steel-Zinc Plate</v>
      </c>
      <c r="N1990" s="14">
        <f>INSTOCK!$I1990*INSTOCK!$K1990</f>
        <v>6500</v>
      </c>
      <c r="O1990" s="4"/>
      <c r="P1990" s="4"/>
    </row>
    <row r="1991" ht="15.75" hidden="1" customHeight="1">
      <c r="B1991" s="8">
        <v>2310.0</v>
      </c>
      <c r="C1991" s="9">
        <v>43521.0</v>
      </c>
      <c r="D1991" s="6" t="s">
        <v>2695</v>
      </c>
      <c r="E1991" s="4"/>
      <c r="F1991" s="8" t="s">
        <v>2645</v>
      </c>
      <c r="G1991" s="4" t="s">
        <v>898</v>
      </c>
      <c r="H1991" s="10" t="s">
        <v>2268</v>
      </c>
      <c r="I1991" s="10">
        <v>2.0</v>
      </c>
      <c r="J1991" s="11" t="str">
        <f>IF(D1991&lt;&gt;"",VLOOKUP(H1991,TABLEITEM,5,FALSE),"")</f>
        <v>LIT</v>
      </c>
      <c r="K1991" s="12">
        <v>400.0</v>
      </c>
      <c r="L1991" s="13" t="str">
        <f>IF(D1991&lt;&gt;"",VLOOKUP(H1991,TABLEITEM,2,FALSE),"")</f>
        <v/>
      </c>
      <c r="M1991" s="13" t="str">
        <f>IF(D1991&lt;&gt;"",VLOOKUP(H1991,TABLEITEM,3,FALSE),"")</f>
        <v>สีพ่นแห้งเร็ว(สีผสม)</v>
      </c>
      <c r="N1991" s="14">
        <f>INSTOCK!$I1991*INSTOCK!$K1991</f>
        <v>800</v>
      </c>
      <c r="O1991" s="4" t="s">
        <v>2696</v>
      </c>
      <c r="P1991" s="4"/>
    </row>
    <row r="1992" ht="15.75" hidden="1" customHeight="1">
      <c r="B1992" s="8">
        <v>2311.0</v>
      </c>
      <c r="C1992" s="9">
        <v>43518.0</v>
      </c>
      <c r="D1992" s="6" t="s">
        <v>2697</v>
      </c>
      <c r="E1992" s="4">
        <v>6.20200027E9</v>
      </c>
      <c r="F1992" s="8" t="s">
        <v>1989</v>
      </c>
      <c r="G1992" s="4" t="s">
        <v>1990</v>
      </c>
      <c r="H1992" s="10" t="s">
        <v>2698</v>
      </c>
      <c r="I1992" s="10">
        <v>1.0</v>
      </c>
      <c r="J1992" s="11" t="str">
        <f>IF(D1992&lt;&gt;"",VLOOKUP(H1992,TABLEITEM,5,FALSE),"")</f>
        <v>PACK</v>
      </c>
      <c r="K1992" s="12">
        <v>580.0</v>
      </c>
      <c r="L1992" s="13" t="str">
        <f>IF(D1992&lt;&gt;"",VLOOKUP(H1992,TABLEITEM,2,FALSE),"")</f>
        <v/>
      </c>
      <c r="M1992" s="13" t="str">
        <f>IF(D1992&lt;&gt;"",VLOOKUP(H1992,TABLEITEM,3,FALSE),"")</f>
        <v>กระดาษต่อเองเคมีในตัว ขาวล้วน IQ9x11" 2ชั่น ไม่มีเส้น</v>
      </c>
      <c r="N1992" s="14">
        <f>INSTOCK!$I1992*INSTOCK!$K1992</f>
        <v>580</v>
      </c>
      <c r="O1992" s="4"/>
      <c r="P1992" s="4"/>
    </row>
    <row r="1993" ht="15.75" hidden="1" customHeight="1">
      <c r="B1993" s="8">
        <v>2312.0</v>
      </c>
      <c r="C1993" s="9">
        <v>43518.0</v>
      </c>
      <c r="D1993" s="6" t="s">
        <v>2697</v>
      </c>
      <c r="E1993" s="4">
        <v>6.20200027E9</v>
      </c>
      <c r="F1993" s="8" t="s">
        <v>1989</v>
      </c>
      <c r="G1993" s="4" t="s">
        <v>1990</v>
      </c>
      <c r="H1993" s="10" t="s">
        <v>2699</v>
      </c>
      <c r="I1993" s="10">
        <v>6.0</v>
      </c>
      <c r="J1993" s="11" t="str">
        <f>IF(D1993&lt;&gt;"",VLOOKUP(H1993,TABLEITEM,5,FALSE),"")</f>
        <v>PACK</v>
      </c>
      <c r="K1993" s="12">
        <v>83.0</v>
      </c>
      <c r="L1993" s="13" t="str">
        <f>IF(D1993&lt;&gt;"",VLOOKUP(H1993,TABLEITEM,2,FALSE),"")</f>
        <v/>
      </c>
      <c r="M1993" s="13" t="str">
        <f>IF(D1993&lt;&gt;"",VLOOKUP(H1993,TABLEITEM,3,FALSE),"")</f>
        <v>ซองสี แอลคิว 555 เบอร์9(50ซอง)คละสีในกล่อง</v>
      </c>
      <c r="N1993" s="14">
        <f>INSTOCK!$I1993*INSTOCK!$K1993</f>
        <v>498</v>
      </c>
      <c r="O1993" s="4"/>
      <c r="P1993" s="4"/>
    </row>
    <row r="1994" ht="15.75" hidden="1" customHeight="1">
      <c r="B1994" s="8">
        <v>2313.0</v>
      </c>
      <c r="C1994" s="9">
        <v>43521.0</v>
      </c>
      <c r="D1994" s="6">
        <v>1.219020132E9</v>
      </c>
      <c r="E1994" s="4">
        <v>6.102000175E9</v>
      </c>
      <c r="F1994" s="8" t="s">
        <v>2700</v>
      </c>
      <c r="G1994" s="4" t="s">
        <v>2701</v>
      </c>
      <c r="H1994" s="10" t="s">
        <v>2702</v>
      </c>
      <c r="I1994" s="10">
        <v>1.0</v>
      </c>
      <c r="J1994" s="11" t="str">
        <f>IF(D1994&lt;&gt;"",VLOOKUP(H1994,TABLEITEM,5,FALSE),"")</f>
        <v>LOT</v>
      </c>
      <c r="K1994" s="12">
        <v>8200.0</v>
      </c>
      <c r="L1994" s="13" t="str">
        <f>IF(D1994&lt;&gt;"",VLOOKUP(H1994,TABLEITEM,2,FALSE),"")</f>
        <v/>
      </c>
      <c r="M1994" s="13" t="str">
        <f>IF(D1994&lt;&gt;"",VLOOKUP(H1994,TABLEITEM,3,FALSE),"")</f>
        <v>ค่าบริการตรวจเช็คเครน</v>
      </c>
      <c r="N1994" s="14">
        <f>INSTOCK!$I1994*INSTOCK!$K1994</f>
        <v>8200</v>
      </c>
      <c r="O1994" s="4"/>
      <c r="P1994" s="4"/>
    </row>
    <row r="1995" ht="15.75" hidden="1" customHeight="1">
      <c r="B1995" s="8">
        <v>2314.0</v>
      </c>
      <c r="C1995" s="9">
        <v>43519.0</v>
      </c>
      <c r="D1995" s="6" t="s">
        <v>2703</v>
      </c>
      <c r="E1995" s="4">
        <v>6.20200028E9</v>
      </c>
      <c r="F1995" s="8" t="s">
        <v>1626</v>
      </c>
      <c r="G1995" s="4" t="s">
        <v>965</v>
      </c>
      <c r="H1995" s="10" t="s">
        <v>2704</v>
      </c>
      <c r="I1995" s="10">
        <v>2.0</v>
      </c>
      <c r="J1995" s="11" t="str">
        <f>IF(D1995&lt;&gt;"",VLOOKUP(H1995,TABLEITEM,5,FALSE),"")</f>
        <v>EA</v>
      </c>
      <c r="K1995" s="12">
        <v>430.0</v>
      </c>
      <c r="L1995" s="13" t="str">
        <f>IF(D1995&lt;&gt;"",VLOOKUP(H1995,TABLEITEM,2,FALSE),"")</f>
        <v/>
      </c>
      <c r="M1995" s="13" t="str">
        <f>IF(D1995&lt;&gt;"",VLOOKUP(H1995,TABLEITEM,3,FALSE),"")</f>
        <v>ตะกั่วบัดกรี ขนาด 1ปอนด์</v>
      </c>
      <c r="N1995" s="14">
        <f>INSTOCK!$I1995*INSTOCK!$K1995</f>
        <v>860</v>
      </c>
      <c r="O1995" s="4"/>
      <c r="P1995" s="4"/>
    </row>
    <row r="1996" ht="15.75" hidden="1" customHeight="1">
      <c r="B1996" s="8">
        <v>2315.0</v>
      </c>
      <c r="C1996" s="9">
        <v>43519.0</v>
      </c>
      <c r="D1996" s="6" t="s">
        <v>2705</v>
      </c>
      <c r="E1996" s="4">
        <v>6.202000258E9</v>
      </c>
      <c r="F1996" s="8" t="s">
        <v>2663</v>
      </c>
      <c r="G1996" s="4" t="s">
        <v>965</v>
      </c>
      <c r="H1996" s="10" t="s">
        <v>2151</v>
      </c>
      <c r="I1996" s="10">
        <v>1.0</v>
      </c>
      <c r="J1996" s="11" t="str">
        <f>IF(D1996&lt;&gt;"",VLOOKUP(H1996,TABLEITEM,5,FALSE),"")</f>
        <v>EA</v>
      </c>
      <c r="K1996" s="12">
        <v>1400.0</v>
      </c>
      <c r="L1996" s="13" t="str">
        <f>IF(D1996&lt;&gt;"",VLOOKUP(H1996,TABLEITEM,2,FALSE),"")</f>
        <v/>
      </c>
      <c r="M1996" s="13" t="str">
        <f>IF(D1996&lt;&gt;"",VLOOKUP(H1996,TABLEITEM,3,FALSE),"")</f>
        <v>เครื่องเจียร์ 7-100 BOSCH</v>
      </c>
      <c r="N1996" s="14">
        <f>INSTOCK!$I1996*INSTOCK!$K1996</f>
        <v>1400</v>
      </c>
      <c r="O1996" s="4"/>
      <c r="P1996" s="4"/>
    </row>
    <row r="1997" ht="15.75" hidden="1" customHeight="1">
      <c r="B1997" s="8">
        <v>2316.0</v>
      </c>
      <c r="C1997" s="9">
        <v>43519.0</v>
      </c>
      <c r="D1997" s="6" t="s">
        <v>2706</v>
      </c>
      <c r="E1997" s="4">
        <v>6.202000202E9</v>
      </c>
      <c r="F1997" s="8" t="s">
        <v>604</v>
      </c>
      <c r="G1997" s="4" t="s">
        <v>965</v>
      </c>
      <c r="H1997" s="10" t="s">
        <v>2707</v>
      </c>
      <c r="I1997" s="10">
        <v>5.0</v>
      </c>
      <c r="J1997" s="11" t="str">
        <f>IF(D1997&lt;&gt;"",VLOOKUP(H1997,TABLEITEM,5,FALSE),"")</f>
        <v>EA</v>
      </c>
      <c r="K1997" s="12">
        <v>90.0</v>
      </c>
      <c r="L1997" s="13" t="str">
        <f>IF(D1997&lt;&gt;"",VLOOKUP(H1997,TABLEITEM,2,FALSE),"")</f>
        <v/>
      </c>
      <c r="M1997" s="13" t="str">
        <f>IF(D1997&lt;&gt;"",VLOOKUP(H1997,TABLEITEM,3,FALSE),"")</f>
        <v>คอปเปอร์ลม SP 40</v>
      </c>
      <c r="N1997" s="14">
        <f>INSTOCK!$I1997*INSTOCK!$K1997</f>
        <v>450</v>
      </c>
      <c r="O1997" s="4"/>
      <c r="P1997" s="4"/>
    </row>
    <row r="1998" ht="15.75" hidden="1" customHeight="1">
      <c r="B1998" s="8">
        <v>2317.0</v>
      </c>
      <c r="C1998" s="9">
        <v>43519.0</v>
      </c>
      <c r="D1998" s="6" t="s">
        <v>2706</v>
      </c>
      <c r="E1998" s="4">
        <v>6.202000202E9</v>
      </c>
      <c r="F1998" s="8" t="s">
        <v>604</v>
      </c>
      <c r="G1998" s="4" t="s">
        <v>965</v>
      </c>
      <c r="H1998" s="10" t="s">
        <v>2708</v>
      </c>
      <c r="I1998" s="10">
        <v>5.0</v>
      </c>
      <c r="J1998" s="11" t="str">
        <f>IF(D1998&lt;&gt;"",VLOOKUP(H1998,TABLEITEM,5,FALSE),"")</f>
        <v>EA</v>
      </c>
      <c r="K1998" s="12">
        <v>40.0</v>
      </c>
      <c r="L1998" s="13" t="str">
        <f>IF(D1998&lt;&gt;"",VLOOKUP(H1998,TABLEITEM,2,FALSE),"")</f>
        <v/>
      </c>
      <c r="M1998" s="13" t="str">
        <f>IF(D1998&lt;&gt;"",VLOOKUP(H1998,TABLEITEM,3,FALSE),"")</f>
        <v>ข้อต่อคอป้ปอร์ PP40</v>
      </c>
      <c r="N1998" s="14">
        <f>INSTOCK!$I1998*INSTOCK!$K1998</f>
        <v>200</v>
      </c>
      <c r="O1998" s="4"/>
      <c r="P1998" s="4"/>
    </row>
    <row r="1999" ht="15.75" hidden="1" customHeight="1">
      <c r="B1999" s="8">
        <v>2318.0</v>
      </c>
      <c r="C1999" s="9">
        <v>43519.0</v>
      </c>
      <c r="D1999" s="6" t="s">
        <v>2709</v>
      </c>
      <c r="E1999" s="4">
        <v>6.202000262E9</v>
      </c>
      <c r="F1999" s="8" t="s">
        <v>604</v>
      </c>
      <c r="G1999" s="4" t="s">
        <v>965</v>
      </c>
      <c r="H1999" s="10" t="s">
        <v>60</v>
      </c>
      <c r="I1999" s="10">
        <v>5.0</v>
      </c>
      <c r="J1999" s="11" t="str">
        <f>IF(D1999&lt;&gt;"",VLOOKUP(H1999,TABLEITEM,5,FALSE),"")</f>
        <v>EA</v>
      </c>
      <c r="K1999" s="12">
        <v>72.0</v>
      </c>
      <c r="L1999" s="13" t="str">
        <f>IF(D1999&lt;&gt;"",VLOOKUP(H1999,TABLEITEM,2,FALSE),"")</f>
        <v/>
      </c>
      <c r="M1999" s="13" t="str">
        <f>IF(D1999&lt;&gt;"",VLOOKUP(H1999,TABLEITEM,3,FALSE),"")</f>
        <v>กาวยาง</v>
      </c>
      <c r="N1999" s="14">
        <f>INSTOCK!$I1999*INSTOCK!$K1999</f>
        <v>360</v>
      </c>
      <c r="O1999" s="4"/>
      <c r="P1999" s="4"/>
    </row>
    <row r="2000" ht="15.75" hidden="1" customHeight="1">
      <c r="B2000" s="8">
        <v>2319.0</v>
      </c>
      <c r="C2000" s="9">
        <v>43519.0</v>
      </c>
      <c r="D2000" s="6" t="s">
        <v>2709</v>
      </c>
      <c r="E2000" s="4">
        <v>6.202000262E9</v>
      </c>
      <c r="F2000" s="8" t="s">
        <v>604</v>
      </c>
      <c r="G2000" s="4" t="s">
        <v>965</v>
      </c>
      <c r="H2000" s="10" t="s">
        <v>2152</v>
      </c>
      <c r="I2000" s="10">
        <v>10.0</v>
      </c>
      <c r="J2000" s="11" t="str">
        <f>IF(D2000&lt;&gt;"",VLOOKUP(H2000,TABLEITEM,5,FALSE),"")</f>
        <v>EA</v>
      </c>
      <c r="K2000" s="12">
        <v>30.0</v>
      </c>
      <c r="L2000" s="13" t="str">
        <f>IF(D2000&lt;&gt;"",VLOOKUP(H2000,TABLEITEM,2,FALSE),"")</f>
        <v/>
      </c>
      <c r="M2000" s="13" t="str">
        <f>IF(D2000&lt;&gt;"",VLOOKUP(H2000,TABLEITEM,3,FALSE),"")</f>
        <v>ไม้กวาดดอกหญ้า</v>
      </c>
      <c r="N2000" s="14">
        <f>INSTOCK!$I2000*INSTOCK!$K2000</f>
        <v>300</v>
      </c>
      <c r="O2000" s="4"/>
      <c r="P2000" s="4"/>
    </row>
    <row r="2001" ht="15.75" hidden="1" customHeight="1">
      <c r="B2001" s="8">
        <v>2320.0</v>
      </c>
      <c r="C2001" s="9">
        <v>43519.0</v>
      </c>
      <c r="D2001" s="6" t="s">
        <v>2709</v>
      </c>
      <c r="E2001" s="4">
        <v>6.202000262E9</v>
      </c>
      <c r="F2001" s="8" t="s">
        <v>604</v>
      </c>
      <c r="G2001" s="4" t="s">
        <v>965</v>
      </c>
      <c r="H2001" s="10" t="s">
        <v>2710</v>
      </c>
      <c r="I2001" s="10">
        <v>10.0</v>
      </c>
      <c r="J2001" s="11" t="str">
        <f>IF(D2001&lt;&gt;"",VLOOKUP(H2001,TABLEITEM,5,FALSE),"")</f>
        <v>แผ่น</v>
      </c>
      <c r="K2001" s="12">
        <v>12.0</v>
      </c>
      <c r="L2001" s="13" t="str">
        <f>IF(D2001&lt;&gt;"",VLOOKUP(H2001,TABLEITEM,2,FALSE),"")</f>
        <v/>
      </c>
      <c r="M2001" s="13" t="str">
        <f>IF(D2001&lt;&gt;"",VLOOKUP(H2001,TABLEITEM,3,FALSE),"")</f>
        <v>กระดาษทราย TOA เบอร์ 1000</v>
      </c>
      <c r="N2001" s="14">
        <f>INSTOCK!$I2001*INSTOCK!$K2001</f>
        <v>120</v>
      </c>
      <c r="O2001" s="4"/>
      <c r="P2001" s="4"/>
    </row>
    <row r="2002" ht="15.75" hidden="1" customHeight="1">
      <c r="B2002" s="8">
        <v>2321.0</v>
      </c>
      <c r="C2002" s="9">
        <v>43522.0</v>
      </c>
      <c r="D2002" s="6" t="s">
        <v>2711</v>
      </c>
      <c r="E2002" s="4"/>
      <c r="F2002" s="8" t="s">
        <v>2645</v>
      </c>
      <c r="G2002" s="4" t="s">
        <v>898</v>
      </c>
      <c r="H2002" s="10" t="s">
        <v>2268</v>
      </c>
      <c r="I2002" s="10">
        <v>2.0</v>
      </c>
      <c r="J2002" s="11" t="str">
        <f>IF(D2002&lt;&gt;"",VLOOKUP(H2002,TABLEITEM,5,FALSE),"")</f>
        <v>LIT</v>
      </c>
      <c r="K2002" s="12">
        <v>400.0</v>
      </c>
      <c r="L2002" s="13" t="str">
        <f>IF(D2002&lt;&gt;"",VLOOKUP(H2002,TABLEITEM,2,FALSE),"")</f>
        <v/>
      </c>
      <c r="M2002" s="13" t="str">
        <f>IF(D2002&lt;&gt;"",VLOOKUP(H2002,TABLEITEM,3,FALSE),"")</f>
        <v>สีพ่นแห้งเร็ว(สีผสม)</v>
      </c>
      <c r="N2002" s="14">
        <f>INSTOCK!$I2002*INSTOCK!$K2002</f>
        <v>800</v>
      </c>
      <c r="O2002" s="4" t="s">
        <v>2696</v>
      </c>
      <c r="P2002" s="4"/>
    </row>
    <row r="2003" ht="15.75" hidden="1" customHeight="1">
      <c r="B2003" s="8">
        <v>2322.0</v>
      </c>
      <c r="C2003" s="9">
        <v>43522.0</v>
      </c>
      <c r="D2003" s="6" t="s">
        <v>2711</v>
      </c>
      <c r="E2003" s="4"/>
      <c r="F2003" s="8" t="s">
        <v>2645</v>
      </c>
      <c r="G2003" s="4" t="s">
        <v>898</v>
      </c>
      <c r="H2003" s="10" t="s">
        <v>2268</v>
      </c>
      <c r="I2003" s="10">
        <v>2.0</v>
      </c>
      <c r="J2003" s="11" t="str">
        <f>IF(D2003&lt;&gt;"",VLOOKUP(H2003,TABLEITEM,5,FALSE),"")</f>
        <v>LIT</v>
      </c>
      <c r="K2003" s="12">
        <v>380.0</v>
      </c>
      <c r="L2003" s="13" t="str">
        <f>IF(D2003&lt;&gt;"",VLOOKUP(H2003,TABLEITEM,2,FALSE),"")</f>
        <v/>
      </c>
      <c r="M2003" s="13" t="str">
        <f>IF(D2003&lt;&gt;"",VLOOKUP(H2003,TABLEITEM,3,FALSE),"")</f>
        <v>สีพ่นแห้งเร็ว(สีผสม)</v>
      </c>
      <c r="N2003" s="14">
        <f>INSTOCK!$I2003*INSTOCK!$K2003</f>
        <v>760</v>
      </c>
      <c r="O2003" s="4" t="s">
        <v>2712</v>
      </c>
      <c r="P2003" s="4"/>
    </row>
    <row r="2004" ht="15.75" hidden="1" customHeight="1">
      <c r="B2004" s="8">
        <v>2323.0</v>
      </c>
      <c r="C2004" s="9">
        <v>43521.0</v>
      </c>
      <c r="D2004" s="6" t="s">
        <v>2713</v>
      </c>
      <c r="E2004" s="4">
        <v>6.202000269E9</v>
      </c>
      <c r="F2004" s="8" t="s">
        <v>2714</v>
      </c>
      <c r="G2004" s="4" t="s">
        <v>1777</v>
      </c>
      <c r="H2004" s="10" t="s">
        <v>2522</v>
      </c>
      <c r="I2004" s="10">
        <v>2000.0</v>
      </c>
      <c r="J2004" s="11" t="str">
        <f>IF(D2004&lt;&gt;"",VLOOKUP(H2004,TABLEITEM,5,FALSE),"")</f>
        <v>EA</v>
      </c>
      <c r="K2004" s="12">
        <v>0.12</v>
      </c>
      <c r="L2004" s="13" t="str">
        <f>IF(D2004&lt;&gt;"",VLOOKUP(H2004,TABLEITEM,2,FALSE),"")</f>
        <v/>
      </c>
      <c r="M2004" s="13" t="str">
        <f>IF(D2004&lt;&gt;"",VLOOKUP(H2004,TABLEITEM,3,FALSE),"")</f>
        <v>สกรูหัวกลมชุบขาว M3x10</v>
      </c>
      <c r="N2004" s="14">
        <f>INSTOCK!$I2004*INSTOCK!$K2004</f>
        <v>240</v>
      </c>
      <c r="O2004" s="4"/>
      <c r="P2004" s="4"/>
    </row>
    <row r="2005" ht="15.75" hidden="1" customHeight="1">
      <c r="B2005" s="8">
        <v>2324.0</v>
      </c>
      <c r="C2005" s="9">
        <v>43521.0</v>
      </c>
      <c r="D2005" s="6" t="s">
        <v>2713</v>
      </c>
      <c r="E2005" s="4">
        <v>6.202000269E9</v>
      </c>
      <c r="F2005" s="8" t="s">
        <v>2714</v>
      </c>
      <c r="G2005" s="4" t="s">
        <v>1777</v>
      </c>
      <c r="H2005" s="10" t="s">
        <v>2169</v>
      </c>
      <c r="I2005" s="10">
        <v>8000.0</v>
      </c>
      <c r="J2005" s="11" t="str">
        <f>IF(D2005&lt;&gt;"",VLOOKUP(H2005,TABLEITEM,5,FALSE),"")</f>
        <v>EA</v>
      </c>
      <c r="K2005" s="12">
        <v>0.085</v>
      </c>
      <c r="L2005" s="13" t="str">
        <f>IF(D2005&lt;&gt;"",VLOOKUP(H2005,TABLEITEM,2,FALSE),"")</f>
        <v/>
      </c>
      <c r="M2005" s="13" t="str">
        <f>IF(D2005&lt;&gt;"",VLOOKUP(H2005,TABLEITEM,3,FALSE),"")</f>
        <v>หัวน้อต       M4   ชุบขาว</v>
      </c>
      <c r="N2005" s="14">
        <f>INSTOCK!$I2005*INSTOCK!$K2005</f>
        <v>680</v>
      </c>
      <c r="O2005" s="4" t="s">
        <v>2415</v>
      </c>
      <c r="P2005" s="4"/>
    </row>
    <row r="2006" ht="15.75" hidden="1" customHeight="1">
      <c r="B2006" s="8">
        <v>2325.0</v>
      </c>
      <c r="C2006" s="9">
        <v>43521.0</v>
      </c>
      <c r="D2006" s="6" t="s">
        <v>2715</v>
      </c>
      <c r="E2006" s="4">
        <v>6.202000285E9</v>
      </c>
      <c r="F2006" s="8" t="s">
        <v>2598</v>
      </c>
      <c r="G2006" s="4" t="s">
        <v>2445</v>
      </c>
      <c r="H2006" s="10" t="s">
        <v>2446</v>
      </c>
      <c r="I2006" s="10">
        <v>2000.0</v>
      </c>
      <c r="J2006" s="11" t="str">
        <f>IF(D2006&lt;&gt;"",VLOOKUP(H2006,TABLEITEM,5,FALSE),"")</f>
        <v>EA</v>
      </c>
      <c r="K2006" s="12">
        <v>0.65</v>
      </c>
      <c r="L2006" s="13" t="str">
        <f>IF(D2006&lt;&gt;"",VLOOKUP(H2006,TABLEITEM,2,FALSE),"")</f>
        <v/>
      </c>
      <c r="M2006" s="13" t="str">
        <f>IF(D2006&lt;&gt;"",VLOOKUP(H2006,TABLEITEM,3,FALSE),"")</f>
        <v>สตัด M4x10</v>
      </c>
      <c r="N2006" s="14">
        <f>INSTOCK!$I2006*INSTOCK!$K2006</f>
        <v>1300</v>
      </c>
      <c r="O2006" s="4"/>
      <c r="P2006" s="4"/>
    </row>
    <row r="2007" ht="15.75" hidden="1" customHeight="1">
      <c r="B2007" s="8">
        <v>2326.0</v>
      </c>
      <c r="C2007" s="9">
        <v>43521.0</v>
      </c>
      <c r="D2007" s="6" t="s">
        <v>2716</v>
      </c>
      <c r="E2007" s="4">
        <v>6.202000289E9</v>
      </c>
      <c r="F2007" s="8" t="s">
        <v>604</v>
      </c>
      <c r="G2007" s="4" t="s">
        <v>1904</v>
      </c>
      <c r="H2007" s="10" t="s">
        <v>2717</v>
      </c>
      <c r="I2007" s="10">
        <v>10.0</v>
      </c>
      <c r="J2007" s="11" t="str">
        <f>IF(D2007&lt;&gt;"",VLOOKUP(H2007,TABLEITEM,5,FALSE),"")</f>
        <v>M</v>
      </c>
      <c r="K2007" s="12">
        <v>247.5</v>
      </c>
      <c r="L2007" s="13" t="str">
        <f>IF(D2007&lt;&gt;"",VLOOKUP(H2007,TABLEITEM,2,FALSE),"")</f>
        <v/>
      </c>
      <c r="M2007" s="13" t="str">
        <f>IF(D2007&lt;&gt;"",VLOOKUP(H2007,TABLEITEM,3,FALSE),"")</f>
        <v>RIBBON LM-IR300B 1/50M</v>
      </c>
      <c r="N2007" s="14">
        <f>INSTOCK!$I2007*INSTOCK!$K2007</f>
        <v>2475</v>
      </c>
      <c r="O2007" s="4" t="s">
        <v>2718</v>
      </c>
      <c r="P2007" s="4"/>
    </row>
    <row r="2008" ht="15.75" hidden="1" customHeight="1">
      <c r="B2008" s="8">
        <v>2327.0</v>
      </c>
      <c r="C2008" s="9">
        <v>43521.0</v>
      </c>
      <c r="D2008" s="6">
        <v>9208.0</v>
      </c>
      <c r="E2008" s="4">
        <v>6.202000261E9</v>
      </c>
      <c r="F2008" s="8" t="s">
        <v>2671</v>
      </c>
      <c r="G2008" s="4" t="s">
        <v>2719</v>
      </c>
      <c r="H2008" s="10" t="s">
        <v>2720</v>
      </c>
      <c r="I2008" s="10">
        <v>24.0</v>
      </c>
      <c r="J2008" s="11" t="str">
        <f>IF(D2008&lt;&gt;"",VLOOKUP(H2008,TABLEITEM,5,FALSE),"")</f>
        <v>EA</v>
      </c>
      <c r="K2008" s="12">
        <v>1300.0</v>
      </c>
      <c r="L2008" s="13" t="str">
        <f>IF(D2008&lt;&gt;"",VLOOKUP(H2008,TABLEITEM,2,FALSE),"")</f>
        <v/>
      </c>
      <c r="M2008" s="13" t="str">
        <f>IF(D2008&lt;&gt;"",VLOOKUP(H2008,TABLEITEM,3,FALSE),"")</f>
        <v>ไส้กรองดักสีฝุ่น PE3</v>
      </c>
      <c r="N2008" s="14">
        <f>INSTOCK!$I2008*INSTOCK!$K2008</f>
        <v>31200</v>
      </c>
      <c r="O2008" s="4"/>
      <c r="P2008" s="4"/>
    </row>
    <row r="2009" ht="15.75" hidden="1" customHeight="1">
      <c r="B2009" s="8">
        <v>2328.0</v>
      </c>
      <c r="C2009" s="9">
        <v>43521.0</v>
      </c>
      <c r="D2009" s="6" t="s">
        <v>2721</v>
      </c>
      <c r="E2009" s="4">
        <v>6.202000284E9</v>
      </c>
      <c r="F2009" s="8" t="s">
        <v>807</v>
      </c>
      <c r="G2009" s="4" t="s">
        <v>808</v>
      </c>
      <c r="H2009" s="10" t="s">
        <v>809</v>
      </c>
      <c r="I2009" s="10">
        <v>1.0</v>
      </c>
      <c r="J2009" s="11" t="str">
        <f>IF(D2009&lt;&gt;"",VLOOKUP(H2009,TABLEITEM,5,FALSE),"")</f>
        <v>ท่อ</v>
      </c>
      <c r="K2009" s="12">
        <v>2700.0</v>
      </c>
      <c r="L2009" s="13" t="str">
        <f>IF(D2009&lt;&gt;"",VLOOKUP(H2009,TABLEITEM,2,FALSE),"")</f>
        <v/>
      </c>
      <c r="M2009" s="13" t="str">
        <f>IF(D2009&lt;&gt;"",VLOOKUP(H2009,TABLEITEM,3,FALSE),"")</f>
        <v>ไนโตรเจนเหลว ขนาด 100คิว</v>
      </c>
      <c r="N2009" s="14">
        <f>INSTOCK!$I2009*INSTOCK!$K2009</f>
        <v>2700</v>
      </c>
      <c r="O2009" s="4"/>
      <c r="P2009" s="4"/>
    </row>
    <row r="2010" ht="15.75" hidden="1" customHeight="1">
      <c r="B2010" s="8">
        <v>2329.0</v>
      </c>
      <c r="C2010" s="9">
        <v>43521.0</v>
      </c>
      <c r="D2010" s="6" t="s">
        <v>2722</v>
      </c>
      <c r="E2010" s="4">
        <v>6.202000273E9</v>
      </c>
      <c r="F2010" s="8" t="s">
        <v>2723</v>
      </c>
      <c r="G2010" s="4" t="s">
        <v>1033</v>
      </c>
      <c r="H2010" s="10" t="s">
        <v>2724</v>
      </c>
      <c r="I2010" s="10">
        <v>1.0</v>
      </c>
      <c r="J2010" s="11" t="str">
        <f>IF(D2010&lt;&gt;"",VLOOKUP(H2010,TABLEITEM,5,FALSE),"")</f>
        <v>EA</v>
      </c>
      <c r="K2010" s="12">
        <v>9500.0</v>
      </c>
      <c r="L2010" s="13" t="str">
        <f>IF(D2010&lt;&gt;"",VLOOKUP(H2010,TABLEITEM,2,FALSE),"")</f>
        <v/>
      </c>
      <c r="M2010" s="13" t="str">
        <f>IF(D2010&lt;&gt;"",VLOOKUP(H2010,TABLEITEM,3,FALSE),"")</f>
        <v>MIRKA ROS550CV 125mm ORBIT 5,0(S/N:0681628)</v>
      </c>
      <c r="N2010" s="14">
        <f>INSTOCK!$I2010*INSTOCK!$K2010</f>
        <v>9500</v>
      </c>
      <c r="O2010" s="4"/>
      <c r="P2010" s="4"/>
    </row>
    <row r="2011" ht="15.75" hidden="1" customHeight="1">
      <c r="B2011" s="8">
        <v>2330.0</v>
      </c>
      <c r="C2011" s="9">
        <v>43521.0</v>
      </c>
      <c r="D2011" s="6" t="s">
        <v>2725</v>
      </c>
      <c r="E2011" s="4"/>
      <c r="F2011" s="8" t="s">
        <v>2726</v>
      </c>
      <c r="G2011" s="4" t="s">
        <v>2727</v>
      </c>
      <c r="H2011" s="10" t="s">
        <v>2728</v>
      </c>
      <c r="I2011" s="10">
        <v>1.0</v>
      </c>
      <c r="J2011" s="11" t="str">
        <f>IF(D2011&lt;&gt;"",VLOOKUP(H2011,TABLEITEM,5,FALSE),"")</f>
        <v>แผ่น</v>
      </c>
      <c r="K2011" s="12">
        <v>1600.0</v>
      </c>
      <c r="L2011" s="13" t="str">
        <f>IF(D2011&lt;&gt;"",VLOOKUP(H2011,TABLEITEM,2,FALSE),"")</f>
        <v/>
      </c>
      <c r="M2011" s="13" t="str">
        <f>IF(D2011&lt;&gt;"",VLOOKUP(H2011,TABLEITEM,3,FALSE),"")</f>
        <v>ไม้อัดยาง 20 มม เต็มมิล</v>
      </c>
      <c r="N2011" s="14">
        <f>INSTOCK!$I2011*INSTOCK!$K2011</f>
        <v>1600</v>
      </c>
      <c r="O2011" s="4"/>
      <c r="P2011" s="4"/>
    </row>
    <row r="2012" ht="15.75" hidden="1" customHeight="1">
      <c r="B2012" s="8">
        <v>2331.0</v>
      </c>
      <c r="C2012" s="9">
        <v>43521.0</v>
      </c>
      <c r="D2012" s="6">
        <v>37606.0</v>
      </c>
      <c r="E2012" s="4">
        <v>6.20200029E9</v>
      </c>
      <c r="F2012" s="8" t="s">
        <v>604</v>
      </c>
      <c r="G2012" s="4" t="s">
        <v>696</v>
      </c>
      <c r="H2012" s="10" t="s">
        <v>2729</v>
      </c>
      <c r="I2012" s="10">
        <v>72.0</v>
      </c>
      <c r="J2012" s="11" t="str">
        <f>IF(D2012&lt;&gt;"",VLOOKUP(H2012,TABLEITEM,5,FALSE),"")</f>
        <v>EA</v>
      </c>
      <c r="K2012" s="12">
        <v>24.0</v>
      </c>
      <c r="L2012" s="13" t="str">
        <f>IF(D2012&lt;&gt;"",VLOOKUP(H2012,TABLEITEM,2,FALSE),"")</f>
        <v/>
      </c>
      <c r="M2012" s="13" t="str">
        <f>IF(D2012&lt;&gt;"",VLOOKUP(H2012,TABLEITEM,3,FALSE),"")</f>
        <v>กระดาษกาวย่น INTER ขนาด 1"x45 หลา</v>
      </c>
      <c r="N2012" s="14">
        <f>INSTOCK!$I2012*INSTOCK!$K2012</f>
        <v>1728</v>
      </c>
      <c r="O2012" s="4"/>
      <c r="P2012" s="4"/>
    </row>
    <row r="2013" ht="15.75" hidden="1" customHeight="1">
      <c r="B2013" s="8">
        <v>2332.0</v>
      </c>
      <c r="C2013" s="9">
        <v>43521.0</v>
      </c>
      <c r="D2013" s="6">
        <v>37606.0</v>
      </c>
      <c r="E2013" s="4">
        <v>6.20200029E9</v>
      </c>
      <c r="F2013" s="8" t="s">
        <v>604</v>
      </c>
      <c r="G2013" s="4" t="s">
        <v>696</v>
      </c>
      <c r="H2013" s="10" t="s">
        <v>2730</v>
      </c>
      <c r="I2013" s="10">
        <v>48.0</v>
      </c>
      <c r="J2013" s="11" t="str">
        <f>IF(D2013&lt;&gt;"",VLOOKUP(H2013,TABLEITEM,5,FALSE),"")</f>
        <v>EA</v>
      </c>
      <c r="K2013" s="12">
        <v>46.0</v>
      </c>
      <c r="L2013" s="13" t="str">
        <f>IF(D2013&lt;&gt;"",VLOOKUP(H2013,TABLEITEM,2,FALSE),"")</f>
        <v/>
      </c>
      <c r="M2013" s="13" t="str">
        <f>IF(D2013&lt;&gt;"",VLOOKUP(H2013,TABLEITEM,3,FALSE),"")</f>
        <v>กระดาษกาวย่น INTER ขนาด 2"x45 หลา</v>
      </c>
      <c r="N2013" s="14">
        <f>INSTOCK!$I2013*INSTOCK!$K2013</f>
        <v>2208</v>
      </c>
      <c r="O2013" s="4"/>
      <c r="P2013" s="4"/>
    </row>
    <row r="2014" ht="15.75" hidden="1" customHeight="1">
      <c r="B2014" s="8">
        <v>2333.0</v>
      </c>
      <c r="C2014" s="9">
        <v>43521.0</v>
      </c>
      <c r="D2014" s="6" t="s">
        <v>2731</v>
      </c>
      <c r="E2014" s="4">
        <v>6.202000257E9</v>
      </c>
      <c r="F2014" s="8" t="s">
        <v>1973</v>
      </c>
      <c r="G2014" s="4" t="s">
        <v>2732</v>
      </c>
      <c r="H2014" s="10" t="s">
        <v>2733</v>
      </c>
      <c r="I2014" s="10">
        <v>5.0</v>
      </c>
      <c r="J2014" s="11" t="str">
        <f>IF(D2014&lt;&gt;"",VLOOKUP(H2014,TABLEITEM,5,FALSE),"")</f>
        <v>EA</v>
      </c>
      <c r="K2014" s="12">
        <v>334.8</v>
      </c>
      <c r="L2014" s="13" t="str">
        <f>IF(D2014&lt;&gt;"",VLOOKUP(H2014,TABLEITEM,2,FALSE),"")</f>
        <v/>
      </c>
      <c r="M2014" s="13" t="str">
        <f>IF(D2014&lt;&gt;"",VLOOKUP(H2014,TABLEITEM,3,FALSE),"")</f>
        <v>INSERT SLEEVE TEFLON COMPLETE G90-1006485</v>
      </c>
      <c r="N2014" s="14">
        <f>INSTOCK!$I2014*INSTOCK!$K2014</f>
        <v>1674</v>
      </c>
      <c r="O2014" s="4" t="s">
        <v>2734</v>
      </c>
      <c r="P2014" s="4"/>
    </row>
    <row r="2015" ht="15.75" hidden="1" customHeight="1">
      <c r="B2015" s="8">
        <v>2334.0</v>
      </c>
      <c r="C2015" s="9">
        <v>43521.0</v>
      </c>
      <c r="D2015" s="6" t="s">
        <v>2735</v>
      </c>
      <c r="E2015" s="4">
        <v>6.202000268E9</v>
      </c>
      <c r="F2015" s="8" t="s">
        <v>604</v>
      </c>
      <c r="G2015" s="4" t="s">
        <v>2736</v>
      </c>
      <c r="H2015" s="10" t="s">
        <v>187</v>
      </c>
      <c r="I2015" s="10">
        <v>2000.0</v>
      </c>
      <c r="J2015" s="11" t="str">
        <f>IF(D2015&lt;&gt;"",VLOOKUP(H2015,TABLEITEM,5,FALSE),"")</f>
        <v>EA</v>
      </c>
      <c r="K2015" s="12">
        <v>1.5</v>
      </c>
      <c r="L2015" s="13" t="str">
        <f>IF(D2015&lt;&gt;"",VLOOKUP(H2015,TABLEITEM,2,FALSE),"")</f>
        <v/>
      </c>
      <c r="M2015" s="13" t="str">
        <f>IF(D2015&lt;&gt;"",VLOOKUP(H2015,TABLEITEM,3,FALSE),"")</f>
        <v>หมุดเนมเพลท</v>
      </c>
      <c r="N2015" s="14">
        <f>INSTOCK!$I2015*INSTOCK!$K2015</f>
        <v>3000</v>
      </c>
      <c r="O2015" s="4"/>
      <c r="P2015" s="4"/>
    </row>
    <row r="2016" ht="15.75" hidden="1" customHeight="1">
      <c r="B2016" s="8">
        <v>2335.0</v>
      </c>
      <c r="C2016" s="9">
        <v>43519.0</v>
      </c>
      <c r="D2016" s="6" t="s">
        <v>2737</v>
      </c>
      <c r="E2016" s="4"/>
      <c r="F2016" s="8" t="s">
        <v>604</v>
      </c>
      <c r="G2016" s="4" t="s">
        <v>2738</v>
      </c>
      <c r="H2016" s="10" t="s">
        <v>2739</v>
      </c>
      <c r="I2016" s="10">
        <v>128.0</v>
      </c>
      <c r="J2016" s="11" t="str">
        <f>IF(D2016&lt;&gt;"",VLOOKUP(H2016,TABLEITEM,5,FALSE),"")</f>
        <v>KG.</v>
      </c>
      <c r="K2016" s="12">
        <v>12.0</v>
      </c>
      <c r="L2016" s="13" t="str">
        <f>IF(D2016&lt;&gt;"",VLOOKUP(H2016,TABLEITEM,2,FALSE),"")</f>
        <v/>
      </c>
      <c r="M2016" s="13" t="str">
        <f>IF(D2016&lt;&gt;"",VLOOKUP(H2016,TABLEITEM,3,FALSE),"")</f>
        <v>กระดาษติดแกนสีน้ำตาล(ห่อสินค้า)</v>
      </c>
      <c r="N2016" s="14">
        <f>INSTOCK!$I2016*INSTOCK!$K2016</f>
        <v>1536</v>
      </c>
      <c r="O2016" s="4"/>
      <c r="P2016" s="4"/>
    </row>
    <row r="2017" ht="15.75" hidden="1" customHeight="1">
      <c r="B2017" s="8">
        <v>2336.0</v>
      </c>
      <c r="C2017" s="9">
        <v>43515.0</v>
      </c>
      <c r="D2017" s="6" t="s">
        <v>2740</v>
      </c>
      <c r="E2017" s="4"/>
      <c r="F2017" s="8" t="s">
        <v>633</v>
      </c>
      <c r="G2017" s="4" t="s">
        <v>2741</v>
      </c>
      <c r="H2017" s="10" t="s">
        <v>2742</v>
      </c>
      <c r="I2017" s="10">
        <v>1.0</v>
      </c>
      <c r="J2017" s="11" t="str">
        <f>IF(D2017&lt;&gt;"",VLOOKUP(H2017,TABLEITEM,5,FALSE),"")</f>
        <v>EA</v>
      </c>
      <c r="K2017" s="12">
        <v>250000.0</v>
      </c>
      <c r="L2017" s="13" t="str">
        <f>IF(D2017&lt;&gt;"",VLOOKUP(H2017,TABLEITEM,2,FALSE),"")</f>
        <v/>
      </c>
      <c r="M2017" s="13" t="str">
        <f>IF(D2017&lt;&gt;"",VLOOKUP(H2017,TABLEITEM,3,FALSE),"")</f>
        <v>SELF CLINCHING MACHINE AFAB MODEL A618</v>
      </c>
      <c r="N2017" s="14">
        <f>INSTOCK!$I2017*INSTOCK!$K2017</f>
        <v>250000</v>
      </c>
      <c r="O2017" s="4"/>
      <c r="P2017" s="4"/>
    </row>
    <row r="2018" ht="15.75" hidden="1" customHeight="1">
      <c r="B2018" s="8">
        <v>2337.0</v>
      </c>
      <c r="C2018" s="9">
        <v>43517.0</v>
      </c>
      <c r="D2018" s="6" t="s">
        <v>2743</v>
      </c>
      <c r="E2018" s="4"/>
      <c r="F2018" s="8" t="s">
        <v>2645</v>
      </c>
      <c r="G2018" s="4" t="s">
        <v>2744</v>
      </c>
      <c r="H2018" s="10" t="s">
        <v>2745</v>
      </c>
      <c r="I2018" s="10">
        <v>2.0</v>
      </c>
      <c r="J2018" s="11" t="str">
        <f>IF(D2018&lt;&gt;"",VLOOKUP(H2018,TABLEITEM,5,FALSE),"")</f>
        <v>pcs</v>
      </c>
      <c r="K2018" s="12">
        <v>800.0</v>
      </c>
      <c r="L2018" s="13" t="str">
        <f>IF(D2018&lt;&gt;"",VLOOKUP(H2018,TABLEITEM,2,FALSE),"")</f>
        <v/>
      </c>
      <c r="M2018" s="13" t="str">
        <f>IF(D2018&lt;&gt;"",VLOOKUP(H2018,TABLEITEM,3,FALSE),"")</f>
        <v>พิมพ์ UV ลงบนแผ่นสเตนเลส ขนาด 201.9x44.4ซม</v>
      </c>
      <c r="N2018" s="14">
        <f>INSTOCK!$I2018*INSTOCK!$K2018</f>
        <v>1600</v>
      </c>
      <c r="O2018" s="4"/>
      <c r="P2018" s="4"/>
    </row>
    <row r="2019" ht="15.75" hidden="1" customHeight="1">
      <c r="B2019" s="8">
        <v>2338.0</v>
      </c>
      <c r="C2019" s="9">
        <v>43517.0</v>
      </c>
      <c r="D2019" s="6" t="s">
        <v>2743</v>
      </c>
      <c r="E2019" s="4"/>
      <c r="F2019" s="8" t="s">
        <v>2645</v>
      </c>
      <c r="G2019" s="4" t="s">
        <v>2744</v>
      </c>
      <c r="H2019" s="10" t="s">
        <v>2746</v>
      </c>
      <c r="I2019" s="10">
        <v>1.0</v>
      </c>
      <c r="J2019" s="11" t="str">
        <f>IF(D2019&lt;&gt;"",VLOOKUP(H2019,TABLEITEM,5,FALSE),"")</f>
        <v>pcs</v>
      </c>
      <c r="K2019" s="12">
        <v>600.0</v>
      </c>
      <c r="L2019" s="13" t="str">
        <f>IF(D2019&lt;&gt;"",VLOOKUP(H2019,TABLEITEM,2,FALSE),"")</f>
        <v/>
      </c>
      <c r="M2019" s="13" t="str">
        <f>IF(D2019&lt;&gt;"",VLOOKUP(H2019,TABLEITEM,3,FALSE),"")</f>
        <v>พิมพ์ UV ลงบนแผ่นสเตนเลส ขนาด 170.4x28.6ซม</v>
      </c>
      <c r="N2019" s="14">
        <f>INSTOCK!$I2019*INSTOCK!$K2019</f>
        <v>600</v>
      </c>
      <c r="O2019" s="4"/>
      <c r="P2019" s="4"/>
    </row>
    <row r="2020" ht="15.75" hidden="1" customHeight="1">
      <c r="B2020" s="8">
        <v>2339.0</v>
      </c>
      <c r="C2020" s="9">
        <v>43517.0</v>
      </c>
      <c r="D2020" s="6" t="s">
        <v>2743</v>
      </c>
      <c r="E2020" s="4"/>
      <c r="F2020" s="8" t="s">
        <v>2645</v>
      </c>
      <c r="G2020" s="4" t="s">
        <v>2744</v>
      </c>
      <c r="H2020" s="10" t="s">
        <v>2747</v>
      </c>
      <c r="I2020" s="10">
        <v>1.0</v>
      </c>
      <c r="J2020" s="11" t="str">
        <f>IF(D2020&lt;&gt;"",VLOOKUP(H2020,TABLEITEM,5,FALSE),"")</f>
        <v>pcs</v>
      </c>
      <c r="K2020" s="12">
        <v>500.0</v>
      </c>
      <c r="L2020" s="13" t="str">
        <f>IF(D2020&lt;&gt;"",VLOOKUP(H2020,TABLEITEM,2,FALSE),"")</f>
        <v/>
      </c>
      <c r="M2020" s="13" t="str">
        <f>IF(D2020&lt;&gt;"",VLOOKUP(H2020,TABLEITEM,3,FALSE),"")</f>
        <v>พิมพ์ UV ลงบนแผ่นสเตนเลส ขนาด 107x30ซม</v>
      </c>
      <c r="N2020" s="14">
        <f>INSTOCK!$I2020*INSTOCK!$K2020</f>
        <v>500</v>
      </c>
      <c r="O2020" s="4"/>
      <c r="P2020" s="4"/>
    </row>
    <row r="2021" ht="15.75" hidden="1" customHeight="1">
      <c r="B2021" s="8">
        <v>2340.0</v>
      </c>
      <c r="C2021" s="9">
        <v>43517.0</v>
      </c>
      <c r="D2021" s="6" t="s">
        <v>2743</v>
      </c>
      <c r="E2021" s="4"/>
      <c r="F2021" s="8" t="s">
        <v>2645</v>
      </c>
      <c r="G2021" s="4" t="s">
        <v>2744</v>
      </c>
      <c r="H2021" s="10" t="s">
        <v>2748</v>
      </c>
      <c r="I2021" s="10">
        <v>1.0</v>
      </c>
      <c r="J2021" s="11" t="str">
        <f>IF(D2021&lt;&gt;"",VLOOKUP(H2021,TABLEITEM,5,FALSE),"")</f>
        <v>pcs</v>
      </c>
      <c r="K2021" s="12">
        <v>650.0</v>
      </c>
      <c r="L2021" s="13" t="str">
        <f>IF(D2021&lt;&gt;"",VLOOKUP(H2021,TABLEITEM,2,FALSE),"")</f>
        <v/>
      </c>
      <c r="M2021" s="13" t="str">
        <f>IF(D2021&lt;&gt;"",VLOOKUP(H2021,TABLEITEM,3,FALSE),"")</f>
        <v>พิมพ์ UV ลงบนแผ่นสเตนเลส ขนาด 170x38ซม</v>
      </c>
      <c r="N2021" s="14">
        <f>INSTOCK!$I2021*INSTOCK!$K2021</f>
        <v>650</v>
      </c>
      <c r="O2021" s="4"/>
      <c r="P2021" s="4"/>
    </row>
    <row r="2022" ht="15.75" hidden="1" customHeight="1">
      <c r="B2022" s="8">
        <v>2341.0</v>
      </c>
      <c r="C2022" s="9">
        <v>43517.0</v>
      </c>
      <c r="D2022" s="6" t="s">
        <v>2743</v>
      </c>
      <c r="E2022" s="4"/>
      <c r="F2022" s="8" t="s">
        <v>2645</v>
      </c>
      <c r="G2022" s="4" t="s">
        <v>2744</v>
      </c>
      <c r="H2022" s="10" t="s">
        <v>2749</v>
      </c>
      <c r="I2022" s="10">
        <v>1.0</v>
      </c>
      <c r="J2022" s="11" t="str">
        <f>IF(D2022&lt;&gt;"",VLOOKUP(H2022,TABLEITEM,5,FALSE),"")</f>
        <v>pcs</v>
      </c>
      <c r="K2022" s="12">
        <v>800.0</v>
      </c>
      <c r="L2022" s="13" t="str">
        <f>IF(D2022&lt;&gt;"",VLOOKUP(H2022,TABLEITEM,2,FALSE),"")</f>
        <v/>
      </c>
      <c r="M2022" s="13" t="str">
        <f>IF(D2022&lt;&gt;"",VLOOKUP(H2022,TABLEITEM,3,FALSE),"")</f>
        <v>พิมพ์ UV ลงบนแผ่นสเตนเลส ขนาด 210x41.6ซม</v>
      </c>
      <c r="N2022" s="14">
        <f>INSTOCK!$I2022*INSTOCK!$K2022</f>
        <v>800</v>
      </c>
      <c r="O2022" s="4"/>
      <c r="P2022" s="4"/>
    </row>
    <row r="2023" ht="15.75" hidden="1" customHeight="1">
      <c r="B2023" s="8">
        <v>2342.0</v>
      </c>
      <c r="C2023" s="9">
        <v>43525.0</v>
      </c>
      <c r="D2023" s="6" t="s">
        <v>2750</v>
      </c>
      <c r="E2023" s="4">
        <v>6.202000231E9</v>
      </c>
      <c r="F2023" s="8" t="s">
        <v>604</v>
      </c>
      <c r="G2023" s="4" t="s">
        <v>2121</v>
      </c>
      <c r="H2023" s="10" t="s">
        <v>2751</v>
      </c>
      <c r="I2023" s="10">
        <v>994.0</v>
      </c>
      <c r="J2023" s="11" t="str">
        <f>IF(D2023&lt;&gt;"",VLOOKUP(H2023,TABLEITEM,5,FALSE),"")</f>
        <v>EA</v>
      </c>
      <c r="K2023" s="12">
        <v>13.0</v>
      </c>
      <c r="L2023" s="13" t="str">
        <f>IF(D2023&lt;&gt;"",VLOOKUP(H2023,TABLEITEM,2,FALSE),"")</f>
        <v/>
      </c>
      <c r="M2023" s="13" t="str">
        <f>IF(D2023&lt;&gt;"",VLOOKUP(H2023,TABLEITEM,3,FALSE),"")</f>
        <v>สกรูหัวโต M6x35 ชุบนิเกล</v>
      </c>
      <c r="N2023" s="14">
        <f>INSTOCK!$I2023*INSTOCK!$K2023</f>
        <v>12922</v>
      </c>
      <c r="O2023" s="4"/>
      <c r="P2023" s="4"/>
    </row>
    <row r="2024" ht="15.75" hidden="1" customHeight="1">
      <c r="B2024" s="8">
        <v>2343.0</v>
      </c>
      <c r="C2024" s="9">
        <v>43525.0</v>
      </c>
      <c r="D2024" s="6" t="s">
        <v>2752</v>
      </c>
      <c r="E2024" s="4">
        <v>6.202000309E9</v>
      </c>
      <c r="F2024" s="8" t="s">
        <v>807</v>
      </c>
      <c r="G2024" s="4" t="s">
        <v>808</v>
      </c>
      <c r="H2024" s="10" t="s">
        <v>812</v>
      </c>
      <c r="I2024" s="10">
        <v>1.0</v>
      </c>
      <c r="J2024" s="11" t="str">
        <f>IF(D2024&lt;&gt;"",VLOOKUP(H2024,TABLEITEM,5,FALSE),"")</f>
        <v>ท่อ</v>
      </c>
      <c r="K2024" s="12">
        <v>2960.0</v>
      </c>
      <c r="L2024" s="13" t="str">
        <f>IF(D2024&lt;&gt;"",VLOOKUP(H2024,TABLEITEM,2,FALSE),"")</f>
        <v/>
      </c>
      <c r="M2024" s="13" t="str">
        <f>IF(D2024&lt;&gt;"",VLOOKUP(H2024,TABLEITEM,3,FALSE),"")</f>
        <v>ออกซิเจนเหลว ขนาด 148 คิว</v>
      </c>
      <c r="N2024" s="14">
        <f>INSTOCK!$I2024*INSTOCK!$K2024</f>
        <v>2960</v>
      </c>
      <c r="O2024" s="4"/>
      <c r="P2024" s="4"/>
    </row>
    <row r="2025" ht="15.75" hidden="1" customHeight="1">
      <c r="B2025" s="8">
        <v>2344.0</v>
      </c>
      <c r="C2025" s="9">
        <v>43525.0</v>
      </c>
      <c r="D2025" s="6" t="s">
        <v>2753</v>
      </c>
      <c r="E2025" s="4">
        <v>6.202000307E9</v>
      </c>
      <c r="F2025" s="8" t="s">
        <v>2754</v>
      </c>
      <c r="G2025" s="4" t="s">
        <v>1485</v>
      </c>
      <c r="H2025" s="10" t="s">
        <v>2755</v>
      </c>
      <c r="I2025" s="10">
        <v>10.0</v>
      </c>
      <c r="J2025" s="11" t="str">
        <f>IF(D2025&lt;&gt;"",VLOOKUP(H2025,TABLEITEM,5,FALSE),"")</f>
        <v>EA</v>
      </c>
      <c r="K2025" s="12">
        <v>3276.0</v>
      </c>
      <c r="L2025" s="13" t="str">
        <f>IF(D2025&lt;&gt;"",VLOOKUP(H2025,TABLEITEM,2,FALSE),"")</f>
        <v/>
      </c>
      <c r="M2025" s="13" t="str">
        <f>IF(D2025&lt;&gt;"",VLOOKUP(H2025,TABLEITEM,3,FALSE),"")</f>
        <v>POWER METER PM2230</v>
      </c>
      <c r="N2025" s="14">
        <f>INSTOCK!$I2025*INSTOCK!$K2025</f>
        <v>32760</v>
      </c>
      <c r="O2025" s="4" t="s">
        <v>2756</v>
      </c>
      <c r="P2025" s="4"/>
    </row>
    <row r="2026" ht="15.75" hidden="1" customHeight="1">
      <c r="B2026" s="8">
        <v>2345.0</v>
      </c>
      <c r="C2026" s="9">
        <v>43525.0</v>
      </c>
      <c r="D2026" s="6" t="s">
        <v>2757</v>
      </c>
      <c r="E2026" s="4">
        <v>6.202000308E9</v>
      </c>
      <c r="F2026" s="8" t="s">
        <v>2598</v>
      </c>
      <c r="G2026" s="4" t="s">
        <v>2350</v>
      </c>
      <c r="H2026" s="10" t="s">
        <v>2538</v>
      </c>
      <c r="I2026" s="10">
        <v>460.0</v>
      </c>
      <c r="J2026" s="11" t="str">
        <f>IF(D2026&lt;&gt;"",VLOOKUP(H2026,TABLEITEM,5,FALSE),"")</f>
        <v>KG.</v>
      </c>
      <c r="K2026" s="12">
        <v>122.0</v>
      </c>
      <c r="L2026" s="13" t="str">
        <f>IF(D2026&lt;&gt;"",VLOOKUP(H2026,TABLEITEM,2,FALSE),"")</f>
        <v/>
      </c>
      <c r="M2026" s="13" t="str">
        <f>IF(D2026&lt;&gt;"",VLOOKUP(H2026,TABLEITEM,3,FALSE),"")</f>
        <v>สีฝุ่น P0001A  สีขาว </v>
      </c>
      <c r="N2026" s="14">
        <f>INSTOCK!$I2026*INSTOCK!$K2026</f>
        <v>56120</v>
      </c>
      <c r="O2026" s="4"/>
      <c r="P2026" s="4"/>
    </row>
    <row r="2027" ht="15.75" hidden="1" customHeight="1">
      <c r="B2027" s="8">
        <v>2346.0</v>
      </c>
      <c r="C2027" s="9">
        <v>43525.0</v>
      </c>
      <c r="D2027" s="6" t="s">
        <v>2757</v>
      </c>
      <c r="E2027" s="4">
        <v>6.202000308E9</v>
      </c>
      <c r="F2027" s="8" t="s">
        <v>2598</v>
      </c>
      <c r="G2027" s="4" t="s">
        <v>2350</v>
      </c>
      <c r="H2027" s="10" t="s">
        <v>2537</v>
      </c>
      <c r="I2027" s="10">
        <v>400.0</v>
      </c>
      <c r="J2027" s="11" t="str">
        <f>IF(D2027&lt;&gt;"",VLOOKUP(H2027,TABLEITEM,5,FALSE),"")</f>
        <v>KG.</v>
      </c>
      <c r="K2027" s="12">
        <v>122.0</v>
      </c>
      <c r="L2027" s="13" t="str">
        <f>IF(D2027&lt;&gt;"",VLOOKUP(H2027,TABLEITEM,2,FALSE),"")</f>
        <v/>
      </c>
      <c r="M2027" s="13" t="str">
        <f>IF(D2027&lt;&gt;"",VLOOKUP(H2027,TABLEITEM,3,FALSE),"")</f>
        <v>สีฝุ่น L4001  สีส้มภายนอก P2049A</v>
      </c>
      <c r="N2027" s="14">
        <f>INSTOCK!$I2027*INSTOCK!$K2027</f>
        <v>48800</v>
      </c>
      <c r="O2027" s="4"/>
      <c r="P2027" s="4"/>
    </row>
    <row r="2028" ht="15.75" hidden="1" customHeight="1">
      <c r="B2028" s="8">
        <v>2347.0</v>
      </c>
      <c r="C2028" s="9">
        <v>43525.0</v>
      </c>
      <c r="D2028" s="6" t="s">
        <v>2758</v>
      </c>
      <c r="E2028" s="4">
        <v>6.202000303E9</v>
      </c>
      <c r="F2028" s="8" t="s">
        <v>604</v>
      </c>
      <c r="G2028" s="4" t="s">
        <v>737</v>
      </c>
      <c r="H2028" s="10" t="s">
        <v>18</v>
      </c>
      <c r="I2028" s="10">
        <v>240.0</v>
      </c>
      <c r="J2028" s="11" t="str">
        <f>IF(D2028&lt;&gt;"",VLOOKUP(H2028,TABLEITEM,5,FALSE),"")</f>
        <v>EA</v>
      </c>
      <c r="K2028" s="12">
        <v>2.5</v>
      </c>
      <c r="L2028" s="13" t="str">
        <f>IF(D2028&lt;&gt;"",VLOOKUP(H2028,TABLEITEM,2,FALSE),"")</f>
        <v/>
      </c>
      <c r="M2028" s="13" t="str">
        <f>IF(D2028&lt;&gt;"",VLOOKUP(H2028,TABLEITEM,3,FALSE),"")</f>
        <v>ผ้าปิดจมูก</v>
      </c>
      <c r="N2028" s="14">
        <f>INSTOCK!$I2028*INSTOCK!$K2028</f>
        <v>600</v>
      </c>
      <c r="O2028" s="4" t="s">
        <v>2759</v>
      </c>
      <c r="P2028" s="4"/>
    </row>
    <row r="2029" ht="15.75" hidden="1" customHeight="1">
      <c r="B2029" s="8">
        <v>2348.0</v>
      </c>
      <c r="C2029" s="9">
        <v>43514.0</v>
      </c>
      <c r="D2029" s="6" t="s">
        <v>2760</v>
      </c>
      <c r="E2029" s="4">
        <v>6.202000244E9</v>
      </c>
      <c r="F2029" s="8" t="s">
        <v>604</v>
      </c>
      <c r="G2029" s="4" t="s">
        <v>1564</v>
      </c>
      <c r="H2029" s="10" t="s">
        <v>2761</v>
      </c>
      <c r="I2029" s="10">
        <v>350.0</v>
      </c>
      <c r="J2029" s="11" t="str">
        <f>IF(D2029&lt;&gt;"",VLOOKUP(H2029,TABLEITEM,5,FALSE),"")</f>
        <v>EA</v>
      </c>
      <c r="K2029" s="12">
        <v>18.0</v>
      </c>
      <c r="L2029" s="13" t="str">
        <f>IF(D2029&lt;&gt;"",VLOOKUP(H2029,TABLEITEM,2,FALSE),"")</f>
        <v/>
      </c>
      <c r="M2029" s="13" t="str">
        <f>IF(D2029&lt;&gt;"",VLOOKUP(H2029,TABLEITEM,3,FALSE),"")</f>
        <v>กาว BT-10</v>
      </c>
      <c r="N2029" s="14">
        <f>INSTOCK!$I2029*INSTOCK!$K2029</f>
        <v>6300</v>
      </c>
      <c r="O2029" s="4"/>
      <c r="P2029" s="4"/>
    </row>
    <row r="2030" ht="15.75" hidden="1" customHeight="1">
      <c r="B2030" s="8">
        <v>2349.0</v>
      </c>
      <c r="C2030" s="9">
        <v>43525.0</v>
      </c>
      <c r="D2030" s="6" t="s">
        <v>2762</v>
      </c>
      <c r="E2030" s="4">
        <v>6.202000297E9</v>
      </c>
      <c r="F2030" s="8" t="s">
        <v>604</v>
      </c>
      <c r="G2030" s="4" t="s">
        <v>1777</v>
      </c>
      <c r="H2030" s="10" t="s">
        <v>2088</v>
      </c>
      <c r="I2030" s="10">
        <v>1000.0</v>
      </c>
      <c r="J2030" s="11" t="str">
        <f>IF(D2030&lt;&gt;"",VLOOKUP(H2030,TABLEITEM,5,FALSE),"")</f>
        <v>EA</v>
      </c>
      <c r="K2030" s="12">
        <v>0.13</v>
      </c>
      <c r="L2030" s="13" t="str">
        <f>IF(D2030&lt;&gt;"",VLOOKUP(H2030,TABLEITEM,2,FALSE),"")</f>
        <v/>
      </c>
      <c r="M2030" s="13" t="str">
        <f>IF(D2030&lt;&gt;"",VLOOKUP(H2030,TABLEITEM,3,FALSE),"")</f>
        <v>สกรูเตเปอร์ M5x10</v>
      </c>
      <c r="N2030" s="14">
        <f>INSTOCK!$I2030*INSTOCK!$K2030</f>
        <v>130</v>
      </c>
      <c r="O2030" s="4"/>
      <c r="P2030" s="4"/>
    </row>
    <row r="2031" ht="15.75" hidden="1" customHeight="1">
      <c r="B2031" s="8">
        <v>2350.0</v>
      </c>
      <c r="C2031" s="9">
        <v>43525.0</v>
      </c>
      <c r="D2031" s="6" t="s">
        <v>2762</v>
      </c>
      <c r="E2031" s="4">
        <v>6.202000297E9</v>
      </c>
      <c r="F2031" s="8" t="s">
        <v>604</v>
      </c>
      <c r="G2031" s="4" t="s">
        <v>1777</v>
      </c>
      <c r="H2031" s="10" t="s">
        <v>1859</v>
      </c>
      <c r="I2031" s="10">
        <v>3000.0</v>
      </c>
      <c r="J2031" s="11" t="str">
        <f>IF(D2031&lt;&gt;"",VLOOKUP(H2031,TABLEITEM,5,FALSE),"")</f>
        <v>EA</v>
      </c>
      <c r="K2031" s="12">
        <v>0.9035</v>
      </c>
      <c r="L2031" s="13" t="str">
        <f>IF(D2031&lt;&gt;"",VLOOKUP(H2031,TABLEITEM,2,FALSE),"")</f>
        <v/>
      </c>
      <c r="M2031" s="13" t="str">
        <f>IF(D2031&lt;&gt;"",VLOOKUP(H2031,TABLEITEM,3,FALSE),"")</f>
        <v>สกรูหัวเหลี่ยมชุบขาว M8x25</v>
      </c>
      <c r="N2031" s="14">
        <f>INSTOCK!$I2031*INSTOCK!$K2031</f>
        <v>2710.5</v>
      </c>
      <c r="O2031" s="4" t="s">
        <v>1860</v>
      </c>
      <c r="P2031" s="4"/>
    </row>
    <row r="2032" ht="15.75" hidden="1" customHeight="1">
      <c r="B2032" s="8">
        <v>2351.0</v>
      </c>
      <c r="C2032" s="9">
        <v>43525.0</v>
      </c>
      <c r="D2032" s="6" t="s">
        <v>2763</v>
      </c>
      <c r="E2032" s="4" t="s">
        <v>2764</v>
      </c>
      <c r="F2032" s="8" t="s">
        <v>604</v>
      </c>
      <c r="G2032" s="4" t="s">
        <v>1777</v>
      </c>
      <c r="H2032" s="10" t="s">
        <v>2395</v>
      </c>
      <c r="I2032" s="10">
        <v>10000.0</v>
      </c>
      <c r="J2032" s="11" t="str">
        <f>IF(D2032&lt;&gt;"",VLOOKUP(H2032,TABLEITEM,5,FALSE),"")</f>
        <v>EA</v>
      </c>
      <c r="K2032" s="12">
        <v>0.99</v>
      </c>
      <c r="L2032" s="13" t="str">
        <f>IF(D2032&lt;&gt;"",VLOOKUP(H2032,TABLEITEM,2,FALSE),"")</f>
        <v/>
      </c>
      <c r="M2032" s="13" t="str">
        <f>IF(D2032&lt;&gt;"",VLOOKUP(H2032,TABLEITEM,3,FALSE),"")</f>
        <v>สกรูหัวเหลี่ยมชุบขาว M 6x10</v>
      </c>
      <c r="N2032" s="14">
        <f>INSTOCK!$I2032*INSTOCK!$K2032</f>
        <v>9900</v>
      </c>
      <c r="O2032" s="4" t="s">
        <v>1857</v>
      </c>
      <c r="P2032" s="4"/>
    </row>
    <row r="2033" ht="15.75" hidden="1" customHeight="1">
      <c r="B2033" s="8">
        <v>2352.0</v>
      </c>
      <c r="C2033" s="9">
        <v>43524.0</v>
      </c>
      <c r="D2033" s="6" t="s">
        <v>2765</v>
      </c>
      <c r="E2033" s="4"/>
      <c r="F2033" s="8" t="s">
        <v>801</v>
      </c>
      <c r="G2033" s="4" t="s">
        <v>1417</v>
      </c>
      <c r="H2033" s="10" t="s">
        <v>803</v>
      </c>
      <c r="I2033" s="10">
        <v>29.0</v>
      </c>
      <c r="J2033" s="11" t="str">
        <f>IF(D2033&lt;&gt;"",VLOOKUP(H2033,TABLEITEM,5,FALSE),"")</f>
        <v>ถัง</v>
      </c>
      <c r="K2033" s="12">
        <v>981.31</v>
      </c>
      <c r="L2033" s="13" t="str">
        <f>IF(D2033&lt;&gt;"",VLOOKUP(H2033,TABLEITEM,2,FALSE),"")</f>
        <v/>
      </c>
      <c r="M2033" s="13" t="str">
        <f>IF(D2033&lt;&gt;"",VLOOKUP(H2033,TABLEITEM,3,FALSE),"")</f>
        <v>แก๊สหุงต้ม 48กก</v>
      </c>
      <c r="N2033" s="14">
        <f>INSTOCK!$I2033*INSTOCK!$K2033</f>
        <v>28457.99</v>
      </c>
      <c r="O2033" s="4"/>
      <c r="P2033" s="4"/>
    </row>
    <row r="2034" ht="15.75" hidden="1" customHeight="1">
      <c r="B2034" s="8">
        <v>2353.0</v>
      </c>
      <c r="C2034" s="9">
        <v>43524.0</v>
      </c>
      <c r="D2034" s="6" t="s">
        <v>2766</v>
      </c>
      <c r="E2034" s="4">
        <v>6.202000269E9</v>
      </c>
      <c r="F2034" s="8" t="s">
        <v>604</v>
      </c>
      <c r="G2034" s="4" t="s">
        <v>1777</v>
      </c>
      <c r="H2034" s="10" t="s">
        <v>2522</v>
      </c>
      <c r="I2034" s="10">
        <v>8000.0</v>
      </c>
      <c r="J2034" s="11" t="str">
        <f>IF(D2034&lt;&gt;"",VLOOKUP(H2034,TABLEITEM,5,FALSE),"")</f>
        <v>EA</v>
      </c>
      <c r="K2034" s="12">
        <v>0.12</v>
      </c>
      <c r="L2034" s="13" t="str">
        <f>IF(D2034&lt;&gt;"",VLOOKUP(H2034,TABLEITEM,2,FALSE),"")</f>
        <v/>
      </c>
      <c r="M2034" s="13" t="str">
        <f>IF(D2034&lt;&gt;"",VLOOKUP(H2034,TABLEITEM,3,FALSE),"")</f>
        <v>สกรูหัวกลมชุบขาว M3x10</v>
      </c>
      <c r="N2034" s="14">
        <f>INSTOCK!$I2034*INSTOCK!$K2034</f>
        <v>960</v>
      </c>
      <c r="O2034" s="4"/>
      <c r="P2034" s="4"/>
    </row>
    <row r="2035" ht="15.75" hidden="1" customHeight="1">
      <c r="B2035" s="8">
        <v>2354.0</v>
      </c>
      <c r="C2035" s="9">
        <v>43524.0</v>
      </c>
      <c r="D2035" s="6" t="s">
        <v>2766</v>
      </c>
      <c r="E2035" s="4">
        <v>6.202000269E9</v>
      </c>
      <c r="F2035" s="8" t="s">
        <v>604</v>
      </c>
      <c r="G2035" s="4" t="s">
        <v>1777</v>
      </c>
      <c r="H2035" s="10" t="s">
        <v>2167</v>
      </c>
      <c r="I2035" s="10">
        <v>2000.0</v>
      </c>
      <c r="J2035" s="11" t="str">
        <f>IF(D2035&lt;&gt;"",VLOOKUP(H2035,TABLEITEM,5,FALSE),"")</f>
        <v>EA</v>
      </c>
      <c r="K2035" s="12">
        <v>0.13</v>
      </c>
      <c r="L2035" s="13" t="str">
        <f>IF(D2035&lt;&gt;"",VLOOKUP(H2035,TABLEITEM,2,FALSE),"")</f>
        <v/>
      </c>
      <c r="M2035" s="13" t="str">
        <f>IF(D2035&lt;&gt;"",VLOOKUP(H2035,TABLEITEM,3,FALSE),"")</f>
        <v>แหวนอีแปะ M4  ชุบขาว</v>
      </c>
      <c r="N2035" s="14">
        <f>INSTOCK!$I2035*INSTOCK!$K2035</f>
        <v>260</v>
      </c>
      <c r="O2035" s="4"/>
      <c r="P2035" s="4"/>
    </row>
    <row r="2036" ht="15.75" hidden="1" customHeight="1">
      <c r="B2036" s="8">
        <v>2355.0</v>
      </c>
      <c r="C2036" s="9">
        <v>43525.0</v>
      </c>
      <c r="D2036" s="6">
        <v>719.0</v>
      </c>
      <c r="E2036" s="4">
        <v>6.202000221E9</v>
      </c>
      <c r="F2036" s="8" t="s">
        <v>604</v>
      </c>
      <c r="G2036" s="4" t="s">
        <v>2382</v>
      </c>
      <c r="H2036" s="10" t="s">
        <v>2607</v>
      </c>
      <c r="I2036" s="10">
        <v>100.0</v>
      </c>
      <c r="J2036" s="11" t="str">
        <f>IF(D2036&lt;&gt;"",VLOOKUP(H2036,TABLEITEM,5,FALSE),"")</f>
        <v>EA</v>
      </c>
      <c r="K2036" s="12">
        <v>12.0</v>
      </c>
      <c r="L2036" s="13" t="str">
        <f>IF(D2036&lt;&gt;"",VLOOKUP(H2036,TABLEITEM,2,FALSE),"")</f>
        <v/>
      </c>
      <c r="M2036" s="13" t="str">
        <f>IF(D2036&lt;&gt;"",VLOOKUP(H2036,TABLEITEM,3,FALSE),"")</f>
        <v>บูชกลึง M35x30ต๊าปเกลียวใน M10 E4</v>
      </c>
      <c r="N2036" s="14">
        <f>INSTOCK!$I2036*INSTOCK!$K2036</f>
        <v>1200</v>
      </c>
      <c r="O2036" s="4"/>
      <c r="P2036" s="4"/>
    </row>
    <row r="2037" ht="15.75" hidden="1" customHeight="1">
      <c r="B2037" s="8">
        <v>2356.0</v>
      </c>
      <c r="C2037" s="9">
        <v>43525.0</v>
      </c>
      <c r="D2037" s="6" t="s">
        <v>2767</v>
      </c>
      <c r="E2037" s="4">
        <v>6.202000275E9</v>
      </c>
      <c r="F2037" s="8" t="s">
        <v>604</v>
      </c>
      <c r="G2037" s="4" t="s">
        <v>2768</v>
      </c>
      <c r="H2037" s="18" t="s">
        <v>2769</v>
      </c>
      <c r="I2037" s="10">
        <v>3000.0</v>
      </c>
      <c r="J2037" s="11" t="str">
        <f>IF(D2037&lt;&gt;"",VLOOKUP(H2037,TABLEITEM,5,FALSE),"")</f>
        <v>EA</v>
      </c>
      <c r="K2037" s="12">
        <v>3.65</v>
      </c>
      <c r="L2037" s="13" t="str">
        <f>IF(D2037&lt;&gt;"",VLOOKUP(H2037,TABLEITEM,2,FALSE),"")</f>
        <v/>
      </c>
      <c r="M2037" s="13" t="str">
        <f>IF(D2037&lt;&gt;"",VLOOKUP(H2037,TABLEITEM,3,FALSE),"")</f>
        <v>สตัดตัวเมียแบบย้ำ Clinch Stud M3x12</v>
      </c>
      <c r="N2037" s="14">
        <f>INSTOCK!$I2037*INSTOCK!$K2037</f>
        <v>10950</v>
      </c>
      <c r="O2037" s="4"/>
      <c r="P2037" s="4"/>
    </row>
    <row r="2038" ht="15.75" hidden="1" customHeight="1">
      <c r="B2038" s="8">
        <v>2357.0</v>
      </c>
      <c r="C2038" s="9">
        <v>43526.0</v>
      </c>
      <c r="D2038" s="6" t="s">
        <v>2770</v>
      </c>
      <c r="E2038" s="4">
        <v>6.203000313E9</v>
      </c>
      <c r="F2038" s="8" t="s">
        <v>604</v>
      </c>
      <c r="G2038" s="4" t="s">
        <v>808</v>
      </c>
      <c r="H2038" s="10" t="s">
        <v>818</v>
      </c>
      <c r="I2038" s="10">
        <v>14.0</v>
      </c>
      <c r="J2038" s="11" t="str">
        <f>IF(D2038&lt;&gt;"",VLOOKUP(H2038,TABLEITEM,5,FALSE),"")</f>
        <v>ท่อ</v>
      </c>
      <c r="K2038" s="12">
        <v>300.0</v>
      </c>
      <c r="L2038" s="13" t="str">
        <f>IF(D2038&lt;&gt;"",VLOOKUP(H2038,TABLEITEM,2,FALSE),"")</f>
        <v/>
      </c>
      <c r="M2038" s="13" t="str">
        <f>IF(D2038&lt;&gt;"",VLOOKUP(H2038,TABLEITEM,3,FALSE),"")</f>
        <v>คาร์บอนไดออกไซด์ ขนาด 25 กก</v>
      </c>
      <c r="N2038" s="14">
        <f>INSTOCK!$I2038*INSTOCK!$K2038</f>
        <v>4200</v>
      </c>
      <c r="O2038" s="4"/>
      <c r="P2038" s="4"/>
    </row>
    <row r="2039" ht="15.75" hidden="1" customHeight="1">
      <c r="B2039" s="8">
        <v>2358.0</v>
      </c>
      <c r="C2039" s="9">
        <v>43524.0</v>
      </c>
      <c r="D2039" s="6" t="s">
        <v>2771</v>
      </c>
      <c r="E2039" s="4">
        <v>6.202000281E9</v>
      </c>
      <c r="F2039" s="8" t="s">
        <v>2671</v>
      </c>
      <c r="G2039" s="4" t="s">
        <v>1923</v>
      </c>
      <c r="H2039" s="10" t="s">
        <v>1924</v>
      </c>
      <c r="I2039" s="10">
        <v>16.0</v>
      </c>
      <c r="J2039" s="11" t="str">
        <f>IF(D2039&lt;&gt;"",VLOOKUP(H2039,TABLEITEM,5,FALSE),"")</f>
        <v>EA</v>
      </c>
      <c r="K2039" s="12">
        <v>141.3</v>
      </c>
      <c r="L2039" s="13" t="str">
        <f>IF(D2039&lt;&gt;"",VLOOKUP(H2039,TABLEITEM,2,FALSE),"")</f>
        <v/>
      </c>
      <c r="M2039" s="13" t="str">
        <f>IF(D2039&lt;&gt;"",VLOOKUP(H2039,TABLEITEM,3,FALSE),"")</f>
        <v>ล้อเป็น 3" M 03S 075DSWPP</v>
      </c>
      <c r="N2039" s="14">
        <f>INSTOCK!$I2039*INSTOCK!$K2039</f>
        <v>2260.8</v>
      </c>
      <c r="O2039" s="4" t="s">
        <v>2772</v>
      </c>
      <c r="P2039" s="4"/>
    </row>
    <row r="2040" ht="15.75" hidden="1" customHeight="1">
      <c r="B2040" s="8">
        <v>2359.0</v>
      </c>
      <c r="C2040" s="9">
        <v>43526.0</v>
      </c>
      <c r="D2040" s="6">
        <v>7920.0</v>
      </c>
      <c r="E2040" s="4">
        <v>6.203000314E9</v>
      </c>
      <c r="F2040" s="8" t="s">
        <v>604</v>
      </c>
      <c r="G2040" s="4" t="s">
        <v>1009</v>
      </c>
      <c r="H2040" s="10" t="s">
        <v>2773</v>
      </c>
      <c r="I2040" s="10">
        <v>100.0</v>
      </c>
      <c r="J2040" s="11" t="str">
        <f>IF(D2040&lt;&gt;"",VLOOKUP(H2040,TABLEITEM,5,FALSE),"")</f>
        <v>EA</v>
      </c>
      <c r="K2040" s="12">
        <v>90.0</v>
      </c>
      <c r="L2040" s="13" t="str">
        <f>IF(D2040&lt;&gt;"",VLOOKUP(H2040,TABLEITEM,2,FALSE),"")</f>
        <v/>
      </c>
      <c r="M2040" s="13" t="str">
        <f>IF(D2040&lt;&gt;"",VLOOKUP(H2040,TABLEITEM,3,FALSE),"")</f>
        <v>DOOR LOCKER AB301-3-1</v>
      </c>
      <c r="N2040" s="14">
        <f>INSTOCK!$I2040*INSTOCK!$K2040</f>
        <v>9000</v>
      </c>
      <c r="O2040" s="4"/>
      <c r="P2040" s="4"/>
    </row>
    <row r="2041" ht="15.75" hidden="1" customHeight="1">
      <c r="B2041" s="8">
        <v>2360.0</v>
      </c>
      <c r="C2041" s="9">
        <v>43522.0</v>
      </c>
      <c r="D2041" s="6" t="s">
        <v>2774</v>
      </c>
      <c r="E2041" s="4">
        <v>6.202000288E9</v>
      </c>
      <c r="F2041" s="8" t="s">
        <v>807</v>
      </c>
      <c r="G2041" s="4" t="s">
        <v>808</v>
      </c>
      <c r="H2041" s="10" t="s">
        <v>812</v>
      </c>
      <c r="I2041" s="10">
        <v>1.0</v>
      </c>
      <c r="J2041" s="11" t="str">
        <f>IF(D2041&lt;&gt;"",VLOOKUP(H2041,TABLEITEM,5,FALSE),"")</f>
        <v>ท่อ</v>
      </c>
      <c r="K2041" s="12">
        <v>2960.0</v>
      </c>
      <c r="L2041" s="13" t="str">
        <f>IF(D2041&lt;&gt;"",VLOOKUP(H2041,TABLEITEM,2,FALSE),"")</f>
        <v/>
      </c>
      <c r="M2041" s="13" t="str">
        <f>IF(D2041&lt;&gt;"",VLOOKUP(H2041,TABLEITEM,3,FALSE),"")</f>
        <v>ออกซิเจนเหลว ขนาด 148 คิว</v>
      </c>
      <c r="N2041" s="14">
        <f>INSTOCK!$I2041*INSTOCK!$K2041</f>
        <v>2960</v>
      </c>
      <c r="O2041" s="4"/>
      <c r="P2041" s="4"/>
    </row>
    <row r="2042" ht="15.75" hidden="1" customHeight="1">
      <c r="B2042" s="8">
        <v>2361.0</v>
      </c>
      <c r="C2042" s="9">
        <v>43522.0</v>
      </c>
      <c r="D2042" s="6" t="s">
        <v>2775</v>
      </c>
      <c r="E2042" s="4">
        <v>6.202000292E9</v>
      </c>
      <c r="F2042" s="8" t="s">
        <v>2598</v>
      </c>
      <c r="G2042" s="4" t="s">
        <v>2445</v>
      </c>
      <c r="H2042" s="10" t="s">
        <v>2446</v>
      </c>
      <c r="I2042" s="10">
        <v>8000.0</v>
      </c>
      <c r="J2042" s="11" t="str">
        <f>IF(D2042&lt;&gt;"",VLOOKUP(H2042,TABLEITEM,5,FALSE),"")</f>
        <v>EA</v>
      </c>
      <c r="K2042" s="12">
        <v>0.65</v>
      </c>
      <c r="L2042" s="13" t="str">
        <f>IF(D2042&lt;&gt;"",VLOOKUP(H2042,TABLEITEM,2,FALSE),"")</f>
        <v/>
      </c>
      <c r="M2042" s="13" t="str">
        <f>IF(D2042&lt;&gt;"",VLOOKUP(H2042,TABLEITEM,3,FALSE),"")</f>
        <v>สตัด M4x10</v>
      </c>
      <c r="N2042" s="14">
        <f>INSTOCK!$I2042*INSTOCK!$K2042</f>
        <v>5200</v>
      </c>
      <c r="O2042" s="4"/>
      <c r="P2042" s="4"/>
    </row>
    <row r="2043" ht="15.75" hidden="1" customHeight="1">
      <c r="B2043" s="8">
        <v>2362.0</v>
      </c>
      <c r="C2043" s="9">
        <v>43521.0</v>
      </c>
      <c r="D2043" s="6">
        <v>6221009.0</v>
      </c>
      <c r="E2043" s="4">
        <v>6.202000278E9</v>
      </c>
      <c r="F2043" s="8" t="s">
        <v>2776</v>
      </c>
      <c r="G2043" s="4" t="s">
        <v>711</v>
      </c>
      <c r="H2043" s="10" t="s">
        <v>109</v>
      </c>
      <c r="I2043" s="10">
        <v>20.0</v>
      </c>
      <c r="J2043" s="11" t="str">
        <f>IF(D2043&lt;&gt;"",VLOOKUP(H2043,TABLEITEM,5,FALSE),"")</f>
        <v>KG.</v>
      </c>
      <c r="K2043" s="12">
        <v>153.0</v>
      </c>
      <c r="L2043" s="13" t="str">
        <f>IF(D2043&lt;&gt;"",VLOOKUP(H2043,TABLEITEM,2,FALSE),"")</f>
        <v/>
      </c>
      <c r="M2043" s="13" t="str">
        <f>IF(D2043&lt;&gt;"",VLOOKUP(H2043,TABLEITEM,3,FALSE),"")</f>
        <v>สีฝุ่น P90097 BN</v>
      </c>
      <c r="N2043" s="14">
        <f>INSTOCK!$I2043*INSTOCK!$K2043</f>
        <v>3060</v>
      </c>
      <c r="O2043" s="4" t="s">
        <v>1460</v>
      </c>
      <c r="P2043" s="4"/>
    </row>
    <row r="2044" ht="15.75" hidden="1" customHeight="1">
      <c r="B2044" s="8">
        <v>2363.0</v>
      </c>
      <c r="C2044" s="9">
        <v>43521.0</v>
      </c>
      <c r="D2044" s="6" t="s">
        <v>2777</v>
      </c>
      <c r="E2044" s="4">
        <v>6.202000298E9</v>
      </c>
      <c r="F2044" s="8" t="s">
        <v>604</v>
      </c>
      <c r="G2044" s="4" t="s">
        <v>1904</v>
      </c>
      <c r="H2044" s="10" t="s">
        <v>2717</v>
      </c>
      <c r="I2044" s="10">
        <v>8.0</v>
      </c>
      <c r="J2044" s="11" t="str">
        <f>IF(D2044&lt;&gt;"",VLOOKUP(H2044,TABLEITEM,5,FALSE),"")</f>
        <v>M</v>
      </c>
      <c r="K2044" s="12">
        <v>247.5</v>
      </c>
      <c r="L2044" s="13" t="str">
        <f>IF(D2044&lt;&gt;"",VLOOKUP(H2044,TABLEITEM,2,FALSE),"")</f>
        <v/>
      </c>
      <c r="M2044" s="13" t="str">
        <f>IF(D2044&lt;&gt;"",VLOOKUP(H2044,TABLEITEM,3,FALSE),"")</f>
        <v>RIBBON LM-IR300B 1/50M</v>
      </c>
      <c r="N2044" s="14">
        <f>INSTOCK!$I2044*INSTOCK!$K2044</f>
        <v>1980</v>
      </c>
      <c r="O2044" s="4" t="s">
        <v>2718</v>
      </c>
      <c r="P2044" s="4"/>
    </row>
    <row r="2045" ht="15.75" hidden="1" customHeight="1">
      <c r="B2045" s="8">
        <v>2364.0</v>
      </c>
      <c r="C2045" s="9">
        <v>43528.0</v>
      </c>
      <c r="D2045" s="6" t="s">
        <v>2778</v>
      </c>
      <c r="E2045" s="4">
        <v>6.203000311E9</v>
      </c>
      <c r="F2045" s="8" t="s">
        <v>604</v>
      </c>
      <c r="G2045" s="4" t="s">
        <v>2445</v>
      </c>
      <c r="H2045" s="10" t="s">
        <v>2446</v>
      </c>
      <c r="I2045" s="10">
        <v>10000.0</v>
      </c>
      <c r="J2045" s="11" t="str">
        <f>IF(D2045&lt;&gt;"",VLOOKUP(H2045,TABLEITEM,5,FALSE),"")</f>
        <v>EA</v>
      </c>
      <c r="K2045" s="12">
        <v>0.65</v>
      </c>
      <c r="L2045" s="13" t="str">
        <f>IF(D2045&lt;&gt;"",VLOOKUP(H2045,TABLEITEM,2,FALSE),"")</f>
        <v/>
      </c>
      <c r="M2045" s="13" t="str">
        <f>IF(D2045&lt;&gt;"",VLOOKUP(H2045,TABLEITEM,3,FALSE),"")</f>
        <v>สตัด M4x10</v>
      </c>
      <c r="N2045" s="14">
        <f>INSTOCK!$I2045*INSTOCK!$K2045</f>
        <v>6500</v>
      </c>
      <c r="O2045" s="4"/>
      <c r="P2045" s="4"/>
    </row>
    <row r="2046" ht="15.75" hidden="1" customHeight="1">
      <c r="B2046" s="8">
        <v>2365.0</v>
      </c>
      <c r="C2046" s="9">
        <v>43525.0</v>
      </c>
      <c r="D2046" s="6" t="s">
        <v>2779</v>
      </c>
      <c r="E2046" s="4">
        <v>6.202000245E9</v>
      </c>
      <c r="F2046" s="8" t="s">
        <v>604</v>
      </c>
      <c r="G2046" s="4" t="s">
        <v>1564</v>
      </c>
      <c r="H2046" s="10" t="s">
        <v>2761</v>
      </c>
      <c r="I2046" s="10">
        <v>350.0</v>
      </c>
      <c r="J2046" s="11" t="str">
        <f>IF(D2046&lt;&gt;"",VLOOKUP(H2046,TABLEITEM,5,FALSE),"")</f>
        <v>EA</v>
      </c>
      <c r="K2046" s="12">
        <v>18.0</v>
      </c>
      <c r="L2046" s="13" t="str">
        <f>IF(D2046&lt;&gt;"",VLOOKUP(H2046,TABLEITEM,2,FALSE),"")</f>
        <v/>
      </c>
      <c r="M2046" s="13" t="str">
        <f>IF(D2046&lt;&gt;"",VLOOKUP(H2046,TABLEITEM,3,FALSE),"")</f>
        <v>กาว BT-10</v>
      </c>
      <c r="N2046" s="14">
        <f>INSTOCK!$I2046*INSTOCK!$K2046</f>
        <v>6300</v>
      </c>
      <c r="O2046" s="4"/>
      <c r="P2046" s="4"/>
    </row>
    <row r="2047" ht="15.75" hidden="1" customHeight="1">
      <c r="B2047" s="8">
        <v>2366.0</v>
      </c>
      <c r="C2047" s="9">
        <v>43522.0</v>
      </c>
      <c r="D2047" s="6" t="s">
        <v>2780</v>
      </c>
      <c r="E2047" s="4"/>
      <c r="F2047" s="8" t="s">
        <v>2645</v>
      </c>
      <c r="G2047" s="4" t="s">
        <v>898</v>
      </c>
      <c r="H2047" s="10" t="s">
        <v>2781</v>
      </c>
      <c r="I2047" s="10">
        <v>2.0</v>
      </c>
      <c r="J2047" s="11" t="str">
        <f>IF(D2047&lt;&gt;"",VLOOKUP(H2047,TABLEITEM,5,FALSE),"")</f>
        <v>EA</v>
      </c>
      <c r="K2047" s="12">
        <v>3500.0</v>
      </c>
      <c r="L2047" s="13" t="str">
        <f>IF(D2047&lt;&gt;"",VLOOKUP(H2047,TABLEITEM,2,FALSE),"")</f>
        <v> </v>
      </c>
      <c r="M2047" s="13" t="str">
        <f>IF(D2047&lt;&gt;"",VLOOKUP(H2047,TABLEITEM,3,FALSE),"")</f>
        <v>กาพ่นสี STAR S-106</v>
      </c>
      <c r="N2047" s="14">
        <f>INSTOCK!$I2047*INSTOCK!$K2047</f>
        <v>7000</v>
      </c>
      <c r="O2047" s="4"/>
      <c r="P2047" s="4"/>
    </row>
    <row r="2048" ht="15.75" hidden="1" customHeight="1">
      <c r="B2048" s="8">
        <v>2367.0</v>
      </c>
      <c r="C2048" s="9">
        <v>43522.0</v>
      </c>
      <c r="D2048" s="6" t="s">
        <v>2780</v>
      </c>
      <c r="E2048" s="4"/>
      <c r="F2048" s="8" t="s">
        <v>2645</v>
      </c>
      <c r="G2048" s="4" t="s">
        <v>898</v>
      </c>
      <c r="H2048" s="10" t="s">
        <v>2268</v>
      </c>
      <c r="I2048" s="10">
        <v>2.0</v>
      </c>
      <c r="J2048" s="11" t="str">
        <f>IF(D2048&lt;&gt;"",VLOOKUP(H2048,TABLEITEM,5,FALSE),"")</f>
        <v>LIT</v>
      </c>
      <c r="K2048" s="12">
        <v>380.0</v>
      </c>
      <c r="L2048" s="13" t="str">
        <f>IF(D2048&lt;&gt;"",VLOOKUP(H2048,TABLEITEM,2,FALSE),"")</f>
        <v/>
      </c>
      <c r="M2048" s="13" t="str">
        <f>IF(D2048&lt;&gt;"",VLOOKUP(H2048,TABLEITEM,3,FALSE),"")</f>
        <v>สีพ่นแห้งเร็ว(สีผสม)</v>
      </c>
      <c r="N2048" s="14">
        <f>INSTOCK!$I2048*INSTOCK!$K2048</f>
        <v>760</v>
      </c>
      <c r="O2048" s="4" t="s">
        <v>2782</v>
      </c>
      <c r="P2048" s="4"/>
    </row>
    <row r="2049" ht="15.75" hidden="1" customHeight="1">
      <c r="B2049" s="8">
        <v>2368.0</v>
      </c>
      <c r="C2049" s="9">
        <v>43528.0</v>
      </c>
      <c r="D2049" s="6" t="s">
        <v>2783</v>
      </c>
      <c r="E2049" s="4"/>
      <c r="F2049" s="8" t="s">
        <v>2645</v>
      </c>
      <c r="G2049" s="4" t="s">
        <v>898</v>
      </c>
      <c r="H2049" s="10" t="s">
        <v>2268</v>
      </c>
      <c r="I2049" s="10">
        <v>5.0</v>
      </c>
      <c r="J2049" s="11" t="str">
        <f>IF(D2049&lt;&gt;"",VLOOKUP(H2049,TABLEITEM,5,FALSE),"")</f>
        <v>LIT</v>
      </c>
      <c r="K2049" s="12">
        <v>380.0</v>
      </c>
      <c r="L2049" s="13" t="str">
        <f>IF(D2049&lt;&gt;"",VLOOKUP(H2049,TABLEITEM,2,FALSE),"")</f>
        <v/>
      </c>
      <c r="M2049" s="13" t="str">
        <f>IF(D2049&lt;&gt;"",VLOOKUP(H2049,TABLEITEM,3,FALSE),"")</f>
        <v>สีพ่นแห้งเร็ว(สีผสม)</v>
      </c>
      <c r="N2049" s="14">
        <f>INSTOCK!$I2049*INSTOCK!$K2049</f>
        <v>1900</v>
      </c>
      <c r="O2049" s="4" t="s">
        <v>2782</v>
      </c>
      <c r="P2049" s="4"/>
    </row>
    <row r="2050" ht="15.75" hidden="1" customHeight="1">
      <c r="B2050" s="8">
        <v>2369.0</v>
      </c>
      <c r="C2050" s="9">
        <v>43528.0</v>
      </c>
      <c r="D2050" s="6" t="s">
        <v>2783</v>
      </c>
      <c r="E2050" s="4"/>
      <c r="F2050" s="8" t="s">
        <v>2645</v>
      </c>
      <c r="G2050" s="4" t="s">
        <v>898</v>
      </c>
      <c r="H2050" s="10" t="s">
        <v>2268</v>
      </c>
      <c r="I2050" s="10">
        <v>5.0</v>
      </c>
      <c r="J2050" s="11" t="str">
        <f>IF(D2050&lt;&gt;"",VLOOKUP(H2050,TABLEITEM,5,FALSE),"")</f>
        <v>LIT</v>
      </c>
      <c r="K2050" s="12">
        <v>400.0</v>
      </c>
      <c r="L2050" s="13" t="str">
        <f>IF(D2050&lt;&gt;"",VLOOKUP(H2050,TABLEITEM,2,FALSE),"")</f>
        <v/>
      </c>
      <c r="M2050" s="13" t="str">
        <f>IF(D2050&lt;&gt;"",VLOOKUP(H2050,TABLEITEM,3,FALSE),"")</f>
        <v>สีพ่นแห้งเร็ว(สีผสม)</v>
      </c>
      <c r="N2050" s="14">
        <f>INSTOCK!$I2050*INSTOCK!$K2050</f>
        <v>2000</v>
      </c>
      <c r="O2050" s="4" t="s">
        <v>2784</v>
      </c>
      <c r="P2050" s="4"/>
    </row>
    <row r="2051" ht="15.75" hidden="1" customHeight="1">
      <c r="B2051" s="8">
        <v>2370.0</v>
      </c>
      <c r="C2051" s="9">
        <v>43528.0</v>
      </c>
      <c r="D2051" s="6" t="s">
        <v>2783</v>
      </c>
      <c r="E2051" s="4"/>
      <c r="F2051" s="8" t="s">
        <v>2645</v>
      </c>
      <c r="G2051" s="4" t="s">
        <v>898</v>
      </c>
      <c r="H2051" s="10" t="s">
        <v>2268</v>
      </c>
      <c r="I2051" s="10">
        <v>2.0</v>
      </c>
      <c r="J2051" s="11" t="str">
        <f>IF(D2051&lt;&gt;"",VLOOKUP(H2051,TABLEITEM,5,FALSE),"")</f>
        <v>LIT</v>
      </c>
      <c r="K2051" s="12">
        <v>420.0</v>
      </c>
      <c r="L2051" s="13" t="str">
        <f>IF(D2051&lt;&gt;"",VLOOKUP(H2051,TABLEITEM,2,FALSE),"")</f>
        <v/>
      </c>
      <c r="M2051" s="13" t="str">
        <f>IF(D2051&lt;&gt;"",VLOOKUP(H2051,TABLEITEM,3,FALSE),"")</f>
        <v>สีพ่นแห้งเร็ว(สีผสม)</v>
      </c>
      <c r="N2051" s="14">
        <f>INSTOCK!$I2051*INSTOCK!$K2051</f>
        <v>840</v>
      </c>
      <c r="O2051" s="4" t="s">
        <v>2785</v>
      </c>
      <c r="P2051" s="4"/>
    </row>
    <row r="2052" ht="15.75" hidden="1" customHeight="1">
      <c r="B2052" s="8">
        <v>2371.0</v>
      </c>
      <c r="C2052" s="9">
        <v>43526.0</v>
      </c>
      <c r="D2052" s="6" t="s">
        <v>2786</v>
      </c>
      <c r="E2052" s="4"/>
      <c r="F2052" s="8" t="s">
        <v>2645</v>
      </c>
      <c r="G2052" s="4" t="s">
        <v>898</v>
      </c>
      <c r="H2052" s="10" t="s">
        <v>2268</v>
      </c>
      <c r="I2052" s="10">
        <v>5.0</v>
      </c>
      <c r="J2052" s="11" t="str">
        <f>IF(D2052&lt;&gt;"",VLOOKUP(H2052,TABLEITEM,5,FALSE),"")</f>
        <v>LIT</v>
      </c>
      <c r="K2052" s="12">
        <v>380.0</v>
      </c>
      <c r="L2052" s="13" t="str">
        <f>IF(D2052&lt;&gt;"",VLOOKUP(H2052,TABLEITEM,2,FALSE),"")</f>
        <v/>
      </c>
      <c r="M2052" s="13" t="str">
        <f>IF(D2052&lt;&gt;"",VLOOKUP(H2052,TABLEITEM,3,FALSE),"")</f>
        <v>สีพ่นแห้งเร็ว(สีผสม)</v>
      </c>
      <c r="N2052" s="14">
        <f>INSTOCK!$I2052*INSTOCK!$K2052</f>
        <v>1900</v>
      </c>
      <c r="O2052" s="4" t="s">
        <v>2782</v>
      </c>
      <c r="P2052" s="4"/>
    </row>
    <row r="2053" ht="15.75" hidden="1" customHeight="1">
      <c r="B2053" s="8">
        <v>2372.0</v>
      </c>
      <c r="C2053" s="9">
        <v>43526.0</v>
      </c>
      <c r="D2053" s="6" t="s">
        <v>2786</v>
      </c>
      <c r="E2053" s="4"/>
      <c r="F2053" s="8" t="s">
        <v>2645</v>
      </c>
      <c r="G2053" s="4" t="s">
        <v>898</v>
      </c>
      <c r="H2053" s="10" t="s">
        <v>2268</v>
      </c>
      <c r="I2053" s="10">
        <v>5.0</v>
      </c>
      <c r="J2053" s="11" t="str">
        <f>IF(D2053&lt;&gt;"",VLOOKUP(H2053,TABLEITEM,5,FALSE),"")</f>
        <v>LIT</v>
      </c>
      <c r="K2053" s="12">
        <v>400.0</v>
      </c>
      <c r="L2053" s="13" t="str">
        <f>IF(D2053&lt;&gt;"",VLOOKUP(H2053,TABLEITEM,2,FALSE),"")</f>
        <v/>
      </c>
      <c r="M2053" s="13" t="str">
        <f>IF(D2053&lt;&gt;"",VLOOKUP(H2053,TABLEITEM,3,FALSE),"")</f>
        <v>สีพ่นแห้งเร็ว(สีผสม)</v>
      </c>
      <c r="N2053" s="14">
        <f>INSTOCK!$I2053*INSTOCK!$K2053</f>
        <v>2000</v>
      </c>
      <c r="O2053" s="4" t="s">
        <v>2784</v>
      </c>
      <c r="P2053" s="4"/>
    </row>
    <row r="2054" ht="15.75" hidden="1" customHeight="1">
      <c r="B2054" s="8">
        <v>2373.0</v>
      </c>
      <c r="C2054" s="9">
        <v>43524.0</v>
      </c>
      <c r="D2054" s="6" t="s">
        <v>2787</v>
      </c>
      <c r="E2054" s="4"/>
      <c r="F2054" s="8" t="s">
        <v>2788</v>
      </c>
      <c r="G2054" s="4" t="s">
        <v>2738</v>
      </c>
      <c r="H2054" s="10" t="s">
        <v>2739</v>
      </c>
      <c r="I2054" s="10">
        <v>546.0</v>
      </c>
      <c r="J2054" s="11" t="str">
        <f>IF(D2054&lt;&gt;"",VLOOKUP(H2054,TABLEITEM,5,FALSE),"")</f>
        <v>KG.</v>
      </c>
      <c r="K2054" s="12">
        <v>12.0</v>
      </c>
      <c r="L2054" s="13" t="str">
        <f>IF(D2054&lt;&gt;"",VLOOKUP(H2054,TABLEITEM,2,FALSE),"")</f>
        <v/>
      </c>
      <c r="M2054" s="13" t="str">
        <f>IF(D2054&lt;&gt;"",VLOOKUP(H2054,TABLEITEM,3,FALSE),"")</f>
        <v>กระดาษติดแกนสีน้ำตาล(ห่อสินค้า)</v>
      </c>
      <c r="N2054" s="14">
        <f>INSTOCK!$I2054*INSTOCK!$K2054</f>
        <v>6552</v>
      </c>
      <c r="O2054" s="4"/>
      <c r="P2054" s="4"/>
    </row>
    <row r="2055" ht="15.75" hidden="1" customHeight="1">
      <c r="B2055" s="8">
        <v>2374.0</v>
      </c>
      <c r="C2055" s="9">
        <v>43526.0</v>
      </c>
      <c r="D2055" s="6" t="s">
        <v>2789</v>
      </c>
      <c r="E2055" s="4">
        <v>6.203000321E9</v>
      </c>
      <c r="F2055" s="8" t="s">
        <v>604</v>
      </c>
      <c r="G2055" s="4" t="s">
        <v>965</v>
      </c>
      <c r="H2055" s="10" t="s">
        <v>46</v>
      </c>
      <c r="I2055" s="10">
        <v>10.0</v>
      </c>
      <c r="J2055" s="11" t="str">
        <f>IF(D2055&lt;&gt;"",VLOOKUP(H2055,TABLEITEM,5,FALSE),"")</f>
        <v>ROLL</v>
      </c>
      <c r="K2055" s="12">
        <v>90.0</v>
      </c>
      <c r="L2055" s="13" t="str">
        <f>IF(D2055&lt;&gt;"",VLOOKUP(H2055,TABLEITEM,2,FALSE),"")</f>
        <v/>
      </c>
      <c r="M2055" s="13" t="str">
        <f>IF(D2055&lt;&gt;"",VLOOKUP(H2055,TABLEITEM,3,FALSE),"")</f>
        <v>ลวดดำ</v>
      </c>
      <c r="N2055" s="14">
        <f>INSTOCK!$I2055*INSTOCK!$K2055</f>
        <v>900</v>
      </c>
      <c r="O2055" s="4"/>
      <c r="P2055" s="4"/>
    </row>
    <row r="2056" ht="15.75" hidden="1" customHeight="1">
      <c r="B2056" s="8">
        <v>2375.0</v>
      </c>
      <c r="C2056" s="9">
        <v>43526.0</v>
      </c>
      <c r="D2056" s="6">
        <v>6.20300937E8</v>
      </c>
      <c r="E2056" s="4">
        <v>6.203000324E9</v>
      </c>
      <c r="F2056" s="8" t="s">
        <v>2790</v>
      </c>
      <c r="G2056" s="4" t="s">
        <v>1130</v>
      </c>
      <c r="H2056" s="10" t="s">
        <v>2791</v>
      </c>
      <c r="I2056" s="10">
        <v>6.0</v>
      </c>
      <c r="J2056" s="11" t="str">
        <f>IF(D2056&lt;&gt;"",VLOOKUP(H2056,TABLEITEM,5,FALSE),"")</f>
        <v>EA</v>
      </c>
      <c r="K2056" s="12">
        <v>121.125</v>
      </c>
      <c r="L2056" s="13" t="str">
        <f>IF(D2056&lt;&gt;"",VLOOKUP(H2056,TABLEITEM,2,FALSE),"")</f>
        <v/>
      </c>
      <c r="M2056" s="13" t="str">
        <f>IF(D2056&lt;&gt;"",VLOOKUP(H2056,TABLEITEM,3,FALSE),"")</f>
        <v>CT400/5 MQS40</v>
      </c>
      <c r="N2056" s="14">
        <f>INSTOCK!$I2056*INSTOCK!$K2056</f>
        <v>726.75</v>
      </c>
      <c r="O2056" s="4" t="s">
        <v>1898</v>
      </c>
      <c r="P2056" s="4"/>
    </row>
    <row r="2057" ht="15.75" hidden="1" customHeight="1">
      <c r="B2057" s="8">
        <v>2376.0</v>
      </c>
      <c r="C2057" s="9">
        <v>43526.0</v>
      </c>
      <c r="D2057" s="6">
        <v>6.20300937E8</v>
      </c>
      <c r="E2057" s="4">
        <v>6.203000324E9</v>
      </c>
      <c r="F2057" s="8" t="s">
        <v>2790</v>
      </c>
      <c r="G2057" s="4" t="s">
        <v>1130</v>
      </c>
      <c r="H2057" s="10" t="s">
        <v>2792</v>
      </c>
      <c r="I2057" s="10">
        <v>2.0</v>
      </c>
      <c r="J2057" s="11" t="str">
        <f>IF(D2057&lt;&gt;"",VLOOKUP(H2057,TABLEITEM,5,FALSE),"")</f>
        <v>EA</v>
      </c>
      <c r="K2057" s="12">
        <v>160.0</v>
      </c>
      <c r="L2057" s="13" t="str">
        <f>IF(D2057&lt;&gt;"",VLOOKUP(H2057,TABLEITEM,2,FALSE),"")</f>
        <v/>
      </c>
      <c r="M2057" s="13" t="str">
        <f>IF(D2057&lt;&gt;"",VLOOKUP(H2057,TABLEITEM,3,FALSE),"")</f>
        <v>AM SELECTOR 64x80mmSA16-4-61325-B13</v>
      </c>
      <c r="N2057" s="14">
        <f>INSTOCK!$I2057*INSTOCK!$K2057</f>
        <v>320</v>
      </c>
      <c r="O2057" s="4" t="s">
        <v>2793</v>
      </c>
      <c r="P2057" s="4"/>
    </row>
    <row r="2058" ht="15.75" hidden="1" customHeight="1">
      <c r="B2058" s="8">
        <v>2377.0</v>
      </c>
      <c r="C2058" s="9">
        <v>43526.0</v>
      </c>
      <c r="D2058" s="6">
        <v>6.20300937E8</v>
      </c>
      <c r="E2058" s="4">
        <v>6.203000324E9</v>
      </c>
      <c r="F2058" s="8" t="s">
        <v>2790</v>
      </c>
      <c r="G2058" s="4" t="s">
        <v>1130</v>
      </c>
      <c r="H2058" s="10" t="s">
        <v>2794</v>
      </c>
      <c r="I2058" s="10">
        <v>2.0</v>
      </c>
      <c r="J2058" s="11" t="str">
        <f>IF(D2058&lt;&gt;"",VLOOKUP(H2058,TABLEITEM,5,FALSE),"")</f>
        <v>EA</v>
      </c>
      <c r="K2058" s="12">
        <v>180.0</v>
      </c>
      <c r="L2058" s="13" t="str">
        <f>IF(D2058&lt;&gt;"",VLOOKUP(H2058,TABLEITEM,2,FALSE),"")</f>
        <v/>
      </c>
      <c r="M2058" s="13" t="str">
        <f>IF(D2058&lt;&gt;"",VLOOKUP(H2058,TABLEITEM,3,FALSE),"")</f>
        <v>VOLT SELECTOR 64x80mmSA16-7-61313-B13</v>
      </c>
      <c r="N2058" s="14">
        <f>INSTOCK!$I2058*INSTOCK!$K2058</f>
        <v>360</v>
      </c>
      <c r="O2058" s="4" t="s">
        <v>2795</v>
      </c>
      <c r="P2058" s="4"/>
    </row>
    <row r="2059" ht="15.75" hidden="1" customHeight="1">
      <c r="B2059" s="8">
        <v>2378.0</v>
      </c>
      <c r="C2059" s="9">
        <v>43526.0</v>
      </c>
      <c r="D2059" s="6">
        <v>37673.0</v>
      </c>
      <c r="E2059" s="4">
        <v>6.20300032E9</v>
      </c>
      <c r="F2059" s="8" t="s">
        <v>604</v>
      </c>
      <c r="G2059" s="4" t="s">
        <v>696</v>
      </c>
      <c r="H2059" s="10" t="s">
        <v>2730</v>
      </c>
      <c r="I2059" s="10">
        <v>72.0</v>
      </c>
      <c r="J2059" s="11" t="str">
        <f>IF(D2059&lt;&gt;"",VLOOKUP(H2059,TABLEITEM,5,FALSE),"")</f>
        <v>EA</v>
      </c>
      <c r="K2059" s="12">
        <v>46.0</v>
      </c>
      <c r="L2059" s="13" t="str">
        <f>IF(D2059&lt;&gt;"",VLOOKUP(H2059,TABLEITEM,2,FALSE),"")</f>
        <v/>
      </c>
      <c r="M2059" s="13" t="str">
        <f>IF(D2059&lt;&gt;"",VLOOKUP(H2059,TABLEITEM,3,FALSE),"")</f>
        <v>กระดาษกาวย่น INTER ขนาด 2"x45 หลา</v>
      </c>
      <c r="N2059" s="14">
        <f>INSTOCK!$I2059*INSTOCK!$K2059</f>
        <v>3312</v>
      </c>
      <c r="O2059" s="4"/>
      <c r="P2059" s="4"/>
    </row>
    <row r="2060" ht="15.75" hidden="1" customHeight="1">
      <c r="B2060" s="8">
        <v>2379.0</v>
      </c>
      <c r="C2060" s="9">
        <v>43526.0</v>
      </c>
      <c r="D2060" s="6">
        <v>37674.0</v>
      </c>
      <c r="E2060" s="4">
        <v>6.203000312E9</v>
      </c>
      <c r="F2060" s="8" t="s">
        <v>604</v>
      </c>
      <c r="G2060" s="4" t="s">
        <v>696</v>
      </c>
      <c r="H2060" s="10" t="s">
        <v>44</v>
      </c>
      <c r="I2060" s="10">
        <v>3.0</v>
      </c>
      <c r="J2060" s="11" t="str">
        <f>IF(D2060&lt;&gt;"",VLOOKUP(H2060,TABLEITEM,5,FALSE),"")</f>
        <v>ปี๊ป</v>
      </c>
      <c r="K2060" s="12">
        <v>370.0</v>
      </c>
      <c r="L2060" s="13" t="str">
        <f>IF(D2060&lt;&gt;"",VLOOKUP(H2060,TABLEITEM,2,FALSE),"")</f>
        <v/>
      </c>
      <c r="M2060" s="13" t="str">
        <f>IF(D2060&lt;&gt;"",VLOOKUP(H2060,TABLEITEM,3,FALSE),"")</f>
        <v>ทินเนอร์ AAA</v>
      </c>
      <c r="N2060" s="14">
        <f>INSTOCK!$I2060*INSTOCK!$K2060</f>
        <v>1110</v>
      </c>
      <c r="O2060" s="4"/>
      <c r="P2060" s="4"/>
    </row>
    <row r="2061" ht="15.75" hidden="1" customHeight="1">
      <c r="B2061" s="8">
        <v>2380.0</v>
      </c>
      <c r="C2061" s="9">
        <v>43526.0</v>
      </c>
      <c r="D2061" s="6">
        <v>37674.0</v>
      </c>
      <c r="E2061" s="4">
        <v>6.203000312E9</v>
      </c>
      <c r="F2061" s="8" t="s">
        <v>604</v>
      </c>
      <c r="G2061" s="4" t="s">
        <v>696</v>
      </c>
      <c r="H2061" s="10" t="s">
        <v>43</v>
      </c>
      <c r="I2061" s="10">
        <v>3.0</v>
      </c>
      <c r="J2061" s="11" t="str">
        <f>IF(D2061&lt;&gt;"",VLOOKUP(H2061,TABLEITEM,5,FALSE),"")</f>
        <v>ปี๊ป</v>
      </c>
      <c r="K2061" s="12">
        <v>590.0</v>
      </c>
      <c r="L2061" s="13" t="str">
        <f>IF(D2061&lt;&gt;"",VLOOKUP(H2061,TABLEITEM,2,FALSE),"")</f>
        <v/>
      </c>
      <c r="M2061" s="13" t="str">
        <f>IF(D2061&lt;&gt;"",VLOOKUP(H2061,TABLEITEM,3,FALSE),"")</f>
        <v>ทินเนอร์อคลิลิค</v>
      </c>
      <c r="N2061" s="14">
        <f>INSTOCK!$I2061*INSTOCK!$K2061</f>
        <v>1770</v>
      </c>
      <c r="O2061" s="4"/>
      <c r="P2061" s="4"/>
    </row>
    <row r="2062" ht="15.75" hidden="1" customHeight="1">
      <c r="B2062" s="8">
        <v>2381.0</v>
      </c>
      <c r="C2062" s="9">
        <v>43526.0</v>
      </c>
      <c r="D2062" s="6">
        <v>37674.0</v>
      </c>
      <c r="E2062" s="4">
        <v>6.203000312E9</v>
      </c>
      <c r="F2062" s="8" t="s">
        <v>604</v>
      </c>
      <c r="G2062" s="4" t="s">
        <v>696</v>
      </c>
      <c r="H2062" s="10" t="s">
        <v>55</v>
      </c>
      <c r="I2062" s="10">
        <v>72.0</v>
      </c>
      <c r="J2062" s="11" t="str">
        <f>IF(D2062&lt;&gt;"",VLOOKUP(H2062,TABLEITEM,5,FALSE),"")</f>
        <v>EA</v>
      </c>
      <c r="K2062" s="12">
        <v>12.0</v>
      </c>
      <c r="L2062" s="13" t="str">
        <f>IF(D2062&lt;&gt;"",VLOOKUP(H2062,TABLEITEM,2,FALSE),"")</f>
        <v/>
      </c>
      <c r="M2062" s="13" t="str">
        <f>IF(D2062&lt;&gt;"",VLOOKUP(H2062,TABLEITEM,3,FALSE),"")</f>
        <v>เทปใส 2''</v>
      </c>
      <c r="N2062" s="14">
        <f>INSTOCK!$I2062*INSTOCK!$K2062</f>
        <v>864</v>
      </c>
      <c r="O2062" s="4"/>
      <c r="P2062" s="4"/>
    </row>
    <row r="2063" ht="15.75" hidden="1" customHeight="1">
      <c r="B2063" s="8">
        <v>2382.0</v>
      </c>
      <c r="C2063" s="9">
        <v>43525.0</v>
      </c>
      <c r="D2063" s="6" t="s">
        <v>2796</v>
      </c>
      <c r="E2063" s="4">
        <v>6.203000315E9</v>
      </c>
      <c r="F2063" s="8" t="s">
        <v>604</v>
      </c>
      <c r="G2063" s="4" t="s">
        <v>1946</v>
      </c>
      <c r="H2063" s="10" t="s">
        <v>1947</v>
      </c>
      <c r="I2063" s="10">
        <v>77.0</v>
      </c>
      <c r="J2063" s="11" t="str">
        <f>IF(D2063&lt;&gt;"",VLOOKUP(H2063,TABLEITEM,5,FALSE),"")</f>
        <v>KG.</v>
      </c>
      <c r="K2063" s="12">
        <v>18.0</v>
      </c>
      <c r="L2063" s="13" t="str">
        <f>IF(D2063&lt;&gt;"",VLOOKUP(H2063,TABLEITEM,2,FALSE),"")</f>
        <v/>
      </c>
      <c r="M2063" s="13" t="str">
        <f>IF(D2063&lt;&gt;"",VLOOKUP(H2063,TABLEITEM,3,FALSE),"")</f>
        <v>กระดาษลูกฟูก 48"เกรด A</v>
      </c>
      <c r="N2063" s="14">
        <f>INSTOCK!$I2063*INSTOCK!$K2063</f>
        <v>1386</v>
      </c>
      <c r="O2063" s="4"/>
      <c r="P2063" s="4"/>
    </row>
    <row r="2064" ht="15.75" hidden="1" customHeight="1">
      <c r="B2064" s="8">
        <v>2383.0</v>
      </c>
      <c r="C2064" s="9">
        <v>43523.0</v>
      </c>
      <c r="D2064" s="6" t="s">
        <v>2797</v>
      </c>
      <c r="E2064" s="4"/>
      <c r="F2064" s="8" t="s">
        <v>2798</v>
      </c>
      <c r="G2064" s="4" t="s">
        <v>2799</v>
      </c>
      <c r="H2064" s="10" t="s">
        <v>2800</v>
      </c>
      <c r="I2064" s="10">
        <v>1.0</v>
      </c>
      <c r="J2064" s="11" t="str">
        <f>IF(D2064&lt;&gt;"",VLOOKUP(H2064,TABLEITEM,5,FALSE),"")</f>
        <v>EA</v>
      </c>
      <c r="K2064" s="12">
        <v>2850.0</v>
      </c>
      <c r="L2064" s="13" t="str">
        <f>IF(D2064&lt;&gt;"",VLOOKUP(H2064,TABLEITEM,2,FALSE),"")</f>
        <v/>
      </c>
      <c r="M2064" s="13" t="str">
        <f>IF(D2064&lt;&gt;"",VLOOKUP(H2064,TABLEITEM,3,FALSE),"")</f>
        <v>แบตเตอรี่ รถโฟล์คลิฟท์ (แบตใหม่)</v>
      </c>
      <c r="N2064" s="14">
        <f>INSTOCK!$I2064*INSTOCK!$K2064</f>
        <v>2850</v>
      </c>
      <c r="O2064" s="4"/>
      <c r="P2064" s="4"/>
    </row>
    <row r="2065" ht="15.75" hidden="1" customHeight="1">
      <c r="B2065" s="8">
        <v>2384.0</v>
      </c>
      <c r="C2065" s="9">
        <v>43523.0</v>
      </c>
      <c r="D2065" s="6" t="s">
        <v>2797</v>
      </c>
      <c r="E2065" s="4"/>
      <c r="F2065" s="8" t="s">
        <v>2798</v>
      </c>
      <c r="G2065" s="4" t="s">
        <v>2799</v>
      </c>
      <c r="H2065" s="10" t="s">
        <v>2801</v>
      </c>
      <c r="I2065" s="10">
        <v>1.0</v>
      </c>
      <c r="J2065" s="11" t="str">
        <f>IF(D2065&lt;&gt;"",VLOOKUP(H2065,TABLEITEM,5,FALSE),"")</f>
        <v>EA</v>
      </c>
      <c r="K2065" s="12">
        <v>-500.0</v>
      </c>
      <c r="L2065" s="13" t="str">
        <f>IF(D2065&lt;&gt;"",VLOOKUP(H2065,TABLEITEM,2,FALSE),"")</f>
        <v/>
      </c>
      <c r="M2065" s="13" t="str">
        <f>IF(D2065&lt;&gt;"",VLOOKUP(H2065,TABLEITEM,3,FALSE),"")</f>
        <v>แบตเตอรี่ รถโฟล์คลิฟท์ (แบตเก่า) PC ขาย</v>
      </c>
      <c r="N2065" s="14">
        <f>INSTOCK!$I2065*INSTOCK!$K2065</f>
        <v>-500</v>
      </c>
      <c r="O2065" s="4"/>
      <c r="P2065" s="4"/>
    </row>
    <row r="2066" ht="15.75" hidden="1" customHeight="1">
      <c r="B2066" s="8">
        <v>2385.0</v>
      </c>
      <c r="C2066" s="9">
        <v>43529.0</v>
      </c>
      <c r="D2066" s="6" t="s">
        <v>2802</v>
      </c>
      <c r="E2066" s="4">
        <v>6.203000331E9</v>
      </c>
      <c r="F2066" s="8" t="s">
        <v>604</v>
      </c>
      <c r="G2066" s="4" t="s">
        <v>1485</v>
      </c>
      <c r="H2066" s="10" t="s">
        <v>2157</v>
      </c>
      <c r="I2066" s="10">
        <v>30.0</v>
      </c>
      <c r="J2066" s="11" t="str">
        <f>IF(D2066&lt;&gt;"",VLOOKUP(H2066,TABLEITEM,5,FALSE),"")</f>
        <v>EA</v>
      </c>
      <c r="K2066" s="12">
        <v>82.0</v>
      </c>
      <c r="L2066" s="13" t="str">
        <f>IF(D2066&lt;&gt;"",VLOOKUP(H2066,TABLEITEM,2,FALSE),"")</f>
        <v/>
      </c>
      <c r="M2066" s="13" t="str">
        <f>IF(D2066&lt;&gt;"",VLOOKUP(H2066,TABLEITEM,3,FALSE),"")</f>
        <v>PILOT LIGHT LED 240V YELLOW</v>
      </c>
      <c r="N2066" s="14">
        <f>INSTOCK!$I2066*INSTOCK!$K2066</f>
        <v>2460</v>
      </c>
      <c r="O2066" s="4" t="s">
        <v>2803</v>
      </c>
      <c r="P2066" s="4"/>
    </row>
    <row r="2067" ht="15.75" hidden="1" customHeight="1">
      <c r="B2067" s="8">
        <v>2386.0</v>
      </c>
      <c r="C2067" s="9">
        <v>43529.0</v>
      </c>
      <c r="D2067" s="6" t="s">
        <v>2802</v>
      </c>
      <c r="E2067" s="4">
        <v>6.203000331E9</v>
      </c>
      <c r="F2067" s="8" t="s">
        <v>604</v>
      </c>
      <c r="G2067" s="4" t="s">
        <v>1485</v>
      </c>
      <c r="H2067" s="10" t="s">
        <v>2004</v>
      </c>
      <c r="I2067" s="10">
        <v>30.0</v>
      </c>
      <c r="J2067" s="11" t="str">
        <f>IF(D2067&lt;&gt;"",VLOOKUP(H2067,TABLEITEM,5,FALSE),"")</f>
        <v>EA</v>
      </c>
      <c r="K2067" s="12">
        <v>82.0</v>
      </c>
      <c r="L2067" s="13" t="str">
        <f>IF(D2067&lt;&gt;"",VLOOKUP(H2067,TABLEITEM,2,FALSE),"")</f>
        <v/>
      </c>
      <c r="M2067" s="13" t="str">
        <f>IF(D2067&lt;&gt;"",VLOOKUP(H2067,TABLEITEM,3,FALSE),"")</f>
        <v>PILOT LIGHT LED 240V RED</v>
      </c>
      <c r="N2067" s="14">
        <f>INSTOCK!$I2067*INSTOCK!$K2067</f>
        <v>2460</v>
      </c>
      <c r="O2067" s="4" t="s">
        <v>2803</v>
      </c>
      <c r="P2067" s="4"/>
    </row>
    <row r="2068" ht="15.75" hidden="1" customHeight="1">
      <c r="B2068" s="8">
        <v>2387.0</v>
      </c>
      <c r="C2068" s="9">
        <v>43529.0</v>
      </c>
      <c r="D2068" s="6" t="s">
        <v>2804</v>
      </c>
      <c r="E2068" s="4">
        <v>6.202000296E9</v>
      </c>
      <c r="F2068" s="8" t="s">
        <v>604</v>
      </c>
      <c r="G2068" s="4" t="s">
        <v>743</v>
      </c>
      <c r="H2068" s="10" t="s">
        <v>73</v>
      </c>
      <c r="I2068" s="10">
        <v>500.0</v>
      </c>
      <c r="J2068" s="11" t="str">
        <f>IF(D2068&lt;&gt;"",VLOOKUP(H2068,TABLEITEM,5,FALSE),"")</f>
        <v>KG.</v>
      </c>
      <c r="K2068" s="12">
        <v>99.85</v>
      </c>
      <c r="L2068" s="13" t="str">
        <f>IF(D2068&lt;&gt;"",VLOOKUP(H2068,TABLEITEM,2,FALSE),"")</f>
        <v/>
      </c>
      <c r="M2068" s="13" t="str">
        <f>IF(D2068&lt;&gt;"",VLOOKUP(H2068,TABLEITEM,3,FALSE),"")</f>
        <v>สีฝุ่น สีครีมย่น 1002782PX20</v>
      </c>
      <c r="N2068" s="14">
        <f>INSTOCK!$I2068*INSTOCK!$K2068</f>
        <v>49925</v>
      </c>
      <c r="O2068" s="4"/>
      <c r="P2068" s="4"/>
    </row>
    <row r="2069" ht="15.75" hidden="1" customHeight="1">
      <c r="B2069" s="8">
        <v>2388.0</v>
      </c>
      <c r="C2069" s="9">
        <v>43529.0</v>
      </c>
      <c r="D2069" s="6" t="s">
        <v>2805</v>
      </c>
      <c r="E2069" s="4">
        <v>6.203000323E9</v>
      </c>
      <c r="F2069" s="8" t="s">
        <v>981</v>
      </c>
      <c r="G2069" s="4" t="s">
        <v>982</v>
      </c>
      <c r="H2069" s="10" t="s">
        <v>983</v>
      </c>
      <c r="I2069" s="10">
        <v>200.0</v>
      </c>
      <c r="J2069" s="11" t="str">
        <f>IF(D2069&lt;&gt;"",VLOOKUP(H2069,TABLEITEM,5,FALSE),"")</f>
        <v>KG.</v>
      </c>
      <c r="K2069" s="12">
        <v>37.0</v>
      </c>
      <c r="L2069" s="13" t="str">
        <f>IF(D2069&lt;&gt;"",VLOOKUP(H2069,TABLEITEM,2,FALSE),"")</f>
        <v/>
      </c>
      <c r="M2069" s="13" t="str">
        <f>IF(D2069&lt;&gt;"",VLOOKUP(H2069,TABLEITEM,3,FALSE),"")</f>
        <v>เคมี ADDITIVE P-8</v>
      </c>
      <c r="N2069" s="14">
        <f>INSTOCK!$I2069*INSTOCK!$K2069</f>
        <v>7400</v>
      </c>
      <c r="O2069" s="4"/>
      <c r="P2069" s="4"/>
    </row>
    <row r="2070" ht="15.75" hidden="1" customHeight="1">
      <c r="B2070" s="8">
        <v>2389.0</v>
      </c>
      <c r="C2070" s="9">
        <v>43529.0</v>
      </c>
      <c r="D2070" s="6" t="s">
        <v>2805</v>
      </c>
      <c r="E2070" s="4">
        <v>6.203000323E9</v>
      </c>
      <c r="F2070" s="8" t="s">
        <v>981</v>
      </c>
      <c r="G2070" s="4" t="s">
        <v>982</v>
      </c>
      <c r="H2070" s="10" t="s">
        <v>986</v>
      </c>
      <c r="I2070" s="10">
        <v>300.0</v>
      </c>
      <c r="J2070" s="11" t="str">
        <f>IF(D2070&lt;&gt;"",VLOOKUP(H2070,TABLEITEM,5,FALSE),"")</f>
        <v>KG.</v>
      </c>
      <c r="K2070" s="12">
        <v>41.0</v>
      </c>
      <c r="L2070" s="13" t="str">
        <f>IF(D2070&lt;&gt;"",VLOOKUP(H2070,TABLEITEM,2,FALSE),"")</f>
        <v/>
      </c>
      <c r="M2070" s="13" t="str">
        <f>IF(D2070&lt;&gt;"",VLOOKUP(H2070,TABLEITEM,3,FALSE),"")</f>
        <v>เคมีฟอสเฟต PN-134</v>
      </c>
      <c r="N2070" s="14">
        <f>INSTOCK!$I2070*INSTOCK!$K2070</f>
        <v>12300</v>
      </c>
      <c r="O2070" s="4"/>
      <c r="P2070" s="4"/>
    </row>
    <row r="2071" ht="15.75" hidden="1" customHeight="1">
      <c r="B2071" s="8">
        <v>2390.0</v>
      </c>
      <c r="C2071" s="9">
        <v>43529.0</v>
      </c>
      <c r="D2071" s="6" t="s">
        <v>2806</v>
      </c>
      <c r="E2071" s="4">
        <v>6.20100006E9</v>
      </c>
      <c r="F2071" s="8" t="s">
        <v>604</v>
      </c>
      <c r="G2071" s="4" t="s">
        <v>2301</v>
      </c>
      <c r="H2071" s="10" t="s">
        <v>2302</v>
      </c>
      <c r="I2071" s="10">
        <v>2000.0</v>
      </c>
      <c r="J2071" s="11" t="str">
        <f>IF(D2071&lt;&gt;"",VLOOKUP(H2071,TABLEITEM,5,FALSE),"")</f>
        <v>EA</v>
      </c>
      <c r="K2071" s="12">
        <v>1.5</v>
      </c>
      <c r="L2071" s="13" t="str">
        <f>IF(D2071&lt;&gt;"",VLOOKUP(H2071,TABLEITEM,2,FALSE),"")</f>
        <v/>
      </c>
      <c r="M2071" s="13" t="str">
        <f>IF(D2071&lt;&gt;"",VLOOKUP(H2071,TABLEITEM,3,FALSE),"")</f>
        <v>ไส้กลางบานพับชุบขาว</v>
      </c>
      <c r="N2071" s="14">
        <f>INSTOCK!$I2071*INSTOCK!$K2071</f>
        <v>3000</v>
      </c>
      <c r="O2071" s="4"/>
      <c r="P2071" s="4"/>
    </row>
    <row r="2072" ht="15.75" hidden="1" customHeight="1">
      <c r="B2072" s="8">
        <v>2391.0</v>
      </c>
      <c r="C2072" s="9">
        <v>43528.0</v>
      </c>
      <c r="D2072" s="6" t="s">
        <v>2807</v>
      </c>
      <c r="E2072" s="4">
        <v>6.202000293E9</v>
      </c>
      <c r="F2072" s="8" t="s">
        <v>604</v>
      </c>
      <c r="G2072" s="4" t="s">
        <v>798</v>
      </c>
      <c r="H2072" s="10" t="s">
        <v>116</v>
      </c>
      <c r="I2072" s="10">
        <v>1000.0</v>
      </c>
      <c r="J2072" s="11" t="str">
        <f>IF(D2072&lt;&gt;"",VLOOKUP(H2072,TABLEITEM,5,FALSE),"")</f>
        <v>EA</v>
      </c>
      <c r="K2072" s="12">
        <v>23.0</v>
      </c>
      <c r="L2072" s="13" t="str">
        <f>IF(D2072&lt;&gt;"",VLOOKUP(H2072,TABLEITEM,2,FALSE),"")</f>
        <v/>
      </c>
      <c r="M2072" s="13" t="str">
        <f>IF(D2072&lt;&gt;"",VLOOKUP(H2072,TABLEITEM,3,FALSE),"")</f>
        <v>กุญแจกลมดำ แบบมีก้านลิ้นสั้น178-04-G-293</v>
      </c>
      <c r="N2072" s="14">
        <f>INSTOCK!$I2072*INSTOCK!$K2072</f>
        <v>23000</v>
      </c>
      <c r="O2072" s="4"/>
      <c r="P2072" s="4"/>
    </row>
    <row r="2073" ht="15.75" hidden="1" customHeight="1">
      <c r="B2073" s="8">
        <v>2392.0</v>
      </c>
      <c r="C2073" s="9">
        <v>43528.0</v>
      </c>
      <c r="D2073" s="6" t="s">
        <v>2808</v>
      </c>
      <c r="E2073" s="4">
        <v>6.202000246E9</v>
      </c>
      <c r="F2073" s="8" t="s">
        <v>604</v>
      </c>
      <c r="G2073" s="4" t="s">
        <v>798</v>
      </c>
      <c r="H2073" s="10" t="s">
        <v>130</v>
      </c>
      <c r="I2073" s="10">
        <v>700.0</v>
      </c>
      <c r="J2073" s="11" t="str">
        <f>IF(D2073&lt;&gt;"",VLOOKUP(H2073,TABLEITEM,5,FALSE),"")</f>
        <v>EA</v>
      </c>
      <c r="K2073" s="12">
        <v>63.75</v>
      </c>
      <c r="L2073" s="13" t="str">
        <f>IF(D2073&lt;&gt;"",VLOOKUP(H2073,TABLEITEM,2,FALSE),"")</f>
        <v/>
      </c>
      <c r="M2073" s="13" t="str">
        <f>IF(D2073&lt;&gt;"",VLOOKUP(H2073,TABLEITEM,3,FALSE),"")</f>
        <v>มือจับ 1A-261-91-H</v>
      </c>
      <c r="N2073" s="14">
        <f>INSTOCK!$I2073*INSTOCK!$K2073</f>
        <v>44625</v>
      </c>
      <c r="O2073" s="4" t="s">
        <v>2809</v>
      </c>
      <c r="P2073" s="4"/>
    </row>
    <row r="2074" ht="15.75" hidden="1" customHeight="1">
      <c r="B2074" s="8">
        <v>2393.0</v>
      </c>
      <c r="C2074" s="9">
        <v>43528.0</v>
      </c>
      <c r="D2074" s="6" t="s">
        <v>2808</v>
      </c>
      <c r="E2074" s="4">
        <v>6.202000246E9</v>
      </c>
      <c r="F2074" s="8" t="s">
        <v>604</v>
      </c>
      <c r="G2074" s="4" t="s">
        <v>798</v>
      </c>
      <c r="H2074" s="10" t="s">
        <v>1035</v>
      </c>
      <c r="I2074" s="10">
        <v>1200.0</v>
      </c>
      <c r="J2074" s="11" t="str">
        <f>IF(D2074&lt;&gt;"",VLOOKUP(H2074,TABLEITEM,5,FALSE),"")</f>
        <v>EA</v>
      </c>
      <c r="K2074" s="12">
        <v>63.75</v>
      </c>
      <c r="L2074" s="13" t="str">
        <f>IF(D2074&lt;&gt;"",VLOOKUP(H2074,TABLEITEM,2,FALSE),"")</f>
        <v/>
      </c>
      <c r="M2074" s="13" t="str">
        <f>IF(D2074&lt;&gt;"",VLOOKUP(H2074,TABLEITEM,3,FALSE),"")</f>
        <v>มือจับ 1A-262-91-H</v>
      </c>
      <c r="N2074" s="14">
        <f>INSTOCK!$I2074*INSTOCK!$K2074</f>
        <v>76500</v>
      </c>
      <c r="O2074" s="4" t="s">
        <v>2809</v>
      </c>
      <c r="P2074" s="4"/>
    </row>
    <row r="2075" ht="15.75" hidden="1" customHeight="1">
      <c r="B2075" s="8">
        <v>2394.0</v>
      </c>
      <c r="C2075" s="9">
        <v>43525.0</v>
      </c>
      <c r="D2075" s="6">
        <v>6.20300726E8</v>
      </c>
      <c r="E2075" s="4">
        <v>6.203000316E9</v>
      </c>
      <c r="F2075" s="8" t="s">
        <v>2810</v>
      </c>
      <c r="G2075" s="4" t="s">
        <v>1130</v>
      </c>
      <c r="H2075" s="10" t="s">
        <v>2811</v>
      </c>
      <c r="I2075" s="10">
        <v>1.0</v>
      </c>
      <c r="J2075" s="11" t="str">
        <f>IF(D2075&lt;&gt;"",VLOOKUP(H2075,TABLEITEM,5,FALSE),"")</f>
        <v>EA</v>
      </c>
      <c r="K2075" s="12">
        <v>2925.0</v>
      </c>
      <c r="L2075" s="13" t="str">
        <f>IF(D2075&lt;&gt;"",VLOOKUP(H2075,TABLEITEM,2,FALSE),"")</f>
        <v/>
      </c>
      <c r="M2075" s="13" t="str">
        <f>IF(D2075&lt;&gt;"",VLOOKUP(H2075,TABLEITEM,3,FALSE),"")</f>
        <v>เบรกเกอร์ มิตซู NF250-CV 3P 175A</v>
      </c>
      <c r="N2075" s="14">
        <f>INSTOCK!$I2075*INSTOCK!$K2075</f>
        <v>2925</v>
      </c>
      <c r="O2075" s="4" t="s">
        <v>2812</v>
      </c>
      <c r="P2075" s="4"/>
    </row>
    <row r="2076" ht="15.75" hidden="1" customHeight="1">
      <c r="B2076" s="8">
        <v>2395.0</v>
      </c>
      <c r="C2076" s="9">
        <v>43525.0</v>
      </c>
      <c r="D2076" s="6">
        <v>6.20300726E8</v>
      </c>
      <c r="E2076" s="4">
        <v>6.203000316E9</v>
      </c>
      <c r="F2076" s="8" t="s">
        <v>2810</v>
      </c>
      <c r="G2076" s="4" t="s">
        <v>1130</v>
      </c>
      <c r="H2076" s="10" t="s">
        <v>2813</v>
      </c>
      <c r="I2076" s="10">
        <v>2.0</v>
      </c>
      <c r="J2076" s="11" t="str">
        <f>IF(D2076&lt;&gt;"",VLOOKUP(H2076,TABLEITEM,5,FALSE),"")</f>
        <v>EA</v>
      </c>
      <c r="K2076" s="12">
        <v>855.0</v>
      </c>
      <c r="L2076" s="13" t="str">
        <f>IF(D2076&lt;&gt;"",VLOOKUP(H2076,TABLEITEM,2,FALSE),"")</f>
        <v/>
      </c>
      <c r="M2076" s="13" t="str">
        <f>IF(D2076&lt;&gt;"",VLOOKUP(H2076,TABLEITEM,3,FALSE),"")</f>
        <v>เบรกเกอร์ มิตซู NF63-CV 3P 20A</v>
      </c>
      <c r="N2076" s="14">
        <f>INSTOCK!$I2076*INSTOCK!$K2076</f>
        <v>1710</v>
      </c>
      <c r="O2076" s="4" t="s">
        <v>2814</v>
      </c>
      <c r="P2076" s="4"/>
    </row>
    <row r="2077" ht="15.75" hidden="1" customHeight="1">
      <c r="B2077" s="8">
        <v>2396.0</v>
      </c>
      <c r="C2077" s="9">
        <v>43525.0</v>
      </c>
      <c r="D2077" s="6">
        <v>6.20300726E8</v>
      </c>
      <c r="E2077" s="4">
        <v>6.203000316E9</v>
      </c>
      <c r="F2077" s="8" t="s">
        <v>2810</v>
      </c>
      <c r="G2077" s="4" t="s">
        <v>1130</v>
      </c>
      <c r="H2077" s="10" t="s">
        <v>2815</v>
      </c>
      <c r="I2077" s="10">
        <v>2.0</v>
      </c>
      <c r="J2077" s="11" t="str">
        <f>IF(D2077&lt;&gt;"",VLOOKUP(H2077,TABLEITEM,5,FALSE),"")</f>
        <v>EA</v>
      </c>
      <c r="K2077" s="12">
        <v>607.5</v>
      </c>
      <c r="L2077" s="13" t="str">
        <f>IF(D2077&lt;&gt;"",VLOOKUP(H2077,TABLEITEM,2,FALSE),"")</f>
        <v/>
      </c>
      <c r="M2077" s="13" t="str">
        <f>IF(D2077&lt;&gt;"",VLOOKUP(H2077,TABLEITEM,3,FALSE),"")</f>
        <v>เบรกเกอร์ มิตซู NF63-CV 2P 16A</v>
      </c>
      <c r="N2077" s="14">
        <f>INSTOCK!$I2077*INSTOCK!$K2077</f>
        <v>1215</v>
      </c>
      <c r="O2077" s="4" t="s">
        <v>2816</v>
      </c>
      <c r="P2077" s="4"/>
    </row>
    <row r="2078" ht="15.75" hidden="1" customHeight="1">
      <c r="B2078" s="8">
        <v>2397.0</v>
      </c>
      <c r="C2078" s="9">
        <v>43528.0</v>
      </c>
      <c r="D2078" s="6" t="s">
        <v>2817</v>
      </c>
      <c r="E2078" s="4">
        <v>6.203000327E9</v>
      </c>
      <c r="F2078" s="8" t="s">
        <v>1383</v>
      </c>
      <c r="G2078" s="4" t="s">
        <v>1485</v>
      </c>
      <c r="H2078" s="10" t="s">
        <v>2818</v>
      </c>
      <c r="I2078" s="10">
        <v>4.0</v>
      </c>
      <c r="J2078" s="11" t="str">
        <f>IF(D2078&lt;&gt;"",VLOOKUP(H2078,TABLEITEM,5,FALSE),"")</f>
        <v>EA</v>
      </c>
      <c r="K2078" s="12">
        <v>134.4</v>
      </c>
      <c r="L2078" s="13" t="str">
        <f>IF(D2078&lt;&gt;"",VLOOKUP(H2078,TABLEITEM,2,FALSE),"")</f>
        <v/>
      </c>
      <c r="M2078" s="13" t="str">
        <f>IF(D2078&lt;&gt;"",VLOOKUP(H2078,TABLEITEM,3,FALSE),"")</f>
        <v>MCB IC60N 1P 10A C CURVE 10KA 400VAC</v>
      </c>
      <c r="N2078" s="14">
        <f>INSTOCK!$I2078*INSTOCK!$K2078</f>
        <v>537.6</v>
      </c>
      <c r="O2078" s="4" t="s">
        <v>2819</v>
      </c>
      <c r="P2078" s="4"/>
    </row>
    <row r="2079" ht="15.75" hidden="1" customHeight="1">
      <c r="B2079" s="8">
        <v>2398.0</v>
      </c>
      <c r="C2079" s="9">
        <v>43528.0</v>
      </c>
      <c r="D2079" s="6" t="s">
        <v>2817</v>
      </c>
      <c r="E2079" s="4">
        <v>6.203000327E9</v>
      </c>
      <c r="F2079" s="8" t="s">
        <v>1383</v>
      </c>
      <c r="G2079" s="4" t="s">
        <v>1485</v>
      </c>
      <c r="H2079" s="10" t="s">
        <v>2820</v>
      </c>
      <c r="I2079" s="10">
        <v>4.0</v>
      </c>
      <c r="J2079" s="11" t="str">
        <f>IF(D2079&lt;&gt;"",VLOOKUP(H2079,TABLEITEM,5,FALSE),"")</f>
        <v>EA</v>
      </c>
      <c r="K2079" s="12">
        <v>134.4</v>
      </c>
      <c r="L2079" s="13" t="str">
        <f>IF(D2079&lt;&gt;"",VLOOKUP(H2079,TABLEITEM,2,FALSE),"")</f>
        <v/>
      </c>
      <c r="M2079" s="13" t="str">
        <f>IF(D2079&lt;&gt;"",VLOOKUP(H2079,TABLEITEM,3,FALSE),"")</f>
        <v>MCB IC60N 1P 16A C CURVE 10KA 400VAC</v>
      </c>
      <c r="N2079" s="14">
        <f>INSTOCK!$I2079*INSTOCK!$K2079</f>
        <v>537.6</v>
      </c>
      <c r="O2079" s="4" t="s">
        <v>2819</v>
      </c>
      <c r="P2079" s="4"/>
    </row>
    <row r="2080" ht="15.75" hidden="1" customHeight="1">
      <c r="B2080" s="8">
        <v>2399.0</v>
      </c>
      <c r="C2080" s="9">
        <v>43528.0</v>
      </c>
      <c r="D2080" s="6" t="s">
        <v>2817</v>
      </c>
      <c r="E2080" s="4">
        <v>6.203000327E9</v>
      </c>
      <c r="F2080" s="8" t="s">
        <v>1383</v>
      </c>
      <c r="G2080" s="4" t="s">
        <v>1485</v>
      </c>
      <c r="H2080" s="10" t="s">
        <v>2821</v>
      </c>
      <c r="I2080" s="10">
        <v>4.0</v>
      </c>
      <c r="J2080" s="11" t="str">
        <f>IF(D2080&lt;&gt;"",VLOOKUP(H2080,TABLEITEM,5,FALSE),"")</f>
        <v>EA</v>
      </c>
      <c r="K2080" s="12">
        <v>134.4</v>
      </c>
      <c r="L2080" s="13" t="str">
        <f>IF(D2080&lt;&gt;"",VLOOKUP(H2080,TABLEITEM,2,FALSE),"")</f>
        <v/>
      </c>
      <c r="M2080" s="13" t="str">
        <f>IF(D2080&lt;&gt;"",VLOOKUP(H2080,TABLEITEM,3,FALSE),"")</f>
        <v>MCB IC60N 1P 20A C CURVE 10KA 400VAC</v>
      </c>
      <c r="N2080" s="14">
        <f>INSTOCK!$I2080*INSTOCK!$K2080</f>
        <v>537.6</v>
      </c>
      <c r="O2080" s="4" t="s">
        <v>2819</v>
      </c>
      <c r="P2080" s="4"/>
    </row>
    <row r="2081" ht="15.75" hidden="1" customHeight="1">
      <c r="B2081" s="8">
        <v>2400.0</v>
      </c>
      <c r="C2081" s="9">
        <v>43528.0</v>
      </c>
      <c r="D2081" s="6" t="s">
        <v>2817</v>
      </c>
      <c r="E2081" s="4">
        <v>6.203000327E9</v>
      </c>
      <c r="F2081" s="8" t="s">
        <v>1383</v>
      </c>
      <c r="G2081" s="4" t="s">
        <v>1485</v>
      </c>
      <c r="H2081" s="10" t="s">
        <v>2822</v>
      </c>
      <c r="I2081" s="10">
        <v>4.0</v>
      </c>
      <c r="J2081" s="11" t="str">
        <f>IF(D2081&lt;&gt;"",VLOOKUP(H2081,TABLEITEM,5,FALSE),"")</f>
        <v>EA</v>
      </c>
      <c r="K2081" s="12">
        <v>134.4</v>
      </c>
      <c r="L2081" s="13" t="str">
        <f>IF(D2081&lt;&gt;"",VLOOKUP(H2081,TABLEITEM,2,FALSE),"")</f>
        <v/>
      </c>
      <c r="M2081" s="13" t="str">
        <f>IF(D2081&lt;&gt;"",VLOOKUP(H2081,TABLEITEM,3,FALSE),"")</f>
        <v>MCB IC60N 1P 32A C CURVE 10KA 400VAC</v>
      </c>
      <c r="N2081" s="14">
        <f>INSTOCK!$I2081*INSTOCK!$K2081</f>
        <v>537.6</v>
      </c>
      <c r="O2081" s="4" t="s">
        <v>2819</v>
      </c>
      <c r="P2081" s="4"/>
    </row>
    <row r="2082" ht="15.75" hidden="1" customHeight="1">
      <c r="B2082" s="8">
        <v>2401.0</v>
      </c>
      <c r="C2082" s="9">
        <v>43528.0</v>
      </c>
      <c r="D2082" s="6" t="s">
        <v>2823</v>
      </c>
      <c r="E2082" s="4">
        <v>6.203000328E9</v>
      </c>
      <c r="F2082" s="8" t="s">
        <v>1383</v>
      </c>
      <c r="G2082" s="4" t="s">
        <v>1516</v>
      </c>
      <c r="H2082" s="10" t="s">
        <v>2824</v>
      </c>
      <c r="I2082" s="10">
        <v>1.0</v>
      </c>
      <c r="J2082" s="11" t="str">
        <f>IF(D2082&lt;&gt;"",VLOOKUP(H2082,TABLEITEM,5,FALSE),"")</f>
        <v>EA</v>
      </c>
      <c r="K2082" s="12">
        <v>777.6</v>
      </c>
      <c r="L2082" s="13" t="str">
        <f>IF(D2082&lt;&gt;"",VLOOKUP(H2082,TABLEITEM,2,FALSE),"")</f>
        <v/>
      </c>
      <c r="M2082" s="13" t="str">
        <f>IF(D2082&lt;&gt;"",VLOOKUP(H2082,TABLEITEM,3,FALSE),"")</f>
        <v>MCB IC60N 3P 32A C CURVE 10KA 400VAC</v>
      </c>
      <c r="N2082" s="14">
        <f>INSTOCK!$I2082*INSTOCK!$K2082</f>
        <v>777.6</v>
      </c>
      <c r="O2082" s="4" t="s">
        <v>2825</v>
      </c>
      <c r="P2082" s="4"/>
    </row>
    <row r="2083" ht="15.75" hidden="1" customHeight="1">
      <c r="B2083" s="8">
        <v>2402.0</v>
      </c>
      <c r="C2083" s="9">
        <v>43528.0</v>
      </c>
      <c r="D2083" s="6" t="s">
        <v>2823</v>
      </c>
      <c r="E2083" s="4">
        <v>6.203000328E9</v>
      </c>
      <c r="F2083" s="8" t="s">
        <v>1383</v>
      </c>
      <c r="G2083" s="4" t="s">
        <v>1516</v>
      </c>
      <c r="H2083" s="10" t="s">
        <v>2826</v>
      </c>
      <c r="I2083" s="10">
        <v>1.0</v>
      </c>
      <c r="J2083" s="11" t="str">
        <f>IF(D2083&lt;&gt;"",VLOOKUP(H2083,TABLEITEM,5,FALSE),"")</f>
        <v>EA</v>
      </c>
      <c r="K2083" s="12">
        <v>331.2</v>
      </c>
      <c r="L2083" s="13" t="str">
        <f>IF(D2083&lt;&gt;"",VLOOKUP(H2083,TABLEITEM,2,FALSE),"")</f>
        <v/>
      </c>
      <c r="M2083" s="13" t="str">
        <f>IF(D2083&lt;&gt;"",VLOOKUP(H2083,TABLEITEM,3,FALSE),"")</f>
        <v>MCB IC60N 2P 32A C CURVE 10KA 400VAC</v>
      </c>
      <c r="N2083" s="14">
        <f>INSTOCK!$I2083*INSTOCK!$K2083</f>
        <v>331.2</v>
      </c>
      <c r="O2083" s="4" t="s">
        <v>2827</v>
      </c>
      <c r="P2083" s="4"/>
    </row>
    <row r="2084" ht="15.75" hidden="1" customHeight="1">
      <c r="B2084" s="8">
        <v>2403.0</v>
      </c>
      <c r="C2084" s="9">
        <v>43528.0</v>
      </c>
      <c r="D2084" s="6" t="s">
        <v>2823</v>
      </c>
      <c r="E2084" s="4">
        <v>6.203000328E9</v>
      </c>
      <c r="F2084" s="8" t="s">
        <v>1383</v>
      </c>
      <c r="G2084" s="4" t="s">
        <v>1516</v>
      </c>
      <c r="H2084" s="10" t="s">
        <v>2828</v>
      </c>
      <c r="I2084" s="10">
        <v>1.0</v>
      </c>
      <c r="J2084" s="11" t="str">
        <f>IF(D2084&lt;&gt;"",VLOOKUP(H2084,TABLEITEM,5,FALSE),"")</f>
        <v>EA</v>
      </c>
      <c r="K2084" s="12">
        <v>240.0</v>
      </c>
      <c r="L2084" s="13" t="str">
        <f>IF(D2084&lt;&gt;"",VLOOKUP(H2084,TABLEITEM,2,FALSE),"")</f>
        <v/>
      </c>
      <c r="M2084" s="13" t="str">
        <f>IF(D2084&lt;&gt;"",VLOOKUP(H2084,TABLEITEM,3,FALSE),"")</f>
        <v>COMB BUSBAR 3P 100A 12MOD</v>
      </c>
      <c r="N2084" s="14">
        <f>INSTOCK!$I2084*INSTOCK!$K2084</f>
        <v>240</v>
      </c>
      <c r="O2084" s="4" t="s">
        <v>2829</v>
      </c>
      <c r="P2084" s="4"/>
    </row>
    <row r="2085" ht="15.75" hidden="1" customHeight="1">
      <c r="B2085" s="8">
        <v>2404.0</v>
      </c>
      <c r="C2085" s="9">
        <v>43530.0</v>
      </c>
      <c r="D2085" s="6" t="s">
        <v>2830</v>
      </c>
      <c r="E2085" s="4">
        <v>6.203000334E9</v>
      </c>
      <c r="F2085" s="8" t="s">
        <v>807</v>
      </c>
      <c r="G2085" s="4" t="s">
        <v>808</v>
      </c>
      <c r="H2085" s="10" t="s">
        <v>812</v>
      </c>
      <c r="I2085" s="10">
        <v>1.0</v>
      </c>
      <c r="J2085" s="11" t="str">
        <f>IF(D2085&lt;&gt;"",VLOOKUP(H2085,TABLEITEM,5,FALSE),"")</f>
        <v>ท่อ</v>
      </c>
      <c r="K2085" s="12">
        <v>2960.0</v>
      </c>
      <c r="L2085" s="13" t="str">
        <f>IF(D2085&lt;&gt;"",VLOOKUP(H2085,TABLEITEM,2,FALSE),"")</f>
        <v/>
      </c>
      <c r="M2085" s="13" t="str">
        <f>IF(D2085&lt;&gt;"",VLOOKUP(H2085,TABLEITEM,3,FALSE),"")</f>
        <v>ออกซิเจนเหลว ขนาด 148 คิว</v>
      </c>
      <c r="N2085" s="14">
        <f>INSTOCK!$I2085*INSTOCK!$K2085</f>
        <v>2960</v>
      </c>
      <c r="O2085" s="4"/>
      <c r="P2085" s="4"/>
    </row>
    <row r="2086" ht="15.75" hidden="1" customHeight="1">
      <c r="B2086" s="8">
        <v>2405.0</v>
      </c>
      <c r="C2086" s="9">
        <v>43530.0</v>
      </c>
      <c r="D2086" s="6" t="s">
        <v>2830</v>
      </c>
      <c r="E2086" s="4">
        <v>6.203000334E9</v>
      </c>
      <c r="F2086" s="8" t="s">
        <v>807</v>
      </c>
      <c r="G2086" s="4" t="s">
        <v>808</v>
      </c>
      <c r="H2086" s="10" t="s">
        <v>831</v>
      </c>
      <c r="I2086" s="10">
        <v>1.0</v>
      </c>
      <c r="J2086" s="11" t="str">
        <f>IF(D2086&lt;&gt;"",VLOOKUP(H2086,TABLEITEM,5,FALSE),"")</f>
        <v>ท่อ</v>
      </c>
      <c r="K2086" s="12">
        <v>7700.0</v>
      </c>
      <c r="L2086" s="13" t="str">
        <f>IF(D2086&lt;&gt;"",VLOOKUP(H2086,TABLEITEM,2,FALSE),"")</f>
        <v/>
      </c>
      <c r="M2086" s="13" t="str">
        <f>IF(D2086&lt;&gt;"",VLOOKUP(H2086,TABLEITEM,3,FALSE),"")</f>
        <v>5% CO2.34% N2,61% HELIUM 7</v>
      </c>
      <c r="N2086" s="14">
        <f>INSTOCK!$I2086*INSTOCK!$K2086</f>
        <v>7700</v>
      </c>
      <c r="O2086" s="4"/>
      <c r="P2086" s="4"/>
    </row>
    <row r="2087" ht="15.75" hidden="1" customHeight="1">
      <c r="B2087" s="8">
        <v>2406.0</v>
      </c>
      <c r="C2087" s="9">
        <v>43530.0</v>
      </c>
      <c r="D2087" s="6">
        <v>37722.0</v>
      </c>
      <c r="E2087" s="4">
        <v>6.203000333E9</v>
      </c>
      <c r="F2087" s="8" t="s">
        <v>2645</v>
      </c>
      <c r="G2087" s="4" t="s">
        <v>696</v>
      </c>
      <c r="H2087" s="10" t="s">
        <v>2692</v>
      </c>
      <c r="I2087" s="10">
        <v>100.0</v>
      </c>
      <c r="J2087" s="11" t="str">
        <f>IF(D2087&lt;&gt;"",VLOOKUP(H2087,TABLEITEM,5,FALSE),"")</f>
        <v>EA</v>
      </c>
      <c r="K2087" s="12">
        <v>22.0</v>
      </c>
      <c r="L2087" s="13" t="str">
        <f>IF(D2087&lt;&gt;"",VLOOKUP(H2087,TABLEITEM,2,FALSE),"")</f>
        <v/>
      </c>
      <c r="M2087" s="13" t="str">
        <f>IF(D2087&lt;&gt;"",VLOOKUP(H2087,TABLEITEM,3,FALSE),"")</f>
        <v>บานพับเหล็กถอดได้ 1 1/4"</v>
      </c>
      <c r="N2087" s="14">
        <f>INSTOCK!$I2087*INSTOCK!$K2087</f>
        <v>2200</v>
      </c>
      <c r="O2087" s="4"/>
      <c r="P2087" s="4"/>
    </row>
    <row r="2088" ht="15.75" hidden="1" customHeight="1">
      <c r="B2088" s="8">
        <v>2407.0</v>
      </c>
      <c r="C2088" s="9">
        <v>43530.0</v>
      </c>
      <c r="D2088" s="6">
        <v>37721.0</v>
      </c>
      <c r="E2088" s="4">
        <v>6.203000329E9</v>
      </c>
      <c r="F2088" s="8" t="s">
        <v>604</v>
      </c>
      <c r="G2088" s="4" t="s">
        <v>696</v>
      </c>
      <c r="H2088" s="10" t="s">
        <v>2831</v>
      </c>
      <c r="I2088" s="10">
        <v>24.0</v>
      </c>
      <c r="J2088" s="11" t="str">
        <f>IF(D2088&lt;&gt;"",VLOOKUP(H2088,TABLEITEM,5,FALSE),"")</f>
        <v>EA</v>
      </c>
      <c r="K2088" s="12">
        <v>38.0</v>
      </c>
      <c r="L2088" s="13" t="str">
        <f>IF(D2088&lt;&gt;"",VLOOKUP(H2088,TABLEITEM,2,FALSE),"")</f>
        <v/>
      </c>
      <c r="M2088" s="13" t="str">
        <f>IF(D2088&lt;&gt;"",VLOOKUP(H2088,TABLEITEM,3,FALSE),"")</f>
        <v>แว่นตาใส </v>
      </c>
      <c r="N2088" s="14">
        <f>INSTOCK!$I2088*INSTOCK!$K2088</f>
        <v>912</v>
      </c>
      <c r="O2088" s="4"/>
      <c r="P2088" s="4"/>
    </row>
    <row r="2089" ht="15.75" hidden="1" customHeight="1">
      <c r="B2089" s="8">
        <v>2408.0</v>
      </c>
      <c r="C2089" s="9">
        <v>43530.0</v>
      </c>
      <c r="D2089" s="6" t="s">
        <v>2832</v>
      </c>
      <c r="E2089" s="4">
        <v>6.20200025E9</v>
      </c>
      <c r="F2089" s="8" t="s">
        <v>604</v>
      </c>
      <c r="G2089" s="4" t="s">
        <v>1289</v>
      </c>
      <c r="H2089" s="10" t="s">
        <v>131</v>
      </c>
      <c r="I2089" s="10">
        <v>1000.0</v>
      </c>
      <c r="J2089" s="11" t="str">
        <f>IF(D2089&lt;&gt;"",VLOOKUP(H2089,TABLEITEM,5,FALSE),"")</f>
        <v>EA</v>
      </c>
      <c r="K2089" s="12">
        <v>11.2</v>
      </c>
      <c r="L2089" s="13" t="str">
        <f>IF(D2089&lt;&gt;"",VLOOKUP(H2089,TABLEITEM,2,FALSE),"")</f>
        <v/>
      </c>
      <c r="M2089" s="13" t="str">
        <f>IF(D2089&lt;&gt;"",VLOOKUP(H2089,TABLEITEM,3,FALSE),"")</f>
        <v>มือจับตัวซี 4 นิ้ว มือจับโครเมี่ยม</v>
      </c>
      <c r="N2089" s="14">
        <f>INSTOCK!$I2089*INSTOCK!$K2089</f>
        <v>11200</v>
      </c>
      <c r="O2089" s="4"/>
      <c r="P2089" s="4"/>
    </row>
    <row r="2090" ht="15.75" hidden="1" customHeight="1">
      <c r="B2090" s="8">
        <v>2409.0</v>
      </c>
      <c r="C2090" s="9">
        <v>43530.0</v>
      </c>
      <c r="D2090" s="6" t="s">
        <v>2832</v>
      </c>
      <c r="E2090" s="4">
        <v>6.20200025E9</v>
      </c>
      <c r="F2090" s="8" t="s">
        <v>604</v>
      </c>
      <c r="G2090" s="4" t="s">
        <v>1289</v>
      </c>
      <c r="H2090" s="10" t="s">
        <v>2354</v>
      </c>
      <c r="I2090" s="10">
        <v>800.0</v>
      </c>
      <c r="J2090" s="11" t="str">
        <f>IF(D2090&lt;&gt;"",VLOOKUP(H2090,TABLEITEM,5,FALSE),"")</f>
        <v>EA</v>
      </c>
      <c r="K2090" s="12">
        <v>9.0</v>
      </c>
      <c r="L2090" s="13" t="str">
        <f>IF(D2090&lt;&gt;"",VLOOKUP(H2090,TABLEITEM,2,FALSE),"")</f>
        <v/>
      </c>
      <c r="M2090" s="13" t="str">
        <f>IF(D2090&lt;&gt;"",VLOOKUP(H2090,TABLEITEM,3,FALSE),"")</f>
        <v>กันชนแม่เหล็กตัวใหญ๋</v>
      </c>
      <c r="N2090" s="14">
        <f>INSTOCK!$I2090*INSTOCK!$K2090</f>
        <v>7200</v>
      </c>
      <c r="O2090" s="4" t="s">
        <v>1298</v>
      </c>
      <c r="P2090" s="4"/>
    </row>
    <row r="2091" ht="15.75" hidden="1" customHeight="1">
      <c r="B2091" s="8">
        <v>2410.0</v>
      </c>
      <c r="C2091" s="9">
        <v>43530.0</v>
      </c>
      <c r="D2091" s="6" t="s">
        <v>2833</v>
      </c>
      <c r="E2091" s="4">
        <v>6.203000322E9</v>
      </c>
      <c r="F2091" s="8" t="s">
        <v>2834</v>
      </c>
      <c r="G2091" s="4" t="s">
        <v>2009</v>
      </c>
      <c r="H2091" s="10" t="s">
        <v>2835</v>
      </c>
      <c r="I2091" s="10">
        <v>2.0</v>
      </c>
      <c r="J2091" s="11" t="str">
        <f>IF(D2091&lt;&gt;"",VLOOKUP(H2091,TABLEITEM,5,FALSE),"")</f>
        <v>EA</v>
      </c>
      <c r="K2091" s="12">
        <v>901.0</v>
      </c>
      <c r="L2091" s="13" t="str">
        <f>IF(D2091&lt;&gt;"",VLOOKUP(H2091,TABLEITEM,2,FALSE),"")</f>
        <v/>
      </c>
      <c r="M2091" s="13" t="str">
        <f>IF(D2091&lt;&gt;"",VLOOKUP(H2091,TABLEITEM,3,FALSE),"")</f>
        <v>ฮิตเตอร์อินฟราเรด CS-600MM 1000W AC220V</v>
      </c>
      <c r="N2091" s="14">
        <f>INSTOCK!$I2091*INSTOCK!$K2091</f>
        <v>1802</v>
      </c>
      <c r="O2091" s="4" t="s">
        <v>2836</v>
      </c>
      <c r="P2091" s="4"/>
    </row>
    <row r="2092" ht="15.75" hidden="1" customHeight="1">
      <c r="B2092" s="8">
        <v>2411.0</v>
      </c>
      <c r="C2092" s="9">
        <v>43530.0</v>
      </c>
      <c r="D2092" s="6" t="s">
        <v>2833</v>
      </c>
      <c r="E2092" s="4">
        <v>6.203000322E9</v>
      </c>
      <c r="F2092" s="8" t="s">
        <v>2834</v>
      </c>
      <c r="G2092" s="4" t="s">
        <v>2009</v>
      </c>
      <c r="H2092" s="10" t="s">
        <v>2837</v>
      </c>
      <c r="I2092" s="10">
        <v>2.0</v>
      </c>
      <c r="J2092" s="11" t="str">
        <f>IF(D2092&lt;&gt;"",VLOOKUP(H2092,TABLEITEM,5,FALSE),"")</f>
        <v>EA</v>
      </c>
      <c r="K2092" s="12">
        <v>408.0</v>
      </c>
      <c r="L2092" s="13" t="str">
        <f>IF(D2092&lt;&gt;"",VLOOKUP(H2092,TABLEITEM,2,FALSE),"")</f>
        <v/>
      </c>
      <c r="M2092" s="13" t="str">
        <f>IF(D2092&lt;&gt;"",VLOOKUP(H2092,TABLEITEM,3,FALSE),"")</f>
        <v>โคม 600 มิล</v>
      </c>
      <c r="N2092" s="14">
        <f>INSTOCK!$I2092*INSTOCK!$K2092</f>
        <v>816</v>
      </c>
      <c r="O2092" s="4" t="s">
        <v>2838</v>
      </c>
      <c r="P2092" s="4"/>
    </row>
    <row r="2093" ht="15.75" hidden="1" customHeight="1">
      <c r="B2093" s="8">
        <v>2412.0</v>
      </c>
      <c r="C2093" s="9">
        <v>43531.0</v>
      </c>
      <c r="D2093" s="6" t="s">
        <v>2839</v>
      </c>
      <c r="E2093" s="4">
        <v>6.203000341E9</v>
      </c>
      <c r="F2093" s="8" t="s">
        <v>604</v>
      </c>
      <c r="G2093" s="4" t="s">
        <v>2445</v>
      </c>
      <c r="H2093" s="10" t="s">
        <v>2446</v>
      </c>
      <c r="I2093" s="10">
        <v>10000.0</v>
      </c>
      <c r="J2093" s="11" t="str">
        <f>IF(D2093&lt;&gt;"",VLOOKUP(H2093,TABLEITEM,5,FALSE),"")</f>
        <v>EA</v>
      </c>
      <c r="K2093" s="12">
        <v>0.65</v>
      </c>
      <c r="L2093" s="13" t="str">
        <f>IF(D2093&lt;&gt;"",VLOOKUP(H2093,TABLEITEM,2,FALSE),"")</f>
        <v/>
      </c>
      <c r="M2093" s="13" t="str">
        <f>IF(D2093&lt;&gt;"",VLOOKUP(H2093,TABLEITEM,3,FALSE),"")</f>
        <v>สตัด M4x10</v>
      </c>
      <c r="N2093" s="14">
        <f>INSTOCK!$I2093*INSTOCK!$K2093</f>
        <v>6500</v>
      </c>
      <c r="O2093" s="4"/>
      <c r="P2093" s="4"/>
    </row>
    <row r="2094" ht="15.75" hidden="1" customHeight="1">
      <c r="B2094" s="8">
        <v>2413.0</v>
      </c>
      <c r="C2094" s="9">
        <v>43531.0</v>
      </c>
      <c r="D2094" s="6">
        <v>37744.0</v>
      </c>
      <c r="E2094" s="4">
        <v>6.203000343E9</v>
      </c>
      <c r="F2094" s="8" t="s">
        <v>604</v>
      </c>
      <c r="G2094" s="4" t="s">
        <v>696</v>
      </c>
      <c r="H2094" s="10" t="s">
        <v>64</v>
      </c>
      <c r="I2094" s="10">
        <v>12.0</v>
      </c>
      <c r="J2094" s="11" t="str">
        <f>IF(D2094&lt;&gt;"",VLOOKUP(H2094,TABLEITEM,5,FALSE),"")</f>
        <v>กป.</v>
      </c>
      <c r="K2094" s="12">
        <v>41.6666</v>
      </c>
      <c r="L2094" s="13" t="str">
        <f>IF(D2094&lt;&gt;"",VLOOKUP(H2094,TABLEITEM,2,FALSE),"")</f>
        <v/>
      </c>
      <c r="M2094" s="13" t="str">
        <f>IF(D2094&lt;&gt;"",VLOOKUP(H2094,TABLEITEM,3,FALSE),"")</f>
        <v>สีสเปรย์ สีเหลือง</v>
      </c>
      <c r="N2094" s="14">
        <f>INSTOCK!$I2094*INSTOCK!$K2094</f>
        <v>499.9992</v>
      </c>
      <c r="O2094" s="4" t="s">
        <v>1464</v>
      </c>
      <c r="P2094" s="4"/>
    </row>
    <row r="2095" ht="15.75" hidden="1" customHeight="1">
      <c r="B2095" s="8">
        <v>2414.0</v>
      </c>
      <c r="C2095" s="9">
        <v>43531.0</v>
      </c>
      <c r="D2095" s="6">
        <v>37744.0</v>
      </c>
      <c r="E2095" s="4">
        <v>6.203000343E9</v>
      </c>
      <c r="F2095" s="8" t="s">
        <v>604</v>
      </c>
      <c r="G2095" s="4" t="s">
        <v>696</v>
      </c>
      <c r="H2095" s="10" t="s">
        <v>67</v>
      </c>
      <c r="I2095" s="10">
        <v>12.0</v>
      </c>
      <c r="J2095" s="11" t="str">
        <f>IF(D2095&lt;&gt;"",VLOOKUP(H2095,TABLEITEM,5,FALSE),"")</f>
        <v>กป.</v>
      </c>
      <c r="K2095" s="12">
        <v>41.6666</v>
      </c>
      <c r="L2095" s="13" t="str">
        <f>IF(D2095&lt;&gt;"",VLOOKUP(H2095,TABLEITEM,2,FALSE),"")</f>
        <v/>
      </c>
      <c r="M2095" s="13" t="str">
        <f>IF(D2095&lt;&gt;"",VLOOKUP(H2095,TABLEITEM,3,FALSE),"")</f>
        <v>สีสเปรย์ สีฟ้า</v>
      </c>
      <c r="N2095" s="14">
        <f>INSTOCK!$I2095*INSTOCK!$K2095</f>
        <v>499.9992</v>
      </c>
      <c r="O2095" s="4" t="s">
        <v>1464</v>
      </c>
      <c r="P2095" s="4"/>
    </row>
    <row r="2096" ht="15.75" hidden="1" customHeight="1">
      <c r="B2096" s="8">
        <v>2415.0</v>
      </c>
      <c r="C2096" s="9">
        <v>43531.0</v>
      </c>
      <c r="D2096" s="6" t="s">
        <v>2840</v>
      </c>
      <c r="E2096" s="4"/>
      <c r="F2096" s="8" t="s">
        <v>2841</v>
      </c>
      <c r="G2096" s="4" t="s">
        <v>898</v>
      </c>
      <c r="H2096" s="10" t="s">
        <v>2268</v>
      </c>
      <c r="I2096" s="10">
        <v>1.0</v>
      </c>
      <c r="J2096" s="11" t="str">
        <f>IF(D2096&lt;&gt;"",VLOOKUP(H2096,TABLEITEM,5,FALSE),"")</f>
        <v>LIT</v>
      </c>
      <c r="K2096" s="12">
        <v>380.0</v>
      </c>
      <c r="L2096" s="13" t="str">
        <f>IF(D2096&lt;&gt;"",VLOOKUP(H2096,TABLEITEM,2,FALSE),"")</f>
        <v/>
      </c>
      <c r="M2096" s="13" t="str">
        <f>IF(D2096&lt;&gt;"",VLOOKUP(H2096,TABLEITEM,3,FALSE),"")</f>
        <v>สีพ่นแห้งเร็ว(สีผสม)</v>
      </c>
      <c r="N2096" s="14">
        <f>INSTOCK!$I2096*INSTOCK!$K2096</f>
        <v>380</v>
      </c>
      <c r="O2096" s="4" t="s">
        <v>2842</v>
      </c>
      <c r="P2096" s="4"/>
    </row>
    <row r="2097" ht="15.75" hidden="1" customHeight="1">
      <c r="B2097" s="8">
        <v>2416.0</v>
      </c>
      <c r="C2097" s="9">
        <v>43531.0</v>
      </c>
      <c r="D2097" s="6" t="s">
        <v>2843</v>
      </c>
      <c r="E2097" s="4">
        <v>6.203000338E9</v>
      </c>
      <c r="F2097" s="8" t="s">
        <v>604</v>
      </c>
      <c r="G2097" s="4" t="s">
        <v>702</v>
      </c>
      <c r="H2097" s="10" t="s">
        <v>83</v>
      </c>
      <c r="I2097" s="10">
        <v>100.0</v>
      </c>
      <c r="J2097" s="11" t="str">
        <f>IF(D2097&lt;&gt;"",VLOOKUP(H2097,TABLEITEM,5,FALSE),"")</f>
        <v>KG.</v>
      </c>
      <c r="K2097" s="12">
        <v>125.0</v>
      </c>
      <c r="L2097" s="13" t="str">
        <f>IF(D2097&lt;&gt;"",VLOOKUP(H2097,TABLEITEM,2,FALSE),"")</f>
        <v/>
      </c>
      <c r="M2097" s="13" t="str">
        <f>IF(D2097&lt;&gt;"",VLOOKUP(H2097,TABLEITEM,3,FALSE),"")</f>
        <v>สีฝุ่น FF 110/90/C สีขาวเรียบ</v>
      </c>
      <c r="N2097" s="14">
        <f>INSTOCK!$I2097*INSTOCK!$K2097</f>
        <v>12500</v>
      </c>
      <c r="O2097" s="4"/>
      <c r="P2097" s="4"/>
    </row>
    <row r="2098" ht="15.75" hidden="1" customHeight="1">
      <c r="B2098" s="8">
        <v>2417.0</v>
      </c>
      <c r="C2098" s="9">
        <v>43531.0</v>
      </c>
      <c r="D2098" s="6" t="s">
        <v>2844</v>
      </c>
      <c r="E2098" s="4">
        <v>6.203000347E9</v>
      </c>
      <c r="F2098" s="8" t="s">
        <v>2845</v>
      </c>
      <c r="G2098" s="4" t="s">
        <v>2460</v>
      </c>
      <c r="H2098" s="10" t="s">
        <v>2846</v>
      </c>
      <c r="I2098" s="10">
        <v>1.0</v>
      </c>
      <c r="J2098" s="11" t="str">
        <f>IF(D2098&lt;&gt;"",VLOOKUP(H2098,TABLEITEM,5,FALSE),"")</f>
        <v>EA</v>
      </c>
      <c r="K2098" s="12">
        <v>20480.0</v>
      </c>
      <c r="L2098" s="13" t="str">
        <f>IF(D2098&lt;&gt;"",VLOOKUP(H2098,TABLEITEM,2,FALSE),"")</f>
        <v/>
      </c>
      <c r="M2098" s="13" t="str">
        <f>IF(D2098&lt;&gt;"",VLOOKUP(H2098,TABLEITEM,3,FALSE),"")</f>
        <v>30 HEMMING PUNCH (ONE TOUCH)SIZE 835MM CODE 210001 SH 00SK11</v>
      </c>
      <c r="N2098" s="14">
        <f>INSTOCK!$I2098*INSTOCK!$K2098</f>
        <v>20480</v>
      </c>
      <c r="O2098" s="4" t="s">
        <v>2847</v>
      </c>
      <c r="P2098" s="4"/>
    </row>
    <row r="2099" ht="15.75" hidden="1" customHeight="1">
      <c r="B2099" s="8">
        <v>2418.0</v>
      </c>
      <c r="C2099" s="9">
        <v>43531.0</v>
      </c>
      <c r="D2099" s="6" t="s">
        <v>2844</v>
      </c>
      <c r="E2099" s="4">
        <v>6.203000347E9</v>
      </c>
      <c r="F2099" s="8" t="s">
        <v>2845</v>
      </c>
      <c r="G2099" s="4" t="s">
        <v>2460</v>
      </c>
      <c r="H2099" s="10" t="s">
        <v>2848</v>
      </c>
      <c r="I2099" s="10">
        <v>1.0</v>
      </c>
      <c r="J2099" s="11" t="str">
        <f>IF(D2099&lt;&gt;"",VLOOKUP(H2099,TABLEITEM,5,FALSE),"")</f>
        <v>EA</v>
      </c>
      <c r="K2099" s="12">
        <v>38960.0</v>
      </c>
      <c r="L2099" s="13" t="str">
        <f>IF(D2099&lt;&gt;"",VLOOKUP(H2099,TABLEITEM,2,FALSE),"")</f>
        <v/>
      </c>
      <c r="M2099" s="13" t="str">
        <f>IF(D2099&lt;&gt;"",VLOOKUP(H2099,TABLEITEM,3,FALSE),"")</f>
        <v>NEW HEMMING DIE V=8 SIZE 835 MM CODE 104091 SH 00Sk 10</v>
      </c>
      <c r="N2099" s="14">
        <f>INSTOCK!$I2099*INSTOCK!$K2099</f>
        <v>38960</v>
      </c>
      <c r="O2099" s="4" t="s">
        <v>2849</v>
      </c>
      <c r="P2099" s="4"/>
    </row>
    <row r="2100" ht="15.75" hidden="1" customHeight="1">
      <c r="B2100" s="8">
        <v>2419.0</v>
      </c>
      <c r="C2100" s="9">
        <v>43531.0</v>
      </c>
      <c r="D2100" s="6" t="s">
        <v>2844</v>
      </c>
      <c r="E2100" s="4">
        <v>6.203000347E9</v>
      </c>
      <c r="F2100" s="8" t="s">
        <v>2845</v>
      </c>
      <c r="G2100" s="4" t="s">
        <v>2460</v>
      </c>
      <c r="H2100" s="10" t="s">
        <v>2850</v>
      </c>
      <c r="I2100" s="10">
        <v>2.0</v>
      </c>
      <c r="J2100" s="11" t="str">
        <f>IF(D2100&lt;&gt;"",VLOOKUP(H2100,TABLEITEM,5,FALSE),"")</f>
        <v>EA</v>
      </c>
      <c r="K2100" s="12">
        <v>13120.0</v>
      </c>
      <c r="L2100" s="13" t="str">
        <f>IF(D2100&lt;&gt;"",VLOOKUP(H2100,TABLEITEM,2,FALSE),"")</f>
        <v/>
      </c>
      <c r="M2100" s="13" t="str">
        <f>IF(D2100&lt;&gt;"",VLOOKUP(H2100,TABLEITEM,3,FALSE),"")</f>
        <v>V-GROOVE V=8 FOR HEMMING DIE NO.10409 SIZE 835MM CODE 801391</v>
      </c>
      <c r="N2100" s="14">
        <f>INSTOCK!$I2100*INSTOCK!$K2100</f>
        <v>26240</v>
      </c>
      <c r="O2100" s="4" t="s">
        <v>2851</v>
      </c>
      <c r="P2100" s="4"/>
    </row>
    <row r="2101" ht="15.75" hidden="1" customHeight="1">
      <c r="B2101" s="8">
        <v>2420.0</v>
      </c>
      <c r="C2101" s="9">
        <v>43531.0</v>
      </c>
      <c r="D2101" s="6" t="s">
        <v>2852</v>
      </c>
      <c r="E2101" s="4">
        <v>6.203000336E9</v>
      </c>
      <c r="F2101" s="8"/>
      <c r="G2101" s="4" t="s">
        <v>2630</v>
      </c>
      <c r="H2101" s="10" t="s">
        <v>2853</v>
      </c>
      <c r="I2101" s="10">
        <v>10.0</v>
      </c>
      <c r="J2101" s="11" t="str">
        <f>IF(D2101&lt;&gt;"",VLOOKUP(H2101,TABLEITEM,5,FALSE),"")</f>
        <v>EA</v>
      </c>
      <c r="K2101" s="12">
        <v>261.25</v>
      </c>
      <c r="L2101" s="13" t="str">
        <f>IF(D2101&lt;&gt;"",VLOOKUP(H2101,TABLEITEM,2,FALSE),"")</f>
        <v/>
      </c>
      <c r="M2101" s="13" t="str">
        <f>IF(D2101&lt;&gt;"",VLOOKUP(H2101,TABLEITEM,3,FALSE),"")</f>
        <v>MAGNETIC TOOLS VMB 00(ฐานแม่เหล็กรูเกลียว)</v>
      </c>
      <c r="N2101" s="14">
        <f>INSTOCK!$I2101*INSTOCK!$K2101</f>
        <v>2612.5</v>
      </c>
      <c r="O2101" s="4" t="s">
        <v>2854</v>
      </c>
      <c r="P2101" s="4"/>
    </row>
    <row r="2102" ht="15.75" hidden="1" customHeight="1">
      <c r="B2102" s="8">
        <v>2421.0</v>
      </c>
      <c r="C2102" s="9">
        <v>43532.0</v>
      </c>
      <c r="D2102" s="6" t="s">
        <v>2855</v>
      </c>
      <c r="E2102" s="4"/>
      <c r="F2102" s="8" t="s">
        <v>801</v>
      </c>
      <c r="G2102" s="4" t="s">
        <v>1417</v>
      </c>
      <c r="H2102" s="10" t="s">
        <v>803</v>
      </c>
      <c r="I2102" s="10">
        <v>15.0</v>
      </c>
      <c r="J2102" s="11" t="str">
        <f>IF(D2102&lt;&gt;"",VLOOKUP(H2102,TABLEITEM,5,FALSE),"")</f>
        <v>ถัง</v>
      </c>
      <c r="K2102" s="12">
        <v>981.31</v>
      </c>
      <c r="L2102" s="13" t="str">
        <f>IF(D2102&lt;&gt;"",VLOOKUP(H2102,TABLEITEM,2,FALSE),"")</f>
        <v/>
      </c>
      <c r="M2102" s="13" t="str">
        <f>IF(D2102&lt;&gt;"",VLOOKUP(H2102,TABLEITEM,3,FALSE),"")</f>
        <v>แก๊สหุงต้ม 48กก</v>
      </c>
      <c r="N2102" s="14">
        <f>INSTOCK!$I2102*INSTOCK!$K2102</f>
        <v>14719.65</v>
      </c>
      <c r="O2102" s="4"/>
      <c r="P2102" s="4"/>
    </row>
    <row r="2103" ht="15.75" hidden="1" customHeight="1">
      <c r="B2103" s="8">
        <v>2422.0</v>
      </c>
      <c r="C2103" s="9">
        <v>43532.0</v>
      </c>
      <c r="D2103" s="6" t="s">
        <v>2856</v>
      </c>
      <c r="E2103" s="4">
        <v>6.203000339E9</v>
      </c>
      <c r="F2103" s="8" t="s">
        <v>604</v>
      </c>
      <c r="G2103" s="4" t="s">
        <v>975</v>
      </c>
      <c r="H2103" s="10" t="s">
        <v>19</v>
      </c>
      <c r="I2103" s="10">
        <v>60.0</v>
      </c>
      <c r="J2103" s="11" t="str">
        <f>IF(D2103&lt;&gt;"",VLOOKUP(H2103,TABLEITEM,5,FALSE),"")</f>
        <v>ROLL</v>
      </c>
      <c r="K2103" s="12">
        <v>140.0</v>
      </c>
      <c r="L2103" s="13" t="str">
        <f>IF(D2103&lt;&gt;"",VLOOKUP(H2103,TABLEITEM,2,FALSE),"")</f>
        <v/>
      </c>
      <c r="M2103" s="13" t="str">
        <f>IF(D2103&lt;&gt;"",VLOOKUP(H2103,TABLEITEM,3,FALSE),"")</f>
        <v>พลาสติกห่อตู้ 20micx50cmx300m</v>
      </c>
      <c r="N2103" s="14">
        <f>INSTOCK!$I2103*INSTOCK!$K2103</f>
        <v>8400</v>
      </c>
      <c r="O2103" s="4" t="s">
        <v>977</v>
      </c>
      <c r="P2103" s="4"/>
    </row>
    <row r="2104" ht="15.75" hidden="1" customHeight="1">
      <c r="B2104" s="8">
        <v>2423.0</v>
      </c>
      <c r="C2104" s="9">
        <v>43530.0</v>
      </c>
      <c r="D2104" s="6" t="s">
        <v>2857</v>
      </c>
      <c r="E2104" s="4">
        <v>6.20300033E9</v>
      </c>
      <c r="F2104" s="8" t="s">
        <v>633</v>
      </c>
      <c r="G2104" s="4" t="s">
        <v>965</v>
      </c>
      <c r="H2104" s="10" t="s">
        <v>2858</v>
      </c>
      <c r="I2104" s="10">
        <v>2.0</v>
      </c>
      <c r="J2104" s="11" t="str">
        <f>IF(D2104&lt;&gt;"",VLOOKUP(H2104,TABLEITEM,5,FALSE),"")</f>
        <v>EA</v>
      </c>
      <c r="K2104" s="12">
        <v>1200.0</v>
      </c>
      <c r="L2104" s="13" t="str">
        <f>IF(D2104&lt;&gt;"",VLOOKUP(H2104,TABLEITEM,2,FALSE),"")</f>
        <v/>
      </c>
      <c r="M2104" s="13" t="str">
        <f>IF(D2104&lt;&gt;"",VLOOKUP(H2104,TABLEITEM,3,FALSE),"")</f>
        <v>รถเข็นของสีส้ม 10"</v>
      </c>
      <c r="N2104" s="14">
        <f>INSTOCK!$I2104*INSTOCK!$K2104</f>
        <v>2400</v>
      </c>
      <c r="O2104" s="4"/>
      <c r="P2104" s="4"/>
    </row>
    <row r="2105" ht="15.75" hidden="1" customHeight="1">
      <c r="B2105" s="8">
        <v>2424.0</v>
      </c>
      <c r="C2105" s="9">
        <v>43531.0</v>
      </c>
      <c r="D2105" s="6" t="s">
        <v>2859</v>
      </c>
      <c r="E2105" s="4"/>
      <c r="F2105" s="8" t="s">
        <v>604</v>
      </c>
      <c r="G2105" s="4" t="s">
        <v>2860</v>
      </c>
      <c r="H2105" s="10" t="s">
        <v>2861</v>
      </c>
      <c r="I2105" s="10">
        <v>2.0</v>
      </c>
      <c r="J2105" s="11" t="str">
        <f>IF(D2105&lt;&gt;"",VLOOKUP(H2105,TABLEITEM,5,FALSE),"")</f>
        <v>กล</v>
      </c>
      <c r="K2105" s="12">
        <v>850.0</v>
      </c>
      <c r="L2105" s="13" t="str">
        <f>IF(D2105&lt;&gt;"",VLOOKUP(H2105,TABLEITEM,2,FALSE),"")</f>
        <v/>
      </c>
      <c r="M2105" s="13" t="str">
        <f>IF(D2105&lt;&gt;"",VLOOKUP(H2105,TABLEITEM,3,FALSE),"")</f>
        <v>ยาขัด KOMAK</v>
      </c>
      <c r="N2105" s="14">
        <f>INSTOCK!$I2105*INSTOCK!$K2105</f>
        <v>1700</v>
      </c>
      <c r="O2105" s="4"/>
      <c r="P2105" s="4"/>
    </row>
    <row r="2106" ht="15.75" hidden="1" customHeight="1">
      <c r="B2106" s="8">
        <v>2425.0</v>
      </c>
      <c r="C2106" s="9">
        <v>43532.0</v>
      </c>
      <c r="D2106" s="6" t="s">
        <v>2862</v>
      </c>
      <c r="E2106" s="4">
        <v>6.20300035E9</v>
      </c>
      <c r="F2106" s="8" t="s">
        <v>2645</v>
      </c>
      <c r="G2106" s="4" t="s">
        <v>2350</v>
      </c>
      <c r="H2106" s="10" t="s">
        <v>2599</v>
      </c>
      <c r="I2106" s="10">
        <v>200.0</v>
      </c>
      <c r="J2106" s="11" t="str">
        <f>IF(D2106&lt;&gt;"",VLOOKUP(H2106,TABLEITEM,5,FALSE),"")</f>
        <v>KG.</v>
      </c>
      <c r="K2106" s="12">
        <v>122.0</v>
      </c>
      <c r="L2106" s="13" t="str">
        <f>IF(D2106&lt;&gt;"",VLOOKUP(H2106,TABLEITEM,2,FALSE),"")</f>
        <v/>
      </c>
      <c r="M2106" s="13" t="str">
        <f>IF(D2106&lt;&gt;"",VLOOKUP(H2106,TABLEITEM,3,FALSE),"")</f>
        <v>สีฝุ่น P9001A  สีเทาดำ</v>
      </c>
      <c r="N2106" s="14">
        <f>INSTOCK!$I2106*INSTOCK!$K2106</f>
        <v>24400</v>
      </c>
      <c r="O2106" s="4"/>
      <c r="P2106" s="4"/>
    </row>
    <row r="2107" ht="15.75" hidden="1" customHeight="1">
      <c r="B2107" s="8">
        <v>2426.0</v>
      </c>
      <c r="C2107" s="9">
        <v>43537.0</v>
      </c>
      <c r="D2107" s="6" t="s">
        <v>2863</v>
      </c>
      <c r="E2107" s="4">
        <v>6.203000358E9</v>
      </c>
      <c r="F2107" s="8" t="s">
        <v>604</v>
      </c>
      <c r="G2107" s="4" t="s">
        <v>729</v>
      </c>
      <c r="H2107" s="10" t="s">
        <v>29</v>
      </c>
      <c r="I2107" s="10">
        <v>200.0</v>
      </c>
      <c r="J2107" s="11" t="str">
        <f>IF(D2107&lt;&gt;"",VLOOKUP(H2107,TABLEITEM,5,FALSE),"")</f>
        <v>M</v>
      </c>
      <c r="K2107" s="12">
        <v>17.0</v>
      </c>
      <c r="L2107" s="13" t="str">
        <f>IF(D2107&lt;&gt;"",VLOOKUP(H2107,TABLEITEM,2,FALSE),"")</f>
        <v/>
      </c>
      <c r="M2107" s="13" t="str">
        <f>IF(D2107&lt;&gt;"",VLOOKUP(H2107,TABLEITEM,3,FALSE),"")</f>
        <v>ยางฟองน้ำ1"x1/4''</v>
      </c>
      <c r="N2107" s="14">
        <f>INSTOCK!$I2107*INSTOCK!$K2107</f>
        <v>3400</v>
      </c>
      <c r="O2107" s="4"/>
      <c r="P2107" s="4"/>
    </row>
    <row r="2108" ht="15.75" hidden="1" customHeight="1">
      <c r="B2108" s="8">
        <v>2427.0</v>
      </c>
      <c r="C2108" s="9">
        <v>43536.0</v>
      </c>
      <c r="D2108" s="6" t="s">
        <v>2864</v>
      </c>
      <c r="E2108" s="4">
        <v>6.203000368E9</v>
      </c>
      <c r="F2108" s="8" t="s">
        <v>2865</v>
      </c>
      <c r="G2108" s="4" t="s">
        <v>1485</v>
      </c>
      <c r="H2108" s="10" t="s">
        <v>2866</v>
      </c>
      <c r="I2108" s="10">
        <v>1.0</v>
      </c>
      <c r="J2108" s="11" t="str">
        <f>IF(D2108&lt;&gt;"",VLOOKUP(H2108,TABLEITEM,5,FALSE),"")</f>
        <v>EA</v>
      </c>
      <c r="K2108" s="12">
        <v>6027.0</v>
      </c>
      <c r="L2108" s="13" t="str">
        <f>IF(D2108&lt;&gt;"",VLOOKUP(H2108,TABLEITEM,2,FALSE),"")</f>
        <v/>
      </c>
      <c r="M2108" s="13" t="str">
        <f>IF(D2108&lt;&gt;"",VLOOKUP(H2108,TABLEITEM,3,FALSE),"")</f>
        <v>MCCB CVS 400F TM400D 3P 3D </v>
      </c>
      <c r="N2108" s="14">
        <f>INSTOCK!$I2108*INSTOCK!$K2108</f>
        <v>6027</v>
      </c>
      <c r="O2108" s="4" t="s">
        <v>2867</v>
      </c>
      <c r="P2108" s="4"/>
    </row>
    <row r="2109" ht="15.75" hidden="1" customHeight="1">
      <c r="B2109" s="8">
        <v>2428.0</v>
      </c>
      <c r="C2109" s="9">
        <v>43537.0</v>
      </c>
      <c r="D2109" s="6" t="s">
        <v>2868</v>
      </c>
      <c r="E2109" s="4">
        <v>6.203000369E9</v>
      </c>
      <c r="F2109" s="8" t="s">
        <v>807</v>
      </c>
      <c r="G2109" s="4" t="s">
        <v>808</v>
      </c>
      <c r="H2109" s="10" t="s">
        <v>809</v>
      </c>
      <c r="I2109" s="10">
        <v>1.0</v>
      </c>
      <c r="J2109" s="11" t="str">
        <f>IF(D2109&lt;&gt;"",VLOOKUP(H2109,TABLEITEM,5,FALSE),"")</f>
        <v>ท่อ</v>
      </c>
      <c r="K2109" s="12">
        <v>2700.0</v>
      </c>
      <c r="L2109" s="13" t="str">
        <f>IF(D2109&lt;&gt;"",VLOOKUP(H2109,TABLEITEM,2,FALSE),"")</f>
        <v/>
      </c>
      <c r="M2109" s="13" t="str">
        <f>IF(D2109&lt;&gt;"",VLOOKUP(H2109,TABLEITEM,3,FALSE),"")</f>
        <v>ไนโตรเจนเหลว ขนาด 100คิว</v>
      </c>
      <c r="N2109" s="14">
        <f>INSTOCK!$I2109*INSTOCK!$K2109</f>
        <v>2700</v>
      </c>
      <c r="O2109" s="4"/>
      <c r="P2109" s="4"/>
    </row>
    <row r="2110" ht="15.75" hidden="1" customHeight="1">
      <c r="B2110" s="8">
        <v>2429.0</v>
      </c>
      <c r="C2110" s="9">
        <v>43535.0</v>
      </c>
      <c r="D2110" s="6" t="s">
        <v>2869</v>
      </c>
      <c r="E2110" s="4">
        <v>6.202000275E9</v>
      </c>
      <c r="F2110" s="8" t="s">
        <v>2598</v>
      </c>
      <c r="G2110" s="4" t="s">
        <v>2768</v>
      </c>
      <c r="H2110" s="18" t="s">
        <v>2769</v>
      </c>
      <c r="I2110" s="10">
        <v>7000.0</v>
      </c>
      <c r="J2110" s="11" t="str">
        <f>IF(D2110&lt;&gt;"",VLOOKUP(H2110,TABLEITEM,5,FALSE),"")</f>
        <v>EA</v>
      </c>
      <c r="K2110" s="12">
        <v>3.65</v>
      </c>
      <c r="L2110" s="13" t="str">
        <f>IF(D2110&lt;&gt;"",VLOOKUP(H2110,TABLEITEM,2,FALSE),"")</f>
        <v/>
      </c>
      <c r="M2110" s="13" t="str">
        <f>IF(D2110&lt;&gt;"",VLOOKUP(H2110,TABLEITEM,3,FALSE),"")</f>
        <v>สตัดตัวเมียแบบย้ำ Clinch Stud M3x12</v>
      </c>
      <c r="N2110" s="14">
        <f>INSTOCK!$I2110*INSTOCK!$K2110</f>
        <v>25550</v>
      </c>
      <c r="O2110" s="4"/>
      <c r="P2110" s="4"/>
    </row>
    <row r="2111" ht="15.75" hidden="1" customHeight="1">
      <c r="B2111" s="8">
        <v>2430.0</v>
      </c>
      <c r="C2111" s="9">
        <v>43536.0</v>
      </c>
      <c r="D2111" s="6">
        <v>6.2030552E7</v>
      </c>
      <c r="E2111" s="4">
        <v>6.203000352E9</v>
      </c>
      <c r="F2111" s="8" t="s">
        <v>2870</v>
      </c>
      <c r="G2111" s="4" t="s">
        <v>711</v>
      </c>
      <c r="H2111" s="10" t="s">
        <v>712</v>
      </c>
      <c r="I2111" s="10">
        <v>20.0</v>
      </c>
      <c r="J2111" s="11" t="str">
        <f>IF(D2111&lt;&gt;"",VLOOKUP(H2111,TABLEITEM,5,FALSE),"")</f>
        <v>KG.</v>
      </c>
      <c r="K2111" s="12">
        <v>148.75</v>
      </c>
      <c r="L2111" s="13" t="str">
        <f>IF(D2111&lt;&gt;"",VLOOKUP(H2111,TABLEITEM,2,FALSE),"")</f>
        <v/>
      </c>
      <c r="M2111" s="13" t="str">
        <f>IF(D2111&lt;&gt;"",VLOOKUP(H2111,TABLEITEM,3,FALSE),"")</f>
        <v>สีฝุ่น M70460 CN</v>
      </c>
      <c r="N2111" s="14">
        <f>INSTOCK!$I2111*INSTOCK!$K2111</f>
        <v>2975</v>
      </c>
      <c r="O2111" s="4" t="s">
        <v>714</v>
      </c>
      <c r="P2111" s="4"/>
    </row>
    <row r="2112" ht="15.75" hidden="1" customHeight="1">
      <c r="B2112" s="8">
        <v>2431.0</v>
      </c>
      <c r="C2112" s="9">
        <v>43535.0</v>
      </c>
      <c r="D2112" s="6">
        <v>84954.0</v>
      </c>
      <c r="E2112" s="4">
        <v>6.20100014E9</v>
      </c>
      <c r="F2112" s="8" t="s">
        <v>604</v>
      </c>
      <c r="G2112" s="4" t="s">
        <v>2589</v>
      </c>
      <c r="H2112" s="10" t="s">
        <v>2668</v>
      </c>
      <c r="I2112" s="10">
        <v>5000.0</v>
      </c>
      <c r="J2112" s="11" t="str">
        <f>IF(D2112&lt;&gt;"",VLOOKUP(H2112,TABLEITEM,5,FALSE),"")</f>
        <v>EA</v>
      </c>
      <c r="K2112" s="12">
        <v>1.15</v>
      </c>
      <c r="L2112" s="13" t="str">
        <f>IF(D2112&lt;&gt;"",VLOOKUP(H2112,TABLEITEM,2,FALSE),"")</f>
        <v/>
      </c>
      <c r="M2112" s="13" t="str">
        <f>IF(D2112&lt;&gt;"",VLOOKUP(H2112,TABLEITEM,3,FALSE),"")</f>
        <v>สตัด M5x10</v>
      </c>
      <c r="N2112" s="14">
        <f>INSTOCK!$I2112*INSTOCK!$K2112</f>
        <v>5750</v>
      </c>
      <c r="O2112" s="4"/>
      <c r="P2112" s="4"/>
    </row>
    <row r="2113" ht="15.75" hidden="1" customHeight="1">
      <c r="B2113" s="8">
        <v>2432.0</v>
      </c>
      <c r="C2113" s="9">
        <v>43535.0</v>
      </c>
      <c r="D2113" s="6" t="s">
        <v>2871</v>
      </c>
      <c r="E2113" s="4">
        <v>6.20300036E9</v>
      </c>
      <c r="F2113" s="8" t="s">
        <v>604</v>
      </c>
      <c r="G2113" s="4" t="s">
        <v>617</v>
      </c>
      <c r="H2113" s="10" t="s">
        <v>562</v>
      </c>
      <c r="I2113" s="10">
        <v>25.0</v>
      </c>
      <c r="J2113" s="11" t="str">
        <f>IF(D2113&lt;&gt;"",VLOOKUP(H2113,TABLEITEM,5,FALSE),"")</f>
        <v>M</v>
      </c>
      <c r="K2113" s="12">
        <v>1066.24</v>
      </c>
      <c r="L2113" s="13" t="str">
        <f>IF(D2113&lt;&gt;"",VLOOKUP(H2113,TABLEITEM,2,FALSE),"")</f>
        <v>Busbar</v>
      </c>
      <c r="M2113" s="13" t="str">
        <f>IF(D2113&lt;&gt;"",VLOOKUP(H2113,TABLEITEM,3,FALSE),"")</f>
        <v>บัสบาร์ทองแดง 50x10</v>
      </c>
      <c r="N2113" s="14">
        <f>INSTOCK!$I2113*INSTOCK!$K2113</f>
        <v>26656</v>
      </c>
      <c r="O2113" s="4" t="s">
        <v>2872</v>
      </c>
      <c r="P2113" s="4"/>
    </row>
    <row r="2114" ht="15.75" hidden="1" customHeight="1">
      <c r="B2114" s="8">
        <v>2433.0</v>
      </c>
      <c r="C2114" s="9">
        <v>43535.0</v>
      </c>
      <c r="D2114" s="6" t="s">
        <v>2871</v>
      </c>
      <c r="E2114" s="4">
        <v>6.20300036E9</v>
      </c>
      <c r="F2114" s="8" t="s">
        <v>604</v>
      </c>
      <c r="G2114" s="4" t="s">
        <v>617</v>
      </c>
      <c r="H2114" s="10" t="s">
        <v>546</v>
      </c>
      <c r="I2114" s="10">
        <v>15.0</v>
      </c>
      <c r="J2114" s="11" t="str">
        <f>IF(D2114&lt;&gt;"",VLOOKUP(H2114,TABLEITEM,5,FALSE),"")</f>
        <v>M</v>
      </c>
      <c r="K2114" s="12">
        <v>1375.64</v>
      </c>
      <c r="L2114" s="13" t="str">
        <f>IF(D2114&lt;&gt;"",VLOOKUP(H2114,TABLEITEM,2,FALSE),"")</f>
        <v>Busbar</v>
      </c>
      <c r="M2114" s="13" t="str">
        <f>IF(D2114&lt;&gt;"",VLOOKUP(H2114,TABLEITEM,3,FALSE),"")</f>
        <v>บัสบาร์ทองแดง 2"x1/2"</v>
      </c>
      <c r="N2114" s="14">
        <f>INSTOCK!$I2114*INSTOCK!$K2114</f>
        <v>20634.6</v>
      </c>
      <c r="O2114" s="4" t="s">
        <v>2873</v>
      </c>
      <c r="P2114" s="4"/>
    </row>
    <row r="2115" ht="15.75" hidden="1" customHeight="1">
      <c r="B2115" s="8">
        <v>2434.0</v>
      </c>
      <c r="C2115" s="9">
        <v>43535.0</v>
      </c>
      <c r="D2115" s="6" t="s">
        <v>2871</v>
      </c>
      <c r="E2115" s="4">
        <v>6.20300036E9</v>
      </c>
      <c r="F2115" s="8" t="s">
        <v>604</v>
      </c>
      <c r="G2115" s="4" t="s">
        <v>617</v>
      </c>
      <c r="H2115" s="10" t="s">
        <v>644</v>
      </c>
      <c r="I2115" s="10">
        <v>25.0</v>
      </c>
      <c r="J2115" s="11" t="str">
        <f>IF(D2115&lt;&gt;"",VLOOKUP(H2115,TABLEITEM,5,FALSE),"")</f>
        <v>M</v>
      </c>
      <c r="K2115" s="12">
        <v>1547.0</v>
      </c>
      <c r="L2115" s="13" t="str">
        <f>IF(D2115&lt;&gt;"",VLOOKUP(H2115,TABLEITEM,2,FALSE),"")</f>
        <v>Busbar</v>
      </c>
      <c r="M2115" s="13" t="str">
        <f>IF(D2115&lt;&gt;"",VLOOKUP(H2115,TABLEITEM,3,FALSE),"")</f>
        <v>บัสบาร์ทองแดง 3"x3/8"</v>
      </c>
      <c r="N2115" s="14">
        <f>INSTOCK!$I2115*INSTOCK!$K2115</f>
        <v>38675</v>
      </c>
      <c r="O2115" s="4" t="s">
        <v>2872</v>
      </c>
      <c r="P2115" s="4"/>
    </row>
    <row r="2116" ht="15.75" hidden="1" customHeight="1">
      <c r="B2116" s="8">
        <v>2435.0</v>
      </c>
      <c r="C2116" s="9">
        <v>43535.0</v>
      </c>
      <c r="D2116" s="6" t="s">
        <v>2871</v>
      </c>
      <c r="E2116" s="4">
        <v>6.20300036E9</v>
      </c>
      <c r="F2116" s="8" t="s">
        <v>604</v>
      </c>
      <c r="G2116" s="4" t="s">
        <v>617</v>
      </c>
      <c r="H2116" s="10" t="s">
        <v>551</v>
      </c>
      <c r="I2116" s="10">
        <v>15.0</v>
      </c>
      <c r="J2116" s="11" t="str">
        <f>IF(D2116&lt;&gt;"",VLOOKUP(H2116,TABLEITEM,5,FALSE),"")</f>
        <v>M</v>
      </c>
      <c r="K2116" s="12">
        <v>2061.06666</v>
      </c>
      <c r="L2116" s="13" t="str">
        <f>IF(D2116&lt;&gt;"",VLOOKUP(H2116,TABLEITEM,2,FALSE),"")</f>
        <v>Busbar</v>
      </c>
      <c r="M2116" s="13" t="str">
        <f>IF(D2116&lt;&gt;"",VLOOKUP(H2116,TABLEITEM,3,FALSE),"")</f>
        <v>บัสบาร์ทองแดง 3"x1/2"</v>
      </c>
      <c r="N2116" s="14">
        <f>INSTOCK!$I2116*INSTOCK!$K2116</f>
        <v>30915.9999</v>
      </c>
      <c r="O2116" s="4" t="s">
        <v>2873</v>
      </c>
      <c r="P2116" s="4"/>
    </row>
    <row r="2117" ht="15.75" hidden="1" customHeight="1">
      <c r="B2117" s="8">
        <v>2436.0</v>
      </c>
      <c r="C2117" s="9">
        <v>43533.0</v>
      </c>
      <c r="D2117" s="6" t="s">
        <v>2874</v>
      </c>
      <c r="E2117" s="4">
        <v>6.203000344E9</v>
      </c>
      <c r="F2117" s="8" t="s">
        <v>2875</v>
      </c>
      <c r="G2117" s="4" t="s">
        <v>1777</v>
      </c>
      <c r="H2117" s="10" t="s">
        <v>2876</v>
      </c>
      <c r="I2117" s="10">
        <v>5000.0</v>
      </c>
      <c r="J2117" s="11" t="str">
        <f>IF(D2117&lt;&gt;"",VLOOKUP(H2117,TABLEITEM,5,FALSE),"")</f>
        <v>EA</v>
      </c>
      <c r="K2117" s="12">
        <v>0.17</v>
      </c>
      <c r="L2117" s="13" t="str">
        <f>IF(D2117&lt;&gt;"",VLOOKUP(H2117,TABLEITEM,2,FALSE),"")</f>
        <v/>
      </c>
      <c r="M2117" s="13" t="str">
        <f>IF(D2117&lt;&gt;"",VLOOKUP(H2117,TABLEITEM,3,FALSE),"")</f>
        <v>สกรูหัวหมวก  M5x12</v>
      </c>
      <c r="N2117" s="14">
        <f>INSTOCK!$I2117*INSTOCK!$K2117</f>
        <v>850</v>
      </c>
      <c r="O2117" s="4"/>
      <c r="P2117" s="4"/>
    </row>
    <row r="2118" ht="15.75" hidden="1" customHeight="1">
      <c r="B2118" s="8">
        <v>2437.0</v>
      </c>
      <c r="C2118" s="9">
        <v>43533.0</v>
      </c>
      <c r="D2118" s="6" t="s">
        <v>2874</v>
      </c>
      <c r="E2118" s="4">
        <v>6.203000344E9</v>
      </c>
      <c r="F2118" s="8" t="s">
        <v>2875</v>
      </c>
      <c r="G2118" s="4" t="s">
        <v>1777</v>
      </c>
      <c r="H2118" s="10" t="s">
        <v>2877</v>
      </c>
      <c r="I2118" s="10">
        <v>500.0</v>
      </c>
      <c r="J2118" s="11" t="str">
        <f>IF(D2118&lt;&gt;"",VLOOKUP(H2118,TABLEITEM,5,FALSE),"")</f>
        <v>EA</v>
      </c>
      <c r="K2118" s="12">
        <v>0.14</v>
      </c>
      <c r="L2118" s="13" t="str">
        <f>IF(D2118&lt;&gt;"",VLOOKUP(H2118,TABLEITEM,2,FALSE),"")</f>
        <v/>
      </c>
      <c r="M2118" s="13" t="str">
        <f>IF(D2118&lt;&gt;"",VLOOKUP(H2118,TABLEITEM,3,FALSE),"")</f>
        <v>สกรูเกลียวปล่อยหัวเตเปอร์ F+ #6x1/2"</v>
      </c>
      <c r="N2118" s="14">
        <f>INSTOCK!$I2118*INSTOCK!$K2118</f>
        <v>70</v>
      </c>
      <c r="O2118" s="4"/>
      <c r="P2118" s="4"/>
    </row>
    <row r="2119" ht="15.75" hidden="1" customHeight="1">
      <c r="B2119" s="8">
        <v>2438.0</v>
      </c>
      <c r="C2119" s="9">
        <v>43533.0</v>
      </c>
      <c r="D2119" s="6" t="s">
        <v>2874</v>
      </c>
      <c r="E2119" s="4">
        <v>6.203000344E9</v>
      </c>
      <c r="F2119" s="8" t="s">
        <v>2875</v>
      </c>
      <c r="G2119" s="4" t="s">
        <v>1777</v>
      </c>
      <c r="H2119" s="10" t="s">
        <v>2169</v>
      </c>
      <c r="I2119" s="10">
        <v>10000.0</v>
      </c>
      <c r="J2119" s="11" t="str">
        <f>IF(D2119&lt;&gt;"",VLOOKUP(H2119,TABLEITEM,5,FALSE),"")</f>
        <v>EA</v>
      </c>
      <c r="K2119" s="12">
        <v>0.085</v>
      </c>
      <c r="L2119" s="13" t="str">
        <f>IF(D2119&lt;&gt;"",VLOOKUP(H2119,TABLEITEM,2,FALSE),"")</f>
        <v/>
      </c>
      <c r="M2119" s="13" t="str">
        <f>IF(D2119&lt;&gt;"",VLOOKUP(H2119,TABLEITEM,3,FALSE),"")</f>
        <v>หัวน้อต       M4   ชุบขาว</v>
      </c>
      <c r="N2119" s="14">
        <f>INSTOCK!$I2119*INSTOCK!$K2119</f>
        <v>850</v>
      </c>
      <c r="O2119" s="4" t="s">
        <v>2415</v>
      </c>
      <c r="P2119" s="4"/>
    </row>
    <row r="2120" ht="15.75" hidden="1" customHeight="1">
      <c r="B2120" s="8">
        <v>2439.0</v>
      </c>
      <c r="C2120" s="9">
        <v>43533.0</v>
      </c>
      <c r="D2120" s="6" t="s">
        <v>2878</v>
      </c>
      <c r="E2120" s="4"/>
      <c r="F2120" s="8" t="s">
        <v>604</v>
      </c>
      <c r="G2120" s="4" t="s">
        <v>1092</v>
      </c>
      <c r="H2120" s="10" t="s">
        <v>818</v>
      </c>
      <c r="I2120" s="10">
        <v>11.0</v>
      </c>
      <c r="J2120" s="11" t="str">
        <f>IF(D2120&lt;&gt;"",VLOOKUP(H2120,TABLEITEM,5,FALSE),"")</f>
        <v>ท่อ</v>
      </c>
      <c r="K2120" s="12">
        <v>280.0</v>
      </c>
      <c r="L2120" s="13" t="str">
        <f>IF(D2120&lt;&gt;"",VLOOKUP(H2120,TABLEITEM,2,FALSE),"")</f>
        <v/>
      </c>
      <c r="M2120" s="13" t="str">
        <f>IF(D2120&lt;&gt;"",VLOOKUP(H2120,TABLEITEM,3,FALSE),"")</f>
        <v>คาร์บอนไดออกไซด์ ขนาด 25 กก</v>
      </c>
      <c r="N2120" s="14">
        <f>INSTOCK!$I2120*INSTOCK!$K2120</f>
        <v>3080</v>
      </c>
      <c r="O2120" s="4"/>
      <c r="P2120" s="4"/>
    </row>
    <row r="2121" ht="15.75" hidden="1" customHeight="1">
      <c r="B2121" s="8">
        <v>2440.0</v>
      </c>
      <c r="C2121" s="9">
        <v>43533.0</v>
      </c>
      <c r="D2121" s="6" t="s">
        <v>2878</v>
      </c>
      <c r="E2121" s="4"/>
      <c r="F2121" s="8" t="s">
        <v>604</v>
      </c>
      <c r="G2121" s="4" t="s">
        <v>1092</v>
      </c>
      <c r="H2121" s="10" t="s">
        <v>816</v>
      </c>
      <c r="I2121" s="10">
        <v>3.0</v>
      </c>
      <c r="J2121" s="11" t="str">
        <f>IF(D2121&lt;&gt;"",VLOOKUP(H2121,TABLEITEM,5,FALSE),"")</f>
        <v>ท่อ</v>
      </c>
      <c r="K2121" s="12">
        <v>600.0</v>
      </c>
      <c r="L2121" s="13" t="str">
        <f>IF(D2121&lt;&gt;"",VLOOKUP(H2121,TABLEITEM,2,FALSE),"")</f>
        <v/>
      </c>
      <c r="M2121" s="13" t="str">
        <f>IF(D2121&lt;&gt;"",VLOOKUP(H2121,TABLEITEM,3,FALSE),"")</f>
        <v>อาร์กอน ขนาด 6คิว</v>
      </c>
      <c r="N2121" s="14">
        <f>INSTOCK!$I2121*INSTOCK!$K2121</f>
        <v>1800</v>
      </c>
      <c r="O2121" s="4"/>
      <c r="P2121" s="4"/>
    </row>
    <row r="2122" ht="15.75" hidden="1" customHeight="1">
      <c r="B2122" s="8">
        <v>2441.0</v>
      </c>
      <c r="C2122" s="9">
        <v>43535.0</v>
      </c>
      <c r="D2122" s="6">
        <v>37784.0</v>
      </c>
      <c r="E2122" s="4">
        <v>6.203000354E9</v>
      </c>
      <c r="F2122" s="8" t="s">
        <v>2645</v>
      </c>
      <c r="G2122" s="4" t="s">
        <v>696</v>
      </c>
      <c r="H2122" s="10" t="s">
        <v>2879</v>
      </c>
      <c r="I2122" s="10">
        <v>250.0</v>
      </c>
      <c r="J2122" s="11" t="str">
        <f>IF(D2122&lt;&gt;"",VLOOKUP(H2122,TABLEITEM,5,FALSE),"")</f>
        <v>EA</v>
      </c>
      <c r="K2122" s="12">
        <v>8.5</v>
      </c>
      <c r="L2122" s="13" t="str">
        <f>IF(D2122&lt;&gt;"",VLOOKUP(H2122,TABLEITEM,2,FALSE),"")</f>
        <v/>
      </c>
      <c r="M2122" s="13" t="str">
        <f>IF(D2122&lt;&gt;"",VLOOKUP(H2122,TABLEITEM,3,FALSE),"")</f>
        <v>กลอนประตู 6นิ้ว สีโครเมี่ยม</v>
      </c>
      <c r="N2122" s="14">
        <f>INSTOCK!$I2122*INSTOCK!$K2122</f>
        <v>2125</v>
      </c>
      <c r="O2122" s="4"/>
      <c r="P2122" s="4"/>
    </row>
    <row r="2123" ht="15.75" hidden="1" customHeight="1">
      <c r="B2123" s="8">
        <v>2442.0</v>
      </c>
      <c r="C2123" s="9">
        <v>43535.0</v>
      </c>
      <c r="D2123" s="6">
        <v>37784.0</v>
      </c>
      <c r="E2123" s="4">
        <v>6.203000354E9</v>
      </c>
      <c r="F2123" s="8" t="s">
        <v>2645</v>
      </c>
      <c r="G2123" s="4" t="s">
        <v>696</v>
      </c>
      <c r="H2123" s="10" t="s">
        <v>55</v>
      </c>
      <c r="I2123" s="10">
        <v>72.0</v>
      </c>
      <c r="J2123" s="11" t="str">
        <f>IF(D2123&lt;&gt;"",VLOOKUP(H2123,TABLEITEM,5,FALSE),"")</f>
        <v>EA</v>
      </c>
      <c r="K2123" s="12">
        <v>12.0</v>
      </c>
      <c r="L2123" s="13" t="str">
        <f>IF(D2123&lt;&gt;"",VLOOKUP(H2123,TABLEITEM,2,FALSE),"")</f>
        <v/>
      </c>
      <c r="M2123" s="13" t="str">
        <f>IF(D2123&lt;&gt;"",VLOOKUP(H2123,TABLEITEM,3,FALSE),"")</f>
        <v>เทปใส 2''</v>
      </c>
      <c r="N2123" s="14">
        <f>INSTOCK!$I2123*INSTOCK!$K2123</f>
        <v>864</v>
      </c>
      <c r="O2123" s="4"/>
      <c r="P2123" s="4"/>
    </row>
    <row r="2124" ht="15.75" hidden="1" customHeight="1">
      <c r="B2124" s="8">
        <v>2443.0</v>
      </c>
      <c r="C2124" s="9">
        <v>43535.0</v>
      </c>
      <c r="D2124" s="6" t="s">
        <v>2880</v>
      </c>
      <c r="E2124" s="4">
        <v>6.203000353E9</v>
      </c>
      <c r="F2124" s="8" t="s">
        <v>807</v>
      </c>
      <c r="G2124" s="4" t="s">
        <v>808</v>
      </c>
      <c r="H2124" s="10" t="s">
        <v>809</v>
      </c>
      <c r="I2124" s="10">
        <v>1.0</v>
      </c>
      <c r="J2124" s="11" t="str">
        <f>IF(D2124&lt;&gt;"",VLOOKUP(H2124,TABLEITEM,5,FALSE),"")</f>
        <v>ท่อ</v>
      </c>
      <c r="K2124" s="12">
        <v>2700.0</v>
      </c>
      <c r="L2124" s="13" t="str">
        <f>IF(D2124&lt;&gt;"",VLOOKUP(H2124,TABLEITEM,2,FALSE),"")</f>
        <v/>
      </c>
      <c r="M2124" s="13" t="str">
        <f>IF(D2124&lt;&gt;"",VLOOKUP(H2124,TABLEITEM,3,FALSE),"")</f>
        <v>ไนโตรเจนเหลว ขนาด 100คิว</v>
      </c>
      <c r="N2124" s="14">
        <f>INSTOCK!$I2124*INSTOCK!$K2124</f>
        <v>2700</v>
      </c>
      <c r="O2124" s="4"/>
      <c r="P2124" s="4"/>
    </row>
    <row r="2125" ht="15.75" hidden="1" customHeight="1">
      <c r="B2125" s="8">
        <v>2444.0</v>
      </c>
      <c r="C2125" s="9">
        <v>43535.0</v>
      </c>
      <c r="D2125" s="6" t="s">
        <v>2881</v>
      </c>
      <c r="E2125" s="4">
        <v>6.203000359E9</v>
      </c>
      <c r="F2125" s="8" t="s">
        <v>2645</v>
      </c>
      <c r="G2125" s="4" t="s">
        <v>965</v>
      </c>
      <c r="H2125" s="10" t="s">
        <v>2882</v>
      </c>
      <c r="I2125" s="10">
        <v>1000.0</v>
      </c>
      <c r="J2125" s="11" t="str">
        <f>IF(D2125&lt;&gt;"",VLOOKUP(H2125,TABLEITEM,5,FALSE),"")</f>
        <v>EA</v>
      </c>
      <c r="K2125" s="12">
        <v>0.24</v>
      </c>
      <c r="L2125" s="13" t="str">
        <f>IF(D2125&lt;&gt;"",VLOOKUP(H2125,TABLEITEM,2,FALSE),"")</f>
        <v/>
      </c>
      <c r="M2125" s="13" t="str">
        <f>IF(D2125&lt;&gt;"",VLOOKUP(H2125,TABLEITEM,3,FALSE),"")</f>
        <v>ตะปูยิงรีเวท 5-3   5/32"x5/16"</v>
      </c>
      <c r="N2125" s="14">
        <f>INSTOCK!$I2125*INSTOCK!$K2125</f>
        <v>240</v>
      </c>
      <c r="O2125" s="4"/>
      <c r="P2125" s="4"/>
    </row>
    <row r="2126" ht="15.75" hidden="1" customHeight="1">
      <c r="B2126" s="8">
        <v>2445.0</v>
      </c>
      <c r="C2126" s="9">
        <v>43535.0</v>
      </c>
      <c r="D2126" s="6" t="s">
        <v>2881</v>
      </c>
      <c r="E2126" s="4">
        <v>6.203000359E9</v>
      </c>
      <c r="F2126" s="8" t="s">
        <v>2645</v>
      </c>
      <c r="G2126" s="4" t="s">
        <v>965</v>
      </c>
      <c r="H2126" s="10" t="s">
        <v>2879</v>
      </c>
      <c r="I2126" s="10">
        <v>4.0</v>
      </c>
      <c r="J2126" s="11" t="str">
        <f>IF(D2126&lt;&gt;"",VLOOKUP(H2126,TABLEITEM,5,FALSE),"")</f>
        <v>EA</v>
      </c>
      <c r="K2126" s="12">
        <v>8.0</v>
      </c>
      <c r="L2126" s="13" t="str">
        <f>IF(D2126&lt;&gt;"",VLOOKUP(H2126,TABLEITEM,2,FALSE),"")</f>
        <v/>
      </c>
      <c r="M2126" s="13" t="str">
        <f>IF(D2126&lt;&gt;"",VLOOKUP(H2126,TABLEITEM,3,FALSE),"")</f>
        <v>กลอนประตู 6นิ้ว สีโครเมี่ยม</v>
      </c>
      <c r="N2126" s="14">
        <f>INSTOCK!$I2126*INSTOCK!$K2126</f>
        <v>32</v>
      </c>
      <c r="O2126" s="4"/>
      <c r="P2126" s="4"/>
    </row>
    <row r="2127" ht="15.75" hidden="1" customHeight="1">
      <c r="B2127" s="8">
        <v>2446.0</v>
      </c>
      <c r="C2127" s="9">
        <v>43539.0</v>
      </c>
      <c r="D2127" s="6" t="s">
        <v>2883</v>
      </c>
      <c r="E2127" s="4"/>
      <c r="F2127" s="8" t="s">
        <v>2884</v>
      </c>
      <c r="G2127" s="4" t="s">
        <v>898</v>
      </c>
      <c r="H2127" s="10" t="s">
        <v>2268</v>
      </c>
      <c r="I2127" s="10">
        <v>5.0</v>
      </c>
      <c r="J2127" s="11" t="str">
        <f>IF(D2127&lt;&gt;"",VLOOKUP(H2127,TABLEITEM,5,FALSE),"")</f>
        <v>LIT</v>
      </c>
      <c r="K2127" s="12">
        <v>400.0</v>
      </c>
      <c r="L2127" s="13" t="str">
        <f>IF(D2127&lt;&gt;"",VLOOKUP(H2127,TABLEITEM,2,FALSE),"")</f>
        <v/>
      </c>
      <c r="M2127" s="13" t="str">
        <f>IF(D2127&lt;&gt;"",VLOOKUP(H2127,TABLEITEM,3,FALSE),"")</f>
        <v>สีพ่นแห้งเร็ว(สีผสม)</v>
      </c>
      <c r="N2127" s="14">
        <f>INSTOCK!$I2127*INSTOCK!$K2127</f>
        <v>2000</v>
      </c>
      <c r="O2127" s="4" t="s">
        <v>2696</v>
      </c>
      <c r="P2127" s="4"/>
    </row>
    <row r="2128" ht="15.75" hidden="1" customHeight="1">
      <c r="B2128" s="8">
        <v>2447.0</v>
      </c>
      <c r="C2128" s="9">
        <v>43539.0</v>
      </c>
      <c r="D2128" s="6" t="s">
        <v>2883</v>
      </c>
      <c r="E2128" s="4"/>
      <c r="F2128" s="8" t="s">
        <v>2884</v>
      </c>
      <c r="G2128" s="4" t="s">
        <v>898</v>
      </c>
      <c r="H2128" s="10" t="s">
        <v>2268</v>
      </c>
      <c r="I2128" s="10">
        <v>5.0</v>
      </c>
      <c r="J2128" s="11" t="str">
        <f>IF(D2128&lt;&gt;"",VLOOKUP(H2128,TABLEITEM,5,FALSE),"")</f>
        <v>LIT</v>
      </c>
      <c r="K2128" s="12">
        <v>380.0</v>
      </c>
      <c r="L2128" s="13" t="str">
        <f>IF(D2128&lt;&gt;"",VLOOKUP(H2128,TABLEITEM,2,FALSE),"")</f>
        <v/>
      </c>
      <c r="M2128" s="13" t="str">
        <f>IF(D2128&lt;&gt;"",VLOOKUP(H2128,TABLEITEM,3,FALSE),"")</f>
        <v>สีพ่นแห้งเร็ว(สีผสม)</v>
      </c>
      <c r="N2128" s="14">
        <f>INSTOCK!$I2128*INSTOCK!$K2128</f>
        <v>1900</v>
      </c>
      <c r="O2128" s="4" t="s">
        <v>2647</v>
      </c>
      <c r="P2128" s="4"/>
    </row>
    <row r="2129" ht="15.75" hidden="1" customHeight="1">
      <c r="B2129" s="8">
        <v>2448.0</v>
      </c>
      <c r="C2129" s="9">
        <v>43539.0</v>
      </c>
      <c r="D2129" s="6" t="s">
        <v>2883</v>
      </c>
      <c r="E2129" s="4"/>
      <c r="F2129" s="8" t="s">
        <v>2884</v>
      </c>
      <c r="G2129" s="4" t="s">
        <v>898</v>
      </c>
      <c r="H2129" s="10" t="s">
        <v>2268</v>
      </c>
      <c r="I2129" s="10">
        <v>2.0</v>
      </c>
      <c r="J2129" s="11" t="str">
        <f>IF(D2129&lt;&gt;"",VLOOKUP(H2129,TABLEITEM,5,FALSE),"")</f>
        <v>LIT</v>
      </c>
      <c r="K2129" s="12">
        <v>420.0</v>
      </c>
      <c r="L2129" s="13" t="str">
        <f>IF(D2129&lt;&gt;"",VLOOKUP(H2129,TABLEITEM,2,FALSE),"")</f>
        <v/>
      </c>
      <c r="M2129" s="13" t="str">
        <f>IF(D2129&lt;&gt;"",VLOOKUP(H2129,TABLEITEM,3,FALSE),"")</f>
        <v>สีพ่นแห้งเร็ว(สีผสม)</v>
      </c>
      <c r="N2129" s="14">
        <f>INSTOCK!$I2129*INSTOCK!$K2129</f>
        <v>840</v>
      </c>
      <c r="O2129" s="4" t="s">
        <v>2785</v>
      </c>
      <c r="P2129" s="4"/>
    </row>
    <row r="2130" ht="15.75" hidden="1" customHeight="1">
      <c r="B2130" s="8">
        <v>2449.0</v>
      </c>
      <c r="C2130" s="9">
        <v>43532.0</v>
      </c>
      <c r="D2130" s="6" t="s">
        <v>2885</v>
      </c>
      <c r="E2130" s="4">
        <v>6.203000351E9</v>
      </c>
      <c r="F2130" s="8" t="s">
        <v>1383</v>
      </c>
      <c r="G2130" s="4" t="s">
        <v>692</v>
      </c>
      <c r="H2130" s="10" t="s">
        <v>2886</v>
      </c>
      <c r="I2130" s="10">
        <v>200.0</v>
      </c>
      <c r="J2130" s="11" t="str">
        <f>IF(D2130&lt;&gt;"",VLOOKUP(H2130,TABLEITEM,5,FALSE),"")</f>
        <v>M</v>
      </c>
      <c r="K2130" s="12">
        <v>26.179</v>
      </c>
      <c r="L2130" s="13" t="str">
        <f>IF(D2130&lt;&gt;"",VLOOKUP(H2130,TABLEITEM,2,FALSE),"")</f>
        <v/>
      </c>
      <c r="M2130" s="13" t="str">
        <f>IF(D2130&lt;&gt;"",VLOOKUP(H2130,TABLEITEM,3,FALSE),"")</f>
        <v>สายไฟ VCT 2x2.5 SQMM</v>
      </c>
      <c r="N2130" s="14">
        <f>INSTOCK!$I2130*INSTOCK!$K2130</f>
        <v>5235.8</v>
      </c>
      <c r="O2130" s="4" t="s">
        <v>2887</v>
      </c>
      <c r="P2130" s="4"/>
    </row>
    <row r="2131" ht="15.75" hidden="1" customHeight="1">
      <c r="B2131" s="8">
        <v>2450.0</v>
      </c>
      <c r="C2131" s="9">
        <v>22717.0</v>
      </c>
      <c r="D2131" s="6">
        <v>6.20303745E8</v>
      </c>
      <c r="E2131" s="4">
        <v>6.203000372E9</v>
      </c>
      <c r="F2131" s="8" t="s">
        <v>2865</v>
      </c>
      <c r="G2131" s="4" t="s">
        <v>1130</v>
      </c>
      <c r="H2131" s="10" t="s">
        <v>2888</v>
      </c>
      <c r="I2131" s="10">
        <v>1.0</v>
      </c>
      <c r="J2131" s="11" t="str">
        <f>IF(D2131&lt;&gt;"",VLOOKUP(H2131,TABLEITEM,5,FALSE),"")</f>
        <v>EA</v>
      </c>
      <c r="K2131" s="12">
        <v>1485.0</v>
      </c>
      <c r="L2131" s="13" t="str">
        <f>IF(D2131&lt;&gt;"",VLOOKUP(H2131,TABLEITEM,2,FALSE),"")</f>
        <v/>
      </c>
      <c r="M2131" s="13" t="str">
        <f>IF(D2131&lt;&gt;"",VLOOKUP(H2131,TABLEITEM,3,FALSE),"")</f>
        <v>เบรกเกอร์มิตซู NF125-CV 3P 125A</v>
      </c>
      <c r="N2131" s="14">
        <f>INSTOCK!$I2131*INSTOCK!$K2131</f>
        <v>1485</v>
      </c>
      <c r="O2131" s="4" t="s">
        <v>2889</v>
      </c>
      <c r="P2131" s="4"/>
    </row>
    <row r="2132" ht="15.75" hidden="1" customHeight="1">
      <c r="B2132" s="8">
        <v>2451.0</v>
      </c>
      <c r="C2132" s="9">
        <v>22717.0</v>
      </c>
      <c r="D2132" s="6">
        <v>6.20303745E8</v>
      </c>
      <c r="E2132" s="4">
        <v>6.203000372E9</v>
      </c>
      <c r="F2132" s="8" t="s">
        <v>2865</v>
      </c>
      <c r="G2132" s="4" t="s">
        <v>1130</v>
      </c>
      <c r="H2132" s="10" t="s">
        <v>2890</v>
      </c>
      <c r="I2132" s="10">
        <v>3.0</v>
      </c>
      <c r="J2132" s="11" t="str">
        <f>IF(D2132&lt;&gt;"",VLOOKUP(H2132,TABLEITEM,5,FALSE),"")</f>
        <v>EA</v>
      </c>
      <c r="K2132" s="12">
        <v>855.0</v>
      </c>
      <c r="L2132" s="13" t="str">
        <f>IF(D2132&lt;&gt;"",VLOOKUP(H2132,TABLEITEM,2,FALSE),"")</f>
        <v/>
      </c>
      <c r="M2132" s="13" t="str">
        <f>IF(D2132&lt;&gt;"",VLOOKUP(H2132,TABLEITEM,3,FALSE),"")</f>
        <v>เบรกเกอร์มิตซู NF63-CV 3P 50A</v>
      </c>
      <c r="N2132" s="14">
        <f>INSTOCK!$I2132*INSTOCK!$K2132</f>
        <v>2565</v>
      </c>
      <c r="O2132" s="4" t="s">
        <v>2814</v>
      </c>
      <c r="P2132" s="4"/>
    </row>
    <row r="2133" ht="15.75" hidden="1" customHeight="1">
      <c r="B2133" s="8">
        <v>2452.0</v>
      </c>
      <c r="C2133" s="9">
        <v>22717.0</v>
      </c>
      <c r="D2133" s="6">
        <v>6.20303745E8</v>
      </c>
      <c r="E2133" s="4">
        <v>6.203000372E9</v>
      </c>
      <c r="F2133" s="8" t="s">
        <v>2865</v>
      </c>
      <c r="G2133" s="4" t="s">
        <v>1130</v>
      </c>
      <c r="H2133" s="10" t="s">
        <v>1606</v>
      </c>
      <c r="I2133" s="10">
        <v>3.0</v>
      </c>
      <c r="J2133" s="11" t="str">
        <f>IF(D2133&lt;&gt;"",VLOOKUP(H2133,TABLEITEM,5,FALSE),"")</f>
        <v>EA</v>
      </c>
      <c r="K2133" s="12">
        <v>855.0</v>
      </c>
      <c r="L2133" s="13" t="str">
        <f>IF(D2133&lt;&gt;"",VLOOKUP(H2133,TABLEITEM,2,FALSE),"")</f>
        <v/>
      </c>
      <c r="M2133" s="13" t="str">
        <f>IF(D2133&lt;&gt;"",VLOOKUP(H2133,TABLEITEM,3,FALSE),"")</f>
        <v>เบรกเกอร์ NF63-CV 3P 32A</v>
      </c>
      <c r="N2133" s="14">
        <f>INSTOCK!$I2133*INSTOCK!$K2133</f>
        <v>2565</v>
      </c>
      <c r="O2133" s="4" t="s">
        <v>2814</v>
      </c>
      <c r="P2133" s="4"/>
    </row>
    <row r="2134" ht="15.75" hidden="1" customHeight="1">
      <c r="B2134" s="8">
        <v>2453.0</v>
      </c>
      <c r="C2134" s="9">
        <v>22717.0</v>
      </c>
      <c r="D2134" s="6">
        <v>6.20303745E8</v>
      </c>
      <c r="E2134" s="4">
        <v>6.203000372E9</v>
      </c>
      <c r="F2134" s="8" t="s">
        <v>2865</v>
      </c>
      <c r="G2134" s="4" t="s">
        <v>1130</v>
      </c>
      <c r="H2134" s="10" t="s">
        <v>2813</v>
      </c>
      <c r="I2134" s="10">
        <v>2.0</v>
      </c>
      <c r="J2134" s="11" t="str">
        <f>IF(D2134&lt;&gt;"",VLOOKUP(H2134,TABLEITEM,5,FALSE),"")</f>
        <v>EA</v>
      </c>
      <c r="K2134" s="12">
        <v>855.0</v>
      </c>
      <c r="L2134" s="13" t="str">
        <f>IF(D2134&lt;&gt;"",VLOOKUP(H2134,TABLEITEM,2,FALSE),"")</f>
        <v/>
      </c>
      <c r="M2134" s="13" t="str">
        <f>IF(D2134&lt;&gt;"",VLOOKUP(H2134,TABLEITEM,3,FALSE),"")</f>
        <v>เบรกเกอร์ มิตซู NF63-CV 3P 20A</v>
      </c>
      <c r="N2134" s="14">
        <f>INSTOCK!$I2134*INSTOCK!$K2134</f>
        <v>1710</v>
      </c>
      <c r="O2134" s="4" t="s">
        <v>2814</v>
      </c>
      <c r="P2134" s="4"/>
    </row>
    <row r="2135" ht="15.75" hidden="1" customHeight="1">
      <c r="B2135" s="8">
        <v>2454.0</v>
      </c>
      <c r="C2135" s="9">
        <v>22717.0</v>
      </c>
      <c r="D2135" s="6">
        <v>6.20303745E8</v>
      </c>
      <c r="E2135" s="4">
        <v>6.203000372E9</v>
      </c>
      <c r="F2135" s="8" t="s">
        <v>2865</v>
      </c>
      <c r="G2135" s="4" t="s">
        <v>1130</v>
      </c>
      <c r="H2135" s="10" t="s">
        <v>2550</v>
      </c>
      <c r="I2135" s="10">
        <v>3.0</v>
      </c>
      <c r="J2135" s="11" t="str">
        <f>IF(D2135&lt;&gt;"",VLOOKUP(H2135,TABLEITEM,5,FALSE),"")</f>
        <v>EA</v>
      </c>
      <c r="K2135" s="12">
        <v>121.12333</v>
      </c>
      <c r="L2135" s="13" t="str">
        <f>IF(D2135&lt;&gt;"",VLOOKUP(H2135,TABLEITEM,2,FALSE),"")</f>
        <v/>
      </c>
      <c r="M2135" s="13" t="str">
        <f>IF(D2135&lt;&gt;"",VLOOKUP(H2135,TABLEITEM,3,FALSE),"")</f>
        <v>CT150/5 MQS40</v>
      </c>
      <c r="N2135" s="14">
        <f>INSTOCK!$I2135*INSTOCK!$K2135</f>
        <v>363.36999</v>
      </c>
      <c r="O2135" s="4" t="s">
        <v>1898</v>
      </c>
      <c r="P2135" s="4"/>
    </row>
    <row r="2136" ht="15.75" hidden="1" customHeight="1">
      <c r="B2136" s="8">
        <v>2455.0</v>
      </c>
      <c r="C2136" s="9">
        <v>43537.0</v>
      </c>
      <c r="D2136" s="6" t="s">
        <v>2891</v>
      </c>
      <c r="E2136" s="4">
        <v>6.203000365E9</v>
      </c>
      <c r="F2136" s="8" t="s">
        <v>1989</v>
      </c>
      <c r="G2136" s="4" t="s">
        <v>1990</v>
      </c>
      <c r="H2136" s="10" t="s">
        <v>2892</v>
      </c>
      <c r="I2136" s="10">
        <v>1.0</v>
      </c>
      <c r="J2136" s="11" t="str">
        <f>IF(D2136&lt;&gt;"",VLOOKUP(H2136,TABLEITEM,5,FALSE),"")</f>
        <v>pack</v>
      </c>
      <c r="K2136" s="12">
        <v>49.0</v>
      </c>
      <c r="L2136" s="13" t="str">
        <f>IF(D2137&lt;&gt;"",VLOOKUP(H2136,TABLEITEM,2,FALSE),"")</f>
        <v/>
      </c>
      <c r="M2136" s="13" t="str">
        <f>IF(D2137&lt;&gt;"",VLOOKUP(H2136,TABLEITEM,3,FALSE),"")</f>
        <v>ใบมีดคัตเตอร์ ออร์ก้า A-100 เล็ก 45 องศา(กล่อง 60ใบ)</v>
      </c>
      <c r="N2136" s="14">
        <f>INSTOCK!$I2136*INSTOCK!$K2136</f>
        <v>49</v>
      </c>
      <c r="O2136" s="4"/>
      <c r="P2136" s="4"/>
    </row>
    <row r="2137" ht="15.75" hidden="1" customHeight="1">
      <c r="B2137" s="8">
        <v>2456.0</v>
      </c>
      <c r="C2137" s="9">
        <v>43537.0</v>
      </c>
      <c r="D2137" s="6" t="s">
        <v>2891</v>
      </c>
      <c r="E2137" s="4">
        <v>6.203000365E9</v>
      </c>
      <c r="F2137" s="8" t="s">
        <v>1989</v>
      </c>
      <c r="G2137" s="4" t="s">
        <v>1990</v>
      </c>
      <c r="H2137" s="10" t="s">
        <v>2893</v>
      </c>
      <c r="I2137" s="10">
        <v>1.0</v>
      </c>
      <c r="J2137" s="11" t="str">
        <f>IF(D2137&lt;&gt;"",VLOOKUP(H2137,TABLEITEM,5,FALSE),"")</f>
        <v>pack</v>
      </c>
      <c r="K2137" s="12">
        <v>100.0</v>
      </c>
      <c r="L2137" s="13" t="str">
        <f>IF(D2138&lt;&gt;"",VLOOKUP(H2137,TABLEITEM,2,FALSE),"")</f>
        <v/>
      </c>
      <c r="M2137" s="13" t="str">
        <f>IF(D2138&lt;&gt;"",VLOOKUP(H2137,TABLEITEM,3,FALSE),"")</f>
        <v>ใบมีดคัตเตอร์ ออร์ก้า A-150 เล็ก 45 องศา(กล่อง 60ใบ)</v>
      </c>
      <c r="N2137" s="14">
        <f>INSTOCK!$I2137*INSTOCK!$K2137</f>
        <v>100</v>
      </c>
      <c r="O2137" s="4"/>
      <c r="P2137" s="4"/>
    </row>
    <row r="2138" ht="15.75" hidden="1" customHeight="1">
      <c r="B2138" s="8">
        <v>2457.0</v>
      </c>
      <c r="C2138" s="9">
        <v>43537.0</v>
      </c>
      <c r="D2138" s="6" t="s">
        <v>2891</v>
      </c>
      <c r="E2138" s="4">
        <v>6.203000365E9</v>
      </c>
      <c r="F2138" s="8" t="s">
        <v>1989</v>
      </c>
      <c r="G2138" s="4" t="s">
        <v>1990</v>
      </c>
      <c r="H2138" s="10" t="s">
        <v>2894</v>
      </c>
      <c r="I2138" s="10">
        <v>4.0</v>
      </c>
      <c r="J2138" s="11" t="str">
        <f>IF(D2138&lt;&gt;"",VLOOKUP(H2138,TABLEITEM,5,FALSE),"")</f>
        <v>EA</v>
      </c>
      <c r="K2138" s="12">
        <v>27.0</v>
      </c>
      <c r="L2138" s="13" t="str">
        <f>IF(D2138&lt;&gt;"",VLOOKUP(H2138,TABLEITEM,2,FALSE),"")</f>
        <v/>
      </c>
      <c r="M2138" s="13" t="str">
        <f>IF(D2138&lt;&gt;"",VLOOKUP(H2138,TABLEITEM,3,FALSE),"")</f>
        <v>ดินสอดำ HB ควอนตั้ม QP-930</v>
      </c>
      <c r="N2138" s="14">
        <f>INSTOCK!$I2138*INSTOCK!$K2138</f>
        <v>108</v>
      </c>
      <c r="O2138" s="4"/>
      <c r="P2138" s="4"/>
    </row>
    <row r="2139" ht="15.75" hidden="1" customHeight="1">
      <c r="B2139" s="8">
        <v>2458.0</v>
      </c>
      <c r="C2139" s="9">
        <v>43537.0</v>
      </c>
      <c r="D2139" s="6" t="s">
        <v>2891</v>
      </c>
      <c r="E2139" s="4">
        <v>6.203000365E9</v>
      </c>
      <c r="F2139" s="8" t="s">
        <v>1989</v>
      </c>
      <c r="G2139" s="4" t="s">
        <v>1990</v>
      </c>
      <c r="H2139" s="10" t="s">
        <v>2895</v>
      </c>
      <c r="I2139" s="10">
        <v>6.0</v>
      </c>
      <c r="J2139" s="11" t="str">
        <f>IF(D2139&lt;&gt;"",VLOOKUP(H2139,TABLEITEM,5,FALSE),"")</f>
        <v>EA</v>
      </c>
      <c r="K2139" s="12">
        <v>22.0</v>
      </c>
      <c r="L2139" s="13" t="str">
        <f>IF(D2139&lt;&gt;"",VLOOKUP(H2139,TABLEITEM,2,FALSE),"")</f>
        <v/>
      </c>
      <c r="M2139" s="13" t="str">
        <f>IF(D2139&lt;&gt;"",VLOOKUP(H2139,TABLEITEM,3,FALSE),"")</f>
        <v>ปากกาเน้นข้อความ สตาบิโล บอส สีเหลือง</v>
      </c>
      <c r="N2139" s="14">
        <f>INSTOCK!$I2139*INSTOCK!$K2139</f>
        <v>132</v>
      </c>
      <c r="O2139" s="4"/>
      <c r="P2139" s="4"/>
    </row>
    <row r="2140" ht="15.75" hidden="1" customHeight="1">
      <c r="B2140" s="8">
        <v>2459.0</v>
      </c>
      <c r="C2140" s="9">
        <v>43537.0</v>
      </c>
      <c r="D2140" s="6" t="s">
        <v>2891</v>
      </c>
      <c r="E2140" s="4">
        <v>6.203000365E9</v>
      </c>
      <c r="F2140" s="8" t="s">
        <v>1989</v>
      </c>
      <c r="G2140" s="4" t="s">
        <v>1990</v>
      </c>
      <c r="H2140" s="10" t="s">
        <v>2896</v>
      </c>
      <c r="I2140" s="10">
        <v>5.0</v>
      </c>
      <c r="J2140" s="11" t="str">
        <f>IF(D2140&lt;&gt;"",VLOOKUP(H2140,TABLEITEM,5,FALSE),"")</f>
        <v>EA</v>
      </c>
      <c r="K2140" s="12">
        <v>50.0</v>
      </c>
      <c r="L2140" s="13" t="str">
        <f>IF(D2140&lt;&gt;"",VLOOKUP(H2140,TABLEITEM,2,FALSE),"")</f>
        <v/>
      </c>
      <c r="M2140" s="13" t="str">
        <f>IF(D2140&lt;&gt;"",VLOOKUP(H2140,TABLEITEM,3,FALSE),"")</f>
        <v>เครื่องเย็บกระดาษ MAX HD-10(18แผ่น)</v>
      </c>
      <c r="N2140" s="14">
        <f>INSTOCK!$I2140*INSTOCK!$K2140</f>
        <v>250</v>
      </c>
      <c r="O2140" s="4"/>
      <c r="P2140" s="4"/>
    </row>
    <row r="2141" ht="15.75" hidden="1" customHeight="1">
      <c r="B2141" s="8">
        <v>2460.0</v>
      </c>
      <c r="C2141" s="9">
        <v>43536.0</v>
      </c>
      <c r="D2141" s="6" t="s">
        <v>2897</v>
      </c>
      <c r="E2141" s="4">
        <v>6.203000371E9</v>
      </c>
      <c r="F2141" s="8" t="s">
        <v>1989</v>
      </c>
      <c r="G2141" s="4" t="s">
        <v>2014</v>
      </c>
      <c r="H2141" s="10" t="s">
        <v>2898</v>
      </c>
      <c r="I2141" s="10">
        <v>1.0</v>
      </c>
      <c r="J2141" s="11" t="str">
        <f>IF(D2141&lt;&gt;"",VLOOKUP(H2141,TABLEITEM,5,FALSE),"")</f>
        <v>PACK</v>
      </c>
      <c r="K2141" s="12">
        <v>238.32</v>
      </c>
      <c r="L2141" s="13" t="str">
        <f>IF(D2141&lt;&gt;"",VLOOKUP(H2141,TABLEITEM,2,FALSE),"")</f>
        <v/>
      </c>
      <c r="M2141" s="13" t="str">
        <f>IF(D2141&lt;&gt;"",VLOOKUP(H2141,TABLEITEM,3,FALSE),"")</f>
        <v>กระดาษถ่ายเอกสาร A3 80 แกรม (500แผ่น )</v>
      </c>
      <c r="N2141" s="14">
        <f>INSTOCK!$I2141*INSTOCK!$K2141</f>
        <v>238.32</v>
      </c>
      <c r="O2141" s="4"/>
      <c r="P2141" s="4"/>
    </row>
    <row r="2142" ht="15.75" hidden="1" customHeight="1">
      <c r="B2142" s="8">
        <v>2461.0</v>
      </c>
      <c r="C2142" s="9">
        <v>43536.0</v>
      </c>
      <c r="D2142" s="6" t="s">
        <v>2897</v>
      </c>
      <c r="E2142" s="4">
        <v>6.203000371E9</v>
      </c>
      <c r="F2142" s="8" t="s">
        <v>1989</v>
      </c>
      <c r="G2142" s="4" t="s">
        <v>2014</v>
      </c>
      <c r="H2142" s="10" t="s">
        <v>2899</v>
      </c>
      <c r="I2142" s="10">
        <v>4.0</v>
      </c>
      <c r="J2142" s="11" t="str">
        <f>IF(D2142&lt;&gt;"",VLOOKUP(H2142,TABLEITEM,5,FALSE),"")</f>
        <v>PACK</v>
      </c>
      <c r="K2142" s="12">
        <v>514.02</v>
      </c>
      <c r="L2142" s="13" t="str">
        <f>IF(D2142&lt;&gt;"",VLOOKUP(H2142,TABLEITEM,2,FALSE),"")</f>
        <v/>
      </c>
      <c r="M2142" s="13" t="str">
        <f>IF(D2142&lt;&gt;"",VLOOKUP(H2142,TABLEITEM,3,FALSE),"")</f>
        <v>กระดาษถ่ายเอกสาร A4 80 แกรม (แพ็ค 5รีม)</v>
      </c>
      <c r="N2142" s="14">
        <f>INSTOCK!$I2142*INSTOCK!$K2142</f>
        <v>2056.08</v>
      </c>
      <c r="O2142" s="4"/>
      <c r="P2142" s="4"/>
    </row>
    <row r="2143" ht="15.75" hidden="1" customHeight="1">
      <c r="B2143" s="8">
        <v>2462.0</v>
      </c>
      <c r="C2143" s="9">
        <v>43536.0</v>
      </c>
      <c r="D2143" s="6" t="s">
        <v>2897</v>
      </c>
      <c r="E2143" s="4">
        <v>6.203000371E9</v>
      </c>
      <c r="F2143" s="8" t="s">
        <v>1989</v>
      </c>
      <c r="G2143" s="4" t="s">
        <v>2014</v>
      </c>
      <c r="H2143" s="10" t="s">
        <v>2900</v>
      </c>
      <c r="I2143" s="10">
        <v>4.0</v>
      </c>
      <c r="J2143" s="11" t="str">
        <f>IF(D2143&lt;&gt;"",VLOOKUP(H2143,TABLEITEM,5,FALSE),"")</f>
        <v>EA</v>
      </c>
      <c r="K2143" s="12">
        <v>158.88</v>
      </c>
      <c r="L2143" s="13" t="str">
        <f>IF(D2143&lt;&gt;"",VLOOKUP(H2143,TABLEITEM,2,FALSE),"")</f>
        <v/>
      </c>
      <c r="M2143" s="13" t="str">
        <f>IF(D2143&lt;&gt;"",VLOOKUP(H2143,TABLEITEM,3,FALSE),"")</f>
        <v>สติ๊กเกอร์ม้วน โมเทค MX-6600S</v>
      </c>
      <c r="N2143" s="14">
        <f>INSTOCK!$I2143*INSTOCK!$K2143</f>
        <v>635.52</v>
      </c>
      <c r="O2143" s="4"/>
      <c r="P2143" s="4"/>
    </row>
    <row r="2144" ht="15.75" hidden="1" customHeight="1">
      <c r="B2144" s="8">
        <v>2463.0</v>
      </c>
      <c r="C2144" s="9">
        <v>43535.0</v>
      </c>
      <c r="D2144" s="6" t="s">
        <v>2901</v>
      </c>
      <c r="E2144" s="4">
        <v>6.203000351E9</v>
      </c>
      <c r="F2144" s="8" t="s">
        <v>1383</v>
      </c>
      <c r="G2144" s="4" t="s">
        <v>692</v>
      </c>
      <c r="H2144" s="10" t="s">
        <v>2902</v>
      </c>
      <c r="I2144" s="10">
        <v>70.0</v>
      </c>
      <c r="J2144" s="11" t="str">
        <f>IF(D2144&lt;&gt;"",VLOOKUP(H2144,TABLEITEM,5,FALSE),"")</f>
        <v>M</v>
      </c>
      <c r="K2144" s="12">
        <v>245.81</v>
      </c>
      <c r="L2144" s="13" t="str">
        <f>IF(D2144&lt;&gt;"",VLOOKUP(H2144,TABLEITEM,2,FALSE),"")</f>
        <v/>
      </c>
      <c r="M2144" s="13" t="str">
        <f>IF(D2144&lt;&gt;"",VLOOKUP(H2144,TABLEITEM,3,FALSE),"")</f>
        <v>สายไฟ CV 4x25 SQMM</v>
      </c>
      <c r="N2144" s="14">
        <f>INSTOCK!$I2144*INSTOCK!$K2144</f>
        <v>17206.7</v>
      </c>
      <c r="O2144" s="4" t="s">
        <v>2903</v>
      </c>
      <c r="P2144" s="4"/>
    </row>
    <row r="2145" ht="15.75" hidden="1" customHeight="1">
      <c r="B2145" s="8">
        <v>2464.0</v>
      </c>
      <c r="C2145" s="9">
        <v>43535.0</v>
      </c>
      <c r="D2145" s="6" t="s">
        <v>2904</v>
      </c>
      <c r="E2145" s="4"/>
      <c r="F2145" s="8" t="s">
        <v>604</v>
      </c>
      <c r="G2145" s="4" t="s">
        <v>965</v>
      </c>
      <c r="H2145" s="10" t="s">
        <v>2905</v>
      </c>
      <c r="I2145" s="10">
        <v>5.0</v>
      </c>
      <c r="J2145" s="11" t="str">
        <f>IF(D2145&lt;&gt;"",VLOOKUP(H2145,TABLEITEM,5,FALSE),"")</f>
        <v>EA</v>
      </c>
      <c r="K2145" s="12">
        <v>38.0</v>
      </c>
      <c r="L2145" s="13" t="str">
        <f>IF(D2145&lt;&gt;"",VLOOKUP(H2145,TABLEITEM,2,FALSE),"")</f>
        <v/>
      </c>
      <c r="M2145" s="13" t="str">
        <f>IF(D2145&lt;&gt;"",VLOOKUP(H2145,TABLEITEM,3,FALSE),"")</f>
        <v>ดอกสว่าน NACHI 3.3 MM</v>
      </c>
      <c r="N2145" s="14">
        <f>INSTOCK!$I2145*INSTOCK!$K2145</f>
        <v>190</v>
      </c>
      <c r="O2145" s="4"/>
      <c r="P2145" s="4"/>
    </row>
    <row r="2146" ht="15.75" hidden="1" customHeight="1">
      <c r="B2146" s="8">
        <v>2465.0</v>
      </c>
      <c r="C2146" s="9">
        <v>43535.0</v>
      </c>
      <c r="D2146" s="6" t="s">
        <v>2904</v>
      </c>
      <c r="E2146" s="4"/>
      <c r="F2146" s="8" t="s">
        <v>604</v>
      </c>
      <c r="G2146" s="4" t="s">
        <v>965</v>
      </c>
      <c r="H2146" s="10" t="s">
        <v>2906</v>
      </c>
      <c r="I2146" s="10">
        <v>10.0</v>
      </c>
      <c r="J2146" s="11" t="str">
        <f>IF(D2146&lt;&gt;"",VLOOKUP(H2146,TABLEITEM,5,FALSE),"")</f>
        <v>EA</v>
      </c>
      <c r="K2146" s="12">
        <v>10.0</v>
      </c>
      <c r="L2146" s="13" t="str">
        <f>IF(D2146&lt;&gt;"",VLOOKUP(H2146,TABLEITEM,2,FALSE),"")</f>
        <v/>
      </c>
      <c r="M2146" s="13" t="str">
        <f>IF(D2146&lt;&gt;"",VLOOKUP(H2146,TABLEITEM,3,FALSE),"")</f>
        <v>ภู่กัน #8</v>
      </c>
      <c r="N2146" s="14">
        <f>INSTOCK!$I2146*INSTOCK!$K2146</f>
        <v>100</v>
      </c>
      <c r="O2146" s="4"/>
      <c r="P2146" s="4"/>
    </row>
    <row r="2147" ht="15.75" hidden="1" customHeight="1">
      <c r="B2147" s="8">
        <v>2466.0</v>
      </c>
      <c r="C2147" s="9">
        <v>43531.0</v>
      </c>
      <c r="D2147" s="6" t="s">
        <v>2907</v>
      </c>
      <c r="E2147" s="4">
        <v>6.20300034E9</v>
      </c>
      <c r="F2147" s="8" t="s">
        <v>604</v>
      </c>
      <c r="G2147" s="4" t="s">
        <v>1446</v>
      </c>
      <c r="H2147" s="10" t="s">
        <v>1542</v>
      </c>
      <c r="I2147" s="10">
        <v>6.0</v>
      </c>
      <c r="J2147" s="11" t="str">
        <f>IF(D2147&lt;&gt;"",VLOOKUP(H2147,TABLEITEM,5,FALSE),"")</f>
        <v>EA</v>
      </c>
      <c r="K2147" s="12">
        <v>235.0</v>
      </c>
      <c r="L2147" s="13" t="str">
        <f>IF(D2147&lt;&gt;"",VLOOKUP(H2147,TABLEITEM,2,FALSE),"")</f>
        <v/>
      </c>
      <c r="M2147" s="13" t="str">
        <f>IF(D2147&lt;&gt;"",VLOOKUP(H2147,TABLEITEM,3,FALSE),"")</f>
        <v>หลอดแสงจันทร์ HPL-N400W</v>
      </c>
      <c r="N2147" s="14">
        <f>INSTOCK!$I2147*INSTOCK!$K2147</f>
        <v>1410</v>
      </c>
      <c r="O2147" s="4"/>
      <c r="P2147" s="4"/>
    </row>
    <row r="2148" ht="15.75" hidden="1" customHeight="1">
      <c r="B2148" s="8">
        <v>2467.0</v>
      </c>
      <c r="C2148" s="9">
        <v>43538.0</v>
      </c>
      <c r="D2148" s="6">
        <v>6.20304304E8</v>
      </c>
      <c r="E2148" s="4">
        <v>6.20300038E9</v>
      </c>
      <c r="F2148" s="8" t="s">
        <v>2908</v>
      </c>
      <c r="G2148" s="4" t="s">
        <v>1130</v>
      </c>
      <c r="H2148" s="10" t="s">
        <v>2175</v>
      </c>
      <c r="I2148" s="10">
        <v>1.0</v>
      </c>
      <c r="J2148" s="11" t="str">
        <f>IF(D2148&lt;&gt;"",VLOOKUP(H2148,TABLEITEM,5,FALSE),"")</f>
        <v>EA</v>
      </c>
      <c r="K2148" s="12">
        <v>1225.0</v>
      </c>
      <c r="L2148" s="13" t="str">
        <f>IF(D2148&lt;&gt;"",VLOOKUP(H2148,TABLEITEM,2,FALSE),"")</f>
        <v/>
      </c>
      <c r="M2148" s="13" t="str">
        <f>IF(D2148&lt;&gt;"",VLOOKUP(H2148,TABLEITEM,3,FALSE),"")</f>
        <v>COUNTER H7EC-N </v>
      </c>
      <c r="N2148" s="14">
        <f>INSTOCK!$I2148*INSTOCK!$K2148</f>
        <v>1225</v>
      </c>
      <c r="O2148" s="4" t="s">
        <v>2176</v>
      </c>
      <c r="P2148" s="4"/>
    </row>
    <row r="2149" ht="15.75" hidden="1" customHeight="1">
      <c r="B2149" s="8">
        <v>2468.0</v>
      </c>
      <c r="C2149" s="9">
        <v>43538.0</v>
      </c>
      <c r="D2149" s="6" t="s">
        <v>2909</v>
      </c>
      <c r="E2149" s="4">
        <v>6.203000376E9</v>
      </c>
      <c r="F2149" s="8" t="s">
        <v>807</v>
      </c>
      <c r="G2149" s="4" t="s">
        <v>808</v>
      </c>
      <c r="H2149" s="10" t="s">
        <v>809</v>
      </c>
      <c r="I2149" s="10">
        <v>1.0</v>
      </c>
      <c r="J2149" s="11" t="str">
        <f>IF(D2149&lt;&gt;"",VLOOKUP(H2149,TABLEITEM,5,FALSE),"")</f>
        <v>ท่อ</v>
      </c>
      <c r="K2149" s="12">
        <v>2700.0</v>
      </c>
      <c r="L2149" s="13" t="str">
        <f>IF(D2149&lt;&gt;"",VLOOKUP(H2149,TABLEITEM,2,FALSE),"")</f>
        <v/>
      </c>
      <c r="M2149" s="13" t="str">
        <f>IF(D2149&lt;&gt;"",VLOOKUP(H2149,TABLEITEM,3,FALSE),"")</f>
        <v>ไนโตรเจนเหลว ขนาด 100คิว</v>
      </c>
      <c r="N2149" s="14">
        <f>INSTOCK!$I2149*INSTOCK!$K2149</f>
        <v>2700</v>
      </c>
      <c r="O2149" s="4"/>
      <c r="P2149" s="4"/>
    </row>
    <row r="2150" ht="15.75" hidden="1" customHeight="1">
      <c r="B2150" s="8">
        <v>2469.0</v>
      </c>
      <c r="C2150" s="9">
        <v>43538.0</v>
      </c>
      <c r="D2150" s="6" t="s">
        <v>2910</v>
      </c>
      <c r="E2150" s="4">
        <v>6.203000378E9</v>
      </c>
      <c r="F2150" s="8" t="s">
        <v>604</v>
      </c>
      <c r="G2150" s="4" t="s">
        <v>1611</v>
      </c>
      <c r="H2150" s="10" t="s">
        <v>188</v>
      </c>
      <c r="I2150" s="10">
        <v>1200.0</v>
      </c>
      <c r="J2150" s="11" t="str">
        <f>IF(D2150&lt;&gt;"",VLOOKUP(H2150,TABLEITEM,5,FALSE),"")</f>
        <v>EA</v>
      </c>
      <c r="K2150" s="12">
        <v>9.0</v>
      </c>
      <c r="L2150" s="13" t="str">
        <f>IF(D2150&lt;&gt;"",VLOOKUP(H2150,TABLEITEM,2,FALSE),"")</f>
        <v/>
      </c>
      <c r="M2150" s="13" t="str">
        <f>IF(D2150&lt;&gt;"",VLOOKUP(H2150,TABLEITEM,3,FALSE),"")</f>
        <v>TERMINAL BLOCK TX10</v>
      </c>
      <c r="N2150" s="14">
        <f>INSTOCK!$I2150*INSTOCK!$K2150</f>
        <v>10800</v>
      </c>
      <c r="O2150" s="4"/>
      <c r="P2150" s="4"/>
    </row>
    <row r="2151" ht="15.75" hidden="1" customHeight="1">
      <c r="B2151" s="8">
        <v>2470.0</v>
      </c>
      <c r="C2151" s="9">
        <v>43538.0</v>
      </c>
      <c r="D2151" s="6" t="s">
        <v>2910</v>
      </c>
      <c r="E2151" s="4">
        <v>6.203000378E9</v>
      </c>
      <c r="F2151" s="8" t="s">
        <v>604</v>
      </c>
      <c r="G2151" s="4" t="s">
        <v>1611</v>
      </c>
      <c r="H2151" s="10" t="s">
        <v>189</v>
      </c>
      <c r="I2151" s="10">
        <v>100.0</v>
      </c>
      <c r="J2151" s="11" t="str">
        <f>IF(D2151&lt;&gt;"",VLOOKUP(H2151,TABLEITEM,5,FALSE),"")</f>
        <v>EA</v>
      </c>
      <c r="K2151" s="12">
        <v>5.0</v>
      </c>
      <c r="L2151" s="13" t="str">
        <f>IF(D2151&lt;&gt;"",VLOOKUP(H2151,TABLEITEM,2,FALSE),"")</f>
        <v/>
      </c>
      <c r="M2151" s="13" t="str">
        <f>IF(D2151&lt;&gt;"",VLOOKUP(H2151,TABLEITEM,3,FALSE),"")</f>
        <v>END PLATE TXA1</v>
      </c>
      <c r="N2151" s="14">
        <f>INSTOCK!$I2151*INSTOCK!$K2151</f>
        <v>500</v>
      </c>
      <c r="O2151" s="4"/>
      <c r="P2151" s="4"/>
    </row>
    <row r="2152" ht="15.75" hidden="1" customHeight="1">
      <c r="B2152" s="8">
        <v>2471.0</v>
      </c>
      <c r="C2152" s="9">
        <v>43539.0</v>
      </c>
      <c r="D2152" s="6" t="s">
        <v>2911</v>
      </c>
      <c r="E2152" s="4">
        <v>6.203000384E9</v>
      </c>
      <c r="F2152" s="8" t="s">
        <v>604</v>
      </c>
      <c r="G2152" s="4" t="s">
        <v>665</v>
      </c>
      <c r="H2152" s="10" t="s">
        <v>462</v>
      </c>
      <c r="I2152" s="10">
        <v>1500.0</v>
      </c>
      <c r="J2152" s="11" t="str">
        <f>IF(D2152&lt;&gt;"",VLOOKUP(H2152,TABLEITEM,5,FALSE),"")</f>
        <v>M</v>
      </c>
      <c r="K2152" s="12">
        <v>5.0</v>
      </c>
      <c r="L2152" s="13" t="str">
        <f>IF(D2152&lt;&gt;"",VLOOKUP(H2152,TABLEITEM,2,FALSE),"")</f>
        <v>wire</v>
      </c>
      <c r="M2152" s="13" t="str">
        <f>IF(D2152&lt;&gt;"",VLOOKUP(H2152,TABLEITEM,3,FALSE),"")</f>
        <v>สายไฟ VSF1x1 SQMM.สีเหลือง</v>
      </c>
      <c r="N2152" s="14">
        <f>INSTOCK!$I2152*INSTOCK!$K2152</f>
        <v>7500</v>
      </c>
      <c r="O2152" s="4"/>
      <c r="P2152" s="4"/>
    </row>
    <row r="2153" ht="15.75" hidden="1" customHeight="1">
      <c r="B2153" s="8">
        <v>2472.0</v>
      </c>
      <c r="C2153" s="9">
        <v>43539.0</v>
      </c>
      <c r="D2153" s="6" t="s">
        <v>2911</v>
      </c>
      <c r="E2153" s="4">
        <v>6.203000384E9</v>
      </c>
      <c r="F2153" s="8" t="s">
        <v>604</v>
      </c>
      <c r="G2153" s="4" t="s">
        <v>665</v>
      </c>
      <c r="H2153" s="10" t="s">
        <v>479</v>
      </c>
      <c r="I2153" s="10">
        <v>500.0</v>
      </c>
      <c r="J2153" s="11" t="str">
        <f>IF(D2153&lt;&gt;"",VLOOKUP(H2153,TABLEITEM,5,FALSE),"")</f>
        <v>M</v>
      </c>
      <c r="K2153" s="12">
        <v>9.8</v>
      </c>
      <c r="L2153" s="13" t="str">
        <f>IF(D2153&lt;&gt;"",VLOOKUP(H2153,TABLEITEM,2,FALSE),"")</f>
        <v>wire</v>
      </c>
      <c r="M2153" s="13" t="str">
        <f>IF(D2153&lt;&gt;"",VLOOKUP(H2153,TABLEITEM,3,FALSE),"")</f>
        <v>สายไฟ VSF1x2.5 SQMM.สีเหลือง</v>
      </c>
      <c r="N2153" s="14">
        <f>INSTOCK!$I2153*INSTOCK!$K2153</f>
        <v>4900</v>
      </c>
      <c r="O2153" s="4"/>
      <c r="P2153" s="4"/>
    </row>
    <row r="2154" ht="15.75" hidden="1" customHeight="1">
      <c r="B2154" s="8">
        <v>2473.0</v>
      </c>
      <c r="C2154" s="9">
        <v>43539.0</v>
      </c>
      <c r="D2154" s="6" t="s">
        <v>2911</v>
      </c>
      <c r="E2154" s="4">
        <v>6.203000384E9</v>
      </c>
      <c r="F2154" s="8" t="s">
        <v>604</v>
      </c>
      <c r="G2154" s="4" t="s">
        <v>665</v>
      </c>
      <c r="H2154" s="10" t="s">
        <v>482</v>
      </c>
      <c r="I2154" s="10">
        <v>500.0</v>
      </c>
      <c r="J2154" s="11" t="str">
        <f>IF(D2154&lt;&gt;"",VLOOKUP(H2154,TABLEITEM,5,FALSE),"")</f>
        <v>M</v>
      </c>
      <c r="K2154" s="12">
        <v>9.8</v>
      </c>
      <c r="L2154" s="13" t="str">
        <f>IF(D2154&lt;&gt;"",VLOOKUP(H2154,TABLEITEM,2,FALSE),"")</f>
        <v>wire</v>
      </c>
      <c r="M2154" s="13" t="str">
        <f>IF(D2154&lt;&gt;"",VLOOKUP(H2154,TABLEITEM,3,FALSE),"")</f>
        <v>สายไฟ VSF1x2.5 SQMM.สีดำ</v>
      </c>
      <c r="N2154" s="14">
        <f>INSTOCK!$I2154*INSTOCK!$K2154</f>
        <v>4900</v>
      </c>
      <c r="O2154" s="4"/>
      <c r="P2154" s="4"/>
    </row>
    <row r="2155" ht="15.75" hidden="1" customHeight="1">
      <c r="B2155" s="8">
        <v>2474.0</v>
      </c>
      <c r="C2155" s="9">
        <v>43539.0</v>
      </c>
      <c r="D2155" s="6" t="s">
        <v>2911</v>
      </c>
      <c r="E2155" s="4">
        <v>6.203000384E9</v>
      </c>
      <c r="F2155" s="8" t="s">
        <v>604</v>
      </c>
      <c r="G2155" s="4" t="s">
        <v>665</v>
      </c>
      <c r="H2155" s="10" t="s">
        <v>490</v>
      </c>
      <c r="I2155" s="10">
        <v>500.0</v>
      </c>
      <c r="J2155" s="11" t="str">
        <f>IF(D2155&lt;&gt;"",VLOOKUP(H2155,TABLEITEM,5,FALSE),"")</f>
        <v>M</v>
      </c>
      <c r="K2155" s="12">
        <v>15.47</v>
      </c>
      <c r="L2155" s="13" t="str">
        <f>IF(D2155&lt;&gt;"",VLOOKUP(H2155,TABLEITEM,2,FALSE),"")</f>
        <v>wire</v>
      </c>
      <c r="M2155" s="13" t="str">
        <f>IF(D2155&lt;&gt;"",VLOOKUP(H2155,TABLEITEM,3,FALSE),"")</f>
        <v>สายไฟ VSF1x4 SQMM.สีดำ</v>
      </c>
      <c r="N2155" s="14">
        <f>INSTOCK!$I2155*INSTOCK!$K2155</f>
        <v>7735</v>
      </c>
      <c r="O2155" s="4"/>
      <c r="P2155" s="4"/>
    </row>
    <row r="2156" ht="15.75" hidden="1" customHeight="1">
      <c r="B2156" s="8">
        <v>2475.0</v>
      </c>
      <c r="C2156" s="9">
        <v>43536.0</v>
      </c>
      <c r="D2156" s="6">
        <v>6.2030345E8</v>
      </c>
      <c r="E2156" s="4">
        <v>6.203000367E9</v>
      </c>
      <c r="F2156" s="8" t="s">
        <v>2865</v>
      </c>
      <c r="G2156" s="4" t="s">
        <v>1130</v>
      </c>
      <c r="H2156" s="10" t="s">
        <v>2791</v>
      </c>
      <c r="I2156" s="10">
        <v>3.0</v>
      </c>
      <c r="J2156" s="11" t="str">
        <f>IF(D2156&lt;&gt;"",VLOOKUP(H2156,TABLEITEM,5,FALSE),"")</f>
        <v>EA</v>
      </c>
      <c r="K2156" s="12">
        <v>121.123333</v>
      </c>
      <c r="L2156" s="13" t="str">
        <f>IF(D2156&lt;&gt;"",VLOOKUP(H2156,TABLEITEM,2,FALSE),"")</f>
        <v/>
      </c>
      <c r="M2156" s="13" t="str">
        <f>IF(D2156&lt;&gt;"",VLOOKUP(H2156,TABLEITEM,3,FALSE),"")</f>
        <v>CT400/5 MQS40</v>
      </c>
      <c r="N2156" s="14">
        <f>INSTOCK!$I2156*INSTOCK!$K2156</f>
        <v>363.369999</v>
      </c>
      <c r="O2156" s="4" t="s">
        <v>1898</v>
      </c>
      <c r="P2156" s="4"/>
    </row>
    <row r="2157" ht="15.75" hidden="1" customHeight="1">
      <c r="B2157" s="8">
        <v>2476.0</v>
      </c>
      <c r="C2157" s="9">
        <v>43538.0</v>
      </c>
      <c r="D2157" s="6" t="s">
        <v>2912</v>
      </c>
      <c r="E2157" s="4">
        <v>6.203000385E9</v>
      </c>
      <c r="F2157" s="8" t="s">
        <v>604</v>
      </c>
      <c r="G2157" s="4" t="s">
        <v>692</v>
      </c>
      <c r="H2157" s="10" t="s">
        <v>515</v>
      </c>
      <c r="I2157" s="10">
        <v>100.0</v>
      </c>
      <c r="J2157" s="11" t="str">
        <f>IF(D2157&lt;&gt;"",VLOOKUP(H2157,TABLEITEM,5,FALSE),"")</f>
        <v>M</v>
      </c>
      <c r="K2157" s="12">
        <v>80.135</v>
      </c>
      <c r="L2157" s="13" t="str">
        <f>IF(D2157&lt;&gt;"",VLOOKUP(H2157,TABLEITEM,2,FALSE),"")</f>
        <v>wire</v>
      </c>
      <c r="M2157" s="13" t="str">
        <f>IF(D2157&lt;&gt;"",VLOOKUP(H2157,TABLEITEM,3,FALSE),"")</f>
        <v>สายTHW ขนาด 1x35 SQMM.สีดำ</v>
      </c>
      <c r="N2157" s="14">
        <f>INSTOCK!$I2157*INSTOCK!$K2157</f>
        <v>8013.5</v>
      </c>
      <c r="O2157" s="4" t="s">
        <v>1325</v>
      </c>
      <c r="P2157" s="4"/>
    </row>
    <row r="2158" ht="15.75" hidden="1" customHeight="1">
      <c r="B2158" s="8">
        <v>2477.0</v>
      </c>
      <c r="C2158" s="9">
        <v>43539.0</v>
      </c>
      <c r="D2158" s="6" t="s">
        <v>2913</v>
      </c>
      <c r="E2158" s="4">
        <v>6.203000358E9</v>
      </c>
      <c r="F2158" s="8" t="s">
        <v>604</v>
      </c>
      <c r="G2158" s="4" t="s">
        <v>729</v>
      </c>
      <c r="H2158" s="10" t="s">
        <v>29</v>
      </c>
      <c r="I2158" s="10">
        <v>300.0</v>
      </c>
      <c r="J2158" s="11" t="str">
        <f>IF(D2158&lt;&gt;"",VLOOKUP(H2158,TABLEITEM,5,FALSE),"")</f>
        <v>M</v>
      </c>
      <c r="K2158" s="12">
        <v>17.0</v>
      </c>
      <c r="L2158" s="13" t="str">
        <f>IF(D2158&lt;&gt;"",VLOOKUP(H2158,TABLEITEM,2,FALSE),"")</f>
        <v/>
      </c>
      <c r="M2158" s="13" t="str">
        <f>IF(D2158&lt;&gt;"",VLOOKUP(H2158,TABLEITEM,3,FALSE),"")</f>
        <v>ยางฟองน้ำ1"x1/4''</v>
      </c>
      <c r="N2158" s="14">
        <f>INSTOCK!$I2158*INSTOCK!$K2158</f>
        <v>5100</v>
      </c>
      <c r="O2158" s="4"/>
      <c r="P2158" s="4"/>
    </row>
    <row r="2159" ht="15.75" hidden="1" customHeight="1">
      <c r="B2159" s="8">
        <v>2478.0</v>
      </c>
      <c r="C2159" s="9">
        <v>43538.0</v>
      </c>
      <c r="D2159" s="6" t="s">
        <v>2914</v>
      </c>
      <c r="E2159" s="4"/>
      <c r="F2159" s="8" t="s">
        <v>2915</v>
      </c>
      <c r="G2159" s="4" t="s">
        <v>1522</v>
      </c>
      <c r="H2159" s="10" t="s">
        <v>2916</v>
      </c>
      <c r="I2159" s="10">
        <v>1.0</v>
      </c>
      <c r="J2159" s="11" t="str">
        <f>IF(D2159&lt;&gt;"",VLOOKUP(H2159,TABLEITEM,5,FALSE),"")</f>
        <v>EA</v>
      </c>
      <c r="K2159" s="12">
        <v>310.0</v>
      </c>
      <c r="L2159" s="13" t="str">
        <f>IF(D2159&lt;&gt;"",VLOOKUP(H2159,TABLEITEM,2,FALSE),"")</f>
        <v/>
      </c>
      <c r="M2159" s="13" t="str">
        <f>IF(D2159&lt;&gt;"",VLOOKUP(H2159,TABLEITEM,3,FALSE),"")</f>
        <v>สวิทซ์เครน 2ปุ่ม THS-61</v>
      </c>
      <c r="N2159" s="14">
        <f>INSTOCK!$I2159*INSTOCK!$K2159</f>
        <v>310</v>
      </c>
      <c r="O2159" s="4"/>
      <c r="P2159" s="4"/>
    </row>
    <row r="2160" ht="15.75" hidden="1" customHeight="1">
      <c r="B2160" s="8">
        <v>2479.0</v>
      </c>
      <c r="C2160" s="9">
        <v>43538.0</v>
      </c>
      <c r="D2160" s="6">
        <v>6.2030442E8</v>
      </c>
      <c r="E2160" s="4">
        <v>6.203000379E9</v>
      </c>
      <c r="F2160" s="8" t="s">
        <v>604</v>
      </c>
      <c r="G2160" s="4" t="s">
        <v>1130</v>
      </c>
      <c r="H2160" s="10" t="s">
        <v>245</v>
      </c>
      <c r="I2160" s="10">
        <v>5000.0</v>
      </c>
      <c r="J2160" s="11" t="str">
        <f>IF(D2160&lt;&gt;"",VLOOKUP(H2160,TABLEITEM,5,FALSE),"")</f>
        <v>EA</v>
      </c>
      <c r="K2160" s="12">
        <v>0.63</v>
      </c>
      <c r="L2160" s="13" t="str">
        <f>IF(D2160&lt;&gt;"",VLOOKUP(H2160,TABLEITEM,2,FALSE),"")</f>
        <v/>
      </c>
      <c r="M2160" s="13" t="str">
        <f>IF(D2160&lt;&gt;"",VLOOKUP(H2160,TABLEITEM,3,FALSE),"")</f>
        <v>หางปลาแฉกเปลือย Y1.5-3S</v>
      </c>
      <c r="N2160" s="14">
        <f>INSTOCK!$I2160*INSTOCK!$K2160</f>
        <v>3150</v>
      </c>
      <c r="O2160" s="4" t="s">
        <v>1830</v>
      </c>
      <c r="P2160" s="4"/>
    </row>
    <row r="2161" ht="15.75" hidden="1" customHeight="1">
      <c r="B2161" s="8">
        <v>2480.0</v>
      </c>
      <c r="C2161" s="9">
        <v>43538.0</v>
      </c>
      <c r="D2161" s="6">
        <v>6.2030442E8</v>
      </c>
      <c r="E2161" s="4">
        <v>6.203000379E9</v>
      </c>
      <c r="F2161" s="8" t="s">
        <v>604</v>
      </c>
      <c r="G2161" s="4" t="s">
        <v>1130</v>
      </c>
      <c r="H2161" s="10" t="s">
        <v>169</v>
      </c>
      <c r="I2161" s="10">
        <v>100.0</v>
      </c>
      <c r="J2161" s="11" t="str">
        <f>IF(D2161&lt;&gt;"",VLOOKUP(H2161,TABLEITEM,5,FALSE),"")</f>
        <v>M</v>
      </c>
      <c r="K2161" s="12">
        <v>4.0</v>
      </c>
      <c r="L2161" s="13" t="str">
        <f>IF(D2161&lt;&gt;"",VLOOKUP(H2161,TABLEITEM,2,FALSE),"")</f>
        <v/>
      </c>
      <c r="M2161" s="13" t="str">
        <f>IF(D2161&lt;&gt;"",VLOOKUP(H2161,TABLEITEM,3,FALSE),"")</f>
        <v>ไส้ไก่ NO.10</v>
      </c>
      <c r="N2161" s="14">
        <f>INSTOCK!$I2161*INSTOCK!$K2161</f>
        <v>400</v>
      </c>
      <c r="O2161" s="4" t="s">
        <v>2917</v>
      </c>
      <c r="P2161" s="4"/>
    </row>
    <row r="2162" ht="15.75" hidden="1" customHeight="1">
      <c r="B2162" s="8">
        <v>2481.0</v>
      </c>
      <c r="C2162" s="9">
        <v>43535.0</v>
      </c>
      <c r="D2162" s="6" t="s">
        <v>2918</v>
      </c>
      <c r="E2162" s="4">
        <v>6.202000295E9</v>
      </c>
      <c r="F2162" s="8"/>
      <c r="G2162" s="4" t="s">
        <v>2919</v>
      </c>
      <c r="H2162" s="10" t="s">
        <v>2920</v>
      </c>
      <c r="I2162" s="10">
        <v>1.0</v>
      </c>
      <c r="J2162" s="11" t="str">
        <f>IF(D2162&lt;&gt;"",VLOOKUP(H2162,TABLEITEM,5,FALSE),"")</f>
        <v>LOT</v>
      </c>
      <c r="K2162" s="12">
        <v>1500.0</v>
      </c>
      <c r="L2162" s="13" t="str">
        <f>IF(D2162&lt;&gt;"",VLOOKUP(H2162,TABLEITEM,2,FALSE),"")</f>
        <v/>
      </c>
      <c r="M2162" s="13" t="str">
        <f>IF(D2162&lt;&gt;"",VLOOKUP(H2162,TABLEITEM,3,FALSE),"")</f>
        <v>ค่าลงโปรแกรมพร้อมสอน ยี่ห้อ ZK รุ่น U-160C</v>
      </c>
      <c r="N2162" s="14">
        <f>INSTOCK!$I2162*INSTOCK!$K2162</f>
        <v>1500</v>
      </c>
      <c r="O2162" s="4"/>
      <c r="P2162" s="4"/>
    </row>
    <row r="2163" ht="15.75" hidden="1" customHeight="1">
      <c r="B2163" s="8">
        <v>2482.0</v>
      </c>
      <c r="C2163" s="9">
        <v>43537.0</v>
      </c>
      <c r="D2163" s="6" t="s">
        <v>2921</v>
      </c>
      <c r="E2163" s="4">
        <v>6.203000366E9</v>
      </c>
      <c r="F2163" s="8"/>
      <c r="G2163" s="4" t="s">
        <v>2919</v>
      </c>
      <c r="H2163" s="10" t="s">
        <v>2922</v>
      </c>
      <c r="I2163" s="10">
        <v>1.0</v>
      </c>
      <c r="J2163" s="11" t="str">
        <f>IF(D2163&lt;&gt;"",VLOOKUP(H2163,TABLEITEM,5,FALSE),"")</f>
        <v>EA</v>
      </c>
      <c r="K2163" s="12">
        <v>10000.0</v>
      </c>
      <c r="L2163" s="13" t="str">
        <f>IF(D2163&lt;&gt;"",VLOOKUP(H2163,TABLEITEM,2,FALSE),"")</f>
        <v/>
      </c>
      <c r="M2163" s="13" t="str">
        <f>IF(D2163&lt;&gt;"",VLOOKUP(H2163,TABLEITEM,3,FALSE),"")</f>
        <v>เครื่องตรวจลายนิ้วมือ AlphaFingerscan รุ่น ALP-7400</v>
      </c>
      <c r="N2163" s="14">
        <f>INSTOCK!$I2163*INSTOCK!$K2163</f>
        <v>10000</v>
      </c>
      <c r="O2163" s="4"/>
      <c r="P2163" s="4"/>
    </row>
    <row r="2164" ht="15.75" hidden="1" customHeight="1">
      <c r="B2164" s="8">
        <v>2483.0</v>
      </c>
      <c r="C2164" s="9">
        <v>43537.0</v>
      </c>
      <c r="D2164" s="6" t="s">
        <v>2921</v>
      </c>
      <c r="E2164" s="4">
        <v>6.203000366E9</v>
      </c>
      <c r="F2164" s="8" t="s">
        <v>2923</v>
      </c>
      <c r="G2164" s="4" t="s">
        <v>2919</v>
      </c>
      <c r="H2164" s="10" t="s">
        <v>2924</v>
      </c>
      <c r="I2164" s="10">
        <v>1.0</v>
      </c>
      <c r="J2164" s="11" t="str">
        <f>IF(D2164&lt;&gt;"",VLOOKUP(H2164,TABLEITEM,5,FALSE),"")</f>
        <v>LOT</v>
      </c>
      <c r="K2164" s="12">
        <v>2000.0</v>
      </c>
      <c r="L2164" s="13" t="str">
        <f>IF(D2164&lt;&gt;"",VLOOKUP(H2164,TABLEITEM,2,FALSE),"")</f>
        <v/>
      </c>
      <c r="M2164" s="13" t="str">
        <f>IF(D2164&lt;&gt;"",VLOOKUP(H2164,TABLEITEM,3,FALSE),"")</f>
        <v>ค่าติดตั้งระบบสินค้า IT</v>
      </c>
      <c r="N2164" s="14">
        <f>INSTOCK!$I2164*INSTOCK!$K2164</f>
        <v>2000</v>
      </c>
      <c r="O2164" s="4"/>
      <c r="P2164" s="4"/>
    </row>
    <row r="2165" ht="15.75" hidden="1" customHeight="1">
      <c r="B2165" s="8">
        <v>2484.0</v>
      </c>
      <c r="C2165" s="9">
        <v>43523.0</v>
      </c>
      <c r="D2165" s="6" t="s">
        <v>2925</v>
      </c>
      <c r="E2165" s="4">
        <v>6.202000167E9</v>
      </c>
      <c r="F2165" s="8" t="s">
        <v>633</v>
      </c>
      <c r="G2165" s="4" t="s">
        <v>2926</v>
      </c>
      <c r="H2165" s="10" t="s">
        <v>2927</v>
      </c>
      <c r="I2165" s="10">
        <v>40.0</v>
      </c>
      <c r="J2165" s="11" t="str">
        <f>IF(D2165&lt;&gt;"",VLOOKUP(H2165,TABLEITEM,5,FALSE),"")</f>
        <v>EA</v>
      </c>
      <c r="K2165" s="12">
        <v>580.0</v>
      </c>
      <c r="L2165" s="13" t="str">
        <f>IF(D2165&lt;&gt;"",VLOOKUP(H2165,TABLEITEM,2,FALSE),"")</f>
        <v/>
      </c>
      <c r="M2165" s="13" t="str">
        <f>IF(D2165&lt;&gt;"",VLOOKUP(H2165,TABLEITEM,3,FALSE),"")</f>
        <v>งานสัญลักษณ์จราจรสีอีพ๊อกซี่ ขนาด 10 ซม </v>
      </c>
      <c r="N2165" s="14">
        <f>INSTOCK!$I2165*INSTOCK!$K2165</f>
        <v>23200</v>
      </c>
      <c r="O2165" s="4"/>
      <c r="P2165" s="4"/>
    </row>
    <row r="2166" ht="15.75" hidden="1" customHeight="1">
      <c r="B2166" s="8">
        <v>2485.0</v>
      </c>
      <c r="C2166" s="9">
        <v>43535.0</v>
      </c>
      <c r="D2166" s="6" t="s">
        <v>2928</v>
      </c>
      <c r="E2166" s="4"/>
      <c r="F2166" s="8" t="s">
        <v>2598</v>
      </c>
      <c r="G2166" s="4" t="s">
        <v>2635</v>
      </c>
      <c r="H2166" s="10" t="s">
        <v>2636</v>
      </c>
      <c r="I2166" s="10">
        <v>1296.75</v>
      </c>
      <c r="J2166" s="11" t="str">
        <f>IF(D2166&lt;&gt;"",VLOOKUP(H2166,TABLEITEM,5,FALSE),"")</f>
        <v>LOT</v>
      </c>
      <c r="K2166" s="12">
        <v>20.0</v>
      </c>
      <c r="L2166" s="13" t="str">
        <f>IF(D2166&lt;&gt;"",VLOOKUP(H2166,TABLEITEM,2,FALSE),"")</f>
        <v/>
      </c>
      <c r="M2166" s="13" t="str">
        <f>IF(D2166&lt;&gt;"",VLOOKUP(H2166,TABLEITEM,3,FALSE),"")</f>
        <v>ค่าคอม ตู้น้ำมัน</v>
      </c>
      <c r="N2166" s="14">
        <f>INSTOCK!$I2166*INSTOCK!$K2166</f>
        <v>25935</v>
      </c>
      <c r="O2166" s="4"/>
      <c r="P2166" s="4"/>
    </row>
    <row r="2167" ht="15.75" hidden="1" customHeight="1">
      <c r="B2167" s="8">
        <v>2486.0</v>
      </c>
      <c r="C2167" s="9">
        <v>43539.0</v>
      </c>
      <c r="D2167" s="6">
        <v>6.203075E7</v>
      </c>
      <c r="E2167" s="4">
        <v>6.203000377E9</v>
      </c>
      <c r="F2167" s="8" t="s">
        <v>2929</v>
      </c>
      <c r="G2167" s="4" t="s">
        <v>711</v>
      </c>
      <c r="H2167" s="10" t="s">
        <v>712</v>
      </c>
      <c r="I2167" s="10">
        <v>20.0</v>
      </c>
      <c r="J2167" s="11" t="str">
        <f>IF(D2167&lt;&gt;"",VLOOKUP(H2167,TABLEITEM,5,FALSE),"")</f>
        <v>KG.</v>
      </c>
      <c r="K2167" s="12">
        <v>148.75</v>
      </c>
      <c r="L2167" s="13" t="str">
        <f>IF(D2167&lt;&gt;"",VLOOKUP(H2167,TABLEITEM,2,FALSE),"")</f>
        <v/>
      </c>
      <c r="M2167" s="13" t="str">
        <f>IF(D2167&lt;&gt;"",VLOOKUP(H2167,TABLEITEM,3,FALSE),"")</f>
        <v>สีฝุ่น M70460 CN</v>
      </c>
      <c r="N2167" s="14">
        <f>INSTOCK!$I2167*INSTOCK!$K2167</f>
        <v>2975</v>
      </c>
      <c r="O2167" s="4" t="s">
        <v>714</v>
      </c>
      <c r="P2167" s="4"/>
    </row>
    <row r="2168" ht="15.75" hidden="1" customHeight="1">
      <c r="B2168" s="8">
        <v>2487.0</v>
      </c>
      <c r="C2168" s="9">
        <v>43540.0</v>
      </c>
      <c r="D2168" s="6" t="s">
        <v>2930</v>
      </c>
      <c r="E2168" s="4"/>
      <c r="F2168" s="8" t="s">
        <v>801</v>
      </c>
      <c r="G2168" s="4" t="s">
        <v>1417</v>
      </c>
      <c r="H2168" s="10" t="s">
        <v>803</v>
      </c>
      <c r="I2168" s="10">
        <v>15.0</v>
      </c>
      <c r="J2168" s="11" t="str">
        <f>IF(D2168&lt;&gt;"",VLOOKUP(H2168,TABLEITEM,5,FALSE),"")</f>
        <v>ถัง</v>
      </c>
      <c r="K2168" s="12">
        <v>981.31</v>
      </c>
      <c r="L2168" s="13" t="str">
        <f>IF(D2168&lt;&gt;"",VLOOKUP(H2168,TABLEITEM,2,FALSE),"")</f>
        <v/>
      </c>
      <c r="M2168" s="13" t="str">
        <f>IF(D2168&lt;&gt;"",VLOOKUP(H2168,TABLEITEM,3,FALSE),"")</f>
        <v>แก๊สหุงต้ม 48กก</v>
      </c>
      <c r="N2168" s="14">
        <f>INSTOCK!$I2168*INSTOCK!$K2168</f>
        <v>14719.65</v>
      </c>
      <c r="O2168" s="4"/>
      <c r="P2168" s="4"/>
    </row>
    <row r="2169" ht="15.75" hidden="1" customHeight="1">
      <c r="B2169" s="8">
        <v>2488.0</v>
      </c>
      <c r="C2169" s="9">
        <v>43540.0</v>
      </c>
      <c r="D2169" s="6" t="s">
        <v>2931</v>
      </c>
      <c r="E2169" s="4">
        <v>6.203000389E9</v>
      </c>
      <c r="F2169" s="8" t="s">
        <v>807</v>
      </c>
      <c r="G2169" s="4" t="s">
        <v>808</v>
      </c>
      <c r="H2169" s="10" t="s">
        <v>809</v>
      </c>
      <c r="I2169" s="10">
        <v>1.0</v>
      </c>
      <c r="J2169" s="11" t="str">
        <f>IF(D2169&lt;&gt;"",VLOOKUP(H2169,TABLEITEM,5,FALSE),"")</f>
        <v>ท่อ</v>
      </c>
      <c r="K2169" s="12">
        <v>2700.0</v>
      </c>
      <c r="L2169" s="13" t="str">
        <f>IF(D2169&lt;&gt;"",VLOOKUP(H2169,TABLEITEM,2,FALSE),"")</f>
        <v/>
      </c>
      <c r="M2169" s="13" t="str">
        <f>IF(D2169&lt;&gt;"",VLOOKUP(H2169,TABLEITEM,3,FALSE),"")</f>
        <v>ไนโตรเจนเหลว ขนาด 100คิว</v>
      </c>
      <c r="N2169" s="14">
        <f>INSTOCK!$I2169*INSTOCK!$K2169</f>
        <v>2700</v>
      </c>
      <c r="O2169" s="4"/>
      <c r="P2169" s="4"/>
    </row>
    <row r="2170" ht="15.75" hidden="1" customHeight="1">
      <c r="B2170" s="8">
        <v>2489.0</v>
      </c>
      <c r="C2170" s="9">
        <v>43539.0</v>
      </c>
      <c r="D2170" s="6">
        <v>37865.0</v>
      </c>
      <c r="E2170" s="4">
        <v>6.203000392E9</v>
      </c>
      <c r="F2170" s="8" t="s">
        <v>2932</v>
      </c>
      <c r="G2170" s="4" t="s">
        <v>696</v>
      </c>
      <c r="H2170" s="10" t="s">
        <v>2692</v>
      </c>
      <c r="I2170" s="10">
        <v>1000.0</v>
      </c>
      <c r="J2170" s="11" t="str">
        <f>IF(D2170&lt;&gt;"",VLOOKUP(H2170,TABLEITEM,5,FALSE),"")</f>
        <v>EA</v>
      </c>
      <c r="K2170" s="12">
        <v>22.0</v>
      </c>
      <c r="L2170" s="13" t="str">
        <f>IF(D2170&lt;&gt;"",VLOOKUP(H2170,TABLEITEM,2,FALSE),"")</f>
        <v/>
      </c>
      <c r="M2170" s="13" t="str">
        <f>IF(D2170&lt;&gt;"",VLOOKUP(H2170,TABLEITEM,3,FALSE),"")</f>
        <v>บานพับเหล็กถอดได้ 1 1/4"</v>
      </c>
      <c r="N2170" s="14">
        <f>INSTOCK!$I2170*INSTOCK!$K2170</f>
        <v>22000</v>
      </c>
      <c r="O2170" s="4"/>
      <c r="P2170" s="4"/>
    </row>
    <row r="2171" ht="15.75" hidden="1" customHeight="1">
      <c r="B2171" s="8">
        <v>2490.0</v>
      </c>
      <c r="C2171" s="9">
        <v>43540.0</v>
      </c>
      <c r="D2171" s="6">
        <v>37875.0</v>
      </c>
      <c r="E2171" s="4">
        <v>6.203000393E9</v>
      </c>
      <c r="F2171" s="8" t="s">
        <v>2933</v>
      </c>
      <c r="G2171" s="4" t="s">
        <v>696</v>
      </c>
      <c r="H2171" s="10" t="s">
        <v>2934</v>
      </c>
      <c r="I2171" s="10">
        <v>4.0</v>
      </c>
      <c r="J2171" s="11" t="str">
        <f>IF(D2171&lt;&gt;"",VLOOKUP(H2171,TABLEITEM,5,FALSE),"")</f>
        <v>EA</v>
      </c>
      <c r="K2171" s="12">
        <v>100.0</v>
      </c>
      <c r="L2171" s="13" t="str">
        <f>IF(D2171&lt;&gt;"",VLOOKUP(H2171,TABLEITEM,2,FALSE),"")</f>
        <v/>
      </c>
      <c r="M2171" s="13" t="str">
        <f>IF(D2171&lt;&gt;"",VLOOKUP(H2171,TABLEITEM,3,FALSE),"")</f>
        <v>สเก็นโอเมก้า ขนาด 1/2"</v>
      </c>
      <c r="N2171" s="14">
        <f>INSTOCK!$I2171*INSTOCK!$K2171</f>
        <v>400</v>
      </c>
      <c r="O2171" s="4"/>
      <c r="P2171" s="4"/>
    </row>
    <row r="2172" ht="15.75" hidden="1" customHeight="1">
      <c r="B2172" s="8">
        <v>2491.0</v>
      </c>
      <c r="C2172" s="9">
        <v>43540.0</v>
      </c>
      <c r="D2172" s="6" t="s">
        <v>2930</v>
      </c>
      <c r="E2172" s="4"/>
      <c r="F2172" s="8" t="s">
        <v>801</v>
      </c>
      <c r="G2172" s="4" t="s">
        <v>1417</v>
      </c>
      <c r="H2172" s="10" t="s">
        <v>803</v>
      </c>
      <c r="I2172" s="10">
        <v>15.0</v>
      </c>
      <c r="J2172" s="11" t="str">
        <f>IF(D2172&lt;&gt;"",VLOOKUP(H2172,TABLEITEM,5,FALSE),"")</f>
        <v>ถัง</v>
      </c>
      <c r="K2172" s="12">
        <v>981.31</v>
      </c>
      <c r="L2172" s="13" t="str">
        <f>IF(D2172&lt;&gt;"",VLOOKUP(H2172,TABLEITEM,2,FALSE),"")</f>
        <v/>
      </c>
      <c r="M2172" s="13" t="str">
        <f>IF(D2172&lt;&gt;"",VLOOKUP(H2172,TABLEITEM,3,FALSE),"")</f>
        <v>แก๊สหุงต้ม 48กก</v>
      </c>
      <c r="N2172" s="14">
        <f>INSTOCK!$I2172*INSTOCK!$K2172</f>
        <v>14719.65</v>
      </c>
      <c r="O2172" s="4"/>
      <c r="P2172" s="4"/>
    </row>
    <row r="2173" ht="15.75" hidden="1" customHeight="1">
      <c r="B2173" s="8">
        <v>2492.0</v>
      </c>
      <c r="C2173" s="9">
        <v>43539.0</v>
      </c>
      <c r="D2173" s="6" t="s">
        <v>2935</v>
      </c>
      <c r="E2173" s="4">
        <v>6.203000383E9</v>
      </c>
      <c r="F2173" s="8" t="s">
        <v>604</v>
      </c>
      <c r="G2173" s="4" t="s">
        <v>721</v>
      </c>
      <c r="H2173" s="10" t="s">
        <v>176</v>
      </c>
      <c r="I2173" s="10">
        <v>500.0</v>
      </c>
      <c r="J2173" s="11" t="str">
        <f>IF(D2173&lt;&gt;"",VLOOKUP(H2173,TABLEITEM,5,FALSE),"")</f>
        <v>EA</v>
      </c>
      <c r="K2173" s="12">
        <v>1.05924</v>
      </c>
      <c r="L2173" s="13" t="str">
        <f>IF(D2173&lt;&gt;"",VLOOKUP(H2173,TABLEITEM,2,FALSE),"")</f>
        <v/>
      </c>
      <c r="M2173" s="13" t="str">
        <f>IF(D2173&lt;&gt;"",VLOOKUP(H2173,TABLEITEM,3,FALSE),"")</f>
        <v>หมวกสวมเล็ก</v>
      </c>
      <c r="N2173" s="14">
        <f>INSTOCK!$I2173*INSTOCK!$K2173</f>
        <v>529.62</v>
      </c>
      <c r="O2173" s="4" t="s">
        <v>959</v>
      </c>
      <c r="P2173" s="4"/>
    </row>
    <row r="2174" ht="15.75" hidden="1" customHeight="1">
      <c r="B2174" s="8">
        <v>2493.0</v>
      </c>
      <c r="C2174" s="9">
        <v>43539.0</v>
      </c>
      <c r="D2174" s="6" t="s">
        <v>2935</v>
      </c>
      <c r="E2174" s="4">
        <v>6.203000383E9</v>
      </c>
      <c r="F2174" s="8" t="s">
        <v>604</v>
      </c>
      <c r="G2174" s="4" t="s">
        <v>721</v>
      </c>
      <c r="H2174" s="10" t="s">
        <v>159</v>
      </c>
      <c r="I2174" s="10">
        <v>2000.0</v>
      </c>
      <c r="J2174" s="11" t="str">
        <f>IF(D2174&lt;&gt;"",VLOOKUP(H2174,TABLEITEM,5,FALSE),"")</f>
        <v>EA</v>
      </c>
      <c r="K2174" s="12">
        <v>0.1164</v>
      </c>
      <c r="L2174" s="13" t="str">
        <f>IF(D2174&lt;&gt;"",VLOOKUP(H2174,TABLEITEM,2,FALSE),"")</f>
        <v/>
      </c>
      <c r="M2174" s="13" t="str">
        <f>IF(D2174&lt;&gt;"",VLOOKUP(H2174,TABLEITEM,3,FALSE),"")</f>
        <v>เคเบิ้ลไทร์ 4" สีขาวCT-100-2C</v>
      </c>
      <c r="N2174" s="14">
        <f>INSTOCK!$I2174*INSTOCK!$K2174</f>
        <v>232.8</v>
      </c>
      <c r="O2174" s="4" t="s">
        <v>1217</v>
      </c>
      <c r="P2174" s="4"/>
    </row>
    <row r="2175" ht="15.75" hidden="1" customHeight="1">
      <c r="B2175" s="8">
        <v>2494.0</v>
      </c>
      <c r="C2175" s="9">
        <v>43539.0</v>
      </c>
      <c r="D2175" s="6" t="s">
        <v>2935</v>
      </c>
      <c r="E2175" s="4">
        <v>6.203000383E9</v>
      </c>
      <c r="F2175" s="8" t="s">
        <v>604</v>
      </c>
      <c r="G2175" s="4" t="s">
        <v>721</v>
      </c>
      <c r="H2175" s="10" t="s">
        <v>204</v>
      </c>
      <c r="I2175" s="10">
        <v>40.0</v>
      </c>
      <c r="J2175" s="11" t="str">
        <f>IF(D2175&lt;&gt;"",VLOOKUP(H2175,TABLEITEM,5,FALSE),"")</f>
        <v>EA</v>
      </c>
      <c r="K2175" s="12">
        <v>102.432</v>
      </c>
      <c r="L2175" s="13" t="str">
        <f>IF(D2175&lt;&gt;"",VLOOKUP(H2175,TABLEITEM,2,FALSE),"")</f>
        <v/>
      </c>
      <c r="M2175" s="13" t="str">
        <f>IF(D2175&lt;&gt;"",VLOOKUP(H2175,TABLEITEM,3,FALSE),"")</f>
        <v>รางวายดัก/รางPVC 33x45 mm.</v>
      </c>
      <c r="N2175" s="14">
        <f>INSTOCK!$I2175*INSTOCK!$K2175</f>
        <v>4097.28</v>
      </c>
      <c r="O2175" s="4" t="s">
        <v>723</v>
      </c>
      <c r="P2175" s="4"/>
    </row>
    <row r="2176" ht="15.75" hidden="1" customHeight="1">
      <c r="B2176" s="8">
        <v>2495.0</v>
      </c>
      <c r="C2176" s="9">
        <v>43539.0</v>
      </c>
      <c r="D2176" s="6" t="s">
        <v>2909</v>
      </c>
      <c r="E2176" s="4">
        <v>6.203000388E9</v>
      </c>
      <c r="F2176" s="8" t="s">
        <v>2936</v>
      </c>
      <c r="G2176" s="4" t="s">
        <v>2679</v>
      </c>
      <c r="H2176" s="10" t="s">
        <v>2937</v>
      </c>
      <c r="I2176" s="10">
        <v>1.0</v>
      </c>
      <c r="J2176" s="11" t="str">
        <f>IF(D2176&lt;&gt;"",VLOOKUP(H2176,TABLEITEM,5,FALSE),"")</f>
        <v>แผ่น</v>
      </c>
      <c r="K2176" s="12">
        <v>1350.0</v>
      </c>
      <c r="L2176" s="13" t="str">
        <f>IF(D2176&lt;&gt;"",VLOOKUP(H2176,TABLEITEM,2,FALSE),"")</f>
        <v/>
      </c>
      <c r="M2176" s="13" t="str">
        <f>IF(D2176&lt;&gt;"",VLOOKUP(H2176,TABLEITEM,3,FALSE),"")</f>
        <v>GRAVOGRAPH 2MATTE WHITE/BLACK</v>
      </c>
      <c r="N2176" s="14">
        <f>INSTOCK!$I2176*INSTOCK!$K2176</f>
        <v>1350</v>
      </c>
      <c r="O2176" s="4"/>
      <c r="P2176" s="4"/>
    </row>
    <row r="2177" ht="15.75" hidden="1" customHeight="1">
      <c r="B2177" s="8">
        <v>2496.0</v>
      </c>
      <c r="C2177" s="9">
        <v>43540.0</v>
      </c>
      <c r="D2177" s="6" t="s">
        <v>2938</v>
      </c>
      <c r="E2177" s="4"/>
      <c r="F2177" s="8" t="s">
        <v>2932</v>
      </c>
      <c r="G2177" s="4" t="s">
        <v>2939</v>
      </c>
      <c r="H2177" s="10" t="s">
        <v>2739</v>
      </c>
      <c r="I2177" s="10">
        <v>752.0</v>
      </c>
      <c r="J2177" s="11" t="str">
        <f>IF(D2177&lt;&gt;"",VLOOKUP(H2177,TABLEITEM,5,FALSE),"")</f>
        <v>KG.</v>
      </c>
      <c r="K2177" s="12">
        <v>12.0</v>
      </c>
      <c r="L2177" s="13" t="str">
        <f>IF(D2177&lt;&gt;"",VLOOKUP(H2177,TABLEITEM,2,FALSE),"")</f>
        <v/>
      </c>
      <c r="M2177" s="13" t="str">
        <f>IF(D2177&lt;&gt;"",VLOOKUP(H2177,TABLEITEM,3,FALSE),"")</f>
        <v>กระดาษติดแกนสีน้ำตาล(ห่อสินค้า)</v>
      </c>
      <c r="N2177" s="14">
        <f>INSTOCK!$I2177*INSTOCK!$K2177</f>
        <v>9024</v>
      </c>
      <c r="O2177" s="4"/>
      <c r="P2177" s="4"/>
    </row>
    <row r="2178" ht="15.75" hidden="1" customHeight="1">
      <c r="B2178" s="8">
        <v>2497.0</v>
      </c>
      <c r="C2178" s="9">
        <v>43516.0</v>
      </c>
      <c r="D2178" s="6" t="s">
        <v>2940</v>
      </c>
      <c r="E2178" s="4"/>
      <c r="F2178" s="8"/>
      <c r="G2178" s="4" t="s">
        <v>2941</v>
      </c>
      <c r="H2178" s="10" t="s">
        <v>2942</v>
      </c>
      <c r="I2178" s="10">
        <v>1.0</v>
      </c>
      <c r="J2178" s="11" t="str">
        <f>IF(D2178&lt;&gt;"",VLOOKUP(H2178,TABLEITEM,5,FALSE),"")</f>
        <v>pcs</v>
      </c>
      <c r="K2178" s="12">
        <v>1600000.0</v>
      </c>
      <c r="L2178" s="13" t="str">
        <f>IF(D2178&lt;&gt;"",VLOOKUP(H2178,TABLEITEM,2,FALSE),"")</f>
        <v/>
      </c>
      <c r="M2178" s="13" t="str">
        <f>IF(D2178&lt;&gt;"",VLOOKUP(H2178,TABLEITEM,3,FALSE),"")</f>
        <v>ชำระมัดจำ ค่าเครื่องพิมพ์ UV ยี่ห้อ IQDEMY รุ่น MAGLEV 1228 </v>
      </c>
      <c r="N2178" s="14">
        <f>INSTOCK!$I2178*INSTOCK!$K2178</f>
        <v>1600000</v>
      </c>
      <c r="O2178" s="4"/>
      <c r="P2178" s="4"/>
    </row>
    <row r="2179" ht="15.75" hidden="1" customHeight="1">
      <c r="B2179" s="8">
        <v>2498.0</v>
      </c>
      <c r="C2179" s="9">
        <v>43540.0</v>
      </c>
      <c r="D2179" s="6" t="s">
        <v>2943</v>
      </c>
      <c r="E2179" s="4"/>
      <c r="F2179" s="8" t="s">
        <v>604</v>
      </c>
      <c r="G2179" s="4" t="s">
        <v>965</v>
      </c>
      <c r="H2179" s="10" t="s">
        <v>2882</v>
      </c>
      <c r="I2179" s="10">
        <v>1000.0</v>
      </c>
      <c r="J2179" s="11" t="str">
        <f>IF(D2179&lt;&gt;"",VLOOKUP(H2179,TABLEITEM,5,FALSE),"")</f>
        <v>EA</v>
      </c>
      <c r="K2179" s="12">
        <v>0.24</v>
      </c>
      <c r="L2179" s="13" t="str">
        <f>IF(D2179&lt;&gt;"",VLOOKUP(H2179,TABLEITEM,2,FALSE),"")</f>
        <v/>
      </c>
      <c r="M2179" s="13" t="str">
        <f>IF(D2179&lt;&gt;"",VLOOKUP(H2179,TABLEITEM,3,FALSE),"")</f>
        <v>ตะปูยิงรีเวท 5-3   5/32"x5/16"</v>
      </c>
      <c r="N2179" s="14">
        <f>INSTOCK!$I2179*INSTOCK!$K2179</f>
        <v>240</v>
      </c>
      <c r="O2179" s="4" t="s">
        <v>2944</v>
      </c>
      <c r="P2179" s="4"/>
    </row>
    <row r="2180" ht="15.75" hidden="1" customHeight="1">
      <c r="B2180" s="8">
        <v>2499.0</v>
      </c>
      <c r="C2180" s="9">
        <v>43540.0</v>
      </c>
      <c r="D2180" s="6" t="s">
        <v>2943</v>
      </c>
      <c r="E2180" s="4"/>
      <c r="F2180" s="8" t="s">
        <v>604</v>
      </c>
      <c r="G2180" s="4" t="s">
        <v>965</v>
      </c>
      <c r="H2180" s="10" t="s">
        <v>2945</v>
      </c>
      <c r="I2180" s="10">
        <v>500.0</v>
      </c>
      <c r="J2180" s="11" t="str">
        <f>IF(D2180&lt;&gt;"",VLOOKUP(H2180,TABLEITEM,5,FALSE),"")</f>
        <v>EA</v>
      </c>
      <c r="K2180" s="12">
        <v>0.4</v>
      </c>
      <c r="L2180" s="13" t="str">
        <f>IF(D2180&lt;&gt;"",VLOOKUP(H2180,TABLEITEM,2,FALSE),"")</f>
        <v/>
      </c>
      <c r="M2180" s="13" t="str">
        <f>IF(D2180&lt;&gt;"",VLOOKUP(H2180,TABLEITEM,3,FALSE),"")</f>
        <v>ตะปูยิงรีเวท 6-5   3/16"x1/2"</v>
      </c>
      <c r="N2180" s="14">
        <f>INSTOCK!$I2180*INSTOCK!$K2180</f>
        <v>200</v>
      </c>
      <c r="O2180" s="4" t="s">
        <v>2946</v>
      </c>
      <c r="P2180" s="4"/>
    </row>
    <row r="2181" ht="15.75" hidden="1" customHeight="1">
      <c r="B2181" s="8">
        <v>2500.0</v>
      </c>
      <c r="C2181" s="9">
        <v>43540.0</v>
      </c>
      <c r="D2181" s="6" t="s">
        <v>2947</v>
      </c>
      <c r="E2181" s="4">
        <v>6.202000302E9</v>
      </c>
      <c r="F2181" s="8" t="s">
        <v>2932</v>
      </c>
      <c r="G2181" s="4" t="s">
        <v>965</v>
      </c>
      <c r="H2181" s="10" t="s">
        <v>2879</v>
      </c>
      <c r="I2181" s="10">
        <v>50.0</v>
      </c>
      <c r="J2181" s="11" t="str">
        <f>IF(D2181&lt;&gt;"",VLOOKUP(H2181,TABLEITEM,5,FALSE),"")</f>
        <v>EA</v>
      </c>
      <c r="K2181" s="12">
        <v>9.0</v>
      </c>
      <c r="L2181" s="13" t="str">
        <f>IF(D2181&lt;&gt;"",VLOOKUP(H2181,TABLEITEM,2,FALSE),"")</f>
        <v/>
      </c>
      <c r="M2181" s="13" t="str">
        <f>IF(D2181&lt;&gt;"",VLOOKUP(H2181,TABLEITEM,3,FALSE),"")</f>
        <v>กลอนประตู 6นิ้ว สีโครเมี่ยม</v>
      </c>
      <c r="N2181" s="14">
        <f>INSTOCK!$I2181*INSTOCK!$K2181</f>
        <v>450</v>
      </c>
      <c r="O2181" s="4"/>
      <c r="P2181" s="4"/>
    </row>
    <row r="2182" ht="15.75" hidden="1" customHeight="1">
      <c r="B2182" s="8">
        <v>2501.0</v>
      </c>
      <c r="C2182" s="9">
        <v>43540.0</v>
      </c>
      <c r="D2182" s="6" t="s">
        <v>2948</v>
      </c>
      <c r="E2182" s="4">
        <v>6.203000395E9</v>
      </c>
      <c r="F2182" s="8" t="s">
        <v>604</v>
      </c>
      <c r="G2182" s="4" t="s">
        <v>965</v>
      </c>
      <c r="H2182" s="10" t="s">
        <v>53</v>
      </c>
      <c r="I2182" s="10">
        <v>72.0</v>
      </c>
      <c r="J2182" s="11" t="str">
        <f>IF(D2182&lt;&gt;"",VLOOKUP(H2182,TABLEITEM,5,FALSE),"")</f>
        <v>EA</v>
      </c>
      <c r="K2182" s="12">
        <v>24.0</v>
      </c>
      <c r="L2182" s="13" t="str">
        <f>IF(D2182&lt;&gt;"",VLOOKUP(H2182,TABLEITEM,2,FALSE),"")</f>
        <v/>
      </c>
      <c r="M2182" s="13" t="str">
        <f>IF(D2182&lt;&gt;"",VLOOKUP(H2182,TABLEITEM,3,FALSE),"")</f>
        <v>กระดาษกาว 2 ''</v>
      </c>
      <c r="N2182" s="14">
        <f>INSTOCK!$I2182*INSTOCK!$K2182</f>
        <v>1728</v>
      </c>
      <c r="O2182" s="4" t="s">
        <v>2949</v>
      </c>
      <c r="P2182" s="4"/>
    </row>
    <row r="2183" ht="15.75" hidden="1" customHeight="1">
      <c r="B2183" s="8">
        <v>2502.0</v>
      </c>
      <c r="C2183" s="9">
        <v>43540.0</v>
      </c>
      <c r="D2183" s="6" t="s">
        <v>2948</v>
      </c>
      <c r="E2183" s="4">
        <v>6.203000395E9</v>
      </c>
      <c r="F2183" s="8" t="s">
        <v>604</v>
      </c>
      <c r="G2183" s="4" t="s">
        <v>965</v>
      </c>
      <c r="H2183" s="10" t="s">
        <v>2950</v>
      </c>
      <c r="I2183" s="10">
        <v>10.0</v>
      </c>
      <c r="J2183" s="11" t="str">
        <f>IF(D2183&lt;&gt;"",VLOOKUP(H2183,TABLEITEM,5,FALSE),"")</f>
        <v>EA</v>
      </c>
      <c r="K2183" s="12">
        <v>35.0</v>
      </c>
      <c r="L2183" s="13" t="str">
        <f>IF(D2183&lt;&gt;"",VLOOKUP(H2183,TABLEITEM,2,FALSE),"")</f>
        <v/>
      </c>
      <c r="M2183" s="13" t="str">
        <f>IF(D2183&lt;&gt;"",VLOOKUP(H2183,TABLEITEM,3,FALSE),"")</f>
        <v>ไม้กวาดทางมะพร้าว</v>
      </c>
      <c r="N2183" s="14">
        <f>INSTOCK!$I2183*INSTOCK!$K2183</f>
        <v>350</v>
      </c>
      <c r="O2183" s="4"/>
      <c r="P2183" s="4"/>
    </row>
    <row r="2184" ht="15.75" hidden="1" customHeight="1">
      <c r="B2184" s="8">
        <v>2503.0</v>
      </c>
      <c r="C2184" s="9">
        <v>43542.0</v>
      </c>
      <c r="D2184" s="6" t="s">
        <v>2951</v>
      </c>
      <c r="E2184" s="4">
        <v>6.203000399E9</v>
      </c>
      <c r="F2184" s="8" t="s">
        <v>807</v>
      </c>
      <c r="G2184" s="4" t="s">
        <v>808</v>
      </c>
      <c r="H2184" s="10" t="s">
        <v>812</v>
      </c>
      <c r="I2184" s="10">
        <v>1.0</v>
      </c>
      <c r="J2184" s="11" t="str">
        <f>IF(D2184&lt;&gt;"",VLOOKUP(H2184,TABLEITEM,5,FALSE),"")</f>
        <v>ท่อ</v>
      </c>
      <c r="K2184" s="12">
        <v>2960.0</v>
      </c>
      <c r="L2184" s="13" t="str">
        <f>IF(D2184&lt;&gt;"",VLOOKUP(H2184,TABLEITEM,2,FALSE),"")</f>
        <v/>
      </c>
      <c r="M2184" s="13" t="str">
        <f>IF(D2184&lt;&gt;"",VLOOKUP(H2184,TABLEITEM,3,FALSE),"")</f>
        <v>ออกซิเจนเหลว ขนาด 148 คิว</v>
      </c>
      <c r="N2184" s="14">
        <f>INSTOCK!$I2184*INSTOCK!$K2184</f>
        <v>2960</v>
      </c>
      <c r="O2184" s="4"/>
      <c r="P2184" s="4"/>
    </row>
    <row r="2185" ht="15.75" hidden="1" customHeight="1">
      <c r="B2185" s="8">
        <v>2504.0</v>
      </c>
      <c r="C2185" s="9">
        <v>43542.0</v>
      </c>
      <c r="D2185" s="6" t="s">
        <v>2951</v>
      </c>
      <c r="E2185" s="4">
        <v>6.203000399E9</v>
      </c>
      <c r="F2185" s="8" t="s">
        <v>807</v>
      </c>
      <c r="G2185" s="4" t="s">
        <v>808</v>
      </c>
      <c r="H2185" s="10" t="s">
        <v>809</v>
      </c>
      <c r="I2185" s="10">
        <v>1.0</v>
      </c>
      <c r="J2185" s="11" t="str">
        <f>IF(D2185&lt;&gt;"",VLOOKUP(H2185,TABLEITEM,5,FALSE),"")</f>
        <v>ท่อ</v>
      </c>
      <c r="K2185" s="12">
        <v>2700.0</v>
      </c>
      <c r="L2185" s="13" t="str">
        <f>IF(D2185&lt;&gt;"",VLOOKUP(H2185,TABLEITEM,2,FALSE),"")</f>
        <v/>
      </c>
      <c r="M2185" s="13" t="str">
        <f>IF(D2185&lt;&gt;"",VLOOKUP(H2185,TABLEITEM,3,FALSE),"")</f>
        <v>ไนโตรเจนเหลว ขนาด 100คิว</v>
      </c>
      <c r="N2185" s="14">
        <f>INSTOCK!$I2185*INSTOCK!$K2185</f>
        <v>2700</v>
      </c>
      <c r="O2185" s="4"/>
      <c r="P2185" s="4"/>
    </row>
    <row r="2186" ht="15.75" hidden="1" customHeight="1">
      <c r="B2186" s="8">
        <v>2505.0</v>
      </c>
      <c r="C2186" s="9">
        <v>43542.0</v>
      </c>
      <c r="D2186" s="6" t="s">
        <v>2952</v>
      </c>
      <c r="E2186" s="4">
        <v>6.20200025E9</v>
      </c>
      <c r="F2186" s="8" t="s">
        <v>604</v>
      </c>
      <c r="G2186" s="4" t="s">
        <v>1289</v>
      </c>
      <c r="H2186" s="10" t="s">
        <v>150</v>
      </c>
      <c r="I2186" s="10">
        <v>1500.0</v>
      </c>
      <c r="J2186" s="11" t="str">
        <f>IF(D2186&lt;&gt;"",VLOOKUP(H2186,TABLEITEM,5,FALSE),"")</f>
        <v>EA</v>
      </c>
      <c r="K2186" s="12">
        <v>9.0</v>
      </c>
      <c r="L2186" s="13" t="str">
        <f>IF(D2186&lt;&gt;"",VLOOKUP(H2186,TABLEITEM,2,FALSE),"")</f>
        <v/>
      </c>
      <c r="M2186" s="13" t="str">
        <f>IF(D2186&lt;&gt;"",VLOOKUP(H2186,TABLEITEM,3,FALSE),"")</f>
        <v>บานพับ 1''1/2 สแตนเลส</v>
      </c>
      <c r="N2186" s="14">
        <f>INSTOCK!$I2186*INSTOCK!$K2186</f>
        <v>13500</v>
      </c>
      <c r="O2186" s="4" t="s">
        <v>1298</v>
      </c>
      <c r="P2186" s="4"/>
    </row>
    <row r="2187" ht="15.75" hidden="1" customHeight="1">
      <c r="B2187" s="8">
        <v>2506.0</v>
      </c>
      <c r="C2187" s="9">
        <v>43543.0</v>
      </c>
      <c r="D2187" s="6" t="s">
        <v>2953</v>
      </c>
      <c r="E2187" s="4"/>
      <c r="F2187" s="8" t="s">
        <v>2954</v>
      </c>
      <c r="G2187" s="4" t="s">
        <v>702</v>
      </c>
      <c r="H2187" s="10" t="s">
        <v>779</v>
      </c>
      <c r="I2187" s="10">
        <v>20.0</v>
      </c>
      <c r="J2187" s="11" t="str">
        <f>IF(D2187&lt;&gt;"",VLOOKUP(H2187,TABLEITEM,5,FALSE),"")</f>
        <v>KG.</v>
      </c>
      <c r="K2187" s="12">
        <v>130.0</v>
      </c>
      <c r="L2187" s="13" t="str">
        <f>IF(D2187&lt;&gt;"",VLOOKUP(H2187,TABLEITEM,2,FALSE),"")</f>
        <v/>
      </c>
      <c r="M2187" s="13" t="str">
        <f>IF(D2187&lt;&gt;"",VLOOKUP(H2187,TABLEITEM,3,FALSE),"")</f>
        <v>สีฝุ่น FF110/948/C สีครีม</v>
      </c>
      <c r="N2187" s="14">
        <f>INSTOCK!$I2187*INSTOCK!$K2187</f>
        <v>2600</v>
      </c>
      <c r="O2187" s="4"/>
      <c r="P2187" s="4"/>
    </row>
    <row r="2188" ht="15.75" hidden="1" customHeight="1">
      <c r="B2188" s="8">
        <v>2507.0</v>
      </c>
      <c r="C2188" s="9">
        <v>43543.0</v>
      </c>
      <c r="D2188" s="6">
        <v>37906.0</v>
      </c>
      <c r="E2188" s="4">
        <v>6.203000407E9</v>
      </c>
      <c r="F2188" s="8" t="s">
        <v>604</v>
      </c>
      <c r="G2188" s="4" t="s">
        <v>696</v>
      </c>
      <c r="H2188" s="10" t="s">
        <v>44</v>
      </c>
      <c r="I2188" s="10">
        <v>4.0</v>
      </c>
      <c r="J2188" s="11" t="str">
        <f>IF(D2188&lt;&gt;"",VLOOKUP(H2188,TABLEITEM,5,FALSE),"")</f>
        <v>ปี๊ป</v>
      </c>
      <c r="K2188" s="12">
        <v>370.0</v>
      </c>
      <c r="L2188" s="13" t="str">
        <f>IF(D2188&lt;&gt;"",VLOOKUP(H2188,TABLEITEM,2,FALSE),"")</f>
        <v/>
      </c>
      <c r="M2188" s="13" t="str">
        <f>IF(D2188&lt;&gt;"",VLOOKUP(H2188,TABLEITEM,3,FALSE),"")</f>
        <v>ทินเนอร์ AAA</v>
      </c>
      <c r="N2188" s="14">
        <f>INSTOCK!$I2188*INSTOCK!$K2188</f>
        <v>1480</v>
      </c>
      <c r="O2188" s="4"/>
      <c r="P2188" s="4"/>
    </row>
    <row r="2189" ht="15.75" hidden="1" customHeight="1">
      <c r="B2189" s="8">
        <v>2508.0</v>
      </c>
      <c r="C2189" s="9">
        <v>43543.0</v>
      </c>
      <c r="D2189" s="6" t="s">
        <v>2955</v>
      </c>
      <c r="E2189" s="4">
        <v>6.203000382E9</v>
      </c>
      <c r="F2189" s="8" t="s">
        <v>604</v>
      </c>
      <c r="G2189" s="4" t="s">
        <v>798</v>
      </c>
      <c r="H2189" s="10" t="s">
        <v>1227</v>
      </c>
      <c r="I2189" s="10">
        <v>100.0</v>
      </c>
      <c r="J2189" s="11" t="str">
        <f>IF(D2189&lt;&gt;"",VLOOKUP(H2189,TABLEITEM,5,FALSE),"")</f>
        <v>EA</v>
      </c>
      <c r="K2189" s="12">
        <v>30.0</v>
      </c>
      <c r="L2189" s="13" t="str">
        <f>IF(D2189&lt;&gt;"",VLOOKUP(H2189,TABLEITEM,2,FALSE),"")</f>
        <v/>
      </c>
      <c r="M2189" s="13" t="str">
        <f>IF(D2189&lt;&gt;"",VLOOKUP(H2189,TABLEITEM,3,FALSE),"")</f>
        <v>กุญแจหกเหลี่ยม รุ่น 174</v>
      </c>
      <c r="N2189" s="14">
        <f>INSTOCK!$I2189*INSTOCK!$K2189</f>
        <v>3000</v>
      </c>
      <c r="O2189" s="4"/>
      <c r="P2189" s="4"/>
    </row>
    <row r="2190" ht="15.75" hidden="1" customHeight="1">
      <c r="B2190" s="8">
        <v>2509.0</v>
      </c>
      <c r="C2190" s="9">
        <v>43542.0</v>
      </c>
      <c r="D2190" s="6">
        <v>8021.0</v>
      </c>
      <c r="E2190" s="4">
        <v>6.203000408E9</v>
      </c>
      <c r="F2190" s="8" t="s">
        <v>604</v>
      </c>
      <c r="G2190" s="4" t="s">
        <v>1009</v>
      </c>
      <c r="H2190" s="10" t="s">
        <v>124</v>
      </c>
      <c r="I2190" s="10">
        <v>200.0</v>
      </c>
      <c r="J2190" s="11" t="str">
        <f>IF(D2190&lt;&gt;"",VLOOKUP(H2190,TABLEITEM,5,FALSE),"")</f>
        <v>EA</v>
      </c>
      <c r="K2190" s="12">
        <v>180.0</v>
      </c>
      <c r="L2190" s="13" t="str">
        <f>IF(D2190&lt;&gt;"",VLOOKUP(H2190,TABLEITEM,2,FALSE),"")</f>
        <v/>
      </c>
      <c r="M2190" s="13" t="str">
        <f>IF(D2190&lt;&gt;"",VLOOKUP(H2190,TABLEITEM,3,FALSE),"")</f>
        <v>กุญแจกดเด้งสีดำ MS480-2</v>
      </c>
      <c r="N2190" s="14">
        <f>INSTOCK!$I2190*INSTOCK!$K2190</f>
        <v>36000</v>
      </c>
      <c r="O2190" s="4"/>
      <c r="P2190" s="4"/>
    </row>
    <row r="2191" ht="15.75" hidden="1" customHeight="1">
      <c r="B2191" s="8">
        <v>2510.0</v>
      </c>
      <c r="C2191" s="9">
        <v>43542.0</v>
      </c>
      <c r="D2191" s="6">
        <v>8017.0</v>
      </c>
      <c r="E2191" s="4">
        <v>6.201000149E9</v>
      </c>
      <c r="F2191" s="8" t="s">
        <v>604</v>
      </c>
      <c r="G2191" s="4" t="s">
        <v>1009</v>
      </c>
      <c r="H2191" s="10" t="s">
        <v>2956</v>
      </c>
      <c r="I2191" s="10">
        <v>300.0</v>
      </c>
      <c r="J2191" s="11" t="str">
        <f>IF(D2191&lt;&gt;"",VLOOKUP(H2191,TABLEITEM,5,FALSE),"")</f>
        <v>EA</v>
      </c>
      <c r="K2191" s="12">
        <v>15.0</v>
      </c>
      <c r="L2191" s="13" t="str">
        <f>IF(D2191&lt;&gt;"",VLOOKUP(H2191,TABLEITEM,2,FALSE),"")</f>
        <v/>
      </c>
      <c r="M2191" s="13" t="str">
        <f>IF(D2191&lt;&gt;"",VLOOKUP(H2191,TABLEITEM,3,FALSE),"")</f>
        <v>สลักบานประตู HL-035</v>
      </c>
      <c r="N2191" s="14">
        <f>INSTOCK!$I2191*INSTOCK!$K2191</f>
        <v>4500</v>
      </c>
      <c r="O2191" s="4"/>
      <c r="P2191" s="4"/>
    </row>
    <row r="2192" ht="15.75" hidden="1" customHeight="1">
      <c r="B2192" s="8">
        <v>2511.0</v>
      </c>
      <c r="C2192" s="9">
        <v>43542.0</v>
      </c>
      <c r="D2192" s="6" t="s">
        <v>2957</v>
      </c>
      <c r="E2192" s="4">
        <v>6.203000402E9</v>
      </c>
      <c r="F2192" s="8" t="s">
        <v>2958</v>
      </c>
      <c r="G2192" s="4" t="s">
        <v>2619</v>
      </c>
      <c r="H2192" s="10" t="s">
        <v>2959</v>
      </c>
      <c r="I2192" s="10">
        <v>1.0</v>
      </c>
      <c r="J2192" s="11" t="str">
        <f>IF(D2192&lt;&gt;"",VLOOKUP(H2192,TABLEITEM,5,FALSE),"")</f>
        <v>EA</v>
      </c>
      <c r="K2192" s="12">
        <v>9540.0</v>
      </c>
      <c r="L2192" s="13" t="str">
        <f>IF(D2192&lt;&gt;"",VLOOKUP(H2192,TABLEITEM,2,FALSE),"")</f>
        <v/>
      </c>
      <c r="M2192" s="13" t="str">
        <f>IF(D2192&lt;&gt;"",VLOOKUP(H2192,TABLEITEM,3,FALSE),"")</f>
        <v>DIGITAL METER SPM33-V1</v>
      </c>
      <c r="N2192" s="14">
        <f>INSTOCK!$I2192*INSTOCK!$K2192</f>
        <v>9540</v>
      </c>
      <c r="O2192" s="4" t="s">
        <v>2960</v>
      </c>
      <c r="P2192" s="4"/>
    </row>
    <row r="2193" ht="15.75" hidden="1" customHeight="1">
      <c r="B2193" s="8">
        <v>2512.0</v>
      </c>
      <c r="C2193" s="9">
        <v>43542.0</v>
      </c>
      <c r="D2193" s="6" t="s">
        <v>2961</v>
      </c>
      <c r="E2193" s="4">
        <v>6.203000403E9</v>
      </c>
      <c r="F2193" s="8" t="s">
        <v>2958</v>
      </c>
      <c r="G2193" s="4" t="s">
        <v>1485</v>
      </c>
      <c r="H2193" s="10" t="s">
        <v>2962</v>
      </c>
      <c r="I2193" s="10">
        <v>1.0</v>
      </c>
      <c r="J2193" s="11" t="str">
        <f>IF(D2193&lt;&gt;"",VLOOKUP(H2193,TABLEITEM,5,FALSE),"")</f>
        <v>EA</v>
      </c>
      <c r="K2193" s="12">
        <v>2119.7</v>
      </c>
      <c r="L2193" s="13" t="str">
        <f>IF(D2193&lt;&gt;"",VLOOKUP(H2193,TABLEITEM,2,FALSE),"")</f>
        <v/>
      </c>
      <c r="M2193" s="13" t="str">
        <f>IF(D2193&lt;&gt;"",VLOOKUP(H2193,TABLEITEM,3,FALSE),"")</f>
        <v>MCCB CVS250B TM250D 3P3D 380/415 VAC 25KA</v>
      </c>
      <c r="N2193" s="14">
        <f>INSTOCK!$I2193*INSTOCK!$K2193</f>
        <v>2119.7</v>
      </c>
      <c r="O2193" s="4"/>
      <c r="P2193" s="4"/>
    </row>
    <row r="2194" ht="15.75" hidden="1" customHeight="1">
      <c r="B2194" s="8">
        <v>2513.0</v>
      </c>
      <c r="C2194" s="9">
        <v>43542.0</v>
      </c>
      <c r="D2194" s="6" t="s">
        <v>2961</v>
      </c>
      <c r="E2194" s="4">
        <v>6.203000403E9</v>
      </c>
      <c r="F2194" s="8" t="s">
        <v>2958</v>
      </c>
      <c r="G2194" s="4" t="s">
        <v>1485</v>
      </c>
      <c r="H2194" s="10" t="s">
        <v>2963</v>
      </c>
      <c r="I2194" s="10">
        <v>2.0</v>
      </c>
      <c r="J2194" s="11" t="str">
        <f>IF(D2194&lt;&gt;"",VLOOKUP(H2194,TABLEITEM,5,FALSE),"")</f>
        <v>EA</v>
      </c>
      <c r="K2194" s="12">
        <v>1254.6</v>
      </c>
      <c r="L2194" s="13" t="str">
        <f>IF(D2194&lt;&gt;"",VLOOKUP(H2194,TABLEITEM,2,FALSE),"")</f>
        <v/>
      </c>
      <c r="M2194" s="13" t="str">
        <f>IF(D2194&lt;&gt;"",VLOOKUP(H2194,TABLEITEM,3,FALSE),"")</f>
        <v>MCCB CVS100B TM800D 3P3D 380/415 VAC 25KA</v>
      </c>
      <c r="N2194" s="14">
        <f>INSTOCK!$I2194*INSTOCK!$K2194</f>
        <v>2509.2</v>
      </c>
      <c r="O2194" s="4"/>
      <c r="P2194" s="4"/>
    </row>
    <row r="2195" ht="15.75" hidden="1" customHeight="1">
      <c r="B2195" s="8">
        <v>2514.0</v>
      </c>
      <c r="C2195" s="9">
        <v>43542.0</v>
      </c>
      <c r="D2195" s="6" t="s">
        <v>2961</v>
      </c>
      <c r="E2195" s="4">
        <v>6.203000403E9</v>
      </c>
      <c r="F2195" s="8" t="s">
        <v>2958</v>
      </c>
      <c r="G2195" s="4" t="s">
        <v>1485</v>
      </c>
      <c r="H2195" s="10" t="s">
        <v>2964</v>
      </c>
      <c r="I2195" s="10">
        <v>4.0</v>
      </c>
      <c r="J2195" s="11" t="str">
        <f>IF(D2195&lt;&gt;"",VLOOKUP(H2195,TABLEITEM,5,FALSE),"")</f>
        <v>EA</v>
      </c>
      <c r="K2195" s="12">
        <v>1254.6</v>
      </c>
      <c r="L2195" s="13" t="str">
        <f>IF(D2195&lt;&gt;"",VLOOKUP(H2195,TABLEITEM,2,FALSE),"")</f>
        <v/>
      </c>
      <c r="M2195" s="13" t="str">
        <f>IF(D2195&lt;&gt;"",VLOOKUP(H2195,TABLEITEM,3,FALSE),"")</f>
        <v>MCCB CVS100B TM50D 3P3D 380/415 VAC 25KA</v>
      </c>
      <c r="N2195" s="14">
        <f>INSTOCK!$I2195*INSTOCK!$K2195</f>
        <v>5018.4</v>
      </c>
      <c r="O2195" s="4"/>
      <c r="P2195" s="4"/>
    </row>
    <row r="2196" ht="15.75" hidden="1" customHeight="1">
      <c r="B2196" s="8">
        <v>2515.0</v>
      </c>
      <c r="C2196" s="9">
        <v>43542.0</v>
      </c>
      <c r="D2196" s="6" t="s">
        <v>2961</v>
      </c>
      <c r="E2196" s="4">
        <v>6.203000403E9</v>
      </c>
      <c r="F2196" s="8" t="s">
        <v>2958</v>
      </c>
      <c r="G2196" s="4" t="s">
        <v>1485</v>
      </c>
      <c r="H2196" s="10" t="s">
        <v>2965</v>
      </c>
      <c r="I2196" s="10">
        <v>10.0</v>
      </c>
      <c r="J2196" s="11" t="str">
        <f>IF(D2196&lt;&gt;"",VLOOKUP(H2196,TABLEITEM,5,FALSE),"")</f>
        <v>EA</v>
      </c>
      <c r="K2196" s="12">
        <v>1254.6</v>
      </c>
      <c r="L2196" s="13" t="str">
        <f>IF(D2196&lt;&gt;"",VLOOKUP(H2196,TABLEITEM,2,FALSE),"")</f>
        <v/>
      </c>
      <c r="M2196" s="13" t="str">
        <f>IF(D2196&lt;&gt;"",VLOOKUP(H2196,TABLEITEM,3,FALSE),"")</f>
        <v>MCCB CVS100B TM32D 3P3D 380/415 VAC 25KA</v>
      </c>
      <c r="N2196" s="14">
        <f>INSTOCK!$I2196*INSTOCK!$K2196</f>
        <v>12546</v>
      </c>
      <c r="O2196" s="4"/>
      <c r="P2196" s="4"/>
    </row>
    <row r="2197" ht="15.75" hidden="1" customHeight="1">
      <c r="B2197" s="8">
        <v>2516.0</v>
      </c>
      <c r="C2197" s="9">
        <v>43542.0</v>
      </c>
      <c r="D2197" s="6" t="s">
        <v>2961</v>
      </c>
      <c r="E2197" s="4">
        <v>6.203000403E9</v>
      </c>
      <c r="F2197" s="8" t="s">
        <v>2958</v>
      </c>
      <c r="G2197" s="4" t="s">
        <v>1485</v>
      </c>
      <c r="H2197" s="10" t="s">
        <v>2966</v>
      </c>
      <c r="I2197" s="10">
        <v>4.0</v>
      </c>
      <c r="J2197" s="11" t="str">
        <f>IF(D2197&lt;&gt;"",VLOOKUP(H2197,TABLEITEM,5,FALSE),"")</f>
        <v>EA</v>
      </c>
      <c r="K2197" s="12">
        <v>1254.6</v>
      </c>
      <c r="L2197" s="13" t="str">
        <f>IF(D2197&lt;&gt;"",VLOOKUP(H2197,TABLEITEM,2,FALSE),"")</f>
        <v/>
      </c>
      <c r="M2197" s="13" t="str">
        <f>IF(D2197&lt;&gt;"",VLOOKUP(H2197,TABLEITEM,3,FALSE),"")</f>
        <v>MCCB CVS100B TM16D 3P3D 380/415 VAC 25KA</v>
      </c>
      <c r="N2197" s="14">
        <f>INSTOCK!$I2197*INSTOCK!$K2197</f>
        <v>5018.4</v>
      </c>
      <c r="O2197" s="4"/>
      <c r="P2197" s="4"/>
    </row>
    <row r="2198" ht="15.75" hidden="1" customHeight="1">
      <c r="B2198" s="8">
        <v>2517.0</v>
      </c>
      <c r="C2198" s="9">
        <v>43542.0</v>
      </c>
      <c r="D2198" s="6" t="s">
        <v>2961</v>
      </c>
      <c r="E2198" s="4">
        <v>6.203000403E9</v>
      </c>
      <c r="F2198" s="8" t="s">
        <v>2958</v>
      </c>
      <c r="G2198" s="4" t="s">
        <v>1485</v>
      </c>
      <c r="H2198" s="10" t="s">
        <v>2820</v>
      </c>
      <c r="I2198" s="10">
        <v>12.0</v>
      </c>
      <c r="J2198" s="11" t="str">
        <f>IF(D2198&lt;&gt;"",VLOOKUP(H2198,TABLEITEM,5,FALSE),"")</f>
        <v>EA</v>
      </c>
      <c r="K2198" s="12">
        <v>134.4</v>
      </c>
      <c r="L2198" s="13" t="str">
        <f>IF(D2198&lt;&gt;"",VLOOKUP(H2198,TABLEITEM,2,FALSE),"")</f>
        <v/>
      </c>
      <c r="M2198" s="13" t="str">
        <f>IF(D2198&lt;&gt;"",VLOOKUP(H2198,TABLEITEM,3,FALSE),"")</f>
        <v>MCB IC60N 1P 16A C CURVE 10KA 400VAC</v>
      </c>
      <c r="N2198" s="14">
        <f>INSTOCK!$I2198*INSTOCK!$K2198</f>
        <v>1612.8</v>
      </c>
      <c r="O2198" s="4"/>
      <c r="P2198" s="4"/>
    </row>
    <row r="2199" ht="15.75" hidden="1" customHeight="1">
      <c r="B2199" s="8">
        <v>2518.0</v>
      </c>
      <c r="C2199" s="9">
        <v>43542.0</v>
      </c>
      <c r="D2199" s="6" t="s">
        <v>2961</v>
      </c>
      <c r="E2199" s="4">
        <v>6.203000403E9</v>
      </c>
      <c r="F2199" s="8" t="s">
        <v>2958</v>
      </c>
      <c r="G2199" s="4" t="s">
        <v>1485</v>
      </c>
      <c r="H2199" s="10" t="s">
        <v>2967</v>
      </c>
      <c r="I2199" s="10">
        <v>2.0</v>
      </c>
      <c r="J2199" s="11" t="str">
        <f>IF(D2199&lt;&gt;"",VLOOKUP(H2199,TABLEITEM,5,FALSE),"")</f>
        <v>EA</v>
      </c>
      <c r="K2199" s="12">
        <v>2119.7</v>
      </c>
      <c r="L2199" s="13" t="str">
        <f>IF(D2199&lt;&gt;"",VLOOKUP(H2199,TABLEITEM,2,FALSE),"")</f>
        <v/>
      </c>
      <c r="M2199" s="13" t="str">
        <f>IF(D2199&lt;&gt;"",VLOOKUP(H2199,TABLEITEM,3,FALSE),"")</f>
        <v>MCCB CVS250B TM200D 3P3D 380/415 VAC 25KA</v>
      </c>
      <c r="N2199" s="14">
        <f>INSTOCK!$I2199*INSTOCK!$K2199</f>
        <v>4239.4</v>
      </c>
      <c r="O2199" s="4"/>
      <c r="P2199" s="4"/>
    </row>
    <row r="2200" ht="15.75" hidden="1" customHeight="1">
      <c r="B2200" s="8">
        <v>2519.0</v>
      </c>
      <c r="C2200" s="9">
        <v>43538.0</v>
      </c>
      <c r="D2200" s="6" t="s">
        <v>2968</v>
      </c>
      <c r="E2200" s="4"/>
      <c r="F2200" s="8" t="s">
        <v>2969</v>
      </c>
      <c r="G2200" s="4" t="s">
        <v>2970</v>
      </c>
      <c r="H2200" s="10" t="s">
        <v>2971</v>
      </c>
      <c r="I2200" s="10">
        <v>146.88</v>
      </c>
      <c r="J2200" s="11" t="str">
        <f>IF(D2200&lt;&gt;"",VLOOKUP(H2200,TABLEITEM,5,FALSE),"")</f>
        <v>EA</v>
      </c>
      <c r="K2200" s="12">
        <v>488.0</v>
      </c>
      <c r="L2200" s="13" t="str">
        <f>IF(D2200&lt;&gt;"",VLOOKUP(H2200,TABLEITEM,2,FALSE),"")</f>
        <v/>
      </c>
      <c r="M2200" s="13" t="str">
        <f>IF(D2200&lt;&gt;"",VLOOKUP(H2200,TABLEITEM,3,FALSE),"")</f>
        <v>แผ่นฉนวนสำเร็จรูป 2"</v>
      </c>
      <c r="N2200" s="14">
        <f>INSTOCK!$I2200*INSTOCK!$K2200</f>
        <v>71677.44</v>
      </c>
      <c r="O2200" s="4"/>
      <c r="P2200" s="4"/>
    </row>
    <row r="2201" ht="15.75" hidden="1" customHeight="1">
      <c r="B2201" s="8">
        <v>2520.0</v>
      </c>
      <c r="C2201" s="9">
        <v>43543.0</v>
      </c>
      <c r="D2201" s="6">
        <v>6.2030288E7</v>
      </c>
      <c r="E2201" s="4">
        <v>6.203000417E9</v>
      </c>
      <c r="F2201" s="8" t="s">
        <v>604</v>
      </c>
      <c r="G2201" s="4" t="s">
        <v>1127</v>
      </c>
      <c r="H2201" s="10" t="s">
        <v>2972</v>
      </c>
      <c r="I2201" s="10">
        <v>50.0</v>
      </c>
      <c r="J2201" s="11" t="str">
        <f>IF(D2201&lt;&gt;"",VLOOKUP(H2201,TABLEITEM,5,FALSE),"")</f>
        <v>คู่</v>
      </c>
      <c r="K2201" s="12">
        <v>5.0</v>
      </c>
      <c r="L2201" s="13" t="str">
        <f>IF(D2201&lt;&gt;"",VLOOKUP(H2201,TABLEITEM,2,FALSE),"")</f>
        <v/>
      </c>
      <c r="M2201" s="13" t="str">
        <f>IF(D2201&lt;&gt;"",VLOOKUP(H2201,TABLEITEM,3,FALSE),"")</f>
        <v>ถุงมือไนโตรเจนบางสีฟ้า TG-SOFT กล่อง 50คู่</v>
      </c>
      <c r="N2201" s="14">
        <f>INSTOCK!$I2201*INSTOCK!$K2201</f>
        <v>250</v>
      </c>
      <c r="O2201" s="4" t="s">
        <v>2973</v>
      </c>
      <c r="P2201" s="4"/>
    </row>
    <row r="2202" ht="15.75" hidden="1" customHeight="1">
      <c r="B2202" s="8">
        <v>2521.0</v>
      </c>
      <c r="C2202" s="9">
        <v>43540.0</v>
      </c>
      <c r="D2202" s="6">
        <v>6.2030258E7</v>
      </c>
      <c r="E2202" s="4">
        <v>6.203000396E9</v>
      </c>
      <c r="F2202" s="8" t="s">
        <v>604</v>
      </c>
      <c r="G2202" s="4" t="s">
        <v>1127</v>
      </c>
      <c r="H2202" s="10" t="s">
        <v>2974</v>
      </c>
      <c r="I2202" s="10">
        <v>50.0</v>
      </c>
      <c r="J2202" s="11" t="str">
        <f>IF(D2202&lt;&gt;"",VLOOKUP(H2202,TABLEITEM,5,FALSE),"")</f>
        <v>ROLL</v>
      </c>
      <c r="K2202" s="12">
        <v>40.0</v>
      </c>
      <c r="L2202" s="13" t="str">
        <f>IF(D2202&lt;&gt;"",VLOOKUP(H2202,TABLEITEM,2,FALSE),"")</f>
        <v/>
      </c>
      <c r="M2202" s="13" t="str">
        <f>IF(D2202&lt;&gt;"",VLOOKUP(H2202,TABLEITEM,3,FALSE),"")</f>
        <v>สายลม PU KOVET 8x12มม.(ฟ้า) </v>
      </c>
      <c r="N2202" s="14">
        <f>INSTOCK!$I2202*INSTOCK!$K2202</f>
        <v>2000</v>
      </c>
      <c r="O2202" s="4" t="s">
        <v>2975</v>
      </c>
      <c r="P2202" s="4"/>
    </row>
    <row r="2203" ht="15.75" hidden="1" customHeight="1">
      <c r="B2203" s="8">
        <v>2522.0</v>
      </c>
      <c r="C2203" s="9">
        <v>43131.0</v>
      </c>
      <c r="D2203" s="6">
        <v>8.10049528E8</v>
      </c>
      <c r="E2203" s="4"/>
      <c r="F2203" s="8"/>
      <c r="G2203" s="4" t="s">
        <v>2976</v>
      </c>
      <c r="H2203" s="10" t="s">
        <v>2977</v>
      </c>
      <c r="I2203" s="10">
        <v>1.0</v>
      </c>
      <c r="J2203" s="11" t="str">
        <f>IF(D2203&lt;&gt;"",VLOOKUP(H2203,TABLEITEM,5,FALSE),"")</f>
        <v>EA</v>
      </c>
      <c r="K2203" s="12">
        <v>255.0</v>
      </c>
      <c r="L2203" s="13" t="str">
        <f>IF(D2203&lt;&gt;"",VLOOKUP(H2203,TABLEITEM,2,FALSE),"")</f>
        <v/>
      </c>
      <c r="M2203" s="13" t="str">
        <f>IF(D2203&lt;&gt;"",VLOOKUP(H2203,TABLEITEM,3,FALSE),"")</f>
        <v>ไส้กรองแรงดันสูง</v>
      </c>
      <c r="N2203" s="14">
        <f>INSTOCK!$I2203*INSTOCK!$K2203</f>
        <v>255</v>
      </c>
      <c r="O2203" s="4"/>
      <c r="P2203" s="4"/>
    </row>
    <row r="2204" ht="15.75" hidden="1" customHeight="1">
      <c r="B2204" s="8">
        <v>2523.0</v>
      </c>
      <c r="C2204" s="9">
        <v>43131.0</v>
      </c>
      <c r="D2204" s="6">
        <v>8.10049528E8</v>
      </c>
      <c r="E2204" s="4"/>
      <c r="F2204" s="8"/>
      <c r="G2204" s="4" t="s">
        <v>2976</v>
      </c>
      <c r="H2204" s="10" t="s">
        <v>2978</v>
      </c>
      <c r="I2204" s="10">
        <v>1.3</v>
      </c>
      <c r="J2204" s="11" t="str">
        <f>IF(D2204&lt;&gt;"",VLOOKUP(H2204,TABLEITEM,5,FALSE),"")</f>
        <v>LOT</v>
      </c>
      <c r="K2204" s="12">
        <v>476.0</v>
      </c>
      <c r="L2204" s="13" t="str">
        <f>IF(D2204&lt;&gt;"",VLOOKUP(H2204,TABLEITEM,2,FALSE),"")</f>
        <v/>
      </c>
      <c r="M2204" s="13" t="str">
        <f>IF(D2204&lt;&gt;"",VLOOKUP(H2204,TABLEITEM,3,FALSE),"")</f>
        <v>ค่าบริการ เช็คระยะ 213,533กม ทะเบียน 1ฒฆ 7417</v>
      </c>
      <c r="N2204" s="14">
        <f>INSTOCK!$I2204*INSTOCK!$K2204</f>
        <v>618.8</v>
      </c>
      <c r="O2204" s="4"/>
      <c r="P2204" s="4"/>
    </row>
    <row r="2205" ht="15.75" hidden="1" customHeight="1">
      <c r="B2205" s="8">
        <v>2524.0</v>
      </c>
      <c r="C2205" s="9">
        <v>43131.0</v>
      </c>
      <c r="D2205" s="6" t="s">
        <v>2979</v>
      </c>
      <c r="E2205" s="4"/>
      <c r="F2205" s="8" t="s">
        <v>633</v>
      </c>
      <c r="G2205" s="4" t="s">
        <v>2980</v>
      </c>
      <c r="H2205" s="10" t="s">
        <v>2981</v>
      </c>
      <c r="I2205" s="10">
        <v>1.0</v>
      </c>
      <c r="J2205" s="11" t="str">
        <f>IF(D2205&lt;&gt;"",VLOOKUP(H2205,TABLEITEM,5,FALSE),"")</f>
        <v>EA</v>
      </c>
      <c r="K2205" s="12">
        <v>2000.0</v>
      </c>
      <c r="L2205" s="13" t="str">
        <f>IF(D2205&lt;&gt;"",VLOOKUP(H2205,TABLEITEM,2,FALSE),"")</f>
        <v/>
      </c>
      <c r="M2205" s="13" t="str">
        <f>IF(D2205&lt;&gt;"",VLOOKUP(H2205,TABLEITEM,3,FALSE),"")</f>
        <v>ถังสเตนเลส 105N</v>
      </c>
      <c r="N2205" s="14">
        <f>INSTOCK!$I2205*INSTOCK!$K2205</f>
        <v>2000</v>
      </c>
      <c r="O2205" s="4"/>
      <c r="P2205" s="4"/>
    </row>
    <row r="2206" ht="15.75" hidden="1" customHeight="1">
      <c r="B2206" s="8">
        <v>2525.0</v>
      </c>
      <c r="C2206" s="9">
        <v>43131.0</v>
      </c>
      <c r="D2206" s="6">
        <v>144147.0</v>
      </c>
      <c r="E2206" s="4"/>
      <c r="F2206" s="8"/>
      <c r="G2206" s="4" t="s">
        <v>2982</v>
      </c>
      <c r="H2206" s="10" t="s">
        <v>2983</v>
      </c>
      <c r="I2206" s="10">
        <v>35.79</v>
      </c>
      <c r="J2206" s="11" t="str">
        <f>IF(D2206&lt;&gt;"",VLOOKUP(H2206,TABLEITEM,5,FALSE),"")</f>
        <v>กป.</v>
      </c>
      <c r="K2206" s="12">
        <v>27.94</v>
      </c>
      <c r="L2206" s="13" t="str">
        <f>IF(D2206&lt;&gt;"",VLOOKUP(H2206,TABLEITEM,2,FALSE),"")</f>
        <v/>
      </c>
      <c r="M2206" s="13" t="str">
        <f>IF(D2206&lt;&gt;"",VLOOKUP(H2206,TABLEITEM,3,FALSE),"")</f>
        <v>น้ำมันดีเซล </v>
      </c>
      <c r="N2206" s="14">
        <f>INSTOCK!$I2206*INSTOCK!$K2206</f>
        <v>999.9726</v>
      </c>
      <c r="O2206" s="4"/>
      <c r="P2206" s="4"/>
    </row>
    <row r="2207" ht="15.75" hidden="1" customHeight="1">
      <c r="B2207" s="8">
        <v>2526.0</v>
      </c>
      <c r="C2207" s="9">
        <v>43130.0</v>
      </c>
      <c r="D2207" s="6" t="s">
        <v>2984</v>
      </c>
      <c r="E2207" s="4">
        <v>6.101000114E9</v>
      </c>
      <c r="F2207" s="8" t="s">
        <v>2985</v>
      </c>
      <c r="G2207" s="4" t="s">
        <v>2732</v>
      </c>
      <c r="H2207" s="10" t="s">
        <v>2733</v>
      </c>
      <c r="I2207" s="10">
        <v>2.0</v>
      </c>
      <c r="J2207" s="11" t="str">
        <f>IF(D2207&lt;&gt;"",VLOOKUP(H2207,TABLEITEM,5,FALSE),"")</f>
        <v>EA</v>
      </c>
      <c r="K2207" s="12">
        <v>372.0</v>
      </c>
      <c r="L2207" s="13" t="str">
        <f>IF(D2207&lt;&gt;"",VLOOKUP(H2207,TABLEITEM,2,FALSE),"")</f>
        <v/>
      </c>
      <c r="M2207" s="13" t="str">
        <f>IF(D2207&lt;&gt;"",VLOOKUP(H2207,TABLEITEM,3,FALSE),"")</f>
        <v>INSERT SLEEVE TEFLON COMPLETE G90-1006485</v>
      </c>
      <c r="N2207" s="14">
        <f>INSTOCK!$I2207*INSTOCK!$K2207</f>
        <v>744</v>
      </c>
      <c r="O2207" s="4"/>
      <c r="P2207" s="4"/>
    </row>
    <row r="2208" ht="15.75" hidden="1" customHeight="1">
      <c r="B2208" s="8">
        <v>2527.0</v>
      </c>
      <c r="C2208" s="9">
        <v>43130.0</v>
      </c>
      <c r="D2208" s="6" t="s">
        <v>2984</v>
      </c>
      <c r="E2208" s="4">
        <v>6.101000114E9</v>
      </c>
      <c r="F2208" s="8" t="s">
        <v>2985</v>
      </c>
      <c r="G2208" s="4" t="s">
        <v>2732</v>
      </c>
      <c r="H2208" s="10" t="s">
        <v>2986</v>
      </c>
      <c r="I2208" s="10">
        <v>2.0</v>
      </c>
      <c r="J2208" s="11" t="str">
        <f>IF(D2208&lt;&gt;"",VLOOKUP(H2208,TABLEITEM,5,FALSE),"")</f>
        <v>EA</v>
      </c>
      <c r="K2208" s="12">
        <v>2730.0</v>
      </c>
      <c r="L2208" s="13" t="str">
        <f>IF(D2208&lt;&gt;"",VLOOKUP(H2208,TABLEITEM,2,FALSE),"")</f>
        <v/>
      </c>
      <c r="M2208" s="13" t="str">
        <f>IF(D2208&lt;&gt;"",VLOOKUP(H2208,TABLEITEM,3,FALSE),"")</f>
        <v>FLUIDIZING TUBE</v>
      </c>
      <c r="N2208" s="14">
        <f>INSTOCK!$I2208*INSTOCK!$K2208</f>
        <v>5460</v>
      </c>
      <c r="O2208" s="4"/>
      <c r="P2208" s="4"/>
    </row>
    <row r="2209" ht="15.75" hidden="1" customHeight="1">
      <c r="B2209" s="8">
        <v>2528.0</v>
      </c>
      <c r="C2209" s="9">
        <v>43130.0</v>
      </c>
      <c r="D2209" s="6" t="s">
        <v>2984</v>
      </c>
      <c r="E2209" s="4">
        <v>6.101000114E9</v>
      </c>
      <c r="F2209" s="8" t="s">
        <v>2985</v>
      </c>
      <c r="G2209" s="4" t="s">
        <v>2732</v>
      </c>
      <c r="H2209" s="10" t="s">
        <v>2987</v>
      </c>
      <c r="I2209" s="10">
        <v>4.0</v>
      </c>
      <c r="J2209" s="11" t="str">
        <f>IF(D2209&lt;&gt;"",VLOOKUP(H2209,TABLEITEM,5,FALSE),"")</f>
        <v>EA</v>
      </c>
      <c r="K2209" s="12">
        <v>246.0</v>
      </c>
      <c r="L2209" s="13" t="str">
        <f>IF(D2209&lt;&gt;"",VLOOKUP(H2209,TABLEITEM,2,FALSE),"")</f>
        <v/>
      </c>
      <c r="M2209" s="13" t="str">
        <f>IF(D2209&lt;&gt;"",VLOOKUP(H2209,TABLEITEM,3,FALSE),"")</f>
        <v>FILTER ELEMENT D9/4x27MM</v>
      </c>
      <c r="N2209" s="14">
        <f>INSTOCK!$I2209*INSTOCK!$K2209</f>
        <v>984</v>
      </c>
      <c r="O2209" s="4"/>
      <c r="P2209" s="4"/>
    </row>
    <row r="2210" ht="15.75" hidden="1" customHeight="1">
      <c r="B2210" s="8">
        <v>2529.0</v>
      </c>
      <c r="C2210" s="9">
        <v>43130.0</v>
      </c>
      <c r="D2210" s="6" t="s">
        <v>2984</v>
      </c>
      <c r="E2210" s="4">
        <v>6.101000114E9</v>
      </c>
      <c r="F2210" s="8" t="s">
        <v>2985</v>
      </c>
      <c r="G2210" s="4" t="s">
        <v>2732</v>
      </c>
      <c r="H2210" s="10" t="s">
        <v>2988</v>
      </c>
      <c r="I2210" s="10">
        <v>2.0</v>
      </c>
      <c r="J2210" s="11" t="str">
        <f>IF(D2210&lt;&gt;"",VLOOKUP(H2210,TABLEITEM,5,FALSE),"")</f>
        <v>EA</v>
      </c>
      <c r="K2210" s="12">
        <v>1350.0</v>
      </c>
      <c r="L2210" s="13" t="str">
        <f>IF(D2210&lt;&gt;"",VLOOKUP(H2210,TABLEITEM,2,FALSE),"")</f>
        <v/>
      </c>
      <c r="M2210" s="13" t="str">
        <f>IF(D2210&lt;&gt;"",VLOOKUP(H2210,TABLEITEM,3,FALSE),"")</f>
        <v>NOZZLE I GO6</v>
      </c>
      <c r="N2210" s="14">
        <f>INSTOCK!$I2210*INSTOCK!$K2210</f>
        <v>2700</v>
      </c>
      <c r="O2210" s="4"/>
      <c r="P2210" s="4"/>
    </row>
    <row r="2211" ht="15.75" hidden="1" customHeight="1">
      <c r="B2211" s="8">
        <v>2530.0</v>
      </c>
      <c r="C2211" s="9">
        <v>43130.0</v>
      </c>
      <c r="D2211" s="6" t="s">
        <v>2984</v>
      </c>
      <c r="E2211" s="4">
        <v>6.101000114E9</v>
      </c>
      <c r="F2211" s="8" t="s">
        <v>2985</v>
      </c>
      <c r="G2211" s="4" t="s">
        <v>2732</v>
      </c>
      <c r="H2211" s="10" t="s">
        <v>2989</v>
      </c>
      <c r="I2211" s="10">
        <v>1.0</v>
      </c>
      <c r="J2211" s="11" t="str">
        <f>IF(D2211&lt;&gt;"",VLOOKUP(H2211,TABLEITEM,5,FALSE),"")</f>
        <v>EA</v>
      </c>
      <c r="K2211" s="12">
        <v>66.0</v>
      </c>
      <c r="L2211" s="13" t="str">
        <f>IF(D2211&lt;&gt;"",VLOOKUP(H2211,TABLEITEM,2,FALSE),"")</f>
        <v/>
      </c>
      <c r="M2211" s="13" t="str">
        <f>IF(D2211&lt;&gt;"",VLOOKUP(H2211,TABLEITEM,3,FALSE),"")</f>
        <v>NOZZLE FIXATION-CPL</v>
      </c>
      <c r="N2211" s="14">
        <f>INSTOCK!$I2211*INSTOCK!$K2211</f>
        <v>66</v>
      </c>
      <c r="O2211" s="4"/>
      <c r="P2211" s="4"/>
    </row>
    <row r="2212" ht="15.75" hidden="1" customHeight="1">
      <c r="B2212" s="8">
        <v>2531.0</v>
      </c>
      <c r="C2212" s="9">
        <v>43130.0</v>
      </c>
      <c r="D2212" s="6" t="s">
        <v>2984</v>
      </c>
      <c r="E2212" s="4">
        <v>6.101000114E9</v>
      </c>
      <c r="F2212" s="8" t="s">
        <v>2985</v>
      </c>
      <c r="G2212" s="4" t="s">
        <v>2732</v>
      </c>
      <c r="H2212" s="10" t="s">
        <v>2990</v>
      </c>
      <c r="I2212" s="10">
        <v>12.0</v>
      </c>
      <c r="J2212" s="11" t="str">
        <f>IF(D2212&lt;&gt;"",VLOOKUP(H2212,TABLEITEM,5,FALSE),"")</f>
        <v>EA</v>
      </c>
      <c r="K2212" s="12">
        <v>24.0</v>
      </c>
      <c r="L2212" s="13" t="str">
        <f>IF(D2212&lt;&gt;"",VLOOKUP(H2212,TABLEITEM,2,FALSE),"")</f>
        <v/>
      </c>
      <c r="M2212" s="13" t="str">
        <f>IF(D2212&lt;&gt;"",VLOOKUP(H2212,TABLEITEM,3,FALSE),"")</f>
        <v>O-RING</v>
      </c>
      <c r="N2212" s="14">
        <f>INSTOCK!$I2212*INSTOCK!$K2212</f>
        <v>288</v>
      </c>
      <c r="O2212" s="4"/>
      <c r="P2212" s="4"/>
    </row>
    <row r="2213" ht="15.75" hidden="1" customHeight="1">
      <c r="B2213" s="8">
        <v>2532.0</v>
      </c>
      <c r="C2213" s="9">
        <v>43129.0</v>
      </c>
      <c r="D2213" s="6" t="s">
        <v>2991</v>
      </c>
      <c r="E2213" s="4"/>
      <c r="F2213" s="8" t="s">
        <v>633</v>
      </c>
      <c r="G2213" s="4" t="s">
        <v>2593</v>
      </c>
      <c r="H2213" s="10" t="s">
        <v>2594</v>
      </c>
      <c r="I2213" s="10">
        <v>10.0</v>
      </c>
      <c r="J2213" s="11" t="str">
        <f>IF(D2213&lt;&gt;"",VLOOKUP(H2213,TABLEITEM,5,FALSE),"")</f>
        <v>EA</v>
      </c>
      <c r="K2213" s="12">
        <v>500.0</v>
      </c>
      <c r="L2213" s="13" t="str">
        <f>IF(D2213&lt;&gt;"",VLOOKUP(H2213,TABLEITEM,2,FALSE),"")</f>
        <v/>
      </c>
      <c r="M2213" s="13" t="str">
        <f>IF(D2213&lt;&gt;"",VLOOKUP(H2213,TABLEITEM,3,FALSE),"")</f>
        <v>ทรายหยาบ</v>
      </c>
      <c r="N2213" s="14">
        <f>INSTOCK!$I2213*INSTOCK!$K2213</f>
        <v>5000</v>
      </c>
      <c r="O2213" s="4"/>
      <c r="P2213" s="4"/>
    </row>
    <row r="2214" ht="15.75" hidden="1" customHeight="1">
      <c r="B2214" s="8">
        <v>2533.0</v>
      </c>
      <c r="C2214" s="9">
        <v>43129.0</v>
      </c>
      <c r="D2214" s="6" t="s">
        <v>2992</v>
      </c>
      <c r="E2214" s="4">
        <v>6.012001557E9</v>
      </c>
      <c r="F2214" s="8" t="s">
        <v>604</v>
      </c>
      <c r="G2214" s="4" t="s">
        <v>1777</v>
      </c>
      <c r="H2214" s="10" t="s">
        <v>2395</v>
      </c>
      <c r="I2214" s="10">
        <v>20000.0</v>
      </c>
      <c r="J2214" s="11" t="str">
        <f>IF(D2214&lt;&gt;"",VLOOKUP(H2214,TABLEITEM,5,FALSE),"")</f>
        <v>EA</v>
      </c>
      <c r="K2214" s="12">
        <v>0.99</v>
      </c>
      <c r="L2214" s="13" t="str">
        <f>IF(D2214&lt;&gt;"",VLOOKUP(H2214,TABLEITEM,2,FALSE),"")</f>
        <v/>
      </c>
      <c r="M2214" s="13" t="str">
        <f>IF(D2214&lt;&gt;"",VLOOKUP(H2214,TABLEITEM,3,FALSE),"")</f>
        <v>สกรูหัวเหลี่ยมชุบขาว M 6x10</v>
      </c>
      <c r="N2214" s="14">
        <f>INSTOCK!$I2214*INSTOCK!$K2214</f>
        <v>19800</v>
      </c>
      <c r="O2214" s="4" t="s">
        <v>1857</v>
      </c>
      <c r="P2214" s="4"/>
    </row>
    <row r="2215" ht="15.75" hidden="1" customHeight="1">
      <c r="B2215" s="8">
        <v>2534.0</v>
      </c>
      <c r="C2215" s="9">
        <v>43126.0</v>
      </c>
      <c r="D2215" s="6" t="s">
        <v>2993</v>
      </c>
      <c r="E2215" s="4">
        <v>6.101000107E9</v>
      </c>
      <c r="F2215" s="8" t="s">
        <v>604</v>
      </c>
      <c r="G2215" s="4" t="s">
        <v>2014</v>
      </c>
      <c r="H2215" s="10" t="s">
        <v>2072</v>
      </c>
      <c r="I2215" s="10">
        <v>2.0</v>
      </c>
      <c r="J2215" s="11" t="str">
        <f>IF(D2215&lt;&gt;"",VLOOKUP(H2215,TABLEITEM,5,FALSE),"")</f>
        <v>EA</v>
      </c>
      <c r="K2215" s="12">
        <v>275.7</v>
      </c>
      <c r="L2215" s="13" t="str">
        <f>IF(D2215&lt;&gt;"",VLOOKUP(H2215,TABLEITEM,2,FALSE),"")</f>
        <v/>
      </c>
      <c r="M2215" s="13" t="str">
        <f>IF(D2215&lt;&gt;"",VLOOKUP(H2215,TABLEITEM,3,FALSE),"")</f>
        <v>อะไหล่ผ้าดันฝุ่นไมโครไฟเบอร์ น้ำเงิน โพลี-ไบร์ท</v>
      </c>
      <c r="N2215" s="14">
        <f>INSTOCK!$I2215*INSTOCK!$K2215</f>
        <v>551.4</v>
      </c>
      <c r="O2215" s="4"/>
      <c r="P2215" s="4"/>
    </row>
    <row r="2216" ht="15.75" hidden="1" customHeight="1">
      <c r="B2216" s="8">
        <v>2535.0</v>
      </c>
      <c r="C2216" s="9">
        <v>43126.0</v>
      </c>
      <c r="D2216" s="6" t="s">
        <v>2994</v>
      </c>
      <c r="E2216" s="4">
        <v>6.101000076E9</v>
      </c>
      <c r="F2216" s="8" t="s">
        <v>2995</v>
      </c>
      <c r="G2216" s="4" t="s">
        <v>2996</v>
      </c>
      <c r="H2216" s="10" t="s">
        <v>2220</v>
      </c>
      <c r="I2216" s="10">
        <v>1.0</v>
      </c>
      <c r="J2216" s="11" t="str">
        <f>IF(D2216&lt;&gt;"",VLOOKUP(H2216,TABLEITEM,5,FALSE),"")</f>
        <v>EA</v>
      </c>
      <c r="K2216" s="12">
        <v>1080.0</v>
      </c>
      <c r="L2216" s="13" t="str">
        <f>IF(D2216&lt;&gt;"",VLOOKUP(H2216,TABLEITEM,2,FALSE),"")</f>
        <v/>
      </c>
      <c r="M2216" s="13" t="str">
        <f>IF(D2216&lt;&gt;"",VLOOKUP(H2216,TABLEITEM,3,FALSE),"")</f>
        <v>Torque Wrench</v>
      </c>
      <c r="N2216" s="14">
        <f>INSTOCK!$I2216*INSTOCK!$K2216</f>
        <v>1080</v>
      </c>
      <c r="O2216" s="4" t="s">
        <v>2221</v>
      </c>
      <c r="P2216" s="4"/>
    </row>
    <row r="2217" ht="15.75" hidden="1" customHeight="1">
      <c r="B2217" s="8">
        <v>2536.0</v>
      </c>
      <c r="C2217" s="9">
        <v>43126.0</v>
      </c>
      <c r="D2217" s="6" t="s">
        <v>2994</v>
      </c>
      <c r="E2217" s="4">
        <v>6.101000076E9</v>
      </c>
      <c r="F2217" s="8" t="s">
        <v>2995</v>
      </c>
      <c r="G2217" s="4" t="s">
        <v>2996</v>
      </c>
      <c r="H2217" s="10" t="s">
        <v>2218</v>
      </c>
      <c r="I2217" s="10">
        <v>1.0</v>
      </c>
      <c r="J2217" s="11" t="str">
        <f>IF(D2217&lt;&gt;"",VLOOKUP(H2217,TABLEITEM,5,FALSE),"")</f>
        <v>EA</v>
      </c>
      <c r="K2217" s="12">
        <v>630.0</v>
      </c>
      <c r="L2217" s="13" t="str">
        <f>IF(D2217&lt;&gt;"",VLOOKUP(H2217,TABLEITEM,2,FALSE),"")</f>
        <v/>
      </c>
      <c r="M2217" s="13" t="str">
        <f>IF(D2217&lt;&gt;"",VLOOKUP(H2217,TABLEITEM,3,FALSE),"")</f>
        <v>Vernier Caliper</v>
      </c>
      <c r="N2217" s="14">
        <f>INSTOCK!$I2217*INSTOCK!$K2217</f>
        <v>630</v>
      </c>
      <c r="O2217" s="4" t="s">
        <v>2219</v>
      </c>
      <c r="P2217" s="4"/>
    </row>
    <row r="2218" ht="15.75" hidden="1" customHeight="1">
      <c r="B2218" s="8">
        <v>2537.0</v>
      </c>
      <c r="C2218" s="9">
        <v>43126.0</v>
      </c>
      <c r="D2218" s="6" t="s">
        <v>2997</v>
      </c>
      <c r="E2218" s="4"/>
      <c r="F2218" s="8" t="s">
        <v>604</v>
      </c>
      <c r="G2218" s="4" t="s">
        <v>2495</v>
      </c>
      <c r="H2218" s="10" t="s">
        <v>2998</v>
      </c>
      <c r="I2218" s="10">
        <v>2000.0</v>
      </c>
      <c r="J2218" s="11" t="str">
        <f>IF(D2218&lt;&gt;"",VLOOKUP(H2218,TABLEITEM,5,FALSE),"")</f>
        <v>EA</v>
      </c>
      <c r="K2218" s="12">
        <v>0.69</v>
      </c>
      <c r="L2218" s="13" t="str">
        <f>IF(D2218&lt;&gt;"",VLOOKUP(H2218,TABLEITEM,2,FALSE),"")</f>
        <v/>
      </c>
      <c r="M2218" s="13" t="str">
        <f>IF(D2218&lt;&gt;"",VLOOKUP(H2218,TABLEITEM,3,FALSE),"")</f>
        <v>สกรูตัวหนอน M5x5</v>
      </c>
      <c r="N2218" s="14">
        <f>INSTOCK!$I2218*INSTOCK!$K2218</f>
        <v>1380</v>
      </c>
      <c r="O2218" s="4"/>
      <c r="P2218" s="4"/>
    </row>
    <row r="2219" ht="15.75" hidden="1" customHeight="1">
      <c r="B2219" s="8">
        <v>2538.0</v>
      </c>
      <c r="C2219" s="9">
        <v>43126.0</v>
      </c>
      <c r="D2219" s="6" t="s">
        <v>2997</v>
      </c>
      <c r="E2219" s="4"/>
      <c r="F2219" s="8" t="s">
        <v>604</v>
      </c>
      <c r="G2219" s="4" t="s">
        <v>2495</v>
      </c>
      <c r="H2219" s="10" t="s">
        <v>1778</v>
      </c>
      <c r="I2219" s="10">
        <v>1000.0</v>
      </c>
      <c r="J2219" s="11" t="str">
        <f>IF(D2219&lt;&gt;"",VLOOKUP(H2219,TABLEITEM,5,FALSE),"")</f>
        <v>EA</v>
      </c>
      <c r="K2219" s="12">
        <v>1.85</v>
      </c>
      <c r="L2219" s="13" t="str">
        <f>IF(D2219&lt;&gt;"",VLOOKUP(H2219,TABLEITEM,2,FALSE),"")</f>
        <v/>
      </c>
      <c r="M2219" s="13" t="str">
        <f>IF(D2219&lt;&gt;"",VLOOKUP(H2219,TABLEITEM,3,FALSE),"")</f>
        <v>สกรูหัวจมชุบขาว M4x35</v>
      </c>
      <c r="N2219" s="14">
        <f>INSTOCK!$I2219*INSTOCK!$K2219</f>
        <v>1850</v>
      </c>
      <c r="O2219" s="4"/>
      <c r="P2219" s="4"/>
    </row>
    <row r="2220" ht="15.75" hidden="1" customHeight="1">
      <c r="B2220" s="8">
        <v>2539.0</v>
      </c>
      <c r="C2220" s="9">
        <v>43126.0</v>
      </c>
      <c r="D2220" s="6" t="s">
        <v>2999</v>
      </c>
      <c r="E2220" s="4">
        <v>6.101000086E9</v>
      </c>
      <c r="F2220" s="8" t="s">
        <v>604</v>
      </c>
      <c r="G2220" s="4" t="s">
        <v>1777</v>
      </c>
      <c r="H2220" s="10" t="s">
        <v>2167</v>
      </c>
      <c r="I2220" s="10">
        <v>4000.0</v>
      </c>
      <c r="J2220" s="11" t="str">
        <f>IF(D2220&lt;&gt;"",VLOOKUP(H2220,TABLEITEM,5,FALSE),"")</f>
        <v>EA</v>
      </c>
      <c r="K2220" s="12">
        <v>0.05</v>
      </c>
      <c r="L2220" s="13" t="str">
        <f>IF(D2220&lt;&gt;"",VLOOKUP(H2220,TABLEITEM,2,FALSE),"")</f>
        <v/>
      </c>
      <c r="M2220" s="13" t="str">
        <f>IF(D2220&lt;&gt;"",VLOOKUP(H2220,TABLEITEM,3,FALSE),"")</f>
        <v>แหวนอีแปะ M4  ชุบขาว</v>
      </c>
      <c r="N2220" s="14">
        <f>INSTOCK!$I2220*INSTOCK!$K2220</f>
        <v>200</v>
      </c>
      <c r="O2220" s="4" t="s">
        <v>2168</v>
      </c>
      <c r="P2220" s="4"/>
    </row>
    <row r="2221" ht="15.75" hidden="1" customHeight="1">
      <c r="B2221" s="8">
        <v>2540.0</v>
      </c>
      <c r="C2221" s="9">
        <v>43126.0</v>
      </c>
      <c r="D2221" s="6" t="s">
        <v>2999</v>
      </c>
      <c r="E2221" s="4">
        <v>6.101000086E9</v>
      </c>
      <c r="F2221" s="8" t="s">
        <v>604</v>
      </c>
      <c r="G2221" s="4" t="s">
        <v>1777</v>
      </c>
      <c r="H2221" s="10" t="s">
        <v>2426</v>
      </c>
      <c r="I2221" s="10">
        <v>2000.0</v>
      </c>
      <c r="J2221" s="11" t="str">
        <f>IF(D2221&lt;&gt;"",VLOOKUP(H2221,TABLEITEM,5,FALSE),"")</f>
        <v>EA</v>
      </c>
      <c r="K2221" s="12">
        <v>0.3</v>
      </c>
      <c r="L2221" s="13" t="str">
        <f>IF(D2221&lt;&gt;"",VLOOKUP(H2221,TABLEITEM,2,FALSE),"")</f>
        <v/>
      </c>
      <c r="M2221" s="13" t="str">
        <f>IF(D2221&lt;&gt;"",VLOOKUP(H2221,TABLEITEM,3,FALSE),"")</f>
        <v>หัวน็อตล็อค M4</v>
      </c>
      <c r="N2221" s="14">
        <f>INSTOCK!$I2221*INSTOCK!$K2221</f>
        <v>600</v>
      </c>
      <c r="O2221" s="4" t="s">
        <v>2170</v>
      </c>
      <c r="P2221" s="4"/>
    </row>
    <row r="2222" ht="15.75" hidden="1" customHeight="1">
      <c r="B2222" s="8">
        <v>2541.0</v>
      </c>
      <c r="C2222" s="9">
        <v>43125.0</v>
      </c>
      <c r="D2222" s="6" t="s">
        <v>3000</v>
      </c>
      <c r="E2222" s="4"/>
      <c r="F2222" s="8"/>
      <c r="G2222" s="4" t="s">
        <v>965</v>
      </c>
      <c r="H2222" s="10" t="s">
        <v>3001</v>
      </c>
      <c r="I2222" s="10">
        <v>1.0</v>
      </c>
      <c r="J2222" s="11" t="str">
        <f>IF(D2222&lt;&gt;"",VLOOKUP(H2222,TABLEITEM,5,FALSE),"")</f>
        <v>EA</v>
      </c>
      <c r="K2222" s="12">
        <v>80.0</v>
      </c>
      <c r="L2222" s="13" t="str">
        <f>IF(D2222&lt;&gt;"",VLOOKUP(H2222,TABLEITEM,2,FALSE),"")</f>
        <v/>
      </c>
      <c r="M2222" s="13" t="str">
        <f>IF(D2222&lt;&gt;"",VLOOKUP(H2222,TABLEITEM,3,FALSE),"")</f>
        <v>สายน้ำดี 80CM</v>
      </c>
      <c r="N2222" s="14">
        <f>INSTOCK!$I2222*INSTOCK!$K2222</f>
        <v>80</v>
      </c>
      <c r="O2222" s="4"/>
      <c r="P2222" s="4"/>
    </row>
    <row r="2223" ht="15.75" hidden="1" customHeight="1">
      <c r="B2223" s="8">
        <v>2542.0</v>
      </c>
      <c r="C2223" s="9">
        <v>43125.0</v>
      </c>
      <c r="D2223" s="6" t="s">
        <v>3000</v>
      </c>
      <c r="E2223" s="4"/>
      <c r="F2223" s="8"/>
      <c r="G2223" s="4" t="s">
        <v>965</v>
      </c>
      <c r="H2223" s="10" t="s">
        <v>3002</v>
      </c>
      <c r="I2223" s="10">
        <v>1.0</v>
      </c>
      <c r="J2223" s="11" t="str">
        <f>IF(D2223&lt;&gt;"",VLOOKUP(H2223,TABLEITEM,5,FALSE),"")</f>
        <v>EA</v>
      </c>
      <c r="K2223" s="12">
        <v>25.0</v>
      </c>
      <c r="L2223" s="13" t="str">
        <f>IF(D2223&lt;&gt;"",VLOOKUP(H2223,TABLEITEM,2,FALSE),"")</f>
        <v/>
      </c>
      <c r="M2223" s="13" t="str">
        <f>IF(D2223&lt;&gt;"",VLOOKUP(H2223,TABLEITEM,3,FALSE),"")</f>
        <v>ดอกสว่าน MAXCO 8.0mm</v>
      </c>
      <c r="N2223" s="14">
        <f>INSTOCK!$I2223*INSTOCK!$K2223</f>
        <v>25</v>
      </c>
      <c r="O2223" s="4"/>
      <c r="P2223" s="4"/>
    </row>
    <row r="2224" ht="15.75" hidden="1" customHeight="1">
      <c r="B2224" s="8">
        <v>2543.0</v>
      </c>
      <c r="C2224" s="9">
        <v>43125.0</v>
      </c>
      <c r="D2224" s="6" t="s">
        <v>3000</v>
      </c>
      <c r="E2224" s="4"/>
      <c r="F2224" s="8"/>
      <c r="G2224" s="4" t="s">
        <v>965</v>
      </c>
      <c r="H2224" s="10" t="s">
        <v>3003</v>
      </c>
      <c r="I2224" s="10">
        <v>4.0</v>
      </c>
      <c r="J2224" s="11" t="str">
        <f>IF(D2224&lt;&gt;"",VLOOKUP(H2224,TABLEITEM,5,FALSE),"")</f>
        <v>EA</v>
      </c>
      <c r="K2224" s="12">
        <v>20.0</v>
      </c>
      <c r="L2224" s="13" t="str">
        <f>IF(D2224&lt;&gt;"",VLOOKUP(H2224,TABLEITEM,2,FALSE),"")</f>
        <v/>
      </c>
      <c r="M2224" s="13" t="str">
        <f>IF(D2224&lt;&gt;"",VLOOKUP(H2224,TABLEITEM,3,FALSE),"")</f>
        <v>ยูโบล์ท 1"</v>
      </c>
      <c r="N2224" s="14">
        <f>INSTOCK!$I2224*INSTOCK!$K2224</f>
        <v>80</v>
      </c>
      <c r="O2224" s="4"/>
      <c r="P2224" s="4"/>
    </row>
    <row r="2225" ht="15.75" hidden="1" customHeight="1">
      <c r="B2225" s="8">
        <v>2544.0</v>
      </c>
      <c r="C2225" s="9">
        <v>43125.0</v>
      </c>
      <c r="D2225" s="6" t="s">
        <v>3000</v>
      </c>
      <c r="E2225" s="4"/>
      <c r="F2225" s="8"/>
      <c r="G2225" s="4" t="s">
        <v>965</v>
      </c>
      <c r="H2225" s="10" t="s">
        <v>3004</v>
      </c>
      <c r="I2225" s="10">
        <v>1.0</v>
      </c>
      <c r="J2225" s="11" t="str">
        <f>IF(D2225&lt;&gt;"",VLOOKUP(H2225,TABLEITEM,5,FALSE),"")</f>
        <v>EA</v>
      </c>
      <c r="K2225" s="12">
        <v>80.0</v>
      </c>
      <c r="L2225" s="13" t="str">
        <f>IF(D2225&lt;&gt;"",VLOOKUP(H2225,TABLEITEM,2,FALSE),"")</f>
        <v/>
      </c>
      <c r="M2225" s="13" t="str">
        <f>IF(D2225&lt;&gt;"",VLOOKUP(H2225,TABLEITEM,3,FALSE),"")</f>
        <v>ต๊าปเกลียวซ้าย</v>
      </c>
      <c r="N2225" s="14">
        <f>INSTOCK!$I2225*INSTOCK!$K2225</f>
        <v>80</v>
      </c>
      <c r="O2225" s="4"/>
      <c r="P2225" s="4"/>
    </row>
    <row r="2226" ht="15.75" hidden="1" customHeight="1">
      <c r="B2226" s="8">
        <v>2545.0</v>
      </c>
      <c r="C2226" s="9">
        <v>43123.0</v>
      </c>
      <c r="D2226" s="6" t="s">
        <v>3005</v>
      </c>
      <c r="E2226" s="4">
        <v>6.101000085E9</v>
      </c>
      <c r="F2226" s="8" t="s">
        <v>604</v>
      </c>
      <c r="G2226" s="4" t="s">
        <v>965</v>
      </c>
      <c r="H2226" s="10" t="s">
        <v>3006</v>
      </c>
      <c r="I2226" s="10">
        <v>6.0</v>
      </c>
      <c r="J2226" s="11" t="str">
        <f>IF(D2226&lt;&gt;"",VLOOKUP(H2226,TABLEITEM,5,FALSE),"")</f>
        <v>EA</v>
      </c>
      <c r="K2226" s="12">
        <v>25.0</v>
      </c>
      <c r="L2226" s="13" t="str">
        <f>IF(D2226&lt;&gt;"",VLOOKUP(H2226,TABLEITEM,2,FALSE),"")</f>
        <v/>
      </c>
      <c r="M2226" s="13" t="str">
        <f>IF(D2226&lt;&gt;"",VLOOKUP(H2226,TABLEITEM,3,FALSE),"")</f>
        <v>เชือกฟาง</v>
      </c>
      <c r="N2226" s="14">
        <f>INSTOCK!$I2226*INSTOCK!$K2226</f>
        <v>150</v>
      </c>
      <c r="O2226" s="4"/>
      <c r="P2226" s="4"/>
    </row>
    <row r="2227" ht="15.75" hidden="1" customHeight="1">
      <c r="B2227" s="8">
        <v>2546.0</v>
      </c>
      <c r="C2227" s="9">
        <v>43119.0</v>
      </c>
      <c r="D2227" s="6">
        <v>79575.0</v>
      </c>
      <c r="E2227" s="4">
        <v>6.10100006E9</v>
      </c>
      <c r="F2227" s="8" t="s">
        <v>604</v>
      </c>
      <c r="G2227" s="4" t="s">
        <v>2589</v>
      </c>
      <c r="H2227" s="10" t="s">
        <v>2668</v>
      </c>
      <c r="I2227" s="10">
        <v>5500.0</v>
      </c>
      <c r="J2227" s="11" t="str">
        <f>IF(D2227&lt;&gt;"",VLOOKUP(H2227,TABLEITEM,5,FALSE),"")</f>
        <v>EA</v>
      </c>
      <c r="K2227" s="12">
        <v>1.15</v>
      </c>
      <c r="L2227" s="13" t="str">
        <f>IF(D2227&lt;&gt;"",VLOOKUP(H2227,TABLEITEM,2,FALSE),"")</f>
        <v/>
      </c>
      <c r="M2227" s="13" t="str">
        <f>IF(D2227&lt;&gt;"",VLOOKUP(H2227,TABLEITEM,3,FALSE),"")</f>
        <v>สตัด M5x10</v>
      </c>
      <c r="N2227" s="14">
        <f>INSTOCK!$I2227*INSTOCK!$K2227</f>
        <v>6325</v>
      </c>
      <c r="O2227" s="4"/>
      <c r="P2227" s="4"/>
    </row>
    <row r="2228" ht="15.75" hidden="1" customHeight="1">
      <c r="B2228" s="8">
        <v>2547.0</v>
      </c>
      <c r="C2228" s="9">
        <v>43119.0</v>
      </c>
      <c r="D2228" s="6">
        <v>79574.0</v>
      </c>
      <c r="E2228" s="4">
        <v>6.101000068E9</v>
      </c>
      <c r="F2228" s="8" t="s">
        <v>604</v>
      </c>
      <c r="G2228" s="4" t="s">
        <v>2589</v>
      </c>
      <c r="H2228" s="10" t="s">
        <v>3007</v>
      </c>
      <c r="I2228" s="10">
        <v>200.0</v>
      </c>
      <c r="J2228" s="11" t="str">
        <f>IF(D2228&lt;&gt;"",VLOOKUP(H2228,TABLEITEM,5,FALSE),"")</f>
        <v>EA</v>
      </c>
      <c r="K2228" s="12">
        <v>9.4</v>
      </c>
      <c r="L2228" s="13" t="str">
        <f>IF(D2228&lt;&gt;"",VLOOKUP(H2228,TABLEITEM,2,FALSE),"")</f>
        <v/>
      </c>
      <c r="M2228" s="13" t="str">
        <f>IF(D2228&lt;&gt;"",VLOOKUP(H2228,TABLEITEM,3,FALSE),"")</f>
        <v>สตัด M6x25</v>
      </c>
      <c r="N2228" s="14">
        <f>INSTOCK!$I2228*INSTOCK!$K2228</f>
        <v>1880</v>
      </c>
      <c r="O2228" s="4"/>
      <c r="P2228" s="4"/>
    </row>
    <row r="2229" ht="15.75" hidden="1" customHeight="1">
      <c r="B2229" s="8">
        <v>2548.0</v>
      </c>
      <c r="C2229" s="9">
        <v>43118.0</v>
      </c>
      <c r="D2229" s="6" t="s">
        <v>3008</v>
      </c>
      <c r="E2229" s="4">
        <v>6.101000078E9</v>
      </c>
      <c r="F2229" s="8" t="s">
        <v>3009</v>
      </c>
      <c r="G2229" s="4" t="s">
        <v>965</v>
      </c>
      <c r="H2229" s="10" t="s">
        <v>3010</v>
      </c>
      <c r="I2229" s="10">
        <v>1.0</v>
      </c>
      <c r="J2229" s="11" t="str">
        <f>IF(D2229&lt;&gt;"",VLOOKUP(H2229,TABLEITEM,5,FALSE),"")</f>
        <v>ห่อ</v>
      </c>
      <c r="K2229" s="12">
        <v>280.0</v>
      </c>
      <c r="L2229" s="13" t="str">
        <f>IF(D2229&lt;&gt;"",VLOOKUP(H2229,TABLEITEM,2,FALSE),"")</f>
        <v/>
      </c>
      <c r="M2229" s="13" t="str">
        <f>IF(D2229&lt;&gt;"",VLOOKUP(H2229,TABLEITEM,3,FALSE),"")</f>
        <v>ลวดเชื่อม KOBE 3.2 มิล</v>
      </c>
      <c r="N2229" s="14">
        <f>INSTOCK!$I2229*INSTOCK!$K2229</f>
        <v>280</v>
      </c>
      <c r="O2229" s="4"/>
      <c r="P2229" s="4"/>
    </row>
    <row r="2230" ht="15.75" hidden="1" customHeight="1">
      <c r="B2230" s="8">
        <v>2549.0</v>
      </c>
      <c r="C2230" s="9">
        <v>43118.0</v>
      </c>
      <c r="D2230" s="6" t="s">
        <v>3008</v>
      </c>
      <c r="E2230" s="4">
        <v>6.101000078E9</v>
      </c>
      <c r="F2230" s="8" t="s">
        <v>3009</v>
      </c>
      <c r="G2230" s="4" t="s">
        <v>965</v>
      </c>
      <c r="H2230" s="18" t="s">
        <v>2041</v>
      </c>
      <c r="I2230" s="10">
        <v>2.0</v>
      </c>
      <c r="J2230" s="11" t="str">
        <f>IF(D2230&lt;&gt;"",VLOOKUP(H2230,TABLEITEM,5,FALSE),"")</f>
        <v>กล</v>
      </c>
      <c r="K2230" s="12">
        <v>290.0</v>
      </c>
      <c r="L2230" s="13" t="str">
        <f>IF(D2230&lt;&gt;"",VLOOKUP(H2230,TABLEITEM,2,FALSE),"")</f>
        <v/>
      </c>
      <c r="M2230" s="13" t="str">
        <f>IF(D2230&lt;&gt;"",VLOOKUP(H2230,TABLEITEM,3,FALSE),"")</f>
        <v>สีน้ำมัน LOTTO 1186</v>
      </c>
      <c r="N2230" s="14">
        <f>INSTOCK!$I2230*INSTOCK!$K2230</f>
        <v>580</v>
      </c>
      <c r="O2230" s="4"/>
      <c r="P2230" s="4"/>
    </row>
    <row r="2231" ht="15.75" hidden="1" customHeight="1">
      <c r="B2231" s="8">
        <v>2550.0</v>
      </c>
      <c r="C2231" s="9">
        <v>43118.0</v>
      </c>
      <c r="D2231" s="6" t="s">
        <v>3008</v>
      </c>
      <c r="E2231" s="4">
        <v>6.101000078E9</v>
      </c>
      <c r="F2231" s="8" t="s">
        <v>3009</v>
      </c>
      <c r="G2231" s="4" t="s">
        <v>965</v>
      </c>
      <c r="H2231" s="18" t="s">
        <v>1680</v>
      </c>
      <c r="I2231" s="10">
        <v>1.0</v>
      </c>
      <c r="J2231" s="11" t="str">
        <f>IF(D2231&lt;&gt;"",VLOOKUP(H2231,TABLEITEM,5,FALSE),"")</f>
        <v>EA</v>
      </c>
      <c r="K2231" s="12">
        <v>20.0</v>
      </c>
      <c r="L2231" s="13" t="str">
        <f>IF(D2231&lt;&gt;"",VLOOKUP(H2231,TABLEITEM,2,FALSE),"")</f>
        <v/>
      </c>
      <c r="M2231" s="13" t="str">
        <f>IF(D2231&lt;&gt;"",VLOOKUP(H2231,TABLEITEM,3,FALSE),"")</f>
        <v>แปรงทาสี 3"</v>
      </c>
      <c r="N2231" s="14">
        <f>INSTOCK!$I2231*INSTOCK!$K2231</f>
        <v>20</v>
      </c>
      <c r="O2231" s="4"/>
      <c r="P2231" s="4"/>
    </row>
    <row r="2232" ht="15.75" hidden="1" customHeight="1">
      <c r="B2232" s="8">
        <v>2551.0</v>
      </c>
      <c r="C2232" s="9">
        <v>43118.0</v>
      </c>
      <c r="D2232" s="6" t="s">
        <v>3008</v>
      </c>
      <c r="E2232" s="4">
        <v>6.101000078E9</v>
      </c>
      <c r="F2232" s="8" t="s">
        <v>3009</v>
      </c>
      <c r="G2232" s="4" t="s">
        <v>965</v>
      </c>
      <c r="H2232" s="18" t="s">
        <v>1681</v>
      </c>
      <c r="I2232" s="10">
        <v>1.0</v>
      </c>
      <c r="J2232" s="11" t="str">
        <f>IF(D2232&lt;&gt;"",VLOOKUP(H2232,TABLEITEM,5,FALSE),"")</f>
        <v>EA</v>
      </c>
      <c r="K2232" s="12">
        <v>70.0</v>
      </c>
      <c r="L2232" s="13" t="str">
        <f>IF(D2232&lt;&gt;"",VLOOKUP(H2232,TABLEITEM,2,FALSE),"")</f>
        <v/>
      </c>
      <c r="M2232" s="13" t="str">
        <f>IF(D2232&lt;&gt;"",VLOOKUP(H2232,TABLEITEM,3,FALSE),"")</f>
        <v>ลูกกลิ้งทาสี Somax 7"</v>
      </c>
      <c r="N2232" s="14">
        <f>INSTOCK!$I2232*INSTOCK!$K2232</f>
        <v>70</v>
      </c>
      <c r="O2232" s="4"/>
      <c r="P2232" s="4"/>
    </row>
    <row r="2233" ht="15.75" hidden="1" customHeight="1">
      <c r="B2233" s="8">
        <v>2552.0</v>
      </c>
      <c r="C2233" s="9">
        <v>43117.0</v>
      </c>
      <c r="D2233" s="6" t="s">
        <v>3011</v>
      </c>
      <c r="E2233" s="4">
        <v>6.101000059E9</v>
      </c>
      <c r="F2233" s="8" t="s">
        <v>604</v>
      </c>
      <c r="G2233" s="4" t="s">
        <v>2679</v>
      </c>
      <c r="H2233" s="10" t="s">
        <v>2680</v>
      </c>
      <c r="I2233" s="10">
        <v>20.0</v>
      </c>
      <c r="J2233" s="11" t="str">
        <f>IF(D2233&lt;&gt;"",VLOOKUP(H2233,TABLEITEM,5,FALSE),"")</f>
        <v>แผ่น</v>
      </c>
      <c r="K2233" s="12">
        <v>2350.0</v>
      </c>
      <c r="L2233" s="13" t="str">
        <f>IF(D2233&lt;&gt;"",VLOOKUP(H2233,TABLEITEM,2,FALSE),"")</f>
        <v/>
      </c>
      <c r="M2233" s="13" t="str">
        <f>IF(D2233&lt;&gt;"",VLOOKUP(H2233,TABLEITEM,3,FALSE),"")</f>
        <v>GRAVOGRAPH (CLEAR) WHITE</v>
      </c>
      <c r="N2233" s="14">
        <f>INSTOCK!$I2233*INSTOCK!$K2233</f>
        <v>47000</v>
      </c>
      <c r="O2233" s="4"/>
      <c r="P2233" s="4"/>
    </row>
    <row r="2234" ht="15.75" hidden="1" customHeight="1">
      <c r="B2234" s="8">
        <v>2553.0</v>
      </c>
      <c r="C2234" s="9">
        <v>43117.0</v>
      </c>
      <c r="D2234" s="6" t="s">
        <v>3012</v>
      </c>
      <c r="E2234" s="4"/>
      <c r="F2234" s="8" t="s">
        <v>633</v>
      </c>
      <c r="G2234" s="4" t="s">
        <v>2593</v>
      </c>
      <c r="H2234" s="10" t="s">
        <v>2594</v>
      </c>
      <c r="I2234" s="10">
        <v>5.0</v>
      </c>
      <c r="J2234" s="11" t="str">
        <f>IF(D2234&lt;&gt;"",VLOOKUP(H2234,TABLEITEM,5,FALSE),"")</f>
        <v>EA</v>
      </c>
      <c r="K2234" s="12">
        <v>500.0</v>
      </c>
      <c r="L2234" s="13" t="str">
        <f>IF(D2234&lt;&gt;"",VLOOKUP(H2234,TABLEITEM,2,FALSE),"")</f>
        <v/>
      </c>
      <c r="M2234" s="13" t="str">
        <f>IF(D2234&lt;&gt;"",VLOOKUP(H2234,TABLEITEM,3,FALSE),"")</f>
        <v>ทรายหยาบ</v>
      </c>
      <c r="N2234" s="14">
        <f>INSTOCK!$I2234*INSTOCK!$K2234</f>
        <v>2500</v>
      </c>
      <c r="O2234" s="4"/>
      <c r="P2234" s="4"/>
    </row>
    <row r="2235" ht="15.75" hidden="1" customHeight="1">
      <c r="B2235" s="8">
        <v>2554.0</v>
      </c>
      <c r="C2235" s="9">
        <v>43116.0</v>
      </c>
      <c r="D2235" s="6" t="s">
        <v>3013</v>
      </c>
      <c r="E2235" s="4">
        <v>6.101000027E9</v>
      </c>
      <c r="F2235" s="8" t="s">
        <v>604</v>
      </c>
      <c r="G2235" s="4" t="s">
        <v>2121</v>
      </c>
      <c r="H2235" s="10" t="s">
        <v>2100</v>
      </c>
      <c r="I2235" s="10">
        <v>20000.0</v>
      </c>
      <c r="J2235" s="11" t="str">
        <f>IF(D2235&lt;&gt;"",VLOOKUP(H2235,TABLEITEM,5,FALSE),"")</f>
        <v>EA</v>
      </c>
      <c r="K2235" s="12">
        <v>0.86</v>
      </c>
      <c r="L2235" s="13" t="str">
        <f>IF(D2235&lt;&gt;"",VLOOKUP(H2235,TABLEITEM,2,FALSE),"")</f>
        <v/>
      </c>
      <c r="M2235" s="13" t="str">
        <f>IF(D2235&lt;&gt;"",VLOOKUP(H2235,TABLEITEM,3,FALSE),"")</f>
        <v>สกรูหัวเหลี่ยมชุบขาว M8x20</v>
      </c>
      <c r="N2235" s="14">
        <f>INSTOCK!$I2235*INSTOCK!$K2235</f>
        <v>17200</v>
      </c>
      <c r="O2235" s="4"/>
      <c r="P2235" s="4"/>
    </row>
    <row r="2236" ht="15.75" hidden="1" customHeight="1">
      <c r="B2236" s="8">
        <v>2555.0</v>
      </c>
      <c r="C2236" s="9">
        <v>43116.0</v>
      </c>
      <c r="D2236" s="6" t="s">
        <v>3013</v>
      </c>
      <c r="E2236" s="4">
        <v>6.101000027E9</v>
      </c>
      <c r="F2236" s="8" t="s">
        <v>604</v>
      </c>
      <c r="G2236" s="4" t="s">
        <v>2121</v>
      </c>
      <c r="H2236" s="10" t="s">
        <v>2080</v>
      </c>
      <c r="I2236" s="10">
        <v>20000.0</v>
      </c>
      <c r="J2236" s="11" t="str">
        <f>IF(D2236&lt;&gt;"",VLOOKUP(H2236,TABLEITEM,5,FALSE),"")</f>
        <v>EA</v>
      </c>
      <c r="K2236" s="12">
        <v>0.4</v>
      </c>
      <c r="L2236" s="13" t="str">
        <f>IF(D2236&lt;&gt;"",VLOOKUP(H2236,TABLEITEM,2,FALSE),"")</f>
        <v/>
      </c>
      <c r="M2236" s="13" t="str">
        <f>IF(D2236&lt;&gt;"",VLOOKUP(H2236,TABLEITEM,3,FALSE),"")</f>
        <v>หัวน็อต M 8 ชุบขาว</v>
      </c>
      <c r="N2236" s="14">
        <f>INSTOCK!$I2236*INSTOCK!$K2236</f>
        <v>8000</v>
      </c>
      <c r="O2236" s="4"/>
      <c r="P2236" s="4"/>
    </row>
    <row r="2237" ht="15.75" hidden="1" customHeight="1">
      <c r="B2237" s="8">
        <v>2556.0</v>
      </c>
      <c r="C2237" s="9">
        <v>43116.0</v>
      </c>
      <c r="D2237" s="6" t="s">
        <v>3013</v>
      </c>
      <c r="E2237" s="4">
        <v>6.101000027E9</v>
      </c>
      <c r="F2237" s="8" t="s">
        <v>604</v>
      </c>
      <c r="G2237" s="4" t="s">
        <v>2121</v>
      </c>
      <c r="H2237" s="10" t="s">
        <v>3014</v>
      </c>
      <c r="I2237" s="10">
        <v>20000.0</v>
      </c>
      <c r="J2237" s="11" t="str">
        <f>IF(D2237&lt;&gt;"",VLOOKUP(H2237,TABLEITEM,5,FALSE),"")</f>
        <v>EA</v>
      </c>
      <c r="K2237" s="12">
        <v>0.1</v>
      </c>
      <c r="L2237" s="13" t="str">
        <f>IF(D2237&lt;&gt;"",VLOOKUP(H2237,TABLEITEM,2,FALSE),"")</f>
        <v/>
      </c>
      <c r="M2237" s="13" t="str">
        <f>IF(D2237&lt;&gt;"",VLOOKUP(H2237,TABLEITEM,3,FALSE),"")</f>
        <v>แหวนสปริง M 8 ชุบรุ้ง</v>
      </c>
      <c r="N2237" s="14">
        <f>INSTOCK!$I2237*INSTOCK!$K2237</f>
        <v>2000</v>
      </c>
      <c r="O2237" s="4"/>
      <c r="P2237" s="4"/>
    </row>
    <row r="2238" ht="15.75" hidden="1" customHeight="1">
      <c r="B2238" s="8">
        <v>2557.0</v>
      </c>
      <c r="C2238" s="9">
        <v>43116.0</v>
      </c>
      <c r="D2238" s="6" t="s">
        <v>3013</v>
      </c>
      <c r="E2238" s="4">
        <v>6.101000027E9</v>
      </c>
      <c r="F2238" s="8" t="s">
        <v>604</v>
      </c>
      <c r="G2238" s="4" t="s">
        <v>2121</v>
      </c>
      <c r="H2238" s="10" t="s">
        <v>2102</v>
      </c>
      <c r="I2238" s="10">
        <v>40000.0</v>
      </c>
      <c r="J2238" s="11" t="str">
        <f>IF(D2238&lt;&gt;"",VLOOKUP(H2238,TABLEITEM,5,FALSE),"")</f>
        <v>EA</v>
      </c>
      <c r="K2238" s="12">
        <v>0.11</v>
      </c>
      <c r="L2238" s="13" t="str">
        <f>IF(D2238&lt;&gt;"",VLOOKUP(H2238,TABLEITEM,2,FALSE),"")</f>
        <v/>
      </c>
      <c r="M2238" s="13" t="str">
        <f>IF(D2238&lt;&gt;"",VLOOKUP(H2238,TABLEITEM,3,FALSE),"")</f>
        <v>แหวนอีแปะ M8 ชุบขาว</v>
      </c>
      <c r="N2238" s="14">
        <f>INSTOCK!$I2238*INSTOCK!$K2238</f>
        <v>4400</v>
      </c>
      <c r="O2238" s="4"/>
      <c r="P2238" s="4"/>
    </row>
    <row r="2239" ht="15.75" hidden="1" customHeight="1">
      <c r="B2239" s="8">
        <v>2558.0</v>
      </c>
      <c r="C2239" s="9">
        <v>43116.0</v>
      </c>
      <c r="D2239" s="6" t="s">
        <v>3015</v>
      </c>
      <c r="E2239" s="4" t="s">
        <v>3016</v>
      </c>
      <c r="F2239" s="8" t="s">
        <v>3017</v>
      </c>
      <c r="G2239" s="4" t="s">
        <v>3018</v>
      </c>
      <c r="H2239" s="10" t="s">
        <v>3019</v>
      </c>
      <c r="I2239" s="10">
        <v>4.0</v>
      </c>
      <c r="J2239" s="11" t="str">
        <f>IF(D2239&lt;&gt;"",VLOOKUP(H2239,TABLEITEM,5,FALSE),"")</f>
        <v>EA</v>
      </c>
      <c r="K2239" s="12">
        <v>11000.0</v>
      </c>
      <c r="L2239" s="13" t="str">
        <f>IF(D2239&lt;&gt;"",VLOOKUP(H2239,TABLEITEM,2,FALSE),"")</f>
        <v/>
      </c>
      <c r="M2239" s="13" t="str">
        <f>IF(D2239&lt;&gt;"",VLOOKUP(H2239,TABLEITEM,3,FALSE),"")</f>
        <v>รางไฟขนาด 40แอมป์ 4ขั้ว ยาว 4เมตร</v>
      </c>
      <c r="N2239" s="14">
        <f>INSTOCK!$I2239*INSTOCK!$K2239</f>
        <v>44000</v>
      </c>
      <c r="O2239" s="4"/>
      <c r="P2239" s="4"/>
    </row>
    <row r="2240" ht="15.75" hidden="1" customHeight="1">
      <c r="B2240" s="8">
        <v>2559.0</v>
      </c>
      <c r="C2240" s="9">
        <v>43116.0</v>
      </c>
      <c r="D2240" s="6" t="s">
        <v>3015</v>
      </c>
      <c r="E2240" s="4" t="s">
        <v>3016</v>
      </c>
      <c r="F2240" s="8" t="s">
        <v>3017</v>
      </c>
      <c r="G2240" s="4" t="s">
        <v>3018</v>
      </c>
      <c r="H2240" s="10" t="s">
        <v>3020</v>
      </c>
      <c r="I2240" s="10">
        <v>4.0</v>
      </c>
      <c r="J2240" s="11" t="str">
        <f>IF(D2240&lt;&gt;"",VLOOKUP(H2240,TABLEITEM,5,FALSE),"")</f>
        <v>EA</v>
      </c>
      <c r="K2240" s="12">
        <v>610.0</v>
      </c>
      <c r="L2240" s="13" t="str">
        <f>IF(D2240&lt;&gt;"",VLOOKUP(H2240,TABLEITEM,2,FALSE),"")</f>
        <v/>
      </c>
      <c r="M2240" s="13" t="str">
        <f>IF(D2240&lt;&gt;"",VLOOKUP(H2240,TABLEITEM,3,FALSE),"")</f>
        <v>ข้อต่อรางไฟ MOBILIS</v>
      </c>
      <c r="N2240" s="14">
        <f>INSTOCK!$I2240*INSTOCK!$K2240</f>
        <v>2440</v>
      </c>
      <c r="O2240" s="4"/>
      <c r="P2240" s="4"/>
    </row>
    <row r="2241" ht="15.75" hidden="1" customHeight="1">
      <c r="B2241" s="8">
        <v>2560.0</v>
      </c>
      <c r="C2241" s="9">
        <v>43116.0</v>
      </c>
      <c r="D2241" s="6" t="s">
        <v>3015</v>
      </c>
      <c r="E2241" s="4" t="s">
        <v>3016</v>
      </c>
      <c r="F2241" s="8" t="s">
        <v>3017</v>
      </c>
      <c r="G2241" s="4" t="s">
        <v>3018</v>
      </c>
      <c r="H2241" s="10" t="s">
        <v>3021</v>
      </c>
      <c r="I2241" s="10">
        <v>10.0</v>
      </c>
      <c r="J2241" s="11" t="str">
        <f>IF(D2241&lt;&gt;"",VLOOKUP(H2241,TABLEITEM,5,FALSE),"")</f>
        <v>EA</v>
      </c>
      <c r="K2241" s="12">
        <v>370.0</v>
      </c>
      <c r="L2241" s="13" t="str">
        <f>IF(D2241&lt;&gt;"",VLOOKUP(H2241,TABLEITEM,2,FALSE),"")</f>
        <v/>
      </c>
      <c r="M2241" s="13" t="str">
        <f>IF(D2241&lt;&gt;"",VLOOKUP(H2241,TABLEITEM,3,FALSE),"")</f>
        <v>ตัวแขวนรางไฟ MOBILIS</v>
      </c>
      <c r="N2241" s="14">
        <f>INSTOCK!$I2241*INSTOCK!$K2241</f>
        <v>3700</v>
      </c>
      <c r="O2241" s="4"/>
      <c r="P2241" s="4"/>
    </row>
    <row r="2242" ht="15.75" hidden="1" customHeight="1">
      <c r="B2242" s="8">
        <v>2561.0</v>
      </c>
      <c r="C2242" s="9">
        <v>43116.0</v>
      </c>
      <c r="D2242" s="6" t="s">
        <v>3022</v>
      </c>
      <c r="E2242" s="4">
        <v>6.101000054E9</v>
      </c>
      <c r="F2242" s="8" t="s">
        <v>1989</v>
      </c>
      <c r="G2242" s="4" t="s">
        <v>2014</v>
      </c>
      <c r="H2242" s="10" t="s">
        <v>2899</v>
      </c>
      <c r="I2242" s="10">
        <v>6.0</v>
      </c>
      <c r="J2242" s="11" t="str">
        <f>IF(D2242&lt;&gt;"",VLOOKUP(H2242,TABLEITEM,5,FALSE),"")</f>
        <v>PACK</v>
      </c>
      <c r="K2242" s="12">
        <v>503.74</v>
      </c>
      <c r="L2242" s="13" t="str">
        <f>IF(D2242&lt;&gt;"",VLOOKUP(H2242,TABLEITEM,2,FALSE),"")</f>
        <v/>
      </c>
      <c r="M2242" s="13" t="str">
        <f>IF(D2242&lt;&gt;"",VLOOKUP(H2242,TABLEITEM,3,FALSE),"")</f>
        <v>กระดาษถ่ายเอกสาร A4 80 แกรม (แพ็ค 5รีม)</v>
      </c>
      <c r="N2242" s="14">
        <f>INSTOCK!$I2242*INSTOCK!$K2242</f>
        <v>3022.44</v>
      </c>
      <c r="O2242" s="4"/>
      <c r="P2242" s="4"/>
    </row>
    <row r="2243" ht="15.75" hidden="1" customHeight="1">
      <c r="B2243" s="8">
        <v>2562.0</v>
      </c>
      <c r="C2243" s="9">
        <v>43116.0</v>
      </c>
      <c r="D2243" s="6" t="s">
        <v>3022</v>
      </c>
      <c r="E2243" s="4">
        <v>6.101000054E9</v>
      </c>
      <c r="F2243" s="8" t="s">
        <v>1989</v>
      </c>
      <c r="G2243" s="4" t="s">
        <v>2014</v>
      </c>
      <c r="H2243" s="10" t="s">
        <v>3023</v>
      </c>
      <c r="I2243" s="10">
        <v>1.0</v>
      </c>
      <c r="J2243" s="11" t="str">
        <f>IF(D2243&lt;&gt;"",VLOOKUP(H2243,TABLEITEM,5,FALSE),"")</f>
        <v>EA</v>
      </c>
      <c r="K2243" s="12">
        <v>261.68</v>
      </c>
      <c r="L2243" s="13" t="str">
        <f>IF(D2243&lt;&gt;"",VLOOKUP(H2243,TABLEITEM,2,FALSE),"")</f>
        <v/>
      </c>
      <c r="M2243" s="13" t="str">
        <f>IF(D2243&lt;&gt;"",VLOOKUP(H2243,TABLEITEM,3,FALSE),"")</f>
        <v>SANDISK SDHC CLASS 10UITRA UHS-1 MEMORY CARD 16GB</v>
      </c>
      <c r="N2243" s="14">
        <f>INSTOCK!$I2243*INSTOCK!$K2243</f>
        <v>261.68</v>
      </c>
      <c r="O2243" s="4"/>
      <c r="P2243" s="4"/>
    </row>
    <row r="2244" ht="15.75" hidden="1" customHeight="1">
      <c r="B2244" s="8">
        <v>2563.0</v>
      </c>
      <c r="C2244" s="9">
        <v>43116.0</v>
      </c>
      <c r="D2244" s="6" t="s">
        <v>3022</v>
      </c>
      <c r="E2244" s="4">
        <v>6.101000054E9</v>
      </c>
      <c r="F2244" s="8" t="s">
        <v>1989</v>
      </c>
      <c r="G2244" s="4" t="s">
        <v>2014</v>
      </c>
      <c r="H2244" s="10" t="s">
        <v>3024</v>
      </c>
      <c r="I2244" s="10">
        <v>6.0</v>
      </c>
      <c r="J2244" s="11" t="str">
        <f>IF(D2244&lt;&gt;"",VLOOKUP(H2244,TABLEITEM,5,FALSE),"")</f>
        <v>EA</v>
      </c>
      <c r="K2244" s="12">
        <v>0.0</v>
      </c>
      <c r="L2244" s="13" t="str">
        <f>IF(D2244&lt;&gt;"",VLOOKUP(H2244,TABLEITEM,2,FALSE),"")</f>
        <v/>
      </c>
      <c r="M2244" s="13" t="str">
        <f>IF(D2244&lt;&gt;"",VLOOKUP(H2244,TABLEITEM,3,FALSE),"")</f>
        <v>แถม-เครื่องเย็บ เบอร์ 10 คละสี DOUBLE A</v>
      </c>
      <c r="N2244" s="14">
        <f>INSTOCK!$I2244*INSTOCK!$K2244</f>
        <v>0</v>
      </c>
      <c r="O2244" s="4"/>
      <c r="P2244" s="4"/>
    </row>
    <row r="2245" ht="15.75" hidden="1" customHeight="1">
      <c r="B2245" s="8">
        <v>2564.0</v>
      </c>
      <c r="C2245" s="9">
        <v>43113.0</v>
      </c>
      <c r="D2245" s="6" t="s">
        <v>3025</v>
      </c>
      <c r="E2245" s="4"/>
      <c r="F2245" s="8"/>
      <c r="G2245" s="4" t="s">
        <v>3026</v>
      </c>
      <c r="H2245" s="10" t="s">
        <v>3027</v>
      </c>
      <c r="I2245" s="10">
        <v>1.0</v>
      </c>
      <c r="J2245" s="11" t="str">
        <f>IF(D2245&lt;&gt;"",VLOOKUP(H2245,TABLEITEM,5,FALSE),"")</f>
        <v>EA</v>
      </c>
      <c r="K2245" s="12">
        <v>410.0</v>
      </c>
      <c r="L2245" s="13" t="str">
        <f>IF(D2245&lt;&gt;"",VLOOKUP(H2245,TABLEITEM,2,FALSE),"")</f>
        <v/>
      </c>
      <c r="M2245" s="13" t="str">
        <f>IF(D2245&lt;&gt;"",VLOOKUP(H2245,TABLEITEM,3,FALSE),"")</f>
        <v>แบตเตอรี่ NEW POWER รุ่น NS-6-12 6V 12A</v>
      </c>
      <c r="N2245" s="14">
        <f>INSTOCK!$I2245*INSTOCK!$K2245</f>
        <v>410</v>
      </c>
      <c r="O2245" s="4"/>
      <c r="P2245" s="4"/>
    </row>
    <row r="2246" ht="15.75" hidden="1" customHeight="1">
      <c r="B2246" s="8">
        <v>2565.0</v>
      </c>
      <c r="C2246" s="9">
        <v>43112.0</v>
      </c>
      <c r="D2246" s="6" t="s">
        <v>3028</v>
      </c>
      <c r="E2246" s="4"/>
      <c r="F2246" s="8"/>
      <c r="G2246" s="4" t="s">
        <v>3029</v>
      </c>
      <c r="H2246" s="10" t="s">
        <v>3030</v>
      </c>
      <c r="I2246" s="10">
        <v>11.01</v>
      </c>
      <c r="J2246" s="11" t="str">
        <f>IF(D2246&lt;&gt;"",VLOOKUP(H2246,TABLEITEM,5,FALSE),"")</f>
        <v>LOT</v>
      </c>
      <c r="K2246" s="12">
        <v>55.0</v>
      </c>
      <c r="L2246" s="13" t="str">
        <f>IF(D2246&lt;&gt;"",VLOOKUP(H2246,TABLEITEM,2,FALSE),"")</f>
        <v/>
      </c>
      <c r="M2246" s="13" t="str">
        <f>IF(D2246&lt;&gt;"",VLOOKUP(H2246,TABLEITEM,3,FALSE),"")</f>
        <v>ค่าชุบ ดีบุกเงา</v>
      </c>
      <c r="N2246" s="14">
        <f>INSTOCK!$I2246*INSTOCK!$K2246</f>
        <v>605.55</v>
      </c>
      <c r="O2246" s="4"/>
      <c r="P2246" s="4"/>
    </row>
    <row r="2247" ht="15.75" hidden="1" customHeight="1">
      <c r="B2247" s="8">
        <v>2566.0</v>
      </c>
      <c r="C2247" s="9">
        <v>43112.0</v>
      </c>
      <c r="D2247" s="6" t="s">
        <v>3031</v>
      </c>
      <c r="E2247" s="4"/>
      <c r="F2247" s="8"/>
      <c r="G2247" s="4" t="s">
        <v>3026</v>
      </c>
      <c r="H2247" s="10" t="s">
        <v>3027</v>
      </c>
      <c r="I2247" s="10">
        <v>1.0</v>
      </c>
      <c r="J2247" s="11" t="str">
        <f>IF(D2247&lt;&gt;"",VLOOKUP(H2247,TABLEITEM,5,FALSE),"")</f>
        <v>EA</v>
      </c>
      <c r="K2247" s="12">
        <v>410.0</v>
      </c>
      <c r="L2247" s="13" t="str">
        <f>IF(D2247&lt;&gt;"",VLOOKUP(H2247,TABLEITEM,2,FALSE),"")</f>
        <v/>
      </c>
      <c r="M2247" s="13" t="str">
        <f>IF(D2247&lt;&gt;"",VLOOKUP(H2247,TABLEITEM,3,FALSE),"")</f>
        <v>แบตเตอรี่ NEW POWER รุ่น NS-6-12 6V 12A</v>
      </c>
      <c r="N2247" s="14">
        <f>INSTOCK!$I2247*INSTOCK!$K2247</f>
        <v>410</v>
      </c>
      <c r="O2247" s="4"/>
      <c r="P2247" s="4"/>
    </row>
    <row r="2248" ht="15.75" hidden="1" customHeight="1">
      <c r="B2248" s="8">
        <v>2567.0</v>
      </c>
      <c r="C2248" s="9">
        <v>43112.0</v>
      </c>
      <c r="D2248" s="6" t="s">
        <v>3032</v>
      </c>
      <c r="E2248" s="4">
        <v>6.012001549E9</v>
      </c>
      <c r="F2248" s="8" t="s">
        <v>1989</v>
      </c>
      <c r="G2248" s="4" t="s">
        <v>1990</v>
      </c>
      <c r="H2248" s="10" t="s">
        <v>1995</v>
      </c>
      <c r="I2248" s="10">
        <v>5.0</v>
      </c>
      <c r="J2248" s="11" t="str">
        <f>IF(D2248&lt;&gt;"",VLOOKUP(H2248,TABLEITEM,5,FALSE),"")</f>
        <v>EA</v>
      </c>
      <c r="K2248" s="12">
        <v>37.0</v>
      </c>
      <c r="L2248" s="13" t="str">
        <f>IF(D2248&lt;&gt;"",VLOOKUP(H2248,TABLEITEM,2,FALSE),"")</f>
        <v/>
      </c>
      <c r="M2248" s="13" t="str">
        <f>IF(D2248&lt;&gt;"",VLOOKUP(H2248,TABLEITEM,3,FALSE),"")</f>
        <v>ปากกาลบคำผิด ควอนตั้ม นอร์ดิค โกล์ด 7มล.</v>
      </c>
      <c r="N2248" s="14">
        <f>INSTOCK!$I2248*INSTOCK!$K2248</f>
        <v>185</v>
      </c>
      <c r="O2248" s="4"/>
      <c r="P2248" s="4"/>
    </row>
    <row r="2249" ht="15.75" hidden="1" customHeight="1">
      <c r="B2249" s="8">
        <v>2568.0</v>
      </c>
      <c r="C2249" s="9">
        <v>43112.0</v>
      </c>
      <c r="D2249" s="6" t="s">
        <v>3032</v>
      </c>
      <c r="E2249" s="4">
        <v>6.012001549E9</v>
      </c>
      <c r="F2249" s="8" t="s">
        <v>1989</v>
      </c>
      <c r="G2249" s="4" t="s">
        <v>1990</v>
      </c>
      <c r="H2249" s="10" t="s">
        <v>3033</v>
      </c>
      <c r="I2249" s="10">
        <v>2.0</v>
      </c>
      <c r="J2249" s="11" t="str">
        <f>IF(D2249&lt;&gt;"",VLOOKUP(H2249,TABLEITEM,5,FALSE),"")</f>
        <v>PACK</v>
      </c>
      <c r="K2249" s="12">
        <v>115.0</v>
      </c>
      <c r="L2249" s="13" t="str">
        <f>IF(D2249&lt;&gt;"",VLOOKUP(H2249,TABLEITEM,2,FALSE),"")</f>
        <v/>
      </c>
      <c r="M2249" s="13" t="str">
        <f>IF(D2249&lt;&gt;"",VLOOKUP(H2249,TABLEITEM,3,FALSE),"")</f>
        <v>กระดาษคาร์บอน ตรามม้า 4400 210x330มม.เขียน น้ำเงิน(100แผ่น)</v>
      </c>
      <c r="N2249" s="14">
        <f>INSTOCK!$I2249*INSTOCK!$K2249</f>
        <v>230</v>
      </c>
      <c r="O2249" s="4"/>
      <c r="P2249" s="4"/>
    </row>
    <row r="2250" ht="15.75" hidden="1" customHeight="1">
      <c r="B2250" s="8">
        <v>2569.0</v>
      </c>
      <c r="C2250" s="9">
        <v>43112.0</v>
      </c>
      <c r="D2250" s="6" t="s">
        <v>3032</v>
      </c>
      <c r="E2250" s="4">
        <v>6.012001549E9</v>
      </c>
      <c r="F2250" s="8" t="s">
        <v>1989</v>
      </c>
      <c r="G2250" s="4" t="s">
        <v>1990</v>
      </c>
      <c r="H2250" s="10" t="s">
        <v>2440</v>
      </c>
      <c r="I2250" s="10">
        <v>2.0</v>
      </c>
      <c r="J2250" s="11" t="str">
        <f>IF(D2250&lt;&gt;"",VLOOKUP(H2250,TABLEITEM,5,FALSE),"")</f>
        <v>EA</v>
      </c>
      <c r="K2250" s="12">
        <v>8.25</v>
      </c>
      <c r="L2250" s="13" t="str">
        <f>IF(D2250&lt;&gt;"",VLOOKUP(H2250,TABLEITEM,2,FALSE),"")</f>
        <v/>
      </c>
      <c r="M2250" s="13" t="str">
        <f>IF(D2250&lt;&gt;"",VLOOKUP(H2250,TABLEITEM,3,FALSE),"")</f>
        <v>ลวดเย็บกระดาษ MAX NO.M8-1M</v>
      </c>
      <c r="N2250" s="14">
        <f>INSTOCK!$I2250*INSTOCK!$K2250</f>
        <v>16.5</v>
      </c>
      <c r="O2250" s="4"/>
      <c r="P2250" s="4"/>
    </row>
    <row r="2251" ht="15.75" hidden="1" customHeight="1">
      <c r="B2251" s="8">
        <v>2570.0</v>
      </c>
      <c r="C2251" s="9">
        <v>43112.0</v>
      </c>
      <c r="D2251" s="6" t="s">
        <v>3032</v>
      </c>
      <c r="E2251" s="4">
        <v>6.012001549E9</v>
      </c>
      <c r="F2251" s="8" t="s">
        <v>1989</v>
      </c>
      <c r="G2251" s="4" t="s">
        <v>1990</v>
      </c>
      <c r="H2251" s="10" t="s">
        <v>3034</v>
      </c>
      <c r="I2251" s="10">
        <v>1.0</v>
      </c>
      <c r="J2251" s="11" t="str">
        <f>IF(D2251&lt;&gt;"",VLOOKUP(H2251,TABLEITEM,5,FALSE),"")</f>
        <v>EA</v>
      </c>
      <c r="K2251" s="12">
        <v>95.0</v>
      </c>
      <c r="L2251" s="13" t="str">
        <f>IF(D2251&lt;&gt;"",VLOOKUP(H2251,TABLEITEM,2,FALSE),"")</f>
        <v/>
      </c>
      <c r="M2251" s="13" t="str">
        <f>IF(D2251&lt;&gt;"",VLOOKUP(H2251,TABLEITEM,3,FALSE),"")</f>
        <v>อะไหล่ม๊อบเพาเวอร์ BLACK MAN 10"</v>
      </c>
      <c r="N2251" s="14">
        <f>INSTOCK!$I2251*INSTOCK!$K2251</f>
        <v>95</v>
      </c>
      <c r="O2251" s="4"/>
      <c r="P2251" s="4"/>
    </row>
    <row r="2252" ht="15.75" hidden="1" customHeight="1">
      <c r="B2252" s="8">
        <v>2571.0</v>
      </c>
      <c r="C2252" s="9">
        <v>43112.0</v>
      </c>
      <c r="D2252" s="6" t="s">
        <v>3035</v>
      </c>
      <c r="E2252" s="4">
        <v>6.101000036E9</v>
      </c>
      <c r="F2252" s="8" t="s">
        <v>604</v>
      </c>
      <c r="G2252" s="4" t="s">
        <v>1777</v>
      </c>
      <c r="H2252" s="10" t="s">
        <v>1859</v>
      </c>
      <c r="I2252" s="10">
        <v>3000.0</v>
      </c>
      <c r="J2252" s="11" t="str">
        <f>IF(D2252&lt;&gt;"",VLOOKUP(H2252,TABLEITEM,5,FALSE),"")</f>
        <v>EA</v>
      </c>
      <c r="K2252" s="12">
        <v>0.8618</v>
      </c>
      <c r="L2252" s="13" t="str">
        <f>IF(D2252&lt;&gt;"",VLOOKUP(H2252,TABLEITEM,2,FALSE),"")</f>
        <v/>
      </c>
      <c r="M2252" s="13" t="str">
        <f>IF(D2252&lt;&gt;"",VLOOKUP(H2252,TABLEITEM,3,FALSE),"")</f>
        <v>สกรูหัวเหลี่ยมชุบขาว M8x25</v>
      </c>
      <c r="N2252" s="14">
        <f>INSTOCK!$I2252*INSTOCK!$K2252</f>
        <v>2585.4</v>
      </c>
      <c r="O2252" s="4" t="s">
        <v>3036</v>
      </c>
      <c r="P2252" s="4"/>
    </row>
    <row r="2253" ht="15.75" hidden="1" customHeight="1">
      <c r="B2253" s="8">
        <v>2572.0</v>
      </c>
      <c r="C2253" s="9">
        <v>43112.0</v>
      </c>
      <c r="D2253" s="6" t="s">
        <v>3035</v>
      </c>
      <c r="E2253" s="4">
        <v>6.101000036E9</v>
      </c>
      <c r="F2253" s="8" t="s">
        <v>604</v>
      </c>
      <c r="G2253" s="4" t="s">
        <v>1777</v>
      </c>
      <c r="H2253" s="10" t="s">
        <v>2523</v>
      </c>
      <c r="I2253" s="10">
        <v>4000.0</v>
      </c>
      <c r="J2253" s="11" t="str">
        <f>IF(D2253&lt;&gt;"",VLOOKUP(H2253,TABLEITEM,5,FALSE),"")</f>
        <v>EA</v>
      </c>
      <c r="K2253" s="12">
        <v>1.1408</v>
      </c>
      <c r="L2253" s="13" t="str">
        <f>IF(D2253&lt;&gt;"",VLOOKUP(H2253,TABLEITEM,2,FALSE),"")</f>
        <v/>
      </c>
      <c r="M2253" s="13" t="str">
        <f>IF(D2253&lt;&gt;"",VLOOKUP(H2253,TABLEITEM,3,FALSE),"")</f>
        <v>สกรูหัวเหลี่ยมชุบขาว M8x35</v>
      </c>
      <c r="N2253" s="14">
        <f>INSTOCK!$I2253*INSTOCK!$K2253</f>
        <v>4563.2</v>
      </c>
      <c r="O2253" s="4" t="s">
        <v>3037</v>
      </c>
      <c r="P2253" s="4"/>
    </row>
    <row r="2254" ht="15.75" hidden="1" customHeight="1">
      <c r="B2254" s="8">
        <v>2573.0</v>
      </c>
      <c r="C2254" s="9">
        <v>43111.0</v>
      </c>
      <c r="D2254" s="6" t="s">
        <v>3038</v>
      </c>
      <c r="E2254" s="4"/>
      <c r="F2254" s="8"/>
      <c r="G2254" s="4" t="s">
        <v>1870</v>
      </c>
      <c r="H2254" s="10" t="s">
        <v>3039</v>
      </c>
      <c r="I2254" s="10">
        <v>2.0</v>
      </c>
      <c r="J2254" s="11" t="str">
        <f>IF(D2254&lt;&gt;"",VLOOKUP(H2254,TABLEITEM,5,FALSE),"")</f>
        <v>EA</v>
      </c>
      <c r="K2254" s="12">
        <v>212.0</v>
      </c>
      <c r="L2254" s="13" t="str">
        <f>IF(D2254&lt;&gt;"",VLOOKUP(H2254,TABLEITEM,2,FALSE),"")</f>
        <v/>
      </c>
      <c r="M2254" s="13" t="str">
        <f>IF(D2254&lt;&gt;"",VLOOKUP(H2254,TABLEITEM,3,FALSE),"")</f>
        <v>สตัดเกลียวตลอด SUS 304 5/8" -11x1000</v>
      </c>
      <c r="N2254" s="14">
        <f>INSTOCK!$I2254*INSTOCK!$K2254</f>
        <v>424</v>
      </c>
      <c r="O2254" s="8" t="s">
        <v>3040</v>
      </c>
      <c r="P2254" s="4"/>
    </row>
    <row r="2255" ht="15.75" hidden="1" customHeight="1">
      <c r="B2255" s="8">
        <v>2574.0</v>
      </c>
      <c r="C2255" s="9">
        <v>43111.0</v>
      </c>
      <c r="D2255" s="6" t="s">
        <v>3038</v>
      </c>
      <c r="E2255" s="4"/>
      <c r="F2255" s="8"/>
      <c r="G2255" s="4" t="s">
        <v>1870</v>
      </c>
      <c r="H2255" s="10" t="s">
        <v>3041</v>
      </c>
      <c r="I2255" s="10">
        <v>24.0</v>
      </c>
      <c r="J2255" s="11" t="str">
        <f>IF(D2255&lt;&gt;"",VLOOKUP(H2255,TABLEITEM,5,FALSE),"")</f>
        <v>EA</v>
      </c>
      <c r="K2255" s="12">
        <v>11.0</v>
      </c>
      <c r="L2255" s="13" t="str">
        <f>IF(D2255&lt;&gt;"",VLOOKUP(H2255,TABLEITEM,2,FALSE),"")</f>
        <v/>
      </c>
      <c r="M2255" s="13" t="str">
        <f>IF(D2255&lt;&gt;"",VLOOKUP(H2255,TABLEITEM,3,FALSE),"")</f>
        <v>หัวน๊อต SUS 5/8" 11x26x13 BSW</v>
      </c>
      <c r="N2255" s="14">
        <f>INSTOCK!$I2255*INSTOCK!$K2255</f>
        <v>264</v>
      </c>
      <c r="O2255" s="4" t="s">
        <v>3042</v>
      </c>
      <c r="P2255" s="4"/>
    </row>
    <row r="2256" ht="15.75" hidden="1" customHeight="1">
      <c r="B2256" s="8">
        <v>2575.0</v>
      </c>
      <c r="C2256" s="9">
        <v>43111.0</v>
      </c>
      <c r="D2256" s="6" t="s">
        <v>3043</v>
      </c>
      <c r="E2256" s="4"/>
      <c r="F2256" s="8" t="s">
        <v>3044</v>
      </c>
      <c r="G2256" s="4" t="s">
        <v>3045</v>
      </c>
      <c r="H2256" s="10" t="s">
        <v>3046</v>
      </c>
      <c r="I2256" s="10">
        <v>1.0</v>
      </c>
      <c r="J2256" s="11" t="str">
        <f>IF(D2256&lt;&gt;"",VLOOKUP(H2256,TABLEITEM,5,FALSE),"")</f>
        <v>LOT</v>
      </c>
      <c r="K2256" s="12">
        <v>30.0</v>
      </c>
      <c r="L2256" s="13" t="str">
        <f>IF(D2256&lt;&gt;"",VLOOKUP(H2256,TABLEITEM,2,FALSE),"")</f>
        <v/>
      </c>
      <c r="M2256" s="13" t="str">
        <f>IF(D2256&lt;&gt;"",VLOOKUP(H2256,TABLEITEM,3,FALSE),"")</f>
        <v>ค่าบริการเปลี่ยนไส้แบตเตอรี่ </v>
      </c>
      <c r="N2256" s="14">
        <f>INSTOCK!$I2256*INSTOCK!$K2256</f>
        <v>30</v>
      </c>
      <c r="O2256" s="4"/>
      <c r="P2256" s="4"/>
    </row>
    <row r="2257" ht="15.75" hidden="1" customHeight="1">
      <c r="B2257" s="8">
        <v>2576.0</v>
      </c>
      <c r="C2257" s="9">
        <v>43111.0</v>
      </c>
      <c r="D2257" s="6" t="s">
        <v>3043</v>
      </c>
      <c r="E2257" s="4"/>
      <c r="F2257" s="8" t="s">
        <v>3044</v>
      </c>
      <c r="G2257" s="4" t="s">
        <v>3045</v>
      </c>
      <c r="H2257" s="10" t="s">
        <v>3047</v>
      </c>
      <c r="I2257" s="10">
        <v>1.0</v>
      </c>
      <c r="J2257" s="11" t="str">
        <f>IF(D2257&lt;&gt;"",VLOOKUP(H2257,TABLEITEM,5,FALSE),"")</f>
        <v>EA</v>
      </c>
      <c r="K2257" s="12">
        <v>300.0</v>
      </c>
      <c r="L2257" s="13" t="str">
        <f>IF(D2257&lt;&gt;"",VLOOKUP(H2257,TABLEITEM,2,FALSE),"")</f>
        <v/>
      </c>
      <c r="M2257" s="13" t="str">
        <f>IF(D2257&lt;&gt;"",VLOOKUP(H2257,TABLEITEM,3,FALSE),"")</f>
        <v>แบต LITHUIM SAFTLS14500 AA</v>
      </c>
      <c r="N2257" s="14">
        <f>INSTOCK!$I2257*INSTOCK!$K2257</f>
        <v>300</v>
      </c>
      <c r="O2257" s="4"/>
      <c r="P2257" s="4"/>
    </row>
    <row r="2258" ht="15.75" hidden="1" customHeight="1">
      <c r="B2258" s="8">
        <v>2577.0</v>
      </c>
      <c r="C2258" s="9">
        <v>43111.0</v>
      </c>
      <c r="D2258" s="6" t="s">
        <v>3048</v>
      </c>
      <c r="E2258" s="4">
        <v>6.101000019E9</v>
      </c>
      <c r="F2258" s="8"/>
      <c r="G2258" s="4" t="s">
        <v>1070</v>
      </c>
      <c r="H2258" s="10" t="s">
        <v>3049</v>
      </c>
      <c r="I2258" s="10">
        <v>50.0</v>
      </c>
      <c r="J2258" s="11" t="str">
        <f>IF(D2258&lt;&gt;"",VLOOKUP(H2258,TABLEITEM,5,FALSE),"")</f>
        <v/>
      </c>
      <c r="K2258" s="12">
        <v>30.0</v>
      </c>
      <c r="L2258" s="13" t="str">
        <f>IF(D2258&lt;&gt;"",VLOOKUP(H2258,TABLEITEM,2,FALSE),"")</f>
        <v/>
      </c>
      <c r="M2258" s="13" t="str">
        <f>IF(D2258&lt;&gt;"",VLOOKUP(H2258,TABLEITEM,3,FALSE),"")</f>
        <v>SINGLE AIR HOSE 1/4 REF.H111 (สายลมเดี่ยว)</v>
      </c>
      <c r="N2258" s="14">
        <f>INSTOCK!$I2258*INSTOCK!$K2258</f>
        <v>1500</v>
      </c>
      <c r="O2258" s="4"/>
      <c r="P2258" s="4"/>
    </row>
    <row r="2259" ht="15.75" hidden="1" customHeight="1">
      <c r="B2259" s="8">
        <v>2578.0</v>
      </c>
      <c r="C2259" s="9">
        <v>43111.0</v>
      </c>
      <c r="D2259" s="6" t="s">
        <v>3050</v>
      </c>
      <c r="E2259" s="4">
        <v>6.012001594E9</v>
      </c>
      <c r="F2259" s="8"/>
      <c r="G2259" s="4" t="s">
        <v>2121</v>
      </c>
      <c r="H2259" s="10" t="s">
        <v>3051</v>
      </c>
      <c r="I2259" s="10">
        <v>150.0</v>
      </c>
      <c r="J2259" s="11" t="str">
        <f>IF(D2259&lt;&gt;"",VLOOKUP(H2259,TABLEITEM,5,FALSE),"")</f>
        <v>EA</v>
      </c>
      <c r="K2259" s="12">
        <v>65.0</v>
      </c>
      <c r="L2259" s="13" t="str">
        <f>IF(D2259&lt;&gt;"",VLOOKUP(H2259,TABLEITEM,2,FALSE),"")</f>
        <v/>
      </c>
      <c r="M2259" s="13" t="str">
        <f>IF(D2259&lt;&gt;"",VLOOKUP(H2259,TABLEITEM,3,FALSE),"")</f>
        <v>สตัดเกลียวสแตนเลส 2 ข้าง M8x245</v>
      </c>
      <c r="N2259" s="14">
        <f>INSTOCK!$I2259*INSTOCK!$K2259</f>
        <v>9750</v>
      </c>
      <c r="O2259" s="4"/>
      <c r="P2259" s="4"/>
    </row>
    <row r="2260" ht="15.75" hidden="1" customHeight="1">
      <c r="B2260" s="8">
        <v>2579.0</v>
      </c>
      <c r="C2260" s="9">
        <v>43110.0</v>
      </c>
      <c r="D2260" s="6" t="s">
        <v>3052</v>
      </c>
      <c r="E2260" s="4">
        <v>6.101000026E9</v>
      </c>
      <c r="F2260" s="8" t="s">
        <v>3053</v>
      </c>
      <c r="G2260" s="4" t="s">
        <v>3054</v>
      </c>
      <c r="H2260" s="10" t="s">
        <v>3055</v>
      </c>
      <c r="I2260" s="10">
        <v>5.0</v>
      </c>
      <c r="J2260" s="11" t="str">
        <f>IF(D2260&lt;&gt;"",VLOOKUP(H2260,TABLEITEM,5,FALSE),"")</f>
        <v>EA</v>
      </c>
      <c r="K2260" s="12">
        <v>410.0</v>
      </c>
      <c r="L2260" s="13" t="str">
        <f>IF(D2260&lt;&gt;"",VLOOKUP(H2260,TABLEITEM,2,FALSE),"")</f>
        <v/>
      </c>
      <c r="M2260" s="13" t="str">
        <f>IF(D2260&lt;&gt;"",VLOOKUP(H2260,TABLEITEM,3,FALSE),"")</f>
        <v>วาล์วโซลินอยด์ 1/4"</v>
      </c>
      <c r="N2260" s="14">
        <f>INSTOCK!$I2260*INSTOCK!$K2260</f>
        <v>2050</v>
      </c>
      <c r="O2260" s="4"/>
      <c r="P2260" s="4"/>
    </row>
    <row r="2261" ht="15.75" hidden="1" customHeight="1">
      <c r="B2261" s="8">
        <v>2580.0</v>
      </c>
      <c r="C2261" s="9">
        <v>43110.0</v>
      </c>
      <c r="D2261" s="6" t="s">
        <v>3052</v>
      </c>
      <c r="E2261" s="4">
        <v>6.101000026E9</v>
      </c>
      <c r="F2261" s="8" t="s">
        <v>3053</v>
      </c>
      <c r="G2261" s="4" t="s">
        <v>3054</v>
      </c>
      <c r="H2261" s="10" t="s">
        <v>3056</v>
      </c>
      <c r="I2261" s="10">
        <v>3.0</v>
      </c>
      <c r="J2261" s="11" t="str">
        <f>IF(D2261&lt;&gt;"",VLOOKUP(H2261,TABLEITEM,5,FALSE),"")</f>
        <v>EA</v>
      </c>
      <c r="K2261" s="12">
        <v>1650.0</v>
      </c>
      <c r="L2261" s="13" t="str">
        <f>IF(D2261&lt;&gt;"",VLOOKUP(H2261,TABLEITEM,2,FALSE),"")</f>
        <v/>
      </c>
      <c r="M2261" s="13" t="str">
        <f>IF(D2261&lt;&gt;"",VLOOKUP(H2261,TABLEITEM,3,FALSE),"")</f>
        <v>เครื่องจุดไฟ 3ซีรี่ 7สาย</v>
      </c>
      <c r="N2261" s="14">
        <f>INSTOCK!$I2261*INSTOCK!$K2261</f>
        <v>4950</v>
      </c>
      <c r="O2261" s="4"/>
      <c r="P2261" s="4"/>
    </row>
    <row r="2262" ht="15.75" hidden="1" customHeight="1">
      <c r="B2262" s="8">
        <v>2581.0</v>
      </c>
      <c r="C2262" s="9">
        <v>43109.0</v>
      </c>
      <c r="D2262" s="6" t="s">
        <v>3057</v>
      </c>
      <c r="E2262" s="4"/>
      <c r="F2262" s="8" t="s">
        <v>2449</v>
      </c>
      <c r="G2262" s="4" t="s">
        <v>3058</v>
      </c>
      <c r="H2262" s="10" t="s">
        <v>3059</v>
      </c>
      <c r="I2262" s="10">
        <v>1.0</v>
      </c>
      <c r="J2262" s="11" t="str">
        <f>IF(D2262&lt;&gt;"",VLOOKUP(H2262,TABLEITEM,5,FALSE),"")</f>
        <v>คู่</v>
      </c>
      <c r="K2262" s="12">
        <v>500.0</v>
      </c>
      <c r="L2262" s="13" t="str">
        <f>IF(D2262&lt;&gt;"",VLOOKUP(H2262,TABLEITEM,2,FALSE),"")</f>
        <v/>
      </c>
      <c r="M2262" s="13" t="str">
        <f>IF(D2262&lt;&gt;"",VLOOKUP(H2262,TABLEITEM,3,FALSE),"")</f>
        <v>รองเท้า เซฟตี้ PERCH รุ่น INOV SIZE 40</v>
      </c>
      <c r="N2262" s="14">
        <f>INSTOCK!$I2262*INSTOCK!$K2262</f>
        <v>500</v>
      </c>
      <c r="O2262" s="4"/>
      <c r="P2262" s="4"/>
    </row>
    <row r="2263" ht="15.75" hidden="1" customHeight="1">
      <c r="B2263" s="8">
        <v>2582.0</v>
      </c>
      <c r="C2263" s="9">
        <v>43109.0</v>
      </c>
      <c r="D2263" s="6">
        <v>2.0180100135E10</v>
      </c>
      <c r="E2263" s="4">
        <v>6.101000013E9</v>
      </c>
      <c r="F2263" s="8"/>
      <c r="G2263" s="4" t="s">
        <v>2460</v>
      </c>
      <c r="H2263" s="10" t="s">
        <v>3060</v>
      </c>
      <c r="I2263" s="10">
        <v>2.0</v>
      </c>
      <c r="J2263" s="11" t="str">
        <f>IF(D2263&lt;&gt;"",VLOOKUP(H2263,TABLEITEM,5,FALSE),"")</f>
        <v/>
      </c>
      <c r="K2263" s="12">
        <v>1672.5</v>
      </c>
      <c r="L2263" s="13" t="str">
        <f>IF(D2263&lt;&gt;"",VLOOKUP(H2263,TABLEITEM,2,FALSE),"")</f>
        <v/>
      </c>
      <c r="M2263" s="13" t="str">
        <f>IF(D2263&lt;&gt;"",VLOOKUP(H2263,TABLEITEM,3,FALSE),"")</f>
        <v>CARTRIDGE GREASE(MSDS 700ML) CODE 74450994 DRAWING AL2-7</v>
      </c>
      <c r="N2263" s="14">
        <f>INSTOCK!$I2263*INSTOCK!$K2263</f>
        <v>3345</v>
      </c>
      <c r="O2263" s="4" t="s">
        <v>3061</v>
      </c>
      <c r="P2263" s="4"/>
    </row>
    <row r="2264" ht="15.75" hidden="1" customHeight="1">
      <c r="B2264" s="8">
        <v>2583.0</v>
      </c>
      <c r="C2264" s="9">
        <v>43109.0</v>
      </c>
      <c r="D2264" s="6" t="s">
        <v>3062</v>
      </c>
      <c r="E2264" s="4">
        <v>6.101000034E9</v>
      </c>
      <c r="F2264" s="8" t="s">
        <v>1989</v>
      </c>
      <c r="G2264" s="4" t="s">
        <v>2014</v>
      </c>
      <c r="H2264" s="10" t="s">
        <v>3063</v>
      </c>
      <c r="I2264" s="10">
        <v>1.0</v>
      </c>
      <c r="J2264" s="11" t="str">
        <f>IF(D2264&lt;&gt;"",VLOOKUP(H2264,TABLEITEM,5,FALSE),"")</f>
        <v>EA</v>
      </c>
      <c r="K2264" s="12">
        <v>1028.04</v>
      </c>
      <c r="L2264" s="13" t="str">
        <f>IF(D2264&lt;&gt;"",VLOOKUP(H2264,TABLEITEM,2,FALSE),"")</f>
        <v/>
      </c>
      <c r="M2264" s="13" t="str">
        <f>IF(D2264&lt;&gt;"",VLOOKUP(H2264,TABLEITEM,3,FALSE),"")</f>
        <v>ตลับหมึกโทนเนอร์ โคแมกซ์ TN-2280 ดำ</v>
      </c>
      <c r="N2264" s="14">
        <f>INSTOCK!$I2264*INSTOCK!$K2264</f>
        <v>1028.04</v>
      </c>
      <c r="O2264" s="4"/>
      <c r="P2264" s="4"/>
    </row>
    <row r="2265" ht="15.75" hidden="1" customHeight="1">
      <c r="B2265" s="8">
        <v>2584.0</v>
      </c>
      <c r="C2265" s="9">
        <v>43109.0</v>
      </c>
      <c r="D2265" s="6" t="s">
        <v>3062</v>
      </c>
      <c r="E2265" s="4">
        <v>6.101000034E9</v>
      </c>
      <c r="F2265" s="8" t="s">
        <v>1989</v>
      </c>
      <c r="G2265" s="4" t="s">
        <v>2014</v>
      </c>
      <c r="H2265" s="10" t="s">
        <v>3064</v>
      </c>
      <c r="I2265" s="10">
        <v>1.0</v>
      </c>
      <c r="J2265" s="11" t="str">
        <f>IF(D2265&lt;&gt;"",VLOOKUP(H2265,TABLEITEM,5,FALSE),"")</f>
        <v>EA</v>
      </c>
      <c r="K2265" s="12">
        <v>1859.81</v>
      </c>
      <c r="L2265" s="13" t="str">
        <f>IF(D2265&lt;&gt;"",VLOOKUP(H2265,TABLEITEM,2,FALSE),"")</f>
        <v/>
      </c>
      <c r="M2265" s="13" t="str">
        <f>IF(D2265&lt;&gt;"",VLOOKUP(H2265,TABLEITEM,3,FALSE),"")</f>
        <v>ตลับลูกดรัม BROTHER DR-2255</v>
      </c>
      <c r="N2265" s="14">
        <f>INSTOCK!$I2265*INSTOCK!$K2265</f>
        <v>1859.81</v>
      </c>
      <c r="O2265" s="4"/>
      <c r="P2265" s="4"/>
    </row>
    <row r="2266" ht="15.75" hidden="1" customHeight="1">
      <c r="B2266" s="8">
        <v>2585.0</v>
      </c>
      <c r="C2266" s="9">
        <v>43109.0</v>
      </c>
      <c r="D2266" s="6" t="s">
        <v>3062</v>
      </c>
      <c r="E2266" s="4">
        <v>6.101000034E9</v>
      </c>
      <c r="F2266" s="8" t="s">
        <v>1989</v>
      </c>
      <c r="G2266" s="4" t="s">
        <v>2014</v>
      </c>
      <c r="H2266" s="10" t="s">
        <v>3065</v>
      </c>
      <c r="I2266" s="10">
        <v>2.0</v>
      </c>
      <c r="J2266" s="11" t="str">
        <f>IF(D2266&lt;&gt;"",VLOOKUP(H2266,TABLEITEM,5,FALSE),"")</f>
        <v>PACK</v>
      </c>
      <c r="K2266" s="12">
        <v>570.09</v>
      </c>
      <c r="L2266" s="13" t="str">
        <f>IF(D2266&lt;&gt;"",VLOOKUP(H2266,TABLEITEM,2,FALSE),"")</f>
        <v/>
      </c>
      <c r="M2266" s="13" t="str">
        <f>IF(D2266&lt;&gt;"",VLOOKUP(H2266,TABLEITEM,3,FALSE),"")</f>
        <v>กระดาษต่อเนื่องเคมีขาว 9x5.5" ชั้น IQ</v>
      </c>
      <c r="N2266" s="14">
        <f>INSTOCK!$I2266*INSTOCK!$K2266</f>
        <v>1140.18</v>
      </c>
      <c r="O2266" s="4"/>
      <c r="P2266" s="4"/>
    </row>
    <row r="2267" ht="15.75" hidden="1" customHeight="1">
      <c r="B2267" s="8">
        <v>2586.0</v>
      </c>
      <c r="C2267" s="9">
        <v>43109.0</v>
      </c>
      <c r="D2267" s="6" t="s">
        <v>3066</v>
      </c>
      <c r="E2267" s="4">
        <v>6.012001556E9</v>
      </c>
      <c r="F2267" s="8" t="s">
        <v>604</v>
      </c>
      <c r="G2267" s="4" t="s">
        <v>1777</v>
      </c>
      <c r="H2267" s="10" t="s">
        <v>2395</v>
      </c>
      <c r="I2267" s="10">
        <v>20000.0</v>
      </c>
      <c r="J2267" s="11" t="str">
        <f>IF(D2267&lt;&gt;"",VLOOKUP(H2267,TABLEITEM,5,FALSE),"")</f>
        <v>EA</v>
      </c>
      <c r="K2267" s="12">
        <v>0.99</v>
      </c>
      <c r="L2267" s="13" t="str">
        <f>IF(D2267&lt;&gt;"",VLOOKUP(H2267,TABLEITEM,2,FALSE),"")</f>
        <v/>
      </c>
      <c r="M2267" s="13" t="str">
        <f>IF(D2267&lt;&gt;"",VLOOKUP(H2267,TABLEITEM,3,FALSE),"")</f>
        <v>สกรูหัวเหลี่ยมชุบขาว M 6x10</v>
      </c>
      <c r="N2267" s="14">
        <f>INSTOCK!$I2267*INSTOCK!$K2267</f>
        <v>19800</v>
      </c>
      <c r="O2267" s="4" t="s">
        <v>1857</v>
      </c>
      <c r="P2267" s="4"/>
    </row>
    <row r="2268" ht="15.75" hidden="1" customHeight="1">
      <c r="B2268" s="8">
        <v>2587.0</v>
      </c>
      <c r="C2268" s="9">
        <v>43109.0</v>
      </c>
      <c r="D2268" s="6" t="s">
        <v>3067</v>
      </c>
      <c r="E2268" s="4">
        <v>6.101000021E9</v>
      </c>
      <c r="F2268" s="8" t="s">
        <v>604</v>
      </c>
      <c r="G2268" s="4" t="s">
        <v>1946</v>
      </c>
      <c r="H2268" s="10" t="s">
        <v>1947</v>
      </c>
      <c r="I2268" s="10">
        <v>86.0</v>
      </c>
      <c r="J2268" s="11" t="str">
        <f>IF(D2268&lt;&gt;"",VLOOKUP(H2268,TABLEITEM,5,FALSE),"")</f>
        <v>KG.</v>
      </c>
      <c r="K2268" s="12">
        <v>18.0</v>
      </c>
      <c r="L2268" s="13" t="str">
        <f>IF(D2268&lt;&gt;"",VLOOKUP(H2268,TABLEITEM,2,FALSE),"")</f>
        <v/>
      </c>
      <c r="M2268" s="13" t="str">
        <f>IF(D2268&lt;&gt;"",VLOOKUP(H2268,TABLEITEM,3,FALSE),"")</f>
        <v>กระดาษลูกฟูก 48"เกรด A</v>
      </c>
      <c r="N2268" s="14">
        <f>INSTOCK!$I2268*INSTOCK!$K2268</f>
        <v>1548</v>
      </c>
      <c r="O2268" s="4"/>
      <c r="P2268" s="4"/>
    </row>
    <row r="2269" ht="15.75" hidden="1" customHeight="1">
      <c r="B2269" s="8">
        <v>2588.0</v>
      </c>
      <c r="C2269" s="9">
        <v>43109.0</v>
      </c>
      <c r="D2269" s="6">
        <v>60886.0</v>
      </c>
      <c r="E2269" s="4">
        <v>6.012001585E9</v>
      </c>
      <c r="F2269" s="8" t="s">
        <v>604</v>
      </c>
      <c r="G2269" s="4" t="s">
        <v>1875</v>
      </c>
      <c r="H2269" s="10" t="s">
        <v>1876</v>
      </c>
      <c r="I2269" s="10">
        <v>10.0</v>
      </c>
      <c r="J2269" s="11" t="str">
        <f>IF(D2269&lt;&gt;"",VLOOKUP(H2269,TABLEITEM,5,FALSE),"")</f>
        <v>EA</v>
      </c>
      <c r="K2269" s="12">
        <v>1640.0</v>
      </c>
      <c r="L2269" s="13" t="str">
        <f>IF(D2269&lt;&gt;"",VLOOKUP(H2269,TABLEITEM,2,FALSE),"")</f>
        <v/>
      </c>
      <c r="M2269" s="13" t="str">
        <f>IF(D2269&lt;&gt;"",VLOOKUP(H2269,TABLEITEM,3,FALSE),"")</f>
        <v>ใบเลื่อยสายพาน AMADA SGLB 27x0.9x3660x6/10</v>
      </c>
      <c r="N2269" s="14">
        <f>INSTOCK!$I2269*INSTOCK!$K2269</f>
        <v>16400</v>
      </c>
      <c r="O2269" s="4"/>
      <c r="P2269" s="4"/>
    </row>
    <row r="2270" ht="15.75" hidden="1" customHeight="1">
      <c r="B2270" s="8">
        <v>2589.0</v>
      </c>
      <c r="C2270" s="9">
        <v>43108.0</v>
      </c>
      <c r="D2270" s="6" t="s">
        <v>3068</v>
      </c>
      <c r="E2270" s="4">
        <v>6.010001219E9</v>
      </c>
      <c r="F2270" s="8" t="s">
        <v>604</v>
      </c>
      <c r="G2270" s="4" t="s">
        <v>1777</v>
      </c>
      <c r="H2270" s="10" t="s">
        <v>2395</v>
      </c>
      <c r="I2270" s="10">
        <v>7500.0</v>
      </c>
      <c r="J2270" s="11" t="str">
        <f>IF(D2270&lt;&gt;"",VLOOKUP(H2270,TABLEITEM,5,FALSE),"")</f>
        <v>EA</v>
      </c>
      <c r="K2270" s="12">
        <v>0.99</v>
      </c>
      <c r="L2270" s="13" t="str">
        <f>IF(D2270&lt;&gt;"",VLOOKUP(H2270,TABLEITEM,2,FALSE),"")</f>
        <v/>
      </c>
      <c r="M2270" s="13" t="str">
        <f>IF(D2270&lt;&gt;"",VLOOKUP(H2270,TABLEITEM,3,FALSE),"")</f>
        <v>สกรูหัวเหลี่ยมชุบขาว M 6x10</v>
      </c>
      <c r="N2270" s="14">
        <f>INSTOCK!$I2270*INSTOCK!$K2270</f>
        <v>7425</v>
      </c>
      <c r="O2270" s="4" t="s">
        <v>1857</v>
      </c>
      <c r="P2270" s="4"/>
    </row>
    <row r="2271" ht="15.75" hidden="1" customHeight="1">
      <c r="B2271" s="8">
        <v>2590.0</v>
      </c>
      <c r="C2271" s="9">
        <v>43108.0</v>
      </c>
      <c r="D2271" s="6">
        <v>7958.0</v>
      </c>
      <c r="E2271" s="4"/>
      <c r="F2271" s="8"/>
      <c r="G2271" s="4" t="s">
        <v>2528</v>
      </c>
      <c r="H2271" s="10" t="s">
        <v>2529</v>
      </c>
      <c r="I2271" s="10">
        <v>240.0</v>
      </c>
      <c r="J2271" s="11" t="str">
        <f>IF(D2271&lt;&gt;"",VLOOKUP(H2271,TABLEITEM,5,FALSE),"")</f>
        <v>KG.</v>
      </c>
      <c r="K2271" s="12">
        <v>15.0</v>
      </c>
      <c r="L2271" s="13" t="str">
        <f>IF(D2271&lt;&gt;"",VLOOKUP(H2271,TABLEITEM,2,FALSE),"")</f>
        <v/>
      </c>
      <c r="M2271" s="13" t="str">
        <f>IF(D2271&lt;&gt;"",VLOOKUP(H2271,TABLEITEM,3,FALSE),"")</f>
        <v>งานชุบ HOT DIP</v>
      </c>
      <c r="N2271" s="14">
        <f>INSTOCK!$I2271*INSTOCK!$K2271</f>
        <v>3600</v>
      </c>
      <c r="O2271" s="4" t="s">
        <v>3069</v>
      </c>
      <c r="P2271" s="4"/>
    </row>
    <row r="2272" ht="15.75" hidden="1" customHeight="1">
      <c r="B2272" s="8">
        <v>2591.0</v>
      </c>
      <c r="C2272" s="9">
        <v>43108.0</v>
      </c>
      <c r="D2272" s="6">
        <v>7958.0</v>
      </c>
      <c r="E2272" s="4"/>
      <c r="F2272" s="8"/>
      <c r="G2272" s="4" t="s">
        <v>2528</v>
      </c>
      <c r="H2272" s="10" t="s">
        <v>2529</v>
      </c>
      <c r="I2272" s="10">
        <v>20.0</v>
      </c>
      <c r="J2272" s="11" t="str">
        <f>IF(D2272&lt;&gt;"",VLOOKUP(H2272,TABLEITEM,5,FALSE),"")</f>
        <v>KG.</v>
      </c>
      <c r="K2272" s="12">
        <v>13.0</v>
      </c>
      <c r="L2272" s="13" t="str">
        <f>IF(D2272&lt;&gt;"",VLOOKUP(H2272,TABLEITEM,2,FALSE),"")</f>
        <v/>
      </c>
      <c r="M2272" s="13" t="str">
        <f>IF(D2272&lt;&gt;"",VLOOKUP(H2272,TABLEITEM,3,FALSE),"")</f>
        <v>งานชุบ HOT DIP</v>
      </c>
      <c r="N2272" s="14">
        <f>INSTOCK!$I2272*INSTOCK!$K2272</f>
        <v>260</v>
      </c>
      <c r="O2272" s="4" t="s">
        <v>3070</v>
      </c>
      <c r="P2272" s="4"/>
    </row>
    <row r="2273" ht="15.75" hidden="1" customHeight="1">
      <c r="B2273" s="8">
        <v>2592.0</v>
      </c>
      <c r="C2273" s="9">
        <v>43108.0</v>
      </c>
      <c r="D2273" s="6" t="s">
        <v>3071</v>
      </c>
      <c r="E2273" s="4">
        <v>6.012001619E9</v>
      </c>
      <c r="F2273" s="8"/>
      <c r="G2273" s="4" t="s">
        <v>965</v>
      </c>
      <c r="H2273" s="10" t="s">
        <v>3072</v>
      </c>
      <c r="I2273" s="10">
        <v>8.0</v>
      </c>
      <c r="J2273" s="11" t="str">
        <f>IF(D2273&lt;&gt;"",VLOOKUP(H2273,TABLEITEM,5,FALSE),"")</f>
        <v>EA</v>
      </c>
      <c r="K2273" s="12">
        <v>20.0</v>
      </c>
      <c r="L2273" s="13" t="str">
        <f>IF(D2273&lt;&gt;"",VLOOKUP(H2273,TABLEITEM,2,FALSE),"")</f>
        <v/>
      </c>
      <c r="M2273" s="13" t="str">
        <f>IF(D2273&lt;&gt;"",VLOOKUP(H2273,TABLEITEM,3,FALSE),"")</f>
        <v>พุ๊กตะปู 5/16"</v>
      </c>
      <c r="N2273" s="14">
        <f>INSTOCK!$I2273*INSTOCK!$K2273</f>
        <v>160</v>
      </c>
      <c r="O2273" s="4"/>
      <c r="P2273" s="4"/>
    </row>
    <row r="2274" ht="15.75" hidden="1" customHeight="1">
      <c r="B2274" s="8">
        <v>2593.0</v>
      </c>
      <c r="C2274" s="9">
        <v>43108.0</v>
      </c>
      <c r="D2274" s="6" t="s">
        <v>3073</v>
      </c>
      <c r="E2274" s="4">
        <v>6.012001609E9</v>
      </c>
      <c r="F2274" s="8"/>
      <c r="G2274" s="4" t="s">
        <v>965</v>
      </c>
      <c r="H2274" s="10" t="s">
        <v>3074</v>
      </c>
      <c r="I2274" s="10">
        <v>1.0</v>
      </c>
      <c r="J2274" s="11" t="str">
        <f>IF(D2274&lt;&gt;"",VLOOKUP(H2274,TABLEITEM,5,FALSE),"")</f>
        <v>EA</v>
      </c>
      <c r="K2274" s="12">
        <v>500.0</v>
      </c>
      <c r="L2274" s="13" t="str">
        <f>IF(D2274&lt;&gt;"",VLOOKUP(H2274,TABLEITEM,2,FALSE),"")</f>
        <v/>
      </c>
      <c r="M2274" s="13" t="str">
        <f>IF(D2274&lt;&gt;"",VLOOKUP(H2274,TABLEITEM,3,FALSE),"")</f>
        <v>สายโทรศัพท์ 4ไส้</v>
      </c>
      <c r="N2274" s="14">
        <f>INSTOCK!$I2274*INSTOCK!$K2274</f>
        <v>500</v>
      </c>
      <c r="O2274" s="4"/>
      <c r="P2274" s="4"/>
    </row>
    <row r="2275" ht="15.75" hidden="1" customHeight="1">
      <c r="B2275" s="8">
        <v>2594.0</v>
      </c>
      <c r="C2275" s="9">
        <v>43106.0</v>
      </c>
      <c r="D2275" s="6" t="s">
        <v>3075</v>
      </c>
      <c r="E2275" s="4">
        <v>6.012001621E9</v>
      </c>
      <c r="F2275" s="8"/>
      <c r="G2275" s="4" t="s">
        <v>3076</v>
      </c>
      <c r="H2275" s="10" t="s">
        <v>3077</v>
      </c>
      <c r="I2275" s="10">
        <v>10.0</v>
      </c>
      <c r="J2275" s="11" t="str">
        <f>IF(D2275&lt;&gt;"",VLOOKUP(H2275,TABLEITEM,5,FALSE),"")</f>
        <v>EA</v>
      </c>
      <c r="K2275" s="12">
        <v>150.0</v>
      </c>
      <c r="L2275" s="13" t="str">
        <f>IF(D2275&lt;&gt;"",VLOOKUP(H2275,TABLEITEM,2,FALSE),"")</f>
        <v/>
      </c>
      <c r="M2275" s="13" t="str">
        <f>IF(D2275&lt;&gt;"",VLOOKUP(H2275,TABLEITEM,3,FALSE),"")</f>
        <v>HOSE CONNECTION </v>
      </c>
      <c r="N2275" s="14">
        <f>INSTOCK!$I2275*INSTOCK!$K2275</f>
        <v>1500</v>
      </c>
      <c r="O2275" s="4"/>
      <c r="P2275" s="4"/>
    </row>
    <row r="2276" ht="15.75" hidden="1" customHeight="1">
      <c r="B2276" s="8">
        <v>2595.0</v>
      </c>
      <c r="C2276" s="9">
        <v>43105.0</v>
      </c>
      <c r="D2276" s="6">
        <v>52233.0</v>
      </c>
      <c r="E2276" s="4"/>
      <c r="F2276" s="8" t="s">
        <v>3078</v>
      </c>
      <c r="G2276" s="4" t="s">
        <v>3029</v>
      </c>
      <c r="H2276" s="10" t="s">
        <v>3030</v>
      </c>
      <c r="I2276" s="10">
        <v>15.04</v>
      </c>
      <c r="J2276" s="11" t="str">
        <f>IF(D2276&lt;&gt;"",VLOOKUP(H2276,TABLEITEM,5,FALSE),"")</f>
        <v>LOT</v>
      </c>
      <c r="K2276" s="12">
        <v>55.0</v>
      </c>
      <c r="L2276" s="13" t="str">
        <f>IF(D2276&lt;&gt;"",VLOOKUP(H2276,TABLEITEM,2,FALSE),"")</f>
        <v/>
      </c>
      <c r="M2276" s="13" t="str">
        <f>IF(D2276&lt;&gt;"",VLOOKUP(H2276,TABLEITEM,3,FALSE),"")</f>
        <v>ค่าชุบ ดีบุกเงา</v>
      </c>
      <c r="N2276" s="14">
        <f>INSTOCK!$I2276*INSTOCK!$K2276</f>
        <v>827.2</v>
      </c>
      <c r="O2276" s="4"/>
      <c r="P2276" s="4"/>
    </row>
    <row r="2277" ht="15.75" hidden="1" customHeight="1">
      <c r="B2277" s="8">
        <v>2596.0</v>
      </c>
      <c r="C2277" s="9">
        <v>43105.0</v>
      </c>
      <c r="D2277" s="6" t="s">
        <v>3079</v>
      </c>
      <c r="E2277" s="4">
        <v>6.10100001E9</v>
      </c>
      <c r="F2277" s="8" t="s">
        <v>604</v>
      </c>
      <c r="G2277" s="4" t="s">
        <v>965</v>
      </c>
      <c r="H2277" s="10" t="s">
        <v>60</v>
      </c>
      <c r="I2277" s="10">
        <v>5.0</v>
      </c>
      <c r="J2277" s="11" t="str">
        <f>IF(D2277&lt;&gt;"",VLOOKUP(H2277,TABLEITEM,5,FALSE),"")</f>
        <v>EA</v>
      </c>
      <c r="K2277" s="12">
        <v>65.0</v>
      </c>
      <c r="L2277" s="13" t="str">
        <f>IF(D2277&lt;&gt;"",VLOOKUP(H2277,TABLEITEM,2,FALSE),"")</f>
        <v/>
      </c>
      <c r="M2277" s="13" t="str">
        <f>IF(D2277&lt;&gt;"",VLOOKUP(H2277,TABLEITEM,3,FALSE),"")</f>
        <v>กาวยาง</v>
      </c>
      <c r="N2277" s="14">
        <f>INSTOCK!$I2277*INSTOCK!$K2277</f>
        <v>325</v>
      </c>
      <c r="O2277" s="4"/>
      <c r="P2277" s="4"/>
    </row>
    <row r="2278" ht="15.75" hidden="1" customHeight="1">
      <c r="B2278" s="8">
        <v>2597.0</v>
      </c>
      <c r="C2278" s="9">
        <v>43105.0</v>
      </c>
      <c r="D2278" s="6" t="s">
        <v>3079</v>
      </c>
      <c r="E2278" s="4">
        <v>6.10100001E9</v>
      </c>
      <c r="F2278" s="8" t="s">
        <v>604</v>
      </c>
      <c r="G2278" s="4" t="s">
        <v>965</v>
      </c>
      <c r="H2278" s="10" t="s">
        <v>2152</v>
      </c>
      <c r="I2278" s="10">
        <v>10.0</v>
      </c>
      <c r="J2278" s="11" t="str">
        <f>IF(D2278&lt;&gt;"",VLOOKUP(H2278,TABLEITEM,5,FALSE),"")</f>
        <v>EA</v>
      </c>
      <c r="K2278" s="12">
        <v>30.0</v>
      </c>
      <c r="L2278" s="13" t="str">
        <f>IF(D2278&lt;&gt;"",VLOOKUP(H2278,TABLEITEM,2,FALSE),"")</f>
        <v/>
      </c>
      <c r="M2278" s="13" t="str">
        <f>IF(D2278&lt;&gt;"",VLOOKUP(H2278,TABLEITEM,3,FALSE),"")</f>
        <v>ไม้กวาดดอกหญ้า</v>
      </c>
      <c r="N2278" s="14">
        <f>INSTOCK!$I2278*INSTOCK!$K2278</f>
        <v>300</v>
      </c>
      <c r="O2278" s="4"/>
      <c r="P2278" s="4"/>
    </row>
    <row r="2279" ht="15.75" hidden="1" customHeight="1">
      <c r="B2279" s="8">
        <v>2598.0</v>
      </c>
      <c r="C2279" s="9">
        <v>43105.0</v>
      </c>
      <c r="D2279" s="6" t="s">
        <v>3079</v>
      </c>
      <c r="E2279" s="4">
        <v>6.10100001E9</v>
      </c>
      <c r="F2279" s="8" t="s">
        <v>604</v>
      </c>
      <c r="G2279" s="4" t="s">
        <v>965</v>
      </c>
      <c r="H2279" s="10" t="s">
        <v>2950</v>
      </c>
      <c r="I2279" s="10">
        <v>10.0</v>
      </c>
      <c r="J2279" s="11" t="str">
        <f>IF(D2279&lt;&gt;"",VLOOKUP(H2279,TABLEITEM,5,FALSE),"")</f>
        <v>EA</v>
      </c>
      <c r="K2279" s="12">
        <v>35.0</v>
      </c>
      <c r="L2279" s="13" t="str">
        <f>IF(D2279&lt;&gt;"",VLOOKUP(H2279,TABLEITEM,2,FALSE),"")</f>
        <v/>
      </c>
      <c r="M2279" s="13" t="str">
        <f>IF(D2279&lt;&gt;"",VLOOKUP(H2279,TABLEITEM,3,FALSE),"")</f>
        <v>ไม้กวาดทางมะพร้าว</v>
      </c>
      <c r="N2279" s="14">
        <f>INSTOCK!$I2279*INSTOCK!$K2279</f>
        <v>350</v>
      </c>
      <c r="O2279" s="4"/>
      <c r="P2279" s="4"/>
    </row>
    <row r="2280" ht="15.75" hidden="1" customHeight="1">
      <c r="B2280" s="8">
        <v>2599.0</v>
      </c>
      <c r="C2280" s="9">
        <v>43104.0</v>
      </c>
      <c r="D2280" s="6">
        <v>6.10100727E8</v>
      </c>
      <c r="E2280" s="4">
        <v>6.101000012E9</v>
      </c>
      <c r="F2280" s="8"/>
      <c r="G2280" s="4" t="s">
        <v>1130</v>
      </c>
      <c r="H2280" s="10" t="s">
        <v>338</v>
      </c>
      <c r="I2280" s="10">
        <v>1000.0</v>
      </c>
      <c r="J2280" s="11" t="str">
        <f>IF(D2280&lt;&gt;"",VLOOKUP(H2280,TABLEITEM,5,FALSE),"")</f>
        <v>EA</v>
      </c>
      <c r="K2280" s="12">
        <v>2.625</v>
      </c>
      <c r="L2280" s="13" t="str">
        <f>IF(D2280&lt;&gt;"",VLOOKUP(H2280,TABLEITEM,2,FALSE),"")</f>
        <v/>
      </c>
      <c r="M2280" s="13" t="str">
        <f>IF(D2280&lt;&gt;"",VLOOKUP(H2280,TABLEITEM,3,FALSE),"")</f>
        <v>หางปลาหัวเสียบก้านไม้ขีด 218-FD สีน้ำเงิน</v>
      </c>
      <c r="N2280" s="14">
        <f>INSTOCK!$I2280*INSTOCK!$K2280</f>
        <v>2625</v>
      </c>
      <c r="O2280" s="4" t="s">
        <v>3080</v>
      </c>
      <c r="P2280" s="4"/>
    </row>
    <row r="2281" ht="15.75" hidden="1" customHeight="1">
      <c r="B2281" s="8">
        <v>2600.0</v>
      </c>
      <c r="C2281" s="9">
        <v>43104.0</v>
      </c>
      <c r="D2281" s="6">
        <v>6.10100727E8</v>
      </c>
      <c r="E2281" s="4">
        <v>6.101000012E9</v>
      </c>
      <c r="F2281" s="8"/>
      <c r="G2281" s="4" t="s">
        <v>1130</v>
      </c>
      <c r="H2281" s="10" t="s">
        <v>350</v>
      </c>
      <c r="I2281" s="10">
        <v>1000.0</v>
      </c>
      <c r="J2281" s="11" t="str">
        <f>IF(D2281&lt;&gt;"",VLOOKUP(H2281,TABLEITEM,5,FALSE),"")</f>
        <v>EA</v>
      </c>
      <c r="K2281" s="12">
        <v>4.2</v>
      </c>
      <c r="L2281" s="13" t="str">
        <f>IF(D2281&lt;&gt;"",VLOOKUP(H2281,TABLEITEM,2,FALSE),"")</f>
        <v/>
      </c>
      <c r="M2281" s="13" t="str">
        <f>IF(D2281&lt;&gt;"",VLOOKUP(H2281,TABLEITEM,3,FALSE),"")</f>
        <v>หางปลาเสียบก้านไม้ขีด 518-FBเหลือง</v>
      </c>
      <c r="N2281" s="14">
        <f>INSTOCK!$I2281*INSTOCK!$K2281</f>
        <v>4200</v>
      </c>
      <c r="O2281" s="4" t="s">
        <v>3081</v>
      </c>
      <c r="P2281" s="4"/>
    </row>
    <row r="2282" ht="15.75" hidden="1" customHeight="1">
      <c r="B2282" s="8">
        <v>2601.0</v>
      </c>
      <c r="C2282" s="9">
        <v>43104.0</v>
      </c>
      <c r="D2282" s="6" t="s">
        <v>3082</v>
      </c>
      <c r="E2282" s="4">
        <v>6.012001632E9</v>
      </c>
      <c r="F2282" s="8" t="s">
        <v>1626</v>
      </c>
      <c r="G2282" s="4" t="s">
        <v>965</v>
      </c>
      <c r="H2282" s="10" t="s">
        <v>3083</v>
      </c>
      <c r="I2282" s="10">
        <v>1.0</v>
      </c>
      <c r="J2282" s="11" t="str">
        <f>IF(D2282&lt;&gt;"",VLOOKUP(H2282,TABLEITEM,5,FALSE),"")</f>
        <v>EA</v>
      </c>
      <c r="K2282" s="12">
        <v>5700.0</v>
      </c>
      <c r="L2282" s="13" t="str">
        <f>IF(D2282&lt;&gt;"",VLOOKUP(H2282,TABLEITEM,2,FALSE),"")</f>
        <v/>
      </c>
      <c r="M2282" s="13" t="str">
        <f>IF(D2282&lt;&gt;"",VLOOKUP(H2282,TABLEITEM,3,FALSE),"")</f>
        <v>สว่านโรตารี่ 2-26 DE</v>
      </c>
      <c r="N2282" s="14">
        <f>INSTOCK!$I2282*INSTOCK!$K2282</f>
        <v>5700</v>
      </c>
      <c r="O2282" s="4"/>
      <c r="P2282" s="4"/>
    </row>
    <row r="2283" ht="15.75" hidden="1" customHeight="1">
      <c r="B2283" s="8">
        <v>2602.0</v>
      </c>
      <c r="C2283" s="9">
        <v>43104.0</v>
      </c>
      <c r="D2283" s="6" t="s">
        <v>3084</v>
      </c>
      <c r="E2283" s="4" t="s">
        <v>3085</v>
      </c>
      <c r="F2283" s="8" t="s">
        <v>3086</v>
      </c>
      <c r="G2283" s="4" t="s">
        <v>965</v>
      </c>
      <c r="H2283" s="10" t="s">
        <v>3087</v>
      </c>
      <c r="I2283" s="10">
        <v>20.0</v>
      </c>
      <c r="J2283" s="11" t="str">
        <f>IF(D2283&lt;&gt;"",VLOOKUP(H2283,TABLEITEM,5,FALSE),"")</f>
        <v>EA</v>
      </c>
      <c r="K2283" s="12">
        <v>25.0</v>
      </c>
      <c r="L2283" s="13" t="str">
        <f>IF(D2283&lt;&gt;"",VLOOKUP(H2283,TABLEITEM,2,FALSE),"")</f>
        <v/>
      </c>
      <c r="M2283" s="13" t="str">
        <f>IF(D2283&lt;&gt;"",VLOOKUP(H2283,TABLEITEM,3,FALSE),"")</f>
        <v>พุ๊กตะปู 1/2"x3.5"</v>
      </c>
      <c r="N2283" s="14">
        <f>INSTOCK!$I2283*INSTOCK!$K2283</f>
        <v>500</v>
      </c>
      <c r="O2283" s="4"/>
      <c r="P2283" s="4"/>
    </row>
    <row r="2284" ht="15.75" hidden="1" customHeight="1">
      <c r="B2284" s="8">
        <v>2603.0</v>
      </c>
      <c r="C2284" s="9">
        <v>43104.0</v>
      </c>
      <c r="D2284" s="6" t="s">
        <v>3084</v>
      </c>
      <c r="E2284" s="4" t="s">
        <v>3085</v>
      </c>
      <c r="F2284" s="8" t="s">
        <v>3086</v>
      </c>
      <c r="G2284" s="4" t="s">
        <v>965</v>
      </c>
      <c r="H2284" s="10" t="s">
        <v>3088</v>
      </c>
      <c r="I2284" s="10">
        <v>3.0</v>
      </c>
      <c r="J2284" s="11" t="str">
        <f>IF(D2284&lt;&gt;"",VLOOKUP(H2284,TABLEITEM,5,FALSE),"")</f>
        <v>EA</v>
      </c>
      <c r="K2284" s="12">
        <v>16.0</v>
      </c>
      <c r="L2284" s="13" t="str">
        <f>IF(D2284&lt;&gt;"",VLOOKUP(H2284,TABLEITEM,2,FALSE),"")</f>
        <v/>
      </c>
      <c r="M2284" s="13" t="str">
        <f>IF(D2284&lt;&gt;"",VLOOKUP(H2284,TABLEITEM,3,FALSE),"")</f>
        <v>เชือกเอ็น</v>
      </c>
      <c r="N2284" s="14">
        <f>INSTOCK!$I2284*INSTOCK!$K2284</f>
        <v>48</v>
      </c>
      <c r="O2284" s="4"/>
      <c r="P2284" s="4"/>
    </row>
    <row r="2285" ht="15.75" hidden="1" customHeight="1">
      <c r="B2285" s="8">
        <v>2604.0</v>
      </c>
      <c r="C2285" s="9">
        <v>43104.0</v>
      </c>
      <c r="D2285" s="6" t="s">
        <v>3089</v>
      </c>
      <c r="E2285" s="4">
        <v>6.101000005E9</v>
      </c>
      <c r="F2285" s="8" t="s">
        <v>3090</v>
      </c>
      <c r="G2285" s="4" t="s">
        <v>965</v>
      </c>
      <c r="H2285" s="10" t="s">
        <v>3087</v>
      </c>
      <c r="I2285" s="10">
        <v>10.0</v>
      </c>
      <c r="J2285" s="11" t="str">
        <f>IF(D2285&lt;&gt;"",VLOOKUP(H2285,TABLEITEM,5,FALSE),"")</f>
        <v>EA</v>
      </c>
      <c r="K2285" s="12">
        <v>25.0</v>
      </c>
      <c r="L2285" s="13" t="str">
        <f>IF(D2285&lt;&gt;"",VLOOKUP(H2285,TABLEITEM,2,FALSE),"")</f>
        <v/>
      </c>
      <c r="M2285" s="13" t="str">
        <f>IF(D2285&lt;&gt;"",VLOOKUP(H2285,TABLEITEM,3,FALSE),"")</f>
        <v>พุ๊กตะปู 1/2"x3.5"</v>
      </c>
      <c r="N2285" s="14">
        <f>INSTOCK!$I2285*INSTOCK!$K2285</f>
        <v>250</v>
      </c>
      <c r="O2285" s="4"/>
      <c r="P2285" s="4"/>
    </row>
    <row r="2286" ht="15.75" hidden="1" customHeight="1">
      <c r="B2286" s="8">
        <v>2605.0</v>
      </c>
      <c r="C2286" s="9">
        <v>43104.0</v>
      </c>
      <c r="D2286" s="6" t="s">
        <v>3091</v>
      </c>
      <c r="E2286" s="4">
        <v>6.101000002E9</v>
      </c>
      <c r="F2286" s="8" t="s">
        <v>604</v>
      </c>
      <c r="G2286" s="4" t="s">
        <v>965</v>
      </c>
      <c r="H2286" s="10" t="s">
        <v>1618</v>
      </c>
      <c r="I2286" s="10">
        <v>36.0</v>
      </c>
      <c r="J2286" s="11" t="str">
        <f>IF(D2286&lt;&gt;"",VLOOKUP(H2286,TABLEITEM,5,FALSE),"")</f>
        <v>EA</v>
      </c>
      <c r="K2286" s="12">
        <v>160.0</v>
      </c>
      <c r="L2286" s="13" t="str">
        <f>IF(D2286&lt;&gt;"",VLOOKUP(H2286,TABLEITEM,2,FALSE),"")</f>
        <v/>
      </c>
      <c r="M2286" s="13" t="str">
        <f>IF(D2286&lt;&gt;"",VLOOKUP(H2286,TABLEITEM,3,FALSE),"")</f>
        <v>ตลับเมตร KDS 3.5M</v>
      </c>
      <c r="N2286" s="14">
        <f>INSTOCK!$I2286*INSTOCK!$K2286</f>
        <v>5760</v>
      </c>
      <c r="O2286" s="4"/>
      <c r="P2286" s="4"/>
    </row>
    <row r="2287" ht="15.75" hidden="1" customHeight="1">
      <c r="B2287" s="8">
        <v>2606.0</v>
      </c>
      <c r="C2287" s="9">
        <v>43103.0</v>
      </c>
      <c r="D2287" s="6" t="s">
        <v>3092</v>
      </c>
      <c r="E2287" s="4">
        <v>6.101000001E9</v>
      </c>
      <c r="F2287" s="8" t="s">
        <v>3093</v>
      </c>
      <c r="G2287" s="4" t="s">
        <v>1485</v>
      </c>
      <c r="H2287" s="10" t="s">
        <v>3094</v>
      </c>
      <c r="I2287" s="10">
        <v>1.0</v>
      </c>
      <c r="J2287" s="11" t="str">
        <f>IF(D2287&lt;&gt;"",VLOOKUP(H2287,TABLEITEM,5,FALSE),"")</f>
        <v>EA</v>
      </c>
      <c r="K2287" s="12">
        <v>1064.0</v>
      </c>
      <c r="L2287" s="13" t="str">
        <f>IF(D2287&lt;&gt;"",VLOOKUP(H2287,TABLEITEM,2,FALSE),"")</f>
        <v/>
      </c>
      <c r="M2287" s="13" t="str">
        <f>IF(D2287&lt;&gt;"",VLOOKUP(H2287,TABLEITEM,3,FALSE),"")</f>
        <v>MG EZC 100 7.5KA/400V 3P/3T 60A </v>
      </c>
      <c r="N2287" s="14">
        <f>INSTOCK!$I2287*INSTOCK!$K2287</f>
        <v>1064</v>
      </c>
      <c r="O2287" s="4"/>
      <c r="P2287" s="4"/>
    </row>
    <row r="2288" ht="15.75" hidden="1" customHeight="1">
      <c r="B2288" s="8">
        <v>2607.0</v>
      </c>
      <c r="C2288" s="9">
        <v>43103.0</v>
      </c>
      <c r="D2288" s="6" t="s">
        <v>3092</v>
      </c>
      <c r="E2288" s="4">
        <v>6.101000001E9</v>
      </c>
      <c r="F2288" s="8" t="s">
        <v>3093</v>
      </c>
      <c r="G2288" s="4" t="s">
        <v>1485</v>
      </c>
      <c r="H2288" s="10" t="s">
        <v>3095</v>
      </c>
      <c r="I2288" s="10">
        <v>1.0</v>
      </c>
      <c r="J2288" s="11" t="str">
        <f>IF(D2288&lt;&gt;"",VLOOKUP(H2288,TABLEITEM,5,FALSE),"")</f>
        <v>EA</v>
      </c>
      <c r="K2288" s="12">
        <v>2244.0</v>
      </c>
      <c r="L2288" s="13" t="str">
        <f>IF(D2288&lt;&gt;"",VLOOKUP(H2288,TABLEITEM,2,FALSE),"")</f>
        <v/>
      </c>
      <c r="M2288" s="13" t="str">
        <f>IF(D2288&lt;&gt;"",VLOOKUP(H2288,TABLEITEM,3,FALSE),"")</f>
        <v>TESYS D CONTACTOR 3P(3NO) AC-3 440V 50A 220VAC AC COIL</v>
      </c>
      <c r="N2288" s="14">
        <f>INSTOCK!$I2288*INSTOCK!$K2288</f>
        <v>2244</v>
      </c>
      <c r="O2288" s="4"/>
      <c r="P2288" s="4"/>
    </row>
    <row r="2289" ht="15.75" hidden="1" customHeight="1">
      <c r="B2289" s="8">
        <v>2608.0</v>
      </c>
      <c r="C2289" s="9">
        <v>43103.0</v>
      </c>
      <c r="D2289" s="6" t="s">
        <v>3092</v>
      </c>
      <c r="E2289" s="4">
        <v>6.101000001E9</v>
      </c>
      <c r="F2289" s="8" t="s">
        <v>3093</v>
      </c>
      <c r="G2289" s="4" t="s">
        <v>1485</v>
      </c>
      <c r="H2289" s="10" t="s">
        <v>3096</v>
      </c>
      <c r="I2289" s="10">
        <v>1.0</v>
      </c>
      <c r="J2289" s="11" t="str">
        <f>IF(D2289&lt;&gt;"",VLOOKUP(H2289,TABLEITEM,5,FALSE),"")</f>
        <v>EA</v>
      </c>
      <c r="K2289" s="12">
        <v>1346.4</v>
      </c>
      <c r="L2289" s="13" t="str">
        <f>IF(D2289&lt;&gt;"",VLOOKUP(H2289,TABLEITEM,2,FALSE),"")</f>
        <v/>
      </c>
      <c r="M2289" s="13" t="str">
        <f>IF(D2289&lt;&gt;"",VLOOKUP(H2289,TABLEITEM,3,FALSE),"")</f>
        <v>TESYS LRD THERMAL OVERLOAD RELAY 37-50A CLASS 10A</v>
      </c>
      <c r="N2289" s="14">
        <f>INSTOCK!$I2289*INSTOCK!$K2289</f>
        <v>1346.4</v>
      </c>
      <c r="O2289" s="4"/>
      <c r="P2289" s="4"/>
    </row>
    <row r="2290" ht="15.75" hidden="1" customHeight="1">
      <c r="B2290" s="8">
        <v>2609.0</v>
      </c>
      <c r="C2290" s="9">
        <v>43103.0</v>
      </c>
      <c r="D2290" s="6" t="s">
        <v>3092</v>
      </c>
      <c r="E2290" s="4">
        <v>6.101000001E9</v>
      </c>
      <c r="F2290" s="8" t="s">
        <v>3093</v>
      </c>
      <c r="G2290" s="4" t="s">
        <v>1485</v>
      </c>
      <c r="H2290" s="10" t="s">
        <v>2190</v>
      </c>
      <c r="I2290" s="10">
        <v>10.0</v>
      </c>
      <c r="J2290" s="11" t="str">
        <f>IF(D2290&lt;&gt;"",VLOOKUP(H2290,TABLEITEM,5,FALSE),"")</f>
        <v>EA</v>
      </c>
      <c r="K2290" s="12">
        <v>112.2</v>
      </c>
      <c r="L2290" s="13" t="str">
        <f>IF(D2290&lt;&gt;"",VLOOKUP(H2290,TABLEITEM,2,FALSE),"")</f>
        <v/>
      </c>
      <c r="M2290" s="13" t="str">
        <f>IF(D2290&lt;&gt;"",VLOOKUP(H2290,TABLEITEM,3,FALSE),"")</f>
        <v>SELECTOR SWITCH BLACK 2POSITIONS 1NO</v>
      </c>
      <c r="N2290" s="14">
        <f>INSTOCK!$I2290*INSTOCK!$K2290</f>
        <v>1122</v>
      </c>
      <c r="O2290" s="4"/>
      <c r="P2290" s="4"/>
    </row>
    <row r="2291" ht="15.75" hidden="1" customHeight="1">
      <c r="B2291" s="8">
        <v>2610.0</v>
      </c>
      <c r="C2291" s="9">
        <v>43103.0</v>
      </c>
      <c r="D2291" s="6" t="s">
        <v>3092</v>
      </c>
      <c r="E2291" s="4">
        <v>6.101000001E9</v>
      </c>
      <c r="F2291" s="8" t="s">
        <v>3093</v>
      </c>
      <c r="G2291" s="4" t="s">
        <v>1485</v>
      </c>
      <c r="H2291" s="10" t="s">
        <v>3097</v>
      </c>
      <c r="I2291" s="10">
        <v>1.0</v>
      </c>
      <c r="J2291" s="11" t="str">
        <f>IF(D2291&lt;&gt;"",VLOOKUP(H2291,TABLEITEM,5,FALSE),"")</f>
        <v>EA</v>
      </c>
      <c r="K2291" s="12">
        <v>1320.0</v>
      </c>
      <c r="L2291" s="13" t="str">
        <f>IF(D2291&lt;&gt;"",VLOOKUP(H2291,TABLEITEM,2,FALSE),"")</f>
        <v/>
      </c>
      <c r="M2291" s="13" t="str">
        <f>IF(D2291&lt;&gt;"",VLOOKUP(H2291,TABLEITEM,3,FALSE),"")</f>
        <v>STAR-DEL TA TIMER RELAY</v>
      </c>
      <c r="N2291" s="14">
        <f>INSTOCK!$I2291*INSTOCK!$K2291</f>
        <v>1320</v>
      </c>
      <c r="O2291" s="4"/>
      <c r="P2291" s="4"/>
    </row>
    <row r="2292" ht="15.75" hidden="1" customHeight="1">
      <c r="B2292" s="8">
        <v>2611.0</v>
      </c>
      <c r="C2292" s="9">
        <v>43159.0</v>
      </c>
      <c r="D2292" s="6" t="s">
        <v>3098</v>
      </c>
      <c r="E2292" s="4">
        <v>6.101000096E9</v>
      </c>
      <c r="F2292" s="8" t="s">
        <v>604</v>
      </c>
      <c r="G2292" s="4" t="s">
        <v>3099</v>
      </c>
      <c r="H2292" s="10" t="s">
        <v>2389</v>
      </c>
      <c r="I2292" s="10">
        <v>1000.0</v>
      </c>
      <c r="J2292" s="11" t="str">
        <f>IF(D2292&lt;&gt;"",VLOOKUP(H2292,TABLEITEM,5,FALSE),"")</f>
        <v>EA</v>
      </c>
      <c r="K2292" s="12">
        <v>10.3</v>
      </c>
      <c r="L2292" s="13" t="str">
        <f>IF(D2292&lt;&gt;"",VLOOKUP(H2292,TABLEITEM,2,FALSE),"")</f>
        <v/>
      </c>
      <c r="M2292" s="13" t="str">
        <f>IF(D2292&lt;&gt;"",VLOOKUP(H2292,TABLEITEM,3,FALSE),"")</f>
        <v>บานพับตู้ Knock Down รุ่นพับงอ</v>
      </c>
      <c r="N2292" s="14">
        <f>INSTOCK!$I2292*INSTOCK!$K2292</f>
        <v>10300</v>
      </c>
      <c r="O2292" s="4"/>
      <c r="P2292" s="4"/>
    </row>
    <row r="2293" ht="15.75" hidden="1" customHeight="1">
      <c r="B2293" s="8">
        <v>2612.0</v>
      </c>
      <c r="C2293" s="9">
        <v>43159.0</v>
      </c>
      <c r="D2293" s="6" t="s">
        <v>3100</v>
      </c>
      <c r="E2293" s="4"/>
      <c r="F2293" s="8" t="s">
        <v>633</v>
      </c>
      <c r="G2293" s="4" t="s">
        <v>2593</v>
      </c>
      <c r="H2293" s="10" t="s">
        <v>2594</v>
      </c>
      <c r="I2293" s="10">
        <v>5.0</v>
      </c>
      <c r="J2293" s="11" t="str">
        <f>IF(D2293&lt;&gt;"",VLOOKUP(H2293,TABLEITEM,5,FALSE),"")</f>
        <v>EA</v>
      </c>
      <c r="K2293" s="12">
        <v>500.0</v>
      </c>
      <c r="L2293" s="13" t="str">
        <f>IF(D2293&lt;&gt;"",VLOOKUP(H2293,TABLEITEM,2,FALSE),"")</f>
        <v/>
      </c>
      <c r="M2293" s="13" t="str">
        <f>IF(D2293&lt;&gt;"",VLOOKUP(H2293,TABLEITEM,3,FALSE),"")</f>
        <v>ทรายหยาบ</v>
      </c>
      <c r="N2293" s="14">
        <f>INSTOCK!$I2293*INSTOCK!$K2293</f>
        <v>2500</v>
      </c>
      <c r="O2293" s="4"/>
      <c r="P2293" s="4"/>
    </row>
    <row r="2294" ht="15.75" hidden="1" customHeight="1">
      <c r="B2294" s="8">
        <v>2613.0</v>
      </c>
      <c r="C2294" s="9">
        <v>43159.0</v>
      </c>
      <c r="D2294" s="6" t="s">
        <v>3100</v>
      </c>
      <c r="E2294" s="4"/>
      <c r="F2294" s="8" t="s">
        <v>633</v>
      </c>
      <c r="G2294" s="4" t="s">
        <v>2593</v>
      </c>
      <c r="H2294" s="10" t="s">
        <v>3101</v>
      </c>
      <c r="I2294" s="10">
        <v>600.0</v>
      </c>
      <c r="J2294" s="11" t="str">
        <f>IF(D2294&lt;&gt;"",VLOOKUP(H2294,TABLEITEM,5,FALSE),"")</f>
        <v>EA</v>
      </c>
      <c r="K2294" s="12">
        <v>7.5</v>
      </c>
      <c r="L2294" s="13" t="str">
        <f>IF(D2294&lt;&gt;"",VLOOKUP(H2294,TABLEITEM,2,FALSE),"")</f>
        <v/>
      </c>
      <c r="M2294" s="13" t="str">
        <f>IF(D2294&lt;&gt;"",VLOOKUP(H2294,TABLEITEM,3,FALSE),"")</f>
        <v>อิฐตัวหนอนแดง</v>
      </c>
      <c r="N2294" s="14">
        <f>INSTOCK!$I2294*INSTOCK!$K2294</f>
        <v>4500</v>
      </c>
      <c r="O2294" s="4"/>
      <c r="P2294" s="4"/>
    </row>
    <row r="2295" ht="15.75" hidden="1" customHeight="1">
      <c r="B2295" s="8">
        <v>2614.0</v>
      </c>
      <c r="C2295" s="9">
        <v>43159.0</v>
      </c>
      <c r="D2295" s="6">
        <v>610005.0</v>
      </c>
      <c r="E2295" s="4">
        <v>6.102000229E9</v>
      </c>
      <c r="F2295" s="8" t="s">
        <v>1989</v>
      </c>
      <c r="G2295" s="4" t="s">
        <v>2467</v>
      </c>
      <c r="H2295" s="10" t="s">
        <v>3102</v>
      </c>
      <c r="I2295" s="10">
        <v>5000.0</v>
      </c>
      <c r="J2295" s="11" t="str">
        <f>IF(D2295&lt;&gt;"",VLOOKUP(H2295,TABLEITEM,5,FALSE),"")</f>
        <v>ชุด</v>
      </c>
      <c r="K2295" s="12">
        <v>3.9</v>
      </c>
      <c r="L2295" s="13" t="str">
        <f>IF(D2295&lt;&gt;"",VLOOKUP(H2295,TABLEITEM,2,FALSE),"")</f>
        <v/>
      </c>
      <c r="M2295" s="13" t="str">
        <f>IF(D2295&lt;&gt;"",VLOOKUP(H2295,TABLEITEM,3,FALSE),"")</f>
        <v>แบบฟอร์มใบกำกับภาษี ขนาด 9.5",6ชั้น 1สี</v>
      </c>
      <c r="N2295" s="14">
        <f>INSTOCK!$I2295*INSTOCK!$K2295</f>
        <v>19500</v>
      </c>
      <c r="O2295" s="4"/>
      <c r="P2295" s="4"/>
    </row>
    <row r="2296" ht="15.75" hidden="1" customHeight="1">
      <c r="B2296" s="8">
        <v>2615.0</v>
      </c>
      <c r="C2296" s="9">
        <v>43158.0</v>
      </c>
      <c r="D2296" s="6">
        <v>609.0</v>
      </c>
      <c r="E2296" s="4">
        <v>6.102000183E9</v>
      </c>
      <c r="F2296" s="8" t="s">
        <v>604</v>
      </c>
      <c r="G2296" s="4" t="s">
        <v>2382</v>
      </c>
      <c r="H2296" s="10" t="s">
        <v>2383</v>
      </c>
      <c r="I2296" s="10">
        <v>384.0</v>
      </c>
      <c r="J2296" s="11" t="str">
        <f>IF(D2296&lt;&gt;"",VLOOKUP(H2296,TABLEITEM,5,FALSE),"")</f>
        <v>EA</v>
      </c>
      <c r="K2296" s="12">
        <v>10.5</v>
      </c>
      <c r="L2296" s="13" t="str">
        <f>IF(D2296&lt;&gt;"",VLOOKUP(H2296,TABLEITEM,2,FALSE),"")</f>
        <v/>
      </c>
      <c r="M2296" s="13" t="str">
        <f>IF(D2296&lt;&gt;"",VLOOKUP(H2296,TABLEITEM,3,FALSE),"")</f>
        <v>บูชยึด E1 32x20 ชุบขาว</v>
      </c>
      <c r="N2296" s="14">
        <f>INSTOCK!$I2296*INSTOCK!$K2296</f>
        <v>4032</v>
      </c>
      <c r="O2296" s="4"/>
      <c r="P2296" s="4"/>
    </row>
    <row r="2297" ht="15.75" hidden="1" customHeight="1">
      <c r="B2297" s="8">
        <v>2616.0</v>
      </c>
      <c r="C2297" s="9">
        <v>43158.0</v>
      </c>
      <c r="D2297" s="6" t="s">
        <v>3103</v>
      </c>
      <c r="E2297" s="4">
        <v>6.10200026E9</v>
      </c>
      <c r="F2297" s="8" t="s">
        <v>3104</v>
      </c>
      <c r="G2297" s="4" t="s">
        <v>1485</v>
      </c>
      <c r="H2297" s="10" t="s">
        <v>3105</v>
      </c>
      <c r="I2297" s="10">
        <v>1.0</v>
      </c>
      <c r="J2297" s="11" t="str">
        <f>IF(D2297&lt;&gt;"",VLOOKUP(H2297,TABLEITEM,5,FALSE),"")</f>
        <v>EA</v>
      </c>
      <c r="K2297" s="12">
        <v>4032.0</v>
      </c>
      <c r="L2297" s="13" t="str">
        <f>IF(D2297&lt;&gt;"",VLOOKUP(H2297,TABLEITEM,2,FALSE),"")</f>
        <v/>
      </c>
      <c r="M2297" s="13" t="str">
        <f>IF(D2297&lt;&gt;"",VLOOKUP(H2297,TABLEITEM,3,FALSE),"")</f>
        <v>LOAD CDENTER MAIN BREAKER 100A 25KA 24WAYS</v>
      </c>
      <c r="N2297" s="14">
        <f>INSTOCK!$I2297*INSTOCK!$K2297</f>
        <v>4032</v>
      </c>
      <c r="O2297" s="4"/>
      <c r="P2297" s="4"/>
    </row>
    <row r="2298" ht="15.75" hidden="1" customHeight="1">
      <c r="B2298" s="8">
        <v>2617.0</v>
      </c>
      <c r="C2298" s="9">
        <v>43158.0</v>
      </c>
      <c r="D2298" s="6" t="s">
        <v>3103</v>
      </c>
      <c r="E2298" s="4">
        <v>6.10200026E9</v>
      </c>
      <c r="F2298" s="8" t="s">
        <v>3104</v>
      </c>
      <c r="G2298" s="4" t="s">
        <v>1485</v>
      </c>
      <c r="H2298" s="10" t="s">
        <v>3106</v>
      </c>
      <c r="I2298" s="10">
        <v>1.0</v>
      </c>
      <c r="J2298" s="11" t="str">
        <f>IF(D2298&lt;&gt;"",VLOOKUP(H2298,TABLEITEM,5,FALSE),"")</f>
        <v>EA</v>
      </c>
      <c r="K2298" s="12">
        <v>2318.0</v>
      </c>
      <c r="L2298" s="13" t="str">
        <f>IF(D2298&lt;&gt;"",VLOOKUP(H2298,TABLEITEM,2,FALSE),"")</f>
        <v/>
      </c>
      <c r="M2298" s="13" t="str">
        <f>IF(D2298&lt;&gt;"",VLOOKUP(H2298,TABLEITEM,3,FALSE),"")</f>
        <v>MG EZC100 30KA/400V 3P/3T 60A</v>
      </c>
      <c r="N2298" s="14">
        <f>INSTOCK!$I2298*INSTOCK!$K2298</f>
        <v>2318</v>
      </c>
      <c r="O2298" s="4"/>
      <c r="P2298" s="4"/>
    </row>
    <row r="2299" ht="15.75" hidden="1" customHeight="1">
      <c r="B2299" s="8">
        <v>2618.0</v>
      </c>
      <c r="C2299" s="9">
        <v>43158.0</v>
      </c>
      <c r="D2299" s="6" t="s">
        <v>3103</v>
      </c>
      <c r="E2299" s="4">
        <v>6.10200026E9</v>
      </c>
      <c r="F2299" s="8" t="s">
        <v>3104</v>
      </c>
      <c r="G2299" s="4" t="s">
        <v>1485</v>
      </c>
      <c r="H2299" s="10" t="s">
        <v>3107</v>
      </c>
      <c r="I2299" s="10">
        <v>3.0</v>
      </c>
      <c r="J2299" s="11" t="str">
        <f>IF(D2299&lt;&gt;"",VLOOKUP(H2299,TABLEITEM,5,FALSE),"")</f>
        <v>EA</v>
      </c>
      <c r="K2299" s="12">
        <v>1095.0</v>
      </c>
      <c r="L2299" s="13" t="str">
        <f>IF(D2299&lt;&gt;"",VLOOKUP(H2299,TABLEITEM,2,FALSE),"")</f>
        <v/>
      </c>
      <c r="M2299" s="13" t="str">
        <f>IF(D2299&lt;&gt;"",VLOOKUP(H2299,TABLEITEM,3,FALSE),"")</f>
        <v>QOVS RCBO 6KA 0.01A VD ACC 20A 1P 220-240V</v>
      </c>
      <c r="N2299" s="14">
        <f>INSTOCK!$I2299*INSTOCK!$K2299</f>
        <v>3285</v>
      </c>
      <c r="O2299" s="4"/>
      <c r="P2299" s="4"/>
    </row>
    <row r="2300" ht="15.75" hidden="1" customHeight="1">
      <c r="B2300" s="8">
        <v>2619.0</v>
      </c>
      <c r="C2300" s="9">
        <v>43158.0</v>
      </c>
      <c r="D2300" s="6" t="s">
        <v>3103</v>
      </c>
      <c r="E2300" s="4">
        <v>6.10200026E9</v>
      </c>
      <c r="F2300" s="8" t="s">
        <v>3104</v>
      </c>
      <c r="G2300" s="4" t="s">
        <v>1485</v>
      </c>
      <c r="H2300" s="10" t="s">
        <v>1489</v>
      </c>
      <c r="I2300" s="10">
        <v>9.0</v>
      </c>
      <c r="J2300" s="11" t="str">
        <f>IF(D2300&lt;&gt;"",VLOOKUP(H2300,TABLEITEM,5,FALSE),"")</f>
        <v>EA</v>
      </c>
      <c r="K2300" s="12">
        <v>94.5</v>
      </c>
      <c r="L2300" s="13" t="str">
        <f>IF(D2300&lt;&gt;"",VLOOKUP(H2300,TABLEITEM,2,FALSE),"")</f>
        <v/>
      </c>
      <c r="M2300" s="13" t="str">
        <f>IF(D2300&lt;&gt;"",VLOOKUP(H2300,TABLEITEM,3,FALSE),"")</f>
        <v>MCB 1P 16A 6KA</v>
      </c>
      <c r="N2300" s="14">
        <f>INSTOCK!$I2300*INSTOCK!$K2300</f>
        <v>850.5</v>
      </c>
      <c r="O2300" s="4"/>
      <c r="P2300" s="4"/>
    </row>
    <row r="2301" ht="15.75" hidden="1" customHeight="1">
      <c r="B2301" s="8">
        <v>2620.0</v>
      </c>
      <c r="C2301" s="9">
        <v>43158.0</v>
      </c>
      <c r="D2301" s="6" t="s">
        <v>3103</v>
      </c>
      <c r="E2301" s="4">
        <v>6.10200026E9</v>
      </c>
      <c r="F2301" s="8" t="s">
        <v>3104</v>
      </c>
      <c r="G2301" s="4" t="s">
        <v>1485</v>
      </c>
      <c r="H2301" s="10" t="s">
        <v>3108</v>
      </c>
      <c r="I2301" s="10">
        <v>9.0</v>
      </c>
      <c r="J2301" s="11" t="str">
        <f>IF(D2301&lt;&gt;"",VLOOKUP(H2301,TABLEITEM,5,FALSE),"")</f>
        <v>EA</v>
      </c>
      <c r="K2301" s="12">
        <v>94.5</v>
      </c>
      <c r="L2301" s="13" t="str">
        <f>IF(D2301&lt;&gt;"",VLOOKUP(H2301,TABLEITEM,2,FALSE),"")</f>
        <v/>
      </c>
      <c r="M2301" s="13" t="str">
        <f>IF(D2301&lt;&gt;"",VLOOKUP(H2301,TABLEITEM,3,FALSE),"")</f>
        <v>QOVS MCB 1P 16A 6KA TYPE C</v>
      </c>
      <c r="N2301" s="14">
        <f>INSTOCK!$I2301*INSTOCK!$K2301</f>
        <v>850.5</v>
      </c>
      <c r="O2301" s="4"/>
      <c r="P2301" s="4"/>
    </row>
    <row r="2302" ht="15.75" hidden="1" customHeight="1">
      <c r="B2302" s="8">
        <v>2621.0</v>
      </c>
      <c r="C2302" s="9">
        <v>43158.0</v>
      </c>
      <c r="D2302" s="6" t="s">
        <v>3103</v>
      </c>
      <c r="E2302" s="4">
        <v>6.10200026E9</v>
      </c>
      <c r="F2302" s="8" t="s">
        <v>3104</v>
      </c>
      <c r="G2302" s="4" t="s">
        <v>1485</v>
      </c>
      <c r="H2302" s="10" t="s">
        <v>3109</v>
      </c>
      <c r="I2302" s="10">
        <v>1.0</v>
      </c>
      <c r="J2302" s="11" t="str">
        <f>IF(D2302&lt;&gt;"",VLOOKUP(H2302,TABLEITEM,5,FALSE),"")</f>
        <v>EA</v>
      </c>
      <c r="K2302" s="12">
        <v>995.4</v>
      </c>
      <c r="L2302" s="13" t="str">
        <f>IF(D2302&lt;&gt;"",VLOOKUP(H2302,TABLEITEM,2,FALSE),"")</f>
        <v/>
      </c>
      <c r="M2302" s="13" t="str">
        <f>IF(D2302&lt;&gt;"",VLOOKUP(H2302,TABLEITEM,3,FALSE),"")</f>
        <v>QOVS MCB 3P 20A 6KA TYPE C</v>
      </c>
      <c r="N2302" s="14">
        <f>INSTOCK!$I2302*INSTOCK!$K2302</f>
        <v>995.4</v>
      </c>
      <c r="O2302" s="4"/>
      <c r="P2302" s="4"/>
    </row>
    <row r="2303" ht="15.75" hidden="1" customHeight="1">
      <c r="B2303" s="8">
        <v>2622.0</v>
      </c>
      <c r="C2303" s="9">
        <v>43158.0</v>
      </c>
      <c r="D2303" s="6" t="s">
        <v>3103</v>
      </c>
      <c r="E2303" s="4">
        <v>6.10200026E9</v>
      </c>
      <c r="F2303" s="8" t="s">
        <v>3104</v>
      </c>
      <c r="G2303" s="4" t="s">
        <v>1485</v>
      </c>
      <c r="H2303" s="10" t="s">
        <v>1559</v>
      </c>
      <c r="I2303" s="10">
        <v>5.0</v>
      </c>
      <c r="J2303" s="11" t="str">
        <f>IF(D2303&lt;&gt;"",VLOOKUP(H2303,TABLEITEM,5,FALSE),"")</f>
        <v>EA</v>
      </c>
      <c r="K2303" s="12">
        <v>1148.4</v>
      </c>
      <c r="L2303" s="13" t="str">
        <f>IF(D2303&lt;&gt;"",VLOOKUP(H2303,TABLEITEM,2,FALSE),"")</f>
        <v/>
      </c>
      <c r="M2303" s="13" t="str">
        <f>IF(D2303&lt;&gt;"",VLOOKUP(H2303,TABLEITEM,3,FALSE),"")</f>
        <v>CONTACTOR LC1D25M7</v>
      </c>
      <c r="N2303" s="14">
        <f>INSTOCK!$I2303*INSTOCK!$K2303</f>
        <v>5742</v>
      </c>
      <c r="O2303" s="4"/>
      <c r="P2303" s="4"/>
    </row>
    <row r="2304" ht="15.75" hidden="1" customHeight="1">
      <c r="B2304" s="8">
        <v>2623.0</v>
      </c>
      <c r="C2304" s="9">
        <v>43158.0</v>
      </c>
      <c r="D2304" s="6" t="s">
        <v>3103</v>
      </c>
      <c r="E2304" s="4">
        <v>6.10200026E9</v>
      </c>
      <c r="F2304" s="8" t="s">
        <v>3104</v>
      </c>
      <c r="G2304" s="4" t="s">
        <v>1485</v>
      </c>
      <c r="H2304" s="10" t="s">
        <v>2200</v>
      </c>
      <c r="I2304" s="10">
        <v>4.0</v>
      </c>
      <c r="J2304" s="11" t="str">
        <f>IF(D2304&lt;&gt;"",VLOOKUP(H2304,TABLEITEM,5,FALSE),"")</f>
        <v>EA</v>
      </c>
      <c r="K2304" s="12">
        <v>338.8</v>
      </c>
      <c r="L2304" s="13" t="str">
        <f>IF(D2304&lt;&gt;"",VLOOKUP(H2304,TABLEITEM,2,FALSE),"")</f>
        <v/>
      </c>
      <c r="M2304" s="13" t="str">
        <f>IF(D2304&lt;&gt;"",VLOOKUP(H2304,TABLEITEM,3,FALSE),"")</f>
        <v>GV2&amp;GV3 AUXILIARY GVAD1010</v>
      </c>
      <c r="N2304" s="14">
        <f>INSTOCK!$I2304*INSTOCK!$K2304</f>
        <v>1355.2</v>
      </c>
      <c r="O2304" s="4"/>
      <c r="P2304" s="4"/>
    </row>
    <row r="2305" ht="15.75" hidden="1" customHeight="1">
      <c r="B2305" s="8">
        <v>2624.0</v>
      </c>
      <c r="C2305" s="9">
        <v>43158.0</v>
      </c>
      <c r="D2305" s="6" t="s">
        <v>3103</v>
      </c>
      <c r="E2305" s="4">
        <v>6.10200026E9</v>
      </c>
      <c r="F2305" s="8" t="s">
        <v>3104</v>
      </c>
      <c r="G2305" s="4" t="s">
        <v>1485</v>
      </c>
      <c r="H2305" s="10" t="s">
        <v>3110</v>
      </c>
      <c r="I2305" s="10">
        <v>2.0</v>
      </c>
      <c r="J2305" s="11" t="str">
        <f>IF(D2305&lt;&gt;"",VLOOKUP(H2305,TABLEITEM,5,FALSE),"")</f>
        <v>EA</v>
      </c>
      <c r="K2305" s="12">
        <v>1056.0</v>
      </c>
      <c r="L2305" s="13" t="str">
        <f>IF(D2305&lt;&gt;"",VLOOKUP(H2305,TABLEITEM,2,FALSE),"")</f>
        <v/>
      </c>
      <c r="M2305" s="13" t="str">
        <f>IF(D2305&lt;&gt;"",VLOOKUP(H2305,TABLEITEM,3,FALSE),"")</f>
        <v>TESTS GV2 CIRCUIT BREAKER MAGNETIC 6.3A SCREW CLAMP TERMINAL</v>
      </c>
      <c r="N2305" s="14">
        <f>INSTOCK!$I2305*INSTOCK!$K2305</f>
        <v>2112</v>
      </c>
      <c r="O2305" s="4"/>
      <c r="P2305" s="4"/>
    </row>
    <row r="2306" ht="15.75" hidden="1" customHeight="1">
      <c r="B2306" s="8">
        <v>2625.0</v>
      </c>
      <c r="C2306" s="9">
        <v>43158.0</v>
      </c>
      <c r="D2306" s="6" t="s">
        <v>3103</v>
      </c>
      <c r="E2306" s="4">
        <v>6.10200026E9</v>
      </c>
      <c r="F2306" s="8" t="s">
        <v>3104</v>
      </c>
      <c r="G2306" s="4" t="s">
        <v>1485</v>
      </c>
      <c r="H2306" s="10" t="s">
        <v>2004</v>
      </c>
      <c r="I2306" s="10">
        <v>30.0</v>
      </c>
      <c r="J2306" s="11" t="str">
        <f>IF(D2306&lt;&gt;"",VLOOKUP(H2306,TABLEITEM,5,FALSE),"")</f>
        <v>EA</v>
      </c>
      <c r="K2306" s="12">
        <v>85.8</v>
      </c>
      <c r="L2306" s="13" t="str">
        <f>IF(D2306&lt;&gt;"",VLOOKUP(H2306,TABLEITEM,2,FALSE),"")</f>
        <v/>
      </c>
      <c r="M2306" s="13" t="str">
        <f>IF(D2306&lt;&gt;"",VLOOKUP(H2306,TABLEITEM,3,FALSE),"")</f>
        <v>PILOT LIGHT LED 240V RED</v>
      </c>
      <c r="N2306" s="14">
        <f>INSTOCK!$I2306*INSTOCK!$K2306</f>
        <v>2574</v>
      </c>
      <c r="O2306" s="4"/>
      <c r="P2306" s="4"/>
    </row>
    <row r="2307" ht="15.75" hidden="1" customHeight="1">
      <c r="B2307" s="8">
        <v>2626.0</v>
      </c>
      <c r="C2307" s="9">
        <v>43158.0</v>
      </c>
      <c r="D2307" s="6" t="s">
        <v>3103</v>
      </c>
      <c r="E2307" s="4">
        <v>6.10200026E9</v>
      </c>
      <c r="F2307" s="8" t="s">
        <v>3104</v>
      </c>
      <c r="G2307" s="4" t="s">
        <v>1485</v>
      </c>
      <c r="H2307" s="10" t="s">
        <v>2157</v>
      </c>
      <c r="I2307" s="10">
        <v>30.0</v>
      </c>
      <c r="J2307" s="11" t="str">
        <f>IF(D2307&lt;&gt;"",VLOOKUP(H2307,TABLEITEM,5,FALSE),"")</f>
        <v>EA</v>
      </c>
      <c r="K2307" s="12">
        <v>85.8</v>
      </c>
      <c r="L2307" s="13" t="str">
        <f>IF(D2307&lt;&gt;"",VLOOKUP(H2307,TABLEITEM,2,FALSE),"")</f>
        <v/>
      </c>
      <c r="M2307" s="13" t="str">
        <f>IF(D2307&lt;&gt;"",VLOOKUP(H2307,TABLEITEM,3,FALSE),"")</f>
        <v>PILOT LIGHT LED 240V YELLOW</v>
      </c>
      <c r="N2307" s="14">
        <f>INSTOCK!$I2307*INSTOCK!$K2307</f>
        <v>2574</v>
      </c>
      <c r="O2307" s="4"/>
      <c r="P2307" s="4"/>
    </row>
    <row r="2308" ht="15.75" hidden="1" customHeight="1">
      <c r="B2308" s="8">
        <v>2627.0</v>
      </c>
      <c r="C2308" s="9">
        <v>43158.0</v>
      </c>
      <c r="D2308" s="6" t="s">
        <v>3111</v>
      </c>
      <c r="E2308" s="4"/>
      <c r="F2308" s="8" t="s">
        <v>3112</v>
      </c>
      <c r="G2308" s="4" t="s">
        <v>3113</v>
      </c>
      <c r="H2308" s="10" t="s">
        <v>3114</v>
      </c>
      <c r="I2308" s="10">
        <v>1.0</v>
      </c>
      <c r="J2308" s="11" t="str">
        <f>IF(D2308&lt;&gt;"",VLOOKUP(H2308,TABLEITEM,5,FALSE),"")</f>
        <v>EA</v>
      </c>
      <c r="K2308" s="12">
        <v>4000.0</v>
      </c>
      <c r="L2308" s="13" t="str">
        <f>IF(D2308&lt;&gt;"",VLOOKUP(H2308,TABLEITEM,2,FALSE),"")</f>
        <v/>
      </c>
      <c r="M2308" s="13" t="str">
        <f>IF(D2308&lt;&gt;"",VLOOKUP(H2308,TABLEITEM,3,FALSE),"")</f>
        <v>ไดชาร์ท D-MAX 2.5#054110 ALT-DMAX-2.5</v>
      </c>
      <c r="N2308" s="14">
        <f>INSTOCK!$I2308*INSTOCK!$K2308</f>
        <v>4000</v>
      </c>
      <c r="O2308" s="4"/>
      <c r="P2308" s="4"/>
    </row>
    <row r="2309" ht="15.75" hidden="1" customHeight="1">
      <c r="B2309" s="8">
        <v>2628.0</v>
      </c>
      <c r="C2309" s="9">
        <v>43158.0</v>
      </c>
      <c r="D2309" s="6">
        <v>6.1020822E7</v>
      </c>
      <c r="E2309" s="4">
        <v>6.102000259E9</v>
      </c>
      <c r="F2309" s="8"/>
      <c r="G2309" s="4" t="s">
        <v>1130</v>
      </c>
      <c r="H2309" s="10" t="s">
        <v>1555</v>
      </c>
      <c r="I2309" s="10">
        <v>20.0</v>
      </c>
      <c r="J2309" s="11" t="str">
        <f>IF(D2309&lt;&gt;"",VLOOKUP(H2309,TABLEITEM,5,FALSE),"")</f>
        <v>EA</v>
      </c>
      <c r="K2309" s="12">
        <v>42.0</v>
      </c>
      <c r="L2309" s="13" t="str">
        <f>IF(D2309&lt;&gt;"",VLOOKUP(H2309,TABLEITEM,2,FALSE),"")</f>
        <v/>
      </c>
      <c r="M2309" s="13" t="str">
        <f>IF(D2309&lt;&gt;"",VLOOKUP(H2309,TABLEITEM,3,FALSE),"")</f>
        <v>SOCKET PYF-08A-E </v>
      </c>
      <c r="N2309" s="14">
        <f>INSTOCK!$I2309*INSTOCK!$K2309</f>
        <v>840</v>
      </c>
      <c r="O2309" s="4"/>
      <c r="P2309" s="4"/>
    </row>
    <row r="2310" ht="15.75" hidden="1" customHeight="1">
      <c r="B2310" s="8">
        <v>2629.0</v>
      </c>
      <c r="C2310" s="9">
        <v>43158.0</v>
      </c>
      <c r="D2310" s="6">
        <v>6.1020822E7</v>
      </c>
      <c r="E2310" s="4">
        <v>6.102000259E9</v>
      </c>
      <c r="F2310" s="8"/>
      <c r="G2310" s="4" t="s">
        <v>1130</v>
      </c>
      <c r="H2310" s="10" t="s">
        <v>1554</v>
      </c>
      <c r="I2310" s="10">
        <v>20.0</v>
      </c>
      <c r="J2310" s="11" t="str">
        <f>IF(D2310&lt;&gt;"",VLOOKUP(H2310,TABLEITEM,5,FALSE),"")</f>
        <v>EA</v>
      </c>
      <c r="K2310" s="12">
        <v>106.0</v>
      </c>
      <c r="L2310" s="13" t="str">
        <f>IF(D2310&lt;&gt;"",VLOOKUP(H2310,TABLEITEM,2,FALSE),"")</f>
        <v/>
      </c>
      <c r="M2310" s="13" t="str">
        <f>IF(D2310&lt;&gt;"",VLOOKUP(H2310,TABLEITEM,3,FALSE),"")</f>
        <v>RELAY MY2N-GS 220/240VAC</v>
      </c>
      <c r="N2310" s="14">
        <f>INSTOCK!$I2310*INSTOCK!$K2310</f>
        <v>2120</v>
      </c>
      <c r="O2310" s="4"/>
      <c r="P2310" s="4"/>
    </row>
    <row r="2311" ht="15.75" hidden="1" customHeight="1">
      <c r="B2311" s="8">
        <v>2630.0</v>
      </c>
      <c r="C2311" s="9">
        <v>43158.0</v>
      </c>
      <c r="D2311" s="6">
        <v>6.1020822E7</v>
      </c>
      <c r="E2311" s="4">
        <v>6.102000259E9</v>
      </c>
      <c r="F2311" s="8"/>
      <c r="G2311" s="4" t="s">
        <v>1130</v>
      </c>
      <c r="H2311" s="10" t="s">
        <v>240</v>
      </c>
      <c r="I2311" s="10">
        <v>200.0</v>
      </c>
      <c r="J2311" s="11" t="str">
        <f>IF(D2311&lt;&gt;"",VLOOKUP(H2311,TABLEITEM,5,FALSE),"")</f>
        <v>EA</v>
      </c>
      <c r="K2311" s="12">
        <v>11.9</v>
      </c>
      <c r="L2311" s="13" t="str">
        <f>IF(D2311&lt;&gt;"",VLOOKUP(H2311,TABLEITEM,2,FALSE),"")</f>
        <v/>
      </c>
      <c r="M2311" s="13" t="str">
        <f>IF(D2311&lt;&gt;"",VLOOKUP(H2311,TABLEITEM,3,FALSE),"")</f>
        <v>CORD-END 35-1.6 สีเทา</v>
      </c>
      <c r="N2311" s="14">
        <f>INSTOCK!$I2311*INSTOCK!$K2311</f>
        <v>2380</v>
      </c>
      <c r="O2311" s="4" t="s">
        <v>3115</v>
      </c>
      <c r="P2311" s="4"/>
    </row>
    <row r="2312" ht="15.75" hidden="1" customHeight="1">
      <c r="B2312" s="8">
        <v>2631.0</v>
      </c>
      <c r="C2312" s="9">
        <v>43158.0</v>
      </c>
      <c r="D2312" s="6">
        <v>6.1020822E7</v>
      </c>
      <c r="E2312" s="4">
        <v>6.102000259E9</v>
      </c>
      <c r="F2312" s="8"/>
      <c r="G2312" s="4" t="s">
        <v>1130</v>
      </c>
      <c r="H2312" s="10" t="s">
        <v>3116</v>
      </c>
      <c r="I2312" s="10">
        <v>6.0</v>
      </c>
      <c r="J2312" s="11" t="str">
        <f>IF(D2312&lt;&gt;"",VLOOKUP(H2312,TABLEITEM,5,FALSE),"")</f>
        <v>EA</v>
      </c>
      <c r="K2312" s="12">
        <v>121.125</v>
      </c>
      <c r="L2312" s="13" t="str">
        <f>IF(D2312&lt;&gt;"",VLOOKUP(H2312,TABLEITEM,2,FALSE),"")</f>
        <v/>
      </c>
      <c r="M2312" s="13" t="str">
        <f>IF(D2312&lt;&gt;"",VLOOKUP(H2312,TABLEITEM,3,FALSE),"")</f>
        <v>CT100/5 MSQ40</v>
      </c>
      <c r="N2312" s="14">
        <f>INSTOCK!$I2312*INSTOCK!$K2312</f>
        <v>726.75</v>
      </c>
      <c r="O2312" s="4" t="s">
        <v>1898</v>
      </c>
      <c r="P2312" s="4"/>
    </row>
    <row r="2313" ht="15.75" hidden="1" customHeight="1">
      <c r="B2313" s="8">
        <v>2632.0</v>
      </c>
      <c r="C2313" s="9">
        <v>43158.0</v>
      </c>
      <c r="D2313" s="6">
        <v>6.1020822E7</v>
      </c>
      <c r="E2313" s="4">
        <v>6.102000259E9</v>
      </c>
      <c r="F2313" s="8"/>
      <c r="G2313" s="4" t="s">
        <v>1130</v>
      </c>
      <c r="H2313" s="10" t="s">
        <v>1897</v>
      </c>
      <c r="I2313" s="10">
        <v>3.0</v>
      </c>
      <c r="J2313" s="11" t="str">
        <f>IF(D2313&lt;&gt;"",VLOOKUP(H2313,TABLEITEM,5,FALSE),"")</f>
        <v>EA</v>
      </c>
      <c r="K2313" s="12">
        <v>121.12333</v>
      </c>
      <c r="L2313" s="13" t="str">
        <f>IF(D2313&lt;&gt;"",VLOOKUP(H2313,TABLEITEM,2,FALSE),"")</f>
        <v/>
      </c>
      <c r="M2313" s="13" t="str">
        <f>IF(D2313&lt;&gt;"",VLOOKUP(H2313,TABLEITEM,3,FALSE),"")</f>
        <v>CT 200/5 MQS40</v>
      </c>
      <c r="N2313" s="14">
        <f>INSTOCK!$I2313*INSTOCK!$K2313</f>
        <v>363.36999</v>
      </c>
      <c r="O2313" s="4" t="s">
        <v>1898</v>
      </c>
      <c r="P2313" s="4"/>
    </row>
    <row r="2314" ht="15.75" hidden="1" customHeight="1">
      <c r="B2314" s="8">
        <v>2633.0</v>
      </c>
      <c r="C2314" s="9">
        <v>43158.0</v>
      </c>
      <c r="D2314" s="6" t="s">
        <v>3117</v>
      </c>
      <c r="E2314" s="4">
        <v>6.102000223E9</v>
      </c>
      <c r="F2314" s="8"/>
      <c r="G2314" s="4" t="s">
        <v>1777</v>
      </c>
      <c r="H2314" s="10" t="s">
        <v>3118</v>
      </c>
      <c r="I2314" s="10">
        <v>2000.0</v>
      </c>
      <c r="J2314" s="11" t="str">
        <f>IF(D2314&lt;&gt;"",VLOOKUP(H2314,TABLEITEM,5,FALSE),"")</f>
        <v>EA</v>
      </c>
      <c r="K2314" s="12">
        <v>1.05</v>
      </c>
      <c r="L2314" s="13" t="str">
        <f>IF(D2314&lt;&gt;"",VLOOKUP(H2314,TABLEITEM,2,FALSE),"")</f>
        <v/>
      </c>
      <c r="M2314" s="13" t="str">
        <f>IF(D2314&lt;&gt;"",VLOOKUP(H2314,TABLEITEM,3,FALSE),"")</f>
        <v>สกรูหัวเหลี่ยมชุบขาว M 6x15</v>
      </c>
      <c r="N2314" s="14">
        <f>INSTOCK!$I2314*INSTOCK!$K2314</f>
        <v>2100</v>
      </c>
      <c r="O2314" s="4" t="s">
        <v>3119</v>
      </c>
      <c r="P2314" s="4"/>
    </row>
    <row r="2315" ht="15.75" hidden="1" customHeight="1">
      <c r="B2315" s="8">
        <v>2634.0</v>
      </c>
      <c r="C2315" s="9">
        <v>43155.0</v>
      </c>
      <c r="D2315" s="6">
        <v>608.0</v>
      </c>
      <c r="E2315" s="4">
        <v>6.102000183E9</v>
      </c>
      <c r="F2315" s="8" t="s">
        <v>604</v>
      </c>
      <c r="G2315" s="4" t="s">
        <v>2382</v>
      </c>
      <c r="H2315" s="10" t="s">
        <v>2383</v>
      </c>
      <c r="I2315" s="10">
        <v>116.0</v>
      </c>
      <c r="J2315" s="11" t="str">
        <f>IF(D2315&lt;&gt;"",VLOOKUP(H2315,TABLEITEM,5,FALSE),"")</f>
        <v>EA</v>
      </c>
      <c r="K2315" s="12">
        <v>10.5</v>
      </c>
      <c r="L2315" s="13" t="str">
        <f>IF(D2315&lt;&gt;"",VLOOKUP(H2315,TABLEITEM,2,FALSE),"")</f>
        <v/>
      </c>
      <c r="M2315" s="13" t="str">
        <f>IF(D2315&lt;&gt;"",VLOOKUP(H2315,TABLEITEM,3,FALSE),"")</f>
        <v>บูชยึด E1 32x20 ชุบขาว</v>
      </c>
      <c r="N2315" s="14">
        <f>INSTOCK!$I2315*INSTOCK!$K2315</f>
        <v>1218</v>
      </c>
      <c r="O2315" s="4"/>
      <c r="P2315" s="4"/>
    </row>
    <row r="2316" ht="15.75" hidden="1" customHeight="1">
      <c r="B2316" s="8">
        <v>2635.0</v>
      </c>
      <c r="C2316" s="9">
        <v>43155.0</v>
      </c>
      <c r="D2316" s="6" t="s">
        <v>3120</v>
      </c>
      <c r="E2316" s="4"/>
      <c r="F2316" s="8" t="s">
        <v>604</v>
      </c>
      <c r="G2316" s="4" t="s">
        <v>1522</v>
      </c>
      <c r="H2316" s="10" t="s">
        <v>1540</v>
      </c>
      <c r="I2316" s="10">
        <v>12.0</v>
      </c>
      <c r="J2316" s="11" t="str">
        <f>IF(D2316&lt;&gt;"",VLOOKUP(H2316,TABLEITEM,5,FALSE),"")</f>
        <v>EA</v>
      </c>
      <c r="K2316" s="12">
        <v>146.0</v>
      </c>
      <c r="L2316" s="13" t="str">
        <f>IF(D2316&lt;&gt;"",VLOOKUP(H2316,TABLEITEM,2,FALSE),"")</f>
        <v/>
      </c>
      <c r="M2316" s="13" t="str">
        <f>IF(D2316&lt;&gt;"",VLOOKUP(H2316,TABLEITEM,3,FALSE),"")</f>
        <v>หลอด LED/บับ 10.5-85W/65K-PL</v>
      </c>
      <c r="N2316" s="14">
        <f>INSTOCK!$I2316*INSTOCK!$K2316</f>
        <v>1752</v>
      </c>
      <c r="O2316" s="4"/>
      <c r="P2316" s="4"/>
    </row>
    <row r="2317" ht="15.75" hidden="1" customHeight="1">
      <c r="B2317" s="8">
        <v>2636.0</v>
      </c>
      <c r="C2317" s="9">
        <v>43155.0</v>
      </c>
      <c r="D2317" s="6" t="s">
        <v>3121</v>
      </c>
      <c r="E2317" s="4">
        <v>6.102000212E9</v>
      </c>
      <c r="F2317" s="8" t="s">
        <v>3122</v>
      </c>
      <c r="G2317" s="4" t="s">
        <v>1870</v>
      </c>
      <c r="H2317" s="10" t="s">
        <v>1942</v>
      </c>
      <c r="I2317" s="10">
        <v>40.0</v>
      </c>
      <c r="J2317" s="11" t="str">
        <f>IF(D2317&lt;&gt;"",VLOOKUP(H2317,TABLEITEM,5,FALSE),"")</f>
        <v>EA</v>
      </c>
      <c r="K2317" s="12">
        <v>2.55</v>
      </c>
      <c r="L2317" s="13" t="str">
        <f>IF(D2317&lt;&gt;"",VLOOKUP(H2317,TABLEITEM,2,FALSE),"")</f>
        <v/>
      </c>
      <c r="M2317" s="13" t="str">
        <f>IF(D2317&lt;&gt;"",VLOOKUP(H2317,TABLEITEM,3,FALSE),"")</f>
        <v>หัวน๊อต SUS M10</v>
      </c>
      <c r="N2317" s="14">
        <f>INSTOCK!$I2317*INSTOCK!$K2317</f>
        <v>102</v>
      </c>
      <c r="O2317" s="4" t="s">
        <v>3123</v>
      </c>
      <c r="P2317" s="4"/>
    </row>
    <row r="2318" ht="15.75" hidden="1" customHeight="1">
      <c r="B2318" s="8">
        <v>2637.0</v>
      </c>
      <c r="C2318" s="9">
        <v>43153.0</v>
      </c>
      <c r="D2318" s="6">
        <v>6.10207043E8</v>
      </c>
      <c r="E2318" s="4">
        <v>6.102000234E9</v>
      </c>
      <c r="F2318" s="8"/>
      <c r="G2318" s="4" t="s">
        <v>1130</v>
      </c>
      <c r="H2318" s="10" t="s">
        <v>3124</v>
      </c>
      <c r="I2318" s="10">
        <v>3.0</v>
      </c>
      <c r="J2318" s="11" t="str">
        <f>IF(D2318&lt;&gt;"",VLOOKUP(H2318,TABLEITEM,5,FALSE),"")</f>
        <v>EA</v>
      </c>
      <c r="K2318" s="12">
        <v>174.56333</v>
      </c>
      <c r="L2318" s="13" t="str">
        <f>IF(D2318&lt;&gt;"",VLOOKUP(H2318,TABLEITEM,2,FALSE),"")</f>
        <v/>
      </c>
      <c r="M2318" s="13" t="str">
        <f>IF(D2318&lt;&gt;"",VLOOKUP(H2318,TABLEITEM,3,FALSE),"")</f>
        <v>CT600/5 MSQ60</v>
      </c>
      <c r="N2318" s="14">
        <f>INSTOCK!$I2318*INSTOCK!$K2318</f>
        <v>523.68999</v>
      </c>
      <c r="O2318" s="4" t="s">
        <v>3125</v>
      </c>
      <c r="P2318" s="4"/>
    </row>
    <row r="2319" ht="15.75" hidden="1" customHeight="1">
      <c r="B2319" s="8">
        <v>2638.0</v>
      </c>
      <c r="C2319" s="9">
        <v>43544.0</v>
      </c>
      <c r="D2319" s="6" t="s">
        <v>3126</v>
      </c>
      <c r="E2319" s="4">
        <v>6.203000422E9</v>
      </c>
      <c r="F2319" s="8" t="s">
        <v>604</v>
      </c>
      <c r="G2319" s="4" t="s">
        <v>617</v>
      </c>
      <c r="H2319" s="10" t="s">
        <v>559</v>
      </c>
      <c r="I2319" s="10">
        <v>50.0</v>
      </c>
      <c r="J2319" s="11" t="str">
        <f>IF(D2319&lt;&gt;"",VLOOKUP(H2319,TABLEITEM,5,FALSE),"")</f>
        <v>M</v>
      </c>
      <c r="K2319" s="12">
        <v>318.92</v>
      </c>
      <c r="L2319" s="13" t="str">
        <f>IF(D2319&lt;&gt;"",VLOOKUP(H2319,TABLEITEM,2,FALSE),"")</f>
        <v>Busbar</v>
      </c>
      <c r="M2319" s="13" t="str">
        <f>IF(D2319&lt;&gt;"",VLOOKUP(H2319,TABLEITEM,3,FALSE),"")</f>
        <v>บัสบาร์ทองแดง 30x5</v>
      </c>
      <c r="N2319" s="14">
        <f>INSTOCK!$I2319*INSTOCK!$K2319</f>
        <v>15946</v>
      </c>
      <c r="O2319" s="4" t="s">
        <v>3127</v>
      </c>
      <c r="P2319" s="4"/>
    </row>
    <row r="2320" ht="15.75" hidden="1" customHeight="1">
      <c r="B2320" s="8">
        <v>2639.0</v>
      </c>
      <c r="C2320" s="9">
        <v>43179.0</v>
      </c>
      <c r="D2320" s="6" t="s">
        <v>3128</v>
      </c>
      <c r="E2320" s="4">
        <v>6.2030004E9</v>
      </c>
      <c r="F2320" s="8" t="s">
        <v>3129</v>
      </c>
      <c r="G2320" s="4" t="s">
        <v>2350</v>
      </c>
      <c r="H2320" s="10" t="s">
        <v>2599</v>
      </c>
      <c r="I2320" s="10">
        <v>200.0</v>
      </c>
      <c r="J2320" s="11" t="str">
        <f>IF(D2320&lt;&gt;"",VLOOKUP(H2320,TABLEITEM,5,FALSE),"")</f>
        <v>KG.</v>
      </c>
      <c r="K2320" s="12">
        <v>122.0</v>
      </c>
      <c r="L2320" s="13" t="str">
        <f>IF(D2320&lt;&gt;"",VLOOKUP(H2320,TABLEITEM,2,FALSE),"")</f>
        <v/>
      </c>
      <c r="M2320" s="13" t="str">
        <f>IF(D2320&lt;&gt;"",VLOOKUP(H2320,TABLEITEM,3,FALSE),"")</f>
        <v>สีฝุ่น P9001A  สีเทาดำ</v>
      </c>
      <c r="N2320" s="14">
        <f>INSTOCK!$I2320*INSTOCK!$K2320</f>
        <v>24400</v>
      </c>
      <c r="O2320" s="4"/>
      <c r="P2320" s="4"/>
    </row>
    <row r="2321" ht="15.75" hidden="1" customHeight="1">
      <c r="B2321" s="8">
        <v>2640.0</v>
      </c>
      <c r="C2321" s="9">
        <v>43544.0</v>
      </c>
      <c r="D2321" s="6">
        <v>6.20305821E8</v>
      </c>
      <c r="E2321" s="4">
        <v>6.203000398E9</v>
      </c>
      <c r="F2321" s="8" t="s">
        <v>2958</v>
      </c>
      <c r="G2321" s="4" t="s">
        <v>1130</v>
      </c>
      <c r="H2321" s="10" t="s">
        <v>3130</v>
      </c>
      <c r="I2321" s="10">
        <v>3.0</v>
      </c>
      <c r="J2321" s="11" t="str">
        <f>IF(D2321&lt;&gt;"",VLOOKUP(H2321,TABLEITEM,5,FALSE),"")</f>
        <v>EA</v>
      </c>
      <c r="K2321" s="12">
        <v>121.12333</v>
      </c>
      <c r="L2321" s="13" t="str">
        <f>IF(D2321&lt;&gt;"",VLOOKUP(H2321,TABLEITEM,2,FALSE),"")</f>
        <v/>
      </c>
      <c r="M2321" s="13" t="str">
        <f>IF(D2321&lt;&gt;"",VLOOKUP(H2321,TABLEITEM,3,FALSE),"")</f>
        <v>CT250/5 MSQ40</v>
      </c>
      <c r="N2321" s="14">
        <f>INSTOCK!$I2321*INSTOCK!$K2321</f>
        <v>363.36999</v>
      </c>
      <c r="O2321" s="4" t="s">
        <v>1898</v>
      </c>
      <c r="P2321" s="4"/>
    </row>
    <row r="2322" ht="15.75" hidden="1" customHeight="1">
      <c r="B2322" s="8">
        <v>2641.0</v>
      </c>
      <c r="C2322" s="9">
        <v>43543.0</v>
      </c>
      <c r="D2322" s="6" t="s">
        <v>3131</v>
      </c>
      <c r="E2322" s="4">
        <v>6.20300042E9</v>
      </c>
      <c r="F2322" s="8" t="s">
        <v>2865</v>
      </c>
      <c r="G2322" s="4" t="s">
        <v>1485</v>
      </c>
      <c r="H2322" s="10" t="s">
        <v>3132</v>
      </c>
      <c r="I2322" s="10">
        <v>6.0</v>
      </c>
      <c r="J2322" s="11" t="str">
        <f>IF(D2322&lt;&gt;"",VLOOKUP(H2322,TABLEITEM,5,FALSE),"")</f>
        <v>EA</v>
      </c>
      <c r="K2322" s="12">
        <v>1254.6</v>
      </c>
      <c r="L2322" s="13" t="str">
        <f>IF(D2322&lt;&gt;"",VLOOKUP(H2322,TABLEITEM,2,FALSE),"")</f>
        <v/>
      </c>
      <c r="M2322" s="13" t="str">
        <f>IF(D2322&lt;&gt;"",VLOOKUP(H2322,TABLEITEM,3,FALSE),"")</f>
        <v>MCCB CVS 100B TM25D 3P 3D 380/415VAC 25KA</v>
      </c>
      <c r="N2322" s="14">
        <f>INSTOCK!$I2322*INSTOCK!$K2322</f>
        <v>7527.6</v>
      </c>
      <c r="O2322" s="4"/>
      <c r="P2322" s="4"/>
    </row>
    <row r="2323" ht="15.75" hidden="1" customHeight="1">
      <c r="B2323" s="8">
        <v>2642.0</v>
      </c>
      <c r="C2323" s="9">
        <v>43543.0</v>
      </c>
      <c r="D2323" s="6" t="s">
        <v>3133</v>
      </c>
      <c r="E2323" s="4">
        <v>6.203000409E9</v>
      </c>
      <c r="F2323" s="8" t="s">
        <v>604</v>
      </c>
      <c r="G2323" s="4" t="s">
        <v>737</v>
      </c>
      <c r="H2323" s="10" t="s">
        <v>16</v>
      </c>
      <c r="I2323" s="10">
        <v>360.0</v>
      </c>
      <c r="J2323" s="11" t="str">
        <f>IF(D2323&lt;&gt;"",VLOOKUP(H2323,TABLEITEM,5,FALSE),"")</f>
        <v>คู่</v>
      </c>
      <c r="K2323" s="12">
        <v>4.58333</v>
      </c>
      <c r="L2323" s="13" t="str">
        <f>IF(D2323&lt;&gt;"",VLOOKUP(H2323,TABLEITEM,2,FALSE),"")</f>
        <v/>
      </c>
      <c r="M2323" s="13" t="str">
        <f>IF(D2323&lt;&gt;"",VLOOKUP(H2323,TABLEITEM,3,FALSE),"")</f>
        <v>ถุงมือผ้า</v>
      </c>
      <c r="N2323" s="14">
        <f>INSTOCK!$I2323*INSTOCK!$K2323</f>
        <v>1649.9988</v>
      </c>
      <c r="O2323" s="4" t="s">
        <v>973</v>
      </c>
      <c r="P2323" s="4"/>
    </row>
    <row r="2324" ht="15.75" hidden="1" customHeight="1">
      <c r="B2324" s="8">
        <v>2643.0</v>
      </c>
      <c r="C2324" s="9">
        <v>43543.0</v>
      </c>
      <c r="D2324" s="6">
        <v>6.2030899E7</v>
      </c>
      <c r="E2324" s="4">
        <v>6.203000414E9</v>
      </c>
      <c r="F2324" s="8" t="s">
        <v>3134</v>
      </c>
      <c r="G2324" s="4" t="s">
        <v>711</v>
      </c>
      <c r="H2324" s="10" t="s">
        <v>712</v>
      </c>
      <c r="I2324" s="10">
        <v>20.0</v>
      </c>
      <c r="J2324" s="11" t="str">
        <f>IF(D2324&lt;&gt;"",VLOOKUP(H2324,TABLEITEM,5,FALSE),"")</f>
        <v>KG.</v>
      </c>
      <c r="K2324" s="12">
        <v>148.75</v>
      </c>
      <c r="L2324" s="13" t="str">
        <f>IF(D2324&lt;&gt;"",VLOOKUP(H2324,TABLEITEM,2,FALSE),"")</f>
        <v/>
      </c>
      <c r="M2324" s="13" t="str">
        <f>IF(D2324&lt;&gt;"",VLOOKUP(H2324,TABLEITEM,3,FALSE),"")</f>
        <v>สีฝุ่น M70460 CN</v>
      </c>
      <c r="N2324" s="14">
        <f>INSTOCK!$I2324*INSTOCK!$K2324</f>
        <v>2975</v>
      </c>
      <c r="O2324" s="4" t="s">
        <v>714</v>
      </c>
      <c r="P2324" s="4"/>
    </row>
    <row r="2325" ht="15.75" hidden="1" customHeight="1">
      <c r="B2325" s="8">
        <v>2644.0</v>
      </c>
      <c r="C2325" s="9">
        <v>43544.0</v>
      </c>
      <c r="D2325" s="6" t="s">
        <v>3135</v>
      </c>
      <c r="E2325" s="4">
        <v>6.203000427E9</v>
      </c>
      <c r="F2325" s="8" t="s">
        <v>604</v>
      </c>
      <c r="G2325" s="4" t="s">
        <v>1870</v>
      </c>
      <c r="H2325" s="10" t="s">
        <v>1998</v>
      </c>
      <c r="I2325" s="10">
        <v>2000.0</v>
      </c>
      <c r="J2325" s="11" t="str">
        <f>IF(D2325&lt;&gt;"",VLOOKUP(H2325,TABLEITEM,5,FALSE),"")</f>
        <v>EA</v>
      </c>
      <c r="K2325" s="12">
        <v>0.33</v>
      </c>
      <c r="L2325" s="13" t="str">
        <f>IF(D2325&lt;&gt;"",VLOOKUP(H2325,TABLEITEM,2,FALSE),"")</f>
        <v/>
      </c>
      <c r="M2325" s="13" t="str">
        <f>IF(D2325&lt;&gt;"",VLOOKUP(H2325,TABLEITEM,3,FALSE),"")</f>
        <v>แหวนอีแปะ M10   HDG</v>
      </c>
      <c r="N2325" s="14">
        <f>INSTOCK!$I2325*INSTOCK!$K2325</f>
        <v>660</v>
      </c>
      <c r="O2325" s="4" t="s">
        <v>3136</v>
      </c>
      <c r="P2325" s="4"/>
    </row>
    <row r="2326" ht="15.75" hidden="1" customHeight="1">
      <c r="B2326" s="8">
        <v>2645.0</v>
      </c>
      <c r="C2326" s="9">
        <v>43544.0</v>
      </c>
      <c r="D2326" s="6" t="s">
        <v>3137</v>
      </c>
      <c r="E2326" s="4">
        <v>6.203000421E9</v>
      </c>
      <c r="F2326" s="8" t="s">
        <v>604</v>
      </c>
      <c r="G2326" s="4" t="s">
        <v>2320</v>
      </c>
      <c r="H2326" s="10" t="s">
        <v>513</v>
      </c>
      <c r="I2326" s="10">
        <v>200.0</v>
      </c>
      <c r="J2326" s="11" t="str">
        <f>IF(D2326&lt;&gt;"",VLOOKUP(H2326,TABLEITEM,5,FALSE),"")</f>
        <v>M</v>
      </c>
      <c r="K2326" s="12">
        <v>35.955</v>
      </c>
      <c r="L2326" s="13" t="str">
        <f>IF(D2326&lt;&gt;"",VLOOKUP(H2326,TABLEITEM,2,FALSE),"")</f>
        <v>wire</v>
      </c>
      <c r="M2326" s="13" t="str">
        <f>IF(D2326&lt;&gt;"",VLOOKUP(H2326,TABLEITEM,3,FALSE),"")</f>
        <v>สายTHW ขนาด 1x16 SQMM.สีดำ</v>
      </c>
      <c r="N2326" s="14">
        <f>INSTOCK!$I2326*INSTOCK!$K2326</f>
        <v>7191</v>
      </c>
      <c r="O2326" s="4" t="s">
        <v>1476</v>
      </c>
      <c r="P2326" s="4"/>
    </row>
    <row r="2327" ht="15.75" hidden="1" customHeight="1">
      <c r="B2327" s="8">
        <v>2646.0</v>
      </c>
      <c r="C2327" s="9">
        <v>43543.0</v>
      </c>
      <c r="D2327" s="6">
        <v>4.1902659E8</v>
      </c>
      <c r="E2327" s="4">
        <v>6.203000406E9</v>
      </c>
      <c r="F2327" s="8" t="s">
        <v>604</v>
      </c>
      <c r="G2327" s="4" t="s">
        <v>1274</v>
      </c>
      <c r="H2327" s="10" t="s">
        <v>21</v>
      </c>
      <c r="I2327" s="10">
        <v>400.0</v>
      </c>
      <c r="J2327" s="11" t="str">
        <f>IF(D2327&lt;&gt;"",VLOOKUP(H2327,TABLEITEM,5,FALSE),"")</f>
        <v>EA</v>
      </c>
      <c r="K2327" s="12">
        <v>45.0</v>
      </c>
      <c r="L2327" s="13" t="str">
        <f>IF(D2327&lt;&gt;"",VLOOKUP(H2327,TABLEITEM,2,FALSE),"")</f>
        <v/>
      </c>
      <c r="M2327" s="13" t="str">
        <f>IF(D2327&lt;&gt;"",VLOOKUP(H2327,TABLEITEM,3,FALSE),"")</f>
        <v>ใบหินเจียร์ 4'' </v>
      </c>
      <c r="N2327" s="14">
        <f>INSTOCK!$I2327*INSTOCK!$K2327</f>
        <v>18000</v>
      </c>
      <c r="O2327" s="4"/>
      <c r="P2327" s="4"/>
    </row>
    <row r="2328" ht="15.75" hidden="1" customHeight="1">
      <c r="B2328" s="8">
        <v>2647.0</v>
      </c>
      <c r="C2328" s="9">
        <v>43544.0</v>
      </c>
      <c r="D2328" s="6">
        <v>37915.0</v>
      </c>
      <c r="E2328" s="4">
        <v>6.203000426E9</v>
      </c>
      <c r="F2328" s="8" t="s">
        <v>604</v>
      </c>
      <c r="G2328" s="4" t="s">
        <v>696</v>
      </c>
      <c r="H2328" s="10" t="s">
        <v>2730</v>
      </c>
      <c r="I2328" s="10">
        <v>72.0</v>
      </c>
      <c r="J2328" s="11" t="str">
        <f>IF(D2328&lt;&gt;"",VLOOKUP(H2328,TABLEITEM,5,FALSE),"")</f>
        <v>EA</v>
      </c>
      <c r="K2328" s="12">
        <v>46.0</v>
      </c>
      <c r="L2328" s="13" t="str">
        <f>IF(D2328&lt;&gt;"",VLOOKUP(H2328,TABLEITEM,2,FALSE),"")</f>
        <v/>
      </c>
      <c r="M2328" s="13" t="str">
        <f>IF(D2328&lt;&gt;"",VLOOKUP(H2328,TABLEITEM,3,FALSE),"")</f>
        <v>กระดาษกาวย่น INTER ขนาด 2"x45 หลา</v>
      </c>
      <c r="N2328" s="14">
        <f>INSTOCK!$I2328*INSTOCK!$K2328</f>
        <v>3312</v>
      </c>
      <c r="O2328" s="4"/>
      <c r="P2328" s="4"/>
    </row>
    <row r="2329" ht="15.75" hidden="1" customHeight="1">
      <c r="B2329" s="8">
        <v>2648.0</v>
      </c>
      <c r="C2329" s="9">
        <v>43542.0</v>
      </c>
      <c r="D2329" s="6" t="s">
        <v>3138</v>
      </c>
      <c r="E2329" s="4">
        <v>6.203000411E9</v>
      </c>
      <c r="F2329" s="8" t="s">
        <v>1383</v>
      </c>
      <c r="G2329" s="4" t="s">
        <v>1446</v>
      </c>
      <c r="H2329" s="10" t="s">
        <v>3139</v>
      </c>
      <c r="I2329" s="10">
        <v>100.0</v>
      </c>
      <c r="J2329" s="11" t="str">
        <f>IF(D2329&lt;&gt;"",VLOOKUP(H2329,TABLEITEM,5,FALSE),"")</f>
        <v>M</v>
      </c>
      <c r="K2329" s="12">
        <v>170.95</v>
      </c>
      <c r="L2329" s="13" t="str">
        <f>IF(D2329&lt;&gt;"",VLOOKUP(H2329,TABLEITEM,2,FALSE),"")</f>
        <v/>
      </c>
      <c r="M2329" s="13" t="str">
        <f>IF(D2329&lt;&gt;"",VLOOKUP(H2329,TABLEITEM,3,FALSE),"")</f>
        <v>สายไฟ CVV 30x1.5 SQMM</v>
      </c>
      <c r="N2329" s="14">
        <f>INSTOCK!$I2329*INSTOCK!$K2329</f>
        <v>17095</v>
      </c>
      <c r="O2329" s="4" t="s">
        <v>3140</v>
      </c>
      <c r="P2329" s="4"/>
    </row>
    <row r="2330" ht="15.75" hidden="1" customHeight="1">
      <c r="B2330" s="8">
        <v>2649.0</v>
      </c>
      <c r="C2330" s="9">
        <v>43542.0</v>
      </c>
      <c r="D2330" s="6" t="s">
        <v>3138</v>
      </c>
      <c r="E2330" s="4">
        <v>6.203000411E9</v>
      </c>
      <c r="F2330" s="8" t="s">
        <v>1383</v>
      </c>
      <c r="G2330" s="4" t="s">
        <v>1446</v>
      </c>
      <c r="H2330" s="10" t="s">
        <v>2336</v>
      </c>
      <c r="I2330" s="10">
        <v>200.0</v>
      </c>
      <c r="J2330" s="11" t="str">
        <f>IF(D2330&lt;&gt;"",VLOOKUP(H2330,TABLEITEM,5,FALSE),"")</f>
        <v>M</v>
      </c>
      <c r="K2330" s="12">
        <v>70.2</v>
      </c>
      <c r="L2330" s="13" t="str">
        <f>IF(D2330&lt;&gt;"",VLOOKUP(H2330,TABLEITEM,2,FALSE),"")</f>
        <v/>
      </c>
      <c r="M2330" s="13" t="str">
        <f>IF(D2330&lt;&gt;"",VLOOKUP(H2330,TABLEITEM,3,FALSE),"")</f>
        <v>สายไฟ CVV 10x1.5</v>
      </c>
      <c r="N2330" s="14">
        <f>INSTOCK!$I2330*INSTOCK!$K2330</f>
        <v>14040</v>
      </c>
      <c r="O2330" s="4" t="s">
        <v>3141</v>
      </c>
      <c r="P2330" s="4"/>
    </row>
    <row r="2331" ht="15.75" hidden="1" customHeight="1">
      <c r="B2331" s="8">
        <v>2650.0</v>
      </c>
      <c r="C2331" s="9">
        <v>43542.0</v>
      </c>
      <c r="D2331" s="6" t="s">
        <v>3138</v>
      </c>
      <c r="E2331" s="4">
        <v>6.203000411E9</v>
      </c>
      <c r="F2331" s="8" t="s">
        <v>1383</v>
      </c>
      <c r="G2331" s="4" t="s">
        <v>1446</v>
      </c>
      <c r="H2331" s="10" t="s">
        <v>3142</v>
      </c>
      <c r="I2331" s="10">
        <v>200.0</v>
      </c>
      <c r="J2331" s="11" t="str">
        <f>IF(D2331&lt;&gt;"",VLOOKUP(H2331,TABLEITEM,5,FALSE),"")</f>
        <v>M</v>
      </c>
      <c r="K2331" s="12">
        <v>97.1</v>
      </c>
      <c r="L2331" s="13" t="str">
        <f>IF(D2331&lt;&gt;"",VLOOKUP(H2331,TABLEITEM,2,FALSE),"")</f>
        <v/>
      </c>
      <c r="M2331" s="13" t="str">
        <f>IF(D2331&lt;&gt;"",VLOOKUP(H2331,TABLEITEM,3,FALSE),"")</f>
        <v>สายไฟ CVV 15x1.5 SQMM</v>
      </c>
      <c r="N2331" s="14">
        <f>INSTOCK!$I2331*INSTOCK!$K2331</f>
        <v>19420</v>
      </c>
      <c r="O2331" s="4" t="s">
        <v>3143</v>
      </c>
      <c r="P2331" s="4"/>
    </row>
    <row r="2332" ht="15.75" hidden="1" customHeight="1">
      <c r="B2332" s="8">
        <v>2651.0</v>
      </c>
      <c r="C2332" s="9">
        <v>43542.0</v>
      </c>
      <c r="D2332" s="6" t="s">
        <v>3144</v>
      </c>
      <c r="E2332" s="4">
        <v>6.20300041E9</v>
      </c>
      <c r="F2332" s="8" t="s">
        <v>3145</v>
      </c>
      <c r="G2332" s="4" t="s">
        <v>1446</v>
      </c>
      <c r="H2332" s="10" t="s">
        <v>3146</v>
      </c>
      <c r="I2332" s="10">
        <v>2.0</v>
      </c>
      <c r="J2332" s="11" t="str">
        <f>IF(D2332&lt;&gt;"",VLOOKUP(H2332,TABLEITEM,5,FALSE),"")</f>
        <v>EA</v>
      </c>
      <c r="K2332" s="12">
        <v>250.0</v>
      </c>
      <c r="L2332" s="13" t="str">
        <f>IF(D2332&lt;&gt;"",VLOOKUP(H2332,TABLEITEM,2,FALSE),"")</f>
        <v/>
      </c>
      <c r="M2332" s="13" t="str">
        <f>IF(D2332&lt;&gt;"",VLOOKUP(H2332,TABLEITEM,3,FALSE),"")</f>
        <v>กล่องขยายสัญญาณโทรศัพท์</v>
      </c>
      <c r="N2332" s="14">
        <f>INSTOCK!$I2332*INSTOCK!$K2332</f>
        <v>500</v>
      </c>
      <c r="O2332" s="4"/>
      <c r="P2332" s="4"/>
    </row>
    <row r="2333" ht="15.75" hidden="1" customHeight="1">
      <c r="B2333" s="8">
        <v>2652.0</v>
      </c>
      <c r="C2333" s="9">
        <v>43545.0</v>
      </c>
      <c r="D2333" s="6">
        <v>274252.0</v>
      </c>
      <c r="E2333" s="4">
        <v>6.203000428E9</v>
      </c>
      <c r="F2333" s="8" t="s">
        <v>604</v>
      </c>
      <c r="G2333" s="4" t="s">
        <v>3147</v>
      </c>
      <c r="H2333" s="18" t="s">
        <v>49</v>
      </c>
      <c r="I2333" s="10">
        <v>50.0</v>
      </c>
      <c r="J2333" s="11" t="str">
        <f>IF(D2333&lt;&gt;"",VLOOKUP(H2333,TABLEITEM,5,FALSE),"")</f>
        <v>EA</v>
      </c>
      <c r="K2333" s="12">
        <v>123.0</v>
      </c>
      <c r="L2333" s="13" t="str">
        <f>IF(D2333&lt;&gt;"",VLOOKUP(H2333,TABLEITEM,2,FALSE),"")</f>
        <v/>
      </c>
      <c r="M2333" s="13" t="str">
        <f>IF(D2333&lt;&gt;"",VLOOKUP(H2333,TABLEITEM,3,FALSE),"")</f>
        <v>กระดาษกาว2 หน้า 8 มิล</v>
      </c>
      <c r="N2333" s="14">
        <f>INSTOCK!$I2333*INSTOCK!$K2333</f>
        <v>6150</v>
      </c>
      <c r="O2333" s="4"/>
      <c r="P2333" s="4"/>
    </row>
    <row r="2334" ht="15.75" hidden="1" customHeight="1">
      <c r="B2334" s="8">
        <v>2653.0</v>
      </c>
      <c r="C2334" s="9">
        <v>43543.0</v>
      </c>
      <c r="D2334" s="6" t="s">
        <v>3148</v>
      </c>
      <c r="E2334" s="4"/>
      <c r="F2334" s="8" t="s">
        <v>3149</v>
      </c>
      <c r="G2334" s="4" t="s">
        <v>3150</v>
      </c>
      <c r="H2334" s="10" t="s">
        <v>3151</v>
      </c>
      <c r="I2334" s="10">
        <v>1.0</v>
      </c>
      <c r="J2334" s="11" t="str">
        <f>IF(D2334&lt;&gt;"",VLOOKUP(H2334,TABLEITEM,5,FALSE),"")</f>
        <v>EA</v>
      </c>
      <c r="K2334" s="12">
        <v>3000.0</v>
      </c>
      <c r="L2334" s="13" t="str">
        <f>IF(D2334&lt;&gt;"",VLOOKUP(H2334,TABLEITEM,2,FALSE),"")</f>
        <v/>
      </c>
      <c r="M2334" s="13" t="str">
        <f>IF(D2334&lt;&gt;"",VLOOKUP(H2334,TABLEITEM,3,FALSE),"")</f>
        <v>หินเกล็ด ใหญ่</v>
      </c>
      <c r="N2334" s="14">
        <f>INSTOCK!$I2334*INSTOCK!$K2334</f>
        <v>3000</v>
      </c>
      <c r="O2334" s="4" t="s">
        <v>3152</v>
      </c>
      <c r="P2334" s="4"/>
    </row>
    <row r="2335" ht="15.75" hidden="1" customHeight="1">
      <c r="B2335" s="8">
        <v>2654.0</v>
      </c>
      <c r="C2335" s="9">
        <v>43543.0</v>
      </c>
      <c r="D2335" s="6" t="s">
        <v>3148</v>
      </c>
      <c r="E2335" s="4"/>
      <c r="F2335" s="8" t="s">
        <v>3149</v>
      </c>
      <c r="G2335" s="4" t="s">
        <v>3150</v>
      </c>
      <c r="H2335" s="10" t="s">
        <v>3153</v>
      </c>
      <c r="I2335" s="10">
        <v>8.0</v>
      </c>
      <c r="J2335" s="11" t="str">
        <f>IF(D2335&lt;&gt;"",VLOOKUP(H2335,TABLEITEM,5,FALSE),"")</f>
        <v>EA</v>
      </c>
      <c r="K2335" s="12">
        <v>216.82</v>
      </c>
      <c r="L2335" s="13" t="str">
        <f>IF(D2335&lt;&gt;"",VLOOKUP(H2335,TABLEITEM,2,FALSE),"")</f>
        <v/>
      </c>
      <c r="M2335" s="13" t="str">
        <f>IF(D2335&lt;&gt;"",VLOOKUP(H2335,TABLEITEM,3,FALSE),"")</f>
        <v>ขอบคันหินใหญ่ 15x30x100ซม.</v>
      </c>
      <c r="N2335" s="14">
        <f>INSTOCK!$I2335*INSTOCK!$K2335</f>
        <v>1734.56</v>
      </c>
      <c r="O2335" s="4"/>
      <c r="P2335" s="4"/>
    </row>
    <row r="2336" ht="15.75" hidden="1" customHeight="1">
      <c r="B2336" s="8">
        <v>2655.0</v>
      </c>
      <c r="C2336" s="9">
        <v>43543.0</v>
      </c>
      <c r="D2336" s="6" t="s">
        <v>3154</v>
      </c>
      <c r="E2336" s="4">
        <v>6.203000394E9</v>
      </c>
      <c r="F2336" s="8" t="s">
        <v>604</v>
      </c>
      <c r="G2336" s="4" t="s">
        <v>1777</v>
      </c>
      <c r="H2336" s="10" t="s">
        <v>3118</v>
      </c>
      <c r="I2336" s="10">
        <v>10000.0</v>
      </c>
      <c r="J2336" s="11" t="str">
        <f>IF(D2336&lt;&gt;"",VLOOKUP(H2336,TABLEITEM,5,FALSE),"")</f>
        <v>EA</v>
      </c>
      <c r="K2336" s="12">
        <v>1.05</v>
      </c>
      <c r="L2336" s="13" t="str">
        <f>IF(D2336&lt;&gt;"",VLOOKUP(H2336,TABLEITEM,2,FALSE),"")</f>
        <v/>
      </c>
      <c r="M2336" s="13" t="str">
        <f>IF(D2336&lt;&gt;"",VLOOKUP(H2336,TABLEITEM,3,FALSE),"")</f>
        <v>สกรูหัวเหลี่ยมชุบขาว M 6x15</v>
      </c>
      <c r="N2336" s="14">
        <f>INSTOCK!$I2336*INSTOCK!$K2336</f>
        <v>10500</v>
      </c>
      <c r="O2336" s="4" t="s">
        <v>3119</v>
      </c>
      <c r="P2336" s="4"/>
    </row>
    <row r="2337" ht="15.75" hidden="1" customHeight="1">
      <c r="B2337" s="8">
        <v>2656.0</v>
      </c>
      <c r="C2337" s="9">
        <v>43543.0</v>
      </c>
      <c r="D2337" s="6" t="s">
        <v>3154</v>
      </c>
      <c r="E2337" s="4">
        <v>6.203000394E9</v>
      </c>
      <c r="F2337" s="8" t="s">
        <v>604</v>
      </c>
      <c r="G2337" s="4" t="s">
        <v>1777</v>
      </c>
      <c r="H2337" s="10" t="s">
        <v>2100</v>
      </c>
      <c r="I2337" s="10">
        <v>10000.0</v>
      </c>
      <c r="J2337" s="11" t="str">
        <f>IF(D2337&lt;&gt;"",VLOOKUP(H2337,TABLEITEM,5,FALSE),"")</f>
        <v>EA</v>
      </c>
      <c r="K2337" s="12">
        <v>0.7995</v>
      </c>
      <c r="L2337" s="13" t="str">
        <f>IF(D2337&lt;&gt;"",VLOOKUP(H2337,TABLEITEM,2,FALSE),"")</f>
        <v/>
      </c>
      <c r="M2337" s="13" t="str">
        <f>IF(D2337&lt;&gt;"",VLOOKUP(H2337,TABLEITEM,3,FALSE),"")</f>
        <v>สกรูหัวเหลี่ยมชุบขาว M8x20</v>
      </c>
      <c r="N2337" s="14">
        <f>INSTOCK!$I2337*INSTOCK!$K2337</f>
        <v>7995</v>
      </c>
      <c r="O2337" s="4" t="s">
        <v>2101</v>
      </c>
      <c r="P2337" s="4"/>
    </row>
    <row r="2338" ht="15.75" hidden="1" customHeight="1">
      <c r="B2338" s="8">
        <v>2657.0</v>
      </c>
      <c r="C2338" s="9">
        <v>43543.0</v>
      </c>
      <c r="D2338" s="6" t="s">
        <v>3154</v>
      </c>
      <c r="E2338" s="4">
        <v>6.203000394E9</v>
      </c>
      <c r="F2338" s="8" t="s">
        <v>604</v>
      </c>
      <c r="G2338" s="4" t="s">
        <v>1777</v>
      </c>
      <c r="H2338" s="10" t="s">
        <v>3014</v>
      </c>
      <c r="I2338" s="10">
        <v>10000.0</v>
      </c>
      <c r="J2338" s="11" t="str">
        <f>IF(D2338&lt;&gt;"",VLOOKUP(H2338,TABLEITEM,5,FALSE),"")</f>
        <v>EA</v>
      </c>
      <c r="K2338" s="12">
        <v>0.075</v>
      </c>
      <c r="L2338" s="13" t="str">
        <f>IF(D2338&lt;&gt;"",VLOOKUP(H2338,TABLEITEM,2,FALSE),"")</f>
        <v/>
      </c>
      <c r="M2338" s="13" t="str">
        <f>IF(D2338&lt;&gt;"",VLOOKUP(H2338,TABLEITEM,3,FALSE),"")</f>
        <v>แหวนสปริง M 8 ชุบรุ้ง</v>
      </c>
      <c r="N2338" s="14">
        <f>INSTOCK!$I2338*INSTOCK!$K2338</f>
        <v>750</v>
      </c>
      <c r="O2338" s="4" t="s">
        <v>2079</v>
      </c>
      <c r="P2338" s="4"/>
    </row>
    <row r="2339" ht="15.75" hidden="1" customHeight="1">
      <c r="B2339" s="8">
        <v>2658.0</v>
      </c>
      <c r="C2339" s="9">
        <v>43543.0</v>
      </c>
      <c r="D2339" s="6" t="s">
        <v>3154</v>
      </c>
      <c r="E2339" s="4">
        <v>6.203000394E9</v>
      </c>
      <c r="F2339" s="8" t="s">
        <v>604</v>
      </c>
      <c r="G2339" s="4" t="s">
        <v>1777</v>
      </c>
      <c r="H2339" s="10" t="s">
        <v>2080</v>
      </c>
      <c r="I2339" s="10">
        <v>10000.0</v>
      </c>
      <c r="J2339" s="11" t="str">
        <f>IF(D2339&lt;&gt;"",VLOOKUP(H2339,TABLEITEM,5,FALSE),"")</f>
        <v>EA</v>
      </c>
      <c r="K2339" s="12">
        <v>0.36</v>
      </c>
      <c r="L2339" s="13" t="str">
        <f>IF(D2339&lt;&gt;"",VLOOKUP(H2339,TABLEITEM,2,FALSE),"")</f>
        <v/>
      </c>
      <c r="M2339" s="13" t="str">
        <f>IF(D2339&lt;&gt;"",VLOOKUP(H2339,TABLEITEM,3,FALSE),"")</f>
        <v>หัวน็อต M 8 ชุบขาว</v>
      </c>
      <c r="N2339" s="14">
        <f>INSTOCK!$I2339*INSTOCK!$K2339</f>
        <v>3600</v>
      </c>
      <c r="O2339" s="4" t="s">
        <v>2081</v>
      </c>
      <c r="P2339" s="4"/>
    </row>
    <row r="2340" ht="15.75" hidden="1" customHeight="1">
      <c r="B2340" s="8">
        <v>2659.0</v>
      </c>
      <c r="C2340" s="9">
        <v>43543.0</v>
      </c>
      <c r="D2340" s="6" t="s">
        <v>3154</v>
      </c>
      <c r="E2340" s="4">
        <v>6.203000394E9</v>
      </c>
      <c r="F2340" s="8" t="s">
        <v>604</v>
      </c>
      <c r="G2340" s="4" t="s">
        <v>1777</v>
      </c>
      <c r="H2340" s="10" t="s">
        <v>3155</v>
      </c>
      <c r="I2340" s="10">
        <v>2000.0</v>
      </c>
      <c r="J2340" s="11" t="str">
        <f>IF(D2340&lt;&gt;"",VLOOKUP(H2340,TABLEITEM,5,FALSE),"")</f>
        <v>EA</v>
      </c>
      <c r="K2340" s="12">
        <v>1.125</v>
      </c>
      <c r="L2340" s="13" t="str">
        <f>IF(D2340&lt;&gt;"",VLOOKUP(H2340,TABLEITEM,2,FALSE),"")</f>
        <v/>
      </c>
      <c r="M2340" s="13" t="str">
        <f>IF(D2340&lt;&gt;"",VLOOKUP(H2340,TABLEITEM,3,FALSE),"")</f>
        <v>หัวน้อต       M12   ชุบขาว</v>
      </c>
      <c r="N2340" s="14">
        <f>INSTOCK!$I2340*INSTOCK!$K2340</f>
        <v>2250</v>
      </c>
      <c r="O2340" s="4" t="s">
        <v>3156</v>
      </c>
      <c r="P2340" s="4"/>
    </row>
    <row r="2341" ht="15.75" hidden="1" customHeight="1">
      <c r="B2341" s="8">
        <v>2660.0</v>
      </c>
      <c r="C2341" s="9">
        <v>43543.0</v>
      </c>
      <c r="D2341" s="6" t="s">
        <v>3154</v>
      </c>
      <c r="E2341" s="4">
        <v>6.203000394E9</v>
      </c>
      <c r="F2341" s="8" t="s">
        <v>604</v>
      </c>
      <c r="G2341" s="4" t="s">
        <v>1777</v>
      </c>
      <c r="H2341" s="10" t="s">
        <v>2102</v>
      </c>
      <c r="I2341" s="10">
        <v>20000.0</v>
      </c>
      <c r="J2341" s="11" t="str">
        <f>IF(D2341&lt;&gt;"",VLOOKUP(H2341,TABLEITEM,5,FALSE),"")</f>
        <v>EA</v>
      </c>
      <c r="K2341" s="12">
        <v>0.09</v>
      </c>
      <c r="L2341" s="13" t="str">
        <f>IF(D2341&lt;&gt;"",VLOOKUP(H2341,TABLEITEM,2,FALSE),"")</f>
        <v/>
      </c>
      <c r="M2341" s="13" t="str">
        <f>IF(D2341&lt;&gt;"",VLOOKUP(H2341,TABLEITEM,3,FALSE),"")</f>
        <v>แหวนอีแปะ M8 ชุบขาว</v>
      </c>
      <c r="N2341" s="14">
        <f>INSTOCK!$I2341*INSTOCK!$K2341</f>
        <v>1800</v>
      </c>
      <c r="O2341" s="4" t="s">
        <v>2103</v>
      </c>
      <c r="P2341" s="4"/>
    </row>
    <row r="2342" ht="15.75" hidden="1" customHeight="1">
      <c r="B2342" s="8">
        <v>2661.0</v>
      </c>
      <c r="C2342" s="9">
        <v>43543.0</v>
      </c>
      <c r="D2342" s="6" t="s">
        <v>3157</v>
      </c>
      <c r="E2342" s="4">
        <v>6.202000291E9</v>
      </c>
      <c r="F2342" s="8" t="s">
        <v>604</v>
      </c>
      <c r="G2342" s="4" t="s">
        <v>965</v>
      </c>
      <c r="H2342" s="10" t="s">
        <v>45</v>
      </c>
      <c r="I2342" s="10">
        <v>2.0</v>
      </c>
      <c r="J2342" s="11" t="str">
        <f>IF(D2342&lt;&gt;"",VLOOKUP(H2342,TABLEITEM,5,FALSE),"")</f>
        <v>กล</v>
      </c>
      <c r="K2342" s="12">
        <v>280.0</v>
      </c>
      <c r="L2342" s="13" t="str">
        <f>IF(D2342&lt;&gt;"",VLOOKUP(H2342,TABLEITEM,2,FALSE),"")</f>
        <v/>
      </c>
      <c r="M2342" s="13" t="str">
        <f>IF(D2342&lt;&gt;"",VLOOKUP(H2342,TABLEITEM,3,FALSE),"")</f>
        <v>สีโป้ว</v>
      </c>
      <c r="N2342" s="14">
        <f>INSTOCK!$I2342*INSTOCK!$K2342</f>
        <v>560</v>
      </c>
      <c r="O2342" s="4"/>
      <c r="P2342" s="4"/>
    </row>
    <row r="2343" ht="15.75" hidden="1" customHeight="1">
      <c r="B2343" s="8">
        <v>2662.0</v>
      </c>
      <c r="C2343" s="9">
        <v>43543.0</v>
      </c>
      <c r="D2343" s="6" t="s">
        <v>3158</v>
      </c>
      <c r="E2343" s="4">
        <v>6.203000325E9</v>
      </c>
      <c r="F2343" s="8"/>
      <c r="G2343" s="4" t="s">
        <v>965</v>
      </c>
      <c r="H2343" s="10" t="s">
        <v>3159</v>
      </c>
      <c r="I2343" s="10">
        <v>2.0</v>
      </c>
      <c r="J2343" s="11" t="str">
        <f>IF(D2343&lt;&gt;"",VLOOKUP(H2343,TABLEITEM,5,FALSE),"")</f>
        <v>EA</v>
      </c>
      <c r="K2343" s="12">
        <v>500.0</v>
      </c>
      <c r="L2343" s="13" t="str">
        <f>IF(D2343&lt;&gt;"",VLOOKUP(H2343,TABLEITEM,2,FALSE),"")</f>
        <v/>
      </c>
      <c r="M2343" s="13" t="str">
        <f>IF(D2343&lt;&gt;"",VLOOKUP(H2343,TABLEITEM,3,FALSE),"")</f>
        <v>โคมสปอร์ตไลท์ 1500W VETO</v>
      </c>
      <c r="N2343" s="14">
        <f>INSTOCK!$I2343*INSTOCK!$K2343</f>
        <v>1000</v>
      </c>
      <c r="O2343" s="4"/>
      <c r="P2343" s="4"/>
    </row>
    <row r="2344" ht="15.75" hidden="1" customHeight="1">
      <c r="B2344" s="8">
        <v>2663.0</v>
      </c>
      <c r="C2344" s="9">
        <v>43543.0</v>
      </c>
      <c r="D2344" s="6" t="s">
        <v>3160</v>
      </c>
      <c r="E2344" s="4">
        <v>6.20300037E9</v>
      </c>
      <c r="F2344" s="8" t="s">
        <v>604</v>
      </c>
      <c r="G2344" s="4" t="s">
        <v>965</v>
      </c>
      <c r="H2344" s="10" t="s">
        <v>3161</v>
      </c>
      <c r="I2344" s="10">
        <v>100.0</v>
      </c>
      <c r="J2344" s="11" t="str">
        <f>IF(D2344&lt;&gt;"",VLOOKUP(H2344,TABLEITEM,5,FALSE),"")</f>
        <v>EA</v>
      </c>
      <c r="K2344" s="12">
        <v>10.0</v>
      </c>
      <c r="L2344" s="13" t="str">
        <f>IF(D2344&lt;&gt;"",VLOOKUP(H2344,TABLEITEM,2,FALSE),"")</f>
        <v/>
      </c>
      <c r="M2344" s="13" t="str">
        <f>IF(D2344&lt;&gt;"",VLOOKUP(H2344,TABLEITEM,3,FALSE),"")</f>
        <v>ใบตัดเหล็ก 4" SUMO</v>
      </c>
      <c r="N2344" s="14">
        <f>INSTOCK!$I2344*INSTOCK!$K2344</f>
        <v>1000</v>
      </c>
      <c r="O2344" s="4"/>
      <c r="P2344" s="4"/>
    </row>
    <row r="2345" ht="15.75" hidden="1" customHeight="1">
      <c r="B2345" s="8">
        <v>2664.0</v>
      </c>
      <c r="C2345" s="9">
        <v>43543.0</v>
      </c>
      <c r="D2345" s="6" t="s">
        <v>3160</v>
      </c>
      <c r="E2345" s="4">
        <v>6.20300037E9</v>
      </c>
      <c r="F2345" s="8" t="s">
        <v>3162</v>
      </c>
      <c r="G2345" s="4" t="s">
        <v>965</v>
      </c>
      <c r="H2345" s="10" t="s">
        <v>3163</v>
      </c>
      <c r="I2345" s="10">
        <v>2.0</v>
      </c>
      <c r="J2345" s="11" t="str">
        <f>IF(D2345&lt;&gt;"",VLOOKUP(H2345,TABLEITEM,5,FALSE),"")</f>
        <v>EA</v>
      </c>
      <c r="K2345" s="12">
        <v>15.0</v>
      </c>
      <c r="L2345" s="13" t="str">
        <f>IF(D2345&lt;&gt;"",VLOOKUP(H2345,TABLEITEM,2,FALSE),"")</f>
        <v/>
      </c>
      <c r="M2345" s="13" t="str">
        <f>IF(D2345&lt;&gt;"",VLOOKUP(H2345,TABLEITEM,3,FALSE),"")</f>
        <v>สายรัดมอเตอร์ไซร์</v>
      </c>
      <c r="N2345" s="14">
        <f>INSTOCK!$I2345*INSTOCK!$K2345</f>
        <v>30</v>
      </c>
      <c r="O2345" s="4"/>
      <c r="P2345" s="4"/>
    </row>
    <row r="2346" ht="15.75" hidden="1" customHeight="1">
      <c r="B2346" s="8">
        <v>2665.0</v>
      </c>
      <c r="C2346" s="9">
        <v>43545.0</v>
      </c>
      <c r="D2346" s="6" t="s">
        <v>3164</v>
      </c>
      <c r="E2346" s="4">
        <v>6.203000432E9</v>
      </c>
      <c r="F2346" s="8" t="s">
        <v>604</v>
      </c>
      <c r="G2346" s="4" t="s">
        <v>965</v>
      </c>
      <c r="H2346" s="10" t="s">
        <v>42</v>
      </c>
      <c r="I2346" s="10">
        <v>2.0</v>
      </c>
      <c r="J2346" s="11" t="str">
        <f>IF(D2346&lt;&gt;"",VLOOKUP(H2346,TABLEITEM,5,FALSE),"")</f>
        <v>กล.</v>
      </c>
      <c r="K2346" s="12">
        <v>250.0</v>
      </c>
      <c r="L2346" s="13" t="str">
        <f>IF(D2346&lt;&gt;"",VLOOKUP(H2346,TABLEITEM,2,FALSE),"")</f>
        <v/>
      </c>
      <c r="M2346" s="13" t="str">
        <f>IF(D2346&lt;&gt;"",VLOOKUP(H2346,TABLEITEM,3,FALSE),"")</f>
        <v>แอลกอฮอลดีพิเศษ</v>
      </c>
      <c r="N2346" s="14">
        <f>INSTOCK!$I2346*INSTOCK!$K2346</f>
        <v>500</v>
      </c>
      <c r="O2346" s="4"/>
      <c r="P2346" s="4"/>
    </row>
    <row r="2347" ht="15.75" hidden="1" customHeight="1">
      <c r="B2347" s="8">
        <v>2666.0</v>
      </c>
      <c r="C2347" s="9">
        <v>43545.0</v>
      </c>
      <c r="D2347" s="6" t="s">
        <v>3164</v>
      </c>
      <c r="E2347" s="4">
        <v>6.203000432E9</v>
      </c>
      <c r="F2347" s="8" t="s">
        <v>604</v>
      </c>
      <c r="G2347" s="4" t="s">
        <v>965</v>
      </c>
      <c r="H2347" s="10" t="s">
        <v>2906</v>
      </c>
      <c r="I2347" s="10">
        <v>10.0</v>
      </c>
      <c r="J2347" s="11" t="str">
        <f>IF(D2347&lt;&gt;"",VLOOKUP(H2347,TABLEITEM,5,FALSE),"")</f>
        <v>EA</v>
      </c>
      <c r="K2347" s="12">
        <v>10.0</v>
      </c>
      <c r="L2347" s="13" t="str">
        <f>IF(D2347&lt;&gt;"",VLOOKUP(H2347,TABLEITEM,2,FALSE),"")</f>
        <v/>
      </c>
      <c r="M2347" s="13" t="str">
        <f>IF(D2347&lt;&gt;"",VLOOKUP(H2347,TABLEITEM,3,FALSE),"")</f>
        <v>ภู่กัน #8</v>
      </c>
      <c r="N2347" s="14">
        <f>INSTOCK!$I2347*INSTOCK!$K2347</f>
        <v>100</v>
      </c>
      <c r="O2347" s="4"/>
      <c r="P2347" s="4"/>
    </row>
    <row r="2348" ht="15.75" hidden="1" customHeight="1">
      <c r="B2348" s="8">
        <v>2667.0</v>
      </c>
      <c r="C2348" s="9">
        <v>43545.0</v>
      </c>
      <c r="D2348" s="6" t="s">
        <v>3165</v>
      </c>
      <c r="E2348" s="4">
        <v>6.203000415E9</v>
      </c>
      <c r="F2348" s="8" t="s">
        <v>3166</v>
      </c>
      <c r="G2348" s="4" t="s">
        <v>965</v>
      </c>
      <c r="H2348" s="10" t="s">
        <v>2151</v>
      </c>
      <c r="I2348" s="10">
        <v>1.0</v>
      </c>
      <c r="J2348" s="11" t="str">
        <f>IF(D2348&lt;&gt;"",VLOOKUP(H2348,TABLEITEM,5,FALSE),"")</f>
        <v>EA</v>
      </c>
      <c r="K2348" s="12">
        <v>1400.0</v>
      </c>
      <c r="L2348" s="13" t="str">
        <f>IF(D2348&lt;&gt;"",VLOOKUP(H2348,TABLEITEM,2,FALSE),"")</f>
        <v/>
      </c>
      <c r="M2348" s="13" t="str">
        <f>IF(D2348&lt;&gt;"",VLOOKUP(H2348,TABLEITEM,3,FALSE),"")</f>
        <v>เครื่องเจียร์ 7-100 BOSCH</v>
      </c>
      <c r="N2348" s="14">
        <f>INSTOCK!$I2348*INSTOCK!$K2348</f>
        <v>1400</v>
      </c>
      <c r="O2348" s="4"/>
      <c r="P2348" s="4"/>
    </row>
    <row r="2349" ht="15.75" hidden="1" customHeight="1">
      <c r="B2349" s="8">
        <v>2668.0</v>
      </c>
      <c r="C2349" s="9">
        <v>43545.0</v>
      </c>
      <c r="D2349" s="6" t="s">
        <v>3165</v>
      </c>
      <c r="E2349" s="4">
        <v>6.203000415E9</v>
      </c>
      <c r="F2349" s="8" t="s">
        <v>1626</v>
      </c>
      <c r="G2349" s="4" t="s">
        <v>965</v>
      </c>
      <c r="H2349" s="10" t="s">
        <v>3167</v>
      </c>
      <c r="I2349" s="10">
        <v>5.0</v>
      </c>
      <c r="J2349" s="11" t="str">
        <f>IF(D2349&lt;&gt;"",VLOOKUP(H2349,TABLEITEM,5,FALSE),"")</f>
        <v>EA</v>
      </c>
      <c r="K2349" s="12">
        <v>35.0</v>
      </c>
      <c r="L2349" s="13" t="str">
        <f>IF(D2349&lt;&gt;"",VLOOKUP(H2349,TABLEITEM,2,FALSE),"")</f>
        <v/>
      </c>
      <c r="M2349" s="13" t="str">
        <f>IF(D2349&lt;&gt;"",VLOOKUP(H2349,TABLEITEM,3,FALSE),"")</f>
        <v>ไส้หมวกเซฟตี้</v>
      </c>
      <c r="N2349" s="14">
        <f>INSTOCK!$I2349*INSTOCK!$K2349</f>
        <v>175</v>
      </c>
      <c r="O2349" s="4"/>
      <c r="P2349" s="4"/>
    </row>
    <row r="2350" ht="15.75" hidden="1" customHeight="1">
      <c r="B2350" s="8">
        <v>2669.0</v>
      </c>
      <c r="C2350" s="9">
        <v>43546.0</v>
      </c>
      <c r="D2350" s="6" t="s">
        <v>3168</v>
      </c>
      <c r="E2350" s="4">
        <v>6.203000438E9</v>
      </c>
      <c r="F2350" s="8" t="s">
        <v>604</v>
      </c>
      <c r="G2350" s="4" t="s">
        <v>737</v>
      </c>
      <c r="H2350" s="10" t="s">
        <v>20</v>
      </c>
      <c r="I2350" s="10">
        <v>10.0</v>
      </c>
      <c r="J2350" s="11" t="str">
        <f>IF(D2350&lt;&gt;"",VLOOKUP(H2350,TABLEITEM,5,FALSE),"")</f>
        <v>ROLL</v>
      </c>
      <c r="K2350" s="12">
        <v>795.0</v>
      </c>
      <c r="L2350" s="13" t="str">
        <f>IF(D2350&lt;&gt;"",VLOOKUP(H2350,TABLEITEM,2,FALSE),"")</f>
        <v/>
      </c>
      <c r="M2350" s="13" t="str">
        <f>IF(D2350&lt;&gt;"",VLOOKUP(H2350,TABLEITEM,3,FALSE),"")</f>
        <v>ลวดเชื่อมco2</v>
      </c>
      <c r="N2350" s="14">
        <f>INSTOCK!$I2350*INSTOCK!$K2350</f>
        <v>7950</v>
      </c>
      <c r="O2350" s="4" t="s">
        <v>3169</v>
      </c>
      <c r="P2350" s="4"/>
    </row>
    <row r="2351" ht="15.75" hidden="1" customHeight="1">
      <c r="B2351" s="8">
        <v>2670.0</v>
      </c>
      <c r="C2351" s="9">
        <v>43546.0</v>
      </c>
      <c r="D2351" s="6" t="s">
        <v>3170</v>
      </c>
      <c r="E2351" s="4">
        <v>6.203000433E9</v>
      </c>
      <c r="F2351" s="8" t="s">
        <v>604</v>
      </c>
      <c r="G2351" s="4" t="s">
        <v>2679</v>
      </c>
      <c r="H2351" s="10" t="s">
        <v>3171</v>
      </c>
      <c r="I2351" s="10">
        <v>10.0</v>
      </c>
      <c r="J2351" s="11" t="str">
        <f>IF(D2351&lt;&gt;"",VLOOKUP(H2351,TABLEITEM,5,FALSE),"")</f>
        <v>แผ่น</v>
      </c>
      <c r="K2351" s="12">
        <v>1480.0</v>
      </c>
      <c r="L2351" s="13" t="str">
        <f>IF(D2351&lt;&gt;"",VLOOKUP(H2351,TABLEITEM,2,FALSE),"")</f>
        <v/>
      </c>
      <c r="M2351" s="13" t="str">
        <f>IF(D2351&lt;&gt;"",VLOOKUP(H2351,TABLEITEM,3,FALSE),"")</f>
        <v>GRAVOGRAPH 2MATTE BLACK/WHITE</v>
      </c>
      <c r="N2351" s="14">
        <f>INSTOCK!$I2351*INSTOCK!$K2351</f>
        <v>14800</v>
      </c>
      <c r="O2351" s="4"/>
      <c r="P2351" s="4"/>
    </row>
    <row r="2352" ht="15.75" hidden="1" customHeight="1">
      <c r="B2352" s="8">
        <v>2671.0</v>
      </c>
      <c r="C2352" s="9">
        <v>43546.0</v>
      </c>
      <c r="D2352" s="6" t="s">
        <v>3172</v>
      </c>
      <c r="E2352" s="4">
        <v>6.203000435E9</v>
      </c>
      <c r="F2352" s="8" t="s">
        <v>604</v>
      </c>
      <c r="G2352" s="4" t="s">
        <v>702</v>
      </c>
      <c r="H2352" s="10" t="s">
        <v>83</v>
      </c>
      <c r="I2352" s="10">
        <v>100.0</v>
      </c>
      <c r="J2352" s="11" t="str">
        <f>IF(D2352&lt;&gt;"",VLOOKUP(H2352,TABLEITEM,5,FALSE),"")</f>
        <v>KG.</v>
      </c>
      <c r="K2352" s="12">
        <v>125.0</v>
      </c>
      <c r="L2352" s="13" t="str">
        <f>IF(D2352&lt;&gt;"",VLOOKUP(H2352,TABLEITEM,2,FALSE),"")</f>
        <v/>
      </c>
      <c r="M2352" s="13" t="str">
        <f>IF(D2352&lt;&gt;"",VLOOKUP(H2352,TABLEITEM,3,FALSE),"")</f>
        <v>สีฝุ่น FF 110/90/C สีขาวเรียบ</v>
      </c>
      <c r="N2352" s="14">
        <f>INSTOCK!$I2352*INSTOCK!$K2352</f>
        <v>12500</v>
      </c>
      <c r="O2352" s="4"/>
      <c r="P2352" s="4"/>
    </row>
    <row r="2353" ht="15.75" hidden="1" customHeight="1">
      <c r="B2353" s="8">
        <v>2672.0</v>
      </c>
      <c r="C2353" s="9">
        <v>43546.0</v>
      </c>
      <c r="D2353" s="6" t="s">
        <v>3173</v>
      </c>
      <c r="E2353" s="4" t="s">
        <v>3174</v>
      </c>
      <c r="F2353" s="8" t="s">
        <v>604</v>
      </c>
      <c r="G2353" s="4" t="s">
        <v>2453</v>
      </c>
      <c r="H2353" s="10" t="s">
        <v>2905</v>
      </c>
      <c r="I2353" s="10">
        <v>20.0</v>
      </c>
      <c r="J2353" s="11" t="str">
        <f>IF(D2353&lt;&gt;"",VLOOKUP(H2353,TABLEITEM,5,FALSE),"")</f>
        <v>EA</v>
      </c>
      <c r="K2353" s="12">
        <v>26.6</v>
      </c>
      <c r="L2353" s="13" t="str">
        <f>IF(D2353&lt;&gt;"",VLOOKUP(H2353,TABLEITEM,2,FALSE),"")</f>
        <v/>
      </c>
      <c r="M2353" s="13" t="str">
        <f>IF(D2353&lt;&gt;"",VLOOKUP(H2353,TABLEITEM,3,FALSE),"")</f>
        <v>ดอกสว่าน NACHI 3.3 MM</v>
      </c>
      <c r="N2353" s="14">
        <f>INSTOCK!$I2353*INSTOCK!$K2353</f>
        <v>532</v>
      </c>
      <c r="O2353" s="4"/>
      <c r="P2353" s="4"/>
    </row>
    <row r="2354" ht="15.75" hidden="1" customHeight="1">
      <c r="B2354" s="8">
        <v>2673.0</v>
      </c>
      <c r="C2354" s="9">
        <v>43546.0</v>
      </c>
      <c r="D2354" s="6" t="s">
        <v>3175</v>
      </c>
      <c r="E2354" s="4">
        <v>6.203000423E9</v>
      </c>
      <c r="F2354" s="8" t="s">
        <v>604</v>
      </c>
      <c r="G2354" s="4" t="s">
        <v>2144</v>
      </c>
      <c r="H2354" s="18" t="s">
        <v>186</v>
      </c>
      <c r="I2354" s="10">
        <v>1000.0</v>
      </c>
      <c r="J2354" s="11" t="str">
        <f>IF(D2354&lt;&gt;"",VLOOKUP(H2354,TABLEITEM,5,FALSE),"")</f>
        <v>EA</v>
      </c>
      <c r="K2354" s="12">
        <v>8.0</v>
      </c>
      <c r="L2354" s="13" t="str">
        <f>IF(D2354&lt;&gt;"",VLOOKUP(H2354,TABLEITEM,2,FALSE),"")</f>
        <v/>
      </c>
      <c r="M2354" s="13" t="str">
        <f>IF(D2354&lt;&gt;"",VLOOKUP(H2354,TABLEITEM,3,FALSE),"")</f>
        <v>ซองเนมเพลท 20x65</v>
      </c>
      <c r="N2354" s="14">
        <f>INSTOCK!$I2354*INSTOCK!$K2354</f>
        <v>8000</v>
      </c>
      <c r="O2354" s="4"/>
      <c r="P2354" s="4"/>
    </row>
    <row r="2355" ht="15.75" hidden="1" customHeight="1">
      <c r="B2355" s="8">
        <v>2674.0</v>
      </c>
      <c r="C2355" s="9">
        <v>43540.0</v>
      </c>
      <c r="D2355" s="6" t="s">
        <v>3176</v>
      </c>
      <c r="E2355" s="4"/>
      <c r="F2355" s="8" t="s">
        <v>3149</v>
      </c>
      <c r="G2355" s="4" t="s">
        <v>3150</v>
      </c>
      <c r="H2355" s="10" t="s">
        <v>3177</v>
      </c>
      <c r="I2355" s="10">
        <v>15.0</v>
      </c>
      <c r="J2355" s="11" t="str">
        <f>IF(D2355&lt;&gt;"",VLOOKUP(H2355,TABLEITEM,5,FALSE),"")</f>
        <v>EA</v>
      </c>
      <c r="K2355" s="12">
        <v>2051.41</v>
      </c>
      <c r="L2355" s="13" t="str">
        <f>IF(D2355&lt;&gt;"",VLOOKUP(H2355,TABLEITEM,2,FALSE),"")</f>
        <v/>
      </c>
      <c r="M2355" s="13" t="str">
        <f>IF(D2355&lt;&gt;"",VLOOKUP(H2355,TABLEITEM,3,FALSE),"")</f>
        <v>คอนกรีต CPAC SUPER PLUS กำลังอัด 280กก /ตร.ซม 28F</v>
      </c>
      <c r="N2355" s="14">
        <f>INSTOCK!$I2355*INSTOCK!$K2355</f>
        <v>30771.15</v>
      </c>
      <c r="O2355" s="4"/>
      <c r="P2355" s="4"/>
    </row>
    <row r="2356" ht="15.75" hidden="1" customHeight="1">
      <c r="B2356" s="8">
        <v>2675.0</v>
      </c>
      <c r="C2356" s="9">
        <v>43540.0</v>
      </c>
      <c r="D2356" s="6" t="s">
        <v>3178</v>
      </c>
      <c r="E2356" s="4"/>
      <c r="F2356" s="8" t="s">
        <v>3149</v>
      </c>
      <c r="G2356" s="4" t="s">
        <v>3150</v>
      </c>
      <c r="H2356" s="10" t="s">
        <v>3177</v>
      </c>
      <c r="I2356" s="10">
        <v>2.5</v>
      </c>
      <c r="J2356" s="11" t="str">
        <f>IF(D2356&lt;&gt;"",VLOOKUP(H2356,TABLEITEM,5,FALSE),"")</f>
        <v>EA</v>
      </c>
      <c r="K2356" s="12">
        <v>2270.1</v>
      </c>
      <c r="L2356" s="13" t="str">
        <f>IF(D2356&lt;&gt;"",VLOOKUP(H2356,TABLEITEM,2,FALSE),"")</f>
        <v/>
      </c>
      <c r="M2356" s="13" t="str">
        <f>IF(D2356&lt;&gt;"",VLOOKUP(H2356,TABLEITEM,3,FALSE),"")</f>
        <v>คอนกรีต CPAC SUPER PLUS กำลังอัด 280กก /ตร.ซม 28F</v>
      </c>
      <c r="N2356" s="14">
        <f>INSTOCK!$I2356*INSTOCK!$K2356</f>
        <v>5675.25</v>
      </c>
      <c r="O2356" s="4" t="s">
        <v>3179</v>
      </c>
      <c r="P2356" s="4"/>
    </row>
    <row r="2357" ht="15.75" hidden="1" customHeight="1">
      <c r="B2357" s="8">
        <v>2676.0</v>
      </c>
      <c r="C2357" s="9">
        <v>43153.0</v>
      </c>
      <c r="D2357" s="6" t="s">
        <v>3180</v>
      </c>
      <c r="E2357" s="4">
        <v>6.102000223E9</v>
      </c>
      <c r="F2357" s="8" t="s">
        <v>604</v>
      </c>
      <c r="G2357" s="4" t="s">
        <v>1777</v>
      </c>
      <c r="H2357" s="10" t="s">
        <v>3118</v>
      </c>
      <c r="I2357" s="10">
        <v>18000.0</v>
      </c>
      <c r="J2357" s="11" t="str">
        <f>IF(D2357&lt;&gt;"",VLOOKUP(H2357,TABLEITEM,5,FALSE),"")</f>
        <v>EA</v>
      </c>
      <c r="K2357" s="12">
        <v>1.05</v>
      </c>
      <c r="L2357" s="13" t="str">
        <f>IF(D2357&lt;&gt;"",VLOOKUP(H2357,TABLEITEM,2,FALSE),"")</f>
        <v/>
      </c>
      <c r="M2357" s="13" t="str">
        <f>IF(D2357&lt;&gt;"",VLOOKUP(H2357,TABLEITEM,3,FALSE),"")</f>
        <v>สกรูหัวเหลี่ยมชุบขาว M 6x15</v>
      </c>
      <c r="N2357" s="14">
        <f>INSTOCK!$I2357*INSTOCK!$K2357</f>
        <v>18900</v>
      </c>
      <c r="O2357" s="4" t="s">
        <v>3119</v>
      </c>
      <c r="P2357" s="4"/>
    </row>
    <row r="2358" ht="15.75" hidden="1" customHeight="1">
      <c r="B2358" s="8">
        <v>2677.0</v>
      </c>
      <c r="C2358" s="9">
        <v>43153.0</v>
      </c>
      <c r="D2358" s="6" t="s">
        <v>3180</v>
      </c>
      <c r="E2358" s="4">
        <v>6.102000223E9</v>
      </c>
      <c r="F2358" s="8" t="s">
        <v>604</v>
      </c>
      <c r="G2358" s="4" t="s">
        <v>1777</v>
      </c>
      <c r="H2358" s="10" t="s">
        <v>3181</v>
      </c>
      <c r="I2358" s="10">
        <v>10000.0</v>
      </c>
      <c r="J2358" s="11" t="str">
        <f>IF(D2358&lt;&gt;"",VLOOKUP(H2358,TABLEITEM,5,FALSE),"")</f>
        <v>EA</v>
      </c>
      <c r="K2358" s="12">
        <v>0.065</v>
      </c>
      <c r="L2358" s="13" t="str">
        <f>IF(D2358&lt;&gt;"",VLOOKUP(H2358,TABLEITEM,2,FALSE),"")</f>
        <v/>
      </c>
      <c r="M2358" s="13" t="str">
        <f>IF(D2358&lt;&gt;"",VLOOKUP(H2358,TABLEITEM,3,FALSE),"")</f>
        <v>แหวนอีแปะ M6 ชุบขาว</v>
      </c>
      <c r="N2358" s="14">
        <f>INSTOCK!$I2358*INSTOCK!$K2358</f>
        <v>650</v>
      </c>
      <c r="O2358" s="4" t="s">
        <v>3182</v>
      </c>
      <c r="P2358" s="4"/>
    </row>
    <row r="2359" ht="15.75" hidden="1" customHeight="1">
      <c r="B2359" s="8">
        <v>2678.0</v>
      </c>
      <c r="C2359" s="9">
        <v>43153.0</v>
      </c>
      <c r="D2359" s="6" t="s">
        <v>3180</v>
      </c>
      <c r="E2359" s="4">
        <v>6.102000223E9</v>
      </c>
      <c r="F2359" s="8" t="s">
        <v>604</v>
      </c>
      <c r="G2359" s="4" t="s">
        <v>1777</v>
      </c>
      <c r="H2359" s="10" t="s">
        <v>2877</v>
      </c>
      <c r="I2359" s="10">
        <v>12000.0</v>
      </c>
      <c r="J2359" s="11" t="str">
        <f>IF(D2359&lt;&gt;"",VLOOKUP(H2359,TABLEITEM,5,FALSE),"")</f>
        <v>EA</v>
      </c>
      <c r="K2359" s="12">
        <v>0.06</v>
      </c>
      <c r="L2359" s="13" t="str">
        <f>IF(D2359&lt;&gt;"",VLOOKUP(H2359,TABLEITEM,2,FALSE),"")</f>
        <v/>
      </c>
      <c r="M2359" s="13" t="str">
        <f>IF(D2359&lt;&gt;"",VLOOKUP(H2359,TABLEITEM,3,FALSE),"")</f>
        <v>สกรูเกลียวปล่อยหัวเตเปอร์ F+ #6x1/2"</v>
      </c>
      <c r="N2359" s="14">
        <f>INSTOCK!$I2359*INSTOCK!$K2359</f>
        <v>720</v>
      </c>
      <c r="O2359" s="4" t="s">
        <v>3183</v>
      </c>
      <c r="P2359" s="4"/>
    </row>
    <row r="2360" ht="15.75" hidden="1" customHeight="1">
      <c r="B2360" s="8">
        <v>2679.0</v>
      </c>
      <c r="C2360" s="9">
        <v>43153.0</v>
      </c>
      <c r="D2360" s="6" t="s">
        <v>3180</v>
      </c>
      <c r="E2360" s="4">
        <v>6.102000223E9</v>
      </c>
      <c r="F2360" s="8" t="s">
        <v>604</v>
      </c>
      <c r="G2360" s="4" t="s">
        <v>1777</v>
      </c>
      <c r="H2360" s="10" t="s">
        <v>3184</v>
      </c>
      <c r="I2360" s="10">
        <v>10000.0</v>
      </c>
      <c r="J2360" s="11" t="str">
        <f>IF(D2360&lt;&gt;"",VLOOKUP(H2360,TABLEITEM,5,FALSE),"")</f>
        <v>EA</v>
      </c>
      <c r="K2360" s="12">
        <v>0.16</v>
      </c>
      <c r="L2360" s="13" t="str">
        <f>IF(D2360&lt;&gt;"",VLOOKUP(H2360,TABLEITEM,2,FALSE),"")</f>
        <v/>
      </c>
      <c r="M2360" s="13" t="str">
        <f>IF(D2360&lt;&gt;"",VLOOKUP(H2360,TABLEITEM,3,FALSE),"")</f>
        <v>หัวน็อต      M 6 ชุบขาว</v>
      </c>
      <c r="N2360" s="14">
        <f>INSTOCK!$I2360*INSTOCK!$K2360</f>
        <v>1600</v>
      </c>
      <c r="O2360" s="4" t="s">
        <v>3185</v>
      </c>
      <c r="P2360" s="4"/>
    </row>
    <row r="2361" ht="15.75" hidden="1" customHeight="1">
      <c r="B2361" s="8">
        <v>2680.0</v>
      </c>
      <c r="C2361" s="9">
        <v>43153.0</v>
      </c>
      <c r="D2361" s="6" t="s">
        <v>3180</v>
      </c>
      <c r="E2361" s="4">
        <v>6.102000223E9</v>
      </c>
      <c r="F2361" s="8" t="s">
        <v>604</v>
      </c>
      <c r="G2361" s="4" t="s">
        <v>1777</v>
      </c>
      <c r="H2361" s="10" t="s">
        <v>2100</v>
      </c>
      <c r="I2361" s="10">
        <v>10000.0</v>
      </c>
      <c r="J2361" s="11" t="str">
        <f>IF(D2361&lt;&gt;"",VLOOKUP(H2361,TABLEITEM,5,FALSE),"")</f>
        <v>EA</v>
      </c>
      <c r="K2361" s="12">
        <v>0.7995</v>
      </c>
      <c r="L2361" s="13" t="str">
        <f>IF(D2361&lt;&gt;"",VLOOKUP(H2361,TABLEITEM,2,FALSE),"")</f>
        <v/>
      </c>
      <c r="M2361" s="13" t="str">
        <f>IF(D2361&lt;&gt;"",VLOOKUP(H2361,TABLEITEM,3,FALSE),"")</f>
        <v>สกรูหัวเหลี่ยมชุบขาว M8x20</v>
      </c>
      <c r="N2361" s="14">
        <f>INSTOCK!$I2361*INSTOCK!$K2361</f>
        <v>7995</v>
      </c>
      <c r="O2361" s="4" t="s">
        <v>2101</v>
      </c>
      <c r="P2361" s="4"/>
    </row>
    <row r="2362" ht="15.75" hidden="1" customHeight="1">
      <c r="B2362" s="8">
        <v>2681.0</v>
      </c>
      <c r="C2362" s="9">
        <v>43153.0</v>
      </c>
      <c r="D2362" s="6" t="s">
        <v>3180</v>
      </c>
      <c r="E2362" s="4">
        <v>6.102000223E9</v>
      </c>
      <c r="F2362" s="8" t="s">
        <v>604</v>
      </c>
      <c r="G2362" s="4" t="s">
        <v>1777</v>
      </c>
      <c r="H2362" s="10" t="s">
        <v>3014</v>
      </c>
      <c r="I2362" s="10">
        <v>10000.0</v>
      </c>
      <c r="J2362" s="11" t="str">
        <f>IF(D2362&lt;&gt;"",VLOOKUP(H2362,TABLEITEM,5,FALSE),"")</f>
        <v>EA</v>
      </c>
      <c r="K2362" s="12">
        <v>0.075</v>
      </c>
      <c r="L2362" s="13" t="str">
        <f>IF(D2362&lt;&gt;"",VLOOKUP(H2362,TABLEITEM,2,FALSE),"")</f>
        <v/>
      </c>
      <c r="M2362" s="13" t="str">
        <f>IF(D2362&lt;&gt;"",VLOOKUP(H2362,TABLEITEM,3,FALSE),"")</f>
        <v>แหวนสปริง M 8 ชุบรุ้ง</v>
      </c>
      <c r="N2362" s="14">
        <f>INSTOCK!$I2362*INSTOCK!$K2362</f>
        <v>750</v>
      </c>
      <c r="O2362" s="4" t="s">
        <v>3186</v>
      </c>
      <c r="P2362" s="4"/>
    </row>
    <row r="2363" ht="15.75" hidden="1" customHeight="1">
      <c r="B2363" s="8">
        <v>2682.0</v>
      </c>
      <c r="C2363" s="9">
        <v>43153.0</v>
      </c>
      <c r="D2363" s="6" t="s">
        <v>3180</v>
      </c>
      <c r="E2363" s="4">
        <v>6.102000223E9</v>
      </c>
      <c r="F2363" s="8" t="s">
        <v>604</v>
      </c>
      <c r="G2363" s="4" t="s">
        <v>1777</v>
      </c>
      <c r="H2363" s="10" t="s">
        <v>2080</v>
      </c>
      <c r="I2363" s="10">
        <v>10000.0</v>
      </c>
      <c r="J2363" s="11" t="str">
        <f>IF(D2363&lt;&gt;"",VLOOKUP(H2363,TABLEITEM,5,FALSE),"")</f>
        <v>EA</v>
      </c>
      <c r="K2363" s="12">
        <v>0.36</v>
      </c>
      <c r="L2363" s="13" t="str">
        <f>IF(D2363&lt;&gt;"",VLOOKUP(H2363,TABLEITEM,2,FALSE),"")</f>
        <v/>
      </c>
      <c r="M2363" s="13" t="str">
        <f>IF(D2363&lt;&gt;"",VLOOKUP(H2363,TABLEITEM,3,FALSE),"")</f>
        <v>หัวน็อต M 8 ชุบขาว</v>
      </c>
      <c r="N2363" s="14">
        <f>INSTOCK!$I2363*INSTOCK!$K2363</f>
        <v>3600</v>
      </c>
      <c r="O2363" s="4" t="s">
        <v>2081</v>
      </c>
      <c r="P2363" s="4"/>
    </row>
    <row r="2364" ht="15.75" hidden="1" customHeight="1">
      <c r="B2364" s="8">
        <v>2683.0</v>
      </c>
      <c r="C2364" s="9">
        <v>43153.0</v>
      </c>
      <c r="D2364" s="6" t="s">
        <v>3180</v>
      </c>
      <c r="E2364" s="4">
        <v>6.102000223E9</v>
      </c>
      <c r="F2364" s="8" t="s">
        <v>604</v>
      </c>
      <c r="G2364" s="4" t="s">
        <v>1777</v>
      </c>
      <c r="H2364" s="10" t="s">
        <v>2102</v>
      </c>
      <c r="I2364" s="10">
        <v>20000.0</v>
      </c>
      <c r="J2364" s="11" t="str">
        <f>IF(D2364&lt;&gt;"",VLOOKUP(H2364,TABLEITEM,5,FALSE),"")</f>
        <v>EA</v>
      </c>
      <c r="K2364" s="12">
        <v>0.09</v>
      </c>
      <c r="L2364" s="13" t="str">
        <f>IF(D2364&lt;&gt;"",VLOOKUP(H2364,TABLEITEM,2,FALSE),"")</f>
        <v/>
      </c>
      <c r="M2364" s="13" t="str">
        <f>IF(D2364&lt;&gt;"",VLOOKUP(H2364,TABLEITEM,3,FALSE),"")</f>
        <v>แหวนอีแปะ M8 ชุบขาว</v>
      </c>
      <c r="N2364" s="14">
        <f>INSTOCK!$I2364*INSTOCK!$K2364</f>
        <v>1800</v>
      </c>
      <c r="O2364" s="4" t="s">
        <v>2103</v>
      </c>
      <c r="P2364" s="4"/>
    </row>
    <row r="2365" ht="15.75" hidden="1" customHeight="1">
      <c r="B2365" s="8">
        <v>2684.0</v>
      </c>
      <c r="C2365" s="9">
        <v>43153.0</v>
      </c>
      <c r="D2365" s="6" t="s">
        <v>3187</v>
      </c>
      <c r="E2365" s="4"/>
      <c r="F2365" s="8" t="s">
        <v>3188</v>
      </c>
      <c r="G2365" s="4" t="s">
        <v>2727</v>
      </c>
      <c r="H2365" s="10" t="s">
        <v>3189</v>
      </c>
      <c r="I2365" s="10">
        <v>1.0</v>
      </c>
      <c r="J2365" s="11" t="str">
        <f>IF(D2365&lt;&gt;"",VLOOKUP(H2365,TABLEITEM,5,FALSE),"")</f>
        <v>แผ่น</v>
      </c>
      <c r="K2365" s="12">
        <v>250.0</v>
      </c>
      <c r="L2365" s="13" t="str">
        <f>IF(D2365&lt;&gt;"",VLOOKUP(H2365,TABLEITEM,2,FALSE),"")</f>
        <v/>
      </c>
      <c r="M2365" s="13" t="str">
        <f>IF(D2365&lt;&gt;"",VLOOKUP(H2365,TABLEITEM,3,FALSE),"")</f>
        <v>แผ่นลามิเนท TD9200AB</v>
      </c>
      <c r="N2365" s="14">
        <f>INSTOCK!$I2365*INSTOCK!$K2365</f>
        <v>250</v>
      </c>
      <c r="O2365" s="4"/>
      <c r="P2365" s="4"/>
    </row>
    <row r="2366" ht="15.75" hidden="1" customHeight="1">
      <c r="B2366" s="8">
        <v>2685.0</v>
      </c>
      <c r="C2366" s="9">
        <v>43153.0</v>
      </c>
      <c r="D2366" s="6">
        <v>2.0180200435E10</v>
      </c>
      <c r="E2366" s="4">
        <v>6.102000219E9</v>
      </c>
      <c r="F2366" s="8" t="s">
        <v>3190</v>
      </c>
      <c r="G2366" s="4" t="s">
        <v>2460</v>
      </c>
      <c r="H2366" s="10" t="s">
        <v>3191</v>
      </c>
      <c r="I2366" s="10">
        <v>1.0</v>
      </c>
      <c r="J2366" s="11" t="str">
        <f>IF(D2366&lt;&gt;"",VLOOKUP(H2366,TABLEITEM,5,FALSE),"")</f>
        <v>EA</v>
      </c>
      <c r="K2366" s="12">
        <v>33570.0</v>
      </c>
      <c r="L2366" s="13" t="str">
        <f>IF(D2366&lt;&gt;"",VLOOKUP(H2366,TABLEITEM,2,FALSE),"")</f>
        <v/>
      </c>
      <c r="M2366" s="13" t="str">
        <f>IF(D2366&lt;&gt;"",VLOOKUP(H2366,TABLEITEM,3,FALSE),"")</f>
        <v>POLALIZED MIRROR CODE 79000849 DRAWING A98L-0001-0617/C</v>
      </c>
      <c r="N2366" s="14">
        <f>INSTOCK!$I2366*INSTOCK!$K2366</f>
        <v>33570</v>
      </c>
      <c r="O2366" s="4" t="s">
        <v>3192</v>
      </c>
      <c r="P2366" s="4"/>
    </row>
    <row r="2367" ht="15.75" hidden="1" customHeight="1">
      <c r="B2367" s="8">
        <v>2686.0</v>
      </c>
      <c r="C2367" s="9">
        <v>43153.0</v>
      </c>
      <c r="D2367" s="6">
        <v>2.0180200435E10</v>
      </c>
      <c r="E2367" s="4">
        <v>6.102000219E9</v>
      </c>
      <c r="F2367" s="8" t="s">
        <v>3190</v>
      </c>
      <c r="G2367" s="4" t="s">
        <v>2460</v>
      </c>
      <c r="H2367" s="10" t="s">
        <v>3193</v>
      </c>
      <c r="I2367" s="10">
        <v>1.0</v>
      </c>
      <c r="J2367" s="11" t="str">
        <f>IF(D2367&lt;&gt;"",VLOOKUP(H2367,TABLEITEM,5,FALSE),"")</f>
        <v>EA</v>
      </c>
      <c r="K2367" s="12">
        <v>15750.0</v>
      </c>
      <c r="L2367" s="13" t="str">
        <f>IF(D2367&lt;&gt;"",VLOOKUP(H2367,TABLEITEM,2,FALSE),"")</f>
        <v/>
      </c>
      <c r="M2367" s="13" t="str">
        <f>IF(D2367&lt;&gt;"",VLOOKUP(H2367,TABLEITEM,3,FALSE),"")</f>
        <v>ZERO SHIFT MIRROR CODE 79000850 DRAWING A98L-0001-0616/C</v>
      </c>
      <c r="N2367" s="14">
        <f>INSTOCK!$I2367*INSTOCK!$K2367</f>
        <v>15750</v>
      </c>
      <c r="O2367" s="4" t="s">
        <v>3194</v>
      </c>
      <c r="P2367" s="4"/>
    </row>
    <row r="2368" ht="15.75" hidden="1" customHeight="1">
      <c r="B2368" s="8">
        <v>2687.0</v>
      </c>
      <c r="C2368" s="9">
        <v>43152.0</v>
      </c>
      <c r="D2368" s="6" t="s">
        <v>3195</v>
      </c>
      <c r="E2368" s="4">
        <v>6.102000209E9</v>
      </c>
      <c r="F2368" s="8" t="s">
        <v>782</v>
      </c>
      <c r="G2368" s="4" t="s">
        <v>965</v>
      </c>
      <c r="H2368" s="10" t="s">
        <v>3196</v>
      </c>
      <c r="I2368" s="10">
        <v>1.0</v>
      </c>
      <c r="J2368" s="11" t="str">
        <f>IF(D2368&lt;&gt;"",VLOOKUP(H2368,TABLEITEM,5,FALSE),"")</f>
        <v>EA</v>
      </c>
      <c r="K2368" s="12">
        <v>250.0</v>
      </c>
      <c r="L2368" s="13" t="str">
        <f>IF(D2368&lt;&gt;"",VLOOKUP(H2368,TABLEITEM,2,FALSE),"")</f>
        <v/>
      </c>
      <c r="M2368" s="13" t="str">
        <f>IF(D2368&lt;&gt;"",VLOOKUP(H2368,TABLEITEM,3,FALSE),"")</f>
        <v>คีมย้ำ SOLO</v>
      </c>
      <c r="N2368" s="14">
        <f>INSTOCK!$I2368*INSTOCK!$K2368</f>
        <v>250</v>
      </c>
      <c r="O2368" s="4"/>
      <c r="P2368" s="4"/>
    </row>
    <row r="2369" ht="15.75" hidden="1" customHeight="1">
      <c r="B2369" s="8">
        <v>2688.0</v>
      </c>
      <c r="C2369" s="9">
        <v>43152.0</v>
      </c>
      <c r="D2369" s="6" t="s">
        <v>3197</v>
      </c>
      <c r="E2369" s="4">
        <v>6.102000226E9</v>
      </c>
      <c r="F2369" s="8" t="s">
        <v>604</v>
      </c>
      <c r="G2369" s="4" t="s">
        <v>965</v>
      </c>
      <c r="H2369" s="10" t="s">
        <v>59</v>
      </c>
      <c r="I2369" s="10">
        <v>3.0</v>
      </c>
      <c r="J2369" s="11" t="str">
        <f>IF(D2369&lt;&gt;"",VLOOKUP(H2369,TABLEITEM,5,FALSE),"")</f>
        <v>EA</v>
      </c>
      <c r="K2369" s="12">
        <v>100.0</v>
      </c>
      <c r="L2369" s="13" t="str">
        <f>IF(D2369&lt;&gt;"",VLOOKUP(H2369,TABLEITEM,2,FALSE),"")</f>
        <v/>
      </c>
      <c r="M2369" s="13" t="str">
        <f>IF(D2369&lt;&gt;"",VLOOKUP(H2369,TABLEITEM,3,FALSE),"")</f>
        <v>โซเน็ก</v>
      </c>
      <c r="N2369" s="14">
        <f>INSTOCK!$I2369*INSTOCK!$K2369</f>
        <v>300</v>
      </c>
      <c r="O2369" s="4"/>
      <c r="P2369" s="4"/>
    </row>
    <row r="2370" ht="15.75" hidden="1" customHeight="1">
      <c r="B2370" s="8">
        <v>2689.0</v>
      </c>
      <c r="C2370" s="9">
        <v>43152.0</v>
      </c>
      <c r="D2370" s="6" t="s">
        <v>3197</v>
      </c>
      <c r="E2370" s="4">
        <v>6.102000226E9</v>
      </c>
      <c r="F2370" s="8" t="s">
        <v>604</v>
      </c>
      <c r="G2370" s="4" t="s">
        <v>965</v>
      </c>
      <c r="H2370" s="10" t="s">
        <v>3198</v>
      </c>
      <c r="I2370" s="10">
        <v>3.0</v>
      </c>
      <c r="J2370" s="11" t="str">
        <f>IF(D2370&lt;&gt;"",VLOOKUP(H2370,TABLEITEM,5,FALSE),"")</f>
        <v>EA</v>
      </c>
      <c r="K2370" s="12">
        <v>10.0</v>
      </c>
      <c r="L2370" s="13" t="str">
        <f>IF(D2370&lt;&gt;"",VLOOKUP(H2370,TABLEITEM,2,FALSE),"")</f>
        <v/>
      </c>
      <c r="M2370" s="13" t="str">
        <f>IF(D2370&lt;&gt;"",VLOOKUP(H2370,TABLEITEM,3,FALSE),"")</f>
        <v>น้ำกลั่น</v>
      </c>
      <c r="N2370" s="14">
        <f>INSTOCK!$I2370*INSTOCK!$K2370</f>
        <v>30</v>
      </c>
      <c r="O2370" s="4"/>
      <c r="P2370" s="4"/>
    </row>
    <row r="2371" ht="15.75" hidden="1" customHeight="1">
      <c r="B2371" s="8">
        <v>2690.0</v>
      </c>
      <c r="C2371" s="9">
        <v>43120.0</v>
      </c>
      <c r="D2371" s="6">
        <v>2.0180200386E10</v>
      </c>
      <c r="E2371" s="4">
        <v>6.102000202E9</v>
      </c>
      <c r="F2371" s="8" t="s">
        <v>3190</v>
      </c>
      <c r="G2371" s="4" t="s">
        <v>2460</v>
      </c>
      <c r="H2371" s="10" t="s">
        <v>3199</v>
      </c>
      <c r="I2371" s="10">
        <v>1.0</v>
      </c>
      <c r="J2371" s="11" t="str">
        <f>IF(D2371&lt;&gt;"",VLOOKUP(H2371,TABLEITEM,5,FALSE),"")</f>
        <v>EA</v>
      </c>
      <c r="K2371" s="12">
        <v>1462.5</v>
      </c>
      <c r="L2371" s="13" t="str">
        <f>IF(D2371&lt;&gt;"",VLOOKUP(H2371,TABLEITEM,2,FALSE),"")</f>
        <v/>
      </c>
      <c r="M2371" s="13" t="str">
        <f>IF(D2371&lt;&gt;"",VLOOKUP(H2371,TABLEITEM,3,FALSE),"")</f>
        <v>TURBO BLOWER OIL CODE 71220332 DRAWING A04B-0800-K329/1</v>
      </c>
      <c r="N2371" s="14">
        <f>INSTOCK!$I2371*INSTOCK!$K2371</f>
        <v>1462.5</v>
      </c>
      <c r="O2371" s="4" t="s">
        <v>3200</v>
      </c>
      <c r="P2371" s="4"/>
    </row>
    <row r="2372" ht="15.75" hidden="1" customHeight="1">
      <c r="B2372" s="8">
        <v>2691.0</v>
      </c>
      <c r="C2372" s="9">
        <v>43151.0</v>
      </c>
      <c r="D2372" s="6" t="s">
        <v>3201</v>
      </c>
      <c r="E2372" s="4" t="s">
        <v>3202</v>
      </c>
      <c r="F2372" s="8" t="s">
        <v>604</v>
      </c>
      <c r="G2372" s="4" t="s">
        <v>3099</v>
      </c>
      <c r="H2372" s="10" t="s">
        <v>3203</v>
      </c>
      <c r="I2372" s="10">
        <v>509.0</v>
      </c>
      <c r="J2372" s="11" t="str">
        <f>IF(D2372&lt;&gt;"",VLOOKUP(H2372,TABLEITEM,5,FALSE),"")</f>
        <v>EA</v>
      </c>
      <c r="K2372" s="12">
        <v>8.4</v>
      </c>
      <c r="L2372" s="13" t="str">
        <f>IF(D2372&lt;&gt;"",VLOOKUP(H2372,TABLEITEM,2,FALSE),"")</f>
        <v/>
      </c>
      <c r="M2372" s="13" t="str">
        <f>IF(D2372&lt;&gt;"",VLOOKUP(H2372,TABLEITEM,3,FALSE),"")</f>
        <v>สลักบานประตู 1040 mm.</v>
      </c>
      <c r="N2372" s="14">
        <f>INSTOCK!$I2372*INSTOCK!$K2372</f>
        <v>4275.6</v>
      </c>
      <c r="O2372" s="4"/>
      <c r="P2372" s="4"/>
    </row>
    <row r="2373" ht="15.75" hidden="1" customHeight="1">
      <c r="B2373" s="8">
        <v>2692.0</v>
      </c>
      <c r="C2373" s="9">
        <v>43151.0</v>
      </c>
      <c r="D2373" s="6" t="s">
        <v>3201</v>
      </c>
      <c r="E2373" s="4" t="s">
        <v>3202</v>
      </c>
      <c r="F2373" s="8" t="s">
        <v>604</v>
      </c>
      <c r="G2373" s="4" t="s">
        <v>3099</v>
      </c>
      <c r="H2373" s="10" t="s">
        <v>2472</v>
      </c>
      <c r="I2373" s="10">
        <v>240.0</v>
      </c>
      <c r="J2373" s="11" t="str">
        <f>IF(D2373&lt;&gt;"",VLOOKUP(H2373,TABLEITEM,5,FALSE),"")</f>
        <v>EA</v>
      </c>
      <c r="K2373" s="12">
        <v>8.4</v>
      </c>
      <c r="L2373" s="13" t="str">
        <f>IF(D2373&lt;&gt;"",VLOOKUP(H2373,TABLEITEM,2,FALSE),"")</f>
        <v/>
      </c>
      <c r="M2373" s="13" t="str">
        <f>IF(D2373&lt;&gt;"",VLOOKUP(H2373,TABLEITEM,3,FALSE),"")</f>
        <v>สลักบานประตู 930 mm.</v>
      </c>
      <c r="N2373" s="14">
        <f>INSTOCK!$I2373*INSTOCK!$K2373</f>
        <v>2016</v>
      </c>
      <c r="O2373" s="4"/>
      <c r="P2373" s="4"/>
    </row>
    <row r="2374" ht="15.75" hidden="1" customHeight="1">
      <c r="B2374" s="8">
        <v>2693.0</v>
      </c>
      <c r="C2374" s="9">
        <v>43151.0</v>
      </c>
      <c r="D2374" s="6" t="s">
        <v>3201</v>
      </c>
      <c r="E2374" s="4" t="s">
        <v>3202</v>
      </c>
      <c r="F2374" s="8" t="s">
        <v>604</v>
      </c>
      <c r="G2374" s="4" t="s">
        <v>3099</v>
      </c>
      <c r="H2374" s="10" t="s">
        <v>3204</v>
      </c>
      <c r="I2374" s="10">
        <v>200.0</v>
      </c>
      <c r="J2374" s="11" t="str">
        <f>IF(D2374&lt;&gt;"",VLOOKUP(H2374,TABLEITEM,5,FALSE),"")</f>
        <v>EA</v>
      </c>
      <c r="K2374" s="12">
        <v>8.4</v>
      </c>
      <c r="L2374" s="13" t="str">
        <f>IF(D2374&lt;&gt;"",VLOOKUP(H2374,TABLEITEM,2,FALSE),"")</f>
        <v/>
      </c>
      <c r="M2374" s="13" t="str">
        <f>IF(D2374&lt;&gt;"",VLOOKUP(H2374,TABLEITEM,3,FALSE),"")</f>
        <v>สลักบานประตู 500 mm.</v>
      </c>
      <c r="N2374" s="14">
        <f>INSTOCK!$I2374*INSTOCK!$K2374</f>
        <v>1680</v>
      </c>
      <c r="O2374" s="4"/>
      <c r="P2374" s="4"/>
    </row>
    <row r="2375" ht="15.75" hidden="1" customHeight="1">
      <c r="B2375" s="8">
        <v>2694.0</v>
      </c>
      <c r="C2375" s="9">
        <v>43151.0</v>
      </c>
      <c r="D2375" s="6" t="s">
        <v>3201</v>
      </c>
      <c r="E2375" s="4" t="s">
        <v>3202</v>
      </c>
      <c r="F2375" s="8" t="s">
        <v>604</v>
      </c>
      <c r="G2375" s="4" t="s">
        <v>3099</v>
      </c>
      <c r="H2375" s="10" t="s">
        <v>3205</v>
      </c>
      <c r="I2375" s="10">
        <v>239.0</v>
      </c>
      <c r="J2375" s="11" t="str">
        <f>IF(D2375&lt;&gt;"",VLOOKUP(H2375,TABLEITEM,5,FALSE),"")</f>
        <v>EA</v>
      </c>
      <c r="K2375" s="12">
        <v>8.4</v>
      </c>
      <c r="L2375" s="13" t="str">
        <f>IF(D2375&lt;&gt;"",VLOOKUP(H2375,TABLEITEM,2,FALSE),"")</f>
        <v/>
      </c>
      <c r="M2375" s="13" t="str">
        <f>IF(D2375&lt;&gt;"",VLOOKUP(H2375,TABLEITEM,3,FALSE),"")</f>
        <v>สลักบานประตู 600 mm.</v>
      </c>
      <c r="N2375" s="14">
        <f>INSTOCK!$I2375*INSTOCK!$K2375</f>
        <v>2007.6</v>
      </c>
      <c r="O2375" s="4"/>
      <c r="P2375" s="4"/>
    </row>
    <row r="2376" ht="15.75" hidden="1" customHeight="1">
      <c r="B2376" s="8">
        <v>2695.0</v>
      </c>
      <c r="C2376" s="9">
        <v>43151.0</v>
      </c>
      <c r="D2376" s="6" t="s">
        <v>3201</v>
      </c>
      <c r="E2376" s="4" t="s">
        <v>3202</v>
      </c>
      <c r="F2376" s="8" t="s">
        <v>604</v>
      </c>
      <c r="G2376" s="4" t="s">
        <v>3099</v>
      </c>
      <c r="H2376" s="10" t="s">
        <v>2471</v>
      </c>
      <c r="I2376" s="10">
        <v>167.0</v>
      </c>
      <c r="J2376" s="11" t="str">
        <f>IF(D2376&lt;&gt;"",VLOOKUP(H2376,TABLEITEM,5,FALSE),"")</f>
        <v>EA</v>
      </c>
      <c r="K2376" s="12">
        <v>8.4</v>
      </c>
      <c r="L2376" s="13" t="str">
        <f>IF(D2376&lt;&gt;"",VLOOKUP(H2376,TABLEITEM,2,FALSE),"")</f>
        <v/>
      </c>
      <c r="M2376" s="13" t="str">
        <f>IF(D2376&lt;&gt;"",VLOOKUP(H2376,TABLEITEM,3,FALSE),"")</f>
        <v>สลักบานประตู 880 mm.</v>
      </c>
      <c r="N2376" s="14">
        <f>INSTOCK!$I2376*INSTOCK!$K2376</f>
        <v>1402.8</v>
      </c>
      <c r="O2376" s="4"/>
      <c r="P2376" s="4"/>
    </row>
    <row r="2377" ht="15.75" hidden="1" customHeight="1">
      <c r="B2377" s="8">
        <v>2696.0</v>
      </c>
      <c r="C2377" s="9">
        <v>43151.0</v>
      </c>
      <c r="D2377" s="6" t="s">
        <v>3201</v>
      </c>
      <c r="E2377" s="4" t="s">
        <v>3202</v>
      </c>
      <c r="F2377" s="8" t="s">
        <v>604</v>
      </c>
      <c r="G2377" s="4" t="s">
        <v>3099</v>
      </c>
      <c r="H2377" s="10" t="s">
        <v>2473</v>
      </c>
      <c r="I2377" s="10">
        <v>65.0</v>
      </c>
      <c r="J2377" s="11" t="str">
        <f>IF(D2377&lt;&gt;"",VLOOKUP(H2377,TABLEITEM,5,FALSE),"")</f>
        <v>EA</v>
      </c>
      <c r="K2377" s="12">
        <v>8.4</v>
      </c>
      <c r="L2377" s="13" t="str">
        <f>IF(D2377&lt;&gt;"",VLOOKUP(H2377,TABLEITEM,2,FALSE),"")</f>
        <v/>
      </c>
      <c r="M2377" s="13" t="str">
        <f>IF(D2377&lt;&gt;"",VLOOKUP(H2377,TABLEITEM,3,FALSE),"")</f>
        <v>สลักบานประตู 1210 มิล</v>
      </c>
      <c r="N2377" s="14">
        <f>INSTOCK!$I2377*INSTOCK!$K2377</f>
        <v>546</v>
      </c>
      <c r="O2377" s="4"/>
      <c r="P2377" s="4"/>
    </row>
    <row r="2378" ht="15.75" hidden="1" customHeight="1">
      <c r="B2378" s="8">
        <v>2697.0</v>
      </c>
      <c r="C2378" s="9">
        <v>43151.0</v>
      </c>
      <c r="D2378" s="6" t="s">
        <v>3201</v>
      </c>
      <c r="E2378" s="4" t="s">
        <v>3202</v>
      </c>
      <c r="F2378" s="8" t="s">
        <v>604</v>
      </c>
      <c r="G2378" s="4" t="s">
        <v>3099</v>
      </c>
      <c r="H2378" s="10" t="s">
        <v>2476</v>
      </c>
      <c r="I2378" s="10">
        <v>39.0</v>
      </c>
      <c r="J2378" s="11" t="str">
        <f>IF(D2378&lt;&gt;"",VLOOKUP(H2378,TABLEITEM,5,FALSE),"")</f>
        <v>EA</v>
      </c>
      <c r="K2378" s="12">
        <v>8.4</v>
      </c>
      <c r="L2378" s="13" t="str">
        <f>IF(D2378&lt;&gt;"",VLOOKUP(H2378,TABLEITEM,2,FALSE),"")</f>
        <v/>
      </c>
      <c r="M2378" s="13" t="str">
        <f>IF(D2378&lt;&gt;"",VLOOKUP(H2378,TABLEITEM,3,FALSE),"")</f>
        <v>สลักบานประตู 400 mm.</v>
      </c>
      <c r="N2378" s="14">
        <f>INSTOCK!$I2378*INSTOCK!$K2378</f>
        <v>327.6</v>
      </c>
      <c r="O2378" s="4"/>
      <c r="P2378" s="4"/>
    </row>
    <row r="2379" ht="15.75" hidden="1" customHeight="1">
      <c r="B2379" s="8">
        <v>2698.0</v>
      </c>
      <c r="C2379" s="9">
        <v>43150.0</v>
      </c>
      <c r="D2379" s="6">
        <v>2.0180200363E10</v>
      </c>
      <c r="E2379" s="4">
        <v>6.101000079E9</v>
      </c>
      <c r="F2379" s="8" t="s">
        <v>3206</v>
      </c>
      <c r="G2379" s="4" t="s">
        <v>2460</v>
      </c>
      <c r="H2379" s="10" t="s">
        <v>3207</v>
      </c>
      <c r="I2379" s="10">
        <v>10.0</v>
      </c>
      <c r="J2379" s="11" t="str">
        <f>IF(D2379&lt;&gt;"",VLOOKUP(H2379,TABLEITEM,5,FALSE),"")</f>
        <v>EA</v>
      </c>
      <c r="K2379" s="12">
        <v>67.0</v>
      </c>
      <c r="L2379" s="13" t="str">
        <f>IF(D2379&lt;&gt;"",VLOOKUP(H2379,TABLEITEM,2,FALSE),"")</f>
        <v/>
      </c>
      <c r="M2379" s="13" t="str">
        <f>IF(D2379&lt;&gt;"",VLOOKUP(H2379,TABLEITEM,3,FALSE),"")</f>
        <v>HYDROGEN PEROXIDE(PROMOTION)CODE 79000251</v>
      </c>
      <c r="N2379" s="14">
        <f>INSTOCK!$I2379*INSTOCK!$K2379</f>
        <v>670</v>
      </c>
      <c r="O2379" s="4"/>
      <c r="P2379" s="4"/>
    </row>
    <row r="2380" ht="15.75" hidden="1" customHeight="1">
      <c r="B2380" s="8">
        <v>2699.0</v>
      </c>
      <c r="C2380" s="9">
        <v>43150.0</v>
      </c>
      <c r="D2380" s="6">
        <v>2.0180200363E10</v>
      </c>
      <c r="E2380" s="4">
        <v>6.101000079E9</v>
      </c>
      <c r="F2380" s="8" t="s">
        <v>3206</v>
      </c>
      <c r="G2380" s="4" t="s">
        <v>2460</v>
      </c>
      <c r="H2380" s="10" t="s">
        <v>3208</v>
      </c>
      <c r="I2380" s="10">
        <v>9.0</v>
      </c>
      <c r="J2380" s="11" t="str">
        <f>IF(D2380&lt;&gt;"",VLOOKUP(H2380,TABLEITEM,5,FALSE),"")</f>
        <v>EA</v>
      </c>
      <c r="K2380" s="12">
        <v>630.0</v>
      </c>
      <c r="L2380" s="13" t="str">
        <f>IF(D2380&lt;&gt;"",VLOOKUP(H2380,TABLEITEM,2,FALSE),"")</f>
        <v/>
      </c>
      <c r="M2380" s="13" t="str">
        <f>IF(D2380&lt;&gt;"",VLOOKUP(H2380,TABLEITEM,3,FALSE),"")</f>
        <v>DI WATER 20 LITRE (PROMOTION) CODE 79000239</v>
      </c>
      <c r="N2380" s="14">
        <f>INSTOCK!$I2380*INSTOCK!$K2380</f>
        <v>5670</v>
      </c>
      <c r="O2380" s="4"/>
      <c r="P2380" s="4"/>
    </row>
    <row r="2381" ht="15.75" hidden="1" customHeight="1">
      <c r="B2381" s="8">
        <v>2700.0</v>
      </c>
      <c r="C2381" s="9">
        <v>43150.0</v>
      </c>
      <c r="D2381" s="6">
        <v>2.0180200363E10</v>
      </c>
      <c r="E2381" s="4">
        <v>6.101000079E9</v>
      </c>
      <c r="F2381" s="8" t="s">
        <v>3206</v>
      </c>
      <c r="G2381" s="4" t="s">
        <v>2460</v>
      </c>
      <c r="H2381" s="10" t="s">
        <v>3209</v>
      </c>
      <c r="I2381" s="10">
        <v>1.0</v>
      </c>
      <c r="J2381" s="11" t="str">
        <f>IF(D2381&lt;&gt;"",VLOOKUP(H2381,TABLEITEM,5,FALSE),"")</f>
        <v>LOT</v>
      </c>
      <c r="K2381" s="12">
        <v>4860.0</v>
      </c>
      <c r="L2381" s="13" t="str">
        <f>IF(D2381&lt;&gt;"",VLOOKUP(H2381,TABLEITEM,2,FALSE),"")</f>
        <v/>
      </c>
      <c r="M2381" s="13" t="str">
        <f>IF(D2381&lt;&gt;"",VLOOKUP(H2381,TABLEITEM,3,FALSE),"")</f>
        <v>SERVICE-CHARGE(PROMOTION)-SERVICE1</v>
      </c>
      <c r="N2381" s="14">
        <f>INSTOCK!$I2381*INSTOCK!$K2381</f>
        <v>4860</v>
      </c>
      <c r="O2381" s="4"/>
      <c r="P2381" s="4"/>
    </row>
    <row r="2382" ht="15.75" hidden="1" customHeight="1">
      <c r="B2382" s="8">
        <v>2701.0</v>
      </c>
      <c r="C2382" s="9">
        <v>43150.0</v>
      </c>
      <c r="D2382" s="6">
        <v>2.0180200363E10</v>
      </c>
      <c r="E2382" s="4">
        <v>6.101000079E9</v>
      </c>
      <c r="F2382" s="8" t="s">
        <v>3206</v>
      </c>
      <c r="G2382" s="4" t="s">
        <v>2460</v>
      </c>
      <c r="H2382" s="10" t="s">
        <v>3210</v>
      </c>
      <c r="I2382" s="10">
        <v>1.0</v>
      </c>
      <c r="J2382" s="11" t="str">
        <f>IF(D2382&lt;&gt;"",VLOOKUP(H2382,TABLEITEM,5,FALSE),"")</f>
        <v>LOT</v>
      </c>
      <c r="K2382" s="12">
        <v>800.0</v>
      </c>
      <c r="L2382" s="13" t="str">
        <f>IF(D2382&lt;&gt;"",VLOOKUP(H2382,TABLEITEM,2,FALSE),"")</f>
        <v/>
      </c>
      <c r="M2382" s="13" t="str">
        <f>IF(D2382&lt;&gt;"",VLOOKUP(H2382,TABLEITEM,3,FALSE),"")</f>
        <v>TRAVEL CHARGE (PROMOTION) -TRAVEL1</v>
      </c>
      <c r="N2382" s="14">
        <f>INSTOCK!$I2382*INSTOCK!$K2382</f>
        <v>800</v>
      </c>
      <c r="O2382" s="4"/>
      <c r="P2382" s="4"/>
    </row>
    <row r="2383" ht="15.75" hidden="1" customHeight="1">
      <c r="B2383" s="8">
        <v>2702.0</v>
      </c>
      <c r="C2383" s="9">
        <v>43150.0</v>
      </c>
      <c r="D2383" s="6" t="s">
        <v>3211</v>
      </c>
      <c r="E2383" s="4">
        <v>6.102000224E9</v>
      </c>
      <c r="F2383" s="8" t="s">
        <v>3212</v>
      </c>
      <c r="G2383" s="4" t="s">
        <v>1485</v>
      </c>
      <c r="H2383" s="10" t="s">
        <v>3213</v>
      </c>
      <c r="I2383" s="10">
        <v>5.0</v>
      </c>
      <c r="J2383" s="11" t="str">
        <f>IF(D2383&lt;&gt;"",VLOOKUP(H2383,TABLEITEM,5,FALSE),"")</f>
        <v>EA</v>
      </c>
      <c r="K2383" s="12">
        <v>541.2</v>
      </c>
      <c r="L2383" s="13" t="str">
        <f>IF(D2383&lt;&gt;"",VLOOKUP(H2383,TABLEITEM,2,FALSE),"")</f>
        <v/>
      </c>
      <c r="M2383" s="13" t="str">
        <f>IF(D2383&lt;&gt;"",VLOOKUP(H2383,TABLEITEM,3,FALSE),"")</f>
        <v>TESYS LRD THERMAL OVERLOAD RELAY 4-6A CLASS 10A</v>
      </c>
      <c r="N2383" s="14">
        <f>INSTOCK!$I2383*INSTOCK!$K2383</f>
        <v>2706</v>
      </c>
      <c r="O2383" s="4"/>
      <c r="P2383" s="4"/>
    </row>
    <row r="2384" ht="15.75" hidden="1" customHeight="1">
      <c r="B2384" s="8">
        <v>2703.0</v>
      </c>
      <c r="C2384" s="9">
        <v>43150.0</v>
      </c>
      <c r="D2384" s="6" t="s">
        <v>3211</v>
      </c>
      <c r="E2384" s="4">
        <v>6.102000224E9</v>
      </c>
      <c r="F2384" s="8" t="s">
        <v>3212</v>
      </c>
      <c r="G2384" s="4" t="s">
        <v>1485</v>
      </c>
      <c r="H2384" s="10" t="s">
        <v>1584</v>
      </c>
      <c r="I2384" s="10">
        <v>10.0</v>
      </c>
      <c r="J2384" s="11" t="str">
        <f>IF(D2384&lt;&gt;"",VLOOKUP(H2384,TABLEITEM,5,FALSE),"")</f>
        <v>EA</v>
      </c>
      <c r="K2384" s="12">
        <v>134.2</v>
      </c>
      <c r="L2384" s="13" t="str">
        <f>IF(D2384&lt;&gt;"",VLOOKUP(H2384,TABLEITEM,2,FALSE),"")</f>
        <v/>
      </c>
      <c r="M2384" s="13" t="str">
        <f>IF(D2384&lt;&gt;"",VLOOKUP(H2384,TABLEITEM,3,FALSE),"")</f>
        <v>HARMONY XB4 SINGLE CONTACT ZB4BZ101</v>
      </c>
      <c r="N2384" s="14">
        <f>INSTOCK!$I2384*INSTOCK!$K2384</f>
        <v>1342</v>
      </c>
      <c r="O2384" s="4"/>
      <c r="P2384" s="4"/>
    </row>
    <row r="2385" ht="15.75" hidden="1" customHeight="1">
      <c r="B2385" s="8">
        <v>2704.0</v>
      </c>
      <c r="C2385" s="9">
        <v>43150.0</v>
      </c>
      <c r="D2385" s="6" t="s">
        <v>3211</v>
      </c>
      <c r="E2385" s="4">
        <v>6.102000224E9</v>
      </c>
      <c r="F2385" s="8" t="s">
        <v>3212</v>
      </c>
      <c r="G2385" s="4" t="s">
        <v>1485</v>
      </c>
      <c r="H2385" s="10" t="s">
        <v>1583</v>
      </c>
      <c r="I2385" s="10">
        <v>5.0</v>
      </c>
      <c r="J2385" s="11" t="str">
        <f>IF(D2385&lt;&gt;"",VLOOKUP(H2385,TABLEITEM,5,FALSE),"")</f>
        <v>EA</v>
      </c>
      <c r="K2385" s="12">
        <v>156.2</v>
      </c>
      <c r="L2385" s="13" t="str">
        <f>IF(D2385&lt;&gt;"",VLOOKUP(H2385,TABLEITEM,2,FALSE),"")</f>
        <v/>
      </c>
      <c r="M2385" s="13" t="str">
        <f>IF(D2385&lt;&gt;"",VLOOKUP(H2385,TABLEITEM,3,FALSE),"")</f>
        <v>HARMONY XB4 SELECTOR SWITCH ZB4BD3</v>
      </c>
      <c r="N2385" s="14">
        <f>INSTOCK!$I2385*INSTOCK!$K2385</f>
        <v>781</v>
      </c>
      <c r="O2385" s="4"/>
      <c r="P2385" s="4"/>
    </row>
    <row r="2386" ht="15.75" hidden="1" customHeight="1">
      <c r="B2386" s="8">
        <v>2705.0</v>
      </c>
      <c r="C2386" s="9">
        <v>43150.0</v>
      </c>
      <c r="D2386" s="6" t="s">
        <v>3211</v>
      </c>
      <c r="E2386" s="4">
        <v>6.102000224E9</v>
      </c>
      <c r="F2386" s="8" t="s">
        <v>3212</v>
      </c>
      <c r="G2386" s="4" t="s">
        <v>1485</v>
      </c>
      <c r="H2386" s="10" t="s">
        <v>1743</v>
      </c>
      <c r="I2386" s="10">
        <v>10.0</v>
      </c>
      <c r="J2386" s="11" t="str">
        <f>IF(D2386&lt;&gt;"",VLOOKUP(H2386,TABLEITEM,5,FALSE),"")</f>
        <v>EA</v>
      </c>
      <c r="K2386" s="12">
        <v>70.4</v>
      </c>
      <c r="L2386" s="13" t="str">
        <f>IF(D2386&lt;&gt;"",VLOOKUP(H2386,TABLEITEM,2,FALSE),"")</f>
        <v/>
      </c>
      <c r="M2386" s="13" t="str">
        <f>IF(D2386&lt;&gt;"",VLOOKUP(H2386,TABLEITEM,3,FALSE),"")</f>
        <v>SINGLE CONTACT BLOCK #22 1NO ZBE101</v>
      </c>
      <c r="N2386" s="14">
        <f>INSTOCK!$I2386*INSTOCK!$K2386</f>
        <v>704</v>
      </c>
      <c r="O2386" s="4"/>
      <c r="P2386" s="4"/>
    </row>
    <row r="2387" ht="15.75" hidden="1" customHeight="1">
      <c r="B2387" s="8">
        <v>2706.0</v>
      </c>
      <c r="C2387" s="9">
        <v>43150.0</v>
      </c>
      <c r="D2387" s="6">
        <v>77722.0</v>
      </c>
      <c r="E2387" s="4">
        <v>6.102000218E9</v>
      </c>
      <c r="F2387" s="8" t="s">
        <v>604</v>
      </c>
      <c r="G2387" s="4" t="s">
        <v>1546</v>
      </c>
      <c r="H2387" s="10" t="s">
        <v>1547</v>
      </c>
      <c r="I2387" s="10">
        <v>10.0</v>
      </c>
      <c r="J2387" s="11" t="str">
        <f>IF(D2387&lt;&gt;"",VLOOKUP(H2387,TABLEITEM,5,FALSE),"")</f>
        <v>EA</v>
      </c>
      <c r="K2387" s="12">
        <v>490.0</v>
      </c>
      <c r="L2387" s="13" t="str">
        <f>IF(D2387&lt;&gt;"",VLOOKUP(H2387,TABLEITEM,2,FALSE),"")</f>
        <v/>
      </c>
      <c r="M2387" s="13" t="str">
        <f>IF(D2387&lt;&gt;"",VLOOKUP(H2387,TABLEITEM,3,FALSE),"")</f>
        <v>ล้อขัดใยสังเคราะห์ 100x100x35mmAC/R8</v>
      </c>
      <c r="N2387" s="14">
        <f>INSTOCK!$I2387*INSTOCK!$K2387</f>
        <v>4900</v>
      </c>
      <c r="O2387" s="4"/>
      <c r="P2387" s="4"/>
    </row>
    <row r="2388" ht="15.75" hidden="1" customHeight="1">
      <c r="B2388" s="8">
        <v>2707.0</v>
      </c>
      <c r="C2388" s="9">
        <v>43150.0</v>
      </c>
      <c r="D2388" s="6">
        <v>79979.0</v>
      </c>
      <c r="E2388" s="4">
        <v>6.101000069E9</v>
      </c>
      <c r="F2388" s="8" t="s">
        <v>604</v>
      </c>
      <c r="G2388" s="4" t="s">
        <v>2589</v>
      </c>
      <c r="H2388" s="10" t="s">
        <v>3007</v>
      </c>
      <c r="I2388" s="10">
        <v>300.0</v>
      </c>
      <c r="J2388" s="11" t="str">
        <f>IF(D2388&lt;&gt;"",VLOOKUP(H2388,TABLEITEM,5,FALSE),"")</f>
        <v>EA</v>
      </c>
      <c r="K2388" s="12">
        <v>9.4</v>
      </c>
      <c r="L2388" s="13" t="str">
        <f>IF(D2388&lt;&gt;"",VLOOKUP(H2388,TABLEITEM,2,FALSE),"")</f>
        <v/>
      </c>
      <c r="M2388" s="13" t="str">
        <f>IF(D2388&lt;&gt;"",VLOOKUP(H2388,TABLEITEM,3,FALSE),"")</f>
        <v>สตัด M6x25</v>
      </c>
      <c r="N2388" s="14">
        <f>INSTOCK!$I2388*INSTOCK!$K2388</f>
        <v>2820</v>
      </c>
      <c r="O2388" s="4"/>
      <c r="P2388" s="4"/>
    </row>
    <row r="2389" ht="15.75" hidden="1" customHeight="1">
      <c r="B2389" s="8">
        <v>2708.0</v>
      </c>
      <c r="C2389" s="9">
        <v>43150.0</v>
      </c>
      <c r="D2389" s="6">
        <v>79978.0</v>
      </c>
      <c r="E2389" s="4">
        <v>6.10100006E9</v>
      </c>
      <c r="F2389" s="8" t="s">
        <v>604</v>
      </c>
      <c r="G2389" s="4" t="s">
        <v>2589</v>
      </c>
      <c r="H2389" s="10" t="s">
        <v>2668</v>
      </c>
      <c r="I2389" s="10">
        <v>4500.0</v>
      </c>
      <c r="J2389" s="11" t="str">
        <f>IF(D2389&lt;&gt;"",VLOOKUP(H2389,TABLEITEM,5,FALSE),"")</f>
        <v>EA</v>
      </c>
      <c r="K2389" s="12">
        <v>1.15</v>
      </c>
      <c r="L2389" s="13" t="str">
        <f>IF(D2389&lt;&gt;"",VLOOKUP(H2389,TABLEITEM,2,FALSE),"")</f>
        <v/>
      </c>
      <c r="M2389" s="13" t="str">
        <f>IF(D2389&lt;&gt;"",VLOOKUP(H2389,TABLEITEM,3,FALSE),"")</f>
        <v>สตัด M5x10</v>
      </c>
      <c r="N2389" s="14">
        <f>INSTOCK!$I2389*INSTOCK!$K2389</f>
        <v>5175</v>
      </c>
      <c r="O2389" s="4"/>
      <c r="P2389" s="4"/>
    </row>
    <row r="2390" ht="15.75" hidden="1" customHeight="1">
      <c r="B2390" s="8">
        <v>2709.0</v>
      </c>
      <c r="C2390" s="9">
        <v>43148.0</v>
      </c>
      <c r="D2390" s="6" t="s">
        <v>3214</v>
      </c>
      <c r="E2390" s="4">
        <v>6.102000212E9</v>
      </c>
      <c r="F2390" s="8" t="s">
        <v>3215</v>
      </c>
      <c r="G2390" s="4" t="s">
        <v>1870</v>
      </c>
      <c r="H2390" s="10" t="s">
        <v>3216</v>
      </c>
      <c r="I2390" s="10">
        <v>20.0</v>
      </c>
      <c r="J2390" s="11" t="str">
        <f>IF(D2390&lt;&gt;"",VLOOKUP(H2390,TABLEITEM,5,FALSE),"")</f>
        <v>EA</v>
      </c>
      <c r="K2390" s="12">
        <v>12.3</v>
      </c>
      <c r="L2390" s="13" t="str">
        <f>IF(D2390&lt;&gt;"",VLOOKUP(H2390,TABLEITEM,2,FALSE),"")</f>
        <v/>
      </c>
      <c r="M2390" s="13" t="str">
        <f>IF(D2390&lt;&gt;"",VLOOKUP(H2390,TABLEITEM,3,FALSE),"")</f>
        <v>สกรูหัวเหลี่ยมสเตนเลส M10x100 </v>
      </c>
      <c r="N2390" s="14">
        <f>INSTOCK!$I2390*INSTOCK!$K2390</f>
        <v>246</v>
      </c>
      <c r="O2390" s="4" t="s">
        <v>3217</v>
      </c>
      <c r="P2390" s="4"/>
    </row>
    <row r="2391" ht="15.75" hidden="1" customHeight="1">
      <c r="B2391" s="8">
        <v>2710.0</v>
      </c>
      <c r="C2391" s="9">
        <v>43147.0</v>
      </c>
      <c r="D2391" s="6" t="s">
        <v>3218</v>
      </c>
      <c r="E2391" s="4"/>
      <c r="F2391" s="8"/>
      <c r="G2391" s="4" t="s">
        <v>3029</v>
      </c>
      <c r="H2391" s="10" t="s">
        <v>3030</v>
      </c>
      <c r="I2391" s="10">
        <v>10.71</v>
      </c>
      <c r="J2391" s="11" t="str">
        <f>IF(D2391&lt;&gt;"",VLOOKUP(H2391,TABLEITEM,5,FALSE),"")</f>
        <v>LOT</v>
      </c>
      <c r="K2391" s="12">
        <v>55.0</v>
      </c>
      <c r="L2391" s="13" t="str">
        <f>IF(D2391&lt;&gt;"",VLOOKUP(H2391,TABLEITEM,2,FALSE),"")</f>
        <v/>
      </c>
      <c r="M2391" s="13" t="str">
        <f>IF(D2391&lt;&gt;"",VLOOKUP(H2391,TABLEITEM,3,FALSE),"")</f>
        <v>ค่าชุบ ดีบุกเงา</v>
      </c>
      <c r="N2391" s="14">
        <f>INSTOCK!$I2391*INSTOCK!$K2391</f>
        <v>589.05</v>
      </c>
      <c r="O2391" s="4"/>
      <c r="P2391" s="4"/>
    </row>
    <row r="2392" ht="15.75" hidden="1" customHeight="1">
      <c r="B2392" s="8">
        <v>2711.0</v>
      </c>
      <c r="C2392" s="9">
        <v>43146.0</v>
      </c>
      <c r="D2392" s="6">
        <v>8135.0</v>
      </c>
      <c r="E2392" s="4"/>
      <c r="F2392" s="8"/>
      <c r="G2392" s="4" t="s">
        <v>2528</v>
      </c>
      <c r="H2392" s="10" t="s">
        <v>2529</v>
      </c>
      <c r="I2392" s="10">
        <v>270.0</v>
      </c>
      <c r="J2392" s="11" t="str">
        <f>IF(D2392&lt;&gt;"",VLOOKUP(H2392,TABLEITEM,5,FALSE),"")</f>
        <v>KG.</v>
      </c>
      <c r="K2392" s="12">
        <v>13.0</v>
      </c>
      <c r="L2392" s="13" t="str">
        <f>IF(D2392&lt;&gt;"",VLOOKUP(H2392,TABLEITEM,2,FALSE),"")</f>
        <v/>
      </c>
      <c r="M2392" s="13" t="str">
        <f>IF(D2392&lt;&gt;"",VLOOKUP(H2392,TABLEITEM,3,FALSE),"")</f>
        <v>งานชุบ HOT DIP</v>
      </c>
      <c r="N2392" s="14">
        <f>INSTOCK!$I2392*INSTOCK!$K2392</f>
        <v>3510</v>
      </c>
      <c r="O2392" s="4" t="s">
        <v>3219</v>
      </c>
      <c r="P2392" s="4"/>
    </row>
    <row r="2393" ht="15.75" hidden="1" customHeight="1">
      <c r="B2393" s="8">
        <v>2712.0</v>
      </c>
      <c r="C2393" s="9">
        <v>43146.0</v>
      </c>
      <c r="D2393" s="6" t="s">
        <v>3220</v>
      </c>
      <c r="E2393" s="4">
        <v>6.10200021E9</v>
      </c>
      <c r="F2393" s="8" t="s">
        <v>3221</v>
      </c>
      <c r="G2393" s="4" t="s">
        <v>1870</v>
      </c>
      <c r="H2393" s="10" t="s">
        <v>2945</v>
      </c>
      <c r="I2393" s="10">
        <v>6500.0</v>
      </c>
      <c r="J2393" s="11" t="str">
        <f>IF(D2393&lt;&gt;"",VLOOKUP(H2393,TABLEITEM,5,FALSE),"")</f>
        <v>EA</v>
      </c>
      <c r="K2393" s="12">
        <v>0.2925</v>
      </c>
      <c r="L2393" s="13" t="str">
        <f>IF(D2393&lt;&gt;"",VLOOKUP(H2393,TABLEITEM,2,FALSE),"")</f>
        <v/>
      </c>
      <c r="M2393" s="13" t="str">
        <f>IF(D2393&lt;&gt;"",VLOOKUP(H2393,TABLEITEM,3,FALSE),"")</f>
        <v>ตะปูยิงรีเวท 6-5   3/16"x1/2"</v>
      </c>
      <c r="N2393" s="14">
        <f>INSTOCK!$I2393*INSTOCK!$K2393</f>
        <v>1901.25</v>
      </c>
      <c r="O2393" s="4" t="s">
        <v>3222</v>
      </c>
      <c r="P2393" s="4"/>
    </row>
    <row r="2394" ht="15.75" hidden="1" customHeight="1">
      <c r="B2394" s="8">
        <v>2713.0</v>
      </c>
      <c r="C2394" s="9">
        <v>43146.0</v>
      </c>
      <c r="D2394" s="6" t="s">
        <v>3223</v>
      </c>
      <c r="E2394" s="4">
        <v>6.102000208E9</v>
      </c>
      <c r="F2394" s="8" t="s">
        <v>3221</v>
      </c>
      <c r="G2394" s="4" t="s">
        <v>1870</v>
      </c>
      <c r="H2394" s="10" t="s">
        <v>3224</v>
      </c>
      <c r="I2394" s="10">
        <v>12500.0</v>
      </c>
      <c r="J2394" s="11" t="str">
        <f>IF(D2394&lt;&gt;"",VLOOKUP(H2394,TABLEITEM,5,FALSE),"")</f>
        <v>EA</v>
      </c>
      <c r="K2394" s="12">
        <v>0.645</v>
      </c>
      <c r="L2394" s="13" t="str">
        <f>IF(D2394&lt;&gt;"",VLOOKUP(H2394,TABLEITEM,2,FALSE),"")</f>
        <v/>
      </c>
      <c r="M2394" s="13" t="str">
        <f>IF(D2394&lt;&gt;"",VLOOKUP(H2394,TABLEITEM,3,FALSE),"")</f>
        <v>สกรูหัวเหลี่ยมสเตนเลส M6x16</v>
      </c>
      <c r="N2394" s="14">
        <f>INSTOCK!$I2394*INSTOCK!$K2394</f>
        <v>8062.5</v>
      </c>
      <c r="O2394" s="4" t="s">
        <v>3225</v>
      </c>
      <c r="P2394" s="4"/>
    </row>
    <row r="2395" ht="15.75" hidden="1" customHeight="1">
      <c r="B2395" s="8">
        <v>2714.0</v>
      </c>
      <c r="C2395" s="9">
        <v>43146.0</v>
      </c>
      <c r="D2395" s="6" t="s">
        <v>3223</v>
      </c>
      <c r="E2395" s="4">
        <v>6.102000208E9</v>
      </c>
      <c r="F2395" s="8" t="s">
        <v>3221</v>
      </c>
      <c r="G2395" s="4" t="s">
        <v>1870</v>
      </c>
      <c r="H2395" s="10" t="s">
        <v>3226</v>
      </c>
      <c r="I2395" s="10">
        <v>2500.0</v>
      </c>
      <c r="J2395" s="11" t="str">
        <f>IF(D2395&lt;&gt;"",VLOOKUP(H2395,TABLEITEM,5,FALSE),"")</f>
        <v>EA</v>
      </c>
      <c r="K2395" s="12">
        <v>0.35</v>
      </c>
      <c r="L2395" s="13" t="str">
        <f>IF(D2395&lt;&gt;"",VLOOKUP(H2395,TABLEITEM,2,FALSE),"")</f>
        <v/>
      </c>
      <c r="M2395" s="13" t="str">
        <f>IF(D2395&lt;&gt;"",VLOOKUP(H2395,TABLEITEM,3,FALSE),"")</f>
        <v>หัวน็อต      สแตนเลส M6</v>
      </c>
      <c r="N2395" s="14">
        <f>INSTOCK!$I2395*INSTOCK!$K2395</f>
        <v>875</v>
      </c>
      <c r="O2395" s="4" t="s">
        <v>3227</v>
      </c>
      <c r="P2395" s="4"/>
    </row>
    <row r="2396" ht="15.75" hidden="1" customHeight="1">
      <c r="B2396" s="8">
        <v>2715.0</v>
      </c>
      <c r="C2396" s="9">
        <v>43145.0</v>
      </c>
      <c r="D2396" s="6" t="s">
        <v>3228</v>
      </c>
      <c r="E2396" s="4">
        <v>6.102000203E9</v>
      </c>
      <c r="F2396" s="8" t="s">
        <v>3229</v>
      </c>
      <c r="G2396" s="4" t="s">
        <v>1587</v>
      </c>
      <c r="H2396" s="10" t="s">
        <v>3230</v>
      </c>
      <c r="I2396" s="10">
        <v>3.0</v>
      </c>
      <c r="J2396" s="11" t="str">
        <f>IF(D2396&lt;&gt;"",VLOOKUP(H2396,TABLEITEM,5,FALSE),"")</f>
        <v>EA</v>
      </c>
      <c r="K2396" s="12">
        <v>2205.9</v>
      </c>
      <c r="L2396" s="13" t="str">
        <f>IF(D2396&lt;&gt;"",VLOOKUP(H2396,TABLEITEM,2,FALSE),"")</f>
        <v/>
      </c>
      <c r="M2396" s="13" t="str">
        <f>IF(D2396&lt;&gt;"",VLOOKUP(H2396,TABLEITEM,3,FALSE),"")</f>
        <v>เบรกเกอร์ NF125-SV 3P 80A</v>
      </c>
      <c r="N2396" s="14">
        <f>INSTOCK!$I2396*INSTOCK!$K2396</f>
        <v>6617.7</v>
      </c>
      <c r="O2396" s="4" t="s">
        <v>3231</v>
      </c>
      <c r="P2396" s="4"/>
    </row>
    <row r="2397" ht="15.75" hidden="1" customHeight="1">
      <c r="B2397" s="8">
        <v>2716.0</v>
      </c>
      <c r="C2397" s="9">
        <v>43145.0</v>
      </c>
      <c r="D2397" s="6" t="s">
        <v>3228</v>
      </c>
      <c r="E2397" s="4">
        <v>6.102000203E9</v>
      </c>
      <c r="F2397" s="8" t="s">
        <v>3229</v>
      </c>
      <c r="G2397" s="4" t="s">
        <v>1587</v>
      </c>
      <c r="H2397" s="10" t="s">
        <v>3232</v>
      </c>
      <c r="I2397" s="10">
        <v>2.0</v>
      </c>
      <c r="J2397" s="11" t="str">
        <f>IF(D2397&lt;&gt;"",VLOOKUP(H2397,TABLEITEM,5,FALSE),"")</f>
        <v>EA</v>
      </c>
      <c r="K2397" s="12">
        <v>666.9</v>
      </c>
      <c r="L2397" s="13" t="str">
        <f>IF(D2397&lt;&gt;"",VLOOKUP(H2397,TABLEITEM,2,FALSE),"")</f>
        <v/>
      </c>
      <c r="M2397" s="13" t="str">
        <f>IF(D2397&lt;&gt;"",VLOOKUP(H2397,TABLEITEM,3,FALSE),"")</f>
        <v>เบรกเกอร์ NF32-SV 2P 6A</v>
      </c>
      <c r="N2397" s="14">
        <f>INSTOCK!$I2397*INSTOCK!$K2397</f>
        <v>1333.8</v>
      </c>
      <c r="O2397" s="4" t="s">
        <v>3233</v>
      </c>
      <c r="P2397" s="4"/>
    </row>
    <row r="2398" ht="15.75" hidden="1" customHeight="1">
      <c r="B2398" s="8">
        <v>2717.0</v>
      </c>
      <c r="C2398" s="9">
        <v>43145.0</v>
      </c>
      <c r="D2398" s="6" t="s">
        <v>3228</v>
      </c>
      <c r="E2398" s="4">
        <v>6.102000203E9</v>
      </c>
      <c r="F2398" s="8" t="s">
        <v>3229</v>
      </c>
      <c r="G2398" s="4" t="s">
        <v>1587</v>
      </c>
      <c r="H2398" s="10" t="s">
        <v>3234</v>
      </c>
      <c r="I2398" s="10">
        <v>1.0</v>
      </c>
      <c r="J2398" s="11" t="str">
        <f>IF(D2398&lt;&gt;"",VLOOKUP(H2398,TABLEITEM,5,FALSE),"")</f>
        <v>EA</v>
      </c>
      <c r="K2398" s="12">
        <v>666.9</v>
      </c>
      <c r="L2398" s="13" t="str">
        <f>IF(D2398&lt;&gt;"",VLOOKUP(H2398,TABLEITEM,2,FALSE),"")</f>
        <v/>
      </c>
      <c r="M2398" s="13" t="str">
        <f>IF(D2398&lt;&gt;"",VLOOKUP(H2398,TABLEITEM,3,FALSE),"")</f>
        <v>เบรกเกอร์ NF32-SV 2P 10A</v>
      </c>
      <c r="N2398" s="14">
        <f>INSTOCK!$I2398*INSTOCK!$K2398</f>
        <v>666.9</v>
      </c>
      <c r="O2398" s="4" t="s">
        <v>3233</v>
      </c>
      <c r="P2398" s="4"/>
    </row>
    <row r="2399" ht="15.75" hidden="1" customHeight="1">
      <c r="B2399" s="8">
        <v>2718.0</v>
      </c>
      <c r="C2399" s="9">
        <v>43145.0</v>
      </c>
      <c r="D2399" s="6" t="s">
        <v>3228</v>
      </c>
      <c r="E2399" s="4">
        <v>6.102000203E9</v>
      </c>
      <c r="F2399" s="8" t="s">
        <v>3229</v>
      </c>
      <c r="G2399" s="4" t="s">
        <v>1587</v>
      </c>
      <c r="H2399" s="10" t="s">
        <v>3235</v>
      </c>
      <c r="I2399" s="10">
        <v>1.0</v>
      </c>
      <c r="J2399" s="11" t="str">
        <f>IF(D2399&lt;&gt;"",VLOOKUP(H2399,TABLEITEM,5,FALSE),"")</f>
        <v>EA</v>
      </c>
      <c r="K2399" s="12">
        <v>3103.65</v>
      </c>
      <c r="L2399" s="13" t="str">
        <f>IF(D2399&lt;&gt;"",VLOOKUP(H2399,TABLEITEM,2,FALSE),"")</f>
        <v/>
      </c>
      <c r="M2399" s="13" t="str">
        <f>IF(D2399&lt;&gt;"",VLOOKUP(H2399,TABLEITEM,3,FALSE),"")</f>
        <v>อันเดอร์โวลเตจ UVTNA250-05SVR FOR NF32-SV-250-SV ขวา AC200-250V</v>
      </c>
      <c r="N2399" s="14">
        <f>INSTOCK!$I2399*INSTOCK!$K2399</f>
        <v>3103.65</v>
      </c>
      <c r="O2399" s="4" t="s">
        <v>3236</v>
      </c>
      <c r="P2399" s="4"/>
    </row>
    <row r="2400" ht="15.75" hidden="1" customHeight="1">
      <c r="B2400" s="8">
        <v>2719.0</v>
      </c>
      <c r="C2400" s="9">
        <v>43145.0</v>
      </c>
      <c r="D2400" s="6">
        <v>6.10204872E8</v>
      </c>
      <c r="E2400" s="4">
        <v>6.102000202E9</v>
      </c>
      <c r="F2400" s="8"/>
      <c r="G2400" s="4" t="s">
        <v>1130</v>
      </c>
      <c r="H2400" s="10" t="s">
        <v>3130</v>
      </c>
      <c r="I2400" s="10">
        <v>3.0</v>
      </c>
      <c r="J2400" s="11" t="str">
        <f>IF(D2400&lt;&gt;"",VLOOKUP(H2400,TABLEITEM,5,FALSE),"")</f>
        <v>EA</v>
      </c>
      <c r="K2400" s="12">
        <v>121.123333</v>
      </c>
      <c r="L2400" s="13" t="str">
        <f>IF(D2400&lt;&gt;"",VLOOKUP(H2400,TABLEITEM,2,FALSE),"")</f>
        <v/>
      </c>
      <c r="M2400" s="13" t="str">
        <f>IF(D2400&lt;&gt;"",VLOOKUP(H2400,TABLEITEM,3,FALSE),"")</f>
        <v>CT250/5 MSQ40</v>
      </c>
      <c r="N2400" s="14">
        <f>INSTOCK!$I2400*INSTOCK!$K2400</f>
        <v>363.369999</v>
      </c>
      <c r="O2400" s="4" t="s">
        <v>1898</v>
      </c>
      <c r="P2400" s="4"/>
    </row>
    <row r="2401" ht="15.75" hidden="1" customHeight="1">
      <c r="B2401" s="8">
        <v>2720.0</v>
      </c>
      <c r="C2401" s="9">
        <v>43144.0</v>
      </c>
      <c r="D2401" s="6" t="s">
        <v>3237</v>
      </c>
      <c r="E2401" s="4"/>
      <c r="F2401" s="8" t="s">
        <v>3238</v>
      </c>
      <c r="G2401" s="4" t="s">
        <v>3239</v>
      </c>
      <c r="H2401" s="10" t="s">
        <v>2580</v>
      </c>
      <c r="I2401" s="10">
        <v>1.0</v>
      </c>
      <c r="J2401" s="11" t="str">
        <f>IF(D2401&lt;&gt;"",VLOOKUP(H2401,TABLEITEM,5,FALSE),"")</f>
        <v>EA</v>
      </c>
      <c r="K2401" s="12">
        <v>240.0</v>
      </c>
      <c r="L2401" s="13" t="str">
        <f>IF(D2401&lt;&gt;"",VLOOKUP(H2401,TABLEITEM,2,FALSE),"")</f>
        <v/>
      </c>
      <c r="M2401" s="13" t="str">
        <f>IF(D2401&lt;&gt;"",VLOOKUP(H2401,TABLEITEM,3,FALSE),"")</f>
        <v>หม้อแปลง 250V/24V 50VA</v>
      </c>
      <c r="N2401" s="14">
        <f>INSTOCK!$I2401*INSTOCK!$K2401</f>
        <v>240</v>
      </c>
      <c r="O2401" s="4"/>
      <c r="P2401" s="4"/>
    </row>
    <row r="2402" ht="15.75" hidden="1" customHeight="1">
      <c r="B2402" s="8">
        <v>2721.0</v>
      </c>
      <c r="C2402" s="9">
        <v>43144.0</v>
      </c>
      <c r="D2402" s="6" t="s">
        <v>3240</v>
      </c>
      <c r="E2402" s="4"/>
      <c r="F2402" s="8" t="s">
        <v>1973</v>
      </c>
      <c r="G2402" s="4" t="s">
        <v>3241</v>
      </c>
      <c r="H2402" s="10" t="s">
        <v>3242</v>
      </c>
      <c r="I2402" s="10">
        <v>2.0</v>
      </c>
      <c r="J2402" s="11" t="str">
        <f>IF(D2402&lt;&gt;"",VLOOKUP(H2402,TABLEITEM,5,FALSE),"")</f>
        <v>EA</v>
      </c>
      <c r="K2402" s="12">
        <v>884.8</v>
      </c>
      <c r="L2402" s="13" t="str">
        <f>IF(D2402&lt;&gt;"",VLOOKUP(H2402,TABLEITEM,2,FALSE),"")</f>
        <v/>
      </c>
      <c r="M2402" s="13" t="str">
        <f>IF(D2402&lt;&gt;"",VLOOKUP(H2402,TABLEITEM,3,FALSE),"")</f>
        <v>ปืนเป่าลม BLOW GUN SET สายขนาด 5x8MMx4M</v>
      </c>
      <c r="N2402" s="14">
        <f>INSTOCK!$I2402*INSTOCK!$K2402</f>
        <v>1769.6</v>
      </c>
      <c r="O2402" s="4" t="s">
        <v>3243</v>
      </c>
      <c r="P2402" s="4"/>
    </row>
    <row r="2403" ht="15.75" hidden="1" customHeight="1">
      <c r="B2403" s="8">
        <v>2722.0</v>
      </c>
      <c r="C2403" s="9">
        <v>43143.0</v>
      </c>
      <c r="D2403" s="6" t="s">
        <v>3244</v>
      </c>
      <c r="E2403" s="4"/>
      <c r="F2403" s="8"/>
      <c r="G2403" s="4" t="s">
        <v>1940</v>
      </c>
      <c r="H2403" s="10" t="s">
        <v>3245</v>
      </c>
      <c r="I2403" s="10">
        <v>2.0</v>
      </c>
      <c r="J2403" s="11" t="str">
        <f>IF(D2403&lt;&gt;"",VLOOKUP(H2403,TABLEITEM,5,FALSE),"")</f>
        <v>EA</v>
      </c>
      <c r="K2403" s="12">
        <v>145.0</v>
      </c>
      <c r="L2403" s="13" t="str">
        <f>IF(D2403&lt;&gt;"",VLOOKUP(H2403,TABLEITEM,2,FALSE),"")</f>
        <v/>
      </c>
      <c r="M2403" s="13" t="str">
        <f>IF(D2403&lt;&gt;"",VLOOKUP(H2403,TABLEITEM,3,FALSE),"")</f>
        <v>ข้อต่อเกลียว SUS 2"</v>
      </c>
      <c r="N2403" s="14">
        <f>INSTOCK!$I2403*INSTOCK!$K2403</f>
        <v>290</v>
      </c>
      <c r="O2403" s="4"/>
      <c r="P2403" s="4"/>
    </row>
    <row r="2404" ht="15.75" hidden="1" customHeight="1">
      <c r="B2404" s="8">
        <v>2723.0</v>
      </c>
      <c r="C2404" s="9">
        <v>43143.0</v>
      </c>
      <c r="D2404" s="6" t="s">
        <v>3246</v>
      </c>
      <c r="E2404" s="4"/>
      <c r="F2404" s="8"/>
      <c r="G2404" s="4" t="s">
        <v>1940</v>
      </c>
      <c r="H2404" s="10" t="s">
        <v>3247</v>
      </c>
      <c r="I2404" s="10">
        <v>2.0</v>
      </c>
      <c r="J2404" s="11" t="str">
        <f>IF(D2404&lt;&gt;"",VLOOKUP(H2404,TABLEITEM,5,FALSE),"")</f>
        <v>EA</v>
      </c>
      <c r="K2404" s="12">
        <v>156.0</v>
      </c>
      <c r="L2404" s="13" t="str">
        <f>IF(D2404&lt;&gt;"",VLOOKUP(H2404,TABLEITEM,2,FALSE),"")</f>
        <v/>
      </c>
      <c r="M2404" s="13" t="str">
        <f>IF(D2404&lt;&gt;"",VLOOKUP(H2404,TABLEITEM,3,FALSE),"")</f>
        <v>นิเปิ้ลเกลียว SUS 2"</v>
      </c>
      <c r="N2404" s="14">
        <f>INSTOCK!$I2404*INSTOCK!$K2404</f>
        <v>312</v>
      </c>
      <c r="O2404" s="4"/>
      <c r="P2404" s="4"/>
    </row>
    <row r="2405" ht="15.75" hidden="1" customHeight="1">
      <c r="B2405" s="8">
        <v>2724.0</v>
      </c>
      <c r="C2405" s="9">
        <v>43143.0</v>
      </c>
      <c r="D2405" s="6" t="s">
        <v>3248</v>
      </c>
      <c r="E2405" s="4"/>
      <c r="F2405" s="8"/>
      <c r="G2405" s="4" t="s">
        <v>1940</v>
      </c>
      <c r="H2405" s="10" t="s">
        <v>3249</v>
      </c>
      <c r="I2405" s="10">
        <v>1.0</v>
      </c>
      <c r="J2405" s="11" t="str">
        <f>IF(D2405&lt;&gt;"",VLOOKUP(H2405,TABLEITEM,5,FALSE),"")</f>
        <v>EA</v>
      </c>
      <c r="K2405" s="12">
        <v>600.0</v>
      </c>
      <c r="L2405" s="13" t="str">
        <f>IF(D2405&lt;&gt;"",VLOOKUP(H2405,TABLEITEM,2,FALSE),"")</f>
        <v/>
      </c>
      <c r="M2405" s="13" t="str">
        <f>IF(D2405&lt;&gt;"",VLOOKUP(H2405,TABLEITEM,3,FALSE),"")</f>
        <v>บอลวาล์ SUS VR 2"</v>
      </c>
      <c r="N2405" s="14">
        <f>INSTOCK!$I2405*INSTOCK!$K2405</f>
        <v>600</v>
      </c>
      <c r="O2405" s="4"/>
      <c r="P2405" s="4"/>
    </row>
    <row r="2406" ht="15.75" hidden="1" customHeight="1">
      <c r="B2406" s="8">
        <v>2725.0</v>
      </c>
      <c r="C2406" s="9">
        <v>43143.0</v>
      </c>
      <c r="D2406" s="6" t="s">
        <v>3250</v>
      </c>
      <c r="E2406" s="4"/>
      <c r="F2406" s="8"/>
      <c r="G2406" s="4" t="s">
        <v>1940</v>
      </c>
      <c r="H2406" s="10" t="s">
        <v>3251</v>
      </c>
      <c r="I2406" s="10">
        <v>1.0</v>
      </c>
      <c r="J2406" s="11" t="str">
        <f>IF(D2406&lt;&gt;"",VLOOKUP(H2406,TABLEITEM,5,FALSE),"")</f>
        <v>EA</v>
      </c>
      <c r="K2406" s="12">
        <v>228.0</v>
      </c>
      <c r="L2406" s="13" t="str">
        <f>IF(D2406&lt;&gt;"",VLOOKUP(H2406,TABLEITEM,2,FALSE),"")</f>
        <v/>
      </c>
      <c r="M2406" s="13" t="str">
        <f>IF(D2406&lt;&gt;"",VLOOKUP(H2406,TABLEITEM,3,FALSE),"")</f>
        <v>ข้องอเกลียว SUS 90 2"</v>
      </c>
      <c r="N2406" s="14">
        <f>INSTOCK!$I2406*INSTOCK!$K2406</f>
        <v>228</v>
      </c>
      <c r="O2406" s="4"/>
      <c r="P2406" s="4"/>
    </row>
    <row r="2407" ht="15.75" hidden="1" customHeight="1">
      <c r="B2407" s="8">
        <v>2726.0</v>
      </c>
      <c r="C2407" s="9">
        <v>43143.0</v>
      </c>
      <c r="D2407" s="6" t="s">
        <v>3252</v>
      </c>
      <c r="E2407" s="4">
        <v>6.102000192E9</v>
      </c>
      <c r="F2407" s="8" t="s">
        <v>3253</v>
      </c>
      <c r="G2407" s="4" t="s">
        <v>1990</v>
      </c>
      <c r="H2407" s="10" t="s">
        <v>3254</v>
      </c>
      <c r="I2407" s="10">
        <v>1.0</v>
      </c>
      <c r="J2407" s="11" t="str">
        <f>IF(D2407&lt;&gt;"",VLOOKUP(H2407,TABLEITEM,5,FALSE),"")</f>
        <v>EA</v>
      </c>
      <c r="K2407" s="12">
        <v>330.0</v>
      </c>
      <c r="L2407" s="13" t="str">
        <f>IF(D2407&lt;&gt;"",VLOOKUP(H2407,TABLEITEM,2,FALSE),"")</f>
        <v/>
      </c>
      <c r="M2407" s="13" t="str">
        <f>IF(D2407&lt;&gt;"",VLOOKUP(H2407,TABLEITEM,3,FALSE),"")</f>
        <v>เครื่องคิดเลข CASIO AX-120 B 12หลัก</v>
      </c>
      <c r="N2407" s="14">
        <f>INSTOCK!$I2407*INSTOCK!$K2407</f>
        <v>330</v>
      </c>
      <c r="O2407" s="4"/>
      <c r="P2407" s="4"/>
    </row>
    <row r="2408" ht="15.75" hidden="1" customHeight="1">
      <c r="B2408" s="8">
        <v>2727.0</v>
      </c>
      <c r="C2408" s="9">
        <v>43143.0</v>
      </c>
      <c r="D2408" s="6" t="s">
        <v>3252</v>
      </c>
      <c r="E2408" s="4">
        <v>6.102000192E9</v>
      </c>
      <c r="F2408" s="8" t="s">
        <v>3253</v>
      </c>
      <c r="G2408" s="4" t="s">
        <v>1990</v>
      </c>
      <c r="H2408" s="10" t="s">
        <v>3255</v>
      </c>
      <c r="I2408" s="10">
        <v>1.0</v>
      </c>
      <c r="J2408" s="11" t="str">
        <f>IF(D2408&lt;&gt;"",VLOOKUP(H2408,TABLEITEM,5,FALSE),"")</f>
        <v>EA</v>
      </c>
      <c r="K2408" s="12">
        <v>150.0</v>
      </c>
      <c r="L2408" s="13" t="str">
        <f>IF(D2408&lt;&gt;"",VLOOKUP(H2408,TABLEITEM,2,FALSE),"")</f>
        <v/>
      </c>
      <c r="M2408" s="13" t="str">
        <f>IF(D2408&lt;&gt;"",VLOOKUP(H2408,TABLEITEM,3,FALSE),"")</f>
        <v>ปากกาควอนตั้ม QCGB-007 ฮิทซ์ น้ำเงิน 0.7มม.(50แถม10)</v>
      </c>
      <c r="N2408" s="14">
        <f>INSTOCK!$I2408*INSTOCK!$K2408</f>
        <v>150</v>
      </c>
      <c r="O2408" s="4"/>
      <c r="P2408" s="4"/>
    </row>
    <row r="2409" ht="15.75" hidden="1" customHeight="1">
      <c r="B2409" s="8">
        <v>2728.0</v>
      </c>
      <c r="C2409" s="9">
        <v>43143.0</v>
      </c>
      <c r="D2409" s="6" t="s">
        <v>3252</v>
      </c>
      <c r="E2409" s="4">
        <v>6.102000192E9</v>
      </c>
      <c r="F2409" s="8" t="s">
        <v>3253</v>
      </c>
      <c r="G2409" s="4" t="s">
        <v>1990</v>
      </c>
      <c r="H2409" s="10" t="s">
        <v>3256</v>
      </c>
      <c r="I2409" s="10">
        <v>6.0</v>
      </c>
      <c r="J2409" s="11" t="str">
        <f>IF(D2409&lt;&gt;"",VLOOKUP(H2409,TABLEITEM,5,FALSE),"")</f>
        <v>PACK</v>
      </c>
      <c r="K2409" s="12">
        <v>9.0</v>
      </c>
      <c r="L2409" s="13" t="str">
        <f>IF(D2409&lt;&gt;"",VLOOKUP(H2409,TABLEITEM,2,FALSE),"")</f>
        <v/>
      </c>
      <c r="M2409" s="13" t="str">
        <f>IF(D2409&lt;&gt;"",VLOOKUP(H2409,TABLEITEM,3,FALSE),"")</f>
        <v>คลิปดำ ตราช้าง E-112(1x300)</v>
      </c>
      <c r="N2409" s="14">
        <f>INSTOCK!$I2409*INSTOCK!$K2409</f>
        <v>54</v>
      </c>
      <c r="O2409" s="4"/>
      <c r="P2409" s="4"/>
    </row>
    <row r="2410" ht="15.75" hidden="1" customHeight="1">
      <c r="B2410" s="8">
        <v>2729.0</v>
      </c>
      <c r="C2410" s="9">
        <v>43141.0</v>
      </c>
      <c r="D2410" s="6" t="s">
        <v>3257</v>
      </c>
      <c r="E2410" s="4"/>
      <c r="F2410" s="8"/>
      <c r="G2410" s="4" t="s">
        <v>3029</v>
      </c>
      <c r="H2410" s="10" t="s">
        <v>3030</v>
      </c>
      <c r="I2410" s="10">
        <v>0.4</v>
      </c>
      <c r="J2410" s="11" t="str">
        <f>IF(D2410&lt;&gt;"",VLOOKUP(H2410,TABLEITEM,5,FALSE),"")</f>
        <v>LOT</v>
      </c>
      <c r="K2410" s="12">
        <v>500.0</v>
      </c>
      <c r="L2410" s="13" t="str">
        <f>IF(D2410&lt;&gt;"",VLOOKUP(H2410,TABLEITEM,2,FALSE),"")</f>
        <v/>
      </c>
      <c r="M2410" s="13" t="str">
        <f>IF(D2410&lt;&gt;"",VLOOKUP(H2410,TABLEITEM,3,FALSE),"")</f>
        <v>ค่าชุบ ดีบุกเงา</v>
      </c>
      <c r="N2410" s="14">
        <f>INSTOCK!$I2410*INSTOCK!$K2410</f>
        <v>200</v>
      </c>
      <c r="O2410" s="4" t="s">
        <v>3258</v>
      </c>
      <c r="P2410" s="4"/>
    </row>
    <row r="2411" ht="15.75" hidden="1" customHeight="1">
      <c r="B2411" s="8">
        <v>2730.0</v>
      </c>
      <c r="C2411" s="9">
        <v>43143.0</v>
      </c>
      <c r="D2411" s="6" t="s">
        <v>3259</v>
      </c>
      <c r="E2411" s="4">
        <v>6.102000184E9</v>
      </c>
      <c r="F2411" s="8" t="s">
        <v>3238</v>
      </c>
      <c r="G2411" s="4" t="s">
        <v>721</v>
      </c>
      <c r="H2411" s="10" t="s">
        <v>1437</v>
      </c>
      <c r="I2411" s="10">
        <v>1.0</v>
      </c>
      <c r="J2411" s="11" t="str">
        <f>IF(D2411&lt;&gt;"",VLOOKUP(H2411,TABLEITEM,5,FALSE),"")</f>
        <v>EA</v>
      </c>
      <c r="K2411" s="12">
        <v>14972.0</v>
      </c>
      <c r="L2411" s="13" t="str">
        <f>IF(D2411&lt;&gt;"",VLOOKUP(H2411,TABLEITEM,2,FALSE),"")</f>
        <v/>
      </c>
      <c r="M2411" s="13" t="str">
        <f>IF(D2411&lt;&gt;"",VLOOKUP(H2411,TABLEITEM,3,FALSE),"")</f>
        <v>ออดชนิดเสียงดังไม่ต่อเนื่องมีแลมป์ LED</v>
      </c>
      <c r="N2411" s="14">
        <f>INSTOCK!$I2411*INSTOCK!$K2411</f>
        <v>14972</v>
      </c>
      <c r="O2411" s="4" t="s">
        <v>1438</v>
      </c>
      <c r="P2411" s="4"/>
    </row>
    <row r="2412" ht="15.75" hidden="1" customHeight="1">
      <c r="B2412" s="8">
        <v>2731.0</v>
      </c>
      <c r="C2412" s="9">
        <v>43143.0</v>
      </c>
      <c r="D2412" s="6" t="s">
        <v>3260</v>
      </c>
      <c r="E2412" s="4">
        <v>6.102000194E9</v>
      </c>
      <c r="F2412" s="8" t="s">
        <v>3238</v>
      </c>
      <c r="G2412" s="4" t="s">
        <v>1485</v>
      </c>
      <c r="H2412" s="10" t="s">
        <v>2200</v>
      </c>
      <c r="I2412" s="10">
        <v>2.0</v>
      </c>
      <c r="J2412" s="11" t="str">
        <f>IF(D2412&lt;&gt;"",VLOOKUP(H2412,TABLEITEM,5,FALSE),"")</f>
        <v>EA</v>
      </c>
      <c r="K2412" s="12">
        <v>338.8</v>
      </c>
      <c r="L2412" s="13" t="str">
        <f>IF(D2412&lt;&gt;"",VLOOKUP(H2412,TABLEITEM,2,FALSE),"")</f>
        <v/>
      </c>
      <c r="M2412" s="13" t="str">
        <f>IF(D2412&lt;&gt;"",VLOOKUP(H2412,TABLEITEM,3,FALSE),"")</f>
        <v>GV2&amp;GV3 AUXILIARY GVAD1010</v>
      </c>
      <c r="N2412" s="14">
        <f>INSTOCK!$I2412*INSTOCK!$K2412</f>
        <v>677.6</v>
      </c>
      <c r="O2412" s="4"/>
      <c r="P2412" s="4"/>
    </row>
    <row r="2413" ht="15.75" hidden="1" customHeight="1">
      <c r="B2413" s="8">
        <v>2732.0</v>
      </c>
      <c r="C2413" s="9">
        <v>43140.0</v>
      </c>
      <c r="D2413" s="6" t="s">
        <v>3261</v>
      </c>
      <c r="E2413" s="4"/>
      <c r="F2413" s="8" t="s">
        <v>3262</v>
      </c>
      <c r="G2413" s="4" t="s">
        <v>2009</v>
      </c>
      <c r="H2413" s="10" t="s">
        <v>2010</v>
      </c>
      <c r="I2413" s="10">
        <v>1.0</v>
      </c>
      <c r="J2413" s="11" t="str">
        <f>IF(D2413&lt;&gt;"",VLOOKUP(H2413,TABLEITEM,5,FALSE),"")</f>
        <v>EA</v>
      </c>
      <c r="K2413" s="12">
        <v>20000.0</v>
      </c>
      <c r="L2413" s="13" t="str">
        <f>IF(D2413&lt;&gt;"",VLOOKUP(H2413,TABLEITEM,2,FALSE),"")</f>
        <v/>
      </c>
      <c r="M2413" s="13" t="str">
        <f>IF(D2413&lt;&gt;"",VLOOKUP(H2413,TABLEITEM,3,FALSE),"")</f>
        <v>สวิทซ์ลำแสง/ม่านแสง SF4B-H20G</v>
      </c>
      <c r="N2413" s="14">
        <f>INSTOCK!$I2413*INSTOCK!$K2413</f>
        <v>20000</v>
      </c>
      <c r="O2413" s="4"/>
      <c r="P2413" s="4"/>
    </row>
    <row r="2414" ht="15.75" hidden="1" customHeight="1">
      <c r="B2414" s="8">
        <v>2733.0</v>
      </c>
      <c r="C2414" s="9">
        <v>43140.0</v>
      </c>
      <c r="D2414" s="6" t="s">
        <v>3261</v>
      </c>
      <c r="E2414" s="4"/>
      <c r="F2414" s="8" t="s">
        <v>3262</v>
      </c>
      <c r="G2414" s="4" t="s">
        <v>2009</v>
      </c>
      <c r="H2414" s="10" t="s">
        <v>2012</v>
      </c>
      <c r="I2414" s="10">
        <v>1.0</v>
      </c>
      <c r="J2414" s="11" t="str">
        <f>IF(D2414&lt;&gt;"",VLOOKUP(H2414,TABLEITEM,5,FALSE),"")</f>
        <v>EA</v>
      </c>
      <c r="K2414" s="12">
        <v>0.0</v>
      </c>
      <c r="L2414" s="13" t="str">
        <f>IF(D2414&lt;&gt;"",VLOOKUP(H2414,TABLEITEM,2,FALSE),"")</f>
        <v/>
      </c>
      <c r="M2414" s="13" t="str">
        <f>IF(D2414&lt;&gt;"",VLOOKUP(H2414,TABLEITEM,3,FALSE),"")</f>
        <v>สายเคเบิ้ล SF-CCB7,FOR SF4B,8-CORE</v>
      </c>
      <c r="N2414" s="14">
        <f>INSTOCK!$I2414*INSTOCK!$K2414</f>
        <v>0</v>
      </c>
      <c r="O2414" s="4"/>
      <c r="P2414" s="4"/>
    </row>
    <row r="2415" ht="15.75" hidden="1" customHeight="1">
      <c r="B2415" s="8">
        <v>2734.0</v>
      </c>
      <c r="C2415" s="9">
        <v>43140.0</v>
      </c>
      <c r="D2415" s="6" t="s">
        <v>3261</v>
      </c>
      <c r="E2415" s="4"/>
      <c r="F2415" s="8" t="s">
        <v>3262</v>
      </c>
      <c r="G2415" s="4" t="s">
        <v>2009</v>
      </c>
      <c r="H2415" s="10" t="s">
        <v>2011</v>
      </c>
      <c r="I2415" s="10">
        <v>1.0</v>
      </c>
      <c r="J2415" s="11" t="str">
        <f>IF(D2415&lt;&gt;"",VLOOKUP(H2415,TABLEITEM,5,FALSE),"")</f>
        <v>EA</v>
      </c>
      <c r="K2415" s="12">
        <v>0.0</v>
      </c>
      <c r="L2415" s="13" t="str">
        <f>IF(D2415&lt;&gt;"",VLOOKUP(H2415,TABLEITEM,2,FALSE),"")</f>
        <v/>
      </c>
      <c r="M2415" s="13" t="str">
        <f>IF(D2415&lt;&gt;"",VLOOKUP(H2415,TABLEITEM,3,FALSE),"")</f>
        <v>ขายึด MS-SF4BG-1</v>
      </c>
      <c r="N2415" s="14">
        <f>INSTOCK!$I2415*INSTOCK!$K2415</f>
        <v>0</v>
      </c>
      <c r="O2415" s="4"/>
      <c r="P2415" s="4"/>
    </row>
    <row r="2416" ht="15.75" hidden="1" customHeight="1">
      <c r="B2416" s="8">
        <v>2735.0</v>
      </c>
      <c r="C2416" s="9">
        <v>43140.0</v>
      </c>
      <c r="D2416" s="6" t="s">
        <v>3261</v>
      </c>
      <c r="E2416" s="4"/>
      <c r="F2416" s="8" t="s">
        <v>3262</v>
      </c>
      <c r="G2416" s="4" t="s">
        <v>2009</v>
      </c>
      <c r="H2416" s="10" t="s">
        <v>3263</v>
      </c>
      <c r="I2416" s="10">
        <v>1.0</v>
      </c>
      <c r="J2416" s="11" t="str">
        <f>IF(D2416&lt;&gt;"",VLOOKUP(H2416,TABLEITEM,5,FALSE),"")</f>
        <v>SET</v>
      </c>
      <c r="K2416" s="12">
        <v>1500.0</v>
      </c>
      <c r="L2416" s="13" t="str">
        <f>IF(D2416&lt;&gt;"",VLOOKUP(H2416,TABLEITEM,2,FALSE),"")</f>
        <v/>
      </c>
      <c r="M2416" s="13" t="str">
        <f>IF(D2416&lt;&gt;"",VLOOKUP(H2416,TABLEITEM,3,FALSE),"")</f>
        <v>รีเลย์ยูนิต PS-630NS AC110/250V 5A</v>
      </c>
      <c r="N2416" s="14">
        <f>INSTOCK!$I2416*INSTOCK!$K2416</f>
        <v>1500</v>
      </c>
      <c r="O2416" s="4"/>
      <c r="P2416" s="4"/>
    </row>
    <row r="2417" ht="15.75" hidden="1" customHeight="1">
      <c r="B2417" s="8">
        <v>2736.0</v>
      </c>
      <c r="C2417" s="9">
        <v>43551.0</v>
      </c>
      <c r="D2417" s="6" t="s">
        <v>3264</v>
      </c>
      <c r="E2417" s="4"/>
      <c r="F2417" s="8" t="s">
        <v>801</v>
      </c>
      <c r="G2417" s="4" t="s">
        <v>1417</v>
      </c>
      <c r="H2417" s="10" t="s">
        <v>803</v>
      </c>
      <c r="I2417" s="10">
        <v>15.0</v>
      </c>
      <c r="J2417" s="11" t="str">
        <f>IF(D2417&lt;&gt;"",VLOOKUP(H2417,TABLEITEM,5,FALSE),"")</f>
        <v>ถัง</v>
      </c>
      <c r="K2417" s="12">
        <v>981.31</v>
      </c>
      <c r="L2417" s="13" t="str">
        <f>IF(D2417&lt;&gt;"",VLOOKUP(H2417,TABLEITEM,2,FALSE),"")</f>
        <v/>
      </c>
      <c r="M2417" s="13" t="str">
        <f>IF(D2417&lt;&gt;"",VLOOKUP(H2417,TABLEITEM,3,FALSE),"")</f>
        <v>แก๊สหุงต้ม 48กก</v>
      </c>
      <c r="N2417" s="14">
        <f>INSTOCK!$I2417*INSTOCK!$K2417</f>
        <v>14719.65</v>
      </c>
      <c r="O2417" s="4"/>
      <c r="P2417" s="4"/>
    </row>
    <row r="2418" ht="15.75" hidden="1" customHeight="1">
      <c r="B2418" s="8">
        <v>2737.0</v>
      </c>
      <c r="C2418" s="9">
        <v>43551.0</v>
      </c>
      <c r="D2418" s="6" t="s">
        <v>3265</v>
      </c>
      <c r="E2418" s="4">
        <v>6.203000441E9</v>
      </c>
      <c r="F2418" s="8" t="s">
        <v>3266</v>
      </c>
      <c r="G2418" s="4" t="s">
        <v>3267</v>
      </c>
      <c r="H2418" s="10" t="s">
        <v>3268</v>
      </c>
      <c r="I2418" s="10">
        <v>2.0</v>
      </c>
      <c r="J2418" s="11" t="str">
        <f>IF(D2418&lt;&gt;"",VLOOKUP(H2418,TABLEITEM,5,FALSE),"")</f>
        <v>EA</v>
      </c>
      <c r="K2418" s="12">
        <v>240.0</v>
      </c>
      <c r="L2418" s="13" t="str">
        <f>IF(D2418&lt;&gt;"",VLOOKUP(H2418,TABLEITEM,2,FALSE),"")</f>
        <v/>
      </c>
      <c r="M2418" s="13" t="str">
        <f>IF(D2418&lt;&gt;"",VLOOKUP(H2418,TABLEITEM,3,FALSE),"")</f>
        <v>SAFETY WEDGE X1 อะไหล่ปืนพ่นสี</v>
      </c>
      <c r="N2418" s="14">
        <f>INSTOCK!$I2418*INSTOCK!$K2418</f>
        <v>480</v>
      </c>
      <c r="O2418" s="4"/>
      <c r="P2418" s="4"/>
    </row>
    <row r="2419" ht="15.75" hidden="1" customHeight="1">
      <c r="B2419" s="8">
        <v>2738.0</v>
      </c>
      <c r="C2419" s="9">
        <v>43551.0</v>
      </c>
      <c r="D2419" s="6" t="s">
        <v>3269</v>
      </c>
      <c r="E2419" s="4">
        <v>6.203000453E9</v>
      </c>
      <c r="F2419" s="8" t="s">
        <v>604</v>
      </c>
      <c r="G2419" s="4" t="s">
        <v>1923</v>
      </c>
      <c r="H2419" s="10" t="s">
        <v>1924</v>
      </c>
      <c r="I2419" s="10">
        <v>12.0</v>
      </c>
      <c r="J2419" s="11" t="str">
        <f>IF(D2419&lt;&gt;"",VLOOKUP(H2419,TABLEITEM,5,FALSE),"")</f>
        <v>EA</v>
      </c>
      <c r="K2419" s="12">
        <v>141.3</v>
      </c>
      <c r="L2419" s="13" t="str">
        <f>IF(D2419&lt;&gt;"",VLOOKUP(H2419,TABLEITEM,2,FALSE),"")</f>
        <v/>
      </c>
      <c r="M2419" s="13" t="str">
        <f>IF(D2419&lt;&gt;"",VLOOKUP(H2419,TABLEITEM,3,FALSE),"")</f>
        <v>ล้อเป็น 3" M 03S 075DSWPP</v>
      </c>
      <c r="N2419" s="14">
        <f>INSTOCK!$I2419*INSTOCK!$K2419</f>
        <v>1695.6</v>
      </c>
      <c r="O2419" s="4"/>
      <c r="P2419" s="4"/>
    </row>
    <row r="2420" ht="15.75" hidden="1" customHeight="1">
      <c r="B2420" s="8">
        <v>2739.0</v>
      </c>
      <c r="C2420" s="9">
        <v>43551.0</v>
      </c>
      <c r="D2420" s="6" t="s">
        <v>3269</v>
      </c>
      <c r="E2420" s="4">
        <v>6.203000453E9</v>
      </c>
      <c r="F2420" s="8" t="s">
        <v>604</v>
      </c>
      <c r="G2420" s="4" t="s">
        <v>1923</v>
      </c>
      <c r="H2420" s="10" t="s">
        <v>3270</v>
      </c>
      <c r="I2420" s="10">
        <v>12.0</v>
      </c>
      <c r="J2420" s="11" t="str">
        <f>IF(D2420&lt;&gt;"",VLOOKUP(H2420,TABLEITEM,5,FALSE),"")</f>
        <v>EA</v>
      </c>
      <c r="K2420" s="12">
        <v>117.0</v>
      </c>
      <c r="L2420" s="13" t="str">
        <f>IF(D2420&lt;&gt;"",VLOOKUP(H2420,TABLEITEM,2,FALSE),"")</f>
        <v/>
      </c>
      <c r="M2420" s="13" t="str">
        <f>IF(D2420&lt;&gt;"",VLOOKUP(H2420,TABLEITEM,3,FALSE),"")</f>
        <v>ล้อไนล่อน 3" แป้นตาย M03F075DS</v>
      </c>
      <c r="N2420" s="14">
        <f>INSTOCK!$I2420*INSTOCK!$K2420</f>
        <v>1404</v>
      </c>
      <c r="O2420" s="4"/>
      <c r="P2420" s="4"/>
    </row>
    <row r="2421" ht="15.75" hidden="1" customHeight="1">
      <c r="B2421" s="8">
        <v>2740.0</v>
      </c>
      <c r="C2421" s="9">
        <v>43551.0</v>
      </c>
      <c r="D2421" s="6" t="s">
        <v>3271</v>
      </c>
      <c r="E2421" s="4"/>
      <c r="F2421" s="8" t="s">
        <v>801</v>
      </c>
      <c r="G2421" s="4" t="s">
        <v>1417</v>
      </c>
      <c r="H2421" s="10" t="s">
        <v>803</v>
      </c>
      <c r="I2421" s="10">
        <v>15.0</v>
      </c>
      <c r="J2421" s="11" t="str">
        <f>IF(D2421&lt;&gt;"",VLOOKUP(H2421,TABLEITEM,5,FALSE),"")</f>
        <v>ถัง</v>
      </c>
      <c r="K2421" s="12">
        <v>981.31</v>
      </c>
      <c r="L2421" s="13" t="str">
        <f>IF(D2421&lt;&gt;"",VLOOKUP(H2421,TABLEITEM,2,FALSE),"")</f>
        <v/>
      </c>
      <c r="M2421" s="13" t="str">
        <f>IF(D2421&lt;&gt;"",VLOOKUP(H2421,TABLEITEM,3,FALSE),"")</f>
        <v>แก๊สหุงต้ม 48กก</v>
      </c>
      <c r="N2421" s="14">
        <f>INSTOCK!$I2421*INSTOCK!$K2421</f>
        <v>14719.65</v>
      </c>
      <c r="O2421" s="4"/>
      <c r="P2421" s="4"/>
    </row>
    <row r="2422" ht="15.75" hidden="1" customHeight="1">
      <c r="B2422" s="8">
        <v>2741.0</v>
      </c>
      <c r="C2422" s="9">
        <v>43550.0</v>
      </c>
      <c r="D2422" s="6" t="s">
        <v>3272</v>
      </c>
      <c r="E2422" s="4"/>
      <c r="F2422" s="8" t="s">
        <v>3273</v>
      </c>
      <c r="G2422" s="4" t="s">
        <v>702</v>
      </c>
      <c r="H2422" s="10" t="s">
        <v>779</v>
      </c>
      <c r="I2422" s="10">
        <v>40.0</v>
      </c>
      <c r="J2422" s="11" t="str">
        <f>IF(D2422&lt;&gt;"",VLOOKUP(H2422,TABLEITEM,5,FALSE),"")</f>
        <v>KG.</v>
      </c>
      <c r="K2422" s="12">
        <v>130.0</v>
      </c>
      <c r="L2422" s="13" t="str">
        <f>IF(D2422&lt;&gt;"",VLOOKUP(H2422,TABLEITEM,2,FALSE),"")</f>
        <v/>
      </c>
      <c r="M2422" s="13" t="str">
        <f>IF(D2422&lt;&gt;"",VLOOKUP(H2422,TABLEITEM,3,FALSE),"")</f>
        <v>สีฝุ่น FF110/948/C สีครีม</v>
      </c>
      <c r="N2422" s="14">
        <f>INSTOCK!$I2422*INSTOCK!$K2422</f>
        <v>5200</v>
      </c>
      <c r="O2422" s="4"/>
      <c r="P2422" s="4"/>
    </row>
    <row r="2423" ht="15.75" hidden="1" customHeight="1">
      <c r="B2423" s="8">
        <v>2742.0</v>
      </c>
      <c r="C2423" s="9">
        <v>43549.0</v>
      </c>
      <c r="D2423" s="6">
        <v>6.2031086E7</v>
      </c>
      <c r="E2423" s="4">
        <v>6.203000442E9</v>
      </c>
      <c r="F2423" s="8" t="s">
        <v>3274</v>
      </c>
      <c r="G2423" s="4" t="s">
        <v>711</v>
      </c>
      <c r="H2423" s="10" t="s">
        <v>105</v>
      </c>
      <c r="I2423" s="10">
        <v>20.0</v>
      </c>
      <c r="J2423" s="11" t="str">
        <f>IF(D2423&lt;&gt;"",VLOOKUP(H2423,TABLEITEM,5,FALSE),"")</f>
        <v>KG.</v>
      </c>
      <c r="K2423" s="12">
        <v>165.75</v>
      </c>
      <c r="L2423" s="13" t="str">
        <f>IF(D2423&lt;&gt;"",VLOOKUP(H2423,TABLEITEM,2,FALSE),"")</f>
        <v/>
      </c>
      <c r="M2423" s="13" t="str">
        <f>IF(D2423&lt;&gt;"",VLOOKUP(H2423,TABLEITEM,3,FALSE),"")</f>
        <v>สีฝุ่น M10001 WN</v>
      </c>
      <c r="N2423" s="14">
        <f>INSTOCK!$I2423*INSTOCK!$K2423</f>
        <v>3315</v>
      </c>
      <c r="O2423" s="4" t="s">
        <v>971</v>
      </c>
      <c r="P2423" s="4"/>
    </row>
    <row r="2424" ht="15.75" hidden="1" customHeight="1">
      <c r="B2424" s="8">
        <v>2743.0</v>
      </c>
      <c r="C2424" s="9">
        <v>43547.0</v>
      </c>
      <c r="D2424" s="6" t="s">
        <v>3275</v>
      </c>
      <c r="E2424" s="4">
        <v>6.203000404E9</v>
      </c>
      <c r="F2424" s="8" t="s">
        <v>604</v>
      </c>
      <c r="G2424" s="4" t="s">
        <v>965</v>
      </c>
      <c r="H2424" s="10" t="s">
        <v>46</v>
      </c>
      <c r="I2424" s="10">
        <v>10.0</v>
      </c>
      <c r="J2424" s="11" t="str">
        <f>IF(D2424&lt;&gt;"",VLOOKUP(H2424,TABLEITEM,5,FALSE),"")</f>
        <v>ROLL</v>
      </c>
      <c r="K2424" s="12">
        <v>90.0</v>
      </c>
      <c r="L2424" s="13" t="str">
        <f>IF(D2424&lt;&gt;"",VLOOKUP(H2424,TABLEITEM,2,FALSE),"")</f>
        <v/>
      </c>
      <c r="M2424" s="13" t="str">
        <f>IF(D2424&lt;&gt;"",VLOOKUP(H2424,TABLEITEM,3,FALSE),"")</f>
        <v>ลวดดำ</v>
      </c>
      <c r="N2424" s="14">
        <f>INSTOCK!$I2424*INSTOCK!$K2424</f>
        <v>900</v>
      </c>
      <c r="O2424" s="4"/>
      <c r="P2424" s="4"/>
    </row>
    <row r="2425" ht="15.75" hidden="1" customHeight="1">
      <c r="B2425" s="8">
        <v>2744.0</v>
      </c>
      <c r="C2425" s="9">
        <v>43547.0</v>
      </c>
      <c r="D2425" s="6" t="s">
        <v>3276</v>
      </c>
      <c r="E2425" s="4">
        <v>6.203000444E9</v>
      </c>
      <c r="F2425" s="8" t="s">
        <v>3277</v>
      </c>
      <c r="G2425" s="4" t="s">
        <v>729</v>
      </c>
      <c r="H2425" s="10" t="s">
        <v>3278</v>
      </c>
      <c r="I2425" s="10">
        <v>30.0</v>
      </c>
      <c r="J2425" s="11" t="str">
        <f>IF(D2425&lt;&gt;"",VLOOKUP(H2425,TABLEITEM,5,FALSE),"")</f>
        <v>M</v>
      </c>
      <c r="K2425" s="12">
        <v>99.3333</v>
      </c>
      <c r="L2425" s="13" t="str">
        <f>IF(D2425&lt;&gt;"",VLOOKUP(H2425,TABLEITEM,2,FALSE),"")</f>
        <v/>
      </c>
      <c r="M2425" s="13" t="str">
        <f>IF(D2425&lt;&gt;"",VLOOKUP(H2425,TABLEITEM,3,FALSE),"")</f>
        <v>ยางฟองน้ำ 2"x3/8"</v>
      </c>
      <c r="N2425" s="14">
        <f>INSTOCK!$I2425*INSTOCK!$K2425</f>
        <v>2979.999</v>
      </c>
      <c r="O2425" s="4" t="s">
        <v>3279</v>
      </c>
      <c r="P2425" s="4"/>
    </row>
    <row r="2426" ht="15.75" hidden="1" customHeight="1">
      <c r="B2426" s="8">
        <v>2745.0</v>
      </c>
      <c r="C2426" s="9">
        <v>43551.0</v>
      </c>
      <c r="D2426" s="6" t="s">
        <v>3280</v>
      </c>
      <c r="E2426" s="4">
        <v>6.203000394E9</v>
      </c>
      <c r="F2426" s="8" t="s">
        <v>604</v>
      </c>
      <c r="G2426" s="4" t="s">
        <v>1777</v>
      </c>
      <c r="H2426" s="10" t="s">
        <v>3281</v>
      </c>
      <c r="I2426" s="10">
        <v>5000.0</v>
      </c>
      <c r="J2426" s="11" t="str">
        <f>IF(D2426&lt;&gt;"",VLOOKUP(H2426,TABLEITEM,5,FALSE),"")</f>
        <v>EA</v>
      </c>
      <c r="K2426" s="12">
        <v>1.5</v>
      </c>
      <c r="L2426" s="13" t="str">
        <f>IF(D2426&lt;&gt;"",VLOOKUP(H2426,TABLEITEM,2,FALSE),"")</f>
        <v/>
      </c>
      <c r="M2426" s="13" t="str">
        <f>IF(D2426&lt;&gt;"",VLOOKUP(H2426,TABLEITEM,3,FALSE),"")</f>
        <v>สกรูหัวเหลี่ยมชุบขาว M 6x35</v>
      </c>
      <c r="N2426" s="14">
        <f>INSTOCK!$I2426*INSTOCK!$K2426</f>
        <v>7500</v>
      </c>
      <c r="O2426" s="4" t="s">
        <v>3282</v>
      </c>
      <c r="P2426" s="4"/>
    </row>
    <row r="2427" ht="15.75" hidden="1" customHeight="1">
      <c r="B2427" s="8">
        <v>2746.0</v>
      </c>
      <c r="C2427" s="9">
        <v>43550.0</v>
      </c>
      <c r="D2427" s="6" t="s">
        <v>3283</v>
      </c>
      <c r="E2427" s="4">
        <v>6.203000454E9</v>
      </c>
      <c r="F2427" s="8" t="s">
        <v>807</v>
      </c>
      <c r="G2427" s="4" t="s">
        <v>808</v>
      </c>
      <c r="H2427" s="10" t="s">
        <v>809</v>
      </c>
      <c r="I2427" s="10">
        <v>1.0</v>
      </c>
      <c r="J2427" s="11" t="str">
        <f>IF(D2427&lt;&gt;"",VLOOKUP(H2427,TABLEITEM,5,FALSE),"")</f>
        <v>ท่อ</v>
      </c>
      <c r="K2427" s="12">
        <v>2700.0</v>
      </c>
      <c r="L2427" s="13" t="str">
        <f>IF(D2427&lt;&gt;"",VLOOKUP(H2427,TABLEITEM,2,FALSE),"")</f>
        <v/>
      </c>
      <c r="M2427" s="13" t="str">
        <f>IF(D2427&lt;&gt;"",VLOOKUP(H2427,TABLEITEM,3,FALSE),"")</f>
        <v>ไนโตรเจนเหลว ขนาด 100คิว</v>
      </c>
      <c r="N2427" s="14">
        <f>INSTOCK!$I2427*INSTOCK!$K2427</f>
        <v>2700</v>
      </c>
      <c r="O2427" s="4"/>
      <c r="P2427" s="4"/>
    </row>
    <row r="2428" ht="15.75" hidden="1" customHeight="1">
      <c r="B2428" s="8">
        <v>2747.0</v>
      </c>
      <c r="C2428" s="9">
        <v>43549.0</v>
      </c>
      <c r="D2428" s="6" t="s">
        <v>3284</v>
      </c>
      <c r="E2428" s="4">
        <v>6.203000449E9</v>
      </c>
      <c r="F2428" s="8" t="s">
        <v>604</v>
      </c>
      <c r="G2428" s="4" t="s">
        <v>975</v>
      </c>
      <c r="H2428" s="10" t="s">
        <v>19</v>
      </c>
      <c r="I2428" s="10">
        <v>60.0</v>
      </c>
      <c r="J2428" s="11" t="str">
        <f>IF(D2428&lt;&gt;"",VLOOKUP(H2428,TABLEITEM,5,FALSE),"")</f>
        <v>ROLL</v>
      </c>
      <c r="K2428" s="12">
        <v>140.0</v>
      </c>
      <c r="L2428" s="13" t="str">
        <f>IF(D2428&lt;&gt;"",VLOOKUP(H2428,TABLEITEM,2,FALSE),"")</f>
        <v/>
      </c>
      <c r="M2428" s="13" t="str">
        <f>IF(D2428&lt;&gt;"",VLOOKUP(H2428,TABLEITEM,3,FALSE),"")</f>
        <v>พลาสติกห่อตู้ 20micx50cmx300m</v>
      </c>
      <c r="N2428" s="14">
        <f>INSTOCK!$I2428*INSTOCK!$K2428</f>
        <v>8400</v>
      </c>
      <c r="O2428" s="4" t="s">
        <v>977</v>
      </c>
      <c r="P2428" s="4"/>
    </row>
    <row r="2429" ht="15.75" hidden="1" customHeight="1">
      <c r="B2429" s="8">
        <v>2748.0</v>
      </c>
      <c r="C2429" s="9">
        <v>43549.0</v>
      </c>
      <c r="D2429" s="6" t="s">
        <v>3285</v>
      </c>
      <c r="E2429" s="4">
        <v>6.203000446E9</v>
      </c>
      <c r="F2429" s="8" t="s">
        <v>3286</v>
      </c>
      <c r="G2429" s="4" t="s">
        <v>1485</v>
      </c>
      <c r="H2429" s="10" t="s">
        <v>1558</v>
      </c>
      <c r="I2429" s="10">
        <v>10.0</v>
      </c>
      <c r="J2429" s="11" t="str">
        <f>IF(D2429&lt;&gt;"",VLOOKUP(H2429,TABLEITEM,5,FALSE),"")</f>
        <v>EA</v>
      </c>
      <c r="K2429" s="12">
        <v>369.0</v>
      </c>
      <c r="L2429" s="13" t="str">
        <f>IF(D2429&lt;&gt;"",VLOOKUP(H2429,TABLEITEM,2,FALSE),"")</f>
        <v/>
      </c>
      <c r="M2429" s="13" t="str">
        <f>IF(D2429&lt;&gt;"",VLOOKUP(H2429,TABLEITEM,3,FALSE),"")</f>
        <v>CONTACTOR LC1D09M7</v>
      </c>
      <c r="N2429" s="14">
        <f>INSTOCK!$I2429*INSTOCK!$K2429</f>
        <v>3690</v>
      </c>
      <c r="O2429" s="4"/>
      <c r="P2429" s="4"/>
    </row>
    <row r="2430" ht="15.75" hidden="1" customHeight="1">
      <c r="B2430" s="8">
        <v>2749.0</v>
      </c>
      <c r="C2430" s="9">
        <v>43549.0</v>
      </c>
      <c r="D2430" s="6" t="s">
        <v>3285</v>
      </c>
      <c r="E2430" s="4">
        <v>6.203000446E9</v>
      </c>
      <c r="F2430" s="8" t="s">
        <v>3286</v>
      </c>
      <c r="G2430" s="4" t="s">
        <v>1485</v>
      </c>
      <c r="H2430" s="10" t="s">
        <v>1743</v>
      </c>
      <c r="I2430" s="10">
        <v>10.0</v>
      </c>
      <c r="J2430" s="11" t="str">
        <f>IF(D2430&lt;&gt;"",VLOOKUP(H2430,TABLEITEM,5,FALSE),"")</f>
        <v>EA</v>
      </c>
      <c r="K2430" s="12">
        <v>65.6</v>
      </c>
      <c r="L2430" s="13" t="str">
        <f>IF(D2430&lt;&gt;"",VLOOKUP(H2430,TABLEITEM,2,FALSE),"")</f>
        <v/>
      </c>
      <c r="M2430" s="13" t="str">
        <f>IF(D2430&lt;&gt;"",VLOOKUP(H2430,TABLEITEM,3,FALSE),"")</f>
        <v>SINGLE CONTACT BLOCK #22 1NO ZBE101</v>
      </c>
      <c r="N2430" s="14">
        <f>INSTOCK!$I2430*INSTOCK!$K2430</f>
        <v>656</v>
      </c>
      <c r="O2430" s="4"/>
      <c r="P2430" s="4"/>
    </row>
    <row r="2431" ht="15.75" hidden="1" customHeight="1">
      <c r="B2431" s="8">
        <v>2750.0</v>
      </c>
      <c r="C2431" s="9">
        <v>43549.0</v>
      </c>
      <c r="D2431" s="6" t="s">
        <v>3285</v>
      </c>
      <c r="E2431" s="4">
        <v>6.203000446E9</v>
      </c>
      <c r="F2431" s="8" t="s">
        <v>3286</v>
      </c>
      <c r="G2431" s="4" t="s">
        <v>1485</v>
      </c>
      <c r="H2431" s="10" t="s">
        <v>2159</v>
      </c>
      <c r="I2431" s="10">
        <v>1.0</v>
      </c>
      <c r="J2431" s="11" t="str">
        <f>IF(D2431&lt;&gt;"",VLOOKUP(H2431,TABLEITEM,5,FALSE),"")</f>
        <v>EA</v>
      </c>
      <c r="K2431" s="12">
        <v>274.7</v>
      </c>
      <c r="L2431" s="13" t="str">
        <f>IF(D2431&lt;&gt;"",VLOOKUP(H2431,TABLEITEM,2,FALSE),"")</f>
        <v/>
      </c>
      <c r="M2431" s="13" t="str">
        <f>IF(D2431&lt;&gt;"",VLOOKUP(H2431,TABLEITEM,3,FALSE),"")</f>
        <v>SELEATOR SWITCH #22 2POS STAY PUT RON</v>
      </c>
      <c r="N2431" s="14">
        <f>INSTOCK!$I2431*INSTOCK!$K2431</f>
        <v>274.7</v>
      </c>
      <c r="O2431" s="4"/>
      <c r="P2431" s="4"/>
    </row>
    <row r="2432" ht="15.75" hidden="1" customHeight="1">
      <c r="B2432" s="8">
        <v>2751.0</v>
      </c>
      <c r="C2432" s="9">
        <v>43549.0</v>
      </c>
      <c r="D2432" s="6" t="s">
        <v>3287</v>
      </c>
      <c r="E2432" s="4">
        <v>6.203000436E9</v>
      </c>
      <c r="F2432" s="8" t="s">
        <v>604</v>
      </c>
      <c r="G2432" s="4" t="s">
        <v>743</v>
      </c>
      <c r="H2432" s="10" t="s">
        <v>86</v>
      </c>
      <c r="I2432" s="10">
        <v>500.0</v>
      </c>
      <c r="J2432" s="11" t="str">
        <f>IF(D2432&lt;&gt;"",VLOOKUP(H2432,TABLEITEM,5,FALSE),"")</f>
        <v>KG.</v>
      </c>
      <c r="K2432" s="12">
        <v>139.0</v>
      </c>
      <c r="L2432" s="13" t="str">
        <f>IF(D2432&lt;&gt;"",VLOOKUP(H2432,TABLEITEM,2,FALSE),"")</f>
        <v/>
      </c>
      <c r="M2432" s="13" t="str">
        <f>IF(D2432&lt;&gt;"",VLOOKUP(H2432,TABLEITEM,3,FALSE),"")</f>
        <v>สีฝุ่น ครีมเรียบ 1204551PX20</v>
      </c>
      <c r="N2432" s="14">
        <f>INSTOCK!$I2432*INSTOCK!$K2432</f>
        <v>69500</v>
      </c>
      <c r="O2432" s="4"/>
      <c r="P2432" s="4"/>
    </row>
    <row r="2433" ht="15.75" hidden="1" customHeight="1">
      <c r="B2433" s="8">
        <v>2752.0</v>
      </c>
      <c r="C2433" s="9">
        <v>43552.0</v>
      </c>
      <c r="D2433" s="6" t="s">
        <v>3288</v>
      </c>
      <c r="E2433" s="4">
        <v>6.203000467E9</v>
      </c>
      <c r="F2433" s="8" t="s">
        <v>807</v>
      </c>
      <c r="G2433" s="4" t="s">
        <v>808</v>
      </c>
      <c r="H2433" s="10" t="s">
        <v>812</v>
      </c>
      <c r="I2433" s="10">
        <v>1.0</v>
      </c>
      <c r="J2433" s="11" t="str">
        <f>IF(D2433&lt;&gt;"",VLOOKUP(H2433,TABLEITEM,5,FALSE),"")</f>
        <v>ท่อ</v>
      </c>
      <c r="K2433" s="12">
        <v>2960.0</v>
      </c>
      <c r="L2433" s="13" t="str">
        <f>IF(D2433&lt;&gt;"",VLOOKUP(H2433,TABLEITEM,2,FALSE),"")</f>
        <v/>
      </c>
      <c r="M2433" s="13" t="str">
        <f>IF(D2433&lt;&gt;"",VLOOKUP(H2433,TABLEITEM,3,FALSE),"")</f>
        <v>ออกซิเจนเหลว ขนาด 148 คิว</v>
      </c>
      <c r="N2433" s="14">
        <f>INSTOCK!$I2433*INSTOCK!$K2433</f>
        <v>2960</v>
      </c>
      <c r="O2433" s="4"/>
      <c r="P2433" s="4"/>
    </row>
    <row r="2434" ht="15.75" hidden="1" customHeight="1">
      <c r="B2434" s="8">
        <v>2753.0</v>
      </c>
      <c r="C2434" s="9">
        <v>43556.0</v>
      </c>
      <c r="D2434" s="6" t="s">
        <v>3289</v>
      </c>
      <c r="E2434" s="4">
        <v>6.203000473E9</v>
      </c>
      <c r="F2434" s="8" t="s">
        <v>3290</v>
      </c>
      <c r="G2434" s="4" t="s">
        <v>617</v>
      </c>
      <c r="H2434" s="10" t="s">
        <v>660</v>
      </c>
      <c r="I2434" s="10">
        <v>30.0</v>
      </c>
      <c r="J2434" s="11" t="str">
        <f>IF(D2434&lt;&gt;"",VLOOKUP(H2434,TABLEITEM,5,FALSE),"")</f>
        <v>M</v>
      </c>
      <c r="K2434" s="12">
        <v>2127.72</v>
      </c>
      <c r="L2434" s="13" t="str">
        <f>IF(D2434&lt;&gt;"",VLOOKUP(H2434,TABLEITEM,2,FALSE),"")</f>
        <v>Busbar</v>
      </c>
      <c r="M2434" s="13" t="str">
        <f>IF(D2434&lt;&gt;"",VLOOKUP(H2434,TABLEITEM,3,FALSE),"")</f>
        <v>บัสบาร์ทองแดง 100x10</v>
      </c>
      <c r="N2434" s="14">
        <f>INSTOCK!$I2434*INSTOCK!$K2434</f>
        <v>63831.6</v>
      </c>
      <c r="O2434" s="4" t="s">
        <v>3291</v>
      </c>
      <c r="P2434" s="4"/>
    </row>
    <row r="2435" ht="15.75" hidden="1" customHeight="1">
      <c r="B2435" s="8">
        <v>2754.0</v>
      </c>
      <c r="C2435" s="9">
        <v>43556.0</v>
      </c>
      <c r="D2435" s="6" t="s">
        <v>3289</v>
      </c>
      <c r="E2435" s="4">
        <v>6.203000473E9</v>
      </c>
      <c r="F2435" s="8" t="s">
        <v>3290</v>
      </c>
      <c r="G2435" s="4" t="s">
        <v>617</v>
      </c>
      <c r="H2435" s="10" t="s">
        <v>3292</v>
      </c>
      <c r="I2435" s="10">
        <v>45.0</v>
      </c>
      <c r="J2435" s="11" t="str">
        <f>IF(D2435&lt;&gt;"",VLOOKUP(H2435,TABLEITEM,5,FALSE),"")</f>
        <v>M</v>
      </c>
      <c r="K2435" s="12">
        <v>3431.96</v>
      </c>
      <c r="L2435" s="13" t="str">
        <f>IF(D2435&lt;&gt;"",VLOOKUP(H2435,TABLEITEM,2,FALSE),"")</f>
        <v>Busbar</v>
      </c>
      <c r="M2435" s="13" t="str">
        <f>IF(D2435&lt;&gt;"",VLOOKUP(H2435,TABLEITEM,3,FALSE),"")</f>
        <v>บัสบาร์ทองแดง 5"x1/2"</v>
      </c>
      <c r="N2435" s="14">
        <f>INSTOCK!$I2435*INSTOCK!$K2435</f>
        <v>154438.2</v>
      </c>
      <c r="O2435" s="4" t="s">
        <v>3293</v>
      </c>
      <c r="P2435" s="4"/>
    </row>
    <row r="2436" ht="15.75" hidden="1" customHeight="1">
      <c r="B2436" s="8">
        <v>2755.0</v>
      </c>
      <c r="C2436" s="9">
        <v>43551.0</v>
      </c>
      <c r="D2436" s="6" t="s">
        <v>3294</v>
      </c>
      <c r="E2436" s="4">
        <v>6.203000462E9</v>
      </c>
      <c r="F2436" s="8" t="s">
        <v>604</v>
      </c>
      <c r="G2436" s="4" t="s">
        <v>1446</v>
      </c>
      <c r="H2436" s="10" t="s">
        <v>1542</v>
      </c>
      <c r="I2436" s="10">
        <v>6.0</v>
      </c>
      <c r="J2436" s="11" t="str">
        <f>IF(D2436&lt;&gt;"",VLOOKUP(H2436,TABLEITEM,5,FALSE),"")</f>
        <v>EA</v>
      </c>
      <c r="K2436" s="12">
        <v>235.0</v>
      </c>
      <c r="L2436" s="13" t="str">
        <f>IF(D2436&lt;&gt;"",VLOOKUP(H2436,TABLEITEM,2,FALSE),"")</f>
        <v/>
      </c>
      <c r="M2436" s="13" t="str">
        <f>IF(D2436&lt;&gt;"",VLOOKUP(H2436,TABLEITEM,3,FALSE),"")</f>
        <v>หลอดแสงจันทร์ HPL-N400W</v>
      </c>
      <c r="N2436" s="14">
        <f>INSTOCK!$I2436*INSTOCK!$K2436</f>
        <v>1410</v>
      </c>
      <c r="O2436" s="4"/>
      <c r="P2436" s="4"/>
    </row>
    <row r="2437" ht="15.75" hidden="1" customHeight="1">
      <c r="B2437" s="8">
        <v>2756.0</v>
      </c>
      <c r="C2437" s="9">
        <v>43549.0</v>
      </c>
      <c r="D2437" s="6" t="s">
        <v>3295</v>
      </c>
      <c r="E2437" s="4">
        <v>6.20300044E9</v>
      </c>
      <c r="F2437" s="8" t="s">
        <v>981</v>
      </c>
      <c r="G2437" s="4" t="s">
        <v>982</v>
      </c>
      <c r="H2437" s="10" t="s">
        <v>986</v>
      </c>
      <c r="I2437" s="10">
        <v>300.0</v>
      </c>
      <c r="J2437" s="11" t="str">
        <f>IF(D2437&lt;&gt;"",VLOOKUP(H2437,TABLEITEM,5,FALSE),"")</f>
        <v>KG.</v>
      </c>
      <c r="K2437" s="12">
        <v>41.0</v>
      </c>
      <c r="L2437" s="13" t="str">
        <f>IF(D2437&lt;&gt;"",VLOOKUP(H2437,TABLEITEM,2,FALSE),"")</f>
        <v/>
      </c>
      <c r="M2437" s="13" t="str">
        <f>IF(D2437&lt;&gt;"",VLOOKUP(H2437,TABLEITEM,3,FALSE),"")</f>
        <v>เคมีฟอสเฟต PN-134</v>
      </c>
      <c r="N2437" s="14">
        <f>INSTOCK!$I2437*INSTOCK!$K2437</f>
        <v>12300</v>
      </c>
      <c r="O2437" s="4" t="s">
        <v>3296</v>
      </c>
      <c r="P2437" s="4"/>
    </row>
    <row r="2438" ht="15.75" hidden="1" customHeight="1">
      <c r="B2438" s="8">
        <v>2757.0</v>
      </c>
      <c r="C2438" s="9">
        <v>43549.0</v>
      </c>
      <c r="D2438" s="6" t="s">
        <v>3295</v>
      </c>
      <c r="E2438" s="4">
        <v>6.20300044E9</v>
      </c>
      <c r="F2438" s="8" t="s">
        <v>981</v>
      </c>
      <c r="G2438" s="4" t="s">
        <v>982</v>
      </c>
      <c r="H2438" s="10" t="s">
        <v>983</v>
      </c>
      <c r="I2438" s="10">
        <v>200.0</v>
      </c>
      <c r="J2438" s="11" t="str">
        <f>IF(D2438&lt;&gt;"",VLOOKUP(H2438,TABLEITEM,5,FALSE),"")</f>
        <v>KG.</v>
      </c>
      <c r="K2438" s="12">
        <v>37.0</v>
      </c>
      <c r="L2438" s="13" t="str">
        <f>IF(D2438&lt;&gt;"",VLOOKUP(H2438,TABLEITEM,2,FALSE),"")</f>
        <v/>
      </c>
      <c r="M2438" s="13" t="str">
        <f>IF(D2438&lt;&gt;"",VLOOKUP(H2438,TABLEITEM,3,FALSE),"")</f>
        <v>เคมี ADDITIVE P-8</v>
      </c>
      <c r="N2438" s="14">
        <f>INSTOCK!$I2438*INSTOCK!$K2438</f>
        <v>7400</v>
      </c>
      <c r="O2438" s="4" t="s">
        <v>3296</v>
      </c>
      <c r="P2438" s="4"/>
    </row>
    <row r="2439" ht="15.75" hidden="1" customHeight="1">
      <c r="B2439" s="8">
        <v>2758.0</v>
      </c>
      <c r="C2439" s="9">
        <v>43549.0</v>
      </c>
      <c r="D2439" s="6" t="s">
        <v>3295</v>
      </c>
      <c r="E2439" s="4">
        <v>6.20300044E9</v>
      </c>
      <c r="F2439" s="8" t="s">
        <v>981</v>
      </c>
      <c r="G2439" s="4" t="s">
        <v>982</v>
      </c>
      <c r="H2439" s="10" t="s">
        <v>995</v>
      </c>
      <c r="I2439" s="10">
        <v>100.0</v>
      </c>
      <c r="J2439" s="11" t="str">
        <f>IF(D2439&lt;&gt;"",VLOOKUP(H2439,TABLEITEM,5,FALSE),"")</f>
        <v>KG.</v>
      </c>
      <c r="K2439" s="12">
        <v>21.0</v>
      </c>
      <c r="L2439" s="13" t="str">
        <f>IF(D2439&lt;&gt;"",VLOOKUP(H2439,TABLEITEM,2,FALSE),"")</f>
        <v/>
      </c>
      <c r="M2439" s="13" t="str">
        <f>IF(D2439&lt;&gt;"",VLOOKUP(H2439,TABLEITEM,3,FALSE),"")</f>
        <v>เคมีลดค่ากรด PF-18</v>
      </c>
      <c r="N2439" s="14">
        <f>INSTOCK!$I2439*INSTOCK!$K2439</f>
        <v>2100</v>
      </c>
      <c r="O2439" s="4" t="s">
        <v>3297</v>
      </c>
      <c r="P2439" s="4"/>
    </row>
    <row r="2440" ht="15.75" hidden="1" customHeight="1">
      <c r="B2440" s="8">
        <v>2759.0</v>
      </c>
      <c r="C2440" s="9">
        <v>43550.0</v>
      </c>
      <c r="D2440" s="6" t="s">
        <v>3298</v>
      </c>
      <c r="E2440" s="4">
        <v>6.203000448E9</v>
      </c>
      <c r="F2440" s="8" t="s">
        <v>604</v>
      </c>
      <c r="G2440" s="4" t="s">
        <v>725</v>
      </c>
      <c r="H2440" s="10" t="s">
        <v>26</v>
      </c>
      <c r="I2440" s="10">
        <v>1500.0</v>
      </c>
      <c r="J2440" s="11" t="str">
        <f>IF(D2440&lt;&gt;"",VLOOKUP(H2440,TABLEITEM,5,FALSE),"")</f>
        <v>M</v>
      </c>
      <c r="K2440" s="12">
        <v>18.0</v>
      </c>
      <c r="L2440" s="13" t="str">
        <f>IF(D2440&lt;&gt;"",VLOOKUP(H2440,TABLEITEM,2,FALSE),"")</f>
        <v/>
      </c>
      <c r="M2440" s="13" t="str">
        <f>IF(D2440&lt;&gt;"",VLOOKUP(H2440,TABLEITEM,3,FALSE),"")</f>
        <v>ยางโปร่ง#110</v>
      </c>
      <c r="N2440" s="14">
        <f>INSTOCK!$I2440*INSTOCK!$K2440</f>
        <v>27000</v>
      </c>
      <c r="O2440" s="4"/>
      <c r="P2440" s="4"/>
    </row>
    <row r="2441" ht="15.75" hidden="1" customHeight="1">
      <c r="B2441" s="8">
        <v>2760.0</v>
      </c>
      <c r="C2441" s="9">
        <v>43551.0</v>
      </c>
      <c r="D2441" s="6" t="s">
        <v>3299</v>
      </c>
      <c r="E2441" s="4">
        <v>6.203000451E9</v>
      </c>
      <c r="F2441" s="8" t="s">
        <v>604</v>
      </c>
      <c r="G2441" s="4" t="s">
        <v>743</v>
      </c>
      <c r="H2441" s="10" t="s">
        <v>75</v>
      </c>
      <c r="I2441" s="10">
        <v>200.0</v>
      </c>
      <c r="J2441" s="11" t="str">
        <f>IF(D2441&lt;&gt;"",VLOOKUP(H2441,TABLEITEM,5,FALSE),"")</f>
        <v>KG.</v>
      </c>
      <c r="K2441" s="12">
        <v>149.35</v>
      </c>
      <c r="L2441" s="13" t="str">
        <f>IF(D2441&lt;&gt;"",VLOOKUP(H2441,TABLEITEM,2,FALSE),"")</f>
        <v/>
      </c>
      <c r="M2441" s="13" t="str">
        <f>IF(D2441&lt;&gt;"",VLOOKUP(H2441,TABLEITEM,3,FALSE),"")</f>
        <v>สีฝุ่น สีครีมย่น 1002735PX20</v>
      </c>
      <c r="N2441" s="14">
        <f>INSTOCK!$I2441*INSTOCK!$K2441</f>
        <v>29870</v>
      </c>
      <c r="O2441" s="4"/>
      <c r="P2441" s="4"/>
    </row>
    <row r="2442" ht="15.75" hidden="1" customHeight="1">
      <c r="B2442" s="8">
        <v>2761.0</v>
      </c>
      <c r="C2442" s="9">
        <v>43550.0</v>
      </c>
      <c r="D2442" s="6" t="s">
        <v>3300</v>
      </c>
      <c r="E2442" s="4">
        <v>6.20300046E9</v>
      </c>
      <c r="F2442" s="8" t="s">
        <v>2884</v>
      </c>
      <c r="G2442" s="4" t="s">
        <v>2350</v>
      </c>
      <c r="H2442" s="10" t="s">
        <v>2537</v>
      </c>
      <c r="I2442" s="10">
        <v>200.0</v>
      </c>
      <c r="J2442" s="11" t="str">
        <f>IF(D2442&lt;&gt;"",VLOOKUP(H2442,TABLEITEM,5,FALSE),"")</f>
        <v>KG.</v>
      </c>
      <c r="K2442" s="12">
        <v>122.0</v>
      </c>
      <c r="L2442" s="13" t="str">
        <f>IF(D2442&lt;&gt;"",VLOOKUP(H2442,TABLEITEM,2,FALSE),"")</f>
        <v/>
      </c>
      <c r="M2442" s="13" t="str">
        <f>IF(D2442&lt;&gt;"",VLOOKUP(H2442,TABLEITEM,3,FALSE),"")</f>
        <v>สีฝุ่น L4001  สีส้มภายนอก P2049A</v>
      </c>
      <c r="N2442" s="14">
        <f>INSTOCK!$I2442*INSTOCK!$K2442</f>
        <v>24400</v>
      </c>
      <c r="O2442" s="4"/>
      <c r="P2442" s="4"/>
    </row>
    <row r="2443" ht="15.75" hidden="1" customHeight="1">
      <c r="B2443" s="8">
        <v>2762.0</v>
      </c>
      <c r="C2443" s="9">
        <v>43523.0</v>
      </c>
      <c r="D2443" s="6" t="s">
        <v>3301</v>
      </c>
      <c r="E2443" s="4"/>
      <c r="F2443" s="8" t="s">
        <v>2884</v>
      </c>
      <c r="G2443" s="4" t="s">
        <v>898</v>
      </c>
      <c r="H2443" s="10" t="s">
        <v>2268</v>
      </c>
      <c r="I2443" s="10">
        <v>10.0</v>
      </c>
      <c r="J2443" s="11" t="str">
        <f>IF(D2443&lt;&gt;"",VLOOKUP(H2443,TABLEITEM,5,FALSE),"")</f>
        <v>LIT</v>
      </c>
      <c r="K2443" s="12">
        <v>400.0</v>
      </c>
      <c r="L2443" s="13" t="str">
        <f>IF(D2443&lt;&gt;"",VLOOKUP(H2443,TABLEITEM,2,FALSE),"")</f>
        <v/>
      </c>
      <c r="M2443" s="13" t="str">
        <f>IF(D2443&lt;&gt;"",VLOOKUP(H2443,TABLEITEM,3,FALSE),"")</f>
        <v>สีพ่นแห้งเร็ว(สีผสม)</v>
      </c>
      <c r="N2443" s="14">
        <f>INSTOCK!$I2443*INSTOCK!$K2443</f>
        <v>4000</v>
      </c>
      <c r="O2443" s="4" t="s">
        <v>2784</v>
      </c>
      <c r="P2443" s="4"/>
    </row>
    <row r="2444" ht="15.75" hidden="1" customHeight="1">
      <c r="B2444" s="8">
        <v>2763.0</v>
      </c>
      <c r="C2444" s="9">
        <v>43550.0</v>
      </c>
      <c r="D2444" s="6" t="s">
        <v>3302</v>
      </c>
      <c r="E2444" s="4"/>
      <c r="F2444" s="8" t="s">
        <v>2884</v>
      </c>
      <c r="G2444" s="4" t="s">
        <v>898</v>
      </c>
      <c r="H2444" s="10" t="s">
        <v>2268</v>
      </c>
      <c r="I2444" s="10">
        <v>5.0</v>
      </c>
      <c r="J2444" s="11" t="str">
        <f>IF(D2444&lt;&gt;"",VLOOKUP(H2444,TABLEITEM,5,FALSE),"")</f>
        <v>LIT</v>
      </c>
      <c r="K2444" s="12">
        <v>380.0</v>
      </c>
      <c r="L2444" s="13" t="str">
        <f>IF(D2444&lt;&gt;"",VLOOKUP(H2444,TABLEITEM,2,FALSE),"")</f>
        <v/>
      </c>
      <c r="M2444" s="13" t="str">
        <f>IF(D2444&lt;&gt;"",VLOOKUP(H2444,TABLEITEM,3,FALSE),"")</f>
        <v>สีพ่นแห้งเร็ว(สีผสม)</v>
      </c>
      <c r="N2444" s="14">
        <f>INSTOCK!$I2444*INSTOCK!$K2444</f>
        <v>1900</v>
      </c>
      <c r="O2444" s="4" t="s">
        <v>2647</v>
      </c>
      <c r="P2444" s="4"/>
    </row>
    <row r="2445" ht="15.75" hidden="1" customHeight="1">
      <c r="B2445" s="8">
        <v>2764.0</v>
      </c>
      <c r="C2445" s="9">
        <v>43551.0</v>
      </c>
      <c r="D2445" s="6" t="s">
        <v>3302</v>
      </c>
      <c r="E2445" s="4"/>
      <c r="F2445" s="8" t="s">
        <v>2884</v>
      </c>
      <c r="G2445" s="4" t="s">
        <v>898</v>
      </c>
      <c r="H2445" s="10" t="s">
        <v>2268</v>
      </c>
      <c r="I2445" s="10">
        <v>10.0</v>
      </c>
      <c r="J2445" s="11" t="str">
        <f>IF(D2445&lt;&gt;"",VLOOKUP(H2445,TABLEITEM,5,FALSE),"")</f>
        <v>LIT</v>
      </c>
      <c r="K2445" s="12">
        <v>400.0</v>
      </c>
      <c r="L2445" s="13" t="str">
        <f>IF(D2445&lt;&gt;"",VLOOKUP(H2445,TABLEITEM,2,FALSE),"")</f>
        <v/>
      </c>
      <c r="M2445" s="13" t="str">
        <f>IF(D2445&lt;&gt;"",VLOOKUP(H2445,TABLEITEM,3,FALSE),"")</f>
        <v>สีพ่นแห้งเร็ว(สีผสม)</v>
      </c>
      <c r="N2445" s="14">
        <f>INSTOCK!$I2445*INSTOCK!$K2445</f>
        <v>4000</v>
      </c>
      <c r="O2445" s="4" t="s">
        <v>2784</v>
      </c>
      <c r="P2445" s="4"/>
    </row>
    <row r="2446" ht="15.75" hidden="1" customHeight="1">
      <c r="B2446" s="8">
        <v>2765.0</v>
      </c>
      <c r="C2446" s="9">
        <v>43550.0</v>
      </c>
      <c r="D2446" s="6" t="s">
        <v>3303</v>
      </c>
      <c r="E2446" s="4">
        <v>6.203000452E9</v>
      </c>
      <c r="F2446" s="8" t="s">
        <v>3304</v>
      </c>
      <c r="G2446" s="4" t="s">
        <v>617</v>
      </c>
      <c r="H2446" s="10" t="s">
        <v>1361</v>
      </c>
      <c r="I2446" s="10">
        <v>100.0</v>
      </c>
      <c r="J2446" s="11" t="str">
        <f>IF(D2446&lt;&gt;"",VLOOKUP(H2446,TABLEITEM,5,FALSE),"")</f>
        <v>M</v>
      </c>
      <c r="K2446" s="12">
        <v>214.2</v>
      </c>
      <c r="L2446" s="13" t="str">
        <f>IF(D2446&lt;&gt;"",VLOOKUP(H2446,TABLEITEM,2,FALSE),"")</f>
        <v>Busbar</v>
      </c>
      <c r="M2446" s="13" t="str">
        <f>IF(D2446&lt;&gt;"",VLOOKUP(H2446,TABLEITEM,3,FALSE),"")</f>
        <v>บัสบาร์ทองแดง 20x5</v>
      </c>
      <c r="N2446" s="14">
        <f>INSTOCK!$I2446*INSTOCK!$K2446</f>
        <v>21420</v>
      </c>
      <c r="O2446" s="4" t="s">
        <v>3305</v>
      </c>
      <c r="P2446" s="4"/>
    </row>
    <row r="2447" ht="15.75" hidden="1" customHeight="1">
      <c r="B2447" s="8">
        <v>2766.0</v>
      </c>
      <c r="C2447" s="9">
        <v>43550.0</v>
      </c>
      <c r="D2447" s="6" t="s">
        <v>3303</v>
      </c>
      <c r="E2447" s="4">
        <v>6.203000452E9</v>
      </c>
      <c r="F2447" s="8" t="s">
        <v>3304</v>
      </c>
      <c r="G2447" s="4" t="s">
        <v>617</v>
      </c>
      <c r="H2447" s="10" t="s">
        <v>562</v>
      </c>
      <c r="I2447" s="10">
        <v>50.0</v>
      </c>
      <c r="J2447" s="11" t="str">
        <f>IF(D2447&lt;&gt;"",VLOOKUP(H2447,TABLEITEM,5,FALSE),"")</f>
        <v>M</v>
      </c>
      <c r="K2447" s="12">
        <v>1066.24</v>
      </c>
      <c r="L2447" s="13" t="str">
        <f>IF(D2447&lt;&gt;"",VLOOKUP(H2447,TABLEITEM,2,FALSE),"")</f>
        <v>Busbar</v>
      </c>
      <c r="M2447" s="13" t="str">
        <f>IF(D2447&lt;&gt;"",VLOOKUP(H2447,TABLEITEM,3,FALSE),"")</f>
        <v>บัสบาร์ทองแดง 50x10</v>
      </c>
      <c r="N2447" s="14">
        <f>INSTOCK!$I2447*INSTOCK!$K2447</f>
        <v>53312</v>
      </c>
      <c r="O2447" s="4" t="s">
        <v>3127</v>
      </c>
      <c r="P2447" s="4"/>
    </row>
    <row r="2448" ht="15.75" hidden="1" customHeight="1">
      <c r="B2448" s="8">
        <v>2767.0</v>
      </c>
      <c r="C2448" s="9">
        <v>43550.0</v>
      </c>
      <c r="D2448" s="6" t="s">
        <v>3303</v>
      </c>
      <c r="E2448" s="4">
        <v>6.203000452E9</v>
      </c>
      <c r="F2448" s="8" t="s">
        <v>3304</v>
      </c>
      <c r="G2448" s="4" t="s">
        <v>617</v>
      </c>
      <c r="H2448" s="10" t="s">
        <v>552</v>
      </c>
      <c r="I2448" s="10">
        <v>65.0</v>
      </c>
      <c r="J2448" s="11" t="str">
        <f>IF(D2448&lt;&gt;"",VLOOKUP(H2448,TABLEITEM,5,FALSE),"")</f>
        <v>M</v>
      </c>
      <c r="K2448" s="12">
        <v>2746.5</v>
      </c>
      <c r="L2448" s="13" t="str">
        <f>IF(D2448&lt;&gt;"",VLOOKUP(H2448,TABLEITEM,2,FALSE),"")</f>
        <v>Busbar</v>
      </c>
      <c r="M2448" s="13" t="str">
        <f>IF(D2448&lt;&gt;"",VLOOKUP(H2448,TABLEITEM,3,FALSE),"")</f>
        <v>บัสบาร์ทองแดง 4"x1/2"</v>
      </c>
      <c r="N2448" s="14">
        <f>INSTOCK!$I2448*INSTOCK!$K2448</f>
        <v>178522.5</v>
      </c>
      <c r="O2448" s="4" t="s">
        <v>3306</v>
      </c>
      <c r="P2448" s="4"/>
    </row>
    <row r="2449" ht="15.75" hidden="1" customHeight="1">
      <c r="B2449" s="8">
        <v>2768.0</v>
      </c>
      <c r="C2449" s="9">
        <v>43550.0</v>
      </c>
      <c r="D2449" s="6">
        <v>87514.0</v>
      </c>
      <c r="E2449" s="4">
        <v>6.20300045E9</v>
      </c>
      <c r="F2449" s="8" t="s">
        <v>604</v>
      </c>
      <c r="G2449" s="4" t="s">
        <v>1546</v>
      </c>
      <c r="H2449" s="10" t="s">
        <v>1547</v>
      </c>
      <c r="I2449" s="10">
        <v>10.0</v>
      </c>
      <c r="J2449" s="11" t="str">
        <f>IF(D2449&lt;&gt;"",VLOOKUP(H2449,TABLEITEM,5,FALSE),"")</f>
        <v>EA</v>
      </c>
      <c r="K2449" s="12">
        <v>490.0</v>
      </c>
      <c r="L2449" s="13" t="str">
        <f>IF(D2449&lt;&gt;"",VLOOKUP(H2449,TABLEITEM,2,FALSE),"")</f>
        <v/>
      </c>
      <c r="M2449" s="13" t="str">
        <f>IF(D2449&lt;&gt;"",VLOOKUP(H2449,TABLEITEM,3,FALSE),"")</f>
        <v>ล้อขัดใยสังเคราะห์ 100x100x35mmAC/R8</v>
      </c>
      <c r="N2449" s="14">
        <f>INSTOCK!$I2449*INSTOCK!$K2449</f>
        <v>4900</v>
      </c>
      <c r="O2449" s="4"/>
      <c r="P2449" s="4"/>
    </row>
    <row r="2450" ht="15.75" hidden="1" customHeight="1">
      <c r="B2450" s="8">
        <v>2769.0</v>
      </c>
      <c r="C2450" s="9">
        <v>43549.0</v>
      </c>
      <c r="D2450" s="6" t="s">
        <v>3307</v>
      </c>
      <c r="E2450" s="4">
        <v>6.203000439E9</v>
      </c>
      <c r="F2450" s="8" t="s">
        <v>2449</v>
      </c>
      <c r="G2450" s="4" t="s">
        <v>1985</v>
      </c>
      <c r="H2450" s="10" t="s">
        <v>2557</v>
      </c>
      <c r="I2450" s="10">
        <v>1.0</v>
      </c>
      <c r="J2450" s="11" t="str">
        <f>IF(D2450&lt;&gt;"",VLOOKUP(H2450,TABLEITEM,5,FALSE),"")</f>
        <v>คู่</v>
      </c>
      <c r="K2450" s="12">
        <v>560.0</v>
      </c>
      <c r="L2450" s="13" t="str">
        <f>IF(D2450&lt;&gt;"",VLOOKUP(H2450,TABLEITEM,2,FALSE),"")</f>
        <v/>
      </c>
      <c r="M2450" s="13" t="str">
        <f>IF(D2450&lt;&gt;"",VLOOKUP(H2450,TABLEITEM,3,FALSE),"")</f>
        <v>รองเท้าหุ้มส้นพื้นยาง CB800</v>
      </c>
      <c r="N2450" s="14">
        <f>INSTOCK!$I2450*INSTOCK!$K2450</f>
        <v>560</v>
      </c>
      <c r="O2450" s="10" t="s">
        <v>3308</v>
      </c>
      <c r="P2450" s="4"/>
    </row>
    <row r="2451" ht="15.75" hidden="1" customHeight="1">
      <c r="B2451" s="8">
        <v>2770.0</v>
      </c>
      <c r="C2451" s="9">
        <v>43549.0</v>
      </c>
      <c r="D2451" s="6" t="s">
        <v>3307</v>
      </c>
      <c r="E2451" s="4">
        <v>6.203000439E9</v>
      </c>
      <c r="F2451" s="8" t="s">
        <v>2449</v>
      </c>
      <c r="G2451" s="4" t="s">
        <v>1985</v>
      </c>
      <c r="H2451" s="10" t="s">
        <v>2557</v>
      </c>
      <c r="I2451" s="10">
        <v>1.0</v>
      </c>
      <c r="J2451" s="11" t="str">
        <f>IF(D2451&lt;&gt;"",VLOOKUP(H2451,TABLEITEM,5,FALSE),"")</f>
        <v>คู่</v>
      </c>
      <c r="K2451" s="12">
        <v>560.0</v>
      </c>
      <c r="L2451" s="13" t="str">
        <f>IF(D2451&lt;&gt;"",VLOOKUP(H2451,TABLEITEM,2,FALSE),"")</f>
        <v/>
      </c>
      <c r="M2451" s="13" t="str">
        <f>IF(D2451&lt;&gt;"",VLOOKUP(H2451,TABLEITEM,3,FALSE),"")</f>
        <v>รองเท้าหุ้มส้นพื้นยาง CB800</v>
      </c>
      <c r="N2451" s="14">
        <f>INSTOCK!$I2451*INSTOCK!$K2451</f>
        <v>560</v>
      </c>
      <c r="O2451" s="10" t="s">
        <v>3309</v>
      </c>
      <c r="P2451" s="4"/>
    </row>
    <row r="2452" ht="15.75" hidden="1" customHeight="1">
      <c r="B2452" s="8">
        <v>2771.0</v>
      </c>
      <c r="C2452" s="9">
        <v>43551.0</v>
      </c>
      <c r="D2452" s="6" t="s">
        <v>3310</v>
      </c>
      <c r="E2452" s="4">
        <v>6.203000459E9</v>
      </c>
      <c r="F2452" s="8" t="s">
        <v>3311</v>
      </c>
      <c r="G2452" s="4" t="s">
        <v>1289</v>
      </c>
      <c r="H2452" s="10" t="s">
        <v>3312</v>
      </c>
      <c r="I2452" s="10">
        <v>6.0</v>
      </c>
      <c r="J2452" s="11" t="str">
        <f>IF(D2452&lt;&gt;"",VLOOKUP(H2452,TABLEITEM,5,FALSE),"")</f>
        <v>EA</v>
      </c>
      <c r="K2452" s="12">
        <v>120.0</v>
      </c>
      <c r="L2452" s="13" t="str">
        <f>IF(D2452&lt;&gt;"",VLOOKUP(H2452,TABLEITEM,2,FALSE),"")</f>
        <v/>
      </c>
      <c r="M2452" s="13" t="str">
        <f>IF(D2452&lt;&gt;"",VLOOKUP(H2452,TABLEITEM,3,FALSE),"")</f>
        <v>โช๊คอัพสำหรับบานพับประตู 250 มิล นิเกิ้ล</v>
      </c>
      <c r="N2452" s="14">
        <f>INSTOCK!$I2452*INSTOCK!$K2452</f>
        <v>720</v>
      </c>
      <c r="O2452" s="4"/>
      <c r="P2452" s="4"/>
    </row>
    <row r="2453" ht="15.75" hidden="1" customHeight="1">
      <c r="B2453" s="8">
        <v>2772.0</v>
      </c>
      <c r="C2453" s="9">
        <v>43545.0</v>
      </c>
      <c r="D2453" s="6">
        <v>6.20306415E8</v>
      </c>
      <c r="E2453" s="4">
        <v>6.203000367E9</v>
      </c>
      <c r="F2453" s="8" t="s">
        <v>2865</v>
      </c>
      <c r="G2453" s="4" t="s">
        <v>1130</v>
      </c>
      <c r="H2453" s="10" t="s">
        <v>2792</v>
      </c>
      <c r="I2453" s="10">
        <v>1.0</v>
      </c>
      <c r="J2453" s="11" t="str">
        <f>IF(D2453&lt;&gt;"",VLOOKUP(H2453,TABLEITEM,5,FALSE),"")</f>
        <v>EA</v>
      </c>
      <c r="K2453" s="12">
        <v>160.0</v>
      </c>
      <c r="L2453" s="13" t="str">
        <f>IF(D2453&lt;&gt;"",VLOOKUP(H2453,TABLEITEM,2,FALSE),"")</f>
        <v/>
      </c>
      <c r="M2453" s="13" t="str">
        <f>IF(D2453&lt;&gt;"",VLOOKUP(H2453,TABLEITEM,3,FALSE),"")</f>
        <v>AM SELECTOR 64x80mmSA16-4-61325-B13</v>
      </c>
      <c r="N2453" s="14">
        <f>INSTOCK!$I2453*INSTOCK!$K2453</f>
        <v>160</v>
      </c>
      <c r="O2453" s="4" t="s">
        <v>2793</v>
      </c>
      <c r="P2453" s="4" t="s">
        <v>3313</v>
      </c>
    </row>
    <row r="2454" ht="15.75" hidden="1" customHeight="1">
      <c r="B2454" s="8">
        <v>2773.0</v>
      </c>
      <c r="C2454" s="9">
        <v>43545.0</v>
      </c>
      <c r="D2454" s="6">
        <v>6.20306415E8</v>
      </c>
      <c r="E2454" s="4">
        <v>6.203000367E9</v>
      </c>
      <c r="F2454" s="8" t="s">
        <v>2865</v>
      </c>
      <c r="G2454" s="4" t="s">
        <v>1130</v>
      </c>
      <c r="H2454" s="10" t="s">
        <v>2794</v>
      </c>
      <c r="I2454" s="10">
        <v>1.0</v>
      </c>
      <c r="J2454" s="11" t="str">
        <f>IF(D2454&lt;&gt;"",VLOOKUP(H2454,TABLEITEM,5,FALSE),"")</f>
        <v>EA</v>
      </c>
      <c r="K2454" s="12">
        <v>180.0</v>
      </c>
      <c r="L2454" s="13" t="str">
        <f>IF(D2454&lt;&gt;"",VLOOKUP(H2454,TABLEITEM,2,FALSE),"")</f>
        <v/>
      </c>
      <c r="M2454" s="13" t="str">
        <f>IF(D2454&lt;&gt;"",VLOOKUP(H2454,TABLEITEM,3,FALSE),"")</f>
        <v>VOLT SELECTOR 64x80mmSA16-7-61313-B13</v>
      </c>
      <c r="N2454" s="14">
        <f>INSTOCK!$I2454*INSTOCK!$K2454</f>
        <v>180</v>
      </c>
      <c r="O2454" s="4" t="s">
        <v>2795</v>
      </c>
      <c r="P2454" s="4" t="s">
        <v>3313</v>
      </c>
    </row>
    <row r="2455" ht="15.75" hidden="1" customHeight="1">
      <c r="B2455" s="8">
        <v>2774.0</v>
      </c>
      <c r="C2455" s="9">
        <v>43545.0</v>
      </c>
      <c r="D2455" s="6">
        <v>6.20306415E8</v>
      </c>
      <c r="E2455" s="4">
        <v>6.203000367E9</v>
      </c>
      <c r="F2455" s="8" t="s">
        <v>2865</v>
      </c>
      <c r="G2455" s="4" t="s">
        <v>1130</v>
      </c>
      <c r="H2455" s="10" t="s">
        <v>3314</v>
      </c>
      <c r="I2455" s="10">
        <v>1.0</v>
      </c>
      <c r="J2455" s="11" t="str">
        <f>IF(D2455&lt;&gt;"",VLOOKUP(H2455,TABLEITEM,5,FALSE),"")</f>
        <v>EA</v>
      </c>
      <c r="K2455" s="12">
        <v>160.0</v>
      </c>
      <c r="L2455" s="13" t="str">
        <f>IF(D2455&lt;&gt;"",VLOOKUP(H2455,TABLEITEM,2,FALSE),"")</f>
        <v/>
      </c>
      <c r="M2455" s="13" t="str">
        <f>IF(D2455&lt;&gt;"",VLOOKUP(H2455,TABLEITEM,3,FALSE),"")</f>
        <v>AMMETER SD-96A 400/5A</v>
      </c>
      <c r="N2455" s="14">
        <f>INSTOCK!$I2455*INSTOCK!$K2455</f>
        <v>160</v>
      </c>
      <c r="O2455" s="4" t="s">
        <v>2793</v>
      </c>
      <c r="P2455" s="4" t="s">
        <v>3313</v>
      </c>
    </row>
    <row r="2456" ht="15.75" hidden="1" customHeight="1">
      <c r="B2456" s="8">
        <v>2775.0</v>
      </c>
      <c r="C2456" s="9">
        <v>43545.0</v>
      </c>
      <c r="D2456" s="6">
        <v>6.20306415E8</v>
      </c>
      <c r="E2456" s="4">
        <v>6.203000367E9</v>
      </c>
      <c r="F2456" s="8" t="s">
        <v>2865</v>
      </c>
      <c r="G2456" s="4" t="s">
        <v>1130</v>
      </c>
      <c r="H2456" s="10" t="s">
        <v>3315</v>
      </c>
      <c r="I2456" s="10">
        <v>1.0</v>
      </c>
      <c r="J2456" s="11" t="str">
        <f>IF(D2456&lt;&gt;"",VLOOKUP(H2456,TABLEITEM,5,FALSE),"")</f>
        <v>EA</v>
      </c>
      <c r="K2456" s="12">
        <v>180.0</v>
      </c>
      <c r="L2456" s="13" t="str">
        <f>IF(D2456&lt;&gt;"",VLOOKUP(H2456,TABLEITEM,2,FALSE),"")</f>
        <v/>
      </c>
      <c r="M2456" s="13" t="str">
        <f>IF(D2456&lt;&gt;"",VLOOKUP(H2456,TABLEITEM,3,FALSE),"")</f>
        <v>VOLT METER SD-96V 500V</v>
      </c>
      <c r="N2456" s="14">
        <f>INSTOCK!$I2456*INSTOCK!$K2456</f>
        <v>180</v>
      </c>
      <c r="O2456" s="4" t="s">
        <v>2795</v>
      </c>
      <c r="P2456" s="4" t="s">
        <v>3313</v>
      </c>
    </row>
    <row r="2457" ht="15.75" hidden="1" customHeight="1">
      <c r="B2457" s="8">
        <v>2776.0</v>
      </c>
      <c r="C2457" s="9">
        <v>43549.0</v>
      </c>
      <c r="D2457" s="6">
        <v>6.20307168E8</v>
      </c>
      <c r="E2457" s="4">
        <v>6.203000445E9</v>
      </c>
      <c r="F2457" s="8" t="s">
        <v>3286</v>
      </c>
      <c r="G2457" s="4" t="s">
        <v>1130</v>
      </c>
      <c r="H2457" s="10" t="s">
        <v>1834</v>
      </c>
      <c r="I2457" s="10">
        <v>10.0</v>
      </c>
      <c r="J2457" s="11" t="str">
        <f>IF(D2457&lt;&gt;"",VLOOKUP(H2457,TABLEITEM,5,FALSE),"")</f>
        <v>EA</v>
      </c>
      <c r="K2457" s="12">
        <v>57.82</v>
      </c>
      <c r="L2457" s="13" t="str">
        <f>IF(D2457&lt;&gt;"",VLOOKUP(H2457,TABLEITEM,2,FALSE),"")</f>
        <v/>
      </c>
      <c r="M2457" s="13" t="str">
        <f>IF(D2457&lt;&gt;"",VLOOKUP(H2457,TABLEITEM,3,FALSE),"")</f>
        <v>SOCKET PF083A-E</v>
      </c>
      <c r="N2457" s="14">
        <f>INSTOCK!$I2457*INSTOCK!$K2457</f>
        <v>578.2</v>
      </c>
      <c r="O2457" s="4" t="s">
        <v>1835</v>
      </c>
      <c r="P2457" s="4"/>
    </row>
    <row r="2458" ht="15.75" hidden="1" customHeight="1">
      <c r="B2458" s="8">
        <v>2777.0</v>
      </c>
      <c r="C2458" s="9">
        <v>43549.0</v>
      </c>
      <c r="D2458" s="6">
        <v>6.20307168E8</v>
      </c>
      <c r="E2458" s="4">
        <v>6.203000445E9</v>
      </c>
      <c r="F2458" s="8" t="s">
        <v>3286</v>
      </c>
      <c r="G2458" s="4" t="s">
        <v>1130</v>
      </c>
      <c r="H2458" s="10" t="s">
        <v>1981</v>
      </c>
      <c r="I2458" s="10">
        <v>1.0</v>
      </c>
      <c r="J2458" s="11" t="str">
        <f>IF(D2458&lt;&gt;"",VLOOKUP(H2458,TABLEITEM,5,FALSE),"")</f>
        <v>EA</v>
      </c>
      <c r="K2458" s="12">
        <v>121.12</v>
      </c>
      <c r="L2458" s="13" t="str">
        <f>IF(D2458&lt;&gt;"",VLOOKUP(H2458,TABLEITEM,2,FALSE),"")</f>
        <v/>
      </c>
      <c r="M2458" s="13" t="str">
        <f>IF(D2458&lt;&gt;"",VLOOKUP(H2458,TABLEITEM,3,FALSE),"")</f>
        <v>CT30/5 MSQ40</v>
      </c>
      <c r="N2458" s="14">
        <f>INSTOCK!$I2458*INSTOCK!$K2458</f>
        <v>121.12</v>
      </c>
      <c r="O2458" s="4" t="s">
        <v>1898</v>
      </c>
      <c r="P2458" s="4"/>
    </row>
    <row r="2459" ht="15.75" hidden="1" customHeight="1">
      <c r="B2459" s="8">
        <v>2778.0</v>
      </c>
      <c r="C2459" s="9">
        <v>43549.0</v>
      </c>
      <c r="D2459" s="6">
        <v>6.20307168E8</v>
      </c>
      <c r="E2459" s="4">
        <v>6.203000445E9</v>
      </c>
      <c r="F2459" s="8" t="s">
        <v>3286</v>
      </c>
      <c r="G2459" s="4" t="s">
        <v>1130</v>
      </c>
      <c r="H2459" s="10" t="s">
        <v>2175</v>
      </c>
      <c r="I2459" s="10">
        <v>1.0</v>
      </c>
      <c r="J2459" s="11" t="str">
        <f>IF(D2459&lt;&gt;"",VLOOKUP(H2459,TABLEITEM,5,FALSE),"")</f>
        <v>EA</v>
      </c>
      <c r="K2459" s="12">
        <v>1225.0</v>
      </c>
      <c r="L2459" s="13" t="str">
        <f>IF(D2459&lt;&gt;"",VLOOKUP(H2459,TABLEITEM,2,FALSE),"")</f>
        <v/>
      </c>
      <c r="M2459" s="13" t="str">
        <f>IF(D2459&lt;&gt;"",VLOOKUP(H2459,TABLEITEM,3,FALSE),"")</f>
        <v>COUNTER H7EC-N </v>
      </c>
      <c r="N2459" s="14">
        <f>INSTOCK!$I2459*INSTOCK!$K2459</f>
        <v>1225</v>
      </c>
      <c r="O2459" s="4" t="s">
        <v>2176</v>
      </c>
      <c r="P2459" s="4"/>
    </row>
    <row r="2460" ht="15.75" hidden="1" customHeight="1">
      <c r="B2460" s="8">
        <v>2779.0</v>
      </c>
      <c r="C2460" s="9">
        <v>43549.0</v>
      </c>
      <c r="D2460" s="6">
        <v>6.20307168E8</v>
      </c>
      <c r="E2460" s="4">
        <v>6.203000445E9</v>
      </c>
      <c r="F2460" s="8" t="s">
        <v>3286</v>
      </c>
      <c r="G2460" s="4" t="s">
        <v>1130</v>
      </c>
      <c r="H2460" s="10" t="s">
        <v>2177</v>
      </c>
      <c r="I2460" s="10">
        <v>1.0</v>
      </c>
      <c r="J2460" s="11" t="str">
        <f>IF(D2460&lt;&gt;"",VLOOKUP(H2460,TABLEITEM,5,FALSE),"")</f>
        <v>EA</v>
      </c>
      <c r="K2460" s="12">
        <v>308.7</v>
      </c>
      <c r="L2460" s="13" t="str">
        <f>IF(D2460&lt;&gt;"",VLOOKUP(H2460,TABLEITEM,2,FALSE),"")</f>
        <v/>
      </c>
      <c r="M2460" s="13" t="str">
        <f>IF(D2460&lt;&gt;"",VLOOKUP(H2460,TABLEITEM,3,FALSE),"")</f>
        <v>RELAY LY4N 220/240VAC</v>
      </c>
      <c r="N2460" s="14">
        <f>INSTOCK!$I2460*INSTOCK!$K2460</f>
        <v>308.7</v>
      </c>
      <c r="O2460" s="4" t="s">
        <v>2178</v>
      </c>
      <c r="P2460" s="4"/>
    </row>
    <row r="2461" ht="15.75" hidden="1" customHeight="1">
      <c r="B2461" s="8">
        <v>2780.0</v>
      </c>
      <c r="C2461" s="9">
        <v>43549.0</v>
      </c>
      <c r="D2461" s="6">
        <v>6.20307168E8</v>
      </c>
      <c r="E2461" s="4">
        <v>6.203000445E9</v>
      </c>
      <c r="F2461" s="8" t="s">
        <v>3286</v>
      </c>
      <c r="G2461" s="4" t="s">
        <v>1130</v>
      </c>
      <c r="H2461" s="10" t="s">
        <v>2179</v>
      </c>
      <c r="I2461" s="10">
        <v>1.0</v>
      </c>
      <c r="J2461" s="11" t="str">
        <f>IF(D2461&lt;&gt;"",VLOOKUP(H2461,TABLEITEM,5,FALSE),"")</f>
        <v>EA</v>
      </c>
      <c r="K2461" s="12">
        <v>156.8</v>
      </c>
      <c r="L2461" s="13" t="str">
        <f>IF(D2461&lt;&gt;"",VLOOKUP(H2461,TABLEITEM,2,FALSE),"")</f>
        <v/>
      </c>
      <c r="M2461" s="13" t="str">
        <f>IF(D2461&lt;&gt;"",VLOOKUP(H2461,TABLEITEM,3,FALSE),"")</f>
        <v>SOCKET PTF14A-E</v>
      </c>
      <c r="N2461" s="14">
        <f>INSTOCK!$I2461*INSTOCK!$K2461</f>
        <v>156.8</v>
      </c>
      <c r="O2461" s="4" t="s">
        <v>2180</v>
      </c>
      <c r="P2461" s="4"/>
    </row>
    <row r="2462" ht="15.75" hidden="1" customHeight="1">
      <c r="B2462" s="8">
        <v>2781.0</v>
      </c>
      <c r="C2462" s="9">
        <v>43549.0</v>
      </c>
      <c r="D2462" s="6">
        <v>6.20307168E8</v>
      </c>
      <c r="E2462" s="4">
        <v>6.203000445E9</v>
      </c>
      <c r="F2462" s="8" t="s">
        <v>3286</v>
      </c>
      <c r="G2462" s="4" t="s">
        <v>1130</v>
      </c>
      <c r="H2462" s="10" t="s">
        <v>3316</v>
      </c>
      <c r="I2462" s="10">
        <v>1.0</v>
      </c>
      <c r="J2462" s="11" t="str">
        <f>IF(D2462&lt;&gt;"",VLOOKUP(H2462,TABLEITEM,5,FALSE),"")</f>
        <v>EA</v>
      </c>
      <c r="K2462" s="12">
        <v>832.5</v>
      </c>
      <c r="L2462" s="13" t="str">
        <f>IF(D2462&lt;&gt;"",VLOOKUP(H2462,TABLEITEM,2,FALSE),"")</f>
        <v/>
      </c>
      <c r="M2462" s="13" t="str">
        <f>IF(D2462&lt;&gt;"",VLOOKUP(H2462,TABLEITEM,3,FALSE),"")</f>
        <v>เบรกเกอร์ มิตซู NF32-SV 3P 20A</v>
      </c>
      <c r="N2462" s="14">
        <f>INSTOCK!$I2462*INSTOCK!$K2462</f>
        <v>832.5</v>
      </c>
      <c r="O2462" s="4" t="s">
        <v>3317</v>
      </c>
      <c r="P2462" s="4"/>
    </row>
    <row r="2463" ht="15.75" hidden="1" customHeight="1">
      <c r="B2463" s="8">
        <v>2782.0</v>
      </c>
      <c r="C2463" s="9">
        <v>43549.0</v>
      </c>
      <c r="D2463" s="6">
        <v>85160.0</v>
      </c>
      <c r="E2463" s="4">
        <v>6.203000416E9</v>
      </c>
      <c r="F2463" s="8" t="s">
        <v>3318</v>
      </c>
      <c r="G2463" s="4" t="s">
        <v>2589</v>
      </c>
      <c r="H2463" s="10" t="s">
        <v>3319</v>
      </c>
      <c r="I2463" s="10">
        <v>3.0</v>
      </c>
      <c r="J2463" s="11" t="str">
        <f>IF(D2463&lt;&gt;"",VLOOKUP(H2463,TABLEITEM,5,FALSE),"")</f>
        <v>EA</v>
      </c>
      <c r="K2463" s="12">
        <v>480.0</v>
      </c>
      <c r="L2463" s="13" t="str">
        <f>IF(D2463&lt;&gt;"",VLOOKUP(H2463,TABLEITEM,2,FALSE),"")</f>
        <v/>
      </c>
      <c r="M2463" s="13" t="str">
        <f>IF(D2463&lt;&gt;"",VLOOKUP(H2463,TABLEITEM,3,FALSE),"")</f>
        <v>Stud hoider M8(01156)</v>
      </c>
      <c r="N2463" s="14">
        <f>INSTOCK!$I2463*INSTOCK!$K2463</f>
        <v>1440</v>
      </c>
      <c r="O2463" s="4"/>
      <c r="P2463" s="4"/>
    </row>
    <row r="2464" ht="15.75" hidden="1" customHeight="1">
      <c r="B2464" s="8">
        <v>2783.0</v>
      </c>
      <c r="C2464" s="9">
        <v>43549.0</v>
      </c>
      <c r="D2464" s="6">
        <v>85160.0</v>
      </c>
      <c r="E2464" s="4">
        <v>6.203000416E9</v>
      </c>
      <c r="F2464" s="8" t="s">
        <v>3318</v>
      </c>
      <c r="G2464" s="4" t="s">
        <v>2589</v>
      </c>
      <c r="H2464" s="10" t="s">
        <v>3320</v>
      </c>
      <c r="I2464" s="10">
        <v>3.0</v>
      </c>
      <c r="J2464" s="11" t="str">
        <f>IF(D2464&lt;&gt;"",VLOOKUP(H2464,TABLEITEM,5,FALSE),"")</f>
        <v>EA</v>
      </c>
      <c r="K2464" s="12">
        <v>480.0</v>
      </c>
      <c r="L2464" s="13" t="str">
        <f>IF(D2464&lt;&gt;"",VLOOKUP(H2464,TABLEITEM,2,FALSE),"")</f>
        <v/>
      </c>
      <c r="M2464" s="13" t="str">
        <f>IF(D2464&lt;&gt;"",VLOOKUP(H2464,TABLEITEM,3,FALSE),"")</f>
        <v>Stud hoider M4(01152)</v>
      </c>
      <c r="N2464" s="14">
        <f>INSTOCK!$I2464*INSTOCK!$K2464</f>
        <v>1440</v>
      </c>
      <c r="O2464" s="4"/>
      <c r="P2464" s="4"/>
    </row>
    <row r="2465" ht="15.75" hidden="1" customHeight="1">
      <c r="B2465" s="8">
        <v>2784.0</v>
      </c>
      <c r="C2465" s="9">
        <v>43550.0</v>
      </c>
      <c r="D2465" s="6">
        <v>2.5620706E7</v>
      </c>
      <c r="E2465" s="4"/>
      <c r="F2465" s="8" t="s">
        <v>604</v>
      </c>
      <c r="G2465" s="4" t="s">
        <v>3321</v>
      </c>
      <c r="H2465" s="10" t="s">
        <v>3322</v>
      </c>
      <c r="I2465" s="10">
        <v>5.0</v>
      </c>
      <c r="J2465" s="11" t="str">
        <f>IF(D2465&lt;&gt;"",VLOOKUP(H2465,TABLEITEM,5,FALSE),"")</f>
        <v>ROLL</v>
      </c>
      <c r="K2465" s="12">
        <v>470.0</v>
      </c>
      <c r="L2465" s="13" t="str">
        <f>IF(D2465&lt;&gt;"",VLOOKUP(H2465,TABLEITEM,2,FALSE),"")</f>
        <v/>
      </c>
      <c r="M2465" s="13" t="str">
        <f>IF(D2465&lt;&gt;"",VLOOKUP(H2465,TABLEITEM,3,FALSE),"")</f>
        <v>พลาสติกกันกระแทก ขนาด 130ซมx100เมตร (แอร์บับเบิ้ล)</v>
      </c>
      <c r="N2465" s="14">
        <f>INSTOCK!$I2465*INSTOCK!$K2465</f>
        <v>2350</v>
      </c>
      <c r="O2465" s="4"/>
      <c r="P2465" s="4"/>
    </row>
    <row r="2466" ht="15.75" hidden="1" customHeight="1">
      <c r="B2466" s="8">
        <v>2785.0</v>
      </c>
      <c r="C2466" s="9">
        <v>43552.0</v>
      </c>
      <c r="D2466" s="6">
        <v>38022.0</v>
      </c>
      <c r="E2466" s="4">
        <v>6.203000474E9</v>
      </c>
      <c r="F2466" s="8" t="s">
        <v>604</v>
      </c>
      <c r="G2466" s="4" t="s">
        <v>696</v>
      </c>
      <c r="H2466" s="10" t="s">
        <v>3323</v>
      </c>
      <c r="I2466" s="10">
        <v>9.0</v>
      </c>
      <c r="J2466" s="11" t="str">
        <f>IF(D2466&lt;&gt;"",VLOOKUP(H2466,TABLEITEM,5,FALSE),"")</f>
        <v>EA</v>
      </c>
      <c r="K2466" s="12">
        <v>150.0</v>
      </c>
      <c r="L2466" s="13" t="str">
        <f>IF(D2466&lt;&gt;"",VLOOKUP(H2466,TABLEITEM,2,FALSE),"")</f>
        <v/>
      </c>
      <c r="M2466" s="13" t="str">
        <f>IF(D2466&lt;&gt;"",VLOOKUP(H2466,TABLEITEM,3,FALSE),"")</f>
        <v>ไฟฉายสวมหัว LED </v>
      </c>
      <c r="N2466" s="14">
        <f>INSTOCK!$I2466*INSTOCK!$K2466</f>
        <v>1350</v>
      </c>
      <c r="O2466" s="4"/>
      <c r="P2466" s="4"/>
    </row>
    <row r="2467" ht="15.75" hidden="1" customHeight="1">
      <c r="B2467" s="8">
        <v>2786.0</v>
      </c>
      <c r="C2467" s="9">
        <v>43551.0</v>
      </c>
      <c r="D2467" s="6" t="s">
        <v>3324</v>
      </c>
      <c r="E2467" s="4">
        <v>6.203000401E9</v>
      </c>
      <c r="F2467" s="8" t="s">
        <v>604</v>
      </c>
      <c r="G2467" s="4" t="s">
        <v>965</v>
      </c>
      <c r="H2467" s="10" t="s">
        <v>3325</v>
      </c>
      <c r="I2467" s="10">
        <v>5.0</v>
      </c>
      <c r="J2467" s="11" t="str">
        <f>IF(D2467&lt;&gt;"",VLOOKUP(H2467,TABLEITEM,5,FALSE),"")</f>
        <v>EA</v>
      </c>
      <c r="K2467" s="12">
        <v>180.0</v>
      </c>
      <c r="L2467" s="13" t="str">
        <f>IF(D2467&lt;&gt;"",VLOOKUP(H2467,TABLEITEM,2,FALSE),"")</f>
        <v/>
      </c>
      <c r="M2467" s="13" t="str">
        <f>IF(D2467&lt;&gt;"",VLOOKUP(H2467,TABLEITEM,3,FALSE),"")</f>
        <v>หมวกเซฟตี้ สีขาว มอก.</v>
      </c>
      <c r="N2467" s="14">
        <f>INSTOCK!$I2467*INSTOCK!$K2467</f>
        <v>900</v>
      </c>
      <c r="O2467" s="4"/>
      <c r="P2467" s="4"/>
    </row>
    <row r="2468" ht="15.75" hidden="1" customHeight="1">
      <c r="B2468" s="8">
        <v>2787.0</v>
      </c>
      <c r="C2468" s="9">
        <v>43551.0</v>
      </c>
      <c r="D2468" s="6" t="s">
        <v>3324</v>
      </c>
      <c r="E2468" s="4">
        <v>6.203000401E9</v>
      </c>
      <c r="F2468" s="8" t="s">
        <v>604</v>
      </c>
      <c r="G2468" s="4" t="s">
        <v>965</v>
      </c>
      <c r="H2468" s="10" t="s">
        <v>3323</v>
      </c>
      <c r="I2468" s="10">
        <v>1.0</v>
      </c>
      <c r="J2468" s="11" t="str">
        <f>IF(D2468&lt;&gt;"",VLOOKUP(H2468,TABLEITEM,5,FALSE),"")</f>
        <v>EA</v>
      </c>
      <c r="K2468" s="12">
        <v>150.0</v>
      </c>
      <c r="L2468" s="13" t="str">
        <f>IF(D2468&lt;&gt;"",VLOOKUP(H2468,TABLEITEM,2,FALSE),"")</f>
        <v/>
      </c>
      <c r="M2468" s="13" t="str">
        <f>IF(D2468&lt;&gt;"",VLOOKUP(H2468,TABLEITEM,3,FALSE),"")</f>
        <v>ไฟฉายสวมหัว LED </v>
      </c>
      <c r="N2468" s="14">
        <f>INSTOCK!$I2468*INSTOCK!$K2468</f>
        <v>150</v>
      </c>
      <c r="O2468" s="4"/>
      <c r="P2468" s="4"/>
    </row>
    <row r="2469" ht="15.75" hidden="1" customHeight="1">
      <c r="B2469" s="8">
        <v>2788.0</v>
      </c>
      <c r="C2469" s="9">
        <v>43551.0</v>
      </c>
      <c r="D2469" s="6" t="s">
        <v>3326</v>
      </c>
      <c r="E2469" s="4"/>
      <c r="F2469" s="8"/>
      <c r="G2469" s="4" t="s">
        <v>3327</v>
      </c>
      <c r="H2469" s="4" t="s">
        <v>3328</v>
      </c>
      <c r="I2469" s="10">
        <v>2.0</v>
      </c>
      <c r="J2469" s="11" t="str">
        <f>IF(D2469&lt;&gt;"",VLOOKUP(H2469,TABLEITEM,5,FALSE),"")</f>
        <v>LOT</v>
      </c>
      <c r="K2469" s="12">
        <v>212.5</v>
      </c>
      <c r="L2469" s="13" t="str">
        <f>IF(D2469&lt;&gt;"",VLOOKUP(H2469,TABLEITEM,2,FALSE),"")</f>
        <v/>
      </c>
      <c r="M2469" s="13" t="str">
        <f>IF(D2469&lt;&gt;"",VLOOKUP(H2469,TABLEITEM,3,FALSE),"")</f>
        <v>ค่าซ่อมพัดลม 22" ฮาตาริ </v>
      </c>
      <c r="N2469" s="14">
        <f>INSTOCK!$I2469*INSTOCK!$K2469</f>
        <v>425</v>
      </c>
      <c r="O2469" s="4"/>
      <c r="P2469" s="4"/>
    </row>
    <row r="2470" ht="15.75" hidden="1" customHeight="1">
      <c r="B2470" s="8">
        <v>2789.0</v>
      </c>
      <c r="C2470" s="9">
        <v>43553.0</v>
      </c>
      <c r="D2470" s="6">
        <v>38034.0</v>
      </c>
      <c r="E2470" s="4">
        <v>6.203000486E9</v>
      </c>
      <c r="F2470" s="8" t="s">
        <v>604</v>
      </c>
      <c r="G2470" s="4" t="s">
        <v>696</v>
      </c>
      <c r="H2470" s="10" t="s">
        <v>55</v>
      </c>
      <c r="I2470" s="10">
        <v>72.0</v>
      </c>
      <c r="J2470" s="11" t="str">
        <f>IF(D2470&lt;&gt;"",VLOOKUP(H2470,TABLEITEM,5,FALSE),"")</f>
        <v>EA</v>
      </c>
      <c r="K2470" s="12">
        <v>12.0</v>
      </c>
      <c r="L2470" s="13" t="str">
        <f>IF(D2470&lt;&gt;"",VLOOKUP(H2470,TABLEITEM,2,FALSE),"")</f>
        <v/>
      </c>
      <c r="M2470" s="13" t="str">
        <f>IF(D2470&lt;&gt;"",VLOOKUP(H2470,TABLEITEM,3,FALSE),"")</f>
        <v>เทปใส 2''</v>
      </c>
      <c r="N2470" s="14">
        <f>INSTOCK!$I2470*INSTOCK!$K2470</f>
        <v>864</v>
      </c>
      <c r="O2470" s="4"/>
      <c r="P2470" s="4"/>
    </row>
    <row r="2471" ht="15.75" hidden="1" customHeight="1">
      <c r="B2471" s="8">
        <v>2790.0</v>
      </c>
      <c r="C2471" s="9">
        <v>43553.0</v>
      </c>
      <c r="D2471" s="6" t="s">
        <v>3329</v>
      </c>
      <c r="E2471" s="4">
        <v>6.203000485E9</v>
      </c>
      <c r="F2471" s="8" t="s">
        <v>604</v>
      </c>
      <c r="G2471" s="4" t="s">
        <v>808</v>
      </c>
      <c r="H2471" s="10" t="s">
        <v>816</v>
      </c>
      <c r="I2471" s="10">
        <v>4.0</v>
      </c>
      <c r="J2471" s="11" t="str">
        <f>IF(D2471&lt;&gt;"",VLOOKUP(H2471,TABLEITEM,5,FALSE),"")</f>
        <v>ท่อ</v>
      </c>
      <c r="K2471" s="12">
        <v>600.0</v>
      </c>
      <c r="L2471" s="13" t="str">
        <f>IF(D2471&lt;&gt;"",VLOOKUP(H2471,TABLEITEM,2,FALSE),"")</f>
        <v/>
      </c>
      <c r="M2471" s="13" t="str">
        <f>IF(D2471&lt;&gt;"",VLOOKUP(H2471,TABLEITEM,3,FALSE),"")</f>
        <v>อาร์กอน ขนาด 6คิว</v>
      </c>
      <c r="N2471" s="14">
        <f>INSTOCK!$I2471*INSTOCK!$K2471</f>
        <v>2400</v>
      </c>
      <c r="O2471" s="4"/>
      <c r="P2471" s="4"/>
    </row>
    <row r="2472" ht="15.75" hidden="1" customHeight="1">
      <c r="B2472" s="8">
        <v>2791.0</v>
      </c>
      <c r="C2472" s="9">
        <v>43553.0</v>
      </c>
      <c r="D2472" s="6" t="s">
        <v>3329</v>
      </c>
      <c r="E2472" s="4">
        <v>6.203000485E9</v>
      </c>
      <c r="F2472" s="8" t="s">
        <v>604</v>
      </c>
      <c r="G2472" s="4" t="s">
        <v>808</v>
      </c>
      <c r="H2472" s="10" t="s">
        <v>818</v>
      </c>
      <c r="I2472" s="10">
        <v>12.0</v>
      </c>
      <c r="J2472" s="11" t="str">
        <f>IF(D2472&lt;&gt;"",VLOOKUP(H2472,TABLEITEM,5,FALSE),"")</f>
        <v>ท่อ</v>
      </c>
      <c r="K2472" s="12">
        <v>300.0</v>
      </c>
      <c r="L2472" s="13" t="str">
        <f>IF(D2472&lt;&gt;"",VLOOKUP(H2472,TABLEITEM,2,FALSE),"")</f>
        <v/>
      </c>
      <c r="M2472" s="13" t="str">
        <f>IF(D2472&lt;&gt;"",VLOOKUP(H2472,TABLEITEM,3,FALSE),"")</f>
        <v>คาร์บอนไดออกไซด์ ขนาด 25 กก</v>
      </c>
      <c r="N2472" s="14">
        <f>INSTOCK!$I2472*INSTOCK!$K2472</f>
        <v>3600</v>
      </c>
      <c r="O2472" s="4"/>
      <c r="P2472" s="4"/>
    </row>
    <row r="2473" ht="15.75" hidden="1" customHeight="1">
      <c r="B2473" s="8">
        <v>2792.0</v>
      </c>
      <c r="C2473" s="9">
        <v>43553.0</v>
      </c>
      <c r="D2473" s="6" t="s">
        <v>3330</v>
      </c>
      <c r="E2473" s="4">
        <v>6.203000489E9</v>
      </c>
      <c r="F2473" s="8" t="s">
        <v>807</v>
      </c>
      <c r="G2473" s="4" t="s">
        <v>808</v>
      </c>
      <c r="H2473" s="10" t="s">
        <v>809</v>
      </c>
      <c r="I2473" s="10">
        <v>1.0</v>
      </c>
      <c r="J2473" s="11" t="str">
        <f>IF(D2473&lt;&gt;"",VLOOKUP(H2473,TABLEITEM,5,FALSE),"")</f>
        <v>ท่อ</v>
      </c>
      <c r="K2473" s="12">
        <v>2700.0</v>
      </c>
      <c r="L2473" s="13" t="str">
        <f>IF(D2473&lt;&gt;"",VLOOKUP(H2473,TABLEITEM,2,FALSE),"")</f>
        <v/>
      </c>
      <c r="M2473" s="13" t="str">
        <f>IF(D2473&lt;&gt;"",VLOOKUP(H2473,TABLEITEM,3,FALSE),"")</f>
        <v>ไนโตรเจนเหลว ขนาด 100คิว</v>
      </c>
      <c r="N2473" s="14">
        <f>INSTOCK!$I2473*INSTOCK!$K2473</f>
        <v>2700</v>
      </c>
      <c r="O2473" s="4"/>
      <c r="P2473" s="4"/>
    </row>
    <row r="2474" ht="15.75" hidden="1" customHeight="1">
      <c r="B2474" s="8">
        <v>2793.0</v>
      </c>
      <c r="C2474" s="9">
        <v>43556.0</v>
      </c>
      <c r="D2474" s="6" t="s">
        <v>3331</v>
      </c>
      <c r="E2474" s="4">
        <v>6.203000481E9</v>
      </c>
      <c r="F2474" s="8" t="s">
        <v>604</v>
      </c>
      <c r="G2474" s="4" t="s">
        <v>721</v>
      </c>
      <c r="H2474" s="10" t="s">
        <v>164</v>
      </c>
      <c r="I2474" s="10">
        <v>2000.0</v>
      </c>
      <c r="J2474" s="11" t="str">
        <f>IF(D2474&lt;&gt;"",VLOOKUP(H2474,TABLEITEM,5,FALSE),"")</f>
        <v>EA</v>
      </c>
      <c r="K2474" s="12">
        <v>0.4074</v>
      </c>
      <c r="L2474" s="13" t="str">
        <f>IF(D2474&lt;&gt;"",VLOOKUP(H2474,TABLEITEM,2,FALSE),"")</f>
        <v/>
      </c>
      <c r="M2474" s="13" t="str">
        <f>IF(D2474&lt;&gt;"",VLOOKUP(H2474,TABLEITEM,3,FALSE),"")</f>
        <v>เคเบิ้ลไทร์ 8" สีดำCT-200B-3C</v>
      </c>
      <c r="N2474" s="14">
        <f>INSTOCK!$I2474*INSTOCK!$K2474</f>
        <v>814.8</v>
      </c>
      <c r="O2474" s="4" t="s">
        <v>1219</v>
      </c>
      <c r="P2474" s="4"/>
    </row>
    <row r="2475" ht="15.75" hidden="1" customHeight="1">
      <c r="B2475" s="8">
        <v>2794.0</v>
      </c>
      <c r="C2475" s="9">
        <v>43556.0</v>
      </c>
      <c r="D2475" s="6" t="s">
        <v>3331</v>
      </c>
      <c r="E2475" s="4">
        <v>6.203000481E9</v>
      </c>
      <c r="F2475" s="8" t="s">
        <v>604</v>
      </c>
      <c r="G2475" s="4" t="s">
        <v>721</v>
      </c>
      <c r="H2475" s="10" t="s">
        <v>207</v>
      </c>
      <c r="I2475" s="10">
        <v>24.0</v>
      </c>
      <c r="J2475" s="11" t="str">
        <f>IF(D2475&lt;&gt;"",VLOOKUP(H2475,TABLEITEM,5,FALSE),"")</f>
        <v>EA</v>
      </c>
      <c r="K2475" s="12">
        <v>168.78</v>
      </c>
      <c r="L2475" s="13" t="str">
        <f>IF(D2475&lt;&gt;"",VLOOKUP(H2475,TABLEITEM,2,FALSE),"")</f>
        <v/>
      </c>
      <c r="M2475" s="13" t="str">
        <f>IF(D2475&lt;&gt;"",VLOOKUP(H2475,TABLEITEM,3,FALSE),"")</f>
        <v>รางวายดัก/รางPVC 45x65 mm.</v>
      </c>
      <c r="N2475" s="14">
        <f>INSTOCK!$I2475*INSTOCK!$K2475</f>
        <v>4050.72</v>
      </c>
      <c r="O2475" s="4" t="s">
        <v>769</v>
      </c>
      <c r="P2475" s="4"/>
    </row>
    <row r="2476" ht="15.75" hidden="1" customHeight="1">
      <c r="B2476" s="8">
        <v>2795.0</v>
      </c>
      <c r="C2476" s="9">
        <v>43551.0</v>
      </c>
      <c r="D2476" s="6" t="s">
        <v>3332</v>
      </c>
      <c r="E2476" s="4">
        <v>6.203000443E9</v>
      </c>
      <c r="F2476" s="8" t="s">
        <v>2368</v>
      </c>
      <c r="G2476" s="4" t="s">
        <v>2460</v>
      </c>
      <c r="H2476" s="18" t="s">
        <v>3060</v>
      </c>
      <c r="I2476" s="10">
        <v>2.0</v>
      </c>
      <c r="J2476" s="11" t="str">
        <f>IF(D2476&lt;&gt;"",VLOOKUP(H2476,TABLEITEM,5,FALSE),"")</f>
        <v/>
      </c>
      <c r="K2476" s="12">
        <v>1672.5</v>
      </c>
      <c r="L2476" s="13" t="str">
        <f>IF(D2476&lt;&gt;"",VLOOKUP(H2476,TABLEITEM,2,FALSE),"")</f>
        <v/>
      </c>
      <c r="M2476" s="13" t="str">
        <f>IF(D2476&lt;&gt;"",VLOOKUP(H2476,TABLEITEM,3,FALSE),"")</f>
        <v>CARTRIDGE GREASE(MSDS 700ML) CODE 74450994 DRAWING AL2-7</v>
      </c>
      <c r="N2476" s="14">
        <f>INSTOCK!$I2476*INSTOCK!$K2476</f>
        <v>3345</v>
      </c>
      <c r="O2476" s="4" t="s">
        <v>3061</v>
      </c>
      <c r="P2476" s="4"/>
    </row>
    <row r="2477" ht="15.75" hidden="1" customHeight="1">
      <c r="B2477" s="8">
        <v>2796.0</v>
      </c>
      <c r="C2477" s="9">
        <v>43546.0</v>
      </c>
      <c r="D2477" s="6" t="s">
        <v>3333</v>
      </c>
      <c r="E2477" s="4">
        <v>6.203000434E9</v>
      </c>
      <c r="F2477" s="8" t="s">
        <v>604</v>
      </c>
      <c r="G2477" s="4" t="s">
        <v>2320</v>
      </c>
      <c r="H2477" s="10" t="s">
        <v>516</v>
      </c>
      <c r="I2477" s="10">
        <v>100.0</v>
      </c>
      <c r="J2477" s="11" t="str">
        <f>IF(D2477&lt;&gt;"",VLOOKUP(H2477,TABLEITEM,5,FALSE),"")</f>
        <v>M</v>
      </c>
      <c r="K2477" s="12">
        <v>107.724</v>
      </c>
      <c r="L2477" s="13" t="str">
        <f>IF(D2477&lt;&gt;"",VLOOKUP(H2477,TABLEITEM,2,FALSE),"")</f>
        <v>wire</v>
      </c>
      <c r="M2477" s="13" t="str">
        <f>IF(D2477&lt;&gt;"",VLOOKUP(H2477,TABLEITEM,3,FALSE),"")</f>
        <v>สายTHW ขนาด 1x50 SQMM.สีดำ</v>
      </c>
      <c r="N2477" s="14">
        <f>INSTOCK!$I2477*INSTOCK!$K2477</f>
        <v>10772.4</v>
      </c>
      <c r="O2477" s="4" t="s">
        <v>3334</v>
      </c>
      <c r="P2477" s="4"/>
    </row>
    <row r="2478" ht="15.75" hidden="1" customHeight="1">
      <c r="B2478" s="8">
        <v>2797.0</v>
      </c>
      <c r="C2478" s="9">
        <v>43552.0</v>
      </c>
      <c r="D2478" s="6">
        <v>6.2030393E7</v>
      </c>
      <c r="E2478" s="4"/>
      <c r="F2478" s="8" t="s">
        <v>604</v>
      </c>
      <c r="G2478" s="4" t="s">
        <v>1127</v>
      </c>
      <c r="H2478" s="10" t="s">
        <v>17</v>
      </c>
      <c r="I2478" s="10">
        <v>24.0</v>
      </c>
      <c r="J2478" s="11" t="str">
        <f>IF(D2478&lt;&gt;"",VLOOKUP(H2478,TABLEITEM,5,FALSE),"")</f>
        <v>คู่</v>
      </c>
      <c r="K2478" s="12">
        <v>41.6666</v>
      </c>
      <c r="L2478" s="13" t="str">
        <f>IF(D2478&lt;&gt;"",VLOOKUP(H2478,TABLEITEM,2,FALSE),"")</f>
        <v/>
      </c>
      <c r="M2478" s="13" t="str">
        <f>IF(D2478&lt;&gt;"",VLOOKUP(H2478,TABLEITEM,3,FALSE),"")</f>
        <v>ถุงมือหนัง</v>
      </c>
      <c r="N2478" s="14">
        <f>INSTOCK!$I2478*INSTOCK!$K2478</f>
        <v>999.9984</v>
      </c>
      <c r="O2478" s="4" t="s">
        <v>1045</v>
      </c>
      <c r="P2478" s="4"/>
    </row>
    <row r="2479" ht="15.75" hidden="1" customHeight="1">
      <c r="B2479" s="8">
        <v>2798.0</v>
      </c>
      <c r="C2479" s="9">
        <v>43552.0</v>
      </c>
      <c r="D2479" s="6" t="s">
        <v>3335</v>
      </c>
      <c r="E2479" s="4"/>
      <c r="F2479" s="8" t="s">
        <v>3336</v>
      </c>
      <c r="G2479" s="4" t="s">
        <v>2495</v>
      </c>
      <c r="H2479" s="10" t="s">
        <v>3337</v>
      </c>
      <c r="I2479" s="10">
        <v>1000.0</v>
      </c>
      <c r="J2479" s="11" t="str">
        <f>IF(D2479&lt;&gt;"",VLOOKUP(H2479,TABLEITEM,5,FALSE),"")</f>
        <v>EA</v>
      </c>
      <c r="K2479" s="12">
        <v>0.191</v>
      </c>
      <c r="L2479" s="13" t="str">
        <f>IF(D2479&lt;&gt;"",VLOOKUP(H2479,TABLEITEM,2,FALSE),"")</f>
        <v/>
      </c>
      <c r="M2479" s="13" t="str">
        <f>IF(D2479&lt;&gt;"",VLOOKUP(H2479,TABLEITEM,3,FALSE),"")</f>
        <v>สกรูหัวหมวก  M4x20</v>
      </c>
      <c r="N2479" s="14">
        <f>INSTOCK!$I2479*INSTOCK!$K2479</f>
        <v>191</v>
      </c>
      <c r="O2479" s="4"/>
      <c r="P2479" s="4"/>
    </row>
    <row r="2480" ht="15.75" hidden="1" customHeight="1">
      <c r="B2480" s="8">
        <v>2799.0</v>
      </c>
      <c r="C2480" s="9">
        <v>43553.0</v>
      </c>
      <c r="D2480" s="6" t="s">
        <v>3338</v>
      </c>
      <c r="E2480" s="4"/>
      <c r="F2480" s="8" t="s">
        <v>3336</v>
      </c>
      <c r="G2480" s="4" t="s">
        <v>2495</v>
      </c>
      <c r="H2480" s="10" t="s">
        <v>2945</v>
      </c>
      <c r="I2480" s="10">
        <v>1000.0</v>
      </c>
      <c r="J2480" s="11" t="str">
        <f>IF(D2480&lt;&gt;"",VLOOKUP(H2480,TABLEITEM,5,FALSE),"")</f>
        <v>EA</v>
      </c>
      <c r="K2480" s="12">
        <v>0.38</v>
      </c>
      <c r="L2480" s="13" t="str">
        <f>IF(D2480&lt;&gt;"",VLOOKUP(H2480,TABLEITEM,2,FALSE),"")</f>
        <v/>
      </c>
      <c r="M2480" s="13" t="str">
        <f>IF(D2480&lt;&gt;"",VLOOKUP(H2480,TABLEITEM,3,FALSE),"")</f>
        <v>ตะปูยิงรีเวท 6-5   3/16"x1/2"</v>
      </c>
      <c r="N2480" s="14">
        <f>INSTOCK!$I2480*INSTOCK!$K2480</f>
        <v>380</v>
      </c>
      <c r="O2480" s="4" t="s">
        <v>3339</v>
      </c>
      <c r="P2480" s="4"/>
    </row>
    <row r="2481" ht="15.75" hidden="1" customHeight="1">
      <c r="B2481" s="8">
        <v>2800.0</v>
      </c>
      <c r="C2481" s="9">
        <v>43554.0</v>
      </c>
      <c r="D2481" s="6" t="s">
        <v>3340</v>
      </c>
      <c r="E2481" s="4"/>
      <c r="F2481" s="8" t="s">
        <v>2884</v>
      </c>
      <c r="G2481" s="4" t="s">
        <v>898</v>
      </c>
      <c r="H2481" s="10" t="s">
        <v>2268</v>
      </c>
      <c r="I2481" s="10">
        <v>5.0</v>
      </c>
      <c r="J2481" s="11" t="str">
        <f>IF(D2481&lt;&gt;"",VLOOKUP(H2481,TABLEITEM,5,FALSE),"")</f>
        <v>LIT</v>
      </c>
      <c r="K2481" s="12">
        <v>380.0</v>
      </c>
      <c r="L2481" s="13" t="str">
        <f>IF(D2481&lt;&gt;"",VLOOKUP(H2481,TABLEITEM,2,FALSE),"")</f>
        <v/>
      </c>
      <c r="M2481" s="13" t="str">
        <f>IF(D2481&lt;&gt;"",VLOOKUP(H2481,TABLEITEM,3,FALSE),"")</f>
        <v>สีพ่นแห้งเร็ว(สีผสม)</v>
      </c>
      <c r="N2481" s="14">
        <f>INSTOCK!$I2481*INSTOCK!$K2481</f>
        <v>1900</v>
      </c>
      <c r="O2481" s="4" t="s">
        <v>2647</v>
      </c>
      <c r="P2481" s="4"/>
    </row>
    <row r="2482" ht="15.75" hidden="1" customHeight="1">
      <c r="B2482" s="8">
        <v>2801.0</v>
      </c>
      <c r="C2482" s="9">
        <v>43554.0</v>
      </c>
      <c r="D2482" s="6" t="s">
        <v>3340</v>
      </c>
      <c r="E2482" s="4"/>
      <c r="F2482" s="8" t="s">
        <v>2884</v>
      </c>
      <c r="G2482" s="4" t="s">
        <v>898</v>
      </c>
      <c r="H2482" s="10" t="s">
        <v>2268</v>
      </c>
      <c r="I2482" s="10">
        <v>5.0</v>
      </c>
      <c r="J2482" s="11" t="str">
        <f>IF(D2482&lt;&gt;"",VLOOKUP(H2482,TABLEITEM,5,FALSE),"")</f>
        <v>LIT</v>
      </c>
      <c r="K2482" s="12">
        <v>400.0</v>
      </c>
      <c r="L2482" s="13" t="str">
        <f>IF(D2482&lt;&gt;"",VLOOKUP(H2482,TABLEITEM,2,FALSE),"")</f>
        <v/>
      </c>
      <c r="M2482" s="13" t="str">
        <f>IF(D2482&lt;&gt;"",VLOOKUP(H2482,TABLEITEM,3,FALSE),"")</f>
        <v>สีพ่นแห้งเร็ว(สีผสม)</v>
      </c>
      <c r="N2482" s="14">
        <f>INSTOCK!$I2482*INSTOCK!$K2482</f>
        <v>2000</v>
      </c>
      <c r="O2482" s="4" t="s">
        <v>2784</v>
      </c>
      <c r="P2482" s="4"/>
    </row>
    <row r="2483" ht="15.75" hidden="1" customHeight="1">
      <c r="B2483" s="8">
        <v>2802.0</v>
      </c>
      <c r="C2483" s="9">
        <v>43554.0</v>
      </c>
      <c r="D2483" s="6" t="s">
        <v>3340</v>
      </c>
      <c r="E2483" s="4"/>
      <c r="F2483" s="8" t="s">
        <v>2884</v>
      </c>
      <c r="G2483" s="4" t="s">
        <v>898</v>
      </c>
      <c r="H2483" s="10" t="s">
        <v>3341</v>
      </c>
      <c r="I2483" s="10">
        <v>1.0</v>
      </c>
      <c r="J2483" s="11" t="str">
        <f>IF(D2483&lt;&gt;"",VLOOKUP(H2483,TABLEITEM,5,FALSE),"")</f>
        <v>ปี๊ป</v>
      </c>
      <c r="K2483" s="12">
        <v>660.0</v>
      </c>
      <c r="L2483" s="13" t="str">
        <f>IF(D2483&lt;&gt;"",VLOOKUP(H2483,TABLEITEM,2,FALSE),"")</f>
        <v/>
      </c>
      <c r="M2483" s="13" t="str">
        <f>IF(D2483&lt;&gt;"",VLOOKUP(H2483,TABLEITEM,3,FALSE),"")</f>
        <v>ทินเนอร์ EMS </v>
      </c>
      <c r="N2483" s="14">
        <f>INSTOCK!$I2483*INSTOCK!$K2483</f>
        <v>660</v>
      </c>
      <c r="O2483" s="4"/>
      <c r="P2483" s="4"/>
    </row>
    <row r="2484" ht="15.75" hidden="1" customHeight="1">
      <c r="B2484" s="8">
        <v>2803.0</v>
      </c>
      <c r="C2484" s="9">
        <v>43554.0</v>
      </c>
      <c r="D2484" s="6" t="s">
        <v>3342</v>
      </c>
      <c r="E2484" s="4">
        <v>6.203000496E9</v>
      </c>
      <c r="F2484" s="8" t="s">
        <v>2884</v>
      </c>
      <c r="G2484" s="4" t="s">
        <v>2350</v>
      </c>
      <c r="H2484" s="10" t="s">
        <v>2537</v>
      </c>
      <c r="I2484" s="10">
        <v>200.0</v>
      </c>
      <c r="J2484" s="11" t="str">
        <f>IF(D2484&lt;&gt;"",VLOOKUP(H2484,TABLEITEM,5,FALSE),"")</f>
        <v>KG.</v>
      </c>
      <c r="K2484" s="12">
        <v>122.0</v>
      </c>
      <c r="L2484" s="13" t="str">
        <f>IF(D2484&lt;&gt;"",VLOOKUP(H2484,TABLEITEM,2,FALSE),"")</f>
        <v/>
      </c>
      <c r="M2484" s="13" t="str">
        <f>IF(D2484&lt;&gt;"",VLOOKUP(H2484,TABLEITEM,3,FALSE),"")</f>
        <v>สีฝุ่น L4001  สีส้มภายนอก P2049A</v>
      </c>
      <c r="N2484" s="14">
        <f>INSTOCK!$I2484*INSTOCK!$K2484</f>
        <v>24400</v>
      </c>
      <c r="O2484" s="4"/>
      <c r="P2484" s="4"/>
    </row>
    <row r="2485" ht="15.75" hidden="1" customHeight="1">
      <c r="B2485" s="8">
        <v>2804.0</v>
      </c>
      <c r="C2485" s="9">
        <v>43554.0</v>
      </c>
      <c r="D2485" s="6" t="s">
        <v>3342</v>
      </c>
      <c r="E2485" s="4">
        <v>6.203000496E9</v>
      </c>
      <c r="F2485" s="8" t="s">
        <v>2884</v>
      </c>
      <c r="G2485" s="4" t="s">
        <v>2350</v>
      </c>
      <c r="H2485" s="10" t="s">
        <v>2599</v>
      </c>
      <c r="I2485" s="10">
        <v>200.0</v>
      </c>
      <c r="J2485" s="11" t="str">
        <f>IF(D2485&lt;&gt;"",VLOOKUP(H2485,TABLEITEM,5,FALSE),"")</f>
        <v>KG.</v>
      </c>
      <c r="K2485" s="12">
        <v>122.0</v>
      </c>
      <c r="L2485" s="13" t="str">
        <f>IF(D2485&lt;&gt;"",VLOOKUP(H2485,TABLEITEM,2,FALSE),"")</f>
        <v/>
      </c>
      <c r="M2485" s="13" t="str">
        <f>IF(D2485&lt;&gt;"",VLOOKUP(H2485,TABLEITEM,3,FALSE),"")</f>
        <v>สีฝุ่น P9001A  สีเทาดำ</v>
      </c>
      <c r="N2485" s="14">
        <f>INSTOCK!$I2485*INSTOCK!$K2485</f>
        <v>24400</v>
      </c>
      <c r="O2485" s="4"/>
      <c r="P2485" s="4"/>
    </row>
    <row r="2486" ht="15.75" hidden="1" customHeight="1">
      <c r="B2486" s="8">
        <v>2805.0</v>
      </c>
      <c r="C2486" s="9">
        <v>43554.0</v>
      </c>
      <c r="D2486" s="6" t="s">
        <v>3342</v>
      </c>
      <c r="E2486" s="4">
        <v>6.203000496E9</v>
      </c>
      <c r="F2486" s="8" t="s">
        <v>2884</v>
      </c>
      <c r="G2486" s="4" t="s">
        <v>2350</v>
      </c>
      <c r="H2486" s="10" t="s">
        <v>2538</v>
      </c>
      <c r="I2486" s="10">
        <v>180.0</v>
      </c>
      <c r="J2486" s="11" t="str">
        <f>IF(D2486&lt;&gt;"",VLOOKUP(H2486,TABLEITEM,5,FALSE),"")</f>
        <v>KG.</v>
      </c>
      <c r="K2486" s="12">
        <v>122.0</v>
      </c>
      <c r="L2486" s="13" t="str">
        <f>IF(D2486&lt;&gt;"",VLOOKUP(H2486,TABLEITEM,2,FALSE),"")</f>
        <v/>
      </c>
      <c r="M2486" s="13" t="str">
        <f>IF(D2486&lt;&gt;"",VLOOKUP(H2486,TABLEITEM,3,FALSE),"")</f>
        <v>สีฝุ่น P0001A  สีขาว </v>
      </c>
      <c r="N2486" s="14">
        <f>INSTOCK!$I2486*INSTOCK!$K2486</f>
        <v>21960</v>
      </c>
      <c r="O2486" s="4"/>
      <c r="P2486" s="4"/>
    </row>
    <row r="2487" ht="15.75" hidden="1" customHeight="1">
      <c r="B2487" s="8">
        <v>2806.0</v>
      </c>
      <c r="C2487" s="9">
        <v>43543.0</v>
      </c>
      <c r="D2487" s="6" t="s">
        <v>3343</v>
      </c>
      <c r="E2487" s="4">
        <v>6.203000412E9</v>
      </c>
      <c r="F2487" s="8" t="s">
        <v>604</v>
      </c>
      <c r="G2487" s="4" t="s">
        <v>3344</v>
      </c>
      <c r="H2487" s="10" t="s">
        <v>3345</v>
      </c>
      <c r="I2487" s="10">
        <v>20.0</v>
      </c>
      <c r="J2487" s="11" t="str">
        <f>IF(D2487&lt;&gt;"",VLOOKUP(H2487,TABLEITEM,5,FALSE),"")</f>
        <v>EA</v>
      </c>
      <c r="K2487" s="12">
        <v>32.0</v>
      </c>
      <c r="L2487" s="13" t="str">
        <f>IF(D2487&lt;&gt;"",VLOOKUP(H2487,TABLEITEM,2,FALSE),"")</f>
        <v/>
      </c>
      <c r="M2487" s="13" t="str">
        <f>IF(D2487&lt;&gt;"",VLOOKUP(H2487,TABLEITEM,3,FALSE),"")</f>
        <v>ดอกสว่าน 3.3 มม. HP-11010000330</v>
      </c>
      <c r="N2487" s="14">
        <f>INSTOCK!$I2487*INSTOCK!$K2487</f>
        <v>640</v>
      </c>
      <c r="O2487" s="4"/>
      <c r="P2487" s="4"/>
    </row>
    <row r="2488" ht="15.75" hidden="1" customHeight="1">
      <c r="B2488" s="8">
        <v>2807.0</v>
      </c>
      <c r="C2488" s="9">
        <v>43543.0</v>
      </c>
      <c r="D2488" s="6" t="s">
        <v>3343</v>
      </c>
      <c r="E2488" s="4">
        <v>6.203000412E9</v>
      </c>
      <c r="F2488" s="8" t="s">
        <v>604</v>
      </c>
      <c r="G2488" s="4" t="s">
        <v>3344</v>
      </c>
      <c r="H2488" s="10" t="s">
        <v>3346</v>
      </c>
      <c r="I2488" s="10">
        <v>10.0</v>
      </c>
      <c r="J2488" s="11" t="str">
        <f>IF(D2488&lt;&gt;"",VLOOKUP(H2488,TABLEITEM,5,FALSE),"")</f>
        <v>EA</v>
      </c>
      <c r="K2488" s="12">
        <v>71.0</v>
      </c>
      <c r="L2488" s="13" t="str">
        <f>IF(D2488&lt;&gt;"",VLOOKUP(H2488,TABLEITEM,2,FALSE),"")</f>
        <v/>
      </c>
      <c r="M2488" s="13" t="str">
        <f>IF(D2488&lt;&gt;"",VLOOKUP(H2488,TABLEITEM,3,FALSE),"")</f>
        <v>ดอกสว่าน 5.4มม. D1101054</v>
      </c>
      <c r="N2488" s="14">
        <f>INSTOCK!$I2488*INSTOCK!$K2488</f>
        <v>710</v>
      </c>
      <c r="O2488" s="4"/>
      <c r="P2488" s="4"/>
    </row>
    <row r="2489" ht="15.75" hidden="1" customHeight="1">
      <c r="B2489" s="8">
        <v>2808.0</v>
      </c>
      <c r="C2489" s="9">
        <v>43552.0</v>
      </c>
      <c r="D2489" s="6" t="s">
        <v>3347</v>
      </c>
      <c r="E2489" s="4"/>
      <c r="F2489" s="8" t="s">
        <v>604</v>
      </c>
      <c r="G2489" s="4" t="s">
        <v>2495</v>
      </c>
      <c r="H2489" s="10" t="s">
        <v>2882</v>
      </c>
      <c r="I2489" s="10">
        <v>1000.0</v>
      </c>
      <c r="J2489" s="11" t="str">
        <f>IF(D2489&lt;&gt;"",VLOOKUP(H2489,TABLEITEM,5,FALSE),"")</f>
        <v>EA</v>
      </c>
      <c r="K2489" s="12">
        <v>0.254</v>
      </c>
      <c r="L2489" s="13" t="str">
        <f>IF(D2489&lt;&gt;"",VLOOKUP(H2489,TABLEITEM,2,FALSE),"")</f>
        <v/>
      </c>
      <c r="M2489" s="13" t="str">
        <f>IF(D2489&lt;&gt;"",VLOOKUP(H2489,TABLEITEM,3,FALSE),"")</f>
        <v>ตะปูยิงรีเวท 5-3   5/32"x5/16"</v>
      </c>
      <c r="N2489" s="14">
        <f>INSTOCK!$I2489*INSTOCK!$K2489</f>
        <v>254</v>
      </c>
      <c r="O2489" s="4"/>
      <c r="P2489" s="4"/>
    </row>
    <row r="2490" ht="15.75" hidden="1" customHeight="1">
      <c r="B2490" s="8">
        <v>2809.0</v>
      </c>
      <c r="C2490" s="9">
        <v>43552.0</v>
      </c>
      <c r="D2490" s="6" t="s">
        <v>3347</v>
      </c>
      <c r="E2490" s="4"/>
      <c r="F2490" s="8" t="s">
        <v>604</v>
      </c>
      <c r="G2490" s="4" t="s">
        <v>2495</v>
      </c>
      <c r="H2490" s="10" t="s">
        <v>3348</v>
      </c>
      <c r="I2490" s="10">
        <v>2000.0</v>
      </c>
      <c r="J2490" s="11" t="str">
        <f>IF(D2490&lt;&gt;"",VLOOKUP(H2490,TABLEITEM,5,FALSE),"")</f>
        <v>EA</v>
      </c>
      <c r="K2490" s="12">
        <v>0.133</v>
      </c>
      <c r="L2490" s="13" t="str">
        <f>IF(D2490&lt;&gt;"",VLOOKUP(H2490,TABLEITEM,2,FALSE),"")</f>
        <v/>
      </c>
      <c r="M2490" s="13" t="str">
        <f>IF(D2490&lt;&gt;"",VLOOKUP(H2490,TABLEITEM,3,FALSE),"")</f>
        <v>ตะปูยิงรีเวท 4-2   1/8"x1/4"</v>
      </c>
      <c r="N2490" s="14">
        <f>INSTOCK!$I2490*INSTOCK!$K2490</f>
        <v>266</v>
      </c>
      <c r="O2490" s="4"/>
      <c r="P2490" s="4"/>
    </row>
    <row r="2491" ht="15.75" hidden="1" customHeight="1">
      <c r="B2491" s="8">
        <v>2810.0</v>
      </c>
      <c r="C2491" s="9">
        <v>43552.0</v>
      </c>
      <c r="D2491" s="6" t="s">
        <v>3347</v>
      </c>
      <c r="E2491" s="4"/>
      <c r="F2491" s="8" t="s">
        <v>604</v>
      </c>
      <c r="G2491" s="4" t="s">
        <v>2495</v>
      </c>
      <c r="H2491" s="10" t="s">
        <v>3349</v>
      </c>
      <c r="I2491" s="10">
        <v>2000.0</v>
      </c>
      <c r="J2491" s="11" t="str">
        <f>IF(D2491&lt;&gt;"",VLOOKUP(H2491,TABLEITEM,5,FALSE),"")</f>
        <v>EA</v>
      </c>
      <c r="K2491" s="12">
        <v>0.092</v>
      </c>
      <c r="L2491" s="13" t="str">
        <f>IF(D2491&lt;&gt;"",VLOOKUP(H2491,TABLEITEM,2,FALSE),"")</f>
        <v/>
      </c>
      <c r="M2491" s="13" t="str">
        <f>IF(D2491&lt;&gt;"",VLOOKUP(H2491,TABLEITEM,3,FALSE),"")</f>
        <v>สกรูหัวกลมชุบขาว M3x6</v>
      </c>
      <c r="N2491" s="14">
        <f>INSTOCK!$I2491*INSTOCK!$K2491</f>
        <v>184</v>
      </c>
      <c r="O2491" s="4"/>
      <c r="P2491" s="4"/>
    </row>
    <row r="2492" ht="15.75" hidden="1" customHeight="1">
      <c r="B2492" s="8">
        <v>2811.0</v>
      </c>
      <c r="C2492" s="9">
        <v>43556.0</v>
      </c>
      <c r="D2492" s="6" t="s">
        <v>3350</v>
      </c>
      <c r="E2492" s="4">
        <v>6.203000471E9</v>
      </c>
      <c r="F2492" s="8" t="s">
        <v>3351</v>
      </c>
      <c r="G2492" s="4" t="s">
        <v>3352</v>
      </c>
      <c r="H2492" s="10" t="s">
        <v>3353</v>
      </c>
      <c r="I2492" s="10">
        <v>5.0</v>
      </c>
      <c r="J2492" s="11" t="str">
        <f>IF(D2492&lt;&gt;"",VLOOKUP(H2492,TABLEITEM,5,FALSE),"")</f>
        <v>EA</v>
      </c>
      <c r="K2492" s="12">
        <v>66.5</v>
      </c>
      <c r="L2492" s="13" t="str">
        <f>IF(D2492&lt;&gt;"",VLOOKUP(H2492,TABLEITEM,2,FALSE),"")</f>
        <v/>
      </c>
      <c r="M2492" s="13" t="str">
        <f>IF(D2492&lt;&gt;"",VLOOKUP(H2492,TABLEITEM,3,FALSE),"")</f>
        <v>ล้อไนล่อน 2" ล้อตาย (4ตัวชุด)</v>
      </c>
      <c r="N2492" s="14">
        <f>INSTOCK!$I2492*INSTOCK!$K2492</f>
        <v>332.5</v>
      </c>
      <c r="O2492" s="4" t="s">
        <v>3354</v>
      </c>
      <c r="P2492" s="4"/>
    </row>
    <row r="2493" ht="15.75" hidden="1" customHeight="1">
      <c r="B2493" s="8">
        <v>2812.0</v>
      </c>
      <c r="C2493" s="9">
        <v>43556.0</v>
      </c>
      <c r="D2493" s="6" t="s">
        <v>3350</v>
      </c>
      <c r="E2493" s="4">
        <v>6.203000471E9</v>
      </c>
      <c r="F2493" s="8" t="s">
        <v>3351</v>
      </c>
      <c r="G2493" s="4" t="s">
        <v>3352</v>
      </c>
      <c r="H2493" s="10" t="s">
        <v>3355</v>
      </c>
      <c r="I2493" s="10">
        <v>5.0</v>
      </c>
      <c r="J2493" s="11" t="str">
        <f>IF(D2493&lt;&gt;"",VLOOKUP(H2493,TABLEITEM,5,FALSE),"")</f>
        <v>EA</v>
      </c>
      <c r="K2493" s="12">
        <v>95.0</v>
      </c>
      <c r="L2493" s="13" t="str">
        <f>IF(D2493&lt;&gt;"",VLOOKUP(H2493,TABLEITEM,2,FALSE),"")</f>
        <v/>
      </c>
      <c r="M2493" s="13" t="str">
        <f>IF(D2493&lt;&gt;"",VLOOKUP(H2493,TABLEITEM,3,FALSE),"")</f>
        <v>ล้อไนล่อน 2" ล้อเป็นมีเบรค (4ตัวชุด)</v>
      </c>
      <c r="N2493" s="14">
        <f>INSTOCK!$I2493*INSTOCK!$K2493</f>
        <v>475</v>
      </c>
      <c r="O2493" s="4" t="s">
        <v>3356</v>
      </c>
      <c r="P2493" s="4"/>
    </row>
    <row r="2494" ht="15.75" hidden="1" customHeight="1">
      <c r="B2494" s="8">
        <v>2813.0</v>
      </c>
      <c r="C2494" s="9">
        <v>43547.0</v>
      </c>
      <c r="D2494" s="6">
        <v>6.20307049E8</v>
      </c>
      <c r="E2494" s="4">
        <v>6.203000429E9</v>
      </c>
      <c r="F2494" s="8" t="s">
        <v>3357</v>
      </c>
      <c r="G2494" s="4" t="s">
        <v>1130</v>
      </c>
      <c r="H2494" s="10" t="s">
        <v>1556</v>
      </c>
      <c r="I2494" s="10">
        <v>1.0</v>
      </c>
      <c r="J2494" s="11" t="str">
        <f>IF(D2494&lt;&gt;"",VLOOKUP(H2494,TABLEITEM,5,FALSE),"")</f>
        <v>EA</v>
      </c>
      <c r="K2494" s="12">
        <v>151.9</v>
      </c>
      <c r="L2494" s="13" t="str">
        <f>IF(D2494&lt;&gt;"",VLOOKUP(H2494,TABLEITEM,2,FALSE),"")</f>
        <v/>
      </c>
      <c r="M2494" s="13" t="str">
        <f>IF(D2494&lt;&gt;"",VLOOKUP(H2494,TABLEITEM,3,FALSE),"")</f>
        <v>SOCKET 8PFA-1</v>
      </c>
      <c r="N2494" s="14">
        <f>INSTOCK!$I2494*INSTOCK!$K2494</f>
        <v>151.9</v>
      </c>
      <c r="O2494" s="4" t="s">
        <v>3358</v>
      </c>
      <c r="P2494" s="4"/>
    </row>
    <row r="2495" ht="15.75" hidden="1" customHeight="1">
      <c r="B2495" s="8">
        <v>2814.0</v>
      </c>
      <c r="C2495" s="9">
        <v>43536.0</v>
      </c>
      <c r="D2495" s="6" t="s">
        <v>3359</v>
      </c>
      <c r="E2495" s="4"/>
      <c r="F2495" s="8" t="s">
        <v>3360</v>
      </c>
      <c r="G2495" s="4" t="s">
        <v>3361</v>
      </c>
      <c r="H2495" s="10" t="s">
        <v>3362</v>
      </c>
      <c r="I2495" s="10">
        <v>2.0</v>
      </c>
      <c r="J2495" s="11" t="str">
        <f>IF(D2495&lt;&gt;"",VLOOKUP(H2495,TABLEITEM,5,FALSE),"")</f>
        <v>LOT</v>
      </c>
      <c r="K2495" s="12">
        <v>1000.0</v>
      </c>
      <c r="L2495" s="13" t="str">
        <f>IF(D2495&lt;&gt;"",VLOOKUP(H2495,TABLEITEM,2,FALSE),"")</f>
        <v/>
      </c>
      <c r="M2495" s="13" t="str">
        <f>IF(D2495&lt;&gt;"",VLOOKUP(H2495,TABLEITEM,3,FALSE),"")</f>
        <v>ค่าอบรมวิธีการบังคับเครนพร้อมใบ Certificate of Training</v>
      </c>
      <c r="N2495" s="14">
        <f>INSTOCK!$I2495*INSTOCK!$K2495</f>
        <v>2000</v>
      </c>
      <c r="O2495" s="4"/>
      <c r="P2495" s="4"/>
    </row>
    <row r="2496" ht="15.75" hidden="1" customHeight="1">
      <c r="B2496" s="8">
        <v>2815.0</v>
      </c>
      <c r="C2496" s="9">
        <v>43556.0</v>
      </c>
      <c r="D2496" s="6" t="s">
        <v>3363</v>
      </c>
      <c r="E2496" s="4">
        <v>6.203000342E9</v>
      </c>
      <c r="F2496" s="8" t="s">
        <v>604</v>
      </c>
      <c r="G2496" s="4" t="s">
        <v>2445</v>
      </c>
      <c r="H2496" s="10" t="s">
        <v>2446</v>
      </c>
      <c r="I2496" s="10">
        <v>10000.0</v>
      </c>
      <c r="J2496" s="11" t="str">
        <f>IF(D2496&lt;&gt;"",VLOOKUP(H2496,TABLEITEM,5,FALSE),"")</f>
        <v>EA</v>
      </c>
      <c r="K2496" s="12">
        <v>0.65</v>
      </c>
      <c r="L2496" s="13" t="str">
        <f>IF(D2496&lt;&gt;"",VLOOKUP(H2496,TABLEITEM,2,FALSE),"")</f>
        <v/>
      </c>
      <c r="M2496" s="13" t="str">
        <f>IF(D2496&lt;&gt;"",VLOOKUP(H2496,TABLEITEM,3,FALSE),"")</f>
        <v>สตัด M4x10</v>
      </c>
      <c r="N2496" s="14">
        <f>INSTOCK!$I2496*INSTOCK!$K2496</f>
        <v>6500</v>
      </c>
      <c r="O2496" s="4"/>
      <c r="P2496" s="4"/>
    </row>
    <row r="2497" ht="15.75" hidden="1" customHeight="1">
      <c r="B2497" s="8">
        <v>2816.0</v>
      </c>
      <c r="C2497" s="9">
        <v>43558.0</v>
      </c>
      <c r="D2497" s="6" t="s">
        <v>3364</v>
      </c>
      <c r="E2497" s="4">
        <v>6.20400051E9</v>
      </c>
      <c r="F2497" s="8" t="s">
        <v>807</v>
      </c>
      <c r="G2497" s="4" t="s">
        <v>808</v>
      </c>
      <c r="H2497" s="10" t="s">
        <v>809</v>
      </c>
      <c r="I2497" s="10">
        <v>1.0</v>
      </c>
      <c r="J2497" s="11" t="str">
        <f>IF(D2497&lt;&gt;"",VLOOKUP(H2497,TABLEITEM,5,FALSE),"")</f>
        <v>ท่อ</v>
      </c>
      <c r="K2497" s="12">
        <v>2700.0</v>
      </c>
      <c r="L2497" s="13" t="str">
        <f>IF(D2497&lt;&gt;"",VLOOKUP(H2497,TABLEITEM,2,FALSE),"")</f>
        <v/>
      </c>
      <c r="M2497" s="13" t="str">
        <f>IF(D2497&lt;&gt;"",VLOOKUP(H2497,TABLEITEM,3,FALSE),"")</f>
        <v>ไนโตรเจนเหลว ขนาด 100คิว</v>
      </c>
      <c r="N2497" s="14">
        <f>INSTOCK!$I2497*INSTOCK!$K2497</f>
        <v>2700</v>
      </c>
      <c r="O2497" s="4"/>
      <c r="P2497" s="4"/>
    </row>
    <row r="2498" ht="15.75" hidden="1" customHeight="1">
      <c r="B2498" s="8">
        <v>2817.0</v>
      </c>
      <c r="C2498" s="9">
        <v>43558.0</v>
      </c>
      <c r="D2498" s="6" t="s">
        <v>3365</v>
      </c>
      <c r="E2498" s="4">
        <v>6.204000517E9</v>
      </c>
      <c r="F2498" s="8" t="s">
        <v>807</v>
      </c>
      <c r="G2498" s="4" t="s">
        <v>808</v>
      </c>
      <c r="H2498" s="10" t="s">
        <v>809</v>
      </c>
      <c r="I2498" s="10">
        <v>1.0</v>
      </c>
      <c r="J2498" s="11" t="str">
        <f>IF(D2498&lt;&gt;"",VLOOKUP(H2498,TABLEITEM,5,FALSE),"")</f>
        <v>ท่อ</v>
      </c>
      <c r="K2498" s="12">
        <v>2700.0</v>
      </c>
      <c r="L2498" s="13" t="str">
        <f>IF(D2498&lt;&gt;"",VLOOKUP(H2498,TABLEITEM,2,FALSE),"")</f>
        <v/>
      </c>
      <c r="M2498" s="13" t="str">
        <f>IF(D2498&lt;&gt;"",VLOOKUP(H2498,TABLEITEM,3,FALSE),"")</f>
        <v>ไนโตรเจนเหลว ขนาด 100คิว</v>
      </c>
      <c r="N2498" s="14">
        <f>INSTOCK!$I2498*INSTOCK!$K2498</f>
        <v>2700</v>
      </c>
      <c r="O2498" s="4"/>
      <c r="P2498" s="4"/>
    </row>
    <row r="2499" ht="15.75" hidden="1" customHeight="1">
      <c r="B2499" s="8">
        <v>2818.0</v>
      </c>
      <c r="C2499" s="9">
        <v>43556.0</v>
      </c>
      <c r="D2499" s="6">
        <v>85246.0</v>
      </c>
      <c r="E2499" s="4">
        <v>6.20300049E9</v>
      </c>
      <c r="F2499" s="8" t="s">
        <v>604</v>
      </c>
      <c r="G2499" s="4" t="s">
        <v>2589</v>
      </c>
      <c r="H2499" s="10" t="s">
        <v>3366</v>
      </c>
      <c r="I2499" s="10">
        <v>2000.0</v>
      </c>
      <c r="J2499" s="11" t="str">
        <f>IF(D2499&lt;&gt;"",VLOOKUP(H2499,TABLEITEM,5,FALSE),"")</f>
        <v>EA</v>
      </c>
      <c r="K2499" s="12">
        <v>6.11</v>
      </c>
      <c r="L2499" s="13" t="str">
        <f>IF(D2499&lt;&gt;"",VLOOKUP(H2499,TABLEITEM,2,FALSE),"")</f>
        <v/>
      </c>
      <c r="M2499" s="13" t="str">
        <f>IF(D2499&lt;&gt;"",VLOOKUP(H2499,TABLEITEM,3,FALSE),"")</f>
        <v>สตัด M8x30</v>
      </c>
      <c r="N2499" s="14">
        <f>INSTOCK!$I2499*INSTOCK!$K2499</f>
        <v>12220</v>
      </c>
      <c r="O2499" s="4"/>
      <c r="P2499" s="4"/>
    </row>
    <row r="2500" ht="15.75" hidden="1" customHeight="1">
      <c r="B2500" s="8">
        <v>2819.0</v>
      </c>
      <c r="C2500" s="9">
        <v>43558.0</v>
      </c>
      <c r="D2500" s="6" t="s">
        <v>3367</v>
      </c>
      <c r="E2500" s="4">
        <v>6.203000479E9</v>
      </c>
      <c r="F2500" s="8" t="s">
        <v>604</v>
      </c>
      <c r="G2500" s="4" t="s">
        <v>725</v>
      </c>
      <c r="H2500" s="10" t="s">
        <v>726</v>
      </c>
      <c r="I2500" s="10">
        <v>500.0</v>
      </c>
      <c r="J2500" s="11" t="str">
        <f>IF(D2500&lt;&gt;"",VLOOKUP(H2500,TABLEITEM,5,FALSE),"")</f>
        <v>M</v>
      </c>
      <c r="K2500" s="12">
        <v>10.0</v>
      </c>
      <c r="L2500" s="13" t="str">
        <f>IF(D2500&lt;&gt;"",VLOOKUP(H2500,TABLEITEM,2,FALSE),"")</f>
        <v/>
      </c>
      <c r="M2500" s="13" t="str">
        <f>IF(D2500&lt;&gt;"",VLOOKUP(H2500,TABLEITEM,3,FALSE),"")</f>
        <v>ยางกันบาดร่อง 10มิล</v>
      </c>
      <c r="N2500" s="14">
        <f>INSTOCK!$I2500*INSTOCK!$K2500</f>
        <v>5000</v>
      </c>
      <c r="O2500" s="4"/>
      <c r="P2500" s="4"/>
    </row>
    <row r="2501" ht="15.75" hidden="1" customHeight="1">
      <c r="B2501" s="8">
        <v>2820.0</v>
      </c>
      <c r="C2501" s="9">
        <v>43558.0</v>
      </c>
      <c r="D2501" s="6">
        <v>38123.0</v>
      </c>
      <c r="E2501" s="4"/>
      <c r="F2501" s="8" t="s">
        <v>3336</v>
      </c>
      <c r="G2501" s="4" t="s">
        <v>696</v>
      </c>
      <c r="H2501" s="10" t="s">
        <v>2642</v>
      </c>
      <c r="I2501" s="10">
        <v>50.0</v>
      </c>
      <c r="J2501" s="11" t="str">
        <f>IF(D2501&lt;&gt;"",VLOOKUP(H2501,TABLEITEM,5,FALSE),"")</f>
        <v>EA</v>
      </c>
      <c r="K2501" s="12">
        <v>150.0</v>
      </c>
      <c r="L2501" s="13" t="str">
        <f>IF(D2501&lt;&gt;"",VLOOKUP(H2501,TABLEITEM,2,FALSE),"")</f>
        <v/>
      </c>
      <c r="M2501" s="13" t="str">
        <f>IF(D2501&lt;&gt;"",VLOOKUP(H2501,TABLEITEM,3,FALSE),"")</f>
        <v>อะคริลิคโฟมเทป 12mmx10M #4229</v>
      </c>
      <c r="N2501" s="14">
        <f>INSTOCK!$I2501*INSTOCK!$K2501</f>
        <v>7500</v>
      </c>
      <c r="O2501" s="4"/>
      <c r="P2501" s="4"/>
    </row>
    <row r="2502" ht="15.75" hidden="1" customHeight="1">
      <c r="B2502" s="8">
        <v>2821.0</v>
      </c>
      <c r="C2502" s="9">
        <v>43557.0</v>
      </c>
      <c r="D2502" s="6" t="s">
        <v>3368</v>
      </c>
      <c r="E2502" s="4">
        <v>6.203000478E9</v>
      </c>
      <c r="F2502" s="8" t="s">
        <v>604</v>
      </c>
      <c r="G2502" s="4" t="s">
        <v>2121</v>
      </c>
      <c r="H2502" s="10" t="s">
        <v>3369</v>
      </c>
      <c r="I2502" s="10">
        <v>300.0</v>
      </c>
      <c r="J2502" s="11" t="str">
        <f>IF(D2502&lt;&gt;"",VLOOKUP(H2502,TABLEITEM,5,FALSE),"")</f>
        <v>EA</v>
      </c>
      <c r="K2502" s="12">
        <v>30.0</v>
      </c>
      <c r="L2502" s="13" t="str">
        <f>IF(D2502&lt;&gt;"",VLOOKUP(H2502,TABLEITEM,2,FALSE),"")</f>
        <v/>
      </c>
      <c r="M2502" s="13" t="str">
        <f>IF(D2502&lt;&gt;"",VLOOKUP(H2502,TABLEITEM,3,FALSE),"")</f>
        <v>ห่วงตู้ M10</v>
      </c>
      <c r="N2502" s="14">
        <f>INSTOCK!$I2502*INSTOCK!$K2502</f>
        <v>9000</v>
      </c>
      <c r="O2502" s="4"/>
      <c r="P2502" s="4"/>
    </row>
    <row r="2503" ht="15.75" hidden="1" customHeight="1">
      <c r="B2503" s="8">
        <v>2822.0</v>
      </c>
      <c r="C2503" s="9">
        <v>43557.0</v>
      </c>
      <c r="D2503" s="6" t="s">
        <v>3370</v>
      </c>
      <c r="E2503" s="4">
        <v>6.203000483E9</v>
      </c>
      <c r="F2503" s="8" t="s">
        <v>604</v>
      </c>
      <c r="G2503" s="4" t="s">
        <v>950</v>
      </c>
      <c r="H2503" s="10" t="s">
        <v>3371</v>
      </c>
      <c r="I2503" s="10">
        <v>25.0</v>
      </c>
      <c r="J2503" s="11" t="str">
        <f>IF(D2503&lt;&gt;"",VLOOKUP(H2503,TABLEITEM,5,FALSE),"")</f>
        <v>M</v>
      </c>
      <c r="K2503" s="12">
        <v>354.86</v>
      </c>
      <c r="L2503" s="13" t="str">
        <f>IF(D2503&lt;&gt;"",VLOOKUP(H2503,TABLEITEM,2,FALSE),"")</f>
        <v/>
      </c>
      <c r="M2503" s="13" t="str">
        <f>IF(D2503&lt;&gt;"",VLOOKUP(H2503,TABLEITEM,3,FALSE),"")</f>
        <v>Heat Shrink  แรงสูง HB2 # 30</v>
      </c>
      <c r="N2503" s="14">
        <f>INSTOCK!$I2503*INSTOCK!$K2503</f>
        <v>8871.5</v>
      </c>
      <c r="O2503" s="4"/>
      <c r="P2503" s="4"/>
    </row>
    <row r="2504" ht="15.75" hidden="1" customHeight="1">
      <c r="B2504" s="8">
        <v>2823.0</v>
      </c>
      <c r="C2504" s="9">
        <v>43191.0</v>
      </c>
      <c r="D2504" s="6" t="s">
        <v>3372</v>
      </c>
      <c r="E2504" s="4">
        <v>6.204000505E9</v>
      </c>
      <c r="F2504" s="8" t="s">
        <v>604</v>
      </c>
      <c r="G2504" s="4" t="s">
        <v>965</v>
      </c>
      <c r="H2504" s="10" t="s">
        <v>46</v>
      </c>
      <c r="I2504" s="10">
        <v>10.0</v>
      </c>
      <c r="J2504" s="11" t="str">
        <f>IF(D2504&lt;&gt;"",VLOOKUP(H2504,TABLEITEM,5,FALSE),"")</f>
        <v>ROLL</v>
      </c>
      <c r="K2504" s="12">
        <v>90.0</v>
      </c>
      <c r="L2504" s="13" t="str">
        <f>IF(D2504&lt;&gt;"",VLOOKUP(H2504,TABLEITEM,2,FALSE),"")</f>
        <v/>
      </c>
      <c r="M2504" s="13" t="str">
        <f>IF(D2504&lt;&gt;"",VLOOKUP(H2504,TABLEITEM,3,FALSE),"")</f>
        <v>ลวดดำ</v>
      </c>
      <c r="N2504" s="14">
        <f>INSTOCK!$I2504*INSTOCK!$K2504</f>
        <v>900</v>
      </c>
      <c r="O2504" s="4"/>
      <c r="P2504" s="4"/>
    </row>
    <row r="2505" ht="15.75" hidden="1" customHeight="1">
      <c r="B2505" s="8">
        <v>2824.0</v>
      </c>
      <c r="C2505" s="9">
        <v>43556.0</v>
      </c>
      <c r="D2505" s="6">
        <v>6204021.0</v>
      </c>
      <c r="E2505" s="4">
        <v>6.203000447E9</v>
      </c>
      <c r="F2505" s="8" t="s">
        <v>3286</v>
      </c>
      <c r="G2505" s="4" t="s">
        <v>3373</v>
      </c>
      <c r="H2505" s="10" t="s">
        <v>3374</v>
      </c>
      <c r="I2505" s="10">
        <v>1.0</v>
      </c>
      <c r="J2505" s="11" t="str">
        <f>IF(D2505&lt;&gt;"",VLOOKUP(H2505,TABLEITEM,5,FALSE),"")</f>
        <v>EA</v>
      </c>
      <c r="K2505" s="12">
        <v>450.5</v>
      </c>
      <c r="L2505" s="13" t="str">
        <f>IF(D2505&lt;&gt;"",VLOOKUP(H2505,TABLEITEM,2,FALSE),"")</f>
        <v/>
      </c>
      <c r="M2505" s="13" t="str">
        <f>IF(D2505&lt;&gt;"",VLOOKUP(H2505,TABLEITEM,3,FALSE),"")</f>
        <v>หม้อแปลง 1PH SW.XFMR 220V 50Hz/110V 30VA TR-12601</v>
      </c>
      <c r="N2505" s="14">
        <f>INSTOCK!$I2505*INSTOCK!$K2505</f>
        <v>450.5</v>
      </c>
      <c r="O2505" s="4"/>
      <c r="P2505" s="4"/>
    </row>
    <row r="2506" ht="15.75" hidden="1" customHeight="1">
      <c r="B2506" s="8">
        <v>2825.0</v>
      </c>
      <c r="C2506" s="9">
        <v>43556.0</v>
      </c>
      <c r="D2506" s="6">
        <v>4.19029521E8</v>
      </c>
      <c r="E2506" s="4">
        <v>6.20300048E9</v>
      </c>
      <c r="F2506" s="8" t="s">
        <v>604</v>
      </c>
      <c r="G2506" s="4" t="s">
        <v>1274</v>
      </c>
      <c r="H2506" s="10" t="s">
        <v>2555</v>
      </c>
      <c r="I2506" s="10">
        <v>4.0</v>
      </c>
      <c r="J2506" s="11" t="str">
        <f>IF(D2506&lt;&gt;"",VLOOKUP(H2506,TABLEITEM,5,FALSE),"")</f>
        <v>EA</v>
      </c>
      <c r="K2506" s="12">
        <v>700.0</v>
      </c>
      <c r="L2506" s="13" t="str">
        <f>IF(D2506&lt;&gt;"",VLOOKUP(H2506,TABLEITEM,2,FALSE),"")</f>
        <v/>
      </c>
      <c r="M2506" s="13" t="str">
        <f>IF(D2506&lt;&gt;"",VLOOKUP(H2506,TABLEITEM,3,FALSE),"")</f>
        <v>สก๊อตไบร์ MULTI-FLEX ขนาด 8x20 สีเทา (60แผ่น/ม้วน)</v>
      </c>
      <c r="N2506" s="14">
        <f>INSTOCK!$I2506*INSTOCK!$K2506</f>
        <v>2800</v>
      </c>
      <c r="O2506" s="4"/>
      <c r="P2506" s="4"/>
    </row>
    <row r="2507" ht="15.75" hidden="1" customHeight="1">
      <c r="B2507" s="8">
        <v>2826.0</v>
      </c>
      <c r="C2507" s="9">
        <v>43557.0</v>
      </c>
      <c r="D2507" s="6" t="s">
        <v>3375</v>
      </c>
      <c r="E2507" s="4">
        <v>6.204000506E9</v>
      </c>
      <c r="F2507" s="8" t="s">
        <v>2449</v>
      </c>
      <c r="G2507" s="4" t="s">
        <v>1985</v>
      </c>
      <c r="H2507" s="10" t="s">
        <v>2557</v>
      </c>
      <c r="I2507" s="10">
        <v>1.0</v>
      </c>
      <c r="J2507" s="11" t="str">
        <f>IF(D2507&lt;&gt;"",VLOOKUP(H2507,TABLEITEM,5,FALSE),"")</f>
        <v>คู่</v>
      </c>
      <c r="K2507" s="12">
        <v>560.0</v>
      </c>
      <c r="L2507" s="13" t="str">
        <f>IF(D2507&lt;&gt;"",VLOOKUP(H2507,TABLEITEM,2,FALSE),"")</f>
        <v/>
      </c>
      <c r="M2507" s="13" t="str">
        <f>IF(D2507&lt;&gt;"",VLOOKUP(H2507,TABLEITEM,3,FALSE),"")</f>
        <v>รองเท้าหุ้มส้นพื้นยาง CB800</v>
      </c>
      <c r="N2507" s="14">
        <f>INSTOCK!$I2507*INSTOCK!$K2507</f>
        <v>560</v>
      </c>
      <c r="O2507" s="10" t="s">
        <v>3376</v>
      </c>
      <c r="P2507" s="4"/>
    </row>
    <row r="2508" ht="15.75" hidden="1" customHeight="1">
      <c r="B2508" s="8">
        <v>2827.0</v>
      </c>
      <c r="C2508" s="9">
        <v>43557.0</v>
      </c>
      <c r="D2508" s="6" t="s">
        <v>3375</v>
      </c>
      <c r="E2508" s="4">
        <v>6.204000506E9</v>
      </c>
      <c r="F2508" s="8" t="s">
        <v>2449</v>
      </c>
      <c r="G2508" s="4" t="s">
        <v>1985</v>
      </c>
      <c r="H2508" s="10" t="s">
        <v>2557</v>
      </c>
      <c r="I2508" s="10">
        <v>1.0</v>
      </c>
      <c r="J2508" s="11" t="str">
        <f>IF(D2508&lt;&gt;"",VLOOKUP(H2508,TABLEITEM,5,FALSE),"")</f>
        <v>คู่</v>
      </c>
      <c r="K2508" s="12">
        <v>560.0</v>
      </c>
      <c r="L2508" s="13" t="str">
        <f>IF(D2508&lt;&gt;"",VLOOKUP(H2508,TABLEITEM,2,FALSE),"")</f>
        <v/>
      </c>
      <c r="M2508" s="13" t="str">
        <f>IF(D2508&lt;&gt;"",VLOOKUP(H2508,TABLEITEM,3,FALSE),"")</f>
        <v>รองเท้าหุ้มส้นพื้นยาง CB800</v>
      </c>
      <c r="N2508" s="14">
        <f>INSTOCK!$I2508*INSTOCK!$K2508</f>
        <v>560</v>
      </c>
      <c r="O2508" s="10" t="s">
        <v>3377</v>
      </c>
      <c r="P2508" s="4"/>
    </row>
    <row r="2509" ht="15.75" hidden="1" customHeight="1">
      <c r="B2509" s="8">
        <v>2828.0</v>
      </c>
      <c r="C2509" s="9">
        <v>43556.0</v>
      </c>
      <c r="D2509" s="6" t="s">
        <v>3378</v>
      </c>
      <c r="E2509" s="4">
        <v>6.203000476E9</v>
      </c>
      <c r="F2509" s="8" t="s">
        <v>604</v>
      </c>
      <c r="G2509" s="4" t="s">
        <v>1671</v>
      </c>
      <c r="H2509" s="10" t="s">
        <v>1672</v>
      </c>
      <c r="I2509" s="10">
        <v>20.0</v>
      </c>
      <c r="J2509" s="11" t="str">
        <f>IF(D2509&lt;&gt;"",VLOOKUP(H2509,TABLEITEM,5,FALSE),"")</f>
        <v>SET</v>
      </c>
      <c r="K2509" s="12">
        <v>150.0</v>
      </c>
      <c r="L2509" s="13" t="str">
        <f>IF(D2509&lt;&gt;"",VLOOKUP(H2509,TABLEITEM,2,FALSE),"")</f>
        <v/>
      </c>
      <c r="M2509" s="13" t="str">
        <f>IF(D2509&lt;&gt;"",VLOOKUP(H2509,TABLEITEM,3,FALSE),"")</f>
        <v>แปรงถ่าน BOSCH GWS 7-100</v>
      </c>
      <c r="N2509" s="14">
        <f>INSTOCK!$I2509*INSTOCK!$K2509</f>
        <v>3000</v>
      </c>
      <c r="O2509" s="4"/>
      <c r="P2509" s="4"/>
    </row>
    <row r="2510" ht="15.75" hidden="1" customHeight="1">
      <c r="B2510" s="8">
        <v>2829.0</v>
      </c>
      <c r="C2510" s="9">
        <v>43556.0</v>
      </c>
      <c r="D2510" s="38" t="s">
        <v>3379</v>
      </c>
      <c r="E2510" s="4">
        <v>6.203000484E9</v>
      </c>
      <c r="F2510" s="8" t="s">
        <v>604</v>
      </c>
      <c r="G2510" s="4" t="s">
        <v>1777</v>
      </c>
      <c r="H2510" s="10" t="s">
        <v>3380</v>
      </c>
      <c r="I2510" s="10">
        <v>1000.0</v>
      </c>
      <c r="J2510" s="11" t="str">
        <f>IF(D2510&lt;&gt;"",VLOOKUP(H2510,TABLEITEM,5,FALSE),"")</f>
        <v>EA</v>
      </c>
      <c r="K2510" s="12">
        <v>1.521</v>
      </c>
      <c r="L2510" s="13" t="str">
        <f>IF(D2510&lt;&gt;"",VLOOKUP(H2510,TABLEITEM,2,FALSE),"")</f>
        <v/>
      </c>
      <c r="M2510" s="13" t="str">
        <f>IF(D2510&lt;&gt;"",VLOOKUP(H2510,TABLEITEM,3,FALSE),"")</f>
        <v>สกรูหัวเหลี่ยมชุบขาว M10x25</v>
      </c>
      <c r="N2510" s="14">
        <f>INSTOCK!$I2510*INSTOCK!$K2510</f>
        <v>1521</v>
      </c>
      <c r="O2510" s="4" t="s">
        <v>3381</v>
      </c>
      <c r="P2510" s="4"/>
    </row>
    <row r="2511" ht="15.75" hidden="1" customHeight="1">
      <c r="B2511" s="8">
        <v>2830.0</v>
      </c>
      <c r="C2511" s="9">
        <v>43556.0</v>
      </c>
      <c r="D2511" s="38" t="s">
        <v>3379</v>
      </c>
      <c r="E2511" s="4">
        <v>6.203000484E9</v>
      </c>
      <c r="F2511" s="8" t="s">
        <v>604</v>
      </c>
      <c r="G2511" s="4" t="s">
        <v>1777</v>
      </c>
      <c r="H2511" s="10" t="s">
        <v>3382</v>
      </c>
      <c r="I2511" s="10">
        <v>1000.0</v>
      </c>
      <c r="J2511" s="11" t="str">
        <f>IF(D2511&lt;&gt;"",VLOOKUP(H2511,TABLEITEM,5,FALSE),"")</f>
        <v>EA</v>
      </c>
      <c r="K2511" s="12">
        <v>0.125</v>
      </c>
      <c r="L2511" s="13" t="str">
        <f>IF(D2511&lt;&gt;"",VLOOKUP(H2511,TABLEITEM,2,FALSE),"")</f>
        <v/>
      </c>
      <c r="M2511" s="13" t="str">
        <f>IF(D2511&lt;&gt;"",VLOOKUP(H2511,TABLEITEM,3,FALSE),"")</f>
        <v>แหวนสปริง M10   ชุบรุ้ง</v>
      </c>
      <c r="N2511" s="14">
        <f>INSTOCK!$I2511*INSTOCK!$K2511</f>
        <v>125</v>
      </c>
      <c r="O2511" s="4" t="s">
        <v>3383</v>
      </c>
      <c r="P2511" s="4"/>
    </row>
    <row r="2512" ht="15.75" hidden="1" customHeight="1">
      <c r="B2512" s="8">
        <v>2831.0</v>
      </c>
      <c r="C2512" s="9">
        <v>43556.0</v>
      </c>
      <c r="D2512" s="38" t="s">
        <v>3379</v>
      </c>
      <c r="E2512" s="4">
        <v>6.203000484E9</v>
      </c>
      <c r="F2512" s="8" t="s">
        <v>604</v>
      </c>
      <c r="G2512" s="4" t="s">
        <v>1777</v>
      </c>
      <c r="H2512" s="10" t="s">
        <v>2076</v>
      </c>
      <c r="I2512" s="10">
        <v>1000.0</v>
      </c>
      <c r="J2512" s="11" t="str">
        <f>IF(D2512&lt;&gt;"",VLOOKUP(H2512,TABLEITEM,5,FALSE),"")</f>
        <v>EA</v>
      </c>
      <c r="K2512" s="12">
        <v>0.494</v>
      </c>
      <c r="L2512" s="13" t="str">
        <f>IF(D2512&lt;&gt;"",VLOOKUP(H2512,TABLEITEM,2,FALSE),"")</f>
        <v/>
      </c>
      <c r="M2512" s="13" t="str">
        <f>IF(D2512&lt;&gt;"",VLOOKUP(H2512,TABLEITEM,3,FALSE),"")</f>
        <v>สกรูหัวเหลี่ยมชุบขาว M 6x25</v>
      </c>
      <c r="N2512" s="14">
        <f>INSTOCK!$I2512*INSTOCK!$K2512</f>
        <v>494</v>
      </c>
      <c r="O2512" s="4" t="s">
        <v>2077</v>
      </c>
      <c r="P2512" s="4"/>
    </row>
    <row r="2513" ht="15.75" hidden="1" customHeight="1">
      <c r="B2513" s="8">
        <v>2832.0</v>
      </c>
      <c r="C2513" s="9">
        <v>43556.0</v>
      </c>
      <c r="D2513" s="38" t="s">
        <v>3379</v>
      </c>
      <c r="E2513" s="4">
        <v>6.203000484E9</v>
      </c>
      <c r="F2513" s="8" t="s">
        <v>604</v>
      </c>
      <c r="G2513" s="4" t="s">
        <v>1777</v>
      </c>
      <c r="H2513" s="10" t="s">
        <v>3384</v>
      </c>
      <c r="I2513" s="10">
        <v>1200.0</v>
      </c>
      <c r="J2513" s="11" t="str">
        <f>IF(D2513&lt;&gt;"",VLOOKUP(H2513,TABLEITEM,5,FALSE),"")</f>
        <v>EA</v>
      </c>
      <c r="K2513" s="12">
        <v>0.6</v>
      </c>
      <c r="L2513" s="13" t="str">
        <f>IF(D2513&lt;&gt;"",VLOOKUP(H2513,TABLEITEM,2,FALSE),"")</f>
        <v/>
      </c>
      <c r="M2513" s="13" t="str">
        <f>IF(D2513&lt;&gt;"",VLOOKUP(H2513,TABLEITEM,3,FALSE),"")</f>
        <v>แหวนสปริง M 6 ชุบรุ้ง</v>
      </c>
      <c r="N2513" s="14">
        <f>INSTOCK!$I2513*INSTOCK!$K2513</f>
        <v>720</v>
      </c>
      <c r="O2513" s="4" t="s">
        <v>3183</v>
      </c>
      <c r="P2513" s="4"/>
    </row>
    <row r="2514" ht="15.75" hidden="1" customHeight="1">
      <c r="B2514" s="8">
        <v>2833.0</v>
      </c>
      <c r="C2514" s="9">
        <v>43556.0</v>
      </c>
      <c r="D2514" s="38" t="s">
        <v>3379</v>
      </c>
      <c r="E2514" s="4">
        <v>6.203000484E9</v>
      </c>
      <c r="F2514" s="8" t="s">
        <v>604</v>
      </c>
      <c r="G2514" s="4" t="s">
        <v>1777</v>
      </c>
      <c r="H2514" s="10" t="s">
        <v>3385</v>
      </c>
      <c r="I2514" s="10">
        <v>2000.0</v>
      </c>
      <c r="J2514" s="11" t="str">
        <f>IF(D2514&lt;&gt;"",VLOOKUP(H2514,TABLEITEM,5,FALSE),"")</f>
        <v>EA</v>
      </c>
      <c r="K2514" s="12">
        <v>0.728</v>
      </c>
      <c r="L2514" s="13" t="str">
        <f>IF(D2514&lt;&gt;"",VLOOKUP(H2514,TABLEITEM,2,FALSE),"")</f>
        <v/>
      </c>
      <c r="M2514" s="13" t="str">
        <f>IF(D2514&lt;&gt;"",VLOOKUP(H2514,TABLEITEM,3,FALSE),"")</f>
        <v>สกรูหัวเหลี่ยม M8x15</v>
      </c>
      <c r="N2514" s="14">
        <f>INSTOCK!$I2514*INSTOCK!$K2514</f>
        <v>1456</v>
      </c>
      <c r="O2514" s="4" t="s">
        <v>3386</v>
      </c>
      <c r="P2514" s="4"/>
    </row>
    <row r="2515" ht="15.75" hidden="1" customHeight="1">
      <c r="B2515" s="8">
        <v>2834.0</v>
      </c>
      <c r="C2515" s="9">
        <v>43556.0</v>
      </c>
      <c r="D2515" s="38" t="s">
        <v>3379</v>
      </c>
      <c r="E2515" s="4">
        <v>6.203000484E9</v>
      </c>
      <c r="F2515" s="8" t="s">
        <v>604</v>
      </c>
      <c r="G2515" s="4" t="s">
        <v>1777</v>
      </c>
      <c r="H2515" s="10" t="s">
        <v>2400</v>
      </c>
      <c r="I2515" s="10">
        <v>5000.0</v>
      </c>
      <c r="J2515" s="11" t="str">
        <f>IF(D2515&lt;&gt;"",VLOOKUP(H2515,TABLEITEM,5,FALSE),"")</f>
        <v>EA</v>
      </c>
      <c r="K2515" s="12">
        <v>0.216</v>
      </c>
      <c r="L2515" s="13" t="str">
        <f>IF(D2515&lt;&gt;"",VLOOKUP(H2515,TABLEITEM,2,FALSE),"")</f>
        <v/>
      </c>
      <c r="M2515" s="13" t="str">
        <f>IF(D2515&lt;&gt;"",VLOOKUP(H2515,TABLEITEM,3,FALSE),"")</f>
        <v>สกรูหัวหมวก  M6x10</v>
      </c>
      <c r="N2515" s="14">
        <f>INSTOCK!$I2515*INSTOCK!$K2515</f>
        <v>1080</v>
      </c>
      <c r="O2515" s="4" t="s">
        <v>2401</v>
      </c>
      <c r="P2515" s="4"/>
    </row>
    <row r="2516" ht="15.75" hidden="1" customHeight="1">
      <c r="B2516" s="8">
        <v>2835.0</v>
      </c>
      <c r="C2516" s="9">
        <v>43556.0</v>
      </c>
      <c r="D2516" s="38" t="s">
        <v>3379</v>
      </c>
      <c r="E2516" s="4">
        <v>6.203000484E9</v>
      </c>
      <c r="F2516" s="8" t="s">
        <v>604</v>
      </c>
      <c r="G2516" s="4" t="s">
        <v>1777</v>
      </c>
      <c r="H2516" s="10" t="s">
        <v>2090</v>
      </c>
      <c r="I2516" s="10">
        <v>500.0</v>
      </c>
      <c r="J2516" s="11" t="str">
        <f>IF(D2516&lt;&gt;"",VLOOKUP(H2516,TABLEITEM,5,FALSE),"")</f>
        <v>EA</v>
      </c>
      <c r="K2516" s="12">
        <v>1.6835</v>
      </c>
      <c r="L2516" s="13" t="str">
        <f>IF(D2516&lt;&gt;"",VLOOKUP(H2516,TABLEITEM,2,FALSE),"")</f>
        <v/>
      </c>
      <c r="M2516" s="13" t="str">
        <f>IF(D2516&lt;&gt;"",VLOOKUP(H2516,TABLEITEM,3,FALSE),"")</f>
        <v>สกรูหัวเหลี่ยมชุบขาว M10x30</v>
      </c>
      <c r="N2516" s="14">
        <f>INSTOCK!$I2516*INSTOCK!$K2516</f>
        <v>841.75</v>
      </c>
      <c r="O2516" s="4" t="s">
        <v>2091</v>
      </c>
      <c r="P2516" s="4"/>
    </row>
    <row r="2517" ht="15.75" hidden="1" customHeight="1">
      <c r="B2517" s="8">
        <v>2836.0</v>
      </c>
      <c r="C2517" s="9">
        <v>43556.0</v>
      </c>
      <c r="D2517" s="38" t="s">
        <v>3379</v>
      </c>
      <c r="E2517" s="4">
        <v>6.203000484E9</v>
      </c>
      <c r="F2517" s="8" t="s">
        <v>604</v>
      </c>
      <c r="G2517" s="4" t="s">
        <v>1777</v>
      </c>
      <c r="H2517" s="10" t="s">
        <v>2106</v>
      </c>
      <c r="I2517" s="10">
        <v>200.0</v>
      </c>
      <c r="J2517" s="11" t="str">
        <f>IF(D2517&lt;&gt;"",VLOOKUP(H2517,TABLEITEM,5,FALSE),"")</f>
        <v>EA</v>
      </c>
      <c r="K2517" s="12">
        <v>2.86</v>
      </c>
      <c r="L2517" s="13" t="str">
        <f>IF(D2517&lt;&gt;"",VLOOKUP(H2517,TABLEITEM,2,FALSE),"")</f>
        <v/>
      </c>
      <c r="M2517" s="13" t="str">
        <f>IF(D2517&lt;&gt;"",VLOOKUP(H2517,TABLEITEM,3,FALSE),"")</f>
        <v>สกรูหัวเหลี่ยมชุบขาว M12x40</v>
      </c>
      <c r="N2517" s="14">
        <f>INSTOCK!$I2517*INSTOCK!$K2517</f>
        <v>572</v>
      </c>
      <c r="O2517" s="4" t="s">
        <v>2107</v>
      </c>
      <c r="P2517" s="4"/>
    </row>
    <row r="2518" ht="15.75" hidden="1" customHeight="1">
      <c r="B2518" s="8">
        <v>2837.0</v>
      </c>
      <c r="C2518" s="9">
        <v>43556.0</v>
      </c>
      <c r="D2518" s="6" t="s">
        <v>3387</v>
      </c>
      <c r="E2518" s="4"/>
      <c r="F2518" s="8" t="s">
        <v>3388</v>
      </c>
      <c r="G2518" s="4" t="s">
        <v>2635</v>
      </c>
      <c r="H2518" s="10" t="s">
        <v>3389</v>
      </c>
      <c r="I2518" s="10">
        <v>1197.0</v>
      </c>
      <c r="J2518" s="11" t="str">
        <f>IF(D2518&lt;&gt;"",VLOOKUP(H2518,TABLEITEM,5,FALSE),"")</f>
        <v>LOT</v>
      </c>
      <c r="K2518" s="12">
        <v>20.0</v>
      </c>
      <c r="L2518" s="13" t="str">
        <f>IF(D2518&lt;&gt;"",VLOOKUP(H2518,TABLEITEM,2,FALSE),"")</f>
        <v/>
      </c>
      <c r="M2518" s="13" t="str">
        <f>IF(D2518&lt;&gt;"",VLOOKUP(H2518,TABLEITEM,3,FALSE),"")</f>
        <v>ค่าคอม ตู้น้ำมัน</v>
      </c>
      <c r="N2518" s="14">
        <f>INSTOCK!$I2518*INSTOCK!$K2518</f>
        <v>23940</v>
      </c>
      <c r="O2518" s="4"/>
      <c r="P2518" s="4"/>
    </row>
    <row r="2519" ht="15.75" hidden="1" customHeight="1">
      <c r="B2519" s="8">
        <v>2838.0</v>
      </c>
      <c r="C2519" s="9">
        <v>43556.0</v>
      </c>
      <c r="D2519" s="6" t="s">
        <v>3390</v>
      </c>
      <c r="E2519" s="4">
        <v>6.203000482E9</v>
      </c>
      <c r="F2519" s="8" t="s">
        <v>604</v>
      </c>
      <c r="G2519" s="4" t="s">
        <v>1904</v>
      </c>
      <c r="H2519" s="10" t="s">
        <v>217</v>
      </c>
      <c r="I2519" s="10">
        <v>2.0</v>
      </c>
      <c r="J2519" s="11" t="str">
        <f>IF(D2519&lt;&gt;"",VLOOKUP(H2519,TABLEITEM,5,FALSE),"")</f>
        <v>M</v>
      </c>
      <c r="K2519" s="12">
        <v>1386.0</v>
      </c>
      <c r="L2519" s="13" t="str">
        <f>IF(D2519&lt;&gt;"",VLOOKUP(H2519,TABLEITEM,2,FALSE),"")</f>
        <v/>
      </c>
      <c r="M2519" s="13" t="str">
        <f>IF(D2519&lt;&gt;"",VLOOKUP(H2519,TABLEITEM,3,FALSE),"")</f>
        <v>TUEB 4.2</v>
      </c>
      <c r="N2519" s="14">
        <f>INSTOCK!$I2519*INSTOCK!$K2519</f>
        <v>2772</v>
      </c>
      <c r="O2519" s="4" t="s">
        <v>218</v>
      </c>
      <c r="P2519" s="4"/>
    </row>
    <row r="2520" ht="15.75" hidden="1" customHeight="1">
      <c r="B2520" s="8">
        <v>2839.0</v>
      </c>
      <c r="C2520" s="9">
        <v>43560.0</v>
      </c>
      <c r="D2520" s="6" t="s">
        <v>3391</v>
      </c>
      <c r="E2520" s="4"/>
      <c r="F2520" s="8" t="s">
        <v>2884</v>
      </c>
      <c r="G2520" s="4" t="s">
        <v>898</v>
      </c>
      <c r="H2520" s="10" t="s">
        <v>2268</v>
      </c>
      <c r="I2520" s="10">
        <v>5.0</v>
      </c>
      <c r="J2520" s="11" t="str">
        <f>IF(D2520&lt;&gt;"",VLOOKUP(H2520,TABLEITEM,5,FALSE),"")</f>
        <v>LIT</v>
      </c>
      <c r="K2520" s="12">
        <v>380.0</v>
      </c>
      <c r="L2520" s="13" t="str">
        <f>IF(D2520&lt;&gt;"",VLOOKUP(H2520,TABLEITEM,2,FALSE),"")</f>
        <v/>
      </c>
      <c r="M2520" s="13" t="str">
        <f>IF(D2520&lt;&gt;"",VLOOKUP(H2520,TABLEITEM,3,FALSE),"")</f>
        <v>สีพ่นแห้งเร็ว(สีผสม)</v>
      </c>
      <c r="N2520" s="14">
        <f>INSTOCK!$I2520*INSTOCK!$K2520</f>
        <v>1900</v>
      </c>
      <c r="O2520" s="4" t="s">
        <v>2647</v>
      </c>
      <c r="P2520" s="4"/>
    </row>
    <row r="2521" ht="15.75" hidden="1" customHeight="1">
      <c r="B2521" s="8">
        <v>2840.0</v>
      </c>
      <c r="C2521" s="9">
        <v>43560.0</v>
      </c>
      <c r="D2521" s="6" t="s">
        <v>3391</v>
      </c>
      <c r="E2521" s="4"/>
      <c r="F2521" s="8" t="s">
        <v>2884</v>
      </c>
      <c r="G2521" s="4" t="s">
        <v>898</v>
      </c>
      <c r="H2521" s="10" t="s">
        <v>2268</v>
      </c>
      <c r="I2521" s="10">
        <v>5.0</v>
      </c>
      <c r="J2521" s="11" t="str">
        <f>IF(D2521&lt;&gt;"",VLOOKUP(H2521,TABLEITEM,5,FALSE),"")</f>
        <v>LIT</v>
      </c>
      <c r="K2521" s="12">
        <v>400.0</v>
      </c>
      <c r="L2521" s="13" t="str">
        <f>IF(D2521&lt;&gt;"",VLOOKUP(H2521,TABLEITEM,2,FALSE),"")</f>
        <v/>
      </c>
      <c r="M2521" s="13" t="str">
        <f>IF(D2521&lt;&gt;"",VLOOKUP(H2521,TABLEITEM,3,FALSE),"")</f>
        <v>สีพ่นแห้งเร็ว(สีผสม)</v>
      </c>
      <c r="N2521" s="14">
        <f>INSTOCK!$I2521*INSTOCK!$K2521</f>
        <v>2000</v>
      </c>
      <c r="O2521" s="4" t="s">
        <v>2784</v>
      </c>
      <c r="P2521" s="4"/>
    </row>
    <row r="2522" ht="15.75" hidden="1" customHeight="1">
      <c r="B2522" s="8">
        <v>2841.0</v>
      </c>
      <c r="C2522" s="9">
        <v>43558.0</v>
      </c>
      <c r="D2522" s="6">
        <v>6.20401419E8</v>
      </c>
      <c r="E2522" s="4">
        <v>6.20400052E9</v>
      </c>
      <c r="F2522" s="8" t="s">
        <v>3392</v>
      </c>
      <c r="G2522" s="4" t="s">
        <v>1130</v>
      </c>
      <c r="H2522" s="10" t="s">
        <v>3393</v>
      </c>
      <c r="I2522" s="10">
        <v>4.0</v>
      </c>
      <c r="J2522" s="11" t="str">
        <f>IF(D2522&lt;&gt;"",VLOOKUP(H2522,TABLEITEM,5,FALSE),"")</f>
        <v>EA</v>
      </c>
      <c r="K2522" s="12">
        <v>940.5</v>
      </c>
      <c r="L2522" s="13" t="str">
        <f>IF(D2522&lt;&gt;"",VLOOKUP(H2522,TABLEITEM,2,FALSE),"")</f>
        <v/>
      </c>
      <c r="M2522" s="13" t="str">
        <f>IF(D2522&lt;&gt;"",VLOOKUP(H2522,TABLEITEM,3,FALSE),"")</f>
        <v>CT3000/5 MSQ 130</v>
      </c>
      <c r="N2522" s="14">
        <f>INSTOCK!$I2522*INSTOCK!$K2522</f>
        <v>3762</v>
      </c>
      <c r="O2522" s="4" t="s">
        <v>3394</v>
      </c>
      <c r="P2522" s="4"/>
    </row>
    <row r="2523" ht="15.75" hidden="1" customHeight="1">
      <c r="B2523" s="8">
        <v>2842.0</v>
      </c>
      <c r="C2523" s="9">
        <v>43559.0</v>
      </c>
      <c r="D2523" s="6" t="s">
        <v>3395</v>
      </c>
      <c r="E2523" s="4"/>
      <c r="F2523" s="8" t="s">
        <v>801</v>
      </c>
      <c r="G2523" s="4" t="s">
        <v>1417</v>
      </c>
      <c r="H2523" s="10" t="s">
        <v>803</v>
      </c>
      <c r="I2523" s="10">
        <v>20.0</v>
      </c>
      <c r="J2523" s="11" t="str">
        <f>IF(D2523&lt;&gt;"",VLOOKUP(H2523,TABLEITEM,5,FALSE),"")</f>
        <v>ถัง</v>
      </c>
      <c r="K2523" s="12">
        <v>981.31</v>
      </c>
      <c r="L2523" s="13" t="str">
        <f>IF(D2523&lt;&gt;"",VLOOKUP(H2523,TABLEITEM,2,FALSE),"")</f>
        <v/>
      </c>
      <c r="M2523" s="13" t="str">
        <f>IF(D2523&lt;&gt;"",VLOOKUP(H2523,TABLEITEM,3,FALSE),"")</f>
        <v>แก๊สหุงต้ม 48กก</v>
      </c>
      <c r="N2523" s="14">
        <f>INSTOCK!$I2523*INSTOCK!$K2523</f>
        <v>19626.2</v>
      </c>
      <c r="O2523" s="4"/>
      <c r="P2523" s="4"/>
    </row>
    <row r="2524" ht="15.75" hidden="1" customHeight="1">
      <c r="B2524" s="8">
        <v>2843.0</v>
      </c>
      <c r="C2524" s="9">
        <v>43559.0</v>
      </c>
      <c r="D2524" s="6" t="s">
        <v>3396</v>
      </c>
      <c r="E2524" s="4">
        <v>6.203000496E9</v>
      </c>
      <c r="F2524" s="8" t="s">
        <v>2884</v>
      </c>
      <c r="G2524" s="4" t="s">
        <v>2350</v>
      </c>
      <c r="H2524" s="10" t="s">
        <v>2538</v>
      </c>
      <c r="I2524" s="10">
        <v>20.0</v>
      </c>
      <c r="J2524" s="11" t="str">
        <f>IF(D2524&lt;&gt;"",VLOOKUP(H2524,TABLEITEM,5,FALSE),"")</f>
        <v>KG.</v>
      </c>
      <c r="K2524" s="12">
        <v>122.0</v>
      </c>
      <c r="L2524" s="13" t="str">
        <f>IF(D2524&lt;&gt;"",VLOOKUP(H2524,TABLEITEM,2,FALSE),"")</f>
        <v/>
      </c>
      <c r="M2524" s="13" t="str">
        <f>IF(D2524&lt;&gt;"",VLOOKUP(H2524,TABLEITEM,3,FALSE),"")</f>
        <v>สีฝุ่น P0001A  สีขาว </v>
      </c>
      <c r="N2524" s="14">
        <f>INSTOCK!$I2524*INSTOCK!$K2524</f>
        <v>2440</v>
      </c>
      <c r="O2524" s="4"/>
      <c r="P2524" s="4"/>
    </row>
    <row r="2525" ht="15.75" hidden="1" customHeight="1">
      <c r="B2525" s="8">
        <v>2844.0</v>
      </c>
      <c r="C2525" s="9">
        <v>43559.0</v>
      </c>
      <c r="D2525" s="6" t="s">
        <v>3397</v>
      </c>
      <c r="E2525" s="4">
        <v>6.204000514E9</v>
      </c>
      <c r="F2525" s="8" t="s">
        <v>604</v>
      </c>
      <c r="G2525" s="4" t="s">
        <v>743</v>
      </c>
      <c r="H2525" s="10" t="s">
        <v>73</v>
      </c>
      <c r="I2525" s="10">
        <v>1000.0</v>
      </c>
      <c r="J2525" s="11" t="str">
        <f>IF(D2525&lt;&gt;"",VLOOKUP(H2525,TABLEITEM,5,FALSE),"")</f>
        <v>KG.</v>
      </c>
      <c r="K2525" s="12">
        <v>99.85</v>
      </c>
      <c r="L2525" s="13" t="str">
        <f>IF(D2525&lt;&gt;"",VLOOKUP(H2525,TABLEITEM,2,FALSE),"")</f>
        <v/>
      </c>
      <c r="M2525" s="13" t="str">
        <f>IF(D2525&lt;&gt;"",VLOOKUP(H2525,TABLEITEM,3,FALSE),"")</f>
        <v>สีฝุ่น สีครีมย่น 1002782PX20</v>
      </c>
      <c r="N2525" s="14">
        <f>INSTOCK!$I2525*INSTOCK!$K2525</f>
        <v>99850</v>
      </c>
      <c r="O2525" s="4"/>
      <c r="P2525" s="4"/>
    </row>
    <row r="2526" ht="15.75" hidden="1" customHeight="1">
      <c r="B2526" s="8">
        <v>2845.0</v>
      </c>
      <c r="C2526" s="9">
        <v>43559.0</v>
      </c>
      <c r="D2526" s="6" t="s">
        <v>3398</v>
      </c>
      <c r="E2526" s="4">
        <v>6.204000531E9</v>
      </c>
      <c r="F2526" s="8" t="s">
        <v>3399</v>
      </c>
      <c r="G2526" s="4" t="s">
        <v>1512</v>
      </c>
      <c r="H2526" s="10" t="s">
        <v>3400</v>
      </c>
      <c r="I2526" s="10">
        <v>1.0</v>
      </c>
      <c r="J2526" s="11" t="str">
        <f>IF(D2526&lt;&gt;"",VLOOKUP(H2526,TABLEITEM,5,FALSE),"")</f>
        <v>EA</v>
      </c>
      <c r="K2526" s="12">
        <v>3136.5</v>
      </c>
      <c r="L2526" s="13" t="str">
        <f>IF(D2526&lt;&gt;"",VLOOKUP(H2526,TABLEITEM,2,FALSE),"")</f>
        <v/>
      </c>
      <c r="M2526" s="13" t="str">
        <f>IF(D2526&lt;&gt;"",VLOOKUP(H2526,TABLEITEM,3,FALSE),"")</f>
        <v>PHASE MONTOR CM-MPS.31S 3X160-300V</v>
      </c>
      <c r="N2526" s="14">
        <f>INSTOCK!$I2526*INSTOCK!$K2526</f>
        <v>3136.5</v>
      </c>
      <c r="O2526" s="4" t="s">
        <v>3401</v>
      </c>
      <c r="P2526" s="4"/>
    </row>
    <row r="2527" ht="15.75" hidden="1" customHeight="1">
      <c r="B2527" s="8">
        <v>2846.0</v>
      </c>
      <c r="C2527" s="9">
        <v>43559.0</v>
      </c>
      <c r="D2527" s="6" t="s">
        <v>3402</v>
      </c>
      <c r="E2527" s="4">
        <v>6.204000516E9</v>
      </c>
      <c r="F2527" s="8" t="s">
        <v>604</v>
      </c>
      <c r="G2527" s="4" t="s">
        <v>965</v>
      </c>
      <c r="H2527" s="10" t="s">
        <v>42</v>
      </c>
      <c r="I2527" s="10">
        <v>2.0</v>
      </c>
      <c r="J2527" s="11" t="str">
        <f>IF(D2527&lt;&gt;"",VLOOKUP(H2527,TABLEITEM,5,FALSE),"")</f>
        <v>กล.</v>
      </c>
      <c r="K2527" s="12">
        <v>250.0</v>
      </c>
      <c r="L2527" s="13" t="str">
        <f>IF(D2527&lt;&gt;"",VLOOKUP(H2527,TABLEITEM,2,FALSE),"")</f>
        <v/>
      </c>
      <c r="M2527" s="13" t="str">
        <f>IF(D2527&lt;&gt;"",VLOOKUP(H2527,TABLEITEM,3,FALSE),"")</f>
        <v>แอลกอฮอลดีพิเศษ</v>
      </c>
      <c r="N2527" s="14">
        <f>INSTOCK!$I2527*INSTOCK!$K2527</f>
        <v>500</v>
      </c>
      <c r="O2527" s="4"/>
      <c r="P2527" s="4"/>
    </row>
    <row r="2528" ht="15.75" hidden="1" customHeight="1">
      <c r="B2528" s="8">
        <v>2847.0</v>
      </c>
      <c r="C2528" s="9">
        <v>43559.0</v>
      </c>
      <c r="D2528" s="6" t="s">
        <v>3402</v>
      </c>
      <c r="E2528" s="4">
        <v>6.204000516E9</v>
      </c>
      <c r="F2528" s="8" t="s">
        <v>604</v>
      </c>
      <c r="G2528" s="4" t="s">
        <v>965</v>
      </c>
      <c r="H2528" s="10" t="s">
        <v>3403</v>
      </c>
      <c r="I2528" s="10">
        <v>500.0</v>
      </c>
      <c r="J2528" s="11" t="str">
        <f>IF(D2528&lt;&gt;"",VLOOKUP(H2528,TABLEITEM,5,FALSE),"")</f>
        <v>EA</v>
      </c>
      <c r="K2528" s="12">
        <v>0.2</v>
      </c>
      <c r="L2528" s="13" t="str">
        <f>IF(D2528&lt;&gt;"",VLOOKUP(H2528,TABLEITEM,2,FALSE),"")</f>
        <v/>
      </c>
      <c r="M2528" s="13" t="str">
        <f>IF(D2528&lt;&gt;"",VLOOKUP(H2528,TABLEITEM,3,FALSE),"")</f>
        <v>สกรูเกลียวปล่อย M7x1" P</v>
      </c>
      <c r="N2528" s="14">
        <f>INSTOCK!$I2528*INSTOCK!$K2528</f>
        <v>100</v>
      </c>
      <c r="O2528" s="4"/>
      <c r="P2528" s="4"/>
    </row>
    <row r="2529" ht="15.75" hidden="1" customHeight="1">
      <c r="B2529" s="8">
        <v>2848.0</v>
      </c>
      <c r="C2529" s="9">
        <v>43559.0</v>
      </c>
      <c r="D2529" s="6" t="s">
        <v>3404</v>
      </c>
      <c r="E2529" s="4">
        <v>6.204000532E9</v>
      </c>
      <c r="F2529" s="8" t="s">
        <v>3399</v>
      </c>
      <c r="G2529" s="4" t="s">
        <v>1596</v>
      </c>
      <c r="H2529" s="10" t="s">
        <v>3405</v>
      </c>
      <c r="I2529" s="10">
        <v>1.0</v>
      </c>
      <c r="J2529" s="11" t="str">
        <f>IF(D2529&lt;&gt;"",VLOOKUP(H2529,TABLEITEM,5,FALSE),"")</f>
        <v>EA</v>
      </c>
      <c r="K2529" s="12">
        <v>1520.0</v>
      </c>
      <c r="L2529" s="13" t="str">
        <f>IF(D2529&lt;&gt;"",VLOOKUP(H2529,TABLEITEM,2,FALSE),"")</f>
        <v/>
      </c>
      <c r="M2529" s="13" t="str">
        <f>IF(D2529&lt;&gt;"",VLOOKUP(H2529,TABLEITEM,3,FALSE),"")</f>
        <v>เบรกเกอร์ A1B125 TMF 125A 3P </v>
      </c>
      <c r="N2529" s="14">
        <f>INSTOCK!$I2529*INSTOCK!$K2529</f>
        <v>1520</v>
      </c>
      <c r="O2529" s="4" t="s">
        <v>3406</v>
      </c>
      <c r="P2529" s="4"/>
    </row>
    <row r="2530" ht="15.75" hidden="1" customHeight="1">
      <c r="B2530" s="8">
        <v>2849.0</v>
      </c>
      <c r="C2530" s="9">
        <v>43559.0</v>
      </c>
      <c r="D2530" s="6" t="s">
        <v>3404</v>
      </c>
      <c r="E2530" s="4">
        <v>6.204000532E9</v>
      </c>
      <c r="F2530" s="8" t="s">
        <v>3407</v>
      </c>
      <c r="G2530" s="4" t="s">
        <v>1596</v>
      </c>
      <c r="H2530" s="10" t="s">
        <v>3408</v>
      </c>
      <c r="I2530" s="10">
        <v>3.0</v>
      </c>
      <c r="J2530" s="11" t="str">
        <f>IF(D2530&lt;&gt;"",VLOOKUP(H2530,TABLEITEM,5,FALSE),"")</f>
        <v>EA</v>
      </c>
      <c r="K2530" s="12">
        <v>1160.0</v>
      </c>
      <c r="L2530" s="13" t="str">
        <f>IF(D2530&lt;&gt;"",VLOOKUP(H2530,TABLEITEM,2,FALSE),"")</f>
        <v/>
      </c>
      <c r="M2530" s="13" t="str">
        <f>IF(D2530&lt;&gt;"",VLOOKUP(H2530,TABLEITEM,3,FALSE),"")</f>
        <v>เบรกเกอร์ A1B125 TMF 40A 3P </v>
      </c>
      <c r="N2530" s="14">
        <f>INSTOCK!$I2530*INSTOCK!$K2530</f>
        <v>3480</v>
      </c>
      <c r="O2530" s="4" t="s">
        <v>1510</v>
      </c>
      <c r="P2530" s="4"/>
    </row>
    <row r="2531" ht="15.75" hidden="1" customHeight="1">
      <c r="B2531" s="8">
        <v>2850.0</v>
      </c>
      <c r="C2531" s="9">
        <v>43559.0</v>
      </c>
      <c r="D2531" s="6" t="s">
        <v>3404</v>
      </c>
      <c r="E2531" s="4">
        <v>6.204000532E9</v>
      </c>
      <c r="F2531" s="8" t="s">
        <v>3409</v>
      </c>
      <c r="G2531" s="4" t="s">
        <v>1596</v>
      </c>
      <c r="H2531" s="10" t="s">
        <v>3410</v>
      </c>
      <c r="I2531" s="10">
        <v>1.0</v>
      </c>
      <c r="J2531" s="11" t="str">
        <f>IF(D2531&lt;&gt;"",VLOOKUP(H2531,TABLEITEM,5,FALSE),"")</f>
        <v>EA</v>
      </c>
      <c r="K2531" s="12">
        <v>1360.0</v>
      </c>
      <c r="L2531" s="13" t="str">
        <f>IF(D2531&lt;&gt;"",VLOOKUP(H2531,TABLEITEM,2,FALSE),"")</f>
        <v/>
      </c>
      <c r="M2531" s="13" t="str">
        <f>IF(D2531&lt;&gt;"",VLOOKUP(H2531,TABLEITEM,3,FALSE),"")</f>
        <v>UVR-C A1-A2 220-240VAC 220-250VDC</v>
      </c>
      <c r="N2531" s="14">
        <f>INSTOCK!$I2531*INSTOCK!$K2531</f>
        <v>1360</v>
      </c>
      <c r="O2531" s="4" t="s">
        <v>3411</v>
      </c>
      <c r="P2531" s="4"/>
    </row>
    <row r="2532" ht="15.75" hidden="1" customHeight="1">
      <c r="B2532" s="8">
        <v>2851.0</v>
      </c>
      <c r="C2532" s="9">
        <v>43558.0</v>
      </c>
      <c r="D2532" s="6" t="s">
        <v>3412</v>
      </c>
      <c r="E2532" s="4">
        <v>6.204000504E9</v>
      </c>
      <c r="F2532" s="8" t="s">
        <v>604</v>
      </c>
      <c r="G2532" s="4" t="s">
        <v>975</v>
      </c>
      <c r="H2532" s="10" t="s">
        <v>3322</v>
      </c>
      <c r="I2532" s="10">
        <v>50.0</v>
      </c>
      <c r="J2532" s="11" t="str">
        <f>IF(D2532&lt;&gt;"",VLOOKUP(H2532,TABLEITEM,5,FALSE),"")</f>
        <v>ROLL</v>
      </c>
      <c r="K2532" s="12">
        <v>448.0</v>
      </c>
      <c r="L2532" s="13" t="str">
        <f>IF(D2532&lt;&gt;"",VLOOKUP(H2532,TABLEITEM,2,FALSE),"")</f>
        <v/>
      </c>
      <c r="M2532" s="13" t="str">
        <f>IF(D2532&lt;&gt;"",VLOOKUP(H2532,TABLEITEM,3,FALSE),"")</f>
        <v>พลาสติกกันกระแทก ขนาด 130ซมx100เมตร (แอร์บับเบิ้ล)</v>
      </c>
      <c r="N2532" s="14">
        <f>INSTOCK!$I2532*INSTOCK!$K2532</f>
        <v>22400</v>
      </c>
      <c r="O2532" s="4"/>
      <c r="P2532" s="4"/>
    </row>
    <row r="2533" ht="15.75" hidden="1" customHeight="1">
      <c r="B2533" s="8">
        <v>2852.0</v>
      </c>
      <c r="C2533" s="9">
        <v>43558.0</v>
      </c>
      <c r="D2533" s="6" t="s">
        <v>3412</v>
      </c>
      <c r="E2533" s="4">
        <v>6.204000504E9</v>
      </c>
      <c r="F2533" s="8" t="s">
        <v>604</v>
      </c>
      <c r="G2533" s="4" t="s">
        <v>975</v>
      </c>
      <c r="H2533" s="10" t="s">
        <v>55</v>
      </c>
      <c r="I2533" s="10">
        <v>72.0</v>
      </c>
      <c r="J2533" s="11" t="str">
        <f>IF(D2533&lt;&gt;"",VLOOKUP(H2533,TABLEITEM,5,FALSE),"")</f>
        <v>EA</v>
      </c>
      <c r="K2533" s="12">
        <v>9.75</v>
      </c>
      <c r="L2533" s="13" t="str">
        <f>IF(D2533&lt;&gt;"",VLOOKUP(H2533,TABLEITEM,2,FALSE),"")</f>
        <v/>
      </c>
      <c r="M2533" s="13" t="str">
        <f>IF(D2533&lt;&gt;"",VLOOKUP(H2533,TABLEITEM,3,FALSE),"")</f>
        <v>เทปใส 2''</v>
      </c>
      <c r="N2533" s="14">
        <f>INSTOCK!$I2533*INSTOCK!$K2533</f>
        <v>702</v>
      </c>
      <c r="O2533" s="4"/>
      <c r="P2533" s="4"/>
    </row>
    <row r="2534" ht="15.75" hidden="1" customHeight="1">
      <c r="B2534" s="8">
        <v>2853.0</v>
      </c>
      <c r="C2534" s="9">
        <v>43558.0</v>
      </c>
      <c r="D2534" s="6" t="s">
        <v>3412</v>
      </c>
      <c r="E2534" s="4">
        <v>6.204000504E9</v>
      </c>
      <c r="F2534" s="8" t="s">
        <v>604</v>
      </c>
      <c r="G2534" s="4" t="s">
        <v>975</v>
      </c>
      <c r="H2534" s="10" t="s">
        <v>3413</v>
      </c>
      <c r="I2534" s="10">
        <v>3.0</v>
      </c>
      <c r="J2534" s="11" t="str">
        <f>IF(D2534&lt;&gt;"",VLOOKUP(H2534,TABLEITEM,5,FALSE),"")</f>
        <v>EA</v>
      </c>
      <c r="K2534" s="12">
        <v>75.0</v>
      </c>
      <c r="L2534" s="13" t="str">
        <f>IF(D2534&lt;&gt;"",VLOOKUP(H2534,TABLEITEM,2,FALSE),"")</f>
        <v/>
      </c>
      <c r="M2534" s="13" t="str">
        <f>IF(D2534&lt;&gt;"",VLOOKUP(H2534,TABLEITEM,3,FALSE),"")</f>
        <v>ตัวตัดเทป OPP</v>
      </c>
      <c r="N2534" s="14">
        <f>INSTOCK!$I2534*INSTOCK!$K2534</f>
        <v>225</v>
      </c>
      <c r="O2534" s="4"/>
      <c r="P2534" s="4"/>
    </row>
    <row r="2535" ht="15.75" hidden="1" customHeight="1">
      <c r="B2535" s="8">
        <v>2854.0</v>
      </c>
      <c r="C2535" s="9">
        <v>43557.0</v>
      </c>
      <c r="D2535" s="6">
        <v>38101.0</v>
      </c>
      <c r="E2535" s="4">
        <v>6.204000503E9</v>
      </c>
      <c r="F2535" s="8" t="s">
        <v>604</v>
      </c>
      <c r="G2535" s="4" t="s">
        <v>696</v>
      </c>
      <c r="H2535" s="10" t="s">
        <v>110</v>
      </c>
      <c r="I2535" s="10">
        <v>24.0</v>
      </c>
      <c r="J2535" s="11" t="str">
        <f>IF(D2535&lt;&gt;"",VLOOKUP(H2535,TABLEITEM,5,FALSE),"")</f>
        <v>กป.</v>
      </c>
      <c r="K2535" s="12">
        <v>41.6666</v>
      </c>
      <c r="L2535" s="13" t="str">
        <f>IF(D2535&lt;&gt;"",VLOOKUP(H2535,TABLEITEM,2,FALSE),"")</f>
        <v/>
      </c>
      <c r="M2535" s="13" t="str">
        <f>IF(D2535&lt;&gt;"",VLOOKUP(H2535,TABLEITEM,3,FALSE),"")</f>
        <v>สีสเปรย์ สีน้ำตาล</v>
      </c>
      <c r="N2535" s="14">
        <f>INSTOCK!$I2535*INSTOCK!$K2535</f>
        <v>999.9984</v>
      </c>
      <c r="O2535" s="4"/>
      <c r="P2535" s="4"/>
    </row>
    <row r="2536" ht="15.75" hidden="1" customHeight="1">
      <c r="B2536" s="8">
        <v>2855.0</v>
      </c>
      <c r="C2536" s="9">
        <v>43557.0</v>
      </c>
      <c r="D2536" s="6">
        <v>38101.0</v>
      </c>
      <c r="E2536" s="4">
        <v>6.204000503E9</v>
      </c>
      <c r="F2536" s="8" t="s">
        <v>604</v>
      </c>
      <c r="G2536" s="4" t="s">
        <v>696</v>
      </c>
      <c r="H2536" s="10" t="s">
        <v>66</v>
      </c>
      <c r="I2536" s="10">
        <v>24.0</v>
      </c>
      <c r="J2536" s="11" t="str">
        <f>IF(D2536&lt;&gt;"",VLOOKUP(H2536,TABLEITEM,5,FALSE),"")</f>
        <v>กป.</v>
      </c>
      <c r="K2536" s="12">
        <v>41.6666</v>
      </c>
      <c r="L2536" s="13" t="str">
        <f>IF(D2536&lt;&gt;"",VLOOKUP(H2536,TABLEITEM,2,FALSE),"")</f>
        <v/>
      </c>
      <c r="M2536" s="13" t="str">
        <f>IF(D2536&lt;&gt;"",VLOOKUP(H2536,TABLEITEM,3,FALSE),"")</f>
        <v>สีสเปรย์ สีดำ</v>
      </c>
      <c r="N2536" s="14">
        <f>INSTOCK!$I2536*INSTOCK!$K2536</f>
        <v>999.9984</v>
      </c>
      <c r="O2536" s="4"/>
      <c r="P2536" s="4"/>
    </row>
    <row r="2537" ht="15.75" hidden="1" customHeight="1">
      <c r="B2537" s="8">
        <v>2856.0</v>
      </c>
      <c r="C2537" s="9">
        <v>43557.0</v>
      </c>
      <c r="D2537" s="6">
        <v>38101.0</v>
      </c>
      <c r="E2537" s="4">
        <v>6.204000503E9</v>
      </c>
      <c r="F2537" s="8" t="s">
        <v>604</v>
      </c>
      <c r="G2537" s="4" t="s">
        <v>696</v>
      </c>
      <c r="H2537" s="10" t="s">
        <v>111</v>
      </c>
      <c r="I2537" s="10">
        <v>24.0</v>
      </c>
      <c r="J2537" s="11" t="str">
        <f>IF(D2537&lt;&gt;"",VLOOKUP(H2537,TABLEITEM,5,FALSE),"")</f>
        <v>กป.</v>
      </c>
      <c r="K2537" s="12">
        <v>41.6666</v>
      </c>
      <c r="L2537" s="13" t="str">
        <f>IF(D2537&lt;&gt;"",VLOOKUP(H2537,TABLEITEM,2,FALSE),"")</f>
        <v/>
      </c>
      <c r="M2537" s="13" t="str">
        <f>IF(D2537&lt;&gt;"",VLOOKUP(H2537,TABLEITEM,3,FALSE),"")</f>
        <v>สีสเปรย์ สีเทา</v>
      </c>
      <c r="N2537" s="14">
        <f>INSTOCK!$I2537*INSTOCK!$K2537</f>
        <v>999.9984</v>
      </c>
      <c r="O2537" s="4"/>
      <c r="P2537" s="4"/>
    </row>
    <row r="2538" ht="15.75" hidden="1" customHeight="1">
      <c r="B2538" s="8">
        <v>2857.0</v>
      </c>
      <c r="C2538" s="9">
        <v>43557.0</v>
      </c>
      <c r="D2538" s="6">
        <v>38101.0</v>
      </c>
      <c r="E2538" s="4">
        <v>6.204000503E9</v>
      </c>
      <c r="F2538" s="8" t="s">
        <v>604</v>
      </c>
      <c r="G2538" s="4" t="s">
        <v>696</v>
      </c>
      <c r="H2538" s="10" t="s">
        <v>44</v>
      </c>
      <c r="I2538" s="10">
        <v>3.0</v>
      </c>
      <c r="J2538" s="11" t="str">
        <f>IF(D2538&lt;&gt;"",VLOOKUP(H2538,TABLEITEM,5,FALSE),"")</f>
        <v>ปี๊ป</v>
      </c>
      <c r="K2538" s="12">
        <v>370.0</v>
      </c>
      <c r="L2538" s="13" t="str">
        <f>IF(D2538&lt;&gt;"",VLOOKUP(H2538,TABLEITEM,2,FALSE),"")</f>
        <v/>
      </c>
      <c r="M2538" s="13" t="str">
        <f>IF(D2538&lt;&gt;"",VLOOKUP(H2538,TABLEITEM,3,FALSE),"")</f>
        <v>ทินเนอร์ AAA</v>
      </c>
      <c r="N2538" s="14">
        <f>INSTOCK!$I2538*INSTOCK!$K2538</f>
        <v>1110</v>
      </c>
      <c r="O2538" s="4"/>
      <c r="P2538" s="4"/>
    </row>
    <row r="2539" ht="15.75" hidden="1" customHeight="1">
      <c r="B2539" s="8">
        <v>2858.0</v>
      </c>
      <c r="C2539" s="9">
        <v>43557.0</v>
      </c>
      <c r="D2539" s="6">
        <v>38101.0</v>
      </c>
      <c r="E2539" s="4">
        <v>6.204000503E9</v>
      </c>
      <c r="F2539" s="8" t="s">
        <v>604</v>
      </c>
      <c r="G2539" s="4" t="s">
        <v>696</v>
      </c>
      <c r="H2539" s="10" t="s">
        <v>43</v>
      </c>
      <c r="I2539" s="10">
        <v>4.0</v>
      </c>
      <c r="J2539" s="11" t="str">
        <f>IF(D2539&lt;&gt;"",VLOOKUP(H2539,TABLEITEM,5,FALSE),"")</f>
        <v>ปี๊ป</v>
      </c>
      <c r="K2539" s="12">
        <v>590.0</v>
      </c>
      <c r="L2539" s="13" t="str">
        <f>IF(D2539&lt;&gt;"",VLOOKUP(H2539,TABLEITEM,2,FALSE),"")</f>
        <v/>
      </c>
      <c r="M2539" s="13" t="str">
        <f>IF(D2539&lt;&gt;"",VLOOKUP(H2539,TABLEITEM,3,FALSE),"")</f>
        <v>ทินเนอร์อคลิลิค</v>
      </c>
      <c r="N2539" s="14">
        <f>INSTOCK!$I2539*INSTOCK!$K2539</f>
        <v>2360</v>
      </c>
      <c r="O2539" s="4"/>
      <c r="P2539" s="4"/>
    </row>
    <row r="2540" ht="15.75" hidden="1" customHeight="1">
      <c r="B2540" s="8">
        <v>2859.0</v>
      </c>
      <c r="C2540" s="9">
        <v>43560.0</v>
      </c>
      <c r="D2540" s="6" t="s">
        <v>3414</v>
      </c>
      <c r="E2540" s="4">
        <v>6.204000534E9</v>
      </c>
      <c r="F2540" s="8" t="s">
        <v>604</v>
      </c>
      <c r="G2540" s="4" t="s">
        <v>965</v>
      </c>
      <c r="H2540" s="10" t="s">
        <v>60</v>
      </c>
      <c r="I2540" s="10">
        <v>5.0</v>
      </c>
      <c r="J2540" s="11" t="str">
        <f>IF(D2540&lt;&gt;"",VLOOKUP(H2540,TABLEITEM,5,FALSE),"")</f>
        <v>EA</v>
      </c>
      <c r="K2540" s="12">
        <v>72.0</v>
      </c>
      <c r="L2540" s="13" t="str">
        <f>IF(D2540&lt;&gt;"",VLOOKUP(H2540,TABLEITEM,2,FALSE),"")</f>
        <v/>
      </c>
      <c r="M2540" s="13" t="str">
        <f>IF(D2540&lt;&gt;"",VLOOKUP(H2540,TABLEITEM,3,FALSE),"")</f>
        <v>กาวยาง</v>
      </c>
      <c r="N2540" s="14">
        <f>INSTOCK!$I2540*INSTOCK!$K2540</f>
        <v>360</v>
      </c>
      <c r="O2540" s="4"/>
      <c r="P2540" s="4"/>
    </row>
    <row r="2541" ht="15.75" hidden="1" customHeight="1">
      <c r="B2541" s="8">
        <v>2860.0</v>
      </c>
      <c r="C2541" s="9">
        <v>43560.0</v>
      </c>
      <c r="D2541" s="6" t="s">
        <v>3414</v>
      </c>
      <c r="E2541" s="4">
        <v>6.204000534E9</v>
      </c>
      <c r="F2541" s="8" t="s">
        <v>604</v>
      </c>
      <c r="G2541" s="4" t="s">
        <v>965</v>
      </c>
      <c r="H2541" s="10" t="s">
        <v>46</v>
      </c>
      <c r="I2541" s="10">
        <v>10.0</v>
      </c>
      <c r="J2541" s="11" t="str">
        <f>IF(D2541&lt;&gt;"",VLOOKUP(H2541,TABLEITEM,5,FALSE),"")</f>
        <v>ROLL</v>
      </c>
      <c r="K2541" s="12">
        <v>90.0</v>
      </c>
      <c r="L2541" s="13" t="str">
        <f>IF(D2541&lt;&gt;"",VLOOKUP(H2541,TABLEITEM,2,FALSE),"")</f>
        <v/>
      </c>
      <c r="M2541" s="13" t="str">
        <f>IF(D2541&lt;&gt;"",VLOOKUP(H2541,TABLEITEM,3,FALSE),"")</f>
        <v>ลวดดำ</v>
      </c>
      <c r="N2541" s="14">
        <f>INSTOCK!$I2541*INSTOCK!$K2541</f>
        <v>900</v>
      </c>
      <c r="O2541" s="4"/>
      <c r="P2541" s="4"/>
    </row>
    <row r="2542" ht="15.75" hidden="1" customHeight="1">
      <c r="B2542" s="8">
        <v>2861.0</v>
      </c>
      <c r="C2542" s="9">
        <v>43560.0</v>
      </c>
      <c r="D2542" s="6" t="s">
        <v>3414</v>
      </c>
      <c r="E2542" s="4">
        <v>6.204000534E9</v>
      </c>
      <c r="F2542" s="8" t="s">
        <v>604</v>
      </c>
      <c r="G2542" s="4" t="s">
        <v>965</v>
      </c>
      <c r="H2542" s="10" t="s">
        <v>2945</v>
      </c>
      <c r="I2542" s="10">
        <v>1000.0</v>
      </c>
      <c r="J2542" s="11" t="str">
        <f>IF(D2542&lt;&gt;"",VLOOKUP(H2542,TABLEITEM,5,FALSE),"")</f>
        <v>EA</v>
      </c>
      <c r="K2542" s="12">
        <v>0.4</v>
      </c>
      <c r="L2542" s="13" t="str">
        <f>IF(D2542&lt;&gt;"",VLOOKUP(H2542,TABLEITEM,2,FALSE),"")</f>
        <v/>
      </c>
      <c r="M2542" s="13" t="str">
        <f>IF(D2542&lt;&gt;"",VLOOKUP(H2542,TABLEITEM,3,FALSE),"")</f>
        <v>ตะปูยิงรีเวท 6-5   3/16"x1/2"</v>
      </c>
      <c r="N2542" s="14">
        <f>INSTOCK!$I2542*INSTOCK!$K2542</f>
        <v>400</v>
      </c>
      <c r="O2542" s="4"/>
      <c r="P2542" s="4"/>
    </row>
    <row r="2543" ht="15.75" hidden="1" customHeight="1">
      <c r="B2543" s="8">
        <v>2862.0</v>
      </c>
      <c r="C2543" s="9">
        <v>43559.0</v>
      </c>
      <c r="D2543" s="6" t="s">
        <v>3415</v>
      </c>
      <c r="E2543" s="4">
        <v>6.203000502E9</v>
      </c>
      <c r="F2543" s="8" t="s">
        <v>1989</v>
      </c>
      <c r="G2543" s="4" t="s">
        <v>1990</v>
      </c>
      <c r="H2543" s="10" t="s">
        <v>3416</v>
      </c>
      <c r="I2543" s="10">
        <v>48.0</v>
      </c>
      <c r="J2543" s="11" t="str">
        <f>IF(D2543&lt;&gt;"",VLOOKUP(H2543,TABLEITEM,5,FALSE),"")</f>
        <v>EA</v>
      </c>
      <c r="K2543" s="12">
        <v>4.0</v>
      </c>
      <c r="L2543" s="13" t="str">
        <f>IF(D2543&lt;&gt;"",VLOOKUP(H2543,TABLEITEM,2,FALSE),"")</f>
        <v/>
      </c>
      <c r="M2543" s="13" t="str">
        <f>IF(D2543&lt;&gt;"",VLOOKUP(H2543,TABLEITEM,3,FALSE),"")</f>
        <v>ลวดเย็บเบอร์ 10 ตราช้าง ไททาเนีย</v>
      </c>
      <c r="N2543" s="14">
        <f>INSTOCK!$I2543*INSTOCK!$K2543</f>
        <v>192</v>
      </c>
      <c r="O2543" s="4"/>
      <c r="P2543" s="4"/>
    </row>
    <row r="2544" ht="15.75" hidden="1" customHeight="1">
      <c r="B2544" s="8">
        <v>2863.0</v>
      </c>
      <c r="C2544" s="9">
        <v>43559.0</v>
      </c>
      <c r="D2544" s="6" t="s">
        <v>3415</v>
      </c>
      <c r="E2544" s="4">
        <v>6.203000502E9</v>
      </c>
      <c r="F2544" s="8" t="s">
        <v>1989</v>
      </c>
      <c r="G2544" s="4" t="s">
        <v>1990</v>
      </c>
      <c r="H2544" s="10" t="s">
        <v>3417</v>
      </c>
      <c r="I2544" s="10">
        <v>6.0</v>
      </c>
      <c r="J2544" s="11" t="str">
        <f>IF(D2544&lt;&gt;"",VLOOKUP(H2544,TABLEITEM,5,FALSE),"")</f>
        <v>EA</v>
      </c>
      <c r="K2544" s="12">
        <v>31.0</v>
      </c>
      <c r="L2544" s="13" t="str">
        <f>IF(D2544&lt;&gt;"",VLOOKUP(H2544,TABLEITEM,2,FALSE),"")</f>
        <v/>
      </c>
      <c r="M2544" s="13" t="str">
        <f>IF(D2544&lt;&gt;"",VLOOKUP(H2544,TABLEITEM,3,FALSE),"")</f>
        <v>กาวแท่ง สติ๊กโก้ ตราช้าง 40กรัม (10แท่ง/กล่อง)1x36</v>
      </c>
      <c r="N2544" s="14">
        <f>INSTOCK!$I2544*INSTOCK!$K2544</f>
        <v>186</v>
      </c>
      <c r="O2544" s="4"/>
      <c r="P2544" s="4"/>
    </row>
    <row r="2545" ht="15.75" hidden="1" customHeight="1">
      <c r="B2545" s="8">
        <v>2864.0</v>
      </c>
      <c r="C2545" s="9">
        <v>43559.0</v>
      </c>
      <c r="D2545" s="6" t="s">
        <v>3415</v>
      </c>
      <c r="E2545" s="4">
        <v>6.203000502E9</v>
      </c>
      <c r="F2545" s="8" t="s">
        <v>1989</v>
      </c>
      <c r="G2545" s="4" t="s">
        <v>1990</v>
      </c>
      <c r="H2545" s="10" t="s">
        <v>3418</v>
      </c>
      <c r="I2545" s="10">
        <v>1.0</v>
      </c>
      <c r="J2545" s="11" t="str">
        <f>IF(D2545&lt;&gt;"",VLOOKUP(H2545,TABLEITEM,5,FALSE),"")</f>
        <v>EA</v>
      </c>
      <c r="K2545" s="12">
        <v>100.0</v>
      </c>
      <c r="L2545" s="13" t="str">
        <f>IF(D2545&lt;&gt;"",VLOOKUP(H2545,TABLEITEM,2,FALSE),"")</f>
        <v/>
      </c>
      <c r="M2545" s="13" t="str">
        <f>IF(D2545&lt;&gt;"",VLOOKUP(H2545,TABLEITEM,3,FALSE),"")</f>
        <v>สก๊อตเทปใส 500,3/4"x36y เล็ก แพ็คประหยัด 6 ม้วน</v>
      </c>
      <c r="N2545" s="14">
        <f>INSTOCK!$I2545*INSTOCK!$K2545</f>
        <v>100</v>
      </c>
      <c r="O2545" s="4"/>
      <c r="P2545" s="4"/>
    </row>
    <row r="2546" ht="15.75" hidden="1" customHeight="1">
      <c r="B2546" s="8">
        <v>2865.0</v>
      </c>
      <c r="C2546" s="9">
        <v>43559.0</v>
      </c>
      <c r="D2546" s="6" t="s">
        <v>3415</v>
      </c>
      <c r="E2546" s="4">
        <v>6.203000502E9</v>
      </c>
      <c r="F2546" s="8" t="s">
        <v>1989</v>
      </c>
      <c r="G2546" s="4" t="s">
        <v>1990</v>
      </c>
      <c r="H2546" s="10" t="s">
        <v>1992</v>
      </c>
      <c r="I2546" s="10">
        <v>2.0</v>
      </c>
      <c r="J2546" s="11" t="str">
        <f>IF(D2546&lt;&gt;"",VLOOKUP(H2546,TABLEITEM,5,FALSE),"")</f>
        <v>PACK</v>
      </c>
      <c r="K2546" s="12">
        <v>119.0</v>
      </c>
      <c r="L2546" s="13" t="str">
        <f>IF(D2546&lt;&gt;"",VLOOKUP(H2546,TABLEITEM,2,FALSE),"")</f>
        <v/>
      </c>
      <c r="M2546" s="13" t="str">
        <f>IF(D2546&lt;&gt;"",VLOOKUP(H2546,TABLEITEM,3,FALSE),"")</f>
        <v>ถ่านอัลคาไลน์ Panasonic AA (แพ็ค 8ก้อน)</v>
      </c>
      <c r="N2546" s="14">
        <f>INSTOCK!$I2546*INSTOCK!$K2546</f>
        <v>238</v>
      </c>
      <c r="O2546" s="4"/>
      <c r="P2546" s="4"/>
    </row>
    <row r="2547" ht="15.75" hidden="1" customHeight="1">
      <c r="B2547" s="8">
        <v>2866.0</v>
      </c>
      <c r="C2547" s="9">
        <v>43559.0</v>
      </c>
      <c r="D2547" s="6" t="s">
        <v>3415</v>
      </c>
      <c r="E2547" s="4">
        <v>6.203000502E9</v>
      </c>
      <c r="F2547" s="8" t="s">
        <v>1989</v>
      </c>
      <c r="G2547" s="4" t="s">
        <v>1990</v>
      </c>
      <c r="H2547" s="10" t="s">
        <v>3419</v>
      </c>
      <c r="I2547" s="10">
        <v>1.0</v>
      </c>
      <c r="J2547" s="11" t="str">
        <f>IF(D2547&lt;&gt;"",VLOOKUP(H2547,TABLEITEM,5,FALSE),"")</f>
        <v>pack</v>
      </c>
      <c r="K2547" s="12">
        <v>119.0</v>
      </c>
      <c r="L2547" s="13" t="str">
        <f>IF(D2547&lt;&gt;"",VLOOKUP(H2547,TABLEITEM,2,FALSE),"")</f>
        <v/>
      </c>
      <c r="M2547" s="13" t="str">
        <f>IF(D2547&lt;&gt;"",VLOOKUP(H2547,TABLEITEM,3,FALSE),"")</f>
        <v>ถ่านอัลคาไลน์ panasonic AAA (แพ็ค 8ก้อน)</v>
      </c>
      <c r="N2547" s="14">
        <f>INSTOCK!$I2547*INSTOCK!$K2547</f>
        <v>119</v>
      </c>
      <c r="O2547" s="4"/>
      <c r="P2547" s="4"/>
    </row>
    <row r="2548" ht="15.75" hidden="1" customHeight="1">
      <c r="B2548" s="8">
        <v>2867.0</v>
      </c>
      <c r="C2548" s="9">
        <v>43559.0</v>
      </c>
      <c r="D2548" s="6" t="s">
        <v>3415</v>
      </c>
      <c r="E2548" s="4">
        <v>6.203000502E9</v>
      </c>
      <c r="F2548" s="8" t="s">
        <v>1989</v>
      </c>
      <c r="G2548" s="4" t="s">
        <v>1990</v>
      </c>
      <c r="H2548" s="10" t="s">
        <v>1991</v>
      </c>
      <c r="I2548" s="10">
        <v>24.0</v>
      </c>
      <c r="J2548" s="11" t="str">
        <f>IF(D2548&lt;&gt;"",VLOOKUP(H2548,TABLEITEM,5,FALSE),"")</f>
        <v>EA</v>
      </c>
      <c r="K2548" s="12">
        <v>8.5</v>
      </c>
      <c r="L2548" s="13" t="str">
        <f>IF(D2548&lt;&gt;"",VLOOKUP(H2548,TABLEITEM,2,FALSE),"")</f>
        <v/>
      </c>
      <c r="M2548" s="13" t="str">
        <f>IF(D2548&lt;&gt;"",VLOOKUP(H2548,TABLEITEM,3,FALSE),"")</f>
        <v>ปากกาเคมี/มาร์คเกอร์ ตราม้า 2หัว น้ำเงิน</v>
      </c>
      <c r="N2548" s="14">
        <f>INSTOCK!$I2548*INSTOCK!$K2548</f>
        <v>204</v>
      </c>
      <c r="O2548" s="4"/>
      <c r="P2548" s="4"/>
    </row>
    <row r="2549" ht="15.75" hidden="1" customHeight="1">
      <c r="B2549" s="8">
        <v>2868.0</v>
      </c>
      <c r="C2549" s="9">
        <v>43559.0</v>
      </c>
      <c r="D2549" s="6" t="s">
        <v>3415</v>
      </c>
      <c r="E2549" s="4">
        <v>6.203000502E9</v>
      </c>
      <c r="F2549" s="8" t="s">
        <v>1989</v>
      </c>
      <c r="G2549" s="4" t="s">
        <v>1990</v>
      </c>
      <c r="H2549" s="10" t="s">
        <v>3033</v>
      </c>
      <c r="I2549" s="10">
        <v>2.0</v>
      </c>
      <c r="J2549" s="11" t="str">
        <f>IF(D2549&lt;&gt;"",VLOOKUP(H2549,TABLEITEM,5,FALSE),"")</f>
        <v>PACK</v>
      </c>
      <c r="K2549" s="12">
        <v>115.0</v>
      </c>
      <c r="L2549" s="13" t="str">
        <f>IF(D2549&lt;&gt;"",VLOOKUP(H2549,TABLEITEM,2,FALSE),"")</f>
        <v/>
      </c>
      <c r="M2549" s="13" t="str">
        <f>IF(D2549&lt;&gt;"",VLOOKUP(H2549,TABLEITEM,3,FALSE),"")</f>
        <v>กระดาษคาร์บอน ตรามม้า 4400 210x330มม.เขียน น้ำเงิน(100แผ่น)</v>
      </c>
      <c r="N2549" s="14">
        <f>INSTOCK!$I2549*INSTOCK!$K2549</f>
        <v>230</v>
      </c>
      <c r="O2549" s="4"/>
      <c r="P2549" s="4"/>
    </row>
    <row r="2550" ht="15.75" hidden="1" customHeight="1">
      <c r="B2550" s="8">
        <v>2869.0</v>
      </c>
      <c r="C2550" s="9">
        <v>43561.0</v>
      </c>
      <c r="D2550" s="6" t="s">
        <v>3420</v>
      </c>
      <c r="E2550" s="4">
        <v>6.204000539E9</v>
      </c>
      <c r="F2550" s="8" t="s">
        <v>604</v>
      </c>
      <c r="G2550" s="4" t="s">
        <v>1033</v>
      </c>
      <c r="H2550" s="10" t="s">
        <v>24</v>
      </c>
      <c r="I2550" s="10">
        <v>1000.0</v>
      </c>
      <c r="J2550" s="11" t="str">
        <f>IF(D2550&lt;&gt;"",VLOOKUP(H2550,TABLEITEM,5,FALSE),"")</f>
        <v>EA</v>
      </c>
      <c r="K2550" s="12">
        <v>4.5</v>
      </c>
      <c r="L2550" s="13" t="str">
        <f>IF(D2550&lt;&gt;"",VLOOKUP(H2550,TABLEITEM,2,FALSE),"")</f>
        <v/>
      </c>
      <c r="M2550" s="13" t="str">
        <f>IF(D2550&lt;&gt;"",VLOOKUP(H2550,TABLEITEM,3,FALSE),"")</f>
        <v>กระดาษทรายกลม#120</v>
      </c>
      <c r="N2550" s="14">
        <f>INSTOCK!$I2550*INSTOCK!$K2550</f>
        <v>4500</v>
      </c>
      <c r="O2550" s="4"/>
      <c r="P2550" s="4"/>
    </row>
    <row r="2551" ht="15.75" hidden="1" customHeight="1">
      <c r="B2551" s="8">
        <v>2870.0</v>
      </c>
      <c r="C2551" s="9">
        <v>43559.0</v>
      </c>
      <c r="D2551" s="6" t="s">
        <v>3421</v>
      </c>
      <c r="E2551" s="4">
        <v>6.204000512E9</v>
      </c>
      <c r="F2551" s="8" t="s">
        <v>3422</v>
      </c>
      <c r="G2551" s="4" t="s">
        <v>2162</v>
      </c>
      <c r="H2551" s="10" t="s">
        <v>3423</v>
      </c>
      <c r="I2551" s="10">
        <v>10.0</v>
      </c>
      <c r="J2551" s="11" t="str">
        <f>IF(D2551&lt;&gt;"",VLOOKUP(H2551,TABLEITEM,5,FALSE),"")</f>
        <v>EA</v>
      </c>
      <c r="K2551" s="12">
        <v>440.0</v>
      </c>
      <c r="L2551" s="13" t="str">
        <f>IF(D2551&lt;&gt;"",VLOOKUP(H2551,TABLEITEM,2,FALSE),"")</f>
        <v/>
      </c>
      <c r="M2551" s="13" t="str">
        <f>IF(D2551&lt;&gt;"",VLOOKUP(H2551,TABLEITEM,3,FALSE),"")</f>
        <v>ล้อยูริเทนเหล็กหล่อ ขนาด 6" หน้ายาง 40mm โครงเชื่อม ล้อตาย</v>
      </c>
      <c r="N2551" s="14">
        <f>INSTOCK!$I2551*INSTOCK!$K2551</f>
        <v>4400</v>
      </c>
      <c r="O2551" s="4"/>
      <c r="P2551" s="4"/>
    </row>
    <row r="2552" ht="15.75" hidden="1" customHeight="1">
      <c r="B2552" s="8">
        <v>2871.0</v>
      </c>
      <c r="C2552" s="9">
        <v>43559.0</v>
      </c>
      <c r="D2552" s="6" t="s">
        <v>3421</v>
      </c>
      <c r="E2552" s="4">
        <v>6.204000512E9</v>
      </c>
      <c r="F2552" s="8" t="s">
        <v>3422</v>
      </c>
      <c r="G2552" s="4" t="s">
        <v>2162</v>
      </c>
      <c r="H2552" s="10" t="s">
        <v>3424</v>
      </c>
      <c r="I2552" s="10">
        <v>10.0</v>
      </c>
      <c r="J2552" s="11" t="str">
        <f>IF(D2552&lt;&gt;"",VLOOKUP(H2552,TABLEITEM,5,FALSE),"")</f>
        <v>EA</v>
      </c>
      <c r="K2552" s="12">
        <v>480.0</v>
      </c>
      <c r="L2552" s="13" t="str">
        <f>IF(D2552&lt;&gt;"",VLOOKUP(H2552,TABLEITEM,2,FALSE),"")</f>
        <v/>
      </c>
      <c r="M2552" s="13" t="str">
        <f>IF(D2552&lt;&gt;"",VLOOKUP(H2552,TABLEITEM,3,FALSE),"")</f>
        <v>ล้อยูริเทนเหล็กหล่อ ขนาด 6" หน้ายาง 40mm โครงเชื่อม ล้อเป็น</v>
      </c>
      <c r="N2552" s="14">
        <f>INSTOCK!$I2552*INSTOCK!$K2552</f>
        <v>4800</v>
      </c>
      <c r="O2552" s="4"/>
      <c r="P2552" s="4"/>
    </row>
    <row r="2553" ht="15.75" hidden="1" customHeight="1">
      <c r="B2553" s="8">
        <v>2872.0</v>
      </c>
      <c r="C2553" s="9">
        <v>43558.0</v>
      </c>
      <c r="D2553" s="6" t="s">
        <v>3425</v>
      </c>
      <c r="E2553" s="4">
        <v>6.2030005E9</v>
      </c>
      <c r="F2553" s="8" t="s">
        <v>1989</v>
      </c>
      <c r="G2553" s="4" t="s">
        <v>2014</v>
      </c>
      <c r="H2553" s="10" t="s">
        <v>3426</v>
      </c>
      <c r="I2553" s="10">
        <v>1.0</v>
      </c>
      <c r="J2553" s="11" t="str">
        <f>IF(D2553&lt;&gt;"",VLOOKUP(H2553,TABLEITEM,5,FALSE),"")</f>
        <v>EA</v>
      </c>
      <c r="K2553" s="12">
        <v>560.75</v>
      </c>
      <c r="L2553" s="13" t="str">
        <f>IF(D2553&lt;&gt;"",VLOOKUP(H2553,TABLEITEM,2,FALSE),"")</f>
        <v/>
      </c>
      <c r="M2553" s="13" t="str">
        <f>IF(D2553&lt;&gt;"",VLOOKUP(H2553,TABLEITEM,3,FALSE),"")</f>
        <v>เครื่องเจาะบัตร วงรี เงิน แซนโก้ SK-6640</v>
      </c>
      <c r="N2553" s="14">
        <f>INSTOCK!$I2553*INSTOCK!$K2553</f>
        <v>560.75</v>
      </c>
      <c r="O2553" s="4"/>
      <c r="P2553" s="4"/>
    </row>
    <row r="2554" ht="15.75" hidden="1" customHeight="1">
      <c r="B2554" s="8">
        <v>2873.0</v>
      </c>
      <c r="C2554" s="9">
        <v>43558.0</v>
      </c>
      <c r="D2554" s="6" t="s">
        <v>3425</v>
      </c>
      <c r="E2554" s="4">
        <v>6.2030005E9</v>
      </c>
      <c r="F2554" s="8" t="s">
        <v>1989</v>
      </c>
      <c r="G2554" s="4" t="s">
        <v>2014</v>
      </c>
      <c r="H2554" s="10" t="s">
        <v>3427</v>
      </c>
      <c r="I2554" s="10">
        <v>1.0</v>
      </c>
      <c r="J2554" s="11" t="str">
        <f>IF(D2554&lt;&gt;"",VLOOKUP(H2554,TABLEITEM,5,FALSE),"")</f>
        <v>ea</v>
      </c>
      <c r="K2554" s="12">
        <v>104.67</v>
      </c>
      <c r="L2554" s="13" t="str">
        <f>IF(D2554&lt;&gt;"",VLOOKUP(H2554,TABLEITEM,2,FALSE),"")</f>
        <v/>
      </c>
      <c r="M2554" s="13" t="str">
        <f>IF(D2554&lt;&gt;"",VLOOKUP(H2554,TABLEITEM,3,FALSE),"")</f>
        <v>สมุดปกอ่อน 16x23.5ซม. 60 แกรม 40 แผ่นคละลาย (12เล่ม</v>
      </c>
      <c r="N2554" s="14">
        <f>INSTOCK!$I2554*INSTOCK!$K2554</f>
        <v>104.67</v>
      </c>
      <c r="O2554" s="4"/>
      <c r="P2554" s="4"/>
    </row>
    <row r="2555" ht="15.75" hidden="1" customHeight="1">
      <c r="B2555" s="8">
        <v>2874.0</v>
      </c>
      <c r="C2555" s="9">
        <v>43560.0</v>
      </c>
      <c r="D2555" s="6" t="s">
        <v>3428</v>
      </c>
      <c r="E2555" s="4">
        <v>6.20400053E9</v>
      </c>
      <c r="F2555" s="8" t="s">
        <v>801</v>
      </c>
      <c r="G2555" s="4" t="s">
        <v>3054</v>
      </c>
      <c r="H2555" s="10" t="s">
        <v>3055</v>
      </c>
      <c r="I2555" s="10">
        <v>5.0</v>
      </c>
      <c r="J2555" s="11" t="str">
        <f>IF(D2555&lt;&gt;"",VLOOKUP(H2555,TABLEITEM,5,FALSE),"")</f>
        <v>EA</v>
      </c>
      <c r="K2555" s="12">
        <v>550.0</v>
      </c>
      <c r="L2555" s="13" t="str">
        <f>IF(D2555&lt;&gt;"",VLOOKUP(H2555,TABLEITEM,2,FALSE),"")</f>
        <v/>
      </c>
      <c r="M2555" s="13" t="str">
        <f>IF(D2555&lt;&gt;"",VLOOKUP(H2555,TABLEITEM,3,FALSE),"")</f>
        <v>วาล์วโซลินอยด์ 1/4"</v>
      </c>
      <c r="N2555" s="14">
        <f>INSTOCK!$I2555*INSTOCK!$K2555</f>
        <v>2750</v>
      </c>
      <c r="O2555" s="4"/>
      <c r="P2555" s="4"/>
    </row>
    <row r="2556" ht="15.75" hidden="1" customHeight="1">
      <c r="B2556" s="8">
        <v>2875.0</v>
      </c>
      <c r="C2556" s="9">
        <v>43561.0</v>
      </c>
      <c r="D2556" s="6" t="s">
        <v>3429</v>
      </c>
      <c r="E2556" s="4"/>
      <c r="F2556" s="8" t="s">
        <v>3430</v>
      </c>
      <c r="G2556" s="4" t="s">
        <v>3029</v>
      </c>
      <c r="H2556" s="10" t="s">
        <v>3030</v>
      </c>
      <c r="I2556" s="10">
        <v>1.0</v>
      </c>
      <c r="J2556" s="11" t="str">
        <f>IF(D2556&lt;&gt;"",VLOOKUP(H2556,TABLEITEM,5,FALSE),"")</f>
        <v>LOT</v>
      </c>
      <c r="K2556" s="12">
        <v>500.0</v>
      </c>
      <c r="L2556" s="13" t="str">
        <f>IF(D2556&lt;&gt;"",VLOOKUP(H2556,TABLEITEM,2,FALSE),"")</f>
        <v/>
      </c>
      <c r="M2556" s="13" t="str">
        <f>IF(D2556&lt;&gt;"",VLOOKUP(H2556,TABLEITEM,3,FALSE),"")</f>
        <v>ค่าชุบ ดีบุกเงา</v>
      </c>
      <c r="N2556" s="14">
        <f>INSTOCK!$I2556*INSTOCK!$K2556</f>
        <v>500</v>
      </c>
      <c r="O2556" s="4" t="s">
        <v>3431</v>
      </c>
      <c r="P2556" s="4"/>
    </row>
    <row r="2557" ht="15.75" hidden="1" customHeight="1">
      <c r="B2557" s="8">
        <v>2876.0</v>
      </c>
      <c r="C2557" s="9">
        <v>43561.0</v>
      </c>
      <c r="D2557" s="6" t="s">
        <v>3432</v>
      </c>
      <c r="E2557" s="4"/>
      <c r="F2557" s="8"/>
      <c r="G2557" s="4" t="s">
        <v>3433</v>
      </c>
      <c r="H2557" s="10" t="s">
        <v>3434</v>
      </c>
      <c r="I2557" s="10">
        <v>15.0</v>
      </c>
      <c r="J2557" s="11" t="str">
        <f>IF(D2557&lt;&gt;"",VLOOKUP(H2557,TABLEITEM,5,FALSE),"")</f>
        <v>EA</v>
      </c>
      <c r="K2557" s="12">
        <v>400.0</v>
      </c>
      <c r="L2557" s="13" t="str">
        <f>IF(D2557&lt;&gt;"",VLOOKUP(H2557,TABLEITEM,2,FALSE),"")</f>
        <v/>
      </c>
      <c r="M2557" s="13" t="str">
        <f>IF(D2557&lt;&gt;"",VLOOKUP(H2557,TABLEITEM,3,FALSE),"")</f>
        <v>พิมพ์ป้ายเหล็กเติมเต็ม </v>
      </c>
      <c r="N2557" s="14">
        <f>INSTOCK!$I2557*INSTOCK!$K2557</f>
        <v>6000</v>
      </c>
      <c r="O2557" s="4"/>
      <c r="P2557" s="4"/>
    </row>
    <row r="2558" ht="15.75" hidden="1" customHeight="1">
      <c r="B2558" s="8">
        <v>2877.0</v>
      </c>
      <c r="C2558" s="9">
        <v>43553.0</v>
      </c>
      <c r="D2558" s="6" t="s">
        <v>3435</v>
      </c>
      <c r="E2558" s="4"/>
      <c r="F2558" s="8"/>
      <c r="G2558" s="4" t="s">
        <v>3433</v>
      </c>
      <c r="H2558" s="10" t="s">
        <v>3434</v>
      </c>
      <c r="I2558" s="10">
        <v>40.0</v>
      </c>
      <c r="J2558" s="11" t="str">
        <f>IF(D2558&lt;&gt;"",VLOOKUP(H2558,TABLEITEM,5,FALSE),"")</f>
        <v>EA</v>
      </c>
      <c r="K2558" s="12">
        <v>400.0</v>
      </c>
      <c r="L2558" s="13" t="str">
        <f>IF(D2558&lt;&gt;"",VLOOKUP(H2558,TABLEITEM,2,FALSE),"")</f>
        <v/>
      </c>
      <c r="M2558" s="13" t="str">
        <f>IF(D2558&lt;&gt;"",VLOOKUP(H2558,TABLEITEM,3,FALSE),"")</f>
        <v>พิมพ์ป้ายเหล็กเติมเต็ม </v>
      </c>
      <c r="N2558" s="14">
        <f>INSTOCK!$I2558*INSTOCK!$K2558</f>
        <v>16000</v>
      </c>
      <c r="O2558" s="4"/>
      <c r="P2558" s="4"/>
    </row>
    <row r="2559" ht="15.75" hidden="1" customHeight="1">
      <c r="B2559" s="8">
        <v>2878.0</v>
      </c>
      <c r="C2559" s="9">
        <v>43560.0</v>
      </c>
      <c r="D2559" s="6" t="s">
        <v>3436</v>
      </c>
      <c r="E2559" s="4"/>
      <c r="F2559" s="8" t="s">
        <v>3437</v>
      </c>
      <c r="G2559" s="4" t="s">
        <v>3438</v>
      </c>
      <c r="H2559" s="10" t="s">
        <v>3439</v>
      </c>
      <c r="I2559" s="10">
        <v>1.0</v>
      </c>
      <c r="J2559" s="11" t="str">
        <f>IF(D2559&lt;&gt;"",VLOOKUP(H2559,TABLEITEM,5,FALSE),"")</f>
        <v>EA</v>
      </c>
      <c r="K2559" s="12">
        <v>1700.0</v>
      </c>
      <c r="L2559" s="13" t="str">
        <f>IF(D2559&lt;&gt;"",VLOOKUP(H2559,TABLEITEM,2,FALSE),"")</f>
        <v/>
      </c>
      <c r="M2559" s="13" t="str">
        <f>IF(D2559&lt;&gt;"",VLOOKUP(H2559,TABLEITEM,3,FALSE),"")</f>
        <v>คีมย้ำรีเวทตราหนวดกุ้ง </v>
      </c>
      <c r="N2559" s="14">
        <f>INSTOCK!$I2559*INSTOCK!$K2559</f>
        <v>1700</v>
      </c>
      <c r="O2559" s="4" t="s">
        <v>3440</v>
      </c>
      <c r="P2559" s="4"/>
    </row>
    <row r="2560" ht="15.75" hidden="1" customHeight="1">
      <c r="B2560" s="8">
        <v>2879.0</v>
      </c>
      <c r="C2560" s="9">
        <v>43560.0</v>
      </c>
      <c r="D2560" s="6" t="s">
        <v>3436</v>
      </c>
      <c r="E2560" s="4"/>
      <c r="F2560" s="8" t="s">
        <v>3437</v>
      </c>
      <c r="G2560" s="4" t="s">
        <v>3438</v>
      </c>
      <c r="H2560" s="10" t="s">
        <v>3441</v>
      </c>
      <c r="I2560" s="10">
        <v>1.0</v>
      </c>
      <c r="J2560" s="11" t="str">
        <f>IF(D2560&lt;&gt;"",VLOOKUP(H2560,TABLEITEM,5,FALSE),"")</f>
        <v>EA</v>
      </c>
      <c r="K2560" s="12">
        <v>250.0</v>
      </c>
      <c r="L2560" s="13" t="str">
        <f>IF(D2560&lt;&gt;"",VLOOKUP(H2560,TABLEITEM,2,FALSE),"")</f>
        <v/>
      </c>
      <c r="M2560" s="13" t="str">
        <f>IF(D2560&lt;&gt;"",VLOOKUP(H2560,TABLEITEM,3,FALSE),"")</f>
        <v>คีมตัดสายไฟ KEIBA 6"</v>
      </c>
      <c r="N2560" s="14">
        <f>INSTOCK!$I2560*INSTOCK!$K2560</f>
        <v>250</v>
      </c>
      <c r="O2560" s="4"/>
      <c r="P2560" s="4"/>
    </row>
    <row r="2561" ht="15.75" hidden="1" customHeight="1">
      <c r="B2561" s="8">
        <v>2880.0</v>
      </c>
      <c r="C2561" s="9">
        <v>43561.0</v>
      </c>
      <c r="D2561" s="6" t="s">
        <v>3442</v>
      </c>
      <c r="E2561" s="4">
        <v>6.204000542E9</v>
      </c>
      <c r="F2561" s="8" t="s">
        <v>2884</v>
      </c>
      <c r="G2561" s="4" t="s">
        <v>2350</v>
      </c>
      <c r="H2561" s="10" t="s">
        <v>2599</v>
      </c>
      <c r="I2561" s="10">
        <v>300.0</v>
      </c>
      <c r="J2561" s="11" t="str">
        <f>IF(D2561&lt;&gt;"",VLOOKUP(H2561,TABLEITEM,5,FALSE),"")</f>
        <v>KG.</v>
      </c>
      <c r="K2561" s="12">
        <v>122.0</v>
      </c>
      <c r="L2561" s="13" t="str">
        <f>IF(D2561&lt;&gt;"",VLOOKUP(H2561,TABLEITEM,2,FALSE),"")</f>
        <v/>
      </c>
      <c r="M2561" s="13" t="str">
        <f>IF(D2561&lt;&gt;"",VLOOKUP(H2561,TABLEITEM,3,FALSE),"")</f>
        <v>สีฝุ่น P9001A  สีเทาดำ</v>
      </c>
      <c r="N2561" s="14">
        <f>INSTOCK!$I2561*INSTOCK!$K2561</f>
        <v>36600</v>
      </c>
      <c r="O2561" s="4"/>
      <c r="P2561" s="4"/>
    </row>
    <row r="2562" ht="15.75" hidden="1" customHeight="1">
      <c r="B2562" s="8">
        <v>2881.0</v>
      </c>
      <c r="C2562" s="9">
        <v>43561.0</v>
      </c>
      <c r="D2562" s="6" t="s">
        <v>3442</v>
      </c>
      <c r="E2562" s="4">
        <v>6.204000542E9</v>
      </c>
      <c r="F2562" s="8" t="s">
        <v>2884</v>
      </c>
      <c r="G2562" s="4" t="s">
        <v>2350</v>
      </c>
      <c r="H2562" s="10" t="s">
        <v>2537</v>
      </c>
      <c r="I2562" s="10">
        <v>300.0</v>
      </c>
      <c r="J2562" s="11" t="str">
        <f>IF(D2562&lt;&gt;"",VLOOKUP(H2562,TABLEITEM,5,FALSE),"")</f>
        <v>KG.</v>
      </c>
      <c r="K2562" s="12">
        <v>122.0</v>
      </c>
      <c r="L2562" s="13" t="str">
        <f>IF(D2562&lt;&gt;"",VLOOKUP(H2562,TABLEITEM,2,FALSE),"")</f>
        <v/>
      </c>
      <c r="M2562" s="13" t="str">
        <f>IF(D2562&lt;&gt;"",VLOOKUP(H2562,TABLEITEM,3,FALSE),"")</f>
        <v>สีฝุ่น L4001  สีส้มภายนอก P2049A</v>
      </c>
      <c r="N2562" s="14">
        <f>INSTOCK!$I2562*INSTOCK!$K2562</f>
        <v>36600</v>
      </c>
      <c r="O2562" s="4"/>
      <c r="P2562" s="4"/>
    </row>
    <row r="2563" ht="15.75" hidden="1" customHeight="1">
      <c r="B2563" s="8">
        <v>2882.0</v>
      </c>
      <c r="C2563" s="9">
        <v>43561.0</v>
      </c>
      <c r="D2563" s="6" t="s">
        <v>3442</v>
      </c>
      <c r="E2563" s="4">
        <v>6.204000542E9</v>
      </c>
      <c r="F2563" s="8" t="s">
        <v>2884</v>
      </c>
      <c r="G2563" s="4" t="s">
        <v>2350</v>
      </c>
      <c r="H2563" s="10" t="s">
        <v>2538</v>
      </c>
      <c r="I2563" s="10">
        <v>360.0</v>
      </c>
      <c r="J2563" s="11" t="str">
        <f>IF(D2563&lt;&gt;"",VLOOKUP(H2563,TABLEITEM,5,FALSE),"")</f>
        <v>KG.</v>
      </c>
      <c r="K2563" s="12">
        <v>122.0</v>
      </c>
      <c r="L2563" s="13" t="str">
        <f>IF(D2563&lt;&gt;"",VLOOKUP(H2563,TABLEITEM,2,FALSE),"")</f>
        <v/>
      </c>
      <c r="M2563" s="13" t="str">
        <f>IF(D2563&lt;&gt;"",VLOOKUP(H2563,TABLEITEM,3,FALSE),"")</f>
        <v>สีฝุ่น P0001A  สีขาว </v>
      </c>
      <c r="N2563" s="14">
        <f>INSTOCK!$I2563*INSTOCK!$K2563</f>
        <v>43920</v>
      </c>
      <c r="O2563" s="4"/>
      <c r="P2563" s="4"/>
    </row>
    <row r="2564" ht="15.75" hidden="1" customHeight="1">
      <c r="B2564" s="8">
        <v>2883.0</v>
      </c>
      <c r="C2564" s="9">
        <v>43561.0</v>
      </c>
      <c r="D2564" s="6" t="s">
        <v>3443</v>
      </c>
      <c r="E2564" s="4">
        <v>6.204000535E9</v>
      </c>
      <c r="F2564" s="8" t="s">
        <v>604</v>
      </c>
      <c r="G2564" s="4" t="s">
        <v>617</v>
      </c>
      <c r="H2564" s="10" t="s">
        <v>1377</v>
      </c>
      <c r="I2564" s="10">
        <v>100.0</v>
      </c>
      <c r="J2564" s="11" t="str">
        <f>IF(D2564&lt;&gt;"",VLOOKUP(H2564,TABLEITEM,5,FALSE),"")</f>
        <v>M</v>
      </c>
      <c r="K2564" s="12">
        <v>101.64</v>
      </c>
      <c r="L2564" s="13" t="str">
        <f>IF(D2564&lt;&gt;"",VLOOKUP(H2564,TABLEITEM,2,FALSE),"")</f>
        <v>Busbar</v>
      </c>
      <c r="M2564" s="13" t="str">
        <f>IF(D2564&lt;&gt;"",VLOOKUP(H2564,TABLEITEM,3,FALSE),"")</f>
        <v>บัสบาร์ทองแดง 15x3</v>
      </c>
      <c r="N2564" s="14">
        <f>INSTOCK!$I2564*INSTOCK!$K2564</f>
        <v>10164</v>
      </c>
      <c r="O2564" s="4" t="s">
        <v>3444</v>
      </c>
      <c r="P2564" s="4"/>
    </row>
    <row r="2565" ht="15.75" hidden="1" customHeight="1">
      <c r="B2565" s="8">
        <v>2884.0</v>
      </c>
      <c r="C2565" s="9">
        <v>43561.0</v>
      </c>
      <c r="D2565" s="6" t="s">
        <v>3443</v>
      </c>
      <c r="E2565" s="4">
        <v>6.204000535E9</v>
      </c>
      <c r="F2565" s="8" t="s">
        <v>604</v>
      </c>
      <c r="G2565" s="4" t="s">
        <v>617</v>
      </c>
      <c r="H2565" s="10" t="s">
        <v>560</v>
      </c>
      <c r="I2565" s="10">
        <v>100.0</v>
      </c>
      <c r="J2565" s="11" t="str">
        <f>IF(D2565&lt;&gt;"",VLOOKUP(H2565,TABLEITEM,5,FALSE),"")</f>
        <v>M</v>
      </c>
      <c r="K2565" s="12">
        <v>648.56</v>
      </c>
      <c r="L2565" s="13" t="str">
        <f>IF(D2565&lt;&gt;"",VLOOKUP(H2565,TABLEITEM,2,FALSE),"")</f>
        <v>Busbar</v>
      </c>
      <c r="M2565" s="13" t="str">
        <f>IF(D2565&lt;&gt;"",VLOOKUP(H2565,TABLEITEM,3,FALSE),"")</f>
        <v>บัสบาร์ทองแดง 30x10</v>
      </c>
      <c r="N2565" s="14">
        <f>INSTOCK!$I2565*INSTOCK!$K2565</f>
        <v>64856</v>
      </c>
      <c r="O2565" s="4" t="s">
        <v>3444</v>
      </c>
      <c r="P2565" s="4"/>
    </row>
    <row r="2566" ht="15.75" hidden="1" customHeight="1">
      <c r="B2566" s="8">
        <v>2885.0</v>
      </c>
      <c r="C2566" s="9">
        <v>43589.0</v>
      </c>
      <c r="D2566" s="6" t="s">
        <v>3445</v>
      </c>
      <c r="E2566" s="4">
        <v>6.204000522E9</v>
      </c>
      <c r="F2566" s="8" t="s">
        <v>3446</v>
      </c>
      <c r="G2566" s="4" t="s">
        <v>1962</v>
      </c>
      <c r="H2566" s="10" t="s">
        <v>3447</v>
      </c>
      <c r="I2566" s="10">
        <v>1.0</v>
      </c>
      <c r="J2566" s="11" t="str">
        <f>IF(D2566&lt;&gt;"",VLOOKUP(H2566,TABLEITEM,5,FALSE),"")</f>
        <v>EA</v>
      </c>
      <c r="K2566" s="12">
        <v>10900.0</v>
      </c>
      <c r="L2566" s="13" t="str">
        <f>IF(D2566&lt;&gt;"",VLOOKUP(H2566,TABLEITEM,2,FALSE),"")</f>
        <v/>
      </c>
      <c r="M2566" s="13" t="str">
        <f>IF(D2566&lt;&gt;"",VLOOKUP(H2566,TABLEITEM,3,FALSE),"")</f>
        <v>power miter MF96021A NEMO 96HD+ </v>
      </c>
      <c r="N2566" s="14">
        <f>INSTOCK!$I2566*INSTOCK!$K2566</f>
        <v>10900</v>
      </c>
      <c r="O2566" s="4"/>
      <c r="P2566" s="4"/>
    </row>
    <row r="2567" ht="15.75" hidden="1" customHeight="1">
      <c r="B2567" s="8">
        <v>2886.0</v>
      </c>
      <c r="C2567" s="9">
        <v>43495.0</v>
      </c>
      <c r="D2567" s="6" t="s">
        <v>3448</v>
      </c>
      <c r="E2567" s="4"/>
      <c r="F2567" s="8"/>
      <c r="G2567" s="4" t="s">
        <v>2487</v>
      </c>
      <c r="H2567" s="10" t="s">
        <v>2488</v>
      </c>
      <c r="I2567" s="10">
        <v>10.0</v>
      </c>
      <c r="J2567" s="11" t="str">
        <f>IF(D2567&lt;&gt;"",VLOOKUP(H2567,TABLEITEM,5,FALSE),"")</f>
        <v>EA</v>
      </c>
      <c r="K2567" s="12">
        <v>40.0</v>
      </c>
      <c r="L2567" s="13" t="str">
        <f>IF(D2567&lt;&gt;"",VLOOKUP(H2567,TABLEITEM,2,FALSE),"")</f>
        <v/>
      </c>
      <c r="M2567" s="13" t="str">
        <f>IF(D2567&lt;&gt;"",VLOOKUP(H2567,TABLEITEM,3,FALSE),"")</f>
        <v>สปริง 1"</v>
      </c>
      <c r="N2567" s="14">
        <f>INSTOCK!$I2567*INSTOCK!$K2567</f>
        <v>400</v>
      </c>
      <c r="O2567" s="4"/>
      <c r="P2567" s="4"/>
    </row>
    <row r="2568" ht="15.75" hidden="1" customHeight="1">
      <c r="B2568" s="8">
        <v>2887.0</v>
      </c>
      <c r="C2568" s="9">
        <v>43564.0</v>
      </c>
      <c r="D2568" s="6" t="s">
        <v>3449</v>
      </c>
      <c r="E2568" s="4">
        <v>6.204000552E9</v>
      </c>
      <c r="F2568" s="8" t="s">
        <v>3450</v>
      </c>
      <c r="G2568" s="4" t="s">
        <v>617</v>
      </c>
      <c r="H2568" s="10" t="s">
        <v>3451</v>
      </c>
      <c r="I2568" s="10">
        <v>30.0</v>
      </c>
      <c r="J2568" s="11" t="str">
        <f>IF(D2568&lt;&gt;"",VLOOKUP(H2568,TABLEITEM,5,FALSE),"")</f>
        <v>M</v>
      </c>
      <c r="K2568" s="12">
        <v>441.0</v>
      </c>
      <c r="L2568" s="13" t="str">
        <f>IF(D2568&lt;&gt;"",VLOOKUP(H2568,TABLEITEM,2,FALSE),"")</f>
        <v>Busbar</v>
      </c>
      <c r="M2568" s="13" t="str">
        <f>IF(D2568&lt;&gt;"",VLOOKUP(H2568,TABLEITEM,3,FALSE),"")</f>
        <v>บัสบาร์ทองแดง 40x5</v>
      </c>
      <c r="N2568" s="14">
        <f>INSTOCK!$I2568*INSTOCK!$K2568</f>
        <v>13230</v>
      </c>
      <c r="O2568" s="4" t="s">
        <v>3452</v>
      </c>
      <c r="P2568" s="4"/>
    </row>
    <row r="2569" ht="15.75" hidden="1" customHeight="1">
      <c r="B2569" s="8">
        <v>2888.0</v>
      </c>
      <c r="C2569" s="9">
        <v>43564.0</v>
      </c>
      <c r="D2569" s="6" t="s">
        <v>3453</v>
      </c>
      <c r="E2569" s="4">
        <v>6.204000551E9</v>
      </c>
      <c r="F2569" s="8" t="s">
        <v>3454</v>
      </c>
      <c r="G2569" s="4" t="s">
        <v>2320</v>
      </c>
      <c r="H2569" s="10" t="s">
        <v>521</v>
      </c>
      <c r="I2569" s="10">
        <v>100.0</v>
      </c>
      <c r="J2569" s="11" t="str">
        <f>IF(D2569&lt;&gt;"",VLOOKUP(H2569,TABLEITEM,5,FALSE),"")</f>
        <v>M</v>
      </c>
      <c r="K2569" s="12">
        <v>36.72</v>
      </c>
      <c r="L2569" s="13" t="str">
        <f>IF(D2569&lt;&gt;"",VLOOKUP(H2569,TABLEITEM,2,FALSE),"")</f>
        <v>wire</v>
      </c>
      <c r="M2569" s="13" t="str">
        <f>IF(D2569&lt;&gt;"",VLOOKUP(H2569,TABLEITEM,3,FALSE),"")</f>
        <v>สายTHW ขนาด 1x16 SQMM.สีเขียว</v>
      </c>
      <c r="N2569" s="14">
        <f>INSTOCK!$I2569*INSTOCK!$K2569</f>
        <v>3672</v>
      </c>
      <c r="O2569" s="4" t="s">
        <v>3455</v>
      </c>
      <c r="P2569" s="4"/>
    </row>
    <row r="2570" ht="15.75" hidden="1" customHeight="1">
      <c r="B2570" s="8">
        <v>2889.0</v>
      </c>
      <c r="C2570" s="9">
        <v>43564.0</v>
      </c>
      <c r="D2570" s="6" t="s">
        <v>3456</v>
      </c>
      <c r="E2570" s="4">
        <v>6.204000537E9</v>
      </c>
      <c r="F2570" s="8" t="s">
        <v>604</v>
      </c>
      <c r="G2570" s="4" t="s">
        <v>665</v>
      </c>
      <c r="H2570" s="10" t="s">
        <v>479</v>
      </c>
      <c r="I2570" s="10">
        <v>1000.0</v>
      </c>
      <c r="J2570" s="11" t="str">
        <f>IF(D2570&lt;&gt;"",VLOOKUP(H2570,TABLEITEM,5,FALSE),"")</f>
        <v>M</v>
      </c>
      <c r="K2570" s="12">
        <v>9.8</v>
      </c>
      <c r="L2570" s="13" t="str">
        <f>IF(D2570&lt;&gt;"",VLOOKUP(H2570,TABLEITEM,2,FALSE),"")</f>
        <v>wire</v>
      </c>
      <c r="M2570" s="13" t="str">
        <f>IF(D2570&lt;&gt;"",VLOOKUP(H2570,TABLEITEM,3,FALSE),"")</f>
        <v>สายไฟ VSF1x2.5 SQMM.สีเหลือง</v>
      </c>
      <c r="N2570" s="14">
        <f>INSTOCK!$I2570*INSTOCK!$K2570</f>
        <v>9800</v>
      </c>
      <c r="O2570" s="4"/>
      <c r="P2570" s="4"/>
    </row>
    <row r="2571" ht="15.75" hidden="1" customHeight="1">
      <c r="B2571" s="8">
        <v>2890.0</v>
      </c>
      <c r="C2571" s="9">
        <v>43564.0</v>
      </c>
      <c r="D2571" s="6" t="s">
        <v>3456</v>
      </c>
      <c r="E2571" s="4">
        <v>6.204000537E9</v>
      </c>
      <c r="F2571" s="8" t="s">
        <v>604</v>
      </c>
      <c r="G2571" s="4" t="s">
        <v>665</v>
      </c>
      <c r="H2571" s="10" t="s">
        <v>3457</v>
      </c>
      <c r="I2571" s="10">
        <v>300.0</v>
      </c>
      <c r="J2571" s="11" t="str">
        <f>IF(D2571&lt;&gt;"",VLOOKUP(H2571,TABLEITEM,5,FALSE),"")</f>
        <v>M</v>
      </c>
      <c r="K2571" s="12">
        <v>9.8</v>
      </c>
      <c r="L2571" s="13" t="str">
        <f>IF(D2571&lt;&gt;"",VLOOKUP(H2571,TABLEITEM,2,FALSE),"")</f>
        <v>wire</v>
      </c>
      <c r="M2571" s="13" t="str">
        <f>IF(D2571&lt;&gt;"",VLOOKUP(H2571,TABLEITEM,3,FALSE),"")</f>
        <v>สายไฟ VSF1x2.5 SQMM.สีเขียว</v>
      </c>
      <c r="N2571" s="14">
        <f>INSTOCK!$I2571*INSTOCK!$K2571</f>
        <v>2940</v>
      </c>
      <c r="O2571" s="4"/>
      <c r="P2571" s="4"/>
    </row>
    <row r="2572" ht="15.75" hidden="1" customHeight="1">
      <c r="B2572" s="8">
        <v>2891.0</v>
      </c>
      <c r="C2572" s="9">
        <v>43564.0</v>
      </c>
      <c r="D2572" s="6" t="s">
        <v>3456</v>
      </c>
      <c r="E2572" s="4">
        <v>6.204000537E9</v>
      </c>
      <c r="F2572" s="8" t="s">
        <v>604</v>
      </c>
      <c r="G2572" s="4" t="s">
        <v>665</v>
      </c>
      <c r="H2572" s="10" t="s">
        <v>488</v>
      </c>
      <c r="I2572" s="10">
        <v>300.0</v>
      </c>
      <c r="J2572" s="11" t="str">
        <f>IF(D2572&lt;&gt;"",VLOOKUP(H2572,TABLEITEM,5,FALSE),"")</f>
        <v>M</v>
      </c>
      <c r="K2572" s="12">
        <v>15.47</v>
      </c>
      <c r="L2572" s="13" t="str">
        <f>IF(D2572&lt;&gt;"",VLOOKUP(H2572,TABLEITEM,2,FALSE),"")</f>
        <v>wire</v>
      </c>
      <c r="M2572" s="13" t="str">
        <f>IF(D2572&lt;&gt;"",VLOOKUP(H2572,TABLEITEM,3,FALSE),"")</f>
        <v>สายไฟ VSF1x4 SQMM.สีแดง</v>
      </c>
      <c r="N2572" s="14">
        <f>INSTOCK!$I2572*INSTOCK!$K2572</f>
        <v>4641</v>
      </c>
      <c r="O2572" s="4"/>
      <c r="P2572" s="4"/>
    </row>
    <row r="2573" ht="15.75" hidden="1" customHeight="1">
      <c r="B2573" s="8">
        <v>2892.0</v>
      </c>
      <c r="C2573" s="9">
        <v>43564.0</v>
      </c>
      <c r="D2573" s="6" t="s">
        <v>3456</v>
      </c>
      <c r="E2573" s="4">
        <v>6.204000537E9</v>
      </c>
      <c r="F2573" s="8" t="s">
        <v>604</v>
      </c>
      <c r="G2573" s="4" t="s">
        <v>665</v>
      </c>
      <c r="H2573" s="10" t="s">
        <v>491</v>
      </c>
      <c r="I2573" s="10">
        <v>300.0</v>
      </c>
      <c r="J2573" s="11" t="str">
        <f>IF(D2573&lt;&gt;"",VLOOKUP(H2573,TABLEITEM,5,FALSE),"")</f>
        <v>M</v>
      </c>
      <c r="K2573" s="12">
        <v>15.47</v>
      </c>
      <c r="L2573" s="13" t="str">
        <f>IF(D2573&lt;&gt;"",VLOOKUP(H2573,TABLEITEM,2,FALSE),"")</f>
        <v>wire</v>
      </c>
      <c r="M2573" s="13" t="str">
        <f>IF(D2573&lt;&gt;"",VLOOKUP(H2573,TABLEITEM,3,FALSE),"")</f>
        <v>สายไฟ VSF1x4 SQMM.สีน้ำเงิน</v>
      </c>
      <c r="N2573" s="14">
        <f>INSTOCK!$I2573*INSTOCK!$K2573</f>
        <v>4641</v>
      </c>
      <c r="O2573" s="4"/>
      <c r="P2573" s="4"/>
    </row>
    <row r="2574" ht="15.75" hidden="1" customHeight="1">
      <c r="B2574" s="8">
        <v>2893.0</v>
      </c>
      <c r="C2574" s="9">
        <v>43563.0</v>
      </c>
      <c r="D2574" s="6" t="s">
        <v>3458</v>
      </c>
      <c r="E2574" s="4">
        <v>6.204000536E9</v>
      </c>
      <c r="F2574" s="8" t="s">
        <v>604</v>
      </c>
      <c r="G2574" s="4" t="s">
        <v>1777</v>
      </c>
      <c r="H2574" s="10" t="s">
        <v>2169</v>
      </c>
      <c r="I2574" s="10">
        <v>10000.0</v>
      </c>
      <c r="J2574" s="11" t="str">
        <f>IF(D2574&lt;&gt;"",VLOOKUP(H2574,TABLEITEM,5,FALSE),"")</f>
        <v>EA</v>
      </c>
      <c r="K2574" s="12">
        <v>0.085</v>
      </c>
      <c r="L2574" s="13" t="str">
        <f>IF(D2574&lt;&gt;"",VLOOKUP(H2574,TABLEITEM,2,FALSE),"")</f>
        <v/>
      </c>
      <c r="M2574" s="13" t="str">
        <f>IF(D2574&lt;&gt;"",VLOOKUP(H2574,TABLEITEM,3,FALSE),"")</f>
        <v>หัวน้อต       M4   ชุบขาว</v>
      </c>
      <c r="N2574" s="14">
        <f>INSTOCK!$I2574*INSTOCK!$K2574</f>
        <v>850</v>
      </c>
      <c r="O2574" s="4" t="s">
        <v>2415</v>
      </c>
      <c r="P2574" s="4"/>
    </row>
    <row r="2575" ht="15.75" hidden="1" customHeight="1">
      <c r="B2575" s="8">
        <v>2894.0</v>
      </c>
      <c r="C2575" s="9">
        <v>43563.0</v>
      </c>
      <c r="D2575" s="6" t="s">
        <v>3459</v>
      </c>
      <c r="E2575" s="4">
        <v>6.204000541E9</v>
      </c>
      <c r="F2575" s="8" t="s">
        <v>807</v>
      </c>
      <c r="G2575" s="4" t="s">
        <v>808</v>
      </c>
      <c r="H2575" s="10" t="s">
        <v>809</v>
      </c>
      <c r="I2575" s="10">
        <v>1.0</v>
      </c>
      <c r="J2575" s="11" t="str">
        <f>IF(D2575&lt;&gt;"",VLOOKUP(H2575,TABLEITEM,5,FALSE),"")</f>
        <v>ท่อ</v>
      </c>
      <c r="K2575" s="12">
        <v>2700.0</v>
      </c>
      <c r="L2575" s="13" t="str">
        <f>IF(D2575&lt;&gt;"",VLOOKUP(H2575,TABLEITEM,2,FALSE),"")</f>
        <v/>
      </c>
      <c r="M2575" s="13" t="str">
        <f>IF(D2575&lt;&gt;"",VLOOKUP(H2575,TABLEITEM,3,FALSE),"")</f>
        <v>ไนโตรเจนเหลว ขนาด 100คิว</v>
      </c>
      <c r="N2575" s="14">
        <f>INSTOCK!$I2575*INSTOCK!$K2575</f>
        <v>2700</v>
      </c>
      <c r="O2575" s="4"/>
      <c r="P2575" s="4"/>
    </row>
    <row r="2576" ht="15.75" hidden="1" customHeight="1">
      <c r="B2576" s="8">
        <v>2895.0</v>
      </c>
      <c r="C2576" s="9">
        <v>43564.0</v>
      </c>
      <c r="D2576" s="6" t="s">
        <v>3460</v>
      </c>
      <c r="E2576" s="4">
        <v>6.204000538E9</v>
      </c>
      <c r="F2576" s="8" t="s">
        <v>604</v>
      </c>
      <c r="G2576" s="4" t="s">
        <v>721</v>
      </c>
      <c r="H2576" s="18" t="s">
        <v>222</v>
      </c>
      <c r="I2576" s="10">
        <v>200.0</v>
      </c>
      <c r="J2576" s="11" t="str">
        <f>IF(D2576&lt;&gt;"",VLOOKUP(H2576,TABLEITEM,5,FALSE),"")</f>
        <v>M</v>
      </c>
      <c r="K2576" s="12">
        <v>9.4575</v>
      </c>
      <c r="L2576" s="13" t="str">
        <f>IF(D2576&lt;&gt;"",VLOOKUP(H2576,TABLEITEM,2,FALSE),"")</f>
        <v/>
      </c>
      <c r="M2576" s="13" t="str">
        <f>IF(D2576&lt;&gt;"",VLOOKUP(H2576,TABLEITEM,3,FALSE),"")</f>
        <v>ท่ออ่อนลูกฟูกชิดผ่า/ท่อผ่าดำ 11มิล</v>
      </c>
      <c r="N2576" s="14">
        <f>INSTOCK!$I2576*INSTOCK!$K2576</f>
        <v>1891.5</v>
      </c>
      <c r="O2576" s="4" t="s">
        <v>1145</v>
      </c>
      <c r="P2576" s="4"/>
    </row>
    <row r="2577" ht="15.75" hidden="1" customHeight="1">
      <c r="B2577" s="8">
        <v>2896.0</v>
      </c>
      <c r="C2577" s="9">
        <v>43564.0</v>
      </c>
      <c r="D2577" s="6" t="s">
        <v>3460</v>
      </c>
      <c r="E2577" s="4">
        <v>6.204000538E9</v>
      </c>
      <c r="F2577" s="8" t="s">
        <v>604</v>
      </c>
      <c r="G2577" s="4" t="s">
        <v>721</v>
      </c>
      <c r="H2577" s="10" t="s">
        <v>225</v>
      </c>
      <c r="I2577" s="10">
        <v>100.0</v>
      </c>
      <c r="J2577" s="11" t="str">
        <f>IF(D2577&lt;&gt;"",VLOOKUP(H2577,TABLEITEM,5,FALSE),"")</f>
        <v>M</v>
      </c>
      <c r="K2577" s="12">
        <v>14.5815</v>
      </c>
      <c r="L2577" s="13" t="str">
        <f>IF(D2577&lt;&gt;"",VLOOKUP(H2577,TABLEITEM,2,FALSE),"")</f>
        <v/>
      </c>
      <c r="M2577" s="13" t="str">
        <f>IF(D2577&lt;&gt;"",VLOOKUP(H2577,TABLEITEM,3,FALSE),"")</f>
        <v>ท่ออ่อนลูกฟูกชิดผ่า/ท่อผ่าดำ 19มิล</v>
      </c>
      <c r="N2577" s="14">
        <f>INSTOCK!$I2577*INSTOCK!$K2577</f>
        <v>1458.15</v>
      </c>
      <c r="O2577" s="4" t="s">
        <v>1157</v>
      </c>
      <c r="P2577" s="4"/>
    </row>
    <row r="2578" ht="15.75" hidden="1" customHeight="1">
      <c r="B2578" s="8">
        <v>2897.0</v>
      </c>
      <c r="C2578" s="9">
        <v>43563.0</v>
      </c>
      <c r="D2578" s="6" t="s">
        <v>3461</v>
      </c>
      <c r="E2578" s="4"/>
      <c r="F2578" s="8" t="s">
        <v>3462</v>
      </c>
      <c r="G2578" s="4" t="s">
        <v>898</v>
      </c>
      <c r="H2578" s="10" t="s">
        <v>2268</v>
      </c>
      <c r="I2578" s="10">
        <v>10.0</v>
      </c>
      <c r="J2578" s="11" t="str">
        <f>IF(D2578&lt;&gt;"",VLOOKUP(H2578,TABLEITEM,5,FALSE),"")</f>
        <v>LIT</v>
      </c>
      <c r="K2578" s="12">
        <v>400.0</v>
      </c>
      <c r="L2578" s="13" t="str">
        <f>IF(D2578&lt;&gt;"",VLOOKUP(H2578,TABLEITEM,2,FALSE),"")</f>
        <v/>
      </c>
      <c r="M2578" s="13" t="str">
        <f>IF(D2578&lt;&gt;"",VLOOKUP(H2578,TABLEITEM,3,FALSE),"")</f>
        <v>สีพ่นแห้งเร็ว(สีผสม)</v>
      </c>
      <c r="N2578" s="14">
        <f>INSTOCK!$I2578*INSTOCK!$K2578</f>
        <v>4000</v>
      </c>
      <c r="O2578" s="4" t="s">
        <v>2784</v>
      </c>
      <c r="P2578" s="4"/>
    </row>
    <row r="2579" ht="15.75" hidden="1" customHeight="1">
      <c r="B2579" s="8">
        <v>2898.0</v>
      </c>
      <c r="C2579" s="9">
        <v>43564.0</v>
      </c>
      <c r="D2579" s="6" t="s">
        <v>3463</v>
      </c>
      <c r="E2579" s="4">
        <v>6.20300047E9</v>
      </c>
      <c r="F2579" s="8" t="s">
        <v>3399</v>
      </c>
      <c r="G2579" s="4" t="s">
        <v>1962</v>
      </c>
      <c r="H2579" s="10" t="s">
        <v>1963</v>
      </c>
      <c r="I2579" s="10">
        <v>1.0</v>
      </c>
      <c r="J2579" s="11" t="str">
        <f>IF(D2579&lt;&gt;"",VLOOKUP(H2579,TABLEITEM,5,FALSE),"")</f>
        <v>EA</v>
      </c>
      <c r="K2579" s="12">
        <v>4200.0</v>
      </c>
      <c r="L2579" s="13" t="str">
        <f>IF(D2579&lt;&gt;"",VLOOKUP(H2579,TABLEITEM,2,FALSE),"")</f>
        <v/>
      </c>
      <c r="M2579" s="13" t="str">
        <f>IF(D2579&lt;&gt;"",VLOOKUP(H2579,TABLEITEM,3,FALSE),"")</f>
        <v>SURGE STPT240K275V-4P AC230VAC 4P 40A</v>
      </c>
      <c r="N2579" s="14">
        <f>INSTOCK!$I2579*INSTOCK!$K2579</f>
        <v>4200</v>
      </c>
      <c r="O2579" s="4"/>
      <c r="P2579" s="4"/>
    </row>
    <row r="2580" ht="15.75" hidden="1" customHeight="1">
      <c r="B2580" s="8">
        <v>2899.0</v>
      </c>
      <c r="C2580" s="9">
        <v>43563.0</v>
      </c>
      <c r="D2580" s="6" t="s">
        <v>3464</v>
      </c>
      <c r="E2580" s="4">
        <v>6.204000548E9</v>
      </c>
      <c r="F2580" s="8" t="s">
        <v>3465</v>
      </c>
      <c r="G2580" s="4" t="s">
        <v>1289</v>
      </c>
      <c r="H2580" s="10" t="s">
        <v>3466</v>
      </c>
      <c r="I2580" s="10">
        <v>20.0</v>
      </c>
      <c r="J2580" s="11" t="str">
        <f>IF(D2580&lt;&gt;"",VLOOKUP(H2580,TABLEITEM,5,FALSE),"")</f>
        <v>EA</v>
      </c>
      <c r="K2580" s="12">
        <v>22.5</v>
      </c>
      <c r="L2580" s="13" t="str">
        <f>IF(D2580&lt;&gt;"",VLOOKUP(H2580,TABLEITEM,2,FALSE),"")</f>
        <v/>
      </c>
      <c r="M2580" s="13" t="str">
        <f>IF(D2580&lt;&gt;"",VLOOKUP(H2580,TABLEITEM,3,FALSE),"")</f>
        <v>บานพับข้อศอกรุ่นหนา 5" ซ้าย</v>
      </c>
      <c r="N2580" s="14">
        <f>INSTOCK!$I2580*INSTOCK!$K2580</f>
        <v>450</v>
      </c>
      <c r="O2580" s="4"/>
      <c r="P2580" s="4"/>
    </row>
    <row r="2581" ht="15.75" hidden="1" customHeight="1">
      <c r="B2581" s="8">
        <v>2900.0</v>
      </c>
      <c r="C2581" s="9">
        <v>43563.0</v>
      </c>
      <c r="D2581" s="6" t="s">
        <v>3464</v>
      </c>
      <c r="E2581" s="4">
        <v>6.204000548E9</v>
      </c>
      <c r="F2581" s="8" t="s">
        <v>3465</v>
      </c>
      <c r="G2581" s="4" t="s">
        <v>1289</v>
      </c>
      <c r="H2581" s="10" t="s">
        <v>3467</v>
      </c>
      <c r="I2581" s="10">
        <v>20.0</v>
      </c>
      <c r="J2581" s="11" t="str">
        <f>IF(D2581&lt;&gt;"",VLOOKUP(H2581,TABLEITEM,5,FALSE),"")</f>
        <v>EA</v>
      </c>
      <c r="K2581" s="12">
        <v>22.5</v>
      </c>
      <c r="L2581" s="13" t="str">
        <f>IF(D2581&lt;&gt;"",VLOOKUP(H2581,TABLEITEM,2,FALSE),"")</f>
        <v/>
      </c>
      <c r="M2581" s="13" t="str">
        <f>IF(D2581&lt;&gt;"",VLOOKUP(H2581,TABLEITEM,3,FALSE),"")</f>
        <v>บานพับข้อศอกรุ่นหนา 5" ขวา</v>
      </c>
      <c r="N2581" s="14">
        <f>INSTOCK!$I2581*INSTOCK!$K2581</f>
        <v>450</v>
      </c>
      <c r="O2581" s="4"/>
      <c r="P2581" s="4"/>
    </row>
    <row r="2582" ht="15.75" hidden="1" customHeight="1">
      <c r="B2582" s="8">
        <v>2901.0</v>
      </c>
      <c r="C2582" s="9">
        <v>43564.0</v>
      </c>
      <c r="D2582" s="6">
        <v>6.20403213E8</v>
      </c>
      <c r="E2582" s="4">
        <v>6.204000554E9</v>
      </c>
      <c r="F2582" s="8" t="s">
        <v>2875</v>
      </c>
      <c r="G2582" s="4" t="s">
        <v>1130</v>
      </c>
      <c r="H2582" s="10" t="s">
        <v>1832</v>
      </c>
      <c r="I2582" s="10">
        <v>20.0</v>
      </c>
      <c r="J2582" s="11" t="str">
        <f>IF(D2582&lt;&gt;"",VLOOKUP(H2582,TABLEITEM,5,FALSE),"")</f>
        <v>EA</v>
      </c>
      <c r="K2582" s="12">
        <v>107.8</v>
      </c>
      <c r="L2582" s="13" t="str">
        <f>IF(D2582&lt;&gt;"",VLOOKUP(H2582,TABLEITEM,2,FALSE),"")</f>
        <v/>
      </c>
      <c r="M2582" s="13" t="str">
        <f>IF(D2582&lt;&gt;"",VLOOKUP(H2582,TABLEITEM,3,FALSE),"")</f>
        <v>SOCKET PYF-14A-E</v>
      </c>
      <c r="N2582" s="14">
        <f>INSTOCK!$I2582*INSTOCK!$K2582</f>
        <v>2156</v>
      </c>
      <c r="O2582" s="4" t="s">
        <v>3468</v>
      </c>
      <c r="P2582" s="4"/>
    </row>
    <row r="2583" ht="15.75" hidden="1" customHeight="1">
      <c r="B2583" s="8">
        <v>2902.0</v>
      </c>
      <c r="C2583" s="9">
        <v>43565.0</v>
      </c>
      <c r="D2583" s="6" t="s">
        <v>3469</v>
      </c>
      <c r="E2583" s="4">
        <v>6.204000537E9</v>
      </c>
      <c r="F2583" s="8" t="s">
        <v>604</v>
      </c>
      <c r="G2583" s="4" t="s">
        <v>665</v>
      </c>
      <c r="H2583" s="10" t="s">
        <v>491</v>
      </c>
      <c r="I2583" s="10">
        <v>100.0</v>
      </c>
      <c r="J2583" s="11" t="str">
        <f>IF(D2583&lt;&gt;"",VLOOKUP(H2583,TABLEITEM,5,FALSE),"")</f>
        <v>M</v>
      </c>
      <c r="K2583" s="12">
        <v>15.47</v>
      </c>
      <c r="L2583" s="13" t="str">
        <f>IF(D2583&lt;&gt;"",VLOOKUP(H2583,TABLEITEM,2,FALSE),"")</f>
        <v>wire</v>
      </c>
      <c r="M2583" s="13" t="str">
        <f>IF(D2583&lt;&gt;"",VLOOKUP(H2583,TABLEITEM,3,FALSE),"")</f>
        <v>สายไฟ VSF1x4 SQMM.สีน้ำเงิน</v>
      </c>
      <c r="N2583" s="14">
        <f>INSTOCK!$I2583*INSTOCK!$K2583</f>
        <v>1547</v>
      </c>
      <c r="O2583" s="4"/>
      <c r="P2583" s="4"/>
    </row>
    <row r="2584" ht="15.75" hidden="1" customHeight="1">
      <c r="B2584" s="8">
        <v>2903.0</v>
      </c>
      <c r="C2584" s="9">
        <v>43565.0</v>
      </c>
      <c r="D2584" s="6" t="s">
        <v>3470</v>
      </c>
      <c r="E2584" s="4">
        <v>6.204000553E9</v>
      </c>
      <c r="F2584" s="8" t="s">
        <v>604</v>
      </c>
      <c r="G2584" s="4" t="s">
        <v>737</v>
      </c>
      <c r="H2584" s="10" t="s">
        <v>16</v>
      </c>
      <c r="I2584" s="10">
        <v>360.0</v>
      </c>
      <c r="J2584" s="11" t="str">
        <f>IF(D2584&lt;&gt;"",VLOOKUP(H2584,TABLEITEM,5,FALSE),"")</f>
        <v>คู่</v>
      </c>
      <c r="K2584" s="12">
        <v>4.58333</v>
      </c>
      <c r="L2584" s="13" t="str">
        <f>IF(D2584&lt;&gt;"",VLOOKUP(H2584,TABLEITEM,2,FALSE),"")</f>
        <v/>
      </c>
      <c r="M2584" s="13" t="str">
        <f>IF(D2584&lt;&gt;"",VLOOKUP(H2584,TABLEITEM,3,FALSE),"")</f>
        <v>ถุงมือผ้า</v>
      </c>
      <c r="N2584" s="14">
        <f>INSTOCK!$I2584*INSTOCK!$K2584</f>
        <v>1649.9988</v>
      </c>
      <c r="O2584" s="4" t="s">
        <v>973</v>
      </c>
      <c r="P2584" s="4"/>
    </row>
    <row r="2585" ht="15.75" hidden="1" customHeight="1">
      <c r="B2585" s="8">
        <v>2904.0</v>
      </c>
      <c r="C2585" s="9">
        <v>43565.0</v>
      </c>
      <c r="D2585" s="6">
        <v>6.2040544E7</v>
      </c>
      <c r="E2585" s="4">
        <v>6.20400054E9</v>
      </c>
      <c r="F2585" s="8" t="s">
        <v>3471</v>
      </c>
      <c r="G2585" s="4" t="s">
        <v>711</v>
      </c>
      <c r="H2585" s="10" t="s">
        <v>105</v>
      </c>
      <c r="I2585" s="10">
        <v>20.0</v>
      </c>
      <c r="J2585" s="11" t="str">
        <f>IF(D2585&lt;&gt;"",VLOOKUP(H2585,TABLEITEM,5,FALSE),"")</f>
        <v>KG.</v>
      </c>
      <c r="K2585" s="12">
        <v>165.75</v>
      </c>
      <c r="L2585" s="13" t="str">
        <f>IF(D2585&lt;&gt;"",VLOOKUP(H2585,TABLEITEM,2,FALSE),"")</f>
        <v/>
      </c>
      <c r="M2585" s="13" t="str">
        <f>IF(D2585&lt;&gt;"",VLOOKUP(H2585,TABLEITEM,3,FALSE),"")</f>
        <v>สีฝุ่น M10001 WN</v>
      </c>
      <c r="N2585" s="14">
        <f>INSTOCK!$I2585*INSTOCK!$K2585</f>
        <v>3315</v>
      </c>
      <c r="O2585" s="4" t="s">
        <v>971</v>
      </c>
      <c r="P2585" s="4"/>
    </row>
    <row r="2586" ht="15.75" hidden="1" customHeight="1">
      <c r="B2586" s="8">
        <v>2905.0</v>
      </c>
      <c r="C2586" s="9">
        <v>43556.0</v>
      </c>
      <c r="D2586" s="6">
        <v>6.2040021E7</v>
      </c>
      <c r="E2586" s="4">
        <v>6.203000493E9</v>
      </c>
      <c r="F2586" s="8" t="s">
        <v>3472</v>
      </c>
      <c r="G2586" s="4" t="s">
        <v>711</v>
      </c>
      <c r="H2586" s="10" t="s">
        <v>712</v>
      </c>
      <c r="I2586" s="10">
        <v>20.0</v>
      </c>
      <c r="J2586" s="11" t="str">
        <f>IF(D2586&lt;&gt;"",VLOOKUP(H2586,TABLEITEM,5,FALSE),"")</f>
        <v>KG.</v>
      </c>
      <c r="K2586" s="12">
        <v>148.75</v>
      </c>
      <c r="L2586" s="13" t="str">
        <f>IF(D2586&lt;&gt;"",VLOOKUP(H2586,TABLEITEM,2,FALSE),"")</f>
        <v/>
      </c>
      <c r="M2586" s="13" t="str">
        <f>IF(D2586&lt;&gt;"",VLOOKUP(H2586,TABLEITEM,3,FALSE),"")</f>
        <v>สีฝุ่น M70460 CN</v>
      </c>
      <c r="N2586" s="14">
        <f>INSTOCK!$I2586*INSTOCK!$K2586</f>
        <v>2975</v>
      </c>
      <c r="O2586" s="4" t="s">
        <v>714</v>
      </c>
      <c r="P2586" s="4"/>
    </row>
    <row r="2587" ht="15.75" hidden="1" customHeight="1">
      <c r="B2587" s="8">
        <v>2906.0</v>
      </c>
      <c r="C2587" s="9">
        <v>43564.0</v>
      </c>
      <c r="D2587" s="6" t="s">
        <v>3473</v>
      </c>
      <c r="E2587" s="4"/>
      <c r="F2587" s="8" t="s">
        <v>604</v>
      </c>
      <c r="G2587" s="4" t="s">
        <v>3474</v>
      </c>
      <c r="H2587" s="10" t="s">
        <v>3475</v>
      </c>
      <c r="I2587" s="10">
        <v>24.0</v>
      </c>
      <c r="J2587" s="11" t="str">
        <f>IF(D2587&lt;&gt;"",VLOOKUP(H2587,TABLEITEM,5,FALSE),"")</f>
        <v>กป.</v>
      </c>
      <c r="K2587" s="12">
        <v>300.0</v>
      </c>
      <c r="L2587" s="13" t="str">
        <f>IF(D2587&lt;&gt;"",VLOOKUP(H2587,TABLEITEM,2,FALSE),"")</f>
        <v/>
      </c>
      <c r="M2587" s="13" t="str">
        <f>IF(D2587&lt;&gt;"",VLOOKUP(H2587,TABLEITEM,3,FALSE),"")</f>
        <v>สีสเปร์ย เทาดำ P9001A MSP400ML (สั่งผสม)</v>
      </c>
      <c r="N2587" s="14">
        <f>INSTOCK!$I2587*INSTOCK!$K2587</f>
        <v>7200</v>
      </c>
      <c r="O2587" s="4"/>
      <c r="P2587" s="4"/>
    </row>
    <row r="2588" ht="15.75" hidden="1" customHeight="1">
      <c r="B2588" s="8">
        <v>2907.0</v>
      </c>
      <c r="C2588" s="9">
        <v>43565.0</v>
      </c>
      <c r="D2588" s="6" t="s">
        <v>3476</v>
      </c>
      <c r="E2588" s="4">
        <v>6.204000557E9</v>
      </c>
      <c r="F2588" s="8" t="s">
        <v>3450</v>
      </c>
      <c r="G2588" s="4" t="s">
        <v>950</v>
      </c>
      <c r="H2588" s="10" t="s">
        <v>3371</v>
      </c>
      <c r="I2588" s="10">
        <v>50.0</v>
      </c>
      <c r="J2588" s="11" t="str">
        <f>IF(D2588&lt;&gt;"",VLOOKUP(H2588,TABLEITEM,5,FALSE),"")</f>
        <v>M</v>
      </c>
      <c r="K2588" s="12">
        <v>354.86</v>
      </c>
      <c r="L2588" s="13" t="str">
        <f>IF(D2588&lt;&gt;"",VLOOKUP(H2588,TABLEITEM,2,FALSE),"")</f>
        <v/>
      </c>
      <c r="M2588" s="13" t="str">
        <f>IF(D2588&lt;&gt;"",VLOOKUP(H2588,TABLEITEM,3,FALSE),"")</f>
        <v>Heat Shrink  แรงสูง HB2 # 30</v>
      </c>
      <c r="N2588" s="14">
        <f>INSTOCK!$I2588*INSTOCK!$K2588</f>
        <v>17743</v>
      </c>
      <c r="O2588" s="4"/>
      <c r="P2588" s="4"/>
    </row>
    <row r="2589" ht="15.75" hidden="1" customHeight="1">
      <c r="B2589" s="8">
        <v>2908.0</v>
      </c>
      <c r="C2589" s="9">
        <v>43565.0</v>
      </c>
      <c r="D2589" s="6" t="s">
        <v>3477</v>
      </c>
      <c r="E2589" s="4" t="s">
        <v>3478</v>
      </c>
      <c r="F2589" s="8" t="s">
        <v>604</v>
      </c>
      <c r="G2589" s="4" t="s">
        <v>2292</v>
      </c>
      <c r="H2589" s="10" t="s">
        <v>3479</v>
      </c>
      <c r="I2589" s="10">
        <v>10.0</v>
      </c>
      <c r="J2589" s="11" t="str">
        <f>IF(D2589&lt;&gt;"",VLOOKUP(H2589,TABLEITEM,5,FALSE),"")</f>
        <v>EA</v>
      </c>
      <c r="K2589" s="12">
        <v>124.0</v>
      </c>
      <c r="L2589" s="13" t="str">
        <f>IF(D2589&lt;&gt;"",VLOOKUP(H2589,TABLEITEM,2,FALSE),"")</f>
        <v/>
      </c>
      <c r="M2589" s="13" t="str">
        <f>IF(D2589&lt;&gt;"",VLOOKUP(H2589,TABLEITEM,3,FALSE),"")</f>
        <v>ข้อต่อสายลม ขนาด 8x12mm 80PN</v>
      </c>
      <c r="N2589" s="14">
        <f>INSTOCK!$I2589*INSTOCK!$K2589</f>
        <v>1240</v>
      </c>
      <c r="O2589" s="4" t="s">
        <v>3480</v>
      </c>
      <c r="P2589" s="4"/>
    </row>
    <row r="2590" ht="15.75" hidden="1" customHeight="1">
      <c r="B2590" s="8">
        <v>2909.0</v>
      </c>
      <c r="C2590" s="9">
        <v>43565.0</v>
      </c>
      <c r="D2590" s="6" t="s">
        <v>3477</v>
      </c>
      <c r="E2590" s="4" t="s">
        <v>3478</v>
      </c>
      <c r="F2590" s="8" t="s">
        <v>604</v>
      </c>
      <c r="G2590" s="4" t="s">
        <v>2292</v>
      </c>
      <c r="H2590" s="10" t="s">
        <v>3481</v>
      </c>
      <c r="I2590" s="10">
        <v>10.0</v>
      </c>
      <c r="J2590" s="11" t="str">
        <f>IF(D2590&lt;&gt;"",VLOOKUP(H2590,TABLEITEM,5,FALSE),"")</f>
        <v>EA</v>
      </c>
      <c r="K2590" s="12">
        <v>252.0</v>
      </c>
      <c r="L2590" s="13" t="str">
        <f>IF(D2590&lt;&gt;"",VLOOKUP(H2590,TABLEITEM,2,FALSE),"")</f>
        <v/>
      </c>
      <c r="M2590" s="13" t="str">
        <f>IF(D2590&lt;&gt;"",VLOOKUP(H2590,TABLEITEM,3,FALSE),"")</f>
        <v>ข้อต่อสายลม ขนาด 8x12mm 80SN</v>
      </c>
      <c r="N2590" s="14">
        <f>INSTOCK!$I2590*INSTOCK!$K2590</f>
        <v>2520</v>
      </c>
      <c r="O2590" s="4" t="s">
        <v>3482</v>
      </c>
      <c r="P2590" s="4"/>
    </row>
    <row r="2591" ht="15.75" hidden="1" customHeight="1">
      <c r="B2591" s="8">
        <v>2910.0</v>
      </c>
      <c r="C2591" s="9">
        <v>43565.0</v>
      </c>
      <c r="D2591" s="6" t="s">
        <v>3483</v>
      </c>
      <c r="E2591" s="4">
        <v>6.20400056E9</v>
      </c>
      <c r="F2591" s="8" t="s">
        <v>3484</v>
      </c>
      <c r="G2591" s="4" t="s">
        <v>1516</v>
      </c>
      <c r="H2591" s="10" t="s">
        <v>3485</v>
      </c>
      <c r="I2591" s="10">
        <v>2.0</v>
      </c>
      <c r="J2591" s="11" t="str">
        <f>IF(D2591&lt;&gt;"",VLOOKUP(H2591,TABLEITEM,5,FALSE),"")</f>
        <v>EA</v>
      </c>
      <c r="K2591" s="12">
        <v>471.0</v>
      </c>
      <c r="L2591" s="13" t="str">
        <f>IF(D2591&lt;&gt;"",VLOOKUP(H2591,TABLEITEM,2,FALSE),"")</f>
        <v/>
      </c>
      <c r="M2591" s="13" t="str">
        <f>IF(D2591&lt;&gt;"",VLOOKUP(H2591,TABLEITEM,3,FALSE),"")</f>
        <v>PILOT LIGHT XB4BVG4</v>
      </c>
      <c r="N2591" s="14">
        <f>INSTOCK!$I2591*INSTOCK!$K2591</f>
        <v>942</v>
      </c>
      <c r="O2591" s="4" t="s">
        <v>3486</v>
      </c>
      <c r="P2591" s="4"/>
    </row>
    <row r="2592" ht="15.75" hidden="1" customHeight="1">
      <c r="B2592" s="8">
        <v>2911.0</v>
      </c>
      <c r="C2592" s="9">
        <v>43565.0</v>
      </c>
      <c r="D2592" s="6" t="s">
        <v>3483</v>
      </c>
      <c r="E2592" s="4">
        <v>6.20400056E9</v>
      </c>
      <c r="F2592" s="8" t="s">
        <v>3484</v>
      </c>
      <c r="G2592" s="4" t="s">
        <v>1516</v>
      </c>
      <c r="H2592" s="10" t="s">
        <v>3487</v>
      </c>
      <c r="I2592" s="10">
        <v>2.0</v>
      </c>
      <c r="J2592" s="11" t="str">
        <f>IF(D2592&lt;&gt;"",VLOOKUP(H2592,TABLEITEM,5,FALSE),"")</f>
        <v>EA</v>
      </c>
      <c r="K2592" s="12">
        <v>471.0</v>
      </c>
      <c r="L2592" s="13" t="str">
        <f>IF(D2592&lt;&gt;"",VLOOKUP(H2592,TABLEITEM,2,FALSE),"")</f>
        <v/>
      </c>
      <c r="M2592" s="13" t="str">
        <f>IF(D2592&lt;&gt;"",VLOOKUP(H2592,TABLEITEM,3,FALSE),"")</f>
        <v>PILOT LIGHT XB4BVG6</v>
      </c>
      <c r="N2592" s="14">
        <f>INSTOCK!$I2592*INSTOCK!$K2592</f>
        <v>942</v>
      </c>
      <c r="O2592" s="4" t="s">
        <v>3486</v>
      </c>
      <c r="P2592" s="4"/>
    </row>
    <row r="2593" ht="15.75" hidden="1" customHeight="1">
      <c r="B2593" s="8">
        <v>2912.0</v>
      </c>
      <c r="C2593" s="9">
        <v>43565.0</v>
      </c>
      <c r="D2593" s="6" t="s">
        <v>3483</v>
      </c>
      <c r="E2593" s="4">
        <v>6.20400056E9</v>
      </c>
      <c r="F2593" s="8" t="s">
        <v>3484</v>
      </c>
      <c r="G2593" s="4" t="s">
        <v>1516</v>
      </c>
      <c r="H2593" s="10" t="s">
        <v>3488</v>
      </c>
      <c r="I2593" s="10">
        <v>1.0</v>
      </c>
      <c r="J2593" s="11" t="str">
        <f>IF(D2593&lt;&gt;"",VLOOKUP(H2593,TABLEITEM,5,FALSE),"")</f>
        <v>EA</v>
      </c>
      <c r="K2593" s="12">
        <v>553.5</v>
      </c>
      <c r="L2593" s="13" t="str">
        <f>IF(D2593&lt;&gt;"",VLOOKUP(H2593,TABLEITEM,2,FALSE),"")</f>
        <v/>
      </c>
      <c r="M2593" s="13" t="str">
        <f>IF(D2593&lt;&gt;"",VLOOKUP(H2593,TABLEITEM,3,FALSE),"")</f>
        <v>PUSHBUTTON XB4BW35B5</v>
      </c>
      <c r="N2593" s="14">
        <f>INSTOCK!$I2593*INSTOCK!$K2593</f>
        <v>553.5</v>
      </c>
      <c r="O2593" s="4" t="s">
        <v>3489</v>
      </c>
      <c r="P2593" s="4"/>
    </row>
    <row r="2594" ht="15.75" hidden="1" customHeight="1">
      <c r="B2594" s="8">
        <v>2913.0</v>
      </c>
      <c r="C2594" s="9">
        <v>43566.0</v>
      </c>
      <c r="D2594" s="6" t="s">
        <v>3490</v>
      </c>
      <c r="E2594" s="4"/>
      <c r="F2594" s="8" t="s">
        <v>3491</v>
      </c>
      <c r="G2594" s="4" t="s">
        <v>617</v>
      </c>
      <c r="H2594" s="10" t="s">
        <v>546</v>
      </c>
      <c r="I2594" s="10">
        <v>30.0</v>
      </c>
      <c r="J2594" s="11" t="str">
        <f>IF(D2594&lt;&gt;"",VLOOKUP(H2594,TABLEITEM,5,FALSE),"")</f>
        <v>M</v>
      </c>
      <c r="K2594" s="12">
        <v>1416.1</v>
      </c>
      <c r="L2594" s="13" t="str">
        <f>IF(D2594&lt;&gt;"",VLOOKUP(H2594,TABLEITEM,2,FALSE),"")</f>
        <v>Busbar</v>
      </c>
      <c r="M2594" s="13" t="str">
        <f>IF(D2594&lt;&gt;"",VLOOKUP(H2594,TABLEITEM,3,FALSE),"")</f>
        <v>บัสบาร์ทองแดง 2"x1/2"</v>
      </c>
      <c r="N2594" s="14">
        <f>INSTOCK!$I2594*INSTOCK!$K2594</f>
        <v>42483</v>
      </c>
      <c r="O2594" s="4" t="s">
        <v>3452</v>
      </c>
      <c r="P2594" s="4"/>
    </row>
    <row r="2595" ht="15.75" hidden="1" customHeight="1">
      <c r="B2595" s="8">
        <v>2914.0</v>
      </c>
      <c r="C2595" s="9">
        <v>43566.0</v>
      </c>
      <c r="D2595" s="6" t="s">
        <v>3492</v>
      </c>
      <c r="E2595" s="4">
        <v>6.204000559E9</v>
      </c>
      <c r="F2595" s="8" t="s">
        <v>604</v>
      </c>
      <c r="G2595" s="4" t="s">
        <v>617</v>
      </c>
      <c r="H2595" s="10" t="s">
        <v>558</v>
      </c>
      <c r="I2595" s="10">
        <v>50.0</v>
      </c>
      <c r="J2595" s="11" t="str">
        <f>IF(D2595&lt;&gt;"",VLOOKUP(H2595,TABLEITEM,5,FALSE),"")</f>
        <v>M</v>
      </c>
      <c r="K2595" s="12">
        <v>274.4</v>
      </c>
      <c r="L2595" s="13" t="str">
        <f>IF(D2595&lt;&gt;"",VLOOKUP(H2595,TABLEITEM,2,FALSE),"")</f>
        <v>Busbar</v>
      </c>
      <c r="M2595" s="13" t="str">
        <f>IF(D2595&lt;&gt;"",VLOOKUP(H2595,TABLEITEM,3,FALSE),"")</f>
        <v>บัสบาร์ทองแดง 25x5</v>
      </c>
      <c r="N2595" s="14">
        <f>INSTOCK!$I2595*INSTOCK!$K2595</f>
        <v>13720</v>
      </c>
      <c r="O2595" s="4" t="s">
        <v>3493</v>
      </c>
      <c r="P2595" s="4"/>
    </row>
    <row r="2596" ht="15.75" hidden="1" customHeight="1">
      <c r="B2596" s="8">
        <v>2915.0</v>
      </c>
      <c r="C2596" s="9">
        <v>43566.0</v>
      </c>
      <c r="D2596" s="6" t="s">
        <v>3494</v>
      </c>
      <c r="E2596" s="4">
        <v>6.203000461E9</v>
      </c>
      <c r="F2596" s="8" t="s">
        <v>3495</v>
      </c>
      <c r="G2596" s="4" t="s">
        <v>617</v>
      </c>
      <c r="H2596" s="10" t="s">
        <v>3496</v>
      </c>
      <c r="I2596" s="10">
        <v>7.0</v>
      </c>
      <c r="J2596" s="11" t="str">
        <f>IF(D2596&lt;&gt;"",VLOOKUP(H2596,TABLEITEM,5,FALSE),"")</f>
        <v/>
      </c>
      <c r="K2596" s="12">
        <v>6000.0</v>
      </c>
      <c r="L2596" s="13" t="str">
        <f>IF(D2596&lt;&gt;"",VLOOKUP(H2596,TABLEITEM,2,FALSE),"")</f>
        <v/>
      </c>
      <c r="M2596" s="13" t="str">
        <f>IF(D2596&lt;&gt;"",VLOOKUP(H2596,TABLEITEM,3,FALSE),"")</f>
        <v>เฟล็กซิเบิลลิงค์ 100/13/350</v>
      </c>
      <c r="N2596" s="14">
        <f>INSTOCK!$I2596*INSTOCK!$K2596</f>
        <v>42000</v>
      </c>
      <c r="O2596" s="4"/>
      <c r="P2596" s="4"/>
    </row>
    <row r="2597" ht="15.75" hidden="1" customHeight="1">
      <c r="B2597" s="8">
        <v>2916.0</v>
      </c>
      <c r="C2597" s="9">
        <v>43566.0</v>
      </c>
      <c r="D2597" s="6">
        <v>6.2040616E7</v>
      </c>
      <c r="E2597" s="4">
        <v>6.204000568E9</v>
      </c>
      <c r="F2597" s="8" t="s">
        <v>3497</v>
      </c>
      <c r="G2597" s="4" t="s">
        <v>711</v>
      </c>
      <c r="H2597" s="10" t="s">
        <v>712</v>
      </c>
      <c r="I2597" s="10">
        <v>40.0</v>
      </c>
      <c r="J2597" s="11" t="str">
        <f>IF(D2597&lt;&gt;"",VLOOKUP(H2597,TABLEITEM,5,FALSE),"")</f>
        <v>KG.</v>
      </c>
      <c r="K2597" s="12">
        <v>148.75</v>
      </c>
      <c r="L2597" s="13" t="str">
        <f>IF(D2597&lt;&gt;"",VLOOKUP(H2597,TABLEITEM,2,FALSE),"")</f>
        <v/>
      </c>
      <c r="M2597" s="13" t="str">
        <f>IF(D2597&lt;&gt;"",VLOOKUP(H2597,TABLEITEM,3,FALSE),"")</f>
        <v>สีฝุ่น M70460 CN</v>
      </c>
      <c r="N2597" s="14">
        <f>INSTOCK!$I2597*INSTOCK!$K2597</f>
        <v>5950</v>
      </c>
      <c r="O2597" s="4" t="s">
        <v>714</v>
      </c>
      <c r="P2597" s="4"/>
    </row>
    <row r="2598" ht="15.75" hidden="1" customHeight="1">
      <c r="B2598" s="8">
        <v>2917.0</v>
      </c>
      <c r="C2598" s="9">
        <v>43565.0</v>
      </c>
      <c r="D2598" s="6" t="s">
        <v>3498</v>
      </c>
      <c r="E2598" s="4">
        <v>6.204000562E9</v>
      </c>
      <c r="F2598" s="8" t="s">
        <v>3484</v>
      </c>
      <c r="G2598" s="4" t="s">
        <v>1485</v>
      </c>
      <c r="H2598" s="10" t="s">
        <v>3499</v>
      </c>
      <c r="I2598" s="10">
        <v>1.0</v>
      </c>
      <c r="J2598" s="11" t="str">
        <f>IF(D2598&lt;&gt;"",VLOOKUP(H2598,TABLEITEM,5,FALSE),"")</f>
        <v>EA</v>
      </c>
      <c r="K2598" s="12">
        <v>973.1</v>
      </c>
      <c r="L2598" s="13" t="str">
        <f>IF(D2598&lt;&gt;"",VLOOKUP(H2598,TABLEITEM,2,FALSE),"")</f>
        <v/>
      </c>
      <c r="M2598" s="13" t="str">
        <f>IF(D2598&lt;&gt;"",VLOOKUP(H2598,TABLEITEM,3,FALSE),"")</f>
        <v>MCCB 2P EZC100H 30AT/100AF 50KA 220/240VAC 30KA 400/415VAC</v>
      </c>
      <c r="N2598" s="14">
        <f>INSTOCK!$I2598*INSTOCK!$K2598</f>
        <v>973.1</v>
      </c>
      <c r="O2598" s="4"/>
      <c r="P2598" s="4"/>
    </row>
    <row r="2599" ht="15.75" hidden="1" customHeight="1">
      <c r="B2599" s="8">
        <v>2918.0</v>
      </c>
      <c r="C2599" s="9">
        <v>43565.0</v>
      </c>
      <c r="D2599" s="6" t="s">
        <v>3498</v>
      </c>
      <c r="E2599" s="4">
        <v>6.204000562E9</v>
      </c>
      <c r="F2599" s="8" t="s">
        <v>3484</v>
      </c>
      <c r="G2599" s="4" t="s">
        <v>1485</v>
      </c>
      <c r="H2599" s="10" t="s">
        <v>3500</v>
      </c>
      <c r="I2599" s="10">
        <v>4.0</v>
      </c>
      <c r="J2599" s="11" t="str">
        <f>IF(D2599&lt;&gt;"",VLOOKUP(H2599,TABLEITEM,5,FALSE),"")</f>
        <v>EA</v>
      </c>
      <c r="K2599" s="12">
        <v>345.6</v>
      </c>
      <c r="L2599" s="13" t="str">
        <f>IF(D2599&lt;&gt;"",VLOOKUP(H2599,TABLEITEM,2,FALSE),"")</f>
        <v/>
      </c>
      <c r="M2599" s="13" t="str">
        <f>IF(D2599&lt;&gt;"",VLOOKUP(H2599,TABLEITEM,3,FALSE),"")</f>
        <v>IC60N 2P 10A C CURVE 10KA 400VAC</v>
      </c>
      <c r="N2599" s="14">
        <f>INSTOCK!$I2599*INSTOCK!$K2599</f>
        <v>1382.4</v>
      </c>
      <c r="O2599" s="4"/>
      <c r="P2599" s="4"/>
    </row>
    <row r="2600" ht="15.75" hidden="1" customHeight="1">
      <c r="B2600" s="8">
        <v>2919.0</v>
      </c>
      <c r="C2600" s="9">
        <v>43565.0</v>
      </c>
      <c r="D2600" s="6" t="s">
        <v>3498</v>
      </c>
      <c r="E2600" s="4">
        <v>6.204000562E9</v>
      </c>
      <c r="F2600" s="8" t="s">
        <v>3484</v>
      </c>
      <c r="G2600" s="4" t="s">
        <v>1485</v>
      </c>
      <c r="H2600" s="10" t="s">
        <v>3501</v>
      </c>
      <c r="I2600" s="10">
        <v>6.0</v>
      </c>
      <c r="J2600" s="11" t="str">
        <f>IF(D2600&lt;&gt;"",VLOOKUP(H2600,TABLEITEM,5,FALSE),"")</f>
        <v>EA</v>
      </c>
      <c r="K2600" s="12">
        <v>307.5</v>
      </c>
      <c r="L2600" s="13" t="str">
        <f>IF(D2600&lt;&gt;"",VLOOKUP(H2600,TABLEITEM,2,FALSE),"")</f>
        <v/>
      </c>
      <c r="M2600" s="13" t="str">
        <f>IF(D2600&lt;&gt;"",VLOOKUP(H2600,TABLEITEM,3,FALSE),"")</f>
        <v>PUSHBUTTON ZB4BS844 RED</v>
      </c>
      <c r="N2600" s="14">
        <f>INSTOCK!$I2600*INSTOCK!$K2600</f>
        <v>1845</v>
      </c>
      <c r="O2600" s="4"/>
      <c r="P2600" s="4"/>
    </row>
    <row r="2601" ht="15.75" hidden="1" customHeight="1">
      <c r="B2601" s="8">
        <v>2920.0</v>
      </c>
      <c r="C2601" s="9">
        <v>43565.0</v>
      </c>
      <c r="D2601" s="6" t="s">
        <v>3498</v>
      </c>
      <c r="E2601" s="4">
        <v>6.204000562E9</v>
      </c>
      <c r="F2601" s="8" t="s">
        <v>3484</v>
      </c>
      <c r="G2601" s="4" t="s">
        <v>1485</v>
      </c>
      <c r="H2601" s="10" t="s">
        <v>3502</v>
      </c>
      <c r="I2601" s="10">
        <v>2.0</v>
      </c>
      <c r="J2601" s="11" t="str">
        <f>IF(D2601&lt;&gt;"",VLOOKUP(H2601,TABLEITEM,5,FALSE),"")</f>
        <v>EA</v>
      </c>
      <c r="K2601" s="12">
        <v>217.3</v>
      </c>
      <c r="L2601" s="13" t="str">
        <f>IF(D2601&lt;&gt;"",VLOOKUP(H2601,TABLEITEM,2,FALSE),"")</f>
        <v/>
      </c>
      <c r="M2601" s="13" t="str">
        <f>IF(D2601&lt;&gt;"",VLOOKUP(H2601,TABLEITEM,3,FALSE),"")</f>
        <v>PILOT LIGHT XB4BVG5  110-120V ORANGE</v>
      </c>
      <c r="N2601" s="14">
        <f>INSTOCK!$I2601*INSTOCK!$K2601</f>
        <v>434.6</v>
      </c>
      <c r="O2601" s="4"/>
      <c r="P2601" s="4"/>
    </row>
    <row r="2602" ht="15.75" hidden="1" customHeight="1">
      <c r="B2602" s="8">
        <v>2921.0</v>
      </c>
      <c r="C2602" s="9">
        <v>43565.0</v>
      </c>
      <c r="D2602" s="6" t="s">
        <v>3498</v>
      </c>
      <c r="E2602" s="4">
        <v>6.204000562E9</v>
      </c>
      <c r="F2602" s="8" t="s">
        <v>3484</v>
      </c>
      <c r="G2602" s="4" t="s">
        <v>1485</v>
      </c>
      <c r="H2602" s="10" t="s">
        <v>1742</v>
      </c>
      <c r="I2602" s="10">
        <v>6.0</v>
      </c>
      <c r="J2602" s="11" t="str">
        <f>IF(D2602&lt;&gt;"",VLOOKUP(H2602,TABLEITEM,5,FALSE),"")</f>
        <v>EA</v>
      </c>
      <c r="K2602" s="12">
        <v>127.1</v>
      </c>
      <c r="L2602" s="13" t="str">
        <f>IF(D2602&lt;&gt;"",VLOOKUP(H2602,TABLEITEM,2,FALSE),"")</f>
        <v/>
      </c>
      <c r="M2602" s="13" t="str">
        <f>IF(D2602&lt;&gt;"",VLOOKUP(H2602,TABLEITEM,3,FALSE),"")</f>
        <v>HARMONY XB4 SINGER CONTACT BLOCK ZB4BZ102</v>
      </c>
      <c r="N2602" s="14">
        <f>INSTOCK!$I2602*INSTOCK!$K2602</f>
        <v>762.6</v>
      </c>
      <c r="O2602" s="4"/>
      <c r="P2602" s="4"/>
    </row>
    <row r="2603" ht="15.75" hidden="1" customHeight="1">
      <c r="B2603" s="8">
        <v>2922.0</v>
      </c>
      <c r="C2603" s="9">
        <v>43565.0</v>
      </c>
      <c r="D2603" s="6" t="s">
        <v>3498</v>
      </c>
      <c r="E2603" s="4">
        <v>6.204000562E9</v>
      </c>
      <c r="F2603" s="8" t="s">
        <v>3484</v>
      </c>
      <c r="G2603" s="4" t="s">
        <v>1485</v>
      </c>
      <c r="H2603" s="10" t="s">
        <v>3503</v>
      </c>
      <c r="I2603" s="10">
        <v>1.0</v>
      </c>
      <c r="J2603" s="11" t="str">
        <f>IF(D2603&lt;&gt;"",VLOOKUP(H2603,TABLEITEM,5,FALSE),"")</f>
        <v>EA</v>
      </c>
      <c r="K2603" s="12">
        <v>553.5</v>
      </c>
      <c r="L2603" s="13" t="str">
        <f>IF(D2603&lt;&gt;"",VLOOKUP(H2603,TABLEITEM,2,FALSE),"")</f>
        <v/>
      </c>
      <c r="M2603" s="13" t="str">
        <f>IF(D2603&lt;&gt;"",VLOOKUP(H2603,TABLEITEM,3,FALSE),"")</f>
        <v>PUSHBUTTON XB4BW33B5 1N/O 1N/C24V GREEN </v>
      </c>
      <c r="N2603" s="14">
        <f>INSTOCK!$I2603*INSTOCK!$K2603</f>
        <v>553.5</v>
      </c>
      <c r="O2603" s="4"/>
      <c r="P2603" s="4"/>
    </row>
    <row r="2604" ht="15.75" hidden="1" customHeight="1">
      <c r="B2604" s="8">
        <v>2923.0</v>
      </c>
      <c r="C2604" s="9">
        <v>43565.0</v>
      </c>
      <c r="D2604" s="6" t="s">
        <v>3498</v>
      </c>
      <c r="E2604" s="4">
        <v>6.204000562E9</v>
      </c>
      <c r="F2604" s="8" t="s">
        <v>3484</v>
      </c>
      <c r="G2604" s="4" t="s">
        <v>1485</v>
      </c>
      <c r="H2604" s="10" t="s">
        <v>3504</v>
      </c>
      <c r="I2604" s="10">
        <v>1.0</v>
      </c>
      <c r="J2604" s="11" t="str">
        <f>IF(D2604&lt;&gt;"",VLOOKUP(H2604,TABLEITEM,5,FALSE),"")</f>
        <v>EA</v>
      </c>
      <c r="K2604" s="12">
        <v>53.3</v>
      </c>
      <c r="L2604" s="13" t="str">
        <f>IF(D2604&lt;&gt;"",VLOOKUP(H2604,TABLEITEM,2,FALSE),"")</f>
        <v/>
      </c>
      <c r="M2604" s="13" t="str">
        <f>IF(D2604&lt;&gt;"",VLOOKUP(H2604,TABLEITEM,3,FALSE),"")</f>
        <v>PUSHBUTTON  ZB4BA2 BLACK</v>
      </c>
      <c r="N2604" s="14">
        <f>INSTOCK!$I2604*INSTOCK!$K2604</f>
        <v>53.3</v>
      </c>
      <c r="O2604" s="4"/>
      <c r="P2604" s="4"/>
    </row>
    <row r="2605" ht="15.75" hidden="1" customHeight="1">
      <c r="B2605" s="8">
        <v>2924.0</v>
      </c>
      <c r="C2605" s="9">
        <v>43565.0</v>
      </c>
      <c r="D2605" s="6" t="s">
        <v>3498</v>
      </c>
      <c r="E2605" s="4">
        <v>6.204000562E9</v>
      </c>
      <c r="F2605" s="8" t="s">
        <v>3484</v>
      </c>
      <c r="G2605" s="4" t="s">
        <v>1485</v>
      </c>
      <c r="H2605" s="10" t="s">
        <v>1584</v>
      </c>
      <c r="I2605" s="10">
        <v>1.0</v>
      </c>
      <c r="J2605" s="11" t="str">
        <f>IF(D2605&lt;&gt;"",VLOOKUP(H2605,TABLEITEM,5,FALSE),"")</f>
        <v>EA</v>
      </c>
      <c r="K2605" s="12">
        <v>127.1</v>
      </c>
      <c r="L2605" s="13" t="str">
        <f>IF(D2605&lt;&gt;"",VLOOKUP(H2605,TABLEITEM,2,FALSE),"")</f>
        <v/>
      </c>
      <c r="M2605" s="13" t="str">
        <f>IF(D2605&lt;&gt;"",VLOOKUP(H2605,TABLEITEM,3,FALSE),"")</f>
        <v>HARMONY XB4 SINGLE CONTACT ZB4BZ101</v>
      </c>
      <c r="N2605" s="14">
        <f>INSTOCK!$I2605*INSTOCK!$K2605</f>
        <v>127.1</v>
      </c>
      <c r="O2605" s="4"/>
      <c r="P2605" s="4"/>
    </row>
    <row r="2606" ht="15.75" hidden="1" customHeight="1">
      <c r="B2606" s="8">
        <v>2925.0</v>
      </c>
      <c r="C2606" s="9">
        <v>43565.0</v>
      </c>
      <c r="D2606" s="6" t="s">
        <v>3498</v>
      </c>
      <c r="E2606" s="4">
        <v>6.204000562E9</v>
      </c>
      <c r="F2606" s="8" t="s">
        <v>3484</v>
      </c>
      <c r="G2606" s="4" t="s">
        <v>1485</v>
      </c>
      <c r="H2606" s="10" t="s">
        <v>3505</v>
      </c>
      <c r="I2606" s="10">
        <v>8.0</v>
      </c>
      <c r="J2606" s="11" t="str">
        <f>IF(D2606&lt;&gt;"",VLOOKUP(H2606,TABLEITEM,5,FALSE),"")</f>
        <v>EA</v>
      </c>
      <c r="K2606" s="12">
        <v>184.5</v>
      </c>
      <c r="L2606" s="13" t="str">
        <f>IF(D2606&lt;&gt;"",VLOOKUP(H2606,TABLEITEM,2,FALSE),"")</f>
        <v/>
      </c>
      <c r="M2606" s="13" t="str">
        <f>IF(D2606&lt;&gt;"",VLOOKUP(H2606,TABLEITEM,3,FALSE),"")</f>
        <v>PILOT LIGHT XB4BVB3 LED 24V GREEN</v>
      </c>
      <c r="N2606" s="14">
        <f>INSTOCK!$I2606*INSTOCK!$K2606</f>
        <v>1476</v>
      </c>
      <c r="O2606" s="4"/>
      <c r="P2606" s="4"/>
    </row>
    <row r="2607" ht="15.75" hidden="1" customHeight="1">
      <c r="B2607" s="8">
        <v>2926.0</v>
      </c>
      <c r="C2607" s="9">
        <v>43565.0</v>
      </c>
      <c r="D2607" s="6" t="s">
        <v>3498</v>
      </c>
      <c r="E2607" s="4">
        <v>6.204000562E9</v>
      </c>
      <c r="F2607" s="8" t="s">
        <v>3484</v>
      </c>
      <c r="G2607" s="4" t="s">
        <v>1485</v>
      </c>
      <c r="H2607" s="10" t="s">
        <v>3506</v>
      </c>
      <c r="I2607" s="10">
        <v>8.0</v>
      </c>
      <c r="J2607" s="11" t="str">
        <f>IF(D2607&lt;&gt;"",VLOOKUP(H2607,TABLEITEM,5,FALSE),"")</f>
        <v>EA</v>
      </c>
      <c r="K2607" s="12">
        <v>184.5</v>
      </c>
      <c r="L2607" s="13" t="str">
        <f>IF(D2607&lt;&gt;"",VLOOKUP(H2607,TABLEITEM,2,FALSE),"")</f>
        <v/>
      </c>
      <c r="M2607" s="13" t="str">
        <f>IF(D2607&lt;&gt;"",VLOOKUP(H2607,TABLEITEM,3,FALSE),"")</f>
        <v>PILOT LIGHT XB4BVB4 LED 24V RED</v>
      </c>
      <c r="N2607" s="14">
        <f>INSTOCK!$I2607*INSTOCK!$K2607</f>
        <v>1476</v>
      </c>
      <c r="O2607" s="4"/>
      <c r="P2607" s="4"/>
    </row>
    <row r="2608" ht="15.75" hidden="1" customHeight="1">
      <c r="B2608" s="8">
        <v>2927.0</v>
      </c>
      <c r="C2608" s="9">
        <v>43565.0</v>
      </c>
      <c r="D2608" s="6" t="s">
        <v>3498</v>
      </c>
      <c r="E2608" s="4">
        <v>6.204000562E9</v>
      </c>
      <c r="F2608" s="8" t="s">
        <v>3484</v>
      </c>
      <c r="G2608" s="4" t="s">
        <v>1485</v>
      </c>
      <c r="H2608" s="10" t="s">
        <v>3507</v>
      </c>
      <c r="I2608" s="10">
        <v>1.0</v>
      </c>
      <c r="J2608" s="11" t="str">
        <f>IF(D2608&lt;&gt;"",VLOOKUP(H2608,TABLEITEM,5,FALSE),"")</f>
        <v>EA</v>
      </c>
      <c r="K2608" s="12">
        <v>184.5</v>
      </c>
      <c r="L2608" s="13" t="str">
        <f>IF(D2608&lt;&gt;"",VLOOKUP(H2608,TABLEITEM,2,FALSE),"")</f>
        <v/>
      </c>
      <c r="M2608" s="13" t="str">
        <f>IF(D2608&lt;&gt;"",VLOOKUP(H2608,TABLEITEM,3,FALSE),"")</f>
        <v>PILOT LIGHT XB4BVB1 LED 24V WHITE</v>
      </c>
      <c r="N2608" s="14">
        <f>INSTOCK!$I2608*INSTOCK!$K2608</f>
        <v>184.5</v>
      </c>
      <c r="O2608" s="4"/>
      <c r="P2608" s="4"/>
    </row>
    <row r="2609" ht="15.75" hidden="1" customHeight="1">
      <c r="B2609" s="8">
        <v>2928.0</v>
      </c>
      <c r="C2609" s="9">
        <v>43565.0</v>
      </c>
      <c r="D2609" s="6" t="s">
        <v>3498</v>
      </c>
      <c r="E2609" s="4">
        <v>6.204000562E9</v>
      </c>
      <c r="F2609" s="8" t="s">
        <v>3484</v>
      </c>
      <c r="G2609" s="4" t="s">
        <v>1485</v>
      </c>
      <c r="H2609" s="10" t="s">
        <v>3508</v>
      </c>
      <c r="I2609" s="10">
        <v>7.0</v>
      </c>
      <c r="J2609" s="11" t="str">
        <f>IF(D2609&lt;&gt;"",VLOOKUP(H2609,TABLEITEM,5,FALSE),"")</f>
        <v>EA</v>
      </c>
      <c r="K2609" s="12">
        <v>184.5</v>
      </c>
      <c r="L2609" s="13" t="str">
        <f>IF(D2609&lt;&gt;"",VLOOKUP(H2609,TABLEITEM,2,FALSE),"")</f>
        <v/>
      </c>
      <c r="M2609" s="13" t="str">
        <f>IF(D2609&lt;&gt;"",VLOOKUP(H2609,TABLEITEM,3,FALSE),"")</f>
        <v>PILOT LIGHT XB4BVB5 LED 24V ORANGE</v>
      </c>
      <c r="N2609" s="14">
        <f>INSTOCK!$I2609*INSTOCK!$K2609</f>
        <v>1291.5</v>
      </c>
      <c r="O2609" s="4"/>
      <c r="P2609" s="4"/>
    </row>
    <row r="2610" ht="15.75" hidden="1" customHeight="1">
      <c r="B2610" s="8">
        <v>2929.0</v>
      </c>
      <c r="C2610" s="9">
        <v>43565.0</v>
      </c>
      <c r="D2610" s="6" t="s">
        <v>3498</v>
      </c>
      <c r="E2610" s="4">
        <v>6.204000562E9</v>
      </c>
      <c r="F2610" s="8" t="s">
        <v>3484</v>
      </c>
      <c r="G2610" s="4" t="s">
        <v>1485</v>
      </c>
      <c r="H2610" s="10" t="s">
        <v>1583</v>
      </c>
      <c r="I2610" s="10">
        <v>1.0</v>
      </c>
      <c r="J2610" s="11" t="str">
        <f>IF(D2610&lt;&gt;"",VLOOKUP(H2610,TABLEITEM,5,FALSE),"")</f>
        <v>EA</v>
      </c>
      <c r="K2610" s="12">
        <v>147.6</v>
      </c>
      <c r="L2610" s="13" t="str">
        <f>IF(D2610&lt;&gt;"",VLOOKUP(H2610,TABLEITEM,2,FALSE),"")</f>
        <v/>
      </c>
      <c r="M2610" s="13" t="str">
        <f>IF(D2610&lt;&gt;"",VLOOKUP(H2610,TABLEITEM,3,FALSE),"")</f>
        <v>HARMONY XB4 SELECTOR SWITCH ZB4BD3</v>
      </c>
      <c r="N2610" s="14">
        <f>INSTOCK!$I2610*INSTOCK!$K2610</f>
        <v>147.6</v>
      </c>
      <c r="O2610" s="4"/>
      <c r="P2610" s="4"/>
    </row>
    <row r="2611" ht="15.75" hidden="1" customHeight="1">
      <c r="B2611" s="8">
        <v>2930.0</v>
      </c>
      <c r="C2611" s="9">
        <v>43565.0</v>
      </c>
      <c r="D2611" s="6" t="s">
        <v>3498</v>
      </c>
      <c r="E2611" s="4">
        <v>6.204000562E9</v>
      </c>
      <c r="F2611" s="8" t="s">
        <v>3484</v>
      </c>
      <c r="G2611" s="4" t="s">
        <v>1485</v>
      </c>
      <c r="H2611" s="10" t="s">
        <v>1584</v>
      </c>
      <c r="I2611" s="10">
        <v>1.0</v>
      </c>
      <c r="J2611" s="11" t="str">
        <f>IF(D2611&lt;&gt;"",VLOOKUP(H2611,TABLEITEM,5,FALSE),"")</f>
        <v>EA</v>
      </c>
      <c r="K2611" s="12">
        <v>127.1</v>
      </c>
      <c r="L2611" s="13" t="str">
        <f>IF(D2611&lt;&gt;"",VLOOKUP(H2611,TABLEITEM,2,FALSE),"")</f>
        <v/>
      </c>
      <c r="M2611" s="13" t="str">
        <f>IF(D2611&lt;&gt;"",VLOOKUP(H2611,TABLEITEM,3,FALSE),"")</f>
        <v>HARMONY XB4 SINGLE CONTACT ZB4BZ101</v>
      </c>
      <c r="N2611" s="14">
        <f>INSTOCK!$I2611*INSTOCK!$K2611</f>
        <v>127.1</v>
      </c>
      <c r="O2611" s="4"/>
      <c r="P2611" s="4"/>
    </row>
    <row r="2612" ht="15.75" hidden="1" customHeight="1">
      <c r="B2612" s="8">
        <v>2931.0</v>
      </c>
      <c r="C2612" s="9">
        <v>43565.0</v>
      </c>
      <c r="D2612" s="6" t="s">
        <v>3498</v>
      </c>
      <c r="E2612" s="4">
        <v>6.204000562E9</v>
      </c>
      <c r="F2612" s="8" t="s">
        <v>3484</v>
      </c>
      <c r="G2612" s="4" t="s">
        <v>1485</v>
      </c>
      <c r="H2612" s="10" t="s">
        <v>1743</v>
      </c>
      <c r="I2612" s="10">
        <v>1.0</v>
      </c>
      <c r="J2612" s="11" t="str">
        <f>IF(D2612&lt;&gt;"",VLOOKUP(H2612,TABLEITEM,5,FALSE),"")</f>
        <v>EA</v>
      </c>
      <c r="K2612" s="12">
        <v>69.7</v>
      </c>
      <c r="L2612" s="13" t="str">
        <f>IF(D2612&lt;&gt;"",VLOOKUP(H2612,TABLEITEM,2,FALSE),"")</f>
        <v/>
      </c>
      <c r="M2612" s="13" t="str">
        <f>IF(D2612&lt;&gt;"",VLOOKUP(H2612,TABLEITEM,3,FALSE),"")</f>
        <v>SINGLE CONTACT BLOCK #22 1NO ZBE101</v>
      </c>
      <c r="N2612" s="14">
        <f>INSTOCK!$I2612*INSTOCK!$K2612</f>
        <v>69.7</v>
      </c>
      <c r="O2612" s="4"/>
      <c r="P2612" s="4"/>
    </row>
    <row r="2613" ht="15.75" hidden="1" customHeight="1">
      <c r="B2613" s="8">
        <v>2932.0</v>
      </c>
      <c r="C2613" s="9">
        <v>43565.0</v>
      </c>
      <c r="D2613" s="6" t="s">
        <v>3509</v>
      </c>
      <c r="E2613" s="4"/>
      <c r="F2613" s="8" t="s">
        <v>3484</v>
      </c>
      <c r="G2613" s="4" t="s">
        <v>1522</v>
      </c>
      <c r="H2613" s="10" t="s">
        <v>3510</v>
      </c>
      <c r="I2613" s="10">
        <v>1.0</v>
      </c>
      <c r="J2613" s="11" t="str">
        <f>IF(D2613&lt;&gt;"",VLOOKUP(H2613,TABLEITEM,5,FALSE),"")</f>
        <v>EA</v>
      </c>
      <c r="K2613" s="12">
        <v>140.0</v>
      </c>
      <c r="L2613" s="13" t="str">
        <f>IF(D2613&lt;&gt;"",VLOOKUP(H2613,TABLEITEM,2,FALSE),"")</f>
        <v/>
      </c>
      <c r="M2613" s="13" t="str">
        <f>IF(D2613&lt;&gt;"",VLOOKUP(H2613,TABLEITEM,3,FALSE),"")</f>
        <v>โคมผนังรูปไข่ 2121C/BEC</v>
      </c>
      <c r="N2613" s="14">
        <f>INSTOCK!$I2613*INSTOCK!$K2613</f>
        <v>140</v>
      </c>
      <c r="O2613" s="4"/>
      <c r="P2613" s="4"/>
    </row>
    <row r="2614" ht="15.75" hidden="1" customHeight="1">
      <c r="B2614" s="8">
        <v>2933.0</v>
      </c>
      <c r="C2614" s="9">
        <v>43565.0</v>
      </c>
      <c r="D2614" s="6" t="s">
        <v>3509</v>
      </c>
      <c r="E2614" s="4"/>
      <c r="F2614" s="8" t="s">
        <v>3484</v>
      </c>
      <c r="G2614" s="4" t="s">
        <v>1522</v>
      </c>
      <c r="H2614" s="10" t="s">
        <v>3511</v>
      </c>
      <c r="I2614" s="10">
        <v>1.0</v>
      </c>
      <c r="J2614" s="11" t="str">
        <f>IF(D2614&lt;&gt;"",VLOOKUP(H2614,TABLEITEM,5,FALSE),"")</f>
        <v>EA</v>
      </c>
      <c r="K2614" s="12">
        <v>55.0</v>
      </c>
      <c r="L2614" s="13" t="str">
        <f>IF(D2614&lt;&gt;"",VLOOKUP(H2614,TABLEITEM,2,FALSE),"")</f>
        <v/>
      </c>
      <c r="M2614" s="13" t="str">
        <f>IF(D2614&lt;&gt;"",VLOOKUP(H2614,TABLEITEM,3,FALSE),"")</f>
        <v>หลอด ECO 3U 15W/CDL TFC</v>
      </c>
      <c r="N2614" s="14">
        <f>INSTOCK!$I2614*INSTOCK!$K2614</f>
        <v>55</v>
      </c>
      <c r="O2614" s="4"/>
      <c r="P2614" s="4"/>
    </row>
    <row r="2615" ht="15.75" hidden="1" customHeight="1">
      <c r="B2615" s="8">
        <v>2934.0</v>
      </c>
      <c r="C2615" s="9">
        <v>43564.0</v>
      </c>
      <c r="D2615" s="6" t="s">
        <v>3512</v>
      </c>
      <c r="E2615" s="4">
        <v>6.204000546E9</v>
      </c>
      <c r="F2615" s="8" t="s">
        <v>3513</v>
      </c>
      <c r="G2615" s="4" t="s">
        <v>3267</v>
      </c>
      <c r="H2615" s="10" t="s">
        <v>3514</v>
      </c>
      <c r="I2615" s="10">
        <v>1.0</v>
      </c>
      <c r="J2615" s="11" t="str">
        <f>IF(D2615&lt;&gt;"",VLOOKUP(H2615,TABLEITEM,5,FALSE),"")</f>
        <v>EA</v>
      </c>
      <c r="K2615" s="12">
        <v>780.0</v>
      </c>
      <c r="L2615" s="13" t="str">
        <f>IF(D2615&lt;&gt;"",VLOOKUP(H2615,TABLEITEM,2,FALSE),"")</f>
        <v/>
      </c>
      <c r="M2615" s="13" t="str">
        <f>IF(D2615&lt;&gt;"",VLOOKUP(H2615,TABLEITEM,3,FALSE),"")</f>
        <v>CONDUCTIVE SLEEVE</v>
      </c>
      <c r="N2615" s="14">
        <f>INSTOCK!$I2615*INSTOCK!$K2615</f>
        <v>780</v>
      </c>
      <c r="O2615" s="4"/>
      <c r="P2615" s="4"/>
    </row>
    <row r="2616" ht="15.75" hidden="1" customHeight="1">
      <c r="B2616" s="8">
        <v>2935.0</v>
      </c>
      <c r="C2616" s="9">
        <v>43564.0</v>
      </c>
      <c r="D2616" s="6" t="s">
        <v>3512</v>
      </c>
      <c r="E2616" s="4">
        <v>6.204000546E9</v>
      </c>
      <c r="F2616" s="8" t="s">
        <v>3513</v>
      </c>
      <c r="G2616" s="4" t="s">
        <v>3267</v>
      </c>
      <c r="H2616" s="10" t="s">
        <v>3515</v>
      </c>
      <c r="I2616" s="10">
        <v>1.0</v>
      </c>
      <c r="J2616" s="11" t="str">
        <f>IF(D2616&lt;&gt;"",VLOOKUP(H2616,TABLEITEM,5,FALSE),"")</f>
        <v>EA</v>
      </c>
      <c r="K2616" s="12">
        <v>450.0</v>
      </c>
      <c r="L2616" s="13" t="str">
        <f>IF(D2616&lt;&gt;"",VLOOKUP(H2616,TABLEITEM,2,FALSE),"")</f>
        <v/>
      </c>
      <c r="M2616" s="13" t="str">
        <f>IF(D2616&lt;&gt;"",VLOOKUP(H2616,TABLEITEM,3,FALSE),"")</f>
        <v>OUTER NUT C4</v>
      </c>
      <c r="N2616" s="14">
        <f>INSTOCK!$I2616*INSTOCK!$K2616</f>
        <v>450</v>
      </c>
      <c r="O2616" s="4"/>
      <c r="P2616" s="4"/>
    </row>
    <row r="2617" ht="15.75" hidden="1" customHeight="1">
      <c r="B2617" s="8">
        <v>2936.0</v>
      </c>
      <c r="C2617" s="9">
        <v>43564.0</v>
      </c>
      <c r="D2617" s="6" t="s">
        <v>3512</v>
      </c>
      <c r="E2617" s="4">
        <v>6.204000546E9</v>
      </c>
      <c r="F2617" s="8" t="s">
        <v>3513</v>
      </c>
      <c r="G2617" s="4" t="s">
        <v>3267</v>
      </c>
      <c r="H2617" s="10" t="s">
        <v>3516</v>
      </c>
      <c r="I2617" s="10">
        <v>1.0</v>
      </c>
      <c r="J2617" s="11" t="str">
        <f>IF(D2617&lt;&gt;"",VLOOKUP(H2617,TABLEITEM,5,FALSE),"")</f>
        <v>EA</v>
      </c>
      <c r="K2617" s="12">
        <v>2000.0</v>
      </c>
      <c r="L2617" s="13" t="str">
        <f>IF(D2617&lt;&gt;"",VLOOKUP(H2617,TABLEITEM,2,FALSE),"")</f>
        <v/>
      </c>
      <c r="M2617" s="13" t="str">
        <f>IF(D2617&lt;&gt;"",VLOOKUP(H2617,TABLEITEM,3,FALSE),"")</f>
        <v>FLAT SPRAY NOZZLE X1</v>
      </c>
      <c r="N2617" s="14">
        <f>INSTOCK!$I2617*INSTOCK!$K2617</f>
        <v>2000</v>
      </c>
      <c r="O2617" s="4"/>
      <c r="P2617" s="4"/>
    </row>
    <row r="2618" ht="15.75" hidden="1" customHeight="1">
      <c r="B2618" s="8">
        <v>2937.0</v>
      </c>
      <c r="C2618" s="9">
        <v>43566.0</v>
      </c>
      <c r="D2618" s="6" t="s">
        <v>3517</v>
      </c>
      <c r="E2618" s="4">
        <v>6.204000561E9</v>
      </c>
      <c r="F2618" s="8" t="s">
        <v>604</v>
      </c>
      <c r="G2618" s="4" t="s">
        <v>1777</v>
      </c>
      <c r="H2618" s="10" t="s">
        <v>3518</v>
      </c>
      <c r="I2618" s="10">
        <v>200.0</v>
      </c>
      <c r="J2618" s="11" t="str">
        <f>IF(D2618&lt;&gt;"",VLOOKUP(H2618,TABLEITEM,5,FALSE),"")</f>
        <v>EA</v>
      </c>
      <c r="K2618" s="12">
        <v>0.63</v>
      </c>
      <c r="L2618" s="13" t="str">
        <f>IF(D2618&lt;&gt;"",VLOOKUP(H2618,TABLEITEM,2,FALSE),"")</f>
        <v/>
      </c>
      <c r="M2618" s="13" t="str">
        <f>IF(D2618&lt;&gt;"",VLOOKUP(H2618,TABLEITEM,3,FALSE),"")</f>
        <v>แหวนสปริง M16   ชุบรุ้ง</v>
      </c>
      <c r="N2618" s="14">
        <f>INSTOCK!$I2618*INSTOCK!$K2618</f>
        <v>126</v>
      </c>
      <c r="O2618" s="4" t="s">
        <v>1830</v>
      </c>
      <c r="P2618" s="4"/>
    </row>
    <row r="2619" ht="15.75" hidden="1" customHeight="1">
      <c r="B2619" s="8">
        <v>2938.0</v>
      </c>
      <c r="C2619" s="9">
        <v>43566.0</v>
      </c>
      <c r="D2619" s="6" t="s">
        <v>3517</v>
      </c>
      <c r="E2619" s="4">
        <v>6.204000561E9</v>
      </c>
      <c r="F2619" s="8" t="s">
        <v>604</v>
      </c>
      <c r="G2619" s="4" t="s">
        <v>1777</v>
      </c>
      <c r="H2619" s="10" t="s">
        <v>3519</v>
      </c>
      <c r="I2619" s="10">
        <v>200.0</v>
      </c>
      <c r="J2619" s="11" t="str">
        <f>IF(D2619&lt;&gt;"",VLOOKUP(H2619,TABLEITEM,5,FALSE),"")</f>
        <v>EA</v>
      </c>
      <c r="K2619" s="12">
        <v>0.56</v>
      </c>
      <c r="L2619" s="13" t="str">
        <f>IF(D2619&lt;&gt;"",VLOOKUP(H2619,TABLEITEM,2,FALSE),"")</f>
        <v/>
      </c>
      <c r="M2619" s="13" t="str">
        <f>IF(D2619&lt;&gt;"",VLOOKUP(H2619,TABLEITEM,3,FALSE),"")</f>
        <v>แหวนอีแปะ M16  ชุบขาว</v>
      </c>
      <c r="N2619" s="14">
        <f>INSTOCK!$I2619*INSTOCK!$K2619</f>
        <v>112</v>
      </c>
      <c r="O2619" s="4" t="s">
        <v>3520</v>
      </c>
      <c r="P2619" s="4"/>
    </row>
    <row r="2620" ht="15.75" hidden="1" customHeight="1">
      <c r="B2620" s="8">
        <v>2939.0</v>
      </c>
      <c r="C2620" s="9">
        <v>43566.0</v>
      </c>
      <c r="D2620" s="6" t="s">
        <v>3517</v>
      </c>
      <c r="E2620" s="4">
        <v>6.204000561E9</v>
      </c>
      <c r="F2620" s="8" t="s">
        <v>604</v>
      </c>
      <c r="G2620" s="4" t="s">
        <v>1777</v>
      </c>
      <c r="H2620" s="10" t="s">
        <v>3521</v>
      </c>
      <c r="I2620" s="10">
        <v>200.0</v>
      </c>
      <c r="J2620" s="11" t="str">
        <f>IF(D2620&lt;&gt;"",VLOOKUP(H2620,TABLEITEM,5,FALSE),"")</f>
        <v>EA</v>
      </c>
      <c r="K2620" s="12">
        <v>5.1805</v>
      </c>
      <c r="L2620" s="13" t="str">
        <f>IF(D2620&lt;&gt;"",VLOOKUP(H2620,TABLEITEM,2,FALSE),"")</f>
        <v/>
      </c>
      <c r="M2620" s="13" t="str">
        <f>IF(D2620&lt;&gt;"",VLOOKUP(H2620,TABLEITEM,3,FALSE),"")</f>
        <v>สกรูหัวเหลี่ยมชุบรุ้ง M16x35</v>
      </c>
      <c r="N2620" s="14">
        <f>INSTOCK!$I2620*INSTOCK!$K2620</f>
        <v>1036.1</v>
      </c>
      <c r="O2620" s="4" t="s">
        <v>3522</v>
      </c>
      <c r="P2620" s="4"/>
    </row>
    <row r="2621" ht="15.75" hidden="1" customHeight="1">
      <c r="B2621" s="8">
        <v>2940.0</v>
      </c>
      <c r="C2621" s="9">
        <v>43566.0</v>
      </c>
      <c r="D2621" s="6" t="s">
        <v>3523</v>
      </c>
      <c r="E2621" s="4">
        <v>6.204000569E9</v>
      </c>
      <c r="F2621" s="8" t="s">
        <v>3524</v>
      </c>
      <c r="G2621" s="4" t="s">
        <v>1258</v>
      </c>
      <c r="H2621" s="10" t="s">
        <v>3525</v>
      </c>
      <c r="I2621" s="10">
        <v>30.0</v>
      </c>
      <c r="J2621" s="11" t="str">
        <f>IF(D2621&lt;&gt;"",VLOOKUP(H2621,TABLEITEM,5,FALSE),"")</f>
        <v>KG.</v>
      </c>
      <c r="K2621" s="12">
        <v>165.0</v>
      </c>
      <c r="L2621" s="13" t="str">
        <f>IF(D2621&lt;&gt;"",VLOOKUP(H2621,TABLEITEM,2,FALSE),"")</f>
        <v/>
      </c>
      <c r="M2621" s="13" t="str">
        <f>IF(D2621&lt;&gt;"",VLOOKUP(H2621,TABLEITEM,3,FALSE),"")</f>
        <v>สีฝุ่น HB 40001 METALLIC</v>
      </c>
      <c r="N2621" s="14">
        <f>INSTOCK!$I2621*INSTOCK!$K2621</f>
        <v>4950</v>
      </c>
      <c r="O2621" s="4">
        <v>0.0</v>
      </c>
      <c r="P2621" s="4"/>
    </row>
    <row r="2622" ht="15.75" hidden="1" customHeight="1">
      <c r="B2622" s="8">
        <v>2941.0</v>
      </c>
      <c r="C2622" s="9">
        <v>43565.0</v>
      </c>
      <c r="D2622" s="6" t="s">
        <v>3526</v>
      </c>
      <c r="E2622" s="4">
        <v>6.204000564E9</v>
      </c>
      <c r="F2622" s="8" t="s">
        <v>3484</v>
      </c>
      <c r="G2622" s="4" t="s">
        <v>1516</v>
      </c>
      <c r="H2622" s="10" t="s">
        <v>3527</v>
      </c>
      <c r="I2622" s="10">
        <v>5.0</v>
      </c>
      <c r="J2622" s="11" t="str">
        <f>IF(D2622&lt;&gt;"",VLOOKUP(H2622,TABLEITEM,5,FALSE),"")</f>
        <v>EA</v>
      </c>
      <c r="K2622" s="12">
        <v>184.5</v>
      </c>
      <c r="L2622" s="13" t="str">
        <f>IF(D2622&lt;&gt;"",VLOOKUP(H2622,TABLEITEM,2,FALSE),"")</f>
        <v/>
      </c>
      <c r="M2622" s="13" t="str">
        <f>IF(D2622&lt;&gt;"",VLOOKUP(H2622,TABLEITEM,3,FALSE),"")</f>
        <v>PILOT LIGHT XB4BVB6 25V LED</v>
      </c>
      <c r="N2622" s="14">
        <f>INSTOCK!$I2622*INSTOCK!$K2622</f>
        <v>922.5</v>
      </c>
      <c r="O2622" s="4" t="s">
        <v>3528</v>
      </c>
      <c r="P2622" s="4"/>
    </row>
    <row r="2623" ht="15.75" hidden="1" customHeight="1">
      <c r="B2623" s="8">
        <v>2942.0</v>
      </c>
      <c r="C2623" s="9">
        <v>43565.0</v>
      </c>
      <c r="D2623" s="6" t="s">
        <v>3529</v>
      </c>
      <c r="E2623" s="4">
        <v>6.204000563E9</v>
      </c>
      <c r="F2623" s="8" t="s">
        <v>3530</v>
      </c>
      <c r="G2623" s="4" t="s">
        <v>3531</v>
      </c>
      <c r="H2623" s="10" t="s">
        <v>3532</v>
      </c>
      <c r="I2623" s="10">
        <v>1.0</v>
      </c>
      <c r="J2623" s="11" t="str">
        <f>IF(D2623&lt;&gt;"",VLOOKUP(H2623,TABLEITEM,5,FALSE),"")</f>
        <v>EA</v>
      </c>
      <c r="K2623" s="12">
        <v>4500.0</v>
      </c>
      <c r="L2623" s="13" t="str">
        <f>IF(D2623&lt;&gt;"",VLOOKUP(H2623,TABLEITEM,2,FALSE),"")</f>
        <v/>
      </c>
      <c r="M2623" s="13" t="str">
        <f>IF(D2623&lt;&gt;"",VLOOKUP(H2623,TABLEITEM,3,FALSE),"")</f>
        <v>Power Meter KWH 3P4W 6A 230/400V LCD DISPLAY CT/5A RS485 MODLE L34</v>
      </c>
      <c r="N2623" s="14">
        <f>INSTOCK!$I2623*INSTOCK!$K2623</f>
        <v>4500</v>
      </c>
      <c r="O2623" s="4" t="s">
        <v>3533</v>
      </c>
      <c r="P2623" s="4"/>
    </row>
    <row r="2624" ht="15.75" hidden="1" customHeight="1">
      <c r="B2624" s="8">
        <v>2943.0</v>
      </c>
      <c r="C2624" s="9">
        <v>43565.0</v>
      </c>
      <c r="D2624" s="6" t="s">
        <v>3534</v>
      </c>
      <c r="E2624" s="4"/>
      <c r="F2624" s="8" t="s">
        <v>604</v>
      </c>
      <c r="G2624" s="4" t="s">
        <v>2121</v>
      </c>
      <c r="H2624" s="10" t="s">
        <v>3535</v>
      </c>
      <c r="I2624" s="10">
        <v>512.0</v>
      </c>
      <c r="J2624" s="11" t="str">
        <f>IF(D2624&lt;&gt;"",VLOOKUP(H2624,TABLEITEM,5,FALSE),"")</f>
        <v>EA</v>
      </c>
      <c r="K2624" s="12">
        <v>17.5</v>
      </c>
      <c r="L2624" s="13" t="str">
        <f>IF(D2624&lt;&gt;"",VLOOKUP(H2624,TABLEITEM,2,FALSE),"")</f>
        <v/>
      </c>
      <c r="M2624" s="13" t="str">
        <f>IF(D2624&lt;&gt;"",VLOOKUP(H2624,TABLEITEM,3,FALSE),"")</f>
        <v>สตัดเกลียว 2 ข้าง M8x215</v>
      </c>
      <c r="N2624" s="14">
        <f>INSTOCK!$I2624*INSTOCK!$K2624</f>
        <v>8960</v>
      </c>
      <c r="O2624" s="4"/>
      <c r="P2624" s="4"/>
    </row>
    <row r="2625" ht="15.75" hidden="1" customHeight="1">
      <c r="B2625" s="8">
        <v>2944.0</v>
      </c>
      <c r="C2625" s="9">
        <v>43565.0</v>
      </c>
      <c r="D2625" s="6" t="s">
        <v>3536</v>
      </c>
      <c r="E2625" s="4">
        <v>6.203000487E9</v>
      </c>
      <c r="F2625" s="8"/>
      <c r="G2625" s="4" t="s">
        <v>2919</v>
      </c>
      <c r="H2625" s="10" t="s">
        <v>3537</v>
      </c>
      <c r="I2625" s="10">
        <v>1.0</v>
      </c>
      <c r="J2625" s="11" t="str">
        <f>IF(D2625&lt;&gt;"",VLOOKUP(H2625,TABLEITEM,5,FALSE),"")</f>
        <v>EA</v>
      </c>
      <c r="K2625" s="12">
        <v>200.0</v>
      </c>
      <c r="L2625" s="13" t="str">
        <f>IF(D2625&lt;&gt;"",VLOOKUP(H2625,TABLEITEM,2,FALSE),"")</f>
        <v/>
      </c>
      <c r="M2625" s="13" t="str">
        <f>IF(D2625&lt;&gt;"",VLOOKUP(H2625,TABLEITEM,3,FALSE),"")</f>
        <v>Battery CR1220</v>
      </c>
      <c r="N2625" s="14">
        <f>INSTOCK!$I2625*INSTOCK!$K2625</f>
        <v>200</v>
      </c>
      <c r="O2625" s="4"/>
      <c r="P2625" s="4"/>
    </row>
    <row r="2626" ht="15.75" hidden="1" customHeight="1">
      <c r="B2626" s="8">
        <v>2945.0</v>
      </c>
      <c r="C2626" s="9">
        <v>43565.0</v>
      </c>
      <c r="D2626" s="6" t="s">
        <v>3536</v>
      </c>
      <c r="E2626" s="4">
        <v>6.203000487E9</v>
      </c>
      <c r="F2626" s="8"/>
      <c r="G2626" s="4" t="s">
        <v>2919</v>
      </c>
      <c r="H2626" s="10" t="s">
        <v>3538</v>
      </c>
      <c r="I2626" s="10">
        <v>1.0</v>
      </c>
      <c r="J2626" s="11" t="str">
        <f>IF(D2626&lt;&gt;"",VLOOKUP(H2626,TABLEITEM,5,FALSE),"")</f>
        <v>LOT</v>
      </c>
      <c r="K2626" s="12">
        <v>1500.0</v>
      </c>
      <c r="L2626" s="13" t="str">
        <f>IF(D2626&lt;&gt;"",VLOOKUP(H2626,TABLEITEM,2,FALSE),"")</f>
        <v/>
      </c>
      <c r="M2626" s="13" t="str">
        <f>IF(D2626&lt;&gt;"",VLOOKUP(H2626,TABLEITEM,3,FALSE),"")</f>
        <v>ค่าบริการตรวจเช็คเครื่อง ZK รุ่น U-160C หมายเลขเครื่อง 3502880440065</v>
      </c>
      <c r="N2626" s="14">
        <f>INSTOCK!$I2626*INSTOCK!$K2626</f>
        <v>1500</v>
      </c>
      <c r="O2626" s="4"/>
      <c r="P2626" s="4"/>
    </row>
    <row r="2627" ht="15.75" hidden="1" customHeight="1">
      <c r="B2627" s="8">
        <v>2946.0</v>
      </c>
      <c r="C2627" s="9">
        <v>43140.0</v>
      </c>
      <c r="D2627" s="6" t="s">
        <v>3539</v>
      </c>
      <c r="E2627" s="4">
        <v>6.101000097E9</v>
      </c>
      <c r="F2627" s="8" t="s">
        <v>3540</v>
      </c>
      <c r="G2627" s="4" t="s">
        <v>3541</v>
      </c>
      <c r="H2627" s="10" t="s">
        <v>3542</v>
      </c>
      <c r="I2627" s="10">
        <v>1.0</v>
      </c>
      <c r="J2627" s="11" t="str">
        <f>IF(D2627&lt;&gt;"",VLOOKUP(H2627,TABLEITEM,5,FALSE),"")</f>
        <v>EA</v>
      </c>
      <c r="K2627" s="12">
        <v>11337.3</v>
      </c>
      <c r="L2627" s="13" t="str">
        <f>IF(D2627&lt;&gt;"",VLOOKUP(H2627,TABLEITEM,2,FALSE),"")</f>
        <v/>
      </c>
      <c r="M2627" s="13" t="str">
        <f>IF(D2627&lt;&gt;"",VLOOKUP(H2627,TABLEITEM,3,FALSE),"")</f>
        <v>CHANGE OVER/4/250A OT 250E04CP </v>
      </c>
      <c r="N2627" s="14">
        <f>INSTOCK!$I2627*INSTOCK!$K2627</f>
        <v>11337.3</v>
      </c>
      <c r="O2627" s="4" t="s">
        <v>3543</v>
      </c>
      <c r="P2627" s="4"/>
    </row>
    <row r="2628" ht="15.75" hidden="1" customHeight="1">
      <c r="B2628" s="8">
        <v>2947.0</v>
      </c>
      <c r="C2628" s="9">
        <v>43140.0</v>
      </c>
      <c r="D2628" s="6">
        <v>6.10203263E8</v>
      </c>
      <c r="E2628" s="4">
        <v>6.102000181E9</v>
      </c>
      <c r="F2628" s="8"/>
      <c r="G2628" s="4" t="s">
        <v>1130</v>
      </c>
      <c r="H2628" s="10" t="s">
        <v>245</v>
      </c>
      <c r="I2628" s="10">
        <v>10000.0</v>
      </c>
      <c r="J2628" s="11" t="str">
        <f>IF(D2628&lt;&gt;"",VLOOKUP(H2628,TABLEITEM,5,FALSE),"")</f>
        <v>EA</v>
      </c>
      <c r="K2628" s="12">
        <v>0.63</v>
      </c>
      <c r="L2628" s="13" t="str">
        <f>IF(D2628&lt;&gt;"",VLOOKUP(H2628,TABLEITEM,2,FALSE),"")</f>
        <v/>
      </c>
      <c r="M2628" s="13" t="str">
        <f>IF(D2628&lt;&gt;"",VLOOKUP(H2628,TABLEITEM,3,FALSE),"")</f>
        <v>หางปลาแฉกเปลือย Y1.5-3S</v>
      </c>
      <c r="N2628" s="14">
        <f>INSTOCK!$I2628*INSTOCK!$K2628</f>
        <v>6300</v>
      </c>
      <c r="O2628" s="4" t="s">
        <v>1830</v>
      </c>
      <c r="P2628" s="4"/>
    </row>
    <row r="2629" ht="15.75" hidden="1" customHeight="1">
      <c r="B2629" s="8">
        <v>2948.0</v>
      </c>
      <c r="C2629" s="9">
        <v>43140.0</v>
      </c>
      <c r="D2629" s="6">
        <v>6.10203263E8</v>
      </c>
      <c r="E2629" s="4">
        <v>6.102000181E9</v>
      </c>
      <c r="F2629" s="8"/>
      <c r="G2629" s="4" t="s">
        <v>1130</v>
      </c>
      <c r="H2629" s="10" t="s">
        <v>1556</v>
      </c>
      <c r="I2629" s="10">
        <v>1.0</v>
      </c>
      <c r="J2629" s="11" t="str">
        <f>IF(D2629&lt;&gt;"",VLOOKUP(H2629,TABLEITEM,5,FALSE),"")</f>
        <v>EA</v>
      </c>
      <c r="K2629" s="12">
        <v>171.75</v>
      </c>
      <c r="L2629" s="13" t="str">
        <f>IF(D2629&lt;&gt;"",VLOOKUP(H2629,TABLEITEM,2,FALSE),"")</f>
        <v/>
      </c>
      <c r="M2629" s="13" t="str">
        <f>IF(D2629&lt;&gt;"",VLOOKUP(H2629,TABLEITEM,3,FALSE),"")</f>
        <v>SOCKET 8PFA-1</v>
      </c>
      <c r="N2629" s="14">
        <f>INSTOCK!$I2629*INSTOCK!$K2629</f>
        <v>171.75</v>
      </c>
      <c r="O2629" s="4" t="s">
        <v>3544</v>
      </c>
      <c r="P2629" s="4"/>
    </row>
    <row r="2630" ht="15.75" hidden="1" customHeight="1">
      <c r="B2630" s="8">
        <v>2949.0</v>
      </c>
      <c r="C2630" s="9">
        <v>43140.0</v>
      </c>
      <c r="D2630" s="6">
        <v>6.10203263E8</v>
      </c>
      <c r="E2630" s="4">
        <v>6.102000181E9</v>
      </c>
      <c r="F2630" s="8"/>
      <c r="G2630" s="4" t="s">
        <v>1130</v>
      </c>
      <c r="H2630" s="10" t="s">
        <v>1552</v>
      </c>
      <c r="I2630" s="10">
        <v>1.0</v>
      </c>
      <c r="J2630" s="11" t="str">
        <f>IF(D2630&lt;&gt;"",VLOOKUP(H2630,TABLEITEM,5,FALSE),"")</f>
        <v>EA</v>
      </c>
      <c r="K2630" s="12">
        <v>1572.28</v>
      </c>
      <c r="L2630" s="13" t="str">
        <f>IF(D2630&lt;&gt;"",VLOOKUP(H2630,TABLEITEM,2,FALSE),"")</f>
        <v/>
      </c>
      <c r="M2630" s="13" t="str">
        <f>IF(D2630&lt;&gt;"",VLOOKUP(H2630,TABLEITEM,3,FALSE),"")</f>
        <v>RELAY G4Q-212S 220VAC</v>
      </c>
      <c r="N2630" s="14">
        <f>INSTOCK!$I2630*INSTOCK!$K2630</f>
        <v>1572.28</v>
      </c>
      <c r="O2630" s="4" t="s">
        <v>3545</v>
      </c>
      <c r="P2630" s="4"/>
    </row>
    <row r="2631" ht="15.75" hidden="1" customHeight="1">
      <c r="B2631" s="8">
        <v>2950.0</v>
      </c>
      <c r="C2631" s="9">
        <v>43139.0</v>
      </c>
      <c r="D2631" s="6">
        <v>2.0180200179E10</v>
      </c>
      <c r="E2631" s="4">
        <v>6.10200016E9</v>
      </c>
      <c r="F2631" s="8" t="s">
        <v>807</v>
      </c>
      <c r="G2631" s="4" t="s">
        <v>2460</v>
      </c>
      <c r="H2631" s="10" t="s">
        <v>2682</v>
      </c>
      <c r="I2631" s="10">
        <v>5.0</v>
      </c>
      <c r="J2631" s="11" t="str">
        <f>IF(D2631&lt;&gt;"",VLOOKUP(H2631,TABLEITEM,5,FALSE),"")</f>
        <v>EA</v>
      </c>
      <c r="K2631" s="12">
        <v>460.0</v>
      </c>
      <c r="L2631" s="13" t="str">
        <f>IF(D2631&lt;&gt;"",VLOOKUP(H2631,TABLEITEM,2,FALSE),"")</f>
        <v/>
      </c>
      <c r="M2631" s="13" t="str">
        <f>IF(D2631&lt;&gt;"",VLOOKUP(H2631,TABLEITEM,3,FALSE),"")</f>
        <v>SINGLE NOZZLE S2.0 CODE AA501057</v>
      </c>
      <c r="N2631" s="14">
        <f>INSTOCK!$I2631*INSTOCK!$K2631</f>
        <v>2300</v>
      </c>
      <c r="O2631" s="4"/>
      <c r="P2631" s="4"/>
    </row>
    <row r="2632" ht="15.75" hidden="1" customHeight="1">
      <c r="B2632" s="8">
        <v>2951.0</v>
      </c>
      <c r="C2632" s="9">
        <v>43139.0</v>
      </c>
      <c r="D2632" s="6">
        <v>2.0180200179E10</v>
      </c>
      <c r="E2632" s="4">
        <v>6.10200016E9</v>
      </c>
      <c r="F2632" s="8" t="s">
        <v>807</v>
      </c>
      <c r="G2632" s="4" t="s">
        <v>2460</v>
      </c>
      <c r="H2632" s="10" t="s">
        <v>3546</v>
      </c>
      <c r="I2632" s="10">
        <v>2.0</v>
      </c>
      <c r="J2632" s="11" t="str">
        <f>IF(D2632&lt;&gt;"",VLOOKUP(H2632,TABLEITEM,5,FALSE),"")</f>
        <v>EA</v>
      </c>
      <c r="K2632" s="12">
        <v>200.0</v>
      </c>
      <c r="L2632" s="13" t="str">
        <f>IF(D2632&lt;&gt;"",VLOOKUP(H2632,TABLEITEM,2,FALSE),"")</f>
        <v/>
      </c>
      <c r="M2632" s="13" t="str">
        <f>IF(D2632&lt;&gt;"",VLOOKUP(H2632,TABLEITEM,3,FALSE),"")</f>
        <v>ETHANOL (SMALL BOTTLE) CODE 79000264</v>
      </c>
      <c r="N2632" s="14">
        <f>INSTOCK!$I2632*INSTOCK!$K2632</f>
        <v>400</v>
      </c>
      <c r="O2632" s="4"/>
      <c r="P2632" s="4"/>
    </row>
    <row r="2633" ht="15.75" hidden="1" customHeight="1">
      <c r="B2633" s="8">
        <v>2952.0</v>
      </c>
      <c r="C2633" s="9">
        <v>43139.0</v>
      </c>
      <c r="D2633" s="6">
        <v>6.10203092E8</v>
      </c>
      <c r="E2633" s="4">
        <v>6.102000176E9</v>
      </c>
      <c r="F2633" s="8"/>
      <c r="G2633" s="4" t="s">
        <v>1130</v>
      </c>
      <c r="H2633" s="10" t="s">
        <v>2157</v>
      </c>
      <c r="I2633" s="10">
        <v>10.0</v>
      </c>
      <c r="J2633" s="11" t="str">
        <f>IF(D2633&lt;&gt;"",VLOOKUP(H2633,TABLEITEM,5,FALSE),"")</f>
        <v>EA</v>
      </c>
      <c r="K2633" s="12">
        <v>83.85</v>
      </c>
      <c r="L2633" s="13" t="str">
        <f>IF(D2633&lt;&gt;"",VLOOKUP(H2633,TABLEITEM,2,FALSE),"")</f>
        <v/>
      </c>
      <c r="M2633" s="13" t="str">
        <f>IF(D2633&lt;&gt;"",VLOOKUP(H2633,TABLEITEM,3,FALSE),"")</f>
        <v>PILOT LIGHT LED 240V YELLOW</v>
      </c>
      <c r="N2633" s="14">
        <f>INSTOCK!$I2633*INSTOCK!$K2633</f>
        <v>838.5</v>
      </c>
      <c r="O2633" s="4" t="s">
        <v>3547</v>
      </c>
      <c r="P2633" s="4"/>
    </row>
    <row r="2634" ht="15.75" hidden="1" customHeight="1">
      <c r="B2634" s="8">
        <v>2953.0</v>
      </c>
      <c r="C2634" s="9">
        <v>43139.0</v>
      </c>
      <c r="D2634" s="6">
        <v>6.10203092E8</v>
      </c>
      <c r="E2634" s="4">
        <v>6.102000176E9</v>
      </c>
      <c r="F2634" s="8"/>
      <c r="G2634" s="4" t="s">
        <v>1130</v>
      </c>
      <c r="H2634" s="10" t="s">
        <v>2004</v>
      </c>
      <c r="I2634" s="10">
        <v>10.0</v>
      </c>
      <c r="J2634" s="11" t="str">
        <f>IF(D2634&lt;&gt;"",VLOOKUP(H2634,TABLEITEM,5,FALSE),"")</f>
        <v>EA</v>
      </c>
      <c r="K2634" s="12">
        <v>83.85</v>
      </c>
      <c r="L2634" s="13" t="str">
        <f>IF(D2634&lt;&gt;"",VLOOKUP(H2634,TABLEITEM,2,FALSE),"")</f>
        <v/>
      </c>
      <c r="M2634" s="13" t="str">
        <f>IF(D2634&lt;&gt;"",VLOOKUP(H2634,TABLEITEM,3,FALSE),"")</f>
        <v>PILOT LIGHT LED 240V RED</v>
      </c>
      <c r="N2634" s="14">
        <f>INSTOCK!$I2634*INSTOCK!$K2634</f>
        <v>838.5</v>
      </c>
      <c r="O2634" s="4" t="s">
        <v>3547</v>
      </c>
      <c r="P2634" s="4"/>
    </row>
    <row r="2635" ht="15.75" hidden="1" customHeight="1">
      <c r="B2635" s="8">
        <v>2954.0</v>
      </c>
      <c r="C2635" s="9">
        <v>43139.0</v>
      </c>
      <c r="D2635" s="6">
        <v>6.10203092E8</v>
      </c>
      <c r="E2635" s="4">
        <v>6.102000176E9</v>
      </c>
      <c r="F2635" s="8"/>
      <c r="G2635" s="4" t="s">
        <v>1130</v>
      </c>
      <c r="H2635" s="10" t="s">
        <v>3548</v>
      </c>
      <c r="I2635" s="10">
        <v>2.0</v>
      </c>
      <c r="J2635" s="11" t="str">
        <f>IF(D2635&lt;&gt;"",VLOOKUP(H2635,TABLEITEM,5,FALSE),"")</f>
        <v>EA</v>
      </c>
      <c r="K2635" s="12">
        <v>528.9</v>
      </c>
      <c r="L2635" s="13" t="str">
        <f>IF(D2635&lt;&gt;"",VLOOKUP(H2635,TABLEITEM,2,FALSE),"")</f>
        <v/>
      </c>
      <c r="M2635" s="13" t="str">
        <f>IF(D2635&lt;&gt;"",VLOOKUP(H2635,TABLEITEM,3,FALSE),"")</f>
        <v>OVERLOAD LRD-06</v>
      </c>
      <c r="N2635" s="14">
        <f>INSTOCK!$I2635*INSTOCK!$K2635</f>
        <v>1057.8</v>
      </c>
      <c r="O2635" s="4" t="s">
        <v>3549</v>
      </c>
      <c r="P2635" s="4"/>
    </row>
    <row r="2636" ht="15.75" hidden="1" customHeight="1">
      <c r="B2636" s="8">
        <v>2955.0</v>
      </c>
      <c r="C2636" s="9">
        <v>43139.0</v>
      </c>
      <c r="D2636" s="6">
        <v>6.10202864E8</v>
      </c>
      <c r="E2636" s="4">
        <v>6.10200174E8</v>
      </c>
      <c r="F2636" s="8"/>
      <c r="G2636" s="4" t="s">
        <v>1130</v>
      </c>
      <c r="H2636" s="10" t="s">
        <v>2546</v>
      </c>
      <c r="I2636" s="10">
        <v>1.0</v>
      </c>
      <c r="J2636" s="11" t="str">
        <f>IF(D2636&lt;&gt;"",VLOOKUP(H2636,TABLEITEM,5,FALSE),"")</f>
        <v>EA</v>
      </c>
      <c r="K2636" s="12">
        <v>1100.0</v>
      </c>
      <c r="L2636" s="13" t="str">
        <f>IF(D2636&lt;&gt;"",VLOOKUP(H2636,TABLEITEM,2,FALSE),"")</f>
        <v/>
      </c>
      <c r="M2636" s="13" t="str">
        <f>IF(D2636&lt;&gt;"",VLOOKUP(H2636,TABLEITEM,3,FALSE),"")</f>
        <v>PATLITE RHB-230L-R 220V REVOLVING LIGHT</v>
      </c>
      <c r="N2636" s="14">
        <f>INSTOCK!$I2636*INSTOCK!$K2636</f>
        <v>1100</v>
      </c>
      <c r="O2636" s="4"/>
      <c r="P2636" s="4"/>
    </row>
    <row r="2637" ht="15.75" hidden="1" customHeight="1">
      <c r="B2637" s="8">
        <v>2956.0</v>
      </c>
      <c r="C2637" s="9">
        <v>43139.0</v>
      </c>
      <c r="D2637" s="6">
        <v>6.10202864E8</v>
      </c>
      <c r="E2637" s="4">
        <v>6.10200174E8</v>
      </c>
      <c r="F2637" s="8"/>
      <c r="G2637" s="4" t="s">
        <v>1130</v>
      </c>
      <c r="H2637" s="10" t="s">
        <v>3550</v>
      </c>
      <c r="I2637" s="10">
        <v>1.0</v>
      </c>
      <c r="J2637" s="11" t="str">
        <f>IF(D2637&lt;&gt;"",VLOOKUP(H2637,TABLEITEM,5,FALSE),"")</f>
        <v>EA</v>
      </c>
      <c r="K2637" s="12">
        <v>455.8</v>
      </c>
      <c r="L2637" s="13" t="str">
        <f>IF(D2637&lt;&gt;"",VLOOKUP(H2637,TABLEITEM,2,FALSE),"")</f>
        <v/>
      </c>
      <c r="M2637" s="13" t="str">
        <f>IF(D2637&lt;&gt;"",VLOOKUP(H2637,TABLEITEM,3,FALSE),"")</f>
        <v>XAC-S102 </v>
      </c>
      <c r="N2637" s="14">
        <f>INSTOCK!$I2637*INSTOCK!$K2637</f>
        <v>455.8</v>
      </c>
      <c r="O2637" s="4" t="s">
        <v>3551</v>
      </c>
      <c r="P2637" s="4"/>
    </row>
    <row r="2638" ht="15.75" hidden="1" customHeight="1">
      <c r="B2638" s="8">
        <v>2957.0</v>
      </c>
      <c r="C2638" s="9">
        <v>43573.0</v>
      </c>
      <c r="D2638" s="6" t="s">
        <v>3552</v>
      </c>
      <c r="E2638" s="4"/>
      <c r="F2638" s="8" t="s">
        <v>801</v>
      </c>
      <c r="G2638" s="4" t="s">
        <v>1417</v>
      </c>
      <c r="H2638" s="10" t="s">
        <v>803</v>
      </c>
      <c r="I2638" s="10">
        <v>19.0</v>
      </c>
      <c r="J2638" s="11" t="str">
        <f>IF(D2638&lt;&gt;"",VLOOKUP(H2638,TABLEITEM,5,FALSE),"")</f>
        <v>ถัง</v>
      </c>
      <c r="K2638" s="12">
        <v>981.31</v>
      </c>
      <c r="L2638" s="13" t="str">
        <f>IF(D2638&lt;&gt;"",VLOOKUP(H2638,TABLEITEM,2,FALSE),"")</f>
        <v/>
      </c>
      <c r="M2638" s="13" t="str">
        <f>IF(D2638&lt;&gt;"",VLOOKUP(H2638,TABLEITEM,3,FALSE),"")</f>
        <v>แก๊สหุงต้ม 48กก</v>
      </c>
      <c r="N2638" s="14">
        <f>INSTOCK!$I2638*INSTOCK!$K2638</f>
        <v>18644.89</v>
      </c>
      <c r="O2638" s="4"/>
      <c r="P2638" s="4"/>
    </row>
    <row r="2639" ht="15.75" hidden="1" customHeight="1">
      <c r="B2639" s="8">
        <v>2958.0</v>
      </c>
      <c r="C2639" s="9">
        <v>43572.0</v>
      </c>
      <c r="D2639" s="6" t="s">
        <v>3553</v>
      </c>
      <c r="E2639" s="4">
        <v>6.204000581E9</v>
      </c>
      <c r="F2639" s="8" t="s">
        <v>604</v>
      </c>
      <c r="G2639" s="4" t="s">
        <v>1092</v>
      </c>
      <c r="H2639" s="10" t="s">
        <v>818</v>
      </c>
      <c r="I2639" s="10">
        <v>18.0</v>
      </c>
      <c r="J2639" s="11" t="str">
        <f>IF(D2639&lt;&gt;"",VLOOKUP(H2639,TABLEITEM,5,FALSE),"")</f>
        <v>ท่อ</v>
      </c>
      <c r="K2639" s="12">
        <v>280.0</v>
      </c>
      <c r="L2639" s="13" t="str">
        <f>IF(D2639&lt;&gt;"",VLOOKUP(H2639,TABLEITEM,2,FALSE),"")</f>
        <v/>
      </c>
      <c r="M2639" s="13" t="str">
        <f>IF(D2639&lt;&gt;"",VLOOKUP(H2639,TABLEITEM,3,FALSE),"")</f>
        <v>คาร์บอนไดออกไซด์ ขนาด 25 กก</v>
      </c>
      <c r="N2639" s="14">
        <f>INSTOCK!$I2639*INSTOCK!$K2639</f>
        <v>5040</v>
      </c>
      <c r="O2639" s="4"/>
      <c r="P2639" s="4"/>
    </row>
    <row r="2640" ht="15.75" hidden="1" customHeight="1">
      <c r="B2640" s="8">
        <v>2959.0</v>
      </c>
      <c r="C2640" s="9">
        <v>43572.0</v>
      </c>
      <c r="D2640" s="6" t="s">
        <v>3553</v>
      </c>
      <c r="E2640" s="4">
        <v>6.204000581E9</v>
      </c>
      <c r="F2640" s="8" t="s">
        <v>604</v>
      </c>
      <c r="G2640" s="4" t="s">
        <v>1092</v>
      </c>
      <c r="H2640" s="10" t="s">
        <v>816</v>
      </c>
      <c r="I2640" s="10">
        <v>3.0</v>
      </c>
      <c r="J2640" s="11" t="str">
        <f>IF(D2640&lt;&gt;"",VLOOKUP(H2640,TABLEITEM,5,FALSE),"")</f>
        <v>ท่อ</v>
      </c>
      <c r="K2640" s="12">
        <v>600.0</v>
      </c>
      <c r="L2640" s="13" t="str">
        <f>IF(D2640&lt;&gt;"",VLOOKUP(H2640,TABLEITEM,2,FALSE),"")</f>
        <v/>
      </c>
      <c r="M2640" s="13" t="str">
        <f>IF(D2640&lt;&gt;"",VLOOKUP(H2640,TABLEITEM,3,FALSE),"")</f>
        <v>อาร์กอน ขนาด 6คิว</v>
      </c>
      <c r="N2640" s="14">
        <f>INSTOCK!$I2640*INSTOCK!$K2640</f>
        <v>1800</v>
      </c>
      <c r="O2640" s="4"/>
      <c r="P2640" s="4"/>
    </row>
    <row r="2641" ht="15.75" hidden="1" customHeight="1">
      <c r="B2641" s="8">
        <v>2960.0</v>
      </c>
      <c r="C2641" s="9">
        <v>43573.0</v>
      </c>
      <c r="D2641" s="6" t="s">
        <v>3554</v>
      </c>
      <c r="E2641" s="4">
        <v>6.204000584E9</v>
      </c>
      <c r="F2641" s="8" t="s">
        <v>604</v>
      </c>
      <c r="G2641" s="4" t="s">
        <v>2445</v>
      </c>
      <c r="H2641" s="10" t="s">
        <v>2446</v>
      </c>
      <c r="I2641" s="10">
        <v>10000.0</v>
      </c>
      <c r="J2641" s="11" t="str">
        <f>IF(D2641&lt;&gt;"",VLOOKUP(H2641,TABLEITEM,5,FALSE),"")</f>
        <v>EA</v>
      </c>
      <c r="K2641" s="12">
        <v>0.65</v>
      </c>
      <c r="L2641" s="13" t="str">
        <f>IF(D2641&lt;&gt;"",VLOOKUP(H2641,TABLEITEM,2,FALSE),"")</f>
        <v/>
      </c>
      <c r="M2641" s="13" t="str">
        <f>IF(D2641&lt;&gt;"",VLOOKUP(H2641,TABLEITEM,3,FALSE),"")</f>
        <v>สตัด M4x10</v>
      </c>
      <c r="N2641" s="14">
        <f>INSTOCK!$I2641*INSTOCK!$K2641</f>
        <v>6500</v>
      </c>
      <c r="O2641" s="4"/>
      <c r="P2641" s="4"/>
    </row>
    <row r="2642" ht="15.75" hidden="1" customHeight="1">
      <c r="B2642" s="8">
        <v>2961.0</v>
      </c>
      <c r="C2642" s="9">
        <v>43572.0</v>
      </c>
      <c r="D2642" s="6">
        <v>6.20404006E8</v>
      </c>
      <c r="E2642" s="4">
        <v>6.204000583E9</v>
      </c>
      <c r="F2642" s="8" t="s">
        <v>604</v>
      </c>
      <c r="G2642" s="4" t="s">
        <v>1130</v>
      </c>
      <c r="H2642" s="10" t="s">
        <v>248</v>
      </c>
      <c r="I2642" s="10">
        <v>2500.0</v>
      </c>
      <c r="J2642" s="11" t="str">
        <f>IF(D2642&lt;&gt;"",VLOOKUP(H2642,TABLEITEM,5,FALSE),"")</f>
        <v>EA</v>
      </c>
      <c r="K2642" s="12">
        <v>0.63</v>
      </c>
      <c r="L2642" s="13" t="str">
        <f>IF(D2642&lt;&gt;"",VLOOKUP(H2642,TABLEITEM,2,FALSE),"")</f>
        <v/>
      </c>
      <c r="M2642" s="13" t="str">
        <f>IF(D2642&lt;&gt;"",VLOOKUP(H2642,TABLEITEM,3,FALSE),"")</f>
        <v>หางปลาแฉกเปลือย Y2.5-4S</v>
      </c>
      <c r="N2642" s="14">
        <f>INSTOCK!$I2642*INSTOCK!$K2642</f>
        <v>1575</v>
      </c>
      <c r="O2642" s="4" t="s">
        <v>1830</v>
      </c>
      <c r="P2642" s="4"/>
    </row>
    <row r="2643" ht="15.75" hidden="1" customHeight="1">
      <c r="B2643" s="8">
        <v>2962.0</v>
      </c>
      <c r="C2643" s="9">
        <v>43572.0</v>
      </c>
      <c r="D2643" s="6">
        <v>6.20404029E8</v>
      </c>
      <c r="E2643" s="4">
        <v>6.204000586E9</v>
      </c>
      <c r="F2643" s="8" t="s">
        <v>3555</v>
      </c>
      <c r="G2643" s="4" t="s">
        <v>1130</v>
      </c>
      <c r="H2643" s="10" t="s">
        <v>1739</v>
      </c>
      <c r="I2643" s="10">
        <v>10.0</v>
      </c>
      <c r="J2643" s="11" t="str">
        <f>IF(D2643&lt;&gt;"",VLOOKUP(H2643,TABLEITEM,5,FALSE),"")</f>
        <v>EA</v>
      </c>
      <c r="K2643" s="12">
        <v>116.64</v>
      </c>
      <c r="L2643" s="13" t="str">
        <f>IF(D2643&lt;&gt;"",VLOOKUP(H2643,TABLEITEM,2,FALSE),"")</f>
        <v/>
      </c>
      <c r="M2643" s="13" t="str">
        <f>IF(D2643&lt;&gt;"",VLOOKUP(H2643,TABLEITEM,3,FALSE),"")</f>
        <v>ปลั๊กคู่มีกราวWEG 15929 2P+G</v>
      </c>
      <c r="N2643" s="14">
        <f>INSTOCK!$I2643*INSTOCK!$K2643</f>
        <v>1166.4</v>
      </c>
      <c r="O2643" s="4" t="s">
        <v>3556</v>
      </c>
      <c r="P2643" s="4"/>
    </row>
    <row r="2644" ht="15.75" hidden="1" customHeight="1">
      <c r="B2644" s="8">
        <v>2963.0</v>
      </c>
      <c r="C2644" s="9">
        <v>43572.0</v>
      </c>
      <c r="D2644" s="6">
        <v>6.20404029E8</v>
      </c>
      <c r="E2644" s="4">
        <v>6.204000586E9</v>
      </c>
      <c r="F2644" s="8" t="s">
        <v>3555</v>
      </c>
      <c r="G2644" s="4" t="s">
        <v>1130</v>
      </c>
      <c r="H2644" s="10" t="s">
        <v>3557</v>
      </c>
      <c r="I2644" s="10">
        <v>5.0</v>
      </c>
      <c r="J2644" s="11" t="str">
        <f>IF(D2644&lt;&gt;"",VLOOKUP(H2644,TABLEITEM,5,FALSE),"")</f>
        <v>EA</v>
      </c>
      <c r="K2644" s="12">
        <v>134.0</v>
      </c>
      <c r="L2644" s="13" t="str">
        <f>IF(D2644&lt;&gt;"",VLOOKUP(H2644,TABLEITEM,2,FALSE),"")</f>
        <v/>
      </c>
      <c r="M2644" s="13" t="str">
        <f>IF(D2644&lt;&gt;"",VLOOKUP(H2644,TABLEITEM,3,FALSE),"")</f>
        <v>RELAY MY4N-GS 24VADC</v>
      </c>
      <c r="N2644" s="14">
        <f>INSTOCK!$I2644*INSTOCK!$K2644</f>
        <v>670</v>
      </c>
      <c r="O2644" s="4"/>
      <c r="P2644" s="4"/>
    </row>
    <row r="2645" ht="15.75" hidden="1" customHeight="1">
      <c r="B2645" s="8">
        <v>2964.0</v>
      </c>
      <c r="C2645" s="9">
        <v>43566.0</v>
      </c>
      <c r="D2645" s="6" t="s">
        <v>3558</v>
      </c>
      <c r="E2645" s="4"/>
      <c r="F2645" s="8"/>
      <c r="G2645" s="4" t="s">
        <v>3433</v>
      </c>
      <c r="H2645" s="10" t="s">
        <v>3434</v>
      </c>
      <c r="I2645" s="10">
        <v>39.0</v>
      </c>
      <c r="J2645" s="11" t="str">
        <f>IF(D2645&lt;&gt;"",VLOOKUP(H2645,TABLEITEM,5,FALSE),"")</f>
        <v>EA</v>
      </c>
      <c r="K2645" s="12">
        <v>400.0</v>
      </c>
      <c r="L2645" s="13" t="str">
        <f>IF(D2645&lt;&gt;"",VLOOKUP(H2645,TABLEITEM,2,FALSE),"")</f>
        <v/>
      </c>
      <c r="M2645" s="13" t="str">
        <f>IF(D2645&lt;&gt;"",VLOOKUP(H2645,TABLEITEM,3,FALSE),"")</f>
        <v>พิมพ์ป้ายเหล็กเติมเต็ม </v>
      </c>
      <c r="N2645" s="14" t="str">
        <f>[2]!Table1[[#This Row],[qty]]*[2]!Table1[[#This Row],[UNIT/Price]]</f>
        <v>#ERROR!</v>
      </c>
      <c r="O2645" s="4"/>
      <c r="P2645" s="4"/>
    </row>
    <row r="2646" ht="15.75" hidden="1" customHeight="1">
      <c r="B2646" s="8">
        <v>2965.0</v>
      </c>
      <c r="C2646" s="9">
        <v>43574.0</v>
      </c>
      <c r="D2646" s="6" t="s">
        <v>3559</v>
      </c>
      <c r="E2646" s="4">
        <v>6.204000592E9</v>
      </c>
      <c r="F2646" s="8" t="s">
        <v>604</v>
      </c>
      <c r="G2646" s="4" t="s">
        <v>3541</v>
      </c>
      <c r="H2646" s="10" t="s">
        <v>3560</v>
      </c>
      <c r="I2646" s="10">
        <v>100.0</v>
      </c>
      <c r="J2646" s="11" t="str">
        <f>IF(D2646&lt;&gt;"",VLOOKUP(H2646,TABLEITEM,5,FALSE),"")</f>
        <v>EA</v>
      </c>
      <c r="K2646" s="12">
        <v>65.0</v>
      </c>
      <c r="L2646" s="13" t="str">
        <f>IF(D2646&lt;&gt;"",VLOOKUP(H2646,TABLEITEM,2,FALSE),"")</f>
        <v/>
      </c>
      <c r="M2646" s="13" t="str">
        <f>IF(D2646&lt;&gt;"",VLOOKUP(H2646,TABLEITEM,3,FALSE),"")</f>
        <v>FUSE HOLDER 10*38</v>
      </c>
      <c r="N2646" s="14" t="str">
        <f>[2]!Table1[[#This Row],[qty]]*[2]!Table1[[#This Row],[UNIT/Price]]</f>
        <v>#ERROR!</v>
      </c>
      <c r="O2646" s="4"/>
      <c r="P2646" s="4"/>
    </row>
    <row r="2647" ht="15.75" hidden="1" customHeight="1">
      <c r="B2647" s="8">
        <v>2966.0</v>
      </c>
      <c r="C2647" s="9">
        <v>43574.0</v>
      </c>
      <c r="D2647" s="6" t="s">
        <v>3561</v>
      </c>
      <c r="E2647" s="4">
        <v>6.204000588E9</v>
      </c>
      <c r="F2647" s="8" t="s">
        <v>3562</v>
      </c>
      <c r="G2647" s="4" t="s">
        <v>1258</v>
      </c>
      <c r="H2647" s="10" t="s">
        <v>3525</v>
      </c>
      <c r="I2647" s="10">
        <v>45.0</v>
      </c>
      <c r="J2647" s="11" t="str">
        <f>IF(D2647&lt;&gt;"",VLOOKUP(H2647,TABLEITEM,5,FALSE),"")</f>
        <v>KG.</v>
      </c>
      <c r="K2647" s="12">
        <v>165.0</v>
      </c>
      <c r="L2647" s="13" t="str">
        <f>IF(D2647&lt;&gt;"",VLOOKUP(H2647,TABLEITEM,2,FALSE),"")</f>
        <v/>
      </c>
      <c r="M2647" s="13" t="str">
        <f>IF(D2647&lt;&gt;"",VLOOKUP(H2647,TABLEITEM,3,FALSE),"")</f>
        <v>สีฝุ่น HB 40001 METALLIC</v>
      </c>
      <c r="N2647" s="14" t="str">
        <f>[2]!Table1[[#This Row],[qty]]*[2]!Table1[[#This Row],[UNIT/Price]]</f>
        <v>#ERROR!</v>
      </c>
      <c r="O2647" s="4"/>
      <c r="P2647" s="4"/>
    </row>
    <row r="2648" ht="15.75" hidden="1" customHeight="1">
      <c r="B2648" s="8">
        <v>2967.0</v>
      </c>
      <c r="C2648" s="9">
        <v>43573.0</v>
      </c>
      <c r="D2648" s="6" t="s">
        <v>3563</v>
      </c>
      <c r="E2648" s="4">
        <v>6.204000591E9</v>
      </c>
      <c r="F2648" s="8" t="s">
        <v>604</v>
      </c>
      <c r="G2648" s="4" t="s">
        <v>1904</v>
      </c>
      <c r="H2648" s="10" t="s">
        <v>219</v>
      </c>
      <c r="I2648" s="10">
        <v>2.0</v>
      </c>
      <c r="J2648" s="11" t="str">
        <f>IF(D2648&lt;&gt;"",VLOOKUP(H2648,TABLEITEM,5,FALSE),"")</f>
        <v>M</v>
      </c>
      <c r="K2648" s="12">
        <v>1053.0</v>
      </c>
      <c r="L2648" s="13" t="str">
        <f>IF(D2648&lt;&gt;"",VLOOKUP(H2648,TABLEITEM,2,FALSE),"")</f>
        <v/>
      </c>
      <c r="M2648" s="13" t="str">
        <f>IF(D2648&lt;&gt;"",VLOOKUP(H2648,TABLEITEM,3,FALSE),"")</f>
        <v>TUEB 5.2</v>
      </c>
      <c r="N2648" s="14" t="str">
        <f>[2]!Table1[[#This Row],[qty]]*[2]!Table1[[#This Row],[UNIT/Price]]</f>
        <v>#ERROR!</v>
      </c>
      <c r="O2648" s="4" t="s">
        <v>220</v>
      </c>
      <c r="P2648" s="4"/>
    </row>
    <row r="2649" ht="15.75" hidden="1" customHeight="1">
      <c r="B2649" s="8">
        <v>2968.0</v>
      </c>
      <c r="C2649" s="9">
        <v>43574.0</v>
      </c>
      <c r="D2649" s="6" t="s">
        <v>3564</v>
      </c>
      <c r="E2649" s="4">
        <v>6.204000585E9</v>
      </c>
      <c r="F2649" s="8" t="s">
        <v>604</v>
      </c>
      <c r="G2649" s="4" t="s">
        <v>975</v>
      </c>
      <c r="H2649" s="10" t="s">
        <v>19</v>
      </c>
      <c r="I2649" s="10">
        <v>60.0</v>
      </c>
      <c r="J2649" s="11" t="str">
        <f>IF(D2649&lt;&gt;"",VLOOKUP(H2649,TABLEITEM,5,FALSE),"")</f>
        <v>ROLL</v>
      </c>
      <c r="K2649" s="12">
        <v>140.0</v>
      </c>
      <c r="L2649" s="13" t="str">
        <f>IF(D2649&lt;&gt;"",VLOOKUP(H2649,TABLEITEM,2,FALSE),"")</f>
        <v/>
      </c>
      <c r="M2649" s="13" t="str">
        <f>IF(D2649&lt;&gt;"",VLOOKUP(H2649,TABLEITEM,3,FALSE),"")</f>
        <v>พลาสติกห่อตู้ 20micx50cmx300m</v>
      </c>
      <c r="N2649" s="14" t="str">
        <f>[2]!Table1[[#This Row],[qty]]*[2]!Table1[[#This Row],[UNIT/Price]]</f>
        <v>#ERROR!</v>
      </c>
      <c r="O2649" s="4" t="s">
        <v>977</v>
      </c>
      <c r="P2649" s="4"/>
    </row>
    <row r="2650" ht="15.75" hidden="1" customHeight="1">
      <c r="B2650" s="8">
        <v>2969.0</v>
      </c>
      <c r="C2650" s="9">
        <v>43574.0</v>
      </c>
      <c r="D2650" s="6">
        <v>8198.0</v>
      </c>
      <c r="E2650" s="4">
        <v>6.20400059E9</v>
      </c>
      <c r="F2650" s="8" t="s">
        <v>604</v>
      </c>
      <c r="G2650" s="4" t="s">
        <v>1009</v>
      </c>
      <c r="H2650" s="10" t="s">
        <v>2773</v>
      </c>
      <c r="I2650" s="10">
        <v>100.0</v>
      </c>
      <c r="J2650" s="11" t="str">
        <f>IF(D2650&lt;&gt;"",VLOOKUP(H2650,TABLEITEM,5,FALSE),"")</f>
        <v>EA</v>
      </c>
      <c r="K2650" s="12">
        <v>90.0</v>
      </c>
      <c r="L2650" s="13" t="str">
        <f>IF(D2650&lt;&gt;"",VLOOKUP(H2650,TABLEITEM,2,FALSE),"")</f>
        <v/>
      </c>
      <c r="M2650" s="13" t="str">
        <f>IF(D2650&lt;&gt;"",VLOOKUP(H2650,TABLEITEM,3,FALSE),"")</f>
        <v>DOOR LOCKER AB301-3-1</v>
      </c>
      <c r="N2650" s="14" t="str">
        <f>[2]!Table1[[#This Row],[qty]]*[2]!Table1[[#This Row],[UNIT/Price]]</f>
        <v>#ERROR!</v>
      </c>
      <c r="O2650" s="4"/>
      <c r="P2650" s="4"/>
    </row>
    <row r="2651" ht="15.75" hidden="1" customHeight="1">
      <c r="B2651" s="8">
        <v>2970.0</v>
      </c>
      <c r="C2651" s="9">
        <v>43574.0</v>
      </c>
      <c r="D2651" s="6" t="s">
        <v>3565</v>
      </c>
      <c r="E2651" s="4">
        <v>6.204000595E9</v>
      </c>
      <c r="F2651" s="8" t="s">
        <v>807</v>
      </c>
      <c r="G2651" s="4" t="s">
        <v>808</v>
      </c>
      <c r="H2651" s="10" t="s">
        <v>809</v>
      </c>
      <c r="I2651" s="10">
        <v>1.0</v>
      </c>
      <c r="J2651" s="11" t="str">
        <f>IF(D2651&lt;&gt;"",VLOOKUP(H2651,TABLEITEM,5,FALSE),"")</f>
        <v>ท่อ</v>
      </c>
      <c r="K2651" s="12">
        <v>2700.0</v>
      </c>
      <c r="L2651" s="13" t="str">
        <f>IF(D2651&lt;&gt;"",VLOOKUP(H2651,TABLEITEM,2,FALSE),"")</f>
        <v/>
      </c>
      <c r="M2651" s="13" t="str">
        <f>IF(D2651&lt;&gt;"",VLOOKUP(H2651,TABLEITEM,3,FALSE),"")</f>
        <v>ไนโตรเจนเหลว ขนาด 100คิว</v>
      </c>
      <c r="N2651" s="14" t="str">
        <f>[2]!Table1[[#This Row],[qty]]*[2]!Table1[[#This Row],[UNIT/Price]]</f>
        <v>#ERROR!</v>
      </c>
      <c r="O2651" s="4"/>
      <c r="P2651" s="4"/>
    </row>
    <row r="2652" ht="15.75" hidden="1" customHeight="1">
      <c r="B2652" s="8">
        <v>2971.0</v>
      </c>
      <c r="C2652" s="9">
        <v>43573.0</v>
      </c>
      <c r="D2652" s="6">
        <v>6.20404312E8</v>
      </c>
      <c r="E2652" s="4">
        <v>6.204000596E9</v>
      </c>
      <c r="F2652" s="8" t="s">
        <v>3399</v>
      </c>
      <c r="G2652" s="4" t="s">
        <v>1130</v>
      </c>
      <c r="H2652" s="10" t="s">
        <v>3116</v>
      </c>
      <c r="I2652" s="10">
        <v>3.0</v>
      </c>
      <c r="J2652" s="11" t="str">
        <f>IF(D2652&lt;&gt;"",VLOOKUP(H2652,TABLEITEM,5,FALSE),"")</f>
        <v>EA</v>
      </c>
      <c r="K2652" s="12">
        <v>121.13</v>
      </c>
      <c r="L2652" s="13" t="str">
        <f>IF(D2652&lt;&gt;"",VLOOKUP(H2652,TABLEITEM,2,FALSE),"")</f>
        <v/>
      </c>
      <c r="M2652" s="13" t="str">
        <f>IF(D2652&lt;&gt;"",VLOOKUP(H2652,TABLEITEM,3,FALSE),"")</f>
        <v>CT100/5 MSQ40</v>
      </c>
      <c r="N2652" s="14">
        <f>INSTOCK!$I2652*INSTOCK!$K2652</f>
        <v>363.39</v>
      </c>
      <c r="O2652" s="4" t="s">
        <v>1898</v>
      </c>
      <c r="P2652" s="4"/>
    </row>
    <row r="2653" ht="15.75" hidden="1" customHeight="1">
      <c r="B2653" s="8">
        <v>2972.0</v>
      </c>
      <c r="C2653" s="9">
        <v>43573.0</v>
      </c>
      <c r="D2653" s="6">
        <v>38264.0</v>
      </c>
      <c r="E2653" s="4">
        <v>6.204000582E9</v>
      </c>
      <c r="F2653" s="8" t="s">
        <v>604</v>
      </c>
      <c r="G2653" s="4" t="s">
        <v>696</v>
      </c>
      <c r="H2653" s="10" t="s">
        <v>44</v>
      </c>
      <c r="I2653" s="10">
        <v>4.0</v>
      </c>
      <c r="J2653" s="11" t="str">
        <f>IF(D2653&lt;&gt;"",VLOOKUP(H2653,TABLEITEM,5,FALSE),"")</f>
        <v>ปี๊ป</v>
      </c>
      <c r="K2653" s="12">
        <v>370.0</v>
      </c>
      <c r="L2653" s="13" t="str">
        <f>IF(D2653&lt;&gt;"",VLOOKUP(H2653,TABLEITEM,2,FALSE),"")</f>
        <v/>
      </c>
      <c r="M2653" s="13" t="str">
        <f>IF(D2653&lt;&gt;"",VLOOKUP(H2653,TABLEITEM,3,FALSE),"")</f>
        <v>ทินเนอร์ AAA</v>
      </c>
      <c r="N2653" s="14" t="str">
        <f>[2]!Table1[[#This Row],[qty]]*[2]!Table1[[#This Row],[UNIT/Price]]</f>
        <v>#ERROR!</v>
      </c>
      <c r="O2653" s="4"/>
      <c r="P2653" s="4"/>
    </row>
    <row r="2654" ht="15.75" hidden="1" customHeight="1">
      <c r="B2654" s="8">
        <v>2973.0</v>
      </c>
      <c r="C2654" s="9">
        <v>43573.0</v>
      </c>
      <c r="D2654" s="6" t="s">
        <v>3566</v>
      </c>
      <c r="E2654" s="4">
        <v>6.204000593E9</v>
      </c>
      <c r="F2654" s="8" t="s">
        <v>3407</v>
      </c>
      <c r="G2654" s="4" t="s">
        <v>3567</v>
      </c>
      <c r="H2654" s="10" t="s">
        <v>1713</v>
      </c>
      <c r="I2654" s="10">
        <v>1.0</v>
      </c>
      <c r="J2654" s="11" t="str">
        <f>IF(D2654&lt;&gt;"",VLOOKUP(H2654,TABLEITEM,5,FALSE),"")</f>
        <v>EA</v>
      </c>
      <c r="K2654" s="12">
        <v>1695.0</v>
      </c>
      <c r="L2654" s="13" t="str">
        <f>IF(D2654&lt;&gt;"",VLOOKUP(H2654,TABLEITEM,2,FALSE),"")</f>
        <v/>
      </c>
      <c r="M2654" s="13" t="str">
        <f>IF(D2654&lt;&gt;"",VLOOKUP(H2654,TABLEITEM,3,FALSE),"")</f>
        <v>Special Core ZCT 80mm</v>
      </c>
      <c r="N2654" s="14">
        <f>INSTOCK!$I2654*INSTOCK!$K2654</f>
        <v>1695</v>
      </c>
      <c r="O2654" s="4" t="s">
        <v>1714</v>
      </c>
      <c r="P2654" s="4"/>
    </row>
    <row r="2655" ht="15.75" hidden="1" customHeight="1">
      <c r="B2655" s="8">
        <v>2974.0</v>
      </c>
      <c r="C2655" s="9">
        <v>43573.0</v>
      </c>
      <c r="D2655" s="6" t="s">
        <v>3566</v>
      </c>
      <c r="E2655" s="4">
        <v>6.204000593E9</v>
      </c>
      <c r="F2655" s="8" t="s">
        <v>3407</v>
      </c>
      <c r="G2655" s="4" t="s">
        <v>3567</v>
      </c>
      <c r="H2655" s="10" t="s">
        <v>1711</v>
      </c>
      <c r="I2655" s="10">
        <v>1.0</v>
      </c>
      <c r="J2655" s="11" t="str">
        <f>IF(D2655&lt;&gt;"",VLOOKUP(H2655,TABLEITEM,5,FALSE),"")</f>
        <v>EA</v>
      </c>
      <c r="K2655" s="12">
        <v>2625.0</v>
      </c>
      <c r="L2655" s="13" t="str">
        <f>IF(D2655&lt;&gt;"",VLOOKUP(H2655,TABLEITEM,2,FALSE),"")</f>
        <v/>
      </c>
      <c r="M2655" s="13" t="str">
        <f>IF(D2655&lt;&gt;"",VLOOKUP(H2655,TABLEITEM,3,FALSE),"")</f>
        <v>Din Rail Barth Leakage Relay Din300-240VAC</v>
      </c>
      <c r="N2655" s="14">
        <f>INSTOCK!$I2655*INSTOCK!$K2655</f>
        <v>2625</v>
      </c>
      <c r="O2655" s="4" t="s">
        <v>1712</v>
      </c>
      <c r="P2655" s="4"/>
    </row>
    <row r="2656" ht="15.75" hidden="1" customHeight="1">
      <c r="B2656" s="8">
        <v>2975.0</v>
      </c>
      <c r="C2656" s="9">
        <v>43572.0</v>
      </c>
      <c r="D2656" s="6" t="s">
        <v>3568</v>
      </c>
      <c r="E2656" s="4">
        <v>6.204000566E9</v>
      </c>
      <c r="F2656" s="8" t="s">
        <v>3491</v>
      </c>
      <c r="G2656" s="4" t="s">
        <v>965</v>
      </c>
      <c r="H2656" s="10" t="s">
        <v>3569</v>
      </c>
      <c r="I2656" s="10">
        <v>1.0</v>
      </c>
      <c r="J2656" s="11" t="str">
        <f>IF(D2656&lt;&gt;"",VLOOKUP(H2656,TABLEITEM,5,FALSE),"")</f>
        <v>EA</v>
      </c>
      <c r="K2656" s="12">
        <v>400.0</v>
      </c>
      <c r="L2656" s="13" t="str">
        <f>IF(D2656&lt;&gt;"",VLOOKUP(H2656,TABLEITEM,2,FALSE),"")</f>
        <v/>
      </c>
      <c r="M2656" s="13" t="str">
        <f>IF(D2656&lt;&gt;"",VLOOKUP(H2656,TABLEITEM,3,FALSE),"")</f>
        <v>ผ้าใบ ฟ้า-ขาว  </v>
      </c>
      <c r="N2656" s="14">
        <f>INSTOCK!$I2656*INSTOCK!$K2656</f>
        <v>400</v>
      </c>
      <c r="O2656" s="4"/>
      <c r="P2656" s="4"/>
    </row>
    <row r="2657" ht="15.75" hidden="1" customHeight="1">
      <c r="B2657" s="8">
        <v>2976.0</v>
      </c>
      <c r="C2657" s="9">
        <v>43567.0</v>
      </c>
      <c r="D2657" s="6" t="s">
        <v>3570</v>
      </c>
      <c r="E2657" s="4">
        <v>6.204000575E9</v>
      </c>
      <c r="F2657" s="8" t="s">
        <v>604</v>
      </c>
      <c r="G2657" s="4" t="s">
        <v>665</v>
      </c>
      <c r="H2657" s="10" t="s">
        <v>3571</v>
      </c>
      <c r="I2657" s="10">
        <v>300.0</v>
      </c>
      <c r="J2657" s="11" t="str">
        <f>IF(D2657&lt;&gt;"",VLOOKUP(H2657,TABLEITEM,5,FALSE),"")</f>
        <v>M</v>
      </c>
      <c r="K2657" s="12">
        <v>25.0</v>
      </c>
      <c r="L2657" s="13" t="str">
        <f>IF(D2657&lt;&gt;"",VLOOKUP(H2657,TABLEITEM,2,FALSE),"")</f>
        <v>wire</v>
      </c>
      <c r="M2657" s="13" t="str">
        <f>IF(D2657&lt;&gt;"",VLOOKUP(H2657,TABLEITEM,3,FALSE),"")</f>
        <v>สายกราวน์ VSF1x6 SQMM.สีเขียวเหลือง</v>
      </c>
      <c r="N2657" s="14">
        <f>INSTOCK!$I2657*INSTOCK!$K2657</f>
        <v>7500</v>
      </c>
      <c r="O2657" s="4"/>
      <c r="P2657" s="4"/>
    </row>
    <row r="2658" ht="15.75" hidden="1" customHeight="1">
      <c r="B2658" s="8">
        <v>2977.0</v>
      </c>
      <c r="C2658" s="9">
        <v>43567.0</v>
      </c>
      <c r="D2658" s="6" t="s">
        <v>3570</v>
      </c>
      <c r="E2658" s="4">
        <v>6.204000575E9</v>
      </c>
      <c r="F2658" s="8" t="s">
        <v>604</v>
      </c>
      <c r="G2658" s="4" t="s">
        <v>665</v>
      </c>
      <c r="H2658" s="10" t="s">
        <v>462</v>
      </c>
      <c r="I2658" s="10">
        <v>1500.0</v>
      </c>
      <c r="J2658" s="11" t="str">
        <f>IF(D2658&lt;&gt;"",VLOOKUP(H2658,TABLEITEM,5,FALSE),"")</f>
        <v>M</v>
      </c>
      <c r="K2658" s="12">
        <v>5.0</v>
      </c>
      <c r="L2658" s="13" t="str">
        <f>IF(D2658&lt;&gt;"",VLOOKUP(H2658,TABLEITEM,2,FALSE),"")</f>
        <v>wire</v>
      </c>
      <c r="M2658" s="13" t="str">
        <f>IF(D2658&lt;&gt;"",VLOOKUP(H2658,TABLEITEM,3,FALSE),"")</f>
        <v>สายไฟ VSF1x1 SQMM.สีเหลือง</v>
      </c>
      <c r="N2658" s="14">
        <f>INSTOCK!$I2658*INSTOCK!$K2658</f>
        <v>7500</v>
      </c>
      <c r="O2658" s="4"/>
      <c r="P2658" s="4"/>
    </row>
    <row r="2659" ht="15.75" hidden="1" customHeight="1">
      <c r="B2659" s="8">
        <v>2978.0</v>
      </c>
      <c r="C2659" s="9">
        <v>43572.0</v>
      </c>
      <c r="D2659" s="6" t="s">
        <v>3572</v>
      </c>
      <c r="E2659" s="4">
        <v>6.204000574E9</v>
      </c>
      <c r="F2659" s="8" t="s">
        <v>981</v>
      </c>
      <c r="G2659" s="4" t="s">
        <v>982</v>
      </c>
      <c r="H2659" s="10" t="s">
        <v>986</v>
      </c>
      <c r="I2659" s="10">
        <v>300.0</v>
      </c>
      <c r="J2659" s="11" t="str">
        <f>IF(D2659&lt;&gt;"",VLOOKUP(H2659,TABLEITEM,5,FALSE),"")</f>
        <v>KG.</v>
      </c>
      <c r="K2659" s="12">
        <v>41.0</v>
      </c>
      <c r="L2659" s="13" t="str">
        <f>IF(D2659&lt;&gt;"",VLOOKUP(H2659,TABLEITEM,2,FALSE),"")</f>
        <v/>
      </c>
      <c r="M2659" s="13" t="str">
        <f>IF(D2659&lt;&gt;"",VLOOKUP(H2659,TABLEITEM,3,FALSE),"")</f>
        <v>เคมีฟอสเฟต PN-134</v>
      </c>
      <c r="N2659" s="14">
        <f>INSTOCK!$I2659*INSTOCK!$K2659</f>
        <v>12300</v>
      </c>
      <c r="O2659" s="4"/>
      <c r="P2659" s="4"/>
    </row>
    <row r="2660" ht="15.75" hidden="1" customHeight="1">
      <c r="B2660" s="8">
        <v>2979.0</v>
      </c>
      <c r="C2660" s="9">
        <v>43572.0</v>
      </c>
      <c r="D2660" s="6" t="s">
        <v>3572</v>
      </c>
      <c r="E2660" s="4">
        <v>6.204000574E9</v>
      </c>
      <c r="F2660" s="8" t="s">
        <v>981</v>
      </c>
      <c r="G2660" s="4" t="s">
        <v>982</v>
      </c>
      <c r="H2660" s="10" t="s">
        <v>983</v>
      </c>
      <c r="I2660" s="10">
        <v>200.0</v>
      </c>
      <c r="J2660" s="11" t="str">
        <f>IF(D2660&lt;&gt;"",VLOOKUP(H2660,TABLEITEM,5,FALSE),"")</f>
        <v>KG.</v>
      </c>
      <c r="K2660" s="12">
        <v>37.0</v>
      </c>
      <c r="L2660" s="13" t="str">
        <f>IF(D2660&lt;&gt;"",VLOOKUP(H2660,TABLEITEM,2,FALSE),"")</f>
        <v/>
      </c>
      <c r="M2660" s="13" t="str">
        <f>IF(D2660&lt;&gt;"",VLOOKUP(H2660,TABLEITEM,3,FALSE),"")</f>
        <v>เคมี ADDITIVE P-8</v>
      </c>
      <c r="N2660" s="14">
        <f>INSTOCK!$I2660*INSTOCK!$K2660</f>
        <v>7400</v>
      </c>
      <c r="O2660" s="4"/>
      <c r="P2660" s="4"/>
    </row>
    <row r="2661" ht="15.75" hidden="1" customHeight="1">
      <c r="B2661" s="8">
        <v>2980.0</v>
      </c>
      <c r="C2661" s="9">
        <v>43572.0</v>
      </c>
      <c r="D2661" s="6" t="s">
        <v>3572</v>
      </c>
      <c r="E2661" s="4">
        <v>6.204000574E9</v>
      </c>
      <c r="F2661" s="8" t="s">
        <v>981</v>
      </c>
      <c r="G2661" s="4" t="s">
        <v>982</v>
      </c>
      <c r="H2661" s="10" t="s">
        <v>991</v>
      </c>
      <c r="I2661" s="10">
        <v>100.0</v>
      </c>
      <c r="J2661" s="11" t="str">
        <f>IF(D2661&lt;&gt;"",VLOOKUP(H2661,TABLEITEM,5,FALSE),"")</f>
        <v>KG.</v>
      </c>
      <c r="K2661" s="12">
        <v>18.0</v>
      </c>
      <c r="L2661" s="13" t="str">
        <f>IF(D2661&lt;&gt;"",VLOOKUP(H2661,TABLEITEM,2,FALSE),"")</f>
        <v/>
      </c>
      <c r="M2661" s="13" t="str">
        <f>IF(D2661&lt;&gt;"",VLOOKUP(H2661,TABLEITEM,3,FALSE),"")</f>
        <v>เคมีตัวเร่งฟอสเฟต</v>
      </c>
      <c r="N2661" s="14">
        <f>INSTOCK!$I2661*INSTOCK!$K2661</f>
        <v>1800</v>
      </c>
      <c r="O2661" s="4"/>
      <c r="P2661" s="4"/>
    </row>
    <row r="2662" ht="15.75" hidden="1" customHeight="1">
      <c r="B2662" s="8">
        <v>2981.0</v>
      </c>
      <c r="C2662" s="9">
        <v>43572.0</v>
      </c>
      <c r="D2662" s="6" t="s">
        <v>3573</v>
      </c>
      <c r="E2662" s="4">
        <v>6.204000576E9</v>
      </c>
      <c r="F2662" s="8" t="s">
        <v>604</v>
      </c>
      <c r="G2662" s="4" t="s">
        <v>721</v>
      </c>
      <c r="H2662" s="10" t="s">
        <v>221</v>
      </c>
      <c r="I2662" s="10">
        <v>300.0</v>
      </c>
      <c r="J2662" s="11" t="str">
        <f>IF(D2662&lt;&gt;"",VLOOKUP(H2662,TABLEITEM,5,FALSE),"")</f>
        <v>M</v>
      </c>
      <c r="K2662" s="12">
        <v>7.566</v>
      </c>
      <c r="L2662" s="13" t="str">
        <f>IF(D2662&lt;&gt;"",VLOOKUP(H2662,TABLEITEM,2,FALSE),"")</f>
        <v/>
      </c>
      <c r="M2662" s="13" t="str">
        <f>IF(D2662&lt;&gt;"",VLOOKUP(H2662,TABLEITEM,3,FALSE),"")</f>
        <v>ท่ออ่อนลูกฟูกชิดผ่า/ท่อผ่าดำ 7มิล</v>
      </c>
      <c r="N2662" s="14">
        <f>INSTOCK!$I2662*INSTOCK!$K2662</f>
        <v>2269.8</v>
      </c>
      <c r="O2662" s="4" t="s">
        <v>785</v>
      </c>
      <c r="P2662" s="4"/>
    </row>
    <row r="2663" ht="15.75" hidden="1" customHeight="1">
      <c r="B2663" s="8">
        <v>2982.0</v>
      </c>
      <c r="C2663" s="9">
        <v>43572.0</v>
      </c>
      <c r="D2663" s="6">
        <v>6.20403805E8</v>
      </c>
      <c r="E2663" s="4">
        <v>6.204000578E9</v>
      </c>
      <c r="F2663" s="8" t="s">
        <v>604</v>
      </c>
      <c r="G2663" s="4" t="s">
        <v>1130</v>
      </c>
      <c r="H2663" s="10" t="s">
        <v>168</v>
      </c>
      <c r="I2663" s="10">
        <v>100.0</v>
      </c>
      <c r="J2663" s="11" t="str">
        <f>IF(D2663&lt;&gt;"",VLOOKUP(H2663,TABLEITEM,5,FALSE),"")</f>
        <v>M</v>
      </c>
      <c r="K2663" s="12">
        <v>3.75</v>
      </c>
      <c r="L2663" s="13" t="str">
        <f>IF(D2663&lt;&gt;"",VLOOKUP(H2663,TABLEITEM,2,FALSE),"")</f>
        <v/>
      </c>
      <c r="M2663" s="13" t="str">
        <f>IF(D2663&lt;&gt;"",VLOOKUP(H2663,TABLEITEM,3,FALSE),"")</f>
        <v>ไส้ไก่ NO.8</v>
      </c>
      <c r="N2663" s="14">
        <f>INSTOCK!$I2663*INSTOCK!$K2663</f>
        <v>375</v>
      </c>
      <c r="O2663" s="4" t="s">
        <v>1725</v>
      </c>
      <c r="P2663" s="4"/>
    </row>
    <row r="2664" ht="15.75" hidden="1" customHeight="1">
      <c r="B2664" s="8">
        <v>2983.0</v>
      </c>
      <c r="C2664" s="9">
        <v>43567.0</v>
      </c>
      <c r="D2664" s="6" t="s">
        <v>3574</v>
      </c>
      <c r="E2664" s="4">
        <v>6.204000579E9</v>
      </c>
      <c r="F2664" s="8"/>
      <c r="G2664" s="4" t="s">
        <v>3575</v>
      </c>
      <c r="H2664" s="10" t="s">
        <v>3576</v>
      </c>
      <c r="I2664" s="10">
        <v>70.0</v>
      </c>
      <c r="J2664" s="11" t="str">
        <f>IF(D2664&lt;&gt;"",VLOOKUP(H2664,TABLEITEM,5,FALSE),"")</f>
        <v>lot</v>
      </c>
      <c r="K2664" s="12">
        <v>50.0</v>
      </c>
      <c r="L2664" s="13" t="str">
        <f>IF(D2664&lt;&gt;"",VLOOKUP(H2664,TABLEITEM,2,FALSE),"")</f>
        <v/>
      </c>
      <c r="M2664" s="13" t="str">
        <f>IF(D2664&lt;&gt;"",VLOOKUP(H2664,TABLEITEM,3,FALSE),"")</f>
        <v>ค่าพ่นสี หลังคา L,R ขนาด 1100*1920.5</v>
      </c>
      <c r="N2664" s="14">
        <f>INSTOCK!$I2664*INSTOCK!$K2664</f>
        <v>3500</v>
      </c>
      <c r="O2664" s="4"/>
      <c r="P2664" s="4"/>
    </row>
    <row r="2665" ht="15.75" hidden="1" customHeight="1">
      <c r="B2665" s="8">
        <v>2984.0</v>
      </c>
      <c r="C2665" s="9">
        <v>43574.0</v>
      </c>
      <c r="D2665" s="6" t="s">
        <v>3577</v>
      </c>
      <c r="E2665" s="4">
        <v>6.204000599E9</v>
      </c>
      <c r="F2665" s="8" t="s">
        <v>3399</v>
      </c>
      <c r="G2665" s="4" t="s">
        <v>1512</v>
      </c>
      <c r="H2665" s="10" t="s">
        <v>3578</v>
      </c>
      <c r="I2665" s="10">
        <v>1.0</v>
      </c>
      <c r="J2665" s="11" t="str">
        <f>IF(D2665&lt;&gt;"",VLOOKUP(H2665,TABLEITEM,5,FALSE),"")</f>
        <v>EA</v>
      </c>
      <c r="K2665" s="12">
        <v>3136.5</v>
      </c>
      <c r="L2665" s="13" t="str">
        <f>IF(D2665&lt;&gt;"",VLOOKUP(H2665,TABLEITEM,2,FALSE),"")</f>
        <v/>
      </c>
      <c r="M2665" s="13" t="str">
        <f>IF(D2665&lt;&gt;"",VLOOKUP(H2665,TABLEITEM,3,FALSE),"")</f>
        <v>PHASE MMONITOR 300-500V CM-MPS.41S3</v>
      </c>
      <c r="N2665" s="14">
        <f>INSTOCK!$I2665*INSTOCK!$K2665</f>
        <v>3136.5</v>
      </c>
      <c r="O2665" s="4" t="s">
        <v>3401</v>
      </c>
      <c r="P2665" s="4"/>
    </row>
    <row r="2666" ht="15.75" hidden="1" customHeight="1">
      <c r="B2666" s="8">
        <v>2985.0</v>
      </c>
      <c r="C2666" s="9">
        <v>43574.0</v>
      </c>
      <c r="D2666" s="6" t="s">
        <v>3579</v>
      </c>
      <c r="E2666" s="4">
        <v>6.204000598E9</v>
      </c>
      <c r="F2666" s="8" t="s">
        <v>3399</v>
      </c>
      <c r="G2666" s="4" t="s">
        <v>1512</v>
      </c>
      <c r="H2666" s="10" t="s">
        <v>1822</v>
      </c>
      <c r="I2666" s="10">
        <v>1.0</v>
      </c>
      <c r="J2666" s="11" t="str">
        <f>IF(D2666&lt;&gt;"",VLOOKUP(H2666,TABLEITEM,5,FALSE),"")</f>
        <v>EA</v>
      </c>
      <c r="K2666" s="12">
        <v>4072.5</v>
      </c>
      <c r="L2666" s="13" t="str">
        <f>IF(D2666&lt;&gt;"",VLOOKUP(H2666,TABLEITEM,2,FALSE),"")</f>
        <v/>
      </c>
      <c r="M2666" s="13" t="str">
        <f>IF(D2666&lt;&gt;"",VLOOKUP(H2666,TABLEITEM,3,FALSE),"")</f>
        <v>PHASE MONTOR CM-MPS.43 300-500V</v>
      </c>
      <c r="N2666" s="14">
        <f>INSTOCK!$I2666*INSTOCK!$K2666</f>
        <v>4072.5</v>
      </c>
      <c r="O2666" s="4" t="s">
        <v>1823</v>
      </c>
      <c r="P2666" s="4"/>
    </row>
    <row r="2667" ht="15.75" hidden="1" customHeight="1">
      <c r="B2667" s="8">
        <v>2986.0</v>
      </c>
      <c r="C2667" s="9">
        <v>43574.0</v>
      </c>
      <c r="D2667" s="6" t="s">
        <v>3580</v>
      </c>
      <c r="E2667" s="4">
        <v>6.204000597E9</v>
      </c>
      <c r="F2667" s="8" t="s">
        <v>3407</v>
      </c>
      <c r="G2667" s="4" t="s">
        <v>692</v>
      </c>
      <c r="H2667" s="10" t="s">
        <v>1878</v>
      </c>
      <c r="I2667" s="10">
        <v>1.0</v>
      </c>
      <c r="J2667" s="11" t="str">
        <f>IF(D2667&lt;&gt;"",VLOOKUP(H2667,TABLEITEM,5,FALSE),"")</f>
        <v>EA</v>
      </c>
      <c r="K2667" s="12">
        <v>20580.0</v>
      </c>
      <c r="L2667" s="13" t="str">
        <f>IF(D2667&lt;&gt;"",VLOOKUP(H2667,TABLEITEM,2,FALSE),"")</f>
        <v/>
      </c>
      <c r="M2667" s="13" t="str">
        <f>IF(D2667&lt;&gt;"",VLOOKUP(H2667,TABLEITEM,3,FALSE),"")</f>
        <v>SURGE PROTECTIVE OVR T1+2 3L 25</v>
      </c>
      <c r="N2667" s="14">
        <f>INSTOCK!$I2667*INSTOCK!$K2667</f>
        <v>20580</v>
      </c>
      <c r="O2667" s="4" t="s">
        <v>3581</v>
      </c>
      <c r="P2667" s="4"/>
    </row>
    <row r="2668" ht="15.75" hidden="1" customHeight="1">
      <c r="B2668" s="8">
        <v>2987.0</v>
      </c>
      <c r="C2668" s="9">
        <v>43574.0</v>
      </c>
      <c r="D2668" s="6">
        <v>6.20404631E8</v>
      </c>
      <c r="E2668" s="4"/>
      <c r="F2668" s="8" t="s">
        <v>3399</v>
      </c>
      <c r="G2668" s="4" t="s">
        <v>1130</v>
      </c>
      <c r="H2668" s="10" t="s">
        <v>3116</v>
      </c>
      <c r="I2668" s="10">
        <v>3.0</v>
      </c>
      <c r="J2668" s="11" t="str">
        <f>IF(D2668&lt;&gt;"",VLOOKUP(H2668,TABLEITEM,5,FALSE),"")</f>
        <v>EA</v>
      </c>
      <c r="K2668" s="12">
        <v>121.1234</v>
      </c>
      <c r="L2668" s="13" t="str">
        <f>IF(D2668&lt;&gt;"",VLOOKUP(H2668,TABLEITEM,2,FALSE),"")</f>
        <v/>
      </c>
      <c r="M2668" s="13" t="str">
        <f>IF(D2668&lt;&gt;"",VLOOKUP(H2668,TABLEITEM,3,FALSE),"")</f>
        <v>CT100/5 MSQ40</v>
      </c>
      <c r="N2668" s="14">
        <f>INSTOCK!$I2668*INSTOCK!$K2668</f>
        <v>363.3702</v>
      </c>
      <c r="O2668" s="4" t="s">
        <v>1898</v>
      </c>
      <c r="P2668" s="4"/>
    </row>
    <row r="2669" ht="15.75" hidden="1" customHeight="1">
      <c r="B2669" s="8">
        <v>2988.0</v>
      </c>
      <c r="C2669" s="9">
        <v>43575.0</v>
      </c>
      <c r="D2669" s="6">
        <v>38283.0</v>
      </c>
      <c r="E2669" s="4">
        <v>6.204000605E9</v>
      </c>
      <c r="F2669" s="8" t="s">
        <v>604</v>
      </c>
      <c r="G2669" s="4" t="s">
        <v>696</v>
      </c>
      <c r="H2669" s="18" t="s">
        <v>55</v>
      </c>
      <c r="I2669" s="10">
        <v>72.0</v>
      </c>
      <c r="J2669" s="11" t="str">
        <f>IF(D2669&lt;&gt;"",VLOOKUP(H2669,TABLEITEM,5,FALSE),"")</f>
        <v>EA</v>
      </c>
      <c r="K2669" s="12">
        <v>12.0</v>
      </c>
      <c r="L2669" s="13" t="str">
        <f>IF(D2669&lt;&gt;"",VLOOKUP(H2669,TABLEITEM,2,FALSE),"")</f>
        <v/>
      </c>
      <c r="M2669" s="13" t="str">
        <f>IF(D2669&lt;&gt;"",VLOOKUP(H2669,TABLEITEM,3,FALSE),"")</f>
        <v>เทปใส 2''</v>
      </c>
      <c r="N2669" s="14">
        <f>INSTOCK!$I2669*INSTOCK!$K2669</f>
        <v>864</v>
      </c>
      <c r="O2669" s="4"/>
      <c r="P2669" s="4"/>
    </row>
    <row r="2670" ht="15.75" hidden="1" customHeight="1">
      <c r="B2670" s="8">
        <v>2989.0</v>
      </c>
      <c r="C2670" s="9">
        <v>43572.0</v>
      </c>
      <c r="D2670" s="6">
        <v>38244.0</v>
      </c>
      <c r="E2670" s="4">
        <v>6.204000577E9</v>
      </c>
      <c r="F2670" s="8" t="s">
        <v>604</v>
      </c>
      <c r="G2670" s="4" t="s">
        <v>696</v>
      </c>
      <c r="H2670" s="10" t="s">
        <v>61</v>
      </c>
      <c r="I2670" s="10">
        <v>12.0</v>
      </c>
      <c r="J2670" s="11" t="str">
        <f>IF(D2670&lt;&gt;"",VLOOKUP(H2670,TABLEITEM,5,FALSE),"")</f>
        <v>กป.</v>
      </c>
      <c r="K2670" s="12">
        <v>41.6667</v>
      </c>
      <c r="L2670" s="13" t="str">
        <f>IF(D2670&lt;&gt;"",VLOOKUP(H2670,TABLEITEM,2,FALSE),"")</f>
        <v/>
      </c>
      <c r="M2670" s="13" t="str">
        <f>IF(D2670&lt;&gt;"",VLOOKUP(H2670,TABLEITEM,3,FALSE),"")</f>
        <v>สีสเปรย์ สีแดง</v>
      </c>
      <c r="N2670" s="14">
        <f>INSTOCK!$I2670*INSTOCK!$K2670</f>
        <v>500.0004</v>
      </c>
      <c r="O2670" s="4"/>
      <c r="P2670" s="4"/>
    </row>
    <row r="2671" ht="15.75" hidden="1" customHeight="1">
      <c r="B2671" s="8">
        <v>2990.0</v>
      </c>
      <c r="C2671" s="9">
        <v>43572.0</v>
      </c>
      <c r="D2671" s="6">
        <v>38244.0</v>
      </c>
      <c r="E2671" s="4">
        <v>6.204000577E9</v>
      </c>
      <c r="F2671" s="8" t="s">
        <v>604</v>
      </c>
      <c r="G2671" s="4" t="s">
        <v>696</v>
      </c>
      <c r="H2671" s="10" t="s">
        <v>62</v>
      </c>
      <c r="I2671" s="10">
        <v>12.0</v>
      </c>
      <c r="J2671" s="11" t="str">
        <f>IF(D2671&lt;&gt;"",VLOOKUP(H2671,TABLEITEM,5,FALSE),"")</f>
        <v>กป.</v>
      </c>
      <c r="K2671" s="12">
        <v>41.6667</v>
      </c>
      <c r="L2671" s="13" t="str">
        <f>IF(D2671&lt;&gt;"",VLOOKUP(H2671,TABLEITEM,2,FALSE),"")</f>
        <v/>
      </c>
      <c r="M2671" s="13" t="str">
        <f>IF(D2671&lt;&gt;"",VLOOKUP(H2671,TABLEITEM,3,FALSE),"")</f>
        <v>สีสเปรย์ สีน้ำเงิน</v>
      </c>
      <c r="N2671" s="14">
        <f>INSTOCK!$I2671*INSTOCK!$K2671</f>
        <v>500.0004</v>
      </c>
      <c r="O2671" s="4"/>
      <c r="P2671" s="4"/>
    </row>
    <row r="2672" ht="15.75" hidden="1" customHeight="1">
      <c r="B2672" s="8">
        <v>2991.0</v>
      </c>
      <c r="C2672" s="9">
        <v>43572.0</v>
      </c>
      <c r="D2672" s="6" t="s">
        <v>3582</v>
      </c>
      <c r="E2672" s="4">
        <v>6.204000558E9</v>
      </c>
      <c r="F2672" s="8" t="s">
        <v>604</v>
      </c>
      <c r="G2672" s="4" t="s">
        <v>965</v>
      </c>
      <c r="H2672" s="10" t="s">
        <v>2906</v>
      </c>
      <c r="I2672" s="10">
        <v>20.0</v>
      </c>
      <c r="J2672" s="11" t="str">
        <f>IF(D2672&lt;&gt;"",VLOOKUP(H2672,TABLEITEM,5,FALSE),"")</f>
        <v>EA</v>
      </c>
      <c r="K2672" s="12">
        <v>10.0</v>
      </c>
      <c r="L2672" s="13" t="str">
        <f>IF(D2672&lt;&gt;"",VLOOKUP(H2672,TABLEITEM,2,FALSE),"")</f>
        <v/>
      </c>
      <c r="M2672" s="13" t="str">
        <f>IF(D2672&lt;&gt;"",VLOOKUP(H2672,TABLEITEM,3,FALSE),"")</f>
        <v>ภู่กัน #8</v>
      </c>
      <c r="N2672" s="14">
        <f>INSTOCK!$I2672*INSTOCK!$K2672</f>
        <v>200</v>
      </c>
      <c r="O2672" s="4"/>
      <c r="P2672" s="4"/>
    </row>
    <row r="2673" ht="15.75" hidden="1" customHeight="1">
      <c r="B2673" s="8">
        <v>2992.0</v>
      </c>
      <c r="C2673" s="9">
        <v>43572.0</v>
      </c>
      <c r="D2673" s="6" t="s">
        <v>3583</v>
      </c>
      <c r="E2673" s="4">
        <v>6.20400058E9</v>
      </c>
      <c r="F2673" s="8" t="s">
        <v>3491</v>
      </c>
      <c r="G2673" s="4" t="s">
        <v>965</v>
      </c>
      <c r="H2673" s="10" t="s">
        <v>3584</v>
      </c>
      <c r="I2673" s="10">
        <v>6.0</v>
      </c>
      <c r="J2673" s="11" t="str">
        <f>IF(D2673&lt;&gt;"",VLOOKUP(H2673,TABLEITEM,5,FALSE),"")</f>
        <v>EA</v>
      </c>
      <c r="K2673" s="12">
        <v>25.0</v>
      </c>
      <c r="L2673" s="13" t="str">
        <f>IF(D2673&lt;&gt;"",VLOOKUP(H2673,TABLEITEM,2,FALSE),"")</f>
        <v/>
      </c>
      <c r="M2673" s="13" t="str">
        <f>IF(D2673&lt;&gt;"",VLOOKUP(H2673,TABLEITEM,3,FALSE),"")</f>
        <v>ปลั๊กยาง 3ขา มีกราว</v>
      </c>
      <c r="N2673" s="14">
        <f>INSTOCK!$I2673*INSTOCK!$K2673</f>
        <v>150</v>
      </c>
      <c r="O2673" s="4"/>
      <c r="P2673" s="4"/>
    </row>
    <row r="2674" ht="15.75" hidden="1" customHeight="1">
      <c r="B2674" s="8">
        <v>2993.0</v>
      </c>
      <c r="C2674" s="9">
        <v>43572.0</v>
      </c>
      <c r="D2674" s="6" t="s">
        <v>3585</v>
      </c>
      <c r="E2674" s="4">
        <v>6.204004529E9</v>
      </c>
      <c r="F2674" s="8" t="s">
        <v>604</v>
      </c>
      <c r="G2674" s="4" t="s">
        <v>965</v>
      </c>
      <c r="H2674" s="10" t="s">
        <v>3586</v>
      </c>
      <c r="I2674" s="10">
        <v>1.0</v>
      </c>
      <c r="J2674" s="11" t="str">
        <f>IF(D2674&lt;&gt;"",VLOOKUP(H2674,TABLEITEM,5,FALSE),"")</f>
        <v>EA</v>
      </c>
      <c r="K2674" s="12">
        <v>130.0</v>
      </c>
      <c r="L2674" s="13" t="str">
        <f>IF(D2674&lt;&gt;"",VLOOKUP(H2674,TABLEITEM,2,FALSE),"")</f>
        <v/>
      </c>
      <c r="M2674" s="13" t="str">
        <f>IF(D2674&lt;&gt;"",VLOOKUP(H2674,TABLEITEM,3,FALSE),"")</f>
        <v>ดอกสว่านโรตารี่ 6.5มิล </v>
      </c>
      <c r="N2674" s="14">
        <f>INSTOCK!$I2674*INSTOCK!$K2674</f>
        <v>130</v>
      </c>
      <c r="O2674" s="4"/>
      <c r="P2674" s="4"/>
    </row>
    <row r="2675" ht="15.75" hidden="1" customHeight="1">
      <c r="B2675" s="8">
        <v>2994.0</v>
      </c>
      <c r="C2675" s="9">
        <v>43572.0</v>
      </c>
      <c r="D2675" s="6" t="s">
        <v>3585</v>
      </c>
      <c r="E2675" s="4">
        <v>6.204004529E9</v>
      </c>
      <c r="F2675" s="8" t="s">
        <v>604</v>
      </c>
      <c r="G2675" s="4" t="s">
        <v>965</v>
      </c>
      <c r="H2675" s="10" t="s">
        <v>3587</v>
      </c>
      <c r="I2675" s="10">
        <v>1.0</v>
      </c>
      <c r="J2675" s="11" t="str">
        <f>IF(D2675&lt;&gt;"",VLOOKUP(H2675,TABLEITEM,5,FALSE),"")</f>
        <v>EA</v>
      </c>
      <c r="K2675" s="12">
        <v>130.0</v>
      </c>
      <c r="L2675" s="13" t="str">
        <f>IF(D2675&lt;&gt;"",VLOOKUP(H2675,TABLEITEM,2,FALSE),"")</f>
        <v/>
      </c>
      <c r="M2675" s="13" t="str">
        <f>IF(D2675&lt;&gt;"",VLOOKUP(H2675,TABLEITEM,3,FALSE),"")</f>
        <v>ดอกสว่านโรตารี่ 8.0มิล </v>
      </c>
      <c r="N2675" s="14">
        <f>INSTOCK!$I2675*INSTOCK!$K2675</f>
        <v>130</v>
      </c>
      <c r="O2675" s="4"/>
      <c r="P2675" s="4"/>
    </row>
    <row r="2676" ht="15.75" hidden="1" customHeight="1">
      <c r="B2676" s="8">
        <v>2995.0</v>
      </c>
      <c r="C2676" s="9">
        <v>43577.0</v>
      </c>
      <c r="D2676" s="6" t="s">
        <v>3588</v>
      </c>
      <c r="E2676" s="4"/>
      <c r="F2676" s="8" t="s">
        <v>2884</v>
      </c>
      <c r="G2676" s="4" t="s">
        <v>898</v>
      </c>
      <c r="H2676" s="10" t="s">
        <v>2268</v>
      </c>
      <c r="I2676" s="10">
        <v>5.0</v>
      </c>
      <c r="J2676" s="11" t="str">
        <f>IF(D2676&lt;&gt;"",VLOOKUP(H2676,TABLEITEM,5,FALSE),"")</f>
        <v>LIT</v>
      </c>
      <c r="K2676" s="12">
        <v>400.0</v>
      </c>
      <c r="L2676" s="13" t="str">
        <f>IF(D2676&lt;&gt;"",VLOOKUP(H2676,TABLEITEM,2,FALSE),"")</f>
        <v/>
      </c>
      <c r="M2676" s="13" t="str">
        <f>IF(D2676&lt;&gt;"",VLOOKUP(H2676,TABLEITEM,3,FALSE),"")</f>
        <v>สีพ่นแห้งเร็ว(สีผสม)</v>
      </c>
      <c r="N2676" s="14">
        <f>INSTOCK!$I2676*INSTOCK!$K2676</f>
        <v>2000</v>
      </c>
      <c r="O2676" s="4" t="s">
        <v>2784</v>
      </c>
      <c r="P2676" s="4"/>
    </row>
    <row r="2677" ht="15.75" hidden="1" customHeight="1">
      <c r="B2677" s="8">
        <v>2996.0</v>
      </c>
      <c r="C2677" s="9">
        <v>43577.0</v>
      </c>
      <c r="D2677" s="6" t="s">
        <v>3588</v>
      </c>
      <c r="E2677" s="4"/>
      <c r="F2677" s="8" t="s">
        <v>2884</v>
      </c>
      <c r="G2677" s="4" t="s">
        <v>898</v>
      </c>
      <c r="H2677" s="10" t="s">
        <v>2268</v>
      </c>
      <c r="I2677" s="10">
        <v>5.0</v>
      </c>
      <c r="J2677" s="11" t="str">
        <f>IF(D2677&lt;&gt;"",VLOOKUP(H2677,TABLEITEM,5,FALSE),"")</f>
        <v>LIT</v>
      </c>
      <c r="K2677" s="12">
        <v>380.0</v>
      </c>
      <c r="L2677" s="13" t="str">
        <f>IF(D2677&lt;&gt;"",VLOOKUP(H2677,TABLEITEM,2,FALSE),"")</f>
        <v/>
      </c>
      <c r="M2677" s="13" t="str">
        <f>IF(D2677&lt;&gt;"",VLOOKUP(H2677,TABLEITEM,3,FALSE),"")</f>
        <v>สีพ่นแห้งเร็ว(สีผสม)</v>
      </c>
      <c r="N2677" s="14">
        <f>INSTOCK!$I2677*INSTOCK!$K2677</f>
        <v>1900</v>
      </c>
      <c r="O2677" s="4" t="s">
        <v>2647</v>
      </c>
      <c r="P2677" s="4"/>
    </row>
    <row r="2678" ht="15.75" hidden="1" customHeight="1">
      <c r="B2678" s="8">
        <v>2997.0</v>
      </c>
      <c r="C2678" s="9">
        <v>43577.0</v>
      </c>
      <c r="D2678" s="6" t="s">
        <v>3588</v>
      </c>
      <c r="E2678" s="4"/>
      <c r="F2678" s="8" t="s">
        <v>2884</v>
      </c>
      <c r="G2678" s="4" t="s">
        <v>898</v>
      </c>
      <c r="H2678" s="10" t="s">
        <v>2268</v>
      </c>
      <c r="I2678" s="10">
        <v>2.0</v>
      </c>
      <c r="J2678" s="11" t="str">
        <f>IF(D2678&lt;&gt;"",VLOOKUP(H2678,TABLEITEM,5,FALSE),"")</f>
        <v>LIT</v>
      </c>
      <c r="K2678" s="12">
        <v>420.0</v>
      </c>
      <c r="L2678" s="13" t="str">
        <f>IF(D2678&lt;&gt;"",VLOOKUP(H2678,TABLEITEM,2,FALSE),"")</f>
        <v/>
      </c>
      <c r="M2678" s="13" t="str">
        <f>IF(D2678&lt;&gt;"",VLOOKUP(H2678,TABLEITEM,3,FALSE),"")</f>
        <v>สีพ่นแห้งเร็ว(สีผสม)</v>
      </c>
      <c r="N2678" s="14">
        <f>INSTOCK!$I2678*INSTOCK!$K2678</f>
        <v>840</v>
      </c>
      <c r="O2678" s="4" t="s">
        <v>3589</v>
      </c>
      <c r="P2678" s="4"/>
    </row>
    <row r="2679" ht="15.75" hidden="1" customHeight="1">
      <c r="B2679" s="8">
        <v>2998.0</v>
      </c>
      <c r="C2679" s="9">
        <v>43577.0</v>
      </c>
      <c r="D2679" s="6" t="s">
        <v>3590</v>
      </c>
      <c r="E2679" s="4">
        <v>6.204000601E9</v>
      </c>
      <c r="F2679" s="8" t="s">
        <v>3591</v>
      </c>
      <c r="G2679" s="4" t="s">
        <v>1962</v>
      </c>
      <c r="H2679" s="10" t="s">
        <v>1963</v>
      </c>
      <c r="I2679" s="10">
        <v>1.0</v>
      </c>
      <c r="J2679" s="11" t="str">
        <f>IF(D2679&lt;&gt;"",VLOOKUP(H2679,TABLEITEM,5,FALSE),"")</f>
        <v>EA</v>
      </c>
      <c r="K2679" s="12">
        <v>4200.0</v>
      </c>
      <c r="L2679" s="13" t="str">
        <f>IF(D2679&lt;&gt;"",VLOOKUP(H2679,TABLEITEM,2,FALSE),"")</f>
        <v/>
      </c>
      <c r="M2679" s="13" t="str">
        <f>IF(D2679&lt;&gt;"",VLOOKUP(H2679,TABLEITEM,3,FALSE),"")</f>
        <v>SURGE STPT240K275V-4P AC230VAC 4P 40A</v>
      </c>
      <c r="N2679" s="14">
        <f>INSTOCK!$I2679*INSTOCK!$K2679</f>
        <v>4200</v>
      </c>
      <c r="O2679" s="4"/>
      <c r="P2679" s="4"/>
    </row>
    <row r="2680" ht="15.75" hidden="1" customHeight="1">
      <c r="B2680" s="8">
        <v>2999.0</v>
      </c>
      <c r="C2680" s="9">
        <v>43578.0</v>
      </c>
      <c r="D2680" s="6" t="s">
        <v>3592</v>
      </c>
      <c r="E2680" s="4">
        <v>6.204000615E9</v>
      </c>
      <c r="F2680" s="8" t="s">
        <v>3593</v>
      </c>
      <c r="G2680" s="4" t="s">
        <v>702</v>
      </c>
      <c r="H2680" s="10" t="s">
        <v>3594</v>
      </c>
      <c r="I2680" s="10">
        <v>20.0</v>
      </c>
      <c r="J2680" s="11" t="str">
        <f>IF(D2680&lt;&gt;"",VLOOKUP(H2680,TABLEITEM,5,FALSE),"")</f>
        <v>KG.</v>
      </c>
      <c r="K2680" s="12">
        <v>130.0</v>
      </c>
      <c r="L2680" s="13" t="str">
        <f>IF(D2680&lt;&gt;"",VLOOKUP(H2680,TABLEITEM,2,FALSE),"")</f>
        <v/>
      </c>
      <c r="M2680" s="13" t="str">
        <f>IF(D2680&lt;&gt;"",VLOOKUP(H2680,TABLEITEM,3,FALSE),"")</f>
        <v>สีฝุ่น FF110/2112/C</v>
      </c>
      <c r="N2680" s="14">
        <f>INSTOCK!$I2680*INSTOCK!$K2680</f>
        <v>2600</v>
      </c>
      <c r="O2680" s="4"/>
      <c r="P2680" s="4"/>
    </row>
    <row r="2681" ht="15.75" hidden="1" customHeight="1">
      <c r="B2681" s="8">
        <v>3000.0</v>
      </c>
      <c r="C2681" s="9">
        <v>43577.0</v>
      </c>
      <c r="D2681" s="6" t="s">
        <v>3595</v>
      </c>
      <c r="E2681" s="4">
        <v>6.204000603E9</v>
      </c>
      <c r="F2681" s="8" t="s">
        <v>3591</v>
      </c>
      <c r="G2681" s="4" t="s">
        <v>3541</v>
      </c>
      <c r="H2681" s="10" t="s">
        <v>3578</v>
      </c>
      <c r="I2681" s="10">
        <v>1.0</v>
      </c>
      <c r="J2681" s="11" t="str">
        <f>IF(D2681&lt;&gt;"",VLOOKUP(H2681,TABLEITEM,5,FALSE),"")</f>
        <v>EA</v>
      </c>
      <c r="K2681" s="12">
        <v>3136.5</v>
      </c>
      <c r="L2681" s="13" t="str">
        <f>IF(D2681&lt;&gt;"",VLOOKUP(H2681,TABLEITEM,2,FALSE),"")</f>
        <v/>
      </c>
      <c r="M2681" s="13" t="str">
        <f>IF(D2681&lt;&gt;"",VLOOKUP(H2681,TABLEITEM,3,FALSE),"")</f>
        <v>PHASE MMONITOR 300-500V CM-MPS.41S3</v>
      </c>
      <c r="N2681" s="14">
        <f>INSTOCK!$I2681*INSTOCK!$K2681</f>
        <v>3136.5</v>
      </c>
      <c r="O2681" s="4" t="s">
        <v>3401</v>
      </c>
      <c r="P2681" s="4"/>
    </row>
    <row r="2682" ht="15.75" hidden="1" customHeight="1">
      <c r="B2682" s="8">
        <v>3001.0</v>
      </c>
      <c r="C2682" s="9">
        <v>43577.0</v>
      </c>
      <c r="D2682" s="6" t="s">
        <v>3596</v>
      </c>
      <c r="E2682" s="4">
        <v>6.20400061E9</v>
      </c>
      <c r="F2682" s="8" t="s">
        <v>3597</v>
      </c>
      <c r="G2682" s="4" t="s">
        <v>617</v>
      </c>
      <c r="H2682" s="10" t="s">
        <v>3598</v>
      </c>
      <c r="I2682" s="10">
        <v>50.0</v>
      </c>
      <c r="J2682" s="11" t="str">
        <f>IF(D2682&lt;&gt;"",VLOOKUP(H2682,TABLEITEM,5,FALSE),"")</f>
        <v>M</v>
      </c>
      <c r="K2682" s="12">
        <v>548.8</v>
      </c>
      <c r="L2682" s="13" t="str">
        <f>IF(D2682&lt;&gt;"",VLOOKUP(H2682,TABLEITEM,2,FALSE),"")</f>
        <v>Busbar</v>
      </c>
      <c r="M2682" s="13" t="str">
        <f>IF(D2682&lt;&gt;"",VLOOKUP(H2682,TABLEITEM,3,FALSE),"")</f>
        <v>บัสบาร์ทองแดง 50x5</v>
      </c>
      <c r="N2682" s="14">
        <f>INSTOCK!$I2682*INSTOCK!$K2682</f>
        <v>27440</v>
      </c>
      <c r="O2682" s="4" t="s">
        <v>3599</v>
      </c>
      <c r="P2682" s="4"/>
    </row>
    <row r="2683" ht="15.75" hidden="1" customHeight="1">
      <c r="B2683" s="8">
        <v>3002.0</v>
      </c>
      <c r="C2683" s="9">
        <v>43578.0</v>
      </c>
      <c r="D2683" s="6" t="s">
        <v>3600</v>
      </c>
      <c r="E2683" s="4">
        <v>6.204000608E9</v>
      </c>
      <c r="F2683" s="8" t="s">
        <v>604</v>
      </c>
      <c r="G2683" s="4" t="s">
        <v>1611</v>
      </c>
      <c r="H2683" s="10" t="s">
        <v>189</v>
      </c>
      <c r="I2683" s="10">
        <v>200.0</v>
      </c>
      <c r="J2683" s="11" t="str">
        <f>IF(D2683&lt;&gt;"",VLOOKUP(H2683,TABLEITEM,5,FALSE),"")</f>
        <v>EA</v>
      </c>
      <c r="K2683" s="12">
        <v>5.0</v>
      </c>
      <c r="L2683" s="13" t="str">
        <f>IF(D2683&lt;&gt;"",VLOOKUP(H2683,TABLEITEM,2,FALSE),"")</f>
        <v/>
      </c>
      <c r="M2683" s="13" t="str">
        <f>IF(D2683&lt;&gt;"",VLOOKUP(H2683,TABLEITEM,3,FALSE),"")</f>
        <v>END PLATE TXA1</v>
      </c>
      <c r="N2683" s="14">
        <f>INSTOCK!$I2683*INSTOCK!$K2683</f>
        <v>1000</v>
      </c>
      <c r="O2683" s="4"/>
      <c r="P2683" s="4"/>
    </row>
    <row r="2684" ht="15.75" hidden="1" customHeight="1">
      <c r="B2684" s="8">
        <v>3003.0</v>
      </c>
      <c r="C2684" s="9">
        <v>43578.0</v>
      </c>
      <c r="D2684" s="6" t="s">
        <v>3600</v>
      </c>
      <c r="E2684" s="4">
        <v>6.204000608E9</v>
      </c>
      <c r="F2684" s="8" t="s">
        <v>604</v>
      </c>
      <c r="G2684" s="4" t="s">
        <v>1611</v>
      </c>
      <c r="H2684" s="10" t="s">
        <v>200</v>
      </c>
      <c r="I2684" s="10">
        <v>400.0</v>
      </c>
      <c r="J2684" s="11" t="str">
        <f>IF(D2684&lt;&gt;"",VLOOKUP(H2684,TABLEITEM,5,FALSE),"")</f>
        <v>EA</v>
      </c>
      <c r="K2684" s="12">
        <v>16.0</v>
      </c>
      <c r="L2684" s="13" t="str">
        <f>IF(D2684&lt;&gt;"",VLOOKUP(H2684,TABLEITEM,2,FALSE),"")</f>
        <v/>
      </c>
      <c r="M2684" s="13" t="str">
        <f>IF(D2684&lt;&gt;"",VLOOKUP(H2684,TABLEITEM,3,FALSE),"")</f>
        <v>STOPPER TXE2</v>
      </c>
      <c r="N2684" s="14">
        <f>INSTOCK!$I2684*INSTOCK!$K2684</f>
        <v>6400</v>
      </c>
      <c r="O2684" s="4"/>
      <c r="P2684" s="4"/>
    </row>
    <row r="2685" ht="15.75" hidden="1" customHeight="1">
      <c r="B2685" s="8">
        <v>3004.0</v>
      </c>
      <c r="C2685" s="9">
        <v>43578.0</v>
      </c>
      <c r="D2685" s="6" t="s">
        <v>3601</v>
      </c>
      <c r="E2685" s="4"/>
      <c r="F2685" s="8" t="s">
        <v>604</v>
      </c>
      <c r="G2685" s="4" t="s">
        <v>965</v>
      </c>
      <c r="H2685" s="10" t="s">
        <v>3602</v>
      </c>
      <c r="I2685" s="10">
        <v>10.0</v>
      </c>
      <c r="J2685" s="11" t="str">
        <f>IF(D2685&lt;&gt;"",VLOOKUP(H2685,TABLEITEM,5,FALSE),"")</f>
        <v>ROLL</v>
      </c>
      <c r="K2685" s="12">
        <v>90.0</v>
      </c>
      <c r="L2685" s="13" t="str">
        <f>IF(D2685&lt;&gt;"",VLOOKUP(H2685,TABLEITEM,2,FALSE),"")</f>
        <v/>
      </c>
      <c r="M2685" s="13" t="str">
        <f>IF(D2685&lt;&gt;"",VLOOKUP(H2685,TABLEITEM,3,FALSE),"")</f>
        <v>ลวดดำ</v>
      </c>
      <c r="N2685" s="14">
        <f>INSTOCK!$I2685*INSTOCK!$K2685</f>
        <v>900</v>
      </c>
      <c r="O2685" s="4"/>
      <c r="P2685" s="4"/>
    </row>
    <row r="2686" ht="15.75" hidden="1" customHeight="1">
      <c r="B2686" s="8">
        <v>3005.0</v>
      </c>
      <c r="C2686" s="9">
        <v>43578.0</v>
      </c>
      <c r="D2686" s="6" t="s">
        <v>3603</v>
      </c>
      <c r="E2686" s="4">
        <v>6.204000618E9</v>
      </c>
      <c r="F2686" s="8" t="s">
        <v>604</v>
      </c>
      <c r="G2686" s="4" t="s">
        <v>1453</v>
      </c>
      <c r="H2686" s="10" t="s">
        <v>3604</v>
      </c>
      <c r="I2686" s="10">
        <v>5.0</v>
      </c>
      <c r="J2686" s="11" t="str">
        <f>IF(D2686&lt;&gt;"",VLOOKUP(H2686,TABLEITEM,5,FALSE),"")</f>
        <v>EA</v>
      </c>
      <c r="K2686" s="12">
        <v>488.774</v>
      </c>
      <c r="L2686" s="13" t="str">
        <f>IF(D2686&lt;&gt;"",VLOOKUP(H2686,TABLEITEM,2,FALSE),"")</f>
        <v/>
      </c>
      <c r="M2686" s="13" t="str">
        <f>IF(D2686&lt;&gt;"",VLOOKUP(H2686,TABLEITEM,3,FALSE),"")</f>
        <v>พัดลม PM PMV12.00 220VAC 4"</v>
      </c>
      <c r="N2686" s="14">
        <f>INSTOCK!$I2686*INSTOCK!$K2686</f>
        <v>2443.87</v>
      </c>
      <c r="O2686" s="4" t="s">
        <v>3605</v>
      </c>
      <c r="P2686" s="4"/>
    </row>
    <row r="2687" ht="15.75" hidden="1" customHeight="1">
      <c r="B2687" s="8">
        <v>3006.0</v>
      </c>
      <c r="C2687" s="9">
        <v>43578.0</v>
      </c>
      <c r="D2687" s="6" t="s">
        <v>3603</v>
      </c>
      <c r="E2687" s="4">
        <v>6.204000618E9</v>
      </c>
      <c r="F2687" s="8" t="s">
        <v>604</v>
      </c>
      <c r="G2687" s="4" t="s">
        <v>1453</v>
      </c>
      <c r="H2687" s="10" t="s">
        <v>3606</v>
      </c>
      <c r="I2687" s="10">
        <v>10.0</v>
      </c>
      <c r="J2687" s="11" t="str">
        <f>IF(D2687&lt;&gt;"",VLOOKUP(H2687,TABLEITEM,5,FALSE),"")</f>
        <v>EA</v>
      </c>
      <c r="K2687" s="12">
        <v>139.65</v>
      </c>
      <c r="L2687" s="13" t="str">
        <f>IF(D2687&lt;&gt;"",VLOOKUP(H2687,TABLEITEM,2,FALSE),"")</f>
        <v/>
      </c>
      <c r="M2687" s="13" t="str">
        <f>IF(D2687&lt;&gt;"",VLOOKUP(H2687,TABLEITEM,3,FALSE),"")</f>
        <v>Filter PMF12 4นิ้ว</v>
      </c>
      <c r="N2687" s="14">
        <f>INSTOCK!$I2687*INSTOCK!$K2687</f>
        <v>1396.5</v>
      </c>
      <c r="O2687" s="4" t="s">
        <v>3607</v>
      </c>
      <c r="P2687" s="4"/>
    </row>
    <row r="2688" ht="15.75" hidden="1" customHeight="1">
      <c r="B2688" s="8">
        <v>3007.0</v>
      </c>
      <c r="C2688" s="9">
        <v>43575.0</v>
      </c>
      <c r="D2688" s="6" t="s">
        <v>3608</v>
      </c>
      <c r="E2688" s="4">
        <v>6.204000606E9</v>
      </c>
      <c r="F2688" s="8" t="s">
        <v>604</v>
      </c>
      <c r="G2688" s="4" t="s">
        <v>965</v>
      </c>
      <c r="H2688" s="10" t="s">
        <v>2152</v>
      </c>
      <c r="I2688" s="10">
        <v>10.0</v>
      </c>
      <c r="J2688" s="11" t="str">
        <f>IF(D2688&lt;&gt;"",VLOOKUP(H2688,TABLEITEM,5,FALSE),"")</f>
        <v>EA</v>
      </c>
      <c r="K2688" s="12">
        <v>30.0</v>
      </c>
      <c r="L2688" s="13" t="str">
        <f>IF(D2688&lt;&gt;"",VLOOKUP(H2688,TABLEITEM,2,FALSE),"")</f>
        <v/>
      </c>
      <c r="M2688" s="13" t="str">
        <f>IF(D2688&lt;&gt;"",VLOOKUP(H2688,TABLEITEM,3,FALSE),"")</f>
        <v>ไม้กวาดดอกหญ้า</v>
      </c>
      <c r="N2688" s="14">
        <f>INSTOCK!$I2688*INSTOCK!$K2688</f>
        <v>300</v>
      </c>
      <c r="O2688" s="4"/>
      <c r="P2688" s="4"/>
    </row>
    <row r="2689" ht="15.75" hidden="1" customHeight="1">
      <c r="B2689" s="8">
        <v>3008.0</v>
      </c>
      <c r="C2689" s="9">
        <v>43575.0</v>
      </c>
      <c r="D2689" s="6" t="s">
        <v>3608</v>
      </c>
      <c r="E2689" s="4">
        <v>6.204000606E9</v>
      </c>
      <c r="F2689" s="8" t="s">
        <v>604</v>
      </c>
      <c r="G2689" s="4" t="s">
        <v>965</v>
      </c>
      <c r="H2689" s="10" t="s">
        <v>3609</v>
      </c>
      <c r="I2689" s="10">
        <v>5.0</v>
      </c>
      <c r="J2689" s="11" t="str">
        <f>IF(D2689&lt;&gt;"",VLOOKUP(H2689,TABLEITEM,5,FALSE),"")</f>
        <v>EA</v>
      </c>
      <c r="K2689" s="12">
        <v>80.0</v>
      </c>
      <c r="L2689" s="13" t="str">
        <f>IF(D2689&lt;&gt;"",VLOOKUP(H2689,TABLEITEM,2,FALSE),"")</f>
        <v/>
      </c>
      <c r="M2689" s="13" t="str">
        <f>IF(D2689&lt;&gt;"",VLOOKUP(H2689,TABLEITEM,3,FALSE),"")</f>
        <v>กาว 2 ตัน</v>
      </c>
      <c r="N2689" s="14">
        <f>INSTOCK!$I2689*INSTOCK!$K2689</f>
        <v>400</v>
      </c>
      <c r="O2689" s="4"/>
      <c r="P2689" s="4"/>
    </row>
    <row r="2690" ht="15.75" hidden="1" customHeight="1">
      <c r="B2690" s="8">
        <v>3009.0</v>
      </c>
      <c r="C2690" s="9">
        <v>43575.0</v>
      </c>
      <c r="D2690" s="6" t="s">
        <v>3608</v>
      </c>
      <c r="E2690" s="4">
        <v>6.204000606E9</v>
      </c>
      <c r="F2690" s="8" t="s">
        <v>604</v>
      </c>
      <c r="G2690" s="4" t="s">
        <v>965</v>
      </c>
      <c r="H2690" s="10" t="s">
        <v>3610</v>
      </c>
      <c r="I2690" s="10">
        <v>10.0</v>
      </c>
      <c r="J2690" s="11" t="str">
        <f>IF(D2690&lt;&gt;"",VLOOKUP(H2690,TABLEITEM,5,FALSE),"")</f>
        <v>EA</v>
      </c>
      <c r="K2690" s="12">
        <v>18.0</v>
      </c>
      <c r="L2690" s="13" t="str">
        <f>IF(D2690&lt;&gt;"",VLOOKUP(H2690,TABLEITEM,2,FALSE),"")</f>
        <v/>
      </c>
      <c r="M2690" s="13" t="str">
        <f>IF(D2690&lt;&gt;"",VLOOKUP(H2690,TABLEITEM,3,FALSE),"")</f>
        <v>หินเจียรนัย 3/8"(หินชมพู)</v>
      </c>
      <c r="N2690" s="14">
        <f>INSTOCK!$I2690*INSTOCK!$K2690</f>
        <v>180</v>
      </c>
      <c r="O2690" s="4"/>
      <c r="P2690" s="4"/>
    </row>
    <row r="2691" ht="15.75" hidden="1" customHeight="1">
      <c r="B2691" s="8">
        <v>3010.0</v>
      </c>
      <c r="C2691" s="9">
        <v>43575.0</v>
      </c>
      <c r="D2691" s="6" t="s">
        <v>3608</v>
      </c>
      <c r="E2691" s="4">
        <v>6.204000606E9</v>
      </c>
      <c r="F2691" s="8" t="s">
        <v>604</v>
      </c>
      <c r="G2691" s="4" t="s">
        <v>965</v>
      </c>
      <c r="H2691" s="10" t="s">
        <v>3611</v>
      </c>
      <c r="I2691" s="10">
        <v>10.0</v>
      </c>
      <c r="J2691" s="11" t="str">
        <f>IF(D2691&lt;&gt;"",VLOOKUP(H2691,TABLEITEM,5,FALSE),"")</f>
        <v>EA</v>
      </c>
      <c r="K2691" s="12">
        <v>26.0</v>
      </c>
      <c r="L2691" s="13" t="str">
        <f>IF(D2691&lt;&gt;"",VLOOKUP(H2691,TABLEITEM,2,FALSE),"")</f>
        <v/>
      </c>
      <c r="M2691" s="13" t="str">
        <f>IF(D2691&lt;&gt;"",VLOOKUP(H2691,TABLEITEM,3,FALSE),"")</f>
        <v>ใบเลื่อยตัดเหล็ก 18T</v>
      </c>
      <c r="N2691" s="14">
        <f>INSTOCK!$I2691*INSTOCK!$K2691</f>
        <v>260</v>
      </c>
      <c r="O2691" s="4"/>
      <c r="P2691" s="4"/>
    </row>
    <row r="2692" ht="15.75" hidden="1" customHeight="1">
      <c r="B2692" s="8">
        <v>3011.0</v>
      </c>
      <c r="C2692" s="9">
        <v>43638.0</v>
      </c>
      <c r="D2692" s="6" t="s">
        <v>3612</v>
      </c>
      <c r="E2692" s="4">
        <v>6.204000609E9</v>
      </c>
      <c r="F2692" s="8" t="s">
        <v>604</v>
      </c>
      <c r="G2692" s="4" t="s">
        <v>2456</v>
      </c>
      <c r="H2692" s="10" t="s">
        <v>211</v>
      </c>
      <c r="I2692" s="10">
        <v>50.0</v>
      </c>
      <c r="J2692" s="11" t="str">
        <f>IF(D2692&lt;&gt;"",VLOOKUP(H2692,TABLEITEM,5,FALSE),"")</f>
        <v>EA</v>
      </c>
      <c r="K2692" s="12">
        <v>117.0</v>
      </c>
      <c r="L2692" s="13" t="str">
        <f>IF(D2692&lt;&gt;"",VLOOKUP(H2692,TABLEITEM,2,FALSE),"")</f>
        <v/>
      </c>
      <c r="M2692" s="13" t="str">
        <f>IF(D2692&lt;&gt;"",VLOOKUP(H2692,TABLEITEM,3,FALSE),"")</f>
        <v>รางรีเลย์</v>
      </c>
      <c r="N2692" s="14">
        <f>INSTOCK!$I2692*INSTOCK!$K2692</f>
        <v>5850</v>
      </c>
      <c r="O2692" s="4"/>
      <c r="P2692" s="4"/>
    </row>
    <row r="2693" ht="15.75" hidden="1" customHeight="1">
      <c r="B2693" s="8">
        <v>3012.0</v>
      </c>
      <c r="C2693" s="9">
        <v>43574.0</v>
      </c>
      <c r="D2693" s="6" t="s">
        <v>3613</v>
      </c>
      <c r="E2693" s="4">
        <v>6.204000604E9</v>
      </c>
      <c r="F2693" s="8" t="s">
        <v>3591</v>
      </c>
      <c r="G2693" s="4" t="s">
        <v>1596</v>
      </c>
      <c r="H2693" s="10" t="s">
        <v>3405</v>
      </c>
      <c r="I2693" s="10">
        <v>1.0</v>
      </c>
      <c r="J2693" s="11" t="str">
        <f>IF(D2693&lt;&gt;"",VLOOKUP(H2693,TABLEITEM,5,FALSE),"")</f>
        <v>EA</v>
      </c>
      <c r="K2693" s="12">
        <v>1520.0</v>
      </c>
      <c r="L2693" s="13" t="str">
        <f>IF(D2693&lt;&gt;"",VLOOKUP(H2693,TABLEITEM,2,FALSE),"")</f>
        <v/>
      </c>
      <c r="M2693" s="13" t="str">
        <f>IF(D2693&lt;&gt;"",VLOOKUP(H2693,TABLEITEM,3,FALSE),"")</f>
        <v>เบรกเกอร์ A1B125 TMF 125A 3P </v>
      </c>
      <c r="N2693" s="14">
        <f>INSTOCK!$I2693*INSTOCK!$K2693</f>
        <v>1520</v>
      </c>
      <c r="O2693" s="4" t="s">
        <v>3406</v>
      </c>
      <c r="P2693" s="4"/>
    </row>
    <row r="2694" ht="15.75" hidden="1" customHeight="1">
      <c r="B2694" s="8">
        <v>3013.0</v>
      </c>
      <c r="C2694" s="9">
        <v>43574.0</v>
      </c>
      <c r="D2694" s="6" t="s">
        <v>3613</v>
      </c>
      <c r="E2694" s="4">
        <v>6.204000604E9</v>
      </c>
      <c r="F2694" s="8" t="s">
        <v>3591</v>
      </c>
      <c r="G2694" s="4" t="s">
        <v>1596</v>
      </c>
      <c r="H2694" s="10" t="s">
        <v>3408</v>
      </c>
      <c r="I2694" s="10">
        <v>3.0</v>
      </c>
      <c r="J2694" s="11" t="str">
        <f>IF(D2694&lt;&gt;"",VLOOKUP(H2694,TABLEITEM,5,FALSE),"")</f>
        <v>EA</v>
      </c>
      <c r="K2694" s="12">
        <v>1160.0</v>
      </c>
      <c r="L2694" s="13" t="str">
        <f>IF(D2694&lt;&gt;"",VLOOKUP(H2694,TABLEITEM,2,FALSE),"")</f>
        <v/>
      </c>
      <c r="M2694" s="13" t="str">
        <f>IF(D2694&lt;&gt;"",VLOOKUP(H2694,TABLEITEM,3,FALSE),"")</f>
        <v>เบรกเกอร์ A1B125 TMF 40A 3P </v>
      </c>
      <c r="N2694" s="14">
        <f>INSTOCK!$I2694*INSTOCK!$K2694</f>
        <v>3480</v>
      </c>
      <c r="O2694" s="4" t="s">
        <v>1510</v>
      </c>
      <c r="P2694" s="4"/>
    </row>
    <row r="2695" ht="15.75" hidden="1" customHeight="1">
      <c r="B2695" s="8">
        <v>3014.0</v>
      </c>
      <c r="C2695" s="9">
        <v>43574.0</v>
      </c>
      <c r="D2695" s="6" t="s">
        <v>3613</v>
      </c>
      <c r="E2695" s="4">
        <v>6.204000604E9</v>
      </c>
      <c r="F2695" s="8" t="s">
        <v>3591</v>
      </c>
      <c r="G2695" s="4" t="s">
        <v>1596</v>
      </c>
      <c r="H2695" s="10" t="s">
        <v>3410</v>
      </c>
      <c r="I2695" s="10">
        <v>1.0</v>
      </c>
      <c r="J2695" s="11" t="str">
        <f>IF(D2695&lt;&gt;"",VLOOKUP(H2695,TABLEITEM,5,FALSE),"")</f>
        <v>EA</v>
      </c>
      <c r="K2695" s="12">
        <v>1360.0</v>
      </c>
      <c r="L2695" s="13" t="str">
        <f>IF(D2695&lt;&gt;"",VLOOKUP(H2695,TABLEITEM,2,FALSE),"")</f>
        <v/>
      </c>
      <c r="M2695" s="13" t="str">
        <f>IF(D2695&lt;&gt;"",VLOOKUP(H2695,TABLEITEM,3,FALSE),"")</f>
        <v>UVR-C A1-A2 220-240VAC 220-250VDC</v>
      </c>
      <c r="N2695" s="14">
        <f>INSTOCK!$I2695*INSTOCK!$K2695</f>
        <v>1360</v>
      </c>
      <c r="O2695" s="4" t="s">
        <v>3411</v>
      </c>
      <c r="P2695" s="4"/>
    </row>
    <row r="2696" ht="15.75" hidden="1" customHeight="1">
      <c r="B2696" s="8">
        <v>3015.0</v>
      </c>
      <c r="C2696" s="9">
        <v>43574.0</v>
      </c>
      <c r="D2696" s="6" t="s">
        <v>3614</v>
      </c>
      <c r="E2696" s="4">
        <v>6.204000598E9</v>
      </c>
      <c r="F2696" s="8" t="s">
        <v>3407</v>
      </c>
      <c r="G2696" s="4" t="s">
        <v>1512</v>
      </c>
      <c r="H2696" s="10" t="s">
        <v>3615</v>
      </c>
      <c r="I2696" s="10">
        <v>1.0</v>
      </c>
      <c r="J2696" s="11" t="str">
        <f>IF(D2696&lt;&gt;"",VLOOKUP(H2696,TABLEITEM,5,FALSE),"")</f>
        <v>EA</v>
      </c>
      <c r="K2696" s="12">
        <v>14952.6</v>
      </c>
      <c r="L2696" s="13" t="str">
        <f>IF(D2696&lt;&gt;"",VLOOKUP(H2696,TABLEITEM,2,FALSE),"")</f>
        <v/>
      </c>
      <c r="M2696" s="13" t="str">
        <f>IF(D2696&lt;&gt;"",VLOOKUP(H2696,TABLEITEM,3,FALSE),"")</f>
        <v>1V-T4N320 R320 LSIG TMAX T4N320 R320 LSIG</v>
      </c>
      <c r="N2696" s="14">
        <f>INSTOCK!$I2696*INSTOCK!$K2696</f>
        <v>14952.6</v>
      </c>
      <c r="O2696" s="4" t="s">
        <v>3616</v>
      </c>
      <c r="P2696" s="4"/>
    </row>
    <row r="2697" ht="15.75" hidden="1" customHeight="1">
      <c r="B2697" s="8">
        <v>3016.0</v>
      </c>
      <c r="C2697" s="9">
        <v>43574.0</v>
      </c>
      <c r="D2697" s="6" t="s">
        <v>3614</v>
      </c>
      <c r="E2697" s="4">
        <v>6.204000598E9</v>
      </c>
      <c r="F2697" s="8" t="s">
        <v>3407</v>
      </c>
      <c r="G2697" s="4" t="s">
        <v>1512</v>
      </c>
      <c r="H2697" s="10" t="s">
        <v>3617</v>
      </c>
      <c r="I2697" s="10">
        <v>1.0</v>
      </c>
      <c r="J2697" s="11" t="str">
        <f>IF(D2697&lt;&gt;"",VLOOKUP(H2697,TABLEITEM,5,FALSE),"")</f>
        <v>EA</v>
      </c>
      <c r="K2697" s="12">
        <v>0.0</v>
      </c>
      <c r="L2697" s="13" t="str">
        <f>IF(D2697&lt;&gt;"",VLOOKUP(H2697,TABLEITEM,2,FALSE),"")</f>
        <v/>
      </c>
      <c r="M2697" s="13" t="str">
        <f>IF(D2697&lt;&gt;"",VLOOKUP(H2697,TABLEITEM,3,FALSE),"")</f>
        <v>1W-CT EXT T4 320 </v>
      </c>
      <c r="N2697" s="14">
        <f>INSTOCK!$I2697*INSTOCK!$K2697</f>
        <v>0</v>
      </c>
      <c r="O2697" s="4"/>
      <c r="P2697" s="4"/>
    </row>
    <row r="2698" ht="15.75" hidden="1" customHeight="1">
      <c r="B2698" s="8">
        <v>3017.0</v>
      </c>
      <c r="C2698" s="9">
        <v>43574.0</v>
      </c>
      <c r="D2698" s="6" t="s">
        <v>3614</v>
      </c>
      <c r="E2698" s="4">
        <v>6.204000598E9</v>
      </c>
      <c r="F2698" s="8" t="s">
        <v>3407</v>
      </c>
      <c r="G2698" s="4" t="s">
        <v>1512</v>
      </c>
      <c r="H2698" s="10" t="s">
        <v>3618</v>
      </c>
      <c r="I2698" s="10">
        <v>1.0</v>
      </c>
      <c r="J2698" s="11" t="str">
        <f>IF(D2698&lt;&gt;"",VLOOKUP(H2698,TABLEITEM,5,FALSE),"")</f>
        <v>EA</v>
      </c>
      <c r="K2698" s="12">
        <v>1263.6</v>
      </c>
      <c r="L2698" s="13" t="str">
        <f>IF(D2698&lt;&gt;"",VLOOKUP(H2698,TABLEITEM,2,FALSE),"")</f>
        <v/>
      </c>
      <c r="M2698" s="13" t="str">
        <f>IF(D2698&lt;&gt;"",VLOOKUP(H2698,TABLEITEM,3,FALSE),"")</f>
        <v>1W-T4-T6,A3 SHUN TRIP </v>
      </c>
      <c r="N2698" s="14">
        <f>INSTOCK!$I2698*INSTOCK!$K2698</f>
        <v>1263.6</v>
      </c>
      <c r="O2698" s="4" t="s">
        <v>3619</v>
      </c>
      <c r="P2698" s="4"/>
    </row>
    <row r="2699" ht="15.75" hidden="1" customHeight="1">
      <c r="B2699" s="8">
        <v>3018.0</v>
      </c>
      <c r="C2699" s="9">
        <v>43580.0</v>
      </c>
      <c r="D2699" s="6" t="s">
        <v>3620</v>
      </c>
      <c r="E2699" s="4"/>
      <c r="F2699" s="8" t="s">
        <v>604</v>
      </c>
      <c r="G2699" s="4" t="s">
        <v>3621</v>
      </c>
      <c r="H2699" s="10" t="s">
        <v>3622</v>
      </c>
      <c r="I2699" s="10">
        <v>30.0</v>
      </c>
      <c r="J2699" s="11" t="str">
        <f>IF(D2699&lt;&gt;"",VLOOKUP(H2699,TABLEITEM,5,FALSE),"")</f>
        <v>KG.</v>
      </c>
      <c r="K2699" s="12">
        <v>50.0</v>
      </c>
      <c r="L2699" s="13" t="str">
        <f>IF(D2699&lt;&gt;"",VLOOKUP(H2699,TABLEITEM,2,FALSE),"")</f>
        <v/>
      </c>
      <c r="M2699" s="13" t="str">
        <f>IF(D2699&lt;&gt;"",VLOOKUP(H2699,TABLEITEM,3,FALSE),"")</f>
        <v>เศษผ้าขนหนูเช็ดเครื่อง </v>
      </c>
      <c r="N2699" s="14">
        <f>INSTOCK!$I2699*INSTOCK!$K2699</f>
        <v>1500</v>
      </c>
      <c r="O2699" s="4"/>
      <c r="P2699" s="4"/>
    </row>
    <row r="2700" ht="15.75" hidden="1" customHeight="1">
      <c r="B2700" s="8">
        <v>3019.0</v>
      </c>
      <c r="C2700" s="9">
        <v>43579.0</v>
      </c>
      <c r="D2700" s="6" t="s">
        <v>3623</v>
      </c>
      <c r="E2700" s="4">
        <v>6.204000633E9</v>
      </c>
      <c r="F2700" s="8" t="s">
        <v>3495</v>
      </c>
      <c r="G2700" s="4" t="s">
        <v>617</v>
      </c>
      <c r="H2700" s="10" t="s">
        <v>660</v>
      </c>
      <c r="I2700" s="10">
        <v>20.0</v>
      </c>
      <c r="J2700" s="11" t="str">
        <f>IF(D2700&lt;&gt;"",VLOOKUP(H2700,TABLEITEM,5,FALSE),"")</f>
        <v>M</v>
      </c>
      <c r="K2700" s="12">
        <v>2190.3</v>
      </c>
      <c r="L2700" s="13" t="str">
        <f>IF(D2700&lt;&gt;"",VLOOKUP(H2700,TABLEITEM,2,FALSE),"")</f>
        <v>Busbar</v>
      </c>
      <c r="M2700" s="13" t="str">
        <f>IF(D2700&lt;&gt;"",VLOOKUP(H2700,TABLEITEM,3,FALSE),"")</f>
        <v>บัสบาร์ทองแดง 100x10</v>
      </c>
      <c r="N2700" s="14">
        <f>INSTOCK!$I2700*INSTOCK!$K2700</f>
        <v>43806</v>
      </c>
      <c r="O2700" s="4" t="s">
        <v>3624</v>
      </c>
      <c r="P2700" s="4"/>
    </row>
    <row r="2701" ht="15.75" hidden="1" customHeight="1">
      <c r="B2701" s="8">
        <v>3020.0</v>
      </c>
      <c r="C2701" s="9">
        <v>43578.0</v>
      </c>
      <c r="D2701" s="6">
        <v>4.19036279E8</v>
      </c>
      <c r="E2701" s="4">
        <v>6.204000622E9</v>
      </c>
      <c r="F2701" s="8" t="s">
        <v>604</v>
      </c>
      <c r="G2701" s="4" t="s">
        <v>1274</v>
      </c>
      <c r="H2701" s="10" t="s">
        <v>2555</v>
      </c>
      <c r="I2701" s="10">
        <v>4.0</v>
      </c>
      <c r="J2701" s="11" t="str">
        <f>IF(D2701&lt;&gt;"",VLOOKUP(H2701,TABLEITEM,5,FALSE),"")</f>
        <v>EA</v>
      </c>
      <c r="K2701" s="12">
        <v>700.0</v>
      </c>
      <c r="L2701" s="13" t="str">
        <f>IF(D2701&lt;&gt;"",VLOOKUP(H2701,TABLEITEM,2,FALSE),"")</f>
        <v/>
      </c>
      <c r="M2701" s="13" t="str">
        <f>IF(D2701&lt;&gt;"",VLOOKUP(H2701,TABLEITEM,3,FALSE),"")</f>
        <v>สก๊อตไบร์ MULTI-FLEX ขนาด 8x20 สีเทา (60แผ่น/ม้วน)</v>
      </c>
      <c r="N2701" s="14">
        <f>INSTOCK!$I2701*INSTOCK!$K2701</f>
        <v>2800</v>
      </c>
      <c r="O2701" s="4"/>
      <c r="P2701" s="4"/>
    </row>
    <row r="2702" ht="15.75" hidden="1" customHeight="1">
      <c r="B2702" s="8">
        <v>3021.0</v>
      </c>
      <c r="C2702" s="9">
        <v>43578.0</v>
      </c>
      <c r="D2702" s="6" t="s">
        <v>3625</v>
      </c>
      <c r="E2702" s="4">
        <v>6.204000619E9</v>
      </c>
      <c r="F2702" s="8" t="s">
        <v>3530</v>
      </c>
      <c r="G2702" s="4" t="s">
        <v>1631</v>
      </c>
      <c r="H2702" s="10" t="s">
        <v>1636</v>
      </c>
      <c r="I2702" s="10">
        <v>1.0</v>
      </c>
      <c r="J2702" s="11" t="str">
        <f>IF(D2702&lt;&gt;"",VLOOKUP(H2702,TABLEITEM,5,FALSE),"")</f>
        <v>EA</v>
      </c>
      <c r="K2702" s="12">
        <v>13350.0</v>
      </c>
      <c r="L2702" s="13" t="str">
        <f>IF(D2702&lt;&gt;"",VLOOKUP(H2702,TABLEITEM,2,FALSE),"")</f>
        <v/>
      </c>
      <c r="M2702" s="13" t="str">
        <f>IF(D2702&lt;&gt;"",VLOOKUP(H2702,TABLEITEM,3,FALSE),"")</f>
        <v>ACS355-03E-12A5-4/5.5KW(7.5 HP)380-480V</v>
      </c>
      <c r="N2702" s="14">
        <f>INSTOCK!$I2702*INSTOCK!$K2702</f>
        <v>13350</v>
      </c>
      <c r="O2702" s="4"/>
      <c r="P2702" s="4"/>
    </row>
    <row r="2703" ht="15.75" hidden="1" customHeight="1">
      <c r="B2703" s="8">
        <v>3022.0</v>
      </c>
      <c r="C2703" s="9">
        <v>43578.0</v>
      </c>
      <c r="D2703" s="6" t="s">
        <v>3625</v>
      </c>
      <c r="E2703" s="4">
        <v>6.204000619E9</v>
      </c>
      <c r="F2703" s="8" t="s">
        <v>3530</v>
      </c>
      <c r="G2703" s="4" t="s">
        <v>1631</v>
      </c>
      <c r="H2703" s="10" t="s">
        <v>1640</v>
      </c>
      <c r="I2703" s="10">
        <v>1.0</v>
      </c>
      <c r="J2703" s="11" t="str">
        <f>IF(D2703&lt;&gt;"",VLOOKUP(H2703,TABLEITEM,5,FALSE),"")</f>
        <v>EA</v>
      </c>
      <c r="K2703" s="12">
        <v>0.0</v>
      </c>
      <c r="L2703" s="13" t="str">
        <f>IF(D2703&lt;&gt;"",VLOOKUP(H2703,TABLEITEM,2,FALSE),"")</f>
        <v/>
      </c>
      <c r="M2703" s="13" t="str">
        <f>IF(D2703&lt;&gt;"",VLOOKUP(H2703,TABLEITEM,3,FALSE),"")</f>
        <v>ACS-CP-C(BASIC CONTRON PANEL)</v>
      </c>
      <c r="N2703" s="14">
        <f>INSTOCK!$I2703*INSTOCK!$K2703</f>
        <v>0</v>
      </c>
      <c r="O2703" s="4"/>
      <c r="P2703" s="4"/>
    </row>
    <row r="2704" ht="15.75" hidden="1" customHeight="1">
      <c r="B2704" s="8">
        <v>3023.0</v>
      </c>
      <c r="C2704" s="9">
        <v>43579.0</v>
      </c>
      <c r="D2704" s="6" t="s">
        <v>3626</v>
      </c>
      <c r="E2704" s="4">
        <v>6.204000607E9</v>
      </c>
      <c r="F2704" s="8" t="s">
        <v>604</v>
      </c>
      <c r="G2704" s="4" t="s">
        <v>1777</v>
      </c>
      <c r="H2704" s="10" t="s">
        <v>2088</v>
      </c>
      <c r="I2704" s="10">
        <v>1000.0</v>
      </c>
      <c r="J2704" s="11" t="str">
        <f>IF(D2704&lt;&gt;"",VLOOKUP(H2704,TABLEITEM,5,FALSE),"")</f>
        <v>EA</v>
      </c>
      <c r="K2704" s="12">
        <v>0.13</v>
      </c>
      <c r="L2704" s="13" t="str">
        <f>IF(D2704&lt;&gt;"",VLOOKUP(H2704,TABLEITEM,2,FALSE),"")</f>
        <v/>
      </c>
      <c r="M2704" s="13" t="str">
        <f>IF(D2704&lt;&gt;"",VLOOKUP(H2704,TABLEITEM,3,FALSE),"")</f>
        <v>สกรูเตเปอร์ M5x10</v>
      </c>
      <c r="N2704" s="14">
        <f>INSTOCK!$I2704*INSTOCK!$K2704</f>
        <v>130</v>
      </c>
      <c r="O2704" s="4"/>
      <c r="P2704" s="4"/>
    </row>
    <row r="2705" ht="15.75" hidden="1" customHeight="1">
      <c r="B2705" s="8">
        <v>3024.0</v>
      </c>
      <c r="C2705" s="9">
        <v>43579.0</v>
      </c>
      <c r="D2705" s="6" t="s">
        <v>3626</v>
      </c>
      <c r="E2705" s="4">
        <v>6.204000607E9</v>
      </c>
      <c r="F2705" s="8" t="s">
        <v>604</v>
      </c>
      <c r="G2705" s="4" t="s">
        <v>1777</v>
      </c>
      <c r="H2705" s="10" t="s">
        <v>2100</v>
      </c>
      <c r="I2705" s="10">
        <v>10000.0</v>
      </c>
      <c r="J2705" s="11" t="str">
        <f>IF(D2705&lt;&gt;"",VLOOKUP(H2705,TABLEITEM,5,FALSE),"")</f>
        <v>EA</v>
      </c>
      <c r="K2705" s="12">
        <v>0.7995</v>
      </c>
      <c r="L2705" s="13" t="str">
        <f>IF(D2705&lt;&gt;"",VLOOKUP(H2705,TABLEITEM,2,FALSE),"")</f>
        <v/>
      </c>
      <c r="M2705" s="13" t="str">
        <f>IF(D2705&lt;&gt;"",VLOOKUP(H2705,TABLEITEM,3,FALSE),"")</f>
        <v>สกรูหัวเหลี่ยมชุบขาว M8x20</v>
      </c>
      <c r="N2705" s="14">
        <f>INSTOCK!$I2705*INSTOCK!$K2705</f>
        <v>7995</v>
      </c>
      <c r="O2705" s="4" t="s">
        <v>2101</v>
      </c>
      <c r="P2705" s="4"/>
    </row>
    <row r="2706" ht="15.75" hidden="1" customHeight="1">
      <c r="B2706" s="8">
        <v>3025.0</v>
      </c>
      <c r="C2706" s="9">
        <v>43579.0</v>
      </c>
      <c r="D2706" s="6" t="s">
        <v>3626</v>
      </c>
      <c r="E2706" s="4">
        <v>6.204000607E9</v>
      </c>
      <c r="F2706" s="8" t="s">
        <v>604</v>
      </c>
      <c r="G2706" s="4" t="s">
        <v>1777</v>
      </c>
      <c r="H2706" s="10" t="s">
        <v>2228</v>
      </c>
      <c r="I2706" s="10">
        <v>1000.0</v>
      </c>
      <c r="J2706" s="11" t="str">
        <f>IF(D2706&lt;&gt;"",VLOOKUP(H2706,TABLEITEM,5,FALSE),"")</f>
        <v>EA</v>
      </c>
      <c r="K2706" s="12">
        <v>0.132</v>
      </c>
      <c r="L2706" s="13" t="str">
        <f>IF(D2706&lt;&gt;"",VLOOKUP(H2706,TABLEITEM,2,FALSE),"")</f>
        <v/>
      </c>
      <c r="M2706" s="13" t="str">
        <f>IF(D2706&lt;&gt;"",VLOOKUP(H2706,TABLEITEM,3,FALSE),"")</f>
        <v>หัวน้อต       M5   ชุบขาว</v>
      </c>
      <c r="N2706" s="14">
        <f>INSTOCK!$I2706*INSTOCK!$K2706</f>
        <v>132</v>
      </c>
      <c r="O2706" s="4" t="s">
        <v>3627</v>
      </c>
      <c r="P2706" s="4"/>
    </row>
    <row r="2707" ht="15.75" hidden="1" customHeight="1">
      <c r="B2707" s="8">
        <v>3026.0</v>
      </c>
      <c r="C2707" s="9">
        <v>43580.0</v>
      </c>
      <c r="D2707" s="6" t="s">
        <v>3628</v>
      </c>
      <c r="E2707" s="4">
        <v>6.204000624E9</v>
      </c>
      <c r="F2707" s="8" t="s">
        <v>604</v>
      </c>
      <c r="G2707" s="4" t="s">
        <v>798</v>
      </c>
      <c r="H2707" s="10" t="s">
        <v>3629</v>
      </c>
      <c r="I2707" s="10">
        <v>100.0</v>
      </c>
      <c r="J2707" s="11" t="str">
        <f>IF(D2707&lt;&gt;"",VLOOKUP(H2707,TABLEITEM,5,FALSE),"")</f>
        <v>EA</v>
      </c>
      <c r="K2707" s="12">
        <v>10.0</v>
      </c>
      <c r="L2707" s="13" t="str">
        <f>IF(D2707&lt;&gt;"",VLOOKUP(H2707,TABLEITEM,2,FALSE),"")</f>
        <v/>
      </c>
      <c r="M2707" s="13" t="str">
        <f>IF(D2707&lt;&gt;"",VLOOKUP(H2707,TABLEITEM,3,FALSE),"")</f>
        <v>ลูกไข 1K077-01</v>
      </c>
      <c r="N2707" s="14">
        <f>INSTOCK!$I2707*INSTOCK!$K2707</f>
        <v>1000</v>
      </c>
      <c r="O2707" s="4"/>
      <c r="P2707" s="4"/>
    </row>
    <row r="2708" ht="15.75" hidden="1" customHeight="1">
      <c r="B2708" s="8">
        <v>3027.0</v>
      </c>
      <c r="C2708" s="9">
        <v>43579.0</v>
      </c>
      <c r="D2708" s="6">
        <v>9.130000029E10</v>
      </c>
      <c r="E2708" s="4">
        <v>6.204000571E9</v>
      </c>
      <c r="F2708" s="8" t="s">
        <v>604</v>
      </c>
      <c r="G2708" s="4" t="s">
        <v>3630</v>
      </c>
      <c r="H2708" s="10" t="s">
        <v>3631</v>
      </c>
      <c r="I2708" s="10">
        <v>1.0</v>
      </c>
      <c r="J2708" s="11" t="str">
        <f>IF(D2708&lt;&gt;"",VLOOKUP(H2708,TABLEITEM,5,FALSE),"")</f>
        <v>EA</v>
      </c>
      <c r="K2708" s="12">
        <v>7312.0</v>
      </c>
      <c r="L2708" s="13" t="str">
        <f>IF(D2708&lt;&gt;"",VLOOKUP(H2708,TABLEITEM,2,FALSE),"")</f>
        <v/>
      </c>
      <c r="M2708" s="13" t="str">
        <f>IF(D2708&lt;&gt;"",VLOOKUP(H2708,TABLEITEM,3,FALSE),"")</f>
        <v>ISOFLEX TOPAS NB52(1KG)</v>
      </c>
      <c r="N2708" s="14">
        <f>INSTOCK!$I2708*INSTOCK!$K2708</f>
        <v>7312</v>
      </c>
      <c r="O2708" s="4"/>
      <c r="P2708" s="4"/>
    </row>
    <row r="2709" ht="15.75" hidden="1" customHeight="1">
      <c r="B2709" s="8">
        <v>3028.0</v>
      </c>
      <c r="C2709" s="9">
        <v>43579.0</v>
      </c>
      <c r="D2709" s="6">
        <v>38329.0</v>
      </c>
      <c r="E2709" s="4">
        <v>6.204000621E9</v>
      </c>
      <c r="F2709" s="8" t="s">
        <v>604</v>
      </c>
      <c r="G2709" s="4" t="s">
        <v>696</v>
      </c>
      <c r="H2709" s="10" t="s">
        <v>43</v>
      </c>
      <c r="I2709" s="10">
        <v>3.0</v>
      </c>
      <c r="J2709" s="11" t="str">
        <f>IF(D2709&lt;&gt;"",VLOOKUP(H2709,TABLEITEM,5,FALSE),"")</f>
        <v>ปี๊ป</v>
      </c>
      <c r="K2709" s="12">
        <v>590.0</v>
      </c>
      <c r="L2709" s="13" t="str">
        <f>IF(D2709&lt;&gt;"",VLOOKUP(H2709,TABLEITEM,2,FALSE),"")</f>
        <v/>
      </c>
      <c r="M2709" s="13" t="str">
        <f>IF(D2709&lt;&gt;"",VLOOKUP(H2709,TABLEITEM,3,FALSE),"")</f>
        <v>ทินเนอร์อคลิลิค</v>
      </c>
      <c r="N2709" s="14">
        <f>INSTOCK!$I2709*INSTOCK!$K2709</f>
        <v>1770</v>
      </c>
      <c r="O2709" s="4"/>
      <c r="P2709" s="4"/>
    </row>
    <row r="2710" ht="15.75" hidden="1" customHeight="1">
      <c r="B2710" s="8">
        <v>3029.0</v>
      </c>
      <c r="C2710" s="9">
        <v>43580.0</v>
      </c>
      <c r="D2710" s="6" t="s">
        <v>3632</v>
      </c>
      <c r="E2710" s="4">
        <v>6.204000636E9</v>
      </c>
      <c r="F2710" s="8" t="s">
        <v>3633</v>
      </c>
      <c r="G2710" s="4" t="s">
        <v>2350</v>
      </c>
      <c r="H2710" s="10" t="s">
        <v>2537</v>
      </c>
      <c r="I2710" s="10">
        <v>160.0</v>
      </c>
      <c r="J2710" s="11" t="str">
        <f>IF(D2710&lt;&gt;"",VLOOKUP(H2710,TABLEITEM,5,FALSE),"")</f>
        <v>KG.</v>
      </c>
      <c r="K2710" s="12">
        <v>122.0</v>
      </c>
      <c r="L2710" s="13" t="str">
        <f>IF(D2710&lt;&gt;"",VLOOKUP(H2710,TABLEITEM,2,FALSE),"")</f>
        <v/>
      </c>
      <c r="M2710" s="13" t="str">
        <f>IF(D2710&lt;&gt;"",VLOOKUP(H2710,TABLEITEM,3,FALSE),"")</f>
        <v>สีฝุ่น L4001  สีส้มภายนอก P2049A</v>
      </c>
      <c r="N2710" s="14">
        <f>INSTOCK!$I2710*INSTOCK!$K2710</f>
        <v>19520</v>
      </c>
      <c r="O2710" s="4"/>
      <c r="P2710" s="4"/>
    </row>
    <row r="2711" ht="15.75" hidden="1" customHeight="1">
      <c r="B2711" s="8">
        <v>3030.0</v>
      </c>
      <c r="C2711" s="9">
        <v>43580.0</v>
      </c>
      <c r="D2711" s="6" t="s">
        <v>3632</v>
      </c>
      <c r="E2711" s="4">
        <v>6.204000636E9</v>
      </c>
      <c r="F2711" s="8" t="s">
        <v>3633</v>
      </c>
      <c r="G2711" s="4" t="s">
        <v>2350</v>
      </c>
      <c r="H2711" s="10" t="s">
        <v>2599</v>
      </c>
      <c r="I2711" s="10">
        <v>100.0</v>
      </c>
      <c r="J2711" s="11" t="str">
        <f>IF(D2711&lt;&gt;"",VLOOKUP(H2711,TABLEITEM,5,FALSE),"")</f>
        <v>KG.</v>
      </c>
      <c r="K2711" s="12">
        <v>122.0</v>
      </c>
      <c r="L2711" s="13" t="str">
        <f>IF(D2711&lt;&gt;"",VLOOKUP(H2711,TABLEITEM,2,FALSE),"")</f>
        <v/>
      </c>
      <c r="M2711" s="13" t="str">
        <f>IF(D2711&lt;&gt;"",VLOOKUP(H2711,TABLEITEM,3,FALSE),"")</f>
        <v>สีฝุ่น P9001A  สีเทาดำ</v>
      </c>
      <c r="N2711" s="14">
        <f>INSTOCK!$I2711*INSTOCK!$K2711</f>
        <v>12200</v>
      </c>
      <c r="O2711" s="4"/>
      <c r="P2711" s="4"/>
    </row>
    <row r="2712" ht="15.75" hidden="1" customHeight="1">
      <c r="B2712" s="8">
        <v>3031.0</v>
      </c>
      <c r="C2712" s="9">
        <v>43580.0</v>
      </c>
      <c r="D2712" s="6" t="s">
        <v>3634</v>
      </c>
      <c r="E2712" s="4">
        <v>6.204000635E9</v>
      </c>
      <c r="F2712" s="8" t="s">
        <v>3635</v>
      </c>
      <c r="G2712" s="4" t="s">
        <v>1258</v>
      </c>
      <c r="H2712" s="10" t="s">
        <v>1261</v>
      </c>
      <c r="I2712" s="10">
        <v>20.0</v>
      </c>
      <c r="J2712" s="11" t="str">
        <f>IF(D2712&lt;&gt;"",VLOOKUP(H2712,TABLEITEM,5,FALSE),"")</f>
        <v>KG.</v>
      </c>
      <c r="K2712" s="12">
        <v>130.0</v>
      </c>
      <c r="L2712" s="13" t="str">
        <f>IF(D2712&lt;&gt;"",VLOOKUP(H2712,TABLEITEM,2,FALSE),"")</f>
        <v/>
      </c>
      <c r="M2712" s="13" t="str">
        <f>IF(D2712&lt;&gt;"",VLOOKUP(H2712,TABLEITEM,3,FALSE),"")</f>
        <v>สีฝุ่น HB 45014 N GREY</v>
      </c>
      <c r="N2712" s="14">
        <f>INSTOCK!$I2712*INSTOCK!$K2712</f>
        <v>2600</v>
      </c>
      <c r="O2712" s="4"/>
      <c r="P2712" s="4"/>
    </row>
    <row r="2713" ht="15.75" hidden="1" customHeight="1">
      <c r="B2713" s="8">
        <v>3032.0</v>
      </c>
      <c r="C2713" s="9">
        <v>43579.0</v>
      </c>
      <c r="D2713" s="6" t="s">
        <v>3636</v>
      </c>
      <c r="E2713" s="4">
        <v>6.20400062E9</v>
      </c>
      <c r="F2713" s="8" t="s">
        <v>604</v>
      </c>
      <c r="G2713" s="4" t="s">
        <v>1070</v>
      </c>
      <c r="H2713" s="10" t="s">
        <v>35</v>
      </c>
      <c r="I2713" s="10">
        <v>25.0</v>
      </c>
      <c r="J2713" s="11" t="str">
        <f>IF(D2713&lt;&gt;"",VLOOKUP(H2713,TABLEITEM,5,FALSE),"")</f>
        <v>EA</v>
      </c>
      <c r="K2713" s="12">
        <v>85.0</v>
      </c>
      <c r="L2713" s="13" t="str">
        <f>IF(D2713&lt;&gt;"",VLOOKUP(H2713,TABLEITEM,2,FALSE),"")</f>
        <v/>
      </c>
      <c r="M2713" s="13" t="str">
        <f>IF(D2713&lt;&gt;"",VLOOKUP(H2713,TABLEITEM,3,FALSE),"")</f>
        <v>ใบตัดไฟเบอร์ #16</v>
      </c>
      <c r="N2713" s="14">
        <f>INSTOCK!$I2713*INSTOCK!$K2713</f>
        <v>2125</v>
      </c>
      <c r="O2713" s="4"/>
      <c r="P2713" s="4"/>
    </row>
    <row r="2714" ht="15.75" hidden="1" customHeight="1">
      <c r="B2714" s="8">
        <v>3033.0</v>
      </c>
      <c r="C2714" s="9">
        <v>43578.0</v>
      </c>
      <c r="D2714" s="6">
        <v>14589.0</v>
      </c>
      <c r="E2714" s="4"/>
      <c r="F2714" s="8" t="s">
        <v>3637</v>
      </c>
      <c r="G2714" s="4" t="s">
        <v>3638</v>
      </c>
      <c r="H2714" s="10" t="s">
        <v>3639</v>
      </c>
      <c r="I2714" s="10">
        <v>1.0</v>
      </c>
      <c r="J2714" s="11" t="str">
        <f>IF(D2714&lt;&gt;"",VLOOKUP(H2714,TABLEITEM,5,FALSE),"")</f>
        <v>EA</v>
      </c>
      <c r="K2714" s="12">
        <v>4650.0</v>
      </c>
      <c r="L2714" s="13" t="str">
        <f>IF(D2714&lt;&gt;"",VLOOKUP(H2714,TABLEITEM,2,FALSE),"")</f>
        <v/>
      </c>
      <c r="M2714" s="13" t="str">
        <f>IF(D2714&lt;&gt;"",VLOOKUP(H2714,TABLEITEM,3,FALSE),"")</f>
        <v>Dell 450-AEBM Single Hot-plug Power Supply ORDER NO.930676411</v>
      </c>
      <c r="N2714" s="14">
        <f>INSTOCK!$I2714*INSTOCK!$K2714</f>
        <v>4650</v>
      </c>
      <c r="O2714" s="4"/>
      <c r="P2714" s="4"/>
    </row>
    <row r="2715" ht="15.75" hidden="1" customHeight="1">
      <c r="B2715" s="8">
        <v>3034.0</v>
      </c>
      <c r="C2715" s="9">
        <v>43579.0</v>
      </c>
      <c r="D2715" s="6" t="s">
        <v>3640</v>
      </c>
      <c r="E2715" s="4">
        <v>6.204000625E9</v>
      </c>
      <c r="F2715" s="8" t="s">
        <v>1989</v>
      </c>
      <c r="G2715" s="4" t="s">
        <v>1990</v>
      </c>
      <c r="H2715" s="10" t="s">
        <v>3641</v>
      </c>
      <c r="I2715" s="10">
        <v>1.0</v>
      </c>
      <c r="J2715" s="11" t="str">
        <f>IF(D2715&lt;&gt;"",VLOOKUP(H2715,TABLEITEM,5,FALSE),"")</f>
        <v>pack</v>
      </c>
      <c r="K2715" s="12">
        <v>145.0</v>
      </c>
      <c r="L2715" s="13" t="str">
        <f>IF(D2715&lt;&gt;"",VLOOKUP(H2715,TABLEITEM,2,FALSE),"")</f>
        <v/>
      </c>
      <c r="M2715" s="13" t="str">
        <f>IF(D2715&lt;&gt;"",VLOOKUP(H2715,TABLEITEM,3,FALSE),"")</f>
        <v>กระดาษถ่ายเอกสารสี ตราช้างสีเหลืองทอง 259662,80แกรม</v>
      </c>
      <c r="N2715" s="14">
        <f>INSTOCK!$I2715*INSTOCK!$K2715</f>
        <v>145</v>
      </c>
      <c r="O2715" s="4"/>
      <c r="P2715" s="4"/>
    </row>
    <row r="2716" ht="15.75" hidden="1" customHeight="1">
      <c r="B2716" s="8">
        <v>3035.0</v>
      </c>
      <c r="C2716" s="9">
        <v>43579.0</v>
      </c>
      <c r="D2716" s="6" t="s">
        <v>3640</v>
      </c>
      <c r="E2716" s="4">
        <v>6.204000625E9</v>
      </c>
      <c r="F2716" s="8" t="s">
        <v>1989</v>
      </c>
      <c r="G2716" s="4" t="s">
        <v>1990</v>
      </c>
      <c r="H2716" s="10" t="s">
        <v>3642</v>
      </c>
      <c r="I2716" s="10">
        <v>2.0</v>
      </c>
      <c r="J2716" s="11" t="str">
        <f>IF(D2716&lt;&gt;"",VLOOKUP(H2716,TABLEITEM,5,FALSE),"")</f>
        <v>pack</v>
      </c>
      <c r="K2716" s="12">
        <v>480.0</v>
      </c>
      <c r="L2716" s="13" t="str">
        <f>IF(D2716&lt;&gt;"",VLOOKUP(H2716,TABLEITEM,2,FALSE),"")</f>
        <v/>
      </c>
      <c r="M2716" s="13" t="str">
        <f>IF(D2716&lt;&gt;"",VLOOKUP(H2716,TABLEITEM,3,FALSE),"")</f>
        <v>กระดาษต่อเนื่อง TKS 9x5.5" 3ชั้น ไม่มีเส้น 1000ชุด</v>
      </c>
      <c r="N2716" s="14">
        <f>INSTOCK!$I2716*INSTOCK!$K2716</f>
        <v>960</v>
      </c>
      <c r="O2716" s="4"/>
      <c r="P2716" s="4"/>
    </row>
    <row r="2717" ht="15.75" hidden="1" customHeight="1">
      <c r="B2717" s="8">
        <v>3036.0</v>
      </c>
      <c r="C2717" s="9">
        <v>43578.0</v>
      </c>
      <c r="D2717" s="6" t="s">
        <v>3643</v>
      </c>
      <c r="E2717" s="4">
        <v>6.20400063E9</v>
      </c>
      <c r="F2717" s="8" t="s">
        <v>604</v>
      </c>
      <c r="G2717" s="4" t="s">
        <v>1870</v>
      </c>
      <c r="H2717" s="18" t="s">
        <v>2084</v>
      </c>
      <c r="I2717" s="10">
        <v>8000.0</v>
      </c>
      <c r="J2717" s="11" t="str">
        <f>IF(D2717&lt;&gt;"",VLOOKUP(H2717,TABLEITEM,5,FALSE),"")</f>
        <v>EA</v>
      </c>
      <c r="K2717" s="12">
        <v>0.22</v>
      </c>
      <c r="L2717" s="13" t="str">
        <f>IF(D2717&lt;&gt;"",VLOOKUP(H2717,TABLEITEM,2,FALSE),"")</f>
        <v/>
      </c>
      <c r="M2717" s="13" t="str">
        <f>IF(D2717&lt;&gt;"",VLOOKUP(H2717,TABLEITEM,3,FALSE),"")</f>
        <v>ติดจาน M5</v>
      </c>
      <c r="N2717" s="14">
        <f>INSTOCK!$I2717*INSTOCK!$K2717</f>
        <v>1760</v>
      </c>
      <c r="O2717" s="4" t="s">
        <v>3644</v>
      </c>
      <c r="P2717" s="4"/>
    </row>
    <row r="2718" ht="15.75" hidden="1" customHeight="1">
      <c r="B2718" s="8">
        <v>3037.0</v>
      </c>
      <c r="C2718" s="9">
        <v>43578.0</v>
      </c>
      <c r="D2718" s="6" t="s">
        <v>3643</v>
      </c>
      <c r="E2718" s="4">
        <v>6.20400063E9</v>
      </c>
      <c r="F2718" s="8" t="s">
        <v>604</v>
      </c>
      <c r="G2718" s="4" t="s">
        <v>1870</v>
      </c>
      <c r="H2718" s="10" t="s">
        <v>2104</v>
      </c>
      <c r="I2718" s="10">
        <v>8000.0</v>
      </c>
      <c r="J2718" s="11" t="str">
        <f>IF(D2718&lt;&gt;"",VLOOKUP(H2718,TABLEITEM,5,FALSE),"")</f>
        <v>EA</v>
      </c>
      <c r="K2718" s="12">
        <v>0.2475</v>
      </c>
      <c r="L2718" s="13" t="str">
        <f>IF(D2718&lt;&gt;"",VLOOKUP(H2718,TABLEITEM,2,FALSE),"")</f>
        <v/>
      </c>
      <c r="M2718" s="13" t="str">
        <f>IF(D2718&lt;&gt;"",VLOOKUP(H2718,TABLEITEM,3,FALSE),"")</f>
        <v>ติดจาน M6</v>
      </c>
      <c r="N2718" s="14">
        <f>INSTOCK!$I2718*INSTOCK!$K2718</f>
        <v>1980</v>
      </c>
      <c r="O2718" s="4" t="s">
        <v>3645</v>
      </c>
      <c r="P2718" s="4"/>
    </row>
    <row r="2719" ht="15.75" hidden="1" customHeight="1">
      <c r="B2719" s="8">
        <v>3038.0</v>
      </c>
      <c r="C2719" s="9">
        <v>43580.0</v>
      </c>
      <c r="D2719" s="6" t="s">
        <v>3646</v>
      </c>
      <c r="E2719" s="4">
        <v>6.204000629E9</v>
      </c>
      <c r="F2719" s="8" t="s">
        <v>604</v>
      </c>
      <c r="G2719" s="4" t="s">
        <v>1777</v>
      </c>
      <c r="H2719" s="10" t="s">
        <v>3014</v>
      </c>
      <c r="I2719" s="10">
        <v>10000.0</v>
      </c>
      <c r="J2719" s="11" t="str">
        <f>IF(D2719&lt;&gt;"",VLOOKUP(H2719,TABLEITEM,5,FALSE),"")</f>
        <v>EA</v>
      </c>
      <c r="K2719" s="12">
        <v>0.075</v>
      </c>
      <c r="L2719" s="13" t="str">
        <f>IF(D2719&lt;&gt;"",VLOOKUP(H2719,TABLEITEM,2,FALSE),"")</f>
        <v/>
      </c>
      <c r="M2719" s="13" t="str">
        <f>IF(D2719&lt;&gt;"",VLOOKUP(H2719,TABLEITEM,3,FALSE),"")</f>
        <v>แหวนสปริง M 8 ชุบรุ้ง</v>
      </c>
      <c r="N2719" s="14">
        <f>INSTOCK!$I2719*INSTOCK!$K2719</f>
        <v>750</v>
      </c>
      <c r="O2719" s="4" t="s">
        <v>2079</v>
      </c>
      <c r="P2719" s="4"/>
    </row>
    <row r="2720" ht="15.75" hidden="1" customHeight="1">
      <c r="B2720" s="8">
        <v>3039.0</v>
      </c>
      <c r="C2720" s="9">
        <v>43580.0</v>
      </c>
      <c r="D2720" s="6" t="s">
        <v>3646</v>
      </c>
      <c r="E2720" s="4">
        <v>6.204000629E9</v>
      </c>
      <c r="F2720" s="8" t="s">
        <v>604</v>
      </c>
      <c r="G2720" s="4" t="s">
        <v>1777</v>
      </c>
      <c r="H2720" s="10" t="s">
        <v>2080</v>
      </c>
      <c r="I2720" s="10">
        <v>10000.0</v>
      </c>
      <c r="J2720" s="11" t="str">
        <f>IF(D2720&lt;&gt;"",VLOOKUP(H2720,TABLEITEM,5,FALSE),"")</f>
        <v>EA</v>
      </c>
      <c r="K2720" s="12">
        <v>0.36</v>
      </c>
      <c r="L2720" s="13" t="str">
        <f>IF(D2720&lt;&gt;"",VLOOKUP(H2720,TABLEITEM,2,FALSE),"")</f>
        <v/>
      </c>
      <c r="M2720" s="13" t="str">
        <f>IF(D2720&lt;&gt;"",VLOOKUP(H2720,TABLEITEM,3,FALSE),"")</f>
        <v>หัวน็อต M 8 ชุบขาว</v>
      </c>
      <c r="N2720" s="14">
        <f>INSTOCK!$I2720*INSTOCK!$K2720</f>
        <v>3600</v>
      </c>
      <c r="O2720" s="4" t="s">
        <v>2081</v>
      </c>
      <c r="P2720" s="4"/>
    </row>
    <row r="2721" ht="15.75" hidden="1" customHeight="1">
      <c r="B2721" s="8">
        <v>3040.0</v>
      </c>
      <c r="C2721" s="9">
        <v>43580.0</v>
      </c>
      <c r="D2721" s="6" t="s">
        <v>3646</v>
      </c>
      <c r="E2721" s="4">
        <v>6.204000629E9</v>
      </c>
      <c r="F2721" s="8" t="s">
        <v>604</v>
      </c>
      <c r="G2721" s="4" t="s">
        <v>1777</v>
      </c>
      <c r="H2721" s="10" t="s">
        <v>2102</v>
      </c>
      <c r="I2721" s="10">
        <v>20000.0</v>
      </c>
      <c r="J2721" s="11" t="str">
        <f>IF(D2721&lt;&gt;"",VLOOKUP(H2721,TABLEITEM,5,FALSE),"")</f>
        <v>EA</v>
      </c>
      <c r="K2721" s="12">
        <v>0.175</v>
      </c>
      <c r="L2721" s="13" t="str">
        <f>IF(D2721&lt;&gt;"",VLOOKUP(H2721,TABLEITEM,2,FALSE),"")</f>
        <v/>
      </c>
      <c r="M2721" s="13" t="str">
        <f>IF(D2721&lt;&gt;"",VLOOKUP(H2721,TABLEITEM,3,FALSE),"")</f>
        <v>แหวนอีแปะ M8 ชุบขาว</v>
      </c>
      <c r="N2721" s="14">
        <f>INSTOCK!$I2721*INSTOCK!$K2721</f>
        <v>3500</v>
      </c>
      <c r="O2721" s="4" t="s">
        <v>3647</v>
      </c>
      <c r="P2721" s="4"/>
    </row>
    <row r="2722" ht="15.75" hidden="1" customHeight="1">
      <c r="B2722" s="8">
        <v>3041.0</v>
      </c>
      <c r="C2722" s="9">
        <v>43579.0</v>
      </c>
      <c r="D2722" s="6" t="s">
        <v>3648</v>
      </c>
      <c r="E2722" s="4">
        <v>6.204000638E9</v>
      </c>
      <c r="F2722" s="8" t="s">
        <v>3649</v>
      </c>
      <c r="G2722" s="4" t="s">
        <v>692</v>
      </c>
      <c r="H2722" s="18" t="s">
        <v>1697</v>
      </c>
      <c r="I2722" s="10">
        <v>1.0</v>
      </c>
      <c r="J2722" s="11" t="str">
        <f>IF(D2722&lt;&gt;"",VLOOKUP(H2722,TABLEITEM,5,FALSE),"")</f>
        <v>EA</v>
      </c>
      <c r="K2722" s="12">
        <v>1752.75</v>
      </c>
      <c r="L2722" s="13" t="str">
        <f>IF(D2722&lt;&gt;"",VLOOKUP(H2722,TABLEITEM,2,FALSE),"")</f>
        <v/>
      </c>
      <c r="M2722" s="13" t="str">
        <f>IF(D2722&lt;&gt;"",VLOOKUP(H2722,TABLEITEM,3,FALSE),"")</f>
        <v>Circuil Breaker FH204AC-40/0.03</v>
      </c>
      <c r="N2722" s="14">
        <f>INSTOCK!$I2722*INSTOCK!$K2722</f>
        <v>1752.75</v>
      </c>
      <c r="O2722" s="4" t="s">
        <v>3650</v>
      </c>
      <c r="P2722" s="4"/>
    </row>
    <row r="2723" ht="15.75" hidden="1" customHeight="1">
      <c r="B2723" s="8">
        <v>3042.0</v>
      </c>
      <c r="C2723" s="9">
        <v>43579.0</v>
      </c>
      <c r="D2723" s="6" t="s">
        <v>3651</v>
      </c>
      <c r="E2723" s="4" t="s">
        <v>3652</v>
      </c>
      <c r="F2723" s="8" t="s">
        <v>3653</v>
      </c>
      <c r="G2723" s="4" t="s">
        <v>1596</v>
      </c>
      <c r="H2723" s="10" t="s">
        <v>1706</v>
      </c>
      <c r="I2723" s="10">
        <v>1.0</v>
      </c>
      <c r="J2723" s="11" t="str">
        <f>IF(D2723&lt;&gt;"",VLOOKUP(H2723,TABLEITEM,5,FALSE),"")</f>
        <v>EA</v>
      </c>
      <c r="K2723" s="12">
        <v>2200.0</v>
      </c>
      <c r="L2723" s="13" t="str">
        <f>IF(D2723&lt;&gt;"",VLOOKUP(H2723,TABLEITEM,2,FALSE),"")</f>
        <v/>
      </c>
      <c r="M2723" s="13" t="str">
        <f>IF(D2723&lt;&gt;"",VLOOKUP(H2723,TABLEITEM,3,FALSE),"")</f>
        <v>MCCB A2C 250 TMF200 3P </v>
      </c>
      <c r="N2723" s="14">
        <f>INSTOCK!$I2723*INSTOCK!$K2723</f>
        <v>2200</v>
      </c>
      <c r="O2723" s="4" t="s">
        <v>1707</v>
      </c>
      <c r="P2723" s="4"/>
    </row>
    <row r="2724" ht="15.75" hidden="1" customHeight="1">
      <c r="B2724" s="8">
        <v>3043.0</v>
      </c>
      <c r="C2724" s="9">
        <v>43579.0</v>
      </c>
      <c r="D2724" s="6" t="s">
        <v>3651</v>
      </c>
      <c r="E2724" s="4" t="s">
        <v>3652</v>
      </c>
      <c r="F2724" s="8" t="s">
        <v>3653</v>
      </c>
      <c r="G2724" s="4" t="s">
        <v>1596</v>
      </c>
      <c r="H2724" s="10" t="s">
        <v>1717</v>
      </c>
      <c r="I2724" s="10">
        <v>5.0</v>
      </c>
      <c r="J2724" s="11" t="str">
        <f>IF(D2724&lt;&gt;"",VLOOKUP(H2724,TABLEITEM,5,FALSE),"")</f>
        <v>EA</v>
      </c>
      <c r="K2724" s="12">
        <v>1200.0</v>
      </c>
      <c r="L2724" s="13" t="str">
        <f>IF(D2724&lt;&gt;"",VLOOKUP(H2724,TABLEITEM,2,FALSE),"")</f>
        <v/>
      </c>
      <c r="M2724" s="13" t="str">
        <f>IF(D2724&lt;&gt;"",VLOOKUP(H2724,TABLEITEM,3,FALSE),"")</f>
        <v>MCCB A1C125 3P 60A 25KA</v>
      </c>
      <c r="N2724" s="14">
        <f>INSTOCK!$I2724*INSTOCK!$K2724</f>
        <v>6000</v>
      </c>
      <c r="O2724" s="4" t="s">
        <v>3654</v>
      </c>
      <c r="P2724" s="4"/>
    </row>
    <row r="2725" ht="15.75" hidden="1" customHeight="1">
      <c r="B2725" s="8">
        <v>3044.0</v>
      </c>
      <c r="C2725" s="9">
        <v>43579.0</v>
      </c>
      <c r="D2725" s="6" t="s">
        <v>3651</v>
      </c>
      <c r="E2725" s="4" t="s">
        <v>3652</v>
      </c>
      <c r="F2725" s="8" t="s">
        <v>3653</v>
      </c>
      <c r="G2725" s="4" t="s">
        <v>1596</v>
      </c>
      <c r="H2725" s="10" t="s">
        <v>1703</v>
      </c>
      <c r="I2725" s="10">
        <v>5.0</v>
      </c>
      <c r="J2725" s="11" t="str">
        <f>IF(D2725&lt;&gt;"",VLOOKUP(H2725,TABLEITEM,5,FALSE),"")</f>
        <v>EA</v>
      </c>
      <c r="K2725" s="12">
        <v>2400.0</v>
      </c>
      <c r="L2725" s="13" t="str">
        <f>IF(D2725&lt;&gt;"",VLOOKUP(H2725,TABLEITEM,2,FALSE),"")</f>
        <v/>
      </c>
      <c r="M2725" s="13" t="str">
        <f>IF(D2725&lt;&gt;"",VLOOKUP(H2725,TABLEITEM,3,FALSE),"")</f>
        <v>Circuil Breaker FH204AC-63/0.03</v>
      </c>
      <c r="N2725" s="14">
        <f>INSTOCK!$I2725*INSTOCK!$K2725</f>
        <v>12000</v>
      </c>
      <c r="O2725" s="4" t="s">
        <v>3655</v>
      </c>
      <c r="P2725" s="4"/>
    </row>
    <row r="2726" ht="15.75" hidden="1" customHeight="1">
      <c r="B2726" s="8">
        <v>3045.0</v>
      </c>
      <c r="C2726" s="9">
        <v>43579.0</v>
      </c>
      <c r="D2726" s="6" t="s">
        <v>3651</v>
      </c>
      <c r="E2726" s="4" t="s">
        <v>3652</v>
      </c>
      <c r="F2726" s="8" t="s">
        <v>3653</v>
      </c>
      <c r="G2726" s="4" t="s">
        <v>1596</v>
      </c>
      <c r="H2726" s="10" t="s">
        <v>1770</v>
      </c>
      <c r="I2726" s="10">
        <v>1.0</v>
      </c>
      <c r="J2726" s="11" t="str">
        <f>IF(D2726&lt;&gt;"",VLOOKUP(H2726,TABLEITEM,5,FALSE),"")</f>
        <v>EA</v>
      </c>
      <c r="K2726" s="12">
        <v>1200.0</v>
      </c>
      <c r="L2726" s="13" t="str">
        <f>IF(D2726&lt;&gt;"",VLOOKUP(H2726,TABLEITEM,2,FALSE),"")</f>
        <v/>
      </c>
      <c r="M2726" s="13" t="str">
        <f>IF(D2726&lt;&gt;"",VLOOKUP(H2726,TABLEITEM,3,FALSE),"")</f>
        <v>MCCB A1C125 3P 100A 25KA</v>
      </c>
      <c r="N2726" s="14">
        <f>INSTOCK!$I2726*INSTOCK!$K2726</f>
        <v>1200</v>
      </c>
      <c r="O2726" s="4" t="s">
        <v>3654</v>
      </c>
      <c r="P2726" s="4"/>
    </row>
    <row r="2727" ht="15.75" hidden="1" customHeight="1">
      <c r="B2727" s="8">
        <v>3046.0</v>
      </c>
      <c r="C2727" s="9">
        <v>43579.0</v>
      </c>
      <c r="D2727" s="6" t="s">
        <v>3651</v>
      </c>
      <c r="E2727" s="4" t="s">
        <v>3652</v>
      </c>
      <c r="F2727" s="8" t="s">
        <v>3653</v>
      </c>
      <c r="G2727" s="4" t="s">
        <v>1596</v>
      </c>
      <c r="H2727" s="10" t="s">
        <v>1717</v>
      </c>
      <c r="I2727" s="10">
        <v>1.0</v>
      </c>
      <c r="J2727" s="11" t="str">
        <f>IF(D2727&lt;&gt;"",VLOOKUP(H2727,TABLEITEM,5,FALSE),"")</f>
        <v>EA</v>
      </c>
      <c r="K2727" s="12">
        <v>1200.0</v>
      </c>
      <c r="L2727" s="13" t="str">
        <f>IF(D2727&lt;&gt;"",VLOOKUP(H2727,TABLEITEM,2,FALSE),"")</f>
        <v/>
      </c>
      <c r="M2727" s="13" t="str">
        <f>IF(D2727&lt;&gt;"",VLOOKUP(H2727,TABLEITEM,3,FALSE),"")</f>
        <v>MCCB A1C125 3P 60A 25KA</v>
      </c>
      <c r="N2727" s="14">
        <f>INSTOCK!$I2727*INSTOCK!$K2727</f>
        <v>1200</v>
      </c>
      <c r="O2727" s="4" t="s">
        <v>3654</v>
      </c>
      <c r="P2727" s="4"/>
    </row>
    <row r="2728" ht="15.75" hidden="1" customHeight="1">
      <c r="B2728" s="8">
        <v>3047.0</v>
      </c>
      <c r="C2728" s="9">
        <v>43579.0</v>
      </c>
      <c r="D2728" s="6" t="s">
        <v>3651</v>
      </c>
      <c r="E2728" s="4" t="s">
        <v>3652</v>
      </c>
      <c r="F2728" s="8" t="s">
        <v>3653</v>
      </c>
      <c r="G2728" s="4" t="s">
        <v>1596</v>
      </c>
      <c r="H2728" s="10" t="s">
        <v>1703</v>
      </c>
      <c r="I2728" s="10">
        <v>1.0</v>
      </c>
      <c r="J2728" s="11" t="str">
        <f>IF(D2728&lt;&gt;"",VLOOKUP(H2728,TABLEITEM,5,FALSE),"")</f>
        <v>EA</v>
      </c>
      <c r="K2728" s="12">
        <v>2400.0</v>
      </c>
      <c r="L2728" s="13" t="str">
        <f>IF(D2728&lt;&gt;"",VLOOKUP(H2728,TABLEITEM,2,FALSE),"")</f>
        <v/>
      </c>
      <c r="M2728" s="13" t="str">
        <f>IF(D2728&lt;&gt;"",VLOOKUP(H2728,TABLEITEM,3,FALSE),"")</f>
        <v>Circuil Breaker FH204AC-63/0.03</v>
      </c>
      <c r="N2728" s="14">
        <f>INSTOCK!$I2728*INSTOCK!$K2728</f>
        <v>2400</v>
      </c>
      <c r="O2728" s="4" t="s">
        <v>3655</v>
      </c>
      <c r="P2728" s="4"/>
    </row>
    <row r="2729" ht="15.75" hidden="1" customHeight="1">
      <c r="B2729" s="8">
        <v>3048.0</v>
      </c>
      <c r="C2729" s="9">
        <v>43579.0</v>
      </c>
      <c r="D2729" s="6" t="s">
        <v>3651</v>
      </c>
      <c r="E2729" s="4" t="s">
        <v>3652</v>
      </c>
      <c r="F2729" s="8" t="s">
        <v>3653</v>
      </c>
      <c r="G2729" s="4" t="s">
        <v>1596</v>
      </c>
      <c r="H2729" s="10" t="s">
        <v>1721</v>
      </c>
      <c r="I2729" s="10">
        <v>1.0</v>
      </c>
      <c r="J2729" s="11" t="str">
        <f>IF(D2729&lt;&gt;"",VLOOKUP(H2729,TABLEITEM,5,FALSE),"")</f>
        <v>EA</v>
      </c>
      <c r="K2729" s="12">
        <v>456.0</v>
      </c>
      <c r="L2729" s="13" t="str">
        <f>IF(D2729&lt;&gt;"",VLOOKUP(H2729,TABLEITEM,2,FALSE),"")</f>
        <v/>
      </c>
      <c r="M2729" s="13" t="str">
        <f>IF(D2729&lt;&gt;"",VLOOKUP(H2729,TABLEITEM,3,FALSE),"")</f>
        <v>Consumer Unit SCP-07</v>
      </c>
      <c r="N2729" s="14">
        <f>INSTOCK!$I2729*INSTOCK!$K2729</f>
        <v>456</v>
      </c>
      <c r="O2729" s="4" t="s">
        <v>1799</v>
      </c>
      <c r="P2729" s="4"/>
    </row>
    <row r="2730" ht="15.75" hidden="1" customHeight="1">
      <c r="B2730" s="8">
        <v>3049.0</v>
      </c>
      <c r="C2730" s="9">
        <v>43580.0</v>
      </c>
      <c r="D2730" s="6" t="s">
        <v>3656</v>
      </c>
      <c r="E2730" s="4">
        <v>6.204000616E9</v>
      </c>
      <c r="F2730" s="8" t="s">
        <v>1973</v>
      </c>
      <c r="G2730" s="4" t="s">
        <v>3241</v>
      </c>
      <c r="H2730" s="10" t="s">
        <v>3242</v>
      </c>
      <c r="I2730" s="10">
        <v>1.0</v>
      </c>
      <c r="J2730" s="11" t="str">
        <f>IF(D2730&lt;&gt;"",VLOOKUP(H2730,TABLEITEM,5,FALSE),"")</f>
        <v>EA</v>
      </c>
      <c r="K2730" s="12">
        <v>884.8</v>
      </c>
      <c r="L2730" s="13" t="str">
        <f>IF(D2730&lt;&gt;"",VLOOKUP(H2730,TABLEITEM,2,FALSE),"")</f>
        <v/>
      </c>
      <c r="M2730" s="13" t="str">
        <f>IF(D2730&lt;&gt;"",VLOOKUP(H2730,TABLEITEM,3,FALSE),"")</f>
        <v>ปืนเป่าลม BLOW GUN SET สายขนาด 5x8MMx4M</v>
      </c>
      <c r="N2730" s="14">
        <f>INSTOCK!$I2730*INSTOCK!$K2730</f>
        <v>884.8</v>
      </c>
      <c r="O2730" s="4" t="s">
        <v>3243</v>
      </c>
      <c r="P2730" s="4"/>
    </row>
    <row r="2731" ht="15.75" hidden="1" customHeight="1">
      <c r="B2731" s="8">
        <v>3050.0</v>
      </c>
      <c r="C2731" s="9">
        <v>43579.0</v>
      </c>
      <c r="D2731" s="6" t="s">
        <v>3657</v>
      </c>
      <c r="E2731" s="4">
        <v>6.204000639E9</v>
      </c>
      <c r="F2731" s="8" t="s">
        <v>2663</v>
      </c>
      <c r="G2731" s="4" t="s">
        <v>1070</v>
      </c>
      <c r="H2731" s="10" t="s">
        <v>3658</v>
      </c>
      <c r="I2731" s="10">
        <v>10.0</v>
      </c>
      <c r="J2731" s="11" t="str">
        <f>IF(D2731&lt;&gt;"",VLOOKUP(H2731,TABLEITEM,5,FALSE),"")</f>
        <v>EA</v>
      </c>
      <c r="K2731" s="12">
        <v>40.0</v>
      </c>
      <c r="L2731" s="13" t="str">
        <f>IF(D2731&lt;&gt;"",VLOOKUP(H2731,TABLEITEM,2,FALSE),"")</f>
        <v/>
      </c>
      <c r="M2731" s="13" t="str">
        <f>IF(D2731&lt;&gt;"",VLOOKUP(H2731,TABLEITEM,3,FALSE),"")</f>
        <v>ORIFICE/BUFFLE.U4167G02/003002 350A</v>
      </c>
      <c r="N2731" s="14">
        <f>INSTOCK!$I2731*INSTOCK!$K2731</f>
        <v>400</v>
      </c>
      <c r="O2731" s="4"/>
      <c r="P2731" s="4"/>
    </row>
    <row r="2732" ht="15.75" hidden="1" customHeight="1">
      <c r="B2732" s="8">
        <v>3051.0</v>
      </c>
      <c r="C2732" s="9">
        <v>43581.0</v>
      </c>
      <c r="D2732" s="6" t="s">
        <v>3659</v>
      </c>
      <c r="E2732" s="4">
        <v>6.204000649E9</v>
      </c>
      <c r="F2732" s="8" t="s">
        <v>807</v>
      </c>
      <c r="G2732" s="4" t="s">
        <v>808</v>
      </c>
      <c r="H2732" s="10" t="s">
        <v>809</v>
      </c>
      <c r="I2732" s="10">
        <v>1.0</v>
      </c>
      <c r="J2732" s="11" t="str">
        <f>IF(D2732&lt;&gt;"",VLOOKUP(H2732,TABLEITEM,5,FALSE),"")</f>
        <v>ท่อ</v>
      </c>
      <c r="K2732" s="12">
        <v>2700.0</v>
      </c>
      <c r="L2732" s="13" t="str">
        <f>IF(D2732&lt;&gt;"",VLOOKUP(H2732,TABLEITEM,2,FALSE),"")</f>
        <v/>
      </c>
      <c r="M2732" s="13" t="str">
        <f>IF(D2732&lt;&gt;"",VLOOKUP(H2732,TABLEITEM,3,FALSE),"")</f>
        <v>ไนโตรเจนเหลว ขนาด 100คิว</v>
      </c>
      <c r="N2732" s="14">
        <f>INSTOCK!$I2732*INSTOCK!$K2732</f>
        <v>2700</v>
      </c>
      <c r="O2732" s="4"/>
      <c r="P2732" s="4"/>
    </row>
    <row r="2733" ht="15.75" hidden="1" customHeight="1">
      <c r="B2733" s="8">
        <v>3052.0</v>
      </c>
      <c r="C2733" s="9">
        <v>43580.0</v>
      </c>
      <c r="D2733" s="6" t="s">
        <v>3660</v>
      </c>
      <c r="E2733" s="4" t="s">
        <v>3661</v>
      </c>
      <c r="F2733" s="8" t="s">
        <v>3662</v>
      </c>
      <c r="G2733" s="4" t="s">
        <v>702</v>
      </c>
      <c r="H2733" s="10" t="s">
        <v>3663</v>
      </c>
      <c r="I2733" s="10">
        <v>20.0</v>
      </c>
      <c r="J2733" s="11" t="str">
        <f>IF(D2733&lt;&gt;"",VLOOKUP(H2733,TABLEITEM,5,FALSE),"")</f>
        <v>KG.</v>
      </c>
      <c r="K2733" s="12">
        <v>140.0</v>
      </c>
      <c r="L2733" s="13" t="str">
        <f>IF(D2733&lt;&gt;"",VLOOKUP(H2733,TABLEITEM,2,FALSE),"")</f>
        <v/>
      </c>
      <c r="M2733" s="13" t="str">
        <f>IF(D2733&lt;&gt;"",VLOOKUP(H2733,TABLEITEM,3,FALSE),"")</f>
        <v>สีฝุ่น PR26/7178/CW3 สีดำเม็ดทราย ภายนอก</v>
      </c>
      <c r="N2733" s="14">
        <f>INSTOCK!$I2733*INSTOCK!$K2733</f>
        <v>2800</v>
      </c>
      <c r="O2733" s="4"/>
      <c r="P2733" s="4"/>
    </row>
    <row r="2734" ht="15.75" hidden="1" customHeight="1">
      <c r="B2734" s="8">
        <v>3053.0</v>
      </c>
      <c r="C2734" s="9">
        <v>43581.0</v>
      </c>
      <c r="D2734" s="6" t="s">
        <v>3664</v>
      </c>
      <c r="E2734" s="4">
        <v>6.204000641E9</v>
      </c>
      <c r="F2734" s="8" t="s">
        <v>604</v>
      </c>
      <c r="G2734" s="4" t="s">
        <v>737</v>
      </c>
      <c r="H2734" s="10" t="s">
        <v>939</v>
      </c>
      <c r="I2734" s="10">
        <v>10.0</v>
      </c>
      <c r="J2734" s="11" t="str">
        <f>IF(D2734&lt;&gt;"",VLOOKUP(H2734,TABLEITEM,5,FALSE),"")</f>
        <v>ROLL</v>
      </c>
      <c r="K2734" s="12">
        <v>795.0</v>
      </c>
      <c r="L2734" s="13" t="str">
        <f>IF(D2734&lt;&gt;"",VLOOKUP(H2734,TABLEITEM,2,FALSE),"")</f>
        <v/>
      </c>
      <c r="M2734" s="13" t="str">
        <f>IF(D2734&lt;&gt;"",VLOOKUP(H2734,TABLEITEM,3,FALSE),"")</f>
        <v>ลวดเชื่อมco2</v>
      </c>
      <c r="N2734" s="14">
        <f>INSTOCK!$I2734*INSTOCK!$K2734</f>
        <v>7950</v>
      </c>
      <c r="O2734" s="4"/>
      <c r="P2734" s="4"/>
    </row>
    <row r="2735" ht="15.75" hidden="1" customHeight="1">
      <c r="B2735" s="8">
        <v>3054.0</v>
      </c>
      <c r="C2735" s="9">
        <v>43580.0</v>
      </c>
      <c r="D2735" s="6" t="s">
        <v>3665</v>
      </c>
      <c r="E2735" s="4">
        <v>6.204000642E9</v>
      </c>
      <c r="F2735" s="8" t="s">
        <v>604</v>
      </c>
      <c r="G2735" s="4" t="s">
        <v>965</v>
      </c>
      <c r="H2735" s="10" t="s">
        <v>2616</v>
      </c>
      <c r="I2735" s="10">
        <v>10.0</v>
      </c>
      <c r="J2735" s="11" t="str">
        <f>IF(D2735&lt;&gt;"",VLOOKUP(H2735,TABLEITEM,5,FALSE),"")</f>
        <v>M</v>
      </c>
      <c r="K2735" s="12">
        <v>12.0</v>
      </c>
      <c r="L2735" s="13" t="str">
        <f>IF(D2735&lt;&gt;"",VLOOKUP(H2735,TABLEITEM,2,FALSE),"")</f>
        <v/>
      </c>
      <c r="M2735" s="13" t="str">
        <f>IF(D2735&lt;&gt;"",VLOOKUP(H2735,TABLEITEM,3,FALSE),"")</f>
        <v>สายยางน้ำ 5/8"</v>
      </c>
      <c r="N2735" s="14">
        <f>INSTOCK!$I2735*INSTOCK!$K2735</f>
        <v>120</v>
      </c>
      <c r="O2735" s="4"/>
      <c r="P2735" s="4"/>
    </row>
    <row r="2736" ht="15.75" hidden="1" customHeight="1">
      <c r="B2736" s="8">
        <v>3055.0</v>
      </c>
      <c r="C2736" s="9">
        <v>43580.0</v>
      </c>
      <c r="D2736" s="6" t="s">
        <v>3665</v>
      </c>
      <c r="E2736" s="4">
        <v>6.204000642E9</v>
      </c>
      <c r="F2736" s="8" t="s">
        <v>604</v>
      </c>
      <c r="G2736" s="4" t="s">
        <v>965</v>
      </c>
      <c r="H2736" s="10" t="s">
        <v>45</v>
      </c>
      <c r="I2736" s="10">
        <v>2.0</v>
      </c>
      <c r="J2736" s="11" t="str">
        <f>IF(D2736&lt;&gt;"",VLOOKUP(H2736,TABLEITEM,5,FALSE),"")</f>
        <v>กล</v>
      </c>
      <c r="K2736" s="12">
        <v>280.0</v>
      </c>
      <c r="L2736" s="13" t="str">
        <f>IF(D2736&lt;&gt;"",VLOOKUP(H2736,TABLEITEM,2,FALSE),"")</f>
        <v/>
      </c>
      <c r="M2736" s="13" t="str">
        <f>IF(D2736&lt;&gt;"",VLOOKUP(H2736,TABLEITEM,3,FALSE),"")</f>
        <v>สีโป้ว</v>
      </c>
      <c r="N2736" s="14">
        <f>INSTOCK!$I2736*INSTOCK!$K2736</f>
        <v>560</v>
      </c>
      <c r="O2736" s="4"/>
      <c r="P2736" s="4"/>
    </row>
    <row r="2737" ht="15.75" hidden="1" customHeight="1">
      <c r="B2737" s="8">
        <v>3056.0</v>
      </c>
      <c r="C2737" s="9">
        <v>43581.0</v>
      </c>
      <c r="D2737" s="6" t="s">
        <v>3666</v>
      </c>
      <c r="E2737" s="4"/>
      <c r="F2737" s="8" t="s">
        <v>3667</v>
      </c>
      <c r="G2737" s="4" t="s">
        <v>3668</v>
      </c>
      <c r="H2737" s="10" t="s">
        <v>3669</v>
      </c>
      <c r="I2737" s="10">
        <v>1.0</v>
      </c>
      <c r="J2737" s="11" t="str">
        <f>IF(D2737&lt;&gt;"",VLOOKUP(H2737,TABLEITEM,5,FALSE),"")</f>
        <v>LIT</v>
      </c>
      <c r="K2737" s="12">
        <v>1300.0</v>
      </c>
      <c r="L2737" s="13" t="str">
        <f>IF(D2737&lt;&gt;"",VLOOKUP(H2737,TABLEITEM,2,FALSE),"")</f>
        <v/>
      </c>
      <c r="M2737" s="13" t="str">
        <f>IF(D2737&lt;&gt;"",VLOOKUP(H2737,TABLEITEM,3,FALSE),"")</f>
        <v>สีน้ำมัน เพนการ์ด อีนาเมล STD 136 </v>
      </c>
      <c r="N2737" s="14">
        <f>INSTOCK!$I2737*INSTOCK!$K2737</f>
        <v>1300</v>
      </c>
      <c r="O2737" s="4"/>
      <c r="P2737" s="4"/>
    </row>
    <row r="2738" ht="15.75" hidden="1" customHeight="1">
      <c r="B2738" s="8">
        <v>3057.0</v>
      </c>
      <c r="C2738" s="9">
        <v>43581.0</v>
      </c>
      <c r="D2738" s="6" t="s">
        <v>3666</v>
      </c>
      <c r="E2738" s="4"/>
      <c r="F2738" s="8" t="s">
        <v>3667</v>
      </c>
      <c r="G2738" s="4" t="s">
        <v>3668</v>
      </c>
      <c r="H2738" s="10" t="s">
        <v>3670</v>
      </c>
      <c r="I2738" s="10">
        <v>1.0</v>
      </c>
      <c r="J2738" s="11" t="str">
        <f>IF(D2738&lt;&gt;"",VLOOKUP(H2738,TABLEITEM,5,FALSE),"")</f>
        <v>ปี๊ป</v>
      </c>
      <c r="K2738" s="12">
        <v>460.0</v>
      </c>
      <c r="L2738" s="13" t="str">
        <f>IF(D2738&lt;&gt;"",VLOOKUP(H2738,TABLEITEM,2,FALSE),"")</f>
        <v/>
      </c>
      <c r="M2738" s="13" t="str">
        <f>IF(D2738&lt;&gt;"",VLOOKUP(H2738,TABLEITEM,3,FALSE),"")</f>
        <v>ทินเนอร์ #17 ขนาด 5 ลิตร</v>
      </c>
      <c r="N2738" s="14">
        <f>INSTOCK!$I2738*INSTOCK!$K2738</f>
        <v>460</v>
      </c>
      <c r="O2738" s="4"/>
      <c r="P2738" s="4"/>
    </row>
    <row r="2739" ht="15.75" hidden="1" customHeight="1">
      <c r="B2739" s="8">
        <v>3058.0</v>
      </c>
      <c r="C2739" s="9">
        <v>43581.0</v>
      </c>
      <c r="D2739" s="6" t="s">
        <v>3671</v>
      </c>
      <c r="E2739" s="4"/>
      <c r="F2739" s="8" t="s">
        <v>801</v>
      </c>
      <c r="G2739" s="4" t="s">
        <v>1417</v>
      </c>
      <c r="H2739" s="10" t="s">
        <v>803</v>
      </c>
      <c r="I2739" s="10">
        <v>19.0</v>
      </c>
      <c r="J2739" s="11" t="str">
        <f>IF(D2739&lt;&gt;"",VLOOKUP(H2739,TABLEITEM,5,FALSE),"")</f>
        <v>ถัง</v>
      </c>
      <c r="K2739" s="12">
        <v>981.31</v>
      </c>
      <c r="L2739" s="13" t="str">
        <f>IF(D2739&lt;&gt;"",VLOOKUP(H2739,TABLEITEM,2,FALSE),"")</f>
        <v/>
      </c>
      <c r="M2739" s="13" t="str">
        <f>IF(D2739&lt;&gt;"",VLOOKUP(H2739,TABLEITEM,3,FALSE),"")</f>
        <v>แก๊สหุงต้ม 48กก</v>
      </c>
      <c r="N2739" s="14">
        <f>INSTOCK!$I2739*INSTOCK!$K2739</f>
        <v>18644.89</v>
      </c>
      <c r="O2739" s="4"/>
      <c r="P2739" s="4"/>
    </row>
    <row r="2740" ht="15.75" hidden="1" customHeight="1">
      <c r="B2740" s="8">
        <v>3059.0</v>
      </c>
      <c r="C2740" s="9">
        <v>43581.0</v>
      </c>
      <c r="D2740" s="6">
        <v>38359.0</v>
      </c>
      <c r="E2740" s="4">
        <v>6.204000643E9</v>
      </c>
      <c r="F2740" s="8" t="s">
        <v>604</v>
      </c>
      <c r="G2740" s="4" t="s">
        <v>696</v>
      </c>
      <c r="H2740" s="18" t="s">
        <v>55</v>
      </c>
      <c r="I2740" s="10">
        <v>72.0</v>
      </c>
      <c r="J2740" s="11" t="str">
        <f>IF(D2740&lt;&gt;"",VLOOKUP(H2740,TABLEITEM,5,FALSE),"")</f>
        <v>EA</v>
      </c>
      <c r="K2740" s="12">
        <v>12.0</v>
      </c>
      <c r="L2740" s="13" t="str">
        <f>IF(D2740&lt;&gt;"",VLOOKUP(H2740,TABLEITEM,2,FALSE),"")</f>
        <v/>
      </c>
      <c r="M2740" s="13" t="str">
        <f>IF(D2740&lt;&gt;"",VLOOKUP(H2740,TABLEITEM,3,FALSE),"")</f>
        <v>เทปใส 2''</v>
      </c>
      <c r="N2740" s="14">
        <f>INSTOCK!$I2740*INSTOCK!$K2740</f>
        <v>864</v>
      </c>
      <c r="O2740" s="4"/>
      <c r="P2740" s="4"/>
    </row>
    <row r="2741" ht="15.75" hidden="1" customHeight="1">
      <c r="B2741" s="8">
        <v>3060.0</v>
      </c>
      <c r="C2741" s="9">
        <v>43556.0</v>
      </c>
      <c r="D2741" s="6" t="s">
        <v>3672</v>
      </c>
      <c r="E2741" s="4"/>
      <c r="F2741" s="8" t="s">
        <v>604</v>
      </c>
      <c r="G2741" s="4" t="s">
        <v>2450</v>
      </c>
      <c r="H2741" s="10" t="s">
        <v>2451</v>
      </c>
      <c r="I2741" s="10">
        <v>55.0</v>
      </c>
      <c r="J2741" s="11" t="str">
        <f>IF(D2741&lt;&gt;"",VLOOKUP(H2741,TABLEITEM,5,FALSE),"")</f>
        <v>EA</v>
      </c>
      <c r="K2741" s="12">
        <v>180.0</v>
      </c>
      <c r="L2741" s="13" t="str">
        <f>IF(D2741&lt;&gt;"",VLOOKUP(H2741,TABLEITEM,2,FALSE),"")</f>
        <v/>
      </c>
      <c r="M2741" s="13" t="str">
        <f>IF(D2741&lt;&gt;"",VLOOKUP(H2741,TABLEITEM,3,FALSE),"")</f>
        <v>เสื้อโปโล(เสื้อพนักงาน)</v>
      </c>
      <c r="N2741" s="14">
        <f>INSTOCK!$I2741*INSTOCK!$K2741</f>
        <v>9900</v>
      </c>
      <c r="O2741" s="4"/>
      <c r="P2741" s="4"/>
    </row>
    <row r="2742" ht="15.75" hidden="1" customHeight="1">
      <c r="B2742" s="8">
        <v>3061.0</v>
      </c>
      <c r="C2742" s="9">
        <v>43581.0</v>
      </c>
      <c r="D2742" s="6" t="s">
        <v>3673</v>
      </c>
      <c r="E2742" s="4">
        <v>6.204000652E9</v>
      </c>
      <c r="F2742" s="8" t="s">
        <v>1383</v>
      </c>
      <c r="G2742" s="4" t="s">
        <v>1516</v>
      </c>
      <c r="H2742" s="10" t="s">
        <v>2826</v>
      </c>
      <c r="I2742" s="10">
        <v>2.0</v>
      </c>
      <c r="J2742" s="11" t="str">
        <f>IF(D2742&lt;&gt;"",VLOOKUP(H2742,TABLEITEM,5,FALSE),"")</f>
        <v>EA</v>
      </c>
      <c r="K2742" s="12">
        <v>345.6</v>
      </c>
      <c r="L2742" s="13" t="str">
        <f>IF(D2742&lt;&gt;"",VLOOKUP(H2742,TABLEITEM,2,FALSE),"")</f>
        <v/>
      </c>
      <c r="M2742" s="13" t="str">
        <f>IF(D2742&lt;&gt;"",VLOOKUP(H2742,TABLEITEM,3,FALSE),"")</f>
        <v>MCB IC60N 2P 32A C CURVE 10KA 400VAC</v>
      </c>
      <c r="N2742" s="14">
        <f>INSTOCK!$I2742*INSTOCK!$K2742</f>
        <v>691.2</v>
      </c>
      <c r="O2742" s="4" t="s">
        <v>3674</v>
      </c>
      <c r="P2742" s="4"/>
    </row>
    <row r="2743" ht="15.75" hidden="1" customHeight="1">
      <c r="B2743" s="8">
        <v>3062.0</v>
      </c>
      <c r="C2743" s="9">
        <v>43581.0</v>
      </c>
      <c r="D2743" s="6" t="s">
        <v>3675</v>
      </c>
      <c r="E2743" s="4">
        <v>6.204000651E9</v>
      </c>
      <c r="F2743" s="8" t="s">
        <v>3676</v>
      </c>
      <c r="G2743" s="4" t="s">
        <v>1516</v>
      </c>
      <c r="H2743" s="10" t="s">
        <v>3677</v>
      </c>
      <c r="I2743" s="10">
        <v>1.0</v>
      </c>
      <c r="J2743" s="11" t="str">
        <f>IF(D2743&lt;&gt;"",VLOOKUP(H2743,TABLEITEM,5,FALSE),"")</f>
        <v>EA</v>
      </c>
      <c r="K2743" s="12">
        <v>806.4</v>
      </c>
      <c r="L2743" s="13" t="str">
        <f>IF(D2743&lt;&gt;"",VLOOKUP(H2743,TABLEITEM,2,FALSE),"")</f>
        <v/>
      </c>
      <c r="M2743" s="13" t="str">
        <f>IF(D2743&lt;&gt;"",VLOOKUP(H2743,TABLEITEM,3,FALSE),"")</f>
        <v>MCB IC60N 3P 20A </v>
      </c>
      <c r="N2743" s="14">
        <f>INSTOCK!$I2743*INSTOCK!$K2743</f>
        <v>806.4</v>
      </c>
      <c r="O2743" s="4" t="s">
        <v>3678</v>
      </c>
      <c r="P2743" s="4"/>
    </row>
    <row r="2744" ht="15.75" hidden="1" customHeight="1">
      <c r="B2744" s="8">
        <v>3063.0</v>
      </c>
      <c r="C2744" s="9">
        <v>43581.0</v>
      </c>
      <c r="D2744" s="6" t="s">
        <v>3679</v>
      </c>
      <c r="E2744" s="4">
        <v>6.20400065E9</v>
      </c>
      <c r="F2744" s="8" t="s">
        <v>3680</v>
      </c>
      <c r="G2744" s="4" t="s">
        <v>2138</v>
      </c>
      <c r="H2744" s="10" t="s">
        <v>2369</v>
      </c>
      <c r="I2744" s="10">
        <v>1.0</v>
      </c>
      <c r="J2744" s="11" t="str">
        <f>IF(D2744&lt;&gt;"",VLOOKUP(H2744,TABLEITEM,5,FALSE),"")</f>
        <v>ถัง</v>
      </c>
      <c r="K2744" s="12">
        <v>1730.0</v>
      </c>
      <c r="L2744" s="13" t="str">
        <f>IF(D2744&lt;&gt;"",VLOOKUP(H2744,TABLEITEM,2,FALSE),"")</f>
        <v/>
      </c>
      <c r="M2744" s="13" t="str">
        <f>IF(D2744&lt;&gt;"",VLOOKUP(H2744,TABLEITEM,3,FALSE),"")</f>
        <v>MOBIL NUTO H32-1/20LT</v>
      </c>
      <c r="N2744" s="14">
        <f>INSTOCK!$I2744*INSTOCK!$K2744</f>
        <v>1730</v>
      </c>
      <c r="O2744" s="4"/>
      <c r="P2744" s="4"/>
    </row>
    <row r="2745" ht="15.75" hidden="1" customHeight="1">
      <c r="B2745" s="8">
        <v>3064.0</v>
      </c>
      <c r="C2745" s="9">
        <v>43581.0</v>
      </c>
      <c r="D2745" s="6" t="s">
        <v>3679</v>
      </c>
      <c r="E2745" s="4">
        <v>6.20400065E9</v>
      </c>
      <c r="F2745" s="8" t="s">
        <v>3680</v>
      </c>
      <c r="G2745" s="4" t="s">
        <v>2138</v>
      </c>
      <c r="H2745" s="10" t="s">
        <v>3681</v>
      </c>
      <c r="I2745" s="10">
        <v>1.0</v>
      </c>
      <c r="J2745" s="11" t="str">
        <f>IF(D2745&lt;&gt;"",VLOOKUP(H2745,TABLEITEM,5,FALSE),"")</f>
        <v>ถัง</v>
      </c>
      <c r="K2745" s="12">
        <v>2500.0</v>
      </c>
      <c r="L2745" s="13" t="str">
        <f>IF(D2745&lt;&gt;"",VLOOKUP(H2745,TABLEITEM,2,FALSE),"")</f>
        <v/>
      </c>
      <c r="M2745" s="13" t="str">
        <f>IF(D2745&lt;&gt;"",VLOOKUP(H2745,TABLEITEM,3,FALSE),"")</f>
        <v>MOBILUX EP 0-1/18KG (จาระบี)</v>
      </c>
      <c r="N2745" s="14">
        <f>INSTOCK!$I2745*INSTOCK!$K2745</f>
        <v>2500</v>
      </c>
      <c r="O2745" s="4"/>
      <c r="P2745" s="4"/>
    </row>
    <row r="2746" ht="15.75" hidden="1" customHeight="1">
      <c r="B2746" s="8">
        <v>3065.0</v>
      </c>
      <c r="C2746" s="9">
        <v>43584.0</v>
      </c>
      <c r="D2746" s="6" t="s">
        <v>3682</v>
      </c>
      <c r="E2746" s="4">
        <v>6.204000518E9</v>
      </c>
      <c r="F2746" s="8" t="s">
        <v>604</v>
      </c>
      <c r="G2746" s="4" t="s">
        <v>3099</v>
      </c>
      <c r="H2746" s="10" t="s">
        <v>3683</v>
      </c>
      <c r="I2746" s="10">
        <v>500.0</v>
      </c>
      <c r="J2746" s="11" t="str">
        <f>IF(D2746&lt;&gt;"",VLOOKUP(H2746,TABLEITEM,5,FALSE),"")</f>
        <v>EA</v>
      </c>
      <c r="K2746" s="12">
        <v>7.5</v>
      </c>
      <c r="L2746" s="13" t="str">
        <f>IF(D2746&lt;&gt;"",VLOOKUP(H2746,TABLEITEM,2,FALSE),"")</f>
        <v/>
      </c>
      <c r="M2746" s="13" t="str">
        <f>IF(D2746&lt;&gt;"",VLOOKUP(H2746,TABLEITEM,3,FALSE),"")</f>
        <v>บานพับตู้ พับขอบกันน้ำพิเศษ รุ่นพับงอ</v>
      </c>
      <c r="N2746" s="14">
        <f>INSTOCK!$I2746*INSTOCK!$K2746</f>
        <v>3750</v>
      </c>
      <c r="O2746" s="4"/>
      <c r="P2746" s="4"/>
    </row>
    <row r="2747" ht="15.75" hidden="1" customHeight="1">
      <c r="B2747" s="8">
        <v>3066.0</v>
      </c>
      <c r="C2747" s="9">
        <v>43581.0</v>
      </c>
      <c r="D2747" s="6" t="s">
        <v>3684</v>
      </c>
      <c r="E2747" s="4"/>
      <c r="F2747" s="8" t="s">
        <v>2884</v>
      </c>
      <c r="G2747" s="4" t="s">
        <v>898</v>
      </c>
      <c r="H2747" s="10" t="s">
        <v>2268</v>
      </c>
      <c r="I2747" s="10">
        <v>10.0</v>
      </c>
      <c r="J2747" s="11" t="str">
        <f>IF(D2747&lt;&gt;"",VLOOKUP(H2747,TABLEITEM,5,FALSE),"")</f>
        <v>LIT</v>
      </c>
      <c r="K2747" s="12">
        <v>400.0</v>
      </c>
      <c r="L2747" s="13" t="str">
        <f>IF(D2747&lt;&gt;"",VLOOKUP(H2747,TABLEITEM,2,FALSE),"")</f>
        <v/>
      </c>
      <c r="M2747" s="13" t="str">
        <f>IF(D2747&lt;&gt;"",VLOOKUP(H2747,TABLEITEM,3,FALSE),"")</f>
        <v>สีพ่นแห้งเร็ว(สีผสม)</v>
      </c>
      <c r="N2747" s="14">
        <f>INSTOCK!$I2747*INSTOCK!$K2747</f>
        <v>4000</v>
      </c>
      <c r="O2747" s="4"/>
      <c r="P2747" s="4"/>
    </row>
    <row r="2748" ht="15.75" hidden="1" customHeight="1">
      <c r="B2748" s="8">
        <v>3067.0</v>
      </c>
      <c r="C2748" s="9">
        <v>43581.0</v>
      </c>
      <c r="D2748" s="6" t="s">
        <v>3684</v>
      </c>
      <c r="E2748" s="4"/>
      <c r="F2748" s="8" t="s">
        <v>2884</v>
      </c>
      <c r="G2748" s="4" t="s">
        <v>898</v>
      </c>
      <c r="H2748" s="10" t="s">
        <v>2268</v>
      </c>
      <c r="I2748" s="10">
        <v>10.0</v>
      </c>
      <c r="J2748" s="11" t="str">
        <f>IF(D2748&lt;&gt;"",VLOOKUP(H2748,TABLEITEM,5,FALSE),"")</f>
        <v>LIT</v>
      </c>
      <c r="K2748" s="12">
        <v>380.0</v>
      </c>
      <c r="L2748" s="13" t="str">
        <f>IF(D2748&lt;&gt;"",VLOOKUP(H2748,TABLEITEM,2,FALSE),"")</f>
        <v/>
      </c>
      <c r="M2748" s="13" t="str">
        <f>IF(D2748&lt;&gt;"",VLOOKUP(H2748,TABLEITEM,3,FALSE),"")</f>
        <v>สีพ่นแห้งเร็ว(สีผสม)</v>
      </c>
      <c r="N2748" s="14">
        <f>INSTOCK!$I2748*INSTOCK!$K2748</f>
        <v>3800</v>
      </c>
      <c r="O2748" s="4"/>
      <c r="P2748" s="4"/>
    </row>
    <row r="2749" ht="15.75" hidden="1" customHeight="1">
      <c r="B2749" s="8">
        <v>3068.0</v>
      </c>
      <c r="C2749" s="9">
        <v>43582.0</v>
      </c>
      <c r="D2749" s="6">
        <v>6.20406532E8</v>
      </c>
      <c r="E2749" s="4">
        <v>6.204000657E9</v>
      </c>
      <c r="F2749" s="8" t="s">
        <v>3407</v>
      </c>
      <c r="G2749" s="4" t="s">
        <v>1130</v>
      </c>
      <c r="H2749" s="10" t="s">
        <v>3685</v>
      </c>
      <c r="I2749" s="10">
        <v>1.0</v>
      </c>
      <c r="J2749" s="11" t="str">
        <f>IF(D2749&lt;&gt;"",VLOOKUP(H2749,TABLEITEM,5,FALSE),"")</f>
        <v>EA</v>
      </c>
      <c r="K2749" s="12">
        <v>805.56</v>
      </c>
      <c r="L2749" s="13" t="str">
        <f>IF(D2749&lt;&gt;"",VLOOKUP(H2749,TABLEITEM,2,FALSE),"")</f>
        <v/>
      </c>
      <c r="M2749" s="13" t="str">
        <f>IF(D2749&lt;&gt;"",VLOOKUP(H2749,TABLEITEM,3,FALSE),"")</f>
        <v>TIMER H3Y-2 30S 200-230VAC </v>
      </c>
      <c r="N2749" s="14">
        <f>INSTOCK!$I2749*INSTOCK!$K2749</f>
        <v>805.56</v>
      </c>
      <c r="O2749" s="4" t="s">
        <v>3686</v>
      </c>
      <c r="P2749" s="4"/>
    </row>
    <row r="2750" ht="15.75" hidden="1" customHeight="1">
      <c r="B2750" s="8">
        <v>3069.0</v>
      </c>
      <c r="C2750" s="9">
        <v>43581.0</v>
      </c>
      <c r="D2750" s="6" t="s">
        <v>3687</v>
      </c>
      <c r="E2750" s="4">
        <v>6.204000653E9</v>
      </c>
      <c r="F2750" s="8" t="s">
        <v>1989</v>
      </c>
      <c r="G2750" s="4" t="s">
        <v>2014</v>
      </c>
      <c r="H2750" s="10" t="s">
        <v>3688</v>
      </c>
      <c r="I2750" s="10">
        <v>1.0</v>
      </c>
      <c r="J2750" s="11" t="str">
        <f>IF(D2750&lt;&gt;"",VLOOKUP(H2750,TABLEITEM,5,FALSE),"")</f>
        <v>EA</v>
      </c>
      <c r="K2750" s="12">
        <v>214.95</v>
      </c>
      <c r="L2750" s="13" t="str">
        <f>IF(D2750&lt;&gt;"",VLOOKUP(H2750,TABLEITEM,2,FALSE),"")</f>
        <v/>
      </c>
      <c r="M2750" s="13" t="str">
        <f>IF(D2750&lt;&gt;"",VLOOKUP(H2750,TABLEITEM,3,FALSE),"")</f>
        <v>ตลับผ้าหมึกดอท S015506 ดำ(แพ็คคู่)</v>
      </c>
      <c r="N2750" s="14">
        <f>INSTOCK!$I2750*INSTOCK!$K2750</f>
        <v>214.95</v>
      </c>
      <c r="O2750" s="4"/>
      <c r="P2750" s="4"/>
    </row>
    <row r="2751" ht="15.75" hidden="1" customHeight="1">
      <c r="B2751" s="8">
        <v>3070.0</v>
      </c>
      <c r="C2751" s="9">
        <v>43581.0</v>
      </c>
      <c r="D2751" s="6" t="s">
        <v>3687</v>
      </c>
      <c r="E2751" s="4">
        <v>6.204000653E9</v>
      </c>
      <c r="F2751" s="8" t="s">
        <v>1989</v>
      </c>
      <c r="G2751" s="4" t="s">
        <v>2014</v>
      </c>
      <c r="H2751" s="10" t="s">
        <v>3689</v>
      </c>
      <c r="I2751" s="10">
        <v>3.0</v>
      </c>
      <c r="J2751" s="11" t="str">
        <f>IF(D2751&lt;&gt;"",VLOOKUP(H2751,TABLEITEM,5,FALSE),"")</f>
        <v>EA</v>
      </c>
      <c r="K2751" s="12">
        <v>112.15</v>
      </c>
      <c r="L2751" s="13" t="str">
        <f>IF(D2751&lt;&gt;"",VLOOKUP(H2751,TABLEITEM,2,FALSE),"")</f>
        <v/>
      </c>
      <c r="M2751" s="13" t="str">
        <f>IF(D2751&lt;&gt;"",VLOOKUP(H2751,TABLEITEM,3,FALSE),"")</f>
        <v>ไม้กวาดไนล่อน 35ซม. ด้ามยาว 120 ซม.</v>
      </c>
      <c r="N2751" s="14">
        <f>INSTOCK!$I2751*INSTOCK!$K2751</f>
        <v>336.45</v>
      </c>
      <c r="O2751" s="4"/>
      <c r="P2751" s="4"/>
    </row>
    <row r="2752" ht="15.75" hidden="1" customHeight="1">
      <c r="B2752" s="8">
        <v>3071.0</v>
      </c>
      <c r="C2752" s="9">
        <v>43582.0</v>
      </c>
      <c r="D2752" s="6">
        <v>14639.0</v>
      </c>
      <c r="E2752" s="4"/>
      <c r="F2752" s="8" t="s">
        <v>3690</v>
      </c>
      <c r="G2752" s="4" t="s">
        <v>3638</v>
      </c>
      <c r="H2752" s="10" t="s">
        <v>3691</v>
      </c>
      <c r="I2752" s="10">
        <v>1.0</v>
      </c>
      <c r="J2752" s="11" t="str">
        <f>IF(D2752&lt;&gt;"",VLOOKUP(H2752,TABLEITEM,5,FALSE),"")</f>
        <v>EA</v>
      </c>
      <c r="K2752" s="12">
        <v>2300.0</v>
      </c>
      <c r="L2752" s="13" t="str">
        <f>IF(D2752&lt;&gt;"",VLOOKUP(H2752,TABLEITEM,2,FALSE),"")</f>
        <v/>
      </c>
      <c r="M2752" s="13" t="str">
        <f>IF(D2752&lt;&gt;"",VLOOKUP(H2752,TABLEITEM,3,FALSE),"")</f>
        <v>DEL-PWSPLY-240W SFFHIP PWR SPLY 240W ORDER NO 930699035</v>
      </c>
      <c r="N2752" s="14">
        <f>INSTOCK!$I2752*INSTOCK!$K2752</f>
        <v>2300</v>
      </c>
      <c r="O2752" s="4"/>
      <c r="P2752" s="4"/>
    </row>
    <row r="2753" ht="15.75" hidden="1" customHeight="1">
      <c r="B2753" s="8">
        <v>3072.0</v>
      </c>
      <c r="C2753" s="9">
        <v>43584.0</v>
      </c>
      <c r="D2753" s="6" t="s">
        <v>3692</v>
      </c>
      <c r="E2753" s="4">
        <v>6.204000663E9</v>
      </c>
      <c r="F2753" s="8" t="s">
        <v>3693</v>
      </c>
      <c r="G2753" s="4" t="s">
        <v>1258</v>
      </c>
      <c r="H2753" s="10" t="s">
        <v>3525</v>
      </c>
      <c r="I2753" s="10">
        <v>30.0</v>
      </c>
      <c r="J2753" s="11" t="str">
        <f>IF(D2753&lt;&gt;"",VLOOKUP(H2753,TABLEITEM,5,FALSE),"")</f>
        <v>KG.</v>
      </c>
      <c r="K2753" s="12">
        <v>1165.0</v>
      </c>
      <c r="L2753" s="13" t="str">
        <f>IF(D2753&lt;&gt;"",VLOOKUP(H2753,TABLEITEM,2,FALSE),"")</f>
        <v/>
      </c>
      <c r="M2753" s="13" t="str">
        <f>IF(D2753&lt;&gt;"",VLOOKUP(H2753,TABLEITEM,3,FALSE),"")</f>
        <v>สีฝุ่น HB 40001 METALLIC</v>
      </c>
      <c r="N2753" s="14">
        <f>INSTOCK!$I2753*INSTOCK!$K2753</f>
        <v>34950</v>
      </c>
      <c r="O2753" s="4"/>
      <c r="P2753" s="4"/>
    </row>
    <row r="2754" ht="15.75" hidden="1" customHeight="1">
      <c r="B2754" s="8">
        <v>3073.0</v>
      </c>
      <c r="C2754" s="9">
        <v>43584.0</v>
      </c>
      <c r="D2754" s="6" t="s">
        <v>3694</v>
      </c>
      <c r="E2754" s="4">
        <v>6.204000662E9</v>
      </c>
      <c r="F2754" s="8" t="s">
        <v>3695</v>
      </c>
      <c r="G2754" s="4" t="s">
        <v>702</v>
      </c>
      <c r="H2754" s="10" t="s">
        <v>3696</v>
      </c>
      <c r="I2754" s="10">
        <v>20.0</v>
      </c>
      <c r="J2754" s="11" t="str">
        <f>IF(D2754&lt;&gt;"",VLOOKUP(H2754,TABLEITEM,5,FALSE),"")</f>
        <v>KG.</v>
      </c>
      <c r="K2754" s="12">
        <v>130.0</v>
      </c>
      <c r="L2754" s="13" t="str">
        <f>IF(D2754&lt;&gt;"",VLOOKUP(H2754,TABLEITEM,2,FALSE),"")</f>
        <v/>
      </c>
      <c r="M2754" s="13" t="str">
        <f>IF(D2754&lt;&gt;"",VLOOKUP(H2754,TABLEITEM,3,FALSE),"")</f>
        <v>สีฝุ่น FF110/302/C</v>
      </c>
      <c r="N2754" s="14">
        <f>INSTOCK!$I2754*INSTOCK!$K2754</f>
        <v>2600</v>
      </c>
      <c r="O2754" s="4"/>
      <c r="P2754" s="4"/>
    </row>
    <row r="2755" ht="15.75" hidden="1" customHeight="1">
      <c r="B2755" s="8">
        <v>3074.0</v>
      </c>
      <c r="C2755" s="9">
        <v>43580.0</v>
      </c>
      <c r="D2755" s="6" t="s">
        <v>3697</v>
      </c>
      <c r="E2755" s="4">
        <v>6.204000555E9</v>
      </c>
      <c r="F2755" s="8" t="s">
        <v>604</v>
      </c>
      <c r="G2755" s="4" t="s">
        <v>1777</v>
      </c>
      <c r="H2755" s="10" t="s">
        <v>3698</v>
      </c>
      <c r="I2755" s="10">
        <v>2000.0</v>
      </c>
      <c r="J2755" s="11" t="str">
        <f>IF(D2755&lt;&gt;"",VLOOKUP(H2755,TABLEITEM,5,FALSE),"")</f>
        <v>EA</v>
      </c>
      <c r="K2755" s="12">
        <v>1.105</v>
      </c>
      <c r="L2755" s="13" t="str">
        <f>IF(D2755&lt;&gt;"",VLOOKUP(H2755,TABLEITEM,2,FALSE),"")</f>
        <v/>
      </c>
      <c r="M2755" s="13" t="str">
        <f>IF(D2755&lt;&gt;"",VLOOKUP(H2755,TABLEITEM,3,FALSE),"")</f>
        <v>สกรูหัวเหลี่ยม M8x20  HDG</v>
      </c>
      <c r="N2755" s="14">
        <f>INSTOCK!$I2755*INSTOCK!$K2755</f>
        <v>2210</v>
      </c>
      <c r="O2755" s="4" t="s">
        <v>3699</v>
      </c>
      <c r="P2755" s="4"/>
    </row>
    <row r="2756" ht="15.75" hidden="1" customHeight="1">
      <c r="B2756" s="8">
        <v>3075.0</v>
      </c>
      <c r="C2756" s="9">
        <v>43580.0</v>
      </c>
      <c r="D2756" s="6" t="s">
        <v>3697</v>
      </c>
      <c r="E2756" s="4">
        <v>6.204000555E9</v>
      </c>
      <c r="F2756" s="8" t="s">
        <v>604</v>
      </c>
      <c r="G2756" s="4" t="s">
        <v>1777</v>
      </c>
      <c r="H2756" s="10" t="s">
        <v>3700</v>
      </c>
      <c r="I2756" s="10">
        <v>4000.0</v>
      </c>
      <c r="J2756" s="11" t="str">
        <f>IF(D2756&lt;&gt;"",VLOOKUP(H2756,TABLEITEM,5,FALSE),"")</f>
        <v>EA</v>
      </c>
      <c r="K2756" s="12">
        <v>0.39</v>
      </c>
      <c r="L2756" s="13" t="str">
        <f>IF(D2756&lt;&gt;"",VLOOKUP(H2756,TABLEITEM,2,FALSE),"")</f>
        <v/>
      </c>
      <c r="M2756" s="13" t="str">
        <f>IF(D2756&lt;&gt;"",VLOOKUP(H2756,TABLEITEM,3,FALSE),"")</f>
        <v>แหวนอีแปะ M8   HDG</v>
      </c>
      <c r="N2756" s="14">
        <f>INSTOCK!$I2756*INSTOCK!$K2756</f>
        <v>1560</v>
      </c>
      <c r="O2756" s="4" t="s">
        <v>3701</v>
      </c>
      <c r="P2756" s="4"/>
    </row>
    <row r="2757" ht="15.75" hidden="1" customHeight="1">
      <c r="B2757" s="8">
        <v>3076.0</v>
      </c>
      <c r="C2757" s="9">
        <v>43580.0</v>
      </c>
      <c r="D2757" s="6" t="s">
        <v>3697</v>
      </c>
      <c r="E2757" s="4">
        <v>6.204000555E9</v>
      </c>
      <c r="F2757" s="8" t="s">
        <v>604</v>
      </c>
      <c r="G2757" s="4" t="s">
        <v>1777</v>
      </c>
      <c r="H2757" s="10" t="s">
        <v>3702</v>
      </c>
      <c r="I2757" s="10">
        <v>2000.0</v>
      </c>
      <c r="J2757" s="11" t="str">
        <f>IF(D2757&lt;&gt;"",VLOOKUP(H2757,TABLEITEM,5,FALSE),"")</f>
        <v>EA</v>
      </c>
      <c r="K2757" s="12">
        <v>0.234</v>
      </c>
      <c r="L2757" s="13" t="str">
        <f>IF(D2757&lt;&gt;"",VLOOKUP(H2757,TABLEITEM,2,FALSE),"")</f>
        <v/>
      </c>
      <c r="M2757" s="13" t="str">
        <f>IF(D2757&lt;&gt;"",VLOOKUP(H2757,TABLEITEM,3,FALSE),"")</f>
        <v>แหวนสปริง M8   HDG</v>
      </c>
      <c r="N2757" s="14">
        <f>INSTOCK!$I2757*INSTOCK!$K2757</f>
        <v>468</v>
      </c>
      <c r="O2757" s="4" t="s">
        <v>3703</v>
      </c>
      <c r="P2757" s="4"/>
    </row>
    <row r="2758" ht="15.75" hidden="1" customHeight="1">
      <c r="B2758" s="8">
        <v>3077.0</v>
      </c>
      <c r="C2758" s="9">
        <v>43580.0</v>
      </c>
      <c r="D2758" s="6" t="s">
        <v>3697</v>
      </c>
      <c r="E2758" s="4">
        <v>6.204000555E9</v>
      </c>
      <c r="F2758" s="8" t="s">
        <v>604</v>
      </c>
      <c r="G2758" s="4" t="s">
        <v>1777</v>
      </c>
      <c r="H2758" s="10" t="s">
        <v>3704</v>
      </c>
      <c r="I2758" s="10">
        <v>2000.0</v>
      </c>
      <c r="J2758" s="11" t="str">
        <f>IF(D2758&lt;&gt;"",VLOOKUP(H2758,TABLEITEM,5,FALSE),"")</f>
        <v>EA</v>
      </c>
      <c r="K2758" s="12">
        <v>1.3</v>
      </c>
      <c r="L2758" s="13" t="str">
        <f>IF(D2758&lt;&gt;"",VLOOKUP(H2758,TABLEITEM,2,FALSE),"")</f>
        <v/>
      </c>
      <c r="M2758" s="13" t="str">
        <f>IF(D2758&lt;&gt;"",VLOOKUP(H2758,TABLEITEM,3,FALSE),"")</f>
        <v>หัวน้อต M8  HDG</v>
      </c>
      <c r="N2758" s="14">
        <f>INSTOCK!$I2758*INSTOCK!$K2758</f>
        <v>2600</v>
      </c>
      <c r="O2758" s="4" t="s">
        <v>3705</v>
      </c>
      <c r="P2758" s="4"/>
    </row>
    <row r="2759" ht="15.75" hidden="1" customHeight="1">
      <c r="B2759" s="8">
        <v>3078.0</v>
      </c>
      <c r="C2759" s="9">
        <v>43580.0</v>
      </c>
      <c r="D2759" s="6" t="s">
        <v>3697</v>
      </c>
      <c r="E2759" s="4">
        <v>6.204000555E9</v>
      </c>
      <c r="F2759" s="8" t="s">
        <v>604</v>
      </c>
      <c r="G2759" s="4" t="s">
        <v>1777</v>
      </c>
      <c r="H2759" s="10" t="s">
        <v>3706</v>
      </c>
      <c r="I2759" s="10">
        <v>2000.0</v>
      </c>
      <c r="J2759" s="11" t="str">
        <f>IF(D2759&lt;&gt;"",VLOOKUP(H2759,TABLEITEM,5,FALSE),"")</f>
        <v>EA</v>
      </c>
      <c r="K2759" s="12">
        <v>2.21</v>
      </c>
      <c r="L2759" s="13" t="str">
        <f>IF(D2759&lt;&gt;"",VLOOKUP(H2759,TABLEITEM,2,FALSE),"")</f>
        <v/>
      </c>
      <c r="M2759" s="13" t="str">
        <f>IF(D2759&lt;&gt;"",VLOOKUP(H2759,TABLEITEM,3,FALSE),"")</f>
        <v>สกรูหัวเหลี่ยม M10x25  HDG</v>
      </c>
      <c r="N2759" s="14">
        <f>INSTOCK!$I2759*INSTOCK!$K2759</f>
        <v>4420</v>
      </c>
      <c r="O2759" s="4" t="s">
        <v>3707</v>
      </c>
      <c r="P2759" s="4"/>
    </row>
    <row r="2760" ht="15.75" hidden="1" customHeight="1">
      <c r="B2760" s="8">
        <v>3079.0</v>
      </c>
      <c r="C2760" s="9">
        <v>43580.0</v>
      </c>
      <c r="D2760" s="6" t="s">
        <v>3697</v>
      </c>
      <c r="E2760" s="4">
        <v>6.204000555E9</v>
      </c>
      <c r="F2760" s="8" t="s">
        <v>604</v>
      </c>
      <c r="G2760" s="4" t="s">
        <v>1777</v>
      </c>
      <c r="H2760" s="10" t="s">
        <v>1998</v>
      </c>
      <c r="I2760" s="10">
        <v>4000.0</v>
      </c>
      <c r="J2760" s="11" t="str">
        <f>IF(D2760&lt;&gt;"",VLOOKUP(H2760,TABLEITEM,5,FALSE),"")</f>
        <v>EA</v>
      </c>
      <c r="K2760" s="12">
        <v>0.585</v>
      </c>
      <c r="L2760" s="13" t="str">
        <f>IF(D2760&lt;&gt;"",VLOOKUP(H2760,TABLEITEM,2,FALSE),"")</f>
        <v/>
      </c>
      <c r="M2760" s="13" t="str">
        <f>IF(D2760&lt;&gt;"",VLOOKUP(H2760,TABLEITEM,3,FALSE),"")</f>
        <v>แหวนอีแปะ M10   HDG</v>
      </c>
      <c r="N2760" s="14">
        <f>INSTOCK!$I2760*INSTOCK!$K2760</f>
        <v>2340</v>
      </c>
      <c r="O2760" s="4" t="s">
        <v>3708</v>
      </c>
      <c r="P2760" s="4"/>
    </row>
    <row r="2761" ht="15.75" hidden="1" customHeight="1">
      <c r="B2761" s="8">
        <v>3080.0</v>
      </c>
      <c r="C2761" s="9">
        <v>43580.0</v>
      </c>
      <c r="D2761" s="6" t="s">
        <v>3697</v>
      </c>
      <c r="E2761" s="4">
        <v>6.204000555E9</v>
      </c>
      <c r="F2761" s="8" t="s">
        <v>604</v>
      </c>
      <c r="G2761" s="4" t="s">
        <v>1777</v>
      </c>
      <c r="H2761" s="10" t="s">
        <v>3709</v>
      </c>
      <c r="I2761" s="10">
        <v>2000.0</v>
      </c>
      <c r="J2761" s="11" t="str">
        <f>IF(D2761&lt;&gt;"",VLOOKUP(H2761,TABLEITEM,5,FALSE),"")</f>
        <v>EA</v>
      </c>
      <c r="K2761" s="12">
        <v>0.39</v>
      </c>
      <c r="L2761" s="13" t="str">
        <f>IF(D2761&lt;&gt;"",VLOOKUP(H2761,TABLEITEM,2,FALSE),"")</f>
        <v/>
      </c>
      <c r="M2761" s="13" t="str">
        <f>IF(D2761&lt;&gt;"",VLOOKUP(H2761,TABLEITEM,3,FALSE),"")</f>
        <v>แหวนสปริง M10   HDG</v>
      </c>
      <c r="N2761" s="14">
        <f>INSTOCK!$I2761*INSTOCK!$K2761</f>
        <v>780</v>
      </c>
      <c r="O2761" s="4" t="s">
        <v>3710</v>
      </c>
      <c r="P2761" s="4"/>
    </row>
    <row r="2762" ht="15.75" hidden="1" customHeight="1">
      <c r="B2762" s="8">
        <v>3081.0</v>
      </c>
      <c r="C2762" s="9">
        <v>43580.0</v>
      </c>
      <c r="D2762" s="6" t="s">
        <v>3697</v>
      </c>
      <c r="E2762" s="4">
        <v>6.204000555E9</v>
      </c>
      <c r="F2762" s="8" t="s">
        <v>604</v>
      </c>
      <c r="G2762" s="4" t="s">
        <v>1777</v>
      </c>
      <c r="H2762" s="10" t="s">
        <v>2512</v>
      </c>
      <c r="I2762" s="10">
        <v>2000.0</v>
      </c>
      <c r="J2762" s="11" t="str">
        <f>IF(D2762&lt;&gt;"",VLOOKUP(H2762,TABLEITEM,5,FALSE),"")</f>
        <v>EA</v>
      </c>
      <c r="K2762" s="12">
        <v>1.495</v>
      </c>
      <c r="L2762" s="13" t="str">
        <f>IF(D2762&lt;&gt;"",VLOOKUP(H2762,TABLEITEM,2,FALSE),"")</f>
        <v/>
      </c>
      <c r="M2762" s="13" t="str">
        <f>IF(D2762&lt;&gt;"",VLOOKUP(H2762,TABLEITEM,3,FALSE),"")</f>
        <v>หัวน้อต M10  HDG</v>
      </c>
      <c r="N2762" s="14">
        <f>INSTOCK!$I2762*INSTOCK!$K2762</f>
        <v>2990</v>
      </c>
      <c r="O2762" s="4" t="s">
        <v>3711</v>
      </c>
      <c r="P2762" s="4"/>
    </row>
    <row r="2763" ht="15.75" hidden="1" customHeight="1">
      <c r="B2763" s="8">
        <v>3082.0</v>
      </c>
      <c r="C2763" s="9">
        <v>43584.0</v>
      </c>
      <c r="D2763" s="6" t="s">
        <v>3712</v>
      </c>
      <c r="E2763" s="4">
        <v>6.204000656E9</v>
      </c>
      <c r="F2763" s="8" t="s">
        <v>3713</v>
      </c>
      <c r="G2763" s="4" t="s">
        <v>1516</v>
      </c>
      <c r="H2763" s="10" t="s">
        <v>1653</v>
      </c>
      <c r="I2763" s="10">
        <v>2.0</v>
      </c>
      <c r="J2763" s="11" t="str">
        <f>IF(D2763&lt;&gt;"",VLOOKUP(H2763,TABLEITEM,5,FALSE),"")</f>
        <v>EA</v>
      </c>
      <c r="K2763" s="12">
        <v>482.8</v>
      </c>
      <c r="L2763" s="13" t="str">
        <f>IF(D2763&lt;&gt;"",VLOOKUP(H2763,TABLEITEM,2,FALSE),"")</f>
        <v/>
      </c>
      <c r="M2763" s="13" t="str">
        <f>IF(D2763&lt;&gt;"",VLOOKUP(H2763,TABLEITEM,3,FALSE),"")</f>
        <v>CONTACTOR 3P AC3 12A 220VAC</v>
      </c>
      <c r="N2763" s="14">
        <f>INSTOCK!$I2763*INSTOCK!$K2763</f>
        <v>965.6</v>
      </c>
      <c r="O2763" s="4" t="s">
        <v>3714</v>
      </c>
      <c r="P2763" s="4"/>
    </row>
    <row r="2764" ht="15.75" hidden="1" customHeight="1">
      <c r="B2764" s="8">
        <v>3083.0</v>
      </c>
      <c r="C2764" s="9">
        <v>43584.0</v>
      </c>
      <c r="D2764" s="6" t="s">
        <v>3712</v>
      </c>
      <c r="E2764" s="4">
        <v>6.204000656E9</v>
      </c>
      <c r="F2764" s="8" t="s">
        <v>3713</v>
      </c>
      <c r="G2764" s="4" t="s">
        <v>1516</v>
      </c>
      <c r="H2764" s="10" t="s">
        <v>3715</v>
      </c>
      <c r="I2764" s="10">
        <v>2.0</v>
      </c>
      <c r="J2764" s="11" t="str">
        <f>IF(D2764&lt;&gt;"",VLOOKUP(H2764,TABLEITEM,5,FALSE),"")</f>
        <v>EA</v>
      </c>
      <c r="K2764" s="12">
        <v>516.6</v>
      </c>
      <c r="L2764" s="13" t="str">
        <f>IF(D2764&lt;&gt;"",VLOOKUP(H2764,TABLEITEM,2,FALSE),"")</f>
        <v/>
      </c>
      <c r="M2764" s="13" t="str">
        <f>IF(D2764&lt;&gt;"",VLOOKUP(H2764,TABLEITEM,3,FALSE),"")</f>
        <v>OVERLOAD REL 7A 10KA</v>
      </c>
      <c r="N2764" s="14">
        <f>INSTOCK!$I2764*INSTOCK!$K2764</f>
        <v>1033.2</v>
      </c>
      <c r="O2764" s="4" t="s">
        <v>3716</v>
      </c>
      <c r="P2764" s="4"/>
    </row>
    <row r="2765" ht="15.75" hidden="1" customHeight="1">
      <c r="B2765" s="8">
        <v>3084.0</v>
      </c>
      <c r="C2765" s="9">
        <v>43584.0</v>
      </c>
      <c r="D2765" s="6" t="s">
        <v>3712</v>
      </c>
      <c r="E2765" s="4">
        <v>6.204000656E9</v>
      </c>
      <c r="F2765" s="8" t="s">
        <v>3713</v>
      </c>
      <c r="G2765" s="4" t="s">
        <v>1516</v>
      </c>
      <c r="H2765" s="10" t="s">
        <v>1652</v>
      </c>
      <c r="I2765" s="10">
        <v>2.0</v>
      </c>
      <c r="J2765" s="11" t="str">
        <f>IF(D2765&lt;&gt;"",VLOOKUP(H2765,TABLEITEM,5,FALSE),"")</f>
        <v>EA</v>
      </c>
      <c r="K2765" s="12">
        <v>345.6</v>
      </c>
      <c r="L2765" s="13" t="str">
        <f>IF(D2765&lt;&gt;"",VLOOKUP(H2765,TABLEITEM,2,FALSE),"")</f>
        <v/>
      </c>
      <c r="M2765" s="13" t="str">
        <f>IF(D2765&lt;&gt;"",VLOOKUP(H2765,TABLEITEM,3,FALSE),"")</f>
        <v>IC60N 2P 6A 10KA 400VAC</v>
      </c>
      <c r="N2765" s="14">
        <f>INSTOCK!$I2765*INSTOCK!$K2765</f>
        <v>691.2</v>
      </c>
      <c r="O2765" s="4" t="s">
        <v>3674</v>
      </c>
      <c r="P2765" s="4"/>
    </row>
    <row r="2766" ht="15.75" hidden="1" customHeight="1">
      <c r="B2766" s="8">
        <v>3085.0</v>
      </c>
      <c r="C2766" s="9">
        <v>43584.0</v>
      </c>
      <c r="D2766" s="6" t="s">
        <v>3712</v>
      </c>
      <c r="E2766" s="4">
        <v>6.204000656E9</v>
      </c>
      <c r="F2766" s="8" t="s">
        <v>3713</v>
      </c>
      <c r="G2766" s="4" t="s">
        <v>1516</v>
      </c>
      <c r="H2766" s="10" t="s">
        <v>1753</v>
      </c>
      <c r="I2766" s="10">
        <v>2.0</v>
      </c>
      <c r="J2766" s="11" t="str">
        <f>IF(D2766&lt;&gt;"",VLOOKUP(H2766,TABLEITEM,5,FALSE),"")</f>
        <v>EA</v>
      </c>
      <c r="K2766" s="12">
        <v>252.15</v>
      </c>
      <c r="L2766" s="13" t="str">
        <f>IF(D2766&lt;&gt;"",VLOOKUP(H2766,TABLEITEM,2,FALSE),"")</f>
        <v/>
      </c>
      <c r="M2766" s="13" t="str">
        <f>IF(D2766&lt;&gt;"",VLOOKUP(H2766,TABLEITEM,3,FALSE),"")</f>
        <v>AUXILIARY CONTACT BLOCK 2N/O LADN20</v>
      </c>
      <c r="N2766" s="14">
        <f>INSTOCK!$I2766*INSTOCK!$K2766</f>
        <v>504.3</v>
      </c>
      <c r="O2766" s="4" t="s">
        <v>3717</v>
      </c>
      <c r="P2766" s="4"/>
    </row>
    <row r="2767" ht="15.75" hidden="1" customHeight="1">
      <c r="B2767" s="8">
        <v>3086.0</v>
      </c>
      <c r="C2767" s="9">
        <v>43584.0</v>
      </c>
      <c r="D2767" s="6" t="s">
        <v>3712</v>
      </c>
      <c r="E2767" s="4">
        <v>6.204000656E9</v>
      </c>
      <c r="F2767" s="8" t="s">
        <v>3713</v>
      </c>
      <c r="G2767" s="4" t="s">
        <v>1516</v>
      </c>
      <c r="H2767" s="10" t="s">
        <v>3718</v>
      </c>
      <c r="I2767" s="10">
        <v>1.0</v>
      </c>
      <c r="J2767" s="11" t="str">
        <f>IF(D2767&lt;&gt;"",VLOOKUP(H2767,TABLEITEM,5,FALSE),"")</f>
        <v>EA</v>
      </c>
      <c r="K2767" s="12">
        <v>147.6</v>
      </c>
      <c r="L2767" s="13" t="str">
        <f>IF(D2767&lt;&gt;"",VLOOKUP(H2767,TABLEITEM,2,FALSE),"")</f>
        <v/>
      </c>
      <c r="M2767" s="13" t="str">
        <f>IF(D2767&lt;&gt;"",VLOOKUP(H2767,TABLEITEM,3,FALSE),"")</f>
        <v>SELECTOR SWITCH HEAD 3 POSITIONS </v>
      </c>
      <c r="N2767" s="14">
        <f>INSTOCK!$I2767*INSTOCK!$K2767</f>
        <v>147.6</v>
      </c>
      <c r="O2767" s="4" t="s">
        <v>3719</v>
      </c>
      <c r="P2767" s="4"/>
    </row>
    <row r="2768" ht="15.75" hidden="1" customHeight="1">
      <c r="B2768" s="8">
        <v>3087.0</v>
      </c>
      <c r="C2768" s="9">
        <v>43584.0</v>
      </c>
      <c r="D2768" s="6" t="s">
        <v>3712</v>
      </c>
      <c r="E2768" s="4">
        <v>6.204000656E9</v>
      </c>
      <c r="F2768" s="8" t="s">
        <v>3713</v>
      </c>
      <c r="G2768" s="4" t="s">
        <v>1516</v>
      </c>
      <c r="H2768" s="10" t="s">
        <v>1584</v>
      </c>
      <c r="I2768" s="10">
        <v>4.0</v>
      </c>
      <c r="J2768" s="11" t="str">
        <f>IF(D2768&lt;&gt;"",VLOOKUP(H2768,TABLEITEM,5,FALSE),"")</f>
        <v>EA</v>
      </c>
      <c r="K2768" s="12">
        <v>127.1</v>
      </c>
      <c r="L2768" s="13" t="str">
        <f>IF(D2768&lt;&gt;"",VLOOKUP(H2768,TABLEITEM,2,FALSE),"")</f>
        <v/>
      </c>
      <c r="M2768" s="13" t="str">
        <f>IF(D2768&lt;&gt;"",VLOOKUP(H2768,TABLEITEM,3,FALSE),"")</f>
        <v>HARMONY XB4 SINGLE CONTACT ZB4BZ101</v>
      </c>
      <c r="N2768" s="14">
        <f>INSTOCK!$I2768*INSTOCK!$K2768</f>
        <v>508.4</v>
      </c>
      <c r="O2768" s="4" t="s">
        <v>3720</v>
      </c>
      <c r="P2768" s="4"/>
    </row>
    <row r="2769" ht="15.75" hidden="1" customHeight="1">
      <c r="B2769" s="8">
        <v>3088.0</v>
      </c>
      <c r="C2769" s="9">
        <v>43584.0</v>
      </c>
      <c r="D2769" s="6" t="s">
        <v>3712</v>
      </c>
      <c r="E2769" s="4">
        <v>6.204000656E9</v>
      </c>
      <c r="F2769" s="8" t="s">
        <v>3713</v>
      </c>
      <c r="G2769" s="4" t="s">
        <v>1516</v>
      </c>
      <c r="H2769" s="10" t="s">
        <v>3721</v>
      </c>
      <c r="I2769" s="10">
        <v>2.0</v>
      </c>
      <c r="J2769" s="11" t="str">
        <f>IF(D2769&lt;&gt;"",VLOOKUP(H2769,TABLEITEM,5,FALSE),"")</f>
        <v>EA</v>
      </c>
      <c r="K2769" s="12">
        <v>69.7</v>
      </c>
      <c r="L2769" s="13" t="str">
        <f>IF(D2769&lt;&gt;"",VLOOKUP(H2769,TABLEITEM,2,FALSE),"")</f>
        <v/>
      </c>
      <c r="M2769" s="13" t="str">
        <f>IF(D2769&lt;&gt;"",VLOOKUP(H2769,TABLEITEM,3,FALSE),"")</f>
        <v>NC SCREW TERMINAL CONTACT</v>
      </c>
      <c r="N2769" s="14">
        <f>INSTOCK!$I2769*INSTOCK!$K2769</f>
        <v>139.4</v>
      </c>
      <c r="O2769" s="4" t="s">
        <v>3722</v>
      </c>
      <c r="P2769" s="4"/>
    </row>
    <row r="2770" ht="15.75" hidden="1" customHeight="1">
      <c r="B2770" s="8">
        <v>3089.0</v>
      </c>
      <c r="C2770" s="9">
        <v>43563.0</v>
      </c>
      <c r="D2770" s="6">
        <v>27209.0</v>
      </c>
      <c r="E2770" s="4"/>
      <c r="F2770" s="8" t="s">
        <v>3723</v>
      </c>
      <c r="G2770" s="4" t="s">
        <v>2528</v>
      </c>
      <c r="H2770" s="10" t="s">
        <v>2529</v>
      </c>
      <c r="I2770" s="10">
        <v>60.0</v>
      </c>
      <c r="J2770" s="11" t="str">
        <f>IF(D2770&lt;&gt;"",VLOOKUP(H2770,TABLEITEM,5,FALSE),"")</f>
        <v>KG.</v>
      </c>
      <c r="K2770" s="12">
        <v>17.0</v>
      </c>
      <c r="L2770" s="13" t="str">
        <f>IF(D2770&lt;&gt;"",VLOOKUP(H2770,TABLEITEM,2,FALSE),"")</f>
        <v/>
      </c>
      <c r="M2770" s="13" t="str">
        <f>IF(D2770&lt;&gt;"",VLOOKUP(H2770,TABLEITEM,3,FALSE),"")</f>
        <v>งานชุบ HOT DIP</v>
      </c>
      <c r="N2770" s="14">
        <f>INSTOCK!$I2770*INSTOCK!$K2770</f>
        <v>1020</v>
      </c>
      <c r="O2770" s="4"/>
      <c r="P2770" s="4"/>
    </row>
    <row r="2771" ht="15.75" hidden="1" customHeight="1">
      <c r="B2771" s="8">
        <v>3090.0</v>
      </c>
      <c r="C2771" s="9">
        <v>43584.0</v>
      </c>
      <c r="D2771" s="6">
        <v>547101.0</v>
      </c>
      <c r="E2771" s="4"/>
      <c r="F2771" s="8" t="s">
        <v>604</v>
      </c>
      <c r="G2771" s="4" t="s">
        <v>3724</v>
      </c>
      <c r="H2771" s="10" t="s">
        <v>3725</v>
      </c>
      <c r="I2771" s="10">
        <v>10.0</v>
      </c>
      <c r="J2771" s="11" t="str">
        <f>IF(D2771&lt;&gt;"",VLOOKUP(H2771,TABLEITEM,5,FALSE),"")</f>
        <v>กล.</v>
      </c>
      <c r="K2771" s="12">
        <v>179.0</v>
      </c>
      <c r="L2771" s="13" t="str">
        <f>IF(D2771&lt;&gt;"",VLOOKUP(H2771,TABLEITEM,2,FALSE),"")</f>
        <v/>
      </c>
      <c r="M2771" s="13" t="str">
        <f>IF(D2771&lt;&gt;"",VLOOKUP(H2771,TABLEITEM,3,FALSE),"")</f>
        <v>โพลิเมอร์อุดรอย SISTA 380ML  WH</v>
      </c>
      <c r="N2771" s="14">
        <f>INSTOCK!$I2771*INSTOCK!$K2771</f>
        <v>1790</v>
      </c>
      <c r="O2771" s="4"/>
      <c r="P2771" s="4"/>
    </row>
    <row r="2772" ht="15.75" hidden="1" customHeight="1">
      <c r="B2772" s="8">
        <v>3091.0</v>
      </c>
      <c r="C2772" s="9">
        <v>43582.0</v>
      </c>
      <c r="D2772" s="6" t="s">
        <v>3726</v>
      </c>
      <c r="E2772" s="4">
        <v>6.204000654E9</v>
      </c>
      <c r="F2772" s="8" t="s">
        <v>3727</v>
      </c>
      <c r="G2772" s="4" t="s">
        <v>965</v>
      </c>
      <c r="H2772" s="10" t="s">
        <v>3728</v>
      </c>
      <c r="I2772" s="10">
        <v>1.0</v>
      </c>
      <c r="J2772" s="11" t="str">
        <f>IF(D2772&lt;&gt;"",VLOOKUP(H2772,TABLEITEM,5,FALSE),"")</f>
        <v>EA</v>
      </c>
      <c r="K2772" s="12">
        <v>6.0</v>
      </c>
      <c r="L2772" s="13" t="str">
        <f>IF(D2772&lt;&gt;"",VLOOKUP(H2773,TABLEITEM,2,FALSE),"")</f>
        <v/>
      </c>
      <c r="M2772" s="13" t="str">
        <f>IF(D2772&lt;&gt;"",VLOOKUP(H2773,TABLEITEM,3,FALSE),"")</f>
        <v>ข้องอ 90 1"</v>
      </c>
      <c r="N2772" s="14">
        <f>INSTOCK!$I2772*INSTOCK!$K2772</f>
        <v>6</v>
      </c>
      <c r="O2772" s="4"/>
      <c r="P2772" s="4"/>
    </row>
    <row r="2773" ht="15.75" hidden="1" customHeight="1">
      <c r="B2773" s="8">
        <v>3092.0</v>
      </c>
      <c r="C2773" s="9">
        <v>43582.0</v>
      </c>
      <c r="D2773" s="6" t="s">
        <v>3726</v>
      </c>
      <c r="E2773" s="4">
        <v>6.204000654E9</v>
      </c>
      <c r="F2773" s="8" t="s">
        <v>3727</v>
      </c>
      <c r="G2773" s="4" t="s">
        <v>965</v>
      </c>
      <c r="H2773" s="10" t="s">
        <v>3729</v>
      </c>
      <c r="I2773" s="10">
        <v>10.0</v>
      </c>
      <c r="J2773" s="11" t="str">
        <f>IF(D2773&lt;&gt;"",VLOOKUP(H2773,TABLEITEM,5,FALSE),"")</f>
        <v>EA</v>
      </c>
      <c r="K2773" s="12">
        <v>12.0</v>
      </c>
      <c r="L2773" s="13" t="str">
        <f>IF(D2773&lt;&gt;"",VLOOKUP(H2774,TABLEITEM,2,FALSE),"")</f>
        <v/>
      </c>
      <c r="M2773" s="13" t="str">
        <f>IF(D2773&lt;&gt;"",VLOOKUP(H2774,TABLEITEM,3,FALSE),"")</f>
        <v>ข้องอ 45 1"</v>
      </c>
      <c r="N2773" s="14">
        <f>INSTOCK!$I2773*INSTOCK!$K2773</f>
        <v>120</v>
      </c>
      <c r="O2773" s="4"/>
      <c r="P2773" s="4"/>
    </row>
    <row r="2774" ht="15.75" hidden="1" customHeight="1">
      <c r="B2774" s="8">
        <v>3093.0</v>
      </c>
      <c r="C2774" s="9">
        <v>43582.0</v>
      </c>
      <c r="D2774" s="6" t="s">
        <v>3726</v>
      </c>
      <c r="E2774" s="4">
        <v>6.204000654E9</v>
      </c>
      <c r="F2774" s="8" t="s">
        <v>3727</v>
      </c>
      <c r="G2774" s="4" t="s">
        <v>965</v>
      </c>
      <c r="H2774" s="10" t="s">
        <v>3730</v>
      </c>
      <c r="I2774" s="10">
        <v>2.0</v>
      </c>
      <c r="J2774" s="11" t="str">
        <f>IF(D2774&lt;&gt;"",VLOOKUP(H2774,TABLEITEM,5,FALSE),"")</f>
        <v>EA</v>
      </c>
      <c r="K2774" s="12">
        <v>9.0</v>
      </c>
      <c r="L2774" s="13" t="str">
        <f>IF(D2774&lt;&gt;"",VLOOKUP(H2774,TABLEITEM,2,FALSE),"")</f>
        <v/>
      </c>
      <c r="M2774" s="13" t="str">
        <f>IF(D2774&lt;&gt;"",VLOOKUP(H2774,TABLEITEM,3,FALSE),"")</f>
        <v>ข้องอ 45 1"</v>
      </c>
      <c r="N2774" s="14">
        <f>INSTOCK!$I2774*INSTOCK!$K2774</f>
        <v>18</v>
      </c>
      <c r="O2774" s="4"/>
      <c r="P2774" s="4"/>
    </row>
    <row r="2775" ht="15.75" hidden="1" customHeight="1">
      <c r="B2775" s="8">
        <v>3094.0</v>
      </c>
      <c r="C2775" s="9">
        <v>43582.0</v>
      </c>
      <c r="D2775" s="6" t="s">
        <v>3726</v>
      </c>
      <c r="E2775" s="4">
        <v>6.204000654E9</v>
      </c>
      <c r="F2775" s="8" t="s">
        <v>3727</v>
      </c>
      <c r="G2775" s="4" t="s">
        <v>965</v>
      </c>
      <c r="H2775" s="10" t="s">
        <v>3731</v>
      </c>
      <c r="I2775" s="10">
        <v>3.0</v>
      </c>
      <c r="J2775" s="11" t="str">
        <f>IF(D2775&lt;&gt;"",VLOOKUP(H2775,TABLEITEM,5,FALSE),"")</f>
        <v>เส้น</v>
      </c>
      <c r="K2775" s="12">
        <v>95.0</v>
      </c>
      <c r="L2775" s="13" t="str">
        <f>IF(D2775&lt;&gt;"",VLOOKUP(H2775,TABLEITEM,2,FALSE),"")</f>
        <v/>
      </c>
      <c r="M2775" s="13" t="str">
        <f>IF(D2775&lt;&gt;"",VLOOKUP(H2775,TABLEITEM,3,FALSE),"")</f>
        <v>ท่อPVC 1"</v>
      </c>
      <c r="N2775" s="14">
        <f>INSTOCK!$I2775*INSTOCK!$K2775</f>
        <v>285</v>
      </c>
      <c r="O2775" s="4"/>
      <c r="P2775" s="4"/>
    </row>
    <row r="2776" ht="15.75" hidden="1" customHeight="1">
      <c r="B2776" s="8">
        <v>3095.0</v>
      </c>
      <c r="C2776" s="9">
        <v>43582.0</v>
      </c>
      <c r="D2776" s="6" t="s">
        <v>3726</v>
      </c>
      <c r="E2776" s="4">
        <v>6.204000654E9</v>
      </c>
      <c r="F2776" s="8" t="s">
        <v>3727</v>
      </c>
      <c r="G2776" s="4" t="s">
        <v>965</v>
      </c>
      <c r="H2776" s="10" t="s">
        <v>3732</v>
      </c>
      <c r="I2776" s="10">
        <v>2.0</v>
      </c>
      <c r="J2776" s="11" t="str">
        <f>IF(D2776&lt;&gt;"",VLOOKUP(H2776,TABLEITEM,5,FALSE),"")</f>
        <v>EA</v>
      </c>
      <c r="K2776" s="12">
        <v>6.0</v>
      </c>
      <c r="L2776" s="13" t="str">
        <f>IF(D2776&lt;&gt;"",VLOOKUP(H2776,TABLEITEM,2,FALSE),"")</f>
        <v/>
      </c>
      <c r="M2776" s="13" t="str">
        <f>IF(D2776&lt;&gt;"",VLOOKUP(H2776,TABLEITEM,3,FALSE),"")</f>
        <v>ต่อตรง 1"</v>
      </c>
      <c r="N2776" s="14">
        <f>INSTOCK!$I2776*INSTOCK!$K2776</f>
        <v>12</v>
      </c>
      <c r="O2776" s="4"/>
      <c r="P2776" s="4"/>
    </row>
    <row r="2777" ht="15.75" hidden="1" customHeight="1">
      <c r="B2777" s="8">
        <v>3096.0</v>
      </c>
      <c r="C2777" s="9">
        <v>43582.0</v>
      </c>
      <c r="D2777" s="6" t="s">
        <v>3726</v>
      </c>
      <c r="E2777" s="4">
        <v>6.204000654E9</v>
      </c>
      <c r="F2777" s="8" t="s">
        <v>3727</v>
      </c>
      <c r="G2777" s="4" t="s">
        <v>965</v>
      </c>
      <c r="H2777" s="10" t="s">
        <v>3733</v>
      </c>
      <c r="I2777" s="10">
        <v>12.0</v>
      </c>
      <c r="J2777" s="11" t="str">
        <f>IF(D2777&lt;&gt;"",VLOOKUP(H2777,TABLEITEM,5,FALSE),"")</f>
        <v>EA</v>
      </c>
      <c r="K2777" s="12">
        <v>3.0</v>
      </c>
      <c r="L2777" s="13" t="str">
        <f>IF(D2777&lt;&gt;"",VLOOKUP(H2777,TABLEITEM,2,FALSE),"")</f>
        <v/>
      </c>
      <c r="M2777" s="13" t="str">
        <f>IF(D2777&lt;&gt;"",VLOOKUP(H2777,TABLEITEM,3,FALSE),"")</f>
        <v>ก้ามปู 1"</v>
      </c>
      <c r="N2777" s="14">
        <f>INSTOCK!$I2777*INSTOCK!$K2777</f>
        <v>36</v>
      </c>
      <c r="O2777" s="4"/>
      <c r="P2777" s="4"/>
    </row>
    <row r="2778" ht="15.75" hidden="1" customHeight="1">
      <c r="B2778" s="8">
        <v>3097.0</v>
      </c>
      <c r="C2778" s="9">
        <v>43582.0</v>
      </c>
      <c r="D2778" s="6" t="s">
        <v>3726</v>
      </c>
      <c r="E2778" s="4">
        <v>6.204000654E9</v>
      </c>
      <c r="F2778" s="8" t="s">
        <v>3727</v>
      </c>
      <c r="G2778" s="4" t="s">
        <v>965</v>
      </c>
      <c r="H2778" s="10" t="s">
        <v>3734</v>
      </c>
      <c r="I2778" s="10">
        <v>6.0</v>
      </c>
      <c r="J2778" s="11" t="str">
        <f>IF(D2778&lt;&gt;"",VLOOKUP(H2778,TABLEITEM,5,FALSE),"")</f>
        <v>EA</v>
      </c>
      <c r="K2778" s="12">
        <v>3.0</v>
      </c>
      <c r="L2778" s="13" t="str">
        <f>IF(D2778&lt;&gt;"",VLOOKUP(H2778,TABLEITEM,2,FALSE),"")</f>
        <v/>
      </c>
      <c r="M2778" s="13" t="str">
        <f>IF(D2778&lt;&gt;"",VLOOKUP(H2778,TABLEITEM,3,FALSE),"")</f>
        <v>ก้ามปู 3/4"</v>
      </c>
      <c r="N2778" s="14">
        <f>INSTOCK!$I2778*INSTOCK!$K2778</f>
        <v>18</v>
      </c>
      <c r="O2778" s="4"/>
      <c r="P2778" s="4"/>
    </row>
    <row r="2779" ht="15.75" hidden="1" customHeight="1">
      <c r="B2779" s="8">
        <v>3098.0</v>
      </c>
      <c r="C2779" s="9">
        <v>43582.0</v>
      </c>
      <c r="D2779" s="6" t="s">
        <v>3726</v>
      </c>
      <c r="E2779" s="4">
        <v>6.204000654E9</v>
      </c>
      <c r="F2779" s="8" t="s">
        <v>3727</v>
      </c>
      <c r="G2779" s="4" t="s">
        <v>965</v>
      </c>
      <c r="H2779" s="10" t="s">
        <v>3735</v>
      </c>
      <c r="I2779" s="10">
        <v>1.0</v>
      </c>
      <c r="J2779" s="11" t="str">
        <f>IF(D2779&lt;&gt;"",VLOOKUP(H2779,TABLEITEM,5,FALSE),"")</f>
        <v>กป.</v>
      </c>
      <c r="K2779" s="12">
        <v>130.0</v>
      </c>
      <c r="L2779" s="13" t="str">
        <f>IF(D2779&lt;&gt;"",VLOOKUP(H2779,TABLEITEM,2,FALSE),"")</f>
        <v/>
      </c>
      <c r="M2779" s="13" t="str">
        <f>IF(D2779&lt;&gt;"",VLOOKUP(H2779,TABLEITEM,3,FALSE),"")</f>
        <v>กาวทาท่อน้ำไทย 250g</v>
      </c>
      <c r="N2779" s="14">
        <f>INSTOCK!$I2779*INSTOCK!$K2779</f>
        <v>130</v>
      </c>
      <c r="O2779" s="4"/>
      <c r="P2779" s="4"/>
    </row>
    <row r="2780" ht="15.75" hidden="1" customHeight="1">
      <c r="B2780" s="8">
        <v>3099.0</v>
      </c>
      <c r="C2780" s="9">
        <v>43587.0</v>
      </c>
      <c r="D2780" s="6" t="s">
        <v>3736</v>
      </c>
      <c r="E2780" s="4"/>
      <c r="F2780" s="8" t="s">
        <v>3737</v>
      </c>
      <c r="G2780" s="4" t="s">
        <v>3738</v>
      </c>
      <c r="H2780" s="10" t="s">
        <v>3739</v>
      </c>
      <c r="I2780" s="10">
        <v>1.0</v>
      </c>
      <c r="J2780" s="11" t="str">
        <f>IF(D2780&lt;&gt;"",VLOOKUP(H2780,TABLEITEM,5,FALSE),"")</f>
        <v>KG.</v>
      </c>
      <c r="K2780" s="12">
        <v>180.0</v>
      </c>
      <c r="L2780" s="13" t="str">
        <f>IF(D2780&lt;&gt;"",VLOOKUP(H2780,TABLEITEM,2,FALSE),"")</f>
        <v/>
      </c>
      <c r="M2780" s="13" t="str">
        <f>IF(D2780&lt;&gt;"",VLOOKUP(H2780,TABLEITEM,3,FALSE),"")</f>
        <v>Silica Gel Blue 1000g</v>
      </c>
      <c r="N2780" s="14">
        <f>INSTOCK!$I2780*INSTOCK!$K2780</f>
        <v>180</v>
      </c>
      <c r="O2780" s="4"/>
      <c r="P2780" s="4"/>
    </row>
    <row r="2781" ht="15.75" hidden="1" customHeight="1">
      <c r="B2781" s="8">
        <v>3100.0</v>
      </c>
      <c r="C2781" s="9">
        <v>43587.0</v>
      </c>
      <c r="D2781" s="6" t="s">
        <v>3740</v>
      </c>
      <c r="E2781" s="4"/>
      <c r="F2781" s="8" t="s">
        <v>3741</v>
      </c>
      <c r="G2781" s="4" t="s">
        <v>617</v>
      </c>
      <c r="H2781" s="10" t="s">
        <v>660</v>
      </c>
      <c r="I2781" s="10">
        <v>30.0</v>
      </c>
      <c r="J2781" s="11" t="str">
        <f>IF(D2781&lt;&gt;"",VLOOKUP(H2781,TABLEITEM,5,FALSE),"")</f>
        <v>M</v>
      </c>
      <c r="K2781" s="12">
        <v>2190.3</v>
      </c>
      <c r="L2781" s="13" t="str">
        <f>IF(D2781&lt;&gt;"",VLOOKUP(H2781,TABLEITEM,2,FALSE),"")</f>
        <v>Busbar</v>
      </c>
      <c r="M2781" s="13" t="str">
        <f>IF(D2781&lt;&gt;"",VLOOKUP(H2781,TABLEITEM,3,FALSE),"")</f>
        <v>บัสบาร์ทองแดง 100x10</v>
      </c>
      <c r="N2781" s="14">
        <f>INSTOCK!$I2781*INSTOCK!$K2781</f>
        <v>65709</v>
      </c>
      <c r="O2781" s="4" t="s">
        <v>3742</v>
      </c>
      <c r="P2781" s="4"/>
    </row>
    <row r="2782" ht="15.75" hidden="1" customHeight="1">
      <c r="B2782" s="8">
        <v>3101.0</v>
      </c>
      <c r="C2782" s="9">
        <v>43587.0</v>
      </c>
      <c r="D2782" s="6" t="s">
        <v>3743</v>
      </c>
      <c r="E2782" s="4">
        <v>6.204000669E9</v>
      </c>
      <c r="F2782" s="8" t="s">
        <v>3744</v>
      </c>
      <c r="G2782" s="4" t="s">
        <v>2619</v>
      </c>
      <c r="H2782" s="10" t="s">
        <v>2959</v>
      </c>
      <c r="I2782" s="10">
        <v>1.0</v>
      </c>
      <c r="J2782" s="11" t="str">
        <f>IF(D2782&lt;&gt;"",VLOOKUP(H2782,TABLEITEM,5,FALSE),"")</f>
        <v>EA</v>
      </c>
      <c r="K2782" s="12">
        <v>9540.0</v>
      </c>
      <c r="L2782" s="13" t="str">
        <f>IF(D2782&lt;&gt;"",VLOOKUP(H2782,TABLEITEM,2,FALSE),"")</f>
        <v/>
      </c>
      <c r="M2782" s="13" t="str">
        <f>IF(D2782&lt;&gt;"",VLOOKUP(H2782,TABLEITEM,3,FALSE),"")</f>
        <v>DIGITAL METER SPM33-V1</v>
      </c>
      <c r="N2782" s="14">
        <f>INSTOCK!$I2782*INSTOCK!$K2782</f>
        <v>9540</v>
      </c>
      <c r="O2782" s="4" t="s">
        <v>2960</v>
      </c>
      <c r="P2782" s="4"/>
    </row>
    <row r="2783" ht="15.75" hidden="1" customHeight="1">
      <c r="B2783" s="8">
        <v>3102.0</v>
      </c>
      <c r="C2783" s="9">
        <v>43584.0</v>
      </c>
      <c r="D2783" s="6">
        <v>6.20406901E8</v>
      </c>
      <c r="E2783" s="4">
        <v>6.204000655E9</v>
      </c>
      <c r="F2783" s="8" t="s">
        <v>3713</v>
      </c>
      <c r="G2783" s="4" t="s">
        <v>1130</v>
      </c>
      <c r="H2783" s="10" t="s">
        <v>3745</v>
      </c>
      <c r="I2783" s="10">
        <v>2.0</v>
      </c>
      <c r="J2783" s="11" t="str">
        <f>IF(D2783&lt;&gt;"",VLOOKUP(H2783,TABLEITEM,5,FALSE),"")</f>
        <v>EA</v>
      </c>
      <c r="K2783" s="12">
        <v>832.5</v>
      </c>
      <c r="L2783" s="13" t="str">
        <f>IF(D2783&lt;&gt;"",VLOOKUP(H2783,TABLEITEM,2,FALSE),"")</f>
        <v/>
      </c>
      <c r="M2783" s="13" t="str">
        <f>IF(D2783&lt;&gt;"",VLOOKUP(H2783,TABLEITEM,3,FALSE),"")</f>
        <v>เบรกเกอร์ NF32-SV 3P32A </v>
      </c>
      <c r="N2783" s="14">
        <f>INSTOCK!$I2783*INSTOCK!$K2783</f>
        <v>1665</v>
      </c>
      <c r="O2783" s="4" t="s">
        <v>3317</v>
      </c>
      <c r="P2783" s="4"/>
    </row>
    <row r="2784" ht="15.75" hidden="1" customHeight="1">
      <c r="B2784" s="8">
        <v>3103.0</v>
      </c>
      <c r="C2784" s="9">
        <v>43584.0</v>
      </c>
      <c r="D2784" s="6">
        <v>6.20406901E8</v>
      </c>
      <c r="E2784" s="4">
        <v>6.204000655E9</v>
      </c>
      <c r="F2784" s="8" t="s">
        <v>3713</v>
      </c>
      <c r="G2784" s="4" t="s">
        <v>1130</v>
      </c>
      <c r="H2784" s="10" t="s">
        <v>1981</v>
      </c>
      <c r="I2784" s="10">
        <v>2.0</v>
      </c>
      <c r="J2784" s="11" t="str">
        <f>IF(D2784&lt;&gt;"",VLOOKUP(H2784,TABLEITEM,5,FALSE),"")</f>
        <v>EA</v>
      </c>
      <c r="K2784" s="12">
        <v>121.125</v>
      </c>
      <c r="L2784" s="13" t="str">
        <f>IF(D2784&lt;&gt;"",VLOOKUP(H2784,TABLEITEM,2,FALSE),"")</f>
        <v/>
      </c>
      <c r="M2784" s="13" t="str">
        <f>IF(D2784&lt;&gt;"",VLOOKUP(H2784,TABLEITEM,3,FALSE),"")</f>
        <v>CT30/5 MSQ40</v>
      </c>
      <c r="N2784" s="14">
        <f>INSTOCK!$I2784*INSTOCK!$K2784</f>
        <v>242.25</v>
      </c>
      <c r="O2784" s="4" t="s">
        <v>1898</v>
      </c>
      <c r="P2784" s="4"/>
    </row>
    <row r="2785" ht="15.75" hidden="1" customHeight="1">
      <c r="B2785" s="8">
        <v>3104.0</v>
      </c>
      <c r="C2785" s="9">
        <v>43584.0</v>
      </c>
      <c r="D2785" s="6">
        <v>6.20406901E8</v>
      </c>
      <c r="E2785" s="4">
        <v>6.204000655E9</v>
      </c>
      <c r="F2785" s="8" t="s">
        <v>3713</v>
      </c>
      <c r="G2785" s="4" t="s">
        <v>1130</v>
      </c>
      <c r="H2785" s="10" t="s">
        <v>2177</v>
      </c>
      <c r="I2785" s="10">
        <v>2.0</v>
      </c>
      <c r="J2785" s="11" t="str">
        <f>IF(D2785&lt;&gt;"",VLOOKUP(H2785,TABLEITEM,5,FALSE),"")</f>
        <v>EA</v>
      </c>
      <c r="K2785" s="12">
        <v>308.7</v>
      </c>
      <c r="L2785" s="13" t="str">
        <f>IF(D2785&lt;&gt;"",VLOOKUP(H2785,TABLEITEM,2,FALSE),"")</f>
        <v/>
      </c>
      <c r="M2785" s="13" t="str">
        <f>IF(D2785&lt;&gt;"",VLOOKUP(H2785,TABLEITEM,3,FALSE),"")</f>
        <v>RELAY LY4N 220/240VAC</v>
      </c>
      <c r="N2785" s="14">
        <f>INSTOCK!$I2785*INSTOCK!$K2785</f>
        <v>617.4</v>
      </c>
      <c r="O2785" s="4" t="s">
        <v>2178</v>
      </c>
      <c r="P2785" s="4"/>
    </row>
    <row r="2786" ht="15.75" hidden="1" customHeight="1">
      <c r="B2786" s="8">
        <v>3105.0</v>
      </c>
      <c r="C2786" s="9">
        <v>43584.0</v>
      </c>
      <c r="D2786" s="6">
        <v>6.20406901E8</v>
      </c>
      <c r="E2786" s="4">
        <v>6.204000655E9</v>
      </c>
      <c r="F2786" s="8" t="s">
        <v>3713</v>
      </c>
      <c r="G2786" s="4" t="s">
        <v>1130</v>
      </c>
      <c r="H2786" s="10" t="s">
        <v>1833</v>
      </c>
      <c r="I2786" s="10">
        <v>4.0</v>
      </c>
      <c r="J2786" s="11" t="str">
        <f>IF(D2786&lt;&gt;"",VLOOKUP(H2786,TABLEITEM,5,FALSE),"")</f>
        <v>EA</v>
      </c>
      <c r="K2786" s="12">
        <v>620.0</v>
      </c>
      <c r="L2786" s="13" t="str">
        <f>IF(D2786&lt;&gt;"",VLOOKUP(H2786,TABLEITEM,2,FALSE),"")</f>
        <v/>
      </c>
      <c r="M2786" s="13" t="str">
        <f>IF(D2786&lt;&gt;"",VLOOKUP(H2786,TABLEITEM,3,FALSE),"")</f>
        <v>Timer H3CR-A8 100-240VAC</v>
      </c>
      <c r="N2786" s="14">
        <f>INSTOCK!$I2786*INSTOCK!$K2786</f>
        <v>2480</v>
      </c>
      <c r="O2786" s="4">
        <v>620.0</v>
      </c>
      <c r="P2786" s="4"/>
    </row>
    <row r="2787" ht="15.75" hidden="1" customHeight="1">
      <c r="B2787" s="8">
        <v>3106.0</v>
      </c>
      <c r="C2787" s="9">
        <v>43584.0</v>
      </c>
      <c r="D2787" s="6">
        <v>6.20406901E8</v>
      </c>
      <c r="E2787" s="4">
        <v>6.204000655E9</v>
      </c>
      <c r="F2787" s="8" t="s">
        <v>3713</v>
      </c>
      <c r="G2787" s="4" t="s">
        <v>1130</v>
      </c>
      <c r="H2787" s="10" t="s">
        <v>1726</v>
      </c>
      <c r="I2787" s="10">
        <v>2.0</v>
      </c>
      <c r="J2787" s="11" t="str">
        <f>IF(D2787&lt;&gt;"",VLOOKUP(H2787,TABLEITEM,5,FALSE),"")</f>
        <v>EA</v>
      </c>
      <c r="K2787" s="12">
        <v>3312.4</v>
      </c>
      <c r="L2787" s="13" t="str">
        <f>IF(D2787&lt;&gt;"",VLOOKUP(H2787,TABLEITEM,2,FALSE),"")</f>
        <v/>
      </c>
      <c r="M2787" s="13" t="str">
        <f>IF(D2787&lt;&gt;"",VLOOKUP(H2787,TABLEITEM,3,FALSE),"")</f>
        <v>Power supply S8VS-06024</v>
      </c>
      <c r="N2787" s="14">
        <f>INSTOCK!$I2787*INSTOCK!$K2787</f>
        <v>6624.8</v>
      </c>
      <c r="O2787" s="4" t="s">
        <v>1727</v>
      </c>
      <c r="P2787" s="4"/>
    </row>
    <row r="2788" ht="15.75" hidden="1" customHeight="1">
      <c r="B2788" s="8">
        <v>3107.0</v>
      </c>
      <c r="C2788" s="9">
        <v>43584.0</v>
      </c>
      <c r="D2788" s="6">
        <v>6.20406901E8</v>
      </c>
      <c r="E2788" s="4">
        <v>6.204000655E9</v>
      </c>
      <c r="F2788" s="8" t="s">
        <v>3713</v>
      </c>
      <c r="G2788" s="4" t="s">
        <v>1130</v>
      </c>
      <c r="H2788" s="10" t="s">
        <v>3746</v>
      </c>
      <c r="I2788" s="10">
        <v>2.0</v>
      </c>
      <c r="J2788" s="11" t="str">
        <f>IF(D2788&lt;&gt;"",VLOOKUP(H2788,TABLEITEM,5,FALSE),"")</f>
        <v>EA</v>
      </c>
      <c r="K2788" s="12">
        <v>1695.4</v>
      </c>
      <c r="L2788" s="13" t="str">
        <f>IF(D2788&lt;&gt;"",VLOOKUP(H2788,TABLEITEM,2,FALSE),"")</f>
        <v/>
      </c>
      <c r="M2788" s="13" t="str">
        <f>IF(D2788&lt;&gt;"",VLOOKUP(H2788,TABLEITEM,3,FALSE),"")</f>
        <v>COUNTER H7EC-NFV </v>
      </c>
      <c r="N2788" s="14">
        <f>INSTOCK!$I2788*INSTOCK!$K2788</f>
        <v>3390.8</v>
      </c>
      <c r="O2788" s="4" t="s">
        <v>3747</v>
      </c>
      <c r="P2788" s="4"/>
    </row>
    <row r="2789" ht="15.75" hidden="1" customHeight="1">
      <c r="B2789" s="8">
        <v>3108.0</v>
      </c>
      <c r="C2789" s="9">
        <v>43584.0</v>
      </c>
      <c r="D2789" s="6">
        <v>6.20406901E8</v>
      </c>
      <c r="E2789" s="4">
        <v>6.204000655E9</v>
      </c>
      <c r="F2789" s="8" t="s">
        <v>3713</v>
      </c>
      <c r="G2789" s="4" t="s">
        <v>1130</v>
      </c>
      <c r="H2789" s="10" t="s">
        <v>2179</v>
      </c>
      <c r="I2789" s="10">
        <v>2.0</v>
      </c>
      <c r="J2789" s="11" t="str">
        <f>IF(D2789&lt;&gt;"",VLOOKUP(H2789,TABLEITEM,5,FALSE),"")</f>
        <v>EA</v>
      </c>
      <c r="K2789" s="12">
        <v>156.8</v>
      </c>
      <c r="L2789" s="13" t="str">
        <f>IF(D2789&lt;&gt;"",VLOOKUP(H2789,TABLEITEM,2,FALSE),"")</f>
        <v/>
      </c>
      <c r="M2789" s="13" t="str">
        <f>IF(D2789&lt;&gt;"",VLOOKUP(H2789,TABLEITEM,3,FALSE),"")</f>
        <v>SOCKET PTF14A-E</v>
      </c>
      <c r="N2789" s="14">
        <f>INSTOCK!$I2789*INSTOCK!$K2789</f>
        <v>313.6</v>
      </c>
      <c r="O2789" s="4" t="s">
        <v>2180</v>
      </c>
      <c r="P2789" s="4"/>
    </row>
    <row r="2790" ht="15.75" hidden="1" customHeight="1">
      <c r="B2790" s="8">
        <v>3109.0</v>
      </c>
      <c r="C2790" s="9">
        <v>43585.0</v>
      </c>
      <c r="D2790" s="6" t="s">
        <v>3748</v>
      </c>
      <c r="E2790" s="4">
        <v>6.204000518E9</v>
      </c>
      <c r="F2790" s="8" t="s">
        <v>604</v>
      </c>
      <c r="G2790" s="4" t="s">
        <v>3099</v>
      </c>
      <c r="H2790" s="10" t="s">
        <v>3683</v>
      </c>
      <c r="I2790" s="10">
        <v>212.0</v>
      </c>
      <c r="J2790" s="11" t="str">
        <f>IF(D2790&lt;&gt;"",VLOOKUP(H2790,TABLEITEM,5,FALSE),"")</f>
        <v>EA</v>
      </c>
      <c r="K2790" s="12">
        <v>7.5</v>
      </c>
      <c r="L2790" s="13" t="str">
        <f>IF(D2790&lt;&gt;"",VLOOKUP(H2790,TABLEITEM,2,FALSE),"")</f>
        <v/>
      </c>
      <c r="M2790" s="13" t="str">
        <f>IF(D2790&lt;&gt;"",VLOOKUP(H2790,TABLEITEM,3,FALSE),"")</f>
        <v>บานพับตู้ พับขอบกันน้ำพิเศษ รุ่นพับงอ</v>
      </c>
      <c r="N2790" s="14">
        <f>INSTOCK!$I2790*INSTOCK!$K2790</f>
        <v>1590</v>
      </c>
      <c r="O2790" s="4"/>
      <c r="P2790" s="4"/>
    </row>
    <row r="2791" ht="15.75" hidden="1" customHeight="1">
      <c r="B2791" s="8">
        <v>3110.0</v>
      </c>
      <c r="C2791" s="9">
        <v>43587.0</v>
      </c>
      <c r="D2791" s="6" t="s">
        <v>3749</v>
      </c>
      <c r="E2791" s="4">
        <v>6.20400066E9</v>
      </c>
      <c r="F2791" s="8" t="s">
        <v>3750</v>
      </c>
      <c r="G2791" s="4" t="s">
        <v>1985</v>
      </c>
      <c r="H2791" s="10" t="s">
        <v>2557</v>
      </c>
      <c r="I2791" s="10">
        <v>1.0</v>
      </c>
      <c r="J2791" s="11" t="str">
        <f>IF(D2791&lt;&gt;"",VLOOKUP(H2791,TABLEITEM,5,FALSE),"")</f>
        <v>คู่</v>
      </c>
      <c r="K2791" s="12">
        <v>560.0</v>
      </c>
      <c r="L2791" s="13" t="str">
        <f>IF(D2791&lt;&gt;"",VLOOKUP(H2791,TABLEITEM,2,FALSE),"")</f>
        <v/>
      </c>
      <c r="M2791" s="13" t="str">
        <f>IF(D2791&lt;&gt;"",VLOOKUP(H2791,TABLEITEM,3,FALSE),"")</f>
        <v>รองเท้าหุ้มส้นพื้นยาง CB800</v>
      </c>
      <c r="N2791" s="14">
        <f>INSTOCK!$I2791*INSTOCK!$K2791</f>
        <v>560</v>
      </c>
      <c r="O2791" s="4" t="s">
        <v>3751</v>
      </c>
      <c r="P2791" s="4"/>
    </row>
    <row r="2792" ht="15.75" hidden="1" customHeight="1">
      <c r="B2792" s="8">
        <v>3111.0</v>
      </c>
      <c r="C2792" s="9">
        <v>43587.0</v>
      </c>
      <c r="D2792" s="6" t="s">
        <v>3749</v>
      </c>
      <c r="E2792" s="4">
        <v>6.20400066E9</v>
      </c>
      <c r="F2792" s="8" t="s">
        <v>3750</v>
      </c>
      <c r="G2792" s="4" t="s">
        <v>1985</v>
      </c>
      <c r="H2792" s="10" t="s">
        <v>2557</v>
      </c>
      <c r="I2792" s="10">
        <v>1.0</v>
      </c>
      <c r="J2792" s="11" t="str">
        <f>IF(D2792&lt;&gt;"",VLOOKUP(H2792,TABLEITEM,5,FALSE),"")</f>
        <v>คู่</v>
      </c>
      <c r="K2792" s="12">
        <v>560.0</v>
      </c>
      <c r="L2792" s="13" t="str">
        <f>IF(D2792&lt;&gt;"",VLOOKUP(H2792,TABLEITEM,2,FALSE),"")</f>
        <v/>
      </c>
      <c r="M2792" s="13" t="str">
        <f>IF(D2792&lt;&gt;"",VLOOKUP(H2792,TABLEITEM,3,FALSE),"")</f>
        <v>รองเท้าหุ้มส้นพื้นยาง CB800</v>
      </c>
      <c r="N2792" s="14">
        <f>INSTOCK!$I2792*INSTOCK!$K2792</f>
        <v>560</v>
      </c>
      <c r="O2792" s="4" t="s">
        <v>3752</v>
      </c>
      <c r="P2792" s="4"/>
    </row>
    <row r="2793" ht="15.75" hidden="1" customHeight="1">
      <c r="B2793" s="8">
        <v>3112.0</v>
      </c>
      <c r="C2793" s="9">
        <v>43560.0</v>
      </c>
      <c r="D2793" s="6" t="s">
        <v>3753</v>
      </c>
      <c r="E2793" s="4">
        <v>6.203000391E9</v>
      </c>
      <c r="F2793" s="8" t="s">
        <v>3754</v>
      </c>
      <c r="G2793" s="4" t="s">
        <v>3755</v>
      </c>
      <c r="H2793" s="10" t="s">
        <v>3756</v>
      </c>
      <c r="I2793" s="10">
        <v>1.0</v>
      </c>
      <c r="J2793" s="11" t="str">
        <f>IF(D2793&lt;&gt;"",VLOOKUP(H2793,TABLEITEM,5,FALSE),"")</f>
        <v>LOT</v>
      </c>
      <c r="K2793" s="12">
        <v>11000.0</v>
      </c>
      <c r="L2793" s="13" t="str">
        <f>IF(D2793&lt;&gt;"",VLOOKUP(H2793,TABLEITEM,2,FALSE),"")</f>
        <v/>
      </c>
      <c r="M2793" s="13" t="str">
        <f>IF(D2793&lt;&gt;"",VLOOKUP(H2793,TABLEITEM,3,FALSE),"")</f>
        <v>ค่าซ่อม UPS 2kVA SURT2000XLi S/N QS1520141051(APC)</v>
      </c>
      <c r="N2793" s="14">
        <f>INSTOCK!$I2793*INSTOCK!$K2793</f>
        <v>11000</v>
      </c>
      <c r="O2793" s="4"/>
      <c r="P2793" s="4"/>
    </row>
    <row r="2794" ht="15.75" hidden="1" customHeight="1">
      <c r="B2794" s="8">
        <v>3113.0</v>
      </c>
      <c r="C2794" s="9">
        <v>43587.0</v>
      </c>
      <c r="D2794" s="6" t="s">
        <v>3757</v>
      </c>
      <c r="E2794" s="4">
        <v>6.204000671E9</v>
      </c>
      <c r="F2794" s="8" t="s">
        <v>604</v>
      </c>
      <c r="G2794" s="4" t="s">
        <v>702</v>
      </c>
      <c r="H2794" s="10" t="s">
        <v>779</v>
      </c>
      <c r="I2794" s="10">
        <v>100.0</v>
      </c>
      <c r="J2794" s="11" t="str">
        <f>IF(D2794&lt;&gt;"",VLOOKUP(H2794,TABLEITEM,5,FALSE),"")</f>
        <v>KG.</v>
      </c>
      <c r="K2794" s="12">
        <v>130.0</v>
      </c>
      <c r="L2794" s="13" t="str">
        <f>IF(D2794&lt;&gt;"",VLOOKUP(H2794,TABLEITEM,2,FALSE),"")</f>
        <v/>
      </c>
      <c r="M2794" s="13" t="str">
        <f>IF(D2794&lt;&gt;"",VLOOKUP(H2794,TABLEITEM,3,FALSE),"")</f>
        <v>สีฝุ่น FF110/948/C สีครีม</v>
      </c>
      <c r="N2794" s="14">
        <f>INSTOCK!$I2794*INSTOCK!$K2794</f>
        <v>13000</v>
      </c>
      <c r="O2794" s="4"/>
      <c r="P2794" s="4"/>
    </row>
    <row r="2795" ht="15.75" hidden="1" customHeight="1">
      <c r="B2795" s="8">
        <v>3114.0</v>
      </c>
      <c r="C2795" s="9">
        <v>43587.0</v>
      </c>
      <c r="D2795" s="6">
        <v>8280.0</v>
      </c>
      <c r="E2795" s="4">
        <v>6.204000665E9</v>
      </c>
      <c r="F2795" s="8" t="s">
        <v>604</v>
      </c>
      <c r="G2795" s="4" t="s">
        <v>1009</v>
      </c>
      <c r="H2795" s="10" t="s">
        <v>3758</v>
      </c>
      <c r="I2795" s="10">
        <v>300.0</v>
      </c>
      <c r="J2795" s="11" t="str">
        <f>IF(D2795&lt;&gt;"",VLOOKUP(H2795,TABLEITEM,5,FALSE),"")</f>
        <v>EA</v>
      </c>
      <c r="K2795" s="12">
        <v>33.0</v>
      </c>
      <c r="L2795" s="13" t="str">
        <f>IF(D2795&lt;&gt;"",VLOOKUP(H2795,TABLEITEM,2,FALSE),"")</f>
        <v/>
      </c>
      <c r="M2795" s="13" t="str">
        <f>IF(D2795&lt;&gt;"",VLOOKUP(H2795,TABLEITEM,3,FALSE),"")</f>
        <v>KEY-LOCKHINGES HL-042บานพับผีเสื้อดำ</v>
      </c>
      <c r="N2795" s="14">
        <f>INSTOCK!$I2795*INSTOCK!$K2795</f>
        <v>9900</v>
      </c>
      <c r="O2795" s="4"/>
      <c r="P2795" s="4"/>
    </row>
    <row r="2796" ht="15.75" hidden="1" customHeight="1">
      <c r="B2796" s="8">
        <v>3115.0</v>
      </c>
      <c r="C2796" s="9">
        <v>43587.0</v>
      </c>
      <c r="D2796" s="6">
        <v>38435.0</v>
      </c>
      <c r="E2796" s="4">
        <v>6.20400067E9</v>
      </c>
      <c r="F2796" s="8" t="s">
        <v>3759</v>
      </c>
      <c r="G2796" s="4" t="s">
        <v>696</v>
      </c>
      <c r="H2796" s="10" t="s">
        <v>3760</v>
      </c>
      <c r="I2796" s="10">
        <v>4.0</v>
      </c>
      <c r="J2796" s="11" t="str">
        <f>IF(D2796&lt;&gt;"",VLOOKUP(H2796,TABLEITEM,5,FALSE),"")</f>
        <v/>
      </c>
      <c r="K2796" s="12">
        <v>240.0</v>
      </c>
      <c r="L2796" s="13" t="str">
        <f>IF(D2796&lt;&gt;"",VLOOKUP(H2796,TABLEITEM,2,FALSE),"")</f>
        <v/>
      </c>
      <c r="M2796" s="13" t="str">
        <f>IF(D2796&lt;&gt;"",VLOOKUP(H2796,TABLEITEM,3,FALSE),"")</f>
        <v>จานวัดองศา NO.19 </v>
      </c>
      <c r="N2796" s="14">
        <f>INSTOCK!$I2796*INSTOCK!$K2796</f>
        <v>960</v>
      </c>
      <c r="O2796" s="4"/>
      <c r="P2796" s="4"/>
    </row>
    <row r="2797" ht="15.75" hidden="1" customHeight="1">
      <c r="B2797" s="8">
        <v>3116.0</v>
      </c>
      <c r="C2797" s="9">
        <v>43587.0</v>
      </c>
      <c r="D2797" s="6">
        <v>38435.0</v>
      </c>
      <c r="E2797" s="4">
        <v>6.20400067E9</v>
      </c>
      <c r="F2797" s="8" t="s">
        <v>3759</v>
      </c>
      <c r="G2797" s="4" t="s">
        <v>696</v>
      </c>
      <c r="H2797" s="10" t="s">
        <v>2692</v>
      </c>
      <c r="I2797" s="10">
        <v>500.0</v>
      </c>
      <c r="J2797" s="11" t="str">
        <f>IF(D2797&lt;&gt;"",VLOOKUP(H2797,TABLEITEM,5,FALSE),"")</f>
        <v>EA</v>
      </c>
      <c r="K2797" s="12">
        <v>22.0</v>
      </c>
      <c r="L2797" s="13" t="str">
        <f>IF(D2797&lt;&gt;"",VLOOKUP(H2797,TABLEITEM,2,FALSE),"")</f>
        <v/>
      </c>
      <c r="M2797" s="13" t="str">
        <f>IF(D2797&lt;&gt;"",VLOOKUP(H2797,TABLEITEM,3,FALSE),"")</f>
        <v>บานพับเหล็กถอดได้ 1 1/4"</v>
      </c>
      <c r="N2797" s="14">
        <f>INSTOCK!$I2797*INSTOCK!$K2797</f>
        <v>11000</v>
      </c>
      <c r="O2797" s="4"/>
      <c r="P2797" s="4"/>
    </row>
    <row r="2798" ht="15.75" hidden="1" customHeight="1">
      <c r="B2798" s="8">
        <v>3117.0</v>
      </c>
      <c r="C2798" s="9">
        <v>43587.0</v>
      </c>
      <c r="D2798" s="6" t="s">
        <v>3761</v>
      </c>
      <c r="E2798" s="4"/>
      <c r="F2798" s="8" t="s">
        <v>604</v>
      </c>
      <c r="G2798" s="4" t="s">
        <v>3327</v>
      </c>
      <c r="H2798" s="10" t="s">
        <v>3762</v>
      </c>
      <c r="I2798" s="10">
        <v>10.0</v>
      </c>
      <c r="J2798" s="11" t="str">
        <f>IF(D2798&lt;&gt;"",VLOOKUP(H2798,TABLEITEM,5,FALSE),"")</f>
        <v>EA</v>
      </c>
      <c r="K2798" s="12">
        <v>42.06</v>
      </c>
      <c r="L2798" s="13" t="str">
        <f>IF(D2798&lt;&gt;"",VLOOKUP(H2798,TABLEITEM,2,FALSE),"")</f>
        <v/>
      </c>
      <c r="M2798" s="13" t="str">
        <f>IF(D2798&lt;&gt;"",VLOOKUP(H2798,TABLEITEM,3,FALSE),"")</f>
        <v>คาปาซิเตอร์ 3.5UF 450WV.AC</v>
      </c>
      <c r="N2798" s="14">
        <f>INSTOCK!$I2798*INSTOCK!$K2798</f>
        <v>420.6</v>
      </c>
      <c r="O2798" s="4"/>
      <c r="P2798" s="4"/>
    </row>
    <row r="2799" ht="15.75" hidden="1" customHeight="1">
      <c r="B2799" s="8">
        <v>3118.0</v>
      </c>
      <c r="C2799" s="9">
        <v>43588.0</v>
      </c>
      <c r="D2799" s="6" t="s">
        <v>3763</v>
      </c>
      <c r="E2799" s="4">
        <v>6.204000664E9</v>
      </c>
      <c r="F2799" s="8" t="s">
        <v>604</v>
      </c>
      <c r="G2799" s="4" t="s">
        <v>950</v>
      </c>
      <c r="H2799" s="10" t="s">
        <v>1118</v>
      </c>
      <c r="I2799" s="10">
        <v>100.0</v>
      </c>
      <c r="J2799" s="11" t="str">
        <f>IF(D2799&lt;&gt;"",VLOOKUP(H2799,TABLEITEM,5,FALSE),"")</f>
        <v>M</v>
      </c>
      <c r="K2799" s="12">
        <v>8.5</v>
      </c>
      <c r="L2799" s="13" t="str">
        <f>IF(D2799&lt;&gt;"",VLOOKUP(H2799,TABLEITEM,2,FALSE),"")</f>
        <v/>
      </c>
      <c r="M2799" s="13" t="str">
        <f>IF(D2799&lt;&gt;"",VLOOKUP(H2799,TABLEITEM,3,FALSE),"")</f>
        <v>Heat Shrink G5 # 12   สีดำ</v>
      </c>
      <c r="N2799" s="14">
        <f>INSTOCK!$I2799*INSTOCK!$K2799</f>
        <v>850</v>
      </c>
      <c r="O2799" s="4"/>
      <c r="P2799" s="4"/>
    </row>
    <row r="2800" ht="15.75" hidden="1" customHeight="1">
      <c r="B2800" s="8">
        <v>3119.0</v>
      </c>
      <c r="C2800" s="9">
        <v>43588.0</v>
      </c>
      <c r="D2800" s="6">
        <v>85570.0</v>
      </c>
      <c r="E2800" s="4">
        <v>6.204000674E9</v>
      </c>
      <c r="F2800" s="8" t="s">
        <v>3764</v>
      </c>
      <c r="G2800" s="4" t="s">
        <v>2589</v>
      </c>
      <c r="H2800" s="10" t="s">
        <v>3765</v>
      </c>
      <c r="I2800" s="10">
        <v>1.0</v>
      </c>
      <c r="J2800" s="11" t="str">
        <f>IF(D2800&lt;&gt;"",VLOOKUP(H2800,TABLEITEM,5,FALSE),"")</f>
        <v>EA</v>
      </c>
      <c r="K2800" s="12">
        <v>2450.0</v>
      </c>
      <c r="L2800" s="13" t="str">
        <f>IF(D2800&lt;&gt;"",VLOOKUP(H2800,TABLEITEM,2,FALSE),"")</f>
        <v/>
      </c>
      <c r="M2800" s="13" t="str">
        <f>IF(D2800&lt;&gt;"",VLOOKUP(H2800,TABLEITEM,3,FALSE),"")</f>
        <v>Die Compl (Rep.id.of 088508,1264394/1)</v>
      </c>
      <c r="N2800" s="14">
        <f>INSTOCK!$I2800*INSTOCK!$K2800</f>
        <v>2450</v>
      </c>
      <c r="O2800" s="4"/>
      <c r="P2800" s="4"/>
    </row>
    <row r="2801" ht="15.75" hidden="1" customHeight="1">
      <c r="B2801" s="8">
        <v>3120.0</v>
      </c>
      <c r="C2801" s="9">
        <v>43588.0</v>
      </c>
      <c r="D2801" s="6">
        <v>85570.0</v>
      </c>
      <c r="E2801" s="4">
        <v>6.204000674E9</v>
      </c>
      <c r="F2801" s="8" t="s">
        <v>3764</v>
      </c>
      <c r="G2801" s="4" t="s">
        <v>2589</v>
      </c>
      <c r="H2801" s="10" t="s">
        <v>3766</v>
      </c>
      <c r="I2801" s="10">
        <v>1.0</v>
      </c>
      <c r="J2801" s="11" t="str">
        <f>IF(D2801&lt;&gt;"",VLOOKUP(H2801,TABLEITEM,5,FALSE),"")</f>
        <v>EA</v>
      </c>
      <c r="K2801" s="12">
        <v>40.0</v>
      </c>
      <c r="L2801" s="13" t="str">
        <f>IF(D2801&lt;&gt;"",VLOOKUP(H2801,TABLEITEM,2,FALSE),"")</f>
        <v/>
      </c>
      <c r="M2801" s="13" t="str">
        <f>IF(D2801&lt;&gt;"",VLOOKUP(H2801,TABLEITEM,3,FALSE),"")</f>
        <v>Pin</v>
      </c>
      <c r="N2801" s="14">
        <f>INSTOCK!$I2801*INSTOCK!$K2801</f>
        <v>40</v>
      </c>
      <c r="O2801" s="4"/>
      <c r="P2801" s="4"/>
    </row>
    <row r="2802" ht="15.75" hidden="1" customHeight="1">
      <c r="B2802" s="8">
        <v>3121.0</v>
      </c>
      <c r="C2802" s="9">
        <v>43588.0</v>
      </c>
      <c r="D2802" s="6">
        <v>85570.0</v>
      </c>
      <c r="E2802" s="4">
        <v>6.204000674E9</v>
      </c>
      <c r="F2802" s="8" t="s">
        <v>3764</v>
      </c>
      <c r="G2802" s="4" t="s">
        <v>2589</v>
      </c>
      <c r="H2802" s="10" t="s">
        <v>3767</v>
      </c>
      <c r="I2802" s="10">
        <v>1.0</v>
      </c>
      <c r="J2802" s="11" t="str">
        <f>IF(D2802&lt;&gt;"",VLOOKUP(H2802,TABLEITEM,5,FALSE),"")</f>
        <v>EA</v>
      </c>
      <c r="K2802" s="12">
        <v>80.0</v>
      </c>
      <c r="L2802" s="13" t="str">
        <f>IF(D2802&lt;&gt;"",VLOOKUP(H2802,TABLEITEM,2,FALSE),"")</f>
        <v/>
      </c>
      <c r="M2802" s="13" t="str">
        <f>IF(D2802&lt;&gt;"",VLOOKUP(H2802,TABLEITEM,3,FALSE),"")</f>
        <v>Ring</v>
      </c>
      <c r="N2802" s="14">
        <f>INSTOCK!$I2802*INSTOCK!$K2802</f>
        <v>80</v>
      </c>
      <c r="O2802" s="4"/>
      <c r="P2802" s="4"/>
    </row>
    <row r="2803" ht="15.75" hidden="1" customHeight="1">
      <c r="B2803" s="8">
        <v>3122.0</v>
      </c>
      <c r="C2803" s="9">
        <v>43589.0</v>
      </c>
      <c r="D2803" s="6" t="s">
        <v>3768</v>
      </c>
      <c r="E2803" s="4">
        <v>6.205000678E9</v>
      </c>
      <c r="F2803" s="8" t="s">
        <v>807</v>
      </c>
      <c r="G2803" s="4" t="s">
        <v>808</v>
      </c>
      <c r="H2803" s="10" t="s">
        <v>812</v>
      </c>
      <c r="I2803" s="10">
        <v>1.0</v>
      </c>
      <c r="J2803" s="11" t="str">
        <f>IF(D2803&lt;&gt;"",VLOOKUP(H2803,TABLEITEM,5,FALSE),"")</f>
        <v>ท่อ</v>
      </c>
      <c r="K2803" s="12">
        <v>2960.0</v>
      </c>
      <c r="L2803" s="13" t="str">
        <f>IF(D2803&lt;&gt;"",VLOOKUP(H2803,TABLEITEM,2,FALSE),"")</f>
        <v/>
      </c>
      <c r="M2803" s="13" t="str">
        <f>IF(D2803&lt;&gt;"",VLOOKUP(H2803,TABLEITEM,3,FALSE),"")</f>
        <v>ออกซิเจนเหลว ขนาด 148 คิว</v>
      </c>
      <c r="N2803" s="14">
        <f>INSTOCK!$I2803*INSTOCK!$K2803</f>
        <v>2960</v>
      </c>
      <c r="O2803" s="4"/>
      <c r="P2803" s="4"/>
    </row>
    <row r="2804" ht="15.75" hidden="1" customHeight="1">
      <c r="B2804" s="8">
        <v>3123.0</v>
      </c>
      <c r="C2804" s="9">
        <v>43588.0</v>
      </c>
      <c r="D2804" s="6" t="s">
        <v>3769</v>
      </c>
      <c r="E2804" s="4"/>
      <c r="F2804" s="8" t="s">
        <v>3759</v>
      </c>
      <c r="G2804" s="4" t="s">
        <v>898</v>
      </c>
      <c r="H2804" s="10" t="s">
        <v>2268</v>
      </c>
      <c r="I2804" s="10">
        <v>10.0</v>
      </c>
      <c r="J2804" s="11" t="str">
        <f>IF(D2804&lt;&gt;"",VLOOKUP(H2804,TABLEITEM,5,FALSE),"")</f>
        <v>LIT</v>
      </c>
      <c r="K2804" s="12">
        <v>400.0</v>
      </c>
      <c r="L2804" s="13" t="str">
        <f>IF(D2804&lt;&gt;"",VLOOKUP(H2804,TABLEITEM,2,FALSE),"")</f>
        <v/>
      </c>
      <c r="M2804" s="13" t="str">
        <f>IF(D2804&lt;&gt;"",VLOOKUP(H2804,TABLEITEM,3,FALSE),"")</f>
        <v>สีพ่นแห้งเร็ว(สีผสม)</v>
      </c>
      <c r="N2804" s="14">
        <f>INSTOCK!$I2804*INSTOCK!$K2804</f>
        <v>4000</v>
      </c>
      <c r="O2804" s="4" t="s">
        <v>2784</v>
      </c>
      <c r="P2804" s="4"/>
    </row>
    <row r="2805" ht="15.75" hidden="1" customHeight="1">
      <c r="B2805" s="8">
        <v>3124.0</v>
      </c>
      <c r="C2805" s="9">
        <v>43589.0</v>
      </c>
      <c r="D2805" s="6" t="s">
        <v>3770</v>
      </c>
      <c r="E2805" s="4" t="s">
        <v>3771</v>
      </c>
      <c r="F2805" s="8" t="s">
        <v>3772</v>
      </c>
      <c r="G2805" s="4" t="s">
        <v>1479</v>
      </c>
      <c r="H2805" s="18">
        <v>5.75040055E9</v>
      </c>
      <c r="I2805" s="10">
        <v>2.0</v>
      </c>
      <c r="J2805" s="11" t="str">
        <f>IF(D2805&lt;&gt;"",VLOOKUP(H2805,TABLEITEM,5,FALSE),"")</f>
        <v>EA</v>
      </c>
      <c r="K2805" s="12">
        <v>65.7</v>
      </c>
      <c r="L2805" s="13" t="str">
        <f>IF(D2805&lt;&gt;"",VLOOKUP(H2805,TABLEITEM,2,FALSE),"")</f>
        <v/>
      </c>
      <c r="M2805" s="13" t="str">
        <f>IF(D2805&lt;&gt;"",VLOOKUP(H2805,TABLEITEM,3,FALSE),"")</f>
        <v>57.504.0055.0 WK4/U GREY MODULAR TERMINAL</v>
      </c>
      <c r="N2805" s="14">
        <f>INSTOCK!$I2805*INSTOCK!$K2805</f>
        <v>131.4</v>
      </c>
      <c r="O2805" s="4"/>
      <c r="P2805" s="4"/>
    </row>
    <row r="2806" ht="15.75" hidden="1" customHeight="1">
      <c r="B2806" s="8">
        <v>3125.0</v>
      </c>
      <c r="C2806" s="9">
        <v>43589.0</v>
      </c>
      <c r="D2806" s="6" t="s">
        <v>3770</v>
      </c>
      <c r="E2806" s="4" t="s">
        <v>3771</v>
      </c>
      <c r="F2806" s="8" t="s">
        <v>3772</v>
      </c>
      <c r="G2806" s="4" t="s">
        <v>1479</v>
      </c>
      <c r="H2806" s="18" t="s">
        <v>3773</v>
      </c>
      <c r="I2806" s="10">
        <v>80.0</v>
      </c>
      <c r="J2806" s="11" t="str">
        <f>IF(D2806&lt;&gt;"",VLOOKUP(H2806,TABLEITEM,5,FALSE),"")</f>
        <v>EA</v>
      </c>
      <c r="K2806" s="12">
        <v>11.0</v>
      </c>
      <c r="L2806" s="13" t="str">
        <f>IF(D2806&lt;&gt;"",VLOOKUP(H2806,TABLEITEM,2,FALSE),"")</f>
        <v/>
      </c>
      <c r="M2806" s="13" t="str">
        <f>IF(D2806&lt;&gt;"",VLOOKUP(H2806,TABLEITEM,3,FALSE),"")</f>
        <v>Feed-Through Block ,Grey WT2.5 #58.503.0055.0</v>
      </c>
      <c r="N2806" s="14">
        <f>INSTOCK!$I2806*INSTOCK!$K2806</f>
        <v>880</v>
      </c>
      <c r="O2806" s="4"/>
      <c r="P2806" s="4"/>
    </row>
    <row r="2807" ht="15.75" hidden="1" customHeight="1">
      <c r="B2807" s="8">
        <v>3126.0</v>
      </c>
      <c r="C2807" s="9">
        <v>43589.0</v>
      </c>
      <c r="D2807" s="6" t="s">
        <v>3770</v>
      </c>
      <c r="E2807" s="4" t="s">
        <v>3771</v>
      </c>
      <c r="F2807" s="8" t="s">
        <v>3772</v>
      </c>
      <c r="G2807" s="4" t="s">
        <v>1479</v>
      </c>
      <c r="H2807" s="10" t="s">
        <v>3774</v>
      </c>
      <c r="I2807" s="10">
        <v>20.0</v>
      </c>
      <c r="J2807" s="11" t="str">
        <f>IF(D2807&lt;&gt;"",VLOOKUP(H2807,TABLEITEM,5,FALSE),"")</f>
        <v>EA</v>
      </c>
      <c r="K2807" s="12">
        <v>7.011</v>
      </c>
      <c r="L2807" s="13" t="str">
        <f>IF(D2807&lt;&gt;"",VLOOKUP(H2807,TABLEITEM,2,FALSE),"")</f>
        <v/>
      </c>
      <c r="M2807" s="13" t="str">
        <f>IF(D2807&lt;&gt;"",VLOOKUP(H2807,TABLEITEM,3,FALSE),"")</f>
        <v>End Plate WT2.5-10 #07.313.2555.0</v>
      </c>
      <c r="N2807" s="14">
        <f>INSTOCK!$I2807*INSTOCK!$K2807</f>
        <v>140.22</v>
      </c>
      <c r="O2807" s="4"/>
      <c r="P2807" s="4"/>
    </row>
    <row r="2808" ht="15.75" hidden="1" customHeight="1">
      <c r="B2808" s="8">
        <v>3127.0</v>
      </c>
      <c r="C2808" s="9">
        <v>43580.0</v>
      </c>
      <c r="D2808" s="6" t="s">
        <v>3775</v>
      </c>
      <c r="E2808" s="4"/>
      <c r="F2808" s="8" t="s">
        <v>3776</v>
      </c>
      <c r="G2808" s="4" t="s">
        <v>3777</v>
      </c>
      <c r="H2808" s="10" t="s">
        <v>3778</v>
      </c>
      <c r="I2808" s="10">
        <v>50.0</v>
      </c>
      <c r="J2808" s="11" t="str">
        <f>IF(D2808&lt;&gt;"",VLOOKUP(H2808,TABLEITEM,5,FALSE),"")</f>
        <v/>
      </c>
      <c r="K2808" s="12">
        <v>75.0</v>
      </c>
      <c r="L2808" s="13" t="str">
        <f>IF(D2808&lt;&gt;"",VLOOKUP(H2808,TABLEITEM,2,FALSE),"")</f>
        <v/>
      </c>
      <c r="M2808" s="13" t="str">
        <f>IF(D2808&lt;&gt;"",VLOOKUP(H2808,TABLEITEM,3,FALSE),"")</f>
        <v>ม่านพลาสติกเหลือง กันแมลง กันกระแทก ขนาด 200*2 มิล ยาว 50 เมตร</v>
      </c>
      <c r="N2808" s="14">
        <f>INSTOCK!$I2808*INSTOCK!$K2808</f>
        <v>3750</v>
      </c>
      <c r="O2808" s="4"/>
      <c r="P2808" s="4"/>
    </row>
    <row r="2809" ht="15.75" hidden="1" customHeight="1">
      <c r="B2809" s="8">
        <v>3128.0</v>
      </c>
      <c r="C2809" s="9">
        <v>43588.0</v>
      </c>
      <c r="D2809" s="6" t="s">
        <v>3779</v>
      </c>
      <c r="E2809" s="4"/>
      <c r="F2809" s="8" t="s">
        <v>3633</v>
      </c>
      <c r="G2809" s="4" t="s">
        <v>2727</v>
      </c>
      <c r="H2809" s="10" t="s">
        <v>2728</v>
      </c>
      <c r="I2809" s="10">
        <v>2.0</v>
      </c>
      <c r="J2809" s="11" t="str">
        <f>IF(D2809&lt;&gt;"",VLOOKUP(H2809,TABLEITEM,5,FALSE),"")</f>
        <v>แผ่น</v>
      </c>
      <c r="K2809" s="12">
        <v>1600.0</v>
      </c>
      <c r="L2809" s="13" t="str">
        <f>IF(D2809&lt;&gt;"",VLOOKUP(H2809,TABLEITEM,2,FALSE),"")</f>
        <v/>
      </c>
      <c r="M2809" s="13" t="str">
        <f>IF(D2809&lt;&gt;"",VLOOKUP(H2809,TABLEITEM,3,FALSE),"")</f>
        <v>ไม้อัดยาง 20 มม เต็มมิล</v>
      </c>
      <c r="N2809" s="14">
        <f>INSTOCK!$I2809*INSTOCK!$K2809</f>
        <v>3200</v>
      </c>
      <c r="O2809" s="4"/>
      <c r="P2809" s="4"/>
    </row>
    <row r="2810" ht="15.75" hidden="1" customHeight="1">
      <c r="B2810" s="8">
        <v>3129.0</v>
      </c>
      <c r="C2810" s="9">
        <v>43588.0</v>
      </c>
      <c r="D2810" s="6" t="s">
        <v>3779</v>
      </c>
      <c r="E2810" s="4"/>
      <c r="F2810" s="8" t="s">
        <v>3633</v>
      </c>
      <c r="G2810" s="4" t="s">
        <v>2727</v>
      </c>
      <c r="H2810" s="10" t="s">
        <v>3189</v>
      </c>
      <c r="I2810" s="10">
        <v>2.0</v>
      </c>
      <c r="J2810" s="11" t="str">
        <f>IF(D2810&lt;&gt;"",VLOOKUP(H2810,TABLEITEM,5,FALSE),"")</f>
        <v>แผ่น</v>
      </c>
      <c r="K2810" s="12">
        <v>250.0</v>
      </c>
      <c r="L2810" s="13" t="str">
        <f>IF(D2810&lt;&gt;"",VLOOKUP(H2810,TABLEITEM,2,FALSE),"")</f>
        <v/>
      </c>
      <c r="M2810" s="13" t="str">
        <f>IF(D2810&lt;&gt;"",VLOOKUP(H2810,TABLEITEM,3,FALSE),"")</f>
        <v>แผ่นลามิเนท TD9200AB</v>
      </c>
      <c r="N2810" s="14">
        <f>INSTOCK!$I2810*INSTOCK!$K2810</f>
        <v>500</v>
      </c>
      <c r="O2810" s="4"/>
      <c r="P2810" s="4"/>
    </row>
    <row r="2811" ht="15.75" hidden="1" customHeight="1">
      <c r="B2811" s="8">
        <v>3130.0</v>
      </c>
      <c r="C2811" s="9">
        <v>43584.0</v>
      </c>
      <c r="D2811" s="6" t="s">
        <v>3780</v>
      </c>
      <c r="E2811" s="4"/>
      <c r="F2811" s="8" t="s">
        <v>3388</v>
      </c>
      <c r="G2811" s="4" t="s">
        <v>2635</v>
      </c>
      <c r="H2811" s="10" t="s">
        <v>3389</v>
      </c>
      <c r="I2811" s="10">
        <v>1316.7</v>
      </c>
      <c r="J2811" s="11" t="str">
        <f>IF(D2811&lt;&gt;"",VLOOKUP(H2811,TABLEITEM,5,FALSE),"")</f>
        <v>LOT</v>
      </c>
      <c r="K2811" s="12">
        <v>20.0</v>
      </c>
      <c r="L2811" s="13" t="str">
        <f>IF(D2811&lt;&gt;"",VLOOKUP(H2811,TABLEITEM,2,FALSE),"")</f>
        <v/>
      </c>
      <c r="M2811" s="13" t="str">
        <f>IF(D2811&lt;&gt;"",VLOOKUP(H2811,TABLEITEM,3,FALSE),"")</f>
        <v>ค่าคอม ตู้น้ำมัน</v>
      </c>
      <c r="N2811" s="14">
        <f>INSTOCK!$I2811*INSTOCK!$K2811</f>
        <v>26334</v>
      </c>
      <c r="O2811" s="4"/>
      <c r="P2811" s="4"/>
    </row>
    <row r="2812" ht="15.75" hidden="1" customHeight="1">
      <c r="B2812" s="8">
        <v>3131.0</v>
      </c>
      <c r="C2812" s="9">
        <v>43592.0</v>
      </c>
      <c r="D2812" s="6" t="s">
        <v>3781</v>
      </c>
      <c r="E2812" s="4">
        <v>6.205000685E9</v>
      </c>
      <c r="F2812" s="8" t="s">
        <v>604</v>
      </c>
      <c r="G2812" s="4" t="s">
        <v>965</v>
      </c>
      <c r="H2812" s="10" t="s">
        <v>3602</v>
      </c>
      <c r="I2812" s="10">
        <v>10.0</v>
      </c>
      <c r="J2812" s="11" t="str">
        <f>IF(D2812&lt;&gt;"",VLOOKUP(H2812,TABLEITEM,5,FALSE),"")</f>
        <v>ROLL</v>
      </c>
      <c r="K2812" s="12">
        <v>90.0</v>
      </c>
      <c r="L2812" s="13" t="str">
        <f>IF(D2812&lt;&gt;"",VLOOKUP(H2812,TABLEITEM,2,FALSE),"")</f>
        <v/>
      </c>
      <c r="M2812" s="13" t="str">
        <f>IF(D2812&lt;&gt;"",VLOOKUP(H2812,TABLEITEM,3,FALSE),"")</f>
        <v>ลวดดำ</v>
      </c>
      <c r="N2812" s="14">
        <f>INSTOCK!$I2812*INSTOCK!$K2812</f>
        <v>900</v>
      </c>
      <c r="O2812" s="4"/>
      <c r="P2812" s="4"/>
    </row>
    <row r="2813" ht="15.75" hidden="1" customHeight="1">
      <c r="B2813" s="8">
        <v>3132.0</v>
      </c>
      <c r="C2813" s="9">
        <v>43592.0</v>
      </c>
      <c r="D2813" s="6" t="s">
        <v>3782</v>
      </c>
      <c r="E2813" s="4" t="s">
        <v>3783</v>
      </c>
      <c r="F2813" s="8" t="s">
        <v>604</v>
      </c>
      <c r="G2813" s="4" t="s">
        <v>1564</v>
      </c>
      <c r="H2813" s="10" t="s">
        <v>3784</v>
      </c>
      <c r="I2813" s="10">
        <v>200.0</v>
      </c>
      <c r="J2813" s="11" t="str">
        <f>IF(D2813&lt;&gt;"",VLOOKUP(H2813,TABLEITEM,5,FALSE),"")</f>
        <v>EA</v>
      </c>
      <c r="K2813" s="12">
        <v>32.0</v>
      </c>
      <c r="L2813" s="13" t="str">
        <f>IF(D2813&lt;&gt;"",VLOOKUP(H2813,TABLEITEM,2,FALSE),"")</f>
        <v/>
      </c>
      <c r="M2813" s="13" t="str">
        <f>IF(D2813&lt;&gt;"",VLOOKUP(H2813,TABLEITEM,3,FALSE),"")</f>
        <v>กาวร้อน BT-33</v>
      </c>
      <c r="N2813" s="14">
        <f>INSTOCK!$I2813*INSTOCK!$K2813</f>
        <v>6400</v>
      </c>
      <c r="O2813" s="4"/>
      <c r="P2813" s="4"/>
    </row>
    <row r="2814" ht="15.75" hidden="1" customHeight="1">
      <c r="B2814" s="8">
        <v>3133.0</v>
      </c>
      <c r="C2814" s="9">
        <v>43593.0</v>
      </c>
      <c r="D2814" s="6" t="s">
        <v>3785</v>
      </c>
      <c r="E2814" s="4">
        <v>6.205000678E9</v>
      </c>
      <c r="F2814" s="8" t="s">
        <v>807</v>
      </c>
      <c r="G2814" s="4" t="s">
        <v>808</v>
      </c>
      <c r="H2814" s="10" t="s">
        <v>809</v>
      </c>
      <c r="I2814" s="10">
        <v>1.0</v>
      </c>
      <c r="J2814" s="11" t="str">
        <f>IF(D2814&lt;&gt;"",VLOOKUP(H2814,TABLEITEM,5,FALSE),"")</f>
        <v>ท่อ</v>
      </c>
      <c r="K2814" s="12">
        <v>2700.0</v>
      </c>
      <c r="L2814" s="13" t="str">
        <f>IF(D2814&lt;&gt;"",VLOOKUP(H2814,TABLEITEM,2,FALSE),"")</f>
        <v/>
      </c>
      <c r="M2814" s="13" t="str">
        <f>IF(D2814&lt;&gt;"",VLOOKUP(H2814,TABLEITEM,3,FALSE),"")</f>
        <v>ไนโตรเจนเหลว ขนาด 100คิว</v>
      </c>
      <c r="N2814" s="14">
        <f>INSTOCK!$I2814*INSTOCK!$K2814</f>
        <v>2700</v>
      </c>
      <c r="O2814" s="4"/>
      <c r="P2814" s="4"/>
    </row>
    <row r="2815" ht="15.75" hidden="1" customHeight="1">
      <c r="B2815" s="8">
        <v>3134.0</v>
      </c>
      <c r="C2815" s="9">
        <v>43593.0</v>
      </c>
      <c r="D2815" s="6" t="s">
        <v>3786</v>
      </c>
      <c r="E2815" s="4">
        <v>6.205000697E9</v>
      </c>
      <c r="F2815" s="8" t="s">
        <v>807</v>
      </c>
      <c r="G2815" s="4" t="s">
        <v>808</v>
      </c>
      <c r="H2815" s="18" t="s">
        <v>831</v>
      </c>
      <c r="I2815" s="10">
        <v>1.0</v>
      </c>
      <c r="J2815" s="11" t="str">
        <f>IF(D2815&lt;&gt;"",VLOOKUP(H2815,TABLEITEM,5,FALSE),"")</f>
        <v>ท่อ</v>
      </c>
      <c r="K2815" s="12">
        <v>7700.0</v>
      </c>
      <c r="L2815" s="13" t="str">
        <f>IF(D2815&lt;&gt;"",VLOOKUP(H2815,TABLEITEM,2,FALSE),"")</f>
        <v/>
      </c>
      <c r="M2815" s="13" t="str">
        <f>IF(D2815&lt;&gt;"",VLOOKUP(H2815,TABLEITEM,3,FALSE),"")</f>
        <v>5% CO2.34% N2,61% HELIUM 7</v>
      </c>
      <c r="N2815" s="14">
        <f>INSTOCK!$I2815*INSTOCK!$K2815</f>
        <v>7700</v>
      </c>
      <c r="O2815" s="4"/>
      <c r="P2815" s="4"/>
    </row>
    <row r="2816" ht="15.75" hidden="1" customHeight="1">
      <c r="B2816" s="8">
        <v>3135.0</v>
      </c>
      <c r="C2816" s="9">
        <v>43593.0</v>
      </c>
      <c r="D2816" s="6" t="s">
        <v>3787</v>
      </c>
      <c r="E2816" s="4">
        <v>6.205000692E9</v>
      </c>
      <c r="F2816" s="8" t="s">
        <v>823</v>
      </c>
      <c r="G2816" s="4" t="s">
        <v>808</v>
      </c>
      <c r="H2816" s="10" t="s">
        <v>824</v>
      </c>
      <c r="I2816" s="10">
        <v>2.0</v>
      </c>
      <c r="J2816" s="11" t="str">
        <f>IF(D2816&lt;&gt;"",VLOOKUP(H2816,TABLEITEM,5,FALSE),"")</f>
        <v>ท่อ</v>
      </c>
      <c r="K2816" s="12">
        <v>600.0</v>
      </c>
      <c r="L2816" s="13" t="str">
        <f>IF(D2816&lt;&gt;"",VLOOKUP(H2816,TABLEITEM,2,FALSE),"")</f>
        <v/>
      </c>
      <c r="M2816" s="13" t="str">
        <f>IF(D2816&lt;&gt;"",VLOOKUP(H2816,TABLEITEM,3,FALSE),"")</f>
        <v>20% CO2 Balance AR ขนาด 6คิว</v>
      </c>
      <c r="N2816" s="14">
        <f>INSTOCK!$I2816*INSTOCK!$K2816</f>
        <v>1200</v>
      </c>
      <c r="O2816" s="4"/>
      <c r="P2816" s="4"/>
    </row>
    <row r="2817" ht="15.75" hidden="1" customHeight="1">
      <c r="B2817" s="8">
        <v>3136.0</v>
      </c>
      <c r="C2817" s="9">
        <v>43593.0</v>
      </c>
      <c r="D2817" s="6" t="s">
        <v>3788</v>
      </c>
      <c r="E2817" s="4">
        <v>6.205000687E9</v>
      </c>
      <c r="F2817" s="8" t="s">
        <v>604</v>
      </c>
      <c r="G2817" s="4" t="s">
        <v>2445</v>
      </c>
      <c r="H2817" s="10" t="s">
        <v>2668</v>
      </c>
      <c r="I2817" s="10">
        <v>1000.0</v>
      </c>
      <c r="J2817" s="11" t="str">
        <f>IF(D2817&lt;&gt;"",VLOOKUP(H2817,TABLEITEM,5,FALSE),"")</f>
        <v>EA</v>
      </c>
      <c r="K2817" s="12">
        <v>1.05</v>
      </c>
      <c r="L2817" s="13" t="str">
        <f>IF(D2817&lt;&gt;"",VLOOKUP(H2817,TABLEITEM,2,FALSE),"")</f>
        <v/>
      </c>
      <c r="M2817" s="13" t="str">
        <f>IF(D2817&lt;&gt;"",VLOOKUP(H2817,TABLEITEM,3,FALSE),"")</f>
        <v>สตัด M5x10</v>
      </c>
      <c r="N2817" s="14">
        <f>INSTOCK!$I2817*INSTOCK!$K2817</f>
        <v>1050</v>
      </c>
      <c r="O2817" s="4"/>
      <c r="P2817" s="4"/>
    </row>
    <row r="2818" ht="15.75" hidden="1" customHeight="1">
      <c r="B2818" s="8">
        <v>3137.0</v>
      </c>
      <c r="C2818" s="9">
        <v>43593.0</v>
      </c>
      <c r="D2818" s="6" t="s">
        <v>3789</v>
      </c>
      <c r="E2818" s="4">
        <v>6.205000683E9</v>
      </c>
      <c r="F2818" s="8" t="s">
        <v>604</v>
      </c>
      <c r="G2818" s="4" t="s">
        <v>957</v>
      </c>
      <c r="H2818" s="10" t="s">
        <v>1193</v>
      </c>
      <c r="I2818" s="10">
        <v>200.0</v>
      </c>
      <c r="J2818" s="11" t="str">
        <f>IF(D2818&lt;&gt;"",VLOOKUP(H2818,TABLEITEM,5,FALSE),"")</f>
        <v>EA</v>
      </c>
      <c r="K2818" s="12">
        <v>100.0</v>
      </c>
      <c r="L2818" s="13" t="str">
        <f>IF(D2818&lt;&gt;"",VLOOKUP(H2818,TABLEITEM,2,FALSE),"")</f>
        <v/>
      </c>
      <c r="M2818" s="13" t="str">
        <f>IF(D2818&lt;&gt;"",VLOOKUP(H2818,TABLEITEM,3,FALSE),"")</f>
        <v>กุญแจเขาควายกันน้ำMS-306-2-1</v>
      </c>
      <c r="N2818" s="14">
        <f>INSTOCK!$I2818*INSTOCK!$K2818</f>
        <v>20000</v>
      </c>
      <c r="O2818" s="4"/>
      <c r="P2818" s="4"/>
    </row>
    <row r="2819" ht="15.75" hidden="1" customHeight="1">
      <c r="B2819" s="8">
        <v>3138.0</v>
      </c>
      <c r="C2819" s="9">
        <v>43593.0</v>
      </c>
      <c r="D2819" s="6" t="s">
        <v>3790</v>
      </c>
      <c r="E2819" s="4">
        <v>6.205000681E9</v>
      </c>
      <c r="F2819" s="8" t="s">
        <v>604</v>
      </c>
      <c r="G2819" s="4" t="s">
        <v>743</v>
      </c>
      <c r="H2819" s="10" t="s">
        <v>86</v>
      </c>
      <c r="I2819" s="10">
        <v>500.0</v>
      </c>
      <c r="J2819" s="11" t="str">
        <f>IF(D2819&lt;&gt;"",VLOOKUP(H2819,TABLEITEM,5,FALSE),"")</f>
        <v>KG.</v>
      </c>
      <c r="K2819" s="12">
        <v>139.0</v>
      </c>
      <c r="L2819" s="13" t="str">
        <f>IF(D2819&lt;&gt;"",VLOOKUP(H2819,TABLEITEM,2,FALSE),"")</f>
        <v/>
      </c>
      <c r="M2819" s="13" t="str">
        <f>IF(D2819&lt;&gt;"",VLOOKUP(H2819,TABLEITEM,3,FALSE),"")</f>
        <v>สีฝุ่น ครีมเรียบ 1204551PX20</v>
      </c>
      <c r="N2819" s="14">
        <f>INSTOCK!$I2819*INSTOCK!$K2819</f>
        <v>69500</v>
      </c>
      <c r="O2819" s="4"/>
      <c r="P2819" s="4"/>
    </row>
    <row r="2820" ht="15.75" hidden="1" customHeight="1">
      <c r="B2820" s="8">
        <v>3139.0</v>
      </c>
      <c r="C2820" s="9">
        <v>43593.0</v>
      </c>
      <c r="D2820" s="6">
        <v>38499.0</v>
      </c>
      <c r="E2820" s="4">
        <v>6.205000696E9</v>
      </c>
      <c r="F2820" s="8" t="s">
        <v>604</v>
      </c>
      <c r="G2820" s="4" t="s">
        <v>696</v>
      </c>
      <c r="H2820" s="10" t="s">
        <v>3791</v>
      </c>
      <c r="I2820" s="10">
        <v>3.0</v>
      </c>
      <c r="J2820" s="11" t="str">
        <f>IF(D2820&lt;&gt;"",VLOOKUP(H2820,TABLEITEM,5,FALSE),"")</f>
        <v/>
      </c>
      <c r="K2820" s="12">
        <v>180.0</v>
      </c>
      <c r="L2820" s="13" t="str">
        <f>IF(D2820&lt;&gt;"",VLOOKUP(H2820,TABLEITEM,2,FALSE),"")</f>
        <v/>
      </c>
      <c r="M2820" s="13" t="str">
        <f>IF(D2820&lt;&gt;"",VLOOKUP(H2820,TABLEITEM,3,FALSE),"")</f>
        <v>CLERANER&amp;POLISH STANLESS STEEL 3M</v>
      </c>
      <c r="N2820" s="14">
        <f>INSTOCK!$I2820*INSTOCK!$K2820</f>
        <v>540</v>
      </c>
      <c r="O2820" s="4"/>
      <c r="P2820" s="4"/>
    </row>
    <row r="2821" ht="15.75" hidden="1" customHeight="1">
      <c r="B2821" s="8">
        <v>3140.0</v>
      </c>
      <c r="C2821" s="9">
        <v>43591.0</v>
      </c>
      <c r="D2821" s="6" t="s">
        <v>3792</v>
      </c>
      <c r="E2821" s="4">
        <v>6.205000682E9</v>
      </c>
      <c r="F2821" s="8" t="s">
        <v>604</v>
      </c>
      <c r="G2821" s="4" t="s">
        <v>950</v>
      </c>
      <c r="H2821" s="10" t="s">
        <v>1112</v>
      </c>
      <c r="I2821" s="10">
        <v>100.0</v>
      </c>
      <c r="J2821" s="11" t="str">
        <f>IF(D2821&lt;&gt;"",VLOOKUP(H2821,TABLEITEM,5,FALSE),"")</f>
        <v>M</v>
      </c>
      <c r="K2821" s="12">
        <v>8.5</v>
      </c>
      <c r="L2821" s="13" t="str">
        <f>IF(D2821&lt;&gt;"",VLOOKUP(H2821,TABLEITEM,2,FALSE),"")</f>
        <v/>
      </c>
      <c r="M2821" s="13" t="str">
        <f>IF(D2821&lt;&gt;"",VLOOKUP(H2821,TABLEITEM,3,FALSE),"")</f>
        <v>Heat Shrink G5 # 12   สีน้ำเงิน</v>
      </c>
      <c r="N2821" s="14">
        <f>INSTOCK!$I2821*INSTOCK!$K2821</f>
        <v>850</v>
      </c>
      <c r="O2821" s="4"/>
      <c r="P2821" s="4"/>
    </row>
    <row r="2822" ht="15.75" hidden="1" customHeight="1">
      <c r="B2822" s="8">
        <v>3141.0</v>
      </c>
      <c r="C2822" s="9">
        <v>43591.0</v>
      </c>
      <c r="D2822" s="6" t="s">
        <v>3792</v>
      </c>
      <c r="E2822" s="4">
        <v>6.205000682E9</v>
      </c>
      <c r="F2822" s="8" t="s">
        <v>604</v>
      </c>
      <c r="G2822" s="4" t="s">
        <v>950</v>
      </c>
      <c r="H2822" s="10" t="s">
        <v>1116</v>
      </c>
      <c r="I2822" s="10">
        <v>100.0</v>
      </c>
      <c r="J2822" s="11" t="str">
        <f>IF(D2822&lt;&gt;"",VLOOKUP(H2822,TABLEITEM,5,FALSE),"")</f>
        <v>M</v>
      </c>
      <c r="K2822" s="12">
        <v>8.5</v>
      </c>
      <c r="L2822" s="13" t="str">
        <f>IF(D2822&lt;&gt;"",VLOOKUP(H2822,TABLEITEM,2,FALSE),"")</f>
        <v/>
      </c>
      <c r="M2822" s="13" t="str">
        <f>IF(D2822&lt;&gt;"",VLOOKUP(H2822,TABLEITEM,3,FALSE),"")</f>
        <v>Heat Shrink G5 # 12   สีเหลือง</v>
      </c>
      <c r="N2822" s="14">
        <f>INSTOCK!$I2822*INSTOCK!$K2822</f>
        <v>850</v>
      </c>
      <c r="O2822" s="4"/>
      <c r="P2822" s="4"/>
    </row>
    <row r="2823" ht="15.75" hidden="1" customHeight="1">
      <c r="B2823" s="8">
        <v>3142.0</v>
      </c>
      <c r="C2823" s="9">
        <v>43589.0</v>
      </c>
      <c r="D2823" s="6">
        <v>6.2051101E7</v>
      </c>
      <c r="E2823" s="4">
        <v>6.205000688E9</v>
      </c>
      <c r="F2823" s="8" t="s">
        <v>604</v>
      </c>
      <c r="G2823" s="4" t="s">
        <v>1100</v>
      </c>
      <c r="H2823" s="10" t="s">
        <v>441</v>
      </c>
      <c r="I2823" s="10">
        <v>400.0</v>
      </c>
      <c r="J2823" s="11" t="str">
        <f>IF(D2823&lt;&gt;"",VLOOKUP(H2823,TABLEITEM,5,FALSE),"")</f>
        <v>EA</v>
      </c>
      <c r="K2823" s="12">
        <v>0.576</v>
      </c>
      <c r="L2823" s="13" t="str">
        <f>IF(D2823&lt;&gt;"",VLOOKUP(H2823,TABLEITEM,2,FALSE),"")</f>
        <v/>
      </c>
      <c r="M2823" s="13" t="str">
        <f>IF(D2823&lt;&gt;"",VLOOKUP(H2823,TABLEITEM,3,FALSE),"")</f>
        <v>ปลอกหุ้มหางปลา V-14 สีน้ำตาล</v>
      </c>
      <c r="N2823" s="14">
        <f>INSTOCK!$I2823*INSTOCK!$K2823</f>
        <v>230.4</v>
      </c>
      <c r="O2823" s="4" t="s">
        <v>1849</v>
      </c>
      <c r="P2823" s="4"/>
    </row>
    <row r="2824" ht="15.75" hidden="1" customHeight="1">
      <c r="B2824" s="8">
        <v>3143.0</v>
      </c>
      <c r="C2824" s="9">
        <v>43589.0</v>
      </c>
      <c r="D2824" s="6">
        <v>6.2051101E7</v>
      </c>
      <c r="E2824" s="4">
        <v>6.205000688E9</v>
      </c>
      <c r="F2824" s="8" t="s">
        <v>604</v>
      </c>
      <c r="G2824" s="4" t="s">
        <v>1100</v>
      </c>
      <c r="H2824" s="10" t="s">
        <v>380</v>
      </c>
      <c r="I2824" s="10">
        <v>200.0</v>
      </c>
      <c r="J2824" s="11" t="str">
        <f>IF(D2824&lt;&gt;"",VLOOKUP(H2824,TABLEITEM,5,FALSE),"")</f>
        <v>EA</v>
      </c>
      <c r="K2824" s="12">
        <v>0.576</v>
      </c>
      <c r="L2824" s="13" t="str">
        <f>IF(D2824&lt;&gt;"",VLOOKUP(H2824,TABLEITEM,2,FALSE),"")</f>
        <v/>
      </c>
      <c r="M2824" s="13" t="str">
        <f>IF(D2824&lt;&gt;"",VLOOKUP(H2824,TABLEITEM,3,FALSE),"")</f>
        <v>ปลอกหุ้มหางปลา V-14สีดำ</v>
      </c>
      <c r="N2824" s="14">
        <f>INSTOCK!$I2824*INSTOCK!$K2824</f>
        <v>115.2</v>
      </c>
      <c r="O2824" s="4" t="s">
        <v>1849</v>
      </c>
      <c r="P2824" s="4"/>
    </row>
    <row r="2825" ht="15.75" hidden="1" customHeight="1">
      <c r="B2825" s="8">
        <v>3144.0</v>
      </c>
      <c r="C2825" s="9">
        <v>43589.0</v>
      </c>
      <c r="D2825" s="6">
        <v>6.2051101E7</v>
      </c>
      <c r="E2825" s="4">
        <v>6.205000688E9</v>
      </c>
      <c r="F2825" s="8" t="s">
        <v>604</v>
      </c>
      <c r="G2825" s="4" t="s">
        <v>1100</v>
      </c>
      <c r="H2825" s="10" t="s">
        <v>1850</v>
      </c>
      <c r="I2825" s="10">
        <v>400.0</v>
      </c>
      <c r="J2825" s="11" t="str">
        <f>IF(D2825&lt;&gt;"",VLOOKUP(H2825,TABLEITEM,5,FALSE),"")</f>
        <v>EA</v>
      </c>
      <c r="K2825" s="12">
        <v>0.576</v>
      </c>
      <c r="L2825" s="13" t="str">
        <f>IF(D2825&lt;&gt;"",VLOOKUP(H2825,TABLEITEM,2,FALSE),"")</f>
        <v/>
      </c>
      <c r="M2825" s="13" t="str">
        <f>IF(D2825&lt;&gt;"",VLOOKUP(H2825,TABLEITEM,3,FALSE),"")</f>
        <v>ปลอกหุ้มหางปลา V-14 GY เขียวเหลือง</v>
      </c>
      <c r="N2825" s="14">
        <f>INSTOCK!$I2825*INSTOCK!$K2825</f>
        <v>230.4</v>
      </c>
      <c r="O2825" s="4" t="s">
        <v>1849</v>
      </c>
      <c r="P2825" s="4"/>
    </row>
    <row r="2826" ht="15.75" hidden="1" customHeight="1">
      <c r="B2826" s="8">
        <v>3145.0</v>
      </c>
      <c r="C2826" s="9">
        <v>43592.0</v>
      </c>
      <c r="D2826" s="6" t="s">
        <v>3793</v>
      </c>
      <c r="E2826" s="4">
        <v>6.204000611E9</v>
      </c>
      <c r="F2826" s="8" t="s">
        <v>604</v>
      </c>
      <c r="G2826" s="4" t="s">
        <v>2121</v>
      </c>
      <c r="H2826" s="10" t="s">
        <v>3794</v>
      </c>
      <c r="I2826" s="10">
        <v>100.0</v>
      </c>
      <c r="J2826" s="11" t="str">
        <f>IF(D2826&lt;&gt;"",VLOOKUP(H2826,TABLEITEM,5,FALSE),"")</f>
        <v>EA</v>
      </c>
      <c r="K2826" s="12">
        <v>60.0</v>
      </c>
      <c r="L2826" s="13" t="str">
        <f>IF(D2826&lt;&gt;"",VLOOKUP(H2826,TABLEITEM,2,FALSE),"")</f>
        <v/>
      </c>
      <c r="M2826" s="13" t="str">
        <f>IF(D2826&lt;&gt;"",VLOOKUP(H2826,TABLEITEM,3,FALSE),"")</f>
        <v>สตัดเกลียว 2 ข้าง M8x195</v>
      </c>
      <c r="N2826" s="14">
        <f>INSTOCK!$I2826*INSTOCK!$K2826</f>
        <v>6000</v>
      </c>
      <c r="O2826" s="4"/>
      <c r="P2826" s="4"/>
    </row>
    <row r="2827" ht="15.75" hidden="1" customHeight="1">
      <c r="B2827" s="8">
        <v>3146.0</v>
      </c>
      <c r="C2827" s="9">
        <v>43589.0</v>
      </c>
      <c r="D2827" s="6" t="s">
        <v>3795</v>
      </c>
      <c r="E2827" s="4">
        <v>6.205000684E9</v>
      </c>
      <c r="F2827" s="8" t="s">
        <v>604</v>
      </c>
      <c r="G2827" s="4" t="s">
        <v>721</v>
      </c>
      <c r="H2827" s="10" t="s">
        <v>224</v>
      </c>
      <c r="I2827" s="10">
        <v>100.0</v>
      </c>
      <c r="J2827" s="11" t="str">
        <f>IF(D2827&lt;&gt;"",VLOOKUP(H2827,TABLEITEM,5,FALSE),"")</f>
        <v>M</v>
      </c>
      <c r="K2827" s="12">
        <v>11.9795</v>
      </c>
      <c r="L2827" s="13" t="str">
        <f>IF(D2827&lt;&gt;"",VLOOKUP(H2827,TABLEITEM,2,FALSE),"")</f>
        <v/>
      </c>
      <c r="M2827" s="13" t="str">
        <f>IF(D2827&lt;&gt;"",VLOOKUP(H2827,TABLEITEM,3,FALSE),"")</f>
        <v>ท่ออ่อนลูกฟูกชิดผ่า/ท่อผ่าดำ 15มิล</v>
      </c>
      <c r="N2827" s="14">
        <f>INSTOCK!$I2827*INSTOCK!$K2827</f>
        <v>1197.95</v>
      </c>
      <c r="O2827" s="4" t="s">
        <v>1160</v>
      </c>
      <c r="P2827" s="4"/>
    </row>
    <row r="2828" ht="15.75" hidden="1" customHeight="1">
      <c r="B2828" s="8">
        <v>3147.0</v>
      </c>
      <c r="C2828" s="9">
        <v>43589.0</v>
      </c>
      <c r="D2828" s="6" t="s">
        <v>3795</v>
      </c>
      <c r="E2828" s="4">
        <v>6.205000684E9</v>
      </c>
      <c r="F2828" s="8" t="s">
        <v>604</v>
      </c>
      <c r="G2828" s="4" t="s">
        <v>721</v>
      </c>
      <c r="H2828" s="10" t="s">
        <v>160</v>
      </c>
      <c r="I2828" s="10">
        <v>1000.0</v>
      </c>
      <c r="J2828" s="11" t="str">
        <f>IF(D2828&lt;&gt;"",VLOOKUP(H2828,TABLEITEM,5,FALSE),"")</f>
        <v>EA</v>
      </c>
      <c r="K2828" s="12">
        <v>1.0476</v>
      </c>
      <c r="L2828" s="13" t="str">
        <f>IF(D2828&lt;&gt;"",VLOOKUP(H2828,TABLEITEM,2,FALSE),"")</f>
        <v/>
      </c>
      <c r="M2828" s="13" t="str">
        <f>IF(D2828&lt;&gt;"",VLOOKUP(H2828,TABLEITEM,3,FALSE),"")</f>
        <v>เคเบิ้ลไทร์ 4" สีดำCT-100-B-2C</v>
      </c>
      <c r="N2828" s="14">
        <f>INSTOCK!$I2828*INSTOCK!$K2828</f>
        <v>1047.6</v>
      </c>
      <c r="O2828" s="4" t="s">
        <v>1404</v>
      </c>
      <c r="P2828" s="4"/>
    </row>
    <row r="2829" ht="15.75" hidden="1" customHeight="1">
      <c r="B2829" s="8">
        <v>3148.0</v>
      </c>
      <c r="C2829" s="9">
        <v>43589.0</v>
      </c>
      <c r="D2829" s="6" t="s">
        <v>3795</v>
      </c>
      <c r="E2829" s="4">
        <v>6.205000684E9</v>
      </c>
      <c r="F2829" s="8" t="s">
        <v>604</v>
      </c>
      <c r="G2829" s="4" t="s">
        <v>721</v>
      </c>
      <c r="H2829" s="10" t="s">
        <v>1162</v>
      </c>
      <c r="I2829" s="10">
        <v>1500.0</v>
      </c>
      <c r="J2829" s="11" t="str">
        <f>IF(D2829&lt;&gt;"",VLOOKUP(H2829,TABLEITEM,5,FALSE),"")</f>
        <v>EA</v>
      </c>
      <c r="K2829" s="12">
        <v>1.198</v>
      </c>
      <c r="L2829" s="13" t="str">
        <f>IF(D2829&lt;&gt;"",VLOOKUP(H2829,TABLEITEM,2,FALSE),"")</f>
        <v/>
      </c>
      <c r="M2829" s="13" t="str">
        <f>IF(D2829&lt;&gt;"",VLOOKUP(H2829,TABLEITEM,3,FALSE),"")</f>
        <v>บุชชิ่งสแน๊ป</v>
      </c>
      <c r="N2829" s="14">
        <f>INSTOCK!$I2829*INSTOCK!$K2829</f>
        <v>1797</v>
      </c>
      <c r="O2829" s="4" t="s">
        <v>3796</v>
      </c>
      <c r="P2829" s="4"/>
    </row>
    <row r="2830" ht="15.75" hidden="1" customHeight="1">
      <c r="B2830" s="8">
        <v>3149.0</v>
      </c>
      <c r="C2830" s="9">
        <v>43593.0</v>
      </c>
      <c r="D2830" s="6" t="s">
        <v>3797</v>
      </c>
      <c r="E2830" s="4">
        <v>6.205000691E9</v>
      </c>
      <c r="F2830" s="8" t="s">
        <v>3713</v>
      </c>
      <c r="G2830" s="26" t="s">
        <v>1763</v>
      </c>
      <c r="H2830" s="10" t="s">
        <v>3798</v>
      </c>
      <c r="I2830" s="10">
        <v>4.0</v>
      </c>
      <c r="J2830" s="11" t="str">
        <f>IF(D2830&lt;&gt;"",VLOOKUP(H2830,TABLEITEM,5,FALSE),"")</f>
        <v>EA</v>
      </c>
      <c r="K2830" s="12">
        <v>1040.0</v>
      </c>
      <c r="L2830" s="13" t="str">
        <f>IF(D2830&lt;&gt;"",VLOOKUP(H2830,TABLEITEM,2,FALSE),"")</f>
        <v/>
      </c>
      <c r="M2830" s="13" t="str">
        <f>IF(D2830&lt;&gt;"",VLOOKUP(H2830,TABLEITEM,3,FALSE),"")</f>
        <v>AM1-AP-2A</v>
      </c>
      <c r="N2830" s="14">
        <f>INSTOCK!$I2830*INSTOCK!$K2830</f>
        <v>4160</v>
      </c>
      <c r="O2830" s="4" t="s">
        <v>3799</v>
      </c>
      <c r="P2830" s="4"/>
    </row>
    <row r="2831" ht="15.75" hidden="1" customHeight="1">
      <c r="B2831" s="8">
        <v>3150.0</v>
      </c>
      <c r="C2831" s="9">
        <v>43592.0</v>
      </c>
      <c r="D2831" s="6" t="s">
        <v>3800</v>
      </c>
      <c r="E2831" s="4">
        <v>6.205000695E9</v>
      </c>
      <c r="F2831" s="8" t="s">
        <v>604</v>
      </c>
      <c r="G2831" s="4" t="s">
        <v>1870</v>
      </c>
      <c r="H2831" s="10" t="s">
        <v>3801</v>
      </c>
      <c r="I2831" s="10">
        <v>500.0</v>
      </c>
      <c r="J2831" s="11" t="str">
        <f>IF(D2831&lt;&gt;"",VLOOKUP(H2831,TABLEITEM,5,FALSE),"")</f>
        <v>EA</v>
      </c>
      <c r="K2831" s="12">
        <v>0.65</v>
      </c>
      <c r="L2831" s="13" t="str">
        <f>IF(D2831&lt;&gt;"",VLOOKUP(H2831,TABLEITEM,2,FALSE),"")</f>
        <v/>
      </c>
      <c r="M2831" s="13" t="str">
        <f>IF(D2831&lt;&gt;"",VLOOKUP(H2831,TABLEITEM,3,FALSE),"")</f>
        <v>สกรูสแตนเลสหัวกลม M5x8</v>
      </c>
      <c r="N2831" s="14">
        <f>INSTOCK!$I2831*INSTOCK!$K2831</f>
        <v>325</v>
      </c>
      <c r="O2831" s="4" t="s">
        <v>3802</v>
      </c>
      <c r="P2831" s="4"/>
    </row>
    <row r="2832" ht="15.75" hidden="1" customHeight="1">
      <c r="B2832" s="8">
        <v>3151.0</v>
      </c>
      <c r="C2832" s="9">
        <v>43592.0</v>
      </c>
      <c r="D2832" s="6" t="s">
        <v>3800</v>
      </c>
      <c r="E2832" s="4">
        <v>6.205000695E9</v>
      </c>
      <c r="F2832" s="8" t="s">
        <v>604</v>
      </c>
      <c r="G2832" s="4" t="s">
        <v>1870</v>
      </c>
      <c r="H2832" s="10" t="s">
        <v>3803</v>
      </c>
      <c r="I2832" s="10">
        <v>1000.0</v>
      </c>
      <c r="J2832" s="11" t="str">
        <f>IF(D2832&lt;&gt;"",VLOOKUP(H2832,TABLEITEM,5,FALSE),"")</f>
        <v>EA</v>
      </c>
      <c r="K2832" s="12">
        <v>0.3</v>
      </c>
      <c r="L2832" s="13" t="str">
        <f>IF(D2832&lt;&gt;"",VLOOKUP(H2832,TABLEITEM,2,FALSE),"")</f>
        <v/>
      </c>
      <c r="M2832" s="13" t="str">
        <f>IF(D2832&lt;&gt;"",VLOOKUP(H2832,TABLEITEM,3,FALSE),"")</f>
        <v>แหวนสปริง สแตนเลส M8</v>
      </c>
      <c r="N2832" s="14">
        <f>INSTOCK!$I2832*INSTOCK!$K2832</f>
        <v>300</v>
      </c>
      <c r="O2832" s="4" t="s">
        <v>3804</v>
      </c>
      <c r="P2832" s="4"/>
    </row>
    <row r="2833" ht="15.75" hidden="1" customHeight="1">
      <c r="B2833" s="8">
        <v>3152.0</v>
      </c>
      <c r="C2833" s="9">
        <v>43592.0</v>
      </c>
      <c r="D2833" s="6" t="s">
        <v>3800</v>
      </c>
      <c r="E2833" s="4">
        <v>6.205000695E9</v>
      </c>
      <c r="F2833" s="8" t="s">
        <v>604</v>
      </c>
      <c r="G2833" s="4" t="s">
        <v>1870</v>
      </c>
      <c r="H2833" s="10" t="s">
        <v>3224</v>
      </c>
      <c r="I2833" s="10">
        <v>1000.0</v>
      </c>
      <c r="J2833" s="11" t="str">
        <f>IF(D2833&lt;&gt;"",VLOOKUP(H2833,TABLEITEM,5,FALSE),"")</f>
        <v>EA</v>
      </c>
      <c r="K2833" s="12">
        <v>0.7525</v>
      </c>
      <c r="L2833" s="13" t="str">
        <f>IF(D2833&lt;&gt;"",VLOOKUP(H2833,TABLEITEM,2,FALSE),"")</f>
        <v/>
      </c>
      <c r="M2833" s="13" t="str">
        <f>IF(D2833&lt;&gt;"",VLOOKUP(H2833,TABLEITEM,3,FALSE),"")</f>
        <v>สกรูหัวเหลี่ยมสเตนเลส M6x16</v>
      </c>
      <c r="N2833" s="14">
        <f>INSTOCK!$I2833*INSTOCK!$K2833</f>
        <v>752.5</v>
      </c>
      <c r="O2833" s="4" t="s">
        <v>3805</v>
      </c>
      <c r="P2833" s="4"/>
    </row>
    <row r="2834" ht="15.75" hidden="1" customHeight="1">
      <c r="B2834" s="8">
        <v>3153.0</v>
      </c>
      <c r="C2834" s="9">
        <v>43593.0</v>
      </c>
      <c r="D2834" s="6" t="s">
        <v>3806</v>
      </c>
      <c r="E2834" s="4">
        <v>6.20500069E9</v>
      </c>
      <c r="F2834" s="8" t="s">
        <v>604</v>
      </c>
      <c r="G2834" s="4" t="s">
        <v>1289</v>
      </c>
      <c r="H2834" s="10" t="s">
        <v>3807</v>
      </c>
      <c r="I2834" s="10">
        <v>2000.0</v>
      </c>
      <c r="J2834" s="11" t="str">
        <f>IF(D2834&lt;&gt;"",VLOOKUP(H2834,TABLEITEM,5,FALSE),"")</f>
        <v>EA</v>
      </c>
      <c r="K2834" s="12">
        <v>2.025</v>
      </c>
      <c r="L2834" s="13" t="str">
        <f>IF(D2834&lt;&gt;"",VLOOKUP(H2834,TABLEITEM,2,FALSE),"")</f>
        <v/>
      </c>
      <c r="M2834" s="13" t="str">
        <f>IF(D2834&lt;&gt;"",VLOOKUP(H2834,TABLEITEM,3,FALSE),"")</f>
        <v>สกรูตู้แบตหัวจมแบน M6x40</v>
      </c>
      <c r="N2834" s="14">
        <f>INSTOCK!$I2834*INSTOCK!$K2834</f>
        <v>4050</v>
      </c>
      <c r="O2834" s="4" t="s">
        <v>3808</v>
      </c>
      <c r="P2834" s="4"/>
    </row>
    <row r="2835" ht="15.75" hidden="1" customHeight="1">
      <c r="B2835" s="8">
        <v>3154.0</v>
      </c>
      <c r="C2835" s="9">
        <v>43589.0</v>
      </c>
      <c r="D2835" s="6" t="s">
        <v>3809</v>
      </c>
      <c r="E2835" s="4">
        <v>6.205000624E9</v>
      </c>
      <c r="F2835" s="8" t="s">
        <v>3727</v>
      </c>
      <c r="G2835" s="4" t="s">
        <v>1289</v>
      </c>
      <c r="H2835" s="10" t="s">
        <v>3810</v>
      </c>
      <c r="I2835" s="10">
        <v>2.0</v>
      </c>
      <c r="J2835" s="11" t="str">
        <f>IF(D2835&lt;&gt;"",VLOOKUP(H2835,TABLEITEM,5,FALSE),"")</f>
        <v/>
      </c>
      <c r="K2835" s="12">
        <v>250.0</v>
      </c>
      <c r="L2835" s="13" t="str">
        <f>IF(D2835&lt;&gt;"",VLOOKUP(H2835,TABLEITEM,2,FALSE),"")</f>
        <v/>
      </c>
      <c r="M2835" s="13" t="str">
        <f>IF(D2835&lt;&gt;"",VLOOKUP(H2835,TABLEITEM,3,FALSE),"")</f>
        <v>ชุดลูกล้อบานเลื่อนประตูล้อเหลือง</v>
      </c>
      <c r="N2835" s="14">
        <f>INSTOCK!$I2835*INSTOCK!$K2835</f>
        <v>500</v>
      </c>
      <c r="O2835" s="4"/>
      <c r="P2835" s="4"/>
    </row>
    <row r="2836" ht="15.75" hidden="1" customHeight="1">
      <c r="B2836" s="8">
        <v>3155.0</v>
      </c>
      <c r="C2836" s="9">
        <v>43589.0</v>
      </c>
      <c r="D2836" s="6" t="s">
        <v>3809</v>
      </c>
      <c r="E2836" s="4">
        <v>6.205000624E9</v>
      </c>
      <c r="F2836" s="8" t="s">
        <v>3727</v>
      </c>
      <c r="G2836" s="4" t="s">
        <v>1289</v>
      </c>
      <c r="H2836" s="10" t="s">
        <v>3811</v>
      </c>
      <c r="I2836" s="10">
        <v>2.0</v>
      </c>
      <c r="J2836" s="11" t="str">
        <f>IF(D2836&lt;&gt;"",VLOOKUP(H2836,TABLEITEM,5,FALSE),"")</f>
        <v/>
      </c>
      <c r="K2836" s="12">
        <v>320.0</v>
      </c>
      <c r="L2836" s="13" t="str">
        <f>IF(D2836&lt;&gt;"",VLOOKUP(H2836,TABLEITEM,2,FALSE),"")</f>
        <v/>
      </c>
      <c r="M2836" s="13" t="str">
        <f>IF(D2836&lt;&gt;"",VLOOKUP(H2836,TABLEITEM,3,FALSE),"")</f>
        <v>ชุดลูกล้อบานเลื่อนประตูลูกล้อขาว</v>
      </c>
      <c r="N2836" s="14">
        <f>INSTOCK!$I2836*INSTOCK!$K2836</f>
        <v>640</v>
      </c>
      <c r="O2836" s="4"/>
      <c r="P2836" s="4"/>
    </row>
    <row r="2837" ht="15.75" hidden="1" customHeight="1">
      <c r="B2837" s="8">
        <v>3156.0</v>
      </c>
      <c r="C2837" s="9">
        <v>43589.0</v>
      </c>
      <c r="D2837" s="6" t="s">
        <v>3809</v>
      </c>
      <c r="E2837" s="4">
        <v>6.205000624E9</v>
      </c>
      <c r="F2837" s="8" t="s">
        <v>3727</v>
      </c>
      <c r="G2837" s="4" t="s">
        <v>1289</v>
      </c>
      <c r="H2837" s="10" t="s">
        <v>3812</v>
      </c>
      <c r="I2837" s="10">
        <v>2.0</v>
      </c>
      <c r="J2837" s="11" t="str">
        <f>IF(D2837&lt;&gt;"",VLOOKUP(H2837,TABLEITEM,5,FALSE),"")</f>
        <v/>
      </c>
      <c r="K2837" s="12">
        <v>600.0</v>
      </c>
      <c r="L2837" s="13" t="str">
        <f>IF(D2837&lt;&gt;"",VLOOKUP(H2837,TABLEITEM,2,FALSE),"")</f>
        <v/>
      </c>
      <c r="M2837" s="13" t="str">
        <f>IF(D2837&lt;&gt;"",VLOOKUP(H2837,TABLEITEM,3,FALSE),"")</f>
        <v>รางลูกล้อไซเลนส์รุ่นหนาไม่มีปลีก อโนไดซ์</v>
      </c>
      <c r="N2837" s="14">
        <f>INSTOCK!$I2837*INSTOCK!$K2837</f>
        <v>1200</v>
      </c>
      <c r="O2837" s="4"/>
      <c r="P2837" s="4"/>
    </row>
    <row r="2838" ht="15.75" hidden="1" customHeight="1">
      <c r="B2838" s="8">
        <v>3157.0</v>
      </c>
      <c r="C2838" s="9">
        <v>43594.0</v>
      </c>
      <c r="D2838" s="6" t="s">
        <v>3813</v>
      </c>
      <c r="E2838" s="4"/>
      <c r="F2838" s="8" t="s">
        <v>801</v>
      </c>
      <c r="G2838" s="4" t="s">
        <v>1417</v>
      </c>
      <c r="H2838" s="10" t="s">
        <v>3814</v>
      </c>
      <c r="I2838" s="10">
        <v>15.0</v>
      </c>
      <c r="J2838" s="11" t="str">
        <f>IF(D2838&lt;&gt;"",VLOOKUP(H2838,TABLEITEM,5,FALSE),"")</f>
        <v>ถัง</v>
      </c>
      <c r="K2838" s="12">
        <v>981.31</v>
      </c>
      <c r="L2838" s="13" t="str">
        <f>IF(D2838&lt;&gt;"",VLOOKUP(H2838,TABLEITEM,2,FALSE),"")</f>
        <v/>
      </c>
      <c r="M2838" s="13" t="str">
        <f>IF(D2838&lt;&gt;"",VLOOKUP(H2838,TABLEITEM,3,FALSE),"")</f>
        <v>แก๊สหุงต้ม 48กก</v>
      </c>
      <c r="N2838" s="14">
        <f>INSTOCK!$I2838*INSTOCK!$K2838</f>
        <v>14719.65</v>
      </c>
      <c r="O2838" s="4"/>
      <c r="P2838" s="4"/>
    </row>
    <row r="2839" ht="15.75" hidden="1" customHeight="1">
      <c r="B2839" s="8">
        <v>3158.0</v>
      </c>
      <c r="C2839" s="9">
        <v>43594.0</v>
      </c>
      <c r="D2839" s="6" t="s">
        <v>3815</v>
      </c>
      <c r="E2839" s="4">
        <v>6.205000703E9</v>
      </c>
      <c r="F2839" s="8" t="s">
        <v>3816</v>
      </c>
      <c r="G2839" s="4" t="s">
        <v>702</v>
      </c>
      <c r="H2839" s="10" t="s">
        <v>707</v>
      </c>
      <c r="I2839" s="10">
        <v>40.0</v>
      </c>
      <c r="J2839" s="11" t="str">
        <f>IF(D2839&lt;&gt;"",VLOOKUP(H2839,TABLEITEM,5,FALSE),"")</f>
        <v>KG.</v>
      </c>
      <c r="K2839" s="12">
        <v>180.0</v>
      </c>
      <c r="L2839" s="13" t="str">
        <f>IF(D2839&lt;&gt;"",VLOOKUP(H2839,TABLEITEM,2,FALSE),"")</f>
        <v/>
      </c>
      <c r="M2839" s="13" t="str">
        <f>IF(D2839&lt;&gt;"",VLOOKUP(H2839,TABLEITEM,3,FALSE),"")</f>
        <v>สีฝุ่น BFF/8551/C</v>
      </c>
      <c r="N2839" s="14">
        <f>INSTOCK!$I2839*INSTOCK!$K2839</f>
        <v>7200</v>
      </c>
      <c r="O2839" s="4"/>
      <c r="P2839" s="4"/>
    </row>
    <row r="2840" ht="15.75" hidden="1" customHeight="1">
      <c r="B2840" s="8">
        <v>3159.0</v>
      </c>
      <c r="C2840" s="9">
        <v>43594.0</v>
      </c>
      <c r="D2840" s="6" t="s">
        <v>3815</v>
      </c>
      <c r="E2840" s="4">
        <v>6.205000703E9</v>
      </c>
      <c r="F2840" s="8" t="s">
        <v>3816</v>
      </c>
      <c r="G2840" s="4" t="s">
        <v>702</v>
      </c>
      <c r="H2840" s="10" t="s">
        <v>779</v>
      </c>
      <c r="I2840" s="10">
        <v>100.0</v>
      </c>
      <c r="J2840" s="11" t="str">
        <f>IF(D2840&lt;&gt;"",VLOOKUP(H2840,TABLEITEM,5,FALSE),"")</f>
        <v>KG.</v>
      </c>
      <c r="K2840" s="12">
        <v>130.0</v>
      </c>
      <c r="L2840" s="13" t="str">
        <f>IF(D2840&lt;&gt;"",VLOOKUP(H2840,TABLEITEM,2,FALSE),"")</f>
        <v/>
      </c>
      <c r="M2840" s="13" t="str">
        <f>IF(D2840&lt;&gt;"",VLOOKUP(H2840,TABLEITEM,3,FALSE),"")</f>
        <v>สีฝุ่น FF110/948/C สีครีม</v>
      </c>
      <c r="N2840" s="14">
        <f>INSTOCK!$I2840*INSTOCK!$K2840</f>
        <v>13000</v>
      </c>
      <c r="O2840" s="4"/>
      <c r="P2840" s="4"/>
    </row>
    <row r="2841" ht="15.75" hidden="1" customHeight="1">
      <c r="B2841" s="8">
        <v>3160.0</v>
      </c>
      <c r="C2841" s="9">
        <v>43594.0</v>
      </c>
      <c r="D2841" s="6">
        <v>1905082.0</v>
      </c>
      <c r="E2841" s="4">
        <v>6.205000713E9</v>
      </c>
      <c r="F2841" s="8" t="s">
        <v>604</v>
      </c>
      <c r="G2841" s="4" t="s">
        <v>3817</v>
      </c>
      <c r="H2841" s="10" t="s">
        <v>85</v>
      </c>
      <c r="I2841" s="10">
        <v>200.0</v>
      </c>
      <c r="J2841" s="11" t="str">
        <f>IF(D2841&lt;&gt;"",VLOOKUP(H2841,TABLEITEM,5,FALSE),"")</f>
        <v>KG.</v>
      </c>
      <c r="K2841" s="12">
        <v>112.0</v>
      </c>
      <c r="L2841" s="13" t="str">
        <f>IF(D2841&lt;&gt;"",VLOOKUP(H2841,TABLEITEM,2,FALSE),"")</f>
        <v/>
      </c>
      <c r="M2841" s="13" t="str">
        <f>IF(D2841&lt;&gt;"",VLOOKUP(H2841,TABLEITEM,3,FALSE),"")</f>
        <v>สีฝุ่น GH433241 สีเทาย่น</v>
      </c>
      <c r="N2841" s="14">
        <f>INSTOCK!$I2841*INSTOCK!$K2841</f>
        <v>22400</v>
      </c>
      <c r="O2841" s="4"/>
      <c r="P2841" s="4"/>
    </row>
    <row r="2842" ht="15.75" hidden="1" customHeight="1">
      <c r="B2842" s="8">
        <v>3161.0</v>
      </c>
      <c r="C2842" s="9">
        <v>43594.0</v>
      </c>
      <c r="D2842" s="6" t="s">
        <v>3818</v>
      </c>
      <c r="E2842" s="4">
        <v>6.205000705E9</v>
      </c>
      <c r="F2842" s="8" t="s">
        <v>604</v>
      </c>
      <c r="G2842" s="4" t="s">
        <v>808</v>
      </c>
      <c r="H2842" s="10" t="s">
        <v>818</v>
      </c>
      <c r="I2842" s="10">
        <v>12.0</v>
      </c>
      <c r="J2842" s="11" t="str">
        <f>IF(D2842&lt;&gt;"",VLOOKUP(H2842,TABLEITEM,5,FALSE),"")</f>
        <v>ท่อ</v>
      </c>
      <c r="K2842" s="12">
        <v>300.0</v>
      </c>
      <c r="L2842" s="13" t="str">
        <f>IF(D2842&lt;&gt;"",VLOOKUP(H2842,TABLEITEM,2,FALSE),"")</f>
        <v/>
      </c>
      <c r="M2842" s="13" t="str">
        <f>IF(D2842&lt;&gt;"",VLOOKUP(H2842,TABLEITEM,3,FALSE),"")</f>
        <v>คาร์บอนไดออกไซด์ ขนาด 25 กก</v>
      </c>
      <c r="N2842" s="14">
        <f>INSTOCK!$I2842*INSTOCK!$K2842</f>
        <v>3600</v>
      </c>
      <c r="O2842" s="4"/>
      <c r="P2842" s="4"/>
    </row>
    <row r="2843" ht="15.75" hidden="1" customHeight="1">
      <c r="B2843" s="8">
        <v>3162.0</v>
      </c>
      <c r="C2843" s="9">
        <v>43594.0</v>
      </c>
      <c r="D2843" s="6">
        <v>6.2050095E7</v>
      </c>
      <c r="E2843" s="4">
        <v>6.205000708E9</v>
      </c>
      <c r="F2843" s="8" t="s">
        <v>604</v>
      </c>
      <c r="G2843" s="4" t="s">
        <v>1127</v>
      </c>
      <c r="H2843" s="10" t="s">
        <v>17</v>
      </c>
      <c r="I2843" s="10">
        <v>24.0</v>
      </c>
      <c r="J2843" s="11" t="str">
        <f>IF(D2843&lt;&gt;"",VLOOKUP(H2843,TABLEITEM,5,FALSE),"")</f>
        <v>คู่</v>
      </c>
      <c r="K2843" s="12">
        <v>41.67</v>
      </c>
      <c r="L2843" s="13" t="str">
        <f>IF(D2843&lt;&gt;"",VLOOKUP(H2843,TABLEITEM,2,FALSE),"")</f>
        <v/>
      </c>
      <c r="M2843" s="13" t="str">
        <f>IF(D2843&lt;&gt;"",VLOOKUP(H2843,TABLEITEM,3,FALSE),"")</f>
        <v>ถุงมือหนัง</v>
      </c>
      <c r="N2843" s="14">
        <f>INSTOCK!$I2843*INSTOCK!$K2843</f>
        <v>1000.08</v>
      </c>
      <c r="O2843" s="4"/>
      <c r="P2843" s="4"/>
    </row>
    <row r="2844" ht="15.75" hidden="1" customHeight="1">
      <c r="B2844" s="8">
        <v>3163.0</v>
      </c>
      <c r="C2844" s="9">
        <v>43594.0</v>
      </c>
      <c r="D2844" s="6" t="s">
        <v>3819</v>
      </c>
      <c r="E2844" s="4">
        <v>6.205000715E9</v>
      </c>
      <c r="F2844" s="8" t="s">
        <v>604</v>
      </c>
      <c r="G2844" s="4" t="s">
        <v>965</v>
      </c>
      <c r="H2844" s="10" t="s">
        <v>3161</v>
      </c>
      <c r="I2844" s="10">
        <v>100.0</v>
      </c>
      <c r="J2844" s="11" t="str">
        <f>IF(D2844&lt;&gt;"",VLOOKUP(H2844,TABLEITEM,5,FALSE),"")</f>
        <v>EA</v>
      </c>
      <c r="K2844" s="12">
        <v>100.0</v>
      </c>
      <c r="L2844" s="13" t="str">
        <f>IF(D2844&lt;&gt;"",VLOOKUP(H2844,TABLEITEM,2,FALSE),"")</f>
        <v/>
      </c>
      <c r="M2844" s="13" t="str">
        <f>IF(D2844&lt;&gt;"",VLOOKUP(H2844,TABLEITEM,3,FALSE),"")</f>
        <v>ใบตัดเหล็ก 4" SUMO</v>
      </c>
      <c r="N2844" s="14">
        <f>INSTOCK!$I2844*INSTOCK!$K2844</f>
        <v>10000</v>
      </c>
      <c r="O2844" s="4"/>
      <c r="P2844" s="4"/>
    </row>
    <row r="2845" ht="15.75" hidden="1" customHeight="1">
      <c r="B2845" s="8">
        <v>3164.0</v>
      </c>
      <c r="C2845" s="9">
        <v>43594.0</v>
      </c>
      <c r="D2845" s="6" t="s">
        <v>3820</v>
      </c>
      <c r="E2845" s="4">
        <v>6.205000704E9</v>
      </c>
      <c r="F2845" s="8" t="s">
        <v>2663</v>
      </c>
      <c r="G2845" s="4" t="s">
        <v>965</v>
      </c>
      <c r="H2845" s="10" t="s">
        <v>2151</v>
      </c>
      <c r="I2845" s="10">
        <v>1.0</v>
      </c>
      <c r="J2845" s="11" t="str">
        <f>IF(D2845&lt;&gt;"",VLOOKUP(H2845,TABLEITEM,5,FALSE),"")</f>
        <v>EA</v>
      </c>
      <c r="K2845" s="12">
        <v>1400.0</v>
      </c>
      <c r="L2845" s="13" t="str">
        <f>IF(D2845&lt;&gt;"",VLOOKUP(H2845,TABLEITEM,2,FALSE),"")</f>
        <v/>
      </c>
      <c r="M2845" s="13" t="str">
        <f>IF(D2845&lt;&gt;"",VLOOKUP(H2845,TABLEITEM,3,FALSE),"")</f>
        <v>เครื่องเจียร์ 7-100 BOSCH</v>
      </c>
      <c r="N2845" s="14">
        <f>INSTOCK!$I2845*INSTOCK!$K2845</f>
        <v>1400</v>
      </c>
      <c r="O2845" s="4"/>
      <c r="P2845" s="4"/>
    </row>
    <row r="2846" ht="15.75" hidden="1" customHeight="1">
      <c r="B2846" s="8">
        <v>3165.0</v>
      </c>
      <c r="C2846" s="9">
        <v>43594.0</v>
      </c>
      <c r="D2846" s="6" t="s">
        <v>3821</v>
      </c>
      <c r="E2846" s="4">
        <v>6.204000667E9</v>
      </c>
      <c r="F2846" s="8" t="s">
        <v>3759</v>
      </c>
      <c r="G2846" s="4" t="s">
        <v>965</v>
      </c>
      <c r="H2846" s="18" t="s">
        <v>2879</v>
      </c>
      <c r="I2846" s="10">
        <v>200.0</v>
      </c>
      <c r="J2846" s="11" t="str">
        <f>IF(D2846&lt;&gt;"",VLOOKUP(H2846,TABLEITEM,5,FALSE),"")</f>
        <v>EA</v>
      </c>
      <c r="K2846" s="12">
        <v>8.5</v>
      </c>
      <c r="L2846" s="13" t="str">
        <f>IF(D2846&lt;&gt;"",VLOOKUP(H2846,TABLEITEM,2,FALSE),"")</f>
        <v/>
      </c>
      <c r="M2846" s="13" t="str">
        <f>IF(D2846&lt;&gt;"",VLOOKUP(H2846,TABLEITEM,3,FALSE),"")</f>
        <v>กลอนประตู 6นิ้ว สีโครเมี่ยม</v>
      </c>
      <c r="N2846" s="14">
        <f>INSTOCK!$I2846*INSTOCK!$K2846</f>
        <v>1700</v>
      </c>
      <c r="O2846" s="4"/>
      <c r="P2846" s="4"/>
    </row>
    <row r="2847" ht="15.75" hidden="1" customHeight="1">
      <c r="B2847" s="8">
        <v>3166.0</v>
      </c>
      <c r="C2847" s="9">
        <v>43594.0</v>
      </c>
      <c r="D2847" s="6" t="s">
        <v>3821</v>
      </c>
      <c r="E2847" s="4">
        <v>6.204000667E9</v>
      </c>
      <c r="F2847" s="8" t="s">
        <v>3759</v>
      </c>
      <c r="G2847" s="4" t="s">
        <v>965</v>
      </c>
      <c r="H2847" s="10" t="s">
        <v>42</v>
      </c>
      <c r="I2847" s="10">
        <v>2.0</v>
      </c>
      <c r="J2847" s="11" t="str">
        <f>IF(D2847&lt;&gt;"",VLOOKUP(H2847,TABLEITEM,5,FALSE),"")</f>
        <v>กล.</v>
      </c>
      <c r="K2847" s="12">
        <v>250.0</v>
      </c>
      <c r="L2847" s="13" t="str">
        <f>IF(D2847&lt;&gt;"",VLOOKUP(H2847,TABLEITEM,2,FALSE),"")</f>
        <v/>
      </c>
      <c r="M2847" s="13" t="str">
        <f>IF(D2847&lt;&gt;"",VLOOKUP(H2847,TABLEITEM,3,FALSE),"")</f>
        <v>แอลกอฮอลดีพิเศษ</v>
      </c>
      <c r="N2847" s="14">
        <f>INSTOCK!$I2847*INSTOCK!$K2847</f>
        <v>500</v>
      </c>
      <c r="O2847" s="4"/>
      <c r="P2847" s="4"/>
    </row>
    <row r="2848" ht="15.75" hidden="1" customHeight="1">
      <c r="B2848" s="8">
        <v>3167.0</v>
      </c>
      <c r="C2848" s="9">
        <v>43531.0</v>
      </c>
      <c r="D2848" s="6" t="s">
        <v>3822</v>
      </c>
      <c r="E2848" s="4"/>
      <c r="F2848" s="8"/>
      <c r="G2848" s="4" t="s">
        <v>2941</v>
      </c>
      <c r="H2848" s="10" t="s">
        <v>3823</v>
      </c>
      <c r="I2848" s="10">
        <v>1.0</v>
      </c>
      <c r="J2848" s="11" t="str">
        <f>IF(D2848&lt;&gt;"",VLOOKUP(H2848,TABLEITEM,5,FALSE),"")</f>
        <v/>
      </c>
      <c r="K2848" s="12">
        <v>2300000.0</v>
      </c>
      <c r="L2848" s="13" t="str">
        <f>IF(D2848&lt;&gt;"",VLOOKUP(H2848,TABLEITEM,2,FALSE),"")</f>
        <v/>
      </c>
      <c r="M2848" s="13" t="str">
        <f>IF(D2848&lt;&gt;"",VLOOKUP(H2848,TABLEITEM,3,FALSE),"")</f>
        <v>ชำระส่วนที่เหลือ ค่าเครื่องพิมพ์ UV ยี่ห้อ IQDIMY รุ่น MAGLEV</v>
      </c>
      <c r="N2848" s="14">
        <f>INSTOCK!$I2848*INSTOCK!$K2848</f>
        <v>2300000</v>
      </c>
      <c r="O2848" s="4"/>
      <c r="P2848" s="4"/>
    </row>
    <row r="2849" ht="15.75" hidden="1" customHeight="1">
      <c r="B2849" s="8">
        <v>3168.0</v>
      </c>
      <c r="C2849" s="9">
        <v>43595.0</v>
      </c>
      <c r="D2849" s="6">
        <v>8345.0</v>
      </c>
      <c r="E2849" s="4">
        <v>6.205000718E9</v>
      </c>
      <c r="F2849" s="8" t="s">
        <v>604</v>
      </c>
      <c r="G2849" s="4" t="s">
        <v>1009</v>
      </c>
      <c r="H2849" s="10" t="s">
        <v>242</v>
      </c>
      <c r="I2849" s="10">
        <v>5000.0</v>
      </c>
      <c r="J2849" s="11" t="str">
        <f>IF(D2849&lt;&gt;"",VLOOKUP(H2849,TABLEITEM,5,FALSE),"")</f>
        <v>EA</v>
      </c>
      <c r="K2849" s="12">
        <v>0.55</v>
      </c>
      <c r="L2849" s="13" t="str">
        <f>IF(D2849&lt;&gt;"",VLOOKUP(H2849,TABLEITEM,2,FALSE),"")</f>
        <v/>
      </c>
      <c r="M2849" s="13" t="str">
        <f>IF(D2849&lt;&gt;"",VLOOKUP(H2849,TABLEITEM,3,FALSE),"")</f>
        <v>หางปลาเข็มแบนแบบเปลือย 1.25-10</v>
      </c>
      <c r="N2849" s="14">
        <f>INSTOCK!$I2849*INSTOCK!$K2849</f>
        <v>2750</v>
      </c>
      <c r="O2849" s="4"/>
      <c r="P2849" s="4"/>
    </row>
    <row r="2850" ht="15.75" hidden="1" customHeight="1">
      <c r="B2850" s="8">
        <v>3169.0</v>
      </c>
      <c r="C2850" s="9">
        <v>43595.0</v>
      </c>
      <c r="D2850" s="6" t="s">
        <v>3824</v>
      </c>
      <c r="E2850" s="4">
        <v>6.205000707E9</v>
      </c>
      <c r="F2850" s="8" t="s">
        <v>604</v>
      </c>
      <c r="G2850" s="4" t="s">
        <v>798</v>
      </c>
      <c r="H2850" s="18" t="s">
        <v>121</v>
      </c>
      <c r="I2850" s="10">
        <v>100.0</v>
      </c>
      <c r="J2850" s="11" t="str">
        <f>IF(D2850&lt;&gt;"",VLOOKUP(H2850,TABLEITEM,5,FALSE),"")</f>
        <v>EA</v>
      </c>
      <c r="K2850" s="12">
        <v>23.0</v>
      </c>
      <c r="L2850" s="13" t="str">
        <f>IF(D2850&lt;&gt;"",VLOOKUP(H2850,TABLEITEM,2,FALSE),"")</f>
        <v/>
      </c>
      <c r="M2850" s="13" t="str">
        <f>IF(D2850&lt;&gt;"",VLOOKUP(H2850,TABLEITEM,3,FALSE),"")</f>
        <v>กุญแจสมอเรือ169-03-G-016</v>
      </c>
      <c r="N2850" s="14">
        <f>INSTOCK!$I2850*INSTOCK!$K2850</f>
        <v>2300</v>
      </c>
      <c r="O2850" s="4"/>
      <c r="P2850" s="4"/>
    </row>
    <row r="2851" ht="15.75" hidden="1" customHeight="1">
      <c r="B2851" s="8">
        <v>3170.0</v>
      </c>
      <c r="C2851" s="9">
        <v>43594.0</v>
      </c>
      <c r="D2851" s="6" t="s">
        <v>3825</v>
      </c>
      <c r="E2851" s="4">
        <v>6.205000706E9</v>
      </c>
      <c r="F2851" s="8" t="s">
        <v>604</v>
      </c>
      <c r="G2851" s="4" t="s">
        <v>725</v>
      </c>
      <c r="H2851" s="10" t="s">
        <v>26</v>
      </c>
      <c r="I2851" s="10">
        <v>1500.0</v>
      </c>
      <c r="J2851" s="11" t="str">
        <f>IF(D2851&lt;&gt;"",VLOOKUP(H2851,TABLEITEM,5,FALSE),"")</f>
        <v>M</v>
      </c>
      <c r="K2851" s="12">
        <v>18.0</v>
      </c>
      <c r="L2851" s="13" t="str">
        <f>IF(D2851&lt;&gt;"",VLOOKUP(H2851,TABLEITEM,2,FALSE),"")</f>
        <v/>
      </c>
      <c r="M2851" s="13" t="str">
        <f>IF(D2851&lt;&gt;"",VLOOKUP(H2851,TABLEITEM,3,FALSE),"")</f>
        <v>ยางโปร่ง#110</v>
      </c>
      <c r="N2851" s="14">
        <f>INSTOCK!$I2851*INSTOCK!$K2851</f>
        <v>27000</v>
      </c>
      <c r="O2851" s="4"/>
      <c r="P2851" s="4"/>
    </row>
    <row r="2852" ht="15.75" hidden="1" customHeight="1">
      <c r="B2852" s="8">
        <v>3171.0</v>
      </c>
      <c r="C2852" s="9">
        <v>43595.0</v>
      </c>
      <c r="D2852" s="6">
        <v>6.20502497E8</v>
      </c>
      <c r="E2852" s="4">
        <v>6.205000726E9</v>
      </c>
      <c r="F2852" s="8" t="s">
        <v>3826</v>
      </c>
      <c r="G2852" s="4" t="s">
        <v>1130</v>
      </c>
      <c r="H2852" s="18" t="s">
        <v>2791</v>
      </c>
      <c r="I2852" s="10">
        <v>3.0</v>
      </c>
      <c r="J2852" s="11" t="str">
        <f>IF(D2852&lt;&gt;"",VLOOKUP(H2852,TABLEITEM,5,FALSE),"")</f>
        <v>EA</v>
      </c>
      <c r="K2852" s="12">
        <v>121.12</v>
      </c>
      <c r="L2852" s="13" t="str">
        <f>IF(D2852&lt;&gt;"",VLOOKUP(H2852,TABLEITEM,2,FALSE),"")</f>
        <v/>
      </c>
      <c r="M2852" s="13" t="str">
        <f>IF(D2852&lt;&gt;"",VLOOKUP(H2852,TABLEITEM,3,FALSE),"")</f>
        <v>CT400/5 MQS40</v>
      </c>
      <c r="N2852" s="14">
        <f>INSTOCK!$I2852*INSTOCK!$K2852</f>
        <v>363.36</v>
      </c>
      <c r="O2852" s="4"/>
      <c r="P2852" s="4"/>
    </row>
    <row r="2853" ht="15.75" hidden="1" customHeight="1">
      <c r="B2853" s="8">
        <v>3172.0</v>
      </c>
      <c r="C2853" s="9">
        <v>43595.0</v>
      </c>
      <c r="D2853" s="6" t="s">
        <v>3827</v>
      </c>
      <c r="E2853" s="4">
        <v>6.205000711E9</v>
      </c>
      <c r="F2853" s="8" t="s">
        <v>604</v>
      </c>
      <c r="G2853" s="4" t="s">
        <v>2066</v>
      </c>
      <c r="H2853" s="10" t="s">
        <v>561</v>
      </c>
      <c r="I2853" s="10">
        <v>25.0</v>
      </c>
      <c r="J2853" s="11" t="str">
        <f>IF(D2853&lt;&gt;"",VLOOKUP(H2853,TABLEITEM,5,FALSE),"")</f>
        <v>M</v>
      </c>
      <c r="K2853" s="12">
        <v>859.2</v>
      </c>
      <c r="L2853" s="13" t="str">
        <f>IF(D2853&lt;&gt;"",VLOOKUP(H2853,TABLEITEM,2,FALSE),"")</f>
        <v>Busbar</v>
      </c>
      <c r="M2853" s="13" t="str">
        <f>IF(D2853&lt;&gt;"",VLOOKUP(H2853,TABLEITEM,3,FALSE),"")</f>
        <v>บัสบาร์ทองแดง 40x10</v>
      </c>
      <c r="N2853" s="14">
        <f>INSTOCK!$I2853*INSTOCK!$K2853</f>
        <v>21480</v>
      </c>
      <c r="O2853" s="4" t="s">
        <v>3828</v>
      </c>
      <c r="P2853" s="4"/>
    </row>
    <row r="2854" ht="15.75" hidden="1" customHeight="1">
      <c r="B2854" s="8">
        <v>3173.0</v>
      </c>
      <c r="C2854" s="9">
        <v>43595.0</v>
      </c>
      <c r="D2854" s="6" t="s">
        <v>3829</v>
      </c>
      <c r="E2854" s="4"/>
      <c r="F2854" s="8" t="s">
        <v>1973</v>
      </c>
      <c r="G2854" s="4" t="s">
        <v>3241</v>
      </c>
      <c r="H2854" s="10" t="s">
        <v>3242</v>
      </c>
      <c r="I2854" s="10">
        <v>1.0</v>
      </c>
      <c r="J2854" s="11" t="str">
        <f>IF(D2854&lt;&gt;"",VLOOKUP(H2854,TABLEITEM,5,FALSE),"")</f>
        <v>EA</v>
      </c>
      <c r="K2854" s="12">
        <v>884.8</v>
      </c>
      <c r="L2854" s="13" t="str">
        <f>IF(D2854&lt;&gt;"",VLOOKUP(H2854,TABLEITEM,2,FALSE),"")</f>
        <v/>
      </c>
      <c r="M2854" s="13" t="str">
        <f>IF(D2854&lt;&gt;"",VLOOKUP(H2854,TABLEITEM,3,FALSE),"")</f>
        <v>ปืนเป่าลม BLOW GUN SET สายขนาด 5x8MMx4M</v>
      </c>
      <c r="N2854" s="14">
        <f>INSTOCK!$I2854*INSTOCK!$K2854</f>
        <v>884.8</v>
      </c>
      <c r="O2854" s="4" t="s">
        <v>3243</v>
      </c>
      <c r="P2854" s="4"/>
    </row>
    <row r="2855" ht="15.75" hidden="1" customHeight="1">
      <c r="B2855" s="8">
        <v>3174.0</v>
      </c>
      <c r="C2855" s="9">
        <v>43595.0</v>
      </c>
      <c r="D2855" s="6" t="s">
        <v>3830</v>
      </c>
      <c r="E2855" s="4">
        <v>6.205000727E9</v>
      </c>
      <c r="F2855" s="8" t="s">
        <v>3826</v>
      </c>
      <c r="G2855" s="4" t="s">
        <v>1516</v>
      </c>
      <c r="H2855" s="10" t="s">
        <v>3831</v>
      </c>
      <c r="I2855" s="10">
        <v>8.0</v>
      </c>
      <c r="J2855" s="11" t="str">
        <f>IF(D2855&lt;&gt;"",VLOOKUP(H2855,TABLEITEM,5,FALSE),"")</f>
        <v>EA</v>
      </c>
      <c r="K2855" s="12">
        <v>306.0</v>
      </c>
      <c r="L2855" s="13" t="str">
        <f>IF(D2855&lt;&gt;"",VLOOKUP(H2855,TABLEITEM,2,FALSE),"")</f>
        <v/>
      </c>
      <c r="M2855" s="13" t="str">
        <f>IF(D2855&lt;&gt;"",VLOOKUP(H2855,TABLEITEM,3,FALSE),"")</f>
        <v>เพาเวอร์ปลั๊ก 5P 32A 400V IP67</v>
      </c>
      <c r="N2855" s="14">
        <f>INSTOCK!$I2855*INSTOCK!$K2855</f>
        <v>2448</v>
      </c>
      <c r="O2855" s="4" t="s">
        <v>3832</v>
      </c>
      <c r="P2855" s="4"/>
    </row>
    <row r="2856" ht="15.75" hidden="1" customHeight="1">
      <c r="B2856" s="8">
        <v>3175.0</v>
      </c>
      <c r="C2856" s="9">
        <v>43595.0</v>
      </c>
      <c r="D2856" s="6" t="s">
        <v>3833</v>
      </c>
      <c r="E2856" s="4">
        <v>6.205000725E9</v>
      </c>
      <c r="F2856" s="8" t="s">
        <v>3530</v>
      </c>
      <c r="G2856" s="4" t="s">
        <v>1596</v>
      </c>
      <c r="H2856" s="10" t="s">
        <v>1768</v>
      </c>
      <c r="I2856" s="10">
        <v>2.0</v>
      </c>
      <c r="J2856" s="11" t="str">
        <f>IF(D2856&lt;&gt;"",VLOOKUP(H2856,TABLEITEM,5,FALSE),"")</f>
        <v>EA</v>
      </c>
      <c r="K2856" s="12">
        <v>1200.0</v>
      </c>
      <c r="L2856" s="13" t="str">
        <f>IF(D2856&lt;&gt;"",VLOOKUP(H2856,TABLEITEM,2,FALSE),"")</f>
        <v/>
      </c>
      <c r="M2856" s="13" t="str">
        <f>IF(D2856&lt;&gt;"",VLOOKUP(H2856,TABLEITEM,3,FALSE),"")</f>
        <v>MCCB A1C125 3P 30A 25KA</v>
      </c>
      <c r="N2856" s="14">
        <f>INSTOCK!$I2856*INSTOCK!$K2856</f>
        <v>2400</v>
      </c>
      <c r="O2856" s="4" t="s">
        <v>3654</v>
      </c>
      <c r="P2856" s="4"/>
    </row>
    <row r="2857" ht="15.75" hidden="1" customHeight="1">
      <c r="B2857" s="8">
        <v>3176.0</v>
      </c>
      <c r="C2857" s="9">
        <v>43594.0</v>
      </c>
      <c r="D2857" s="6">
        <v>6.20502256E8</v>
      </c>
      <c r="E2857" s="4">
        <v>6.205000717E9</v>
      </c>
      <c r="F2857" s="8" t="s">
        <v>3834</v>
      </c>
      <c r="G2857" s="4" t="s">
        <v>1130</v>
      </c>
      <c r="H2857" s="10" t="s">
        <v>3835</v>
      </c>
      <c r="I2857" s="10">
        <v>2.0</v>
      </c>
      <c r="J2857" s="11" t="str">
        <f>IF(D2857&lt;&gt;"",VLOOKUP(H2857,TABLEITEM,5,FALSE),"")</f>
        <v>EA</v>
      </c>
      <c r="K2857" s="12">
        <v>121.13</v>
      </c>
      <c r="L2857" s="13" t="str">
        <f>IF(D2857&lt;&gt;"",VLOOKUP(H2857,TABLEITEM,2,FALSE),"")</f>
        <v/>
      </c>
      <c r="M2857" s="13" t="str">
        <f>IF(D2857&lt;&gt;"",VLOOKUP(H2857,TABLEITEM,3,FALSE),"")</f>
        <v>CT300/5 MSQ40</v>
      </c>
      <c r="N2857" s="14">
        <f>INSTOCK!$I2857*INSTOCK!$K2857</f>
        <v>242.26</v>
      </c>
      <c r="O2857" s="4" t="s">
        <v>1898</v>
      </c>
      <c r="P2857" s="4"/>
    </row>
    <row r="2858" ht="15.75" hidden="1" customHeight="1">
      <c r="B2858" s="8">
        <v>3177.0</v>
      </c>
      <c r="C2858" s="9">
        <v>43594.0</v>
      </c>
      <c r="D2858" s="6">
        <v>6.20502256E8</v>
      </c>
      <c r="E2858" s="4">
        <v>6.205000717E9</v>
      </c>
      <c r="F2858" s="8" t="s">
        <v>3834</v>
      </c>
      <c r="G2858" s="4" t="s">
        <v>1130</v>
      </c>
      <c r="H2858" s="10" t="s">
        <v>3836</v>
      </c>
      <c r="I2858" s="10">
        <v>100.0</v>
      </c>
      <c r="J2858" s="11" t="str">
        <f>IF(D2858&lt;&gt;"",VLOOKUP(H2858,TABLEITEM,5,FALSE),"")</f>
        <v/>
      </c>
      <c r="K2858" s="12">
        <v>3.25</v>
      </c>
      <c r="L2858" s="13" t="str">
        <f>IF(D2858&lt;&gt;"",VLOOKUP(H2858,TABLEITEM,2,FALSE),"")</f>
        <v/>
      </c>
      <c r="M2858" s="13" t="str">
        <f>IF(D2858&lt;&gt;"",VLOOKUP(H2858,TABLEITEM,3,FALSE),"")</f>
        <v>สายโทรศัพท์ 4Cx24PD (4x0.5)</v>
      </c>
      <c r="N2858" s="14">
        <f>INSTOCK!$I2858*INSTOCK!$K2858</f>
        <v>325</v>
      </c>
      <c r="O2858" s="4" t="s">
        <v>3837</v>
      </c>
      <c r="P2858" s="4"/>
    </row>
    <row r="2859" ht="15.75" hidden="1" customHeight="1">
      <c r="B2859" s="8">
        <v>3178.0</v>
      </c>
      <c r="C2859" s="9">
        <v>43595.0</v>
      </c>
      <c r="D2859" s="6" t="s">
        <v>3838</v>
      </c>
      <c r="E2859" s="4">
        <v>6.205000694E9</v>
      </c>
      <c r="F2859" s="8" t="s">
        <v>604</v>
      </c>
      <c r="G2859" s="4" t="s">
        <v>1777</v>
      </c>
      <c r="H2859" s="10" t="s">
        <v>2398</v>
      </c>
      <c r="I2859" s="10">
        <v>4000.0</v>
      </c>
      <c r="J2859" s="11" t="str">
        <f>IF(D2859&lt;&gt;"",VLOOKUP(H2859,TABLEITEM,5,FALSE),"")</f>
        <v>EA</v>
      </c>
      <c r="K2859" s="12">
        <v>0.104</v>
      </c>
      <c r="L2859" s="13" t="str">
        <f>IF(D2859&lt;&gt;"",VLOOKUP(H2859,TABLEITEM,2,FALSE),"")</f>
        <v/>
      </c>
      <c r="M2859" s="13" t="str">
        <f>IF(D2859&lt;&gt;"",VLOOKUP(H2859,TABLEITEM,3,FALSE),"")</f>
        <v>สกรูหัวหมวก  M4x10</v>
      </c>
      <c r="N2859" s="14">
        <f>INSTOCK!$I2859*INSTOCK!$K2859</f>
        <v>416</v>
      </c>
      <c r="O2859" s="4" t="s">
        <v>2399</v>
      </c>
      <c r="P2859" s="4"/>
    </row>
    <row r="2860" ht="15.75" hidden="1" customHeight="1">
      <c r="B2860" s="8">
        <v>3179.0</v>
      </c>
      <c r="C2860" s="9">
        <v>43595.0</v>
      </c>
      <c r="D2860" s="6" t="s">
        <v>3838</v>
      </c>
      <c r="E2860" s="4">
        <v>6.205000694E9</v>
      </c>
      <c r="F2860" s="8" t="s">
        <v>604</v>
      </c>
      <c r="G2860" s="4" t="s">
        <v>1777</v>
      </c>
      <c r="H2860" s="10" t="s">
        <v>2088</v>
      </c>
      <c r="I2860" s="10">
        <v>2000.0</v>
      </c>
      <c r="J2860" s="11" t="str">
        <f>IF(D2860&lt;&gt;"",VLOOKUP(H2860,TABLEITEM,5,FALSE),"")</f>
        <v>EA</v>
      </c>
      <c r="K2860" s="12">
        <v>0.13</v>
      </c>
      <c r="L2860" s="13" t="str">
        <f>IF(D2860&lt;&gt;"",VLOOKUP(H2860,TABLEITEM,2,FALSE),"")</f>
        <v/>
      </c>
      <c r="M2860" s="13" t="str">
        <f>IF(D2860&lt;&gt;"",VLOOKUP(H2860,TABLEITEM,3,FALSE),"")</f>
        <v>สกรูเตเปอร์ M5x10</v>
      </c>
      <c r="N2860" s="14">
        <f>INSTOCK!$I2860*INSTOCK!$K2860</f>
        <v>260</v>
      </c>
      <c r="O2860" s="4"/>
      <c r="P2860" s="4"/>
    </row>
    <row r="2861" ht="15.75" hidden="1" customHeight="1">
      <c r="B2861" s="8">
        <v>3180.0</v>
      </c>
      <c r="C2861" s="9">
        <v>43595.0</v>
      </c>
      <c r="D2861" s="6" t="s">
        <v>3838</v>
      </c>
      <c r="E2861" s="4">
        <v>6.205000694E9</v>
      </c>
      <c r="F2861" s="8" t="s">
        <v>604</v>
      </c>
      <c r="G2861" s="4" t="s">
        <v>1777</v>
      </c>
      <c r="H2861" s="10" t="s">
        <v>3839</v>
      </c>
      <c r="I2861" s="10">
        <v>1000.0</v>
      </c>
      <c r="J2861" s="11" t="str">
        <f>IF(D2861&lt;&gt;"",VLOOKUP(H2861,TABLEITEM,5,FALSE),"")</f>
        <v>EA</v>
      </c>
      <c r="K2861" s="12">
        <v>0.1</v>
      </c>
      <c r="L2861" s="13" t="str">
        <f>IF(D2861&lt;&gt;"",VLOOKUP(H2861,TABLEITEM,2,FALSE),"")</f>
        <v/>
      </c>
      <c r="M2861" s="13" t="str">
        <f>IF(D2861&lt;&gt;"",VLOOKUP(H2861,TABLEITEM,3,FALSE),"")</f>
        <v>สกรูหัวกลมชุบขาว M4x10</v>
      </c>
      <c r="N2861" s="14">
        <f>INSTOCK!$I2861*INSTOCK!$K2861</f>
        <v>100</v>
      </c>
      <c r="O2861" s="4"/>
      <c r="P2861" s="4"/>
    </row>
    <row r="2862" ht="15.75" hidden="1" customHeight="1">
      <c r="B2862" s="8">
        <v>3181.0</v>
      </c>
      <c r="C2862" s="9">
        <v>43595.0</v>
      </c>
      <c r="D2862" s="6" t="s">
        <v>3838</v>
      </c>
      <c r="E2862" s="4">
        <v>6.205000694E9</v>
      </c>
      <c r="F2862" s="8" t="s">
        <v>604</v>
      </c>
      <c r="G2862" s="4" t="s">
        <v>1777</v>
      </c>
      <c r="H2862" s="10" t="s">
        <v>3840</v>
      </c>
      <c r="I2862" s="10">
        <v>500.0</v>
      </c>
      <c r="J2862" s="11" t="str">
        <f>IF(D2862&lt;&gt;"",VLOOKUP(H2862,TABLEITEM,5,FALSE),"")</f>
        <v>EA</v>
      </c>
      <c r="K2862" s="12">
        <v>0.275</v>
      </c>
      <c r="L2862" s="13" t="str">
        <f>IF(D2862&lt;&gt;"",VLOOKUP(H2862,TABLEITEM,2,FALSE),"")</f>
        <v/>
      </c>
      <c r="M2862" s="13" t="str">
        <f>IF(D2862&lt;&gt;"",VLOOKUP(H2862,TABLEITEM,3,FALSE),"")</f>
        <v>สกรูหัวกลมชุบขาว M5x20</v>
      </c>
      <c r="N2862" s="14">
        <f>INSTOCK!$I2862*INSTOCK!$K2862</f>
        <v>137.5</v>
      </c>
      <c r="O2862" s="4"/>
      <c r="P2862" s="4"/>
    </row>
    <row r="2863" ht="15.75" hidden="1" customHeight="1">
      <c r="B2863" s="8">
        <v>3182.0</v>
      </c>
      <c r="C2863" s="9">
        <v>43595.0</v>
      </c>
      <c r="D2863" s="6" t="s">
        <v>3838</v>
      </c>
      <c r="E2863" s="4">
        <v>6.205000694E9</v>
      </c>
      <c r="F2863" s="8" t="s">
        <v>604</v>
      </c>
      <c r="G2863" s="4" t="s">
        <v>1777</v>
      </c>
      <c r="H2863" s="10" t="s">
        <v>3841</v>
      </c>
      <c r="I2863" s="10">
        <v>1000.0</v>
      </c>
      <c r="J2863" s="11" t="str">
        <f>IF(D2863&lt;&gt;"",VLOOKUP(H2863,TABLEITEM,5,FALSE),"")</f>
        <v>EA</v>
      </c>
      <c r="K2863" s="12">
        <v>0.25</v>
      </c>
      <c r="L2863" s="13" t="str">
        <f>IF(D2863&lt;&gt;"",VLOOKUP(H2863,TABLEITEM,2,FALSE),"")</f>
        <v/>
      </c>
      <c r="M2863" s="13" t="str">
        <f>IF(D2863&lt;&gt;"",VLOOKUP(H2863,TABLEITEM,3,FALSE),"")</f>
        <v>แหวนสปริง M12   ชุบรุ้ง</v>
      </c>
      <c r="N2863" s="14">
        <f>INSTOCK!$I2863*INSTOCK!$K2863</f>
        <v>250</v>
      </c>
      <c r="O2863" s="4" t="s">
        <v>1891</v>
      </c>
      <c r="P2863" s="4"/>
    </row>
    <row r="2864" ht="15.75" hidden="1" customHeight="1">
      <c r="B2864" s="8">
        <v>3183.0</v>
      </c>
      <c r="C2864" s="9">
        <v>43595.0</v>
      </c>
      <c r="D2864" s="6" t="s">
        <v>3838</v>
      </c>
      <c r="E2864" s="4">
        <v>6.205000694E9</v>
      </c>
      <c r="F2864" s="8" t="s">
        <v>604</v>
      </c>
      <c r="G2864" s="4" t="s">
        <v>1777</v>
      </c>
      <c r="H2864" s="10" t="s">
        <v>3155</v>
      </c>
      <c r="I2864" s="10">
        <v>2000.0</v>
      </c>
      <c r="J2864" s="11" t="str">
        <f>IF(D2864&lt;&gt;"",VLOOKUP(H2864,TABLEITEM,5,FALSE),"")</f>
        <v>EA</v>
      </c>
      <c r="K2864" s="12">
        <v>1.125</v>
      </c>
      <c r="L2864" s="13" t="str">
        <f>IF(D2864&lt;&gt;"",VLOOKUP(H2864,TABLEITEM,2,FALSE),"")</f>
        <v/>
      </c>
      <c r="M2864" s="13" t="str">
        <f>IF(D2864&lt;&gt;"",VLOOKUP(H2864,TABLEITEM,3,FALSE),"")</f>
        <v>หัวน้อต       M12   ชุบขาว</v>
      </c>
      <c r="N2864" s="14">
        <f>INSTOCK!$I2864*INSTOCK!$K2864</f>
        <v>2250</v>
      </c>
      <c r="O2864" s="4" t="s">
        <v>3156</v>
      </c>
      <c r="P2864" s="4"/>
    </row>
    <row r="2865" ht="15.75" hidden="1" customHeight="1">
      <c r="B2865" s="8">
        <v>3184.0</v>
      </c>
      <c r="C2865" s="9">
        <v>43595.0</v>
      </c>
      <c r="D2865" s="6" t="s">
        <v>3838</v>
      </c>
      <c r="E2865" s="4">
        <v>6.205000694E9</v>
      </c>
      <c r="F2865" s="8" t="s">
        <v>604</v>
      </c>
      <c r="G2865" s="4" t="s">
        <v>1777</v>
      </c>
      <c r="H2865" s="10" t="s">
        <v>3842</v>
      </c>
      <c r="I2865" s="10">
        <v>2000.0</v>
      </c>
      <c r="J2865" s="11" t="str">
        <f>IF(D2865&lt;&gt;"",VLOOKUP(H2865,TABLEITEM,5,FALSE),"")</f>
        <v>EA</v>
      </c>
      <c r="K2865" s="12">
        <v>0.275</v>
      </c>
      <c r="L2865" s="13" t="str">
        <f>IF(D2865&lt;&gt;"",VLOOKUP(H2865,TABLEITEM,2,FALSE),"")</f>
        <v/>
      </c>
      <c r="M2865" s="13" t="str">
        <f>IF(D2865&lt;&gt;"",VLOOKUP(H2865,TABLEITEM,3,FALSE),"")</f>
        <v>แหวนอีแปะ M10  ชุบขาว</v>
      </c>
      <c r="N2865" s="14">
        <f>INSTOCK!$I2865*INSTOCK!$K2865</f>
        <v>550</v>
      </c>
      <c r="O2865" s="4" t="s">
        <v>3843</v>
      </c>
      <c r="P2865" s="4"/>
    </row>
    <row r="2866" ht="15.75" hidden="1" customHeight="1">
      <c r="B2866" s="8">
        <v>3185.0</v>
      </c>
      <c r="C2866" s="9">
        <v>43594.0</v>
      </c>
      <c r="D2866" s="6" t="s">
        <v>3844</v>
      </c>
      <c r="E2866" s="4">
        <v>6.205000724E9</v>
      </c>
      <c r="F2866" s="8" t="s">
        <v>3845</v>
      </c>
      <c r="G2866" s="4" t="s">
        <v>1512</v>
      </c>
      <c r="H2866" s="10" t="s">
        <v>3846</v>
      </c>
      <c r="I2866" s="10">
        <v>1.0</v>
      </c>
      <c r="J2866" s="11" t="str">
        <f>IF(D2866&lt;&gt;"",VLOOKUP(H2866,TABLEITEM,5,FALSE),"")</f>
        <v>EA</v>
      </c>
      <c r="K2866" s="12">
        <v>2274.75</v>
      </c>
      <c r="L2866" s="13" t="str">
        <f>IF(D2866&lt;&gt;"",VLOOKUP(H2866,TABLEITEM,2,FALSE),"")</f>
        <v/>
      </c>
      <c r="M2866" s="13" t="str">
        <f>IF(D2866&lt;&gt;"",VLOOKUP(H2866,TABLEITEM,3,FALSE),"")</f>
        <v>MCB S292-C100</v>
      </c>
      <c r="N2866" s="14">
        <f>INSTOCK!$I2866*INSTOCK!$K2866</f>
        <v>2274.75</v>
      </c>
      <c r="O2866" s="4" t="s">
        <v>3847</v>
      </c>
      <c r="P2866" s="4"/>
    </row>
    <row r="2867" ht="15.75" hidden="1" customHeight="1">
      <c r="B2867" s="8">
        <v>3186.0</v>
      </c>
      <c r="C2867" s="9">
        <v>43594.0</v>
      </c>
      <c r="D2867" s="6" t="s">
        <v>3848</v>
      </c>
      <c r="E2867" s="4">
        <v>6.205000719E9</v>
      </c>
      <c r="F2867" s="8" t="s">
        <v>3845</v>
      </c>
      <c r="G2867" s="4" t="s">
        <v>1596</v>
      </c>
      <c r="H2867" s="10" t="s">
        <v>3849</v>
      </c>
      <c r="I2867" s="10">
        <v>1.0</v>
      </c>
      <c r="J2867" s="11" t="str">
        <f>IF(D2867&lt;&gt;"",VLOOKUP(H2867,TABLEITEM,5,FALSE),"")</f>
        <v>EA</v>
      </c>
      <c r="K2867" s="12">
        <v>8736.0</v>
      </c>
      <c r="L2867" s="13" t="str">
        <f>IF(D2867&lt;&gt;"",VLOOKUP(H2867,TABLEITEM,2,FALSE),"")</f>
        <v/>
      </c>
      <c r="M2867" s="13" t="str">
        <f>IF(D2867&lt;&gt;"",VLOOKUP(H2867,TABLEITEM,3,FALSE),"")</f>
        <v>MCCB T4N 320 PR221DS-LS/I IN 320 3P </v>
      </c>
      <c r="N2867" s="14">
        <f>INSTOCK!$I2867*INSTOCK!$K2867</f>
        <v>8736</v>
      </c>
      <c r="O2867" s="4" t="s">
        <v>3850</v>
      </c>
      <c r="P2867" s="4"/>
    </row>
    <row r="2868" ht="15.75" hidden="1" customHeight="1">
      <c r="B2868" s="8">
        <v>3187.0</v>
      </c>
      <c r="C2868" s="9">
        <v>43594.0</v>
      </c>
      <c r="D2868" s="6" t="s">
        <v>3848</v>
      </c>
      <c r="E2868" s="4">
        <v>6.205000719E9</v>
      </c>
      <c r="F2868" s="8" t="s">
        <v>3845</v>
      </c>
      <c r="G2868" s="4" t="s">
        <v>1596</v>
      </c>
      <c r="H2868" s="10" t="s">
        <v>2241</v>
      </c>
      <c r="I2868" s="10">
        <v>13.0</v>
      </c>
      <c r="J2868" s="11" t="str">
        <f>IF(D2868&lt;&gt;"",VLOOKUP(H2868,TABLEITEM,5,FALSE),"")</f>
        <v>EA</v>
      </c>
      <c r="K2868" s="12">
        <v>286.0</v>
      </c>
      <c r="L2868" s="13" t="str">
        <f>IF(D2868&lt;&gt;"",VLOOKUP(H2868,TABLEITEM,2,FALSE),"")</f>
        <v/>
      </c>
      <c r="M2868" s="13" t="str">
        <f>IF(D2868&lt;&gt;"",VLOOKUP(H2868,TABLEITEM,3,FALSE),"")</f>
        <v>MCB 2P 10A 10KA</v>
      </c>
      <c r="N2868" s="14">
        <f>INSTOCK!$I2868*INSTOCK!$K2868</f>
        <v>3718</v>
      </c>
      <c r="O2868" s="4" t="s">
        <v>2035</v>
      </c>
      <c r="P2868" s="4"/>
    </row>
    <row r="2869" ht="15.75" hidden="1" customHeight="1">
      <c r="B2869" s="8">
        <v>3188.0</v>
      </c>
      <c r="C2869" s="9">
        <v>43594.0</v>
      </c>
      <c r="D2869" s="6" t="s">
        <v>3848</v>
      </c>
      <c r="E2869" s="4">
        <v>6.205000719E9</v>
      </c>
      <c r="F2869" s="8" t="s">
        <v>3845</v>
      </c>
      <c r="G2869" s="4" t="s">
        <v>1596</v>
      </c>
      <c r="H2869" s="10" t="s">
        <v>1824</v>
      </c>
      <c r="I2869" s="10">
        <v>14.0</v>
      </c>
      <c r="J2869" s="11" t="str">
        <f>IF(D2869&lt;&gt;"",VLOOKUP(H2869,TABLEITEM,5,FALSE),"")</f>
        <v>EA</v>
      </c>
      <c r="K2869" s="12">
        <v>286.0</v>
      </c>
      <c r="L2869" s="13" t="str">
        <f>IF(D2869&lt;&gt;"",VLOOKUP(H2869,TABLEITEM,2,FALSE),"")</f>
        <v/>
      </c>
      <c r="M2869" s="13" t="str">
        <f>IF(D2869&lt;&gt;"",VLOOKUP(H2869,TABLEITEM,3,FALSE),"")</f>
        <v>MCB 2P 16A 10KA</v>
      </c>
      <c r="N2869" s="14">
        <f>INSTOCK!$I2869*INSTOCK!$K2869</f>
        <v>4004</v>
      </c>
      <c r="O2869" s="4" t="s">
        <v>2035</v>
      </c>
      <c r="P2869" s="4"/>
    </row>
    <row r="2870" ht="15.75" hidden="1" customHeight="1">
      <c r="B2870" s="8">
        <v>3189.0</v>
      </c>
      <c r="C2870" s="9">
        <v>43594.0</v>
      </c>
      <c r="D2870" s="6" t="s">
        <v>3848</v>
      </c>
      <c r="E2870" s="4">
        <v>6.205000719E9</v>
      </c>
      <c r="F2870" s="8" t="s">
        <v>3845</v>
      </c>
      <c r="G2870" s="4" t="s">
        <v>1596</v>
      </c>
      <c r="H2870" s="10" t="s">
        <v>2034</v>
      </c>
      <c r="I2870" s="10">
        <v>6.0</v>
      </c>
      <c r="J2870" s="11" t="str">
        <f>IF(D2870&lt;&gt;"",VLOOKUP(H2870,TABLEITEM,5,FALSE),"")</f>
        <v>EA</v>
      </c>
      <c r="K2870" s="12">
        <v>286.0</v>
      </c>
      <c r="L2870" s="13" t="str">
        <f>IF(D2870&lt;&gt;"",VLOOKUP(H2870,TABLEITEM,2,FALSE),"")</f>
        <v/>
      </c>
      <c r="M2870" s="13" t="str">
        <f>IF(D2870&lt;&gt;"",VLOOKUP(H2870,TABLEITEM,3,FALSE),"")</f>
        <v>MCB 2P 20A 10KA</v>
      </c>
      <c r="N2870" s="14">
        <f>INSTOCK!$I2870*INSTOCK!$K2870</f>
        <v>1716</v>
      </c>
      <c r="O2870" s="4" t="s">
        <v>2035</v>
      </c>
      <c r="P2870" s="4"/>
    </row>
    <row r="2871" ht="15.75" hidden="1" customHeight="1">
      <c r="B2871" s="8">
        <v>3190.0</v>
      </c>
      <c r="C2871" s="9">
        <v>43594.0</v>
      </c>
      <c r="D2871" s="6" t="s">
        <v>3848</v>
      </c>
      <c r="E2871" s="4">
        <v>6.205000719E9</v>
      </c>
      <c r="F2871" s="8" t="s">
        <v>3845</v>
      </c>
      <c r="G2871" s="4" t="s">
        <v>1596</v>
      </c>
      <c r="H2871" s="10" t="s">
        <v>3851</v>
      </c>
      <c r="I2871" s="10">
        <v>22.0</v>
      </c>
      <c r="J2871" s="11" t="str">
        <f>IF(D2871&lt;&gt;"",VLOOKUP(H2871,TABLEITEM,5,FALSE),"")</f>
        <v>EA</v>
      </c>
      <c r="K2871" s="12">
        <v>286.0</v>
      </c>
      <c r="L2871" s="13" t="str">
        <f>IF(D2871&lt;&gt;"",VLOOKUP(H2871,TABLEITEM,2,FALSE),"")</f>
        <v/>
      </c>
      <c r="M2871" s="13" t="str">
        <f>IF(D2871&lt;&gt;"",VLOOKUP(H2871,TABLEITEM,3,FALSE),"")</f>
        <v>MCB S202-C32</v>
      </c>
      <c r="N2871" s="14">
        <f>INSTOCK!$I2871*INSTOCK!$K2871</f>
        <v>6292</v>
      </c>
      <c r="O2871" s="4" t="s">
        <v>2035</v>
      </c>
      <c r="P2871" s="4"/>
    </row>
    <row r="2872" ht="15.75" hidden="1" customHeight="1">
      <c r="B2872" s="8">
        <v>3191.0</v>
      </c>
      <c r="C2872" s="9">
        <v>43594.0</v>
      </c>
      <c r="D2872" s="6" t="s">
        <v>3848</v>
      </c>
      <c r="E2872" s="4">
        <v>6.205000719E9</v>
      </c>
      <c r="F2872" s="8" t="s">
        <v>3845</v>
      </c>
      <c r="G2872" s="4" t="s">
        <v>1596</v>
      </c>
      <c r="H2872" s="10" t="s">
        <v>3852</v>
      </c>
      <c r="I2872" s="10">
        <v>13.0</v>
      </c>
      <c r="J2872" s="11" t="str">
        <f>IF(D2872&lt;&gt;"",VLOOKUP(H2872,TABLEITEM,5,FALSE),"")</f>
        <v>EA</v>
      </c>
      <c r="K2872" s="12">
        <v>286.0</v>
      </c>
      <c r="L2872" s="13" t="str">
        <f>IF(D2872&lt;&gt;"",VLOOKUP(H2872,TABLEITEM,2,FALSE),"")</f>
        <v/>
      </c>
      <c r="M2872" s="13" t="str">
        <f>IF(D2872&lt;&gt;"",VLOOKUP(H2872,TABLEITEM,3,FALSE),"")</f>
        <v>MCB S202-C40</v>
      </c>
      <c r="N2872" s="14">
        <f>INSTOCK!$I2872*INSTOCK!$K2872</f>
        <v>3718</v>
      </c>
      <c r="O2872" s="4" t="s">
        <v>2035</v>
      </c>
      <c r="P2872" s="4"/>
    </row>
    <row r="2873" ht="15.75" hidden="1" customHeight="1">
      <c r="B2873" s="8">
        <v>3192.0</v>
      </c>
      <c r="C2873" s="9">
        <v>43594.0</v>
      </c>
      <c r="D2873" s="6" t="s">
        <v>3848</v>
      </c>
      <c r="E2873" s="4">
        <v>6.205000719E9</v>
      </c>
      <c r="F2873" s="8" t="s">
        <v>3845</v>
      </c>
      <c r="G2873" s="4" t="s">
        <v>1596</v>
      </c>
      <c r="H2873" s="10" t="s">
        <v>3853</v>
      </c>
      <c r="I2873" s="10">
        <v>2.0</v>
      </c>
      <c r="J2873" s="11" t="str">
        <f>IF(D2873&lt;&gt;"",VLOOKUP(H2873,TABLEITEM,5,FALSE),"")</f>
        <v>EA</v>
      </c>
      <c r="K2873" s="12">
        <v>480.0</v>
      </c>
      <c r="L2873" s="13" t="str">
        <f>IF(D2873&lt;&gt;"",VLOOKUP(H2873,TABLEITEM,2,FALSE),"")</f>
        <v/>
      </c>
      <c r="M2873" s="13" t="str">
        <f>IF(D2873&lt;&gt;"",VLOOKUP(H2873,TABLEITEM,3,FALSE),"")</f>
        <v>MCB S202-C50</v>
      </c>
      <c r="N2873" s="14">
        <f>INSTOCK!$I2873*INSTOCK!$K2873</f>
        <v>960</v>
      </c>
      <c r="O2873" s="4" t="s">
        <v>3854</v>
      </c>
      <c r="P2873" s="4"/>
    </row>
    <row r="2874" ht="15.75" hidden="1" customHeight="1">
      <c r="B2874" s="8">
        <v>3193.0</v>
      </c>
      <c r="C2874" s="9">
        <v>43595.0</v>
      </c>
      <c r="D2874" s="6" t="s">
        <v>3855</v>
      </c>
      <c r="E2874" s="4"/>
      <c r="F2874" s="8" t="s">
        <v>604</v>
      </c>
      <c r="G2874" s="4" t="s">
        <v>3856</v>
      </c>
      <c r="H2874" s="10" t="s">
        <v>3857</v>
      </c>
      <c r="I2874" s="10">
        <v>12.0</v>
      </c>
      <c r="J2874" s="11" t="str">
        <f>IF(D2874&lt;&gt;"",VLOOKUP(H2874,TABLEITEM,5,FALSE),"")</f>
        <v/>
      </c>
      <c r="K2874" s="12">
        <v>100.0</v>
      </c>
      <c r="L2874" s="13" t="str">
        <f>IF(D2874&lt;&gt;"",VLOOKUP(H2874,TABLEITEM,2,FALSE),"")</f>
        <v/>
      </c>
      <c r="M2874" s="13" t="str">
        <f>IF(D2874&lt;&gt;"",VLOOKUP(H2874,TABLEITEM,3,FALSE),"")</f>
        <v>LED FULL SET T8 10W 6500K ยาว=18W</v>
      </c>
      <c r="N2874" s="14">
        <f>INSTOCK!$I2874*INSTOCK!$K2874</f>
        <v>1200</v>
      </c>
      <c r="O2874" s="4"/>
      <c r="P2874" s="4"/>
    </row>
    <row r="2875" ht="15.75" hidden="1" customHeight="1">
      <c r="B2875" s="8">
        <v>3194.0</v>
      </c>
      <c r="C2875" s="9">
        <v>43599.0</v>
      </c>
      <c r="D2875" s="6" t="s">
        <v>3858</v>
      </c>
      <c r="E2875" s="4">
        <v>6.205000731E9</v>
      </c>
      <c r="F2875" s="8" t="s">
        <v>604</v>
      </c>
      <c r="G2875" s="4" t="s">
        <v>2162</v>
      </c>
      <c r="H2875" s="10" t="s">
        <v>3423</v>
      </c>
      <c r="I2875" s="10">
        <v>10.0</v>
      </c>
      <c r="J2875" s="11" t="str">
        <f>IF(D2875&lt;&gt;"",VLOOKUP(H2875,TABLEITEM,5,FALSE),"")</f>
        <v>EA</v>
      </c>
      <c r="K2875" s="12">
        <v>440.0</v>
      </c>
      <c r="L2875" s="13" t="str">
        <f>IF(D2875&lt;&gt;"",VLOOKUP(H2875,TABLEITEM,2,FALSE),"")</f>
        <v/>
      </c>
      <c r="M2875" s="13" t="str">
        <f>IF(D2875&lt;&gt;"",VLOOKUP(H2875,TABLEITEM,3,FALSE),"")</f>
        <v>ล้อยูริเทนเหล็กหล่อ ขนาด 6" หน้ายาง 40mm โครงเชื่อม ล้อตาย</v>
      </c>
      <c r="N2875" s="14">
        <f>INSTOCK!$I2875*INSTOCK!$K2875</f>
        <v>4400</v>
      </c>
      <c r="O2875" s="4"/>
      <c r="P2875" s="4"/>
    </row>
    <row r="2876" ht="15.75" hidden="1" customHeight="1">
      <c r="B2876" s="8">
        <v>3195.0</v>
      </c>
      <c r="C2876" s="9">
        <v>43599.0</v>
      </c>
      <c r="D2876" s="6" t="s">
        <v>3858</v>
      </c>
      <c r="E2876" s="4">
        <v>6.205000731E9</v>
      </c>
      <c r="F2876" s="8" t="s">
        <v>604</v>
      </c>
      <c r="G2876" s="4" t="s">
        <v>2162</v>
      </c>
      <c r="H2876" s="10" t="s">
        <v>3424</v>
      </c>
      <c r="I2876" s="10">
        <v>10.0</v>
      </c>
      <c r="J2876" s="11" t="str">
        <f>IF(D2876&lt;&gt;"",VLOOKUP(H2876,TABLEITEM,5,FALSE),"")</f>
        <v>EA</v>
      </c>
      <c r="K2876" s="12">
        <v>480.0</v>
      </c>
      <c r="L2876" s="13" t="str">
        <f>IF(D2876&lt;&gt;"",VLOOKUP(H2876,TABLEITEM,2,FALSE),"")</f>
        <v/>
      </c>
      <c r="M2876" s="13" t="str">
        <f>IF(D2876&lt;&gt;"",VLOOKUP(H2876,TABLEITEM,3,FALSE),"")</f>
        <v>ล้อยูริเทนเหล็กหล่อ ขนาด 6" หน้ายาง 40mm โครงเชื่อม ล้อเป็น</v>
      </c>
      <c r="N2876" s="14">
        <f>INSTOCK!$I2876*INSTOCK!$K2876</f>
        <v>4800</v>
      </c>
      <c r="O2876" s="4"/>
      <c r="P2876" s="4"/>
    </row>
    <row r="2877" ht="15.75" hidden="1" customHeight="1">
      <c r="B2877" s="8">
        <v>3196.0</v>
      </c>
      <c r="C2877" s="9">
        <v>43599.0</v>
      </c>
      <c r="D2877" s="6" t="s">
        <v>3859</v>
      </c>
      <c r="E2877" s="4"/>
      <c r="F2877" s="8" t="s">
        <v>3816</v>
      </c>
      <c r="G2877" s="4" t="s">
        <v>702</v>
      </c>
      <c r="H2877" s="10" t="s">
        <v>779</v>
      </c>
      <c r="I2877" s="10">
        <v>100.0</v>
      </c>
      <c r="J2877" s="11" t="str">
        <f>IF(D2877&lt;&gt;"",VLOOKUP(H2877,TABLEITEM,5,FALSE),"")</f>
        <v>KG.</v>
      </c>
      <c r="K2877" s="12">
        <v>130.0</v>
      </c>
      <c r="L2877" s="13" t="str">
        <f>IF(D2877&lt;&gt;"",VLOOKUP(H2877,TABLEITEM,2,FALSE),"")</f>
        <v/>
      </c>
      <c r="M2877" s="13" t="str">
        <f>IF(D2877&lt;&gt;"",VLOOKUP(H2877,TABLEITEM,3,FALSE),"")</f>
        <v>สีฝุ่น FF110/948/C สีครีม</v>
      </c>
      <c r="N2877" s="14">
        <f>INSTOCK!$I2877*INSTOCK!$K2877</f>
        <v>13000</v>
      </c>
      <c r="O2877" s="4"/>
      <c r="P2877" s="4"/>
    </row>
    <row r="2878" ht="15.75" hidden="1" customHeight="1">
      <c r="B2878" s="8">
        <v>3197.0</v>
      </c>
      <c r="C2878" s="9">
        <v>43599.0</v>
      </c>
      <c r="D2878" s="6" t="s">
        <v>3860</v>
      </c>
      <c r="E2878" s="4">
        <v>6.205000746E9</v>
      </c>
      <c r="F2878" s="8" t="s">
        <v>604</v>
      </c>
      <c r="G2878" s="4" t="s">
        <v>729</v>
      </c>
      <c r="H2878" s="10" t="s">
        <v>28</v>
      </c>
      <c r="I2878" s="10">
        <v>500.0</v>
      </c>
      <c r="J2878" s="11" t="str">
        <f>IF(D2878&lt;&gt;"",VLOOKUP(H2878,TABLEITEM,5,FALSE),"")</f>
        <v>M</v>
      </c>
      <c r="K2878" s="12">
        <v>12.0</v>
      </c>
      <c r="L2878" s="13" t="str">
        <f>IF(D2878&lt;&gt;"",VLOOKUP(H2878,TABLEITEM,2,FALSE),"")</f>
        <v/>
      </c>
      <c r="M2878" s="13" t="str">
        <f>IF(D2878&lt;&gt;"",VLOOKUP(H2878,TABLEITEM,3,FALSE),"")</f>
        <v>ยางฟองน้ำ1"x1/8"</v>
      </c>
      <c r="N2878" s="14">
        <f>INSTOCK!$I2878*INSTOCK!$K2878</f>
        <v>6000</v>
      </c>
      <c r="O2878" s="4"/>
      <c r="P2878" s="4"/>
    </row>
    <row r="2879" ht="15.75" hidden="1" customHeight="1">
      <c r="B2879" s="8">
        <v>3198.0</v>
      </c>
      <c r="C2879" s="9">
        <v>43598.0</v>
      </c>
      <c r="D2879" s="6">
        <v>6.20503183E8</v>
      </c>
      <c r="E2879" s="4">
        <v>6.205000744E9</v>
      </c>
      <c r="F2879" s="8" t="s">
        <v>3845</v>
      </c>
      <c r="G2879" s="4" t="s">
        <v>1130</v>
      </c>
      <c r="H2879" s="10" t="s">
        <v>3116</v>
      </c>
      <c r="I2879" s="10">
        <v>1.0</v>
      </c>
      <c r="J2879" s="11" t="str">
        <f>IF(D2879&lt;&gt;"",VLOOKUP(H2879,TABLEITEM,5,FALSE),"")</f>
        <v>EA</v>
      </c>
      <c r="K2879" s="12">
        <v>121.12</v>
      </c>
      <c r="L2879" s="13" t="str">
        <f>IF(D2879&lt;&gt;"",VLOOKUP(H2879,TABLEITEM,2,FALSE),"")</f>
        <v/>
      </c>
      <c r="M2879" s="13" t="str">
        <f>IF(D2879&lt;&gt;"",VLOOKUP(H2879,TABLEITEM,3,FALSE),"")</f>
        <v>CT100/5 MSQ40</v>
      </c>
      <c r="N2879" s="14">
        <f>INSTOCK!$I2879*INSTOCK!$K2879</f>
        <v>121.12</v>
      </c>
      <c r="O2879" s="4"/>
      <c r="P2879" s="4"/>
    </row>
    <row r="2880" ht="15.75" hidden="1" customHeight="1">
      <c r="B2880" s="8">
        <v>3199.0</v>
      </c>
      <c r="C2880" s="9">
        <v>43599.0</v>
      </c>
      <c r="D2880" s="6">
        <v>38583.0</v>
      </c>
      <c r="E2880" s="4">
        <v>6.205000745E9</v>
      </c>
      <c r="F2880" s="8" t="s">
        <v>604</v>
      </c>
      <c r="G2880" s="4" t="s">
        <v>696</v>
      </c>
      <c r="H2880" s="18" t="s">
        <v>55</v>
      </c>
      <c r="I2880" s="10">
        <v>72.0</v>
      </c>
      <c r="J2880" s="11" t="str">
        <f>IF(D2880&lt;&gt;"",VLOOKUP(H2880,TABLEITEM,5,FALSE),"")</f>
        <v>EA</v>
      </c>
      <c r="K2880" s="12">
        <v>12.0</v>
      </c>
      <c r="L2880" s="13" t="str">
        <f>IF(D2880&lt;&gt;"",VLOOKUP(H2880,TABLEITEM,2,FALSE),"")</f>
        <v/>
      </c>
      <c r="M2880" s="13" t="str">
        <f>IF(D2880&lt;&gt;"",VLOOKUP(H2880,TABLEITEM,3,FALSE),"")</f>
        <v>เทปใส 2''</v>
      </c>
      <c r="N2880" s="14">
        <f>INSTOCK!$I2880*INSTOCK!$K2880</f>
        <v>864</v>
      </c>
      <c r="O2880" s="4"/>
      <c r="P2880" s="4"/>
    </row>
    <row r="2881" ht="15.75" hidden="1" customHeight="1">
      <c r="B2881" s="8">
        <v>3200.0</v>
      </c>
      <c r="C2881" s="9">
        <v>43595.0</v>
      </c>
      <c r="D2881" s="6" t="s">
        <v>3861</v>
      </c>
      <c r="E2881" s="4"/>
      <c r="F2881" s="8" t="s">
        <v>3862</v>
      </c>
      <c r="G2881" s="4" t="s">
        <v>3029</v>
      </c>
      <c r="H2881" s="10" t="s">
        <v>3030</v>
      </c>
      <c r="I2881" s="10">
        <v>1.0</v>
      </c>
      <c r="J2881" s="11" t="str">
        <f>IF(D2881&lt;&gt;"",VLOOKUP(H2881,TABLEITEM,5,FALSE),"")</f>
        <v>LOT</v>
      </c>
      <c r="K2881" s="12">
        <v>500.0</v>
      </c>
      <c r="L2881" s="13" t="str">
        <f>IF(D2881&lt;&gt;"",VLOOKUP(H2881,TABLEITEM,2,FALSE),"")</f>
        <v/>
      </c>
      <c r="M2881" s="13" t="str">
        <f>IF(D2881&lt;&gt;"",VLOOKUP(H2881,TABLEITEM,3,FALSE),"")</f>
        <v>ค่าชุบ ดีบุกเงา</v>
      </c>
      <c r="N2881" s="14">
        <f>INSTOCK!$I2881*INSTOCK!$K2881</f>
        <v>500</v>
      </c>
      <c r="O2881" s="4" t="s">
        <v>3863</v>
      </c>
      <c r="P2881" s="4"/>
    </row>
    <row r="2882" ht="15.75" hidden="1" customHeight="1">
      <c r="B2882" s="8">
        <v>3201.0</v>
      </c>
      <c r="C2882" s="9">
        <v>43596.0</v>
      </c>
      <c r="D2882" s="6">
        <v>6.20502921E8</v>
      </c>
      <c r="E2882" s="4">
        <v>6.205000738E9</v>
      </c>
      <c r="F2882" s="8" t="s">
        <v>3864</v>
      </c>
      <c r="G2882" s="4" t="s">
        <v>1130</v>
      </c>
      <c r="H2882" s="10" t="s">
        <v>3865</v>
      </c>
      <c r="I2882" s="10">
        <v>3.0</v>
      </c>
      <c r="J2882" s="11" t="str">
        <f>IF(D2882&lt;&gt;"",VLOOKUP(H2882,TABLEITEM,5,FALSE),"")</f>
        <v>EA</v>
      </c>
      <c r="K2882" s="12">
        <v>277.873333</v>
      </c>
      <c r="L2882" s="13" t="str">
        <f>IF(D2882&lt;&gt;"",VLOOKUP(H2882,TABLEITEM,2,FALSE),"")</f>
        <v/>
      </c>
      <c r="M2882" s="13" t="str">
        <f>IF(D2882&lt;&gt;"",VLOOKUP(H2882,TABLEITEM,3,FALSE),"")</f>
        <v>CT1200/5 MSQ100</v>
      </c>
      <c r="N2882" s="14">
        <f>INSTOCK!$I2882*INSTOCK!$K2882</f>
        <v>833.619999</v>
      </c>
      <c r="O2882" s="4" t="s">
        <v>3866</v>
      </c>
      <c r="P2882" s="4"/>
    </row>
    <row r="2883" ht="15.75" hidden="1" customHeight="1">
      <c r="B2883" s="8">
        <v>3202.0</v>
      </c>
      <c r="C2883" s="9">
        <v>43595.0</v>
      </c>
      <c r="D2883" s="6" t="s">
        <v>3867</v>
      </c>
      <c r="E2883" s="4">
        <v>6.205000712E9</v>
      </c>
      <c r="F2883" s="8" t="s">
        <v>604</v>
      </c>
      <c r="G2883" s="4" t="s">
        <v>1070</v>
      </c>
      <c r="H2883" s="10" t="s">
        <v>22</v>
      </c>
      <c r="I2883" s="10">
        <v>200.0</v>
      </c>
      <c r="J2883" s="11" t="str">
        <f>IF(D2883&lt;&gt;"",VLOOKUP(H2883,TABLEITEM,5,FALSE),"")</f>
        <v>EA</v>
      </c>
      <c r="K2883" s="12">
        <v>38.0</v>
      </c>
      <c r="L2883" s="13" t="str">
        <f>IF(D2883&lt;&gt;"",VLOOKUP(H2883,TABLEITEM,2,FALSE),"")</f>
        <v/>
      </c>
      <c r="M2883" s="13" t="str">
        <f>IF(D2883&lt;&gt;"",VLOOKUP(H2883,TABLEITEM,3,FALSE),"")</f>
        <v>ใบขัดซ้อน # 80</v>
      </c>
      <c r="N2883" s="14">
        <f>INSTOCK!$I2883*INSTOCK!$K2883</f>
        <v>7600</v>
      </c>
      <c r="O2883" s="4"/>
      <c r="P2883" s="4"/>
    </row>
    <row r="2884" ht="15.75" hidden="1" customHeight="1">
      <c r="B2884" s="8">
        <v>3203.0</v>
      </c>
      <c r="C2884" s="9">
        <v>43595.0</v>
      </c>
      <c r="D2884" s="6" t="s">
        <v>3868</v>
      </c>
      <c r="E2884" s="4">
        <v>6.205000728E9</v>
      </c>
      <c r="F2884" s="8" t="s">
        <v>3826</v>
      </c>
      <c r="G2884" s="4" t="s">
        <v>1485</v>
      </c>
      <c r="H2884" s="10" t="s">
        <v>2866</v>
      </c>
      <c r="I2884" s="10">
        <v>1.0</v>
      </c>
      <c r="J2884" s="11" t="str">
        <f>IF(D2884&lt;&gt;"",VLOOKUP(H2884,TABLEITEM,5,FALSE),"")</f>
        <v>EA</v>
      </c>
      <c r="K2884" s="12">
        <v>6150.0</v>
      </c>
      <c r="L2884" s="13" t="str">
        <f>IF(D2884&lt;&gt;"",VLOOKUP(H2884,TABLEITEM,2,FALSE),"")</f>
        <v/>
      </c>
      <c r="M2884" s="13" t="str">
        <f>IF(D2884&lt;&gt;"",VLOOKUP(H2884,TABLEITEM,3,FALSE),"")</f>
        <v>MCCB CVS 400F TM400D 3P 3D </v>
      </c>
      <c r="N2884" s="14">
        <f>INSTOCK!$I2884*INSTOCK!$K2884</f>
        <v>6150</v>
      </c>
      <c r="O2884" s="4"/>
      <c r="P2884" s="4"/>
    </row>
    <row r="2885" ht="15.75" hidden="1" customHeight="1">
      <c r="B2885" s="8">
        <v>3204.0</v>
      </c>
      <c r="C2885" s="9">
        <v>43595.0</v>
      </c>
      <c r="D2885" s="6" t="s">
        <v>3868</v>
      </c>
      <c r="E2885" s="4">
        <v>6.205000728E9</v>
      </c>
      <c r="F2885" s="8" t="s">
        <v>3826</v>
      </c>
      <c r="G2885" s="4" t="s">
        <v>1485</v>
      </c>
      <c r="H2885" s="10" t="s">
        <v>2965</v>
      </c>
      <c r="I2885" s="10">
        <v>8.0</v>
      </c>
      <c r="J2885" s="11" t="str">
        <f>IF(D2885&lt;&gt;"",VLOOKUP(H2885,TABLEITEM,5,FALSE),"")</f>
        <v>EA</v>
      </c>
      <c r="K2885" s="12">
        <v>1279.2</v>
      </c>
      <c r="L2885" s="13" t="str">
        <f>IF(D2885&lt;&gt;"",VLOOKUP(H2885,TABLEITEM,2,FALSE),"")</f>
        <v/>
      </c>
      <c r="M2885" s="13" t="str">
        <f>IF(D2885&lt;&gt;"",VLOOKUP(H2885,TABLEITEM,3,FALSE),"")</f>
        <v>MCCB CVS100B TM32D 3P3D 380/415 VAC 25KA</v>
      </c>
      <c r="N2885" s="14">
        <f>INSTOCK!$I2885*INSTOCK!$K2885</f>
        <v>10233.6</v>
      </c>
      <c r="O2885" s="4"/>
      <c r="P2885" s="4"/>
    </row>
    <row r="2886" ht="15.75" hidden="1" customHeight="1">
      <c r="B2886" s="8">
        <v>3205.0</v>
      </c>
      <c r="C2886" s="9">
        <v>43595.0</v>
      </c>
      <c r="D2886" s="6" t="s">
        <v>3868</v>
      </c>
      <c r="E2886" s="4">
        <v>6.205000728E9</v>
      </c>
      <c r="F2886" s="8" t="s">
        <v>3826</v>
      </c>
      <c r="G2886" s="4" t="s">
        <v>1485</v>
      </c>
      <c r="H2886" s="10" t="s">
        <v>1853</v>
      </c>
      <c r="I2886" s="10">
        <v>5.0</v>
      </c>
      <c r="J2886" s="11" t="str">
        <f>IF(D2886&lt;&gt;"",VLOOKUP(H2886,TABLEITEM,5,FALSE),"")</f>
        <v>EA</v>
      </c>
      <c r="K2886" s="12">
        <v>561.7</v>
      </c>
      <c r="L2886" s="13" t="str">
        <f>IF(D2886&lt;&gt;"",VLOOKUP(H2886,TABLEITEM,2,FALSE),"")</f>
        <v/>
      </c>
      <c r="M2886" s="13" t="str">
        <f>IF(D2886&lt;&gt;"",VLOOKUP(H2886,TABLEITEM,3,FALSE),"")</f>
        <v>K CAM SWITCH K1F003MLH</v>
      </c>
      <c r="N2886" s="14">
        <f>INSTOCK!$I2886*INSTOCK!$K2886</f>
        <v>2808.5</v>
      </c>
      <c r="O2886" s="4"/>
      <c r="P2886" s="4"/>
    </row>
    <row r="2887" ht="15.75" hidden="1" customHeight="1">
      <c r="B2887" s="8">
        <v>3206.0</v>
      </c>
      <c r="C2887" s="9">
        <v>43596.0</v>
      </c>
      <c r="D2887" s="6">
        <v>38553.0</v>
      </c>
      <c r="E2887" s="4">
        <v>6.205000732E9</v>
      </c>
      <c r="F2887" s="8" t="s">
        <v>3869</v>
      </c>
      <c r="G2887" s="4" t="s">
        <v>696</v>
      </c>
      <c r="H2887" s="10" t="s">
        <v>3870</v>
      </c>
      <c r="I2887" s="10">
        <v>1.0</v>
      </c>
      <c r="J2887" s="11" t="str">
        <f>IF(D2887&lt;&gt;"",VLOOKUP(H2887,TABLEITEM,5,FALSE),"")</f>
        <v>EA</v>
      </c>
      <c r="K2887" s="12">
        <v>930.0</v>
      </c>
      <c r="L2887" s="13" t="str">
        <f>IF(D2887&lt;&gt;"",VLOOKUP(H2887,TABLEITEM,2,FALSE),"")</f>
        <v/>
      </c>
      <c r="M2887" s="13" t="str">
        <f>IF(D2887&lt;&gt;"",VLOOKUP(H2887,TABLEITEM,3,FALSE),"")</f>
        <v>เวอร์เนีย 6"</v>
      </c>
      <c r="N2887" s="14">
        <f>INSTOCK!$I2887*INSTOCK!$K2887</f>
        <v>930</v>
      </c>
      <c r="O2887" s="4"/>
      <c r="P2887" s="4"/>
    </row>
    <row r="2888" ht="15.75" hidden="1" customHeight="1">
      <c r="B2888" s="8">
        <v>3207.0</v>
      </c>
      <c r="C2888" s="9">
        <v>43600.0</v>
      </c>
      <c r="D2888" s="6" t="s">
        <v>3871</v>
      </c>
      <c r="E2888" s="4">
        <v>6.20500072E9</v>
      </c>
      <c r="F2888" s="8" t="s">
        <v>1973</v>
      </c>
      <c r="G2888" s="4" t="s">
        <v>3872</v>
      </c>
      <c r="H2888" s="10" t="s">
        <v>3873</v>
      </c>
      <c r="I2888" s="10">
        <v>1.0</v>
      </c>
      <c r="J2888" s="11" t="str">
        <f>IF(D2888&lt;&gt;"",VLOOKUP(H2888,TABLEITEM,5,FALSE),"")</f>
        <v>EA</v>
      </c>
      <c r="K2888" s="12">
        <v>4950.0</v>
      </c>
      <c r="L2888" s="13" t="str">
        <f>IF(D2888&lt;&gt;"",VLOOKUP(H2888,TABLEITEM,2,FALSE),"")</f>
        <v/>
      </c>
      <c r="M2888" s="13" t="str">
        <f>IF(D2888&lt;&gt;"",VLOOKUP(H2888,TABLEITEM,3,FALSE),"")</f>
        <v>SOLENIOD VALE(NON EX-PROOF) 220V NC1"</v>
      </c>
      <c r="N2888" s="14">
        <f>INSTOCK!$I2888*INSTOCK!$K2888</f>
        <v>4950</v>
      </c>
      <c r="O2888" s="4"/>
      <c r="P2888" s="4"/>
    </row>
    <row r="2889" ht="15.75" hidden="1" customHeight="1">
      <c r="B2889" s="8">
        <v>3208.0</v>
      </c>
      <c r="C2889" s="9">
        <v>43600.0</v>
      </c>
      <c r="D2889" s="6" t="s">
        <v>3871</v>
      </c>
      <c r="E2889" s="4">
        <v>6.20500072E9</v>
      </c>
      <c r="F2889" s="8" t="s">
        <v>1973</v>
      </c>
      <c r="G2889" s="4" t="s">
        <v>3872</v>
      </c>
      <c r="H2889" s="10" t="s">
        <v>3874</v>
      </c>
      <c r="I2889" s="10">
        <v>2.0</v>
      </c>
      <c r="J2889" s="11" t="str">
        <f>IF(D2889&lt;&gt;"",VLOOKUP(H2889,TABLEITEM,5,FALSE),"")</f>
        <v>EA</v>
      </c>
      <c r="K2889" s="12">
        <v>9400.0</v>
      </c>
      <c r="L2889" s="13" t="str">
        <f>IF(D2889&lt;&gt;"",VLOOKUP(H2889,TABLEITEM,2,FALSE),"")</f>
        <v/>
      </c>
      <c r="M2889" s="13" t="str">
        <f>IF(D2889&lt;&gt;"",VLOOKUP(H2889,TABLEITEM,3,FALSE),"")</f>
        <v>INFRA-RED BURNER/6ช่อง</v>
      </c>
      <c r="N2889" s="14">
        <f>INSTOCK!$I2889*INSTOCK!$K2889</f>
        <v>18800</v>
      </c>
      <c r="O2889" s="4"/>
      <c r="P2889" s="4"/>
    </row>
    <row r="2890" ht="15.75" hidden="1" customHeight="1">
      <c r="B2890" s="8">
        <v>3209.0</v>
      </c>
      <c r="C2890" s="9">
        <v>43594.0</v>
      </c>
      <c r="D2890" s="6" t="s">
        <v>3875</v>
      </c>
      <c r="E2890" s="4">
        <v>6.205000724E9</v>
      </c>
      <c r="F2890" s="8" t="s">
        <v>3845</v>
      </c>
      <c r="G2890" s="4" t="s">
        <v>1512</v>
      </c>
      <c r="H2890" s="10" t="s">
        <v>3876</v>
      </c>
      <c r="I2890" s="10">
        <v>1.0</v>
      </c>
      <c r="J2890" s="11" t="str">
        <f>IF(D2890&lt;&gt;"",VLOOKUP(H2890,TABLEITEM,5,FALSE),"")</f>
        <v>EA</v>
      </c>
      <c r="K2890" s="12">
        <v>1032.75</v>
      </c>
      <c r="L2890" s="13" t="str">
        <f>IF(D2890&lt;&gt;"",VLOOKUP(H2890,TABLEITEM,2,FALSE),"")</f>
        <v/>
      </c>
      <c r="M2890" s="13" t="str">
        <f>IF(D2890&lt;&gt;"",VLOOKUP(H2890,TABLEITEM,3,FALSE),"")</f>
        <v>เบรกเกอร์ A1N125 2P 100A 50KA </v>
      </c>
      <c r="N2890" s="14">
        <f>INSTOCK!$I2890*INSTOCK!$K2890</f>
        <v>1032.75</v>
      </c>
      <c r="O2890" s="4" t="s">
        <v>3877</v>
      </c>
      <c r="P2890" s="4"/>
    </row>
    <row r="2891" ht="15.75" hidden="1" customHeight="1">
      <c r="B2891" s="8">
        <v>3210.0</v>
      </c>
      <c r="C2891" s="9">
        <v>43596.0</v>
      </c>
      <c r="D2891" s="6" t="s">
        <v>3878</v>
      </c>
      <c r="E2891" s="4">
        <v>6.20500074E9</v>
      </c>
      <c r="F2891" s="8" t="s">
        <v>3530</v>
      </c>
      <c r="G2891" s="4" t="s">
        <v>1512</v>
      </c>
      <c r="H2891" s="10" t="s">
        <v>3879</v>
      </c>
      <c r="I2891" s="10">
        <v>1.0</v>
      </c>
      <c r="J2891" s="11" t="str">
        <f>IF(D2891&lt;&gt;"",VLOOKUP(H2891,TABLEITEM,5,FALSE),"")</f>
        <v>EA</v>
      </c>
      <c r="K2891" s="12">
        <v>1178.1</v>
      </c>
      <c r="L2891" s="13" t="str">
        <f>IF(D2891&lt;&gt;"",VLOOKUP(H2891,TABLEITEM,2,FALSE),"")</f>
        <v/>
      </c>
      <c r="M2891" s="13" t="str">
        <f>IF(D2891&lt;&gt;"",VLOOKUP(H2891,TABLEITEM,3,FALSE),"")</f>
        <v>เบรกเกอร์ A1C125 1P 20A 18KA </v>
      </c>
      <c r="N2891" s="14">
        <f>INSTOCK!$I2891*INSTOCK!$K2891</f>
        <v>1178.1</v>
      </c>
      <c r="O2891" s="4" t="s">
        <v>3880</v>
      </c>
      <c r="P2891" s="4"/>
    </row>
    <row r="2892" ht="15.75" hidden="1" customHeight="1">
      <c r="B2892" s="8">
        <v>3211.0</v>
      </c>
      <c r="C2892" s="9">
        <v>43596.0</v>
      </c>
      <c r="D2892" s="6" t="s">
        <v>3881</v>
      </c>
      <c r="E2892" s="4">
        <v>6.205000739E9</v>
      </c>
      <c r="F2892" s="8" t="s">
        <v>3530</v>
      </c>
      <c r="G2892" s="4" t="s">
        <v>1512</v>
      </c>
      <c r="H2892" s="10" t="s">
        <v>3879</v>
      </c>
      <c r="I2892" s="10">
        <v>7.0</v>
      </c>
      <c r="J2892" s="11" t="str">
        <f>IF(D2892&lt;&gt;"",VLOOKUP(H2892,TABLEITEM,5,FALSE),"")</f>
        <v>EA</v>
      </c>
      <c r="K2892" s="12">
        <v>1178.1</v>
      </c>
      <c r="L2892" s="13" t="str">
        <f>IF(D2892&lt;&gt;"",VLOOKUP(H2892,TABLEITEM,2,FALSE),"")</f>
        <v/>
      </c>
      <c r="M2892" s="13" t="str">
        <f>IF(D2892&lt;&gt;"",VLOOKUP(H2892,TABLEITEM,3,FALSE),"")</f>
        <v>เบรกเกอร์ A1C125 1P 20A 18KA </v>
      </c>
      <c r="N2892" s="14">
        <f>INSTOCK!$I2892*INSTOCK!$K2892</f>
        <v>8246.7</v>
      </c>
      <c r="O2892" s="4" t="s">
        <v>3880</v>
      </c>
      <c r="P2892" s="4"/>
    </row>
    <row r="2893" ht="15.75" hidden="1" customHeight="1">
      <c r="B2893" s="8">
        <v>3212.0</v>
      </c>
      <c r="C2893" s="9">
        <v>43599.0</v>
      </c>
      <c r="D2893" s="6">
        <v>10602.0</v>
      </c>
      <c r="E2893" s="4">
        <v>6.20500073E9</v>
      </c>
      <c r="F2893" s="8" t="s">
        <v>604</v>
      </c>
      <c r="G2893" s="4" t="s">
        <v>1611</v>
      </c>
      <c r="H2893" s="10" t="s">
        <v>3882</v>
      </c>
      <c r="I2893" s="10">
        <v>3.0</v>
      </c>
      <c r="J2893" s="11" t="str">
        <f>IF(D2893&lt;&gt;"",VLOOKUP(H2893,TABLEITEM,5,FALSE),"")</f>
        <v>EA</v>
      </c>
      <c r="K2893" s="12">
        <v>400.0</v>
      </c>
      <c r="L2893" s="13" t="str">
        <f>IF(D2893&lt;&gt;"",VLOOKUP(H2893,TABLEITEM,2,FALSE),"")</f>
        <v/>
      </c>
      <c r="M2893" s="13" t="str">
        <f>IF(D2893&lt;&gt;"",VLOOKUP(H2893,TABLEITEM,3,FALSE),"")</f>
        <v>Terminal block TX400</v>
      </c>
      <c r="N2893" s="14">
        <f>INSTOCK!$I2893*INSTOCK!$K2893</f>
        <v>1200</v>
      </c>
      <c r="O2893" s="4"/>
      <c r="P2893" s="4"/>
    </row>
    <row r="2894" ht="15.75" hidden="1" customHeight="1">
      <c r="B2894" s="8">
        <v>3213.0</v>
      </c>
      <c r="C2894" s="9">
        <v>43599.0</v>
      </c>
      <c r="D2894" s="6">
        <v>10602.0</v>
      </c>
      <c r="E2894" s="4">
        <v>6.20500073E9</v>
      </c>
      <c r="F2894" s="8" t="s">
        <v>604</v>
      </c>
      <c r="G2894" s="4" t="s">
        <v>1611</v>
      </c>
      <c r="H2894" s="10" t="s">
        <v>3883</v>
      </c>
      <c r="I2894" s="10">
        <v>2.0</v>
      </c>
      <c r="J2894" s="11" t="str">
        <f>IF(D2894&lt;&gt;"",VLOOKUP(H2894,TABLEITEM,5,FALSE),"")</f>
        <v>EA</v>
      </c>
      <c r="K2894" s="12">
        <v>360.0</v>
      </c>
      <c r="L2894" s="13" t="str">
        <f>IF(D2894&lt;&gt;"",VLOOKUP(H2894,TABLEITEM,2,FALSE),"")</f>
        <v/>
      </c>
      <c r="M2894" s="13" t="str">
        <f>IF(D2894&lt;&gt;"",VLOOKUP(H2894,TABLEITEM,3,FALSE),"")</f>
        <v>Cover TRB40N</v>
      </c>
      <c r="N2894" s="14">
        <f>INSTOCK!$I2894*INSTOCK!$K2894</f>
        <v>720</v>
      </c>
      <c r="O2894" s="4"/>
      <c r="P2894" s="4"/>
    </row>
    <row r="2895" ht="15.75" hidden="1" customHeight="1">
      <c r="B2895" s="8">
        <v>3214.0</v>
      </c>
      <c r="C2895" s="9">
        <v>43599.0</v>
      </c>
      <c r="D2895" s="6" t="s">
        <v>3884</v>
      </c>
      <c r="E2895" s="4">
        <v>6.205000689E9</v>
      </c>
      <c r="F2895" s="8" t="s">
        <v>3885</v>
      </c>
      <c r="G2895" s="4" t="s">
        <v>3886</v>
      </c>
      <c r="H2895" s="10" t="s">
        <v>3887</v>
      </c>
      <c r="I2895" s="10">
        <v>400.0</v>
      </c>
      <c r="J2895" s="11" t="str">
        <f>IF(D2895&lt;&gt;"",VLOOKUP(H2895,TABLEITEM,5,FALSE),"")</f>
        <v>EA</v>
      </c>
      <c r="K2895" s="12">
        <v>20.0</v>
      </c>
      <c r="L2895" s="13" t="str">
        <f>IF(D2895&lt;&gt;"",VLOOKUP(H2895,TABLEITEM,2,FALSE),"")</f>
        <v/>
      </c>
      <c r="M2895" s="13" t="str">
        <f>IF(D2895&lt;&gt;"",VLOOKUP(H2895,TABLEITEM,3,FALSE),"")</f>
        <v>บูชกลึง M6 ไม่ทำเกลีบว</v>
      </c>
      <c r="N2895" s="14">
        <f>INSTOCK!$I2895*INSTOCK!$K2895</f>
        <v>8000</v>
      </c>
      <c r="O2895" s="4"/>
      <c r="P2895" s="4"/>
    </row>
    <row r="2896" ht="15.75" hidden="1" customHeight="1">
      <c r="B2896" s="8">
        <v>3215.0</v>
      </c>
      <c r="C2896" s="9">
        <v>43599.0</v>
      </c>
      <c r="D2896" s="6" t="s">
        <v>3888</v>
      </c>
      <c r="E2896" s="4">
        <v>6.205000747E9</v>
      </c>
      <c r="F2896" s="8" t="s">
        <v>604</v>
      </c>
      <c r="G2896" s="4" t="s">
        <v>721</v>
      </c>
      <c r="H2896" s="10" t="s">
        <v>159</v>
      </c>
      <c r="I2896" s="10">
        <v>2000.0</v>
      </c>
      <c r="J2896" s="11" t="str">
        <f>IF(D2896&lt;&gt;"",VLOOKUP(H2896,TABLEITEM,5,FALSE),"")</f>
        <v>EA</v>
      </c>
      <c r="K2896" s="12">
        <v>0.1164</v>
      </c>
      <c r="L2896" s="13" t="str">
        <f>IF(D2896&lt;&gt;"",VLOOKUP(H2896,TABLEITEM,2,FALSE),"")</f>
        <v/>
      </c>
      <c r="M2896" s="13" t="str">
        <f>IF(D2896&lt;&gt;"",VLOOKUP(H2896,TABLEITEM,3,FALSE),"")</f>
        <v>เคเบิ้ลไทร์ 4" สีขาวCT-100-2C</v>
      </c>
      <c r="N2896" s="14">
        <f>INSTOCK!$I2896*INSTOCK!$K2896</f>
        <v>232.8</v>
      </c>
      <c r="O2896" s="4" t="s">
        <v>1217</v>
      </c>
      <c r="P2896" s="4"/>
    </row>
    <row r="2897" ht="15.75" hidden="1" customHeight="1">
      <c r="B2897" s="8">
        <v>3216.0</v>
      </c>
      <c r="C2897" s="9">
        <v>43599.0</v>
      </c>
      <c r="D2897" s="6" t="s">
        <v>3888</v>
      </c>
      <c r="E2897" s="4">
        <v>6.205000747E9</v>
      </c>
      <c r="F2897" s="8" t="s">
        <v>604</v>
      </c>
      <c r="G2897" s="4" t="s">
        <v>721</v>
      </c>
      <c r="H2897" s="10" t="s">
        <v>173</v>
      </c>
      <c r="I2897" s="10">
        <v>1000.0</v>
      </c>
      <c r="J2897" s="11" t="str">
        <f>IF(D2897&lt;&gt;"",VLOOKUP(H2897,TABLEITEM,5,FALSE),"")</f>
        <v>EA</v>
      </c>
      <c r="K2897" s="12">
        <v>1.95455</v>
      </c>
      <c r="L2897" s="13" t="str">
        <f>IF(D2897&lt;&gt;"",VLOOKUP(H2897,TABLEITEM,2,FALSE),"")</f>
        <v/>
      </c>
      <c r="M2897" s="13" t="str">
        <f>IF(D2897&lt;&gt;"",VLOOKUP(H2897,TABLEITEM,3,FALSE),"")</f>
        <v>แป้นกาวเล็กTM2121-4WP</v>
      </c>
      <c r="N2897" s="14">
        <f>INSTOCK!$I2897*INSTOCK!$K2897</f>
        <v>1954.55</v>
      </c>
      <c r="O2897" s="4" t="s">
        <v>1405</v>
      </c>
      <c r="P2897" s="4"/>
    </row>
    <row r="2898" ht="15.75" hidden="1" customHeight="1">
      <c r="B2898" s="8">
        <v>3217.0</v>
      </c>
      <c r="C2898" s="9">
        <v>43599.0</v>
      </c>
      <c r="D2898" s="6" t="s">
        <v>3889</v>
      </c>
      <c r="E2898" s="4">
        <v>6.205000721E9</v>
      </c>
      <c r="F2898" s="8" t="s">
        <v>604</v>
      </c>
      <c r="G2898" s="4" t="s">
        <v>1777</v>
      </c>
      <c r="H2898" s="10" t="s">
        <v>2167</v>
      </c>
      <c r="I2898" s="10">
        <v>4000.0</v>
      </c>
      <c r="J2898" s="11" t="str">
        <f>IF(D2898&lt;&gt;"",VLOOKUP(H2898,TABLEITEM,5,FALSE),"")</f>
        <v>EA</v>
      </c>
      <c r="K2898" s="12">
        <v>0.05</v>
      </c>
      <c r="L2898" s="13" t="str">
        <f>IF(D2898&lt;&gt;"",VLOOKUP(H2898,TABLEITEM,2,FALSE),"")</f>
        <v/>
      </c>
      <c r="M2898" s="13" t="str">
        <f>IF(D2898&lt;&gt;"",VLOOKUP(H2898,TABLEITEM,3,FALSE),"")</f>
        <v>แหวนอีแปะ M4  ชุบขาว</v>
      </c>
      <c r="N2898" s="14">
        <f>INSTOCK!$I2898*INSTOCK!$K2898</f>
        <v>200</v>
      </c>
      <c r="O2898" s="4" t="s">
        <v>2168</v>
      </c>
      <c r="P2898" s="4"/>
    </row>
    <row r="2899" ht="15.75" hidden="1" customHeight="1">
      <c r="B2899" s="8">
        <v>3218.0</v>
      </c>
      <c r="C2899" s="9">
        <v>43599.0</v>
      </c>
      <c r="D2899" s="6" t="s">
        <v>3889</v>
      </c>
      <c r="E2899" s="4">
        <v>6.205000721E9</v>
      </c>
      <c r="F2899" s="8" t="s">
        <v>604</v>
      </c>
      <c r="G2899" s="4" t="s">
        <v>1777</v>
      </c>
      <c r="H2899" s="10" t="s">
        <v>2100</v>
      </c>
      <c r="I2899" s="10">
        <v>10000.0</v>
      </c>
      <c r="J2899" s="11" t="str">
        <f>IF(D2899&lt;&gt;"",VLOOKUP(H2899,TABLEITEM,5,FALSE),"")</f>
        <v>EA</v>
      </c>
      <c r="K2899" s="12">
        <v>0.7995</v>
      </c>
      <c r="L2899" s="13" t="str">
        <f>IF(D2899&lt;&gt;"",VLOOKUP(H2899,TABLEITEM,2,FALSE),"")</f>
        <v/>
      </c>
      <c r="M2899" s="13" t="str">
        <f>IF(D2899&lt;&gt;"",VLOOKUP(H2899,TABLEITEM,3,FALSE),"")</f>
        <v>สกรูหัวเหลี่ยมชุบขาว M8x20</v>
      </c>
      <c r="N2899" s="14">
        <f>INSTOCK!$I2899*INSTOCK!$K2899</f>
        <v>7995</v>
      </c>
      <c r="O2899" s="4" t="s">
        <v>2101</v>
      </c>
      <c r="P2899" s="4"/>
    </row>
    <row r="2900" ht="15.75" hidden="1" customHeight="1">
      <c r="B2900" s="8">
        <v>3219.0</v>
      </c>
      <c r="C2900" s="9">
        <v>43599.0</v>
      </c>
      <c r="D2900" s="6" t="s">
        <v>3889</v>
      </c>
      <c r="E2900" s="4">
        <v>6.205000721E9</v>
      </c>
      <c r="F2900" s="8" t="s">
        <v>604</v>
      </c>
      <c r="G2900" s="4" t="s">
        <v>1777</v>
      </c>
      <c r="H2900" s="10" t="s">
        <v>3014</v>
      </c>
      <c r="I2900" s="10">
        <v>10000.0</v>
      </c>
      <c r="J2900" s="11" t="str">
        <f>IF(D2900&lt;&gt;"",VLOOKUP(H2900,TABLEITEM,5,FALSE),"")</f>
        <v>EA</v>
      </c>
      <c r="K2900" s="12">
        <v>0.075</v>
      </c>
      <c r="L2900" s="13" t="str">
        <f>IF(D2900&lt;&gt;"",VLOOKUP(H2900,TABLEITEM,2,FALSE),"")</f>
        <v/>
      </c>
      <c r="M2900" s="13" t="str">
        <f>IF(D2900&lt;&gt;"",VLOOKUP(H2900,TABLEITEM,3,FALSE),"")</f>
        <v>แหวนสปริง M 8 ชุบรุ้ง</v>
      </c>
      <c r="N2900" s="14">
        <f>INSTOCK!$I2900*INSTOCK!$K2900</f>
        <v>750</v>
      </c>
      <c r="O2900" s="4" t="s">
        <v>2079</v>
      </c>
      <c r="P2900" s="4"/>
    </row>
    <row r="2901" ht="15.75" hidden="1" customHeight="1">
      <c r="B2901" s="8">
        <v>3220.0</v>
      </c>
      <c r="C2901" s="9">
        <v>43599.0</v>
      </c>
      <c r="D2901" s="6" t="s">
        <v>3889</v>
      </c>
      <c r="E2901" s="4">
        <v>6.205000721E9</v>
      </c>
      <c r="F2901" s="8" t="s">
        <v>604</v>
      </c>
      <c r="G2901" s="4" t="s">
        <v>1777</v>
      </c>
      <c r="H2901" s="10" t="s">
        <v>2080</v>
      </c>
      <c r="I2901" s="10">
        <v>10000.0</v>
      </c>
      <c r="J2901" s="11" t="str">
        <f>IF(D2901&lt;&gt;"",VLOOKUP(H2901,TABLEITEM,5,FALSE),"")</f>
        <v>EA</v>
      </c>
      <c r="K2901" s="12">
        <v>0.36</v>
      </c>
      <c r="L2901" s="13" t="str">
        <f>IF(D2901&lt;&gt;"",VLOOKUP(H2901,TABLEITEM,2,FALSE),"")</f>
        <v/>
      </c>
      <c r="M2901" s="13" t="str">
        <f>IF(D2901&lt;&gt;"",VLOOKUP(H2901,TABLEITEM,3,FALSE),"")</f>
        <v>หัวน็อต M 8 ชุบขาว</v>
      </c>
      <c r="N2901" s="14">
        <f>INSTOCK!$I2901*INSTOCK!$K2901</f>
        <v>3600</v>
      </c>
      <c r="O2901" s="4" t="s">
        <v>2081</v>
      </c>
      <c r="P2901" s="4"/>
    </row>
    <row r="2902" ht="15.75" hidden="1" customHeight="1">
      <c r="B2902" s="8">
        <v>3221.0</v>
      </c>
      <c r="C2902" s="9">
        <v>43599.0</v>
      </c>
      <c r="D2902" s="6" t="s">
        <v>3889</v>
      </c>
      <c r="E2902" s="4">
        <v>6.205000721E9</v>
      </c>
      <c r="F2902" s="8" t="s">
        <v>604</v>
      </c>
      <c r="G2902" s="4" t="s">
        <v>1777</v>
      </c>
      <c r="H2902" s="10" t="s">
        <v>1859</v>
      </c>
      <c r="I2902" s="10">
        <v>2000.0</v>
      </c>
      <c r="J2902" s="11" t="str">
        <f>IF(D2902&lt;&gt;"",VLOOKUP(H2902,TABLEITEM,5,FALSE),"")</f>
        <v>EA</v>
      </c>
      <c r="K2902" s="12">
        <v>0.9035</v>
      </c>
      <c r="L2902" s="13" t="str">
        <f>IF(D2902&lt;&gt;"",VLOOKUP(H2902,TABLEITEM,2,FALSE),"")</f>
        <v/>
      </c>
      <c r="M2902" s="13" t="str">
        <f>IF(D2902&lt;&gt;"",VLOOKUP(H2902,TABLEITEM,3,FALSE),"")</f>
        <v>สกรูหัวเหลี่ยมชุบขาว M8x25</v>
      </c>
      <c r="N2902" s="14">
        <f>INSTOCK!$I2902*INSTOCK!$K2902</f>
        <v>1807</v>
      </c>
      <c r="O2902" s="4" t="s">
        <v>1860</v>
      </c>
      <c r="P2902" s="4"/>
    </row>
    <row r="2903" ht="15.75" hidden="1" customHeight="1">
      <c r="B2903" s="8">
        <v>3222.0</v>
      </c>
      <c r="C2903" s="9">
        <v>43599.0</v>
      </c>
      <c r="D2903" s="6" t="s">
        <v>3889</v>
      </c>
      <c r="E2903" s="4">
        <v>6.205000721E9</v>
      </c>
      <c r="F2903" s="8" t="s">
        <v>604</v>
      </c>
      <c r="G2903" s="4" t="s">
        <v>1777</v>
      </c>
      <c r="H2903" s="10" t="s">
        <v>2102</v>
      </c>
      <c r="I2903" s="10">
        <v>20000.0</v>
      </c>
      <c r="J2903" s="11" t="str">
        <f>IF(D2903&lt;&gt;"",VLOOKUP(H2903,TABLEITEM,5,FALSE),"")</f>
        <v>EA</v>
      </c>
      <c r="K2903" s="12">
        <v>0.175</v>
      </c>
      <c r="L2903" s="13" t="str">
        <f>IF(D2903&lt;&gt;"",VLOOKUP(H2903,TABLEITEM,2,FALSE),"")</f>
        <v/>
      </c>
      <c r="M2903" s="13" t="str">
        <f>IF(D2903&lt;&gt;"",VLOOKUP(H2903,TABLEITEM,3,FALSE),"")</f>
        <v>แหวนอีแปะ M8 ชุบขาว</v>
      </c>
      <c r="N2903" s="14">
        <f>INSTOCK!$I2903*INSTOCK!$K2903</f>
        <v>3500</v>
      </c>
      <c r="O2903" s="4" t="s">
        <v>3647</v>
      </c>
      <c r="P2903" s="4"/>
    </row>
    <row r="2904" ht="15.75" hidden="1" customHeight="1">
      <c r="B2904" s="8">
        <v>3223.0</v>
      </c>
      <c r="C2904" s="9">
        <v>43598.0</v>
      </c>
      <c r="D2904" s="6" t="s">
        <v>3890</v>
      </c>
      <c r="E2904" s="4"/>
      <c r="F2904" s="8" t="s">
        <v>3891</v>
      </c>
      <c r="G2904" s="4" t="s">
        <v>3892</v>
      </c>
      <c r="H2904" s="10" t="s">
        <v>3893</v>
      </c>
      <c r="I2904" s="10">
        <v>2.0</v>
      </c>
      <c r="J2904" s="11" t="str">
        <f>IF(D2904&lt;&gt;"",VLOOKUP(H2904,TABLEITEM,5,FALSE),"")</f>
        <v>EA</v>
      </c>
      <c r="K2904" s="12">
        <v>120.0</v>
      </c>
      <c r="L2904" s="13" t="str">
        <f>IF(D2904&lt;&gt;"",VLOOKUP(H2904,TABLEITEM,2,FALSE),"")</f>
        <v/>
      </c>
      <c r="M2904" s="13" t="str">
        <f>IF(D2904&lt;&gt;"",VLOOKUP(H2904,TABLEITEM,3,FALSE),"")</f>
        <v>โซ๊คแก๊สกระบอก (NO.CS.05301)60N</v>
      </c>
      <c r="N2904" s="14">
        <f>INSTOCK!$I2904*INSTOCK!$K2904</f>
        <v>240</v>
      </c>
      <c r="O2904" s="4"/>
      <c r="P2904" s="4"/>
    </row>
    <row r="2905" ht="15.75" hidden="1" customHeight="1">
      <c r="B2905" s="8">
        <v>3224.0</v>
      </c>
      <c r="C2905" s="9">
        <v>43598.0</v>
      </c>
      <c r="D2905" s="6">
        <v>38567.0</v>
      </c>
      <c r="E2905" s="4">
        <v>6.205000737E9</v>
      </c>
      <c r="F2905" s="8" t="s">
        <v>604</v>
      </c>
      <c r="G2905" s="4" t="s">
        <v>696</v>
      </c>
      <c r="H2905" s="10" t="s">
        <v>2831</v>
      </c>
      <c r="I2905" s="10">
        <v>24.0</v>
      </c>
      <c r="J2905" s="11" t="str">
        <f>IF(D2905&lt;&gt;"",VLOOKUP(H2905,TABLEITEM,5,FALSE),"")</f>
        <v>EA</v>
      </c>
      <c r="K2905" s="12">
        <v>38.0</v>
      </c>
      <c r="L2905" s="13" t="str">
        <f>IF(D2905&lt;&gt;"",VLOOKUP(H2905,TABLEITEM,2,FALSE),"")</f>
        <v/>
      </c>
      <c r="M2905" s="13" t="str">
        <f>IF(D2905&lt;&gt;"",VLOOKUP(H2905,TABLEITEM,3,FALSE),"")</f>
        <v>แว่นตาใส </v>
      </c>
      <c r="N2905" s="14">
        <f>INSTOCK!$I2905*INSTOCK!$K2905</f>
        <v>912</v>
      </c>
      <c r="O2905" s="4"/>
      <c r="P2905" s="4"/>
    </row>
    <row r="2906" ht="15.75" hidden="1" customHeight="1">
      <c r="B2906" s="8">
        <v>3225.0</v>
      </c>
      <c r="C2906" s="9">
        <v>43598.0</v>
      </c>
      <c r="D2906" s="6" t="s">
        <v>3894</v>
      </c>
      <c r="E2906" s="4">
        <v>6.205000723E9</v>
      </c>
      <c r="F2906" s="8" t="s">
        <v>604</v>
      </c>
      <c r="G2906" s="4" t="s">
        <v>2056</v>
      </c>
      <c r="H2906" s="10" t="s">
        <v>3895</v>
      </c>
      <c r="I2906" s="10">
        <v>2000.0</v>
      </c>
      <c r="J2906" s="11" t="str">
        <f>IF(D2906&lt;&gt;"",VLOOKUP(H2906,TABLEITEM,5,FALSE),"")</f>
        <v>EA</v>
      </c>
      <c r="K2906" s="12">
        <v>3.3</v>
      </c>
      <c r="L2906" s="13" t="str">
        <f>IF(D2906&lt;&gt;"",VLOOKUP(H2906,TABLEITEM,2,FALSE),"")</f>
        <v/>
      </c>
      <c r="M2906" s="13" t="str">
        <f>IF(D2906&lt;&gt;"",VLOOKUP(H2906,TABLEITEM,3,FALSE),"")</f>
        <v>รีเวท M10</v>
      </c>
      <c r="N2906" s="14">
        <f>INSTOCK!$I2906*INSTOCK!$K2906</f>
        <v>6600</v>
      </c>
      <c r="O2906" s="4"/>
      <c r="P2906" s="4"/>
    </row>
    <row r="2907" ht="15.75" hidden="1" customHeight="1">
      <c r="B2907" s="8">
        <v>3226.0</v>
      </c>
      <c r="C2907" s="9">
        <v>43600.0</v>
      </c>
      <c r="D2907" s="6" t="s">
        <v>3896</v>
      </c>
      <c r="E2907" s="4">
        <v>6.205000754E9</v>
      </c>
      <c r="F2907" s="8" t="s">
        <v>3897</v>
      </c>
      <c r="G2907" s="4" t="s">
        <v>2066</v>
      </c>
      <c r="H2907" s="10" t="s">
        <v>629</v>
      </c>
      <c r="I2907" s="10">
        <v>40.0</v>
      </c>
      <c r="J2907" s="11" t="str">
        <f>IF(D2907&lt;&gt;"",VLOOKUP(H2907,TABLEITEM,5,FALSE),"")</f>
        <v>M</v>
      </c>
      <c r="K2907" s="12">
        <v>1718.4</v>
      </c>
      <c r="L2907" s="13" t="str">
        <f>IF(D2907&lt;&gt;"",VLOOKUP(H2907,TABLEITEM,2,FALSE),"")</f>
        <v>Busbar</v>
      </c>
      <c r="M2907" s="13" t="str">
        <f>IF(D2907&lt;&gt;"",VLOOKUP(H2907,TABLEITEM,3,FALSE),"")</f>
        <v>บัสบาร์ทองแดง 80x10</v>
      </c>
      <c r="N2907" s="14">
        <f>INSTOCK!$I2907*INSTOCK!$K2907</f>
        <v>68736</v>
      </c>
      <c r="O2907" s="4" t="s">
        <v>3898</v>
      </c>
      <c r="P2907" s="4"/>
    </row>
    <row r="2908" ht="15.75" hidden="1" customHeight="1">
      <c r="B2908" s="8">
        <v>3227.0</v>
      </c>
      <c r="C2908" s="9">
        <v>43600.0</v>
      </c>
      <c r="D2908" s="6" t="s">
        <v>3899</v>
      </c>
      <c r="E2908" s="4">
        <v>6.205000755E9</v>
      </c>
      <c r="F2908" s="8" t="s">
        <v>604</v>
      </c>
      <c r="G2908" s="4" t="s">
        <v>721</v>
      </c>
      <c r="H2908" s="10" t="s">
        <v>206</v>
      </c>
      <c r="I2908" s="10">
        <v>30.0</v>
      </c>
      <c r="J2908" s="11" t="str">
        <f>IF(D2908&lt;&gt;"",VLOOKUP(H2908,TABLEITEM,5,FALSE),"")</f>
        <v>EA</v>
      </c>
      <c r="K2908" s="12">
        <v>146.664</v>
      </c>
      <c r="L2908" s="13" t="str">
        <f>IF(D2908&lt;&gt;"",VLOOKUP(H2908,TABLEITEM,2,FALSE),"")</f>
        <v/>
      </c>
      <c r="M2908" s="13" t="str">
        <f>IF(D2908&lt;&gt;"",VLOOKUP(H2908,TABLEITEM,3,FALSE),"")</f>
        <v>รางวายดัก/รางPVC 45x45 mm.</v>
      </c>
      <c r="N2908" s="14">
        <f>INSTOCK!$I2908*INSTOCK!$K2908</f>
        <v>4399.92</v>
      </c>
      <c r="O2908" s="4" t="s">
        <v>3900</v>
      </c>
      <c r="P2908" s="4"/>
    </row>
    <row r="2909" ht="15.75" hidden="1" customHeight="1">
      <c r="B2909" s="8">
        <v>3228.0</v>
      </c>
      <c r="C2909" s="9">
        <v>43600.0</v>
      </c>
      <c r="D2909" s="6" t="s">
        <v>3899</v>
      </c>
      <c r="E2909" s="4">
        <v>6.205000755E9</v>
      </c>
      <c r="F2909" s="8" t="s">
        <v>604</v>
      </c>
      <c r="G2909" s="4" t="s">
        <v>721</v>
      </c>
      <c r="H2909" s="10" t="s">
        <v>208</v>
      </c>
      <c r="I2909" s="10">
        <v>16.0</v>
      </c>
      <c r="J2909" s="11" t="str">
        <f>IF(D2909&lt;&gt;"",VLOOKUP(H2909,TABLEITEM,5,FALSE),"")</f>
        <v>EA</v>
      </c>
      <c r="K2909" s="12">
        <v>188.568125</v>
      </c>
      <c r="L2909" s="13" t="str">
        <f>IF(D2909&lt;&gt;"",VLOOKUP(H2909,TABLEITEM,2,FALSE),"")</f>
        <v/>
      </c>
      <c r="M2909" s="13" t="str">
        <f>IF(D2909&lt;&gt;"",VLOOKUP(H2909,TABLEITEM,3,FALSE),"")</f>
        <v>รางวายดัก/รางPVC 65x65 mm.</v>
      </c>
      <c r="N2909" s="14">
        <f>INSTOCK!$I2909*INSTOCK!$K2909</f>
        <v>3017.09</v>
      </c>
      <c r="O2909" s="4" t="s">
        <v>1167</v>
      </c>
      <c r="P2909" s="4"/>
    </row>
    <row r="2910" ht="15.75" hidden="1" customHeight="1">
      <c r="B2910" s="8">
        <v>3229.0</v>
      </c>
      <c r="C2910" s="9">
        <v>43599.0</v>
      </c>
      <c r="D2910" s="6" t="s">
        <v>3901</v>
      </c>
      <c r="E2910" s="4">
        <v>6.204000533E9</v>
      </c>
      <c r="F2910" s="8" t="s">
        <v>3902</v>
      </c>
      <c r="G2910" s="4" t="s">
        <v>1485</v>
      </c>
      <c r="H2910" s="10" t="s">
        <v>3903</v>
      </c>
      <c r="I2910" s="10">
        <v>1.0</v>
      </c>
      <c r="J2910" s="11" t="str">
        <f>IF(D2910&lt;&gt;"",VLOOKUP(H2910,TABLEITEM,5,FALSE),"")</f>
        <v>EA</v>
      </c>
      <c r="K2910" s="12">
        <v>1656.0</v>
      </c>
      <c r="L2910" s="13" t="str">
        <f>IF(D2910&lt;&gt;"",VLOOKUP(H2910,TABLEITEM,2,FALSE),"")</f>
        <v/>
      </c>
      <c r="M2910" s="13" t="str">
        <f>IF(D2910&lt;&gt;"",VLOOKUP(H2910,TABLEITEM,3,FALSE),"")</f>
        <v>MULTI-FUNCTION TIMING RELAY 24.240V AC/DC 1C/O</v>
      </c>
      <c r="N2910" s="14">
        <f>INSTOCK!$I2910*INSTOCK!$K2910</f>
        <v>1656</v>
      </c>
      <c r="O2910" s="4"/>
      <c r="P2910" s="4"/>
    </row>
    <row r="2911" ht="15.75" hidden="1" customHeight="1">
      <c r="B2911" s="8">
        <v>3230.0</v>
      </c>
      <c r="C2911" s="9">
        <v>43596.0</v>
      </c>
      <c r="D2911" s="6" t="s">
        <v>3904</v>
      </c>
      <c r="E2911" s="4"/>
      <c r="F2911" s="8" t="s">
        <v>2020</v>
      </c>
      <c r="G2911" s="4" t="s">
        <v>1512</v>
      </c>
      <c r="H2911" s="10" t="s">
        <v>3400</v>
      </c>
      <c r="I2911" s="10">
        <v>-1.0</v>
      </c>
      <c r="J2911" s="11" t="str">
        <f>IF(D2911&lt;&gt;"",VLOOKUP(H2911,TABLEITEM,5,FALSE),"")</f>
        <v>EA</v>
      </c>
      <c r="K2911" s="12">
        <v>3136.5</v>
      </c>
      <c r="L2911" s="13" t="str">
        <f>IF(D2911&lt;&gt;"",VLOOKUP(H2911,TABLEITEM,2,FALSE),"")</f>
        <v/>
      </c>
      <c r="M2911" s="13" t="str">
        <f>IF(D2911&lt;&gt;"",VLOOKUP(H2911,TABLEITEM,3,FALSE),"")</f>
        <v>PHASE MONTOR CM-MPS.31S 3X160-300V</v>
      </c>
      <c r="N2911" s="14">
        <f>INSTOCK!$I2911*INSTOCK!$K2911</f>
        <v>-3136.5</v>
      </c>
      <c r="O2911" s="4" t="s">
        <v>3401</v>
      </c>
      <c r="P2911" s="4"/>
    </row>
    <row r="2912" ht="15.75" hidden="1" customHeight="1">
      <c r="B2912" s="8">
        <v>3231.0</v>
      </c>
      <c r="C2912" s="9">
        <v>43599.0</v>
      </c>
      <c r="D2912" s="6" t="s">
        <v>3905</v>
      </c>
      <c r="E2912" s="4">
        <v>6.205000743E9</v>
      </c>
      <c r="F2912" s="8" t="s">
        <v>3750</v>
      </c>
      <c r="G2912" s="4" t="s">
        <v>1985</v>
      </c>
      <c r="H2912" s="10" t="s">
        <v>2557</v>
      </c>
      <c r="I2912" s="10">
        <v>1.0</v>
      </c>
      <c r="J2912" s="11" t="str">
        <f>IF(D2912&lt;&gt;"",VLOOKUP(H2912,TABLEITEM,5,FALSE),"")</f>
        <v>คู่</v>
      </c>
      <c r="K2912" s="12">
        <v>560.0</v>
      </c>
      <c r="L2912" s="13" t="str">
        <f>IF(D2912&lt;&gt;"",VLOOKUP(H2912,TABLEITEM,2,FALSE),"")</f>
        <v/>
      </c>
      <c r="M2912" s="13" t="str">
        <f>IF(D2912&lt;&gt;"",VLOOKUP(H2912,TABLEITEM,3,FALSE),"")</f>
        <v>รองเท้าหุ้มส้นพื้นยาง CB800</v>
      </c>
      <c r="N2912" s="14">
        <f>INSTOCK!$I2912*INSTOCK!$K2912</f>
        <v>560</v>
      </c>
      <c r="O2912" s="4" t="s">
        <v>3906</v>
      </c>
      <c r="P2912" s="4"/>
    </row>
    <row r="2913" ht="15.75" hidden="1" customHeight="1">
      <c r="B2913" s="8">
        <v>3232.0</v>
      </c>
      <c r="C2913" s="9">
        <v>43599.0</v>
      </c>
      <c r="D2913" s="6" t="s">
        <v>3907</v>
      </c>
      <c r="E2913" s="4">
        <v>6.205000742E9</v>
      </c>
      <c r="F2913" s="8" t="s">
        <v>2449</v>
      </c>
      <c r="G2913" s="4" t="s">
        <v>1985</v>
      </c>
      <c r="H2913" s="10" t="s">
        <v>2557</v>
      </c>
      <c r="I2913" s="10">
        <v>1.0</v>
      </c>
      <c r="J2913" s="11" t="str">
        <f>IF(D2913&lt;&gt;"",VLOOKUP(H2913,TABLEITEM,5,FALSE),"")</f>
        <v>คู่</v>
      </c>
      <c r="K2913" s="12">
        <v>560.0</v>
      </c>
      <c r="L2913" s="13" t="str">
        <f>IF(D2913&lt;&gt;"",VLOOKUP(H2913,TABLEITEM,2,FALSE),"")</f>
        <v/>
      </c>
      <c r="M2913" s="13" t="str">
        <f>IF(D2913&lt;&gt;"",VLOOKUP(H2913,TABLEITEM,3,FALSE),"")</f>
        <v>รองเท้าหุ้มส้นพื้นยาง CB800</v>
      </c>
      <c r="N2913" s="14">
        <f>INSTOCK!$I2913*INSTOCK!$K2913</f>
        <v>560</v>
      </c>
      <c r="O2913" s="4" t="s">
        <v>3908</v>
      </c>
      <c r="P2913" s="4"/>
    </row>
    <row r="2914" ht="15.75" hidden="1" customHeight="1">
      <c r="B2914" s="8">
        <v>3233.0</v>
      </c>
      <c r="C2914" s="9">
        <v>43599.0</v>
      </c>
      <c r="D2914" s="6" t="s">
        <v>3909</v>
      </c>
      <c r="E2914" s="4">
        <v>6.205000736E9</v>
      </c>
      <c r="F2914" s="8" t="s">
        <v>2449</v>
      </c>
      <c r="G2914" s="4" t="s">
        <v>1985</v>
      </c>
      <c r="H2914" s="10" t="s">
        <v>2557</v>
      </c>
      <c r="I2914" s="10">
        <v>1.0</v>
      </c>
      <c r="J2914" s="11" t="str">
        <f>IF(D2914&lt;&gt;"",VLOOKUP(H2914,TABLEITEM,5,FALSE),"")</f>
        <v>คู่</v>
      </c>
      <c r="K2914" s="12">
        <v>560.0</v>
      </c>
      <c r="L2914" s="13" t="str">
        <f>IF(D2914&lt;&gt;"",VLOOKUP(H2914,TABLEITEM,2,FALSE),"")</f>
        <v/>
      </c>
      <c r="M2914" s="13" t="str">
        <f>IF(D2914&lt;&gt;"",VLOOKUP(H2914,TABLEITEM,3,FALSE),"")</f>
        <v>รองเท้าหุ้มส้นพื้นยาง CB800</v>
      </c>
      <c r="N2914" s="14">
        <f>INSTOCK!$I2914*INSTOCK!$K2914</f>
        <v>560</v>
      </c>
      <c r="O2914" s="4" t="s">
        <v>3910</v>
      </c>
      <c r="P2914" s="4"/>
    </row>
    <row r="2915" ht="15.75" hidden="1" customHeight="1">
      <c r="B2915" s="8">
        <v>3234.0</v>
      </c>
      <c r="C2915" s="9">
        <v>43599.0</v>
      </c>
      <c r="D2915" s="6" t="s">
        <v>3909</v>
      </c>
      <c r="E2915" s="4">
        <v>6.205000736E9</v>
      </c>
      <c r="F2915" s="8" t="s">
        <v>2449</v>
      </c>
      <c r="G2915" s="4" t="s">
        <v>1985</v>
      </c>
      <c r="H2915" s="10" t="s">
        <v>2557</v>
      </c>
      <c r="I2915" s="10">
        <v>1.0</v>
      </c>
      <c r="J2915" s="11" t="str">
        <f>IF(D2915&lt;&gt;"",VLOOKUP(H2915,TABLEITEM,5,FALSE),"")</f>
        <v>คู่</v>
      </c>
      <c r="K2915" s="12">
        <v>560.0</v>
      </c>
      <c r="L2915" s="13" t="str">
        <f>IF(D2915&lt;&gt;"",VLOOKUP(H2915,TABLEITEM,2,FALSE),"")</f>
        <v/>
      </c>
      <c r="M2915" s="13" t="str">
        <f>IF(D2915&lt;&gt;"",VLOOKUP(H2915,TABLEITEM,3,FALSE),"")</f>
        <v>รองเท้าหุ้มส้นพื้นยาง CB800</v>
      </c>
      <c r="N2915" s="14">
        <f>INSTOCK!$I2915*INSTOCK!$K2915</f>
        <v>560</v>
      </c>
      <c r="O2915" s="4" t="s">
        <v>3908</v>
      </c>
      <c r="P2915" s="4"/>
    </row>
    <row r="2916" ht="15.75" hidden="1" customHeight="1">
      <c r="B2916" s="8">
        <v>3235.0</v>
      </c>
      <c r="C2916" s="9">
        <v>43601.0</v>
      </c>
      <c r="D2916" s="6" t="s">
        <v>3911</v>
      </c>
      <c r="E2916" s="4">
        <v>6.205000767E9</v>
      </c>
      <c r="F2916" s="8" t="s">
        <v>3912</v>
      </c>
      <c r="G2916" s="4" t="s">
        <v>2350</v>
      </c>
      <c r="H2916" s="10" t="s">
        <v>2538</v>
      </c>
      <c r="I2916" s="10">
        <v>100.0</v>
      </c>
      <c r="J2916" s="11" t="str">
        <f>IF(D2916&lt;&gt;"",VLOOKUP(H2916,TABLEITEM,5,FALSE),"")</f>
        <v>KG.</v>
      </c>
      <c r="K2916" s="12">
        <v>122.0</v>
      </c>
      <c r="L2916" s="13" t="str">
        <f>IF(D2916&lt;&gt;"",VLOOKUP(H2916,TABLEITEM,2,FALSE),"")</f>
        <v/>
      </c>
      <c r="M2916" s="13" t="str">
        <f>IF(D2916&lt;&gt;"",VLOOKUP(H2916,TABLEITEM,3,FALSE),"")</f>
        <v>สีฝุ่น P0001A  สีขาว </v>
      </c>
      <c r="N2916" s="14">
        <f>INSTOCK!$I2916*INSTOCK!$K2916</f>
        <v>12200</v>
      </c>
      <c r="O2916" s="4"/>
      <c r="P2916" s="4"/>
    </row>
    <row r="2917" ht="15.75" hidden="1" customHeight="1">
      <c r="B2917" s="8">
        <v>3236.0</v>
      </c>
      <c r="C2917" s="9">
        <v>43600.0</v>
      </c>
      <c r="D2917" s="6">
        <v>4.19042156E8</v>
      </c>
      <c r="E2917" s="4">
        <v>6.205000751E9</v>
      </c>
      <c r="F2917" s="8" t="s">
        <v>604</v>
      </c>
      <c r="G2917" s="4" t="s">
        <v>1274</v>
      </c>
      <c r="H2917" s="10" t="s">
        <v>21</v>
      </c>
      <c r="I2917" s="10">
        <v>400.0</v>
      </c>
      <c r="J2917" s="11" t="str">
        <f>IF(D2917&lt;&gt;"",VLOOKUP(H2917,TABLEITEM,5,FALSE),"")</f>
        <v>EA</v>
      </c>
      <c r="K2917" s="12">
        <v>45.0</v>
      </c>
      <c r="L2917" s="13" t="str">
        <f>IF(D2917&lt;&gt;"",VLOOKUP(H2917,TABLEITEM,2,FALSE),"")</f>
        <v/>
      </c>
      <c r="M2917" s="13" t="str">
        <f>IF(D2917&lt;&gt;"",VLOOKUP(H2917,TABLEITEM,3,FALSE),"")</f>
        <v>ใบหินเจียร์ 4'' </v>
      </c>
      <c r="N2917" s="14">
        <f>INSTOCK!$I2917*INSTOCK!$K2917</f>
        <v>18000</v>
      </c>
      <c r="O2917" s="4"/>
      <c r="P2917" s="4"/>
    </row>
    <row r="2918" ht="15.75" hidden="1" customHeight="1">
      <c r="B2918" s="8">
        <v>3237.0</v>
      </c>
      <c r="C2918" s="9">
        <v>43601.0</v>
      </c>
      <c r="D2918" s="6" t="s">
        <v>3913</v>
      </c>
      <c r="E2918" s="4">
        <v>6.20500075E9</v>
      </c>
      <c r="F2918" s="8" t="s">
        <v>604</v>
      </c>
      <c r="G2918" s="4" t="s">
        <v>737</v>
      </c>
      <c r="H2918" s="10" t="s">
        <v>16</v>
      </c>
      <c r="I2918" s="10">
        <v>360.0</v>
      </c>
      <c r="J2918" s="11" t="str">
        <f>IF(D2918&lt;&gt;"",VLOOKUP(H2918,TABLEITEM,5,FALSE),"")</f>
        <v>คู่</v>
      </c>
      <c r="K2918" s="12">
        <v>4.583333</v>
      </c>
      <c r="L2918" s="13" t="str">
        <f>IF(D2918&lt;&gt;"",VLOOKUP(H2918,TABLEITEM,2,FALSE),"")</f>
        <v/>
      </c>
      <c r="M2918" s="13" t="str">
        <f>IF(D2918&lt;&gt;"",VLOOKUP(H2918,TABLEITEM,3,FALSE),"")</f>
        <v>ถุงมือผ้า</v>
      </c>
      <c r="N2918" s="14">
        <f>INSTOCK!$I2918*INSTOCK!$K2918</f>
        <v>1649.99988</v>
      </c>
      <c r="O2918" s="4" t="s">
        <v>973</v>
      </c>
      <c r="P2918" s="4"/>
    </row>
    <row r="2919" ht="15.75" hidden="1" customHeight="1">
      <c r="B2919" s="8">
        <v>3238.0</v>
      </c>
      <c r="C2919" s="9">
        <v>43601.0</v>
      </c>
      <c r="D2919" s="6" t="s">
        <v>3913</v>
      </c>
      <c r="E2919" s="4">
        <v>6.20500075E9</v>
      </c>
      <c r="F2919" s="8" t="s">
        <v>604</v>
      </c>
      <c r="G2919" s="4" t="s">
        <v>737</v>
      </c>
      <c r="H2919" s="10" t="s">
        <v>18</v>
      </c>
      <c r="I2919" s="10">
        <v>240.0</v>
      </c>
      <c r="J2919" s="11" t="str">
        <f>IF(D2919&lt;&gt;"",VLOOKUP(H2919,TABLEITEM,5,FALSE),"")</f>
        <v>EA</v>
      </c>
      <c r="K2919" s="12">
        <v>2.5</v>
      </c>
      <c r="L2919" s="13" t="str">
        <f>IF(D2919&lt;&gt;"",VLOOKUP(H2919,TABLEITEM,2,FALSE),"")</f>
        <v/>
      </c>
      <c r="M2919" s="13" t="str">
        <f>IF(D2919&lt;&gt;"",VLOOKUP(H2919,TABLEITEM,3,FALSE),"")</f>
        <v>ผ้าปิดจมูก</v>
      </c>
      <c r="N2919" s="14">
        <f>INSTOCK!$I2919*INSTOCK!$K2919</f>
        <v>600</v>
      </c>
      <c r="O2919" s="4" t="s">
        <v>2759</v>
      </c>
      <c r="P2919" s="4"/>
    </row>
    <row r="2920" ht="15.75" hidden="1" customHeight="1">
      <c r="B2920" s="8">
        <v>3239.0</v>
      </c>
      <c r="C2920" s="9">
        <v>43601.0</v>
      </c>
      <c r="D2920" s="6">
        <v>8370.0</v>
      </c>
      <c r="E2920" s="4">
        <v>6.205000761E9</v>
      </c>
      <c r="F2920" s="8" t="s">
        <v>604</v>
      </c>
      <c r="G2920" s="4" t="s">
        <v>1009</v>
      </c>
      <c r="H2920" s="10" t="s">
        <v>132</v>
      </c>
      <c r="I2920" s="10">
        <v>100.0</v>
      </c>
      <c r="J2920" s="11" t="str">
        <f>IF(D2920&lt;&gt;"",VLOOKUP(H2920,TABLEITEM,5,FALSE),"")</f>
        <v>EA</v>
      </c>
      <c r="K2920" s="12">
        <v>20.0</v>
      </c>
      <c r="L2920" s="13" t="str">
        <f>IF(D2920&lt;&gt;"",VLOOKUP(H2920,TABLEITEM,2,FALSE),"")</f>
        <v/>
      </c>
      <c r="M2920" s="13" t="str">
        <f>IF(D2920&lt;&gt;"",VLOOKUP(H2920,TABLEITEM,3,FALSE),"")</f>
        <v>มือจับพลาสติกสีดำ</v>
      </c>
      <c r="N2920" s="14">
        <f>INSTOCK!$I2920*INSTOCK!$K2920</f>
        <v>2000</v>
      </c>
      <c r="O2920" s="4"/>
      <c r="P2920" s="4"/>
    </row>
    <row r="2921" ht="15.75" hidden="1" customHeight="1">
      <c r="B2921" s="8">
        <v>3240.0</v>
      </c>
      <c r="C2921" s="9">
        <v>43601.0</v>
      </c>
      <c r="D2921" s="6" t="s">
        <v>3914</v>
      </c>
      <c r="E2921" s="4">
        <v>6.205000701E9</v>
      </c>
      <c r="F2921" s="8" t="s">
        <v>604</v>
      </c>
      <c r="G2921" s="4" t="s">
        <v>2495</v>
      </c>
      <c r="H2921" s="10" t="s">
        <v>3915</v>
      </c>
      <c r="I2921" s="10">
        <v>10000.0</v>
      </c>
      <c r="J2921" s="11" t="str">
        <f>IF(D2921&lt;&gt;"",VLOOKUP(H2921,TABLEITEM,5,FALSE),"")</f>
        <v>EA</v>
      </c>
      <c r="K2921" s="12">
        <v>0.83</v>
      </c>
      <c r="L2921" s="13" t="str">
        <f>IF(D2921&lt;&gt;"",VLOOKUP(H2921,TABLEITEM,2,FALSE),"")</f>
        <v/>
      </c>
      <c r="M2921" s="13" t="str">
        <f>IF(D2921&lt;&gt;"",VLOOKUP(H2921,TABLEITEM,3,FALSE),"")</f>
        <v>สกรูหัวติดแหวน M 6x15</v>
      </c>
      <c r="N2921" s="14">
        <f>INSTOCK!$I2921*INSTOCK!$K2921</f>
        <v>8300</v>
      </c>
      <c r="O2921" s="4"/>
      <c r="P2921" s="4"/>
    </row>
    <row r="2922" ht="15.75" hidden="1" customHeight="1">
      <c r="B2922" s="8">
        <v>3241.0</v>
      </c>
      <c r="C2922" s="9">
        <v>43601.0</v>
      </c>
      <c r="D2922" s="6" t="s">
        <v>3914</v>
      </c>
      <c r="E2922" s="4">
        <v>6.205000701E9</v>
      </c>
      <c r="F2922" s="8" t="s">
        <v>604</v>
      </c>
      <c r="G2922" s="4" t="s">
        <v>2495</v>
      </c>
      <c r="H2922" s="10" t="s">
        <v>2523</v>
      </c>
      <c r="I2922" s="10">
        <v>1100.0</v>
      </c>
      <c r="J2922" s="11" t="str">
        <f>IF(D2922&lt;&gt;"",VLOOKUP(H2922,TABLEITEM,5,FALSE),"")</f>
        <v>EA</v>
      </c>
      <c r="K2922" s="12">
        <v>1.22</v>
      </c>
      <c r="L2922" s="13" t="str">
        <f>IF(D2922&lt;&gt;"",VLOOKUP(H2922,TABLEITEM,2,FALSE),"")</f>
        <v/>
      </c>
      <c r="M2922" s="13" t="str">
        <f>IF(D2922&lt;&gt;"",VLOOKUP(H2922,TABLEITEM,3,FALSE),"")</f>
        <v>สกรูหัวเหลี่ยมชุบขาว M8x35</v>
      </c>
      <c r="N2922" s="14">
        <f>INSTOCK!$I2922*INSTOCK!$K2922</f>
        <v>1342</v>
      </c>
      <c r="O2922" s="4"/>
      <c r="P2922" s="4"/>
    </row>
    <row r="2923" ht="15.75" hidden="1" customHeight="1">
      <c r="B2923" s="8">
        <v>3242.0</v>
      </c>
      <c r="C2923" s="9">
        <v>43601.0</v>
      </c>
      <c r="D2923" s="6" t="s">
        <v>3916</v>
      </c>
      <c r="E2923" s="4">
        <v>6.205000769E9</v>
      </c>
      <c r="F2923" s="8" t="s">
        <v>604</v>
      </c>
      <c r="G2923" s="4" t="s">
        <v>2495</v>
      </c>
      <c r="H2923" s="10" t="s">
        <v>2169</v>
      </c>
      <c r="I2923" s="10">
        <v>4000.0</v>
      </c>
      <c r="J2923" s="11" t="str">
        <f>IF(D2923&lt;&gt;"",VLOOKUP(H2923,TABLEITEM,5,FALSE),"")</f>
        <v>EA</v>
      </c>
      <c r="K2923" s="12">
        <v>0.12</v>
      </c>
      <c r="L2923" s="13" t="str">
        <f>IF(D2923&lt;&gt;"",VLOOKUP(H2923,TABLEITEM,2,FALSE),"")</f>
        <v/>
      </c>
      <c r="M2923" s="13" t="str">
        <f>IF(D2923&lt;&gt;"",VLOOKUP(H2923,TABLEITEM,3,FALSE),"")</f>
        <v>หัวน้อต       M4   ชุบขาว</v>
      </c>
      <c r="N2923" s="14">
        <f>INSTOCK!$I2923*INSTOCK!$K2923</f>
        <v>480</v>
      </c>
      <c r="O2923" s="4"/>
      <c r="P2923" s="4"/>
    </row>
    <row r="2924" ht="15.75" hidden="1" customHeight="1">
      <c r="B2924" s="8">
        <v>3243.0</v>
      </c>
      <c r="C2924" s="9">
        <v>43593.0</v>
      </c>
      <c r="D2924" s="6" t="s">
        <v>3917</v>
      </c>
      <c r="E2924" s="4"/>
      <c r="F2924" s="8" t="s">
        <v>3918</v>
      </c>
      <c r="G2924" s="4" t="s">
        <v>3919</v>
      </c>
      <c r="H2924" s="10" t="s">
        <v>3920</v>
      </c>
      <c r="I2924" s="10">
        <v>40.0</v>
      </c>
      <c r="J2924" s="11" t="str">
        <f>IF(D2924&lt;&gt;"",VLOOKUP(H2924,TABLEITEM,5,FALSE),"")</f>
        <v>pcs</v>
      </c>
      <c r="K2924" s="12">
        <v>500.0</v>
      </c>
      <c r="L2924" s="13" t="str">
        <f>IF(D2924&lt;&gt;"",VLOOKUP(H2924,TABLEITEM,2,FALSE),"")</f>
        <v/>
      </c>
      <c r="M2924" s="13" t="str">
        <f>IF(D2924&lt;&gt;"",VLOOKUP(H2924,TABLEITEM,3,FALSE),"")</f>
        <v>พิมพ์ UV ลงบนแผ่นสเตนเลส 192x31.8ซม.</v>
      </c>
      <c r="N2924" s="14">
        <f>INSTOCK!$I2924*INSTOCK!$K2924</f>
        <v>20000</v>
      </c>
      <c r="O2924" s="4"/>
      <c r="P2924" s="4"/>
    </row>
    <row r="2925" ht="15.75" hidden="1" customHeight="1">
      <c r="B2925" s="8">
        <v>3244.0</v>
      </c>
      <c r="C2925" s="9">
        <v>43593.0</v>
      </c>
      <c r="D2925" s="6" t="s">
        <v>3921</v>
      </c>
      <c r="E2925" s="4"/>
      <c r="F2925" s="8" t="s">
        <v>3918</v>
      </c>
      <c r="G2925" s="4" t="s">
        <v>3919</v>
      </c>
      <c r="H2925" s="10" t="s">
        <v>3920</v>
      </c>
      <c r="I2925" s="10">
        <v>30.0</v>
      </c>
      <c r="J2925" s="11" t="str">
        <f>IF(D2925&lt;&gt;"",VLOOKUP(H2925,TABLEITEM,5,FALSE),"")</f>
        <v>pcs</v>
      </c>
      <c r="K2925" s="12">
        <v>500.0</v>
      </c>
      <c r="L2925" s="13" t="str">
        <f>IF(D2925&lt;&gt;"",VLOOKUP(H2925,TABLEITEM,2,FALSE),"")</f>
        <v/>
      </c>
      <c r="M2925" s="13" t="str">
        <f>IF(D2925&lt;&gt;"",VLOOKUP(H2925,TABLEITEM,3,FALSE),"")</f>
        <v>พิมพ์ UV ลงบนแผ่นสเตนเลส 192x31.8ซม.</v>
      </c>
      <c r="N2925" s="14">
        <f>INSTOCK!$I2925*INSTOCK!$K2925</f>
        <v>15000</v>
      </c>
      <c r="O2925" s="4"/>
      <c r="P2925" s="4"/>
    </row>
    <row r="2926" ht="15.75" hidden="1" customHeight="1">
      <c r="B2926" s="8">
        <v>3245.0</v>
      </c>
      <c r="C2926" s="9">
        <v>43600.0</v>
      </c>
      <c r="D2926" s="6">
        <v>6.20504078E8</v>
      </c>
      <c r="E2926" s="4">
        <v>6.205000759E9</v>
      </c>
      <c r="F2926" s="8" t="s">
        <v>3845</v>
      </c>
      <c r="G2926" s="4" t="s">
        <v>1130</v>
      </c>
      <c r="H2926" s="10" t="s">
        <v>3922</v>
      </c>
      <c r="I2926" s="10">
        <v>3.0</v>
      </c>
      <c r="J2926" s="11" t="str">
        <f>IF(D2926&lt;&gt;"",VLOOKUP(H2926,TABLEITEM,5,FALSE),"")</f>
        <v>EA</v>
      </c>
      <c r="K2926" s="12">
        <v>121.12333</v>
      </c>
      <c r="L2926" s="13" t="str">
        <f>IF(D2926&lt;&gt;"",VLOOKUP(H2926,TABLEITEM,2,FALSE),"")</f>
        <v/>
      </c>
      <c r="M2926" s="13" t="str">
        <f>IF(D2926&lt;&gt;"",VLOOKUP(H2926,TABLEITEM,3,FALSE),"")</f>
        <v>CT50/5 MSQ40</v>
      </c>
      <c r="N2926" s="14">
        <f>INSTOCK!$I2926*INSTOCK!$K2926</f>
        <v>363.36999</v>
      </c>
      <c r="O2926" s="4" t="s">
        <v>1898</v>
      </c>
      <c r="P2926" s="4"/>
    </row>
    <row r="2927" ht="15.75" hidden="1" customHeight="1">
      <c r="B2927" s="8">
        <v>3246.0</v>
      </c>
      <c r="C2927" s="9">
        <v>43600.0</v>
      </c>
      <c r="D2927" s="6" t="s">
        <v>3923</v>
      </c>
      <c r="E2927" s="4">
        <v>6.20500076E9</v>
      </c>
      <c r="F2927" s="8" t="s">
        <v>3845</v>
      </c>
      <c r="G2927" s="4" t="s">
        <v>1596</v>
      </c>
      <c r="H2927" s="10" t="s">
        <v>3924</v>
      </c>
      <c r="I2927" s="10">
        <v>1.0</v>
      </c>
      <c r="J2927" s="11" t="str">
        <f>IF(D2927&lt;&gt;"",VLOOKUP(H2927,TABLEITEM,5,FALSE),"")</f>
        <v>EA</v>
      </c>
      <c r="K2927" s="12">
        <v>1420.0</v>
      </c>
      <c r="L2927" s="13" t="str">
        <f>IF(D2927&lt;&gt;"",VLOOKUP(H2927,TABLEITEM,2,FALSE),"")</f>
        <v/>
      </c>
      <c r="M2927" s="13" t="str">
        <f>IF(D2927&lt;&gt;"",VLOOKUP(H2927,TABLEITEM,3,FALSE),"")</f>
        <v>MCCB A1N125 TMF 50A 3P </v>
      </c>
      <c r="N2927" s="14">
        <f>INSTOCK!$I2927*INSTOCK!$K2927</f>
        <v>1420</v>
      </c>
      <c r="O2927" s="4" t="s">
        <v>3925</v>
      </c>
      <c r="P2927" s="4"/>
    </row>
    <row r="2928" ht="15.75" hidden="1" customHeight="1">
      <c r="B2928" s="8">
        <v>3247.0</v>
      </c>
      <c r="C2928" s="9">
        <v>43599.0</v>
      </c>
      <c r="D2928" s="6" t="s">
        <v>3926</v>
      </c>
      <c r="E2928" s="4">
        <v>6.205000753E9</v>
      </c>
      <c r="F2928" s="8" t="s">
        <v>3927</v>
      </c>
      <c r="G2928" s="4" t="s">
        <v>1596</v>
      </c>
      <c r="H2928" s="10" t="s">
        <v>1769</v>
      </c>
      <c r="I2928" s="10">
        <v>1.0</v>
      </c>
      <c r="J2928" s="11" t="str">
        <f>IF(D2928&lt;&gt;"",VLOOKUP(H2928,TABLEITEM,5,FALSE),"")</f>
        <v>EA</v>
      </c>
      <c r="K2928" s="12">
        <v>1200.0</v>
      </c>
      <c r="L2928" s="13" t="str">
        <f>IF(D2928&lt;&gt;"",VLOOKUP(H2928,TABLEITEM,2,FALSE),"")</f>
        <v/>
      </c>
      <c r="M2928" s="13" t="str">
        <f>IF(D2928&lt;&gt;"",VLOOKUP(H2928,TABLEITEM,3,FALSE),"")</f>
        <v>MCCB A1C125 3P 50A 25KA</v>
      </c>
      <c r="N2928" s="14">
        <f>INSTOCK!$I2928*INSTOCK!$K2928</f>
        <v>1200</v>
      </c>
      <c r="O2928" s="4" t="s">
        <v>3654</v>
      </c>
      <c r="P2928" s="4"/>
    </row>
    <row r="2929" ht="15.75" hidden="1" customHeight="1">
      <c r="B2929" s="8">
        <v>3248.0</v>
      </c>
      <c r="C2929" s="9">
        <v>43599.0</v>
      </c>
      <c r="D2929" s="6" t="s">
        <v>3926</v>
      </c>
      <c r="E2929" s="4">
        <v>6.205000753E9</v>
      </c>
      <c r="F2929" s="8" t="s">
        <v>3927</v>
      </c>
      <c r="G2929" s="4" t="s">
        <v>1596</v>
      </c>
      <c r="H2929" s="10" t="s">
        <v>1977</v>
      </c>
      <c r="I2929" s="10">
        <v>2.0</v>
      </c>
      <c r="J2929" s="11" t="str">
        <f>IF(D2929&lt;&gt;"",VLOOKUP(H2929,TABLEITEM,5,FALSE),"")</f>
        <v>EA</v>
      </c>
      <c r="K2929" s="12">
        <v>1420.0</v>
      </c>
      <c r="L2929" s="13" t="str">
        <f>IF(D2929&lt;&gt;"",VLOOKUP(H2929,TABLEITEM,2,FALSE),"")</f>
        <v/>
      </c>
      <c r="M2929" s="13" t="str">
        <f>IF(D2929&lt;&gt;"",VLOOKUP(H2929,TABLEITEM,3,FALSE),"")</f>
        <v>MCCB 3P 30AT/125AF 36KA</v>
      </c>
      <c r="N2929" s="14">
        <f>INSTOCK!$I2929*INSTOCK!$K2929</f>
        <v>2840</v>
      </c>
      <c r="O2929" s="4" t="s">
        <v>3925</v>
      </c>
      <c r="P2929" s="4"/>
    </row>
    <row r="2930" ht="15.75" hidden="1" customHeight="1">
      <c r="B2930" s="8">
        <v>3249.0</v>
      </c>
      <c r="C2930" s="9">
        <v>43599.0</v>
      </c>
      <c r="D2930" s="6" t="s">
        <v>3926</v>
      </c>
      <c r="E2930" s="4">
        <v>6.205000753E9</v>
      </c>
      <c r="F2930" s="8" t="s">
        <v>3927</v>
      </c>
      <c r="G2930" s="4" t="s">
        <v>1596</v>
      </c>
      <c r="H2930" s="18" t="s">
        <v>1697</v>
      </c>
      <c r="I2930" s="10">
        <v>2.0</v>
      </c>
      <c r="J2930" s="11" t="str">
        <f>IF(D2930&lt;&gt;"",VLOOKUP(H2930,TABLEITEM,5,FALSE),"")</f>
        <v>EA</v>
      </c>
      <c r="K2930" s="12">
        <v>1640.0</v>
      </c>
      <c r="L2930" s="13" t="str">
        <f>IF(D2930&lt;&gt;"",VLOOKUP(H2930,TABLEITEM,2,FALSE),"")</f>
        <v/>
      </c>
      <c r="M2930" s="13" t="str">
        <f>IF(D2930&lt;&gt;"",VLOOKUP(H2930,TABLEITEM,3,FALSE),"")</f>
        <v>Circuil Breaker FH204AC-40/0.03</v>
      </c>
      <c r="N2930" s="14">
        <f>INSTOCK!$I2930*INSTOCK!$K2930</f>
        <v>3280</v>
      </c>
      <c r="O2930" s="4" t="s">
        <v>3928</v>
      </c>
      <c r="P2930" s="4"/>
    </row>
    <row r="2931" ht="15.75" hidden="1" customHeight="1">
      <c r="B2931" s="8">
        <v>3250.0</v>
      </c>
      <c r="C2931" s="9">
        <v>43599.0</v>
      </c>
      <c r="D2931" s="6" t="s">
        <v>3926</v>
      </c>
      <c r="E2931" s="4">
        <v>6.205000753E9</v>
      </c>
      <c r="F2931" s="8" t="s">
        <v>3927</v>
      </c>
      <c r="G2931" s="4" t="s">
        <v>1596</v>
      </c>
      <c r="H2931" s="10" t="s">
        <v>3929</v>
      </c>
      <c r="I2931" s="10">
        <v>1.0</v>
      </c>
      <c r="J2931" s="11" t="str">
        <f>IF(D2931&lt;&gt;"",VLOOKUP(H2931,TABLEITEM,5,FALSE),"")</f>
        <v>EA</v>
      </c>
      <c r="K2931" s="12">
        <v>1420.0</v>
      </c>
      <c r="L2931" s="13" t="str">
        <f>IF(D2931&lt;&gt;"",VLOOKUP(H2931,TABLEITEM,2,FALSE),"")</f>
        <v/>
      </c>
      <c r="M2931" s="13" t="str">
        <f>IF(D2931&lt;&gt;"",VLOOKUP(H2931,TABLEITEM,3,FALSE),"")</f>
        <v>MCCB A1N125 TMF 40A 3P </v>
      </c>
      <c r="N2931" s="14">
        <f>INSTOCK!$I2931*INSTOCK!$K2931</f>
        <v>1420</v>
      </c>
      <c r="O2931" s="4" t="s">
        <v>3925</v>
      </c>
      <c r="P2931" s="4"/>
    </row>
    <row r="2932" ht="15.75" hidden="1" customHeight="1">
      <c r="B2932" s="8">
        <v>3251.0</v>
      </c>
      <c r="C2932" s="9">
        <v>43599.0</v>
      </c>
      <c r="D2932" s="6" t="s">
        <v>3926</v>
      </c>
      <c r="E2932" s="4">
        <v>6.205000753E9</v>
      </c>
      <c r="F2932" s="8" t="s">
        <v>3927</v>
      </c>
      <c r="G2932" s="4" t="s">
        <v>1596</v>
      </c>
      <c r="H2932" s="10" t="s">
        <v>3930</v>
      </c>
      <c r="I2932" s="10">
        <v>1.0</v>
      </c>
      <c r="J2932" s="11" t="str">
        <f>IF(D2932&lt;&gt;"",VLOOKUP(H2932,TABLEITEM,5,FALSE),"")</f>
        <v>EA</v>
      </c>
      <c r="K2932" s="12">
        <v>1420.0</v>
      </c>
      <c r="L2932" s="13" t="str">
        <f>IF(D2932&lt;&gt;"",VLOOKUP(H2932,TABLEITEM,2,FALSE),"")</f>
        <v/>
      </c>
      <c r="M2932" s="13" t="str">
        <f>IF(D2932&lt;&gt;"",VLOOKUP(H2932,TABLEITEM,3,FALSE),"")</f>
        <v>MCCB A1N125 TMF 20A 3P </v>
      </c>
      <c r="N2932" s="14">
        <f>INSTOCK!$I2932*INSTOCK!$K2932</f>
        <v>1420</v>
      </c>
      <c r="O2932" s="4" t="s">
        <v>3925</v>
      </c>
      <c r="P2932" s="4"/>
    </row>
    <row r="2933" ht="15.75" hidden="1" customHeight="1">
      <c r="B2933" s="8">
        <v>3252.0</v>
      </c>
      <c r="C2933" s="9">
        <v>43599.0</v>
      </c>
      <c r="D2933" s="6" t="s">
        <v>3926</v>
      </c>
      <c r="E2933" s="4">
        <v>6.205000753E9</v>
      </c>
      <c r="F2933" s="8" t="s">
        <v>3927</v>
      </c>
      <c r="G2933" s="4" t="s">
        <v>1596</v>
      </c>
      <c r="H2933" s="10" t="s">
        <v>1771</v>
      </c>
      <c r="I2933" s="10">
        <v>2.0</v>
      </c>
      <c r="J2933" s="11" t="str">
        <f>IF(D2933&lt;&gt;"",VLOOKUP(H2933,TABLEITEM,5,FALSE),"")</f>
        <v>EA</v>
      </c>
      <c r="K2933" s="12">
        <v>840.0</v>
      </c>
      <c r="L2933" s="13" t="str">
        <f>IF(D2933&lt;&gt;"",VLOOKUP(H2933,TABLEITEM,2,FALSE),"")</f>
        <v/>
      </c>
      <c r="M2933" s="13" t="str">
        <f>IF(D2933&lt;&gt;"",VLOOKUP(H2933,TABLEITEM,3,FALSE),"")</f>
        <v>SHUNT-OPENING RELEASES A1-2</v>
      </c>
      <c r="N2933" s="14">
        <f>INSTOCK!$I2933*INSTOCK!$K2933</f>
        <v>1680</v>
      </c>
      <c r="O2933" s="4" t="s">
        <v>3931</v>
      </c>
      <c r="P2933" s="4"/>
    </row>
    <row r="2934" ht="15.75" hidden="1" customHeight="1">
      <c r="B2934" s="8">
        <v>3253.0</v>
      </c>
      <c r="C2934" s="9">
        <v>43599.0</v>
      </c>
      <c r="D2934" s="6" t="s">
        <v>3932</v>
      </c>
      <c r="E2934" s="4"/>
      <c r="F2934" s="8" t="s">
        <v>604</v>
      </c>
      <c r="G2934" s="4" t="s">
        <v>3856</v>
      </c>
      <c r="H2934" s="10" t="s">
        <v>3933</v>
      </c>
      <c r="I2934" s="10">
        <v>12.0</v>
      </c>
      <c r="J2934" s="11" t="str">
        <f>IF(D2934&lt;&gt;"",VLOOKUP(H2934,TABLEITEM,5,FALSE),"")</f>
        <v>EA</v>
      </c>
      <c r="K2934" s="12">
        <v>96.0</v>
      </c>
      <c r="L2934" s="13" t="str">
        <f>IF(D2934&lt;&gt;"",VLOOKUP(H2934,TABLEITEM,2,FALSE),"")</f>
        <v/>
      </c>
      <c r="M2934" s="13" t="str">
        <f>IF(D2934&lt;&gt;"",VLOOKUP(H2934,TABLEITEM,3,FALSE),"")</f>
        <v>LED FULL SET T8 4W 6500K ยาว 30ซม</v>
      </c>
      <c r="N2934" s="14">
        <f>INSTOCK!$I2934*INSTOCK!$K2934</f>
        <v>1152</v>
      </c>
      <c r="O2934" s="4"/>
      <c r="P2934" s="4"/>
    </row>
    <row r="2935" ht="15.75" hidden="1" customHeight="1">
      <c r="B2935" s="8">
        <v>3254.0</v>
      </c>
      <c r="C2935" s="9">
        <v>43598.0</v>
      </c>
      <c r="D2935" s="6" t="s">
        <v>3934</v>
      </c>
      <c r="E2935" s="4">
        <v>6.205000701E9</v>
      </c>
      <c r="F2935" s="8" t="s">
        <v>604</v>
      </c>
      <c r="G2935" s="4" t="s">
        <v>2495</v>
      </c>
      <c r="H2935" s="10" t="s">
        <v>3935</v>
      </c>
      <c r="I2935" s="10">
        <v>2000.0</v>
      </c>
      <c r="J2935" s="11" t="str">
        <f>IF(D2935&lt;&gt;"",VLOOKUP(H2935,TABLEITEM,5,FALSE),"")</f>
        <v>EA</v>
      </c>
      <c r="K2935" s="12">
        <v>0.7</v>
      </c>
      <c r="L2935" s="13" t="str">
        <f>IF(D2935&lt;&gt;"",VLOOKUP(H2935,TABLEITEM,2,FALSE),"")</f>
        <v/>
      </c>
      <c r="M2935" s="13" t="str">
        <f>IF(D2935&lt;&gt;"",VLOOKUP(H2935,TABLEITEM,3,FALSE),"")</f>
        <v>สกรูหัวจมชุบรุ้ง M5x15</v>
      </c>
      <c r="N2935" s="14">
        <f>INSTOCK!$I2935*INSTOCK!$K2935</f>
        <v>1400</v>
      </c>
      <c r="O2935" s="4"/>
      <c r="P2935" s="4"/>
    </row>
    <row r="2936" ht="15.75" hidden="1" customHeight="1">
      <c r="B2936" s="8">
        <v>3255.0</v>
      </c>
      <c r="C2936" s="9">
        <v>43598.0</v>
      </c>
      <c r="D2936" s="6" t="s">
        <v>3934</v>
      </c>
      <c r="E2936" s="4">
        <v>6.205000701E9</v>
      </c>
      <c r="F2936" s="8" t="s">
        <v>604</v>
      </c>
      <c r="G2936" s="4" t="s">
        <v>2495</v>
      </c>
      <c r="H2936" s="10" t="s">
        <v>2523</v>
      </c>
      <c r="I2936" s="10">
        <v>900.0</v>
      </c>
      <c r="J2936" s="11" t="str">
        <f>IF(D2936&lt;&gt;"",VLOOKUP(H2936,TABLEITEM,5,FALSE),"")</f>
        <v>EA</v>
      </c>
      <c r="K2936" s="12">
        <v>1.22</v>
      </c>
      <c r="L2936" s="13" t="str">
        <f>IF(D2936&lt;&gt;"",VLOOKUP(H2936,TABLEITEM,2,FALSE),"")</f>
        <v/>
      </c>
      <c r="M2936" s="13" t="str">
        <f>IF(D2936&lt;&gt;"",VLOOKUP(H2936,TABLEITEM,3,FALSE),"")</f>
        <v>สกรูหัวเหลี่ยมชุบขาว M8x35</v>
      </c>
      <c r="N2936" s="14">
        <f>INSTOCK!$I2936*INSTOCK!$K2936</f>
        <v>1098</v>
      </c>
      <c r="O2936" s="4"/>
      <c r="P2936" s="4"/>
    </row>
    <row r="2937" ht="15.75" hidden="1" customHeight="1">
      <c r="B2937" s="8">
        <v>3256.0</v>
      </c>
      <c r="C2937" s="9">
        <v>43601.0</v>
      </c>
      <c r="D2937" s="6" t="s">
        <v>3936</v>
      </c>
      <c r="E2937" s="4">
        <v>6.205000758E9</v>
      </c>
      <c r="F2937" s="8" t="s">
        <v>604</v>
      </c>
      <c r="G2937" s="4" t="s">
        <v>665</v>
      </c>
      <c r="H2937" s="10" t="s">
        <v>510</v>
      </c>
      <c r="I2937" s="10">
        <v>200.0</v>
      </c>
      <c r="J2937" s="11" t="str">
        <f>IF(D2937&lt;&gt;"",VLOOKUP(H2937,TABLEITEM,5,FALSE),"")</f>
        <v>M</v>
      </c>
      <c r="K2937" s="12">
        <v>19.85</v>
      </c>
      <c r="L2937" s="13" t="str">
        <f>IF(D2937&lt;&gt;"",VLOOKUP(H2937,TABLEITEM,2,FALSE),"")</f>
        <v>wire</v>
      </c>
      <c r="M2937" s="13" t="str">
        <f>IF(D2937&lt;&gt;"",VLOOKUP(H2937,TABLEITEM,3,FALSE),"")</f>
        <v>สายLIYCY 3x0.34 สีเทา</v>
      </c>
      <c r="N2937" s="14">
        <f>INSTOCK!$I2937*INSTOCK!$K2937</f>
        <v>3970</v>
      </c>
      <c r="O2937" s="4"/>
      <c r="P2937" s="4"/>
    </row>
    <row r="2938" ht="15.75" hidden="1" customHeight="1">
      <c r="B2938" s="8">
        <v>3257.0</v>
      </c>
      <c r="C2938" s="9">
        <v>43600.0</v>
      </c>
      <c r="D2938" s="6" t="s">
        <v>3937</v>
      </c>
      <c r="E2938" s="4">
        <v>6.205000752E9</v>
      </c>
      <c r="F2938" s="8" t="s">
        <v>3927</v>
      </c>
      <c r="G2938" s="4" t="s">
        <v>1631</v>
      </c>
      <c r="H2938" s="10" t="s">
        <v>1636</v>
      </c>
      <c r="I2938" s="10">
        <v>1.0</v>
      </c>
      <c r="J2938" s="11" t="str">
        <f>IF(D2938&lt;&gt;"",VLOOKUP(H2938,TABLEITEM,5,FALSE),"")</f>
        <v>EA</v>
      </c>
      <c r="K2938" s="12">
        <v>13350.0</v>
      </c>
      <c r="L2938" s="13" t="str">
        <f>IF(D2938&lt;&gt;"",VLOOKUP(H2938,TABLEITEM,2,FALSE),"")</f>
        <v/>
      </c>
      <c r="M2938" s="13" t="str">
        <f>IF(D2938&lt;&gt;"",VLOOKUP(H2938,TABLEITEM,3,FALSE),"")</f>
        <v>ACS355-03E-12A5-4/5.5KW(7.5 HP)380-480V</v>
      </c>
      <c r="N2938" s="14">
        <f>INSTOCK!$I2938*INSTOCK!$K2938</f>
        <v>13350</v>
      </c>
      <c r="O2938" s="4"/>
      <c r="P2938" s="4"/>
    </row>
    <row r="2939" ht="15.75" hidden="1" customHeight="1">
      <c r="B2939" s="8">
        <v>3258.0</v>
      </c>
      <c r="C2939" s="9">
        <v>43600.0</v>
      </c>
      <c r="D2939" s="6" t="s">
        <v>3937</v>
      </c>
      <c r="E2939" s="4">
        <v>6.205000752E9</v>
      </c>
      <c r="F2939" s="8" t="s">
        <v>3927</v>
      </c>
      <c r="G2939" s="4" t="s">
        <v>1631</v>
      </c>
      <c r="H2939" s="10" t="s">
        <v>1635</v>
      </c>
      <c r="I2939" s="10">
        <v>1.0</v>
      </c>
      <c r="J2939" s="11" t="str">
        <f>IF(D2939&lt;&gt;"",VLOOKUP(H2939,TABLEITEM,5,FALSE),"")</f>
        <v>EA</v>
      </c>
      <c r="K2939" s="12">
        <v>9500.0</v>
      </c>
      <c r="L2939" s="13" t="str">
        <f>IF(D2939&lt;&gt;"",VLOOKUP(H2939,TABLEITEM,2,FALSE),"")</f>
        <v/>
      </c>
      <c r="M2939" s="13" t="str">
        <f>IF(D2939&lt;&gt;"",VLOOKUP(H2939,TABLEITEM,3,FALSE),"")</f>
        <v>ACS355-03E-07A3-4/3KW(4 HP)380-480V</v>
      </c>
      <c r="N2939" s="14">
        <f>INSTOCK!$I2939*INSTOCK!$K2939</f>
        <v>9500</v>
      </c>
      <c r="O2939" s="4"/>
      <c r="P2939" s="4"/>
    </row>
    <row r="2940" ht="15.75" hidden="1" customHeight="1">
      <c r="B2940" s="8">
        <v>3259.0</v>
      </c>
      <c r="C2940" s="9">
        <v>43600.0</v>
      </c>
      <c r="D2940" s="6" t="s">
        <v>3937</v>
      </c>
      <c r="E2940" s="4">
        <v>6.205000752E9</v>
      </c>
      <c r="F2940" s="8" t="s">
        <v>3927</v>
      </c>
      <c r="G2940" s="4" t="s">
        <v>1631</v>
      </c>
      <c r="H2940" s="10" t="s">
        <v>1640</v>
      </c>
      <c r="I2940" s="10">
        <v>2.0</v>
      </c>
      <c r="J2940" s="11" t="str">
        <f>IF(D2940&lt;&gt;"",VLOOKUP(H2940,TABLEITEM,5,FALSE),"")</f>
        <v>EA</v>
      </c>
      <c r="K2940" s="12">
        <v>0.0</v>
      </c>
      <c r="L2940" s="13" t="str">
        <f>IF(D2940&lt;&gt;"",VLOOKUP(H2940,TABLEITEM,2,FALSE),"")</f>
        <v/>
      </c>
      <c r="M2940" s="13" t="str">
        <f>IF(D2940&lt;&gt;"",VLOOKUP(H2940,TABLEITEM,3,FALSE),"")</f>
        <v>ACS-CP-C(BASIC CONTRON PANEL)</v>
      </c>
      <c r="N2940" s="14">
        <f>INSTOCK!$I2940*INSTOCK!$K2940</f>
        <v>0</v>
      </c>
      <c r="O2940" s="4"/>
      <c r="P2940" s="4"/>
    </row>
    <row r="2941" ht="15.75" hidden="1" customHeight="1">
      <c r="B2941" s="8">
        <v>3260.0</v>
      </c>
      <c r="C2941" s="9">
        <v>43600.0</v>
      </c>
      <c r="D2941" s="6">
        <v>6.20504079E8</v>
      </c>
      <c r="E2941" s="4">
        <v>6.205000763E9</v>
      </c>
      <c r="F2941" s="8" t="s">
        <v>3938</v>
      </c>
      <c r="G2941" s="4" t="s">
        <v>1130</v>
      </c>
      <c r="H2941" s="10" t="s">
        <v>1897</v>
      </c>
      <c r="I2941" s="10">
        <v>3.0</v>
      </c>
      <c r="J2941" s="11" t="str">
        <f>IF(D2941&lt;&gt;"",VLOOKUP(H2941,TABLEITEM,5,FALSE),"")</f>
        <v>EA</v>
      </c>
      <c r="K2941" s="12">
        <v>121.123333</v>
      </c>
      <c r="L2941" s="13" t="str">
        <f>IF(D2941&lt;&gt;"",VLOOKUP(H2941,TABLEITEM,2,FALSE),"")</f>
        <v/>
      </c>
      <c r="M2941" s="13" t="str">
        <f>IF(D2941&lt;&gt;"",VLOOKUP(H2941,TABLEITEM,3,FALSE),"")</f>
        <v>CT 200/5 MQS40</v>
      </c>
      <c r="N2941" s="14">
        <f>INSTOCK!$I2941*INSTOCK!$K2941</f>
        <v>363.369999</v>
      </c>
      <c r="O2941" s="4" t="s">
        <v>1898</v>
      </c>
      <c r="P2941" s="4"/>
    </row>
    <row r="2942" ht="15.75" hidden="1" customHeight="1">
      <c r="B2942" s="8">
        <v>3261.0</v>
      </c>
      <c r="C2942" s="9">
        <v>43600.0</v>
      </c>
      <c r="D2942" s="6">
        <v>6.20504079E8</v>
      </c>
      <c r="E2942" s="4">
        <v>6.205000763E9</v>
      </c>
      <c r="F2942" s="8" t="s">
        <v>3938</v>
      </c>
      <c r="G2942" s="4" t="s">
        <v>1130</v>
      </c>
      <c r="H2942" s="10" t="s">
        <v>245</v>
      </c>
      <c r="I2942" s="10">
        <v>5000.0</v>
      </c>
      <c r="J2942" s="11" t="str">
        <f>IF(D2942&lt;&gt;"",VLOOKUP(H2942,TABLEITEM,5,FALSE),"")</f>
        <v>EA</v>
      </c>
      <c r="K2942" s="12">
        <v>0.63</v>
      </c>
      <c r="L2942" s="13" t="str">
        <f>IF(D2942&lt;&gt;"",VLOOKUP(H2942,TABLEITEM,2,FALSE),"")</f>
        <v/>
      </c>
      <c r="M2942" s="13" t="str">
        <f>IF(D2942&lt;&gt;"",VLOOKUP(H2942,TABLEITEM,3,FALSE),"")</f>
        <v>หางปลาแฉกเปลือย Y1.5-3S</v>
      </c>
      <c r="N2942" s="14">
        <f>INSTOCK!$I2942*INSTOCK!$K2942</f>
        <v>3150</v>
      </c>
      <c r="O2942" s="4" t="s">
        <v>1830</v>
      </c>
      <c r="P2942" s="4"/>
    </row>
    <row r="2943" ht="15.75" hidden="1" customHeight="1">
      <c r="B2943" s="8">
        <v>3262.0</v>
      </c>
      <c r="C2943" s="9">
        <v>43600.0</v>
      </c>
      <c r="D2943" s="6">
        <v>6.20504079E8</v>
      </c>
      <c r="E2943" s="4">
        <v>6.205000763E9</v>
      </c>
      <c r="F2943" s="8" t="s">
        <v>3938</v>
      </c>
      <c r="G2943" s="4" t="s">
        <v>1130</v>
      </c>
      <c r="H2943" s="10" t="s">
        <v>254</v>
      </c>
      <c r="I2943" s="10">
        <v>2000.0</v>
      </c>
      <c r="J2943" s="11" t="str">
        <f>IF(D2943&lt;&gt;"",VLOOKUP(H2943,TABLEITEM,5,FALSE),"")</f>
        <v>EA</v>
      </c>
      <c r="K2943" s="12">
        <v>1.05</v>
      </c>
      <c r="L2943" s="13" t="str">
        <f>IF(D2943&lt;&gt;"",VLOOKUP(H2943,TABLEITEM,2,FALSE),"")</f>
        <v/>
      </c>
      <c r="M2943" s="13" t="str">
        <f>IF(D2943&lt;&gt;"",VLOOKUP(H2943,TABLEITEM,3,FALSE),"")</f>
        <v>หางปลาแฉกเปลือย Y6-4S</v>
      </c>
      <c r="N2943" s="14">
        <f>INSTOCK!$I2943*INSTOCK!$K2943</f>
        <v>2100</v>
      </c>
      <c r="O2943" s="4" t="s">
        <v>3939</v>
      </c>
      <c r="P2943" s="4"/>
    </row>
    <row r="2944" ht="15.75" hidden="1" customHeight="1">
      <c r="B2944" s="8">
        <v>3263.0</v>
      </c>
      <c r="C2944" s="9">
        <v>43601.0</v>
      </c>
      <c r="D2944" s="6" t="s">
        <v>3940</v>
      </c>
      <c r="E2944" s="4">
        <v>6.205000761E9</v>
      </c>
      <c r="F2944" s="8" t="s">
        <v>604</v>
      </c>
      <c r="G2944" s="4" t="s">
        <v>617</v>
      </c>
      <c r="H2944" s="10" t="s">
        <v>546</v>
      </c>
      <c r="I2944" s="10">
        <v>25.0</v>
      </c>
      <c r="J2944" s="11" t="str">
        <f>IF(D2944&lt;&gt;"",VLOOKUP(H2944,TABLEITEM,5,FALSE),"")</f>
        <v>M</v>
      </c>
      <c r="K2944" s="12">
        <v>1387.2</v>
      </c>
      <c r="L2944" s="13" t="str">
        <f>IF(D2944&lt;&gt;"",VLOOKUP(H2944,TABLEITEM,2,FALSE),"")</f>
        <v>Busbar</v>
      </c>
      <c r="M2944" s="13" t="str">
        <f>IF(D2944&lt;&gt;"",VLOOKUP(H2944,TABLEITEM,3,FALSE),"")</f>
        <v>บัสบาร์ทองแดง 2"x1/2"</v>
      </c>
      <c r="N2944" s="14">
        <f>INSTOCK!$I2944*INSTOCK!$K2944</f>
        <v>34680</v>
      </c>
      <c r="O2944" s="4" t="s">
        <v>3941</v>
      </c>
      <c r="P2944" s="4"/>
    </row>
    <row r="2945" ht="15.75" hidden="1" customHeight="1">
      <c r="B2945" s="8">
        <v>3264.0</v>
      </c>
      <c r="C2945" s="9">
        <v>43601.0</v>
      </c>
      <c r="D2945" s="6" t="s">
        <v>3940</v>
      </c>
      <c r="E2945" s="4">
        <v>6.205000761E9</v>
      </c>
      <c r="F2945" s="8" t="s">
        <v>604</v>
      </c>
      <c r="G2945" s="4" t="s">
        <v>617</v>
      </c>
      <c r="H2945" s="10" t="s">
        <v>3451</v>
      </c>
      <c r="I2945" s="10">
        <v>25.0</v>
      </c>
      <c r="J2945" s="11" t="str">
        <f>IF(D2945&lt;&gt;"",VLOOKUP(H2945,TABLEITEM,5,FALSE),"")</f>
        <v>M</v>
      </c>
      <c r="K2945" s="12">
        <v>432.0</v>
      </c>
      <c r="L2945" s="13" t="str">
        <f>IF(D2945&lt;&gt;"",VLOOKUP(H2945,TABLEITEM,2,FALSE),"")</f>
        <v>Busbar</v>
      </c>
      <c r="M2945" s="13" t="str">
        <f>IF(D2945&lt;&gt;"",VLOOKUP(H2945,TABLEITEM,3,FALSE),"")</f>
        <v>บัสบาร์ทองแดง 40x5</v>
      </c>
      <c r="N2945" s="14">
        <f>INSTOCK!$I2945*INSTOCK!$K2945</f>
        <v>10800</v>
      </c>
      <c r="O2945" s="4" t="s">
        <v>3941</v>
      </c>
      <c r="P2945" s="4"/>
    </row>
    <row r="2946" ht="15.75" hidden="1" customHeight="1">
      <c r="B2946" s="8">
        <v>3265.0</v>
      </c>
      <c r="C2946" s="9">
        <v>43601.0</v>
      </c>
      <c r="D2946" s="6" t="s">
        <v>3940</v>
      </c>
      <c r="E2946" s="4">
        <v>6.205000761E9</v>
      </c>
      <c r="F2946" s="8" t="s">
        <v>604</v>
      </c>
      <c r="G2946" s="4" t="s">
        <v>617</v>
      </c>
      <c r="H2946" s="10" t="s">
        <v>562</v>
      </c>
      <c r="I2946" s="10">
        <v>25.0</v>
      </c>
      <c r="J2946" s="11" t="str">
        <f>IF(D2946&lt;&gt;"",VLOOKUP(H2946,TABLEITEM,5,FALSE),"")</f>
        <v>M</v>
      </c>
      <c r="K2946" s="12">
        <v>1075.2</v>
      </c>
      <c r="L2946" s="13" t="str">
        <f>IF(D2946&lt;&gt;"",VLOOKUP(H2946,TABLEITEM,2,FALSE),"")</f>
        <v>Busbar</v>
      </c>
      <c r="M2946" s="13" t="str">
        <f>IF(D2946&lt;&gt;"",VLOOKUP(H2946,TABLEITEM,3,FALSE),"")</f>
        <v>บัสบาร์ทองแดง 50x10</v>
      </c>
      <c r="N2946" s="14">
        <f>INSTOCK!$I2946*INSTOCK!$K2946</f>
        <v>26880</v>
      </c>
      <c r="O2946" s="4" t="s">
        <v>3941</v>
      </c>
      <c r="P2946" s="4"/>
    </row>
    <row r="2947" ht="15.75" hidden="1" customHeight="1">
      <c r="B2947" s="8">
        <v>3266.0</v>
      </c>
      <c r="C2947" s="9">
        <v>43579.0</v>
      </c>
      <c r="D2947" s="6" t="s">
        <v>3942</v>
      </c>
      <c r="E2947" s="4"/>
      <c r="F2947" s="8" t="s">
        <v>3943</v>
      </c>
      <c r="G2947" s="4" t="s">
        <v>3944</v>
      </c>
      <c r="H2947" s="10" t="s">
        <v>3945</v>
      </c>
      <c r="I2947" s="10">
        <v>1.0</v>
      </c>
      <c r="J2947" s="11" t="str">
        <f>IF(D2947&lt;&gt;"",VLOOKUP(H2947,TABLEITEM,5,FALSE),"")</f>
        <v>EA</v>
      </c>
      <c r="K2947" s="12">
        <v>2310.0</v>
      </c>
      <c r="L2947" s="13" t="str">
        <f>IF(D2947&lt;&gt;"",VLOOKUP(H2947,TABLEITEM,2,FALSE),"")</f>
        <v/>
      </c>
      <c r="M2947" s="13" t="str">
        <f>IF(D2947&lt;&gt;"",VLOOKUP(H2947,TABLEITEM,3,FALSE),"")</f>
        <v>SSD(5Y)250.GB WD Black M.2 PCIe</v>
      </c>
      <c r="N2947" s="14">
        <f>INSTOCK!$I2947*INSTOCK!$K2947</f>
        <v>2310</v>
      </c>
      <c r="O2947" s="4"/>
      <c r="P2947" s="4"/>
    </row>
    <row r="2948" ht="15.75" hidden="1" customHeight="1">
      <c r="B2948" s="8">
        <v>3267.0</v>
      </c>
      <c r="C2948" s="9">
        <v>43574.0</v>
      </c>
      <c r="D2948" s="6" t="s">
        <v>3946</v>
      </c>
      <c r="E2948" s="4"/>
      <c r="F2948" s="8"/>
      <c r="G2948" s="4" t="s">
        <v>3944</v>
      </c>
      <c r="H2948" s="10" t="s">
        <v>3947</v>
      </c>
      <c r="I2948" s="10">
        <v>1.0</v>
      </c>
      <c r="J2948" s="11" t="str">
        <f>IF(D2948&lt;&gt;"",VLOOKUP(H2948,TABLEITEM,5,FALSE),"")</f>
        <v>LOT</v>
      </c>
      <c r="K2948" s="12">
        <v>77.25</v>
      </c>
      <c r="L2948" s="13" t="str">
        <f>IF(D2948&lt;&gt;"",VLOOKUP(H2948,TABLEITEM,2,FALSE),"")</f>
        <v/>
      </c>
      <c r="M2948" s="13" t="str">
        <f>IF(D2948&lt;&gt;"",VLOOKUP(H2948,TABLEITEM,3,FALSE),"")</f>
        <v>ค่าบริการงานเคลม</v>
      </c>
      <c r="N2948" s="14">
        <f>INSTOCK!$I2948*INSTOCK!$K2948</f>
        <v>77.25</v>
      </c>
      <c r="O2948" s="4"/>
      <c r="P2948" s="4"/>
    </row>
    <row r="2949" ht="15.75" hidden="1" customHeight="1">
      <c r="B2949" s="8">
        <v>3268.0</v>
      </c>
      <c r="C2949" s="9">
        <v>43560.0</v>
      </c>
      <c r="D2949" s="6" t="s">
        <v>3948</v>
      </c>
      <c r="E2949" s="4"/>
      <c r="F2949" s="8" t="s">
        <v>3949</v>
      </c>
      <c r="G2949" s="4" t="s">
        <v>3944</v>
      </c>
      <c r="H2949" s="10" t="s">
        <v>3950</v>
      </c>
      <c r="I2949" s="10">
        <v>1.0</v>
      </c>
      <c r="J2949" s="11" t="str">
        <f>IF(D2949&lt;&gt;"",VLOOKUP(H2949,TABLEITEM,5,FALSE),"")</f>
        <v>EA</v>
      </c>
      <c r="K2949" s="12">
        <v>3590.0</v>
      </c>
      <c r="L2949" s="13" t="str">
        <f>IF(D2949&lt;&gt;"",VLOOKUP(H2949,TABLEITEM,2,FALSE),"")</f>
        <v/>
      </c>
      <c r="M2949" s="13" t="str">
        <f>IF(D2949&lt;&gt;"",VLOOKUP(H2949,TABLEITEM,3,FALSE),"")</f>
        <v>Intuos Pen S,Bluetooth WACOM</v>
      </c>
      <c r="N2949" s="14">
        <f>INSTOCK!$I2949*INSTOCK!$K2949</f>
        <v>3590</v>
      </c>
      <c r="O2949" s="4"/>
      <c r="P2949" s="4"/>
    </row>
    <row r="2950" ht="15.75" hidden="1" customHeight="1">
      <c r="B2950" s="8">
        <v>3269.0</v>
      </c>
      <c r="C2950" s="9">
        <v>43560.0</v>
      </c>
      <c r="D2950" s="6" t="s">
        <v>3951</v>
      </c>
      <c r="E2950" s="4"/>
      <c r="F2950" s="8" t="s">
        <v>3949</v>
      </c>
      <c r="G2950" s="4" t="s">
        <v>3944</v>
      </c>
      <c r="H2950" s="10" t="s">
        <v>3952</v>
      </c>
      <c r="I2950" s="10">
        <v>1.0</v>
      </c>
      <c r="J2950" s="11" t="str">
        <f>IF(D2950&lt;&gt;"",VLOOKUP(H2950,TABLEITEM,5,FALSE),"")</f>
        <v>EA</v>
      </c>
      <c r="K2950" s="12">
        <v>1545.0</v>
      </c>
      <c r="L2950" s="13" t="str">
        <f>IF(D2950&lt;&gt;"",VLOOKUP(H2950,TABLEITEM,2,FALSE),"")</f>
        <v/>
      </c>
      <c r="M2950" s="13" t="str">
        <f>IF(D2950&lt;&gt;"",VLOOKUP(H2950,TABLEITEM,3,FALSE),"")</f>
        <v>SSD(5Y)250.GB WD Blue M.2 2280</v>
      </c>
      <c r="N2950" s="14">
        <f>INSTOCK!$I2950*INSTOCK!$K2950</f>
        <v>1545</v>
      </c>
      <c r="O2950" s="4"/>
      <c r="P2950" s="4"/>
    </row>
    <row r="2951" ht="15.75" hidden="1" customHeight="1">
      <c r="B2951" s="8">
        <v>3270.0</v>
      </c>
      <c r="C2951" s="9">
        <v>43560.0</v>
      </c>
      <c r="D2951" s="6" t="s">
        <v>3951</v>
      </c>
      <c r="E2951" s="4"/>
      <c r="F2951" s="8" t="s">
        <v>3949</v>
      </c>
      <c r="G2951" s="4" t="s">
        <v>3944</v>
      </c>
      <c r="H2951" s="10" t="s">
        <v>3953</v>
      </c>
      <c r="I2951" s="10">
        <v>1.0</v>
      </c>
      <c r="J2951" s="11" t="str">
        <f>IF(D2951&lt;&gt;"",VLOOKUP(H2951,TABLEITEM,5,FALSE),"")</f>
        <v>EA</v>
      </c>
      <c r="K2951" s="12">
        <v>7040.0</v>
      </c>
      <c r="L2951" s="13" t="str">
        <f>IF(D2951&lt;&gt;"",VLOOKUP(H2951,TABLEITEM,2,FALSE),"")</f>
        <v/>
      </c>
      <c r="M2951" s="13" t="str">
        <f>IF(D2951&lt;&gt;"",VLOOKUP(H2951,TABLEITEM,3,FALSE),"")</f>
        <v>LED 27" DELL SE2719H (IPS,HDMI,VGA) CNOXPY95FCC008AHA70B</v>
      </c>
      <c r="N2951" s="14">
        <f>INSTOCK!$I2951*INSTOCK!$K2951</f>
        <v>7040</v>
      </c>
      <c r="O2951" s="4"/>
      <c r="P2951" s="4"/>
    </row>
    <row r="2952" ht="15.75" hidden="1" customHeight="1">
      <c r="B2952" s="8">
        <v>3271.0</v>
      </c>
      <c r="C2952" s="9">
        <v>43560.0</v>
      </c>
      <c r="D2952" s="6" t="s">
        <v>3951</v>
      </c>
      <c r="E2952" s="4"/>
      <c r="F2952" s="8" t="s">
        <v>3949</v>
      </c>
      <c r="G2952" s="4" t="s">
        <v>3944</v>
      </c>
      <c r="H2952" s="10" t="s">
        <v>3954</v>
      </c>
      <c r="I2952" s="10">
        <v>1.0</v>
      </c>
      <c r="J2952" s="11" t="str">
        <f>IF(D2952&lt;&gt;"",VLOOKUP(H2952,TABLEITEM,5,FALSE),"")</f>
        <v>EA</v>
      </c>
      <c r="K2952" s="12">
        <v>27980.0</v>
      </c>
      <c r="L2952" s="13" t="str">
        <f>IF(D2952&lt;&gt;"",VLOOKUP(H2952,TABLEITEM,2,FALSE),"")</f>
        <v/>
      </c>
      <c r="M2952" s="13" t="str">
        <f>IF(D2952&lt;&gt;"",VLOOKUP(H2952,TABLEITEM,3,FALSE),"")</f>
        <v>PC DELL V OSTRO V3670-W268956118 THW10(BLAVK)</v>
      </c>
      <c r="N2952" s="14">
        <f>INSTOCK!$I2952*INSTOCK!$K2952</f>
        <v>27980</v>
      </c>
      <c r="O2952" s="4"/>
      <c r="P2952" s="4"/>
    </row>
    <row r="2953" ht="15.75" hidden="1" customHeight="1">
      <c r="B2953" s="8">
        <v>3272.0</v>
      </c>
      <c r="C2953" s="9">
        <v>43517.0</v>
      </c>
      <c r="D2953" s="6" t="s">
        <v>3955</v>
      </c>
      <c r="E2953" s="4"/>
      <c r="F2953" s="8" t="s">
        <v>3956</v>
      </c>
      <c r="G2953" s="4" t="s">
        <v>3944</v>
      </c>
      <c r="H2953" s="10" t="s">
        <v>3957</v>
      </c>
      <c r="I2953" s="10">
        <v>2.0</v>
      </c>
      <c r="J2953" s="11" t="str">
        <f>IF(D2953&lt;&gt;"",VLOOKUP(H2953,TABLEITEM,5,FALSE),"")</f>
        <v>EA</v>
      </c>
      <c r="K2953" s="12">
        <v>19000.0</v>
      </c>
      <c r="L2953" s="13" t="str">
        <f>IF(D2953&lt;&gt;"",VLOOKUP(H2953,TABLEITEM,2,FALSE),"")</f>
        <v/>
      </c>
      <c r="M2953" s="13" t="str">
        <f>IF(D2953&lt;&gt;"",VLOOKUP(H2953,TABLEITEM,3,FALSE),"")</f>
        <v>PC DELL V OSTRO V3670-W268956114 THW10(BLAVK)</v>
      </c>
      <c r="N2953" s="14">
        <f>INSTOCK!$I2953*INSTOCK!$K2953</f>
        <v>38000</v>
      </c>
      <c r="O2953" s="4"/>
      <c r="P2953" s="4"/>
    </row>
    <row r="2954" ht="15.75" hidden="1" customHeight="1">
      <c r="B2954" s="8">
        <v>3273.0</v>
      </c>
      <c r="C2954" s="9">
        <v>43573.0</v>
      </c>
      <c r="D2954" s="6" t="s">
        <v>3958</v>
      </c>
      <c r="E2954" s="4"/>
      <c r="F2954" s="8" t="s">
        <v>3959</v>
      </c>
      <c r="G2954" s="4" t="s">
        <v>3944</v>
      </c>
      <c r="H2954" s="10" t="s">
        <v>3952</v>
      </c>
      <c r="I2954" s="10">
        <v>1.0</v>
      </c>
      <c r="J2954" s="11" t="str">
        <f>IF(D2954&lt;&gt;"",VLOOKUP(H2954,TABLEITEM,5,FALSE),"")</f>
        <v>EA</v>
      </c>
      <c r="K2954" s="12">
        <v>1545.0</v>
      </c>
      <c r="L2954" s="13" t="str">
        <f>IF(D2954&lt;&gt;"",VLOOKUP(H2954,TABLEITEM,2,FALSE),"")</f>
        <v/>
      </c>
      <c r="M2954" s="13" t="str">
        <f>IF(D2954&lt;&gt;"",VLOOKUP(H2954,TABLEITEM,3,FALSE),"")</f>
        <v>SSD(5Y)250.GB WD Blue M.2 2280</v>
      </c>
      <c r="N2954" s="14">
        <f>INSTOCK!$I2954*INSTOCK!$K2954</f>
        <v>1545</v>
      </c>
      <c r="O2954" s="4"/>
      <c r="P2954" s="4"/>
    </row>
    <row r="2955" ht="15.75" hidden="1" customHeight="1">
      <c r="B2955" s="8">
        <v>3274.0</v>
      </c>
      <c r="C2955" s="9">
        <v>43560.0</v>
      </c>
      <c r="D2955" s="6">
        <v>543391.0</v>
      </c>
      <c r="E2955" s="4"/>
      <c r="F2955" s="8" t="s">
        <v>604</v>
      </c>
      <c r="G2955" s="4" t="s">
        <v>3724</v>
      </c>
      <c r="H2955" s="10" t="s">
        <v>3960</v>
      </c>
      <c r="I2955" s="10">
        <v>1.0</v>
      </c>
      <c r="J2955" s="11" t="str">
        <f>IF(D2955&lt;&gt;"",VLOOKUP(H2955,TABLEITEM,5,FALSE),"")</f>
        <v>กล.</v>
      </c>
      <c r="K2955" s="12">
        <v>619.83</v>
      </c>
      <c r="L2955" s="13" t="str">
        <f>IF(D2955&lt;&gt;"",VLOOKUP(H2955,TABLEITEM,2,FALSE),"")</f>
        <v/>
      </c>
      <c r="M2955" s="13" t="str">
        <f>IF(D2955&lt;&gt;"",VLOOKUP(H2955,TABLEITEM,3,FALSE),"")</f>
        <v>สเปร์ยโฟม SISTA M525 750ML </v>
      </c>
      <c r="N2955" s="14">
        <f>INSTOCK!$I2955*INSTOCK!$K2955</f>
        <v>619.83</v>
      </c>
      <c r="O2955" s="4"/>
      <c r="P2955" s="4"/>
    </row>
    <row r="2956" ht="15.75" hidden="1" customHeight="1">
      <c r="B2956" s="8">
        <v>3275.0</v>
      </c>
      <c r="C2956" s="9">
        <v>43560.0</v>
      </c>
      <c r="D2956" s="6">
        <v>543391.0</v>
      </c>
      <c r="E2956" s="4"/>
      <c r="F2956" s="8" t="s">
        <v>604</v>
      </c>
      <c r="G2956" s="4" t="s">
        <v>3724</v>
      </c>
      <c r="H2956" s="18" t="s">
        <v>3725</v>
      </c>
      <c r="I2956" s="10">
        <v>10.0</v>
      </c>
      <c r="J2956" s="11" t="str">
        <f>IF(D2956&lt;&gt;"",VLOOKUP(H2956,TABLEITEM,5,FALSE),"")</f>
        <v>กล.</v>
      </c>
      <c r="K2956" s="12">
        <v>173.63</v>
      </c>
      <c r="L2956" s="13" t="str">
        <f>IF(D2956&lt;&gt;"",VLOOKUP(H2956,TABLEITEM,2,FALSE),"")</f>
        <v/>
      </c>
      <c r="M2956" s="13" t="str">
        <f>IF(D2956&lt;&gt;"",VLOOKUP(H2956,TABLEITEM,3,FALSE),"")</f>
        <v>โพลิเมอร์อุดรอย SISTA 380ML  WH</v>
      </c>
      <c r="N2956" s="14">
        <f>INSTOCK!$I2956*INSTOCK!$K2956</f>
        <v>1736.3</v>
      </c>
      <c r="O2956" s="4"/>
      <c r="P2956" s="4"/>
    </row>
    <row r="2957" ht="15.75" hidden="1" customHeight="1">
      <c r="B2957" s="8">
        <v>3276.0</v>
      </c>
      <c r="C2957" s="9">
        <v>43549.0</v>
      </c>
      <c r="D2957" s="6" t="s">
        <v>3961</v>
      </c>
      <c r="E2957" s="4"/>
      <c r="F2957" s="8" t="s">
        <v>3336</v>
      </c>
      <c r="G2957" s="4" t="s">
        <v>3962</v>
      </c>
      <c r="H2957" s="10" t="s">
        <v>3963</v>
      </c>
      <c r="I2957" s="10">
        <v>250.0</v>
      </c>
      <c r="J2957" s="11" t="str">
        <f>IF(D2957&lt;&gt;"",VLOOKUP(H2957,TABLEITEM,5,FALSE),"")</f>
        <v>EA</v>
      </c>
      <c r="K2957" s="12">
        <v>7.75</v>
      </c>
      <c r="L2957" s="13" t="str">
        <f>IF(D2957&lt;&gt;"",VLOOKUP(H2957,TABLEITEM,2,FALSE),"")</f>
        <v/>
      </c>
      <c r="M2957" s="13" t="str">
        <f>IF(D2957&lt;&gt;"",VLOOKUP(H2957,TABLEITEM,3,FALSE),"")</f>
        <v>แม่เหล็กแรงสูง 10mmx3mm วงใน 3.5mm</v>
      </c>
      <c r="N2957" s="14">
        <f>INSTOCK!$I2957*INSTOCK!$K2957</f>
        <v>1937.5</v>
      </c>
      <c r="O2957" s="4"/>
      <c r="P2957" s="4"/>
    </row>
    <row r="2958" ht="15.75" hidden="1" customHeight="1">
      <c r="B2958" s="8">
        <v>3277.0</v>
      </c>
      <c r="C2958" s="9">
        <v>43606.0</v>
      </c>
      <c r="D2958" s="6" t="s">
        <v>3964</v>
      </c>
      <c r="E2958" s="4">
        <v>6.205000777E9</v>
      </c>
      <c r="F2958" s="8" t="s">
        <v>1989</v>
      </c>
      <c r="G2958" s="4" t="s">
        <v>1990</v>
      </c>
      <c r="H2958" s="10" t="s">
        <v>1991</v>
      </c>
      <c r="I2958" s="10">
        <v>12.0</v>
      </c>
      <c r="J2958" s="11" t="str">
        <f>IF(D2958&lt;&gt;"",VLOOKUP(H2958,TABLEITEM,5,FALSE),"")</f>
        <v>EA</v>
      </c>
      <c r="K2958" s="12">
        <v>8.5</v>
      </c>
      <c r="L2958" s="13" t="str">
        <f>IF(D2958&lt;&gt;"",VLOOKUP(H2958,TABLEITEM,2,FALSE),"")</f>
        <v/>
      </c>
      <c r="M2958" s="13" t="str">
        <f>IF(D2958&lt;&gt;"",VLOOKUP(H2958,TABLEITEM,3,FALSE),"")</f>
        <v>ปากกาเคมี/มาร์คเกอร์ ตราม้า 2หัว น้ำเงิน</v>
      </c>
      <c r="N2958" s="14">
        <f>INSTOCK!$I2958*INSTOCK!$K2958</f>
        <v>102</v>
      </c>
      <c r="O2958" s="4"/>
      <c r="P2958" s="4"/>
    </row>
    <row r="2959" ht="15.75" hidden="1" customHeight="1">
      <c r="B2959" s="8">
        <v>3278.0</v>
      </c>
      <c r="C2959" s="9">
        <v>43606.0</v>
      </c>
      <c r="D2959" s="6" t="s">
        <v>3964</v>
      </c>
      <c r="E2959" s="4">
        <v>6.205000777E9</v>
      </c>
      <c r="F2959" s="8" t="s">
        <v>1989</v>
      </c>
      <c r="G2959" s="4" t="s">
        <v>1990</v>
      </c>
      <c r="H2959" s="10" t="s">
        <v>3965</v>
      </c>
      <c r="I2959" s="10">
        <v>5.0</v>
      </c>
      <c r="J2959" s="11" t="str">
        <f>IF(D2959&lt;&gt;"",VLOOKUP(H2959,TABLEITEM,5,FALSE),"")</f>
        <v>EA</v>
      </c>
      <c r="K2959" s="12">
        <v>50.0</v>
      </c>
      <c r="L2959" s="13" t="str">
        <f>IF(D2959&lt;&gt;"",VLOOKUP(H2959,TABLEITEM,2,FALSE),"")</f>
        <v/>
      </c>
      <c r="M2959" s="13" t="str">
        <f>IF(D2959&lt;&gt;"",VLOOKUP(H2959,TABLEITEM,3,FALSE),"")</f>
        <v>ปากกาเพ้นท์ ซากุระ XPMK-B 2มม แดง</v>
      </c>
      <c r="N2959" s="14">
        <f>INSTOCK!$I2959*INSTOCK!$K2959</f>
        <v>250</v>
      </c>
      <c r="O2959" s="4"/>
      <c r="P2959" s="4"/>
    </row>
    <row r="2960" ht="15.75" hidden="1" customHeight="1">
      <c r="B2960" s="8">
        <v>3279.0</v>
      </c>
      <c r="C2960" s="9">
        <v>43606.0</v>
      </c>
      <c r="D2960" s="6" t="s">
        <v>3964</v>
      </c>
      <c r="E2960" s="4">
        <v>6.205000777E9</v>
      </c>
      <c r="F2960" s="8" t="s">
        <v>1989</v>
      </c>
      <c r="G2960" s="4" t="s">
        <v>1990</v>
      </c>
      <c r="H2960" s="10" t="s">
        <v>3966</v>
      </c>
      <c r="I2960" s="10">
        <v>5.0</v>
      </c>
      <c r="J2960" s="11" t="str">
        <f>IF(D2960&lt;&gt;"",VLOOKUP(H2960,TABLEITEM,5,FALSE),"")</f>
        <v>EA</v>
      </c>
      <c r="K2960" s="12">
        <v>19.0</v>
      </c>
      <c r="L2960" s="13" t="str">
        <f>IF(D2960&lt;&gt;"",VLOOKUP(H2960,TABLEITEM,2,FALSE),"")</f>
        <v/>
      </c>
      <c r="M2960" s="13" t="str">
        <f>IF(D2960&lt;&gt;"",VLOOKUP(H2960,TABLEITEM,3,FALSE),"")</f>
        <v>มีดคัตเตอร์สเตนเลส พัมคิน ST-201/45องศา</v>
      </c>
      <c r="N2960" s="14">
        <f>INSTOCK!$I2960*INSTOCK!$K2960</f>
        <v>95</v>
      </c>
      <c r="O2960" s="4"/>
      <c r="P2960" s="4"/>
    </row>
    <row r="2961" ht="15.75" hidden="1" customHeight="1">
      <c r="B2961" s="8">
        <v>3280.0</v>
      </c>
      <c r="C2961" s="9">
        <v>43606.0</v>
      </c>
      <c r="D2961" s="6" t="s">
        <v>3964</v>
      </c>
      <c r="E2961" s="4">
        <v>6.205000777E9</v>
      </c>
      <c r="F2961" s="8" t="s">
        <v>1989</v>
      </c>
      <c r="G2961" s="4" t="s">
        <v>1990</v>
      </c>
      <c r="H2961" s="10" t="s">
        <v>3967</v>
      </c>
      <c r="I2961" s="10">
        <v>1.0</v>
      </c>
      <c r="J2961" s="11" t="str">
        <f>IF(D2961&lt;&gt;"",VLOOKUP(H2961,TABLEITEM,5,FALSE),"")</f>
        <v>EA</v>
      </c>
      <c r="K2961" s="12">
        <v>125.0</v>
      </c>
      <c r="L2961" s="13" t="str">
        <f>IF(D2961&lt;&gt;"",VLOOKUP(H2961,TABLEITEM,2,FALSE),"")</f>
        <v/>
      </c>
      <c r="M2961" s="13" t="str">
        <f>IF(D2961&lt;&gt;"",VLOOKUP(H2961,TABLEITEM,3,FALSE),"")</f>
        <v>เครื่องเจาะกระดาษ ตราม้า H-600(20แผ่น)</v>
      </c>
      <c r="N2961" s="14">
        <f>INSTOCK!$I2961*INSTOCK!$K2961</f>
        <v>125</v>
      </c>
      <c r="O2961" s="4"/>
      <c r="P2961" s="4"/>
    </row>
    <row r="2962" ht="15.75" hidden="1" customHeight="1">
      <c r="B2962" s="8">
        <v>3281.0</v>
      </c>
      <c r="C2962" s="9">
        <v>43606.0</v>
      </c>
      <c r="D2962" s="6" t="s">
        <v>3964</v>
      </c>
      <c r="E2962" s="4">
        <v>6.205000777E9</v>
      </c>
      <c r="F2962" s="8" t="s">
        <v>1989</v>
      </c>
      <c r="G2962" s="4" t="s">
        <v>1990</v>
      </c>
      <c r="H2962" s="10" t="s">
        <v>3968</v>
      </c>
      <c r="I2962" s="10">
        <v>6.0</v>
      </c>
      <c r="J2962" s="11" t="str">
        <f>IF(D2962&lt;&gt;"",VLOOKUP(H2962,TABLEITEM,5,FALSE),"")</f>
        <v>EA</v>
      </c>
      <c r="K2962" s="12">
        <v>56.0</v>
      </c>
      <c r="L2962" s="13" t="str">
        <f>IF(D2962&lt;&gt;"",VLOOKUP(H2962,TABLEITEM,2,FALSE),"")</f>
        <v/>
      </c>
      <c r="M2962" s="13" t="str">
        <f>IF(D2962&lt;&gt;"",VLOOKUP(H2962,TABLEITEM,3,FALSE),"")</f>
        <v>แฟ้มสันแคบ ตราช้าง 125F,2" น้ำเงิน</v>
      </c>
      <c r="N2962" s="14">
        <f>INSTOCK!$I2962*INSTOCK!$K2962</f>
        <v>336</v>
      </c>
      <c r="O2962" s="4"/>
      <c r="P2962" s="4"/>
    </row>
    <row r="2963" ht="15.75" hidden="1" customHeight="1">
      <c r="B2963" s="8">
        <v>3282.0</v>
      </c>
      <c r="C2963" s="9">
        <v>43602.0</v>
      </c>
      <c r="D2963" s="6" t="s">
        <v>3969</v>
      </c>
      <c r="E2963" s="4">
        <v>6.205000776E9</v>
      </c>
      <c r="F2963" s="8" t="s">
        <v>1989</v>
      </c>
      <c r="G2963" s="4" t="s">
        <v>2014</v>
      </c>
      <c r="H2963" s="10" t="s">
        <v>3970</v>
      </c>
      <c r="I2963" s="10">
        <v>1.0</v>
      </c>
      <c r="J2963" s="11" t="str">
        <f>IF(D2963&lt;&gt;"",VLOOKUP(H2963,TABLEITEM,5,FALSE),"")</f>
        <v>EA</v>
      </c>
      <c r="K2963" s="12">
        <v>140.19</v>
      </c>
      <c r="L2963" s="13" t="str">
        <f>IF(D2963&lt;&gt;"",VLOOKUP(H2963,TABLEITEM,2,FALSE),"")</f>
        <v/>
      </c>
      <c r="M2963" s="13" t="str">
        <f>IF(D2963&lt;&gt;"",VLOOKUP(H2963,TABLEITEM,3,FALSE),"")</f>
        <v>สมุดปกแข็ง 16.5x25ซม 80แผ่น (แพ็ค 6เล่ม)</v>
      </c>
      <c r="N2963" s="14">
        <f>INSTOCK!$I2963*INSTOCK!$K2963</f>
        <v>140.19</v>
      </c>
      <c r="O2963" s="4"/>
      <c r="P2963" s="4"/>
    </row>
    <row r="2964" ht="15.75" hidden="1" customHeight="1">
      <c r="B2964" s="8">
        <v>3283.0</v>
      </c>
      <c r="C2964" s="9">
        <v>43602.0</v>
      </c>
      <c r="D2964" s="6" t="s">
        <v>3969</v>
      </c>
      <c r="E2964" s="4">
        <v>6.205000776E9</v>
      </c>
      <c r="F2964" s="8" t="s">
        <v>1989</v>
      </c>
      <c r="G2964" s="4" t="s">
        <v>2014</v>
      </c>
      <c r="H2964" s="10" t="s">
        <v>3689</v>
      </c>
      <c r="I2964" s="10">
        <v>3.0</v>
      </c>
      <c r="J2964" s="11" t="str">
        <f>IF(D2964&lt;&gt;"",VLOOKUP(H2964,TABLEITEM,5,FALSE),"")</f>
        <v>EA</v>
      </c>
      <c r="K2964" s="12">
        <v>135.51</v>
      </c>
      <c r="L2964" s="13" t="str">
        <f>IF(D2964&lt;&gt;"",VLOOKUP(H2964,TABLEITEM,2,FALSE),"")</f>
        <v/>
      </c>
      <c r="M2964" s="13" t="str">
        <f>IF(D2964&lt;&gt;"",VLOOKUP(H2964,TABLEITEM,3,FALSE),"")</f>
        <v>ไม้กวาดไนล่อน 35ซม. ด้ามยาว 120 ซม.</v>
      </c>
      <c r="N2964" s="14">
        <f>INSTOCK!$I2964*INSTOCK!$K2964</f>
        <v>406.53</v>
      </c>
      <c r="O2964" s="4"/>
      <c r="P2964" s="4"/>
    </row>
    <row r="2965" ht="15.75" hidden="1" customHeight="1">
      <c r="B2965" s="8">
        <v>3284.0</v>
      </c>
      <c r="C2965" s="9">
        <v>43602.0</v>
      </c>
      <c r="D2965" s="6" t="s">
        <v>3969</v>
      </c>
      <c r="E2965" s="4">
        <v>6.205000776E9</v>
      </c>
      <c r="F2965" s="8" t="s">
        <v>1989</v>
      </c>
      <c r="G2965" s="4" t="s">
        <v>2014</v>
      </c>
      <c r="H2965" s="10" t="s">
        <v>3971</v>
      </c>
      <c r="I2965" s="10">
        <v>1.0</v>
      </c>
      <c r="J2965" s="11" t="str">
        <f>IF(D2965&lt;&gt;"",VLOOKUP(H2965,TABLEITEM,5,FALSE),"")</f>
        <v>EA</v>
      </c>
      <c r="K2965" s="12">
        <v>126.17</v>
      </c>
      <c r="L2965" s="13" t="str">
        <f>IF(D2965&lt;&gt;"",VLOOKUP(H2965,TABLEITEM,2,FALSE),"")</f>
        <v/>
      </c>
      <c r="M2965" s="13" t="str">
        <f>IF(D2965&lt;&gt;"",VLOOKUP(H2965,TABLEITEM,3,FALSE),"")</f>
        <v>ปากกาลูกลื่น 0.7มม.(50ด้าม)</v>
      </c>
      <c r="N2965" s="14">
        <f>INSTOCK!$I2965*INSTOCK!$K2965</f>
        <v>126.17</v>
      </c>
      <c r="O2965" s="4"/>
      <c r="P2965" s="4"/>
    </row>
    <row r="2966" ht="15.75" hidden="1" customHeight="1">
      <c r="B2966" s="8">
        <v>3285.0</v>
      </c>
      <c r="C2966" s="9">
        <v>43602.0</v>
      </c>
      <c r="D2966" s="6" t="s">
        <v>3969</v>
      </c>
      <c r="E2966" s="4">
        <v>6.205000776E9</v>
      </c>
      <c r="F2966" s="8" t="s">
        <v>1989</v>
      </c>
      <c r="G2966" s="4" t="s">
        <v>2014</v>
      </c>
      <c r="H2966" s="10" t="s">
        <v>3972</v>
      </c>
      <c r="I2966" s="10">
        <v>1.0</v>
      </c>
      <c r="J2966" s="11" t="str">
        <f>IF(D2966&lt;&gt;"",VLOOKUP(H2966,TABLEITEM,5,FALSE),"")</f>
        <v>EA</v>
      </c>
      <c r="K2966" s="12">
        <v>63.55</v>
      </c>
      <c r="L2966" s="13" t="str">
        <f>IF(D2966&lt;&gt;"",VLOOKUP(H2966,TABLEITEM,2,FALSE),"")</f>
        <v/>
      </c>
      <c r="M2966" s="13" t="str">
        <f>IF(D2966&lt;&gt;"",VLOOKUP(H2966,TABLEITEM,3,FALSE),"")</f>
        <v>สมุดปกอ่อนอาบน้ำมัน 55แกรม คละลาย (แพ็ค 12เล่ม)</v>
      </c>
      <c r="N2966" s="14">
        <f>INSTOCK!$I2966*INSTOCK!$K2966</f>
        <v>63.55</v>
      </c>
      <c r="O2966" s="4"/>
      <c r="P2966" s="4"/>
    </row>
    <row r="2967" ht="15.75" hidden="1" customHeight="1">
      <c r="B2967" s="8">
        <v>3286.0</v>
      </c>
      <c r="C2967" s="9">
        <v>43606.0</v>
      </c>
      <c r="D2967" s="6" t="s">
        <v>3973</v>
      </c>
      <c r="E2967" s="4">
        <v>6.205000781E9</v>
      </c>
      <c r="F2967" s="8" t="s">
        <v>604</v>
      </c>
      <c r="G2967" s="4" t="s">
        <v>975</v>
      </c>
      <c r="H2967" s="10" t="s">
        <v>19</v>
      </c>
      <c r="I2967" s="10">
        <v>60.0</v>
      </c>
      <c r="J2967" s="11" t="str">
        <f>IF(D2967&lt;&gt;"",VLOOKUP(H2967,TABLEITEM,5,FALSE),"")</f>
        <v>ROLL</v>
      </c>
      <c r="K2967" s="12">
        <v>140.0</v>
      </c>
      <c r="L2967" s="13" t="str">
        <f>IF(D2967&lt;&gt;"",VLOOKUP(H2967,TABLEITEM,2,FALSE),"")</f>
        <v/>
      </c>
      <c r="M2967" s="13" t="str">
        <f>IF(D2967&lt;&gt;"",VLOOKUP(H2967,TABLEITEM,3,FALSE),"")</f>
        <v>พลาสติกห่อตู้ 20micx50cmx300m</v>
      </c>
      <c r="N2967" s="14">
        <f>INSTOCK!$I2967*INSTOCK!$K2967</f>
        <v>8400</v>
      </c>
      <c r="O2967" s="4"/>
      <c r="P2967" s="4"/>
    </row>
    <row r="2968" ht="15.75" hidden="1" customHeight="1">
      <c r="B2968" s="8">
        <v>3287.0</v>
      </c>
      <c r="C2968" s="9">
        <v>43606.0</v>
      </c>
      <c r="D2968" s="6" t="s">
        <v>3974</v>
      </c>
      <c r="E2968" s="4">
        <v>6.205000772E9</v>
      </c>
      <c r="F2968" s="8" t="s">
        <v>604</v>
      </c>
      <c r="G2968" s="4" t="s">
        <v>975</v>
      </c>
      <c r="H2968" s="10" t="s">
        <v>3322</v>
      </c>
      <c r="I2968" s="10">
        <v>25.0</v>
      </c>
      <c r="J2968" s="11" t="str">
        <f>IF(D2968&lt;&gt;"",VLOOKUP(H2968,TABLEITEM,5,FALSE),"")</f>
        <v>ROLL</v>
      </c>
      <c r="K2968" s="12">
        <v>448.0</v>
      </c>
      <c r="L2968" s="13" t="str">
        <f>IF(D2968&lt;&gt;"",VLOOKUP(H2968,TABLEITEM,2,FALSE),"")</f>
        <v/>
      </c>
      <c r="M2968" s="13" t="str">
        <f>IF(D2968&lt;&gt;"",VLOOKUP(H2968,TABLEITEM,3,FALSE),"")</f>
        <v>พลาสติกกันกระแทก ขนาด 130ซมx100เมตร (แอร์บับเบิ้ล)</v>
      </c>
      <c r="N2968" s="14">
        <f>INSTOCK!$I2968*INSTOCK!$K2968</f>
        <v>11200</v>
      </c>
      <c r="O2968" s="4"/>
      <c r="P2968" s="4"/>
    </row>
    <row r="2969" ht="15.75" hidden="1" customHeight="1">
      <c r="B2969" s="8">
        <v>3288.0</v>
      </c>
      <c r="C2969" s="9">
        <v>43601.0</v>
      </c>
      <c r="D2969" s="6">
        <v>6.2050802E7</v>
      </c>
      <c r="E2969" s="4">
        <v>6.205000766E9</v>
      </c>
      <c r="F2969" s="8" t="s">
        <v>3975</v>
      </c>
      <c r="G2969" s="4" t="s">
        <v>711</v>
      </c>
      <c r="H2969" s="10" t="s">
        <v>754</v>
      </c>
      <c r="I2969" s="10">
        <v>20.0</v>
      </c>
      <c r="J2969" s="11" t="str">
        <f>IF(D2969&lt;&gt;"",VLOOKUP(H2969,TABLEITEM,5,FALSE),"")</f>
        <v>KG.</v>
      </c>
      <c r="K2969" s="12">
        <v>144.0</v>
      </c>
      <c r="L2969" s="13" t="str">
        <f>IF(D2969&lt;&gt;"",VLOOKUP(H2969,TABLEITEM,2,FALSE),"")</f>
        <v/>
      </c>
      <c r="M2969" s="13" t="str">
        <f>IF(D2969&lt;&gt;"",VLOOKUP(H2969,TABLEITEM,3,FALSE),"")</f>
        <v>สีฝุ่น P70003 AN สีครีม</v>
      </c>
      <c r="N2969" s="14">
        <f>INSTOCK!$I2969*INSTOCK!$K2969</f>
        <v>2880</v>
      </c>
      <c r="O2969" s="4" t="s">
        <v>756</v>
      </c>
      <c r="P2969" s="4"/>
    </row>
    <row r="2970" ht="15.75" hidden="1" customHeight="1">
      <c r="B2970" s="8">
        <v>3289.0</v>
      </c>
      <c r="C2970" s="9">
        <v>43606.0</v>
      </c>
      <c r="D2970" s="6" t="s">
        <v>3976</v>
      </c>
      <c r="E2970" s="4">
        <v>6.205000787E9</v>
      </c>
      <c r="F2970" s="8" t="s">
        <v>3977</v>
      </c>
      <c r="G2970" s="4" t="s">
        <v>702</v>
      </c>
      <c r="H2970" s="10" t="s">
        <v>779</v>
      </c>
      <c r="I2970" s="10">
        <v>100.0</v>
      </c>
      <c r="J2970" s="11" t="str">
        <f>IF(D2970&lt;&gt;"",VLOOKUP(H2970,TABLEITEM,5,FALSE),"")</f>
        <v>KG.</v>
      </c>
      <c r="K2970" s="12">
        <v>130.0</v>
      </c>
      <c r="L2970" s="13" t="str">
        <f>IF(D2970&lt;&gt;"",VLOOKUP(H2970,TABLEITEM,2,FALSE),"")</f>
        <v/>
      </c>
      <c r="M2970" s="13" t="str">
        <f>IF(D2970&lt;&gt;"",VLOOKUP(H2970,TABLEITEM,3,FALSE),"")</f>
        <v>สีฝุ่น FF110/948/C สีครีม</v>
      </c>
      <c r="N2970" s="14">
        <f>INSTOCK!$I2970*INSTOCK!$K2970</f>
        <v>13000</v>
      </c>
      <c r="O2970" s="4"/>
      <c r="P2970" s="4"/>
    </row>
    <row r="2971" ht="15.75" hidden="1" customHeight="1">
      <c r="B2971" s="8">
        <v>3290.0</v>
      </c>
      <c r="C2971" s="9">
        <v>43606.0</v>
      </c>
      <c r="D2971" s="6">
        <v>6.2050529E8</v>
      </c>
      <c r="E2971" s="4">
        <v>6.205000789E9</v>
      </c>
      <c r="F2971" s="8" t="s">
        <v>3978</v>
      </c>
      <c r="G2971" s="4" t="s">
        <v>1130</v>
      </c>
      <c r="H2971" s="10" t="s">
        <v>3979</v>
      </c>
      <c r="I2971" s="10">
        <v>1.0</v>
      </c>
      <c r="J2971" s="11" t="str">
        <f>IF(D2971&lt;&gt;"",VLOOKUP(H2971,TABLEITEM,5,FALSE),"")</f>
        <v>EA</v>
      </c>
      <c r="K2971" s="12">
        <v>1130.0</v>
      </c>
      <c r="L2971" s="13" t="str">
        <f>IF(D2971&lt;&gt;"",VLOOKUP(H2971,TABLEITEM,2,FALSE),"")</f>
        <v/>
      </c>
      <c r="M2971" s="13" t="str">
        <f>IF(D2971&lt;&gt;"",VLOOKUP(H2971,TABLEITEM,3,FALSE),"")</f>
        <v>เฟสโปรเทคเตอร์ WOP-4 380V 3P4W</v>
      </c>
      <c r="N2971" s="14">
        <f>INSTOCK!$I2971*INSTOCK!$K2971</f>
        <v>1130</v>
      </c>
      <c r="O2971" s="4"/>
      <c r="P2971" s="4"/>
    </row>
    <row r="2972" ht="15.75" hidden="1" customHeight="1">
      <c r="B2972" s="8">
        <v>3291.0</v>
      </c>
      <c r="C2972" s="9">
        <v>43606.0</v>
      </c>
      <c r="D2972" s="6" t="s">
        <v>3980</v>
      </c>
      <c r="E2972" s="4"/>
      <c r="F2972" s="8" t="s">
        <v>801</v>
      </c>
      <c r="G2972" s="4" t="s">
        <v>1417</v>
      </c>
      <c r="H2972" s="10" t="s">
        <v>803</v>
      </c>
      <c r="I2972" s="10">
        <v>19.0</v>
      </c>
      <c r="J2972" s="11" t="str">
        <f>IF(D2972&lt;&gt;"",VLOOKUP(H2972,TABLEITEM,5,FALSE),"")</f>
        <v>ถัง</v>
      </c>
      <c r="K2972" s="12">
        <v>981.31</v>
      </c>
      <c r="L2972" s="13" t="str">
        <f>IF(D2972&lt;&gt;"",VLOOKUP(H2972,TABLEITEM,2,FALSE),"")</f>
        <v/>
      </c>
      <c r="M2972" s="13" t="str">
        <f>IF(D2972&lt;&gt;"",VLOOKUP(H2972,TABLEITEM,3,FALSE),"")</f>
        <v>แก๊สหุงต้ม 48กก</v>
      </c>
      <c r="N2972" s="14">
        <f>INSTOCK!$I2972*INSTOCK!$K2972</f>
        <v>18644.89</v>
      </c>
      <c r="O2972" s="4"/>
      <c r="P2972" s="4"/>
    </row>
    <row r="2973" ht="15.75" hidden="1" customHeight="1">
      <c r="B2973" s="8">
        <v>3292.0</v>
      </c>
      <c r="C2973" s="9">
        <v>43595.0</v>
      </c>
      <c r="D2973" s="6" t="s">
        <v>3981</v>
      </c>
      <c r="E2973" s="4"/>
      <c r="F2973" s="8" t="s">
        <v>3982</v>
      </c>
      <c r="G2973" s="4" t="s">
        <v>3668</v>
      </c>
      <c r="H2973" s="10" t="s">
        <v>3983</v>
      </c>
      <c r="I2973" s="10">
        <v>1.0</v>
      </c>
      <c r="J2973" s="11" t="str">
        <f>IF(D2973&lt;&gt;"",VLOOKUP(H2973,TABLEITEM,5,FALSE),"")</f>
        <v>KG.</v>
      </c>
      <c r="K2973" s="12">
        <v>1300.0</v>
      </c>
      <c r="L2973" s="13" t="str">
        <f>IF(D2973&lt;&gt;"",VLOOKUP(H2973,TABLEITEM,2,FALSE),"")</f>
        <v/>
      </c>
      <c r="M2973" s="13" t="str">
        <f>IF(D2973&lt;&gt;"",VLOOKUP(H2973,TABLEITEM,3,FALSE),"")</f>
        <v>สีเพนการ์ด อีนาเมล STD 136 </v>
      </c>
      <c r="N2973" s="14">
        <f>INSTOCK!$I2973*INSTOCK!$K2973</f>
        <v>1300</v>
      </c>
      <c r="O2973" s="4" t="s">
        <v>3984</v>
      </c>
      <c r="P2973" s="4"/>
    </row>
    <row r="2974" ht="15.75" hidden="1" customHeight="1">
      <c r="B2974" s="8">
        <v>3293.0</v>
      </c>
      <c r="C2974" s="9">
        <v>43595.0</v>
      </c>
      <c r="D2974" s="6" t="s">
        <v>3981</v>
      </c>
      <c r="E2974" s="4"/>
      <c r="F2974" s="8" t="s">
        <v>3982</v>
      </c>
      <c r="G2974" s="4" t="s">
        <v>3668</v>
      </c>
      <c r="H2974" s="10" t="s">
        <v>3985</v>
      </c>
      <c r="I2974" s="10">
        <v>1.0</v>
      </c>
      <c r="J2974" s="11" t="str">
        <f>IF(D2974&lt;&gt;"",VLOOKUP(H2974,TABLEITEM,5,FALSE),"")</f>
        <v>KG.</v>
      </c>
      <c r="K2974" s="12">
        <v>460.0</v>
      </c>
      <c r="L2974" s="13" t="str">
        <f>IF(D2974&lt;&gt;"",VLOOKUP(H2974,TABLEITEM,2,FALSE),"")</f>
        <v/>
      </c>
      <c r="M2974" s="13" t="str">
        <f>IF(D2974&lt;&gt;"",VLOOKUP(H2974,TABLEITEM,3,FALSE),"")</f>
        <v>ทินเนอร์ #17 โจตัน</v>
      </c>
      <c r="N2974" s="14">
        <f>INSTOCK!$I2974*INSTOCK!$K2974</f>
        <v>460</v>
      </c>
      <c r="O2974" s="4" t="s">
        <v>3984</v>
      </c>
      <c r="P2974" s="4"/>
    </row>
    <row r="2975" ht="15.75" hidden="1" customHeight="1">
      <c r="B2975" s="8">
        <v>3294.0</v>
      </c>
      <c r="C2975" s="9">
        <v>43601.0</v>
      </c>
      <c r="D2975" s="6">
        <v>38616.0</v>
      </c>
      <c r="E2975" s="4">
        <v>6.205000762E9</v>
      </c>
      <c r="F2975" s="8" t="s">
        <v>604</v>
      </c>
      <c r="G2975" s="4" t="s">
        <v>696</v>
      </c>
      <c r="H2975" s="10" t="s">
        <v>65</v>
      </c>
      <c r="I2975" s="10">
        <v>12.0</v>
      </c>
      <c r="J2975" s="11" t="str">
        <f>IF(D2975&lt;&gt;"",VLOOKUP(H2975,TABLEITEM,5,FALSE),"")</f>
        <v>กป.</v>
      </c>
      <c r="K2975" s="12">
        <v>41.6667</v>
      </c>
      <c r="L2975" s="13" t="str">
        <f>IF(D2975&lt;&gt;"",VLOOKUP(H2975,TABLEITEM,2,FALSE),"")</f>
        <v/>
      </c>
      <c r="M2975" s="13" t="str">
        <f>IF(D2975&lt;&gt;"",VLOOKUP(H2975,TABLEITEM,3,FALSE),"")</f>
        <v>สีสเปรย์ สีเขียว</v>
      </c>
      <c r="N2975" s="14">
        <f>INSTOCK!$I2975*INSTOCK!$K2975</f>
        <v>500.0004</v>
      </c>
      <c r="O2975" s="4"/>
      <c r="P2975" s="4"/>
    </row>
    <row r="2976" ht="15.75" hidden="1" customHeight="1">
      <c r="B2976" s="8">
        <v>3295.0</v>
      </c>
      <c r="C2976" s="9">
        <v>43602.0</v>
      </c>
      <c r="D2976" s="6" t="s">
        <v>3986</v>
      </c>
      <c r="E2976" s="4">
        <v>6.205000768E9</v>
      </c>
      <c r="F2976" s="8" t="s">
        <v>3513</v>
      </c>
      <c r="G2976" s="4" t="s">
        <v>3267</v>
      </c>
      <c r="H2976" s="10" t="s">
        <v>3987</v>
      </c>
      <c r="I2976" s="10">
        <v>1.0</v>
      </c>
      <c r="J2976" s="11" t="str">
        <f>IF(D2976&lt;&gt;"",VLOOKUP(H2976,TABLEITEM,5,FALSE),"")</f>
        <v>EA</v>
      </c>
      <c r="K2976" s="12">
        <v>1200.0</v>
      </c>
      <c r="L2976" s="13" t="str">
        <f>IF(D2976&lt;&gt;"",VLOOKUP(H2976,TABLEITEM,2,FALSE),"")</f>
        <v/>
      </c>
      <c r="M2976" s="13" t="str">
        <f>IF(D2976&lt;&gt;"",VLOOKUP(H2976,TABLEITEM,3,FALSE),"")</f>
        <v>Powder tube PEM-X1 ET</v>
      </c>
      <c r="N2976" s="14">
        <f>INSTOCK!$I2976*INSTOCK!$K2976</f>
        <v>1200</v>
      </c>
      <c r="O2976" s="4"/>
      <c r="P2976" s="4"/>
    </row>
    <row r="2977" ht="15.75" hidden="1" customHeight="1">
      <c r="B2977" s="8">
        <v>3296.0</v>
      </c>
      <c r="C2977" s="9">
        <v>43602.0</v>
      </c>
      <c r="D2977" s="6" t="s">
        <v>3986</v>
      </c>
      <c r="E2977" s="4">
        <v>6.205000768E9</v>
      </c>
      <c r="F2977" s="8" t="s">
        <v>3513</v>
      </c>
      <c r="G2977" s="4" t="s">
        <v>3267</v>
      </c>
      <c r="H2977" s="10" t="s">
        <v>3988</v>
      </c>
      <c r="I2977" s="10">
        <v>2.0</v>
      </c>
      <c r="J2977" s="11" t="str">
        <f>IF(D2977&lt;&gt;"",VLOOKUP(H2977,TABLEITEM,5,FALSE),"")</f>
        <v>EA</v>
      </c>
      <c r="K2977" s="12">
        <v>520.0</v>
      </c>
      <c r="L2977" s="13" t="str">
        <f>IF(D2977&lt;&gt;"",VLOOKUP(H2977,TABLEITEM,2,FALSE),"")</f>
        <v/>
      </c>
      <c r="M2977" s="13" t="str">
        <f>IF(D2977&lt;&gt;"",VLOOKUP(H2977,TABLEITEM,3,FALSE),"")</f>
        <v>Collector nozzle PI-F1</v>
      </c>
      <c r="N2977" s="14">
        <f>INSTOCK!$I2977*INSTOCK!$K2977</f>
        <v>1040</v>
      </c>
      <c r="O2977" s="4"/>
      <c r="P2977" s="4"/>
    </row>
    <row r="2978" ht="15.75" hidden="1" customHeight="1">
      <c r="B2978" s="8">
        <v>3297.0</v>
      </c>
      <c r="C2978" s="9">
        <v>43605.0</v>
      </c>
      <c r="D2978" s="6" t="s">
        <v>3989</v>
      </c>
      <c r="E2978" s="4">
        <v>6.205000756E9</v>
      </c>
      <c r="F2978" s="8" t="s">
        <v>604</v>
      </c>
      <c r="G2978" s="4" t="s">
        <v>798</v>
      </c>
      <c r="H2978" s="18" t="s">
        <v>117</v>
      </c>
      <c r="I2978" s="10">
        <v>100.0</v>
      </c>
      <c r="J2978" s="11" t="str">
        <f>IF(D2978&lt;&gt;"",VLOOKUP(H2978,TABLEITEM,5,FALSE),"")</f>
        <v>EA</v>
      </c>
      <c r="K2978" s="12">
        <v>30.0</v>
      </c>
      <c r="L2978" s="13" t="str">
        <f>IF(D2978&lt;&gt;"",VLOOKUP(H2978,TABLEITEM,2,FALSE),"")</f>
        <v/>
      </c>
      <c r="M2978" s="13" t="str">
        <f>IF(D2978&lt;&gt;"",VLOOKUP(H2978,TABLEITEM,3,FALSE),"")</f>
        <v>กุญแจกลมเงิน174-03-G016-16</v>
      </c>
      <c r="N2978" s="14">
        <f>INSTOCK!$I2978*INSTOCK!$K2978</f>
        <v>3000</v>
      </c>
      <c r="O2978" s="4"/>
      <c r="P2978" s="4"/>
    </row>
    <row r="2979" ht="15.75" hidden="1" customHeight="1">
      <c r="B2979" s="8">
        <v>3298.0</v>
      </c>
      <c r="C2979" s="9">
        <v>43608.0</v>
      </c>
      <c r="D2979" s="6" t="s">
        <v>3990</v>
      </c>
      <c r="E2979" s="4">
        <v>6.205000798E9</v>
      </c>
      <c r="F2979" s="8" t="s">
        <v>807</v>
      </c>
      <c r="G2979" s="4" t="s">
        <v>808</v>
      </c>
      <c r="H2979" s="10" t="s">
        <v>809</v>
      </c>
      <c r="I2979" s="10">
        <v>1.0</v>
      </c>
      <c r="J2979" s="11" t="str">
        <f>IF(D2979&lt;&gt;"",VLOOKUP(H2979,TABLEITEM,5,FALSE),"")</f>
        <v>ท่อ</v>
      </c>
      <c r="K2979" s="12">
        <v>2700.0</v>
      </c>
      <c r="L2979" s="13" t="str">
        <f>IF(D2979&lt;&gt;"",VLOOKUP(H2979,TABLEITEM,2,FALSE),"")</f>
        <v/>
      </c>
      <c r="M2979" s="13" t="str">
        <f>IF(D2979&lt;&gt;"",VLOOKUP(H2979,TABLEITEM,3,FALSE),"")</f>
        <v>ไนโตรเจนเหลว ขนาด 100คิว</v>
      </c>
      <c r="N2979" s="14">
        <f>INSTOCK!$I2979*INSTOCK!$K2979</f>
        <v>2700</v>
      </c>
      <c r="O2979" s="4"/>
      <c r="P2979" s="4"/>
    </row>
    <row r="2980" ht="15.75" hidden="1" customHeight="1">
      <c r="B2980" s="8">
        <v>3299.0</v>
      </c>
      <c r="C2980" s="9">
        <v>43605.0</v>
      </c>
      <c r="D2980" s="6" t="s">
        <v>3991</v>
      </c>
      <c r="E2980" s="4">
        <v>6.20400064E9</v>
      </c>
      <c r="F2980" s="8" t="s">
        <v>604</v>
      </c>
      <c r="G2980" s="4" t="s">
        <v>798</v>
      </c>
      <c r="H2980" s="10" t="s">
        <v>116</v>
      </c>
      <c r="I2980" s="10">
        <v>700.0</v>
      </c>
      <c r="J2980" s="11" t="str">
        <f>IF(D2980&lt;&gt;"",VLOOKUP(H2980,TABLEITEM,5,FALSE),"")</f>
        <v>EA</v>
      </c>
      <c r="K2980" s="12">
        <v>23.0</v>
      </c>
      <c r="L2980" s="13" t="str">
        <f>IF(D2980&lt;&gt;"",VLOOKUP(H2980,TABLEITEM,2,FALSE),"")</f>
        <v/>
      </c>
      <c r="M2980" s="13" t="str">
        <f>IF(D2980&lt;&gt;"",VLOOKUP(H2980,TABLEITEM,3,FALSE),"")</f>
        <v>กุญแจกลมดำ แบบมีก้านลิ้นสั้น178-04-G-293</v>
      </c>
      <c r="N2980" s="14">
        <f>INSTOCK!$I2980*INSTOCK!$K2980</f>
        <v>16100</v>
      </c>
      <c r="O2980" s="4"/>
      <c r="P2980" s="4"/>
    </row>
    <row r="2981" ht="15.75" hidden="1" customHeight="1">
      <c r="B2981" s="8">
        <v>3300.0</v>
      </c>
      <c r="C2981" s="9">
        <v>43607.0</v>
      </c>
      <c r="D2981" s="6" t="s">
        <v>3992</v>
      </c>
      <c r="E2981" s="4">
        <v>6.205000801E9</v>
      </c>
      <c r="F2981" s="8" t="s">
        <v>604</v>
      </c>
      <c r="G2981" s="4" t="s">
        <v>1092</v>
      </c>
      <c r="H2981" s="10" t="s">
        <v>818</v>
      </c>
      <c r="I2981" s="10">
        <v>17.0</v>
      </c>
      <c r="J2981" s="11" t="str">
        <f>IF(D2981&lt;&gt;"",VLOOKUP(H2981,TABLEITEM,5,FALSE),"")</f>
        <v>ท่อ</v>
      </c>
      <c r="K2981" s="12">
        <v>280.0</v>
      </c>
      <c r="L2981" s="13" t="str">
        <f>IF(D2981&lt;&gt;"",VLOOKUP(H2981,TABLEITEM,2,FALSE),"")</f>
        <v/>
      </c>
      <c r="M2981" s="13" t="str">
        <f>IF(D2981&lt;&gt;"",VLOOKUP(H2981,TABLEITEM,3,FALSE),"")</f>
        <v>คาร์บอนไดออกไซด์ ขนาด 25 กก</v>
      </c>
      <c r="N2981" s="14">
        <f>INSTOCK!$I2981*INSTOCK!$K2981</f>
        <v>4760</v>
      </c>
      <c r="O2981" s="4"/>
      <c r="P2981" s="4"/>
    </row>
    <row r="2982" ht="15.75" hidden="1" customHeight="1">
      <c r="B2982" s="8">
        <v>3301.0</v>
      </c>
      <c r="C2982" s="9">
        <v>43607.0</v>
      </c>
      <c r="D2982" s="6" t="s">
        <v>3992</v>
      </c>
      <c r="E2982" s="4">
        <v>6.205000801E9</v>
      </c>
      <c r="F2982" s="8" t="s">
        <v>604</v>
      </c>
      <c r="G2982" s="4" t="s">
        <v>1092</v>
      </c>
      <c r="H2982" s="10" t="s">
        <v>816</v>
      </c>
      <c r="I2982" s="10">
        <v>1.0</v>
      </c>
      <c r="J2982" s="11" t="str">
        <f>IF(D2982&lt;&gt;"",VLOOKUP(H2982,TABLEITEM,5,FALSE),"")</f>
        <v>ท่อ</v>
      </c>
      <c r="K2982" s="12">
        <v>600.0</v>
      </c>
      <c r="L2982" s="13" t="str">
        <f>IF(D2982&lt;&gt;"",VLOOKUP(H2982,TABLEITEM,2,FALSE),"")</f>
        <v/>
      </c>
      <c r="M2982" s="13" t="str">
        <f>IF(D2982&lt;&gt;"",VLOOKUP(H2982,TABLEITEM,3,FALSE),"")</f>
        <v>อาร์กอน ขนาด 6คิว</v>
      </c>
      <c r="N2982" s="14">
        <f>INSTOCK!$I2982*INSTOCK!$K2982</f>
        <v>600</v>
      </c>
      <c r="O2982" s="4"/>
      <c r="P2982" s="4"/>
    </row>
    <row r="2983" ht="15.75" hidden="1" customHeight="1">
      <c r="B2983" s="8">
        <v>3302.0</v>
      </c>
      <c r="C2983" s="9">
        <v>43608.0</v>
      </c>
      <c r="D2983" s="6" t="s">
        <v>3993</v>
      </c>
      <c r="E2983" s="4">
        <v>6.205000799E9</v>
      </c>
      <c r="F2983" s="8" t="s">
        <v>3994</v>
      </c>
      <c r="G2983" s="4" t="s">
        <v>702</v>
      </c>
      <c r="H2983" s="10" t="s">
        <v>3995</v>
      </c>
      <c r="I2983" s="10">
        <v>20.0</v>
      </c>
      <c r="J2983" s="11" t="str">
        <f>IF(D2983&lt;&gt;"",VLOOKUP(H2983,TABLEITEM,5,FALSE),"")</f>
        <v>KG.</v>
      </c>
      <c r="K2983" s="12">
        <v>135.0</v>
      </c>
      <c r="L2983" s="13" t="str">
        <f>IF(D2983&lt;&gt;"",VLOOKUP(H2983,TABLEITEM,2,FALSE),"")</f>
        <v/>
      </c>
      <c r="M2983" s="13" t="str">
        <f>IF(D2983&lt;&gt;"",VLOOKUP(H2983,TABLEITEM,3,FALSE),"")</f>
        <v>สีฝุ่น FF110/305/C</v>
      </c>
      <c r="N2983" s="14">
        <f>INSTOCK!$I2983*INSTOCK!$K2983</f>
        <v>2700</v>
      </c>
      <c r="O2983" s="4"/>
      <c r="P2983" s="4"/>
    </row>
    <row r="2984" ht="15.75" hidden="1" customHeight="1">
      <c r="B2984" s="8">
        <v>3303.0</v>
      </c>
      <c r="C2984" s="9">
        <v>43608.0</v>
      </c>
      <c r="D2984" s="6" t="s">
        <v>3996</v>
      </c>
      <c r="E2984" s="4">
        <v>6.204000626E9</v>
      </c>
      <c r="F2984" s="8" t="s">
        <v>604</v>
      </c>
      <c r="G2984" s="4" t="s">
        <v>1777</v>
      </c>
      <c r="H2984" s="10" t="s">
        <v>3997</v>
      </c>
      <c r="I2984" s="10">
        <v>10000.0</v>
      </c>
      <c r="J2984" s="11" t="str">
        <f>IF(D2984&lt;&gt;"",VLOOKUP(H2984,TABLEITEM,5,FALSE),"")</f>
        <v>EA</v>
      </c>
      <c r="K2984" s="12">
        <v>0.99</v>
      </c>
      <c r="L2984" s="13" t="str">
        <f>IF(D2984&lt;&gt;"",VLOOKUP(H2984,TABLEITEM,2,FALSE),"")</f>
        <v/>
      </c>
      <c r="M2984" s="13" t="str">
        <f>IF(D2984&lt;&gt;"",VLOOKUP(H2984,TABLEITEM,3,FALSE),"")</f>
        <v>สกรูหัวติดแหวน M 6x10</v>
      </c>
      <c r="N2984" s="14">
        <f>INSTOCK!$I2984*INSTOCK!$K2984</f>
        <v>9900</v>
      </c>
      <c r="O2984" s="4" t="s">
        <v>1857</v>
      </c>
      <c r="P2984" s="4"/>
    </row>
    <row r="2985" ht="15.75" hidden="1" customHeight="1">
      <c r="B2985" s="8">
        <v>3304.0</v>
      </c>
      <c r="C2985" s="9">
        <v>43602.0</v>
      </c>
      <c r="D2985" s="6" t="s">
        <v>3998</v>
      </c>
      <c r="E2985" s="4">
        <v>6.205000757E9</v>
      </c>
      <c r="F2985" s="8" t="s">
        <v>604</v>
      </c>
      <c r="G2985" s="4" t="s">
        <v>2121</v>
      </c>
      <c r="H2985" s="10" t="s">
        <v>2122</v>
      </c>
      <c r="I2985" s="10">
        <v>300.0</v>
      </c>
      <c r="J2985" s="11" t="str">
        <f>IF(D2985&lt;&gt;"",VLOOKUP(H2985,TABLEITEM,5,FALSE),"")</f>
        <v>EA</v>
      </c>
      <c r="K2985" s="12">
        <v>30.0</v>
      </c>
      <c r="L2985" s="13" t="str">
        <f>IF(D2985&lt;&gt;"",VLOOKUP(H2985,TABLEITEM,2,FALSE),"")</f>
        <v/>
      </c>
      <c r="M2985" s="13" t="str">
        <f>IF(D2985&lt;&gt;"",VLOOKUP(H2985,TABLEITEM,3,FALSE),"")</f>
        <v>ห่วงตู้ M12 ชุบขาว</v>
      </c>
      <c r="N2985" s="14">
        <f>INSTOCK!$I2985*INSTOCK!$K2985</f>
        <v>9000</v>
      </c>
      <c r="O2985" s="4"/>
      <c r="P2985" s="4"/>
    </row>
    <row r="2986" ht="15.75" hidden="1" customHeight="1">
      <c r="B2986" s="8">
        <v>3305.0</v>
      </c>
      <c r="C2986" s="9">
        <v>43602.0</v>
      </c>
      <c r="D2986" s="6" t="s">
        <v>3999</v>
      </c>
      <c r="E2986" s="4">
        <v>6.205000749E9</v>
      </c>
      <c r="F2986" s="8" t="s">
        <v>604</v>
      </c>
      <c r="G2986" s="4" t="s">
        <v>2495</v>
      </c>
      <c r="H2986" s="10" t="s">
        <v>4000</v>
      </c>
      <c r="I2986" s="10">
        <v>200.0</v>
      </c>
      <c r="J2986" s="11" t="str">
        <f>IF(D2986&lt;&gt;"",VLOOKUP(H2986,TABLEITEM,5,FALSE),"")</f>
        <v>EA</v>
      </c>
      <c r="K2986" s="12">
        <v>1.1</v>
      </c>
      <c r="L2986" s="13" t="str">
        <f>IF(D2986&lt;&gt;"",VLOOKUP(H2986,TABLEITEM,2,FALSE),"")</f>
        <v/>
      </c>
      <c r="M2986" s="13" t="str">
        <f>IF(D2986&lt;&gt;"",VLOOKUP(H2986,TABLEITEM,3,FALSE),"")</f>
        <v>สกรูหัวจม M6x30 ชุบขาว</v>
      </c>
      <c r="N2986" s="14">
        <f>INSTOCK!$I2986*INSTOCK!$K2986</f>
        <v>220</v>
      </c>
      <c r="O2986" s="4"/>
      <c r="P2986" s="4"/>
    </row>
    <row r="2987" ht="15.75" hidden="1" customHeight="1">
      <c r="B2987" s="8">
        <v>3306.0</v>
      </c>
      <c r="C2987" s="9">
        <v>43606.0</v>
      </c>
      <c r="D2987" s="6" t="s">
        <v>4001</v>
      </c>
      <c r="E2987" s="4">
        <v>6.205000765E9</v>
      </c>
      <c r="F2987" s="8" t="s">
        <v>4002</v>
      </c>
      <c r="G2987" s="4" t="s">
        <v>1485</v>
      </c>
      <c r="H2987" s="10" t="s">
        <v>4003</v>
      </c>
      <c r="I2987" s="10">
        <v>2.0</v>
      </c>
      <c r="J2987" s="11" t="str">
        <f>IF(D2987&lt;&gt;"",VLOOKUP(H2987,TABLEITEM,5,FALSE),"")</f>
        <v>EA</v>
      </c>
      <c r="K2987" s="12">
        <v>99.4</v>
      </c>
      <c r="L2987" s="13" t="str">
        <f>IF(D2987&lt;&gt;"",VLOOKUP(H2987,TABLEITEM,2,FALSE),"")</f>
        <v/>
      </c>
      <c r="M2987" s="13" t="str">
        <f>IF(D2987&lt;&gt;"",VLOOKUP(H2987,TABLEITEM,3,FALSE),"")</f>
        <v>MCCB 1P EZC100H 50AT/100AF 25KA 220/240VAC</v>
      </c>
      <c r="N2987" s="14">
        <f>INSTOCK!$I2987*INSTOCK!$K2987</f>
        <v>198.8</v>
      </c>
      <c r="O2987" s="4"/>
      <c r="P2987" s="4"/>
    </row>
    <row r="2988" ht="15.75" hidden="1" customHeight="1">
      <c r="B2988" s="8">
        <v>3307.0</v>
      </c>
      <c r="C2988" s="9">
        <v>43606.0</v>
      </c>
      <c r="D2988" s="6" t="s">
        <v>4004</v>
      </c>
      <c r="E2988" s="4">
        <v>6.20500079E9</v>
      </c>
      <c r="F2988" s="8" t="s">
        <v>3978</v>
      </c>
      <c r="G2988" s="4" t="s">
        <v>1485</v>
      </c>
      <c r="H2988" s="10" t="s">
        <v>2755</v>
      </c>
      <c r="I2988" s="10">
        <v>1.0</v>
      </c>
      <c r="J2988" s="11" t="str">
        <f>IF(D2988&lt;&gt;"",VLOOKUP(H2988,TABLEITEM,5,FALSE),"")</f>
        <v>EA</v>
      </c>
      <c r="K2988" s="12">
        <v>3685.0</v>
      </c>
      <c r="L2988" s="13" t="str">
        <f>IF(D2988&lt;&gt;"",VLOOKUP(H2988,TABLEITEM,2,FALSE),"")</f>
        <v/>
      </c>
      <c r="M2988" s="13" t="str">
        <f>IF(D2988&lt;&gt;"",VLOOKUP(H2988,TABLEITEM,3,FALSE),"")</f>
        <v>POWER METER PM2230</v>
      </c>
      <c r="N2988" s="14">
        <f>INSTOCK!$I2988*INSTOCK!$K2988</f>
        <v>3685</v>
      </c>
      <c r="O2988" s="4" t="s">
        <v>4005</v>
      </c>
      <c r="P2988" s="4"/>
    </row>
    <row r="2989" ht="15.75" hidden="1" customHeight="1">
      <c r="B2989" s="8">
        <v>3308.0</v>
      </c>
      <c r="C2989" s="9">
        <v>43607.0</v>
      </c>
      <c r="D2989" s="6" t="s">
        <v>4006</v>
      </c>
      <c r="E2989" s="4">
        <v>6.205000792E9</v>
      </c>
      <c r="F2989" s="8" t="s">
        <v>3912</v>
      </c>
      <c r="G2989" s="4" t="s">
        <v>2350</v>
      </c>
      <c r="H2989" s="10" t="s">
        <v>2538</v>
      </c>
      <c r="I2989" s="10">
        <v>200.0</v>
      </c>
      <c r="J2989" s="11" t="str">
        <f>IF(D2989&lt;&gt;"",VLOOKUP(H2989,TABLEITEM,5,FALSE),"")</f>
        <v>KG.</v>
      </c>
      <c r="K2989" s="12">
        <v>122.0</v>
      </c>
      <c r="L2989" s="13" t="str">
        <f>IF(D2989&lt;&gt;"",VLOOKUP(H2989,TABLEITEM,2,FALSE),"")</f>
        <v/>
      </c>
      <c r="M2989" s="13" t="str">
        <f>IF(D2989&lt;&gt;"",VLOOKUP(H2989,TABLEITEM,3,FALSE),"")</f>
        <v>สีฝุ่น P0001A  สีขาว </v>
      </c>
      <c r="N2989" s="14">
        <f>INSTOCK!$I2989*INSTOCK!$K2989</f>
        <v>24400</v>
      </c>
      <c r="O2989" s="4"/>
      <c r="P2989" s="4"/>
    </row>
    <row r="2990" ht="15.75" hidden="1" customHeight="1">
      <c r="B2990" s="8">
        <v>3309.0</v>
      </c>
      <c r="C2990" s="9">
        <v>43607.0</v>
      </c>
      <c r="D2990" s="6" t="s">
        <v>4006</v>
      </c>
      <c r="E2990" s="4">
        <v>6.205000792E9</v>
      </c>
      <c r="F2990" s="8" t="s">
        <v>3912</v>
      </c>
      <c r="G2990" s="4" t="s">
        <v>2350</v>
      </c>
      <c r="H2990" s="10" t="s">
        <v>2537</v>
      </c>
      <c r="I2990" s="10">
        <v>200.0</v>
      </c>
      <c r="J2990" s="11" t="str">
        <f>IF(D2990&lt;&gt;"",VLOOKUP(H2990,TABLEITEM,5,FALSE),"")</f>
        <v>KG.</v>
      </c>
      <c r="K2990" s="12">
        <v>122.0</v>
      </c>
      <c r="L2990" s="13" t="str">
        <f>IF(D2990&lt;&gt;"",VLOOKUP(H2990,TABLEITEM,2,FALSE),"")</f>
        <v/>
      </c>
      <c r="M2990" s="13" t="str">
        <f>IF(D2990&lt;&gt;"",VLOOKUP(H2990,TABLEITEM,3,FALSE),"")</f>
        <v>สีฝุ่น L4001  สีส้มภายนอก P2049A</v>
      </c>
      <c r="N2990" s="14">
        <f>INSTOCK!$I2990*INSTOCK!$K2990</f>
        <v>24400</v>
      </c>
      <c r="O2990" s="4"/>
      <c r="P2990" s="4"/>
    </row>
    <row r="2991" ht="15.75" hidden="1" customHeight="1">
      <c r="B2991" s="8">
        <v>3310.0</v>
      </c>
      <c r="C2991" s="9">
        <v>43606.0</v>
      </c>
      <c r="D2991" s="6" t="s">
        <v>4004</v>
      </c>
      <c r="E2991" s="4">
        <v>6.20500079E9</v>
      </c>
      <c r="F2991" s="8" t="s">
        <v>3978</v>
      </c>
      <c r="G2991" s="4" t="s">
        <v>1485</v>
      </c>
      <c r="H2991" s="10" t="s">
        <v>2967</v>
      </c>
      <c r="I2991" s="10">
        <v>1.0</v>
      </c>
      <c r="J2991" s="11" t="str">
        <f>IF(D2991&lt;&gt;"",VLOOKUP(H2991,TABLEITEM,5,FALSE),"")</f>
        <v>EA</v>
      </c>
      <c r="K2991" s="12">
        <v>2160.7</v>
      </c>
      <c r="L2991" s="13" t="str">
        <f>IF(D2991&lt;&gt;"",VLOOKUP(H2991,TABLEITEM,2,FALSE),"")</f>
        <v/>
      </c>
      <c r="M2991" s="13" t="str">
        <f>IF(D2991&lt;&gt;"",VLOOKUP(H2991,TABLEITEM,3,FALSE),"")</f>
        <v>MCCB CVS250B TM200D 3P3D 380/415 VAC 25KA</v>
      </c>
      <c r="N2991" s="14">
        <f>INSTOCK!$I2991*INSTOCK!$K2991</f>
        <v>2160.7</v>
      </c>
      <c r="O2991" s="4" t="s">
        <v>4007</v>
      </c>
      <c r="P2991" s="4"/>
    </row>
    <row r="2992" ht="15.75" hidden="1" customHeight="1">
      <c r="B2992" s="8">
        <v>3311.0</v>
      </c>
      <c r="C2992" s="9">
        <v>43606.0</v>
      </c>
      <c r="D2992" s="6" t="s">
        <v>4004</v>
      </c>
      <c r="E2992" s="4">
        <v>6.20500079E9</v>
      </c>
      <c r="F2992" s="8" t="s">
        <v>3978</v>
      </c>
      <c r="G2992" s="4" t="s">
        <v>1485</v>
      </c>
      <c r="H2992" s="10" t="s">
        <v>2965</v>
      </c>
      <c r="I2992" s="10">
        <v>2.0</v>
      </c>
      <c r="J2992" s="11" t="str">
        <f>IF(D2992&lt;&gt;"",VLOOKUP(H2992,TABLEITEM,5,FALSE),"")</f>
        <v>EA</v>
      </c>
      <c r="K2992" s="12">
        <v>1279.2</v>
      </c>
      <c r="L2992" s="13" t="str">
        <f>IF(D2992&lt;&gt;"",VLOOKUP(H2992,TABLEITEM,2,FALSE),"")</f>
        <v/>
      </c>
      <c r="M2992" s="13" t="str">
        <f>IF(D2992&lt;&gt;"",VLOOKUP(H2992,TABLEITEM,3,FALSE),"")</f>
        <v>MCCB CVS100B TM32D 3P3D 380/415 VAC 25KA</v>
      </c>
      <c r="N2992" s="14">
        <f>INSTOCK!$I2992*INSTOCK!$K2992</f>
        <v>2558.4</v>
      </c>
      <c r="O2992" s="4" t="s">
        <v>4008</v>
      </c>
      <c r="P2992" s="4"/>
    </row>
    <row r="2993" ht="15.75" hidden="1" customHeight="1">
      <c r="B2993" s="8">
        <v>3312.0</v>
      </c>
      <c r="C2993" s="9">
        <v>43606.0</v>
      </c>
      <c r="D2993" s="6" t="s">
        <v>4004</v>
      </c>
      <c r="E2993" s="4">
        <v>6.20500079E9</v>
      </c>
      <c r="F2993" s="8" t="s">
        <v>3978</v>
      </c>
      <c r="G2993" s="4" t="s">
        <v>1485</v>
      </c>
      <c r="H2993" s="10" t="s">
        <v>2964</v>
      </c>
      <c r="I2993" s="10">
        <v>2.0</v>
      </c>
      <c r="J2993" s="11" t="str">
        <f>IF(D2993&lt;&gt;"",VLOOKUP(H2993,TABLEITEM,5,FALSE),"")</f>
        <v>EA</v>
      </c>
      <c r="K2993" s="12">
        <v>1279.2</v>
      </c>
      <c r="L2993" s="13" t="str">
        <f>IF(D2993&lt;&gt;"",VLOOKUP(H2993,TABLEITEM,2,FALSE),"")</f>
        <v/>
      </c>
      <c r="M2993" s="13" t="str">
        <f>IF(D2993&lt;&gt;"",VLOOKUP(H2993,TABLEITEM,3,FALSE),"")</f>
        <v>MCCB CVS100B TM50D 3P3D 380/415 VAC 25KA</v>
      </c>
      <c r="N2993" s="14">
        <f>INSTOCK!$I2993*INSTOCK!$K2993</f>
        <v>2558.4</v>
      </c>
      <c r="O2993" s="4" t="s">
        <v>4008</v>
      </c>
      <c r="P2993" s="4"/>
    </row>
    <row r="2994" ht="15.75" hidden="1" customHeight="1">
      <c r="B2994" s="8">
        <v>3313.0</v>
      </c>
      <c r="C2994" s="9">
        <v>43606.0</v>
      </c>
      <c r="D2994" s="6" t="s">
        <v>4004</v>
      </c>
      <c r="E2994" s="4">
        <v>6.20500079E9</v>
      </c>
      <c r="F2994" s="8" t="s">
        <v>3978</v>
      </c>
      <c r="G2994" s="4" t="s">
        <v>1485</v>
      </c>
      <c r="H2994" s="10" t="s">
        <v>2963</v>
      </c>
      <c r="I2994" s="10">
        <v>2.0</v>
      </c>
      <c r="J2994" s="11" t="str">
        <f>IF(D2994&lt;&gt;"",VLOOKUP(H2994,TABLEITEM,5,FALSE),"")</f>
        <v>EA</v>
      </c>
      <c r="K2994" s="12">
        <v>1279.2</v>
      </c>
      <c r="L2994" s="13" t="str">
        <f>IF(D2994&lt;&gt;"",VLOOKUP(H2994,TABLEITEM,2,FALSE),"")</f>
        <v/>
      </c>
      <c r="M2994" s="13" t="str">
        <f>IF(D2994&lt;&gt;"",VLOOKUP(H2994,TABLEITEM,3,FALSE),"")</f>
        <v>MCCB CVS100B TM800D 3P3D 380/415 VAC 25KA</v>
      </c>
      <c r="N2994" s="14">
        <f>INSTOCK!$I2994*INSTOCK!$K2994</f>
        <v>2558.4</v>
      </c>
      <c r="O2994" s="4" t="s">
        <v>4008</v>
      </c>
      <c r="P2994" s="4"/>
    </row>
    <row r="2995" ht="15.75" hidden="1" customHeight="1">
      <c r="B2995" s="8">
        <v>3314.0</v>
      </c>
      <c r="C2995" s="9">
        <v>43606.0</v>
      </c>
      <c r="D2995" s="6" t="s">
        <v>4004</v>
      </c>
      <c r="E2995" s="4">
        <v>6.20500079E9</v>
      </c>
      <c r="F2995" s="8" t="s">
        <v>3978</v>
      </c>
      <c r="G2995" s="4" t="s">
        <v>1485</v>
      </c>
      <c r="H2995" s="10" t="s">
        <v>4009</v>
      </c>
      <c r="I2995" s="10">
        <v>2.0</v>
      </c>
      <c r="J2995" s="11" t="str">
        <f>IF(D2995&lt;&gt;"",VLOOKUP(H2995,TABLEITEM,5,FALSE),"")</f>
        <v>EA</v>
      </c>
      <c r="K2995" s="12">
        <v>1279.2</v>
      </c>
      <c r="L2995" s="13" t="str">
        <f>IF(D2995&lt;&gt;"",VLOOKUP(H2995,TABLEITEM,2,FALSE),"")</f>
        <v/>
      </c>
      <c r="M2995" s="13" t="str">
        <f>IF(D2995&lt;&gt;"",VLOOKUP(H2995,TABLEITEM,3,FALSE),"")</f>
        <v>MCCB CVS100B TMD 3P 100A</v>
      </c>
      <c r="N2995" s="14">
        <f>INSTOCK!$I2995*INSTOCK!$K2995</f>
        <v>2558.4</v>
      </c>
      <c r="O2995" s="4" t="s">
        <v>4008</v>
      </c>
      <c r="P2995" s="4"/>
    </row>
    <row r="2996" ht="15.75" hidden="1" customHeight="1">
      <c r="B2996" s="8">
        <v>3315.0</v>
      </c>
      <c r="C2996" s="9">
        <v>43606.0</v>
      </c>
      <c r="D2996" s="6" t="s">
        <v>4004</v>
      </c>
      <c r="E2996" s="4">
        <v>6.20500079E9</v>
      </c>
      <c r="F2996" s="8" t="s">
        <v>3978</v>
      </c>
      <c r="G2996" s="4" t="s">
        <v>1485</v>
      </c>
      <c r="H2996" s="10" t="s">
        <v>4010</v>
      </c>
      <c r="I2996" s="10">
        <v>1.0</v>
      </c>
      <c r="J2996" s="11" t="str">
        <f>IF(D2996&lt;&gt;"",VLOOKUP(H2996,TABLEITEM,5,FALSE),"")</f>
        <v>EA</v>
      </c>
      <c r="K2996" s="12">
        <v>1111.1</v>
      </c>
      <c r="L2996" s="13" t="str">
        <f>IF(D2996&lt;&gt;"",VLOOKUP(H2996,TABLEITEM,2,FALSE),"")</f>
        <v/>
      </c>
      <c r="M2996" s="13" t="str">
        <f>IF(D2996&lt;&gt;"",VLOOKUP(H2996,TABLEITEM,3,FALSE),"")</f>
        <v>UNDERVOLTAGE RELEASE(MN)220-240VAC 50/60HZ FOR NXS,CVS</v>
      </c>
      <c r="N2996" s="14">
        <f>INSTOCK!$I2996*INSTOCK!$K2996</f>
        <v>1111.1</v>
      </c>
      <c r="O2996" s="4" t="s">
        <v>4011</v>
      </c>
      <c r="P2996" s="4"/>
    </row>
    <row r="2997" ht="15.75" hidden="1" customHeight="1">
      <c r="B2997" s="8">
        <v>3316.0</v>
      </c>
      <c r="C2997" s="9">
        <v>43606.0</v>
      </c>
      <c r="D2997" s="6" t="s">
        <v>4012</v>
      </c>
      <c r="E2997" s="4">
        <v>6.205000765E9</v>
      </c>
      <c r="F2997" s="8" t="s">
        <v>3938</v>
      </c>
      <c r="G2997" s="4" t="s">
        <v>1485</v>
      </c>
      <c r="H2997" s="10" t="s">
        <v>4013</v>
      </c>
      <c r="I2997" s="10">
        <v>1.0</v>
      </c>
      <c r="J2997" s="11" t="str">
        <f>IF(D2997&lt;&gt;"",VLOOKUP(H2997,TABLEITEM,5,FALSE),"")</f>
        <v>EA</v>
      </c>
      <c r="K2997" s="12">
        <v>4522.0</v>
      </c>
      <c r="L2997" s="13" t="str">
        <f>IF(D2997&lt;&gt;"",VLOOKUP(H2997,TABLEITEM,2,FALSE),"")</f>
        <v/>
      </c>
      <c r="M2997" s="13" t="str">
        <f>IF(D2997&lt;&gt;"",VLOOKUP(H2997,TABLEITEM,3,FALSE),"")</f>
        <v>MCCB 3P EZC250N 200AT/250AF 25KA 415VAC</v>
      </c>
      <c r="N2997" s="14">
        <f>INSTOCK!$I2997*INSTOCK!$K2997</f>
        <v>4522</v>
      </c>
      <c r="O2997" s="4"/>
      <c r="P2997" s="4"/>
    </row>
    <row r="2998" ht="15.75" hidden="1" customHeight="1">
      <c r="B2998" s="8">
        <v>3317.0</v>
      </c>
      <c r="C2998" s="9">
        <v>43606.0</v>
      </c>
      <c r="D2998" s="6" t="s">
        <v>4012</v>
      </c>
      <c r="E2998" s="4">
        <v>6.205000765E9</v>
      </c>
      <c r="F2998" s="8" t="s">
        <v>3938</v>
      </c>
      <c r="G2998" s="4" t="s">
        <v>1485</v>
      </c>
      <c r="H2998" s="10" t="s">
        <v>4014</v>
      </c>
      <c r="I2998" s="10">
        <v>2.0</v>
      </c>
      <c r="J2998" s="11" t="str">
        <f>IF(D2998&lt;&gt;"",VLOOKUP(H2998,TABLEITEM,5,FALSE),"")</f>
        <v>EA</v>
      </c>
      <c r="K2998" s="12">
        <v>1732.8</v>
      </c>
      <c r="L2998" s="13" t="str">
        <f>IF(D2998&lt;&gt;"",VLOOKUP(H2998,TABLEITEM,2,FALSE),"")</f>
        <v/>
      </c>
      <c r="M2998" s="13" t="str">
        <f>IF(D2998&lt;&gt;"",VLOOKUP(H2998,TABLEITEM,3,FALSE),"")</f>
        <v>MCCB 3P EZC100F 100AT/100AF 10KA 415VAC</v>
      </c>
      <c r="N2998" s="14">
        <f>INSTOCK!$I2998*INSTOCK!$K2998</f>
        <v>3465.6</v>
      </c>
      <c r="O2998" s="4"/>
      <c r="P2998" s="4"/>
    </row>
    <row r="2999" ht="15.75" hidden="1" customHeight="1">
      <c r="B2999" s="8">
        <v>3318.0</v>
      </c>
      <c r="C2999" s="9">
        <v>43606.0</v>
      </c>
      <c r="D2999" s="6" t="s">
        <v>4012</v>
      </c>
      <c r="E2999" s="4">
        <v>6.205000765E9</v>
      </c>
      <c r="F2999" s="8" t="s">
        <v>3938</v>
      </c>
      <c r="G2999" s="4" t="s">
        <v>1485</v>
      </c>
      <c r="H2999" s="10" t="s">
        <v>4015</v>
      </c>
      <c r="I2999" s="10">
        <v>1.0</v>
      </c>
      <c r="J2999" s="11" t="str">
        <f>IF(D2999&lt;&gt;"",VLOOKUP(H2999,TABLEITEM,5,FALSE),"")</f>
        <v>EA</v>
      </c>
      <c r="K2999" s="12">
        <v>2014.0</v>
      </c>
      <c r="L2999" s="13" t="str">
        <f>IF(D2999&lt;&gt;"",VLOOKUP(H2999,TABLEITEM,2,FALSE),"")</f>
        <v/>
      </c>
      <c r="M2999" s="13" t="str">
        <f>IF(D2999&lt;&gt;"",VLOOKUP(H2999,TABLEITEM,3,FALSE),"")</f>
        <v>MCCB 3P EZC100N 50AT/100AF 15KA 415VAC</v>
      </c>
      <c r="N2999" s="14">
        <f>INSTOCK!$I2999*INSTOCK!$K2999</f>
        <v>2014</v>
      </c>
      <c r="O2999" s="4"/>
      <c r="P2999" s="4"/>
    </row>
    <row r="3000" ht="15.75" hidden="1" customHeight="1">
      <c r="B3000" s="8">
        <v>3319.0</v>
      </c>
      <c r="C3000" s="9">
        <v>43606.0</v>
      </c>
      <c r="D3000" s="6" t="s">
        <v>4012</v>
      </c>
      <c r="E3000" s="4">
        <v>6.205000765E9</v>
      </c>
      <c r="F3000" s="8" t="s">
        <v>3938</v>
      </c>
      <c r="G3000" s="4" t="s">
        <v>1485</v>
      </c>
      <c r="H3000" s="10" t="s">
        <v>4016</v>
      </c>
      <c r="I3000" s="10">
        <v>1.0</v>
      </c>
      <c r="J3000" s="11" t="str">
        <f>IF(D3000&lt;&gt;"",VLOOKUP(H3000,TABLEITEM,5,FALSE),"")</f>
        <v>EA</v>
      </c>
      <c r="K3000" s="12">
        <v>3043.8</v>
      </c>
      <c r="L3000" s="13" t="str">
        <f>IF(D3000&lt;&gt;"",VLOOKUP(H3000,TABLEITEM,2,FALSE),"")</f>
        <v/>
      </c>
      <c r="M3000" s="13" t="str">
        <f>IF(D3000&lt;&gt;"",VLOOKUP(H3000,TABLEITEM,3,FALSE),"")</f>
        <v>MCCB 3P EZC250F 160AT/250AF 18KA 415VAC</v>
      </c>
      <c r="N3000" s="14">
        <f>INSTOCK!$I3000*INSTOCK!$K3000</f>
        <v>3043.8</v>
      </c>
      <c r="O3000" s="4"/>
      <c r="P3000" s="4"/>
    </row>
    <row r="3001" ht="15.75" hidden="1" customHeight="1">
      <c r="B3001" s="8">
        <v>3320.0</v>
      </c>
      <c r="C3001" s="9">
        <v>43575.0</v>
      </c>
      <c r="D3001" s="6" t="s">
        <v>4017</v>
      </c>
      <c r="E3001" s="4"/>
      <c r="F3001" s="8" t="s">
        <v>2932</v>
      </c>
      <c r="G3001" s="4" t="s">
        <v>2860</v>
      </c>
      <c r="H3001" s="10" t="s">
        <v>2268</v>
      </c>
      <c r="I3001" s="10">
        <v>1.0</v>
      </c>
      <c r="J3001" s="11" t="str">
        <f>IF(D3001&lt;&gt;"",VLOOKUP(H3001,TABLEITEM,5,FALSE),"")</f>
        <v>LIT</v>
      </c>
      <c r="K3001" s="12">
        <v>500.0</v>
      </c>
      <c r="L3001" s="13" t="str">
        <f>IF(D3001&lt;&gt;"",VLOOKUP(H3001,TABLEITEM,2,FALSE),"")</f>
        <v/>
      </c>
      <c r="M3001" s="13" t="str">
        <f>IF(D3001&lt;&gt;"",VLOOKUP(H3001,TABLEITEM,3,FALSE),"")</f>
        <v>สีพ่นแห้งเร็ว(สีผสม)</v>
      </c>
      <c r="N3001" s="14">
        <f>INSTOCK!$I3001*INSTOCK!$K3001</f>
        <v>500</v>
      </c>
      <c r="O3001" s="4"/>
      <c r="P3001" s="4"/>
    </row>
    <row r="3002" ht="15.75" hidden="1" customHeight="1">
      <c r="B3002" s="8">
        <v>3321.0</v>
      </c>
      <c r="C3002" s="9">
        <v>43602.0</v>
      </c>
      <c r="D3002" s="6">
        <v>6.20504803E8</v>
      </c>
      <c r="E3002" s="4">
        <v>6.205000779E9</v>
      </c>
      <c r="F3002" s="8" t="s">
        <v>604</v>
      </c>
      <c r="G3002" s="4" t="s">
        <v>1130</v>
      </c>
      <c r="H3002" s="10" t="s">
        <v>1728</v>
      </c>
      <c r="I3002" s="10">
        <v>20.0</v>
      </c>
      <c r="J3002" s="11" t="str">
        <f>IF(D3002&lt;&gt;"",VLOOKUP(H3002,TABLEITEM,5,FALSE),"")</f>
        <v>EA</v>
      </c>
      <c r="K3002" s="12">
        <v>133.0</v>
      </c>
      <c r="L3002" s="13" t="str">
        <f>IF(D3002&lt;&gt;"",VLOOKUP(H3002,TABLEITEM,2,FALSE),"")</f>
        <v/>
      </c>
      <c r="M3002" s="13" t="str">
        <f>IF(D3002&lt;&gt;"",VLOOKUP(H3002,TABLEITEM,3,FALSE),"")</f>
        <v>Relay MY4N-GS 220/240VAC </v>
      </c>
      <c r="N3002" s="14">
        <f>INSTOCK!$I3002*INSTOCK!$K3002</f>
        <v>2660</v>
      </c>
      <c r="O3002" s="4"/>
      <c r="P3002" s="4"/>
    </row>
    <row r="3003" ht="15.75" hidden="1" customHeight="1">
      <c r="B3003" s="8">
        <v>3322.0</v>
      </c>
      <c r="C3003" s="9">
        <v>43608.0</v>
      </c>
      <c r="D3003" s="6" t="s">
        <v>4018</v>
      </c>
      <c r="E3003" s="4">
        <v>6.205000809E9</v>
      </c>
      <c r="F3003" s="8" t="s">
        <v>4019</v>
      </c>
      <c r="G3003" s="4" t="s">
        <v>965</v>
      </c>
      <c r="H3003" s="10" t="s">
        <v>4020</v>
      </c>
      <c r="I3003" s="10">
        <v>1.0</v>
      </c>
      <c r="J3003" s="11" t="str">
        <f>IF(D3003&lt;&gt;"",VLOOKUP(H3003,TABLEITEM,5,FALSE),"")</f>
        <v>EA</v>
      </c>
      <c r="K3003" s="12">
        <v>320.0</v>
      </c>
      <c r="L3003" s="13" t="str">
        <f>IF(D3003&lt;&gt;"",VLOOKUP(H3003,TABLEITEM,2,FALSE),"")</f>
        <v/>
      </c>
      <c r="M3003" s="13" t="str">
        <f>IF(D3003&lt;&gt;"",VLOOKUP(H3003,TABLEITEM,3,FALSE),"")</f>
        <v>อะไหล่ชักโครก</v>
      </c>
      <c r="N3003" s="14">
        <f>INSTOCK!$I3003*INSTOCK!$K3003</f>
        <v>320</v>
      </c>
      <c r="O3003" s="4"/>
      <c r="P3003" s="4"/>
    </row>
    <row r="3004" ht="15.75" hidden="1" customHeight="1">
      <c r="B3004" s="8">
        <v>3323.0</v>
      </c>
      <c r="C3004" s="9">
        <v>43605.0</v>
      </c>
      <c r="D3004" s="6" t="s">
        <v>4021</v>
      </c>
      <c r="E3004" s="4">
        <v>6.205000782E9</v>
      </c>
      <c r="F3004" s="8" t="s">
        <v>604</v>
      </c>
      <c r="G3004" s="4" t="s">
        <v>965</v>
      </c>
      <c r="H3004" s="18" t="s">
        <v>51</v>
      </c>
      <c r="I3004" s="10">
        <v>50.0</v>
      </c>
      <c r="J3004" s="11" t="str">
        <f>IF(D3004&lt;&gt;"",VLOOKUP(H3004,TABLEITEM,5,FALSE),"")</f>
        <v>EA</v>
      </c>
      <c r="K3004" s="12">
        <v>18.0</v>
      </c>
      <c r="L3004" s="13" t="str">
        <f>IF(D3004&lt;&gt;"",VLOOKUP(H3004,TABLEITEM,2,FALSE),"")</f>
        <v/>
      </c>
      <c r="M3004" s="13" t="str">
        <f>IF(D3004&lt;&gt;"",VLOOKUP(H3004,TABLEITEM,3,FALSE),"")</f>
        <v>กระดาษกาวนิตโต้</v>
      </c>
      <c r="N3004" s="14">
        <f>INSTOCK!$I3004*INSTOCK!$K3004</f>
        <v>900</v>
      </c>
      <c r="O3004" s="4"/>
      <c r="P3004" s="4"/>
    </row>
    <row r="3005" ht="15.75" hidden="1" customHeight="1">
      <c r="B3005" s="8">
        <v>3324.0</v>
      </c>
      <c r="C3005" s="9">
        <v>43607.0</v>
      </c>
      <c r="D3005" s="6">
        <v>38704.0</v>
      </c>
      <c r="E3005" s="4">
        <v>6.205000783E9</v>
      </c>
      <c r="F3005" s="8" t="s">
        <v>604</v>
      </c>
      <c r="G3005" s="4" t="s">
        <v>696</v>
      </c>
      <c r="H3005" s="10" t="s">
        <v>2729</v>
      </c>
      <c r="I3005" s="10">
        <v>72.0</v>
      </c>
      <c r="J3005" s="11" t="str">
        <f>IF(D3005&lt;&gt;"",VLOOKUP(H3005,TABLEITEM,5,FALSE),"")</f>
        <v>EA</v>
      </c>
      <c r="K3005" s="12">
        <v>24.0</v>
      </c>
      <c r="L3005" s="13" t="str">
        <f>IF(D3005&lt;&gt;"",VLOOKUP(H3005,TABLEITEM,2,FALSE),"")</f>
        <v/>
      </c>
      <c r="M3005" s="13" t="str">
        <f>IF(D3005&lt;&gt;"",VLOOKUP(H3005,TABLEITEM,3,FALSE),"")</f>
        <v>กระดาษกาวย่น INTER ขนาด 1"x45 หลา</v>
      </c>
      <c r="N3005" s="14">
        <f>INSTOCK!$I3005*INSTOCK!$K3005</f>
        <v>1728</v>
      </c>
      <c r="O3005" s="4"/>
      <c r="P3005" s="4"/>
    </row>
    <row r="3006" ht="15.75" hidden="1" customHeight="1">
      <c r="B3006" s="8">
        <v>3325.0</v>
      </c>
      <c r="C3006" s="9">
        <v>43607.0</v>
      </c>
      <c r="D3006" s="6">
        <v>38704.0</v>
      </c>
      <c r="E3006" s="4">
        <v>6.205000783E9</v>
      </c>
      <c r="F3006" s="8" t="s">
        <v>604</v>
      </c>
      <c r="G3006" s="4" t="s">
        <v>696</v>
      </c>
      <c r="H3006" s="10" t="s">
        <v>2730</v>
      </c>
      <c r="I3006" s="10">
        <v>24.0</v>
      </c>
      <c r="J3006" s="11" t="str">
        <f>IF(D3006&lt;&gt;"",VLOOKUP(H3006,TABLEITEM,5,FALSE),"")</f>
        <v>EA</v>
      </c>
      <c r="K3006" s="12">
        <v>46.0</v>
      </c>
      <c r="L3006" s="13" t="str">
        <f>IF(D3006&lt;&gt;"",VLOOKUP(H3006,TABLEITEM,2,FALSE),"")</f>
        <v/>
      </c>
      <c r="M3006" s="13" t="str">
        <f>IF(D3006&lt;&gt;"",VLOOKUP(H3006,TABLEITEM,3,FALSE),"")</f>
        <v>กระดาษกาวย่น INTER ขนาด 2"x45 หลา</v>
      </c>
      <c r="N3006" s="14">
        <f>INSTOCK!$I3006*INSTOCK!$K3006</f>
        <v>1104</v>
      </c>
      <c r="O3006" s="4"/>
      <c r="P3006" s="4"/>
    </row>
    <row r="3007" ht="15.75" hidden="1" customHeight="1">
      <c r="B3007" s="8">
        <v>3326.0</v>
      </c>
      <c r="C3007" s="9">
        <v>43602.0</v>
      </c>
      <c r="D3007" s="6">
        <v>38652.0</v>
      </c>
      <c r="E3007" s="4">
        <v>6.205000775E9</v>
      </c>
      <c r="F3007" s="8" t="s">
        <v>604</v>
      </c>
      <c r="G3007" s="4" t="s">
        <v>696</v>
      </c>
      <c r="H3007" s="10" t="s">
        <v>4022</v>
      </c>
      <c r="I3007" s="10">
        <v>1.0</v>
      </c>
      <c r="J3007" s="11" t="str">
        <f>IF(D3007&lt;&gt;"",VLOOKUP(H3007,TABLEITEM,5,FALSE),"")</f>
        <v>EA</v>
      </c>
      <c r="K3007" s="12">
        <v>55.0</v>
      </c>
      <c r="L3007" s="13" t="str">
        <f>IF(D3007&lt;&gt;"",VLOOKUP(H3007,TABLEITEM,2,FALSE),"")</f>
        <v/>
      </c>
      <c r="M3007" s="13" t="str">
        <f>IF(D3007&lt;&gt;"",VLOOKUP(H3007,TABLEITEM,3,FALSE),"")</f>
        <v>ประแจแหวนปากตาย #8x10 </v>
      </c>
      <c r="N3007" s="14">
        <f>INSTOCK!$I3007*INSTOCK!$K3007</f>
        <v>55</v>
      </c>
      <c r="O3007" s="4"/>
      <c r="P3007" s="4"/>
    </row>
    <row r="3008" ht="15.75" hidden="1" customHeight="1">
      <c r="B3008" s="8">
        <v>3327.0</v>
      </c>
      <c r="C3008" s="9">
        <v>43602.0</v>
      </c>
      <c r="D3008" s="6">
        <v>38652.0</v>
      </c>
      <c r="E3008" s="4">
        <v>6.205000775E9</v>
      </c>
      <c r="F3008" s="8" t="s">
        <v>604</v>
      </c>
      <c r="G3008" s="4" t="s">
        <v>696</v>
      </c>
      <c r="H3008" s="10" t="s">
        <v>4023</v>
      </c>
      <c r="I3008" s="10">
        <v>1.0</v>
      </c>
      <c r="J3008" s="11" t="str">
        <f>IF(D3008&lt;&gt;"",VLOOKUP(H3008,TABLEITEM,5,FALSE),"")</f>
        <v>EA</v>
      </c>
      <c r="K3008" s="12">
        <v>94.0</v>
      </c>
      <c r="L3008" s="13" t="str">
        <f>IF(D3008&lt;&gt;"",VLOOKUP(H3008,TABLEITEM,2,FALSE),"")</f>
        <v/>
      </c>
      <c r="M3008" s="13" t="str">
        <f>IF(D3008&lt;&gt;"",VLOOKUP(H3008,TABLEITEM,3,FALSE),"")</f>
        <v>ไขควงปากแฉก #2</v>
      </c>
      <c r="N3008" s="14">
        <f>INSTOCK!$I3008*INSTOCK!$K3008</f>
        <v>94</v>
      </c>
      <c r="O3008" s="4"/>
      <c r="P3008" s="4"/>
    </row>
    <row r="3009" ht="15.75" hidden="1" customHeight="1">
      <c r="B3009" s="8">
        <v>3328.0</v>
      </c>
      <c r="C3009" s="9">
        <v>43602.0</v>
      </c>
      <c r="D3009" s="6">
        <v>38652.0</v>
      </c>
      <c r="E3009" s="4">
        <v>6.205000775E9</v>
      </c>
      <c r="F3009" s="8" t="s">
        <v>604</v>
      </c>
      <c r="G3009" s="4" t="s">
        <v>696</v>
      </c>
      <c r="H3009" s="10" t="s">
        <v>4024</v>
      </c>
      <c r="I3009" s="10">
        <v>1.0</v>
      </c>
      <c r="J3009" s="11" t="str">
        <f>IF(D3009&lt;&gt;"",VLOOKUP(H3009,TABLEITEM,5,FALSE),"")</f>
        <v>EA</v>
      </c>
      <c r="K3009" s="12">
        <v>92.0</v>
      </c>
      <c r="L3009" s="13" t="str">
        <f>IF(D3009&lt;&gt;"",VLOOKUP(H3009,TABLEITEM,2,FALSE),"")</f>
        <v/>
      </c>
      <c r="M3009" s="13" t="str">
        <f>IF(D3009&lt;&gt;"",VLOOKUP(H3009,TABLEITEM,3,FALSE),"")</f>
        <v>ไขควงปากแบน #6</v>
      </c>
      <c r="N3009" s="14">
        <f>INSTOCK!$I3009*INSTOCK!$K3009</f>
        <v>92</v>
      </c>
      <c r="O3009" s="4"/>
      <c r="P3009" s="4"/>
    </row>
    <row r="3010" ht="15.75" hidden="1" customHeight="1">
      <c r="B3010" s="8">
        <v>3329.0</v>
      </c>
      <c r="C3010" s="9">
        <v>43602.0</v>
      </c>
      <c r="D3010" s="6">
        <v>38652.0</v>
      </c>
      <c r="E3010" s="4">
        <v>6.205000775E9</v>
      </c>
      <c r="F3010" s="8" t="s">
        <v>604</v>
      </c>
      <c r="G3010" s="4" t="s">
        <v>696</v>
      </c>
      <c r="H3010" s="10" t="s">
        <v>4025</v>
      </c>
      <c r="I3010" s="10">
        <v>2.0</v>
      </c>
      <c r="J3010" s="11" t="str">
        <f>IF(D3010&lt;&gt;"",VLOOKUP(H3010,TABLEITEM,5,FALSE),"")</f>
        <v>EA</v>
      </c>
      <c r="K3010" s="12">
        <v>18.0</v>
      </c>
      <c r="L3010" s="13" t="str">
        <f>IF(D3010&lt;&gt;"",VLOOKUP(H3010,TABLEITEM,2,FALSE),"")</f>
        <v/>
      </c>
      <c r="M3010" s="13" t="str">
        <f>IF(D3010&lt;&gt;"",VLOOKUP(H3010,TABLEITEM,3,FALSE),"")</f>
        <v>เกียงโป๊วสี ขนาด 2"</v>
      </c>
      <c r="N3010" s="14">
        <f>INSTOCK!$I3010*INSTOCK!$K3010</f>
        <v>36</v>
      </c>
      <c r="O3010" s="4"/>
      <c r="P3010" s="4"/>
    </row>
    <row r="3011" ht="15.75" hidden="1" customHeight="1">
      <c r="B3011" s="8">
        <v>3330.0</v>
      </c>
      <c r="C3011" s="9">
        <v>43602.0</v>
      </c>
      <c r="D3011" s="6">
        <v>38652.0</v>
      </c>
      <c r="E3011" s="4">
        <v>6.205000775E9</v>
      </c>
      <c r="F3011" s="8" t="s">
        <v>604</v>
      </c>
      <c r="G3011" s="4" t="s">
        <v>696</v>
      </c>
      <c r="H3011" s="10" t="s">
        <v>4026</v>
      </c>
      <c r="I3011" s="10">
        <v>2.0</v>
      </c>
      <c r="J3011" s="11" t="str">
        <f>IF(D3011&lt;&gt;"",VLOOKUP(H3011,TABLEITEM,5,FALSE),"")</f>
        <v>EA</v>
      </c>
      <c r="K3011" s="12">
        <v>28.0</v>
      </c>
      <c r="L3011" s="13" t="str">
        <f>IF(D3011&lt;&gt;"",VLOOKUP(H3011,TABLEITEM,2,FALSE),"")</f>
        <v/>
      </c>
      <c r="M3011" s="13" t="str">
        <f>IF(D3011&lt;&gt;"",VLOOKUP(H3011,TABLEITEM,3,FALSE),"")</f>
        <v>เกียงโป๊วสี ขนาด 4"</v>
      </c>
      <c r="N3011" s="14">
        <f>INSTOCK!$I3011*INSTOCK!$K3011</f>
        <v>56</v>
      </c>
      <c r="O3011" s="4"/>
      <c r="P3011" s="4"/>
    </row>
    <row r="3012" ht="15.75" hidden="1" customHeight="1">
      <c r="B3012" s="8">
        <v>3331.0</v>
      </c>
      <c r="C3012" s="9">
        <v>43606.0</v>
      </c>
      <c r="D3012" s="6" t="s">
        <v>4027</v>
      </c>
      <c r="E3012" s="4">
        <v>6.20500078E9</v>
      </c>
      <c r="F3012" s="8" t="s">
        <v>604</v>
      </c>
      <c r="G3012" s="4" t="s">
        <v>665</v>
      </c>
      <c r="H3012" s="10" t="s">
        <v>496</v>
      </c>
      <c r="I3012" s="10">
        <v>300.0</v>
      </c>
      <c r="J3012" s="11" t="str">
        <f>IF(D3012&lt;&gt;"",VLOOKUP(H3012,TABLEITEM,5,FALSE),"")</f>
        <v>M</v>
      </c>
      <c r="K3012" s="12">
        <v>22.93</v>
      </c>
      <c r="L3012" s="13" t="str">
        <f>IF(D3012&lt;&gt;"",VLOOKUP(H3012,TABLEITEM,2,FALSE),"")</f>
        <v>wire</v>
      </c>
      <c r="M3012" s="13" t="str">
        <f>IF(D3012&lt;&gt;"",VLOOKUP(H3012,TABLEITEM,3,FALSE),"")</f>
        <v>สายไฟ VSF1x6 SQMM.สีดำ</v>
      </c>
      <c r="N3012" s="14">
        <f>INSTOCK!$I3012*INSTOCK!$K3012</f>
        <v>6879</v>
      </c>
      <c r="O3012" s="4"/>
      <c r="P3012" s="4"/>
    </row>
    <row r="3013" ht="15.75" hidden="1" customHeight="1">
      <c r="B3013" s="8">
        <v>3332.0</v>
      </c>
      <c r="C3013" s="9">
        <v>43606.0</v>
      </c>
      <c r="D3013" s="6" t="s">
        <v>4027</v>
      </c>
      <c r="E3013" s="4">
        <v>6.20500078E9</v>
      </c>
      <c r="F3013" s="8" t="s">
        <v>604</v>
      </c>
      <c r="G3013" s="4" t="s">
        <v>665</v>
      </c>
      <c r="H3013" s="10" t="s">
        <v>465</v>
      </c>
      <c r="I3013" s="10">
        <v>200.0</v>
      </c>
      <c r="J3013" s="11" t="str">
        <f>IF(D3013&lt;&gt;"",VLOOKUP(H3013,TABLEITEM,5,FALSE),"")</f>
        <v>M</v>
      </c>
      <c r="K3013" s="12">
        <v>39.18</v>
      </c>
      <c r="L3013" s="13" t="str">
        <f>IF(D3013&lt;&gt;"",VLOOKUP(H3013,TABLEITEM,2,FALSE),"")</f>
        <v>wire</v>
      </c>
      <c r="M3013" s="13" t="str">
        <f>IF(D3013&lt;&gt;"",VLOOKUP(H3013,TABLEITEM,3,FALSE),"")</f>
        <v>สายไฟ VSF1x1 SQMM.สีดำ</v>
      </c>
      <c r="N3013" s="14">
        <f>INSTOCK!$I3013*INSTOCK!$K3013</f>
        <v>7836</v>
      </c>
      <c r="O3013" s="4"/>
      <c r="P3013" s="4"/>
    </row>
    <row r="3014" ht="15.75" hidden="1" customHeight="1">
      <c r="B3014" s="8">
        <v>3333.0</v>
      </c>
      <c r="C3014" s="9">
        <v>43605.0</v>
      </c>
      <c r="D3014" s="6" t="s">
        <v>4028</v>
      </c>
      <c r="E3014" s="4"/>
      <c r="F3014" s="8" t="s">
        <v>604</v>
      </c>
      <c r="G3014" s="4" t="s">
        <v>4029</v>
      </c>
      <c r="H3014" s="18" t="s">
        <v>2023</v>
      </c>
      <c r="I3014" s="10">
        <v>20.0</v>
      </c>
      <c r="J3014" s="11" t="str">
        <f>IF(D3014&lt;&gt;"",VLOOKUP(H3014,TABLEITEM,5,FALSE),"")</f>
        <v>EA</v>
      </c>
      <c r="K3014" s="12">
        <v>70.0</v>
      </c>
      <c r="L3014" s="13" t="str">
        <f>IF(D3014&lt;&gt;"",VLOOKUP(H3014,TABLEITEM,2,FALSE),"")</f>
        <v/>
      </c>
      <c r="M3014" s="13" t="str">
        <f>IF(D3014&lt;&gt;"",VLOOKUP(H3014,TABLEITEM,3,FALSE),"")</f>
        <v>ต๊าป M4 มือ 2</v>
      </c>
      <c r="N3014" s="14">
        <f>INSTOCK!$I3014*INSTOCK!$K3014</f>
        <v>1400</v>
      </c>
      <c r="O3014" s="4"/>
      <c r="P3014" s="4"/>
    </row>
    <row r="3015" ht="15.75" hidden="1" customHeight="1">
      <c r="B3015" s="8">
        <v>3334.0</v>
      </c>
      <c r="C3015" s="9">
        <v>43605.0</v>
      </c>
      <c r="D3015" s="6" t="s">
        <v>4028</v>
      </c>
      <c r="E3015" s="4"/>
      <c r="F3015" s="8" t="s">
        <v>604</v>
      </c>
      <c r="G3015" s="4" t="s">
        <v>4029</v>
      </c>
      <c r="H3015" s="18" t="s">
        <v>2024</v>
      </c>
      <c r="I3015" s="10">
        <v>20.0</v>
      </c>
      <c r="J3015" s="11" t="str">
        <f>IF(D3015&lt;&gt;"",VLOOKUP(H3015,TABLEITEM,5,FALSE),"")</f>
        <v>EA</v>
      </c>
      <c r="K3015" s="12">
        <v>70.0</v>
      </c>
      <c r="L3015" s="13" t="str">
        <f>IF(D3015&lt;&gt;"",VLOOKUP(H3015,TABLEITEM,2,FALSE),"")</f>
        <v/>
      </c>
      <c r="M3015" s="13" t="str">
        <f>IF(D3015&lt;&gt;"",VLOOKUP(H3015,TABLEITEM,3,FALSE),"")</f>
        <v>ต๊าป M5 มือ 2</v>
      </c>
      <c r="N3015" s="14">
        <f>INSTOCK!$I3015*INSTOCK!$K3015</f>
        <v>1400</v>
      </c>
      <c r="O3015" s="4"/>
      <c r="P3015" s="4"/>
    </row>
    <row r="3016" ht="15.75" hidden="1" customHeight="1">
      <c r="B3016" s="8">
        <v>3335.0</v>
      </c>
      <c r="C3016" s="9">
        <v>43605.0</v>
      </c>
      <c r="D3016" s="6" t="s">
        <v>4028</v>
      </c>
      <c r="E3016" s="4"/>
      <c r="F3016" s="8" t="s">
        <v>604</v>
      </c>
      <c r="G3016" s="4" t="s">
        <v>4029</v>
      </c>
      <c r="H3016" s="18" t="s">
        <v>2025</v>
      </c>
      <c r="I3016" s="10">
        <v>20.0</v>
      </c>
      <c r="J3016" s="11" t="str">
        <f>IF(D3016&lt;&gt;"",VLOOKUP(H3016,TABLEITEM,5,FALSE),"")</f>
        <v>EA</v>
      </c>
      <c r="K3016" s="12">
        <v>70.0</v>
      </c>
      <c r="L3016" s="13" t="str">
        <f>IF(D3016&lt;&gt;"",VLOOKUP(H3016,TABLEITEM,2,FALSE),"")</f>
        <v/>
      </c>
      <c r="M3016" s="13" t="str">
        <f>IF(D3016&lt;&gt;"",VLOOKUP(H3016,TABLEITEM,3,FALSE),"")</f>
        <v>ต๊าป M6 มือ 2</v>
      </c>
      <c r="N3016" s="14">
        <f>INSTOCK!$I3016*INSTOCK!$K3016</f>
        <v>1400</v>
      </c>
      <c r="O3016" s="4"/>
      <c r="P3016" s="4"/>
    </row>
    <row r="3017" ht="15.75" hidden="1" customHeight="1">
      <c r="B3017" s="8">
        <v>3336.0</v>
      </c>
      <c r="C3017" s="9">
        <v>43610.0</v>
      </c>
      <c r="D3017" s="6">
        <v>22.0</v>
      </c>
      <c r="E3017" s="4"/>
      <c r="F3017" s="8" t="s">
        <v>604</v>
      </c>
      <c r="G3017" s="4" t="s">
        <v>4030</v>
      </c>
      <c r="H3017" s="10" t="s">
        <v>4031</v>
      </c>
      <c r="I3017" s="10">
        <v>20.0</v>
      </c>
      <c r="J3017" s="11" t="str">
        <f>IF(D3017&lt;&gt;"",VLOOKUP(H3017,TABLEITEM,5,FALSE),"")</f>
        <v>EA</v>
      </c>
      <c r="K3017" s="12">
        <v>10.0</v>
      </c>
      <c r="L3017" s="13" t="str">
        <f>IF(D3017&lt;&gt;"",VLOOKUP(H3017,TABLEITEM,2,FALSE),"")</f>
        <v/>
      </c>
      <c r="M3017" s="13" t="str">
        <f>IF(D3017&lt;&gt;"",VLOOKUP(H3017,TABLEITEM,3,FALSE),"")</f>
        <v>CAP 10UF 250V </v>
      </c>
      <c r="N3017" s="14">
        <f>INSTOCK!$I3017*INSTOCK!$K3017</f>
        <v>200</v>
      </c>
      <c r="O3017" s="4"/>
      <c r="P3017" s="4"/>
    </row>
    <row r="3018" ht="15.75" hidden="1" customHeight="1">
      <c r="B3018" s="8">
        <v>3337.0</v>
      </c>
      <c r="C3018" s="9">
        <v>43608.0</v>
      </c>
      <c r="D3018" s="6" t="s">
        <v>4032</v>
      </c>
      <c r="E3018" s="4">
        <v>6.205000784E9</v>
      </c>
      <c r="F3018" s="8" t="s">
        <v>604</v>
      </c>
      <c r="G3018" s="4" t="s">
        <v>2453</v>
      </c>
      <c r="H3018" s="18" t="s">
        <v>2905</v>
      </c>
      <c r="I3018" s="10">
        <v>40.0</v>
      </c>
      <c r="J3018" s="11" t="str">
        <f>IF(D3018&lt;&gt;"",VLOOKUP(H3018,TABLEITEM,5,FALSE),"")</f>
        <v>EA</v>
      </c>
      <c r="K3018" s="12">
        <v>29.11</v>
      </c>
      <c r="L3018" s="13" t="str">
        <f>IF(D3018&lt;&gt;"",VLOOKUP(H3018,TABLEITEM,2,FALSE),"")</f>
        <v/>
      </c>
      <c r="M3018" s="13" t="str">
        <f>IF(D3018&lt;&gt;"",VLOOKUP(H3018,TABLEITEM,3,FALSE),"")</f>
        <v>ดอกสว่าน NACHI 3.3 MM</v>
      </c>
      <c r="N3018" s="14">
        <f>INSTOCK!$I3018*INSTOCK!$K3018</f>
        <v>1164.4</v>
      </c>
      <c r="O3018" s="4"/>
      <c r="P3018" s="4"/>
    </row>
    <row r="3019" ht="15.75" hidden="1" customHeight="1">
      <c r="B3019" s="8">
        <v>3338.0</v>
      </c>
      <c r="C3019" s="9">
        <v>43608.0</v>
      </c>
      <c r="D3019" s="6" t="s">
        <v>4032</v>
      </c>
      <c r="E3019" s="4">
        <v>6.205000784E9</v>
      </c>
      <c r="F3019" s="8" t="s">
        <v>604</v>
      </c>
      <c r="G3019" s="4" t="s">
        <v>2453</v>
      </c>
      <c r="H3019" s="10" t="s">
        <v>2585</v>
      </c>
      <c r="I3019" s="10">
        <v>20.0</v>
      </c>
      <c r="J3019" s="11" t="str">
        <f>IF(D3019&lt;&gt;"",VLOOKUP(H3019,TABLEITEM,5,FALSE),"")</f>
        <v>EA</v>
      </c>
      <c r="K3019" s="12">
        <v>33.86</v>
      </c>
      <c r="L3019" s="13" t="str">
        <f>IF(D3019&lt;&gt;"",VLOOKUP(H3019,TABLEITEM,2,FALSE),"")</f>
        <v/>
      </c>
      <c r="M3019" s="13" t="str">
        <f>IF(D3019&lt;&gt;"",VLOOKUP(H3019,TABLEITEM,3,FALSE),"")</f>
        <v>ดอกสว่านนาซิ L/N 500 4.0mm</v>
      </c>
      <c r="N3019" s="14">
        <f>INSTOCK!$I3019*INSTOCK!$K3019</f>
        <v>677.2</v>
      </c>
      <c r="O3019" s="4"/>
      <c r="P3019" s="4"/>
    </row>
    <row r="3020" ht="15.75" hidden="1" customHeight="1">
      <c r="B3020" s="8">
        <v>3339.0</v>
      </c>
      <c r="C3020" s="9">
        <v>43608.0</v>
      </c>
      <c r="D3020" s="6" t="s">
        <v>4032</v>
      </c>
      <c r="E3020" s="4">
        <v>6.205000784E9</v>
      </c>
      <c r="F3020" s="8" t="s">
        <v>604</v>
      </c>
      <c r="G3020" s="4" t="s">
        <v>2453</v>
      </c>
      <c r="H3020" s="10" t="s">
        <v>2454</v>
      </c>
      <c r="I3020" s="10">
        <v>10.0</v>
      </c>
      <c r="J3020" s="11" t="str">
        <f>IF(D3020&lt;&gt;"",VLOOKUP(H3020,TABLEITEM,5,FALSE),"")</f>
        <v>EA</v>
      </c>
      <c r="K3020" s="12">
        <v>47.52</v>
      </c>
      <c r="L3020" s="13" t="str">
        <f>IF(D3020&lt;&gt;"",VLOOKUP(H3020,TABLEITEM,2,FALSE),"")</f>
        <v/>
      </c>
      <c r="M3020" s="13" t="str">
        <f>IF(D3020&lt;&gt;"",VLOOKUP(H3020,TABLEITEM,3,FALSE),"")</f>
        <v>ดอกสว่าน นาซิ L/N 500 5.00มิล</v>
      </c>
      <c r="N3020" s="14">
        <f>INSTOCK!$I3020*INSTOCK!$K3020</f>
        <v>475.2</v>
      </c>
      <c r="O3020" s="4"/>
      <c r="P3020" s="4"/>
    </row>
    <row r="3021" ht="15.75" hidden="1" customHeight="1">
      <c r="B3021" s="8">
        <v>3340.0</v>
      </c>
      <c r="C3021" s="9">
        <v>43608.0</v>
      </c>
      <c r="D3021" s="6" t="s">
        <v>4032</v>
      </c>
      <c r="E3021" s="4">
        <v>6.205000784E9</v>
      </c>
      <c r="F3021" s="8" t="s">
        <v>604</v>
      </c>
      <c r="G3021" s="4" t="s">
        <v>2453</v>
      </c>
      <c r="H3021" s="10" t="s">
        <v>4033</v>
      </c>
      <c r="I3021" s="10">
        <v>5.0</v>
      </c>
      <c r="J3021" s="11" t="str">
        <f>IF(D3021&lt;&gt;"",VLOOKUP(H3021,TABLEITEM,5,FALSE),"")</f>
        <v>EA</v>
      </c>
      <c r="K3021" s="12">
        <v>77.81</v>
      </c>
      <c r="L3021" s="13" t="str">
        <f>IF(D3021&lt;&gt;"",VLOOKUP(H3021,TABLEITEM,2,FALSE),"")</f>
        <v/>
      </c>
      <c r="M3021" s="13" t="str">
        <f>IF(D3021&lt;&gt;"",VLOOKUP(H3021,TABLEITEM,3,FALSE),"")</f>
        <v>ดอกสว่าน นาซิ L/N 500 7.0มิล</v>
      </c>
      <c r="N3021" s="14">
        <f>INSTOCK!$I3021*INSTOCK!$K3021</f>
        <v>389.05</v>
      </c>
      <c r="O3021" s="4"/>
      <c r="P3021" s="4"/>
    </row>
    <row r="3022" ht="15.75" hidden="1" customHeight="1">
      <c r="B3022" s="8">
        <v>3341.0</v>
      </c>
      <c r="C3022" s="9">
        <v>43608.0</v>
      </c>
      <c r="D3022" s="6" t="s">
        <v>4032</v>
      </c>
      <c r="E3022" s="4">
        <v>6.205000784E9</v>
      </c>
      <c r="F3022" s="8" t="s">
        <v>604</v>
      </c>
      <c r="G3022" s="4" t="s">
        <v>2453</v>
      </c>
      <c r="H3022" s="10" t="s">
        <v>2586</v>
      </c>
      <c r="I3022" s="10">
        <v>5.0</v>
      </c>
      <c r="J3022" s="11" t="str">
        <f>IF(D3022&lt;&gt;"",VLOOKUP(H3022,TABLEITEM,5,FALSE),"")</f>
        <v>EA</v>
      </c>
      <c r="K3022" s="12">
        <v>125.93</v>
      </c>
      <c r="L3022" s="13" t="str">
        <f>IF(D3022&lt;&gt;"",VLOOKUP(H3022,TABLEITEM,2,FALSE),"")</f>
        <v/>
      </c>
      <c r="M3022" s="13" t="str">
        <f>IF(D3022&lt;&gt;"",VLOOKUP(H3022,TABLEITEM,3,FALSE),"")</f>
        <v>ดอกสว่านนาซิ L/N 500 9.0mm</v>
      </c>
      <c r="N3022" s="14">
        <f>INSTOCK!$I3022*INSTOCK!$K3022</f>
        <v>629.65</v>
      </c>
      <c r="O3022" s="4"/>
      <c r="P3022" s="4"/>
    </row>
    <row r="3023" ht="15.75" hidden="1" customHeight="1">
      <c r="B3023" s="8">
        <v>3342.0</v>
      </c>
      <c r="C3023" s="9">
        <v>43608.0</v>
      </c>
      <c r="D3023" s="6" t="s">
        <v>4032</v>
      </c>
      <c r="E3023" s="4">
        <v>6.205000784E9</v>
      </c>
      <c r="F3023" s="8" t="s">
        <v>604</v>
      </c>
      <c r="G3023" s="4" t="s">
        <v>2453</v>
      </c>
      <c r="H3023" s="18" t="s">
        <v>2587</v>
      </c>
      <c r="I3023" s="10">
        <v>5.0</v>
      </c>
      <c r="J3023" s="11" t="str">
        <f>IF(D3023&lt;&gt;"",VLOOKUP(H3023,TABLEITEM,5,FALSE),"")</f>
        <v>EA</v>
      </c>
      <c r="K3023" s="12">
        <v>162.16</v>
      </c>
      <c r="L3023" s="13" t="str">
        <f>IF(D3023&lt;&gt;"",VLOOKUP(H3023,TABLEITEM,2,FALSE),"")</f>
        <v/>
      </c>
      <c r="M3023" s="13" t="str">
        <f>IF(D3023&lt;&gt;"",VLOOKUP(H3023,TABLEITEM,3,FALSE),"")</f>
        <v>ดอกสว่านนาซิ L/N 500 10.0mm</v>
      </c>
      <c r="N3023" s="14">
        <f>INSTOCK!$I3023*INSTOCK!$K3023</f>
        <v>810.8</v>
      </c>
      <c r="O3023" s="4"/>
      <c r="P3023" s="4"/>
    </row>
    <row r="3024" ht="15.75" hidden="1" customHeight="1">
      <c r="B3024" s="8">
        <v>3343.0</v>
      </c>
      <c r="C3024" s="9">
        <v>43608.0</v>
      </c>
      <c r="D3024" s="6" t="s">
        <v>4032</v>
      </c>
      <c r="E3024" s="4">
        <v>6.205000784E9</v>
      </c>
      <c r="F3024" s="8" t="s">
        <v>604</v>
      </c>
      <c r="G3024" s="4" t="s">
        <v>2453</v>
      </c>
      <c r="H3024" s="10" t="s">
        <v>4034</v>
      </c>
      <c r="I3024" s="10">
        <v>5.0</v>
      </c>
      <c r="J3024" s="11" t="str">
        <f>IF(D3024&lt;&gt;"",VLOOKUP(H3024,TABLEITEM,5,FALSE),"")</f>
        <v>EA</v>
      </c>
      <c r="K3024" s="12">
        <v>244.13</v>
      </c>
      <c r="L3024" s="13" t="str">
        <f>IF(D3024&lt;&gt;"",VLOOKUP(H3024,TABLEITEM,2,FALSE),"")</f>
        <v/>
      </c>
      <c r="M3024" s="13" t="str">
        <f>IF(D3024&lt;&gt;"",VLOOKUP(H3024,TABLEITEM,3,FALSE),"")</f>
        <v>ดอกสว่าน นาซิ L/N 500 12.0มิล</v>
      </c>
      <c r="N3024" s="14">
        <f>INSTOCK!$I3024*INSTOCK!$K3024</f>
        <v>1220.65</v>
      </c>
      <c r="O3024" s="4"/>
      <c r="P3024" s="4"/>
    </row>
    <row r="3025" ht="15.75" hidden="1" customHeight="1">
      <c r="B3025" s="8">
        <v>3344.0</v>
      </c>
      <c r="C3025" s="9">
        <v>43612.0</v>
      </c>
      <c r="D3025" s="6" t="s">
        <v>4035</v>
      </c>
      <c r="E3025" s="4">
        <v>6.205000823E9</v>
      </c>
      <c r="F3025" s="8" t="s">
        <v>3845</v>
      </c>
      <c r="G3025" s="4" t="s">
        <v>1512</v>
      </c>
      <c r="H3025" s="10" t="s">
        <v>4036</v>
      </c>
      <c r="I3025" s="10">
        <v>1.0</v>
      </c>
      <c r="J3025" s="11" t="str">
        <f>IF(D3025&lt;&gt;"",VLOOKUP(H3025,TABLEITEM,5,FALSE),"")</f>
        <v>EA</v>
      </c>
      <c r="K3025" s="12">
        <v>112.5</v>
      </c>
      <c r="L3025" s="13" t="str">
        <f>IF(D3025&lt;&gt;"",VLOOKUP(H3025,TABLEITEM,2,FALSE),"")</f>
        <v/>
      </c>
      <c r="M3025" s="13" t="str">
        <f>IF(D3025&lt;&gt;"",VLOOKUP(H3025,TABLEITEM,3,FALSE),"")</f>
        <v>PILOT LAMP CLEAR 110-130VAC</v>
      </c>
      <c r="N3025" s="14">
        <f>INSTOCK!$I3025*INSTOCK!$K3025</f>
        <v>112.5</v>
      </c>
      <c r="O3025" s="4" t="s">
        <v>4037</v>
      </c>
      <c r="P3025" s="4"/>
    </row>
    <row r="3026" ht="15.75" hidden="1" customHeight="1">
      <c r="B3026" s="8">
        <v>3345.0</v>
      </c>
      <c r="C3026" s="9">
        <v>43612.0</v>
      </c>
      <c r="D3026" s="6" t="s">
        <v>4035</v>
      </c>
      <c r="E3026" s="4">
        <v>6.205000823E9</v>
      </c>
      <c r="F3026" s="8" t="s">
        <v>3845</v>
      </c>
      <c r="G3026" s="4" t="s">
        <v>1512</v>
      </c>
      <c r="H3026" s="10" t="s">
        <v>4038</v>
      </c>
      <c r="I3026" s="10">
        <v>1.0</v>
      </c>
      <c r="J3026" s="11" t="str">
        <f>IF(D3026&lt;&gt;"",VLOOKUP(H3026,TABLEITEM,5,FALSE),"")</f>
        <v>EA</v>
      </c>
      <c r="K3026" s="12">
        <v>81.9</v>
      </c>
      <c r="L3026" s="13" t="str">
        <f>IF(D3026&lt;&gt;"",VLOOKUP(H3026,TABLEITEM,2,FALSE),"")</f>
        <v/>
      </c>
      <c r="M3026" s="13" t="str">
        <f>IF(D3026&lt;&gt;"",VLOOKUP(H3026,TABLEITEM,3,FALSE),"")</f>
        <v>PILOT LAMP RED 110-130VAC</v>
      </c>
      <c r="N3026" s="14">
        <f>INSTOCK!$I3026*INSTOCK!$K3026</f>
        <v>81.9</v>
      </c>
      <c r="O3026" s="4" t="s">
        <v>4039</v>
      </c>
      <c r="P3026" s="4"/>
    </row>
    <row r="3027" ht="15.75" hidden="1" customHeight="1">
      <c r="B3027" s="8">
        <v>3346.0</v>
      </c>
      <c r="C3027" s="9">
        <v>43612.0</v>
      </c>
      <c r="D3027" s="6" t="s">
        <v>4035</v>
      </c>
      <c r="E3027" s="4">
        <v>6.205000823E9</v>
      </c>
      <c r="F3027" s="8" t="s">
        <v>3845</v>
      </c>
      <c r="G3027" s="4" t="s">
        <v>1512</v>
      </c>
      <c r="H3027" s="10" t="s">
        <v>4040</v>
      </c>
      <c r="I3027" s="10">
        <v>1.0</v>
      </c>
      <c r="J3027" s="11" t="str">
        <f>IF(D3027&lt;&gt;"",VLOOKUP(H3027,TABLEITEM,5,FALSE),"")</f>
        <v>EA</v>
      </c>
      <c r="K3027" s="12">
        <v>81.9</v>
      </c>
      <c r="L3027" s="13" t="str">
        <f>IF(D3027&lt;&gt;"",VLOOKUP(H3027,TABLEITEM,2,FALSE),"")</f>
        <v/>
      </c>
      <c r="M3027" s="13" t="str">
        <f>IF(D3027&lt;&gt;"",VLOOKUP(H3027,TABLEITEM,3,FALSE),"")</f>
        <v>PILOT LAMP YELLOW 110-130VAC</v>
      </c>
      <c r="N3027" s="14">
        <f>INSTOCK!$I3027*INSTOCK!$K3027</f>
        <v>81.9</v>
      </c>
      <c r="O3027" s="4" t="s">
        <v>4039</v>
      </c>
      <c r="P3027" s="4"/>
    </row>
    <row r="3028" ht="15.75" hidden="1" customHeight="1">
      <c r="B3028" s="8">
        <v>3347.0</v>
      </c>
      <c r="C3028" s="9">
        <v>43612.0</v>
      </c>
      <c r="D3028" s="6" t="s">
        <v>4035</v>
      </c>
      <c r="E3028" s="4">
        <v>6.205000823E9</v>
      </c>
      <c r="F3028" s="8" t="s">
        <v>3845</v>
      </c>
      <c r="G3028" s="4" t="s">
        <v>1512</v>
      </c>
      <c r="H3028" s="10" t="s">
        <v>4041</v>
      </c>
      <c r="I3028" s="10">
        <v>1.0</v>
      </c>
      <c r="J3028" s="11" t="str">
        <f>IF(D3028&lt;&gt;"",VLOOKUP(H3028,TABLEITEM,5,FALSE),"")</f>
        <v>EA</v>
      </c>
      <c r="K3028" s="12">
        <v>81.9</v>
      </c>
      <c r="L3028" s="13" t="str">
        <f>IF(D3028&lt;&gt;"",VLOOKUP(H3028,TABLEITEM,2,FALSE),"")</f>
        <v/>
      </c>
      <c r="M3028" s="13" t="str">
        <f>IF(D3028&lt;&gt;"",VLOOKUP(H3028,TABLEITEM,3,FALSE),"")</f>
        <v>PILOT LAMP BLUE 110-130VAC</v>
      </c>
      <c r="N3028" s="14">
        <f>INSTOCK!$I3028*INSTOCK!$K3028</f>
        <v>81.9</v>
      </c>
      <c r="O3028" s="4" t="s">
        <v>4039</v>
      </c>
      <c r="P3028" s="4"/>
    </row>
    <row r="3029" ht="15.75" hidden="1" customHeight="1">
      <c r="B3029" s="8">
        <v>3348.0</v>
      </c>
      <c r="C3029" s="9">
        <v>43613.0</v>
      </c>
      <c r="D3029" s="6" t="s">
        <v>4042</v>
      </c>
      <c r="E3029" s="4">
        <v>6.205000821E9</v>
      </c>
      <c r="F3029" s="8" t="s">
        <v>604</v>
      </c>
      <c r="G3029" s="4" t="s">
        <v>1033</v>
      </c>
      <c r="H3029" s="10" t="s">
        <v>24</v>
      </c>
      <c r="I3029" s="10">
        <v>1000.0</v>
      </c>
      <c r="J3029" s="11" t="str">
        <f>IF(D3029&lt;&gt;"",VLOOKUP(H3029,TABLEITEM,5,FALSE),"")</f>
        <v>EA</v>
      </c>
      <c r="K3029" s="12">
        <v>4.5</v>
      </c>
      <c r="L3029" s="13" t="str">
        <f>IF(D3029&lt;&gt;"",VLOOKUP(H3029,TABLEITEM,2,FALSE),"")</f>
        <v/>
      </c>
      <c r="M3029" s="13" t="str">
        <f>IF(D3029&lt;&gt;"",VLOOKUP(H3029,TABLEITEM,3,FALSE),"")</f>
        <v>กระดาษทรายกลม#120</v>
      </c>
      <c r="N3029" s="14">
        <f>INSTOCK!$I3029*INSTOCK!$K3029</f>
        <v>4500</v>
      </c>
      <c r="O3029" s="4"/>
      <c r="P3029" s="4"/>
    </row>
    <row r="3030" ht="15.75" hidden="1" customHeight="1">
      <c r="B3030" s="8">
        <v>3349.0</v>
      </c>
      <c r="C3030" s="9">
        <v>43617.0</v>
      </c>
      <c r="D3030" s="6" t="s">
        <v>4043</v>
      </c>
      <c r="E3030" s="4">
        <v>6.205000818E9</v>
      </c>
      <c r="F3030" s="8" t="s">
        <v>604</v>
      </c>
      <c r="G3030" s="4" t="s">
        <v>1904</v>
      </c>
      <c r="H3030" s="10" t="s">
        <v>2717</v>
      </c>
      <c r="I3030" s="10">
        <v>10.0</v>
      </c>
      <c r="J3030" s="11" t="str">
        <f>IF(D3030&lt;&gt;"",VLOOKUP(H3030,TABLEITEM,5,FALSE),"")</f>
        <v>M</v>
      </c>
      <c r="K3030" s="12">
        <v>247.55</v>
      </c>
      <c r="L3030" s="13" t="str">
        <f>IF(D3030&lt;&gt;"",VLOOKUP(H3030,TABLEITEM,2,FALSE),"")</f>
        <v/>
      </c>
      <c r="M3030" s="13" t="str">
        <f>IF(D3030&lt;&gt;"",VLOOKUP(H3030,TABLEITEM,3,FALSE),"")</f>
        <v>RIBBON LM-IR300B 1/50M</v>
      </c>
      <c r="N3030" s="14">
        <f>INSTOCK!$I3030*INSTOCK!$K3030</f>
        <v>2475.5</v>
      </c>
      <c r="O3030" s="4" t="s">
        <v>2718</v>
      </c>
      <c r="P3030" s="4"/>
    </row>
    <row r="3031" ht="15.75" hidden="1" customHeight="1">
      <c r="B3031" s="8">
        <v>3350.0</v>
      </c>
      <c r="C3031" s="9">
        <v>43610.0</v>
      </c>
      <c r="D3031" s="6" t="s">
        <v>4044</v>
      </c>
      <c r="E3031" s="4">
        <v>6.205000811E9</v>
      </c>
      <c r="F3031" s="8" t="s">
        <v>807</v>
      </c>
      <c r="G3031" s="4" t="s">
        <v>808</v>
      </c>
      <c r="H3031" s="10" t="s">
        <v>812</v>
      </c>
      <c r="I3031" s="10">
        <v>1.0</v>
      </c>
      <c r="J3031" s="11" t="str">
        <f>IF(D3031&lt;&gt;"",VLOOKUP(H3031,TABLEITEM,5,FALSE),"")</f>
        <v>ท่อ</v>
      </c>
      <c r="K3031" s="12">
        <v>2960.0</v>
      </c>
      <c r="L3031" s="13" t="str">
        <f>IF(D3031&lt;&gt;"",VLOOKUP(H3031,TABLEITEM,2,FALSE),"")</f>
        <v/>
      </c>
      <c r="M3031" s="13" t="str">
        <f>IF(D3031&lt;&gt;"",VLOOKUP(H3031,TABLEITEM,3,FALSE),"")</f>
        <v>ออกซิเจนเหลว ขนาด 148 คิว</v>
      </c>
      <c r="N3031" s="14">
        <f>INSTOCK!$I3031*INSTOCK!$K3031</f>
        <v>2960</v>
      </c>
      <c r="O3031" s="4"/>
      <c r="P3031" s="4"/>
    </row>
    <row r="3032" ht="15.75" hidden="1" customHeight="1">
      <c r="B3032" s="8">
        <v>3351.0</v>
      </c>
      <c r="C3032" s="9">
        <v>43610.0</v>
      </c>
      <c r="D3032" s="6" t="s">
        <v>4045</v>
      </c>
      <c r="E3032" s="4">
        <v>6.205000803E9</v>
      </c>
      <c r="F3032" s="8" t="s">
        <v>604</v>
      </c>
      <c r="G3032" s="4" t="s">
        <v>725</v>
      </c>
      <c r="H3032" s="10" t="s">
        <v>726</v>
      </c>
      <c r="I3032" s="10">
        <v>500.0</v>
      </c>
      <c r="J3032" s="11" t="str">
        <f>IF(D3032&lt;&gt;"",VLOOKUP(H3032,TABLEITEM,5,FALSE),"")</f>
        <v>M</v>
      </c>
      <c r="K3032" s="12">
        <v>10.0</v>
      </c>
      <c r="L3032" s="13" t="str">
        <f>IF(D3032&lt;&gt;"",VLOOKUP(H3032,TABLEITEM,2,FALSE),"")</f>
        <v/>
      </c>
      <c r="M3032" s="13" t="str">
        <f>IF(D3032&lt;&gt;"",VLOOKUP(H3032,TABLEITEM,3,FALSE),"")</f>
        <v>ยางกันบาดร่อง 10มิล</v>
      </c>
      <c r="N3032" s="14">
        <f>INSTOCK!$I3032*INSTOCK!$K3032</f>
        <v>5000</v>
      </c>
      <c r="O3032" s="4"/>
      <c r="P3032" s="4"/>
    </row>
    <row r="3033" ht="15.75" hidden="1" customHeight="1">
      <c r="B3033" s="8">
        <v>3352.0</v>
      </c>
      <c r="C3033" s="9">
        <v>43610.0</v>
      </c>
      <c r="D3033" s="6" t="s">
        <v>4046</v>
      </c>
      <c r="E3033" s="4">
        <v>6.205000812E9</v>
      </c>
      <c r="F3033" s="8" t="s">
        <v>981</v>
      </c>
      <c r="G3033" s="4" t="s">
        <v>982</v>
      </c>
      <c r="H3033" s="10" t="s">
        <v>986</v>
      </c>
      <c r="I3033" s="10">
        <v>300.0</v>
      </c>
      <c r="J3033" s="11" t="str">
        <f>IF(D3033&lt;&gt;"",VLOOKUP(H3033,TABLEITEM,5,FALSE),"")</f>
        <v>KG.</v>
      </c>
      <c r="K3033" s="12">
        <v>41.0</v>
      </c>
      <c r="L3033" s="13" t="str">
        <f>IF(D3033&lt;&gt;"",VLOOKUP(H3033,TABLEITEM,2,FALSE),"")</f>
        <v/>
      </c>
      <c r="M3033" s="13" t="str">
        <f>IF(D3033&lt;&gt;"",VLOOKUP(H3033,TABLEITEM,3,FALSE),"")</f>
        <v>เคมีฟอสเฟต PN-134</v>
      </c>
      <c r="N3033" s="14">
        <f>INSTOCK!$I3033*INSTOCK!$K3033</f>
        <v>12300</v>
      </c>
      <c r="O3033" s="4"/>
      <c r="P3033" s="4"/>
    </row>
    <row r="3034" ht="15.75" hidden="1" customHeight="1">
      <c r="B3034" s="8">
        <v>3353.0</v>
      </c>
      <c r="C3034" s="9">
        <v>43610.0</v>
      </c>
      <c r="D3034" s="6" t="s">
        <v>4046</v>
      </c>
      <c r="E3034" s="4">
        <v>6.205000812E9</v>
      </c>
      <c r="F3034" s="8" t="s">
        <v>981</v>
      </c>
      <c r="G3034" s="4" t="s">
        <v>982</v>
      </c>
      <c r="H3034" s="10" t="s">
        <v>983</v>
      </c>
      <c r="I3034" s="10">
        <v>200.0</v>
      </c>
      <c r="J3034" s="11" t="str">
        <f>IF(D3034&lt;&gt;"",VLOOKUP(H3034,TABLEITEM,5,FALSE),"")</f>
        <v>KG.</v>
      </c>
      <c r="K3034" s="12">
        <v>37.0</v>
      </c>
      <c r="L3034" s="13" t="str">
        <f>IF(D3034&lt;&gt;"",VLOOKUP(H3034,TABLEITEM,2,FALSE),"")</f>
        <v/>
      </c>
      <c r="M3034" s="13" t="str">
        <f>IF(D3034&lt;&gt;"",VLOOKUP(H3034,TABLEITEM,3,FALSE),"")</f>
        <v>เคมี ADDITIVE P-8</v>
      </c>
      <c r="N3034" s="14">
        <f>INSTOCK!$I3034*INSTOCK!$K3034</f>
        <v>7400</v>
      </c>
      <c r="O3034" s="4"/>
      <c r="P3034" s="4"/>
    </row>
    <row r="3035" ht="15.75" hidden="1" customHeight="1">
      <c r="B3035" s="8">
        <v>3354.0</v>
      </c>
      <c r="C3035" s="9">
        <v>43610.0</v>
      </c>
      <c r="D3035" s="6" t="s">
        <v>4046</v>
      </c>
      <c r="E3035" s="4">
        <v>6.205000812E9</v>
      </c>
      <c r="F3035" s="8" t="s">
        <v>981</v>
      </c>
      <c r="G3035" s="4" t="s">
        <v>982</v>
      </c>
      <c r="H3035" s="10" t="s">
        <v>991</v>
      </c>
      <c r="I3035" s="10">
        <v>100.0</v>
      </c>
      <c r="J3035" s="11" t="str">
        <f>IF(D3035&lt;&gt;"",VLOOKUP(H3035,TABLEITEM,5,FALSE),"")</f>
        <v>KG.</v>
      </c>
      <c r="K3035" s="12">
        <v>18.0</v>
      </c>
      <c r="L3035" s="13" t="str">
        <f>IF(D3035&lt;&gt;"",VLOOKUP(H3035,TABLEITEM,2,FALSE),"")</f>
        <v/>
      </c>
      <c r="M3035" s="13" t="str">
        <f>IF(D3035&lt;&gt;"",VLOOKUP(H3035,TABLEITEM,3,FALSE),"")</f>
        <v>เคมีตัวเร่งฟอสเฟต</v>
      </c>
      <c r="N3035" s="14">
        <f>INSTOCK!$I3035*INSTOCK!$K3035</f>
        <v>1800</v>
      </c>
      <c r="O3035" s="4"/>
      <c r="P3035" s="4"/>
    </row>
    <row r="3036" ht="15.75" hidden="1" customHeight="1">
      <c r="B3036" s="8">
        <v>3355.0</v>
      </c>
      <c r="C3036" s="9">
        <v>43610.0</v>
      </c>
      <c r="D3036" s="6" t="s">
        <v>4047</v>
      </c>
      <c r="E3036" s="4">
        <v>6.20400064E9</v>
      </c>
      <c r="F3036" s="8" t="s">
        <v>604</v>
      </c>
      <c r="G3036" s="4" t="s">
        <v>798</v>
      </c>
      <c r="H3036" s="10" t="s">
        <v>116</v>
      </c>
      <c r="I3036" s="10">
        <v>300.0</v>
      </c>
      <c r="J3036" s="11" t="str">
        <f>IF(D3036&lt;&gt;"",VLOOKUP(H3036,TABLEITEM,5,FALSE),"")</f>
        <v>EA</v>
      </c>
      <c r="K3036" s="12">
        <v>23.0</v>
      </c>
      <c r="L3036" s="13" t="str">
        <f>IF(D3036&lt;&gt;"",VLOOKUP(H3036,TABLEITEM,2,FALSE),"")</f>
        <v/>
      </c>
      <c r="M3036" s="13" t="str">
        <f>IF(D3036&lt;&gt;"",VLOOKUP(H3036,TABLEITEM,3,FALSE),"")</f>
        <v>กุญแจกลมดำ แบบมีก้านลิ้นสั้น178-04-G-293</v>
      </c>
      <c r="N3036" s="14">
        <f>INSTOCK!$I3036*INSTOCK!$K3036</f>
        <v>6900</v>
      </c>
      <c r="O3036" s="4"/>
      <c r="P3036" s="4"/>
    </row>
    <row r="3037" ht="15.75" hidden="1" customHeight="1">
      <c r="B3037" s="8">
        <v>3356.0</v>
      </c>
      <c r="C3037" s="9">
        <v>43612.0</v>
      </c>
      <c r="D3037" s="6" t="s">
        <v>4048</v>
      </c>
      <c r="E3037" s="4">
        <v>6.205000806E9</v>
      </c>
      <c r="F3037" s="8" t="s">
        <v>1973</v>
      </c>
      <c r="G3037" s="4" t="s">
        <v>2719</v>
      </c>
      <c r="H3037" s="10" t="s">
        <v>2720</v>
      </c>
      <c r="I3037" s="10">
        <v>36.0</v>
      </c>
      <c r="J3037" s="11" t="str">
        <f>IF(D3037&lt;&gt;"",VLOOKUP(H3037,TABLEITEM,5,FALSE),"")</f>
        <v>EA</v>
      </c>
      <c r="K3037" s="12">
        <v>1300.0</v>
      </c>
      <c r="L3037" s="13" t="str">
        <f>IF(D3037&lt;&gt;"",VLOOKUP(H3037,TABLEITEM,2,FALSE),"")</f>
        <v/>
      </c>
      <c r="M3037" s="13" t="str">
        <f>IF(D3037&lt;&gt;"",VLOOKUP(H3037,TABLEITEM,3,FALSE),"")</f>
        <v>ไส้กรองดักสีฝุ่น PE3</v>
      </c>
      <c r="N3037" s="14">
        <f>INSTOCK!$I3037*INSTOCK!$K3037</f>
        <v>46800</v>
      </c>
      <c r="O3037" s="4"/>
      <c r="P3037" s="4"/>
    </row>
    <row r="3038" ht="15.75" hidden="1" customHeight="1">
      <c r="B3038" s="8">
        <v>3357.0</v>
      </c>
      <c r="C3038" s="9">
        <v>43610.0</v>
      </c>
      <c r="D3038" s="6">
        <v>6.2050256791E10</v>
      </c>
      <c r="E3038" s="4"/>
      <c r="F3038" s="8" t="s">
        <v>3978</v>
      </c>
      <c r="G3038" s="4" t="s">
        <v>1130</v>
      </c>
      <c r="H3038" s="10" t="s">
        <v>3130</v>
      </c>
      <c r="I3038" s="10">
        <v>3.0</v>
      </c>
      <c r="J3038" s="11" t="str">
        <f>IF(D3038&lt;&gt;"",VLOOKUP(H3038,TABLEITEM,5,FALSE),"")</f>
        <v>EA</v>
      </c>
      <c r="K3038" s="12">
        <v>121.1233</v>
      </c>
      <c r="L3038" s="13" t="str">
        <f>IF(D3038&lt;&gt;"",VLOOKUP(H3038,TABLEITEM,2,FALSE),"")</f>
        <v/>
      </c>
      <c r="M3038" s="13" t="str">
        <f>IF(D3038&lt;&gt;"",VLOOKUP(H3038,TABLEITEM,3,FALSE),"")</f>
        <v>CT250/5 MSQ40</v>
      </c>
      <c r="N3038" s="14">
        <f>INSTOCK!$I3038*INSTOCK!$K3038</f>
        <v>363.3699</v>
      </c>
      <c r="O3038" s="4" t="s">
        <v>1898</v>
      </c>
      <c r="P3038" s="4"/>
    </row>
    <row r="3039" ht="15.75" hidden="1" customHeight="1">
      <c r="B3039" s="8">
        <v>3358.0</v>
      </c>
      <c r="C3039" s="9">
        <v>43608.0</v>
      </c>
      <c r="D3039" s="6" t="s">
        <v>4049</v>
      </c>
      <c r="E3039" s="4"/>
      <c r="F3039" s="8" t="s">
        <v>4050</v>
      </c>
      <c r="G3039" s="4" t="s">
        <v>3892</v>
      </c>
      <c r="H3039" s="10" t="s">
        <v>3893</v>
      </c>
      <c r="I3039" s="10">
        <v>4.0</v>
      </c>
      <c r="J3039" s="11" t="str">
        <f>IF(D3039&lt;&gt;"",VLOOKUP(H3039,TABLEITEM,5,FALSE),"")</f>
        <v>EA</v>
      </c>
      <c r="K3039" s="12">
        <v>120.0</v>
      </c>
      <c r="L3039" s="13" t="str">
        <f>IF(D3039&lt;&gt;"",VLOOKUP(H3039,TABLEITEM,2,FALSE),"")</f>
        <v/>
      </c>
      <c r="M3039" s="13" t="str">
        <f>IF(D3039&lt;&gt;"",VLOOKUP(H3039,TABLEITEM,3,FALSE),"")</f>
        <v>โซ๊คแก๊สกระบอก (NO.CS.05301)60N</v>
      </c>
      <c r="N3039" s="14">
        <f>INSTOCK!$I3039*INSTOCK!$K3039</f>
        <v>480</v>
      </c>
      <c r="O3039" s="4"/>
      <c r="P3039" s="4"/>
    </row>
    <row r="3040" ht="15.75" hidden="1" customHeight="1">
      <c r="B3040" s="8">
        <v>3359.0</v>
      </c>
      <c r="C3040" s="9">
        <v>43607.0</v>
      </c>
      <c r="D3040" s="6" t="s">
        <v>4051</v>
      </c>
      <c r="E3040" s="4" t="s">
        <v>4052</v>
      </c>
      <c r="F3040" s="8" t="s">
        <v>4053</v>
      </c>
      <c r="G3040" s="4" t="s">
        <v>2014</v>
      </c>
      <c r="H3040" s="10" t="s">
        <v>4054</v>
      </c>
      <c r="I3040" s="10">
        <v>6.0</v>
      </c>
      <c r="J3040" s="11" t="str">
        <f>IF(D3040&lt;&gt;"",VLOOKUP(H3040,TABLEITEM,5,FALSE),"")</f>
        <v>EA</v>
      </c>
      <c r="K3040" s="12">
        <v>420.56</v>
      </c>
      <c r="L3040" s="13" t="str">
        <f>IF(D3040&lt;&gt;"",VLOOKUP(H3040,TABLEITEM,2,FALSE),"")</f>
        <v/>
      </c>
      <c r="M3040" s="13" t="str">
        <f>IF(D3040&lt;&gt;"",VLOOKUP(H3040,TABLEITEM,3,FALSE),"")</f>
        <v>ม็อปดันฝุ่นผ้าขาว 24 นิ้ว ด้ามคละสี</v>
      </c>
      <c r="N3040" s="14">
        <f>INSTOCK!$I3040*INSTOCK!$K3040</f>
        <v>2523.36</v>
      </c>
      <c r="O3040" s="4"/>
      <c r="P3040" s="4"/>
    </row>
    <row r="3041" ht="15.75" hidden="1" customHeight="1">
      <c r="B3041" s="8">
        <v>3360.0</v>
      </c>
      <c r="C3041" s="9">
        <v>43607.0</v>
      </c>
      <c r="D3041" s="6" t="s">
        <v>4051</v>
      </c>
      <c r="E3041" s="4" t="s">
        <v>4052</v>
      </c>
      <c r="F3041" s="8" t="s">
        <v>4053</v>
      </c>
      <c r="G3041" s="4" t="s">
        <v>2014</v>
      </c>
      <c r="H3041" s="10" t="s">
        <v>4055</v>
      </c>
      <c r="I3041" s="10">
        <v>1.0</v>
      </c>
      <c r="J3041" s="11" t="str">
        <f>IF(D3041&lt;&gt;"",VLOOKUP(H3041,TABLEITEM,5,FALSE),"")</f>
        <v>EA</v>
      </c>
      <c r="K3041" s="12">
        <v>126.17</v>
      </c>
      <c r="L3041" s="13" t="str">
        <f>IF(D3041&lt;&gt;"",VLOOKUP(H3041,TABLEITEM,2,FALSE),"")</f>
        <v/>
      </c>
      <c r="M3041" s="13" t="str">
        <f>IF(D3041&lt;&gt;"",VLOOKUP(H3041,TABLEITEM,3,FALSE),"")</f>
        <v>ดินสอ HB Norice Rainbow คละสี 50แท่ง </v>
      </c>
      <c r="N3041" s="14">
        <f>INSTOCK!$I3041*INSTOCK!$K3041</f>
        <v>126.17</v>
      </c>
      <c r="O3041" s="4"/>
      <c r="P3041" s="4"/>
    </row>
    <row r="3042" ht="15.75" hidden="1" customHeight="1">
      <c r="B3042" s="8">
        <v>3361.0</v>
      </c>
      <c r="C3042" s="9">
        <v>43607.0</v>
      </c>
      <c r="D3042" s="6">
        <v>4.19044206E8</v>
      </c>
      <c r="E3042" s="4">
        <v>6.205000802E9</v>
      </c>
      <c r="F3042" s="8" t="s">
        <v>604</v>
      </c>
      <c r="G3042" s="4" t="s">
        <v>1274</v>
      </c>
      <c r="H3042" s="10" t="s">
        <v>2555</v>
      </c>
      <c r="I3042" s="10">
        <v>4.0</v>
      </c>
      <c r="J3042" s="11" t="str">
        <f>IF(D3042&lt;&gt;"",VLOOKUP(H3042,TABLEITEM,5,FALSE),"")</f>
        <v>EA</v>
      </c>
      <c r="K3042" s="12">
        <v>700.0</v>
      </c>
      <c r="L3042" s="13" t="str">
        <f>IF(D3042&lt;&gt;"",VLOOKUP(H3042,TABLEITEM,2,FALSE),"")</f>
        <v/>
      </c>
      <c r="M3042" s="13" t="str">
        <f>IF(D3042&lt;&gt;"",VLOOKUP(H3042,TABLEITEM,3,FALSE),"")</f>
        <v>สก๊อตไบร์ MULTI-FLEX ขนาด 8x20 สีเทา (60แผ่น/ม้วน)</v>
      </c>
      <c r="N3042" s="14">
        <f>INSTOCK!$I3042*INSTOCK!$K3042</f>
        <v>2800</v>
      </c>
      <c r="O3042" s="4"/>
      <c r="P3042" s="4"/>
    </row>
    <row r="3043" ht="15.75" hidden="1" customHeight="1">
      <c r="B3043" s="8">
        <v>3362.0</v>
      </c>
      <c r="C3043" s="9">
        <v>43609.0</v>
      </c>
      <c r="D3043" s="6">
        <v>6205031.0</v>
      </c>
      <c r="E3043" s="4"/>
      <c r="F3043" s="8" t="s">
        <v>604</v>
      </c>
      <c r="G3043" s="4" t="s">
        <v>1617</v>
      </c>
      <c r="H3043" s="10" t="s">
        <v>1618</v>
      </c>
      <c r="I3043" s="10">
        <v>36.0</v>
      </c>
      <c r="J3043" s="11" t="str">
        <f>IF(D3043&lt;&gt;"",VLOOKUP(H3043,TABLEITEM,5,FALSE),"")</f>
        <v>EA</v>
      </c>
      <c r="K3043" s="12">
        <v>148.0</v>
      </c>
      <c r="L3043" s="13" t="str">
        <f>IF(D3043&lt;&gt;"",VLOOKUP(H3043,TABLEITEM,2,FALSE),"")</f>
        <v/>
      </c>
      <c r="M3043" s="13" t="str">
        <f>IF(D3043&lt;&gt;"",VLOOKUP(H3043,TABLEITEM,3,FALSE),"")</f>
        <v>ตลับเมตร KDS 3.5M</v>
      </c>
      <c r="N3043" s="14">
        <f>INSTOCK!$I3043*INSTOCK!$K3043</f>
        <v>5328</v>
      </c>
      <c r="O3043" s="4"/>
      <c r="P3043" s="4"/>
    </row>
    <row r="3044" ht="15.75" hidden="1" customHeight="1">
      <c r="B3044" s="8">
        <v>3363.0</v>
      </c>
      <c r="C3044" s="9">
        <v>43610.0</v>
      </c>
      <c r="D3044" s="6" t="s">
        <v>4056</v>
      </c>
      <c r="E3044" s="4"/>
      <c r="F3044" s="8" t="s">
        <v>4057</v>
      </c>
      <c r="G3044" s="4" t="s">
        <v>898</v>
      </c>
      <c r="H3044" s="10" t="s">
        <v>2268</v>
      </c>
      <c r="I3044" s="10">
        <v>2.0</v>
      </c>
      <c r="J3044" s="11" t="str">
        <f>IF(D3044&lt;&gt;"",VLOOKUP(H3044,TABLEITEM,5,FALSE),"")</f>
        <v>LIT</v>
      </c>
      <c r="K3044" s="12">
        <v>420.0</v>
      </c>
      <c r="L3044" s="13" t="str">
        <f>IF(D3044&lt;&gt;"",VLOOKUP(H3044,TABLEITEM,2,FALSE),"")</f>
        <v/>
      </c>
      <c r="M3044" s="13" t="str">
        <f>IF(D3044&lt;&gt;"",VLOOKUP(H3044,TABLEITEM,3,FALSE),"")</f>
        <v>สีพ่นแห้งเร็ว(สีผสม)</v>
      </c>
      <c r="N3044" s="14">
        <f>INSTOCK!$I3044*INSTOCK!$K3044</f>
        <v>840</v>
      </c>
      <c r="O3044" s="4" t="s">
        <v>2360</v>
      </c>
      <c r="P3044" s="4"/>
    </row>
    <row r="3045" ht="15.75" hidden="1" customHeight="1">
      <c r="B3045" s="8">
        <v>3364.0</v>
      </c>
      <c r="C3045" s="9">
        <v>43610.0</v>
      </c>
      <c r="D3045" s="6" t="s">
        <v>4058</v>
      </c>
      <c r="E3045" s="4"/>
      <c r="F3045" s="8" t="s">
        <v>4059</v>
      </c>
      <c r="G3045" s="4" t="s">
        <v>3045</v>
      </c>
      <c r="H3045" s="10" t="s">
        <v>4060</v>
      </c>
      <c r="I3045" s="10">
        <v>3.0</v>
      </c>
      <c r="J3045" s="11" t="str">
        <f>IF(D3045&lt;&gt;"",VLOOKUP(H3045,TABLEITEM,5,FALSE),"")</f>
        <v>EA</v>
      </c>
      <c r="K3045" s="12">
        <v>499.0</v>
      </c>
      <c r="L3045" s="13" t="str">
        <f>IF(D3045&lt;&gt;"",VLOOKUP(H3045,TABLEITEM,2,FALSE),"")</f>
        <v/>
      </c>
      <c r="M3045" s="13" t="str">
        <f>IF(D3045&lt;&gt;"",VLOOKUP(H3045,TABLEITEM,3,FALSE),"")</f>
        <v>แบตเตอรี่แห้ง SAB12-5.4 AH</v>
      </c>
      <c r="N3045" s="14">
        <f>INSTOCK!$I3045*INSTOCK!$K3045</f>
        <v>1497</v>
      </c>
      <c r="O3045" s="4" t="s">
        <v>4061</v>
      </c>
      <c r="P3045" s="4"/>
    </row>
    <row r="3046" ht="15.75" hidden="1" customHeight="1">
      <c r="B3046" s="8">
        <v>3365.0</v>
      </c>
      <c r="C3046" s="9">
        <v>43613.0</v>
      </c>
      <c r="D3046" s="6" t="s">
        <v>4062</v>
      </c>
      <c r="E3046" s="4">
        <v>6.205000827E9</v>
      </c>
      <c r="F3046" s="8" t="s">
        <v>4063</v>
      </c>
      <c r="G3046" s="4" t="s">
        <v>965</v>
      </c>
      <c r="H3046" s="10" t="s">
        <v>4064</v>
      </c>
      <c r="I3046" s="10">
        <v>1.0</v>
      </c>
      <c r="J3046" s="11" t="str">
        <f>IF(D3046&lt;&gt;"",VLOOKUP(H3046,TABLEITEM,5,FALSE),"")</f>
        <v>EA</v>
      </c>
      <c r="K3046" s="12">
        <v>140.0</v>
      </c>
      <c r="L3046" s="13" t="str">
        <f>IF(D3046&lt;&gt;"",VLOOKUP(H3046,TABLEITEM,2,FALSE),"")</f>
        <v/>
      </c>
      <c r="M3046" s="13" t="str">
        <f>IF(D3046&lt;&gt;"",VLOOKUP(H3046,TABLEITEM,3,FALSE),"")</f>
        <v>ลูกลอยแท้งน้ำ 1/2"</v>
      </c>
      <c r="N3046" s="14">
        <f>INSTOCK!$I3046*INSTOCK!$K3046</f>
        <v>140</v>
      </c>
      <c r="O3046" s="4"/>
      <c r="P3046" s="4"/>
    </row>
    <row r="3047" ht="15.75" hidden="1" customHeight="1">
      <c r="B3047" s="8">
        <v>3366.0</v>
      </c>
      <c r="C3047" s="9">
        <v>43613.0</v>
      </c>
      <c r="D3047" s="6" t="s">
        <v>4062</v>
      </c>
      <c r="E3047" s="4">
        <v>6.205000827E9</v>
      </c>
      <c r="F3047" s="8" t="s">
        <v>4063</v>
      </c>
      <c r="G3047" s="4" t="s">
        <v>965</v>
      </c>
      <c r="H3047" s="10" t="s">
        <v>4065</v>
      </c>
      <c r="I3047" s="10">
        <v>2.0</v>
      </c>
      <c r="J3047" s="11" t="str">
        <f>IF(D3047&lt;&gt;"",VLOOKUP(H3047,TABLEITEM,5,FALSE),"")</f>
        <v>EA</v>
      </c>
      <c r="K3047" s="12">
        <v>4.0</v>
      </c>
      <c r="L3047" s="13" t="str">
        <f>IF(D3047&lt;&gt;"",VLOOKUP(H3047,TABLEITEM,2,FALSE),"")</f>
        <v/>
      </c>
      <c r="M3047" s="13" t="str">
        <f>IF(D3047&lt;&gt;"",VLOOKUP(H3047,TABLEITEM,3,FALSE),"")</f>
        <v>ข้องอ PVC 1/2"</v>
      </c>
      <c r="N3047" s="14">
        <f>INSTOCK!$I3047*INSTOCK!$K3047</f>
        <v>8</v>
      </c>
      <c r="O3047" s="4"/>
      <c r="P3047" s="4"/>
    </row>
    <row r="3048" ht="15.75" hidden="1" customHeight="1">
      <c r="B3048" s="8">
        <v>3367.0</v>
      </c>
      <c r="C3048" s="9">
        <v>43613.0</v>
      </c>
      <c r="D3048" s="6" t="s">
        <v>4062</v>
      </c>
      <c r="E3048" s="4">
        <v>6.205000827E9</v>
      </c>
      <c r="F3048" s="8" t="s">
        <v>4063</v>
      </c>
      <c r="G3048" s="4" t="s">
        <v>965</v>
      </c>
      <c r="H3048" s="10" t="s">
        <v>4066</v>
      </c>
      <c r="I3048" s="10">
        <v>1.0</v>
      </c>
      <c r="J3048" s="11" t="str">
        <f>IF(D3048&lt;&gt;"",VLOOKUP(H3048,TABLEITEM,5,FALSE),"")</f>
        <v>EA</v>
      </c>
      <c r="K3048" s="12">
        <v>3.0</v>
      </c>
      <c r="L3048" s="13" t="str">
        <f>IF(D3048&lt;&gt;"",VLOOKUP(H3048,TABLEITEM,2,FALSE),"")</f>
        <v/>
      </c>
      <c r="M3048" s="13" t="str">
        <f>IF(D3048&lt;&gt;"",VLOOKUP(H3048,TABLEITEM,3,FALSE),"")</f>
        <v>ต่อตรงเกลียวนอก 1/2"</v>
      </c>
      <c r="N3048" s="14">
        <f>INSTOCK!$I3048*INSTOCK!$K3048</f>
        <v>3</v>
      </c>
      <c r="O3048" s="4"/>
      <c r="P3048" s="4"/>
    </row>
    <row r="3049" ht="15.75" hidden="1" customHeight="1">
      <c r="B3049" s="8">
        <v>3368.0</v>
      </c>
      <c r="C3049" s="9">
        <v>43615.0</v>
      </c>
      <c r="D3049" s="6" t="s">
        <v>4067</v>
      </c>
      <c r="E3049" s="4"/>
      <c r="F3049" s="8" t="s">
        <v>801</v>
      </c>
      <c r="G3049" s="4" t="s">
        <v>1417</v>
      </c>
      <c r="H3049" s="10" t="s">
        <v>803</v>
      </c>
      <c r="I3049" s="10">
        <v>15.0</v>
      </c>
      <c r="J3049" s="11" t="str">
        <f>IF(D3049&lt;&gt;"",VLOOKUP(H3049,TABLEITEM,5,FALSE),"")</f>
        <v>ถัง</v>
      </c>
      <c r="K3049" s="12">
        <v>981.31</v>
      </c>
      <c r="L3049" s="13" t="str">
        <f>IF(D3049&lt;&gt;"",VLOOKUP(H3049,TABLEITEM,2,FALSE),"")</f>
        <v/>
      </c>
      <c r="M3049" s="13" t="str">
        <f>IF(D3049&lt;&gt;"",VLOOKUP(H3049,TABLEITEM,3,FALSE),"")</f>
        <v>แก๊สหุงต้ม 48กก</v>
      </c>
      <c r="N3049" s="14">
        <f>INSTOCK!$I3049*INSTOCK!$K3049</f>
        <v>14719.65</v>
      </c>
      <c r="O3049" s="4"/>
      <c r="P3049" s="4"/>
    </row>
    <row r="3050" ht="15.75" hidden="1" customHeight="1">
      <c r="B3050" s="8">
        <v>3369.0</v>
      </c>
      <c r="C3050" s="9">
        <v>43614.0</v>
      </c>
      <c r="D3050" s="6">
        <v>14955.0</v>
      </c>
      <c r="E3050" s="4"/>
      <c r="F3050" s="8" t="s">
        <v>633</v>
      </c>
      <c r="G3050" s="4" t="s">
        <v>3638</v>
      </c>
      <c r="H3050" s="10" t="s">
        <v>3691</v>
      </c>
      <c r="I3050" s="10">
        <v>1.0</v>
      </c>
      <c r="J3050" s="11" t="str">
        <f>IF(D3050&lt;&gt;"",VLOOKUP(H3050,TABLEITEM,5,FALSE),"")</f>
        <v>EA</v>
      </c>
      <c r="K3050" s="12">
        <v>2300.0</v>
      </c>
      <c r="L3050" s="13" t="str">
        <f>IF(D3050&lt;&gt;"",VLOOKUP(H3050,TABLEITEM,2,FALSE),"")</f>
        <v/>
      </c>
      <c r="M3050" s="13" t="str">
        <f>IF(D3050&lt;&gt;"",VLOOKUP(H3050,TABLEITEM,3,FALSE),"")</f>
        <v>DEL-PWSPLY-240W SFFHIP PWR SPLY 240W ORDER NO 930699035</v>
      </c>
      <c r="N3050" s="14">
        <f>INSTOCK!$I3050*INSTOCK!$K3050</f>
        <v>2300</v>
      </c>
      <c r="O3050" s="4"/>
      <c r="P3050" s="4"/>
    </row>
    <row r="3051" ht="15.75" hidden="1" customHeight="1">
      <c r="B3051" s="8">
        <v>3370.0</v>
      </c>
      <c r="C3051" s="9">
        <v>43615.0</v>
      </c>
      <c r="D3051" s="6" t="s">
        <v>4068</v>
      </c>
      <c r="E3051" s="4">
        <v>6.205000837E9</v>
      </c>
      <c r="F3051" s="8" t="s">
        <v>604</v>
      </c>
      <c r="G3051" s="4" t="s">
        <v>1946</v>
      </c>
      <c r="H3051" s="10" t="s">
        <v>1947</v>
      </c>
      <c r="I3051" s="10">
        <v>80.0</v>
      </c>
      <c r="J3051" s="11" t="str">
        <f>IF(D3051&lt;&gt;"",VLOOKUP(H3051,TABLEITEM,5,FALSE),"")</f>
        <v>KG.</v>
      </c>
      <c r="K3051" s="12">
        <v>18.0</v>
      </c>
      <c r="L3051" s="13" t="str">
        <f>IF(D3051&lt;&gt;"",VLOOKUP(H3051,TABLEITEM,2,FALSE),"")</f>
        <v/>
      </c>
      <c r="M3051" s="13" t="str">
        <f>IF(D3051&lt;&gt;"",VLOOKUP(H3051,TABLEITEM,3,FALSE),"")</f>
        <v>กระดาษลูกฟูก 48"เกรด A</v>
      </c>
      <c r="N3051" s="14">
        <f>INSTOCK!$I3051*INSTOCK!$K3051</f>
        <v>1440</v>
      </c>
      <c r="O3051" s="4"/>
      <c r="P3051" s="4"/>
    </row>
    <row r="3052" ht="15.75" hidden="1" customHeight="1">
      <c r="B3052" s="8">
        <v>3371.0</v>
      </c>
      <c r="C3052" s="9">
        <v>43615.0</v>
      </c>
      <c r="D3052" s="6" t="s">
        <v>4069</v>
      </c>
      <c r="E3052" s="4">
        <v>6.205000838E9</v>
      </c>
      <c r="F3052" s="8" t="s">
        <v>3845</v>
      </c>
      <c r="G3052" s="4" t="s">
        <v>1453</v>
      </c>
      <c r="H3052" s="10" t="s">
        <v>4070</v>
      </c>
      <c r="I3052" s="10">
        <v>4.0</v>
      </c>
      <c r="J3052" s="11" t="str">
        <f>IF(D3052&lt;&gt;"",VLOOKUP(H3052,TABLEITEM,5,FALSE),"")</f>
        <v>EA</v>
      </c>
      <c r="K3052" s="12">
        <v>488.775</v>
      </c>
      <c r="L3052" s="13" t="str">
        <f>IF(D3052&lt;&gt;"",VLOOKUP(H3052,TABLEITEM,2,FALSE),"")</f>
        <v/>
      </c>
      <c r="M3052" s="13" t="str">
        <f>IF(D3052&lt;&gt;"",VLOOKUP(H3052,TABLEITEM,3,FALSE),"")</f>
        <v>พัดลมระบายอากาศ PMV12.00110</v>
      </c>
      <c r="N3052" s="14">
        <f>INSTOCK!$I3052*INSTOCK!$K3052</f>
        <v>1955.1</v>
      </c>
      <c r="O3052" s="4" t="s">
        <v>3605</v>
      </c>
      <c r="P3052" s="4"/>
    </row>
    <row r="3053" ht="15.75" hidden="1" customHeight="1">
      <c r="B3053" s="8">
        <v>3372.0</v>
      </c>
      <c r="C3053" s="9">
        <v>43615.0</v>
      </c>
      <c r="D3053" s="6" t="s">
        <v>4071</v>
      </c>
      <c r="E3053" s="4">
        <v>6.205000839E9</v>
      </c>
      <c r="F3053" s="8" t="s">
        <v>4072</v>
      </c>
      <c r="G3053" s="4" t="s">
        <v>702</v>
      </c>
      <c r="H3053" s="10" t="s">
        <v>707</v>
      </c>
      <c r="I3053" s="10">
        <v>40.0</v>
      </c>
      <c r="J3053" s="11" t="str">
        <f>IF(D3053&lt;&gt;"",VLOOKUP(H3053,TABLEITEM,5,FALSE),"")</f>
        <v>KG.</v>
      </c>
      <c r="K3053" s="12">
        <v>180.0</v>
      </c>
      <c r="L3053" s="13" t="str">
        <f>IF(D3053&lt;&gt;"",VLOOKUP(H3053,TABLEITEM,2,FALSE),"")</f>
        <v/>
      </c>
      <c r="M3053" s="13" t="str">
        <f>IF(D3053&lt;&gt;"",VLOOKUP(H3053,TABLEITEM,3,FALSE),"")</f>
        <v>สีฝุ่น BFF/8551/C</v>
      </c>
      <c r="N3053" s="14">
        <f>INSTOCK!$I3053*INSTOCK!$K3053</f>
        <v>7200</v>
      </c>
      <c r="O3053" s="4"/>
      <c r="P3053" s="4"/>
    </row>
    <row r="3054" ht="15.75" hidden="1" customHeight="1">
      <c r="B3054" s="8">
        <v>3373.0</v>
      </c>
      <c r="C3054" s="9">
        <v>43613.0</v>
      </c>
      <c r="D3054" s="6" t="s">
        <v>4073</v>
      </c>
      <c r="E3054" s="4">
        <v>6.20500081E9</v>
      </c>
      <c r="F3054" s="8" t="s">
        <v>4074</v>
      </c>
      <c r="G3054" s="4" t="s">
        <v>2056</v>
      </c>
      <c r="H3054" s="10" t="s">
        <v>4075</v>
      </c>
      <c r="I3054" s="10">
        <v>1.0</v>
      </c>
      <c r="J3054" s="11" t="str">
        <f>IF(D3054&lt;&gt;"",VLOOKUP(H3054,TABLEITEM,5,FALSE),"")</f>
        <v>EA</v>
      </c>
      <c r="K3054" s="12">
        <v>1100.0</v>
      </c>
      <c r="L3054" s="13" t="str">
        <f>IF(D3054&lt;&gt;"",VLOOKUP(H3054,TABLEITEM,2,FALSE),"")</f>
        <v/>
      </c>
      <c r="M3054" s="13" t="str">
        <f>IF(D3054&lt;&gt;"",VLOOKUP(H3054,TABLEITEM,3,FALSE),"")</f>
        <v>REVKLE OPEN ANVILL D10 STD</v>
      </c>
      <c r="N3054" s="14">
        <f>INSTOCK!$I3054*INSTOCK!$K3054</f>
        <v>1100</v>
      </c>
      <c r="O3054" s="4"/>
      <c r="P3054" s="4"/>
    </row>
    <row r="3055" ht="15.75" hidden="1" customHeight="1">
      <c r="B3055" s="8">
        <v>3374.0</v>
      </c>
      <c r="C3055" s="9">
        <v>43614.0</v>
      </c>
      <c r="D3055" s="6" t="s">
        <v>4076</v>
      </c>
      <c r="E3055" s="4"/>
      <c r="F3055" s="8" t="s">
        <v>3667</v>
      </c>
      <c r="G3055" s="4" t="s">
        <v>3668</v>
      </c>
      <c r="H3055" s="10" t="s">
        <v>3669</v>
      </c>
      <c r="I3055" s="10">
        <v>4.0</v>
      </c>
      <c r="J3055" s="11" t="str">
        <f>IF(D3055&lt;&gt;"",VLOOKUP(H3055,TABLEITEM,5,FALSE),"")</f>
        <v>LIT</v>
      </c>
      <c r="K3055" s="12">
        <v>1300.0</v>
      </c>
      <c r="L3055" s="13" t="str">
        <f>IF(D3055&lt;&gt;"",VLOOKUP(H3055,TABLEITEM,2,FALSE),"")</f>
        <v/>
      </c>
      <c r="M3055" s="13" t="str">
        <f>IF(D3055&lt;&gt;"",VLOOKUP(H3055,TABLEITEM,3,FALSE),"")</f>
        <v>สีน้ำมัน เพนการ์ด อีนาเมล STD 136 </v>
      </c>
      <c r="N3055" s="14">
        <f>INSTOCK!$I3055*INSTOCK!$K3055</f>
        <v>5200</v>
      </c>
      <c r="O3055" s="4" t="s">
        <v>4077</v>
      </c>
      <c r="P3055" s="4"/>
    </row>
    <row r="3056" ht="15.75" hidden="1" customHeight="1">
      <c r="B3056" s="8">
        <v>3375.0</v>
      </c>
      <c r="C3056" s="9">
        <v>43614.0</v>
      </c>
      <c r="D3056" s="6" t="s">
        <v>4076</v>
      </c>
      <c r="E3056" s="4"/>
      <c r="F3056" s="8" t="s">
        <v>3667</v>
      </c>
      <c r="G3056" s="4" t="s">
        <v>3668</v>
      </c>
      <c r="H3056" s="10" t="s">
        <v>3670</v>
      </c>
      <c r="I3056" s="10">
        <v>4.0</v>
      </c>
      <c r="J3056" s="11" t="str">
        <f>IF(D3056&lt;&gt;"",VLOOKUP(H3056,TABLEITEM,5,FALSE),"")</f>
        <v>ปี๊ป</v>
      </c>
      <c r="K3056" s="12">
        <v>460.0</v>
      </c>
      <c r="L3056" s="13" t="str">
        <f>IF(D3056&lt;&gt;"",VLOOKUP(H3056,TABLEITEM,2,FALSE),"")</f>
        <v/>
      </c>
      <c r="M3056" s="13" t="str">
        <f>IF(D3056&lt;&gt;"",VLOOKUP(H3056,TABLEITEM,3,FALSE),"")</f>
        <v>ทินเนอร์ #17 ขนาด 5 ลิตร</v>
      </c>
      <c r="N3056" s="14">
        <f>INSTOCK!$I3056*INSTOCK!$K3056</f>
        <v>1840</v>
      </c>
      <c r="O3056" s="4" t="s">
        <v>4077</v>
      </c>
      <c r="P3056" s="4"/>
    </row>
    <row r="3057" ht="15.75" hidden="1" customHeight="1">
      <c r="B3057" s="8">
        <v>3376.0</v>
      </c>
      <c r="C3057" s="9">
        <v>43607.0</v>
      </c>
      <c r="D3057" s="6" t="s">
        <v>4078</v>
      </c>
      <c r="E3057" s="4"/>
      <c r="F3057" s="8" t="s">
        <v>3727</v>
      </c>
      <c r="G3057" s="4" t="s">
        <v>2941</v>
      </c>
      <c r="H3057" s="10" t="s">
        <v>4079</v>
      </c>
      <c r="I3057" s="10">
        <v>2.0</v>
      </c>
      <c r="J3057" s="11" t="str">
        <f>IF(D3057&lt;&gt;"",VLOOKUP(H3057,TABLEITEM,5,FALSE),"")</f>
        <v>EA</v>
      </c>
      <c r="K3057" s="12">
        <v>450.0</v>
      </c>
      <c r="L3057" s="13" t="str">
        <f>IF(D3057&lt;&gt;"",VLOOKUP(H3057,TABLEITEM,2,FALSE),"")</f>
        <v/>
      </c>
      <c r="M3057" s="13" t="str">
        <f>IF(D3057&lt;&gt;"",VLOOKUP(H3057,TABLEITEM,3,FALSE),"")</f>
        <v>ผ้าเช็ดหัวพิมพ์</v>
      </c>
      <c r="N3057" s="14">
        <f>INSTOCK!$I3057*INSTOCK!$K3057</f>
        <v>900</v>
      </c>
      <c r="O3057" s="4" t="s">
        <v>4080</v>
      </c>
      <c r="P3057" s="4"/>
    </row>
    <row r="3058" ht="15.75" hidden="1" customHeight="1">
      <c r="B3058" s="8">
        <v>3377.0</v>
      </c>
      <c r="C3058" s="9">
        <v>43614.0</v>
      </c>
      <c r="D3058" s="6" t="s">
        <v>4081</v>
      </c>
      <c r="E3058" s="4"/>
      <c r="F3058" s="8" t="s">
        <v>604</v>
      </c>
      <c r="G3058" s="4" t="s">
        <v>3099</v>
      </c>
      <c r="H3058" s="10" t="s">
        <v>2389</v>
      </c>
      <c r="I3058" s="10">
        <v>796.0</v>
      </c>
      <c r="J3058" s="11" t="str">
        <f>IF(D3058&lt;&gt;"",VLOOKUP(H3058,TABLEITEM,5,FALSE),"")</f>
        <v>EA</v>
      </c>
      <c r="K3058" s="12">
        <v>6.7</v>
      </c>
      <c r="L3058" s="13" t="str">
        <f>IF(D3058&lt;&gt;"",VLOOKUP(H3058,TABLEITEM,2,FALSE),"")</f>
        <v/>
      </c>
      <c r="M3058" s="13" t="str">
        <f>IF(D3058&lt;&gt;"",VLOOKUP(H3058,TABLEITEM,3,FALSE),"")</f>
        <v>บานพับตู้ Knock Down รุ่นพับงอ</v>
      </c>
      <c r="N3058" s="14">
        <f>INSTOCK!$I3058*INSTOCK!$K3058</f>
        <v>5333.2</v>
      </c>
      <c r="O3058" s="4"/>
      <c r="P3058" s="4"/>
    </row>
    <row r="3059" ht="15.75" hidden="1" customHeight="1">
      <c r="B3059" s="8">
        <v>3378.0</v>
      </c>
      <c r="C3059" s="9">
        <v>43614.0</v>
      </c>
      <c r="D3059" s="6">
        <v>38758.0</v>
      </c>
      <c r="E3059" s="4">
        <v>6.20500083E9</v>
      </c>
      <c r="F3059" s="8" t="s">
        <v>604</v>
      </c>
      <c r="G3059" s="4" t="s">
        <v>696</v>
      </c>
      <c r="H3059" s="10" t="s">
        <v>44</v>
      </c>
      <c r="I3059" s="10">
        <v>2.0</v>
      </c>
      <c r="J3059" s="11" t="str">
        <f>IF(D3059&lt;&gt;"",VLOOKUP(H3059,TABLEITEM,5,FALSE),"")</f>
        <v>ปี๊ป</v>
      </c>
      <c r="K3059" s="12">
        <v>370.0</v>
      </c>
      <c r="L3059" s="13" t="str">
        <f>IF(D3059&lt;&gt;"",VLOOKUP(H3059,TABLEITEM,2,FALSE),"")</f>
        <v/>
      </c>
      <c r="M3059" s="13" t="str">
        <f>IF(D3059&lt;&gt;"",VLOOKUP(H3059,TABLEITEM,3,FALSE),"")</f>
        <v>ทินเนอร์ AAA</v>
      </c>
      <c r="N3059" s="14">
        <f>INSTOCK!$I3059*INSTOCK!$K3059</f>
        <v>740</v>
      </c>
      <c r="O3059" s="4"/>
      <c r="P3059" s="4"/>
    </row>
    <row r="3060" ht="15.75" hidden="1" customHeight="1">
      <c r="B3060" s="8">
        <v>3379.0</v>
      </c>
      <c r="C3060" s="9">
        <v>43614.0</v>
      </c>
      <c r="D3060" s="6">
        <v>38758.0</v>
      </c>
      <c r="E3060" s="4">
        <v>6.20500083E9</v>
      </c>
      <c r="F3060" s="8" t="s">
        <v>604</v>
      </c>
      <c r="G3060" s="4" t="s">
        <v>696</v>
      </c>
      <c r="H3060" s="10" t="s">
        <v>43</v>
      </c>
      <c r="I3060" s="10">
        <v>4.0</v>
      </c>
      <c r="J3060" s="11" t="str">
        <f>IF(D3060&lt;&gt;"",VLOOKUP(H3060,TABLEITEM,5,FALSE),"")</f>
        <v>ปี๊ป</v>
      </c>
      <c r="K3060" s="12">
        <v>590.0</v>
      </c>
      <c r="L3060" s="13" t="str">
        <f>IF(D3060&lt;&gt;"",VLOOKUP(H3060,TABLEITEM,2,FALSE),"")</f>
        <v/>
      </c>
      <c r="M3060" s="13" t="str">
        <f>IF(D3060&lt;&gt;"",VLOOKUP(H3060,TABLEITEM,3,FALSE),"")</f>
        <v>ทินเนอร์อคลิลิค</v>
      </c>
      <c r="N3060" s="14">
        <f>INSTOCK!$I3060*INSTOCK!$K3060</f>
        <v>2360</v>
      </c>
      <c r="O3060" s="4"/>
      <c r="P3060" s="4"/>
    </row>
    <row r="3061" ht="15.75" hidden="1" customHeight="1">
      <c r="B3061" s="8">
        <v>3380.0</v>
      </c>
      <c r="C3061" s="9">
        <v>43620.0</v>
      </c>
      <c r="D3061" s="6" t="s">
        <v>4082</v>
      </c>
      <c r="E3061" s="4">
        <v>6.205000836E9</v>
      </c>
      <c r="F3061" s="8" t="s">
        <v>3845</v>
      </c>
      <c r="G3061" s="4" t="s">
        <v>1596</v>
      </c>
      <c r="H3061" s="10" t="s">
        <v>4083</v>
      </c>
      <c r="I3061" s="10">
        <v>1.0</v>
      </c>
      <c r="J3061" s="11" t="str">
        <f>IF(D3061&lt;&gt;"",VLOOKUP(H3061,TABLEITEM,5,FALSE),"")</f>
        <v>EA</v>
      </c>
      <c r="K3061" s="12">
        <v>480.0</v>
      </c>
      <c r="L3061" s="13" t="str">
        <f>IF(D3061&lt;&gt;"",VLOOKUP(H3061,TABLEITEM,2,FALSE),"")</f>
        <v/>
      </c>
      <c r="M3061" s="13" t="str">
        <f>IF(D3061&lt;&gt;"",VLOOKUP(H3061,TABLEITEM,3,FALSE),"")</f>
        <v>MCB S202-C63</v>
      </c>
      <c r="N3061" s="14">
        <f>INSTOCK!$I3061*INSTOCK!$K3061</f>
        <v>480</v>
      </c>
      <c r="O3061" s="4" t="s">
        <v>3854</v>
      </c>
      <c r="P3061" s="4"/>
    </row>
    <row r="3062" ht="15.75" hidden="1" customHeight="1">
      <c r="B3062" s="8">
        <v>3381.0</v>
      </c>
      <c r="C3062" s="9">
        <v>43614.0</v>
      </c>
      <c r="D3062" s="6" t="s">
        <v>4084</v>
      </c>
      <c r="E3062" s="4">
        <v>6.205000721E9</v>
      </c>
      <c r="F3062" s="8" t="s">
        <v>604</v>
      </c>
      <c r="G3062" s="4" t="s">
        <v>1777</v>
      </c>
      <c r="H3062" s="10" t="s">
        <v>4085</v>
      </c>
      <c r="I3062" s="10">
        <v>1000.0</v>
      </c>
      <c r="J3062" s="11" t="str">
        <f>IF(D3062&lt;&gt;"",VLOOKUP(H3062,TABLEITEM,5,FALSE),"")</f>
        <v>EA</v>
      </c>
      <c r="K3062" s="12">
        <v>1.85</v>
      </c>
      <c r="L3062" s="13" t="str">
        <f>IF(D3062&lt;&gt;"",VLOOKUP(H3062,TABLEITEM,2,FALSE),"")</f>
        <v/>
      </c>
      <c r="M3062" s="13" t="str">
        <f>IF(D3062&lt;&gt;"",VLOOKUP(H3062,TABLEITEM,3,FALSE),"")</f>
        <v>สกรูหัวกลมชุบขาว M4x35</v>
      </c>
      <c r="N3062" s="14">
        <f>INSTOCK!$I3062*INSTOCK!$K3062</f>
        <v>1850</v>
      </c>
      <c r="O3062" s="4"/>
      <c r="P3062" s="4"/>
    </row>
    <row r="3063" ht="15.75" hidden="1" customHeight="1">
      <c r="B3063" s="8">
        <v>3382.0</v>
      </c>
      <c r="C3063" s="9">
        <v>43613.0</v>
      </c>
      <c r="D3063" s="6" t="s">
        <v>4086</v>
      </c>
      <c r="E3063" s="4">
        <v>6.205000824E9</v>
      </c>
      <c r="F3063" s="8" t="s">
        <v>4087</v>
      </c>
      <c r="G3063" s="4" t="s">
        <v>702</v>
      </c>
      <c r="H3063" s="10" t="s">
        <v>779</v>
      </c>
      <c r="I3063" s="10">
        <v>100.0</v>
      </c>
      <c r="J3063" s="11" t="str">
        <f>IF(D3063&lt;&gt;"",VLOOKUP(H3063,TABLEITEM,5,FALSE),"")</f>
        <v>KG.</v>
      </c>
      <c r="K3063" s="12">
        <v>130.0</v>
      </c>
      <c r="L3063" s="13" t="str">
        <f>IF(D3063&lt;&gt;"",VLOOKUP(H3063,TABLEITEM,2,FALSE),"")</f>
        <v/>
      </c>
      <c r="M3063" s="13" t="str">
        <f>IF(D3063&lt;&gt;"",VLOOKUP(H3063,TABLEITEM,3,FALSE),"")</f>
        <v>สีฝุ่น FF110/948/C สีครีม</v>
      </c>
      <c r="N3063" s="14">
        <f>INSTOCK!$I3063*INSTOCK!$K3063</f>
        <v>13000</v>
      </c>
      <c r="O3063" s="4"/>
      <c r="P3063" s="4"/>
    </row>
    <row r="3064" ht="15.75" hidden="1" customHeight="1">
      <c r="B3064" s="8">
        <v>3383.0</v>
      </c>
      <c r="C3064" s="9">
        <v>43139.0</v>
      </c>
      <c r="D3064" s="6" t="s">
        <v>4088</v>
      </c>
      <c r="E3064" s="4">
        <v>6.102000173E9</v>
      </c>
      <c r="F3064" s="8" t="s">
        <v>4089</v>
      </c>
      <c r="G3064" s="4" t="s">
        <v>1485</v>
      </c>
      <c r="H3064" s="10" t="s">
        <v>4090</v>
      </c>
      <c r="I3064" s="10">
        <v>4.0</v>
      </c>
      <c r="J3064" s="11" t="str">
        <f>IF(D3064&lt;&gt;"",VLOOKUP(H3064,TABLEITEM,5,FALSE),"")</f>
        <v>EA</v>
      </c>
      <c r="K3064" s="12">
        <v>140.8</v>
      </c>
      <c r="L3064" s="13" t="str">
        <f>IF(D3064&lt;&gt;"",VLOOKUP(H3064,TABLEITEM,2,FALSE),"")</f>
        <v/>
      </c>
      <c r="M3064" s="13" t="str">
        <f>IF(D3064&lt;&gt;"",VLOOKUP(H3064,TABLEITEM,3,FALSE),"")</f>
        <v>HARMONY XAC ROUND HEAD FOR PUSHBUTTUN WHITE BOOTED</v>
      </c>
      <c r="N3064" s="14">
        <f>INSTOCK!$I3064*INSTOCK!$K3064</f>
        <v>563.2</v>
      </c>
      <c r="O3064" s="4"/>
      <c r="P3064" s="4"/>
    </row>
    <row r="3065" ht="15.75" hidden="1" customHeight="1">
      <c r="B3065" s="8">
        <v>3384.0</v>
      </c>
      <c r="C3065" s="9">
        <v>43139.0</v>
      </c>
      <c r="D3065" s="6" t="s">
        <v>4088</v>
      </c>
      <c r="E3065" s="4">
        <v>6.102000173E9</v>
      </c>
      <c r="F3065" s="8" t="s">
        <v>4089</v>
      </c>
      <c r="G3065" s="4" t="s">
        <v>1485</v>
      </c>
      <c r="H3065" s="10" t="s">
        <v>4090</v>
      </c>
      <c r="I3065" s="10">
        <v>1.0</v>
      </c>
      <c r="J3065" s="11" t="str">
        <f>IF(D3065&lt;&gt;"",VLOOKUP(H3065,TABLEITEM,5,FALSE),"")</f>
        <v>EA</v>
      </c>
      <c r="K3065" s="12">
        <v>140.8</v>
      </c>
      <c r="L3065" s="13" t="str">
        <f>IF(D3065&lt;&gt;"",VLOOKUP(H3065,TABLEITEM,2,FALSE),"")</f>
        <v/>
      </c>
      <c r="M3065" s="13" t="str">
        <f>IF(D3065&lt;&gt;"",VLOOKUP(H3065,TABLEITEM,3,FALSE),"")</f>
        <v>HARMONY XAC ROUND HEAD FOR PUSHBUTTUN WHITE BOOTED</v>
      </c>
      <c r="N3065" s="14">
        <f>INSTOCK!$I3065*INSTOCK!$K3065</f>
        <v>140.8</v>
      </c>
      <c r="O3065" s="4"/>
      <c r="P3065" s="4"/>
    </row>
    <row r="3066" ht="15.75" hidden="1" customHeight="1">
      <c r="B3066" s="8">
        <v>3385.0</v>
      </c>
      <c r="C3066" s="9">
        <v>43139.0</v>
      </c>
      <c r="D3066" s="6" t="s">
        <v>4088</v>
      </c>
      <c r="E3066" s="4">
        <v>6.102000173E9</v>
      </c>
      <c r="F3066" s="8" t="s">
        <v>4089</v>
      </c>
      <c r="G3066" s="4" t="s">
        <v>1485</v>
      </c>
      <c r="H3066" s="10" t="s">
        <v>4091</v>
      </c>
      <c r="I3066" s="10">
        <v>5.0</v>
      </c>
      <c r="J3066" s="11" t="str">
        <f>IF(D3066&lt;&gt;"",VLOOKUP(H3066,TABLEITEM,5,FALSE),"")</f>
        <v>EA</v>
      </c>
      <c r="K3066" s="12">
        <v>140.8</v>
      </c>
      <c r="L3066" s="13" t="str">
        <f>IF(D3066&lt;&gt;"",VLOOKUP(H3066,TABLEITEM,2,FALSE),"")</f>
        <v/>
      </c>
      <c r="M3066" s="13" t="str">
        <f>IF(D3066&lt;&gt;"",VLOOKUP(H3066,TABLEITEM,3,FALSE),"")</f>
        <v>HARMONY XAC ROUND HEAD FOR PUSHBUTTUN BLACK BOOTED</v>
      </c>
      <c r="N3066" s="14">
        <f>INSTOCK!$I3066*INSTOCK!$K3066</f>
        <v>704</v>
      </c>
      <c r="O3066" s="4"/>
      <c r="P3066" s="4"/>
    </row>
    <row r="3067" ht="15.75" hidden="1" customHeight="1">
      <c r="B3067" s="8">
        <v>3386.0</v>
      </c>
      <c r="C3067" s="9">
        <v>43139.0</v>
      </c>
      <c r="D3067" s="6" t="s">
        <v>4088</v>
      </c>
      <c r="E3067" s="4">
        <v>6.102000173E9</v>
      </c>
      <c r="F3067" s="8" t="s">
        <v>4089</v>
      </c>
      <c r="G3067" s="4" t="s">
        <v>1485</v>
      </c>
      <c r="H3067" s="10" t="s">
        <v>4092</v>
      </c>
      <c r="I3067" s="10">
        <v>1.0</v>
      </c>
      <c r="J3067" s="11" t="str">
        <f>IF(D3067&lt;&gt;"",VLOOKUP(H3067,TABLEITEM,5,FALSE),"")</f>
        <v>EA</v>
      </c>
      <c r="K3067" s="12">
        <v>475.2</v>
      </c>
      <c r="L3067" s="13" t="str">
        <f>IF(D3067&lt;&gt;"",VLOOKUP(H3067,TABLEITEM,2,FALSE),"")</f>
        <v/>
      </c>
      <c r="M3067" s="13" t="str">
        <f>IF(D3067&lt;&gt;"",VLOOKUP(H3067,TABLEITEM,3,FALSE),"")</f>
        <v>HARMONY XAC PROTECTIVE GUARD FOR SELECTOR SWITCH </v>
      </c>
      <c r="N3067" s="14">
        <f>INSTOCK!$I3067*INSTOCK!$K3067</f>
        <v>475.2</v>
      </c>
      <c r="O3067" s="4"/>
      <c r="P3067" s="4"/>
    </row>
    <row r="3068" ht="15.75" hidden="1" customHeight="1">
      <c r="B3068" s="8">
        <v>3387.0</v>
      </c>
      <c r="C3068" s="9">
        <v>43139.0</v>
      </c>
      <c r="D3068" s="6" t="s">
        <v>4088</v>
      </c>
      <c r="E3068" s="4">
        <v>6.102000173E9</v>
      </c>
      <c r="F3068" s="8" t="s">
        <v>4089</v>
      </c>
      <c r="G3068" s="4" t="s">
        <v>1485</v>
      </c>
      <c r="H3068" s="10" t="s">
        <v>4093</v>
      </c>
      <c r="I3068" s="10">
        <v>1.0</v>
      </c>
      <c r="J3068" s="11" t="str">
        <f>IF(D3068&lt;&gt;"",VLOOKUP(H3068,TABLEITEM,5,FALSE),"")</f>
        <v>EA</v>
      </c>
      <c r="K3068" s="12">
        <v>334.4</v>
      </c>
      <c r="L3068" s="13" t="str">
        <f>IF(D3068&lt;&gt;"",VLOOKUP(H3068,TABLEITEM,2,FALSE),"")</f>
        <v/>
      </c>
      <c r="M3068" s="13" t="str">
        <f>IF(D3068&lt;&gt;"",VLOOKUP(H3068,TABLEITEM,3,FALSE),"")</f>
        <v>HARMONY XB5 EMERGENCY STOP SWITCHING OFFHEAD RED</v>
      </c>
      <c r="N3068" s="14">
        <f>INSTOCK!$I3068*INSTOCK!$K3068</f>
        <v>334.4</v>
      </c>
      <c r="O3068" s="4"/>
      <c r="P3068" s="4"/>
    </row>
    <row r="3069" ht="15.75" hidden="1" customHeight="1">
      <c r="B3069" s="8">
        <v>3388.0</v>
      </c>
      <c r="C3069" s="9">
        <v>43139.0</v>
      </c>
      <c r="D3069" s="6" t="s">
        <v>4094</v>
      </c>
      <c r="E3069" s="4"/>
      <c r="F3069" s="8" t="s">
        <v>1442</v>
      </c>
      <c r="G3069" s="4" t="s">
        <v>1522</v>
      </c>
      <c r="H3069" s="10" t="s">
        <v>1542</v>
      </c>
      <c r="I3069" s="10">
        <v>10.0</v>
      </c>
      <c r="J3069" s="11" t="str">
        <f>IF(D3069&lt;&gt;"",VLOOKUP(H3069,TABLEITEM,5,FALSE),"")</f>
        <v>EA</v>
      </c>
      <c r="K3069" s="12">
        <v>220.0</v>
      </c>
      <c r="L3069" s="13" t="str">
        <f>IF(D3069&lt;&gt;"",VLOOKUP(H3069,TABLEITEM,2,FALSE),"")</f>
        <v/>
      </c>
      <c r="M3069" s="13" t="str">
        <f>IF(D3069&lt;&gt;"",VLOOKUP(H3069,TABLEITEM,3,FALSE),"")</f>
        <v>หลอดแสงจันทร์ HPL-N400W</v>
      </c>
      <c r="N3069" s="14">
        <f>INSTOCK!$I3069*INSTOCK!$K3069</f>
        <v>2200</v>
      </c>
      <c r="O3069" s="4"/>
      <c r="P3069" s="4"/>
    </row>
    <row r="3070" ht="15.75" hidden="1" customHeight="1">
      <c r="B3070" s="8">
        <v>3389.0</v>
      </c>
      <c r="C3070" s="9">
        <v>43504.0</v>
      </c>
      <c r="D3070" s="6" t="s">
        <v>4095</v>
      </c>
      <c r="E3070" s="4">
        <v>6.10200017E9</v>
      </c>
      <c r="F3070" s="8" t="s">
        <v>2052</v>
      </c>
      <c r="G3070" s="4" t="s">
        <v>2453</v>
      </c>
      <c r="H3070" s="10" t="s">
        <v>2905</v>
      </c>
      <c r="I3070" s="10">
        <v>20.0</v>
      </c>
      <c r="J3070" s="11" t="str">
        <f>IF(D3070&lt;&gt;"",VLOOKUP(H3070,TABLEITEM,5,FALSE),"")</f>
        <v>EA</v>
      </c>
      <c r="K3070" s="12">
        <v>26.6</v>
      </c>
      <c r="L3070" s="13" t="str">
        <f>IF(D3070&lt;&gt;"",VLOOKUP(H3070,TABLEITEM,2,FALSE),"")</f>
        <v/>
      </c>
      <c r="M3070" s="13" t="str">
        <f>IF(D3070&lt;&gt;"",VLOOKUP(H3070,TABLEITEM,3,FALSE),"")</f>
        <v>ดอกสว่าน NACHI 3.3 MM</v>
      </c>
      <c r="N3070" s="14">
        <f>INSTOCK!$I3070*INSTOCK!$K3070</f>
        <v>532</v>
      </c>
      <c r="O3070" s="4"/>
      <c r="P3070" s="4"/>
    </row>
    <row r="3071" ht="15.75" hidden="1" customHeight="1">
      <c r="B3071" s="8">
        <v>3390.0</v>
      </c>
      <c r="C3071" s="9">
        <v>43504.0</v>
      </c>
      <c r="D3071" s="6" t="s">
        <v>4095</v>
      </c>
      <c r="E3071" s="4">
        <v>6.10200017E9</v>
      </c>
      <c r="F3071" s="8" t="s">
        <v>2052</v>
      </c>
      <c r="G3071" s="4" t="s">
        <v>2453</v>
      </c>
      <c r="H3071" s="10" t="s">
        <v>2585</v>
      </c>
      <c r="I3071" s="10">
        <v>10.0</v>
      </c>
      <c r="J3071" s="11" t="str">
        <f>IF(D3071&lt;&gt;"",VLOOKUP(H3071,TABLEITEM,5,FALSE),"")</f>
        <v>EA</v>
      </c>
      <c r="K3071" s="12">
        <v>31.26</v>
      </c>
      <c r="L3071" s="13" t="str">
        <f>IF(D3071&lt;&gt;"",VLOOKUP(H3071,TABLEITEM,2,FALSE),"")</f>
        <v/>
      </c>
      <c r="M3071" s="13" t="str">
        <f>IF(D3071&lt;&gt;"",VLOOKUP(H3071,TABLEITEM,3,FALSE),"")</f>
        <v>ดอกสว่านนาซิ L/N 500 4.0mm</v>
      </c>
      <c r="N3071" s="14">
        <f>INSTOCK!$I3071*INSTOCK!$K3071</f>
        <v>312.6</v>
      </c>
      <c r="O3071" s="4"/>
      <c r="P3071" s="4"/>
    </row>
    <row r="3072" ht="15.75" hidden="1" customHeight="1">
      <c r="B3072" s="8">
        <v>3391.0</v>
      </c>
      <c r="C3072" s="9">
        <v>43504.0</v>
      </c>
      <c r="D3072" s="6" t="s">
        <v>4095</v>
      </c>
      <c r="E3072" s="4">
        <v>6.10200017E9</v>
      </c>
      <c r="F3072" s="8" t="s">
        <v>2052</v>
      </c>
      <c r="G3072" s="4" t="s">
        <v>2453</v>
      </c>
      <c r="H3072" s="10" t="s">
        <v>2454</v>
      </c>
      <c r="I3072" s="10">
        <v>10.0</v>
      </c>
      <c r="J3072" s="11" t="str">
        <f>IF(D3072&lt;&gt;"",VLOOKUP(H3072,TABLEITEM,5,FALSE),"")</f>
        <v>EA</v>
      </c>
      <c r="K3072" s="12">
        <v>43.23</v>
      </c>
      <c r="L3072" s="13" t="str">
        <f>IF(D3072&lt;&gt;"",VLOOKUP(H3072,TABLEITEM,2,FALSE),"")</f>
        <v/>
      </c>
      <c r="M3072" s="13" t="str">
        <f>IF(D3072&lt;&gt;"",VLOOKUP(H3072,TABLEITEM,3,FALSE),"")</f>
        <v>ดอกสว่าน นาซิ L/N 500 5.00มิล</v>
      </c>
      <c r="N3072" s="14">
        <f>INSTOCK!$I3072*INSTOCK!$K3072</f>
        <v>432.3</v>
      </c>
      <c r="O3072" s="4"/>
      <c r="P3072" s="4"/>
    </row>
    <row r="3073" ht="15.75" hidden="1" customHeight="1">
      <c r="B3073" s="8">
        <v>3392.0</v>
      </c>
      <c r="C3073" s="9">
        <v>43138.0</v>
      </c>
      <c r="D3073" s="6">
        <v>6.1020239E8</v>
      </c>
      <c r="E3073" s="4">
        <v>6.102000167E9</v>
      </c>
      <c r="F3073" s="8"/>
      <c r="G3073" s="4" t="s">
        <v>1130</v>
      </c>
      <c r="H3073" s="10" t="s">
        <v>1981</v>
      </c>
      <c r="I3073" s="10">
        <v>1.0</v>
      </c>
      <c r="J3073" s="11" t="str">
        <f>IF(D3073&lt;&gt;"",VLOOKUP(H3073,TABLEITEM,5,FALSE),"")</f>
        <v>EA</v>
      </c>
      <c r="K3073" s="12">
        <v>121.12</v>
      </c>
      <c r="L3073" s="13" t="str">
        <f>IF(D3073&lt;&gt;"",VLOOKUP(H3073,TABLEITEM,2,FALSE),"")</f>
        <v/>
      </c>
      <c r="M3073" s="13" t="str">
        <f>IF(D3073&lt;&gt;"",VLOOKUP(H3073,TABLEITEM,3,FALSE),"")</f>
        <v>CT30/5 MSQ40</v>
      </c>
      <c r="N3073" s="14">
        <f>INSTOCK!$I3073*INSTOCK!$K3073</f>
        <v>121.12</v>
      </c>
      <c r="O3073" s="4" t="s">
        <v>1898</v>
      </c>
      <c r="P3073" s="4"/>
    </row>
    <row r="3074" ht="15.75" hidden="1" customHeight="1">
      <c r="B3074" s="8">
        <v>3393.0</v>
      </c>
      <c r="C3074" s="9">
        <v>43138.0</v>
      </c>
      <c r="D3074" s="6">
        <v>6.1020239E8</v>
      </c>
      <c r="E3074" s="4">
        <v>6.102000167E9</v>
      </c>
      <c r="F3074" s="8"/>
      <c r="G3074" s="4" t="s">
        <v>1130</v>
      </c>
      <c r="H3074" s="10" t="s">
        <v>2175</v>
      </c>
      <c r="I3074" s="10">
        <v>1.0</v>
      </c>
      <c r="J3074" s="11" t="str">
        <f>IF(D3074&lt;&gt;"",VLOOKUP(H3074,TABLEITEM,5,FALSE),"")</f>
        <v>EA</v>
      </c>
      <c r="K3074" s="12">
        <v>1166.22</v>
      </c>
      <c r="L3074" s="13" t="str">
        <f>IF(D3074&lt;&gt;"",VLOOKUP(H3074,TABLEITEM,2,FALSE),"")</f>
        <v/>
      </c>
      <c r="M3074" s="13" t="str">
        <f>IF(D3074&lt;&gt;"",VLOOKUP(H3074,TABLEITEM,3,FALSE),"")</f>
        <v>COUNTER H7EC-N </v>
      </c>
      <c r="N3074" s="14">
        <f>INSTOCK!$I3074*INSTOCK!$K3074</f>
        <v>1166.22</v>
      </c>
      <c r="O3074" s="4" t="s">
        <v>4096</v>
      </c>
      <c r="P3074" s="4"/>
    </row>
    <row r="3075" ht="15.75" hidden="1" customHeight="1">
      <c r="B3075" s="8">
        <v>3394.0</v>
      </c>
      <c r="C3075" s="9">
        <v>43138.0</v>
      </c>
      <c r="D3075" s="6">
        <v>6.1020239E8</v>
      </c>
      <c r="E3075" s="4">
        <v>6.102000167E9</v>
      </c>
      <c r="F3075" s="8"/>
      <c r="G3075" s="4" t="s">
        <v>1130</v>
      </c>
      <c r="H3075" s="10" t="s">
        <v>2177</v>
      </c>
      <c r="I3075" s="10">
        <v>1.0</v>
      </c>
      <c r="J3075" s="11" t="str">
        <f>IF(D3075&lt;&gt;"",VLOOKUP(H3075,TABLEITEM,5,FALSE),"")</f>
        <v>EA</v>
      </c>
      <c r="K3075" s="12">
        <v>292.62</v>
      </c>
      <c r="L3075" s="13" t="str">
        <f>IF(D3075&lt;&gt;"",VLOOKUP(H3075,TABLEITEM,2,FALSE),"")</f>
        <v/>
      </c>
      <c r="M3075" s="13" t="str">
        <f>IF(D3075&lt;&gt;"",VLOOKUP(H3075,TABLEITEM,3,FALSE),"")</f>
        <v>RELAY LY4N 220/240VAC</v>
      </c>
      <c r="N3075" s="14">
        <f>INSTOCK!$I3075*INSTOCK!$K3075</f>
        <v>292.62</v>
      </c>
      <c r="O3075" s="4" t="s">
        <v>4097</v>
      </c>
      <c r="P3075" s="4"/>
    </row>
    <row r="3076" ht="15.75" hidden="1" customHeight="1">
      <c r="B3076" s="8">
        <v>3395.0</v>
      </c>
      <c r="C3076" s="9">
        <v>43138.0</v>
      </c>
      <c r="D3076" s="6">
        <v>6.1020239E8</v>
      </c>
      <c r="E3076" s="4">
        <v>6.102000167E9</v>
      </c>
      <c r="F3076" s="8"/>
      <c r="G3076" s="4" t="s">
        <v>1130</v>
      </c>
      <c r="H3076" s="10" t="s">
        <v>2179</v>
      </c>
      <c r="I3076" s="10">
        <v>1.0</v>
      </c>
      <c r="J3076" s="11" t="str">
        <f>IF(D3076&lt;&gt;"",VLOOKUP(H3076,TABLEITEM,5,FALSE),"")</f>
        <v>EA</v>
      </c>
      <c r="K3076" s="12">
        <v>148.43</v>
      </c>
      <c r="L3076" s="13" t="str">
        <f>IF(D3076&lt;&gt;"",VLOOKUP(H3076,TABLEITEM,2,FALSE),"")</f>
        <v/>
      </c>
      <c r="M3076" s="13" t="str">
        <f>IF(D3076&lt;&gt;"",VLOOKUP(H3076,TABLEITEM,3,FALSE),"")</f>
        <v>SOCKET PTF14A-E</v>
      </c>
      <c r="N3076" s="14">
        <f>INSTOCK!$I3076*INSTOCK!$K3076</f>
        <v>148.43</v>
      </c>
      <c r="O3076" s="4" t="s">
        <v>4098</v>
      </c>
      <c r="P3076" s="4"/>
    </row>
    <row r="3077" ht="15.75" hidden="1" customHeight="1">
      <c r="B3077" s="8">
        <v>3396.0</v>
      </c>
      <c r="C3077" s="9">
        <v>43138.0</v>
      </c>
      <c r="D3077" s="6">
        <v>6.1020239E8</v>
      </c>
      <c r="E3077" s="4">
        <v>6.102000167E9</v>
      </c>
      <c r="F3077" s="8"/>
      <c r="G3077" s="4" t="s">
        <v>1130</v>
      </c>
      <c r="H3077" s="10" t="s">
        <v>1558</v>
      </c>
      <c r="I3077" s="10">
        <v>10.0</v>
      </c>
      <c r="J3077" s="11" t="str">
        <f>IF(D3077&lt;&gt;"",VLOOKUP(H3077,TABLEITEM,5,FALSE),"")</f>
        <v>EA</v>
      </c>
      <c r="K3077" s="12">
        <v>369.6</v>
      </c>
      <c r="L3077" s="13" t="str">
        <f>IF(D3077&lt;&gt;"",VLOOKUP(H3077,TABLEITEM,2,FALSE),"")</f>
        <v/>
      </c>
      <c r="M3077" s="13" t="str">
        <f>IF(D3077&lt;&gt;"",VLOOKUP(H3077,TABLEITEM,3,FALSE),"")</f>
        <v>CONTACTOR LC1D09M7</v>
      </c>
      <c r="N3077" s="14">
        <f>INSTOCK!$I3077*INSTOCK!$K3077</f>
        <v>3696</v>
      </c>
      <c r="O3077" s="4" t="s">
        <v>4099</v>
      </c>
      <c r="P3077" s="4"/>
    </row>
    <row r="3078" ht="15.75" hidden="1" customHeight="1">
      <c r="B3078" s="8">
        <v>3397.0</v>
      </c>
      <c r="C3078" s="9">
        <v>43138.0</v>
      </c>
      <c r="D3078" s="6" t="s">
        <v>4100</v>
      </c>
      <c r="E3078" s="4">
        <v>6.102000166E9</v>
      </c>
      <c r="F3078" s="8" t="s">
        <v>3262</v>
      </c>
      <c r="G3078" s="4" t="s">
        <v>1485</v>
      </c>
      <c r="H3078" s="10" t="s">
        <v>3095</v>
      </c>
      <c r="I3078" s="10">
        <v>1.0</v>
      </c>
      <c r="J3078" s="11" t="str">
        <f>IF(D3078&lt;&gt;"",VLOOKUP(H3078,TABLEITEM,5,FALSE),"")</f>
        <v>EA</v>
      </c>
      <c r="K3078" s="12">
        <v>2244.0</v>
      </c>
      <c r="L3078" s="13" t="str">
        <f>IF(D3078&lt;&gt;"",VLOOKUP(H3078,TABLEITEM,2,FALSE),"")</f>
        <v/>
      </c>
      <c r="M3078" s="13" t="str">
        <f>IF(D3078&lt;&gt;"",VLOOKUP(H3078,TABLEITEM,3,FALSE),"")</f>
        <v>TESYS D CONTACTOR 3P(3NO) AC-3 440V 50A 220VAC AC COIL</v>
      </c>
      <c r="N3078" s="14">
        <f>INSTOCK!$I3078*INSTOCK!$K3078</f>
        <v>2244</v>
      </c>
      <c r="O3078" s="4"/>
      <c r="P3078" s="4"/>
    </row>
    <row r="3079" ht="15.75" hidden="1" customHeight="1">
      <c r="B3079" s="8">
        <v>3398.0</v>
      </c>
      <c r="C3079" s="9">
        <v>43138.0</v>
      </c>
      <c r="D3079" s="6" t="s">
        <v>4100</v>
      </c>
      <c r="E3079" s="4">
        <v>6.102000166E9</v>
      </c>
      <c r="F3079" s="8" t="s">
        <v>3262</v>
      </c>
      <c r="G3079" s="4" t="s">
        <v>1485</v>
      </c>
      <c r="H3079" s="10" t="s">
        <v>2159</v>
      </c>
      <c r="I3079" s="10">
        <v>1.0</v>
      </c>
      <c r="J3079" s="11" t="str">
        <f>IF(D3079&lt;&gt;"",VLOOKUP(H3079,TABLEITEM,5,FALSE),"")</f>
        <v>EA</v>
      </c>
      <c r="K3079" s="12">
        <v>292.6</v>
      </c>
      <c r="L3079" s="13" t="str">
        <f>IF(D3079&lt;&gt;"",VLOOKUP(H3079,TABLEITEM,2,FALSE),"")</f>
        <v/>
      </c>
      <c r="M3079" s="13" t="str">
        <f>IF(D3079&lt;&gt;"",VLOOKUP(H3079,TABLEITEM,3,FALSE),"")</f>
        <v>SELEATOR SWITCH #22 2POS STAY PUT RON</v>
      </c>
      <c r="N3079" s="14">
        <f>INSTOCK!$I3079*INSTOCK!$K3079</f>
        <v>292.6</v>
      </c>
      <c r="O3079" s="4"/>
      <c r="P3079" s="4"/>
    </row>
    <row r="3080" ht="15.75" hidden="1" customHeight="1">
      <c r="B3080" s="8">
        <v>3399.0</v>
      </c>
      <c r="C3080" s="9">
        <v>43138.0</v>
      </c>
      <c r="D3080" s="6" t="s">
        <v>4100</v>
      </c>
      <c r="E3080" s="4">
        <v>6.102000166E9</v>
      </c>
      <c r="F3080" s="8" t="s">
        <v>3262</v>
      </c>
      <c r="G3080" s="4" t="s">
        <v>1485</v>
      </c>
      <c r="H3080" s="10" t="s">
        <v>2159</v>
      </c>
      <c r="I3080" s="10">
        <v>1.0</v>
      </c>
      <c r="J3080" s="11" t="str">
        <f>IF(D3080&lt;&gt;"",VLOOKUP(H3080,TABLEITEM,5,FALSE),"")</f>
        <v>EA</v>
      </c>
      <c r="K3080" s="12">
        <v>292.6</v>
      </c>
      <c r="L3080" s="13" t="str">
        <f>IF(D3080&lt;&gt;"",VLOOKUP(H3080,TABLEITEM,2,FALSE),"")</f>
        <v/>
      </c>
      <c r="M3080" s="13" t="str">
        <f>IF(D3080&lt;&gt;"",VLOOKUP(H3080,TABLEITEM,3,FALSE),"")</f>
        <v>SELEATOR SWITCH #22 2POS STAY PUT RON</v>
      </c>
      <c r="N3080" s="14">
        <f>INSTOCK!$I3080*INSTOCK!$K3080</f>
        <v>292.6</v>
      </c>
      <c r="O3080" s="4"/>
      <c r="P3080" s="4"/>
    </row>
    <row r="3081" ht="15.75" hidden="1" customHeight="1">
      <c r="B3081" s="8">
        <v>3400.0</v>
      </c>
      <c r="C3081" s="9">
        <v>43138.0</v>
      </c>
      <c r="D3081" s="6" t="s">
        <v>4100</v>
      </c>
      <c r="E3081" s="4">
        <v>6.102000166E9</v>
      </c>
      <c r="F3081" s="8" t="s">
        <v>3262</v>
      </c>
      <c r="G3081" s="4" t="s">
        <v>1485</v>
      </c>
      <c r="H3081" s="10" t="s">
        <v>3096</v>
      </c>
      <c r="I3081" s="10">
        <v>1.0</v>
      </c>
      <c r="J3081" s="11" t="str">
        <f>IF(D3081&lt;&gt;"",VLOOKUP(H3081,TABLEITEM,5,FALSE),"")</f>
        <v>EA</v>
      </c>
      <c r="K3081" s="12">
        <v>1346.4</v>
      </c>
      <c r="L3081" s="13" t="str">
        <f>IF(D3081&lt;&gt;"",VLOOKUP(H3081,TABLEITEM,2,FALSE),"")</f>
        <v/>
      </c>
      <c r="M3081" s="13" t="str">
        <f>IF(D3081&lt;&gt;"",VLOOKUP(H3081,TABLEITEM,3,FALSE),"")</f>
        <v>TESYS LRD THERMAL OVERLOAD RELAY 37-50A CLASS 10A</v>
      </c>
      <c r="N3081" s="14">
        <f>INSTOCK!$I3081*INSTOCK!$K3081</f>
        <v>1346.4</v>
      </c>
      <c r="O3081" s="4"/>
      <c r="P3081" s="4"/>
    </row>
    <row r="3082" ht="15.75" hidden="1" customHeight="1">
      <c r="B3082" s="8">
        <v>3401.0</v>
      </c>
      <c r="C3082" s="9">
        <v>43138.0</v>
      </c>
      <c r="D3082" s="6" t="s">
        <v>4101</v>
      </c>
      <c r="E3082" s="4">
        <v>6.102000169E9</v>
      </c>
      <c r="F3082" s="8" t="s">
        <v>604</v>
      </c>
      <c r="G3082" s="4" t="s">
        <v>2014</v>
      </c>
      <c r="H3082" s="10" t="s">
        <v>2899</v>
      </c>
      <c r="I3082" s="10">
        <v>12.0</v>
      </c>
      <c r="J3082" s="11" t="str">
        <f>IF(D3082&lt;&gt;"",VLOOKUP(H3082,TABLEITEM,5,FALSE),"")</f>
        <v>PACK</v>
      </c>
      <c r="K3082" s="12">
        <v>513.08</v>
      </c>
      <c r="L3082" s="13" t="str">
        <f>IF(D3082&lt;&gt;"",VLOOKUP(H3082,TABLEITEM,2,FALSE),"")</f>
        <v/>
      </c>
      <c r="M3082" s="13" t="str">
        <f>IF(D3082&lt;&gt;"",VLOOKUP(H3082,TABLEITEM,3,FALSE),"")</f>
        <v>กระดาษถ่ายเอกสาร A4 80 แกรม (แพ็ค 5รีม)</v>
      </c>
      <c r="N3082" s="14">
        <f>INSTOCK!$I3082*INSTOCK!$K3082</f>
        <v>6156.96</v>
      </c>
      <c r="O3082" s="4"/>
      <c r="P3082" s="4"/>
    </row>
    <row r="3083" ht="15.75" hidden="1" customHeight="1">
      <c r="B3083" s="8">
        <v>3402.0</v>
      </c>
      <c r="C3083" s="9">
        <v>43138.0</v>
      </c>
      <c r="D3083" s="6" t="s">
        <v>4101</v>
      </c>
      <c r="E3083" s="4">
        <v>6.102000169E9</v>
      </c>
      <c r="F3083" s="8" t="s">
        <v>604</v>
      </c>
      <c r="G3083" s="4" t="s">
        <v>2014</v>
      </c>
      <c r="H3083" s="10" t="s">
        <v>2898</v>
      </c>
      <c r="I3083" s="10">
        <v>2.0</v>
      </c>
      <c r="J3083" s="11" t="str">
        <f>IF(D3083&lt;&gt;"",VLOOKUP(H3083,TABLEITEM,5,FALSE),"")</f>
        <v>PACK</v>
      </c>
      <c r="K3083" s="12">
        <v>234.58</v>
      </c>
      <c r="L3083" s="13" t="str">
        <f>IF(D3083&lt;&gt;"",VLOOKUP(H3083,TABLEITEM,2,FALSE),"")</f>
        <v/>
      </c>
      <c r="M3083" s="13" t="str">
        <f>IF(D3083&lt;&gt;"",VLOOKUP(H3083,TABLEITEM,3,FALSE),"")</f>
        <v>กระดาษถ่ายเอกสาร A3 80 แกรม (500แผ่น )</v>
      </c>
      <c r="N3083" s="14">
        <f>INSTOCK!$I3083*INSTOCK!$K3083</f>
        <v>469.16</v>
      </c>
      <c r="O3083" s="4"/>
      <c r="P3083" s="4"/>
    </row>
    <row r="3084" ht="15.75" hidden="1" customHeight="1">
      <c r="B3084" s="8">
        <v>3403.0</v>
      </c>
      <c r="C3084" s="9">
        <v>43138.0</v>
      </c>
      <c r="D3084" s="6" t="s">
        <v>4102</v>
      </c>
      <c r="E3084" s="4">
        <v>6.102000159E9</v>
      </c>
      <c r="F3084" s="8" t="s">
        <v>4103</v>
      </c>
      <c r="G3084" s="4" t="s">
        <v>3076</v>
      </c>
      <c r="H3084" s="10" t="s">
        <v>4104</v>
      </c>
      <c r="I3084" s="10">
        <v>10.0</v>
      </c>
      <c r="J3084" s="11" t="str">
        <f>IF(D3084&lt;&gt;"",VLOOKUP(H3084,TABLEITEM,5,FALSE),"")</f>
        <v>EA</v>
      </c>
      <c r="K3084" s="12">
        <v>120.0</v>
      </c>
      <c r="L3084" s="13"/>
      <c r="M3084" s="13" t="str">
        <f>IF(D3084&lt;&gt;"",VLOOKUP(H3084,TABLEITEM,3,FALSE),"")</f>
        <v>BUSCHPC37</v>
      </c>
      <c r="N3084" s="14">
        <f>INSTOCK!$I3084*INSTOCK!$K3084</f>
        <v>1200</v>
      </c>
      <c r="O3084" s="4"/>
      <c r="P3084" s="4"/>
    </row>
    <row r="3085" ht="15.75" hidden="1" customHeight="1">
      <c r="B3085" s="8">
        <v>3404.0</v>
      </c>
      <c r="C3085" s="9">
        <v>43138.0</v>
      </c>
      <c r="D3085" s="6" t="s">
        <v>4105</v>
      </c>
      <c r="E3085" s="4">
        <v>6.102000168E9</v>
      </c>
      <c r="F3085" s="8" t="s">
        <v>1626</v>
      </c>
      <c r="G3085" s="4" t="s">
        <v>1904</v>
      </c>
      <c r="H3085" s="10" t="s">
        <v>2717</v>
      </c>
      <c r="I3085" s="10">
        <v>10.0</v>
      </c>
      <c r="J3085" s="11" t="str">
        <f>IF(D3085&lt;&gt;"",VLOOKUP(H3085,TABLEITEM,5,FALSE),"")</f>
        <v>M</v>
      </c>
      <c r="K3085" s="12">
        <v>247.5</v>
      </c>
      <c r="L3085" s="13" t="str">
        <f>IF(D3085&lt;&gt;"",VLOOKUP(H3085,TABLEITEM,2,FALSE),"")</f>
        <v/>
      </c>
      <c r="M3085" s="13" t="str">
        <f>IF(D3085&lt;&gt;"",VLOOKUP(H3085,TABLEITEM,3,FALSE),"")</f>
        <v>RIBBON LM-IR300B 1/50M</v>
      </c>
      <c r="N3085" s="14">
        <f>INSTOCK!$I3085*INSTOCK!$K3085</f>
        <v>2475</v>
      </c>
      <c r="O3085" s="4" t="s">
        <v>2718</v>
      </c>
      <c r="P3085" s="4"/>
    </row>
    <row r="3086" ht="15.75" hidden="1" customHeight="1">
      <c r="B3086" s="8">
        <v>3405.0</v>
      </c>
      <c r="C3086" s="9">
        <v>43137.0</v>
      </c>
      <c r="D3086" s="6" t="s">
        <v>4106</v>
      </c>
      <c r="E3086" s="4">
        <v>6.102000138E9</v>
      </c>
      <c r="F3086" s="8" t="s">
        <v>604</v>
      </c>
      <c r="G3086" s="4" t="s">
        <v>1777</v>
      </c>
      <c r="H3086" s="10" t="s">
        <v>4107</v>
      </c>
      <c r="I3086" s="10">
        <v>2000.0</v>
      </c>
      <c r="J3086" s="11" t="str">
        <f>IF(D3086&lt;&gt;"",VLOOKUP(H3086,TABLEITEM,5,FALSE),"")</f>
        <v>EA</v>
      </c>
      <c r="K3086" s="12">
        <v>0.33</v>
      </c>
      <c r="L3086" s="13" t="str">
        <f>IF(D3086&lt;&gt;"",VLOOKUP(H3086,TABLEITEM,2,FALSE),"")</f>
        <v/>
      </c>
      <c r="M3086" s="13" t="str">
        <f>IF(D3086&lt;&gt;"",VLOOKUP(H3086,TABLEITEM,3,FALSE),"")</f>
        <v>แหวนสปริง สแตนเลส M6</v>
      </c>
      <c r="N3086" s="14">
        <f>INSTOCK!$I3086*INSTOCK!$K3086</f>
        <v>660</v>
      </c>
      <c r="O3086" s="4" t="s">
        <v>4108</v>
      </c>
      <c r="P3086" s="4"/>
    </row>
    <row r="3087" ht="15.75" hidden="1" customHeight="1">
      <c r="B3087" s="8">
        <v>3406.0</v>
      </c>
      <c r="C3087" s="9">
        <v>43137.0</v>
      </c>
      <c r="D3087" s="6" t="s">
        <v>4109</v>
      </c>
      <c r="E3087" s="4">
        <v>6.10100012E9</v>
      </c>
      <c r="F3087" s="8" t="s">
        <v>604</v>
      </c>
      <c r="G3087" s="4" t="s">
        <v>1777</v>
      </c>
      <c r="H3087" s="18" t="s">
        <v>2084</v>
      </c>
      <c r="I3087" s="10">
        <v>8000.0</v>
      </c>
      <c r="J3087" s="11" t="str">
        <f>IF(D3087&lt;&gt;"",VLOOKUP(H3087,TABLEITEM,5,FALSE),"")</f>
        <v>EA</v>
      </c>
      <c r="K3087" s="12">
        <v>0.22</v>
      </c>
      <c r="L3087" s="13" t="str">
        <f>IF(D3087&lt;&gt;"",VLOOKUP(H3087,TABLEITEM,2,FALSE),"")</f>
        <v/>
      </c>
      <c r="M3087" s="13" t="str">
        <f>IF(D3087&lt;&gt;"",VLOOKUP(H3087,TABLEITEM,3,FALSE),"")</f>
        <v>ติดจาน M5</v>
      </c>
      <c r="N3087" s="14">
        <f>INSTOCK!$I3087*INSTOCK!$K3087</f>
        <v>1760</v>
      </c>
      <c r="O3087" s="4" t="s">
        <v>3644</v>
      </c>
      <c r="P3087" s="4"/>
    </row>
    <row r="3088" ht="15.75" hidden="1" customHeight="1">
      <c r="B3088" s="8">
        <v>3407.0</v>
      </c>
      <c r="C3088" s="9">
        <v>43136.0</v>
      </c>
      <c r="D3088" s="6">
        <v>8089.0</v>
      </c>
      <c r="E3088" s="4"/>
      <c r="F3088" s="8"/>
      <c r="G3088" s="4" t="s">
        <v>2528</v>
      </c>
      <c r="H3088" s="10" t="s">
        <v>2529</v>
      </c>
      <c r="I3088" s="10">
        <v>340.0</v>
      </c>
      <c r="J3088" s="11" t="str">
        <f>IF(D3088&lt;&gt;"",VLOOKUP(H3088,TABLEITEM,5,FALSE),"")</f>
        <v>KG.</v>
      </c>
      <c r="K3088" s="12">
        <v>13.0</v>
      </c>
      <c r="L3088" s="13" t="str">
        <f>IF(D3088&lt;&gt;"",VLOOKUP(H3088,TABLEITEM,2,FALSE),"")</f>
        <v/>
      </c>
      <c r="M3088" s="13" t="str">
        <f>IF(D3088&lt;&gt;"",VLOOKUP(H3088,TABLEITEM,3,FALSE),"")</f>
        <v>งานชุบ HOT DIP</v>
      </c>
      <c r="N3088" s="14">
        <f>INSTOCK!$I3088*INSTOCK!$K3088</f>
        <v>4420</v>
      </c>
      <c r="O3088" s="4" t="s">
        <v>3219</v>
      </c>
      <c r="P3088" s="4"/>
    </row>
    <row r="3089" ht="15.75" hidden="1" customHeight="1">
      <c r="B3089" s="8">
        <v>3408.0</v>
      </c>
      <c r="C3089" s="9">
        <v>43136.0</v>
      </c>
      <c r="D3089" s="6">
        <v>8089.0</v>
      </c>
      <c r="E3089" s="4"/>
      <c r="F3089" s="8"/>
      <c r="G3089" s="4" t="s">
        <v>2528</v>
      </c>
      <c r="H3089" s="10" t="s">
        <v>2529</v>
      </c>
      <c r="I3089" s="10">
        <v>50.0</v>
      </c>
      <c r="J3089" s="11" t="str">
        <f>IF(D3089&lt;&gt;"",VLOOKUP(H3089,TABLEITEM,5,FALSE),"")</f>
        <v>KG.</v>
      </c>
      <c r="K3089" s="12">
        <v>15.0</v>
      </c>
      <c r="L3089" s="13" t="str">
        <f>IF(D3089&lt;&gt;"",VLOOKUP(H3089,TABLEITEM,2,FALSE),"")</f>
        <v/>
      </c>
      <c r="M3089" s="13" t="str">
        <f>IF(D3089&lt;&gt;"",VLOOKUP(H3089,TABLEITEM,3,FALSE),"")</f>
        <v>งานชุบ HOT DIP</v>
      </c>
      <c r="N3089" s="14">
        <f>INSTOCK!$I3089*INSTOCK!$K3089</f>
        <v>750</v>
      </c>
      <c r="O3089" s="4" t="s">
        <v>4110</v>
      </c>
      <c r="P3089" s="4"/>
    </row>
    <row r="3090" ht="15.75" hidden="1" customHeight="1">
      <c r="B3090" s="8">
        <v>3409.0</v>
      </c>
      <c r="C3090" s="9">
        <v>43136.0</v>
      </c>
      <c r="D3090" s="6" t="s">
        <v>4111</v>
      </c>
      <c r="E3090" s="4">
        <v>6.102000142E9</v>
      </c>
      <c r="F3090" s="8" t="s">
        <v>3737</v>
      </c>
      <c r="G3090" s="4" t="s">
        <v>4112</v>
      </c>
      <c r="H3090" s="10" t="s">
        <v>4113</v>
      </c>
      <c r="I3090" s="10">
        <v>260.0</v>
      </c>
      <c r="J3090" s="11" t="str">
        <f>IF(D3090&lt;&gt;"",VLOOKUP(H3090,TABLEITEM,5,FALSE),"")</f>
        <v>EA</v>
      </c>
      <c r="K3090" s="12">
        <v>35.0</v>
      </c>
      <c r="L3090" s="13" t="str">
        <f>IF(D3090&lt;&gt;"",VLOOKUP(H3090,TABLEITEM,2,FALSE),"")</f>
        <v/>
      </c>
      <c r="M3090" s="13" t="str">
        <f>IF(D3090&lt;&gt;"",VLOOKUP(H3090,TABLEITEM,3,FALSE),"")</f>
        <v>METHYLENE CHLORIDE 260KG</v>
      </c>
      <c r="N3090" s="14">
        <f>INSTOCK!$I3090*INSTOCK!$K3090</f>
        <v>9100</v>
      </c>
      <c r="O3090" s="4"/>
      <c r="P3090" s="4"/>
    </row>
    <row r="3091" ht="15.75" hidden="1" customHeight="1">
      <c r="B3091" s="8">
        <v>3410.0</v>
      </c>
      <c r="C3091" s="9">
        <v>43136.0</v>
      </c>
      <c r="D3091" s="6" t="s">
        <v>4114</v>
      </c>
      <c r="E3091" s="4">
        <v>6.102000152E9</v>
      </c>
      <c r="F3091" s="8" t="s">
        <v>3221</v>
      </c>
      <c r="G3091" s="4" t="s">
        <v>965</v>
      </c>
      <c r="H3091" s="10" t="s">
        <v>2945</v>
      </c>
      <c r="I3091" s="10">
        <v>500.0</v>
      </c>
      <c r="J3091" s="11" t="str">
        <f>IF(D3091&lt;&gt;"",VLOOKUP(H3091,TABLEITEM,5,FALSE),"")</f>
        <v>EA</v>
      </c>
      <c r="K3091" s="12">
        <v>0.4</v>
      </c>
      <c r="L3091" s="13" t="str">
        <f>IF(D3091&lt;&gt;"",VLOOKUP(H3091,TABLEITEM,2,FALSE),"")</f>
        <v/>
      </c>
      <c r="M3091" s="13" t="str">
        <f>IF(D3091&lt;&gt;"",VLOOKUP(H3091,TABLEITEM,3,FALSE),"")</f>
        <v>ตะปูยิงรีเวท 6-5   3/16"x1/2"</v>
      </c>
      <c r="N3091" s="14">
        <f>INSTOCK!$I3091*INSTOCK!$K3091</f>
        <v>200</v>
      </c>
      <c r="O3091" s="4"/>
      <c r="P3091" s="4"/>
    </row>
    <row r="3092" ht="15.75" hidden="1" customHeight="1">
      <c r="B3092" s="8">
        <v>3411.0</v>
      </c>
      <c r="C3092" s="9">
        <v>43136.0</v>
      </c>
      <c r="D3092" s="6" t="s">
        <v>4115</v>
      </c>
      <c r="E3092" s="4">
        <v>6.101000126E9</v>
      </c>
      <c r="F3092" s="8" t="s">
        <v>4116</v>
      </c>
      <c r="G3092" s="4" t="s">
        <v>965</v>
      </c>
      <c r="H3092" s="10" t="s">
        <v>1680</v>
      </c>
      <c r="I3092" s="10">
        <v>2.0</v>
      </c>
      <c r="J3092" s="11" t="str">
        <f>IF(D3092&lt;&gt;"",VLOOKUP(H3092,TABLEITEM,5,FALSE),"")</f>
        <v>EA</v>
      </c>
      <c r="K3092" s="12">
        <v>60.0</v>
      </c>
      <c r="L3092" s="13" t="str">
        <f>IF(D3092&lt;&gt;"",VLOOKUP(H3092,TABLEITEM,2,FALSE),"")</f>
        <v/>
      </c>
      <c r="M3092" s="13" t="str">
        <f>IF(D3092&lt;&gt;"",VLOOKUP(H3092,TABLEITEM,3,FALSE),"")</f>
        <v>แปรงทาสี 3"</v>
      </c>
      <c r="N3092" s="14">
        <f>INSTOCK!$I3092*INSTOCK!$K3092</f>
        <v>120</v>
      </c>
      <c r="O3092" s="4"/>
      <c r="P3092" s="4"/>
    </row>
    <row r="3093" ht="15.75" hidden="1" customHeight="1">
      <c r="B3093" s="8">
        <v>3412.0</v>
      </c>
      <c r="C3093" s="9">
        <v>43136.0</v>
      </c>
      <c r="D3093" s="6" t="s">
        <v>4117</v>
      </c>
      <c r="E3093" s="4">
        <v>6.102001558E9</v>
      </c>
      <c r="F3093" s="8" t="s">
        <v>604</v>
      </c>
      <c r="G3093" s="4" t="s">
        <v>1777</v>
      </c>
      <c r="H3093" s="10" t="s">
        <v>3997</v>
      </c>
      <c r="I3093" s="10">
        <v>20000.0</v>
      </c>
      <c r="J3093" s="11" t="str">
        <f>IF(D3093&lt;&gt;"",VLOOKUP(H3093,TABLEITEM,5,FALSE),"")</f>
        <v>EA</v>
      </c>
      <c r="K3093" s="12">
        <v>0.99</v>
      </c>
      <c r="L3093" s="13" t="str">
        <f>IF(D3093&lt;&gt;"",VLOOKUP(H3093,TABLEITEM,2,FALSE),"")</f>
        <v/>
      </c>
      <c r="M3093" s="13" t="str">
        <f>IF(D3093&lt;&gt;"",VLOOKUP(H3093,TABLEITEM,3,FALSE),"")</f>
        <v>สกรูหัวติดแหวน M 6x10</v>
      </c>
      <c r="N3093" s="14">
        <f>INSTOCK!$I3093*INSTOCK!$K3093</f>
        <v>19800</v>
      </c>
      <c r="O3093" s="4" t="s">
        <v>1857</v>
      </c>
      <c r="P3093" s="4"/>
    </row>
    <row r="3094" ht="15.75" hidden="1" customHeight="1">
      <c r="B3094" s="8">
        <v>3413.0</v>
      </c>
      <c r="C3094" s="9">
        <v>43133.0</v>
      </c>
      <c r="D3094" s="6" t="s">
        <v>4118</v>
      </c>
      <c r="E3094" s="4"/>
      <c r="F3094" s="8" t="s">
        <v>604</v>
      </c>
      <c r="G3094" s="4" t="s">
        <v>1092</v>
      </c>
      <c r="H3094" s="10" t="s">
        <v>818</v>
      </c>
      <c r="I3094" s="10">
        <v>13.0</v>
      </c>
      <c r="J3094" s="11" t="str">
        <f>IF(D3094&lt;&gt;"",VLOOKUP(H3094,TABLEITEM,5,FALSE),"")</f>
        <v>ท่อ</v>
      </c>
      <c r="K3094" s="12">
        <v>280.0</v>
      </c>
      <c r="L3094" s="13" t="str">
        <f>IF(D3094&lt;&gt;"",VLOOKUP(H3094,TABLEITEM,2,FALSE),"")</f>
        <v/>
      </c>
      <c r="M3094" s="13" t="str">
        <f>IF(D3094&lt;&gt;"",VLOOKUP(H3094,TABLEITEM,3,FALSE),"")</f>
        <v>คาร์บอนไดออกไซด์ ขนาด 25 กก</v>
      </c>
      <c r="N3094" s="14">
        <f>INSTOCK!$I3094*INSTOCK!$K3094</f>
        <v>3640</v>
      </c>
      <c r="O3094" s="4"/>
      <c r="P3094" s="4"/>
    </row>
    <row r="3095" ht="15.75" hidden="1" customHeight="1">
      <c r="B3095" s="8">
        <v>3414.0</v>
      </c>
      <c r="C3095" s="9">
        <v>43133.0</v>
      </c>
      <c r="D3095" s="6" t="s">
        <v>4118</v>
      </c>
      <c r="E3095" s="4"/>
      <c r="F3095" s="8" t="s">
        <v>604</v>
      </c>
      <c r="G3095" s="4" t="s">
        <v>1092</v>
      </c>
      <c r="H3095" s="10" t="s">
        <v>816</v>
      </c>
      <c r="I3095" s="10">
        <v>4.0</v>
      </c>
      <c r="J3095" s="11" t="str">
        <f>IF(D3095&lt;&gt;"",VLOOKUP(H3095,TABLEITEM,5,FALSE),"")</f>
        <v>ท่อ</v>
      </c>
      <c r="K3095" s="12">
        <v>600.0</v>
      </c>
      <c r="L3095" s="13" t="str">
        <f>IF(D3095&lt;&gt;"",VLOOKUP(H3095,TABLEITEM,2,FALSE),"")</f>
        <v/>
      </c>
      <c r="M3095" s="13" t="str">
        <f>IF(D3095&lt;&gt;"",VLOOKUP(H3095,TABLEITEM,3,FALSE),"")</f>
        <v>อาร์กอน ขนาด 6คิว</v>
      </c>
      <c r="N3095" s="14">
        <f>INSTOCK!$I3095*INSTOCK!$K3095</f>
        <v>2400</v>
      </c>
      <c r="O3095" s="4"/>
      <c r="P3095" s="4"/>
    </row>
    <row r="3096" ht="15.75" hidden="1" customHeight="1">
      <c r="B3096" s="8">
        <v>3415.0</v>
      </c>
      <c r="C3096" s="9">
        <v>43133.0</v>
      </c>
      <c r="D3096" s="6" t="s">
        <v>4119</v>
      </c>
      <c r="E3096" s="4">
        <v>6.102000147E9</v>
      </c>
      <c r="F3096" s="8" t="s">
        <v>4120</v>
      </c>
      <c r="G3096" s="4" t="s">
        <v>721</v>
      </c>
      <c r="H3096" s="10" t="s">
        <v>1931</v>
      </c>
      <c r="I3096" s="10">
        <v>10.0</v>
      </c>
      <c r="J3096" s="11" t="str">
        <f>IF(D3096&lt;&gt;"",VLOOKUP(H3096,TABLEITEM,5,FALSE),"")</f>
        <v>EA</v>
      </c>
      <c r="K3096" s="12">
        <v>22.0</v>
      </c>
      <c r="L3096" s="13" t="str">
        <f>IF(D3096&lt;&gt;"",VLOOKUP(H3096,TABLEITEM,2,FALSE),"")</f>
        <v/>
      </c>
      <c r="M3096" s="13" t="str">
        <f>IF(D3096&lt;&gt;"",VLOOKUP(H3096,TABLEITEM,3,FALSE),"")</f>
        <v>ปลอกหุ้มไมโคร TAP-Z</v>
      </c>
      <c r="N3096" s="14">
        <f>INSTOCK!$I3096*INSTOCK!$K3096</f>
        <v>220</v>
      </c>
      <c r="O3096" s="4" t="s">
        <v>4121</v>
      </c>
      <c r="P3096" s="4"/>
    </row>
    <row r="3097" ht="15.75" hidden="1" customHeight="1">
      <c r="B3097" s="8">
        <v>3416.0</v>
      </c>
      <c r="C3097" s="9">
        <v>43133.0</v>
      </c>
      <c r="D3097" s="6" t="s">
        <v>4122</v>
      </c>
      <c r="E3097" s="4" t="s">
        <v>4123</v>
      </c>
      <c r="F3097" s="8" t="s">
        <v>4124</v>
      </c>
      <c r="G3097" s="4" t="s">
        <v>1202</v>
      </c>
      <c r="H3097" s="10" t="s">
        <v>4125</v>
      </c>
      <c r="I3097" s="10">
        <v>15.0</v>
      </c>
      <c r="J3097" s="11" t="str">
        <f>IF(D3097&lt;&gt;"",VLOOKUP(H3097,TABLEITEM,5,FALSE),"")</f>
        <v>EA</v>
      </c>
      <c r="K3097" s="12">
        <v>1490.0</v>
      </c>
      <c r="L3097" s="13" t="str">
        <f>IF(D3097&lt;&gt;"",VLOOKUP(H3097,TABLEITEM,2,FALSE),"")</f>
        <v/>
      </c>
      <c r="M3097" s="13" t="str">
        <f>IF(D3097&lt;&gt;"",VLOOKUP(H3097,TABLEITEM,3,FALSE),"")</f>
        <v>LE-33-11 LATCH</v>
      </c>
      <c r="N3097" s="14">
        <f>INSTOCK!$I3097*INSTOCK!$K3097</f>
        <v>22350</v>
      </c>
      <c r="O3097" s="4"/>
      <c r="P3097" s="4"/>
    </row>
    <row r="3098" ht="15.75" hidden="1" customHeight="1">
      <c r="B3098" s="8">
        <v>3417.0</v>
      </c>
      <c r="C3098" s="9">
        <v>43133.0</v>
      </c>
      <c r="D3098" s="6">
        <v>79767.0</v>
      </c>
      <c r="E3098" s="4">
        <v>6.101000129E9</v>
      </c>
      <c r="F3098" s="8" t="s">
        <v>604</v>
      </c>
      <c r="G3098" s="4" t="s">
        <v>2589</v>
      </c>
      <c r="H3098" s="10" t="s">
        <v>4126</v>
      </c>
      <c r="I3098" s="10">
        <v>1000.0</v>
      </c>
      <c r="J3098" s="11" t="str">
        <f>IF(D3098&lt;&gt;"",VLOOKUP(H3098,TABLEITEM,5,FALSE),"")</f>
        <v>EA</v>
      </c>
      <c r="K3098" s="12">
        <v>2.0</v>
      </c>
      <c r="L3098" s="13" t="str">
        <f>IF(D3098&lt;&gt;"",VLOOKUP(H3098,TABLEITEM,2,FALSE),"")</f>
        <v/>
      </c>
      <c r="M3098" s="13" t="str">
        <f>IF(D3098&lt;&gt;"",VLOOKUP(H3098,TABLEITEM,3,FALSE),"")</f>
        <v>สตัด M5x20</v>
      </c>
      <c r="N3098" s="14">
        <f>INSTOCK!$I3098*INSTOCK!$K3098</f>
        <v>2000</v>
      </c>
      <c r="O3098" s="4"/>
      <c r="P3098" s="4"/>
    </row>
    <row r="3099" ht="15.75" hidden="1" customHeight="1">
      <c r="B3099" s="8">
        <v>3418.0</v>
      </c>
      <c r="C3099" s="9">
        <v>43133.0</v>
      </c>
      <c r="D3099" s="6">
        <v>79767.0</v>
      </c>
      <c r="E3099" s="4">
        <v>6.101000129E9</v>
      </c>
      <c r="F3099" s="8" t="s">
        <v>604</v>
      </c>
      <c r="G3099" s="4" t="s">
        <v>2589</v>
      </c>
      <c r="H3099" s="10" t="s">
        <v>4127</v>
      </c>
      <c r="I3099" s="10">
        <v>500.0</v>
      </c>
      <c r="J3099" s="11" t="str">
        <f>IF(D3099&lt;&gt;"",VLOOKUP(H3099,TABLEITEM,5,FALSE),"")</f>
        <v>EA</v>
      </c>
      <c r="K3099" s="12">
        <v>4.0</v>
      </c>
      <c r="L3099" s="13" t="str">
        <f>IF(D3099&lt;&gt;"",VLOOKUP(H3099,TABLEITEM,2,FALSE),"")</f>
        <v/>
      </c>
      <c r="M3099" s="13" t="str">
        <f>IF(D3099&lt;&gt;"",VLOOKUP(H3099,TABLEITEM,3,FALSE),"")</f>
        <v>สตัด M8x20</v>
      </c>
      <c r="N3099" s="14">
        <f>INSTOCK!$I3099*INSTOCK!$K3099</f>
        <v>2000</v>
      </c>
      <c r="O3099" s="4"/>
      <c r="P3099" s="4"/>
    </row>
    <row r="3100" ht="15.75" hidden="1" customHeight="1">
      <c r="B3100" s="8">
        <v>3419.0</v>
      </c>
      <c r="C3100" s="9">
        <v>43133.0</v>
      </c>
      <c r="D3100" s="6" t="s">
        <v>4128</v>
      </c>
      <c r="E3100" s="4">
        <v>6.10100012E9</v>
      </c>
      <c r="F3100" s="8" t="s">
        <v>604</v>
      </c>
      <c r="G3100" s="4" t="s">
        <v>1777</v>
      </c>
      <c r="H3100" s="10" t="s">
        <v>1884</v>
      </c>
      <c r="I3100" s="10">
        <v>5000.0</v>
      </c>
      <c r="J3100" s="11" t="str">
        <f>IF(D3100&lt;&gt;"",VLOOKUP(H3100,TABLEITEM,5,FALSE),"")</f>
        <v>EA</v>
      </c>
      <c r="K3100" s="12">
        <v>1.6</v>
      </c>
      <c r="L3100" s="13" t="str">
        <f>IF(D3100&lt;&gt;"",VLOOKUP(H3100,TABLEITEM,2,FALSE),"")</f>
        <v/>
      </c>
      <c r="M3100" s="13" t="str">
        <f>IF(D3100&lt;&gt;"",VLOOKUP(H3100,TABLEITEM,3,FALSE),"")</f>
        <v>สกรูหัวติดแหวน M 6x35 ชุบขาว</v>
      </c>
      <c r="N3100" s="14">
        <f>INSTOCK!$I3100*INSTOCK!$K3100</f>
        <v>8000</v>
      </c>
      <c r="O3100" s="4" t="s">
        <v>4129</v>
      </c>
      <c r="P3100" s="4"/>
    </row>
    <row r="3101" ht="15.75" hidden="1" customHeight="1">
      <c r="B3101" s="8">
        <v>3420.0</v>
      </c>
      <c r="C3101" s="9">
        <v>43133.0</v>
      </c>
      <c r="D3101" s="6" t="s">
        <v>4128</v>
      </c>
      <c r="E3101" s="4">
        <v>6.10100012E9</v>
      </c>
      <c r="F3101" s="8" t="s">
        <v>604</v>
      </c>
      <c r="G3101" s="4" t="s">
        <v>1777</v>
      </c>
      <c r="H3101" s="10" t="s">
        <v>3385</v>
      </c>
      <c r="I3101" s="10">
        <v>2000.0</v>
      </c>
      <c r="J3101" s="11" t="str">
        <f>IF(D3101&lt;&gt;"",VLOOKUP(H3101,TABLEITEM,5,FALSE),"")</f>
        <v>EA</v>
      </c>
      <c r="K3101" s="12">
        <v>0.728</v>
      </c>
      <c r="L3101" s="13" t="str">
        <f>IF(D3101&lt;&gt;"",VLOOKUP(H3101,TABLEITEM,2,FALSE),"")</f>
        <v/>
      </c>
      <c r="M3101" s="13" t="str">
        <f>IF(D3101&lt;&gt;"",VLOOKUP(H3101,TABLEITEM,3,FALSE),"")</f>
        <v>สกรูหัวเหลี่ยม M8x15</v>
      </c>
      <c r="N3101" s="14">
        <f>INSTOCK!$I3101*INSTOCK!$K3101</f>
        <v>1456</v>
      </c>
      <c r="O3101" s="4" t="s">
        <v>3386</v>
      </c>
      <c r="P3101" s="4"/>
    </row>
    <row r="3102" ht="15.75" hidden="1" customHeight="1">
      <c r="B3102" s="8">
        <v>3421.0</v>
      </c>
      <c r="C3102" s="9">
        <v>43133.0</v>
      </c>
      <c r="D3102" s="6" t="s">
        <v>4128</v>
      </c>
      <c r="E3102" s="4">
        <v>6.10100012E9</v>
      </c>
      <c r="F3102" s="8" t="s">
        <v>604</v>
      </c>
      <c r="G3102" s="4" t="s">
        <v>1777</v>
      </c>
      <c r="H3102" s="10" t="s">
        <v>3706</v>
      </c>
      <c r="I3102" s="10">
        <v>2000.0</v>
      </c>
      <c r="J3102" s="11" t="str">
        <f>IF(D3102&lt;&gt;"",VLOOKUP(H3102,TABLEITEM,5,FALSE),"")</f>
        <v>EA</v>
      </c>
      <c r="K3102" s="12">
        <v>2.21</v>
      </c>
      <c r="L3102" s="13" t="str">
        <f>IF(D3102&lt;&gt;"",VLOOKUP(H3102,TABLEITEM,2,FALSE),"")</f>
        <v/>
      </c>
      <c r="M3102" s="13" t="str">
        <f>IF(D3102&lt;&gt;"",VLOOKUP(H3102,TABLEITEM,3,FALSE),"")</f>
        <v>สกรูหัวเหลี่ยม M10x25  HDG</v>
      </c>
      <c r="N3102" s="14">
        <f>INSTOCK!$I3102*INSTOCK!$K3102</f>
        <v>4420</v>
      </c>
      <c r="O3102" s="4" t="s">
        <v>3707</v>
      </c>
      <c r="P3102" s="4"/>
    </row>
    <row r="3103" ht="15.75" hidden="1" customHeight="1">
      <c r="B3103" s="8">
        <v>3422.0</v>
      </c>
      <c r="C3103" s="9">
        <v>43133.0</v>
      </c>
      <c r="D3103" s="6" t="s">
        <v>4128</v>
      </c>
      <c r="E3103" s="4">
        <v>6.10100012E9</v>
      </c>
      <c r="F3103" s="8" t="s">
        <v>604</v>
      </c>
      <c r="G3103" s="4" t="s">
        <v>1777</v>
      </c>
      <c r="H3103" s="10" t="s">
        <v>1998</v>
      </c>
      <c r="I3103" s="10">
        <v>4000.0</v>
      </c>
      <c r="J3103" s="11" t="str">
        <f>IF(D3103&lt;&gt;"",VLOOKUP(H3103,TABLEITEM,5,FALSE),"")</f>
        <v>EA</v>
      </c>
      <c r="K3103" s="12">
        <v>0.585</v>
      </c>
      <c r="L3103" s="13" t="str">
        <f>IF(D3103&lt;&gt;"",VLOOKUP(H3103,TABLEITEM,2,FALSE),"")</f>
        <v/>
      </c>
      <c r="M3103" s="13" t="str">
        <f>IF(D3103&lt;&gt;"",VLOOKUP(H3103,TABLEITEM,3,FALSE),"")</f>
        <v>แหวนอีแปะ M10   HDG</v>
      </c>
      <c r="N3103" s="14">
        <f>INSTOCK!$I3103*INSTOCK!$K3103</f>
        <v>2340</v>
      </c>
      <c r="O3103" s="4" t="s">
        <v>3708</v>
      </c>
      <c r="P3103" s="4"/>
    </row>
    <row r="3104" ht="15.75" hidden="1" customHeight="1">
      <c r="B3104" s="8">
        <v>3423.0</v>
      </c>
      <c r="C3104" s="9">
        <v>43133.0</v>
      </c>
      <c r="D3104" s="6" t="s">
        <v>4128</v>
      </c>
      <c r="E3104" s="4">
        <v>6.10100012E9</v>
      </c>
      <c r="F3104" s="8" t="s">
        <v>604</v>
      </c>
      <c r="G3104" s="4" t="s">
        <v>1777</v>
      </c>
      <c r="H3104" s="10" t="s">
        <v>3709</v>
      </c>
      <c r="I3104" s="10">
        <v>4000.0</v>
      </c>
      <c r="J3104" s="11" t="str">
        <f>IF(D3104&lt;&gt;"",VLOOKUP(H3104,TABLEITEM,5,FALSE),"")</f>
        <v>EA</v>
      </c>
      <c r="K3104" s="12">
        <v>0.39</v>
      </c>
      <c r="L3104" s="13" t="str">
        <f>IF(D3104&lt;&gt;"",VLOOKUP(H3104,TABLEITEM,2,FALSE),"")</f>
        <v/>
      </c>
      <c r="M3104" s="13" t="str">
        <f>IF(D3104&lt;&gt;"",VLOOKUP(H3104,TABLEITEM,3,FALSE),"")</f>
        <v>แหวนสปริง M10   HDG</v>
      </c>
      <c r="N3104" s="14">
        <f>INSTOCK!$I3104*INSTOCK!$K3104</f>
        <v>1560</v>
      </c>
      <c r="O3104" s="4" t="s">
        <v>3710</v>
      </c>
      <c r="P3104" s="4"/>
    </row>
    <row r="3105" ht="15.75" hidden="1" customHeight="1">
      <c r="B3105" s="8">
        <v>3424.0</v>
      </c>
      <c r="C3105" s="9">
        <v>43133.0</v>
      </c>
      <c r="D3105" s="6" t="s">
        <v>4128</v>
      </c>
      <c r="E3105" s="4">
        <v>6.10100012E9</v>
      </c>
      <c r="F3105" s="8" t="s">
        <v>604</v>
      </c>
      <c r="G3105" s="4" t="s">
        <v>1777</v>
      </c>
      <c r="H3105" s="10" t="s">
        <v>2104</v>
      </c>
      <c r="I3105" s="10">
        <v>10000.0</v>
      </c>
      <c r="J3105" s="11" t="str">
        <f>IF(D3105&lt;&gt;"",VLOOKUP(H3105,TABLEITEM,5,FALSE),"")</f>
        <v>EA</v>
      </c>
      <c r="K3105" s="12">
        <v>0.2475</v>
      </c>
      <c r="L3105" s="13" t="str">
        <f>IF(D3105&lt;&gt;"",VLOOKUP(H3105,TABLEITEM,2,FALSE),"")</f>
        <v/>
      </c>
      <c r="M3105" s="13" t="str">
        <f>IF(D3105&lt;&gt;"",VLOOKUP(H3105,TABLEITEM,3,FALSE),"")</f>
        <v>ติดจาน M6</v>
      </c>
      <c r="N3105" s="14">
        <f>INSTOCK!$I3105*INSTOCK!$K3105</f>
        <v>2475</v>
      </c>
      <c r="O3105" s="4" t="s">
        <v>3645</v>
      </c>
      <c r="P3105" s="4"/>
    </row>
    <row r="3106" ht="15.75" hidden="1" customHeight="1">
      <c r="B3106" s="8">
        <v>3425.0</v>
      </c>
      <c r="C3106" s="9">
        <v>43133.0</v>
      </c>
      <c r="D3106" s="6" t="s">
        <v>4128</v>
      </c>
      <c r="E3106" s="4">
        <v>6.10100012E9</v>
      </c>
      <c r="F3106" s="8" t="s">
        <v>604</v>
      </c>
      <c r="G3106" s="4" t="s">
        <v>1777</v>
      </c>
      <c r="H3106" s="10" t="s">
        <v>3014</v>
      </c>
      <c r="I3106" s="10">
        <v>10000.0</v>
      </c>
      <c r="J3106" s="11" t="str">
        <f>IF(D3106&lt;&gt;"",VLOOKUP(H3106,TABLEITEM,5,FALSE),"")</f>
        <v>EA</v>
      </c>
      <c r="K3106" s="12">
        <v>0.075</v>
      </c>
      <c r="L3106" s="13" t="str">
        <f>IF(D3106&lt;&gt;"",VLOOKUP(H3106,TABLEITEM,2,FALSE),"")</f>
        <v/>
      </c>
      <c r="M3106" s="13" t="str">
        <f>IF(D3106&lt;&gt;"",VLOOKUP(H3106,TABLEITEM,3,FALSE),"")</f>
        <v>แหวนสปริง M 8 ชุบรุ้ง</v>
      </c>
      <c r="N3106" s="14">
        <f>INSTOCK!$I3106*INSTOCK!$K3106</f>
        <v>750</v>
      </c>
      <c r="O3106" s="4" t="s">
        <v>2079</v>
      </c>
      <c r="P3106" s="4"/>
    </row>
    <row r="3107" ht="15.75" hidden="1" customHeight="1">
      <c r="B3107" s="8">
        <v>3426.0</v>
      </c>
      <c r="C3107" s="9">
        <v>43133.0</v>
      </c>
      <c r="D3107" s="6" t="s">
        <v>4128</v>
      </c>
      <c r="E3107" s="4">
        <v>6.10100012E9</v>
      </c>
      <c r="F3107" s="8" t="s">
        <v>604</v>
      </c>
      <c r="G3107" s="4" t="s">
        <v>1777</v>
      </c>
      <c r="H3107" s="10" t="s">
        <v>4130</v>
      </c>
      <c r="I3107" s="10">
        <v>4000.0</v>
      </c>
      <c r="J3107" s="11" t="str">
        <f>IF(D3107&lt;&gt;"",VLOOKUP(H3107,TABLEITEM,5,FALSE),"")</f>
        <v>EA</v>
      </c>
      <c r="K3107" s="12">
        <v>0.18</v>
      </c>
      <c r="L3107" s="13" t="str">
        <f>IF(D3107&lt;&gt;"",VLOOKUP(H3107,TABLEITEM,2,FALSE),"")</f>
        <v/>
      </c>
      <c r="M3107" s="13" t="str">
        <f>IF(D3107&lt;&gt;"",VLOOKUP(H3107,TABLEITEM,3,FALSE),"")</f>
        <v>สกรูหัวหมวก  M5x10</v>
      </c>
      <c r="N3107" s="14">
        <f>INSTOCK!$I3107*INSTOCK!$K3107</f>
        <v>720</v>
      </c>
      <c r="O3107" s="4">
        <v>0.18</v>
      </c>
      <c r="P3107" s="4"/>
    </row>
    <row r="3108" ht="15.75" hidden="1" customHeight="1">
      <c r="B3108" s="8">
        <v>3427.0</v>
      </c>
      <c r="C3108" s="9">
        <v>43133.0</v>
      </c>
      <c r="D3108" s="6" t="s">
        <v>4128</v>
      </c>
      <c r="E3108" s="4">
        <v>6.10100012E9</v>
      </c>
      <c r="F3108" s="8" t="s">
        <v>604</v>
      </c>
      <c r="G3108" s="4" t="s">
        <v>1777</v>
      </c>
      <c r="H3108" s="10" t="s">
        <v>2084</v>
      </c>
      <c r="I3108" s="10">
        <v>2000.0</v>
      </c>
      <c r="J3108" s="11" t="str">
        <f>IF(D3108&lt;&gt;"",VLOOKUP(H3108,TABLEITEM,5,FALSE),"")</f>
        <v>EA</v>
      </c>
      <c r="K3108" s="12">
        <v>0.22</v>
      </c>
      <c r="L3108" s="13" t="str">
        <f>IF(D3108&lt;&gt;"",VLOOKUP(H3108,TABLEITEM,2,FALSE),"")</f>
        <v/>
      </c>
      <c r="M3108" s="13" t="str">
        <f>IF(D3108&lt;&gt;"",VLOOKUP(H3108,TABLEITEM,3,FALSE),"")</f>
        <v>ติดจาน M5</v>
      </c>
      <c r="N3108" s="14">
        <f>INSTOCK!$I3108*INSTOCK!$K3108</f>
        <v>440</v>
      </c>
      <c r="O3108" s="4" t="s">
        <v>3644</v>
      </c>
      <c r="P3108" s="4"/>
    </row>
    <row r="3109" ht="15.75" hidden="1" customHeight="1">
      <c r="B3109" s="8">
        <v>3428.0</v>
      </c>
      <c r="C3109" s="9">
        <v>43132.0</v>
      </c>
      <c r="D3109" s="6" t="s">
        <v>4131</v>
      </c>
      <c r="E3109" s="4">
        <v>6.101000115E9</v>
      </c>
      <c r="F3109" s="8" t="s">
        <v>3166</v>
      </c>
      <c r="G3109" s="4" t="s">
        <v>1070</v>
      </c>
      <c r="H3109" s="10" t="s">
        <v>4132</v>
      </c>
      <c r="I3109" s="10">
        <v>2.0</v>
      </c>
      <c r="J3109" s="11" t="str">
        <f>IF(D3109&lt;&gt;"",VLOOKUP(H3109,TABLEITEM,5,FALSE),"")</f>
        <v>EA</v>
      </c>
      <c r="K3109" s="12">
        <v>1800.0</v>
      </c>
      <c r="L3109" s="13" t="str">
        <f>IF(D3109&lt;&gt;"",VLOOKUP(H3109,TABLEITEM,2,FALSE),"")</f>
        <v/>
      </c>
      <c r="M3109" s="13" t="str">
        <f>IF(D3109&lt;&gt;"",VLOOKUP(H3109,TABLEITEM,3,FALSE),"")</f>
        <v>REGULATOR CO2 HEATER 220V/NETWELD X600</v>
      </c>
      <c r="N3109" s="14">
        <f>INSTOCK!$I3109*INSTOCK!$K3109</f>
        <v>3600</v>
      </c>
      <c r="O3109" s="4"/>
      <c r="P3109" s="4"/>
    </row>
    <row r="3110" ht="15.75" hidden="1" customHeight="1">
      <c r="B3110" s="8">
        <v>3429.0</v>
      </c>
      <c r="C3110" s="9">
        <v>43132.0</v>
      </c>
      <c r="D3110" s="6" t="s">
        <v>4131</v>
      </c>
      <c r="E3110" s="4">
        <v>6.101000115E9</v>
      </c>
      <c r="F3110" s="8" t="s">
        <v>3166</v>
      </c>
      <c r="G3110" s="4" t="s">
        <v>1070</v>
      </c>
      <c r="H3110" s="10" t="s">
        <v>4133</v>
      </c>
      <c r="I3110" s="10">
        <v>6.0</v>
      </c>
      <c r="J3110" s="11" t="str">
        <f>IF(D3110&lt;&gt;"",VLOOKUP(H3110,TABLEITEM,5,FALSE),"")</f>
        <v>EA</v>
      </c>
      <c r="K3110" s="12">
        <v>120.0</v>
      </c>
      <c r="L3110" s="13" t="str">
        <f>IF(D3110&lt;&gt;"",VLOOKUP(H3110,TABLEITEM,2,FALSE),"")</f>
        <v/>
      </c>
      <c r="M3110" s="13" t="str">
        <f>IF(D3110&lt;&gt;"",VLOOKUP(H3110,TABLEITEM,3,FALSE),"")</f>
        <v>น้ำยาทำความสะอาดหัวปืน</v>
      </c>
      <c r="N3110" s="14">
        <f>INSTOCK!$I3110*INSTOCK!$K3110</f>
        <v>720</v>
      </c>
      <c r="O3110" s="4"/>
      <c r="P3110" s="4"/>
    </row>
    <row r="3111" ht="15.75" hidden="1" customHeight="1">
      <c r="B3111" s="8">
        <v>3430.0</v>
      </c>
      <c r="C3111" s="9">
        <v>43132.0</v>
      </c>
      <c r="D3111" s="6" t="s">
        <v>4134</v>
      </c>
      <c r="E3111" s="4">
        <v>6.101000108E9</v>
      </c>
      <c r="F3111" s="8" t="s">
        <v>1989</v>
      </c>
      <c r="G3111" s="4" t="s">
        <v>2014</v>
      </c>
      <c r="H3111" s="10" t="s">
        <v>2441</v>
      </c>
      <c r="I3111" s="10">
        <v>1.0</v>
      </c>
      <c r="J3111" s="11" t="str">
        <f>IF(D3111&lt;&gt;"",VLOOKUP(H3111,TABLEITEM,5,FALSE),"")</f>
        <v>pack</v>
      </c>
      <c r="K3111" s="12">
        <v>90.0</v>
      </c>
      <c r="L3111" s="13" t="str">
        <f>IF(D3111&lt;&gt;"",VLOOKUP(H3111,TABLEITEM,2,FALSE),"")</f>
        <v/>
      </c>
      <c r="M3111" s="13" t="str">
        <f>IF(D3111&lt;&gt;"",VLOOKUP(H3111,TABLEITEM,3,FALSE),"")</f>
        <v>ป้ายสติ๊กเกอร์ ขาวเงา/มัน ไลเนอร์ LN-601(50แผ่น)</v>
      </c>
      <c r="N3111" s="14">
        <f>INSTOCK!$I3111*INSTOCK!$K3111</f>
        <v>90</v>
      </c>
      <c r="O3111" s="4"/>
      <c r="P3111" s="4"/>
    </row>
    <row r="3112" ht="15.75" hidden="1" customHeight="1">
      <c r="B3112" s="8">
        <v>3431.0</v>
      </c>
      <c r="C3112" s="9">
        <v>43132.0</v>
      </c>
      <c r="D3112" s="6" t="s">
        <v>4134</v>
      </c>
      <c r="E3112" s="4">
        <v>6.101000108E9</v>
      </c>
      <c r="F3112" s="8" t="s">
        <v>1989</v>
      </c>
      <c r="G3112" s="4" t="s">
        <v>2014</v>
      </c>
      <c r="H3112" s="10" t="s">
        <v>1992</v>
      </c>
      <c r="I3112" s="10">
        <v>2.0</v>
      </c>
      <c r="J3112" s="11" t="str">
        <f>IF(D3112&lt;&gt;"",VLOOKUP(H3112,TABLEITEM,5,FALSE),"")</f>
        <v>PACK</v>
      </c>
      <c r="K3112" s="12">
        <v>119.0</v>
      </c>
      <c r="L3112" s="13" t="str">
        <f>IF(D3112&lt;&gt;"",VLOOKUP(H3112,TABLEITEM,2,FALSE),"")</f>
        <v/>
      </c>
      <c r="M3112" s="13" t="str">
        <f>IF(D3112&lt;&gt;"",VLOOKUP(H3112,TABLEITEM,3,FALSE),"")</f>
        <v>ถ่านอัลคาไลน์ Panasonic AA (แพ็ค 8ก้อน)</v>
      </c>
      <c r="N3112" s="14">
        <f>INSTOCK!$I3112*INSTOCK!$K3112</f>
        <v>238</v>
      </c>
      <c r="O3112" s="4"/>
      <c r="P3112" s="4"/>
    </row>
    <row r="3113" ht="15.75" hidden="1" customHeight="1">
      <c r="B3113" s="8">
        <v>3432.0</v>
      </c>
      <c r="C3113" s="9">
        <v>43132.0</v>
      </c>
      <c r="D3113" s="6" t="s">
        <v>4134</v>
      </c>
      <c r="E3113" s="4">
        <v>6.101000108E9</v>
      </c>
      <c r="F3113" s="8" t="s">
        <v>1989</v>
      </c>
      <c r="G3113" s="4" t="s">
        <v>2014</v>
      </c>
      <c r="H3113" s="10" t="s">
        <v>3254</v>
      </c>
      <c r="I3113" s="10">
        <v>1.0</v>
      </c>
      <c r="J3113" s="11" t="str">
        <f>IF(D3113&lt;&gt;"",VLOOKUP(H3113,TABLEITEM,5,FALSE),"")</f>
        <v>EA</v>
      </c>
      <c r="K3113" s="12">
        <v>330.0</v>
      </c>
      <c r="L3113" s="13" t="str">
        <f>IF(D3113&lt;&gt;"",VLOOKUP(H3113,TABLEITEM,2,FALSE),"")</f>
        <v/>
      </c>
      <c r="M3113" s="13" t="str">
        <f>IF(D3113&lt;&gt;"",VLOOKUP(H3113,TABLEITEM,3,FALSE),"")</f>
        <v>เครื่องคิดเลข CASIO AX-120 B 12หลัก</v>
      </c>
      <c r="N3113" s="14">
        <f>INSTOCK!$I3113*INSTOCK!$K3113</f>
        <v>330</v>
      </c>
      <c r="O3113" s="4"/>
      <c r="P3113" s="4"/>
    </row>
    <row r="3114" ht="15.75" hidden="1" customHeight="1">
      <c r="B3114" s="8">
        <v>3433.0</v>
      </c>
      <c r="C3114" s="9">
        <v>43132.0</v>
      </c>
      <c r="D3114" s="6" t="s">
        <v>4135</v>
      </c>
      <c r="E3114" s="4">
        <v>6.101000124E9</v>
      </c>
      <c r="F3114" s="8" t="s">
        <v>604</v>
      </c>
      <c r="G3114" s="4" t="s">
        <v>1274</v>
      </c>
      <c r="H3114" s="18" t="s">
        <v>1275</v>
      </c>
      <c r="I3114" s="10">
        <v>36.0</v>
      </c>
      <c r="J3114" s="11" t="str">
        <f>IF(D3114&lt;&gt;"",VLOOKUP(H3114,TABLEITEM,5,FALSE),"")</f>
        <v>ม้วน</v>
      </c>
      <c r="K3114" s="12">
        <v>26.0</v>
      </c>
      <c r="L3114" s="13" t="str">
        <f>IF(D3114&lt;&gt;"",VLOOKUP(H3114,TABLEITEM,2,FALSE),"")</f>
        <v/>
      </c>
      <c r="M3114" s="13" t="str">
        <f>IF(D3114&lt;&gt;"",VLOOKUP(H3114,TABLEITEM,3,FALSE),"")</f>
        <v>เทปกาวย่น 48มมx50ม</v>
      </c>
      <c r="N3114" s="14">
        <f>INSTOCK!$I3114*INSTOCK!$K3114</f>
        <v>936</v>
      </c>
      <c r="O3114" s="4"/>
      <c r="P3114" s="4"/>
    </row>
    <row r="3115" ht="15.75" hidden="1" customHeight="1">
      <c r="B3115" s="8">
        <v>3434.0</v>
      </c>
      <c r="C3115" s="9">
        <v>43132.0</v>
      </c>
      <c r="D3115" s="6" t="s">
        <v>4135</v>
      </c>
      <c r="E3115" s="4">
        <v>6.101000124E9</v>
      </c>
      <c r="F3115" s="8" t="s">
        <v>604</v>
      </c>
      <c r="G3115" s="4" t="s">
        <v>1274</v>
      </c>
      <c r="H3115" s="10" t="s">
        <v>2555</v>
      </c>
      <c r="I3115" s="10">
        <v>5.0</v>
      </c>
      <c r="J3115" s="11" t="str">
        <f>IF(D3115&lt;&gt;"",VLOOKUP(H3115,TABLEITEM,5,FALSE),"")</f>
        <v>EA</v>
      </c>
      <c r="K3115" s="12">
        <v>700.0</v>
      </c>
      <c r="L3115" s="13" t="str">
        <f>IF(D3115&lt;&gt;"",VLOOKUP(H3115,TABLEITEM,2,FALSE),"")</f>
        <v/>
      </c>
      <c r="M3115" s="13" t="str">
        <f>IF(D3115&lt;&gt;"",VLOOKUP(H3115,TABLEITEM,3,FALSE),"")</f>
        <v>สก๊อตไบร์ MULTI-FLEX ขนาด 8x20 สีเทา (60แผ่น/ม้วน)</v>
      </c>
      <c r="N3115" s="14">
        <f>INSTOCK!$I3115*INSTOCK!$K3115</f>
        <v>3500</v>
      </c>
      <c r="O3115" s="4"/>
      <c r="P3115" s="4"/>
    </row>
    <row r="3116" ht="15.75" hidden="1" customHeight="1">
      <c r="B3116" s="8">
        <v>3435.0</v>
      </c>
      <c r="C3116" s="9">
        <v>43132.0</v>
      </c>
      <c r="D3116" s="6" t="s">
        <v>4135</v>
      </c>
      <c r="E3116" s="4">
        <v>6.101000124E9</v>
      </c>
      <c r="F3116" s="8" t="s">
        <v>604</v>
      </c>
      <c r="G3116" s="4" t="s">
        <v>1274</v>
      </c>
      <c r="H3116" s="10" t="s">
        <v>21</v>
      </c>
      <c r="I3116" s="10">
        <v>400.0</v>
      </c>
      <c r="J3116" s="11" t="str">
        <f>IF(D3116&lt;&gt;"",VLOOKUP(H3116,TABLEITEM,5,FALSE),"")</f>
        <v>EA</v>
      </c>
      <c r="K3116" s="12">
        <v>45.0</v>
      </c>
      <c r="L3116" s="13" t="str">
        <f>IF(D3116&lt;&gt;"",VLOOKUP(H3116,TABLEITEM,2,FALSE),"")</f>
        <v/>
      </c>
      <c r="M3116" s="13" t="str">
        <f>IF(D3116&lt;&gt;"",VLOOKUP(H3116,TABLEITEM,3,FALSE),"")</f>
        <v>ใบหินเจียร์ 4'' </v>
      </c>
      <c r="N3116" s="14">
        <f>INSTOCK!$I3116*INSTOCK!$K3116</f>
        <v>18000</v>
      </c>
      <c r="O3116" s="4"/>
      <c r="P3116" s="4"/>
    </row>
    <row r="3117" ht="15.75" hidden="1" customHeight="1">
      <c r="B3117" s="8">
        <v>3436.0</v>
      </c>
      <c r="C3117" s="9">
        <v>43132.0</v>
      </c>
      <c r="D3117" s="6" t="s">
        <v>4136</v>
      </c>
      <c r="E3117" s="4"/>
      <c r="F3117" s="8" t="s">
        <v>604</v>
      </c>
      <c r="G3117" s="4" t="s">
        <v>1870</v>
      </c>
      <c r="H3117" s="10" t="s">
        <v>4137</v>
      </c>
      <c r="I3117" s="10">
        <v>1000.0</v>
      </c>
      <c r="J3117" s="11" t="str">
        <f>IF(D3117&lt;&gt;"",VLOOKUP(H3117,TABLEITEM,5,FALSE),"")</f>
        <v>EA</v>
      </c>
      <c r="K3117" s="12">
        <v>1.6275</v>
      </c>
      <c r="L3117" s="13" t="str">
        <f>IF(D3117&lt;&gt;"",VLOOKUP(H3117,TABLEITEM,2,FALSE),"")</f>
        <v/>
      </c>
      <c r="M3117" s="13" t="str">
        <f>IF(D3117&lt;&gt;"",VLOOKUP(H3117,TABLEITEM,3,FALSE),"")</f>
        <v>สกรูสแตนเลสหัวเหลี่ยม M8x20</v>
      </c>
      <c r="N3117" s="14">
        <f>INSTOCK!$I3117*INSTOCK!$K3117</f>
        <v>1627.5</v>
      </c>
      <c r="O3117" s="4" t="s">
        <v>4138</v>
      </c>
      <c r="P3117" s="4"/>
    </row>
    <row r="3118" ht="15.75" hidden="1" customHeight="1">
      <c r="B3118" s="8">
        <v>3437.0</v>
      </c>
      <c r="C3118" s="9">
        <v>43132.0</v>
      </c>
      <c r="D3118" s="6" t="s">
        <v>4139</v>
      </c>
      <c r="E3118" s="4">
        <v>6.10100013E9</v>
      </c>
      <c r="F3118" s="8" t="s">
        <v>604</v>
      </c>
      <c r="G3118" s="4" t="s">
        <v>2456</v>
      </c>
      <c r="H3118" s="10" t="s">
        <v>211</v>
      </c>
      <c r="I3118" s="10">
        <v>50.0</v>
      </c>
      <c r="J3118" s="11" t="str">
        <f>IF(D3118&lt;&gt;"",VLOOKUP(H3118,TABLEITEM,5,FALSE),"")</f>
        <v>EA</v>
      </c>
      <c r="K3118" s="12">
        <v>117.0</v>
      </c>
      <c r="L3118" s="13" t="str">
        <f>IF(D3118&lt;&gt;"",VLOOKUP(H3118,TABLEITEM,2,FALSE),"")</f>
        <v/>
      </c>
      <c r="M3118" s="13" t="str">
        <f>IF(D3118&lt;&gt;"",VLOOKUP(H3118,TABLEITEM,3,FALSE),"")</f>
        <v>รางรีเลย์</v>
      </c>
      <c r="N3118" s="14">
        <f>INSTOCK!$I3118*INSTOCK!$K3118</f>
        <v>5850</v>
      </c>
      <c r="O3118" s="4"/>
      <c r="P3118" s="4"/>
    </row>
    <row r="3119" ht="15.75" hidden="1" customHeight="1">
      <c r="B3119" s="8">
        <v>3438.0</v>
      </c>
      <c r="C3119" s="9">
        <v>43181.0</v>
      </c>
      <c r="D3119" s="6">
        <v>6102027.0</v>
      </c>
      <c r="E3119" s="4">
        <v>6.103000302E9</v>
      </c>
      <c r="F3119" s="8" t="s">
        <v>4140</v>
      </c>
      <c r="G3119" s="4" t="s">
        <v>2688</v>
      </c>
      <c r="H3119" s="10" t="s">
        <v>2689</v>
      </c>
      <c r="I3119" s="10">
        <v>4.0</v>
      </c>
      <c r="J3119" s="11" t="str">
        <f>IF(D3119&lt;&gt;"",VLOOKUP(H3119,TABLEITEM,5,FALSE),"")</f>
        <v>SET</v>
      </c>
      <c r="K3119" s="12">
        <v>7500.0</v>
      </c>
      <c r="L3119" s="13" t="str">
        <f>IF(D3119&lt;&gt;"",VLOOKUP(H3119,TABLEITEM,2,FALSE),"")</f>
        <v/>
      </c>
      <c r="M3119" s="13" t="str">
        <f>IF(D3119&lt;&gt;"",VLOOKUP(H3119,TABLEITEM,3,FALSE),"")</f>
        <v>AUTODESK AUTOCAD LT COMMERCIAL MAINTENANCE (1YEAR)</v>
      </c>
      <c r="N3119" s="14">
        <f>INSTOCK!$I3119*INSTOCK!$K3119</f>
        <v>30000</v>
      </c>
      <c r="O3119" s="4"/>
      <c r="P3119" s="4"/>
    </row>
    <row r="3120" ht="15.75" hidden="1" customHeight="1">
      <c r="B3120" s="8">
        <v>3439.0</v>
      </c>
      <c r="C3120" s="9">
        <v>43180.0</v>
      </c>
      <c r="D3120" s="6" t="s">
        <v>4141</v>
      </c>
      <c r="E3120" s="4">
        <v>6.103000353E9</v>
      </c>
      <c r="F3120" s="8" t="s">
        <v>604</v>
      </c>
      <c r="G3120" s="4" t="s">
        <v>1777</v>
      </c>
      <c r="H3120" s="10" t="s">
        <v>4142</v>
      </c>
      <c r="I3120" s="10">
        <v>300.0</v>
      </c>
      <c r="J3120" s="11" t="str">
        <f>IF(D3120&lt;&gt;"",VLOOKUP(H3120,TABLEITEM,5,FALSE),"")</f>
        <v>EA</v>
      </c>
      <c r="K3120" s="12">
        <v>1.3975</v>
      </c>
      <c r="L3120" s="13" t="str">
        <f>IF(D3120&lt;&gt;"",VLOOKUP(H3120,TABLEITEM,2,FALSE),"")</f>
        <v/>
      </c>
      <c r="M3120" s="13" t="str">
        <f>IF(D3120&lt;&gt;"",VLOOKUP(H3120,TABLEITEM,3,FALSE),"")</f>
        <v>สกรูหัวเหลี่ยมชุบขาว M10x15</v>
      </c>
      <c r="N3120" s="14">
        <f>INSTOCK!$I3120*INSTOCK!$K3120</f>
        <v>419.25</v>
      </c>
      <c r="O3120" s="4" t="s">
        <v>4143</v>
      </c>
      <c r="P3120" s="4"/>
    </row>
    <row r="3121" ht="15.75" hidden="1" customHeight="1">
      <c r="B3121" s="8">
        <v>3440.0</v>
      </c>
      <c r="C3121" s="9">
        <v>43180.0</v>
      </c>
      <c r="D3121" s="6" t="s">
        <v>4141</v>
      </c>
      <c r="E3121" s="4">
        <v>6.103000353E9</v>
      </c>
      <c r="F3121" s="8" t="s">
        <v>604</v>
      </c>
      <c r="G3121" s="4" t="s">
        <v>1777</v>
      </c>
      <c r="H3121" s="10" t="s">
        <v>2096</v>
      </c>
      <c r="I3121" s="10">
        <v>300.0</v>
      </c>
      <c r="J3121" s="11" t="str">
        <f>IF(D3121&lt;&gt;"",VLOOKUP(H3121,TABLEITEM,5,FALSE),"")</f>
        <v>EA</v>
      </c>
      <c r="K3121" s="12">
        <v>2.6325</v>
      </c>
      <c r="L3121" s="13" t="str">
        <f>IF(D3121&lt;&gt;"",VLOOKUP(H3121,TABLEITEM,2,FALSE),"")</f>
        <v/>
      </c>
      <c r="M3121" s="13" t="str">
        <f>IF(D3121&lt;&gt;"",VLOOKUP(H3121,TABLEITEM,3,FALSE),"")</f>
        <v>สกรูหัวเหลี่ยมชุบรุ้ง M12x35</v>
      </c>
      <c r="N3121" s="14">
        <f>INSTOCK!$I3121*INSTOCK!$K3121</f>
        <v>789.75</v>
      </c>
      <c r="O3121" s="4" t="s">
        <v>2097</v>
      </c>
      <c r="P3121" s="4"/>
    </row>
    <row r="3122" ht="15.75" hidden="1" customHeight="1">
      <c r="B3122" s="8">
        <v>3441.0</v>
      </c>
      <c r="C3122" s="9">
        <v>43180.0</v>
      </c>
      <c r="D3122" s="6" t="s">
        <v>4141</v>
      </c>
      <c r="E3122" s="4">
        <v>6.103000353E9</v>
      </c>
      <c r="F3122" s="8" t="s">
        <v>604</v>
      </c>
      <c r="G3122" s="4" t="s">
        <v>1777</v>
      </c>
      <c r="H3122" s="10" t="s">
        <v>1887</v>
      </c>
      <c r="I3122" s="10">
        <v>1000.0</v>
      </c>
      <c r="J3122" s="11" t="str">
        <f>IF(D3122&lt;&gt;"",VLOOKUP(H3122,TABLEITEM,5,FALSE),"")</f>
        <v>EA</v>
      </c>
      <c r="K3122" s="12">
        <v>0.375</v>
      </c>
      <c r="L3122" s="13" t="str">
        <f>IF(D3122&lt;&gt;"",VLOOKUP(H3122,TABLEITEM,2,FALSE),"")</f>
        <v/>
      </c>
      <c r="M3122" s="13" t="str">
        <f>IF(D3122&lt;&gt;"",VLOOKUP(H3122,TABLEITEM,3,FALSE),"")</f>
        <v>แหวนอีแปะ M12  ชุบขาว</v>
      </c>
      <c r="N3122" s="14">
        <f>INSTOCK!$I3122*INSTOCK!$K3122</f>
        <v>375</v>
      </c>
      <c r="O3122" s="4" t="s">
        <v>1888</v>
      </c>
      <c r="P3122" s="4"/>
    </row>
    <row r="3123" ht="15.75" hidden="1" customHeight="1">
      <c r="B3123" s="8">
        <v>3442.0</v>
      </c>
      <c r="C3123" s="9">
        <v>43180.0</v>
      </c>
      <c r="D3123" s="6">
        <v>80475.0</v>
      </c>
      <c r="E3123" s="4">
        <v>6.103000348E9</v>
      </c>
      <c r="F3123" s="8" t="s">
        <v>4144</v>
      </c>
      <c r="G3123" s="4" t="s">
        <v>2589</v>
      </c>
      <c r="H3123" s="10" t="s">
        <v>3007</v>
      </c>
      <c r="I3123" s="10">
        <v>700.0</v>
      </c>
      <c r="J3123" s="11" t="str">
        <f>IF(D3123&lt;&gt;"",VLOOKUP(H3123,TABLEITEM,5,FALSE),"")</f>
        <v>EA</v>
      </c>
      <c r="K3123" s="12">
        <v>0.91</v>
      </c>
      <c r="L3123" s="13" t="str">
        <f>IF(D3123&lt;&gt;"",VLOOKUP(H3123,TABLEITEM,2,FALSE),"")</f>
        <v/>
      </c>
      <c r="M3123" s="13" t="str">
        <f>IF(D3123&lt;&gt;"",VLOOKUP(H3123,TABLEITEM,3,FALSE),"")</f>
        <v>สตัด M6x25</v>
      </c>
      <c r="N3123" s="14">
        <f>INSTOCK!$I3123*INSTOCK!$K3123</f>
        <v>637</v>
      </c>
      <c r="O3123" s="4" t="s">
        <v>4145</v>
      </c>
      <c r="P3123" s="4"/>
    </row>
    <row r="3124" ht="15.75" hidden="1" customHeight="1">
      <c r="B3124" s="8">
        <v>3443.0</v>
      </c>
      <c r="C3124" s="9">
        <v>43179.0</v>
      </c>
      <c r="D3124" s="6" t="s">
        <v>4146</v>
      </c>
      <c r="E3124" s="4">
        <v>6.103000333E9</v>
      </c>
      <c r="F3124" s="8" t="s">
        <v>4147</v>
      </c>
      <c r="G3124" s="4" t="s">
        <v>4148</v>
      </c>
      <c r="H3124" s="10" t="s">
        <v>4149</v>
      </c>
      <c r="I3124" s="10">
        <v>1.0</v>
      </c>
      <c r="J3124" s="11" t="str">
        <f>IF(D3124&lt;&gt;"",VLOOKUP(H3124,TABLEITEM,5,FALSE),"")</f>
        <v>EA</v>
      </c>
      <c r="K3124" s="12">
        <v>16245.0</v>
      </c>
      <c r="L3124" s="13" t="str">
        <f>IF(D3124&lt;&gt;"",VLOOKUP(H3124,TABLEITEM,2,FALSE),"")</f>
        <v/>
      </c>
      <c r="M3124" s="13" t="str">
        <f>IF(D3124&lt;&gt;"",VLOOKUP(H3124,TABLEITEM,3,FALSE),"")</f>
        <v>HAK316#Model SPC25DS/3+1 Lightning arresters-varistor type 1+ 2 100ka</v>
      </c>
      <c r="N3124" s="14">
        <f>INSTOCK!$I3124*INSTOCK!$K3124</f>
        <v>16245</v>
      </c>
      <c r="O3124" s="4"/>
      <c r="P3124" s="4"/>
    </row>
    <row r="3125" ht="15.75" hidden="1" customHeight="1">
      <c r="B3125" s="8">
        <v>3444.0</v>
      </c>
      <c r="C3125" s="9">
        <v>43179.0</v>
      </c>
      <c r="D3125" s="6" t="s">
        <v>4146</v>
      </c>
      <c r="E3125" s="4">
        <v>6.103000333E9</v>
      </c>
      <c r="F3125" s="8" t="s">
        <v>4147</v>
      </c>
      <c r="G3125" s="4" t="s">
        <v>4148</v>
      </c>
      <c r="H3125" s="10" t="s">
        <v>4150</v>
      </c>
      <c r="I3125" s="10">
        <v>2.0</v>
      </c>
      <c r="J3125" s="11" t="str">
        <f>IF(D3125&lt;&gt;"",VLOOKUP(H3125,TABLEITEM,5,FALSE),"")</f>
        <v>EA</v>
      </c>
      <c r="K3125" s="12">
        <v>1580.0</v>
      </c>
      <c r="L3125" s="13" t="str">
        <f>IF(D3125&lt;&gt;"",VLOOKUP(H3125,TABLEITEM,2,FALSE),"")</f>
        <v/>
      </c>
      <c r="M3125" s="13" t="str">
        <f>IF(D3125&lt;&gt;"",VLOOKUP(H3125,TABLEITEM,3,FALSE),"")</f>
        <v>HAK3607#PIIIM-275DS Surge arrester class II Max discharge current 8/20 50ka</v>
      </c>
      <c r="N3125" s="14">
        <f>INSTOCK!$I3125*INSTOCK!$K3125</f>
        <v>3160</v>
      </c>
      <c r="O3125" s="4"/>
      <c r="P3125" s="4"/>
    </row>
    <row r="3126" ht="15.75" hidden="1" customHeight="1">
      <c r="B3126" s="8">
        <v>3445.0</v>
      </c>
      <c r="C3126" s="9">
        <v>43178.0</v>
      </c>
      <c r="D3126" s="6" t="s">
        <v>4151</v>
      </c>
      <c r="E3126" s="4"/>
      <c r="F3126" s="8" t="s">
        <v>4152</v>
      </c>
      <c r="G3126" s="4" t="s">
        <v>2727</v>
      </c>
      <c r="H3126" s="10" t="s">
        <v>2728</v>
      </c>
      <c r="I3126" s="10">
        <v>22.0</v>
      </c>
      <c r="J3126" s="11" t="str">
        <f>IF(D3126&lt;&gt;"",VLOOKUP(H3126,TABLEITEM,5,FALSE),"")</f>
        <v>แผ่น</v>
      </c>
      <c r="K3126" s="12">
        <v>800.0</v>
      </c>
      <c r="L3126" s="13" t="str">
        <f>IF(D3126&lt;&gt;"",VLOOKUP(H3126,TABLEITEM,2,FALSE),"")</f>
        <v/>
      </c>
      <c r="M3126" s="13" t="str">
        <f>IF(D3126&lt;&gt;"",VLOOKUP(H3126,TABLEITEM,3,FALSE),"")</f>
        <v>ไม้อัดยาง 20 มม เต็มมิล</v>
      </c>
      <c r="N3126" s="14">
        <f>INSTOCK!$I3126*INSTOCK!$K3126</f>
        <v>17600</v>
      </c>
      <c r="O3126" s="4"/>
      <c r="P3126" s="4"/>
    </row>
    <row r="3127" ht="15.75" hidden="1" customHeight="1">
      <c r="B3127" s="8">
        <v>3446.0</v>
      </c>
      <c r="C3127" s="9">
        <v>43178.0</v>
      </c>
      <c r="D3127" s="6" t="s">
        <v>4153</v>
      </c>
      <c r="E3127" s="4">
        <v>6.103000345E9</v>
      </c>
      <c r="F3127" s="8" t="s">
        <v>4154</v>
      </c>
      <c r="G3127" s="4" t="s">
        <v>1485</v>
      </c>
      <c r="H3127" s="10" t="s">
        <v>4155</v>
      </c>
      <c r="I3127" s="10">
        <v>1.0</v>
      </c>
      <c r="J3127" s="11" t="str">
        <f>IF(D3127&lt;&gt;"",VLOOKUP(H3127,TABLEITEM,5,FALSE),"")</f>
        <v>EA</v>
      </c>
      <c r="K3127" s="12">
        <v>3374.4</v>
      </c>
      <c r="L3127" s="13" t="str">
        <f>IF(D3127&lt;&gt;"",VLOOKUP(H3127,TABLEITEM,2,FALSE),"")</f>
        <v/>
      </c>
      <c r="M3127" s="13" t="str">
        <f>IF(D3127&lt;&gt;"",VLOOKUP(H3127,TABLEITEM,3,FALSE),"")</f>
        <v>EASYPACT EZC250G TMD MCCB 3P 200A</v>
      </c>
      <c r="N3127" s="14">
        <f>INSTOCK!$I3127*INSTOCK!$K3127</f>
        <v>3374.4</v>
      </c>
      <c r="O3127" s="4"/>
      <c r="P3127" s="4"/>
    </row>
    <row r="3128" ht="15.75" hidden="1" customHeight="1">
      <c r="B3128" s="8">
        <v>3447.0</v>
      </c>
      <c r="C3128" s="9">
        <v>43178.0</v>
      </c>
      <c r="D3128" s="6" t="s">
        <v>4153</v>
      </c>
      <c r="E3128" s="4">
        <v>6.103000345E9</v>
      </c>
      <c r="F3128" s="8" t="s">
        <v>4154</v>
      </c>
      <c r="G3128" s="4" t="s">
        <v>1485</v>
      </c>
      <c r="H3128" s="10" t="s">
        <v>2567</v>
      </c>
      <c r="I3128" s="10">
        <v>4.0</v>
      </c>
      <c r="J3128" s="11" t="str">
        <f>IF(D3128&lt;&gt;"",VLOOKUP(H3128,TABLEITEM,5,FALSE),"")</f>
        <v>EA</v>
      </c>
      <c r="K3128" s="12">
        <v>2869.0</v>
      </c>
      <c r="L3128" s="13" t="str">
        <f>IF(D3128&lt;&gt;"",VLOOKUP(H3128,TABLEITEM,2,FALSE),"")</f>
        <v/>
      </c>
      <c r="M3128" s="13" t="str">
        <f>IF(D3128&lt;&gt;"",VLOOKUP(H3128,TABLEITEM,3,FALSE),"")</f>
        <v>MCCB 3P EZC250F 125AT/250AF 18KA 415VAC</v>
      </c>
      <c r="N3128" s="14">
        <f>INSTOCK!$I3128*INSTOCK!$K3128</f>
        <v>11476</v>
      </c>
      <c r="O3128" s="4"/>
      <c r="P3128" s="4"/>
    </row>
    <row r="3129" ht="15.75" hidden="1" customHeight="1">
      <c r="B3129" s="8">
        <v>3448.0</v>
      </c>
      <c r="C3129" s="9">
        <v>43178.0</v>
      </c>
      <c r="D3129" s="6" t="s">
        <v>4153</v>
      </c>
      <c r="E3129" s="4">
        <v>6.103000345E9</v>
      </c>
      <c r="F3129" s="8" t="s">
        <v>4154</v>
      </c>
      <c r="G3129" s="4" t="s">
        <v>1485</v>
      </c>
      <c r="H3129" s="10" t="s">
        <v>4156</v>
      </c>
      <c r="I3129" s="10">
        <v>4.0</v>
      </c>
      <c r="J3129" s="11" t="str">
        <f>IF(D3129&lt;&gt;"",VLOOKUP(H3129,TABLEITEM,5,FALSE),"")</f>
        <v>EA</v>
      </c>
      <c r="K3129" s="12">
        <v>1558.0</v>
      </c>
      <c r="L3129" s="13" t="str">
        <f>IF(D3129&lt;&gt;"",VLOOKUP(H3129,TABLEITEM,2,FALSE),"")</f>
        <v/>
      </c>
      <c r="M3129" s="13" t="str">
        <f>IF(D3129&lt;&gt;"",VLOOKUP(H3129,TABLEITEM,3,FALSE),"")</f>
        <v>MG EZC 100 10KA/400 3P/3T 80A</v>
      </c>
      <c r="N3129" s="14">
        <f>INSTOCK!$I3129*INSTOCK!$K3129</f>
        <v>6232</v>
      </c>
      <c r="O3129" s="4"/>
      <c r="P3129" s="4"/>
    </row>
    <row r="3130" ht="15.75" hidden="1" customHeight="1">
      <c r="B3130" s="8">
        <v>3449.0</v>
      </c>
      <c r="C3130" s="9">
        <v>43178.0</v>
      </c>
      <c r="D3130" s="6" t="s">
        <v>4153</v>
      </c>
      <c r="E3130" s="4">
        <v>6.103000345E9</v>
      </c>
      <c r="F3130" s="8" t="s">
        <v>4154</v>
      </c>
      <c r="G3130" s="4" t="s">
        <v>1485</v>
      </c>
      <c r="H3130" s="10" t="s">
        <v>4157</v>
      </c>
      <c r="I3130" s="10">
        <v>1.0</v>
      </c>
      <c r="J3130" s="11" t="str">
        <f>IF(D3130&lt;&gt;"",VLOOKUP(H3130,TABLEITEM,5,FALSE),"")</f>
        <v>EA</v>
      </c>
      <c r="K3130" s="12">
        <v>1558.0</v>
      </c>
      <c r="L3130" s="13" t="str">
        <f>IF(D3130&lt;&gt;"",VLOOKUP(H3130,TABLEITEM,2,FALSE),"")</f>
        <v/>
      </c>
      <c r="M3130" s="13" t="str">
        <f>IF(D3130&lt;&gt;"",VLOOKUP(H3130,TABLEITEM,3,FALSE),"")</f>
        <v>MG EZC 100 10KA/400 3P/3T 60A</v>
      </c>
      <c r="N3130" s="14">
        <f>INSTOCK!$I3130*INSTOCK!$K3130</f>
        <v>1558</v>
      </c>
      <c r="O3130" s="4"/>
      <c r="P3130" s="4"/>
    </row>
    <row r="3131" ht="15.75" hidden="1" customHeight="1">
      <c r="B3131" s="8">
        <v>3450.0</v>
      </c>
      <c r="C3131" s="9">
        <v>43178.0</v>
      </c>
      <c r="D3131" s="6" t="s">
        <v>4153</v>
      </c>
      <c r="E3131" s="4">
        <v>6.103000345E9</v>
      </c>
      <c r="F3131" s="8" t="s">
        <v>4154</v>
      </c>
      <c r="G3131" s="4" t="s">
        <v>1485</v>
      </c>
      <c r="H3131" s="10" t="s">
        <v>4158</v>
      </c>
      <c r="I3131" s="10">
        <v>1.0</v>
      </c>
      <c r="J3131" s="11" t="str">
        <f>IF(D3131&lt;&gt;"",VLOOKUP(H3131,TABLEITEM,5,FALSE),"")</f>
        <v>EA</v>
      </c>
      <c r="K3131" s="12">
        <v>1178.0</v>
      </c>
      <c r="L3131" s="13" t="str">
        <f>IF(D3131&lt;&gt;"",VLOOKUP(H3131,TABLEITEM,2,FALSE),"")</f>
        <v/>
      </c>
      <c r="M3131" s="13" t="str">
        <f>IF(D3131&lt;&gt;"",VLOOKUP(H3131,TABLEITEM,3,FALSE),"")</f>
        <v>MG EZC 100 10KA/400 3P/3T 40A</v>
      </c>
      <c r="N3131" s="14">
        <f>INSTOCK!$I3131*INSTOCK!$K3131</f>
        <v>1178</v>
      </c>
      <c r="O3131" s="4"/>
      <c r="P3131" s="4"/>
    </row>
    <row r="3132" ht="15.75" hidden="1" customHeight="1">
      <c r="B3132" s="8">
        <v>3451.0</v>
      </c>
      <c r="C3132" s="9">
        <v>43178.0</v>
      </c>
      <c r="D3132" s="6" t="s">
        <v>4153</v>
      </c>
      <c r="E3132" s="4">
        <v>6.103000345E9</v>
      </c>
      <c r="F3132" s="8" t="s">
        <v>4154</v>
      </c>
      <c r="G3132" s="4" t="s">
        <v>1485</v>
      </c>
      <c r="H3132" s="10" t="s">
        <v>4159</v>
      </c>
      <c r="I3132" s="10">
        <v>2.0</v>
      </c>
      <c r="J3132" s="11" t="str">
        <f>IF(D3132&lt;&gt;"",VLOOKUP(H3132,TABLEITEM,5,FALSE),"")</f>
        <v>EA</v>
      </c>
      <c r="K3132" s="12">
        <v>1178.0</v>
      </c>
      <c r="L3132" s="13" t="str">
        <f>IF(D3132&lt;&gt;"",VLOOKUP(H3132,TABLEITEM,2,FALSE),"")</f>
        <v/>
      </c>
      <c r="M3132" s="13" t="str">
        <f>IF(D3132&lt;&gt;"",VLOOKUP(H3132,TABLEITEM,3,FALSE),"")</f>
        <v>MG EZC 100 10KA/400 3P/3T 30A</v>
      </c>
      <c r="N3132" s="14">
        <f>INSTOCK!$I3132*INSTOCK!$K3132</f>
        <v>2356</v>
      </c>
      <c r="O3132" s="4"/>
      <c r="P3132" s="4"/>
    </row>
    <row r="3133" ht="15.75" hidden="1" customHeight="1">
      <c r="B3133" s="8">
        <v>3452.0</v>
      </c>
      <c r="C3133" s="9">
        <v>43178.0</v>
      </c>
      <c r="D3133" s="6" t="s">
        <v>4160</v>
      </c>
      <c r="E3133" s="4">
        <v>6.103000335E9</v>
      </c>
      <c r="F3133" s="8" t="s">
        <v>604</v>
      </c>
      <c r="G3133" s="4" t="s">
        <v>1777</v>
      </c>
      <c r="H3133" s="10" t="s">
        <v>2086</v>
      </c>
      <c r="I3133" s="10">
        <v>1500.0</v>
      </c>
      <c r="J3133" s="11" t="str">
        <f>IF(D3133&lt;&gt;"",VLOOKUP(H3133,TABLEITEM,5,FALSE),"")</f>
        <v>EA</v>
      </c>
      <c r="K3133" s="12">
        <v>0.54</v>
      </c>
      <c r="L3133" s="13" t="str">
        <f>IF(D3133&lt;&gt;"",VLOOKUP(H3133,TABLEITEM,2,FALSE),"")</f>
        <v/>
      </c>
      <c r="M3133" s="13" t="str">
        <f>IF(D3133&lt;&gt;"",VLOOKUP(H3133,TABLEITEM,3,FALSE),"")</f>
        <v>ติดจาน M8</v>
      </c>
      <c r="N3133" s="14">
        <f>INSTOCK!$I3133*INSTOCK!$K3133</f>
        <v>810</v>
      </c>
      <c r="O3133" s="4" t="s">
        <v>2087</v>
      </c>
      <c r="P3133" s="4"/>
    </row>
    <row r="3134" ht="15.75" hidden="1" customHeight="1">
      <c r="B3134" s="8">
        <v>3453.0</v>
      </c>
      <c r="C3134" s="9">
        <v>43176.0</v>
      </c>
      <c r="D3134" s="6" t="s">
        <v>4161</v>
      </c>
      <c r="E3134" s="4"/>
      <c r="F3134" s="8" t="s">
        <v>604</v>
      </c>
      <c r="G3134" s="4" t="s">
        <v>2495</v>
      </c>
      <c r="H3134" s="10" t="s">
        <v>4162</v>
      </c>
      <c r="I3134" s="10">
        <v>1000.0</v>
      </c>
      <c r="J3134" s="11" t="str">
        <f>IF(D3134&lt;&gt;"",VLOOKUP(H3134,TABLEITEM,5,FALSE),"")</f>
        <v>EA</v>
      </c>
      <c r="K3134" s="12">
        <v>1.075</v>
      </c>
      <c r="L3134" s="13" t="str">
        <f>IF(D3134&lt;&gt;"",VLOOKUP(H3134,TABLEITEM,2,FALSE),"")</f>
        <v/>
      </c>
      <c r="M3134" s="13" t="str">
        <f>IF(D3134&lt;&gt;"",VLOOKUP(H3134,TABLEITEM,3,FALSE),"")</f>
        <v>สกรูสแตนเลสหัวเหลี่ยม M6x15</v>
      </c>
      <c r="N3134" s="14">
        <f>INSTOCK!$I3134*INSTOCK!$K3134</f>
        <v>1075</v>
      </c>
      <c r="O3134" s="4" t="s">
        <v>4163</v>
      </c>
      <c r="P3134" s="4"/>
    </row>
    <row r="3135" ht="15.75" hidden="1" customHeight="1">
      <c r="B3135" s="8">
        <v>3454.0</v>
      </c>
      <c r="C3135" s="9">
        <v>43176.0</v>
      </c>
      <c r="D3135" s="6">
        <v>6.10305611E8</v>
      </c>
      <c r="E3135" s="4">
        <v>6.103000344E9</v>
      </c>
      <c r="F3135" s="8"/>
      <c r="G3135" s="4" t="s">
        <v>1130</v>
      </c>
      <c r="H3135" s="10" t="s">
        <v>1897</v>
      </c>
      <c r="I3135" s="10">
        <v>3.0</v>
      </c>
      <c r="J3135" s="11" t="str">
        <f>IF(D3135&lt;&gt;"",VLOOKUP(H3135,TABLEITEM,5,FALSE),"")</f>
        <v>EA</v>
      </c>
      <c r="K3135" s="12">
        <v>121.1233</v>
      </c>
      <c r="L3135" s="13" t="str">
        <f>IF(D3135&lt;&gt;"",VLOOKUP(H3135,TABLEITEM,2,FALSE),"")</f>
        <v/>
      </c>
      <c r="M3135" s="13" t="str">
        <f>IF(D3135&lt;&gt;"",VLOOKUP(H3135,TABLEITEM,3,FALSE),"")</f>
        <v>CT 200/5 MQS40</v>
      </c>
      <c r="N3135" s="14">
        <f>INSTOCK!$I3135*INSTOCK!$K3135</f>
        <v>363.3699</v>
      </c>
      <c r="O3135" s="4" t="s">
        <v>1898</v>
      </c>
      <c r="P3135" s="4"/>
    </row>
    <row r="3136" ht="15.75" hidden="1" customHeight="1">
      <c r="B3136" s="8">
        <v>3455.0</v>
      </c>
      <c r="C3136" s="9">
        <v>43176.0</v>
      </c>
      <c r="D3136" s="6" t="s">
        <v>4164</v>
      </c>
      <c r="E3136" s="4">
        <v>6.103000327E9</v>
      </c>
      <c r="F3136" s="8" t="s">
        <v>604</v>
      </c>
      <c r="G3136" s="4" t="s">
        <v>1777</v>
      </c>
      <c r="H3136" s="10" t="s">
        <v>1936</v>
      </c>
      <c r="I3136" s="10">
        <v>1000.0</v>
      </c>
      <c r="J3136" s="11" t="str">
        <f>IF(D3136&lt;&gt;"",VLOOKUP(H3136,TABLEITEM,5,FALSE),"")</f>
        <v>EA</v>
      </c>
      <c r="K3136" s="12">
        <v>0.189</v>
      </c>
      <c r="L3136" s="13" t="str">
        <f>IF(D3136&lt;&gt;"",VLOOKUP(H3136,TABLEITEM,2,FALSE),"")</f>
        <v/>
      </c>
      <c r="M3136" s="13" t="str">
        <f>IF(D3136&lt;&gt;"",VLOOKUP(H3136,TABLEITEM,3,FALSE),"")</f>
        <v>สกรูหัวกลมชุบขาว M6x10</v>
      </c>
      <c r="N3136" s="14">
        <f>INSTOCK!$I3136*INSTOCK!$K3136</f>
        <v>189</v>
      </c>
      <c r="O3136" s="4" t="s">
        <v>1937</v>
      </c>
      <c r="P3136" s="4"/>
    </row>
    <row r="3137" ht="15.75" hidden="1" customHeight="1">
      <c r="B3137" s="8">
        <v>3456.0</v>
      </c>
      <c r="C3137" s="9">
        <v>43176.0</v>
      </c>
      <c r="D3137" s="6" t="s">
        <v>4164</v>
      </c>
      <c r="E3137" s="4">
        <v>6.103000327E9</v>
      </c>
      <c r="F3137" s="8" t="s">
        <v>604</v>
      </c>
      <c r="G3137" s="4" t="s">
        <v>1777</v>
      </c>
      <c r="H3137" s="10" t="s">
        <v>2400</v>
      </c>
      <c r="I3137" s="10">
        <v>3000.0</v>
      </c>
      <c r="J3137" s="11" t="str">
        <f>IF(D3137&lt;&gt;"",VLOOKUP(H3137,TABLEITEM,5,FALSE),"")</f>
        <v>EA</v>
      </c>
      <c r="K3137" s="12">
        <v>0.27</v>
      </c>
      <c r="L3137" s="13" t="str">
        <f>IF(D3137&lt;&gt;"",VLOOKUP(H3137,TABLEITEM,2,FALSE),"")</f>
        <v/>
      </c>
      <c r="M3137" s="13" t="str">
        <f>IF(D3137&lt;&gt;"",VLOOKUP(H3137,TABLEITEM,3,FALSE),"")</f>
        <v>สกรูหัวหมวก  M6x10</v>
      </c>
      <c r="N3137" s="14">
        <f>INSTOCK!$I3137*INSTOCK!$K3137</f>
        <v>810</v>
      </c>
      <c r="O3137" s="4"/>
      <c r="P3137" s="4"/>
    </row>
    <row r="3138" ht="15.75" hidden="1" customHeight="1">
      <c r="B3138" s="8">
        <v>3457.0</v>
      </c>
      <c r="C3138" s="9">
        <v>43176.0</v>
      </c>
      <c r="D3138" s="6" t="s">
        <v>4164</v>
      </c>
      <c r="E3138" s="4">
        <v>6.103000327E9</v>
      </c>
      <c r="F3138" s="8" t="s">
        <v>604</v>
      </c>
      <c r="G3138" s="4" t="s">
        <v>1777</v>
      </c>
      <c r="H3138" s="10" t="s">
        <v>4165</v>
      </c>
      <c r="I3138" s="10">
        <v>500.0</v>
      </c>
      <c r="J3138" s="11" t="str">
        <f>IF(D3138&lt;&gt;"",VLOOKUP(H3138,TABLEITEM,5,FALSE),"")</f>
        <v>EA</v>
      </c>
      <c r="K3138" s="12">
        <v>1.0075</v>
      </c>
      <c r="L3138" s="13" t="str">
        <f>IF(D3138&lt;&gt;"",VLOOKUP(H3138,TABLEITEM,2,FALSE),"")</f>
        <v/>
      </c>
      <c r="M3138" s="13" t="str">
        <f>IF(D3138&lt;&gt;"",VLOOKUP(H3138,TABLEITEM,3,FALSE),"")</f>
        <v>สกรูหัวเหลี่ยมชุบขาว M8x30</v>
      </c>
      <c r="N3138" s="14">
        <f>INSTOCK!$I3138*INSTOCK!$K3138</f>
        <v>503.75</v>
      </c>
      <c r="O3138" s="4" t="s">
        <v>4166</v>
      </c>
      <c r="P3138" s="4"/>
    </row>
    <row r="3139" ht="15.75" hidden="1" customHeight="1">
      <c r="B3139" s="8">
        <v>3458.0</v>
      </c>
      <c r="C3139" s="9">
        <v>43176.0</v>
      </c>
      <c r="D3139" s="6" t="s">
        <v>4164</v>
      </c>
      <c r="E3139" s="4">
        <v>6.103000327E9</v>
      </c>
      <c r="F3139" s="8" t="s">
        <v>604</v>
      </c>
      <c r="G3139" s="4" t="s">
        <v>1777</v>
      </c>
      <c r="H3139" s="10" t="s">
        <v>2086</v>
      </c>
      <c r="I3139" s="10">
        <v>3000.0</v>
      </c>
      <c r="J3139" s="11" t="str">
        <f>IF(D3139&lt;&gt;"",VLOOKUP(H3139,TABLEITEM,5,FALSE),"")</f>
        <v>EA</v>
      </c>
      <c r="K3139" s="12">
        <v>0.54</v>
      </c>
      <c r="L3139" s="13" t="str">
        <f>IF(D3139&lt;&gt;"",VLOOKUP(H3139,TABLEITEM,2,FALSE),"")</f>
        <v/>
      </c>
      <c r="M3139" s="13" t="str">
        <f>IF(D3139&lt;&gt;"",VLOOKUP(H3139,TABLEITEM,3,FALSE),"")</f>
        <v>ติดจาน M8</v>
      </c>
      <c r="N3139" s="14">
        <f>INSTOCK!$I3139*INSTOCK!$K3139</f>
        <v>1620</v>
      </c>
      <c r="O3139" s="4" t="s">
        <v>2087</v>
      </c>
      <c r="P3139" s="4"/>
    </row>
    <row r="3140" ht="15.75" hidden="1" customHeight="1">
      <c r="B3140" s="8">
        <v>3459.0</v>
      </c>
      <c r="C3140" s="9">
        <v>43175.0</v>
      </c>
      <c r="D3140" s="6" t="s">
        <v>4167</v>
      </c>
      <c r="E3140" s="4"/>
      <c r="F3140" s="8" t="s">
        <v>4147</v>
      </c>
      <c r="G3140" s="4" t="s">
        <v>2619</v>
      </c>
      <c r="H3140" s="10" t="s">
        <v>4168</v>
      </c>
      <c r="I3140" s="10">
        <v>2.0</v>
      </c>
      <c r="J3140" s="11" t="str">
        <f>IF(D3140&lt;&gt;"",VLOOKUP(H3140,TABLEITEM,5,FALSE),"")</f>
        <v>EA</v>
      </c>
      <c r="K3140" s="12">
        <v>2800.0</v>
      </c>
      <c r="L3140" s="13" t="str">
        <f>IF(D3140&lt;&gt;"",VLOOKUP(H3140,TABLEITEM,2,FALSE),"")</f>
        <v/>
      </c>
      <c r="M3140" s="13" t="str">
        <f>IF(D3140&lt;&gt;"",VLOOKUP(H3140,TABLEITEM,3,FALSE),"")</f>
        <v>FUSE NHI 100A 100VDC</v>
      </c>
      <c r="N3140" s="14">
        <f>INSTOCK!$I3140*INSTOCK!$K3140</f>
        <v>5600</v>
      </c>
      <c r="O3140" s="4"/>
      <c r="P3140" s="4"/>
    </row>
    <row r="3141" ht="15.75" hidden="1" customHeight="1">
      <c r="B3141" s="8">
        <v>3460.0</v>
      </c>
      <c r="C3141" s="9">
        <v>43175.0</v>
      </c>
      <c r="D3141" s="6" t="s">
        <v>4167</v>
      </c>
      <c r="E3141" s="4"/>
      <c r="F3141" s="8" t="s">
        <v>4147</v>
      </c>
      <c r="G3141" s="4" t="s">
        <v>2619</v>
      </c>
      <c r="H3141" s="10" t="s">
        <v>4169</v>
      </c>
      <c r="I3141" s="10">
        <v>2.0</v>
      </c>
      <c r="J3141" s="11" t="str">
        <f>IF(D3141&lt;&gt;"",VLOOKUP(H3141,TABLEITEM,5,FALSE),"")</f>
        <v>EA</v>
      </c>
      <c r="K3141" s="12">
        <v>500.0</v>
      </c>
      <c r="L3141" s="13" t="str">
        <f>IF(D3141&lt;&gt;"",VLOOKUP(H3141,TABLEITEM,2,FALSE),"")</f>
        <v/>
      </c>
      <c r="M3141" s="13" t="str">
        <f>IF(D3141&lt;&gt;"",VLOOKUP(H3141,TABLEITEM,3,FALSE),"")</f>
        <v>FUSE BASE NHI 1P 100VDC</v>
      </c>
      <c r="N3141" s="14">
        <f>INSTOCK!$I3141*INSTOCK!$K3141</f>
        <v>1000</v>
      </c>
      <c r="O3141" s="4"/>
      <c r="P3141" s="4"/>
    </row>
    <row r="3142" ht="15.75" hidden="1" customHeight="1">
      <c r="B3142" s="8">
        <v>3461.0</v>
      </c>
      <c r="C3142" s="9">
        <v>43175.0</v>
      </c>
      <c r="D3142" s="6" t="s">
        <v>4170</v>
      </c>
      <c r="E3142" s="4">
        <v>6.103000317E9</v>
      </c>
      <c r="F3142" s="8" t="s">
        <v>1989</v>
      </c>
      <c r="G3142" s="4" t="s">
        <v>1990</v>
      </c>
      <c r="H3142" s="10" t="s">
        <v>3641</v>
      </c>
      <c r="I3142" s="10">
        <v>1.0</v>
      </c>
      <c r="J3142" s="11" t="str">
        <f>IF(D3142&lt;&gt;"",VLOOKUP(H3142,TABLEITEM,5,FALSE),"")</f>
        <v>pack</v>
      </c>
      <c r="K3142" s="12">
        <v>145.0</v>
      </c>
      <c r="L3142" s="13" t="str">
        <f>IF(D3142&lt;&gt;"",VLOOKUP(H3142,TABLEITEM,2,FALSE),"")</f>
        <v/>
      </c>
      <c r="M3142" s="13" t="str">
        <f>IF(D3142&lt;&gt;"",VLOOKUP(H3142,TABLEITEM,3,FALSE),"")</f>
        <v>กระดาษถ่ายเอกสารสี ตราช้างสีเหลืองทอง 259662,80แกรม</v>
      </c>
      <c r="N3142" s="14">
        <f>INSTOCK!$I3142*INSTOCK!$K3142</f>
        <v>145</v>
      </c>
      <c r="O3142" s="4"/>
      <c r="P3142" s="4"/>
    </row>
    <row r="3143" ht="15.75" hidden="1" customHeight="1">
      <c r="B3143" s="8">
        <v>3462.0</v>
      </c>
      <c r="C3143" s="9">
        <v>43175.0</v>
      </c>
      <c r="D3143" s="6" t="s">
        <v>4170</v>
      </c>
      <c r="E3143" s="4">
        <v>6.103000317E9</v>
      </c>
      <c r="F3143" s="8" t="s">
        <v>1989</v>
      </c>
      <c r="G3143" s="4" t="s">
        <v>1990</v>
      </c>
      <c r="H3143" s="10" t="s">
        <v>4171</v>
      </c>
      <c r="I3143" s="10">
        <v>11.0</v>
      </c>
      <c r="J3143" s="11" t="str">
        <f>IF(D3143&lt;&gt;"",VLOOKUP(H3143,TABLEITEM,5,FALSE),"")</f>
        <v>EA</v>
      </c>
      <c r="K3143" s="12">
        <v>140.0</v>
      </c>
      <c r="L3143" s="13" t="str">
        <f>IF(D3143&lt;&gt;"",VLOOKUP(H3143,TABLEITEM,2,FALSE),"")</f>
        <v/>
      </c>
      <c r="M3143" s="13" t="str">
        <f>IF(D3143&lt;&gt;"",VLOOKUP(H3143,TABLEITEM,3,FALSE),"")</f>
        <v>ถ่านอัคาไลน์ Panasonic D (แพ็ค 2ก้อน)</v>
      </c>
      <c r="N3143" s="14">
        <f>INSTOCK!$I3143*INSTOCK!$K3143</f>
        <v>1540</v>
      </c>
      <c r="O3143" s="4"/>
      <c r="P3143" s="4"/>
    </row>
    <row r="3144" ht="15.75" hidden="1" customHeight="1">
      <c r="B3144" s="8">
        <v>3463.0</v>
      </c>
      <c r="C3144" s="9">
        <v>43175.0</v>
      </c>
      <c r="D3144" s="6" t="s">
        <v>4170</v>
      </c>
      <c r="E3144" s="4">
        <v>6.103000317E9</v>
      </c>
      <c r="F3144" s="8" t="s">
        <v>1989</v>
      </c>
      <c r="G3144" s="4" t="s">
        <v>1990</v>
      </c>
      <c r="H3144" s="10" t="s">
        <v>3966</v>
      </c>
      <c r="I3144" s="10">
        <v>6.0</v>
      </c>
      <c r="J3144" s="11" t="str">
        <f>IF(D3144&lt;&gt;"",VLOOKUP(H3144,TABLEITEM,5,FALSE),"")</f>
        <v>EA</v>
      </c>
      <c r="K3144" s="12">
        <v>19.0</v>
      </c>
      <c r="L3144" s="13" t="str">
        <f>IF(D3144&lt;&gt;"",VLOOKUP(H3144,TABLEITEM,2,FALSE),"")</f>
        <v/>
      </c>
      <c r="M3144" s="13" t="str">
        <f>IF(D3144&lt;&gt;"",VLOOKUP(H3144,TABLEITEM,3,FALSE),"")</f>
        <v>มีดคัตเตอร์สเตนเลส พัมคิน ST-201/45องศา</v>
      </c>
      <c r="N3144" s="14">
        <f>INSTOCK!$I3144*INSTOCK!$K3144</f>
        <v>114</v>
      </c>
      <c r="O3144" s="4"/>
      <c r="P3144" s="4"/>
    </row>
    <row r="3145" ht="15.75" hidden="1" customHeight="1">
      <c r="B3145" s="8">
        <v>3464.0</v>
      </c>
      <c r="C3145" s="9">
        <v>43175.0</v>
      </c>
      <c r="D3145" s="6" t="s">
        <v>4170</v>
      </c>
      <c r="E3145" s="4">
        <v>6.103000317E9</v>
      </c>
      <c r="F3145" s="8" t="s">
        <v>1989</v>
      </c>
      <c r="G3145" s="4" t="s">
        <v>1990</v>
      </c>
      <c r="H3145" s="10" t="s">
        <v>4172</v>
      </c>
      <c r="I3145" s="10">
        <v>6.0</v>
      </c>
      <c r="J3145" s="11" t="str">
        <f>IF(D3145&lt;&gt;"",VLOOKUP(H3145,TABLEITEM,5,FALSE),"")</f>
        <v>EA</v>
      </c>
      <c r="K3145" s="12">
        <v>40.0</v>
      </c>
      <c r="L3145" s="13" t="str">
        <f>IF(D3145&lt;&gt;"",VLOOKUP(H3145,TABLEITEM,2,FALSE),"")</f>
        <v/>
      </c>
      <c r="M3145" s="13" t="str">
        <f>IF(D3145&lt;&gt;"",VLOOKUP(H3145,TABLEITEM,3,FALSE),"")</f>
        <v>มีดคัตเตอร์สเตนเลสใหญ่ พัมคิน ST-101/45 องศา</v>
      </c>
      <c r="N3145" s="14">
        <f>INSTOCK!$I3145*INSTOCK!$K3145</f>
        <v>240</v>
      </c>
      <c r="O3145" s="4"/>
      <c r="P3145" s="4"/>
    </row>
    <row r="3146" ht="15.75" hidden="1" customHeight="1">
      <c r="B3146" s="8">
        <v>3465.0</v>
      </c>
      <c r="C3146" s="9">
        <v>43175.0</v>
      </c>
      <c r="D3146" s="6" t="s">
        <v>4170</v>
      </c>
      <c r="E3146" s="4">
        <v>6.103000317E9</v>
      </c>
      <c r="F3146" s="8" t="s">
        <v>1989</v>
      </c>
      <c r="G3146" s="4" t="s">
        <v>1990</v>
      </c>
      <c r="H3146" s="10" t="s">
        <v>3965</v>
      </c>
      <c r="I3146" s="10">
        <v>6.0</v>
      </c>
      <c r="J3146" s="11" t="str">
        <f>IF(D3146&lt;&gt;"",VLOOKUP(H3146,TABLEITEM,5,FALSE),"")</f>
        <v>EA</v>
      </c>
      <c r="K3146" s="12">
        <v>50.0</v>
      </c>
      <c r="L3146" s="13" t="str">
        <f>IF(D3146&lt;&gt;"",VLOOKUP(H3146,TABLEITEM,2,FALSE),"")</f>
        <v/>
      </c>
      <c r="M3146" s="13" t="str">
        <f>IF(D3146&lt;&gt;"",VLOOKUP(H3146,TABLEITEM,3,FALSE),"")</f>
        <v>ปากกาเพ้นท์ ซากุระ XPMK-B 2มม แดง</v>
      </c>
      <c r="N3146" s="14">
        <f>INSTOCK!$I3146*INSTOCK!$K3146</f>
        <v>300</v>
      </c>
      <c r="O3146" s="4"/>
      <c r="P3146" s="4"/>
    </row>
    <row r="3147" ht="15.75" hidden="1" customHeight="1">
      <c r="B3147" s="8">
        <v>3466.0</v>
      </c>
      <c r="C3147" s="9">
        <v>43175.0</v>
      </c>
      <c r="D3147" s="6" t="s">
        <v>4170</v>
      </c>
      <c r="E3147" s="4">
        <v>6.103000317E9</v>
      </c>
      <c r="F3147" s="8" t="s">
        <v>1989</v>
      </c>
      <c r="G3147" s="4" t="s">
        <v>1990</v>
      </c>
      <c r="H3147" s="10" t="s">
        <v>1991</v>
      </c>
      <c r="I3147" s="10">
        <v>24.0</v>
      </c>
      <c r="J3147" s="11" t="str">
        <f>IF(D3147&lt;&gt;"",VLOOKUP(H3147,TABLEITEM,5,FALSE),"")</f>
        <v>EA</v>
      </c>
      <c r="K3147" s="12">
        <v>8.5</v>
      </c>
      <c r="L3147" s="13" t="str">
        <f>IF(D3147&lt;&gt;"",VLOOKUP(H3147,TABLEITEM,2,FALSE),"")</f>
        <v/>
      </c>
      <c r="M3147" s="13" t="str">
        <f>IF(D3147&lt;&gt;"",VLOOKUP(H3147,TABLEITEM,3,FALSE),"")</f>
        <v>ปากกาเคมี/มาร์คเกอร์ ตราม้า 2หัว น้ำเงิน</v>
      </c>
      <c r="N3147" s="14">
        <f>INSTOCK!$I3147*INSTOCK!$K3147</f>
        <v>204</v>
      </c>
      <c r="O3147" s="4"/>
      <c r="P3147" s="4"/>
    </row>
    <row r="3148" ht="15.75" hidden="1" customHeight="1">
      <c r="B3148" s="8">
        <v>3467.0</v>
      </c>
      <c r="C3148" s="9">
        <v>43175.0</v>
      </c>
      <c r="D3148" s="6" t="s">
        <v>4170</v>
      </c>
      <c r="E3148" s="4">
        <v>6.103000317E9</v>
      </c>
      <c r="F3148" s="8" t="s">
        <v>1989</v>
      </c>
      <c r="G3148" s="4" t="s">
        <v>1990</v>
      </c>
      <c r="H3148" s="10" t="s">
        <v>4173</v>
      </c>
      <c r="I3148" s="10">
        <v>1.0</v>
      </c>
      <c r="J3148" s="11" t="str">
        <f>IF(D3148&lt;&gt;"",VLOOKUP(H3148,TABLEITEM,5,FALSE),"")</f>
        <v>EA</v>
      </c>
      <c r="K3148" s="12">
        <v>23.0</v>
      </c>
      <c r="L3148" s="13" t="str">
        <f>IF(D3148&lt;&gt;"",VLOOKUP(H3148,TABLEITEM,2,FALSE),"")</f>
        <v/>
      </c>
      <c r="M3148" s="13" t="str">
        <f>IF(D3148&lt;&gt;"",VLOOKUP(H3148,TABLEITEM,3,FALSE),"")</f>
        <v>หมึกเติมปากกาเคมี ไพล็อต น้ำเงิน SCI-R</v>
      </c>
      <c r="N3148" s="14">
        <f>INSTOCK!$I3148*INSTOCK!$K3148</f>
        <v>23</v>
      </c>
      <c r="O3148" s="4"/>
      <c r="P3148" s="4"/>
    </row>
    <row r="3149" ht="15.75" hidden="1" customHeight="1">
      <c r="B3149" s="8">
        <v>3468.0</v>
      </c>
      <c r="C3149" s="9">
        <v>43175.0</v>
      </c>
      <c r="D3149" s="6" t="s">
        <v>4170</v>
      </c>
      <c r="E3149" s="4">
        <v>6.103000317E9</v>
      </c>
      <c r="F3149" s="8" t="s">
        <v>1989</v>
      </c>
      <c r="G3149" s="4" t="s">
        <v>1990</v>
      </c>
      <c r="H3149" s="10" t="s">
        <v>4174</v>
      </c>
      <c r="I3149" s="10">
        <v>1.0</v>
      </c>
      <c r="J3149" s="11" t="str">
        <f>IF(D3149&lt;&gt;"",VLOOKUP(H3149,TABLEITEM,5,FALSE),"")</f>
        <v>EA</v>
      </c>
      <c r="K3149" s="12">
        <v>25.0</v>
      </c>
      <c r="L3149" s="13" t="str">
        <f>IF(D3149&lt;&gt;"",VLOOKUP(H3149,TABLEITEM,2,FALSE),"")</f>
        <v/>
      </c>
      <c r="M3149" s="13" t="str">
        <f>IF(D3149&lt;&gt;"",VLOOKUP(H3149,TABLEITEM,3,FALSE),"")</f>
        <v>ฟุตเหล็ก 12"</v>
      </c>
      <c r="N3149" s="14">
        <f>INSTOCK!$I3149*INSTOCK!$K3149</f>
        <v>25</v>
      </c>
      <c r="O3149" s="4"/>
      <c r="P3149" s="4"/>
    </row>
    <row r="3150" ht="15.75" hidden="1" customHeight="1">
      <c r="B3150" s="8">
        <v>3469.0</v>
      </c>
      <c r="C3150" s="9">
        <v>43175.0</v>
      </c>
      <c r="D3150" s="6" t="s">
        <v>4175</v>
      </c>
      <c r="E3150" s="4">
        <v>6.103000325E9</v>
      </c>
      <c r="F3150" s="8" t="s">
        <v>4176</v>
      </c>
      <c r="G3150" s="4" t="s">
        <v>965</v>
      </c>
      <c r="H3150" s="10" t="s">
        <v>4177</v>
      </c>
      <c r="I3150" s="10">
        <v>10.0</v>
      </c>
      <c r="J3150" s="11" t="str">
        <f>IF(D3150&lt;&gt;"",VLOOKUP(H3150,TABLEITEM,5,FALSE),"")</f>
        <v>EA</v>
      </c>
      <c r="K3150" s="12">
        <v>12.0</v>
      </c>
      <c r="L3150" s="13" t="str">
        <f>IF(D3150&lt;&gt;"",VLOOKUP(H3150,TABLEITEM,2,FALSE),"")</f>
        <v/>
      </c>
      <c r="M3150" s="13" t="str">
        <f>IF(D3150&lt;&gt;"",VLOOKUP(H3150,TABLEITEM,3,FALSE),"")</f>
        <v>กิ๊บรัดสลิง 3/8"</v>
      </c>
      <c r="N3150" s="14">
        <f>INSTOCK!$I3150*INSTOCK!$K3150</f>
        <v>120</v>
      </c>
      <c r="O3150" s="4"/>
      <c r="P3150" s="4"/>
    </row>
    <row r="3151" ht="15.75" hidden="1" customHeight="1">
      <c r="B3151" s="8">
        <v>3470.0</v>
      </c>
      <c r="C3151" s="9">
        <v>43174.0</v>
      </c>
      <c r="D3151" s="6" t="s">
        <v>4178</v>
      </c>
      <c r="E3151" s="4">
        <v>6.103000321E9</v>
      </c>
      <c r="F3151" s="8" t="s">
        <v>604</v>
      </c>
      <c r="G3151" s="4" t="s">
        <v>1870</v>
      </c>
      <c r="H3151" s="10" t="s">
        <v>4179</v>
      </c>
      <c r="I3151" s="10">
        <v>1000.0</v>
      </c>
      <c r="J3151" s="11" t="str">
        <f>IF(D3151&lt;&gt;"",VLOOKUP(H3151,TABLEITEM,5,FALSE),"")</f>
        <v>EA</v>
      </c>
      <c r="K3151" s="12">
        <v>0.805</v>
      </c>
      <c r="L3151" s="13" t="str">
        <f>IF(D3151&lt;&gt;"",VLOOKUP(H3151,TABLEITEM,2,FALSE),"")</f>
        <v/>
      </c>
      <c r="M3151" s="13" t="str">
        <f>IF(D3151&lt;&gt;"",VLOOKUP(H3151,TABLEITEM,3,FALSE),"")</f>
        <v>สกรูสแตนเลสหัวเหลี่ยม M6x20</v>
      </c>
      <c r="N3151" s="14">
        <f>INSTOCK!$I3151*INSTOCK!$K3151</f>
        <v>805</v>
      </c>
      <c r="O3151" s="4" t="s">
        <v>4180</v>
      </c>
      <c r="P3151" s="4"/>
    </row>
    <row r="3152" ht="15.75" hidden="1" customHeight="1">
      <c r="B3152" s="8">
        <v>3471.0</v>
      </c>
      <c r="C3152" s="9">
        <v>43174.0</v>
      </c>
      <c r="D3152" s="6" t="s">
        <v>4181</v>
      </c>
      <c r="E3152" s="4">
        <v>6.103000324E9</v>
      </c>
      <c r="F3152" s="8"/>
      <c r="G3152" s="4" t="s">
        <v>1516</v>
      </c>
      <c r="H3152" s="10" t="s">
        <v>4182</v>
      </c>
      <c r="I3152" s="10">
        <v>3.0</v>
      </c>
      <c r="J3152" s="11" t="str">
        <f>IF(D3152&lt;&gt;"",VLOOKUP(H3152,TABLEITEM,5,FALSE),"")</f>
        <v>EA</v>
      </c>
      <c r="K3152" s="12">
        <v>540.0</v>
      </c>
      <c r="L3152" s="13" t="str">
        <f>IF(D3152&lt;&gt;"",VLOOKUP(H3152,TABLEITEM,2,FALSE),"")</f>
        <v/>
      </c>
      <c r="M3152" s="13" t="str">
        <f>IF(D3152&lt;&gt;"",VLOOKUP(H3152,TABLEITEM,3,FALSE),"")</f>
        <v>Univerasal pliers 180mm 1000v</v>
      </c>
      <c r="N3152" s="14">
        <f>INSTOCK!$I3152*INSTOCK!$K3152</f>
        <v>1620</v>
      </c>
      <c r="O3152" s="4"/>
      <c r="P3152" s="4"/>
    </row>
    <row r="3153" ht="15.75" hidden="1" customHeight="1">
      <c r="B3153" s="8">
        <v>3472.0</v>
      </c>
      <c r="C3153" s="9">
        <v>43174.0</v>
      </c>
      <c r="D3153" s="6" t="s">
        <v>4181</v>
      </c>
      <c r="E3153" s="4">
        <v>6.103000324E9</v>
      </c>
      <c r="F3153" s="8"/>
      <c r="G3153" s="4" t="s">
        <v>1516</v>
      </c>
      <c r="H3153" s="10" t="s">
        <v>4183</v>
      </c>
      <c r="I3153" s="10">
        <v>3.0</v>
      </c>
      <c r="J3153" s="11" t="str">
        <f>IF(D3153&lt;&gt;"",VLOOKUP(H3153,TABLEITEM,5,FALSE),"")</f>
        <v>EA</v>
      </c>
      <c r="K3153" s="12">
        <v>160.0</v>
      </c>
      <c r="L3153" s="13" t="str">
        <f>IF(D3153&lt;&gt;"",VLOOKUP(H3153,TABLEITEM,2,FALSE),"")</f>
        <v/>
      </c>
      <c r="M3153" s="13" t="str">
        <f>IF(D3153&lt;&gt;"",VLOOKUP(H3153,TABLEITEM,3,FALSE),"")</f>
        <v>1000v insulated scewdrivers slotted 8x175</v>
      </c>
      <c r="N3153" s="14">
        <f>INSTOCK!$I3153*INSTOCK!$K3153</f>
        <v>480</v>
      </c>
      <c r="O3153" s="4"/>
      <c r="P3153" s="4"/>
    </row>
    <row r="3154" ht="15.75" hidden="1" customHeight="1">
      <c r="B3154" s="8">
        <v>3473.0</v>
      </c>
      <c r="C3154" s="9">
        <v>43174.0</v>
      </c>
      <c r="D3154" s="6" t="s">
        <v>4181</v>
      </c>
      <c r="E3154" s="4">
        <v>6.103000324E9</v>
      </c>
      <c r="F3154" s="8"/>
      <c r="G3154" s="4" t="s">
        <v>1516</v>
      </c>
      <c r="H3154" s="10" t="s">
        <v>4184</v>
      </c>
      <c r="I3154" s="10">
        <v>3.0</v>
      </c>
      <c r="J3154" s="11" t="str">
        <f>IF(D3154&lt;&gt;"",VLOOKUP(H3154,TABLEITEM,5,FALSE),"")</f>
        <v>EA</v>
      </c>
      <c r="K3154" s="12">
        <v>150.0</v>
      </c>
      <c r="L3154" s="13" t="str">
        <f>IF(D3154&lt;&gt;"",VLOOKUP(H3154,TABLEITEM,2,FALSE),"")</f>
        <v/>
      </c>
      <c r="M3154" s="13" t="str">
        <f>IF(D3154&lt;&gt;"",VLOOKUP(H3154,TABLEITEM,3,FALSE),"")</f>
        <v>1000v insulated scewdrivers PH3</v>
      </c>
      <c r="N3154" s="14">
        <f>INSTOCK!$I3154*INSTOCK!$K3154</f>
        <v>450</v>
      </c>
      <c r="O3154" s="4"/>
      <c r="P3154" s="4"/>
    </row>
    <row r="3155" ht="15.75" hidden="1" customHeight="1">
      <c r="B3155" s="8">
        <v>3474.0</v>
      </c>
      <c r="C3155" s="9">
        <v>43174.0</v>
      </c>
      <c r="D3155" s="6" t="s">
        <v>4181</v>
      </c>
      <c r="E3155" s="4">
        <v>6.103000324E9</v>
      </c>
      <c r="F3155" s="8"/>
      <c r="G3155" s="4" t="s">
        <v>1516</v>
      </c>
      <c r="H3155" s="10" t="s">
        <v>4185</v>
      </c>
      <c r="I3155" s="10">
        <v>5.0</v>
      </c>
      <c r="J3155" s="11" t="str">
        <f>IF(D3155&lt;&gt;"",VLOOKUP(H3155,TABLEITEM,5,FALSE),"")</f>
        <v>EA</v>
      </c>
      <c r="K3155" s="12">
        <v>562.0</v>
      </c>
      <c r="L3155" s="13" t="str">
        <f>IF(D3155&lt;&gt;"",VLOOKUP(H3155,TABLEITEM,2,FALSE),"")</f>
        <v/>
      </c>
      <c r="M3155" s="13" t="str">
        <f>IF(D3155&lt;&gt;"",VLOOKUP(H3155,TABLEITEM,3,FALSE),"")</f>
        <v>Ratcheting ring wrench 4 in 1 10/13/17/19mm</v>
      </c>
      <c r="N3155" s="14">
        <f>INSTOCK!$I3155*INSTOCK!$K3155</f>
        <v>2810</v>
      </c>
      <c r="O3155" s="4"/>
      <c r="P3155" s="4"/>
    </row>
    <row r="3156" ht="15.75" hidden="1" customHeight="1">
      <c r="B3156" s="8">
        <v>3475.0</v>
      </c>
      <c r="C3156" s="9">
        <v>43174.0</v>
      </c>
      <c r="D3156" s="6" t="s">
        <v>4181</v>
      </c>
      <c r="E3156" s="4">
        <v>6.103000324E9</v>
      </c>
      <c r="F3156" s="8"/>
      <c r="G3156" s="4" t="s">
        <v>1516</v>
      </c>
      <c r="H3156" s="10" t="s">
        <v>4186</v>
      </c>
      <c r="I3156" s="10">
        <v>3.0</v>
      </c>
      <c r="J3156" s="11" t="str">
        <f>IF(D3156&lt;&gt;"",VLOOKUP(H3156,TABLEITEM,5,FALSE),"")</f>
        <v>EA</v>
      </c>
      <c r="K3156" s="12">
        <v>610.0</v>
      </c>
      <c r="L3156" s="13" t="str">
        <f>IF(D3156&lt;&gt;"",VLOOKUP(H3156,TABLEITEM,2,FALSE),"")</f>
        <v/>
      </c>
      <c r="M3156" s="13" t="str">
        <f>IF(D3156&lt;&gt;"",VLOOKUP(H3156,TABLEITEM,3,FALSE),"")</f>
        <v>Pliers with long straight half-round noses 200mm 1000v</v>
      </c>
      <c r="N3156" s="14">
        <f>INSTOCK!$I3156*INSTOCK!$K3156</f>
        <v>1830</v>
      </c>
      <c r="O3156" s="4"/>
      <c r="P3156" s="4"/>
    </row>
    <row r="3157" ht="15.75" hidden="1" customHeight="1">
      <c r="B3157" s="8">
        <v>3476.0</v>
      </c>
      <c r="C3157" s="9">
        <v>43174.0</v>
      </c>
      <c r="D3157" s="6" t="s">
        <v>4181</v>
      </c>
      <c r="E3157" s="4">
        <v>6.103000324E9</v>
      </c>
      <c r="F3157" s="8"/>
      <c r="G3157" s="4" t="s">
        <v>1516</v>
      </c>
      <c r="H3157" s="10" t="s">
        <v>4187</v>
      </c>
      <c r="I3157" s="10">
        <v>5.0</v>
      </c>
      <c r="J3157" s="11" t="str">
        <f>IF(D3157&lt;&gt;"",VLOOKUP(H3157,TABLEITEM,5,FALSE),"")</f>
        <v>EA</v>
      </c>
      <c r="K3157" s="12">
        <v>233.0</v>
      </c>
      <c r="L3157" s="13" t="str">
        <f>IF(D3157&lt;&gt;"",VLOOKUP(H3157,TABLEITEM,2,FALSE),"")</f>
        <v/>
      </c>
      <c r="M3157" s="13" t="str">
        <f>IF(D3157&lt;&gt;"",VLOOKUP(H3157,TABLEITEM,3,FALSE),"")</f>
        <v>Set of 9 BTR keys</v>
      </c>
      <c r="N3157" s="14">
        <f>INSTOCK!$I3157*INSTOCK!$K3157</f>
        <v>1165</v>
      </c>
      <c r="O3157" s="4"/>
      <c r="P3157" s="4"/>
    </row>
    <row r="3158" ht="15.75" hidden="1" customHeight="1">
      <c r="B3158" s="8">
        <v>3477.0</v>
      </c>
      <c r="C3158" s="9">
        <v>43174.0</v>
      </c>
      <c r="D3158" s="6" t="s">
        <v>4181</v>
      </c>
      <c r="E3158" s="4">
        <v>6.103000324E9</v>
      </c>
      <c r="F3158" s="8"/>
      <c r="G3158" s="4" t="s">
        <v>1516</v>
      </c>
      <c r="H3158" s="10" t="s">
        <v>4188</v>
      </c>
      <c r="I3158" s="10">
        <v>1.0</v>
      </c>
      <c r="J3158" s="11" t="str">
        <f>IF(D3158&lt;&gt;"",VLOOKUP(H3158,TABLEITEM,5,FALSE),"")</f>
        <v>EA</v>
      </c>
      <c r="K3158" s="12">
        <v>1645.0</v>
      </c>
      <c r="L3158" s="13" t="str">
        <f>IF(D3158&lt;&gt;"",VLOOKUP(H3158,TABLEITEM,2,FALSE),"")</f>
        <v/>
      </c>
      <c r="M3158" s="13" t="str">
        <f>IF(D3158&lt;&gt;"",VLOOKUP(H3158,TABLEITEM,3,FALSE),"")</f>
        <v>Go thru sockets 38 pces </v>
      </c>
      <c r="N3158" s="14">
        <f>INSTOCK!$I3158*INSTOCK!$K3158</f>
        <v>1645</v>
      </c>
      <c r="O3158" s="4"/>
      <c r="P3158" s="4"/>
    </row>
    <row r="3159" ht="15.75" hidden="1" customHeight="1">
      <c r="B3159" s="8">
        <v>3478.0</v>
      </c>
      <c r="C3159" s="9">
        <v>43174.0</v>
      </c>
      <c r="D3159" s="6" t="s">
        <v>4181</v>
      </c>
      <c r="E3159" s="4">
        <v>6.103000324E9</v>
      </c>
      <c r="F3159" s="8"/>
      <c r="G3159" s="4" t="s">
        <v>1516</v>
      </c>
      <c r="H3159" s="10" t="s">
        <v>4189</v>
      </c>
      <c r="I3159" s="10">
        <v>120.0</v>
      </c>
      <c r="J3159" s="11" t="str">
        <f>IF(D3159&lt;&gt;"",VLOOKUP(H3159,TABLEITEM,5,FALSE),"")</f>
        <v>EA</v>
      </c>
      <c r="K3159" s="12">
        <v>0.0</v>
      </c>
      <c r="L3159" s="13" t="str">
        <f>IF(D3159&lt;&gt;"",VLOOKUP(H3159,TABLEITEM,2,FALSE),"")</f>
        <v/>
      </c>
      <c r="M3159" s="13" t="str">
        <f>IF(D3159&lt;&gt;"",VLOOKUP(H3159,TABLEITEM,3,FALSE),"")</f>
        <v>Roll og tape 20mx19mmx0.15</v>
      </c>
      <c r="N3159" s="14">
        <f>INSTOCK!$I3159*INSTOCK!$K3159</f>
        <v>0</v>
      </c>
      <c r="O3159" s="4"/>
      <c r="P3159" s="4"/>
    </row>
    <row r="3160" ht="15.75" hidden="1" customHeight="1">
      <c r="B3160" s="8">
        <v>3479.0</v>
      </c>
      <c r="C3160" s="9">
        <v>43174.0</v>
      </c>
      <c r="D3160" s="6" t="s">
        <v>4190</v>
      </c>
      <c r="E3160" s="4">
        <v>6.103000323E9</v>
      </c>
      <c r="F3160" s="8" t="s">
        <v>4191</v>
      </c>
      <c r="G3160" s="4" t="s">
        <v>3541</v>
      </c>
      <c r="H3160" s="10" t="s">
        <v>1717</v>
      </c>
      <c r="I3160" s="10">
        <v>2.0</v>
      </c>
      <c r="J3160" s="11" t="str">
        <f>IF(D3160&lt;&gt;"",VLOOKUP(H3160,TABLEITEM,5,FALSE),"")</f>
        <v>EA</v>
      </c>
      <c r="K3160" s="12">
        <v>1200.0</v>
      </c>
      <c r="L3160" s="13" t="str">
        <f>IF(D3160&lt;&gt;"",VLOOKUP(H3160,TABLEITEM,2,FALSE),"")</f>
        <v/>
      </c>
      <c r="M3160" s="13" t="str">
        <f>IF(D3160&lt;&gt;"",VLOOKUP(H3160,TABLEITEM,3,FALSE),"")</f>
        <v>MCCB A1C125 3P 60A 25KA</v>
      </c>
      <c r="N3160" s="14">
        <f>INSTOCK!$I3160*INSTOCK!$K3160</f>
        <v>2400</v>
      </c>
      <c r="O3160" s="4" t="s">
        <v>3654</v>
      </c>
      <c r="P3160" s="4"/>
    </row>
    <row r="3161" ht="15.75" hidden="1" customHeight="1">
      <c r="B3161" s="8">
        <v>3480.0</v>
      </c>
      <c r="C3161" s="9">
        <v>43174.0</v>
      </c>
      <c r="D3161" s="6">
        <v>78277.0</v>
      </c>
      <c r="E3161" s="4">
        <v>6.103000313E9</v>
      </c>
      <c r="F3161" s="8" t="s">
        <v>604</v>
      </c>
      <c r="G3161" s="4" t="s">
        <v>1546</v>
      </c>
      <c r="H3161" s="10" t="s">
        <v>1547</v>
      </c>
      <c r="I3161" s="10">
        <v>10.0</v>
      </c>
      <c r="J3161" s="11" t="str">
        <f>IF(D3161&lt;&gt;"",VLOOKUP(H3161,TABLEITEM,5,FALSE),"")</f>
        <v>EA</v>
      </c>
      <c r="K3161" s="12">
        <v>490.0</v>
      </c>
      <c r="L3161" s="13" t="str">
        <f>IF(D3161&lt;&gt;"",VLOOKUP(H3161,TABLEITEM,2,FALSE),"")</f>
        <v/>
      </c>
      <c r="M3161" s="13" t="str">
        <f>IF(D3161&lt;&gt;"",VLOOKUP(H3161,TABLEITEM,3,FALSE),"")</f>
        <v>ล้อขัดใยสังเคราะห์ 100x100x35mmAC/R8</v>
      </c>
      <c r="N3161" s="14">
        <f>INSTOCK!$I3161*INSTOCK!$K3161</f>
        <v>4900</v>
      </c>
      <c r="O3161" s="4"/>
      <c r="P3161" s="4"/>
    </row>
    <row r="3162" ht="15.75" hidden="1" customHeight="1">
      <c r="B3162" s="8">
        <v>3481.0</v>
      </c>
      <c r="C3162" s="9">
        <v>43174.0</v>
      </c>
      <c r="D3162" s="6" t="s">
        <v>4192</v>
      </c>
      <c r="E3162" s="4">
        <v>6.103000311E9</v>
      </c>
      <c r="F3162" s="8" t="s">
        <v>604</v>
      </c>
      <c r="G3162" s="4" t="s">
        <v>1611</v>
      </c>
      <c r="H3162" s="10" t="s">
        <v>190</v>
      </c>
      <c r="I3162" s="10">
        <v>600.0</v>
      </c>
      <c r="J3162" s="11" t="str">
        <f>IF(D3162&lt;&gt;"",VLOOKUP(H3162,TABLEITEM,5,FALSE),"")</f>
        <v>EA</v>
      </c>
      <c r="K3162" s="12">
        <v>11.5</v>
      </c>
      <c r="L3162" s="13" t="str">
        <f>IF(D3162&lt;&gt;"",VLOOKUP(H3162,TABLEITEM,2,FALSE),"")</f>
        <v/>
      </c>
      <c r="M3162" s="13" t="str">
        <f>IF(D3162&lt;&gt;"",VLOOKUP(H3162,TABLEITEM,3,FALSE),"")</f>
        <v>TERMINAL BLOCK TX20</v>
      </c>
      <c r="N3162" s="14">
        <f>INSTOCK!$I3162*INSTOCK!$K3162</f>
        <v>6900</v>
      </c>
      <c r="O3162" s="4"/>
      <c r="P3162" s="4"/>
    </row>
    <row r="3163" ht="15.75" hidden="1" customHeight="1">
      <c r="B3163" s="8">
        <v>3482.0</v>
      </c>
      <c r="C3163" s="9">
        <v>43173.0</v>
      </c>
      <c r="D3163" s="6" t="s">
        <v>4193</v>
      </c>
      <c r="E3163" s="4">
        <v>6.103000316E9</v>
      </c>
      <c r="F3163" s="8" t="s">
        <v>604</v>
      </c>
      <c r="G3163" s="4" t="s">
        <v>4194</v>
      </c>
      <c r="H3163" s="10" t="s">
        <v>4195</v>
      </c>
      <c r="I3163" s="10">
        <v>100.0</v>
      </c>
      <c r="J3163" s="11" t="str">
        <f>IF(D3163&lt;&gt;"",VLOOKUP(H3163,TABLEITEM,5,FALSE),"")</f>
        <v>EA</v>
      </c>
      <c r="K3163" s="12">
        <v>20.0</v>
      </c>
      <c r="L3163" s="13" t="str">
        <f>IF(D3163&lt;&gt;"",VLOOKUP(H3163,TABLEITEM,2,FALSE),"")</f>
        <v/>
      </c>
      <c r="M3163" s="13" t="str">
        <f>IF(D3163&lt;&gt;"",VLOOKUP(H3163,TABLEITEM,3,FALSE),"")</f>
        <v>ADAPTER FOR ROUND KP0040</v>
      </c>
      <c r="N3163" s="14">
        <f>INSTOCK!$I3163*INSTOCK!$K3163</f>
        <v>2000</v>
      </c>
      <c r="O3163" s="4"/>
      <c r="P3163" s="4"/>
    </row>
    <row r="3164" ht="15.75" hidden="1" customHeight="1">
      <c r="B3164" s="8">
        <v>3483.0</v>
      </c>
      <c r="C3164" s="9">
        <v>43173.0</v>
      </c>
      <c r="D3164" s="6" t="s">
        <v>4196</v>
      </c>
      <c r="E3164" s="4">
        <v>6.103000308E9</v>
      </c>
      <c r="F3164" s="8" t="s">
        <v>4197</v>
      </c>
      <c r="G3164" s="4" t="s">
        <v>3541</v>
      </c>
      <c r="H3164" s="10" t="s">
        <v>1770</v>
      </c>
      <c r="I3164" s="10">
        <v>6.0</v>
      </c>
      <c r="J3164" s="11" t="str">
        <f>IF(D3164&lt;&gt;"",VLOOKUP(H3164,TABLEITEM,5,FALSE),"")</f>
        <v>EA</v>
      </c>
      <c r="K3164" s="12">
        <v>1200.0</v>
      </c>
      <c r="L3164" s="13" t="str">
        <f>IF(D3164&lt;&gt;"",VLOOKUP(H3164,TABLEITEM,2,FALSE),"")</f>
        <v/>
      </c>
      <c r="M3164" s="13" t="str">
        <f>IF(D3164&lt;&gt;"",VLOOKUP(H3164,TABLEITEM,3,FALSE),"")</f>
        <v>MCCB A1C125 3P 100A 25KA</v>
      </c>
      <c r="N3164" s="14">
        <f>INSTOCK!$I3164*INSTOCK!$K3164</f>
        <v>7200</v>
      </c>
      <c r="O3164" s="4" t="s">
        <v>3654</v>
      </c>
      <c r="P3164" s="4"/>
    </row>
    <row r="3165" ht="15.75" hidden="1" customHeight="1">
      <c r="B3165" s="8">
        <v>3484.0</v>
      </c>
      <c r="C3165" s="9">
        <v>43173.0</v>
      </c>
      <c r="D3165" s="6" t="s">
        <v>4196</v>
      </c>
      <c r="E3165" s="4">
        <v>6.103000308E9</v>
      </c>
      <c r="F3165" s="8" t="s">
        <v>4197</v>
      </c>
      <c r="G3165" s="4" t="s">
        <v>3541</v>
      </c>
      <c r="H3165" s="10" t="s">
        <v>4198</v>
      </c>
      <c r="I3165" s="10">
        <v>1.0</v>
      </c>
      <c r="J3165" s="11" t="str">
        <f>IF(D3165&lt;&gt;"",VLOOKUP(H3165,TABLEITEM,5,FALSE),"")</f>
        <v>EA</v>
      </c>
      <c r="K3165" s="12">
        <v>1200.0</v>
      </c>
      <c r="L3165" s="13" t="str">
        <f>IF(D3165&lt;&gt;"",VLOOKUP(H3165,TABLEITEM,2,FALSE),"")</f>
        <v/>
      </c>
      <c r="M3165" s="13" t="str">
        <f>IF(D3165&lt;&gt;"",VLOOKUP(H3165,TABLEITEM,3,FALSE),"")</f>
        <v>MCCB A1C125 TMF40 3P 25KA</v>
      </c>
      <c r="N3165" s="14">
        <f>INSTOCK!$I3165*INSTOCK!$K3165</f>
        <v>1200</v>
      </c>
      <c r="O3165" s="4" t="s">
        <v>3654</v>
      </c>
      <c r="P3165" s="4"/>
    </row>
    <row r="3166" ht="15.75" hidden="1" customHeight="1">
      <c r="B3166" s="8">
        <v>3485.0</v>
      </c>
      <c r="C3166" s="9">
        <v>43173.0</v>
      </c>
      <c r="D3166" s="6" t="s">
        <v>4196</v>
      </c>
      <c r="E3166" s="4">
        <v>6.103000308E9</v>
      </c>
      <c r="F3166" s="8" t="s">
        <v>4197</v>
      </c>
      <c r="G3166" s="4" t="s">
        <v>3541</v>
      </c>
      <c r="H3166" s="10" t="s">
        <v>4199</v>
      </c>
      <c r="I3166" s="10">
        <v>2.0</v>
      </c>
      <c r="J3166" s="11" t="str">
        <f>IF(D3166&lt;&gt;"",VLOOKUP(H3166,TABLEITEM,5,FALSE),"")</f>
        <v>EA</v>
      </c>
      <c r="K3166" s="12">
        <v>1560.0</v>
      </c>
      <c r="L3166" s="13" t="str">
        <f>IF(D3166&lt;&gt;"",VLOOKUP(H3166,TABLEITEM,2,FALSE),"")</f>
        <v/>
      </c>
      <c r="M3166" s="13" t="str">
        <f>IF(D3166&lt;&gt;"",VLOOKUP(H3166,TABLEITEM,3,FALSE),"")</f>
        <v>MCCB A1C125 TMF125 3P 25KA</v>
      </c>
      <c r="N3166" s="14">
        <f>INSTOCK!$I3166*INSTOCK!$K3166</f>
        <v>3120</v>
      </c>
      <c r="O3166" s="4" t="s">
        <v>4200</v>
      </c>
      <c r="P3166" s="4"/>
    </row>
    <row r="3167" ht="15.75" hidden="1" customHeight="1">
      <c r="B3167" s="8">
        <v>3486.0</v>
      </c>
      <c r="C3167" s="9">
        <v>43173.0</v>
      </c>
      <c r="D3167" s="6" t="s">
        <v>4196</v>
      </c>
      <c r="E3167" s="4">
        <v>6.103000308E9</v>
      </c>
      <c r="F3167" s="8" t="s">
        <v>4197</v>
      </c>
      <c r="G3167" s="4" t="s">
        <v>3541</v>
      </c>
      <c r="H3167" s="10" t="s">
        <v>4201</v>
      </c>
      <c r="I3167" s="10">
        <v>1.0</v>
      </c>
      <c r="J3167" s="11" t="str">
        <f>IF(D3167&lt;&gt;"",VLOOKUP(H3167,TABLEITEM,5,FALSE),"")</f>
        <v>EA</v>
      </c>
      <c r="K3167" s="12">
        <v>2000.0</v>
      </c>
      <c r="L3167" s="13" t="str">
        <f>IF(D3167&lt;&gt;"",VLOOKUP(H3167,TABLEITEM,2,FALSE),"")</f>
        <v/>
      </c>
      <c r="M3167" s="13" t="str">
        <f>IF(D3167&lt;&gt;"",VLOOKUP(H3167,TABLEITEM,3,FALSE),"")</f>
        <v>MCCB A2C125 TMF160 3P 25KA</v>
      </c>
      <c r="N3167" s="14">
        <f>INSTOCK!$I3167*INSTOCK!$K3167</f>
        <v>2000</v>
      </c>
      <c r="O3167" s="4" t="s">
        <v>4202</v>
      </c>
      <c r="P3167" s="4"/>
    </row>
    <row r="3168" ht="15.75" hidden="1" customHeight="1">
      <c r="B3168" s="8">
        <v>3487.0</v>
      </c>
      <c r="C3168" s="9">
        <v>43173.0</v>
      </c>
      <c r="D3168" s="6" t="s">
        <v>4196</v>
      </c>
      <c r="E3168" s="4">
        <v>6.103000308E9</v>
      </c>
      <c r="F3168" s="8" t="s">
        <v>4197</v>
      </c>
      <c r="G3168" s="4" t="s">
        <v>3541</v>
      </c>
      <c r="H3168" s="10" t="s">
        <v>4203</v>
      </c>
      <c r="I3168" s="10">
        <v>1.0</v>
      </c>
      <c r="J3168" s="11" t="str">
        <f>IF(D3168&lt;&gt;"",VLOOKUP(H3168,TABLEITEM,5,FALSE),"")</f>
        <v>EA</v>
      </c>
      <c r="K3168" s="12">
        <v>6600.0</v>
      </c>
      <c r="L3168" s="13" t="str">
        <f>IF(D3168&lt;&gt;"",VLOOKUP(H3168,TABLEITEM,2,FALSE),"")</f>
        <v/>
      </c>
      <c r="M3168" s="13" t="str">
        <f>IF(D3168&lt;&gt;"",VLOOKUP(H3168,TABLEITEM,3,FALSE),"")</f>
        <v>MCCB A3N630 TMF500 3P  36KA</v>
      </c>
      <c r="N3168" s="14">
        <f>INSTOCK!$I3168*INSTOCK!$K3168</f>
        <v>6600</v>
      </c>
      <c r="O3168" s="4" t="s">
        <v>4204</v>
      </c>
      <c r="P3168" s="4"/>
    </row>
    <row r="3169" ht="15.75" hidden="1" customHeight="1">
      <c r="B3169" s="8">
        <v>3488.0</v>
      </c>
      <c r="C3169" s="9">
        <v>43173.0</v>
      </c>
      <c r="D3169" s="6" t="s">
        <v>4196</v>
      </c>
      <c r="E3169" s="4">
        <v>6.103000308E9</v>
      </c>
      <c r="F3169" s="8" t="s">
        <v>4197</v>
      </c>
      <c r="G3169" s="4" t="s">
        <v>3541</v>
      </c>
      <c r="H3169" s="10" t="s">
        <v>4205</v>
      </c>
      <c r="I3169" s="10">
        <v>2.0</v>
      </c>
      <c r="J3169" s="11" t="str">
        <f>IF(D3169&lt;&gt;"",VLOOKUP(H3169,TABLEITEM,5,FALSE),"")</f>
        <v>EA</v>
      </c>
      <c r="K3169" s="12">
        <v>6000.0</v>
      </c>
      <c r="L3169" s="13" t="str">
        <f>IF(D3169&lt;&gt;"",VLOOKUP(H3169,TABLEITEM,2,FALSE),"")</f>
        <v/>
      </c>
      <c r="M3169" s="13" t="str">
        <f>IF(D3169&lt;&gt;"",VLOOKUP(H3169,TABLEITEM,3,FALSE),"")</f>
        <v>MCCB A3N400 TMF320 3P 36KA</v>
      </c>
      <c r="N3169" s="14">
        <f>INSTOCK!$I3169*INSTOCK!$K3169</f>
        <v>12000</v>
      </c>
      <c r="O3169" s="4" t="s">
        <v>4206</v>
      </c>
      <c r="P3169" s="4"/>
    </row>
    <row r="3170" ht="15.75" hidden="1" customHeight="1">
      <c r="B3170" s="8">
        <v>3489.0</v>
      </c>
      <c r="C3170" s="9">
        <v>43173.0</v>
      </c>
      <c r="D3170" s="6" t="s">
        <v>4207</v>
      </c>
      <c r="E3170" s="4">
        <v>6.103000282E9</v>
      </c>
      <c r="F3170" s="8" t="s">
        <v>633</v>
      </c>
      <c r="G3170" s="4" t="s">
        <v>965</v>
      </c>
      <c r="H3170" s="10" t="s">
        <v>4208</v>
      </c>
      <c r="I3170" s="10">
        <v>16.0</v>
      </c>
      <c r="J3170" s="11" t="str">
        <f>IF(D3170&lt;&gt;"",VLOOKUP(H3170,TABLEITEM,5,FALSE),"")</f>
        <v>EA</v>
      </c>
      <c r="K3170" s="12">
        <v>20.0</v>
      </c>
      <c r="L3170" s="13" t="str">
        <f>IF(D3170&lt;&gt;"",VLOOKUP(H3170,TABLEITEM,2,FALSE),"")</f>
        <v/>
      </c>
      <c r="M3170" s="13" t="str">
        <f>IF(D3170&lt;&gt;"",VLOOKUP(H3170,TABLEITEM,3,FALSE),"")</f>
        <v>พุกตะปู 1270</v>
      </c>
      <c r="N3170" s="14">
        <f>INSTOCK!$I3170*INSTOCK!$K3170</f>
        <v>320</v>
      </c>
      <c r="O3170" s="4"/>
      <c r="P3170" s="4"/>
    </row>
    <row r="3171" ht="15.75" hidden="1" customHeight="1">
      <c r="B3171" s="8">
        <v>3490.0</v>
      </c>
      <c r="C3171" s="9">
        <v>43173.0</v>
      </c>
      <c r="D3171" s="6" t="s">
        <v>4209</v>
      </c>
      <c r="E3171" s="4">
        <v>6.10300031E9</v>
      </c>
      <c r="F3171" s="8" t="s">
        <v>604</v>
      </c>
      <c r="G3171" s="4" t="s">
        <v>965</v>
      </c>
      <c r="H3171" s="10" t="s">
        <v>4210</v>
      </c>
      <c r="I3171" s="10">
        <v>1.0</v>
      </c>
      <c r="J3171" s="11" t="str">
        <f>IF(D3171&lt;&gt;"",VLOOKUP(H3171,TABLEITEM,5,FALSE),"")</f>
        <v>EA</v>
      </c>
      <c r="K3171" s="12">
        <v>400.0</v>
      </c>
      <c r="L3171" s="13" t="str">
        <f>IF(D3171&lt;&gt;"",VLOOKUP(H3171,TABLEITEM,2,FALSE),"")</f>
        <v/>
      </c>
      <c r="M3171" s="13" t="str">
        <f>IF(D3171&lt;&gt;"",VLOOKUP(H3171,TABLEITEM,3,FALSE),"")</f>
        <v>ต๊าปชุด M12x1.75mm</v>
      </c>
      <c r="N3171" s="14">
        <f>INSTOCK!$I3171*INSTOCK!$K3171</f>
        <v>400</v>
      </c>
      <c r="O3171" s="4"/>
      <c r="P3171" s="4"/>
    </row>
    <row r="3172" ht="15.75" hidden="1" customHeight="1">
      <c r="B3172" s="8">
        <v>3491.0</v>
      </c>
      <c r="C3172" s="9">
        <v>43173.0</v>
      </c>
      <c r="D3172" s="6" t="s">
        <v>4209</v>
      </c>
      <c r="E3172" s="4">
        <v>6.10300031E9</v>
      </c>
      <c r="F3172" s="8" t="s">
        <v>604</v>
      </c>
      <c r="G3172" s="4" t="s">
        <v>965</v>
      </c>
      <c r="H3172" s="10" t="s">
        <v>2831</v>
      </c>
      <c r="I3172" s="10">
        <v>12.0</v>
      </c>
      <c r="J3172" s="11" t="str">
        <f>IF(D3172&lt;&gt;"",VLOOKUP(H3172,TABLEITEM,5,FALSE),"")</f>
        <v>EA</v>
      </c>
      <c r="K3172" s="12">
        <v>30.0</v>
      </c>
      <c r="L3172" s="13" t="str">
        <f>IF(D3172&lt;&gt;"",VLOOKUP(H3172,TABLEITEM,2,FALSE),"")</f>
        <v/>
      </c>
      <c r="M3172" s="13" t="str">
        <f>IF(D3172&lt;&gt;"",VLOOKUP(H3172,TABLEITEM,3,FALSE),"")</f>
        <v>แว่นตาใส </v>
      </c>
      <c r="N3172" s="14">
        <f>INSTOCK!$I3172*INSTOCK!$K3172</f>
        <v>360</v>
      </c>
      <c r="O3172" s="4"/>
      <c r="P3172" s="4"/>
    </row>
    <row r="3173" ht="15.75" hidden="1" customHeight="1">
      <c r="B3173" s="8">
        <v>3492.0</v>
      </c>
      <c r="C3173" s="9">
        <v>43173.0</v>
      </c>
      <c r="D3173" s="6" t="s">
        <v>4209</v>
      </c>
      <c r="E3173" s="4">
        <v>6.10300031E9</v>
      </c>
      <c r="F3173" s="8" t="s">
        <v>604</v>
      </c>
      <c r="G3173" s="4" t="s">
        <v>965</v>
      </c>
      <c r="H3173" s="10" t="s">
        <v>65</v>
      </c>
      <c r="I3173" s="10">
        <v>12.0</v>
      </c>
      <c r="J3173" s="11" t="str">
        <f>IF(D3173&lt;&gt;"",VLOOKUP(H3173,TABLEITEM,5,FALSE),"")</f>
        <v>กป.</v>
      </c>
      <c r="K3173" s="12">
        <v>41.6666</v>
      </c>
      <c r="L3173" s="13" t="str">
        <f>IF(D3173&lt;&gt;"",VLOOKUP(H3173,TABLEITEM,2,FALSE),"")</f>
        <v/>
      </c>
      <c r="M3173" s="13" t="str">
        <f>IF(D3173&lt;&gt;"",VLOOKUP(H3173,TABLEITEM,3,FALSE),"")</f>
        <v>สีสเปรย์ สีเขียว</v>
      </c>
      <c r="N3173" s="14">
        <f>INSTOCK!$I3173*INSTOCK!$K3173</f>
        <v>499.9992</v>
      </c>
      <c r="O3173" s="4"/>
      <c r="P3173" s="4"/>
    </row>
    <row r="3174" ht="15.75" hidden="1" customHeight="1">
      <c r="B3174" s="8">
        <v>3493.0</v>
      </c>
      <c r="C3174" s="9">
        <v>43172.0</v>
      </c>
      <c r="D3174" s="6" t="s">
        <v>4211</v>
      </c>
      <c r="E3174" s="4">
        <v>6.103000306E9</v>
      </c>
      <c r="F3174" s="8"/>
      <c r="G3174" s="4" t="s">
        <v>1516</v>
      </c>
      <c r="H3174" s="10" t="s">
        <v>4212</v>
      </c>
      <c r="I3174" s="10">
        <v>1.0</v>
      </c>
      <c r="J3174" s="11" t="str">
        <f>IF(D3174&lt;&gt;"",VLOOKUP(H3174,TABLEITEM,5,FALSE),"")</f>
        <v>EA</v>
      </c>
      <c r="K3174" s="12">
        <v>1425.6</v>
      </c>
      <c r="L3174" s="13" t="str">
        <f>IF(D3174&lt;&gt;"",VLOOKUP(H3174,TABLEITEM,2,FALSE),"")</f>
        <v/>
      </c>
      <c r="M3174" s="13" t="str">
        <f>IF(D3174&lt;&gt;"",VLOOKUP(H3174,TABLEITEM,3,FALSE),"")</f>
        <v>CONRACTS BLOCK</v>
      </c>
      <c r="N3174" s="14">
        <f>INSTOCK!$I3174*INSTOCK!$K3174</f>
        <v>1425.6</v>
      </c>
      <c r="O3174" s="4" t="s">
        <v>4213</v>
      </c>
      <c r="P3174" s="4"/>
    </row>
    <row r="3175" ht="15.75" hidden="1" customHeight="1">
      <c r="B3175" s="8">
        <v>3494.0</v>
      </c>
      <c r="C3175" s="9">
        <v>43172.0</v>
      </c>
      <c r="D3175" s="6" t="s">
        <v>4211</v>
      </c>
      <c r="E3175" s="4">
        <v>6.103000306E9</v>
      </c>
      <c r="F3175" s="8"/>
      <c r="G3175" s="4" t="s">
        <v>1516</v>
      </c>
      <c r="H3175" s="10" t="s">
        <v>1838</v>
      </c>
      <c r="I3175" s="10">
        <v>3.0</v>
      </c>
      <c r="J3175" s="11" t="str">
        <f>IF(D3175&lt;&gt;"",VLOOKUP(H3175,TABLEITEM,5,FALSE),"")</f>
        <v>EA</v>
      </c>
      <c r="K3175" s="12">
        <v>78.66</v>
      </c>
      <c r="L3175" s="13" t="str">
        <f>IF(D3175&lt;&gt;"",VLOOKUP(H3175,TABLEITEM,2,FALSE),"")</f>
        <v/>
      </c>
      <c r="M3175" s="13" t="str">
        <f>IF(D3175&lt;&gt;"",VLOOKUP(H3175,TABLEITEM,3,FALSE),"")</f>
        <v>MINIATURE RELAY LED 2C/O 230VAC 5A</v>
      </c>
      <c r="N3175" s="14">
        <f>INSTOCK!$I3175*INSTOCK!$K3175</f>
        <v>235.98</v>
      </c>
      <c r="O3175" s="4" t="s">
        <v>4214</v>
      </c>
      <c r="P3175" s="4"/>
    </row>
    <row r="3176" ht="15.75" hidden="1" customHeight="1">
      <c r="B3176" s="8">
        <v>3495.0</v>
      </c>
      <c r="C3176" s="9">
        <v>43172.0</v>
      </c>
      <c r="D3176" s="6">
        <v>6.10303988E8</v>
      </c>
      <c r="E3176" s="4">
        <v>6.103000305E9</v>
      </c>
      <c r="F3176" s="8"/>
      <c r="G3176" s="4" t="s">
        <v>1130</v>
      </c>
      <c r="H3176" s="10" t="s">
        <v>1981</v>
      </c>
      <c r="I3176" s="10">
        <v>2.0</v>
      </c>
      <c r="J3176" s="11" t="str">
        <f>IF(D3176&lt;&gt;"",VLOOKUP(H3176,TABLEITEM,5,FALSE),"")</f>
        <v>EA</v>
      </c>
      <c r="K3176" s="12">
        <v>121.125</v>
      </c>
      <c r="L3176" s="13" t="str">
        <f>IF(D3176&lt;&gt;"",VLOOKUP(H3176,TABLEITEM,2,FALSE),"")</f>
        <v/>
      </c>
      <c r="M3176" s="13" t="str">
        <f>IF(D3176&lt;&gt;"",VLOOKUP(H3176,TABLEITEM,3,FALSE),"")</f>
        <v>CT30/5 MSQ40</v>
      </c>
      <c r="N3176" s="14">
        <f>INSTOCK!$I3176*INSTOCK!$K3176</f>
        <v>242.25</v>
      </c>
      <c r="O3176" s="4" t="s">
        <v>1898</v>
      </c>
      <c r="P3176" s="4"/>
    </row>
    <row r="3177" ht="15.75" hidden="1" customHeight="1">
      <c r="B3177" s="8">
        <v>3496.0</v>
      </c>
      <c r="C3177" s="9">
        <v>43172.0</v>
      </c>
      <c r="D3177" s="6">
        <v>6.10303988E8</v>
      </c>
      <c r="E3177" s="4">
        <v>6.103000305E9</v>
      </c>
      <c r="F3177" s="8"/>
      <c r="G3177" s="4" t="s">
        <v>1130</v>
      </c>
      <c r="H3177" s="10" t="s">
        <v>2175</v>
      </c>
      <c r="I3177" s="10">
        <v>2.0</v>
      </c>
      <c r="J3177" s="11" t="str">
        <f>IF(D3177&lt;&gt;"",VLOOKUP(H3177,TABLEITEM,5,FALSE),"")</f>
        <v>EA</v>
      </c>
      <c r="K3177" s="12">
        <v>1166.22</v>
      </c>
      <c r="L3177" s="13" t="str">
        <f>IF(D3177&lt;&gt;"",VLOOKUP(H3177,TABLEITEM,2,FALSE),"")</f>
        <v/>
      </c>
      <c r="M3177" s="13" t="str">
        <f>IF(D3177&lt;&gt;"",VLOOKUP(H3177,TABLEITEM,3,FALSE),"")</f>
        <v>COUNTER H7EC-N </v>
      </c>
      <c r="N3177" s="14">
        <f>INSTOCK!$I3177*INSTOCK!$K3177</f>
        <v>2332.44</v>
      </c>
      <c r="O3177" s="4" t="s">
        <v>4096</v>
      </c>
      <c r="P3177" s="4"/>
    </row>
    <row r="3178" ht="15.75" hidden="1" customHeight="1">
      <c r="B3178" s="8">
        <v>3497.0</v>
      </c>
      <c r="C3178" s="9">
        <v>43172.0</v>
      </c>
      <c r="D3178" s="6">
        <v>6.10303988E8</v>
      </c>
      <c r="E3178" s="4">
        <v>6.103000305E9</v>
      </c>
      <c r="F3178" s="8"/>
      <c r="G3178" s="4" t="s">
        <v>1130</v>
      </c>
      <c r="H3178" s="10" t="s">
        <v>2177</v>
      </c>
      <c r="I3178" s="10">
        <v>2.0</v>
      </c>
      <c r="J3178" s="11" t="str">
        <f>IF(D3178&lt;&gt;"",VLOOKUP(H3178,TABLEITEM,5,FALSE),"")</f>
        <v>EA</v>
      </c>
      <c r="K3178" s="12">
        <v>292.615</v>
      </c>
      <c r="L3178" s="13" t="str">
        <f>IF(D3178&lt;&gt;"",VLOOKUP(H3178,TABLEITEM,2,FALSE),"")</f>
        <v/>
      </c>
      <c r="M3178" s="13" t="str">
        <f>IF(D3178&lt;&gt;"",VLOOKUP(H3178,TABLEITEM,3,FALSE),"")</f>
        <v>RELAY LY4N 220/240VAC</v>
      </c>
      <c r="N3178" s="14">
        <f>INSTOCK!$I3178*INSTOCK!$K3178</f>
        <v>585.23</v>
      </c>
      <c r="O3178" s="4" t="s">
        <v>4097</v>
      </c>
      <c r="P3178" s="4"/>
    </row>
    <row r="3179" ht="15.75" hidden="1" customHeight="1">
      <c r="B3179" s="8">
        <v>3498.0</v>
      </c>
      <c r="C3179" s="9">
        <v>43172.0</v>
      </c>
      <c r="D3179" s="6">
        <v>6.10303988E8</v>
      </c>
      <c r="E3179" s="4">
        <v>6.103000305E9</v>
      </c>
      <c r="F3179" s="8"/>
      <c r="G3179" s="4" t="s">
        <v>1130</v>
      </c>
      <c r="H3179" s="10" t="s">
        <v>2179</v>
      </c>
      <c r="I3179" s="10">
        <v>2.0</v>
      </c>
      <c r="J3179" s="11" t="str">
        <f>IF(D3179&lt;&gt;"",VLOOKUP(H3179,TABLEITEM,5,FALSE),"")</f>
        <v>EA</v>
      </c>
      <c r="K3179" s="12">
        <v>148.43</v>
      </c>
      <c r="L3179" s="13" t="str">
        <f>IF(D3179&lt;&gt;"",VLOOKUP(H3179,TABLEITEM,2,FALSE),"")</f>
        <v/>
      </c>
      <c r="M3179" s="13" t="str">
        <f>IF(D3179&lt;&gt;"",VLOOKUP(H3179,TABLEITEM,3,FALSE),"")</f>
        <v>SOCKET PTF14A-E</v>
      </c>
      <c r="N3179" s="14">
        <f>INSTOCK!$I3179*INSTOCK!$K3179</f>
        <v>296.86</v>
      </c>
      <c r="O3179" s="4" t="s">
        <v>4215</v>
      </c>
      <c r="P3179" s="4"/>
    </row>
    <row r="3180" ht="15.75" hidden="1" customHeight="1">
      <c r="B3180" s="8">
        <v>3499.0</v>
      </c>
      <c r="C3180" s="9">
        <v>43172.0</v>
      </c>
      <c r="D3180" s="6">
        <v>6.10303988E8</v>
      </c>
      <c r="E3180" s="4">
        <v>6.103000305E9</v>
      </c>
      <c r="F3180" s="8"/>
      <c r="G3180" s="4" t="s">
        <v>1130</v>
      </c>
      <c r="H3180" s="10" t="s">
        <v>3116</v>
      </c>
      <c r="I3180" s="10">
        <v>3.0</v>
      </c>
      <c r="J3180" s="11" t="str">
        <f>IF(D3180&lt;&gt;"",VLOOKUP(H3180,TABLEITEM,5,FALSE),"")</f>
        <v>EA</v>
      </c>
      <c r="K3180" s="12">
        <v>121.1233</v>
      </c>
      <c r="L3180" s="13" t="str">
        <f>IF(D3180&lt;&gt;"",VLOOKUP(H3180,TABLEITEM,2,FALSE),"")</f>
        <v/>
      </c>
      <c r="M3180" s="13" t="str">
        <f>IF(D3180&lt;&gt;"",VLOOKUP(H3180,TABLEITEM,3,FALSE),"")</f>
        <v>CT100/5 MSQ40</v>
      </c>
      <c r="N3180" s="14">
        <f>INSTOCK!$I3180*INSTOCK!$K3180</f>
        <v>363.3699</v>
      </c>
      <c r="O3180" s="4" t="s">
        <v>1898</v>
      </c>
      <c r="P3180" s="4"/>
    </row>
    <row r="3181" ht="15.75" hidden="1" customHeight="1">
      <c r="B3181" s="8">
        <v>3500.0</v>
      </c>
      <c r="C3181" s="9">
        <v>43172.0</v>
      </c>
      <c r="D3181" s="6">
        <v>6.10303988E8</v>
      </c>
      <c r="E3181" s="4">
        <v>6.103000305E9</v>
      </c>
      <c r="F3181" s="8"/>
      <c r="G3181" s="4" t="s">
        <v>1130</v>
      </c>
      <c r="H3181" s="10" t="s">
        <v>4216</v>
      </c>
      <c r="I3181" s="10">
        <v>3.0</v>
      </c>
      <c r="J3181" s="11" t="str">
        <f>IF(D3181&lt;&gt;"",VLOOKUP(H3181,TABLEITEM,5,FALSE),"")</f>
        <v>EA</v>
      </c>
      <c r="K3181" s="12">
        <v>174.5633</v>
      </c>
      <c r="L3181" s="13" t="str">
        <f>IF(D3181&lt;&gt;"",VLOOKUP(H3181,TABLEITEM,2,FALSE),"")</f>
        <v/>
      </c>
      <c r="M3181" s="13" t="str">
        <f>IF(D3181&lt;&gt;"",VLOOKUP(H3181,TABLEITEM,3,FALSE),"")</f>
        <v>CT500/5MSQ60</v>
      </c>
      <c r="N3181" s="14">
        <f>INSTOCK!$I3181*INSTOCK!$K3181</f>
        <v>523.6899</v>
      </c>
      <c r="O3181" s="4" t="s">
        <v>3125</v>
      </c>
      <c r="P3181" s="4"/>
    </row>
    <row r="3182" ht="15.75" hidden="1" customHeight="1">
      <c r="B3182" s="8">
        <v>3501.0</v>
      </c>
      <c r="C3182" s="9">
        <v>43172.0</v>
      </c>
      <c r="D3182" s="6">
        <v>6.10303988E8</v>
      </c>
      <c r="E3182" s="4">
        <v>6.103000305E9</v>
      </c>
      <c r="F3182" s="8"/>
      <c r="G3182" s="4" t="s">
        <v>1130</v>
      </c>
      <c r="H3182" s="10" t="s">
        <v>3835</v>
      </c>
      <c r="I3182" s="10">
        <v>3.0</v>
      </c>
      <c r="J3182" s="11" t="str">
        <f>IF(D3182&lt;&gt;"",VLOOKUP(H3182,TABLEITEM,5,FALSE),"")</f>
        <v>EA</v>
      </c>
      <c r="K3182" s="12">
        <v>121.123</v>
      </c>
      <c r="L3182" s="13" t="str">
        <f>IF(D3182&lt;&gt;"",VLOOKUP(H3182,TABLEITEM,2,FALSE),"")</f>
        <v/>
      </c>
      <c r="M3182" s="13" t="str">
        <f>IF(D3182&lt;&gt;"",VLOOKUP(H3182,TABLEITEM,3,FALSE),"")</f>
        <v>CT300/5 MSQ40</v>
      </c>
      <c r="N3182" s="14">
        <f>INSTOCK!$I3182*INSTOCK!$K3182</f>
        <v>363.369</v>
      </c>
      <c r="O3182" s="4" t="s">
        <v>1898</v>
      </c>
      <c r="P3182" s="4"/>
    </row>
    <row r="3183" ht="15.75" hidden="1" customHeight="1">
      <c r="B3183" s="8">
        <v>3502.0</v>
      </c>
      <c r="C3183" s="9">
        <v>43172.0</v>
      </c>
      <c r="D3183" s="6" t="s">
        <v>4217</v>
      </c>
      <c r="E3183" s="4">
        <v>6.103000307E9</v>
      </c>
      <c r="F3183" s="8" t="s">
        <v>4218</v>
      </c>
      <c r="G3183" s="4" t="s">
        <v>1485</v>
      </c>
      <c r="H3183" s="10" t="s">
        <v>1559</v>
      </c>
      <c r="I3183" s="10">
        <v>1.0</v>
      </c>
      <c r="J3183" s="11" t="str">
        <f>IF(D3183&lt;&gt;"",VLOOKUP(H3183,TABLEITEM,5,FALSE),"")</f>
        <v>EA</v>
      </c>
      <c r="K3183" s="12">
        <v>1148.4</v>
      </c>
      <c r="L3183" s="13" t="str">
        <f>IF(D3183&lt;&gt;"",VLOOKUP(H3183,TABLEITEM,2,FALSE),"")</f>
        <v/>
      </c>
      <c r="M3183" s="13" t="str">
        <f>IF(D3183&lt;&gt;"",VLOOKUP(H3183,TABLEITEM,3,FALSE),"")</f>
        <v>CONTACTOR LC1D25M7</v>
      </c>
      <c r="N3183" s="14">
        <f>INSTOCK!$I3183*INSTOCK!$K3183</f>
        <v>1148.4</v>
      </c>
      <c r="O3183" s="4"/>
      <c r="P3183" s="4"/>
    </row>
    <row r="3184" ht="15.75" hidden="1" customHeight="1">
      <c r="B3184" s="8">
        <v>3503.0</v>
      </c>
      <c r="C3184" s="9">
        <v>43172.0</v>
      </c>
      <c r="D3184" s="6" t="s">
        <v>4217</v>
      </c>
      <c r="E3184" s="4">
        <v>6.103000307E9</v>
      </c>
      <c r="F3184" s="8" t="s">
        <v>4218</v>
      </c>
      <c r="G3184" s="4" t="s">
        <v>1485</v>
      </c>
      <c r="H3184" s="10" t="s">
        <v>1583</v>
      </c>
      <c r="I3184" s="10">
        <v>5.0</v>
      </c>
      <c r="J3184" s="11" t="str">
        <f>IF(D3184&lt;&gt;"",VLOOKUP(H3184,TABLEITEM,5,FALSE),"")</f>
        <v>EA</v>
      </c>
      <c r="K3184" s="12">
        <v>156.2</v>
      </c>
      <c r="L3184" s="13" t="str">
        <f>IF(D3184&lt;&gt;"",VLOOKUP(H3184,TABLEITEM,2,FALSE),"")</f>
        <v/>
      </c>
      <c r="M3184" s="13" t="str">
        <f>IF(D3184&lt;&gt;"",VLOOKUP(H3184,TABLEITEM,3,FALSE),"")</f>
        <v>HARMONY XB4 SELECTOR SWITCH ZB4BD3</v>
      </c>
      <c r="N3184" s="14">
        <f>INSTOCK!$I3184*INSTOCK!$K3184</f>
        <v>781</v>
      </c>
      <c r="O3184" s="4"/>
      <c r="P3184" s="4"/>
    </row>
    <row r="3185" ht="15.75" hidden="1" customHeight="1">
      <c r="B3185" s="8">
        <v>3504.0</v>
      </c>
      <c r="C3185" s="9">
        <v>43172.0</v>
      </c>
      <c r="D3185" s="6" t="s">
        <v>4217</v>
      </c>
      <c r="E3185" s="4">
        <v>6.103000307E9</v>
      </c>
      <c r="F3185" s="8" t="s">
        <v>4218</v>
      </c>
      <c r="G3185" s="4" t="s">
        <v>1485</v>
      </c>
      <c r="H3185" s="10" t="s">
        <v>1584</v>
      </c>
      <c r="I3185" s="10">
        <v>5.0</v>
      </c>
      <c r="J3185" s="11" t="str">
        <f>IF(D3185&lt;&gt;"",VLOOKUP(H3185,TABLEITEM,5,FALSE),"")</f>
        <v>EA</v>
      </c>
      <c r="K3185" s="12">
        <v>134.2</v>
      </c>
      <c r="L3185" s="13" t="str">
        <f>IF(D3185&lt;&gt;"",VLOOKUP(H3185,TABLEITEM,2,FALSE),"")</f>
        <v/>
      </c>
      <c r="M3185" s="13" t="str">
        <f>IF(D3185&lt;&gt;"",VLOOKUP(H3185,TABLEITEM,3,FALSE),"")</f>
        <v>HARMONY XB4 SINGLE CONTACT ZB4BZ101</v>
      </c>
      <c r="N3185" s="14">
        <f>INSTOCK!$I3185*INSTOCK!$K3185</f>
        <v>671</v>
      </c>
      <c r="O3185" s="4"/>
      <c r="P3185" s="4"/>
    </row>
    <row r="3186" ht="15.75" hidden="1" customHeight="1">
      <c r="B3186" s="8">
        <v>3505.0</v>
      </c>
      <c r="C3186" s="9">
        <v>43172.0</v>
      </c>
      <c r="D3186" s="6" t="s">
        <v>4217</v>
      </c>
      <c r="E3186" s="4">
        <v>6.103000307E9</v>
      </c>
      <c r="F3186" s="8" t="s">
        <v>4218</v>
      </c>
      <c r="G3186" s="4" t="s">
        <v>1485</v>
      </c>
      <c r="H3186" s="10" t="s">
        <v>2159</v>
      </c>
      <c r="I3186" s="10">
        <v>3.0</v>
      </c>
      <c r="J3186" s="11" t="str">
        <f>IF(D3186&lt;&gt;"",VLOOKUP(H3186,TABLEITEM,5,FALSE),"")</f>
        <v>EA</v>
      </c>
      <c r="K3186" s="12">
        <v>292.6</v>
      </c>
      <c r="L3186" s="13" t="str">
        <f>IF(D3186&lt;&gt;"",VLOOKUP(H3186,TABLEITEM,2,FALSE),"")</f>
        <v/>
      </c>
      <c r="M3186" s="13" t="str">
        <f>IF(D3186&lt;&gt;"",VLOOKUP(H3186,TABLEITEM,3,FALSE),"")</f>
        <v>SELEATOR SWITCH #22 2POS STAY PUT RON</v>
      </c>
      <c r="N3186" s="14">
        <f>INSTOCK!$I3186*INSTOCK!$K3186</f>
        <v>877.8</v>
      </c>
      <c r="O3186" s="4"/>
      <c r="P3186" s="4"/>
    </row>
    <row r="3187" ht="15.75" hidden="1" customHeight="1">
      <c r="B3187" s="8">
        <v>3506.0</v>
      </c>
      <c r="C3187" s="9">
        <v>43171.0</v>
      </c>
      <c r="D3187" s="6" t="s">
        <v>4219</v>
      </c>
      <c r="E3187" s="4">
        <v>6.102000256E9</v>
      </c>
      <c r="F3187" s="8" t="s">
        <v>604</v>
      </c>
      <c r="G3187" s="4" t="s">
        <v>4220</v>
      </c>
      <c r="H3187" s="10" t="s">
        <v>4221</v>
      </c>
      <c r="I3187" s="10">
        <v>5000.0</v>
      </c>
      <c r="J3187" s="11" t="str">
        <f>IF(D3187&lt;&gt;"",VLOOKUP(H3187,TABLEITEM,5,FALSE),"")</f>
        <v>EA</v>
      </c>
      <c r="K3187" s="12">
        <v>0.38</v>
      </c>
      <c r="L3187" s="13" t="str">
        <f>IF(D3187&lt;&gt;"",VLOOKUP(H3187,TABLEITEM,2,FALSE),"")</f>
        <v/>
      </c>
      <c r="M3187" s="13" t="str">
        <f>IF(D3187&lt;&gt;"",VLOOKUP(H3187,TABLEITEM,3,FALSE),"")</f>
        <v>สติ๊กเกอร์ลูกศร พีวีซี ขาวมัน ขนาดเส้นผ่าศูนย์กลาง 0.9มิลพิมพ์ 1สี(ซิลค์) 1หน้า ไดคัทวงกลม</v>
      </c>
      <c r="N3187" s="14">
        <f>INSTOCK!$I3187*INSTOCK!$K3187</f>
        <v>1900</v>
      </c>
      <c r="O3187" s="4"/>
      <c r="P3187" s="4"/>
    </row>
    <row r="3188" ht="15.75" hidden="1" customHeight="1">
      <c r="B3188" s="8">
        <v>3507.0</v>
      </c>
      <c r="C3188" s="9">
        <v>43168.0</v>
      </c>
      <c r="D3188" s="6" t="s">
        <v>4222</v>
      </c>
      <c r="E3188" s="4">
        <v>6.103000298E9</v>
      </c>
      <c r="F3188" s="8" t="s">
        <v>4147</v>
      </c>
      <c r="G3188" s="4" t="s">
        <v>3531</v>
      </c>
      <c r="H3188" s="10" t="s">
        <v>4223</v>
      </c>
      <c r="I3188" s="10">
        <v>1.0</v>
      </c>
      <c r="J3188" s="11" t="str">
        <f>IF(D3188&lt;&gt;"",VLOOKUP(H3188,TABLEITEM,5,FALSE),"")</f>
        <v>EA</v>
      </c>
      <c r="K3188" s="12">
        <v>48.0</v>
      </c>
      <c r="L3188" s="13" t="str">
        <f>IF(D3188&lt;&gt;"",VLOOKUP(H3188,TABLEITEM,2,FALSE),"")</f>
        <v/>
      </c>
      <c r="M3188" s="13" t="str">
        <f>IF(D3188&lt;&gt;"",VLOOKUP(H3188,TABLEITEM,3,FALSE),"")</f>
        <v>PILOT LIGHT D16W 22MM </v>
      </c>
      <c r="N3188" s="14">
        <f>INSTOCK!$I3188*INSTOCK!$K3188</f>
        <v>48</v>
      </c>
      <c r="O3188" s="4"/>
      <c r="P3188" s="4"/>
    </row>
    <row r="3189" ht="15.75" hidden="1" customHeight="1">
      <c r="B3189" s="8">
        <v>3508.0</v>
      </c>
      <c r="C3189" s="9">
        <v>43168.0</v>
      </c>
      <c r="D3189" s="6" t="s">
        <v>4224</v>
      </c>
      <c r="E3189" s="4">
        <v>6.103000297E9</v>
      </c>
      <c r="F3189" s="8" t="s">
        <v>4147</v>
      </c>
      <c r="G3189" s="4" t="s">
        <v>3531</v>
      </c>
      <c r="H3189" s="10" t="s">
        <v>4225</v>
      </c>
      <c r="I3189" s="10">
        <v>1.0</v>
      </c>
      <c r="J3189" s="11" t="str">
        <f>IF(D3189&lt;&gt;"",VLOOKUP(H3189,TABLEITEM,5,FALSE),"")</f>
        <v>EA</v>
      </c>
      <c r="K3189" s="12">
        <v>2160.0</v>
      </c>
      <c r="L3189" s="13" t="str">
        <f>IF(D3189&lt;&gt;"",VLOOKUP(H3189,TABLEITEM,2,FALSE),"")</f>
        <v/>
      </c>
      <c r="M3189" s="13" t="str">
        <f>IF(D3189&lt;&gt;"",VLOOKUP(H3189,TABLEITEM,3,FALSE),"")</f>
        <v>Voltmeter 96x96mm 150V AC96</v>
      </c>
      <c r="N3189" s="14">
        <f>INSTOCK!$I3189*INSTOCK!$K3189</f>
        <v>2160</v>
      </c>
      <c r="O3189" s="4" t="s">
        <v>4226</v>
      </c>
      <c r="P3189" s="4"/>
    </row>
    <row r="3190" ht="15.75" hidden="1" customHeight="1">
      <c r="B3190" s="8">
        <v>3509.0</v>
      </c>
      <c r="C3190" s="9">
        <v>43168.0</v>
      </c>
      <c r="D3190" s="6" t="s">
        <v>4224</v>
      </c>
      <c r="E3190" s="4">
        <v>6.103000297E9</v>
      </c>
      <c r="F3190" s="8" t="s">
        <v>4147</v>
      </c>
      <c r="G3190" s="4" t="s">
        <v>3531</v>
      </c>
      <c r="H3190" s="10" t="s">
        <v>4227</v>
      </c>
      <c r="I3190" s="10">
        <v>1.0</v>
      </c>
      <c r="J3190" s="11" t="str">
        <f>IF(D3190&lt;&gt;"",VLOOKUP(H3190,TABLEITEM,5,FALSE),"")</f>
        <v>EA</v>
      </c>
      <c r="K3190" s="12">
        <v>2160.0</v>
      </c>
      <c r="L3190" s="13" t="str">
        <f>IF(D3190&lt;&gt;"",VLOOKUP(H3190,TABLEITEM,2,FALSE),"")</f>
        <v/>
      </c>
      <c r="M3190" s="13" t="str">
        <f>IF(D3190&lt;&gt;"",VLOOKUP(H3190,TABLEITEM,3,FALSE),"")</f>
        <v>AmpmetER 96x96mm 100A AC96</v>
      </c>
      <c r="N3190" s="14">
        <f>INSTOCK!$I3190*INSTOCK!$K3190</f>
        <v>2160</v>
      </c>
      <c r="O3190" s="4" t="s">
        <v>4226</v>
      </c>
      <c r="P3190" s="4"/>
    </row>
    <row r="3191" ht="15.75" hidden="1" customHeight="1">
      <c r="B3191" s="8">
        <v>3510.0</v>
      </c>
      <c r="C3191" s="9">
        <v>43168.0</v>
      </c>
      <c r="D3191" s="6" t="s">
        <v>4224</v>
      </c>
      <c r="E3191" s="4">
        <v>6.103000297E9</v>
      </c>
      <c r="F3191" s="8" t="s">
        <v>4147</v>
      </c>
      <c r="G3191" s="4" t="s">
        <v>3531</v>
      </c>
      <c r="H3191" s="10" t="s">
        <v>4228</v>
      </c>
      <c r="I3191" s="10">
        <v>1.0</v>
      </c>
      <c r="J3191" s="11" t="str">
        <f>IF(D3191&lt;&gt;"",VLOOKUP(H3191,TABLEITEM,5,FALSE),"")</f>
        <v>EA</v>
      </c>
      <c r="K3191" s="12">
        <v>1440.0</v>
      </c>
      <c r="L3191" s="13" t="str">
        <f>IF(D3191&lt;&gt;"",VLOOKUP(H3191,TABLEITEM,2,FALSE),"")</f>
        <v/>
      </c>
      <c r="M3191" s="13" t="str">
        <f>IF(D3191&lt;&gt;"",VLOOKUP(H3191,TABLEITEM,3,FALSE),"")</f>
        <v>Shunt 100A 60mv</v>
      </c>
      <c r="N3191" s="14">
        <f>INSTOCK!$I3191*INSTOCK!$K3191</f>
        <v>1440</v>
      </c>
      <c r="O3191" s="4" t="s">
        <v>4229</v>
      </c>
      <c r="P3191" s="4"/>
    </row>
    <row r="3192" ht="15.75" hidden="1" customHeight="1">
      <c r="B3192" s="8">
        <v>3511.0</v>
      </c>
      <c r="C3192" s="9">
        <v>43168.0</v>
      </c>
      <c r="D3192" s="6" t="s">
        <v>4230</v>
      </c>
      <c r="E3192" s="4">
        <v>6.103000289E9</v>
      </c>
      <c r="F3192" s="8" t="s">
        <v>3680</v>
      </c>
      <c r="G3192" s="4" t="s">
        <v>2138</v>
      </c>
      <c r="H3192" s="10" t="s">
        <v>2369</v>
      </c>
      <c r="I3192" s="10">
        <v>1.0</v>
      </c>
      <c r="J3192" s="11" t="str">
        <f>IF(D3192&lt;&gt;"",VLOOKUP(H3192,TABLEITEM,5,FALSE),"")</f>
        <v>ถัง</v>
      </c>
      <c r="K3192" s="12">
        <v>1730.0</v>
      </c>
      <c r="L3192" s="13" t="str">
        <f>IF(D3192&lt;&gt;"",VLOOKUP(H3192,TABLEITEM,2,FALSE),"")</f>
        <v/>
      </c>
      <c r="M3192" s="13" t="str">
        <f>IF(D3192&lt;&gt;"",VLOOKUP(H3192,TABLEITEM,3,FALSE),"")</f>
        <v>MOBIL NUTO H32-1/20LT</v>
      </c>
      <c r="N3192" s="14">
        <f>INSTOCK!$I3192*INSTOCK!$K3192</f>
        <v>1730</v>
      </c>
      <c r="O3192" s="4"/>
      <c r="P3192" s="4"/>
    </row>
    <row r="3193" ht="15.75" hidden="1" customHeight="1">
      <c r="B3193" s="8">
        <v>3512.0</v>
      </c>
      <c r="C3193" s="9">
        <v>43168.0</v>
      </c>
      <c r="D3193" s="6" t="s">
        <v>4231</v>
      </c>
      <c r="E3193" s="4"/>
      <c r="F3193" s="8" t="s">
        <v>633</v>
      </c>
      <c r="G3193" s="4" t="s">
        <v>2593</v>
      </c>
      <c r="H3193" s="10" t="s">
        <v>3101</v>
      </c>
      <c r="I3193" s="10">
        <v>160.0</v>
      </c>
      <c r="J3193" s="11" t="str">
        <f>IF(D3193&lt;&gt;"",VLOOKUP(H3193,TABLEITEM,5,FALSE),"")</f>
        <v>EA</v>
      </c>
      <c r="K3193" s="12">
        <v>7.5</v>
      </c>
      <c r="L3193" s="13" t="str">
        <f>IF(D3193&lt;&gt;"",VLOOKUP(H3193,TABLEITEM,2,FALSE),"")</f>
        <v/>
      </c>
      <c r="M3193" s="13" t="str">
        <f>IF(D3193&lt;&gt;"",VLOOKUP(H3193,TABLEITEM,3,FALSE),"")</f>
        <v>อิฐตัวหนอนแดง</v>
      </c>
      <c r="N3193" s="14">
        <f>INSTOCK!$I3193*INSTOCK!$K3193</f>
        <v>1200</v>
      </c>
      <c r="O3193" s="4"/>
      <c r="P3193" s="4"/>
    </row>
    <row r="3194" ht="15.75" hidden="1" customHeight="1">
      <c r="B3194" s="8">
        <v>3513.0</v>
      </c>
      <c r="C3194" s="9">
        <v>43167.0</v>
      </c>
      <c r="D3194" s="6" t="s">
        <v>4232</v>
      </c>
      <c r="E3194" s="4">
        <v>6.102000206E9</v>
      </c>
      <c r="F3194" s="8" t="s">
        <v>3229</v>
      </c>
      <c r="G3194" s="4" t="s">
        <v>1587</v>
      </c>
      <c r="H3194" s="10" t="s">
        <v>4233</v>
      </c>
      <c r="I3194" s="10">
        <v>1.0</v>
      </c>
      <c r="J3194" s="11" t="str">
        <f>IF(D3194&lt;&gt;"",VLOOKUP(H3194,TABLEITEM,5,FALSE),"")</f>
        <v>EA</v>
      </c>
      <c r="K3194" s="12">
        <v>5386.5</v>
      </c>
      <c r="L3194" s="13" t="str">
        <f>IF(D3194&lt;&gt;"",VLOOKUP(H3194,TABLEITEM,2,FALSE),"")</f>
        <v/>
      </c>
      <c r="M3194" s="13" t="str">
        <f>IF(D3194&lt;&gt;"",VLOOKUP(H3194,TABLEITEM,3,FALSE),"")</f>
        <v>เบรกเกอร์ NF250-SGV 3P 175-250A</v>
      </c>
      <c r="N3194" s="14">
        <f>INSTOCK!$I3194*INSTOCK!$K3194</f>
        <v>5386.5</v>
      </c>
      <c r="O3194" s="4" t="s">
        <v>4234</v>
      </c>
      <c r="P3194" s="4"/>
    </row>
    <row r="3195" ht="15.75" hidden="1" customHeight="1">
      <c r="B3195" s="8">
        <v>3514.0</v>
      </c>
      <c r="C3195" s="9">
        <v>43165.0</v>
      </c>
      <c r="D3195" s="6" t="s">
        <v>4235</v>
      </c>
      <c r="E3195" s="4">
        <v>6.103000284E9</v>
      </c>
      <c r="F3195" s="8" t="s">
        <v>4236</v>
      </c>
      <c r="G3195" s="4" t="s">
        <v>3541</v>
      </c>
      <c r="H3195" s="10" t="s">
        <v>4237</v>
      </c>
      <c r="I3195" s="10">
        <v>1.0</v>
      </c>
      <c r="J3195" s="11" t="str">
        <f>IF(D3195&lt;&gt;"",VLOOKUP(H3195,TABLEITEM,5,FALSE),"")</f>
        <v>EA</v>
      </c>
      <c r="K3195" s="12">
        <v>1320.0</v>
      </c>
      <c r="L3195" s="13" t="str">
        <f>IF(D3195&lt;&gt;"",VLOOKUP(H3195,TABLEITEM,2,FALSE),"")</f>
        <v/>
      </c>
      <c r="M3195" s="13" t="str">
        <f>IF(D3195&lt;&gt;"",VLOOKUP(H3195,TABLEITEM,3,FALSE),"")</f>
        <v>UNDER VOLTAGE 220V</v>
      </c>
      <c r="N3195" s="14">
        <f>INSTOCK!$I3195*INSTOCK!$K3195</f>
        <v>1320</v>
      </c>
      <c r="O3195" s="4" t="s">
        <v>4238</v>
      </c>
      <c r="P3195" s="4"/>
    </row>
    <row r="3196" ht="15.75" hidden="1" customHeight="1">
      <c r="B3196" s="8">
        <v>3515.0</v>
      </c>
      <c r="C3196" s="9">
        <v>43164.0</v>
      </c>
      <c r="D3196" s="6">
        <v>6100583.0</v>
      </c>
      <c r="E3196" s="4">
        <v>6.103000283E9</v>
      </c>
      <c r="F3196" s="8" t="s">
        <v>4236</v>
      </c>
      <c r="G3196" s="4" t="s">
        <v>4239</v>
      </c>
      <c r="H3196" s="10" t="s">
        <v>4240</v>
      </c>
      <c r="I3196" s="10">
        <v>3.0</v>
      </c>
      <c r="J3196" s="11" t="str">
        <f>IF(D3196&lt;&gt;"",VLOOKUP(H3196,TABLEITEM,5,FALSE),"")</f>
        <v>EA</v>
      </c>
      <c r="K3196" s="12">
        <v>120.0</v>
      </c>
      <c r="L3196" s="13" t="str">
        <f>IF(D3196&lt;&gt;"",VLOOKUP(H3196,TABLEITEM,2,FALSE),"")</f>
        <v/>
      </c>
      <c r="M3196" s="13" t="str">
        <f>IF(D3196&lt;&gt;"",VLOOKUP(H3196,TABLEITEM,3,FALSE),"")</f>
        <v>HRC FUSE #0 125A 500V</v>
      </c>
      <c r="N3196" s="14">
        <f>INSTOCK!$I3196*INSTOCK!$K3196</f>
        <v>360</v>
      </c>
      <c r="O3196" s="4" t="s">
        <v>4241</v>
      </c>
      <c r="P3196" s="4"/>
    </row>
    <row r="3197" ht="15.75" hidden="1" customHeight="1">
      <c r="B3197" s="8">
        <v>3516.0</v>
      </c>
      <c r="C3197" s="9">
        <v>43164.0</v>
      </c>
      <c r="D3197" s="6">
        <v>6100583.0</v>
      </c>
      <c r="E3197" s="4">
        <v>6.103000283E9</v>
      </c>
      <c r="F3197" s="8" t="s">
        <v>4236</v>
      </c>
      <c r="G3197" s="4" t="s">
        <v>4239</v>
      </c>
      <c r="H3197" s="10" t="s">
        <v>4242</v>
      </c>
      <c r="I3197" s="10">
        <v>1.0</v>
      </c>
      <c r="J3197" s="11" t="str">
        <f>IF(D3197&lt;&gt;"",VLOOKUP(H3197,TABLEITEM,5,FALSE),"")</f>
        <v>EA</v>
      </c>
      <c r="K3197" s="12">
        <v>500.0</v>
      </c>
      <c r="L3197" s="13" t="str">
        <f>IF(D3197&lt;&gt;"",VLOOKUP(H3197,TABLEITEM,2,FALSE),"")</f>
        <v/>
      </c>
      <c r="M3197" s="13" t="str">
        <f>IF(D3197&lt;&gt;"",VLOOKUP(H3197,TABLEITEM,3,FALSE),"")</f>
        <v>FUSSE BASE 160A #00</v>
      </c>
      <c r="N3197" s="14">
        <f>INSTOCK!$I3197*INSTOCK!$K3197</f>
        <v>500</v>
      </c>
      <c r="O3197" s="4" t="s">
        <v>2621</v>
      </c>
      <c r="P3197" s="4"/>
    </row>
    <row r="3198" ht="15.75" hidden="1" customHeight="1">
      <c r="B3198" s="8">
        <v>3517.0</v>
      </c>
      <c r="C3198" s="9">
        <v>43164.0</v>
      </c>
      <c r="D3198" s="6" t="s">
        <v>4243</v>
      </c>
      <c r="E3198" s="4">
        <v>6.102000243E9</v>
      </c>
      <c r="F3198" s="8" t="s">
        <v>604</v>
      </c>
      <c r="G3198" s="4" t="s">
        <v>1274</v>
      </c>
      <c r="H3198" s="10" t="s">
        <v>21</v>
      </c>
      <c r="I3198" s="10">
        <v>100.0</v>
      </c>
      <c r="J3198" s="11" t="str">
        <f>IF(D3198&lt;&gt;"",VLOOKUP(H3198,TABLEITEM,5,FALSE),"")</f>
        <v>EA</v>
      </c>
      <c r="K3198" s="12">
        <v>45.0</v>
      </c>
      <c r="L3198" s="13" t="str">
        <f>IF(D3198&lt;&gt;"",VLOOKUP(H3198,TABLEITEM,2,FALSE),"")</f>
        <v/>
      </c>
      <c r="M3198" s="13" t="str">
        <f>IF(D3198&lt;&gt;"",VLOOKUP(H3198,TABLEITEM,3,FALSE),"")</f>
        <v>ใบหินเจียร์ 4'' </v>
      </c>
      <c r="N3198" s="14">
        <f>INSTOCK!$I3198*INSTOCK!$K3198</f>
        <v>4500</v>
      </c>
      <c r="O3198" s="4"/>
      <c r="P3198" s="4"/>
    </row>
    <row r="3199" ht="15.75" hidden="1" customHeight="1">
      <c r="B3199" s="8">
        <v>3518.0</v>
      </c>
      <c r="C3199" s="9">
        <v>43164.0</v>
      </c>
      <c r="D3199" s="6" t="s">
        <v>4244</v>
      </c>
      <c r="E3199" s="4">
        <v>6.10300028E9</v>
      </c>
      <c r="F3199" s="8" t="s">
        <v>604</v>
      </c>
      <c r="G3199" s="4" t="s">
        <v>1202</v>
      </c>
      <c r="H3199" s="10" t="s">
        <v>4245</v>
      </c>
      <c r="I3199" s="10">
        <v>100.0</v>
      </c>
      <c r="J3199" s="11" t="str">
        <f>IF(D3199&lt;&gt;"",VLOOKUP(H3199,TABLEITEM,5,FALSE),"")</f>
        <v>EA</v>
      </c>
      <c r="K3199" s="12">
        <v>65.0</v>
      </c>
      <c r="L3199" s="13" t="str">
        <f>IF(D3199&lt;&gt;"",VLOOKUP(H3199,TABLEITEM,2,FALSE),"")</f>
        <v/>
      </c>
      <c r="M3199" s="13" t="str">
        <f>IF(D3199&lt;&gt;"",VLOOKUP(H3199,TABLEITEM,3,FALSE),"")</f>
        <v>ERATH TERMINAL C 209-22</v>
      </c>
      <c r="N3199" s="14">
        <f>INSTOCK!$I3199*INSTOCK!$K3199</f>
        <v>6500</v>
      </c>
      <c r="O3199" s="4"/>
      <c r="P3199" s="4"/>
    </row>
    <row r="3200" ht="15.75" hidden="1" customHeight="1">
      <c r="B3200" s="8">
        <v>3519.0</v>
      </c>
      <c r="C3200" s="9">
        <v>43164.0</v>
      </c>
      <c r="D3200" s="6">
        <v>80151.0</v>
      </c>
      <c r="E3200" s="4">
        <v>6.103000278E9</v>
      </c>
      <c r="F3200" s="8" t="s">
        <v>604</v>
      </c>
      <c r="G3200" s="4" t="s">
        <v>2589</v>
      </c>
      <c r="H3200" s="10" t="s">
        <v>2668</v>
      </c>
      <c r="I3200" s="10">
        <v>500.0</v>
      </c>
      <c r="J3200" s="11" t="str">
        <f>IF(D3200&lt;&gt;"",VLOOKUP(H3200,TABLEITEM,5,FALSE),"")</f>
        <v>EA</v>
      </c>
      <c r="K3200" s="12">
        <v>3.14</v>
      </c>
      <c r="L3200" s="13" t="str">
        <f>IF(D3200&lt;&gt;"",VLOOKUP(H3200,TABLEITEM,2,FALSE),"")</f>
        <v/>
      </c>
      <c r="M3200" s="13" t="str">
        <f>IF(D3200&lt;&gt;"",VLOOKUP(H3200,TABLEITEM,3,FALSE),"")</f>
        <v>สตัด M5x10</v>
      </c>
      <c r="N3200" s="14">
        <f>INSTOCK!$I3200*INSTOCK!$K3200</f>
        <v>1570</v>
      </c>
      <c r="O3200" s="4"/>
      <c r="P3200" s="4"/>
    </row>
    <row r="3201" ht="15.75" hidden="1" customHeight="1">
      <c r="B3201" s="8">
        <v>3520.0</v>
      </c>
      <c r="C3201" s="9">
        <v>43164.0</v>
      </c>
      <c r="D3201" s="6" t="s">
        <v>4246</v>
      </c>
      <c r="E3201" s="4">
        <v>6.102000253E9</v>
      </c>
      <c r="F3201" s="8" t="s">
        <v>604</v>
      </c>
      <c r="G3201" s="4" t="s">
        <v>1777</v>
      </c>
      <c r="H3201" s="10" t="s">
        <v>4247</v>
      </c>
      <c r="I3201" s="10">
        <v>2000.0</v>
      </c>
      <c r="J3201" s="11" t="str">
        <f>IF(D3201&lt;&gt;"",VLOOKUP(H3201,TABLEITEM,5,FALSE),"")</f>
        <v>EA</v>
      </c>
      <c r="K3201" s="12">
        <v>2.73</v>
      </c>
      <c r="L3201" s="13" t="str">
        <f>IF(D3201&lt;&gt;"",VLOOKUP(H3201,TABLEITEM,2,FALSE),"")</f>
        <v/>
      </c>
      <c r="M3201" s="13" t="str">
        <f>IF(D3201&lt;&gt;"",VLOOKUP(H3201,TABLEITEM,3,FALSE),"")</f>
        <v>สกรูหัวเหลี่ยม M10x35  HDG</v>
      </c>
      <c r="N3201" s="14">
        <f>INSTOCK!$I3201*INSTOCK!$K3201</f>
        <v>5460</v>
      </c>
      <c r="O3201" s="4" t="s">
        <v>4248</v>
      </c>
      <c r="P3201" s="4"/>
    </row>
    <row r="3202" ht="15.75" hidden="1" customHeight="1">
      <c r="B3202" s="8">
        <v>3521.0</v>
      </c>
      <c r="C3202" s="9">
        <v>43164.0</v>
      </c>
      <c r="D3202" s="6" t="s">
        <v>4246</v>
      </c>
      <c r="E3202" s="4">
        <v>6.102000253E9</v>
      </c>
      <c r="F3202" s="8" t="s">
        <v>604</v>
      </c>
      <c r="G3202" s="4" t="s">
        <v>1777</v>
      </c>
      <c r="H3202" s="10" t="s">
        <v>2512</v>
      </c>
      <c r="I3202" s="10">
        <v>100.0</v>
      </c>
      <c r="J3202" s="11" t="str">
        <f>IF(D3202&lt;&gt;"",VLOOKUP(H3202,TABLEITEM,5,FALSE),"")</f>
        <v>EA</v>
      </c>
      <c r="K3202" s="12">
        <v>1.495</v>
      </c>
      <c r="L3202" s="13" t="str">
        <f>IF(D3202&lt;&gt;"",VLOOKUP(H3202,TABLEITEM,2,FALSE),"")</f>
        <v/>
      </c>
      <c r="M3202" s="13" t="str">
        <f>IF(D3202&lt;&gt;"",VLOOKUP(H3202,TABLEITEM,3,FALSE),"")</f>
        <v>หัวน้อต M10  HDG</v>
      </c>
      <c r="N3202" s="14">
        <f>INSTOCK!$I3202*INSTOCK!$K3202</f>
        <v>149.5</v>
      </c>
      <c r="O3202" s="4" t="s">
        <v>3711</v>
      </c>
      <c r="P3202" s="4"/>
    </row>
    <row r="3203" ht="15.75" hidden="1" customHeight="1">
      <c r="B3203" s="8">
        <v>3522.0</v>
      </c>
      <c r="C3203" s="9">
        <v>43162.0</v>
      </c>
      <c r="D3203" s="6" t="s">
        <v>4249</v>
      </c>
      <c r="E3203" s="4">
        <v>6.102000139E9</v>
      </c>
      <c r="F3203" s="8" t="s">
        <v>604</v>
      </c>
      <c r="G3203" s="4" t="s">
        <v>3099</v>
      </c>
      <c r="H3203" s="10" t="s">
        <v>2302</v>
      </c>
      <c r="I3203" s="10">
        <v>5000.0</v>
      </c>
      <c r="J3203" s="11" t="str">
        <f>IF(D3203&lt;&gt;"",VLOOKUP(H3203,TABLEITEM,5,FALSE),"")</f>
        <v>EA</v>
      </c>
      <c r="K3203" s="12">
        <v>2.19</v>
      </c>
      <c r="L3203" s="13" t="str">
        <f>IF(D3203&lt;&gt;"",VLOOKUP(H3203,TABLEITEM,2,FALSE),"")</f>
        <v/>
      </c>
      <c r="M3203" s="13" t="str">
        <f>IF(D3203&lt;&gt;"",VLOOKUP(H3203,TABLEITEM,3,FALSE),"")</f>
        <v>ไส้กลางบานพับชุบขาว</v>
      </c>
      <c r="N3203" s="14">
        <f>INSTOCK!$I3203*INSTOCK!$K3203</f>
        <v>10950</v>
      </c>
      <c r="O3203" s="4"/>
      <c r="P3203" s="4"/>
    </row>
    <row r="3204" ht="15.75" hidden="1" customHeight="1">
      <c r="B3204" s="8">
        <v>3523.0</v>
      </c>
      <c r="C3204" s="9">
        <v>43162.0</v>
      </c>
      <c r="D3204" s="6" t="s">
        <v>4250</v>
      </c>
      <c r="E3204" s="4"/>
      <c r="F3204" s="8"/>
      <c r="G3204" s="4" t="s">
        <v>3029</v>
      </c>
      <c r="H3204" s="10" t="s">
        <v>3030</v>
      </c>
      <c r="I3204" s="10">
        <v>1.0</v>
      </c>
      <c r="J3204" s="11" t="str">
        <f>IF(D3204&lt;&gt;"",VLOOKUP(H3204,TABLEITEM,5,FALSE),"")</f>
        <v>LOT</v>
      </c>
      <c r="K3204" s="12">
        <v>535.0</v>
      </c>
      <c r="L3204" s="13" t="str">
        <f>IF(D3204&lt;&gt;"",VLOOKUP(H3204,TABLEITEM,2,FALSE),"")</f>
        <v/>
      </c>
      <c r="M3204" s="13" t="str">
        <f>IF(D3204&lt;&gt;"",VLOOKUP(H3204,TABLEITEM,3,FALSE),"")</f>
        <v>ค่าชุบ ดีบุกเงา</v>
      </c>
      <c r="N3204" s="14">
        <f>INSTOCK!$I3204*INSTOCK!$K3204</f>
        <v>535</v>
      </c>
      <c r="O3204" s="4" t="s">
        <v>4251</v>
      </c>
      <c r="P3204" s="4"/>
    </row>
    <row r="3205" ht="15.75" hidden="1" customHeight="1">
      <c r="B3205" s="8">
        <v>3524.0</v>
      </c>
      <c r="C3205" s="9">
        <v>43162.0</v>
      </c>
      <c r="D3205" s="6" t="s">
        <v>4252</v>
      </c>
      <c r="E3205" s="4"/>
      <c r="F3205" s="8" t="s">
        <v>4253</v>
      </c>
      <c r="G3205" s="4" t="s">
        <v>1870</v>
      </c>
      <c r="H3205" s="10" t="s">
        <v>3224</v>
      </c>
      <c r="I3205" s="10">
        <v>9000.0</v>
      </c>
      <c r="J3205" s="11" t="str">
        <f>IF(D3205&lt;&gt;"",VLOOKUP(H3205,TABLEITEM,5,FALSE),"")</f>
        <v>EA</v>
      </c>
      <c r="K3205" s="12">
        <v>0.645</v>
      </c>
      <c r="L3205" s="13" t="str">
        <f>IF(D3205&lt;&gt;"",VLOOKUP(H3205,TABLEITEM,2,FALSE),"")</f>
        <v/>
      </c>
      <c r="M3205" s="13" t="str">
        <f>IF(D3205&lt;&gt;"",VLOOKUP(H3205,TABLEITEM,3,FALSE),"")</f>
        <v>สกรูหัวเหลี่ยมสเตนเลส M6x16</v>
      </c>
      <c r="N3205" s="14">
        <f>INSTOCK!$I3205*INSTOCK!$K3205</f>
        <v>5805</v>
      </c>
      <c r="O3205" s="4" t="s">
        <v>4254</v>
      </c>
      <c r="P3205" s="4"/>
    </row>
    <row r="3206" ht="15.75" hidden="1" customHeight="1">
      <c r="B3206" s="8">
        <v>3525.0</v>
      </c>
      <c r="C3206" s="9">
        <v>43162.0</v>
      </c>
      <c r="D3206" s="6" t="s">
        <v>4252</v>
      </c>
      <c r="E3206" s="4"/>
      <c r="F3206" s="8" t="s">
        <v>4253</v>
      </c>
      <c r="G3206" s="4" t="s">
        <v>1870</v>
      </c>
      <c r="H3206" s="10" t="s">
        <v>3226</v>
      </c>
      <c r="I3206" s="10">
        <v>20000.0</v>
      </c>
      <c r="J3206" s="11" t="str">
        <f>IF(D3206&lt;&gt;"",VLOOKUP(H3206,TABLEITEM,5,FALSE),"")</f>
        <v>EA</v>
      </c>
      <c r="K3206" s="12">
        <v>0.35</v>
      </c>
      <c r="L3206" s="13" t="str">
        <f>IF(D3206&lt;&gt;"",VLOOKUP(H3206,TABLEITEM,2,FALSE),"")</f>
        <v/>
      </c>
      <c r="M3206" s="13" t="str">
        <f>IF(D3206&lt;&gt;"",VLOOKUP(H3206,TABLEITEM,3,FALSE),"")</f>
        <v>หัวน็อต      สแตนเลส M6</v>
      </c>
      <c r="N3206" s="14">
        <f>INSTOCK!$I3206*INSTOCK!$K3206</f>
        <v>7000</v>
      </c>
      <c r="O3206" s="4" t="s">
        <v>4255</v>
      </c>
      <c r="P3206" s="4"/>
    </row>
    <row r="3207" ht="15.75" hidden="1" customHeight="1">
      <c r="B3207" s="8">
        <v>3526.0</v>
      </c>
      <c r="C3207" s="9">
        <v>43162.0</v>
      </c>
      <c r="D3207" s="6" t="s">
        <v>4252</v>
      </c>
      <c r="E3207" s="4"/>
      <c r="F3207" s="8" t="s">
        <v>4253</v>
      </c>
      <c r="G3207" s="4" t="s">
        <v>1870</v>
      </c>
      <c r="H3207" s="10" t="s">
        <v>2945</v>
      </c>
      <c r="I3207" s="10">
        <v>5000.0</v>
      </c>
      <c r="J3207" s="11" t="str">
        <f>IF(D3207&lt;&gt;"",VLOOKUP(H3207,TABLEITEM,5,FALSE),"")</f>
        <v>EA</v>
      </c>
      <c r="K3207" s="12">
        <v>0.2925</v>
      </c>
      <c r="L3207" s="13" t="str">
        <f>IF(D3207&lt;&gt;"",VLOOKUP(H3207,TABLEITEM,2,FALSE),"")</f>
        <v/>
      </c>
      <c r="M3207" s="13" t="str">
        <f>IF(D3207&lt;&gt;"",VLOOKUP(H3207,TABLEITEM,3,FALSE),"")</f>
        <v>ตะปูยิงรีเวท 6-5   3/16"x1/2"</v>
      </c>
      <c r="N3207" s="14">
        <f>INSTOCK!$I3207*INSTOCK!$K3207</f>
        <v>1462.5</v>
      </c>
      <c r="O3207" s="4" t="s">
        <v>4256</v>
      </c>
      <c r="P3207" s="4"/>
    </row>
    <row r="3208" ht="15.75" hidden="1" customHeight="1">
      <c r="B3208" s="8">
        <v>3527.0</v>
      </c>
      <c r="C3208" s="9">
        <v>43161.0</v>
      </c>
      <c r="D3208" s="6" t="s">
        <v>4257</v>
      </c>
      <c r="E3208" s="4"/>
      <c r="F3208" s="8" t="s">
        <v>604</v>
      </c>
      <c r="G3208" s="4" t="s">
        <v>3327</v>
      </c>
      <c r="H3208" s="18" t="s">
        <v>3762</v>
      </c>
      <c r="I3208" s="10">
        <v>10.0</v>
      </c>
      <c r="J3208" s="11" t="str">
        <f>IF(D3208&lt;&gt;"",VLOOKUP(H3208,TABLEITEM,5,FALSE),"")</f>
        <v>EA</v>
      </c>
      <c r="K3208" s="12">
        <v>42.06</v>
      </c>
      <c r="L3208" s="13" t="str">
        <f>IF(D3208&lt;&gt;"",VLOOKUP(H3208,TABLEITEM,2,FALSE),"")</f>
        <v/>
      </c>
      <c r="M3208" s="13" t="str">
        <f>IF(D3208&lt;&gt;"",VLOOKUP(H3208,TABLEITEM,3,FALSE),"")</f>
        <v>คาปาซิเตอร์ 3.5UF 450WV.AC</v>
      </c>
      <c r="N3208" s="14">
        <f>INSTOCK!$I3208*INSTOCK!$K3208</f>
        <v>420.6</v>
      </c>
      <c r="O3208" s="4"/>
      <c r="P3208" s="4"/>
    </row>
    <row r="3209" ht="15.75" hidden="1" customHeight="1">
      <c r="B3209" s="8">
        <v>3528.0</v>
      </c>
      <c r="C3209" s="9">
        <v>43161.0</v>
      </c>
      <c r="D3209" s="6" t="s">
        <v>4258</v>
      </c>
      <c r="E3209" s="4">
        <v>6.102000257E9</v>
      </c>
      <c r="F3209" s="8" t="s">
        <v>4259</v>
      </c>
      <c r="G3209" s="4" t="s">
        <v>4260</v>
      </c>
      <c r="H3209" s="10" t="s">
        <v>4261</v>
      </c>
      <c r="I3209" s="10">
        <v>1.0</v>
      </c>
      <c r="J3209" s="11" t="str">
        <f>IF(D3209&lt;&gt;"",VLOOKUP(H3209,TABLEITEM,5,FALSE),"")</f>
        <v>EA</v>
      </c>
      <c r="K3209" s="12">
        <v>21000.0</v>
      </c>
      <c r="L3209" s="13" t="str">
        <f>IF(D3209&lt;&gt;"",VLOOKUP(H3209,TABLEITEM,2,FALSE),"")</f>
        <v/>
      </c>
      <c r="M3209" s="13" t="str">
        <f>IF(D3209&lt;&gt;"",VLOOKUP(H3209,TABLEITEM,3,FALSE),"")</f>
        <v>ATS CONTROLLER COMPLETE OF FUNCTION OEC-01</v>
      </c>
      <c r="N3209" s="14">
        <f>INSTOCK!$I3209*INSTOCK!$K3209</f>
        <v>21000</v>
      </c>
      <c r="O3209" s="4"/>
      <c r="P3209" s="4"/>
    </row>
    <row r="3210" ht="15.75" hidden="1" customHeight="1">
      <c r="B3210" s="8">
        <v>3529.0</v>
      </c>
      <c r="C3210" s="9">
        <v>43161.0</v>
      </c>
      <c r="D3210" s="6" t="s">
        <v>4262</v>
      </c>
      <c r="E3210" s="4"/>
      <c r="F3210" s="8"/>
      <c r="G3210" s="4" t="s">
        <v>3029</v>
      </c>
      <c r="H3210" s="10" t="s">
        <v>3030</v>
      </c>
      <c r="I3210" s="10">
        <v>1.0</v>
      </c>
      <c r="J3210" s="11" t="str">
        <f>IF(D3210&lt;&gt;"",VLOOKUP(H3210,TABLEITEM,5,FALSE),"")</f>
        <v>LOT</v>
      </c>
      <c r="K3210" s="12">
        <v>535.0</v>
      </c>
      <c r="L3210" s="13" t="str">
        <f>IF(D3210&lt;&gt;"",VLOOKUP(H3210,TABLEITEM,2,FALSE),"")</f>
        <v/>
      </c>
      <c r="M3210" s="13" t="str">
        <f>IF(D3210&lt;&gt;"",VLOOKUP(H3210,TABLEITEM,3,FALSE),"")</f>
        <v>ค่าชุบ ดีบุกเงา</v>
      </c>
      <c r="N3210" s="14">
        <f>INSTOCK!$I3210*INSTOCK!$K3210</f>
        <v>535</v>
      </c>
      <c r="O3210" s="4" t="s">
        <v>4263</v>
      </c>
      <c r="P3210" s="4"/>
    </row>
    <row r="3211" ht="15.75" hidden="1" customHeight="1">
      <c r="B3211" s="8">
        <v>3530.0</v>
      </c>
      <c r="C3211" s="9">
        <v>43161.0</v>
      </c>
      <c r="D3211" s="6">
        <v>1.00101673E9</v>
      </c>
      <c r="E3211" s="4">
        <v>6.102000261E9</v>
      </c>
      <c r="F3211" s="8" t="s">
        <v>4264</v>
      </c>
      <c r="G3211" s="4" t="s">
        <v>4265</v>
      </c>
      <c r="H3211" s="10" t="s">
        <v>4266</v>
      </c>
      <c r="I3211" s="10">
        <v>10.0</v>
      </c>
      <c r="J3211" s="11" t="str">
        <f>IF(D3211&lt;&gt;"",VLOOKUP(H3211,TABLEITEM,5,FALSE),"")</f>
        <v>EA</v>
      </c>
      <c r="K3211" s="12">
        <v>1400.0</v>
      </c>
      <c r="L3211" s="13" t="str">
        <f>IF(D3211&lt;&gt;"",VLOOKUP(H3211,TABLEITEM,2,FALSE),"")</f>
        <v/>
      </c>
      <c r="M3211" s="13" t="str">
        <f>IF(D3211&lt;&gt;"",VLOOKUP(H3211,TABLEITEM,3,FALSE),"")</f>
        <v>TIME SWITCH QUARTZ </v>
      </c>
      <c r="N3211" s="14">
        <f>INSTOCK!$I3211*INSTOCK!$K3211</f>
        <v>14000</v>
      </c>
      <c r="O3211" s="4" t="s">
        <v>4267</v>
      </c>
      <c r="P3211" s="4"/>
    </row>
    <row r="3212" ht="15.75" hidden="1" customHeight="1">
      <c r="B3212" s="8">
        <v>3531.0</v>
      </c>
      <c r="C3212" s="9">
        <v>43161.0</v>
      </c>
      <c r="D3212" s="6" t="s">
        <v>4268</v>
      </c>
      <c r="E3212" s="4">
        <v>6.102000243E9</v>
      </c>
      <c r="F3212" s="8" t="s">
        <v>604</v>
      </c>
      <c r="G3212" s="4" t="s">
        <v>1274</v>
      </c>
      <c r="H3212" s="10" t="s">
        <v>21</v>
      </c>
      <c r="I3212" s="10">
        <v>300.0</v>
      </c>
      <c r="J3212" s="11" t="str">
        <f>IF(D3212&lt;&gt;"",VLOOKUP(H3212,TABLEITEM,5,FALSE),"")</f>
        <v>EA</v>
      </c>
      <c r="K3212" s="12">
        <v>45.0</v>
      </c>
      <c r="L3212" s="13" t="str">
        <f>IF(D3212&lt;&gt;"",VLOOKUP(H3212,TABLEITEM,2,FALSE),"")</f>
        <v/>
      </c>
      <c r="M3212" s="13" t="str">
        <f>IF(D3212&lt;&gt;"",VLOOKUP(H3212,TABLEITEM,3,FALSE),"")</f>
        <v>ใบหินเจียร์ 4'' </v>
      </c>
      <c r="N3212" s="14">
        <f>INSTOCK!$I3212*INSTOCK!$K3212</f>
        <v>13500</v>
      </c>
      <c r="O3212" s="4"/>
      <c r="P3212" s="4"/>
    </row>
    <row r="3213" ht="15.75" hidden="1" customHeight="1">
      <c r="B3213" s="8">
        <v>3532.0</v>
      </c>
      <c r="C3213" s="9">
        <v>43161.0</v>
      </c>
      <c r="D3213" s="6" t="s">
        <v>4269</v>
      </c>
      <c r="E3213" s="4">
        <v>6.102000266E9</v>
      </c>
      <c r="F3213" s="8" t="s">
        <v>4270</v>
      </c>
      <c r="G3213" s="4" t="s">
        <v>965</v>
      </c>
      <c r="H3213" s="10" t="s">
        <v>4271</v>
      </c>
      <c r="I3213" s="10">
        <v>2.0</v>
      </c>
      <c r="J3213" s="11" t="str">
        <f>IF(D3213&lt;&gt;"",VLOOKUP(H3213,TABLEITEM,5,FALSE),"")</f>
        <v>EA</v>
      </c>
      <c r="K3213" s="12">
        <v>100.0</v>
      </c>
      <c r="L3213" s="13" t="str">
        <f>IF(D3213&lt;&gt;"",VLOOKUP(H3213,TABLEITEM,2,FALSE),"")</f>
        <v/>
      </c>
      <c r="M3213" s="13" t="str">
        <f>IF(D3213&lt;&gt;"",VLOOKUP(H3213,TABLEITEM,3,FALSE),"")</f>
        <v>คีมผูกลวดปากเฉียง SOLO 6"</v>
      </c>
      <c r="N3213" s="14">
        <f>INSTOCK!$I3213*INSTOCK!$K3213</f>
        <v>200</v>
      </c>
      <c r="O3213" s="4"/>
      <c r="P3213" s="4"/>
    </row>
    <row r="3214" ht="15.75" hidden="1" customHeight="1">
      <c r="B3214" s="8">
        <v>3533.0</v>
      </c>
      <c r="C3214" s="9">
        <v>43161.0</v>
      </c>
      <c r="D3214" s="6" t="s">
        <v>4269</v>
      </c>
      <c r="E3214" s="4">
        <v>6.102000266E9</v>
      </c>
      <c r="F3214" s="8" t="s">
        <v>4270</v>
      </c>
      <c r="G3214" s="4" t="s">
        <v>965</v>
      </c>
      <c r="H3214" s="10" t="s">
        <v>2151</v>
      </c>
      <c r="I3214" s="10">
        <v>1.0</v>
      </c>
      <c r="J3214" s="11" t="str">
        <f>IF(D3214&lt;&gt;"",VLOOKUP(H3214,TABLEITEM,5,FALSE),"")</f>
        <v>EA</v>
      </c>
      <c r="K3214" s="12">
        <v>1600.0</v>
      </c>
      <c r="L3214" s="13" t="str">
        <f>IF(D3214&lt;&gt;"",VLOOKUP(H3214,TABLEITEM,2,FALSE),"")</f>
        <v/>
      </c>
      <c r="M3214" s="13" t="str">
        <f>IF(D3214&lt;&gt;"",VLOOKUP(H3214,TABLEITEM,3,FALSE),"")</f>
        <v>เครื่องเจียร์ 7-100 BOSCH</v>
      </c>
      <c r="N3214" s="14">
        <f>INSTOCK!$I3214*INSTOCK!$K3214</f>
        <v>1600</v>
      </c>
      <c r="O3214" s="4"/>
      <c r="P3214" s="4"/>
    </row>
    <row r="3215" ht="15.75" hidden="1" customHeight="1">
      <c r="B3215" s="8">
        <v>3534.0</v>
      </c>
      <c r="C3215" s="9">
        <v>43161.0</v>
      </c>
      <c r="D3215" s="6">
        <v>6.10300724E8</v>
      </c>
      <c r="E3215" s="4">
        <v>6.102000271E9</v>
      </c>
      <c r="F3215" s="8"/>
      <c r="G3215" s="4" t="s">
        <v>1130</v>
      </c>
      <c r="H3215" s="10" t="s">
        <v>4272</v>
      </c>
      <c r="I3215" s="10">
        <v>132.0</v>
      </c>
      <c r="J3215" s="11" t="str">
        <f>IF(D3215&lt;&gt;"",VLOOKUP(H3215,TABLEITEM,5,FALSE),"")</f>
        <v>EA</v>
      </c>
      <c r="K3215" s="12">
        <v>41.04</v>
      </c>
      <c r="L3215" s="13" t="str">
        <f>IF(D3215&lt;&gt;"",VLOOKUP(H3215,TABLEITEM,2,FALSE),"")</f>
        <v/>
      </c>
      <c r="M3215" s="13" t="str">
        <f>IF(D3215&lt;&gt;"",VLOOKUP(H3215,TABLEITEM,3,FALSE),"")</f>
        <v>เต้ารับเดี่ยว WEG-10919H</v>
      </c>
      <c r="N3215" s="14">
        <f>INSTOCK!$I3215*INSTOCK!$K3215</f>
        <v>5417.28</v>
      </c>
      <c r="O3215" s="4" t="s">
        <v>4273</v>
      </c>
      <c r="P3215" s="4"/>
    </row>
    <row r="3216" ht="15.75" hidden="1" customHeight="1">
      <c r="B3216" s="8">
        <v>3535.0</v>
      </c>
      <c r="C3216" s="9">
        <v>43161.0</v>
      </c>
      <c r="D3216" s="6">
        <v>6.10300724E8</v>
      </c>
      <c r="E3216" s="4">
        <v>6.102000271E9</v>
      </c>
      <c r="F3216" s="8"/>
      <c r="G3216" s="4" t="s">
        <v>1130</v>
      </c>
      <c r="H3216" s="10" t="s">
        <v>4274</v>
      </c>
      <c r="I3216" s="10">
        <v>102.0</v>
      </c>
      <c r="J3216" s="11" t="str">
        <f>IF(D3216&lt;&gt;"",VLOOKUP(H3216,TABLEITEM,5,FALSE),"")</f>
        <v>EA</v>
      </c>
      <c r="K3216" s="12">
        <v>102.6</v>
      </c>
      <c r="L3216" s="13" t="str">
        <f>IF(D3216&lt;&gt;"",VLOOKUP(H3216,TABLEITEM,2,FALSE),"")</f>
        <v/>
      </c>
      <c r="M3216" s="13" t="str">
        <f>IF(D3216&lt;&gt;"",VLOOKUP(H3216,TABLEITEM,3,FALSE),"")</f>
        <v>เต้ารับเดี่ยว WEG1191-HK 2P+G</v>
      </c>
      <c r="N3216" s="14">
        <f>INSTOCK!$I3216*INSTOCK!$K3216</f>
        <v>10465.2</v>
      </c>
      <c r="O3216" s="4" t="s">
        <v>4275</v>
      </c>
      <c r="P3216" s="4"/>
    </row>
    <row r="3217" ht="15.75" hidden="1" customHeight="1">
      <c r="B3217" s="8">
        <v>3536.0</v>
      </c>
      <c r="C3217" s="9">
        <v>43161.0</v>
      </c>
      <c r="D3217" s="6">
        <v>6.10300724E8</v>
      </c>
      <c r="E3217" s="4">
        <v>6.102000271E9</v>
      </c>
      <c r="F3217" s="8"/>
      <c r="G3217" s="4" t="s">
        <v>1130</v>
      </c>
      <c r="H3217" s="10" t="s">
        <v>1739</v>
      </c>
      <c r="I3217" s="10">
        <v>32.0</v>
      </c>
      <c r="J3217" s="11" t="str">
        <f>IF(D3217&lt;&gt;"",VLOOKUP(H3217,TABLEITEM,5,FALSE),"")</f>
        <v>EA</v>
      </c>
      <c r="K3217" s="12">
        <v>186.2</v>
      </c>
      <c r="L3217" s="13" t="str">
        <f>IF(D3217&lt;&gt;"",VLOOKUP(H3217,TABLEITEM,2,FALSE),"")</f>
        <v/>
      </c>
      <c r="M3217" s="13" t="str">
        <f>IF(D3217&lt;&gt;"",VLOOKUP(H3217,TABLEITEM,3,FALSE),"")</f>
        <v>ปลั๊กคู่มีกราวWEG 15929 2P+G</v>
      </c>
      <c r="N3217" s="14">
        <f>INSTOCK!$I3217*INSTOCK!$K3217</f>
        <v>5958.4</v>
      </c>
      <c r="O3217" s="4" t="s">
        <v>4276</v>
      </c>
      <c r="P3217" s="4"/>
    </row>
    <row r="3218" ht="15.75" hidden="1" customHeight="1">
      <c r="B3218" s="8">
        <v>3537.0</v>
      </c>
      <c r="C3218" s="9">
        <v>43161.0</v>
      </c>
      <c r="D3218" s="6">
        <v>6.10300724E8</v>
      </c>
      <c r="E3218" s="4">
        <v>6.102000271E9</v>
      </c>
      <c r="F3218" s="8"/>
      <c r="G3218" s="4" t="s">
        <v>1130</v>
      </c>
      <c r="H3218" s="10" t="s">
        <v>4277</v>
      </c>
      <c r="I3218" s="10">
        <v>44.0</v>
      </c>
      <c r="J3218" s="11" t="str">
        <f>IF(D3218&lt;&gt;"",VLOOKUP(H3218,TABLEITEM,5,FALSE),"")</f>
        <v>EA</v>
      </c>
      <c r="K3218" s="12">
        <v>171.0</v>
      </c>
      <c r="L3218" s="13" t="str">
        <f>IF(D3218&lt;&gt;"",VLOOKUP(H3218,TABLEITEM,2,FALSE),"")</f>
        <v/>
      </c>
      <c r="M3218" s="13" t="str">
        <f>IF(D3218&lt;&gt;"",VLOOKUP(H3218,TABLEITEM,3,FALSE),"")</f>
        <v>ปลั๊กกราวคู่ WEG15929H </v>
      </c>
      <c r="N3218" s="14">
        <f>INSTOCK!$I3218*INSTOCK!$K3218</f>
        <v>7524</v>
      </c>
      <c r="O3218" s="4" t="s">
        <v>4278</v>
      </c>
      <c r="P3218" s="4"/>
    </row>
    <row r="3219" ht="15.75" hidden="1" customHeight="1">
      <c r="B3219" s="8">
        <v>3538.0</v>
      </c>
      <c r="C3219" s="9">
        <v>43161.0</v>
      </c>
      <c r="D3219" s="6">
        <v>6.10300724E8</v>
      </c>
      <c r="E3219" s="4">
        <v>6.102000271E9</v>
      </c>
      <c r="F3219" s="8"/>
      <c r="G3219" s="4" t="s">
        <v>1130</v>
      </c>
      <c r="H3219" s="10" t="s">
        <v>4279</v>
      </c>
      <c r="I3219" s="10">
        <v>42.0</v>
      </c>
      <c r="J3219" s="11" t="str">
        <f>IF(D3219&lt;&gt;"",VLOOKUP(H3219,TABLEITEM,5,FALSE),"")</f>
        <v>EA</v>
      </c>
      <c r="K3219" s="12">
        <v>288.8</v>
      </c>
      <c r="L3219" s="13" t="str">
        <f>IF(D3219&lt;&gt;"",VLOOKUP(H3219,TABLEITEM,2,FALSE),"")</f>
        <v/>
      </c>
      <c r="M3219" s="13" t="str">
        <f>IF(D3219&lt;&gt;"",VLOOKUP(H3219,TABLEITEM,3,FALSE),"")</f>
        <v>เต้ารับคอม CAT6 WEG24886H</v>
      </c>
      <c r="N3219" s="14">
        <f>INSTOCK!$I3219*INSTOCK!$K3219</f>
        <v>12129.6</v>
      </c>
      <c r="O3219" s="4" t="s">
        <v>4280</v>
      </c>
      <c r="P3219" s="4"/>
    </row>
    <row r="3220" ht="15.75" hidden="1" customHeight="1">
      <c r="B3220" s="8">
        <v>3539.0</v>
      </c>
      <c r="C3220" s="9">
        <v>43161.0</v>
      </c>
      <c r="D3220" s="6">
        <v>6.10300724E8</v>
      </c>
      <c r="E3220" s="4">
        <v>6.102000271E9</v>
      </c>
      <c r="F3220" s="8"/>
      <c r="G3220" s="4" t="s">
        <v>1130</v>
      </c>
      <c r="H3220" s="10" t="s">
        <v>2364</v>
      </c>
      <c r="I3220" s="10">
        <v>76.0</v>
      </c>
      <c r="J3220" s="11" t="str">
        <f>IF(D3220&lt;&gt;"",VLOOKUP(H3220,TABLEITEM,5,FALSE),"")</f>
        <v>EA</v>
      </c>
      <c r="K3220" s="12">
        <v>34.2</v>
      </c>
      <c r="L3220" s="13" t="str">
        <f>IF(D3220&lt;&gt;"",VLOOKUP(H3220,TABLEITEM,2,FALSE),"")</f>
        <v/>
      </c>
      <c r="M3220" s="13" t="str">
        <f>IF(D3220&lt;&gt;"",VLOOKUP(H3220,TABLEITEM,3,FALSE),"")</f>
        <v>ฝาพลาสติก 1 ช่อง WEG-6801K</v>
      </c>
      <c r="N3220" s="14">
        <f>INSTOCK!$I3220*INSTOCK!$K3220</f>
        <v>2599.2</v>
      </c>
      <c r="O3220" s="4" t="s">
        <v>4281</v>
      </c>
      <c r="P3220" s="4"/>
    </row>
    <row r="3221" ht="15.75" hidden="1" customHeight="1">
      <c r="B3221" s="8">
        <v>3540.0</v>
      </c>
      <c r="C3221" s="9">
        <v>43161.0</v>
      </c>
      <c r="D3221" s="6">
        <v>6.10300724E8</v>
      </c>
      <c r="E3221" s="4">
        <v>6.102000271E9</v>
      </c>
      <c r="F3221" s="8"/>
      <c r="G3221" s="4" t="s">
        <v>1130</v>
      </c>
      <c r="H3221" s="10" t="s">
        <v>4282</v>
      </c>
      <c r="I3221" s="10">
        <v>192.0</v>
      </c>
      <c r="J3221" s="11" t="str">
        <f>IF(D3221&lt;&gt;"",VLOOKUP(H3221,TABLEITEM,5,FALSE),"")</f>
        <v>EA</v>
      </c>
      <c r="K3221" s="12">
        <v>34.199</v>
      </c>
      <c r="L3221" s="13" t="str">
        <f>IF(D3221&lt;&gt;"",VLOOKUP(H3221,TABLEITEM,2,FALSE),"")</f>
        <v/>
      </c>
      <c r="M3221" s="13" t="str">
        <f>IF(D3221&lt;&gt;"",VLOOKUP(H3221,TABLEITEM,3,FALSE),"")</f>
        <v>ฝา WEG -6801MB </v>
      </c>
      <c r="N3221" s="14">
        <f>INSTOCK!$I3221*INSTOCK!$K3221</f>
        <v>6566.208</v>
      </c>
      <c r="O3221" s="4" t="s">
        <v>4281</v>
      </c>
      <c r="P3221" s="4"/>
    </row>
    <row r="3222" ht="15.75" hidden="1" customHeight="1">
      <c r="B3222" s="8">
        <v>3541.0</v>
      </c>
      <c r="C3222" s="9">
        <v>43161.0</v>
      </c>
      <c r="D3222" s="6">
        <v>6.10300724E8</v>
      </c>
      <c r="E3222" s="4">
        <v>6.102000271E9</v>
      </c>
      <c r="F3222" s="8"/>
      <c r="G3222" s="4" t="s">
        <v>1130</v>
      </c>
      <c r="H3222" s="10" t="s">
        <v>4283</v>
      </c>
      <c r="I3222" s="10">
        <v>228.0</v>
      </c>
      <c r="J3222" s="11" t="str">
        <f>IF(D3222&lt;&gt;"",VLOOKUP(H3222,TABLEITEM,5,FALSE),"")</f>
        <v>EA</v>
      </c>
      <c r="K3222" s="12">
        <v>34.1991</v>
      </c>
      <c r="L3222" s="13" t="str">
        <f>IF(D3222&lt;&gt;"",VLOOKUP(H3222,TABLEITEM,2,FALSE),"")</f>
        <v/>
      </c>
      <c r="M3222" s="13" t="str">
        <f>IF(D3222&lt;&gt;"",VLOOKUP(H3222,TABLEITEM,3,FALSE),"")</f>
        <v>ฝาพลาสติก 2ช่อง WEG6803MB</v>
      </c>
      <c r="N3222" s="14">
        <f>INSTOCK!$I3222*INSTOCK!$K3222</f>
        <v>7797.3948</v>
      </c>
      <c r="O3222" s="4" t="s">
        <v>4281</v>
      </c>
      <c r="P3222" s="4"/>
    </row>
    <row r="3223" ht="15.75" hidden="1" customHeight="1">
      <c r="B3223" s="8">
        <v>3542.0</v>
      </c>
      <c r="C3223" s="9">
        <v>43161.0</v>
      </c>
      <c r="D3223" s="6">
        <v>6.10300724E8</v>
      </c>
      <c r="E3223" s="4">
        <v>6.102000271E9</v>
      </c>
      <c r="F3223" s="8"/>
      <c r="G3223" s="4" t="s">
        <v>1130</v>
      </c>
      <c r="H3223" s="10" t="s">
        <v>4284</v>
      </c>
      <c r="I3223" s="10">
        <v>181.0</v>
      </c>
      <c r="J3223" s="11" t="str">
        <f>IF(D3223&lt;&gt;"",VLOOKUP(H3223,TABLEITEM,5,FALSE),"")</f>
        <v>EA</v>
      </c>
      <c r="K3223" s="12">
        <v>45.6</v>
      </c>
      <c r="L3223" s="13" t="str">
        <f>IF(D3223&lt;&gt;"",VLOOKUP(H3223,TABLEITEM,2,FALSE),"")</f>
        <v/>
      </c>
      <c r="M3223" s="13" t="str">
        <f>IF(D3223&lt;&gt;"",VLOOKUP(H3223,TABLEITEM,3,FALSE),"")</f>
        <v>สวิทซ์ทางเดียว WEG-5001HK</v>
      </c>
      <c r="N3223" s="14">
        <f>INSTOCK!$I3223*INSTOCK!$K3223</f>
        <v>8253.6</v>
      </c>
      <c r="O3223" s="4" t="s">
        <v>4285</v>
      </c>
      <c r="P3223" s="4"/>
    </row>
    <row r="3224" ht="15.75" hidden="1" customHeight="1">
      <c r="B3224" s="8">
        <v>3543.0</v>
      </c>
      <c r="C3224" s="9">
        <v>43161.0</v>
      </c>
      <c r="D3224" s="6">
        <v>6.10300724E8</v>
      </c>
      <c r="E3224" s="4">
        <v>6.102000271E9</v>
      </c>
      <c r="F3224" s="8"/>
      <c r="G3224" s="4" t="s">
        <v>1130</v>
      </c>
      <c r="H3224" s="10" t="s">
        <v>4286</v>
      </c>
      <c r="I3224" s="10">
        <v>176.0</v>
      </c>
      <c r="J3224" s="11" t="str">
        <f>IF(D3224&lt;&gt;"",VLOOKUP(H3224,TABLEITEM,5,FALSE),"")</f>
        <v>EA</v>
      </c>
      <c r="K3224" s="12">
        <v>68.4</v>
      </c>
      <c r="L3224" s="13" t="str">
        <f>IF(D3224&lt;&gt;"",VLOOKUP(H3224,TABLEITEM,2,FALSE),"")</f>
        <v/>
      </c>
      <c r="M3224" s="13" t="str">
        <f>IF(D3224&lt;&gt;"",VLOOKUP(H3224,TABLEITEM,3,FALSE),"")</f>
        <v>สวิทซ์สามทางสีเทา WEG5002HK</v>
      </c>
      <c r="N3224" s="14">
        <f>INSTOCK!$I3224*INSTOCK!$K3224</f>
        <v>12038.4</v>
      </c>
      <c r="O3224" s="4" t="s">
        <v>4287</v>
      </c>
      <c r="P3224" s="4"/>
    </row>
    <row r="3225" ht="15.75" hidden="1" customHeight="1">
      <c r="B3225" s="8">
        <v>3544.0</v>
      </c>
      <c r="C3225" s="9">
        <v>43161.0</v>
      </c>
      <c r="D3225" s="6">
        <v>6.10300724E8</v>
      </c>
      <c r="E3225" s="4">
        <v>6.102000271E9</v>
      </c>
      <c r="F3225" s="8"/>
      <c r="G3225" s="4" t="s">
        <v>1130</v>
      </c>
      <c r="H3225" s="10" t="s">
        <v>4282</v>
      </c>
      <c r="I3225" s="10">
        <v>44.0</v>
      </c>
      <c r="J3225" s="11" t="str">
        <f>IF(D3225&lt;&gt;"",VLOOKUP(H3225,TABLEITEM,5,FALSE),"")</f>
        <v>EA</v>
      </c>
      <c r="K3225" s="12">
        <v>34.2</v>
      </c>
      <c r="L3225" s="13" t="str">
        <f>IF(D3225&lt;&gt;"",VLOOKUP(H3225,TABLEITEM,2,FALSE),"")</f>
        <v/>
      </c>
      <c r="M3225" s="13" t="str">
        <f>IF(D3225&lt;&gt;"",VLOOKUP(H3225,TABLEITEM,3,FALSE),"")</f>
        <v>ฝา WEG -6801MB </v>
      </c>
      <c r="N3225" s="14">
        <f>INSTOCK!$I3225*INSTOCK!$K3225</f>
        <v>1504.8</v>
      </c>
      <c r="O3225" s="4" t="s">
        <v>4281</v>
      </c>
      <c r="P3225" s="4"/>
    </row>
    <row r="3226" ht="15.75" hidden="1" customHeight="1">
      <c r="B3226" s="8">
        <v>3545.0</v>
      </c>
      <c r="C3226" s="9">
        <v>43161.0</v>
      </c>
      <c r="D3226" s="6">
        <v>6.10300724E8</v>
      </c>
      <c r="E3226" s="4">
        <v>6.102000271E9</v>
      </c>
      <c r="F3226" s="8"/>
      <c r="G3226" s="4" t="s">
        <v>1130</v>
      </c>
      <c r="H3226" s="10" t="s">
        <v>4288</v>
      </c>
      <c r="I3226" s="10">
        <v>39.0</v>
      </c>
      <c r="J3226" s="11" t="str">
        <f>IF(D3226&lt;&gt;"",VLOOKUP(H3226,TABLEITEM,5,FALSE),"")</f>
        <v>EA</v>
      </c>
      <c r="K3226" s="12">
        <v>205.2</v>
      </c>
      <c r="L3226" s="13" t="str">
        <f>IF(D3226&lt;&gt;"",VLOOKUP(H3226,TABLEITEM,2,FALSE),"")</f>
        <v/>
      </c>
      <c r="M3226" s="13" t="str">
        <f>IF(D3226&lt;&gt;"",VLOOKUP(H3226,TABLEITEM,3,FALSE),"")</f>
        <v>ปลั๊กโทรศัพท์ WEG2164H</v>
      </c>
      <c r="N3226" s="14">
        <f>INSTOCK!$I3226*INSTOCK!$K3226</f>
        <v>8002.8</v>
      </c>
      <c r="O3226" s="4" t="s">
        <v>4289</v>
      </c>
      <c r="P3226" s="4"/>
    </row>
    <row r="3227" ht="15.75" hidden="1" customHeight="1">
      <c r="B3227" s="8">
        <v>3546.0</v>
      </c>
      <c r="C3227" s="9">
        <v>43161.0</v>
      </c>
      <c r="D3227" s="6" t="s">
        <v>4290</v>
      </c>
      <c r="E3227" s="4">
        <v>6.102000254E9</v>
      </c>
      <c r="F3227" s="8" t="s">
        <v>604</v>
      </c>
      <c r="G3227" s="4" t="s">
        <v>1611</v>
      </c>
      <c r="H3227" s="10" t="s">
        <v>188</v>
      </c>
      <c r="I3227" s="10">
        <v>600.0</v>
      </c>
      <c r="J3227" s="11" t="str">
        <f>IF(D3227&lt;&gt;"",VLOOKUP(H3227,TABLEITEM,5,FALSE),"")</f>
        <v>EA</v>
      </c>
      <c r="K3227" s="12">
        <v>9.0</v>
      </c>
      <c r="L3227" s="13" t="str">
        <f>IF(D3227&lt;&gt;"",VLOOKUP(H3227,TABLEITEM,2,FALSE),"")</f>
        <v/>
      </c>
      <c r="M3227" s="13" t="str">
        <f>IF(D3227&lt;&gt;"",VLOOKUP(H3227,TABLEITEM,3,FALSE),"")</f>
        <v>TERMINAL BLOCK TX10</v>
      </c>
      <c r="N3227" s="14">
        <f>INSTOCK!$I3227*INSTOCK!$K3227</f>
        <v>5400</v>
      </c>
      <c r="O3227" s="4"/>
      <c r="P3227" s="4"/>
    </row>
    <row r="3228" ht="15.75" hidden="1" customHeight="1">
      <c r="B3228" s="8">
        <v>3547.0</v>
      </c>
      <c r="C3228" s="9">
        <v>43161.0</v>
      </c>
      <c r="D3228" s="6" t="s">
        <v>4290</v>
      </c>
      <c r="E3228" s="4">
        <v>6.102000254E9</v>
      </c>
      <c r="F3228" s="8" t="s">
        <v>604</v>
      </c>
      <c r="G3228" s="4" t="s">
        <v>1611</v>
      </c>
      <c r="H3228" s="10" t="s">
        <v>200</v>
      </c>
      <c r="I3228" s="10">
        <v>400.0</v>
      </c>
      <c r="J3228" s="11" t="str">
        <f>IF(D3228&lt;&gt;"",VLOOKUP(H3228,TABLEITEM,5,FALSE),"")</f>
        <v>EA</v>
      </c>
      <c r="K3228" s="12">
        <v>16.0</v>
      </c>
      <c r="L3228" s="13" t="str">
        <f>IF(D3228&lt;&gt;"",VLOOKUP(H3228,TABLEITEM,2,FALSE),"")</f>
        <v/>
      </c>
      <c r="M3228" s="13" t="str">
        <f>IF(D3228&lt;&gt;"",VLOOKUP(H3228,TABLEITEM,3,FALSE),"")</f>
        <v>STOPPER TXE2</v>
      </c>
      <c r="N3228" s="14">
        <f>INSTOCK!$I3228*INSTOCK!$K3228</f>
        <v>6400</v>
      </c>
      <c r="O3228" s="4"/>
      <c r="P3228" s="4"/>
    </row>
    <row r="3229" ht="15.75" hidden="1" customHeight="1">
      <c r="B3229" s="8">
        <v>3548.0</v>
      </c>
      <c r="C3229" s="9">
        <v>43161.0</v>
      </c>
      <c r="D3229" s="6" t="s">
        <v>4291</v>
      </c>
      <c r="E3229" s="4" t="s">
        <v>4292</v>
      </c>
      <c r="F3229" s="8" t="s">
        <v>4293</v>
      </c>
      <c r="G3229" s="4" t="s">
        <v>1904</v>
      </c>
      <c r="H3229" s="10" t="s">
        <v>4294</v>
      </c>
      <c r="I3229" s="10">
        <v>1.0</v>
      </c>
      <c r="J3229" s="11" t="str">
        <f>IF(D3229&lt;&gt;"",VLOOKUP(H3229,TABLEITEM,5,FALSE),"")</f>
        <v>EA</v>
      </c>
      <c r="K3229" s="12">
        <v>10271.25</v>
      </c>
      <c r="L3229" s="13" t="str">
        <f>IF(D3229&lt;&gt;"",VLOOKUP(H3229,TABLEITEM,2,FALSE),"")</f>
        <v/>
      </c>
      <c r="M3229" s="13" t="str">
        <f>IF(D3229&lt;&gt;"",VLOOKUP(H3229,TABLEITEM,3,FALSE),"")</f>
        <v>BREAKER BW630RAG-CE 3P 630A</v>
      </c>
      <c r="N3229" s="14">
        <f>INSTOCK!$I3229*INSTOCK!$K3229</f>
        <v>10271.25</v>
      </c>
      <c r="O3229" s="4" t="s">
        <v>4295</v>
      </c>
      <c r="P3229" s="4"/>
    </row>
    <row r="3230" ht="15.75" hidden="1" customHeight="1">
      <c r="B3230" s="8">
        <v>3549.0</v>
      </c>
      <c r="C3230" s="9">
        <v>43161.0</v>
      </c>
      <c r="D3230" s="6" t="s">
        <v>4291</v>
      </c>
      <c r="E3230" s="4" t="s">
        <v>4292</v>
      </c>
      <c r="F3230" s="8" t="s">
        <v>4293</v>
      </c>
      <c r="G3230" s="4" t="s">
        <v>1904</v>
      </c>
      <c r="H3230" s="10" t="s">
        <v>4296</v>
      </c>
      <c r="I3230" s="10">
        <v>3.0</v>
      </c>
      <c r="J3230" s="11" t="str">
        <f>IF(D3230&lt;&gt;"",VLOOKUP(H3230,TABLEITEM,5,FALSE),"")</f>
        <v>EA</v>
      </c>
      <c r="K3230" s="12">
        <v>381.5</v>
      </c>
      <c r="L3230" s="13" t="str">
        <f>IF(D3230&lt;&gt;"",VLOOKUP(H3230,TABLEITEM,2,FALSE),"")</f>
        <v/>
      </c>
      <c r="M3230" s="13" t="str">
        <f>IF(D3230&lt;&gt;"",VLOOKUP(H3230,TABLEITEM,3,FALSE),"")</f>
        <v>PILOT LIGHT APW126D-W 22mm</v>
      </c>
      <c r="N3230" s="14">
        <f>INSTOCK!$I3230*INSTOCK!$K3230</f>
        <v>1144.5</v>
      </c>
      <c r="O3230" s="4" t="s">
        <v>4297</v>
      </c>
      <c r="P3230" s="4"/>
    </row>
    <row r="3231" ht="15.75" hidden="1" customHeight="1">
      <c r="B3231" s="8">
        <v>3550.0</v>
      </c>
      <c r="C3231" s="9">
        <v>43161.0</v>
      </c>
      <c r="D3231" s="6" t="s">
        <v>4291</v>
      </c>
      <c r="E3231" s="4" t="s">
        <v>4292</v>
      </c>
      <c r="F3231" s="8" t="s">
        <v>4293</v>
      </c>
      <c r="G3231" s="4" t="s">
        <v>1904</v>
      </c>
      <c r="H3231" s="10" t="s">
        <v>4298</v>
      </c>
      <c r="I3231" s="10">
        <v>2.0</v>
      </c>
      <c r="J3231" s="11" t="str">
        <f>IF(D3231&lt;&gt;"",VLOOKUP(H3231,TABLEITEM,5,FALSE),"")</f>
        <v>EA</v>
      </c>
      <c r="K3231" s="12">
        <v>1260.0</v>
      </c>
      <c r="L3231" s="13" t="str">
        <f>IF(D3231&lt;&gt;"",VLOOKUP(H3231,TABLEITEM,2,FALSE),"")</f>
        <v/>
      </c>
      <c r="M3231" s="13" t="str">
        <f>IF(D3231&lt;&gt;"",VLOOKUP(H3231,TABLEITEM,3,FALSE),"")</f>
        <v>TIMER MIL72E/1 TACTIC 211.2</v>
      </c>
      <c r="N3231" s="14">
        <f>INSTOCK!$I3231*INSTOCK!$K3231</f>
        <v>2520</v>
      </c>
      <c r="O3231" s="4" t="s">
        <v>4299</v>
      </c>
      <c r="P3231" s="4"/>
    </row>
    <row r="3232" ht="15.75" hidden="1" customHeight="1">
      <c r="B3232" s="8">
        <v>3551.0</v>
      </c>
      <c r="C3232" s="9">
        <v>43160.0</v>
      </c>
      <c r="D3232" s="6" t="s">
        <v>4300</v>
      </c>
      <c r="E3232" s="4">
        <v>6.102000265E9</v>
      </c>
      <c r="F3232" s="8" t="s">
        <v>4147</v>
      </c>
      <c r="G3232" s="4" t="s">
        <v>3541</v>
      </c>
      <c r="H3232" s="10" t="s">
        <v>4301</v>
      </c>
      <c r="I3232" s="10">
        <v>1.0</v>
      </c>
      <c r="J3232" s="11" t="str">
        <f>IF(D3232&lt;&gt;"",VLOOKUP(H3232,TABLEITEM,5,FALSE),"")</f>
        <v>EA</v>
      </c>
      <c r="K3232" s="12">
        <v>1460.0</v>
      </c>
      <c r="L3232" s="13" t="str">
        <f>IF(D3232&lt;&gt;"",VLOOKUP(H3232,TABLEITEM,2,FALSE),"")</f>
        <v/>
      </c>
      <c r="M3232" s="13" t="str">
        <f>IF(D3232&lt;&gt;"",VLOOKUP(H3232,TABLEITEM,3,FALSE),"")</f>
        <v>TMAX-XT1N160 TMD50 3P 36KA</v>
      </c>
      <c r="N3232" s="14">
        <f>INSTOCK!$I3232*INSTOCK!$K3232</f>
        <v>1460</v>
      </c>
      <c r="O3232" s="4" t="s">
        <v>4302</v>
      </c>
      <c r="P3232" s="4"/>
    </row>
    <row r="3233" ht="15.75" hidden="1" customHeight="1">
      <c r="B3233" s="8">
        <v>3552.0</v>
      </c>
      <c r="C3233" s="9">
        <v>43160.0</v>
      </c>
      <c r="D3233" s="6" t="s">
        <v>4300</v>
      </c>
      <c r="E3233" s="4">
        <v>6.102000265E9</v>
      </c>
      <c r="F3233" s="8" t="s">
        <v>4147</v>
      </c>
      <c r="G3233" s="4" t="s">
        <v>3541</v>
      </c>
      <c r="H3233" s="10" t="s">
        <v>4303</v>
      </c>
      <c r="I3233" s="10">
        <v>14.0</v>
      </c>
      <c r="J3233" s="11" t="str">
        <f>IF(D3233&lt;&gt;"",VLOOKUP(H3233,TABLEITEM,5,FALSE),"")</f>
        <v>EA</v>
      </c>
      <c r="K3233" s="12">
        <v>1460.0</v>
      </c>
      <c r="L3233" s="13" t="str">
        <f>IF(D3233&lt;&gt;"",VLOOKUP(H3233,TABLEITEM,2,FALSE),"")</f>
        <v/>
      </c>
      <c r="M3233" s="13" t="str">
        <f>IF(D3233&lt;&gt;"",VLOOKUP(H3233,TABLEITEM,3,FALSE),"")</f>
        <v>TMAX-XT1N160 TMD32 3P 36KA</v>
      </c>
      <c r="N3233" s="14">
        <f>INSTOCK!$I3233*INSTOCK!$K3233</f>
        <v>20440</v>
      </c>
      <c r="O3233" s="4" t="s">
        <v>4302</v>
      </c>
      <c r="P3233" s="4"/>
    </row>
    <row r="3234" ht="15.75" hidden="1" customHeight="1">
      <c r="B3234" s="8">
        <v>3553.0</v>
      </c>
      <c r="C3234" s="9">
        <v>43160.0</v>
      </c>
      <c r="D3234" s="6" t="s">
        <v>4300</v>
      </c>
      <c r="E3234" s="4">
        <v>6.102000265E9</v>
      </c>
      <c r="F3234" s="8" t="s">
        <v>4147</v>
      </c>
      <c r="G3234" s="4" t="s">
        <v>3541</v>
      </c>
      <c r="H3234" s="10" t="s">
        <v>4304</v>
      </c>
      <c r="I3234" s="10">
        <v>6.0</v>
      </c>
      <c r="J3234" s="11" t="str">
        <f>IF(D3234&lt;&gt;"",VLOOKUP(H3234,TABLEITEM,5,FALSE),"")</f>
        <v>EA</v>
      </c>
      <c r="K3234" s="12">
        <v>299.25</v>
      </c>
      <c r="L3234" s="13" t="str">
        <f>IF(D3234&lt;&gt;"",VLOOKUP(H3234,TABLEITEM,2,FALSE),"")</f>
        <v/>
      </c>
      <c r="M3234" s="13" t="str">
        <f>IF(D3234&lt;&gt;"",VLOOKUP(H3234,TABLEITEM,3,FALSE),"")</f>
        <v>MCB S202M-C6 2P C6</v>
      </c>
      <c r="N3234" s="14">
        <f>INSTOCK!$I3234*INSTOCK!$K3234</f>
        <v>1795.5</v>
      </c>
      <c r="O3234" s="4" t="s">
        <v>4305</v>
      </c>
      <c r="P3234" s="4"/>
    </row>
    <row r="3235" ht="15.75" hidden="1" customHeight="1">
      <c r="B3235" s="8">
        <v>3554.0</v>
      </c>
      <c r="C3235" s="9">
        <v>43160.0</v>
      </c>
      <c r="D3235" s="6" t="s">
        <v>4300</v>
      </c>
      <c r="E3235" s="4">
        <v>6.102000265E9</v>
      </c>
      <c r="F3235" s="8" t="s">
        <v>4147</v>
      </c>
      <c r="G3235" s="4" t="s">
        <v>3541</v>
      </c>
      <c r="H3235" s="10" t="s">
        <v>4306</v>
      </c>
      <c r="I3235" s="10">
        <v>1.0</v>
      </c>
      <c r="J3235" s="11" t="str">
        <f>IF(D3235&lt;&gt;"",VLOOKUP(H3235,TABLEITEM,5,FALSE),"")</f>
        <v>EA</v>
      </c>
      <c r="K3235" s="12">
        <v>1460.0</v>
      </c>
      <c r="L3235" s="13" t="str">
        <f>IF(D3235&lt;&gt;"",VLOOKUP(H3235,TABLEITEM,2,FALSE),"")</f>
        <v/>
      </c>
      <c r="M3235" s="13" t="str">
        <f>IF(D3235&lt;&gt;"",VLOOKUP(H3235,TABLEITEM,3,FALSE),"")</f>
        <v>TMAX-XT1N160 TMD100 3P 36KA</v>
      </c>
      <c r="N3235" s="14">
        <f>INSTOCK!$I3235*INSTOCK!$K3235</f>
        <v>1460</v>
      </c>
      <c r="O3235" s="4" t="s">
        <v>4302</v>
      </c>
      <c r="P3235" s="4"/>
    </row>
    <row r="3236" ht="15.75" hidden="1" customHeight="1">
      <c r="B3236" s="8">
        <v>3555.0</v>
      </c>
      <c r="C3236" s="9">
        <v>43160.0</v>
      </c>
      <c r="D3236" s="6" t="s">
        <v>4300</v>
      </c>
      <c r="E3236" s="4">
        <v>6.102000265E9</v>
      </c>
      <c r="F3236" s="8" t="s">
        <v>4147</v>
      </c>
      <c r="G3236" s="4" t="s">
        <v>3541</v>
      </c>
      <c r="H3236" s="10" t="s">
        <v>4307</v>
      </c>
      <c r="I3236" s="10">
        <v>6.0</v>
      </c>
      <c r="J3236" s="11" t="str">
        <f>IF(D3236&lt;&gt;"",VLOOKUP(H3236,TABLEITEM,5,FALSE),"")</f>
        <v>EA</v>
      </c>
      <c r="K3236" s="12">
        <v>860.0</v>
      </c>
      <c r="L3236" s="13" t="str">
        <f>IF(D3236&lt;&gt;"",VLOOKUP(H3236,TABLEITEM,2,FALSE),"")</f>
        <v/>
      </c>
      <c r="M3236" s="13" t="str">
        <f>IF(D3236&lt;&gt;"",VLOOKUP(H3236,TABLEITEM,3,FALSE),"")</f>
        <v>MCCB A1N125 TMF20 1P</v>
      </c>
      <c r="N3236" s="14">
        <f>INSTOCK!$I3236*INSTOCK!$K3236</f>
        <v>5160</v>
      </c>
      <c r="O3236" s="4" t="s">
        <v>2243</v>
      </c>
      <c r="P3236" s="4"/>
    </row>
    <row r="3237" ht="15.75" hidden="1" customHeight="1">
      <c r="B3237" s="8">
        <v>3556.0</v>
      </c>
      <c r="C3237" s="9">
        <v>43160.0</v>
      </c>
      <c r="D3237" s="6" t="s">
        <v>4300</v>
      </c>
      <c r="E3237" s="4">
        <v>6.102000265E9</v>
      </c>
      <c r="F3237" s="8" t="s">
        <v>4147</v>
      </c>
      <c r="G3237" s="4" t="s">
        <v>3541</v>
      </c>
      <c r="H3237" s="10" t="s">
        <v>4308</v>
      </c>
      <c r="I3237" s="10">
        <v>1.0</v>
      </c>
      <c r="J3237" s="11" t="str">
        <f>IF(D3237&lt;&gt;"",VLOOKUP(H3237,TABLEITEM,5,FALSE),"")</f>
        <v>EA</v>
      </c>
      <c r="K3237" s="12">
        <v>860.0</v>
      </c>
      <c r="L3237" s="13" t="str">
        <f>IF(D3237&lt;&gt;"",VLOOKUP(H3237,TABLEITEM,2,FALSE),"")</f>
        <v/>
      </c>
      <c r="M3237" s="13" t="str">
        <f>IF(D3237&lt;&gt;"",VLOOKUP(H3237,TABLEITEM,3,FALSE),"")</f>
        <v>MCCB A1N125 TMF30 1P</v>
      </c>
      <c r="N3237" s="14">
        <f>INSTOCK!$I3237*INSTOCK!$K3237</f>
        <v>860</v>
      </c>
      <c r="O3237" s="4" t="s">
        <v>2243</v>
      </c>
      <c r="P3237" s="4"/>
    </row>
    <row r="3238" ht="15.75" hidden="1" customHeight="1">
      <c r="B3238" s="8">
        <v>3557.0</v>
      </c>
      <c r="C3238" s="9">
        <v>43160.0</v>
      </c>
      <c r="D3238" s="6" t="s">
        <v>4300</v>
      </c>
      <c r="E3238" s="4">
        <v>6.102000265E9</v>
      </c>
      <c r="F3238" s="8" t="s">
        <v>4147</v>
      </c>
      <c r="G3238" s="4" t="s">
        <v>3541</v>
      </c>
      <c r="H3238" s="10" t="s">
        <v>4309</v>
      </c>
      <c r="I3238" s="10">
        <v>1.0</v>
      </c>
      <c r="J3238" s="11" t="str">
        <f>IF(D3238&lt;&gt;"",VLOOKUP(H3238,TABLEITEM,5,FALSE),"")</f>
        <v>EA</v>
      </c>
      <c r="K3238" s="12">
        <v>860.0</v>
      </c>
      <c r="L3238" s="13" t="str">
        <f>IF(D3238&lt;&gt;"",VLOOKUP(H3238,TABLEITEM,2,FALSE),"")</f>
        <v/>
      </c>
      <c r="M3238" s="13" t="str">
        <f>IF(D3238&lt;&gt;"",VLOOKUP(H3238,TABLEITEM,3,FALSE),"")</f>
        <v>MCCB A1N125 TMF60 1P</v>
      </c>
      <c r="N3238" s="14">
        <f>INSTOCK!$I3238*INSTOCK!$K3238</f>
        <v>860</v>
      </c>
      <c r="O3238" s="4" t="s">
        <v>2243</v>
      </c>
      <c r="P3238" s="4"/>
    </row>
    <row r="3239" ht="15.75" hidden="1" customHeight="1">
      <c r="B3239" s="8">
        <v>3558.0</v>
      </c>
      <c r="C3239" s="9">
        <v>43160.0</v>
      </c>
      <c r="D3239" s="6" t="s">
        <v>4300</v>
      </c>
      <c r="E3239" s="4">
        <v>6.102000265E9</v>
      </c>
      <c r="F3239" s="8" t="s">
        <v>4147</v>
      </c>
      <c r="G3239" s="4" t="s">
        <v>3541</v>
      </c>
      <c r="H3239" s="10" t="s">
        <v>1977</v>
      </c>
      <c r="I3239" s="10">
        <v>2.0</v>
      </c>
      <c r="J3239" s="11" t="str">
        <f>IF(D3239&lt;&gt;"",VLOOKUP(H3239,TABLEITEM,5,FALSE),"")</f>
        <v>EA</v>
      </c>
      <c r="K3239" s="12">
        <v>1420.0</v>
      </c>
      <c r="L3239" s="13" t="str">
        <f>IF(D3239&lt;&gt;"",VLOOKUP(H3239,TABLEITEM,2,FALSE),"")</f>
        <v/>
      </c>
      <c r="M3239" s="13" t="str">
        <f>IF(D3239&lt;&gt;"",VLOOKUP(H3239,TABLEITEM,3,FALSE),"")</f>
        <v>MCCB 3P 30AT/125AF 36KA</v>
      </c>
      <c r="N3239" s="14">
        <f>INSTOCK!$I3239*INSTOCK!$K3239</f>
        <v>2840</v>
      </c>
      <c r="O3239" s="4" t="s">
        <v>3925</v>
      </c>
      <c r="P3239" s="4"/>
    </row>
    <row r="3240" ht="15.75" hidden="1" customHeight="1">
      <c r="B3240" s="8">
        <v>3559.0</v>
      </c>
      <c r="C3240" s="9">
        <v>43160.0</v>
      </c>
      <c r="D3240" s="6" t="s">
        <v>4300</v>
      </c>
      <c r="E3240" s="4">
        <v>6.102000265E9</v>
      </c>
      <c r="F3240" s="8" t="s">
        <v>4147</v>
      </c>
      <c r="G3240" s="4" t="s">
        <v>3541</v>
      </c>
      <c r="H3240" s="10" t="s">
        <v>4310</v>
      </c>
      <c r="I3240" s="10">
        <v>2.0</v>
      </c>
      <c r="J3240" s="11" t="str">
        <f>IF(D3240&lt;&gt;"",VLOOKUP(H3240,TABLEITEM,5,FALSE),"")</f>
        <v>EA</v>
      </c>
      <c r="K3240" s="12">
        <v>1420.0</v>
      </c>
      <c r="L3240" s="13" t="str">
        <f>IF(D3240&lt;&gt;"",VLOOKUP(H3240,TABLEITEM,2,FALSE),"")</f>
        <v/>
      </c>
      <c r="M3240" s="13" t="str">
        <f>IF(D3240&lt;&gt;"",VLOOKUP(H3240,TABLEITEM,3,FALSE),"")</f>
        <v>MCCB A1N125 TMF60 3P</v>
      </c>
      <c r="N3240" s="14">
        <f>INSTOCK!$I3240*INSTOCK!$K3240</f>
        <v>2840</v>
      </c>
      <c r="O3240" s="4" t="s">
        <v>3925</v>
      </c>
      <c r="P3240" s="4"/>
    </row>
    <row r="3241" ht="15.75" hidden="1" customHeight="1">
      <c r="B3241" s="8">
        <v>3560.0</v>
      </c>
      <c r="C3241" s="9">
        <v>43160.0</v>
      </c>
      <c r="D3241" s="6" t="s">
        <v>4300</v>
      </c>
      <c r="E3241" s="4">
        <v>6.102000265E9</v>
      </c>
      <c r="F3241" s="8" t="s">
        <v>4147</v>
      </c>
      <c r="G3241" s="4" t="s">
        <v>3541</v>
      </c>
      <c r="H3241" s="10" t="s">
        <v>3578</v>
      </c>
      <c r="I3241" s="10">
        <v>1.0</v>
      </c>
      <c r="J3241" s="11" t="str">
        <f>IF(D3241&lt;&gt;"",VLOOKUP(H3241,TABLEITEM,5,FALSE),"")</f>
        <v>EA</v>
      </c>
      <c r="K3241" s="12">
        <v>3015.0</v>
      </c>
      <c r="L3241" s="13" t="str">
        <f>IF(D3241&lt;&gt;"",VLOOKUP(H3241,TABLEITEM,2,FALSE),"")</f>
        <v/>
      </c>
      <c r="M3241" s="13" t="str">
        <f>IF(D3241&lt;&gt;"",VLOOKUP(H3241,TABLEITEM,3,FALSE),"")</f>
        <v>PHASE MMONITOR 300-500V CM-MPS.41S3</v>
      </c>
      <c r="N3241" s="14">
        <f>INSTOCK!$I3241*INSTOCK!$K3241</f>
        <v>3015</v>
      </c>
      <c r="O3241" s="4" t="s">
        <v>4311</v>
      </c>
      <c r="P3241" s="4"/>
    </row>
    <row r="3242" ht="15.75" hidden="1" customHeight="1">
      <c r="B3242" s="8">
        <v>3561.0</v>
      </c>
      <c r="C3242" s="9">
        <v>43160.0</v>
      </c>
      <c r="D3242" s="6" t="s">
        <v>4312</v>
      </c>
      <c r="E3242" s="4">
        <v>6.102000273E9</v>
      </c>
      <c r="F3242" s="8" t="s">
        <v>4313</v>
      </c>
      <c r="G3242" s="4" t="s">
        <v>1870</v>
      </c>
      <c r="H3242" s="10" t="s">
        <v>4314</v>
      </c>
      <c r="I3242" s="10">
        <v>30.0</v>
      </c>
      <c r="J3242" s="11" t="str">
        <f>IF(D3242&lt;&gt;"",VLOOKUP(H3242,TABLEITEM,5,FALSE),"")</f>
        <v>EA</v>
      </c>
      <c r="K3242" s="12">
        <v>118.25</v>
      </c>
      <c r="L3242" s="13" t="str">
        <f>IF(D3242&lt;&gt;"",VLOOKUP(H3242,TABLEITEM,2,FALSE),"")</f>
        <v/>
      </c>
      <c r="M3242" s="13" t="str">
        <f>IF(D3242&lt;&gt;"",VLOOKUP(H3242,TABLEITEM,3,FALSE),"")</f>
        <v>ห่วงตู้ M12 SUS</v>
      </c>
      <c r="N3242" s="14">
        <f>INSTOCK!$I3242*INSTOCK!$K3242</f>
        <v>3547.5</v>
      </c>
      <c r="O3242" s="4" t="s">
        <v>4315</v>
      </c>
      <c r="P3242" s="4"/>
    </row>
    <row r="3243" ht="15.75" hidden="1" customHeight="1">
      <c r="B3243" s="8">
        <v>3562.0</v>
      </c>
      <c r="C3243" s="9">
        <v>43160.0</v>
      </c>
      <c r="D3243" s="6" t="s">
        <v>4312</v>
      </c>
      <c r="E3243" s="4">
        <v>6.102000273E9</v>
      </c>
      <c r="F3243" s="8" t="s">
        <v>4313</v>
      </c>
      <c r="G3243" s="4" t="s">
        <v>1870</v>
      </c>
      <c r="H3243" s="10" t="s">
        <v>4316</v>
      </c>
      <c r="I3243" s="10">
        <v>30.0</v>
      </c>
      <c r="J3243" s="11" t="str">
        <f>IF(D3243&lt;&gt;"",VLOOKUP(H3243,TABLEITEM,5,FALSE),"")</f>
        <v>EA</v>
      </c>
      <c r="K3243" s="12">
        <v>3.8</v>
      </c>
      <c r="L3243" s="13" t="str">
        <f>IF(D3243&lt;&gt;"",VLOOKUP(H3243,TABLEITEM,2,FALSE),"")</f>
        <v/>
      </c>
      <c r="M3243" s="13" t="str">
        <f>IF(D3243&lt;&gt;"",VLOOKUP(H3243,TABLEITEM,3,FALSE),"")</f>
        <v>แหวนอีแปะ M12 SUS</v>
      </c>
      <c r="N3243" s="14">
        <f>INSTOCK!$I3243*INSTOCK!$K3243</f>
        <v>114</v>
      </c>
      <c r="O3243" s="4"/>
      <c r="P3243" s="4"/>
    </row>
    <row r="3244" ht="15.75" hidden="1" customHeight="1">
      <c r="B3244" s="8">
        <v>3563.0</v>
      </c>
      <c r="C3244" s="9">
        <v>43160.0</v>
      </c>
      <c r="D3244" s="6" t="s">
        <v>4312</v>
      </c>
      <c r="E3244" s="4">
        <v>6.102000273E9</v>
      </c>
      <c r="F3244" s="8" t="s">
        <v>4313</v>
      </c>
      <c r="G3244" s="4" t="s">
        <v>1870</v>
      </c>
      <c r="H3244" s="10" t="s">
        <v>4317</v>
      </c>
      <c r="I3244" s="10">
        <v>30.0</v>
      </c>
      <c r="J3244" s="11" t="str">
        <f>IF(D3244&lt;&gt;"",VLOOKUP(H3244,TABLEITEM,5,FALSE),"")</f>
        <v>EA</v>
      </c>
      <c r="K3244" s="12">
        <v>3.6</v>
      </c>
      <c r="L3244" s="13" t="str">
        <f>IF(D3244&lt;&gt;"",VLOOKUP(H3244,TABLEITEM,2,FALSE),"")</f>
        <v/>
      </c>
      <c r="M3244" s="13" t="str">
        <f>IF(D3244&lt;&gt;"",VLOOKUP(H3244,TABLEITEM,3,FALSE),"")</f>
        <v>แหวนสปริง M12 SUS </v>
      </c>
      <c r="N3244" s="14">
        <f>INSTOCK!$I3244*INSTOCK!$K3244</f>
        <v>108</v>
      </c>
      <c r="O3244" s="4"/>
      <c r="P3244" s="4"/>
    </row>
    <row r="3245" ht="15.75" hidden="1" customHeight="1">
      <c r="B3245" s="8">
        <v>3564.0</v>
      </c>
      <c r="C3245" s="9">
        <v>43160.0</v>
      </c>
      <c r="D3245" s="6" t="s">
        <v>4312</v>
      </c>
      <c r="E3245" s="4">
        <v>6.102000273E9</v>
      </c>
      <c r="F3245" s="8" t="s">
        <v>4313</v>
      </c>
      <c r="G3245" s="4" t="s">
        <v>1870</v>
      </c>
      <c r="H3245" s="10" t="s">
        <v>4318</v>
      </c>
      <c r="I3245" s="10">
        <v>30.0</v>
      </c>
      <c r="J3245" s="11" t="str">
        <f>IF(D3245&lt;&gt;"",VLOOKUP(H3245,TABLEITEM,5,FALSE),"")</f>
        <v>EA</v>
      </c>
      <c r="K3245" s="12">
        <v>3.8</v>
      </c>
      <c r="L3245" s="13" t="str">
        <f>IF(D3245&lt;&gt;"",VLOOKUP(H3245,TABLEITEM,2,FALSE),"")</f>
        <v/>
      </c>
      <c r="M3245" s="13" t="str">
        <f>IF(D3245&lt;&gt;"",VLOOKUP(H3245,TABLEITEM,3,FALSE),"")</f>
        <v>หัวน็อต M12 SUS</v>
      </c>
      <c r="N3245" s="14">
        <f>INSTOCK!$I3245*INSTOCK!$K3245</f>
        <v>114</v>
      </c>
      <c r="O3245" s="4" t="s">
        <v>4319</v>
      </c>
      <c r="P3245" s="4"/>
    </row>
    <row r="3246" ht="15.75" hidden="1" customHeight="1">
      <c r="B3246" s="8">
        <v>3565.0</v>
      </c>
      <c r="C3246" s="9">
        <v>43160.0</v>
      </c>
      <c r="D3246" s="6">
        <v>6.10300356E8</v>
      </c>
      <c r="E3246" s="4">
        <v>6.102000272E9</v>
      </c>
      <c r="F3246" s="8"/>
      <c r="G3246" s="4" t="s">
        <v>1130</v>
      </c>
      <c r="H3246" s="10" t="s">
        <v>4320</v>
      </c>
      <c r="I3246" s="10">
        <v>10.0</v>
      </c>
      <c r="J3246" s="11" t="str">
        <f>IF(D3246&lt;&gt;"",VLOOKUP(H3246,TABLEITEM,5,FALSE),"")</f>
        <v>EA</v>
      </c>
      <c r="K3246" s="12">
        <v>83.85</v>
      </c>
      <c r="L3246" s="13" t="str">
        <f>IF(D3246&lt;&gt;"",VLOOKUP(H3246,TABLEITEM,2,FALSE),"")</f>
        <v/>
      </c>
      <c r="M3246" s="13" t="str">
        <f>IF(D3246&lt;&gt;"",VLOOKUP(H3246,TABLEITEM,3,FALSE),"")</f>
        <v>PILOT LIGHT LED 240V WHITE</v>
      </c>
      <c r="N3246" s="14">
        <f>INSTOCK!$I3246*INSTOCK!$K3246</f>
        <v>838.5</v>
      </c>
      <c r="O3246" s="4" t="s">
        <v>3547</v>
      </c>
      <c r="P3246" s="4"/>
    </row>
    <row r="3247" ht="15.75" hidden="1" customHeight="1">
      <c r="B3247" s="8">
        <v>3566.0</v>
      </c>
      <c r="C3247" s="9">
        <v>43160.0</v>
      </c>
      <c r="D3247" s="6" t="s">
        <v>4321</v>
      </c>
      <c r="E3247" s="4">
        <v>6.102000253E9</v>
      </c>
      <c r="F3247" s="8" t="s">
        <v>604</v>
      </c>
      <c r="G3247" s="4" t="s">
        <v>1777</v>
      </c>
      <c r="H3247" s="10" t="s">
        <v>4322</v>
      </c>
      <c r="I3247" s="10">
        <v>200.0</v>
      </c>
      <c r="J3247" s="11" t="str">
        <f>IF(D3247&lt;&gt;"",VLOOKUP(H3247,TABLEITEM,5,FALSE),"")</f>
        <v>EA</v>
      </c>
      <c r="K3247" s="12">
        <v>5.25</v>
      </c>
      <c r="L3247" s="13" t="str">
        <f>IF(D3247&lt;&gt;"",VLOOKUP(H3247,TABLEITEM,2,FALSE),"")</f>
        <v/>
      </c>
      <c r="M3247" s="13" t="str">
        <f>IF(D3247&lt;&gt;"",VLOOKUP(H3247,TABLEITEM,3,FALSE),"")</f>
        <v>สกรูหัวจม M10x45 ชุบขาว</v>
      </c>
      <c r="N3247" s="14">
        <f>INSTOCK!$I3247*INSTOCK!$K3247</f>
        <v>1050</v>
      </c>
      <c r="O3247" s="4" t="s">
        <v>4323</v>
      </c>
      <c r="P3247" s="4"/>
    </row>
    <row r="3248" ht="15.75" hidden="1" customHeight="1">
      <c r="B3248" s="8">
        <v>3567.0</v>
      </c>
      <c r="C3248" s="9">
        <v>43160.0</v>
      </c>
      <c r="D3248" s="6" t="s">
        <v>4321</v>
      </c>
      <c r="E3248" s="4">
        <v>6.102000253E9</v>
      </c>
      <c r="F3248" s="8" t="s">
        <v>604</v>
      </c>
      <c r="G3248" s="4" t="s">
        <v>1777</v>
      </c>
      <c r="H3248" s="10" t="s">
        <v>2512</v>
      </c>
      <c r="I3248" s="10">
        <v>1900.0</v>
      </c>
      <c r="J3248" s="11" t="str">
        <f>IF(D3248&lt;&gt;"",VLOOKUP(H3248,TABLEITEM,5,FALSE),"")</f>
        <v>EA</v>
      </c>
      <c r="K3248" s="12">
        <v>1.495</v>
      </c>
      <c r="L3248" s="13" t="str">
        <f>IF(D3248&lt;&gt;"",VLOOKUP(H3248,TABLEITEM,2,FALSE),"")</f>
        <v/>
      </c>
      <c r="M3248" s="13" t="str">
        <f>IF(D3248&lt;&gt;"",VLOOKUP(H3248,TABLEITEM,3,FALSE),"")</f>
        <v>หัวน้อต M10  HDG</v>
      </c>
      <c r="N3248" s="14">
        <f>INSTOCK!$I3248*INSTOCK!$K3248</f>
        <v>2840.5</v>
      </c>
      <c r="O3248" s="4" t="s">
        <v>3711</v>
      </c>
      <c r="P3248" s="4"/>
    </row>
    <row r="3249" ht="15.75" hidden="1" customHeight="1">
      <c r="B3249" s="8">
        <v>3568.0</v>
      </c>
      <c r="C3249" s="9">
        <v>43160.0</v>
      </c>
      <c r="D3249" s="6" t="s">
        <v>4321</v>
      </c>
      <c r="E3249" s="4">
        <v>6.102000253E9</v>
      </c>
      <c r="F3249" s="8" t="s">
        <v>604</v>
      </c>
      <c r="G3249" s="4" t="s">
        <v>1777</v>
      </c>
      <c r="H3249" s="10" t="s">
        <v>3935</v>
      </c>
      <c r="I3249" s="10">
        <v>300.0</v>
      </c>
      <c r="J3249" s="11" t="str">
        <f>IF(D3249&lt;&gt;"",VLOOKUP(H3249,TABLEITEM,5,FALSE),"")</f>
        <v>EA</v>
      </c>
      <c r="K3249" s="12">
        <v>0.91</v>
      </c>
      <c r="L3249" s="13" t="str">
        <f>IF(D3249&lt;&gt;"",VLOOKUP(H3249,TABLEITEM,2,FALSE),"")</f>
        <v/>
      </c>
      <c r="M3249" s="13" t="str">
        <f>IF(D3249&lt;&gt;"",VLOOKUP(H3249,TABLEITEM,3,FALSE),"")</f>
        <v>สกรูหัวจมชุบรุ้ง M5x15</v>
      </c>
      <c r="N3249" s="14">
        <f>INSTOCK!$I3249*INSTOCK!$K3249</f>
        <v>273</v>
      </c>
      <c r="O3249" s="4" t="s">
        <v>4145</v>
      </c>
      <c r="P3249" s="4"/>
    </row>
    <row r="3250" ht="15.75" hidden="1" customHeight="1">
      <c r="B3250" s="8">
        <v>3569.0</v>
      </c>
      <c r="C3250" s="9">
        <v>43218.0</v>
      </c>
      <c r="D3250" s="6">
        <v>6104028.0</v>
      </c>
      <c r="E3250" s="4"/>
      <c r="F3250" s="8" t="s">
        <v>604</v>
      </c>
      <c r="G3250" s="4" t="s">
        <v>1617</v>
      </c>
      <c r="H3250" s="10" t="s">
        <v>1618</v>
      </c>
      <c r="I3250" s="10">
        <v>36.0</v>
      </c>
      <c r="J3250" s="11" t="str">
        <f>IF(D3250&lt;&gt;"",VLOOKUP(H3250,TABLEITEM,5,FALSE),"")</f>
        <v>EA</v>
      </c>
      <c r="K3250" s="12">
        <v>148.0</v>
      </c>
      <c r="L3250" s="13" t="str">
        <f>IF(D3250&lt;&gt;"",VLOOKUP(H3250,TABLEITEM,2,FALSE),"")</f>
        <v/>
      </c>
      <c r="M3250" s="13" t="str">
        <f>IF(D3250&lt;&gt;"",VLOOKUP(H3250,TABLEITEM,3,FALSE),"")</f>
        <v>ตลับเมตร KDS 3.5M</v>
      </c>
      <c r="N3250" s="14">
        <f>INSTOCK!$I3250*INSTOCK!$K3250</f>
        <v>5328</v>
      </c>
      <c r="O3250" s="4"/>
      <c r="P3250" s="4"/>
    </row>
    <row r="3251" ht="15.75" hidden="1" customHeight="1">
      <c r="B3251" s="8">
        <v>3570.0</v>
      </c>
      <c r="C3251" s="9">
        <v>43216.0</v>
      </c>
      <c r="D3251" s="6" t="s">
        <v>4324</v>
      </c>
      <c r="E3251" s="4">
        <v>6.104000506E9</v>
      </c>
      <c r="F3251" s="8" t="s">
        <v>4325</v>
      </c>
      <c r="G3251" s="4" t="s">
        <v>1070</v>
      </c>
      <c r="H3251" s="10" t="s">
        <v>2664</v>
      </c>
      <c r="I3251" s="10">
        <v>1.0</v>
      </c>
      <c r="J3251" s="11" t="str">
        <f>IF(D3251&lt;&gt;"",VLOOKUP(H3251,TABLEITEM,5,FALSE),"")</f>
        <v>EA</v>
      </c>
      <c r="K3251" s="12">
        <v>2600.0</v>
      </c>
      <c r="L3251" s="13" t="str">
        <f>IF(D3251&lt;&gt;"",VLOOKUP(H3251,TABLEITEM,2,FALSE),"")</f>
        <v/>
      </c>
      <c r="M3251" s="13" t="str">
        <f>IF(D3251&lt;&gt;"",VLOOKUP(H3251,TABLEITEM,3,FALSE),"")</f>
        <v>สายเชื่อม CO2 WELDING TORCH 200A PANA END</v>
      </c>
      <c r="N3251" s="14">
        <f>INSTOCK!$I3251*INSTOCK!$K3251</f>
        <v>2600</v>
      </c>
      <c r="O3251" s="4"/>
      <c r="P3251" s="4"/>
    </row>
    <row r="3252" ht="15.75" hidden="1" customHeight="1">
      <c r="B3252" s="8">
        <v>3571.0</v>
      </c>
      <c r="C3252" s="9">
        <v>43216.0</v>
      </c>
      <c r="D3252" s="6" t="s">
        <v>4324</v>
      </c>
      <c r="E3252" s="4">
        <v>6.104000506E9</v>
      </c>
      <c r="F3252" s="8" t="s">
        <v>4325</v>
      </c>
      <c r="G3252" s="4" t="s">
        <v>1070</v>
      </c>
      <c r="H3252" s="10" t="s">
        <v>4326</v>
      </c>
      <c r="I3252" s="10">
        <v>10.0</v>
      </c>
      <c r="J3252" s="11" t="str">
        <f>IF(D3252&lt;&gt;"",VLOOKUP(H3252,TABLEITEM,5,FALSE),"")</f>
        <v>EA</v>
      </c>
      <c r="K3252" s="12">
        <v>33.0</v>
      </c>
      <c r="L3252" s="13" t="str">
        <f>IF(D3252&lt;&gt;"",VLOOKUP(H3252,TABLEITEM,2,FALSE),"")</f>
        <v/>
      </c>
      <c r="M3252" s="13" t="str">
        <f>IF(D3252&lt;&gt;"",VLOOKUP(H3252,TABLEITEM,3,FALSE),"")</f>
        <v>CONTACT TIP 0.8 SP240</v>
      </c>
      <c r="N3252" s="14">
        <f>INSTOCK!$I3252*INSTOCK!$K3252</f>
        <v>330</v>
      </c>
      <c r="O3252" s="4"/>
      <c r="P3252" s="4"/>
    </row>
    <row r="3253" ht="15.75" hidden="1" customHeight="1">
      <c r="B3253" s="8">
        <v>3572.0</v>
      </c>
      <c r="C3253" s="9">
        <v>43216.0</v>
      </c>
      <c r="D3253" s="6" t="s">
        <v>4324</v>
      </c>
      <c r="E3253" s="4">
        <v>6.104000506E9</v>
      </c>
      <c r="F3253" s="8" t="s">
        <v>4325</v>
      </c>
      <c r="G3253" s="4" t="s">
        <v>1070</v>
      </c>
      <c r="H3253" s="10" t="s">
        <v>4327</v>
      </c>
      <c r="I3253" s="10">
        <v>1.0</v>
      </c>
      <c r="J3253" s="11" t="str">
        <f>IF(D3253&lt;&gt;"",VLOOKUP(H3253,TABLEITEM,5,FALSE),"")</f>
        <v>EA</v>
      </c>
      <c r="K3253" s="12">
        <v>140.0</v>
      </c>
      <c r="L3253" s="13" t="str">
        <f>IF(D3253&lt;&gt;"",VLOOKUP(H3253,TABLEITEM,2,FALSE),"")</f>
        <v/>
      </c>
      <c r="M3253" s="13" t="str">
        <f>IF(D3253&lt;&gt;"",VLOOKUP(H3253,TABLEITEM,3,FALSE),"")</f>
        <v>น๊อตเกจ์ CO2 SP-238</v>
      </c>
      <c r="N3253" s="14">
        <f>INSTOCK!$I3253*INSTOCK!$K3253</f>
        <v>140</v>
      </c>
      <c r="O3253" s="4"/>
      <c r="P3253" s="4"/>
    </row>
    <row r="3254" ht="15.75" hidden="1" customHeight="1">
      <c r="B3254" s="8">
        <v>3573.0</v>
      </c>
      <c r="C3254" s="9">
        <v>43216.0</v>
      </c>
      <c r="D3254" s="6" t="s">
        <v>4324</v>
      </c>
      <c r="E3254" s="4">
        <v>6.104000506E9</v>
      </c>
      <c r="F3254" s="8" t="s">
        <v>4325</v>
      </c>
      <c r="G3254" s="4" t="s">
        <v>1070</v>
      </c>
      <c r="H3254" s="10" t="s">
        <v>4328</v>
      </c>
      <c r="I3254" s="10">
        <v>1.0</v>
      </c>
      <c r="J3254" s="11" t="str">
        <f>IF(D3254&lt;&gt;"",VLOOKUP(H3254,TABLEITEM,5,FALSE),"")</f>
        <v>EA</v>
      </c>
      <c r="K3254" s="12">
        <v>160.0</v>
      </c>
      <c r="L3254" s="13" t="str">
        <f>IF(D3254&lt;&gt;"",VLOOKUP(H3254,TABLEITEM,2,FALSE),"")</f>
        <v/>
      </c>
      <c r="M3254" s="13" t="str">
        <f>IF(D3254&lt;&gt;"",VLOOKUP(H3254,TABLEITEM,3,FALSE),"")</f>
        <v>แกนเกจ์ CO2 SP-238-1 เกลียว 1.5 </v>
      </c>
      <c r="N3254" s="14">
        <f>INSTOCK!$I3254*INSTOCK!$K3254</f>
        <v>160</v>
      </c>
      <c r="O3254" s="4"/>
      <c r="P3254" s="4"/>
    </row>
    <row r="3255" ht="15.75" hidden="1" customHeight="1">
      <c r="B3255" s="8">
        <v>3574.0</v>
      </c>
      <c r="C3255" s="9">
        <v>43216.0</v>
      </c>
      <c r="D3255" s="6" t="s">
        <v>4329</v>
      </c>
      <c r="E3255" s="4">
        <v>6.104000476E9</v>
      </c>
      <c r="F3255" s="8" t="s">
        <v>4330</v>
      </c>
      <c r="G3255" s="4" t="s">
        <v>1564</v>
      </c>
      <c r="H3255" s="10" t="s">
        <v>2761</v>
      </c>
      <c r="I3255" s="10">
        <v>300.0</v>
      </c>
      <c r="J3255" s="11" t="str">
        <f>IF(D3255&lt;&gt;"",VLOOKUP(H3255,TABLEITEM,5,FALSE),"")</f>
        <v>EA</v>
      </c>
      <c r="K3255" s="12">
        <v>18.0</v>
      </c>
      <c r="L3255" s="13" t="str">
        <f>IF(D3255&lt;&gt;"",VLOOKUP(H3255,TABLEITEM,2,FALSE),"")</f>
        <v/>
      </c>
      <c r="M3255" s="13" t="str">
        <f>IF(D3255&lt;&gt;"",VLOOKUP(H3255,TABLEITEM,3,FALSE),"")</f>
        <v>กาว BT-10</v>
      </c>
      <c r="N3255" s="14">
        <f>INSTOCK!$I3255*INSTOCK!$K3255</f>
        <v>5400</v>
      </c>
      <c r="O3255" s="4"/>
      <c r="P3255" s="4"/>
    </row>
    <row r="3256" ht="15.75" hidden="1" customHeight="1">
      <c r="B3256" s="8">
        <v>3575.0</v>
      </c>
      <c r="C3256" s="9">
        <v>43216.0</v>
      </c>
      <c r="D3256" s="6" t="s">
        <v>4329</v>
      </c>
      <c r="E3256" s="4">
        <v>6.104000476E9</v>
      </c>
      <c r="F3256" s="8" t="s">
        <v>4330</v>
      </c>
      <c r="G3256" s="4" t="s">
        <v>1564</v>
      </c>
      <c r="H3256" s="10" t="s">
        <v>3784</v>
      </c>
      <c r="I3256" s="10">
        <v>200.0</v>
      </c>
      <c r="J3256" s="11" t="str">
        <f>IF(D3256&lt;&gt;"",VLOOKUP(H3256,TABLEITEM,5,FALSE),"")</f>
        <v>EA</v>
      </c>
      <c r="K3256" s="12">
        <v>28.0</v>
      </c>
      <c r="L3256" s="13" t="str">
        <f>IF(D3256&lt;&gt;"",VLOOKUP(H3256,TABLEITEM,2,FALSE),"")</f>
        <v/>
      </c>
      <c r="M3256" s="13" t="str">
        <f>IF(D3256&lt;&gt;"",VLOOKUP(H3256,TABLEITEM,3,FALSE),"")</f>
        <v>กาวร้อน BT-33</v>
      </c>
      <c r="N3256" s="14">
        <f>INSTOCK!$I3256*INSTOCK!$K3256</f>
        <v>5600</v>
      </c>
      <c r="O3256" s="4"/>
      <c r="P3256" s="4"/>
    </row>
    <row r="3257" ht="15.75" hidden="1" customHeight="1">
      <c r="B3257" s="8">
        <v>3576.0</v>
      </c>
      <c r="C3257" s="9">
        <v>43216.0</v>
      </c>
      <c r="D3257" s="6" t="s">
        <v>4331</v>
      </c>
      <c r="E3257" s="4">
        <v>6.104000484E9</v>
      </c>
      <c r="F3257" s="8" t="s">
        <v>4332</v>
      </c>
      <c r="G3257" s="4" t="s">
        <v>2162</v>
      </c>
      <c r="H3257" s="10" t="s">
        <v>4333</v>
      </c>
      <c r="I3257" s="10">
        <v>4.0</v>
      </c>
      <c r="J3257" s="11" t="str">
        <f>IF(D3257&lt;&gt;"",VLOOKUP(H3257,TABLEITEM,5,FALSE),"")</f>
        <v>EA</v>
      </c>
      <c r="K3257" s="12">
        <v>310.0</v>
      </c>
      <c r="L3257" s="13" t="str">
        <f>IF(D3257&lt;&gt;"",VLOOKUP(H3257,TABLEITEM,2,FALSE),"")</f>
        <v/>
      </c>
      <c r="M3257" s="13" t="str">
        <f>IF(D3257&lt;&gt;"",VLOOKUP(H3257,TABLEITEM,3,FALSE),"")</f>
        <v>ล้อไนล่อน 3" หน้ายาง 32 โครงปั้มมีเบรค ล้อเป็น</v>
      </c>
      <c r="N3257" s="14">
        <f>INSTOCK!$I3257*INSTOCK!$K3257</f>
        <v>1240</v>
      </c>
      <c r="O3257" s="4"/>
      <c r="P3257" s="4"/>
    </row>
    <row r="3258" ht="15.75" hidden="1" customHeight="1">
      <c r="B3258" s="8">
        <v>3577.0</v>
      </c>
      <c r="C3258" s="9">
        <v>43215.0</v>
      </c>
      <c r="D3258" s="6" t="s">
        <v>4334</v>
      </c>
      <c r="E3258" s="4">
        <v>6.104000488E9</v>
      </c>
      <c r="F3258" s="8" t="s">
        <v>604</v>
      </c>
      <c r="G3258" s="4" t="s">
        <v>3099</v>
      </c>
      <c r="H3258" s="10" t="s">
        <v>4335</v>
      </c>
      <c r="I3258" s="10">
        <v>1.0</v>
      </c>
      <c r="J3258" s="11" t="str">
        <f>IF(D3258&lt;&gt;"",VLOOKUP(H3258,TABLEITEM,5,FALSE),"")</f>
        <v>EA</v>
      </c>
      <c r="K3258" s="12">
        <v>2800.0</v>
      </c>
      <c r="L3258" s="13" t="str">
        <f>IF(D3258&lt;&gt;"",VLOOKUP(H3258,TABLEITEM,2,FALSE),"")</f>
        <v/>
      </c>
      <c r="M3258" s="13" t="str">
        <f>IF(D3258&lt;&gt;"",VLOOKUP(H3258,TABLEITEM,3,FALSE),"")</f>
        <v>บูชฝาใน</v>
      </c>
      <c r="N3258" s="14">
        <f>INSTOCK!$I3258*INSTOCK!$K3258</f>
        <v>2800</v>
      </c>
      <c r="O3258" s="4"/>
      <c r="P3258" s="4"/>
    </row>
    <row r="3259" ht="15.75" hidden="1" customHeight="1">
      <c r="B3259" s="8">
        <v>3578.0</v>
      </c>
      <c r="C3259" s="9">
        <v>43215.0</v>
      </c>
      <c r="D3259" s="6">
        <v>6.10406226E8</v>
      </c>
      <c r="E3259" s="4">
        <v>6.104000505E9</v>
      </c>
      <c r="F3259" s="8"/>
      <c r="G3259" s="4" t="s">
        <v>1130</v>
      </c>
      <c r="H3259" s="10" t="s">
        <v>4336</v>
      </c>
      <c r="I3259" s="10">
        <v>2.0</v>
      </c>
      <c r="J3259" s="11" t="str">
        <f>IF(D3259&lt;&gt;"",VLOOKUP(H3259,TABLEITEM,5,FALSE),"")</f>
        <v>EA</v>
      </c>
      <c r="K3259" s="12">
        <v>42.41</v>
      </c>
      <c r="L3259" s="13" t="str">
        <f>IF(D3259&lt;&gt;"",VLOOKUP(H3259,TABLEITEM,2,FALSE),"")</f>
        <v/>
      </c>
      <c r="M3259" s="13" t="str">
        <f>IF(D3259&lt;&gt;"",VLOOKUP(H3259,TABLEITEM,3,FALSE),"")</f>
        <v>SWITCH V-153-1C25 </v>
      </c>
      <c r="N3259" s="14">
        <f>INSTOCK!$I3259*INSTOCK!$K3259</f>
        <v>84.82</v>
      </c>
      <c r="O3259" s="4" t="s">
        <v>4337</v>
      </c>
      <c r="P3259" s="4"/>
    </row>
    <row r="3260" ht="15.75" hidden="1" customHeight="1">
      <c r="B3260" s="8">
        <v>3579.0</v>
      </c>
      <c r="C3260" s="9">
        <v>43215.0</v>
      </c>
      <c r="D3260" s="6">
        <v>6.10406226E8</v>
      </c>
      <c r="E3260" s="4">
        <v>6.104000505E9</v>
      </c>
      <c r="F3260" s="8"/>
      <c r="G3260" s="4" t="s">
        <v>1130</v>
      </c>
      <c r="H3260" s="10" t="s">
        <v>4338</v>
      </c>
      <c r="I3260" s="10">
        <v>10.0</v>
      </c>
      <c r="J3260" s="11" t="str">
        <f>IF(D3260&lt;&gt;"",VLOOKUP(H3260,TABLEITEM,5,FALSE),"")</f>
        <v>EA</v>
      </c>
      <c r="K3260" s="12">
        <v>114.0</v>
      </c>
      <c r="L3260" s="13" t="str">
        <f>IF(D3260&lt;&gt;"",VLOOKUP(H3260,TABLEITEM,2,FALSE),"")</f>
        <v/>
      </c>
      <c r="M3260" s="13" t="str">
        <f>IF(D3260&lt;&gt;"",VLOOKUP(H3260,TABLEITEM,3,FALSE),"")</f>
        <v>ไมโครสวิทซ์ TM1307</v>
      </c>
      <c r="N3260" s="14">
        <f>INSTOCK!$I3260*INSTOCK!$K3260</f>
        <v>1140</v>
      </c>
      <c r="O3260" s="4" t="s">
        <v>4339</v>
      </c>
      <c r="P3260" s="4"/>
    </row>
    <row r="3261" ht="15.75" hidden="1" customHeight="1">
      <c r="B3261" s="8">
        <v>3580.0</v>
      </c>
      <c r="C3261" s="9">
        <v>43215.0</v>
      </c>
      <c r="D3261" s="6" t="s">
        <v>4340</v>
      </c>
      <c r="E3261" s="4">
        <v>6.104000504E9</v>
      </c>
      <c r="F3261" s="8" t="s">
        <v>4341</v>
      </c>
      <c r="G3261" s="4" t="s">
        <v>1485</v>
      </c>
      <c r="H3261" s="10" t="s">
        <v>4342</v>
      </c>
      <c r="I3261" s="10">
        <v>5.0</v>
      </c>
      <c r="J3261" s="11" t="str">
        <f>IF(D3261&lt;&gt;"",VLOOKUP(H3261,TABLEITEM,5,FALSE),"")</f>
        <v>EA</v>
      </c>
      <c r="K3261" s="12">
        <v>330.0</v>
      </c>
      <c r="L3261" s="13" t="str">
        <f>IF(D3261&lt;&gt;"",VLOOKUP(H3261,TABLEITEM,2,FALSE),"")</f>
        <v/>
      </c>
      <c r="M3261" s="13" t="str">
        <f>IF(D3261&lt;&gt;"",VLOOKUP(H3261,TABLEITEM,3,FALSE),"")</f>
        <v>PUSHBUTTON XB4BS844</v>
      </c>
      <c r="N3261" s="14">
        <f>INSTOCK!$I3261*INSTOCK!$K3261</f>
        <v>1650</v>
      </c>
      <c r="O3261" s="4"/>
      <c r="P3261" s="4"/>
    </row>
    <row r="3262" ht="15.75" hidden="1" customHeight="1">
      <c r="B3262" s="8">
        <v>3581.0</v>
      </c>
      <c r="C3262" s="9">
        <v>43215.0</v>
      </c>
      <c r="D3262" s="6" t="s">
        <v>4340</v>
      </c>
      <c r="E3262" s="4">
        <v>6.104000504E9</v>
      </c>
      <c r="F3262" s="8" t="s">
        <v>4341</v>
      </c>
      <c r="G3262" s="4" t="s">
        <v>1485</v>
      </c>
      <c r="H3262" s="10" t="s">
        <v>1584</v>
      </c>
      <c r="I3262" s="10">
        <v>10.0</v>
      </c>
      <c r="J3262" s="11" t="str">
        <f>IF(D3262&lt;&gt;"",VLOOKUP(H3262,TABLEITEM,5,FALSE),"")</f>
        <v>EA</v>
      </c>
      <c r="K3262" s="12">
        <v>134.2</v>
      </c>
      <c r="L3262" s="13" t="str">
        <f>IF(D3262&lt;&gt;"",VLOOKUP(H3262,TABLEITEM,2,FALSE),"")</f>
        <v/>
      </c>
      <c r="M3262" s="13" t="str">
        <f>IF(D3262&lt;&gt;"",VLOOKUP(H3262,TABLEITEM,3,FALSE),"")</f>
        <v>HARMONY XB4 SINGLE CONTACT ZB4BZ101</v>
      </c>
      <c r="N3262" s="14">
        <f>INSTOCK!$I3262*INSTOCK!$K3262</f>
        <v>1342</v>
      </c>
      <c r="O3262" s="4"/>
      <c r="P3262" s="4"/>
    </row>
    <row r="3263" ht="15.75" hidden="1" customHeight="1">
      <c r="B3263" s="8">
        <v>3582.0</v>
      </c>
      <c r="C3263" s="9">
        <v>43215.0</v>
      </c>
      <c r="D3263" s="6" t="s">
        <v>4343</v>
      </c>
      <c r="E3263" s="4">
        <v>6.104000458E9</v>
      </c>
      <c r="F3263" s="8" t="s">
        <v>604</v>
      </c>
      <c r="G3263" s="4" t="s">
        <v>1777</v>
      </c>
      <c r="H3263" s="10" t="s">
        <v>4247</v>
      </c>
      <c r="I3263" s="10">
        <v>3000.0</v>
      </c>
      <c r="J3263" s="11" t="str">
        <f>IF(D3263&lt;&gt;"",VLOOKUP(H3263,TABLEITEM,5,FALSE),"")</f>
        <v>EA</v>
      </c>
      <c r="K3263" s="12">
        <v>2.73</v>
      </c>
      <c r="L3263" s="13" t="str">
        <f>IF(D3263&lt;&gt;"",VLOOKUP(H3263,TABLEITEM,2,FALSE),"")</f>
        <v/>
      </c>
      <c r="M3263" s="13" t="str">
        <f>IF(D3263&lt;&gt;"",VLOOKUP(H3263,TABLEITEM,3,FALSE),"")</f>
        <v>สกรูหัวเหลี่ยม M10x35  HDG</v>
      </c>
      <c r="N3263" s="14">
        <f>INSTOCK!$I3263*INSTOCK!$K3263</f>
        <v>8190</v>
      </c>
      <c r="O3263" s="4" t="s">
        <v>4248</v>
      </c>
      <c r="P3263" s="4"/>
    </row>
    <row r="3264" ht="15.75" hidden="1" customHeight="1">
      <c r="B3264" s="8">
        <v>3583.0</v>
      </c>
      <c r="C3264" s="9">
        <v>43215.0</v>
      </c>
      <c r="D3264" s="6" t="s">
        <v>4343</v>
      </c>
      <c r="E3264" s="4">
        <v>6.104000458E9</v>
      </c>
      <c r="F3264" s="8" t="s">
        <v>604</v>
      </c>
      <c r="G3264" s="4" t="s">
        <v>1777</v>
      </c>
      <c r="H3264" s="10" t="s">
        <v>1998</v>
      </c>
      <c r="I3264" s="10">
        <v>6000.0</v>
      </c>
      <c r="J3264" s="11" t="str">
        <f>IF(D3264&lt;&gt;"",VLOOKUP(H3264,TABLEITEM,5,FALSE),"")</f>
        <v>EA</v>
      </c>
      <c r="K3264" s="12">
        <v>0.585</v>
      </c>
      <c r="L3264" s="13" t="str">
        <f>IF(D3264&lt;&gt;"",VLOOKUP(H3264,TABLEITEM,2,FALSE),"")</f>
        <v/>
      </c>
      <c r="M3264" s="13" t="str">
        <f>IF(D3264&lt;&gt;"",VLOOKUP(H3264,TABLEITEM,3,FALSE),"")</f>
        <v>แหวนอีแปะ M10   HDG</v>
      </c>
      <c r="N3264" s="14">
        <f>INSTOCK!$I3264*INSTOCK!$K3264</f>
        <v>3510</v>
      </c>
      <c r="O3264" s="4" t="s">
        <v>3708</v>
      </c>
      <c r="P3264" s="4"/>
    </row>
    <row r="3265" ht="15.75" hidden="1" customHeight="1">
      <c r="B3265" s="8">
        <v>3584.0</v>
      </c>
      <c r="C3265" s="9">
        <v>43214.0</v>
      </c>
      <c r="D3265" s="6" t="s">
        <v>4344</v>
      </c>
      <c r="E3265" s="4">
        <v>6.104000485E9</v>
      </c>
      <c r="F3265" s="8" t="s">
        <v>604</v>
      </c>
      <c r="G3265" s="4" t="s">
        <v>1453</v>
      </c>
      <c r="H3265" s="10" t="s">
        <v>3604</v>
      </c>
      <c r="I3265" s="10">
        <v>10.0</v>
      </c>
      <c r="J3265" s="11" t="str">
        <f>IF(D3265&lt;&gt;"",VLOOKUP(H3265,TABLEITEM,5,FALSE),"")</f>
        <v>EA</v>
      </c>
      <c r="K3265" s="12">
        <v>488.775</v>
      </c>
      <c r="L3265" s="13" t="str">
        <f>IF(D3265&lt;&gt;"",VLOOKUP(H3265,TABLEITEM,2,FALSE),"")</f>
        <v/>
      </c>
      <c r="M3265" s="13" t="str">
        <f>IF(D3265&lt;&gt;"",VLOOKUP(H3265,TABLEITEM,3,FALSE),"")</f>
        <v>พัดลม PM PMV12.00 220VAC 4"</v>
      </c>
      <c r="N3265" s="14">
        <f>INSTOCK!$I3265*INSTOCK!$K3265</f>
        <v>4887.75</v>
      </c>
      <c r="O3265" s="4" t="s">
        <v>3605</v>
      </c>
      <c r="P3265" s="4"/>
    </row>
    <row r="3266" ht="15.75" hidden="1" customHeight="1">
      <c r="B3266" s="8">
        <v>3585.0</v>
      </c>
      <c r="C3266" s="9">
        <v>43214.0</v>
      </c>
      <c r="D3266" s="6" t="s">
        <v>4345</v>
      </c>
      <c r="E3266" s="4">
        <v>6.10400049E9</v>
      </c>
      <c r="F3266" s="8" t="s">
        <v>4346</v>
      </c>
      <c r="G3266" s="4" t="s">
        <v>965</v>
      </c>
      <c r="H3266" s="10" t="s">
        <v>966</v>
      </c>
      <c r="I3266" s="10">
        <v>60.0</v>
      </c>
      <c r="J3266" s="11" t="str">
        <f>IF(D3266&lt;&gt;"",VLOOKUP(H3266,TABLEITEM,5,FALSE),"")</f>
        <v>EA</v>
      </c>
      <c r="K3266" s="12">
        <v>28.0</v>
      </c>
      <c r="L3266" s="13" t="str">
        <f>IF(D3266&lt;&gt;"",VLOOKUP(H3266,TABLEITEM,2,FALSE),"")</f>
        <v/>
      </c>
      <c r="M3266" s="13" t="str">
        <f>IF(D3266&lt;&gt;"",VLOOKUP(H3266,TABLEITEM,3,FALSE),"")</f>
        <v>ลูกปืน 6000ZZ</v>
      </c>
      <c r="N3266" s="14">
        <f>INSTOCK!$I3266*INSTOCK!$K3266</f>
        <v>1680</v>
      </c>
      <c r="O3266" s="4"/>
      <c r="P3266" s="4"/>
    </row>
    <row r="3267" ht="15.75" hidden="1" customHeight="1">
      <c r="B3267" s="8">
        <v>3586.0</v>
      </c>
      <c r="C3267" s="9">
        <v>43214.0</v>
      </c>
      <c r="D3267" s="6" t="s">
        <v>4345</v>
      </c>
      <c r="E3267" s="4">
        <v>6.10400049E9</v>
      </c>
      <c r="F3267" s="8" t="s">
        <v>4346</v>
      </c>
      <c r="G3267" s="4" t="s">
        <v>965</v>
      </c>
      <c r="H3267" s="10" t="s">
        <v>4347</v>
      </c>
      <c r="I3267" s="10">
        <v>6.0</v>
      </c>
      <c r="J3267" s="11" t="str">
        <f>IF(D3267&lt;&gt;"",VLOOKUP(H3267,TABLEITEM,5,FALSE),"")</f>
        <v>EA</v>
      </c>
      <c r="K3267" s="12">
        <v>2.0</v>
      </c>
      <c r="L3267" s="13" t="str">
        <f>IF(D3267&lt;&gt;"",VLOOKUP(H3267,TABLEITEM,2,FALSE),"")</f>
        <v/>
      </c>
      <c r="M3267" s="13" t="str">
        <f>IF(D3267&lt;&gt;"",VLOOKUP(H3267,TABLEITEM,3,FALSE),"")</f>
        <v>สกรูหัวจม M8x20</v>
      </c>
      <c r="N3267" s="14">
        <f>INSTOCK!$I3267*INSTOCK!$K3267</f>
        <v>12</v>
      </c>
      <c r="O3267" s="4"/>
      <c r="P3267" s="4"/>
    </row>
    <row r="3268" ht="15.75" hidden="1" customHeight="1">
      <c r="B3268" s="8">
        <v>3587.0</v>
      </c>
      <c r="C3268" s="9">
        <v>43214.0</v>
      </c>
      <c r="D3268" s="6" t="s">
        <v>4348</v>
      </c>
      <c r="E3268" s="4">
        <v>6.104000487E9</v>
      </c>
      <c r="F3268" s="8" t="s">
        <v>4349</v>
      </c>
      <c r="G3268" s="4" t="s">
        <v>965</v>
      </c>
      <c r="H3268" s="10" t="s">
        <v>4350</v>
      </c>
      <c r="I3268" s="10">
        <v>1.0</v>
      </c>
      <c r="J3268" s="11" t="str">
        <f>IF(D3268&lt;&gt;"",VLOOKUP(H3268,TABLEITEM,5,FALSE),"")</f>
        <v>EA</v>
      </c>
      <c r="K3268" s="12">
        <v>140.0</v>
      </c>
      <c r="L3268" s="13" t="str">
        <f>IF(D3268&lt;&gt;"",VLOOKUP(H3268,TABLEITEM,2,FALSE),"")</f>
        <v/>
      </c>
      <c r="M3268" s="13" t="str">
        <f>IF(D3268&lt;&gt;"",VLOOKUP(H3268,TABLEITEM,3,FALSE),"")</f>
        <v>โฮลซอล์ 30มิล</v>
      </c>
      <c r="N3268" s="14">
        <f>INSTOCK!$I3268*INSTOCK!$K3268</f>
        <v>140</v>
      </c>
      <c r="O3268" s="4"/>
      <c r="P3268" s="4"/>
    </row>
    <row r="3269" ht="15.75" hidden="1" customHeight="1">
      <c r="B3269" s="8">
        <v>3588.0</v>
      </c>
      <c r="C3269" s="9">
        <v>43214.0</v>
      </c>
      <c r="D3269" s="6" t="s">
        <v>4351</v>
      </c>
      <c r="E3269" s="4">
        <v>6.104000482E9</v>
      </c>
      <c r="F3269" s="8" t="s">
        <v>604</v>
      </c>
      <c r="G3269" s="4" t="s">
        <v>965</v>
      </c>
      <c r="H3269" s="10" t="s">
        <v>2616</v>
      </c>
      <c r="I3269" s="10">
        <v>10.0</v>
      </c>
      <c r="J3269" s="11" t="str">
        <f>IF(D3269&lt;&gt;"",VLOOKUP(H3269,TABLEITEM,5,FALSE),"")</f>
        <v>M</v>
      </c>
      <c r="K3269" s="12">
        <v>12.0</v>
      </c>
      <c r="L3269" s="13" t="str">
        <f>IF(D3269&lt;&gt;"",VLOOKUP(H3269,TABLEITEM,2,FALSE),"")</f>
        <v/>
      </c>
      <c r="M3269" s="13" t="str">
        <f>IF(D3269&lt;&gt;"",VLOOKUP(H3269,TABLEITEM,3,FALSE),"")</f>
        <v>สายยางน้ำ 5/8"</v>
      </c>
      <c r="N3269" s="14">
        <f>INSTOCK!$I3269*INSTOCK!$K3269</f>
        <v>120</v>
      </c>
      <c r="O3269" s="4"/>
      <c r="P3269" s="4"/>
    </row>
    <row r="3270" ht="15.75" hidden="1" customHeight="1">
      <c r="B3270" s="8">
        <v>3589.0</v>
      </c>
      <c r="C3270" s="9">
        <v>43214.0</v>
      </c>
      <c r="D3270" s="6" t="s">
        <v>4351</v>
      </c>
      <c r="E3270" s="4">
        <v>6.104000482E9</v>
      </c>
      <c r="F3270" s="8" t="s">
        <v>604</v>
      </c>
      <c r="G3270" s="4" t="s">
        <v>965</v>
      </c>
      <c r="H3270" s="10" t="s">
        <v>2135</v>
      </c>
      <c r="I3270" s="10">
        <v>25.0</v>
      </c>
      <c r="J3270" s="11" t="str">
        <f>IF(D3270&lt;&gt;"",VLOOKUP(H3270,TABLEITEM,5,FALSE),"")</f>
        <v>แผง</v>
      </c>
      <c r="K3270" s="12">
        <v>25.0</v>
      </c>
      <c r="L3270" s="13" t="str">
        <f>IF(D3270&lt;&gt;"",VLOOKUP(H3270,TABLEITEM,2,FALSE),"")</f>
        <v/>
      </c>
      <c r="M3270" s="13" t="str">
        <f>IF(D3270&lt;&gt;"",VLOOKUP(H3270,TABLEITEM,3,FALSE),"")</f>
        <v>ใบเลื่อยจิ๊กซอ BOSCH T118A</v>
      </c>
      <c r="N3270" s="14">
        <f>INSTOCK!$I3270*INSTOCK!$K3270</f>
        <v>625</v>
      </c>
      <c r="O3270" s="4" t="s">
        <v>4352</v>
      </c>
      <c r="P3270" s="4"/>
    </row>
    <row r="3271" ht="15.75" hidden="1" customHeight="1">
      <c r="B3271" s="8">
        <v>3590.0</v>
      </c>
      <c r="C3271" s="9">
        <v>43214.0</v>
      </c>
      <c r="D3271" s="6" t="s">
        <v>4351</v>
      </c>
      <c r="E3271" s="4">
        <v>6.104000482E9</v>
      </c>
      <c r="F3271" s="8" t="s">
        <v>604</v>
      </c>
      <c r="G3271" s="4" t="s">
        <v>965</v>
      </c>
      <c r="H3271" s="10" t="s">
        <v>3609</v>
      </c>
      <c r="I3271" s="10">
        <v>5.0</v>
      </c>
      <c r="J3271" s="11" t="str">
        <f>IF(D3271&lt;&gt;"",VLOOKUP(H3271,TABLEITEM,5,FALSE),"")</f>
        <v>EA</v>
      </c>
      <c r="K3271" s="12">
        <v>80.0</v>
      </c>
      <c r="L3271" s="13" t="str">
        <f>IF(D3271&lt;&gt;"",VLOOKUP(H3271,TABLEITEM,2,FALSE),"")</f>
        <v/>
      </c>
      <c r="M3271" s="13" t="str">
        <f>IF(D3271&lt;&gt;"",VLOOKUP(H3271,TABLEITEM,3,FALSE),"")</f>
        <v>กาว 2 ตัน</v>
      </c>
      <c r="N3271" s="14">
        <f>INSTOCK!$I3271*INSTOCK!$K3271</f>
        <v>400</v>
      </c>
      <c r="O3271" s="4"/>
      <c r="P3271" s="4"/>
    </row>
    <row r="3272" ht="15.75" hidden="1" customHeight="1">
      <c r="B3272" s="8">
        <v>3591.0</v>
      </c>
      <c r="C3272" s="9">
        <v>43213.0</v>
      </c>
      <c r="D3272" s="6" t="s">
        <v>4353</v>
      </c>
      <c r="E3272" s="4">
        <v>6.104000473E9</v>
      </c>
      <c r="F3272" s="8" t="s">
        <v>1989</v>
      </c>
      <c r="G3272" s="4" t="s">
        <v>1990</v>
      </c>
      <c r="H3272" s="10" t="s">
        <v>2439</v>
      </c>
      <c r="I3272" s="10">
        <v>6.0</v>
      </c>
      <c r="J3272" s="11" t="str">
        <f>IF(D3272&lt;&gt;"",VLOOKUP(H3272,TABLEITEM,5,FALSE),"")</f>
        <v>EA</v>
      </c>
      <c r="K3272" s="12">
        <v>29.0</v>
      </c>
      <c r="L3272" s="13" t="str">
        <f>IF(D3272&lt;&gt;"",VLOOKUP(H3272,TABLEITEM,2,FALSE),"")</f>
        <v/>
      </c>
      <c r="M3272" s="13" t="str">
        <f>IF(D3272&lt;&gt;"",VLOOKUP(H3272,TABLEITEM,3,FALSE),"")</f>
        <v>ปากกาลบคำผิด ควอนตั้ม มารีนบลู 5มล.</v>
      </c>
      <c r="N3272" s="14">
        <f>INSTOCK!$I3272*INSTOCK!$K3272</f>
        <v>174</v>
      </c>
      <c r="O3272" s="4"/>
      <c r="P3272" s="4"/>
    </row>
    <row r="3273" ht="15.75" hidden="1" customHeight="1">
      <c r="B3273" s="8">
        <v>3592.0</v>
      </c>
      <c r="C3273" s="9">
        <v>43213.0</v>
      </c>
      <c r="D3273" s="6" t="s">
        <v>4353</v>
      </c>
      <c r="E3273" s="4">
        <v>6.104000473E9</v>
      </c>
      <c r="F3273" s="8" t="s">
        <v>1989</v>
      </c>
      <c r="G3273" s="4" t="s">
        <v>1990</v>
      </c>
      <c r="H3273" s="10" t="s">
        <v>4354</v>
      </c>
      <c r="I3273" s="10">
        <v>1.0</v>
      </c>
      <c r="J3273" s="11" t="str">
        <f>IF(D3273&lt;&gt;"",VLOOKUP(H3273,TABLEITEM,5,FALSE),"")</f>
        <v>EA</v>
      </c>
      <c r="K3273" s="12">
        <v>57.0</v>
      </c>
      <c r="L3273" s="13" t="str">
        <f>IF(D3273&lt;&gt;"",VLOOKUP(H3273,TABLEITEM,2,FALSE),"")</f>
        <v/>
      </c>
      <c r="M3273" s="13" t="str">
        <f>IF(D3273&lt;&gt;"",VLOOKUP(H3273,TABLEITEM,3,FALSE),"")</f>
        <v>ลวดเย็บกระดาษ ตราม้า #1 กลม</v>
      </c>
      <c r="N3273" s="14">
        <f>INSTOCK!$I3273*INSTOCK!$K3273</f>
        <v>57</v>
      </c>
      <c r="O3273" s="4"/>
      <c r="P3273" s="4"/>
    </row>
    <row r="3274" ht="15.75" hidden="1" customHeight="1">
      <c r="B3274" s="8">
        <v>3593.0</v>
      </c>
      <c r="C3274" s="9">
        <v>43213.0</v>
      </c>
      <c r="D3274" s="6" t="s">
        <v>4353</v>
      </c>
      <c r="E3274" s="4">
        <v>6.104000473E9</v>
      </c>
      <c r="F3274" s="8" t="s">
        <v>1989</v>
      </c>
      <c r="G3274" s="4" t="s">
        <v>1990</v>
      </c>
      <c r="H3274" s="10" t="s">
        <v>1992</v>
      </c>
      <c r="I3274" s="10">
        <v>2.0</v>
      </c>
      <c r="J3274" s="11" t="str">
        <f>IF(D3274&lt;&gt;"",VLOOKUP(H3274,TABLEITEM,5,FALSE),"")</f>
        <v>PACK</v>
      </c>
      <c r="K3274" s="12">
        <v>119.0</v>
      </c>
      <c r="L3274" s="13" t="str">
        <f>IF(D3274&lt;&gt;"",VLOOKUP(H3274,TABLEITEM,2,FALSE),"")</f>
        <v/>
      </c>
      <c r="M3274" s="13" t="str">
        <f>IF(D3274&lt;&gt;"",VLOOKUP(H3274,TABLEITEM,3,FALSE),"")</f>
        <v>ถ่านอัลคาไลน์ Panasonic AA (แพ็ค 8ก้อน)</v>
      </c>
      <c r="N3274" s="14">
        <f>INSTOCK!$I3274*INSTOCK!$K3274</f>
        <v>238</v>
      </c>
      <c r="O3274" s="4"/>
      <c r="P3274" s="4"/>
    </row>
    <row r="3275" ht="15.75" hidden="1" customHeight="1">
      <c r="B3275" s="8">
        <v>3594.0</v>
      </c>
      <c r="C3275" s="9">
        <v>43213.0</v>
      </c>
      <c r="D3275" s="6" t="s">
        <v>4353</v>
      </c>
      <c r="E3275" s="4">
        <v>6.104000473E9</v>
      </c>
      <c r="F3275" s="8" t="s">
        <v>1989</v>
      </c>
      <c r="G3275" s="4" t="s">
        <v>1990</v>
      </c>
      <c r="H3275" s="10" t="s">
        <v>4355</v>
      </c>
      <c r="I3275" s="10">
        <v>6.0</v>
      </c>
      <c r="J3275" s="11" t="str">
        <f>IF(D3275&lt;&gt;"",VLOOKUP(H3275,TABLEITEM,5,FALSE),"")</f>
        <v>EA</v>
      </c>
      <c r="K3275" s="12">
        <v>50.0</v>
      </c>
      <c r="L3275" s="13" t="str">
        <f>IF(D3275&lt;&gt;"",VLOOKUP(H3275,TABLEITEM,2,FALSE),"")</f>
        <v/>
      </c>
      <c r="M3275" s="13" t="str">
        <f>IF(D3275&lt;&gt;"",VLOOKUP(H3275,TABLEITEM,3,FALSE),"")</f>
        <v>ปากกาเพ้นท์ ซากุละ XPMK-B 2mm ทอง</v>
      </c>
      <c r="N3275" s="14">
        <f>INSTOCK!$I3275*INSTOCK!$K3275</f>
        <v>300</v>
      </c>
      <c r="O3275" s="4"/>
      <c r="P3275" s="4"/>
    </row>
    <row r="3276" ht="15.75" hidden="1" customHeight="1">
      <c r="B3276" s="8">
        <v>3595.0</v>
      </c>
      <c r="C3276" s="9">
        <v>43213.0</v>
      </c>
      <c r="D3276" s="6" t="s">
        <v>4353</v>
      </c>
      <c r="E3276" s="4">
        <v>6.104000473E9</v>
      </c>
      <c r="F3276" s="8" t="s">
        <v>1989</v>
      </c>
      <c r="G3276" s="4" t="s">
        <v>1990</v>
      </c>
      <c r="H3276" s="10" t="s">
        <v>4356</v>
      </c>
      <c r="I3276" s="10">
        <v>1.0</v>
      </c>
      <c r="J3276" s="11" t="str">
        <f>IF(D3276&lt;&gt;"",VLOOKUP(H3276,TABLEITEM,5,FALSE),"")</f>
        <v>EA</v>
      </c>
      <c r="K3276" s="12">
        <v>495.0</v>
      </c>
      <c r="L3276" s="13" t="str">
        <f>IF(D3276&lt;&gt;"",VLOOKUP(H3276,TABLEITEM,2,FALSE),"")</f>
        <v/>
      </c>
      <c r="M3276" s="13" t="str">
        <f>IF(D3276&lt;&gt;"",VLOOKUP(H3276,TABLEITEM,3,FALSE),"")</f>
        <v>กระดาษต่อเนื่องเคมีในตัว ขาวล้วน IQ9x11 3ชั้นไม่มีเส้น 500ชุด</v>
      </c>
      <c r="N3276" s="14">
        <f>INSTOCK!$I3276*INSTOCK!$K3276</f>
        <v>495</v>
      </c>
      <c r="O3276" s="4"/>
      <c r="P3276" s="4"/>
    </row>
    <row r="3277" ht="15.75" hidden="1" customHeight="1">
      <c r="B3277" s="8">
        <v>3596.0</v>
      </c>
      <c r="C3277" s="9">
        <v>43213.0</v>
      </c>
      <c r="D3277" s="6" t="s">
        <v>4357</v>
      </c>
      <c r="E3277" s="4"/>
      <c r="F3277" s="8"/>
      <c r="G3277" s="4" t="s">
        <v>3029</v>
      </c>
      <c r="H3277" s="10" t="s">
        <v>3030</v>
      </c>
      <c r="I3277" s="10">
        <v>1.0</v>
      </c>
      <c r="J3277" s="11" t="str">
        <f>IF(D3277&lt;&gt;"",VLOOKUP(H3277,TABLEITEM,5,FALSE),"")</f>
        <v>LOT</v>
      </c>
      <c r="K3277" s="12">
        <v>535.0</v>
      </c>
      <c r="L3277" s="13" t="str">
        <f>IF(D3277&lt;&gt;"",VLOOKUP(H3277,TABLEITEM,2,FALSE),"")</f>
        <v/>
      </c>
      <c r="M3277" s="13" t="str">
        <f>IF(D3277&lt;&gt;"",VLOOKUP(H3277,TABLEITEM,3,FALSE),"")</f>
        <v>ค่าชุบ ดีบุกเงา</v>
      </c>
      <c r="N3277" s="14">
        <f>INSTOCK!$I3277*INSTOCK!$K3277</f>
        <v>535</v>
      </c>
      <c r="O3277" s="4" t="s">
        <v>4251</v>
      </c>
      <c r="P3277" s="4"/>
    </row>
    <row r="3278" ht="15.75" hidden="1" customHeight="1">
      <c r="B3278" s="8">
        <v>3597.0</v>
      </c>
      <c r="C3278" s="9">
        <v>43213.0</v>
      </c>
      <c r="D3278" s="6" t="s">
        <v>4358</v>
      </c>
      <c r="E3278" s="4">
        <v>6.104000469E9</v>
      </c>
      <c r="F3278" s="8" t="s">
        <v>604</v>
      </c>
      <c r="G3278" s="4" t="s">
        <v>737</v>
      </c>
      <c r="H3278" s="10" t="s">
        <v>4359</v>
      </c>
      <c r="I3278" s="10">
        <v>10.0</v>
      </c>
      <c r="J3278" s="11" t="str">
        <f>IF(D3278&lt;&gt;"",VLOOKUP(H3278,TABLEITEM,5,FALSE),"")</f>
        <v>EA</v>
      </c>
      <c r="K3278" s="12">
        <v>100.0</v>
      </c>
      <c r="L3278" s="13" t="str">
        <f>IF(D3278&lt;&gt;"",VLOOKUP(H3278,TABLEITEM,2,FALSE),"")</f>
        <v/>
      </c>
      <c r="M3278" s="13" t="str">
        <f>IF(D3278&lt;&gt;"",VLOOKUP(H3278,TABLEITEM,3,FALSE),"")</f>
        <v>แปรงถ่านสว่านไฟฟ้า METABO </v>
      </c>
      <c r="N3278" s="14">
        <f>INSTOCK!$I3278*INSTOCK!$K3278</f>
        <v>1000</v>
      </c>
      <c r="O3278" s="4"/>
      <c r="P3278" s="4"/>
    </row>
    <row r="3279" ht="15.75" hidden="1" customHeight="1">
      <c r="B3279" s="8">
        <v>3598.0</v>
      </c>
      <c r="C3279" s="9">
        <v>43213.0</v>
      </c>
      <c r="D3279" s="6">
        <v>4.18032863E8</v>
      </c>
      <c r="E3279" s="4">
        <v>6.104000481E9</v>
      </c>
      <c r="F3279" s="8" t="s">
        <v>604</v>
      </c>
      <c r="G3279" s="4" t="s">
        <v>1274</v>
      </c>
      <c r="H3279" s="10" t="s">
        <v>2555</v>
      </c>
      <c r="I3279" s="10">
        <v>4.0</v>
      </c>
      <c r="J3279" s="11" t="str">
        <f>IF(D3279&lt;&gt;"",VLOOKUP(H3279,TABLEITEM,5,FALSE),"")</f>
        <v>EA</v>
      </c>
      <c r="K3279" s="12">
        <v>700.0</v>
      </c>
      <c r="L3279" s="13" t="str">
        <f>IF(D3279&lt;&gt;"",VLOOKUP(H3279,TABLEITEM,2,FALSE),"")</f>
        <v/>
      </c>
      <c r="M3279" s="13" t="str">
        <f>IF(D3279&lt;&gt;"",VLOOKUP(H3279,TABLEITEM,3,FALSE),"")</f>
        <v>สก๊อตไบร์ MULTI-FLEX ขนาด 8x20 สีเทา (60แผ่น/ม้วน)</v>
      </c>
      <c r="N3279" s="14">
        <f>INSTOCK!$I3279*INSTOCK!$K3279</f>
        <v>2800</v>
      </c>
      <c r="O3279" s="4"/>
      <c r="P3279" s="4"/>
    </row>
    <row r="3280" ht="15.75" hidden="1" customHeight="1">
      <c r="B3280" s="8">
        <v>3599.0</v>
      </c>
      <c r="C3280" s="9">
        <v>43213.0</v>
      </c>
      <c r="D3280" s="6" t="s">
        <v>4360</v>
      </c>
      <c r="E3280" s="4">
        <v>6.104000471E9</v>
      </c>
      <c r="F3280" s="8" t="s">
        <v>4361</v>
      </c>
      <c r="G3280" s="4" t="s">
        <v>1485</v>
      </c>
      <c r="H3280" s="10" t="s">
        <v>2964</v>
      </c>
      <c r="I3280" s="10">
        <v>1.0</v>
      </c>
      <c r="J3280" s="11" t="str">
        <f>IF(D3280&lt;&gt;"",VLOOKUP(H3280,TABLEITEM,5,FALSE),"")</f>
        <v>EA</v>
      </c>
      <c r="K3280" s="12">
        <v>1320.0</v>
      </c>
      <c r="L3280" s="13" t="str">
        <f>IF(D3280&lt;&gt;"",VLOOKUP(H3280,TABLEITEM,2,FALSE),"")</f>
        <v/>
      </c>
      <c r="M3280" s="13" t="str">
        <f>IF(D3280&lt;&gt;"",VLOOKUP(H3280,TABLEITEM,3,FALSE),"")</f>
        <v>MCCB CVS100B TM50D 3P3D 380/415 VAC 25KA</v>
      </c>
      <c r="N3280" s="14">
        <f>INSTOCK!$I3280*INSTOCK!$K3280</f>
        <v>1320</v>
      </c>
      <c r="O3280" s="4"/>
      <c r="P3280" s="4"/>
    </row>
    <row r="3281" ht="15.75" hidden="1" customHeight="1">
      <c r="B3281" s="8">
        <v>3600.0</v>
      </c>
      <c r="C3281" s="9">
        <v>43213.0</v>
      </c>
      <c r="D3281" s="6" t="s">
        <v>4360</v>
      </c>
      <c r="E3281" s="4">
        <v>6.104000471E9</v>
      </c>
      <c r="F3281" s="8" t="s">
        <v>4361</v>
      </c>
      <c r="G3281" s="4" t="s">
        <v>1485</v>
      </c>
      <c r="H3281" s="10" t="s">
        <v>2964</v>
      </c>
      <c r="I3281" s="10">
        <v>1.0</v>
      </c>
      <c r="J3281" s="11" t="str">
        <f>IF(D3281&lt;&gt;"",VLOOKUP(H3281,TABLEITEM,5,FALSE),"")</f>
        <v>EA</v>
      </c>
      <c r="K3281" s="12">
        <v>1320.0</v>
      </c>
      <c r="L3281" s="13" t="str">
        <f>IF(D3281&lt;&gt;"",VLOOKUP(H3281,TABLEITEM,2,FALSE),"")</f>
        <v/>
      </c>
      <c r="M3281" s="13" t="str">
        <f>IF(D3281&lt;&gt;"",VLOOKUP(H3281,TABLEITEM,3,FALSE),"")</f>
        <v>MCCB CVS100B TM50D 3P3D 380/415 VAC 25KA</v>
      </c>
      <c r="N3281" s="14">
        <f>INSTOCK!$I3281*INSTOCK!$K3281</f>
        <v>1320</v>
      </c>
      <c r="O3281" s="4"/>
      <c r="P3281" s="4"/>
    </row>
    <row r="3282" ht="15.75" hidden="1" customHeight="1">
      <c r="B3282" s="8">
        <v>3601.0</v>
      </c>
      <c r="C3282" s="9">
        <v>43213.0</v>
      </c>
      <c r="D3282" s="6" t="s">
        <v>4360</v>
      </c>
      <c r="E3282" s="4">
        <v>6.104000471E9</v>
      </c>
      <c r="F3282" s="8" t="s">
        <v>4361</v>
      </c>
      <c r="G3282" s="4" t="s">
        <v>1485</v>
      </c>
      <c r="H3282" s="10" t="s">
        <v>2963</v>
      </c>
      <c r="I3282" s="10">
        <v>2.0</v>
      </c>
      <c r="J3282" s="11" t="str">
        <f>IF(D3282&lt;&gt;"",VLOOKUP(H3282,TABLEITEM,5,FALSE),"")</f>
        <v>EA</v>
      </c>
      <c r="K3282" s="12">
        <v>1320.0</v>
      </c>
      <c r="L3282" s="13" t="str">
        <f>IF(D3282&lt;&gt;"",VLOOKUP(H3282,TABLEITEM,2,FALSE),"")</f>
        <v/>
      </c>
      <c r="M3282" s="13" t="str">
        <f>IF(D3282&lt;&gt;"",VLOOKUP(H3282,TABLEITEM,3,FALSE),"")</f>
        <v>MCCB CVS100B TM800D 3P3D 380/415 VAC 25KA</v>
      </c>
      <c r="N3282" s="14">
        <f>INSTOCK!$I3282*INSTOCK!$K3282</f>
        <v>2640</v>
      </c>
      <c r="O3282" s="4"/>
      <c r="P3282" s="4"/>
    </row>
    <row r="3283" ht="15.75" hidden="1" customHeight="1">
      <c r="B3283" s="8">
        <v>3602.0</v>
      </c>
      <c r="C3283" s="9">
        <v>43213.0</v>
      </c>
      <c r="D3283" s="6" t="s">
        <v>4360</v>
      </c>
      <c r="E3283" s="4">
        <v>6.104000471E9</v>
      </c>
      <c r="F3283" s="8" t="s">
        <v>4361</v>
      </c>
      <c r="G3283" s="4" t="s">
        <v>1485</v>
      </c>
      <c r="H3283" s="10" t="s">
        <v>4362</v>
      </c>
      <c r="I3283" s="10">
        <v>2.0</v>
      </c>
      <c r="J3283" s="11" t="str">
        <f>IF(D3283&lt;&gt;"",VLOOKUP(H3283,TABLEITEM,5,FALSE),"")</f>
        <v>EA</v>
      </c>
      <c r="K3283" s="12">
        <v>2085.6</v>
      </c>
      <c r="L3283" s="13" t="str">
        <f>IF(D3283&lt;&gt;"",VLOOKUP(H3283,TABLEITEM,2,FALSE),"")</f>
        <v/>
      </c>
      <c r="M3283" s="13" t="str">
        <f>IF(D3283&lt;&gt;"",VLOOKUP(H3283,TABLEITEM,3,FALSE),"")</f>
        <v>CVS160F TM160D 3P3D 380/415 VAC36KA</v>
      </c>
      <c r="N3283" s="14">
        <f>INSTOCK!$I3283*INSTOCK!$K3283</f>
        <v>4171.2</v>
      </c>
      <c r="O3283" s="4"/>
      <c r="P3283" s="4"/>
    </row>
    <row r="3284" ht="15.75" hidden="1" customHeight="1">
      <c r="B3284" s="8">
        <v>3603.0</v>
      </c>
      <c r="C3284" s="9">
        <v>43213.0</v>
      </c>
      <c r="D3284" s="6" t="s">
        <v>4360</v>
      </c>
      <c r="E3284" s="4">
        <v>6.104000471E9</v>
      </c>
      <c r="F3284" s="8" t="s">
        <v>4361</v>
      </c>
      <c r="G3284" s="4" t="s">
        <v>1485</v>
      </c>
      <c r="H3284" s="10" t="s">
        <v>4363</v>
      </c>
      <c r="I3284" s="10">
        <v>1.0</v>
      </c>
      <c r="J3284" s="11" t="str">
        <f>IF(D3284&lt;&gt;"",VLOOKUP(H3284,TABLEITEM,5,FALSE),"")</f>
        <v>EA</v>
      </c>
      <c r="K3284" s="12">
        <v>6846.4</v>
      </c>
      <c r="L3284" s="13" t="str">
        <f>IF(D3284&lt;&gt;"",VLOOKUP(H3284,TABLEITEM,2,FALSE),"")</f>
        <v/>
      </c>
      <c r="M3284" s="13" t="str">
        <f>IF(D3284&lt;&gt;"",VLOOKUP(H3284,TABLEITEM,3,FALSE),"")</f>
        <v>CVS400N TM320D 3P3D 380/415 VAC50KA</v>
      </c>
      <c r="N3284" s="14">
        <f>INSTOCK!$I3284*INSTOCK!$K3284</f>
        <v>6846.4</v>
      </c>
      <c r="O3284" s="4"/>
      <c r="P3284" s="4"/>
    </row>
    <row r="3285" ht="15.75" hidden="1" customHeight="1">
      <c r="B3285" s="8">
        <v>3604.0</v>
      </c>
      <c r="C3285" s="9">
        <v>43211.0</v>
      </c>
      <c r="D3285" s="6" t="s">
        <v>4364</v>
      </c>
      <c r="E3285" s="4">
        <v>6.104000475E9</v>
      </c>
      <c r="F3285" s="8" t="s">
        <v>604</v>
      </c>
      <c r="G3285" s="4" t="s">
        <v>1870</v>
      </c>
      <c r="H3285" s="10" t="s">
        <v>4365</v>
      </c>
      <c r="I3285" s="10">
        <v>500.0</v>
      </c>
      <c r="J3285" s="11" t="str">
        <f>IF(D3285&lt;&gt;"",VLOOKUP(H3285,TABLEITEM,5,FALSE),"")</f>
        <v>EA</v>
      </c>
      <c r="K3285" s="12">
        <v>2.275</v>
      </c>
      <c r="L3285" s="13" t="str">
        <f>IF(D3285&lt;&gt;"",VLOOKUP(H3285,TABLEITEM,2,FALSE),"")</f>
        <v/>
      </c>
      <c r="M3285" s="13" t="str">
        <f>IF(D3285&lt;&gt;"",VLOOKUP(H3285,TABLEITEM,3,FALSE),"")</f>
        <v>สกรูสแตนเลสหัวเหลี่ยม M8x35</v>
      </c>
      <c r="N3285" s="14">
        <f>INSTOCK!$I3285*INSTOCK!$K3285</f>
        <v>1137.5</v>
      </c>
      <c r="O3285" s="4" t="s">
        <v>4366</v>
      </c>
      <c r="P3285" s="4"/>
    </row>
    <row r="3286" ht="15.75" hidden="1" customHeight="1">
      <c r="B3286" s="8">
        <v>3605.0</v>
      </c>
      <c r="C3286" s="9">
        <v>43211.0</v>
      </c>
      <c r="D3286" s="6" t="s">
        <v>4367</v>
      </c>
      <c r="E3286" s="4"/>
      <c r="F3286" s="8" t="s">
        <v>604</v>
      </c>
      <c r="G3286" s="4" t="s">
        <v>898</v>
      </c>
      <c r="H3286" s="10" t="s">
        <v>2861</v>
      </c>
      <c r="I3286" s="10">
        <v>2.0</v>
      </c>
      <c r="J3286" s="11" t="str">
        <f>IF(D3286&lt;&gt;"",VLOOKUP(H3286,TABLEITEM,5,FALSE),"")</f>
        <v>กล</v>
      </c>
      <c r="K3286" s="12">
        <v>145.0</v>
      </c>
      <c r="L3286" s="13" t="str">
        <f>IF(D3286&lt;&gt;"",VLOOKUP(H3286,TABLEITEM,2,FALSE),"")</f>
        <v/>
      </c>
      <c r="M3286" s="13" t="str">
        <f>IF(D3286&lt;&gt;"",VLOOKUP(H3286,TABLEITEM,3,FALSE),"")</f>
        <v>ยาขัด KOMAK</v>
      </c>
      <c r="N3286" s="14">
        <f>INSTOCK!$I3286*INSTOCK!$K3286</f>
        <v>290</v>
      </c>
      <c r="O3286" s="4"/>
      <c r="P3286" s="4"/>
    </row>
    <row r="3287" ht="15.75" hidden="1" customHeight="1">
      <c r="B3287" s="8">
        <v>3606.0</v>
      </c>
      <c r="C3287" s="9">
        <v>43211.0</v>
      </c>
      <c r="D3287" s="6" t="s">
        <v>4367</v>
      </c>
      <c r="E3287" s="4"/>
      <c r="F3287" s="8" t="s">
        <v>4368</v>
      </c>
      <c r="G3287" s="4" t="s">
        <v>898</v>
      </c>
      <c r="H3287" s="10" t="s">
        <v>2268</v>
      </c>
      <c r="I3287" s="10">
        <v>1.0</v>
      </c>
      <c r="J3287" s="11" t="str">
        <f>IF(D3287&lt;&gt;"",VLOOKUP(H3287,TABLEITEM,5,FALSE),"")</f>
        <v>LIT</v>
      </c>
      <c r="K3287" s="12">
        <v>380.0</v>
      </c>
      <c r="L3287" s="13" t="str">
        <f>IF(D3287&lt;&gt;"",VLOOKUP(H3287,TABLEITEM,2,FALSE),"")</f>
        <v/>
      </c>
      <c r="M3287" s="13" t="str">
        <f>IF(D3287&lt;&gt;"",VLOOKUP(H3287,TABLEITEM,3,FALSE),"")</f>
        <v>สีพ่นแห้งเร็ว(สีผสม)</v>
      </c>
      <c r="N3287" s="14">
        <f>INSTOCK!$I3287*INSTOCK!$K3287</f>
        <v>380</v>
      </c>
      <c r="O3287" s="4"/>
      <c r="P3287" s="4"/>
    </row>
    <row r="3288" ht="15.75" hidden="1" customHeight="1">
      <c r="B3288" s="8">
        <v>3607.0</v>
      </c>
      <c r="C3288" s="9">
        <v>43210.0</v>
      </c>
      <c r="D3288" s="6">
        <v>6.10404992E8</v>
      </c>
      <c r="E3288" s="4"/>
      <c r="F3288" s="8"/>
      <c r="G3288" s="4" t="s">
        <v>1130</v>
      </c>
      <c r="H3288" s="10" t="s">
        <v>2791</v>
      </c>
      <c r="I3288" s="10">
        <v>3.0</v>
      </c>
      <c r="J3288" s="11" t="str">
        <f>IF(D3288&lt;&gt;"",VLOOKUP(H3288,TABLEITEM,5,FALSE),"")</f>
        <v>EA</v>
      </c>
      <c r="K3288" s="12">
        <v>121.123</v>
      </c>
      <c r="L3288" s="13" t="str">
        <f>IF(D3288&lt;&gt;"",VLOOKUP(H3288,TABLEITEM,2,FALSE),"")</f>
        <v/>
      </c>
      <c r="M3288" s="13" t="str">
        <f>IF(D3288&lt;&gt;"",VLOOKUP(H3288,TABLEITEM,3,FALSE),"")</f>
        <v>CT400/5 MQS40</v>
      </c>
      <c r="N3288" s="14">
        <f>INSTOCK!$I3288*INSTOCK!$K3288</f>
        <v>363.369</v>
      </c>
      <c r="O3288" s="4" t="s">
        <v>1898</v>
      </c>
      <c r="P3288" s="4"/>
    </row>
    <row r="3289" ht="15.75" hidden="1" customHeight="1">
      <c r="B3289" s="8">
        <v>3608.0</v>
      </c>
      <c r="C3289" s="9">
        <v>43210.0</v>
      </c>
      <c r="D3289" s="6">
        <v>6.1040469E8</v>
      </c>
      <c r="E3289" s="4">
        <v>6.104000452E9</v>
      </c>
      <c r="F3289" s="8"/>
      <c r="G3289" s="4" t="s">
        <v>1130</v>
      </c>
      <c r="H3289" s="10" t="s">
        <v>4369</v>
      </c>
      <c r="I3289" s="10">
        <v>1.0</v>
      </c>
      <c r="J3289" s="11" t="str">
        <f>IF(D3289&lt;&gt;"",VLOOKUP(H3289,TABLEITEM,5,FALSE),"")</f>
        <v>EA</v>
      </c>
      <c r="K3289" s="12">
        <v>300.0</v>
      </c>
      <c r="L3289" s="13" t="str">
        <f>IF(D3289&lt;&gt;"",VLOOKUP(H3289,TABLEITEM,2,FALSE),"")</f>
        <v/>
      </c>
      <c r="M3289" s="13" t="str">
        <f>IF(D3289&lt;&gt;"",VLOOKUP(H3289,TABLEITEM,3,FALSE),"")</f>
        <v>AmpmetER 96x96mm 100/5</v>
      </c>
      <c r="N3289" s="14">
        <f>INSTOCK!$I3289*INSTOCK!$K3289</f>
        <v>300</v>
      </c>
      <c r="O3289" s="4" t="s">
        <v>4370</v>
      </c>
      <c r="P3289" s="4"/>
    </row>
    <row r="3290" ht="15.75" hidden="1" customHeight="1">
      <c r="B3290" s="8">
        <v>3609.0</v>
      </c>
      <c r="C3290" s="9">
        <v>43210.0</v>
      </c>
      <c r="D3290" s="6">
        <v>6.1040469E8</v>
      </c>
      <c r="E3290" s="4">
        <v>6.104000452E9</v>
      </c>
      <c r="F3290" s="8"/>
      <c r="G3290" s="4" t="s">
        <v>1130</v>
      </c>
      <c r="H3290" s="10" t="s">
        <v>4371</v>
      </c>
      <c r="I3290" s="10">
        <v>1.0</v>
      </c>
      <c r="J3290" s="11" t="str">
        <f>IF(D3290&lt;&gt;"",VLOOKUP(H3290,TABLEITEM,5,FALSE),"")</f>
        <v>EA</v>
      </c>
      <c r="K3290" s="12">
        <v>312.0</v>
      </c>
      <c r="L3290" s="13" t="str">
        <f>IF(D3290&lt;&gt;"",VLOOKUP(H3290,TABLEITEM,2,FALSE),"")</f>
        <v/>
      </c>
      <c r="M3290" s="13" t="str">
        <f>IF(D3290&lt;&gt;"",VLOOKUP(H3290,TABLEITEM,3,FALSE),"")</f>
        <v>Voltmeter 96x96mm 500V</v>
      </c>
      <c r="N3290" s="14">
        <f>INSTOCK!$I3290*INSTOCK!$K3290</f>
        <v>312</v>
      </c>
      <c r="O3290" s="4" t="s">
        <v>4372</v>
      </c>
      <c r="P3290" s="4"/>
    </row>
    <row r="3291" ht="15.75" hidden="1" customHeight="1">
      <c r="B3291" s="8">
        <v>3610.0</v>
      </c>
      <c r="C3291" s="9">
        <v>43210.0</v>
      </c>
      <c r="D3291" s="6" t="s">
        <v>4373</v>
      </c>
      <c r="E3291" s="4">
        <v>6.104000472E9</v>
      </c>
      <c r="F3291" s="8" t="s">
        <v>1989</v>
      </c>
      <c r="G3291" s="4" t="s">
        <v>2014</v>
      </c>
      <c r="H3291" s="10" t="s">
        <v>4374</v>
      </c>
      <c r="I3291" s="10">
        <v>2.0</v>
      </c>
      <c r="J3291" s="11" t="str">
        <f>IF(D3291&lt;&gt;"",VLOOKUP(H3291,TABLEITEM,5,FALSE),"")</f>
        <v>EA</v>
      </c>
      <c r="K3291" s="12">
        <v>133.64</v>
      </c>
      <c r="L3291" s="13" t="str">
        <f>IF(D3291&lt;&gt;"",VLOOKUP(H3291,TABLEITEM,2,FALSE),"")</f>
        <v/>
      </c>
      <c r="M3291" s="13" t="str">
        <f>IF(D3291&lt;&gt;"",VLOOKUP(H3291,TABLEITEM,3,FALSE),"")</f>
        <v>เทปใสแกน 1" 3/4"x36 หลา (แพ็ค6ม้วน)</v>
      </c>
      <c r="N3291" s="14">
        <f>INSTOCK!$I3291*INSTOCK!$K3291</f>
        <v>267.28</v>
      </c>
      <c r="O3291" s="4"/>
      <c r="P3291" s="4"/>
    </row>
    <row r="3292" ht="15.75" hidden="1" customHeight="1">
      <c r="B3292" s="8">
        <v>3611.0</v>
      </c>
      <c r="C3292" s="9">
        <v>43210.0</v>
      </c>
      <c r="D3292" s="6" t="s">
        <v>4373</v>
      </c>
      <c r="E3292" s="4">
        <v>6.104000472E9</v>
      </c>
      <c r="F3292" s="8" t="s">
        <v>1989</v>
      </c>
      <c r="G3292" s="4" t="s">
        <v>2014</v>
      </c>
      <c r="H3292" s="10" t="s">
        <v>4375</v>
      </c>
      <c r="I3292" s="10">
        <v>2.0</v>
      </c>
      <c r="J3292" s="11" t="str">
        <f>IF(D3292&lt;&gt;"",VLOOKUP(H3292,TABLEITEM,5,FALSE),"")</f>
        <v>EA</v>
      </c>
      <c r="K3292" s="12">
        <v>102.8</v>
      </c>
      <c r="L3292" s="13" t="str">
        <f>IF(D3292&lt;&gt;"",VLOOKUP(H3292,TABLEITEM,2,FALSE),"")</f>
        <v/>
      </c>
      <c r="M3292" s="13" t="str">
        <f>IF(D3292&lt;&gt;"",VLOOKUP(H3292,TABLEITEM,3,FALSE),"")</f>
        <v>ดินสอดำ 2B (แพ็ค 50แท่ง) สเต็ดเลอร์</v>
      </c>
      <c r="N3292" s="14">
        <f>INSTOCK!$I3292*INSTOCK!$K3292</f>
        <v>205.6</v>
      </c>
      <c r="O3292" s="4"/>
      <c r="P3292" s="4"/>
    </row>
    <row r="3293" ht="15.75" hidden="1" customHeight="1">
      <c r="B3293" s="8">
        <v>3612.0</v>
      </c>
      <c r="C3293" s="9">
        <v>43210.0</v>
      </c>
      <c r="D3293" s="6" t="s">
        <v>4373</v>
      </c>
      <c r="E3293" s="4">
        <v>6.104000472E9</v>
      </c>
      <c r="F3293" s="8" t="s">
        <v>1989</v>
      </c>
      <c r="G3293" s="4" t="s">
        <v>2014</v>
      </c>
      <c r="H3293" s="10" t="s">
        <v>2684</v>
      </c>
      <c r="I3293" s="10">
        <v>1.0</v>
      </c>
      <c r="J3293" s="11" t="str">
        <f>IF(D3293&lt;&gt;"",VLOOKUP(H3293,TABLEITEM,5,FALSE),"")</f>
        <v>EA</v>
      </c>
      <c r="K3293" s="12">
        <v>102.8</v>
      </c>
      <c r="L3293" s="13" t="str">
        <f>IF(D3293&lt;&gt;"",VLOOKUP(H3293,TABLEITEM,2,FALSE),"")</f>
        <v/>
      </c>
      <c r="M3293" s="13" t="str">
        <f>IF(D3293&lt;&gt;"",VLOOKUP(H3293,TABLEITEM,3,FALSE),"")</f>
        <v>สมุดปกอ่อน 60แกรม 80แผ่น (6เล่ม/แพ็ค)วีนัส F980-9</v>
      </c>
      <c r="N3293" s="14">
        <f>INSTOCK!$I3293*INSTOCK!$K3293</f>
        <v>102.8</v>
      </c>
      <c r="O3293" s="4"/>
      <c r="P3293" s="4"/>
    </row>
    <row r="3294" ht="15.75" hidden="1" customHeight="1">
      <c r="B3294" s="8">
        <v>3613.0</v>
      </c>
      <c r="C3294" s="9">
        <v>43210.0</v>
      </c>
      <c r="D3294" s="6" t="s">
        <v>4373</v>
      </c>
      <c r="E3294" s="4">
        <v>6.104000472E9</v>
      </c>
      <c r="F3294" s="8" t="s">
        <v>1989</v>
      </c>
      <c r="G3294" s="4" t="s">
        <v>2014</v>
      </c>
      <c r="H3294" s="10" t="s">
        <v>2016</v>
      </c>
      <c r="I3294" s="10">
        <v>5.0</v>
      </c>
      <c r="J3294" s="11" t="str">
        <f>IF(D3294&lt;&gt;"",VLOOKUP(H3294,TABLEITEM,5,FALSE),"")</f>
        <v>EA</v>
      </c>
      <c r="K3294" s="12">
        <v>271.03</v>
      </c>
      <c r="L3294" s="13" t="str">
        <f>IF(D3294&lt;&gt;"",VLOOKUP(H3294,TABLEITEM,2,FALSE),"")</f>
        <v/>
      </c>
      <c r="M3294" s="13" t="str">
        <f>IF(D3294&lt;&gt;"",VLOOKUP(H3294,TABLEITEM,3,FALSE),"")</f>
        <v>เม้าส์ออฟฟิต สีดำ Logitech M100R</v>
      </c>
      <c r="N3294" s="14">
        <f>INSTOCK!$I3294*INSTOCK!$K3294</f>
        <v>1355.15</v>
      </c>
      <c r="O3294" s="4"/>
      <c r="P3294" s="4"/>
    </row>
    <row r="3295" ht="15.75" hidden="1" customHeight="1">
      <c r="B3295" s="8">
        <v>3614.0</v>
      </c>
      <c r="C3295" s="9">
        <v>43210.0</v>
      </c>
      <c r="D3295" s="6" t="s">
        <v>4373</v>
      </c>
      <c r="E3295" s="4">
        <v>6.104000472E9</v>
      </c>
      <c r="F3295" s="8" t="s">
        <v>1989</v>
      </c>
      <c r="G3295" s="4" t="s">
        <v>2014</v>
      </c>
      <c r="H3295" s="10" t="s">
        <v>4376</v>
      </c>
      <c r="I3295" s="10">
        <v>1.0</v>
      </c>
      <c r="J3295" s="11" t="str">
        <f>IF(D3295&lt;&gt;"",VLOOKUP(H3295,TABLEITEM,5,FALSE),"")</f>
        <v>EA</v>
      </c>
      <c r="K3295" s="12">
        <v>0.0</v>
      </c>
      <c r="L3295" s="13" t="str">
        <f>IF(D3295&lt;&gt;"",VLOOKUP(H3295,TABLEITEM,2,FALSE),"")</f>
        <v/>
      </c>
      <c r="M3295" s="13" t="str">
        <f>IF(D3295&lt;&gt;"",VLOOKUP(H3295,TABLEITEM,3,FALSE),"")</f>
        <v>แถม เทปใสแกน 1" 3/4"x36 หลา (แพ็ค6ม้วน)</v>
      </c>
      <c r="N3295" s="14">
        <f>INSTOCK!$I3295*INSTOCK!$K3295</f>
        <v>0</v>
      </c>
      <c r="O3295" s="4"/>
      <c r="P3295" s="4"/>
    </row>
    <row r="3296" ht="15.75" hidden="1" customHeight="1">
      <c r="B3296" s="8">
        <v>3615.0</v>
      </c>
      <c r="C3296" s="9">
        <v>43210.0</v>
      </c>
      <c r="D3296" s="6" t="s">
        <v>4377</v>
      </c>
      <c r="E3296" s="4">
        <v>6.104000458E9</v>
      </c>
      <c r="F3296" s="8" t="s">
        <v>604</v>
      </c>
      <c r="G3296" s="4" t="s">
        <v>1777</v>
      </c>
      <c r="H3296" s="10" t="s">
        <v>2100</v>
      </c>
      <c r="I3296" s="10">
        <v>10000.0</v>
      </c>
      <c r="J3296" s="11" t="str">
        <f>IF(D3296&lt;&gt;"",VLOOKUP(H3296,TABLEITEM,5,FALSE),"")</f>
        <v>EA</v>
      </c>
      <c r="K3296" s="12">
        <v>0.7995</v>
      </c>
      <c r="L3296" s="13" t="str">
        <f>IF(D3296&lt;&gt;"",VLOOKUP(H3296,TABLEITEM,2,FALSE),"")</f>
        <v/>
      </c>
      <c r="M3296" s="13" t="str">
        <f>IF(D3296&lt;&gt;"",VLOOKUP(H3296,TABLEITEM,3,FALSE),"")</f>
        <v>สกรูหัวเหลี่ยมชุบขาว M8x20</v>
      </c>
      <c r="N3296" s="14">
        <f>INSTOCK!$I3296*INSTOCK!$K3296</f>
        <v>7995</v>
      </c>
      <c r="O3296" s="4" t="s">
        <v>2101</v>
      </c>
      <c r="P3296" s="4"/>
    </row>
    <row r="3297" ht="15.75" hidden="1" customHeight="1">
      <c r="B3297" s="8">
        <v>3616.0</v>
      </c>
      <c r="C3297" s="9">
        <v>43210.0</v>
      </c>
      <c r="D3297" s="6" t="s">
        <v>4377</v>
      </c>
      <c r="E3297" s="4">
        <v>6.104000458E9</v>
      </c>
      <c r="F3297" s="8" t="s">
        <v>604</v>
      </c>
      <c r="G3297" s="4" t="s">
        <v>1777</v>
      </c>
      <c r="H3297" s="10" t="s">
        <v>2102</v>
      </c>
      <c r="I3297" s="10">
        <v>20000.0</v>
      </c>
      <c r="J3297" s="11" t="str">
        <f>IF(D3297&lt;&gt;"",VLOOKUP(H3297,TABLEITEM,5,FALSE),"")</f>
        <v>EA</v>
      </c>
      <c r="K3297" s="12">
        <v>0.09</v>
      </c>
      <c r="L3297" s="13" t="str">
        <f>IF(D3297&lt;&gt;"",VLOOKUP(H3297,TABLEITEM,2,FALSE),"")</f>
        <v/>
      </c>
      <c r="M3297" s="13" t="str">
        <f>IF(D3297&lt;&gt;"",VLOOKUP(H3297,TABLEITEM,3,FALSE),"")</f>
        <v>แหวนอีแปะ M8 ชุบขาว</v>
      </c>
      <c r="N3297" s="14">
        <f>INSTOCK!$I3297*INSTOCK!$K3297</f>
        <v>1800</v>
      </c>
      <c r="O3297" s="4" t="s">
        <v>2103</v>
      </c>
      <c r="P3297" s="4"/>
    </row>
    <row r="3298" ht="15.75" hidden="1" customHeight="1">
      <c r="B3298" s="8">
        <v>3617.0</v>
      </c>
      <c r="C3298" s="9">
        <v>43210.0</v>
      </c>
      <c r="D3298" s="6" t="s">
        <v>4377</v>
      </c>
      <c r="E3298" s="4">
        <v>6.104000458E9</v>
      </c>
      <c r="F3298" s="8" t="s">
        <v>604</v>
      </c>
      <c r="G3298" s="4" t="s">
        <v>1777</v>
      </c>
      <c r="H3298" s="10" t="s">
        <v>3014</v>
      </c>
      <c r="I3298" s="10">
        <v>10000.0</v>
      </c>
      <c r="J3298" s="11" t="str">
        <f>IF(D3298&lt;&gt;"",VLOOKUP(H3298,TABLEITEM,5,FALSE),"")</f>
        <v>EA</v>
      </c>
      <c r="K3298" s="12">
        <v>0.075</v>
      </c>
      <c r="L3298" s="13" t="str">
        <f>IF(D3298&lt;&gt;"",VLOOKUP(H3298,TABLEITEM,2,FALSE),"")</f>
        <v/>
      </c>
      <c r="M3298" s="13" t="str">
        <f>IF(D3298&lt;&gt;"",VLOOKUP(H3298,TABLEITEM,3,FALSE),"")</f>
        <v>แหวนสปริง M 8 ชุบรุ้ง</v>
      </c>
      <c r="N3298" s="14">
        <f>INSTOCK!$I3298*INSTOCK!$K3298</f>
        <v>750</v>
      </c>
      <c r="O3298" s="4" t="s">
        <v>2079</v>
      </c>
      <c r="P3298" s="4"/>
    </row>
    <row r="3299" ht="15.75" hidden="1" customHeight="1">
      <c r="B3299" s="8">
        <v>3618.0</v>
      </c>
      <c r="C3299" s="9">
        <v>43210.0</v>
      </c>
      <c r="D3299" s="6" t="s">
        <v>4377</v>
      </c>
      <c r="E3299" s="4">
        <v>6.104000458E9</v>
      </c>
      <c r="F3299" s="8" t="s">
        <v>604</v>
      </c>
      <c r="G3299" s="4" t="s">
        <v>1777</v>
      </c>
      <c r="H3299" s="10" t="s">
        <v>2080</v>
      </c>
      <c r="I3299" s="10">
        <v>20000.0</v>
      </c>
      <c r="J3299" s="11" t="str">
        <f>IF(D3299&lt;&gt;"",VLOOKUP(H3299,TABLEITEM,5,FALSE),"")</f>
        <v>EA</v>
      </c>
      <c r="K3299" s="12">
        <v>0.36</v>
      </c>
      <c r="L3299" s="13" t="str">
        <f>IF(D3299&lt;&gt;"",VLOOKUP(H3299,TABLEITEM,2,FALSE),"")</f>
        <v/>
      </c>
      <c r="M3299" s="13" t="str">
        <f>IF(D3299&lt;&gt;"",VLOOKUP(H3299,TABLEITEM,3,FALSE),"")</f>
        <v>หัวน็อต M 8 ชุบขาว</v>
      </c>
      <c r="N3299" s="14">
        <f>INSTOCK!$I3299*INSTOCK!$K3299</f>
        <v>7200</v>
      </c>
      <c r="O3299" s="4" t="s">
        <v>2081</v>
      </c>
      <c r="P3299" s="4"/>
    </row>
    <row r="3300" ht="15.75" hidden="1" customHeight="1">
      <c r="B3300" s="8">
        <v>3619.0</v>
      </c>
      <c r="C3300" s="9">
        <v>43210.0</v>
      </c>
      <c r="D3300" s="6" t="s">
        <v>4377</v>
      </c>
      <c r="E3300" s="4">
        <v>6.104000458E9</v>
      </c>
      <c r="F3300" s="8" t="s">
        <v>604</v>
      </c>
      <c r="G3300" s="4" t="s">
        <v>1777</v>
      </c>
      <c r="H3300" s="10" t="s">
        <v>3380</v>
      </c>
      <c r="I3300" s="10">
        <v>1000.0</v>
      </c>
      <c r="J3300" s="11" t="str">
        <f>IF(D3300&lt;&gt;"",VLOOKUP(H3300,TABLEITEM,5,FALSE),"")</f>
        <v>EA</v>
      </c>
      <c r="K3300" s="12">
        <v>1.521</v>
      </c>
      <c r="L3300" s="13" t="str">
        <f>IF(D3300&lt;&gt;"",VLOOKUP(H3300,TABLEITEM,2,FALSE),"")</f>
        <v/>
      </c>
      <c r="M3300" s="13" t="str">
        <f>IF(D3300&lt;&gt;"",VLOOKUP(H3300,TABLEITEM,3,FALSE),"")</f>
        <v>สกรูหัวเหลี่ยมชุบขาว M10x25</v>
      </c>
      <c r="N3300" s="14">
        <f>INSTOCK!$I3300*INSTOCK!$K3300</f>
        <v>1521</v>
      </c>
      <c r="O3300" s="4" t="s">
        <v>3381</v>
      </c>
      <c r="P3300" s="4"/>
    </row>
    <row r="3301" ht="15.75" hidden="1" customHeight="1">
      <c r="B3301" s="8">
        <v>3620.0</v>
      </c>
      <c r="C3301" s="9">
        <v>43210.0</v>
      </c>
      <c r="D3301" s="6" t="s">
        <v>4377</v>
      </c>
      <c r="E3301" s="4">
        <v>6.104000458E9</v>
      </c>
      <c r="F3301" s="8" t="s">
        <v>604</v>
      </c>
      <c r="G3301" s="4" t="s">
        <v>1777</v>
      </c>
      <c r="H3301" s="10" t="s">
        <v>3842</v>
      </c>
      <c r="I3301" s="10">
        <v>2000.0</v>
      </c>
      <c r="J3301" s="11" t="str">
        <f>IF(D3301&lt;&gt;"",VLOOKUP(H3301,TABLEITEM,5,FALSE),"")</f>
        <v>EA</v>
      </c>
      <c r="K3301" s="12">
        <v>0.275</v>
      </c>
      <c r="L3301" s="13" t="str">
        <f>IF(D3301&lt;&gt;"",VLOOKUP(H3301,TABLEITEM,2,FALSE),"")</f>
        <v/>
      </c>
      <c r="M3301" s="13" t="str">
        <f>IF(D3301&lt;&gt;"",VLOOKUP(H3301,TABLEITEM,3,FALSE),"")</f>
        <v>แหวนอีแปะ M10  ชุบขาว</v>
      </c>
      <c r="N3301" s="14">
        <f>INSTOCK!$I3301*INSTOCK!$K3301</f>
        <v>550</v>
      </c>
      <c r="O3301" s="4" t="s">
        <v>3843</v>
      </c>
      <c r="P3301" s="4"/>
    </row>
    <row r="3302" ht="15.75" hidden="1" customHeight="1">
      <c r="B3302" s="8">
        <v>3621.0</v>
      </c>
      <c r="C3302" s="9">
        <v>43210.0</v>
      </c>
      <c r="D3302" s="6" t="s">
        <v>4377</v>
      </c>
      <c r="E3302" s="4">
        <v>6.104000458E9</v>
      </c>
      <c r="F3302" s="8" t="s">
        <v>604</v>
      </c>
      <c r="G3302" s="4" t="s">
        <v>1777</v>
      </c>
      <c r="H3302" s="10" t="s">
        <v>3382</v>
      </c>
      <c r="I3302" s="10">
        <v>1000.0</v>
      </c>
      <c r="J3302" s="11" t="str">
        <f>IF(D3302&lt;&gt;"",VLOOKUP(H3302,TABLEITEM,5,FALSE),"")</f>
        <v>EA</v>
      </c>
      <c r="K3302" s="12">
        <v>0.125</v>
      </c>
      <c r="L3302" s="13" t="str">
        <f>IF(D3302&lt;&gt;"",VLOOKUP(H3302,TABLEITEM,2,FALSE),"")</f>
        <v/>
      </c>
      <c r="M3302" s="13" t="str">
        <f>IF(D3302&lt;&gt;"",VLOOKUP(H3302,TABLEITEM,3,FALSE),"")</f>
        <v>แหวนสปริง M10   ชุบรุ้ง</v>
      </c>
      <c r="N3302" s="14">
        <f>INSTOCK!$I3302*INSTOCK!$K3302</f>
        <v>125</v>
      </c>
      <c r="O3302" s="4" t="s">
        <v>3383</v>
      </c>
      <c r="P3302" s="4"/>
    </row>
    <row r="3303" ht="15.75" hidden="1" customHeight="1">
      <c r="B3303" s="8">
        <v>3622.0</v>
      </c>
      <c r="C3303" s="9">
        <v>43210.0</v>
      </c>
      <c r="D3303" s="6" t="s">
        <v>4377</v>
      </c>
      <c r="E3303" s="4">
        <v>6.104000458E9</v>
      </c>
      <c r="F3303" s="8" t="s">
        <v>604</v>
      </c>
      <c r="G3303" s="4" t="s">
        <v>1777</v>
      </c>
      <c r="H3303" s="10" t="s">
        <v>2094</v>
      </c>
      <c r="I3303" s="10">
        <v>2000.0</v>
      </c>
      <c r="J3303" s="11" t="str">
        <f>IF(D3303&lt;&gt;"",VLOOKUP(H3303,TABLEITEM,5,FALSE),"")</f>
        <v>EA</v>
      </c>
      <c r="K3303" s="12">
        <v>0.75</v>
      </c>
      <c r="L3303" s="13" t="str">
        <f>IF(D3303&lt;&gt;"",VLOOKUP(H3303,TABLEITEM,2,FALSE),"")</f>
        <v/>
      </c>
      <c r="M3303" s="13" t="str">
        <f>IF(D3303&lt;&gt;"",VLOOKUP(H3303,TABLEITEM,3,FALSE),"")</f>
        <v>หัวน้อต       M10   ชุบขาว</v>
      </c>
      <c r="N3303" s="14">
        <f>INSTOCK!$I3303*INSTOCK!$K3303</f>
        <v>1500</v>
      </c>
      <c r="O3303" s="4" t="s">
        <v>2095</v>
      </c>
      <c r="P3303" s="4"/>
    </row>
    <row r="3304" ht="15.75" hidden="1" customHeight="1">
      <c r="B3304" s="8">
        <v>3623.0</v>
      </c>
      <c r="C3304" s="9">
        <v>43210.0</v>
      </c>
      <c r="D3304" s="6" t="s">
        <v>4378</v>
      </c>
      <c r="E3304" s="4">
        <v>6.104000456E9</v>
      </c>
      <c r="F3304" s="8" t="s">
        <v>604</v>
      </c>
      <c r="G3304" s="4" t="s">
        <v>2056</v>
      </c>
      <c r="H3304" s="10" t="s">
        <v>3895</v>
      </c>
      <c r="I3304" s="10">
        <v>2000.0</v>
      </c>
      <c r="J3304" s="11" t="str">
        <f>IF(D3304&lt;&gt;"",VLOOKUP(H3304,TABLEITEM,5,FALSE),"")</f>
        <v>EA</v>
      </c>
      <c r="K3304" s="12">
        <v>3.3</v>
      </c>
      <c r="L3304" s="13" t="str">
        <f>IF(D3304&lt;&gt;"",VLOOKUP(H3304,TABLEITEM,2,FALSE),"")</f>
        <v/>
      </c>
      <c r="M3304" s="13" t="str">
        <f>IF(D3304&lt;&gt;"",VLOOKUP(H3304,TABLEITEM,3,FALSE),"")</f>
        <v>รีเวท M10</v>
      </c>
      <c r="N3304" s="14">
        <f>INSTOCK!$I3304*INSTOCK!$K3304</f>
        <v>6600</v>
      </c>
      <c r="O3304" s="4"/>
      <c r="P3304" s="4"/>
    </row>
    <row r="3305" ht="15.75" hidden="1" customHeight="1">
      <c r="B3305" s="8">
        <v>3624.0</v>
      </c>
      <c r="C3305" s="9">
        <v>43209.0</v>
      </c>
      <c r="D3305" s="6" t="s">
        <v>4379</v>
      </c>
      <c r="E3305" s="4">
        <v>6.10400046E9</v>
      </c>
      <c r="F3305" s="8" t="s">
        <v>4380</v>
      </c>
      <c r="G3305" s="4" t="s">
        <v>965</v>
      </c>
      <c r="H3305" s="10" t="s">
        <v>966</v>
      </c>
      <c r="I3305" s="10">
        <v>16.0</v>
      </c>
      <c r="J3305" s="11" t="str">
        <f>IF(D3305&lt;&gt;"",VLOOKUP(H3305,TABLEITEM,5,FALSE),"")</f>
        <v>EA</v>
      </c>
      <c r="K3305" s="12">
        <v>28.0</v>
      </c>
      <c r="L3305" s="13" t="str">
        <f>IF(D3305&lt;&gt;"",VLOOKUP(H3305,TABLEITEM,2,FALSE),"")</f>
        <v/>
      </c>
      <c r="M3305" s="13" t="str">
        <f>IF(D3305&lt;&gt;"",VLOOKUP(H3305,TABLEITEM,3,FALSE),"")</f>
        <v>ลูกปืน 6000ZZ</v>
      </c>
      <c r="N3305" s="14">
        <f>INSTOCK!$I3305*INSTOCK!$K3305</f>
        <v>448</v>
      </c>
      <c r="O3305" s="4"/>
      <c r="P3305" s="4"/>
    </row>
    <row r="3306" ht="15.75" hidden="1" customHeight="1">
      <c r="B3306" s="8">
        <v>3625.0</v>
      </c>
      <c r="C3306" s="9">
        <v>43209.0</v>
      </c>
      <c r="D3306" s="6" t="s">
        <v>4379</v>
      </c>
      <c r="E3306" s="4">
        <v>6.10400046E9</v>
      </c>
      <c r="F3306" s="8" t="s">
        <v>4380</v>
      </c>
      <c r="G3306" s="4" t="s">
        <v>965</v>
      </c>
      <c r="H3306" s="10" t="s">
        <v>4381</v>
      </c>
      <c r="I3306" s="10">
        <v>1.0</v>
      </c>
      <c r="J3306" s="11" t="str">
        <f>IF(D3306&lt;&gt;"",VLOOKUP(H3306,TABLEITEM,5,FALSE),"")</f>
        <v>EA</v>
      </c>
      <c r="K3306" s="12">
        <v>50.0</v>
      </c>
      <c r="L3306" s="13" t="str">
        <f>IF(D3306&lt;&gt;"",VLOOKUP(H3306,TABLEITEM,2,FALSE),"")</f>
        <v/>
      </c>
      <c r="M3306" s="13" t="str">
        <f>IF(D3306&lt;&gt;"",VLOOKUP(H3306,TABLEITEM,3,FALSE),"")</f>
        <v>สายชักโครก </v>
      </c>
      <c r="N3306" s="14">
        <f>INSTOCK!$I3306*INSTOCK!$K3306</f>
        <v>50</v>
      </c>
      <c r="O3306" s="4"/>
      <c r="P3306" s="4"/>
    </row>
    <row r="3307" ht="15.75" hidden="1" customHeight="1">
      <c r="B3307" s="8">
        <v>3626.0</v>
      </c>
      <c r="C3307" s="9">
        <v>43209.0</v>
      </c>
      <c r="D3307" s="6" t="s">
        <v>4379</v>
      </c>
      <c r="E3307" s="4">
        <v>6.10400046E9</v>
      </c>
      <c r="F3307" s="8" t="s">
        <v>4380</v>
      </c>
      <c r="G3307" s="4" t="s">
        <v>965</v>
      </c>
      <c r="H3307" s="10" t="s">
        <v>4382</v>
      </c>
      <c r="I3307" s="10">
        <v>1.0</v>
      </c>
      <c r="J3307" s="11" t="str">
        <f>IF(D3307&lt;&gt;"",VLOOKUP(H3307,TABLEITEM,5,FALSE),"")</f>
        <v>กป.</v>
      </c>
      <c r="K3307" s="12">
        <v>75.0</v>
      </c>
      <c r="L3307" s="13" t="str">
        <f>IF(D3307&lt;&gt;"",VLOOKUP(H3307,TABLEITEM,2,FALSE),"")</f>
        <v/>
      </c>
      <c r="M3307" s="13" t="str">
        <f>IF(D3307&lt;&gt;"",VLOOKUP(H3307,TABLEITEM,3,FALSE),"")</f>
        <v>สีสเปร์ยโครเมียม </v>
      </c>
      <c r="N3307" s="14">
        <f>INSTOCK!$I3307*INSTOCK!$K3307</f>
        <v>75</v>
      </c>
      <c r="O3307" s="4"/>
      <c r="P3307" s="4"/>
    </row>
    <row r="3308" ht="15.75" hidden="1" customHeight="1">
      <c r="B3308" s="8">
        <v>3627.0</v>
      </c>
      <c r="C3308" s="9">
        <v>43209.0</v>
      </c>
      <c r="D3308" s="6" t="s">
        <v>4379</v>
      </c>
      <c r="E3308" s="4">
        <v>6.10400046E9</v>
      </c>
      <c r="F3308" s="8" t="s">
        <v>4380</v>
      </c>
      <c r="G3308" s="4" t="s">
        <v>965</v>
      </c>
      <c r="H3308" s="10" t="s">
        <v>4383</v>
      </c>
      <c r="I3308" s="10">
        <v>3.0</v>
      </c>
      <c r="J3308" s="11" t="str">
        <f>IF(D3308&lt;&gt;"",VLOOKUP(H3308,TABLEITEM,5,FALSE),"")</f>
        <v>EA</v>
      </c>
      <c r="K3308" s="12">
        <v>3.0</v>
      </c>
      <c r="L3308" s="13" t="str">
        <f>IF(D3308&lt;&gt;"",VLOOKUP(H3308,TABLEITEM,2,FALSE),"")</f>
        <v/>
      </c>
      <c r="M3308" s="13" t="str">
        <f>IF(D3308&lt;&gt;"",VLOOKUP(H3308,TABLEITEM,3,FALSE),"")</f>
        <v>ชอล์คหิน</v>
      </c>
      <c r="N3308" s="14">
        <f>INSTOCK!$I3308*INSTOCK!$K3308</f>
        <v>9</v>
      </c>
      <c r="O3308" s="4"/>
      <c r="P3308" s="4"/>
    </row>
    <row r="3309" ht="15.75" hidden="1" customHeight="1">
      <c r="B3309" s="8">
        <v>3628.0</v>
      </c>
      <c r="C3309" s="9">
        <v>43208.0</v>
      </c>
      <c r="D3309" s="6" t="s">
        <v>4384</v>
      </c>
      <c r="E3309" s="4">
        <v>6.104000453E9</v>
      </c>
      <c r="F3309" s="8" t="s">
        <v>604</v>
      </c>
      <c r="G3309" s="4" t="s">
        <v>1870</v>
      </c>
      <c r="H3309" s="10" t="s">
        <v>2512</v>
      </c>
      <c r="I3309" s="10">
        <v>3000.0</v>
      </c>
      <c r="J3309" s="11" t="str">
        <f>IF(D3309&lt;&gt;"",VLOOKUP(H3309,TABLEITEM,5,FALSE),"")</f>
        <v>EA</v>
      </c>
      <c r="K3309" s="12">
        <v>1.265</v>
      </c>
      <c r="L3309" s="13" t="str">
        <f>IF(D3309&lt;&gt;"",VLOOKUP(H3309,TABLEITEM,2,FALSE),"")</f>
        <v/>
      </c>
      <c r="M3309" s="13" t="str">
        <f>IF(D3309&lt;&gt;"",VLOOKUP(H3309,TABLEITEM,3,FALSE),"")</f>
        <v>หัวน้อต M10  HDG</v>
      </c>
      <c r="N3309" s="14">
        <f>INSTOCK!$I3309*INSTOCK!$K3309</f>
        <v>3795</v>
      </c>
      <c r="O3309" s="4" t="s">
        <v>2513</v>
      </c>
      <c r="P3309" s="4"/>
    </row>
    <row r="3310" ht="15.75" hidden="1" customHeight="1">
      <c r="B3310" s="8">
        <v>3629.0</v>
      </c>
      <c r="C3310" s="9">
        <v>43208.0</v>
      </c>
      <c r="D3310" s="6" t="s">
        <v>4384</v>
      </c>
      <c r="E3310" s="4">
        <v>6.104000453E9</v>
      </c>
      <c r="F3310" s="8" t="s">
        <v>604</v>
      </c>
      <c r="G3310" s="4" t="s">
        <v>1870</v>
      </c>
      <c r="H3310" s="10" t="s">
        <v>3709</v>
      </c>
      <c r="I3310" s="10">
        <v>3000.0</v>
      </c>
      <c r="J3310" s="11" t="str">
        <f>IF(D3310&lt;&gt;"",VLOOKUP(H3310,TABLEITEM,5,FALSE),"")</f>
        <v>EA</v>
      </c>
      <c r="K3310" s="12">
        <v>0.33</v>
      </c>
      <c r="L3310" s="13" t="str">
        <f>IF(D3310&lt;&gt;"",VLOOKUP(H3310,TABLEITEM,2,FALSE),"")</f>
        <v/>
      </c>
      <c r="M3310" s="13" t="str">
        <f>IF(D3310&lt;&gt;"",VLOOKUP(H3310,TABLEITEM,3,FALSE),"")</f>
        <v>แหวนสปริง M10   HDG</v>
      </c>
      <c r="N3310" s="14">
        <f>INSTOCK!$I3310*INSTOCK!$K3310</f>
        <v>990</v>
      </c>
      <c r="O3310" s="4" t="s">
        <v>3136</v>
      </c>
      <c r="P3310" s="4"/>
    </row>
    <row r="3311" ht="15.75" hidden="1" customHeight="1">
      <c r="B3311" s="8">
        <v>3630.0</v>
      </c>
      <c r="C3311" s="9">
        <v>43208.0</v>
      </c>
      <c r="D3311" s="6">
        <v>6.10404177E8</v>
      </c>
      <c r="E3311" s="4">
        <v>6.104000457E9</v>
      </c>
      <c r="F3311" s="8"/>
      <c r="G3311" s="4" t="s">
        <v>1130</v>
      </c>
      <c r="H3311" s="10" t="s">
        <v>4385</v>
      </c>
      <c r="I3311" s="10">
        <v>1.0</v>
      </c>
      <c r="J3311" s="11" t="str">
        <f>IF(D3311&lt;&gt;"",VLOOKUP(H3311,TABLEITEM,5,FALSE),"")</f>
        <v>EA</v>
      </c>
      <c r="K3311" s="12">
        <v>893.0</v>
      </c>
      <c r="L3311" s="13" t="str">
        <f>IF(D3311&lt;&gt;"",VLOOKUP(H3311,TABLEITEM,2,FALSE),"")</f>
        <v/>
      </c>
      <c r="M3311" s="13" t="str">
        <f>IF(D3311&lt;&gt;"",VLOOKUP(H3311,TABLEITEM,3,FALSE),"")</f>
        <v>BREAKER NF63 CV 3P 32A</v>
      </c>
      <c r="N3311" s="14">
        <f>INSTOCK!$I3311*INSTOCK!$K3311</f>
        <v>893</v>
      </c>
      <c r="O3311" s="4" t="s">
        <v>4386</v>
      </c>
      <c r="P3311" s="4"/>
    </row>
    <row r="3312" ht="15.75" hidden="1" customHeight="1">
      <c r="B3312" s="8">
        <v>3631.0</v>
      </c>
      <c r="C3312" s="9">
        <v>43616.0</v>
      </c>
      <c r="D3312" s="6" t="s">
        <v>4387</v>
      </c>
      <c r="E3312" s="4"/>
      <c r="F3312" s="8" t="s">
        <v>4388</v>
      </c>
      <c r="G3312" s="4" t="s">
        <v>4389</v>
      </c>
      <c r="H3312" s="10" t="s">
        <v>4390</v>
      </c>
      <c r="I3312" s="10">
        <v>9.0</v>
      </c>
      <c r="J3312" s="11" t="str">
        <f>IF(D3312&lt;&gt;"",VLOOKUP(H3312,TABLEITEM,5,FALSE),"")</f>
        <v>EA</v>
      </c>
      <c r="K3312" s="12">
        <v>3045.0</v>
      </c>
      <c r="L3312" s="13" t="str">
        <f>IF(D3312&lt;&gt;"",VLOOKUP(H3312,TABLEITEM,2,FALSE),"")</f>
        <v/>
      </c>
      <c r="M3312" s="13" t="str">
        <f>IF(D3312&lt;&gt;"",VLOOKUP(H3312,TABLEITEM,3,FALSE),"")</f>
        <v>BUSHING SD-20/55</v>
      </c>
      <c r="N3312" s="14">
        <f>INSTOCK!$I3312*INSTOCK!$K3312</f>
        <v>27405</v>
      </c>
      <c r="O3312" s="4"/>
      <c r="P3312" s="4"/>
    </row>
    <row r="3313" ht="15.75" hidden="1" customHeight="1">
      <c r="B3313" s="8">
        <v>3632.0</v>
      </c>
      <c r="C3313" s="9">
        <v>43616.0</v>
      </c>
      <c r="D3313" s="6" t="s">
        <v>4391</v>
      </c>
      <c r="E3313" s="4">
        <v>6.205000794E9</v>
      </c>
      <c r="F3313" s="8" t="s">
        <v>604</v>
      </c>
      <c r="G3313" s="4" t="s">
        <v>3076</v>
      </c>
      <c r="H3313" s="10" t="s">
        <v>4104</v>
      </c>
      <c r="I3313" s="10">
        <v>10.0</v>
      </c>
      <c r="J3313" s="11" t="str">
        <f>IF(D3313&lt;&gt;"",VLOOKUP(H3313,TABLEITEM,5,FALSE),"")</f>
        <v>EA</v>
      </c>
      <c r="K3313" s="12">
        <v>120.0</v>
      </c>
      <c r="L3313" s="13" t="str">
        <f>IF(D3313&lt;&gt;"",VLOOKUP(H3313,TABLEITEM,2,FALSE),"")</f>
        <v/>
      </c>
      <c r="M3313" s="13" t="str">
        <f>IF(D3313&lt;&gt;"",VLOOKUP(H3313,TABLEITEM,3,FALSE),"")</f>
        <v>BUSCHPC37</v>
      </c>
      <c r="N3313" s="14">
        <f>INSTOCK!$I3313*INSTOCK!$K3313</f>
        <v>1200</v>
      </c>
      <c r="O3313" s="4"/>
      <c r="P3313" s="4"/>
    </row>
    <row r="3314" ht="15.75" hidden="1" customHeight="1">
      <c r="B3314" s="8">
        <v>3633.0</v>
      </c>
      <c r="C3314" s="9">
        <v>43617.0</v>
      </c>
      <c r="D3314" s="6" t="s">
        <v>4392</v>
      </c>
      <c r="E3314" s="4">
        <v>6.205000826E9</v>
      </c>
      <c r="F3314" s="8" t="s">
        <v>604</v>
      </c>
      <c r="G3314" s="4" t="s">
        <v>1777</v>
      </c>
      <c r="H3314" s="10" t="s">
        <v>2074</v>
      </c>
      <c r="I3314" s="10">
        <v>2000.0</v>
      </c>
      <c r="J3314" s="11" t="str">
        <f>IF(D3314&lt;&gt;"",VLOOKUP(H3314,TABLEITEM,5,FALSE),"")</f>
        <v>EA</v>
      </c>
      <c r="K3314" s="12">
        <v>0.429</v>
      </c>
      <c r="L3314" s="13" t="str">
        <f>IF(D3314&lt;&gt;"",VLOOKUP(H3314,TABLEITEM,2,FALSE),"")</f>
        <v/>
      </c>
      <c r="M3314" s="13" t="str">
        <f>IF(D3314&lt;&gt;"",VLOOKUP(H3314,TABLEITEM,3,FALSE),"")</f>
        <v>สกรูหัวเหลี่ยมชุบขาว M 6x20</v>
      </c>
      <c r="N3314" s="14">
        <f>INSTOCK!$I3314*INSTOCK!$K3314</f>
        <v>858</v>
      </c>
      <c r="O3314" s="4" t="s">
        <v>2075</v>
      </c>
      <c r="P3314" s="4"/>
    </row>
    <row r="3315" ht="15.75" hidden="1" customHeight="1">
      <c r="B3315" s="8">
        <v>3634.0</v>
      </c>
      <c r="C3315" s="9">
        <v>43617.0</v>
      </c>
      <c r="D3315" s="6" t="s">
        <v>4392</v>
      </c>
      <c r="E3315" s="4">
        <v>6.205000826E9</v>
      </c>
      <c r="F3315" s="8" t="s">
        <v>604</v>
      </c>
      <c r="G3315" s="4" t="s">
        <v>1777</v>
      </c>
      <c r="H3315" s="10" t="s">
        <v>2106</v>
      </c>
      <c r="I3315" s="10">
        <v>400.0</v>
      </c>
      <c r="J3315" s="11" t="str">
        <f>IF(D3315&lt;&gt;"",VLOOKUP(H3315,TABLEITEM,5,FALSE),"")</f>
        <v>EA</v>
      </c>
      <c r="K3315" s="12">
        <v>2.86</v>
      </c>
      <c r="L3315" s="13" t="str">
        <f>IF(D3315&lt;&gt;"",VLOOKUP(H3315,TABLEITEM,2,FALSE),"")</f>
        <v/>
      </c>
      <c r="M3315" s="13" t="str">
        <f>IF(D3315&lt;&gt;"",VLOOKUP(H3315,TABLEITEM,3,FALSE),"")</f>
        <v>สกรูหัวเหลี่ยมชุบขาว M12x40</v>
      </c>
      <c r="N3315" s="14">
        <f>INSTOCK!$I3315*INSTOCK!$K3315</f>
        <v>1144</v>
      </c>
      <c r="O3315" s="4" t="s">
        <v>2107</v>
      </c>
      <c r="P3315" s="4"/>
    </row>
    <row r="3316" ht="15.75" hidden="1" customHeight="1">
      <c r="B3316" s="8">
        <v>3635.0</v>
      </c>
      <c r="C3316" s="9">
        <v>43617.0</v>
      </c>
      <c r="D3316" s="6" t="s">
        <v>4392</v>
      </c>
      <c r="E3316" s="4">
        <v>6.205000826E9</v>
      </c>
      <c r="F3316" s="8" t="s">
        <v>604</v>
      </c>
      <c r="G3316" s="4" t="s">
        <v>1777</v>
      </c>
      <c r="H3316" s="10" t="s">
        <v>2098</v>
      </c>
      <c r="I3316" s="10">
        <v>400.0</v>
      </c>
      <c r="J3316" s="11" t="str">
        <f>IF(D3316&lt;&gt;"",VLOOKUP(H3316,TABLEITEM,5,FALSE),"")</f>
        <v>EA</v>
      </c>
      <c r="K3316" s="12">
        <v>3.289</v>
      </c>
      <c r="L3316" s="13" t="str">
        <f>IF(D3316&lt;&gt;"",VLOOKUP(H3316,TABLEITEM,2,FALSE),"")</f>
        <v/>
      </c>
      <c r="M3316" s="13" t="str">
        <f>IF(D3316&lt;&gt;"",VLOOKUP(H3316,TABLEITEM,3,FALSE),"")</f>
        <v>สกรูหัวเหลี่ยมชุบขาว M12x45</v>
      </c>
      <c r="N3316" s="14">
        <f>INSTOCK!$I3316*INSTOCK!$K3316</f>
        <v>1315.6</v>
      </c>
      <c r="O3316" s="4" t="s">
        <v>2099</v>
      </c>
      <c r="P3316" s="4"/>
    </row>
    <row r="3317" ht="15.75" hidden="1" customHeight="1">
      <c r="B3317" s="8">
        <v>3636.0</v>
      </c>
      <c r="C3317" s="9">
        <v>43617.0</v>
      </c>
      <c r="D3317" s="6" t="s">
        <v>4392</v>
      </c>
      <c r="E3317" s="4">
        <v>6.205000826E9</v>
      </c>
      <c r="F3317" s="8" t="s">
        <v>604</v>
      </c>
      <c r="G3317" s="4" t="s">
        <v>1777</v>
      </c>
      <c r="H3317" s="10" t="s">
        <v>4393</v>
      </c>
      <c r="I3317" s="10">
        <v>300.0</v>
      </c>
      <c r="J3317" s="11" t="str">
        <f>IF(D3317&lt;&gt;"",VLOOKUP(H3317,TABLEITEM,5,FALSE),"")</f>
        <v>EA</v>
      </c>
      <c r="K3317" s="12">
        <v>4.2055</v>
      </c>
      <c r="L3317" s="13" t="str">
        <f>IF(D3317&lt;&gt;"",VLOOKUP(H3317,TABLEITEM,2,FALSE),"")</f>
        <v/>
      </c>
      <c r="M3317" s="13" t="str">
        <f>IF(D3317&lt;&gt;"",VLOOKUP(H3317,TABLEITEM,3,FALSE),"")</f>
        <v>สกรูหัวเหลี่ยมชุบขาว M12x60</v>
      </c>
      <c r="N3317" s="14">
        <f>INSTOCK!$I3317*INSTOCK!$K3317</f>
        <v>1261.65</v>
      </c>
      <c r="O3317" s="4" t="s">
        <v>4394</v>
      </c>
      <c r="P3317" s="4"/>
    </row>
    <row r="3318" ht="15.75" hidden="1" customHeight="1">
      <c r="B3318" s="8">
        <v>3637.0</v>
      </c>
      <c r="C3318" s="9">
        <v>43617.0</v>
      </c>
      <c r="D3318" s="6" t="s">
        <v>4395</v>
      </c>
      <c r="E3318" s="4">
        <v>6.20500082E9</v>
      </c>
      <c r="F3318" s="8" t="s">
        <v>604</v>
      </c>
      <c r="G3318" s="4" t="s">
        <v>737</v>
      </c>
      <c r="H3318" s="10" t="s">
        <v>20</v>
      </c>
      <c r="I3318" s="10">
        <v>10.0</v>
      </c>
      <c r="J3318" s="11" t="str">
        <f>IF(D3318&lt;&gt;"",VLOOKUP(H3318,TABLEITEM,5,FALSE),"")</f>
        <v>ROLL</v>
      </c>
      <c r="K3318" s="12">
        <v>795.0</v>
      </c>
      <c r="L3318" s="13" t="str">
        <f>IF(D3318&lt;&gt;"",VLOOKUP(H3318,TABLEITEM,2,FALSE),"")</f>
        <v/>
      </c>
      <c r="M3318" s="13" t="str">
        <f>IF(D3318&lt;&gt;"",VLOOKUP(H3318,TABLEITEM,3,FALSE),"")</f>
        <v>ลวดเชื่อมco2</v>
      </c>
      <c r="N3318" s="14">
        <f>INSTOCK!$I3318*INSTOCK!$K3318</f>
        <v>7950</v>
      </c>
      <c r="O3318" s="4" t="s">
        <v>4396</v>
      </c>
      <c r="P3318" s="4"/>
    </row>
    <row r="3319" ht="15.75" hidden="1" customHeight="1">
      <c r="B3319" s="8">
        <v>3638.0</v>
      </c>
      <c r="C3319" s="9">
        <v>43617.0</v>
      </c>
      <c r="D3319" s="6" t="s">
        <v>4397</v>
      </c>
      <c r="E3319" s="4">
        <v>6.205000846E9</v>
      </c>
      <c r="F3319" s="8" t="s">
        <v>4398</v>
      </c>
      <c r="G3319" s="4" t="s">
        <v>702</v>
      </c>
      <c r="H3319" s="10" t="s">
        <v>779</v>
      </c>
      <c r="I3319" s="10">
        <v>100.0</v>
      </c>
      <c r="J3319" s="11" t="str">
        <f>IF(D3319&lt;&gt;"",VLOOKUP(H3319,TABLEITEM,5,FALSE),"")</f>
        <v>KG.</v>
      </c>
      <c r="K3319" s="12">
        <v>130.0</v>
      </c>
      <c r="L3319" s="13" t="str">
        <f>IF(D3319&lt;&gt;"",VLOOKUP(H3319,TABLEITEM,2,FALSE),"")</f>
        <v/>
      </c>
      <c r="M3319" s="13" t="str">
        <f>IF(D3319&lt;&gt;"",VLOOKUP(H3319,TABLEITEM,3,FALSE),"")</f>
        <v>สีฝุ่น FF110/948/C สีครีม</v>
      </c>
      <c r="N3319" s="14">
        <f>INSTOCK!$I3319*INSTOCK!$K3319</f>
        <v>13000</v>
      </c>
      <c r="O3319" s="4"/>
      <c r="P3319" s="4"/>
    </row>
    <row r="3320" ht="15.75" hidden="1" customHeight="1">
      <c r="B3320" s="8">
        <v>3639.0</v>
      </c>
      <c r="C3320" s="9">
        <v>43617.0</v>
      </c>
      <c r="D3320" s="6" t="s">
        <v>4397</v>
      </c>
      <c r="E3320" s="4">
        <v>6.205000846E9</v>
      </c>
      <c r="F3320" s="8" t="s">
        <v>4398</v>
      </c>
      <c r="G3320" s="4" t="s">
        <v>702</v>
      </c>
      <c r="H3320" s="10" t="s">
        <v>4399</v>
      </c>
      <c r="I3320" s="10">
        <v>20.0</v>
      </c>
      <c r="J3320" s="11" t="str">
        <f>IF(D3320&lt;&gt;"",VLOOKUP(H3320,TABLEITEM,5,FALSE),"")</f>
        <v>KG.</v>
      </c>
      <c r="K3320" s="12">
        <v>120.0</v>
      </c>
      <c r="L3320" s="13" t="str">
        <f>IF(D3320&lt;&gt;"",VLOOKUP(H3320,TABLEITEM,2,FALSE),"")</f>
        <v/>
      </c>
      <c r="M3320" s="13" t="str">
        <f>IF(D3320&lt;&gt;"",VLOOKUP(H3320,TABLEITEM,3,FALSE),"")</f>
        <v>สีฝุ่น FF1655/829/CW</v>
      </c>
      <c r="N3320" s="14">
        <f>INSTOCK!$I3320*INSTOCK!$K3320</f>
        <v>2400</v>
      </c>
      <c r="O3320" s="4"/>
      <c r="P3320" s="4"/>
    </row>
    <row r="3321" ht="15.75" hidden="1" customHeight="1">
      <c r="B3321" s="8">
        <v>3640.0</v>
      </c>
      <c r="C3321" s="9">
        <v>43617.0</v>
      </c>
      <c r="D3321" s="6" t="s">
        <v>4400</v>
      </c>
      <c r="E3321" s="4">
        <v>6.205000773E9</v>
      </c>
      <c r="F3321" s="8" t="s">
        <v>604</v>
      </c>
      <c r="G3321" s="4" t="s">
        <v>975</v>
      </c>
      <c r="H3321" s="10" t="s">
        <v>3322</v>
      </c>
      <c r="I3321" s="10">
        <v>25.0</v>
      </c>
      <c r="J3321" s="11" t="str">
        <f>IF(D3321&lt;&gt;"",VLOOKUP(H3321,TABLEITEM,5,FALSE),"")</f>
        <v>ROLL</v>
      </c>
      <c r="K3321" s="12">
        <v>448.0</v>
      </c>
      <c r="L3321" s="13" t="str">
        <f>IF(D3321&lt;&gt;"",VLOOKUP(H3321,TABLEITEM,2,FALSE),"")</f>
        <v/>
      </c>
      <c r="M3321" s="13" t="str">
        <f>IF(D3321&lt;&gt;"",VLOOKUP(H3321,TABLEITEM,3,FALSE),"")</f>
        <v>พลาสติกกันกระแทก ขนาด 130ซมx100เมตร (แอร์บับเบิ้ล)</v>
      </c>
      <c r="N3321" s="14">
        <f>INSTOCK!$I3321*INSTOCK!$K3321</f>
        <v>11200</v>
      </c>
      <c r="O3321" s="4"/>
      <c r="P3321" s="4"/>
    </row>
    <row r="3322" ht="15.75" hidden="1" customHeight="1">
      <c r="B3322" s="8">
        <v>3641.0</v>
      </c>
      <c r="C3322" s="9">
        <v>43617.0</v>
      </c>
      <c r="D3322" s="6" t="s">
        <v>4401</v>
      </c>
      <c r="E3322" s="4">
        <v>6.205000847E9</v>
      </c>
      <c r="F3322" s="8" t="s">
        <v>807</v>
      </c>
      <c r="G3322" s="4" t="s">
        <v>808</v>
      </c>
      <c r="H3322" s="10" t="s">
        <v>809</v>
      </c>
      <c r="I3322" s="10">
        <v>1.0</v>
      </c>
      <c r="J3322" s="11" t="str">
        <f>IF(D3322&lt;&gt;"",VLOOKUP(H3322,TABLEITEM,5,FALSE),"")</f>
        <v>ท่อ</v>
      </c>
      <c r="K3322" s="12">
        <v>2700.0</v>
      </c>
      <c r="L3322" s="13" t="str">
        <f>IF(D3322&lt;&gt;"",VLOOKUP(H3322,TABLEITEM,2,FALSE),"")</f>
        <v/>
      </c>
      <c r="M3322" s="13" t="str">
        <f>IF(D3322&lt;&gt;"",VLOOKUP(H3322,TABLEITEM,3,FALSE),"")</f>
        <v>ไนโตรเจนเหลว ขนาด 100คิว</v>
      </c>
      <c r="N3322" s="14">
        <f>INSTOCK!$I3322*INSTOCK!$K3322</f>
        <v>2700</v>
      </c>
      <c r="O3322" s="4"/>
      <c r="P3322" s="4"/>
    </row>
    <row r="3323" ht="15.75" hidden="1" customHeight="1">
      <c r="B3323" s="8">
        <v>3642.0</v>
      </c>
      <c r="C3323" s="9">
        <v>43600.0</v>
      </c>
      <c r="D3323" s="6" t="s">
        <v>4402</v>
      </c>
      <c r="E3323" s="4"/>
      <c r="F3323" s="8" t="s">
        <v>4403</v>
      </c>
      <c r="G3323" s="4" t="s">
        <v>4404</v>
      </c>
      <c r="H3323" s="10" t="s">
        <v>4405</v>
      </c>
      <c r="I3323" s="10">
        <v>1.0</v>
      </c>
      <c r="J3323" s="11" t="str">
        <f>IF(D3323&lt;&gt;"",VLOOKUP(H3323,TABLEITEM,5,FALSE),"")</f>
        <v>EA</v>
      </c>
      <c r="K3323" s="12">
        <v>459.0</v>
      </c>
      <c r="L3323" s="13" t="str">
        <f>IF(D3323&lt;&gt;"",VLOOKUP(H3323,TABLEITEM,2,FALSE),"")</f>
        <v/>
      </c>
      <c r="M3323" s="13" t="str">
        <f>IF(D3323&lt;&gt;"",VLOOKUP(H3323,TABLEITEM,3,FALSE),"")</f>
        <v>ท่อกลมสเตนเลส 1" T1.2mm</v>
      </c>
      <c r="N3323" s="14">
        <f>INSTOCK!$I3323*INSTOCK!$K3323</f>
        <v>459</v>
      </c>
      <c r="O3323" s="4"/>
      <c r="P3323" s="4"/>
    </row>
    <row r="3324" ht="15.75" hidden="1" customHeight="1">
      <c r="B3324" s="8">
        <v>3643.0</v>
      </c>
      <c r="C3324" s="9">
        <v>43600.0</v>
      </c>
      <c r="D3324" s="6" t="s">
        <v>4402</v>
      </c>
      <c r="E3324" s="4"/>
      <c r="F3324" s="8" t="s">
        <v>4403</v>
      </c>
      <c r="G3324" s="4" t="s">
        <v>4404</v>
      </c>
      <c r="H3324" s="10" t="s">
        <v>4406</v>
      </c>
      <c r="I3324" s="10">
        <v>1.0</v>
      </c>
      <c r="J3324" s="11" t="str">
        <f>IF(D3324&lt;&gt;"",VLOOKUP(H3324,TABLEITEM,5,FALSE),"")</f>
        <v>EA</v>
      </c>
      <c r="K3324" s="12">
        <v>663.0</v>
      </c>
      <c r="L3324" s="13" t="str">
        <f>IF(D3324&lt;&gt;"",VLOOKUP(H3324,TABLEITEM,2,FALSE),"")</f>
        <v/>
      </c>
      <c r="M3324" s="13" t="str">
        <f>IF(D3324&lt;&gt;"",VLOOKUP(H3324,TABLEITEM,3,FALSE),"")</f>
        <v>ท่อกลมสเตนเลส 1-1/2" T1.2mm</v>
      </c>
      <c r="N3324" s="14">
        <f>INSTOCK!$I3324*INSTOCK!$K3324</f>
        <v>663</v>
      </c>
      <c r="O3324" s="4"/>
      <c r="P3324" s="4"/>
    </row>
    <row r="3325" ht="15.75" hidden="1" customHeight="1">
      <c r="B3325" s="8">
        <v>3644.0</v>
      </c>
      <c r="C3325" s="9">
        <v>43600.0</v>
      </c>
      <c r="D3325" s="6" t="s">
        <v>4402</v>
      </c>
      <c r="E3325" s="4"/>
      <c r="F3325" s="8" t="s">
        <v>4403</v>
      </c>
      <c r="G3325" s="4" t="s">
        <v>4404</v>
      </c>
      <c r="H3325" s="10" t="s">
        <v>4407</v>
      </c>
      <c r="I3325" s="10">
        <v>8.0</v>
      </c>
      <c r="J3325" s="11" t="str">
        <f>IF(D3325&lt;&gt;"",VLOOKUP(H3325,TABLEITEM,5,FALSE),"")</f>
        <v>EA</v>
      </c>
      <c r="K3325" s="12">
        <v>45.0</v>
      </c>
      <c r="L3325" s="13" t="str">
        <f>IF(D3325&lt;&gt;"",VLOOKUP(H3325,TABLEITEM,2,FALSE),"")</f>
        <v/>
      </c>
      <c r="M3325" s="13" t="str">
        <f>IF(D3325&lt;&gt;"",VLOOKUP(H3325,TABLEITEM,3,FALSE),"")</f>
        <v>ขาปรับระดับกลม 1-1/2"</v>
      </c>
      <c r="N3325" s="14">
        <f>INSTOCK!$I3325*INSTOCK!$K3325</f>
        <v>360</v>
      </c>
      <c r="O3325" s="4"/>
      <c r="P3325" s="4"/>
    </row>
    <row r="3326" ht="15.75" hidden="1" customHeight="1">
      <c r="B3326" s="8">
        <v>3645.0</v>
      </c>
      <c r="C3326" s="9">
        <v>43600.0</v>
      </c>
      <c r="D3326" s="6" t="s">
        <v>4402</v>
      </c>
      <c r="E3326" s="4"/>
      <c r="F3326" s="8" t="s">
        <v>4403</v>
      </c>
      <c r="G3326" s="4" t="s">
        <v>4404</v>
      </c>
      <c r="H3326" s="10" t="s">
        <v>4408</v>
      </c>
      <c r="I3326" s="10">
        <v>4.0</v>
      </c>
      <c r="J3326" s="11" t="str">
        <f>IF(D3326&lt;&gt;"",VLOOKUP(H3326,TABLEITEM,5,FALSE),"")</f>
        <v>EA</v>
      </c>
      <c r="K3326" s="12">
        <v>35.0</v>
      </c>
      <c r="L3326" s="13" t="str">
        <f>IF(D3326&lt;&gt;"",VLOOKUP(H3326,TABLEITEM,2,FALSE),"")</f>
        <v/>
      </c>
      <c r="M3326" s="13" t="str">
        <f>IF(D3326&lt;&gt;"",VLOOKUP(H3326,TABLEITEM,3,FALSE),"")</f>
        <v>จานทรายผ้าคิงส์ (ครอบขาโต๊ะ1-1/2")</v>
      </c>
      <c r="N3326" s="14">
        <f>INSTOCK!$I3326*INSTOCK!$K3326</f>
        <v>140</v>
      </c>
      <c r="O3326" s="4"/>
      <c r="P3326" s="4"/>
    </row>
    <row r="3327" ht="15.75" hidden="1" customHeight="1">
      <c r="B3327" s="8">
        <v>3646.0</v>
      </c>
      <c r="C3327" s="9">
        <v>43208.0</v>
      </c>
      <c r="D3327" s="6" t="s">
        <v>4409</v>
      </c>
      <c r="E3327" s="4">
        <v>6.204000451E9</v>
      </c>
      <c r="F3327" s="8" t="s">
        <v>4410</v>
      </c>
      <c r="G3327" s="4" t="s">
        <v>1485</v>
      </c>
      <c r="H3327" s="10" t="s">
        <v>1839</v>
      </c>
      <c r="I3327" s="10">
        <v>1.0</v>
      </c>
      <c r="J3327" s="11" t="str">
        <f>IF(D3327&lt;&gt;"",VLOOKUP(H3327,TABLEITEM,5,FALSE),"")</f>
        <v>EA</v>
      </c>
      <c r="K3327" s="12">
        <v>90.2</v>
      </c>
      <c r="L3327" s="13" t="str">
        <f>IF(D3327&lt;&gt;"",VLOOKUP(H3327,TABLEITEM,2,FALSE),"")</f>
        <v/>
      </c>
      <c r="M3327" s="13" t="str">
        <f>IF(D3327&lt;&gt;"",VLOOKUP(H3327,TABLEITEM,3,FALSE),"")</f>
        <v>MINIATURE RELAY LED 4C/O 230VAC 3A</v>
      </c>
      <c r="N3327" s="14">
        <f>INSTOCK!$I3327*INSTOCK!$K3327</f>
        <v>90.2</v>
      </c>
      <c r="O3327" s="4"/>
      <c r="P3327" s="4"/>
    </row>
    <row r="3328" ht="15.75" hidden="1" customHeight="1">
      <c r="B3328" s="8">
        <v>3647.0</v>
      </c>
      <c r="C3328" s="9">
        <v>43208.0</v>
      </c>
      <c r="D3328" s="6" t="s">
        <v>4409</v>
      </c>
      <c r="E3328" s="4">
        <v>6.204000451E9</v>
      </c>
      <c r="F3328" s="8" t="s">
        <v>4410</v>
      </c>
      <c r="G3328" s="4" t="s">
        <v>1485</v>
      </c>
      <c r="H3328" s="10" t="s">
        <v>4411</v>
      </c>
      <c r="I3328" s="10">
        <v>1.0</v>
      </c>
      <c r="J3328" s="11" t="str">
        <f>IF(D3328&lt;&gt;"",VLOOKUP(H3328,TABLEITEM,5,FALSE),"")</f>
        <v>EA</v>
      </c>
      <c r="K3328" s="12">
        <v>43.12</v>
      </c>
      <c r="L3328" s="13" t="str">
        <f>IF(D3328&lt;&gt;"",VLOOKUP(H3328,TABLEITEM,2,FALSE),"")</f>
        <v/>
      </c>
      <c r="M3328" s="13" t="str">
        <f>IF(D3328&lt;&gt;"",VLOOKUP(H3328,TABLEITEM,3,FALSE),"")</f>
        <v>RELAY RXZ RELAY SOCKET 7A 250V</v>
      </c>
      <c r="N3328" s="14">
        <f>INSTOCK!$I3328*INSTOCK!$K3328</f>
        <v>43.12</v>
      </c>
      <c r="O3328" s="4"/>
      <c r="P3328" s="4"/>
    </row>
    <row r="3329" ht="15.75" hidden="1" customHeight="1">
      <c r="B3329" s="8">
        <v>3648.0</v>
      </c>
      <c r="C3329" s="9">
        <v>43208.0</v>
      </c>
      <c r="D3329" s="6" t="s">
        <v>4409</v>
      </c>
      <c r="E3329" s="4">
        <v>6.204000451E9</v>
      </c>
      <c r="F3329" s="8" t="s">
        <v>4410</v>
      </c>
      <c r="G3329" s="4" t="s">
        <v>1485</v>
      </c>
      <c r="H3329" s="10" t="s">
        <v>2158</v>
      </c>
      <c r="I3329" s="10">
        <v>5.0</v>
      </c>
      <c r="J3329" s="11" t="str">
        <f>IF(D3329&lt;&gt;"",VLOOKUP(H3329,TABLEITEM,5,FALSE),"")</f>
        <v>EA</v>
      </c>
      <c r="K3329" s="12">
        <v>541.2</v>
      </c>
      <c r="L3329" s="13" t="str">
        <f>IF(D3329&lt;&gt;"",VLOOKUP(H3329,TABLEITEM,2,FALSE),"")</f>
        <v/>
      </c>
      <c r="M3329" s="13" t="str">
        <f>IF(D3329&lt;&gt;"",VLOOKUP(H3329,TABLEITEM,3,FALSE),"")</f>
        <v>OVERLOAD RALAY 2.5-4A CLASS 10A</v>
      </c>
      <c r="N3329" s="14">
        <f>INSTOCK!$I3329*INSTOCK!$K3329</f>
        <v>2706</v>
      </c>
      <c r="O3329" s="4"/>
      <c r="P3329" s="4"/>
    </row>
    <row r="3330" ht="15.75" hidden="1" customHeight="1">
      <c r="B3330" s="8">
        <v>3649.0</v>
      </c>
      <c r="C3330" s="9">
        <v>43208.0</v>
      </c>
      <c r="D3330" s="6" t="s">
        <v>4409</v>
      </c>
      <c r="E3330" s="4">
        <v>6.204000451E9</v>
      </c>
      <c r="F3330" s="8" t="s">
        <v>4410</v>
      </c>
      <c r="G3330" s="4" t="s">
        <v>1485</v>
      </c>
      <c r="H3330" s="10" t="s">
        <v>1584</v>
      </c>
      <c r="I3330" s="10">
        <v>2.0</v>
      </c>
      <c r="J3330" s="11" t="str">
        <f>IF(D3330&lt;&gt;"",VLOOKUP(H3330,TABLEITEM,5,FALSE),"")</f>
        <v>EA</v>
      </c>
      <c r="K3330" s="12">
        <v>134.2</v>
      </c>
      <c r="L3330" s="13" t="str">
        <f>IF(D3330&lt;&gt;"",VLOOKUP(H3330,TABLEITEM,2,FALSE),"")</f>
        <v/>
      </c>
      <c r="M3330" s="13" t="str">
        <f>IF(D3330&lt;&gt;"",VLOOKUP(H3330,TABLEITEM,3,FALSE),"")</f>
        <v>HARMONY XB4 SINGLE CONTACT ZB4BZ101</v>
      </c>
      <c r="N3330" s="14">
        <f>INSTOCK!$I3330*INSTOCK!$K3330</f>
        <v>268.4</v>
      </c>
      <c r="O3330" s="4"/>
      <c r="P3330" s="4"/>
    </row>
    <row r="3331" ht="15.75" hidden="1" customHeight="1">
      <c r="B3331" s="8">
        <v>3650.0</v>
      </c>
      <c r="C3331" s="9">
        <v>43208.0</v>
      </c>
      <c r="D3331" s="6" t="s">
        <v>4409</v>
      </c>
      <c r="E3331" s="4">
        <v>6.204000451E9</v>
      </c>
      <c r="F3331" s="8" t="s">
        <v>4410</v>
      </c>
      <c r="G3331" s="4" t="s">
        <v>1485</v>
      </c>
      <c r="H3331" s="10" t="s">
        <v>1584</v>
      </c>
      <c r="I3331" s="10">
        <v>3.0</v>
      </c>
      <c r="J3331" s="11" t="str">
        <f>IF(D3331&lt;&gt;"",VLOOKUP(H3331,TABLEITEM,5,FALSE),"")</f>
        <v>EA</v>
      </c>
      <c r="K3331" s="12">
        <v>134.2</v>
      </c>
      <c r="L3331" s="13" t="str">
        <f>IF(D3331&lt;&gt;"",VLOOKUP(H3331,TABLEITEM,2,FALSE),"")</f>
        <v/>
      </c>
      <c r="M3331" s="13" t="str">
        <f>IF(D3331&lt;&gt;"",VLOOKUP(H3331,TABLEITEM,3,FALSE),"")</f>
        <v>HARMONY XB4 SINGLE CONTACT ZB4BZ101</v>
      </c>
      <c r="N3331" s="14">
        <f>INSTOCK!$I3331*INSTOCK!$K3331</f>
        <v>402.6</v>
      </c>
      <c r="O3331" s="4"/>
      <c r="P3331" s="4"/>
    </row>
    <row r="3332" ht="15.75" hidden="1" customHeight="1">
      <c r="B3332" s="8">
        <v>3651.0</v>
      </c>
      <c r="C3332" s="9">
        <v>43207.0</v>
      </c>
      <c r="D3332" s="6">
        <v>4.1803084E8</v>
      </c>
      <c r="E3332" s="4">
        <v>6.10400044E9</v>
      </c>
      <c r="F3332" s="8" t="s">
        <v>604</v>
      </c>
      <c r="G3332" s="4" t="s">
        <v>1274</v>
      </c>
      <c r="H3332" s="10" t="s">
        <v>21</v>
      </c>
      <c r="I3332" s="10">
        <v>400.0</v>
      </c>
      <c r="J3332" s="11" t="str">
        <f>IF(D3332&lt;&gt;"",VLOOKUP(H3332,TABLEITEM,5,FALSE),"")</f>
        <v>EA</v>
      </c>
      <c r="K3332" s="12">
        <v>45.0</v>
      </c>
      <c r="L3332" s="13" t="str">
        <f>IF(D3332&lt;&gt;"",VLOOKUP(H3332,TABLEITEM,2,FALSE),"")</f>
        <v/>
      </c>
      <c r="M3332" s="13" t="str">
        <f>IF(D3332&lt;&gt;"",VLOOKUP(H3332,TABLEITEM,3,FALSE),"")</f>
        <v>ใบหินเจียร์ 4'' </v>
      </c>
      <c r="N3332" s="14">
        <f>INSTOCK!$I3332*INSTOCK!$K3332</f>
        <v>18000</v>
      </c>
      <c r="O3332" s="4"/>
      <c r="P3332" s="4"/>
    </row>
    <row r="3333" ht="15.75" hidden="1" customHeight="1">
      <c r="B3333" s="8">
        <v>3652.0</v>
      </c>
      <c r="C3333" s="9">
        <v>43207.0</v>
      </c>
      <c r="D3333" s="6">
        <v>6.10403725E8</v>
      </c>
      <c r="E3333" s="4">
        <v>6.104000447E9</v>
      </c>
      <c r="F3333" s="8"/>
      <c r="G3333" s="4" t="s">
        <v>1130</v>
      </c>
      <c r="H3333" s="10" t="s">
        <v>4412</v>
      </c>
      <c r="I3333" s="10">
        <v>1.0</v>
      </c>
      <c r="J3333" s="11" t="str">
        <f>IF(D3333&lt;&gt;"",VLOOKUP(H3333,TABLEITEM,5,FALSE),"")</f>
        <v>EA</v>
      </c>
      <c r="K3333" s="12">
        <v>1551.0</v>
      </c>
      <c r="L3333" s="13" t="str">
        <f>IF(D3333&lt;&gt;"",VLOOKUP(H3333,TABLEITEM,2,FALSE),"")</f>
        <v/>
      </c>
      <c r="M3333" s="13" t="str">
        <f>IF(D3333&lt;&gt;"",VLOOKUP(H3333,TABLEITEM,3,FALSE),"")</f>
        <v>BREAKER NF125-CV 3P80A</v>
      </c>
      <c r="N3333" s="14">
        <f>INSTOCK!$I3333*INSTOCK!$K3333</f>
        <v>1551</v>
      </c>
      <c r="O3333" s="4" t="s">
        <v>4413</v>
      </c>
      <c r="P3333" s="4"/>
    </row>
    <row r="3334" ht="15.75" hidden="1" customHeight="1">
      <c r="B3334" s="8">
        <v>3653.0</v>
      </c>
      <c r="C3334" s="9">
        <v>43207.0</v>
      </c>
      <c r="D3334" s="6">
        <v>6.10403725E8</v>
      </c>
      <c r="E3334" s="4">
        <v>6.104000447E9</v>
      </c>
      <c r="F3334" s="8"/>
      <c r="G3334" s="4" t="s">
        <v>1130</v>
      </c>
      <c r="H3334" s="10" t="s">
        <v>4414</v>
      </c>
      <c r="I3334" s="10">
        <v>2.0</v>
      </c>
      <c r="J3334" s="11" t="str">
        <f>IF(D3334&lt;&gt;"",VLOOKUP(H3334,TABLEITEM,5,FALSE),"")</f>
        <v>EA</v>
      </c>
      <c r="K3334" s="12">
        <v>893.0</v>
      </c>
      <c r="L3334" s="13" t="str">
        <f>IF(D3334&lt;&gt;"",VLOOKUP(H3334,TABLEITEM,2,FALSE),"")</f>
        <v/>
      </c>
      <c r="M3334" s="13" t="str">
        <f>IF(D3334&lt;&gt;"",VLOOKUP(H3334,TABLEITEM,3,FALSE),"")</f>
        <v>BREAKER NF63-CV 3P50A</v>
      </c>
      <c r="N3334" s="14">
        <f>INSTOCK!$I3334*INSTOCK!$K3334</f>
        <v>1786</v>
      </c>
      <c r="O3334" s="4" t="s">
        <v>4386</v>
      </c>
      <c r="P3334" s="4"/>
    </row>
    <row r="3335" ht="15.75" hidden="1" customHeight="1">
      <c r="B3335" s="8">
        <v>3654.0</v>
      </c>
      <c r="C3335" s="9">
        <v>43207.0</v>
      </c>
      <c r="D3335" s="6">
        <v>6.10403725E8</v>
      </c>
      <c r="E3335" s="4">
        <v>6.104000447E9</v>
      </c>
      <c r="F3335" s="8"/>
      <c r="G3335" s="4" t="s">
        <v>1130</v>
      </c>
      <c r="H3335" s="10" t="s">
        <v>4415</v>
      </c>
      <c r="I3335" s="10">
        <v>1.0</v>
      </c>
      <c r="J3335" s="11" t="str">
        <f>IF(D3335&lt;&gt;"",VLOOKUP(H3335,TABLEITEM,5,FALSE),"")</f>
        <v>EA</v>
      </c>
      <c r="K3335" s="12">
        <v>893.0</v>
      </c>
      <c r="L3335" s="13" t="str">
        <f>IF(D3335&lt;&gt;"",VLOOKUP(H3335,TABLEITEM,2,FALSE),"")</f>
        <v/>
      </c>
      <c r="M3335" s="13" t="str">
        <f>IF(D3335&lt;&gt;"",VLOOKUP(H3335,TABLEITEM,3,FALSE),"")</f>
        <v>BREAKER NF63-CV 3P40A</v>
      </c>
      <c r="N3335" s="14">
        <f>INSTOCK!$I3335*INSTOCK!$K3335</f>
        <v>893</v>
      </c>
      <c r="O3335" s="4" t="s">
        <v>4386</v>
      </c>
      <c r="P3335" s="4"/>
    </row>
    <row r="3336" ht="15.75" hidden="1" customHeight="1">
      <c r="B3336" s="8">
        <v>3655.0</v>
      </c>
      <c r="C3336" s="9">
        <v>43207.0</v>
      </c>
      <c r="D3336" s="6">
        <v>6.10403725E8</v>
      </c>
      <c r="E3336" s="4">
        <v>6.104000447E9</v>
      </c>
      <c r="F3336" s="8"/>
      <c r="G3336" s="4" t="s">
        <v>1130</v>
      </c>
      <c r="H3336" s="10" t="s">
        <v>4385</v>
      </c>
      <c r="I3336" s="10">
        <v>1.0</v>
      </c>
      <c r="J3336" s="11" t="str">
        <f>IF(D3336&lt;&gt;"",VLOOKUP(H3336,TABLEITEM,5,FALSE),"")</f>
        <v>EA</v>
      </c>
      <c r="K3336" s="12">
        <v>893.0</v>
      </c>
      <c r="L3336" s="13" t="str">
        <f>IF(D3336&lt;&gt;"",VLOOKUP(H3336,TABLEITEM,2,FALSE),"")</f>
        <v/>
      </c>
      <c r="M3336" s="13" t="str">
        <f>IF(D3336&lt;&gt;"",VLOOKUP(H3336,TABLEITEM,3,FALSE),"")</f>
        <v>BREAKER NF63 CV 3P 32A</v>
      </c>
      <c r="N3336" s="14">
        <f>INSTOCK!$I3336*INSTOCK!$K3336</f>
        <v>893</v>
      </c>
      <c r="O3336" s="4" t="s">
        <v>4386</v>
      </c>
      <c r="P3336" s="4"/>
    </row>
    <row r="3337" ht="15.75" hidden="1" customHeight="1">
      <c r="B3337" s="8">
        <v>3656.0</v>
      </c>
      <c r="C3337" s="9">
        <v>43207.0</v>
      </c>
      <c r="D3337" s="6">
        <v>6.10403725E8</v>
      </c>
      <c r="E3337" s="4">
        <v>6.104000447E9</v>
      </c>
      <c r="F3337" s="8"/>
      <c r="G3337" s="4" t="s">
        <v>1130</v>
      </c>
      <c r="H3337" s="10" t="s">
        <v>3116</v>
      </c>
      <c r="I3337" s="10">
        <v>3.0</v>
      </c>
      <c r="J3337" s="11" t="str">
        <f>IF(D3337&lt;&gt;"",VLOOKUP(H3337,TABLEITEM,5,FALSE),"")</f>
        <v>EA</v>
      </c>
      <c r="K3337" s="12">
        <v>121.123</v>
      </c>
      <c r="L3337" s="13" t="str">
        <f>IF(D3337&lt;&gt;"",VLOOKUP(H3337,TABLEITEM,2,FALSE),"")</f>
        <v/>
      </c>
      <c r="M3337" s="13" t="str">
        <f>IF(D3337&lt;&gt;"",VLOOKUP(H3337,TABLEITEM,3,FALSE),"")</f>
        <v>CT100/5 MSQ40</v>
      </c>
      <c r="N3337" s="14">
        <f>INSTOCK!$I3337*INSTOCK!$K3337</f>
        <v>363.369</v>
      </c>
      <c r="O3337" s="4" t="s">
        <v>1898</v>
      </c>
      <c r="P3337" s="4"/>
    </row>
    <row r="3338" ht="15.75" hidden="1" customHeight="1">
      <c r="B3338" s="8">
        <v>3657.0</v>
      </c>
      <c r="C3338" s="9">
        <v>43207.0</v>
      </c>
      <c r="D3338" s="6" t="s">
        <v>4416</v>
      </c>
      <c r="E3338" s="4">
        <v>6.104000448E9</v>
      </c>
      <c r="F3338" s="8" t="s">
        <v>4417</v>
      </c>
      <c r="G3338" s="4" t="s">
        <v>1485</v>
      </c>
      <c r="H3338" s="10" t="s">
        <v>1853</v>
      </c>
      <c r="I3338" s="10">
        <v>5.0</v>
      </c>
      <c r="J3338" s="11" t="str">
        <f>IF(D3338&lt;&gt;"",VLOOKUP(H3338,TABLEITEM,5,FALSE),"")</f>
        <v>EA</v>
      </c>
      <c r="K3338" s="12">
        <v>554.4</v>
      </c>
      <c r="L3338" s="13" t="str">
        <f>IF(D3338&lt;&gt;"",VLOOKUP(H3338,TABLEITEM,2,FALSE),"")</f>
        <v/>
      </c>
      <c r="M3338" s="13" t="str">
        <f>IF(D3338&lt;&gt;"",VLOOKUP(H3338,TABLEITEM,3,FALSE),"")</f>
        <v>K CAM SWITCH K1F003MLH</v>
      </c>
      <c r="N3338" s="14">
        <f>INSTOCK!$I3338*INSTOCK!$K3338</f>
        <v>2772</v>
      </c>
      <c r="O3338" s="4"/>
      <c r="P3338" s="4"/>
    </row>
    <row r="3339" ht="15.75" hidden="1" customHeight="1">
      <c r="B3339" s="8">
        <v>3658.0</v>
      </c>
      <c r="C3339" s="9">
        <v>43207.0</v>
      </c>
      <c r="D3339" s="6" t="s">
        <v>4416</v>
      </c>
      <c r="E3339" s="4">
        <v>6.104000448E9</v>
      </c>
      <c r="F3339" s="8" t="s">
        <v>4417</v>
      </c>
      <c r="G3339" s="4" t="s">
        <v>1485</v>
      </c>
      <c r="H3339" s="10" t="s">
        <v>1841</v>
      </c>
      <c r="I3339" s="10">
        <v>5.0</v>
      </c>
      <c r="J3339" s="11" t="str">
        <f>IF(D3339&lt;&gt;"",VLOOKUP(H3339,TABLEITEM,5,FALSE),"")</f>
        <v>EA</v>
      </c>
      <c r="K3339" s="12">
        <v>554.4</v>
      </c>
      <c r="L3339" s="13" t="str">
        <f>IF(D3339&lt;&gt;"",VLOOKUP(H3339,TABLEITEM,2,FALSE),"")</f>
        <v/>
      </c>
      <c r="M3339" s="13" t="str">
        <f>IF(D3339&lt;&gt;"",VLOOKUP(H3339,TABLEITEM,3,FALSE),"")</f>
        <v>K CAM SWITCH 3L AND 3L-N 45 12A</v>
      </c>
      <c r="N3339" s="14">
        <f>INSTOCK!$I3339*INSTOCK!$K3339</f>
        <v>2772</v>
      </c>
      <c r="O3339" s="4"/>
      <c r="P3339" s="4"/>
    </row>
    <row r="3340" ht="15.75" hidden="1" customHeight="1">
      <c r="B3340" s="8">
        <v>3659.0</v>
      </c>
      <c r="C3340" s="9">
        <v>43207.0</v>
      </c>
      <c r="D3340" s="6" t="s">
        <v>4418</v>
      </c>
      <c r="E3340" s="4"/>
      <c r="F3340" s="8"/>
      <c r="G3340" s="4" t="s">
        <v>4419</v>
      </c>
      <c r="H3340" s="10" t="s">
        <v>4420</v>
      </c>
      <c r="I3340" s="10">
        <v>2.0</v>
      </c>
      <c r="J3340" s="11" t="str">
        <f>IF(D3340&lt;&gt;"",VLOOKUP(H3340,TABLEITEM,5,FALSE),"")</f>
        <v>EA</v>
      </c>
      <c r="K3340" s="12">
        <v>265.0</v>
      </c>
      <c r="L3340" s="13" t="str">
        <f>IF(D3340&lt;&gt;"",VLOOKUP(H3340,TABLEITEM,2,FALSE),"")</f>
        <v/>
      </c>
      <c r="M3340" s="13" t="str">
        <f>IF(D3340&lt;&gt;"",VLOOKUP(H3340,TABLEITEM,3,FALSE),"")</f>
        <v>T-001304 Variable RA30Y25SB202 2KOHM TOCOS</v>
      </c>
      <c r="N3340" s="14">
        <f>INSTOCK!$I3340*INSTOCK!$K3340</f>
        <v>530</v>
      </c>
      <c r="O3340" s="4"/>
      <c r="P3340" s="4"/>
    </row>
    <row r="3341" ht="15.75" hidden="1" customHeight="1">
      <c r="B3341" s="8">
        <v>3660.0</v>
      </c>
      <c r="C3341" s="9">
        <v>43207.0</v>
      </c>
      <c r="D3341" s="6" t="s">
        <v>4418</v>
      </c>
      <c r="E3341" s="4"/>
      <c r="F3341" s="8"/>
      <c r="G3341" s="4" t="s">
        <v>4419</v>
      </c>
      <c r="H3341" s="10" t="s">
        <v>4421</v>
      </c>
      <c r="I3341" s="10">
        <v>2.0</v>
      </c>
      <c r="J3341" s="11" t="str">
        <f>IF(D3341&lt;&gt;"",VLOOKUP(H3341,TABLEITEM,5,FALSE),"")</f>
        <v>EA</v>
      </c>
      <c r="K3341" s="12">
        <v>165.0</v>
      </c>
      <c r="L3341" s="13" t="str">
        <f>IF(D3341&lt;&gt;"",VLOOKUP(H3341,TABLEITEM,2,FALSE),"")</f>
        <v/>
      </c>
      <c r="M3341" s="13" t="str">
        <f>IF(D3341&lt;&gt;"",VLOOKUP(H3341,TABLEITEM,3,FALSE),"")</f>
        <v>KNOB SATO 2901-M</v>
      </c>
      <c r="N3341" s="14">
        <f>INSTOCK!$I3341*INSTOCK!$K3341</f>
        <v>330</v>
      </c>
      <c r="O3341" s="4"/>
      <c r="P3341" s="4"/>
    </row>
    <row r="3342" ht="15.75" hidden="1" customHeight="1">
      <c r="B3342" s="8">
        <v>3661.0</v>
      </c>
      <c r="C3342" s="9">
        <v>43207.0</v>
      </c>
      <c r="D3342" s="6">
        <v>78891.0</v>
      </c>
      <c r="E3342" s="4">
        <v>6.104000444E9</v>
      </c>
      <c r="F3342" s="8" t="s">
        <v>604</v>
      </c>
      <c r="G3342" s="4" t="s">
        <v>1546</v>
      </c>
      <c r="H3342" s="10" t="s">
        <v>1547</v>
      </c>
      <c r="I3342" s="10">
        <v>10.0</v>
      </c>
      <c r="J3342" s="11" t="str">
        <f>IF(D3342&lt;&gt;"",VLOOKUP(H3342,TABLEITEM,5,FALSE),"")</f>
        <v>EA</v>
      </c>
      <c r="K3342" s="12">
        <v>490.0</v>
      </c>
      <c r="L3342" s="13" t="str">
        <f>IF(D3342&lt;&gt;"",VLOOKUP(H3342,TABLEITEM,2,FALSE),"")</f>
        <v/>
      </c>
      <c r="M3342" s="13" t="str">
        <f>IF(D3342&lt;&gt;"",VLOOKUP(H3342,TABLEITEM,3,FALSE),"")</f>
        <v>ล้อขัดใยสังเคราะห์ 100x100x35mmAC/R8</v>
      </c>
      <c r="N3342" s="14">
        <f>INSTOCK!$I3342*INSTOCK!$K3342</f>
        <v>4900</v>
      </c>
      <c r="O3342" s="4"/>
      <c r="P3342" s="4"/>
    </row>
    <row r="3343" ht="15.75" hidden="1" customHeight="1">
      <c r="B3343" s="8">
        <v>3662.0</v>
      </c>
      <c r="C3343" s="9">
        <v>43201.0</v>
      </c>
      <c r="D3343" s="6">
        <v>5872.0</v>
      </c>
      <c r="E3343" s="4">
        <v>6.104000443E9</v>
      </c>
      <c r="F3343" s="8" t="s">
        <v>604</v>
      </c>
      <c r="G3343" s="4" t="s">
        <v>1009</v>
      </c>
      <c r="H3343" s="10" t="s">
        <v>1010</v>
      </c>
      <c r="I3343" s="10">
        <v>100.0</v>
      </c>
      <c r="J3343" s="11" t="str">
        <f>IF(D3343&lt;&gt;"",VLOOKUP(H3343,TABLEITEM,5,FALSE),"")</f>
        <v>EA</v>
      </c>
      <c r="K3343" s="12">
        <v>200.0</v>
      </c>
      <c r="L3343" s="13" t="str">
        <f>IF(D3343&lt;&gt;"",VLOOKUP(H3343,TABLEITEM,2,FALSE),"")</f>
        <v/>
      </c>
      <c r="M3343" s="13" t="str">
        <f>IF(D3343&lt;&gt;"",VLOOKUP(H3343,TABLEITEM,3,FALSE),"")</f>
        <v>กุญแจMS306-1-1</v>
      </c>
      <c r="N3343" s="14">
        <f>INSTOCK!$I3343*INSTOCK!$K3343</f>
        <v>20000</v>
      </c>
      <c r="O3343" s="4"/>
      <c r="P3343" s="4"/>
    </row>
    <row r="3344" ht="15.75" hidden="1" customHeight="1">
      <c r="B3344" s="8">
        <v>3663.0</v>
      </c>
      <c r="C3344" s="9">
        <v>43200.0</v>
      </c>
      <c r="D3344" s="6" t="s">
        <v>4422</v>
      </c>
      <c r="E3344" s="4">
        <v>6.104000442E9</v>
      </c>
      <c r="F3344" s="8" t="s">
        <v>4423</v>
      </c>
      <c r="G3344" s="4" t="s">
        <v>1446</v>
      </c>
      <c r="H3344" s="10" t="s">
        <v>4424</v>
      </c>
      <c r="I3344" s="10">
        <v>6.0</v>
      </c>
      <c r="J3344" s="11" t="str">
        <f>IF(D3344&lt;&gt;"",VLOOKUP(H3344,TABLEITEM,5,FALSE),"")</f>
        <v>EA</v>
      </c>
      <c r="K3344" s="12">
        <v>360.0</v>
      </c>
      <c r="L3344" s="13" t="str">
        <f>IF(D3344&lt;&gt;"",VLOOKUP(H3344,TABLEITEM,2,FALSE),"")</f>
        <v/>
      </c>
      <c r="M3344" s="13" t="str">
        <f>IF(D3344&lt;&gt;"",VLOOKUP(H3344,TABLEITEM,3,FALSE),"")</f>
        <v>พัดลมดูดอากาศ 4.5" WB123A-2LG+ตะแกรง G120</v>
      </c>
      <c r="N3344" s="14">
        <f>INSTOCK!$I3344*INSTOCK!$K3344</f>
        <v>2160</v>
      </c>
      <c r="O3344" s="4" t="s">
        <v>4425</v>
      </c>
      <c r="P3344" s="4"/>
    </row>
    <row r="3345" ht="15.75" hidden="1" customHeight="1">
      <c r="B3345" s="8">
        <v>3664.0</v>
      </c>
      <c r="C3345" s="9">
        <v>43200.0</v>
      </c>
      <c r="D3345" s="6" t="s">
        <v>4426</v>
      </c>
      <c r="E3345" s="4">
        <v>6.103000393E9</v>
      </c>
      <c r="F3345" s="8" t="s">
        <v>4427</v>
      </c>
      <c r="G3345" s="4" t="s">
        <v>2121</v>
      </c>
      <c r="H3345" s="10" t="s">
        <v>4428</v>
      </c>
      <c r="I3345" s="10">
        <v>522.0</v>
      </c>
      <c r="J3345" s="11" t="str">
        <f>IF(D3345&lt;&gt;"",VLOOKUP(H3345,TABLEITEM,5,FALSE),"")</f>
        <v>EA</v>
      </c>
      <c r="K3345" s="12">
        <v>5.0</v>
      </c>
      <c r="L3345" s="13" t="str">
        <f>IF(D3345&lt;&gt;"",VLOOKUP(H3345,TABLEITEM,2,FALSE),"")</f>
        <v/>
      </c>
      <c r="M3345" s="13" t="str">
        <f>IF(D3345&lt;&gt;"",VLOOKUP(H3345,TABLEITEM,3,FALSE),"")</f>
        <v>สตัดเกลียว 2 ข้าง M8x50</v>
      </c>
      <c r="N3345" s="14">
        <f>INSTOCK!$I3345*INSTOCK!$K3345</f>
        <v>2610</v>
      </c>
      <c r="O3345" s="4"/>
      <c r="P3345" s="4"/>
    </row>
    <row r="3346" ht="15.75" hidden="1" customHeight="1">
      <c r="B3346" s="8">
        <v>3665.0</v>
      </c>
      <c r="C3346" s="9">
        <v>43200.0</v>
      </c>
      <c r="D3346" s="6" t="s">
        <v>4426</v>
      </c>
      <c r="E3346" s="4">
        <v>6.103000393E9</v>
      </c>
      <c r="F3346" s="8" t="s">
        <v>4427</v>
      </c>
      <c r="G3346" s="4" t="s">
        <v>2121</v>
      </c>
      <c r="H3346" s="10" t="s">
        <v>4429</v>
      </c>
      <c r="I3346" s="10">
        <v>1049.0</v>
      </c>
      <c r="J3346" s="11" t="str">
        <f>IF(D3346&lt;&gt;"",VLOOKUP(H3346,TABLEITEM,5,FALSE),"")</f>
        <v>EA</v>
      </c>
      <c r="K3346" s="12">
        <v>10.0</v>
      </c>
      <c r="L3346" s="13" t="str">
        <f>IF(D3346&lt;&gt;"",VLOOKUP(H3346,TABLEITEM,2,FALSE),"")</f>
        <v/>
      </c>
      <c r="M3346" s="13" t="str">
        <f>IF(D3346&lt;&gt;"",VLOOKUP(H3346,TABLEITEM,3,FALSE),"")</f>
        <v>บูชกลึง M16x18 ต้าฟเกลียวใน M6</v>
      </c>
      <c r="N3346" s="14">
        <f>INSTOCK!$I3346*INSTOCK!$K3346</f>
        <v>10490</v>
      </c>
      <c r="O3346" s="4"/>
      <c r="P3346" s="4"/>
    </row>
    <row r="3347" ht="15.75" hidden="1" customHeight="1">
      <c r="B3347" s="8">
        <v>3666.0</v>
      </c>
      <c r="C3347" s="9">
        <v>43195.0</v>
      </c>
      <c r="D3347" s="6">
        <v>8387.0</v>
      </c>
      <c r="E3347" s="4"/>
      <c r="F3347" s="8"/>
      <c r="G3347" s="4" t="s">
        <v>2528</v>
      </c>
      <c r="H3347" s="10" t="s">
        <v>2529</v>
      </c>
      <c r="I3347" s="10">
        <v>120.0</v>
      </c>
      <c r="J3347" s="11" t="str">
        <f>IF(D3347&lt;&gt;"",VLOOKUP(H3347,TABLEITEM,5,FALSE),"")</f>
        <v>KG.</v>
      </c>
      <c r="K3347" s="12">
        <v>13.0</v>
      </c>
      <c r="L3347" s="13" t="str">
        <f>IF(D3347&lt;&gt;"",VLOOKUP(H3347,TABLEITEM,2,FALSE),"")</f>
        <v/>
      </c>
      <c r="M3347" s="13" t="str">
        <f>IF(D3347&lt;&gt;"",VLOOKUP(H3347,TABLEITEM,3,FALSE),"")</f>
        <v>งานชุบ HOT DIP</v>
      </c>
      <c r="N3347" s="14">
        <f>INSTOCK!$I3347*INSTOCK!$K3347</f>
        <v>1560</v>
      </c>
      <c r="O3347" s="4" t="s">
        <v>4430</v>
      </c>
      <c r="P3347" s="4"/>
    </row>
    <row r="3348" ht="15.75" hidden="1" customHeight="1">
      <c r="B3348" s="8">
        <v>3667.0</v>
      </c>
      <c r="C3348" s="9">
        <v>43195.0</v>
      </c>
      <c r="D3348" s="6">
        <v>8387.0</v>
      </c>
      <c r="E3348" s="4"/>
      <c r="F3348" s="8"/>
      <c r="G3348" s="4" t="s">
        <v>2528</v>
      </c>
      <c r="H3348" s="10" t="s">
        <v>2529</v>
      </c>
      <c r="I3348" s="10">
        <v>670.0</v>
      </c>
      <c r="J3348" s="11" t="str">
        <f>IF(D3348&lt;&gt;"",VLOOKUP(H3348,TABLEITEM,5,FALSE),"")</f>
        <v>KG.</v>
      </c>
      <c r="K3348" s="12">
        <v>15.0</v>
      </c>
      <c r="L3348" s="13" t="str">
        <f>IF(D3348&lt;&gt;"",VLOOKUP(H3348,TABLEITEM,2,FALSE),"")</f>
        <v/>
      </c>
      <c r="M3348" s="13" t="str">
        <f>IF(D3348&lt;&gt;"",VLOOKUP(H3348,TABLEITEM,3,FALSE),"")</f>
        <v>งานชุบ HOT DIP</v>
      </c>
      <c r="N3348" s="14">
        <f>INSTOCK!$I3348*INSTOCK!$K3348</f>
        <v>10050</v>
      </c>
      <c r="O3348" s="4" t="s">
        <v>3219</v>
      </c>
      <c r="P3348" s="4"/>
    </row>
    <row r="3349" ht="15.75" hidden="1" customHeight="1">
      <c r="B3349" s="8">
        <v>3668.0</v>
      </c>
      <c r="C3349" s="9">
        <v>43195.0</v>
      </c>
      <c r="D3349" s="6">
        <v>6104050.0</v>
      </c>
      <c r="E3349" s="4"/>
      <c r="F3349" s="8" t="s">
        <v>4431</v>
      </c>
      <c r="G3349" s="4" t="s">
        <v>4432</v>
      </c>
      <c r="H3349" s="10" t="s">
        <v>4433</v>
      </c>
      <c r="I3349" s="10">
        <v>10.0</v>
      </c>
      <c r="J3349" s="11" t="str">
        <f>IF(D3349&lt;&gt;"",VLOOKUP(H3349,TABLEITEM,5,FALSE),"")</f>
        <v>EA</v>
      </c>
      <c r="K3349" s="12">
        <v>25.0</v>
      </c>
      <c r="L3349" s="13" t="str">
        <f>IF(D3349&lt;&gt;"",VLOOKUP(H3349,TABLEITEM,2,FALSE),"")</f>
        <v/>
      </c>
      <c r="M3349" s="13" t="str">
        <f>IF(D3349&lt;&gt;"",VLOOKUP(H3349,TABLEITEM,3,FALSE),"")</f>
        <v>UCLAMP</v>
      </c>
      <c r="N3349" s="14">
        <f>INSTOCK!$I3349*INSTOCK!$K3349</f>
        <v>250</v>
      </c>
      <c r="O3349" s="4"/>
      <c r="P3349" s="4"/>
    </row>
    <row r="3350" ht="15.75" hidden="1" customHeight="1">
      <c r="B3350" s="8">
        <v>3669.0</v>
      </c>
      <c r="C3350" s="9">
        <v>43195.0</v>
      </c>
      <c r="D3350" s="6" t="s">
        <v>4434</v>
      </c>
      <c r="E3350" s="4">
        <v>6.104000422E9</v>
      </c>
      <c r="F3350" s="8" t="s">
        <v>604</v>
      </c>
      <c r="G3350" s="4" t="s">
        <v>1870</v>
      </c>
      <c r="H3350" s="10" t="s">
        <v>3224</v>
      </c>
      <c r="I3350" s="10">
        <v>1000.0</v>
      </c>
      <c r="J3350" s="11" t="str">
        <f>IF(D3350&lt;&gt;"",VLOOKUP(H3350,TABLEITEM,5,FALSE),"")</f>
        <v>EA</v>
      </c>
      <c r="K3350" s="12">
        <v>0.7525</v>
      </c>
      <c r="L3350" s="13" t="str">
        <f>IF(D3350&lt;&gt;"",VLOOKUP(H3350,TABLEITEM,2,FALSE),"")</f>
        <v/>
      </c>
      <c r="M3350" s="13" t="str">
        <f>IF(D3350&lt;&gt;"",VLOOKUP(H3350,TABLEITEM,3,FALSE),"")</f>
        <v>สกรูหัวเหลี่ยมสเตนเลส M6x16</v>
      </c>
      <c r="N3350" s="14">
        <f>INSTOCK!$I3350*INSTOCK!$K3350</f>
        <v>752.5</v>
      </c>
      <c r="O3350" s="4" t="s">
        <v>3805</v>
      </c>
      <c r="P3350" s="4"/>
    </row>
    <row r="3351" ht="15.75" hidden="1" customHeight="1">
      <c r="B3351" s="8">
        <v>3670.0</v>
      </c>
      <c r="C3351" s="9">
        <v>43195.0</v>
      </c>
      <c r="D3351" s="6" t="s">
        <v>4434</v>
      </c>
      <c r="E3351" s="4">
        <v>6.104000422E9</v>
      </c>
      <c r="F3351" s="8" t="s">
        <v>604</v>
      </c>
      <c r="G3351" s="4" t="s">
        <v>1870</v>
      </c>
      <c r="H3351" s="10" t="s">
        <v>3226</v>
      </c>
      <c r="I3351" s="10">
        <v>1000.0</v>
      </c>
      <c r="J3351" s="11" t="str">
        <f>IF(D3351&lt;&gt;"",VLOOKUP(H3351,TABLEITEM,5,FALSE),"")</f>
        <v>EA</v>
      </c>
      <c r="K3351" s="12">
        <v>0.35</v>
      </c>
      <c r="L3351" s="13" t="str">
        <f>IF(D3351&lt;&gt;"",VLOOKUP(H3351,TABLEITEM,2,FALSE),"")</f>
        <v/>
      </c>
      <c r="M3351" s="13" t="str">
        <f>IF(D3351&lt;&gt;"",VLOOKUP(H3351,TABLEITEM,3,FALSE),"")</f>
        <v>หัวน็อต      สแตนเลส M6</v>
      </c>
      <c r="N3351" s="14">
        <f>INSTOCK!$I3351*INSTOCK!$K3351</f>
        <v>350</v>
      </c>
      <c r="O3351" s="4" t="s">
        <v>3227</v>
      </c>
      <c r="P3351" s="4"/>
    </row>
    <row r="3352" ht="15.75" hidden="1" customHeight="1">
      <c r="B3352" s="8">
        <v>3671.0</v>
      </c>
      <c r="C3352" s="9">
        <v>43194.0</v>
      </c>
      <c r="D3352" s="6" t="s">
        <v>4435</v>
      </c>
      <c r="E3352" s="4">
        <v>6.103000386E9</v>
      </c>
      <c r="F3352" s="8" t="s">
        <v>604</v>
      </c>
      <c r="G3352" s="4" t="s">
        <v>1537</v>
      </c>
      <c r="H3352" s="10" t="s">
        <v>1538</v>
      </c>
      <c r="I3352" s="10">
        <v>5000.0</v>
      </c>
      <c r="J3352" s="11" t="str">
        <f>IF(D3352&lt;&gt;"",VLOOKUP(H3352,TABLEITEM,5,FALSE),"")</f>
        <v>EA</v>
      </c>
      <c r="K3352" s="12">
        <v>1.55</v>
      </c>
      <c r="L3352" s="13" t="str">
        <f>IF(D3352&lt;&gt;"",VLOOKUP(H3352,TABLEITEM,2,FALSE),"")</f>
        <v/>
      </c>
      <c r="M3352" s="13" t="str">
        <f>IF(D3352&lt;&gt;"",VLOOKUP(H3352,TABLEITEM,3,FALSE),"")</f>
        <v>รีเวท M6 / ลูกยิงป๊อบนัท M6</v>
      </c>
      <c r="N3352" s="14">
        <f>INSTOCK!$I3352*INSTOCK!$K3352</f>
        <v>7750</v>
      </c>
      <c r="O3352" s="4"/>
      <c r="P3352" s="4"/>
    </row>
    <row r="3353" ht="15.75" hidden="1" customHeight="1">
      <c r="B3353" s="8">
        <v>3672.0</v>
      </c>
      <c r="C3353" s="9">
        <v>43194.0</v>
      </c>
      <c r="D3353" s="6" t="s">
        <v>4436</v>
      </c>
      <c r="E3353" s="4">
        <v>6.103000404E9</v>
      </c>
      <c r="F3353" s="8" t="s">
        <v>4437</v>
      </c>
      <c r="G3353" s="4" t="s">
        <v>965</v>
      </c>
      <c r="H3353" s="10" t="s">
        <v>2945</v>
      </c>
      <c r="I3353" s="10">
        <v>500.0</v>
      </c>
      <c r="J3353" s="11" t="str">
        <f>IF(D3353&lt;&gt;"",VLOOKUP(H3353,TABLEITEM,5,FALSE),"")</f>
        <v>EA</v>
      </c>
      <c r="K3353" s="12">
        <v>0.4</v>
      </c>
      <c r="L3353" s="13" t="str">
        <f>IF(D3353&lt;&gt;"",VLOOKUP(H3353,TABLEITEM,2,FALSE),"")</f>
        <v/>
      </c>
      <c r="M3353" s="13" t="str">
        <f>IF(D3353&lt;&gt;"",VLOOKUP(H3353,TABLEITEM,3,FALSE),"")</f>
        <v>ตะปูยิงรีเวท 6-5   3/16"x1/2"</v>
      </c>
      <c r="N3353" s="14">
        <f>INSTOCK!$I3353*INSTOCK!$K3353</f>
        <v>200</v>
      </c>
      <c r="O3353" s="4"/>
      <c r="P3353" s="4"/>
    </row>
    <row r="3354" ht="15.75" hidden="1" customHeight="1">
      <c r="B3354" s="8">
        <v>3673.0</v>
      </c>
      <c r="C3354" s="9">
        <v>43194.0</v>
      </c>
      <c r="D3354" s="6" t="s">
        <v>4438</v>
      </c>
      <c r="E3354" s="4">
        <v>6.104000415E9</v>
      </c>
      <c r="F3354" s="8" t="s">
        <v>4439</v>
      </c>
      <c r="G3354" s="4" t="s">
        <v>965</v>
      </c>
      <c r="H3354" s="18" t="s">
        <v>2573</v>
      </c>
      <c r="I3354" s="10">
        <v>1.0</v>
      </c>
      <c r="J3354" s="11" t="str">
        <f>IF(D3354&lt;&gt;"",VLOOKUP(H3354,TABLEITEM,5,FALSE),"")</f>
        <v>SET</v>
      </c>
      <c r="K3354" s="12">
        <v>60.0</v>
      </c>
      <c r="L3354" s="13" t="str">
        <f>IF(D3354&lt;&gt;"",VLOOKUP(H3354,TABLEITEM,2,FALSE),"")</f>
        <v/>
      </c>
      <c r="M3354" s="13" t="str">
        <f>IF(D3354&lt;&gt;"",VLOOKUP(H3354,TABLEITEM,3,FALSE),"")</f>
        <v>ดอกต๊าป M3 (3ตัวชุด)</v>
      </c>
      <c r="N3354" s="14">
        <f>INSTOCK!$I3354*INSTOCK!$K3354</f>
        <v>60</v>
      </c>
      <c r="O3354" s="4"/>
      <c r="P3354" s="4"/>
    </row>
    <row r="3355" ht="15.75" hidden="1" customHeight="1">
      <c r="B3355" s="8">
        <v>3674.0</v>
      </c>
      <c r="C3355" s="9">
        <v>43194.0</v>
      </c>
      <c r="D3355" s="6" t="s">
        <v>4438</v>
      </c>
      <c r="E3355" s="4">
        <v>6.104000415E9</v>
      </c>
      <c r="F3355" s="8" t="s">
        <v>4439</v>
      </c>
      <c r="G3355" s="4" t="s">
        <v>965</v>
      </c>
      <c r="H3355" s="10" t="s">
        <v>2588</v>
      </c>
      <c r="I3355" s="10">
        <v>2.0</v>
      </c>
      <c r="J3355" s="11" t="str">
        <f>IF(D3355&lt;&gt;"",VLOOKUP(H3355,TABLEITEM,5,FALSE),"")</f>
        <v>EA</v>
      </c>
      <c r="K3355" s="12">
        <v>33.0</v>
      </c>
      <c r="L3355" s="13" t="str">
        <f>IF(D3355&lt;&gt;"",VLOOKUP(H3355,TABLEITEM,2,FALSE),"")</f>
        <v/>
      </c>
      <c r="M3355" s="13" t="str">
        <f>IF(D3355&lt;&gt;"",VLOOKUP(H3355,TABLEITEM,3,FALSE),"")</f>
        <v>ดอกสว่านนาซิ L/N 500 2.2mm</v>
      </c>
      <c r="N3355" s="14">
        <f>INSTOCK!$I3355*INSTOCK!$K3355</f>
        <v>66</v>
      </c>
      <c r="O3355" s="4"/>
      <c r="P3355" s="4"/>
    </row>
    <row r="3356" ht="15.75" hidden="1" customHeight="1">
      <c r="B3356" s="8">
        <v>3675.0</v>
      </c>
      <c r="C3356" s="9">
        <v>43194.0</v>
      </c>
      <c r="D3356" s="6" t="s">
        <v>4440</v>
      </c>
      <c r="E3356" s="4">
        <v>6.104000425E9</v>
      </c>
      <c r="F3356" s="8" t="s">
        <v>604</v>
      </c>
      <c r="G3356" s="4" t="s">
        <v>965</v>
      </c>
      <c r="H3356" s="10" t="s">
        <v>60</v>
      </c>
      <c r="I3356" s="10">
        <v>5.0</v>
      </c>
      <c r="J3356" s="11" t="str">
        <f>IF(D3356&lt;&gt;"",VLOOKUP(H3356,TABLEITEM,5,FALSE),"")</f>
        <v>EA</v>
      </c>
      <c r="K3356" s="12">
        <v>65.0</v>
      </c>
      <c r="L3356" s="13" t="str">
        <f>IF(D3356&lt;&gt;"",VLOOKUP(H3356,TABLEITEM,2,FALSE),"")</f>
        <v/>
      </c>
      <c r="M3356" s="13" t="str">
        <f>IF(D3356&lt;&gt;"",VLOOKUP(H3356,TABLEITEM,3,FALSE),"")</f>
        <v>กาวยาง</v>
      </c>
      <c r="N3356" s="14">
        <f>INSTOCK!$I3356*INSTOCK!$K3356</f>
        <v>325</v>
      </c>
      <c r="O3356" s="4"/>
      <c r="P3356" s="4"/>
    </row>
    <row r="3357" ht="15.75" hidden="1" customHeight="1">
      <c r="B3357" s="8">
        <v>3676.0</v>
      </c>
      <c r="C3357" s="9">
        <v>43194.0</v>
      </c>
      <c r="D3357" s="6" t="s">
        <v>4440</v>
      </c>
      <c r="E3357" s="4">
        <v>6.104000425E9</v>
      </c>
      <c r="F3357" s="8" t="s">
        <v>604</v>
      </c>
      <c r="G3357" s="4" t="s">
        <v>965</v>
      </c>
      <c r="H3357" s="18" t="s">
        <v>51</v>
      </c>
      <c r="I3357" s="10">
        <v>50.0</v>
      </c>
      <c r="J3357" s="11" t="str">
        <f>IF(D3357&lt;&gt;"",VLOOKUP(H3357,TABLEITEM,5,FALSE),"")</f>
        <v>EA</v>
      </c>
      <c r="K3357" s="12">
        <v>18.0</v>
      </c>
      <c r="L3357" s="13" t="str">
        <f>IF(D3357&lt;&gt;"",VLOOKUP(H3357,TABLEITEM,2,FALSE),"")</f>
        <v/>
      </c>
      <c r="M3357" s="13" t="str">
        <f>IF(D3357&lt;&gt;"",VLOOKUP(H3357,TABLEITEM,3,FALSE),"")</f>
        <v>กระดาษกาวนิตโต้</v>
      </c>
      <c r="N3357" s="14">
        <f>INSTOCK!$I3357*INSTOCK!$K3357</f>
        <v>900</v>
      </c>
      <c r="O3357" s="4"/>
      <c r="P3357" s="4"/>
    </row>
    <row r="3358" ht="15.75" hidden="1" customHeight="1">
      <c r="B3358" s="8">
        <v>3677.0</v>
      </c>
      <c r="C3358" s="9">
        <v>43194.0</v>
      </c>
      <c r="D3358" s="6" t="s">
        <v>4441</v>
      </c>
      <c r="E3358" s="4">
        <v>6.104000426E9</v>
      </c>
      <c r="F3358" s="8" t="s">
        <v>604</v>
      </c>
      <c r="G3358" s="4" t="s">
        <v>2014</v>
      </c>
      <c r="H3358" s="18" t="s">
        <v>4442</v>
      </c>
      <c r="I3358" s="10">
        <v>10.0</v>
      </c>
      <c r="J3358" s="11" t="str">
        <f>IF(D3358&lt;&gt;"",VLOOKUP(H3358,TABLEITEM,5,FALSE),"")</f>
        <v>EA</v>
      </c>
      <c r="K3358" s="12">
        <v>126.17</v>
      </c>
      <c r="L3358" s="13" t="str">
        <f>IF(D3358&lt;&gt;"",VLOOKUP(H3358,TABLEITEM,2,FALSE),"")</f>
        <v/>
      </c>
      <c r="M3358" s="13" t="str">
        <f>IF(D3358&lt;&gt;"",VLOOKUP(H3358,TABLEITEM,3,FALSE),"")</f>
        <v>เทปกาวใส 2"x45 หลา(แพ็ค 6ม้วน)</v>
      </c>
      <c r="N3358" s="14">
        <f>INSTOCK!$I3358*INSTOCK!$K3358</f>
        <v>1261.7</v>
      </c>
      <c r="O3358" s="4"/>
      <c r="P3358" s="4"/>
    </row>
    <row r="3359" ht="15.75" hidden="1" customHeight="1">
      <c r="B3359" s="8">
        <v>3678.0</v>
      </c>
      <c r="C3359" s="9">
        <v>43193.0</v>
      </c>
      <c r="D3359" s="6" t="s">
        <v>4443</v>
      </c>
      <c r="E3359" s="4"/>
      <c r="F3359" s="8"/>
      <c r="G3359" s="4" t="s">
        <v>3029</v>
      </c>
      <c r="H3359" s="10" t="s">
        <v>3030</v>
      </c>
      <c r="I3359" s="10">
        <v>1.0</v>
      </c>
      <c r="J3359" s="11" t="str">
        <f>IF(D3359&lt;&gt;"",VLOOKUP(H3359,TABLEITEM,5,FALSE),"")</f>
        <v>LOT</v>
      </c>
      <c r="K3359" s="12">
        <v>535.0</v>
      </c>
      <c r="L3359" s="13" t="str">
        <f>IF(D3359&lt;&gt;"",VLOOKUP(H3359,TABLEITEM,2,FALSE),"")</f>
        <v/>
      </c>
      <c r="M3359" s="13" t="str">
        <f>IF(D3359&lt;&gt;"",VLOOKUP(H3359,TABLEITEM,3,FALSE),"")</f>
        <v>ค่าชุบ ดีบุกเงา</v>
      </c>
      <c r="N3359" s="14">
        <f>INSTOCK!$I3359*INSTOCK!$K3359</f>
        <v>535</v>
      </c>
      <c r="O3359" s="4" t="s">
        <v>3258</v>
      </c>
      <c r="P3359" s="4"/>
    </row>
    <row r="3360" ht="15.75" hidden="1" customHeight="1">
      <c r="B3360" s="8">
        <v>3679.0</v>
      </c>
      <c r="C3360" s="9">
        <v>43193.0</v>
      </c>
      <c r="D3360" s="6">
        <v>6.10401024E8</v>
      </c>
      <c r="E3360" s="4">
        <v>6.103000412E9</v>
      </c>
      <c r="F3360" s="8"/>
      <c r="G3360" s="4" t="s">
        <v>1130</v>
      </c>
      <c r="H3360" s="10" t="s">
        <v>1558</v>
      </c>
      <c r="I3360" s="10">
        <v>5.0</v>
      </c>
      <c r="J3360" s="11" t="str">
        <f>IF(D3360&lt;&gt;"",VLOOKUP(H3360,TABLEITEM,5,FALSE),"")</f>
        <v>EA</v>
      </c>
      <c r="K3360" s="12">
        <v>378.4</v>
      </c>
      <c r="L3360" s="13" t="str">
        <f>IF(D3360&lt;&gt;"",VLOOKUP(H3360,TABLEITEM,2,FALSE),"")</f>
        <v/>
      </c>
      <c r="M3360" s="13" t="str">
        <f>IF(D3360&lt;&gt;"",VLOOKUP(H3360,TABLEITEM,3,FALSE),"")</f>
        <v>CONTACTOR LC1D09M7</v>
      </c>
      <c r="N3360" s="14">
        <f>INSTOCK!$I3360*INSTOCK!$K3360</f>
        <v>1892</v>
      </c>
      <c r="O3360" s="4" t="s">
        <v>4444</v>
      </c>
      <c r="P3360" s="4"/>
    </row>
    <row r="3361" ht="15.75" hidden="1" customHeight="1">
      <c r="B3361" s="8">
        <v>3680.0</v>
      </c>
      <c r="C3361" s="9">
        <v>43193.0</v>
      </c>
      <c r="D3361" s="6">
        <v>6.10401024E8</v>
      </c>
      <c r="E3361" s="4">
        <v>6.103000412E9</v>
      </c>
      <c r="F3361" s="8"/>
      <c r="G3361" s="4" t="s">
        <v>1130</v>
      </c>
      <c r="H3361" s="10" t="s">
        <v>1653</v>
      </c>
      <c r="I3361" s="10">
        <v>5.0</v>
      </c>
      <c r="J3361" s="11" t="str">
        <f>IF(D3361&lt;&gt;"",VLOOKUP(H3361,TABLEITEM,5,FALSE),"")</f>
        <v>EA</v>
      </c>
      <c r="K3361" s="12">
        <v>494.5</v>
      </c>
      <c r="L3361" s="13" t="str">
        <f>IF(D3361&lt;&gt;"",VLOOKUP(H3361,TABLEITEM,2,FALSE),"")</f>
        <v/>
      </c>
      <c r="M3361" s="13" t="str">
        <f>IF(D3361&lt;&gt;"",VLOOKUP(H3361,TABLEITEM,3,FALSE),"")</f>
        <v>CONTACTOR 3P AC3 12A 220VAC</v>
      </c>
      <c r="N3361" s="14">
        <f>INSTOCK!$I3361*INSTOCK!$K3361</f>
        <v>2472.5</v>
      </c>
      <c r="O3361" s="4" t="s">
        <v>4445</v>
      </c>
      <c r="P3361" s="4"/>
    </row>
    <row r="3362" ht="15.75" hidden="1" customHeight="1">
      <c r="B3362" s="8">
        <v>3681.0</v>
      </c>
      <c r="C3362" s="9">
        <v>43193.0</v>
      </c>
      <c r="D3362" s="6">
        <v>6.10401024E8</v>
      </c>
      <c r="E3362" s="4">
        <v>6.103000412E9</v>
      </c>
      <c r="F3362" s="8"/>
      <c r="G3362" s="4" t="s">
        <v>1130</v>
      </c>
      <c r="H3362" s="10" t="s">
        <v>3715</v>
      </c>
      <c r="I3362" s="10">
        <v>5.0</v>
      </c>
      <c r="J3362" s="11" t="str">
        <f>IF(D3362&lt;&gt;"",VLOOKUP(H3362,TABLEITEM,5,FALSE),"")</f>
        <v>EA</v>
      </c>
      <c r="K3362" s="12">
        <v>528.9</v>
      </c>
      <c r="L3362" s="13" t="str">
        <f>IF(D3362&lt;&gt;"",VLOOKUP(H3362,TABLEITEM,2,FALSE),"")</f>
        <v/>
      </c>
      <c r="M3362" s="13" t="str">
        <f>IF(D3362&lt;&gt;"",VLOOKUP(H3362,TABLEITEM,3,FALSE),"")</f>
        <v>OVERLOAD REL 7A 10KA</v>
      </c>
      <c r="N3362" s="14">
        <f>INSTOCK!$I3362*INSTOCK!$K3362</f>
        <v>2644.5</v>
      </c>
      <c r="O3362" s="4" t="s">
        <v>3549</v>
      </c>
      <c r="P3362" s="4"/>
    </row>
    <row r="3363" ht="15.75" hidden="1" customHeight="1">
      <c r="B3363" s="8">
        <v>3682.0</v>
      </c>
      <c r="C3363" s="9">
        <v>43193.0</v>
      </c>
      <c r="D3363" s="6">
        <v>6.10401024E8</v>
      </c>
      <c r="E3363" s="4">
        <v>6.103000412E9</v>
      </c>
      <c r="F3363" s="8"/>
      <c r="G3363" s="4" t="s">
        <v>1130</v>
      </c>
      <c r="H3363" s="10" t="s">
        <v>4446</v>
      </c>
      <c r="I3363" s="10">
        <v>20.0</v>
      </c>
      <c r="J3363" s="11" t="str">
        <f>IF(D3363&lt;&gt;"",VLOOKUP(H3363,TABLEITEM,5,FALSE),"")</f>
        <v>EA</v>
      </c>
      <c r="K3363" s="12">
        <v>76.54</v>
      </c>
      <c r="L3363" s="13" t="str">
        <f>IF(D3363&lt;&gt;"",VLOOKUP(H3363,TABLEITEM,2,FALSE),"")</f>
        <v/>
      </c>
      <c r="M3363" s="13" t="str">
        <f>IF(D3363&lt;&gt;"",VLOOKUP(H3363,TABLEITEM,3,FALSE),"")</f>
        <v>PUSH BUTTON GREEN</v>
      </c>
      <c r="N3363" s="14">
        <f>INSTOCK!$I3363*INSTOCK!$K3363</f>
        <v>1530.8</v>
      </c>
      <c r="O3363" s="4" t="s">
        <v>4447</v>
      </c>
      <c r="P3363" s="4"/>
    </row>
    <row r="3364" ht="15.75" hidden="1" customHeight="1">
      <c r="B3364" s="8">
        <v>3683.0</v>
      </c>
      <c r="C3364" s="9">
        <v>43193.0</v>
      </c>
      <c r="D3364" s="6">
        <v>6.10401024E8</v>
      </c>
      <c r="E3364" s="4">
        <v>6.103000412E9</v>
      </c>
      <c r="F3364" s="8"/>
      <c r="G3364" s="4" t="s">
        <v>1130</v>
      </c>
      <c r="H3364" s="10" t="s">
        <v>4448</v>
      </c>
      <c r="I3364" s="10">
        <v>20.0</v>
      </c>
      <c r="J3364" s="11" t="str">
        <f>IF(D3364&lt;&gt;"",VLOOKUP(H3364,TABLEITEM,5,FALSE),"")</f>
        <v>EA</v>
      </c>
      <c r="K3364" s="12">
        <v>76.54</v>
      </c>
      <c r="L3364" s="13" t="str">
        <f>IF(D3364&lt;&gt;"",VLOOKUP(H3364,TABLEITEM,2,FALSE),"")</f>
        <v/>
      </c>
      <c r="M3364" s="13" t="str">
        <f>IF(D3364&lt;&gt;"",VLOOKUP(H3364,TABLEITEM,3,FALSE),"")</f>
        <v>PUSH BUTTON RED</v>
      </c>
      <c r="N3364" s="14">
        <f>INSTOCK!$I3364*INSTOCK!$K3364</f>
        <v>1530.8</v>
      </c>
      <c r="O3364" s="4" t="s">
        <v>4447</v>
      </c>
      <c r="P3364" s="4"/>
    </row>
    <row r="3365" ht="15.75" hidden="1" customHeight="1">
      <c r="B3365" s="8">
        <v>3684.0</v>
      </c>
      <c r="C3365" s="9">
        <v>43193.0</v>
      </c>
      <c r="D3365" s="6">
        <v>6.10401024E8</v>
      </c>
      <c r="E3365" s="4">
        <v>6.103000412E9</v>
      </c>
      <c r="F3365" s="8"/>
      <c r="G3365" s="4" t="s">
        <v>1130</v>
      </c>
      <c r="H3365" s="10" t="s">
        <v>1582</v>
      </c>
      <c r="I3365" s="10">
        <v>10.0</v>
      </c>
      <c r="J3365" s="11" t="str">
        <f>IF(D3365&lt;&gt;"",VLOOKUP(H3365,TABLEITEM,5,FALSE),"")</f>
        <v>EA</v>
      </c>
      <c r="K3365" s="12">
        <v>152.65</v>
      </c>
      <c r="L3365" s="13" t="str">
        <f>IF(D3365&lt;&gt;"",VLOOKUP(H3365,TABLEITEM,2,FALSE),"")</f>
        <v/>
      </c>
      <c r="M3365" s="13" t="str">
        <f>IF(D3365&lt;&gt;"",VLOOKUP(H3365,TABLEITEM,3,FALSE),"")</f>
        <v>HARMONY XB4 SELECTOR SWITCH ZB4BD2</v>
      </c>
      <c r="N3365" s="14">
        <f>INSTOCK!$I3365*INSTOCK!$K3365</f>
        <v>1526.5</v>
      </c>
      <c r="O3365" s="4" t="s">
        <v>4449</v>
      </c>
      <c r="P3365" s="4"/>
    </row>
    <row r="3366" ht="15.75" hidden="1" customHeight="1">
      <c r="B3366" s="8">
        <v>3685.0</v>
      </c>
      <c r="C3366" s="9">
        <v>43193.0</v>
      </c>
      <c r="D3366" s="6">
        <v>6.10401024E8</v>
      </c>
      <c r="E3366" s="4">
        <v>6.103000412E9</v>
      </c>
      <c r="F3366" s="8"/>
      <c r="G3366" s="4" t="s">
        <v>1130</v>
      </c>
      <c r="H3366" s="10" t="s">
        <v>1583</v>
      </c>
      <c r="I3366" s="10">
        <v>10.0</v>
      </c>
      <c r="J3366" s="11" t="str">
        <f>IF(D3366&lt;&gt;"",VLOOKUP(H3366,TABLEITEM,5,FALSE),"")</f>
        <v>EA</v>
      </c>
      <c r="K3366" s="12">
        <v>152.65</v>
      </c>
      <c r="L3366" s="13" t="str">
        <f>IF(D3366&lt;&gt;"",VLOOKUP(H3366,TABLEITEM,2,FALSE),"")</f>
        <v/>
      </c>
      <c r="M3366" s="13" t="str">
        <f>IF(D3366&lt;&gt;"",VLOOKUP(H3366,TABLEITEM,3,FALSE),"")</f>
        <v>HARMONY XB4 SELECTOR SWITCH ZB4BD3</v>
      </c>
      <c r="N3366" s="14">
        <f>INSTOCK!$I3366*INSTOCK!$K3366</f>
        <v>1526.5</v>
      </c>
      <c r="O3366" s="4" t="s">
        <v>4449</v>
      </c>
      <c r="P3366" s="4"/>
    </row>
    <row r="3367" ht="15.75" hidden="1" customHeight="1">
      <c r="B3367" s="8">
        <v>3686.0</v>
      </c>
      <c r="C3367" s="9">
        <v>43193.0</v>
      </c>
      <c r="D3367" s="6">
        <v>6.10401024E8</v>
      </c>
      <c r="E3367" s="4">
        <v>6.103000412E9</v>
      </c>
      <c r="F3367" s="8"/>
      <c r="G3367" s="4" t="s">
        <v>1130</v>
      </c>
      <c r="H3367" s="10" t="s">
        <v>1584</v>
      </c>
      <c r="I3367" s="10">
        <v>15.0</v>
      </c>
      <c r="J3367" s="11" t="str">
        <f>IF(D3367&lt;&gt;"",VLOOKUP(H3367,TABLEITEM,5,FALSE),"")</f>
        <v>EA</v>
      </c>
      <c r="K3367" s="12">
        <v>131.15</v>
      </c>
      <c r="L3367" s="13" t="str">
        <f>IF(D3367&lt;&gt;"",VLOOKUP(H3367,TABLEITEM,2,FALSE),"")</f>
        <v/>
      </c>
      <c r="M3367" s="13" t="str">
        <f>IF(D3367&lt;&gt;"",VLOOKUP(H3367,TABLEITEM,3,FALSE),"")</f>
        <v>HARMONY XB4 SINGLE CONTACT ZB4BZ101</v>
      </c>
      <c r="N3367" s="14">
        <f>INSTOCK!$I3367*INSTOCK!$K3367</f>
        <v>1967.25</v>
      </c>
      <c r="O3367" s="4" t="s">
        <v>4450</v>
      </c>
      <c r="P3367" s="4"/>
    </row>
    <row r="3368" ht="15.75" hidden="1" customHeight="1">
      <c r="B3368" s="8">
        <v>3687.0</v>
      </c>
      <c r="C3368" s="9">
        <v>43193.0</v>
      </c>
      <c r="D3368" s="6">
        <v>6.10401024E8</v>
      </c>
      <c r="E3368" s="4">
        <v>6.103000412E9</v>
      </c>
      <c r="F3368" s="8"/>
      <c r="G3368" s="4" t="s">
        <v>1130</v>
      </c>
      <c r="H3368" s="10" t="s">
        <v>1743</v>
      </c>
      <c r="I3368" s="10">
        <v>10.0</v>
      </c>
      <c r="J3368" s="11" t="str">
        <f>IF(D3368&lt;&gt;"",VLOOKUP(H3368,TABLEITEM,5,FALSE),"")</f>
        <v>EA</v>
      </c>
      <c r="K3368" s="12">
        <v>68.8</v>
      </c>
      <c r="L3368" s="13" t="str">
        <f>IF(D3368&lt;&gt;"",VLOOKUP(H3368,TABLEITEM,2,FALSE),"")</f>
        <v/>
      </c>
      <c r="M3368" s="13" t="str">
        <f>IF(D3368&lt;&gt;"",VLOOKUP(H3368,TABLEITEM,3,FALSE),"")</f>
        <v>SINGLE CONTACT BLOCK #22 1NO ZBE101</v>
      </c>
      <c r="N3368" s="14">
        <f>INSTOCK!$I3368*INSTOCK!$K3368</f>
        <v>688</v>
      </c>
      <c r="O3368" s="4" t="s">
        <v>4451</v>
      </c>
      <c r="P3368" s="4"/>
    </row>
    <row r="3369" ht="15.75" hidden="1" customHeight="1">
      <c r="B3369" s="8">
        <v>3688.0</v>
      </c>
      <c r="C3369" s="9">
        <v>43193.0</v>
      </c>
      <c r="D3369" s="6">
        <v>6.10401024E8</v>
      </c>
      <c r="E3369" s="4">
        <v>6.103000412E9</v>
      </c>
      <c r="F3369" s="8"/>
      <c r="G3369" s="4" t="s">
        <v>1130</v>
      </c>
      <c r="H3369" s="10" t="s">
        <v>3721</v>
      </c>
      <c r="I3369" s="10">
        <v>10.0</v>
      </c>
      <c r="J3369" s="11" t="str">
        <f>IF(D3369&lt;&gt;"",VLOOKUP(H3369,TABLEITEM,5,FALSE),"")</f>
        <v>EA</v>
      </c>
      <c r="K3369" s="12">
        <v>68.8</v>
      </c>
      <c r="L3369" s="13" t="str">
        <f>IF(D3369&lt;&gt;"",VLOOKUP(H3369,TABLEITEM,2,FALSE),"")</f>
        <v/>
      </c>
      <c r="M3369" s="13" t="str">
        <f>IF(D3369&lt;&gt;"",VLOOKUP(H3369,TABLEITEM,3,FALSE),"")</f>
        <v>NC SCREW TERMINAL CONTACT</v>
      </c>
      <c r="N3369" s="14">
        <f>INSTOCK!$I3369*INSTOCK!$K3369</f>
        <v>688</v>
      </c>
      <c r="O3369" s="4" t="s">
        <v>4451</v>
      </c>
      <c r="P3369" s="4"/>
    </row>
    <row r="3370" ht="15.75" hidden="1" customHeight="1">
      <c r="B3370" s="8">
        <v>3689.0</v>
      </c>
      <c r="C3370" s="9">
        <v>43193.0</v>
      </c>
      <c r="D3370" s="6">
        <v>6.10401024E8</v>
      </c>
      <c r="E3370" s="4">
        <v>6.103000412E9</v>
      </c>
      <c r="F3370" s="8"/>
      <c r="G3370" s="4" t="s">
        <v>1130</v>
      </c>
      <c r="H3370" s="10" t="s">
        <v>1834</v>
      </c>
      <c r="I3370" s="10">
        <v>20.0</v>
      </c>
      <c r="J3370" s="11" t="str">
        <f>IF(D3370&lt;&gt;"",VLOOKUP(H3370,TABLEITEM,5,FALSE),"")</f>
        <v>EA</v>
      </c>
      <c r="K3370" s="12">
        <v>55.0</v>
      </c>
      <c r="L3370" s="13" t="str">
        <f>IF(D3370&lt;&gt;"",VLOOKUP(H3370,TABLEITEM,2,FALSE),"")</f>
        <v/>
      </c>
      <c r="M3370" s="13" t="str">
        <f>IF(D3370&lt;&gt;"",VLOOKUP(H3370,TABLEITEM,3,FALSE),"")</f>
        <v>SOCKET PF083A-E</v>
      </c>
      <c r="N3370" s="14">
        <f>INSTOCK!$I3370*INSTOCK!$K3370</f>
        <v>1100</v>
      </c>
      <c r="O3370" s="4"/>
      <c r="P3370" s="4"/>
    </row>
    <row r="3371" ht="15.75" hidden="1" customHeight="1">
      <c r="B3371" s="8">
        <v>3690.0</v>
      </c>
      <c r="C3371" s="9">
        <v>43193.0</v>
      </c>
      <c r="D3371" s="6">
        <v>6.10401024E8</v>
      </c>
      <c r="E3371" s="4">
        <v>6.103000412E9</v>
      </c>
      <c r="F3371" s="8"/>
      <c r="G3371" s="4" t="s">
        <v>1130</v>
      </c>
      <c r="H3371" s="10" t="s">
        <v>2181</v>
      </c>
      <c r="I3371" s="10">
        <v>20.0</v>
      </c>
      <c r="J3371" s="11" t="str">
        <f>IF(D3371&lt;&gt;"",VLOOKUP(H3371,TABLEITEM,5,FALSE),"")</f>
        <v>EA</v>
      </c>
      <c r="K3371" s="12">
        <v>117.0</v>
      </c>
      <c r="L3371" s="13" t="str">
        <f>IF(D3371&lt;&gt;"",VLOOKUP(H3371,TABLEITEM,2,FALSE),"")</f>
        <v/>
      </c>
      <c r="M3371" s="13" t="str">
        <f>IF(D3371&lt;&gt;"",VLOOKUP(H3371,TABLEITEM,3,FALSE),"")</f>
        <v>RELAY MKS2P 220AC</v>
      </c>
      <c r="N3371" s="14">
        <f>INSTOCK!$I3371*INSTOCK!$K3371</f>
        <v>2340</v>
      </c>
      <c r="O3371" s="4"/>
      <c r="P3371" s="4"/>
    </row>
    <row r="3372" ht="15.75" hidden="1" customHeight="1">
      <c r="B3372" s="8">
        <v>3691.0</v>
      </c>
      <c r="C3372" s="9">
        <v>43193.0</v>
      </c>
      <c r="D3372" s="6" t="s">
        <v>4452</v>
      </c>
      <c r="E3372" s="4">
        <v>6.104000419E9</v>
      </c>
      <c r="F3372" s="8" t="s">
        <v>604</v>
      </c>
      <c r="G3372" s="4" t="s">
        <v>2014</v>
      </c>
      <c r="H3372" s="10" t="s">
        <v>2899</v>
      </c>
      <c r="I3372" s="10">
        <v>12.0</v>
      </c>
      <c r="J3372" s="11" t="str">
        <f>IF(D3372&lt;&gt;"",VLOOKUP(H3372,TABLEITEM,5,FALSE),"")</f>
        <v>PACK</v>
      </c>
      <c r="K3372" s="12">
        <v>509.35</v>
      </c>
      <c r="L3372" s="13" t="str">
        <f>IF(D3372&lt;&gt;"",VLOOKUP(H3372,TABLEITEM,2,FALSE),"")</f>
        <v/>
      </c>
      <c r="M3372" s="13" t="str">
        <f>IF(D3372&lt;&gt;"",VLOOKUP(H3372,TABLEITEM,3,FALSE),"")</f>
        <v>กระดาษถ่ายเอกสาร A4 80 แกรม (แพ็ค 5รีม)</v>
      </c>
      <c r="N3372" s="14">
        <f>INSTOCK!$I3372*INSTOCK!$K3372</f>
        <v>6112.2</v>
      </c>
      <c r="O3372" s="4"/>
      <c r="P3372" s="4"/>
    </row>
    <row r="3373" ht="15.75" hidden="1" customHeight="1">
      <c r="B3373" s="8">
        <v>3692.0</v>
      </c>
      <c r="C3373" s="9">
        <v>43192.0</v>
      </c>
      <c r="D3373" s="6" t="s">
        <v>4453</v>
      </c>
      <c r="E3373" s="4">
        <v>6.102000157E9</v>
      </c>
      <c r="F3373" s="8" t="s">
        <v>4454</v>
      </c>
      <c r="G3373" s="4" t="s">
        <v>1512</v>
      </c>
      <c r="H3373" s="10" t="s">
        <v>4455</v>
      </c>
      <c r="I3373" s="10">
        <v>1.0</v>
      </c>
      <c r="J3373" s="11" t="str">
        <f>IF(D3373&lt;&gt;"",VLOOKUP(H3373,TABLEITEM,5,FALSE),"")</f>
        <v>EA</v>
      </c>
      <c r="K3373" s="12">
        <v>108000.0</v>
      </c>
      <c r="L3373" s="13" t="str">
        <f>IF(D3373&lt;&gt;"",VLOOKUP(H3373,TABLEITEM,2,FALSE),"")</f>
        <v/>
      </c>
      <c r="M3373" s="13" t="str">
        <f>IF(D3373&lt;&gt;"",VLOOKUP(H3373,TABLEITEM,3,FALSE),"")</f>
        <v>5LBS NALF 24-6/275 Disconnecting Sw.24kv 630A Type NALF</v>
      </c>
      <c r="N3373" s="14">
        <f>INSTOCK!$I3373*INSTOCK!$K3373</f>
        <v>108000</v>
      </c>
      <c r="O3373" s="4"/>
      <c r="P3373" s="4"/>
    </row>
    <row r="3374" ht="15.75" hidden="1" customHeight="1">
      <c r="B3374" s="8">
        <v>3693.0</v>
      </c>
      <c r="C3374" s="9">
        <v>43192.0</v>
      </c>
      <c r="D3374" s="6" t="s">
        <v>4453</v>
      </c>
      <c r="E3374" s="4">
        <v>6.102000157E9</v>
      </c>
      <c r="F3374" s="8" t="s">
        <v>4454</v>
      </c>
      <c r="G3374" s="4" t="s">
        <v>1512</v>
      </c>
      <c r="H3374" s="10" t="s">
        <v>4456</v>
      </c>
      <c r="I3374" s="10">
        <v>3.0</v>
      </c>
      <c r="J3374" s="11" t="str">
        <f>IF(D3374&lt;&gt;"",VLOOKUP(H3374,TABLEITEM,5,FALSE),"")</f>
        <v>EA</v>
      </c>
      <c r="K3374" s="12">
        <v>5000.0</v>
      </c>
      <c r="L3374" s="13" t="str">
        <f>IF(D3374&lt;&gt;"",VLOOKUP(H3374,TABLEITEM,2,FALSE),"")</f>
        <v/>
      </c>
      <c r="M3374" s="13" t="str">
        <f>IF(D3374&lt;&gt;"",VLOOKUP(H3374,TABLEITEM,3,FALSE),"")</f>
        <v>Fuse Link 24kv 63A 442MM </v>
      </c>
      <c r="N3374" s="14">
        <f>INSTOCK!$I3374*INSTOCK!$K3374</f>
        <v>15000</v>
      </c>
      <c r="O3374" s="4"/>
      <c r="P3374" s="4"/>
    </row>
    <row r="3375" ht="15.75" hidden="1" customHeight="1">
      <c r="B3375" s="8">
        <v>3694.0</v>
      </c>
      <c r="C3375" s="9">
        <v>43192.0</v>
      </c>
      <c r="D3375" s="6" t="s">
        <v>4457</v>
      </c>
      <c r="E3375" s="4">
        <v>6.103000406E9</v>
      </c>
      <c r="F3375" s="8" t="s">
        <v>4458</v>
      </c>
      <c r="G3375" s="4" t="s">
        <v>2162</v>
      </c>
      <c r="H3375" s="10" t="s">
        <v>4459</v>
      </c>
      <c r="I3375" s="10">
        <v>2.0</v>
      </c>
      <c r="J3375" s="11" t="str">
        <f>IF(D3375&lt;&gt;"",VLOOKUP(H3375,TABLEITEM,5,FALSE),"")</f>
        <v>EA</v>
      </c>
      <c r="K3375" s="12">
        <v>395.0</v>
      </c>
      <c r="L3375" s="13" t="str">
        <f>IF(D3375&lt;&gt;"",VLOOKUP(H3376,TABLEITEM,2,FALSE),"")</f>
        <v/>
      </c>
      <c r="M3375" s="13" t="str">
        <f>IF(D3375&lt;&gt;"",VLOOKUP(H3376,TABLEITEM,3,FALSE),"")</f>
        <v>ล้อยูริเทนเหล็กหล่อ 4" หน้ายาง 40มิล โครงเชื่อมล้อตาย</v>
      </c>
      <c r="N3375" s="14">
        <f>INSTOCK!$I3375*INSTOCK!$K3375</f>
        <v>790</v>
      </c>
      <c r="O3375" s="4"/>
      <c r="P3375" s="4"/>
    </row>
    <row r="3376" ht="15.75" hidden="1" customHeight="1">
      <c r="B3376" s="8">
        <v>3695.0</v>
      </c>
      <c r="C3376" s="9">
        <v>43192.0</v>
      </c>
      <c r="D3376" s="6" t="s">
        <v>4457</v>
      </c>
      <c r="E3376" s="4">
        <v>6.103000406E9</v>
      </c>
      <c r="F3376" s="8" t="s">
        <v>4458</v>
      </c>
      <c r="G3376" s="4" t="s">
        <v>2162</v>
      </c>
      <c r="H3376" s="10" t="s">
        <v>4460</v>
      </c>
      <c r="I3376" s="10">
        <v>2.0</v>
      </c>
      <c r="J3376" s="11" t="str">
        <f>IF(D3376&lt;&gt;"",VLOOKUP(H3376,TABLEITEM,5,FALSE),"")</f>
        <v>EA</v>
      </c>
      <c r="K3376" s="12">
        <v>295.0</v>
      </c>
      <c r="L3376" s="13" t="str">
        <f>IF(D3376&lt;&gt;"",VLOOKUP(#REF!,TABLEITEM,2,FALSE),"")</f>
        <v>#REF!</v>
      </c>
      <c r="M3376" s="13" t="str">
        <f>IF(D3376&lt;&gt;"",VLOOKUP(H3376,TABLEITEM,3,FALSE),"")</f>
        <v>ล้อยูริเทนเหล็กหล่อ 4" หน้ายาง 40มิล โครงเชื่อมล้อตาย</v>
      </c>
      <c r="N3376" s="14">
        <f>INSTOCK!$I3376*INSTOCK!$K3376</f>
        <v>590</v>
      </c>
      <c r="O3376" s="4"/>
      <c r="P3376" s="4"/>
    </row>
    <row r="3377" ht="15.75" hidden="1" customHeight="1">
      <c r="B3377" s="8">
        <v>3696.0</v>
      </c>
      <c r="C3377" s="9">
        <v>43192.0</v>
      </c>
      <c r="D3377" s="6" t="s">
        <v>4461</v>
      </c>
      <c r="E3377" s="4">
        <v>6.103000401E9</v>
      </c>
      <c r="F3377" s="8" t="s">
        <v>604</v>
      </c>
      <c r="G3377" s="4" t="s">
        <v>729</v>
      </c>
      <c r="H3377" s="10" t="s">
        <v>1380</v>
      </c>
      <c r="I3377" s="10">
        <v>10.0</v>
      </c>
      <c r="J3377" s="11" t="str">
        <f>IF(D3377&lt;&gt;"",VLOOKUP(H3377,TABLEITEM,5,FALSE),"")</f>
        <v>EA</v>
      </c>
      <c r="K3377" s="12">
        <v>450.0</v>
      </c>
      <c r="L3377" s="13" t="str">
        <f>IF(D3377&lt;&gt;"",VLOOKUP(H3377,TABLEITEM,2,FALSE),"")</f>
        <v/>
      </c>
      <c r="M3377" s="13" t="str">
        <f>IF(D3377&lt;&gt;"",VLOOKUP(H3377,TABLEITEM,3,FALSE),"")</f>
        <v>พีวีซี สีดำ 670x1460 หนา 0.5มม</v>
      </c>
      <c r="N3377" s="14">
        <f>INSTOCK!$I3377*INSTOCK!$K3377</f>
        <v>4500</v>
      </c>
      <c r="O3377" s="4"/>
      <c r="P3377" s="4"/>
    </row>
    <row r="3378" ht="15.75" hidden="1" customHeight="1">
      <c r="B3378" s="8">
        <v>3697.0</v>
      </c>
      <c r="C3378" s="9">
        <v>43192.0</v>
      </c>
      <c r="D3378" s="6">
        <v>80649.0</v>
      </c>
      <c r="E3378" s="4">
        <v>6.103000384E9</v>
      </c>
      <c r="F3378" s="8" t="s">
        <v>604</v>
      </c>
      <c r="G3378" s="4" t="s">
        <v>2589</v>
      </c>
      <c r="H3378" s="10" t="s">
        <v>2668</v>
      </c>
      <c r="I3378" s="10">
        <v>1200.0</v>
      </c>
      <c r="J3378" s="11" t="str">
        <f>IF(D3378&lt;&gt;"",VLOOKUP(H3378,TABLEITEM,5,FALSE),"")</f>
        <v>EA</v>
      </c>
      <c r="K3378" s="12">
        <v>1.15</v>
      </c>
      <c r="L3378" s="13" t="str">
        <f>IF(D3378&lt;&gt;"",VLOOKUP(H3378,TABLEITEM,2,FALSE),"")</f>
        <v/>
      </c>
      <c r="M3378" s="13" t="str">
        <f>IF(D3378&lt;&gt;"",VLOOKUP(H3378,TABLEITEM,3,FALSE),"")</f>
        <v>สตัด M5x10</v>
      </c>
      <c r="N3378" s="14">
        <f>INSTOCK!$I3378*INSTOCK!$K3378</f>
        <v>1380</v>
      </c>
      <c r="O3378" s="4"/>
      <c r="P3378" s="4"/>
    </row>
    <row r="3379" ht="15.75" hidden="1" customHeight="1">
      <c r="B3379" s="8">
        <v>3698.0</v>
      </c>
      <c r="C3379" s="9">
        <v>43192.0</v>
      </c>
      <c r="D3379" s="6">
        <v>80649.0</v>
      </c>
      <c r="E3379" s="4">
        <v>6.103000384E9</v>
      </c>
      <c r="F3379" s="8" t="s">
        <v>604</v>
      </c>
      <c r="G3379" s="4" t="s">
        <v>2589</v>
      </c>
      <c r="H3379" s="10" t="s">
        <v>4462</v>
      </c>
      <c r="I3379" s="10">
        <v>1500.0</v>
      </c>
      <c r="J3379" s="11" t="str">
        <f>IF(D3379&lt;&gt;"",VLOOKUP(H3379,TABLEITEM,5,FALSE),"")</f>
        <v>EA</v>
      </c>
      <c r="K3379" s="12">
        <v>2.15</v>
      </c>
      <c r="L3379" s="13" t="str">
        <f>IF(D3379&lt;&gt;"",VLOOKUP(H3379,TABLEITEM,2,FALSE),"")</f>
        <v/>
      </c>
      <c r="M3379" s="13" t="str">
        <f>IF(D3379&lt;&gt;"",VLOOKUP(H3379,TABLEITEM,3,FALSE),"")</f>
        <v>สตัด M6x15</v>
      </c>
      <c r="N3379" s="14">
        <f>INSTOCK!$I3379*INSTOCK!$K3379</f>
        <v>3225</v>
      </c>
      <c r="O3379" s="4"/>
      <c r="P3379" s="4"/>
    </row>
    <row r="3380" ht="15.75" hidden="1" customHeight="1">
      <c r="B3380" s="8">
        <v>3699.0</v>
      </c>
      <c r="C3380" s="9">
        <v>43192.0</v>
      </c>
      <c r="D3380" s="6">
        <v>80649.0</v>
      </c>
      <c r="E3380" s="4">
        <v>6.103000384E9</v>
      </c>
      <c r="F3380" s="8" t="s">
        <v>604</v>
      </c>
      <c r="G3380" s="4" t="s">
        <v>2589</v>
      </c>
      <c r="H3380" s="10" t="s">
        <v>4463</v>
      </c>
      <c r="I3380" s="10">
        <v>500.0</v>
      </c>
      <c r="J3380" s="11" t="str">
        <f>IF(D3380&lt;&gt;"",VLOOKUP(H3380,TABLEITEM,5,FALSE),"")</f>
        <v>EA</v>
      </c>
      <c r="K3380" s="12">
        <v>16.0</v>
      </c>
      <c r="L3380" s="13" t="str">
        <f>IF(D3380&lt;&gt;"",VLOOKUP(H3380,TABLEITEM,2,FALSE),"")</f>
        <v/>
      </c>
      <c r="M3380" s="13" t="str">
        <f>IF(D3380&lt;&gt;"",VLOOKUP(H3380,TABLEITEM,3,FALSE),"")</f>
        <v>สตัดสแตนเลส M8x30</v>
      </c>
      <c r="N3380" s="14">
        <f>INSTOCK!$I3380*INSTOCK!$K3380</f>
        <v>8000</v>
      </c>
      <c r="O3380" s="4"/>
      <c r="P3380" s="4"/>
    </row>
    <row r="3381" ht="15.75" hidden="1" customHeight="1">
      <c r="B3381" s="8">
        <v>3700.0</v>
      </c>
      <c r="C3381" s="9">
        <v>43192.0</v>
      </c>
      <c r="D3381" s="6">
        <v>80649.0</v>
      </c>
      <c r="E3381" s="4">
        <v>6.103000384E9</v>
      </c>
      <c r="F3381" s="8" t="s">
        <v>604</v>
      </c>
      <c r="G3381" s="4" t="s">
        <v>2589</v>
      </c>
      <c r="H3381" s="10" t="s">
        <v>4464</v>
      </c>
      <c r="I3381" s="10">
        <v>500.0</v>
      </c>
      <c r="J3381" s="11" t="str">
        <f>IF(D3381&lt;&gt;"",VLOOKUP(H3381,TABLEITEM,5,FALSE),"")</f>
        <v>EA</v>
      </c>
      <c r="K3381" s="12">
        <v>2.13</v>
      </c>
      <c r="L3381" s="13" t="str">
        <f>IF(D3381&lt;&gt;"",VLOOKUP(H3381,TABLEITEM,2,FALSE),"")</f>
        <v/>
      </c>
      <c r="M3381" s="13" t="str">
        <f>IF(D3381&lt;&gt;"",VLOOKUP(H3381,TABLEITEM,3,FALSE),"")</f>
        <v>สตัด M5x25</v>
      </c>
      <c r="N3381" s="14">
        <f>INSTOCK!$I3381*INSTOCK!$K3381</f>
        <v>1065</v>
      </c>
      <c r="O3381" s="4"/>
      <c r="P3381" s="4"/>
    </row>
    <row r="3382" ht="15.75" hidden="1" customHeight="1">
      <c r="B3382" s="8">
        <v>3701.0</v>
      </c>
      <c r="C3382" s="9">
        <v>43192.0</v>
      </c>
      <c r="D3382" s="6" t="s">
        <v>4465</v>
      </c>
      <c r="E3382" s="4">
        <v>6.103000396E9</v>
      </c>
      <c r="F3382" s="8" t="s">
        <v>604</v>
      </c>
      <c r="G3382" s="4" t="s">
        <v>1870</v>
      </c>
      <c r="H3382" s="10" t="s">
        <v>4466</v>
      </c>
      <c r="I3382" s="10">
        <v>1000.0</v>
      </c>
      <c r="J3382" s="11" t="str">
        <f>IF(D3382&lt;&gt;"",VLOOKUP(H3382,TABLEITEM,5,FALSE),"")</f>
        <v>EA</v>
      </c>
      <c r="K3382" s="12">
        <v>0.1043</v>
      </c>
      <c r="L3382" s="13" t="str">
        <f>IF(D3382&lt;&gt;"",VLOOKUP(H3382,TABLEITEM,2,FALSE),"")</f>
        <v/>
      </c>
      <c r="M3382" s="13" t="str">
        <f>IF(D3382&lt;&gt;"",VLOOKUP(H3382,TABLEITEM,3,FALSE),"")</f>
        <v>สกรูหัวกลมชุบขาว M4x15</v>
      </c>
      <c r="N3382" s="14">
        <f>INSTOCK!$I3382*INSTOCK!$K3382</f>
        <v>104.3</v>
      </c>
      <c r="O3382" s="4" t="s">
        <v>4467</v>
      </c>
      <c r="P3382" s="4"/>
    </row>
    <row r="3383" ht="15.75" hidden="1" customHeight="1">
      <c r="B3383" s="8">
        <v>3702.0</v>
      </c>
      <c r="C3383" s="9">
        <v>43192.0</v>
      </c>
      <c r="D3383" s="6" t="s">
        <v>4465</v>
      </c>
      <c r="E3383" s="4">
        <v>6.103000396E9</v>
      </c>
      <c r="F3383" s="8" t="s">
        <v>604</v>
      </c>
      <c r="G3383" s="4" t="s">
        <v>1870</v>
      </c>
      <c r="H3383" s="10" t="s">
        <v>4468</v>
      </c>
      <c r="I3383" s="10">
        <v>2000.0</v>
      </c>
      <c r="J3383" s="11" t="str">
        <f>IF(D3383&lt;&gt;"",VLOOKUP(H3383,TABLEITEM,5,FALSE),"")</f>
        <v>EA</v>
      </c>
      <c r="K3383" s="12">
        <v>0.0478</v>
      </c>
      <c r="L3383" s="13" t="str">
        <f>IF(D3383&lt;&gt;"",VLOOKUP(H3383,TABLEITEM,2,FALSE),"")</f>
        <v/>
      </c>
      <c r="M3383" s="13" t="str">
        <f>IF(D3383&lt;&gt;"",VLOOKUP(H3383,TABLEITEM,3,FALSE),"")</f>
        <v>สกรูเกลียวปล่อย M4x3/8</v>
      </c>
      <c r="N3383" s="14">
        <f>INSTOCK!$I3383*INSTOCK!$K3383</f>
        <v>95.6</v>
      </c>
      <c r="O3383" s="4" t="s">
        <v>4469</v>
      </c>
      <c r="P3383" s="4"/>
    </row>
    <row r="3384" ht="15.75" hidden="1" customHeight="1">
      <c r="B3384" s="8">
        <v>3703.0</v>
      </c>
      <c r="C3384" s="9">
        <v>43192.0</v>
      </c>
      <c r="D3384" s="6" t="s">
        <v>4465</v>
      </c>
      <c r="E3384" s="4">
        <v>6.103000396E9</v>
      </c>
      <c r="F3384" s="8" t="s">
        <v>604</v>
      </c>
      <c r="G3384" s="4" t="s">
        <v>1870</v>
      </c>
      <c r="H3384" s="10" t="s">
        <v>2094</v>
      </c>
      <c r="I3384" s="10">
        <v>200.0</v>
      </c>
      <c r="J3384" s="11" t="str">
        <f>IF(D3384&lt;&gt;"",VLOOKUP(H3384,TABLEITEM,5,FALSE),"")</f>
        <v>EA</v>
      </c>
      <c r="K3384" s="12">
        <v>0.09</v>
      </c>
      <c r="L3384" s="13" t="str">
        <f>IF(D3384&lt;&gt;"",VLOOKUP(H3384,TABLEITEM,2,FALSE),"")</f>
        <v/>
      </c>
      <c r="M3384" s="13" t="str">
        <f>IF(D3384&lt;&gt;"",VLOOKUP(H3384,TABLEITEM,3,FALSE),"")</f>
        <v>หัวน้อต       M10   ชุบขาว</v>
      </c>
      <c r="N3384" s="14">
        <f>INSTOCK!$I3384*INSTOCK!$K3384</f>
        <v>18</v>
      </c>
      <c r="O3384" s="4" t="s">
        <v>4470</v>
      </c>
      <c r="P3384" s="4"/>
    </row>
    <row r="3385" ht="15.75" hidden="1" customHeight="1">
      <c r="B3385" s="8">
        <v>3704.0</v>
      </c>
      <c r="C3385" s="9">
        <v>43192.0</v>
      </c>
      <c r="D3385" s="6" t="s">
        <v>4471</v>
      </c>
      <c r="E3385" s="4">
        <v>6.103000395E9</v>
      </c>
      <c r="F3385" s="8" t="s">
        <v>604</v>
      </c>
      <c r="G3385" s="4" t="s">
        <v>1777</v>
      </c>
      <c r="H3385" s="10" t="s">
        <v>2523</v>
      </c>
      <c r="I3385" s="10">
        <v>2000.0</v>
      </c>
      <c r="J3385" s="11" t="str">
        <f>IF(D3385&lt;&gt;"",VLOOKUP(H3385,TABLEITEM,5,FALSE),"")</f>
        <v>EA</v>
      </c>
      <c r="K3385" s="12">
        <v>1.196</v>
      </c>
      <c r="L3385" s="13" t="str">
        <f>IF(D3385&lt;&gt;"",VLOOKUP(H3385,TABLEITEM,2,FALSE),"")</f>
        <v/>
      </c>
      <c r="M3385" s="13" t="str">
        <f>IF(D3385&lt;&gt;"",VLOOKUP(H3385,TABLEITEM,3,FALSE),"")</f>
        <v>สกรูหัวเหลี่ยมชุบขาว M8x35</v>
      </c>
      <c r="N3385" s="14">
        <f>INSTOCK!$I3385*INSTOCK!$K3385</f>
        <v>2392</v>
      </c>
      <c r="O3385" s="4" t="s">
        <v>2524</v>
      </c>
      <c r="P3385" s="4"/>
    </row>
    <row r="3386" ht="15.75" hidden="1" customHeight="1">
      <c r="B3386" s="8">
        <v>3705.0</v>
      </c>
      <c r="C3386" s="9">
        <v>43192.0</v>
      </c>
      <c r="D3386" s="6" t="s">
        <v>4471</v>
      </c>
      <c r="E3386" s="4">
        <v>6.103000395E9</v>
      </c>
      <c r="F3386" s="8" t="s">
        <v>604</v>
      </c>
      <c r="G3386" s="4" t="s">
        <v>1777</v>
      </c>
      <c r="H3386" s="10" t="s">
        <v>4472</v>
      </c>
      <c r="I3386" s="10">
        <v>1000.0</v>
      </c>
      <c r="J3386" s="11" t="str">
        <f>IF(D3386&lt;&gt;"",VLOOKUP(H3386,TABLEITEM,5,FALSE),"")</f>
        <v>EA</v>
      </c>
      <c r="K3386" s="12">
        <v>1.3325</v>
      </c>
      <c r="L3386" s="13" t="str">
        <f>IF(D3386&lt;&gt;"",VLOOKUP(H3386,TABLEITEM,2,FALSE),"")</f>
        <v/>
      </c>
      <c r="M3386" s="13" t="str">
        <f>IF(D3386&lt;&gt;"",VLOOKUP(H3386,TABLEITEM,3,FALSE),"")</f>
        <v>สกรูหัวเหลี่ยมชุบขาว M8x40</v>
      </c>
      <c r="N3386" s="14">
        <f>INSTOCK!$I3386*INSTOCK!$K3386</f>
        <v>1332.5</v>
      </c>
      <c r="O3386" s="4" t="s">
        <v>4473</v>
      </c>
      <c r="P3386" s="4"/>
    </row>
    <row r="3387" ht="15.75" hidden="1" customHeight="1">
      <c r="B3387" s="8">
        <v>3706.0</v>
      </c>
      <c r="C3387" s="9">
        <v>43192.0</v>
      </c>
      <c r="D3387" s="6" t="s">
        <v>4471</v>
      </c>
      <c r="E3387" s="4">
        <v>6.103000395E9</v>
      </c>
      <c r="F3387" s="8" t="s">
        <v>604</v>
      </c>
      <c r="G3387" s="4" t="s">
        <v>1777</v>
      </c>
      <c r="H3387" s="10" t="s">
        <v>4474</v>
      </c>
      <c r="I3387" s="10">
        <v>500.0</v>
      </c>
      <c r="J3387" s="11" t="str">
        <f>IF(D3387&lt;&gt;"",VLOOKUP(H3387,TABLEITEM,5,FALSE),"")</f>
        <v>EA</v>
      </c>
      <c r="K3387" s="12">
        <v>1.456</v>
      </c>
      <c r="L3387" s="13" t="str">
        <f>IF(D3387&lt;&gt;"",VLOOKUP(H3387,TABLEITEM,2,FALSE),"")</f>
        <v/>
      </c>
      <c r="M3387" s="13" t="str">
        <f>IF(D3387&lt;&gt;"",VLOOKUP(H3387,TABLEITEM,3,FALSE),"")</f>
        <v>สกรูหัวเหลี่ยมชุบขาว M8x45</v>
      </c>
      <c r="N3387" s="14">
        <f>INSTOCK!$I3387*INSTOCK!$K3387</f>
        <v>728</v>
      </c>
      <c r="O3387" s="4" t="s">
        <v>4475</v>
      </c>
      <c r="P3387" s="4"/>
    </row>
    <row r="3388" ht="15.75" hidden="1" customHeight="1">
      <c r="B3388" s="8">
        <v>3707.0</v>
      </c>
      <c r="C3388" s="9">
        <v>43192.0</v>
      </c>
      <c r="D3388" s="6" t="s">
        <v>4471</v>
      </c>
      <c r="E3388" s="4">
        <v>6.103000395E9</v>
      </c>
      <c r="F3388" s="8" t="s">
        <v>604</v>
      </c>
      <c r="G3388" s="4" t="s">
        <v>1777</v>
      </c>
      <c r="H3388" s="10" t="s">
        <v>2102</v>
      </c>
      <c r="I3388" s="10">
        <v>20000.0</v>
      </c>
      <c r="J3388" s="11" t="str">
        <f>IF(D3388&lt;&gt;"",VLOOKUP(H3388,TABLEITEM,5,FALSE),"")</f>
        <v>EA</v>
      </c>
      <c r="K3388" s="12">
        <v>0.09</v>
      </c>
      <c r="L3388" s="13" t="str">
        <f>IF(D3388&lt;&gt;"",VLOOKUP(H3388,TABLEITEM,2,FALSE),"")</f>
        <v/>
      </c>
      <c r="M3388" s="13" t="str">
        <f>IF(D3388&lt;&gt;"",VLOOKUP(H3388,TABLEITEM,3,FALSE),"")</f>
        <v>แหวนอีแปะ M8 ชุบขาว</v>
      </c>
      <c r="N3388" s="14">
        <f>INSTOCK!$I3388*INSTOCK!$K3388</f>
        <v>1800</v>
      </c>
      <c r="O3388" s="4" t="s">
        <v>2103</v>
      </c>
      <c r="P3388" s="4"/>
    </row>
    <row r="3389" ht="15.75" hidden="1" customHeight="1">
      <c r="B3389" s="8">
        <v>3708.0</v>
      </c>
      <c r="C3389" s="9">
        <v>43621.0</v>
      </c>
      <c r="D3389" s="6" t="s">
        <v>4476</v>
      </c>
      <c r="E3389" s="4">
        <v>6.204000659E9</v>
      </c>
      <c r="F3389" s="8" t="s">
        <v>4477</v>
      </c>
      <c r="G3389" s="4" t="s">
        <v>2460</v>
      </c>
      <c r="H3389" s="10" t="s">
        <v>4478</v>
      </c>
      <c r="I3389" s="10">
        <v>1.0</v>
      </c>
      <c r="J3389" s="11" t="str">
        <f>IF(D3389&lt;&gt;"",VLOOKUP(H3389,TABLEITEM,5,FALSE),"")</f>
        <v>EA</v>
      </c>
      <c r="K3389" s="12">
        <v>41520.0</v>
      </c>
      <c r="L3389" s="13" t="str">
        <f>IF(D3389&lt;&gt;"",VLOOKUP(H3389,TABLEITEM,2,FALSE),"")</f>
        <v/>
      </c>
      <c r="M3389" s="13" t="str">
        <f>IF(D3389&lt;&gt;"",VLOOKUP(H3389,TABLEITEM,3,FALSE),"")</f>
        <v>1 1/4"(B)UPWARD LANCE SET ASSY W=10XH=5(OUT-OUT)SPC1.2MM CODE YSA001 SH00 SK 03</v>
      </c>
      <c r="N3389" s="14">
        <f>INSTOCK!$I3389*INSTOCK!$K3389</f>
        <v>41520</v>
      </c>
      <c r="O3389" s="4" t="s">
        <v>4479</v>
      </c>
      <c r="P3389" s="4"/>
    </row>
    <row r="3390" ht="15.75" hidden="1" customHeight="1">
      <c r="B3390" s="8">
        <v>3709.0</v>
      </c>
      <c r="C3390" s="9">
        <v>43617.0</v>
      </c>
      <c r="D3390" s="6" t="s">
        <v>4480</v>
      </c>
      <c r="E3390" s="4">
        <v>6.205000843E9</v>
      </c>
      <c r="F3390" s="8" t="s">
        <v>604</v>
      </c>
      <c r="G3390" s="4" t="s">
        <v>1870</v>
      </c>
      <c r="H3390" s="10" t="s">
        <v>3840</v>
      </c>
      <c r="I3390" s="10">
        <v>500.0</v>
      </c>
      <c r="J3390" s="11" t="str">
        <f>IF(D3390&lt;&gt;"",VLOOKUP(H3390,TABLEITEM,5,FALSE),"")</f>
        <v>EA</v>
      </c>
      <c r="K3390" s="12">
        <v>0.2338</v>
      </c>
      <c r="L3390" s="13" t="str">
        <f>IF(D3390&lt;&gt;"",VLOOKUP(H3390,TABLEITEM,2,FALSE),"")</f>
        <v/>
      </c>
      <c r="M3390" s="13" t="str">
        <f>IF(D3390&lt;&gt;"",VLOOKUP(H3390,TABLEITEM,3,FALSE),"")</f>
        <v>สกรูหัวกลมชุบขาว M5x20</v>
      </c>
      <c r="N3390" s="14">
        <f>INSTOCK!$I3390*INSTOCK!$K3390</f>
        <v>116.9</v>
      </c>
      <c r="O3390" s="4" t="s">
        <v>4481</v>
      </c>
      <c r="P3390" s="4"/>
    </row>
    <row r="3391" ht="15.75" hidden="1" customHeight="1">
      <c r="B3391" s="8">
        <v>3710.0</v>
      </c>
      <c r="C3391" s="9">
        <v>43617.0</v>
      </c>
      <c r="D3391" s="6" t="s">
        <v>4480</v>
      </c>
      <c r="E3391" s="4">
        <v>6.205000843E9</v>
      </c>
      <c r="F3391" s="8" t="s">
        <v>604</v>
      </c>
      <c r="G3391" s="4" t="s">
        <v>1870</v>
      </c>
      <c r="H3391" s="10" t="s">
        <v>2082</v>
      </c>
      <c r="I3391" s="10">
        <v>2000.0</v>
      </c>
      <c r="J3391" s="11" t="str">
        <f>IF(D3391&lt;&gt;"",VLOOKUP(H3391,TABLEITEM,5,FALSE),"")</f>
        <v>EA</v>
      </c>
      <c r="K3391" s="12">
        <v>0.1528</v>
      </c>
      <c r="L3391" s="13" t="str">
        <f>IF(D3391&lt;&gt;"",VLOOKUP(H3391,TABLEITEM,2,FALSE),"")</f>
        <v/>
      </c>
      <c r="M3391" s="13" t="str">
        <f>IF(D3391&lt;&gt;"",VLOOKUP(H3391,TABLEITEM,3,FALSE),"")</f>
        <v>สกรูหัวหมวก  M5x8</v>
      </c>
      <c r="N3391" s="14">
        <f>INSTOCK!$I3391*INSTOCK!$K3391</f>
        <v>305.6</v>
      </c>
      <c r="O3391" s="4" t="s">
        <v>4482</v>
      </c>
      <c r="P3391" s="4"/>
    </row>
    <row r="3392" ht="15.75" hidden="1" customHeight="1">
      <c r="B3392" s="8">
        <v>3711.0</v>
      </c>
      <c r="C3392" s="9">
        <v>43617.0</v>
      </c>
      <c r="D3392" s="6" t="s">
        <v>4483</v>
      </c>
      <c r="E3392" s="4">
        <v>6.205000822E9</v>
      </c>
      <c r="F3392" s="8" t="s">
        <v>604</v>
      </c>
      <c r="G3392" s="4" t="s">
        <v>4484</v>
      </c>
      <c r="H3392" s="10" t="s">
        <v>4485</v>
      </c>
      <c r="I3392" s="10">
        <v>2.0</v>
      </c>
      <c r="J3392" s="11" t="str">
        <f>IF(D3392&lt;&gt;"",VLOOKUP(H3392,TABLEITEM,5,FALSE),"")</f>
        <v>EA</v>
      </c>
      <c r="K3392" s="12">
        <v>540.0</v>
      </c>
      <c r="L3392" s="13" t="str">
        <f>IF(D3392&lt;&gt;"",VLOOKUP(H3392,TABLEITEM,2,FALSE),"")</f>
        <v/>
      </c>
      <c r="M3392" s="13" t="str">
        <f>IF(D3392&lt;&gt;"",VLOOKUP(H3392,TABLEITEM,3,FALSE),"")</f>
        <v>เทปผ้าหมึก BROTHER TR-100BK</v>
      </c>
      <c r="N3392" s="14">
        <f>INSTOCK!$I3392*INSTOCK!$K3392</f>
        <v>1080</v>
      </c>
      <c r="O3392" s="4" t="s">
        <v>4486</v>
      </c>
      <c r="P3392" s="4"/>
    </row>
    <row r="3393" ht="15.75" hidden="1" customHeight="1">
      <c r="B3393" s="8">
        <v>3712.0</v>
      </c>
      <c r="C3393" s="9">
        <v>43578.0</v>
      </c>
      <c r="D3393" s="6" t="s">
        <v>4487</v>
      </c>
      <c r="E3393" s="4"/>
      <c r="F3393" s="8"/>
      <c r="G3393" s="4" t="s">
        <v>3433</v>
      </c>
      <c r="H3393" s="18" t="s">
        <v>3434</v>
      </c>
      <c r="I3393" s="10">
        <v>40.0</v>
      </c>
      <c r="J3393" s="11" t="str">
        <f>IF(D3393&lt;&gt;"",VLOOKUP(H3393,TABLEITEM,5,FALSE),"")</f>
        <v>EA</v>
      </c>
      <c r="K3393" s="12">
        <v>400.0</v>
      </c>
      <c r="L3393" s="13" t="str">
        <f>IF(D3393&lt;&gt;"",VLOOKUP(H3393,TABLEITEM,2,FALSE),"")</f>
        <v/>
      </c>
      <c r="M3393" s="13" t="str">
        <f>IF(D3393&lt;&gt;"",VLOOKUP(H3393,TABLEITEM,3,FALSE),"")</f>
        <v>พิมพ์ป้ายเหล็กเติมเต็ม </v>
      </c>
      <c r="N3393" s="14">
        <f>INSTOCK!$I3393*INSTOCK!$K3393</f>
        <v>16000</v>
      </c>
      <c r="O3393" s="4"/>
      <c r="P3393" s="4"/>
    </row>
    <row r="3394" ht="15.75" hidden="1" customHeight="1">
      <c r="B3394" s="8">
        <v>3713.0</v>
      </c>
      <c r="C3394" s="9">
        <v>43602.0</v>
      </c>
      <c r="D3394" s="6">
        <v>27443.0</v>
      </c>
      <c r="E3394" s="4"/>
      <c r="F3394" s="8" t="s">
        <v>4488</v>
      </c>
      <c r="G3394" s="4" t="s">
        <v>2528</v>
      </c>
      <c r="H3394" s="10" t="s">
        <v>2529</v>
      </c>
      <c r="I3394" s="10">
        <v>40.0</v>
      </c>
      <c r="J3394" s="11" t="str">
        <f>IF(D3394&lt;&gt;"",VLOOKUP(H3394,TABLEITEM,5,FALSE),"")</f>
        <v>KG.</v>
      </c>
      <c r="K3394" s="12">
        <v>17.0</v>
      </c>
      <c r="L3394" s="13" t="str">
        <f>IF(D3394&lt;&gt;"",VLOOKUP(H3394,TABLEITEM,2,FALSE),"")</f>
        <v/>
      </c>
      <c r="M3394" s="13" t="str">
        <f>IF(D3394&lt;&gt;"",VLOOKUP(H3394,TABLEITEM,3,FALSE),"")</f>
        <v>งานชุบ HOT DIP</v>
      </c>
      <c r="N3394" s="14">
        <f>INSTOCK!$I3394*INSTOCK!$K3394</f>
        <v>680</v>
      </c>
      <c r="O3394" s="4" t="s">
        <v>4489</v>
      </c>
      <c r="P3394" s="4"/>
    </row>
    <row r="3395" ht="15.75" hidden="1" customHeight="1">
      <c r="B3395" s="8">
        <v>3714.0</v>
      </c>
      <c r="C3395" s="9">
        <v>43602.0</v>
      </c>
      <c r="D3395" s="6">
        <v>27443.0</v>
      </c>
      <c r="E3395" s="4"/>
      <c r="F3395" s="8" t="s">
        <v>4488</v>
      </c>
      <c r="G3395" s="4" t="s">
        <v>2528</v>
      </c>
      <c r="H3395" s="10" t="s">
        <v>2529</v>
      </c>
      <c r="I3395" s="10">
        <v>30.0</v>
      </c>
      <c r="J3395" s="11" t="str">
        <f>IF(D3395&lt;&gt;"",VLOOKUP(H3395,TABLEITEM,5,FALSE),"")</f>
        <v>KG.</v>
      </c>
      <c r="K3395" s="12">
        <v>15.0</v>
      </c>
      <c r="L3395" s="13" t="str">
        <f>IF(D3395&lt;&gt;"",VLOOKUP(H3395,TABLEITEM,2,FALSE),"")</f>
        <v/>
      </c>
      <c r="M3395" s="13" t="str">
        <f>IF(D3395&lt;&gt;"",VLOOKUP(H3395,TABLEITEM,3,FALSE),"")</f>
        <v>งานชุบ HOT DIP</v>
      </c>
      <c r="N3395" s="14">
        <f>INSTOCK!$I3395*INSTOCK!$K3395</f>
        <v>450</v>
      </c>
      <c r="O3395" s="4" t="s">
        <v>4490</v>
      </c>
      <c r="P3395" s="4"/>
    </row>
    <row r="3396" ht="15.75" hidden="1" customHeight="1">
      <c r="B3396" s="8">
        <v>3715.0</v>
      </c>
      <c r="C3396" s="9">
        <v>43617.0</v>
      </c>
      <c r="D3396" s="6" t="s">
        <v>4491</v>
      </c>
      <c r="E3396" s="4">
        <v>6.205000834E9</v>
      </c>
      <c r="F3396" s="8" t="s">
        <v>604</v>
      </c>
      <c r="G3396" s="4" t="s">
        <v>975</v>
      </c>
      <c r="H3396" s="10" t="s">
        <v>55</v>
      </c>
      <c r="I3396" s="10">
        <v>72.0</v>
      </c>
      <c r="J3396" s="11" t="str">
        <f>IF(D3396&lt;&gt;"",VLOOKUP(H3396,TABLEITEM,5,FALSE),"")</f>
        <v>EA</v>
      </c>
      <c r="K3396" s="12">
        <v>9.75</v>
      </c>
      <c r="L3396" s="13" t="str">
        <f>IF(D3396&lt;&gt;"",VLOOKUP(H3396,TABLEITEM,2,FALSE),"")</f>
        <v/>
      </c>
      <c r="M3396" s="13" t="str">
        <f>IF(D3396&lt;&gt;"",VLOOKUP(H3396,TABLEITEM,3,FALSE),"")</f>
        <v>เทปใส 2''</v>
      </c>
      <c r="N3396" s="14">
        <f>INSTOCK!$I3396*INSTOCK!$K3396</f>
        <v>702</v>
      </c>
      <c r="O3396" s="4"/>
      <c r="P3396" s="4"/>
    </row>
    <row r="3397" ht="15.75" hidden="1" customHeight="1">
      <c r="B3397" s="8">
        <v>3716.0</v>
      </c>
      <c r="C3397" s="9">
        <v>43620.0</v>
      </c>
      <c r="D3397" s="6" t="s">
        <v>4492</v>
      </c>
      <c r="E3397" s="4">
        <v>6.205000804E9</v>
      </c>
      <c r="F3397" s="8" t="s">
        <v>604</v>
      </c>
      <c r="G3397" s="4" t="s">
        <v>1485</v>
      </c>
      <c r="H3397" s="10" t="s">
        <v>2755</v>
      </c>
      <c r="I3397" s="10">
        <v>10.0</v>
      </c>
      <c r="J3397" s="11" t="str">
        <f>IF(D3397&lt;&gt;"",VLOOKUP(H3397,TABLEITEM,5,FALSE),"")</f>
        <v>EA</v>
      </c>
      <c r="K3397" s="12">
        <v>3357.9</v>
      </c>
      <c r="L3397" s="13" t="str">
        <f>IF(D3397&lt;&gt;"",VLOOKUP(H3397,TABLEITEM,2,FALSE),"")</f>
        <v/>
      </c>
      <c r="M3397" s="13" t="str">
        <f>IF(D3397&lt;&gt;"",VLOOKUP(H3397,TABLEITEM,3,FALSE),"")</f>
        <v>POWER METER PM2230</v>
      </c>
      <c r="N3397" s="14">
        <f>INSTOCK!$I3397*INSTOCK!$K3397</f>
        <v>33579</v>
      </c>
      <c r="O3397" s="4"/>
      <c r="P3397" s="4"/>
    </row>
    <row r="3398" ht="15.75" hidden="1" customHeight="1">
      <c r="B3398" s="8">
        <v>3717.0</v>
      </c>
      <c r="C3398" s="9">
        <v>43621.0</v>
      </c>
      <c r="D3398" s="6" t="s">
        <v>4493</v>
      </c>
      <c r="E3398" s="4"/>
      <c r="F3398" s="8" t="s">
        <v>4494</v>
      </c>
      <c r="G3398" s="4" t="s">
        <v>3029</v>
      </c>
      <c r="H3398" s="10" t="s">
        <v>3030</v>
      </c>
      <c r="I3398" s="10">
        <v>11.69</v>
      </c>
      <c r="J3398" s="11" t="str">
        <f>IF(D3398&lt;&gt;"",VLOOKUP(H3398,TABLEITEM,5,FALSE),"")</f>
        <v>LOT</v>
      </c>
      <c r="K3398" s="12">
        <v>55.0</v>
      </c>
      <c r="L3398" s="13" t="str">
        <f>IF(D3398&lt;&gt;"",VLOOKUP(H3398,TABLEITEM,2,FALSE),"")</f>
        <v/>
      </c>
      <c r="M3398" s="13" t="str">
        <f>IF(D3398&lt;&gt;"",VLOOKUP(H3398,TABLEITEM,3,FALSE),"")</f>
        <v>ค่าชุบ ดีบุกเงา</v>
      </c>
      <c r="N3398" s="14">
        <f>INSTOCK!$I3398*INSTOCK!$K3398</f>
        <v>642.95</v>
      </c>
      <c r="O3398" s="4"/>
      <c r="P3398" s="4"/>
    </row>
    <row r="3399" ht="15.75" hidden="1" customHeight="1">
      <c r="B3399" s="8">
        <v>3718.0</v>
      </c>
      <c r="C3399" s="9">
        <v>43622.0</v>
      </c>
      <c r="D3399" s="6" t="s">
        <v>4495</v>
      </c>
      <c r="E3399" s="4">
        <v>6.206000855E9</v>
      </c>
      <c r="F3399" s="8" t="s">
        <v>4496</v>
      </c>
      <c r="G3399" s="4" t="s">
        <v>702</v>
      </c>
      <c r="H3399" s="10" t="s">
        <v>92</v>
      </c>
      <c r="I3399" s="10">
        <v>20.0</v>
      </c>
      <c r="J3399" s="11" t="str">
        <f>IF(D3399&lt;&gt;"",VLOOKUP(H3399,TABLEITEM,5,FALSE),"")</f>
        <v>KG.</v>
      </c>
      <c r="K3399" s="12">
        <v>115.0</v>
      </c>
      <c r="L3399" s="13" t="str">
        <f>IF(D3399&lt;&gt;"",VLOOKUP(H3399,TABLEITEM,2,FALSE),"")</f>
        <v/>
      </c>
      <c r="M3399" s="13" t="str">
        <f>IF(D3399&lt;&gt;"",VLOOKUP(H3399,TABLEITEM,3,FALSE),"")</f>
        <v>สีฝุ่น FF110/703/c สีดำผิวเงา</v>
      </c>
      <c r="N3399" s="14">
        <f>INSTOCK!$I3399*INSTOCK!$K3399</f>
        <v>2300</v>
      </c>
      <c r="O3399" s="4"/>
      <c r="P3399" s="4"/>
    </row>
    <row r="3400" ht="15.75" hidden="1" customHeight="1">
      <c r="B3400" s="8">
        <v>3719.0</v>
      </c>
      <c r="C3400" s="9">
        <v>43617.0</v>
      </c>
      <c r="D3400" s="6" t="s">
        <v>4497</v>
      </c>
      <c r="E3400" s="4">
        <v>6.204000627E9</v>
      </c>
      <c r="F3400" s="8" t="s">
        <v>604</v>
      </c>
      <c r="G3400" s="4" t="s">
        <v>1777</v>
      </c>
      <c r="H3400" s="10" t="s">
        <v>3997</v>
      </c>
      <c r="I3400" s="10">
        <v>10000.0</v>
      </c>
      <c r="J3400" s="11" t="str">
        <f>IF(D3400&lt;&gt;"",VLOOKUP(H3400,TABLEITEM,5,FALSE),"")</f>
        <v>EA</v>
      </c>
      <c r="K3400" s="12">
        <v>0.99</v>
      </c>
      <c r="L3400" s="13" t="str">
        <f>IF(D3400&lt;&gt;"",VLOOKUP(H3400,TABLEITEM,2,FALSE),"")</f>
        <v/>
      </c>
      <c r="M3400" s="13" t="str">
        <f>IF(D3400&lt;&gt;"",VLOOKUP(H3400,TABLEITEM,3,FALSE),"")</f>
        <v>สกรูหัวติดแหวน M 6x10</v>
      </c>
      <c r="N3400" s="14">
        <f>INSTOCK!$I3400*INSTOCK!$K3400</f>
        <v>9900</v>
      </c>
      <c r="O3400" s="4" t="s">
        <v>1857</v>
      </c>
      <c r="P3400" s="4"/>
    </row>
    <row r="3401" ht="15.75" hidden="1" customHeight="1">
      <c r="B3401" s="8">
        <v>3720.0</v>
      </c>
      <c r="C3401" s="9">
        <v>43622.0</v>
      </c>
      <c r="D3401" s="6" t="s">
        <v>4498</v>
      </c>
      <c r="E3401" s="4" t="s">
        <v>4499</v>
      </c>
      <c r="F3401" s="8" t="s">
        <v>807</v>
      </c>
      <c r="G3401" s="4" t="s">
        <v>808</v>
      </c>
      <c r="H3401" s="18" t="s">
        <v>1957</v>
      </c>
      <c r="I3401" s="10">
        <v>1.0</v>
      </c>
      <c r="J3401" s="11" t="str">
        <f>IF(D3401&lt;&gt;"",VLOOKUP(H3401,TABLEITEM,5,FALSE),"")</f>
        <v>EA</v>
      </c>
      <c r="K3401" s="12">
        <v>180.0</v>
      </c>
      <c r="L3401" s="13" t="str">
        <f>IF(D3401&lt;&gt;"",VLOOKUP(H3401,TABLEITEM,2,FALSE),"")</f>
        <v/>
      </c>
      <c r="M3401" s="13" t="str">
        <f>IF(D3401&lt;&gt;"",VLOOKUP(H3401,TABLEITEM,3,FALSE),"")</f>
        <v>ไนโตรเจน ขนาด 6Q </v>
      </c>
      <c r="N3401" s="14">
        <f>INSTOCK!$I3401*INSTOCK!$K3401</f>
        <v>180</v>
      </c>
      <c r="O3401" s="4"/>
      <c r="P3401" s="4"/>
    </row>
    <row r="3402" ht="15.75" hidden="1" customHeight="1">
      <c r="B3402" s="8">
        <v>3721.0</v>
      </c>
      <c r="C3402" s="9">
        <v>43622.0</v>
      </c>
      <c r="D3402" s="6">
        <v>6.2060071E7</v>
      </c>
      <c r="E3402" s="4">
        <v>6.206000854E9</v>
      </c>
      <c r="F3402" s="8" t="s">
        <v>807</v>
      </c>
      <c r="G3402" s="4" t="s">
        <v>1127</v>
      </c>
      <c r="H3402" s="10" t="s">
        <v>4500</v>
      </c>
      <c r="I3402" s="10">
        <v>1.0</v>
      </c>
      <c r="J3402" s="11" t="str">
        <f>IF(D3402&lt;&gt;"",VLOOKUP(H3402,TABLEITEM,5,FALSE),"")</f>
        <v>EA</v>
      </c>
      <c r="K3402" s="12">
        <v>2500.0</v>
      </c>
      <c r="L3402" s="13" t="str">
        <f>IF(D3402&lt;&gt;"",VLOOKUP(H3402,TABLEITEM,2,FALSE),"")</f>
        <v/>
      </c>
      <c r="M3402" s="13" t="str">
        <f>IF(D3402&lt;&gt;"",VLOOKUP(H3402,TABLEITEM,3,FALSE),"")</f>
        <v>เกย์ NITROGEN HARRIS รุ่น 25GX-10-N2</v>
      </c>
      <c r="N3402" s="14">
        <f>INSTOCK!$I3402*INSTOCK!$K3402</f>
        <v>2500</v>
      </c>
      <c r="O3402" s="4"/>
      <c r="P3402" s="4"/>
    </row>
    <row r="3403" ht="15.75" hidden="1" customHeight="1">
      <c r="B3403" s="8">
        <v>3722.0</v>
      </c>
      <c r="C3403" s="9">
        <v>43619.0</v>
      </c>
      <c r="D3403" s="6" t="s">
        <v>4501</v>
      </c>
      <c r="E3403" s="4">
        <v>6.205000828E9</v>
      </c>
      <c r="F3403" s="8" t="s">
        <v>604</v>
      </c>
      <c r="G3403" s="4" t="s">
        <v>1070</v>
      </c>
      <c r="H3403" s="10" t="s">
        <v>4502</v>
      </c>
      <c r="I3403" s="10">
        <v>25.0</v>
      </c>
      <c r="J3403" s="11" t="str">
        <f>IF(D3403&lt;&gt;"",VLOOKUP(H3403,TABLEITEM,5,FALSE),"")</f>
        <v>EA</v>
      </c>
      <c r="K3403" s="12">
        <v>32.0</v>
      </c>
      <c r="L3403" s="13" t="str">
        <f>IF(D3403&lt;&gt;"",VLOOKUP(H3403,TABLEITEM,2,FALSE),"")</f>
        <v/>
      </c>
      <c r="M3403" s="13" t="str">
        <f>IF(D3403&lt;&gt;"",VLOOKUP(H3403,TABLEITEM,3,FALSE),"")</f>
        <v>ใบเจียร์หนา 7" 180x6x22mm A24Q</v>
      </c>
      <c r="N3403" s="14">
        <f>INSTOCK!$I3403*INSTOCK!$K3403</f>
        <v>800</v>
      </c>
      <c r="O3403" s="4"/>
      <c r="P3403" s="4"/>
    </row>
    <row r="3404" ht="15.75" hidden="1" customHeight="1">
      <c r="B3404" s="8">
        <v>3723.0</v>
      </c>
      <c r="C3404" s="9">
        <v>43619.0</v>
      </c>
      <c r="D3404" s="6" t="s">
        <v>4501</v>
      </c>
      <c r="E3404" s="4">
        <v>6.205000828E9</v>
      </c>
      <c r="F3404" s="8" t="s">
        <v>604</v>
      </c>
      <c r="G3404" s="4" t="s">
        <v>1070</v>
      </c>
      <c r="H3404" s="10" t="s">
        <v>4503</v>
      </c>
      <c r="I3404" s="10">
        <v>10.0</v>
      </c>
      <c r="J3404" s="11" t="str">
        <f>IF(D3404&lt;&gt;"",VLOOKUP(H3404,TABLEITEM,5,FALSE),"")</f>
        <v>EA</v>
      </c>
      <c r="K3404" s="12">
        <v>130.0</v>
      </c>
      <c r="L3404" s="13" t="str">
        <f>IF(D3404&lt;&gt;"",VLOOKUP(H3404,TABLEITEM,2,FALSE),"")</f>
        <v/>
      </c>
      <c r="M3404" s="13" t="str">
        <f>IF(D3404&lt;&gt;"",VLOOKUP(H3404,TABLEITEM,3,FALSE),"")</f>
        <v>NOZZLE CONICAL SP-150 12x53 BINZEL</v>
      </c>
      <c r="N3404" s="14">
        <f>INSTOCK!$I3404*INSTOCK!$K3404</f>
        <v>1300</v>
      </c>
      <c r="O3404" s="4"/>
      <c r="P3404" s="4"/>
    </row>
    <row r="3405" ht="15.75" hidden="1" customHeight="1">
      <c r="B3405" s="8">
        <v>3724.0</v>
      </c>
      <c r="C3405" s="9">
        <v>43619.0</v>
      </c>
      <c r="D3405" s="6" t="s">
        <v>4501</v>
      </c>
      <c r="E3405" s="4">
        <v>6.205000828E9</v>
      </c>
      <c r="F3405" s="8" t="s">
        <v>604</v>
      </c>
      <c r="G3405" s="4" t="s">
        <v>1070</v>
      </c>
      <c r="H3405" s="10" t="s">
        <v>4504</v>
      </c>
      <c r="I3405" s="10">
        <v>10.0</v>
      </c>
      <c r="J3405" s="11" t="str">
        <f>IF(D3405&lt;&gt;"",VLOOKUP(H3405,TABLEITEM,5,FALSE),"")</f>
        <v>EA</v>
      </c>
      <c r="K3405" s="12">
        <v>100.0</v>
      </c>
      <c r="L3405" s="13" t="str">
        <f>IF(D3405&lt;&gt;"",VLOOKUP(H3405,TABLEITEM,2,FALSE),"")</f>
        <v/>
      </c>
      <c r="M3405" s="13" t="str">
        <f>IF(D3405&lt;&gt;"",VLOOKUP(H3405,TABLEITEM,3,FALSE),"")</f>
        <v>NOZZLE 200A REF.U4186L00</v>
      </c>
      <c r="N3405" s="14">
        <f>INSTOCK!$I3405*INSTOCK!$K3405</f>
        <v>1000</v>
      </c>
      <c r="O3405" s="4"/>
      <c r="P3405" s="4"/>
    </row>
    <row r="3406" ht="15.75" hidden="1" customHeight="1">
      <c r="B3406" s="8">
        <v>3725.0</v>
      </c>
      <c r="C3406" s="9">
        <v>43250.0</v>
      </c>
      <c r="D3406" s="6" t="s">
        <v>4505</v>
      </c>
      <c r="E3406" s="4"/>
      <c r="F3406" s="8" t="s">
        <v>632</v>
      </c>
      <c r="G3406" s="4" t="s">
        <v>1940</v>
      </c>
      <c r="H3406" s="10" t="s">
        <v>4506</v>
      </c>
      <c r="I3406" s="10">
        <v>6.0</v>
      </c>
      <c r="J3406" s="11" t="str">
        <f>IF(D3406&lt;&gt;"",VLOOKUP(H3406,TABLEITEM,5,FALSE),"")</f>
        <v>EA</v>
      </c>
      <c r="K3406" s="12">
        <v>17.82</v>
      </c>
      <c r="L3406" s="13" t="str">
        <f>IF(D3406&lt;&gt;"",VLOOKUP(H3406,TABLEITEM,2,FALSE),"")</f>
        <v/>
      </c>
      <c r="M3406" s="13" t="str">
        <f>IF(D3406&lt;&gt;"",VLOOKUP(H3406,TABLEITEM,3,FALSE),"")</f>
        <v>สกรูหัวเหลี่ยม SUS M12x80</v>
      </c>
      <c r="N3406" s="14">
        <f>INSTOCK!$I3406*INSTOCK!$K3406</f>
        <v>106.92</v>
      </c>
      <c r="O3406" s="4" t="s">
        <v>4507</v>
      </c>
      <c r="P3406" s="4"/>
    </row>
    <row r="3407" ht="15.75" hidden="1" customHeight="1">
      <c r="B3407" s="8">
        <v>3726.0</v>
      </c>
      <c r="C3407" s="9">
        <v>43250.0</v>
      </c>
      <c r="D3407" s="6" t="s">
        <v>4505</v>
      </c>
      <c r="E3407" s="4"/>
      <c r="F3407" s="8" t="s">
        <v>632</v>
      </c>
      <c r="G3407" s="4" t="s">
        <v>1940</v>
      </c>
      <c r="H3407" s="10" t="s">
        <v>4318</v>
      </c>
      <c r="I3407" s="10">
        <v>6.0</v>
      </c>
      <c r="J3407" s="11" t="str">
        <f>IF(D3407&lt;&gt;"",VLOOKUP(H3407,TABLEITEM,5,FALSE),"")</f>
        <v>EA</v>
      </c>
      <c r="K3407" s="12">
        <v>4.56</v>
      </c>
      <c r="L3407" s="13" t="str">
        <f>IF(D3407&lt;&gt;"",VLOOKUP(H3407,TABLEITEM,2,FALSE),"")</f>
        <v/>
      </c>
      <c r="M3407" s="13" t="str">
        <f>IF(D3407&lt;&gt;"",VLOOKUP(H3407,TABLEITEM,3,FALSE),"")</f>
        <v>หัวน็อต M12 SUS</v>
      </c>
      <c r="N3407" s="14">
        <f>INSTOCK!$I3407*INSTOCK!$K3407</f>
        <v>27.36</v>
      </c>
      <c r="O3407" s="4" t="s">
        <v>4508</v>
      </c>
      <c r="P3407" s="4"/>
    </row>
    <row r="3408" ht="15.75" hidden="1" customHeight="1">
      <c r="B3408" s="8">
        <v>3727.0</v>
      </c>
      <c r="C3408" s="9">
        <v>43250.0</v>
      </c>
      <c r="D3408" s="6" t="s">
        <v>4509</v>
      </c>
      <c r="E3408" s="4"/>
      <c r="F3408" s="8"/>
      <c r="G3408" s="4" t="s">
        <v>3029</v>
      </c>
      <c r="H3408" s="10" t="s">
        <v>3030</v>
      </c>
      <c r="I3408" s="10">
        <v>1.0</v>
      </c>
      <c r="J3408" s="11" t="str">
        <f>IF(D3408&lt;&gt;"",VLOOKUP(H3408,TABLEITEM,5,FALSE),"")</f>
        <v>LOT</v>
      </c>
      <c r="K3408" s="12">
        <v>535.0</v>
      </c>
      <c r="L3408" s="13" t="str">
        <f>IF(D3408&lt;&gt;"",VLOOKUP(H3408,TABLEITEM,2,FALSE),"")</f>
        <v/>
      </c>
      <c r="M3408" s="13" t="str">
        <f>IF(D3408&lt;&gt;"",VLOOKUP(H3408,TABLEITEM,3,FALSE),"")</f>
        <v>ค่าชุบ ดีบุกเงา</v>
      </c>
      <c r="N3408" s="14">
        <f>INSTOCK!$I3408*INSTOCK!$K3408</f>
        <v>535</v>
      </c>
      <c r="O3408" s="4" t="s">
        <v>4510</v>
      </c>
      <c r="P3408" s="4"/>
    </row>
    <row r="3409" ht="15.75" hidden="1" customHeight="1">
      <c r="B3409" s="8">
        <v>3728.0</v>
      </c>
      <c r="C3409" s="9">
        <v>43245.0</v>
      </c>
      <c r="D3409" s="6">
        <v>6.1051109E7</v>
      </c>
      <c r="E3409" s="4">
        <v>6.105000631E9</v>
      </c>
      <c r="F3409" s="8" t="s">
        <v>4511</v>
      </c>
      <c r="G3409" s="4" t="s">
        <v>711</v>
      </c>
      <c r="H3409" s="10" t="s">
        <v>4512</v>
      </c>
      <c r="I3409" s="10">
        <v>20.0</v>
      </c>
      <c r="J3409" s="11" t="str">
        <f>IF(D3409&lt;&gt;"",VLOOKUP(H3409,TABLEITEM,5,FALSE),"")</f>
        <v>KG.</v>
      </c>
      <c r="K3409" s="12">
        <v>161.5</v>
      </c>
      <c r="L3409" s="13" t="str">
        <f>IF(D3409&lt;&gt;"",VLOOKUP(H3409,TABLEITEM,2,FALSE),"")</f>
        <v/>
      </c>
      <c r="M3409" s="13" t="str">
        <f>IF(D3409&lt;&gt;"",VLOOKUP(H3409,TABLEITEM,3,FALSE),"")</f>
        <v>สีฝุ่น สีเหลือง M44004AQ</v>
      </c>
      <c r="N3409" s="14">
        <f>INSTOCK!$I3409*INSTOCK!$K3409</f>
        <v>3230</v>
      </c>
      <c r="O3409" s="4" t="s">
        <v>792</v>
      </c>
      <c r="P3409" s="4"/>
    </row>
    <row r="3410" ht="15.75" hidden="1" customHeight="1">
      <c r="B3410" s="8">
        <v>3729.0</v>
      </c>
      <c r="C3410" s="9">
        <v>43245.0</v>
      </c>
      <c r="D3410" s="6">
        <v>6101483.0</v>
      </c>
      <c r="E3410" s="4">
        <v>6.105000627E9</v>
      </c>
      <c r="F3410" s="8" t="s">
        <v>4513</v>
      </c>
      <c r="G3410" s="4" t="s">
        <v>4239</v>
      </c>
      <c r="H3410" s="10" t="s">
        <v>4240</v>
      </c>
      <c r="I3410" s="10">
        <v>3.0</v>
      </c>
      <c r="J3410" s="11" t="str">
        <f>IF(D3410&lt;&gt;"",VLOOKUP(H3410,TABLEITEM,5,FALSE),"")</f>
        <v>EA</v>
      </c>
      <c r="K3410" s="12">
        <v>120.0</v>
      </c>
      <c r="L3410" s="13" t="str">
        <f>IF(D3410&lt;&gt;"",VLOOKUP(H3410,TABLEITEM,2,FALSE),"")</f>
        <v/>
      </c>
      <c r="M3410" s="13" t="str">
        <f>IF(D3410&lt;&gt;"",VLOOKUP(H3410,TABLEITEM,3,FALSE),"")</f>
        <v>HRC FUSE #0 125A 500V</v>
      </c>
      <c r="N3410" s="14">
        <f>INSTOCK!$I3410*INSTOCK!$K3410</f>
        <v>360</v>
      </c>
      <c r="O3410" s="4" t="s">
        <v>4241</v>
      </c>
      <c r="P3410" s="4"/>
    </row>
    <row r="3411" ht="15.75" hidden="1" customHeight="1">
      <c r="B3411" s="8">
        <v>3730.0</v>
      </c>
      <c r="C3411" s="9">
        <v>43245.0</v>
      </c>
      <c r="D3411" s="6">
        <v>6101483.0</v>
      </c>
      <c r="E3411" s="4">
        <v>6.105000627E9</v>
      </c>
      <c r="F3411" s="8" t="s">
        <v>4513</v>
      </c>
      <c r="G3411" s="4" t="s">
        <v>4239</v>
      </c>
      <c r="H3411" s="10" t="s">
        <v>4242</v>
      </c>
      <c r="I3411" s="10">
        <v>3.0</v>
      </c>
      <c r="J3411" s="11" t="str">
        <f>IF(D3411&lt;&gt;"",VLOOKUP(H3411,TABLEITEM,5,FALSE),"")</f>
        <v>EA</v>
      </c>
      <c r="K3411" s="12">
        <v>500.0</v>
      </c>
      <c r="L3411" s="13" t="str">
        <f>IF(D3411&lt;&gt;"",VLOOKUP(H3411,TABLEITEM,2,FALSE),"")</f>
        <v/>
      </c>
      <c r="M3411" s="13" t="str">
        <f>IF(D3411&lt;&gt;"",VLOOKUP(H3411,TABLEITEM,3,FALSE),"")</f>
        <v>FUSSE BASE 160A #00</v>
      </c>
      <c r="N3411" s="14">
        <f>INSTOCK!$I3411*INSTOCK!$K3411</f>
        <v>1500</v>
      </c>
      <c r="O3411" s="4" t="s">
        <v>2621</v>
      </c>
      <c r="P3411" s="4"/>
    </row>
    <row r="3412" ht="15.75" hidden="1" customHeight="1">
      <c r="B3412" s="8">
        <v>3731.0</v>
      </c>
      <c r="C3412" s="9">
        <v>43245.0</v>
      </c>
      <c r="D3412" s="6" t="s">
        <v>4514</v>
      </c>
      <c r="E3412" s="4">
        <v>6.105000624E9</v>
      </c>
      <c r="F3412" s="8" t="s">
        <v>4515</v>
      </c>
      <c r="G3412" s="4" t="s">
        <v>3076</v>
      </c>
      <c r="H3412" s="10" t="s">
        <v>4516</v>
      </c>
      <c r="I3412" s="10">
        <v>83.0</v>
      </c>
      <c r="J3412" s="11" t="str">
        <f>IF(D3412&lt;&gt;"",VLOOKUP(H3412,TABLEITEM,5,FALSE),"")</f>
        <v>EA</v>
      </c>
      <c r="K3412" s="12">
        <v>12.5</v>
      </c>
      <c r="L3412" s="13" t="str">
        <f>IF(D3412&lt;&gt;"",VLOOKUP(H3412,TABLEITEM,2,FALSE),"")</f>
        <v/>
      </c>
      <c r="M3412" s="13" t="str">
        <f>IF(D3412&lt;&gt;"",VLOOKUP(H3412,TABLEITEM,3,FALSE),"")</f>
        <v>ค่าแรงล้างรูในบูช M16x18mm รูในM 6</v>
      </c>
      <c r="N3412" s="14">
        <f>INSTOCK!$I3412*INSTOCK!$K3412</f>
        <v>1037.5</v>
      </c>
      <c r="O3412" s="4"/>
      <c r="P3412" s="4"/>
    </row>
    <row r="3413" ht="15.75" hidden="1" customHeight="1">
      <c r="B3413" s="8">
        <v>3732.0</v>
      </c>
      <c r="C3413" s="9">
        <v>43244.0</v>
      </c>
      <c r="D3413" s="6" t="s">
        <v>4517</v>
      </c>
      <c r="E3413" s="4">
        <v>6.105000628E9</v>
      </c>
      <c r="F3413" s="8" t="s">
        <v>4513</v>
      </c>
      <c r="G3413" s="4" t="s">
        <v>692</v>
      </c>
      <c r="H3413" s="10" t="s">
        <v>4518</v>
      </c>
      <c r="I3413" s="10">
        <v>1.0</v>
      </c>
      <c r="J3413" s="11" t="str">
        <f>IF(D3413&lt;&gt;"",VLOOKUP(H3413,TABLEITEM,5,FALSE),"")</f>
        <v>EA</v>
      </c>
      <c r="K3413" s="12">
        <v>10725.0</v>
      </c>
      <c r="L3413" s="13" t="str">
        <f>IF(D3413&lt;&gt;"",VLOOKUP(H3413,TABLEITEM,2,FALSE),"")</f>
        <v/>
      </c>
      <c r="M3413" s="13" t="str">
        <f>IF(D3413&lt;&gt;"",VLOOKUP(H3413,TABLEITEM,3,FALSE),"")</f>
        <v>MCCB T5S630R630A PR221DS/P-LS/1 3P 50A</v>
      </c>
      <c r="N3413" s="14">
        <f>INSTOCK!$I3413*INSTOCK!$K3413</f>
        <v>10725</v>
      </c>
      <c r="O3413" s="4" t="s">
        <v>4519</v>
      </c>
      <c r="P3413" s="4"/>
    </row>
    <row r="3414" ht="15.75" hidden="1" customHeight="1">
      <c r="B3414" s="8">
        <v>3733.0</v>
      </c>
      <c r="C3414" s="9">
        <v>43244.0</v>
      </c>
      <c r="D3414" s="6" t="s">
        <v>4517</v>
      </c>
      <c r="E3414" s="4">
        <v>6.105000628E9</v>
      </c>
      <c r="F3414" s="8" t="s">
        <v>4513</v>
      </c>
      <c r="G3414" s="4" t="s">
        <v>692</v>
      </c>
      <c r="H3414" s="10" t="s">
        <v>4520</v>
      </c>
      <c r="I3414" s="10">
        <v>8.0</v>
      </c>
      <c r="J3414" s="11" t="str">
        <f>IF(D3414&lt;&gt;"",VLOOKUP(H3414,TABLEITEM,5,FALSE),"")</f>
        <v>EA</v>
      </c>
      <c r="K3414" s="12">
        <v>1384.5</v>
      </c>
      <c r="L3414" s="13" t="str">
        <f>IF(D3414&lt;&gt;"",VLOOKUP(H3414,TABLEITEM,2,FALSE),"")</f>
        <v/>
      </c>
      <c r="M3414" s="13" t="str">
        <f>IF(D3414&lt;&gt;"",VLOOKUP(H3414,TABLEITEM,3,FALSE),"")</f>
        <v>MCCM A1N 3P 70A </v>
      </c>
      <c r="N3414" s="14">
        <f>INSTOCK!$I3414*INSTOCK!$K3414</f>
        <v>11076</v>
      </c>
      <c r="O3414" s="4" t="s">
        <v>4521</v>
      </c>
      <c r="P3414" s="4"/>
    </row>
    <row r="3415" ht="15.75" hidden="1" customHeight="1">
      <c r="B3415" s="8">
        <v>3734.0</v>
      </c>
      <c r="C3415" s="9">
        <v>43224.0</v>
      </c>
      <c r="D3415" s="6" t="s">
        <v>4522</v>
      </c>
      <c r="E3415" s="4">
        <v>6.105000534E9</v>
      </c>
      <c r="F3415" s="8" t="s">
        <v>604</v>
      </c>
      <c r="G3415" s="4" t="s">
        <v>965</v>
      </c>
      <c r="H3415" s="10" t="s">
        <v>2577</v>
      </c>
      <c r="I3415" s="10">
        <v>5.0</v>
      </c>
      <c r="J3415" s="11" t="str">
        <f>IF(D3415&lt;&gt;"",VLOOKUP(H3415,TABLEITEM,5,FALSE),"")</f>
        <v>EA</v>
      </c>
      <c r="K3415" s="12">
        <v>90.0</v>
      </c>
      <c r="L3415" s="13" t="str">
        <f>IF(D3415&lt;&gt;"",VLOOKUP(H3415,TABLEITEM,2,FALSE),"")</f>
        <v/>
      </c>
      <c r="M3415" s="13" t="str">
        <f>IF(D3415&lt;&gt;"",VLOOKUP(H3415,TABLEITEM,3,FALSE),"")</f>
        <v>ข้อต่อคอปเปอร์เกลียวนอก 1/4"</v>
      </c>
      <c r="N3415" s="14">
        <f>INSTOCK!$I3415*INSTOCK!$K3415</f>
        <v>450</v>
      </c>
      <c r="O3415" s="4"/>
      <c r="P3415" s="4"/>
    </row>
    <row r="3416" ht="15.75" hidden="1" customHeight="1">
      <c r="B3416" s="8">
        <v>3735.0</v>
      </c>
      <c r="C3416" s="9">
        <v>43244.0</v>
      </c>
      <c r="D3416" s="6" t="s">
        <v>4523</v>
      </c>
      <c r="E3416" s="4">
        <v>6.105000623E9</v>
      </c>
      <c r="F3416" s="8" t="s">
        <v>1989</v>
      </c>
      <c r="G3416" s="4" t="s">
        <v>1990</v>
      </c>
      <c r="H3416" s="10" t="s">
        <v>2438</v>
      </c>
      <c r="I3416" s="10">
        <v>6.0</v>
      </c>
      <c r="J3416" s="11" t="str">
        <f>IF(D3416&lt;&gt;"",VLOOKUP(H3416,TABLEITEM,5,FALSE),"")</f>
        <v>EA</v>
      </c>
      <c r="K3416" s="12">
        <v>50.0</v>
      </c>
      <c r="L3416" s="13" t="str">
        <f>IF(D3416&lt;&gt;"",VLOOKUP(H3416,TABLEITEM,2,FALSE),"")</f>
        <v/>
      </c>
      <c r="M3416" s="13" t="str">
        <f>IF(D3416&lt;&gt;"",VLOOKUP(H3416,TABLEITEM,3,FALSE),"")</f>
        <v>ปากกาเพ้นท์ ซากุระ XPMK-B 2มม ดำ</v>
      </c>
      <c r="N3416" s="14">
        <f>INSTOCK!$I3416*INSTOCK!$K3416</f>
        <v>300</v>
      </c>
      <c r="O3416" s="4"/>
      <c r="P3416" s="4"/>
    </row>
    <row r="3417" ht="15.75" hidden="1" customHeight="1">
      <c r="B3417" s="8">
        <v>3736.0</v>
      </c>
      <c r="C3417" s="9">
        <v>43245.0</v>
      </c>
      <c r="D3417" s="6" t="s">
        <v>4523</v>
      </c>
      <c r="E3417" s="4">
        <v>6.105000623E9</v>
      </c>
      <c r="F3417" s="8" t="s">
        <v>1989</v>
      </c>
      <c r="G3417" s="4" t="s">
        <v>1990</v>
      </c>
      <c r="H3417" s="10" t="s">
        <v>4524</v>
      </c>
      <c r="I3417" s="10">
        <v>5.0</v>
      </c>
      <c r="J3417" s="11" t="str">
        <f>IF(D3417&lt;&gt;"",VLOOKUP(H3417,TABLEITEM,5,FALSE),"")</f>
        <v>EA</v>
      </c>
      <c r="K3417" s="12">
        <v>39.0</v>
      </c>
      <c r="L3417" s="13" t="str">
        <f>IF(D3417&lt;&gt;"",VLOOKUP(H3417,TABLEITEM,2,FALSE),"")</f>
        <v/>
      </c>
      <c r="M3417" s="13" t="str">
        <f>IF(D3417&lt;&gt;"",VLOOKUP(H3417,TABLEITEM,3,FALSE),"")</f>
        <v>ปากเขียน CD 2หัว ซากุระ ไอเด็นติ-เพ็น ดำ 1.2 และ 0.3มม</v>
      </c>
      <c r="N3417" s="14">
        <f>INSTOCK!$I3417*INSTOCK!$K3417</f>
        <v>195</v>
      </c>
      <c r="O3417" s="4"/>
      <c r="P3417" s="4"/>
    </row>
    <row r="3418" ht="15.75" hidden="1" customHeight="1">
      <c r="B3418" s="8">
        <v>3737.0</v>
      </c>
      <c r="C3418" s="9">
        <v>43246.0</v>
      </c>
      <c r="D3418" s="6" t="s">
        <v>4523</v>
      </c>
      <c r="E3418" s="4">
        <v>6.105000623E9</v>
      </c>
      <c r="F3418" s="8" t="s">
        <v>1989</v>
      </c>
      <c r="G3418" s="4" t="s">
        <v>1990</v>
      </c>
      <c r="H3418" s="10" t="s">
        <v>2892</v>
      </c>
      <c r="I3418" s="10">
        <v>2.0</v>
      </c>
      <c r="J3418" s="11" t="str">
        <f>IF(D3418&lt;&gt;"",VLOOKUP(H3418,TABLEITEM,5,FALSE),"")</f>
        <v>pack</v>
      </c>
      <c r="K3418" s="12">
        <v>49.0</v>
      </c>
      <c r="L3418" s="13" t="str">
        <f>IF(D3418&lt;&gt;"",VLOOKUP(H3418,TABLEITEM,2,FALSE),"")</f>
        <v/>
      </c>
      <c r="M3418" s="13" t="str">
        <f>IF(D3418&lt;&gt;"",VLOOKUP(H3418,TABLEITEM,3,FALSE),"")</f>
        <v>ใบมีดคัตเตอร์ ออร์ก้า A-100 เล็ก 45 องศา(กล่อง 60ใบ)</v>
      </c>
      <c r="N3418" s="14">
        <f>INSTOCK!$I3418*INSTOCK!$K3418</f>
        <v>98</v>
      </c>
      <c r="O3418" s="4"/>
      <c r="P3418" s="4"/>
    </row>
    <row r="3419" ht="15.75" hidden="1" customHeight="1">
      <c r="B3419" s="8">
        <v>3738.0</v>
      </c>
      <c r="C3419" s="9">
        <v>43247.0</v>
      </c>
      <c r="D3419" s="6" t="s">
        <v>4523</v>
      </c>
      <c r="E3419" s="4">
        <v>6.105000623E9</v>
      </c>
      <c r="F3419" s="8" t="s">
        <v>1989</v>
      </c>
      <c r="G3419" s="4" t="s">
        <v>1990</v>
      </c>
      <c r="H3419" s="10" t="s">
        <v>2892</v>
      </c>
      <c r="I3419" s="10">
        <v>2.0</v>
      </c>
      <c r="J3419" s="11" t="str">
        <f>IF(D3419&lt;&gt;"",VLOOKUP(H3419,TABLEITEM,5,FALSE),"")</f>
        <v>pack</v>
      </c>
      <c r="K3419" s="12">
        <v>100.0</v>
      </c>
      <c r="L3419" s="13" t="str">
        <f>IF(D3419&lt;&gt;"",VLOOKUP(H3419,TABLEITEM,2,FALSE),"")</f>
        <v/>
      </c>
      <c r="M3419" s="13" t="str">
        <f>IF(D3419&lt;&gt;"",VLOOKUP(H3419,TABLEITEM,3,FALSE),"")</f>
        <v>ใบมีดคัตเตอร์ ออร์ก้า A-100 เล็ก 45 องศา(กล่อง 60ใบ)</v>
      </c>
      <c r="N3419" s="14">
        <f>INSTOCK!$I3419*INSTOCK!$K3419</f>
        <v>200</v>
      </c>
      <c r="O3419" s="4"/>
      <c r="P3419" s="4"/>
    </row>
    <row r="3420" ht="15.75" hidden="1" customHeight="1">
      <c r="B3420" s="8">
        <v>3739.0</v>
      </c>
      <c r="C3420" s="9">
        <v>43243.0</v>
      </c>
      <c r="D3420" s="6" t="s">
        <v>4525</v>
      </c>
      <c r="E3420" s="4">
        <v>6.105000625E9</v>
      </c>
      <c r="F3420" s="8" t="s">
        <v>604</v>
      </c>
      <c r="G3420" s="4" t="s">
        <v>965</v>
      </c>
      <c r="H3420" s="10" t="s">
        <v>3161</v>
      </c>
      <c r="I3420" s="10">
        <v>50.0</v>
      </c>
      <c r="J3420" s="11" t="str">
        <f>IF(D3420&lt;&gt;"",VLOOKUP(H3420,TABLEITEM,5,FALSE),"")</f>
        <v>EA</v>
      </c>
      <c r="K3420" s="12">
        <v>10.0</v>
      </c>
      <c r="L3420" s="13" t="str">
        <f>IF(D3420&lt;&gt;"",VLOOKUP(H3420,TABLEITEM,2,FALSE),"")</f>
        <v/>
      </c>
      <c r="M3420" s="13" t="str">
        <f>IF(D3420&lt;&gt;"",VLOOKUP(H3420,TABLEITEM,3,FALSE),"")</f>
        <v>ใบตัดเหล็ก 4" SUMO</v>
      </c>
      <c r="N3420" s="14">
        <f>INSTOCK!$I3420*INSTOCK!$K3420</f>
        <v>500</v>
      </c>
      <c r="O3420" s="4"/>
      <c r="P3420" s="4"/>
    </row>
    <row r="3421" ht="15.75" hidden="1" customHeight="1">
      <c r="B3421" s="8">
        <v>3740.0</v>
      </c>
      <c r="C3421" s="9">
        <v>43243.0</v>
      </c>
      <c r="D3421" s="6" t="s">
        <v>4526</v>
      </c>
      <c r="E3421" s="4">
        <v>6.105000622E9</v>
      </c>
      <c r="F3421" s="8" t="s">
        <v>1989</v>
      </c>
      <c r="G3421" s="4" t="s">
        <v>2014</v>
      </c>
      <c r="H3421" s="10" t="s">
        <v>2899</v>
      </c>
      <c r="I3421" s="10">
        <v>12.0</v>
      </c>
      <c r="J3421" s="11" t="str">
        <f>IF(D3421&lt;&gt;"",VLOOKUP(H3421,TABLEITEM,5,FALSE),"")</f>
        <v>PACK</v>
      </c>
      <c r="K3421" s="12">
        <v>514.02</v>
      </c>
      <c r="L3421" s="13" t="str">
        <f>IF(D3421&lt;&gt;"",VLOOKUP(H3421,TABLEITEM,2,FALSE),"")</f>
        <v/>
      </c>
      <c r="M3421" s="13" t="str">
        <f>IF(D3421&lt;&gt;"",VLOOKUP(H3421,TABLEITEM,3,FALSE),"")</f>
        <v>กระดาษถ่ายเอกสาร A4 80 แกรม (แพ็ค 5รีม)</v>
      </c>
      <c r="N3421" s="14">
        <f>INSTOCK!$I3421*INSTOCK!$K3421</f>
        <v>6168.24</v>
      </c>
      <c r="O3421" s="4"/>
      <c r="P3421" s="4"/>
    </row>
    <row r="3422" ht="15.75" hidden="1" customHeight="1">
      <c r="B3422" s="8">
        <v>3741.0</v>
      </c>
      <c r="C3422" s="9">
        <v>43243.0</v>
      </c>
      <c r="D3422" s="6" t="s">
        <v>4526</v>
      </c>
      <c r="E3422" s="4">
        <v>6.105000622E9</v>
      </c>
      <c r="F3422" s="8" t="s">
        <v>1989</v>
      </c>
      <c r="G3422" s="4" t="s">
        <v>2014</v>
      </c>
      <c r="H3422" s="10" t="s">
        <v>4527</v>
      </c>
      <c r="I3422" s="10">
        <v>1.0</v>
      </c>
      <c r="J3422" s="11" t="str">
        <f>IF(D3422&lt;&gt;"",VLOOKUP(H3422,TABLEITEM,5,FALSE),"")</f>
        <v>EA</v>
      </c>
      <c r="K3422" s="12">
        <v>266.36</v>
      </c>
      <c r="L3422" s="13" t="str">
        <f>IF(D3422&lt;&gt;"",VLOOKUP(H3422,TABLEITEM,2,FALSE),"")</f>
        <v/>
      </c>
      <c r="M3422" s="13" t="str">
        <f>IF(D3422&lt;&gt;"",VLOOKUP(H3422,TABLEITEM,3,FALSE),"")</f>
        <v>สมุดเก็บนามบัตร ฟ้า คิงส์จิม 42</v>
      </c>
      <c r="N3422" s="14">
        <f>INSTOCK!$I3422*INSTOCK!$K3422</f>
        <v>266.36</v>
      </c>
      <c r="O3422" s="4"/>
      <c r="P3422" s="4"/>
    </row>
    <row r="3423" ht="15.75" hidden="1" customHeight="1">
      <c r="B3423" s="8">
        <v>3742.0</v>
      </c>
      <c r="C3423" s="9">
        <v>43243.0</v>
      </c>
      <c r="D3423" s="6" t="s">
        <v>4526</v>
      </c>
      <c r="E3423" s="4">
        <v>6.105000622E9</v>
      </c>
      <c r="F3423" s="8" t="s">
        <v>1989</v>
      </c>
      <c r="G3423" s="4" t="s">
        <v>2014</v>
      </c>
      <c r="H3423" s="10" t="s">
        <v>4528</v>
      </c>
      <c r="I3423" s="10">
        <v>1.0</v>
      </c>
      <c r="J3423" s="11" t="str">
        <f>IF(D3423&lt;&gt;"",VLOOKUP(H3423,TABLEITEM,5,FALSE),"")</f>
        <v>EA</v>
      </c>
      <c r="K3423" s="12">
        <v>70.09</v>
      </c>
      <c r="L3423" s="13" t="str">
        <f>IF(D3423&lt;&gt;"",VLOOKUP(H3423,TABLEITEM,2,FALSE),"")</f>
        <v/>
      </c>
      <c r="M3423" s="13" t="str">
        <f>IF(D3423&lt;&gt;"",VLOOKUP(H3423,TABLEITEM,3,FALSE),"")</f>
        <v>สมุดปกอ่อน 30แผ่น คละสี (แพ็ค12เล่ม)</v>
      </c>
      <c r="N3423" s="14">
        <f>INSTOCK!$I3423*INSTOCK!$K3423</f>
        <v>70.09</v>
      </c>
      <c r="O3423" s="4"/>
      <c r="P3423" s="4"/>
    </row>
    <row r="3424" ht="15.75" hidden="1" customHeight="1">
      <c r="B3424" s="8">
        <v>3743.0</v>
      </c>
      <c r="C3424" s="9">
        <v>43241.0</v>
      </c>
      <c r="D3424" s="6" t="s">
        <v>4529</v>
      </c>
      <c r="E3424" s="4">
        <v>6.105000599E9</v>
      </c>
      <c r="F3424" s="8" t="s">
        <v>604</v>
      </c>
      <c r="G3424" s="4" t="s">
        <v>1537</v>
      </c>
      <c r="H3424" s="10" t="s">
        <v>1538</v>
      </c>
      <c r="I3424" s="10">
        <v>5000.0</v>
      </c>
      <c r="J3424" s="11" t="str">
        <f>IF(D3424&lt;&gt;"",VLOOKUP(H3424,TABLEITEM,5,FALSE),"")</f>
        <v>EA</v>
      </c>
      <c r="K3424" s="12">
        <v>1.55</v>
      </c>
      <c r="L3424" s="13" t="str">
        <f>IF(D3424&lt;&gt;"",VLOOKUP(H3424,TABLEITEM,2,FALSE),"")</f>
        <v/>
      </c>
      <c r="M3424" s="13" t="str">
        <f>IF(D3424&lt;&gt;"",VLOOKUP(H3424,TABLEITEM,3,FALSE),"")</f>
        <v>รีเวท M6 / ลูกยิงป๊อบนัท M6</v>
      </c>
      <c r="N3424" s="14">
        <f>INSTOCK!$I3424*INSTOCK!$K3424</f>
        <v>7750</v>
      </c>
      <c r="O3424" s="4"/>
      <c r="P3424" s="4"/>
    </row>
    <row r="3425" ht="15.75" hidden="1" customHeight="1">
      <c r="B3425" s="8">
        <v>3744.0</v>
      </c>
      <c r="C3425" s="9">
        <v>43241.0</v>
      </c>
      <c r="D3425" s="6" t="s">
        <v>4530</v>
      </c>
      <c r="E3425" s="4">
        <v>6.105000609E9</v>
      </c>
      <c r="F3425" s="8" t="s">
        <v>604</v>
      </c>
      <c r="G3425" s="4" t="s">
        <v>1777</v>
      </c>
      <c r="H3425" s="10" t="s">
        <v>2398</v>
      </c>
      <c r="I3425" s="10">
        <v>4000.0</v>
      </c>
      <c r="J3425" s="11" t="str">
        <f>IF(D3425&lt;&gt;"",VLOOKUP(H3425,TABLEITEM,5,FALSE),"")</f>
        <v>EA</v>
      </c>
      <c r="K3425" s="12">
        <v>0.13</v>
      </c>
      <c r="L3425" s="13" t="str">
        <f>IF(D3425&lt;&gt;"",VLOOKUP(H3425,TABLEITEM,2,FALSE),"")</f>
        <v/>
      </c>
      <c r="M3425" s="13" t="str">
        <f>IF(D3425&lt;&gt;"",VLOOKUP(H3425,TABLEITEM,3,FALSE),"")</f>
        <v>สกรูหัวหมวก  M4x10</v>
      </c>
      <c r="N3425" s="14">
        <f>INSTOCK!$I3425*INSTOCK!$K3425</f>
        <v>520</v>
      </c>
      <c r="O3425" s="4"/>
      <c r="P3425" s="4"/>
    </row>
    <row r="3426" ht="15.75" hidden="1" customHeight="1">
      <c r="B3426" s="8">
        <v>3745.0</v>
      </c>
      <c r="C3426" s="9">
        <v>43241.0</v>
      </c>
      <c r="D3426" s="6" t="s">
        <v>4530</v>
      </c>
      <c r="E3426" s="4">
        <v>6.105000609E9</v>
      </c>
      <c r="F3426" s="8" t="s">
        <v>604</v>
      </c>
      <c r="G3426" s="4" t="s">
        <v>1777</v>
      </c>
      <c r="H3426" s="10" t="s">
        <v>2416</v>
      </c>
      <c r="I3426" s="10">
        <v>2000.0</v>
      </c>
      <c r="J3426" s="11" t="str">
        <f>IF(D3426&lt;&gt;"",VLOOKUP(H3426,TABLEITEM,5,FALSE),"")</f>
        <v>EA</v>
      </c>
      <c r="K3426" s="12">
        <v>0.11</v>
      </c>
      <c r="L3426" s="13" t="str">
        <f>IF(D3426&lt;&gt;"",VLOOKUP(H3426,TABLEITEM,2,FALSE),"")</f>
        <v/>
      </c>
      <c r="M3426" s="13" t="str">
        <f>IF(D3426&lt;&gt;"",VLOOKUP(H3426,TABLEITEM,3,FALSE),"")</f>
        <v>แหวนสปริง M4   ชุบขาว</v>
      </c>
      <c r="N3426" s="14">
        <f>INSTOCK!$I3426*INSTOCK!$K3426</f>
        <v>220</v>
      </c>
      <c r="O3426" s="4"/>
      <c r="P3426" s="4"/>
    </row>
    <row r="3427" ht="15.75" hidden="1" customHeight="1">
      <c r="B3427" s="8">
        <v>3746.0</v>
      </c>
      <c r="C3427" s="9">
        <v>43241.0</v>
      </c>
      <c r="D3427" s="6" t="s">
        <v>4530</v>
      </c>
      <c r="E3427" s="4">
        <v>6.105000609E9</v>
      </c>
      <c r="F3427" s="8" t="s">
        <v>604</v>
      </c>
      <c r="G3427" s="4" t="s">
        <v>1777</v>
      </c>
      <c r="H3427" s="10" t="s">
        <v>4531</v>
      </c>
      <c r="I3427" s="10">
        <v>1500.0</v>
      </c>
      <c r="J3427" s="11" t="str">
        <f>IF(D3427&lt;&gt;"",VLOOKUP(H3427,TABLEITEM,5,FALSE),"")</f>
        <v>EA</v>
      </c>
      <c r="K3427" s="12">
        <v>0.54</v>
      </c>
      <c r="L3427" s="13" t="str">
        <f>IF(D3427&lt;&gt;"",VLOOKUP(H3427,TABLEITEM,2,FALSE),"")</f>
        <v/>
      </c>
      <c r="M3427" s="13" t="str">
        <f>IF(D3427&lt;&gt;"",VLOOKUP(H3427,TABLEITEM,3,FALSE),"")</f>
        <v>สกรูเตเปอร์ M6x35</v>
      </c>
      <c r="N3427" s="14">
        <f>INSTOCK!$I3427*INSTOCK!$K3427</f>
        <v>810</v>
      </c>
      <c r="O3427" s="4"/>
      <c r="P3427" s="4"/>
    </row>
    <row r="3428" ht="15.75" hidden="1" customHeight="1">
      <c r="B3428" s="8">
        <v>3747.0</v>
      </c>
      <c r="C3428" s="9">
        <v>43241.0</v>
      </c>
      <c r="D3428" s="6" t="s">
        <v>4530</v>
      </c>
      <c r="E3428" s="4">
        <v>6.105000609E9</v>
      </c>
      <c r="F3428" s="8" t="s">
        <v>604</v>
      </c>
      <c r="G3428" s="4" t="s">
        <v>1777</v>
      </c>
      <c r="H3428" s="10" t="s">
        <v>2090</v>
      </c>
      <c r="I3428" s="10">
        <v>500.0</v>
      </c>
      <c r="J3428" s="11" t="str">
        <f>IF(D3428&lt;&gt;"",VLOOKUP(H3428,TABLEITEM,5,FALSE),"")</f>
        <v>EA</v>
      </c>
      <c r="K3428" s="12">
        <v>1.6835</v>
      </c>
      <c r="L3428" s="13" t="str">
        <f>IF(D3428&lt;&gt;"",VLOOKUP(H3428,TABLEITEM,2,FALSE),"")</f>
        <v/>
      </c>
      <c r="M3428" s="13" t="str">
        <f>IF(D3428&lt;&gt;"",VLOOKUP(H3428,TABLEITEM,3,FALSE),"")</f>
        <v>สกรูหัวเหลี่ยมชุบขาว M10x30</v>
      </c>
      <c r="N3428" s="14">
        <f>INSTOCK!$I3428*INSTOCK!$K3428</f>
        <v>841.75</v>
      </c>
      <c r="O3428" s="4" t="s">
        <v>2091</v>
      </c>
      <c r="P3428" s="4"/>
    </row>
    <row r="3429" ht="15.75" hidden="1" customHeight="1">
      <c r="B3429" s="8">
        <v>3748.0</v>
      </c>
      <c r="C3429" s="9">
        <v>43241.0</v>
      </c>
      <c r="D3429" s="6" t="s">
        <v>4530</v>
      </c>
      <c r="E3429" s="4">
        <v>6.105000609E9</v>
      </c>
      <c r="F3429" s="8" t="s">
        <v>604</v>
      </c>
      <c r="G3429" s="4" t="s">
        <v>1777</v>
      </c>
      <c r="H3429" s="10" t="s">
        <v>4532</v>
      </c>
      <c r="I3429" s="10">
        <v>500.0</v>
      </c>
      <c r="J3429" s="11" t="str">
        <f>IF(D3429&lt;&gt;"",VLOOKUP(H3429,TABLEITEM,5,FALSE),"")</f>
        <v>EA</v>
      </c>
      <c r="K3429" s="12">
        <v>2.3985</v>
      </c>
      <c r="L3429" s="13" t="str">
        <f>IF(D3429&lt;&gt;"",VLOOKUP(H3429,TABLEITEM,2,FALSE),"")</f>
        <v/>
      </c>
      <c r="M3429" s="13" t="str">
        <f>IF(D3429&lt;&gt;"",VLOOKUP(H3429,TABLEITEM,3,FALSE),"")</f>
        <v>สกรูหัวเหลี่ยมชุบรุ้ง M12x30</v>
      </c>
      <c r="N3429" s="14">
        <f>INSTOCK!$I3429*INSTOCK!$K3429</f>
        <v>1199.25</v>
      </c>
      <c r="O3429" s="4" t="s">
        <v>4533</v>
      </c>
      <c r="P3429" s="4"/>
    </row>
    <row r="3430" ht="15.75" hidden="1" customHeight="1">
      <c r="B3430" s="8">
        <v>3749.0</v>
      </c>
      <c r="C3430" s="9">
        <v>43241.0</v>
      </c>
      <c r="D3430" s="6" t="s">
        <v>4530</v>
      </c>
      <c r="E3430" s="4">
        <v>6.105000609E9</v>
      </c>
      <c r="F3430" s="8" t="s">
        <v>604</v>
      </c>
      <c r="G3430" s="4" t="s">
        <v>1777</v>
      </c>
      <c r="H3430" s="10" t="s">
        <v>4534</v>
      </c>
      <c r="I3430" s="10">
        <v>400.0</v>
      </c>
      <c r="J3430" s="11" t="str">
        <f>IF(D3430&lt;&gt;"",VLOOKUP(H3430,TABLEITEM,5,FALSE),"")</f>
        <v>EA</v>
      </c>
      <c r="K3430" s="12">
        <v>4.2055</v>
      </c>
      <c r="L3430" s="13" t="str">
        <f>IF(D3430&lt;&gt;"",VLOOKUP(H3430,TABLEITEM,2,FALSE),"")</f>
        <v/>
      </c>
      <c r="M3430" s="13" t="str">
        <f>IF(D3430&lt;&gt;"",VLOOKUP(H3430,TABLEITEM,3,FALSE),"")</f>
        <v>สกรูหัวเหลี่ยมชุบขาว M12x55</v>
      </c>
      <c r="N3430" s="14">
        <f>INSTOCK!$I3430*INSTOCK!$K3430</f>
        <v>1682.2</v>
      </c>
      <c r="O3430" s="4" t="s">
        <v>4394</v>
      </c>
      <c r="P3430" s="4"/>
    </row>
    <row r="3431" ht="15.75" hidden="1" customHeight="1">
      <c r="B3431" s="8">
        <v>3750.0</v>
      </c>
      <c r="C3431" s="9">
        <v>43241.0</v>
      </c>
      <c r="D3431" s="6" t="s">
        <v>4530</v>
      </c>
      <c r="E3431" s="4">
        <v>6.105000609E9</v>
      </c>
      <c r="F3431" s="8" t="s">
        <v>604</v>
      </c>
      <c r="G3431" s="4" t="s">
        <v>1777</v>
      </c>
      <c r="H3431" s="10" t="s">
        <v>4393</v>
      </c>
      <c r="I3431" s="10">
        <v>400.0</v>
      </c>
      <c r="J3431" s="11" t="str">
        <f>IF(D3431&lt;&gt;"",VLOOKUP(H3431,TABLEITEM,5,FALSE),"")</f>
        <v>EA</v>
      </c>
      <c r="K3431" s="12">
        <v>4.2055</v>
      </c>
      <c r="L3431" s="13" t="str">
        <f>IF(D3431&lt;&gt;"",VLOOKUP(H3431,TABLEITEM,2,FALSE),"")</f>
        <v/>
      </c>
      <c r="M3431" s="13" t="str">
        <f>IF(D3431&lt;&gt;"",VLOOKUP(H3431,TABLEITEM,3,FALSE),"")</f>
        <v>สกรูหัวเหลี่ยมชุบขาว M12x60</v>
      </c>
      <c r="N3431" s="14">
        <f>INSTOCK!$I3431*INSTOCK!$K3431</f>
        <v>1682.2</v>
      </c>
      <c r="O3431" s="4" t="s">
        <v>4394</v>
      </c>
      <c r="P3431" s="4"/>
    </row>
    <row r="3432" ht="15.75" hidden="1" customHeight="1">
      <c r="B3432" s="8">
        <v>3751.0</v>
      </c>
      <c r="C3432" s="9">
        <v>43241.0</v>
      </c>
      <c r="D3432" s="6" t="s">
        <v>4530</v>
      </c>
      <c r="E3432" s="4">
        <v>6.105000609E9</v>
      </c>
      <c r="F3432" s="8" t="s">
        <v>604</v>
      </c>
      <c r="G3432" s="4" t="s">
        <v>1777</v>
      </c>
      <c r="H3432" s="10" t="s">
        <v>4318</v>
      </c>
      <c r="I3432" s="10">
        <v>2000.0</v>
      </c>
      <c r="J3432" s="11" t="str">
        <f>IF(D3432&lt;&gt;"",VLOOKUP(H3432,TABLEITEM,5,FALSE),"")</f>
        <v>EA</v>
      </c>
      <c r="K3432" s="12">
        <v>1.125</v>
      </c>
      <c r="L3432" s="13" t="str">
        <f>IF(D3432&lt;&gt;"",VLOOKUP(H3432,TABLEITEM,2,FALSE),"")</f>
        <v/>
      </c>
      <c r="M3432" s="13" t="str">
        <f>IF(D3432&lt;&gt;"",VLOOKUP(H3432,TABLEITEM,3,FALSE),"")</f>
        <v>หัวน็อต M12 SUS</v>
      </c>
      <c r="N3432" s="14">
        <f>INSTOCK!$I3432*INSTOCK!$K3432</f>
        <v>2250</v>
      </c>
      <c r="O3432" s="4" t="s">
        <v>3156</v>
      </c>
      <c r="P3432" s="4"/>
    </row>
    <row r="3433" ht="15.75" hidden="1" customHeight="1">
      <c r="B3433" s="8">
        <v>3752.0</v>
      </c>
      <c r="C3433" s="9">
        <v>43241.0</v>
      </c>
      <c r="D3433" s="6" t="s">
        <v>4530</v>
      </c>
      <c r="E3433" s="4">
        <v>6.105000609E9</v>
      </c>
      <c r="F3433" s="8" t="s">
        <v>604</v>
      </c>
      <c r="G3433" s="4" t="s">
        <v>1777</v>
      </c>
      <c r="H3433" s="10" t="s">
        <v>3839</v>
      </c>
      <c r="I3433" s="10">
        <v>1000.0</v>
      </c>
      <c r="J3433" s="11" t="str">
        <f>IF(D3433&lt;&gt;"",VLOOKUP(H3433,TABLEITEM,5,FALSE),"")</f>
        <v>EA</v>
      </c>
      <c r="K3433" s="12">
        <v>0.1</v>
      </c>
      <c r="L3433" s="13" t="str">
        <f>IF(D3433&lt;&gt;"",VLOOKUP(H3433,TABLEITEM,2,FALSE),"")</f>
        <v/>
      </c>
      <c r="M3433" s="13" t="str">
        <f>IF(D3433&lt;&gt;"",VLOOKUP(H3433,TABLEITEM,3,FALSE),"")</f>
        <v>สกรูหัวกลมชุบขาว M4x10</v>
      </c>
      <c r="N3433" s="14">
        <f>INSTOCK!$I3433*INSTOCK!$K3433</f>
        <v>100</v>
      </c>
      <c r="O3433" s="4"/>
      <c r="P3433" s="4"/>
    </row>
    <row r="3434" ht="15.75" hidden="1" customHeight="1">
      <c r="B3434" s="8">
        <v>3753.0</v>
      </c>
      <c r="C3434" s="9">
        <v>43241.0</v>
      </c>
      <c r="D3434" s="6" t="s">
        <v>4530</v>
      </c>
      <c r="E3434" s="4">
        <v>6.105000609E9</v>
      </c>
      <c r="F3434" s="8" t="s">
        <v>604</v>
      </c>
      <c r="G3434" s="4" t="s">
        <v>1777</v>
      </c>
      <c r="H3434" s="10" t="s">
        <v>1887</v>
      </c>
      <c r="I3434" s="10">
        <v>2000.0</v>
      </c>
      <c r="J3434" s="11" t="str">
        <f>IF(D3434&lt;&gt;"",VLOOKUP(H3434,TABLEITEM,5,FALSE),"")</f>
        <v>EA</v>
      </c>
      <c r="K3434" s="12">
        <v>0.45</v>
      </c>
      <c r="L3434" s="13" t="str">
        <f>IF(D3434&lt;&gt;"",VLOOKUP(H3434,TABLEITEM,2,FALSE),"")</f>
        <v/>
      </c>
      <c r="M3434" s="13" t="str">
        <f>IF(D3434&lt;&gt;"",VLOOKUP(H3434,TABLEITEM,3,FALSE),"")</f>
        <v>แหวนอีแปะ M12  ชุบขาว</v>
      </c>
      <c r="N3434" s="14">
        <f>INSTOCK!$I3434*INSTOCK!$K3434</f>
        <v>900</v>
      </c>
      <c r="O3434" s="4" t="s">
        <v>4535</v>
      </c>
      <c r="P3434" s="4"/>
    </row>
    <row r="3435" ht="15.75" hidden="1" customHeight="1">
      <c r="B3435" s="8">
        <v>3754.0</v>
      </c>
      <c r="C3435" s="9">
        <v>43239.0</v>
      </c>
      <c r="D3435" s="6" t="s">
        <v>4536</v>
      </c>
      <c r="E3435" s="4">
        <v>6.10500061E9</v>
      </c>
      <c r="F3435" s="8" t="s">
        <v>604</v>
      </c>
      <c r="G3435" s="4" t="s">
        <v>1870</v>
      </c>
      <c r="H3435" s="10" t="s">
        <v>2080</v>
      </c>
      <c r="I3435" s="10">
        <v>5000.0</v>
      </c>
      <c r="J3435" s="11" t="str">
        <f>IF(D3435&lt;&gt;"",VLOOKUP(H3435,TABLEITEM,5,FALSE),"")</f>
        <v>EA</v>
      </c>
      <c r="K3435" s="12">
        <v>0.468</v>
      </c>
      <c r="L3435" s="13" t="str">
        <f>IF(D3435&lt;&gt;"",VLOOKUP(H3435,TABLEITEM,2,FALSE),"")</f>
        <v/>
      </c>
      <c r="M3435" s="13" t="str">
        <f>IF(D3435&lt;&gt;"",VLOOKUP(H3435,TABLEITEM,3,FALSE),"")</f>
        <v>หัวน็อต M 8 ชุบขาว</v>
      </c>
      <c r="N3435" s="14">
        <f>INSTOCK!$I3435*INSTOCK!$K3435</f>
        <v>2340</v>
      </c>
      <c r="O3435" s="4" t="s">
        <v>4537</v>
      </c>
      <c r="P3435" s="4"/>
    </row>
    <row r="3436" ht="15.75" hidden="1" customHeight="1">
      <c r="B3436" s="8">
        <v>3755.0</v>
      </c>
      <c r="C3436" s="9">
        <v>43239.0</v>
      </c>
      <c r="D3436" s="6" t="s">
        <v>4536</v>
      </c>
      <c r="E3436" s="4">
        <v>6.10500061E9</v>
      </c>
      <c r="F3436" s="8" t="s">
        <v>604</v>
      </c>
      <c r="G3436" s="4" t="s">
        <v>1870</v>
      </c>
      <c r="H3436" s="10" t="s">
        <v>4538</v>
      </c>
      <c r="I3436" s="10">
        <v>2000.0</v>
      </c>
      <c r="J3436" s="11" t="str">
        <f>IF(D3436&lt;&gt;"",VLOOKUP(H3436,TABLEITEM,5,FALSE),"")</f>
        <v>EA</v>
      </c>
      <c r="K3436" s="12">
        <v>0.2964</v>
      </c>
      <c r="L3436" s="13" t="str">
        <f>IF(D3436&lt;&gt;"",VLOOKUP(H3436,TABLEITEM,2,FALSE),"")</f>
        <v/>
      </c>
      <c r="M3436" s="13" t="str">
        <f>IF(D3436&lt;&gt;"",VLOOKUP(H3436,TABLEITEM,3,FALSE),"")</f>
        <v>สกรูสแตนเลสหัวร่ม M4x6</v>
      </c>
      <c r="N3436" s="14">
        <f>INSTOCK!$I3436*INSTOCK!$K3436</f>
        <v>592.8</v>
      </c>
      <c r="O3436" s="4" t="s">
        <v>4539</v>
      </c>
      <c r="P3436" s="4"/>
    </row>
    <row r="3437" ht="15.75" hidden="1" customHeight="1">
      <c r="B3437" s="8">
        <v>3756.0</v>
      </c>
      <c r="C3437" s="9">
        <v>43239.0</v>
      </c>
      <c r="D3437" s="6" t="s">
        <v>4536</v>
      </c>
      <c r="E3437" s="4">
        <v>6.10500061E9</v>
      </c>
      <c r="F3437" s="8" t="s">
        <v>604</v>
      </c>
      <c r="G3437" s="4" t="s">
        <v>1870</v>
      </c>
      <c r="H3437" s="10" t="s">
        <v>4540</v>
      </c>
      <c r="I3437" s="10">
        <v>2000.0</v>
      </c>
      <c r="J3437" s="11" t="str">
        <f>IF(D3437&lt;&gt;"",VLOOKUP(H3437,TABLEITEM,5,FALSE),"")</f>
        <v>EA</v>
      </c>
      <c r="K3437" s="12">
        <v>1.254</v>
      </c>
      <c r="L3437" s="13" t="str">
        <f>IF(D3437&lt;&gt;"",VLOOKUP(H3437,TABLEITEM,2,FALSE),"")</f>
        <v/>
      </c>
      <c r="M3437" s="13" t="str">
        <f>IF(D3437&lt;&gt;"",VLOOKUP(H3437,TABLEITEM,3,FALSE),"")</f>
        <v>สกรูสแตนเลสหัวร่ม M6x20</v>
      </c>
      <c r="N3437" s="14">
        <f>INSTOCK!$I3437*INSTOCK!$K3437</f>
        <v>2508</v>
      </c>
      <c r="O3437" s="4" t="s">
        <v>4541</v>
      </c>
      <c r="P3437" s="4"/>
    </row>
    <row r="3438" ht="15.75" hidden="1" customHeight="1">
      <c r="B3438" s="8">
        <v>3757.0</v>
      </c>
      <c r="C3438" s="9">
        <v>43238.0</v>
      </c>
      <c r="D3438" s="6" t="s">
        <v>4542</v>
      </c>
      <c r="E3438" s="4">
        <v>6.104000486E9</v>
      </c>
      <c r="F3438" s="8" t="s">
        <v>604</v>
      </c>
      <c r="G3438" s="4" t="s">
        <v>3099</v>
      </c>
      <c r="H3438" s="10" t="s">
        <v>4543</v>
      </c>
      <c r="I3438" s="10">
        <v>3000.0</v>
      </c>
      <c r="J3438" s="11" t="str">
        <f>IF(D3438&lt;&gt;"",VLOOKUP(H3438,TABLEITEM,5,FALSE),"")</f>
        <v>EA</v>
      </c>
      <c r="K3438" s="12">
        <v>7.79</v>
      </c>
      <c r="L3438" s="13" t="str">
        <f>IF(D3438&lt;&gt;"",VLOOKUP(H3438,TABLEITEM,2,FALSE),"")</f>
        <v/>
      </c>
      <c r="M3438" s="13" t="str">
        <f>IF(D3438&lt;&gt;"",VLOOKUP(H3438,TABLEITEM,3,FALSE),"")</f>
        <v>บานพับตู้ Knock Down รุ่นไม่พับงอ</v>
      </c>
      <c r="N3438" s="14">
        <f>INSTOCK!$I3438*INSTOCK!$K3438</f>
        <v>23370</v>
      </c>
      <c r="O3438" s="4"/>
      <c r="P3438" s="4"/>
    </row>
    <row r="3439" ht="15.75" hidden="1" customHeight="1">
      <c r="B3439" s="8">
        <v>3758.0</v>
      </c>
      <c r="C3439" s="9">
        <v>43238.0</v>
      </c>
      <c r="D3439" s="6" t="s">
        <v>4544</v>
      </c>
      <c r="E3439" s="4">
        <v>6.104000499E9</v>
      </c>
      <c r="F3439" s="8"/>
      <c r="G3439" s="4" t="s">
        <v>4545</v>
      </c>
      <c r="H3439" s="10" t="s">
        <v>4546</v>
      </c>
      <c r="I3439" s="10">
        <v>1.0</v>
      </c>
      <c r="J3439" s="11" t="str">
        <f>IF(D3439&lt;&gt;"",VLOOKUP(H3439,TABLEITEM,5,FALSE),"")</f>
        <v>EA</v>
      </c>
      <c r="K3439" s="12">
        <v>52000.0</v>
      </c>
      <c r="L3439" s="13" t="str">
        <f>IF(D3439&lt;&gt;"",VLOOKUP(H3439,TABLEITEM,2,FALSE),"")</f>
        <v/>
      </c>
      <c r="M3439" s="13" t="str">
        <f>IF(D3439&lt;&gt;"",VLOOKUP(H3439,TABLEITEM,3,FALSE),"")</f>
        <v>รอกโซ่ไฟฟ้า BLACK BEAR รุ่น YSL-200+MT200</v>
      </c>
      <c r="N3439" s="14">
        <f>INSTOCK!$I3439*INSTOCK!$K3439</f>
        <v>52000</v>
      </c>
      <c r="O3439" s="4"/>
      <c r="P3439" s="4"/>
    </row>
    <row r="3440" ht="15.75" hidden="1" customHeight="1">
      <c r="B3440" s="8">
        <v>3759.0</v>
      </c>
      <c r="C3440" s="9">
        <v>43238.0</v>
      </c>
      <c r="D3440" s="6" t="s">
        <v>4547</v>
      </c>
      <c r="E3440" s="4">
        <v>6.1050006E9</v>
      </c>
      <c r="F3440" s="8" t="s">
        <v>604</v>
      </c>
      <c r="G3440" s="4" t="s">
        <v>1904</v>
      </c>
      <c r="H3440" s="10" t="s">
        <v>217</v>
      </c>
      <c r="I3440" s="10">
        <v>2.0</v>
      </c>
      <c r="J3440" s="11" t="str">
        <f>IF(D3440&lt;&gt;"",VLOOKUP(H3440,TABLEITEM,5,FALSE),"")</f>
        <v>M</v>
      </c>
      <c r="K3440" s="12">
        <v>1386.0</v>
      </c>
      <c r="L3440" s="13" t="str">
        <f>IF(D3440&lt;&gt;"",VLOOKUP(H3440,TABLEITEM,2,FALSE),"")</f>
        <v/>
      </c>
      <c r="M3440" s="13" t="str">
        <f>IF(D3440&lt;&gt;"",VLOOKUP(H3440,TABLEITEM,3,FALSE),"")</f>
        <v>TUEB 4.2</v>
      </c>
      <c r="N3440" s="14">
        <f>INSTOCK!$I3440*INSTOCK!$K3440</f>
        <v>2772</v>
      </c>
      <c r="O3440" s="4" t="s">
        <v>218</v>
      </c>
      <c r="P3440" s="4"/>
    </row>
    <row r="3441" ht="15.75" hidden="1" customHeight="1">
      <c r="B3441" s="8">
        <v>3760.0</v>
      </c>
      <c r="C3441" s="9">
        <v>43237.0</v>
      </c>
      <c r="D3441" s="6" t="s">
        <v>4548</v>
      </c>
      <c r="E3441" s="4">
        <v>6.104000513E9</v>
      </c>
      <c r="F3441" s="8" t="s">
        <v>604</v>
      </c>
      <c r="G3441" s="4" t="s">
        <v>3099</v>
      </c>
      <c r="H3441" s="10" t="s">
        <v>2302</v>
      </c>
      <c r="I3441" s="10">
        <v>5000.0</v>
      </c>
      <c r="J3441" s="11" t="str">
        <f>IF(D3441&lt;&gt;"",VLOOKUP(H3441,TABLEITEM,5,FALSE),"")</f>
        <v>EA</v>
      </c>
      <c r="K3441" s="12">
        <v>2.19</v>
      </c>
      <c r="L3441" s="13" t="str">
        <f>IF(D3441&lt;&gt;"",VLOOKUP(H3441,TABLEITEM,2,FALSE),"")</f>
        <v/>
      </c>
      <c r="M3441" s="13" t="str">
        <f>IF(D3441&lt;&gt;"",VLOOKUP(H3441,TABLEITEM,3,FALSE),"")</f>
        <v>ไส้กลางบานพับชุบขาว</v>
      </c>
      <c r="N3441" s="14">
        <f>INSTOCK!$I3441*INSTOCK!$K3441</f>
        <v>10950</v>
      </c>
      <c r="O3441" s="4"/>
      <c r="P3441" s="4"/>
    </row>
    <row r="3442" ht="15.75" hidden="1" customHeight="1">
      <c r="B3442" s="8">
        <v>3761.0</v>
      </c>
      <c r="C3442" s="9">
        <v>43237.0</v>
      </c>
      <c r="D3442" s="6" t="s">
        <v>4549</v>
      </c>
      <c r="E3442" s="4">
        <v>6.10500059E9</v>
      </c>
      <c r="F3442" s="8" t="s">
        <v>604</v>
      </c>
      <c r="G3442" s="4" t="s">
        <v>1033</v>
      </c>
      <c r="H3442" s="10" t="s">
        <v>2310</v>
      </c>
      <c r="I3442" s="10">
        <v>3.0</v>
      </c>
      <c r="J3442" s="11" t="str">
        <f>IF(D3442&lt;&gt;"",VLOOKUP(H3442,TABLEITEM,5,FALSE),"")</f>
        <v>EA</v>
      </c>
      <c r="K3442" s="12">
        <v>467.5</v>
      </c>
      <c r="L3442" s="13" t="str">
        <f>IF(D3442&lt;&gt;"",VLOOKUP(H3442,TABLEITEM,2,FALSE),"")</f>
        <v/>
      </c>
      <c r="M3442" s="13" t="str">
        <f>IF(D3442&lt;&gt;"",VLOOKUP(H3442,TABLEITEM,3,FALSE),"")</f>
        <v>แป้นจานขัด 5"</v>
      </c>
      <c r="N3442" s="14">
        <f>INSTOCK!$I3442*INSTOCK!$K3442</f>
        <v>1402.5</v>
      </c>
      <c r="O3442" s="4" t="s">
        <v>4550</v>
      </c>
      <c r="P3442" s="4"/>
    </row>
    <row r="3443" ht="15.75" hidden="1" customHeight="1">
      <c r="B3443" s="8">
        <v>3762.0</v>
      </c>
      <c r="C3443" s="9">
        <v>43237.0</v>
      </c>
      <c r="D3443" s="6">
        <v>6.1050211E7</v>
      </c>
      <c r="E3443" s="4">
        <v>6.105000857E9</v>
      </c>
      <c r="F3443" s="8" t="s">
        <v>604</v>
      </c>
      <c r="G3443" s="4" t="s">
        <v>1127</v>
      </c>
      <c r="H3443" s="10" t="s">
        <v>4551</v>
      </c>
      <c r="I3443" s="10">
        <v>12.0</v>
      </c>
      <c r="J3443" s="11" t="str">
        <f>IF(D3443&lt;&gt;"",VLOOKUP(H3443,TABLEITEM,5,FALSE),"")</f>
        <v>EA</v>
      </c>
      <c r="K3443" s="12">
        <v>209.0</v>
      </c>
      <c r="L3443" s="13" t="str">
        <f>IF(D3443&lt;&gt;"",VLOOKUP(H3443,TABLEITEM,2,FALSE),"")</f>
        <v/>
      </c>
      <c r="M3443" s="13" t="str">
        <f>IF(D3443&lt;&gt;"",VLOOKUP(H3443,TABLEITEM,3,FALSE),"")</f>
        <v>ปลอกแขนเชื่อม(ไม่มีชับใน)</v>
      </c>
      <c r="N3443" s="14">
        <f>INSTOCK!$I3443*INSTOCK!$K3443</f>
        <v>2508</v>
      </c>
      <c r="O3443" s="4" t="s">
        <v>4552</v>
      </c>
      <c r="P3443" s="4"/>
    </row>
    <row r="3444" ht="15.75" hidden="1" customHeight="1">
      <c r="B3444" s="8">
        <v>3763.0</v>
      </c>
      <c r="C3444" s="9">
        <v>43237.0</v>
      </c>
      <c r="D3444" s="6">
        <v>4.18040607E8</v>
      </c>
      <c r="E3444" s="4">
        <v>6.105000593E9</v>
      </c>
      <c r="F3444" s="8" t="s">
        <v>604</v>
      </c>
      <c r="G3444" s="4" t="s">
        <v>1274</v>
      </c>
      <c r="H3444" s="10" t="s">
        <v>21</v>
      </c>
      <c r="I3444" s="10">
        <v>400.0</v>
      </c>
      <c r="J3444" s="11" t="str">
        <f>IF(D3444&lt;&gt;"",VLOOKUP(H3444,TABLEITEM,5,FALSE),"")</f>
        <v>EA</v>
      </c>
      <c r="K3444" s="12">
        <v>45.0</v>
      </c>
      <c r="L3444" s="13" t="str">
        <f>IF(D3444&lt;&gt;"",VLOOKUP(H3444,TABLEITEM,2,FALSE),"")</f>
        <v/>
      </c>
      <c r="M3444" s="13" t="str">
        <f>IF(D3444&lt;&gt;"",VLOOKUP(H3444,TABLEITEM,3,FALSE),"")</f>
        <v>ใบหินเจียร์ 4'' </v>
      </c>
      <c r="N3444" s="14">
        <f>INSTOCK!$I3444*INSTOCK!$K3444</f>
        <v>18000</v>
      </c>
      <c r="O3444" s="4"/>
      <c r="P3444" s="4"/>
    </row>
    <row r="3445" ht="15.75" hidden="1" customHeight="1">
      <c r="B3445" s="8">
        <v>3764.0</v>
      </c>
      <c r="C3445" s="9">
        <v>43237.0</v>
      </c>
      <c r="D3445" s="6" t="s">
        <v>4553</v>
      </c>
      <c r="E3445" s="4">
        <v>6.105000584E9</v>
      </c>
      <c r="F3445" s="8" t="s">
        <v>604</v>
      </c>
      <c r="G3445" s="4" t="s">
        <v>1485</v>
      </c>
      <c r="H3445" s="10" t="s">
        <v>1584</v>
      </c>
      <c r="I3445" s="10">
        <v>4.0</v>
      </c>
      <c r="J3445" s="11" t="str">
        <f>IF(D3445&lt;&gt;"",VLOOKUP(H3445,TABLEITEM,5,FALSE),"")</f>
        <v>EA</v>
      </c>
      <c r="K3445" s="12">
        <v>134.2</v>
      </c>
      <c r="L3445" s="13" t="str">
        <f>IF(D3445&lt;&gt;"",VLOOKUP(H3445,TABLEITEM,2,FALSE),"")</f>
        <v/>
      </c>
      <c r="M3445" s="13" t="str">
        <f>IF(D3445&lt;&gt;"",VLOOKUP(H3445,TABLEITEM,3,FALSE),"")</f>
        <v>HARMONY XB4 SINGLE CONTACT ZB4BZ101</v>
      </c>
      <c r="N3445" s="14">
        <f>INSTOCK!$I3445*INSTOCK!$K3445</f>
        <v>536.8</v>
      </c>
      <c r="O3445" s="4"/>
      <c r="P3445" s="4"/>
    </row>
    <row r="3446" ht="15.75" hidden="1" customHeight="1">
      <c r="B3446" s="8">
        <v>3765.0</v>
      </c>
      <c r="C3446" s="9">
        <v>43236.0</v>
      </c>
      <c r="D3446" s="6" t="s">
        <v>4554</v>
      </c>
      <c r="E3446" s="4">
        <v>6.105000584E9</v>
      </c>
      <c r="F3446" s="8" t="s">
        <v>604</v>
      </c>
      <c r="G3446" s="4" t="s">
        <v>1485</v>
      </c>
      <c r="H3446" s="10" t="s">
        <v>2006</v>
      </c>
      <c r="I3446" s="10">
        <v>20.0</v>
      </c>
      <c r="J3446" s="11" t="str">
        <f>IF(D3446&lt;&gt;"",VLOOKUP(H3446,TABLEITEM,5,FALSE),"")</f>
        <v>EA</v>
      </c>
      <c r="K3446" s="12">
        <v>85.8</v>
      </c>
      <c r="L3446" s="13" t="str">
        <f>IF(D3446&lt;&gt;"",VLOOKUP(H3446,TABLEITEM,2,FALSE),"")</f>
        <v/>
      </c>
      <c r="M3446" s="13" t="str">
        <f>IF(D3446&lt;&gt;"",VLOOKUP(H3446,TABLEITEM,3,FALSE),"")</f>
        <v>PILOT LIGHT LED 240V GREEN</v>
      </c>
      <c r="N3446" s="14">
        <f>INSTOCK!$I3446*INSTOCK!$K3446</f>
        <v>1716</v>
      </c>
      <c r="O3446" s="4"/>
      <c r="P3446" s="4"/>
    </row>
    <row r="3447" ht="15.75" hidden="1" customHeight="1">
      <c r="B3447" s="8">
        <v>3766.0</v>
      </c>
      <c r="C3447" s="9">
        <v>43236.0</v>
      </c>
      <c r="D3447" s="6" t="s">
        <v>4554</v>
      </c>
      <c r="E3447" s="4">
        <v>6.105000584E9</v>
      </c>
      <c r="F3447" s="8" t="s">
        <v>604</v>
      </c>
      <c r="G3447" s="4" t="s">
        <v>1485</v>
      </c>
      <c r="H3447" s="10" t="s">
        <v>1581</v>
      </c>
      <c r="I3447" s="10">
        <v>5.0</v>
      </c>
      <c r="J3447" s="11" t="str">
        <f>IF(D3447&lt;&gt;"",VLOOKUP(H3447,TABLEITEM,5,FALSE),"")</f>
        <v>EA</v>
      </c>
      <c r="K3447" s="12">
        <v>446.6</v>
      </c>
      <c r="L3447" s="13" t="str">
        <f>IF(D3447&lt;&gt;"",VLOOKUP(H3447,TABLEITEM,2,FALSE),"")</f>
        <v/>
      </c>
      <c r="M3447" s="13" t="str">
        <f>IF(D3447&lt;&gt;"",VLOOKUP(H3447,TABLEITEM,3,FALSE),"")</f>
        <v>HARMONY XB4 PB EMER XB4BS8442</v>
      </c>
      <c r="N3447" s="14">
        <f>INSTOCK!$I3447*INSTOCK!$K3447</f>
        <v>2233</v>
      </c>
      <c r="O3447" s="4"/>
      <c r="P3447" s="4"/>
    </row>
    <row r="3448" ht="15.75" hidden="1" customHeight="1">
      <c r="B3448" s="8">
        <v>3767.0</v>
      </c>
      <c r="C3448" s="9">
        <v>43236.0</v>
      </c>
      <c r="D3448" s="6" t="s">
        <v>4554</v>
      </c>
      <c r="E3448" s="4">
        <v>6.105000584E9</v>
      </c>
      <c r="F3448" s="8" t="s">
        <v>604</v>
      </c>
      <c r="G3448" s="4" t="s">
        <v>1485</v>
      </c>
      <c r="H3448" s="10" t="s">
        <v>1584</v>
      </c>
      <c r="I3448" s="10">
        <v>6.0</v>
      </c>
      <c r="J3448" s="11" t="str">
        <f>IF(D3448&lt;&gt;"",VLOOKUP(H3448,TABLEITEM,5,FALSE),"")</f>
        <v>EA</v>
      </c>
      <c r="K3448" s="12">
        <v>134.2</v>
      </c>
      <c r="L3448" s="13" t="str">
        <f>IF(D3448&lt;&gt;"",VLOOKUP(H3448,TABLEITEM,2,FALSE),"")</f>
        <v/>
      </c>
      <c r="M3448" s="13" t="str">
        <f>IF(D3448&lt;&gt;"",VLOOKUP(H3448,TABLEITEM,3,FALSE),"")</f>
        <v>HARMONY XB4 SINGLE CONTACT ZB4BZ101</v>
      </c>
      <c r="N3448" s="14">
        <f>INSTOCK!$I3448*INSTOCK!$K3448</f>
        <v>805.2</v>
      </c>
      <c r="O3448" s="4"/>
      <c r="P3448" s="4"/>
    </row>
    <row r="3449" ht="15.75" hidden="1" customHeight="1">
      <c r="B3449" s="8">
        <v>3768.0</v>
      </c>
      <c r="C3449" s="9">
        <v>43236.0</v>
      </c>
      <c r="D3449" s="6">
        <v>81168.0</v>
      </c>
      <c r="E3449" s="4">
        <v>6.105000579E9</v>
      </c>
      <c r="F3449" s="8" t="s">
        <v>604</v>
      </c>
      <c r="G3449" s="4" t="s">
        <v>2589</v>
      </c>
      <c r="H3449" s="10" t="s">
        <v>3366</v>
      </c>
      <c r="I3449" s="10">
        <v>300.0</v>
      </c>
      <c r="J3449" s="11" t="str">
        <f>IF(D3449&lt;&gt;"",VLOOKUP(H3449,TABLEITEM,5,FALSE),"")</f>
        <v>EA</v>
      </c>
      <c r="K3449" s="12">
        <v>6.11</v>
      </c>
      <c r="L3449" s="13" t="str">
        <f>IF(D3449&lt;&gt;"",VLOOKUP(H3449,TABLEITEM,2,FALSE),"")</f>
        <v/>
      </c>
      <c r="M3449" s="13" t="str">
        <f>IF(D3449&lt;&gt;"",VLOOKUP(H3449,TABLEITEM,3,FALSE),"")</f>
        <v>สตัด M8x30</v>
      </c>
      <c r="N3449" s="14">
        <f>INSTOCK!$I3449*INSTOCK!$K3449</f>
        <v>1833</v>
      </c>
      <c r="O3449" s="4"/>
      <c r="P3449" s="4"/>
    </row>
    <row r="3450" ht="15.75" hidden="1" customHeight="1">
      <c r="B3450" s="8">
        <v>3769.0</v>
      </c>
      <c r="C3450" s="9">
        <v>43235.0</v>
      </c>
      <c r="D3450" s="6">
        <v>6101346.0</v>
      </c>
      <c r="E3450" s="4">
        <v>6.105000571E9</v>
      </c>
      <c r="F3450" s="8" t="s">
        <v>4154</v>
      </c>
      <c r="G3450" s="4" t="s">
        <v>4239</v>
      </c>
      <c r="H3450" s="10" t="s">
        <v>4240</v>
      </c>
      <c r="I3450" s="10">
        <v>3.0</v>
      </c>
      <c r="J3450" s="11" t="str">
        <f>IF(D3450&lt;&gt;"",VLOOKUP(H3450,TABLEITEM,5,FALSE),"")</f>
        <v>EA</v>
      </c>
      <c r="K3450" s="12">
        <v>100.0</v>
      </c>
      <c r="L3450" s="13" t="str">
        <f>IF(D3450&lt;&gt;"",VLOOKUP(H3450,TABLEITEM,2,FALSE),"")</f>
        <v/>
      </c>
      <c r="M3450" s="13" t="str">
        <f>IF(D3450&lt;&gt;"",VLOOKUP(H3450,TABLEITEM,3,FALSE),"")</f>
        <v>HRC FUSE #0 125A 500V</v>
      </c>
      <c r="N3450" s="14">
        <f>INSTOCK!$I3450*INSTOCK!$K3450</f>
        <v>300</v>
      </c>
      <c r="O3450" s="4" t="s">
        <v>4555</v>
      </c>
      <c r="P3450" s="4"/>
    </row>
    <row r="3451" ht="15.75" hidden="1" customHeight="1">
      <c r="B3451" s="8">
        <v>3770.0</v>
      </c>
      <c r="C3451" s="9">
        <v>43235.0</v>
      </c>
      <c r="D3451" s="6">
        <v>6101346.0</v>
      </c>
      <c r="E3451" s="4">
        <v>6.105000571E9</v>
      </c>
      <c r="F3451" s="8" t="s">
        <v>4154</v>
      </c>
      <c r="G3451" s="4" t="s">
        <v>4239</v>
      </c>
      <c r="H3451" s="10" t="s">
        <v>4242</v>
      </c>
      <c r="I3451" s="10">
        <v>1.0</v>
      </c>
      <c r="J3451" s="11" t="str">
        <f>IF(D3451&lt;&gt;"",VLOOKUP(H3451,TABLEITEM,5,FALSE),"")</f>
        <v>EA</v>
      </c>
      <c r="K3451" s="12">
        <v>500.0</v>
      </c>
      <c r="L3451" s="13" t="str">
        <f>IF(D3451&lt;&gt;"",VLOOKUP(H3451,TABLEITEM,2,FALSE),"")</f>
        <v/>
      </c>
      <c r="M3451" s="13" t="str">
        <f>IF(D3451&lt;&gt;"",VLOOKUP(H3451,TABLEITEM,3,FALSE),"")</f>
        <v>FUSSE BASE 160A #00</v>
      </c>
      <c r="N3451" s="14">
        <f>INSTOCK!$I3451*INSTOCK!$K3451</f>
        <v>500</v>
      </c>
      <c r="O3451" s="4" t="s">
        <v>2621</v>
      </c>
      <c r="P3451" s="4"/>
    </row>
    <row r="3452" ht="15.75" hidden="1" customHeight="1">
      <c r="B3452" s="8">
        <v>3771.0</v>
      </c>
      <c r="C3452" s="9">
        <v>43234.0</v>
      </c>
      <c r="D3452" s="6" t="s">
        <v>4556</v>
      </c>
      <c r="E3452" s="4">
        <v>6.105000566E9</v>
      </c>
      <c r="F3452" s="8" t="s">
        <v>604</v>
      </c>
      <c r="G3452" s="4" t="s">
        <v>4557</v>
      </c>
      <c r="H3452" s="10" t="s">
        <v>2652</v>
      </c>
      <c r="I3452" s="10">
        <v>200.0</v>
      </c>
      <c r="J3452" s="11" t="str">
        <f>IF(D3452&lt;&gt;"",VLOOKUP(H3452,TABLEITEM,5,FALSE),"")</f>
        <v>M</v>
      </c>
      <c r="K3452" s="12">
        <v>100.0</v>
      </c>
      <c r="L3452" s="13" t="str">
        <f>IF(D3452&lt;&gt;"",VLOOKUP(H3452,TABLEITEM,2,FALSE),"")</f>
        <v/>
      </c>
      <c r="M3452" s="13" t="str">
        <f>IF(D3452&lt;&gt;"",VLOOKUP(H3452,TABLEITEM,3,FALSE),"")</f>
        <v>ยางขอบกระจก ร่อง 3-6 มิล </v>
      </c>
      <c r="N3452" s="14">
        <f>INSTOCK!$I3452*INSTOCK!$K3452</f>
        <v>20000</v>
      </c>
      <c r="O3452" s="4"/>
      <c r="P3452" s="4"/>
    </row>
    <row r="3453" ht="15.75" hidden="1" customHeight="1">
      <c r="B3453" s="8">
        <v>3772.0</v>
      </c>
      <c r="C3453" s="9">
        <v>43232.0</v>
      </c>
      <c r="D3453" s="6" t="s">
        <v>4558</v>
      </c>
      <c r="E3453" s="4"/>
      <c r="F3453" s="8" t="s">
        <v>4559</v>
      </c>
      <c r="G3453" s="4" t="s">
        <v>3327</v>
      </c>
      <c r="H3453" s="10" t="s">
        <v>4560</v>
      </c>
      <c r="I3453" s="10">
        <v>5.0</v>
      </c>
      <c r="J3453" s="11" t="str">
        <f>IF(D3453&lt;&gt;"",VLOOKUP(H3453,TABLEITEM,5,FALSE),"")</f>
        <v>EA</v>
      </c>
      <c r="K3453" s="12">
        <v>18.69</v>
      </c>
      <c r="L3453" s="13" t="str">
        <f>IF(D3453&lt;&gt;"",VLOOKUP(H3453,TABLEITEM,2,FALSE),"")</f>
        <v/>
      </c>
      <c r="M3453" s="13" t="str">
        <f>IF(D3453&lt;&gt;"",VLOOKUP(H3453,TABLEITEM,3,FALSE),"")</f>
        <v>คาปาซิเตอร์ 1.5UF 400WV.AC</v>
      </c>
      <c r="N3453" s="14">
        <f>INSTOCK!$I3453*INSTOCK!$K3453</f>
        <v>93.45</v>
      </c>
      <c r="O3453" s="4"/>
      <c r="P3453" s="4"/>
    </row>
    <row r="3454" ht="15.75" hidden="1" customHeight="1">
      <c r="B3454" s="8">
        <v>3773.0</v>
      </c>
      <c r="C3454" s="9">
        <v>43232.0</v>
      </c>
      <c r="D3454" s="6" t="s">
        <v>4561</v>
      </c>
      <c r="E3454" s="4">
        <v>6.105000564E9</v>
      </c>
      <c r="F3454" s="8" t="s">
        <v>4562</v>
      </c>
      <c r="G3454" s="4" t="s">
        <v>965</v>
      </c>
      <c r="H3454" s="10" t="s">
        <v>4563</v>
      </c>
      <c r="I3454" s="10">
        <v>1.0</v>
      </c>
      <c r="J3454" s="11" t="str">
        <f>IF(D3454&lt;&gt;"",VLOOKUP(H3454,TABLEITEM,5,FALSE),"")</f>
        <v>EA</v>
      </c>
      <c r="K3454" s="12">
        <v>200.0</v>
      </c>
      <c r="L3454" s="13" t="str">
        <f>IF(D3454&lt;&gt;"",VLOOKUP(H3454,TABLEITEM,2,FALSE),"")</f>
        <v/>
      </c>
      <c r="M3454" s="13" t="str">
        <f>IF(D3454&lt;&gt;"",VLOOKUP(H3454,TABLEITEM,3,FALSE),"")</f>
        <v>ตะไบเพชรชุด</v>
      </c>
      <c r="N3454" s="14">
        <f>INSTOCK!$I3454*INSTOCK!$K3454</f>
        <v>200</v>
      </c>
      <c r="O3454" s="4"/>
      <c r="P3454" s="4"/>
    </row>
    <row r="3455" ht="15.75" hidden="1" customHeight="1">
      <c r="B3455" s="8">
        <v>3774.0</v>
      </c>
      <c r="C3455" s="9">
        <v>43232.0</v>
      </c>
      <c r="D3455" s="6" t="s">
        <v>4564</v>
      </c>
      <c r="E3455" s="4">
        <v>6.10500056E9</v>
      </c>
      <c r="F3455" s="8" t="s">
        <v>604</v>
      </c>
      <c r="G3455" s="4" t="s">
        <v>965</v>
      </c>
      <c r="H3455" s="10" t="s">
        <v>4565</v>
      </c>
      <c r="I3455" s="10">
        <v>12.0</v>
      </c>
      <c r="J3455" s="11" t="str">
        <f>IF(D3455&lt;&gt;"",VLOOKUP(H3455,TABLEITEM,5,FALSE),"")</f>
        <v>EA</v>
      </c>
      <c r="K3455" s="12">
        <v>160.0</v>
      </c>
      <c r="L3455" s="13" t="str">
        <f>IF(D3455&lt;&gt;"",VLOOKUP(H3455,TABLEITEM,2,FALSE),"")</f>
        <v/>
      </c>
      <c r="M3455" s="13" t="str">
        <f>IF(D3455&lt;&gt;"",VLOOKUP(H3455,TABLEITEM,3,FALSE),"")</f>
        <v>SETRONIC LAMPTON 18W</v>
      </c>
      <c r="N3455" s="14">
        <f>INSTOCK!$I3455*INSTOCK!$K3455</f>
        <v>1920</v>
      </c>
      <c r="O3455" s="4"/>
      <c r="P3455" s="4"/>
    </row>
    <row r="3456" ht="15.75" hidden="1" customHeight="1">
      <c r="B3456" s="8">
        <v>3775.0</v>
      </c>
      <c r="C3456" s="9">
        <v>43231.0</v>
      </c>
      <c r="D3456" s="6" t="s">
        <v>4566</v>
      </c>
      <c r="E3456" s="4">
        <v>6.10500057E9</v>
      </c>
      <c r="F3456" s="8" t="s">
        <v>624</v>
      </c>
      <c r="G3456" s="4" t="s">
        <v>4260</v>
      </c>
      <c r="H3456" s="10" t="s">
        <v>4261</v>
      </c>
      <c r="I3456" s="10">
        <v>1.0</v>
      </c>
      <c r="J3456" s="11" t="str">
        <f>IF(D3456&lt;&gt;"",VLOOKUP(H3456,TABLEITEM,5,FALSE),"")</f>
        <v>EA</v>
      </c>
      <c r="K3456" s="12">
        <v>21000.0</v>
      </c>
      <c r="L3456" s="13" t="str">
        <f>IF(D3456&lt;&gt;"",VLOOKUP(H3456,TABLEITEM,2,FALSE),"")</f>
        <v/>
      </c>
      <c r="M3456" s="13" t="str">
        <f>IF(D3456&lt;&gt;"",VLOOKUP(H3456,TABLEITEM,3,FALSE),"")</f>
        <v>ATS CONTROLLER COMPLETE OF FUNCTION OEC-01</v>
      </c>
      <c r="N3456" s="14">
        <f>INSTOCK!$I3456*INSTOCK!$K3456</f>
        <v>21000</v>
      </c>
      <c r="O3456" s="4"/>
      <c r="P3456" s="4"/>
    </row>
    <row r="3457" ht="15.75" hidden="1" customHeight="1">
      <c r="B3457" s="8">
        <v>3776.0</v>
      </c>
      <c r="C3457" s="9">
        <v>43230.0</v>
      </c>
      <c r="D3457" s="6" t="s">
        <v>4567</v>
      </c>
      <c r="E3457" s="4">
        <v>6.104000518E9</v>
      </c>
      <c r="F3457" s="8" t="s">
        <v>604</v>
      </c>
      <c r="G3457" s="4" t="s">
        <v>1870</v>
      </c>
      <c r="H3457" s="10" t="s">
        <v>3700</v>
      </c>
      <c r="I3457" s="10">
        <v>2000.0</v>
      </c>
      <c r="J3457" s="11" t="str">
        <f>IF(D3457&lt;&gt;"",VLOOKUP(H3457,TABLEITEM,5,FALSE),"")</f>
        <v>EA</v>
      </c>
      <c r="K3457" s="12">
        <v>0.33</v>
      </c>
      <c r="L3457" s="13" t="str">
        <f>IF(D3457&lt;&gt;"",VLOOKUP(H3457,TABLEITEM,2,FALSE),"")</f>
        <v/>
      </c>
      <c r="M3457" s="13" t="str">
        <f>IF(D3457&lt;&gt;"",VLOOKUP(H3457,TABLEITEM,3,FALSE),"")</f>
        <v>แหวนอีแปะ M8   HDG</v>
      </c>
      <c r="N3457" s="14">
        <f>INSTOCK!$I3457*INSTOCK!$K3457</f>
        <v>660</v>
      </c>
      <c r="O3457" s="4" t="s">
        <v>3136</v>
      </c>
      <c r="P3457" s="4"/>
    </row>
    <row r="3458" ht="15.75" hidden="1" customHeight="1">
      <c r="B3458" s="8">
        <v>3777.0</v>
      </c>
      <c r="C3458" s="9">
        <v>43229.0</v>
      </c>
      <c r="D3458" s="6">
        <v>7150.0</v>
      </c>
      <c r="E3458" s="4" t="s">
        <v>4568</v>
      </c>
      <c r="F3458" s="8" t="s">
        <v>604</v>
      </c>
      <c r="G3458" s="4" t="s">
        <v>4569</v>
      </c>
      <c r="H3458" s="10" t="s">
        <v>4570</v>
      </c>
      <c r="I3458" s="10">
        <v>5000.0</v>
      </c>
      <c r="J3458" s="11" t="str">
        <f>IF(D3458&lt;&gt;"",VLOOKUP(H3458,TABLEITEM,5,FALSE),"")</f>
        <v>EA</v>
      </c>
      <c r="K3458" s="12">
        <v>3.5</v>
      </c>
      <c r="L3458" s="13" t="str">
        <f>IF(D3458&lt;&gt;"",VLOOKUP(H3458,TABLEITEM,2,FALSE),"")</f>
        <v/>
      </c>
      <c r="M3458" s="13" t="str">
        <f>IF(D3458&lt;&gt;"",VLOOKUP(H3458,TABLEITEM,3,FALSE),"")</f>
        <v>COVER KEY สีครีม</v>
      </c>
      <c r="N3458" s="14">
        <f>INSTOCK!$I3458*INSTOCK!$K3458</f>
        <v>17500</v>
      </c>
      <c r="O3458" s="4"/>
      <c r="P3458" s="4"/>
    </row>
    <row r="3459" ht="15.75" hidden="1" customHeight="1">
      <c r="B3459" s="8">
        <v>3778.0</v>
      </c>
      <c r="C3459" s="9">
        <v>43229.0</v>
      </c>
      <c r="D3459" s="6" t="s">
        <v>4571</v>
      </c>
      <c r="E3459" s="4"/>
      <c r="F3459" s="8" t="s">
        <v>823</v>
      </c>
      <c r="G3459" s="4" t="s">
        <v>2686</v>
      </c>
      <c r="H3459" s="10" t="s">
        <v>4572</v>
      </c>
      <c r="I3459" s="10">
        <v>3.0</v>
      </c>
      <c r="J3459" s="11" t="str">
        <f>IF(D3459&lt;&gt;"",VLOOKUP(H3459,TABLEITEM,5,FALSE),"")</f>
        <v>EA</v>
      </c>
      <c r="K3459" s="12">
        <v>180.0</v>
      </c>
      <c r="L3459" s="13" t="str">
        <f>IF(D3459&lt;&gt;"",VLOOKUP(H3459,TABLEITEM,2,FALSE),"")</f>
        <v/>
      </c>
      <c r="M3459" s="13" t="str">
        <f>IF(D3459&lt;&gt;"",VLOOKUP(H3459,TABLEITEM,3,FALSE),"")</f>
        <v>CONTACT TIP 0.8 M8 CrCuZr/D8x35</v>
      </c>
      <c r="N3459" s="14">
        <f>INSTOCK!$I3459*INSTOCK!$K3459</f>
        <v>540</v>
      </c>
      <c r="O3459" s="4"/>
      <c r="P3459" s="4"/>
    </row>
    <row r="3460" ht="15.75" hidden="1" customHeight="1">
      <c r="B3460" s="8">
        <v>3779.0</v>
      </c>
      <c r="C3460" s="9">
        <v>43229.0</v>
      </c>
      <c r="D3460" s="6" t="s">
        <v>1124</v>
      </c>
      <c r="E3460" s="4" t="s">
        <v>4573</v>
      </c>
      <c r="F3460" s="8"/>
      <c r="G3460" s="4" t="s">
        <v>1962</v>
      </c>
      <c r="H3460" s="10" t="s">
        <v>4574</v>
      </c>
      <c r="I3460" s="10">
        <v>2.0</v>
      </c>
      <c r="J3460" s="11" t="str">
        <f>IF(D3460&lt;&gt;"",VLOOKUP(H3460,TABLEITEM,5,FALSE),"")</f>
        <v>EA</v>
      </c>
      <c r="K3460" s="12">
        <v>7000.0</v>
      </c>
      <c r="L3460" s="13" t="str">
        <f>IF(D3460&lt;&gt;"",VLOOKUP(H3460,TABLEITEM,2,FALSE),"")</f>
        <v/>
      </c>
      <c r="M3460" s="13" t="str">
        <f>IF(D3460&lt;&gt;"",VLOOKUP(H3460,TABLEITEM,3,FALSE),"")</f>
        <v>IME-MF7FT40046 NEMO72L A230V 5A 450V RS485 S/N3299930162</v>
      </c>
      <c r="N3460" s="14">
        <f>INSTOCK!$I3460*INSTOCK!$K3460</f>
        <v>14000</v>
      </c>
      <c r="O3460" s="4"/>
      <c r="P3460" s="4"/>
    </row>
    <row r="3461" ht="15.75" hidden="1" customHeight="1">
      <c r="B3461" s="8">
        <v>3780.0</v>
      </c>
      <c r="C3461" s="9">
        <v>43229.0</v>
      </c>
      <c r="D3461" s="6" t="s">
        <v>4575</v>
      </c>
      <c r="E3461" s="4">
        <v>6.105000558E9</v>
      </c>
      <c r="F3461" s="8" t="s">
        <v>4154</v>
      </c>
      <c r="G3461" s="4" t="s">
        <v>1485</v>
      </c>
      <c r="H3461" s="10" t="s">
        <v>4576</v>
      </c>
      <c r="I3461" s="10">
        <v>1.0</v>
      </c>
      <c r="J3461" s="11" t="str">
        <f>IF(D3461&lt;&gt;"",VLOOKUP(H3461,TABLEITEM,5,FALSE),"")</f>
        <v>EA</v>
      </c>
      <c r="K3461" s="12">
        <v>6392.0</v>
      </c>
      <c r="L3461" s="13" t="str">
        <f>IF(D3461&lt;&gt;"",VLOOKUP(H3461,TABLEITEM,2,FALSE),"")</f>
        <v/>
      </c>
      <c r="M3461" s="13" t="str">
        <f>IF(D3461&lt;&gt;"",VLOOKUP(H3461,TABLEITEM,3,FALSE),"")</f>
        <v>SURGE ARRESTER 3P+N 350V W/REMOTE TRANSFERT</v>
      </c>
      <c r="N3461" s="14">
        <f>INSTOCK!$I3461*INSTOCK!$K3461</f>
        <v>6392</v>
      </c>
      <c r="O3461" s="4"/>
      <c r="P3461" s="4"/>
    </row>
    <row r="3462" ht="15.75" hidden="1" customHeight="1">
      <c r="B3462" s="8">
        <v>3781.0</v>
      </c>
      <c r="C3462" s="9">
        <v>43229.0</v>
      </c>
      <c r="D3462" s="6" t="s">
        <v>4577</v>
      </c>
      <c r="E3462" s="4">
        <v>6.104000519E9</v>
      </c>
      <c r="F3462" s="8" t="s">
        <v>604</v>
      </c>
      <c r="G3462" s="4" t="s">
        <v>1777</v>
      </c>
      <c r="H3462" s="10" t="s">
        <v>3704</v>
      </c>
      <c r="I3462" s="10">
        <v>1000.0</v>
      </c>
      <c r="J3462" s="11" t="str">
        <f>IF(D3462&lt;&gt;"",VLOOKUP(H3462,TABLEITEM,5,FALSE),"")</f>
        <v>EA</v>
      </c>
      <c r="K3462" s="12">
        <v>1.3</v>
      </c>
      <c r="L3462" s="13" t="str">
        <f>IF(D3462&lt;&gt;"",VLOOKUP(H3462,TABLEITEM,2,FALSE),"")</f>
        <v/>
      </c>
      <c r="M3462" s="13" t="str">
        <f>IF(D3462&lt;&gt;"",VLOOKUP(H3462,TABLEITEM,3,FALSE),"")</f>
        <v>หัวน้อต M8  HDG</v>
      </c>
      <c r="N3462" s="14">
        <f>INSTOCK!$I3462*INSTOCK!$K3462</f>
        <v>1300</v>
      </c>
      <c r="O3462" s="4" t="s">
        <v>3705</v>
      </c>
      <c r="P3462" s="4"/>
    </row>
    <row r="3463" ht="15.75" hidden="1" customHeight="1">
      <c r="B3463" s="8">
        <v>3782.0</v>
      </c>
      <c r="C3463" s="9">
        <v>43229.0</v>
      </c>
      <c r="D3463" s="6" t="s">
        <v>4577</v>
      </c>
      <c r="E3463" s="4">
        <v>6.104000519E9</v>
      </c>
      <c r="F3463" s="8" t="s">
        <v>604</v>
      </c>
      <c r="G3463" s="4" t="s">
        <v>1777</v>
      </c>
      <c r="H3463" s="10" t="s">
        <v>1998</v>
      </c>
      <c r="I3463" s="10">
        <v>3000.0</v>
      </c>
      <c r="J3463" s="11" t="str">
        <f>IF(D3463&lt;&gt;"",VLOOKUP(H3463,TABLEITEM,5,FALSE),"")</f>
        <v>EA</v>
      </c>
      <c r="K3463" s="12">
        <v>0.585</v>
      </c>
      <c r="L3463" s="13" t="str">
        <f>IF(D3463&lt;&gt;"",VLOOKUP(H3463,TABLEITEM,2,FALSE),"")</f>
        <v/>
      </c>
      <c r="M3463" s="13" t="str">
        <f>IF(D3463&lt;&gt;"",VLOOKUP(H3463,TABLEITEM,3,FALSE),"")</f>
        <v>แหวนอีแปะ M10   HDG</v>
      </c>
      <c r="N3463" s="14">
        <f>INSTOCK!$I3463*INSTOCK!$K3463</f>
        <v>1755</v>
      </c>
      <c r="O3463" s="4" t="s">
        <v>3708</v>
      </c>
      <c r="P3463" s="4"/>
    </row>
    <row r="3464" ht="15.75" hidden="1" customHeight="1">
      <c r="B3464" s="8">
        <v>3783.0</v>
      </c>
      <c r="C3464" s="9">
        <v>43229.0</v>
      </c>
      <c r="D3464" s="6" t="s">
        <v>4577</v>
      </c>
      <c r="E3464" s="4">
        <v>6.104000519E9</v>
      </c>
      <c r="F3464" s="8" t="s">
        <v>604</v>
      </c>
      <c r="G3464" s="4" t="s">
        <v>1777</v>
      </c>
      <c r="H3464" s="10" t="s">
        <v>3935</v>
      </c>
      <c r="I3464" s="10">
        <v>1500.0</v>
      </c>
      <c r="J3464" s="11" t="str">
        <f>IF(D3464&lt;&gt;"",VLOOKUP(H3464,TABLEITEM,5,FALSE),"")</f>
        <v>EA</v>
      </c>
      <c r="K3464" s="12">
        <v>1.05</v>
      </c>
      <c r="L3464" s="13" t="str">
        <f>IF(D3464&lt;&gt;"",VLOOKUP(H3464,TABLEITEM,2,FALSE),"")</f>
        <v/>
      </c>
      <c r="M3464" s="13" t="str">
        <f>IF(D3464&lt;&gt;"",VLOOKUP(H3464,TABLEITEM,3,FALSE),"")</f>
        <v>สกรูหัวจมชุบรุ้ง M5x15</v>
      </c>
      <c r="N3464" s="14">
        <f>INSTOCK!$I3464*INSTOCK!$K3464</f>
        <v>1575</v>
      </c>
      <c r="O3464" s="4" t="s">
        <v>3939</v>
      </c>
      <c r="P3464" s="4"/>
    </row>
    <row r="3465" ht="15.75" hidden="1" customHeight="1">
      <c r="B3465" s="8">
        <v>3784.0</v>
      </c>
      <c r="C3465" s="9">
        <v>43229.0</v>
      </c>
      <c r="D3465" s="6">
        <v>2.210135024E9</v>
      </c>
      <c r="E3465" s="4">
        <v>6.105000548E9</v>
      </c>
      <c r="F3465" s="8" t="s">
        <v>604</v>
      </c>
      <c r="G3465" s="4" t="s">
        <v>4578</v>
      </c>
      <c r="H3465" s="10" t="s">
        <v>2905</v>
      </c>
      <c r="I3465" s="10">
        <v>20.0</v>
      </c>
      <c r="J3465" s="11" t="str">
        <f>IF(D3465&lt;&gt;"",VLOOKUP(H3465,TABLEITEM,5,FALSE),"")</f>
        <v>EA</v>
      </c>
      <c r="K3465" s="12">
        <v>28.0</v>
      </c>
      <c r="L3465" s="13" t="str">
        <f>IF(D3465&lt;&gt;"",VLOOKUP(H3465,TABLEITEM,2,FALSE),"")</f>
        <v/>
      </c>
      <c r="M3465" s="13" t="str">
        <f>IF(D3465&lt;&gt;"",VLOOKUP(H3465,TABLEITEM,3,FALSE),"")</f>
        <v>ดอกสว่าน NACHI 3.3 MM</v>
      </c>
      <c r="N3465" s="14">
        <f>INSTOCK!$I3465*INSTOCK!$K3465</f>
        <v>560</v>
      </c>
      <c r="O3465" s="4" t="s">
        <v>4579</v>
      </c>
      <c r="P3465" s="4"/>
    </row>
    <row r="3466" ht="15.75" hidden="1" customHeight="1">
      <c r="B3466" s="8">
        <v>3785.0</v>
      </c>
      <c r="C3466" s="9">
        <v>43229.0</v>
      </c>
      <c r="D3466" s="6">
        <v>2.210135024E9</v>
      </c>
      <c r="E3466" s="4">
        <v>6.105000548E9</v>
      </c>
      <c r="F3466" s="8" t="s">
        <v>604</v>
      </c>
      <c r="G3466" s="4" t="s">
        <v>4578</v>
      </c>
      <c r="H3466" s="10" t="s">
        <v>4033</v>
      </c>
      <c r="I3466" s="10">
        <v>5.0</v>
      </c>
      <c r="J3466" s="11" t="str">
        <f>IF(D3466&lt;&gt;"",VLOOKUP(H3466,TABLEITEM,5,FALSE),"")</f>
        <v>EA</v>
      </c>
      <c r="K3466" s="12">
        <v>75.6</v>
      </c>
      <c r="L3466" s="13" t="str">
        <f>IF(D3466&lt;&gt;"",VLOOKUP(H3466,TABLEITEM,2,FALSE),"")</f>
        <v/>
      </c>
      <c r="M3466" s="13" t="str">
        <f>IF(D3466&lt;&gt;"",VLOOKUP(H3466,TABLEITEM,3,FALSE),"")</f>
        <v>ดอกสว่าน นาซิ L/N 500 7.0มิล</v>
      </c>
      <c r="N3466" s="14">
        <f>INSTOCK!$I3466*INSTOCK!$K3466</f>
        <v>378</v>
      </c>
      <c r="O3466" s="4" t="s">
        <v>4580</v>
      </c>
      <c r="P3466" s="4"/>
    </row>
    <row r="3467" ht="15.75" hidden="1" customHeight="1">
      <c r="B3467" s="8">
        <v>3786.0</v>
      </c>
      <c r="C3467" s="9">
        <v>43229.0</v>
      </c>
      <c r="D3467" s="6">
        <v>2.210135024E9</v>
      </c>
      <c r="E3467" s="4">
        <v>6.105000548E9</v>
      </c>
      <c r="F3467" s="8" t="s">
        <v>604</v>
      </c>
      <c r="G3467" s="4" t="s">
        <v>4578</v>
      </c>
      <c r="H3467" s="10" t="s">
        <v>2587</v>
      </c>
      <c r="I3467" s="10">
        <v>5.0</v>
      </c>
      <c r="J3467" s="11" t="str">
        <f>IF(D3467&lt;&gt;"",VLOOKUP(H3467,TABLEITEM,5,FALSE),"")</f>
        <v>EA</v>
      </c>
      <c r="K3467" s="12">
        <v>157.5</v>
      </c>
      <c r="L3467" s="13" t="str">
        <f>IF(D3467&lt;&gt;"",VLOOKUP(H3467,TABLEITEM,2,FALSE),"")</f>
        <v/>
      </c>
      <c r="M3467" s="13" t="str">
        <f>IF(D3467&lt;&gt;"",VLOOKUP(H3467,TABLEITEM,3,FALSE),"")</f>
        <v>ดอกสว่านนาซิ L/N 500 10.0mm</v>
      </c>
      <c r="N3467" s="14">
        <f>INSTOCK!$I3467*INSTOCK!$K3467</f>
        <v>787.5</v>
      </c>
      <c r="O3467" s="4" t="s">
        <v>4581</v>
      </c>
      <c r="P3467" s="4"/>
    </row>
    <row r="3468" ht="15.75" hidden="1" customHeight="1">
      <c r="B3468" s="8">
        <v>3787.0</v>
      </c>
      <c r="C3468" s="9">
        <v>43228.0</v>
      </c>
      <c r="D3468" s="6" t="s">
        <v>4582</v>
      </c>
      <c r="E3468" s="4"/>
      <c r="F3468" s="8"/>
      <c r="G3468" s="4" t="s">
        <v>3058</v>
      </c>
      <c r="H3468" s="10" t="s">
        <v>4583</v>
      </c>
      <c r="I3468" s="10">
        <v>1.0</v>
      </c>
      <c r="J3468" s="11" t="str">
        <f>IF(D3468&lt;&gt;"",VLOOKUP(H3468,TABLEITEM,5,FALSE),"")</f>
        <v>คู่</v>
      </c>
      <c r="K3468" s="12">
        <v>500.0</v>
      </c>
      <c r="L3468" s="13" t="str">
        <f>IF(D3468&lt;&gt;"",VLOOKUP(H3468,TABLEITEM,2,FALSE),"")</f>
        <v/>
      </c>
      <c r="M3468" s="13" t="str">
        <f>IF(D3468&lt;&gt;"",VLOOKUP(H3468,TABLEITEM,3,FALSE),"")</f>
        <v>รองเท้าเซฟตี้ Perch รุ่น inov </v>
      </c>
      <c r="N3468" s="14">
        <f>INSTOCK!$I3468*INSTOCK!$K3468</f>
        <v>500</v>
      </c>
      <c r="O3468" s="4"/>
      <c r="P3468" s="4"/>
    </row>
    <row r="3469" ht="15.75" hidden="1" customHeight="1">
      <c r="B3469" s="8">
        <v>3788.0</v>
      </c>
      <c r="C3469" s="9">
        <v>43227.0</v>
      </c>
      <c r="D3469" s="6" t="s">
        <v>4584</v>
      </c>
      <c r="E3469" s="4">
        <v>6.105000537E9</v>
      </c>
      <c r="F3469" s="8" t="s">
        <v>604</v>
      </c>
      <c r="G3469" s="4" t="s">
        <v>1611</v>
      </c>
      <c r="H3469" s="10" t="s">
        <v>190</v>
      </c>
      <c r="I3469" s="10">
        <v>300.0</v>
      </c>
      <c r="J3469" s="11" t="str">
        <f>IF(D3469&lt;&gt;"",VLOOKUP(H3469,TABLEITEM,5,FALSE),"")</f>
        <v>EA</v>
      </c>
      <c r="K3469" s="12">
        <v>11.5</v>
      </c>
      <c r="L3469" s="13" t="str">
        <f>IF(D3469&lt;&gt;"",VLOOKUP(H3469,TABLEITEM,2,FALSE),"")</f>
        <v/>
      </c>
      <c r="M3469" s="13" t="str">
        <f>IF(D3469&lt;&gt;"",VLOOKUP(H3469,TABLEITEM,3,FALSE),"")</f>
        <v>TERMINAL BLOCK TX20</v>
      </c>
      <c r="N3469" s="14">
        <f>INSTOCK!$I3469*INSTOCK!$K3469</f>
        <v>3450</v>
      </c>
      <c r="O3469" s="4"/>
      <c r="P3469" s="4"/>
    </row>
    <row r="3470" ht="15.75" hidden="1" customHeight="1">
      <c r="B3470" s="8">
        <v>3789.0</v>
      </c>
      <c r="C3470" s="9">
        <v>43227.0</v>
      </c>
      <c r="D3470" s="6" t="s">
        <v>4584</v>
      </c>
      <c r="E3470" s="4">
        <v>6.105000537E9</v>
      </c>
      <c r="F3470" s="8" t="s">
        <v>604</v>
      </c>
      <c r="G3470" s="4" t="s">
        <v>1611</v>
      </c>
      <c r="H3470" s="10" t="s">
        <v>4585</v>
      </c>
      <c r="I3470" s="10">
        <v>100.0</v>
      </c>
      <c r="J3470" s="11" t="str">
        <f>IF(D3470&lt;&gt;"",VLOOKUP(H3470,TABLEITEM,5,FALSE),"")</f>
        <v>EA</v>
      </c>
      <c r="K3470" s="12">
        <v>190.0</v>
      </c>
      <c r="L3470" s="13" t="str">
        <f>IF(D3470&lt;&gt;"",VLOOKUP(H3470,TABLEITEM,2,FALSE),"")</f>
        <v/>
      </c>
      <c r="M3470" s="13" t="str">
        <f>IF(D3470&lt;&gt;"",VLOOKUP(H3470,TABLEITEM,3,FALSE),"")</f>
        <v>COVER TRB10N</v>
      </c>
      <c r="N3470" s="14">
        <f>INSTOCK!$I3470*INSTOCK!$K3470</f>
        <v>19000</v>
      </c>
      <c r="O3470" s="4"/>
      <c r="P3470" s="4"/>
    </row>
    <row r="3471" ht="15.75" hidden="1" customHeight="1">
      <c r="B3471" s="8">
        <v>3790.0</v>
      </c>
      <c r="C3471" s="9">
        <v>43227.0</v>
      </c>
      <c r="D3471" s="6">
        <v>81032.0</v>
      </c>
      <c r="E3471" s="4">
        <v>6.103000384E9</v>
      </c>
      <c r="F3471" s="8" t="s">
        <v>604</v>
      </c>
      <c r="G3471" s="4" t="s">
        <v>2589</v>
      </c>
      <c r="H3471" s="10" t="s">
        <v>2668</v>
      </c>
      <c r="I3471" s="10">
        <v>4800.0</v>
      </c>
      <c r="J3471" s="11" t="str">
        <f>IF(D3471&lt;&gt;"",VLOOKUP(H3471,TABLEITEM,5,FALSE),"")</f>
        <v>EA</v>
      </c>
      <c r="K3471" s="12">
        <v>1.15</v>
      </c>
      <c r="L3471" s="13" t="str">
        <f>IF(D3471&lt;&gt;"",VLOOKUP(H3471,TABLEITEM,2,FALSE),"")</f>
        <v/>
      </c>
      <c r="M3471" s="13" t="str">
        <f>IF(D3471&lt;&gt;"",VLOOKUP(H3471,TABLEITEM,3,FALSE),"")</f>
        <v>สตัด M5x10</v>
      </c>
      <c r="N3471" s="14">
        <f>INSTOCK!$I3471*INSTOCK!$K3471</f>
        <v>5520</v>
      </c>
      <c r="O3471" s="4"/>
      <c r="P3471" s="4"/>
    </row>
    <row r="3472" ht="15.75" hidden="1" customHeight="1">
      <c r="B3472" s="8">
        <v>3791.0</v>
      </c>
      <c r="C3472" s="9">
        <v>43225.0</v>
      </c>
      <c r="D3472" s="6" t="s">
        <v>4586</v>
      </c>
      <c r="E3472" s="4"/>
      <c r="F3472" s="8" t="s">
        <v>633</v>
      </c>
      <c r="G3472" s="4" t="s">
        <v>2593</v>
      </c>
      <c r="H3472" s="10" t="s">
        <v>4587</v>
      </c>
      <c r="I3472" s="10">
        <v>2.0</v>
      </c>
      <c r="J3472" s="11" t="str">
        <f>IF(D3472&lt;&gt;"",VLOOKUP(H3472,TABLEITEM,5,FALSE),"")</f>
        <v>EA</v>
      </c>
      <c r="K3472" s="12">
        <v>112.0</v>
      </c>
      <c r="L3472" s="13" t="str">
        <f>IF(D3472&lt;&gt;"",VLOOKUP(H3472,TABLEITEM,2,FALSE),"")</f>
        <v/>
      </c>
      <c r="M3472" s="13" t="str">
        <f>IF(D3472&lt;&gt;"",VLOOKUP(H3472,TABLEITEM,3,FALSE),"")</f>
        <v>ปูนทีพีไอ แดง</v>
      </c>
      <c r="N3472" s="14">
        <f>INSTOCK!$I3472*INSTOCK!$K3472</f>
        <v>224</v>
      </c>
      <c r="O3472" s="4"/>
      <c r="P3472" s="4"/>
    </row>
    <row r="3473" ht="15.75" hidden="1" customHeight="1">
      <c r="B3473" s="8">
        <v>3792.0</v>
      </c>
      <c r="C3473" s="9">
        <v>43225.0</v>
      </c>
      <c r="D3473" s="6" t="s">
        <v>4586</v>
      </c>
      <c r="E3473" s="4"/>
      <c r="F3473" s="8" t="s">
        <v>633</v>
      </c>
      <c r="G3473" s="4" t="s">
        <v>2593</v>
      </c>
      <c r="H3473" s="10" t="s">
        <v>2594</v>
      </c>
      <c r="I3473" s="10">
        <v>14.0</v>
      </c>
      <c r="J3473" s="11" t="str">
        <f>IF(D3473&lt;&gt;"",VLOOKUP(H3473,TABLEITEM,5,FALSE),"")</f>
        <v>EA</v>
      </c>
      <c r="K3473" s="12">
        <v>39.0</v>
      </c>
      <c r="L3473" s="13" t="str">
        <f>IF(D3473&lt;&gt;"",VLOOKUP(H3473,TABLEITEM,2,FALSE),"")</f>
        <v/>
      </c>
      <c r="M3473" s="13" t="str">
        <f>IF(D3473&lt;&gt;"",VLOOKUP(H3473,TABLEITEM,3,FALSE),"")</f>
        <v>ทรายหยาบ</v>
      </c>
      <c r="N3473" s="14">
        <f>INSTOCK!$I3473*INSTOCK!$K3473</f>
        <v>546</v>
      </c>
      <c r="O3473" s="4"/>
      <c r="P3473" s="4"/>
    </row>
    <row r="3474" ht="15.75" hidden="1" customHeight="1">
      <c r="B3474" s="8">
        <v>3793.0</v>
      </c>
      <c r="C3474" s="9">
        <v>43225.0</v>
      </c>
      <c r="D3474" s="6" t="s">
        <v>4588</v>
      </c>
      <c r="E3474" s="4"/>
      <c r="F3474" s="8" t="s">
        <v>4589</v>
      </c>
      <c r="G3474" s="4" t="s">
        <v>2162</v>
      </c>
      <c r="H3474" s="18" t="s">
        <v>4333</v>
      </c>
      <c r="I3474" s="10">
        <v>4.0</v>
      </c>
      <c r="J3474" s="11" t="str">
        <f>IF(D3474&lt;&gt;"",VLOOKUP(H3474,TABLEITEM,5,FALSE),"")</f>
        <v>EA</v>
      </c>
      <c r="K3474" s="12">
        <v>310.0</v>
      </c>
      <c r="L3474" s="13" t="str">
        <f>IF(D3474&lt;&gt;"",VLOOKUP(H3474,TABLEITEM,2,FALSE),"")</f>
        <v/>
      </c>
      <c r="M3474" s="13" t="str">
        <f>IF(D3474&lt;&gt;"",VLOOKUP(H3474,TABLEITEM,3,FALSE),"")</f>
        <v>ล้อไนล่อน 3" หน้ายาง 32 โครงปั้มมีเบรค ล้อเป็น</v>
      </c>
      <c r="N3474" s="14">
        <f>INSTOCK!$I3474*INSTOCK!$K3474</f>
        <v>1240</v>
      </c>
      <c r="O3474" s="4"/>
      <c r="P3474" s="4"/>
    </row>
    <row r="3475" ht="15.75" hidden="1" customHeight="1">
      <c r="B3475" s="8">
        <v>3794.0</v>
      </c>
      <c r="C3475" s="9">
        <v>43224.0</v>
      </c>
      <c r="D3475" s="6" t="s">
        <v>4590</v>
      </c>
      <c r="E3475" s="4">
        <v>6.105000535E9</v>
      </c>
      <c r="F3475" s="8" t="s">
        <v>4591</v>
      </c>
      <c r="G3475" s="4" t="s">
        <v>1923</v>
      </c>
      <c r="H3475" s="10" t="s">
        <v>1924</v>
      </c>
      <c r="I3475" s="10">
        <v>10.0</v>
      </c>
      <c r="J3475" s="11" t="str">
        <f>IF(D3475&lt;&gt;"",VLOOKUP(H3475,TABLEITEM,5,FALSE),"")</f>
        <v>EA</v>
      </c>
      <c r="K3475" s="12">
        <v>141.3</v>
      </c>
      <c r="L3475" s="13" t="str">
        <f>IF(D3475&lt;&gt;"",VLOOKUP(H3475,TABLEITEM,2,FALSE),"")</f>
        <v/>
      </c>
      <c r="M3475" s="13" t="str">
        <f>IF(D3475&lt;&gt;"",VLOOKUP(H3475,TABLEITEM,3,FALSE),"")</f>
        <v>ล้อเป็น 3" M 03S 075DSWPP</v>
      </c>
      <c r="N3475" s="14">
        <f>INSTOCK!$I3475*INSTOCK!$K3475</f>
        <v>1413</v>
      </c>
      <c r="O3475" s="4"/>
      <c r="P3475" s="4"/>
    </row>
    <row r="3476" ht="15.75" hidden="1" customHeight="1">
      <c r="B3476" s="8">
        <v>3795.0</v>
      </c>
      <c r="C3476" s="9">
        <v>43224.0</v>
      </c>
      <c r="D3476" s="6" t="s">
        <v>4592</v>
      </c>
      <c r="E3476" s="4">
        <v>6.105000539E9</v>
      </c>
      <c r="F3476" s="8" t="s">
        <v>4593</v>
      </c>
      <c r="G3476" s="4" t="s">
        <v>1485</v>
      </c>
      <c r="H3476" s="10" t="s">
        <v>2157</v>
      </c>
      <c r="I3476" s="10">
        <v>20.0</v>
      </c>
      <c r="J3476" s="11" t="str">
        <f>IF(D3476&lt;&gt;"",VLOOKUP(H3476,TABLEITEM,5,FALSE),"")</f>
        <v>EA</v>
      </c>
      <c r="K3476" s="12">
        <v>85.8</v>
      </c>
      <c r="L3476" s="13" t="str">
        <f>IF(D3476&lt;&gt;"",VLOOKUP(H3476,TABLEITEM,2,FALSE),"")</f>
        <v/>
      </c>
      <c r="M3476" s="13" t="str">
        <f>IF(D3476&lt;&gt;"",VLOOKUP(H3476,TABLEITEM,3,FALSE),"")</f>
        <v>PILOT LIGHT LED 240V YELLOW</v>
      </c>
      <c r="N3476" s="14">
        <f>INSTOCK!$I3476*INSTOCK!$K3476</f>
        <v>1716</v>
      </c>
      <c r="O3476" s="4"/>
      <c r="P3476" s="4"/>
    </row>
    <row r="3477" ht="15.75" hidden="1" customHeight="1">
      <c r="B3477" s="8">
        <v>3796.0</v>
      </c>
      <c r="C3477" s="9">
        <v>43224.0</v>
      </c>
      <c r="D3477" s="6" t="s">
        <v>4592</v>
      </c>
      <c r="E3477" s="4">
        <v>6.105000539E9</v>
      </c>
      <c r="F3477" s="8" t="s">
        <v>4593</v>
      </c>
      <c r="G3477" s="4" t="s">
        <v>1485</v>
      </c>
      <c r="H3477" s="10" t="s">
        <v>4342</v>
      </c>
      <c r="I3477" s="10">
        <v>5.0</v>
      </c>
      <c r="J3477" s="11" t="str">
        <f>IF(D3477&lt;&gt;"",VLOOKUP(H3477,TABLEITEM,5,FALSE),"")</f>
        <v>EA</v>
      </c>
      <c r="K3477" s="12">
        <v>330.0</v>
      </c>
      <c r="L3477" s="13" t="str">
        <f>IF(D3477&lt;&gt;"",VLOOKUP(H3477,TABLEITEM,2,FALSE),"")</f>
        <v/>
      </c>
      <c r="M3477" s="13" t="str">
        <f>IF(D3477&lt;&gt;"",VLOOKUP(H3477,TABLEITEM,3,FALSE),"")</f>
        <v>PUSHBUTTON XB4BS844</v>
      </c>
      <c r="N3477" s="14">
        <f>INSTOCK!$I3477*INSTOCK!$K3477</f>
        <v>1650</v>
      </c>
      <c r="O3477" s="4"/>
      <c r="P3477" s="4"/>
    </row>
    <row r="3478" ht="15.75" hidden="1" customHeight="1">
      <c r="B3478" s="8">
        <v>3797.0</v>
      </c>
      <c r="C3478" s="9">
        <v>43223.0</v>
      </c>
      <c r="D3478" s="6" t="s">
        <v>4594</v>
      </c>
      <c r="E3478" s="4">
        <v>6.104000514E9</v>
      </c>
      <c r="F3478" s="8" t="s">
        <v>604</v>
      </c>
      <c r="G3478" s="4" t="s">
        <v>965</v>
      </c>
      <c r="H3478" s="10" t="s">
        <v>40</v>
      </c>
      <c r="I3478" s="10">
        <v>30.0</v>
      </c>
      <c r="J3478" s="11" t="str">
        <f>IF(D3478&lt;&gt;"",VLOOKUP(H3478,TABLEITEM,5,FALSE),"")</f>
        <v>EA</v>
      </c>
      <c r="K3478" s="12">
        <v>8.0</v>
      </c>
      <c r="L3478" s="13" t="str">
        <f>IF(D3478&lt;&gt;"",VLOOKUP(H3478,TABLEITEM,2,FALSE),"")</f>
        <v/>
      </c>
      <c r="M3478" s="13" t="str">
        <f>IF(D3478&lt;&gt;"",VLOOKUP(H3478,TABLEITEM,3,FALSE),"")</f>
        <v>กระจกดำ#11</v>
      </c>
      <c r="N3478" s="14">
        <f>INSTOCK!$I3478*INSTOCK!$K3478</f>
        <v>240</v>
      </c>
      <c r="O3478" s="4"/>
      <c r="P3478" s="4"/>
    </row>
    <row r="3479" ht="15.75" hidden="1" customHeight="1">
      <c r="B3479" s="8">
        <v>3798.0</v>
      </c>
      <c r="C3479" s="9">
        <v>43223.0</v>
      </c>
      <c r="D3479" s="6" t="s">
        <v>4594</v>
      </c>
      <c r="E3479" s="4">
        <v>6.104000514E9</v>
      </c>
      <c r="F3479" s="8" t="s">
        <v>604</v>
      </c>
      <c r="G3479" s="4" t="s">
        <v>965</v>
      </c>
      <c r="H3479" s="10" t="s">
        <v>38</v>
      </c>
      <c r="I3479" s="10">
        <v>200.0</v>
      </c>
      <c r="J3479" s="11" t="str">
        <f>IF(D3479&lt;&gt;"",VLOOKUP(H3479,TABLEITEM,5,FALSE),"")</f>
        <v>EA</v>
      </c>
      <c r="K3479" s="12">
        <v>2.0</v>
      </c>
      <c r="L3479" s="13" t="str">
        <f>IF(D3479&lt;&gt;"",VLOOKUP(H3479,TABLEITEM,2,FALSE),"")</f>
        <v/>
      </c>
      <c r="M3479" s="13" t="str">
        <f>IF(D3479&lt;&gt;"",VLOOKUP(H3479,TABLEITEM,3,FALSE),"")</f>
        <v>กระจกใส</v>
      </c>
      <c r="N3479" s="14">
        <f>INSTOCK!$I3479*INSTOCK!$K3479</f>
        <v>400</v>
      </c>
      <c r="O3479" s="4"/>
      <c r="P3479" s="4"/>
    </row>
    <row r="3480" ht="15.75" hidden="1" customHeight="1">
      <c r="B3480" s="8">
        <v>3799.0</v>
      </c>
      <c r="C3480" s="9">
        <v>43223.0</v>
      </c>
      <c r="D3480" s="6" t="s">
        <v>4594</v>
      </c>
      <c r="E3480" s="4">
        <v>6.104000514E9</v>
      </c>
      <c r="F3480" s="8" t="s">
        <v>604</v>
      </c>
      <c r="G3480" s="4" t="s">
        <v>965</v>
      </c>
      <c r="H3480" s="10" t="s">
        <v>2152</v>
      </c>
      <c r="I3480" s="10">
        <v>10.0</v>
      </c>
      <c r="J3480" s="11" t="str">
        <f>IF(D3480&lt;&gt;"",VLOOKUP(H3480,TABLEITEM,5,FALSE),"")</f>
        <v>EA</v>
      </c>
      <c r="K3480" s="12">
        <v>30.0</v>
      </c>
      <c r="L3480" s="13" t="str">
        <f>IF(D3480&lt;&gt;"",VLOOKUP(H3480,TABLEITEM,2,FALSE),"")</f>
        <v/>
      </c>
      <c r="M3480" s="13" t="str">
        <f>IF(D3480&lt;&gt;"",VLOOKUP(H3480,TABLEITEM,3,FALSE),"")</f>
        <v>ไม้กวาดดอกหญ้า</v>
      </c>
      <c r="N3480" s="14">
        <f>INSTOCK!$I3480*INSTOCK!$K3480</f>
        <v>300</v>
      </c>
      <c r="O3480" s="4"/>
      <c r="P3480" s="4"/>
    </row>
    <row r="3481" ht="15.75" hidden="1" customHeight="1">
      <c r="B3481" s="8">
        <v>3800.0</v>
      </c>
      <c r="C3481" s="9">
        <v>43223.0</v>
      </c>
      <c r="D3481" s="6" t="s">
        <v>4594</v>
      </c>
      <c r="E3481" s="4">
        <v>6.104000514E9</v>
      </c>
      <c r="F3481" s="8" t="s">
        <v>604</v>
      </c>
      <c r="G3481" s="4" t="s">
        <v>965</v>
      </c>
      <c r="H3481" s="10" t="s">
        <v>4595</v>
      </c>
      <c r="I3481" s="10">
        <v>4.0</v>
      </c>
      <c r="J3481" s="11" t="str">
        <f>IF(D3481&lt;&gt;"",VLOOKUP(H3481,TABLEITEM,5,FALSE),"")</f>
        <v>EA</v>
      </c>
      <c r="K3481" s="12">
        <v>4.0</v>
      </c>
      <c r="L3481" s="13" t="str">
        <f>IF(D3481&lt;&gt;"",VLOOKUP(H3481,TABLEITEM,2,FALSE),"")</f>
        <v/>
      </c>
      <c r="M3481" s="13" t="str">
        <f>IF(D3481&lt;&gt;"",VLOOKUP(H3481,TABLEITEM,3,FALSE),"")</f>
        <v>ยูโบล์ท 3/4"</v>
      </c>
      <c r="N3481" s="14">
        <f>INSTOCK!$I3481*INSTOCK!$K3481</f>
        <v>16</v>
      </c>
      <c r="O3481" s="4"/>
      <c r="P3481" s="4"/>
    </row>
    <row r="3482" ht="15.75" hidden="1" customHeight="1">
      <c r="B3482" s="8">
        <v>3801.0</v>
      </c>
      <c r="C3482" s="9">
        <v>43223.0</v>
      </c>
      <c r="D3482" s="6" t="s">
        <v>4596</v>
      </c>
      <c r="E3482" s="4">
        <v>6.105000538E9</v>
      </c>
      <c r="F3482" s="8" t="s">
        <v>604</v>
      </c>
      <c r="G3482" s="4" t="s">
        <v>3541</v>
      </c>
      <c r="H3482" s="10" t="s">
        <v>1894</v>
      </c>
      <c r="I3482" s="10">
        <v>100.0</v>
      </c>
      <c r="J3482" s="11" t="str">
        <f>IF(D3482&lt;&gt;"",VLOOKUP(H3482,TABLEITEM,5,FALSE),"")</f>
        <v>EA</v>
      </c>
      <c r="K3482" s="12">
        <v>70.0</v>
      </c>
      <c r="L3482" s="13" t="str">
        <f>IF(D3482&lt;&gt;"",VLOOKUP(H3482,TABLEITEM,2,FALSE),"")</f>
        <v/>
      </c>
      <c r="M3482" s="13" t="str">
        <f>IF(D3482&lt;&gt;"",VLOOKUP(H3482,TABLEITEM,3,FALSE),"")</f>
        <v>FUSE CONTROL 1P 10x38 4A</v>
      </c>
      <c r="N3482" s="14">
        <f>INSTOCK!$I3482*INSTOCK!$K3482</f>
        <v>7000</v>
      </c>
      <c r="O3482" s="4"/>
      <c r="P3482" s="4"/>
    </row>
    <row r="3483" ht="15.75" hidden="1" customHeight="1">
      <c r="B3483" s="8">
        <v>3802.0</v>
      </c>
      <c r="C3483" s="9">
        <v>43223.0</v>
      </c>
      <c r="D3483" s="6">
        <v>6.10501145E8</v>
      </c>
      <c r="E3483" s="4">
        <v>6.10500054E9</v>
      </c>
      <c r="F3483" s="8"/>
      <c r="G3483" s="4" t="s">
        <v>1130</v>
      </c>
      <c r="H3483" s="10" t="s">
        <v>3116</v>
      </c>
      <c r="I3483" s="10">
        <v>3.0</v>
      </c>
      <c r="J3483" s="11" t="str">
        <f>IF(D3483&lt;&gt;"",VLOOKUP(H3483,TABLEITEM,5,FALSE),"")</f>
        <v>EA</v>
      </c>
      <c r="K3483" s="12">
        <v>121.123</v>
      </c>
      <c r="L3483" s="13" t="str">
        <f>IF(D3483&lt;&gt;"",VLOOKUP(H3483,TABLEITEM,2,FALSE),"")</f>
        <v/>
      </c>
      <c r="M3483" s="13" t="str">
        <f>IF(D3483&lt;&gt;"",VLOOKUP(H3483,TABLEITEM,3,FALSE),"")</f>
        <v>CT100/5 MSQ40</v>
      </c>
      <c r="N3483" s="14">
        <f>INSTOCK!$I3483*INSTOCK!$K3483</f>
        <v>363.369</v>
      </c>
      <c r="O3483" s="4" t="s">
        <v>1898</v>
      </c>
      <c r="P3483" s="4"/>
    </row>
    <row r="3484" ht="15.75" hidden="1" customHeight="1">
      <c r="B3484" s="8">
        <v>3803.0</v>
      </c>
      <c r="C3484" s="9">
        <v>43223.0</v>
      </c>
      <c r="D3484" s="6">
        <v>6.10501145E8</v>
      </c>
      <c r="E3484" s="4">
        <v>6.10500054E9</v>
      </c>
      <c r="F3484" s="8"/>
      <c r="G3484" s="4" t="s">
        <v>1130</v>
      </c>
      <c r="H3484" s="10" t="s">
        <v>4338</v>
      </c>
      <c r="I3484" s="10">
        <v>10.0</v>
      </c>
      <c r="J3484" s="11" t="str">
        <f>IF(D3484&lt;&gt;"",VLOOKUP(H3484,TABLEITEM,5,FALSE),"")</f>
        <v>EA</v>
      </c>
      <c r="K3484" s="12">
        <v>114.0</v>
      </c>
      <c r="L3484" s="13" t="str">
        <f>IF(D3484&lt;&gt;"",VLOOKUP(H3484,TABLEITEM,2,FALSE),"")</f>
        <v/>
      </c>
      <c r="M3484" s="13" t="str">
        <f>IF(D3484&lt;&gt;"",VLOOKUP(H3484,TABLEITEM,3,FALSE),"")</f>
        <v>ไมโครสวิทซ์ TM1307</v>
      </c>
      <c r="N3484" s="14">
        <f>INSTOCK!$I3484*INSTOCK!$K3484</f>
        <v>1140</v>
      </c>
      <c r="O3484" s="4" t="s">
        <v>4339</v>
      </c>
      <c r="P3484" s="4"/>
    </row>
    <row r="3485" ht="15.75" hidden="1" customHeight="1">
      <c r="B3485" s="8">
        <v>3804.0</v>
      </c>
      <c r="C3485" s="9">
        <v>43223.0</v>
      </c>
      <c r="D3485" s="6">
        <v>6.10501145E8</v>
      </c>
      <c r="E3485" s="4">
        <v>6.10500054E9</v>
      </c>
      <c r="F3485" s="8"/>
      <c r="G3485" s="4" t="s">
        <v>1130</v>
      </c>
      <c r="H3485" s="10" t="s">
        <v>4336</v>
      </c>
      <c r="I3485" s="10">
        <v>7.0</v>
      </c>
      <c r="J3485" s="11" t="str">
        <f>IF(D3485&lt;&gt;"",VLOOKUP(H3485,TABLEITEM,5,FALSE),"")</f>
        <v>EA</v>
      </c>
      <c r="K3485" s="12">
        <v>328.1229</v>
      </c>
      <c r="L3485" s="13" t="str">
        <f>IF(D3485&lt;&gt;"",VLOOKUP(H3485,TABLEITEM,2,FALSE),"")</f>
        <v/>
      </c>
      <c r="M3485" s="13" t="str">
        <f>IF(D3485&lt;&gt;"",VLOOKUP(H3485,TABLEITEM,3,FALSE),"")</f>
        <v>SWITCH V-153-1C25 </v>
      </c>
      <c r="N3485" s="14">
        <f>INSTOCK!$I3485*INSTOCK!$K3485</f>
        <v>2296.8603</v>
      </c>
      <c r="O3485" s="4" t="s">
        <v>4597</v>
      </c>
      <c r="P3485" s="4"/>
    </row>
    <row r="3486" ht="15.75" hidden="1" customHeight="1">
      <c r="B3486" s="8">
        <v>3805.0</v>
      </c>
      <c r="C3486" s="9">
        <v>43223.0</v>
      </c>
      <c r="D3486" s="6">
        <v>6.10501145E8</v>
      </c>
      <c r="E3486" s="4">
        <v>6.10500054E9</v>
      </c>
      <c r="F3486" s="8"/>
      <c r="G3486" s="4" t="s">
        <v>1130</v>
      </c>
      <c r="H3486" s="10" t="s">
        <v>1931</v>
      </c>
      <c r="I3486" s="10">
        <v>10.0</v>
      </c>
      <c r="J3486" s="11" t="str">
        <f>IF(D3486&lt;&gt;"",VLOOKUP(H3486,TABLEITEM,5,FALSE),"")</f>
        <v>EA</v>
      </c>
      <c r="K3486" s="12">
        <v>21.6</v>
      </c>
      <c r="L3486" s="13" t="str">
        <f>IF(D3486&lt;&gt;"",VLOOKUP(H3486,TABLEITEM,2,FALSE),"")</f>
        <v/>
      </c>
      <c r="M3486" s="13" t="str">
        <f>IF(D3486&lt;&gt;"",VLOOKUP(H3486,TABLEITEM,3,FALSE),"")</f>
        <v>ปลอกหุ้มไมโคร TAP-Z</v>
      </c>
      <c r="N3486" s="14">
        <f>INSTOCK!$I3486*INSTOCK!$K3486</f>
        <v>216</v>
      </c>
      <c r="O3486" s="4" t="s">
        <v>1932</v>
      </c>
      <c r="P3486" s="4"/>
    </row>
    <row r="3487" ht="15.75" hidden="1" customHeight="1">
      <c r="B3487" s="8">
        <v>3806.0</v>
      </c>
      <c r="C3487" s="9">
        <v>43223.0</v>
      </c>
      <c r="D3487" s="6" t="s">
        <v>4598</v>
      </c>
      <c r="E3487" s="4">
        <v>6.10500053E9</v>
      </c>
      <c r="F3487" s="8" t="s">
        <v>604</v>
      </c>
      <c r="G3487" s="4" t="s">
        <v>1671</v>
      </c>
      <c r="H3487" s="10" t="s">
        <v>1672</v>
      </c>
      <c r="I3487" s="10">
        <v>20.0</v>
      </c>
      <c r="J3487" s="11" t="str">
        <f>IF(D3487&lt;&gt;"",VLOOKUP(H3487,TABLEITEM,5,FALSE),"")</f>
        <v>SET</v>
      </c>
      <c r="K3487" s="12">
        <v>150.0</v>
      </c>
      <c r="L3487" s="13" t="str">
        <f>IF(D3487&lt;&gt;"",VLOOKUP(H3487,TABLEITEM,2,FALSE),"")</f>
        <v/>
      </c>
      <c r="M3487" s="13" t="str">
        <f>IF(D3487&lt;&gt;"",VLOOKUP(H3487,TABLEITEM,3,FALSE),"")</f>
        <v>แปรงถ่าน BOSCH GWS 7-100</v>
      </c>
      <c r="N3487" s="14">
        <f>INSTOCK!$I3487*INSTOCK!$K3487</f>
        <v>3000</v>
      </c>
      <c r="O3487" s="4"/>
      <c r="P3487" s="4"/>
    </row>
    <row r="3488" ht="15.75" hidden="1" customHeight="1">
      <c r="B3488" s="8">
        <v>3807.0</v>
      </c>
      <c r="C3488" s="9">
        <v>43223.0</v>
      </c>
      <c r="D3488" s="6" t="s">
        <v>4599</v>
      </c>
      <c r="E3488" s="4">
        <v>6.104000519E9</v>
      </c>
      <c r="F3488" s="8" t="s">
        <v>604</v>
      </c>
      <c r="G3488" s="4" t="s">
        <v>1777</v>
      </c>
      <c r="H3488" s="10" t="s">
        <v>2400</v>
      </c>
      <c r="I3488" s="10">
        <v>4000.0</v>
      </c>
      <c r="J3488" s="11" t="str">
        <f>IF(D3488&lt;&gt;"",VLOOKUP(H3488,TABLEITEM,5,FALSE),"")</f>
        <v>EA</v>
      </c>
      <c r="K3488" s="12">
        <v>0.216</v>
      </c>
      <c r="L3488" s="13" t="str">
        <f>IF(D3488&lt;&gt;"",VLOOKUP(H3488,TABLEITEM,2,FALSE),"")</f>
        <v/>
      </c>
      <c r="M3488" s="13" t="str">
        <f>IF(D3488&lt;&gt;"",VLOOKUP(H3488,TABLEITEM,3,FALSE),"")</f>
        <v>สกรูหัวหมวก  M6x10</v>
      </c>
      <c r="N3488" s="14">
        <f>INSTOCK!$I3488*INSTOCK!$K3488</f>
        <v>864</v>
      </c>
      <c r="O3488" s="4" t="s">
        <v>2401</v>
      </c>
      <c r="P3488" s="4"/>
    </row>
    <row r="3489" ht="15.75" hidden="1" customHeight="1">
      <c r="B3489" s="8">
        <v>3808.0</v>
      </c>
      <c r="C3489" s="9">
        <v>43223.0</v>
      </c>
      <c r="D3489" s="6" t="s">
        <v>4599</v>
      </c>
      <c r="E3489" s="4">
        <v>6.104000519E9</v>
      </c>
      <c r="F3489" s="8" t="s">
        <v>604</v>
      </c>
      <c r="G3489" s="4" t="s">
        <v>1777</v>
      </c>
      <c r="H3489" s="10" t="s">
        <v>4322</v>
      </c>
      <c r="I3489" s="10">
        <v>200.0</v>
      </c>
      <c r="J3489" s="11" t="str">
        <f>IF(D3489&lt;&gt;"",VLOOKUP(H3489,TABLEITEM,5,FALSE),"")</f>
        <v>EA</v>
      </c>
      <c r="K3489" s="12">
        <v>5.25</v>
      </c>
      <c r="L3489" s="13" t="str">
        <f>IF(D3489&lt;&gt;"",VLOOKUP(H3489,TABLEITEM,2,FALSE),"")</f>
        <v/>
      </c>
      <c r="M3489" s="13" t="str">
        <f>IF(D3489&lt;&gt;"",VLOOKUP(H3489,TABLEITEM,3,FALSE),"")</f>
        <v>สกรูหัวจม M10x45 ชุบขาว</v>
      </c>
      <c r="N3489" s="14">
        <f>INSTOCK!$I3489*INSTOCK!$K3489</f>
        <v>1050</v>
      </c>
      <c r="O3489" s="4" t="s">
        <v>4323</v>
      </c>
      <c r="P3489" s="4"/>
    </row>
    <row r="3490" ht="15.75" hidden="1" customHeight="1">
      <c r="B3490" s="8">
        <v>3809.0</v>
      </c>
      <c r="C3490" s="9">
        <v>43223.0</v>
      </c>
      <c r="D3490" s="6" t="s">
        <v>4599</v>
      </c>
      <c r="E3490" s="4">
        <v>6.104000519E9</v>
      </c>
      <c r="F3490" s="8" t="s">
        <v>604</v>
      </c>
      <c r="G3490" s="4" t="s">
        <v>1777</v>
      </c>
      <c r="H3490" s="10" t="s">
        <v>3935</v>
      </c>
      <c r="I3490" s="10">
        <v>500.0</v>
      </c>
      <c r="J3490" s="11" t="str">
        <f>IF(D3490&lt;&gt;"",VLOOKUP(H3490,TABLEITEM,5,FALSE),"")</f>
        <v>EA</v>
      </c>
      <c r="K3490" s="12">
        <v>1.05</v>
      </c>
      <c r="L3490" s="13" t="str">
        <f>IF(D3490&lt;&gt;"",VLOOKUP(H3490,TABLEITEM,2,FALSE),"")</f>
        <v/>
      </c>
      <c r="M3490" s="13" t="str">
        <f>IF(D3490&lt;&gt;"",VLOOKUP(H3490,TABLEITEM,3,FALSE),"")</f>
        <v>สกรูหัวจมชุบรุ้ง M5x15</v>
      </c>
      <c r="N3490" s="14">
        <f>INSTOCK!$I3490*INSTOCK!$K3490</f>
        <v>525</v>
      </c>
      <c r="O3490" s="4" t="s">
        <v>3939</v>
      </c>
      <c r="P3490" s="4"/>
    </row>
    <row r="3491" ht="15.75" hidden="1" customHeight="1">
      <c r="B3491" s="8">
        <v>3810.0</v>
      </c>
      <c r="C3491" s="9">
        <v>43223.0</v>
      </c>
      <c r="D3491" s="6">
        <v>81005.0</v>
      </c>
      <c r="E3491" s="4">
        <v>6.105000532E9</v>
      </c>
      <c r="F3491" s="8" t="s">
        <v>604</v>
      </c>
      <c r="G3491" s="4" t="s">
        <v>2589</v>
      </c>
      <c r="H3491" s="10" t="s">
        <v>2446</v>
      </c>
      <c r="I3491" s="10">
        <v>1000.0</v>
      </c>
      <c r="J3491" s="11" t="str">
        <f>IF(D3491&lt;&gt;"",VLOOKUP(H3491,TABLEITEM,5,FALSE),"")</f>
        <v>EA</v>
      </c>
      <c r="K3491" s="12">
        <v>1.28</v>
      </c>
      <c r="L3491" s="13" t="str">
        <f>IF(D3491&lt;&gt;"",VLOOKUP(H3491,TABLEITEM,2,FALSE),"")</f>
        <v/>
      </c>
      <c r="M3491" s="13" t="str">
        <f>IF(D3491&lt;&gt;"",VLOOKUP(H3491,TABLEITEM,3,FALSE),"")</f>
        <v>สตัด M4x10</v>
      </c>
      <c r="N3491" s="14">
        <f>INSTOCK!$I3491*INSTOCK!$K3491</f>
        <v>1280</v>
      </c>
      <c r="O3491" s="4"/>
      <c r="P3491" s="4"/>
    </row>
    <row r="3492" ht="15.75" hidden="1" customHeight="1">
      <c r="B3492" s="8">
        <v>3811.0</v>
      </c>
      <c r="C3492" s="9">
        <v>43222.0</v>
      </c>
      <c r="D3492" s="6" t="s">
        <v>4600</v>
      </c>
      <c r="E3492" s="4">
        <v>6.105000529E9</v>
      </c>
      <c r="F3492" s="8" t="s">
        <v>604</v>
      </c>
      <c r="G3492" s="4" t="s">
        <v>2144</v>
      </c>
      <c r="H3492" s="10" t="s">
        <v>4601</v>
      </c>
      <c r="I3492" s="10">
        <v>24.0</v>
      </c>
      <c r="J3492" s="11" t="str">
        <f>IF(D3492&lt;&gt;"",VLOOKUP(H3492,TABLEITEM,5,FALSE),"")</f>
        <v>EA</v>
      </c>
      <c r="K3492" s="12">
        <v>127.4</v>
      </c>
      <c r="L3492" s="13" t="str">
        <f>IF(D3492&lt;&gt;"",VLOOKUP(H3492,TABLEITEM,2,FALSE),"")</f>
        <v/>
      </c>
      <c r="M3492" s="13" t="str">
        <f>IF(D3492&lt;&gt;"",VLOOKUP(H3492,TABLEITEM,3,FALSE),"")</f>
        <v>ช่องลมสีดำ</v>
      </c>
      <c r="N3492" s="14">
        <f>INSTOCK!$I3492*INSTOCK!$K3492</f>
        <v>3057.6</v>
      </c>
      <c r="O3492" s="4" t="s">
        <v>2146</v>
      </c>
      <c r="P3492" s="4"/>
    </row>
    <row r="3493" ht="15.75" hidden="1" customHeight="1">
      <c r="B3493" s="8">
        <v>3812.0</v>
      </c>
      <c r="C3493" s="9">
        <v>43222.0</v>
      </c>
      <c r="D3493" s="6">
        <v>6105038.0</v>
      </c>
      <c r="E3493" s="4">
        <v>6.104000523E9</v>
      </c>
      <c r="F3493" s="8" t="s">
        <v>604</v>
      </c>
      <c r="G3493" s="4" t="s">
        <v>1100</v>
      </c>
      <c r="H3493" s="10" t="s">
        <v>356</v>
      </c>
      <c r="I3493" s="10">
        <v>300.0</v>
      </c>
      <c r="J3493" s="11" t="str">
        <f>IF(D3493&lt;&gt;"",VLOOKUP(H3493,TABLEITEM,5,FALSE),"")</f>
        <v>EA</v>
      </c>
      <c r="K3493" s="12">
        <v>0.216</v>
      </c>
      <c r="L3493" s="13" t="str">
        <f>IF(D3493&lt;&gt;"",VLOOKUP(H3493,TABLEITEM,2,FALSE),"")</f>
        <v/>
      </c>
      <c r="M3493" s="13" t="str">
        <f>IF(D3493&lt;&gt;"",VLOOKUP(H3493,TABLEITEM,3,FALSE),"")</f>
        <v>ปลอกหุ้มหางปลา V-2 สีดำ</v>
      </c>
      <c r="N3493" s="14">
        <f>INSTOCK!$I3493*INSTOCK!$K3493</f>
        <v>64.8</v>
      </c>
      <c r="O3493" s="4"/>
      <c r="P3493" s="4"/>
    </row>
    <row r="3494" ht="15.75" hidden="1" customHeight="1">
      <c r="B3494" s="8">
        <v>3813.0</v>
      </c>
      <c r="C3494" s="9">
        <v>43222.0</v>
      </c>
      <c r="D3494" s="6">
        <v>6105038.0</v>
      </c>
      <c r="E3494" s="4">
        <v>6.104000523E9</v>
      </c>
      <c r="F3494" s="8" t="s">
        <v>604</v>
      </c>
      <c r="G3494" s="4" t="s">
        <v>1100</v>
      </c>
      <c r="H3494" s="10" t="s">
        <v>430</v>
      </c>
      <c r="I3494" s="10">
        <v>200.0</v>
      </c>
      <c r="J3494" s="11" t="str">
        <f>IF(D3494&lt;&gt;"",VLOOKUP(H3494,TABLEITEM,5,FALSE),"")</f>
        <v>EA</v>
      </c>
      <c r="K3494" s="12">
        <v>0.216</v>
      </c>
      <c r="L3494" s="13" t="str">
        <f>IF(D3494&lt;&gt;"",VLOOKUP(H3494,TABLEITEM,2,FALSE),"")</f>
        <v/>
      </c>
      <c r="M3494" s="13" t="str">
        <f>IF(D3494&lt;&gt;"",VLOOKUP(H3494,TABLEITEM,3,FALSE),"")</f>
        <v>ปลอกหุ้มหางปลา V-2 เทา</v>
      </c>
      <c r="N3494" s="14">
        <f>INSTOCK!$I3494*INSTOCK!$K3494</f>
        <v>43.2</v>
      </c>
      <c r="O3494" s="4"/>
      <c r="P3494" s="4"/>
    </row>
    <row r="3495" ht="15.75" hidden="1" customHeight="1">
      <c r="B3495" s="8">
        <v>3814.0</v>
      </c>
      <c r="C3495" s="9">
        <v>43222.0</v>
      </c>
      <c r="D3495" s="6">
        <v>6105038.0</v>
      </c>
      <c r="E3495" s="4">
        <v>6.104000523E9</v>
      </c>
      <c r="F3495" s="8" t="s">
        <v>604</v>
      </c>
      <c r="G3495" s="4" t="s">
        <v>1100</v>
      </c>
      <c r="H3495" s="10" t="s">
        <v>4602</v>
      </c>
      <c r="I3495" s="10">
        <v>200.0</v>
      </c>
      <c r="J3495" s="11" t="str">
        <f>IF(D3495&lt;&gt;"",VLOOKUP(H3495,TABLEITEM,5,FALSE),"")</f>
        <v>EA</v>
      </c>
      <c r="K3495" s="12">
        <v>0.288</v>
      </c>
      <c r="L3495" s="13" t="str">
        <f>IF(D3495&lt;&gt;"",VLOOKUP(H3495,TABLEITEM,2,FALSE),"")</f>
        <v/>
      </c>
      <c r="M3495" s="13" t="str">
        <f>IF(D3495&lt;&gt;"",VLOOKUP(H3495,TABLEITEM,3,FALSE),"")</f>
        <v>ปลอกหุ้มหางปลา V-5.5สีดำ</v>
      </c>
      <c r="N3495" s="14">
        <f>INSTOCK!$I3495*INSTOCK!$K3495</f>
        <v>57.6</v>
      </c>
      <c r="O3495" s="4"/>
      <c r="P3495" s="4"/>
    </row>
    <row r="3496" ht="15.75" hidden="1" customHeight="1">
      <c r="B3496" s="8">
        <v>3815.0</v>
      </c>
      <c r="C3496" s="9">
        <v>43222.0</v>
      </c>
      <c r="D3496" s="6">
        <v>6105038.0</v>
      </c>
      <c r="E3496" s="4">
        <v>6.104000523E9</v>
      </c>
      <c r="F3496" s="8" t="s">
        <v>604</v>
      </c>
      <c r="G3496" s="4" t="s">
        <v>1100</v>
      </c>
      <c r="H3496" s="10" t="s">
        <v>4603</v>
      </c>
      <c r="I3496" s="10">
        <v>300.0</v>
      </c>
      <c r="J3496" s="11" t="str">
        <f>IF(D3496&lt;&gt;"",VLOOKUP(H3496,TABLEITEM,5,FALSE),"")</f>
        <v>EA</v>
      </c>
      <c r="K3496" s="12">
        <v>0.288</v>
      </c>
      <c r="L3496" s="13" t="str">
        <f>IF(D3496&lt;&gt;"",VLOOKUP(H3496,TABLEITEM,2,FALSE),"")</f>
        <v/>
      </c>
      <c r="M3496" s="13" t="str">
        <f>IF(D3496&lt;&gt;"",VLOOKUP(H3496,TABLEITEM,3,FALSE),"")</f>
        <v>ปลอกหุ้มหางปลา V-5.5สีเทา</v>
      </c>
      <c r="N3496" s="14">
        <f>INSTOCK!$I3496*INSTOCK!$K3496</f>
        <v>86.4</v>
      </c>
      <c r="O3496" s="4"/>
      <c r="P3496" s="4"/>
    </row>
    <row r="3497" ht="15.75" hidden="1" customHeight="1">
      <c r="B3497" s="8">
        <v>3816.0</v>
      </c>
      <c r="C3497" s="9">
        <v>43222.0</v>
      </c>
      <c r="D3497" s="6">
        <v>6105038.0</v>
      </c>
      <c r="E3497" s="4">
        <v>6.104000523E9</v>
      </c>
      <c r="F3497" s="8" t="s">
        <v>604</v>
      </c>
      <c r="G3497" s="4" t="s">
        <v>1100</v>
      </c>
      <c r="H3497" s="10" t="s">
        <v>4604</v>
      </c>
      <c r="I3497" s="10">
        <v>200.0</v>
      </c>
      <c r="J3497" s="11" t="str">
        <f>IF(D3497&lt;&gt;"",VLOOKUP(H3497,TABLEITEM,5,FALSE),"")</f>
        <v>EA</v>
      </c>
      <c r="K3497" s="12">
        <v>0.288</v>
      </c>
      <c r="L3497" s="13" t="str">
        <f>IF(D3497&lt;&gt;"",VLOOKUP(H3497,TABLEITEM,2,FALSE),"")</f>
        <v/>
      </c>
      <c r="M3497" s="13" t="str">
        <f>IF(D3497&lt;&gt;"",VLOOKUP(H3497,TABLEITEM,3,FALSE),"")</f>
        <v>ปลอกหุ้มหางปลา V-5.5สีฟ้า</v>
      </c>
      <c r="N3497" s="14">
        <f>INSTOCK!$I3497*INSTOCK!$K3497</f>
        <v>57.6</v>
      </c>
      <c r="O3497" s="4"/>
      <c r="P3497" s="4"/>
    </row>
    <row r="3498" ht="15.75" hidden="1" customHeight="1">
      <c r="B3498" s="8">
        <v>3817.0</v>
      </c>
      <c r="C3498" s="9">
        <v>43222.0</v>
      </c>
      <c r="D3498" s="6">
        <v>6105038.0</v>
      </c>
      <c r="E3498" s="4">
        <v>6.104000523E9</v>
      </c>
      <c r="F3498" s="8" t="s">
        <v>604</v>
      </c>
      <c r="G3498" s="4" t="s">
        <v>1100</v>
      </c>
      <c r="H3498" s="10" t="s">
        <v>4605</v>
      </c>
      <c r="I3498" s="10">
        <v>200.0</v>
      </c>
      <c r="J3498" s="11" t="str">
        <f>IF(D3498&lt;&gt;"",VLOOKUP(H3498,TABLEITEM,5,FALSE),"")</f>
        <v>EA</v>
      </c>
      <c r="K3498" s="12">
        <v>11.97</v>
      </c>
      <c r="L3498" s="13" t="str">
        <f>IF(D3498&lt;&gt;"",VLOOKUP(H3498,TABLEITEM,2,FALSE),"")</f>
        <v/>
      </c>
      <c r="M3498" s="13" t="str">
        <f>IF(D3498&lt;&gt;"",VLOOKUP(H3498,TABLEITEM,3,FALSE),"")</f>
        <v>หางปลาสองชั้น SL50-6 </v>
      </c>
      <c r="N3498" s="14">
        <f>INSTOCK!$I3498*INSTOCK!$K3498</f>
        <v>2394</v>
      </c>
      <c r="O3498" s="4"/>
      <c r="P3498" s="4"/>
    </row>
    <row r="3499" ht="15.75" hidden="1" customHeight="1">
      <c r="B3499" s="8">
        <v>3818.0</v>
      </c>
      <c r="C3499" s="9">
        <v>43222.0</v>
      </c>
      <c r="D3499" s="6" t="s">
        <v>4606</v>
      </c>
      <c r="E3499" s="4">
        <v>6.104000498E9</v>
      </c>
      <c r="F3499" s="8" t="s">
        <v>604</v>
      </c>
      <c r="G3499" s="4" t="s">
        <v>1777</v>
      </c>
      <c r="H3499" s="10" t="s">
        <v>2104</v>
      </c>
      <c r="I3499" s="10">
        <v>10000.0</v>
      </c>
      <c r="J3499" s="11" t="str">
        <f>IF(D3499&lt;&gt;"",VLOOKUP(H3499,TABLEITEM,5,FALSE),"")</f>
        <v>EA</v>
      </c>
      <c r="K3499" s="12">
        <v>0.2475</v>
      </c>
      <c r="L3499" s="13" t="str">
        <f>IF(D3499&lt;&gt;"",VLOOKUP(H3499,TABLEITEM,2,FALSE),"")</f>
        <v/>
      </c>
      <c r="M3499" s="13" t="str">
        <f>IF(D3499&lt;&gt;"",VLOOKUP(H3499,TABLEITEM,3,FALSE),"")</f>
        <v>ติดจาน M6</v>
      </c>
      <c r="N3499" s="14">
        <f>INSTOCK!$I3499*INSTOCK!$K3499</f>
        <v>2475</v>
      </c>
      <c r="O3499" s="4" t="s">
        <v>3645</v>
      </c>
      <c r="P3499" s="4"/>
    </row>
    <row r="3500" ht="15.75" hidden="1" customHeight="1">
      <c r="B3500" s="8">
        <v>3819.0</v>
      </c>
      <c r="C3500" s="9">
        <v>43222.0</v>
      </c>
      <c r="D3500" s="6" t="s">
        <v>4606</v>
      </c>
      <c r="E3500" s="4">
        <v>6.104000498E9</v>
      </c>
      <c r="F3500" s="8" t="s">
        <v>604</v>
      </c>
      <c r="G3500" s="4" t="s">
        <v>1777</v>
      </c>
      <c r="H3500" s="10" t="s">
        <v>4607</v>
      </c>
      <c r="I3500" s="10">
        <v>20000.0</v>
      </c>
      <c r="J3500" s="11" t="str">
        <f>IF(D3500&lt;&gt;"",VLOOKUP(H3500,TABLEITEM,5,FALSE),"")</f>
        <v>EA</v>
      </c>
      <c r="K3500" s="12">
        <v>1.05</v>
      </c>
      <c r="L3500" s="13" t="str">
        <f>IF(D3500&lt;&gt;"",VLOOKUP(H3500,TABLEITEM,2,FALSE),"")</f>
        <v/>
      </c>
      <c r="M3500" s="13" t="str">
        <f>IF(D3500&lt;&gt;"",VLOOKUP(H3500,TABLEITEM,3,FALSE),"")</f>
        <v>สกรูหัวติดแหวน M 6x15</v>
      </c>
      <c r="N3500" s="14">
        <f>INSTOCK!$I3500*INSTOCK!$K3500</f>
        <v>21000</v>
      </c>
      <c r="O3500" s="4" t="s">
        <v>3119</v>
      </c>
      <c r="P3500" s="4"/>
    </row>
    <row r="3501" ht="15.75" hidden="1" customHeight="1">
      <c r="B3501" s="8">
        <v>3820.0</v>
      </c>
      <c r="C3501" s="9">
        <v>43222.0</v>
      </c>
      <c r="D3501" s="6">
        <v>6.10500251E8</v>
      </c>
      <c r="E3501" s="4">
        <v>6.104000522E9</v>
      </c>
      <c r="F3501" s="8"/>
      <c r="G3501" s="4" t="s">
        <v>1130</v>
      </c>
      <c r="H3501" s="10" t="s">
        <v>289</v>
      </c>
      <c r="I3501" s="10">
        <v>1000.0</v>
      </c>
      <c r="J3501" s="11" t="str">
        <f>IF(D3501&lt;&gt;"",VLOOKUP(H3501,TABLEITEM,5,FALSE),"")</f>
        <v>EA</v>
      </c>
      <c r="K3501" s="12">
        <v>2.1</v>
      </c>
      <c r="L3501" s="13" t="str">
        <f>IF(D3501&lt;&gt;"",VLOOKUP(H3501,TABLEITEM,2,FALSE),"")</f>
        <v/>
      </c>
      <c r="M3501" s="13" t="str">
        <f>IF(D3501&lt;&gt;"",VLOOKUP(H3501,TABLEITEM,3,FALSE),"")</f>
        <v>หางปลากลมเปลือย6-8</v>
      </c>
      <c r="N3501" s="14">
        <f>INSTOCK!$I3501*INSTOCK!$K3501</f>
        <v>2100</v>
      </c>
      <c r="O3501" s="4" t="s">
        <v>4608</v>
      </c>
      <c r="P3501" s="4"/>
    </row>
    <row r="3502" ht="15.75" hidden="1" customHeight="1">
      <c r="B3502" s="8">
        <v>3821.0</v>
      </c>
      <c r="C3502" s="9">
        <v>43222.0</v>
      </c>
      <c r="D3502" s="6">
        <v>6.10500251E8</v>
      </c>
      <c r="E3502" s="4">
        <v>6.104000522E9</v>
      </c>
      <c r="F3502" s="8"/>
      <c r="G3502" s="4" t="s">
        <v>1130</v>
      </c>
      <c r="H3502" s="10" t="s">
        <v>299</v>
      </c>
      <c r="I3502" s="10">
        <v>300.0</v>
      </c>
      <c r="J3502" s="11" t="str">
        <f>IF(D3502&lt;&gt;"",VLOOKUP(H3502,TABLEITEM,5,FALSE),"")</f>
        <v>EA</v>
      </c>
      <c r="K3502" s="12">
        <v>5.2</v>
      </c>
      <c r="L3502" s="13" t="str">
        <f>IF(D3502&lt;&gt;"",VLOOKUP(H3502,TABLEITEM,2,FALSE),"")</f>
        <v/>
      </c>
      <c r="M3502" s="13" t="str">
        <f>IF(D3502&lt;&gt;"",VLOOKUP(H3502,TABLEITEM,3,FALSE),"")</f>
        <v>หางปลากลมเปลือย 22-6</v>
      </c>
      <c r="N3502" s="14">
        <f>INSTOCK!$I3502*INSTOCK!$K3502</f>
        <v>1560</v>
      </c>
      <c r="O3502" s="4" t="s">
        <v>4609</v>
      </c>
      <c r="P3502" s="4"/>
    </row>
    <row r="3503" ht="15.75" hidden="1" customHeight="1">
      <c r="B3503" s="8">
        <v>3822.0</v>
      </c>
      <c r="C3503" s="9">
        <v>43222.0</v>
      </c>
      <c r="D3503" s="6" t="s">
        <v>4610</v>
      </c>
      <c r="E3503" s="4">
        <v>6.104000518E9</v>
      </c>
      <c r="F3503" s="8" t="s">
        <v>604</v>
      </c>
      <c r="G3503" s="4" t="s">
        <v>1870</v>
      </c>
      <c r="H3503" s="10" t="s">
        <v>4611</v>
      </c>
      <c r="I3503" s="10">
        <v>1000.0</v>
      </c>
      <c r="J3503" s="11" t="str">
        <f>IF(D3503&lt;&gt;"",VLOOKUP(H3503,TABLEITEM,5,FALSE),"")</f>
        <v>EA</v>
      </c>
      <c r="K3503" s="12">
        <v>0.55</v>
      </c>
      <c r="L3503" s="13" t="str">
        <f>IF(D3503&lt;&gt;"",VLOOKUP(H3503,TABLEITEM,2,FALSE),"")</f>
        <v/>
      </c>
      <c r="M3503" s="13" t="str">
        <f>IF(D3503&lt;&gt;"",VLOOKUP(H3503,TABLEITEM,3,FALSE),"")</f>
        <v>สกรูหัวเหลี่ยม M8x25  HDG</v>
      </c>
      <c r="N3503" s="14">
        <f>INSTOCK!$I3503*INSTOCK!$K3503</f>
        <v>550</v>
      </c>
      <c r="O3503" s="4" t="s">
        <v>4612</v>
      </c>
      <c r="P3503" s="4"/>
    </row>
    <row r="3504" ht="15.75" hidden="1" customHeight="1">
      <c r="B3504" s="8">
        <v>3823.0</v>
      </c>
      <c r="C3504" s="9">
        <v>43222.0</v>
      </c>
      <c r="D3504" s="6" t="s">
        <v>4610</v>
      </c>
      <c r="E3504" s="4">
        <v>6.104000518E9</v>
      </c>
      <c r="F3504" s="8" t="s">
        <v>604</v>
      </c>
      <c r="G3504" s="4" t="s">
        <v>1870</v>
      </c>
      <c r="H3504" s="10" t="s">
        <v>3702</v>
      </c>
      <c r="I3504" s="10">
        <v>1000.0</v>
      </c>
      <c r="J3504" s="11" t="str">
        <f>IF(D3504&lt;&gt;"",VLOOKUP(H3504,TABLEITEM,5,FALSE),"")</f>
        <v>EA</v>
      </c>
      <c r="K3504" s="12">
        <v>0.198</v>
      </c>
      <c r="L3504" s="13" t="str">
        <f>IF(D3504&lt;&gt;"",VLOOKUP(H3504,TABLEITEM,2,FALSE),"")</f>
        <v/>
      </c>
      <c r="M3504" s="13" t="str">
        <f>IF(D3504&lt;&gt;"",VLOOKUP(H3504,TABLEITEM,3,FALSE),"")</f>
        <v>แหวนสปริง M8   HDG</v>
      </c>
      <c r="N3504" s="14">
        <f>INSTOCK!$I3504*INSTOCK!$K3504</f>
        <v>198</v>
      </c>
      <c r="O3504" s="4" t="s">
        <v>4613</v>
      </c>
      <c r="P3504" s="4"/>
    </row>
    <row r="3505" ht="15.75" hidden="1" customHeight="1">
      <c r="B3505" s="8">
        <v>3824.0</v>
      </c>
      <c r="C3505" s="9">
        <v>43222.0</v>
      </c>
      <c r="D3505" s="6" t="s">
        <v>4610</v>
      </c>
      <c r="E3505" s="4">
        <v>6.104000518E9</v>
      </c>
      <c r="F3505" s="8" t="s">
        <v>604</v>
      </c>
      <c r="G3505" s="4" t="s">
        <v>1870</v>
      </c>
      <c r="H3505" s="10" t="s">
        <v>3380</v>
      </c>
      <c r="I3505" s="10">
        <v>1000.0</v>
      </c>
      <c r="J3505" s="11" t="str">
        <f>IF(D3505&lt;&gt;"",VLOOKUP(H3505,TABLEITEM,5,FALSE),"")</f>
        <v>EA</v>
      </c>
      <c r="K3505" s="12">
        <v>1.87</v>
      </c>
      <c r="L3505" s="13" t="str">
        <f>IF(D3505&lt;&gt;"",VLOOKUP(H3505,TABLEITEM,2,FALSE),"")</f>
        <v/>
      </c>
      <c r="M3505" s="13" t="str">
        <f>IF(D3505&lt;&gt;"",VLOOKUP(H3505,TABLEITEM,3,FALSE),"")</f>
        <v>สกรูหัวเหลี่ยมชุบขาว M10x25</v>
      </c>
      <c r="N3505" s="14">
        <f>INSTOCK!$I3505*INSTOCK!$K3505</f>
        <v>1870</v>
      </c>
      <c r="O3505" s="4" t="s">
        <v>4614</v>
      </c>
      <c r="P3505" s="4"/>
    </row>
    <row r="3506" ht="15.75" hidden="1" customHeight="1">
      <c r="B3506" s="8">
        <v>3825.0</v>
      </c>
      <c r="C3506" s="9">
        <v>43222.0</v>
      </c>
      <c r="D3506" s="6" t="s">
        <v>4610</v>
      </c>
      <c r="E3506" s="4">
        <v>6.104000518E9</v>
      </c>
      <c r="F3506" s="8" t="s">
        <v>604</v>
      </c>
      <c r="G3506" s="4" t="s">
        <v>1870</v>
      </c>
      <c r="H3506" s="10" t="s">
        <v>3709</v>
      </c>
      <c r="I3506" s="10">
        <v>2000.0</v>
      </c>
      <c r="J3506" s="11" t="str">
        <f>IF(D3506&lt;&gt;"",VLOOKUP(H3506,TABLEITEM,5,FALSE),"")</f>
        <v>EA</v>
      </c>
      <c r="K3506" s="12">
        <v>0.33</v>
      </c>
      <c r="L3506" s="13" t="str">
        <f>IF(D3506&lt;&gt;"",VLOOKUP(H3506,TABLEITEM,2,FALSE),"")</f>
        <v/>
      </c>
      <c r="M3506" s="13" t="str">
        <f>IF(D3506&lt;&gt;"",VLOOKUP(H3506,TABLEITEM,3,FALSE),"")</f>
        <v>แหวนสปริง M10   HDG</v>
      </c>
      <c r="N3506" s="14">
        <f>INSTOCK!$I3506*INSTOCK!$K3506</f>
        <v>660</v>
      </c>
      <c r="O3506" s="4" t="s">
        <v>3136</v>
      </c>
      <c r="P3506" s="4"/>
    </row>
    <row r="3507" ht="15.75" hidden="1" customHeight="1">
      <c r="B3507" s="8">
        <v>3826.0</v>
      </c>
      <c r="C3507" s="9">
        <v>43222.0</v>
      </c>
      <c r="D3507" s="6" t="s">
        <v>4610</v>
      </c>
      <c r="E3507" s="4">
        <v>6.104000518E9</v>
      </c>
      <c r="F3507" s="8" t="s">
        <v>604</v>
      </c>
      <c r="G3507" s="4" t="s">
        <v>1870</v>
      </c>
      <c r="H3507" s="10" t="s">
        <v>2426</v>
      </c>
      <c r="I3507" s="10">
        <v>2000.0</v>
      </c>
      <c r="J3507" s="11" t="str">
        <f>IF(D3507&lt;&gt;"",VLOOKUP(H3507,TABLEITEM,5,FALSE),"")</f>
        <v>EA</v>
      </c>
      <c r="K3507" s="12">
        <v>0.225</v>
      </c>
      <c r="L3507" s="13" t="str">
        <f>IF(D3507&lt;&gt;"",VLOOKUP(H3507,TABLEITEM,2,FALSE),"")</f>
        <v/>
      </c>
      <c r="M3507" s="13" t="str">
        <f>IF(D3507&lt;&gt;"",VLOOKUP(H3507,TABLEITEM,3,FALSE),"")</f>
        <v>หัวน็อตล็อค M4</v>
      </c>
      <c r="N3507" s="14">
        <f>INSTOCK!$I3507*INSTOCK!$K3507</f>
        <v>450</v>
      </c>
      <c r="O3507" s="4" t="s">
        <v>4615</v>
      </c>
      <c r="P3507" s="4"/>
    </row>
    <row r="3508" ht="15.75" hidden="1" customHeight="1">
      <c r="B3508" s="8">
        <v>3827.0</v>
      </c>
      <c r="C3508" s="9">
        <v>43222.0</v>
      </c>
      <c r="D3508" s="6" t="s">
        <v>4610</v>
      </c>
      <c r="E3508" s="4">
        <v>6.104000518E9</v>
      </c>
      <c r="F3508" s="8" t="s">
        <v>604</v>
      </c>
      <c r="G3508" s="4" t="s">
        <v>1870</v>
      </c>
      <c r="H3508" s="10" t="s">
        <v>4616</v>
      </c>
      <c r="I3508" s="10">
        <v>2000.0</v>
      </c>
      <c r="J3508" s="11" t="str">
        <f>IF(D3508&lt;&gt;"",VLOOKUP(H3508,TABLEITEM,5,FALSE),"")</f>
        <v>EA</v>
      </c>
      <c r="K3508" s="12">
        <v>0.225</v>
      </c>
      <c r="L3508" s="13" t="str">
        <f>IF(D3508&lt;&gt;"",VLOOKUP(H3508,TABLEITEM,2,FALSE),"")</f>
        <v/>
      </c>
      <c r="M3508" s="13" t="str">
        <f>IF(D3508&lt;&gt;"",VLOOKUP(H3508,TABLEITEM,3,FALSE),"")</f>
        <v>หัวน็อตล็อค M5</v>
      </c>
      <c r="N3508" s="14">
        <f>INSTOCK!$I3508*INSTOCK!$K3508</f>
        <v>450</v>
      </c>
      <c r="O3508" s="4" t="s">
        <v>4615</v>
      </c>
      <c r="P3508" s="4"/>
    </row>
    <row r="3509" ht="15.75" hidden="1" customHeight="1">
      <c r="B3509" s="8">
        <v>3828.0</v>
      </c>
      <c r="C3509" s="9">
        <v>43222.0</v>
      </c>
      <c r="D3509" s="6" t="s">
        <v>4610</v>
      </c>
      <c r="E3509" s="4">
        <v>6.104000518E9</v>
      </c>
      <c r="F3509" s="8" t="s">
        <v>604</v>
      </c>
      <c r="G3509" s="4" t="s">
        <v>1870</v>
      </c>
      <c r="H3509" s="10" t="s">
        <v>4617</v>
      </c>
      <c r="I3509" s="10">
        <v>200.0</v>
      </c>
      <c r="J3509" s="11" t="str">
        <f>IF(D3509&lt;&gt;"",VLOOKUP(H3509,TABLEITEM,5,FALSE),"")</f>
        <v>EA</v>
      </c>
      <c r="K3509" s="12">
        <v>0.9</v>
      </c>
      <c r="L3509" s="13" t="str">
        <f>IF(D3509&lt;&gt;"",VLOOKUP(H3509,TABLEITEM,2,FALSE),"")</f>
        <v/>
      </c>
      <c r="M3509" s="13" t="str">
        <f>IF(D3509&lt;&gt;"",VLOOKUP(H3509,TABLEITEM,3,FALSE),"")</f>
        <v>หัวน็อตล็อค M10</v>
      </c>
      <c r="N3509" s="14">
        <f>INSTOCK!$I3509*INSTOCK!$K3509</f>
        <v>180</v>
      </c>
      <c r="O3509" s="4" t="s">
        <v>4470</v>
      </c>
      <c r="P3509" s="4"/>
    </row>
    <row r="3510" ht="15.75" hidden="1" customHeight="1">
      <c r="B3510" s="8">
        <v>3829.0</v>
      </c>
      <c r="C3510" s="9">
        <v>43222.0</v>
      </c>
      <c r="D3510" s="6" t="s">
        <v>4618</v>
      </c>
      <c r="E3510" s="4">
        <v>6.104000493E9</v>
      </c>
      <c r="F3510" s="8" t="s">
        <v>604</v>
      </c>
      <c r="G3510" s="4" t="s">
        <v>1611</v>
      </c>
      <c r="H3510" s="10" t="s">
        <v>195</v>
      </c>
      <c r="I3510" s="10">
        <v>60.0</v>
      </c>
      <c r="J3510" s="11" t="str">
        <f>IF(D3510&lt;&gt;"",VLOOKUP(H3510,TABLEITEM,5,FALSE),"")</f>
        <v>EA</v>
      </c>
      <c r="K3510" s="12">
        <v>75.0</v>
      </c>
      <c r="L3510" s="13" t="str">
        <f>IF(D3510&lt;&gt;"",VLOOKUP(H3510,TABLEITEM,2,FALSE),"")</f>
        <v/>
      </c>
      <c r="M3510" s="13" t="str">
        <f>IF(D3510&lt;&gt;"",VLOOKUP(H3510,TABLEITEM,3,FALSE),"")</f>
        <v>TERMINAL BLOCK TX100</v>
      </c>
      <c r="N3510" s="14">
        <f>INSTOCK!$I3510*INSTOCK!$K3510</f>
        <v>4500</v>
      </c>
      <c r="O3510" s="4"/>
      <c r="P3510" s="4"/>
    </row>
    <row r="3511" ht="15.75" hidden="1" customHeight="1">
      <c r="B3511" s="8">
        <v>3830.0</v>
      </c>
      <c r="C3511" s="9">
        <v>43222.0</v>
      </c>
      <c r="D3511" s="6" t="s">
        <v>4619</v>
      </c>
      <c r="E3511" s="4">
        <v>6.104000517E9</v>
      </c>
      <c r="F3511" s="8" t="s">
        <v>604</v>
      </c>
      <c r="G3511" s="4" t="s">
        <v>1904</v>
      </c>
      <c r="H3511" s="10" t="s">
        <v>213</v>
      </c>
      <c r="I3511" s="10">
        <v>4.0</v>
      </c>
      <c r="J3511" s="11" t="str">
        <f>IF(D3511&lt;&gt;"",VLOOKUP(H3511,TABLEITEM,5,FALSE),"")</f>
        <v>M</v>
      </c>
      <c r="K3511" s="12">
        <v>999.0</v>
      </c>
      <c r="L3511" s="13" t="str">
        <f>IF(D3511&lt;&gt;"",VLOOKUP(H3511,TABLEITEM,2,FALSE),"")</f>
        <v/>
      </c>
      <c r="M3511" s="13" t="str">
        <f>IF(D3511&lt;&gt;"",VLOOKUP(H3511,TABLEITEM,3,FALSE),"")</f>
        <v>TUEB 3.2</v>
      </c>
      <c r="N3511" s="14">
        <f>INSTOCK!$I3511*INSTOCK!$K3511</f>
        <v>3996</v>
      </c>
      <c r="O3511" s="4" t="s">
        <v>4620</v>
      </c>
      <c r="P3511" s="4"/>
    </row>
    <row r="3512" ht="15.75" hidden="1" customHeight="1">
      <c r="B3512" s="8">
        <v>3831.0</v>
      </c>
      <c r="C3512" s="9">
        <v>43222.0</v>
      </c>
      <c r="D3512" s="6">
        <v>6.1050004E7</v>
      </c>
      <c r="E3512" s="4">
        <v>6.104000507E9</v>
      </c>
      <c r="F3512" s="8" t="s">
        <v>2052</v>
      </c>
      <c r="G3512" s="4" t="s">
        <v>1127</v>
      </c>
      <c r="H3512" s="10" t="s">
        <v>4621</v>
      </c>
      <c r="I3512" s="10">
        <v>1.0</v>
      </c>
      <c r="J3512" s="11" t="str">
        <f>IF(D3512&lt;&gt;"",VLOOKUP(H3512,TABLEITEM,5,FALSE),"")</f>
        <v>EA</v>
      </c>
      <c r="K3512" s="12">
        <v>5670.0</v>
      </c>
      <c r="L3512" s="13" t="str">
        <f>IF(D3512&lt;&gt;"",VLOOKUP(H3512,TABLEITEM,2,FALSE),"")</f>
        <v/>
      </c>
      <c r="M3512" s="13" t="str">
        <f>IF(D3512&lt;&gt;"",VLOOKUP(H3512,TABLEITEM,3,FALSE),"")</f>
        <v>ปากกาจับเหล็กตั้งโต๊ะ STANLEY 81-603</v>
      </c>
      <c r="N3512" s="14">
        <f>INSTOCK!$I3512*INSTOCK!$K3512</f>
        <v>5670</v>
      </c>
      <c r="O3512" s="4" t="s">
        <v>4622</v>
      </c>
      <c r="P3512" s="4"/>
    </row>
    <row r="3513" ht="15.75" hidden="1" customHeight="1">
      <c r="B3513" s="8">
        <v>3832.0</v>
      </c>
      <c r="C3513" s="9">
        <v>43221.0</v>
      </c>
      <c r="D3513" s="6" t="s">
        <v>4623</v>
      </c>
      <c r="E3513" s="4"/>
      <c r="F3513" s="8" t="s">
        <v>604</v>
      </c>
      <c r="G3513" s="4" t="s">
        <v>4624</v>
      </c>
      <c r="H3513" s="10" t="s">
        <v>4625</v>
      </c>
      <c r="I3513" s="10">
        <v>4.0</v>
      </c>
      <c r="J3513" s="11" t="str">
        <f>IF(D3513&lt;&gt;"",VLOOKUP(H3513,TABLEITEM,5,FALSE),"")</f>
        <v>EA</v>
      </c>
      <c r="K3513" s="12">
        <v>40.0</v>
      </c>
      <c r="L3513" s="13" t="str">
        <f>IF(D3513&lt;&gt;"",VLOOKUP(H3513,TABLEITEM,2,FALSE),"")</f>
        <v/>
      </c>
      <c r="M3513" s="13" t="str">
        <f>IF(D3513&lt;&gt;"",VLOOKUP(H3513,TABLEITEM,3,FALSE),"")</f>
        <v>ลูกผ้ายีนส์ 8x1/2"</v>
      </c>
      <c r="N3513" s="14">
        <f>INSTOCK!$I3513*INSTOCK!$K3513</f>
        <v>160</v>
      </c>
      <c r="O3513" s="4"/>
      <c r="P3513" s="4"/>
    </row>
    <row r="3514" ht="15.75" hidden="1" customHeight="1">
      <c r="B3514" s="8">
        <v>3833.0</v>
      </c>
      <c r="C3514" s="9">
        <v>43221.0</v>
      </c>
      <c r="D3514" s="6" t="s">
        <v>4623</v>
      </c>
      <c r="E3514" s="4"/>
      <c r="F3514" s="8" t="s">
        <v>604</v>
      </c>
      <c r="G3514" s="4" t="s">
        <v>4624</v>
      </c>
      <c r="H3514" s="10" t="s">
        <v>4626</v>
      </c>
      <c r="I3514" s="10">
        <v>2.0</v>
      </c>
      <c r="J3514" s="11" t="str">
        <f>IF(D3514&lt;&gt;"",VLOOKUP(H3514,TABLEITEM,5,FALSE),"")</f>
        <v>EA</v>
      </c>
      <c r="K3514" s="12">
        <v>113.0</v>
      </c>
      <c r="L3514" s="13" t="str">
        <f>IF(D3514&lt;&gt;"",VLOOKUP(H3514,TABLEITEM,2,FALSE),"")</f>
        <v/>
      </c>
      <c r="M3514" s="13" t="str">
        <f>IF(D3514&lt;&gt;"",VLOOKUP(H3514,TABLEITEM,3,FALSE),"")</f>
        <v>ยาขัดก้อนเขียว</v>
      </c>
      <c r="N3514" s="14">
        <f>INSTOCK!$I3514*INSTOCK!$K3514</f>
        <v>226</v>
      </c>
      <c r="O3514" s="4"/>
      <c r="P3514" s="4"/>
    </row>
    <row r="3515" ht="15.75" hidden="1" customHeight="1">
      <c r="B3515" s="8">
        <v>3834.0</v>
      </c>
      <c r="C3515" s="9">
        <v>43221.0</v>
      </c>
      <c r="D3515" s="6">
        <v>34297.0</v>
      </c>
      <c r="E3515" s="4">
        <v>6.10400051E9</v>
      </c>
      <c r="F3515" s="8" t="s">
        <v>4627</v>
      </c>
      <c r="G3515" s="4" t="s">
        <v>696</v>
      </c>
      <c r="H3515" s="10" t="s">
        <v>4628</v>
      </c>
      <c r="I3515" s="10">
        <v>1.0</v>
      </c>
      <c r="J3515" s="11" t="str">
        <f>IF(D3515&lt;&gt;"",VLOOKUP(H3515,TABLEITEM,5,FALSE),"")</f>
        <v>EA</v>
      </c>
      <c r="K3515" s="12">
        <v>1550.0</v>
      </c>
      <c r="L3515" s="13" t="str">
        <f>IF(D3515&lt;&gt;"",VLOOKUP(H3515,TABLEITEM,2,FALSE),"")</f>
        <v/>
      </c>
      <c r="M3515" s="13" t="str">
        <f>IF(D3515&lt;&gt;"",VLOOKUP(H3515,TABLEITEM,3,FALSE),"")</f>
        <v>พัดลม HATARI รุ่น IT-18 M2 ขนาด 18" สีขาว</v>
      </c>
      <c r="N3515" s="14">
        <f>INSTOCK!$I3515*INSTOCK!$K3515</f>
        <v>1550</v>
      </c>
      <c r="O3515" s="4"/>
      <c r="P3515" s="4"/>
    </row>
    <row r="3516" ht="15.75" hidden="1" customHeight="1">
      <c r="B3516" s="8">
        <v>3835.0</v>
      </c>
      <c r="C3516" s="9">
        <v>43622.0</v>
      </c>
      <c r="D3516" s="6" t="s">
        <v>4629</v>
      </c>
      <c r="E3516" s="4">
        <v>6.206000858E9</v>
      </c>
      <c r="F3516" s="8" t="s">
        <v>4630</v>
      </c>
      <c r="G3516" s="4" t="s">
        <v>1485</v>
      </c>
      <c r="H3516" s="10" t="s">
        <v>1653</v>
      </c>
      <c r="I3516" s="10">
        <v>1.0</v>
      </c>
      <c r="J3516" s="11" t="str">
        <f>IF(D3516&lt;&gt;"",VLOOKUP(H3516,TABLEITEM,5,FALSE),"")</f>
        <v>EA</v>
      </c>
      <c r="K3516" s="12">
        <v>483.8</v>
      </c>
      <c r="L3516" s="13" t="str">
        <f>IF(D3516&lt;&gt;"",VLOOKUP(H3516,TABLEITEM,2,FALSE),"")</f>
        <v/>
      </c>
      <c r="M3516" s="13" t="str">
        <f>IF(D3516&lt;&gt;"",VLOOKUP(H3516,TABLEITEM,3,FALSE),"")</f>
        <v>CONTACTOR 3P AC3 12A 220VAC</v>
      </c>
      <c r="N3516" s="14">
        <f>INSTOCK!$I3516*INSTOCK!$K3516</f>
        <v>483.8</v>
      </c>
      <c r="O3516" s="4"/>
      <c r="P3516" s="4"/>
    </row>
    <row r="3517" ht="15.75" hidden="1" customHeight="1">
      <c r="B3517" s="8">
        <v>3836.0</v>
      </c>
      <c r="C3517" s="9">
        <v>43622.0</v>
      </c>
      <c r="D3517" s="6" t="s">
        <v>4629</v>
      </c>
      <c r="E3517" s="4">
        <v>6.206000858E9</v>
      </c>
      <c r="F3517" s="8" t="s">
        <v>4630</v>
      </c>
      <c r="G3517" s="4" t="s">
        <v>1485</v>
      </c>
      <c r="H3517" s="10" t="s">
        <v>3715</v>
      </c>
      <c r="I3517" s="10">
        <v>1.0</v>
      </c>
      <c r="J3517" s="11" t="str">
        <f>IF(D3517&lt;&gt;"",VLOOKUP(H3517,TABLEITEM,5,FALSE),"")</f>
        <v>EA</v>
      </c>
      <c r="K3517" s="12">
        <v>516.6</v>
      </c>
      <c r="L3517" s="13" t="str">
        <f>IF(D3517&lt;&gt;"",VLOOKUP(H3517,TABLEITEM,2,FALSE),"")</f>
        <v/>
      </c>
      <c r="M3517" s="13" t="str">
        <f>IF(D3517&lt;&gt;"",VLOOKUP(H3517,TABLEITEM,3,FALSE),"")</f>
        <v>OVERLOAD REL 7A 10KA</v>
      </c>
      <c r="N3517" s="14">
        <f>INSTOCK!$I3517*INSTOCK!$K3517</f>
        <v>516.6</v>
      </c>
      <c r="O3517" s="4"/>
      <c r="P3517" s="4"/>
    </row>
    <row r="3518" ht="15.75" hidden="1" customHeight="1">
      <c r="B3518" s="8">
        <v>3837.0</v>
      </c>
      <c r="C3518" s="9">
        <v>43622.0</v>
      </c>
      <c r="D3518" s="6" t="s">
        <v>4629</v>
      </c>
      <c r="E3518" s="4">
        <v>6.206000858E9</v>
      </c>
      <c r="F3518" s="8" t="s">
        <v>4630</v>
      </c>
      <c r="G3518" s="4" t="s">
        <v>1485</v>
      </c>
      <c r="H3518" s="10" t="s">
        <v>1582</v>
      </c>
      <c r="I3518" s="10">
        <v>1.0</v>
      </c>
      <c r="J3518" s="11" t="str">
        <f>IF(D3518&lt;&gt;"",VLOOKUP(H3518,TABLEITEM,5,FALSE),"")</f>
        <v>EA</v>
      </c>
      <c r="K3518" s="12">
        <v>147.6</v>
      </c>
      <c r="L3518" s="13" t="str">
        <f>IF(D3518&lt;&gt;"",VLOOKUP(H3518,TABLEITEM,2,FALSE),"")</f>
        <v/>
      </c>
      <c r="M3518" s="13" t="str">
        <f>IF(D3518&lt;&gt;"",VLOOKUP(H3518,TABLEITEM,3,FALSE),"")</f>
        <v>HARMONY XB4 SELECTOR SWITCH ZB4BD2</v>
      </c>
      <c r="N3518" s="14">
        <f>INSTOCK!$I3518*INSTOCK!$K3518</f>
        <v>147.6</v>
      </c>
      <c r="O3518" s="4"/>
      <c r="P3518" s="4"/>
    </row>
    <row r="3519" ht="15.75" hidden="1" customHeight="1">
      <c r="B3519" s="8">
        <v>3838.0</v>
      </c>
      <c r="C3519" s="9">
        <v>43623.0</v>
      </c>
      <c r="D3519" s="6" t="s">
        <v>4631</v>
      </c>
      <c r="E3519" s="4">
        <v>6.206000862E9</v>
      </c>
      <c r="F3519" s="8" t="s">
        <v>604</v>
      </c>
      <c r="G3519" s="4" t="s">
        <v>965</v>
      </c>
      <c r="H3519" s="10" t="s">
        <v>4632</v>
      </c>
      <c r="I3519" s="10">
        <v>6.0</v>
      </c>
      <c r="J3519" s="11" t="str">
        <f>IF(D3519&lt;&gt;"",VLOOKUP(H3519,TABLEITEM,5,FALSE),"")</f>
        <v>EA</v>
      </c>
      <c r="K3519" s="12">
        <v>110.0</v>
      </c>
      <c r="L3519" s="13" t="str">
        <f>IF(D3519&lt;&gt;"",VLOOKUP(H3519,TABLEITEM,2,FALSE),"")</f>
        <v/>
      </c>
      <c r="M3519" s="13" t="str">
        <f>IF(D3519&lt;&gt;"",VLOOKUP(H3519,TABLEITEM,3,FALSE),"")</f>
        <v>พลาสติกใสม้วนยาว </v>
      </c>
      <c r="N3519" s="14">
        <f>INSTOCK!$I3519*INSTOCK!$K3519</f>
        <v>660</v>
      </c>
      <c r="O3519" s="4"/>
      <c r="P3519" s="4"/>
    </row>
    <row r="3520" ht="15.75" hidden="1" customHeight="1">
      <c r="B3520" s="8">
        <v>3839.0</v>
      </c>
      <c r="C3520" s="9">
        <v>43623.0</v>
      </c>
      <c r="D3520" s="6" t="s">
        <v>4633</v>
      </c>
      <c r="E3520" s="4">
        <v>6.206000859E9</v>
      </c>
      <c r="F3520" s="8" t="s">
        <v>604</v>
      </c>
      <c r="G3520" s="4" t="s">
        <v>965</v>
      </c>
      <c r="H3520" s="10" t="s">
        <v>4634</v>
      </c>
      <c r="I3520" s="10">
        <v>10.0</v>
      </c>
      <c r="J3520" s="11" t="str">
        <f>IF(D3520&lt;&gt;"",VLOOKUP(H3520,TABLEITEM,5,FALSE),"")</f>
        <v>EA</v>
      </c>
      <c r="K3520" s="12">
        <v>15.0</v>
      </c>
      <c r="L3520" s="13" t="str">
        <f>IF(D3520&lt;&gt;"",VLOOKUP(H3520,TABLEITEM,2,FALSE),"")</f>
        <v/>
      </c>
      <c r="M3520" s="13" t="str">
        <f>IF(D3520&lt;&gt;"",VLOOKUP(H3520,TABLEITEM,3,FALSE),"")</f>
        <v>ฝาพลาสติก 3 ช่อง WEG-6803K</v>
      </c>
      <c r="N3520" s="14">
        <f>INSTOCK!$I3520*INSTOCK!$K3520</f>
        <v>150</v>
      </c>
      <c r="O3520" s="4"/>
      <c r="P3520" s="4"/>
    </row>
    <row r="3521" ht="15.75" hidden="1" customHeight="1">
      <c r="B3521" s="8">
        <v>3840.0</v>
      </c>
      <c r="C3521" s="9">
        <v>43623.0</v>
      </c>
      <c r="D3521" s="6" t="s">
        <v>4633</v>
      </c>
      <c r="E3521" s="4">
        <v>6.206000859E9</v>
      </c>
      <c r="F3521" s="8" t="s">
        <v>604</v>
      </c>
      <c r="G3521" s="4" t="s">
        <v>965</v>
      </c>
      <c r="H3521" s="18" t="s">
        <v>3584</v>
      </c>
      <c r="I3521" s="10">
        <v>10.0</v>
      </c>
      <c r="J3521" s="11" t="str">
        <f>IF(D3521&lt;&gt;"",VLOOKUP(H3521,TABLEITEM,5,FALSE),"")</f>
        <v>EA</v>
      </c>
      <c r="K3521" s="12">
        <v>25.0</v>
      </c>
      <c r="L3521" s="13" t="str">
        <f>IF(D3521&lt;&gt;"",VLOOKUP(H3521,TABLEITEM,2,FALSE),"")</f>
        <v/>
      </c>
      <c r="M3521" s="13" t="str">
        <f>IF(D3521&lt;&gt;"",VLOOKUP(H3521,TABLEITEM,3,FALSE),"")</f>
        <v>ปลั๊กยาง 3ขา มีกราว</v>
      </c>
      <c r="N3521" s="14">
        <f>INSTOCK!$I3521*INSTOCK!$K3521</f>
        <v>250</v>
      </c>
      <c r="O3521" s="4"/>
      <c r="P3521" s="4"/>
    </row>
    <row r="3522" ht="15.75" hidden="1" customHeight="1">
      <c r="B3522" s="8">
        <v>3841.0</v>
      </c>
      <c r="C3522" s="9">
        <v>43620.0</v>
      </c>
      <c r="D3522" s="6">
        <v>2.190600002E9</v>
      </c>
      <c r="E3522" s="4">
        <v>6.204000572E9</v>
      </c>
      <c r="F3522" s="8" t="s">
        <v>823</v>
      </c>
      <c r="G3522" s="4" t="s">
        <v>4635</v>
      </c>
      <c r="H3522" s="10" t="s">
        <v>4636</v>
      </c>
      <c r="I3522" s="10">
        <v>2.0</v>
      </c>
      <c r="J3522" s="11" t="str">
        <f>IF(D3522&lt;&gt;"",VLOOKUP(H3522,TABLEITEM,5,FALSE),"")</f>
        <v>EA</v>
      </c>
      <c r="K3522" s="12">
        <v>5000.0</v>
      </c>
      <c r="L3522" s="13" t="str">
        <f>IF(D3522&lt;&gt;"",VLOOKUP(H3522,TABLEITEM,2,FALSE),"")</f>
        <v/>
      </c>
      <c r="M3522" s="13" t="str">
        <f>IF(D3522&lt;&gt;"",VLOOKUP(H3522,TABLEITEM,3,FALSE),"")</f>
        <v>Battery Unit </v>
      </c>
      <c r="N3522" s="14">
        <f>INSTOCK!$I3522*INSTOCK!$K3522</f>
        <v>10000</v>
      </c>
      <c r="O3522" s="4"/>
      <c r="P3522" s="4"/>
    </row>
    <row r="3523" ht="15.75" hidden="1" customHeight="1">
      <c r="B3523" s="8">
        <v>3842.0</v>
      </c>
      <c r="C3523" s="9">
        <v>43623.0</v>
      </c>
      <c r="D3523" s="6" t="s">
        <v>4637</v>
      </c>
      <c r="E3523" s="4">
        <v>6.20600086E9</v>
      </c>
      <c r="F3523" s="8" t="s">
        <v>4638</v>
      </c>
      <c r="G3523" s="4" t="s">
        <v>702</v>
      </c>
      <c r="H3523" s="10" t="s">
        <v>779</v>
      </c>
      <c r="I3523" s="10">
        <v>140.0</v>
      </c>
      <c r="J3523" s="11" t="str">
        <f>IF(D3523&lt;&gt;"",VLOOKUP(H3523,TABLEITEM,5,FALSE),"")</f>
        <v>KG.</v>
      </c>
      <c r="K3523" s="12">
        <v>130.0</v>
      </c>
      <c r="L3523" s="13" t="str">
        <f>IF(D3523&lt;&gt;"",VLOOKUP(H3523,TABLEITEM,2,FALSE),"")</f>
        <v/>
      </c>
      <c r="M3523" s="13" t="str">
        <f>IF(D3523&lt;&gt;"",VLOOKUP(H3523,TABLEITEM,3,FALSE),"")</f>
        <v>สีฝุ่น FF110/948/C สีครีม</v>
      </c>
      <c r="N3523" s="14">
        <f>INSTOCK!$I3523*INSTOCK!$K3523</f>
        <v>18200</v>
      </c>
      <c r="O3523" s="4"/>
      <c r="P3523" s="4"/>
    </row>
    <row r="3524" ht="15.75" hidden="1" customHeight="1">
      <c r="B3524" s="8">
        <v>3843.0</v>
      </c>
      <c r="C3524" s="9">
        <v>43624.0</v>
      </c>
      <c r="D3524" s="6" t="s">
        <v>4639</v>
      </c>
      <c r="E3524" s="4"/>
      <c r="F3524" s="8" t="s">
        <v>4640</v>
      </c>
      <c r="G3524" s="4" t="s">
        <v>1522</v>
      </c>
      <c r="H3524" s="10" t="s">
        <v>4641</v>
      </c>
      <c r="I3524" s="10">
        <v>2.0</v>
      </c>
      <c r="J3524" s="11" t="str">
        <f>IF(D3524&lt;&gt;"",VLOOKUP(H3524,TABLEITEM,5,FALSE),"")</f>
        <v>EA</v>
      </c>
      <c r="K3524" s="12">
        <v>2990.0</v>
      </c>
      <c r="L3524" s="13" t="str">
        <f>IF(D3524&lt;&gt;"",VLOOKUP(H3524,TABLEITEM,2,FALSE),"")</f>
        <v/>
      </c>
      <c r="M3524" s="13" t="str">
        <f>IF(D3524&lt;&gt;"",VLOOKUP(H3524,TABLEITEM,3,FALSE),"")</f>
        <v>สายแลนด์ CAT.6 US-9116</v>
      </c>
      <c r="N3524" s="14">
        <f>INSTOCK!$I3524*INSTOCK!$K3524</f>
        <v>5980</v>
      </c>
      <c r="O3524" s="4"/>
      <c r="P3524" s="4"/>
    </row>
    <row r="3525" ht="15.75" hidden="1" customHeight="1">
      <c r="B3525" s="8">
        <v>3844.0</v>
      </c>
      <c r="C3525" s="9">
        <v>43624.0</v>
      </c>
      <c r="D3525" s="6" t="s">
        <v>4639</v>
      </c>
      <c r="E3525" s="4"/>
      <c r="F3525" s="8" t="s">
        <v>4640</v>
      </c>
      <c r="G3525" s="4" t="s">
        <v>1522</v>
      </c>
      <c r="H3525" s="10" t="s">
        <v>4642</v>
      </c>
      <c r="I3525" s="10">
        <v>100.0</v>
      </c>
      <c r="J3525" s="11" t="str">
        <f>IF(D3525&lt;&gt;"",VLOOKUP(H3525,TABLEITEM,5,FALSE),"")</f>
        <v>EA</v>
      </c>
      <c r="K3525" s="12">
        <v>8.0</v>
      </c>
      <c r="L3525" s="13" t="str">
        <f>IF(D3525&lt;&gt;"",VLOOKUP(H3525,TABLEITEM,2,FALSE),"")</f>
        <v/>
      </c>
      <c r="M3525" s="13" t="str">
        <f>IF(D3525&lt;&gt;"",VLOOKUP(H3525,TABLEITEM,3,FALSE),"")</f>
        <v>แจ๊คตัวผู้ CAT.6 US-1002</v>
      </c>
      <c r="N3525" s="14">
        <f>INSTOCK!$I3525*INSTOCK!$K3525</f>
        <v>800</v>
      </c>
      <c r="O3525" s="4"/>
      <c r="P3525" s="4"/>
    </row>
    <row r="3526" ht="15.75" hidden="1" customHeight="1">
      <c r="B3526" s="8">
        <v>3845.0</v>
      </c>
      <c r="C3526" s="9">
        <v>43624.0</v>
      </c>
      <c r="D3526" s="6" t="s">
        <v>4643</v>
      </c>
      <c r="E3526" s="4">
        <v>6.206000864E9</v>
      </c>
      <c r="F3526" s="8" t="s">
        <v>4644</v>
      </c>
      <c r="G3526" s="4" t="s">
        <v>1289</v>
      </c>
      <c r="H3526" s="10" t="s">
        <v>4645</v>
      </c>
      <c r="I3526" s="10">
        <v>1.0</v>
      </c>
      <c r="J3526" s="11" t="str">
        <f>IF(D3526&lt;&gt;"",VLOOKUP(H3526,TABLEITEM,5,FALSE),"")</f>
        <v>EA</v>
      </c>
      <c r="K3526" s="12">
        <v>175.0</v>
      </c>
      <c r="L3526" s="13" t="str">
        <f>IF(D3526&lt;&gt;"",VLOOKUP(H3526,TABLEITEM,2,FALSE),"")</f>
        <v/>
      </c>
      <c r="M3526" s="13" t="str">
        <f>IF(D3526&lt;&gt;"",VLOOKUP(H3526,TABLEITEM,3,FALSE),"")</f>
        <v>กุญแจล็อคประตูบานเลื่อนไข 2สองทาง สีบ</v>
      </c>
      <c r="N3526" s="14">
        <f>INSTOCK!$I3526*INSTOCK!$K3526</f>
        <v>175</v>
      </c>
      <c r="O3526" s="4"/>
      <c r="P3526" s="4"/>
    </row>
    <row r="3527" ht="15.75" hidden="1" customHeight="1">
      <c r="B3527" s="8">
        <v>3846.0</v>
      </c>
      <c r="C3527" s="9">
        <v>43624.0</v>
      </c>
      <c r="D3527" s="6" t="s">
        <v>4646</v>
      </c>
      <c r="E3527" s="4">
        <v>6.205000526E9</v>
      </c>
      <c r="F3527" s="8" t="s">
        <v>604</v>
      </c>
      <c r="G3527" s="4" t="s">
        <v>1777</v>
      </c>
      <c r="H3527" s="10" t="s">
        <v>4247</v>
      </c>
      <c r="I3527" s="10">
        <v>3000.0</v>
      </c>
      <c r="J3527" s="11" t="str">
        <f>IF(D3527&lt;&gt;"",VLOOKUP(H3527,TABLEITEM,5,FALSE),"")</f>
        <v>EA</v>
      </c>
      <c r="K3527" s="12">
        <v>2.73</v>
      </c>
      <c r="L3527" s="13" t="str">
        <f>IF(D3527&lt;&gt;"",VLOOKUP(H3527,TABLEITEM,2,FALSE),"")</f>
        <v/>
      </c>
      <c r="M3527" s="13" t="str">
        <f>IF(D3527&lt;&gt;"",VLOOKUP(H3527,TABLEITEM,3,FALSE),"")</f>
        <v>สกรูหัวเหลี่ยม M10x35  HDG</v>
      </c>
      <c r="N3527" s="14">
        <f>INSTOCK!$I3527*INSTOCK!$K3527</f>
        <v>8190</v>
      </c>
      <c r="O3527" s="4" t="s">
        <v>4248</v>
      </c>
      <c r="P3527" s="4"/>
    </row>
    <row r="3528" ht="15.75" hidden="1" customHeight="1">
      <c r="B3528" s="8">
        <v>3847.0</v>
      </c>
      <c r="C3528" s="9">
        <v>43623.0</v>
      </c>
      <c r="D3528" s="6" t="s">
        <v>4647</v>
      </c>
      <c r="E3528" s="4">
        <v>6.206000861E9</v>
      </c>
      <c r="F3528" s="8" t="s">
        <v>604</v>
      </c>
      <c r="G3528" s="4" t="s">
        <v>2144</v>
      </c>
      <c r="H3528" s="10" t="s">
        <v>4601</v>
      </c>
      <c r="I3528" s="10">
        <v>20.0</v>
      </c>
      <c r="J3528" s="11" t="str">
        <f>IF(D3528&lt;&gt;"",VLOOKUP(H3528,TABLEITEM,5,FALSE),"")</f>
        <v>EA</v>
      </c>
      <c r="K3528" s="12">
        <v>127.4</v>
      </c>
      <c r="L3528" s="13" t="str">
        <f>IF(D3528&lt;&gt;"",VLOOKUP(H3528,TABLEITEM,2,FALSE),"")</f>
        <v/>
      </c>
      <c r="M3528" s="13" t="str">
        <f>IF(D3528&lt;&gt;"",VLOOKUP(H3528,TABLEITEM,3,FALSE),"")</f>
        <v>ช่องลมสีดำ</v>
      </c>
      <c r="N3528" s="14">
        <f>INSTOCK!$I3528*INSTOCK!$K3528</f>
        <v>2548</v>
      </c>
      <c r="O3528" s="4" t="s">
        <v>2146</v>
      </c>
      <c r="P3528" s="4"/>
    </row>
    <row r="3529" ht="15.75" hidden="1" customHeight="1">
      <c r="B3529" s="8">
        <v>3848.0</v>
      </c>
      <c r="C3529" s="9">
        <v>43279.0</v>
      </c>
      <c r="D3529" s="6">
        <v>6.10609075E8</v>
      </c>
      <c r="E3529" s="4">
        <v>6.106000796E9</v>
      </c>
      <c r="F3529" s="8"/>
      <c r="G3529" s="4" t="s">
        <v>1130</v>
      </c>
      <c r="H3529" s="10" t="s">
        <v>4648</v>
      </c>
      <c r="I3529" s="10">
        <v>110.0</v>
      </c>
      <c r="J3529" s="11" t="str">
        <f>IF(D3529&lt;&gt;"",VLOOKUP(H3529,TABLEITEM,5,FALSE),"")</f>
        <v>EA</v>
      </c>
      <c r="K3529" s="12">
        <v>3.0</v>
      </c>
      <c r="L3529" s="13" t="str">
        <f>IF(D3529&lt;&gt;"",VLOOKUP(H3529,TABLEITEM,2,FALSE),"")</f>
        <v/>
      </c>
      <c r="M3529" s="13" t="str">
        <f>IF(D3529&lt;&gt;"",VLOOKUP(H3529,TABLEITEM,3,FALSE),"")</f>
        <v>ฟิวส์หลอดแก้วสั้น 0.5A</v>
      </c>
      <c r="N3529" s="14">
        <f>INSTOCK!$I3529*INSTOCK!$K3529</f>
        <v>330</v>
      </c>
      <c r="O3529" s="4"/>
      <c r="P3529" s="4"/>
    </row>
    <row r="3530" ht="15.75" hidden="1" customHeight="1">
      <c r="B3530" s="8">
        <v>3849.0</v>
      </c>
      <c r="C3530" s="9">
        <v>43279.0</v>
      </c>
      <c r="D3530" s="6" t="s">
        <v>4649</v>
      </c>
      <c r="E3530" s="4">
        <v>6.105000634E9</v>
      </c>
      <c r="F3530" s="8" t="s">
        <v>2449</v>
      </c>
      <c r="G3530" s="4" t="s">
        <v>3058</v>
      </c>
      <c r="H3530" s="10" t="s">
        <v>4583</v>
      </c>
      <c r="I3530" s="10">
        <v>2.0</v>
      </c>
      <c r="J3530" s="11" t="str">
        <f>IF(D3530&lt;&gt;"",VLOOKUP(H3530,TABLEITEM,5,FALSE),"")</f>
        <v>คู่</v>
      </c>
      <c r="K3530" s="12">
        <v>500.0</v>
      </c>
      <c r="L3530" s="13" t="str">
        <f>IF(D3530&lt;&gt;"",VLOOKUP(H3530,TABLEITEM,2,FALSE),"")</f>
        <v/>
      </c>
      <c r="M3530" s="13" t="str">
        <f>IF(D3530&lt;&gt;"",VLOOKUP(H3530,TABLEITEM,3,FALSE),"")</f>
        <v>รองเท้าเซฟตี้ Perch รุ่น inov </v>
      </c>
      <c r="N3530" s="14">
        <f>INSTOCK!$I3530*INSTOCK!$K3530</f>
        <v>1000</v>
      </c>
      <c r="O3530" s="4" t="s">
        <v>4650</v>
      </c>
      <c r="P3530" s="4"/>
    </row>
    <row r="3531" ht="15.75" hidden="1" customHeight="1">
      <c r="B3531" s="8">
        <v>3850.0</v>
      </c>
      <c r="C3531" s="9">
        <v>43278.0</v>
      </c>
      <c r="D3531" s="6" t="s">
        <v>4651</v>
      </c>
      <c r="E3531" s="4">
        <v>6.106000791E9</v>
      </c>
      <c r="F3531" s="8" t="s">
        <v>604</v>
      </c>
      <c r="G3531" s="4" t="s">
        <v>1485</v>
      </c>
      <c r="H3531" s="10" t="s">
        <v>2157</v>
      </c>
      <c r="I3531" s="10">
        <v>20.0</v>
      </c>
      <c r="J3531" s="11" t="str">
        <f>IF(D3531&lt;&gt;"",VLOOKUP(H3531,TABLEITEM,5,FALSE),"")</f>
        <v>EA</v>
      </c>
      <c r="K3531" s="12">
        <v>85.8</v>
      </c>
      <c r="L3531" s="13" t="str">
        <f>IF(D3531&lt;&gt;"",VLOOKUP(H3531,TABLEITEM,2,FALSE),"")</f>
        <v/>
      </c>
      <c r="M3531" s="13" t="str">
        <f>IF(D3531&lt;&gt;"",VLOOKUP(H3531,TABLEITEM,3,FALSE),"")</f>
        <v>PILOT LIGHT LED 240V YELLOW</v>
      </c>
      <c r="N3531" s="14">
        <f>INSTOCK!$I3531*INSTOCK!$K3531</f>
        <v>1716</v>
      </c>
      <c r="O3531" s="4"/>
      <c r="P3531" s="4"/>
    </row>
    <row r="3532" ht="15.75" hidden="1" customHeight="1">
      <c r="B3532" s="8">
        <v>3851.0</v>
      </c>
      <c r="C3532" s="9">
        <v>43278.0</v>
      </c>
      <c r="D3532" s="6" t="s">
        <v>4651</v>
      </c>
      <c r="E3532" s="4">
        <v>6.106000791E9</v>
      </c>
      <c r="F3532" s="8" t="s">
        <v>604</v>
      </c>
      <c r="G3532" s="4" t="s">
        <v>1485</v>
      </c>
      <c r="H3532" s="10" t="s">
        <v>2004</v>
      </c>
      <c r="I3532" s="10">
        <v>20.0</v>
      </c>
      <c r="J3532" s="11" t="str">
        <f>IF(D3532&lt;&gt;"",VLOOKUP(H3532,TABLEITEM,5,FALSE),"")</f>
        <v>EA</v>
      </c>
      <c r="K3532" s="12">
        <v>85.8</v>
      </c>
      <c r="L3532" s="13" t="str">
        <f>IF(D3532&lt;&gt;"",VLOOKUP(H3532,TABLEITEM,2,FALSE),"")</f>
        <v/>
      </c>
      <c r="M3532" s="13" t="str">
        <f>IF(D3532&lt;&gt;"",VLOOKUP(H3532,TABLEITEM,3,FALSE),"")</f>
        <v>PILOT LIGHT LED 240V RED</v>
      </c>
      <c r="N3532" s="14">
        <f>INSTOCK!$I3532*INSTOCK!$K3532</f>
        <v>1716</v>
      </c>
      <c r="O3532" s="4"/>
      <c r="P3532" s="4"/>
    </row>
    <row r="3533" ht="15.75" hidden="1" customHeight="1">
      <c r="B3533" s="8">
        <v>3852.0</v>
      </c>
      <c r="C3533" s="9">
        <v>43277.0</v>
      </c>
      <c r="D3533" s="6">
        <v>6.10608486E8</v>
      </c>
      <c r="E3533" s="4">
        <v>6.10600079E9</v>
      </c>
      <c r="F3533" s="8"/>
      <c r="G3533" s="4" t="s">
        <v>1130</v>
      </c>
      <c r="H3533" s="10" t="s">
        <v>4652</v>
      </c>
      <c r="I3533" s="10">
        <v>6.0</v>
      </c>
      <c r="J3533" s="11" t="str">
        <f>IF(D3533&lt;&gt;"",VLOOKUP(H3533,TABLEITEM,5,FALSE),"")</f>
        <v>EA</v>
      </c>
      <c r="K3533" s="12">
        <v>235.125</v>
      </c>
      <c r="L3533" s="13" t="str">
        <f>IF(D3533&lt;&gt;"",VLOOKUP(H3533,TABLEITEM,2,FALSE),"")</f>
        <v/>
      </c>
      <c r="M3533" s="13" t="str">
        <f>IF(D3533&lt;&gt;"",VLOOKUP(H3533,TABLEITEM,3,FALSE),"")</f>
        <v>CT 1000/5 MSQ130</v>
      </c>
      <c r="N3533" s="14">
        <f>INSTOCK!$I3533*INSTOCK!$K3533</f>
        <v>1410.75</v>
      </c>
      <c r="O3533" s="4" t="s">
        <v>4653</v>
      </c>
      <c r="P3533" s="4"/>
    </row>
    <row r="3534" ht="15.75" hidden="1" customHeight="1">
      <c r="B3534" s="8">
        <v>3853.0</v>
      </c>
      <c r="C3534" s="9">
        <v>43277.0</v>
      </c>
      <c r="D3534" s="6" t="s">
        <v>4654</v>
      </c>
      <c r="E3534" s="4">
        <v>6.106000762E9</v>
      </c>
      <c r="F3534" s="8" t="s">
        <v>684</v>
      </c>
      <c r="G3534" s="4" t="s">
        <v>1479</v>
      </c>
      <c r="H3534" s="10" t="s">
        <v>4655</v>
      </c>
      <c r="I3534" s="10">
        <v>10.0</v>
      </c>
      <c r="J3534" s="11" t="str">
        <f>IF(D3534&lt;&gt;"",VLOOKUP(H3534,TABLEITEM,5,FALSE),"")</f>
        <v>EA</v>
      </c>
      <c r="K3534" s="12">
        <v>284.0</v>
      </c>
      <c r="L3534" s="13" t="str">
        <f>IF(D3534&lt;&gt;"",VLOOKUP(H3534,TABLEITEM,2,FALSE),"")</f>
        <v/>
      </c>
      <c r="M3534" s="13" t="str">
        <f>IF(D3534&lt;&gt;"",VLOOKUP(H3534,TABLEITEM,3,FALSE),"")</f>
        <v>Z4.242.6053 O/P 9705 A/8/10/11 PRINTED</v>
      </c>
      <c r="N3534" s="14">
        <f>INSTOCK!$I3534*INSTOCK!$K3534</f>
        <v>2840</v>
      </c>
      <c r="O3534" s="4"/>
      <c r="P3534" s="4"/>
    </row>
    <row r="3535" ht="15.75" hidden="1" customHeight="1">
      <c r="B3535" s="8">
        <v>3854.0</v>
      </c>
      <c r="C3535" s="9">
        <v>43277.0</v>
      </c>
      <c r="D3535" s="6" t="s">
        <v>4654</v>
      </c>
      <c r="E3535" s="4">
        <v>6.106000762E9</v>
      </c>
      <c r="F3535" s="8" t="s">
        <v>684</v>
      </c>
      <c r="G3535" s="4" t="s">
        <v>1479</v>
      </c>
      <c r="H3535" s="18" t="s">
        <v>4656</v>
      </c>
      <c r="I3535" s="10">
        <v>5.0</v>
      </c>
      <c r="J3535" s="11" t="str">
        <f>IF(D3535&lt;&gt;"",VLOOKUP(H3535,TABLEITEM,5,FALSE),"")</f>
        <v>EA</v>
      </c>
      <c r="K3535" s="12">
        <v>12.0</v>
      </c>
      <c r="L3535" s="13" t="str">
        <f>IF(D3535&lt;&gt;"",VLOOKUP(H3535,TABLEITEM,2,FALSE),"")</f>
        <v/>
      </c>
      <c r="M3535" s="13" t="str">
        <f>IF(D3535&lt;&gt;"",VLOOKUP(H3535,TABLEITEM,3,FALSE),"")</f>
        <v>07.311.6155.0 AP4TK/VO GREY END PLATE</v>
      </c>
      <c r="N3535" s="14">
        <f>INSTOCK!$I3535*INSTOCK!$K3535</f>
        <v>60</v>
      </c>
      <c r="O3535" s="4"/>
      <c r="P3535" s="4"/>
    </row>
    <row r="3536" ht="15.75" hidden="1" customHeight="1">
      <c r="B3536" s="8">
        <v>3855.0</v>
      </c>
      <c r="C3536" s="9">
        <v>43277.0</v>
      </c>
      <c r="D3536" s="6" t="s">
        <v>4654</v>
      </c>
      <c r="E3536" s="4">
        <v>6.106000762E9</v>
      </c>
      <c r="F3536" s="8" t="s">
        <v>684</v>
      </c>
      <c r="G3536" s="4" t="s">
        <v>1479</v>
      </c>
      <c r="H3536" s="18" t="s">
        <v>3774</v>
      </c>
      <c r="I3536" s="10">
        <v>5.0</v>
      </c>
      <c r="J3536" s="11" t="str">
        <f>IF(D3536&lt;&gt;"",VLOOKUP(H3536,TABLEITEM,5,FALSE),"")</f>
        <v>EA</v>
      </c>
      <c r="K3536" s="12">
        <v>12.0</v>
      </c>
      <c r="L3536" s="13" t="str">
        <f>IF(D3536&lt;&gt;"",VLOOKUP(H3536,TABLEITEM,2,FALSE),"")</f>
        <v/>
      </c>
      <c r="M3536" s="13" t="str">
        <f>IF(D3536&lt;&gt;"",VLOOKUP(H3536,TABLEITEM,3,FALSE),"")</f>
        <v>End Plate WT2.5-10 #07.313.2555.0</v>
      </c>
      <c r="N3536" s="14">
        <f>INSTOCK!$I3536*INSTOCK!$K3536</f>
        <v>60</v>
      </c>
      <c r="O3536" s="4"/>
      <c r="P3536" s="4"/>
    </row>
    <row r="3537" ht="15.75" hidden="1" customHeight="1">
      <c r="B3537" s="8">
        <v>3856.0</v>
      </c>
      <c r="C3537" s="9">
        <v>43274.0</v>
      </c>
      <c r="D3537" s="6" t="s">
        <v>4657</v>
      </c>
      <c r="E3537" s="4">
        <v>6.105000601E9</v>
      </c>
      <c r="F3537" s="8" t="s">
        <v>604</v>
      </c>
      <c r="G3537" s="4" t="s">
        <v>3099</v>
      </c>
      <c r="H3537" s="10" t="s">
        <v>3683</v>
      </c>
      <c r="I3537" s="10">
        <v>1000.0</v>
      </c>
      <c r="J3537" s="11" t="str">
        <f>IF(D3537&lt;&gt;"",VLOOKUP(H3537,TABLEITEM,5,FALSE),"")</f>
        <v>EA</v>
      </c>
      <c r="K3537" s="12">
        <v>7.17</v>
      </c>
      <c r="L3537" s="13" t="str">
        <f>IF(D3537&lt;&gt;"",VLOOKUP(H3537,TABLEITEM,2,FALSE),"")</f>
        <v/>
      </c>
      <c r="M3537" s="13" t="str">
        <f>IF(D3537&lt;&gt;"",VLOOKUP(H3537,TABLEITEM,3,FALSE),"")</f>
        <v>บานพับตู้ พับขอบกันน้ำพิเศษ รุ่นพับงอ</v>
      </c>
      <c r="N3537" s="14">
        <f>INSTOCK!$I3537*INSTOCK!$K3537</f>
        <v>7170</v>
      </c>
      <c r="O3537" s="4"/>
      <c r="P3537" s="4"/>
    </row>
    <row r="3538" ht="15.75" hidden="1" customHeight="1">
      <c r="B3538" s="8">
        <v>3857.0</v>
      </c>
      <c r="C3538" s="9">
        <v>43273.0</v>
      </c>
      <c r="D3538" s="6">
        <v>6.10607587E8</v>
      </c>
      <c r="E3538" s="4">
        <v>6.106000773E9</v>
      </c>
      <c r="F3538" s="8"/>
      <c r="G3538" s="4" t="s">
        <v>1130</v>
      </c>
      <c r="H3538" s="10" t="s">
        <v>2175</v>
      </c>
      <c r="I3538" s="10">
        <v>1.0</v>
      </c>
      <c r="J3538" s="11" t="str">
        <f>IF(D3538&lt;&gt;"",VLOOKUP(H3538,TABLEITEM,5,FALSE),"")</f>
        <v>EA</v>
      </c>
      <c r="K3538" s="12">
        <v>1166.22</v>
      </c>
      <c r="L3538" s="13" t="str">
        <f>IF(D3538&lt;&gt;"",VLOOKUP(H3538,TABLEITEM,2,FALSE),"")</f>
        <v/>
      </c>
      <c r="M3538" s="13" t="str">
        <f>IF(D3538&lt;&gt;"",VLOOKUP(H3538,TABLEITEM,3,FALSE),"")</f>
        <v>COUNTER H7EC-N </v>
      </c>
      <c r="N3538" s="14">
        <f>INSTOCK!$I3538*INSTOCK!$K3538</f>
        <v>1166.22</v>
      </c>
      <c r="O3538" s="4" t="s">
        <v>4096</v>
      </c>
      <c r="P3538" s="4"/>
    </row>
    <row r="3539" ht="15.75" hidden="1" customHeight="1">
      <c r="B3539" s="8">
        <v>3858.0</v>
      </c>
      <c r="C3539" s="9">
        <v>43273.0</v>
      </c>
      <c r="D3539" s="6" t="s">
        <v>4658</v>
      </c>
      <c r="E3539" s="4">
        <v>6.106000721E9</v>
      </c>
      <c r="F3539" s="8" t="s">
        <v>604</v>
      </c>
      <c r="G3539" s="4" t="s">
        <v>3099</v>
      </c>
      <c r="H3539" s="10" t="s">
        <v>4659</v>
      </c>
      <c r="I3539" s="10">
        <v>1000.0</v>
      </c>
      <c r="J3539" s="11" t="str">
        <f>IF(D3539&lt;&gt;"",VLOOKUP(H3539,TABLEITEM,5,FALSE),"")</f>
        <v>EA</v>
      </c>
      <c r="K3539" s="12">
        <v>10.3</v>
      </c>
      <c r="L3539" s="13" t="str">
        <f>IF(D3539&lt;&gt;"",VLOOKUP(H3539,TABLEITEM,2,FALSE),"")</f>
        <v/>
      </c>
      <c r="M3539" s="13" t="str">
        <f>IF(D3539&lt;&gt;"",VLOOKUP(H3539,TABLEITEM,3,FALSE),"")</f>
        <v>ชุด STOPER WITH ROOLER#001 ชุบขาว</v>
      </c>
      <c r="N3539" s="14">
        <f>INSTOCK!$I3539*INSTOCK!$K3539</f>
        <v>10300</v>
      </c>
      <c r="O3539" s="4"/>
      <c r="P3539" s="4"/>
    </row>
    <row r="3540" ht="15.75" hidden="1" customHeight="1">
      <c r="B3540" s="8">
        <v>3859.0</v>
      </c>
      <c r="C3540" s="9">
        <v>43273.0</v>
      </c>
      <c r="D3540" s="6" t="s">
        <v>4660</v>
      </c>
      <c r="E3540" s="4">
        <v>6.106000768E9</v>
      </c>
      <c r="F3540" s="8" t="s">
        <v>684</v>
      </c>
      <c r="G3540" s="4" t="s">
        <v>1446</v>
      </c>
      <c r="H3540" s="10" t="s">
        <v>4661</v>
      </c>
      <c r="I3540" s="10">
        <v>1.0</v>
      </c>
      <c r="J3540" s="11" t="str">
        <f>IF(D3540&lt;&gt;"",VLOOKUP(H3540,TABLEITEM,5,FALSE),"")</f>
        <v>EA</v>
      </c>
      <c r="K3540" s="12">
        <v>2642.25</v>
      </c>
      <c r="L3540" s="13" t="str">
        <f>IF(D3540&lt;&gt;"",VLOOKUP(H3540,TABLEITEM,2,FALSE),"")</f>
        <v/>
      </c>
      <c r="M3540" s="13" t="str">
        <f>IF(D3540&lt;&gt;"",VLOOKUP(H3540,TABLEITEM,3,FALSE),"")</f>
        <v>ไฟสัญญาณ TPWS7L-1 Y 24V</v>
      </c>
      <c r="N3540" s="14">
        <f>INSTOCK!$I3540*INSTOCK!$K3540</f>
        <v>2642.25</v>
      </c>
      <c r="O3540" s="4" t="s">
        <v>4662</v>
      </c>
      <c r="P3540" s="4"/>
    </row>
    <row r="3541" ht="15.75" hidden="1" customHeight="1">
      <c r="B3541" s="8">
        <v>3860.0</v>
      </c>
      <c r="C3541" s="9">
        <v>43272.0</v>
      </c>
      <c r="D3541" s="6" t="s">
        <v>4663</v>
      </c>
      <c r="E3541" s="4"/>
      <c r="F3541" s="8" t="s">
        <v>1973</v>
      </c>
      <c r="G3541" s="4" t="s">
        <v>4664</v>
      </c>
      <c r="H3541" s="10" t="s">
        <v>4665</v>
      </c>
      <c r="I3541" s="10">
        <v>1.0</v>
      </c>
      <c r="J3541" s="11" t="str">
        <f>IF(D3541&lt;&gt;"",VLOOKUP(H3541,TABLEITEM,5,FALSE),"")</f>
        <v>EA</v>
      </c>
      <c r="K3541" s="12">
        <v>550.0</v>
      </c>
      <c r="L3541" s="13" t="str">
        <f>IF(D3541&lt;&gt;"",VLOOKUP(H3541,TABLEITEM,2,FALSE),"")</f>
        <v/>
      </c>
      <c r="M3541" s="13" t="str">
        <f>IF(D3541&lt;&gt;"",VLOOKUP(H3541,TABLEITEM,3,FALSE),"")</f>
        <v>หัวเตา เผาจิ๊ก KB5</v>
      </c>
      <c r="N3541" s="14">
        <f>INSTOCK!$I3541*INSTOCK!$K3541</f>
        <v>550</v>
      </c>
      <c r="O3541" s="4"/>
      <c r="P3541" s="4"/>
    </row>
    <row r="3542" ht="15.75" hidden="1" customHeight="1">
      <c r="B3542" s="8">
        <v>3861.0</v>
      </c>
      <c r="C3542" s="9">
        <v>43272.0</v>
      </c>
      <c r="D3542" s="6" t="s">
        <v>4666</v>
      </c>
      <c r="E3542" s="4">
        <v>6.106000759E9</v>
      </c>
      <c r="F3542" s="8" t="s">
        <v>684</v>
      </c>
      <c r="G3542" s="4" t="s">
        <v>3541</v>
      </c>
      <c r="H3542" s="10" t="s">
        <v>4304</v>
      </c>
      <c r="I3542" s="10">
        <v>2.0</v>
      </c>
      <c r="J3542" s="11" t="str">
        <f>IF(D3542&lt;&gt;"",VLOOKUP(H3542,TABLEITEM,5,FALSE),"")</f>
        <v>EA</v>
      </c>
      <c r="K3542" s="12">
        <v>321.75</v>
      </c>
      <c r="L3542" s="13" t="str">
        <f>IF(D3542&lt;&gt;"",VLOOKUP(H3542,TABLEITEM,2,FALSE),"")</f>
        <v/>
      </c>
      <c r="M3542" s="13" t="str">
        <f>IF(D3542&lt;&gt;"",VLOOKUP(H3542,TABLEITEM,3,FALSE),"")</f>
        <v>MCB S202M-C6 2P C6</v>
      </c>
      <c r="N3542" s="14">
        <f>INSTOCK!$I3542*INSTOCK!$K3542</f>
        <v>643.5</v>
      </c>
      <c r="O3542" s="4" t="s">
        <v>4667</v>
      </c>
      <c r="P3542" s="4"/>
    </row>
    <row r="3543" ht="15.75" hidden="1" customHeight="1">
      <c r="B3543" s="8">
        <v>3862.0</v>
      </c>
      <c r="C3543" s="9">
        <v>43272.0</v>
      </c>
      <c r="D3543" s="6" t="s">
        <v>4668</v>
      </c>
      <c r="E3543" s="4">
        <v>6.106000761E9</v>
      </c>
      <c r="F3543" s="8" t="s">
        <v>604</v>
      </c>
      <c r="G3543" s="4" t="s">
        <v>2453</v>
      </c>
      <c r="H3543" s="10" t="s">
        <v>2905</v>
      </c>
      <c r="I3543" s="10">
        <v>20.0</v>
      </c>
      <c r="J3543" s="11" t="str">
        <f>IF(D3543&lt;&gt;"",VLOOKUP(H3543,TABLEITEM,5,FALSE),"")</f>
        <v>EA</v>
      </c>
      <c r="K3543" s="12">
        <v>26.6</v>
      </c>
      <c r="L3543" s="13" t="str">
        <f>IF(D3543&lt;&gt;"",VLOOKUP(H3543,TABLEITEM,2,FALSE),"")</f>
        <v/>
      </c>
      <c r="M3543" s="13" t="str">
        <f>IF(D3543&lt;&gt;"",VLOOKUP(H3543,TABLEITEM,3,FALSE),"")</f>
        <v>ดอกสว่าน NACHI 3.3 MM</v>
      </c>
      <c r="N3543" s="14">
        <f>INSTOCK!$I3543*INSTOCK!$K3543</f>
        <v>532</v>
      </c>
      <c r="O3543" s="4"/>
      <c r="P3543" s="4"/>
    </row>
    <row r="3544" ht="15.75" hidden="1" customHeight="1">
      <c r="B3544" s="8">
        <v>3863.0</v>
      </c>
      <c r="C3544" s="9">
        <v>43272.0</v>
      </c>
      <c r="D3544" s="6" t="s">
        <v>4668</v>
      </c>
      <c r="E3544" s="4">
        <v>6.106000761E9</v>
      </c>
      <c r="F3544" s="8" t="s">
        <v>604</v>
      </c>
      <c r="G3544" s="4" t="s">
        <v>2453</v>
      </c>
      <c r="H3544" s="10" t="s">
        <v>2585</v>
      </c>
      <c r="I3544" s="10">
        <v>20.0</v>
      </c>
      <c r="J3544" s="11" t="str">
        <f>IF(D3544&lt;&gt;"",VLOOKUP(H3544,TABLEITEM,5,FALSE),"")</f>
        <v>EA</v>
      </c>
      <c r="K3544" s="12">
        <v>31.26</v>
      </c>
      <c r="L3544" s="13" t="str">
        <f>IF(D3544&lt;&gt;"",VLOOKUP(H3544,TABLEITEM,2,FALSE),"")</f>
        <v/>
      </c>
      <c r="M3544" s="13" t="str">
        <f>IF(D3544&lt;&gt;"",VLOOKUP(H3544,TABLEITEM,3,FALSE),"")</f>
        <v>ดอกสว่านนาซิ L/N 500 4.0mm</v>
      </c>
      <c r="N3544" s="14">
        <f>INSTOCK!$I3544*INSTOCK!$K3544</f>
        <v>625.2</v>
      </c>
      <c r="O3544" s="4"/>
      <c r="P3544" s="4"/>
    </row>
    <row r="3545" ht="15.75" hidden="1" customHeight="1">
      <c r="B3545" s="8">
        <v>3864.0</v>
      </c>
      <c r="C3545" s="9">
        <v>43272.0</v>
      </c>
      <c r="D3545" s="6" t="s">
        <v>4668</v>
      </c>
      <c r="E3545" s="4">
        <v>6.106000761E9</v>
      </c>
      <c r="F3545" s="8" t="s">
        <v>604</v>
      </c>
      <c r="G3545" s="4" t="s">
        <v>2453</v>
      </c>
      <c r="H3545" s="10" t="s">
        <v>4033</v>
      </c>
      <c r="I3545" s="10">
        <v>5.0</v>
      </c>
      <c r="J3545" s="11" t="str">
        <f>IF(D3545&lt;&gt;"",VLOOKUP(H3545,TABLEITEM,5,FALSE),"")</f>
        <v>EA</v>
      </c>
      <c r="K3545" s="12">
        <v>71.82</v>
      </c>
      <c r="L3545" s="13" t="str">
        <f>IF(D3545&lt;&gt;"",VLOOKUP(H3545,TABLEITEM,2,FALSE),"")</f>
        <v/>
      </c>
      <c r="M3545" s="13" t="str">
        <f>IF(D3545&lt;&gt;"",VLOOKUP(H3545,TABLEITEM,3,FALSE),"")</f>
        <v>ดอกสว่าน นาซิ L/N 500 7.0มิล</v>
      </c>
      <c r="N3545" s="14">
        <f>INSTOCK!$I3545*INSTOCK!$K3545</f>
        <v>359.1</v>
      </c>
      <c r="O3545" s="4"/>
      <c r="P3545" s="4"/>
    </row>
    <row r="3546" ht="15.75" hidden="1" customHeight="1">
      <c r="B3546" s="8">
        <v>3865.0</v>
      </c>
      <c r="C3546" s="9">
        <v>43272.0</v>
      </c>
      <c r="D3546" s="6" t="s">
        <v>4668</v>
      </c>
      <c r="E3546" s="4">
        <v>6.106000761E9</v>
      </c>
      <c r="F3546" s="8" t="s">
        <v>604</v>
      </c>
      <c r="G3546" s="4" t="s">
        <v>2453</v>
      </c>
      <c r="H3546" s="10" t="s">
        <v>2587</v>
      </c>
      <c r="I3546" s="10">
        <v>5.0</v>
      </c>
      <c r="J3546" s="11" t="str">
        <f>IF(D3546&lt;&gt;"",VLOOKUP(H3546,TABLEITEM,5,FALSE),"")</f>
        <v>EA</v>
      </c>
      <c r="K3546" s="12">
        <v>149.63</v>
      </c>
      <c r="L3546" s="13" t="str">
        <f>IF(D3546&lt;&gt;"",VLOOKUP(H3546,TABLEITEM,2,FALSE),"")</f>
        <v/>
      </c>
      <c r="M3546" s="13" t="str">
        <f>IF(D3546&lt;&gt;"",VLOOKUP(H3546,TABLEITEM,3,FALSE),"")</f>
        <v>ดอกสว่านนาซิ L/N 500 10.0mm</v>
      </c>
      <c r="N3546" s="14">
        <f>INSTOCK!$I3546*INSTOCK!$K3546</f>
        <v>748.15</v>
      </c>
      <c r="O3546" s="4"/>
      <c r="P3546" s="4"/>
    </row>
    <row r="3547" ht="15.75" hidden="1" customHeight="1">
      <c r="B3547" s="8">
        <v>3866.0</v>
      </c>
      <c r="C3547" s="9">
        <v>43271.0</v>
      </c>
      <c r="D3547" s="6" t="s">
        <v>4669</v>
      </c>
      <c r="E3547" s="4">
        <v>6.10600073E9</v>
      </c>
      <c r="F3547" s="8" t="s">
        <v>4670</v>
      </c>
      <c r="G3547" s="4" t="s">
        <v>1962</v>
      </c>
      <c r="H3547" s="10" t="s">
        <v>4671</v>
      </c>
      <c r="I3547" s="10">
        <v>3.0</v>
      </c>
      <c r="J3547" s="11" t="str">
        <f>IF(D3547&lt;&gt;"",VLOOKUP(H3547,TABLEITEM,5,FALSE),"")</f>
        <v>EA</v>
      </c>
      <c r="K3547" s="12">
        <v>7000.0</v>
      </c>
      <c r="L3547" s="13" t="str">
        <f>IF(D3547&lt;&gt;"",VLOOKUP(H3547,TABLEITEM,2,FALSE),"")</f>
        <v/>
      </c>
      <c r="M3547" s="13" t="str">
        <f>IF(D3547&lt;&gt;"",VLOOKUP(H3547,TABLEITEM,3,FALSE),"")</f>
        <v>IME-MF72421 NEMO72LE A230V 5A 450V RS485 </v>
      </c>
      <c r="N3547" s="14">
        <f>INSTOCK!$I3547*INSTOCK!$K3547</f>
        <v>21000</v>
      </c>
      <c r="O3547" s="4"/>
      <c r="P3547" s="4"/>
    </row>
    <row r="3548" ht="15.75" hidden="1" customHeight="1">
      <c r="B3548" s="8">
        <v>3867.0</v>
      </c>
      <c r="C3548" s="9">
        <v>43271.0</v>
      </c>
      <c r="D3548" s="6" t="s">
        <v>4672</v>
      </c>
      <c r="E3548" s="4">
        <v>6.106000725E9</v>
      </c>
      <c r="F3548" s="8" t="s">
        <v>4673</v>
      </c>
      <c r="G3548" s="4" t="s">
        <v>1962</v>
      </c>
      <c r="H3548" s="10" t="s">
        <v>4671</v>
      </c>
      <c r="I3548" s="10">
        <v>1.0</v>
      </c>
      <c r="J3548" s="11" t="str">
        <f>IF(D3548&lt;&gt;"",VLOOKUP(H3548,TABLEITEM,5,FALSE),"")</f>
        <v>EA</v>
      </c>
      <c r="K3548" s="12">
        <v>7000.0</v>
      </c>
      <c r="L3548" s="13" t="str">
        <f>IF(D3548&lt;&gt;"",VLOOKUP(H3548,TABLEITEM,2,FALSE),"")</f>
        <v/>
      </c>
      <c r="M3548" s="13" t="str">
        <f>IF(D3548&lt;&gt;"",VLOOKUP(H3548,TABLEITEM,3,FALSE),"")</f>
        <v>IME-MF72421 NEMO72LE A230V 5A 450V RS485 </v>
      </c>
      <c r="N3548" s="14">
        <f>INSTOCK!$I3548*INSTOCK!$K3548</f>
        <v>7000</v>
      </c>
      <c r="O3548" s="4"/>
      <c r="P3548" s="4"/>
    </row>
    <row r="3549" ht="15.75" hidden="1" customHeight="1">
      <c r="B3549" s="8">
        <v>3868.0</v>
      </c>
      <c r="C3549" s="9">
        <v>43271.0</v>
      </c>
      <c r="D3549" s="6">
        <v>4.18051237E8</v>
      </c>
      <c r="E3549" s="4">
        <v>6.106000748E9</v>
      </c>
      <c r="F3549" s="8" t="s">
        <v>2875</v>
      </c>
      <c r="G3549" s="4" t="s">
        <v>1274</v>
      </c>
      <c r="H3549" s="10" t="s">
        <v>2555</v>
      </c>
      <c r="I3549" s="10">
        <v>4.0</v>
      </c>
      <c r="J3549" s="11" t="str">
        <f>IF(D3549&lt;&gt;"",VLOOKUP(H3549,TABLEITEM,5,FALSE),"")</f>
        <v>EA</v>
      </c>
      <c r="K3549" s="12">
        <v>700.0</v>
      </c>
      <c r="L3549" s="13" t="str">
        <f>IF(D3549&lt;&gt;"",VLOOKUP(H3549,TABLEITEM,2,FALSE),"")</f>
        <v/>
      </c>
      <c r="M3549" s="13" t="str">
        <f>IF(D3549&lt;&gt;"",VLOOKUP(H3549,TABLEITEM,3,FALSE),"")</f>
        <v>สก๊อตไบร์ MULTI-FLEX ขนาด 8x20 สีเทา (60แผ่น/ม้วน)</v>
      </c>
      <c r="N3549" s="14">
        <f>INSTOCK!$I3549*INSTOCK!$K3549</f>
        <v>2800</v>
      </c>
      <c r="O3549" s="4"/>
      <c r="P3549" s="4"/>
    </row>
    <row r="3550" ht="15.75" customHeight="1">
      <c r="B3550" s="8">
        <v>3869.0</v>
      </c>
      <c r="C3550" s="9">
        <v>43271.0</v>
      </c>
      <c r="D3550" s="6" t="s">
        <v>4674</v>
      </c>
      <c r="E3550" s="4">
        <v>6.106000755E9</v>
      </c>
      <c r="F3550" s="8" t="s">
        <v>604</v>
      </c>
      <c r="G3550" s="4" t="s">
        <v>965</v>
      </c>
      <c r="H3550" s="18" t="s">
        <v>1881</v>
      </c>
      <c r="I3550" s="10">
        <v>9.0</v>
      </c>
      <c r="J3550" s="11" t="str">
        <f>IF(D3550&lt;&gt;"",VLOOKUP(H3550,TABLEITEM,5,FALSE),"")</f>
        <v>EA</v>
      </c>
      <c r="K3550" s="12">
        <v>8.0</v>
      </c>
      <c r="L3550" s="13" t="str">
        <f>IF(D3550&lt;&gt;"",VLOOKUP(H3550,TABLEITEM,2,FALSE),"")</f>
        <v/>
      </c>
      <c r="M3550" s="13" t="str">
        <f>IF(D3550&lt;&gt;"",VLOOKUP(H3550,TABLEITEM,3,FALSE),"")</f>
        <v>บ๊อกลอย PVC 2x4</v>
      </c>
      <c r="N3550" s="14">
        <f>INSTOCK!$I3550*INSTOCK!$K3550</f>
        <v>72</v>
      </c>
      <c r="O3550" s="4"/>
      <c r="P3550" s="4"/>
    </row>
    <row r="3551" ht="15.75" hidden="1" customHeight="1">
      <c r="B3551" s="8">
        <v>3870.0</v>
      </c>
      <c r="C3551" s="9">
        <v>43271.0</v>
      </c>
      <c r="D3551" s="6" t="s">
        <v>4674</v>
      </c>
      <c r="E3551" s="4">
        <v>6.106000755E9</v>
      </c>
      <c r="F3551" s="8" t="s">
        <v>604</v>
      </c>
      <c r="G3551" s="4" t="s">
        <v>965</v>
      </c>
      <c r="H3551" s="10" t="s">
        <v>4675</v>
      </c>
      <c r="I3551" s="10">
        <v>1.0</v>
      </c>
      <c r="J3551" s="11" t="str">
        <f>IF(D3551&lt;&gt;"",VLOOKUP(H3551,TABLEITEM,5,FALSE),"")</f>
        <v>EA</v>
      </c>
      <c r="K3551" s="12">
        <v>115.0</v>
      </c>
      <c r="L3551" s="13" t="str">
        <f>IF(D3551&lt;&gt;"",VLOOKUP(H3551,TABLEITEM,2,FALSE),"")</f>
        <v/>
      </c>
      <c r="M3551" s="13" t="str">
        <f>IF(D3551&lt;&gt;"",VLOOKUP(H3551,TABLEITEM,3,FALSE),"")</f>
        <v>ก๊อกบอลสนาม 1/2"</v>
      </c>
      <c r="N3551" s="14">
        <f>INSTOCK!$I3551*INSTOCK!$K3551</f>
        <v>115</v>
      </c>
      <c r="O3551" s="4"/>
      <c r="P3551" s="4"/>
    </row>
    <row r="3552" ht="15.75" hidden="1" customHeight="1">
      <c r="B3552" s="8">
        <v>3871.0</v>
      </c>
      <c r="C3552" s="9">
        <v>43271.0</v>
      </c>
      <c r="D3552" s="6" t="s">
        <v>4674</v>
      </c>
      <c r="E3552" s="4">
        <v>6.106000755E9</v>
      </c>
      <c r="F3552" s="8" t="s">
        <v>604</v>
      </c>
      <c r="G3552" s="4" t="s">
        <v>965</v>
      </c>
      <c r="H3552" s="10" t="s">
        <v>4676</v>
      </c>
      <c r="I3552" s="10">
        <v>1.0</v>
      </c>
      <c r="J3552" s="11" t="str">
        <f>IF(D3552&lt;&gt;"",VLOOKUP(H3552,TABLEITEM,5,FALSE),"")</f>
        <v>EA</v>
      </c>
      <c r="K3552" s="12">
        <v>6.0</v>
      </c>
      <c r="L3552" s="13" t="str">
        <f>IF(D3552&lt;&gt;"",VLOOKUP(H3552,TABLEITEM,2,FALSE),"")</f>
        <v/>
      </c>
      <c r="M3552" s="13" t="str">
        <f>IF(D3552&lt;&gt;"",VLOOKUP(H3552,TABLEITEM,3,FALSE),"")</f>
        <v>แค้มรัดสายยาง 3/4"</v>
      </c>
      <c r="N3552" s="14">
        <f>INSTOCK!$I3552*INSTOCK!$K3552</f>
        <v>6</v>
      </c>
      <c r="O3552" s="4"/>
      <c r="P3552" s="4"/>
    </row>
    <row r="3553" ht="15.75" hidden="1" customHeight="1">
      <c r="B3553" s="8">
        <v>3872.0</v>
      </c>
      <c r="C3553" s="9">
        <v>43271.0</v>
      </c>
      <c r="D3553" s="6" t="s">
        <v>4674</v>
      </c>
      <c r="E3553" s="4">
        <v>6.106000755E9</v>
      </c>
      <c r="F3553" s="8" t="s">
        <v>604</v>
      </c>
      <c r="G3553" s="4" t="s">
        <v>965</v>
      </c>
      <c r="H3553" s="10" t="s">
        <v>2135</v>
      </c>
      <c r="I3553" s="10">
        <v>10.0</v>
      </c>
      <c r="J3553" s="11" t="str">
        <f>IF(D3553&lt;&gt;"",VLOOKUP(H3553,TABLEITEM,5,FALSE),"")</f>
        <v>แผง</v>
      </c>
      <c r="K3553" s="12">
        <v>20.0</v>
      </c>
      <c r="L3553" s="13" t="str">
        <f>IF(D3553&lt;&gt;"",VLOOKUP(H3553,TABLEITEM,2,FALSE),"")</f>
        <v/>
      </c>
      <c r="M3553" s="13" t="str">
        <f>IF(D3553&lt;&gt;"",VLOOKUP(H3553,TABLEITEM,3,FALSE),"")</f>
        <v>ใบเลื่อยจิ๊กซอ BOSCH T118A</v>
      </c>
      <c r="N3553" s="14">
        <f>INSTOCK!$I3553*INSTOCK!$K3553</f>
        <v>200</v>
      </c>
      <c r="O3553" s="4"/>
      <c r="P3553" s="4"/>
    </row>
    <row r="3554" ht="15.75" hidden="1" customHeight="1">
      <c r="B3554" s="8">
        <v>3873.0</v>
      </c>
      <c r="C3554" s="9">
        <v>43271.0</v>
      </c>
      <c r="D3554" s="6">
        <v>6.10606569E8</v>
      </c>
      <c r="E3554" s="4">
        <v>6.106000758E9</v>
      </c>
      <c r="F3554" s="8"/>
      <c r="G3554" s="4" t="s">
        <v>1130</v>
      </c>
      <c r="H3554" s="10" t="s">
        <v>3922</v>
      </c>
      <c r="I3554" s="10">
        <v>3.0</v>
      </c>
      <c r="J3554" s="11" t="str">
        <f>IF(D3554&lt;&gt;"",VLOOKUP(H3554,TABLEITEM,5,FALSE),"")</f>
        <v>EA</v>
      </c>
      <c r="K3554" s="12">
        <v>121.123</v>
      </c>
      <c r="L3554" s="13" t="str">
        <f>IF(D3554&lt;&gt;"",VLOOKUP(H3554,TABLEITEM,2,FALSE),"")</f>
        <v/>
      </c>
      <c r="M3554" s="13" t="str">
        <f>IF(D3554&lt;&gt;"",VLOOKUP(H3554,TABLEITEM,3,FALSE),"")</f>
        <v>CT50/5 MSQ40</v>
      </c>
      <c r="N3554" s="14">
        <f>INSTOCK!$I3554*INSTOCK!$K3554</f>
        <v>363.369</v>
      </c>
      <c r="O3554" s="4" t="s">
        <v>1898</v>
      </c>
      <c r="P3554" s="4"/>
    </row>
    <row r="3555" ht="15.75" hidden="1" customHeight="1">
      <c r="B3555" s="8">
        <v>3874.0</v>
      </c>
      <c r="C3555" s="9">
        <v>43271.0</v>
      </c>
      <c r="D3555" s="6" t="s">
        <v>4677</v>
      </c>
      <c r="E3555" s="4">
        <v>6.106000753E9</v>
      </c>
      <c r="F3555" s="8" t="s">
        <v>684</v>
      </c>
      <c r="G3555" s="4" t="s">
        <v>1479</v>
      </c>
      <c r="H3555" s="10" t="s">
        <v>4678</v>
      </c>
      <c r="I3555" s="10">
        <v>1.0</v>
      </c>
      <c r="J3555" s="11" t="str">
        <f>IF(D3555&lt;&gt;"",VLOOKUP(H3555,TABLEITEM,5,FALSE),"")</f>
        <v>EA</v>
      </c>
      <c r="K3555" s="12">
        <v>3330.0</v>
      </c>
      <c r="L3555" s="13" t="str">
        <f>IF(D3555&lt;&gt;"",VLOOKUP(H3555,TABLEITEM,2,FALSE),"")</f>
        <v/>
      </c>
      <c r="M3555" s="13" t="str">
        <f>IF(D3555&lt;&gt;"",VLOOKUP(H3555,TABLEITEM,3,FALSE),"")</f>
        <v>81.000.6530.0 WIPOS PS1 24-5</v>
      </c>
      <c r="N3555" s="14">
        <f>INSTOCK!$I3555*INSTOCK!$K3555</f>
        <v>3330</v>
      </c>
      <c r="O3555" s="4"/>
      <c r="P3555" s="4"/>
    </row>
    <row r="3556" ht="15.75" hidden="1" customHeight="1">
      <c r="B3556" s="8">
        <v>3875.0</v>
      </c>
      <c r="C3556" s="9">
        <v>43271.0</v>
      </c>
      <c r="D3556" s="6" t="s">
        <v>4677</v>
      </c>
      <c r="E3556" s="4">
        <v>6.106000753E9</v>
      </c>
      <c r="F3556" s="8" t="s">
        <v>684</v>
      </c>
      <c r="G3556" s="4" t="s">
        <v>1479</v>
      </c>
      <c r="H3556" s="10" t="s">
        <v>4679</v>
      </c>
      <c r="I3556" s="10">
        <v>24.0</v>
      </c>
      <c r="J3556" s="11" t="str">
        <f>IF(D3556&lt;&gt;"",VLOOKUP(H3556,TABLEITEM,5,FALSE),"")</f>
        <v>EA</v>
      </c>
      <c r="K3556" s="12">
        <v>58.0</v>
      </c>
      <c r="L3556" s="13" t="str">
        <f>IF(D3556&lt;&gt;"",VLOOKUP(H3556,TABLEITEM,2,FALSE),"")</f>
        <v/>
      </c>
      <c r="M3556" s="13" t="str">
        <f>IF(D3556&lt;&gt;"",VLOOKUP(H3556,TABLEITEM,3,FALSE),"")</f>
        <v>093.16.16 WAY JUMPER LINK(BLUE)</v>
      </c>
      <c r="N3556" s="14">
        <f>INSTOCK!$I3556*INSTOCK!$K3556</f>
        <v>1392</v>
      </c>
      <c r="O3556" s="4"/>
      <c r="P3556" s="4"/>
    </row>
    <row r="3557" ht="15.75" hidden="1" customHeight="1">
      <c r="B3557" s="8">
        <v>3876.0</v>
      </c>
      <c r="C3557" s="9">
        <v>43269.0</v>
      </c>
      <c r="D3557" s="6" t="s">
        <v>4680</v>
      </c>
      <c r="E3557" s="4">
        <v>6.106000732E9</v>
      </c>
      <c r="F3557" s="8" t="s">
        <v>1989</v>
      </c>
      <c r="G3557" s="4" t="s">
        <v>1990</v>
      </c>
      <c r="H3557" s="10" t="s">
        <v>2439</v>
      </c>
      <c r="I3557" s="10">
        <v>6.0</v>
      </c>
      <c r="J3557" s="11" t="str">
        <f>IF(D3557&lt;&gt;"",VLOOKUP(H3557,TABLEITEM,5,FALSE),"")</f>
        <v>EA</v>
      </c>
      <c r="K3557" s="12">
        <v>29.0</v>
      </c>
      <c r="L3557" s="13" t="str">
        <f>IF(D3557&lt;&gt;"",VLOOKUP(H3557,TABLEITEM,2,FALSE),"")</f>
        <v/>
      </c>
      <c r="M3557" s="13" t="str">
        <f>IF(D3557&lt;&gt;"",VLOOKUP(H3557,TABLEITEM,3,FALSE),"")</f>
        <v>ปากกาลบคำผิด ควอนตั้ม มารีนบลู 5มล.</v>
      </c>
      <c r="N3557" s="14">
        <f>INSTOCK!$I3557*INSTOCK!$K3557</f>
        <v>174</v>
      </c>
      <c r="O3557" s="4"/>
      <c r="P3557" s="4"/>
    </row>
    <row r="3558" ht="15.75" hidden="1" customHeight="1">
      <c r="B3558" s="8">
        <v>3877.0</v>
      </c>
      <c r="C3558" s="9">
        <v>43269.0</v>
      </c>
      <c r="D3558" s="6" t="s">
        <v>4680</v>
      </c>
      <c r="E3558" s="4">
        <v>6.106000732E9</v>
      </c>
      <c r="F3558" s="8" t="s">
        <v>1989</v>
      </c>
      <c r="G3558" s="4" t="s">
        <v>1990</v>
      </c>
      <c r="H3558" s="10" t="s">
        <v>3416</v>
      </c>
      <c r="I3558" s="10">
        <v>48.0</v>
      </c>
      <c r="J3558" s="11" t="str">
        <f>IF(D3558&lt;&gt;"",VLOOKUP(H3558,TABLEITEM,5,FALSE),"")</f>
        <v>EA</v>
      </c>
      <c r="K3558" s="12">
        <v>4.0</v>
      </c>
      <c r="L3558" s="13" t="str">
        <f>IF(D3558&lt;&gt;"",VLOOKUP(H3558,TABLEITEM,2,FALSE),"")</f>
        <v/>
      </c>
      <c r="M3558" s="13" t="str">
        <f>IF(D3558&lt;&gt;"",VLOOKUP(H3558,TABLEITEM,3,FALSE),"")</f>
        <v>ลวดเย็บเบอร์ 10 ตราช้าง ไททาเนีย</v>
      </c>
      <c r="N3558" s="14">
        <f>INSTOCK!$I3558*INSTOCK!$K3558</f>
        <v>192</v>
      </c>
      <c r="O3558" s="4"/>
      <c r="P3558" s="4"/>
    </row>
    <row r="3559" ht="15.75" hidden="1" customHeight="1">
      <c r="B3559" s="8">
        <v>3878.0</v>
      </c>
      <c r="C3559" s="9">
        <v>43269.0</v>
      </c>
      <c r="D3559" s="6" t="s">
        <v>4680</v>
      </c>
      <c r="E3559" s="4">
        <v>6.106000732E9</v>
      </c>
      <c r="F3559" s="8" t="s">
        <v>1989</v>
      </c>
      <c r="G3559" s="4" t="s">
        <v>1990</v>
      </c>
      <c r="H3559" s="10" t="s">
        <v>1991</v>
      </c>
      <c r="I3559" s="10">
        <v>24.0</v>
      </c>
      <c r="J3559" s="11" t="str">
        <f>IF(D3559&lt;&gt;"",VLOOKUP(H3559,TABLEITEM,5,FALSE),"")</f>
        <v>EA</v>
      </c>
      <c r="K3559" s="12">
        <v>8.5</v>
      </c>
      <c r="L3559" s="13" t="str">
        <f>IF(D3559&lt;&gt;"",VLOOKUP(H3559,TABLEITEM,2,FALSE),"")</f>
        <v/>
      </c>
      <c r="M3559" s="13" t="str">
        <f>IF(D3559&lt;&gt;"",VLOOKUP(H3559,TABLEITEM,3,FALSE),"")</f>
        <v>ปากกาเคมี/มาร์คเกอร์ ตราม้า 2หัว น้ำเงิน</v>
      </c>
      <c r="N3559" s="14">
        <f>INSTOCK!$I3559*INSTOCK!$K3559</f>
        <v>204</v>
      </c>
      <c r="O3559" s="4"/>
      <c r="P3559" s="4"/>
    </row>
    <row r="3560" ht="15.75" hidden="1" customHeight="1">
      <c r="B3560" s="8">
        <v>3879.0</v>
      </c>
      <c r="C3560" s="9">
        <v>43269.0</v>
      </c>
      <c r="D3560" s="6" t="s">
        <v>4680</v>
      </c>
      <c r="E3560" s="4">
        <v>6.106000732E9</v>
      </c>
      <c r="F3560" s="8" t="s">
        <v>1989</v>
      </c>
      <c r="G3560" s="4" t="s">
        <v>1990</v>
      </c>
      <c r="H3560" s="10" t="s">
        <v>4681</v>
      </c>
      <c r="I3560" s="10">
        <v>6.0</v>
      </c>
      <c r="J3560" s="11" t="str">
        <f>IF(D3560&lt;&gt;"",VLOOKUP(H3560,TABLEITEM,5,FALSE),"")</f>
        <v>EA</v>
      </c>
      <c r="K3560" s="12">
        <v>50.0</v>
      </c>
      <c r="L3560" s="13" t="str">
        <f>IF(D3560&lt;&gt;"",VLOOKUP(H3560,TABLEITEM,2,FALSE),"")</f>
        <v/>
      </c>
      <c r="M3560" s="13" t="str">
        <f>IF(D3560&lt;&gt;"",VLOOKUP(H3560,TABLEITEM,3,FALSE),"")</f>
        <v>ปากกาเพ้นท์ ซากุระ XPMK-B 2มม เงิน</v>
      </c>
      <c r="N3560" s="14">
        <f>INSTOCK!$I3560*INSTOCK!$K3560</f>
        <v>300</v>
      </c>
      <c r="O3560" s="4"/>
      <c r="P3560" s="4"/>
    </row>
    <row r="3561" ht="15.75" hidden="1" customHeight="1">
      <c r="B3561" s="8">
        <v>3880.0</v>
      </c>
      <c r="C3561" s="9">
        <v>43269.0</v>
      </c>
      <c r="D3561" s="6" t="s">
        <v>4680</v>
      </c>
      <c r="E3561" s="4">
        <v>6.106000732E9</v>
      </c>
      <c r="F3561" s="8" t="s">
        <v>1989</v>
      </c>
      <c r="G3561" s="4" t="s">
        <v>1990</v>
      </c>
      <c r="H3561" s="10" t="s">
        <v>3968</v>
      </c>
      <c r="I3561" s="10">
        <v>12.0</v>
      </c>
      <c r="J3561" s="11" t="str">
        <f>IF(D3561&lt;&gt;"",VLOOKUP(H3561,TABLEITEM,5,FALSE),"")</f>
        <v>EA</v>
      </c>
      <c r="K3561" s="12">
        <v>53.0</v>
      </c>
      <c r="L3561" s="13" t="str">
        <f>IF(D3561&lt;&gt;"",VLOOKUP(H3561,TABLEITEM,2,FALSE),"")</f>
        <v/>
      </c>
      <c r="M3561" s="13" t="str">
        <f>IF(D3561&lt;&gt;"",VLOOKUP(H3561,TABLEITEM,3,FALSE),"")</f>
        <v>แฟ้มสันแคบ ตราช้าง 125F,2" น้ำเงิน</v>
      </c>
      <c r="N3561" s="14">
        <f>INSTOCK!$I3561*INSTOCK!$K3561</f>
        <v>636</v>
      </c>
      <c r="O3561" s="4"/>
      <c r="P3561" s="4"/>
    </row>
    <row r="3562" ht="15.75" hidden="1" customHeight="1">
      <c r="B3562" s="8">
        <v>3881.0</v>
      </c>
      <c r="C3562" s="9">
        <v>43269.0</v>
      </c>
      <c r="D3562" s="6" t="s">
        <v>4682</v>
      </c>
      <c r="E3562" s="4"/>
      <c r="F3562" s="8" t="s">
        <v>4683</v>
      </c>
      <c r="G3562" s="4" t="s">
        <v>1485</v>
      </c>
      <c r="H3562" s="10" t="s">
        <v>1582</v>
      </c>
      <c r="I3562" s="10">
        <v>5.0</v>
      </c>
      <c r="J3562" s="11" t="str">
        <f>IF(D3562&lt;&gt;"",VLOOKUP(H3562,TABLEITEM,5,FALSE),"")</f>
        <v>EA</v>
      </c>
      <c r="K3562" s="12">
        <v>156.2</v>
      </c>
      <c r="L3562" s="13" t="str">
        <f>IF(D3562&lt;&gt;"",VLOOKUP(H3562,TABLEITEM,2,FALSE),"")</f>
        <v/>
      </c>
      <c r="M3562" s="13" t="str">
        <f>IF(D3562&lt;&gt;"",VLOOKUP(H3562,TABLEITEM,3,FALSE),"")</f>
        <v>HARMONY XB4 SELECTOR SWITCH ZB4BD2</v>
      </c>
      <c r="N3562" s="14">
        <f>INSTOCK!$I3562*INSTOCK!$K3562</f>
        <v>781</v>
      </c>
      <c r="O3562" s="4"/>
      <c r="P3562" s="4"/>
    </row>
    <row r="3563" ht="15.75" hidden="1" customHeight="1">
      <c r="B3563" s="8">
        <v>3882.0</v>
      </c>
      <c r="C3563" s="9">
        <v>43269.0</v>
      </c>
      <c r="D3563" s="6" t="s">
        <v>4682</v>
      </c>
      <c r="E3563" s="4"/>
      <c r="F3563" s="8" t="s">
        <v>4683</v>
      </c>
      <c r="G3563" s="4" t="s">
        <v>1485</v>
      </c>
      <c r="H3563" s="10" t="s">
        <v>1584</v>
      </c>
      <c r="I3563" s="10">
        <v>5.0</v>
      </c>
      <c r="J3563" s="11" t="str">
        <f>IF(D3563&lt;&gt;"",VLOOKUP(H3563,TABLEITEM,5,FALSE),"")</f>
        <v>EA</v>
      </c>
      <c r="K3563" s="12">
        <v>134.2</v>
      </c>
      <c r="L3563" s="13" t="str">
        <f>IF(D3563&lt;&gt;"",VLOOKUP(H3563,TABLEITEM,2,FALSE),"")</f>
        <v/>
      </c>
      <c r="M3563" s="13" t="str">
        <f>IF(D3563&lt;&gt;"",VLOOKUP(H3563,TABLEITEM,3,FALSE),"")</f>
        <v>HARMONY XB4 SINGLE CONTACT ZB4BZ101</v>
      </c>
      <c r="N3563" s="14">
        <f>INSTOCK!$I3563*INSTOCK!$K3563</f>
        <v>671</v>
      </c>
      <c r="O3563" s="4"/>
      <c r="P3563" s="4"/>
    </row>
    <row r="3564" ht="15.75" hidden="1" customHeight="1">
      <c r="B3564" s="8">
        <v>3883.0</v>
      </c>
      <c r="C3564" s="9">
        <v>43269.0</v>
      </c>
      <c r="D3564" s="6" t="s">
        <v>4682</v>
      </c>
      <c r="E3564" s="4"/>
      <c r="F3564" s="8" t="s">
        <v>4683</v>
      </c>
      <c r="G3564" s="4" t="s">
        <v>1485</v>
      </c>
      <c r="H3564" s="10" t="s">
        <v>3721</v>
      </c>
      <c r="I3564" s="10">
        <v>10.0</v>
      </c>
      <c r="J3564" s="11" t="str">
        <f>IF(D3564&lt;&gt;"",VLOOKUP(H3564,TABLEITEM,5,FALSE),"")</f>
        <v>EA</v>
      </c>
      <c r="K3564" s="12">
        <v>70.4</v>
      </c>
      <c r="L3564" s="13" t="str">
        <f>IF(D3564&lt;&gt;"",VLOOKUP(H3564,TABLEITEM,2,FALSE),"")</f>
        <v/>
      </c>
      <c r="M3564" s="13" t="str">
        <f>IF(D3564&lt;&gt;"",VLOOKUP(H3564,TABLEITEM,3,FALSE),"")</f>
        <v>NC SCREW TERMINAL CONTACT</v>
      </c>
      <c r="N3564" s="14">
        <f>INSTOCK!$I3564*INSTOCK!$K3564</f>
        <v>704</v>
      </c>
      <c r="O3564" s="4"/>
      <c r="P3564" s="4"/>
    </row>
    <row r="3565" ht="15.75" hidden="1" customHeight="1">
      <c r="B3565" s="8">
        <v>3884.0</v>
      </c>
      <c r="C3565" s="9">
        <v>43267.0</v>
      </c>
      <c r="D3565" s="6" t="s">
        <v>4684</v>
      </c>
      <c r="E3565" s="4">
        <v>6.106000737E9</v>
      </c>
      <c r="F3565" s="8" t="s">
        <v>604</v>
      </c>
      <c r="G3565" s="4" t="s">
        <v>1777</v>
      </c>
      <c r="H3565" s="10" t="s">
        <v>3014</v>
      </c>
      <c r="I3565" s="10">
        <v>10000.0</v>
      </c>
      <c r="J3565" s="11" t="str">
        <f>IF(D3565&lt;&gt;"",VLOOKUP(H3565,TABLEITEM,5,FALSE),"")</f>
        <v>EA</v>
      </c>
      <c r="K3565" s="12">
        <v>0.075</v>
      </c>
      <c r="L3565" s="13" t="str">
        <f>IF(D3565&lt;&gt;"",VLOOKUP(H3565,TABLEITEM,2,FALSE),"")</f>
        <v/>
      </c>
      <c r="M3565" s="13" t="str">
        <f>IF(D3565&lt;&gt;"",VLOOKUP(H3565,TABLEITEM,3,FALSE),"")</f>
        <v>แหวนสปริง M 8 ชุบรุ้ง</v>
      </c>
      <c r="N3565" s="14">
        <f>INSTOCK!$I3565*INSTOCK!$K3565</f>
        <v>750</v>
      </c>
      <c r="O3565" s="4"/>
      <c r="P3565" s="4"/>
    </row>
    <row r="3566" ht="15.75" hidden="1" customHeight="1">
      <c r="B3566" s="8">
        <v>3885.0</v>
      </c>
      <c r="C3566" s="9">
        <v>43267.0</v>
      </c>
      <c r="D3566" s="6" t="s">
        <v>4684</v>
      </c>
      <c r="E3566" s="4">
        <v>6.106000737E9</v>
      </c>
      <c r="F3566" s="8" t="s">
        <v>604</v>
      </c>
      <c r="G3566" s="4" t="s">
        <v>1777</v>
      </c>
      <c r="H3566" s="10" t="s">
        <v>2080</v>
      </c>
      <c r="I3566" s="10">
        <v>10000.0</v>
      </c>
      <c r="J3566" s="11" t="str">
        <f>IF(D3566&lt;&gt;"",VLOOKUP(H3566,TABLEITEM,5,FALSE),"")</f>
        <v>EA</v>
      </c>
      <c r="K3566" s="12">
        <v>0.36</v>
      </c>
      <c r="L3566" s="13" t="str">
        <f>IF(D3566&lt;&gt;"",VLOOKUP(H3566,TABLEITEM,2,FALSE),"")</f>
        <v/>
      </c>
      <c r="M3566" s="13" t="str">
        <f>IF(D3566&lt;&gt;"",VLOOKUP(H3566,TABLEITEM,3,FALSE),"")</f>
        <v>หัวน็อต M 8 ชุบขาว</v>
      </c>
      <c r="N3566" s="14">
        <f>INSTOCK!$I3566*INSTOCK!$K3566</f>
        <v>3600</v>
      </c>
      <c r="O3566" s="4"/>
      <c r="P3566" s="4"/>
    </row>
    <row r="3567" ht="15.75" hidden="1" customHeight="1">
      <c r="B3567" s="8">
        <v>3886.0</v>
      </c>
      <c r="C3567" s="9">
        <v>43266.0</v>
      </c>
      <c r="D3567" s="6">
        <v>8690.0</v>
      </c>
      <c r="E3567" s="4"/>
      <c r="F3567" s="8"/>
      <c r="G3567" s="4" t="s">
        <v>2528</v>
      </c>
      <c r="H3567" s="10" t="s">
        <v>2529</v>
      </c>
      <c r="I3567" s="10">
        <v>590.0</v>
      </c>
      <c r="J3567" s="11" t="str">
        <f>IF(D3567&lt;&gt;"",VLOOKUP(H3567,TABLEITEM,5,FALSE),"")</f>
        <v>KG.</v>
      </c>
      <c r="K3567" s="12">
        <v>14.0</v>
      </c>
      <c r="L3567" s="13" t="str">
        <f>IF(D3567&lt;&gt;"",VLOOKUP(H3567,TABLEITEM,2,FALSE),"")</f>
        <v/>
      </c>
      <c r="M3567" s="13" t="str">
        <f>IF(D3567&lt;&gt;"",VLOOKUP(H3567,TABLEITEM,3,FALSE),"")</f>
        <v>งานชุบ HOT DIP</v>
      </c>
      <c r="N3567" s="14">
        <f>INSTOCK!$I3567*INSTOCK!$K3567</f>
        <v>8260</v>
      </c>
      <c r="O3567" s="4" t="s">
        <v>4685</v>
      </c>
      <c r="P3567" s="4"/>
    </row>
    <row r="3568" ht="15.75" hidden="1" customHeight="1">
      <c r="B3568" s="8">
        <v>3887.0</v>
      </c>
      <c r="C3568" s="9">
        <v>43266.0</v>
      </c>
      <c r="D3568" s="6">
        <v>6.10605421E8</v>
      </c>
      <c r="E3568" s="4">
        <v>6.106000739E9</v>
      </c>
      <c r="F3568" s="8"/>
      <c r="G3568" s="4" t="s">
        <v>1130</v>
      </c>
      <c r="H3568" s="10" t="s">
        <v>2181</v>
      </c>
      <c r="I3568" s="10">
        <v>10.0</v>
      </c>
      <c r="J3568" s="11" t="str">
        <f>IF(D3568&lt;&gt;"",VLOOKUP(H3568,TABLEITEM,5,FALSE),"")</f>
        <v>EA</v>
      </c>
      <c r="K3568" s="12">
        <v>117.0</v>
      </c>
      <c r="L3568" s="13" t="str">
        <f>IF(D3568&lt;&gt;"",VLOOKUP(H3568,TABLEITEM,2,FALSE),"")</f>
        <v/>
      </c>
      <c r="M3568" s="13" t="str">
        <f>IF(D3568&lt;&gt;"",VLOOKUP(H3568,TABLEITEM,3,FALSE),"")</f>
        <v>RELAY MKS2P 220AC</v>
      </c>
      <c r="N3568" s="14">
        <f>INSTOCK!$I3568*INSTOCK!$K3568</f>
        <v>1170</v>
      </c>
      <c r="O3568" s="4"/>
      <c r="P3568" s="4"/>
    </row>
    <row r="3569" ht="15.75" hidden="1" customHeight="1">
      <c r="B3569" s="8">
        <v>3888.0</v>
      </c>
      <c r="C3569" s="9">
        <v>43266.0</v>
      </c>
      <c r="D3569" s="6">
        <v>6.10605421E8</v>
      </c>
      <c r="E3569" s="4">
        <v>6.106000739E9</v>
      </c>
      <c r="F3569" s="8"/>
      <c r="G3569" s="4" t="s">
        <v>1130</v>
      </c>
      <c r="H3569" s="10" t="s">
        <v>1834</v>
      </c>
      <c r="I3569" s="10">
        <v>10.0</v>
      </c>
      <c r="J3569" s="11" t="str">
        <f>IF(D3569&lt;&gt;"",VLOOKUP(H3569,TABLEITEM,5,FALSE),"")</f>
        <v>EA</v>
      </c>
      <c r="K3569" s="12">
        <v>54.0</v>
      </c>
      <c r="L3569" s="13" t="str">
        <f>IF(D3569&lt;&gt;"",VLOOKUP(H3569,TABLEITEM,2,FALSE),"")</f>
        <v/>
      </c>
      <c r="M3569" s="13" t="str">
        <f>IF(D3569&lt;&gt;"",VLOOKUP(H3569,TABLEITEM,3,FALSE),"")</f>
        <v>SOCKET PF083A-E</v>
      </c>
      <c r="N3569" s="14">
        <f>INSTOCK!$I3569*INSTOCK!$K3569</f>
        <v>540</v>
      </c>
      <c r="O3569" s="4"/>
      <c r="P3569" s="4"/>
    </row>
    <row r="3570" ht="15.75" hidden="1" customHeight="1">
      <c r="B3570" s="8">
        <v>3889.0</v>
      </c>
      <c r="C3570" s="9">
        <v>43266.0</v>
      </c>
      <c r="D3570" s="6">
        <v>6.10605291E8</v>
      </c>
      <c r="E3570" s="4">
        <v>6.106000738E9</v>
      </c>
      <c r="F3570" s="8"/>
      <c r="G3570" s="4" t="s">
        <v>1130</v>
      </c>
      <c r="H3570" s="10" t="s">
        <v>3116</v>
      </c>
      <c r="I3570" s="10">
        <v>3.0</v>
      </c>
      <c r="J3570" s="11" t="str">
        <f>IF(D3570&lt;&gt;"",VLOOKUP(H3570,TABLEITEM,5,FALSE),"")</f>
        <v>EA</v>
      </c>
      <c r="K3570" s="12">
        <v>121.123</v>
      </c>
      <c r="L3570" s="13" t="str">
        <f>IF(D3570&lt;&gt;"",VLOOKUP(H3570,TABLEITEM,2,FALSE),"")</f>
        <v/>
      </c>
      <c r="M3570" s="13" t="str">
        <f>IF(D3570&lt;&gt;"",VLOOKUP(H3570,TABLEITEM,3,FALSE),"")</f>
        <v>CT100/5 MSQ40</v>
      </c>
      <c r="N3570" s="14">
        <f>INSTOCK!$I3570*INSTOCK!$K3570</f>
        <v>363.369</v>
      </c>
      <c r="O3570" s="4" t="s">
        <v>1898</v>
      </c>
      <c r="P3570" s="4"/>
    </row>
    <row r="3571" ht="15.75" hidden="1" customHeight="1">
      <c r="B3571" s="8">
        <v>3890.0</v>
      </c>
      <c r="C3571" s="9">
        <v>43266.0</v>
      </c>
      <c r="D3571" s="6" t="s">
        <v>4686</v>
      </c>
      <c r="E3571" s="4">
        <v>6.106000684E9</v>
      </c>
      <c r="F3571" s="8" t="s">
        <v>604</v>
      </c>
      <c r="G3571" s="4" t="s">
        <v>4220</v>
      </c>
      <c r="H3571" s="10" t="s">
        <v>4687</v>
      </c>
      <c r="I3571" s="10">
        <v>10000.0</v>
      </c>
      <c r="J3571" s="11" t="str">
        <f>IF(D3571&lt;&gt;"",VLOOKUP(H3571,TABLEITEM,5,FALSE),"")</f>
        <v>EA</v>
      </c>
      <c r="K3571" s="12">
        <v>0.5</v>
      </c>
      <c r="L3571" s="13" t="str">
        <f>IF(D3571&lt;&gt;"",VLOOKUP(H3571,TABLEITEM,2,FALSE),"")</f>
        <v/>
      </c>
      <c r="M3571" s="13" t="str">
        <f>IF(D3571&lt;&gt;"",VLOOKUP(H3571,TABLEITEM,3,FALSE),"")</f>
        <v>สต๊กเกอร์ OPEN-CLOSE</v>
      </c>
      <c r="N3571" s="14">
        <f>INSTOCK!$I3571*INSTOCK!$K3571</f>
        <v>5000</v>
      </c>
      <c r="O3571" s="4"/>
      <c r="P3571" s="4"/>
    </row>
    <row r="3572" ht="15.75" hidden="1" customHeight="1">
      <c r="B3572" s="8">
        <v>3891.0</v>
      </c>
      <c r="C3572" s="9">
        <v>43266.0</v>
      </c>
      <c r="D3572" s="6">
        <v>34836.0</v>
      </c>
      <c r="E3572" s="4">
        <v>6.106000729E9</v>
      </c>
      <c r="F3572" s="8" t="s">
        <v>1973</v>
      </c>
      <c r="G3572" s="4" t="s">
        <v>696</v>
      </c>
      <c r="H3572" s="10" t="s">
        <v>1974</v>
      </c>
      <c r="I3572" s="10">
        <v>1.0</v>
      </c>
      <c r="J3572" s="11" t="str">
        <f>IF(D3572&lt;&gt;"",VLOOKUP(H3572,TABLEITEM,5,FALSE),"")</f>
        <v>pcs</v>
      </c>
      <c r="K3572" s="12">
        <v>1900.0</v>
      </c>
      <c r="L3572" s="13" t="str">
        <f>IF(D3572&lt;&gt;"",VLOOKUP(H3572,TABLEITEM,2,FALSE),"")</f>
        <v/>
      </c>
      <c r="M3572" s="13" t="str">
        <f>IF(D3572&lt;&gt;"",VLOOKUP(H3572,TABLEITEM,3,FALSE),"")</f>
        <v>พัดลมติดผนัง 22" IW22M1</v>
      </c>
      <c r="N3572" s="14">
        <f>INSTOCK!$I3572*INSTOCK!$K3572</f>
        <v>1900</v>
      </c>
      <c r="O3572" s="4"/>
      <c r="P3572" s="4"/>
    </row>
    <row r="3573" ht="15.75" hidden="1" customHeight="1">
      <c r="B3573" s="8">
        <v>3892.0</v>
      </c>
      <c r="C3573" s="9">
        <v>43266.0</v>
      </c>
      <c r="D3573" s="6" t="s">
        <v>4688</v>
      </c>
      <c r="E3573" s="4"/>
      <c r="F3573" s="8"/>
      <c r="G3573" s="4" t="s">
        <v>1516</v>
      </c>
      <c r="H3573" s="10" t="s">
        <v>4212</v>
      </c>
      <c r="I3573" s="10">
        <v>1.0</v>
      </c>
      <c r="J3573" s="11" t="str">
        <f>IF(D3573&lt;&gt;"",VLOOKUP(H3573,TABLEITEM,5,FALSE),"")</f>
        <v>EA</v>
      </c>
      <c r="K3573" s="12">
        <v>1425.0</v>
      </c>
      <c r="L3573" s="13" t="str">
        <f>IF(D3573&lt;&gt;"",VLOOKUP(H3573,TABLEITEM,2,FALSE),"")</f>
        <v/>
      </c>
      <c r="M3573" s="13" t="str">
        <f>IF(D3573&lt;&gt;"",VLOOKUP(H3573,TABLEITEM,3,FALSE),"")</f>
        <v>CONRACTS BLOCK</v>
      </c>
      <c r="N3573" s="14">
        <f>INSTOCK!$I3573*INSTOCK!$K3573</f>
        <v>1425</v>
      </c>
      <c r="O3573" s="4"/>
      <c r="P3573" s="4"/>
    </row>
    <row r="3574" ht="15.75" hidden="1" customHeight="1">
      <c r="B3574" s="8">
        <v>3893.0</v>
      </c>
      <c r="C3574" s="9">
        <v>43265.0</v>
      </c>
      <c r="D3574" s="6" t="s">
        <v>4689</v>
      </c>
      <c r="E3574" s="4">
        <v>6.106000682E9</v>
      </c>
      <c r="F3574" s="8" t="s">
        <v>604</v>
      </c>
      <c r="G3574" s="4" t="s">
        <v>1777</v>
      </c>
      <c r="H3574" s="10" t="s">
        <v>2102</v>
      </c>
      <c r="I3574" s="10">
        <v>6000.0</v>
      </c>
      <c r="J3574" s="11" t="str">
        <f>IF(D3574&lt;&gt;"",VLOOKUP(H3574,TABLEITEM,5,FALSE),"")</f>
        <v>EA</v>
      </c>
      <c r="K3574" s="12">
        <v>0.09</v>
      </c>
      <c r="L3574" s="13" t="str">
        <f>IF(D3574&lt;&gt;"",VLOOKUP(H3574,TABLEITEM,2,FALSE),"")</f>
        <v/>
      </c>
      <c r="M3574" s="13" t="str">
        <f>IF(D3574&lt;&gt;"",VLOOKUP(H3574,TABLEITEM,3,FALSE),"")</f>
        <v>แหวนอีแปะ M8 ชุบขาว</v>
      </c>
      <c r="N3574" s="14">
        <f>INSTOCK!$I3574*INSTOCK!$K3574</f>
        <v>540</v>
      </c>
      <c r="O3574" s="4" t="s">
        <v>4690</v>
      </c>
      <c r="P3574" s="4"/>
    </row>
    <row r="3575" ht="15.75" hidden="1" customHeight="1">
      <c r="B3575" s="8">
        <v>3894.0</v>
      </c>
      <c r="C3575" s="9">
        <v>43264.0</v>
      </c>
      <c r="D3575" s="6" t="s">
        <v>4691</v>
      </c>
      <c r="E3575" s="4"/>
      <c r="F3575" s="8"/>
      <c r="G3575" s="4" t="s">
        <v>3029</v>
      </c>
      <c r="H3575" s="10" t="s">
        <v>3030</v>
      </c>
      <c r="I3575" s="10">
        <v>1.0</v>
      </c>
      <c r="J3575" s="11" t="str">
        <f>IF(D3575&lt;&gt;"",VLOOKUP(H3575,TABLEITEM,5,FALSE),"")</f>
        <v>LOT</v>
      </c>
      <c r="K3575" s="12">
        <v>535.0</v>
      </c>
      <c r="L3575" s="13" t="str">
        <f>IF(D3575&lt;&gt;"",VLOOKUP(H3575,TABLEITEM,2,FALSE),"")</f>
        <v/>
      </c>
      <c r="M3575" s="13" t="str">
        <f>IF(D3575&lt;&gt;"",VLOOKUP(H3575,TABLEITEM,3,FALSE),"")</f>
        <v>ค่าชุบ ดีบุกเงา</v>
      </c>
      <c r="N3575" s="14">
        <f>INSTOCK!$I3575*INSTOCK!$K3575</f>
        <v>535</v>
      </c>
      <c r="O3575" s="4" t="s">
        <v>3258</v>
      </c>
      <c r="P3575" s="4"/>
    </row>
    <row r="3576" ht="15.75" hidden="1" customHeight="1">
      <c r="B3576" s="8">
        <v>3895.0</v>
      </c>
      <c r="C3576" s="9">
        <v>43264.0</v>
      </c>
      <c r="D3576" s="6">
        <v>6.10604534E8</v>
      </c>
      <c r="E3576" s="4">
        <v>6.106000726E9</v>
      </c>
      <c r="F3576" s="8"/>
      <c r="G3576" s="4" t="s">
        <v>1130</v>
      </c>
      <c r="H3576" s="10" t="s">
        <v>2791</v>
      </c>
      <c r="I3576" s="10">
        <v>3.0</v>
      </c>
      <c r="J3576" s="11" t="str">
        <f>IF(D3576&lt;&gt;"",VLOOKUP(H3576,TABLEITEM,5,FALSE),"")</f>
        <v>EA</v>
      </c>
      <c r="K3576" s="12">
        <v>121.123</v>
      </c>
      <c r="L3576" s="13" t="str">
        <f>IF(D3576&lt;&gt;"",VLOOKUP(H3576,TABLEITEM,2,FALSE),"")</f>
        <v/>
      </c>
      <c r="M3576" s="13" t="str">
        <f>IF(D3576&lt;&gt;"",VLOOKUP(H3576,TABLEITEM,3,FALSE),"")</f>
        <v>CT400/5 MQS40</v>
      </c>
      <c r="N3576" s="14">
        <f>INSTOCK!$I3576*INSTOCK!$K3576</f>
        <v>363.369</v>
      </c>
      <c r="O3576" s="4" t="s">
        <v>1898</v>
      </c>
      <c r="P3576" s="4"/>
    </row>
    <row r="3577" ht="15.75" hidden="1" customHeight="1">
      <c r="B3577" s="8">
        <v>3896.0</v>
      </c>
      <c r="C3577" s="9">
        <v>43264.0</v>
      </c>
      <c r="D3577" s="6" t="s">
        <v>4692</v>
      </c>
      <c r="E3577" s="4">
        <v>6.106000727E9</v>
      </c>
      <c r="F3577" s="8" t="s">
        <v>4673</v>
      </c>
      <c r="G3577" s="4" t="s">
        <v>1485</v>
      </c>
      <c r="H3577" s="10" t="s">
        <v>2866</v>
      </c>
      <c r="I3577" s="10">
        <v>1.0</v>
      </c>
      <c r="J3577" s="11" t="str">
        <f>IF(D3577&lt;&gt;"",VLOOKUP(H3577,TABLEITEM,5,FALSE),"")</f>
        <v>EA</v>
      </c>
      <c r="K3577" s="12">
        <v>6336.0</v>
      </c>
      <c r="L3577" s="13" t="str">
        <f>IF(D3577&lt;&gt;"",VLOOKUP(H3577,TABLEITEM,2,FALSE),"")</f>
        <v/>
      </c>
      <c r="M3577" s="13" t="str">
        <f>IF(D3577&lt;&gt;"",VLOOKUP(H3577,TABLEITEM,3,FALSE),"")</f>
        <v>MCCB CVS 400F TM400D 3P 3D </v>
      </c>
      <c r="N3577" s="14">
        <f>INSTOCK!$I3577*INSTOCK!$K3577</f>
        <v>6336</v>
      </c>
      <c r="O3577" s="4"/>
      <c r="P3577" s="4"/>
    </row>
    <row r="3578" ht="15.75" hidden="1" customHeight="1">
      <c r="B3578" s="8">
        <v>3897.0</v>
      </c>
      <c r="C3578" s="9">
        <v>43264.0</v>
      </c>
      <c r="D3578" s="6" t="s">
        <v>4692</v>
      </c>
      <c r="E3578" s="4">
        <v>6.106000727E9</v>
      </c>
      <c r="F3578" s="8" t="s">
        <v>4673</v>
      </c>
      <c r="G3578" s="4" t="s">
        <v>1485</v>
      </c>
      <c r="H3578" s="10" t="s">
        <v>4362</v>
      </c>
      <c r="I3578" s="10">
        <v>1.0</v>
      </c>
      <c r="J3578" s="11" t="str">
        <f>IF(D3578&lt;&gt;"",VLOOKUP(H3578,TABLEITEM,5,FALSE),"")</f>
        <v>EA</v>
      </c>
      <c r="K3578" s="12">
        <v>2085.6</v>
      </c>
      <c r="L3578" s="13" t="str">
        <f>IF(D3578&lt;&gt;"",VLOOKUP(H3578,TABLEITEM,2,FALSE),"")</f>
        <v/>
      </c>
      <c r="M3578" s="13" t="str">
        <f>IF(D3578&lt;&gt;"",VLOOKUP(H3578,TABLEITEM,3,FALSE),"")</f>
        <v>CVS160F TM160D 3P3D 380/415 VAC36KA</v>
      </c>
      <c r="N3578" s="14">
        <f>INSTOCK!$I3578*INSTOCK!$K3578</f>
        <v>2085.6</v>
      </c>
      <c r="O3578" s="4"/>
      <c r="P3578" s="4"/>
    </row>
    <row r="3579" ht="15.75" hidden="1" customHeight="1">
      <c r="B3579" s="8">
        <v>3898.0</v>
      </c>
      <c r="C3579" s="9">
        <v>43264.0</v>
      </c>
      <c r="D3579" s="6" t="s">
        <v>4692</v>
      </c>
      <c r="E3579" s="4">
        <v>6.106000727E9</v>
      </c>
      <c r="F3579" s="8" t="s">
        <v>4673</v>
      </c>
      <c r="G3579" s="4" t="s">
        <v>1485</v>
      </c>
      <c r="H3579" s="10" t="s">
        <v>4693</v>
      </c>
      <c r="I3579" s="10">
        <v>3.0</v>
      </c>
      <c r="J3579" s="11" t="str">
        <f>IF(D3579&lt;&gt;"",VLOOKUP(H3579,TABLEITEM,5,FALSE),"")</f>
        <v>EA</v>
      </c>
      <c r="K3579" s="12">
        <v>1535.6</v>
      </c>
      <c r="L3579" s="13" t="str">
        <f>IF(D3579&lt;&gt;"",VLOOKUP(H3579,TABLEITEM,2,FALSE),"")</f>
        <v/>
      </c>
      <c r="M3579" s="13" t="str">
        <f>IF(D3579&lt;&gt;"",VLOOKUP(H3579,TABLEITEM,3,FALSE),"")</f>
        <v>CVS100F TM100D 3P3D 380/415VAC 36KA</v>
      </c>
      <c r="N3579" s="14">
        <f>INSTOCK!$I3579*INSTOCK!$K3579</f>
        <v>4606.8</v>
      </c>
      <c r="O3579" s="4"/>
      <c r="P3579" s="4"/>
    </row>
    <row r="3580" ht="15.75" hidden="1" customHeight="1">
      <c r="B3580" s="8">
        <v>3899.0</v>
      </c>
      <c r="C3580" s="9">
        <v>43264.0</v>
      </c>
      <c r="D3580" s="6" t="s">
        <v>4692</v>
      </c>
      <c r="E3580" s="4">
        <v>6.106000727E9</v>
      </c>
      <c r="F3580" s="8" t="s">
        <v>4673</v>
      </c>
      <c r="G3580" s="4" t="s">
        <v>1485</v>
      </c>
      <c r="H3580" s="10" t="s">
        <v>2963</v>
      </c>
      <c r="I3580" s="10">
        <v>1.0</v>
      </c>
      <c r="J3580" s="11" t="str">
        <f>IF(D3580&lt;&gt;"",VLOOKUP(H3580,TABLEITEM,5,FALSE),"")</f>
        <v>EA</v>
      </c>
      <c r="K3580" s="12">
        <v>1320.0</v>
      </c>
      <c r="L3580" s="13" t="str">
        <f>IF(D3580&lt;&gt;"",VLOOKUP(H3580,TABLEITEM,2,FALSE),"")</f>
        <v/>
      </c>
      <c r="M3580" s="13" t="str">
        <f>IF(D3580&lt;&gt;"",VLOOKUP(H3580,TABLEITEM,3,FALSE),"")</f>
        <v>MCCB CVS100B TM800D 3P3D 380/415 VAC 25KA</v>
      </c>
      <c r="N3580" s="14">
        <f>INSTOCK!$I3580*INSTOCK!$K3580</f>
        <v>1320</v>
      </c>
      <c r="O3580" s="4"/>
      <c r="P3580" s="4"/>
    </row>
    <row r="3581" ht="15.75" hidden="1" customHeight="1">
      <c r="B3581" s="8">
        <v>3900.0</v>
      </c>
      <c r="C3581" s="9">
        <v>43264.0</v>
      </c>
      <c r="D3581" s="6" t="s">
        <v>4694</v>
      </c>
      <c r="E3581" s="4">
        <v>6.10600067E9</v>
      </c>
      <c r="F3581" s="8" t="s">
        <v>684</v>
      </c>
      <c r="G3581" s="4" t="s">
        <v>1479</v>
      </c>
      <c r="H3581" s="10" t="s">
        <v>4695</v>
      </c>
      <c r="I3581" s="10">
        <v>177.0</v>
      </c>
      <c r="J3581" s="11" t="str">
        <f>IF(D3581&lt;&gt;"",VLOOKUP(H3581,TABLEITEM,5,FALSE),"")</f>
        <v>EA</v>
      </c>
      <c r="K3581" s="12">
        <v>121.0</v>
      </c>
      <c r="L3581" s="13" t="str">
        <f>IF(D3581&lt;&gt;"",VLOOKUP(H3581,TABLEITEM,2,FALSE),"")</f>
        <v/>
      </c>
      <c r="M3581" s="13" t="str">
        <f>IF(D3581&lt;&gt;"",VLOOKUP(H3581,TABLEITEM,3,FALSE),"")</f>
        <v>34.51.7.024.001034 SERIES ULTRA-SLIM </v>
      </c>
      <c r="N3581" s="14">
        <f>INSTOCK!$I3581*INSTOCK!$K3581</f>
        <v>21417</v>
      </c>
      <c r="O3581" s="4"/>
      <c r="P3581" s="4"/>
    </row>
    <row r="3582" ht="15.75" hidden="1" customHeight="1">
      <c r="B3582" s="8">
        <v>3901.0</v>
      </c>
      <c r="C3582" s="9">
        <v>43263.0</v>
      </c>
      <c r="D3582" s="6">
        <v>635.0</v>
      </c>
      <c r="E3582" s="4">
        <v>6.105000655E9</v>
      </c>
      <c r="F3582" s="8" t="s">
        <v>604</v>
      </c>
      <c r="G3582" s="4" t="s">
        <v>2382</v>
      </c>
      <c r="H3582" s="10" t="s">
        <v>4696</v>
      </c>
      <c r="I3582" s="10">
        <v>500.0</v>
      </c>
      <c r="J3582" s="11" t="str">
        <f>IF(D3582&lt;&gt;"",VLOOKUP(H3582,TABLEITEM,5,FALSE),"")</f>
        <v>EA</v>
      </c>
      <c r="K3582" s="12">
        <v>38.0</v>
      </c>
      <c r="L3582" s="13" t="str">
        <f>IF(D3582&lt;&gt;"",VLOOKUP(H3582,TABLEITEM,2,FALSE),"")</f>
        <v/>
      </c>
      <c r="M3582" s="13" t="str">
        <f>IF(D3582&lt;&gt;"",VLOOKUP(H3582,TABLEITEM,3,FALSE),"")</f>
        <v>บูชขนาด 12.7x50 มีแกนกลาง 8x30</v>
      </c>
      <c r="N3582" s="14">
        <f>INSTOCK!$I3582*INSTOCK!$K3582</f>
        <v>19000</v>
      </c>
      <c r="O3582" s="4"/>
      <c r="P3582" s="4"/>
    </row>
    <row r="3583" ht="15.75" hidden="1" customHeight="1">
      <c r="B3583" s="8">
        <v>3902.0</v>
      </c>
      <c r="C3583" s="9">
        <v>43263.0</v>
      </c>
      <c r="D3583" s="6" t="s">
        <v>4697</v>
      </c>
      <c r="E3583" s="4" t="s">
        <v>4698</v>
      </c>
      <c r="F3583" s="8" t="s">
        <v>3166</v>
      </c>
      <c r="G3583" s="4" t="s">
        <v>1070</v>
      </c>
      <c r="H3583" s="10" t="s">
        <v>4699</v>
      </c>
      <c r="I3583" s="10">
        <v>10.0</v>
      </c>
      <c r="J3583" s="11" t="str">
        <f>IF(D3583&lt;&gt;"",VLOOKUP(H3583,TABLEITEM,5,FALSE),"")</f>
        <v>EA</v>
      </c>
      <c r="K3583" s="12">
        <v>40.0</v>
      </c>
      <c r="L3583" s="13" t="str">
        <f>IF(D3583&lt;&gt;"",VLOOKUP(H3583,TABLEITEM,2,FALSE),"")</f>
        <v/>
      </c>
      <c r="M3583" s="13" t="str">
        <f>IF(D3583&lt;&gt;"",VLOOKUP(H3583,TABLEITEM,3,FALSE),"")</f>
        <v>RED TUNSTEN 2% THOR 1.6x175mm</v>
      </c>
      <c r="N3583" s="14">
        <f>INSTOCK!$I3583*INSTOCK!$K3583</f>
        <v>400</v>
      </c>
      <c r="O3583" s="4"/>
      <c r="P3583" s="4"/>
    </row>
    <row r="3584" ht="15.75" hidden="1" customHeight="1">
      <c r="B3584" s="8">
        <v>3903.0</v>
      </c>
      <c r="C3584" s="9">
        <v>43263.0</v>
      </c>
      <c r="D3584" s="6" t="s">
        <v>4700</v>
      </c>
      <c r="E3584" s="4">
        <v>6.106000703E9</v>
      </c>
      <c r="F3584" s="8" t="s">
        <v>3166</v>
      </c>
      <c r="G3584" s="4" t="s">
        <v>1070</v>
      </c>
      <c r="H3584" s="10" t="s">
        <v>4132</v>
      </c>
      <c r="I3584" s="10">
        <v>1.0</v>
      </c>
      <c r="J3584" s="11" t="str">
        <f>IF(D3584&lt;&gt;"",VLOOKUP(H3584,TABLEITEM,5,FALSE),"")</f>
        <v>EA</v>
      </c>
      <c r="K3584" s="12">
        <v>1800.0</v>
      </c>
      <c r="L3584" s="13" t="str">
        <f>IF(D3584&lt;&gt;"",VLOOKUP(H3584,TABLEITEM,2,FALSE),"")</f>
        <v/>
      </c>
      <c r="M3584" s="13" t="str">
        <f>IF(D3584&lt;&gt;"",VLOOKUP(H3584,TABLEITEM,3,FALSE),"")</f>
        <v>REGULATOR CO2 HEATER 220V/NETWELD X600</v>
      </c>
      <c r="N3584" s="14">
        <f>INSTOCK!$I3584*INSTOCK!$K3584</f>
        <v>1800</v>
      </c>
      <c r="O3584" s="4"/>
      <c r="P3584" s="4"/>
    </row>
    <row r="3585" ht="15.75" hidden="1" customHeight="1">
      <c r="B3585" s="8">
        <v>3904.0</v>
      </c>
      <c r="C3585" s="9">
        <v>43263.0</v>
      </c>
      <c r="D3585" s="6" t="s">
        <v>4701</v>
      </c>
      <c r="E3585" s="4">
        <v>6.106000682E9</v>
      </c>
      <c r="F3585" s="8" t="s">
        <v>604</v>
      </c>
      <c r="G3585" s="4" t="s">
        <v>1777</v>
      </c>
      <c r="H3585" s="18" t="s">
        <v>2084</v>
      </c>
      <c r="I3585" s="10">
        <v>5725.0</v>
      </c>
      <c r="J3585" s="11" t="str">
        <f>IF(D3585&lt;&gt;"",VLOOKUP(H3585,TABLEITEM,5,FALSE),"")</f>
        <v>EA</v>
      </c>
      <c r="K3585" s="12">
        <v>0.24</v>
      </c>
      <c r="L3585" s="13" t="str">
        <f>IF(D3585&lt;&gt;"",VLOOKUP(H3585,TABLEITEM,2,FALSE),"")</f>
        <v/>
      </c>
      <c r="M3585" s="13" t="str">
        <f>IF(D3585&lt;&gt;"",VLOOKUP(H3585,TABLEITEM,3,FALSE),"")</f>
        <v>ติดจาน M5</v>
      </c>
      <c r="N3585" s="14">
        <f>INSTOCK!$I3585*INSTOCK!$K3585</f>
        <v>1374</v>
      </c>
      <c r="O3585" s="4" t="s">
        <v>2085</v>
      </c>
      <c r="P3585" s="4"/>
    </row>
    <row r="3586" ht="15.75" hidden="1" customHeight="1">
      <c r="B3586" s="8">
        <v>3905.0</v>
      </c>
      <c r="C3586" s="9">
        <v>43263.0</v>
      </c>
      <c r="D3586" s="6" t="s">
        <v>4701</v>
      </c>
      <c r="E3586" s="4">
        <v>6.106000682E9</v>
      </c>
      <c r="F3586" s="8" t="s">
        <v>604</v>
      </c>
      <c r="G3586" s="4" t="s">
        <v>1777</v>
      </c>
      <c r="H3586" s="10" t="s">
        <v>4702</v>
      </c>
      <c r="I3586" s="10">
        <v>1000.0</v>
      </c>
      <c r="J3586" s="11" t="str">
        <f>IF(D3586&lt;&gt;"",VLOOKUP(H3586,TABLEITEM,5,FALSE),"")</f>
        <v>EA</v>
      </c>
      <c r="K3586" s="12">
        <v>1.4</v>
      </c>
      <c r="L3586" s="13" t="str">
        <f>IF(D3586&lt;&gt;"",VLOOKUP(H3586,TABLEITEM,2,FALSE),"")</f>
        <v/>
      </c>
      <c r="M3586" s="13" t="str">
        <f>IF(D3586&lt;&gt;"",VLOOKUP(H3586,TABLEITEM,3,FALSE),"")</f>
        <v>หัวน็อต      สแตนเลส M8</v>
      </c>
      <c r="N3586" s="14">
        <f>INSTOCK!$I3586*INSTOCK!$K3586</f>
        <v>1400</v>
      </c>
      <c r="O3586" s="4" t="s">
        <v>4703</v>
      </c>
      <c r="P3586" s="4"/>
    </row>
    <row r="3587" ht="15.75" hidden="1" customHeight="1">
      <c r="B3587" s="8">
        <v>3906.0</v>
      </c>
      <c r="C3587" s="9">
        <v>43263.0</v>
      </c>
      <c r="D3587" s="6" t="s">
        <v>4701</v>
      </c>
      <c r="E3587" s="4">
        <v>6.106000682E9</v>
      </c>
      <c r="F3587" s="8" t="s">
        <v>604</v>
      </c>
      <c r="G3587" s="4" t="s">
        <v>1777</v>
      </c>
      <c r="H3587" s="10" t="s">
        <v>4704</v>
      </c>
      <c r="I3587" s="10">
        <v>100.0</v>
      </c>
      <c r="J3587" s="11" t="str">
        <f>IF(D3587&lt;&gt;"",VLOOKUP(H3587,TABLEITEM,5,FALSE),"")</f>
        <v>EA</v>
      </c>
      <c r="K3587" s="12">
        <v>4.8</v>
      </c>
      <c r="L3587" s="13" t="str">
        <f>IF(D3587&lt;&gt;"",VLOOKUP(H3587,TABLEITEM,2,FALSE),"")</f>
        <v/>
      </c>
      <c r="M3587" s="13" t="str">
        <f>IF(D3587&lt;&gt;"",VLOOKUP(H3587,TABLEITEM,3,FALSE),"")</f>
        <v>หัวน้อตหางปลาเหล็กเหนียว M10</v>
      </c>
      <c r="N3587" s="14">
        <f>INSTOCK!$I3587*INSTOCK!$K3587</f>
        <v>480</v>
      </c>
      <c r="O3587" s="4"/>
      <c r="P3587" s="4"/>
    </row>
    <row r="3588" ht="15.75" hidden="1" customHeight="1">
      <c r="B3588" s="8">
        <v>3907.0</v>
      </c>
      <c r="C3588" s="9">
        <v>43263.0</v>
      </c>
      <c r="D3588" s="6">
        <v>81593.0</v>
      </c>
      <c r="E3588" s="4">
        <v>6.106000722E9</v>
      </c>
      <c r="F3588" s="8" t="s">
        <v>604</v>
      </c>
      <c r="G3588" s="4" t="s">
        <v>2589</v>
      </c>
      <c r="H3588" s="10" t="s">
        <v>3319</v>
      </c>
      <c r="I3588" s="10">
        <v>3.0</v>
      </c>
      <c r="J3588" s="11" t="str">
        <f>IF(D3588&lt;&gt;"",VLOOKUP(H3588,TABLEITEM,5,FALSE),"")</f>
        <v>EA</v>
      </c>
      <c r="K3588" s="12">
        <v>480.0</v>
      </c>
      <c r="L3588" s="13" t="str">
        <f>IF(D3588&lt;&gt;"",VLOOKUP(H3588,TABLEITEM,2,FALSE),"")</f>
        <v/>
      </c>
      <c r="M3588" s="13" t="str">
        <f>IF(D3588&lt;&gt;"",VLOOKUP(H3588,TABLEITEM,3,FALSE),"")</f>
        <v>Stud hoider M8(01156)</v>
      </c>
      <c r="N3588" s="14">
        <f>INSTOCK!$I3588*INSTOCK!$K3588</f>
        <v>1440</v>
      </c>
      <c r="O3588" s="4"/>
      <c r="P3588" s="4"/>
    </row>
    <row r="3589" ht="15.75" hidden="1" customHeight="1">
      <c r="B3589" s="8">
        <v>3908.0</v>
      </c>
      <c r="C3589" s="9">
        <v>43262.0</v>
      </c>
      <c r="D3589" s="6" t="s">
        <v>4705</v>
      </c>
      <c r="E3589" s="4">
        <v>6.105000567E9</v>
      </c>
      <c r="F3589" s="8" t="s">
        <v>604</v>
      </c>
      <c r="G3589" s="4" t="s">
        <v>4557</v>
      </c>
      <c r="H3589" s="10" t="s">
        <v>2652</v>
      </c>
      <c r="I3589" s="10">
        <v>400.0</v>
      </c>
      <c r="J3589" s="11" t="str">
        <f>IF(D3589&lt;&gt;"",VLOOKUP(H3589,TABLEITEM,5,FALSE),"")</f>
        <v>M</v>
      </c>
      <c r="K3589" s="12">
        <v>100.0</v>
      </c>
      <c r="L3589" s="13" t="str">
        <f>IF(D3589&lt;&gt;"",VLOOKUP(H3589,TABLEITEM,2,FALSE),"")</f>
        <v/>
      </c>
      <c r="M3589" s="13" t="str">
        <f>IF(D3589&lt;&gt;"",VLOOKUP(H3589,TABLEITEM,3,FALSE),"")</f>
        <v>ยางขอบกระจก ร่อง 3-6 มิล </v>
      </c>
      <c r="N3589" s="14">
        <f>INSTOCK!$I3589*INSTOCK!$K3589</f>
        <v>40000</v>
      </c>
      <c r="O3589" s="4"/>
      <c r="P3589" s="4"/>
    </row>
    <row r="3590" ht="15.75" hidden="1" customHeight="1">
      <c r="B3590" s="8">
        <v>3909.0</v>
      </c>
      <c r="C3590" s="9">
        <v>43262.0</v>
      </c>
      <c r="D3590" s="6" t="s">
        <v>4706</v>
      </c>
      <c r="E3590" s="4">
        <v>6.105000634E9</v>
      </c>
      <c r="F3590" s="8" t="s">
        <v>2449</v>
      </c>
      <c r="G3590" s="4" t="s">
        <v>3058</v>
      </c>
      <c r="H3590" s="10" t="s">
        <v>4583</v>
      </c>
      <c r="I3590" s="10">
        <v>1.0</v>
      </c>
      <c r="J3590" s="11" t="str">
        <f>IF(D3590&lt;&gt;"",VLOOKUP(H3590,TABLEITEM,5,FALSE),"")</f>
        <v>คู่</v>
      </c>
      <c r="K3590" s="12">
        <v>500.0</v>
      </c>
      <c r="L3590" s="13" t="str">
        <f>IF(D3590&lt;&gt;"",VLOOKUP(H3590,TABLEITEM,2,FALSE),"")</f>
        <v/>
      </c>
      <c r="M3590" s="13" t="str">
        <f>IF(D3590&lt;&gt;"",VLOOKUP(H3590,TABLEITEM,3,FALSE),"")</f>
        <v>รองเท้าเซฟตี้ Perch รุ่น inov </v>
      </c>
      <c r="N3590" s="14">
        <f>INSTOCK!$I3590*INSTOCK!$K3590</f>
        <v>500</v>
      </c>
      <c r="O3590" s="4" t="s">
        <v>4707</v>
      </c>
      <c r="P3590" s="4"/>
    </row>
    <row r="3591" ht="15.75" hidden="1" customHeight="1">
      <c r="B3591" s="8">
        <v>3910.0</v>
      </c>
      <c r="C3591" s="9">
        <v>43262.0</v>
      </c>
      <c r="D3591" s="6">
        <v>4.1804755E8</v>
      </c>
      <c r="E3591" s="4">
        <v>6.106000709E9</v>
      </c>
      <c r="F3591" s="8" t="s">
        <v>604</v>
      </c>
      <c r="G3591" s="4" t="s">
        <v>1274</v>
      </c>
      <c r="H3591" s="10" t="s">
        <v>21</v>
      </c>
      <c r="I3591" s="10">
        <v>400.0</v>
      </c>
      <c r="J3591" s="11" t="str">
        <f>IF(D3591&lt;&gt;"",VLOOKUP(H3591,TABLEITEM,5,FALSE),"")</f>
        <v>EA</v>
      </c>
      <c r="K3591" s="12">
        <v>45.0</v>
      </c>
      <c r="L3591" s="13" t="str">
        <f>IF(D3591&lt;&gt;"",VLOOKUP(H3591,TABLEITEM,2,FALSE),"")</f>
        <v/>
      </c>
      <c r="M3591" s="13" t="str">
        <f>IF(D3591&lt;&gt;"",VLOOKUP(H3591,TABLEITEM,3,FALSE),"")</f>
        <v>ใบหินเจียร์ 4'' </v>
      </c>
      <c r="N3591" s="14">
        <f>INSTOCK!$I3591*INSTOCK!$K3591</f>
        <v>18000</v>
      </c>
      <c r="O3591" s="4"/>
      <c r="P3591" s="4"/>
    </row>
    <row r="3592" ht="15.75" hidden="1" customHeight="1">
      <c r="B3592" s="8">
        <v>3911.0</v>
      </c>
      <c r="C3592" s="9">
        <v>43262.0</v>
      </c>
      <c r="D3592" s="6" t="s">
        <v>4708</v>
      </c>
      <c r="E3592" s="4">
        <v>6.106000705E9</v>
      </c>
      <c r="F3592" s="8" t="s">
        <v>4709</v>
      </c>
      <c r="G3592" s="4" t="s">
        <v>2732</v>
      </c>
      <c r="H3592" s="10" t="s">
        <v>2733</v>
      </c>
      <c r="I3592" s="10">
        <v>3.0</v>
      </c>
      <c r="J3592" s="11" t="str">
        <f>IF(D3592&lt;&gt;"",VLOOKUP(H3592,TABLEITEM,5,FALSE),"")</f>
        <v>EA</v>
      </c>
      <c r="K3592" s="12">
        <v>372.0</v>
      </c>
      <c r="L3592" s="13" t="str">
        <f>IF(D3592&lt;&gt;"",VLOOKUP(H3592,TABLEITEM,2,FALSE),"")</f>
        <v/>
      </c>
      <c r="M3592" s="13" t="str">
        <f>IF(D3592&lt;&gt;"",VLOOKUP(H3592,TABLEITEM,3,FALSE),"")</f>
        <v>INSERT SLEEVE TEFLON COMPLETE G90-1006485</v>
      </c>
      <c r="N3592" s="14">
        <f>INSTOCK!$I3592*INSTOCK!$K3592</f>
        <v>1116</v>
      </c>
      <c r="O3592" s="4"/>
      <c r="P3592" s="4"/>
    </row>
    <row r="3593" ht="15.75" hidden="1" customHeight="1">
      <c r="B3593" s="8">
        <v>3912.0</v>
      </c>
      <c r="C3593" s="9">
        <v>43262.0</v>
      </c>
      <c r="D3593" s="6" t="s">
        <v>4710</v>
      </c>
      <c r="E3593" s="4">
        <v>6.106000719E9</v>
      </c>
      <c r="F3593" s="8" t="s">
        <v>4711</v>
      </c>
      <c r="G3593" s="4" t="s">
        <v>1485</v>
      </c>
      <c r="H3593" s="10" t="s">
        <v>1488</v>
      </c>
      <c r="I3593" s="10">
        <v>1.0</v>
      </c>
      <c r="J3593" s="11" t="str">
        <f>IF(D3593&lt;&gt;"",VLOOKUP(H3593,TABLEITEM,5,FALSE),"")</f>
        <v>EA</v>
      </c>
      <c r="K3593" s="12">
        <v>94.5</v>
      </c>
      <c r="L3593" s="13" t="str">
        <f>IF(D3593&lt;&gt;"",VLOOKUP(H3593,TABLEITEM,2,FALSE),"")</f>
        <v/>
      </c>
      <c r="M3593" s="13" t="str">
        <f>IF(D3593&lt;&gt;"",VLOOKUP(H3593,TABLEITEM,3,FALSE),"")</f>
        <v>MCB 1P 32A 6KA</v>
      </c>
      <c r="N3593" s="14">
        <f>INSTOCK!$I3593*INSTOCK!$K3593</f>
        <v>94.5</v>
      </c>
      <c r="O3593" s="4"/>
      <c r="P3593" s="4"/>
    </row>
    <row r="3594" ht="15.75" hidden="1" customHeight="1">
      <c r="B3594" s="8">
        <v>3913.0</v>
      </c>
      <c r="C3594" s="9">
        <v>43262.0</v>
      </c>
      <c r="D3594" s="6" t="s">
        <v>4710</v>
      </c>
      <c r="E3594" s="4">
        <v>6.106000719E9</v>
      </c>
      <c r="F3594" s="8" t="s">
        <v>4711</v>
      </c>
      <c r="G3594" s="4" t="s">
        <v>1485</v>
      </c>
      <c r="H3594" s="10" t="s">
        <v>4712</v>
      </c>
      <c r="I3594" s="10">
        <v>13.0</v>
      </c>
      <c r="J3594" s="11" t="str">
        <f>IF(D3594&lt;&gt;"",VLOOKUP(H3594,TABLEITEM,5,FALSE),"")</f>
        <v>EA</v>
      </c>
      <c r="K3594" s="12">
        <v>94.5</v>
      </c>
      <c r="L3594" s="13" t="str">
        <f>IF(D3594&lt;&gt;"",VLOOKUP(H3594,TABLEITEM,2,FALSE),"")</f>
        <v/>
      </c>
      <c r="M3594" s="13" t="str">
        <f>IF(D3594&lt;&gt;"",VLOOKUP(H3594,TABLEITEM,3,FALSE),"")</f>
        <v>MCB 1P 32A 6KA </v>
      </c>
      <c r="N3594" s="14">
        <f>INSTOCK!$I3594*INSTOCK!$K3594</f>
        <v>1228.5</v>
      </c>
      <c r="O3594" s="4"/>
      <c r="P3594" s="4"/>
    </row>
    <row r="3595" ht="15.75" hidden="1" customHeight="1">
      <c r="B3595" s="8">
        <v>3914.0</v>
      </c>
      <c r="C3595" s="9">
        <v>43262.0</v>
      </c>
      <c r="D3595" s="6" t="s">
        <v>4710</v>
      </c>
      <c r="E3595" s="4">
        <v>6.106000719E9</v>
      </c>
      <c r="F3595" s="8" t="s">
        <v>4711</v>
      </c>
      <c r="G3595" s="4" t="s">
        <v>1485</v>
      </c>
      <c r="H3595" s="10" t="s">
        <v>3108</v>
      </c>
      <c r="I3595" s="10">
        <v>4.0</v>
      </c>
      <c r="J3595" s="11" t="str">
        <f>IF(D3595&lt;&gt;"",VLOOKUP(H3595,TABLEITEM,5,FALSE),"")</f>
        <v>EA</v>
      </c>
      <c r="K3595" s="12">
        <v>94.5</v>
      </c>
      <c r="L3595" s="13" t="str">
        <f>IF(D3595&lt;&gt;"",VLOOKUP(H3595,TABLEITEM,2,FALSE),"")</f>
        <v/>
      </c>
      <c r="M3595" s="13" t="str">
        <f>IF(D3595&lt;&gt;"",VLOOKUP(H3595,TABLEITEM,3,FALSE),"")</f>
        <v>QOVS MCB 1P 16A 6KA TYPE C</v>
      </c>
      <c r="N3595" s="14">
        <f>INSTOCK!$I3595*INSTOCK!$K3595</f>
        <v>378</v>
      </c>
      <c r="O3595" s="4"/>
      <c r="P3595" s="4"/>
    </row>
    <row r="3596" ht="15.75" hidden="1" customHeight="1">
      <c r="B3596" s="8">
        <v>3915.0</v>
      </c>
      <c r="C3596" s="9">
        <v>43262.0</v>
      </c>
      <c r="D3596" s="6" t="s">
        <v>4710</v>
      </c>
      <c r="E3596" s="4">
        <v>6.106000719E9</v>
      </c>
      <c r="F3596" s="8" t="s">
        <v>4711</v>
      </c>
      <c r="G3596" s="4" t="s">
        <v>1485</v>
      </c>
      <c r="H3596" s="10" t="s">
        <v>4713</v>
      </c>
      <c r="I3596" s="10">
        <v>2.0</v>
      </c>
      <c r="J3596" s="11" t="str">
        <f>IF(D3596&lt;&gt;"",VLOOKUP(H3596,TABLEITEM,5,FALSE),"")</f>
        <v>EA</v>
      </c>
      <c r="K3596" s="12">
        <v>1095.0</v>
      </c>
      <c r="L3596" s="13" t="str">
        <f>IF(D3596&lt;&gt;"",VLOOKUP(H3596,TABLEITEM,2,FALSE),"")</f>
        <v/>
      </c>
      <c r="M3596" s="13" t="str">
        <f>IF(D3596&lt;&gt;"",VLOOKUP(H3596,TABLEITEM,3,FALSE),"")</f>
        <v>RCBO 1P 32A (30MA 0.04 SEC) 6KA</v>
      </c>
      <c r="N3596" s="14">
        <f>INSTOCK!$I3596*INSTOCK!$K3596</f>
        <v>2190</v>
      </c>
      <c r="O3596" s="4"/>
      <c r="P3596" s="4"/>
    </row>
    <row r="3597" ht="15.75" hidden="1" customHeight="1">
      <c r="B3597" s="8">
        <v>3916.0</v>
      </c>
      <c r="C3597" s="9">
        <v>43262.0</v>
      </c>
      <c r="D3597" s="6" t="s">
        <v>4710</v>
      </c>
      <c r="E3597" s="4">
        <v>6.106000719E9</v>
      </c>
      <c r="F3597" s="8" t="s">
        <v>4711</v>
      </c>
      <c r="G3597" s="4" t="s">
        <v>1485</v>
      </c>
      <c r="H3597" s="10" t="s">
        <v>4714</v>
      </c>
      <c r="I3597" s="10">
        <v>1.0</v>
      </c>
      <c r="J3597" s="11" t="str">
        <f>IF(D3597&lt;&gt;"",VLOOKUP(H3597,TABLEITEM,5,FALSE),"")</f>
        <v>EA</v>
      </c>
      <c r="K3597" s="12">
        <v>1095.0</v>
      </c>
      <c r="L3597" s="13" t="str">
        <f>IF(D3597&lt;&gt;"",VLOOKUP(H3597,TABLEITEM,2,FALSE),"")</f>
        <v/>
      </c>
      <c r="M3597" s="13" t="str">
        <f>IF(D3597&lt;&gt;"",VLOOKUP(H3597,TABLEITEM,3,FALSE),"")</f>
        <v>RCBO 1P 40A (30MA 0.04 SEC) 6KA</v>
      </c>
      <c r="N3597" s="14">
        <f>INSTOCK!$I3597*INSTOCK!$K3597</f>
        <v>1095</v>
      </c>
      <c r="O3597" s="4"/>
      <c r="P3597" s="4"/>
    </row>
    <row r="3598" ht="15.75" hidden="1" customHeight="1">
      <c r="B3598" s="8">
        <v>3917.0</v>
      </c>
      <c r="C3598" s="9">
        <v>43262.0</v>
      </c>
      <c r="D3598" s="6" t="s">
        <v>4710</v>
      </c>
      <c r="E3598" s="4">
        <v>6.106000719E9</v>
      </c>
      <c r="F3598" s="8" t="s">
        <v>4711</v>
      </c>
      <c r="G3598" s="4" t="s">
        <v>1485</v>
      </c>
      <c r="H3598" s="10" t="s">
        <v>4715</v>
      </c>
      <c r="I3598" s="10">
        <v>1.0</v>
      </c>
      <c r="J3598" s="11" t="str">
        <f>IF(D3598&lt;&gt;"",VLOOKUP(H3598,TABLEITEM,5,FALSE),"")</f>
        <v>EA</v>
      </c>
      <c r="K3598" s="12">
        <v>1386.0</v>
      </c>
      <c r="L3598" s="13" t="str">
        <f>IF(D3598&lt;&gt;"",VLOOKUP(H3598,TABLEITEM,2,FALSE),"")</f>
        <v/>
      </c>
      <c r="M3598" s="13" t="str">
        <f>IF(D3598&lt;&gt;"",VLOOKUP(H3598,TABLEITEM,3,FALSE),"")</f>
        <v>BCB 3P 63A IC=10KA AT 240/415</v>
      </c>
      <c r="N3598" s="14">
        <f>INSTOCK!$I3598*INSTOCK!$K3598</f>
        <v>1386</v>
      </c>
      <c r="O3598" s="4"/>
      <c r="P3598" s="4"/>
    </row>
    <row r="3599" ht="15.75" hidden="1" customHeight="1">
      <c r="B3599" s="8">
        <v>3918.0</v>
      </c>
      <c r="C3599" s="9">
        <v>43262.0</v>
      </c>
      <c r="D3599" s="6" t="s">
        <v>4710</v>
      </c>
      <c r="E3599" s="4">
        <v>6.106000719E9</v>
      </c>
      <c r="F3599" s="8" t="s">
        <v>4711</v>
      </c>
      <c r="G3599" s="4" t="s">
        <v>1485</v>
      </c>
      <c r="H3599" s="10" t="s">
        <v>4716</v>
      </c>
      <c r="I3599" s="10">
        <v>1.0</v>
      </c>
      <c r="J3599" s="11" t="str">
        <f>IF(D3599&lt;&gt;"",VLOOKUP(H3599,TABLEITEM,5,FALSE),"")</f>
        <v>EA</v>
      </c>
      <c r="K3599" s="12">
        <v>4830.0</v>
      </c>
      <c r="L3599" s="13" t="str">
        <f>IF(D3599&lt;&gt;"",VLOOKUP(H3599,TABLEITEM,2,FALSE),"")</f>
        <v/>
      </c>
      <c r="M3599" s="13" t="str">
        <f>IF(D3599&lt;&gt;"",VLOOKUP(H3599,TABLEITEM,3,FALSE),"")</f>
        <v>CLASSIC L/C 3P 4W+G BAR 100A MAIN CB36 CCT WITH</v>
      </c>
      <c r="N3599" s="14">
        <f>INSTOCK!$I3599*INSTOCK!$K3599</f>
        <v>4830</v>
      </c>
      <c r="O3599" s="4"/>
      <c r="P3599" s="4"/>
    </row>
    <row r="3600" ht="15.75" hidden="1" customHeight="1">
      <c r="B3600" s="8">
        <v>3919.0</v>
      </c>
      <c r="C3600" s="9">
        <v>43262.0</v>
      </c>
      <c r="D3600" s="6" t="s">
        <v>4710</v>
      </c>
      <c r="E3600" s="4">
        <v>6.106000719E9</v>
      </c>
      <c r="F3600" s="8" t="s">
        <v>4711</v>
      </c>
      <c r="G3600" s="4" t="s">
        <v>1485</v>
      </c>
      <c r="H3600" s="10" t="s">
        <v>4717</v>
      </c>
      <c r="I3600" s="10">
        <v>1.0</v>
      </c>
      <c r="J3600" s="11" t="str">
        <f>IF(D3600&lt;&gt;"",VLOOKUP(H3600,TABLEITEM,5,FALSE),"")</f>
        <v>EA</v>
      </c>
      <c r="K3600" s="12">
        <v>2356.0</v>
      </c>
      <c r="L3600" s="13" t="str">
        <f>IF(D3600&lt;&gt;"",VLOOKUP(H3600,TABLEITEM,2,FALSE),"")</f>
        <v/>
      </c>
      <c r="M3600" s="13" t="str">
        <f>IF(D3600&lt;&gt;"",VLOOKUP(H3600,TABLEITEM,3,FALSE),"")</f>
        <v>MCCB 3P EZC100H 100AT/100AF 30KA 415VAC</v>
      </c>
      <c r="N3600" s="14">
        <f>INSTOCK!$I3600*INSTOCK!$K3600</f>
        <v>2356</v>
      </c>
      <c r="O3600" s="4"/>
      <c r="P3600" s="4"/>
    </row>
    <row r="3601" ht="15.75" hidden="1" customHeight="1">
      <c r="B3601" s="8">
        <v>3920.0</v>
      </c>
      <c r="C3601" s="9">
        <v>43262.0</v>
      </c>
      <c r="D3601" s="6" t="s">
        <v>4718</v>
      </c>
      <c r="E3601" s="4">
        <v>6.10600072E9</v>
      </c>
      <c r="F3601" s="8" t="s">
        <v>4719</v>
      </c>
      <c r="G3601" s="4" t="s">
        <v>1289</v>
      </c>
      <c r="H3601" s="10" t="s">
        <v>4720</v>
      </c>
      <c r="I3601" s="10">
        <v>2.0</v>
      </c>
      <c r="J3601" s="11" t="str">
        <f>IF(D3601&lt;&gt;"",VLOOKUP(H3601,TABLEITEM,5,FALSE),"")</f>
        <v>EA</v>
      </c>
      <c r="K3601" s="12">
        <v>35.0</v>
      </c>
      <c r="L3601" s="13" t="str">
        <f>IF(D3601&lt;&gt;"",VLOOKUP(H3601,TABLEITEM,2,FALSE),"")</f>
        <v/>
      </c>
      <c r="M3601" s="13" t="str">
        <f>IF(D3601&lt;&gt;"",VLOOKUP(H3601,TABLEITEM,3,FALSE),"")</f>
        <v>รางลูกปืน 27มิล รุ่นประหยัด 14"</v>
      </c>
      <c r="N3601" s="14">
        <f>INSTOCK!$I3601*INSTOCK!$K3601</f>
        <v>70</v>
      </c>
      <c r="O3601" s="4"/>
      <c r="P3601" s="4"/>
    </row>
    <row r="3602" ht="15.75" hidden="1" customHeight="1">
      <c r="B3602" s="8">
        <v>3921.0</v>
      </c>
      <c r="C3602" s="9">
        <v>43260.0</v>
      </c>
      <c r="D3602" s="6">
        <v>6.1060137E7</v>
      </c>
      <c r="E3602" s="4">
        <v>6.106000708E9</v>
      </c>
      <c r="F3602" s="8" t="s">
        <v>604</v>
      </c>
      <c r="G3602" s="4" t="s">
        <v>1127</v>
      </c>
      <c r="H3602" s="10" t="s">
        <v>17</v>
      </c>
      <c r="I3602" s="10">
        <v>24.0</v>
      </c>
      <c r="J3602" s="11" t="str">
        <f>IF(D3602&lt;&gt;"",VLOOKUP(H3602,TABLEITEM,5,FALSE),"")</f>
        <v>คู่</v>
      </c>
      <c r="K3602" s="12">
        <v>41.6667</v>
      </c>
      <c r="L3602" s="13" t="str">
        <f>IF(D3602&lt;&gt;"",VLOOKUP(H3602,TABLEITEM,2,FALSE),"")</f>
        <v/>
      </c>
      <c r="M3602" s="13" t="str">
        <f>IF(D3602&lt;&gt;"",VLOOKUP(H3602,TABLEITEM,3,FALSE),"")</f>
        <v>ถุงมือหนัง</v>
      </c>
      <c r="N3602" s="14">
        <f>INSTOCK!$I3602*INSTOCK!$K3602</f>
        <v>1000.0008</v>
      </c>
      <c r="O3602" s="4"/>
      <c r="P3602" s="4"/>
    </row>
    <row r="3603" ht="15.75" hidden="1" customHeight="1">
      <c r="B3603" s="8">
        <v>3922.0</v>
      </c>
      <c r="C3603" s="9">
        <v>43260.0</v>
      </c>
      <c r="D3603" s="6" t="s">
        <v>4721</v>
      </c>
      <c r="E3603" s="4">
        <v>6.106000704E9</v>
      </c>
      <c r="F3603" s="8" t="s">
        <v>4722</v>
      </c>
      <c r="G3603" s="4" t="s">
        <v>965</v>
      </c>
      <c r="H3603" s="10" t="s">
        <v>3161</v>
      </c>
      <c r="I3603" s="10">
        <v>50.0</v>
      </c>
      <c r="J3603" s="11" t="str">
        <f>IF(D3603&lt;&gt;"",VLOOKUP(H3603,TABLEITEM,5,FALSE),"")</f>
        <v>EA</v>
      </c>
      <c r="K3603" s="12">
        <v>10.0</v>
      </c>
      <c r="L3603" s="13" t="str">
        <f>IF(D3603&lt;&gt;"",VLOOKUP(H3603,TABLEITEM,2,FALSE),"")</f>
        <v/>
      </c>
      <c r="M3603" s="13" t="str">
        <f>IF(D3603&lt;&gt;"",VLOOKUP(H3603,TABLEITEM,3,FALSE),"")</f>
        <v>ใบตัดเหล็ก 4" SUMO</v>
      </c>
      <c r="N3603" s="14">
        <f>INSTOCK!$I3603*INSTOCK!$K3603</f>
        <v>500</v>
      </c>
      <c r="O3603" s="4"/>
      <c r="P3603" s="4"/>
    </row>
    <row r="3604" ht="15.75" hidden="1" customHeight="1">
      <c r="B3604" s="8">
        <v>3923.0</v>
      </c>
      <c r="C3604" s="9">
        <v>43260.0</v>
      </c>
      <c r="D3604" s="6" t="s">
        <v>4723</v>
      </c>
      <c r="E3604" s="4">
        <v>6.106000699E9</v>
      </c>
      <c r="F3604" s="8" t="s">
        <v>604</v>
      </c>
      <c r="G3604" s="4" t="s">
        <v>965</v>
      </c>
      <c r="H3604" s="10" t="s">
        <v>966</v>
      </c>
      <c r="I3604" s="10">
        <v>8.0</v>
      </c>
      <c r="J3604" s="11" t="str">
        <f>IF(D3604&lt;&gt;"",VLOOKUP(H3604,TABLEITEM,5,FALSE),"")</f>
        <v>EA</v>
      </c>
      <c r="K3604" s="12">
        <v>28.0</v>
      </c>
      <c r="L3604" s="13" t="str">
        <f>IF(D3604&lt;&gt;"",VLOOKUP(H3604,TABLEITEM,2,FALSE),"")</f>
        <v/>
      </c>
      <c r="M3604" s="13" t="str">
        <f>IF(D3604&lt;&gt;"",VLOOKUP(H3604,TABLEITEM,3,FALSE),"")</f>
        <v>ลูกปืน 6000ZZ</v>
      </c>
      <c r="N3604" s="14">
        <f>INSTOCK!$I3604*INSTOCK!$K3604</f>
        <v>224</v>
      </c>
      <c r="O3604" s="4"/>
      <c r="P3604" s="4"/>
    </row>
    <row r="3605" ht="15.75" hidden="1" customHeight="1">
      <c r="B3605" s="8">
        <v>3924.0</v>
      </c>
      <c r="C3605" s="9">
        <v>43260.0</v>
      </c>
      <c r="D3605" s="6" t="s">
        <v>4723</v>
      </c>
      <c r="E3605" s="4">
        <v>6.106000699E9</v>
      </c>
      <c r="F3605" s="8" t="s">
        <v>604</v>
      </c>
      <c r="G3605" s="4" t="s">
        <v>965</v>
      </c>
      <c r="H3605" s="10" t="s">
        <v>2831</v>
      </c>
      <c r="I3605" s="10">
        <v>12.0</v>
      </c>
      <c r="J3605" s="11" t="str">
        <f>IF(D3605&lt;&gt;"",VLOOKUP(H3605,TABLEITEM,5,FALSE),"")</f>
        <v>EA</v>
      </c>
      <c r="K3605" s="12">
        <v>30.0</v>
      </c>
      <c r="L3605" s="13" t="str">
        <f>IF(D3605&lt;&gt;"",VLOOKUP(H3605,TABLEITEM,2,FALSE),"")</f>
        <v/>
      </c>
      <c r="M3605" s="13" t="str">
        <f>IF(D3605&lt;&gt;"",VLOOKUP(H3605,TABLEITEM,3,FALSE),"")</f>
        <v>แว่นตาใส </v>
      </c>
      <c r="N3605" s="14">
        <f>INSTOCK!$I3605*INSTOCK!$K3605</f>
        <v>360</v>
      </c>
      <c r="O3605" s="4"/>
      <c r="P3605" s="4"/>
    </row>
    <row r="3606" ht="15.75" hidden="1" customHeight="1">
      <c r="B3606" s="8">
        <v>3925.0</v>
      </c>
      <c r="C3606" s="9">
        <v>43260.0</v>
      </c>
      <c r="D3606" s="6" t="s">
        <v>4724</v>
      </c>
      <c r="E3606" s="4">
        <v>6.106000711E9</v>
      </c>
      <c r="F3606" s="8" t="s">
        <v>604</v>
      </c>
      <c r="G3606" s="4" t="s">
        <v>965</v>
      </c>
      <c r="H3606" s="10" t="s">
        <v>46</v>
      </c>
      <c r="I3606" s="10">
        <v>10.0</v>
      </c>
      <c r="J3606" s="11" t="str">
        <f>IF(D3606&lt;&gt;"",VLOOKUP(H3606,TABLEITEM,5,FALSE),"")</f>
        <v>ROLL</v>
      </c>
      <c r="K3606" s="12">
        <v>95.0</v>
      </c>
      <c r="L3606" s="13" t="str">
        <f>IF(D3606&lt;&gt;"",VLOOKUP(H3606,TABLEITEM,2,FALSE),"")</f>
        <v/>
      </c>
      <c r="M3606" s="13" t="str">
        <f>IF(D3606&lt;&gt;"",VLOOKUP(H3606,TABLEITEM,3,FALSE),"")</f>
        <v>ลวดดำ</v>
      </c>
      <c r="N3606" s="14">
        <f>INSTOCK!$I3606*INSTOCK!$K3606</f>
        <v>950</v>
      </c>
      <c r="O3606" s="4"/>
      <c r="P3606" s="4"/>
    </row>
    <row r="3607" ht="15.75" hidden="1" customHeight="1">
      <c r="B3607" s="8">
        <v>3926.0</v>
      </c>
      <c r="C3607" s="9">
        <v>43260.0</v>
      </c>
      <c r="D3607" s="6" t="s">
        <v>4724</v>
      </c>
      <c r="E3607" s="4">
        <v>6.106000711E9</v>
      </c>
      <c r="F3607" s="8" t="s">
        <v>604</v>
      </c>
      <c r="G3607" s="4" t="s">
        <v>965</v>
      </c>
      <c r="H3607" s="10" t="s">
        <v>2616</v>
      </c>
      <c r="I3607" s="10">
        <v>10.0</v>
      </c>
      <c r="J3607" s="11" t="str">
        <f>IF(D3607&lt;&gt;"",VLOOKUP(H3607,TABLEITEM,5,FALSE),"")</f>
        <v>M</v>
      </c>
      <c r="K3607" s="12">
        <v>12.0</v>
      </c>
      <c r="L3607" s="13" t="str">
        <f>IF(D3607&lt;&gt;"",VLOOKUP(H3607,TABLEITEM,2,FALSE),"")</f>
        <v/>
      </c>
      <c r="M3607" s="13" t="str">
        <f>IF(D3607&lt;&gt;"",VLOOKUP(H3607,TABLEITEM,3,FALSE),"")</f>
        <v>สายยางน้ำ 5/8"</v>
      </c>
      <c r="N3607" s="14">
        <f>INSTOCK!$I3607*INSTOCK!$K3607</f>
        <v>120</v>
      </c>
      <c r="O3607" s="4"/>
      <c r="P3607" s="4"/>
    </row>
    <row r="3608" ht="15.75" hidden="1" customHeight="1">
      <c r="B3608" s="8">
        <v>3927.0</v>
      </c>
      <c r="C3608" s="9">
        <v>43259.0</v>
      </c>
      <c r="D3608" s="6" t="s">
        <v>4725</v>
      </c>
      <c r="E3608" s="4">
        <v>6.106000701E9</v>
      </c>
      <c r="F3608" s="8" t="s">
        <v>604</v>
      </c>
      <c r="G3608" s="4" t="s">
        <v>2014</v>
      </c>
      <c r="H3608" s="10" t="s">
        <v>4726</v>
      </c>
      <c r="I3608" s="10">
        <v>2.0</v>
      </c>
      <c r="J3608" s="11" t="str">
        <f>IF(D3608&lt;&gt;"",VLOOKUP(H3608,TABLEITEM,5,FALSE),"")</f>
        <v>EA</v>
      </c>
      <c r="K3608" s="12">
        <v>261.68</v>
      </c>
      <c r="L3608" s="13" t="str">
        <f>IF(D3608&lt;&gt;"",VLOOKUP(H3608,TABLEITEM,2,FALSE),"")</f>
        <v/>
      </c>
      <c r="M3608" s="13" t="str">
        <f>IF(D3608&lt;&gt;"",VLOOKUP(H3608,TABLEITEM,3,FALSE),"")</f>
        <v>อะไหล่ม๊อปดันฝุ่น 24นิ้ว BEMAN</v>
      </c>
      <c r="N3608" s="14">
        <f>INSTOCK!$I3608*INSTOCK!$K3608</f>
        <v>523.36</v>
      </c>
      <c r="O3608" s="4"/>
      <c r="P3608" s="4"/>
    </row>
    <row r="3609" ht="15.75" hidden="1" customHeight="1">
      <c r="B3609" s="8">
        <v>3928.0</v>
      </c>
      <c r="C3609" s="9">
        <v>43259.0</v>
      </c>
      <c r="D3609" s="6" t="s">
        <v>4725</v>
      </c>
      <c r="E3609" s="4">
        <v>6.106000701E9</v>
      </c>
      <c r="F3609" s="8" t="s">
        <v>604</v>
      </c>
      <c r="G3609" s="4" t="s">
        <v>2014</v>
      </c>
      <c r="H3609" s="10" t="s">
        <v>4727</v>
      </c>
      <c r="I3609" s="10">
        <v>1.0</v>
      </c>
      <c r="J3609" s="11" t="str">
        <f>IF(D3609&lt;&gt;"",VLOOKUP(H3609,TABLEITEM,5,FALSE),"")</f>
        <v>EA</v>
      </c>
      <c r="K3609" s="12">
        <v>387.85</v>
      </c>
      <c r="L3609" s="13" t="str">
        <f>IF(D3609&lt;&gt;"",VLOOKUP(H3609,TABLEITEM,2,FALSE),"")</f>
        <v/>
      </c>
      <c r="M3609" s="13" t="str">
        <f>IF(D3609&lt;&gt;"",VLOOKUP(H3609,TABLEITEM,3,FALSE),"")</f>
        <v>เครื่องคิดเลข สีเงิน คาสิโอ AX-120B</v>
      </c>
      <c r="N3609" s="14">
        <f>INSTOCK!$I3609*INSTOCK!$K3609</f>
        <v>387.85</v>
      </c>
      <c r="O3609" s="4"/>
      <c r="P3609" s="4"/>
    </row>
    <row r="3610" ht="15.75" hidden="1" customHeight="1">
      <c r="B3610" s="8">
        <v>3929.0</v>
      </c>
      <c r="C3610" s="9">
        <v>43258.0</v>
      </c>
      <c r="D3610" s="6" t="s">
        <v>4728</v>
      </c>
      <c r="E3610" s="4"/>
      <c r="F3610" s="8" t="s">
        <v>604</v>
      </c>
      <c r="G3610" s="4" t="s">
        <v>1777</v>
      </c>
      <c r="H3610" s="10" t="s">
        <v>1778</v>
      </c>
      <c r="I3610" s="10">
        <v>1000.0</v>
      </c>
      <c r="J3610" s="11" t="str">
        <f>IF(D3610&lt;&gt;"",VLOOKUP(H3610,TABLEITEM,5,FALSE),"")</f>
        <v>EA</v>
      </c>
      <c r="K3610" s="12">
        <v>1.85</v>
      </c>
      <c r="L3610" s="13" t="str">
        <f>IF(D3610&lt;&gt;"",VLOOKUP(H3610,TABLEITEM,2,FALSE),"")</f>
        <v/>
      </c>
      <c r="M3610" s="13" t="str">
        <f>IF(D3610&lt;&gt;"",VLOOKUP(H3610,TABLEITEM,3,FALSE),"")</f>
        <v>สกรูหัวจมชุบขาว M4x35</v>
      </c>
      <c r="N3610" s="14">
        <f>INSTOCK!$I3610*INSTOCK!$K3610</f>
        <v>1850</v>
      </c>
      <c r="O3610" s="4"/>
      <c r="P3610" s="4"/>
    </row>
    <row r="3611" ht="15.75" hidden="1" customHeight="1">
      <c r="B3611" s="8">
        <v>3930.0</v>
      </c>
      <c r="C3611" s="9">
        <v>43258.0</v>
      </c>
      <c r="D3611" s="6" t="s">
        <v>4729</v>
      </c>
      <c r="E3611" s="4">
        <v>6.106000682E9</v>
      </c>
      <c r="F3611" s="8" t="s">
        <v>604</v>
      </c>
      <c r="G3611" s="4" t="s">
        <v>1777</v>
      </c>
      <c r="H3611" s="10" t="s">
        <v>2102</v>
      </c>
      <c r="I3611" s="10">
        <v>14000.0</v>
      </c>
      <c r="J3611" s="11" t="str">
        <f>IF(D3611&lt;&gt;"",VLOOKUP(H3611,TABLEITEM,5,FALSE),"")</f>
        <v>EA</v>
      </c>
      <c r="K3611" s="12">
        <v>0.09</v>
      </c>
      <c r="L3611" s="13" t="str">
        <f>IF(D3611&lt;&gt;"",VLOOKUP(H3611,TABLEITEM,2,FALSE),"")</f>
        <v/>
      </c>
      <c r="M3611" s="13" t="str">
        <f>IF(D3611&lt;&gt;"",VLOOKUP(H3611,TABLEITEM,3,FALSE),"")</f>
        <v>แหวนอีแปะ M8 ชุบขาว</v>
      </c>
      <c r="N3611" s="14">
        <f>INSTOCK!$I3611*INSTOCK!$K3611</f>
        <v>1260</v>
      </c>
      <c r="O3611" s="4" t="s">
        <v>2103</v>
      </c>
      <c r="P3611" s="4"/>
    </row>
    <row r="3612" ht="15.75" hidden="1" customHeight="1">
      <c r="B3612" s="8">
        <v>3931.0</v>
      </c>
      <c r="C3612" s="9">
        <v>43258.0</v>
      </c>
      <c r="D3612" s="6" t="s">
        <v>4729</v>
      </c>
      <c r="E3612" s="4">
        <v>6.106000682E9</v>
      </c>
      <c r="F3612" s="8" t="s">
        <v>604</v>
      </c>
      <c r="G3612" s="4" t="s">
        <v>1777</v>
      </c>
      <c r="H3612" s="10" t="s">
        <v>3014</v>
      </c>
      <c r="I3612" s="10">
        <v>10000.0</v>
      </c>
      <c r="J3612" s="11" t="str">
        <f>IF(D3612&lt;&gt;"",VLOOKUP(H3612,TABLEITEM,5,FALSE),"")</f>
        <v>EA</v>
      </c>
      <c r="K3612" s="12">
        <v>0.075</v>
      </c>
      <c r="L3612" s="13" t="str">
        <f>IF(D3612&lt;&gt;"",VLOOKUP(H3612,TABLEITEM,2,FALSE),"")</f>
        <v/>
      </c>
      <c r="M3612" s="13" t="str">
        <f>IF(D3612&lt;&gt;"",VLOOKUP(H3612,TABLEITEM,3,FALSE),"")</f>
        <v>แหวนสปริง M 8 ชุบรุ้ง</v>
      </c>
      <c r="N3612" s="14">
        <f>INSTOCK!$I3612*INSTOCK!$K3612</f>
        <v>750</v>
      </c>
      <c r="O3612" s="4" t="s">
        <v>2079</v>
      </c>
      <c r="P3612" s="4"/>
    </row>
    <row r="3613" ht="15.75" hidden="1" customHeight="1">
      <c r="B3613" s="8">
        <v>3932.0</v>
      </c>
      <c r="C3613" s="9">
        <v>43258.0</v>
      </c>
      <c r="D3613" s="6" t="s">
        <v>4729</v>
      </c>
      <c r="E3613" s="4">
        <v>6.106000682E9</v>
      </c>
      <c r="F3613" s="8" t="s">
        <v>604</v>
      </c>
      <c r="G3613" s="4" t="s">
        <v>1777</v>
      </c>
      <c r="H3613" s="18" t="s">
        <v>2084</v>
      </c>
      <c r="I3613" s="10">
        <v>275.0</v>
      </c>
      <c r="J3613" s="11" t="str">
        <f>IF(D3613&lt;&gt;"",VLOOKUP(H3613,TABLEITEM,5,FALSE),"")</f>
        <v>EA</v>
      </c>
      <c r="K3613" s="12">
        <v>0.24</v>
      </c>
      <c r="L3613" s="13" t="str">
        <f>IF(D3613&lt;&gt;"",VLOOKUP(H3613,TABLEITEM,2,FALSE),"")</f>
        <v/>
      </c>
      <c r="M3613" s="13" t="str">
        <f>IF(D3613&lt;&gt;"",VLOOKUP(H3613,TABLEITEM,3,FALSE),"")</f>
        <v>ติดจาน M5</v>
      </c>
      <c r="N3613" s="14">
        <f>INSTOCK!$I3613*INSTOCK!$K3613</f>
        <v>66</v>
      </c>
      <c r="O3613" s="4" t="s">
        <v>2085</v>
      </c>
      <c r="P3613" s="4"/>
    </row>
    <row r="3614" ht="15.75" hidden="1" customHeight="1">
      <c r="B3614" s="8">
        <v>3933.0</v>
      </c>
      <c r="C3614" s="9">
        <v>43258.0</v>
      </c>
      <c r="D3614" s="6" t="s">
        <v>4729</v>
      </c>
      <c r="E3614" s="4">
        <v>6.106000682E9</v>
      </c>
      <c r="F3614" s="8" t="s">
        <v>604</v>
      </c>
      <c r="G3614" s="4" t="s">
        <v>1777</v>
      </c>
      <c r="H3614" s="10" t="s">
        <v>2088</v>
      </c>
      <c r="I3614" s="10">
        <v>500.0</v>
      </c>
      <c r="J3614" s="11" t="str">
        <f>IF(D3614&lt;&gt;"",VLOOKUP(H3614,TABLEITEM,5,FALSE),"")</f>
        <v>EA</v>
      </c>
      <c r="K3614" s="12">
        <v>0.13</v>
      </c>
      <c r="L3614" s="13" t="str">
        <f>IF(D3614&lt;&gt;"",VLOOKUP(H3614,TABLEITEM,2,FALSE),"")</f>
        <v/>
      </c>
      <c r="M3614" s="13" t="str">
        <f>IF(D3614&lt;&gt;"",VLOOKUP(H3614,TABLEITEM,3,FALSE),"")</f>
        <v>สกรูเตเปอร์ M5x10</v>
      </c>
      <c r="N3614" s="14">
        <f>INSTOCK!$I3614*INSTOCK!$K3614</f>
        <v>65</v>
      </c>
      <c r="O3614" s="4"/>
      <c r="P3614" s="4"/>
    </row>
    <row r="3615" ht="15.75" hidden="1" customHeight="1">
      <c r="B3615" s="8">
        <v>3934.0</v>
      </c>
      <c r="C3615" s="9">
        <v>43258.0</v>
      </c>
      <c r="D3615" s="6" t="s">
        <v>4729</v>
      </c>
      <c r="E3615" s="4">
        <v>6.106000682E9</v>
      </c>
      <c r="F3615" s="8" t="s">
        <v>604</v>
      </c>
      <c r="G3615" s="4" t="s">
        <v>1777</v>
      </c>
      <c r="H3615" s="10" t="s">
        <v>2106</v>
      </c>
      <c r="I3615" s="10">
        <v>500.0</v>
      </c>
      <c r="J3615" s="11" t="str">
        <f>IF(D3615&lt;&gt;"",VLOOKUP(H3615,TABLEITEM,5,FALSE),"")</f>
        <v>EA</v>
      </c>
      <c r="K3615" s="12">
        <v>2.86</v>
      </c>
      <c r="L3615" s="13" t="str">
        <f>IF(D3615&lt;&gt;"",VLOOKUP(H3615,TABLEITEM,2,FALSE),"")</f>
        <v/>
      </c>
      <c r="M3615" s="13" t="str">
        <f>IF(D3615&lt;&gt;"",VLOOKUP(H3615,TABLEITEM,3,FALSE),"")</f>
        <v>สกรูหัวเหลี่ยมชุบขาว M12x40</v>
      </c>
      <c r="N3615" s="14">
        <f>INSTOCK!$I3615*INSTOCK!$K3615</f>
        <v>1430</v>
      </c>
      <c r="O3615" s="4" t="s">
        <v>4730</v>
      </c>
      <c r="P3615" s="4"/>
    </row>
    <row r="3616" ht="15.75" hidden="1" customHeight="1">
      <c r="B3616" s="8">
        <v>3935.0</v>
      </c>
      <c r="C3616" s="9">
        <v>43258.0</v>
      </c>
      <c r="D3616" s="6" t="s">
        <v>4729</v>
      </c>
      <c r="E3616" s="4">
        <v>6.106000682E9</v>
      </c>
      <c r="F3616" s="8" t="s">
        <v>604</v>
      </c>
      <c r="G3616" s="4" t="s">
        <v>1777</v>
      </c>
      <c r="H3616" s="10" t="s">
        <v>2496</v>
      </c>
      <c r="I3616" s="10">
        <v>500.0</v>
      </c>
      <c r="J3616" s="11" t="str">
        <f>IF(D3616&lt;&gt;"",VLOOKUP(H3616,TABLEITEM,5,FALSE),"")</f>
        <v>EA</v>
      </c>
      <c r="K3616" s="12">
        <v>0.09</v>
      </c>
      <c r="L3616" s="13" t="str">
        <f>IF(D3616&lt;&gt;"",VLOOKUP(H3616,TABLEITEM,2,FALSE),"")</f>
        <v/>
      </c>
      <c r="M3616" s="13" t="str">
        <f>IF(D3616&lt;&gt;"",VLOOKUP(H3616,TABLEITEM,3,FALSE),"")</f>
        <v>สกรูหัวกลมชุบขาว M3x20</v>
      </c>
      <c r="N3616" s="14">
        <f>INSTOCK!$I3616*INSTOCK!$K3616</f>
        <v>45</v>
      </c>
      <c r="O3616" s="4"/>
      <c r="P3616" s="4"/>
    </row>
    <row r="3617" ht="15.75" hidden="1" customHeight="1">
      <c r="B3617" s="8">
        <v>3936.0</v>
      </c>
      <c r="C3617" s="9">
        <v>43258.0</v>
      </c>
      <c r="D3617" s="6" t="s">
        <v>4729</v>
      </c>
      <c r="E3617" s="4">
        <v>6.106000682E9</v>
      </c>
      <c r="F3617" s="8" t="s">
        <v>604</v>
      </c>
      <c r="G3617" s="4" t="s">
        <v>1777</v>
      </c>
      <c r="H3617" s="10" t="s">
        <v>2167</v>
      </c>
      <c r="I3617" s="10">
        <v>4000.0</v>
      </c>
      <c r="J3617" s="11" t="str">
        <f>IF(D3617&lt;&gt;"",VLOOKUP(H3617,TABLEITEM,5,FALSE),"")</f>
        <v>EA</v>
      </c>
      <c r="K3617" s="12">
        <v>0.05</v>
      </c>
      <c r="L3617" s="13" t="str">
        <f>IF(D3617&lt;&gt;"",VLOOKUP(H3617,TABLEITEM,2,FALSE),"")</f>
        <v/>
      </c>
      <c r="M3617" s="13" t="str">
        <f>IF(D3617&lt;&gt;"",VLOOKUP(H3617,TABLEITEM,3,FALSE),"")</f>
        <v>แหวนอีแปะ M4  ชุบขาว</v>
      </c>
      <c r="N3617" s="14">
        <f>INSTOCK!$I3617*INSTOCK!$K3617</f>
        <v>200</v>
      </c>
      <c r="O3617" s="4" t="s">
        <v>2168</v>
      </c>
      <c r="P3617" s="4"/>
    </row>
    <row r="3618" ht="15.75" hidden="1" customHeight="1">
      <c r="B3618" s="8">
        <v>3937.0</v>
      </c>
      <c r="C3618" s="9">
        <v>43258.0</v>
      </c>
      <c r="D3618" s="6" t="s">
        <v>4729</v>
      </c>
      <c r="E3618" s="4">
        <v>6.106000682E9</v>
      </c>
      <c r="F3618" s="8" t="s">
        <v>604</v>
      </c>
      <c r="G3618" s="4" t="s">
        <v>1777</v>
      </c>
      <c r="H3618" s="10" t="s">
        <v>2426</v>
      </c>
      <c r="I3618" s="10">
        <v>2000.0</v>
      </c>
      <c r="J3618" s="11" t="str">
        <f>IF(D3618&lt;&gt;"",VLOOKUP(H3618,TABLEITEM,5,FALSE),"")</f>
        <v>EA</v>
      </c>
      <c r="K3618" s="12">
        <v>0.3</v>
      </c>
      <c r="L3618" s="13" t="str">
        <f>IF(D3618&lt;&gt;"",VLOOKUP(H3618,TABLEITEM,2,FALSE),"")</f>
        <v/>
      </c>
      <c r="M3618" s="13" t="str">
        <f>IF(D3618&lt;&gt;"",VLOOKUP(H3618,TABLEITEM,3,FALSE),"")</f>
        <v>หัวน็อตล็อค M4</v>
      </c>
      <c r="N3618" s="14">
        <f>INSTOCK!$I3618*INSTOCK!$K3618</f>
        <v>600</v>
      </c>
      <c r="O3618" s="4" t="s">
        <v>2170</v>
      </c>
      <c r="P3618" s="4"/>
    </row>
    <row r="3619" ht="15.75" hidden="1" customHeight="1">
      <c r="B3619" s="8">
        <v>3938.0</v>
      </c>
      <c r="C3619" s="9">
        <v>43258.0</v>
      </c>
      <c r="D3619" s="6" t="s">
        <v>4729</v>
      </c>
      <c r="E3619" s="4">
        <v>6.106000682E9</v>
      </c>
      <c r="F3619" s="8" t="s">
        <v>604</v>
      </c>
      <c r="G3619" s="4" t="s">
        <v>1777</v>
      </c>
      <c r="H3619" s="10" t="s">
        <v>3184</v>
      </c>
      <c r="I3619" s="10">
        <v>6000.0</v>
      </c>
      <c r="J3619" s="11" t="str">
        <f>IF(D3619&lt;&gt;"",VLOOKUP(H3619,TABLEITEM,5,FALSE),"")</f>
        <v>EA</v>
      </c>
      <c r="K3619" s="12">
        <v>0.16</v>
      </c>
      <c r="L3619" s="13" t="str">
        <f>IF(D3619&lt;&gt;"",VLOOKUP(H3619,TABLEITEM,2,FALSE),"")</f>
        <v/>
      </c>
      <c r="M3619" s="13" t="str">
        <f>IF(D3619&lt;&gt;"",VLOOKUP(H3619,TABLEITEM,3,FALSE),"")</f>
        <v>หัวน็อต      M 6 ชุบขาว</v>
      </c>
      <c r="N3619" s="14">
        <f>INSTOCK!$I3619*INSTOCK!$K3619</f>
        <v>960</v>
      </c>
      <c r="O3619" s="4" t="s">
        <v>3185</v>
      </c>
      <c r="P3619" s="4"/>
    </row>
    <row r="3620" ht="15.75" hidden="1" customHeight="1">
      <c r="B3620" s="8">
        <v>3939.0</v>
      </c>
      <c r="C3620" s="9">
        <v>43258.0</v>
      </c>
      <c r="D3620" s="6" t="s">
        <v>4729</v>
      </c>
      <c r="E3620" s="4">
        <v>6.106000682E9</v>
      </c>
      <c r="F3620" s="8" t="s">
        <v>604</v>
      </c>
      <c r="G3620" s="4" t="s">
        <v>1777</v>
      </c>
      <c r="H3620" s="10" t="s">
        <v>2100</v>
      </c>
      <c r="I3620" s="10">
        <v>10000.0</v>
      </c>
      <c r="J3620" s="11" t="str">
        <f>IF(D3620&lt;&gt;"",VLOOKUP(H3620,TABLEITEM,5,FALSE),"")</f>
        <v>EA</v>
      </c>
      <c r="K3620" s="12">
        <v>0.7995</v>
      </c>
      <c r="L3620" s="13" t="str">
        <f>IF(D3620&lt;&gt;"",VLOOKUP(H3620,TABLEITEM,2,FALSE),"")</f>
        <v/>
      </c>
      <c r="M3620" s="13" t="str">
        <f>IF(D3620&lt;&gt;"",VLOOKUP(H3620,TABLEITEM,3,FALSE),"")</f>
        <v>สกรูหัวเหลี่ยมชุบขาว M8x20</v>
      </c>
      <c r="N3620" s="14">
        <f>INSTOCK!$I3620*INSTOCK!$K3620</f>
        <v>7995</v>
      </c>
      <c r="O3620" s="4" t="s">
        <v>2101</v>
      </c>
      <c r="P3620" s="4"/>
    </row>
    <row r="3621" ht="15.75" hidden="1" customHeight="1">
      <c r="B3621" s="8">
        <v>3940.0</v>
      </c>
      <c r="C3621" s="9">
        <v>43258.0</v>
      </c>
      <c r="D3621" s="6" t="s">
        <v>4729</v>
      </c>
      <c r="E3621" s="4">
        <v>6.106000682E9</v>
      </c>
      <c r="F3621" s="8" t="s">
        <v>604</v>
      </c>
      <c r="G3621" s="4" t="s">
        <v>1777</v>
      </c>
      <c r="H3621" s="10" t="s">
        <v>1859</v>
      </c>
      <c r="I3621" s="10">
        <v>3000.0</v>
      </c>
      <c r="J3621" s="11" t="str">
        <f>IF(D3621&lt;&gt;"",VLOOKUP(H3621,TABLEITEM,5,FALSE),"")</f>
        <v>EA</v>
      </c>
      <c r="K3621" s="12">
        <v>0.9033</v>
      </c>
      <c r="L3621" s="13" t="str">
        <f>IF(D3621&lt;&gt;"",VLOOKUP(H3621,TABLEITEM,2,FALSE),"")</f>
        <v/>
      </c>
      <c r="M3621" s="13" t="str">
        <f>IF(D3621&lt;&gt;"",VLOOKUP(H3621,TABLEITEM,3,FALSE),"")</f>
        <v>สกรูหัวเหลี่ยมชุบขาว M8x25</v>
      </c>
      <c r="N3621" s="14">
        <f>INSTOCK!$I3621*INSTOCK!$K3621</f>
        <v>2709.9</v>
      </c>
      <c r="O3621" s="4" t="s">
        <v>1860</v>
      </c>
      <c r="P3621" s="4"/>
    </row>
    <row r="3622" ht="15.75" hidden="1" customHeight="1">
      <c r="B3622" s="8">
        <v>3941.0</v>
      </c>
      <c r="C3622" s="9">
        <v>43258.0</v>
      </c>
      <c r="D3622" s="6" t="s">
        <v>4729</v>
      </c>
      <c r="E3622" s="4">
        <v>6.106000682E9</v>
      </c>
      <c r="F3622" s="8" t="s">
        <v>604</v>
      </c>
      <c r="G3622" s="4" t="s">
        <v>1777</v>
      </c>
      <c r="H3622" s="10" t="s">
        <v>2523</v>
      </c>
      <c r="I3622" s="10">
        <v>2000.0</v>
      </c>
      <c r="J3622" s="11" t="str">
        <f>IF(D3622&lt;&gt;"",VLOOKUP(H3622,TABLEITEM,5,FALSE),"")</f>
        <v>EA</v>
      </c>
      <c r="K3622" s="12">
        <v>1.196</v>
      </c>
      <c r="L3622" s="13" t="str">
        <f>IF(D3622&lt;&gt;"",VLOOKUP(H3622,TABLEITEM,2,FALSE),"")</f>
        <v/>
      </c>
      <c r="M3622" s="13" t="str">
        <f>IF(D3622&lt;&gt;"",VLOOKUP(H3622,TABLEITEM,3,FALSE),"")</f>
        <v>สกรูหัวเหลี่ยมชุบขาว M8x35</v>
      </c>
      <c r="N3622" s="14">
        <f>INSTOCK!$I3622*INSTOCK!$K3622</f>
        <v>2392</v>
      </c>
      <c r="O3622" s="4" t="s">
        <v>2524</v>
      </c>
      <c r="P3622" s="4"/>
    </row>
    <row r="3623" ht="15.75" hidden="1" customHeight="1">
      <c r="B3623" s="8">
        <v>3942.0</v>
      </c>
      <c r="C3623" s="9">
        <v>43258.0</v>
      </c>
      <c r="D3623" s="6" t="s">
        <v>4729</v>
      </c>
      <c r="E3623" s="4">
        <v>6.106000682E9</v>
      </c>
      <c r="F3623" s="8" t="s">
        <v>604</v>
      </c>
      <c r="G3623" s="4" t="s">
        <v>1777</v>
      </c>
      <c r="H3623" s="10" t="s">
        <v>4731</v>
      </c>
      <c r="I3623" s="10">
        <v>500.0</v>
      </c>
      <c r="J3623" s="11" t="str">
        <f>IF(D3623&lt;&gt;"",VLOOKUP(H3623,TABLEITEM,5,FALSE),"")</f>
        <v>EA</v>
      </c>
      <c r="K3623" s="12">
        <v>0.294</v>
      </c>
      <c r="L3623" s="13" t="str">
        <f>IF(D3623&lt;&gt;"",VLOOKUP(H3623,TABLEITEM,2,FALSE),"")</f>
        <v/>
      </c>
      <c r="M3623" s="13" t="str">
        <f>IF(D3623&lt;&gt;"",VLOOKUP(H3623,TABLEITEM,3,FALSE),"")</f>
        <v>สกรูหัวกลมชุบขาว M6x25</v>
      </c>
      <c r="N3623" s="14">
        <f>INSTOCK!$I3623*INSTOCK!$K3623</f>
        <v>147</v>
      </c>
      <c r="O3623" s="4" t="s">
        <v>4732</v>
      </c>
      <c r="P3623" s="4"/>
    </row>
    <row r="3624" ht="15.75" hidden="1" customHeight="1">
      <c r="B3624" s="8">
        <v>3943.0</v>
      </c>
      <c r="C3624" s="9">
        <v>43258.0</v>
      </c>
      <c r="D3624" s="6" t="s">
        <v>4733</v>
      </c>
      <c r="E3624" s="4">
        <v>6.106000692E9</v>
      </c>
      <c r="F3624" s="8" t="s">
        <v>604</v>
      </c>
      <c r="G3624" s="4" t="s">
        <v>1611</v>
      </c>
      <c r="H3624" s="10" t="s">
        <v>188</v>
      </c>
      <c r="I3624" s="10">
        <v>600.0</v>
      </c>
      <c r="J3624" s="11" t="str">
        <f>IF(D3624&lt;&gt;"",VLOOKUP(H3624,TABLEITEM,5,FALSE),"")</f>
        <v>EA</v>
      </c>
      <c r="K3624" s="12">
        <v>9.0</v>
      </c>
      <c r="L3624" s="13" t="str">
        <f>IF(D3624&lt;&gt;"",VLOOKUP(H3624,TABLEITEM,2,FALSE),"")</f>
        <v/>
      </c>
      <c r="M3624" s="13" t="str">
        <f>IF(D3624&lt;&gt;"",VLOOKUP(H3624,TABLEITEM,3,FALSE),"")</f>
        <v>TERMINAL BLOCK TX10</v>
      </c>
      <c r="N3624" s="14">
        <f>INSTOCK!$I3624*INSTOCK!$K3624</f>
        <v>5400</v>
      </c>
      <c r="O3624" s="4"/>
      <c r="P3624" s="4"/>
    </row>
    <row r="3625" ht="15.75" hidden="1" customHeight="1">
      <c r="B3625" s="8">
        <v>3944.0</v>
      </c>
      <c r="C3625" s="9">
        <v>43258.0</v>
      </c>
      <c r="D3625" s="6" t="s">
        <v>4733</v>
      </c>
      <c r="E3625" s="4">
        <v>6.106000692E9</v>
      </c>
      <c r="F3625" s="8" t="s">
        <v>604</v>
      </c>
      <c r="G3625" s="4" t="s">
        <v>1611</v>
      </c>
      <c r="H3625" s="10" t="s">
        <v>189</v>
      </c>
      <c r="I3625" s="10">
        <v>200.0</v>
      </c>
      <c r="J3625" s="11" t="str">
        <f>IF(D3625&lt;&gt;"",VLOOKUP(H3625,TABLEITEM,5,FALSE),"")</f>
        <v>EA</v>
      </c>
      <c r="K3625" s="12">
        <v>5.0</v>
      </c>
      <c r="L3625" s="13" t="str">
        <f>IF(D3625&lt;&gt;"",VLOOKUP(H3625,TABLEITEM,2,FALSE),"")</f>
        <v/>
      </c>
      <c r="M3625" s="13" t="str">
        <f>IF(D3625&lt;&gt;"",VLOOKUP(H3625,TABLEITEM,3,FALSE),"")</f>
        <v>END PLATE TXA1</v>
      </c>
      <c r="N3625" s="14">
        <f>INSTOCK!$I3625*INSTOCK!$K3625</f>
        <v>1000</v>
      </c>
      <c r="O3625" s="4"/>
      <c r="P3625" s="4"/>
    </row>
    <row r="3626" ht="15.75" hidden="1" customHeight="1">
      <c r="B3626" s="8">
        <v>3945.0</v>
      </c>
      <c r="C3626" s="9">
        <v>43258.0</v>
      </c>
      <c r="D3626" s="6" t="s">
        <v>4733</v>
      </c>
      <c r="E3626" s="4">
        <v>6.106000692E9</v>
      </c>
      <c r="F3626" s="8" t="s">
        <v>604</v>
      </c>
      <c r="G3626" s="4" t="s">
        <v>1611</v>
      </c>
      <c r="H3626" s="10" t="s">
        <v>200</v>
      </c>
      <c r="I3626" s="10">
        <v>300.0</v>
      </c>
      <c r="J3626" s="11" t="str">
        <f>IF(D3626&lt;&gt;"",VLOOKUP(H3626,TABLEITEM,5,FALSE),"")</f>
        <v>EA</v>
      </c>
      <c r="K3626" s="12">
        <v>16.0</v>
      </c>
      <c r="L3626" s="13" t="str">
        <f>IF(D3626&lt;&gt;"",VLOOKUP(H3626,TABLEITEM,2,FALSE),"")</f>
        <v/>
      </c>
      <c r="M3626" s="13" t="str">
        <f>IF(D3626&lt;&gt;"",VLOOKUP(H3626,TABLEITEM,3,FALSE),"")</f>
        <v>STOPPER TXE2</v>
      </c>
      <c r="N3626" s="14">
        <f>INSTOCK!$I3626*INSTOCK!$K3626</f>
        <v>4800</v>
      </c>
      <c r="O3626" s="4"/>
      <c r="P3626" s="4"/>
    </row>
    <row r="3627" ht="15.75" hidden="1" customHeight="1">
      <c r="B3627" s="8">
        <v>3946.0</v>
      </c>
      <c r="C3627" s="9">
        <v>43258.0</v>
      </c>
      <c r="D3627" s="6" t="s">
        <v>4734</v>
      </c>
      <c r="E3627" s="4">
        <v>6.1060007E9</v>
      </c>
      <c r="F3627" s="8" t="s">
        <v>1626</v>
      </c>
      <c r="G3627" s="4" t="s">
        <v>1904</v>
      </c>
      <c r="H3627" s="10" t="s">
        <v>2717</v>
      </c>
      <c r="I3627" s="10">
        <v>10.0</v>
      </c>
      <c r="J3627" s="11" t="str">
        <f>IF(D3627&lt;&gt;"",VLOOKUP(H3627,TABLEITEM,5,FALSE),"")</f>
        <v>M</v>
      </c>
      <c r="K3627" s="12">
        <v>247.5</v>
      </c>
      <c r="L3627" s="13" t="str">
        <f>IF(D3627&lt;&gt;"",VLOOKUP(H3627,TABLEITEM,2,FALSE),"")</f>
        <v/>
      </c>
      <c r="M3627" s="13" t="str">
        <f>IF(D3627&lt;&gt;"",VLOOKUP(H3627,TABLEITEM,3,FALSE),"")</f>
        <v>RIBBON LM-IR300B 1/50M</v>
      </c>
      <c r="N3627" s="14">
        <f>INSTOCK!$I3627*INSTOCK!$K3627</f>
        <v>2475</v>
      </c>
      <c r="O3627" s="4" t="s">
        <v>2718</v>
      </c>
      <c r="P3627" s="4"/>
    </row>
    <row r="3628" ht="15.75" hidden="1" customHeight="1">
      <c r="B3628" s="8">
        <v>3947.0</v>
      </c>
      <c r="C3628" s="9">
        <v>43257.0</v>
      </c>
      <c r="D3628" s="6">
        <v>6.10602286E8</v>
      </c>
      <c r="E3628" s="4">
        <v>6.106000694E9</v>
      </c>
      <c r="F3628" s="8"/>
      <c r="G3628" s="4" t="s">
        <v>1130</v>
      </c>
      <c r="H3628" s="10" t="s">
        <v>164</v>
      </c>
      <c r="I3628" s="10">
        <v>2000.0</v>
      </c>
      <c r="J3628" s="11" t="str">
        <f>IF(D3628&lt;&gt;"",VLOOKUP(H3628,TABLEITEM,5,FALSE),"")</f>
        <v>EA</v>
      </c>
      <c r="K3628" s="12">
        <v>0.42</v>
      </c>
      <c r="L3628" s="13" t="str">
        <f>IF(D3628&lt;&gt;"",VLOOKUP(H3628,TABLEITEM,2,FALSE),"")</f>
        <v/>
      </c>
      <c r="M3628" s="13" t="str">
        <f>IF(D3628&lt;&gt;"",VLOOKUP(H3628,TABLEITEM,3,FALSE),"")</f>
        <v>เคเบิ้ลไทร์ 8" สีดำCT-200B-3C</v>
      </c>
      <c r="N3628" s="14">
        <f>INSTOCK!$I3628*INSTOCK!$K3628</f>
        <v>840</v>
      </c>
      <c r="O3628" s="4" t="s">
        <v>4735</v>
      </c>
      <c r="P3628" s="4"/>
    </row>
    <row r="3629" ht="15.75" hidden="1" customHeight="1">
      <c r="B3629" s="8">
        <v>3948.0</v>
      </c>
      <c r="C3629" s="9">
        <v>43257.0</v>
      </c>
      <c r="D3629" s="6">
        <v>6.10602286E8</v>
      </c>
      <c r="E3629" s="4">
        <v>6.106000694E9</v>
      </c>
      <c r="F3629" s="8"/>
      <c r="G3629" s="4" t="s">
        <v>1130</v>
      </c>
      <c r="H3629" s="10" t="s">
        <v>160</v>
      </c>
      <c r="I3629" s="10">
        <v>1000.0</v>
      </c>
      <c r="J3629" s="11" t="str">
        <f>IF(D3629&lt;&gt;"",VLOOKUP(H3629,TABLEITEM,5,FALSE),"")</f>
        <v>EA</v>
      </c>
      <c r="K3629" s="12">
        <v>1.08</v>
      </c>
      <c r="L3629" s="13" t="str">
        <f>IF(D3629&lt;&gt;"",VLOOKUP(H3629,TABLEITEM,2,FALSE),"")</f>
        <v/>
      </c>
      <c r="M3629" s="13" t="str">
        <f>IF(D3629&lt;&gt;"",VLOOKUP(H3629,TABLEITEM,3,FALSE),"")</f>
        <v>เคเบิ้ลไทร์ 4" สีดำCT-100-B-2C</v>
      </c>
      <c r="N3629" s="14">
        <f>INSTOCK!$I3629*INSTOCK!$K3629</f>
        <v>1080</v>
      </c>
      <c r="O3629" s="4" t="s">
        <v>4736</v>
      </c>
      <c r="P3629" s="4"/>
    </row>
    <row r="3630" ht="15.75" hidden="1" customHeight="1">
      <c r="B3630" s="8">
        <v>3949.0</v>
      </c>
      <c r="C3630" s="9">
        <v>43257.0</v>
      </c>
      <c r="D3630" s="6">
        <v>6.10602286E8</v>
      </c>
      <c r="E3630" s="4">
        <v>6.106000694E9</v>
      </c>
      <c r="F3630" s="8"/>
      <c r="G3630" s="4" t="s">
        <v>1130</v>
      </c>
      <c r="H3630" s="18" t="s">
        <v>165</v>
      </c>
      <c r="I3630" s="10">
        <v>1000.0</v>
      </c>
      <c r="J3630" s="11" t="str">
        <f>IF(D3630&lt;&gt;"",VLOOKUP(H3630,TABLEITEM,5,FALSE),"")</f>
        <v>EA</v>
      </c>
      <c r="K3630" s="12">
        <v>1.08</v>
      </c>
      <c r="L3630" s="13" t="str">
        <f>IF(D3630&lt;&gt;"",VLOOKUP(H3630,TABLEITEM,2,FALSE),"")</f>
        <v/>
      </c>
      <c r="M3630" s="13" t="str">
        <f>IF(D3630&lt;&gt;"",VLOOKUP(H3630,TABLEITEM,3,FALSE),"")</f>
        <v>เคเบิ้ลไทร์ 12" สีขาวCT-310-4C</v>
      </c>
      <c r="N3630" s="14">
        <f>INSTOCK!$I3630*INSTOCK!$K3630</f>
        <v>1080</v>
      </c>
      <c r="O3630" s="4" t="s">
        <v>4736</v>
      </c>
      <c r="P3630" s="4"/>
    </row>
    <row r="3631" ht="15.75" hidden="1" customHeight="1">
      <c r="B3631" s="8">
        <v>3950.0</v>
      </c>
      <c r="C3631" s="9">
        <v>43257.0</v>
      </c>
      <c r="D3631" s="6" t="s">
        <v>4737</v>
      </c>
      <c r="E3631" s="4">
        <v>6.106000695E9</v>
      </c>
      <c r="F3631" s="8" t="s">
        <v>604</v>
      </c>
      <c r="G3631" s="4" t="s">
        <v>2144</v>
      </c>
      <c r="H3631" s="10" t="s">
        <v>186</v>
      </c>
      <c r="I3631" s="10">
        <v>1000.0</v>
      </c>
      <c r="J3631" s="11" t="str">
        <f>IF(D3631&lt;&gt;"",VLOOKUP(H3631,TABLEITEM,5,FALSE),"")</f>
        <v>EA</v>
      </c>
      <c r="K3631" s="12">
        <v>8.0</v>
      </c>
      <c r="L3631" s="13" t="str">
        <f>IF(D3631&lt;&gt;"",VLOOKUP(H3631,TABLEITEM,2,FALSE),"")</f>
        <v/>
      </c>
      <c r="M3631" s="13" t="str">
        <f>IF(D3631&lt;&gt;"",VLOOKUP(H3631,TABLEITEM,3,FALSE),"")</f>
        <v>ซองเนมเพลท 20x65</v>
      </c>
      <c r="N3631" s="14">
        <f>INSTOCK!$I3631*INSTOCK!$K3631</f>
        <v>8000</v>
      </c>
      <c r="O3631" s="4"/>
      <c r="P3631" s="4"/>
    </row>
    <row r="3632" ht="15.75" hidden="1" customHeight="1">
      <c r="B3632" s="8">
        <v>3951.0</v>
      </c>
      <c r="C3632" s="9">
        <v>43257.0</v>
      </c>
      <c r="D3632" s="6" t="s">
        <v>4738</v>
      </c>
      <c r="E3632" s="4">
        <v>6.106000691E9</v>
      </c>
      <c r="F3632" s="8" t="s">
        <v>4739</v>
      </c>
      <c r="G3632" s="4" t="s">
        <v>2138</v>
      </c>
      <c r="H3632" s="10" t="s">
        <v>2369</v>
      </c>
      <c r="I3632" s="10">
        <v>1.0</v>
      </c>
      <c r="J3632" s="11" t="str">
        <f>IF(D3632&lt;&gt;"",VLOOKUP(H3632,TABLEITEM,5,FALSE),"")</f>
        <v>ถัง</v>
      </c>
      <c r="K3632" s="12">
        <v>1730.0</v>
      </c>
      <c r="L3632" s="13" t="str">
        <f>IF(D3632&lt;&gt;"",VLOOKUP(H3632,TABLEITEM,2,FALSE),"")</f>
        <v/>
      </c>
      <c r="M3632" s="13" t="str">
        <f>IF(D3632&lt;&gt;"",VLOOKUP(H3632,TABLEITEM,3,FALSE),"")</f>
        <v>MOBIL NUTO H32-1/20LT</v>
      </c>
      <c r="N3632" s="14">
        <f>INSTOCK!$I3632*INSTOCK!$K3632</f>
        <v>1730</v>
      </c>
      <c r="O3632" s="4"/>
      <c r="P3632" s="4"/>
    </row>
    <row r="3633" ht="15.75" hidden="1" customHeight="1">
      <c r="B3633" s="8">
        <v>3952.0</v>
      </c>
      <c r="C3633" s="9">
        <v>43257.0</v>
      </c>
      <c r="D3633" s="6" t="s">
        <v>4740</v>
      </c>
      <c r="E3633" s="4">
        <v>6.106000689E9</v>
      </c>
      <c r="F3633" s="8" t="s">
        <v>604</v>
      </c>
      <c r="G3633" s="4" t="s">
        <v>965</v>
      </c>
      <c r="H3633" s="10" t="s">
        <v>4741</v>
      </c>
      <c r="I3633" s="10">
        <v>1.0</v>
      </c>
      <c r="J3633" s="11" t="str">
        <f>IF(D3633&lt;&gt;"",VLOOKUP(H3633,TABLEITEM,5,FALSE),"")</f>
        <v>EA</v>
      </c>
      <c r="K3633" s="12">
        <v>75.0</v>
      </c>
      <c r="L3633" s="13" t="str">
        <f>IF(D3633&lt;&gt;"",VLOOKUP(H3633,TABLEITEM,2,FALSE),"")</f>
        <v/>
      </c>
      <c r="M3633" s="13" t="str">
        <f>IF(D3633&lt;&gt;"",VLOOKUP(H3633,TABLEITEM,3,FALSE),"")</f>
        <v>ดอกสว่าน MAXCO 1/2"</v>
      </c>
      <c r="N3633" s="14">
        <f>INSTOCK!$I3633*INSTOCK!$K3633</f>
        <v>75</v>
      </c>
      <c r="O3633" s="4"/>
      <c r="P3633" s="4"/>
    </row>
    <row r="3634" ht="15.75" hidden="1" customHeight="1">
      <c r="B3634" s="8">
        <v>3953.0</v>
      </c>
      <c r="C3634" s="9">
        <v>43257.0</v>
      </c>
      <c r="D3634" s="6" t="s">
        <v>4740</v>
      </c>
      <c r="E3634" s="4">
        <v>6.106000689E9</v>
      </c>
      <c r="F3634" s="8" t="s">
        <v>604</v>
      </c>
      <c r="G3634" s="4" t="s">
        <v>965</v>
      </c>
      <c r="H3634" s="10" t="s">
        <v>4742</v>
      </c>
      <c r="I3634" s="10">
        <v>1.0</v>
      </c>
      <c r="J3634" s="11" t="str">
        <f>IF(D3634&lt;&gt;"",VLOOKUP(H3634,TABLEITEM,5,FALSE),"")</f>
        <v>EA</v>
      </c>
      <c r="K3634" s="12">
        <v>180.0</v>
      </c>
      <c r="L3634" s="13" t="str">
        <f>IF(D3634&lt;&gt;"",VLOOKUP(H3634,TABLEITEM,2,FALSE),"")</f>
        <v/>
      </c>
      <c r="M3634" s="13" t="str">
        <f>IF(D3634&lt;&gt;"",VLOOKUP(H3634,TABLEITEM,3,FALSE),"")</f>
        <v>ดอกสว่าน MAXCO 14mm</v>
      </c>
      <c r="N3634" s="14">
        <f>INSTOCK!$I3634*INSTOCK!$K3634</f>
        <v>180</v>
      </c>
      <c r="O3634" s="4"/>
      <c r="P3634" s="4"/>
    </row>
    <row r="3635" ht="15.75" hidden="1" customHeight="1">
      <c r="B3635" s="8">
        <v>3954.0</v>
      </c>
      <c r="C3635" s="9">
        <v>43257.0</v>
      </c>
      <c r="D3635" s="6" t="s">
        <v>4740</v>
      </c>
      <c r="E3635" s="4">
        <v>6.106000689E9</v>
      </c>
      <c r="F3635" s="8" t="s">
        <v>604</v>
      </c>
      <c r="G3635" s="4" t="s">
        <v>965</v>
      </c>
      <c r="H3635" s="10" t="s">
        <v>63</v>
      </c>
      <c r="I3635" s="10">
        <v>24.0</v>
      </c>
      <c r="J3635" s="11" t="str">
        <f>IF(D3635&lt;&gt;"",VLOOKUP(H3635,TABLEITEM,5,FALSE),"")</f>
        <v>กป.</v>
      </c>
      <c r="K3635" s="12">
        <v>41.6667</v>
      </c>
      <c r="L3635" s="13" t="str">
        <f>IF(D3635&lt;&gt;"",VLOOKUP(H3635,TABLEITEM,2,FALSE),"")</f>
        <v/>
      </c>
      <c r="M3635" s="13" t="str">
        <f>IF(D3635&lt;&gt;"",VLOOKUP(H3635,TABLEITEM,3,FALSE),"")</f>
        <v>สีสเปรย์ สีขาว</v>
      </c>
      <c r="N3635" s="14">
        <f>INSTOCK!$I3635*INSTOCK!$K3635</f>
        <v>1000.0008</v>
      </c>
      <c r="O3635" s="4"/>
      <c r="P3635" s="4"/>
    </row>
    <row r="3636" ht="15.75" hidden="1" customHeight="1">
      <c r="B3636" s="8">
        <v>3955.0</v>
      </c>
      <c r="C3636" s="9">
        <v>43257.0</v>
      </c>
      <c r="D3636" s="6" t="s">
        <v>4740</v>
      </c>
      <c r="E3636" s="4">
        <v>6.106000689E9</v>
      </c>
      <c r="F3636" s="8" t="s">
        <v>604</v>
      </c>
      <c r="G3636" s="4" t="s">
        <v>965</v>
      </c>
      <c r="H3636" s="10" t="s">
        <v>61</v>
      </c>
      <c r="I3636" s="10">
        <v>12.0</v>
      </c>
      <c r="J3636" s="11" t="str">
        <f>IF(D3636&lt;&gt;"",VLOOKUP(H3636,TABLEITEM,5,FALSE),"")</f>
        <v>กป.</v>
      </c>
      <c r="K3636" s="12">
        <v>41.6667</v>
      </c>
      <c r="L3636" s="13" t="str">
        <f>IF(D3636&lt;&gt;"",VLOOKUP(H3636,TABLEITEM,2,FALSE),"")</f>
        <v/>
      </c>
      <c r="M3636" s="13" t="str">
        <f>IF(D3636&lt;&gt;"",VLOOKUP(H3636,TABLEITEM,3,FALSE),"")</f>
        <v>สีสเปรย์ สีแดง</v>
      </c>
      <c r="N3636" s="14">
        <f>INSTOCK!$I3636*INSTOCK!$K3636</f>
        <v>500.0004</v>
      </c>
      <c r="O3636" s="4"/>
      <c r="P3636" s="4"/>
    </row>
    <row r="3637" ht="15.75" hidden="1" customHeight="1">
      <c r="B3637" s="8">
        <v>3956.0</v>
      </c>
      <c r="C3637" s="9">
        <v>43257.0</v>
      </c>
      <c r="D3637" s="6" t="s">
        <v>4740</v>
      </c>
      <c r="E3637" s="4">
        <v>6.106000689E9</v>
      </c>
      <c r="F3637" s="8" t="s">
        <v>604</v>
      </c>
      <c r="G3637" s="4" t="s">
        <v>965</v>
      </c>
      <c r="H3637" s="10" t="s">
        <v>65</v>
      </c>
      <c r="I3637" s="10">
        <v>12.0</v>
      </c>
      <c r="J3637" s="11" t="str">
        <f>IF(D3637&lt;&gt;"",VLOOKUP(H3637,TABLEITEM,5,FALSE),"")</f>
        <v>กป.</v>
      </c>
      <c r="K3637" s="12">
        <v>41.6667</v>
      </c>
      <c r="L3637" s="13" t="str">
        <f>IF(D3637&lt;&gt;"",VLOOKUP(H3637,TABLEITEM,2,FALSE),"")</f>
        <v/>
      </c>
      <c r="M3637" s="13" t="str">
        <f>IF(D3637&lt;&gt;"",VLOOKUP(H3637,TABLEITEM,3,FALSE),"")</f>
        <v>สีสเปรย์ สีเขียว</v>
      </c>
      <c r="N3637" s="14">
        <f>INSTOCK!$I3637*INSTOCK!$K3637</f>
        <v>500.0004</v>
      </c>
      <c r="O3637" s="4"/>
      <c r="P3637" s="4"/>
    </row>
    <row r="3638" ht="15.75" hidden="1" customHeight="1">
      <c r="B3638" s="8">
        <v>3957.0</v>
      </c>
      <c r="C3638" s="9">
        <v>43257.0</v>
      </c>
      <c r="D3638" s="6" t="s">
        <v>4740</v>
      </c>
      <c r="E3638" s="4">
        <v>6.106000689E9</v>
      </c>
      <c r="F3638" s="8" t="s">
        <v>604</v>
      </c>
      <c r="G3638" s="4" t="s">
        <v>965</v>
      </c>
      <c r="H3638" s="18" t="s">
        <v>2153</v>
      </c>
      <c r="I3638" s="10">
        <v>30.0</v>
      </c>
      <c r="J3638" s="11" t="str">
        <f>IF(D3638&lt;&gt;"",VLOOKUP(H3638,TABLEITEM,5,FALSE),"")</f>
        <v>EA</v>
      </c>
      <c r="K3638" s="12">
        <v>8.0</v>
      </c>
      <c r="L3638" s="13" t="str">
        <f>IF(D3638&lt;&gt;"",VLOOKUP(H3638,TABLEITEM,2,FALSE),"")</f>
        <v/>
      </c>
      <c r="M3638" s="13" t="str">
        <f>IF(D3638&lt;&gt;"",VLOOKUP(H3638,TABLEITEM,3,FALSE),"")</f>
        <v>เทปพันเกลียว</v>
      </c>
      <c r="N3638" s="14">
        <f>INSTOCK!$I3638*INSTOCK!$K3638</f>
        <v>240</v>
      </c>
      <c r="O3638" s="4"/>
      <c r="P3638" s="4"/>
    </row>
    <row r="3639" ht="15.75" hidden="1" customHeight="1">
      <c r="B3639" s="8">
        <v>3958.0</v>
      </c>
      <c r="C3639" s="9">
        <v>43257.0</v>
      </c>
      <c r="D3639" s="6">
        <v>80175.0</v>
      </c>
      <c r="E3639" s="4">
        <v>6.106000679E9</v>
      </c>
      <c r="F3639" s="8" t="s">
        <v>604</v>
      </c>
      <c r="G3639" s="4" t="s">
        <v>1546</v>
      </c>
      <c r="H3639" s="10" t="s">
        <v>1547</v>
      </c>
      <c r="I3639" s="10">
        <v>10.0</v>
      </c>
      <c r="J3639" s="11" t="str">
        <f>IF(D3639&lt;&gt;"",VLOOKUP(H3639,TABLEITEM,5,FALSE),"")</f>
        <v>EA</v>
      </c>
      <c r="K3639" s="12">
        <v>490.0</v>
      </c>
      <c r="L3639" s="13" t="str">
        <f>IF(D3639&lt;&gt;"",VLOOKUP(H3639,TABLEITEM,2,FALSE),"")</f>
        <v/>
      </c>
      <c r="M3639" s="13" t="str">
        <f>IF(D3639&lt;&gt;"",VLOOKUP(H3639,TABLEITEM,3,FALSE),"")</f>
        <v>ล้อขัดใยสังเคราะห์ 100x100x35mmAC/R8</v>
      </c>
      <c r="N3639" s="14">
        <f>INSTOCK!$I3639*INSTOCK!$K3639</f>
        <v>4900</v>
      </c>
      <c r="O3639" s="4"/>
      <c r="P3639" s="4"/>
    </row>
    <row r="3640" ht="15.75" hidden="1" customHeight="1">
      <c r="B3640" s="8">
        <v>3959.0</v>
      </c>
      <c r="C3640" s="9">
        <v>43256.0</v>
      </c>
      <c r="D3640" s="6" t="s">
        <v>4743</v>
      </c>
      <c r="E3640" s="4">
        <v>6.106000687E9</v>
      </c>
      <c r="F3640" s="8" t="s">
        <v>604</v>
      </c>
      <c r="G3640" s="4" t="s">
        <v>1870</v>
      </c>
      <c r="H3640" s="10" t="s">
        <v>4744</v>
      </c>
      <c r="I3640" s="10">
        <v>2000.0</v>
      </c>
      <c r="J3640" s="11" t="str">
        <f>IF(D3640&lt;&gt;"",VLOOKUP(H3640,TABLEITEM,5,FALSE),"")</f>
        <v>EA</v>
      </c>
      <c r="K3640" s="12">
        <v>0.175</v>
      </c>
      <c r="L3640" s="13" t="str">
        <f>IF(D3640&lt;&gt;"",VLOOKUP(H3640,TABLEITEM,2,FALSE),"")</f>
        <v/>
      </c>
      <c r="M3640" s="13" t="str">
        <f>IF(D3640&lt;&gt;"",VLOOKUP(H3640,TABLEITEM,3,FALSE),"")</f>
        <v>แหวนอีแปะ สแตนเลส M6</v>
      </c>
      <c r="N3640" s="14">
        <f>INSTOCK!$I3640*INSTOCK!$K3640</f>
        <v>350</v>
      </c>
      <c r="O3640" s="4" t="s">
        <v>4745</v>
      </c>
      <c r="P3640" s="4"/>
    </row>
    <row r="3641" ht="15.75" hidden="1" customHeight="1">
      <c r="B3641" s="8">
        <v>3960.0</v>
      </c>
      <c r="C3641" s="9">
        <v>43256.0</v>
      </c>
      <c r="D3641" s="6" t="s">
        <v>4743</v>
      </c>
      <c r="E3641" s="4">
        <v>6.106000687E9</v>
      </c>
      <c r="F3641" s="8" t="s">
        <v>604</v>
      </c>
      <c r="G3641" s="4" t="s">
        <v>1870</v>
      </c>
      <c r="H3641" s="10" t="s">
        <v>4746</v>
      </c>
      <c r="I3641" s="10">
        <v>500.0</v>
      </c>
      <c r="J3641" s="11" t="str">
        <f>IF(D3641&lt;&gt;"",VLOOKUP(H3641,TABLEITEM,5,FALSE),"")</f>
        <v>EA</v>
      </c>
      <c r="K3641" s="12">
        <v>1.84</v>
      </c>
      <c r="L3641" s="13" t="str">
        <f>IF(D3641&lt;&gt;"",VLOOKUP(H3641,TABLEITEM,2,FALSE),"")</f>
        <v/>
      </c>
      <c r="M3641" s="13" t="str">
        <f>IF(D3641&lt;&gt;"",VLOOKUP(H3641,TABLEITEM,3,FALSE),"")</f>
        <v>สกรูสแตนเลสหัวร่ม M6x35</v>
      </c>
      <c r="N3641" s="14">
        <f>INSTOCK!$I3641*INSTOCK!$K3641</f>
        <v>920</v>
      </c>
      <c r="O3641" s="4" t="s">
        <v>4747</v>
      </c>
      <c r="P3641" s="4"/>
    </row>
    <row r="3642" ht="15.75" hidden="1" customHeight="1">
      <c r="B3642" s="8">
        <v>3961.0</v>
      </c>
      <c r="C3642" s="9">
        <v>43256.0</v>
      </c>
      <c r="D3642" s="6" t="s">
        <v>4743</v>
      </c>
      <c r="E3642" s="4">
        <v>6.106000687E9</v>
      </c>
      <c r="F3642" s="8" t="s">
        <v>604</v>
      </c>
      <c r="G3642" s="4" t="s">
        <v>1870</v>
      </c>
      <c r="H3642" s="10" t="s">
        <v>4748</v>
      </c>
      <c r="I3642" s="10">
        <v>70.0</v>
      </c>
      <c r="J3642" s="11" t="str">
        <f>IF(D3642&lt;&gt;"",VLOOKUP(H3642,TABLEITEM,5,FALSE),"")</f>
        <v>EA</v>
      </c>
      <c r="K3642" s="12">
        <v>5.6</v>
      </c>
      <c r="L3642" s="13" t="str">
        <f>IF(D3642&lt;&gt;"",VLOOKUP(H3642,TABLEITEM,2,FALSE),"")</f>
        <v/>
      </c>
      <c r="M3642" s="13" t="str">
        <f>IF(D3642&lt;&gt;"",VLOOKUP(H3642,TABLEITEM,3,FALSE),"")</f>
        <v>สกรูหัว้เหลี่ยม M8x70 SUS</v>
      </c>
      <c r="N3642" s="14">
        <f>INSTOCK!$I3642*INSTOCK!$K3642</f>
        <v>392</v>
      </c>
      <c r="O3642" s="4" t="s">
        <v>4749</v>
      </c>
      <c r="P3642" s="4"/>
    </row>
    <row r="3643" ht="15.75" hidden="1" customHeight="1">
      <c r="B3643" s="8">
        <v>3962.0</v>
      </c>
      <c r="C3643" s="9">
        <v>43256.0</v>
      </c>
      <c r="D3643" s="6" t="s">
        <v>4743</v>
      </c>
      <c r="E3643" s="4">
        <v>6.106000687E9</v>
      </c>
      <c r="F3643" s="8" t="s">
        <v>604</v>
      </c>
      <c r="G3643" s="4" t="s">
        <v>1870</v>
      </c>
      <c r="H3643" s="10" t="s">
        <v>4750</v>
      </c>
      <c r="I3643" s="10">
        <v>500.0</v>
      </c>
      <c r="J3643" s="11" t="str">
        <f>IF(D3643&lt;&gt;"",VLOOKUP(H3643,TABLEITEM,5,FALSE),"")</f>
        <v>EA</v>
      </c>
      <c r="K3643" s="12">
        <v>0.665</v>
      </c>
      <c r="L3643" s="13" t="str">
        <f>IF(D3643&lt;&gt;"",VLOOKUP(H3643,TABLEITEM,2,FALSE),"")</f>
        <v/>
      </c>
      <c r="M3643" s="13" t="str">
        <f>IF(D3643&lt;&gt;"",VLOOKUP(H3643,TABLEITEM,3,FALSE),"")</f>
        <v>สกรูสแตนเลสหัวเหลี่ยม M6x10</v>
      </c>
      <c r="N3643" s="14">
        <f>INSTOCK!$I3643*INSTOCK!$K3643</f>
        <v>332.5</v>
      </c>
      <c r="O3643" s="4" t="s">
        <v>4751</v>
      </c>
      <c r="P3643" s="4"/>
    </row>
    <row r="3644" ht="15.75" hidden="1" customHeight="1">
      <c r="B3644" s="8">
        <v>3963.0</v>
      </c>
      <c r="C3644" s="9">
        <v>43256.0</v>
      </c>
      <c r="D3644" s="6" t="s">
        <v>4752</v>
      </c>
      <c r="E3644" s="4"/>
      <c r="F3644" s="8" t="s">
        <v>4722</v>
      </c>
      <c r="G3644" s="4" t="s">
        <v>1940</v>
      </c>
      <c r="H3644" s="10" t="s">
        <v>4753</v>
      </c>
      <c r="I3644" s="10">
        <v>1.0</v>
      </c>
      <c r="J3644" s="11" t="str">
        <f>IF(D3644&lt;&gt;"",VLOOKUP(H3644,TABLEITEM,5,FALSE),"")</f>
        <v>EA</v>
      </c>
      <c r="K3644" s="12">
        <v>37.0</v>
      </c>
      <c r="L3644" s="13" t="str">
        <f>IF(D3644&lt;&gt;"",VLOOKUP(H3644,TABLEITEM,2,FALSE),"")</f>
        <v/>
      </c>
      <c r="M3644" s="13" t="str">
        <f>IF(D3644&lt;&gt;"",VLOOKUP(H3644,TABLEITEM,3,FALSE),"")</f>
        <v>ข้อต่อสเตนเลส 1"</v>
      </c>
      <c r="N3644" s="14">
        <f>INSTOCK!$I3644*INSTOCK!$K3644</f>
        <v>37</v>
      </c>
      <c r="O3644" s="4"/>
      <c r="P3644" s="4"/>
    </row>
    <row r="3645" ht="15.75" hidden="1" customHeight="1">
      <c r="B3645" s="8">
        <v>3964.0</v>
      </c>
      <c r="C3645" s="9">
        <v>43256.0</v>
      </c>
      <c r="D3645" s="6" t="s">
        <v>4752</v>
      </c>
      <c r="E3645" s="4"/>
      <c r="F3645" s="8" t="s">
        <v>4722</v>
      </c>
      <c r="G3645" s="4" t="s">
        <v>1940</v>
      </c>
      <c r="H3645" s="10" t="s">
        <v>4754</v>
      </c>
      <c r="I3645" s="10">
        <v>12.0</v>
      </c>
      <c r="J3645" s="11" t="str">
        <f>IF(D3645&lt;&gt;"",VLOOKUP(H3645,TABLEITEM,5,FALSE),"")</f>
        <v>EA</v>
      </c>
      <c r="K3645" s="12">
        <v>7.56</v>
      </c>
      <c r="L3645" s="13" t="str">
        <f>IF(D3645&lt;&gt;"",VLOOKUP(H3645,TABLEITEM,2,FALSE),"")</f>
        <v/>
      </c>
      <c r="M3645" s="13" t="str">
        <f>IF(D3645&lt;&gt;"",VLOOKUP(H3645,TABLEITEM,3,FALSE),"")</f>
        <v>สกรูหัวเหลี่ยมสเตนเลส M10x40</v>
      </c>
      <c r="N3645" s="14">
        <f>INSTOCK!$I3645*INSTOCK!$K3645</f>
        <v>90.72</v>
      </c>
      <c r="O3645" s="4" t="s">
        <v>4755</v>
      </c>
      <c r="P3645" s="4"/>
    </row>
    <row r="3646" ht="15.75" hidden="1" customHeight="1">
      <c r="B3646" s="8">
        <v>3965.0</v>
      </c>
      <c r="C3646" s="9">
        <v>43256.0</v>
      </c>
      <c r="D3646" s="6" t="s">
        <v>4752</v>
      </c>
      <c r="E3646" s="4"/>
      <c r="F3646" s="8" t="s">
        <v>4722</v>
      </c>
      <c r="G3646" s="4" t="s">
        <v>1940</v>
      </c>
      <c r="H3646" s="10" t="s">
        <v>4756</v>
      </c>
      <c r="I3646" s="10">
        <v>24.0</v>
      </c>
      <c r="J3646" s="11" t="str">
        <f>IF(D3646&lt;&gt;"",VLOOKUP(H3646,TABLEITEM,5,FALSE),"")</f>
        <v>EA</v>
      </c>
      <c r="K3646" s="12">
        <v>9.9</v>
      </c>
      <c r="L3646" s="13" t="str">
        <f>IF(D3646&lt;&gt;"",VLOOKUP(H3646,TABLEITEM,2,FALSE),"")</f>
        <v/>
      </c>
      <c r="M3646" s="13" t="str">
        <f>IF(D3646&lt;&gt;"",VLOOKUP(H3646,TABLEITEM,3,FALSE),"")</f>
        <v>สกรูหัวเหลี่ยมสเตนเลส M10x60</v>
      </c>
      <c r="N3646" s="14">
        <f>INSTOCK!$I3646*INSTOCK!$K3646</f>
        <v>237.6</v>
      </c>
      <c r="O3646" s="4" t="s">
        <v>4757</v>
      </c>
      <c r="P3646" s="4"/>
    </row>
    <row r="3647" ht="15.75" hidden="1" customHeight="1">
      <c r="B3647" s="8">
        <v>3966.0</v>
      </c>
      <c r="C3647" s="9">
        <v>43256.0</v>
      </c>
      <c r="D3647" s="6" t="s">
        <v>4752</v>
      </c>
      <c r="E3647" s="4"/>
      <c r="F3647" s="8" t="s">
        <v>4722</v>
      </c>
      <c r="G3647" s="4" t="s">
        <v>1940</v>
      </c>
      <c r="H3647" s="10" t="s">
        <v>1942</v>
      </c>
      <c r="I3647" s="10">
        <v>36.0</v>
      </c>
      <c r="J3647" s="11" t="str">
        <f>IF(D3647&lt;&gt;"",VLOOKUP(H3647,TABLEITEM,5,FALSE),"")</f>
        <v>EA</v>
      </c>
      <c r="K3647" s="12">
        <v>3.06</v>
      </c>
      <c r="L3647" s="13" t="str">
        <f>IF(D3647&lt;&gt;"",VLOOKUP(H3647,TABLEITEM,2,FALSE),"")</f>
        <v/>
      </c>
      <c r="M3647" s="13" t="str">
        <f>IF(D3647&lt;&gt;"",VLOOKUP(H3647,TABLEITEM,3,FALSE),"")</f>
        <v>หัวน๊อต SUS M10</v>
      </c>
      <c r="N3647" s="14">
        <f>INSTOCK!$I3647*INSTOCK!$K3647</f>
        <v>110.16</v>
      </c>
      <c r="O3647" s="4" t="s">
        <v>4758</v>
      </c>
      <c r="P3647" s="4"/>
    </row>
    <row r="3648" ht="15.75" hidden="1" customHeight="1">
      <c r="B3648" s="8">
        <v>3967.0</v>
      </c>
      <c r="C3648" s="9">
        <v>43256.0</v>
      </c>
      <c r="D3648" s="6" t="s">
        <v>4752</v>
      </c>
      <c r="E3648" s="4"/>
      <c r="F3648" s="8" t="s">
        <v>4722</v>
      </c>
      <c r="G3648" s="4" t="s">
        <v>1940</v>
      </c>
      <c r="H3648" s="10" t="s">
        <v>1944</v>
      </c>
      <c r="I3648" s="10">
        <v>36.0</v>
      </c>
      <c r="J3648" s="11" t="str">
        <f>IF(D3648&lt;&gt;"",VLOOKUP(H3648,TABLEITEM,5,FALSE),"")</f>
        <v>EA</v>
      </c>
      <c r="K3648" s="12">
        <v>1.2</v>
      </c>
      <c r="L3648" s="13" t="str">
        <f>IF(D3648&lt;&gt;"",VLOOKUP(H3648,TABLEITEM,2,FALSE),"")</f>
        <v/>
      </c>
      <c r="M3648" s="13" t="str">
        <f>IF(D3648&lt;&gt;"",VLOOKUP(H3648,TABLEITEM,3,FALSE),"")</f>
        <v>แหวนสปริง SUS M10</v>
      </c>
      <c r="N3648" s="14">
        <f>INSTOCK!$I3648*INSTOCK!$K3648</f>
        <v>43.2</v>
      </c>
      <c r="O3648" s="4" t="s">
        <v>4759</v>
      </c>
      <c r="P3648" s="4"/>
    </row>
    <row r="3649" ht="15.75" hidden="1" customHeight="1">
      <c r="B3649" s="8">
        <v>3968.0</v>
      </c>
      <c r="C3649" s="9">
        <v>43256.0</v>
      </c>
      <c r="D3649" s="6" t="s">
        <v>4752</v>
      </c>
      <c r="E3649" s="4"/>
      <c r="F3649" s="8" t="s">
        <v>4722</v>
      </c>
      <c r="G3649" s="4" t="s">
        <v>1940</v>
      </c>
      <c r="H3649" s="10" t="s">
        <v>1943</v>
      </c>
      <c r="I3649" s="10">
        <v>72.0</v>
      </c>
      <c r="J3649" s="11" t="str">
        <f>IF(D3649&lt;&gt;"",VLOOKUP(H3649,TABLEITEM,5,FALSE),"")</f>
        <v>EA</v>
      </c>
      <c r="K3649" s="12">
        <v>1.2</v>
      </c>
      <c r="L3649" s="13" t="str">
        <f>IF(D3649&lt;&gt;"",VLOOKUP(H3649,TABLEITEM,2,FALSE),"")</f>
        <v/>
      </c>
      <c r="M3649" s="13" t="str">
        <f>IF(D3649&lt;&gt;"",VLOOKUP(H3649,TABLEITEM,3,FALSE),"")</f>
        <v>แหวนอีแปะ SUS M10</v>
      </c>
      <c r="N3649" s="14">
        <f>INSTOCK!$I3649*INSTOCK!$K3649</f>
        <v>86.4</v>
      </c>
      <c r="O3649" s="4" t="s">
        <v>4759</v>
      </c>
      <c r="P3649" s="4"/>
    </row>
    <row r="3650" ht="15.75" hidden="1" customHeight="1">
      <c r="B3650" s="8">
        <v>3969.0</v>
      </c>
      <c r="C3650" s="9">
        <v>43256.0</v>
      </c>
      <c r="D3650" s="6">
        <v>4.1804585E8</v>
      </c>
      <c r="E3650" s="4">
        <v>6.106000688E9</v>
      </c>
      <c r="F3650" s="8" t="s">
        <v>604</v>
      </c>
      <c r="G3650" s="4" t="s">
        <v>1274</v>
      </c>
      <c r="H3650" s="10" t="s">
        <v>4760</v>
      </c>
      <c r="I3650" s="10">
        <v>72.0</v>
      </c>
      <c r="J3650" s="11" t="str">
        <f>IF(D3650&lt;&gt;"",VLOOKUP(H3650,TABLEITEM,5,FALSE),"")</f>
        <v>ม้วน</v>
      </c>
      <c r="K3650" s="12">
        <v>26.0</v>
      </c>
      <c r="L3650" s="13" t="str">
        <f>IF(D3650&lt;&gt;"",VLOOKUP(H3650,TABLEITEM,2,FALSE),"")</f>
        <v/>
      </c>
      <c r="M3650" s="13" t="str">
        <f>IF(D3650&lt;&gt;"",VLOOKUP(H3650,TABLEITEM,3,FALSE),"")</f>
        <v>เทปกาวย่น 24มมx50ม #2210</v>
      </c>
      <c r="N3650" s="14">
        <f>INSTOCK!$I3650*INSTOCK!$K3650</f>
        <v>1872</v>
      </c>
      <c r="O3650" s="4"/>
      <c r="P3650" s="4"/>
    </row>
    <row r="3651" ht="15.75" hidden="1" customHeight="1">
      <c r="B3651" s="8">
        <v>3970.0</v>
      </c>
      <c r="C3651" s="9">
        <v>43256.0</v>
      </c>
      <c r="D3651" s="6" t="s">
        <v>4761</v>
      </c>
      <c r="E3651" s="4"/>
      <c r="F3651" s="8"/>
      <c r="G3651" s="4" t="s">
        <v>2460</v>
      </c>
      <c r="H3651" s="10" t="s">
        <v>4762</v>
      </c>
      <c r="I3651" s="10">
        <v>1.0</v>
      </c>
      <c r="J3651" s="11" t="str">
        <f>IF(D3651&lt;&gt;"",VLOOKUP(H3651,TABLEITEM,5,FALSE),"")</f>
        <v>LOT</v>
      </c>
      <c r="K3651" s="12">
        <v>39100.0</v>
      </c>
      <c r="L3651" s="13" t="str">
        <f>IF(D3651&lt;&gt;"",VLOOKUP(H3651,TABLEITEM,2,FALSE),"")</f>
        <v/>
      </c>
      <c r="M3651" s="13" t="str">
        <f>IF(D3651&lt;&gt;"",VLOOKUP(H3651,TABLEITEM,3,FALSE),"")</f>
        <v>SERVICE CHARGE IV2018/02/041</v>
      </c>
      <c r="N3651" s="14">
        <f>INSTOCK!$I3651*INSTOCK!$K3651</f>
        <v>39100</v>
      </c>
      <c r="O3651" s="4"/>
      <c r="P3651" s="4"/>
    </row>
    <row r="3652" ht="15.75" hidden="1" customHeight="1">
      <c r="B3652" s="8">
        <v>3971.0</v>
      </c>
      <c r="C3652" s="9">
        <v>43256.0</v>
      </c>
      <c r="D3652" s="6">
        <v>8655.0</v>
      </c>
      <c r="E3652" s="4"/>
      <c r="F3652" s="8"/>
      <c r="G3652" s="4" t="s">
        <v>2528</v>
      </c>
      <c r="H3652" s="10" t="s">
        <v>2529</v>
      </c>
      <c r="I3652" s="10">
        <v>550.0</v>
      </c>
      <c r="J3652" s="11" t="str">
        <f>IF(D3652&lt;&gt;"",VLOOKUP(H3652,TABLEITEM,5,FALSE),"")</f>
        <v>KG.</v>
      </c>
      <c r="K3652" s="12">
        <v>14.0</v>
      </c>
      <c r="L3652" s="13" t="str">
        <f>IF(D3652&lt;&gt;"",VLOOKUP(H3652,TABLEITEM,2,FALSE),"")</f>
        <v/>
      </c>
      <c r="M3652" s="13" t="str">
        <f>IF(D3652&lt;&gt;"",VLOOKUP(H3652,TABLEITEM,3,FALSE),"")</f>
        <v>งานชุบ HOT DIP</v>
      </c>
      <c r="N3652" s="14">
        <f>INSTOCK!$I3652*INSTOCK!$K3652</f>
        <v>7700</v>
      </c>
      <c r="O3652" s="4" t="s">
        <v>4763</v>
      </c>
      <c r="P3652" s="4"/>
    </row>
    <row r="3653" ht="15.75" hidden="1" customHeight="1">
      <c r="B3653" s="8">
        <v>3972.0</v>
      </c>
      <c r="C3653" s="9">
        <v>43256.0</v>
      </c>
      <c r="D3653" s="6">
        <v>8655.0</v>
      </c>
      <c r="E3653" s="4"/>
      <c r="F3653" s="8"/>
      <c r="G3653" s="4" t="s">
        <v>2528</v>
      </c>
      <c r="H3653" s="10" t="s">
        <v>2529</v>
      </c>
      <c r="I3653" s="10">
        <v>9960.0</v>
      </c>
      <c r="J3653" s="11" t="str">
        <f>IF(D3653&lt;&gt;"",VLOOKUP(H3653,TABLEITEM,5,FALSE),"")</f>
        <v>KG.</v>
      </c>
      <c r="K3653" s="12">
        <v>16.0</v>
      </c>
      <c r="L3653" s="13" t="str">
        <f>IF(D3653&lt;&gt;"",VLOOKUP(H3653,TABLEITEM,2,FALSE),"")</f>
        <v/>
      </c>
      <c r="M3653" s="13" t="str">
        <f>IF(D3653&lt;&gt;"",VLOOKUP(H3653,TABLEITEM,3,FALSE),"")</f>
        <v>งานชุบ HOT DIP</v>
      </c>
      <c r="N3653" s="14">
        <f>INSTOCK!$I3653*INSTOCK!$K3653</f>
        <v>159360</v>
      </c>
      <c r="O3653" s="4" t="s">
        <v>3219</v>
      </c>
      <c r="P3653" s="4"/>
    </row>
    <row r="3654" ht="15.75" hidden="1" customHeight="1">
      <c r="B3654" s="8">
        <v>3973.0</v>
      </c>
      <c r="C3654" s="9">
        <v>43256.0</v>
      </c>
      <c r="D3654" s="6">
        <v>8655.0</v>
      </c>
      <c r="E3654" s="4"/>
      <c r="F3654" s="8"/>
      <c r="G3654" s="4" t="s">
        <v>2528</v>
      </c>
      <c r="H3654" s="10" t="s">
        <v>2529</v>
      </c>
      <c r="I3654" s="10">
        <v>1.0</v>
      </c>
      <c r="J3654" s="11" t="str">
        <f>IF(D3654&lt;&gt;"",VLOOKUP(H3654,TABLEITEM,5,FALSE),"")</f>
        <v>KG.</v>
      </c>
      <c r="K3654" s="12">
        <v>1000.0</v>
      </c>
      <c r="L3654" s="13" t="str">
        <f>IF(D3654&lt;&gt;"",VLOOKUP(H3654,TABLEITEM,2,FALSE),"")</f>
        <v/>
      </c>
      <c r="M3654" s="13" t="str">
        <f>IF(D3654&lt;&gt;"",VLOOKUP(H3654,TABLEITEM,3,FALSE),"")</f>
        <v>งานชุบ HOT DIP</v>
      </c>
      <c r="N3654" s="14">
        <f>INSTOCK!$I3654*INSTOCK!$K3654</f>
        <v>1000</v>
      </c>
      <c r="O3654" s="4" t="s">
        <v>4764</v>
      </c>
      <c r="P3654" s="4"/>
    </row>
    <row r="3655" ht="15.75" hidden="1" customHeight="1">
      <c r="B3655" s="8">
        <v>3974.0</v>
      </c>
      <c r="C3655" s="9">
        <v>43255.0</v>
      </c>
      <c r="D3655" s="6" t="s">
        <v>4765</v>
      </c>
      <c r="E3655" s="4">
        <v>6.106000678E9</v>
      </c>
      <c r="F3655" s="8" t="s">
        <v>604</v>
      </c>
      <c r="G3655" s="4" t="s">
        <v>1070</v>
      </c>
      <c r="H3655" s="10" t="s">
        <v>22</v>
      </c>
      <c r="I3655" s="10">
        <v>200.0</v>
      </c>
      <c r="J3655" s="11" t="str">
        <f>IF(D3655&lt;&gt;"",VLOOKUP(H3655,TABLEITEM,5,FALSE),"")</f>
        <v>EA</v>
      </c>
      <c r="K3655" s="12">
        <v>38.0</v>
      </c>
      <c r="L3655" s="13" t="str">
        <f>IF(D3655&lt;&gt;"",VLOOKUP(H3655,TABLEITEM,2,FALSE),"")</f>
        <v/>
      </c>
      <c r="M3655" s="13" t="str">
        <f>IF(D3655&lt;&gt;"",VLOOKUP(H3655,TABLEITEM,3,FALSE),"")</f>
        <v>ใบขัดซ้อน # 80</v>
      </c>
      <c r="N3655" s="14">
        <f>INSTOCK!$I3655*INSTOCK!$K3655</f>
        <v>7600</v>
      </c>
      <c r="O3655" s="4"/>
      <c r="P3655" s="4"/>
    </row>
    <row r="3656" ht="15.75" hidden="1" customHeight="1">
      <c r="B3656" s="8">
        <v>3975.0</v>
      </c>
      <c r="C3656" s="9">
        <v>43255.0</v>
      </c>
      <c r="D3656" s="6" t="s">
        <v>4765</v>
      </c>
      <c r="E3656" s="4">
        <v>6.106000678E9</v>
      </c>
      <c r="F3656" s="8" t="s">
        <v>604</v>
      </c>
      <c r="G3656" s="4" t="s">
        <v>1070</v>
      </c>
      <c r="H3656" s="10" t="s">
        <v>35</v>
      </c>
      <c r="I3656" s="10">
        <v>25.0</v>
      </c>
      <c r="J3656" s="11" t="str">
        <f>IF(D3656&lt;&gt;"",VLOOKUP(H3656,TABLEITEM,5,FALSE),"")</f>
        <v>EA</v>
      </c>
      <c r="K3656" s="12">
        <v>85.0</v>
      </c>
      <c r="L3656" s="13" t="str">
        <f>IF(D3656&lt;&gt;"",VLOOKUP(H3656,TABLEITEM,2,FALSE),"")</f>
        <v/>
      </c>
      <c r="M3656" s="13" t="str">
        <f>IF(D3656&lt;&gt;"",VLOOKUP(H3656,TABLEITEM,3,FALSE),"")</f>
        <v>ใบตัดไฟเบอร์ #16</v>
      </c>
      <c r="N3656" s="14">
        <f>INSTOCK!$I3656*INSTOCK!$K3656</f>
        <v>2125</v>
      </c>
      <c r="O3656" s="4"/>
      <c r="P3656" s="4"/>
    </row>
    <row r="3657" ht="15.75" hidden="1" customHeight="1">
      <c r="B3657" s="8">
        <v>3976.0</v>
      </c>
      <c r="C3657" s="9">
        <v>43255.0</v>
      </c>
      <c r="D3657" s="6" t="s">
        <v>4766</v>
      </c>
      <c r="E3657" s="4">
        <v>6.105000632E9</v>
      </c>
      <c r="F3657" s="8" t="s">
        <v>604</v>
      </c>
      <c r="G3657" s="4" t="s">
        <v>965</v>
      </c>
      <c r="H3657" s="10" t="s">
        <v>4767</v>
      </c>
      <c r="I3657" s="10">
        <v>4.0</v>
      </c>
      <c r="J3657" s="11" t="str">
        <f>IF(D3657&lt;&gt;"",VLOOKUP(H3657,TABLEITEM,5,FALSE),"")</f>
        <v>EA</v>
      </c>
      <c r="K3657" s="12">
        <v>90.0</v>
      </c>
      <c r="L3657" s="13" t="str">
        <f>IF(D3657&lt;&gt;"",VLOOKUP(H3657,TABLEITEM,2,FALSE),"")</f>
        <v/>
      </c>
      <c r="M3657" s="13" t="str">
        <f>IF(D3657&lt;&gt;"",VLOOKUP(H3657,TABLEITEM,3,FALSE),"")</f>
        <v>ไม้ม็อป+ผ้า</v>
      </c>
      <c r="N3657" s="14">
        <f>INSTOCK!$I3657*INSTOCK!$K3657</f>
        <v>360</v>
      </c>
      <c r="O3657" s="4"/>
      <c r="P3657" s="4"/>
    </row>
    <row r="3658" ht="15.75" hidden="1" customHeight="1">
      <c r="B3658" s="8">
        <v>3977.0</v>
      </c>
      <c r="C3658" s="9">
        <v>43255.0</v>
      </c>
      <c r="D3658" s="6" t="s">
        <v>4768</v>
      </c>
      <c r="E3658" s="4">
        <v>6.105000644E9</v>
      </c>
      <c r="F3658" s="8" t="s">
        <v>604</v>
      </c>
      <c r="G3658" s="4" t="s">
        <v>965</v>
      </c>
      <c r="H3658" s="10" t="s">
        <v>1681</v>
      </c>
      <c r="I3658" s="10">
        <v>1.0</v>
      </c>
      <c r="J3658" s="11" t="str">
        <f>IF(D3658&lt;&gt;"",VLOOKUP(H3658,TABLEITEM,5,FALSE),"")</f>
        <v>EA</v>
      </c>
      <c r="K3658" s="12">
        <v>45.0</v>
      </c>
      <c r="L3658" s="13" t="str">
        <f>IF(D3658&lt;&gt;"",VLOOKUP(H3658,TABLEITEM,2,FALSE),"")</f>
        <v/>
      </c>
      <c r="M3658" s="13" t="str">
        <f>IF(D3658&lt;&gt;"",VLOOKUP(H3658,TABLEITEM,3,FALSE),"")</f>
        <v>ลูกกลิ้งทาสี Somax 7"</v>
      </c>
      <c r="N3658" s="14">
        <f>INSTOCK!$I3658*INSTOCK!$K3658</f>
        <v>45</v>
      </c>
      <c r="O3658" s="4"/>
      <c r="P3658" s="4"/>
    </row>
    <row r="3659" ht="15.75" hidden="1" customHeight="1">
      <c r="B3659" s="8">
        <v>3978.0</v>
      </c>
      <c r="C3659" s="9">
        <v>43255.0</v>
      </c>
      <c r="D3659" s="6" t="s">
        <v>4768</v>
      </c>
      <c r="E3659" s="4">
        <v>6.105000644E9</v>
      </c>
      <c r="F3659" s="8" t="s">
        <v>604</v>
      </c>
      <c r="G3659" s="4" t="s">
        <v>965</v>
      </c>
      <c r="H3659" s="10" t="s">
        <v>2710</v>
      </c>
      <c r="I3659" s="10">
        <v>10.0</v>
      </c>
      <c r="J3659" s="11" t="str">
        <f>IF(D3659&lt;&gt;"",VLOOKUP(H3659,TABLEITEM,5,FALSE),"")</f>
        <v>แผ่น</v>
      </c>
      <c r="K3659" s="12">
        <v>12.0</v>
      </c>
      <c r="L3659" s="13" t="str">
        <f>IF(D3659&lt;&gt;"",VLOOKUP(H3659,TABLEITEM,2,FALSE),"")</f>
        <v/>
      </c>
      <c r="M3659" s="13" t="str">
        <f>IF(D3659&lt;&gt;"",VLOOKUP(H3659,TABLEITEM,3,FALSE),"")</f>
        <v>กระดาษทราย TOA เบอร์ 1000</v>
      </c>
      <c r="N3659" s="14">
        <f>INSTOCK!$I3659*INSTOCK!$K3659</f>
        <v>120</v>
      </c>
      <c r="O3659" s="4"/>
      <c r="P3659" s="4"/>
    </row>
    <row r="3660" ht="15.75" hidden="1" customHeight="1">
      <c r="B3660" s="8">
        <v>3979.0</v>
      </c>
      <c r="C3660" s="9">
        <v>43255.0</v>
      </c>
      <c r="D3660" s="6" t="s">
        <v>4768</v>
      </c>
      <c r="E3660" s="4">
        <v>6.105000644E9</v>
      </c>
      <c r="F3660" s="8" t="s">
        <v>604</v>
      </c>
      <c r="G3660" s="4" t="s">
        <v>965</v>
      </c>
      <c r="H3660" s="10" t="s">
        <v>59</v>
      </c>
      <c r="I3660" s="10">
        <v>3.0</v>
      </c>
      <c r="J3660" s="11" t="str">
        <f>IF(D3660&lt;&gt;"",VLOOKUP(H3660,TABLEITEM,5,FALSE),"")</f>
        <v>EA</v>
      </c>
      <c r="K3660" s="12">
        <v>100.0</v>
      </c>
      <c r="L3660" s="13" t="str">
        <f>IF(D3660&lt;&gt;"",VLOOKUP(H3660,TABLEITEM,2,FALSE),"")</f>
        <v/>
      </c>
      <c r="M3660" s="13" t="str">
        <f>IF(D3660&lt;&gt;"",VLOOKUP(H3660,TABLEITEM,3,FALSE),"")</f>
        <v>โซเน็ก</v>
      </c>
      <c r="N3660" s="14">
        <f>INSTOCK!$I3660*INSTOCK!$K3660</f>
        <v>300</v>
      </c>
      <c r="O3660" s="4"/>
      <c r="P3660" s="4"/>
    </row>
    <row r="3661" ht="15.75" hidden="1" customHeight="1">
      <c r="B3661" s="8">
        <v>3980.0</v>
      </c>
      <c r="C3661" s="9">
        <v>43253.0</v>
      </c>
      <c r="D3661" s="6" t="s">
        <v>4769</v>
      </c>
      <c r="E3661" s="4"/>
      <c r="F3661" s="8"/>
      <c r="G3661" s="4" t="s">
        <v>1522</v>
      </c>
      <c r="H3661" s="18" t="s">
        <v>4770</v>
      </c>
      <c r="I3661" s="10">
        <v>2.0</v>
      </c>
      <c r="J3661" s="11" t="str">
        <f>IF(D3661&lt;&gt;"",VLOOKUP(H3661,TABLEITEM,5,FALSE),"")</f>
        <v>EA</v>
      </c>
      <c r="K3661" s="12">
        <v>155.0</v>
      </c>
      <c r="L3661" s="13" t="str">
        <f>IF(D3661&lt;&gt;"",VLOOKUP(H3661,TABLEITEM,2,FALSE),"")</f>
        <v/>
      </c>
      <c r="M3661" s="13" t="str">
        <f>IF(D3661&lt;&gt;"",VLOOKUP(H3661,TABLEITEM,3,FALSE),"")</f>
        <v>ราง+หลอด LED 8W-PL/BN010C</v>
      </c>
      <c r="N3661" s="14">
        <f>INSTOCK!$I3661*INSTOCK!$K3661</f>
        <v>310</v>
      </c>
      <c r="O3661" s="4"/>
      <c r="P3661" s="4"/>
    </row>
    <row r="3662" ht="15.75" hidden="1" customHeight="1">
      <c r="B3662" s="8">
        <v>3981.0</v>
      </c>
      <c r="C3662" s="9">
        <v>43313.0</v>
      </c>
      <c r="D3662" s="6" t="s">
        <v>4694</v>
      </c>
      <c r="E3662" s="4">
        <v>6.10600067E9</v>
      </c>
      <c r="F3662" s="8" t="s">
        <v>4771</v>
      </c>
      <c r="G3662" s="4" t="s">
        <v>1479</v>
      </c>
      <c r="H3662" s="10" t="s">
        <v>4772</v>
      </c>
      <c r="I3662" s="10">
        <v>130.0</v>
      </c>
      <c r="J3662" s="11" t="str">
        <f>IF(D3662&lt;&gt;"",VLOOKUP(H3662,TABLEITEM,5,FALSE),"")</f>
        <v>EA</v>
      </c>
      <c r="K3662" s="12">
        <v>17.0</v>
      </c>
      <c r="L3662" s="13" t="str">
        <f>IF(D3662&lt;&gt;"",VLOOKUP(H3662,TABLEITEM,2,FALSE),"")</f>
        <v/>
      </c>
      <c r="M3662" s="13" t="str">
        <f>IF(D3662&lt;&gt;"",VLOOKUP(H3662,TABLEITEM,3,FALSE),"")</f>
        <v>58.504.0055.0 FEED-THROUGH BLOCK GREY WT4</v>
      </c>
      <c r="N3662" s="14">
        <f>INSTOCK!$I3662*INSTOCK!$K3662</f>
        <v>2210</v>
      </c>
      <c r="O3662" s="4"/>
      <c r="P3662" s="4"/>
    </row>
    <row r="3663" ht="15.75" hidden="1" customHeight="1">
      <c r="B3663" s="8">
        <v>3982.0</v>
      </c>
      <c r="C3663" s="9">
        <v>43313.0</v>
      </c>
      <c r="D3663" s="6" t="s">
        <v>4694</v>
      </c>
      <c r="E3663" s="4">
        <v>6.10600067E9</v>
      </c>
      <c r="F3663" s="8" t="s">
        <v>4771</v>
      </c>
      <c r="G3663" s="4" t="s">
        <v>1479</v>
      </c>
      <c r="H3663" s="10" t="s">
        <v>4678</v>
      </c>
      <c r="I3663" s="10">
        <v>1.0</v>
      </c>
      <c r="J3663" s="11" t="str">
        <f>IF(D3663&lt;&gt;"",VLOOKUP(H3663,TABLEITEM,5,FALSE),"")</f>
        <v>EA</v>
      </c>
      <c r="K3663" s="12">
        <v>3330.0</v>
      </c>
      <c r="L3663" s="13" t="str">
        <f>IF(D3663&lt;&gt;"",VLOOKUP(H3663,TABLEITEM,2,FALSE),"")</f>
        <v/>
      </c>
      <c r="M3663" s="13" t="str">
        <f>IF(D3663&lt;&gt;"",VLOOKUP(H3663,TABLEITEM,3,FALSE),"")</f>
        <v>81.000.6530.0 WIPOS PS1 24-5</v>
      </c>
      <c r="N3663" s="14">
        <f>INSTOCK!$I3663*INSTOCK!$K3663</f>
        <v>3330</v>
      </c>
      <c r="O3663" s="4"/>
      <c r="P3663" s="4"/>
    </row>
    <row r="3664" ht="15.75" hidden="1" customHeight="1">
      <c r="B3664" s="8">
        <v>3983.0</v>
      </c>
      <c r="C3664" s="9">
        <v>43313.0</v>
      </c>
      <c r="D3664" s="6" t="s">
        <v>4694</v>
      </c>
      <c r="E3664" s="4">
        <v>6.10600067E9</v>
      </c>
      <c r="F3664" s="8" t="s">
        <v>4771</v>
      </c>
      <c r="G3664" s="4" t="s">
        <v>1479</v>
      </c>
      <c r="H3664" s="10" t="s">
        <v>4773</v>
      </c>
      <c r="I3664" s="10">
        <v>1.0</v>
      </c>
      <c r="J3664" s="11" t="str">
        <f>IF(D3664&lt;&gt;"",VLOOKUP(H3664,TABLEITEM,5,FALSE),"")</f>
        <v>EA</v>
      </c>
      <c r="K3664" s="12">
        <v>4905.0</v>
      </c>
      <c r="L3664" s="13" t="str">
        <f>IF(D3664&lt;&gt;"",VLOOKUP(H3664,TABLEITEM,2,FALSE),"")</f>
        <v/>
      </c>
      <c r="M3664" s="13" t="str">
        <f>IF(D3664&lt;&gt;"",VLOOKUP(H3664,TABLEITEM,3,FALSE),"")</f>
        <v>81.000.6540.0 WIPOS PS1 24-10</v>
      </c>
      <c r="N3664" s="14">
        <f>INSTOCK!$I3664*INSTOCK!$K3664</f>
        <v>4905</v>
      </c>
      <c r="O3664" s="4"/>
      <c r="P3664" s="4"/>
    </row>
    <row r="3665" ht="15.75" hidden="1" customHeight="1">
      <c r="B3665" s="8">
        <v>3984.0</v>
      </c>
      <c r="C3665" s="9">
        <v>43313.0</v>
      </c>
      <c r="D3665" s="6" t="s">
        <v>4694</v>
      </c>
      <c r="E3665" s="4">
        <v>6.10600067E9</v>
      </c>
      <c r="F3665" s="8" t="s">
        <v>4771</v>
      </c>
      <c r="G3665" s="4" t="s">
        <v>1479</v>
      </c>
      <c r="H3665" s="10" t="s">
        <v>4774</v>
      </c>
      <c r="I3665" s="10">
        <v>360.0</v>
      </c>
      <c r="J3665" s="11" t="str">
        <f>IF(D3665&lt;&gt;"",VLOOKUP(H3665,TABLEITEM,5,FALSE),"")</f>
        <v>EA</v>
      </c>
      <c r="K3665" s="12">
        <v>24.0</v>
      </c>
      <c r="L3665" s="13" t="str">
        <f>IF(D3665&lt;&gt;"",VLOOKUP(H3665,TABLEITEM,2,FALSE),"")</f>
        <v/>
      </c>
      <c r="M3665" s="13" t="str">
        <f>IF(D3665&lt;&gt;"",VLOOKUP(H3665,TABLEITEM,3,FALSE),"")</f>
        <v>57.504.2055.0 WK4/TKM/U KNIFE BLADE DISC</v>
      </c>
      <c r="N3665" s="14">
        <f>INSTOCK!$I3665*INSTOCK!$K3665</f>
        <v>8640</v>
      </c>
      <c r="O3665" s="4"/>
      <c r="P3665" s="4"/>
    </row>
    <row r="3666" ht="15.75" hidden="1" customHeight="1">
      <c r="B3666" s="8">
        <v>3985.0</v>
      </c>
      <c r="C3666" s="9">
        <v>43313.0</v>
      </c>
      <c r="D3666" s="6" t="s">
        <v>4694</v>
      </c>
      <c r="E3666" s="4">
        <v>6.10600067E9</v>
      </c>
      <c r="F3666" s="8" t="s">
        <v>4771</v>
      </c>
      <c r="G3666" s="4" t="s">
        <v>1479</v>
      </c>
      <c r="H3666" s="10" t="s">
        <v>4775</v>
      </c>
      <c r="I3666" s="10">
        <v>130.0</v>
      </c>
      <c r="J3666" s="11" t="str">
        <f>IF(D3666&lt;&gt;"",VLOOKUP(H3666,TABLEITEM,5,FALSE),"")</f>
        <v>EA</v>
      </c>
      <c r="K3666" s="12">
        <v>116.0</v>
      </c>
      <c r="L3666" s="13" t="str">
        <f>IF(D3666&lt;&gt;"",VLOOKUP(H3666,TABLEITEM,2,FALSE),"")</f>
        <v/>
      </c>
      <c r="M3666" s="13" t="str">
        <f>IF(D3666&lt;&gt;"",VLOOKUP(H3666,TABLEITEM,3,FALSE),"")</f>
        <v>57.904.5355.0 WK4/THIS 5-U FUSE BLOCK 4</v>
      </c>
      <c r="N3666" s="14">
        <f>INSTOCK!$I3666*INSTOCK!$K3666</f>
        <v>15080</v>
      </c>
      <c r="O3666" s="4"/>
      <c r="P3666" s="4"/>
    </row>
    <row r="3667" ht="15.75" hidden="1" customHeight="1">
      <c r="B3667" s="8">
        <v>3986.0</v>
      </c>
      <c r="C3667" s="9">
        <v>43313.0</v>
      </c>
      <c r="D3667" s="6" t="s">
        <v>4694</v>
      </c>
      <c r="E3667" s="4">
        <v>6.10600067E9</v>
      </c>
      <c r="F3667" s="8" t="s">
        <v>4771</v>
      </c>
      <c r="G3667" s="4" t="s">
        <v>1479</v>
      </c>
      <c r="H3667" s="10" t="s">
        <v>4776</v>
      </c>
      <c r="I3667" s="10">
        <v>177.0</v>
      </c>
      <c r="J3667" s="11" t="str">
        <f>IF(D3667&lt;&gt;"",VLOOKUP(H3667,TABLEITEM,5,FALSE),"")</f>
        <v>EA</v>
      </c>
      <c r="K3667" s="12">
        <v>228.0</v>
      </c>
      <c r="L3667" s="13" t="str">
        <f>IF(D3667&lt;&gt;"",VLOOKUP(H3667,TABLEITEM,2,FALSE),"")</f>
        <v/>
      </c>
      <c r="M3667" s="13" t="str">
        <f>IF(D3667&lt;&gt;"",VLOOKUP(H3667,TABLEITEM,3,FALSE),"")</f>
        <v>93.61.7.024 SOCKET FOR 34 SERIES INPUT 2</v>
      </c>
      <c r="N3667" s="14">
        <f>INSTOCK!$I3667*INSTOCK!$K3667</f>
        <v>40356</v>
      </c>
      <c r="O3667" s="4"/>
      <c r="P3667" s="4"/>
    </row>
    <row r="3668" ht="15.75" hidden="1" customHeight="1">
      <c r="B3668" s="8">
        <v>3987.0</v>
      </c>
      <c r="C3668" s="9">
        <v>43252.0</v>
      </c>
      <c r="D3668" s="6">
        <v>2.0180600043E10</v>
      </c>
      <c r="E3668" s="4">
        <v>6.10500066E9</v>
      </c>
      <c r="F3668" s="8" t="s">
        <v>807</v>
      </c>
      <c r="G3668" s="4" t="s">
        <v>2460</v>
      </c>
      <c r="H3668" s="10" t="s">
        <v>3209</v>
      </c>
      <c r="I3668" s="10">
        <v>1.0</v>
      </c>
      <c r="J3668" s="11" t="str">
        <f>IF(D3668&lt;&gt;"",VLOOKUP(H3668,TABLEITEM,5,FALSE),"")</f>
        <v>LOT</v>
      </c>
      <c r="K3668" s="12">
        <v>2500.0</v>
      </c>
      <c r="L3668" s="13" t="str">
        <f>IF(D3668&lt;&gt;"",VLOOKUP(H3668,TABLEITEM,2,FALSE),"")</f>
        <v/>
      </c>
      <c r="M3668" s="13" t="str">
        <f>IF(D3668&lt;&gt;"",VLOOKUP(H3668,TABLEITEM,3,FALSE),"")</f>
        <v>SERVICE-CHARGE(PROMOTION)-SERVICE1</v>
      </c>
      <c r="N3668" s="14">
        <f>INSTOCK!$I3668*INSTOCK!$K3668</f>
        <v>2500</v>
      </c>
      <c r="O3668" s="4"/>
      <c r="P3668" s="4"/>
    </row>
    <row r="3669" ht="15.75" hidden="1" customHeight="1">
      <c r="B3669" s="8">
        <v>3988.0</v>
      </c>
      <c r="C3669" s="9">
        <v>43252.0</v>
      </c>
      <c r="D3669" s="6">
        <v>2.0180600043E10</v>
      </c>
      <c r="E3669" s="4">
        <v>6.10500066E9</v>
      </c>
      <c r="F3669" s="8" t="s">
        <v>807</v>
      </c>
      <c r="G3669" s="4" t="s">
        <v>2460</v>
      </c>
      <c r="H3669" s="10" t="s">
        <v>3210</v>
      </c>
      <c r="I3669" s="10">
        <v>2.0</v>
      </c>
      <c r="J3669" s="11" t="str">
        <f>IF(D3669&lt;&gt;"",VLOOKUP(H3669,TABLEITEM,5,FALSE),"")</f>
        <v>LOT</v>
      </c>
      <c r="K3669" s="12">
        <v>800.0</v>
      </c>
      <c r="L3669" s="13" t="str">
        <f>IF(D3669&lt;&gt;"",VLOOKUP(H3669,TABLEITEM,2,FALSE),"")</f>
        <v/>
      </c>
      <c r="M3669" s="13" t="str">
        <f>IF(D3669&lt;&gt;"",VLOOKUP(H3669,TABLEITEM,3,FALSE),"")</f>
        <v>TRAVEL CHARGE (PROMOTION) -TRAVEL1</v>
      </c>
      <c r="N3669" s="14">
        <f>INSTOCK!$I3669*INSTOCK!$K3669</f>
        <v>1600</v>
      </c>
      <c r="O3669" s="4"/>
      <c r="P3669" s="4"/>
    </row>
    <row r="3670" ht="15.75" hidden="1" customHeight="1">
      <c r="B3670" s="8">
        <v>3989.0</v>
      </c>
      <c r="C3670" s="9">
        <v>43252.0</v>
      </c>
      <c r="D3670" s="6">
        <v>2.0180600043E10</v>
      </c>
      <c r="E3670" s="4">
        <v>6.10500066E9</v>
      </c>
      <c r="F3670" s="8" t="s">
        <v>807</v>
      </c>
      <c r="G3670" s="4" t="s">
        <v>2460</v>
      </c>
      <c r="H3670" s="10" t="s">
        <v>4777</v>
      </c>
      <c r="I3670" s="10">
        <v>1.0</v>
      </c>
      <c r="J3670" s="11" t="str">
        <f>IF(D3670&lt;&gt;"",VLOOKUP(H3670,TABLEITEM,5,FALSE),"")</f>
        <v>EA</v>
      </c>
      <c r="K3670" s="12">
        <v>4300.0</v>
      </c>
      <c r="L3670" s="13" t="str">
        <f>IF(D3670&lt;&gt;"",VLOOKUP(H3670,TABLEITEM,2,FALSE),"")</f>
        <v/>
      </c>
      <c r="M3670" s="13" t="str">
        <f>IF(D3670&lt;&gt;"",VLOOKUP(H3670,TABLEITEM,3,FALSE),"")</f>
        <v>FANUC-BASIC CHARGE-SERVICE1</v>
      </c>
      <c r="N3670" s="14">
        <f>INSTOCK!$I3670*INSTOCK!$K3670</f>
        <v>4300</v>
      </c>
      <c r="O3670" s="4"/>
      <c r="P3670" s="4"/>
    </row>
    <row r="3671" ht="15.75" hidden="1" customHeight="1">
      <c r="B3671" s="8">
        <v>3990.0</v>
      </c>
      <c r="C3671" s="9">
        <v>43252.0</v>
      </c>
      <c r="D3671" s="6">
        <v>2.0180600043E10</v>
      </c>
      <c r="E3671" s="4">
        <v>6.10500066E9</v>
      </c>
      <c r="F3671" s="8" t="s">
        <v>807</v>
      </c>
      <c r="G3671" s="4" t="s">
        <v>2460</v>
      </c>
      <c r="H3671" s="10" t="s">
        <v>4778</v>
      </c>
      <c r="I3671" s="10">
        <v>1.0</v>
      </c>
      <c r="J3671" s="11" t="str">
        <f>IF(D3671&lt;&gt;"",VLOOKUP(H3671,TABLEITEM,5,FALSE),"")</f>
        <v>EA</v>
      </c>
      <c r="K3671" s="12">
        <v>3000.0</v>
      </c>
      <c r="L3671" s="13" t="str">
        <f>IF(D3671&lt;&gt;"",VLOOKUP(H3671,TABLEITEM,2,FALSE),"")</f>
        <v/>
      </c>
      <c r="M3671" s="13" t="str">
        <f>IF(D3671&lt;&gt;"",VLOOKUP(H3671,TABLEITEM,3,FALSE),"")</f>
        <v>FANUC-HOURLY CHARGE-SERVICE</v>
      </c>
      <c r="N3671" s="14">
        <f>INSTOCK!$I3671*INSTOCK!$K3671</f>
        <v>3000</v>
      </c>
      <c r="O3671" s="4"/>
      <c r="P3671" s="4"/>
    </row>
    <row r="3672" ht="15.75" hidden="1" customHeight="1">
      <c r="B3672" s="8">
        <v>3991.0</v>
      </c>
      <c r="C3672" s="9">
        <v>43252.0</v>
      </c>
      <c r="D3672" s="6">
        <v>6.10600856E8</v>
      </c>
      <c r="E3672" s="4">
        <v>6.106000672E9</v>
      </c>
      <c r="F3672" s="8"/>
      <c r="G3672" s="4" t="s">
        <v>1130</v>
      </c>
      <c r="H3672" s="10" t="s">
        <v>4779</v>
      </c>
      <c r="I3672" s="10">
        <v>10.0</v>
      </c>
      <c r="J3672" s="11" t="str">
        <f>IF(D3672&lt;&gt;"",VLOOKUP(H3672,TABLEITEM,5,FALSE),"")</f>
        <v>EA</v>
      </c>
      <c r="K3672" s="12">
        <v>15.84</v>
      </c>
      <c r="L3672" s="13" t="str">
        <f>IF(D3672&lt;&gt;"",VLOOKUP(H3672,TABLEITEM,2,FALSE),"")</f>
        <v/>
      </c>
      <c r="M3672" s="13" t="str">
        <f>IF(D3672&lt;&gt;"",VLOOKUP(H3672,TABLEITEM,3,FALSE),"")</f>
        <v>ฝา 3ช่อง WNG6803</v>
      </c>
      <c r="N3672" s="14">
        <f>INSTOCK!$I3672*INSTOCK!$K3672</f>
        <v>158.4</v>
      </c>
      <c r="O3672" s="4"/>
      <c r="P3672" s="4"/>
    </row>
    <row r="3673" ht="15.75" hidden="1" customHeight="1">
      <c r="B3673" s="8">
        <v>3992.0</v>
      </c>
      <c r="C3673" s="9">
        <v>43252.0</v>
      </c>
      <c r="D3673" s="6" t="s">
        <v>4780</v>
      </c>
      <c r="E3673" s="4">
        <v>6.106000668E9</v>
      </c>
      <c r="F3673" s="8" t="s">
        <v>684</v>
      </c>
      <c r="G3673" s="4" t="s">
        <v>1485</v>
      </c>
      <c r="H3673" s="10" t="s">
        <v>3503</v>
      </c>
      <c r="I3673" s="10">
        <v>2.0</v>
      </c>
      <c r="J3673" s="11" t="str">
        <f>IF(D3673&lt;&gt;"",VLOOKUP(H3673,TABLEITEM,5,FALSE),"")</f>
        <v>EA</v>
      </c>
      <c r="K3673" s="12">
        <v>572.0</v>
      </c>
      <c r="L3673" s="13" t="str">
        <f>IF(D3673&lt;&gt;"",VLOOKUP(H3673,TABLEITEM,2,FALSE),"")</f>
        <v/>
      </c>
      <c r="M3673" s="13" t="str">
        <f>IF(D3673&lt;&gt;"",VLOOKUP(H3673,TABLEITEM,3,FALSE),"")</f>
        <v>PUSHBUTTON XB4BW33B5 1N/O 1N/C24V GREEN </v>
      </c>
      <c r="N3673" s="14">
        <f>INSTOCK!$I3673*INSTOCK!$K3673</f>
        <v>1144</v>
      </c>
      <c r="O3673" s="4"/>
      <c r="P3673" s="4"/>
    </row>
    <row r="3674" ht="15.75" hidden="1" customHeight="1">
      <c r="B3674" s="8">
        <v>3993.0</v>
      </c>
      <c r="C3674" s="9">
        <v>43252.0</v>
      </c>
      <c r="D3674" s="6" t="s">
        <v>4780</v>
      </c>
      <c r="E3674" s="4">
        <v>6.106000668E9</v>
      </c>
      <c r="F3674" s="8" t="s">
        <v>684</v>
      </c>
      <c r="G3674" s="4" t="s">
        <v>1485</v>
      </c>
      <c r="H3674" s="10" t="s">
        <v>1746</v>
      </c>
      <c r="I3674" s="10">
        <v>2.0</v>
      </c>
      <c r="J3674" s="11" t="str">
        <f>IF(D3674&lt;&gt;"",VLOOKUP(H3674,TABLEITEM,5,FALSE),"")</f>
        <v>EA</v>
      </c>
      <c r="K3674" s="12">
        <v>57.2</v>
      </c>
      <c r="L3674" s="13" t="str">
        <f>IF(D3674&lt;&gt;"",VLOOKUP(H3674,TABLEITEM,2,FALSE),"")</f>
        <v/>
      </c>
      <c r="M3674" s="13" t="str">
        <f>IF(D3674&lt;&gt;"",VLOOKUP(H3674,TABLEITEM,3,FALSE),"")</f>
        <v>PUSHBUTTON #22 YELLOW ZB4BA5</v>
      </c>
      <c r="N3674" s="14">
        <f>INSTOCK!$I3674*INSTOCK!$K3674</f>
        <v>114.4</v>
      </c>
      <c r="O3674" s="4"/>
      <c r="P3674" s="4"/>
    </row>
    <row r="3675" ht="15.75" hidden="1" customHeight="1">
      <c r="B3675" s="8">
        <v>3994.0</v>
      </c>
      <c r="C3675" s="9">
        <v>43252.0</v>
      </c>
      <c r="D3675" s="6" t="s">
        <v>4781</v>
      </c>
      <c r="E3675" s="4">
        <v>6.105000629E9</v>
      </c>
      <c r="F3675" s="8" t="s">
        <v>4782</v>
      </c>
      <c r="G3675" s="4" t="s">
        <v>1962</v>
      </c>
      <c r="H3675" s="10" t="s">
        <v>4783</v>
      </c>
      <c r="I3675" s="10">
        <v>1.0</v>
      </c>
      <c r="J3675" s="11" t="str">
        <f>IF(D3675&lt;&gt;"",VLOOKUP(H3675,TABLEITEM,5,FALSE),"")</f>
        <v>EA</v>
      </c>
      <c r="K3675" s="12">
        <v>5810.0</v>
      </c>
      <c r="L3675" s="13" t="str">
        <f>IF(D3675&lt;&gt;"",VLOOKUP(H3675,TABLEITEM,2,FALSE),"")</f>
        <v/>
      </c>
      <c r="M3675" s="13" t="str">
        <f>IF(D3675&lt;&gt;"",VLOOKUP(H3675,TABLEITEM,3,FALSE),"")</f>
        <v>STP230TNSM SURGE-TRAP PLUGGABLE IEC 230V</v>
      </c>
      <c r="N3675" s="14">
        <f>INSTOCK!$I3675*INSTOCK!$K3675</f>
        <v>5810</v>
      </c>
      <c r="O3675" s="4"/>
      <c r="P3675" s="4"/>
    </row>
    <row r="3676" ht="15.75" hidden="1" customHeight="1">
      <c r="B3676" s="8">
        <v>3995.0</v>
      </c>
      <c r="C3676" s="9">
        <v>43252.0</v>
      </c>
      <c r="D3676" s="6" t="s">
        <v>4781</v>
      </c>
      <c r="E3676" s="4">
        <v>6.105000629E9</v>
      </c>
      <c r="F3676" s="8" t="s">
        <v>4782</v>
      </c>
      <c r="G3676" s="4" t="s">
        <v>1962</v>
      </c>
      <c r="H3676" s="10" t="s">
        <v>4671</v>
      </c>
      <c r="I3676" s="10">
        <v>1.0</v>
      </c>
      <c r="J3676" s="11" t="str">
        <f>IF(D3676&lt;&gt;"",VLOOKUP(H3676,TABLEITEM,5,FALSE),"")</f>
        <v>EA</v>
      </c>
      <c r="K3676" s="12">
        <v>7000.0</v>
      </c>
      <c r="L3676" s="13" t="str">
        <f>IF(D3676&lt;&gt;"",VLOOKUP(H3676,TABLEITEM,2,FALSE),"")</f>
        <v/>
      </c>
      <c r="M3676" s="13" t="str">
        <f>IF(D3676&lt;&gt;"",VLOOKUP(H3676,TABLEITEM,3,FALSE),"")</f>
        <v>IME-MF72421 NEMO72LE A230V 5A 450V RS485 </v>
      </c>
      <c r="N3676" s="14">
        <f>INSTOCK!$I3676*INSTOCK!$K3676</f>
        <v>7000</v>
      </c>
      <c r="O3676" s="4"/>
      <c r="P3676" s="4"/>
    </row>
    <row r="3677" ht="15.75" hidden="1" customHeight="1">
      <c r="B3677" s="8">
        <v>3996.0</v>
      </c>
      <c r="C3677" s="9">
        <v>43252.0</v>
      </c>
      <c r="D3677" s="6" t="s">
        <v>4784</v>
      </c>
      <c r="E3677" s="4">
        <v>6.106000671E9</v>
      </c>
      <c r="F3677" s="8" t="s">
        <v>684</v>
      </c>
      <c r="G3677" s="4" t="s">
        <v>692</v>
      </c>
      <c r="H3677" s="10" t="s">
        <v>1824</v>
      </c>
      <c r="I3677" s="10">
        <v>1.0</v>
      </c>
      <c r="J3677" s="11" t="str">
        <f>IF(D3677&lt;&gt;"",VLOOKUP(H3677,TABLEITEM,5,FALSE),"")</f>
        <v>EA</v>
      </c>
      <c r="K3677" s="12">
        <v>305.66</v>
      </c>
      <c r="L3677" s="13" t="str">
        <f>IF(D3677&lt;&gt;"",VLOOKUP(H3677,TABLEITEM,2,FALSE),"")</f>
        <v/>
      </c>
      <c r="M3677" s="13" t="str">
        <f>IF(D3677&lt;&gt;"",VLOOKUP(H3677,TABLEITEM,3,FALSE),"")</f>
        <v>MCB 2P 16A 10KA</v>
      </c>
      <c r="N3677" s="14">
        <f>INSTOCK!$I3677*INSTOCK!$K3677</f>
        <v>305.66</v>
      </c>
      <c r="O3677" s="4" t="s">
        <v>4785</v>
      </c>
      <c r="P3677" s="4"/>
    </row>
    <row r="3678" ht="15.75" hidden="1" customHeight="1">
      <c r="B3678" s="8">
        <v>3997.0</v>
      </c>
      <c r="C3678" s="9">
        <v>43252.0</v>
      </c>
      <c r="D3678" s="6" t="s">
        <v>4786</v>
      </c>
      <c r="E3678" s="4">
        <v>6.105000623E9</v>
      </c>
      <c r="F3678" s="8" t="s">
        <v>1989</v>
      </c>
      <c r="G3678" s="4" t="s">
        <v>1990</v>
      </c>
      <c r="H3678" s="10" t="s">
        <v>4787</v>
      </c>
      <c r="I3678" s="10">
        <v>6.0</v>
      </c>
      <c r="J3678" s="11" t="str">
        <f>IF(D3678&lt;&gt;"",VLOOKUP(H3678,TABLEITEM,5,FALSE),"")</f>
        <v>EA</v>
      </c>
      <c r="K3678" s="12">
        <v>46.0</v>
      </c>
      <c r="L3678" s="13" t="str">
        <f>IF(D3678&lt;&gt;"",VLOOKUP(H3678,TABLEITEM,2,FALSE),"")</f>
        <v/>
      </c>
      <c r="M3678" s="13" t="str">
        <f>IF(D3678&lt;&gt;"",VLOOKUP(H3678,TABLEITEM,3,FALSE),"")</f>
        <v>ปากกาเพ้นท์ ซากุระ XPMK 1mm แดง</v>
      </c>
      <c r="N3678" s="14">
        <f>INSTOCK!$I3678*INSTOCK!$K3678</f>
        <v>276</v>
      </c>
      <c r="O3678" s="4"/>
      <c r="P3678" s="4"/>
    </row>
    <row r="3679" ht="15.75" hidden="1" customHeight="1">
      <c r="B3679" s="8">
        <v>3998.0</v>
      </c>
      <c r="C3679" s="9">
        <v>43252.0</v>
      </c>
      <c r="D3679" s="6">
        <v>6.10600069E8</v>
      </c>
      <c r="E3679" s="4">
        <v>6.105000653E9</v>
      </c>
      <c r="F3679" s="8"/>
      <c r="G3679" s="4" t="s">
        <v>1130</v>
      </c>
      <c r="H3679" s="10" t="s">
        <v>4652</v>
      </c>
      <c r="I3679" s="10">
        <v>3.0</v>
      </c>
      <c r="J3679" s="11" t="str">
        <f>IF(D3679&lt;&gt;"",VLOOKUP(H3679,TABLEITEM,5,FALSE),"")</f>
        <v>EA</v>
      </c>
      <c r="K3679" s="12">
        <v>235.1233</v>
      </c>
      <c r="L3679" s="13" t="str">
        <f>IF(D3679&lt;&gt;"",VLOOKUP(H3679,TABLEITEM,2,FALSE),"")</f>
        <v/>
      </c>
      <c r="M3679" s="13" t="str">
        <f>IF(D3679&lt;&gt;"",VLOOKUP(H3679,TABLEITEM,3,FALSE),"")</f>
        <v>CT 1000/5 MSQ130</v>
      </c>
      <c r="N3679" s="14">
        <f>INSTOCK!$I3679*INSTOCK!$K3679</f>
        <v>705.3699</v>
      </c>
      <c r="O3679" s="4" t="s">
        <v>4653</v>
      </c>
      <c r="P3679" s="4"/>
    </row>
    <row r="3680" ht="15.75" hidden="1" customHeight="1">
      <c r="B3680" s="8">
        <v>3999.0</v>
      </c>
      <c r="C3680" s="9">
        <v>43230.0</v>
      </c>
      <c r="D3680" s="6" t="s">
        <v>4788</v>
      </c>
      <c r="E3680" s="4"/>
      <c r="F3680" s="8"/>
      <c r="G3680" s="4" t="s">
        <v>3045</v>
      </c>
      <c r="H3680" s="10" t="s">
        <v>4789</v>
      </c>
      <c r="I3680" s="10">
        <v>1.0</v>
      </c>
      <c r="J3680" s="11" t="str">
        <f>IF(D3680&lt;&gt;"",VLOOKUP(H3680,TABLEITEM,5,FALSE),"")</f>
        <v>EA</v>
      </c>
      <c r="K3680" s="12">
        <v>530.0</v>
      </c>
      <c r="L3680" s="13" t="str">
        <f>IF(D3680&lt;&gt;"",VLOOKUP(H3680,TABLEITEM,2,FALSE),"")</f>
        <v/>
      </c>
      <c r="M3680" s="13" t="str">
        <f>IF(D3680&lt;&gt;"",VLOOKUP(H3680,TABLEITEM,3,FALSE),"")</f>
        <v>แบตเตอรี่ DJW6-12 6V 12AH</v>
      </c>
      <c r="N3680" s="14">
        <f>INSTOCK!$I3680*INSTOCK!$K3680</f>
        <v>530</v>
      </c>
      <c r="O3680" s="4"/>
      <c r="P3680" s="4"/>
    </row>
    <row r="3681" ht="15.75" hidden="1" customHeight="1">
      <c r="B3681" s="8">
        <v>4000.0</v>
      </c>
      <c r="C3681" s="9">
        <v>43626.0</v>
      </c>
      <c r="D3681" s="6" t="s">
        <v>4790</v>
      </c>
      <c r="E3681" s="4">
        <v>6.206000863E9</v>
      </c>
      <c r="F3681" s="8" t="s">
        <v>604</v>
      </c>
      <c r="G3681" s="4" t="s">
        <v>2445</v>
      </c>
      <c r="H3681" s="10" t="s">
        <v>3007</v>
      </c>
      <c r="I3681" s="10">
        <v>2000.0</v>
      </c>
      <c r="J3681" s="11" t="str">
        <f>IF(D3681&lt;&gt;"",VLOOKUP(H3681,TABLEITEM,5,FALSE),"")</f>
        <v>EA</v>
      </c>
      <c r="K3681" s="12">
        <v>2.1</v>
      </c>
      <c r="L3681" s="13" t="str">
        <f>IF(D3681&lt;&gt;"",VLOOKUP(H3681,TABLEITEM,2,FALSE),"")</f>
        <v/>
      </c>
      <c r="M3681" s="13" t="str">
        <f>IF(D3681&lt;&gt;"",VLOOKUP(H3681,TABLEITEM,3,FALSE),"")</f>
        <v>สตัด M6x25</v>
      </c>
      <c r="N3681" s="14">
        <f>INSTOCK!$I3681*INSTOCK!$K3681</f>
        <v>4200</v>
      </c>
      <c r="O3681" s="4"/>
      <c r="P3681" s="4"/>
    </row>
    <row r="3682" ht="15.75" hidden="1" customHeight="1">
      <c r="B3682" s="8">
        <v>4001.0</v>
      </c>
      <c r="C3682" s="9">
        <v>43627.0</v>
      </c>
      <c r="D3682" s="6" t="s">
        <v>4791</v>
      </c>
      <c r="E3682" s="4"/>
      <c r="F3682" s="8" t="s">
        <v>801</v>
      </c>
      <c r="G3682" s="4" t="s">
        <v>1417</v>
      </c>
      <c r="H3682" s="10" t="s">
        <v>803</v>
      </c>
      <c r="I3682" s="10">
        <v>19.0</v>
      </c>
      <c r="J3682" s="11" t="str">
        <f>IF(D3682&lt;&gt;"",VLOOKUP(H3682,TABLEITEM,5,FALSE),"")</f>
        <v>ถัง</v>
      </c>
      <c r="K3682" s="12">
        <v>981.31</v>
      </c>
      <c r="L3682" s="13" t="str">
        <f>IF(D3682&lt;&gt;"",VLOOKUP(H3682,TABLEITEM,2,FALSE),"")</f>
        <v/>
      </c>
      <c r="M3682" s="13" t="str">
        <f>IF(D3682&lt;&gt;"",VLOOKUP(H3682,TABLEITEM,3,FALSE),"")</f>
        <v>แก๊สหุงต้ม 48กก</v>
      </c>
      <c r="N3682" s="14">
        <f>INSTOCK!$I3682*INSTOCK!$K3682</f>
        <v>18644.89</v>
      </c>
      <c r="O3682" s="4"/>
      <c r="P3682" s="4"/>
    </row>
    <row r="3683" ht="15.75" hidden="1" customHeight="1">
      <c r="B3683" s="8">
        <v>4002.0</v>
      </c>
      <c r="C3683" s="9">
        <v>43627.0</v>
      </c>
      <c r="D3683" s="6">
        <v>6.2060532E7</v>
      </c>
      <c r="E3683" s="4">
        <v>6.206000872E9</v>
      </c>
      <c r="F3683" s="8" t="s">
        <v>4792</v>
      </c>
      <c r="G3683" s="4" t="s">
        <v>711</v>
      </c>
      <c r="H3683" s="10" t="s">
        <v>105</v>
      </c>
      <c r="I3683" s="10">
        <v>40.0</v>
      </c>
      <c r="J3683" s="11" t="str">
        <f>IF(D3683&lt;&gt;"",VLOOKUP(H3683,TABLEITEM,5,FALSE),"")</f>
        <v>KG.</v>
      </c>
      <c r="K3683" s="12">
        <v>165.75</v>
      </c>
      <c r="L3683" s="13" t="str">
        <f>IF(D3683&lt;&gt;"",VLOOKUP(H3683,TABLEITEM,2,FALSE),"")</f>
        <v/>
      </c>
      <c r="M3683" s="13" t="str">
        <f>IF(D3683&lt;&gt;"",VLOOKUP(H3683,TABLEITEM,3,FALSE),"")</f>
        <v>สีฝุ่น M10001 WN</v>
      </c>
      <c r="N3683" s="14">
        <f>INSTOCK!$I3683*INSTOCK!$K3683</f>
        <v>6630</v>
      </c>
      <c r="O3683" s="4" t="s">
        <v>971</v>
      </c>
      <c r="P3683" s="4"/>
    </row>
    <row r="3684" ht="15.75" hidden="1" customHeight="1">
      <c r="B3684" s="8">
        <v>4003.0</v>
      </c>
      <c r="C3684" s="9">
        <v>43627.0</v>
      </c>
      <c r="D3684" s="6" t="s">
        <v>4793</v>
      </c>
      <c r="E3684" s="4">
        <v>6.206000867E9</v>
      </c>
      <c r="F3684" s="8" t="s">
        <v>604</v>
      </c>
      <c r="G3684" s="4" t="s">
        <v>1033</v>
      </c>
      <c r="H3684" s="10" t="s">
        <v>1176</v>
      </c>
      <c r="I3684" s="10">
        <v>300.0</v>
      </c>
      <c r="J3684" s="11" t="str">
        <f>IF(D3684&lt;&gt;"",VLOOKUP(H3684,TABLEITEM,5,FALSE),"")</f>
        <v>EA</v>
      </c>
      <c r="K3684" s="12">
        <v>5.0</v>
      </c>
      <c r="L3684" s="13" t="str">
        <f>IF(D3684&lt;&gt;"",VLOOKUP(H3684,TABLEITEM,2,FALSE),"")</f>
        <v/>
      </c>
      <c r="M3684" s="13" t="str">
        <f>IF(D3684&lt;&gt;"",VLOOKUP(H3684,TABLEITEM,3,FALSE),"")</f>
        <v>กระดาษทรายกลม#80</v>
      </c>
      <c r="N3684" s="14">
        <f>INSTOCK!$I3684*INSTOCK!$K3684</f>
        <v>1500</v>
      </c>
      <c r="O3684" s="4"/>
      <c r="P3684" s="4"/>
    </row>
    <row r="3685" ht="15.75" hidden="1" customHeight="1">
      <c r="B3685" s="8">
        <v>4004.0</v>
      </c>
      <c r="C3685" s="9">
        <v>43627.0</v>
      </c>
      <c r="D3685" s="6" t="s">
        <v>4793</v>
      </c>
      <c r="E3685" s="4">
        <v>6.206000867E9</v>
      </c>
      <c r="F3685" s="8" t="s">
        <v>604</v>
      </c>
      <c r="G3685" s="4" t="s">
        <v>1033</v>
      </c>
      <c r="H3685" s="10" t="s">
        <v>2310</v>
      </c>
      <c r="I3685" s="10">
        <v>3.0</v>
      </c>
      <c r="J3685" s="11" t="str">
        <f>IF(D3685&lt;&gt;"",VLOOKUP(H3685,TABLEITEM,5,FALSE),"")</f>
        <v>EA</v>
      </c>
      <c r="K3685" s="12">
        <v>550.0</v>
      </c>
      <c r="L3685" s="13" t="str">
        <f>IF(D3685&lt;&gt;"",VLOOKUP(H3685,TABLEITEM,2,FALSE),"")</f>
        <v/>
      </c>
      <c r="M3685" s="13" t="str">
        <f>IF(D3685&lt;&gt;"",VLOOKUP(H3685,TABLEITEM,3,FALSE),"")</f>
        <v>แป้นจานขัด 5"</v>
      </c>
      <c r="N3685" s="14">
        <f>INSTOCK!$I3685*INSTOCK!$K3685</f>
        <v>1650</v>
      </c>
      <c r="O3685" s="4"/>
      <c r="P3685" s="4"/>
    </row>
    <row r="3686" ht="15.75" hidden="1" customHeight="1">
      <c r="B3686" s="8">
        <v>4005.0</v>
      </c>
      <c r="C3686" s="9">
        <v>43627.0</v>
      </c>
      <c r="D3686" s="6" t="s">
        <v>4794</v>
      </c>
      <c r="E3686" s="4">
        <v>6.205000709E9</v>
      </c>
      <c r="F3686" s="8" t="s">
        <v>604</v>
      </c>
      <c r="G3686" s="4" t="s">
        <v>2301</v>
      </c>
      <c r="H3686" s="10" t="s">
        <v>2304</v>
      </c>
      <c r="I3686" s="10">
        <v>2000.0</v>
      </c>
      <c r="J3686" s="11" t="str">
        <f>IF(D3686&lt;&gt;"",VLOOKUP(H3686,TABLEITEM,5,FALSE),"")</f>
        <v>EA</v>
      </c>
      <c r="K3686" s="12">
        <v>4.0</v>
      </c>
      <c r="L3686" s="13" t="str">
        <f>IF(D3686&lt;&gt;"",VLOOKUP(H3686,TABLEITEM,2,FALSE),"")</f>
        <v/>
      </c>
      <c r="M3686" s="13" t="str">
        <f>IF(D3686&lt;&gt;"",VLOOKUP(H3686,TABLEITEM,3,FALSE),"")</f>
        <v>บานพับตู้ Knock Down รุ่นพับงอ-ใหม่</v>
      </c>
      <c r="N3686" s="14">
        <f>INSTOCK!$I3686*INSTOCK!$K3686</f>
        <v>8000</v>
      </c>
      <c r="O3686" s="4"/>
      <c r="P3686" s="4"/>
    </row>
    <row r="3687" ht="15.75" hidden="1" customHeight="1">
      <c r="B3687" s="8">
        <v>4006.0</v>
      </c>
      <c r="C3687" s="9">
        <v>43624.0</v>
      </c>
      <c r="D3687" s="6">
        <v>6.2060117E7</v>
      </c>
      <c r="E3687" s="4">
        <v>6.206000866E9</v>
      </c>
      <c r="F3687" s="8" t="s">
        <v>604</v>
      </c>
      <c r="G3687" s="4" t="s">
        <v>1127</v>
      </c>
      <c r="H3687" s="10" t="s">
        <v>4795</v>
      </c>
      <c r="I3687" s="10">
        <v>1.0</v>
      </c>
      <c r="J3687" s="11" t="str">
        <f>IF(D3687&lt;&gt;"",VLOOKUP(H3687,TABLEITEM,5,FALSE),"")</f>
        <v>EA</v>
      </c>
      <c r="K3687" s="12">
        <v>250.0</v>
      </c>
      <c r="L3687" s="13" t="str">
        <f>IF(D3687&lt;&gt;"",VLOOKUP(H3687,TABLEITEM,2,FALSE),"")</f>
        <v/>
      </c>
      <c r="M3687" s="13" t="str">
        <f>IF(D3687&lt;&gt;"",VLOOKUP(H3687,TABLEITEM,3,FALSE),"")</f>
        <v>ถุงมือยางไนโตรสีฟ้า L TG-SOFT</v>
      </c>
      <c r="N3687" s="14">
        <f>INSTOCK!$I3687*INSTOCK!$K3687</f>
        <v>250</v>
      </c>
      <c r="O3687" s="4"/>
      <c r="P3687" s="4"/>
    </row>
    <row r="3688" ht="15.75" hidden="1" customHeight="1">
      <c r="B3688" s="8">
        <v>4007.0</v>
      </c>
      <c r="C3688" s="9">
        <v>43627.0</v>
      </c>
      <c r="D3688" s="6" t="s">
        <v>4796</v>
      </c>
      <c r="E3688" s="4"/>
      <c r="F3688" s="8" t="s">
        <v>604</v>
      </c>
      <c r="G3688" s="4" t="s">
        <v>2450</v>
      </c>
      <c r="H3688" s="10" t="s">
        <v>2451</v>
      </c>
      <c r="I3688" s="10">
        <v>32.0</v>
      </c>
      <c r="J3688" s="11" t="str">
        <f>IF(D3688&lt;&gt;"",VLOOKUP(H3688,TABLEITEM,5,FALSE),"")</f>
        <v>EA</v>
      </c>
      <c r="K3688" s="12">
        <v>180.0</v>
      </c>
      <c r="L3688" s="13" t="str">
        <f>IF(D3688&lt;&gt;"",VLOOKUP(H3688,TABLEITEM,2,FALSE),"")</f>
        <v/>
      </c>
      <c r="M3688" s="13" t="str">
        <f>IF(D3688&lt;&gt;"",VLOOKUP(H3688,TABLEITEM,3,FALSE),"")</f>
        <v>เสื้อโปโล(เสื้อพนักงาน)</v>
      </c>
      <c r="N3688" s="14">
        <f>INSTOCK!$I3688*INSTOCK!$K3688</f>
        <v>5760</v>
      </c>
      <c r="O3688" s="4" t="s">
        <v>4797</v>
      </c>
      <c r="P3688" s="4"/>
    </row>
    <row r="3689" ht="15.75" hidden="1" customHeight="1">
      <c r="B3689" s="8">
        <v>4008.0</v>
      </c>
      <c r="C3689" s="9">
        <v>43627.0</v>
      </c>
      <c r="D3689" s="6" t="s">
        <v>4796</v>
      </c>
      <c r="E3689" s="4"/>
      <c r="F3689" s="8" t="s">
        <v>604</v>
      </c>
      <c r="G3689" s="4" t="s">
        <v>2450</v>
      </c>
      <c r="H3689" s="10" t="s">
        <v>2451</v>
      </c>
      <c r="I3689" s="10">
        <v>6.0</v>
      </c>
      <c r="J3689" s="11" t="str">
        <f>IF(D3689&lt;&gt;"",VLOOKUP(H3689,TABLEITEM,5,FALSE),"")</f>
        <v>EA</v>
      </c>
      <c r="K3689" s="12">
        <v>180.0</v>
      </c>
      <c r="L3689" s="13" t="str">
        <f>IF(D3689&lt;&gt;"",VLOOKUP(H3689,TABLEITEM,2,FALSE),"")</f>
        <v/>
      </c>
      <c r="M3689" s="13" t="str">
        <f>IF(D3689&lt;&gt;"",VLOOKUP(H3689,TABLEITEM,3,FALSE),"")</f>
        <v>เสื้อโปโล(เสื้อพนักงาน)</v>
      </c>
      <c r="N3689" s="14">
        <f>INSTOCK!$I3689*INSTOCK!$K3689</f>
        <v>1080</v>
      </c>
      <c r="O3689" s="4" t="s">
        <v>4798</v>
      </c>
      <c r="P3689" s="4"/>
    </row>
    <row r="3690" ht="15.75" hidden="1" customHeight="1">
      <c r="B3690" s="8">
        <v>4009.0</v>
      </c>
      <c r="C3690" s="9">
        <v>43626.0</v>
      </c>
      <c r="D3690" s="6" t="s">
        <v>4799</v>
      </c>
      <c r="E3690" s="4">
        <v>6.201000097E9</v>
      </c>
      <c r="F3690" s="8" t="s">
        <v>604</v>
      </c>
      <c r="G3690" s="4" t="s">
        <v>1864</v>
      </c>
      <c r="H3690" s="10" t="s">
        <v>1865</v>
      </c>
      <c r="I3690" s="10">
        <v>6.0</v>
      </c>
      <c r="J3690" s="11" t="str">
        <f>IF(D3690&lt;&gt;"",VLOOKUP(H3690,TABLEITEM,5,FALSE),"")</f>
        <v>DRUM</v>
      </c>
      <c r="K3690" s="12">
        <v>9375.0</v>
      </c>
      <c r="L3690" s="13" t="str">
        <f>IF(D3690&lt;&gt;"",VLOOKUP(H3690,TABLEITEM,2,FALSE),"")</f>
        <v/>
      </c>
      <c r="M3690" s="13" t="str">
        <f>IF(D3690&lt;&gt;"",VLOOKUP(H3690,TABLEITEM,3,FALSE),"")</f>
        <v>PU FOAM GLUE A IP67-3 (25KG=8DRUM)</v>
      </c>
      <c r="N3690" s="14">
        <f>INSTOCK!$I3690*INSTOCK!$K3690</f>
        <v>56250</v>
      </c>
      <c r="O3690" s="4"/>
      <c r="P3690" s="4"/>
    </row>
    <row r="3691" ht="15.75" hidden="1" customHeight="1">
      <c r="B3691" s="8">
        <v>4010.0</v>
      </c>
      <c r="C3691" s="9">
        <v>43626.0</v>
      </c>
      <c r="D3691" s="6" t="s">
        <v>4799</v>
      </c>
      <c r="E3691" s="4">
        <v>6.201000097E9</v>
      </c>
      <c r="F3691" s="8" t="s">
        <v>604</v>
      </c>
      <c r="G3691" s="4" t="s">
        <v>1864</v>
      </c>
      <c r="H3691" s="10" t="s">
        <v>1866</v>
      </c>
      <c r="I3691" s="10">
        <v>1.0</v>
      </c>
      <c r="J3691" s="11" t="str">
        <f>IF(D3691&lt;&gt;"",VLOOKUP(H3691,TABLEITEM,5,FALSE),"")</f>
        <v>DRUM</v>
      </c>
      <c r="K3691" s="12">
        <v>9550.0</v>
      </c>
      <c r="L3691" s="13" t="str">
        <f>IF(D3691&lt;&gt;"",VLOOKUP(H3691,TABLEITEM,2,FALSE),"")</f>
        <v/>
      </c>
      <c r="M3691" s="13" t="str">
        <f>IF(D3691&lt;&gt;"",VLOOKUP(H3691,TABLEITEM,3,FALSE),"")</f>
        <v>PU FOAM GLUE B IP67-3 (25KG=2DRUM)</v>
      </c>
      <c r="N3691" s="14">
        <f>INSTOCK!$I3691*INSTOCK!$K3691</f>
        <v>9550</v>
      </c>
      <c r="O3691" s="4"/>
      <c r="P3691" s="4"/>
    </row>
    <row r="3692" ht="15.75" hidden="1" customHeight="1">
      <c r="B3692" s="8">
        <v>4011.0</v>
      </c>
      <c r="C3692" s="9">
        <v>43626.0</v>
      </c>
      <c r="D3692" s="6" t="s">
        <v>4799</v>
      </c>
      <c r="E3692" s="4">
        <v>6.201000097E9</v>
      </c>
      <c r="F3692" s="8" t="s">
        <v>604</v>
      </c>
      <c r="G3692" s="4" t="s">
        <v>1864</v>
      </c>
      <c r="H3692" s="10" t="s">
        <v>1867</v>
      </c>
      <c r="I3692" s="10">
        <v>1.0</v>
      </c>
      <c r="J3692" s="11" t="str">
        <f>IF(D3692&lt;&gt;"",VLOOKUP(H3692,TABLEITEM,5,FALSE),"")</f>
        <v>LOT</v>
      </c>
      <c r="K3692" s="12">
        <v>3400.0</v>
      </c>
      <c r="L3692" s="13" t="str">
        <f>IF(D3692&lt;&gt;"",VLOOKUP(H3692,TABLEITEM,2,FALSE),"")</f>
        <v/>
      </c>
      <c r="M3692" s="13" t="str">
        <f>IF(D3692&lt;&gt;"",VLOOKUP(H3692,TABLEITEM,3,FALSE),"")</f>
        <v>WOOD PACKING</v>
      </c>
      <c r="N3692" s="14">
        <f>INSTOCK!$I3692*INSTOCK!$K3692</f>
        <v>3400</v>
      </c>
      <c r="O3692" s="4"/>
      <c r="P3692" s="4"/>
    </row>
    <row r="3693" ht="15.75" hidden="1" customHeight="1">
      <c r="B3693" s="8">
        <v>4012.0</v>
      </c>
      <c r="C3693" s="9">
        <v>43626.0</v>
      </c>
      <c r="D3693" s="6" t="s">
        <v>4799</v>
      </c>
      <c r="E3693" s="4">
        <v>6.201000097E9</v>
      </c>
      <c r="F3693" s="8" t="s">
        <v>604</v>
      </c>
      <c r="G3693" s="4" t="s">
        <v>1864</v>
      </c>
      <c r="H3693" s="10" t="s">
        <v>1868</v>
      </c>
      <c r="I3693" s="10">
        <v>1.0</v>
      </c>
      <c r="J3693" s="11" t="str">
        <f>IF(D3693&lt;&gt;"",VLOOKUP(H3693,TABLEITEM,5,FALSE),"")</f>
        <v>LOT</v>
      </c>
      <c r="K3693" s="12">
        <v>25000.0</v>
      </c>
      <c r="L3693" s="13" t="str">
        <f>IF(D3693&lt;&gt;"",VLOOKUP(H3693,TABLEITEM,2,FALSE),"")</f>
        <v/>
      </c>
      <c r="M3693" s="13" t="str">
        <f>IF(D3693&lt;&gt;"",VLOOKUP(H3693,TABLEITEM,3,FALSE),"")</f>
        <v>SHIPPING CHARGHE FROM KLANG PORT TO BKK</v>
      </c>
      <c r="N3693" s="14">
        <f>INSTOCK!$I3693*INSTOCK!$K3693</f>
        <v>25000</v>
      </c>
      <c r="O3693" s="4"/>
      <c r="P3693" s="4"/>
    </row>
    <row r="3694" ht="15.75" hidden="1" customHeight="1">
      <c r="B3694" s="8">
        <v>4013.0</v>
      </c>
      <c r="C3694" s="9">
        <v>43311.0</v>
      </c>
      <c r="D3694" s="6" t="s">
        <v>4800</v>
      </c>
      <c r="E3694" s="4"/>
      <c r="F3694" s="8"/>
      <c r="G3694" s="4" t="s">
        <v>3327</v>
      </c>
      <c r="H3694" s="10" t="s">
        <v>4801</v>
      </c>
      <c r="I3694" s="10">
        <v>2.0</v>
      </c>
      <c r="J3694" s="11" t="str">
        <f>IF(D3694&lt;&gt;"",VLOOKUP(H3694,TABLEITEM,5,FALSE),"")</f>
        <v>EA</v>
      </c>
      <c r="K3694" s="12">
        <v>214.95</v>
      </c>
      <c r="L3694" s="13" t="str">
        <f>IF(D3694&lt;&gt;"",VLOOKUP(H3694,TABLEITEM,2,FALSE),"")</f>
        <v/>
      </c>
      <c r="M3694" s="13" t="str">
        <f>IF(D3694&lt;&gt;"",VLOOKUP(H3694,TABLEITEM,3,FALSE),"")</f>
        <v>ใบพัดลม 22" (A14) PP+CA สีเทา DGR15-4503</v>
      </c>
      <c r="N3694" s="14">
        <f>INSTOCK!$I3694*INSTOCK!$K3694</f>
        <v>429.9</v>
      </c>
      <c r="O3694" s="4"/>
      <c r="P3694" s="4"/>
    </row>
    <row r="3695" ht="15.75" hidden="1" customHeight="1">
      <c r="B3695" s="8">
        <v>4014.0</v>
      </c>
      <c r="C3695" s="9">
        <v>43306.0</v>
      </c>
      <c r="D3695" s="6" t="s">
        <v>4802</v>
      </c>
      <c r="E3695" s="4"/>
      <c r="F3695" s="8"/>
      <c r="G3695" s="4" t="s">
        <v>2980</v>
      </c>
      <c r="H3695" s="10" t="s">
        <v>4803</v>
      </c>
      <c r="I3695" s="10">
        <v>1.0</v>
      </c>
      <c r="J3695" s="11" t="str">
        <f>IF(D3695&lt;&gt;"",VLOOKUP(H3695,TABLEITEM,5,FALSE),"")</f>
        <v>EA</v>
      </c>
      <c r="K3695" s="12">
        <v>500.0</v>
      </c>
      <c r="L3695" s="13" t="str">
        <f>IF(D3695&lt;&gt;"",VLOOKUP(H3695,TABLEITEM,2,FALSE),"")</f>
        <v/>
      </c>
      <c r="M3695" s="13" t="str">
        <f>IF(D3695&lt;&gt;"",VLOOKUP(H3695,TABLEITEM,3,FALSE),"")</f>
        <v>PRESSURESWITCH</v>
      </c>
      <c r="N3695" s="14">
        <f>INSTOCK!$I3695*INSTOCK!$K3695</f>
        <v>500</v>
      </c>
      <c r="O3695" s="4"/>
      <c r="P3695" s="4"/>
    </row>
    <row r="3696" ht="15.75" hidden="1" customHeight="1">
      <c r="B3696" s="8">
        <v>4015.0</v>
      </c>
      <c r="C3696" s="9">
        <v>43306.0</v>
      </c>
      <c r="D3696" s="6">
        <v>6103204.0</v>
      </c>
      <c r="E3696" s="4">
        <v>6.107000845E9</v>
      </c>
      <c r="F3696" s="8"/>
      <c r="G3696" s="4" t="s">
        <v>4804</v>
      </c>
      <c r="H3696" s="10" t="s">
        <v>4805</v>
      </c>
      <c r="I3696" s="10">
        <v>1.0</v>
      </c>
      <c r="J3696" s="11" t="str">
        <f>IF(D3696&lt;&gt;"",VLOOKUP(H3696,TABLEITEM,5,FALSE),"")</f>
        <v>EA</v>
      </c>
      <c r="K3696" s="12">
        <v>2200.0</v>
      </c>
      <c r="L3696" s="13" t="str">
        <f>IF(D3696&lt;&gt;"",VLOOKUP(H3696,TABLEITEM,2,FALSE),"")</f>
        <v/>
      </c>
      <c r="M3696" s="13" t="str">
        <f>IF(D3696&lt;&gt;"",VLOOKUP(H3696,TABLEITEM,3,FALSE),"")</f>
        <v>AIR FILTER MODLE GFN100/1 SIZE(W)1M*(L)20M(T)5MM</v>
      </c>
      <c r="N3696" s="14">
        <f>INSTOCK!$I3696*INSTOCK!$K3696</f>
        <v>2200</v>
      </c>
      <c r="O3696" s="4"/>
      <c r="P3696" s="4"/>
    </row>
    <row r="3697" ht="15.75" hidden="1" customHeight="1">
      <c r="B3697" s="8">
        <v>4016.0</v>
      </c>
      <c r="C3697" s="9">
        <v>43305.0</v>
      </c>
      <c r="D3697" s="6" t="s">
        <v>4806</v>
      </c>
      <c r="E3697" s="4"/>
      <c r="F3697" s="8" t="s">
        <v>604</v>
      </c>
      <c r="G3697" s="4" t="s">
        <v>1946</v>
      </c>
      <c r="H3697" s="10" t="s">
        <v>1947</v>
      </c>
      <c r="I3697" s="10">
        <v>95.0</v>
      </c>
      <c r="J3697" s="11" t="str">
        <f>IF(D3697&lt;&gt;"",VLOOKUP(H3697,TABLEITEM,5,FALSE),"")</f>
        <v>KG.</v>
      </c>
      <c r="K3697" s="12">
        <v>18.0</v>
      </c>
      <c r="L3697" s="13" t="str">
        <f>IF(D3697&lt;&gt;"",VLOOKUP(H3697,TABLEITEM,2,FALSE),"")</f>
        <v/>
      </c>
      <c r="M3697" s="13" t="str">
        <f>IF(D3697&lt;&gt;"",VLOOKUP(H3697,TABLEITEM,3,FALSE),"")</f>
        <v>กระดาษลูกฟูก 48"เกรด A</v>
      </c>
      <c r="N3697" s="14">
        <f>INSTOCK!$I3697*INSTOCK!$K3697</f>
        <v>1710</v>
      </c>
      <c r="O3697" s="4"/>
      <c r="P3697" s="4"/>
    </row>
    <row r="3698" ht="15.75" hidden="1" customHeight="1">
      <c r="B3698" s="8">
        <v>4017.0</v>
      </c>
      <c r="C3698" s="9">
        <v>43304.0</v>
      </c>
      <c r="D3698" s="6" t="s">
        <v>4807</v>
      </c>
      <c r="E3698" s="4"/>
      <c r="F3698" s="8"/>
      <c r="G3698" s="4" t="s">
        <v>4808</v>
      </c>
      <c r="H3698" s="10" t="s">
        <v>4809</v>
      </c>
      <c r="I3698" s="10">
        <v>1.0</v>
      </c>
      <c r="J3698" s="11" t="str">
        <f>IF(D3698&lt;&gt;"",VLOOKUP(H3698,TABLEITEM,5,FALSE),"")</f>
        <v>EA</v>
      </c>
      <c r="K3698" s="12">
        <v>3000.0</v>
      </c>
      <c r="L3698" s="13" t="str">
        <f>IF(D3698&lt;&gt;"",VLOOKUP(H3698,TABLEITEM,2,FALSE),"")</f>
        <v/>
      </c>
      <c r="M3698" s="13" t="str">
        <f>IF(D3698&lt;&gt;"",VLOOKUP(H3698,TABLEITEM,3,FALSE),"")</f>
        <v>UPGRADE CD ORGANIZER FOR WINDOWS 7.8.10(LAN) 64BIT</v>
      </c>
      <c r="N3698" s="14">
        <f>INSTOCK!$I3698*INSTOCK!$K3698</f>
        <v>3000</v>
      </c>
      <c r="O3698" s="4"/>
      <c r="P3698" s="4"/>
    </row>
    <row r="3699" ht="15.75" hidden="1" customHeight="1">
      <c r="B3699" s="8">
        <v>4018.0</v>
      </c>
      <c r="C3699" s="9">
        <v>43304.0</v>
      </c>
      <c r="D3699" s="6">
        <v>4.18064683E8</v>
      </c>
      <c r="E3699" s="4">
        <v>6.107000877E9</v>
      </c>
      <c r="F3699" s="8" t="s">
        <v>604</v>
      </c>
      <c r="G3699" s="4" t="s">
        <v>1274</v>
      </c>
      <c r="H3699" s="10" t="s">
        <v>21</v>
      </c>
      <c r="I3699" s="10">
        <v>400.0</v>
      </c>
      <c r="J3699" s="11" t="str">
        <f>IF(D3699&lt;&gt;"",VLOOKUP(H3699,TABLEITEM,5,FALSE),"")</f>
        <v>EA</v>
      </c>
      <c r="K3699" s="12">
        <v>45.0</v>
      </c>
      <c r="L3699" s="13" t="str">
        <f>IF(D3699&lt;&gt;"",VLOOKUP(H3699,TABLEITEM,2,FALSE),"")</f>
        <v/>
      </c>
      <c r="M3699" s="13" t="str">
        <f>IF(D3699&lt;&gt;"",VLOOKUP(H3699,TABLEITEM,3,FALSE),"")</f>
        <v>ใบหินเจียร์ 4'' </v>
      </c>
      <c r="N3699" s="14">
        <f>INSTOCK!$I3699*INSTOCK!$K3699</f>
        <v>18000</v>
      </c>
      <c r="O3699" s="4"/>
      <c r="P3699" s="4"/>
    </row>
    <row r="3700" ht="15.75" hidden="1" customHeight="1">
      <c r="B3700" s="8">
        <v>4019.0</v>
      </c>
      <c r="C3700" s="9">
        <v>43304.0</v>
      </c>
      <c r="D3700" s="6">
        <v>4.18064683E8</v>
      </c>
      <c r="E3700" s="4">
        <v>6.107000877E9</v>
      </c>
      <c r="F3700" s="8" t="s">
        <v>604</v>
      </c>
      <c r="G3700" s="4" t="s">
        <v>1274</v>
      </c>
      <c r="H3700" s="10" t="s">
        <v>2555</v>
      </c>
      <c r="I3700" s="10">
        <v>4.0</v>
      </c>
      <c r="J3700" s="11" t="str">
        <f>IF(D3700&lt;&gt;"",VLOOKUP(H3700,TABLEITEM,5,FALSE),"")</f>
        <v>EA</v>
      </c>
      <c r="K3700" s="12">
        <v>700.0</v>
      </c>
      <c r="L3700" s="13" t="str">
        <f>IF(D3700&lt;&gt;"",VLOOKUP(H3700,TABLEITEM,2,FALSE),"")</f>
        <v/>
      </c>
      <c r="M3700" s="13" t="str">
        <f>IF(D3700&lt;&gt;"",VLOOKUP(H3700,TABLEITEM,3,FALSE),"")</f>
        <v>สก๊อตไบร์ MULTI-FLEX ขนาด 8x20 สีเทา (60แผ่น/ม้วน)</v>
      </c>
      <c r="N3700" s="14">
        <f>INSTOCK!$I3700*INSTOCK!$K3700</f>
        <v>2800</v>
      </c>
      <c r="O3700" s="4"/>
      <c r="P3700" s="4"/>
    </row>
    <row r="3701" ht="15.75" hidden="1" customHeight="1">
      <c r="B3701" s="8">
        <v>4020.0</v>
      </c>
      <c r="C3701" s="9">
        <v>43304.0</v>
      </c>
      <c r="D3701" s="6" t="s">
        <v>4810</v>
      </c>
      <c r="E3701" s="4">
        <v>6.107000834E9</v>
      </c>
      <c r="F3701" s="8"/>
      <c r="G3701" s="4" t="s">
        <v>4811</v>
      </c>
      <c r="H3701" s="10" t="s">
        <v>4812</v>
      </c>
      <c r="I3701" s="10">
        <v>1.0</v>
      </c>
      <c r="J3701" s="11" t="str">
        <f>IF(D3701&lt;&gt;"",VLOOKUP(H3701,TABLEITEM,5,FALSE),"")</f>
        <v>EA</v>
      </c>
      <c r="K3701" s="12">
        <v>6500.0</v>
      </c>
      <c r="L3701" s="13" t="str">
        <f>IF(D3701&lt;&gt;"",VLOOKUP(H3701,TABLEITEM,2,FALSE),"")</f>
        <v/>
      </c>
      <c r="M3701" s="13" t="str">
        <f>IF(D3701&lt;&gt;"",VLOOKUP(H3701,TABLEITEM,3,FALSE),"")</f>
        <v>DIE FOR CLUSTER TOOL (C) RO 5.4 แบบ 4รู</v>
      </c>
      <c r="N3701" s="14">
        <f>INSTOCK!$I3701*INSTOCK!$K3701</f>
        <v>6500</v>
      </c>
      <c r="O3701" s="4"/>
      <c r="P3701" s="4"/>
    </row>
    <row r="3702" ht="15.75" hidden="1" customHeight="1">
      <c r="B3702" s="8">
        <v>4021.0</v>
      </c>
      <c r="C3702" s="9">
        <v>43304.0</v>
      </c>
      <c r="D3702" s="6" t="s">
        <v>4810</v>
      </c>
      <c r="E3702" s="4">
        <v>6.107000834E9</v>
      </c>
      <c r="F3702" s="8"/>
      <c r="G3702" s="4" t="s">
        <v>4811</v>
      </c>
      <c r="H3702" s="10" t="s">
        <v>4813</v>
      </c>
      <c r="I3702" s="10">
        <v>8.0</v>
      </c>
      <c r="J3702" s="11" t="str">
        <f>IF(D3702&lt;&gt;"",VLOOKUP(H3702,TABLEITEM,5,FALSE),"")</f>
        <v>EA</v>
      </c>
      <c r="K3702" s="12">
        <v>1000.0</v>
      </c>
      <c r="L3702" s="13" t="str">
        <f>IF(D3702&lt;&gt;"",VLOOKUP(H3702,TABLEITEM,2,FALSE),"")</f>
        <v/>
      </c>
      <c r="M3702" s="13" t="str">
        <f>IF(D3702&lt;&gt;"",VLOOKUP(H3702,TABLEITEM,3,FALSE),"")</f>
        <v>INSERT PUNCH </v>
      </c>
      <c r="N3702" s="14">
        <f>INSTOCK!$I3702*INSTOCK!$K3702</f>
        <v>8000</v>
      </c>
      <c r="O3702" s="4"/>
      <c r="P3702" s="4"/>
    </row>
    <row r="3703" ht="15.75" hidden="1" customHeight="1">
      <c r="B3703" s="8">
        <v>4022.0</v>
      </c>
      <c r="C3703" s="9">
        <v>43302.0</v>
      </c>
      <c r="D3703" s="6" t="s">
        <v>4814</v>
      </c>
      <c r="E3703" s="4">
        <v>6.107000874E9</v>
      </c>
      <c r="F3703" s="8" t="s">
        <v>604</v>
      </c>
      <c r="G3703" s="4" t="s">
        <v>1946</v>
      </c>
      <c r="H3703" s="10" t="s">
        <v>4815</v>
      </c>
      <c r="I3703" s="10">
        <v>33.0</v>
      </c>
      <c r="J3703" s="11" t="str">
        <f>IF(D3703&lt;&gt;"",VLOOKUP(H3703,TABLEITEM,5,FALSE),"")</f>
        <v>KG.</v>
      </c>
      <c r="K3703" s="12">
        <v>12.0</v>
      </c>
      <c r="L3703" s="13" t="str">
        <f>IF(D3703&lt;&gt;"",VLOOKUP(H3703,TABLEITEM,2,FALSE),"")</f>
        <v/>
      </c>
      <c r="M3703" s="13" t="str">
        <f>IF(D3703&lt;&gt;"",VLOOKUP(H3703,TABLEITEM,3,FALSE),"")</f>
        <v>กระดาษลูกฟูก เกรด B</v>
      </c>
      <c r="N3703" s="14">
        <f>INSTOCK!$I3703*INSTOCK!$K3703</f>
        <v>396</v>
      </c>
      <c r="O3703" s="4"/>
      <c r="P3703" s="4"/>
    </row>
    <row r="3704" ht="15.75" hidden="1" customHeight="1">
      <c r="B3704" s="8">
        <v>4023.0</v>
      </c>
      <c r="C3704" s="9">
        <v>43301.0</v>
      </c>
      <c r="D3704" s="6" t="s">
        <v>4816</v>
      </c>
      <c r="E3704" s="4">
        <v>6.107000872E9</v>
      </c>
      <c r="F3704" s="8" t="s">
        <v>604</v>
      </c>
      <c r="G3704" s="4" t="s">
        <v>1671</v>
      </c>
      <c r="H3704" s="10" t="s">
        <v>1672</v>
      </c>
      <c r="I3704" s="10">
        <v>20.0</v>
      </c>
      <c r="J3704" s="11" t="str">
        <f>IF(D3704&lt;&gt;"",VLOOKUP(H3704,TABLEITEM,5,FALSE),"")</f>
        <v>SET</v>
      </c>
      <c r="K3704" s="12">
        <v>150.0</v>
      </c>
      <c r="L3704" s="13" t="str">
        <f>IF(D3704&lt;&gt;"",VLOOKUP(H3704,TABLEITEM,2,FALSE),"")</f>
        <v/>
      </c>
      <c r="M3704" s="13" t="str">
        <f>IF(D3704&lt;&gt;"",VLOOKUP(H3704,TABLEITEM,3,FALSE),"")</f>
        <v>แปรงถ่าน BOSCH GWS 7-100</v>
      </c>
      <c r="N3704" s="14">
        <f>INSTOCK!$I3704*INSTOCK!$K3704</f>
        <v>3000</v>
      </c>
      <c r="O3704" s="4"/>
      <c r="P3704" s="4"/>
    </row>
    <row r="3705" ht="15.75" hidden="1" customHeight="1">
      <c r="B3705" s="8">
        <v>4024.0</v>
      </c>
      <c r="C3705" s="9">
        <v>43301.0</v>
      </c>
      <c r="D3705" s="6">
        <v>2.01807005E10</v>
      </c>
      <c r="E3705" s="4">
        <v>6.107000817E9</v>
      </c>
      <c r="F3705" s="8"/>
      <c r="G3705" s="4" t="s">
        <v>2460</v>
      </c>
      <c r="H3705" s="10" t="s">
        <v>4817</v>
      </c>
      <c r="I3705" s="10">
        <v>4.0</v>
      </c>
      <c r="J3705" s="11" t="str">
        <f>IF(D3705&lt;&gt;"",VLOOKUP(H3705,TABLEITEM,5,FALSE),"")</f>
        <v>EA</v>
      </c>
      <c r="K3705" s="12">
        <v>300.0</v>
      </c>
      <c r="L3705" s="13" t="str">
        <f>IF(D3705&lt;&gt;"",VLOOKUP(H3705,TABLEITEM,2,FALSE),"")</f>
        <v/>
      </c>
      <c r="M3705" s="13" t="str">
        <f>IF(D3705&lt;&gt;"",VLOOKUP(H3705,TABLEITEM,3,FALSE),"")</f>
        <v>PART NO.19 OF 3 1/2" (D) UPWARD LOUVER TOOL NO5517967001 CODE YDB001 SH 50 SK 03</v>
      </c>
      <c r="N3705" s="14">
        <f>INSTOCK!$I3705*INSTOCK!$K3705</f>
        <v>1200</v>
      </c>
      <c r="O3705" s="4"/>
      <c r="P3705" s="4"/>
    </row>
    <row r="3706" ht="15.75" hidden="1" customHeight="1">
      <c r="B3706" s="8">
        <v>4025.0</v>
      </c>
      <c r="C3706" s="9">
        <v>43300.0</v>
      </c>
      <c r="D3706" s="6">
        <v>2.018070046E10</v>
      </c>
      <c r="E3706" s="4">
        <v>6.107000865E9</v>
      </c>
      <c r="F3706" s="8"/>
      <c r="G3706" s="4" t="s">
        <v>2460</v>
      </c>
      <c r="H3706" s="10" t="s">
        <v>3209</v>
      </c>
      <c r="I3706" s="10">
        <v>1.0</v>
      </c>
      <c r="J3706" s="11" t="str">
        <f>IF(D3706&lt;&gt;"",VLOOKUP(H3706,TABLEITEM,5,FALSE),"")</f>
        <v>LOT</v>
      </c>
      <c r="K3706" s="12">
        <v>2500.0</v>
      </c>
      <c r="L3706" s="13" t="str">
        <f>IF(D3706&lt;&gt;"",VLOOKUP(H3706,TABLEITEM,2,FALSE),"")</f>
        <v/>
      </c>
      <c r="M3706" s="13" t="str">
        <f>IF(D3706&lt;&gt;"",VLOOKUP(H3706,TABLEITEM,3,FALSE),"")</f>
        <v>SERVICE-CHARGE(PROMOTION)-SERVICE1</v>
      </c>
      <c r="N3706" s="14">
        <f>INSTOCK!$I3706*INSTOCK!$K3706</f>
        <v>2500</v>
      </c>
      <c r="O3706" s="4"/>
      <c r="P3706" s="4"/>
    </row>
    <row r="3707" ht="15.75" hidden="1" customHeight="1">
      <c r="B3707" s="8">
        <v>4026.0</v>
      </c>
      <c r="C3707" s="9">
        <v>43300.0</v>
      </c>
      <c r="D3707" s="6">
        <v>2.018070046E10</v>
      </c>
      <c r="E3707" s="4">
        <v>6.107000865E9</v>
      </c>
      <c r="F3707" s="8"/>
      <c r="G3707" s="4" t="s">
        <v>2460</v>
      </c>
      <c r="H3707" s="10" t="s">
        <v>3210</v>
      </c>
      <c r="I3707" s="10">
        <v>1.0</v>
      </c>
      <c r="J3707" s="11" t="str">
        <f>IF(D3707&lt;&gt;"",VLOOKUP(H3707,TABLEITEM,5,FALSE),"")</f>
        <v>LOT</v>
      </c>
      <c r="K3707" s="12">
        <v>800.0</v>
      </c>
      <c r="L3707" s="13" t="str">
        <f>IF(D3707&lt;&gt;"",VLOOKUP(H3707,TABLEITEM,2,FALSE),"")</f>
        <v/>
      </c>
      <c r="M3707" s="13" t="str">
        <f>IF(D3707&lt;&gt;"",VLOOKUP(H3707,TABLEITEM,3,FALSE),"")</f>
        <v>TRAVEL CHARGE (PROMOTION) -TRAVEL1</v>
      </c>
      <c r="N3707" s="14">
        <f>INSTOCK!$I3707*INSTOCK!$K3707</f>
        <v>800</v>
      </c>
      <c r="O3707" s="4"/>
      <c r="P3707" s="4"/>
    </row>
    <row r="3708" ht="15.75" hidden="1" customHeight="1">
      <c r="B3708" s="8">
        <v>4027.0</v>
      </c>
      <c r="C3708" s="9">
        <v>43300.0</v>
      </c>
      <c r="D3708" s="6" t="s">
        <v>4818</v>
      </c>
      <c r="E3708" s="4">
        <v>6.107000841E9</v>
      </c>
      <c r="F3708" s="8" t="s">
        <v>604</v>
      </c>
      <c r="G3708" s="4" t="s">
        <v>4220</v>
      </c>
      <c r="H3708" s="10" t="s">
        <v>4819</v>
      </c>
      <c r="I3708" s="10">
        <v>10000.0</v>
      </c>
      <c r="J3708" s="11" t="str">
        <f>IF(D3708&lt;&gt;"",VLOOKUP(H3708,TABLEITEM,5,FALSE),"")</f>
        <v>EA</v>
      </c>
      <c r="K3708" s="12">
        <v>0.5</v>
      </c>
      <c r="L3708" s="13" t="str">
        <f>IF(D3708&lt;&gt;"",VLOOKUP(H3708,TABLEITEM,2,FALSE),"")</f>
        <v/>
      </c>
      <c r="M3708" s="13" t="str">
        <f>IF(D3708&lt;&gt;"",VLOOKUP(H3708,TABLEITEM,3,FALSE),"")</f>
        <v>สติ๊กเกอร์ CLOSE-OPEN</v>
      </c>
      <c r="N3708" s="14">
        <f>INSTOCK!$I3708*INSTOCK!$K3708</f>
        <v>5000</v>
      </c>
      <c r="O3708" s="4"/>
      <c r="P3708" s="4"/>
    </row>
    <row r="3709" ht="15.75" hidden="1" customHeight="1">
      <c r="B3709" s="8">
        <v>4028.0</v>
      </c>
      <c r="C3709" s="9">
        <v>43299.0</v>
      </c>
      <c r="D3709" s="6" t="s">
        <v>4820</v>
      </c>
      <c r="E3709" s="4" t="s">
        <v>4821</v>
      </c>
      <c r="F3709" s="8" t="s">
        <v>604</v>
      </c>
      <c r="G3709" s="4" t="s">
        <v>1777</v>
      </c>
      <c r="H3709" s="10" t="s">
        <v>3997</v>
      </c>
      <c r="I3709" s="10">
        <v>10000.0</v>
      </c>
      <c r="J3709" s="11" t="str">
        <f>IF(D3709&lt;&gt;"",VLOOKUP(H3709,TABLEITEM,5,FALSE),"")</f>
        <v>EA</v>
      </c>
      <c r="K3709" s="12">
        <v>0.99</v>
      </c>
      <c r="L3709" s="13" t="str">
        <f>IF(D3709&lt;&gt;"",VLOOKUP(H3709,TABLEITEM,2,FALSE),"")</f>
        <v/>
      </c>
      <c r="M3709" s="13" t="str">
        <f>IF(D3709&lt;&gt;"",VLOOKUP(H3709,TABLEITEM,3,FALSE),"")</f>
        <v>สกรูหัวติดแหวน M 6x10</v>
      </c>
      <c r="N3709" s="14">
        <f>INSTOCK!$I3709*INSTOCK!$K3709</f>
        <v>9900</v>
      </c>
      <c r="O3709" s="4" t="s">
        <v>1857</v>
      </c>
      <c r="P3709" s="4"/>
    </row>
    <row r="3710" ht="15.75" hidden="1" customHeight="1">
      <c r="B3710" s="8">
        <v>4029.0</v>
      </c>
      <c r="C3710" s="9">
        <v>43298.0</v>
      </c>
      <c r="D3710" s="6" t="s">
        <v>4822</v>
      </c>
      <c r="E3710" s="4">
        <v>6.106000781E9</v>
      </c>
      <c r="F3710" s="8" t="s">
        <v>604</v>
      </c>
      <c r="G3710" s="4" t="s">
        <v>3099</v>
      </c>
      <c r="H3710" s="10" t="s">
        <v>4823</v>
      </c>
      <c r="I3710" s="10">
        <v>1000.0</v>
      </c>
      <c r="J3710" s="11" t="str">
        <f>IF(D3710&lt;&gt;"",VLOOKUP(H3710,TABLEITEM,5,FALSE),"")</f>
        <v>EA</v>
      </c>
      <c r="K3710" s="12">
        <v>8.9</v>
      </c>
      <c r="L3710" s="13" t="str">
        <f>IF(D3710&lt;&gt;"",VLOOKUP(H3710,TABLEITEM,2,FALSE),"")</f>
        <v/>
      </c>
      <c r="M3710" s="13" t="str">
        <f>IF(D3710&lt;&gt;"",VLOOKUP(H3710,TABLEITEM,3,FALSE),"")</f>
        <v>บานพับตู้ Panel</v>
      </c>
      <c r="N3710" s="14">
        <f>INSTOCK!$I3710*INSTOCK!$K3710</f>
        <v>8900</v>
      </c>
      <c r="O3710" s="4"/>
      <c r="P3710" s="4"/>
    </row>
    <row r="3711" ht="15.75" hidden="1" customHeight="1">
      <c r="B3711" s="8">
        <v>4030.0</v>
      </c>
      <c r="C3711" s="9">
        <v>43298.0</v>
      </c>
      <c r="D3711" s="6" t="s">
        <v>4824</v>
      </c>
      <c r="E3711" s="4">
        <v>6.106000756E9</v>
      </c>
      <c r="F3711" s="8" t="s">
        <v>604</v>
      </c>
      <c r="G3711" s="4" t="s">
        <v>3099</v>
      </c>
      <c r="H3711" s="10" t="s">
        <v>4543</v>
      </c>
      <c r="I3711" s="10">
        <v>1914.0</v>
      </c>
      <c r="J3711" s="11" t="str">
        <f>IF(D3711&lt;&gt;"",VLOOKUP(H3711,TABLEITEM,5,FALSE),"")</f>
        <v>EA</v>
      </c>
      <c r="K3711" s="12">
        <v>7.79</v>
      </c>
      <c r="L3711" s="13" t="str">
        <f>IF(D3711&lt;&gt;"",VLOOKUP(H3711,TABLEITEM,2,FALSE),"")</f>
        <v/>
      </c>
      <c r="M3711" s="13" t="str">
        <f>IF(D3711&lt;&gt;"",VLOOKUP(H3711,TABLEITEM,3,FALSE),"")</f>
        <v>บานพับตู้ Knock Down รุ่นไม่พับงอ</v>
      </c>
      <c r="N3711" s="14">
        <f>INSTOCK!$I3711*INSTOCK!$K3711</f>
        <v>14910.06</v>
      </c>
      <c r="O3711" s="4"/>
      <c r="P3711" s="4"/>
    </row>
    <row r="3712" ht="15.75" hidden="1" customHeight="1">
      <c r="B3712" s="8">
        <v>4031.0</v>
      </c>
      <c r="C3712" s="9">
        <v>43298.0</v>
      </c>
      <c r="D3712" s="6" t="s">
        <v>4825</v>
      </c>
      <c r="E3712" s="4">
        <v>6.107000864E9</v>
      </c>
      <c r="F3712" s="8" t="s">
        <v>604</v>
      </c>
      <c r="G3712" s="4" t="s">
        <v>1870</v>
      </c>
      <c r="H3712" s="10" t="s">
        <v>4826</v>
      </c>
      <c r="I3712" s="10">
        <v>2000.0</v>
      </c>
      <c r="J3712" s="11" t="str">
        <f>IF(D3712&lt;&gt;"",VLOOKUP(H3712,TABLEITEM,5,FALSE),"")</f>
        <v>EA</v>
      </c>
      <c r="K3712" s="12">
        <v>0.352</v>
      </c>
      <c r="L3712" s="13" t="str">
        <f>IF(D3712&lt;&gt;"",VLOOKUP(H3712,TABLEITEM,2,FALSE),"")</f>
        <v/>
      </c>
      <c r="M3712" s="13" t="str">
        <f>IF(D3712&lt;&gt;"",VLOOKUP(H3712,TABLEITEM,3,FALSE),"")</f>
        <v>สกรูสแตนเลสหัวร่ม M4x10</v>
      </c>
      <c r="N3712" s="14">
        <f>INSTOCK!$I3712*INSTOCK!$K3712</f>
        <v>704</v>
      </c>
      <c r="O3712" s="4" t="s">
        <v>4827</v>
      </c>
      <c r="P3712" s="4"/>
    </row>
    <row r="3713" ht="15.75" hidden="1" customHeight="1">
      <c r="B3713" s="8">
        <v>4032.0</v>
      </c>
      <c r="C3713" s="9">
        <v>43298.0</v>
      </c>
      <c r="D3713" s="6" t="s">
        <v>4825</v>
      </c>
      <c r="E3713" s="4">
        <v>6.107000864E9</v>
      </c>
      <c r="F3713" s="8" t="s">
        <v>604</v>
      </c>
      <c r="G3713" s="4" t="s">
        <v>1870</v>
      </c>
      <c r="H3713" s="10" t="s">
        <v>4828</v>
      </c>
      <c r="I3713" s="10">
        <v>1000.0</v>
      </c>
      <c r="J3713" s="11" t="str">
        <f>IF(D3713&lt;&gt;"",VLOOKUP(H3713,TABLEITEM,5,FALSE),"")</f>
        <v>EA</v>
      </c>
      <c r="K3713" s="12">
        <v>0.64</v>
      </c>
      <c r="L3713" s="13" t="str">
        <f>IF(D3713&lt;&gt;"",VLOOKUP(H3713,TABLEITEM,2,FALSE),"")</f>
        <v/>
      </c>
      <c r="M3713" s="13" t="str">
        <f>IF(D3713&lt;&gt;"",VLOOKUP(H3713,TABLEITEM,3,FALSE),"")</f>
        <v>สกรูสแตนเลสหัวร่ม M5x10</v>
      </c>
      <c r="N3713" s="14">
        <f>INSTOCK!$I3713*INSTOCK!$K3713</f>
        <v>640</v>
      </c>
      <c r="O3713" s="4" t="s">
        <v>4829</v>
      </c>
      <c r="P3713" s="4"/>
    </row>
    <row r="3714" ht="15.75" hidden="1" customHeight="1">
      <c r="B3714" s="8">
        <v>4033.0</v>
      </c>
      <c r="C3714" s="9">
        <v>43298.0</v>
      </c>
      <c r="D3714" s="6" t="s">
        <v>4825</v>
      </c>
      <c r="E3714" s="4">
        <v>6.107000864E9</v>
      </c>
      <c r="F3714" s="8" t="s">
        <v>604</v>
      </c>
      <c r="G3714" s="4" t="s">
        <v>1870</v>
      </c>
      <c r="H3714" s="10" t="s">
        <v>4137</v>
      </c>
      <c r="I3714" s="10">
        <v>500.0</v>
      </c>
      <c r="J3714" s="11" t="str">
        <f>IF(D3714&lt;&gt;"",VLOOKUP(H3714,TABLEITEM,5,FALSE),"")</f>
        <v>EA</v>
      </c>
      <c r="K3714" s="12">
        <v>1.6275</v>
      </c>
      <c r="L3714" s="13" t="str">
        <f>IF(D3714&lt;&gt;"",VLOOKUP(H3714,TABLEITEM,2,FALSE),"")</f>
        <v/>
      </c>
      <c r="M3714" s="13" t="str">
        <f>IF(D3714&lt;&gt;"",VLOOKUP(H3714,TABLEITEM,3,FALSE),"")</f>
        <v>สกรูสแตนเลสหัวเหลี่ยม M8x20</v>
      </c>
      <c r="N3714" s="14">
        <f>INSTOCK!$I3714*INSTOCK!$K3714</f>
        <v>813.75</v>
      </c>
      <c r="O3714" s="4" t="s">
        <v>4138</v>
      </c>
      <c r="P3714" s="4"/>
    </row>
    <row r="3715" ht="15.75" hidden="1" customHeight="1">
      <c r="B3715" s="8">
        <v>4034.0</v>
      </c>
      <c r="C3715" s="9">
        <v>43298.0</v>
      </c>
      <c r="D3715" s="6" t="s">
        <v>4825</v>
      </c>
      <c r="E3715" s="4">
        <v>6.107000864E9</v>
      </c>
      <c r="F3715" s="8" t="s">
        <v>604</v>
      </c>
      <c r="G3715" s="4" t="s">
        <v>1870</v>
      </c>
      <c r="H3715" s="10" t="s">
        <v>4830</v>
      </c>
      <c r="I3715" s="10">
        <v>1000.0</v>
      </c>
      <c r="J3715" s="11" t="str">
        <f>IF(D3715&lt;&gt;"",VLOOKUP(H3715,TABLEITEM,5,FALSE),"")</f>
        <v>EA</v>
      </c>
      <c r="K3715" s="12">
        <v>1.855</v>
      </c>
      <c r="L3715" s="13" t="str">
        <f>IF(D3715&lt;&gt;"",VLOOKUP(H3715,TABLEITEM,2,FALSE),"")</f>
        <v/>
      </c>
      <c r="M3715" s="13" t="str">
        <f>IF(D3715&lt;&gt;"",VLOOKUP(H3715,TABLEITEM,3,FALSE),"")</f>
        <v>สกรูสแตนเลสหัวเหลี่ยม M8x25</v>
      </c>
      <c r="N3715" s="14">
        <f>INSTOCK!$I3715*INSTOCK!$K3715</f>
        <v>1855</v>
      </c>
      <c r="O3715" s="4" t="s">
        <v>4831</v>
      </c>
      <c r="P3715" s="4"/>
    </row>
    <row r="3716" ht="15.75" hidden="1" customHeight="1">
      <c r="B3716" s="8">
        <v>4035.0</v>
      </c>
      <c r="C3716" s="9">
        <v>43298.0</v>
      </c>
      <c r="D3716" s="6" t="s">
        <v>4825</v>
      </c>
      <c r="E3716" s="4">
        <v>6.107000864E9</v>
      </c>
      <c r="F3716" s="8" t="s">
        <v>604</v>
      </c>
      <c r="G3716" s="4" t="s">
        <v>1870</v>
      </c>
      <c r="H3716" s="10" t="s">
        <v>4832</v>
      </c>
      <c r="I3716" s="10">
        <v>3000.0</v>
      </c>
      <c r="J3716" s="11" t="str">
        <f>IF(D3716&lt;&gt;"",VLOOKUP(H3716,TABLEITEM,5,FALSE),"")</f>
        <v>EA</v>
      </c>
      <c r="K3716" s="12">
        <v>0.385</v>
      </c>
      <c r="L3716" s="13" t="str">
        <f>IF(D3716&lt;&gt;"",VLOOKUP(H3716,TABLEITEM,2,FALSE),"")</f>
        <v/>
      </c>
      <c r="M3716" s="13" t="str">
        <f>IF(D3716&lt;&gt;"",VLOOKUP(H3716,TABLEITEM,3,FALSE),"")</f>
        <v>แหวนอีแปะ สแตนเลส M8</v>
      </c>
      <c r="N3716" s="14">
        <f>INSTOCK!$I3716*INSTOCK!$K3716</f>
        <v>1155</v>
      </c>
      <c r="O3716" s="4" t="s">
        <v>4833</v>
      </c>
      <c r="P3716" s="4"/>
    </row>
    <row r="3717" ht="15.75" hidden="1" customHeight="1">
      <c r="B3717" s="8">
        <v>4036.0</v>
      </c>
      <c r="C3717" s="9">
        <v>43298.0</v>
      </c>
      <c r="D3717" s="6" t="s">
        <v>4825</v>
      </c>
      <c r="E3717" s="4">
        <v>6.107000864E9</v>
      </c>
      <c r="F3717" s="8" t="s">
        <v>604</v>
      </c>
      <c r="G3717" s="4" t="s">
        <v>1870</v>
      </c>
      <c r="H3717" s="10" t="s">
        <v>4702</v>
      </c>
      <c r="I3717" s="10">
        <v>1500.0</v>
      </c>
      <c r="J3717" s="11" t="str">
        <f>IF(D3717&lt;&gt;"",VLOOKUP(H3717,TABLEITEM,5,FALSE),"")</f>
        <v>EA</v>
      </c>
      <c r="K3717" s="12">
        <v>0.98</v>
      </c>
      <c r="L3717" s="13" t="str">
        <f>IF(D3717&lt;&gt;"",VLOOKUP(H3717,TABLEITEM,2,FALSE),"")</f>
        <v/>
      </c>
      <c r="M3717" s="13" t="str">
        <f>IF(D3717&lt;&gt;"",VLOOKUP(H3717,TABLEITEM,3,FALSE),"")</f>
        <v>หัวน็อต      สแตนเลส M8</v>
      </c>
      <c r="N3717" s="14">
        <f>INSTOCK!$I3717*INSTOCK!$K3717</f>
        <v>1470</v>
      </c>
      <c r="O3717" s="4" t="s">
        <v>4834</v>
      </c>
      <c r="P3717" s="4"/>
    </row>
    <row r="3718" ht="15.75" hidden="1" customHeight="1">
      <c r="B3718" s="8">
        <v>4037.0</v>
      </c>
      <c r="C3718" s="9">
        <v>43298.0</v>
      </c>
      <c r="D3718" s="6" t="s">
        <v>4835</v>
      </c>
      <c r="E3718" s="4" t="s">
        <v>4836</v>
      </c>
      <c r="F3718" s="8" t="s">
        <v>604</v>
      </c>
      <c r="G3718" s="4" t="s">
        <v>965</v>
      </c>
      <c r="H3718" s="10" t="s">
        <v>3198</v>
      </c>
      <c r="I3718" s="10">
        <v>6.0</v>
      </c>
      <c r="J3718" s="11" t="str">
        <f>IF(D3718&lt;&gt;"",VLOOKUP(H3718,TABLEITEM,5,FALSE),"")</f>
        <v>EA</v>
      </c>
      <c r="K3718" s="12">
        <v>10.0</v>
      </c>
      <c r="L3718" s="13" t="str">
        <f>IF(D3718&lt;&gt;"",VLOOKUP(H3718,TABLEITEM,2,FALSE),"")</f>
        <v/>
      </c>
      <c r="M3718" s="13" t="str">
        <f>IF(D3718&lt;&gt;"",VLOOKUP(H3718,TABLEITEM,3,FALSE),"")</f>
        <v>น้ำกลั่น</v>
      </c>
      <c r="N3718" s="14">
        <f>INSTOCK!$I3718*INSTOCK!$K3718</f>
        <v>60</v>
      </c>
      <c r="O3718" s="4"/>
      <c r="P3718" s="4"/>
    </row>
    <row r="3719" ht="15.75" hidden="1" customHeight="1">
      <c r="B3719" s="8">
        <v>4038.0</v>
      </c>
      <c r="C3719" s="9">
        <v>43298.0</v>
      </c>
      <c r="D3719" s="6" t="s">
        <v>4835</v>
      </c>
      <c r="E3719" s="4" t="s">
        <v>4836</v>
      </c>
      <c r="F3719" s="8" t="s">
        <v>604</v>
      </c>
      <c r="G3719" s="4" t="s">
        <v>965</v>
      </c>
      <c r="H3719" s="10" t="s">
        <v>2616</v>
      </c>
      <c r="I3719" s="10">
        <v>10.0</v>
      </c>
      <c r="J3719" s="11" t="str">
        <f>IF(D3719&lt;&gt;"",VLOOKUP(H3719,TABLEITEM,5,FALSE),"")</f>
        <v>M</v>
      </c>
      <c r="K3719" s="12">
        <v>12.0</v>
      </c>
      <c r="L3719" s="13" t="str">
        <f>IF(D3719&lt;&gt;"",VLOOKUP(H3719,TABLEITEM,2,FALSE),"")</f>
        <v/>
      </c>
      <c r="M3719" s="13" t="str">
        <f>IF(D3719&lt;&gt;"",VLOOKUP(H3719,TABLEITEM,3,FALSE),"")</f>
        <v>สายยางน้ำ 5/8"</v>
      </c>
      <c r="N3719" s="14">
        <f>INSTOCK!$I3719*INSTOCK!$K3719</f>
        <v>120</v>
      </c>
      <c r="O3719" s="4"/>
      <c r="P3719" s="4"/>
    </row>
    <row r="3720" ht="15.75" hidden="1" customHeight="1">
      <c r="B3720" s="8">
        <v>4039.0</v>
      </c>
      <c r="C3720" s="9">
        <v>43298.0</v>
      </c>
      <c r="D3720" s="6" t="s">
        <v>4837</v>
      </c>
      <c r="E3720" s="4">
        <v>6.107000856E9</v>
      </c>
      <c r="F3720" s="8" t="s">
        <v>604</v>
      </c>
      <c r="G3720" s="4" t="s">
        <v>965</v>
      </c>
      <c r="H3720" s="10" t="s">
        <v>3198</v>
      </c>
      <c r="I3720" s="10">
        <v>3.0</v>
      </c>
      <c r="J3720" s="11" t="str">
        <f>IF(D3720&lt;&gt;"",VLOOKUP(H3720,TABLEITEM,5,FALSE),"")</f>
        <v>EA</v>
      </c>
      <c r="K3720" s="12">
        <v>10.0</v>
      </c>
      <c r="L3720" s="13" t="str">
        <f>IF(D3720&lt;&gt;"",VLOOKUP(H3720,TABLEITEM,2,FALSE),"")</f>
        <v/>
      </c>
      <c r="M3720" s="13" t="str">
        <f>IF(D3720&lt;&gt;"",VLOOKUP(H3720,TABLEITEM,3,FALSE),"")</f>
        <v>น้ำกลั่น</v>
      </c>
      <c r="N3720" s="14">
        <f>INSTOCK!$I3720*INSTOCK!$K3720</f>
        <v>30</v>
      </c>
      <c r="O3720" s="4"/>
      <c r="P3720" s="4"/>
    </row>
    <row r="3721" ht="15.75" hidden="1" customHeight="1">
      <c r="B3721" s="8">
        <v>4040.0</v>
      </c>
      <c r="C3721" s="9">
        <v>43298.0</v>
      </c>
      <c r="D3721" s="6" t="s">
        <v>4837</v>
      </c>
      <c r="E3721" s="4">
        <v>6.107000856E9</v>
      </c>
      <c r="F3721" s="8" t="s">
        <v>604</v>
      </c>
      <c r="G3721" s="4" t="s">
        <v>965</v>
      </c>
      <c r="H3721" s="10" t="s">
        <v>66</v>
      </c>
      <c r="I3721" s="10">
        <v>24.0</v>
      </c>
      <c r="J3721" s="11" t="str">
        <f>IF(D3721&lt;&gt;"",VLOOKUP(H3721,TABLEITEM,5,FALSE),"")</f>
        <v>กป.</v>
      </c>
      <c r="K3721" s="12">
        <v>41.6667</v>
      </c>
      <c r="L3721" s="13" t="str">
        <f>IF(D3721&lt;&gt;"",VLOOKUP(H3721,TABLEITEM,2,FALSE),"")</f>
        <v/>
      </c>
      <c r="M3721" s="13" t="str">
        <f>IF(D3721&lt;&gt;"",VLOOKUP(H3721,TABLEITEM,3,FALSE),"")</f>
        <v>สีสเปรย์ สีดำ</v>
      </c>
      <c r="N3721" s="14">
        <f>INSTOCK!$I3721*INSTOCK!$K3721</f>
        <v>1000.0008</v>
      </c>
      <c r="O3721" s="4"/>
      <c r="P3721" s="4"/>
    </row>
    <row r="3722" ht="15.75" hidden="1" customHeight="1">
      <c r="B3722" s="8">
        <v>4041.0</v>
      </c>
      <c r="C3722" s="9">
        <v>43298.0</v>
      </c>
      <c r="D3722" s="6" t="s">
        <v>4837</v>
      </c>
      <c r="E3722" s="4">
        <v>6.107000856E9</v>
      </c>
      <c r="F3722" s="8" t="s">
        <v>604</v>
      </c>
      <c r="G3722" s="4" t="s">
        <v>965</v>
      </c>
      <c r="H3722" s="10" t="s">
        <v>4838</v>
      </c>
      <c r="I3722" s="10">
        <v>1.6</v>
      </c>
      <c r="J3722" s="11" t="str">
        <f>IF(D3722&lt;&gt;"",VLOOKUP(H3722,TABLEITEM,5,FALSE),"")</f>
        <v>EA</v>
      </c>
      <c r="K3722" s="12">
        <v>100.0</v>
      </c>
      <c r="L3722" s="13" t="str">
        <f>IF(D3722&lt;&gt;"",VLOOKUP(H3722,TABLEITEM,2,FALSE),"")</f>
        <v/>
      </c>
      <c r="M3722" s="13" t="str">
        <f>IF(D3722&lt;&gt;"",VLOOKUP(H3722,TABLEITEM,3,FALSE),"")</f>
        <v>เชือกใยยักษ์</v>
      </c>
      <c r="N3722" s="14">
        <f>INSTOCK!$I3722*INSTOCK!$K3722</f>
        <v>160</v>
      </c>
      <c r="O3722" s="4"/>
      <c r="P3722" s="4"/>
    </row>
    <row r="3723" ht="15.75" hidden="1" customHeight="1">
      <c r="B3723" s="8">
        <v>4042.0</v>
      </c>
      <c r="C3723" s="9">
        <v>43298.0</v>
      </c>
      <c r="D3723" s="6" t="s">
        <v>4837</v>
      </c>
      <c r="E3723" s="4">
        <v>6.107000856E9</v>
      </c>
      <c r="F3723" s="8" t="s">
        <v>604</v>
      </c>
      <c r="G3723" s="4" t="s">
        <v>965</v>
      </c>
      <c r="H3723" s="10" t="s">
        <v>4839</v>
      </c>
      <c r="I3723" s="10">
        <v>1.0</v>
      </c>
      <c r="J3723" s="11" t="str">
        <f>IF(D3723&lt;&gt;"",VLOOKUP(H3723,TABLEITEM,5,FALSE),"")</f>
        <v>EA</v>
      </c>
      <c r="K3723" s="12">
        <v>8.0</v>
      </c>
      <c r="L3723" s="13" t="str">
        <f>IF(D3723&lt;&gt;"",VLOOKUP(H3723,TABLEITEM,2,FALSE),"")</f>
        <v/>
      </c>
      <c r="M3723" s="13" t="str">
        <f>IF(D3723&lt;&gt;"",VLOOKUP(H3723,TABLEITEM,3,FALSE),"")</f>
        <v>ลวดเชื่อมอลูมิเนียม</v>
      </c>
      <c r="N3723" s="14">
        <f>INSTOCK!$I3723*INSTOCK!$K3723</f>
        <v>8</v>
      </c>
      <c r="O3723" s="4"/>
      <c r="P3723" s="4"/>
    </row>
    <row r="3724" ht="15.75" hidden="1" customHeight="1">
      <c r="B3724" s="8">
        <v>4043.0</v>
      </c>
      <c r="C3724" s="9">
        <v>43298.0</v>
      </c>
      <c r="D3724" s="6" t="s">
        <v>4837</v>
      </c>
      <c r="E3724" s="4">
        <v>6.107000856E9</v>
      </c>
      <c r="F3724" s="8" t="s">
        <v>604</v>
      </c>
      <c r="G3724" s="4" t="s">
        <v>965</v>
      </c>
      <c r="H3724" s="10" t="s">
        <v>3161</v>
      </c>
      <c r="I3724" s="10">
        <v>50.0</v>
      </c>
      <c r="J3724" s="11" t="str">
        <f>IF(D3724&lt;&gt;"",VLOOKUP(H3724,TABLEITEM,5,FALSE),"")</f>
        <v>EA</v>
      </c>
      <c r="K3724" s="12">
        <v>10.0</v>
      </c>
      <c r="L3724" s="13" t="str">
        <f>IF(D3724&lt;&gt;"",VLOOKUP(H3724,TABLEITEM,2,FALSE),"")</f>
        <v/>
      </c>
      <c r="M3724" s="13" t="str">
        <f>IF(D3724&lt;&gt;"",VLOOKUP(H3724,TABLEITEM,3,FALSE),"")</f>
        <v>ใบตัดเหล็ก 4" SUMO</v>
      </c>
      <c r="N3724" s="14">
        <f>INSTOCK!$I3724*INSTOCK!$K3724</f>
        <v>500</v>
      </c>
      <c r="O3724" s="4"/>
      <c r="P3724" s="4"/>
    </row>
    <row r="3725" ht="15.75" hidden="1" customHeight="1">
      <c r="B3725" s="8">
        <v>4044.0</v>
      </c>
      <c r="C3725" s="9">
        <v>43298.0</v>
      </c>
      <c r="D3725" s="6" t="s">
        <v>4840</v>
      </c>
      <c r="E3725" s="4"/>
      <c r="F3725" s="8" t="s">
        <v>4841</v>
      </c>
      <c r="G3725" s="4" t="s">
        <v>1485</v>
      </c>
      <c r="H3725" s="10" t="s">
        <v>4842</v>
      </c>
      <c r="I3725" s="10">
        <v>1.0</v>
      </c>
      <c r="J3725" s="11" t="str">
        <f>IF(D3725&lt;&gt;"",VLOOKUP(H3725,TABLEITEM,5,FALSE),"")</f>
        <v>EA</v>
      </c>
      <c r="K3725" s="12">
        <v>3850.0</v>
      </c>
      <c r="L3725" s="13" t="str">
        <f>IF(D3725&lt;&gt;"",VLOOKUP(H3725,TABLEITEM,2,FALSE),"")</f>
        <v/>
      </c>
      <c r="M3725" s="13" t="str">
        <f>IF(D3725&lt;&gt;"",VLOOKUP(H3725,TABLEITEM,3,FALSE),"")</f>
        <v>NSX160N  3P (50KA AT380/415 V) TM160D</v>
      </c>
      <c r="N3725" s="14">
        <f>INSTOCK!$I3725*INSTOCK!$K3725</f>
        <v>3850</v>
      </c>
      <c r="O3725" s="4"/>
      <c r="P3725" s="4"/>
    </row>
    <row r="3726" ht="15.75" hidden="1" customHeight="1">
      <c r="B3726" s="8">
        <v>4045.0</v>
      </c>
      <c r="C3726" s="9">
        <v>43297.0</v>
      </c>
      <c r="D3726" s="6" t="s">
        <v>4843</v>
      </c>
      <c r="E3726" s="4"/>
      <c r="F3726" s="8" t="s">
        <v>4844</v>
      </c>
      <c r="G3726" s="4" t="s">
        <v>1940</v>
      </c>
      <c r="H3726" s="10" t="s">
        <v>4845</v>
      </c>
      <c r="I3726" s="10">
        <v>12.0</v>
      </c>
      <c r="J3726" s="11" t="str">
        <f>IF(D3726&lt;&gt;"",VLOOKUP(H3726,TABLEITEM,5,FALSE),"")</f>
        <v>EA</v>
      </c>
      <c r="K3726" s="12">
        <v>11.5</v>
      </c>
      <c r="L3726" s="13" t="str">
        <f>IF(D3726&lt;&gt;"",VLOOKUP(H3726,TABLEITEM,2,FALSE),"")</f>
        <v/>
      </c>
      <c r="M3726" s="13" t="str">
        <f>IF(D3726&lt;&gt;"",VLOOKUP(H3726,TABLEITEM,3,FALSE),"")</f>
        <v>สกรูหัวเหลี่ยมสเตนเลส M12x50</v>
      </c>
      <c r="N3726" s="14">
        <f>INSTOCK!$I3726*INSTOCK!$K3726</f>
        <v>138</v>
      </c>
      <c r="O3726" s="4"/>
      <c r="P3726" s="4"/>
    </row>
    <row r="3727" ht="15.75" hidden="1" customHeight="1">
      <c r="B3727" s="8">
        <v>4046.0</v>
      </c>
      <c r="C3727" s="9">
        <v>43297.0</v>
      </c>
      <c r="D3727" s="6" t="s">
        <v>4843</v>
      </c>
      <c r="E3727" s="4"/>
      <c r="F3727" s="8" t="s">
        <v>4844</v>
      </c>
      <c r="G3727" s="4" t="s">
        <v>1940</v>
      </c>
      <c r="H3727" s="10" t="s">
        <v>4318</v>
      </c>
      <c r="I3727" s="10">
        <v>12.0</v>
      </c>
      <c r="J3727" s="11" t="str">
        <f>IF(D3727&lt;&gt;"",VLOOKUP(H3727,TABLEITEM,5,FALSE),"")</f>
        <v>EA</v>
      </c>
      <c r="K3727" s="12">
        <v>5.0</v>
      </c>
      <c r="L3727" s="13" t="str">
        <f>IF(D3727&lt;&gt;"",VLOOKUP(H3727,TABLEITEM,2,FALSE),"")</f>
        <v/>
      </c>
      <c r="M3727" s="13" t="str">
        <f>IF(D3727&lt;&gt;"",VLOOKUP(H3727,TABLEITEM,3,FALSE),"")</f>
        <v>หัวน็อต M12 SUS</v>
      </c>
      <c r="N3727" s="14">
        <f>INSTOCK!$I3727*INSTOCK!$K3727</f>
        <v>60</v>
      </c>
      <c r="O3727" s="4"/>
      <c r="P3727" s="4"/>
    </row>
    <row r="3728" ht="15.75" hidden="1" customHeight="1">
      <c r="B3728" s="8">
        <v>4047.0</v>
      </c>
      <c r="C3728" s="9">
        <v>43297.0</v>
      </c>
      <c r="D3728" s="6" t="s">
        <v>4843</v>
      </c>
      <c r="E3728" s="4"/>
      <c r="F3728" s="8" t="s">
        <v>4844</v>
      </c>
      <c r="G3728" s="4" t="s">
        <v>1940</v>
      </c>
      <c r="H3728" s="10" t="s">
        <v>4316</v>
      </c>
      <c r="I3728" s="10">
        <v>24.0</v>
      </c>
      <c r="J3728" s="11" t="str">
        <f>IF(D3728&lt;&gt;"",VLOOKUP(H3728,TABLEITEM,5,FALSE),"")</f>
        <v>EA</v>
      </c>
      <c r="K3728" s="12">
        <v>2.5</v>
      </c>
      <c r="L3728" s="13" t="str">
        <f>IF(D3728&lt;&gt;"",VLOOKUP(H3728,TABLEITEM,2,FALSE),"")</f>
        <v/>
      </c>
      <c r="M3728" s="13" t="str">
        <f>IF(D3728&lt;&gt;"",VLOOKUP(H3728,TABLEITEM,3,FALSE),"")</f>
        <v>แหวนอีแปะ M12 SUS</v>
      </c>
      <c r="N3728" s="14">
        <f>INSTOCK!$I3728*INSTOCK!$K3728</f>
        <v>60</v>
      </c>
      <c r="O3728" s="4"/>
      <c r="P3728" s="4"/>
    </row>
    <row r="3729" ht="15.75" hidden="1" customHeight="1">
      <c r="B3729" s="8">
        <v>4048.0</v>
      </c>
      <c r="C3729" s="9">
        <v>43297.0</v>
      </c>
      <c r="D3729" s="6" t="s">
        <v>4843</v>
      </c>
      <c r="E3729" s="4"/>
      <c r="F3729" s="8" t="s">
        <v>4844</v>
      </c>
      <c r="G3729" s="4" t="s">
        <v>1940</v>
      </c>
      <c r="H3729" s="10" t="s">
        <v>4317</v>
      </c>
      <c r="I3729" s="10">
        <v>12.0</v>
      </c>
      <c r="J3729" s="11" t="str">
        <f>IF(D3729&lt;&gt;"",VLOOKUP(H3729,TABLEITEM,5,FALSE),"")</f>
        <v>EA</v>
      </c>
      <c r="K3729" s="12">
        <v>2.5</v>
      </c>
      <c r="L3729" s="13" t="str">
        <f>IF(D3729&lt;&gt;"",VLOOKUP(H3729,TABLEITEM,2,FALSE),"")</f>
        <v/>
      </c>
      <c r="M3729" s="13" t="str">
        <f>IF(D3729&lt;&gt;"",VLOOKUP(H3729,TABLEITEM,3,FALSE),"")</f>
        <v>แหวนสปริง M12 SUS </v>
      </c>
      <c r="N3729" s="14">
        <f>INSTOCK!$I3729*INSTOCK!$K3729</f>
        <v>30</v>
      </c>
      <c r="O3729" s="4"/>
      <c r="P3729" s="4"/>
    </row>
    <row r="3730" ht="15.75" hidden="1" customHeight="1">
      <c r="B3730" s="8">
        <v>4049.0</v>
      </c>
      <c r="C3730" s="9">
        <v>43297.0</v>
      </c>
      <c r="D3730" s="6" t="s">
        <v>4846</v>
      </c>
      <c r="E3730" s="4">
        <v>6.107000826E9</v>
      </c>
      <c r="F3730" s="8" t="s">
        <v>4847</v>
      </c>
      <c r="G3730" s="4" t="s">
        <v>3076</v>
      </c>
      <c r="H3730" s="10" t="s">
        <v>4848</v>
      </c>
      <c r="I3730" s="10">
        <v>4.0</v>
      </c>
      <c r="J3730" s="11" t="str">
        <f>IF(D3730&lt;&gt;"",VLOOKUP(H3730,TABLEITEM,5,FALSE),"")</f>
        <v>EA</v>
      </c>
      <c r="K3730" s="12">
        <v>420.0</v>
      </c>
      <c r="L3730" s="13" t="str">
        <f>IF(D3730&lt;&gt;"",VLOOKUP(H3730,TABLEITEM,2,FALSE),"")</f>
        <v/>
      </c>
      <c r="M3730" s="13" t="str">
        <f>IF(D3730&lt;&gt;"",VLOOKUP(H3730,TABLEITEM,3,FALSE),"")</f>
        <v>สเตนเลส 16x55x110 เจาะรูต๊าปเกลียว M12x1.75 2รู</v>
      </c>
      <c r="N3730" s="14">
        <f>INSTOCK!$I3730*INSTOCK!$K3730</f>
        <v>1680</v>
      </c>
      <c r="O3730" s="4"/>
      <c r="P3730" s="4"/>
    </row>
    <row r="3731" ht="15.75" hidden="1" customHeight="1">
      <c r="B3731" s="8">
        <v>4050.0</v>
      </c>
      <c r="C3731" s="9">
        <v>43295.0</v>
      </c>
      <c r="D3731" s="6" t="s">
        <v>4849</v>
      </c>
      <c r="E3731" s="4">
        <v>6.107000849E9</v>
      </c>
      <c r="F3731" s="8" t="s">
        <v>604</v>
      </c>
      <c r="G3731" s="4" t="s">
        <v>1777</v>
      </c>
      <c r="H3731" s="10" t="s">
        <v>1859</v>
      </c>
      <c r="I3731" s="10">
        <v>3600.0</v>
      </c>
      <c r="J3731" s="11" t="str">
        <f>IF(D3731&lt;&gt;"",VLOOKUP(H3731,TABLEITEM,5,FALSE),"")</f>
        <v>EA</v>
      </c>
      <c r="K3731" s="12">
        <v>0.7995</v>
      </c>
      <c r="L3731" s="13" t="str">
        <f>IF(D3731&lt;&gt;"",VLOOKUP(H3731,TABLEITEM,2,FALSE),"")</f>
        <v/>
      </c>
      <c r="M3731" s="13" t="str">
        <f>IF(D3731&lt;&gt;"",VLOOKUP(H3731,TABLEITEM,3,FALSE),"")</f>
        <v>สกรูหัวเหลี่ยมชุบขาว M8x25</v>
      </c>
      <c r="N3731" s="14">
        <f>INSTOCK!$I3731*INSTOCK!$K3731</f>
        <v>2878.2</v>
      </c>
      <c r="O3731" s="4" t="s">
        <v>2101</v>
      </c>
      <c r="P3731" s="4"/>
    </row>
    <row r="3732" ht="15.75" hidden="1" customHeight="1">
      <c r="B3732" s="8">
        <v>4051.0</v>
      </c>
      <c r="C3732" s="9">
        <v>43295.0</v>
      </c>
      <c r="D3732" s="6" t="s">
        <v>4849</v>
      </c>
      <c r="E3732" s="4">
        <v>6.107000849E9</v>
      </c>
      <c r="F3732" s="8" t="s">
        <v>604</v>
      </c>
      <c r="G3732" s="4" t="s">
        <v>1777</v>
      </c>
      <c r="H3732" s="10" t="s">
        <v>2102</v>
      </c>
      <c r="I3732" s="10">
        <v>20000.0</v>
      </c>
      <c r="J3732" s="11" t="str">
        <f>IF(D3732&lt;&gt;"",VLOOKUP(H3732,TABLEITEM,5,FALSE),"")</f>
        <v>EA</v>
      </c>
      <c r="K3732" s="12">
        <v>1.09</v>
      </c>
      <c r="L3732" s="13" t="str">
        <f>IF(D3732&lt;&gt;"",VLOOKUP(H3732,TABLEITEM,2,FALSE),"")</f>
        <v/>
      </c>
      <c r="M3732" s="13" t="str">
        <f>IF(D3732&lt;&gt;"",VLOOKUP(H3732,TABLEITEM,3,FALSE),"")</f>
        <v>แหวนอีแปะ M8 ชุบขาว</v>
      </c>
      <c r="N3732" s="14">
        <f>INSTOCK!$I3732*INSTOCK!$K3732</f>
        <v>21800</v>
      </c>
      <c r="O3732" s="4" t="s">
        <v>2103</v>
      </c>
      <c r="P3732" s="4"/>
    </row>
    <row r="3733" ht="15.75" hidden="1" customHeight="1">
      <c r="B3733" s="8">
        <v>4052.0</v>
      </c>
      <c r="C3733" s="9">
        <v>43295.0</v>
      </c>
      <c r="D3733" s="6" t="s">
        <v>4849</v>
      </c>
      <c r="E3733" s="4">
        <v>6.107000849E9</v>
      </c>
      <c r="F3733" s="8" t="s">
        <v>604</v>
      </c>
      <c r="G3733" s="4" t="s">
        <v>1777</v>
      </c>
      <c r="H3733" s="10" t="s">
        <v>3014</v>
      </c>
      <c r="I3733" s="10">
        <v>10000.0</v>
      </c>
      <c r="J3733" s="11" t="str">
        <f>IF(D3733&lt;&gt;"",VLOOKUP(H3733,TABLEITEM,5,FALSE),"")</f>
        <v>EA</v>
      </c>
      <c r="K3733" s="12">
        <v>0.075</v>
      </c>
      <c r="L3733" s="13" t="str">
        <f>IF(D3733&lt;&gt;"",VLOOKUP(H3733,TABLEITEM,2,FALSE),"")</f>
        <v/>
      </c>
      <c r="M3733" s="13" t="str">
        <f>IF(D3733&lt;&gt;"",VLOOKUP(H3733,TABLEITEM,3,FALSE),"")</f>
        <v>แหวนสปริง M 8 ชุบรุ้ง</v>
      </c>
      <c r="N3733" s="14">
        <f>INSTOCK!$I3733*INSTOCK!$K3733</f>
        <v>750</v>
      </c>
      <c r="O3733" s="4" t="s">
        <v>2079</v>
      </c>
      <c r="P3733" s="4"/>
    </row>
    <row r="3734" ht="15.75" hidden="1" customHeight="1">
      <c r="B3734" s="8">
        <v>4053.0</v>
      </c>
      <c r="C3734" s="9">
        <v>43295.0</v>
      </c>
      <c r="D3734" s="6" t="s">
        <v>4849</v>
      </c>
      <c r="E3734" s="4">
        <v>6.107000849E9</v>
      </c>
      <c r="F3734" s="8" t="s">
        <v>604</v>
      </c>
      <c r="G3734" s="4" t="s">
        <v>1777</v>
      </c>
      <c r="H3734" s="10" t="s">
        <v>2080</v>
      </c>
      <c r="I3734" s="10">
        <v>10000.0</v>
      </c>
      <c r="J3734" s="11" t="str">
        <f>IF(D3734&lt;&gt;"",VLOOKUP(H3734,TABLEITEM,5,FALSE),"")</f>
        <v>EA</v>
      </c>
      <c r="K3734" s="12">
        <v>0.36</v>
      </c>
      <c r="L3734" s="13" t="str">
        <f>IF(D3734&lt;&gt;"",VLOOKUP(H3734,TABLEITEM,2,FALSE),"")</f>
        <v/>
      </c>
      <c r="M3734" s="13" t="str">
        <f>IF(D3734&lt;&gt;"",VLOOKUP(H3734,TABLEITEM,3,FALSE),"")</f>
        <v>หัวน็อต M 8 ชุบขาว</v>
      </c>
      <c r="N3734" s="14">
        <f>INSTOCK!$I3734*INSTOCK!$K3734</f>
        <v>3600</v>
      </c>
      <c r="O3734" s="4" t="s">
        <v>2081</v>
      </c>
      <c r="P3734" s="4"/>
    </row>
    <row r="3735" ht="15.75" hidden="1" customHeight="1">
      <c r="B3735" s="8">
        <v>4054.0</v>
      </c>
      <c r="C3735" s="9">
        <v>43295.0</v>
      </c>
      <c r="D3735" s="6" t="s">
        <v>4849</v>
      </c>
      <c r="E3735" s="4">
        <v>6.107000849E9</v>
      </c>
      <c r="F3735" s="8" t="s">
        <v>604</v>
      </c>
      <c r="G3735" s="4" t="s">
        <v>1777</v>
      </c>
      <c r="H3735" s="10" t="s">
        <v>4850</v>
      </c>
      <c r="I3735" s="10">
        <v>500.0</v>
      </c>
      <c r="J3735" s="11" t="str">
        <f>IF(D3735&lt;&gt;"",VLOOKUP(H3735,TABLEITEM,5,FALSE),"")</f>
        <v>EA</v>
      </c>
      <c r="K3735" s="12">
        <v>0.224</v>
      </c>
      <c r="L3735" s="13" t="str">
        <f>IF(D3735&lt;&gt;"",VLOOKUP(H3735,TABLEITEM,2,FALSE),"")</f>
        <v/>
      </c>
      <c r="M3735" s="13" t="str">
        <f>IF(D3735&lt;&gt;"",VLOOKUP(H3735,TABLEITEM,3,FALSE),"")</f>
        <v>สกรูเตเปอร์ M6x15</v>
      </c>
      <c r="N3735" s="14">
        <f>INSTOCK!$I3735*INSTOCK!$K3735</f>
        <v>112</v>
      </c>
      <c r="O3735" s="4" t="s">
        <v>4851</v>
      </c>
      <c r="P3735" s="4"/>
    </row>
    <row r="3736" ht="15.75" hidden="1" customHeight="1">
      <c r="B3736" s="8">
        <v>4055.0</v>
      </c>
      <c r="C3736" s="9">
        <v>43295.0</v>
      </c>
      <c r="D3736" s="6" t="s">
        <v>4849</v>
      </c>
      <c r="E3736" s="4">
        <v>6.107000849E9</v>
      </c>
      <c r="F3736" s="8" t="s">
        <v>604</v>
      </c>
      <c r="G3736" s="4" t="s">
        <v>1777</v>
      </c>
      <c r="H3736" s="10" t="s">
        <v>3709</v>
      </c>
      <c r="I3736" s="10">
        <v>2170.0</v>
      </c>
      <c r="J3736" s="11" t="str">
        <f>IF(D3736&lt;&gt;"",VLOOKUP(H3736,TABLEITEM,5,FALSE),"")</f>
        <v>EA</v>
      </c>
      <c r="K3736" s="12">
        <v>0.39</v>
      </c>
      <c r="L3736" s="13" t="str">
        <f>IF(D3736&lt;&gt;"",VLOOKUP(H3736,TABLEITEM,2,FALSE),"")</f>
        <v/>
      </c>
      <c r="M3736" s="13" t="str">
        <f>IF(D3736&lt;&gt;"",VLOOKUP(H3736,TABLEITEM,3,FALSE),"")</f>
        <v>แหวนสปริง M10   HDG</v>
      </c>
      <c r="N3736" s="14">
        <f>INSTOCK!$I3736*INSTOCK!$K3736</f>
        <v>846.3</v>
      </c>
      <c r="O3736" s="4" t="s">
        <v>3710</v>
      </c>
      <c r="P3736" s="4"/>
    </row>
    <row r="3737" ht="15.75" hidden="1" customHeight="1">
      <c r="B3737" s="8">
        <v>4056.0</v>
      </c>
      <c r="C3737" s="9">
        <v>43295.0</v>
      </c>
      <c r="D3737" s="6" t="s">
        <v>4849</v>
      </c>
      <c r="E3737" s="4">
        <v>6.107000849E9</v>
      </c>
      <c r="F3737" s="8" t="s">
        <v>604</v>
      </c>
      <c r="G3737" s="4" t="s">
        <v>1777</v>
      </c>
      <c r="H3737" s="10" t="s">
        <v>2512</v>
      </c>
      <c r="I3737" s="10">
        <v>1970.0</v>
      </c>
      <c r="J3737" s="11" t="str">
        <f>IF(D3737&lt;&gt;"",VLOOKUP(H3737,TABLEITEM,5,FALSE),"")</f>
        <v>EA</v>
      </c>
      <c r="K3737" s="12">
        <v>1.495</v>
      </c>
      <c r="L3737" s="13" t="str">
        <f>IF(D3737&lt;&gt;"",VLOOKUP(H3737,TABLEITEM,2,FALSE),"")</f>
        <v/>
      </c>
      <c r="M3737" s="13" t="str">
        <f>IF(D3737&lt;&gt;"",VLOOKUP(H3737,TABLEITEM,3,FALSE),"")</f>
        <v>หัวน้อต M10  HDG</v>
      </c>
      <c r="N3737" s="14">
        <f>INSTOCK!$I3737*INSTOCK!$K3737</f>
        <v>2945.15</v>
      </c>
      <c r="O3737" s="4" t="s">
        <v>3711</v>
      </c>
      <c r="P3737" s="4"/>
    </row>
    <row r="3738" ht="15.75" hidden="1" customHeight="1">
      <c r="B3738" s="8">
        <v>4057.0</v>
      </c>
      <c r="C3738" s="9">
        <v>43294.0</v>
      </c>
      <c r="D3738" s="6" t="s">
        <v>4852</v>
      </c>
      <c r="E3738" s="4">
        <v>6.107000854E9</v>
      </c>
      <c r="F3738" s="8" t="s">
        <v>604</v>
      </c>
      <c r="G3738" s="4" t="s">
        <v>3099</v>
      </c>
      <c r="H3738" s="10" t="s">
        <v>4853</v>
      </c>
      <c r="I3738" s="10">
        <v>210.0</v>
      </c>
      <c r="J3738" s="11" t="str">
        <f>IF(D3738&lt;&gt;"",VLOOKUP(H3738,TABLEITEM,5,FALSE),"")</f>
        <v>EA</v>
      </c>
      <c r="K3738" s="12">
        <v>8.4</v>
      </c>
      <c r="L3738" s="13" t="str">
        <f>IF(D3738&lt;&gt;"",VLOOKUP(H3738,TABLEITEM,2,FALSE),"")</f>
        <v/>
      </c>
      <c r="M3738" s="13" t="str">
        <f>IF(D3738&lt;&gt;"",VLOOKUP(H3738,TABLEITEM,3,FALSE),"")</f>
        <v>สลักบานประตู 1200 mm.</v>
      </c>
      <c r="N3738" s="14">
        <f>INSTOCK!$I3738*INSTOCK!$K3738</f>
        <v>1764</v>
      </c>
      <c r="O3738" s="4"/>
      <c r="P3738" s="4"/>
    </row>
    <row r="3739" ht="15.75" hidden="1" customHeight="1">
      <c r="B3739" s="8">
        <v>4058.0</v>
      </c>
      <c r="C3739" s="9">
        <v>43294.0</v>
      </c>
      <c r="D3739" s="6" t="s">
        <v>4852</v>
      </c>
      <c r="E3739" s="4">
        <v>6.107000854E9</v>
      </c>
      <c r="F3739" s="8" t="s">
        <v>604</v>
      </c>
      <c r="G3739" s="4" t="s">
        <v>3099</v>
      </c>
      <c r="H3739" s="10" t="s">
        <v>2476</v>
      </c>
      <c r="I3739" s="10">
        <v>67.0</v>
      </c>
      <c r="J3739" s="11" t="str">
        <f>IF(D3739&lt;&gt;"",VLOOKUP(H3739,TABLEITEM,5,FALSE),"")</f>
        <v>EA</v>
      </c>
      <c r="K3739" s="12">
        <v>8.4</v>
      </c>
      <c r="L3739" s="13" t="str">
        <f>IF(D3739&lt;&gt;"",VLOOKUP(H3739,TABLEITEM,2,FALSE),"")</f>
        <v/>
      </c>
      <c r="M3739" s="13" t="str">
        <f>IF(D3739&lt;&gt;"",VLOOKUP(H3739,TABLEITEM,3,FALSE),"")</f>
        <v>สลักบานประตู 400 mm.</v>
      </c>
      <c r="N3739" s="14">
        <f>INSTOCK!$I3739*INSTOCK!$K3739</f>
        <v>562.8</v>
      </c>
      <c r="O3739" s="4"/>
      <c r="P3739" s="4"/>
    </row>
    <row r="3740" ht="15.75" hidden="1" customHeight="1">
      <c r="B3740" s="8">
        <v>4059.0</v>
      </c>
      <c r="C3740" s="9">
        <v>43294.0</v>
      </c>
      <c r="D3740" s="6" t="s">
        <v>4852</v>
      </c>
      <c r="E3740" s="4">
        <v>6.107000854E9</v>
      </c>
      <c r="F3740" s="8" t="s">
        <v>604</v>
      </c>
      <c r="G3740" s="4" t="s">
        <v>3099</v>
      </c>
      <c r="H3740" s="10" t="s">
        <v>2474</v>
      </c>
      <c r="I3740" s="10">
        <v>197.0</v>
      </c>
      <c r="J3740" s="11" t="str">
        <f>IF(D3740&lt;&gt;"",VLOOKUP(H3740,TABLEITEM,5,FALSE),"")</f>
        <v>EA</v>
      </c>
      <c r="K3740" s="12">
        <v>8.4</v>
      </c>
      <c r="L3740" s="13" t="str">
        <f>IF(D3740&lt;&gt;"",VLOOKUP(H3740,TABLEITEM,2,FALSE),"")</f>
        <v/>
      </c>
      <c r="M3740" s="13" t="str">
        <f>IF(D3740&lt;&gt;"",VLOOKUP(H3740,TABLEITEM,3,FALSE),"")</f>
        <v>สลักบานประตู 980 mm.</v>
      </c>
      <c r="N3740" s="14">
        <f>INSTOCK!$I3740*INSTOCK!$K3740</f>
        <v>1654.8</v>
      </c>
      <c r="O3740" s="4"/>
      <c r="P3740" s="4"/>
    </row>
    <row r="3741" ht="15.75" hidden="1" customHeight="1">
      <c r="B3741" s="8">
        <v>4060.0</v>
      </c>
      <c r="C3741" s="9">
        <v>43294.0</v>
      </c>
      <c r="D3741" s="6" t="s">
        <v>4852</v>
      </c>
      <c r="E3741" s="4">
        <v>6.107000854E9</v>
      </c>
      <c r="F3741" s="8" t="s">
        <v>604</v>
      </c>
      <c r="G3741" s="4" t="s">
        <v>3099</v>
      </c>
      <c r="H3741" s="10" t="s">
        <v>2475</v>
      </c>
      <c r="I3741" s="10">
        <v>66.0</v>
      </c>
      <c r="J3741" s="11" t="str">
        <f>IF(D3741&lt;&gt;"",VLOOKUP(H3741,TABLEITEM,5,FALSE),"")</f>
        <v>EA</v>
      </c>
      <c r="K3741" s="12">
        <v>8.4</v>
      </c>
      <c r="L3741" s="13" t="str">
        <f>IF(D3741&lt;&gt;"",VLOOKUP(H3741,TABLEITEM,2,FALSE),"")</f>
        <v/>
      </c>
      <c r="M3741" s="13" t="str">
        <f>IF(D3741&lt;&gt;"",VLOOKUP(H3741,TABLEITEM,3,FALSE),"")</f>
        <v>สลักบานประตู 1060 มิล</v>
      </c>
      <c r="N3741" s="14">
        <f>INSTOCK!$I3741*INSTOCK!$K3741</f>
        <v>554.4</v>
      </c>
      <c r="O3741" s="4"/>
      <c r="P3741" s="4"/>
    </row>
    <row r="3742" ht="15.75" hidden="1" customHeight="1">
      <c r="B3742" s="8">
        <v>4061.0</v>
      </c>
      <c r="C3742" s="9">
        <v>43294.0</v>
      </c>
      <c r="D3742" s="6" t="s">
        <v>4852</v>
      </c>
      <c r="E3742" s="4">
        <v>6.107000854E9</v>
      </c>
      <c r="F3742" s="8" t="s">
        <v>604</v>
      </c>
      <c r="G3742" s="4" t="s">
        <v>3099</v>
      </c>
      <c r="H3742" s="10" t="s">
        <v>3203</v>
      </c>
      <c r="I3742" s="10">
        <v>509.0</v>
      </c>
      <c r="J3742" s="11" t="str">
        <f>IF(D3742&lt;&gt;"",VLOOKUP(H3742,TABLEITEM,5,FALSE),"")</f>
        <v>EA</v>
      </c>
      <c r="K3742" s="12">
        <v>8.4</v>
      </c>
      <c r="L3742" s="13" t="str">
        <f>IF(D3742&lt;&gt;"",VLOOKUP(H3742,TABLEITEM,2,FALSE),"")</f>
        <v/>
      </c>
      <c r="M3742" s="13" t="str">
        <f>IF(D3742&lt;&gt;"",VLOOKUP(H3742,TABLEITEM,3,FALSE),"")</f>
        <v>สลักบานประตู 1040 mm.</v>
      </c>
      <c r="N3742" s="14">
        <f>INSTOCK!$I3742*INSTOCK!$K3742</f>
        <v>4275.6</v>
      </c>
      <c r="O3742" s="4"/>
      <c r="P3742" s="4"/>
    </row>
    <row r="3743" ht="15.75" hidden="1" customHeight="1">
      <c r="B3743" s="8">
        <v>4062.0</v>
      </c>
      <c r="C3743" s="9">
        <v>43294.0</v>
      </c>
      <c r="D3743" s="6" t="s">
        <v>4852</v>
      </c>
      <c r="E3743" s="4">
        <v>6.107000854E9</v>
      </c>
      <c r="F3743" s="8" t="s">
        <v>604</v>
      </c>
      <c r="G3743" s="4" t="s">
        <v>3099</v>
      </c>
      <c r="H3743" s="10" t="s">
        <v>2471</v>
      </c>
      <c r="I3743" s="10">
        <v>168.0</v>
      </c>
      <c r="J3743" s="11" t="str">
        <f>IF(D3743&lt;&gt;"",VLOOKUP(H3743,TABLEITEM,5,FALSE),"")</f>
        <v>EA</v>
      </c>
      <c r="K3743" s="12">
        <v>8.4</v>
      </c>
      <c r="L3743" s="13" t="str">
        <f>IF(D3743&lt;&gt;"",VLOOKUP(H3743,TABLEITEM,2,FALSE),"")</f>
        <v/>
      </c>
      <c r="M3743" s="13" t="str">
        <f>IF(D3743&lt;&gt;"",VLOOKUP(H3743,TABLEITEM,3,FALSE),"")</f>
        <v>สลักบานประตู 880 mm.</v>
      </c>
      <c r="N3743" s="14">
        <f>INSTOCK!$I3743*INSTOCK!$K3743</f>
        <v>1411.2</v>
      </c>
      <c r="O3743" s="4"/>
      <c r="P3743" s="4"/>
    </row>
    <row r="3744" ht="15.75" hidden="1" customHeight="1">
      <c r="B3744" s="8">
        <v>4063.0</v>
      </c>
      <c r="C3744" s="9">
        <v>43294.0</v>
      </c>
      <c r="D3744" s="6" t="s">
        <v>4854</v>
      </c>
      <c r="E3744" s="4">
        <v>6.107000853E9</v>
      </c>
      <c r="F3744" s="8" t="s">
        <v>4855</v>
      </c>
      <c r="G3744" s="4" t="s">
        <v>4856</v>
      </c>
      <c r="H3744" s="10" t="s">
        <v>4857</v>
      </c>
      <c r="I3744" s="10">
        <v>4.0</v>
      </c>
      <c r="J3744" s="11" t="str">
        <f>IF(D3744&lt;&gt;"",VLOOKUP(H3744,TABLEITEM,5,FALSE),"")</f>
        <v>EA</v>
      </c>
      <c r="K3744" s="12">
        <v>500.0</v>
      </c>
      <c r="L3744" s="13" t="str">
        <f>IF(D3744&lt;&gt;"",VLOOKUP(H3744,TABLEITEM,2,FALSE),"")</f>
        <v/>
      </c>
      <c r="M3744" s="13" t="str">
        <f>IF(D3744&lt;&gt;"",VLOOKUP(H3744,TABLEITEM,3,FALSE),"")</f>
        <v>สายรัด RATCHET TIE DOWN 2"x8M x5000kg</v>
      </c>
      <c r="N3744" s="14">
        <f>INSTOCK!$I3744*INSTOCK!$K3744</f>
        <v>2000</v>
      </c>
      <c r="O3744" s="4"/>
      <c r="P3744" s="4"/>
    </row>
    <row r="3745" ht="15.75" hidden="1" customHeight="1">
      <c r="B3745" s="8">
        <v>4064.0</v>
      </c>
      <c r="C3745" s="9">
        <v>43293.0</v>
      </c>
      <c r="D3745" s="6" t="s">
        <v>4858</v>
      </c>
      <c r="E3745" s="4">
        <v>6.107000843E9</v>
      </c>
      <c r="F3745" s="8" t="s">
        <v>604</v>
      </c>
      <c r="G3745" s="4" t="s">
        <v>2144</v>
      </c>
      <c r="H3745" s="10" t="s">
        <v>4601</v>
      </c>
      <c r="I3745" s="10">
        <v>24.0</v>
      </c>
      <c r="J3745" s="11" t="str">
        <f>IF(D3745&lt;&gt;"",VLOOKUP(H3745,TABLEITEM,5,FALSE),"")</f>
        <v>EA</v>
      </c>
      <c r="K3745" s="12">
        <v>127.4</v>
      </c>
      <c r="L3745" s="13" t="str">
        <f>IF(D3745&lt;&gt;"",VLOOKUP(H3745,TABLEITEM,2,FALSE),"")</f>
        <v/>
      </c>
      <c r="M3745" s="13" t="str">
        <f>IF(D3745&lt;&gt;"",VLOOKUP(H3745,TABLEITEM,3,FALSE),"")</f>
        <v>ช่องลมสีดำ</v>
      </c>
      <c r="N3745" s="14">
        <f>INSTOCK!$I3745*INSTOCK!$K3745</f>
        <v>3057.6</v>
      </c>
      <c r="O3745" s="4" t="s">
        <v>2146</v>
      </c>
      <c r="P3745" s="4"/>
    </row>
    <row r="3746" ht="15.75" hidden="1" customHeight="1">
      <c r="B3746" s="8">
        <v>4065.0</v>
      </c>
      <c r="C3746" s="9">
        <v>43293.0</v>
      </c>
      <c r="D3746" s="6" t="s">
        <v>4859</v>
      </c>
      <c r="E3746" s="4"/>
      <c r="F3746" s="8" t="s">
        <v>4860</v>
      </c>
      <c r="G3746" s="4" t="s">
        <v>1940</v>
      </c>
      <c r="H3746" s="10" t="s">
        <v>4861</v>
      </c>
      <c r="I3746" s="10">
        <v>32.0</v>
      </c>
      <c r="J3746" s="11" t="str">
        <f>IF(D3746&lt;&gt;"",VLOOKUP(H3746,TABLEITEM,5,FALSE),"")</f>
        <v>EA</v>
      </c>
      <c r="K3746" s="12">
        <v>13.0</v>
      </c>
      <c r="L3746" s="13" t="str">
        <f>IF(D3746&lt;&gt;"",VLOOKUP(H3746,TABLEITEM,2,FALSE),"")</f>
        <v/>
      </c>
      <c r="M3746" s="13" t="str">
        <f>IF(D3746&lt;&gt;"",VLOOKUP(H3746,TABLEITEM,3,FALSE),"")</f>
        <v>พุกตะกั่ว 5/16</v>
      </c>
      <c r="N3746" s="14">
        <f>INSTOCK!$I3746*INSTOCK!$K3746</f>
        <v>416</v>
      </c>
      <c r="O3746" s="4"/>
      <c r="P3746" s="4"/>
    </row>
    <row r="3747" ht="15.75" hidden="1" customHeight="1">
      <c r="B3747" s="8">
        <v>4066.0</v>
      </c>
      <c r="C3747" s="9">
        <v>43293.0</v>
      </c>
      <c r="D3747" s="6" t="s">
        <v>4859</v>
      </c>
      <c r="E3747" s="4"/>
      <c r="F3747" s="8" t="s">
        <v>4860</v>
      </c>
      <c r="G3747" s="4" t="s">
        <v>1940</v>
      </c>
      <c r="H3747" s="10" t="s">
        <v>4862</v>
      </c>
      <c r="I3747" s="10">
        <v>32.0</v>
      </c>
      <c r="J3747" s="11" t="str">
        <f>IF(D3747&lt;&gt;"",VLOOKUP(H3747,TABLEITEM,5,FALSE),"")</f>
        <v>EA</v>
      </c>
      <c r="K3747" s="12">
        <v>6.0</v>
      </c>
      <c r="L3747" s="13" t="str">
        <f>IF(D3747&lt;&gt;"",VLOOKUP(H3747,TABLEITEM,2,FALSE),"")</f>
        <v/>
      </c>
      <c r="M3747" s="13" t="str">
        <f>IF(D3747&lt;&gt;"",VLOOKUP(H3747,TABLEITEM,3,FALSE),"")</f>
        <v>สกรูหัวเหลี่ยมสเตนเลส 5/16x2.1/2</v>
      </c>
      <c r="N3747" s="14">
        <f>INSTOCK!$I3747*INSTOCK!$K3747</f>
        <v>192</v>
      </c>
      <c r="O3747" s="4"/>
      <c r="P3747" s="4"/>
    </row>
    <row r="3748" ht="15.75" hidden="1" customHeight="1">
      <c r="B3748" s="8">
        <v>4067.0</v>
      </c>
      <c r="C3748" s="9">
        <v>43293.0</v>
      </c>
      <c r="D3748" s="6" t="s">
        <v>4859</v>
      </c>
      <c r="E3748" s="4"/>
      <c r="F3748" s="8" t="s">
        <v>4860</v>
      </c>
      <c r="G3748" s="4" t="s">
        <v>1940</v>
      </c>
      <c r="H3748" s="10" t="s">
        <v>1943</v>
      </c>
      <c r="I3748" s="10">
        <v>64.0</v>
      </c>
      <c r="J3748" s="11" t="str">
        <f>IF(D3748&lt;&gt;"",VLOOKUP(H3748,TABLEITEM,5,FALSE),"")</f>
        <v>EA</v>
      </c>
      <c r="K3748" s="12">
        <v>1.2</v>
      </c>
      <c r="L3748" s="13" t="str">
        <f>IF(D3748&lt;&gt;"",VLOOKUP(H3748,TABLEITEM,2,FALSE),"")</f>
        <v/>
      </c>
      <c r="M3748" s="13" t="str">
        <f>IF(D3748&lt;&gt;"",VLOOKUP(H3748,TABLEITEM,3,FALSE),"")</f>
        <v>แหวนอีแปะ SUS M10</v>
      </c>
      <c r="N3748" s="14">
        <f>INSTOCK!$I3748*INSTOCK!$K3748</f>
        <v>76.8</v>
      </c>
      <c r="O3748" s="4"/>
      <c r="P3748" s="4"/>
    </row>
    <row r="3749" ht="15.75" hidden="1" customHeight="1">
      <c r="B3749" s="8">
        <v>4068.0</v>
      </c>
      <c r="C3749" s="9">
        <v>43293.0</v>
      </c>
      <c r="D3749" s="6" t="s">
        <v>4859</v>
      </c>
      <c r="E3749" s="4"/>
      <c r="F3749" s="8" t="s">
        <v>4860</v>
      </c>
      <c r="G3749" s="4" t="s">
        <v>1940</v>
      </c>
      <c r="H3749" s="10" t="s">
        <v>1944</v>
      </c>
      <c r="I3749" s="10">
        <v>32.0</v>
      </c>
      <c r="J3749" s="11" t="str">
        <f>IF(D3749&lt;&gt;"",VLOOKUP(H3749,TABLEITEM,5,FALSE),"")</f>
        <v>EA</v>
      </c>
      <c r="K3749" s="12">
        <v>1.2</v>
      </c>
      <c r="L3749" s="13" t="str">
        <f>IF(D3749&lt;&gt;"",VLOOKUP(H3749,TABLEITEM,2,FALSE),"")</f>
        <v/>
      </c>
      <c r="M3749" s="13" t="str">
        <f>IF(D3749&lt;&gt;"",VLOOKUP(H3749,TABLEITEM,3,FALSE),"")</f>
        <v>แหวนสปริง SUS M10</v>
      </c>
      <c r="N3749" s="14">
        <f>INSTOCK!$I3749*INSTOCK!$K3749</f>
        <v>38.4</v>
      </c>
      <c r="O3749" s="4"/>
      <c r="P3749" s="4"/>
    </row>
    <row r="3750" ht="15.75" hidden="1" customHeight="1">
      <c r="B3750" s="8">
        <v>4069.0</v>
      </c>
      <c r="C3750" s="9">
        <v>43293.0</v>
      </c>
      <c r="D3750" s="6" t="s">
        <v>4863</v>
      </c>
      <c r="E3750" s="4"/>
      <c r="F3750" s="8" t="s">
        <v>4864</v>
      </c>
      <c r="G3750" s="4" t="s">
        <v>2980</v>
      </c>
      <c r="H3750" s="10" t="s">
        <v>4803</v>
      </c>
      <c r="I3750" s="10">
        <v>1.0</v>
      </c>
      <c r="J3750" s="11" t="str">
        <f>IF(D3750&lt;&gt;"",VLOOKUP(H3750,TABLEITEM,5,FALSE),"")</f>
        <v>EA</v>
      </c>
      <c r="K3750" s="12">
        <v>450.0</v>
      </c>
      <c r="L3750" s="13" t="str">
        <f>IF(D3750&lt;&gt;"",VLOOKUP(H3750,TABLEITEM,2,FALSE),"")</f>
        <v/>
      </c>
      <c r="M3750" s="13" t="str">
        <f>IF(D3750&lt;&gt;"",VLOOKUP(H3750,TABLEITEM,3,FALSE),"")</f>
        <v>PRESSURESWITCH</v>
      </c>
      <c r="N3750" s="14">
        <f>INSTOCK!$I3750*INSTOCK!$K3750</f>
        <v>450</v>
      </c>
      <c r="O3750" s="4"/>
      <c r="P3750" s="4"/>
    </row>
    <row r="3751" ht="15.75" hidden="1" customHeight="1">
      <c r="B3751" s="8">
        <v>4070.0</v>
      </c>
      <c r="C3751" s="9">
        <v>43293.0</v>
      </c>
      <c r="D3751" s="6" t="s">
        <v>4863</v>
      </c>
      <c r="E3751" s="4"/>
      <c r="F3751" s="8" t="s">
        <v>4864</v>
      </c>
      <c r="G3751" s="4" t="s">
        <v>2980</v>
      </c>
      <c r="H3751" s="10" t="s">
        <v>4865</v>
      </c>
      <c r="I3751" s="10">
        <v>2.0</v>
      </c>
      <c r="J3751" s="11" t="str">
        <f>IF(D3751&lt;&gt;"",VLOOKUP(H3751,TABLEITEM,5,FALSE),"")</f>
        <v>EA</v>
      </c>
      <c r="K3751" s="12">
        <v>450.0</v>
      </c>
      <c r="L3751" s="13" t="str">
        <f>IF(D3751&lt;&gt;"",VLOOKUP(H3751,TABLEITEM,2,FALSE),"")</f>
        <v/>
      </c>
      <c r="M3751" s="13" t="str">
        <f>IF(D3751&lt;&gt;"",VLOOKUP(H3751,TABLEITEM,3,FALSE),"")</f>
        <v>เช็ควาล์ว 3/4"</v>
      </c>
      <c r="N3751" s="14">
        <f>INSTOCK!$I3751*INSTOCK!$K3751</f>
        <v>900</v>
      </c>
      <c r="O3751" s="4"/>
      <c r="P3751" s="4"/>
    </row>
    <row r="3752" ht="15.75" hidden="1" customHeight="1">
      <c r="B3752" s="8">
        <v>4071.0</v>
      </c>
      <c r="C3752" s="9">
        <v>43293.0</v>
      </c>
      <c r="D3752" s="6" t="s">
        <v>4866</v>
      </c>
      <c r="E3752" s="4">
        <v>6.10700085E9</v>
      </c>
      <c r="F3752" s="8" t="s">
        <v>4867</v>
      </c>
      <c r="G3752" s="4" t="s">
        <v>1587</v>
      </c>
      <c r="H3752" s="10" t="s">
        <v>4868</v>
      </c>
      <c r="I3752" s="10">
        <v>1.0</v>
      </c>
      <c r="J3752" s="11" t="str">
        <f>IF(D3752&lt;&gt;"",VLOOKUP(H3752,TABLEITEM,5,FALSE),"")</f>
        <v>EA</v>
      </c>
      <c r="K3752" s="12">
        <v>7750.0</v>
      </c>
      <c r="L3752" s="13" t="str">
        <f>IF(D3752&lt;&gt;"",VLOOKUP(H3752,TABLEITEM,2,FALSE),"")</f>
        <v/>
      </c>
      <c r="M3752" s="13" t="str">
        <f>IF(D3752&lt;&gt;"",VLOOKUP(H3752,TABLEITEM,3,FALSE),"")</f>
        <v>เบรกเกอร์ NF400-CW 3P 400A</v>
      </c>
      <c r="N3752" s="14">
        <f>INSTOCK!$I3752*INSTOCK!$K3752</f>
        <v>7750</v>
      </c>
      <c r="O3752" s="4" t="s">
        <v>4869</v>
      </c>
      <c r="P3752" s="4"/>
    </row>
    <row r="3753" ht="15.75" hidden="1" customHeight="1">
      <c r="B3753" s="8">
        <v>4072.0</v>
      </c>
      <c r="C3753" s="9">
        <v>43293.0</v>
      </c>
      <c r="D3753" s="6" t="s">
        <v>4866</v>
      </c>
      <c r="E3753" s="4">
        <v>6.10700085E9</v>
      </c>
      <c r="F3753" s="8" t="s">
        <v>4867</v>
      </c>
      <c r="G3753" s="4" t="s">
        <v>1587</v>
      </c>
      <c r="H3753" s="10" t="s">
        <v>4870</v>
      </c>
      <c r="I3753" s="10">
        <v>2.0</v>
      </c>
      <c r="J3753" s="11" t="str">
        <f>IF(D3753&lt;&gt;"",VLOOKUP(H3753,TABLEITEM,5,FALSE),"")</f>
        <v>EA</v>
      </c>
      <c r="K3753" s="12">
        <v>3250.0</v>
      </c>
      <c r="L3753" s="13" t="str">
        <f>IF(D3753&lt;&gt;"",VLOOKUP(H3753,TABLEITEM,2,FALSE),"")</f>
        <v/>
      </c>
      <c r="M3753" s="13" t="str">
        <f>IF(D3753&lt;&gt;"",VLOOKUP(H3753,TABLEITEM,3,FALSE),"")</f>
        <v>เบรกกอร์ NF250-CV 3P 250A</v>
      </c>
      <c r="N3753" s="14">
        <f>INSTOCK!$I3753*INSTOCK!$K3753</f>
        <v>6500</v>
      </c>
      <c r="O3753" s="4" t="s">
        <v>4871</v>
      </c>
      <c r="P3753" s="4"/>
    </row>
    <row r="3754" ht="15.75" hidden="1" customHeight="1">
      <c r="B3754" s="8">
        <v>4073.0</v>
      </c>
      <c r="C3754" s="9">
        <v>43293.0</v>
      </c>
      <c r="D3754" s="6" t="s">
        <v>4866</v>
      </c>
      <c r="E3754" s="4">
        <v>6.10700085E9</v>
      </c>
      <c r="F3754" s="8" t="s">
        <v>4867</v>
      </c>
      <c r="G3754" s="4" t="s">
        <v>1587</v>
      </c>
      <c r="H3754" s="10" t="s">
        <v>4872</v>
      </c>
      <c r="I3754" s="10">
        <v>2.0</v>
      </c>
      <c r="J3754" s="11" t="str">
        <f>IF(D3754&lt;&gt;"",VLOOKUP(H3754,TABLEITEM,5,FALSE),"")</f>
        <v>EA</v>
      </c>
      <c r="K3754" s="12">
        <v>3250.0</v>
      </c>
      <c r="L3754" s="13" t="str">
        <f>IF(D3754&lt;&gt;"",VLOOKUP(H3754,TABLEITEM,2,FALSE),"")</f>
        <v/>
      </c>
      <c r="M3754" s="13" t="str">
        <f>IF(D3754&lt;&gt;"",VLOOKUP(H3754,TABLEITEM,3,FALSE),"")</f>
        <v>เบรกเกอร์ NF250-CV 3P 150A</v>
      </c>
      <c r="N3754" s="14">
        <f>INSTOCK!$I3754*INSTOCK!$K3754</f>
        <v>6500</v>
      </c>
      <c r="O3754" s="4" t="s">
        <v>4871</v>
      </c>
      <c r="P3754" s="4"/>
    </row>
    <row r="3755" ht="15.75" hidden="1" customHeight="1">
      <c r="B3755" s="8">
        <v>4074.0</v>
      </c>
      <c r="C3755" s="9">
        <v>43293.0</v>
      </c>
      <c r="D3755" s="6" t="s">
        <v>4866</v>
      </c>
      <c r="E3755" s="4">
        <v>6.10700085E9</v>
      </c>
      <c r="F3755" s="8" t="s">
        <v>4867</v>
      </c>
      <c r="G3755" s="4" t="s">
        <v>1587</v>
      </c>
      <c r="H3755" s="10" t="s">
        <v>4873</v>
      </c>
      <c r="I3755" s="10">
        <v>2.0</v>
      </c>
      <c r="J3755" s="11" t="str">
        <f>IF(D3755&lt;&gt;"",VLOOKUP(H3755,TABLEITEM,5,FALSE),"")</f>
        <v>EA</v>
      </c>
      <c r="K3755" s="12">
        <v>1650.0</v>
      </c>
      <c r="L3755" s="13" t="str">
        <f>IF(D3755&lt;&gt;"",VLOOKUP(H3755,TABLEITEM,2,FALSE),"")</f>
        <v/>
      </c>
      <c r="M3755" s="13" t="str">
        <f>IF(D3755&lt;&gt;"",VLOOKUP(H3755,TABLEITEM,3,FALSE),"")</f>
        <v>เบรกเกอร์ NF125-CV 3P 100A</v>
      </c>
      <c r="N3755" s="14">
        <f>INSTOCK!$I3755*INSTOCK!$K3755</f>
        <v>3300</v>
      </c>
      <c r="O3755" s="4" t="s">
        <v>4874</v>
      </c>
      <c r="P3755" s="4"/>
    </row>
    <row r="3756" ht="15.75" hidden="1" customHeight="1">
      <c r="B3756" s="8">
        <v>4075.0</v>
      </c>
      <c r="C3756" s="9">
        <v>43293.0</v>
      </c>
      <c r="D3756" s="6" t="s">
        <v>4866</v>
      </c>
      <c r="E3756" s="4">
        <v>6.10700085E9</v>
      </c>
      <c r="F3756" s="8" t="s">
        <v>4867</v>
      </c>
      <c r="G3756" s="4" t="s">
        <v>1587</v>
      </c>
      <c r="H3756" s="10" t="s">
        <v>4875</v>
      </c>
      <c r="I3756" s="10">
        <v>4.0</v>
      </c>
      <c r="J3756" s="11" t="str">
        <f>IF(D3756&lt;&gt;"",VLOOKUP(H3756,TABLEITEM,5,FALSE),"")</f>
        <v>EA</v>
      </c>
      <c r="K3756" s="12">
        <v>1100.0</v>
      </c>
      <c r="L3756" s="13" t="str">
        <f>IF(D3756&lt;&gt;"",VLOOKUP(H3756,TABLEITEM,2,FALSE),"")</f>
        <v/>
      </c>
      <c r="M3756" s="13" t="str">
        <f>IF(D3756&lt;&gt;"",VLOOKUP(H3756,TABLEITEM,3,FALSE),"")</f>
        <v>เบรกเกอร์ NF63-HV 3P 63A</v>
      </c>
      <c r="N3756" s="14">
        <f>INSTOCK!$I3756*INSTOCK!$K3756</f>
        <v>4400</v>
      </c>
      <c r="O3756" s="4" t="s">
        <v>4876</v>
      </c>
      <c r="P3756" s="4"/>
    </row>
    <row r="3757" ht="15.75" hidden="1" customHeight="1">
      <c r="B3757" s="8">
        <v>4076.0</v>
      </c>
      <c r="C3757" s="9">
        <v>43293.0</v>
      </c>
      <c r="D3757" s="6">
        <v>82022.0</v>
      </c>
      <c r="E3757" s="4">
        <v>6.107000842E9</v>
      </c>
      <c r="F3757" s="8" t="s">
        <v>604</v>
      </c>
      <c r="G3757" s="4" t="s">
        <v>2589</v>
      </c>
      <c r="H3757" s="10" t="s">
        <v>2668</v>
      </c>
      <c r="I3757" s="10">
        <v>5000.0</v>
      </c>
      <c r="J3757" s="11" t="str">
        <f>IF(D3757&lt;&gt;"",VLOOKUP(H3757,TABLEITEM,5,FALSE),"")</f>
        <v>EA</v>
      </c>
      <c r="K3757" s="12">
        <v>1.15</v>
      </c>
      <c r="L3757" s="13" t="str">
        <f>IF(D3757&lt;&gt;"",VLOOKUP(H3757,TABLEITEM,2,FALSE),"")</f>
        <v/>
      </c>
      <c r="M3757" s="13" t="str">
        <f>IF(D3757&lt;&gt;"",VLOOKUP(H3757,TABLEITEM,3,FALSE),"")</f>
        <v>สตัด M5x10</v>
      </c>
      <c r="N3757" s="14">
        <f>INSTOCK!$I3757*INSTOCK!$K3757</f>
        <v>5750</v>
      </c>
      <c r="O3757" s="4"/>
      <c r="P3757" s="4"/>
    </row>
    <row r="3758" ht="15.75" hidden="1" customHeight="1">
      <c r="B3758" s="8">
        <v>4077.0</v>
      </c>
      <c r="C3758" s="9">
        <v>43293.0</v>
      </c>
      <c r="D3758" s="6">
        <v>82022.0</v>
      </c>
      <c r="E3758" s="4">
        <v>6.107000842E9</v>
      </c>
      <c r="F3758" s="8" t="s">
        <v>604</v>
      </c>
      <c r="G3758" s="4" t="s">
        <v>2589</v>
      </c>
      <c r="H3758" s="10" t="s">
        <v>4462</v>
      </c>
      <c r="I3758" s="10">
        <v>2000.0</v>
      </c>
      <c r="J3758" s="11" t="str">
        <f>IF(D3758&lt;&gt;"",VLOOKUP(H3758,TABLEITEM,5,FALSE),"")</f>
        <v>EA</v>
      </c>
      <c r="K3758" s="12">
        <v>2.15</v>
      </c>
      <c r="L3758" s="13" t="str">
        <f>IF(D3758&lt;&gt;"",VLOOKUP(H3758,TABLEITEM,2,FALSE),"")</f>
        <v/>
      </c>
      <c r="M3758" s="13" t="str">
        <f>IF(D3758&lt;&gt;"",VLOOKUP(H3758,TABLEITEM,3,FALSE),"")</f>
        <v>สตัด M6x15</v>
      </c>
      <c r="N3758" s="14">
        <f>INSTOCK!$I3758*INSTOCK!$K3758</f>
        <v>4300</v>
      </c>
      <c r="O3758" s="4"/>
      <c r="P3758" s="4"/>
    </row>
    <row r="3759" ht="15.75" hidden="1" customHeight="1">
      <c r="B3759" s="8">
        <v>4078.0</v>
      </c>
      <c r="C3759" s="9">
        <v>43293.0</v>
      </c>
      <c r="D3759" s="6">
        <v>82022.0</v>
      </c>
      <c r="E3759" s="4">
        <v>6.107000842E9</v>
      </c>
      <c r="F3759" s="8" t="s">
        <v>604</v>
      </c>
      <c r="G3759" s="4" t="s">
        <v>2589</v>
      </c>
      <c r="H3759" s="10" t="s">
        <v>4877</v>
      </c>
      <c r="I3759" s="10">
        <v>1000.0</v>
      </c>
      <c r="J3759" s="11" t="str">
        <f>IF(D3759&lt;&gt;"",VLOOKUP(H3759,TABLEITEM,5,FALSE),"")</f>
        <v>EA</v>
      </c>
      <c r="K3759" s="12">
        <v>3.14</v>
      </c>
      <c r="L3759" s="13" t="str">
        <f>IF(D3759&lt;&gt;"",VLOOKUP(H3759,TABLEITEM,2,FALSE),"")</f>
        <v/>
      </c>
      <c r="M3759" s="13" t="str">
        <f>IF(D3759&lt;&gt;"",VLOOKUP(H3759,TABLEITEM,3,FALSE),"")</f>
        <v>สตัดสแตนเลส M5x10</v>
      </c>
      <c r="N3759" s="14">
        <f>INSTOCK!$I3759*INSTOCK!$K3759</f>
        <v>3140</v>
      </c>
      <c r="O3759" s="4"/>
      <c r="P3759" s="4"/>
    </row>
    <row r="3760" ht="15.75" hidden="1" customHeight="1">
      <c r="B3760" s="8">
        <v>4079.0</v>
      </c>
      <c r="C3760" s="9">
        <v>43292.0</v>
      </c>
      <c r="D3760" s="6" t="s">
        <v>4878</v>
      </c>
      <c r="E3760" s="4">
        <v>6.105000568E9</v>
      </c>
      <c r="F3760" s="8" t="s">
        <v>604</v>
      </c>
      <c r="G3760" s="4" t="s">
        <v>4557</v>
      </c>
      <c r="H3760" s="10" t="s">
        <v>2652</v>
      </c>
      <c r="I3760" s="10">
        <v>400.0</v>
      </c>
      <c r="J3760" s="11" t="str">
        <f>IF(D3760&lt;&gt;"",VLOOKUP(H3760,TABLEITEM,5,FALSE),"")</f>
        <v>M</v>
      </c>
      <c r="K3760" s="12">
        <v>100.0</v>
      </c>
      <c r="L3760" s="13" t="str">
        <f>IF(D3760&lt;&gt;"",VLOOKUP(H3760,TABLEITEM,2,FALSE),"")</f>
        <v/>
      </c>
      <c r="M3760" s="13" t="str">
        <f>IF(D3760&lt;&gt;"",VLOOKUP(H3760,TABLEITEM,3,FALSE),"")</f>
        <v>ยางขอบกระจก ร่อง 3-6 มิล </v>
      </c>
      <c r="N3760" s="14">
        <f>INSTOCK!$I3760*INSTOCK!$K3760</f>
        <v>40000</v>
      </c>
      <c r="O3760" s="4"/>
      <c r="P3760" s="4"/>
    </row>
    <row r="3761" ht="15.75" hidden="1" customHeight="1">
      <c r="B3761" s="8">
        <v>4080.0</v>
      </c>
      <c r="C3761" s="9">
        <v>43292.0</v>
      </c>
      <c r="D3761" s="6" t="s">
        <v>4879</v>
      </c>
      <c r="E3761" s="4">
        <v>6.107000844E9</v>
      </c>
      <c r="F3761" s="8" t="s">
        <v>4867</v>
      </c>
      <c r="G3761" s="4" t="s">
        <v>1485</v>
      </c>
      <c r="H3761" s="10" t="s">
        <v>4880</v>
      </c>
      <c r="I3761" s="10">
        <v>1.0</v>
      </c>
      <c r="J3761" s="11" t="str">
        <f>IF(D3761&lt;&gt;"",VLOOKUP(H3761,TABLEITEM,5,FALSE),"")</f>
        <v>EA</v>
      </c>
      <c r="K3761" s="12">
        <v>14432.0</v>
      </c>
      <c r="L3761" s="13" t="str">
        <f>IF(D3761&lt;&gt;"",VLOOKUP(H3761,TABLEITEM,2,FALSE),"")</f>
        <v/>
      </c>
      <c r="M3761" s="13" t="str">
        <f>IF(D3761&lt;&gt;"",VLOOKUP(H3761,TABLEITEM,3,FALSE),"")</f>
        <v>POWER METER PM5350 </v>
      </c>
      <c r="N3761" s="14">
        <f>INSTOCK!$I3761*INSTOCK!$K3761</f>
        <v>14432</v>
      </c>
      <c r="O3761" s="4"/>
      <c r="P3761" s="4"/>
    </row>
    <row r="3762" ht="15.75" hidden="1" customHeight="1">
      <c r="B3762" s="8">
        <v>4081.0</v>
      </c>
      <c r="C3762" s="9">
        <v>43291.0</v>
      </c>
      <c r="D3762" s="6" t="s">
        <v>4881</v>
      </c>
      <c r="E3762" s="4"/>
      <c r="F3762" s="8" t="s">
        <v>4855</v>
      </c>
      <c r="G3762" s="4" t="s">
        <v>4856</v>
      </c>
      <c r="H3762" s="10" t="s">
        <v>4882</v>
      </c>
      <c r="I3762" s="10">
        <v>6.0</v>
      </c>
      <c r="J3762" s="11" t="str">
        <f>IF(D3762&lt;&gt;"",VLOOKUP(H3762,TABLEITEM,5,FALSE),"")</f>
        <v>EA</v>
      </c>
      <c r="K3762" s="12">
        <v>949.0</v>
      </c>
      <c r="L3762" s="13" t="str">
        <f>IF(D3762&lt;&gt;"",VLOOKUP(H3762,TABLEITEM,2,FALSE),"")</f>
        <v/>
      </c>
      <c r="M3762" s="13" t="str">
        <f>IF(D3762&lt;&gt;"",VLOOKUP(H3762,TABLEITEM,3,FALSE),"")</f>
        <v>สลิงผ้าใบ Eye-Eye Webbing Sling 4Tx8M</v>
      </c>
      <c r="N3762" s="14">
        <f>INSTOCK!$I3762*INSTOCK!$K3762</f>
        <v>5694</v>
      </c>
      <c r="O3762" s="4"/>
      <c r="P3762" s="4"/>
    </row>
    <row r="3763" ht="15.75" hidden="1" customHeight="1">
      <c r="B3763" s="8">
        <v>4082.0</v>
      </c>
      <c r="C3763" s="9">
        <v>43291.0</v>
      </c>
      <c r="D3763" s="6" t="s">
        <v>4881</v>
      </c>
      <c r="E3763" s="4"/>
      <c r="F3763" s="8" t="s">
        <v>4855</v>
      </c>
      <c r="G3763" s="4" t="s">
        <v>4856</v>
      </c>
      <c r="H3763" s="10" t="s">
        <v>4857</v>
      </c>
      <c r="I3763" s="10">
        <v>2.0</v>
      </c>
      <c r="J3763" s="11" t="str">
        <f>IF(D3763&lt;&gt;"",VLOOKUP(H3763,TABLEITEM,5,FALSE),"")</f>
        <v>EA</v>
      </c>
      <c r="K3763" s="12">
        <v>500.0</v>
      </c>
      <c r="L3763" s="13" t="str">
        <f>IF(D3763&lt;&gt;"",VLOOKUP(H3763,TABLEITEM,2,FALSE),"")</f>
        <v/>
      </c>
      <c r="M3763" s="13" t="str">
        <f>IF(D3763&lt;&gt;"",VLOOKUP(H3763,TABLEITEM,3,FALSE),"")</f>
        <v>สายรัด RATCHET TIE DOWN 2"x8M x5000kg</v>
      </c>
      <c r="N3763" s="14">
        <f>INSTOCK!$I3763*INSTOCK!$K3763</f>
        <v>1000</v>
      </c>
      <c r="O3763" s="4"/>
      <c r="P3763" s="4"/>
    </row>
    <row r="3764" ht="15.75" hidden="1" customHeight="1">
      <c r="B3764" s="8">
        <v>4083.0</v>
      </c>
      <c r="C3764" s="9">
        <v>43291.0</v>
      </c>
      <c r="D3764" s="6" t="s">
        <v>4881</v>
      </c>
      <c r="E3764" s="4"/>
      <c r="F3764" s="8" t="s">
        <v>4855</v>
      </c>
      <c r="G3764" s="4" t="s">
        <v>4856</v>
      </c>
      <c r="H3764" s="10" t="s">
        <v>4883</v>
      </c>
      <c r="I3764" s="10">
        <v>1.0</v>
      </c>
      <c r="J3764" s="11" t="str">
        <f>IF(D3764&lt;&gt;"",VLOOKUP(H3764,TABLEITEM,5,FALSE),"")</f>
        <v>EA</v>
      </c>
      <c r="K3764" s="12">
        <v>3700.0</v>
      </c>
      <c r="L3764" s="13" t="str">
        <f>IF(D3764&lt;&gt;"",VLOOKUP(H3764,TABLEITEM,2,FALSE),"")</f>
        <v/>
      </c>
      <c r="M3764" s="13" t="str">
        <f>IF(D3764&lt;&gt;"",VLOOKUP(H3764,TABLEITEM,3,FALSE),"")</f>
        <v>ลวดสลิง 4ขา 5x2M.</v>
      </c>
      <c r="N3764" s="14">
        <f>INSTOCK!$I3764*INSTOCK!$K3764</f>
        <v>3700</v>
      </c>
      <c r="O3764" s="4"/>
      <c r="P3764" s="4"/>
    </row>
    <row r="3765" ht="15.75" hidden="1" customHeight="1">
      <c r="B3765" s="8">
        <v>4084.0</v>
      </c>
      <c r="C3765" s="9">
        <v>43291.0</v>
      </c>
      <c r="D3765" s="6">
        <v>6.10703487E8</v>
      </c>
      <c r="E3765" s="4">
        <v>6.10700084E9</v>
      </c>
      <c r="F3765" s="8" t="s">
        <v>4867</v>
      </c>
      <c r="G3765" s="4" t="s">
        <v>1130</v>
      </c>
      <c r="H3765" s="10" t="s">
        <v>2791</v>
      </c>
      <c r="I3765" s="10">
        <v>3.0</v>
      </c>
      <c r="J3765" s="11" t="str">
        <f>IF(D3765&lt;&gt;"",VLOOKUP(H3765,TABLEITEM,5,FALSE),"")</f>
        <v>EA</v>
      </c>
      <c r="K3765" s="12">
        <v>121.123</v>
      </c>
      <c r="L3765" s="13" t="str">
        <f>IF(D3765&lt;&gt;"",VLOOKUP(H3765,TABLEITEM,2,FALSE),"")</f>
        <v/>
      </c>
      <c r="M3765" s="13" t="str">
        <f>IF(D3765&lt;&gt;"",VLOOKUP(H3765,TABLEITEM,3,FALSE),"")</f>
        <v>CT400/5 MQS40</v>
      </c>
      <c r="N3765" s="14">
        <f>INSTOCK!$I3765*INSTOCK!$K3765</f>
        <v>363.369</v>
      </c>
      <c r="O3765" s="4" t="s">
        <v>1898</v>
      </c>
      <c r="P3765" s="4"/>
    </row>
    <row r="3766" ht="15.75" hidden="1" customHeight="1">
      <c r="B3766" s="8">
        <v>4085.0</v>
      </c>
      <c r="C3766" s="9">
        <v>43288.0</v>
      </c>
      <c r="D3766" s="6">
        <v>498129.0</v>
      </c>
      <c r="E3766" s="4"/>
      <c r="F3766" s="8" t="s">
        <v>4855</v>
      </c>
      <c r="G3766" s="4" t="s">
        <v>3724</v>
      </c>
      <c r="H3766" s="10" t="s">
        <v>4884</v>
      </c>
      <c r="I3766" s="10">
        <v>2.0</v>
      </c>
      <c r="J3766" s="11" t="str">
        <f>IF(D3766&lt;&gt;"",VLOOKUP(H3766,TABLEITEM,5,FALSE),"")</f>
        <v>EA</v>
      </c>
      <c r="K3766" s="12">
        <v>90.0</v>
      </c>
      <c r="L3766" s="13" t="str">
        <f>IF(D3766&lt;&gt;"",VLOOKUP(H3766,TABLEITEM,2,FALSE),"")</f>
        <v/>
      </c>
      <c r="M3766" s="13" t="str">
        <f>IF(D3766&lt;&gt;"",VLOOKUP(H3766,TABLEITEM,3,FALSE),"")</f>
        <v>เสื้อจราจร RIGHT 5118 สะท้อนแสง OR</v>
      </c>
      <c r="N3766" s="14">
        <f>INSTOCK!$I3766*INSTOCK!$K3766</f>
        <v>180</v>
      </c>
      <c r="O3766" s="4"/>
      <c r="P3766" s="4"/>
    </row>
    <row r="3767" ht="15.75" hidden="1" customHeight="1">
      <c r="B3767" s="8">
        <v>4086.0</v>
      </c>
      <c r="C3767" s="9">
        <v>43288.0</v>
      </c>
      <c r="D3767" s="6">
        <v>498129.0</v>
      </c>
      <c r="E3767" s="4"/>
      <c r="F3767" s="8" t="s">
        <v>4855</v>
      </c>
      <c r="G3767" s="4" t="s">
        <v>3724</v>
      </c>
      <c r="H3767" s="10" t="s">
        <v>4885</v>
      </c>
      <c r="I3767" s="10">
        <v>2.0</v>
      </c>
      <c r="J3767" s="11" t="str">
        <f>IF(D3767&lt;&gt;"",VLOOKUP(H3767,TABLEITEM,5,FALSE),"")</f>
        <v>EA</v>
      </c>
      <c r="K3767" s="12">
        <v>299.0</v>
      </c>
      <c r="L3767" s="13" t="str">
        <f>IF(D3767&lt;&gt;"",VLOOKUP(H3767,TABLEITEM,2,FALSE),"")</f>
        <v/>
      </c>
      <c r="M3767" s="13" t="str">
        <f>IF(D3767&lt;&gt;"",VLOOKUP(H3767,TABLEITEM,3,FALSE),"")</f>
        <v>กรวยจราจร RIGHT PVC 70CM OR</v>
      </c>
      <c r="N3767" s="14">
        <f>INSTOCK!$I3767*INSTOCK!$K3767</f>
        <v>598</v>
      </c>
      <c r="O3767" s="4"/>
      <c r="P3767" s="4"/>
    </row>
    <row r="3768" ht="15.75" hidden="1" customHeight="1">
      <c r="B3768" s="8">
        <v>4087.0</v>
      </c>
      <c r="C3768" s="9">
        <v>43288.0</v>
      </c>
      <c r="D3768" s="6">
        <v>36384.0</v>
      </c>
      <c r="E3768" s="4">
        <v>6.106000784E9</v>
      </c>
      <c r="F3768" s="8" t="s">
        <v>604</v>
      </c>
      <c r="G3768" s="4" t="s">
        <v>1009</v>
      </c>
      <c r="H3768" s="10" t="s">
        <v>1010</v>
      </c>
      <c r="I3768" s="10">
        <v>100.0</v>
      </c>
      <c r="J3768" s="11" t="str">
        <f>IF(D3768&lt;&gt;"",VLOOKUP(H3768,TABLEITEM,5,FALSE),"")</f>
        <v>EA</v>
      </c>
      <c r="K3768" s="12">
        <v>200.0</v>
      </c>
      <c r="L3768" s="13" t="str">
        <f>IF(D3768&lt;&gt;"",VLOOKUP(H3768,TABLEITEM,2,FALSE),"")</f>
        <v/>
      </c>
      <c r="M3768" s="13" t="str">
        <f>IF(D3768&lt;&gt;"",VLOOKUP(H3768,TABLEITEM,3,FALSE),"")</f>
        <v>กุญแจMS306-1-1</v>
      </c>
      <c r="N3768" s="14">
        <f>INSTOCK!$I3768*INSTOCK!$K3768</f>
        <v>20000</v>
      </c>
      <c r="O3768" s="4"/>
      <c r="P3768" s="4"/>
    </row>
    <row r="3769" ht="15.75" hidden="1" customHeight="1">
      <c r="B3769" s="8">
        <v>4088.0</v>
      </c>
      <c r="C3769" s="9">
        <v>43288.0</v>
      </c>
      <c r="D3769" s="6">
        <v>36384.0</v>
      </c>
      <c r="E3769" s="4">
        <v>6.106000784E9</v>
      </c>
      <c r="F3769" s="8" t="s">
        <v>604</v>
      </c>
      <c r="G3769" s="4" t="s">
        <v>1009</v>
      </c>
      <c r="H3769" s="10" t="s">
        <v>242</v>
      </c>
      <c r="I3769" s="10">
        <v>5000.0</v>
      </c>
      <c r="J3769" s="11" t="str">
        <f>IF(D3769&lt;&gt;"",VLOOKUP(H3769,TABLEITEM,5,FALSE),"")</f>
        <v>EA</v>
      </c>
      <c r="K3769" s="12">
        <v>0.55</v>
      </c>
      <c r="L3769" s="13" t="str">
        <f>IF(D3769&lt;&gt;"",VLOOKUP(H3769,TABLEITEM,2,FALSE),"")</f>
        <v/>
      </c>
      <c r="M3769" s="13" t="str">
        <f>IF(D3769&lt;&gt;"",VLOOKUP(H3769,TABLEITEM,3,FALSE),"")</f>
        <v>หางปลาเข็มแบนแบบเปลือย 1.25-10</v>
      </c>
      <c r="N3769" s="14">
        <f>INSTOCK!$I3769*INSTOCK!$K3769</f>
        <v>2750</v>
      </c>
      <c r="O3769" s="4"/>
      <c r="P3769" s="4"/>
    </row>
    <row r="3770" ht="15.75" hidden="1" customHeight="1">
      <c r="B3770" s="8">
        <v>4089.0</v>
      </c>
      <c r="C3770" s="9">
        <v>43288.0</v>
      </c>
      <c r="D3770" s="6">
        <v>36384.0</v>
      </c>
      <c r="E3770" s="4">
        <v>6.106000784E9</v>
      </c>
      <c r="F3770" s="8" t="s">
        <v>604</v>
      </c>
      <c r="G3770" s="4" t="s">
        <v>1009</v>
      </c>
      <c r="H3770" s="10" t="s">
        <v>3758</v>
      </c>
      <c r="I3770" s="10">
        <v>300.0</v>
      </c>
      <c r="J3770" s="11" t="str">
        <f>IF(D3770&lt;&gt;"",VLOOKUP(H3770,TABLEITEM,5,FALSE),"")</f>
        <v>EA</v>
      </c>
      <c r="K3770" s="12">
        <v>33.0</v>
      </c>
      <c r="L3770" s="13" t="str">
        <f>IF(D3770&lt;&gt;"",VLOOKUP(H3770,TABLEITEM,2,FALSE),"")</f>
        <v/>
      </c>
      <c r="M3770" s="13" t="str">
        <f>IF(D3770&lt;&gt;"",VLOOKUP(H3770,TABLEITEM,3,FALSE),"")</f>
        <v>KEY-LOCKHINGES HL-042บานพับผีเสื้อดำ</v>
      </c>
      <c r="N3770" s="14">
        <f>INSTOCK!$I3770*INSTOCK!$K3770</f>
        <v>9900</v>
      </c>
      <c r="O3770" s="4"/>
      <c r="P3770" s="4"/>
    </row>
    <row r="3771" ht="15.75" hidden="1" customHeight="1">
      <c r="B3771" s="8">
        <v>4090.0</v>
      </c>
      <c r="C3771" s="9">
        <v>43288.0</v>
      </c>
      <c r="D3771" s="6">
        <v>36384.0</v>
      </c>
      <c r="E3771" s="4">
        <v>6.106000784E9</v>
      </c>
      <c r="F3771" s="8" t="s">
        <v>604</v>
      </c>
      <c r="G3771" s="4" t="s">
        <v>1009</v>
      </c>
      <c r="H3771" s="10" t="s">
        <v>132</v>
      </c>
      <c r="I3771" s="10">
        <v>100.0</v>
      </c>
      <c r="J3771" s="11" t="str">
        <f>IF(D3771&lt;&gt;"",VLOOKUP(H3771,TABLEITEM,5,FALSE),"")</f>
        <v>EA</v>
      </c>
      <c r="K3771" s="12">
        <v>20.0</v>
      </c>
      <c r="L3771" s="13" t="str">
        <f>IF(D3771&lt;&gt;"",VLOOKUP(H3771,TABLEITEM,2,FALSE),"")</f>
        <v/>
      </c>
      <c r="M3771" s="13" t="str">
        <f>IF(D3771&lt;&gt;"",VLOOKUP(H3771,TABLEITEM,3,FALSE),"")</f>
        <v>มือจับพลาสติกสีดำ</v>
      </c>
      <c r="N3771" s="14">
        <f>INSTOCK!$I3771*INSTOCK!$K3771</f>
        <v>2000</v>
      </c>
      <c r="O3771" s="4"/>
      <c r="P3771" s="4"/>
    </row>
    <row r="3772" ht="15.75" hidden="1" customHeight="1">
      <c r="B3772" s="8">
        <v>4091.0</v>
      </c>
      <c r="C3772" s="9">
        <v>43287.0</v>
      </c>
      <c r="D3772" s="6" t="s">
        <v>4886</v>
      </c>
      <c r="E3772" s="4">
        <v>6.107000824E9</v>
      </c>
      <c r="F3772" s="8" t="s">
        <v>604</v>
      </c>
      <c r="G3772" s="4" t="s">
        <v>1870</v>
      </c>
      <c r="H3772" s="10" t="s">
        <v>4314</v>
      </c>
      <c r="I3772" s="10">
        <v>15.0</v>
      </c>
      <c r="J3772" s="11" t="str">
        <f>IF(D3772&lt;&gt;"",VLOOKUP(H3772,TABLEITEM,5,FALSE),"")</f>
        <v>EA</v>
      </c>
      <c r="K3772" s="12">
        <v>129.0</v>
      </c>
      <c r="L3772" s="13" t="str">
        <f>IF(D3772&lt;&gt;"",VLOOKUP(H3772,TABLEITEM,2,FALSE),"")</f>
        <v/>
      </c>
      <c r="M3772" s="13" t="str">
        <f>IF(D3772&lt;&gt;"",VLOOKUP(H3772,TABLEITEM,3,FALSE),"")</f>
        <v>ห่วงตู้ M12 SUS</v>
      </c>
      <c r="N3772" s="14">
        <f>INSTOCK!$I3772*INSTOCK!$K3772</f>
        <v>1935</v>
      </c>
      <c r="O3772" s="8" t="s">
        <v>4887</v>
      </c>
      <c r="P3772" s="4"/>
    </row>
    <row r="3773" ht="15.75" hidden="1" customHeight="1">
      <c r="B3773" s="8">
        <v>4092.0</v>
      </c>
      <c r="C3773" s="9">
        <v>43287.0</v>
      </c>
      <c r="D3773" s="6" t="s">
        <v>4886</v>
      </c>
      <c r="E3773" s="4">
        <v>6.107000824E9</v>
      </c>
      <c r="F3773" s="8" t="s">
        <v>604</v>
      </c>
      <c r="G3773" s="4" t="s">
        <v>1870</v>
      </c>
      <c r="H3773" s="10" t="s">
        <v>4316</v>
      </c>
      <c r="I3773" s="10">
        <v>15.0</v>
      </c>
      <c r="J3773" s="11" t="str">
        <f>IF(D3773&lt;&gt;"",VLOOKUP(H3773,TABLEITEM,5,FALSE),"")</f>
        <v>EA</v>
      </c>
      <c r="K3773" s="12">
        <v>3.8</v>
      </c>
      <c r="L3773" s="13" t="str">
        <f>IF(D3773&lt;&gt;"",VLOOKUP(H3773,TABLEITEM,2,FALSE),"")</f>
        <v/>
      </c>
      <c r="M3773" s="13" t="str">
        <f>IF(D3773&lt;&gt;"",VLOOKUP(H3773,TABLEITEM,3,FALSE),"")</f>
        <v>แหวนอีแปะ M12 SUS</v>
      </c>
      <c r="N3773" s="14">
        <f>INSTOCK!$I3773*INSTOCK!$K3773</f>
        <v>57</v>
      </c>
      <c r="O3773" s="4"/>
      <c r="P3773" s="4"/>
    </row>
    <row r="3774" ht="15.75" hidden="1" customHeight="1">
      <c r="B3774" s="8">
        <v>4093.0</v>
      </c>
      <c r="C3774" s="9">
        <v>43287.0</v>
      </c>
      <c r="D3774" s="6" t="s">
        <v>4886</v>
      </c>
      <c r="E3774" s="4">
        <v>6.107000824E9</v>
      </c>
      <c r="F3774" s="8" t="s">
        <v>604</v>
      </c>
      <c r="G3774" s="4" t="s">
        <v>1870</v>
      </c>
      <c r="H3774" s="10" t="s">
        <v>4317</v>
      </c>
      <c r="I3774" s="10">
        <v>15.0</v>
      </c>
      <c r="J3774" s="11" t="str">
        <f>IF(D3774&lt;&gt;"",VLOOKUP(H3774,TABLEITEM,5,FALSE),"")</f>
        <v>EA</v>
      </c>
      <c r="K3774" s="12">
        <v>3.6</v>
      </c>
      <c r="L3774" s="13" t="str">
        <f>IF(D3774&lt;&gt;"",VLOOKUP(H3774,TABLEITEM,2,FALSE),"")</f>
        <v/>
      </c>
      <c r="M3774" s="13" t="str">
        <f>IF(D3774&lt;&gt;"",VLOOKUP(H3774,TABLEITEM,3,FALSE),"")</f>
        <v>แหวนสปริง M12 SUS </v>
      </c>
      <c r="N3774" s="14">
        <f>INSTOCK!$I3774*INSTOCK!$K3774</f>
        <v>54</v>
      </c>
      <c r="O3774" s="4"/>
      <c r="P3774" s="4"/>
    </row>
    <row r="3775" ht="15.75" hidden="1" customHeight="1">
      <c r="B3775" s="8">
        <v>4094.0</v>
      </c>
      <c r="C3775" s="9">
        <v>43287.0</v>
      </c>
      <c r="D3775" s="6" t="s">
        <v>4886</v>
      </c>
      <c r="E3775" s="4">
        <v>6.107000824E9</v>
      </c>
      <c r="F3775" s="8" t="s">
        <v>604</v>
      </c>
      <c r="G3775" s="4" t="s">
        <v>1870</v>
      </c>
      <c r="H3775" s="10" t="s">
        <v>4318</v>
      </c>
      <c r="I3775" s="10">
        <v>15.0</v>
      </c>
      <c r="J3775" s="11" t="str">
        <f>IF(D3775&lt;&gt;"",VLOOKUP(H3775,TABLEITEM,5,FALSE),"")</f>
        <v>EA</v>
      </c>
      <c r="K3775" s="12">
        <v>7.6</v>
      </c>
      <c r="L3775" s="13" t="str">
        <f>IF(D3775&lt;&gt;"",VLOOKUP(H3775,TABLEITEM,2,FALSE),"")</f>
        <v/>
      </c>
      <c r="M3775" s="13" t="str">
        <f>IF(D3775&lt;&gt;"",VLOOKUP(H3775,TABLEITEM,3,FALSE),"")</f>
        <v>หัวน็อต M12 SUS</v>
      </c>
      <c r="N3775" s="14">
        <f>INSTOCK!$I3775*INSTOCK!$K3775</f>
        <v>114</v>
      </c>
      <c r="O3775" s="4"/>
      <c r="P3775" s="4"/>
    </row>
    <row r="3776" ht="15.75" hidden="1" customHeight="1">
      <c r="B3776" s="8">
        <v>4095.0</v>
      </c>
      <c r="C3776" s="9">
        <v>43287.0</v>
      </c>
      <c r="D3776" s="6" t="s">
        <v>4888</v>
      </c>
      <c r="E3776" s="4"/>
      <c r="F3776" s="8" t="s">
        <v>2020</v>
      </c>
      <c r="G3776" s="4" t="s">
        <v>1070</v>
      </c>
      <c r="H3776" s="10" t="s">
        <v>4889</v>
      </c>
      <c r="I3776" s="10">
        <v>2.0</v>
      </c>
      <c r="J3776" s="11" t="str">
        <f>IF(D3776&lt;&gt;"",VLOOKUP(H3776,TABLEITEM,5,FALSE),"")</f>
        <v>EA</v>
      </c>
      <c r="K3776" s="12">
        <v>-200.0</v>
      </c>
      <c r="L3776" s="13" t="str">
        <f>IF(D3776&lt;&gt;"",VLOOKUP(H3776,TABLEITEM,2,FALSE),"")</f>
        <v/>
      </c>
      <c r="M3776" s="13" t="str">
        <f>IF(D3776&lt;&gt;"",VLOOKUP(H3776,TABLEITEM,3,FALSE),"")</f>
        <v>OUT SIDE TUBE CROWN/TANMAX/TIRENP</v>
      </c>
      <c r="N3776" s="14">
        <f>INSTOCK!$I3776*INSTOCK!$K3776</f>
        <v>-400</v>
      </c>
      <c r="O3776" s="4"/>
      <c r="P3776" s="4"/>
    </row>
    <row r="3777" ht="15.75" hidden="1" customHeight="1">
      <c r="B3777" s="8">
        <v>4096.0</v>
      </c>
      <c r="C3777" s="9">
        <v>43286.0</v>
      </c>
      <c r="D3777" s="6" t="s">
        <v>4890</v>
      </c>
      <c r="E3777" s="4">
        <v>6.106000783E9</v>
      </c>
      <c r="F3777" s="8" t="s">
        <v>604</v>
      </c>
      <c r="G3777" s="4" t="s">
        <v>1070</v>
      </c>
      <c r="H3777" s="10" t="s">
        <v>4889</v>
      </c>
      <c r="I3777" s="10">
        <v>2.0</v>
      </c>
      <c r="J3777" s="11" t="str">
        <f>IF(D3777&lt;&gt;"",VLOOKUP(H3777,TABLEITEM,5,FALSE),"")</f>
        <v>EA</v>
      </c>
      <c r="K3777" s="12">
        <v>200.0</v>
      </c>
      <c r="L3777" s="13" t="str">
        <f>IF(D3777&lt;&gt;"",VLOOKUP(H3777,TABLEITEM,2,FALSE),"")</f>
        <v/>
      </c>
      <c r="M3777" s="13" t="str">
        <f>IF(D3777&lt;&gt;"",VLOOKUP(H3777,TABLEITEM,3,FALSE),"")</f>
        <v>OUT SIDE TUBE CROWN/TANMAX/TIRENP</v>
      </c>
      <c r="N3777" s="14">
        <f>INSTOCK!$I3777*INSTOCK!$K3777</f>
        <v>400</v>
      </c>
      <c r="O3777" s="4"/>
      <c r="P3777" s="4"/>
    </row>
    <row r="3778" ht="15.75" hidden="1" customHeight="1">
      <c r="B3778" s="8">
        <v>4097.0</v>
      </c>
      <c r="C3778" s="9">
        <v>43286.0</v>
      </c>
      <c r="D3778" s="6" t="s">
        <v>4891</v>
      </c>
      <c r="E3778" s="4">
        <v>6.106000804E9</v>
      </c>
      <c r="F3778" s="8" t="s">
        <v>4892</v>
      </c>
      <c r="G3778" s="4" t="s">
        <v>965</v>
      </c>
      <c r="H3778" s="10" t="s">
        <v>2906</v>
      </c>
      <c r="I3778" s="10">
        <v>20.0</v>
      </c>
      <c r="J3778" s="11" t="str">
        <f>IF(D3778&lt;&gt;"",VLOOKUP(H3778,TABLEITEM,5,FALSE),"")</f>
        <v>EA</v>
      </c>
      <c r="K3778" s="12">
        <v>10.0</v>
      </c>
      <c r="L3778" s="13" t="str">
        <f>IF(D3778&lt;&gt;"",VLOOKUP(H3778,TABLEITEM,2,FALSE),"")</f>
        <v/>
      </c>
      <c r="M3778" s="13" t="str">
        <f>IF(D3778&lt;&gt;"",VLOOKUP(H3778,TABLEITEM,3,FALSE),"")</f>
        <v>ภู่กัน #8</v>
      </c>
      <c r="N3778" s="14">
        <f>INSTOCK!$I3778*INSTOCK!$K3778</f>
        <v>200</v>
      </c>
      <c r="O3778" s="4"/>
      <c r="P3778" s="4"/>
    </row>
    <row r="3779" ht="15.75" hidden="1" customHeight="1">
      <c r="B3779" s="8">
        <v>4098.0</v>
      </c>
      <c r="C3779" s="9">
        <v>43286.0</v>
      </c>
      <c r="D3779" s="6" t="s">
        <v>4891</v>
      </c>
      <c r="E3779" s="4">
        <v>6.106000804E9</v>
      </c>
      <c r="F3779" s="8" t="s">
        <v>4892</v>
      </c>
      <c r="G3779" s="4" t="s">
        <v>965</v>
      </c>
      <c r="H3779" s="10" t="s">
        <v>4648</v>
      </c>
      <c r="I3779" s="10">
        <v>40.0</v>
      </c>
      <c r="J3779" s="11" t="str">
        <f>IF(D3779&lt;&gt;"",VLOOKUP(H3779,TABLEITEM,5,FALSE),"")</f>
        <v>EA</v>
      </c>
      <c r="K3779" s="12">
        <v>3.0</v>
      </c>
      <c r="L3779" s="13" t="str">
        <f>IF(D3779&lt;&gt;"",VLOOKUP(H3779,TABLEITEM,2,FALSE),"")</f>
        <v/>
      </c>
      <c r="M3779" s="13" t="str">
        <f>IF(D3779&lt;&gt;"",VLOOKUP(H3779,TABLEITEM,3,FALSE),"")</f>
        <v>ฟิวส์หลอดแก้วสั้น 0.5A</v>
      </c>
      <c r="N3779" s="14">
        <f>INSTOCK!$I3779*INSTOCK!$K3779</f>
        <v>120</v>
      </c>
      <c r="O3779" s="4"/>
      <c r="P3779" s="4"/>
    </row>
    <row r="3780" ht="15.75" hidden="1" customHeight="1">
      <c r="B3780" s="8">
        <v>4099.0</v>
      </c>
      <c r="C3780" s="9">
        <v>43286.0</v>
      </c>
      <c r="D3780" s="6">
        <v>6.107007E7</v>
      </c>
      <c r="E3780" s="4">
        <v>6.107000822E9</v>
      </c>
      <c r="F3780" s="8" t="s">
        <v>604</v>
      </c>
      <c r="G3780" s="4" t="s">
        <v>1127</v>
      </c>
      <c r="H3780" s="10" t="s">
        <v>17</v>
      </c>
      <c r="I3780" s="10">
        <v>24.0</v>
      </c>
      <c r="J3780" s="11" t="str">
        <f>IF(D3780&lt;&gt;"",VLOOKUP(H3780,TABLEITEM,5,FALSE),"")</f>
        <v>คู่</v>
      </c>
      <c r="K3780" s="12">
        <v>41.667</v>
      </c>
      <c r="L3780" s="13" t="str">
        <f>IF(D3780&lt;&gt;"",VLOOKUP(H3780,TABLEITEM,2,FALSE),"")</f>
        <v/>
      </c>
      <c r="M3780" s="13" t="str">
        <f>IF(D3780&lt;&gt;"",VLOOKUP(H3780,TABLEITEM,3,FALSE),"")</f>
        <v>ถุงมือหนัง</v>
      </c>
      <c r="N3780" s="14">
        <f>INSTOCK!$I3780*INSTOCK!$K3780</f>
        <v>1000.008</v>
      </c>
      <c r="O3780" s="4"/>
      <c r="P3780" s="4"/>
    </row>
    <row r="3781" ht="15.75" hidden="1" customHeight="1">
      <c r="B3781" s="8">
        <v>4100.0</v>
      </c>
      <c r="C3781" s="9">
        <v>43286.0</v>
      </c>
      <c r="D3781" s="6">
        <v>6.107007E7</v>
      </c>
      <c r="E3781" s="4">
        <v>6.107000822E9</v>
      </c>
      <c r="F3781" s="8" t="s">
        <v>604</v>
      </c>
      <c r="G3781" s="4" t="s">
        <v>1127</v>
      </c>
      <c r="H3781" s="10" t="s">
        <v>4893</v>
      </c>
      <c r="I3781" s="10">
        <v>10.0</v>
      </c>
      <c r="J3781" s="11" t="str">
        <f>IF(D3781&lt;&gt;"",VLOOKUP(H3781,TABLEITEM,5,FALSE),"")</f>
        <v>EA</v>
      </c>
      <c r="K3781" s="12">
        <v>35.0</v>
      </c>
      <c r="L3781" s="13" t="str">
        <f>IF(D3781&lt;&gt;"",VLOOKUP(H3781,TABLEITEM,2,FALSE),"")</f>
        <v/>
      </c>
      <c r="M3781" s="13" t="str">
        <f>IF(D3781&lt;&gt;"",VLOOKUP(H3781,TABLEITEM,3,FALSE),"")</f>
        <v>ALUMINA NOZZLE #5</v>
      </c>
      <c r="N3781" s="14">
        <f>INSTOCK!$I3781*INSTOCK!$K3781</f>
        <v>350</v>
      </c>
      <c r="O3781" s="4"/>
      <c r="P3781" s="4"/>
    </row>
    <row r="3782" ht="15.75" hidden="1" customHeight="1">
      <c r="B3782" s="8">
        <v>4101.0</v>
      </c>
      <c r="C3782" s="9">
        <v>43286.0</v>
      </c>
      <c r="D3782" s="6" t="s">
        <v>4894</v>
      </c>
      <c r="E3782" s="4">
        <v>6.107000821E9</v>
      </c>
      <c r="F3782" s="8" t="s">
        <v>4895</v>
      </c>
      <c r="G3782" s="4" t="s">
        <v>2056</v>
      </c>
      <c r="H3782" s="10" t="s">
        <v>2058</v>
      </c>
      <c r="I3782" s="10">
        <v>2.0</v>
      </c>
      <c r="J3782" s="11" t="str">
        <f>IF(D3782&lt;&gt;"",VLOOKUP(H3782,TABLEITEM,5,FALSE),"")</f>
        <v>EA</v>
      </c>
      <c r="K3782" s="12">
        <v>400.0</v>
      </c>
      <c r="L3782" s="13" t="str">
        <f>IF(D3782&lt;&gt;"",VLOOKUP(H3782,TABLEITEM,2,FALSE),"")</f>
        <v/>
      </c>
      <c r="M3782" s="13" t="str">
        <f>IF(D3782&lt;&gt;"",VLOOKUP(H3782,TABLEITEM,3,FALSE),"")</f>
        <v>RIVKLE OPEN MANDREL M6</v>
      </c>
      <c r="N3782" s="14">
        <f>INSTOCK!$I3782*INSTOCK!$K3782</f>
        <v>800</v>
      </c>
      <c r="O3782" s="4"/>
      <c r="P3782" s="4"/>
    </row>
    <row r="3783" ht="15.75" hidden="1" customHeight="1">
      <c r="B3783" s="8">
        <v>4102.0</v>
      </c>
      <c r="C3783" s="9">
        <v>43286.0</v>
      </c>
      <c r="D3783" s="6">
        <v>6.10701798E8</v>
      </c>
      <c r="E3783" s="4">
        <v>6.107000818E9</v>
      </c>
      <c r="F3783" s="8"/>
      <c r="G3783" s="4" t="s">
        <v>1130</v>
      </c>
      <c r="H3783" s="10" t="s">
        <v>1739</v>
      </c>
      <c r="I3783" s="10">
        <v>30.0</v>
      </c>
      <c r="J3783" s="11" t="str">
        <f>IF(D3783&lt;&gt;"",VLOOKUP(H3783,TABLEITEM,5,FALSE),"")</f>
        <v>EA</v>
      </c>
      <c r="K3783" s="12">
        <v>190.12</v>
      </c>
      <c r="L3783" s="13" t="str">
        <f>IF(D3783&lt;&gt;"",VLOOKUP(H3783,TABLEITEM,2,FALSE),"")</f>
        <v/>
      </c>
      <c r="M3783" s="13" t="str">
        <f>IF(D3783&lt;&gt;"",VLOOKUP(H3783,TABLEITEM,3,FALSE),"")</f>
        <v>ปลั๊กคู่มีกราวWEG 15929 2P+G</v>
      </c>
      <c r="N3783" s="14">
        <f>INSTOCK!$I3783*INSTOCK!$K3783</f>
        <v>5703.6</v>
      </c>
      <c r="O3783" s="4" t="s">
        <v>4896</v>
      </c>
      <c r="P3783" s="4"/>
    </row>
    <row r="3784" ht="15.75" hidden="1" customHeight="1">
      <c r="B3784" s="8">
        <v>4103.0</v>
      </c>
      <c r="C3784" s="9">
        <v>43286.0</v>
      </c>
      <c r="D3784" s="6">
        <v>6.10701798E8</v>
      </c>
      <c r="E3784" s="4">
        <v>6.107000818E9</v>
      </c>
      <c r="F3784" s="8"/>
      <c r="G3784" s="4" t="s">
        <v>1130</v>
      </c>
      <c r="H3784" s="10" t="s">
        <v>4272</v>
      </c>
      <c r="I3784" s="10">
        <v>30.0</v>
      </c>
      <c r="J3784" s="11" t="str">
        <f>IF(D3784&lt;&gt;"",VLOOKUP(H3784,TABLEITEM,5,FALSE),"")</f>
        <v>EA</v>
      </c>
      <c r="K3784" s="12">
        <v>41.904</v>
      </c>
      <c r="L3784" s="13" t="str">
        <f>IF(D3784&lt;&gt;"",VLOOKUP(H3784,TABLEITEM,2,FALSE),"")</f>
        <v/>
      </c>
      <c r="M3784" s="13" t="str">
        <f>IF(D3784&lt;&gt;"",VLOOKUP(H3784,TABLEITEM,3,FALSE),"")</f>
        <v>เต้ารับเดี่ยว WEG-10919H</v>
      </c>
      <c r="N3784" s="14">
        <f>INSTOCK!$I3784*INSTOCK!$K3784</f>
        <v>1257.12</v>
      </c>
      <c r="O3784" s="4" t="s">
        <v>4897</v>
      </c>
      <c r="P3784" s="4"/>
    </row>
    <row r="3785" ht="15.75" hidden="1" customHeight="1">
      <c r="B3785" s="8">
        <v>4104.0</v>
      </c>
      <c r="C3785" s="9">
        <v>43286.0</v>
      </c>
      <c r="D3785" s="6">
        <v>6.10701798E8</v>
      </c>
      <c r="E3785" s="4">
        <v>6.107000818E9</v>
      </c>
      <c r="F3785" s="8"/>
      <c r="G3785" s="4" t="s">
        <v>1130</v>
      </c>
      <c r="H3785" s="10" t="s">
        <v>2364</v>
      </c>
      <c r="I3785" s="10">
        <v>30.0</v>
      </c>
      <c r="J3785" s="11" t="str">
        <f>IF(D3785&lt;&gt;"",VLOOKUP(H3785,TABLEITEM,5,FALSE),"")</f>
        <v>EA</v>
      </c>
      <c r="K3785" s="12">
        <v>34.92</v>
      </c>
      <c r="L3785" s="13" t="str">
        <f>IF(D3785&lt;&gt;"",VLOOKUP(H3785,TABLEITEM,2,FALSE),"")</f>
        <v/>
      </c>
      <c r="M3785" s="13" t="str">
        <f>IF(D3785&lt;&gt;"",VLOOKUP(H3785,TABLEITEM,3,FALSE),"")</f>
        <v>ฝาพลาสติก 1 ช่อง WEG-6801K</v>
      </c>
      <c r="N3785" s="14">
        <f>INSTOCK!$I3785*INSTOCK!$K3785</f>
        <v>1047.6</v>
      </c>
      <c r="O3785" s="4" t="s">
        <v>4898</v>
      </c>
      <c r="P3785" s="4"/>
    </row>
    <row r="3786" ht="15.75" hidden="1" customHeight="1">
      <c r="B3786" s="8">
        <v>4105.0</v>
      </c>
      <c r="C3786" s="9">
        <v>43286.0</v>
      </c>
      <c r="D3786" s="6" t="s">
        <v>4899</v>
      </c>
      <c r="E3786" s="4">
        <v>6.106000769E9</v>
      </c>
      <c r="F3786" s="8" t="s">
        <v>604</v>
      </c>
      <c r="G3786" s="4" t="s">
        <v>1777</v>
      </c>
      <c r="H3786" s="10" t="s">
        <v>1998</v>
      </c>
      <c r="I3786" s="10">
        <v>4000.0</v>
      </c>
      <c r="J3786" s="11" t="str">
        <f>IF(D3786&lt;&gt;"",VLOOKUP(H3786,TABLEITEM,5,FALSE),"")</f>
        <v>EA</v>
      </c>
      <c r="K3786" s="12">
        <v>0.585</v>
      </c>
      <c r="L3786" s="13" t="str">
        <f>IF(D3786&lt;&gt;"",VLOOKUP(H3786,TABLEITEM,2,FALSE),"")</f>
        <v/>
      </c>
      <c r="M3786" s="13" t="str">
        <f>IF(D3786&lt;&gt;"",VLOOKUP(H3786,TABLEITEM,3,FALSE),"")</f>
        <v>แหวนอีแปะ M10   HDG</v>
      </c>
      <c r="N3786" s="14">
        <f>INSTOCK!$I3786*INSTOCK!$K3786</f>
        <v>2340</v>
      </c>
      <c r="O3786" s="4" t="s">
        <v>3708</v>
      </c>
      <c r="P3786" s="4"/>
    </row>
    <row r="3787" ht="15.75" hidden="1" customHeight="1">
      <c r="B3787" s="8">
        <v>4106.0</v>
      </c>
      <c r="C3787" s="9">
        <v>43285.0</v>
      </c>
      <c r="D3787" s="6" t="s">
        <v>4900</v>
      </c>
      <c r="E3787" s="4">
        <v>6.107000815E9</v>
      </c>
      <c r="F3787" s="8" t="s">
        <v>4901</v>
      </c>
      <c r="G3787" s="4" t="s">
        <v>1258</v>
      </c>
      <c r="H3787" s="10" t="s">
        <v>1261</v>
      </c>
      <c r="I3787" s="10">
        <v>40.0</v>
      </c>
      <c r="J3787" s="11" t="str">
        <f>IF(D3787&lt;&gt;"",VLOOKUP(H3787,TABLEITEM,5,FALSE),"")</f>
        <v>KG.</v>
      </c>
      <c r="K3787" s="12">
        <v>130.0</v>
      </c>
      <c r="L3787" s="13" t="str">
        <f>IF(D3787&lt;&gt;"",VLOOKUP(H3787,TABLEITEM,2,FALSE),"")</f>
        <v/>
      </c>
      <c r="M3787" s="13" t="str">
        <f>IF(D3787&lt;&gt;"",VLOOKUP(H3787,TABLEITEM,3,FALSE),"")</f>
        <v>สีฝุ่น HB 45014 N GREY</v>
      </c>
      <c r="N3787" s="14">
        <f>INSTOCK!$I3787*INSTOCK!$K3787</f>
        <v>5200</v>
      </c>
      <c r="O3787" s="4"/>
      <c r="P3787" s="4"/>
    </row>
    <row r="3788" ht="15.75" hidden="1" customHeight="1">
      <c r="B3788" s="8">
        <v>4107.0</v>
      </c>
      <c r="C3788" s="9">
        <v>43285.0</v>
      </c>
      <c r="D3788" s="6" t="s">
        <v>4902</v>
      </c>
      <c r="E3788" s="4">
        <v>6.107000819E9</v>
      </c>
      <c r="F3788" s="8" t="s">
        <v>604</v>
      </c>
      <c r="G3788" s="4" t="s">
        <v>2014</v>
      </c>
      <c r="H3788" s="10" t="s">
        <v>2899</v>
      </c>
      <c r="I3788" s="10">
        <v>12.0</v>
      </c>
      <c r="J3788" s="11" t="str">
        <f>IF(D3788&lt;&gt;"",VLOOKUP(H3788,TABLEITEM,5,FALSE),"")</f>
        <v>PACK</v>
      </c>
      <c r="K3788" s="12">
        <v>518.69</v>
      </c>
      <c r="L3788" s="13" t="str">
        <f>IF(D3788&lt;&gt;"",VLOOKUP(H3788,TABLEITEM,2,FALSE),"")</f>
        <v/>
      </c>
      <c r="M3788" s="13" t="str">
        <f>IF(D3788&lt;&gt;"",VLOOKUP(H3788,TABLEITEM,3,FALSE),"")</f>
        <v>กระดาษถ่ายเอกสาร A4 80 แกรม (แพ็ค 5รีม)</v>
      </c>
      <c r="N3788" s="14">
        <f>INSTOCK!$I3788*INSTOCK!$K3788</f>
        <v>6224.28</v>
      </c>
      <c r="O3788" s="4"/>
      <c r="P3788" s="4"/>
    </row>
    <row r="3789" ht="15.75" hidden="1" customHeight="1">
      <c r="B3789" s="8">
        <v>4108.0</v>
      </c>
      <c r="C3789" s="9">
        <v>43284.0</v>
      </c>
      <c r="D3789" s="6" t="s">
        <v>4903</v>
      </c>
      <c r="E3789" s="4">
        <v>6.10600081E9</v>
      </c>
      <c r="F3789" s="8" t="s">
        <v>4904</v>
      </c>
      <c r="G3789" s="4" t="s">
        <v>1485</v>
      </c>
      <c r="H3789" s="10" t="s">
        <v>2159</v>
      </c>
      <c r="I3789" s="10">
        <v>1.0</v>
      </c>
      <c r="J3789" s="11" t="str">
        <f>IF(D3789&lt;&gt;"",VLOOKUP(H3789,TABLEITEM,5,FALSE),"")</f>
        <v>EA</v>
      </c>
      <c r="K3789" s="12">
        <v>292.6</v>
      </c>
      <c r="L3789" s="13" t="str">
        <f>IF(D3789&lt;&gt;"",VLOOKUP(H3789,TABLEITEM,2,FALSE),"")</f>
        <v/>
      </c>
      <c r="M3789" s="13" t="str">
        <f>IF(D3789&lt;&gt;"",VLOOKUP(H3789,TABLEITEM,3,FALSE),"")</f>
        <v>SELEATOR SWITCH #22 2POS STAY PUT RON</v>
      </c>
      <c r="N3789" s="14">
        <f>INSTOCK!$I3789*INSTOCK!$K3789</f>
        <v>292.6</v>
      </c>
      <c r="O3789" s="4"/>
      <c r="P3789" s="4"/>
    </row>
    <row r="3790" ht="15.75" hidden="1" customHeight="1">
      <c r="B3790" s="8">
        <v>4109.0</v>
      </c>
      <c r="C3790" s="9">
        <v>43284.0</v>
      </c>
      <c r="D3790" s="6" t="s">
        <v>4905</v>
      </c>
      <c r="E3790" s="4" t="s">
        <v>4906</v>
      </c>
      <c r="F3790" s="8" t="s">
        <v>604</v>
      </c>
      <c r="G3790" s="4" t="s">
        <v>1777</v>
      </c>
      <c r="H3790" s="10" t="s">
        <v>2086</v>
      </c>
      <c r="I3790" s="10">
        <v>5000.0</v>
      </c>
      <c r="J3790" s="11" t="str">
        <f>IF(D3790&lt;&gt;"",VLOOKUP(H3790,TABLEITEM,5,FALSE),"")</f>
        <v>EA</v>
      </c>
      <c r="K3790" s="12">
        <v>0.495</v>
      </c>
      <c r="L3790" s="13" t="str">
        <f>IF(D3790&lt;&gt;"",VLOOKUP(H3790,TABLEITEM,2,FALSE),"")</f>
        <v/>
      </c>
      <c r="M3790" s="13" t="str">
        <f>IF(D3790&lt;&gt;"",VLOOKUP(H3790,TABLEITEM,3,FALSE),"")</f>
        <v>ติดจาน M8</v>
      </c>
      <c r="N3790" s="14">
        <f>INSTOCK!$I3790*INSTOCK!$K3790</f>
        <v>2475</v>
      </c>
      <c r="O3790" s="4" t="s">
        <v>1999</v>
      </c>
      <c r="P3790" s="4"/>
    </row>
    <row r="3791" ht="15.75" hidden="1" customHeight="1">
      <c r="B3791" s="8">
        <v>4110.0</v>
      </c>
      <c r="C3791" s="9">
        <v>43284.0</v>
      </c>
      <c r="D3791" s="6" t="s">
        <v>4907</v>
      </c>
      <c r="E3791" s="4">
        <v>6.106000769E9</v>
      </c>
      <c r="F3791" s="8" t="s">
        <v>604</v>
      </c>
      <c r="G3791" s="4" t="s">
        <v>1777</v>
      </c>
      <c r="H3791" s="10" t="s">
        <v>3709</v>
      </c>
      <c r="I3791" s="10">
        <v>2000.0</v>
      </c>
      <c r="J3791" s="11" t="str">
        <f>IF(D3791&lt;&gt;"",VLOOKUP(H3791,TABLEITEM,5,FALSE),"")</f>
        <v>EA</v>
      </c>
      <c r="K3791" s="12">
        <v>0.39</v>
      </c>
      <c r="L3791" s="13" t="str">
        <f>IF(D3791&lt;&gt;"",VLOOKUP(H3791,TABLEITEM,2,FALSE),"")</f>
        <v/>
      </c>
      <c r="M3791" s="13" t="str">
        <f>IF(D3791&lt;&gt;"",VLOOKUP(H3791,TABLEITEM,3,FALSE),"")</f>
        <v>แหวนสปริง M10   HDG</v>
      </c>
      <c r="N3791" s="14">
        <f>INSTOCK!$I3791*INSTOCK!$K3791</f>
        <v>780</v>
      </c>
      <c r="O3791" s="4" t="s">
        <v>3710</v>
      </c>
      <c r="P3791" s="4"/>
    </row>
    <row r="3792" ht="15.75" hidden="1" customHeight="1">
      <c r="B3792" s="8">
        <v>4111.0</v>
      </c>
      <c r="C3792" s="9">
        <v>43284.0</v>
      </c>
      <c r="D3792" s="6" t="s">
        <v>4907</v>
      </c>
      <c r="E3792" s="4">
        <v>6.106000769E9</v>
      </c>
      <c r="F3792" s="8" t="s">
        <v>604</v>
      </c>
      <c r="G3792" s="4" t="s">
        <v>1777</v>
      </c>
      <c r="H3792" s="10" t="s">
        <v>2512</v>
      </c>
      <c r="I3792" s="10">
        <v>2000.0</v>
      </c>
      <c r="J3792" s="11" t="str">
        <f>IF(D3792&lt;&gt;"",VLOOKUP(H3792,TABLEITEM,5,FALSE),"")</f>
        <v>EA</v>
      </c>
      <c r="K3792" s="12">
        <v>1.495</v>
      </c>
      <c r="L3792" s="13" t="str">
        <f>IF(D3792&lt;&gt;"",VLOOKUP(H3792,TABLEITEM,2,FALSE),"")</f>
        <v/>
      </c>
      <c r="M3792" s="13" t="str">
        <f>IF(D3792&lt;&gt;"",VLOOKUP(H3792,TABLEITEM,3,FALSE),"")</f>
        <v>หัวน้อต M10  HDG</v>
      </c>
      <c r="N3792" s="14">
        <f>INSTOCK!$I3792*INSTOCK!$K3792</f>
        <v>2990</v>
      </c>
      <c r="O3792" s="4" t="s">
        <v>3711</v>
      </c>
      <c r="P3792" s="4"/>
    </row>
    <row r="3793" ht="15.75" hidden="1" customHeight="1">
      <c r="B3793" s="8">
        <v>4112.0</v>
      </c>
      <c r="C3793" s="9">
        <v>43283.0</v>
      </c>
      <c r="D3793" s="6" t="s">
        <v>4908</v>
      </c>
      <c r="E3793" s="4"/>
      <c r="F3793" s="8" t="s">
        <v>801</v>
      </c>
      <c r="G3793" s="4" t="s">
        <v>802</v>
      </c>
      <c r="H3793" s="10" t="s">
        <v>803</v>
      </c>
      <c r="I3793" s="10">
        <v>19.0</v>
      </c>
      <c r="J3793" s="11" t="str">
        <f>IF(D3793&lt;&gt;"",VLOOKUP(H3793,TABLEITEM,5,FALSE),"")</f>
        <v>ถัง</v>
      </c>
      <c r="K3793" s="12">
        <v>1140.19</v>
      </c>
      <c r="L3793" s="13" t="str">
        <f>IF(D3793&lt;&gt;"",VLOOKUP(H3793,TABLEITEM,2,FALSE),"")</f>
        <v/>
      </c>
      <c r="M3793" s="13" t="str">
        <f>IF(D3793&lt;&gt;"",VLOOKUP(H3793,TABLEITEM,3,FALSE),"")</f>
        <v>แก๊สหุงต้ม 48กก</v>
      </c>
      <c r="N3793" s="14">
        <f>INSTOCK!$I3793*INSTOCK!$K3793</f>
        <v>21663.61</v>
      </c>
      <c r="O3793" s="4"/>
      <c r="P3793" s="4"/>
    </row>
    <row r="3794" ht="15.75" hidden="1" customHeight="1">
      <c r="B3794" s="8">
        <v>4113.0</v>
      </c>
      <c r="C3794" s="9">
        <v>43283.0</v>
      </c>
      <c r="D3794" s="6" t="s">
        <v>4909</v>
      </c>
      <c r="E3794" s="4">
        <v>6.106000783E9</v>
      </c>
      <c r="F3794" s="8" t="s">
        <v>604</v>
      </c>
      <c r="G3794" s="4" t="s">
        <v>1070</v>
      </c>
      <c r="H3794" s="10" t="s">
        <v>4910</v>
      </c>
      <c r="I3794" s="10">
        <v>5.0</v>
      </c>
      <c r="J3794" s="11" t="str">
        <f>IF(D3794&lt;&gt;"",VLOOKUP(H3794,TABLEITEM,5,FALSE),"")</f>
        <v>EA</v>
      </c>
      <c r="K3794" s="12">
        <v>320.0</v>
      </c>
      <c r="L3794" s="13" t="str">
        <f>IF(D3794&lt;&gt;"",VLOOKUP(H3794,TABLEITEM,2,FALSE),"")</f>
        <v/>
      </c>
      <c r="M3794" s="13" t="str">
        <f>IF(D3794&lt;&gt;"",VLOOKUP(H3794,TABLEITEM,3,FALSE),"")</f>
        <v>TIG ROD  308LSI 1.6mm/5kg</v>
      </c>
      <c r="N3794" s="14">
        <f>INSTOCK!$I3794*INSTOCK!$K3794</f>
        <v>1600</v>
      </c>
      <c r="O3794" s="4"/>
      <c r="P3794" s="4"/>
    </row>
    <row r="3795" ht="15.75" hidden="1" customHeight="1">
      <c r="B3795" s="8">
        <v>4114.0</v>
      </c>
      <c r="C3795" s="9">
        <v>43283.0</v>
      </c>
      <c r="D3795" s="6" t="s">
        <v>4911</v>
      </c>
      <c r="E3795" s="4">
        <v>6.106000783E9</v>
      </c>
      <c r="F3795" s="8" t="s">
        <v>604</v>
      </c>
      <c r="G3795" s="4" t="s">
        <v>1070</v>
      </c>
      <c r="H3795" s="10" t="s">
        <v>4889</v>
      </c>
      <c r="I3795" s="10">
        <v>2.0</v>
      </c>
      <c r="J3795" s="11" t="str">
        <f>IF(D3795&lt;&gt;"",VLOOKUP(H3795,TABLEITEM,5,FALSE),"")</f>
        <v>EA</v>
      </c>
      <c r="K3795" s="12">
        <v>200.0</v>
      </c>
      <c r="L3795" s="13" t="str">
        <f>IF(D3795&lt;&gt;"",VLOOKUP(H3795,TABLEITEM,2,FALSE),"")</f>
        <v/>
      </c>
      <c r="M3795" s="13" t="str">
        <f>IF(D3795&lt;&gt;"",VLOOKUP(H3795,TABLEITEM,3,FALSE),"")</f>
        <v>OUT SIDE TUBE CROWN/TANMAX/TIRENP</v>
      </c>
      <c r="N3795" s="14">
        <f>INSTOCK!$I3795*INSTOCK!$K3795</f>
        <v>400</v>
      </c>
      <c r="O3795" s="4"/>
      <c r="P3795" s="4"/>
    </row>
    <row r="3796" ht="15.75" hidden="1" customHeight="1">
      <c r="B3796" s="8">
        <v>4115.0</v>
      </c>
      <c r="C3796" s="9">
        <v>43283.0</v>
      </c>
      <c r="D3796" s="6" t="s">
        <v>4912</v>
      </c>
      <c r="E3796" s="4">
        <v>6.106000783E9</v>
      </c>
      <c r="F3796" s="8" t="s">
        <v>604</v>
      </c>
      <c r="G3796" s="4" t="s">
        <v>1070</v>
      </c>
      <c r="H3796" s="10" t="s">
        <v>4132</v>
      </c>
      <c r="I3796" s="10">
        <v>1.0</v>
      </c>
      <c r="J3796" s="11" t="str">
        <f>IF(D3796&lt;&gt;"",VLOOKUP(H3796,TABLEITEM,5,FALSE),"")</f>
        <v>EA</v>
      </c>
      <c r="K3796" s="12">
        <v>1800.0</v>
      </c>
      <c r="L3796" s="13" t="str">
        <f>IF(D3796&lt;&gt;"",VLOOKUP(H3796,TABLEITEM,2,FALSE),"")</f>
        <v/>
      </c>
      <c r="M3796" s="13" t="str">
        <f>IF(D3796&lt;&gt;"",VLOOKUP(H3796,TABLEITEM,3,FALSE),"")</f>
        <v>REGULATOR CO2 HEATER 220V/NETWELD X600</v>
      </c>
      <c r="N3796" s="14">
        <f>INSTOCK!$I3796*INSTOCK!$K3796</f>
        <v>1800</v>
      </c>
      <c r="O3796" s="4"/>
      <c r="P3796" s="4"/>
    </row>
    <row r="3797" ht="15.75" hidden="1" customHeight="1">
      <c r="B3797" s="8">
        <v>4116.0</v>
      </c>
      <c r="C3797" s="9">
        <v>43283.0</v>
      </c>
      <c r="D3797" s="6">
        <v>6.10700594E8</v>
      </c>
      <c r="E3797" s="4">
        <v>6.106000809E9</v>
      </c>
      <c r="F3797" s="8"/>
      <c r="G3797" s="4" t="s">
        <v>1130</v>
      </c>
      <c r="H3797" s="10" t="s">
        <v>4652</v>
      </c>
      <c r="I3797" s="10">
        <v>3.0</v>
      </c>
      <c r="J3797" s="11" t="str">
        <f>IF(D3797&lt;&gt;"",VLOOKUP(H3797,TABLEITEM,5,FALSE),"")</f>
        <v>EA</v>
      </c>
      <c r="K3797" s="12">
        <v>235.1233</v>
      </c>
      <c r="L3797" s="13" t="str">
        <f>IF(D3797&lt;&gt;"",VLOOKUP(H3797,TABLEITEM,2,FALSE),"")</f>
        <v/>
      </c>
      <c r="M3797" s="13" t="str">
        <f>IF(D3797&lt;&gt;"",VLOOKUP(H3797,TABLEITEM,3,FALSE),"")</f>
        <v>CT 1000/5 MSQ130</v>
      </c>
      <c r="N3797" s="14">
        <f>INSTOCK!$I3797*INSTOCK!$K3797</f>
        <v>705.3699</v>
      </c>
      <c r="O3797" s="4" t="s">
        <v>4653</v>
      </c>
      <c r="P3797" s="4"/>
    </row>
    <row r="3798" ht="15.75" hidden="1" customHeight="1">
      <c r="B3798" s="8">
        <v>4117.0</v>
      </c>
      <c r="C3798" s="9">
        <v>43283.0</v>
      </c>
      <c r="D3798" s="6">
        <v>6.10700594E8</v>
      </c>
      <c r="E3798" s="4">
        <v>6.106000809E9</v>
      </c>
      <c r="F3798" s="8"/>
      <c r="G3798" s="4" t="s">
        <v>1130</v>
      </c>
      <c r="H3798" s="10" t="s">
        <v>3979</v>
      </c>
      <c r="I3798" s="10">
        <v>2.0</v>
      </c>
      <c r="J3798" s="11" t="str">
        <f>IF(D3798&lt;&gt;"",VLOOKUP(H3798,TABLEITEM,5,FALSE),"")</f>
        <v>EA</v>
      </c>
      <c r="K3798" s="12">
        <v>1130.0</v>
      </c>
      <c r="L3798" s="13" t="str">
        <f>IF(D3798&lt;&gt;"",VLOOKUP(H3798,TABLEITEM,2,FALSE),"")</f>
        <v/>
      </c>
      <c r="M3798" s="13" t="str">
        <f>IF(D3798&lt;&gt;"",VLOOKUP(H3798,TABLEITEM,3,FALSE),"")</f>
        <v>เฟสโปรเทคเตอร์ WOP-4 380V 3P4W</v>
      </c>
      <c r="N3798" s="14">
        <f>INSTOCK!$I3798*INSTOCK!$K3798</f>
        <v>2260</v>
      </c>
      <c r="O3798" s="4"/>
      <c r="P3798" s="4"/>
    </row>
    <row r="3799" ht="15.75" hidden="1" customHeight="1">
      <c r="B3799" s="8">
        <v>4118.0</v>
      </c>
      <c r="C3799" s="9">
        <v>43283.0</v>
      </c>
      <c r="D3799" s="6" t="s">
        <v>4913</v>
      </c>
      <c r="E3799" s="4">
        <v>6.107000812E9</v>
      </c>
      <c r="F3799" s="8" t="s">
        <v>604</v>
      </c>
      <c r="G3799" s="4" t="s">
        <v>1485</v>
      </c>
      <c r="H3799" s="10" t="s">
        <v>1558</v>
      </c>
      <c r="I3799" s="10">
        <v>5.0</v>
      </c>
      <c r="J3799" s="11" t="str">
        <f>IF(D3799&lt;&gt;"",VLOOKUP(H3799,TABLEITEM,5,FALSE),"")</f>
        <v>EA</v>
      </c>
      <c r="K3799" s="12">
        <v>387.2</v>
      </c>
      <c r="L3799" s="13" t="str">
        <f>IF(D3799&lt;&gt;"",VLOOKUP(H3799,TABLEITEM,2,FALSE),"")</f>
        <v/>
      </c>
      <c r="M3799" s="13" t="str">
        <f>IF(D3799&lt;&gt;"",VLOOKUP(H3799,TABLEITEM,3,FALSE),"")</f>
        <v>CONTACTOR LC1D09M7</v>
      </c>
      <c r="N3799" s="14">
        <f>INSTOCK!$I3799*INSTOCK!$K3799</f>
        <v>1936</v>
      </c>
      <c r="O3799" s="4"/>
      <c r="P3799" s="4"/>
    </row>
    <row r="3800" ht="15.75" hidden="1" customHeight="1">
      <c r="B3800" s="8">
        <v>4119.0</v>
      </c>
      <c r="C3800" s="9">
        <v>43283.0</v>
      </c>
      <c r="D3800" s="6" t="s">
        <v>4914</v>
      </c>
      <c r="E3800" s="4">
        <v>6.106000787E9</v>
      </c>
      <c r="F3800" s="8" t="s">
        <v>604</v>
      </c>
      <c r="G3800" s="4" t="s">
        <v>2456</v>
      </c>
      <c r="H3800" s="10" t="s">
        <v>211</v>
      </c>
      <c r="I3800" s="10">
        <v>50.0</v>
      </c>
      <c r="J3800" s="11" t="str">
        <f>IF(D3800&lt;&gt;"",VLOOKUP(H3800,TABLEITEM,5,FALSE),"")</f>
        <v>EA</v>
      </c>
      <c r="K3800" s="12">
        <v>117.0</v>
      </c>
      <c r="L3800" s="13" t="str">
        <f>IF(D3800&lt;&gt;"",VLOOKUP(H3800,TABLEITEM,2,FALSE),"")</f>
        <v/>
      </c>
      <c r="M3800" s="13" t="str">
        <f>IF(D3800&lt;&gt;"",VLOOKUP(H3800,TABLEITEM,3,FALSE),"")</f>
        <v>รางรีเลย์</v>
      </c>
      <c r="N3800" s="14">
        <f>INSTOCK!$I3800*INSTOCK!$K3800</f>
        <v>5850</v>
      </c>
      <c r="O3800" s="4"/>
      <c r="P3800" s="4"/>
    </row>
    <row r="3801" ht="15.75" hidden="1" customHeight="1">
      <c r="B3801" s="8">
        <v>4120.0</v>
      </c>
      <c r="C3801" s="9">
        <v>43283.0</v>
      </c>
      <c r="D3801" s="6" t="s">
        <v>4915</v>
      </c>
      <c r="E3801" s="4">
        <v>6.106000792E9</v>
      </c>
      <c r="F3801" s="8" t="s">
        <v>604</v>
      </c>
      <c r="G3801" s="4" t="s">
        <v>1777</v>
      </c>
      <c r="H3801" s="10" t="s">
        <v>2100</v>
      </c>
      <c r="I3801" s="10">
        <v>10000.0</v>
      </c>
      <c r="J3801" s="11" t="str">
        <f>IF(D3801&lt;&gt;"",VLOOKUP(H3801,TABLEITEM,5,FALSE),"")</f>
        <v>EA</v>
      </c>
      <c r="K3801" s="12">
        <v>0.7995</v>
      </c>
      <c r="L3801" s="13" t="str">
        <f>IF(D3801&lt;&gt;"",VLOOKUP(H3801,TABLEITEM,2,FALSE),"")</f>
        <v/>
      </c>
      <c r="M3801" s="13" t="str">
        <f>IF(D3801&lt;&gt;"",VLOOKUP(H3801,TABLEITEM,3,FALSE),"")</f>
        <v>สกรูหัวเหลี่ยมชุบขาว M8x20</v>
      </c>
      <c r="N3801" s="14">
        <f>INSTOCK!$I3801*INSTOCK!$K3801</f>
        <v>7995</v>
      </c>
      <c r="O3801" s="4" t="s">
        <v>2101</v>
      </c>
      <c r="P3801" s="4"/>
    </row>
    <row r="3802" ht="15.75" hidden="1" customHeight="1">
      <c r="B3802" s="8">
        <v>4121.0</v>
      </c>
      <c r="C3802" s="9">
        <v>43283.0</v>
      </c>
      <c r="D3802" s="6" t="s">
        <v>4915</v>
      </c>
      <c r="E3802" s="4">
        <v>6.106000792E9</v>
      </c>
      <c r="F3802" s="8" t="s">
        <v>604</v>
      </c>
      <c r="G3802" s="4" t="s">
        <v>1777</v>
      </c>
      <c r="H3802" s="10" t="s">
        <v>2102</v>
      </c>
      <c r="I3802" s="10">
        <v>20000.0</v>
      </c>
      <c r="J3802" s="11" t="str">
        <f>IF(D3802&lt;&gt;"",VLOOKUP(H3802,TABLEITEM,5,FALSE),"")</f>
        <v>EA</v>
      </c>
      <c r="K3802" s="12">
        <v>0.09</v>
      </c>
      <c r="L3802" s="13" t="str">
        <f>IF(D3802&lt;&gt;"",VLOOKUP(H3802,TABLEITEM,2,FALSE),"")</f>
        <v/>
      </c>
      <c r="M3802" s="13" t="str">
        <f>IF(D3802&lt;&gt;"",VLOOKUP(H3802,TABLEITEM,3,FALSE),"")</f>
        <v>แหวนอีแปะ M8 ชุบขาว</v>
      </c>
      <c r="N3802" s="14">
        <f>INSTOCK!$I3802*INSTOCK!$K3802</f>
        <v>1800</v>
      </c>
      <c r="O3802" s="4" t="s">
        <v>2103</v>
      </c>
      <c r="P3802" s="4"/>
    </row>
    <row r="3803" ht="15.75" hidden="1" customHeight="1">
      <c r="B3803" s="8">
        <v>4122.0</v>
      </c>
      <c r="C3803" s="9">
        <v>43283.0</v>
      </c>
      <c r="D3803" s="6" t="s">
        <v>4915</v>
      </c>
      <c r="E3803" s="4">
        <v>6.106000792E9</v>
      </c>
      <c r="F3803" s="8" t="s">
        <v>604</v>
      </c>
      <c r="G3803" s="4" t="s">
        <v>1777</v>
      </c>
      <c r="H3803" s="10" t="s">
        <v>3014</v>
      </c>
      <c r="I3803" s="10">
        <v>10000.0</v>
      </c>
      <c r="J3803" s="11" t="str">
        <f>IF(D3803&lt;&gt;"",VLOOKUP(H3803,TABLEITEM,5,FALSE),"")</f>
        <v>EA</v>
      </c>
      <c r="K3803" s="12">
        <v>0.075</v>
      </c>
      <c r="L3803" s="13" t="str">
        <f>IF(D3803&lt;&gt;"",VLOOKUP(H3803,TABLEITEM,2,FALSE),"")</f>
        <v/>
      </c>
      <c r="M3803" s="13" t="str">
        <f>IF(D3803&lt;&gt;"",VLOOKUP(H3803,TABLEITEM,3,FALSE),"")</f>
        <v>แหวนสปริง M 8 ชุบรุ้ง</v>
      </c>
      <c r="N3803" s="14">
        <f>INSTOCK!$I3803*INSTOCK!$K3803</f>
        <v>750</v>
      </c>
      <c r="O3803" s="4" t="s">
        <v>2079</v>
      </c>
      <c r="P3803" s="4"/>
    </row>
    <row r="3804" ht="15.75" hidden="1" customHeight="1">
      <c r="B3804" s="8">
        <v>4123.0</v>
      </c>
      <c r="C3804" s="9">
        <v>43283.0</v>
      </c>
      <c r="D3804" s="6" t="s">
        <v>4915</v>
      </c>
      <c r="E3804" s="4">
        <v>6.106000792E9</v>
      </c>
      <c r="F3804" s="8" t="s">
        <v>604</v>
      </c>
      <c r="G3804" s="4" t="s">
        <v>1777</v>
      </c>
      <c r="H3804" s="10" t="s">
        <v>2080</v>
      </c>
      <c r="I3804" s="10">
        <v>10000.0</v>
      </c>
      <c r="J3804" s="11" t="str">
        <f>IF(D3804&lt;&gt;"",VLOOKUP(H3804,TABLEITEM,5,FALSE),"")</f>
        <v>EA</v>
      </c>
      <c r="K3804" s="12">
        <v>0.36</v>
      </c>
      <c r="L3804" s="13" t="str">
        <f>IF(D3804&lt;&gt;"",VLOOKUP(H3804,TABLEITEM,2,FALSE),"")</f>
        <v/>
      </c>
      <c r="M3804" s="13" t="str">
        <f>IF(D3804&lt;&gt;"",VLOOKUP(H3804,TABLEITEM,3,FALSE),"")</f>
        <v>หัวน็อต M 8 ชุบขาว</v>
      </c>
      <c r="N3804" s="14">
        <f>INSTOCK!$I3804*INSTOCK!$K3804</f>
        <v>3600</v>
      </c>
      <c r="O3804" s="4" t="s">
        <v>2081</v>
      </c>
      <c r="P3804" s="4"/>
    </row>
    <row r="3805" ht="15.75" hidden="1" customHeight="1">
      <c r="B3805" s="8">
        <v>4124.0</v>
      </c>
      <c r="C3805" s="9">
        <v>43283.0</v>
      </c>
      <c r="D3805" s="6" t="s">
        <v>4915</v>
      </c>
      <c r="E3805" s="4">
        <v>6.106000792E9</v>
      </c>
      <c r="F3805" s="8" t="s">
        <v>604</v>
      </c>
      <c r="G3805" s="4" t="s">
        <v>1777</v>
      </c>
      <c r="H3805" s="10" t="s">
        <v>2523</v>
      </c>
      <c r="I3805" s="10">
        <v>2000.0</v>
      </c>
      <c r="J3805" s="11" t="str">
        <f>IF(D3805&lt;&gt;"",VLOOKUP(H3805,TABLEITEM,5,FALSE),"")</f>
        <v>EA</v>
      </c>
      <c r="K3805" s="12">
        <v>1.196</v>
      </c>
      <c r="L3805" s="13" t="str">
        <f>IF(D3805&lt;&gt;"",VLOOKUP(H3805,TABLEITEM,2,FALSE),"")</f>
        <v/>
      </c>
      <c r="M3805" s="13" t="str">
        <f>IF(D3805&lt;&gt;"",VLOOKUP(H3805,TABLEITEM,3,FALSE),"")</f>
        <v>สกรูหัวเหลี่ยมชุบขาว M8x35</v>
      </c>
      <c r="N3805" s="14">
        <f>INSTOCK!$I3805*INSTOCK!$K3805</f>
        <v>2392</v>
      </c>
      <c r="O3805" s="4" t="s">
        <v>2524</v>
      </c>
      <c r="P3805" s="4"/>
    </row>
    <row r="3806" ht="15.75" hidden="1" customHeight="1">
      <c r="B3806" s="8">
        <v>4125.0</v>
      </c>
      <c r="C3806" s="9">
        <v>43283.0</v>
      </c>
      <c r="D3806" s="6" t="s">
        <v>4915</v>
      </c>
      <c r="E3806" s="4">
        <v>6.106000792E9</v>
      </c>
      <c r="F3806" s="8" t="s">
        <v>604</v>
      </c>
      <c r="G3806" s="4" t="s">
        <v>1777</v>
      </c>
      <c r="H3806" s="10" t="s">
        <v>2400</v>
      </c>
      <c r="I3806" s="10">
        <v>4000.0</v>
      </c>
      <c r="J3806" s="11" t="str">
        <f>IF(D3806&lt;&gt;"",VLOOKUP(H3806,TABLEITEM,5,FALSE),"")</f>
        <v>EA</v>
      </c>
      <c r="K3806" s="12">
        <v>0.216</v>
      </c>
      <c r="L3806" s="13" t="str">
        <f>IF(D3806&lt;&gt;"",VLOOKUP(H3806,TABLEITEM,2,FALSE),"")</f>
        <v/>
      </c>
      <c r="M3806" s="13" t="str">
        <f>IF(D3806&lt;&gt;"",VLOOKUP(H3806,TABLEITEM,3,FALSE),"")</f>
        <v>สกรูหัวหมวก  M6x10</v>
      </c>
      <c r="N3806" s="14">
        <f>INSTOCK!$I3806*INSTOCK!$K3806</f>
        <v>864</v>
      </c>
      <c r="O3806" s="4" t="s">
        <v>2401</v>
      </c>
      <c r="P3806" s="4"/>
    </row>
    <row r="3807" ht="15.75" hidden="1" customHeight="1">
      <c r="B3807" s="8">
        <v>4126.0</v>
      </c>
      <c r="C3807" s="9">
        <v>43283.0</v>
      </c>
      <c r="D3807" s="6" t="s">
        <v>4915</v>
      </c>
      <c r="E3807" s="4">
        <v>6.106000792E9</v>
      </c>
      <c r="F3807" s="8" t="s">
        <v>604</v>
      </c>
      <c r="G3807" s="4" t="s">
        <v>1777</v>
      </c>
      <c r="H3807" s="10" t="s">
        <v>2104</v>
      </c>
      <c r="I3807" s="10">
        <v>5000.0</v>
      </c>
      <c r="J3807" s="11" t="str">
        <f>IF(D3807&lt;&gt;"",VLOOKUP(H3807,TABLEITEM,5,FALSE),"")</f>
        <v>EA</v>
      </c>
      <c r="K3807" s="12">
        <v>0.2475</v>
      </c>
      <c r="L3807" s="13" t="str">
        <f>IF(D3807&lt;&gt;"",VLOOKUP(H3807,TABLEITEM,2,FALSE),"")</f>
        <v/>
      </c>
      <c r="M3807" s="13" t="str">
        <f>IF(D3807&lt;&gt;"",VLOOKUP(H3807,TABLEITEM,3,FALSE),"")</f>
        <v>ติดจาน M6</v>
      </c>
      <c r="N3807" s="14">
        <f>INSTOCK!$I3807*INSTOCK!$K3807</f>
        <v>1237.5</v>
      </c>
      <c r="O3807" s="4" t="s">
        <v>3645</v>
      </c>
      <c r="P3807" s="4"/>
    </row>
    <row r="3808" ht="15.75" hidden="1" customHeight="1">
      <c r="B3808" s="8">
        <v>4127.0</v>
      </c>
      <c r="C3808" s="9">
        <v>43283.0</v>
      </c>
      <c r="D3808" s="6" t="s">
        <v>4916</v>
      </c>
      <c r="E3808" s="4">
        <v>6.106000801E9</v>
      </c>
      <c r="F3808" s="8" t="s">
        <v>684</v>
      </c>
      <c r="G3808" s="4" t="s">
        <v>1479</v>
      </c>
      <c r="H3808" s="10" t="s">
        <v>4695</v>
      </c>
      <c r="I3808" s="10">
        <v>20.0</v>
      </c>
      <c r="J3808" s="11" t="str">
        <f>IF(D3808&lt;&gt;"",VLOOKUP(H3808,TABLEITEM,5,FALSE),"")</f>
        <v>EA</v>
      </c>
      <c r="K3808" s="12">
        <v>121.0</v>
      </c>
      <c r="L3808" s="13" t="str">
        <f>IF(D3808&lt;&gt;"",VLOOKUP(H3808,TABLEITEM,2,FALSE),"")</f>
        <v/>
      </c>
      <c r="M3808" s="13" t="str">
        <f>IF(D3808&lt;&gt;"",VLOOKUP(H3808,TABLEITEM,3,FALSE),"")</f>
        <v>34.51.7.024.001034 SERIES ULTRA-SLIM </v>
      </c>
      <c r="N3808" s="14">
        <f>INSTOCK!$I3808*INSTOCK!$K3808</f>
        <v>2420</v>
      </c>
      <c r="O3808" s="4"/>
      <c r="P3808" s="4"/>
    </row>
    <row r="3809" ht="15.75" hidden="1" customHeight="1">
      <c r="B3809" s="8">
        <v>4128.0</v>
      </c>
      <c r="C3809" s="9">
        <v>43283.0</v>
      </c>
      <c r="D3809" s="6">
        <v>6.10700078E8</v>
      </c>
      <c r="E3809" s="4">
        <v>6.106000785E9</v>
      </c>
      <c r="F3809" s="8"/>
      <c r="G3809" s="4" t="s">
        <v>1130</v>
      </c>
      <c r="H3809" s="10" t="s">
        <v>245</v>
      </c>
      <c r="I3809" s="10">
        <v>5000.0</v>
      </c>
      <c r="J3809" s="11" t="str">
        <f>IF(D3809&lt;&gt;"",VLOOKUP(H3809,TABLEITEM,5,FALSE),"")</f>
        <v>EA</v>
      </c>
      <c r="K3809" s="12">
        <v>0.63</v>
      </c>
      <c r="L3809" s="13" t="str">
        <f>IF(D3809&lt;&gt;"",VLOOKUP(H3809,TABLEITEM,2,FALSE),"")</f>
        <v/>
      </c>
      <c r="M3809" s="13" t="str">
        <f>IF(D3809&lt;&gt;"",VLOOKUP(H3809,TABLEITEM,3,FALSE),"")</f>
        <v>หางปลาแฉกเปลือย Y1.5-3S</v>
      </c>
      <c r="N3809" s="14">
        <f>INSTOCK!$I3809*INSTOCK!$K3809</f>
        <v>3150</v>
      </c>
      <c r="O3809" s="4" t="s">
        <v>1830</v>
      </c>
      <c r="P3809" s="4"/>
    </row>
    <row r="3810" ht="15.75" hidden="1" customHeight="1">
      <c r="B3810" s="8">
        <v>4129.0</v>
      </c>
      <c r="C3810" s="9">
        <v>43283.0</v>
      </c>
      <c r="D3810" s="6">
        <v>6.10700078E8</v>
      </c>
      <c r="E3810" s="4">
        <v>6.106000785E9</v>
      </c>
      <c r="F3810" s="8"/>
      <c r="G3810" s="4" t="s">
        <v>1130</v>
      </c>
      <c r="H3810" s="10" t="s">
        <v>248</v>
      </c>
      <c r="I3810" s="10">
        <v>2500.0</v>
      </c>
      <c r="J3810" s="11" t="str">
        <f>IF(D3810&lt;&gt;"",VLOOKUP(H3810,TABLEITEM,5,FALSE),"")</f>
        <v>EA</v>
      </c>
      <c r="K3810" s="12">
        <v>0.63</v>
      </c>
      <c r="L3810" s="13" t="str">
        <f>IF(D3810&lt;&gt;"",VLOOKUP(H3810,TABLEITEM,2,FALSE),"")</f>
        <v/>
      </c>
      <c r="M3810" s="13" t="str">
        <f>IF(D3810&lt;&gt;"",VLOOKUP(H3810,TABLEITEM,3,FALSE),"")</f>
        <v>หางปลาแฉกเปลือย Y2.5-4S</v>
      </c>
      <c r="N3810" s="14">
        <f>INSTOCK!$I3810*INSTOCK!$K3810</f>
        <v>1575</v>
      </c>
      <c r="O3810" s="4" t="s">
        <v>1830</v>
      </c>
      <c r="P3810" s="4"/>
    </row>
    <row r="3811" ht="15.75" hidden="1" customHeight="1">
      <c r="B3811" s="8">
        <v>4130.0</v>
      </c>
      <c r="C3811" s="9">
        <v>43343.0</v>
      </c>
      <c r="D3811" s="6" t="s">
        <v>4917</v>
      </c>
      <c r="E3811" s="4"/>
      <c r="F3811" s="8" t="s">
        <v>4918</v>
      </c>
      <c r="G3811" s="4" t="s">
        <v>3029</v>
      </c>
      <c r="H3811" s="10" t="s">
        <v>3030</v>
      </c>
      <c r="I3811" s="10">
        <v>1.0</v>
      </c>
      <c r="J3811" s="11" t="str">
        <f>IF(D3811&lt;&gt;"",VLOOKUP(H3811,TABLEITEM,5,FALSE),"")</f>
        <v>LOT</v>
      </c>
      <c r="K3811" s="12">
        <v>535.0</v>
      </c>
      <c r="L3811" s="13" t="str">
        <f>IF(D3811&lt;&gt;"",VLOOKUP(H3811,TABLEITEM,2,FALSE),"")</f>
        <v/>
      </c>
      <c r="M3811" s="13" t="str">
        <f>IF(D3811&lt;&gt;"",VLOOKUP(H3811,TABLEITEM,3,FALSE),"")</f>
        <v>ค่าชุบ ดีบุกเงา</v>
      </c>
      <c r="N3811" s="14">
        <f>INSTOCK!$I3811*INSTOCK!$K3811</f>
        <v>535</v>
      </c>
      <c r="O3811" s="4" t="s">
        <v>3258</v>
      </c>
      <c r="P3811" s="4"/>
    </row>
    <row r="3812" ht="15.75" hidden="1" customHeight="1">
      <c r="B3812" s="8">
        <v>4131.0</v>
      </c>
      <c r="C3812" s="9">
        <v>43343.0</v>
      </c>
      <c r="D3812" s="6" t="s">
        <v>4919</v>
      </c>
      <c r="E3812" s="4">
        <v>6.108000957E9</v>
      </c>
      <c r="F3812" s="8" t="s">
        <v>604</v>
      </c>
      <c r="G3812" s="4" t="s">
        <v>3099</v>
      </c>
      <c r="H3812" s="10" t="s">
        <v>4543</v>
      </c>
      <c r="I3812" s="10">
        <v>2000.0</v>
      </c>
      <c r="J3812" s="11" t="str">
        <f>IF(D3812&lt;&gt;"",VLOOKUP(H3812,TABLEITEM,5,FALSE),"")</f>
        <v>EA</v>
      </c>
      <c r="K3812" s="12">
        <v>6.7</v>
      </c>
      <c r="L3812" s="13" t="str">
        <f>IF(D3812&lt;&gt;"",VLOOKUP(H3812,TABLEITEM,2,FALSE),"")</f>
        <v/>
      </c>
      <c r="M3812" s="13" t="str">
        <f>IF(D3812&lt;&gt;"",VLOOKUP(H3812,TABLEITEM,3,FALSE),"")</f>
        <v>บานพับตู้ Knock Down รุ่นไม่พับงอ</v>
      </c>
      <c r="N3812" s="14">
        <f>INSTOCK!$I3812*INSTOCK!$K3812</f>
        <v>13400</v>
      </c>
      <c r="O3812" s="4"/>
      <c r="P3812" s="4"/>
    </row>
    <row r="3813" ht="15.75" hidden="1" customHeight="1">
      <c r="B3813" s="8">
        <v>4132.0</v>
      </c>
      <c r="C3813" s="9">
        <v>43342.0</v>
      </c>
      <c r="D3813" s="6" t="s">
        <v>4920</v>
      </c>
      <c r="E3813" s="4"/>
      <c r="F3813" s="8" t="s">
        <v>4921</v>
      </c>
      <c r="G3813" s="4" t="s">
        <v>3239</v>
      </c>
      <c r="H3813" s="10" t="s">
        <v>2580</v>
      </c>
      <c r="I3813" s="10">
        <v>8.0</v>
      </c>
      <c r="J3813" s="11" t="str">
        <f>IF(D3813&lt;&gt;"",VLOOKUP(H3813,TABLEITEM,5,FALSE),"")</f>
        <v>EA</v>
      </c>
      <c r="K3813" s="12">
        <v>220.0</v>
      </c>
      <c r="L3813" s="13" t="str">
        <f>IF(D3813&lt;&gt;"",VLOOKUP(H3813,TABLEITEM,2,FALSE),"")</f>
        <v/>
      </c>
      <c r="M3813" s="13" t="str">
        <f>IF(D3813&lt;&gt;"",VLOOKUP(H3813,TABLEITEM,3,FALSE),"")</f>
        <v>หม้อแปลง 250V/24V 50VA</v>
      </c>
      <c r="N3813" s="14">
        <f>INSTOCK!$I3813*INSTOCK!$K3813</f>
        <v>1760</v>
      </c>
      <c r="O3813" s="4"/>
      <c r="P3813" s="4"/>
    </row>
    <row r="3814" ht="15.75" hidden="1" customHeight="1">
      <c r="B3814" s="8">
        <v>4133.0</v>
      </c>
      <c r="C3814" s="9">
        <v>43339.0</v>
      </c>
      <c r="D3814" s="6" t="s">
        <v>4922</v>
      </c>
      <c r="E3814" s="4"/>
      <c r="F3814" s="8" t="s">
        <v>4923</v>
      </c>
      <c r="G3814" s="4" t="s">
        <v>3029</v>
      </c>
      <c r="H3814" s="10" t="s">
        <v>3030</v>
      </c>
      <c r="I3814" s="10">
        <v>18.31</v>
      </c>
      <c r="J3814" s="11" t="str">
        <f>IF(D3814&lt;&gt;"",VLOOKUP(H3814,TABLEITEM,5,FALSE),"")</f>
        <v>LOT</v>
      </c>
      <c r="K3814" s="12">
        <v>55.0</v>
      </c>
      <c r="L3814" s="13" t="str">
        <f>IF(D3814&lt;&gt;"",VLOOKUP(H3814,TABLEITEM,2,FALSE),"")</f>
        <v/>
      </c>
      <c r="M3814" s="13" t="str">
        <f>IF(D3814&lt;&gt;"",VLOOKUP(H3814,TABLEITEM,3,FALSE),"")</f>
        <v>ค่าชุบ ดีบุกเงา</v>
      </c>
      <c r="N3814" s="14">
        <f>INSTOCK!$I3814*INSTOCK!$K3814</f>
        <v>1007.05</v>
      </c>
      <c r="O3814" s="4"/>
      <c r="P3814" s="4"/>
    </row>
    <row r="3815" ht="15.75" hidden="1" customHeight="1">
      <c r="B3815" s="8">
        <v>4134.0</v>
      </c>
      <c r="C3815" s="9">
        <v>43340.0</v>
      </c>
      <c r="D3815" s="6">
        <v>2.0180800552E10</v>
      </c>
      <c r="E3815" s="4">
        <v>6.108000995E9</v>
      </c>
      <c r="F3815" s="8" t="s">
        <v>807</v>
      </c>
      <c r="G3815" s="4" t="s">
        <v>2460</v>
      </c>
      <c r="H3815" s="10" t="s">
        <v>4924</v>
      </c>
      <c r="I3815" s="10">
        <v>1.0</v>
      </c>
      <c r="J3815" s="11" t="str">
        <f>IF(D3815&lt;&gt;"",VLOOKUP(H3815,TABLEITEM,5,FALSE),"")</f>
        <v>EA</v>
      </c>
      <c r="K3815" s="12">
        <v>7990.0</v>
      </c>
      <c r="L3815" s="13" t="str">
        <f>IF(D3815&lt;&gt;"",VLOOKUP(H3815,TABLEITEM,2,FALSE),"")</f>
        <v/>
      </c>
      <c r="M3815" s="13" t="str">
        <f>IF(D3815&lt;&gt;"",VLOOKUP(H3815,TABLEITEM,3,FALSE),"")</f>
        <v>VACUUM PUMP OIL CODE 74386590 DRAWING LC-SAH 2L</v>
      </c>
      <c r="N3815" s="14">
        <f>INSTOCK!$I3815*INSTOCK!$K3815</f>
        <v>7990</v>
      </c>
      <c r="O3815" s="4"/>
      <c r="P3815" s="4"/>
    </row>
    <row r="3816" ht="15.75" hidden="1" customHeight="1">
      <c r="B3816" s="8">
        <v>4135.0</v>
      </c>
      <c r="C3816" s="9">
        <v>43340.0</v>
      </c>
      <c r="D3816" s="6" t="s">
        <v>4925</v>
      </c>
      <c r="E3816" s="4">
        <v>6.108001025E9</v>
      </c>
      <c r="F3816" s="8" t="s">
        <v>4926</v>
      </c>
      <c r="G3816" s="4" t="s">
        <v>3541</v>
      </c>
      <c r="H3816" s="10" t="s">
        <v>3578</v>
      </c>
      <c r="I3816" s="10">
        <v>1.0</v>
      </c>
      <c r="J3816" s="11" t="str">
        <f>IF(D3816&lt;&gt;"",VLOOKUP(H3816,TABLEITEM,5,FALSE),"")</f>
        <v>EA</v>
      </c>
      <c r="K3816" s="12">
        <v>3310.75</v>
      </c>
      <c r="L3816" s="13" t="str">
        <f>IF(D3816&lt;&gt;"",VLOOKUP(H3816,TABLEITEM,2,FALSE),"")</f>
        <v/>
      </c>
      <c r="M3816" s="13" t="str">
        <f>IF(D3816&lt;&gt;"",VLOOKUP(H3816,TABLEITEM,3,FALSE),"")</f>
        <v>PHASE MMONITOR 300-500V CM-MPS.41S3</v>
      </c>
      <c r="N3816" s="14">
        <f>INSTOCK!$I3816*INSTOCK!$K3816</f>
        <v>3310.75</v>
      </c>
      <c r="O3816" s="4" t="s">
        <v>4927</v>
      </c>
      <c r="P3816" s="4"/>
    </row>
    <row r="3817" ht="15.75" hidden="1" customHeight="1">
      <c r="B3817" s="8">
        <v>4136.0</v>
      </c>
      <c r="C3817" s="9">
        <v>43340.0</v>
      </c>
      <c r="D3817" s="6" t="s">
        <v>4925</v>
      </c>
      <c r="E3817" s="4">
        <v>6.108001025E9</v>
      </c>
      <c r="F3817" s="8" t="s">
        <v>4926</v>
      </c>
      <c r="G3817" s="4" t="s">
        <v>3541</v>
      </c>
      <c r="H3817" s="10" t="s">
        <v>1824</v>
      </c>
      <c r="I3817" s="10">
        <v>1.0</v>
      </c>
      <c r="J3817" s="11" t="str">
        <f>IF(D3817&lt;&gt;"",VLOOKUP(H3817,TABLEITEM,5,FALSE),"")</f>
        <v>EA</v>
      </c>
      <c r="K3817" s="12">
        <v>321.75</v>
      </c>
      <c r="L3817" s="13" t="str">
        <f>IF(D3817&lt;&gt;"",VLOOKUP(H3817,TABLEITEM,2,FALSE),"")</f>
        <v/>
      </c>
      <c r="M3817" s="13" t="str">
        <f>IF(D3817&lt;&gt;"",VLOOKUP(H3817,TABLEITEM,3,FALSE),"")</f>
        <v>MCB 2P 16A 10KA</v>
      </c>
      <c r="N3817" s="14">
        <f>INSTOCK!$I3817*INSTOCK!$K3817</f>
        <v>321.75</v>
      </c>
      <c r="O3817" s="4" t="s">
        <v>4667</v>
      </c>
      <c r="P3817" s="4"/>
    </row>
    <row r="3818" ht="15.75" hidden="1" customHeight="1">
      <c r="B3818" s="8">
        <v>4137.0</v>
      </c>
      <c r="C3818" s="9">
        <v>43339.0</v>
      </c>
      <c r="D3818" s="6" t="s">
        <v>4928</v>
      </c>
      <c r="E3818" s="4">
        <v>6.108001027E9</v>
      </c>
      <c r="F3818" s="8" t="s">
        <v>4722</v>
      </c>
      <c r="G3818" s="4" t="s">
        <v>2465</v>
      </c>
      <c r="H3818" s="10" t="s">
        <v>4929</v>
      </c>
      <c r="I3818" s="10">
        <v>1.0</v>
      </c>
      <c r="J3818" s="11" t="str">
        <f>IF(D3818&lt;&gt;"",VLOOKUP(H3818,TABLEITEM,5,FALSE),"")</f>
        <v>EA</v>
      </c>
      <c r="K3818" s="12">
        <v>16500.0</v>
      </c>
      <c r="L3818" s="13" t="str">
        <f>IF(D3818&lt;&gt;"",VLOOKUP(H3818,TABLEITEM,2,FALSE),"")</f>
        <v/>
      </c>
      <c r="M3818" s="13" t="str">
        <f>IF(D3818&lt;&gt;"",VLOOKUP(H3818,TABLEITEM,3,FALSE),"")</f>
        <v>VACON0100-3L-0005-5/2.2KW/3HP S/N V00001733152</v>
      </c>
      <c r="N3818" s="14">
        <f>INSTOCK!$I3818*INSTOCK!$K3818</f>
        <v>16500</v>
      </c>
      <c r="O3818" s="4"/>
      <c r="P3818" s="4"/>
    </row>
    <row r="3819" ht="15.75" hidden="1" customHeight="1">
      <c r="B3819" s="8">
        <v>4138.0</v>
      </c>
      <c r="C3819" s="9">
        <v>43339.0</v>
      </c>
      <c r="D3819" s="6" t="s">
        <v>4930</v>
      </c>
      <c r="E3819" s="4">
        <v>6.108001015E9</v>
      </c>
      <c r="F3819" s="8" t="s">
        <v>1989</v>
      </c>
      <c r="G3819" s="4" t="s">
        <v>1990</v>
      </c>
      <c r="H3819" s="10" t="s">
        <v>2441</v>
      </c>
      <c r="I3819" s="10">
        <v>1.0</v>
      </c>
      <c r="J3819" s="11" t="str">
        <f>IF(D3819&lt;&gt;"",VLOOKUP(H3819,TABLEITEM,5,FALSE),"")</f>
        <v>pack</v>
      </c>
      <c r="K3819" s="12">
        <v>90.0</v>
      </c>
      <c r="L3819" s="13" t="str">
        <f>IF(D3819&lt;&gt;"",VLOOKUP(H3819,TABLEITEM,2,FALSE),"")</f>
        <v/>
      </c>
      <c r="M3819" s="13" t="str">
        <f>IF(D3819&lt;&gt;"",VLOOKUP(H3819,TABLEITEM,3,FALSE),"")</f>
        <v>ป้ายสติ๊กเกอร์ ขาวเงา/มัน ไลเนอร์ LN-601(50แผ่น)</v>
      </c>
      <c r="N3819" s="14">
        <f>INSTOCK!$I3819*INSTOCK!$K3819</f>
        <v>90</v>
      </c>
      <c r="O3819" s="4"/>
      <c r="P3819" s="4"/>
    </row>
    <row r="3820" ht="15.75" hidden="1" customHeight="1">
      <c r="B3820" s="8">
        <v>4139.0</v>
      </c>
      <c r="C3820" s="9">
        <v>43339.0</v>
      </c>
      <c r="D3820" s="6" t="s">
        <v>4930</v>
      </c>
      <c r="E3820" s="4">
        <v>6.108001015E9</v>
      </c>
      <c r="F3820" s="8" t="s">
        <v>1989</v>
      </c>
      <c r="G3820" s="4" t="s">
        <v>1990</v>
      </c>
      <c r="H3820" s="10" t="s">
        <v>3033</v>
      </c>
      <c r="I3820" s="10">
        <v>2.0</v>
      </c>
      <c r="J3820" s="11" t="str">
        <f>IF(D3820&lt;&gt;"",VLOOKUP(H3820,TABLEITEM,5,FALSE),"")</f>
        <v>PACK</v>
      </c>
      <c r="K3820" s="12">
        <v>115.0</v>
      </c>
      <c r="L3820" s="13" t="str">
        <f>IF(D3820&lt;&gt;"",VLOOKUP(H3820,TABLEITEM,2,FALSE),"")</f>
        <v/>
      </c>
      <c r="M3820" s="13" t="str">
        <f>IF(D3820&lt;&gt;"",VLOOKUP(H3820,TABLEITEM,3,FALSE),"")</f>
        <v>กระดาษคาร์บอน ตรามม้า 4400 210x330มม.เขียน น้ำเงิน(100แผ่น)</v>
      </c>
      <c r="N3820" s="14">
        <f>INSTOCK!$I3820*INSTOCK!$K3820</f>
        <v>230</v>
      </c>
      <c r="O3820" s="4"/>
      <c r="P3820" s="4"/>
    </row>
    <row r="3821" ht="15.75" hidden="1" customHeight="1">
      <c r="B3821" s="8">
        <v>4140.0</v>
      </c>
      <c r="C3821" s="9">
        <v>43339.0</v>
      </c>
      <c r="D3821" s="6" t="s">
        <v>4930</v>
      </c>
      <c r="E3821" s="4">
        <v>6.108001015E9</v>
      </c>
      <c r="F3821" s="8" t="s">
        <v>1989</v>
      </c>
      <c r="G3821" s="4" t="s">
        <v>1990</v>
      </c>
      <c r="H3821" s="10" t="s">
        <v>4356</v>
      </c>
      <c r="I3821" s="10">
        <v>1.0</v>
      </c>
      <c r="J3821" s="11" t="str">
        <f>IF(D3821&lt;&gt;"",VLOOKUP(H3821,TABLEITEM,5,FALSE),"")</f>
        <v>EA</v>
      </c>
      <c r="K3821" s="12">
        <v>505.0</v>
      </c>
      <c r="L3821" s="13" t="str">
        <f>IF(D3821&lt;&gt;"",VLOOKUP(H3821,TABLEITEM,2,FALSE),"")</f>
        <v/>
      </c>
      <c r="M3821" s="13" t="str">
        <f>IF(D3821&lt;&gt;"",VLOOKUP(H3821,TABLEITEM,3,FALSE),"")</f>
        <v>กระดาษต่อเนื่องเคมีในตัว ขาวล้วน IQ9x11 3ชั้นไม่มีเส้น 500ชุด</v>
      </c>
      <c r="N3821" s="14">
        <f>INSTOCK!$I3821*INSTOCK!$K3821</f>
        <v>505</v>
      </c>
      <c r="O3821" s="4"/>
      <c r="P3821" s="4"/>
    </row>
    <row r="3822" ht="15.75" hidden="1" customHeight="1">
      <c r="B3822" s="8">
        <v>4141.0</v>
      </c>
      <c r="C3822" s="9">
        <v>43339.0</v>
      </c>
      <c r="D3822" s="6" t="s">
        <v>4931</v>
      </c>
      <c r="E3822" s="4">
        <v>6.108000979E9</v>
      </c>
      <c r="F3822" s="8" t="s">
        <v>604</v>
      </c>
      <c r="G3822" s="4" t="s">
        <v>1777</v>
      </c>
      <c r="H3822" s="10" t="s">
        <v>2100</v>
      </c>
      <c r="I3822" s="10">
        <v>4800.0</v>
      </c>
      <c r="J3822" s="11" t="str">
        <f>IF(D3822&lt;&gt;"",VLOOKUP(H3822,TABLEITEM,5,FALSE),"")</f>
        <v>EA</v>
      </c>
      <c r="K3822" s="12">
        <v>0.7995</v>
      </c>
      <c r="L3822" s="13" t="str">
        <f>IF(D3822&lt;&gt;"",VLOOKUP(H3822,TABLEITEM,2,FALSE),"")</f>
        <v/>
      </c>
      <c r="M3822" s="13" t="str">
        <f>IF(D3822&lt;&gt;"",VLOOKUP(H3822,TABLEITEM,3,FALSE),"")</f>
        <v>สกรูหัวเหลี่ยมชุบขาว M8x20</v>
      </c>
      <c r="N3822" s="14">
        <f>INSTOCK!$I3822*INSTOCK!$K3822</f>
        <v>3837.6</v>
      </c>
      <c r="O3822" s="4" t="s">
        <v>2101</v>
      </c>
      <c r="P3822" s="4"/>
    </row>
    <row r="3823" ht="15.75" hidden="1" customHeight="1">
      <c r="B3823" s="8">
        <v>4142.0</v>
      </c>
      <c r="C3823" s="9">
        <v>43337.0</v>
      </c>
      <c r="D3823" s="6" t="s">
        <v>4932</v>
      </c>
      <c r="E3823" s="4">
        <v>6.108001012E9</v>
      </c>
      <c r="F3823" s="8" t="s">
        <v>4933</v>
      </c>
      <c r="G3823" s="4" t="s">
        <v>1446</v>
      </c>
      <c r="H3823" s="10" t="s">
        <v>4934</v>
      </c>
      <c r="I3823" s="10">
        <v>2.0</v>
      </c>
      <c r="J3823" s="11" t="str">
        <f>IF(D3823&lt;&gt;"",VLOOKUP(H3823,TABLEITEM,5,FALSE),"")</f>
        <v>EA</v>
      </c>
      <c r="K3823" s="12">
        <v>143.0</v>
      </c>
      <c r="L3823" s="13" t="str">
        <f>IF(D3823&lt;&gt;"",VLOOKUP(H3823,TABLEITEM,2,FALSE),"")</f>
        <v/>
      </c>
      <c r="M3823" s="13" t="str">
        <f>IF(D3823&lt;&gt;"",VLOOKUP(H3823,TABLEITEM,3,FALSE),"")</f>
        <v>ซัพพอร์ทบัสบาร์ CT2-20</v>
      </c>
      <c r="N3823" s="14">
        <f>INSTOCK!$I3823*INSTOCK!$K3823</f>
        <v>286</v>
      </c>
      <c r="O3823" s="4" t="s">
        <v>4935</v>
      </c>
      <c r="P3823" s="4"/>
    </row>
    <row r="3824" ht="15.75" hidden="1" customHeight="1">
      <c r="B3824" s="8">
        <v>4143.0</v>
      </c>
      <c r="C3824" s="9">
        <v>43337.0</v>
      </c>
      <c r="D3824" s="6" t="s">
        <v>4932</v>
      </c>
      <c r="E3824" s="4">
        <v>6.108001012E9</v>
      </c>
      <c r="F3824" s="8" t="s">
        <v>4933</v>
      </c>
      <c r="G3824" s="4" t="s">
        <v>1446</v>
      </c>
      <c r="H3824" s="10" t="s">
        <v>4936</v>
      </c>
      <c r="I3824" s="10">
        <v>2.0</v>
      </c>
      <c r="J3824" s="11" t="str">
        <f>IF(D3824&lt;&gt;"",VLOOKUP(H3824,TABLEITEM,5,FALSE),"")</f>
        <v>EA</v>
      </c>
      <c r="K3824" s="12">
        <v>292.5</v>
      </c>
      <c r="L3824" s="13" t="str">
        <f>IF(D3824&lt;&gt;"",VLOOKUP(H3824,TABLEITEM,2,FALSE),"")</f>
        <v/>
      </c>
      <c r="M3824" s="13" t="str">
        <f>IF(D3824&lt;&gt;"",VLOOKUP(H3824,TABLEITEM,3,FALSE),"")</f>
        <v>ซัพพอร์ทบัสบาร์ CT4-30</v>
      </c>
      <c r="N3824" s="14">
        <f>INSTOCK!$I3824*INSTOCK!$K3824</f>
        <v>585</v>
      </c>
      <c r="O3824" s="4" t="s">
        <v>4937</v>
      </c>
      <c r="P3824" s="4"/>
    </row>
    <row r="3825" ht="15.75" hidden="1" customHeight="1">
      <c r="B3825" s="8">
        <v>4144.0</v>
      </c>
      <c r="C3825" s="9">
        <v>43337.0</v>
      </c>
      <c r="D3825" s="6" t="s">
        <v>4932</v>
      </c>
      <c r="E3825" s="4">
        <v>6.108001012E9</v>
      </c>
      <c r="F3825" s="8" t="s">
        <v>4933</v>
      </c>
      <c r="G3825" s="4" t="s">
        <v>1446</v>
      </c>
      <c r="H3825" s="10" t="s">
        <v>4938</v>
      </c>
      <c r="I3825" s="10">
        <v>2.0</v>
      </c>
      <c r="J3825" s="11" t="str">
        <f>IF(D3825&lt;&gt;"",VLOOKUP(H3825,TABLEITEM,5,FALSE),"")</f>
        <v>EA</v>
      </c>
      <c r="K3825" s="12">
        <v>260.0</v>
      </c>
      <c r="L3825" s="13" t="str">
        <f>IF(D3825&lt;&gt;"",VLOOKUP(H3825,TABLEITEM,2,FALSE),"")</f>
        <v/>
      </c>
      <c r="M3825" s="13" t="str">
        <f>IF(D3825&lt;&gt;"",VLOOKUP(H3825,TABLEITEM,3,FALSE),"")</f>
        <v>ฉนวนต่างระดับ CJ4-30</v>
      </c>
      <c r="N3825" s="14">
        <f>INSTOCK!$I3825*INSTOCK!$K3825</f>
        <v>520</v>
      </c>
      <c r="O3825" s="4" t="s">
        <v>4939</v>
      </c>
      <c r="P3825" s="4"/>
    </row>
    <row r="3826" ht="15.75" hidden="1" customHeight="1">
      <c r="B3826" s="8">
        <v>4145.0</v>
      </c>
      <c r="C3826" s="9">
        <v>43336.0</v>
      </c>
      <c r="D3826" s="6">
        <v>6106176.0</v>
      </c>
      <c r="E3826" s="4">
        <v>6.108000932E9</v>
      </c>
      <c r="F3826" s="8" t="s">
        <v>4940</v>
      </c>
      <c r="G3826" s="4" t="s">
        <v>2688</v>
      </c>
      <c r="H3826" s="10" t="s">
        <v>4941</v>
      </c>
      <c r="I3826" s="10">
        <v>3.0</v>
      </c>
      <c r="J3826" s="11" t="str">
        <f>IF(D3826&lt;&gt;"",VLOOKUP(H3826,TABLEITEM,5,FALSE),"")</f>
        <v>EA</v>
      </c>
      <c r="K3826" s="12">
        <v>10600.0</v>
      </c>
      <c r="L3826" s="13" t="str">
        <f>IF(D3826&lt;&gt;"",VLOOKUP(H3826,TABLEITEM,2,FALSE),"")</f>
        <v/>
      </c>
      <c r="M3826" s="13" t="str">
        <f>IF(D3826&lt;&gt;"",VLOOKUP(H3826,TABLEITEM,3,FALSE),"")</f>
        <v>HD,600G,SAA6,15K,3.5,S-EG,E/C</v>
      </c>
      <c r="N3826" s="14">
        <f>INSTOCK!$I3826*INSTOCK!$K3826</f>
        <v>31800</v>
      </c>
      <c r="O3826" s="4"/>
      <c r="P3826" s="4"/>
    </row>
    <row r="3827" ht="15.75" hidden="1" customHeight="1">
      <c r="B3827" s="8">
        <v>4146.0</v>
      </c>
      <c r="C3827" s="9">
        <v>43336.0</v>
      </c>
      <c r="D3827" s="6">
        <v>6106176.0</v>
      </c>
      <c r="E3827" s="4">
        <v>6.108000932E9</v>
      </c>
      <c r="F3827" s="8" t="s">
        <v>4940</v>
      </c>
      <c r="G3827" s="4" t="s">
        <v>2688</v>
      </c>
      <c r="H3827" s="10" t="s">
        <v>4942</v>
      </c>
      <c r="I3827" s="10">
        <v>3.0</v>
      </c>
      <c r="J3827" s="11" t="str">
        <f>IF(D3827&lt;&gt;"",VLOOKUP(H3827,TABLEITEM,5,FALSE),"")</f>
        <v>EA</v>
      </c>
      <c r="K3827" s="12">
        <v>650.0</v>
      </c>
      <c r="L3827" s="13" t="str">
        <f>IF(D3827&lt;&gt;"",VLOOKUP(H3827,TABLEITEM,2,FALSE),"")</f>
        <v/>
      </c>
      <c r="M3827" s="13" t="str">
        <f>IF(D3827&lt;&gt;"",VLOOKUP(H3827,TABLEITEM,3,FALSE),"")</f>
        <v>ASSY,CARR,HD,SAS-SATAU,3.5</v>
      </c>
      <c r="N3827" s="14">
        <f>INSTOCK!$I3827*INSTOCK!$K3827</f>
        <v>1950</v>
      </c>
      <c r="O3827" s="4"/>
      <c r="P3827" s="4"/>
    </row>
    <row r="3828" ht="15.75" hidden="1" customHeight="1">
      <c r="B3828" s="8">
        <v>4147.0</v>
      </c>
      <c r="C3828" s="9">
        <v>43336.0</v>
      </c>
      <c r="D3828" s="6">
        <v>6106176.0</v>
      </c>
      <c r="E3828" s="4">
        <v>6.108000932E9</v>
      </c>
      <c r="F3828" s="8" t="s">
        <v>4940</v>
      </c>
      <c r="G3828" s="4" t="s">
        <v>2688</v>
      </c>
      <c r="H3828" s="10" t="s">
        <v>4943</v>
      </c>
      <c r="I3828" s="10">
        <v>12.0</v>
      </c>
      <c r="J3828" s="11" t="str">
        <f>IF(D3828&lt;&gt;"",VLOOKUP(H3828,TABLEITEM,5,FALSE),"")</f>
        <v>EA</v>
      </c>
      <c r="K3828" s="12">
        <v>137.5</v>
      </c>
      <c r="L3828" s="13" t="str">
        <f>IF(D3828&lt;&gt;"",VLOOKUP(H3828,TABLEITEM,2,FALSE),"")</f>
        <v/>
      </c>
      <c r="M3828" s="13" t="str">
        <f>IF(D3828&lt;&gt;"",VLOOKUP(H3828,TABLEITEM,3,FALSE),"")</f>
        <v>SCR,6-32X.225,PHH,FLH.BLK</v>
      </c>
      <c r="N3828" s="14">
        <f>INSTOCK!$I3828*INSTOCK!$K3828</f>
        <v>1650</v>
      </c>
      <c r="O3828" s="4"/>
      <c r="P3828" s="4"/>
    </row>
    <row r="3829" ht="15.75" hidden="1" customHeight="1">
      <c r="B3829" s="8">
        <v>4148.0</v>
      </c>
      <c r="C3829" s="9">
        <v>43336.0</v>
      </c>
      <c r="D3829" s="6" t="s">
        <v>4944</v>
      </c>
      <c r="E3829" s="4">
        <v>6.106001014E9</v>
      </c>
      <c r="F3829" s="8" t="s">
        <v>4722</v>
      </c>
      <c r="G3829" s="4" t="s">
        <v>1904</v>
      </c>
      <c r="H3829" s="10" t="s">
        <v>4298</v>
      </c>
      <c r="I3829" s="10">
        <v>2.0</v>
      </c>
      <c r="J3829" s="11" t="str">
        <f>IF(D3829&lt;&gt;"",VLOOKUP(H3829,TABLEITEM,5,FALSE),"")</f>
        <v>EA</v>
      </c>
      <c r="K3829" s="12">
        <v>1260.0</v>
      </c>
      <c r="L3829" s="13" t="str">
        <f>IF(D3829&lt;&gt;"",VLOOKUP(H3829,TABLEITEM,2,FALSE),"")</f>
        <v/>
      </c>
      <c r="M3829" s="13" t="str">
        <f>IF(D3829&lt;&gt;"",VLOOKUP(H3829,TABLEITEM,3,FALSE),"")</f>
        <v>TIMER MIL72E/1 TACTIC 211.2</v>
      </c>
      <c r="N3829" s="14">
        <f>INSTOCK!$I3829*INSTOCK!$K3829</f>
        <v>2520</v>
      </c>
      <c r="O3829" s="4" t="s">
        <v>4299</v>
      </c>
      <c r="P3829" s="4"/>
    </row>
    <row r="3830" ht="15.75" hidden="1" customHeight="1">
      <c r="B3830" s="8">
        <v>4149.0</v>
      </c>
      <c r="C3830" s="9">
        <v>43335.0</v>
      </c>
      <c r="D3830" s="6" t="s">
        <v>4945</v>
      </c>
      <c r="E3830" s="4">
        <v>6.108001009E9</v>
      </c>
      <c r="F3830" s="8" t="s">
        <v>4946</v>
      </c>
      <c r="G3830" s="4" t="s">
        <v>692</v>
      </c>
      <c r="H3830" s="10" t="s">
        <v>2254</v>
      </c>
      <c r="I3830" s="10">
        <v>4.0</v>
      </c>
      <c r="J3830" s="11" t="str">
        <f>IF(D3830&lt;&gt;"",VLOOKUP(H3830,TABLEITEM,5,FALSE),"")</f>
        <v>EA</v>
      </c>
      <c r="K3830" s="12">
        <v>74.8125</v>
      </c>
      <c r="L3830" s="13" t="str">
        <f>IF(D3830&lt;&gt;"",VLOOKUP(H3830,TABLEITEM,2,FALSE),"")</f>
        <v/>
      </c>
      <c r="M3830" s="13" t="str">
        <f>IF(D3830&lt;&gt;"",VLOOKUP(H3830,TABLEITEM,3,FALSE),"")</f>
        <v>CA4-01 NC คอนแทคช่วย</v>
      </c>
      <c r="N3830" s="14">
        <f>INSTOCK!$I3830*INSTOCK!$K3830</f>
        <v>299.25</v>
      </c>
      <c r="O3830" s="4" t="s">
        <v>4947</v>
      </c>
      <c r="P3830" s="4"/>
    </row>
    <row r="3831" ht="15.75" hidden="1" customHeight="1">
      <c r="B3831" s="8">
        <v>4150.0</v>
      </c>
      <c r="C3831" s="9">
        <v>43335.0</v>
      </c>
      <c r="D3831" s="6" t="s">
        <v>4948</v>
      </c>
      <c r="E3831" s="4">
        <v>6.108001E9</v>
      </c>
      <c r="F3831" s="8" t="s">
        <v>604</v>
      </c>
      <c r="G3831" s="4" t="s">
        <v>1870</v>
      </c>
      <c r="H3831" s="10" t="s">
        <v>2998</v>
      </c>
      <c r="I3831" s="10">
        <v>1000.0</v>
      </c>
      <c r="J3831" s="11" t="str">
        <f>IF(D3831&lt;&gt;"",VLOOKUP(H3831,TABLEITEM,5,FALSE),"")</f>
        <v>EA</v>
      </c>
      <c r="K3831" s="12">
        <v>0.3795</v>
      </c>
      <c r="L3831" s="13" t="str">
        <f>IF(D3831&lt;&gt;"",VLOOKUP(H3831,TABLEITEM,2,FALSE),"")</f>
        <v/>
      </c>
      <c r="M3831" s="13" t="str">
        <f>IF(D3831&lt;&gt;"",VLOOKUP(H3831,TABLEITEM,3,FALSE),"")</f>
        <v>สกรูตัวหนอน M5x5</v>
      </c>
      <c r="N3831" s="14">
        <f>INSTOCK!$I3831*INSTOCK!$K3831</f>
        <v>379.5</v>
      </c>
      <c r="O3831" s="4" t="s">
        <v>4949</v>
      </c>
      <c r="P3831" s="4"/>
    </row>
    <row r="3832" ht="15.75" hidden="1" customHeight="1">
      <c r="B3832" s="8">
        <v>4151.0</v>
      </c>
      <c r="C3832" s="9">
        <v>43335.0</v>
      </c>
      <c r="D3832" s="6" t="s">
        <v>4948</v>
      </c>
      <c r="E3832" s="4">
        <v>6.108001E9</v>
      </c>
      <c r="F3832" s="8" t="s">
        <v>604</v>
      </c>
      <c r="G3832" s="4" t="s">
        <v>1870</v>
      </c>
      <c r="H3832" s="10" t="s">
        <v>3702</v>
      </c>
      <c r="I3832" s="10">
        <v>2000.0</v>
      </c>
      <c r="J3832" s="11" t="str">
        <f>IF(D3832&lt;&gt;"",VLOOKUP(H3832,TABLEITEM,5,FALSE),"")</f>
        <v>EA</v>
      </c>
      <c r="K3832" s="12">
        <v>0.198</v>
      </c>
      <c r="L3832" s="13" t="str">
        <f>IF(D3832&lt;&gt;"",VLOOKUP(H3832,TABLEITEM,2,FALSE),"")</f>
        <v/>
      </c>
      <c r="M3832" s="13" t="str">
        <f>IF(D3832&lt;&gt;"",VLOOKUP(H3832,TABLEITEM,3,FALSE),"")</f>
        <v>แหวนสปริง M8   HDG</v>
      </c>
      <c r="N3832" s="14">
        <f>INSTOCK!$I3832*INSTOCK!$K3832</f>
        <v>396</v>
      </c>
      <c r="O3832" s="4" t="s">
        <v>4613</v>
      </c>
      <c r="P3832" s="4"/>
    </row>
    <row r="3833" ht="15.75" hidden="1" customHeight="1">
      <c r="B3833" s="8">
        <v>4152.0</v>
      </c>
      <c r="C3833" s="9">
        <v>43335.0</v>
      </c>
      <c r="D3833" s="6" t="s">
        <v>4948</v>
      </c>
      <c r="E3833" s="4">
        <v>6.108001E9</v>
      </c>
      <c r="F3833" s="8" t="s">
        <v>604</v>
      </c>
      <c r="G3833" s="4" t="s">
        <v>1870</v>
      </c>
      <c r="H3833" s="10" t="s">
        <v>3704</v>
      </c>
      <c r="I3833" s="10">
        <v>2000.0</v>
      </c>
      <c r="J3833" s="11" t="str">
        <f>IF(D3833&lt;&gt;"",VLOOKUP(H3833,TABLEITEM,5,FALSE),"")</f>
        <v>EA</v>
      </c>
      <c r="K3833" s="12">
        <v>1.1</v>
      </c>
      <c r="L3833" s="13" t="str">
        <f>IF(D3833&lt;&gt;"",VLOOKUP(H3833,TABLEITEM,2,FALSE),"")</f>
        <v/>
      </c>
      <c r="M3833" s="13" t="str">
        <f>IF(D3833&lt;&gt;"",VLOOKUP(H3833,TABLEITEM,3,FALSE),"")</f>
        <v>หัวน้อต M8  HDG</v>
      </c>
      <c r="N3833" s="14">
        <f>INSTOCK!$I3833*INSTOCK!$K3833</f>
        <v>2200</v>
      </c>
      <c r="O3833" s="4" t="s">
        <v>4950</v>
      </c>
      <c r="P3833" s="4"/>
    </row>
    <row r="3834" ht="15.75" hidden="1" customHeight="1">
      <c r="B3834" s="8">
        <v>4153.0</v>
      </c>
      <c r="C3834" s="9">
        <v>43335.0</v>
      </c>
      <c r="D3834" s="6" t="s">
        <v>4948</v>
      </c>
      <c r="E3834" s="4">
        <v>6.108001E9</v>
      </c>
      <c r="F3834" s="8" t="s">
        <v>604</v>
      </c>
      <c r="G3834" s="4" t="s">
        <v>1870</v>
      </c>
      <c r="H3834" s="10" t="s">
        <v>3700</v>
      </c>
      <c r="I3834" s="10">
        <v>4000.0</v>
      </c>
      <c r="J3834" s="11" t="str">
        <f>IF(D3834&lt;&gt;"",VLOOKUP(H3834,TABLEITEM,5,FALSE),"")</f>
        <v>EA</v>
      </c>
      <c r="K3834" s="12">
        <v>0.33</v>
      </c>
      <c r="L3834" s="13" t="str">
        <f>IF(D3834&lt;&gt;"",VLOOKUP(H3834,TABLEITEM,2,FALSE),"")</f>
        <v/>
      </c>
      <c r="M3834" s="13" t="str">
        <f>IF(D3834&lt;&gt;"",VLOOKUP(H3834,TABLEITEM,3,FALSE),"")</f>
        <v>แหวนอีแปะ M8   HDG</v>
      </c>
      <c r="N3834" s="14">
        <f>INSTOCK!$I3834*INSTOCK!$K3834</f>
        <v>1320</v>
      </c>
      <c r="O3834" s="4" t="s">
        <v>3136</v>
      </c>
      <c r="P3834" s="4"/>
    </row>
    <row r="3835" ht="15.75" hidden="1" customHeight="1">
      <c r="B3835" s="8">
        <v>4154.0</v>
      </c>
      <c r="C3835" s="9">
        <v>43335.0</v>
      </c>
      <c r="D3835" s="6">
        <v>6.10807326E8</v>
      </c>
      <c r="E3835" s="4">
        <v>6.10800101E9</v>
      </c>
      <c r="F3835" s="8"/>
      <c r="G3835" s="4" t="s">
        <v>1130</v>
      </c>
      <c r="H3835" s="10" t="s">
        <v>4951</v>
      </c>
      <c r="I3835" s="10">
        <v>6.0</v>
      </c>
      <c r="J3835" s="11" t="str">
        <f>IF(D3835&lt;&gt;"",VLOOKUP(H3835,TABLEITEM,5,FALSE),"")</f>
        <v>EA</v>
      </c>
      <c r="K3835" s="12">
        <v>223.6667</v>
      </c>
      <c r="L3835" s="13" t="str">
        <f>IF(D3835&lt;&gt;"",VLOOKUP(H3835,TABLEITEM,2,FALSE),"")</f>
        <v/>
      </c>
      <c r="M3835" s="13" t="str">
        <f>IF(D3835&lt;&gt;"",VLOOKUP(H3835,TABLEITEM,3,FALSE),"")</f>
        <v>PCE#4132-6V 2P+E 16A ปลั๊กฝังเฉียง</v>
      </c>
      <c r="N3835" s="14">
        <f>INSTOCK!$I3835*INSTOCK!$K3835</f>
        <v>1342.0002</v>
      </c>
      <c r="O3835" s="4" t="s">
        <v>4952</v>
      </c>
      <c r="P3835" s="4"/>
    </row>
    <row r="3836" ht="15.75" hidden="1" customHeight="1">
      <c r="B3836" s="8">
        <v>4155.0</v>
      </c>
      <c r="C3836" s="9">
        <v>43335.0</v>
      </c>
      <c r="D3836" s="6" t="s">
        <v>4953</v>
      </c>
      <c r="E3836" s="4">
        <v>6.108001003E9</v>
      </c>
      <c r="F3836" s="8" t="s">
        <v>1989</v>
      </c>
      <c r="G3836" s="4" t="s">
        <v>2014</v>
      </c>
      <c r="H3836" s="10" t="s">
        <v>4954</v>
      </c>
      <c r="I3836" s="10">
        <v>2.0</v>
      </c>
      <c r="J3836" s="11" t="str">
        <f>IF(D3836&lt;&gt;"",VLOOKUP(H3836,TABLEITEM,5,FALSE),"")</f>
        <v>EA</v>
      </c>
      <c r="K3836" s="12">
        <v>462.62</v>
      </c>
      <c r="L3836" s="13" t="str">
        <f>IF(D3836&lt;&gt;"",VLOOKUP(H3836,TABLEITEM,2,FALSE),"")</f>
        <v/>
      </c>
      <c r="M3836" s="13" t="str">
        <f>IF(D3836&lt;&gt;"",VLOOKUP(H3836,TABLEITEM,3,FALSE),"")</f>
        <v>กระดาษต่อเนื่อง ไม่มีเส้น 9x5.5" 3ชั้น</v>
      </c>
      <c r="N3836" s="14">
        <f>INSTOCK!$I3836*INSTOCK!$K3836</f>
        <v>925.24</v>
      </c>
      <c r="O3836" s="4"/>
      <c r="P3836" s="4"/>
    </row>
    <row r="3837" ht="15.75" hidden="1" customHeight="1">
      <c r="B3837" s="8">
        <v>4156.0</v>
      </c>
      <c r="C3837" s="9">
        <v>43334.0</v>
      </c>
      <c r="D3837" s="6">
        <v>2.0180800454E10</v>
      </c>
      <c r="E3837" s="4">
        <v>6.10800099E9</v>
      </c>
      <c r="F3837" s="8" t="s">
        <v>807</v>
      </c>
      <c r="G3837" s="4" t="s">
        <v>2460</v>
      </c>
      <c r="H3837" s="10" t="s">
        <v>4955</v>
      </c>
      <c r="I3837" s="10">
        <v>1.0</v>
      </c>
      <c r="J3837" s="11" t="str">
        <f>IF(D3837&lt;&gt;"",VLOOKUP(H3837,TABLEITEM,5,FALSE),"")</f>
        <v>EA</v>
      </c>
      <c r="K3837" s="12">
        <v>890.0</v>
      </c>
      <c r="L3837" s="13" t="str">
        <f>IF(D3837&lt;&gt;"",VLOOKUP(H3837,TABLEITEM,2,FALSE),"")</f>
        <v/>
      </c>
      <c r="M3837" s="13" t="str">
        <f>IF(D3837&lt;&gt;"",VLOOKUP(H3837,TABLEITEM,3,FALSE),"")</f>
        <v>Packing CODE 71820117 DRAWING DA21513-B</v>
      </c>
      <c r="N3837" s="14">
        <f>INSTOCK!$I3837*INSTOCK!$K3837</f>
        <v>890</v>
      </c>
      <c r="O3837" s="4"/>
      <c r="P3837" s="4"/>
    </row>
    <row r="3838" ht="15.75" hidden="1" customHeight="1">
      <c r="B3838" s="8">
        <v>4157.0</v>
      </c>
      <c r="C3838" s="9">
        <v>43334.0</v>
      </c>
      <c r="D3838" s="6">
        <v>2.0180800454E10</v>
      </c>
      <c r="E3838" s="4">
        <v>6.10800099E9</v>
      </c>
      <c r="F3838" s="8" t="s">
        <v>807</v>
      </c>
      <c r="G3838" s="4" t="s">
        <v>2460</v>
      </c>
      <c r="H3838" s="10" t="s">
        <v>3209</v>
      </c>
      <c r="I3838" s="10">
        <v>2.0</v>
      </c>
      <c r="J3838" s="11" t="str">
        <f>IF(D3838&lt;&gt;"",VLOOKUP(H3838,TABLEITEM,5,FALSE),"")</f>
        <v>LOT</v>
      </c>
      <c r="K3838" s="12">
        <v>2500.0</v>
      </c>
      <c r="L3838" s="13" t="str">
        <f>IF(D3838&lt;&gt;"",VLOOKUP(H3838,TABLEITEM,2,FALSE),"")</f>
        <v/>
      </c>
      <c r="M3838" s="13" t="str">
        <f>IF(D3838&lt;&gt;"",VLOOKUP(H3838,TABLEITEM,3,FALSE),"")</f>
        <v>SERVICE-CHARGE(PROMOTION)-SERVICE1</v>
      </c>
      <c r="N3838" s="14">
        <f>INSTOCK!$I3838*INSTOCK!$K3838</f>
        <v>5000</v>
      </c>
      <c r="O3838" s="4"/>
      <c r="P3838" s="4"/>
    </row>
    <row r="3839" ht="15.75" hidden="1" customHeight="1">
      <c r="B3839" s="8">
        <v>4158.0</v>
      </c>
      <c r="C3839" s="9">
        <v>43334.0</v>
      </c>
      <c r="D3839" s="6">
        <v>2.0180800454E10</v>
      </c>
      <c r="E3839" s="4">
        <v>6.10800099E9</v>
      </c>
      <c r="F3839" s="8" t="s">
        <v>807</v>
      </c>
      <c r="G3839" s="4" t="s">
        <v>2460</v>
      </c>
      <c r="H3839" s="10" t="s">
        <v>3210</v>
      </c>
      <c r="I3839" s="10">
        <v>1.0</v>
      </c>
      <c r="J3839" s="11" t="str">
        <f>IF(D3839&lt;&gt;"",VLOOKUP(H3839,TABLEITEM,5,FALSE),"")</f>
        <v>LOT</v>
      </c>
      <c r="K3839" s="12">
        <v>800.0</v>
      </c>
      <c r="L3839" s="13" t="str">
        <f>IF(D3839&lt;&gt;"",VLOOKUP(H3839,TABLEITEM,2,FALSE),"")</f>
        <v/>
      </c>
      <c r="M3839" s="13" t="str">
        <f>IF(D3839&lt;&gt;"",VLOOKUP(H3839,TABLEITEM,3,FALSE),"")</f>
        <v>TRAVEL CHARGE (PROMOTION) -TRAVEL1</v>
      </c>
      <c r="N3839" s="14">
        <f>INSTOCK!$I3839*INSTOCK!$K3839</f>
        <v>800</v>
      </c>
      <c r="O3839" s="4"/>
      <c r="P3839" s="4"/>
    </row>
    <row r="3840" ht="15.75" hidden="1" customHeight="1">
      <c r="B3840" s="8">
        <v>4159.0</v>
      </c>
      <c r="C3840" s="9">
        <v>43333.0</v>
      </c>
      <c r="D3840" s="6" t="s">
        <v>4956</v>
      </c>
      <c r="E3840" s="4">
        <v>6.108000982E9</v>
      </c>
      <c r="F3840" s="8" t="s">
        <v>1989</v>
      </c>
      <c r="G3840" s="4" t="s">
        <v>1990</v>
      </c>
      <c r="H3840" s="10" t="s">
        <v>1992</v>
      </c>
      <c r="I3840" s="10">
        <v>2.0</v>
      </c>
      <c r="J3840" s="11" t="str">
        <f>IF(D3840&lt;&gt;"",VLOOKUP(H3840,TABLEITEM,5,FALSE),"")</f>
        <v>PACK</v>
      </c>
      <c r="K3840" s="12">
        <v>119.0</v>
      </c>
      <c r="L3840" s="13" t="str">
        <f>IF(D3840&lt;&gt;"",VLOOKUP(H3840,TABLEITEM,2,FALSE),"")</f>
        <v/>
      </c>
      <c r="M3840" s="13" t="str">
        <f>IF(D3840&lt;&gt;"",VLOOKUP(H3840,TABLEITEM,3,FALSE),"")</f>
        <v>ถ่านอัลคาไลน์ Panasonic AA (แพ็ค 8ก้อน)</v>
      </c>
      <c r="N3840" s="14">
        <f>INSTOCK!$I3840*INSTOCK!$K3840</f>
        <v>238</v>
      </c>
      <c r="O3840" s="4"/>
      <c r="P3840" s="4"/>
    </row>
    <row r="3841" ht="15.75" hidden="1" customHeight="1">
      <c r="B3841" s="8">
        <v>4160.0</v>
      </c>
      <c r="C3841" s="9">
        <v>43333.0</v>
      </c>
      <c r="D3841" s="6" t="s">
        <v>4956</v>
      </c>
      <c r="E3841" s="4">
        <v>6.108000982E9</v>
      </c>
      <c r="F3841" s="8" t="s">
        <v>1989</v>
      </c>
      <c r="G3841" s="4" t="s">
        <v>1990</v>
      </c>
      <c r="H3841" s="10" t="s">
        <v>3419</v>
      </c>
      <c r="I3841" s="10">
        <v>1.0</v>
      </c>
      <c r="J3841" s="11" t="str">
        <f>IF(D3841&lt;&gt;"",VLOOKUP(H3841,TABLEITEM,5,FALSE),"")</f>
        <v>pack</v>
      </c>
      <c r="K3841" s="12">
        <v>119.0</v>
      </c>
      <c r="L3841" s="13" t="str">
        <f>IF(D3841&lt;&gt;"",VLOOKUP(H3841,TABLEITEM,2,FALSE),"")</f>
        <v/>
      </c>
      <c r="M3841" s="13" t="str">
        <f>IF(D3841&lt;&gt;"",VLOOKUP(H3841,TABLEITEM,3,FALSE),"")</f>
        <v>ถ่านอัลคาไลน์ panasonic AAA (แพ็ค 8ก้อน)</v>
      </c>
      <c r="N3841" s="14">
        <f>INSTOCK!$I3841*INSTOCK!$K3841</f>
        <v>119</v>
      </c>
      <c r="O3841" s="4"/>
      <c r="P3841" s="4"/>
    </row>
    <row r="3842" ht="15.75" hidden="1" customHeight="1">
      <c r="B3842" s="8">
        <v>4161.0</v>
      </c>
      <c r="C3842" s="9">
        <v>43333.0</v>
      </c>
      <c r="D3842" s="6" t="s">
        <v>4956</v>
      </c>
      <c r="E3842" s="4">
        <v>6.108000982E9</v>
      </c>
      <c r="F3842" s="8" t="s">
        <v>1989</v>
      </c>
      <c r="G3842" s="4" t="s">
        <v>1990</v>
      </c>
      <c r="H3842" s="10" t="s">
        <v>4957</v>
      </c>
      <c r="I3842" s="10">
        <v>2.0</v>
      </c>
      <c r="J3842" s="11" t="str">
        <f>IF(D3842&lt;&gt;"",VLOOKUP(H3842,TABLEITEM,5,FALSE),"")</f>
        <v>EA</v>
      </c>
      <c r="K3842" s="12">
        <v>57.0</v>
      </c>
      <c r="L3842" s="13" t="str">
        <f>IF(D3842&lt;&gt;"",VLOOKUP(H3842,TABLEITEM,2,FALSE),"")</f>
        <v/>
      </c>
      <c r="M3842" s="13" t="str">
        <f>IF(D3842&lt;&gt;"",VLOOKUP(H3842,TABLEITEM,3,FALSE),"")</f>
        <v>ลวดเสียบกระดาษ ตราม้า เบอร์ 1กลม</v>
      </c>
      <c r="N3842" s="14">
        <f>INSTOCK!$I3842*INSTOCK!$K3842</f>
        <v>114</v>
      </c>
      <c r="O3842" s="4"/>
      <c r="P3842" s="4"/>
    </row>
    <row r="3843" ht="15.75" hidden="1" customHeight="1">
      <c r="B3843" s="8">
        <v>4162.0</v>
      </c>
      <c r="C3843" s="9">
        <v>43333.0</v>
      </c>
      <c r="D3843" s="6" t="s">
        <v>4956</v>
      </c>
      <c r="E3843" s="4">
        <v>6.108000982E9</v>
      </c>
      <c r="F3843" s="8" t="s">
        <v>1989</v>
      </c>
      <c r="G3843" s="4" t="s">
        <v>1990</v>
      </c>
      <c r="H3843" s="10" t="s">
        <v>4958</v>
      </c>
      <c r="I3843" s="10">
        <v>4.0</v>
      </c>
      <c r="J3843" s="11" t="str">
        <f>IF(D3843&lt;&gt;"",VLOOKUP(H3843,TABLEITEM,5,FALSE),"")</f>
        <v>EA</v>
      </c>
      <c r="K3843" s="12">
        <v>40.0</v>
      </c>
      <c r="L3843" s="13" t="str">
        <f>IF(D3843&lt;&gt;"",VLOOKUP(H3843,TABLEITEM,2,FALSE),"")</f>
        <v/>
      </c>
      <c r="M3843" s="13" t="str">
        <f>IF(D3843&lt;&gt;"",VLOOKUP(H3843,TABLEITEM,3,FALSE),"")</f>
        <v>ซองขาว 555,9/125 ฝาขนาน 50ซอง</v>
      </c>
      <c r="N3843" s="14">
        <f>INSTOCK!$I3843*INSTOCK!$K3843</f>
        <v>160</v>
      </c>
      <c r="O3843" s="4"/>
      <c r="P3843" s="4"/>
    </row>
    <row r="3844" ht="15.75" hidden="1" customHeight="1">
      <c r="B3844" s="8">
        <v>4163.0</v>
      </c>
      <c r="C3844" s="9">
        <v>43333.0</v>
      </c>
      <c r="D3844" s="6" t="s">
        <v>4959</v>
      </c>
      <c r="E3844" s="4">
        <v>6.108000984E9</v>
      </c>
      <c r="F3844" s="8" t="s">
        <v>2449</v>
      </c>
      <c r="G3844" s="4" t="s">
        <v>3058</v>
      </c>
      <c r="H3844" s="10" t="s">
        <v>4583</v>
      </c>
      <c r="I3844" s="10">
        <v>1.0</v>
      </c>
      <c r="J3844" s="11" t="str">
        <f>IF(D3844&lt;&gt;"",VLOOKUP(H3844,TABLEITEM,5,FALSE),"")</f>
        <v>คู่</v>
      </c>
      <c r="K3844" s="12">
        <v>500.0</v>
      </c>
      <c r="L3844" s="13" t="str">
        <f>IF(D3844&lt;&gt;"",VLOOKUP(H3844,TABLEITEM,2,FALSE),"")</f>
        <v/>
      </c>
      <c r="M3844" s="13" t="str">
        <f>IF(D3844&lt;&gt;"",VLOOKUP(H3844,TABLEITEM,3,FALSE),"")</f>
        <v>รองเท้าเซฟตี้ Perch รุ่น inov </v>
      </c>
      <c r="N3844" s="14">
        <f>INSTOCK!$I3844*INSTOCK!$K3844</f>
        <v>500</v>
      </c>
      <c r="O3844" s="4" t="s">
        <v>4960</v>
      </c>
      <c r="P3844" s="4"/>
    </row>
    <row r="3845" ht="15.75" hidden="1" customHeight="1">
      <c r="B3845" s="8">
        <v>4164.0</v>
      </c>
      <c r="C3845" s="9">
        <v>43332.0</v>
      </c>
      <c r="D3845" s="6">
        <v>658.0</v>
      </c>
      <c r="E3845" s="4">
        <v>6.107000901E9</v>
      </c>
      <c r="F3845" s="8" t="s">
        <v>604</v>
      </c>
      <c r="G3845" s="4" t="s">
        <v>2382</v>
      </c>
      <c r="H3845" s="10" t="s">
        <v>4961</v>
      </c>
      <c r="I3845" s="10">
        <v>400.0</v>
      </c>
      <c r="J3845" s="11" t="str">
        <f>IF(D3845&lt;&gt;"",VLOOKUP(H3845,TABLEITEM,5,FALSE),"")</f>
        <v>EA</v>
      </c>
      <c r="K3845" s="12">
        <v>10.0</v>
      </c>
      <c r="L3845" s="13" t="str">
        <f>IF(D3845&lt;&gt;"",VLOOKUP(H3845,TABLEITEM,2,FALSE),"")</f>
        <v/>
      </c>
      <c r="M3845" s="13" t="str">
        <f>IF(D3845&lt;&gt;"",VLOOKUP(H3845,TABLEITEM,3,FALSE),"")</f>
        <v>บูชกลึง M20x18 ต้าฟเกลียวใน M8</v>
      </c>
      <c r="N3845" s="14">
        <f>INSTOCK!$I3845*INSTOCK!$K3845</f>
        <v>4000</v>
      </c>
      <c r="O3845" s="4"/>
      <c r="P3845" s="4"/>
    </row>
    <row r="3846" ht="15.75" hidden="1" customHeight="1">
      <c r="B3846" s="8">
        <v>4165.0</v>
      </c>
      <c r="C3846" s="9">
        <v>43332.0</v>
      </c>
      <c r="D3846" s="6">
        <v>35570.0</v>
      </c>
      <c r="E3846" s="4">
        <v>6.108000981E9</v>
      </c>
      <c r="F3846" s="8" t="s">
        <v>604</v>
      </c>
      <c r="G3846" s="4" t="s">
        <v>696</v>
      </c>
      <c r="H3846" s="10" t="s">
        <v>2677</v>
      </c>
      <c r="I3846" s="10">
        <v>12.0</v>
      </c>
      <c r="J3846" s="11" t="str">
        <f>IF(D3846&lt;&gt;"",VLOOKUP(H3846,TABLEITEM,5,FALSE),"")</f>
        <v>EA</v>
      </c>
      <c r="K3846" s="12">
        <v>80.0</v>
      </c>
      <c r="L3846" s="13" t="str">
        <f>IF(D3846&lt;&gt;"",VLOOKUP(H3846,TABLEITEM,2,FALSE),"")</f>
        <v/>
      </c>
      <c r="M3846" s="13" t="str">
        <f>IF(D3846&lt;&gt;"",VLOOKUP(H3846,TABLEITEM,3,FALSE),"")</f>
        <v>ผ้ากันเปื้อนแบบยีนส์ </v>
      </c>
      <c r="N3846" s="14">
        <f>INSTOCK!$I3846*INSTOCK!$K3846</f>
        <v>960</v>
      </c>
      <c r="O3846" s="4"/>
      <c r="P3846" s="4"/>
    </row>
    <row r="3847" ht="15.75" hidden="1" customHeight="1">
      <c r="B3847" s="8">
        <v>4166.0</v>
      </c>
      <c r="C3847" s="9">
        <v>43332.0</v>
      </c>
      <c r="D3847" s="6" t="s">
        <v>4962</v>
      </c>
      <c r="E3847" s="4">
        <v>6.108000983E9</v>
      </c>
      <c r="F3847" s="8" t="s">
        <v>1989</v>
      </c>
      <c r="G3847" s="4" t="s">
        <v>2014</v>
      </c>
      <c r="H3847" s="10" t="s">
        <v>2684</v>
      </c>
      <c r="I3847" s="10">
        <v>2.0</v>
      </c>
      <c r="J3847" s="11" t="str">
        <f>IF(D3847&lt;&gt;"",VLOOKUP(H3847,TABLEITEM,5,FALSE),"")</f>
        <v>EA</v>
      </c>
      <c r="K3847" s="12">
        <v>102.5</v>
      </c>
      <c r="L3847" s="13" t="str">
        <f>IF(D3847&lt;&gt;"",VLOOKUP(H3847,TABLEITEM,2,FALSE),"")</f>
        <v/>
      </c>
      <c r="M3847" s="13" t="str">
        <f>IF(D3847&lt;&gt;"",VLOOKUP(H3847,TABLEITEM,3,FALSE),"")</f>
        <v>สมุดปกอ่อน 60แกรม 80แผ่น (6เล่ม/แพ็ค)วีนัส F980-9</v>
      </c>
      <c r="N3847" s="14">
        <f>INSTOCK!$I3847*INSTOCK!$K3847</f>
        <v>205</v>
      </c>
      <c r="O3847" s="4"/>
      <c r="P3847" s="4"/>
    </row>
    <row r="3848" ht="15.75" hidden="1" customHeight="1">
      <c r="B3848" s="8">
        <v>4167.0</v>
      </c>
      <c r="C3848" s="9">
        <v>43332.0</v>
      </c>
      <c r="D3848" s="6" t="s">
        <v>4962</v>
      </c>
      <c r="E3848" s="4">
        <v>6.108000983E9</v>
      </c>
      <c r="F3848" s="8" t="s">
        <v>1989</v>
      </c>
      <c r="G3848" s="4" t="s">
        <v>2014</v>
      </c>
      <c r="H3848" s="10" t="s">
        <v>4963</v>
      </c>
      <c r="I3848" s="10">
        <v>6.0</v>
      </c>
      <c r="J3848" s="11" t="str">
        <f>IF(D3848&lt;&gt;"",VLOOKUP(H3848,TABLEITEM,5,FALSE),"")</f>
        <v>EA</v>
      </c>
      <c r="K3848" s="12">
        <v>25.23</v>
      </c>
      <c r="L3848" s="13" t="str">
        <f>IF(D3848&lt;&gt;"",VLOOKUP(H3848,TABLEITEM,2,FALSE),"")</f>
        <v/>
      </c>
      <c r="M3848" s="13" t="str">
        <f>IF(D3848&lt;&gt;"",VLOOKUP(H3848,TABLEITEM,3,FALSE),"")</f>
        <v>ปากกาเน้นข้อความ เหลือง ควอนตั้ม QH-710</v>
      </c>
      <c r="N3848" s="14">
        <f>INSTOCK!$I3848*INSTOCK!$K3848</f>
        <v>151.38</v>
      </c>
      <c r="O3848" s="4"/>
      <c r="P3848" s="4"/>
    </row>
    <row r="3849" ht="15.75" hidden="1" customHeight="1">
      <c r="B3849" s="8">
        <v>4168.0</v>
      </c>
      <c r="C3849" s="9">
        <v>43332.0</v>
      </c>
      <c r="D3849" s="6" t="s">
        <v>4962</v>
      </c>
      <c r="E3849" s="4">
        <v>6.108000983E9</v>
      </c>
      <c r="F3849" s="8" t="s">
        <v>1989</v>
      </c>
      <c r="G3849" s="4" t="s">
        <v>2014</v>
      </c>
      <c r="H3849" s="10" t="s">
        <v>4964</v>
      </c>
      <c r="I3849" s="10">
        <v>6.0</v>
      </c>
      <c r="J3849" s="11" t="str">
        <f>IF(D3849&lt;&gt;"",VLOOKUP(H3849,TABLEITEM,5,FALSE),"")</f>
        <v>EA</v>
      </c>
      <c r="K3849" s="12">
        <v>25.23</v>
      </c>
      <c r="L3849" s="13" t="str">
        <f>IF(D3849&lt;&gt;"",VLOOKUP(H3849,TABLEITEM,2,FALSE),"")</f>
        <v/>
      </c>
      <c r="M3849" s="13" t="str">
        <f>IF(D3849&lt;&gt;"",VLOOKUP(H3849,TABLEITEM,3,FALSE),"")</f>
        <v>ปากกาเน้นข้อความ ชมพู ควอนตั้ม QH-711</v>
      </c>
      <c r="N3849" s="14">
        <f>INSTOCK!$I3849*INSTOCK!$K3849</f>
        <v>151.38</v>
      </c>
      <c r="O3849" s="4"/>
      <c r="P3849" s="4"/>
    </row>
    <row r="3850" ht="15.75" hidden="1" customHeight="1">
      <c r="B3850" s="8">
        <v>4169.0</v>
      </c>
      <c r="C3850" s="9">
        <v>43332.0</v>
      </c>
      <c r="D3850" s="6" t="s">
        <v>4962</v>
      </c>
      <c r="E3850" s="4">
        <v>6.108000983E9</v>
      </c>
      <c r="F3850" s="8" t="s">
        <v>1989</v>
      </c>
      <c r="G3850" s="4" t="s">
        <v>2014</v>
      </c>
      <c r="H3850" s="10" t="s">
        <v>4965</v>
      </c>
      <c r="I3850" s="10">
        <v>4.0</v>
      </c>
      <c r="J3850" s="11" t="str">
        <f>IF(D3850&lt;&gt;"",VLOOKUP(H3850,TABLEITEM,5,FALSE),"")</f>
        <v>EA</v>
      </c>
      <c r="K3850" s="12">
        <v>25.23</v>
      </c>
      <c r="L3850" s="13" t="str">
        <f>IF(D3850&lt;&gt;"",VLOOKUP(H3850,TABLEITEM,2,FALSE),"")</f>
        <v/>
      </c>
      <c r="M3850" s="13" t="str">
        <f>IF(D3850&lt;&gt;"",VLOOKUP(H3850,TABLEITEM,3,FALSE),"")</f>
        <v>ปากกาเน้นข้อความ ส้ม ควอนตั้ม QH-712</v>
      </c>
      <c r="N3850" s="14">
        <f>INSTOCK!$I3850*INSTOCK!$K3850</f>
        <v>100.92</v>
      </c>
      <c r="O3850" s="4"/>
      <c r="P3850" s="4"/>
    </row>
    <row r="3851" ht="15.75" hidden="1" customHeight="1">
      <c r="B3851" s="8">
        <v>4170.0</v>
      </c>
      <c r="C3851" s="9">
        <v>43332.0</v>
      </c>
      <c r="D3851" s="6" t="s">
        <v>4966</v>
      </c>
      <c r="E3851" s="4">
        <v>6.108000979E9</v>
      </c>
      <c r="F3851" s="8" t="s">
        <v>604</v>
      </c>
      <c r="G3851" s="4" t="s">
        <v>1777</v>
      </c>
      <c r="H3851" s="10" t="s">
        <v>2100</v>
      </c>
      <c r="I3851" s="10">
        <v>5200.0</v>
      </c>
      <c r="J3851" s="11" t="str">
        <f>IF(D3851&lt;&gt;"",VLOOKUP(H3851,TABLEITEM,5,FALSE),"")</f>
        <v>EA</v>
      </c>
      <c r="K3851" s="12">
        <v>0.7995</v>
      </c>
      <c r="L3851" s="13" t="str">
        <f>IF(D3851&lt;&gt;"",VLOOKUP(H3851,TABLEITEM,2,FALSE),"")</f>
        <v/>
      </c>
      <c r="M3851" s="13" t="str">
        <f>IF(D3851&lt;&gt;"",VLOOKUP(H3851,TABLEITEM,3,FALSE),"")</f>
        <v>สกรูหัวเหลี่ยมชุบขาว M8x20</v>
      </c>
      <c r="N3851" s="14">
        <f>INSTOCK!$I3851*INSTOCK!$K3851</f>
        <v>4157.4</v>
      </c>
      <c r="O3851" s="25" t="s">
        <v>2101</v>
      </c>
      <c r="P3851" s="4"/>
    </row>
    <row r="3852" ht="15.75" hidden="1" customHeight="1">
      <c r="B3852" s="8">
        <v>4171.0</v>
      </c>
      <c r="C3852" s="9">
        <v>43332.0</v>
      </c>
      <c r="D3852" s="6" t="s">
        <v>4966</v>
      </c>
      <c r="E3852" s="4">
        <v>6.108000979E9</v>
      </c>
      <c r="F3852" s="8" t="s">
        <v>604</v>
      </c>
      <c r="G3852" s="4" t="s">
        <v>1777</v>
      </c>
      <c r="H3852" s="10" t="s">
        <v>2102</v>
      </c>
      <c r="I3852" s="10">
        <v>20000.0</v>
      </c>
      <c r="J3852" s="11" t="str">
        <f>IF(D3852&lt;&gt;"",VLOOKUP(H3852,TABLEITEM,5,FALSE),"")</f>
        <v>EA</v>
      </c>
      <c r="K3852" s="12">
        <v>0.09</v>
      </c>
      <c r="L3852" s="13" t="str">
        <f>IF(D3852&lt;&gt;"",VLOOKUP(H3852,TABLEITEM,2,FALSE),"")</f>
        <v/>
      </c>
      <c r="M3852" s="13" t="str">
        <f>IF(D3852&lt;&gt;"",VLOOKUP(H3852,TABLEITEM,3,FALSE),"")</f>
        <v>แหวนอีแปะ M8 ชุบขาว</v>
      </c>
      <c r="N3852" s="14">
        <f>INSTOCK!$I3852*INSTOCK!$K3852</f>
        <v>1800</v>
      </c>
      <c r="O3852" s="4" t="s">
        <v>2103</v>
      </c>
      <c r="P3852" s="4"/>
    </row>
    <row r="3853" ht="15.75" hidden="1" customHeight="1">
      <c r="B3853" s="8">
        <v>4172.0</v>
      </c>
      <c r="C3853" s="9">
        <v>43332.0</v>
      </c>
      <c r="D3853" s="6" t="s">
        <v>4966</v>
      </c>
      <c r="E3853" s="4">
        <v>6.108000979E9</v>
      </c>
      <c r="F3853" s="8" t="s">
        <v>604</v>
      </c>
      <c r="G3853" s="4" t="s">
        <v>1777</v>
      </c>
      <c r="H3853" s="10" t="s">
        <v>3014</v>
      </c>
      <c r="I3853" s="10">
        <v>10000.0</v>
      </c>
      <c r="J3853" s="11" t="str">
        <f>IF(D3853&lt;&gt;"",VLOOKUP(H3853,TABLEITEM,5,FALSE),"")</f>
        <v>EA</v>
      </c>
      <c r="K3853" s="12">
        <v>0.075</v>
      </c>
      <c r="L3853" s="13" t="str">
        <f>IF(D3853&lt;&gt;"",VLOOKUP(H3853,TABLEITEM,2,FALSE),"")</f>
        <v/>
      </c>
      <c r="M3853" s="13" t="str">
        <f>IF(D3853&lt;&gt;"",VLOOKUP(H3853,TABLEITEM,3,FALSE),"")</f>
        <v>แหวนสปริง M 8 ชุบรุ้ง</v>
      </c>
      <c r="N3853" s="14">
        <f>INSTOCK!$I3853*INSTOCK!$K3853</f>
        <v>750</v>
      </c>
      <c r="O3853" s="4" t="s">
        <v>2079</v>
      </c>
      <c r="P3853" s="4"/>
    </row>
    <row r="3854" ht="15.75" hidden="1" customHeight="1">
      <c r="B3854" s="8">
        <v>4173.0</v>
      </c>
      <c r="C3854" s="9">
        <v>43332.0</v>
      </c>
      <c r="D3854" s="6" t="s">
        <v>4966</v>
      </c>
      <c r="E3854" s="4">
        <v>6.108000979E9</v>
      </c>
      <c r="F3854" s="8" t="s">
        <v>604</v>
      </c>
      <c r="G3854" s="4" t="s">
        <v>1777</v>
      </c>
      <c r="H3854" s="10" t="s">
        <v>2080</v>
      </c>
      <c r="I3854" s="10">
        <v>10000.0</v>
      </c>
      <c r="J3854" s="11" t="str">
        <f>IF(D3854&lt;&gt;"",VLOOKUP(H3854,TABLEITEM,5,FALSE),"")</f>
        <v>EA</v>
      </c>
      <c r="K3854" s="12">
        <v>0.36</v>
      </c>
      <c r="L3854" s="13" t="str">
        <f>IF(D3854&lt;&gt;"",VLOOKUP(H3854,TABLEITEM,2,FALSE),"")</f>
        <v/>
      </c>
      <c r="M3854" s="13" t="str">
        <f>IF(D3854&lt;&gt;"",VLOOKUP(H3854,TABLEITEM,3,FALSE),"")</f>
        <v>หัวน็อต M 8 ชุบขาว</v>
      </c>
      <c r="N3854" s="14">
        <f>INSTOCK!$I3854*INSTOCK!$K3854</f>
        <v>3600</v>
      </c>
      <c r="O3854" s="4" t="s">
        <v>2081</v>
      </c>
      <c r="P3854" s="4"/>
    </row>
    <row r="3855" ht="15.75" hidden="1" customHeight="1">
      <c r="B3855" s="8">
        <v>4174.0</v>
      </c>
      <c r="C3855" s="9">
        <v>43332.0</v>
      </c>
      <c r="D3855" s="6" t="s">
        <v>4966</v>
      </c>
      <c r="E3855" s="4">
        <v>6.108000979E9</v>
      </c>
      <c r="F3855" s="8" t="s">
        <v>604</v>
      </c>
      <c r="G3855" s="4" t="s">
        <v>1777</v>
      </c>
      <c r="H3855" s="10" t="s">
        <v>4967</v>
      </c>
      <c r="I3855" s="10">
        <v>2000.0</v>
      </c>
      <c r="J3855" s="11" t="str">
        <f>IF(D3855&lt;&gt;"",VLOOKUP(H3855,TABLEITEM,5,FALSE),"")</f>
        <v>EA</v>
      </c>
      <c r="K3855" s="12">
        <v>0.19</v>
      </c>
      <c r="L3855" s="13" t="str">
        <f>IF(D3855&lt;&gt;"",VLOOKUP(H3855,TABLEITEM,2,FALSE),"")</f>
        <v/>
      </c>
      <c r="M3855" s="13" t="str">
        <f>IF(D3855&lt;&gt;"",VLOOKUP(H3855,TABLEITEM,3,FALSE),"")</f>
        <v>แหวนจักร M6</v>
      </c>
      <c r="N3855" s="14">
        <f>INSTOCK!$I3855*INSTOCK!$K3855</f>
        <v>380</v>
      </c>
      <c r="O3855" s="4"/>
      <c r="P3855" s="4"/>
    </row>
    <row r="3856" ht="15.75" hidden="1" customHeight="1">
      <c r="B3856" s="8">
        <v>4175.0</v>
      </c>
      <c r="C3856" s="9">
        <v>43330.0</v>
      </c>
      <c r="D3856" s="6" t="s">
        <v>4968</v>
      </c>
      <c r="E3856" s="4">
        <v>6.10800097E9</v>
      </c>
      <c r="F3856" s="8" t="s">
        <v>604</v>
      </c>
      <c r="G3856" s="4" t="s">
        <v>1564</v>
      </c>
      <c r="H3856" s="10" t="s">
        <v>2761</v>
      </c>
      <c r="I3856" s="10">
        <v>150.0</v>
      </c>
      <c r="J3856" s="11" t="str">
        <f>IF(D3856&lt;&gt;"",VLOOKUP(H3856,TABLEITEM,5,FALSE),"")</f>
        <v>EA</v>
      </c>
      <c r="K3856" s="12">
        <v>18.0</v>
      </c>
      <c r="L3856" s="13" t="str">
        <f>IF(D3856&lt;&gt;"",VLOOKUP(H3856,TABLEITEM,2,FALSE),"")</f>
        <v/>
      </c>
      <c r="M3856" s="13" t="str">
        <f>IF(D3856&lt;&gt;"",VLOOKUP(H3856,TABLEITEM,3,FALSE),"")</f>
        <v>กาว BT-10</v>
      </c>
      <c r="N3856" s="14">
        <f>INSTOCK!$I3856*INSTOCK!$K3856</f>
        <v>2700</v>
      </c>
      <c r="O3856" s="4"/>
      <c r="P3856" s="4"/>
    </row>
    <row r="3857" ht="15.75" hidden="1" customHeight="1">
      <c r="B3857" s="8">
        <v>4176.0</v>
      </c>
      <c r="C3857" s="9">
        <v>43330.0</v>
      </c>
      <c r="D3857" s="6" t="s">
        <v>4968</v>
      </c>
      <c r="E3857" s="4">
        <v>6.10800097E9</v>
      </c>
      <c r="F3857" s="8" t="s">
        <v>604</v>
      </c>
      <c r="G3857" s="4" t="s">
        <v>1564</v>
      </c>
      <c r="H3857" s="10" t="s">
        <v>3784</v>
      </c>
      <c r="I3857" s="10">
        <v>150.0</v>
      </c>
      <c r="J3857" s="11" t="str">
        <f>IF(D3857&lt;&gt;"",VLOOKUP(H3857,TABLEITEM,5,FALSE),"")</f>
        <v>EA</v>
      </c>
      <c r="K3857" s="12">
        <v>28.0</v>
      </c>
      <c r="L3857" s="13" t="str">
        <f>IF(D3857&lt;&gt;"",VLOOKUP(H3857,TABLEITEM,2,FALSE),"")</f>
        <v/>
      </c>
      <c r="M3857" s="13" t="str">
        <f>IF(D3857&lt;&gt;"",VLOOKUP(H3857,TABLEITEM,3,FALSE),"")</f>
        <v>กาวร้อน BT-33</v>
      </c>
      <c r="N3857" s="14">
        <f>INSTOCK!$I3857*INSTOCK!$K3857</f>
        <v>4200</v>
      </c>
      <c r="O3857" s="4"/>
      <c r="P3857" s="4"/>
    </row>
    <row r="3858" ht="15.75" hidden="1" customHeight="1">
      <c r="B3858" s="8">
        <v>4177.0</v>
      </c>
      <c r="C3858" s="9">
        <v>43329.0</v>
      </c>
      <c r="D3858" s="6" t="s">
        <v>4969</v>
      </c>
      <c r="E3858" s="4">
        <v>6.107000888E9</v>
      </c>
      <c r="F3858" s="8" t="s">
        <v>604</v>
      </c>
      <c r="G3858" s="4" t="s">
        <v>3099</v>
      </c>
      <c r="H3858" s="10" t="s">
        <v>2302</v>
      </c>
      <c r="I3858" s="10">
        <v>5137.0</v>
      </c>
      <c r="J3858" s="11" t="str">
        <f>IF(D3858&lt;&gt;"",VLOOKUP(H3858,TABLEITEM,5,FALSE),"")</f>
        <v>EA</v>
      </c>
      <c r="K3858" s="12">
        <v>2.19</v>
      </c>
      <c r="L3858" s="13" t="str">
        <f>IF(D3858&lt;&gt;"",VLOOKUP(H3858,TABLEITEM,2,FALSE),"")</f>
        <v/>
      </c>
      <c r="M3858" s="13" t="str">
        <f>IF(D3858&lt;&gt;"",VLOOKUP(H3858,TABLEITEM,3,FALSE),"")</f>
        <v>ไส้กลางบานพับชุบขาว</v>
      </c>
      <c r="N3858" s="14">
        <f>INSTOCK!$I3858*INSTOCK!$K3858</f>
        <v>11250.03</v>
      </c>
      <c r="O3858" s="4"/>
      <c r="P3858" s="4"/>
    </row>
    <row r="3859" ht="15.75" hidden="1" customHeight="1">
      <c r="B3859" s="8">
        <v>4178.0</v>
      </c>
      <c r="C3859" s="9">
        <v>43329.0</v>
      </c>
      <c r="D3859" s="6" t="s">
        <v>4970</v>
      </c>
      <c r="E3859" s="4"/>
      <c r="F3859" s="8" t="s">
        <v>604</v>
      </c>
      <c r="G3859" s="4" t="s">
        <v>965</v>
      </c>
      <c r="H3859" s="10" t="s">
        <v>4565</v>
      </c>
      <c r="I3859" s="10">
        <v>12.0</v>
      </c>
      <c r="J3859" s="11" t="str">
        <f>IF(D3859&lt;&gt;"",VLOOKUP(H3859,TABLEITEM,5,FALSE),"")</f>
        <v>EA</v>
      </c>
      <c r="K3859" s="12">
        <v>170.0</v>
      </c>
      <c r="L3859" s="13" t="str">
        <f>IF(D3859&lt;&gt;"",VLOOKUP(H3859,TABLEITEM,2,FALSE),"")</f>
        <v/>
      </c>
      <c r="M3859" s="13" t="str">
        <f>IF(D3859&lt;&gt;"",VLOOKUP(H3859,TABLEITEM,3,FALSE),"")</f>
        <v>SETRONIC LAMPTON 18W</v>
      </c>
      <c r="N3859" s="14">
        <f>INSTOCK!$I3859*INSTOCK!$K3859</f>
        <v>2040</v>
      </c>
      <c r="O3859" s="4"/>
      <c r="P3859" s="4"/>
    </row>
    <row r="3860" ht="15.75" hidden="1" customHeight="1">
      <c r="B3860" s="8">
        <v>4179.0</v>
      </c>
      <c r="C3860" s="9">
        <v>43329.0</v>
      </c>
      <c r="D3860" s="6" t="s">
        <v>4971</v>
      </c>
      <c r="E3860" s="4"/>
      <c r="F3860" s="8" t="s">
        <v>604</v>
      </c>
      <c r="G3860" s="4" t="s">
        <v>965</v>
      </c>
      <c r="H3860" s="10" t="s">
        <v>4972</v>
      </c>
      <c r="I3860" s="10">
        <v>12.0</v>
      </c>
      <c r="J3860" s="11" t="str">
        <f>IF(D3860&lt;&gt;"",VLOOKUP(H3860,TABLEITEM,5,FALSE),"")</f>
        <v>EA</v>
      </c>
      <c r="K3860" s="12">
        <v>230.0</v>
      </c>
      <c r="L3860" s="13" t="str">
        <f>IF(D3860&lt;&gt;"",VLOOKUP(H3860,TABLEITEM,2,FALSE),"")</f>
        <v/>
      </c>
      <c r="M3860" s="13" t="str">
        <f>IF(D3860&lt;&gt;"",VLOOKUP(H3860,TABLEITEM,3,FALSE),"")</f>
        <v>SETRONIC LAMPTUN 36 W</v>
      </c>
      <c r="N3860" s="14">
        <f>INSTOCK!$I3860*INSTOCK!$K3860</f>
        <v>2760</v>
      </c>
      <c r="O3860" s="4"/>
      <c r="P3860" s="4"/>
    </row>
    <row r="3861" ht="15.75" hidden="1" customHeight="1">
      <c r="B3861" s="8">
        <v>4180.0</v>
      </c>
      <c r="C3861" s="9">
        <v>43329.0</v>
      </c>
      <c r="D3861" s="6" t="s">
        <v>4971</v>
      </c>
      <c r="E3861" s="4"/>
      <c r="F3861" s="8" t="s">
        <v>604</v>
      </c>
      <c r="G3861" s="4" t="s">
        <v>965</v>
      </c>
      <c r="H3861" s="10" t="s">
        <v>4973</v>
      </c>
      <c r="I3861" s="10">
        <v>2.0</v>
      </c>
      <c r="J3861" s="11" t="str">
        <f>IF(D3861&lt;&gt;"",VLOOKUP(H3861,TABLEITEM,5,FALSE),"")</f>
        <v>EA</v>
      </c>
      <c r="K3861" s="12">
        <v>45.0</v>
      </c>
      <c r="L3861" s="13" t="str">
        <f>IF(D3861&lt;&gt;"",VLOOKUP(H3861,TABLEITEM,2,FALSE),"")</f>
        <v/>
      </c>
      <c r="M3861" s="13" t="str">
        <f>IF(D3861&lt;&gt;"",VLOOKUP(H3861,TABLEITEM,3,FALSE),"")</f>
        <v>ลูกปืน 6204</v>
      </c>
      <c r="N3861" s="14">
        <f>INSTOCK!$I3861*INSTOCK!$K3861</f>
        <v>90</v>
      </c>
      <c r="O3861" s="4"/>
      <c r="P3861" s="4"/>
    </row>
    <row r="3862" ht="15.75" hidden="1" customHeight="1">
      <c r="B3862" s="8">
        <v>4181.0</v>
      </c>
      <c r="C3862" s="9">
        <v>43329.0</v>
      </c>
      <c r="D3862" s="6" t="s">
        <v>4974</v>
      </c>
      <c r="E3862" s="4"/>
      <c r="F3862" s="8" t="s">
        <v>604</v>
      </c>
      <c r="G3862" s="4" t="s">
        <v>1522</v>
      </c>
      <c r="H3862" s="10" t="s">
        <v>1540</v>
      </c>
      <c r="I3862" s="10">
        <v>12.0</v>
      </c>
      <c r="J3862" s="11" t="str">
        <f>IF(D3862&lt;&gt;"",VLOOKUP(H3862,TABLEITEM,5,FALSE),"")</f>
        <v>EA</v>
      </c>
      <c r="K3862" s="12">
        <v>146.0</v>
      </c>
      <c r="L3862" s="13" t="str">
        <f>IF(D3862&lt;&gt;"",VLOOKUP(H3862,TABLEITEM,2,FALSE),"")</f>
        <v/>
      </c>
      <c r="M3862" s="13" t="str">
        <f>IF(D3862&lt;&gt;"",VLOOKUP(H3862,TABLEITEM,3,FALSE),"")</f>
        <v>หลอด LED/บับ 10.5-85W/65K-PL</v>
      </c>
      <c r="N3862" s="14">
        <f>INSTOCK!$I3862*INSTOCK!$K3862</f>
        <v>1752</v>
      </c>
      <c r="O3862" s="4"/>
      <c r="P3862" s="4"/>
    </row>
    <row r="3863" ht="15.75" hidden="1" customHeight="1">
      <c r="B3863" s="8">
        <v>4182.0</v>
      </c>
      <c r="C3863" s="9">
        <v>43329.0</v>
      </c>
      <c r="D3863" s="6">
        <v>82425.0</v>
      </c>
      <c r="E3863" s="4">
        <v>6.108000973E9</v>
      </c>
      <c r="F3863" s="8" t="s">
        <v>604</v>
      </c>
      <c r="G3863" s="4" t="s">
        <v>2589</v>
      </c>
      <c r="H3863" s="10" t="s">
        <v>3366</v>
      </c>
      <c r="I3863" s="10">
        <v>2000.0</v>
      </c>
      <c r="J3863" s="11" t="str">
        <f>IF(D3863&lt;&gt;"",VLOOKUP(H3863,TABLEITEM,5,FALSE),"")</f>
        <v>EA</v>
      </c>
      <c r="K3863" s="12">
        <v>6.11</v>
      </c>
      <c r="L3863" s="13" t="str">
        <f>IF(D3863&lt;&gt;"",VLOOKUP(H3863,TABLEITEM,2,FALSE),"")</f>
        <v/>
      </c>
      <c r="M3863" s="13" t="str">
        <f>IF(D3863&lt;&gt;"",VLOOKUP(H3863,TABLEITEM,3,FALSE),"")</f>
        <v>สตัด M8x30</v>
      </c>
      <c r="N3863" s="14">
        <f>INSTOCK!$I3863*INSTOCK!$K3863</f>
        <v>12220</v>
      </c>
      <c r="O3863" s="4"/>
      <c r="P3863" s="4"/>
    </row>
    <row r="3864" ht="15.75" hidden="1" customHeight="1">
      <c r="B3864" s="8">
        <v>4183.0</v>
      </c>
      <c r="C3864" s="9">
        <v>43327.0</v>
      </c>
      <c r="D3864" s="6" t="s">
        <v>4975</v>
      </c>
      <c r="E3864" s="4">
        <v>6.108000912E9</v>
      </c>
      <c r="F3864" s="8" t="s">
        <v>633</v>
      </c>
      <c r="G3864" s="4" t="s">
        <v>2148</v>
      </c>
      <c r="H3864" s="10" t="s">
        <v>4976</v>
      </c>
      <c r="I3864" s="10">
        <v>1.0</v>
      </c>
      <c r="J3864" s="11" t="str">
        <f>IF(D3864&lt;&gt;"",VLOOKUP(H3864,TABLEITEM,5,FALSE),"")</f>
        <v>LOT</v>
      </c>
      <c r="K3864" s="12">
        <v>1000.0</v>
      </c>
      <c r="L3864" s="13" t="str">
        <f>IF(D3864&lt;&gt;"",VLOOKUP(H3864,TABLEITEM,2,FALSE),"")</f>
        <v/>
      </c>
      <c r="M3864" s="13" t="str">
        <f>IF(D3864&lt;&gt;"",VLOOKUP(H3864,TABLEITEM,3,FALSE),"")</f>
        <v>ค่าบริการตรวจเช็คเครื่องชั่ง DI-81 -150KH SN07901353</v>
      </c>
      <c r="N3864" s="14">
        <f>INSTOCK!$I3864*INSTOCK!$K3864</f>
        <v>1000</v>
      </c>
      <c r="O3864" s="4"/>
      <c r="P3864" s="4"/>
    </row>
    <row r="3865" ht="15.75" hidden="1" customHeight="1">
      <c r="B3865" s="8">
        <v>4184.0</v>
      </c>
      <c r="C3865" s="9">
        <v>43327.0</v>
      </c>
      <c r="D3865" s="6">
        <v>657.0</v>
      </c>
      <c r="E3865" s="4">
        <v>6.107000901E9</v>
      </c>
      <c r="F3865" s="8" t="s">
        <v>604</v>
      </c>
      <c r="G3865" s="4" t="s">
        <v>2382</v>
      </c>
      <c r="H3865" s="10" t="s">
        <v>4961</v>
      </c>
      <c r="I3865" s="10">
        <v>600.0</v>
      </c>
      <c r="J3865" s="11" t="str">
        <f>IF(D3865&lt;&gt;"",VLOOKUP(H3865,TABLEITEM,5,FALSE),"")</f>
        <v>EA</v>
      </c>
      <c r="K3865" s="12">
        <v>10.0</v>
      </c>
      <c r="L3865" s="13" t="str">
        <f>IF(D3865&lt;&gt;"",VLOOKUP(H3865,TABLEITEM,2,FALSE),"")</f>
        <v/>
      </c>
      <c r="M3865" s="13" t="str">
        <f>IF(D3865&lt;&gt;"",VLOOKUP(H3865,TABLEITEM,3,FALSE),"")</f>
        <v>บูชกลึง M20x18 ต้าฟเกลียวใน M8</v>
      </c>
      <c r="N3865" s="14">
        <f>INSTOCK!$I3865*INSTOCK!$K3865</f>
        <v>6000</v>
      </c>
      <c r="O3865" s="4"/>
      <c r="P3865" s="4"/>
    </row>
    <row r="3866" ht="15.75" hidden="1" customHeight="1">
      <c r="B3866" s="8">
        <v>4185.0</v>
      </c>
      <c r="C3866" s="9">
        <v>43327.0</v>
      </c>
      <c r="D3866" s="6">
        <v>656.0</v>
      </c>
      <c r="E3866" s="4">
        <v>6.10700088E9</v>
      </c>
      <c r="F3866" s="8" t="s">
        <v>604</v>
      </c>
      <c r="G3866" s="4" t="s">
        <v>2382</v>
      </c>
      <c r="H3866" s="10" t="s">
        <v>2383</v>
      </c>
      <c r="I3866" s="10">
        <v>500.0</v>
      </c>
      <c r="J3866" s="11" t="str">
        <f>IF(D3866&lt;&gt;"",VLOOKUP(H3866,TABLEITEM,5,FALSE),"")</f>
        <v>EA</v>
      </c>
      <c r="K3866" s="12">
        <v>10.5</v>
      </c>
      <c r="L3866" s="13" t="str">
        <f>IF(D3866&lt;&gt;"",VLOOKUP(H3866,TABLEITEM,2,FALSE),"")</f>
        <v/>
      </c>
      <c r="M3866" s="13" t="str">
        <f>IF(D3866&lt;&gt;"",VLOOKUP(H3866,TABLEITEM,3,FALSE),"")</f>
        <v>บูชยึด E1 32x20 ชุบขาว</v>
      </c>
      <c r="N3866" s="14">
        <f>INSTOCK!$I3866*INSTOCK!$K3866</f>
        <v>5250</v>
      </c>
      <c r="O3866" s="4"/>
      <c r="P3866" s="4"/>
    </row>
    <row r="3867" ht="15.75" hidden="1" customHeight="1">
      <c r="B3867" s="8">
        <v>4186.0</v>
      </c>
      <c r="C3867" s="9">
        <v>43327.0</v>
      </c>
      <c r="D3867" s="6" t="s">
        <v>4977</v>
      </c>
      <c r="E3867" s="4">
        <v>6.108000947E9</v>
      </c>
      <c r="F3867" s="8" t="s">
        <v>4978</v>
      </c>
      <c r="G3867" s="4" t="s">
        <v>2009</v>
      </c>
      <c r="H3867" s="10" t="s">
        <v>3263</v>
      </c>
      <c r="I3867" s="10">
        <v>1.0</v>
      </c>
      <c r="J3867" s="11" t="str">
        <f>IF(D3867&lt;&gt;"",VLOOKUP(H3867,TABLEITEM,5,FALSE),"")</f>
        <v>SET</v>
      </c>
      <c r="K3867" s="12">
        <v>1500.0</v>
      </c>
      <c r="L3867" s="13" t="str">
        <f>IF(D3867&lt;&gt;"",VLOOKUP(H3867,TABLEITEM,2,FALSE),"")</f>
        <v/>
      </c>
      <c r="M3867" s="13" t="str">
        <f>IF(D3867&lt;&gt;"",VLOOKUP(H3867,TABLEITEM,3,FALSE),"")</f>
        <v>รีเลย์ยูนิต PS-630NS AC110/250V 5A</v>
      </c>
      <c r="N3867" s="14">
        <f>INSTOCK!$I3867*INSTOCK!$K3867</f>
        <v>1500</v>
      </c>
      <c r="O3867" s="4"/>
      <c r="P3867" s="4"/>
    </row>
    <row r="3868" ht="15.75" hidden="1" customHeight="1">
      <c r="B3868" s="8">
        <v>4187.0</v>
      </c>
      <c r="C3868" s="9">
        <v>43326.0</v>
      </c>
      <c r="D3868" s="6">
        <v>6.10804408E8</v>
      </c>
      <c r="E3868" s="4">
        <v>6.108000974E9</v>
      </c>
      <c r="F3868" s="8"/>
      <c r="G3868" s="4" t="s">
        <v>1130</v>
      </c>
      <c r="H3868" s="10" t="s">
        <v>4979</v>
      </c>
      <c r="I3868" s="10">
        <v>4.0</v>
      </c>
      <c r="J3868" s="11" t="str">
        <f>IF(D3868&lt;&gt;"",VLOOKUP(H3868,TABLEITEM,5,FALSE),"")</f>
        <v>EA</v>
      </c>
      <c r="K3868" s="12">
        <v>369.6</v>
      </c>
      <c r="L3868" s="13" t="str">
        <f>IF(D3868&lt;&gt;"",VLOOKUP(H3868,TABLEITEM,2,FALSE),"")</f>
        <v/>
      </c>
      <c r="M3868" s="13" t="str">
        <f>IF(D3868&lt;&gt;"",VLOOKUP(H3868,TABLEITEM,3,FALSE),"")</f>
        <v>CONTACTOR LC1-D09E7</v>
      </c>
      <c r="N3868" s="14">
        <f>INSTOCK!$I3868*INSTOCK!$K3868</f>
        <v>1478.4</v>
      </c>
      <c r="O3868" s="4" t="s">
        <v>4099</v>
      </c>
      <c r="P3868" s="4"/>
    </row>
    <row r="3869" ht="15.75" hidden="1" customHeight="1">
      <c r="B3869" s="8">
        <v>4188.0</v>
      </c>
      <c r="C3869" s="9">
        <v>43326.0</v>
      </c>
      <c r="D3869" s="6">
        <v>6.10804408E8</v>
      </c>
      <c r="E3869" s="4">
        <v>6.108000974E9</v>
      </c>
      <c r="F3869" s="8"/>
      <c r="G3869" s="4" t="s">
        <v>1130</v>
      </c>
      <c r="H3869" s="10" t="s">
        <v>4980</v>
      </c>
      <c r="I3869" s="10">
        <v>2.0</v>
      </c>
      <c r="J3869" s="11" t="str">
        <f>IF(D3869&lt;&gt;"",VLOOKUP(H3869,TABLEITEM,5,FALSE),"")</f>
        <v>EA</v>
      </c>
      <c r="K3869" s="12">
        <v>3259.2</v>
      </c>
      <c r="L3869" s="13" t="str">
        <f>IF(D3869&lt;&gt;"",VLOOKUP(H3869,TABLEITEM,2,FALSE),"")</f>
        <v/>
      </c>
      <c r="M3869" s="13" t="str">
        <f>IF(D3869&lt;&gt;"",VLOOKUP(H3869,TABLEITEM,3,FALSE),"")</f>
        <v>CONTACTOR LC1-D258E7</v>
      </c>
      <c r="N3869" s="14">
        <f>INSTOCK!$I3869*INSTOCK!$K3869</f>
        <v>6518.4</v>
      </c>
      <c r="O3869" s="4" t="s">
        <v>4981</v>
      </c>
      <c r="P3869" s="4"/>
    </row>
    <row r="3870" ht="15.75" hidden="1" customHeight="1">
      <c r="B3870" s="8">
        <v>4189.0</v>
      </c>
      <c r="C3870" s="9">
        <v>43326.0</v>
      </c>
      <c r="D3870" s="6">
        <v>6.10804408E8</v>
      </c>
      <c r="E3870" s="4">
        <v>6.108000974E9</v>
      </c>
      <c r="F3870" s="8"/>
      <c r="G3870" s="4" t="s">
        <v>1130</v>
      </c>
      <c r="H3870" s="10" t="s">
        <v>4982</v>
      </c>
      <c r="I3870" s="10">
        <v>2.0</v>
      </c>
      <c r="J3870" s="11" t="str">
        <f>IF(D3870&lt;&gt;"",VLOOKUP(H3870,TABLEITEM,5,FALSE),"")</f>
        <v>EA</v>
      </c>
      <c r="K3870" s="12">
        <v>1096.2</v>
      </c>
      <c r="L3870" s="13" t="str">
        <f>IF(D3870&lt;&gt;"",VLOOKUP(H3870,TABLEITEM,2,FALSE),"")</f>
        <v/>
      </c>
      <c r="M3870" s="13" t="str">
        <f>IF(D3870&lt;&gt;"",VLOOKUP(H3870,TABLEITEM,3,FALSE),"")</f>
        <v>CONTACTOR ACCSSORIES LA-DRO</v>
      </c>
      <c r="N3870" s="14">
        <f>INSTOCK!$I3870*INSTOCK!$K3870</f>
        <v>2192.4</v>
      </c>
      <c r="O3870" s="4" t="s">
        <v>4983</v>
      </c>
      <c r="P3870" s="4"/>
    </row>
    <row r="3871" ht="15.75" hidden="1" customHeight="1">
      <c r="B3871" s="8">
        <v>4190.0</v>
      </c>
      <c r="C3871" s="9">
        <v>43326.0</v>
      </c>
      <c r="D3871" s="6" t="s">
        <v>4984</v>
      </c>
      <c r="E3871" s="4">
        <v>6.107000849E9</v>
      </c>
      <c r="F3871" s="8" t="s">
        <v>604</v>
      </c>
      <c r="G3871" s="4" t="s">
        <v>1777</v>
      </c>
      <c r="H3871" s="10" t="s">
        <v>3709</v>
      </c>
      <c r="I3871" s="10">
        <v>830.0</v>
      </c>
      <c r="J3871" s="11" t="str">
        <f>IF(D3871&lt;&gt;"",VLOOKUP(H3871,TABLEITEM,5,FALSE),"")</f>
        <v>EA</v>
      </c>
      <c r="K3871" s="12">
        <v>0.39</v>
      </c>
      <c r="L3871" s="13" t="str">
        <f>IF(D3871&lt;&gt;"",VLOOKUP(H3871,TABLEITEM,2,FALSE),"")</f>
        <v/>
      </c>
      <c r="M3871" s="13" t="str">
        <f>IF(D3871&lt;&gt;"",VLOOKUP(H3871,TABLEITEM,3,FALSE),"")</f>
        <v>แหวนสปริง M10   HDG</v>
      </c>
      <c r="N3871" s="14">
        <f>INSTOCK!$I3871*INSTOCK!$K3871</f>
        <v>323.7</v>
      </c>
      <c r="O3871" s="4" t="s">
        <v>3710</v>
      </c>
      <c r="P3871" s="4"/>
    </row>
    <row r="3872" ht="15.75" hidden="1" customHeight="1">
      <c r="B3872" s="8">
        <v>4191.0</v>
      </c>
      <c r="C3872" s="9">
        <v>43326.0</v>
      </c>
      <c r="D3872" s="6" t="s">
        <v>4985</v>
      </c>
      <c r="E3872" s="4">
        <v>6.108000964E9</v>
      </c>
      <c r="F3872" s="8" t="s">
        <v>604</v>
      </c>
      <c r="G3872" s="4" t="s">
        <v>965</v>
      </c>
      <c r="H3872" s="10" t="s">
        <v>2152</v>
      </c>
      <c r="I3872" s="10">
        <v>10.0</v>
      </c>
      <c r="J3872" s="11" t="str">
        <f>IF(D3872&lt;&gt;"",VLOOKUP(H3872,TABLEITEM,5,FALSE),"")</f>
        <v>EA</v>
      </c>
      <c r="K3872" s="12">
        <v>30.0</v>
      </c>
      <c r="L3872" s="13" t="str">
        <f>IF(D3872&lt;&gt;"",VLOOKUP(H3872,TABLEITEM,2,FALSE),"")</f>
        <v/>
      </c>
      <c r="M3872" s="13" t="str">
        <f>IF(D3872&lt;&gt;"",VLOOKUP(H3872,TABLEITEM,3,FALSE),"")</f>
        <v>ไม้กวาดดอกหญ้า</v>
      </c>
      <c r="N3872" s="14">
        <f>INSTOCK!$I3872*INSTOCK!$K3872</f>
        <v>300</v>
      </c>
      <c r="O3872" s="4"/>
      <c r="P3872" s="4"/>
    </row>
    <row r="3873" ht="15.75" hidden="1" customHeight="1">
      <c r="B3873" s="8">
        <v>4192.0</v>
      </c>
      <c r="C3873" s="9">
        <v>43326.0</v>
      </c>
      <c r="D3873" s="6" t="s">
        <v>4985</v>
      </c>
      <c r="E3873" s="4">
        <v>6.108000964E9</v>
      </c>
      <c r="F3873" s="8" t="s">
        <v>604</v>
      </c>
      <c r="G3873" s="4" t="s">
        <v>965</v>
      </c>
      <c r="H3873" s="10" t="s">
        <v>2950</v>
      </c>
      <c r="I3873" s="10">
        <v>10.0</v>
      </c>
      <c r="J3873" s="11" t="str">
        <f>IF(D3873&lt;&gt;"",VLOOKUP(H3873,TABLEITEM,5,FALSE),"")</f>
        <v>EA</v>
      </c>
      <c r="K3873" s="12">
        <v>35.0</v>
      </c>
      <c r="L3873" s="13" t="str">
        <f>IF(D3873&lt;&gt;"",VLOOKUP(H3873,TABLEITEM,2,FALSE),"")</f>
        <v/>
      </c>
      <c r="M3873" s="13" t="str">
        <f>IF(D3873&lt;&gt;"",VLOOKUP(H3873,TABLEITEM,3,FALSE),"")</f>
        <v>ไม้กวาดทางมะพร้าว</v>
      </c>
      <c r="N3873" s="14">
        <f>INSTOCK!$I3873*INSTOCK!$K3873</f>
        <v>350</v>
      </c>
      <c r="O3873" s="4"/>
      <c r="P3873" s="4"/>
    </row>
    <row r="3874" ht="15.75" hidden="1" customHeight="1">
      <c r="B3874" s="8">
        <v>4193.0</v>
      </c>
      <c r="C3874" s="9">
        <v>43326.0</v>
      </c>
      <c r="D3874" s="6" t="s">
        <v>4986</v>
      </c>
      <c r="E3874" s="4">
        <v>6.108000954E9</v>
      </c>
      <c r="F3874" s="8" t="s">
        <v>4987</v>
      </c>
      <c r="G3874" s="4" t="s">
        <v>2732</v>
      </c>
      <c r="H3874" s="10" t="s">
        <v>2733</v>
      </c>
      <c r="I3874" s="10">
        <v>3.0</v>
      </c>
      <c r="J3874" s="11" t="str">
        <f>IF(D3874&lt;&gt;"",VLOOKUP(H3874,TABLEITEM,5,FALSE),"")</f>
        <v>EA</v>
      </c>
      <c r="K3874" s="12">
        <v>372.0</v>
      </c>
      <c r="L3874" s="13" t="str">
        <f>IF(D3874&lt;&gt;"",VLOOKUP(H3874,TABLEITEM,2,FALSE),"")</f>
        <v/>
      </c>
      <c r="M3874" s="13" t="str">
        <f>IF(D3874&lt;&gt;"",VLOOKUP(H3874,TABLEITEM,3,FALSE),"")</f>
        <v>INSERT SLEEVE TEFLON COMPLETE G90-1006485</v>
      </c>
      <c r="N3874" s="14">
        <f>INSTOCK!$I3874*INSTOCK!$K3874</f>
        <v>1116</v>
      </c>
      <c r="O3874" s="4"/>
      <c r="P3874" s="4"/>
    </row>
    <row r="3875" ht="15.75" hidden="1" customHeight="1">
      <c r="B3875" s="8">
        <v>4194.0</v>
      </c>
      <c r="C3875" s="9">
        <v>43323.0</v>
      </c>
      <c r="D3875" s="6" t="s">
        <v>4988</v>
      </c>
      <c r="E3875" s="4"/>
      <c r="F3875" s="8"/>
      <c r="G3875" s="4" t="s">
        <v>4989</v>
      </c>
      <c r="H3875" s="10" t="s">
        <v>4990</v>
      </c>
      <c r="I3875" s="10">
        <v>1.0</v>
      </c>
      <c r="J3875" s="11" t="str">
        <f>IF(D3875&lt;&gt;"",VLOOKUP(H3875,TABLEITEM,5,FALSE),"")</f>
        <v>LOT</v>
      </c>
      <c r="K3875" s="12">
        <v>21000.0</v>
      </c>
      <c r="L3875" s="13" t="str">
        <f>IF(D3875&lt;&gt;"",VLOOKUP(H3875,TABLEITEM,2,FALSE),"")</f>
        <v/>
      </c>
      <c r="M3875" s="13" t="str">
        <f>IF(D3875&lt;&gt;"",VLOOKUP(H3875,TABLEITEM,3,FALSE),"")</f>
        <v>ค่าบริการกู้ข้อมูล DATA RECOVERY </v>
      </c>
      <c r="N3875" s="14">
        <f>INSTOCK!$I3875*INSTOCK!$K3875</f>
        <v>21000</v>
      </c>
      <c r="O3875" s="4"/>
      <c r="P3875" s="4"/>
    </row>
    <row r="3876" ht="15.75" hidden="1" customHeight="1">
      <c r="B3876" s="8">
        <v>4195.0</v>
      </c>
      <c r="C3876" s="9">
        <v>43323.0</v>
      </c>
      <c r="D3876" s="6">
        <v>6.1080405E8</v>
      </c>
      <c r="E3876" s="4"/>
      <c r="F3876" s="8"/>
      <c r="G3876" s="4" t="s">
        <v>1130</v>
      </c>
      <c r="H3876" s="10" t="s">
        <v>1581</v>
      </c>
      <c r="I3876" s="10">
        <v>2.0</v>
      </c>
      <c r="J3876" s="11" t="str">
        <f>IF(D3876&lt;&gt;"",VLOOKUP(H3876,TABLEITEM,5,FALSE),"")</f>
        <v>EA</v>
      </c>
      <c r="K3876" s="12">
        <v>436.45</v>
      </c>
      <c r="L3876" s="13" t="str">
        <f>IF(D3876&lt;&gt;"",VLOOKUP(H3876,TABLEITEM,2,FALSE),"")</f>
        <v/>
      </c>
      <c r="M3876" s="13" t="str">
        <f>IF(D3876&lt;&gt;"",VLOOKUP(H3876,TABLEITEM,3,FALSE),"")</f>
        <v>HARMONY XB4 PB EMER XB4BS8442</v>
      </c>
      <c r="N3876" s="14">
        <f>INSTOCK!$I3876*INSTOCK!$K3876</f>
        <v>872.9</v>
      </c>
      <c r="O3876" s="4" t="s">
        <v>4991</v>
      </c>
      <c r="P3876" s="4"/>
    </row>
    <row r="3877" ht="15.75" hidden="1" customHeight="1">
      <c r="B3877" s="8">
        <v>4196.0</v>
      </c>
      <c r="C3877" s="9">
        <v>43323.0</v>
      </c>
      <c r="D3877" s="6">
        <v>6.1080405E8</v>
      </c>
      <c r="E3877" s="4"/>
      <c r="F3877" s="8"/>
      <c r="G3877" s="4" t="s">
        <v>1130</v>
      </c>
      <c r="H3877" s="10" t="s">
        <v>1584</v>
      </c>
      <c r="I3877" s="10">
        <v>10.0</v>
      </c>
      <c r="J3877" s="11" t="str">
        <f>IF(D3877&lt;&gt;"",VLOOKUP(H3877,TABLEITEM,5,FALSE),"")</f>
        <v>EA</v>
      </c>
      <c r="K3877" s="12">
        <v>131.15</v>
      </c>
      <c r="L3877" s="13" t="str">
        <f>IF(D3877&lt;&gt;"",VLOOKUP(H3877,TABLEITEM,2,FALSE),"")</f>
        <v/>
      </c>
      <c r="M3877" s="13" t="str">
        <f>IF(D3877&lt;&gt;"",VLOOKUP(H3877,TABLEITEM,3,FALSE),"")</f>
        <v>HARMONY XB4 SINGLE CONTACT ZB4BZ101</v>
      </c>
      <c r="N3877" s="14">
        <f>INSTOCK!$I3877*INSTOCK!$K3877</f>
        <v>1311.5</v>
      </c>
      <c r="O3877" s="4" t="s">
        <v>4450</v>
      </c>
      <c r="P3877" s="4"/>
    </row>
    <row r="3878" ht="15.75" hidden="1" customHeight="1">
      <c r="B3878" s="8">
        <v>4197.0</v>
      </c>
      <c r="C3878" s="9">
        <v>43323.0</v>
      </c>
      <c r="D3878" s="6">
        <v>6.1080405E8</v>
      </c>
      <c r="E3878" s="4"/>
      <c r="F3878" s="8"/>
      <c r="G3878" s="4" t="s">
        <v>1130</v>
      </c>
      <c r="H3878" s="10" t="s">
        <v>1582</v>
      </c>
      <c r="I3878" s="10">
        <v>5.0</v>
      </c>
      <c r="J3878" s="11" t="str">
        <f>IF(D3878&lt;&gt;"",VLOOKUP(H3878,TABLEITEM,5,FALSE),"")</f>
        <v>EA</v>
      </c>
      <c r="K3878" s="12">
        <v>152.65</v>
      </c>
      <c r="L3878" s="13" t="str">
        <f>IF(D3878&lt;&gt;"",VLOOKUP(H3878,TABLEITEM,2,FALSE),"")</f>
        <v/>
      </c>
      <c r="M3878" s="13" t="str">
        <f>IF(D3878&lt;&gt;"",VLOOKUP(H3878,TABLEITEM,3,FALSE),"")</f>
        <v>HARMONY XB4 SELECTOR SWITCH ZB4BD2</v>
      </c>
      <c r="N3878" s="14">
        <f>INSTOCK!$I3878*INSTOCK!$K3878</f>
        <v>763.25</v>
      </c>
      <c r="O3878" s="4" t="s">
        <v>4449</v>
      </c>
      <c r="P3878" s="4"/>
    </row>
    <row r="3879" ht="15.75" hidden="1" customHeight="1">
      <c r="B3879" s="8">
        <v>4198.0</v>
      </c>
      <c r="C3879" s="9">
        <v>43323.0</v>
      </c>
      <c r="D3879" s="6">
        <v>6.1080405E8</v>
      </c>
      <c r="E3879" s="4"/>
      <c r="F3879" s="8"/>
      <c r="G3879" s="4" t="s">
        <v>1130</v>
      </c>
      <c r="H3879" s="10" t="s">
        <v>1583</v>
      </c>
      <c r="I3879" s="10">
        <v>5.0</v>
      </c>
      <c r="J3879" s="11" t="str">
        <f>IF(D3879&lt;&gt;"",VLOOKUP(H3879,TABLEITEM,5,FALSE),"")</f>
        <v>EA</v>
      </c>
      <c r="K3879" s="12">
        <v>152.65</v>
      </c>
      <c r="L3879" s="13" t="str">
        <f>IF(D3879&lt;&gt;"",VLOOKUP(H3879,TABLEITEM,2,FALSE),"")</f>
        <v/>
      </c>
      <c r="M3879" s="13" t="str">
        <f>IF(D3879&lt;&gt;"",VLOOKUP(H3879,TABLEITEM,3,FALSE),"")</f>
        <v>HARMONY XB4 SELECTOR SWITCH ZB4BD3</v>
      </c>
      <c r="N3879" s="14">
        <f>INSTOCK!$I3879*INSTOCK!$K3879</f>
        <v>763.25</v>
      </c>
      <c r="O3879" s="4" t="s">
        <v>4449</v>
      </c>
      <c r="P3879" s="4"/>
    </row>
    <row r="3880" ht="15.75" hidden="1" customHeight="1">
      <c r="B3880" s="8">
        <v>4199.0</v>
      </c>
      <c r="C3880" s="9">
        <v>43369.0</v>
      </c>
      <c r="D3880" s="6">
        <v>61190.0</v>
      </c>
      <c r="E3880" s="4">
        <v>6.109001179E9</v>
      </c>
      <c r="F3880" s="8" t="s">
        <v>4992</v>
      </c>
      <c r="G3880" s="4" t="s">
        <v>4811</v>
      </c>
      <c r="H3880" s="10" t="s">
        <v>4993</v>
      </c>
      <c r="I3880" s="10">
        <v>1.0</v>
      </c>
      <c r="J3880" s="11" t="str">
        <f>IF(D3880&lt;&gt;"",VLOOKUP(H3880,TABLEITEM,5,FALSE),"")</f>
        <v>EA</v>
      </c>
      <c r="K3880" s="12">
        <v>3500.0</v>
      </c>
      <c r="L3880" s="13" t="str">
        <f>IF(D3880&lt;&gt;"",VLOOKUP(H3880,TABLEITEM,2,FALSE),"")</f>
        <v/>
      </c>
      <c r="M3880" s="13" t="str">
        <f>IF(D3880&lt;&gt;"",VLOOKUP(H3880,TABLEITEM,3,FALSE),"")</f>
        <v>PUNCH NO.88 R 0.6 S-15mm</v>
      </c>
      <c r="N3880" s="14">
        <f>INSTOCK!$I3880*INSTOCK!$K3880</f>
        <v>3500</v>
      </c>
      <c r="O3880" s="4"/>
      <c r="P3880" s="4"/>
    </row>
    <row r="3881" ht="15.75" hidden="1" customHeight="1">
      <c r="B3881" s="8">
        <v>4200.0</v>
      </c>
      <c r="C3881" s="9">
        <v>43369.0</v>
      </c>
      <c r="D3881" s="6">
        <v>61190.0</v>
      </c>
      <c r="E3881" s="4">
        <v>6.109001179E9</v>
      </c>
      <c r="F3881" s="8" t="s">
        <v>4992</v>
      </c>
      <c r="G3881" s="4" t="s">
        <v>4811</v>
      </c>
      <c r="H3881" s="10" t="s">
        <v>4994</v>
      </c>
      <c r="I3881" s="10">
        <v>1.0</v>
      </c>
      <c r="J3881" s="11" t="str">
        <f>IF(D3881&lt;&gt;"",VLOOKUP(H3881,TABLEITEM,5,FALSE),"")</f>
        <v>EA</v>
      </c>
      <c r="K3881" s="12">
        <v>4800.0</v>
      </c>
      <c r="L3881" s="13" t="str">
        <f>IF(D3881&lt;&gt;"",VLOOKUP(H3881,TABLEITEM,2,FALSE),"")</f>
        <v/>
      </c>
      <c r="M3881" s="13" t="str">
        <f>IF(D3881&lt;&gt;"",VLOOKUP(H3881,TABLEITEM,3,FALSE),"")</f>
        <v>PUNCH NO.88 R 0.6 SECTIONALIZED</v>
      </c>
      <c r="N3881" s="14">
        <f>INSTOCK!$I3881*INSTOCK!$K3881</f>
        <v>4800</v>
      </c>
      <c r="O3881" s="4"/>
      <c r="P3881" s="4"/>
    </row>
    <row r="3882" ht="15.75" hidden="1" customHeight="1">
      <c r="B3882" s="8">
        <v>4201.0</v>
      </c>
      <c r="C3882" s="9">
        <v>43369.0</v>
      </c>
      <c r="D3882" s="6">
        <v>61190.0</v>
      </c>
      <c r="E3882" s="4">
        <v>6.109001179E9</v>
      </c>
      <c r="F3882" s="8" t="s">
        <v>4992</v>
      </c>
      <c r="G3882" s="4" t="s">
        <v>4811</v>
      </c>
      <c r="H3882" s="10" t="s">
        <v>4995</v>
      </c>
      <c r="I3882" s="10">
        <v>3.0</v>
      </c>
      <c r="J3882" s="11" t="str">
        <f>IF(D3882&lt;&gt;"",VLOOKUP(H3882,TABLEITEM,5,FALSE),"")</f>
        <v>EA</v>
      </c>
      <c r="K3882" s="12">
        <v>4900.0</v>
      </c>
      <c r="L3882" s="13" t="str">
        <f>IF(D3882&lt;&gt;"",VLOOKUP(H3882,TABLEITEM,2,FALSE),"")</f>
        <v/>
      </c>
      <c r="M3882" s="13" t="str">
        <f>IF(D3882&lt;&gt;"",VLOOKUP(H3882,TABLEITEM,3,FALSE),"")</f>
        <v>2V DIE 12x20 L=835</v>
      </c>
      <c r="N3882" s="14">
        <f>INSTOCK!$I3882*INSTOCK!$K3882</f>
        <v>14700</v>
      </c>
      <c r="O3882" s="4"/>
      <c r="P3882" s="4"/>
    </row>
    <row r="3883" ht="15.75" hidden="1" customHeight="1">
      <c r="B3883" s="8">
        <v>4202.0</v>
      </c>
      <c r="C3883" s="9">
        <v>43369.0</v>
      </c>
      <c r="D3883" s="6">
        <v>61190.0</v>
      </c>
      <c r="E3883" s="4">
        <v>6.109001179E9</v>
      </c>
      <c r="F3883" s="8" t="s">
        <v>4992</v>
      </c>
      <c r="G3883" s="4" t="s">
        <v>4811</v>
      </c>
      <c r="H3883" s="10" t="s">
        <v>4996</v>
      </c>
      <c r="I3883" s="10">
        <v>1.0</v>
      </c>
      <c r="J3883" s="11" t="str">
        <f>IF(D3883&lt;&gt;"",VLOOKUP(H3883,TABLEITEM,5,FALSE),"")</f>
        <v>EA</v>
      </c>
      <c r="K3883" s="12">
        <v>5200.0</v>
      </c>
      <c r="L3883" s="13" t="str">
        <f>IF(D3883&lt;&gt;"",VLOOKUP(H3883,TABLEITEM,2,FALSE),"")</f>
        <v/>
      </c>
      <c r="M3883" s="13" t="str">
        <f>IF(D3883&lt;&gt;"",VLOOKUP(H3883,TABLEITEM,3,FALSE),"")</f>
        <v>2V DIE 12x20 SECTIONALIZED</v>
      </c>
      <c r="N3883" s="14">
        <f>INSTOCK!$I3883*INSTOCK!$K3883</f>
        <v>5200</v>
      </c>
      <c r="O3883" s="4"/>
      <c r="P3883" s="4"/>
    </row>
    <row r="3884" ht="15.75" hidden="1" customHeight="1">
      <c r="B3884" s="8">
        <v>4203.0</v>
      </c>
      <c r="C3884" s="9">
        <v>43369.0</v>
      </c>
      <c r="D3884" s="6">
        <v>61190.0</v>
      </c>
      <c r="E3884" s="4">
        <v>6.109001179E9</v>
      </c>
      <c r="F3884" s="8" t="s">
        <v>4992</v>
      </c>
      <c r="G3884" s="4" t="s">
        <v>4811</v>
      </c>
      <c r="H3884" s="10" t="s">
        <v>4997</v>
      </c>
      <c r="I3884" s="10">
        <v>2.0</v>
      </c>
      <c r="J3884" s="11" t="str">
        <f>IF(D3884&lt;&gt;"",VLOOKUP(H3884,TABLEITEM,5,FALSE),"")</f>
        <v>EA</v>
      </c>
      <c r="K3884" s="12">
        <v>4300.0</v>
      </c>
      <c r="L3884" s="13" t="str">
        <f>IF(D3884&lt;&gt;"",VLOOKUP(H3884,TABLEITEM,2,FALSE),"")</f>
        <v/>
      </c>
      <c r="M3884" s="13" t="str">
        <f>IF(D3884&lt;&gt;"",VLOOKUP(H3884,TABLEITEM,3,FALSE),"")</f>
        <v>PUNCH NO.88 R 0.6 L=835</v>
      </c>
      <c r="N3884" s="14">
        <f>INSTOCK!$I3884*INSTOCK!$K3884</f>
        <v>8600</v>
      </c>
      <c r="O3884" s="4"/>
      <c r="P3884" s="4"/>
    </row>
    <row r="3885" ht="15.75" hidden="1" customHeight="1">
      <c r="B3885" s="8">
        <v>4204.0</v>
      </c>
      <c r="C3885" s="9">
        <v>43369.0</v>
      </c>
      <c r="D3885" s="6" t="s">
        <v>4998</v>
      </c>
      <c r="E3885" s="4">
        <v>6.109001192E9</v>
      </c>
      <c r="F3885" s="8" t="s">
        <v>604</v>
      </c>
      <c r="G3885" s="4" t="s">
        <v>1611</v>
      </c>
      <c r="H3885" s="10" t="s">
        <v>188</v>
      </c>
      <c r="I3885" s="10">
        <v>600.0</v>
      </c>
      <c r="J3885" s="11" t="str">
        <f>IF(D3885&lt;&gt;"",VLOOKUP(H3885,TABLEITEM,5,FALSE),"")</f>
        <v>EA</v>
      </c>
      <c r="K3885" s="12">
        <v>9.0</v>
      </c>
      <c r="L3885" s="13" t="str">
        <f>IF(D3885&lt;&gt;"",VLOOKUP(H3885,TABLEITEM,2,FALSE),"")</f>
        <v/>
      </c>
      <c r="M3885" s="13" t="str">
        <f>IF(D3885&lt;&gt;"",VLOOKUP(H3885,TABLEITEM,3,FALSE),"")</f>
        <v>TERMINAL BLOCK TX10</v>
      </c>
      <c r="N3885" s="14">
        <f>INSTOCK!$I3885*INSTOCK!$K3885</f>
        <v>5400</v>
      </c>
      <c r="O3885" s="4"/>
      <c r="P3885" s="4"/>
    </row>
    <row r="3886" ht="15.75" hidden="1" customHeight="1">
      <c r="B3886" s="8">
        <v>4205.0</v>
      </c>
      <c r="C3886" s="9">
        <v>43369.0</v>
      </c>
      <c r="D3886" s="6" t="s">
        <v>4998</v>
      </c>
      <c r="E3886" s="4">
        <v>6.109001192E9</v>
      </c>
      <c r="F3886" s="8" t="s">
        <v>604</v>
      </c>
      <c r="G3886" s="4" t="s">
        <v>1611</v>
      </c>
      <c r="H3886" s="10" t="s">
        <v>189</v>
      </c>
      <c r="I3886" s="10">
        <v>200.0</v>
      </c>
      <c r="J3886" s="11" t="str">
        <f>IF(D3886&lt;&gt;"",VLOOKUP(H3886,TABLEITEM,5,FALSE),"")</f>
        <v>EA</v>
      </c>
      <c r="K3886" s="12">
        <v>5.0</v>
      </c>
      <c r="L3886" s="13" t="str">
        <f>IF(D3886&lt;&gt;"",VLOOKUP(H3886,TABLEITEM,2,FALSE),"")</f>
        <v/>
      </c>
      <c r="M3886" s="13" t="str">
        <f>IF(D3886&lt;&gt;"",VLOOKUP(H3886,TABLEITEM,3,FALSE),"")</f>
        <v>END PLATE TXA1</v>
      </c>
      <c r="N3886" s="14">
        <f>INSTOCK!$I3886*INSTOCK!$K3886</f>
        <v>1000</v>
      </c>
      <c r="O3886" s="4"/>
      <c r="P3886" s="4"/>
    </row>
    <row r="3887" ht="15.75" hidden="1" customHeight="1">
      <c r="B3887" s="8">
        <v>4206.0</v>
      </c>
      <c r="C3887" s="9">
        <v>43369.0</v>
      </c>
      <c r="D3887" s="6" t="s">
        <v>4999</v>
      </c>
      <c r="E3887" s="4"/>
      <c r="F3887" s="8" t="s">
        <v>2020</v>
      </c>
      <c r="G3887" s="4" t="s">
        <v>1516</v>
      </c>
      <c r="H3887" s="10" t="s">
        <v>2200</v>
      </c>
      <c r="I3887" s="10">
        <v>5.0</v>
      </c>
      <c r="J3887" s="11" t="str">
        <f>IF(D3887&lt;&gt;"",VLOOKUP(H3887,TABLEITEM,5,FALSE),"")</f>
        <v>EA</v>
      </c>
      <c r="K3887" s="12">
        <v>-331.1</v>
      </c>
      <c r="L3887" s="13" t="str">
        <f>IF(D3887&lt;&gt;"",VLOOKUP(H3887,TABLEITEM,2,FALSE),"")</f>
        <v/>
      </c>
      <c r="M3887" s="13" t="str">
        <f>IF(D3887&lt;&gt;"",VLOOKUP(H3887,TABLEITEM,3,FALSE),"")</f>
        <v>GV2&amp;GV3 AUXILIARY GVAD1010</v>
      </c>
      <c r="N3887" s="14">
        <f>INSTOCK!$I3887*INSTOCK!$K3887</f>
        <v>-1655.5</v>
      </c>
      <c r="O3887" s="4"/>
      <c r="P3887" s="4"/>
    </row>
    <row r="3888" ht="15.75" hidden="1" customHeight="1">
      <c r="B3888" s="8">
        <v>4207.0</v>
      </c>
      <c r="C3888" s="9">
        <v>43368.0</v>
      </c>
      <c r="D3888" s="6" t="s">
        <v>5000</v>
      </c>
      <c r="E3888" s="4">
        <v>6.109001198E9</v>
      </c>
      <c r="F3888" s="8" t="s">
        <v>823</v>
      </c>
      <c r="G3888" s="4" t="s">
        <v>2686</v>
      </c>
      <c r="H3888" s="10" t="s">
        <v>4572</v>
      </c>
      <c r="I3888" s="10">
        <v>6.0</v>
      </c>
      <c r="J3888" s="11" t="str">
        <f>IF(D3888&lt;&gt;"",VLOOKUP(H3888,TABLEITEM,5,FALSE),"")</f>
        <v>EA</v>
      </c>
      <c r="K3888" s="12">
        <v>180.0</v>
      </c>
      <c r="L3888" s="13" t="str">
        <f>IF(D3888&lt;&gt;"",VLOOKUP(H3888,TABLEITEM,2,FALSE),"")</f>
        <v/>
      </c>
      <c r="M3888" s="13" t="str">
        <f>IF(D3888&lt;&gt;"",VLOOKUP(H3888,TABLEITEM,3,FALSE),"")</f>
        <v>CONTACT TIP 0.8 M8 CrCuZr/D8x35</v>
      </c>
      <c r="N3888" s="14">
        <f>INSTOCK!$I3888*INSTOCK!$K3888</f>
        <v>1080</v>
      </c>
      <c r="O3888" s="4"/>
      <c r="P3888" s="4"/>
    </row>
    <row r="3889" ht="15.75" hidden="1" customHeight="1">
      <c r="B3889" s="8">
        <v>4208.0</v>
      </c>
      <c r="C3889" s="9">
        <v>43733.0</v>
      </c>
      <c r="D3889" s="6" t="s">
        <v>5001</v>
      </c>
      <c r="E3889" s="4">
        <v>6.108001065E9</v>
      </c>
      <c r="F3889" s="8" t="s">
        <v>5002</v>
      </c>
      <c r="G3889" s="4" t="s">
        <v>1070</v>
      </c>
      <c r="H3889" s="10" t="s">
        <v>4699</v>
      </c>
      <c r="I3889" s="10">
        <v>20.0</v>
      </c>
      <c r="J3889" s="11" t="str">
        <f>IF(D3889&lt;&gt;"",VLOOKUP(H3889,TABLEITEM,5,FALSE),"")</f>
        <v>EA</v>
      </c>
      <c r="K3889" s="12">
        <v>37.0</v>
      </c>
      <c r="L3889" s="13" t="str">
        <f>IF(D3889&lt;&gt;"",VLOOKUP(H3889,TABLEITEM,2,FALSE),"")</f>
        <v/>
      </c>
      <c r="M3889" s="13" t="str">
        <f>IF(D3889&lt;&gt;"",VLOOKUP(H3889,TABLEITEM,3,FALSE),"")</f>
        <v>RED TUNSTEN 2% THOR 1.6x175mm</v>
      </c>
      <c r="N3889" s="14">
        <f>INSTOCK!$I3889*INSTOCK!$K3889</f>
        <v>740</v>
      </c>
      <c r="O3889" s="4"/>
      <c r="P3889" s="4"/>
    </row>
    <row r="3890" ht="15.75" hidden="1" customHeight="1">
      <c r="B3890" s="8">
        <v>4209.0</v>
      </c>
      <c r="C3890" s="9">
        <v>43368.0</v>
      </c>
      <c r="D3890" s="6" t="s">
        <v>5003</v>
      </c>
      <c r="E3890" s="4">
        <v>6.109001199E9</v>
      </c>
      <c r="F3890" s="8" t="s">
        <v>5004</v>
      </c>
      <c r="G3890" s="4" t="s">
        <v>1070</v>
      </c>
      <c r="H3890" s="10" t="s">
        <v>5005</v>
      </c>
      <c r="I3890" s="10">
        <v>20.0</v>
      </c>
      <c r="J3890" s="11" t="str">
        <f>IF(D3890&lt;&gt;"",VLOOKUP(H3890,TABLEITEM,5,FALSE),"")</f>
        <v>EA</v>
      </c>
      <c r="K3890" s="12">
        <v>20.0</v>
      </c>
      <c r="L3890" s="13" t="str">
        <f>IF(D3890&lt;&gt;"",VLOOKUP(H3890,TABLEITEM,2,FALSE),"")</f>
        <v/>
      </c>
      <c r="M3890" s="13" t="str">
        <f>IF(D3890&lt;&gt;"",VLOOKUP(H3890,TABLEITEM,3,FALSE),"")</f>
        <v>CONTACT TIP 0.8mm L45/002 005</v>
      </c>
      <c r="N3890" s="14">
        <f>INSTOCK!$I3890*INSTOCK!$K3890</f>
        <v>400</v>
      </c>
      <c r="O3890" s="4"/>
      <c r="P3890" s="4"/>
    </row>
    <row r="3891" ht="15.75" hidden="1" customHeight="1">
      <c r="B3891" s="8">
        <v>4210.0</v>
      </c>
      <c r="C3891" s="9">
        <v>43368.0</v>
      </c>
      <c r="D3891" s="6" t="s">
        <v>5003</v>
      </c>
      <c r="E3891" s="4">
        <v>6.109001199E9</v>
      </c>
      <c r="F3891" s="8" t="s">
        <v>5004</v>
      </c>
      <c r="G3891" s="4" t="s">
        <v>1070</v>
      </c>
      <c r="H3891" s="10" t="s">
        <v>5006</v>
      </c>
      <c r="I3891" s="10">
        <v>20.0</v>
      </c>
      <c r="J3891" s="11" t="str">
        <f>IF(D3891&lt;&gt;"",VLOOKUP(H3891,TABLEITEM,5,FALSE),"")</f>
        <v>EA</v>
      </c>
      <c r="K3891" s="12">
        <v>50.0</v>
      </c>
      <c r="L3891" s="13" t="str">
        <f>IF(D3891&lt;&gt;"",VLOOKUP(H3891,TABLEITEM,2,FALSE),"")</f>
        <v/>
      </c>
      <c r="M3891" s="13" t="str">
        <f>IF(D3891&lt;&gt;"",VLOOKUP(H3891,TABLEITEM,3,FALSE),"")</f>
        <v>TIP 1.5mm YT065 PCS</v>
      </c>
      <c r="N3891" s="14">
        <f>INSTOCK!$I3891*INSTOCK!$K3891</f>
        <v>1000</v>
      </c>
      <c r="O3891" s="4"/>
      <c r="P3891" s="4"/>
    </row>
    <row r="3892" ht="15.75" hidden="1" customHeight="1">
      <c r="B3892" s="8">
        <v>4211.0</v>
      </c>
      <c r="C3892" s="9">
        <v>43368.0</v>
      </c>
      <c r="D3892" s="6" t="s">
        <v>5003</v>
      </c>
      <c r="E3892" s="4">
        <v>6.109001199E9</v>
      </c>
      <c r="F3892" s="8" t="s">
        <v>5004</v>
      </c>
      <c r="G3892" s="4" t="s">
        <v>1070</v>
      </c>
      <c r="H3892" s="10" t="s">
        <v>5007</v>
      </c>
      <c r="I3892" s="10">
        <v>3.0</v>
      </c>
      <c r="J3892" s="11" t="str">
        <f>IF(D3892&lt;&gt;"",VLOOKUP(H3892,TABLEITEM,5,FALSE),"")</f>
        <v>EA</v>
      </c>
      <c r="K3892" s="12">
        <v>20.0</v>
      </c>
      <c r="L3892" s="13" t="str">
        <f>IF(D3892&lt;&gt;"",VLOOKUP(H3892,TABLEITEM,2,FALSE),"")</f>
        <v/>
      </c>
      <c r="M3892" s="13" t="str">
        <f>IF(D3892&lt;&gt;"",VLOOKUP(H3892,TABLEITEM,3,FALSE),"")</f>
        <v>COLLET 2.4mm WP-17/18/26</v>
      </c>
      <c r="N3892" s="14">
        <f>INSTOCK!$I3892*INSTOCK!$K3892</f>
        <v>60</v>
      </c>
      <c r="O3892" s="4"/>
      <c r="P3892" s="4"/>
    </row>
    <row r="3893" ht="15.75" hidden="1" customHeight="1">
      <c r="B3893" s="8">
        <v>4212.0</v>
      </c>
      <c r="C3893" s="9">
        <v>43368.0</v>
      </c>
      <c r="D3893" s="6" t="s">
        <v>5003</v>
      </c>
      <c r="E3893" s="4">
        <v>6.109001199E9</v>
      </c>
      <c r="F3893" s="8" t="s">
        <v>5004</v>
      </c>
      <c r="G3893" s="4" t="s">
        <v>1070</v>
      </c>
      <c r="H3893" s="10" t="s">
        <v>5008</v>
      </c>
      <c r="I3893" s="10">
        <v>20.0</v>
      </c>
      <c r="J3893" s="11" t="str">
        <f>IF(D3893&lt;&gt;"",VLOOKUP(H3893,TABLEITEM,5,FALSE),"")</f>
        <v>EA</v>
      </c>
      <c r="K3893" s="12">
        <v>60.0</v>
      </c>
      <c r="L3893" s="13" t="str">
        <f>IF(D3893&lt;&gt;"",VLOOKUP(H3893,TABLEITEM,2,FALSE),"")</f>
        <v/>
      </c>
      <c r="M3893" s="13" t="str">
        <f>IF(D3893&lt;&gt;"",VLOOKUP(H3893,TABLEITEM,3,FALSE),"")</f>
        <v>ELECTRODE YT065PVS</v>
      </c>
      <c r="N3893" s="14">
        <f>INSTOCK!$I3893*INSTOCK!$K3893</f>
        <v>1200</v>
      </c>
      <c r="O3893" s="4"/>
      <c r="P3893" s="4"/>
    </row>
    <row r="3894" ht="15.75" hidden="1" customHeight="1">
      <c r="B3894" s="8">
        <v>4213.0</v>
      </c>
      <c r="C3894" s="9">
        <v>43368.0</v>
      </c>
      <c r="D3894" s="6" t="s">
        <v>5009</v>
      </c>
      <c r="E3894" s="4" t="s">
        <v>5010</v>
      </c>
      <c r="F3894" s="8" t="s">
        <v>5011</v>
      </c>
      <c r="G3894" s="4" t="s">
        <v>1870</v>
      </c>
      <c r="H3894" s="10" t="s">
        <v>5012</v>
      </c>
      <c r="I3894" s="10">
        <v>100.0</v>
      </c>
      <c r="J3894" s="11" t="str">
        <f>IF(D3894&lt;&gt;"",VLOOKUP(H3894,TABLEITEM,5,FALSE),"")</f>
        <v>EA</v>
      </c>
      <c r="K3894" s="12">
        <v>1.7875</v>
      </c>
      <c r="L3894" s="13" t="str">
        <f>IF(D3894&lt;&gt;"",VLOOKUP(H3894,TABLEITEM,2,FALSE),"")</f>
        <v/>
      </c>
      <c r="M3894" s="13" t="str">
        <f>IF(D3894&lt;&gt;"",VLOOKUP(H3894,TABLEITEM,3,FALSE),"")</f>
        <v>สกรูหัวจมสเตนเลส M4x30</v>
      </c>
      <c r="N3894" s="14">
        <f>INSTOCK!$I3894*INSTOCK!$K3894</f>
        <v>178.75</v>
      </c>
      <c r="O3894" s="4"/>
      <c r="P3894" s="4"/>
    </row>
    <row r="3895" ht="15.75" hidden="1" customHeight="1">
      <c r="B3895" s="8">
        <v>4214.0</v>
      </c>
      <c r="C3895" s="9">
        <v>43368.0</v>
      </c>
      <c r="D3895" s="6" t="s">
        <v>5009</v>
      </c>
      <c r="E3895" s="4" t="s">
        <v>5010</v>
      </c>
      <c r="F3895" s="8" t="s">
        <v>5011</v>
      </c>
      <c r="G3895" s="4" t="s">
        <v>1870</v>
      </c>
      <c r="H3895" s="10" t="s">
        <v>5013</v>
      </c>
      <c r="I3895" s="10">
        <v>30.0</v>
      </c>
      <c r="J3895" s="11" t="str">
        <f>IF(D3895&lt;&gt;"",VLOOKUP(H3895,TABLEITEM,5,FALSE),"")</f>
        <v>EA</v>
      </c>
      <c r="K3895" s="12">
        <v>8.7</v>
      </c>
      <c r="L3895" s="13" t="str">
        <f>IF(D3895&lt;&gt;"",VLOOKUP(H3895,TABLEITEM,2,FALSE),"")</f>
        <v/>
      </c>
      <c r="M3895" s="13" t="str">
        <f>IF(D3895&lt;&gt;"",VLOOKUP(H3895,TABLEITEM,3,FALSE),"")</f>
        <v>สกรูหัวเหลี่ยมสเตนเลส M3/8x3"</v>
      </c>
      <c r="N3895" s="14">
        <f>INSTOCK!$I3895*INSTOCK!$K3895</f>
        <v>261</v>
      </c>
      <c r="O3895" s="4"/>
      <c r="P3895" s="4"/>
    </row>
    <row r="3896" ht="15.75" hidden="1" customHeight="1">
      <c r="B3896" s="8">
        <v>4215.0</v>
      </c>
      <c r="C3896" s="9">
        <v>43368.0</v>
      </c>
      <c r="D3896" s="6" t="s">
        <v>5009</v>
      </c>
      <c r="E3896" s="4" t="s">
        <v>5010</v>
      </c>
      <c r="F3896" s="8" t="s">
        <v>5011</v>
      </c>
      <c r="G3896" s="4" t="s">
        <v>1870</v>
      </c>
      <c r="H3896" s="10" t="s">
        <v>5014</v>
      </c>
      <c r="I3896" s="10">
        <v>200.0</v>
      </c>
      <c r="J3896" s="11" t="str">
        <f>IF(D3896&lt;&gt;"",VLOOKUP(H3896,TABLEITEM,5,FALSE),"")</f>
        <v>EA</v>
      </c>
      <c r="K3896" s="12">
        <v>1.65</v>
      </c>
      <c r="L3896" s="13" t="str">
        <f>IF(D3896&lt;&gt;"",VLOOKUP(H3896,TABLEITEM,2,FALSE),"")</f>
        <v/>
      </c>
      <c r="M3896" s="13" t="str">
        <f>IF(D3896&lt;&gt;"",VLOOKUP(H3896,TABLEITEM,3,FALSE),"")</f>
        <v>สกรูหัวจมสเตนเลส M5x15 </v>
      </c>
      <c r="N3896" s="14">
        <f>INSTOCK!$I3896*INSTOCK!$K3896</f>
        <v>330</v>
      </c>
      <c r="O3896" s="4"/>
      <c r="P3896" s="4"/>
    </row>
    <row r="3897" ht="15.75" hidden="1" customHeight="1">
      <c r="B3897" s="8">
        <v>4216.0</v>
      </c>
      <c r="C3897" s="9">
        <v>43368.0</v>
      </c>
      <c r="D3897" s="6">
        <v>6.10908168E8</v>
      </c>
      <c r="E3897" s="4">
        <v>6.109001205E9</v>
      </c>
      <c r="F3897" s="8"/>
      <c r="G3897" s="4" t="s">
        <v>1130</v>
      </c>
      <c r="H3897" s="10" t="s">
        <v>4412</v>
      </c>
      <c r="I3897" s="10">
        <v>1.0</v>
      </c>
      <c r="J3897" s="11" t="str">
        <f>IF(D3897&lt;&gt;"",VLOOKUP(H3897,TABLEITEM,5,FALSE),"")</f>
        <v>EA</v>
      </c>
      <c r="K3897" s="12">
        <v>1518.0</v>
      </c>
      <c r="L3897" s="13" t="str">
        <f>IF(D3897&lt;&gt;"",VLOOKUP(H3897,TABLEITEM,2,FALSE),"")</f>
        <v/>
      </c>
      <c r="M3897" s="13" t="str">
        <f>IF(D3897&lt;&gt;"",VLOOKUP(H3897,TABLEITEM,3,FALSE),"")</f>
        <v>BREAKER NF125-CV 3P80A</v>
      </c>
      <c r="N3897" s="14">
        <f>INSTOCK!$I3897*INSTOCK!$K3897</f>
        <v>1518</v>
      </c>
      <c r="O3897" s="4" t="s">
        <v>1605</v>
      </c>
      <c r="P3897" s="4"/>
    </row>
    <row r="3898" ht="15.75" hidden="1" customHeight="1">
      <c r="B3898" s="8">
        <v>4217.0</v>
      </c>
      <c r="C3898" s="9">
        <v>43368.0</v>
      </c>
      <c r="D3898" s="6">
        <v>6.10908168E8</v>
      </c>
      <c r="E3898" s="4">
        <v>6.109001205E9</v>
      </c>
      <c r="F3898" s="8"/>
      <c r="G3898" s="4" t="s">
        <v>1130</v>
      </c>
      <c r="H3898" s="10" t="s">
        <v>3116</v>
      </c>
      <c r="I3898" s="10">
        <v>3.0</v>
      </c>
      <c r="J3898" s="11" t="str">
        <f>IF(D3898&lt;&gt;"",VLOOKUP(H3898,TABLEITEM,5,FALSE),"")</f>
        <v>EA</v>
      </c>
      <c r="K3898" s="12">
        <v>121.12</v>
      </c>
      <c r="L3898" s="13" t="str">
        <f>IF(D3898&lt;&gt;"",VLOOKUP(H3898,TABLEITEM,2,FALSE),"")</f>
        <v/>
      </c>
      <c r="M3898" s="13" t="str">
        <f>IF(D3898&lt;&gt;"",VLOOKUP(H3898,TABLEITEM,3,FALSE),"")</f>
        <v>CT100/5 MSQ40</v>
      </c>
      <c r="N3898" s="14">
        <f>INSTOCK!$I3898*INSTOCK!$K3898</f>
        <v>363.36</v>
      </c>
      <c r="O3898" s="4" t="s">
        <v>1898</v>
      </c>
      <c r="P3898" s="4"/>
    </row>
    <row r="3899" ht="15.75" hidden="1" customHeight="1">
      <c r="B3899" s="8">
        <v>4218.0</v>
      </c>
      <c r="C3899" s="9">
        <v>43368.0</v>
      </c>
      <c r="D3899" s="6">
        <v>6.10908168E8</v>
      </c>
      <c r="E3899" s="4">
        <v>6.109001205E9</v>
      </c>
      <c r="F3899" s="8"/>
      <c r="G3899" s="4" t="s">
        <v>1130</v>
      </c>
      <c r="H3899" s="10" t="s">
        <v>4369</v>
      </c>
      <c r="I3899" s="10">
        <v>1.0</v>
      </c>
      <c r="J3899" s="11" t="str">
        <f>IF(D3899&lt;&gt;"",VLOOKUP(H3899,TABLEITEM,5,FALSE),"")</f>
        <v>EA</v>
      </c>
      <c r="K3899" s="12">
        <v>300.0</v>
      </c>
      <c r="L3899" s="13" t="str">
        <f>IF(D3899&lt;&gt;"",VLOOKUP(H3899,TABLEITEM,2,FALSE),"")</f>
        <v/>
      </c>
      <c r="M3899" s="13" t="str">
        <f>IF(D3899&lt;&gt;"",VLOOKUP(H3899,TABLEITEM,3,FALSE),"")</f>
        <v>AmpmetER 96x96mm 100/5</v>
      </c>
      <c r="N3899" s="14">
        <f>INSTOCK!$I3899*INSTOCK!$K3899</f>
        <v>300</v>
      </c>
      <c r="O3899" s="4" t="s">
        <v>4370</v>
      </c>
      <c r="P3899" s="4"/>
    </row>
    <row r="3900" ht="15.75" hidden="1" customHeight="1">
      <c r="B3900" s="8">
        <v>4219.0</v>
      </c>
      <c r="C3900" s="9">
        <v>43368.0</v>
      </c>
      <c r="D3900" s="6">
        <v>6.10908168E8</v>
      </c>
      <c r="E3900" s="4">
        <v>6.109001205E9</v>
      </c>
      <c r="F3900" s="8"/>
      <c r="G3900" s="4" t="s">
        <v>1130</v>
      </c>
      <c r="H3900" s="18" t="s">
        <v>4371</v>
      </c>
      <c r="I3900" s="10">
        <v>1.0</v>
      </c>
      <c r="J3900" s="11" t="str">
        <f>IF(D3900&lt;&gt;"",VLOOKUP(H3900,TABLEITEM,5,FALSE),"")</f>
        <v>EA</v>
      </c>
      <c r="K3900" s="12">
        <v>312.0</v>
      </c>
      <c r="L3900" s="13" t="str">
        <f>IF(D3900&lt;&gt;"",VLOOKUP(H3900,TABLEITEM,2,FALSE),"")</f>
        <v/>
      </c>
      <c r="M3900" s="13" t="str">
        <f>IF(D3900&lt;&gt;"",VLOOKUP(H3900,TABLEITEM,3,FALSE),"")</f>
        <v>Voltmeter 96x96mm 500V</v>
      </c>
      <c r="N3900" s="14">
        <f>INSTOCK!$I3900*INSTOCK!$K3900</f>
        <v>312</v>
      </c>
      <c r="O3900" s="4" t="s">
        <v>4372</v>
      </c>
      <c r="P3900" s="4"/>
    </row>
    <row r="3901" ht="15.75" hidden="1" customHeight="1">
      <c r="B3901" s="8">
        <v>4220.0</v>
      </c>
      <c r="C3901" s="9">
        <v>43368.0</v>
      </c>
      <c r="D3901" s="6">
        <v>6.10908168E8</v>
      </c>
      <c r="E3901" s="4">
        <v>6.109001205E9</v>
      </c>
      <c r="F3901" s="8"/>
      <c r="G3901" s="4" t="s">
        <v>1130</v>
      </c>
      <c r="H3901" s="10" t="s">
        <v>4284</v>
      </c>
      <c r="I3901" s="10">
        <v>24.0</v>
      </c>
      <c r="J3901" s="11" t="str">
        <f>IF(D3901&lt;&gt;"",VLOOKUP(H3901,TABLEITEM,5,FALSE),"")</f>
        <v>EA</v>
      </c>
      <c r="K3901" s="12">
        <v>27.36</v>
      </c>
      <c r="L3901" s="13" t="str">
        <f>IF(D3901&lt;&gt;"",VLOOKUP(H3901,TABLEITEM,2,FALSE),"")</f>
        <v/>
      </c>
      <c r="M3901" s="13" t="str">
        <f>IF(D3901&lt;&gt;"",VLOOKUP(H3901,TABLEITEM,3,FALSE),"")</f>
        <v>สวิทซ์ทางเดียว WEG-5001HK</v>
      </c>
      <c r="N3901" s="14">
        <f>INSTOCK!$I3901*INSTOCK!$K3901</f>
        <v>656.64</v>
      </c>
      <c r="O3901" s="4" t="s">
        <v>5015</v>
      </c>
      <c r="P3901" s="4"/>
    </row>
    <row r="3902" ht="15.75" hidden="1" customHeight="1">
      <c r="B3902" s="8">
        <v>4221.0</v>
      </c>
      <c r="C3902" s="9">
        <v>43368.0</v>
      </c>
      <c r="D3902" s="6">
        <v>6.10908168E8</v>
      </c>
      <c r="E3902" s="4">
        <v>6.109001205E9</v>
      </c>
      <c r="F3902" s="8"/>
      <c r="G3902" s="4" t="s">
        <v>1130</v>
      </c>
      <c r="H3902" s="10" t="s">
        <v>1739</v>
      </c>
      <c r="I3902" s="10">
        <v>32.0</v>
      </c>
      <c r="J3902" s="11" t="str">
        <f>IF(D3902&lt;&gt;"",VLOOKUP(H3902,TABLEITEM,5,FALSE),"")</f>
        <v>EA</v>
      </c>
      <c r="K3902" s="12">
        <v>116.64</v>
      </c>
      <c r="L3902" s="13" t="str">
        <f>IF(D3902&lt;&gt;"",VLOOKUP(H3902,TABLEITEM,2,FALSE),"")</f>
        <v/>
      </c>
      <c r="M3902" s="13" t="str">
        <f>IF(D3902&lt;&gt;"",VLOOKUP(H3902,TABLEITEM,3,FALSE),"")</f>
        <v>ปลั๊กคู่มีกราวWEG 15929 2P+G</v>
      </c>
      <c r="N3902" s="14">
        <f>INSTOCK!$I3902*INSTOCK!$K3902</f>
        <v>3732.48</v>
      </c>
      <c r="O3902" s="4" t="s">
        <v>3556</v>
      </c>
      <c r="P3902" s="4"/>
    </row>
    <row r="3903" ht="15.75" hidden="1" customHeight="1">
      <c r="B3903" s="8">
        <v>4222.0</v>
      </c>
      <c r="C3903" s="9">
        <v>43368.0</v>
      </c>
      <c r="D3903" s="6">
        <v>6.10908168E8</v>
      </c>
      <c r="E3903" s="4">
        <v>6.109001205E9</v>
      </c>
      <c r="F3903" s="8"/>
      <c r="G3903" s="4" t="s">
        <v>1130</v>
      </c>
      <c r="H3903" s="10" t="s">
        <v>4283</v>
      </c>
      <c r="I3903" s="10">
        <v>40.0</v>
      </c>
      <c r="J3903" s="11" t="str">
        <f>IF(D3903&lt;&gt;"",VLOOKUP(H3903,TABLEITEM,5,FALSE),"")</f>
        <v>EA</v>
      </c>
      <c r="K3903" s="12">
        <v>15.84</v>
      </c>
      <c r="L3903" s="13" t="str">
        <f>IF(D3903&lt;&gt;"",VLOOKUP(H3903,TABLEITEM,2,FALSE),"")</f>
        <v/>
      </c>
      <c r="M3903" s="13" t="str">
        <f>IF(D3903&lt;&gt;"",VLOOKUP(H3903,TABLEITEM,3,FALSE),"")</f>
        <v>ฝาพลาสติก 2ช่อง WEG6803MB</v>
      </c>
      <c r="N3903" s="14">
        <f>INSTOCK!$I3903*INSTOCK!$K3903</f>
        <v>633.6</v>
      </c>
      <c r="O3903" s="4" t="s">
        <v>1493</v>
      </c>
      <c r="P3903" s="4"/>
    </row>
    <row r="3904" ht="15.75" hidden="1" customHeight="1">
      <c r="B3904" s="8">
        <v>4223.0</v>
      </c>
      <c r="C3904" s="9">
        <v>43368.0</v>
      </c>
      <c r="D3904" s="6">
        <v>6.10908168E8</v>
      </c>
      <c r="E3904" s="4">
        <v>6.109001205E9</v>
      </c>
      <c r="F3904" s="8"/>
      <c r="G3904" s="4" t="s">
        <v>1130</v>
      </c>
      <c r="H3904" s="10" t="s">
        <v>300</v>
      </c>
      <c r="I3904" s="10">
        <v>300.0</v>
      </c>
      <c r="J3904" s="11" t="str">
        <f>IF(D3904&lt;&gt;"",VLOOKUP(H3904,TABLEITEM,5,FALSE),"")</f>
        <v>EA</v>
      </c>
      <c r="K3904" s="12">
        <v>5.1</v>
      </c>
      <c r="L3904" s="13" t="str">
        <f>IF(D3904&lt;&gt;"",VLOOKUP(H3904,TABLEITEM,2,FALSE),"")</f>
        <v/>
      </c>
      <c r="M3904" s="13" t="str">
        <f>IF(D3904&lt;&gt;"",VLOOKUP(H3904,TABLEITEM,3,FALSE),"")</f>
        <v>หางปลากลมเปลือย 22-8</v>
      </c>
      <c r="N3904" s="14">
        <f>INSTOCK!$I3904*INSTOCK!$K3904</f>
        <v>1530</v>
      </c>
      <c r="O3904" s="4" t="s">
        <v>5016</v>
      </c>
      <c r="P3904" s="4"/>
    </row>
    <row r="3905" ht="15.75" hidden="1" customHeight="1">
      <c r="B3905" s="8">
        <v>4224.0</v>
      </c>
      <c r="C3905" s="9">
        <v>43368.0</v>
      </c>
      <c r="D3905" s="6" t="s">
        <v>5017</v>
      </c>
      <c r="E3905" s="4">
        <v>6.109001187E9</v>
      </c>
      <c r="F3905" s="8" t="s">
        <v>5018</v>
      </c>
      <c r="G3905" s="4" t="s">
        <v>5019</v>
      </c>
      <c r="H3905" s="10" t="s">
        <v>5020</v>
      </c>
      <c r="I3905" s="10">
        <v>1.0</v>
      </c>
      <c r="J3905" s="11" t="str">
        <f>IF(D3905&lt;&gt;"",VLOOKUP(H3905,TABLEITEM,5,FALSE),"")</f>
        <v>LOT</v>
      </c>
      <c r="K3905" s="12">
        <v>1500.0</v>
      </c>
      <c r="L3905" s="13" t="str">
        <f>IF(D3905&lt;&gt;"",VLOOKUP(H3905,TABLEITEM,2,FALSE),"")</f>
        <v/>
      </c>
      <c r="M3905" s="13" t="str">
        <f>IF(D3905&lt;&gt;"",VLOOKUP(H3905,TABLEITEM,3,FALSE),"")</f>
        <v>SERVICE HI COM</v>
      </c>
      <c r="N3905" s="14">
        <f>INSTOCK!$I3905*INSTOCK!$K3905</f>
        <v>1500</v>
      </c>
      <c r="O3905" s="4"/>
      <c r="P3905" s="4"/>
    </row>
    <row r="3906" ht="15.75" hidden="1" customHeight="1">
      <c r="B3906" s="8">
        <v>4225.0</v>
      </c>
      <c r="C3906" s="9">
        <v>43368.0</v>
      </c>
      <c r="D3906" s="6" t="s">
        <v>5021</v>
      </c>
      <c r="E3906" s="4"/>
      <c r="F3906" s="8" t="s">
        <v>5022</v>
      </c>
      <c r="G3906" s="4" t="s">
        <v>5023</v>
      </c>
      <c r="H3906" s="18" t="s">
        <v>5024</v>
      </c>
      <c r="I3906" s="10">
        <v>1.0</v>
      </c>
      <c r="J3906" s="11" t="str">
        <f>IF(D3906&lt;&gt;"",VLOOKUP(H3906,TABLEITEM,5,FALSE),"")</f>
        <v>EA</v>
      </c>
      <c r="K3906" s="12">
        <v>360.0</v>
      </c>
      <c r="L3906" s="13" t="str">
        <f>IF(D3906&lt;&gt;"",VLOOKUP(H3906,TABLEITEM,2,FALSE),"")</f>
        <v/>
      </c>
      <c r="M3906" s="13" t="str">
        <f>IF(D3906&lt;&gt;"",VLOOKUP(H3906,TABLEITEM,3,FALSE),"")</f>
        <v>โฮลซอล์ 28มิล</v>
      </c>
      <c r="N3906" s="14">
        <f>INSTOCK!$I3906*INSTOCK!$K3906</f>
        <v>360</v>
      </c>
      <c r="O3906" s="4"/>
      <c r="P3906" s="4"/>
    </row>
    <row r="3907" ht="15.75" hidden="1" customHeight="1">
      <c r="B3907" s="8">
        <v>4226.0</v>
      </c>
      <c r="C3907" s="9">
        <v>43364.0</v>
      </c>
      <c r="D3907" s="6" t="s">
        <v>5025</v>
      </c>
      <c r="E3907" s="4"/>
      <c r="F3907" s="8" t="s">
        <v>604</v>
      </c>
      <c r="G3907" s="4" t="s">
        <v>3029</v>
      </c>
      <c r="H3907" s="10" t="s">
        <v>3030</v>
      </c>
      <c r="I3907" s="10">
        <v>1.0</v>
      </c>
      <c r="J3907" s="11" t="str">
        <f>IF(D3907&lt;&gt;"",VLOOKUP(H3907,TABLEITEM,5,FALSE),"")</f>
        <v>LOT</v>
      </c>
      <c r="K3907" s="12">
        <v>535.0</v>
      </c>
      <c r="L3907" s="13" t="str">
        <f>IF(D3907&lt;&gt;"",VLOOKUP(H3907,TABLEITEM,2,FALSE),"")</f>
        <v/>
      </c>
      <c r="M3907" s="13" t="str">
        <f>IF(D3907&lt;&gt;"",VLOOKUP(H3907,TABLEITEM,3,FALSE),"")</f>
        <v>ค่าชุบ ดีบุกเงา</v>
      </c>
      <c r="N3907" s="14">
        <f>INSTOCK!$I3907*INSTOCK!$K3907</f>
        <v>535</v>
      </c>
      <c r="O3907" s="4" t="s">
        <v>3258</v>
      </c>
      <c r="P3907" s="4"/>
    </row>
    <row r="3908" ht="15.75" hidden="1" customHeight="1">
      <c r="B3908" s="8">
        <v>4227.0</v>
      </c>
      <c r="C3908" s="9">
        <v>43364.0</v>
      </c>
      <c r="D3908" s="6" t="s">
        <v>5026</v>
      </c>
      <c r="E3908" s="4">
        <v>6.109001167E9</v>
      </c>
      <c r="F3908" s="8" t="s">
        <v>5027</v>
      </c>
      <c r="G3908" s="4" t="s">
        <v>5019</v>
      </c>
      <c r="H3908" s="10" t="s">
        <v>5028</v>
      </c>
      <c r="I3908" s="10">
        <v>1.0</v>
      </c>
      <c r="J3908" s="11" t="str">
        <f>IF(D3908&lt;&gt;"",VLOOKUP(H3908,TABLEITEM,5,FALSE),"")</f>
        <v>EA</v>
      </c>
      <c r="K3908" s="12">
        <v>16000.0</v>
      </c>
      <c r="L3908" s="13" t="str">
        <f>IF(D3908&lt;&gt;"",VLOOKUP(H3908,TABLEITEM,2,FALSE),"")</f>
        <v/>
      </c>
      <c r="M3908" s="13" t="str">
        <f>IF(D3908&lt;&gt;"",VLOOKUP(H3908,TABLEITEM,3,FALSE),"")</f>
        <v>SEPARATOR ELEMENT O-RING</v>
      </c>
      <c r="N3908" s="14">
        <f>INSTOCK!$I3908*INSTOCK!$K3908</f>
        <v>16000</v>
      </c>
      <c r="O3908" s="4"/>
      <c r="P3908" s="4"/>
    </row>
    <row r="3909" ht="15.75" hidden="1" customHeight="1">
      <c r="B3909" s="8">
        <v>4228.0</v>
      </c>
      <c r="C3909" s="9">
        <v>43364.0</v>
      </c>
      <c r="D3909" s="6" t="s">
        <v>5026</v>
      </c>
      <c r="E3909" s="4">
        <v>6.109001167E9</v>
      </c>
      <c r="F3909" s="8" t="s">
        <v>5027</v>
      </c>
      <c r="G3909" s="4" t="s">
        <v>5019</v>
      </c>
      <c r="H3909" s="10" t="s">
        <v>5029</v>
      </c>
      <c r="I3909" s="10">
        <v>1.0</v>
      </c>
      <c r="J3909" s="11" t="str">
        <f>IF(D3909&lt;&gt;"",VLOOKUP(H3909,TABLEITEM,5,FALSE),"")</f>
        <v>EA</v>
      </c>
      <c r="K3909" s="12">
        <v>6000.0</v>
      </c>
      <c r="L3909" s="13" t="str">
        <f>IF(D3909&lt;&gt;"",VLOOKUP(H3909,TABLEITEM,2,FALSE),"")</f>
        <v/>
      </c>
      <c r="M3909" s="13" t="str">
        <f>IF(D3909&lt;&gt;"",VLOOKUP(H3909,TABLEITEM,3,FALSE),"")</f>
        <v>AIR INTAKE FILTER ELEMENT</v>
      </c>
      <c r="N3909" s="14">
        <f>INSTOCK!$I3909*INSTOCK!$K3909</f>
        <v>6000</v>
      </c>
      <c r="O3909" s="4"/>
      <c r="P3909" s="4"/>
    </row>
    <row r="3910" ht="15.75" hidden="1" customHeight="1">
      <c r="B3910" s="8">
        <v>4229.0</v>
      </c>
      <c r="C3910" s="9">
        <v>43364.0</v>
      </c>
      <c r="D3910" s="6" t="s">
        <v>5026</v>
      </c>
      <c r="E3910" s="4">
        <v>6.109001167E9</v>
      </c>
      <c r="F3910" s="8" t="s">
        <v>5027</v>
      </c>
      <c r="G3910" s="4" t="s">
        <v>5019</v>
      </c>
      <c r="H3910" s="10" t="s">
        <v>5030</v>
      </c>
      <c r="I3910" s="10">
        <v>1.0</v>
      </c>
      <c r="J3910" s="11" t="str">
        <f>IF(D3910&lt;&gt;"",VLOOKUP(H3910,TABLEITEM,5,FALSE),"")</f>
        <v>EA</v>
      </c>
      <c r="K3910" s="12">
        <v>4000.0</v>
      </c>
      <c r="L3910" s="13" t="str">
        <f>IF(D3910&lt;&gt;"",VLOOKUP(H3910,TABLEITEM,2,FALSE),"")</f>
        <v/>
      </c>
      <c r="M3910" s="13" t="str">
        <f>IF(D3910&lt;&gt;"",VLOOKUP(H3910,TABLEITEM,3,FALSE),"")</f>
        <v>OIL FILTER ELEMENT</v>
      </c>
      <c r="N3910" s="14">
        <f>INSTOCK!$I3910*INSTOCK!$K3910</f>
        <v>4000</v>
      </c>
      <c r="O3910" s="4"/>
      <c r="P3910" s="4"/>
    </row>
    <row r="3911" ht="15.75" hidden="1" customHeight="1">
      <c r="B3911" s="8">
        <v>4230.0</v>
      </c>
      <c r="C3911" s="9">
        <v>43364.0</v>
      </c>
      <c r="D3911" s="6" t="s">
        <v>5026</v>
      </c>
      <c r="E3911" s="4">
        <v>6.109001167E9</v>
      </c>
      <c r="F3911" s="8" t="s">
        <v>5027</v>
      </c>
      <c r="G3911" s="4" t="s">
        <v>5019</v>
      </c>
      <c r="H3911" s="10" t="s">
        <v>5031</v>
      </c>
      <c r="I3911" s="10">
        <v>1.0</v>
      </c>
      <c r="J3911" s="11" t="str">
        <f>IF(D3911&lt;&gt;"",VLOOKUP(H3911,TABLEITEM,5,FALSE),"")</f>
        <v>EA</v>
      </c>
      <c r="K3911" s="12">
        <v>8500.0</v>
      </c>
      <c r="L3911" s="13" t="str">
        <f>IF(D3911&lt;&gt;"",VLOOKUP(H3911,TABLEITEM,2,FALSE),"")</f>
        <v/>
      </c>
      <c r="M3911" s="13" t="str">
        <f>IF(D3911&lt;&gt;"",VLOOKUP(H3911,TABLEITEM,3,FALSE),"")</f>
        <v>VALVE SHEET ASSY</v>
      </c>
      <c r="N3911" s="14">
        <f>INSTOCK!$I3911*INSTOCK!$K3911</f>
        <v>8500</v>
      </c>
      <c r="O3911" s="4"/>
      <c r="P3911" s="4"/>
    </row>
    <row r="3912" ht="15.75" hidden="1" customHeight="1">
      <c r="B3912" s="8">
        <v>4231.0</v>
      </c>
      <c r="C3912" s="9">
        <v>43364.0</v>
      </c>
      <c r="D3912" s="6" t="s">
        <v>5026</v>
      </c>
      <c r="E3912" s="4">
        <v>6.109001167E9</v>
      </c>
      <c r="F3912" s="8" t="s">
        <v>5027</v>
      </c>
      <c r="G3912" s="4" t="s">
        <v>5019</v>
      </c>
      <c r="H3912" s="10" t="s">
        <v>5032</v>
      </c>
      <c r="I3912" s="10">
        <v>1.0</v>
      </c>
      <c r="J3912" s="11" t="str">
        <f>IF(D3912&lt;&gt;"",VLOOKUP(H3912,TABLEITEM,5,FALSE),"")</f>
        <v>EA</v>
      </c>
      <c r="K3912" s="12">
        <v>320.0</v>
      </c>
      <c r="L3912" s="13" t="str">
        <f>IF(D3912&lt;&gt;"",VLOOKUP(H3912,TABLEITEM,2,FALSE),"")</f>
        <v/>
      </c>
      <c r="M3912" s="13" t="str">
        <f>IF(D3912&lt;&gt;"",VLOOKUP(H3912,TABLEITEM,3,FALSE),"")</f>
        <v>UNLOADER PACKING</v>
      </c>
      <c r="N3912" s="14">
        <f>INSTOCK!$I3912*INSTOCK!$K3912</f>
        <v>320</v>
      </c>
      <c r="O3912" s="4"/>
      <c r="P3912" s="4"/>
    </row>
    <row r="3913" ht="15.75" hidden="1" customHeight="1">
      <c r="B3913" s="8">
        <v>4232.0</v>
      </c>
      <c r="C3913" s="9">
        <v>43364.0</v>
      </c>
      <c r="D3913" s="6" t="s">
        <v>5026</v>
      </c>
      <c r="E3913" s="4">
        <v>6.109001167E9</v>
      </c>
      <c r="F3913" s="8" t="s">
        <v>5027</v>
      </c>
      <c r="G3913" s="4" t="s">
        <v>5019</v>
      </c>
      <c r="H3913" s="10" t="s">
        <v>5033</v>
      </c>
      <c r="I3913" s="10">
        <v>1.0</v>
      </c>
      <c r="J3913" s="11" t="str">
        <f>IF(D3913&lt;&gt;"",VLOOKUP(H3913,TABLEITEM,5,FALSE),"")</f>
        <v>EA</v>
      </c>
      <c r="K3913" s="12">
        <v>5000.0</v>
      </c>
      <c r="L3913" s="13" t="str">
        <f>IF(D3913&lt;&gt;"",VLOOKUP(H3913,TABLEITEM,2,FALSE),"")</f>
        <v/>
      </c>
      <c r="M3913" s="13" t="str">
        <f>IF(D3913&lt;&gt;"",VLOOKUP(H3913,TABLEITEM,3,FALSE),"")</f>
        <v>BELT 60HZ 8.5K</v>
      </c>
      <c r="N3913" s="14">
        <f>INSTOCK!$I3913*INSTOCK!$K3913</f>
        <v>5000</v>
      </c>
      <c r="O3913" s="4"/>
      <c r="P3913" s="4"/>
    </row>
    <row r="3914" ht="15.75" hidden="1" customHeight="1">
      <c r="B3914" s="8">
        <v>4233.0</v>
      </c>
      <c r="C3914" s="9">
        <v>43364.0</v>
      </c>
      <c r="D3914" s="6" t="s">
        <v>5026</v>
      </c>
      <c r="E3914" s="4">
        <v>6.109001167E9</v>
      </c>
      <c r="F3914" s="8" t="s">
        <v>5027</v>
      </c>
      <c r="G3914" s="4" t="s">
        <v>5019</v>
      </c>
      <c r="H3914" s="10" t="s">
        <v>5034</v>
      </c>
      <c r="I3914" s="10">
        <v>1.0</v>
      </c>
      <c r="J3914" s="11" t="str">
        <f>IF(D3914&lt;&gt;"",VLOOKUP(H3914,TABLEITEM,5,FALSE),"")</f>
        <v>EA</v>
      </c>
      <c r="K3914" s="12">
        <v>3800.0</v>
      </c>
      <c r="L3914" s="13" t="str">
        <f>IF(D3914&lt;&gt;"",VLOOKUP(H3914,TABLEITEM,2,FALSE),"")</f>
        <v/>
      </c>
      <c r="M3914" s="13" t="str">
        <f>IF(D3914&lt;&gt;"",VLOOKUP(H3914,TABLEITEM,3,FALSE),"")</f>
        <v>M-PLUS LINE FILTER ELEMENT P0070S</v>
      </c>
      <c r="N3914" s="14">
        <f>INSTOCK!$I3914*INSTOCK!$K3914</f>
        <v>3800</v>
      </c>
      <c r="O3914" s="4"/>
      <c r="P3914" s="4"/>
    </row>
    <row r="3915" ht="15.75" hidden="1" customHeight="1">
      <c r="B3915" s="8">
        <v>4234.0</v>
      </c>
      <c r="C3915" s="9">
        <v>43364.0</v>
      </c>
      <c r="D3915" s="6" t="s">
        <v>5026</v>
      </c>
      <c r="E3915" s="4">
        <v>6.109001167E9</v>
      </c>
      <c r="F3915" s="8" t="s">
        <v>5027</v>
      </c>
      <c r="G3915" s="4" t="s">
        <v>5019</v>
      </c>
      <c r="H3915" s="10" t="s">
        <v>5035</v>
      </c>
      <c r="I3915" s="10">
        <v>1.0</v>
      </c>
      <c r="J3915" s="11" t="str">
        <f>IF(D3915&lt;&gt;"",VLOOKUP(H3915,TABLEITEM,5,FALSE),"")</f>
        <v>EA</v>
      </c>
      <c r="K3915" s="12">
        <v>3800.0</v>
      </c>
      <c r="L3915" s="13" t="str">
        <f>IF(D3915&lt;&gt;"",VLOOKUP(H3915,TABLEITEM,2,FALSE),"")</f>
        <v/>
      </c>
      <c r="M3915" s="13" t="str">
        <f>IF(D3915&lt;&gt;"",VLOOKUP(H3915,TABLEITEM,3,FALSE),"")</f>
        <v>M-PLUS MIST FILTER ELEMENT P0070X</v>
      </c>
      <c r="N3915" s="14">
        <f>INSTOCK!$I3915*INSTOCK!$K3915</f>
        <v>3800</v>
      </c>
      <c r="O3915" s="4"/>
      <c r="P3915" s="4"/>
    </row>
    <row r="3916" ht="15.75" hidden="1" customHeight="1">
      <c r="B3916" s="8">
        <v>4235.0</v>
      </c>
      <c r="C3916" s="9">
        <v>43364.0</v>
      </c>
      <c r="D3916" s="6" t="s">
        <v>5036</v>
      </c>
      <c r="E3916" s="4"/>
      <c r="F3916" s="8" t="s">
        <v>5037</v>
      </c>
      <c r="G3916" s="4" t="s">
        <v>4419</v>
      </c>
      <c r="H3916" s="10" t="s">
        <v>5038</v>
      </c>
      <c r="I3916" s="10">
        <v>1.0</v>
      </c>
      <c r="J3916" s="11" t="str">
        <f>IF(D3916&lt;&gt;"",VLOOKUP(H3916,TABLEITEM,5,FALSE),"")</f>
        <v>EA</v>
      </c>
      <c r="K3916" s="12">
        <v>190.0</v>
      </c>
      <c r="L3916" s="13" t="str">
        <f>IF(D3916&lt;&gt;"",VLOOKUP(H3916,TABLEITEM,2,FALSE),"")</f>
        <v/>
      </c>
      <c r="M3916" s="13" t="str">
        <f>IF(D3916&lt;&gt;"",VLOOKUP(H3916,TABLEITEM,3,FALSE),"")</f>
        <v>T-001158 Variable RV30YN20SB202 2KOHM</v>
      </c>
      <c r="N3916" s="14">
        <f>INSTOCK!$I3916*INSTOCK!$K3916</f>
        <v>190</v>
      </c>
      <c r="O3916" s="4"/>
      <c r="P3916" s="4"/>
    </row>
    <row r="3917" ht="15.75" hidden="1" customHeight="1">
      <c r="B3917" s="8">
        <v>4236.0</v>
      </c>
      <c r="C3917" s="9">
        <v>43364.0</v>
      </c>
      <c r="D3917" s="6" t="s">
        <v>5039</v>
      </c>
      <c r="E3917" s="4">
        <v>6.109001163E9</v>
      </c>
      <c r="F3917" s="8" t="s">
        <v>604</v>
      </c>
      <c r="G3917" s="4" t="s">
        <v>1777</v>
      </c>
      <c r="H3917" s="10" t="s">
        <v>3014</v>
      </c>
      <c r="I3917" s="10">
        <v>10000.0</v>
      </c>
      <c r="J3917" s="11" t="str">
        <f>IF(D3917&lt;&gt;"",VLOOKUP(H3917,TABLEITEM,5,FALSE),"")</f>
        <v>EA</v>
      </c>
      <c r="K3917" s="12">
        <v>0.075</v>
      </c>
      <c r="L3917" s="13" t="str">
        <f>IF(D3917&lt;&gt;"",VLOOKUP(H3917,TABLEITEM,2,FALSE),"")</f>
        <v/>
      </c>
      <c r="M3917" s="13" t="str">
        <f>IF(D3917&lt;&gt;"",VLOOKUP(H3917,TABLEITEM,3,FALSE),"")</f>
        <v>แหวนสปริง M 8 ชุบรุ้ง</v>
      </c>
      <c r="N3917" s="14">
        <f>INSTOCK!$I3917*INSTOCK!$K3917</f>
        <v>750</v>
      </c>
      <c r="O3917" s="4" t="s">
        <v>2079</v>
      </c>
      <c r="P3917" s="4"/>
    </row>
    <row r="3918" ht="15.75" hidden="1" customHeight="1">
      <c r="B3918" s="8">
        <v>4237.0</v>
      </c>
      <c r="C3918" s="9">
        <v>43364.0</v>
      </c>
      <c r="D3918" s="6" t="s">
        <v>5039</v>
      </c>
      <c r="E3918" s="4">
        <v>6.109001163E9</v>
      </c>
      <c r="F3918" s="8" t="s">
        <v>604</v>
      </c>
      <c r="G3918" s="4" t="s">
        <v>1777</v>
      </c>
      <c r="H3918" s="10" t="s">
        <v>2102</v>
      </c>
      <c r="I3918" s="10">
        <v>20000.0</v>
      </c>
      <c r="J3918" s="11" t="str">
        <f>IF(D3918&lt;&gt;"",VLOOKUP(H3918,TABLEITEM,5,FALSE),"")</f>
        <v>EA</v>
      </c>
      <c r="K3918" s="12">
        <v>0.09</v>
      </c>
      <c r="L3918" s="13" t="str">
        <f>IF(D3918&lt;&gt;"",VLOOKUP(H3918,TABLEITEM,2,FALSE),"")</f>
        <v/>
      </c>
      <c r="M3918" s="13" t="str">
        <f>IF(D3918&lt;&gt;"",VLOOKUP(H3918,TABLEITEM,3,FALSE),"")</f>
        <v>แหวนอีแปะ M8 ชุบขาว</v>
      </c>
      <c r="N3918" s="14">
        <f>INSTOCK!$I3918*INSTOCK!$K3918</f>
        <v>1800</v>
      </c>
      <c r="O3918" s="4" t="s">
        <v>2103</v>
      </c>
      <c r="P3918" s="4"/>
    </row>
    <row r="3919" ht="15.75" hidden="1" customHeight="1">
      <c r="B3919" s="8">
        <v>4238.0</v>
      </c>
      <c r="C3919" s="9">
        <v>43364.0</v>
      </c>
      <c r="D3919" s="6" t="s">
        <v>5039</v>
      </c>
      <c r="E3919" s="4">
        <v>6.109001163E9</v>
      </c>
      <c r="F3919" s="8" t="s">
        <v>604</v>
      </c>
      <c r="G3919" s="4" t="s">
        <v>1777</v>
      </c>
      <c r="H3919" s="10" t="s">
        <v>2080</v>
      </c>
      <c r="I3919" s="10">
        <v>10000.0</v>
      </c>
      <c r="J3919" s="11" t="str">
        <f>IF(D3919&lt;&gt;"",VLOOKUP(H3919,TABLEITEM,5,FALSE),"")</f>
        <v>EA</v>
      </c>
      <c r="K3919" s="12">
        <v>0.36</v>
      </c>
      <c r="L3919" s="13" t="str">
        <f>IF(D3919&lt;&gt;"",VLOOKUP(H3919,TABLEITEM,2,FALSE),"")</f>
        <v/>
      </c>
      <c r="M3919" s="13" t="str">
        <f>IF(D3919&lt;&gt;"",VLOOKUP(H3919,TABLEITEM,3,FALSE),"")</f>
        <v>หัวน็อต M 8 ชุบขาว</v>
      </c>
      <c r="N3919" s="14">
        <f>INSTOCK!$I3919*INSTOCK!$K3919</f>
        <v>3600</v>
      </c>
      <c r="O3919" s="4" t="s">
        <v>2081</v>
      </c>
      <c r="P3919" s="4"/>
    </row>
    <row r="3920" ht="15.75" hidden="1" customHeight="1">
      <c r="B3920" s="8">
        <v>4239.0</v>
      </c>
      <c r="C3920" s="9">
        <v>43364.0</v>
      </c>
      <c r="D3920" s="6" t="s">
        <v>5039</v>
      </c>
      <c r="E3920" s="4">
        <v>6.109001163E9</v>
      </c>
      <c r="F3920" s="8" t="s">
        <v>604</v>
      </c>
      <c r="G3920" s="4" t="s">
        <v>1777</v>
      </c>
      <c r="H3920" s="10" t="s">
        <v>1859</v>
      </c>
      <c r="I3920" s="10">
        <v>3000.0</v>
      </c>
      <c r="J3920" s="11" t="str">
        <f>IF(D3920&lt;&gt;"",VLOOKUP(H3920,TABLEITEM,5,FALSE),"")</f>
        <v>EA</v>
      </c>
      <c r="K3920" s="12">
        <v>0.9035</v>
      </c>
      <c r="L3920" s="13" t="str">
        <f>IF(D3920&lt;&gt;"",VLOOKUP(H3920,TABLEITEM,2,FALSE),"")</f>
        <v/>
      </c>
      <c r="M3920" s="13" t="str">
        <f>IF(D3920&lt;&gt;"",VLOOKUP(H3920,TABLEITEM,3,FALSE),"")</f>
        <v>สกรูหัวเหลี่ยมชุบขาว M8x25</v>
      </c>
      <c r="N3920" s="14">
        <f>INSTOCK!$I3920*INSTOCK!$K3920</f>
        <v>2710.5</v>
      </c>
      <c r="O3920" s="4" t="s">
        <v>1860</v>
      </c>
      <c r="P3920" s="4"/>
    </row>
    <row r="3921" ht="15.75" hidden="1" customHeight="1">
      <c r="B3921" s="8">
        <v>4240.0</v>
      </c>
      <c r="C3921" s="9">
        <v>43364.0</v>
      </c>
      <c r="D3921" s="6" t="s">
        <v>5039</v>
      </c>
      <c r="E3921" s="4">
        <v>6.109001163E9</v>
      </c>
      <c r="F3921" s="8" t="s">
        <v>604</v>
      </c>
      <c r="G3921" s="4" t="s">
        <v>1777</v>
      </c>
      <c r="H3921" s="10" t="s">
        <v>2100</v>
      </c>
      <c r="I3921" s="10">
        <v>10000.0</v>
      </c>
      <c r="J3921" s="11" t="str">
        <f>IF(D3921&lt;&gt;"",VLOOKUP(H3921,TABLEITEM,5,FALSE),"")</f>
        <v>EA</v>
      </c>
      <c r="K3921" s="12">
        <v>0.7995</v>
      </c>
      <c r="L3921" s="13" t="str">
        <f>IF(D3921&lt;&gt;"",VLOOKUP(H3921,TABLEITEM,2,FALSE),"")</f>
        <v/>
      </c>
      <c r="M3921" s="13" t="str">
        <f>IF(D3921&lt;&gt;"",VLOOKUP(H3921,TABLEITEM,3,FALSE),"")</f>
        <v>สกรูหัวเหลี่ยมชุบขาว M8x20</v>
      </c>
      <c r="N3921" s="14">
        <f>INSTOCK!$I3921*INSTOCK!$K3921</f>
        <v>7995</v>
      </c>
      <c r="O3921" s="4" t="s">
        <v>2101</v>
      </c>
      <c r="P3921" s="4"/>
    </row>
    <row r="3922" ht="15.75" hidden="1" customHeight="1">
      <c r="B3922" s="8">
        <v>4241.0</v>
      </c>
      <c r="C3922" s="9">
        <v>43363.0</v>
      </c>
      <c r="D3922" s="6" t="s">
        <v>5040</v>
      </c>
      <c r="E3922" s="4">
        <v>6.109001158E9</v>
      </c>
      <c r="F3922" s="8" t="s">
        <v>5041</v>
      </c>
      <c r="G3922" s="4" t="s">
        <v>2138</v>
      </c>
      <c r="H3922" s="10" t="s">
        <v>2369</v>
      </c>
      <c r="I3922" s="10">
        <v>1.0</v>
      </c>
      <c r="J3922" s="11" t="str">
        <f>IF(D3922&lt;&gt;"",VLOOKUP(H3922,TABLEITEM,5,FALSE),"")</f>
        <v>ถัง</v>
      </c>
      <c r="K3922" s="12">
        <v>1730.0</v>
      </c>
      <c r="L3922" s="13" t="str">
        <f>IF(D3922&lt;&gt;"",VLOOKUP(H3922,TABLEITEM,2,FALSE),"")</f>
        <v/>
      </c>
      <c r="M3922" s="13" t="str">
        <f>IF(D3922&lt;&gt;"",VLOOKUP(H3922,TABLEITEM,3,FALSE),"")</f>
        <v>MOBIL NUTO H32-1/20LT</v>
      </c>
      <c r="N3922" s="14">
        <f>INSTOCK!$I3922*INSTOCK!$K3922</f>
        <v>1730</v>
      </c>
      <c r="O3922" s="4"/>
      <c r="P3922" s="4"/>
    </row>
    <row r="3923" ht="15.75" hidden="1" customHeight="1">
      <c r="B3923" s="8">
        <v>4242.0</v>
      </c>
      <c r="C3923" s="9">
        <v>43363.0</v>
      </c>
      <c r="D3923" s="6" t="s">
        <v>5042</v>
      </c>
      <c r="E3923" s="4">
        <v>6.109001169E9</v>
      </c>
      <c r="F3923" s="8" t="s">
        <v>604</v>
      </c>
      <c r="G3923" s="4" t="s">
        <v>5043</v>
      </c>
      <c r="H3923" s="10" t="s">
        <v>5044</v>
      </c>
      <c r="I3923" s="10">
        <v>1.0</v>
      </c>
      <c r="J3923" s="11" t="str">
        <f>IF(D3923&lt;&gt;"",VLOOKUP(H3923,TABLEITEM,5,FALSE),"")</f>
        <v>EA</v>
      </c>
      <c r="K3923" s="12">
        <v>7800.0</v>
      </c>
      <c r="L3923" s="13" t="str">
        <f>IF(D3923&lt;&gt;"",VLOOKUP(H3923,TABLEITEM,2,FALSE),"")</f>
        <v/>
      </c>
      <c r="M3923" s="13" t="str">
        <f>IF(D3923&lt;&gt;"",VLOOKUP(H3923,TABLEITEM,3,FALSE),"")</f>
        <v>SJ-530B (0.05x1220x310m)ฟิล์มติดสเตนเลส</v>
      </c>
      <c r="N3923" s="14">
        <f>INSTOCK!$I3923*INSTOCK!$K3923</f>
        <v>7800</v>
      </c>
      <c r="O3923" s="4"/>
      <c r="P3923" s="4"/>
    </row>
    <row r="3924" ht="15.75" hidden="1" customHeight="1">
      <c r="B3924" s="8">
        <v>4243.0</v>
      </c>
      <c r="C3924" s="9">
        <v>43363.0</v>
      </c>
      <c r="D3924" s="6">
        <v>6.10906528E8</v>
      </c>
      <c r="E3924" s="4">
        <v>6.109001171E9</v>
      </c>
      <c r="F3924" s="8"/>
      <c r="G3924" s="4" t="s">
        <v>1130</v>
      </c>
      <c r="H3924" s="10" t="s">
        <v>5045</v>
      </c>
      <c r="I3924" s="10">
        <v>1.0</v>
      </c>
      <c r="J3924" s="11" t="str">
        <f>IF(D3924&lt;&gt;"",VLOOKUP(H3924,TABLEITEM,5,FALSE),"")</f>
        <v>EA</v>
      </c>
      <c r="K3924" s="12">
        <v>410.0</v>
      </c>
      <c r="L3924" s="13" t="str">
        <f>IF(D3924&lt;&gt;"",VLOOKUP(H3924,TABLEITEM,2,FALSE),"")</f>
        <v/>
      </c>
      <c r="M3924" s="13" t="str">
        <f>IF(D3924&lt;&gt;"",VLOOKUP(H3924,TABLEITEM,3,FALSE),"")</f>
        <v>TIMER H3JA-8C 30S 200-240VAC</v>
      </c>
      <c r="N3924" s="14">
        <f>INSTOCK!$I3924*INSTOCK!$K3924</f>
        <v>410</v>
      </c>
      <c r="O3924" s="4"/>
      <c r="P3924" s="4"/>
    </row>
    <row r="3925" ht="15.75" hidden="1" customHeight="1">
      <c r="B3925" s="8">
        <v>4244.0</v>
      </c>
      <c r="C3925" s="9">
        <v>43363.0</v>
      </c>
      <c r="D3925" s="6" t="s">
        <v>5046</v>
      </c>
      <c r="E3925" s="4">
        <v>6.109001175E9</v>
      </c>
      <c r="F3925" s="8" t="s">
        <v>604</v>
      </c>
      <c r="G3925" s="4" t="s">
        <v>2014</v>
      </c>
      <c r="H3925" s="10" t="s">
        <v>4442</v>
      </c>
      <c r="I3925" s="10">
        <v>5.0</v>
      </c>
      <c r="J3925" s="11" t="str">
        <f>IF(D3925&lt;&gt;"",VLOOKUP(H3925,TABLEITEM,5,FALSE),"")</f>
        <v>EA</v>
      </c>
      <c r="K3925" s="12">
        <v>126.17</v>
      </c>
      <c r="L3925" s="13" t="str">
        <f>IF(D3925&lt;&gt;"",VLOOKUP(H3925,TABLEITEM,2,FALSE),"")</f>
        <v/>
      </c>
      <c r="M3925" s="13" t="str">
        <f>IF(D3925&lt;&gt;"",VLOOKUP(H3925,TABLEITEM,3,FALSE),"")</f>
        <v>เทปกาวใส 2"x45 หลา(แพ็ค 6ม้วน)</v>
      </c>
      <c r="N3925" s="14">
        <f>INSTOCK!$I3925*INSTOCK!$K3925</f>
        <v>630.85</v>
      </c>
      <c r="O3925" s="4"/>
      <c r="P3925" s="4"/>
    </row>
    <row r="3926" ht="15.75" hidden="1" customHeight="1">
      <c r="B3926" s="8">
        <v>4245.0</v>
      </c>
      <c r="C3926" s="9">
        <v>43363.0</v>
      </c>
      <c r="D3926" s="6" t="s">
        <v>5047</v>
      </c>
      <c r="E3926" s="4">
        <v>6.10900117E9</v>
      </c>
      <c r="F3926" s="8" t="s">
        <v>604</v>
      </c>
      <c r="G3926" s="4" t="s">
        <v>2453</v>
      </c>
      <c r="H3926" s="10" t="s">
        <v>2905</v>
      </c>
      <c r="I3926" s="10">
        <v>30.0</v>
      </c>
      <c r="J3926" s="11" t="str">
        <f>IF(D3926&lt;&gt;"",VLOOKUP(H3926,TABLEITEM,5,FALSE),"")</f>
        <v>EA</v>
      </c>
      <c r="K3926" s="12">
        <v>26.26</v>
      </c>
      <c r="L3926" s="13" t="str">
        <f>IF(D3926&lt;&gt;"",VLOOKUP(H3926,TABLEITEM,2,FALSE),"")</f>
        <v/>
      </c>
      <c r="M3926" s="13" t="str">
        <f>IF(D3926&lt;&gt;"",VLOOKUP(H3926,TABLEITEM,3,FALSE),"")</f>
        <v>ดอกสว่าน NACHI 3.3 MM</v>
      </c>
      <c r="N3926" s="14">
        <f>INSTOCK!$I3926*INSTOCK!$K3926</f>
        <v>787.8</v>
      </c>
      <c r="O3926" s="4"/>
      <c r="P3926" s="4"/>
    </row>
    <row r="3927" ht="15.75" hidden="1" customHeight="1">
      <c r="B3927" s="8">
        <v>4246.0</v>
      </c>
      <c r="C3927" s="9">
        <v>43363.0</v>
      </c>
      <c r="D3927" s="6" t="s">
        <v>5047</v>
      </c>
      <c r="E3927" s="4">
        <v>6.10900117E9</v>
      </c>
      <c r="F3927" s="8" t="s">
        <v>604</v>
      </c>
      <c r="G3927" s="4" t="s">
        <v>2453</v>
      </c>
      <c r="H3927" s="10" t="s">
        <v>2587</v>
      </c>
      <c r="I3927" s="10">
        <v>5.0</v>
      </c>
      <c r="J3927" s="11" t="str">
        <f>IF(D3927&lt;&gt;"",VLOOKUP(H3927,TABLEITEM,5,FALSE),"")</f>
        <v>EA</v>
      </c>
      <c r="K3927" s="12">
        <v>149.63</v>
      </c>
      <c r="L3927" s="13" t="str">
        <f>IF(D3927&lt;&gt;"",VLOOKUP(H3927,TABLEITEM,2,FALSE),"")</f>
        <v/>
      </c>
      <c r="M3927" s="13" t="str">
        <f>IF(D3927&lt;&gt;"",VLOOKUP(H3927,TABLEITEM,3,FALSE),"")</f>
        <v>ดอกสว่านนาซิ L/N 500 10.0mm</v>
      </c>
      <c r="N3927" s="14">
        <f>INSTOCK!$I3927*INSTOCK!$K3927</f>
        <v>748.15</v>
      </c>
      <c r="O3927" s="4"/>
      <c r="P3927" s="4"/>
    </row>
    <row r="3928" ht="15.75" hidden="1" customHeight="1">
      <c r="B3928" s="8">
        <v>4247.0</v>
      </c>
      <c r="C3928" s="9">
        <v>43362.0</v>
      </c>
      <c r="D3928" s="6">
        <v>6193620.0</v>
      </c>
      <c r="E3928" s="4">
        <v>6.109001133E9</v>
      </c>
      <c r="F3928" s="8" t="s">
        <v>5048</v>
      </c>
      <c r="G3928" s="4" t="s">
        <v>5049</v>
      </c>
      <c r="H3928" s="10" t="s">
        <v>5050</v>
      </c>
      <c r="I3928" s="10">
        <v>1.0</v>
      </c>
      <c r="J3928" s="11" t="str">
        <f>IF(D3928&lt;&gt;"",VLOOKUP(H3928,TABLEITEM,5,FALSE),"")</f>
        <v>EA</v>
      </c>
      <c r="K3928" s="12">
        <v>424.0</v>
      </c>
      <c r="L3928" s="13" t="str">
        <f>IF(D3928&lt;&gt;"",VLOOKUP(H3928,TABLEITEM,2,FALSE),"")</f>
        <v/>
      </c>
      <c r="M3928" s="13" t="str">
        <f>IF(D3928&lt;&gt;"",VLOOKUP(H3928,TABLEITEM,3,FALSE),"")</f>
        <v>1PH SW.XFMR 220V 50Hz/24V 50VA (TR-0107)</v>
      </c>
      <c r="N3928" s="14">
        <f>INSTOCK!$I3928*INSTOCK!$K3928</f>
        <v>424</v>
      </c>
      <c r="O3928" s="4"/>
      <c r="P3928" s="4"/>
    </row>
    <row r="3929" ht="15.75" hidden="1" customHeight="1">
      <c r="B3929" s="8">
        <v>4248.0</v>
      </c>
      <c r="C3929" s="9">
        <v>43362.0</v>
      </c>
      <c r="D3929" s="6">
        <v>6193620.0</v>
      </c>
      <c r="E3929" s="4">
        <v>6.109001133E9</v>
      </c>
      <c r="F3929" s="8" t="s">
        <v>5048</v>
      </c>
      <c r="G3929" s="4" t="s">
        <v>5049</v>
      </c>
      <c r="H3929" s="10" t="s">
        <v>5051</v>
      </c>
      <c r="I3929" s="10">
        <v>1.0</v>
      </c>
      <c r="J3929" s="11" t="str">
        <f>IF(D3929&lt;&gt;"",VLOOKUP(H3929,TABLEITEM,5,FALSE),"")</f>
        <v>EA</v>
      </c>
      <c r="K3929" s="12">
        <v>2320.0</v>
      </c>
      <c r="L3929" s="13" t="str">
        <f>IF(D3929&lt;&gt;"",VLOOKUP(H3929,TABLEITEM,2,FALSE),"")</f>
        <v/>
      </c>
      <c r="M3929" s="13" t="str">
        <f>IF(D3929&lt;&gt;"",VLOOKUP(H3929,TABLEITEM,3,FALSE),"")</f>
        <v>1PH SW.XFMR 380V 50Hz/220V 500VA (TR-0052)</v>
      </c>
      <c r="N3929" s="14">
        <f>INSTOCK!$I3929*INSTOCK!$K3929</f>
        <v>2320</v>
      </c>
      <c r="O3929" s="4"/>
      <c r="P3929" s="4"/>
    </row>
    <row r="3930" ht="15.75" hidden="1" customHeight="1">
      <c r="B3930" s="8">
        <v>4249.0</v>
      </c>
      <c r="C3930" s="9">
        <v>43331.0</v>
      </c>
      <c r="D3930" s="6" t="s">
        <v>5052</v>
      </c>
      <c r="E3930" s="4">
        <v>6.109001159E9</v>
      </c>
      <c r="F3930" s="8" t="s">
        <v>604</v>
      </c>
      <c r="G3930" s="4" t="s">
        <v>1870</v>
      </c>
      <c r="H3930" s="10" t="s">
        <v>3706</v>
      </c>
      <c r="I3930" s="10">
        <v>2000.0</v>
      </c>
      <c r="J3930" s="11" t="str">
        <f>IF(D3930&lt;&gt;"",VLOOKUP(H3930,TABLEITEM,5,FALSE),"")</f>
        <v>EA</v>
      </c>
      <c r="K3930" s="12">
        <v>1.87</v>
      </c>
      <c r="L3930" s="13" t="str">
        <f>IF(D3930&lt;&gt;"",VLOOKUP(H3930,TABLEITEM,2,FALSE),"")</f>
        <v/>
      </c>
      <c r="M3930" s="13" t="str">
        <f>IF(D3930&lt;&gt;"",VLOOKUP(H3930,TABLEITEM,3,FALSE),"")</f>
        <v>สกรูหัวเหลี่ยม M10x25  HDG</v>
      </c>
      <c r="N3930" s="14">
        <f>INSTOCK!$I3930*INSTOCK!$K3930</f>
        <v>3740</v>
      </c>
      <c r="O3930" s="4" t="s">
        <v>4614</v>
      </c>
      <c r="P3930" s="4"/>
    </row>
    <row r="3931" ht="15.75" hidden="1" customHeight="1">
      <c r="B3931" s="8">
        <v>4250.0</v>
      </c>
      <c r="C3931" s="9">
        <v>43362.0</v>
      </c>
      <c r="D3931" s="6" t="s">
        <v>5053</v>
      </c>
      <c r="E3931" s="4">
        <v>6.109001161E9</v>
      </c>
      <c r="F3931" s="8" t="s">
        <v>604</v>
      </c>
      <c r="G3931" s="4" t="s">
        <v>965</v>
      </c>
      <c r="H3931" s="10" t="s">
        <v>42</v>
      </c>
      <c r="I3931" s="10">
        <v>2.0</v>
      </c>
      <c r="J3931" s="11" t="str">
        <f>IF(D3931&lt;&gt;"",VLOOKUP(H3931,TABLEITEM,5,FALSE),"")</f>
        <v>กล.</v>
      </c>
      <c r="K3931" s="12">
        <v>250.0</v>
      </c>
      <c r="L3931" s="13" t="str">
        <f>IF(D3931&lt;&gt;"",VLOOKUP(H3931,TABLEITEM,2,FALSE),"")</f>
        <v/>
      </c>
      <c r="M3931" s="13" t="str">
        <f>IF(D3931&lt;&gt;"",VLOOKUP(H3931,TABLEITEM,3,FALSE),"")</f>
        <v>แอลกอฮอลดีพิเศษ</v>
      </c>
      <c r="N3931" s="14">
        <f>INSTOCK!$I3931*INSTOCK!$K3931</f>
        <v>500</v>
      </c>
      <c r="O3931" s="4"/>
      <c r="P3931" s="4"/>
    </row>
    <row r="3932" ht="15.75" hidden="1" customHeight="1">
      <c r="B3932" s="8">
        <v>4251.0</v>
      </c>
      <c r="C3932" s="9">
        <v>43362.0</v>
      </c>
      <c r="D3932" s="6" t="s">
        <v>5053</v>
      </c>
      <c r="E3932" s="4">
        <v>6.109001161E9</v>
      </c>
      <c r="F3932" s="8" t="s">
        <v>604</v>
      </c>
      <c r="G3932" s="4" t="s">
        <v>965</v>
      </c>
      <c r="H3932" s="10" t="s">
        <v>60</v>
      </c>
      <c r="I3932" s="10">
        <v>4.0</v>
      </c>
      <c r="J3932" s="11" t="str">
        <f>IF(D3932&lt;&gt;"",VLOOKUP(H3932,TABLEITEM,5,FALSE),"")</f>
        <v>EA</v>
      </c>
      <c r="K3932" s="12">
        <v>65.0</v>
      </c>
      <c r="L3932" s="13" t="str">
        <f>IF(D3932&lt;&gt;"",VLOOKUP(H3932,TABLEITEM,2,FALSE),"")</f>
        <v/>
      </c>
      <c r="M3932" s="13" t="str">
        <f>IF(D3932&lt;&gt;"",VLOOKUP(H3932,TABLEITEM,3,FALSE),"")</f>
        <v>กาวยาง</v>
      </c>
      <c r="N3932" s="14">
        <f>INSTOCK!$I3932*INSTOCK!$K3932</f>
        <v>260</v>
      </c>
      <c r="O3932" s="4"/>
      <c r="P3932" s="4"/>
    </row>
    <row r="3933" ht="15.75" hidden="1" customHeight="1">
      <c r="B3933" s="8">
        <v>4252.0</v>
      </c>
      <c r="C3933" s="9">
        <v>43362.0</v>
      </c>
      <c r="D3933" s="6" t="s">
        <v>5054</v>
      </c>
      <c r="E3933" s="4">
        <v>6.109001164E9</v>
      </c>
      <c r="F3933" s="8" t="s">
        <v>1595</v>
      </c>
      <c r="G3933" s="4" t="s">
        <v>1485</v>
      </c>
      <c r="H3933" s="10" t="s">
        <v>1583</v>
      </c>
      <c r="I3933" s="10">
        <v>25.0</v>
      </c>
      <c r="J3933" s="11" t="str">
        <f>IF(D3933&lt;&gt;"",VLOOKUP(H3933,TABLEITEM,5,FALSE),"")</f>
        <v>EA</v>
      </c>
      <c r="K3933" s="12">
        <v>145.55</v>
      </c>
      <c r="L3933" s="13" t="str">
        <f>IF(D3933&lt;&gt;"",VLOOKUP(H3933,TABLEITEM,2,FALSE),"")</f>
        <v/>
      </c>
      <c r="M3933" s="13" t="str">
        <f>IF(D3933&lt;&gt;"",VLOOKUP(H3933,TABLEITEM,3,FALSE),"")</f>
        <v>HARMONY XB4 SELECTOR SWITCH ZB4BD3</v>
      </c>
      <c r="N3933" s="14">
        <f>INSTOCK!$I3933*INSTOCK!$K3933</f>
        <v>3638.75</v>
      </c>
      <c r="O3933" s="4"/>
      <c r="P3933" s="4"/>
    </row>
    <row r="3934" ht="15.75" hidden="1" customHeight="1">
      <c r="B3934" s="8">
        <v>4253.0</v>
      </c>
      <c r="C3934" s="9">
        <v>43362.0</v>
      </c>
      <c r="D3934" s="6" t="s">
        <v>5054</v>
      </c>
      <c r="E3934" s="4">
        <v>6.109001164E9</v>
      </c>
      <c r="F3934" s="8" t="s">
        <v>1595</v>
      </c>
      <c r="G3934" s="4" t="s">
        <v>1485</v>
      </c>
      <c r="H3934" s="10" t="s">
        <v>1584</v>
      </c>
      <c r="I3934" s="10">
        <v>25.0</v>
      </c>
      <c r="J3934" s="11" t="str">
        <f>IF(D3934&lt;&gt;"",VLOOKUP(H3934,TABLEITEM,5,FALSE),"")</f>
        <v>EA</v>
      </c>
      <c r="K3934" s="12">
        <v>125.05</v>
      </c>
      <c r="L3934" s="13" t="str">
        <f>IF(D3934&lt;&gt;"",VLOOKUP(H3934,TABLEITEM,2,FALSE),"")</f>
        <v/>
      </c>
      <c r="M3934" s="13" t="str">
        <f>IF(D3934&lt;&gt;"",VLOOKUP(H3934,TABLEITEM,3,FALSE),"")</f>
        <v>HARMONY XB4 SINGLE CONTACT ZB4BZ101</v>
      </c>
      <c r="N3934" s="14">
        <f>INSTOCK!$I3934*INSTOCK!$K3934</f>
        <v>3126.25</v>
      </c>
      <c r="O3934" s="4"/>
      <c r="P3934" s="4"/>
    </row>
    <row r="3935" ht="15.75" hidden="1" customHeight="1">
      <c r="B3935" s="8">
        <v>4254.0</v>
      </c>
      <c r="C3935" s="9">
        <v>43362.0</v>
      </c>
      <c r="D3935" s="6" t="s">
        <v>5054</v>
      </c>
      <c r="E3935" s="4">
        <v>6.109001164E9</v>
      </c>
      <c r="F3935" s="8" t="s">
        <v>1595</v>
      </c>
      <c r="G3935" s="4" t="s">
        <v>1485</v>
      </c>
      <c r="H3935" s="10" t="s">
        <v>4342</v>
      </c>
      <c r="I3935" s="10">
        <v>28.0</v>
      </c>
      <c r="J3935" s="11" t="str">
        <f>IF(D3935&lt;&gt;"",VLOOKUP(H3935,TABLEITEM,5,FALSE),"")</f>
        <v>EA</v>
      </c>
      <c r="K3935" s="12">
        <v>307.5</v>
      </c>
      <c r="L3935" s="13" t="str">
        <f>IF(D3935&lt;&gt;"",VLOOKUP(H3935,TABLEITEM,2,FALSE),"")</f>
        <v/>
      </c>
      <c r="M3935" s="13" t="str">
        <f>IF(D3935&lt;&gt;"",VLOOKUP(H3935,TABLEITEM,3,FALSE),"")</f>
        <v>PUSHBUTTON XB4BS844</v>
      </c>
      <c r="N3935" s="14">
        <f>INSTOCK!$I3935*INSTOCK!$K3935</f>
        <v>8610</v>
      </c>
      <c r="O3935" s="4"/>
      <c r="P3935" s="4"/>
    </row>
    <row r="3936" ht="15.75" hidden="1" customHeight="1">
      <c r="B3936" s="8">
        <v>4255.0</v>
      </c>
      <c r="C3936" s="9">
        <v>43362.0</v>
      </c>
      <c r="D3936" s="6" t="s">
        <v>5054</v>
      </c>
      <c r="E3936" s="4">
        <v>6.109001164E9</v>
      </c>
      <c r="F3936" s="8" t="s">
        <v>1595</v>
      </c>
      <c r="G3936" s="4" t="s">
        <v>1485</v>
      </c>
      <c r="H3936" s="10" t="s">
        <v>1742</v>
      </c>
      <c r="I3936" s="10">
        <v>28.0</v>
      </c>
      <c r="J3936" s="11" t="str">
        <f>IF(D3936&lt;&gt;"",VLOOKUP(H3936,TABLEITEM,5,FALSE),"")</f>
        <v>EA</v>
      </c>
      <c r="K3936" s="12">
        <v>125.05</v>
      </c>
      <c r="L3936" s="13" t="str">
        <f>IF(D3936&lt;&gt;"",VLOOKUP(H3936,TABLEITEM,2,FALSE),"")</f>
        <v/>
      </c>
      <c r="M3936" s="13" t="str">
        <f>IF(D3936&lt;&gt;"",VLOOKUP(H3936,TABLEITEM,3,FALSE),"")</f>
        <v>HARMONY XB4 SINGER CONTACT BLOCK ZB4BZ102</v>
      </c>
      <c r="N3936" s="14">
        <f>INSTOCK!$I3936*INSTOCK!$K3936</f>
        <v>3501.4</v>
      </c>
      <c r="O3936" s="4"/>
      <c r="P3936" s="4"/>
    </row>
    <row r="3937" ht="15.75" hidden="1" customHeight="1">
      <c r="B3937" s="8">
        <v>4256.0</v>
      </c>
      <c r="C3937" s="9">
        <v>43362.0</v>
      </c>
      <c r="D3937" s="6" t="s">
        <v>5054</v>
      </c>
      <c r="E3937" s="4">
        <v>6.109001164E9</v>
      </c>
      <c r="F3937" s="8" t="s">
        <v>1595</v>
      </c>
      <c r="G3937" s="4" t="s">
        <v>1485</v>
      </c>
      <c r="H3937" s="10" t="s">
        <v>1743</v>
      </c>
      <c r="I3937" s="10">
        <v>40.0</v>
      </c>
      <c r="J3937" s="11" t="str">
        <f>IF(D3937&lt;&gt;"",VLOOKUP(H3937,TABLEITEM,5,FALSE),"")</f>
        <v>EA</v>
      </c>
      <c r="K3937" s="12">
        <v>65.6</v>
      </c>
      <c r="L3937" s="13" t="str">
        <f>IF(D3937&lt;&gt;"",VLOOKUP(H3937,TABLEITEM,2,FALSE),"")</f>
        <v/>
      </c>
      <c r="M3937" s="13" t="str">
        <f>IF(D3937&lt;&gt;"",VLOOKUP(H3937,TABLEITEM,3,FALSE),"")</f>
        <v>SINGLE CONTACT BLOCK #22 1NO ZBE101</v>
      </c>
      <c r="N3937" s="14">
        <f>INSTOCK!$I3937*INSTOCK!$K3937</f>
        <v>2624</v>
      </c>
      <c r="O3937" s="4"/>
      <c r="P3937" s="4"/>
    </row>
    <row r="3938" ht="15.75" hidden="1" customHeight="1">
      <c r="B3938" s="8">
        <v>4257.0</v>
      </c>
      <c r="C3938" s="9">
        <v>43362.0</v>
      </c>
      <c r="D3938" s="6" t="s">
        <v>5055</v>
      </c>
      <c r="E3938" s="4">
        <v>6.109001165E9</v>
      </c>
      <c r="F3938" s="8"/>
      <c r="G3938" s="4" t="s">
        <v>1516</v>
      </c>
      <c r="H3938" s="10" t="s">
        <v>3503</v>
      </c>
      <c r="I3938" s="10">
        <v>20.0</v>
      </c>
      <c r="J3938" s="11" t="str">
        <f>IF(D3938&lt;&gt;"",VLOOKUP(H3938,TABLEITEM,5,FALSE),"")</f>
        <v>EA</v>
      </c>
      <c r="K3938" s="12">
        <v>610.6</v>
      </c>
      <c r="L3938" s="13" t="str">
        <f>IF(D3938&lt;&gt;"",VLOOKUP(H3938,TABLEITEM,2,FALSE),"")</f>
        <v/>
      </c>
      <c r="M3938" s="13" t="str">
        <f>IF(D3938&lt;&gt;"",VLOOKUP(H3938,TABLEITEM,3,FALSE),"")</f>
        <v>PUSHBUTTON XB4BW33B5 1N/O 1N/C24V GREEN </v>
      </c>
      <c r="N3938" s="14">
        <f>INSTOCK!$I3938*INSTOCK!$K3938</f>
        <v>12212</v>
      </c>
      <c r="O3938" s="4" t="s">
        <v>5056</v>
      </c>
      <c r="P3938" s="4"/>
    </row>
    <row r="3939" ht="15.75" hidden="1" customHeight="1">
      <c r="B3939" s="8">
        <v>4258.0</v>
      </c>
      <c r="C3939" s="9">
        <v>43362.0</v>
      </c>
      <c r="D3939" s="6" t="s">
        <v>5057</v>
      </c>
      <c r="E3939" s="4">
        <v>6.109001086E9</v>
      </c>
      <c r="F3939" s="8"/>
      <c r="G3939" s="4" t="s">
        <v>1516</v>
      </c>
      <c r="H3939" s="10" t="s">
        <v>5058</v>
      </c>
      <c r="I3939" s="10">
        <v>20.0</v>
      </c>
      <c r="J3939" s="11" t="str">
        <f>IF(D3939&lt;&gt;"",VLOOKUP(H3939,TABLEITEM,5,FALSE),"")</f>
        <v>EA</v>
      </c>
      <c r="K3939" s="12">
        <v>225.0</v>
      </c>
      <c r="L3939" s="13" t="str">
        <f>IF(D3939&lt;&gt;"",VLOOKUP(H3939,TABLEITEM,2,FALSE),"")</f>
        <v/>
      </c>
      <c r="M3939" s="13" t="str">
        <f>IF(D3939&lt;&gt;"",VLOOKUP(H3939,TABLEITEM,3,FALSE),"")</f>
        <v>MINIATURE CIRCUIYT B IC60H 1P 20A</v>
      </c>
      <c r="N3939" s="14">
        <f>INSTOCK!$I3939*INSTOCK!$K3939</f>
        <v>4500</v>
      </c>
      <c r="O3939" s="4" t="s">
        <v>5059</v>
      </c>
      <c r="P3939" s="4"/>
    </row>
    <row r="3940" ht="15.75" hidden="1" customHeight="1">
      <c r="B3940" s="8">
        <v>4259.0</v>
      </c>
      <c r="C3940" s="9">
        <v>43362.0</v>
      </c>
      <c r="D3940" s="6" t="s">
        <v>5057</v>
      </c>
      <c r="E3940" s="4">
        <v>6.109001086E9</v>
      </c>
      <c r="F3940" s="8"/>
      <c r="G3940" s="4" t="s">
        <v>1516</v>
      </c>
      <c r="H3940" s="10" t="s">
        <v>5060</v>
      </c>
      <c r="I3940" s="10">
        <v>7.0</v>
      </c>
      <c r="J3940" s="11" t="str">
        <f>IF(D3940&lt;&gt;"",VLOOKUP(H3940,TABLEITEM,5,FALSE),"")</f>
        <v>EA</v>
      </c>
      <c r="K3940" s="12">
        <v>225.0</v>
      </c>
      <c r="L3940" s="13" t="str">
        <f>IF(D3940&lt;&gt;"",VLOOKUP(H3940,TABLEITEM,2,FALSE),"")</f>
        <v/>
      </c>
      <c r="M3940" s="13" t="str">
        <f>IF(D3940&lt;&gt;"",VLOOKUP(H3940,TABLEITEM,3,FALSE),"")</f>
        <v>MINIATURE CIRCUIYT B IC60H 1P 10A</v>
      </c>
      <c r="N3940" s="14">
        <f>INSTOCK!$I3940*INSTOCK!$K3940</f>
        <v>1575</v>
      </c>
      <c r="O3940" s="4" t="s">
        <v>5059</v>
      </c>
      <c r="P3940" s="4"/>
    </row>
    <row r="3941" ht="15.75" hidden="1" customHeight="1">
      <c r="B3941" s="8">
        <v>4260.0</v>
      </c>
      <c r="C3941" s="9">
        <v>43362.0</v>
      </c>
      <c r="D3941" s="6" t="s">
        <v>5061</v>
      </c>
      <c r="E3941" s="4">
        <v>6.109001119E9</v>
      </c>
      <c r="F3941" s="8" t="s">
        <v>604</v>
      </c>
      <c r="G3941" s="4" t="s">
        <v>1777</v>
      </c>
      <c r="H3941" s="10" t="s">
        <v>4247</v>
      </c>
      <c r="I3941" s="10">
        <v>3000.0</v>
      </c>
      <c r="J3941" s="11" t="str">
        <f>IF(D3941&lt;&gt;"",VLOOKUP(H3941,TABLEITEM,5,FALSE),"")</f>
        <v>EA</v>
      </c>
      <c r="K3941" s="12">
        <v>2.73</v>
      </c>
      <c r="L3941" s="13" t="str">
        <f>IF(D3941&lt;&gt;"",VLOOKUP(H3941,TABLEITEM,2,FALSE),"")</f>
        <v/>
      </c>
      <c r="M3941" s="13" t="str">
        <f>IF(D3941&lt;&gt;"",VLOOKUP(H3941,TABLEITEM,3,FALSE),"")</f>
        <v>สกรูหัวเหลี่ยม M10x35  HDG</v>
      </c>
      <c r="N3941" s="14">
        <f>INSTOCK!$I3941*INSTOCK!$K3941</f>
        <v>8190</v>
      </c>
      <c r="O3941" s="4" t="s">
        <v>4248</v>
      </c>
      <c r="P3941" s="4"/>
    </row>
    <row r="3942" ht="15.75" hidden="1" customHeight="1">
      <c r="B3942" s="8">
        <v>4261.0</v>
      </c>
      <c r="C3942" s="9">
        <v>43361.0</v>
      </c>
      <c r="D3942" s="6" t="s">
        <v>5062</v>
      </c>
      <c r="E3942" s="4">
        <v>6.108000998E9</v>
      </c>
      <c r="F3942" s="8" t="s">
        <v>604</v>
      </c>
      <c r="G3942" s="4" t="s">
        <v>3099</v>
      </c>
      <c r="H3942" s="10" t="s">
        <v>4659</v>
      </c>
      <c r="I3942" s="10">
        <v>1000.0</v>
      </c>
      <c r="J3942" s="11" t="str">
        <f>IF(D3942&lt;&gt;"",VLOOKUP(H3942,TABLEITEM,5,FALSE),"")</f>
        <v>EA</v>
      </c>
      <c r="K3942" s="12">
        <v>10.3</v>
      </c>
      <c r="L3942" s="13" t="str">
        <f>IF(D3942&lt;&gt;"",VLOOKUP(H3942,TABLEITEM,2,FALSE),"")</f>
        <v/>
      </c>
      <c r="M3942" s="13" t="str">
        <f>IF(D3942&lt;&gt;"",VLOOKUP(H3942,TABLEITEM,3,FALSE),"")</f>
        <v>ชุด STOPER WITH ROOLER#001 ชุบขาว</v>
      </c>
      <c r="N3942" s="14">
        <f>INSTOCK!$I3942*INSTOCK!$K3942</f>
        <v>10300</v>
      </c>
      <c r="O3942" s="4"/>
      <c r="P3942" s="4"/>
    </row>
    <row r="3943" ht="15.75" hidden="1" customHeight="1">
      <c r="B3943" s="8">
        <v>4262.0</v>
      </c>
      <c r="C3943" s="9">
        <v>43361.0</v>
      </c>
      <c r="D3943" s="6" t="s">
        <v>5063</v>
      </c>
      <c r="E3943" s="4">
        <v>6.109001146E9</v>
      </c>
      <c r="F3943" s="8" t="s">
        <v>5064</v>
      </c>
      <c r="G3943" s="4" t="s">
        <v>1446</v>
      </c>
      <c r="H3943" s="10" t="s">
        <v>5065</v>
      </c>
      <c r="I3943" s="10">
        <v>2.0</v>
      </c>
      <c r="J3943" s="11" t="str">
        <f>IF(D3943&lt;&gt;"",VLOOKUP(H3943,TABLEITEM,5,FALSE),"")</f>
        <v>EA</v>
      </c>
      <c r="K3943" s="12">
        <v>390.0</v>
      </c>
      <c r="L3943" s="13" t="str">
        <f>IF(D3943&lt;&gt;"",VLOOKUP(H3943,TABLEITEM,2,FALSE),"")</f>
        <v/>
      </c>
      <c r="M3943" s="13" t="str">
        <f>IF(D3943&lt;&gt;"",VLOOKUP(H3943,TABLEITEM,3,FALSE),"")</f>
        <v>เทอร์โมคัปเปิ้ล TC 402 </v>
      </c>
      <c r="N3943" s="14">
        <f>INSTOCK!$I3943*INSTOCK!$K3943</f>
        <v>780</v>
      </c>
      <c r="O3943" s="4" t="s">
        <v>5066</v>
      </c>
      <c r="P3943" s="4"/>
    </row>
    <row r="3944" ht="15.75" hidden="1" customHeight="1">
      <c r="B3944" s="8">
        <v>4263.0</v>
      </c>
      <c r="C3944" s="9">
        <v>43361.0</v>
      </c>
      <c r="D3944" s="6" t="s">
        <v>5067</v>
      </c>
      <c r="E3944" s="4">
        <v>6.109001125E9</v>
      </c>
      <c r="F3944" s="8" t="s">
        <v>5068</v>
      </c>
      <c r="G3944" s="4" t="s">
        <v>5069</v>
      </c>
      <c r="H3944" s="10" t="s">
        <v>5070</v>
      </c>
      <c r="I3944" s="10">
        <v>1.0</v>
      </c>
      <c r="J3944" s="11" t="str">
        <f>IF(D3944&lt;&gt;"",VLOOKUP(H3944,TABLEITEM,5,FALSE),"")</f>
        <v>EA</v>
      </c>
      <c r="K3944" s="12">
        <v>2750.0</v>
      </c>
      <c r="L3944" s="13" t="str">
        <f>IF(D3944&lt;&gt;"",VLOOKUP(H3944,TABLEITEM,2,FALSE),"")</f>
        <v/>
      </c>
      <c r="M3944" s="13" t="str">
        <f>IF(D3944&lt;&gt;"",VLOOKUP(H3944,TABLEITEM,3,FALSE),"")</f>
        <v>BUSTER 03 (25KG)</v>
      </c>
      <c r="N3944" s="14">
        <f>INSTOCK!$I3944*INSTOCK!$K3944</f>
        <v>2750</v>
      </c>
      <c r="O3944" s="4"/>
      <c r="P3944" s="4"/>
    </row>
    <row r="3945" ht="15.75" hidden="1" customHeight="1">
      <c r="B3945" s="8">
        <v>4264.0</v>
      </c>
      <c r="C3945" s="9">
        <v>43629.0</v>
      </c>
      <c r="D3945" s="6" t="s">
        <v>5071</v>
      </c>
      <c r="E3945" s="4">
        <v>6.206000885E9</v>
      </c>
      <c r="F3945" s="8" t="s">
        <v>5072</v>
      </c>
      <c r="G3945" s="4" t="s">
        <v>702</v>
      </c>
      <c r="H3945" s="10" t="s">
        <v>779</v>
      </c>
      <c r="I3945" s="10">
        <v>100.0</v>
      </c>
      <c r="J3945" s="11" t="str">
        <f>IF(D3945&lt;&gt;"",VLOOKUP(H3945,TABLEITEM,5,FALSE),"")</f>
        <v>KG.</v>
      </c>
      <c r="K3945" s="12">
        <v>130.0</v>
      </c>
      <c r="L3945" s="13" t="str">
        <f>IF(D3945&lt;&gt;"",VLOOKUP(H3945,TABLEITEM,2,FALSE),"")</f>
        <v/>
      </c>
      <c r="M3945" s="13" t="str">
        <f>IF(D3945&lt;&gt;"",VLOOKUP(H3945,TABLEITEM,3,FALSE),"")</f>
        <v>สีฝุ่น FF110/948/C สีครีม</v>
      </c>
      <c r="N3945" s="14">
        <f>INSTOCK!$I3945*INSTOCK!$K3945</f>
        <v>13000</v>
      </c>
      <c r="O3945" s="4"/>
      <c r="P3945" s="4"/>
    </row>
    <row r="3946" ht="15.75" hidden="1" customHeight="1">
      <c r="B3946" s="8">
        <v>4265.0</v>
      </c>
      <c r="C3946" s="9">
        <v>43628.0</v>
      </c>
      <c r="D3946" s="6" t="s">
        <v>5073</v>
      </c>
      <c r="E3946" s="4">
        <v>6.206000876E9</v>
      </c>
      <c r="F3946" s="8" t="s">
        <v>604</v>
      </c>
      <c r="G3946" s="4" t="s">
        <v>665</v>
      </c>
      <c r="H3946" s="10" t="s">
        <v>462</v>
      </c>
      <c r="I3946" s="10">
        <v>1500.0</v>
      </c>
      <c r="J3946" s="11" t="str">
        <f>IF(D3946&lt;&gt;"",VLOOKUP(H3946,TABLEITEM,5,FALSE),"")</f>
        <v>M</v>
      </c>
      <c r="K3946" s="12">
        <v>5.0</v>
      </c>
      <c r="L3946" s="13" t="str">
        <f>IF(D3946&lt;&gt;"",VLOOKUP(H3946,TABLEITEM,2,FALSE),"")</f>
        <v>wire</v>
      </c>
      <c r="M3946" s="13" t="str">
        <f>IF(D3946&lt;&gt;"",VLOOKUP(H3946,TABLEITEM,3,FALSE),"")</f>
        <v>สายไฟ VSF1x1 SQMM.สีเหลือง</v>
      </c>
      <c r="N3946" s="14">
        <f>INSTOCK!$I3946*INSTOCK!$K3946</f>
        <v>7500</v>
      </c>
      <c r="O3946" s="4"/>
      <c r="P3946" s="4"/>
    </row>
    <row r="3947" ht="15.75" hidden="1" customHeight="1">
      <c r="B3947" s="8">
        <v>4266.0</v>
      </c>
      <c r="C3947" s="9">
        <v>43628.0</v>
      </c>
      <c r="D3947" s="6" t="s">
        <v>5073</v>
      </c>
      <c r="E3947" s="4">
        <v>6.206000876E9</v>
      </c>
      <c r="F3947" s="8" t="s">
        <v>604</v>
      </c>
      <c r="G3947" s="4" t="s">
        <v>665</v>
      </c>
      <c r="H3947" s="10" t="s">
        <v>479</v>
      </c>
      <c r="I3947" s="10">
        <v>1000.0</v>
      </c>
      <c r="J3947" s="11" t="str">
        <f>IF(D3947&lt;&gt;"",VLOOKUP(H3947,TABLEITEM,5,FALSE),"")</f>
        <v>M</v>
      </c>
      <c r="K3947" s="12">
        <v>9.8</v>
      </c>
      <c r="L3947" s="13" t="str">
        <f>IF(D3947&lt;&gt;"",VLOOKUP(H3947,TABLEITEM,2,FALSE),"")</f>
        <v>wire</v>
      </c>
      <c r="M3947" s="13" t="str">
        <f>IF(D3947&lt;&gt;"",VLOOKUP(H3947,TABLEITEM,3,FALSE),"")</f>
        <v>สายไฟ VSF1x2.5 SQMM.สีเหลือง</v>
      </c>
      <c r="N3947" s="14">
        <f>INSTOCK!$I3947*INSTOCK!$K3947</f>
        <v>9800</v>
      </c>
      <c r="O3947" s="4"/>
      <c r="P3947" s="4"/>
    </row>
    <row r="3948" ht="15.75" hidden="1" customHeight="1">
      <c r="B3948" s="8">
        <v>4267.0</v>
      </c>
      <c r="C3948" s="9">
        <v>43627.0</v>
      </c>
      <c r="D3948" s="6">
        <v>1620606.0</v>
      </c>
      <c r="E3948" s="4">
        <v>6.20600088E9</v>
      </c>
      <c r="F3948" s="8" t="s">
        <v>5074</v>
      </c>
      <c r="G3948" s="4" t="s">
        <v>4260</v>
      </c>
      <c r="H3948" s="10" t="s">
        <v>4261</v>
      </c>
      <c r="I3948" s="10">
        <v>1.0</v>
      </c>
      <c r="J3948" s="11" t="str">
        <f>IF(D3948&lt;&gt;"",VLOOKUP(H3948,TABLEITEM,5,FALSE),"")</f>
        <v>EA</v>
      </c>
      <c r="K3948" s="12">
        <v>21000.0</v>
      </c>
      <c r="L3948" s="13" t="str">
        <f>IF(D3948&lt;&gt;"",VLOOKUP(H3948,TABLEITEM,2,FALSE),"")</f>
        <v/>
      </c>
      <c r="M3948" s="13" t="str">
        <f>IF(D3948&lt;&gt;"",VLOOKUP(H3948,TABLEITEM,3,FALSE),"")</f>
        <v>ATS CONTROLLER COMPLETE OF FUNCTION OEC-01</v>
      </c>
      <c r="N3948" s="14">
        <f>INSTOCK!$I3948*INSTOCK!$K3948</f>
        <v>21000</v>
      </c>
      <c r="O3948" s="4"/>
      <c r="P3948" s="4"/>
    </row>
    <row r="3949" ht="15.75" hidden="1" customHeight="1">
      <c r="B3949" s="8">
        <v>4268.0</v>
      </c>
      <c r="C3949" s="9">
        <v>43628.0</v>
      </c>
      <c r="D3949" s="6" t="s">
        <v>5075</v>
      </c>
      <c r="E3949" s="4">
        <v>6.206000856E9</v>
      </c>
      <c r="F3949" s="8" t="s">
        <v>1989</v>
      </c>
      <c r="G3949" s="4" t="s">
        <v>1990</v>
      </c>
      <c r="H3949" s="10" t="s">
        <v>2441</v>
      </c>
      <c r="I3949" s="10">
        <v>2.0</v>
      </c>
      <c r="J3949" s="11" t="str">
        <f>IF(D3949&lt;&gt;"",VLOOKUP(H3949,TABLEITEM,5,FALSE),"")</f>
        <v>pack</v>
      </c>
      <c r="K3949" s="12">
        <v>90.0</v>
      </c>
      <c r="L3949" s="13" t="str">
        <f>IF(D3949&lt;&gt;"",VLOOKUP(H3949,TABLEITEM,2,FALSE),"")</f>
        <v/>
      </c>
      <c r="M3949" s="13" t="str">
        <f>IF(D3949&lt;&gt;"",VLOOKUP(H3949,TABLEITEM,3,FALSE),"")</f>
        <v>ป้ายสติ๊กเกอร์ ขาวเงา/มัน ไลเนอร์ LN-601(50แผ่น)</v>
      </c>
      <c r="N3949" s="14">
        <f>INSTOCK!$I3949*INSTOCK!$K3949</f>
        <v>180</v>
      </c>
      <c r="O3949" s="4"/>
      <c r="P3949" s="4"/>
    </row>
    <row r="3950" ht="15.75" hidden="1" customHeight="1">
      <c r="B3950" s="8">
        <v>4269.0</v>
      </c>
      <c r="C3950" s="9">
        <v>43628.0</v>
      </c>
      <c r="D3950" s="6" t="s">
        <v>5075</v>
      </c>
      <c r="E3950" s="4">
        <v>6.206000856E9</v>
      </c>
      <c r="F3950" s="8" t="s">
        <v>1989</v>
      </c>
      <c r="G3950" s="4" t="s">
        <v>1990</v>
      </c>
      <c r="H3950" s="10" t="s">
        <v>3033</v>
      </c>
      <c r="I3950" s="10">
        <v>2.0</v>
      </c>
      <c r="J3950" s="11" t="str">
        <f>IF(D3950&lt;&gt;"",VLOOKUP(H3950,TABLEITEM,5,FALSE),"")</f>
        <v>PACK</v>
      </c>
      <c r="K3950" s="12">
        <v>115.0</v>
      </c>
      <c r="L3950" s="13" t="str">
        <f>IF(D3950&lt;&gt;"",VLOOKUP(H3950,TABLEITEM,2,FALSE),"")</f>
        <v/>
      </c>
      <c r="M3950" s="13" t="str">
        <f>IF(D3950&lt;&gt;"",VLOOKUP(H3950,TABLEITEM,3,FALSE),"")</f>
        <v>กระดาษคาร์บอน ตรามม้า 4400 210x330มม.เขียน น้ำเงิน(100แผ่น)</v>
      </c>
      <c r="N3950" s="14">
        <f>INSTOCK!$I3950*INSTOCK!$K3950</f>
        <v>230</v>
      </c>
      <c r="O3950" s="4"/>
      <c r="P3950" s="4"/>
    </row>
    <row r="3951" ht="15.75" hidden="1" customHeight="1">
      <c r="B3951" s="8">
        <v>4270.0</v>
      </c>
      <c r="C3951" s="9">
        <v>43628.0</v>
      </c>
      <c r="D3951" s="6" t="s">
        <v>5075</v>
      </c>
      <c r="E3951" s="4">
        <v>6.206000856E9</v>
      </c>
      <c r="F3951" s="8" t="s">
        <v>1989</v>
      </c>
      <c r="G3951" s="4" t="s">
        <v>1990</v>
      </c>
      <c r="H3951" s="10" t="s">
        <v>2439</v>
      </c>
      <c r="I3951" s="10">
        <v>5.0</v>
      </c>
      <c r="J3951" s="11" t="str">
        <f>IF(D3951&lt;&gt;"",VLOOKUP(H3951,TABLEITEM,5,FALSE),"")</f>
        <v>EA</v>
      </c>
      <c r="K3951" s="12">
        <v>29.0</v>
      </c>
      <c r="L3951" s="13" t="str">
        <f>IF(D3951&lt;&gt;"",VLOOKUP(H3951,TABLEITEM,2,FALSE),"")</f>
        <v/>
      </c>
      <c r="M3951" s="13" t="str">
        <f>IF(D3951&lt;&gt;"",VLOOKUP(H3951,TABLEITEM,3,FALSE),"")</f>
        <v>ปากกาลบคำผิด ควอนตั้ม มารีนบลู 5มล.</v>
      </c>
      <c r="N3951" s="14">
        <f>INSTOCK!$I3951*INSTOCK!$K3951</f>
        <v>145</v>
      </c>
      <c r="O3951" s="4"/>
      <c r="P3951" s="4"/>
    </row>
    <row r="3952" ht="15.75" hidden="1" customHeight="1">
      <c r="B3952" s="8">
        <v>4271.0</v>
      </c>
      <c r="C3952" s="9">
        <v>43627.0</v>
      </c>
      <c r="D3952" s="6" t="s">
        <v>5076</v>
      </c>
      <c r="E3952" s="4">
        <v>6.206000877E9</v>
      </c>
      <c r="F3952" s="8" t="s">
        <v>604</v>
      </c>
      <c r="G3952" s="4" t="s">
        <v>1870</v>
      </c>
      <c r="H3952" s="10" t="s">
        <v>4466</v>
      </c>
      <c r="I3952" s="10">
        <v>1000.0</v>
      </c>
      <c r="J3952" s="11" t="str">
        <f>IF(D3952&lt;&gt;"",VLOOKUP(H3952,TABLEITEM,5,FALSE),"")</f>
        <v>EA</v>
      </c>
      <c r="K3952" s="12">
        <v>0.1043</v>
      </c>
      <c r="L3952" s="13" t="str">
        <f>IF(D3952&lt;&gt;"",VLOOKUP(H3952,TABLEITEM,2,FALSE),"")</f>
        <v/>
      </c>
      <c r="M3952" s="13" t="str">
        <f>IF(D3952&lt;&gt;"",VLOOKUP(H3952,TABLEITEM,3,FALSE),"")</f>
        <v>สกรูหัวกลมชุบขาว M4x15</v>
      </c>
      <c r="N3952" s="14">
        <f>INSTOCK!$I3952*INSTOCK!$K3952</f>
        <v>104.3</v>
      </c>
      <c r="O3952" s="4"/>
      <c r="P3952" s="4"/>
    </row>
    <row r="3953" ht="15.75" hidden="1" customHeight="1">
      <c r="B3953" s="8">
        <v>4272.0</v>
      </c>
      <c r="C3953" s="9">
        <v>43627.0</v>
      </c>
      <c r="D3953" s="6" t="s">
        <v>5076</v>
      </c>
      <c r="E3953" s="4">
        <v>6.206000877E9</v>
      </c>
      <c r="F3953" s="8" t="s">
        <v>604</v>
      </c>
      <c r="G3953" s="4" t="s">
        <v>1870</v>
      </c>
      <c r="H3953" s="10" t="s">
        <v>4538</v>
      </c>
      <c r="I3953" s="10">
        <v>2000.0</v>
      </c>
      <c r="J3953" s="11" t="str">
        <f>IF(D3953&lt;&gt;"",VLOOKUP(H3953,TABLEITEM,5,FALSE),"")</f>
        <v>EA</v>
      </c>
      <c r="K3953" s="12">
        <v>0.312</v>
      </c>
      <c r="L3953" s="13" t="str">
        <f>IF(D3953&lt;&gt;"",VLOOKUP(H3953,TABLEITEM,2,FALSE),"")</f>
        <v/>
      </c>
      <c r="M3953" s="13" t="str">
        <f>IF(D3953&lt;&gt;"",VLOOKUP(H3953,TABLEITEM,3,FALSE),"")</f>
        <v>สกรูสแตนเลสหัวร่ม M4x6</v>
      </c>
      <c r="N3953" s="14">
        <f>INSTOCK!$I3953*INSTOCK!$K3953</f>
        <v>624</v>
      </c>
      <c r="O3953" s="4"/>
      <c r="P3953" s="4"/>
    </row>
    <row r="3954" ht="15.75" hidden="1" customHeight="1">
      <c r="B3954" s="8">
        <v>4273.0</v>
      </c>
      <c r="C3954" s="9">
        <v>43628.0</v>
      </c>
      <c r="D3954" s="6" t="s">
        <v>5077</v>
      </c>
      <c r="E3954" s="4"/>
      <c r="F3954" s="8" t="s">
        <v>5078</v>
      </c>
      <c r="G3954" s="4" t="s">
        <v>3668</v>
      </c>
      <c r="H3954" s="10" t="s">
        <v>3983</v>
      </c>
      <c r="I3954" s="10">
        <v>2.0</v>
      </c>
      <c r="J3954" s="11" t="str">
        <f>IF(D3954&lt;&gt;"",VLOOKUP(H3954,TABLEITEM,5,FALSE),"")</f>
        <v>KG.</v>
      </c>
      <c r="K3954" s="12">
        <v>1300.0</v>
      </c>
      <c r="L3954" s="13" t="str">
        <f>IF(D3954&lt;&gt;"",VLOOKUP(H3954,TABLEITEM,2,FALSE),"")</f>
        <v/>
      </c>
      <c r="M3954" s="13" t="str">
        <f>IF(D3954&lt;&gt;"",VLOOKUP(H3954,TABLEITEM,3,FALSE),"")</f>
        <v>สีเพนการ์ด อีนาเมล STD 136 </v>
      </c>
      <c r="N3954" s="14">
        <f>INSTOCK!$I3954*INSTOCK!$K3954</f>
        <v>2600</v>
      </c>
      <c r="O3954" s="4"/>
      <c r="P3954" s="4"/>
    </row>
    <row r="3955" ht="15.75" hidden="1" customHeight="1">
      <c r="B3955" s="8">
        <v>4274.0</v>
      </c>
      <c r="C3955" s="9">
        <v>43628.0</v>
      </c>
      <c r="D3955" s="6" t="s">
        <v>5077</v>
      </c>
      <c r="E3955" s="4"/>
      <c r="F3955" s="8" t="s">
        <v>5078</v>
      </c>
      <c r="G3955" s="4" t="s">
        <v>3668</v>
      </c>
      <c r="H3955" s="18" t="s">
        <v>3985</v>
      </c>
      <c r="I3955" s="10">
        <v>2.0</v>
      </c>
      <c r="J3955" s="11" t="str">
        <f>IF(D3955&lt;&gt;"",VLOOKUP(H3955,TABLEITEM,5,FALSE),"")</f>
        <v>KG.</v>
      </c>
      <c r="K3955" s="12">
        <v>460.0</v>
      </c>
      <c r="L3955" s="13" t="str">
        <f>IF(D3955&lt;&gt;"",VLOOKUP(H3955,TABLEITEM,2,FALSE),"")</f>
        <v/>
      </c>
      <c r="M3955" s="13" t="str">
        <f>IF(D3955&lt;&gt;"",VLOOKUP(H3955,TABLEITEM,3,FALSE),"")</f>
        <v>ทินเนอร์ #17 โจตัน</v>
      </c>
      <c r="N3955" s="14">
        <f>INSTOCK!$I3955*INSTOCK!$K3955</f>
        <v>920</v>
      </c>
      <c r="O3955" s="4"/>
      <c r="P3955" s="4"/>
    </row>
    <row r="3956" ht="15.75" hidden="1" customHeight="1">
      <c r="B3956" s="8">
        <v>4275.0</v>
      </c>
      <c r="C3956" s="9">
        <v>43629.0</v>
      </c>
      <c r="D3956" s="6" t="s">
        <v>5079</v>
      </c>
      <c r="E3956" s="4">
        <v>6.206000881E9</v>
      </c>
      <c r="F3956" s="8" t="s">
        <v>2449</v>
      </c>
      <c r="G3956" s="4" t="s">
        <v>1985</v>
      </c>
      <c r="H3956" s="10" t="s">
        <v>2557</v>
      </c>
      <c r="I3956" s="10">
        <v>1.0</v>
      </c>
      <c r="J3956" s="11" t="str">
        <f>IF(D3956&lt;&gt;"",VLOOKUP(H3956,TABLEITEM,5,FALSE),"")</f>
        <v>คู่</v>
      </c>
      <c r="K3956" s="12">
        <v>560.0</v>
      </c>
      <c r="L3956" s="13" t="str">
        <f>IF(D3956&lt;&gt;"",VLOOKUP(H3956,TABLEITEM,2,FALSE),"")</f>
        <v/>
      </c>
      <c r="M3956" s="13" t="str">
        <f>IF(D3956&lt;&gt;"",VLOOKUP(H3956,TABLEITEM,3,FALSE),"")</f>
        <v>รองเท้าหุ้มส้นพื้นยาง CB800</v>
      </c>
      <c r="N3956" s="14">
        <f>INSTOCK!$I3956*INSTOCK!$K3956</f>
        <v>560</v>
      </c>
      <c r="O3956" s="4" t="s">
        <v>5080</v>
      </c>
      <c r="P3956" s="4"/>
    </row>
    <row r="3957" ht="15.75" hidden="1" customHeight="1">
      <c r="B3957" s="8">
        <v>4276.0</v>
      </c>
      <c r="C3957" s="9">
        <v>43629.0</v>
      </c>
      <c r="D3957" s="6" t="s">
        <v>5079</v>
      </c>
      <c r="E3957" s="4">
        <v>6.206000881E9</v>
      </c>
      <c r="F3957" s="8" t="s">
        <v>2449</v>
      </c>
      <c r="G3957" s="4" t="s">
        <v>1985</v>
      </c>
      <c r="H3957" s="10" t="s">
        <v>1986</v>
      </c>
      <c r="I3957" s="10">
        <v>1.0</v>
      </c>
      <c r="J3957" s="11" t="str">
        <f>IF(D3957&lt;&gt;"",VLOOKUP(H3957,TABLEITEM,5,FALSE),"")</f>
        <v>คู่</v>
      </c>
      <c r="K3957" s="12">
        <v>560.0</v>
      </c>
      <c r="L3957" s="13" t="str">
        <f>IF(D3957&lt;&gt;"",VLOOKUP(H3957,TABLEITEM,2,FALSE),"")</f>
        <v/>
      </c>
      <c r="M3957" s="13" t="str">
        <f>IF(D3957&lt;&gt;"",VLOOKUP(H3957,TABLEITEM,3,FALSE),"")</f>
        <v>รองเท้าหุ้มข้อหนังอัดลาย CB102</v>
      </c>
      <c r="N3957" s="14">
        <f>INSTOCK!$I3957*INSTOCK!$K3957</f>
        <v>560</v>
      </c>
      <c r="O3957" s="4" t="s">
        <v>5081</v>
      </c>
      <c r="P3957" s="4"/>
    </row>
    <row r="3958" ht="15.75" hidden="1" customHeight="1">
      <c r="B3958" s="8">
        <v>4277.0</v>
      </c>
      <c r="C3958" s="9">
        <v>43629.0</v>
      </c>
      <c r="D3958" s="6" t="s">
        <v>5082</v>
      </c>
      <c r="E3958" s="4">
        <v>6.205000819E9</v>
      </c>
      <c r="F3958" s="8" t="s">
        <v>604</v>
      </c>
      <c r="G3958" s="4" t="s">
        <v>965</v>
      </c>
      <c r="H3958" s="10" t="s">
        <v>46</v>
      </c>
      <c r="I3958" s="10">
        <v>10.0</v>
      </c>
      <c r="J3958" s="11" t="str">
        <f>IF(D3958&lt;&gt;"",VLOOKUP(H3958,TABLEITEM,5,FALSE),"")</f>
        <v>ROLL</v>
      </c>
      <c r="K3958" s="12">
        <v>90.0</v>
      </c>
      <c r="L3958" s="13" t="str">
        <f>IF(D3958&lt;&gt;"",VLOOKUP(H3958,TABLEITEM,2,FALSE),"")</f>
        <v/>
      </c>
      <c r="M3958" s="13" t="str">
        <f>IF(D3958&lt;&gt;"",VLOOKUP(H3958,TABLEITEM,3,FALSE),"")</f>
        <v>ลวดดำ</v>
      </c>
      <c r="N3958" s="14">
        <f>INSTOCK!$I3958*INSTOCK!$K3958</f>
        <v>900</v>
      </c>
      <c r="O3958" s="4"/>
      <c r="P3958" s="4"/>
    </row>
    <row r="3959" ht="15.75" hidden="1" customHeight="1">
      <c r="B3959" s="8">
        <v>4278.0</v>
      </c>
      <c r="C3959" s="9">
        <v>43629.0</v>
      </c>
      <c r="D3959" s="6" t="s">
        <v>5082</v>
      </c>
      <c r="E3959" s="4">
        <v>6.205000819E9</v>
      </c>
      <c r="F3959" s="8" t="s">
        <v>604</v>
      </c>
      <c r="G3959" s="4" t="s">
        <v>965</v>
      </c>
      <c r="H3959" s="10" t="s">
        <v>40</v>
      </c>
      <c r="I3959" s="10">
        <v>20.0</v>
      </c>
      <c r="J3959" s="11" t="str">
        <f>IF(D3959&lt;&gt;"",VLOOKUP(H3959,TABLEITEM,5,FALSE),"")</f>
        <v>EA</v>
      </c>
      <c r="K3959" s="12">
        <v>8.0</v>
      </c>
      <c r="L3959" s="13" t="str">
        <f>IF(D3959&lt;&gt;"",VLOOKUP(H3959,TABLEITEM,2,FALSE),"")</f>
        <v/>
      </c>
      <c r="M3959" s="13" t="str">
        <f>IF(D3959&lt;&gt;"",VLOOKUP(H3959,TABLEITEM,3,FALSE),"")</f>
        <v>กระจกดำ#11</v>
      </c>
      <c r="N3959" s="14">
        <f>INSTOCK!$I3959*INSTOCK!$K3959</f>
        <v>160</v>
      </c>
      <c r="O3959" s="4"/>
      <c r="P3959" s="4"/>
    </row>
    <row r="3960" ht="15.75" hidden="1" customHeight="1">
      <c r="B3960" s="8">
        <v>4279.0</v>
      </c>
      <c r="C3960" s="9">
        <v>43629.0</v>
      </c>
      <c r="D3960" s="6" t="s">
        <v>5082</v>
      </c>
      <c r="E3960" s="4">
        <v>6.205000819E9</v>
      </c>
      <c r="F3960" s="8" t="s">
        <v>604</v>
      </c>
      <c r="G3960" s="4" t="s">
        <v>965</v>
      </c>
      <c r="H3960" s="10" t="s">
        <v>38</v>
      </c>
      <c r="I3960" s="10">
        <v>100.0</v>
      </c>
      <c r="J3960" s="11" t="str">
        <f>IF(D3960&lt;&gt;"",VLOOKUP(H3960,TABLEITEM,5,FALSE),"")</f>
        <v>EA</v>
      </c>
      <c r="K3960" s="12">
        <v>2.0</v>
      </c>
      <c r="L3960" s="13" t="str">
        <f>IF(D3960&lt;&gt;"",VLOOKUP(H3960,TABLEITEM,2,FALSE),"")</f>
        <v/>
      </c>
      <c r="M3960" s="13" t="str">
        <f>IF(D3960&lt;&gt;"",VLOOKUP(H3960,TABLEITEM,3,FALSE),"")</f>
        <v>กระจกใส</v>
      </c>
      <c r="N3960" s="14">
        <f>INSTOCK!$I3960*INSTOCK!$K3960</f>
        <v>200</v>
      </c>
      <c r="O3960" s="4"/>
      <c r="P3960" s="4"/>
    </row>
    <row r="3961" ht="15.75" hidden="1" customHeight="1">
      <c r="B3961" s="8">
        <v>4280.0</v>
      </c>
      <c r="C3961" s="9">
        <v>43628.0</v>
      </c>
      <c r="D3961" s="6" t="s">
        <v>5083</v>
      </c>
      <c r="E3961" s="4">
        <v>6.205000814E9</v>
      </c>
      <c r="F3961" s="8" t="s">
        <v>4019</v>
      </c>
      <c r="G3961" s="4" t="s">
        <v>965</v>
      </c>
      <c r="H3961" s="18" t="s">
        <v>4020</v>
      </c>
      <c r="I3961" s="10">
        <v>3.0</v>
      </c>
      <c r="J3961" s="11" t="str">
        <f>IF(D3961&lt;&gt;"",VLOOKUP(H3961,TABLEITEM,5,FALSE),"")</f>
        <v>EA</v>
      </c>
      <c r="K3961" s="12">
        <v>320.0</v>
      </c>
      <c r="L3961" s="13" t="str">
        <f>IF(D3961&lt;&gt;"",VLOOKUP(H3961,TABLEITEM,2,FALSE),"")</f>
        <v/>
      </c>
      <c r="M3961" s="13" t="str">
        <f>IF(D3961&lt;&gt;"",VLOOKUP(H3961,TABLEITEM,3,FALSE),"")</f>
        <v>อะไหล่ชักโครก</v>
      </c>
      <c r="N3961" s="14">
        <f>INSTOCK!$I3961*INSTOCK!$K3961</f>
        <v>960</v>
      </c>
      <c r="O3961" s="4"/>
      <c r="P3961" s="4"/>
    </row>
    <row r="3962" ht="15.75" hidden="1" customHeight="1">
      <c r="B3962" s="8">
        <v>4281.0</v>
      </c>
      <c r="C3962" s="9">
        <v>43628.0</v>
      </c>
      <c r="D3962" s="6" t="s">
        <v>5084</v>
      </c>
      <c r="E3962" s="4">
        <v>6.205000813E9</v>
      </c>
      <c r="F3962" s="8" t="s">
        <v>4403</v>
      </c>
      <c r="G3962" s="4" t="s">
        <v>965</v>
      </c>
      <c r="H3962" s="10" t="s">
        <v>5085</v>
      </c>
      <c r="I3962" s="10">
        <v>96.0</v>
      </c>
      <c r="J3962" s="11" t="str">
        <f>IF(D3962&lt;&gt;"",VLOOKUP(H3962,TABLEITEM,5,FALSE),"")</f>
        <v>EA</v>
      </c>
      <c r="K3962" s="12">
        <v>28.0</v>
      </c>
      <c r="L3962" s="13" t="str">
        <f>IF(D3962&lt;&gt;"",VLOOKUP(H3962,TABLEITEM,2,FALSE),"")</f>
        <v/>
      </c>
      <c r="M3962" s="13" t="str">
        <f>IF(D3962&lt;&gt;"",VLOOKUP(H3962,TABLEITEM,3,FALSE),"")</f>
        <v>ลูกปืน 6200ZZ</v>
      </c>
      <c r="N3962" s="14">
        <f>INSTOCK!$I3962*INSTOCK!$K3962</f>
        <v>2688</v>
      </c>
      <c r="O3962" s="4"/>
      <c r="P3962" s="4"/>
    </row>
    <row r="3963" ht="15.75" hidden="1" customHeight="1">
      <c r="B3963" s="8">
        <v>4282.0</v>
      </c>
      <c r="C3963" s="9">
        <v>43628.0</v>
      </c>
      <c r="D3963" s="6" t="s">
        <v>5086</v>
      </c>
      <c r="E3963" s="4">
        <v>6.205000817E9</v>
      </c>
      <c r="F3963" s="8" t="s">
        <v>3737</v>
      </c>
      <c r="G3963" s="4" t="s">
        <v>965</v>
      </c>
      <c r="H3963" s="10" t="s">
        <v>5087</v>
      </c>
      <c r="I3963" s="10">
        <v>1.0</v>
      </c>
      <c r="J3963" s="11" t="str">
        <f>IF(D3963&lt;&gt;"",VLOOKUP(H3963,TABLEITEM,5,FALSE),"")</f>
        <v>EA</v>
      </c>
      <c r="K3963" s="12">
        <v>70.0</v>
      </c>
      <c r="L3963" s="13" t="str">
        <f>IF(D3963&lt;&gt;"",VLOOKUP(H3963,TABLEITEM,2,FALSE),"")</f>
        <v/>
      </c>
      <c r="M3963" s="13" t="str">
        <f>IF(D3963&lt;&gt;"",VLOOKUP(H3963,TABLEITEM,3,FALSE),"")</f>
        <v>แปรงลวดทองเหลือง</v>
      </c>
      <c r="N3963" s="14">
        <f>INSTOCK!$I3963*INSTOCK!$K3963</f>
        <v>70</v>
      </c>
      <c r="O3963" s="4"/>
      <c r="P3963" s="4"/>
    </row>
    <row r="3964" ht="15.75" hidden="1" customHeight="1">
      <c r="B3964" s="8">
        <v>4283.0</v>
      </c>
      <c r="C3964" s="9">
        <v>43629.0</v>
      </c>
      <c r="D3964" s="6" t="s">
        <v>5088</v>
      </c>
      <c r="E3964" s="4">
        <v>6.205000733E9</v>
      </c>
      <c r="F3964" s="8" t="s">
        <v>3727</v>
      </c>
      <c r="G3964" s="4" t="s">
        <v>965</v>
      </c>
      <c r="H3964" s="10" t="s">
        <v>5089</v>
      </c>
      <c r="I3964" s="10">
        <v>1.0</v>
      </c>
      <c r="J3964" s="11" t="str">
        <f>IF(D3964&lt;&gt;"",VLOOKUP(H3964,TABLEITEM,5,FALSE),"")</f>
        <v>EA</v>
      </c>
      <c r="K3964" s="12">
        <v>120.0</v>
      </c>
      <c r="L3964" s="13" t="str">
        <f>IF(D3964&lt;&gt;"",VLOOKUP(H3964,TABLEITEM,2,FALSE),"")</f>
        <v/>
      </c>
      <c r="M3964" s="13" t="str">
        <f>IF(D3964&lt;&gt;"",VLOOKUP(H3964,TABLEITEM,3,FALSE),"")</f>
        <v>ฟุตเหล็ก 1เมตร</v>
      </c>
      <c r="N3964" s="14">
        <f>INSTOCK!$I3964*INSTOCK!$K3964</f>
        <v>120</v>
      </c>
      <c r="O3964" s="4"/>
      <c r="P3964" s="4"/>
    </row>
    <row r="3965" ht="15.75" hidden="1" customHeight="1">
      <c r="B3965" s="8">
        <v>4284.0</v>
      </c>
      <c r="C3965" s="9">
        <v>43628.0</v>
      </c>
      <c r="D3965" s="6" t="s">
        <v>5090</v>
      </c>
      <c r="E3965" s="4">
        <v>6.206000878E9</v>
      </c>
      <c r="F3965" s="8" t="s">
        <v>604</v>
      </c>
      <c r="G3965" s="4" t="s">
        <v>965</v>
      </c>
      <c r="H3965" s="10" t="s">
        <v>2710</v>
      </c>
      <c r="I3965" s="10">
        <v>20.0</v>
      </c>
      <c r="J3965" s="11" t="str">
        <f>IF(D3965&lt;&gt;"",VLOOKUP(H3965,TABLEITEM,5,FALSE),"")</f>
        <v>แผ่น</v>
      </c>
      <c r="K3965" s="12">
        <v>12.0</v>
      </c>
      <c r="L3965" s="13" t="str">
        <f>IF(D3965&lt;&gt;"",VLOOKUP(H3965,TABLEITEM,2,FALSE),"")</f>
        <v/>
      </c>
      <c r="M3965" s="13" t="str">
        <f>IF(D3965&lt;&gt;"",VLOOKUP(H3965,TABLEITEM,3,FALSE),"")</f>
        <v>กระดาษทราย TOA เบอร์ 1000</v>
      </c>
      <c r="N3965" s="14">
        <f>INSTOCK!$I3965*INSTOCK!$K3965</f>
        <v>240</v>
      </c>
      <c r="O3965" s="4"/>
      <c r="P3965" s="4"/>
    </row>
    <row r="3966" ht="15.75" hidden="1" customHeight="1">
      <c r="B3966" s="8">
        <v>4285.0</v>
      </c>
      <c r="C3966" s="9">
        <v>43628.0</v>
      </c>
      <c r="D3966" s="6" t="s">
        <v>5090</v>
      </c>
      <c r="E3966" s="4">
        <v>6.206000878E9</v>
      </c>
      <c r="F3966" s="8" t="s">
        <v>604</v>
      </c>
      <c r="G3966" s="4" t="s">
        <v>965</v>
      </c>
      <c r="H3966" s="18" t="s">
        <v>3198</v>
      </c>
      <c r="I3966" s="10">
        <v>6.0</v>
      </c>
      <c r="J3966" s="11" t="str">
        <f>IF(D3966&lt;&gt;"",VLOOKUP(H3966,TABLEITEM,5,FALSE),"")</f>
        <v>EA</v>
      </c>
      <c r="K3966" s="12">
        <v>10.0</v>
      </c>
      <c r="L3966" s="13" t="str">
        <f>IF(D3966&lt;&gt;"",VLOOKUP(H3966,TABLEITEM,2,FALSE),"")</f>
        <v/>
      </c>
      <c r="M3966" s="13" t="str">
        <f>IF(D3966&lt;&gt;"",VLOOKUP(H3966,TABLEITEM,3,FALSE),"")</f>
        <v>น้ำกลั่น</v>
      </c>
      <c r="N3966" s="14">
        <f>INSTOCK!$I3966*INSTOCK!$K3966</f>
        <v>60</v>
      </c>
      <c r="O3966" s="4"/>
      <c r="P3966" s="4"/>
    </row>
    <row r="3967" ht="15.75" hidden="1" customHeight="1">
      <c r="B3967" s="8">
        <v>4286.0</v>
      </c>
      <c r="C3967" s="9">
        <v>43628.0</v>
      </c>
      <c r="D3967" s="6" t="s">
        <v>5091</v>
      </c>
      <c r="E3967" s="4">
        <v>6.206000871E9</v>
      </c>
      <c r="F3967" s="8" t="s">
        <v>604</v>
      </c>
      <c r="G3967" s="4" t="s">
        <v>965</v>
      </c>
      <c r="H3967" s="10" t="s">
        <v>5092</v>
      </c>
      <c r="I3967" s="10">
        <v>1.0</v>
      </c>
      <c r="J3967" s="11" t="str">
        <f>IF(D3967&lt;&gt;"",VLOOKUP(H3967,TABLEITEM,5,FALSE),"")</f>
        <v>EA</v>
      </c>
      <c r="K3967" s="12">
        <v>50.0</v>
      </c>
      <c r="L3967" s="13" t="str">
        <f>IF(D3967&lt;&gt;"",VLOOKUP(H3967,TABLEITEM,2,FALSE),"")</f>
        <v/>
      </c>
      <c r="M3967" s="13" t="str">
        <f>IF(D3967&lt;&gt;"",VLOOKUP(H3967,TABLEITEM,3,FALSE),"")</f>
        <v>ลูกกลิ้งทาสีน้ำมัน 10"</v>
      </c>
      <c r="N3967" s="14">
        <f>INSTOCK!$I3967*INSTOCK!$K3967</f>
        <v>50</v>
      </c>
      <c r="O3967" s="4"/>
      <c r="P3967" s="4"/>
    </row>
    <row r="3968" ht="15.75" hidden="1" customHeight="1">
      <c r="B3968" s="8">
        <v>4287.0</v>
      </c>
      <c r="C3968" s="9">
        <v>43628.0</v>
      </c>
      <c r="D3968" s="6" t="s">
        <v>5091</v>
      </c>
      <c r="E3968" s="4">
        <v>6.206000871E9</v>
      </c>
      <c r="F3968" s="8" t="s">
        <v>604</v>
      </c>
      <c r="G3968" s="4" t="s">
        <v>965</v>
      </c>
      <c r="H3968" s="10" t="s">
        <v>5093</v>
      </c>
      <c r="I3968" s="10">
        <v>3.0</v>
      </c>
      <c r="J3968" s="11" t="str">
        <f>IF(D3968&lt;&gt;"",VLOOKUP(H3968,TABLEITEM,5,FALSE),"")</f>
        <v>EA</v>
      </c>
      <c r="K3968" s="12">
        <v>25.0</v>
      </c>
      <c r="L3968" s="13" t="str">
        <f>IF(D3968&lt;&gt;"",VLOOKUP(H3968,TABLEITEM,2,FALSE),"")</f>
        <v/>
      </c>
      <c r="M3968" s="13" t="str">
        <f>IF(D3968&lt;&gt;"",VLOOKUP(H3968,TABLEITEM,3,FALSE),"")</f>
        <v>ข้องลม PL M6-02</v>
      </c>
      <c r="N3968" s="14">
        <f>INSTOCK!$I3968*INSTOCK!$K3968</f>
        <v>75</v>
      </c>
      <c r="O3968" s="4"/>
      <c r="P3968" s="4"/>
    </row>
    <row r="3969" ht="15.75" hidden="1" customHeight="1">
      <c r="B3969" s="8">
        <v>4288.0</v>
      </c>
      <c r="C3969" s="9">
        <v>43628.0</v>
      </c>
      <c r="D3969" s="6" t="s">
        <v>5094</v>
      </c>
      <c r="E3969" s="4">
        <v>6.206000865E9</v>
      </c>
      <c r="F3969" s="8" t="s">
        <v>604</v>
      </c>
      <c r="G3969" s="4" t="s">
        <v>965</v>
      </c>
      <c r="H3969" s="10" t="s">
        <v>1739</v>
      </c>
      <c r="I3969" s="10">
        <v>10.0</v>
      </c>
      <c r="J3969" s="11" t="str">
        <f>IF(D3969&lt;&gt;"",VLOOKUP(H3969,TABLEITEM,5,FALSE),"")</f>
        <v>EA</v>
      </c>
      <c r="K3969" s="12">
        <v>105.0</v>
      </c>
      <c r="L3969" s="13" t="str">
        <f>IF(D3969&lt;&gt;"",VLOOKUP(H3969,TABLEITEM,2,FALSE),"")</f>
        <v/>
      </c>
      <c r="M3969" s="13" t="str">
        <f>IF(D3969&lt;&gt;"",VLOOKUP(H3969,TABLEITEM,3,FALSE),"")</f>
        <v>ปลั๊กคู่มีกราวWEG 15929 2P+G</v>
      </c>
      <c r="N3969" s="14">
        <f>INSTOCK!$I3969*INSTOCK!$K3969</f>
        <v>1050</v>
      </c>
      <c r="O3969" s="4"/>
      <c r="P3969" s="4"/>
    </row>
    <row r="3970" ht="15.75" hidden="1" customHeight="1">
      <c r="B3970" s="8">
        <v>4289.0</v>
      </c>
      <c r="C3970" s="9">
        <v>43628.0</v>
      </c>
      <c r="D3970" s="6" t="s">
        <v>5094</v>
      </c>
      <c r="E3970" s="4">
        <v>6.206000865E9</v>
      </c>
      <c r="F3970" s="8" t="s">
        <v>604</v>
      </c>
      <c r="G3970" s="4" t="s">
        <v>965</v>
      </c>
      <c r="H3970" s="10" t="s">
        <v>1491</v>
      </c>
      <c r="I3970" s="10">
        <v>10.0</v>
      </c>
      <c r="J3970" s="11" t="str">
        <f>IF(D3970&lt;&gt;"",VLOOKUP(H3970,TABLEITEM,5,FALSE),"")</f>
        <v>EA</v>
      </c>
      <c r="K3970" s="12">
        <v>15.0</v>
      </c>
      <c r="L3970" s="13" t="str">
        <f>IF(D3970&lt;&gt;"",VLOOKUP(H3970,TABLEITEM,2,FALSE),"")</f>
        <v/>
      </c>
      <c r="M3970" s="13" t="str">
        <f>IF(D3970&lt;&gt;"",VLOOKUP(H3970,TABLEITEM,3,FALSE),"")</f>
        <v>ฝา WEAG-6803W</v>
      </c>
      <c r="N3970" s="14">
        <f>INSTOCK!$I3970*INSTOCK!$K3970</f>
        <v>150</v>
      </c>
      <c r="O3970" s="4"/>
      <c r="P3970" s="4"/>
    </row>
    <row r="3971" ht="15.75" hidden="1" customHeight="1">
      <c r="B3971" s="8">
        <v>4290.0</v>
      </c>
      <c r="C3971" s="9">
        <v>43361.0</v>
      </c>
      <c r="D3971" s="6" t="s">
        <v>5095</v>
      </c>
      <c r="E3971" s="4">
        <v>6.109001083E9</v>
      </c>
      <c r="F3971" s="8" t="s">
        <v>3959</v>
      </c>
      <c r="G3971" s="4" t="s">
        <v>1485</v>
      </c>
      <c r="H3971" s="10" t="s">
        <v>5096</v>
      </c>
      <c r="I3971" s="10">
        <v>1.0</v>
      </c>
      <c r="J3971" s="11" t="str">
        <f>IF(D3971&lt;&gt;"",VLOOKUP(H3971,TABLEITEM,5,FALSE),"")</f>
        <v>EA</v>
      </c>
      <c r="K3971" s="12">
        <v>630.0</v>
      </c>
      <c r="L3971" s="13" t="str">
        <f>IF(D3971&lt;&gt;"",VLOOKUP(H3971,TABLEITEM,2,FALSE),"")</f>
        <v/>
      </c>
      <c r="M3971" s="13" t="str">
        <f>IF(D3971&lt;&gt;"",VLOOKUP(H3971,TABLEITEM,3,FALSE),"")</f>
        <v>SHUNT RELEASE (MX) 220-240VAC 50/60HZ 208-277 V 60HZ FOR NSX, CVS</v>
      </c>
      <c r="N3971" s="14">
        <f>INSTOCK!$I3971*INSTOCK!$K3971</f>
        <v>630</v>
      </c>
      <c r="O3971" s="4"/>
      <c r="P3971" s="4"/>
    </row>
    <row r="3972" ht="15.75" hidden="1" customHeight="1">
      <c r="B3972" s="8">
        <v>4291.0</v>
      </c>
      <c r="C3972" s="9">
        <v>43360.0</v>
      </c>
      <c r="D3972" s="6">
        <v>2.0180900323E10</v>
      </c>
      <c r="E3972" s="4">
        <v>6.10900113E9</v>
      </c>
      <c r="F3972" s="8" t="s">
        <v>5097</v>
      </c>
      <c r="G3972" s="4" t="s">
        <v>2460</v>
      </c>
      <c r="H3972" s="10" t="s">
        <v>5098</v>
      </c>
      <c r="I3972" s="10">
        <v>1.0</v>
      </c>
      <c r="J3972" s="11" t="str">
        <f>IF(D3972&lt;&gt;"",VLOOKUP(H3972,TABLEITEM,5,FALSE),"")</f>
        <v>EA</v>
      </c>
      <c r="K3972" s="12">
        <v>1883.2</v>
      </c>
      <c r="L3972" s="13" t="str">
        <f>IF(D3972&lt;&gt;"",VLOOKUP(H3972,TABLEITEM,2,FALSE),"")</f>
        <v/>
      </c>
      <c r="M3972" s="13" t="str">
        <f>IF(D3972&lt;&gt;"",VLOOKUP(H3972,TABLEITEM,3,FALSE),"")</f>
        <v>TOGU GRINDING OIL (BETSU2) CODE 74310734 DRAWING 020443(4L)</v>
      </c>
      <c r="N3972" s="14">
        <f>INSTOCK!$I3972*INSTOCK!$K3972</f>
        <v>1883.2</v>
      </c>
      <c r="O3972" s="4"/>
      <c r="P3972" s="4"/>
    </row>
    <row r="3973" ht="15.75" hidden="1" customHeight="1">
      <c r="B3973" s="8">
        <v>4292.0</v>
      </c>
      <c r="C3973" s="9">
        <v>43360.0</v>
      </c>
      <c r="D3973" s="6">
        <v>6109284.0</v>
      </c>
      <c r="E3973" s="4">
        <v>6.109001112E9</v>
      </c>
      <c r="F3973" s="8" t="s">
        <v>3676</v>
      </c>
      <c r="G3973" s="4" t="s">
        <v>5049</v>
      </c>
      <c r="H3973" s="10" t="s">
        <v>5050</v>
      </c>
      <c r="I3973" s="10">
        <v>1.0</v>
      </c>
      <c r="J3973" s="11" t="str">
        <f>IF(D3973&lt;&gt;"",VLOOKUP(H3973,TABLEITEM,5,FALSE),"")</f>
        <v>EA</v>
      </c>
      <c r="K3973" s="12">
        <v>424.0</v>
      </c>
      <c r="L3973" s="13" t="str">
        <f>IF(D3973&lt;&gt;"",VLOOKUP(H3973,TABLEITEM,2,FALSE),"")</f>
        <v/>
      </c>
      <c r="M3973" s="13" t="str">
        <f>IF(D3973&lt;&gt;"",VLOOKUP(H3973,TABLEITEM,3,FALSE),"")</f>
        <v>1PH SW.XFMR 220V 50Hz/24V 50VA (TR-0107)</v>
      </c>
      <c r="N3973" s="14">
        <f>INSTOCK!$I3973*INSTOCK!$K3973</f>
        <v>424</v>
      </c>
      <c r="O3973" s="4"/>
      <c r="P3973" s="4"/>
    </row>
    <row r="3974" ht="15.75" hidden="1" customHeight="1">
      <c r="B3974" s="8">
        <v>4293.0</v>
      </c>
      <c r="C3974" s="9">
        <v>43360.0</v>
      </c>
      <c r="D3974" s="6">
        <v>6109284.0</v>
      </c>
      <c r="E3974" s="4">
        <v>6.109001112E9</v>
      </c>
      <c r="F3974" s="8" t="s">
        <v>3676</v>
      </c>
      <c r="G3974" s="4" t="s">
        <v>5049</v>
      </c>
      <c r="H3974" s="10" t="s">
        <v>5051</v>
      </c>
      <c r="I3974" s="10">
        <v>1.0</v>
      </c>
      <c r="J3974" s="11" t="str">
        <f>IF(D3974&lt;&gt;"",VLOOKUP(H3974,TABLEITEM,5,FALSE),"")</f>
        <v>EA</v>
      </c>
      <c r="K3974" s="12">
        <v>2320.0</v>
      </c>
      <c r="L3974" s="13" t="str">
        <f>IF(D3974&lt;&gt;"",VLOOKUP(H3974,TABLEITEM,2,FALSE),"")</f>
        <v/>
      </c>
      <c r="M3974" s="13" t="str">
        <f>IF(D3974&lt;&gt;"",VLOOKUP(H3974,TABLEITEM,3,FALSE),"")</f>
        <v>1PH SW.XFMR 380V 50Hz/220V 500VA (TR-0052)</v>
      </c>
      <c r="N3974" s="14">
        <f>INSTOCK!$I3974*INSTOCK!$K3974</f>
        <v>2320</v>
      </c>
      <c r="O3974" s="4"/>
      <c r="P3974" s="4"/>
    </row>
    <row r="3975" ht="15.75" hidden="1" customHeight="1">
      <c r="B3975" s="8">
        <v>4294.0</v>
      </c>
      <c r="C3975" s="9">
        <v>43725.0</v>
      </c>
      <c r="D3975" s="6" t="s">
        <v>5099</v>
      </c>
      <c r="E3975" s="4">
        <v>6.109001144E9</v>
      </c>
      <c r="F3975" s="8" t="s">
        <v>5048</v>
      </c>
      <c r="G3975" s="4" t="s">
        <v>1904</v>
      </c>
      <c r="H3975" s="10" t="s">
        <v>5100</v>
      </c>
      <c r="I3975" s="10">
        <v>2.0</v>
      </c>
      <c r="J3975" s="11" t="str">
        <f>IF(D3975&lt;&gt;"",VLOOKUP(H3975,TABLEITEM,5,FALSE),"")</f>
        <v>EA</v>
      </c>
      <c r="K3975" s="12">
        <v>2894.0</v>
      </c>
      <c r="L3975" s="13" t="str">
        <f>IF(D3975&lt;&gt;"",VLOOKUP(H3975,TABLEITEM,2,FALSE),"")</f>
        <v/>
      </c>
      <c r="M3975" s="13" t="str">
        <f>IF(D3975&lt;&gt;"",VLOOKUP(H3975,TABLEITEM,3,FALSE),"")</f>
        <v>Temperature #E5EC-RR2ASM-800</v>
      </c>
      <c r="N3975" s="14">
        <f>INSTOCK!$I3975*INSTOCK!$K3975</f>
        <v>5788</v>
      </c>
      <c r="O3975" s="4"/>
      <c r="P3975" s="4"/>
    </row>
    <row r="3976" ht="15.75" hidden="1" customHeight="1">
      <c r="B3976" s="8">
        <v>4295.0</v>
      </c>
      <c r="C3976" s="9">
        <v>43358.0</v>
      </c>
      <c r="D3976" s="6" t="s">
        <v>5101</v>
      </c>
      <c r="E3976" s="4">
        <v>6.10900114E9</v>
      </c>
      <c r="F3976" s="8" t="s">
        <v>5102</v>
      </c>
      <c r="G3976" s="4" t="s">
        <v>5103</v>
      </c>
      <c r="H3976" s="10" t="s">
        <v>5104</v>
      </c>
      <c r="I3976" s="10">
        <v>1.0</v>
      </c>
      <c r="J3976" s="11" t="str">
        <f>IF(D3976&lt;&gt;"",VLOOKUP(H3976,TABLEITEM,5,FALSE),"")</f>
        <v>EA</v>
      </c>
      <c r="K3976" s="12">
        <v>4800.0</v>
      </c>
      <c r="L3976" s="13" t="str">
        <f>IF(D3976&lt;&gt;"",VLOOKUP(H3976,TABLEITEM,2,FALSE),"")</f>
        <v/>
      </c>
      <c r="M3976" s="13" t="str">
        <f>IF(D3976&lt;&gt;"",VLOOKUP(H3976,TABLEITEM,3,FALSE),"")</f>
        <v>แบริ่ง กดโซ่</v>
      </c>
      <c r="N3976" s="14">
        <f>INSTOCK!$I3976*INSTOCK!$K3976</f>
        <v>4800</v>
      </c>
      <c r="O3976" s="4"/>
      <c r="P3976" s="4"/>
    </row>
    <row r="3977" ht="15.75" hidden="1" customHeight="1">
      <c r="B3977" s="8">
        <v>4296.0</v>
      </c>
      <c r="C3977" s="9">
        <v>43358.0</v>
      </c>
      <c r="D3977" s="6" t="s">
        <v>5101</v>
      </c>
      <c r="E3977" s="4">
        <v>6.10900114E9</v>
      </c>
      <c r="F3977" s="8" t="s">
        <v>5102</v>
      </c>
      <c r="G3977" s="4" t="s">
        <v>5103</v>
      </c>
      <c r="H3977" s="10" t="s">
        <v>5105</v>
      </c>
      <c r="I3977" s="10">
        <v>3.0</v>
      </c>
      <c r="J3977" s="11" t="str">
        <f>IF(D3977&lt;&gt;"",VLOOKUP(H3977,TABLEITEM,5,FALSE),"")</f>
        <v>EA</v>
      </c>
      <c r="K3977" s="12">
        <v>790.0</v>
      </c>
      <c r="L3977" s="13" t="str">
        <f>IF(D3977&lt;&gt;"",VLOOKUP(H3977,TABLEITEM,2,FALSE),"")</f>
        <v/>
      </c>
      <c r="M3977" s="13" t="str">
        <f>IF(D3977&lt;&gt;"",VLOOKUP(H3977,TABLEITEM,3,FALSE),"")</f>
        <v>5T Standard chain โซ่ 5 ตัน รุ่นมาตราฐาน</v>
      </c>
      <c r="N3977" s="14">
        <f>INSTOCK!$I3977*INSTOCK!$K3977</f>
        <v>2370</v>
      </c>
      <c r="O3977" s="4"/>
      <c r="P3977" s="4"/>
    </row>
    <row r="3978" ht="15.75" hidden="1" customHeight="1">
      <c r="B3978" s="8">
        <v>4297.0</v>
      </c>
      <c r="C3978" s="9">
        <v>43358.0</v>
      </c>
      <c r="D3978" s="6" t="s">
        <v>5106</v>
      </c>
      <c r="E3978" s="4">
        <v>6.109001131E9</v>
      </c>
      <c r="F3978" s="8" t="s">
        <v>604</v>
      </c>
      <c r="G3978" s="4" t="s">
        <v>965</v>
      </c>
      <c r="H3978" s="10" t="s">
        <v>110</v>
      </c>
      <c r="I3978" s="10">
        <v>24.0</v>
      </c>
      <c r="J3978" s="11" t="str">
        <f>IF(D3978&lt;&gt;"",VLOOKUP(H3978,TABLEITEM,5,FALSE),"")</f>
        <v>กป.</v>
      </c>
      <c r="K3978" s="12">
        <v>41.6667</v>
      </c>
      <c r="L3978" s="13" t="str">
        <f>IF(D3978&lt;&gt;"",VLOOKUP(H3978,TABLEITEM,2,FALSE),"")</f>
        <v/>
      </c>
      <c r="M3978" s="13" t="str">
        <f>IF(D3978&lt;&gt;"",VLOOKUP(H3978,TABLEITEM,3,FALSE),"")</f>
        <v>สีสเปรย์ สีน้ำตาล</v>
      </c>
      <c r="N3978" s="14">
        <f>INSTOCK!$I3978*INSTOCK!$K3978</f>
        <v>1000.0008</v>
      </c>
      <c r="O3978" s="4"/>
      <c r="P3978" s="4"/>
    </row>
    <row r="3979" ht="15.75" hidden="1" customHeight="1">
      <c r="B3979" s="8">
        <v>4298.0</v>
      </c>
      <c r="C3979" s="9">
        <v>43358.0</v>
      </c>
      <c r="D3979" s="6" t="s">
        <v>5106</v>
      </c>
      <c r="E3979" s="4">
        <v>6.109001131E9</v>
      </c>
      <c r="F3979" s="8" t="s">
        <v>604</v>
      </c>
      <c r="G3979" s="4" t="s">
        <v>965</v>
      </c>
      <c r="H3979" s="10" t="s">
        <v>66</v>
      </c>
      <c r="I3979" s="10">
        <v>24.0</v>
      </c>
      <c r="J3979" s="11" t="str">
        <f>IF(D3979&lt;&gt;"",VLOOKUP(H3979,TABLEITEM,5,FALSE),"")</f>
        <v>กป.</v>
      </c>
      <c r="K3979" s="12">
        <v>41.6667</v>
      </c>
      <c r="L3979" s="13" t="str">
        <f>IF(D3979&lt;&gt;"",VLOOKUP(H3979,TABLEITEM,2,FALSE),"")</f>
        <v/>
      </c>
      <c r="M3979" s="13" t="str">
        <f>IF(D3979&lt;&gt;"",VLOOKUP(H3979,TABLEITEM,3,FALSE),"")</f>
        <v>สีสเปรย์ สีดำ</v>
      </c>
      <c r="N3979" s="14">
        <f>INSTOCK!$I3979*INSTOCK!$K3979</f>
        <v>1000.0008</v>
      </c>
      <c r="O3979" s="4"/>
      <c r="P3979" s="4"/>
    </row>
    <row r="3980" ht="15.75" hidden="1" customHeight="1">
      <c r="B3980" s="8">
        <v>4299.0</v>
      </c>
      <c r="C3980" s="9">
        <v>43358.0</v>
      </c>
      <c r="D3980" s="6" t="s">
        <v>5106</v>
      </c>
      <c r="E3980" s="4">
        <v>6.109001131E9</v>
      </c>
      <c r="F3980" s="8" t="s">
        <v>604</v>
      </c>
      <c r="G3980" s="4" t="s">
        <v>965</v>
      </c>
      <c r="H3980" s="10" t="s">
        <v>111</v>
      </c>
      <c r="I3980" s="10">
        <v>24.0</v>
      </c>
      <c r="J3980" s="11" t="str">
        <f>IF(D3980&lt;&gt;"",VLOOKUP(H3980,TABLEITEM,5,FALSE),"")</f>
        <v>กป.</v>
      </c>
      <c r="K3980" s="12">
        <v>41.6667</v>
      </c>
      <c r="L3980" s="13" t="str">
        <f>IF(D3980&lt;&gt;"",VLOOKUP(H3980,TABLEITEM,2,FALSE),"")</f>
        <v/>
      </c>
      <c r="M3980" s="13" t="str">
        <f>IF(D3980&lt;&gt;"",VLOOKUP(H3980,TABLEITEM,3,FALSE),"")</f>
        <v>สีสเปรย์ สีเทา</v>
      </c>
      <c r="N3980" s="14">
        <f>INSTOCK!$I3980*INSTOCK!$K3980</f>
        <v>1000.0008</v>
      </c>
      <c r="O3980" s="4"/>
      <c r="P3980" s="4"/>
    </row>
    <row r="3981" ht="15.75" hidden="1" customHeight="1">
      <c r="B3981" s="8">
        <v>4300.0</v>
      </c>
      <c r="C3981" s="9">
        <v>43358.0</v>
      </c>
      <c r="D3981" s="6" t="s">
        <v>5106</v>
      </c>
      <c r="E3981" s="4">
        <v>6.109001131E9</v>
      </c>
      <c r="F3981" s="8" t="s">
        <v>604</v>
      </c>
      <c r="G3981" s="4" t="s">
        <v>965</v>
      </c>
      <c r="H3981" s="10" t="s">
        <v>38</v>
      </c>
      <c r="I3981" s="10">
        <v>200.0</v>
      </c>
      <c r="J3981" s="11" t="str">
        <f>IF(D3981&lt;&gt;"",VLOOKUP(H3981,TABLEITEM,5,FALSE),"")</f>
        <v>EA</v>
      </c>
      <c r="K3981" s="12">
        <v>2.0</v>
      </c>
      <c r="L3981" s="13" t="str">
        <f>IF(D3981&lt;&gt;"",VLOOKUP(H3981,TABLEITEM,2,FALSE),"")</f>
        <v/>
      </c>
      <c r="M3981" s="13" t="str">
        <f>IF(D3981&lt;&gt;"",VLOOKUP(H3981,TABLEITEM,3,FALSE),"")</f>
        <v>กระจกใส</v>
      </c>
      <c r="N3981" s="14">
        <f>INSTOCK!$I3981*INSTOCK!$K3981</f>
        <v>400</v>
      </c>
      <c r="O3981" s="4"/>
      <c r="P3981" s="4"/>
    </row>
    <row r="3982" ht="15.75" hidden="1" customHeight="1">
      <c r="B3982" s="8">
        <v>4301.0</v>
      </c>
      <c r="C3982" s="9">
        <v>43358.0</v>
      </c>
      <c r="D3982" s="6" t="s">
        <v>5106</v>
      </c>
      <c r="E3982" s="4">
        <v>6.109001131E9</v>
      </c>
      <c r="F3982" s="8" t="s">
        <v>604</v>
      </c>
      <c r="G3982" s="4" t="s">
        <v>965</v>
      </c>
      <c r="H3982" s="10" t="s">
        <v>4838</v>
      </c>
      <c r="I3982" s="10">
        <v>1.2</v>
      </c>
      <c r="J3982" s="11" t="str">
        <f>IF(D3982&lt;&gt;"",VLOOKUP(H3982,TABLEITEM,5,FALSE),"")</f>
        <v>EA</v>
      </c>
      <c r="K3982" s="12">
        <v>100.0</v>
      </c>
      <c r="L3982" s="13" t="str">
        <f>IF(D3982&lt;&gt;"",VLOOKUP(H3982,TABLEITEM,2,FALSE),"")</f>
        <v/>
      </c>
      <c r="M3982" s="13" t="str">
        <f>IF(D3982&lt;&gt;"",VLOOKUP(H3982,TABLEITEM,3,FALSE),"")</f>
        <v>เชือกใยยักษ์</v>
      </c>
      <c r="N3982" s="14">
        <f>INSTOCK!$I3982*INSTOCK!$K3982</f>
        <v>120</v>
      </c>
      <c r="O3982" s="4"/>
      <c r="P3982" s="4"/>
    </row>
    <row r="3983" ht="15.75" hidden="1" customHeight="1">
      <c r="B3983" s="8">
        <v>4302.0</v>
      </c>
      <c r="C3983" s="9">
        <v>43358.0</v>
      </c>
      <c r="D3983" s="6">
        <v>6.10905199E8</v>
      </c>
      <c r="E3983" s="4">
        <v>6.109001143E9</v>
      </c>
      <c r="F3983" s="8"/>
      <c r="G3983" s="4" t="s">
        <v>1130</v>
      </c>
      <c r="H3983" s="10" t="s">
        <v>1832</v>
      </c>
      <c r="I3983" s="10">
        <v>20.0</v>
      </c>
      <c r="J3983" s="11" t="str">
        <f>IF(D3983&lt;&gt;"",VLOOKUP(H3983,TABLEITEM,5,FALSE),"")</f>
        <v>EA</v>
      </c>
      <c r="K3983" s="12">
        <v>50.0</v>
      </c>
      <c r="L3983" s="13" t="str">
        <f>IF(D3983&lt;&gt;"",VLOOKUP(H3983,TABLEITEM,2,FALSE),"")</f>
        <v/>
      </c>
      <c r="M3983" s="13" t="str">
        <f>IF(D3983&lt;&gt;"",VLOOKUP(H3983,TABLEITEM,3,FALSE),"")</f>
        <v>SOCKET PYF-14A-E</v>
      </c>
      <c r="N3983" s="14">
        <f>INSTOCK!$I3983*INSTOCK!$K3983</f>
        <v>1000</v>
      </c>
      <c r="O3983" s="4"/>
      <c r="P3983" s="4"/>
    </row>
    <row r="3984" ht="15.75" hidden="1" customHeight="1">
      <c r="B3984" s="8">
        <v>4303.0</v>
      </c>
      <c r="C3984" s="9">
        <v>43358.0</v>
      </c>
      <c r="D3984" s="6">
        <v>6.10905199E8</v>
      </c>
      <c r="E3984" s="4">
        <v>6.109001143E9</v>
      </c>
      <c r="F3984" s="8"/>
      <c r="G3984" s="4" t="s">
        <v>1130</v>
      </c>
      <c r="H3984" s="10" t="s">
        <v>1728</v>
      </c>
      <c r="I3984" s="10">
        <v>20.0</v>
      </c>
      <c r="J3984" s="11" t="str">
        <f>IF(D3984&lt;&gt;"",VLOOKUP(H3984,TABLEITEM,5,FALSE),"")</f>
        <v>EA</v>
      </c>
      <c r="K3984" s="12">
        <v>133.0</v>
      </c>
      <c r="L3984" s="13" t="str">
        <f>IF(D3984&lt;&gt;"",VLOOKUP(H3984,TABLEITEM,2,FALSE),"")</f>
        <v/>
      </c>
      <c r="M3984" s="13" t="str">
        <f>IF(D3984&lt;&gt;"",VLOOKUP(H3984,TABLEITEM,3,FALSE),"")</f>
        <v>Relay MY4N-GS 220/240VAC </v>
      </c>
      <c r="N3984" s="14">
        <f>INSTOCK!$I3984*INSTOCK!$K3984</f>
        <v>2660</v>
      </c>
      <c r="O3984" s="4"/>
      <c r="P3984" s="4"/>
    </row>
    <row r="3985" ht="15.75" hidden="1" customHeight="1">
      <c r="B3985" s="8">
        <v>4304.0</v>
      </c>
      <c r="C3985" s="9">
        <v>43358.0</v>
      </c>
      <c r="D3985" s="6" t="s">
        <v>5107</v>
      </c>
      <c r="E3985" s="4"/>
      <c r="F3985" s="8"/>
      <c r="G3985" s="4" t="s">
        <v>5108</v>
      </c>
      <c r="H3985" s="10" t="s">
        <v>5109</v>
      </c>
      <c r="I3985" s="10">
        <v>1.0</v>
      </c>
      <c r="J3985" s="11" t="str">
        <f>IF(D3985&lt;&gt;"",VLOOKUP(H3985,TABLEITEM,5,FALSE),"")</f>
        <v>EA</v>
      </c>
      <c r="K3985" s="12">
        <v>598.13</v>
      </c>
      <c r="L3985" s="13" t="str">
        <f>IF(D3985&lt;&gt;"",VLOOKUP(H3985,TABLEITEM,2,FALSE),"")</f>
        <v/>
      </c>
      <c r="M3985" s="13" t="str">
        <f>IF(D3985&lt;&gt;"",VLOOKUP(H3985,TABLEITEM,3,FALSE),"")</f>
        <v>กระบอกตวงน้ำมัน GARTEC 2ลิตร</v>
      </c>
      <c r="N3985" s="14">
        <f>INSTOCK!$I3985*INSTOCK!$K3985</f>
        <v>598.13</v>
      </c>
      <c r="O3985" s="4"/>
      <c r="P3985" s="4"/>
    </row>
    <row r="3986" ht="15.75" hidden="1" customHeight="1">
      <c r="B3986" s="8">
        <v>4305.0</v>
      </c>
      <c r="C3986" s="9">
        <v>43357.0</v>
      </c>
      <c r="D3986" s="6" t="s">
        <v>5110</v>
      </c>
      <c r="E3986" s="4">
        <v>6.105000664E9</v>
      </c>
      <c r="F3986" s="8" t="s">
        <v>5018</v>
      </c>
      <c r="G3986" s="4" t="s">
        <v>5019</v>
      </c>
      <c r="H3986" s="10" t="s">
        <v>5111</v>
      </c>
      <c r="I3986" s="10">
        <v>1.0</v>
      </c>
      <c r="J3986" s="11" t="str">
        <f>IF(D3986&lt;&gt;"",VLOOKUP(H3986,TABLEITEM,5,FALSE),"")</f>
        <v>EA</v>
      </c>
      <c r="K3986" s="12">
        <v>9000.0</v>
      </c>
      <c r="L3986" s="13" t="str">
        <f>IF(D3986&lt;&gt;"",VLOOKUP(H3986,TABLEITEM,2,FALSE),"")</f>
        <v/>
      </c>
      <c r="M3986" s="13" t="str">
        <f>IF(D3986&lt;&gt;"",VLOOKUP(H3986,TABLEITEM,3,FALSE),"")</f>
        <v>ANNUAL SERVICE FEE MODEL OSP-22S5ANA MGF NO.HTB11223</v>
      </c>
      <c r="N3986" s="14">
        <f>INSTOCK!$I3986*INSTOCK!$K3986</f>
        <v>9000</v>
      </c>
      <c r="O3986" s="4" t="s">
        <v>5112</v>
      </c>
      <c r="P3986" s="4"/>
    </row>
    <row r="3987" ht="15.75" hidden="1" customHeight="1">
      <c r="B3987" s="8">
        <v>4306.0</v>
      </c>
      <c r="C3987" s="9">
        <v>43357.0</v>
      </c>
      <c r="D3987" s="6" t="s">
        <v>5110</v>
      </c>
      <c r="E3987" s="4">
        <v>6.105000664E9</v>
      </c>
      <c r="F3987" s="8" t="s">
        <v>5018</v>
      </c>
      <c r="G3987" s="4" t="s">
        <v>5019</v>
      </c>
      <c r="H3987" s="10" t="s">
        <v>5113</v>
      </c>
      <c r="I3987" s="10">
        <v>1.0</v>
      </c>
      <c r="J3987" s="11" t="str">
        <f>IF(D3987&lt;&gt;"",VLOOKUP(H3987,TABLEITEM,5,FALSE),"")</f>
        <v>EA</v>
      </c>
      <c r="K3987" s="12">
        <v>0.0</v>
      </c>
      <c r="L3987" s="13" t="str">
        <f>IF(D3987&lt;&gt;"",VLOOKUP(H3987,TABLEITEM,2,FALSE),"")</f>
        <v/>
      </c>
      <c r="M3987" s="13" t="str">
        <f>IF(D3987&lt;&gt;"",VLOOKUP(H3987,TABLEITEM,3,FALSE),"")</f>
        <v>ANNUAL SERVICE FEE MODEL ARX50J MGF NO.E304002</v>
      </c>
      <c r="N3987" s="14">
        <f>INSTOCK!$I3987*INSTOCK!$K3987</f>
        <v>0</v>
      </c>
      <c r="O3987" s="4"/>
      <c r="P3987" s="4"/>
    </row>
    <row r="3988" ht="15.75" hidden="1" customHeight="1">
      <c r="B3988" s="8">
        <v>4307.0</v>
      </c>
      <c r="C3988" s="9">
        <v>43357.0</v>
      </c>
      <c r="D3988" s="6" t="s">
        <v>5114</v>
      </c>
      <c r="E3988" s="4">
        <v>6.109001128E9</v>
      </c>
      <c r="F3988" s="8" t="s">
        <v>5115</v>
      </c>
      <c r="G3988" s="4" t="s">
        <v>5116</v>
      </c>
      <c r="H3988" s="10" t="s">
        <v>5117</v>
      </c>
      <c r="I3988" s="10">
        <v>1.0</v>
      </c>
      <c r="J3988" s="11" t="str">
        <f>IF(D3988&lt;&gt;"",VLOOKUP(H3988,TABLEITEM,5,FALSE),"")</f>
        <v>EA</v>
      </c>
      <c r="K3988" s="12">
        <v>9900.0</v>
      </c>
      <c r="L3988" s="13" t="str">
        <f>IF(D3988&lt;&gt;"",VLOOKUP(H3988,TABLEITEM,2,FALSE),"")</f>
        <v/>
      </c>
      <c r="M3988" s="13" t="str">
        <f>IF(D3988&lt;&gt;"",VLOOKUP(H3988,TABLEITEM,3,FALSE),"")</f>
        <v>CIR-M5191100B0000 CVM NRG96-ITF RS485</v>
      </c>
      <c r="N3988" s="14">
        <f>INSTOCK!$I3988*INSTOCK!$K3988</f>
        <v>9900</v>
      </c>
      <c r="O3988" s="4"/>
      <c r="P3988" s="4"/>
    </row>
    <row r="3989" ht="15.75" hidden="1" customHeight="1">
      <c r="B3989" s="8">
        <v>4308.0</v>
      </c>
      <c r="C3989" s="9">
        <v>43357.0</v>
      </c>
      <c r="D3989" s="6">
        <v>6.1090483E8</v>
      </c>
      <c r="E3989" s="4">
        <v>6.109001136E9</v>
      </c>
      <c r="F3989" s="8"/>
      <c r="G3989" s="4" t="s">
        <v>1130</v>
      </c>
      <c r="H3989" s="10" t="s">
        <v>2550</v>
      </c>
      <c r="I3989" s="10">
        <v>3.0</v>
      </c>
      <c r="J3989" s="11" t="str">
        <f>IF(D3989&lt;&gt;"",VLOOKUP(H3989,TABLEITEM,5,FALSE),"")</f>
        <v>EA</v>
      </c>
      <c r="K3989" s="12">
        <v>121.123</v>
      </c>
      <c r="L3989" s="13" t="str">
        <f>IF(D3989&lt;&gt;"",VLOOKUP(H3989,TABLEITEM,2,FALSE),"")</f>
        <v/>
      </c>
      <c r="M3989" s="13" t="str">
        <f>IF(D3989&lt;&gt;"",VLOOKUP(H3989,TABLEITEM,3,FALSE),"")</f>
        <v>CT150/5 MQS40</v>
      </c>
      <c r="N3989" s="14">
        <f>INSTOCK!$I3989*INSTOCK!$K3989</f>
        <v>363.369</v>
      </c>
      <c r="O3989" s="4" t="s">
        <v>1898</v>
      </c>
      <c r="P3989" s="4"/>
    </row>
    <row r="3990" ht="15.75" hidden="1" customHeight="1">
      <c r="B3990" s="8">
        <v>4309.0</v>
      </c>
      <c r="C3990" s="9">
        <v>43357.0</v>
      </c>
      <c r="D3990" s="6">
        <v>6.1090483E8</v>
      </c>
      <c r="E3990" s="4">
        <v>6.109001136E9</v>
      </c>
      <c r="F3990" s="8"/>
      <c r="G3990" s="4" t="s">
        <v>1130</v>
      </c>
      <c r="H3990" s="10" t="s">
        <v>1897</v>
      </c>
      <c r="I3990" s="10">
        <v>3.0</v>
      </c>
      <c r="J3990" s="11" t="str">
        <f>IF(D3990&lt;&gt;"",VLOOKUP(H3990,TABLEITEM,5,FALSE),"")</f>
        <v>EA</v>
      </c>
      <c r="K3990" s="12">
        <v>121.123</v>
      </c>
      <c r="L3990" s="13" t="str">
        <f>IF(D3990&lt;&gt;"",VLOOKUP(H3990,TABLEITEM,2,FALSE),"")</f>
        <v/>
      </c>
      <c r="M3990" s="13" t="str">
        <f>IF(D3990&lt;&gt;"",VLOOKUP(H3990,TABLEITEM,3,FALSE),"")</f>
        <v>CT 200/5 MQS40</v>
      </c>
      <c r="N3990" s="14">
        <f>INSTOCK!$I3990*INSTOCK!$K3990</f>
        <v>363.369</v>
      </c>
      <c r="O3990" s="4" t="s">
        <v>1898</v>
      </c>
      <c r="P3990" s="4"/>
    </row>
    <row r="3991" ht="15.75" hidden="1" customHeight="1">
      <c r="B3991" s="8">
        <v>4310.0</v>
      </c>
      <c r="C3991" s="9">
        <v>43357.0</v>
      </c>
      <c r="D3991" s="6" t="s">
        <v>5118</v>
      </c>
      <c r="E3991" s="4">
        <v>6.109001137E9</v>
      </c>
      <c r="F3991" s="8" t="s">
        <v>5119</v>
      </c>
      <c r="G3991" s="4" t="s">
        <v>1485</v>
      </c>
      <c r="H3991" s="10" t="s">
        <v>5120</v>
      </c>
      <c r="I3991" s="10">
        <v>1.0</v>
      </c>
      <c r="J3991" s="11" t="str">
        <f>IF(D3991&lt;&gt;"",VLOOKUP(H3991,TABLEITEM,5,FALSE),"")</f>
        <v>EA</v>
      </c>
      <c r="K3991" s="12">
        <v>1579.2</v>
      </c>
      <c r="L3991" s="13" t="str">
        <f>IF(D3991&lt;&gt;"",VLOOKUP(H3991,TABLEITEM,2,FALSE),"")</f>
        <v/>
      </c>
      <c r="M3991" s="13" t="str">
        <f>IF(D3991&lt;&gt;"",VLOOKUP(H3991,TABLEITEM,3,FALSE),"")</f>
        <v>CVS160B TM160D 3P3D 380/415VAC 25KA</v>
      </c>
      <c r="N3991" s="14">
        <f>INSTOCK!$I3991*INSTOCK!$K3991</f>
        <v>1579.2</v>
      </c>
      <c r="O3991" s="4"/>
      <c r="P3991" s="4"/>
    </row>
    <row r="3992" ht="15.75" hidden="1" customHeight="1">
      <c r="B3992" s="8">
        <v>4311.0</v>
      </c>
      <c r="C3992" s="9">
        <v>43357.0</v>
      </c>
      <c r="D3992" s="6" t="s">
        <v>5118</v>
      </c>
      <c r="E3992" s="4">
        <v>6.109001137E9</v>
      </c>
      <c r="F3992" s="8" t="s">
        <v>5119</v>
      </c>
      <c r="G3992" s="4" t="s">
        <v>1485</v>
      </c>
      <c r="H3992" s="10" t="s">
        <v>5121</v>
      </c>
      <c r="I3992" s="10">
        <v>3.0</v>
      </c>
      <c r="J3992" s="11" t="str">
        <f>IF(D3992&lt;&gt;"",VLOOKUP(H3992,TABLEITEM,5,FALSE),"")</f>
        <v>EA</v>
      </c>
      <c r="K3992" s="12">
        <v>1260.0</v>
      </c>
      <c r="L3992" s="13" t="str">
        <f>IF(D3992&lt;&gt;"",VLOOKUP(H3992,TABLEITEM,2,FALSE),"")</f>
        <v/>
      </c>
      <c r="M3992" s="13" t="str">
        <f>IF(D3992&lt;&gt;"",VLOOKUP(H3992,TABLEITEM,3,FALSE),"")</f>
        <v>CVS100B TM160D 3P3D 380/415VAC 25KA</v>
      </c>
      <c r="N3992" s="14">
        <f>INSTOCK!$I3992*INSTOCK!$K3992</f>
        <v>3780</v>
      </c>
      <c r="O3992" s="4"/>
      <c r="P3992" s="4"/>
    </row>
    <row r="3993" ht="15.75" hidden="1" customHeight="1">
      <c r="B3993" s="8">
        <v>4312.0</v>
      </c>
      <c r="C3993" s="9">
        <v>43357.0</v>
      </c>
      <c r="D3993" s="6" t="s">
        <v>5118</v>
      </c>
      <c r="E3993" s="4">
        <v>6.109001137E9</v>
      </c>
      <c r="F3993" s="8" t="s">
        <v>5119</v>
      </c>
      <c r="G3993" s="4" t="s">
        <v>1485</v>
      </c>
      <c r="H3993" s="10" t="s">
        <v>3132</v>
      </c>
      <c r="I3993" s="10">
        <v>1.0</v>
      </c>
      <c r="J3993" s="11" t="str">
        <f>IF(D3993&lt;&gt;"",VLOOKUP(H3993,TABLEITEM,5,FALSE),"")</f>
        <v>EA</v>
      </c>
      <c r="K3993" s="12">
        <v>1260.0</v>
      </c>
      <c r="L3993" s="13" t="str">
        <f>IF(D3993&lt;&gt;"",VLOOKUP(H3993,TABLEITEM,2,FALSE),"")</f>
        <v/>
      </c>
      <c r="M3993" s="13" t="str">
        <f>IF(D3993&lt;&gt;"",VLOOKUP(H3993,TABLEITEM,3,FALSE),"")</f>
        <v>MCCB CVS 100B TM25D 3P 3D 380/415VAC 25KA</v>
      </c>
      <c r="N3993" s="14">
        <f>INSTOCK!$I3993*INSTOCK!$K3993</f>
        <v>1260</v>
      </c>
      <c r="O3993" s="4"/>
      <c r="P3993" s="4"/>
    </row>
    <row r="3994" ht="15.75" hidden="1" customHeight="1">
      <c r="B3994" s="8">
        <v>4313.0</v>
      </c>
      <c r="C3994" s="9">
        <v>43356.0</v>
      </c>
      <c r="D3994" s="6">
        <v>6.10904351E8</v>
      </c>
      <c r="E3994" s="4">
        <v>6.109001129E9</v>
      </c>
      <c r="F3994" s="8"/>
      <c r="G3994" s="4" t="s">
        <v>1130</v>
      </c>
      <c r="H3994" s="10" t="s">
        <v>5122</v>
      </c>
      <c r="I3994" s="10">
        <v>5.0</v>
      </c>
      <c r="J3994" s="11" t="str">
        <f>IF(D3994&lt;&gt;"",VLOOKUP(H3994,TABLEITEM,5,FALSE),"")</f>
        <v>EA</v>
      </c>
      <c r="K3994" s="12">
        <v>874.0</v>
      </c>
      <c r="L3994" s="13" t="str">
        <f>IF(D3994&lt;&gt;"",VLOOKUP(H3994,TABLEITEM,2,FALSE),"")</f>
        <v/>
      </c>
      <c r="M3994" s="13" t="str">
        <f>IF(D3994&lt;&gt;"",VLOOKUP(H3994,TABLEITEM,3,FALSE),"")</f>
        <v>BREAKER NF63-CV 3P16A</v>
      </c>
      <c r="N3994" s="14">
        <f>INSTOCK!$I3994*INSTOCK!$K3994</f>
        <v>4370</v>
      </c>
      <c r="O3994" s="4" t="s">
        <v>1607</v>
      </c>
      <c r="P3994" s="4"/>
    </row>
    <row r="3995" ht="15.75" hidden="1" customHeight="1">
      <c r="B3995" s="8">
        <v>4314.0</v>
      </c>
      <c r="C3995" s="9">
        <v>43356.0</v>
      </c>
      <c r="D3995" s="6" t="s">
        <v>5123</v>
      </c>
      <c r="E3995" s="4">
        <v>6.109001126E9</v>
      </c>
      <c r="F3995" s="8" t="s">
        <v>3676</v>
      </c>
      <c r="G3995" s="4" t="s">
        <v>1485</v>
      </c>
      <c r="H3995" s="10" t="s">
        <v>3677</v>
      </c>
      <c r="I3995" s="10">
        <v>1.0</v>
      </c>
      <c r="J3995" s="11" t="str">
        <f>IF(D3995&lt;&gt;"",VLOOKUP(H3995,TABLEITEM,5,FALSE),"")</f>
        <v>EA</v>
      </c>
      <c r="K3995" s="12">
        <v>810.0</v>
      </c>
      <c r="L3995" s="13" t="str">
        <f>IF(D3995&lt;&gt;"",VLOOKUP(H3995,TABLEITEM,2,FALSE),"")</f>
        <v/>
      </c>
      <c r="M3995" s="13" t="str">
        <f>IF(D3995&lt;&gt;"",VLOOKUP(H3995,TABLEITEM,3,FALSE),"")</f>
        <v>MCB IC60N 3P 20A </v>
      </c>
      <c r="N3995" s="14">
        <f>INSTOCK!$I3995*INSTOCK!$K3995</f>
        <v>810</v>
      </c>
      <c r="O3995" s="4"/>
      <c r="P3995" s="4"/>
    </row>
    <row r="3996" ht="15.75" hidden="1" customHeight="1">
      <c r="B3996" s="8">
        <v>4315.0</v>
      </c>
      <c r="C3996" s="9">
        <v>43356.0</v>
      </c>
      <c r="D3996" s="6" t="s">
        <v>5124</v>
      </c>
      <c r="E3996" s="4">
        <v>6.109001132E9</v>
      </c>
      <c r="F3996" s="8" t="s">
        <v>5125</v>
      </c>
      <c r="G3996" s="4" t="s">
        <v>1904</v>
      </c>
      <c r="H3996" s="10" t="s">
        <v>5126</v>
      </c>
      <c r="I3996" s="10">
        <v>1.0</v>
      </c>
      <c r="J3996" s="11" t="str">
        <f>IF(D3996&lt;&gt;"",VLOOKUP(H3996,TABLEITEM,5,FALSE),"")</f>
        <v>EA</v>
      </c>
      <c r="K3996" s="12">
        <v>1900.0</v>
      </c>
      <c r="L3996" s="13" t="str">
        <f>IF(D3996&lt;&gt;"",VLOOKUP(H3996,TABLEITEM,2,FALSE),"")</f>
        <v/>
      </c>
      <c r="M3996" s="13" t="str">
        <f>IF(D3996&lt;&gt;"",VLOOKUP(H3996,TABLEITEM,3,FALSE),"")</f>
        <v>Monitoring Com K8AK-PM2</v>
      </c>
      <c r="N3996" s="14">
        <f>INSTOCK!$I3996*INSTOCK!$K3996</f>
        <v>1900</v>
      </c>
      <c r="O3996" s="4"/>
      <c r="P3996" s="4"/>
    </row>
    <row r="3997" ht="15.75" hidden="1" customHeight="1">
      <c r="B3997" s="8">
        <v>4316.0</v>
      </c>
      <c r="C3997" s="9">
        <v>43355.0</v>
      </c>
      <c r="D3997" s="6" t="s">
        <v>5127</v>
      </c>
      <c r="E3997" s="4">
        <v>6.10900112E9</v>
      </c>
      <c r="F3997" s="8" t="s">
        <v>5128</v>
      </c>
      <c r="G3997" s="4" t="s">
        <v>1631</v>
      </c>
      <c r="H3997" s="18" t="s">
        <v>1781</v>
      </c>
      <c r="I3997" s="10">
        <v>1.0</v>
      </c>
      <c r="J3997" s="11" t="str">
        <f>IF(D3997&lt;&gt;"",VLOOKUP(H3997,TABLEITEM,5,FALSE),"")</f>
        <v>EA</v>
      </c>
      <c r="K3997" s="12">
        <v>4700.0</v>
      </c>
      <c r="L3997" s="13" t="str">
        <f>IF(D3997&lt;&gt;"",VLOOKUP(H3997,TABLEITEM,2,FALSE),"")</f>
        <v/>
      </c>
      <c r="M3997" s="13" t="str">
        <f>IF(D3997&lt;&gt;"",VLOOKUP(H3997,TABLEITEM,3,FALSE),"")</f>
        <v>DIGITAL METER DIRIS A20</v>
      </c>
      <c r="N3997" s="14">
        <f>INSTOCK!$I3997*INSTOCK!$K3997</f>
        <v>4700</v>
      </c>
      <c r="O3997" s="4"/>
      <c r="P3997" s="4"/>
    </row>
    <row r="3998" ht="15.75" hidden="1" customHeight="1">
      <c r="B3998" s="8">
        <v>4317.0</v>
      </c>
      <c r="C3998" s="9">
        <v>43263.0</v>
      </c>
      <c r="D3998" s="6" t="s">
        <v>5129</v>
      </c>
      <c r="E3998" s="4">
        <v>6.109001118E9</v>
      </c>
      <c r="F3998" s="8" t="s">
        <v>604</v>
      </c>
      <c r="G3998" s="4" t="s">
        <v>1870</v>
      </c>
      <c r="H3998" s="10" t="s">
        <v>1998</v>
      </c>
      <c r="I3998" s="10">
        <v>6000.0</v>
      </c>
      <c r="J3998" s="11" t="str">
        <f>IF(D3998&lt;&gt;"",VLOOKUP(H3998,TABLEITEM,5,FALSE),"")</f>
        <v>EA</v>
      </c>
      <c r="K3998" s="12">
        <v>0.495</v>
      </c>
      <c r="L3998" s="13" t="str">
        <f>IF(D3998&lt;&gt;"",VLOOKUP(H3998,TABLEITEM,2,FALSE),"")</f>
        <v/>
      </c>
      <c r="M3998" s="13" t="str">
        <f>IF(D3998&lt;&gt;"",VLOOKUP(H3998,TABLEITEM,3,FALSE),"")</f>
        <v>แหวนอีแปะ M10   HDG</v>
      </c>
      <c r="N3998" s="14">
        <f>INSTOCK!$I3998*INSTOCK!$K3998</f>
        <v>2970</v>
      </c>
      <c r="O3998" s="4" t="s">
        <v>1999</v>
      </c>
      <c r="P3998" s="4"/>
    </row>
    <row r="3999" ht="15.75" hidden="1" customHeight="1">
      <c r="B3999" s="8">
        <v>4318.0</v>
      </c>
      <c r="C3999" s="9">
        <v>43263.0</v>
      </c>
      <c r="D3999" s="6" t="s">
        <v>5129</v>
      </c>
      <c r="E3999" s="4">
        <v>6.109001118E9</v>
      </c>
      <c r="F3999" s="8" t="s">
        <v>604</v>
      </c>
      <c r="G3999" s="4" t="s">
        <v>1870</v>
      </c>
      <c r="H3999" s="10" t="s">
        <v>3709</v>
      </c>
      <c r="I3999" s="10">
        <v>3000.0</v>
      </c>
      <c r="J3999" s="11" t="str">
        <f>IF(D3999&lt;&gt;"",VLOOKUP(H3999,TABLEITEM,5,FALSE),"")</f>
        <v>EA</v>
      </c>
      <c r="K3999" s="12">
        <v>0.33</v>
      </c>
      <c r="L3999" s="13" t="str">
        <f>IF(D3999&lt;&gt;"",VLOOKUP(H3999,TABLEITEM,2,FALSE),"")</f>
        <v/>
      </c>
      <c r="M3999" s="13" t="str">
        <f>IF(D3999&lt;&gt;"",VLOOKUP(H3999,TABLEITEM,3,FALSE),"")</f>
        <v>แหวนสปริง M10   HDG</v>
      </c>
      <c r="N3999" s="14">
        <f>INSTOCK!$I3999*INSTOCK!$K3999</f>
        <v>990</v>
      </c>
      <c r="O3999" s="4" t="s">
        <v>3136</v>
      </c>
      <c r="P3999" s="4"/>
    </row>
    <row r="4000" ht="15.75" hidden="1" customHeight="1">
      <c r="B4000" s="8">
        <v>4319.0</v>
      </c>
      <c r="C4000" s="9">
        <v>43263.0</v>
      </c>
      <c r="D4000" s="6" t="s">
        <v>5129</v>
      </c>
      <c r="E4000" s="4">
        <v>6.109001118E9</v>
      </c>
      <c r="F4000" s="8" t="s">
        <v>604</v>
      </c>
      <c r="G4000" s="4" t="s">
        <v>1870</v>
      </c>
      <c r="H4000" s="10" t="s">
        <v>2512</v>
      </c>
      <c r="I4000" s="10">
        <v>3000.0</v>
      </c>
      <c r="J4000" s="11" t="str">
        <f>IF(D4000&lt;&gt;"",VLOOKUP(H4000,TABLEITEM,5,FALSE),"")</f>
        <v>EA</v>
      </c>
      <c r="K4000" s="12">
        <v>1.265</v>
      </c>
      <c r="L4000" s="13" t="str">
        <f>IF(D4000&lt;&gt;"",VLOOKUP(H4000,TABLEITEM,2,FALSE),"")</f>
        <v/>
      </c>
      <c r="M4000" s="13" t="str">
        <f>IF(D4000&lt;&gt;"",VLOOKUP(H4000,TABLEITEM,3,FALSE),"")</f>
        <v>หัวน้อต M10  HDG</v>
      </c>
      <c r="N4000" s="14">
        <f>INSTOCK!$I4000*INSTOCK!$K4000</f>
        <v>3795</v>
      </c>
      <c r="O4000" s="4" t="s">
        <v>2513</v>
      </c>
      <c r="P4000" s="4"/>
    </row>
    <row r="4001" ht="15.75" hidden="1" customHeight="1">
      <c r="B4001" s="8">
        <v>4320.0</v>
      </c>
      <c r="C4001" s="9">
        <v>43355.0</v>
      </c>
      <c r="D4001" s="6">
        <v>6.1090422E7</v>
      </c>
      <c r="E4001" s="4">
        <v>6.109001127E9</v>
      </c>
      <c r="F4001" s="8"/>
      <c r="G4001" s="4" t="s">
        <v>1130</v>
      </c>
      <c r="H4001" s="10" t="s">
        <v>4369</v>
      </c>
      <c r="I4001" s="10">
        <v>1.0</v>
      </c>
      <c r="J4001" s="11" t="str">
        <f>IF(D4001&lt;&gt;"",VLOOKUP(H4001,TABLEITEM,5,FALSE),"")</f>
        <v>EA</v>
      </c>
      <c r="K4001" s="12">
        <v>300.0</v>
      </c>
      <c r="L4001" s="13" t="str">
        <f>IF(D4001&lt;&gt;"",VLOOKUP(H4001,TABLEITEM,2,FALSE),"")</f>
        <v/>
      </c>
      <c r="M4001" s="13" t="str">
        <f>IF(D4001&lt;&gt;"",VLOOKUP(H4001,TABLEITEM,3,FALSE),"")</f>
        <v>AmpmetER 96x96mm 100/5</v>
      </c>
      <c r="N4001" s="14">
        <f>INSTOCK!$I4001*INSTOCK!$K4001</f>
        <v>300</v>
      </c>
      <c r="O4001" s="4" t="s">
        <v>4370</v>
      </c>
      <c r="P4001" s="4"/>
    </row>
    <row r="4002" ht="15.75" hidden="1" customHeight="1">
      <c r="B4002" s="8">
        <v>4321.0</v>
      </c>
      <c r="C4002" s="9">
        <v>43355.0</v>
      </c>
      <c r="D4002" s="6">
        <v>6.1090422E7</v>
      </c>
      <c r="E4002" s="4">
        <v>6.109001127E9</v>
      </c>
      <c r="F4002" s="8"/>
      <c r="G4002" s="4" t="s">
        <v>1130</v>
      </c>
      <c r="H4002" s="18" t="s">
        <v>4371</v>
      </c>
      <c r="I4002" s="10">
        <v>1.0</v>
      </c>
      <c r="J4002" s="11" t="str">
        <f>IF(D4002&lt;&gt;"",VLOOKUP(H4002,TABLEITEM,5,FALSE),"")</f>
        <v>EA</v>
      </c>
      <c r="K4002" s="12">
        <v>312.0</v>
      </c>
      <c r="L4002" s="13" t="str">
        <f>IF(D4002&lt;&gt;"",VLOOKUP(H4002,TABLEITEM,2,FALSE),"")</f>
        <v/>
      </c>
      <c r="M4002" s="13" t="str">
        <f>IF(D4002&lt;&gt;"",VLOOKUP(H4002,TABLEITEM,3,FALSE),"")</f>
        <v>Voltmeter 96x96mm 500V</v>
      </c>
      <c r="N4002" s="14">
        <f>INSTOCK!$I4002*INSTOCK!$K4002</f>
        <v>312</v>
      </c>
      <c r="O4002" s="4" t="s">
        <v>4372</v>
      </c>
      <c r="P4002" s="4"/>
    </row>
    <row r="4003" ht="15.75" hidden="1" customHeight="1">
      <c r="B4003" s="8">
        <v>4322.0</v>
      </c>
      <c r="C4003" s="9">
        <v>43355.0</v>
      </c>
      <c r="D4003" s="6">
        <v>6.10904183E8</v>
      </c>
      <c r="E4003" s="4">
        <v>6.109001124E9</v>
      </c>
      <c r="F4003" s="8"/>
      <c r="G4003" s="4" t="s">
        <v>1130</v>
      </c>
      <c r="H4003" s="10" t="s">
        <v>5130</v>
      </c>
      <c r="I4003" s="10">
        <v>1.0</v>
      </c>
      <c r="J4003" s="11" t="str">
        <f>IF(D4003&lt;&gt;"",VLOOKUP(H4003,TABLEITEM,5,FALSE),"")</f>
        <v>EA</v>
      </c>
      <c r="K4003" s="12">
        <v>255.0</v>
      </c>
      <c r="L4003" s="13" t="str">
        <f>IF(D4003&lt;&gt;"",VLOOKUP(H4003,TABLEITEM,2,FALSE),"")</f>
        <v/>
      </c>
      <c r="M4003" s="13" t="str">
        <f>IF(D4003&lt;&gt;"",VLOOKUP(H4003,TABLEITEM,3,FALSE),"")</f>
        <v>CP-86/60 500/5A เคอร์เร้นท์</v>
      </c>
      <c r="N4003" s="14">
        <f>INSTOCK!$I4003*INSTOCK!$K4003</f>
        <v>255</v>
      </c>
      <c r="O4003" s="4" t="s">
        <v>5131</v>
      </c>
      <c r="P4003" s="4"/>
    </row>
    <row r="4004" ht="15.75" hidden="1" customHeight="1">
      <c r="B4004" s="8">
        <v>4323.0</v>
      </c>
      <c r="C4004" s="9">
        <v>43355.0</v>
      </c>
      <c r="D4004" s="6">
        <v>6.10904183E8</v>
      </c>
      <c r="E4004" s="4">
        <v>6.109001124E9</v>
      </c>
      <c r="F4004" s="8"/>
      <c r="G4004" s="4" t="s">
        <v>1130</v>
      </c>
      <c r="H4004" s="10" t="s">
        <v>1728</v>
      </c>
      <c r="I4004" s="10">
        <v>30.0</v>
      </c>
      <c r="J4004" s="11" t="str">
        <f>IF(D4004&lt;&gt;"",VLOOKUP(H4004,TABLEITEM,5,FALSE),"")</f>
        <v>EA</v>
      </c>
      <c r="K4004" s="12">
        <v>133.0</v>
      </c>
      <c r="L4004" s="13" t="str">
        <f>IF(D4004&lt;&gt;"",VLOOKUP(H4004,TABLEITEM,2,FALSE),"")</f>
        <v/>
      </c>
      <c r="M4004" s="13" t="str">
        <f>IF(D4004&lt;&gt;"",VLOOKUP(H4004,TABLEITEM,3,FALSE),"")</f>
        <v>Relay MY4N-GS 220/240VAC </v>
      </c>
      <c r="N4004" s="14">
        <f>INSTOCK!$I4004*INSTOCK!$K4004</f>
        <v>3990</v>
      </c>
      <c r="O4004" s="4"/>
      <c r="P4004" s="4"/>
    </row>
    <row r="4005" ht="15.75" hidden="1" customHeight="1">
      <c r="B4005" s="8">
        <v>4324.0</v>
      </c>
      <c r="C4005" s="9">
        <v>43355.0</v>
      </c>
      <c r="D4005" s="6">
        <v>6.10904183E8</v>
      </c>
      <c r="E4005" s="4">
        <v>6.109001124E9</v>
      </c>
      <c r="F4005" s="8"/>
      <c r="G4005" s="4" t="s">
        <v>1130</v>
      </c>
      <c r="H4005" s="10" t="s">
        <v>1832</v>
      </c>
      <c r="I4005" s="10">
        <v>30.0</v>
      </c>
      <c r="J4005" s="11" t="str">
        <f>IF(D4005&lt;&gt;"",VLOOKUP(H4005,TABLEITEM,5,FALSE),"")</f>
        <v>EA</v>
      </c>
      <c r="K4005" s="12">
        <v>50.0</v>
      </c>
      <c r="L4005" s="13" t="str">
        <f>IF(D4005&lt;&gt;"",VLOOKUP(H4005,TABLEITEM,2,FALSE),"")</f>
        <v/>
      </c>
      <c r="M4005" s="13" t="str">
        <f>IF(D4005&lt;&gt;"",VLOOKUP(H4005,TABLEITEM,3,FALSE),"")</f>
        <v>SOCKET PYF-14A-E</v>
      </c>
      <c r="N4005" s="14">
        <f>INSTOCK!$I4005*INSTOCK!$K4005</f>
        <v>1500</v>
      </c>
      <c r="O4005" s="4"/>
      <c r="P4005" s="4"/>
    </row>
    <row r="4006" ht="15.75" hidden="1" customHeight="1">
      <c r="B4006" s="8">
        <v>4325.0</v>
      </c>
      <c r="C4006" s="9">
        <v>43355.0</v>
      </c>
      <c r="D4006" s="6">
        <v>6.10904183E8</v>
      </c>
      <c r="E4006" s="4">
        <v>6.109001124E9</v>
      </c>
      <c r="F4006" s="8"/>
      <c r="G4006" s="4" t="s">
        <v>1130</v>
      </c>
      <c r="H4006" s="10" t="s">
        <v>1555</v>
      </c>
      <c r="I4006" s="10">
        <v>30.0</v>
      </c>
      <c r="J4006" s="11" t="str">
        <f>IF(D4006&lt;&gt;"",VLOOKUP(H4006,TABLEITEM,5,FALSE),"")</f>
        <v>EA</v>
      </c>
      <c r="K4006" s="12">
        <v>40.0</v>
      </c>
      <c r="L4006" s="13" t="str">
        <f>IF(D4006&lt;&gt;"",VLOOKUP(H4006,TABLEITEM,2,FALSE),"")</f>
        <v/>
      </c>
      <c r="M4006" s="13" t="str">
        <f>IF(D4006&lt;&gt;"",VLOOKUP(H4006,TABLEITEM,3,FALSE),"")</f>
        <v>SOCKET PYF-08A-E </v>
      </c>
      <c r="N4006" s="14">
        <f>INSTOCK!$I4006*INSTOCK!$K4006</f>
        <v>1200</v>
      </c>
      <c r="O4006" s="4"/>
      <c r="P4006" s="4"/>
    </row>
    <row r="4007" ht="15.75" hidden="1" customHeight="1">
      <c r="B4007" s="8">
        <v>4326.0</v>
      </c>
      <c r="C4007" s="9">
        <v>43355.0</v>
      </c>
      <c r="D4007" s="6" t="s">
        <v>5132</v>
      </c>
      <c r="E4007" s="4" t="s">
        <v>5133</v>
      </c>
      <c r="F4007" s="8"/>
      <c r="G4007" s="4" t="s">
        <v>1516</v>
      </c>
      <c r="H4007" s="10" t="s">
        <v>5134</v>
      </c>
      <c r="I4007" s="10">
        <v>5.0</v>
      </c>
      <c r="J4007" s="11" t="str">
        <f>IF(D4007&lt;&gt;"",VLOOKUP(H4007,TABLEITEM,5,FALSE),"")</f>
        <v>EA</v>
      </c>
      <c r="K4007" s="12">
        <v>331.1</v>
      </c>
      <c r="L4007" s="13" t="str">
        <f>IF(D4007&lt;&gt;"",VLOOKUP(H4007,TABLEITEM,2,FALSE),"")</f>
        <v/>
      </c>
      <c r="M4007" s="13" t="str">
        <f>IF(D4007&lt;&gt;"",VLOOKUP(H4007,TABLEITEM,3,FALSE),"")</f>
        <v>GV2 GV3 AUXILIARY N/C(FLT)N/C LHS</v>
      </c>
      <c r="N4007" s="14">
        <f>INSTOCK!$I4007*INSTOCK!$K4007</f>
        <v>1655.5</v>
      </c>
      <c r="O4007" s="4" t="s">
        <v>5135</v>
      </c>
      <c r="P4007" s="4"/>
    </row>
    <row r="4008" ht="15.75" hidden="1" customHeight="1">
      <c r="B4008" s="8">
        <v>4327.0</v>
      </c>
      <c r="C4008" s="9">
        <v>43355.0</v>
      </c>
      <c r="D4008" s="6" t="s">
        <v>5136</v>
      </c>
      <c r="E4008" s="4"/>
      <c r="F4008" s="8" t="s">
        <v>5022</v>
      </c>
      <c r="G4008" s="4" t="s">
        <v>2727</v>
      </c>
      <c r="H4008" s="10" t="s">
        <v>3189</v>
      </c>
      <c r="I4008" s="10">
        <v>2.0</v>
      </c>
      <c r="J4008" s="11" t="str">
        <f>IF(D4008&lt;&gt;"",VLOOKUP(H4008,TABLEITEM,5,FALSE),"")</f>
        <v>แผ่น</v>
      </c>
      <c r="K4008" s="12">
        <v>250.0</v>
      </c>
      <c r="L4008" s="13" t="str">
        <f>IF(D4008&lt;&gt;"",VLOOKUP(H4008,TABLEITEM,2,FALSE),"")</f>
        <v/>
      </c>
      <c r="M4008" s="13" t="str">
        <f>IF(D4008&lt;&gt;"",VLOOKUP(H4008,TABLEITEM,3,FALSE),"")</f>
        <v>แผ่นลามิเนท TD9200AB</v>
      </c>
      <c r="N4008" s="14">
        <f>INSTOCK!$I4008*INSTOCK!$K4008</f>
        <v>500</v>
      </c>
      <c r="O4008" s="4"/>
      <c r="P4008" s="4"/>
    </row>
    <row r="4009" ht="15.75" hidden="1" customHeight="1">
      <c r="B4009" s="8">
        <v>4328.0</v>
      </c>
      <c r="C4009" s="9">
        <v>43355.0</v>
      </c>
      <c r="D4009" s="6">
        <v>6.10904062E8</v>
      </c>
      <c r="E4009" s="4">
        <v>6.109001121E9</v>
      </c>
      <c r="F4009" s="8"/>
      <c r="G4009" s="4" t="s">
        <v>1130</v>
      </c>
      <c r="H4009" s="10" t="s">
        <v>5137</v>
      </c>
      <c r="I4009" s="10">
        <v>7.0</v>
      </c>
      <c r="J4009" s="11" t="str">
        <f>IF(D4009&lt;&gt;"",VLOOKUP(H4009,TABLEITEM,5,FALSE),"")</f>
        <v>EA</v>
      </c>
      <c r="K4009" s="12">
        <v>695.0</v>
      </c>
      <c r="L4009" s="13" t="str">
        <f>IF(D4009&lt;&gt;"",VLOOKUP(H4009,TABLEITEM,2,FALSE),"")</f>
        <v/>
      </c>
      <c r="M4009" s="13" t="str">
        <f>IF(D4009&lt;&gt;"",VLOOKUP(H4009,TABLEITEM,3,FALSE),"")</f>
        <v>HOUR METER TH-2385</v>
      </c>
      <c r="N4009" s="14">
        <f>INSTOCK!$I4009*INSTOCK!$K4009</f>
        <v>4865</v>
      </c>
      <c r="O4009" s="4"/>
      <c r="P4009" s="4"/>
    </row>
    <row r="4010" ht="15.75" hidden="1" customHeight="1">
      <c r="B4010" s="8">
        <v>4329.0</v>
      </c>
      <c r="C4010" s="9">
        <v>43355.0</v>
      </c>
      <c r="D4010" s="6" t="s">
        <v>5138</v>
      </c>
      <c r="E4010" s="4">
        <v>6.109001116E9</v>
      </c>
      <c r="F4010" s="8" t="s">
        <v>5139</v>
      </c>
      <c r="G4010" s="4" t="s">
        <v>1485</v>
      </c>
      <c r="H4010" s="10" t="s">
        <v>1558</v>
      </c>
      <c r="I4010" s="10">
        <v>6.0</v>
      </c>
      <c r="J4010" s="11" t="str">
        <f>IF(D4010&lt;&gt;"",VLOOKUP(H4010,TABLEITEM,5,FALSE),"")</f>
        <v>EA</v>
      </c>
      <c r="K4010" s="12">
        <v>360.8</v>
      </c>
      <c r="L4010" s="13" t="str">
        <f>IF(D4010&lt;&gt;"",VLOOKUP(H4010,TABLEITEM,2,FALSE),"")</f>
        <v/>
      </c>
      <c r="M4010" s="13" t="str">
        <f>IF(D4010&lt;&gt;"",VLOOKUP(H4010,TABLEITEM,3,FALSE),"")</f>
        <v>CONTACTOR LC1D09M7</v>
      </c>
      <c r="N4010" s="14">
        <f>INSTOCK!$I4010*INSTOCK!$K4010</f>
        <v>2164.8</v>
      </c>
      <c r="O4010" s="4"/>
      <c r="P4010" s="4"/>
    </row>
    <row r="4011" ht="15.75" hidden="1" customHeight="1">
      <c r="B4011" s="8">
        <v>4330.0</v>
      </c>
      <c r="C4011" s="9">
        <v>43355.0</v>
      </c>
      <c r="D4011" s="6" t="s">
        <v>5138</v>
      </c>
      <c r="E4011" s="4">
        <v>6.109001116E9</v>
      </c>
      <c r="F4011" s="8" t="s">
        <v>5139</v>
      </c>
      <c r="G4011" s="4" t="s">
        <v>1485</v>
      </c>
      <c r="H4011" s="10" t="s">
        <v>5140</v>
      </c>
      <c r="I4011" s="10">
        <v>6.0</v>
      </c>
      <c r="J4011" s="11" t="str">
        <f>IF(D4011&lt;&gt;"",VLOOKUP(H4011,TABLEITEM,5,FALSE),"")</f>
        <v>EA</v>
      </c>
      <c r="K4011" s="12">
        <v>627.3</v>
      </c>
      <c r="L4011" s="13" t="str">
        <f>IF(D4011&lt;&gt;"",VLOOKUP(H4011,TABLEITEM,2,FALSE),"")</f>
        <v/>
      </c>
      <c r="M4011" s="13" t="str">
        <f>IF(D4011&lt;&gt;"",VLOOKUP(H4011,TABLEITEM,3,FALSE),"")</f>
        <v>TESYS LRD THERMAL OVERLOAD RELAY 9-13 CLASS 10A</v>
      </c>
      <c r="N4011" s="14">
        <f>INSTOCK!$I4011*INSTOCK!$K4011</f>
        <v>3763.8</v>
      </c>
      <c r="O4011" s="4"/>
      <c r="P4011" s="4"/>
    </row>
    <row r="4012" ht="15.75" hidden="1" customHeight="1">
      <c r="B4012" s="8">
        <v>4331.0</v>
      </c>
      <c r="C4012" s="9">
        <v>43355.0</v>
      </c>
      <c r="D4012" s="6" t="s">
        <v>5141</v>
      </c>
      <c r="E4012" s="4">
        <v>6.109001122E9</v>
      </c>
      <c r="F4012" s="8"/>
      <c r="G4012" s="4" t="s">
        <v>1516</v>
      </c>
      <c r="H4012" s="10" t="s">
        <v>2200</v>
      </c>
      <c r="I4012" s="10">
        <v>5.0</v>
      </c>
      <c r="J4012" s="11" t="str">
        <f>IF(D4012&lt;&gt;"",VLOOKUP(H4012,TABLEITEM,5,FALSE),"")</f>
        <v>EA</v>
      </c>
      <c r="K4012" s="12">
        <v>331.1</v>
      </c>
      <c r="L4012" s="13" t="str">
        <f>IF(D4012&lt;&gt;"",VLOOKUP(H4012,TABLEITEM,2,FALSE),"")</f>
        <v/>
      </c>
      <c r="M4012" s="13" t="str">
        <f>IF(D4012&lt;&gt;"",VLOOKUP(H4012,TABLEITEM,3,FALSE),"")</f>
        <v>GV2&amp;GV3 AUXILIARY GVAD1010</v>
      </c>
      <c r="N4012" s="14">
        <f>INSTOCK!$I4012*INSTOCK!$K4012</f>
        <v>1655.5</v>
      </c>
      <c r="O4012" s="4" t="s">
        <v>5135</v>
      </c>
      <c r="P4012" s="4"/>
    </row>
    <row r="4013" ht="15.75" hidden="1" customHeight="1">
      <c r="B4013" s="8">
        <v>4332.0</v>
      </c>
      <c r="C4013" s="9">
        <v>43354.0</v>
      </c>
      <c r="D4013" s="6">
        <v>6.10903902E8</v>
      </c>
      <c r="E4013" s="4">
        <v>6.109001115E9</v>
      </c>
      <c r="F4013" s="8"/>
      <c r="G4013" s="4" t="s">
        <v>1130</v>
      </c>
      <c r="H4013" s="10" t="s">
        <v>3979</v>
      </c>
      <c r="I4013" s="10">
        <v>2.0</v>
      </c>
      <c r="J4013" s="11" t="str">
        <f>IF(D4013&lt;&gt;"",VLOOKUP(H4013,TABLEITEM,5,FALSE),"")</f>
        <v>EA</v>
      </c>
      <c r="K4013" s="12">
        <v>1120.0</v>
      </c>
      <c r="L4013" s="13" t="str">
        <f>IF(D4013&lt;&gt;"",VLOOKUP(H4013,TABLEITEM,2,FALSE),"")</f>
        <v/>
      </c>
      <c r="M4013" s="13" t="str">
        <f>IF(D4013&lt;&gt;"",VLOOKUP(H4013,TABLEITEM,3,FALSE),"")</f>
        <v>เฟสโปรเทคเตอร์ WOP-4 380V 3P4W</v>
      </c>
      <c r="N4013" s="14">
        <f>INSTOCK!$I4013*INSTOCK!$K4013</f>
        <v>2240</v>
      </c>
      <c r="O4013" s="4"/>
      <c r="P4013" s="4"/>
    </row>
    <row r="4014" ht="15.75" hidden="1" customHeight="1">
      <c r="B4014" s="8">
        <v>4333.0</v>
      </c>
      <c r="C4014" s="9">
        <v>43354.0</v>
      </c>
      <c r="D4014" s="6">
        <v>6.10903902E8</v>
      </c>
      <c r="E4014" s="4">
        <v>6.109001115E9</v>
      </c>
      <c r="F4014" s="8"/>
      <c r="G4014" s="4" t="s">
        <v>1130</v>
      </c>
      <c r="H4014" s="10" t="s">
        <v>1599</v>
      </c>
      <c r="I4014" s="10">
        <v>4.0</v>
      </c>
      <c r="J4014" s="11" t="str">
        <f>IF(D4014&lt;&gt;"",VLOOKUP(H4014,TABLEITEM,5,FALSE),"")</f>
        <v>EA</v>
      </c>
      <c r="K4014" s="12">
        <v>306.375</v>
      </c>
      <c r="L4014" s="13" t="str">
        <f>IF(D4014&lt;&gt;"",VLOOKUP(H4014,TABLEITEM,2,FALSE),"")</f>
        <v/>
      </c>
      <c r="M4014" s="13" t="str">
        <f>IF(D4014&lt;&gt;"",VLOOKUP(H4014,TABLEITEM,3,FALSE),"")</f>
        <v>CT1500/5 MSQ130 </v>
      </c>
      <c r="N4014" s="14">
        <f>INSTOCK!$I4014*INSTOCK!$K4014</f>
        <v>1225.5</v>
      </c>
      <c r="O4014" s="4" t="s">
        <v>1600</v>
      </c>
      <c r="P4014" s="4"/>
    </row>
    <row r="4015" ht="15.75" hidden="1" customHeight="1">
      <c r="B4015" s="8">
        <v>4334.0</v>
      </c>
      <c r="C4015" s="9">
        <v>43354.0</v>
      </c>
      <c r="D4015" s="6">
        <v>6.10903902E8</v>
      </c>
      <c r="E4015" s="4">
        <v>6.109001115E9</v>
      </c>
      <c r="F4015" s="8"/>
      <c r="G4015" s="4" t="s">
        <v>1130</v>
      </c>
      <c r="H4015" s="10" t="s">
        <v>5142</v>
      </c>
      <c r="I4015" s="10">
        <v>3.0</v>
      </c>
      <c r="J4015" s="11" t="str">
        <f>IF(D4015&lt;&gt;"",VLOOKUP(H4015,TABLEITEM,5,FALSE),"")</f>
        <v>EA</v>
      </c>
      <c r="K4015" s="12">
        <v>174.5633</v>
      </c>
      <c r="L4015" s="13" t="str">
        <f>IF(D4015&lt;&gt;"",VLOOKUP(H4015,TABLEITEM,2,FALSE),"")</f>
        <v/>
      </c>
      <c r="M4015" s="13" t="str">
        <f>IF(D4015&lt;&gt;"",VLOOKUP(H4015,TABLEITEM,3,FALSE),"")</f>
        <v>CT800/5 MSQ60</v>
      </c>
      <c r="N4015" s="14">
        <f>INSTOCK!$I4015*INSTOCK!$K4015</f>
        <v>523.6899</v>
      </c>
      <c r="O4015" s="4" t="s">
        <v>3125</v>
      </c>
      <c r="P4015" s="4"/>
    </row>
    <row r="4016" ht="15.75" hidden="1" customHeight="1">
      <c r="B4016" s="8">
        <v>4335.0</v>
      </c>
      <c r="C4016" s="9">
        <v>43354.0</v>
      </c>
      <c r="D4016" s="6">
        <v>6.10903902E8</v>
      </c>
      <c r="E4016" s="4">
        <v>6.109001115E9</v>
      </c>
      <c r="F4016" s="8"/>
      <c r="G4016" s="4" t="s">
        <v>1130</v>
      </c>
      <c r="H4016" s="10" t="s">
        <v>5143</v>
      </c>
      <c r="I4016" s="10">
        <v>20.0</v>
      </c>
      <c r="J4016" s="11" t="str">
        <f>IF(D4016&lt;&gt;"",VLOOKUP(H4016,TABLEITEM,5,FALSE),"")</f>
        <v>EA</v>
      </c>
      <c r="K4016" s="12">
        <v>133.0</v>
      </c>
      <c r="L4016" s="13" t="str">
        <f>IF(D4016&lt;&gt;"",VLOOKUP(H4016,TABLEITEM,2,FALSE),"")</f>
        <v/>
      </c>
      <c r="M4016" s="13" t="str">
        <f>IF(D4016&lt;&gt;"",VLOOKUP(H4016,TABLEITEM,3,FALSE),"")</f>
        <v>Relay MY4N-GS 24VAC </v>
      </c>
      <c r="N4016" s="14">
        <f>INSTOCK!$I4016*INSTOCK!$K4016</f>
        <v>2660</v>
      </c>
      <c r="O4016" s="4"/>
      <c r="P4016" s="4"/>
    </row>
    <row r="4017" ht="15.75" hidden="1" customHeight="1">
      <c r="B4017" s="8">
        <v>4336.0</v>
      </c>
      <c r="C4017" s="9">
        <v>43354.0</v>
      </c>
      <c r="D4017" s="6">
        <v>6.10903902E8</v>
      </c>
      <c r="E4017" s="4">
        <v>6.109001115E9</v>
      </c>
      <c r="F4017" s="8"/>
      <c r="G4017" s="4" t="s">
        <v>1130</v>
      </c>
      <c r="H4017" s="10" t="s">
        <v>5144</v>
      </c>
      <c r="I4017" s="10">
        <v>20.0</v>
      </c>
      <c r="J4017" s="11" t="str">
        <f>IF(D4017&lt;&gt;"",VLOOKUP(H4017,TABLEITEM,5,FALSE),"")</f>
        <v>EA</v>
      </c>
      <c r="K4017" s="12">
        <v>105.0</v>
      </c>
      <c r="L4017" s="13" t="str">
        <f>IF(D4017&lt;&gt;"",VLOOKUP(H4017,TABLEITEM,2,FALSE),"")</f>
        <v/>
      </c>
      <c r="M4017" s="13" t="str">
        <f>IF(D4017&lt;&gt;"",VLOOKUP(H4017,TABLEITEM,3,FALSE),"")</f>
        <v>RELAY MY2N-GS-24VDC </v>
      </c>
      <c r="N4017" s="14">
        <f>INSTOCK!$I4017*INSTOCK!$K4017</f>
        <v>2100</v>
      </c>
      <c r="O4017" s="4"/>
      <c r="P4017" s="4"/>
    </row>
    <row r="4018" ht="15.75" hidden="1" customHeight="1">
      <c r="B4018" s="8">
        <v>4337.0</v>
      </c>
      <c r="C4018" s="9">
        <v>43354.0</v>
      </c>
      <c r="D4018" s="6">
        <v>6.10903902E8</v>
      </c>
      <c r="E4018" s="4">
        <v>6.109001115E9</v>
      </c>
      <c r="F4018" s="8"/>
      <c r="G4018" s="4" t="s">
        <v>1130</v>
      </c>
      <c r="H4018" s="10" t="s">
        <v>1554</v>
      </c>
      <c r="I4018" s="10">
        <v>20.0</v>
      </c>
      <c r="J4018" s="11" t="str">
        <f>IF(D4018&lt;&gt;"",VLOOKUP(H4018,TABLEITEM,5,FALSE),"")</f>
        <v>EA</v>
      </c>
      <c r="K4018" s="12">
        <v>105.0</v>
      </c>
      <c r="L4018" s="13" t="str">
        <f>IF(D4018&lt;&gt;"",VLOOKUP(H4018,TABLEITEM,2,FALSE),"")</f>
        <v/>
      </c>
      <c r="M4018" s="13" t="str">
        <f>IF(D4018&lt;&gt;"",VLOOKUP(H4018,TABLEITEM,3,FALSE),"")</f>
        <v>RELAY MY2N-GS 220/240VAC</v>
      </c>
      <c r="N4018" s="14">
        <f>INSTOCK!$I4018*INSTOCK!$K4018</f>
        <v>2100</v>
      </c>
      <c r="O4018" s="4"/>
      <c r="P4018" s="4"/>
    </row>
    <row r="4019" ht="15.75" hidden="1" customHeight="1">
      <c r="B4019" s="8">
        <v>4338.0</v>
      </c>
      <c r="C4019" s="9">
        <v>43354.0</v>
      </c>
      <c r="D4019" s="6">
        <v>6.10903902E8</v>
      </c>
      <c r="E4019" s="4">
        <v>6.109001115E9</v>
      </c>
      <c r="F4019" s="8"/>
      <c r="G4019" s="4" t="s">
        <v>1130</v>
      </c>
      <c r="H4019" s="10" t="s">
        <v>4385</v>
      </c>
      <c r="I4019" s="10">
        <v>1.0</v>
      </c>
      <c r="J4019" s="11" t="str">
        <f>IF(D4019&lt;&gt;"",VLOOKUP(H4019,TABLEITEM,5,FALSE),"")</f>
        <v>EA</v>
      </c>
      <c r="K4019" s="12">
        <v>874.0</v>
      </c>
      <c r="L4019" s="13" t="str">
        <f>IF(D4019&lt;&gt;"",VLOOKUP(H4019,TABLEITEM,2,FALSE),"")</f>
        <v/>
      </c>
      <c r="M4019" s="13" t="str">
        <f>IF(D4019&lt;&gt;"",VLOOKUP(H4019,TABLEITEM,3,FALSE),"")</f>
        <v>BREAKER NF63 CV 3P 32A</v>
      </c>
      <c r="N4019" s="14">
        <f>INSTOCK!$I4019*INSTOCK!$K4019</f>
        <v>874</v>
      </c>
      <c r="O4019" s="4" t="s">
        <v>1607</v>
      </c>
      <c r="P4019" s="4"/>
    </row>
    <row r="4020" ht="15.75" hidden="1" customHeight="1">
      <c r="B4020" s="8">
        <v>4339.0</v>
      </c>
      <c r="C4020" s="9">
        <v>43354.0</v>
      </c>
      <c r="D4020" s="6">
        <v>6.10903902E8</v>
      </c>
      <c r="E4020" s="4">
        <v>6.109001115E9</v>
      </c>
      <c r="F4020" s="8"/>
      <c r="G4020" s="4" t="s">
        <v>1130</v>
      </c>
      <c r="H4020" s="10" t="s">
        <v>3316</v>
      </c>
      <c r="I4020" s="10">
        <v>4.0</v>
      </c>
      <c r="J4020" s="11" t="str">
        <f>IF(D4020&lt;&gt;"",VLOOKUP(H4020,TABLEITEM,5,FALSE),"")</f>
        <v>EA</v>
      </c>
      <c r="K4020" s="12">
        <v>874.0</v>
      </c>
      <c r="L4020" s="13" t="str">
        <f>IF(D4020&lt;&gt;"",VLOOKUP(H4020,TABLEITEM,2,FALSE),"")</f>
        <v/>
      </c>
      <c r="M4020" s="13" t="str">
        <f>IF(D4020&lt;&gt;"",VLOOKUP(H4020,TABLEITEM,3,FALSE),"")</f>
        <v>เบรกเกอร์ มิตซู NF32-SV 3P 20A</v>
      </c>
      <c r="N4020" s="14">
        <f>INSTOCK!$I4020*INSTOCK!$K4020</f>
        <v>3496</v>
      </c>
      <c r="O4020" s="4" t="s">
        <v>1607</v>
      </c>
      <c r="P4020" s="4"/>
    </row>
    <row r="4021" ht="15.75" hidden="1" customHeight="1">
      <c r="B4021" s="8">
        <v>4340.0</v>
      </c>
      <c r="C4021" s="9">
        <v>43354.0</v>
      </c>
      <c r="D4021" s="6">
        <v>6.10903902E8</v>
      </c>
      <c r="E4021" s="4">
        <v>6.109001115E9</v>
      </c>
      <c r="F4021" s="8"/>
      <c r="G4021" s="4" t="s">
        <v>1130</v>
      </c>
      <c r="H4021" s="10" t="s">
        <v>5122</v>
      </c>
      <c r="I4021" s="10">
        <v>1.0</v>
      </c>
      <c r="J4021" s="11" t="str">
        <f>IF(D4021&lt;&gt;"",VLOOKUP(H4021,TABLEITEM,5,FALSE),"")</f>
        <v>EA</v>
      </c>
      <c r="K4021" s="12">
        <v>874.0</v>
      </c>
      <c r="L4021" s="13" t="str">
        <f>IF(D4021&lt;&gt;"",VLOOKUP(H4021,TABLEITEM,2,FALSE),"")</f>
        <v/>
      </c>
      <c r="M4021" s="13" t="str">
        <f>IF(D4021&lt;&gt;"",VLOOKUP(H4021,TABLEITEM,3,FALSE),"")</f>
        <v>BREAKER NF63-CV 3P16A</v>
      </c>
      <c r="N4021" s="14">
        <f>INSTOCK!$I4021*INSTOCK!$K4021</f>
        <v>874</v>
      </c>
      <c r="O4021" s="4" t="s">
        <v>1607</v>
      </c>
      <c r="P4021" s="4"/>
    </row>
    <row r="4022" ht="15.75" hidden="1" customHeight="1">
      <c r="B4022" s="8">
        <v>4341.0</v>
      </c>
      <c r="C4022" s="9">
        <v>43354.0</v>
      </c>
      <c r="D4022" s="6">
        <v>6.10903902E8</v>
      </c>
      <c r="E4022" s="4">
        <v>6.109001115E9</v>
      </c>
      <c r="F4022" s="8"/>
      <c r="G4022" s="4" t="s">
        <v>1130</v>
      </c>
      <c r="H4022" s="10" t="s">
        <v>4872</v>
      </c>
      <c r="I4022" s="10">
        <v>1.0</v>
      </c>
      <c r="J4022" s="11" t="str">
        <f>IF(D4022&lt;&gt;"",VLOOKUP(H4022,TABLEITEM,5,FALSE),"")</f>
        <v>EA</v>
      </c>
      <c r="K4022" s="12">
        <v>2990.0</v>
      </c>
      <c r="L4022" s="13" t="str">
        <f>IF(D4022&lt;&gt;"",VLOOKUP(H4022,TABLEITEM,2,FALSE),"")</f>
        <v/>
      </c>
      <c r="M4022" s="13" t="str">
        <f>IF(D4022&lt;&gt;"",VLOOKUP(H4022,TABLEITEM,3,FALSE),"")</f>
        <v>เบรกเกอร์ NF250-CV 3P 150A</v>
      </c>
      <c r="N4022" s="14">
        <f>INSTOCK!$I4022*INSTOCK!$K4022</f>
        <v>2990</v>
      </c>
      <c r="O4022" s="4" t="s">
        <v>5145</v>
      </c>
      <c r="P4022" s="4"/>
    </row>
    <row r="4023" ht="15.75" hidden="1" customHeight="1">
      <c r="B4023" s="8">
        <v>4342.0</v>
      </c>
      <c r="C4023" s="9">
        <v>43354.0</v>
      </c>
      <c r="D4023" s="6" t="s">
        <v>5146</v>
      </c>
      <c r="E4023" s="4">
        <v>6.108000948E9</v>
      </c>
      <c r="F4023" s="8"/>
      <c r="G4023" s="4" t="s">
        <v>4811</v>
      </c>
      <c r="H4023" s="10" t="s">
        <v>5147</v>
      </c>
      <c r="I4023" s="10">
        <v>2.0</v>
      </c>
      <c r="J4023" s="11" t="str">
        <f>IF(D4023&lt;&gt;"",VLOOKUP(H4023,TABLEITEM,5,FALSE),"")</f>
        <v>EA</v>
      </c>
      <c r="K4023" s="12">
        <v>21000.0</v>
      </c>
      <c r="L4023" s="13" t="str">
        <f>IF(D4023&lt;&gt;"",VLOOKUP(H4023,TABLEITEM,2,FALSE),"")</f>
        <v/>
      </c>
      <c r="M4023" s="13" t="str">
        <f>IF(D4023&lt;&gt;"",VLOOKUP(H4023,TABLEITEM,3,FALSE),"")</f>
        <v>PUNCH NO.202 88 R 0.2H=100 L=835 (ONE TOUC)</v>
      </c>
      <c r="N4023" s="14">
        <f>INSTOCK!$I4023*INSTOCK!$K4023</f>
        <v>42000</v>
      </c>
      <c r="O4023" s="4"/>
      <c r="P4023" s="4"/>
    </row>
    <row r="4024" ht="15.75" hidden="1" customHeight="1">
      <c r="B4024" s="8">
        <v>4343.0</v>
      </c>
      <c r="C4024" s="9">
        <v>43354.0</v>
      </c>
      <c r="D4024" s="6" t="s">
        <v>5146</v>
      </c>
      <c r="E4024" s="4">
        <v>6.108000948E9</v>
      </c>
      <c r="F4024" s="8"/>
      <c r="G4024" s="4" t="s">
        <v>4811</v>
      </c>
      <c r="H4024" s="10" t="s">
        <v>5148</v>
      </c>
      <c r="I4024" s="10">
        <v>1.0</v>
      </c>
      <c r="J4024" s="11" t="str">
        <f>IF(D4024&lt;&gt;"",VLOOKUP(H4024,TABLEITEM,5,FALSE),"")</f>
        <v>EA</v>
      </c>
      <c r="K4024" s="12">
        <v>12500.0</v>
      </c>
      <c r="L4024" s="13" t="str">
        <f>IF(D4024&lt;&gt;"",VLOOKUP(H4024,TABLEITEM,2,FALSE),"")</f>
        <v/>
      </c>
      <c r="M4024" s="13" t="str">
        <f>IF(D4024&lt;&gt;"",VLOOKUP(H4024,TABLEITEM,3,FALSE),"")</f>
        <v>PUNCH NO.202 88 R 0.2H=100 S=415</v>
      </c>
      <c r="N4024" s="14">
        <f>INSTOCK!$I4024*INSTOCK!$K4024</f>
        <v>12500</v>
      </c>
      <c r="O4024" s="4"/>
      <c r="P4024" s="4"/>
    </row>
    <row r="4025" ht="15.75" hidden="1" customHeight="1">
      <c r="B4025" s="8">
        <v>4344.0</v>
      </c>
      <c r="C4025" s="9">
        <v>43354.0</v>
      </c>
      <c r="D4025" s="6" t="s">
        <v>5146</v>
      </c>
      <c r="E4025" s="4">
        <v>6.108000948E9</v>
      </c>
      <c r="F4025" s="8"/>
      <c r="G4025" s="4" t="s">
        <v>4811</v>
      </c>
      <c r="H4025" s="10" t="s">
        <v>5149</v>
      </c>
      <c r="I4025" s="10">
        <v>1.0</v>
      </c>
      <c r="J4025" s="11" t="str">
        <f>IF(D4025&lt;&gt;"",VLOOKUP(H4025,TABLEITEM,5,FALSE),"")</f>
        <v>EA</v>
      </c>
      <c r="K4025" s="12">
        <v>27500.0</v>
      </c>
      <c r="L4025" s="13" t="str">
        <f>IF(D4025&lt;&gt;"",VLOOKUP(H4025,TABLEITEM,2,FALSE),"")</f>
        <v/>
      </c>
      <c r="M4025" s="13" t="str">
        <f>IF(D4025&lt;&gt;"",VLOOKUP(H4025,TABLEITEM,3,FALSE),"")</f>
        <v>PUNCH NO.202 88 R 0.2H=100 SECTIONALIZED 835</v>
      </c>
      <c r="N4025" s="14">
        <f>INSTOCK!$I4025*INSTOCK!$K4025</f>
        <v>27500</v>
      </c>
      <c r="O4025" s="4"/>
      <c r="P4025" s="4"/>
    </row>
    <row r="4026" ht="15.75" hidden="1" customHeight="1">
      <c r="B4026" s="8">
        <v>4345.0</v>
      </c>
      <c r="C4026" s="9">
        <v>43354.0</v>
      </c>
      <c r="D4026" s="6" t="s">
        <v>5146</v>
      </c>
      <c r="E4026" s="4">
        <v>6.108000948E9</v>
      </c>
      <c r="F4026" s="8"/>
      <c r="G4026" s="4" t="s">
        <v>4811</v>
      </c>
      <c r="H4026" s="10" t="s">
        <v>5150</v>
      </c>
      <c r="I4026" s="10">
        <v>3.0</v>
      </c>
      <c r="J4026" s="11" t="str">
        <f>IF(D4026&lt;&gt;"",VLOOKUP(H4026,TABLEITEM,5,FALSE),"")</f>
        <v>EA</v>
      </c>
      <c r="K4026" s="12">
        <v>16000.0</v>
      </c>
      <c r="L4026" s="13" t="str">
        <f>IF(D4026&lt;&gt;"",VLOOKUP(H4026,TABLEITEM,2,FALSE),"")</f>
        <v/>
      </c>
      <c r="M4026" s="13" t="str">
        <f>IF(D4026&lt;&gt;"",VLOOKUP(H4026,TABLEITEM,3,FALSE),"")</f>
        <v>2V DIE 88 V12x20 NO.50590 L=835</v>
      </c>
      <c r="N4026" s="14">
        <f>INSTOCK!$I4026*INSTOCK!$K4026</f>
        <v>48000</v>
      </c>
      <c r="O4026" s="4"/>
      <c r="P4026" s="4"/>
    </row>
    <row r="4027" ht="15.75" hidden="1" customHeight="1">
      <c r="B4027" s="8">
        <v>4346.0</v>
      </c>
      <c r="C4027" s="9">
        <v>43354.0</v>
      </c>
      <c r="D4027" s="6" t="s">
        <v>5151</v>
      </c>
      <c r="E4027" s="4">
        <v>6.108000926E9</v>
      </c>
      <c r="F4027" s="8" t="s">
        <v>1366</v>
      </c>
      <c r="G4027" s="4" t="s">
        <v>2332</v>
      </c>
      <c r="H4027" s="10" t="s">
        <v>5152</v>
      </c>
      <c r="I4027" s="10">
        <v>13.0</v>
      </c>
      <c r="J4027" s="11" t="str">
        <f>IF(D4027&lt;&gt;"",VLOOKUP(H4027,TABLEITEM,5,FALSE),"")</f>
        <v>EA</v>
      </c>
      <c r="K4027" s="12">
        <v>6000.0</v>
      </c>
      <c r="L4027" s="13" t="str">
        <f>IF(D4027&lt;&gt;"",VLOOKUP(H4027,TABLEITEM,2,FALSE),"")</f>
        <v/>
      </c>
      <c r="M4027" s="13" t="str">
        <f>IF(D4027&lt;&gt;"",VLOOKUP(H4027,TABLEITEM,3,FALSE),"")</f>
        <v>คาปาซิเตอร์ 3PHASE 20KVAR 525V (RG-2)</v>
      </c>
      <c r="N4027" s="14">
        <f>INSTOCK!$I4027*INSTOCK!$K4027</f>
        <v>78000</v>
      </c>
      <c r="O4027" s="4"/>
      <c r="P4027" s="4"/>
    </row>
    <row r="4028" ht="15.75" hidden="1" customHeight="1">
      <c r="B4028" s="8">
        <v>4347.0</v>
      </c>
      <c r="C4028" s="9">
        <v>43354.0</v>
      </c>
      <c r="D4028" s="6" t="s">
        <v>5151</v>
      </c>
      <c r="E4028" s="4">
        <v>6.108000926E9</v>
      </c>
      <c r="F4028" s="8" t="s">
        <v>1366</v>
      </c>
      <c r="G4028" s="4" t="s">
        <v>2332</v>
      </c>
      <c r="H4028" s="10" t="s">
        <v>5153</v>
      </c>
      <c r="I4028" s="10">
        <v>1.0</v>
      </c>
      <c r="J4028" s="11" t="str">
        <f>IF(D4028&lt;&gt;"",VLOOKUP(H4028,TABLEITEM,5,FALSE),"")</f>
        <v>EA</v>
      </c>
      <c r="K4028" s="12">
        <v>7500.0</v>
      </c>
      <c r="L4028" s="13" t="str">
        <f>IF(D4028&lt;&gt;"",VLOOKUP(H4028,TABLEITEM,2,FALSE),"")</f>
        <v/>
      </c>
      <c r="M4028" s="13" t="str">
        <f>IF(D4028&lt;&gt;"",VLOOKUP(H4028,TABLEITEM,3,FALSE),"")</f>
        <v>คาปาซิเตอร์ 3PHASE 40KVAR 525V (RG-2)</v>
      </c>
      <c r="N4028" s="14">
        <f>INSTOCK!$I4028*INSTOCK!$K4028</f>
        <v>7500</v>
      </c>
      <c r="O4028" s="4"/>
      <c r="P4028" s="4"/>
    </row>
    <row r="4029" ht="15.75" hidden="1" customHeight="1">
      <c r="B4029" s="8">
        <v>4348.0</v>
      </c>
      <c r="C4029" s="9">
        <v>43354.0</v>
      </c>
      <c r="D4029" s="6" t="s">
        <v>5151</v>
      </c>
      <c r="E4029" s="4">
        <v>6.108000926E9</v>
      </c>
      <c r="F4029" s="8" t="s">
        <v>1366</v>
      </c>
      <c r="G4029" s="4" t="s">
        <v>2332</v>
      </c>
      <c r="H4029" s="10" t="s">
        <v>5154</v>
      </c>
      <c r="I4029" s="10">
        <v>9.0</v>
      </c>
      <c r="J4029" s="11" t="str">
        <f>IF(D4029&lt;&gt;"",VLOOKUP(H4029,TABLEITEM,5,FALSE),"")</f>
        <v>EA</v>
      </c>
      <c r="K4029" s="12">
        <v>13500.0</v>
      </c>
      <c r="L4029" s="13" t="str">
        <f>IF(D4029&lt;&gt;"",VLOOKUP(H4029,TABLEITEM,2,FALSE),"")</f>
        <v/>
      </c>
      <c r="M4029" s="13" t="str">
        <f>IF(D4029&lt;&gt;"",VLOOKUP(H4029,TABLEITEM,3,FALSE),"")</f>
        <v>คาปาซิเตอร์ 3PHASE 80KVAR 525V (RG-2)</v>
      </c>
      <c r="N4029" s="14">
        <f>INSTOCK!$I4029*INSTOCK!$K4029</f>
        <v>121500</v>
      </c>
      <c r="O4029" s="4"/>
      <c r="P4029" s="4"/>
    </row>
    <row r="4030" ht="15.75" hidden="1" customHeight="1">
      <c r="B4030" s="8">
        <v>4349.0</v>
      </c>
      <c r="C4030" s="9">
        <v>43354.0</v>
      </c>
      <c r="D4030" s="6" t="s">
        <v>5151</v>
      </c>
      <c r="E4030" s="4">
        <v>6.108000926E9</v>
      </c>
      <c r="F4030" s="8" t="s">
        <v>1366</v>
      </c>
      <c r="G4030" s="4" t="s">
        <v>2332</v>
      </c>
      <c r="H4030" s="10" t="s">
        <v>5155</v>
      </c>
      <c r="I4030" s="10">
        <v>13.0</v>
      </c>
      <c r="J4030" s="11" t="str">
        <f>IF(D4030&lt;&gt;"",VLOOKUP(H4030,TABLEITEM,5,FALSE),"")</f>
        <v>EA</v>
      </c>
      <c r="K4030" s="12">
        <v>8700.0</v>
      </c>
      <c r="L4030" s="13" t="str">
        <f>IF(D4030&lt;&gt;"",VLOOKUP(H4030,TABLEITEM,2,FALSE),"")</f>
        <v/>
      </c>
      <c r="M4030" s="13" t="str">
        <f>IF(D4030&lt;&gt;"",VLOOKUP(H4030,TABLEITEM,3,FALSE),"")</f>
        <v>รีแอ็คเตอร์ 6% สหรับคาปาซิเตอร์ 20KVAR 400 V</v>
      </c>
      <c r="N4030" s="14">
        <f>INSTOCK!$I4030*INSTOCK!$K4030</f>
        <v>113100</v>
      </c>
      <c r="O4030" s="4"/>
      <c r="P4030" s="4"/>
    </row>
    <row r="4031" ht="15.75" hidden="1" customHeight="1">
      <c r="B4031" s="8">
        <v>4350.0</v>
      </c>
      <c r="C4031" s="9">
        <v>43354.0</v>
      </c>
      <c r="D4031" s="6" t="s">
        <v>5151</v>
      </c>
      <c r="E4031" s="4">
        <v>6.108000926E9</v>
      </c>
      <c r="F4031" s="8" t="s">
        <v>1366</v>
      </c>
      <c r="G4031" s="4" t="s">
        <v>2332</v>
      </c>
      <c r="H4031" s="10" t="s">
        <v>5156</v>
      </c>
      <c r="I4031" s="10">
        <v>1.0</v>
      </c>
      <c r="J4031" s="11" t="str">
        <f>IF(D4031&lt;&gt;"",VLOOKUP(H4031,TABLEITEM,5,FALSE),"")</f>
        <v>EA</v>
      </c>
      <c r="K4031" s="12">
        <v>12400.0</v>
      </c>
      <c r="L4031" s="13" t="str">
        <f>IF(D4031&lt;&gt;"",VLOOKUP(H4031,TABLEITEM,2,FALSE),"")</f>
        <v/>
      </c>
      <c r="M4031" s="13" t="str">
        <f>IF(D4031&lt;&gt;"",VLOOKUP(H4031,TABLEITEM,3,FALSE),"")</f>
        <v>รีแอ็คเตอร์ 6% สหรับคาปาซิเตอร์ 40KVAR 400 V</v>
      </c>
      <c r="N4031" s="14">
        <f>INSTOCK!$I4031*INSTOCK!$K4031</f>
        <v>12400</v>
      </c>
      <c r="O4031" s="4"/>
      <c r="P4031" s="4"/>
    </row>
    <row r="4032" ht="15.75" hidden="1" customHeight="1">
      <c r="B4032" s="8">
        <v>4351.0</v>
      </c>
      <c r="C4032" s="9">
        <v>43354.0</v>
      </c>
      <c r="D4032" s="6" t="s">
        <v>5151</v>
      </c>
      <c r="E4032" s="4">
        <v>6.108000926E9</v>
      </c>
      <c r="F4032" s="8" t="s">
        <v>1366</v>
      </c>
      <c r="G4032" s="4" t="s">
        <v>2332</v>
      </c>
      <c r="H4032" s="10" t="s">
        <v>5156</v>
      </c>
      <c r="I4032" s="10">
        <v>9.0</v>
      </c>
      <c r="J4032" s="11" t="str">
        <f>IF(D4032&lt;&gt;"",VLOOKUP(H4032,TABLEITEM,5,FALSE),"")</f>
        <v>EA</v>
      </c>
      <c r="K4032" s="12">
        <v>18000.0</v>
      </c>
      <c r="L4032" s="13" t="str">
        <f>IF(D4032&lt;&gt;"",VLOOKUP(H4032,TABLEITEM,2,FALSE),"")</f>
        <v/>
      </c>
      <c r="M4032" s="13" t="str">
        <f>IF(D4032&lt;&gt;"",VLOOKUP(H4032,TABLEITEM,3,FALSE),"")</f>
        <v>รีแอ็คเตอร์ 6% สหรับคาปาซิเตอร์ 40KVAR 400 V</v>
      </c>
      <c r="N4032" s="14">
        <f>INSTOCK!$I4032*INSTOCK!$K4032</f>
        <v>162000</v>
      </c>
      <c r="O4032" s="4"/>
      <c r="P4032" s="4"/>
    </row>
    <row r="4033" ht="15.75" hidden="1" customHeight="1">
      <c r="B4033" s="8">
        <v>4352.0</v>
      </c>
      <c r="C4033" s="9">
        <v>43354.0</v>
      </c>
      <c r="D4033" s="6" t="s">
        <v>5151</v>
      </c>
      <c r="E4033" s="4">
        <v>6.108000926E9</v>
      </c>
      <c r="F4033" s="8" t="s">
        <v>1366</v>
      </c>
      <c r="G4033" s="4" t="s">
        <v>2332</v>
      </c>
      <c r="H4033" s="10" t="s">
        <v>5157</v>
      </c>
      <c r="I4033" s="10">
        <v>2.0</v>
      </c>
      <c r="J4033" s="11" t="str">
        <f>IF(D4033&lt;&gt;"",VLOOKUP(H4033,TABLEITEM,5,FALSE),"")</f>
        <v>EA</v>
      </c>
      <c r="K4033" s="12">
        <v>11800.0</v>
      </c>
      <c r="L4033" s="13" t="str">
        <f>IF(D4033&lt;&gt;"",VLOOKUP(H4033,TABLEITEM,2,FALSE),"")</f>
        <v/>
      </c>
      <c r="M4033" s="13" t="str">
        <f>IF(D4033&lt;&gt;"",VLOOKUP(H4033,TABLEITEM,3,FALSE),"")</f>
        <v>คอนโทรลเลอร์ MS-12Q 380-415 V 12 STEPS</v>
      </c>
      <c r="N4033" s="14">
        <f>INSTOCK!$I4033*INSTOCK!$K4033</f>
        <v>23600</v>
      </c>
      <c r="O4033" s="4"/>
      <c r="P4033" s="4"/>
    </row>
    <row r="4034" ht="15.75" hidden="1" customHeight="1">
      <c r="B4034" s="8">
        <v>4353.0</v>
      </c>
      <c r="C4034" s="9">
        <v>43354.0</v>
      </c>
      <c r="D4034" s="6">
        <v>6.1090169E7</v>
      </c>
      <c r="E4034" s="4">
        <v>6.109001114E9</v>
      </c>
      <c r="F4034" s="8" t="s">
        <v>604</v>
      </c>
      <c r="G4034" s="4" t="s">
        <v>1127</v>
      </c>
      <c r="H4034" s="10" t="s">
        <v>17</v>
      </c>
      <c r="I4034" s="10">
        <v>24.0</v>
      </c>
      <c r="J4034" s="11" t="str">
        <f>IF(D4034&lt;&gt;"",VLOOKUP(H4034,TABLEITEM,5,FALSE),"")</f>
        <v>คู่</v>
      </c>
      <c r="K4034" s="12">
        <v>41.6667</v>
      </c>
      <c r="L4034" s="13" t="str">
        <f>IF(D4034&lt;&gt;"",VLOOKUP(H4034,TABLEITEM,2,FALSE),"")</f>
        <v/>
      </c>
      <c r="M4034" s="13" t="str">
        <f>IF(D4034&lt;&gt;"",VLOOKUP(H4034,TABLEITEM,3,FALSE),"")</f>
        <v>ถุงมือหนัง</v>
      </c>
      <c r="N4034" s="14">
        <f>INSTOCK!$I4034*INSTOCK!$K4034</f>
        <v>1000.0008</v>
      </c>
      <c r="O4034" s="4" t="s">
        <v>1754</v>
      </c>
      <c r="P4034" s="4"/>
    </row>
    <row r="4035" ht="15.75" hidden="1" customHeight="1">
      <c r="B4035" s="8">
        <v>4354.0</v>
      </c>
      <c r="C4035" s="9">
        <v>43354.0</v>
      </c>
      <c r="D4035" s="6" t="s">
        <v>5158</v>
      </c>
      <c r="E4035" s="4">
        <v>6.108000943E9</v>
      </c>
      <c r="F4035" s="8" t="s">
        <v>1366</v>
      </c>
      <c r="G4035" s="4" t="s">
        <v>1587</v>
      </c>
      <c r="H4035" s="10" t="s">
        <v>5159</v>
      </c>
      <c r="I4035" s="10">
        <v>13.0</v>
      </c>
      <c r="J4035" s="11" t="str">
        <f>IF(D4035&lt;&gt;"",VLOOKUP(H4035,TABLEITEM,5,FALSE),"")</f>
        <v>EA</v>
      </c>
      <c r="K4035" s="12">
        <v>1012.0</v>
      </c>
      <c r="L4035" s="13" t="str">
        <f>IF(D4035&lt;&gt;"",VLOOKUP(H4035,TABLEITEM,2,FALSE),"")</f>
        <v/>
      </c>
      <c r="M4035" s="13" t="str">
        <f>IF(D4035&lt;&gt;"",VLOOKUP(H4035,TABLEITEM,3,FALSE),"")</f>
        <v>คอนแทคเตอร์ ST35 200V</v>
      </c>
      <c r="N4035" s="14">
        <f>INSTOCK!$I4035*INSTOCK!$K4035</f>
        <v>13156</v>
      </c>
      <c r="O4035" s="4"/>
      <c r="P4035" s="4"/>
    </row>
    <row r="4036" ht="15.75" hidden="1" customHeight="1">
      <c r="B4036" s="8">
        <v>4355.0</v>
      </c>
      <c r="C4036" s="9">
        <v>43354.0</v>
      </c>
      <c r="D4036" s="6" t="s">
        <v>5158</v>
      </c>
      <c r="E4036" s="4">
        <v>6.108000943E9</v>
      </c>
      <c r="F4036" s="8" t="s">
        <v>1366</v>
      </c>
      <c r="G4036" s="4" t="s">
        <v>1587</v>
      </c>
      <c r="H4036" s="10" t="s">
        <v>5160</v>
      </c>
      <c r="I4036" s="10">
        <v>1.0</v>
      </c>
      <c r="J4036" s="11" t="str">
        <f>IF(D4036&lt;&gt;"",VLOOKUP(H4036,TABLEITEM,5,FALSE),"")</f>
        <v>EA</v>
      </c>
      <c r="K4036" s="12">
        <v>1518.0</v>
      </c>
      <c r="L4036" s="13" t="str">
        <f>IF(D4036&lt;&gt;"",VLOOKUP(H4036,TABLEITEM,2,FALSE),"")</f>
        <v/>
      </c>
      <c r="M4036" s="13" t="str">
        <f>IF(D4036&lt;&gt;"",VLOOKUP(H4036,TABLEITEM,3,FALSE),"")</f>
        <v>คอนแทคเตอร์ ST65 200V</v>
      </c>
      <c r="N4036" s="14">
        <f>INSTOCK!$I4036*INSTOCK!$K4036</f>
        <v>1518</v>
      </c>
      <c r="O4036" s="4"/>
      <c r="P4036" s="4"/>
    </row>
    <row r="4037" ht="15.75" hidden="1" customHeight="1">
      <c r="B4037" s="8">
        <v>4356.0</v>
      </c>
      <c r="C4037" s="9">
        <v>43354.0</v>
      </c>
      <c r="D4037" s="6" t="s">
        <v>5158</v>
      </c>
      <c r="E4037" s="4">
        <v>6.108000943E9</v>
      </c>
      <c r="F4037" s="8" t="s">
        <v>1366</v>
      </c>
      <c r="G4037" s="4" t="s">
        <v>1587</v>
      </c>
      <c r="H4037" s="10" t="s">
        <v>5161</v>
      </c>
      <c r="I4037" s="10">
        <v>9.0</v>
      </c>
      <c r="J4037" s="11" t="str">
        <f>IF(D4037&lt;&gt;"",VLOOKUP(H4037,TABLEITEM,5,FALSE),"")</f>
        <v>EA</v>
      </c>
      <c r="K4037" s="12">
        <v>3358.0</v>
      </c>
      <c r="L4037" s="13" t="str">
        <f>IF(D4037&lt;&gt;"",VLOOKUP(H4037,TABLEITEM,2,FALSE),"")</f>
        <v/>
      </c>
      <c r="M4037" s="13" t="str">
        <f>IF(D4037&lt;&gt;"",VLOOKUP(H4037,TABLEITEM,3,FALSE),"")</f>
        <v>คอนแทคเตอร์ SN125 200V</v>
      </c>
      <c r="N4037" s="14">
        <f>INSTOCK!$I4037*INSTOCK!$K4037</f>
        <v>30222</v>
      </c>
      <c r="O4037" s="4"/>
      <c r="P4037" s="4"/>
    </row>
    <row r="4038" ht="15.75" hidden="1" customHeight="1">
      <c r="B4038" s="8">
        <v>4357.0</v>
      </c>
      <c r="C4038" s="9">
        <v>43354.0</v>
      </c>
      <c r="D4038" s="6">
        <v>6.10903553E8</v>
      </c>
      <c r="E4038" s="4">
        <v>6.109001113E9</v>
      </c>
      <c r="F4038" s="8"/>
      <c r="G4038" s="4" t="s">
        <v>1130</v>
      </c>
      <c r="H4038" s="10" t="s">
        <v>4870</v>
      </c>
      <c r="I4038" s="10">
        <v>2.0</v>
      </c>
      <c r="J4038" s="11" t="str">
        <f>IF(D4038&lt;&gt;"",VLOOKUP(H4038,TABLEITEM,5,FALSE),"")</f>
        <v>EA</v>
      </c>
      <c r="K4038" s="12">
        <v>4790.0</v>
      </c>
      <c r="L4038" s="13" t="str">
        <f>IF(D4038&lt;&gt;"",VLOOKUP(H4038,TABLEITEM,2,FALSE),"")</f>
        <v/>
      </c>
      <c r="M4038" s="13" t="str">
        <f>IF(D4038&lt;&gt;"",VLOOKUP(H4038,TABLEITEM,3,FALSE),"")</f>
        <v>เบรกกอร์ NF250-CV 3P 250A</v>
      </c>
      <c r="N4038" s="14">
        <f>INSTOCK!$I4038*INSTOCK!$K4038</f>
        <v>9580</v>
      </c>
      <c r="O4038" s="4" t="s">
        <v>5145</v>
      </c>
      <c r="P4038" s="4"/>
    </row>
    <row r="4039" ht="15.75" hidden="1" customHeight="1">
      <c r="B4039" s="8">
        <v>4358.0</v>
      </c>
      <c r="C4039" s="9">
        <v>43354.0</v>
      </c>
      <c r="D4039" s="6">
        <v>6.10903553E8</v>
      </c>
      <c r="E4039" s="4">
        <v>6.109001113E9</v>
      </c>
      <c r="F4039" s="8"/>
      <c r="G4039" s="4" t="s">
        <v>1130</v>
      </c>
      <c r="H4039" s="10" t="s">
        <v>2888</v>
      </c>
      <c r="I4039" s="10">
        <v>4.0</v>
      </c>
      <c r="J4039" s="11" t="str">
        <f>IF(D4039&lt;&gt;"",VLOOKUP(H4039,TABLEITEM,5,FALSE),"")</f>
        <v>EA</v>
      </c>
      <c r="K4039" s="12">
        <v>1518.0</v>
      </c>
      <c r="L4039" s="13" t="str">
        <f>IF(D4039&lt;&gt;"",VLOOKUP(H4039,TABLEITEM,2,FALSE),"")</f>
        <v/>
      </c>
      <c r="M4039" s="13" t="str">
        <f>IF(D4039&lt;&gt;"",VLOOKUP(H4039,TABLEITEM,3,FALSE),"")</f>
        <v>เบรกเกอร์มิตซู NF125-CV 3P 125A</v>
      </c>
      <c r="N4039" s="14">
        <f>INSTOCK!$I4039*INSTOCK!$K4039</f>
        <v>6072</v>
      </c>
      <c r="O4039" s="4" t="s">
        <v>1605</v>
      </c>
      <c r="P4039" s="4"/>
    </row>
    <row r="4040" ht="15.75" hidden="1" customHeight="1">
      <c r="B4040" s="8">
        <v>4359.0</v>
      </c>
      <c r="C4040" s="9">
        <v>43354.0</v>
      </c>
      <c r="D4040" s="6">
        <v>6.10903553E8</v>
      </c>
      <c r="E4040" s="4">
        <v>6.109001113E9</v>
      </c>
      <c r="F4040" s="8"/>
      <c r="G4040" s="4" t="s">
        <v>1130</v>
      </c>
      <c r="H4040" s="10" t="s">
        <v>1608</v>
      </c>
      <c r="I4040" s="10">
        <v>6.0</v>
      </c>
      <c r="J4040" s="11" t="str">
        <f>IF(D4040&lt;&gt;"",VLOOKUP(H4040,TABLEITEM,5,FALSE),"")</f>
        <v>EA</v>
      </c>
      <c r="K4040" s="12">
        <v>490.2</v>
      </c>
      <c r="L4040" s="13" t="str">
        <f>IF(D4040&lt;&gt;"",VLOOKUP(H4040,TABLEITEM,2,FALSE),"")</f>
        <v/>
      </c>
      <c r="M4040" s="13" t="str">
        <f>IF(D4040&lt;&gt;"",VLOOKUP(H4040,TABLEITEM,3,FALSE),"")</f>
        <v>CIRCUIT CP30-BA 1P 2A</v>
      </c>
      <c r="N4040" s="14">
        <f>INSTOCK!$I4040*INSTOCK!$K4040</f>
        <v>2941.2</v>
      </c>
      <c r="O4040" s="4" t="s">
        <v>1609</v>
      </c>
      <c r="P4040" s="4"/>
    </row>
    <row r="4041" ht="15.75" hidden="1" customHeight="1">
      <c r="B4041" s="8">
        <v>4360.0</v>
      </c>
      <c r="C4041" s="9">
        <v>43354.0</v>
      </c>
      <c r="D4041" s="6">
        <v>6109304.0</v>
      </c>
      <c r="E4041" s="4">
        <v>6.109001102E9</v>
      </c>
      <c r="F4041" s="8" t="s">
        <v>604</v>
      </c>
      <c r="G4041" s="4" t="s">
        <v>1100</v>
      </c>
      <c r="H4041" s="10" t="s">
        <v>355</v>
      </c>
      <c r="I4041" s="10">
        <v>400.0</v>
      </c>
      <c r="J4041" s="11" t="str">
        <f>IF(D4041&lt;&gt;"",VLOOKUP(H4041,TABLEITEM,5,FALSE),"")</f>
        <v>EA</v>
      </c>
      <c r="K4041" s="12">
        <v>0.216</v>
      </c>
      <c r="L4041" s="13" t="str">
        <f>IF(D4041&lt;&gt;"",VLOOKUP(H4041,TABLEITEM,2,FALSE),"")</f>
        <v/>
      </c>
      <c r="M4041" s="13" t="str">
        <f>IF(D4041&lt;&gt;"",VLOOKUP(H4041,TABLEITEM,3,FALSE),"")</f>
        <v>ปลอกหุ้มหางปลา V-2 สีเขียว</v>
      </c>
      <c r="N4041" s="14">
        <f>INSTOCK!$I4041*INSTOCK!$K4041</f>
        <v>86.4</v>
      </c>
      <c r="O4041" s="4" t="s">
        <v>5162</v>
      </c>
      <c r="P4041" s="4"/>
    </row>
    <row r="4042" ht="15.75" hidden="1" customHeight="1">
      <c r="B4042" s="8">
        <v>4361.0</v>
      </c>
      <c r="C4042" s="9">
        <v>43354.0</v>
      </c>
      <c r="D4042" s="6">
        <v>6109304.0</v>
      </c>
      <c r="E4042" s="4">
        <v>6.109001102E9</v>
      </c>
      <c r="F4042" s="8" t="s">
        <v>604</v>
      </c>
      <c r="G4042" s="4" t="s">
        <v>1100</v>
      </c>
      <c r="H4042" s="10" t="s">
        <v>365</v>
      </c>
      <c r="I4042" s="10">
        <v>400.0</v>
      </c>
      <c r="J4042" s="11" t="str">
        <f>IF(D4042&lt;&gt;"",VLOOKUP(H4042,TABLEITEM,5,FALSE),"")</f>
        <v>EA</v>
      </c>
      <c r="K4042" s="12">
        <v>0.288</v>
      </c>
      <c r="L4042" s="13" t="str">
        <f>IF(D4042&lt;&gt;"",VLOOKUP(H4042,TABLEITEM,2,FALSE),"")</f>
        <v/>
      </c>
      <c r="M4042" s="13" t="str">
        <f>IF(D4042&lt;&gt;"",VLOOKUP(H4042,TABLEITEM,3,FALSE),"")</f>
        <v>ปลอกหุ้มหางปลา V-5 สีน้ำเงิน</v>
      </c>
      <c r="N4042" s="14">
        <f>INSTOCK!$I4042*INSTOCK!$K4042</f>
        <v>115.2</v>
      </c>
      <c r="O4042" s="4" t="s">
        <v>1845</v>
      </c>
      <c r="P4042" s="4"/>
    </row>
    <row r="4043" ht="15.75" hidden="1" customHeight="1">
      <c r="B4043" s="8">
        <v>4362.0</v>
      </c>
      <c r="C4043" s="9">
        <v>43353.0</v>
      </c>
      <c r="D4043" s="6" t="s">
        <v>5163</v>
      </c>
      <c r="E4043" s="4">
        <v>6.109001108E9</v>
      </c>
      <c r="F4043" s="8" t="s">
        <v>604</v>
      </c>
      <c r="G4043" s="4" t="s">
        <v>965</v>
      </c>
      <c r="H4043" s="10" t="s">
        <v>3161</v>
      </c>
      <c r="I4043" s="10">
        <v>50.0</v>
      </c>
      <c r="J4043" s="11" t="str">
        <f>IF(D4043&lt;&gt;"",VLOOKUP(H4043,TABLEITEM,5,FALSE),"")</f>
        <v>EA</v>
      </c>
      <c r="K4043" s="12">
        <v>10.0</v>
      </c>
      <c r="L4043" s="13"/>
      <c r="M4043" s="13" t="str">
        <f>IF(D4043&lt;&gt;"",VLOOKUP(H4043,TABLEITEM,3,FALSE),"")</f>
        <v>ใบตัดเหล็ก 4" SUMO</v>
      </c>
      <c r="N4043" s="14">
        <f>INSTOCK!$I4043*INSTOCK!$K4043</f>
        <v>500</v>
      </c>
      <c r="O4043" s="4"/>
      <c r="P4043" s="4"/>
    </row>
    <row r="4044" ht="15.75" hidden="1" customHeight="1">
      <c r="B4044" s="8">
        <v>4363.0</v>
      </c>
      <c r="C4044" s="9">
        <v>43353.0</v>
      </c>
      <c r="D4044" s="6" t="s">
        <v>5164</v>
      </c>
      <c r="E4044" s="4">
        <v>6.109001105E9</v>
      </c>
      <c r="F4044" s="8" t="s">
        <v>5139</v>
      </c>
      <c r="G4044" s="4" t="s">
        <v>1485</v>
      </c>
      <c r="H4044" s="10" t="s">
        <v>5165</v>
      </c>
      <c r="I4044" s="10">
        <v>3.0</v>
      </c>
      <c r="J4044" s="11" t="str">
        <f>IF(D4044&lt;&gt;"",VLOOKUP(H4044,TABLEITEM,5,FALSE),"")</f>
        <v>EA</v>
      </c>
      <c r="K4044" s="12">
        <v>3718.7</v>
      </c>
      <c r="L4044" s="13" t="str">
        <f>IF(D4044&lt;&gt;"",VLOOKUP(H4044,TABLEITEM,2,FALSE),"")</f>
        <v/>
      </c>
      <c r="M4044" s="13" t="str">
        <f>IF(D4044&lt;&gt;"",VLOOKUP(H4044,TABLEITEM,3,FALSE),"")</f>
        <v>NSX250F 3P(36KA AT 380/415V)TM160D</v>
      </c>
      <c r="N4044" s="14">
        <f>INSTOCK!$I4044*INSTOCK!$K4044</f>
        <v>11156.1</v>
      </c>
      <c r="O4044" s="4"/>
      <c r="P4044" s="4"/>
    </row>
    <row r="4045" ht="15.75" hidden="1" customHeight="1">
      <c r="B4045" s="8">
        <v>4364.0</v>
      </c>
      <c r="C4045" s="9">
        <v>43353.0</v>
      </c>
      <c r="D4045" s="6" t="s">
        <v>5164</v>
      </c>
      <c r="E4045" s="4">
        <v>6.109001105E9</v>
      </c>
      <c r="F4045" s="8" t="s">
        <v>5139</v>
      </c>
      <c r="G4045" s="4" t="s">
        <v>1485</v>
      </c>
      <c r="H4045" s="10" t="s">
        <v>5166</v>
      </c>
      <c r="I4045" s="10">
        <v>9.0</v>
      </c>
      <c r="J4045" s="11" t="str">
        <f>IF(D4045&lt;&gt;"",VLOOKUP(H4045,TABLEITEM,5,FALSE),"")</f>
        <v>EA</v>
      </c>
      <c r="K4045" s="12">
        <v>3128.3</v>
      </c>
      <c r="L4045" s="13" t="str">
        <f>IF(D4045&lt;&gt;"",VLOOKUP(H4045,TABLEITEM,2,FALSE),"")</f>
        <v/>
      </c>
      <c r="M4045" s="13" t="str">
        <f>IF(D4045&lt;&gt;"",VLOOKUP(H4045,TABLEITEM,3,FALSE),"")</f>
        <v>NSX160F 3P(36KA AT 380/415V)TM125D</v>
      </c>
      <c r="N4045" s="14">
        <f>INSTOCK!$I4045*INSTOCK!$K4045</f>
        <v>28154.7</v>
      </c>
      <c r="O4045" s="4"/>
      <c r="P4045" s="4"/>
    </row>
    <row r="4046" ht="15.75" hidden="1" customHeight="1">
      <c r="B4046" s="8">
        <v>4365.0</v>
      </c>
      <c r="C4046" s="9">
        <v>43353.0</v>
      </c>
      <c r="D4046" s="6" t="s">
        <v>5164</v>
      </c>
      <c r="E4046" s="4">
        <v>6.109001105E9</v>
      </c>
      <c r="F4046" s="8" t="s">
        <v>5139</v>
      </c>
      <c r="G4046" s="4" t="s">
        <v>1485</v>
      </c>
      <c r="H4046" s="10" t="s">
        <v>5167</v>
      </c>
      <c r="I4046" s="10">
        <v>4.0</v>
      </c>
      <c r="J4046" s="11" t="str">
        <f>IF(D4046&lt;&gt;"",VLOOKUP(H4046,TABLEITEM,5,FALSE),"")</f>
        <v>EA</v>
      </c>
      <c r="K4046" s="12">
        <v>2091.0</v>
      </c>
      <c r="L4046" s="13" t="str">
        <f>IF(D4046&lt;&gt;"",VLOOKUP(H4046,TABLEITEM,2,FALSE),"")</f>
        <v/>
      </c>
      <c r="M4046" s="13" t="str">
        <f>IF(D4046&lt;&gt;"",VLOOKUP(H4046,TABLEITEM,3,FALSE),"")</f>
        <v>NSX100F 3P(36KA AT 380/415V)TM100D</v>
      </c>
      <c r="N4046" s="14">
        <f>INSTOCK!$I4046*INSTOCK!$K4046</f>
        <v>8364</v>
      </c>
      <c r="O4046" s="4"/>
      <c r="P4046" s="4"/>
    </row>
    <row r="4047" ht="15.75" hidden="1" customHeight="1">
      <c r="B4047" s="8">
        <v>4366.0</v>
      </c>
      <c r="C4047" s="9">
        <v>43353.0</v>
      </c>
      <c r="D4047" s="6" t="s">
        <v>5164</v>
      </c>
      <c r="E4047" s="4">
        <v>6.109001105E9</v>
      </c>
      <c r="F4047" s="8" t="s">
        <v>5139</v>
      </c>
      <c r="G4047" s="4" t="s">
        <v>1485</v>
      </c>
      <c r="H4047" s="10" t="s">
        <v>5168</v>
      </c>
      <c r="I4047" s="10">
        <v>6.0</v>
      </c>
      <c r="J4047" s="11" t="str">
        <f>IF(D4047&lt;&gt;"",VLOOKUP(H4047,TABLEITEM,5,FALSE),"")</f>
        <v>EA</v>
      </c>
      <c r="K4047" s="12">
        <v>2091.0</v>
      </c>
      <c r="L4047" s="13" t="str">
        <f>IF(D4047&lt;&gt;"",VLOOKUP(H4047,TABLEITEM,2,FALSE),"")</f>
        <v/>
      </c>
      <c r="M4047" s="13" t="str">
        <f>IF(D4047&lt;&gt;"",VLOOKUP(H4047,TABLEITEM,3,FALSE),"")</f>
        <v>NSX100F 3P(36KA AT 380/415V)TM63D</v>
      </c>
      <c r="N4047" s="14">
        <f>INSTOCK!$I4047*INSTOCK!$K4047</f>
        <v>12546</v>
      </c>
      <c r="O4047" s="4"/>
      <c r="P4047" s="4"/>
    </row>
    <row r="4048" ht="15.75" hidden="1" customHeight="1">
      <c r="B4048" s="8">
        <v>4367.0</v>
      </c>
      <c r="C4048" s="9">
        <v>43353.0</v>
      </c>
      <c r="D4048" s="6" t="s">
        <v>5164</v>
      </c>
      <c r="E4048" s="4">
        <v>6.109001105E9</v>
      </c>
      <c r="F4048" s="8" t="s">
        <v>5139</v>
      </c>
      <c r="G4048" s="4" t="s">
        <v>1485</v>
      </c>
      <c r="H4048" s="10" t="s">
        <v>5169</v>
      </c>
      <c r="I4048" s="10">
        <v>3.0</v>
      </c>
      <c r="J4048" s="11" t="str">
        <f>IF(D4048&lt;&gt;"",VLOOKUP(H4048,TABLEITEM,5,FALSE),"")</f>
        <v>EA</v>
      </c>
      <c r="K4048" s="12">
        <v>2091.0</v>
      </c>
      <c r="L4048" s="13" t="str">
        <f>IF(D4048&lt;&gt;"",VLOOKUP(H4048,TABLEITEM,2,FALSE),"")</f>
        <v/>
      </c>
      <c r="M4048" s="13" t="str">
        <f>IF(D4048&lt;&gt;"",VLOOKUP(H4048,TABLEITEM,3,FALSE),"")</f>
        <v>NSX100F 3P(36KA AT 380/415V)TM40D</v>
      </c>
      <c r="N4048" s="14">
        <f>INSTOCK!$I4048*INSTOCK!$K4048</f>
        <v>6273</v>
      </c>
      <c r="O4048" s="4"/>
      <c r="P4048" s="4"/>
    </row>
    <row r="4049" ht="15.75" hidden="1" customHeight="1">
      <c r="B4049" s="8">
        <v>4368.0</v>
      </c>
      <c r="C4049" s="9">
        <v>43353.0</v>
      </c>
      <c r="D4049" s="6" t="s">
        <v>5164</v>
      </c>
      <c r="E4049" s="4">
        <v>6.109001105E9</v>
      </c>
      <c r="F4049" s="8" t="s">
        <v>5139</v>
      </c>
      <c r="G4049" s="4" t="s">
        <v>1485</v>
      </c>
      <c r="H4049" s="10" t="s">
        <v>5170</v>
      </c>
      <c r="I4049" s="10">
        <v>1.0</v>
      </c>
      <c r="J4049" s="11" t="str">
        <f>IF(D4049&lt;&gt;"",VLOOKUP(H4049,TABLEITEM,5,FALSE),"")</f>
        <v>EA</v>
      </c>
      <c r="K4049" s="12">
        <v>2091.0</v>
      </c>
      <c r="L4049" s="13" t="str">
        <f>IF(D4049&lt;&gt;"",VLOOKUP(H4049,TABLEITEM,2,FALSE),"")</f>
        <v/>
      </c>
      <c r="M4049" s="13" t="str">
        <f>IF(D4049&lt;&gt;"",VLOOKUP(H4049,TABLEITEM,3,FALSE),"")</f>
        <v>NSX100F 3P(36KA AT 380/415V)TM32D</v>
      </c>
      <c r="N4049" s="14">
        <f>INSTOCK!$I4049*INSTOCK!$K4049</f>
        <v>2091</v>
      </c>
      <c r="O4049" s="4"/>
      <c r="P4049" s="4"/>
    </row>
    <row r="4050" ht="15.75" hidden="1" customHeight="1">
      <c r="B4050" s="8">
        <v>4369.0</v>
      </c>
      <c r="C4050" s="9">
        <v>43353.0</v>
      </c>
      <c r="D4050" s="6" t="s">
        <v>5164</v>
      </c>
      <c r="E4050" s="4">
        <v>6.109001105E9</v>
      </c>
      <c r="F4050" s="8" t="s">
        <v>5139</v>
      </c>
      <c r="G4050" s="4" t="s">
        <v>1485</v>
      </c>
      <c r="H4050" s="10" t="s">
        <v>5171</v>
      </c>
      <c r="I4050" s="10">
        <v>12.0</v>
      </c>
      <c r="J4050" s="11" t="str">
        <f>IF(D4050&lt;&gt;"",VLOOKUP(H4050,TABLEITEM,5,FALSE),"")</f>
        <v>EA</v>
      </c>
      <c r="K4050" s="12">
        <v>2091.0</v>
      </c>
      <c r="L4050" s="13" t="str">
        <f>IF(D4050&lt;&gt;"",VLOOKUP(H4050,TABLEITEM,2,FALSE),"")</f>
        <v/>
      </c>
      <c r="M4050" s="13" t="str">
        <f>IF(D4050&lt;&gt;"",VLOOKUP(H4050,TABLEITEM,3,FALSE),"")</f>
        <v>NSX100F 3P(36KA AT 380/415V)TM25D</v>
      </c>
      <c r="N4050" s="14">
        <f>INSTOCK!$I4050*INSTOCK!$K4050</f>
        <v>25092</v>
      </c>
      <c r="O4050" s="4"/>
      <c r="P4050" s="4"/>
    </row>
    <row r="4051" ht="15.75" hidden="1" customHeight="1">
      <c r="B4051" s="8">
        <v>4370.0</v>
      </c>
      <c r="C4051" s="9">
        <v>43353.0</v>
      </c>
      <c r="D4051" s="6" t="s">
        <v>5164</v>
      </c>
      <c r="E4051" s="4">
        <v>6.109001105E9</v>
      </c>
      <c r="F4051" s="8" t="s">
        <v>5139</v>
      </c>
      <c r="G4051" s="4" t="s">
        <v>1485</v>
      </c>
      <c r="H4051" s="10" t="s">
        <v>5172</v>
      </c>
      <c r="I4051" s="10">
        <v>4.0</v>
      </c>
      <c r="J4051" s="11" t="str">
        <f>IF(D4051&lt;&gt;"",VLOOKUP(H4051,TABLEITEM,5,FALSE),"")</f>
        <v>EA</v>
      </c>
      <c r="K4051" s="12">
        <v>2091.0</v>
      </c>
      <c r="L4051" s="13" t="str">
        <f>IF(D4051&lt;&gt;"",VLOOKUP(H4051,TABLEITEM,2,FALSE),"")</f>
        <v/>
      </c>
      <c r="M4051" s="13" t="str">
        <f>IF(D4051&lt;&gt;"",VLOOKUP(H4051,TABLEITEM,3,FALSE),"")</f>
        <v>NSX100F 3P(36KA AT 380/415V)TM50D</v>
      </c>
      <c r="N4051" s="14">
        <f>INSTOCK!$I4051*INSTOCK!$K4051</f>
        <v>8364</v>
      </c>
      <c r="O4051" s="4"/>
      <c r="P4051" s="4"/>
    </row>
    <row r="4052" ht="15.75" hidden="1" customHeight="1">
      <c r="B4052" s="8">
        <v>4371.0</v>
      </c>
      <c r="C4052" s="9">
        <v>43353.0</v>
      </c>
      <c r="D4052" s="6" t="s">
        <v>5164</v>
      </c>
      <c r="E4052" s="4">
        <v>6.109001105E9</v>
      </c>
      <c r="F4052" s="8" t="s">
        <v>5139</v>
      </c>
      <c r="G4052" s="4" t="s">
        <v>1485</v>
      </c>
      <c r="H4052" s="10" t="s">
        <v>5173</v>
      </c>
      <c r="I4052" s="10">
        <v>1.0</v>
      </c>
      <c r="J4052" s="11" t="str">
        <f>IF(D4052&lt;&gt;"",VLOOKUP(H4052,TABLEITEM,5,FALSE),"")</f>
        <v>EA</v>
      </c>
      <c r="K4052" s="12">
        <v>3128.3</v>
      </c>
      <c r="L4052" s="13" t="str">
        <f>IF(D4052&lt;&gt;"",VLOOKUP(H4052,TABLEITEM,2,FALSE),"")</f>
        <v/>
      </c>
      <c r="M4052" s="13" t="str">
        <f>IF(D4052&lt;&gt;"",VLOOKUP(H4052,TABLEITEM,3,FALSE),"")</f>
        <v>NSX160F 3P(36KA AT 380/415V)TM160D</v>
      </c>
      <c r="N4052" s="14">
        <f>INSTOCK!$I4052*INSTOCK!$K4052</f>
        <v>3128.3</v>
      </c>
      <c r="O4052" s="4"/>
      <c r="P4052" s="4"/>
    </row>
    <row r="4053" ht="15.75" hidden="1" customHeight="1">
      <c r="B4053" s="8">
        <v>4372.0</v>
      </c>
      <c r="C4053" s="9">
        <v>43353.0</v>
      </c>
      <c r="D4053" s="6" t="s">
        <v>5164</v>
      </c>
      <c r="E4053" s="4">
        <v>6.109001105E9</v>
      </c>
      <c r="F4053" s="8" t="s">
        <v>5139</v>
      </c>
      <c r="G4053" s="4" t="s">
        <v>1485</v>
      </c>
      <c r="H4053" s="10" t="s">
        <v>5174</v>
      </c>
      <c r="I4053" s="10">
        <v>1.0</v>
      </c>
      <c r="J4053" s="11" t="str">
        <f>IF(D4053&lt;&gt;"",VLOOKUP(H4053,TABLEITEM,5,FALSE),"")</f>
        <v>EA</v>
      </c>
      <c r="K4053" s="12">
        <v>3718.7</v>
      </c>
      <c r="L4053" s="13" t="str">
        <f>IF(D4053&lt;&gt;"",VLOOKUP(H4053,TABLEITEM,2,FALSE),"")</f>
        <v/>
      </c>
      <c r="M4053" s="13" t="str">
        <f>IF(D4053&lt;&gt;"",VLOOKUP(H4053,TABLEITEM,3,FALSE),"")</f>
        <v>NSX250F 3P(36KA AT 380/415V)TM200D</v>
      </c>
      <c r="N4053" s="14">
        <f>INSTOCK!$I4053*INSTOCK!$K4053</f>
        <v>3718.7</v>
      </c>
      <c r="O4053" s="4"/>
      <c r="P4053" s="4"/>
    </row>
    <row r="4054" ht="15.75" hidden="1" customHeight="1">
      <c r="B4054" s="8">
        <v>4373.0</v>
      </c>
      <c r="C4054" s="9">
        <v>43353.0</v>
      </c>
      <c r="D4054" s="6" t="s">
        <v>5164</v>
      </c>
      <c r="E4054" s="4">
        <v>6.109001105E9</v>
      </c>
      <c r="F4054" s="8" t="s">
        <v>5139</v>
      </c>
      <c r="G4054" s="4" t="s">
        <v>1485</v>
      </c>
      <c r="H4054" s="10" t="s">
        <v>5175</v>
      </c>
      <c r="I4054" s="10">
        <v>1.0</v>
      </c>
      <c r="J4054" s="11" t="str">
        <f>IF(D4054&lt;&gt;"",VLOOKUP(H4054,TABLEITEM,5,FALSE),"")</f>
        <v>EA</v>
      </c>
      <c r="K4054" s="12">
        <v>73472.0</v>
      </c>
      <c r="L4054" s="13" t="str">
        <f>IF(D4054&lt;&gt;"",VLOOKUP(H4054,TABLEITEM,2,FALSE),"")</f>
        <v/>
      </c>
      <c r="M4054" s="13" t="str">
        <f>IF(D4054&lt;&gt;"",VLOOKUP(H4054,TABLEITEM,3,FALSE),"")</f>
        <v>MASTERPACT ACT 3P 1600A 65KA AT 415VAC FIXED TYPE MICROLGIC 6.0E WITH GFP</v>
      </c>
      <c r="N4054" s="14">
        <f>INSTOCK!$I4054*INSTOCK!$K4054</f>
        <v>73472</v>
      </c>
      <c r="O4054" s="4"/>
      <c r="P4054" s="4"/>
    </row>
    <row r="4055" ht="15.75" hidden="1" customHeight="1">
      <c r="B4055" s="8">
        <v>4374.0</v>
      </c>
      <c r="C4055" s="9">
        <v>43353.0</v>
      </c>
      <c r="D4055" s="6" t="s">
        <v>5164</v>
      </c>
      <c r="E4055" s="4">
        <v>6.109001105E9</v>
      </c>
      <c r="F4055" s="8" t="s">
        <v>5139</v>
      </c>
      <c r="G4055" s="4" t="s">
        <v>1485</v>
      </c>
      <c r="H4055" s="10">
        <v>33662.0</v>
      </c>
      <c r="I4055" s="10">
        <v>2.0</v>
      </c>
      <c r="J4055" s="11" t="str">
        <f>IF(D4055&lt;&gt;"",VLOOKUP(H4055,TABLEITEM,5,FALSE),"")</f>
        <v>EA</v>
      </c>
      <c r="K4055" s="12">
        <v>1886.0</v>
      </c>
      <c r="L4055" s="13" t="str">
        <f>IF(D4055&lt;&gt;"",VLOOKUP(H4055,TABLEITEM,2,FALSE),"")</f>
        <v/>
      </c>
      <c r="M4055" s="13" t="str">
        <f>IF(D4055&lt;&gt;"",VLOOKUP(H4055,TABLEITEM,3,FALSE),"")</f>
        <v>SHUNT RELEASE OR CLOSING RELEASE 220 VAC</v>
      </c>
      <c r="N4055" s="14">
        <f>INSTOCK!$I4055*INSTOCK!$K4055</f>
        <v>3772</v>
      </c>
      <c r="O4055" s="4"/>
      <c r="P4055" s="4"/>
    </row>
    <row r="4056" ht="15.75" hidden="1" customHeight="1">
      <c r="B4056" s="8">
        <v>4375.0</v>
      </c>
      <c r="C4056" s="9">
        <v>43353.0</v>
      </c>
      <c r="D4056" s="6" t="s">
        <v>5164</v>
      </c>
      <c r="E4056" s="4">
        <v>6.109001105E9</v>
      </c>
      <c r="F4056" s="8" t="s">
        <v>5139</v>
      </c>
      <c r="G4056" s="4" t="s">
        <v>1485</v>
      </c>
      <c r="H4056" s="10">
        <v>47074.0</v>
      </c>
      <c r="I4056" s="10">
        <v>2.0</v>
      </c>
      <c r="J4056" s="11" t="str">
        <f>IF(D4056&lt;&gt;"",VLOOKUP(H4056,TABLEITEM,5,FALSE),"")</f>
        <v>EA</v>
      </c>
      <c r="K4056" s="12">
        <v>369.0</v>
      </c>
      <c r="L4056" s="13" t="str">
        <f>IF(D4056&lt;&gt;"",VLOOKUP(H4056,TABLEITEM,2,FALSE),"")</f>
        <v/>
      </c>
      <c r="M4056" s="13" t="str">
        <f>IF(D4056&lt;&gt;"",VLOOKUP(H4056,TABLEITEM,3,FALSE),"")</f>
        <v>TERMINAL BLOCK FOR FIXED CIYRCUIT BREAKER FOR NT&amp;NW</v>
      </c>
      <c r="N4056" s="14">
        <f>INSTOCK!$I4056*INSTOCK!$K4056</f>
        <v>738</v>
      </c>
      <c r="O4056" s="4"/>
      <c r="P4056" s="4"/>
    </row>
    <row r="4057" ht="15.75" hidden="1" customHeight="1">
      <c r="B4057" s="8">
        <v>4376.0</v>
      </c>
      <c r="C4057" s="9">
        <v>43353.0</v>
      </c>
      <c r="D4057" s="6" t="s">
        <v>5164</v>
      </c>
      <c r="E4057" s="4">
        <v>6.109001105E9</v>
      </c>
      <c r="F4057" s="8" t="s">
        <v>5139</v>
      </c>
      <c r="G4057" s="4" t="s">
        <v>1485</v>
      </c>
      <c r="H4057" s="10" t="s">
        <v>5176</v>
      </c>
      <c r="I4057" s="10">
        <v>1.0</v>
      </c>
      <c r="J4057" s="11" t="str">
        <f>IF(D4057&lt;&gt;"",VLOOKUP(H4057,TABLEITEM,5,FALSE),"")</f>
        <v>EA</v>
      </c>
      <c r="K4057" s="12">
        <v>81237.4</v>
      </c>
      <c r="L4057" s="13" t="str">
        <f>IF(D4057&lt;&gt;"",VLOOKUP(H4057,TABLEITEM,2,FALSE),"")</f>
        <v/>
      </c>
      <c r="M4057" s="13" t="str">
        <f>IF(D4057&lt;&gt;"",VLOOKUP(H4057,TABLEITEM,3,FALSE),"")</f>
        <v>MASTERP ACT 3P 2000A 65KA AT 4151VAC FIXED TYPE</v>
      </c>
      <c r="N4057" s="14">
        <f>INSTOCK!$I4057*INSTOCK!$K4057</f>
        <v>81237.4</v>
      </c>
      <c r="O4057" s="4"/>
      <c r="P4057" s="4"/>
    </row>
    <row r="4058" ht="15.75" hidden="1" customHeight="1">
      <c r="B4058" s="8">
        <v>4377.0</v>
      </c>
      <c r="C4058" s="9">
        <v>43353.0</v>
      </c>
      <c r="D4058" s="6" t="s">
        <v>5164</v>
      </c>
      <c r="E4058" s="4">
        <v>6.109001105E9</v>
      </c>
      <c r="F4058" s="8" t="s">
        <v>5139</v>
      </c>
      <c r="G4058" s="4" t="s">
        <v>1485</v>
      </c>
      <c r="H4058" s="10" t="s">
        <v>5177</v>
      </c>
      <c r="I4058" s="10">
        <v>1.0</v>
      </c>
      <c r="J4058" s="11" t="str">
        <f>IF(D4058&lt;&gt;"",VLOOKUP(H4058,TABLEITEM,5,FALSE),"")</f>
        <v>EA</v>
      </c>
      <c r="K4058" s="12">
        <v>31684.8</v>
      </c>
      <c r="L4058" s="13" t="str">
        <f>IF(D4058&lt;&gt;"",VLOOKUP(H4058,TABLEITEM,2,FALSE),"")</f>
        <v/>
      </c>
      <c r="M4058" s="13" t="str">
        <f>IF(D4058&lt;&gt;"",VLOOKUP(H4058,TABLEITEM,3,FALSE),"")</f>
        <v>MVS CB 800A 50KA 3P MFET2 FIXED TYPE</v>
      </c>
      <c r="N4058" s="14">
        <f>INSTOCK!$I4058*INSTOCK!$K4058</f>
        <v>31684.8</v>
      </c>
      <c r="O4058" s="4"/>
      <c r="P4058" s="4"/>
    </row>
    <row r="4059" ht="15.75" hidden="1" customHeight="1">
      <c r="B4059" s="8">
        <v>4378.0</v>
      </c>
      <c r="C4059" s="9">
        <v>43353.0</v>
      </c>
      <c r="D4059" s="6" t="s">
        <v>5178</v>
      </c>
      <c r="E4059" s="4">
        <v>6.109001093E9</v>
      </c>
      <c r="F4059" s="8" t="s">
        <v>5179</v>
      </c>
      <c r="G4059" s="4" t="s">
        <v>1485</v>
      </c>
      <c r="H4059" s="10" t="s">
        <v>5180</v>
      </c>
      <c r="I4059" s="10">
        <v>1.0</v>
      </c>
      <c r="J4059" s="11" t="str">
        <f>IF(D4059&lt;&gt;"",VLOOKUP(H4059,TABLEITEM,5,FALSE),"")</f>
        <v>EA</v>
      </c>
      <c r="K4059" s="12">
        <v>8820.0</v>
      </c>
      <c r="L4059" s="13" t="str">
        <f>IF(D4059&lt;&gt;"",VLOOKUP(H4059,TABLEITEM,2,FALSE),"")</f>
        <v/>
      </c>
      <c r="M4059" s="13" t="str">
        <f>IF(D4059&lt;&gt;"",VLOOKUP(H4059,TABLEITEM,3,FALSE),"")</f>
        <v>NXS400N 3P(50 KA AT380/415V) MICROLOGIC 2.3 400A </v>
      </c>
      <c r="N4059" s="14">
        <f>INSTOCK!$I4059*INSTOCK!$K4059</f>
        <v>8820</v>
      </c>
      <c r="O4059" s="4"/>
      <c r="P4059" s="4"/>
    </row>
    <row r="4060" ht="15.75" hidden="1" customHeight="1">
      <c r="B4060" s="8">
        <v>4379.0</v>
      </c>
      <c r="C4060" s="9">
        <v>43353.0</v>
      </c>
      <c r="D4060" s="6" t="s">
        <v>5178</v>
      </c>
      <c r="E4060" s="4">
        <v>6.109001093E9</v>
      </c>
      <c r="F4060" s="8" t="s">
        <v>5179</v>
      </c>
      <c r="G4060" s="4" t="s">
        <v>1485</v>
      </c>
      <c r="H4060" s="10">
        <v>29450.0</v>
      </c>
      <c r="I4060" s="10">
        <v>1.0</v>
      </c>
      <c r="J4060" s="11" t="str">
        <f>IF(D4060&lt;&gt;"",VLOOKUP(H4060,TABLEITEM,5,FALSE),"")</f>
        <v>EA</v>
      </c>
      <c r="K4060" s="12">
        <v>436.8</v>
      </c>
      <c r="L4060" s="13" t="str">
        <f>IF(D4060&lt;&gt;"",VLOOKUP(H4060,TABLEITEM,2,FALSE),"")</f>
        <v/>
      </c>
      <c r="M4060" s="13" t="str">
        <f>IF(D4060&lt;&gt;"",VLOOKUP(H4060,TABLEITEM,3,FALSE),"")</f>
        <v>AUXILIARY CONTACT </v>
      </c>
      <c r="N4060" s="14">
        <f>INSTOCK!$I4060*INSTOCK!$K4060</f>
        <v>436.8</v>
      </c>
      <c r="O4060" s="4"/>
      <c r="P4060" s="4"/>
    </row>
    <row r="4061" ht="15.75" hidden="1" customHeight="1">
      <c r="B4061" s="8">
        <v>4380.0</v>
      </c>
      <c r="C4061" s="9">
        <v>43353.0</v>
      </c>
      <c r="D4061" s="6" t="s">
        <v>5178</v>
      </c>
      <c r="E4061" s="4">
        <v>6.109001093E9</v>
      </c>
      <c r="F4061" s="8" t="s">
        <v>5179</v>
      </c>
      <c r="G4061" s="4" t="s">
        <v>1485</v>
      </c>
      <c r="H4061" s="10" t="s">
        <v>5181</v>
      </c>
      <c r="I4061" s="10">
        <v>16.0</v>
      </c>
      <c r="J4061" s="11" t="str">
        <f>IF(D4061&lt;&gt;"",VLOOKUP(H4061,TABLEITEM,5,FALSE),"")</f>
        <v>EA</v>
      </c>
      <c r="K4061" s="12">
        <v>105.0</v>
      </c>
      <c r="L4061" s="13" t="str">
        <f>IF(D4061&lt;&gt;"",VLOOKUP(H4061,TABLEITEM,2,FALSE),"")</f>
        <v/>
      </c>
      <c r="M4061" s="13" t="str">
        <f>IF(D4061&lt;&gt;"",VLOOKUP(H4061,TABLEITEM,3,FALSE),"")</f>
        <v>HARMONY XB5 PILOT LIGH 22MM PLAIN LENS 230-240 GREEN</v>
      </c>
      <c r="N4061" s="14">
        <f>INSTOCK!$I4061*INSTOCK!$K4061</f>
        <v>1680</v>
      </c>
      <c r="O4061" s="4"/>
      <c r="P4061" s="4"/>
    </row>
    <row r="4062" ht="15.75" hidden="1" customHeight="1">
      <c r="B4062" s="8">
        <v>4381.0</v>
      </c>
      <c r="C4062" s="9">
        <v>43353.0</v>
      </c>
      <c r="D4062" s="6" t="s">
        <v>5178</v>
      </c>
      <c r="E4062" s="4">
        <v>6.109001093E9</v>
      </c>
      <c r="F4062" s="8" t="s">
        <v>5179</v>
      </c>
      <c r="G4062" s="4" t="s">
        <v>1485</v>
      </c>
      <c r="H4062" s="10" t="s">
        <v>5182</v>
      </c>
      <c r="I4062" s="10">
        <v>3.0</v>
      </c>
      <c r="J4062" s="11" t="str">
        <f>IF(D4062&lt;&gt;"",VLOOKUP(H4062,TABLEITEM,5,FALSE),"")</f>
        <v>EA</v>
      </c>
      <c r="K4062" s="12">
        <v>105.0</v>
      </c>
      <c r="L4062" s="13" t="str">
        <f>IF(D4062&lt;&gt;"",VLOOKUP(H4062,TABLEITEM,2,FALSE),"")</f>
        <v/>
      </c>
      <c r="M4062" s="13" t="str">
        <f>IF(D4062&lt;&gt;"",VLOOKUP(H4062,TABLEITEM,3,FALSE),"")</f>
        <v>HARMONY XB5 PILOT LIGH 22MM PLAIN LENS 230-240 RED</v>
      </c>
      <c r="N4062" s="14">
        <f>INSTOCK!$I4062*INSTOCK!$K4062</f>
        <v>315</v>
      </c>
      <c r="O4062" s="4"/>
      <c r="P4062" s="4"/>
    </row>
    <row r="4063" ht="15.75" hidden="1" customHeight="1">
      <c r="B4063" s="8">
        <v>4382.0</v>
      </c>
      <c r="C4063" s="9">
        <v>43353.0</v>
      </c>
      <c r="D4063" s="6" t="s">
        <v>5178</v>
      </c>
      <c r="E4063" s="4">
        <v>6.109001093E9</v>
      </c>
      <c r="F4063" s="8" t="s">
        <v>5179</v>
      </c>
      <c r="G4063" s="4" t="s">
        <v>1485</v>
      </c>
      <c r="H4063" s="10" t="s">
        <v>5183</v>
      </c>
      <c r="I4063" s="10">
        <v>14.0</v>
      </c>
      <c r="J4063" s="11" t="str">
        <f>IF(D4063&lt;&gt;"",VLOOKUP(H4063,TABLEITEM,5,FALSE),"")</f>
        <v>EA</v>
      </c>
      <c r="K4063" s="12">
        <v>105.0</v>
      </c>
      <c r="L4063" s="13" t="str">
        <f>IF(D4063&lt;&gt;"",VLOOKUP(H4063,TABLEITEM,2,FALSE),"")</f>
        <v/>
      </c>
      <c r="M4063" s="13" t="str">
        <f>IF(D4063&lt;&gt;"",VLOOKUP(H4063,TABLEITEM,3,FALSE),"")</f>
        <v>HARMONY XB5 PILOT LIGH 22MM PLAIN LENS 230-240 OREANG</v>
      </c>
      <c r="N4063" s="14">
        <f>INSTOCK!$I4063*INSTOCK!$K4063</f>
        <v>1470</v>
      </c>
      <c r="O4063" s="4"/>
      <c r="P4063" s="4"/>
    </row>
    <row r="4064" ht="15.75" hidden="1" customHeight="1">
      <c r="B4064" s="8">
        <v>4383.0</v>
      </c>
      <c r="C4064" s="9">
        <v>43353.0</v>
      </c>
      <c r="D4064" s="6" t="s">
        <v>5178</v>
      </c>
      <c r="E4064" s="4">
        <v>6.109001093E9</v>
      </c>
      <c r="F4064" s="8" t="s">
        <v>5179</v>
      </c>
      <c r="G4064" s="4" t="s">
        <v>1485</v>
      </c>
      <c r="H4064" s="10" t="s">
        <v>5183</v>
      </c>
      <c r="I4064" s="10">
        <v>1.0</v>
      </c>
      <c r="J4064" s="11" t="str">
        <f>IF(D4064&lt;&gt;"",VLOOKUP(H4064,TABLEITEM,5,FALSE),"")</f>
        <v>EA</v>
      </c>
      <c r="K4064" s="12">
        <v>105.0</v>
      </c>
      <c r="L4064" s="13" t="str">
        <f>IF(D4064&lt;&gt;"",VLOOKUP(H4064,TABLEITEM,2,FALSE),"")</f>
        <v/>
      </c>
      <c r="M4064" s="13" t="str">
        <f>IF(D4064&lt;&gt;"",VLOOKUP(H4064,TABLEITEM,3,FALSE),"")</f>
        <v>HARMONY XB5 PILOT LIGH 22MM PLAIN LENS 230-240 OREANG</v>
      </c>
      <c r="N4064" s="14">
        <f>INSTOCK!$I4064*INSTOCK!$K4064</f>
        <v>105</v>
      </c>
      <c r="O4064" s="4"/>
      <c r="P4064" s="4"/>
    </row>
    <row r="4065" ht="15.75" hidden="1" customHeight="1">
      <c r="B4065" s="8">
        <v>4384.0</v>
      </c>
      <c r="C4065" s="9">
        <v>43353.0</v>
      </c>
      <c r="D4065" s="6" t="s">
        <v>5178</v>
      </c>
      <c r="E4065" s="4">
        <v>6.109001093E9</v>
      </c>
      <c r="F4065" s="8" t="s">
        <v>5179</v>
      </c>
      <c r="G4065" s="4" t="s">
        <v>1485</v>
      </c>
      <c r="H4065" s="10" t="s">
        <v>5184</v>
      </c>
      <c r="I4065" s="10">
        <v>1.0</v>
      </c>
      <c r="J4065" s="11" t="str">
        <f>IF(D4065&lt;&gt;"",VLOOKUP(H4065,TABLEITEM,5,FALSE),"")</f>
        <v>EA</v>
      </c>
      <c r="K4065" s="12">
        <v>105.0</v>
      </c>
      <c r="L4065" s="13" t="str">
        <f>IF(D4065&lt;&gt;"",VLOOKUP(H4065,TABLEITEM,2,FALSE),"")</f>
        <v/>
      </c>
      <c r="M4065" s="13" t="str">
        <f>IF(D4065&lt;&gt;"",VLOOKUP(H4065,TABLEITEM,3,FALSE),"")</f>
        <v>HARMONY XB5 PILOT LIGH 22MM PLAIN LENS 230-240 BLUE</v>
      </c>
      <c r="N4065" s="14">
        <f>INSTOCK!$I4065*INSTOCK!$K4065</f>
        <v>105</v>
      </c>
      <c r="O4065" s="4"/>
      <c r="P4065" s="4"/>
    </row>
    <row r="4066" ht="15.75" hidden="1" customHeight="1">
      <c r="B4066" s="8">
        <v>4385.0</v>
      </c>
      <c r="C4066" s="9">
        <v>43353.0</v>
      </c>
      <c r="D4066" s="6" t="s">
        <v>5178</v>
      </c>
      <c r="E4066" s="4">
        <v>6.109001093E9</v>
      </c>
      <c r="F4066" s="8" t="s">
        <v>5179</v>
      </c>
      <c r="G4066" s="4" t="s">
        <v>1485</v>
      </c>
      <c r="H4066" s="10" t="s">
        <v>3094</v>
      </c>
      <c r="I4066" s="10">
        <v>1.0</v>
      </c>
      <c r="J4066" s="11" t="str">
        <f>IF(D4066&lt;&gt;"",VLOOKUP(H4066,TABLEITEM,5,FALSE),"")</f>
        <v>EA</v>
      </c>
      <c r="K4066" s="12">
        <v>1064.0</v>
      </c>
      <c r="L4066" s="13" t="str">
        <f>IF(D4066&lt;&gt;"",VLOOKUP(H4066,TABLEITEM,2,FALSE),"")</f>
        <v/>
      </c>
      <c r="M4066" s="13" t="str">
        <f>IF(D4066&lt;&gt;"",VLOOKUP(H4066,TABLEITEM,3,FALSE),"")</f>
        <v>MG EZC 100 7.5KA/400V 3P/3T 60A </v>
      </c>
      <c r="N4066" s="14">
        <f>INSTOCK!$I4066*INSTOCK!$K4066</f>
        <v>1064</v>
      </c>
      <c r="O4066" s="4"/>
      <c r="P4066" s="4"/>
    </row>
    <row r="4067" ht="15.75" hidden="1" customHeight="1">
      <c r="B4067" s="8">
        <v>4386.0</v>
      </c>
      <c r="C4067" s="9">
        <v>43353.0</v>
      </c>
      <c r="D4067" s="6" t="s">
        <v>5178</v>
      </c>
      <c r="E4067" s="4">
        <v>6.109001093E9</v>
      </c>
      <c r="F4067" s="8" t="s">
        <v>5179</v>
      </c>
      <c r="G4067" s="4" t="s">
        <v>1485</v>
      </c>
      <c r="H4067" s="10" t="s">
        <v>5185</v>
      </c>
      <c r="I4067" s="10">
        <v>3.0</v>
      </c>
      <c r="J4067" s="11" t="str">
        <f>IF(D4067&lt;&gt;"",VLOOKUP(H4067,TABLEITEM,5,FALSE),"")</f>
        <v>EA</v>
      </c>
      <c r="K4067" s="12">
        <v>1026.0</v>
      </c>
      <c r="L4067" s="13" t="str">
        <f>IF(D4067&lt;&gt;"",VLOOKUP(H4067,TABLEITEM,2,FALSE),"")</f>
        <v/>
      </c>
      <c r="M4067" s="13" t="str">
        <f>IF(D4067&lt;&gt;"",VLOOKUP(H4067,TABLEITEM,3,FALSE),"")</f>
        <v>MCCB 3P EZC100B 30AT/100AF 7.5KA 415VAC</v>
      </c>
      <c r="N4067" s="14">
        <f>INSTOCK!$I4067*INSTOCK!$K4067</f>
        <v>3078</v>
      </c>
      <c r="O4067" s="4"/>
      <c r="P4067" s="4"/>
    </row>
    <row r="4068" ht="15.75" hidden="1" customHeight="1">
      <c r="B4068" s="8">
        <v>4387.0</v>
      </c>
      <c r="C4068" s="9">
        <v>43353.0</v>
      </c>
      <c r="D4068" s="6" t="s">
        <v>5178</v>
      </c>
      <c r="E4068" s="4">
        <v>6.109001093E9</v>
      </c>
      <c r="F4068" s="8" t="s">
        <v>5179</v>
      </c>
      <c r="G4068" s="4" t="s">
        <v>1485</v>
      </c>
      <c r="H4068" s="10" t="s">
        <v>4014</v>
      </c>
      <c r="I4068" s="10">
        <v>1.0</v>
      </c>
      <c r="J4068" s="11" t="str">
        <f>IF(D4068&lt;&gt;"",VLOOKUP(H4068,TABLEITEM,5,FALSE),"")</f>
        <v>EA</v>
      </c>
      <c r="K4068" s="12">
        <v>1634.0</v>
      </c>
      <c r="L4068" s="13" t="str">
        <f>IF(D4068&lt;&gt;"",VLOOKUP(H4068,TABLEITEM,2,FALSE),"")</f>
        <v/>
      </c>
      <c r="M4068" s="13" t="str">
        <f>IF(D4068&lt;&gt;"",VLOOKUP(H4068,TABLEITEM,3,FALSE),"")</f>
        <v>MCCB 3P EZC100F 100AT/100AF 10KA 415VAC</v>
      </c>
      <c r="N4068" s="14">
        <f>INSTOCK!$I4068*INSTOCK!$K4068</f>
        <v>1634</v>
      </c>
      <c r="O4068" s="4"/>
      <c r="P4068" s="4"/>
    </row>
    <row r="4069" ht="15.75" hidden="1" customHeight="1">
      <c r="B4069" s="8">
        <v>4388.0</v>
      </c>
      <c r="C4069" s="9">
        <v>43353.0</v>
      </c>
      <c r="D4069" s="6" t="s">
        <v>5178</v>
      </c>
      <c r="E4069" s="4">
        <v>6.109001093E9</v>
      </c>
      <c r="F4069" s="8" t="s">
        <v>5179</v>
      </c>
      <c r="G4069" s="4" t="s">
        <v>1485</v>
      </c>
      <c r="H4069" s="10" t="s">
        <v>5186</v>
      </c>
      <c r="I4069" s="10">
        <v>14.0</v>
      </c>
      <c r="J4069" s="11" t="str">
        <f>IF(D4069&lt;&gt;"",VLOOKUP(H4069,TABLEITEM,5,FALSE),"")</f>
        <v>EA</v>
      </c>
      <c r="K4069" s="12">
        <v>109.2</v>
      </c>
      <c r="L4069" s="13" t="str">
        <f>IF(D4069&lt;&gt;"",VLOOKUP(H4069,TABLEITEM,2,FALSE),"")</f>
        <v/>
      </c>
      <c r="M4069" s="13" t="str">
        <f>IF(D4069&lt;&gt;"",VLOOKUP(H4069,TABLEITEM,3,FALSE),"")</f>
        <v>HARMONY XB5 SELECTOR SWITCH 22MM -POSITION 1NO BLACJ</v>
      </c>
      <c r="N4069" s="14">
        <f>INSTOCK!$I4069*INSTOCK!$K4069</f>
        <v>1528.8</v>
      </c>
      <c r="O4069" s="4"/>
      <c r="P4069" s="4"/>
    </row>
    <row r="4070" ht="15.75" hidden="1" customHeight="1">
      <c r="B4070" s="8">
        <v>4389.0</v>
      </c>
      <c r="C4070" s="9">
        <v>43353.0</v>
      </c>
      <c r="D4070" s="6" t="s">
        <v>5178</v>
      </c>
      <c r="E4070" s="4">
        <v>6.109001093E9</v>
      </c>
      <c r="F4070" s="8" t="s">
        <v>5179</v>
      </c>
      <c r="G4070" s="4" t="s">
        <v>1485</v>
      </c>
      <c r="H4070" s="10" t="s">
        <v>2824</v>
      </c>
      <c r="I4070" s="10">
        <v>6.0</v>
      </c>
      <c r="J4070" s="11" t="str">
        <f>IF(D4070&lt;&gt;"",VLOOKUP(H4070,TABLEITEM,5,FALSE),"")</f>
        <v>EA</v>
      </c>
      <c r="K4070" s="12">
        <v>805.0</v>
      </c>
      <c r="L4070" s="13" t="str">
        <f>IF(D4070&lt;&gt;"",VLOOKUP(H4070,TABLEITEM,2,FALSE),"")</f>
        <v/>
      </c>
      <c r="M4070" s="13" t="str">
        <f>IF(D4070&lt;&gt;"",VLOOKUP(H4070,TABLEITEM,3,FALSE),"")</f>
        <v>MCB IC60N 3P 32A C CURVE 10KA 400VAC</v>
      </c>
      <c r="N4070" s="14">
        <f>INSTOCK!$I4070*INSTOCK!$K4070</f>
        <v>4830</v>
      </c>
      <c r="O4070" s="4"/>
      <c r="P4070" s="4"/>
    </row>
    <row r="4071" ht="15.75" hidden="1" customHeight="1">
      <c r="B4071" s="8">
        <v>4390.0</v>
      </c>
      <c r="C4071" s="9">
        <v>43353.0</v>
      </c>
      <c r="D4071" s="6" t="s">
        <v>5178</v>
      </c>
      <c r="E4071" s="4">
        <v>6.109001093E9</v>
      </c>
      <c r="F4071" s="8" t="s">
        <v>5179</v>
      </c>
      <c r="G4071" s="4" t="s">
        <v>1485</v>
      </c>
      <c r="H4071" s="10" t="s">
        <v>5187</v>
      </c>
      <c r="I4071" s="10">
        <v>6.0</v>
      </c>
      <c r="J4071" s="11" t="str">
        <f>IF(D4071&lt;&gt;"",VLOOKUP(H4071,TABLEITEM,5,FALSE),"")</f>
        <v>EA</v>
      </c>
      <c r="K4071" s="12">
        <v>751.8</v>
      </c>
      <c r="L4071" s="13" t="str">
        <f>IF(D4071&lt;&gt;"",VLOOKUP(H4071,TABLEITEM,2,FALSE),"")</f>
        <v/>
      </c>
      <c r="M4071" s="13" t="str">
        <f>IF(D4071&lt;&gt;"",VLOOKUP(H4071,TABLEITEM,3,FALSE),"")</f>
        <v>COJNTACTOR TYSYS D 3P AC3 12A 220VAC COIL</v>
      </c>
      <c r="N4071" s="14">
        <f>INSTOCK!$I4071*INSTOCK!$K4071</f>
        <v>4510.8</v>
      </c>
      <c r="O4071" s="4"/>
      <c r="P4071" s="4"/>
    </row>
    <row r="4072" ht="15.75" hidden="1" customHeight="1">
      <c r="B4072" s="8">
        <v>4391.0</v>
      </c>
      <c r="C4072" s="9">
        <v>43353.0</v>
      </c>
      <c r="D4072" s="6" t="s">
        <v>5178</v>
      </c>
      <c r="E4072" s="4">
        <v>6.109001093E9</v>
      </c>
      <c r="F4072" s="8" t="s">
        <v>5179</v>
      </c>
      <c r="G4072" s="4" t="s">
        <v>1485</v>
      </c>
      <c r="H4072" s="10" t="s">
        <v>3715</v>
      </c>
      <c r="I4072" s="10">
        <v>4.0</v>
      </c>
      <c r="J4072" s="11" t="str">
        <f>IF(D4072&lt;&gt;"",VLOOKUP(H4072,TABLEITEM,5,FALSE),"")</f>
        <v>EA</v>
      </c>
      <c r="K4072" s="12">
        <v>516.6</v>
      </c>
      <c r="L4072" s="13" t="str">
        <f>IF(D4072&lt;&gt;"",VLOOKUP(H4072,TABLEITEM,2,FALSE),"")</f>
        <v/>
      </c>
      <c r="M4072" s="13" t="str">
        <f>IF(D4072&lt;&gt;"",VLOOKUP(H4072,TABLEITEM,3,FALSE),"")</f>
        <v>OVERLOAD REL 7A 10KA</v>
      </c>
      <c r="N4072" s="14">
        <f>INSTOCK!$I4072*INSTOCK!$K4072</f>
        <v>2066.4</v>
      </c>
      <c r="O4072" s="4"/>
      <c r="P4072" s="4"/>
    </row>
    <row r="4073" ht="15.75" hidden="1" customHeight="1">
      <c r="B4073" s="8">
        <v>4392.0</v>
      </c>
      <c r="C4073" s="9">
        <v>43353.0</v>
      </c>
      <c r="D4073" s="6" t="s">
        <v>5178</v>
      </c>
      <c r="E4073" s="4">
        <v>6.109001093E9</v>
      </c>
      <c r="F4073" s="8" t="s">
        <v>5179</v>
      </c>
      <c r="G4073" s="4" t="s">
        <v>1485</v>
      </c>
      <c r="H4073" s="10" t="s">
        <v>3677</v>
      </c>
      <c r="I4073" s="10">
        <v>1.0</v>
      </c>
      <c r="J4073" s="11" t="str">
        <f>IF(D4073&lt;&gt;"",VLOOKUP(H4073,TABLEITEM,5,FALSE),"")</f>
        <v>EA</v>
      </c>
      <c r="K4073" s="12">
        <v>810.0</v>
      </c>
      <c r="L4073" s="13" t="str">
        <f>IF(D4073&lt;&gt;"",VLOOKUP(H4073,TABLEITEM,2,FALSE),"")</f>
        <v/>
      </c>
      <c r="M4073" s="13" t="str">
        <f>IF(D4073&lt;&gt;"",VLOOKUP(H4073,TABLEITEM,3,FALSE),"")</f>
        <v>MCB IC60N 3P 20A </v>
      </c>
      <c r="N4073" s="14">
        <f>INSTOCK!$I4073*INSTOCK!$K4073</f>
        <v>810</v>
      </c>
      <c r="O4073" s="4"/>
      <c r="P4073" s="4"/>
    </row>
    <row r="4074" ht="15.75" hidden="1" customHeight="1">
      <c r="B4074" s="8">
        <v>4393.0</v>
      </c>
      <c r="C4074" s="9">
        <v>43353.0</v>
      </c>
      <c r="D4074" s="6" t="s">
        <v>5178</v>
      </c>
      <c r="E4074" s="4">
        <v>6.109001093E9</v>
      </c>
      <c r="F4074" s="8" t="s">
        <v>5179</v>
      </c>
      <c r="G4074" s="4" t="s">
        <v>1485</v>
      </c>
      <c r="H4074" s="10" t="s">
        <v>1653</v>
      </c>
      <c r="I4074" s="10">
        <v>1.0</v>
      </c>
      <c r="J4074" s="11" t="str">
        <f>IF(D4074&lt;&gt;"",VLOOKUP(H4074,TABLEITEM,5,FALSE),"")</f>
        <v>EA</v>
      </c>
      <c r="K4074" s="12">
        <v>483.0</v>
      </c>
      <c r="L4074" s="13" t="str">
        <f>IF(D4074&lt;&gt;"",VLOOKUP(H4074,TABLEITEM,2,FALSE),"")</f>
        <v/>
      </c>
      <c r="M4074" s="13" t="str">
        <f>IF(D4074&lt;&gt;"",VLOOKUP(H4074,TABLEITEM,3,FALSE),"")</f>
        <v>CONTACTOR 3P AC3 12A 220VAC</v>
      </c>
      <c r="N4074" s="14">
        <f>INSTOCK!$I4074*INSTOCK!$K4074</f>
        <v>483</v>
      </c>
      <c r="O4074" s="4"/>
      <c r="P4074" s="4"/>
    </row>
    <row r="4075" ht="15.75" hidden="1" customHeight="1">
      <c r="B4075" s="8">
        <v>4394.0</v>
      </c>
      <c r="C4075" s="9">
        <v>43353.0</v>
      </c>
      <c r="D4075" s="6" t="s">
        <v>5178</v>
      </c>
      <c r="E4075" s="4">
        <v>6.109001093E9</v>
      </c>
      <c r="F4075" s="8" t="s">
        <v>5179</v>
      </c>
      <c r="G4075" s="4" t="s">
        <v>1485</v>
      </c>
      <c r="H4075" s="10" t="s">
        <v>3213</v>
      </c>
      <c r="I4075" s="10">
        <v>1.0</v>
      </c>
      <c r="J4075" s="11" t="str">
        <f>IF(D4075&lt;&gt;"",VLOOKUP(H4075,TABLEITEM,5,FALSE),"")</f>
        <v>EA</v>
      </c>
      <c r="K4075" s="12">
        <v>516.6</v>
      </c>
      <c r="L4075" s="13" t="str">
        <f>IF(D4075&lt;&gt;"",VLOOKUP(H4075,TABLEITEM,2,FALSE),"")</f>
        <v/>
      </c>
      <c r="M4075" s="13" t="str">
        <f>IF(D4075&lt;&gt;"",VLOOKUP(H4075,TABLEITEM,3,FALSE),"")</f>
        <v>TESYS LRD THERMAL OVERLOAD RELAY 4-6A CLASS 10A</v>
      </c>
      <c r="N4075" s="14">
        <f>INSTOCK!$I4075*INSTOCK!$K4075</f>
        <v>516.6</v>
      </c>
      <c r="O4075" s="4"/>
      <c r="P4075" s="4"/>
    </row>
    <row r="4076" ht="15.75" hidden="1" customHeight="1">
      <c r="B4076" s="8">
        <v>4395.0</v>
      </c>
      <c r="C4076" s="9">
        <v>43353.0</v>
      </c>
      <c r="D4076" s="6" t="s">
        <v>5178</v>
      </c>
      <c r="E4076" s="4">
        <v>6.109001093E9</v>
      </c>
      <c r="F4076" s="8" t="s">
        <v>5179</v>
      </c>
      <c r="G4076" s="4" t="s">
        <v>1485</v>
      </c>
      <c r="H4076" s="10" t="s">
        <v>5188</v>
      </c>
      <c r="I4076" s="10">
        <v>4.0</v>
      </c>
      <c r="J4076" s="11" t="str">
        <f>IF(D4076&lt;&gt;"",VLOOKUP(H4076,TABLEITEM,5,FALSE),"")</f>
        <v>EA</v>
      </c>
      <c r="K4076" s="12">
        <v>176.4</v>
      </c>
      <c r="L4076" s="13" t="str">
        <f>IF(D4076&lt;&gt;"",VLOOKUP(H4076,TABLEITEM,2,FALSE),"")</f>
        <v/>
      </c>
      <c r="M4076" s="13" t="str">
        <f>IF(D4076&lt;&gt;"",VLOOKUP(H4076,TABLEITEM,3,FALSE),"")</f>
        <v>HARMONY XB5 SELECTOR SWITCH 22MM -POSITION 2NO BLACJ</v>
      </c>
      <c r="N4076" s="14">
        <f>INSTOCK!$I4076*INSTOCK!$K4076</f>
        <v>705.6</v>
      </c>
      <c r="O4076" s="4"/>
      <c r="P4076" s="4"/>
    </row>
    <row r="4077" ht="15.75" hidden="1" customHeight="1">
      <c r="B4077" s="8">
        <v>4396.0</v>
      </c>
      <c r="C4077" s="9">
        <v>43353.0</v>
      </c>
      <c r="D4077" s="6" t="s">
        <v>5178</v>
      </c>
      <c r="E4077" s="4">
        <v>6.109001093E9</v>
      </c>
      <c r="F4077" s="8" t="s">
        <v>5179</v>
      </c>
      <c r="G4077" s="4" t="s">
        <v>1485</v>
      </c>
      <c r="H4077" s="10" t="s">
        <v>5189</v>
      </c>
      <c r="I4077" s="10">
        <v>1.0</v>
      </c>
      <c r="J4077" s="11" t="str">
        <f>IF(D4077&lt;&gt;"",VLOOKUP(H4077,TABLEITEM,5,FALSE),"")</f>
        <v>EA</v>
      </c>
      <c r="K4077" s="12">
        <v>140.0</v>
      </c>
      <c r="L4077" s="13" t="str">
        <f>IF(D4077&lt;&gt;"",VLOOKUP(H4077,TABLEITEM,2,FALSE),"")</f>
        <v/>
      </c>
      <c r="M4077" s="13" t="str">
        <f>IF(D4077&lt;&gt;"",VLOOKUP(H4077,TABLEITEM,3,FALSE),"")</f>
        <v>IC60N 1P 6A CURVE 10KA 400VAC</v>
      </c>
      <c r="N4077" s="14">
        <f>INSTOCK!$I4077*INSTOCK!$K4077</f>
        <v>140</v>
      </c>
      <c r="O4077" s="4"/>
      <c r="P4077" s="4"/>
    </row>
    <row r="4078" ht="15.75" hidden="1" customHeight="1">
      <c r="B4078" s="8">
        <v>4397.0</v>
      </c>
      <c r="C4078" s="9">
        <v>43353.0</v>
      </c>
      <c r="D4078" s="6">
        <v>35859.0</v>
      </c>
      <c r="E4078" s="4">
        <v>6.109001095E9</v>
      </c>
      <c r="F4078" s="8"/>
      <c r="G4078" s="4" t="s">
        <v>696</v>
      </c>
      <c r="H4078" s="10" t="s">
        <v>5190</v>
      </c>
      <c r="I4078" s="10">
        <v>1.0</v>
      </c>
      <c r="J4078" s="11" t="str">
        <f>IF(D4078&lt;&gt;"",VLOOKUP(H4078,TABLEITEM,5,FALSE),"")</f>
        <v>EA</v>
      </c>
      <c r="K4078" s="12">
        <v>1400.0</v>
      </c>
      <c r="L4078" s="13" t="str">
        <f>IF(D4078&lt;&gt;"",VLOOKUP(H4078,TABLEITEM,2,FALSE),"")</f>
        <v/>
      </c>
      <c r="M4078" s="13" t="str">
        <f>IF(D4078&lt;&gt;"",VLOOKUP(H4078,TABLEITEM,3,FALSE),"")</f>
        <v>ชุดสลิงยกของ ยาว 1.5 เมตร</v>
      </c>
      <c r="N4078" s="14">
        <f>INSTOCK!$I4078*INSTOCK!$K4078</f>
        <v>1400</v>
      </c>
      <c r="O4078" s="4"/>
      <c r="P4078" s="4"/>
    </row>
    <row r="4079" ht="15.75" hidden="1" customHeight="1">
      <c r="B4079" s="8">
        <v>4398.0</v>
      </c>
      <c r="C4079" s="9">
        <v>43353.0</v>
      </c>
      <c r="D4079" s="6">
        <v>35859.0</v>
      </c>
      <c r="E4079" s="4">
        <v>6.109001095E9</v>
      </c>
      <c r="F4079" s="8"/>
      <c r="G4079" s="4" t="s">
        <v>696</v>
      </c>
      <c r="H4079" s="10" t="s">
        <v>5191</v>
      </c>
      <c r="I4079" s="10">
        <v>1.0</v>
      </c>
      <c r="J4079" s="11" t="str">
        <f>IF(D4079&lt;&gt;"",VLOOKUP(H4079,TABLEITEM,5,FALSE),"")</f>
        <v>EA</v>
      </c>
      <c r="K4079" s="12">
        <v>1800.0</v>
      </c>
      <c r="L4079" s="13" t="str">
        <f>IF(D4079&lt;&gt;"",VLOOKUP(H4079,TABLEITEM,2,FALSE),"")</f>
        <v/>
      </c>
      <c r="M4079" s="13" t="str">
        <f>IF(D4079&lt;&gt;"",VLOOKUP(H4079,TABLEITEM,3,FALSE),"")</f>
        <v>ฃสีน้ำอะคริลิคใช้ทาภายนอก VINY 1733</v>
      </c>
      <c r="N4079" s="14">
        <f>INSTOCK!$I4079*INSTOCK!$K4079</f>
        <v>1800</v>
      </c>
      <c r="O4079" s="4"/>
      <c r="P4079" s="4"/>
    </row>
    <row r="4080" ht="15.75" hidden="1" customHeight="1">
      <c r="B4080" s="8">
        <v>4399.0</v>
      </c>
      <c r="C4080" s="9">
        <v>43351.0</v>
      </c>
      <c r="D4080" s="6">
        <v>6.10903127E8</v>
      </c>
      <c r="E4080" s="4">
        <v>6.109001101E9</v>
      </c>
      <c r="F4080" s="8"/>
      <c r="G4080" s="4" t="s">
        <v>1130</v>
      </c>
      <c r="H4080" s="10" t="s">
        <v>245</v>
      </c>
      <c r="I4080" s="10">
        <v>7500.0</v>
      </c>
      <c r="J4080" s="11" t="str">
        <f>IF(D4080&lt;&gt;"",VLOOKUP(H4080,TABLEITEM,5,FALSE),"")</f>
        <v>EA</v>
      </c>
      <c r="K4080" s="12">
        <v>0.63</v>
      </c>
      <c r="L4080" s="13" t="str">
        <f>IF(D4080&lt;&gt;"",VLOOKUP(H4080,TABLEITEM,2,FALSE),"")</f>
        <v/>
      </c>
      <c r="M4080" s="13" t="str">
        <f>IF(D4080&lt;&gt;"",VLOOKUP(H4080,TABLEITEM,3,FALSE),"")</f>
        <v>หางปลาแฉกเปลือย Y1.5-3S</v>
      </c>
      <c r="N4080" s="14">
        <f>INSTOCK!$I4080*INSTOCK!$K4080</f>
        <v>4725</v>
      </c>
      <c r="O4080" s="4" t="s">
        <v>1830</v>
      </c>
      <c r="P4080" s="4"/>
    </row>
    <row r="4081" ht="15.75" hidden="1" customHeight="1">
      <c r="B4081" s="8">
        <v>4400.0</v>
      </c>
      <c r="C4081" s="9">
        <v>43351.0</v>
      </c>
      <c r="D4081" s="6">
        <v>6.10903127E8</v>
      </c>
      <c r="E4081" s="4">
        <v>6.109001101E9</v>
      </c>
      <c r="F4081" s="8"/>
      <c r="G4081" s="4" t="s">
        <v>1130</v>
      </c>
      <c r="H4081" s="10" t="s">
        <v>169</v>
      </c>
      <c r="I4081" s="10">
        <v>100.0</v>
      </c>
      <c r="J4081" s="11" t="str">
        <f>IF(D4081&lt;&gt;"",VLOOKUP(H4081,TABLEITEM,5,FALSE),"")</f>
        <v>M</v>
      </c>
      <c r="K4081" s="12">
        <v>4.0</v>
      </c>
      <c r="L4081" s="13" t="str">
        <f>IF(D4081&lt;&gt;"",VLOOKUP(H4081,TABLEITEM,2,FALSE),"")</f>
        <v/>
      </c>
      <c r="M4081" s="13" t="str">
        <f>IF(D4081&lt;&gt;"",VLOOKUP(H4081,TABLEITEM,3,FALSE),"")</f>
        <v>ไส้ไก่ NO.10</v>
      </c>
      <c r="N4081" s="14">
        <f>INSTOCK!$I4081*INSTOCK!$K4081</f>
        <v>400</v>
      </c>
      <c r="O4081" s="4" t="s">
        <v>2917</v>
      </c>
      <c r="P4081" s="4"/>
    </row>
    <row r="4082" ht="15.75" hidden="1" customHeight="1">
      <c r="B4082" s="8">
        <v>4401.0</v>
      </c>
      <c r="C4082" s="9">
        <v>43351.0</v>
      </c>
      <c r="D4082" s="6" t="s">
        <v>5192</v>
      </c>
      <c r="E4082" s="4">
        <v>6.109001092E9</v>
      </c>
      <c r="F4082" s="8" t="s">
        <v>3676</v>
      </c>
      <c r="G4082" s="4" t="s">
        <v>5193</v>
      </c>
      <c r="H4082" s="10" t="s">
        <v>5194</v>
      </c>
      <c r="I4082" s="10">
        <v>3.0</v>
      </c>
      <c r="J4082" s="11" t="str">
        <f>IF(D4082&lt;&gt;"",VLOOKUP(H4082,TABLEITEM,5,FALSE),"")</f>
        <v>EA</v>
      </c>
      <c r="K4082" s="12">
        <v>12800.0</v>
      </c>
      <c r="L4082" s="13" t="str">
        <f>IF(D4082&lt;&gt;"",VLOOKUP(H4082,TABLEITEM,2,FALSE),"")</f>
        <v/>
      </c>
      <c r="M4082" s="13" t="str">
        <f>IF(D4082&lt;&gt;"",VLOOKUP(H4082,TABLEITEM,3,FALSE),"")</f>
        <v>Fuji Inverter ACE Series Model FRN0022E2S4GB (5.5KW 380V)</v>
      </c>
      <c r="N4082" s="14">
        <f>INSTOCK!$I4082*INSTOCK!$K4082</f>
        <v>38400</v>
      </c>
      <c r="O4082" s="4"/>
      <c r="P4082" s="4"/>
    </row>
    <row r="4083" ht="15.75" hidden="1" customHeight="1">
      <c r="B4083" s="8">
        <v>4402.0</v>
      </c>
      <c r="C4083" s="9">
        <v>43351.0</v>
      </c>
      <c r="D4083" s="6" t="s">
        <v>5192</v>
      </c>
      <c r="E4083" s="4">
        <v>6.109001092E9</v>
      </c>
      <c r="F4083" s="8" t="s">
        <v>3676</v>
      </c>
      <c r="G4083" s="4" t="s">
        <v>5193</v>
      </c>
      <c r="H4083" s="10" t="s">
        <v>5195</v>
      </c>
      <c r="I4083" s="10">
        <v>2.0</v>
      </c>
      <c r="J4083" s="11" t="str">
        <f>IF(D4083&lt;&gt;"",VLOOKUP(H4083,TABLEITEM,5,FALSE),"")</f>
        <v>EA</v>
      </c>
      <c r="K4083" s="12">
        <v>14700.0</v>
      </c>
      <c r="L4083" s="13" t="str">
        <f>IF(D4083&lt;&gt;"",VLOOKUP(H4083,TABLEITEM,2,FALSE),"")</f>
        <v/>
      </c>
      <c r="M4083" s="13" t="str">
        <f>IF(D4083&lt;&gt;"",VLOOKUP(H4083,TABLEITEM,3,FALSE),"")</f>
        <v>Fuji Inverter ACE Series Model FRN0029E2S4GB (7.5KW 380V)</v>
      </c>
      <c r="N4083" s="14">
        <f>INSTOCK!$I4083*INSTOCK!$K4083</f>
        <v>29400</v>
      </c>
      <c r="O4083" s="4"/>
      <c r="P4083" s="4"/>
    </row>
    <row r="4084" ht="15.75" hidden="1" customHeight="1">
      <c r="B4084" s="8">
        <v>4403.0</v>
      </c>
      <c r="C4084" s="9">
        <v>43351.0</v>
      </c>
      <c r="D4084" s="6" t="s">
        <v>5196</v>
      </c>
      <c r="E4084" s="4">
        <v>6.109001098E9</v>
      </c>
      <c r="F4084" s="8" t="s">
        <v>5197</v>
      </c>
      <c r="G4084" s="4" t="s">
        <v>965</v>
      </c>
      <c r="H4084" s="10" t="s">
        <v>5198</v>
      </c>
      <c r="I4084" s="10">
        <v>1.0</v>
      </c>
      <c r="J4084" s="11" t="str">
        <f>IF(D4084&lt;&gt;"",VLOOKUP(H4084,TABLEITEM,5,FALSE),"")</f>
        <v>EA</v>
      </c>
      <c r="K4084" s="12">
        <v>170.0</v>
      </c>
      <c r="L4084" s="13" t="str">
        <f>IF(D4084&lt;&gt;"",VLOOKUP(H4084,TABLEITEM,2,FALSE),"")</f>
        <v/>
      </c>
      <c r="M4084" s="13" t="str">
        <f>IF(D4084&lt;&gt;"",VLOOKUP(H4084,TABLEITEM,3,FALSE),"")</f>
        <v>วอลพุตตี้</v>
      </c>
      <c r="N4084" s="14">
        <f>INSTOCK!$I4084*INSTOCK!$K4084</f>
        <v>170</v>
      </c>
      <c r="O4084" s="4"/>
      <c r="P4084" s="4"/>
    </row>
    <row r="4085" ht="15.75" hidden="1" customHeight="1">
      <c r="B4085" s="8">
        <v>4404.0</v>
      </c>
      <c r="C4085" s="9">
        <v>43351.0</v>
      </c>
      <c r="D4085" s="6" t="s">
        <v>5196</v>
      </c>
      <c r="E4085" s="4">
        <v>6.109001098E9</v>
      </c>
      <c r="F4085" s="8" t="s">
        <v>5197</v>
      </c>
      <c r="G4085" s="4" t="s">
        <v>965</v>
      </c>
      <c r="H4085" s="10" t="s">
        <v>2041</v>
      </c>
      <c r="I4085" s="10">
        <v>2.0</v>
      </c>
      <c r="J4085" s="11" t="str">
        <f>IF(D4085&lt;&gt;"",VLOOKUP(H4085,TABLEITEM,5,FALSE),"")</f>
        <v>กล</v>
      </c>
      <c r="K4085" s="12">
        <v>290.0</v>
      </c>
      <c r="L4085" s="13" t="str">
        <f>IF(D4085&lt;&gt;"",VLOOKUP(H4085,TABLEITEM,2,FALSE),"")</f>
        <v/>
      </c>
      <c r="M4085" s="13" t="str">
        <f>IF(D4085&lt;&gt;"",VLOOKUP(H4085,TABLEITEM,3,FALSE),"")</f>
        <v>สีน้ำมัน LOTTO 1186</v>
      </c>
      <c r="N4085" s="14">
        <f>INSTOCK!$I4085*INSTOCK!$K4085</f>
        <v>580</v>
      </c>
      <c r="O4085" s="4"/>
      <c r="P4085" s="4"/>
    </row>
    <row r="4086" ht="15.75" hidden="1" customHeight="1">
      <c r="B4086" s="8">
        <v>4405.0</v>
      </c>
      <c r="C4086" s="9">
        <v>43351.0</v>
      </c>
      <c r="D4086" s="6" t="s">
        <v>5199</v>
      </c>
      <c r="E4086" s="4">
        <v>6.109001052E9</v>
      </c>
      <c r="F4086" s="8" t="s">
        <v>604</v>
      </c>
      <c r="G4086" s="4" t="s">
        <v>965</v>
      </c>
      <c r="H4086" s="10" t="s">
        <v>5200</v>
      </c>
      <c r="I4086" s="10">
        <v>10.0</v>
      </c>
      <c r="J4086" s="11" t="str">
        <f>IF(D4086&lt;&gt;"",VLOOKUP(H4086,TABLEITEM,5,FALSE),"")</f>
        <v>EA</v>
      </c>
      <c r="K4086" s="12">
        <v>10.0</v>
      </c>
      <c r="L4086" s="13" t="str">
        <f>IF(D4086&lt;&gt;"",VLOOKUP(H4086,TABLEITEM,2,FALSE),"")</f>
        <v/>
      </c>
      <c r="M4086" s="13" t="str">
        <f>IF(D4086&lt;&gt;"",VLOOKUP(H4086,TABLEITEM,3,FALSE),"")</f>
        <v>ดอกสว่าน MAXCO 3.3MM</v>
      </c>
      <c r="N4086" s="14">
        <f>INSTOCK!$I4086*INSTOCK!$K4086</f>
        <v>100</v>
      </c>
      <c r="O4086" s="4"/>
      <c r="P4086" s="4"/>
    </row>
    <row r="4087" ht="15.75" hidden="1" customHeight="1">
      <c r="B4087" s="8">
        <v>4406.0</v>
      </c>
      <c r="C4087" s="9">
        <v>43351.0</v>
      </c>
      <c r="D4087" s="6" t="s">
        <v>5199</v>
      </c>
      <c r="E4087" s="4">
        <v>6.109001052E9</v>
      </c>
      <c r="F4087" s="8" t="s">
        <v>604</v>
      </c>
      <c r="G4087" s="4" t="s">
        <v>965</v>
      </c>
      <c r="H4087" s="10" t="s">
        <v>5201</v>
      </c>
      <c r="I4087" s="10">
        <v>10.0</v>
      </c>
      <c r="J4087" s="11" t="str">
        <f>IF(D4087&lt;&gt;"",VLOOKUP(H4087,TABLEITEM,5,FALSE),"")</f>
        <v>EA</v>
      </c>
      <c r="K4087" s="12">
        <v>12.0</v>
      </c>
      <c r="L4087" s="13" t="str">
        <f>IF(D4087&lt;&gt;"",VLOOKUP(H4087,TABLEITEM,2,FALSE),"")</f>
        <v/>
      </c>
      <c r="M4087" s="13" t="str">
        <f>IF(D4087&lt;&gt;"",VLOOKUP(H4087,TABLEITEM,3,FALSE),"")</f>
        <v>ดอกสว่าน MAXCO 4.0MM</v>
      </c>
      <c r="N4087" s="14">
        <f>INSTOCK!$I4087*INSTOCK!$K4087</f>
        <v>120</v>
      </c>
      <c r="O4087" s="4"/>
      <c r="P4087" s="4"/>
    </row>
    <row r="4088" ht="15.75" hidden="1" customHeight="1">
      <c r="B4088" s="8">
        <v>4407.0</v>
      </c>
      <c r="C4088" s="9">
        <v>43351.0</v>
      </c>
      <c r="D4088" s="6" t="s">
        <v>5199</v>
      </c>
      <c r="E4088" s="4">
        <v>6.109001052E9</v>
      </c>
      <c r="F4088" s="8" t="s">
        <v>604</v>
      </c>
      <c r="G4088" s="4" t="s">
        <v>965</v>
      </c>
      <c r="H4088" s="10" t="s">
        <v>5202</v>
      </c>
      <c r="I4088" s="10">
        <v>1.0</v>
      </c>
      <c r="J4088" s="11" t="str">
        <f>IF(D4088&lt;&gt;"",VLOOKUP(H4088,TABLEITEM,5,FALSE),"")</f>
        <v>EA</v>
      </c>
      <c r="K4088" s="12">
        <v>23.0</v>
      </c>
      <c r="L4088" s="13" t="str">
        <f>IF(D4088&lt;&gt;"",VLOOKUP(H4088,TABLEITEM,2,FALSE),"")</f>
        <v/>
      </c>
      <c r="M4088" s="13" t="str">
        <f>IF(D4088&lt;&gt;"",VLOOKUP(H4088,TABLEITEM,3,FALSE),"")</f>
        <v>ดอกสว่าน MAXCO 7.0MM</v>
      </c>
      <c r="N4088" s="14">
        <f>INSTOCK!$I4088*INSTOCK!$K4088</f>
        <v>23</v>
      </c>
      <c r="O4088" s="4"/>
      <c r="P4088" s="4"/>
    </row>
    <row r="4089" ht="15.75" hidden="1" customHeight="1">
      <c r="B4089" s="8">
        <v>4408.0</v>
      </c>
      <c r="C4089" s="9">
        <v>43351.0</v>
      </c>
      <c r="D4089" s="6" t="s">
        <v>5199</v>
      </c>
      <c r="E4089" s="4">
        <v>6.109001052E9</v>
      </c>
      <c r="F4089" s="8" t="s">
        <v>604</v>
      </c>
      <c r="G4089" s="4" t="s">
        <v>965</v>
      </c>
      <c r="H4089" s="10" t="s">
        <v>5203</v>
      </c>
      <c r="I4089" s="10">
        <v>1.0</v>
      </c>
      <c r="J4089" s="11" t="str">
        <f>IF(D4089&lt;&gt;"",VLOOKUP(H4089,TABLEITEM,5,FALSE),"")</f>
        <v>EA</v>
      </c>
      <c r="K4089" s="12">
        <v>35.0</v>
      </c>
      <c r="L4089" s="13" t="str">
        <f>IF(D4089&lt;&gt;"",VLOOKUP(H4089,TABLEITEM,2,FALSE),"")</f>
        <v/>
      </c>
      <c r="M4089" s="13" t="str">
        <f>IF(D4089&lt;&gt;"",VLOOKUP(H4089,TABLEITEM,3,FALSE),"")</f>
        <v>ดอกสว่าน MAXCO 8.0MM</v>
      </c>
      <c r="N4089" s="14">
        <f>INSTOCK!$I4089*INSTOCK!$K4089</f>
        <v>35</v>
      </c>
      <c r="O4089" s="4"/>
      <c r="P4089" s="4"/>
    </row>
    <row r="4090" ht="15.75" hidden="1" customHeight="1">
      <c r="B4090" s="8">
        <v>4409.0</v>
      </c>
      <c r="C4090" s="9">
        <v>43351.0</v>
      </c>
      <c r="D4090" s="6" t="s">
        <v>5199</v>
      </c>
      <c r="E4090" s="4">
        <v>6.109001052E9</v>
      </c>
      <c r="F4090" s="8" t="s">
        <v>604</v>
      </c>
      <c r="G4090" s="4" t="s">
        <v>965</v>
      </c>
      <c r="H4090" s="10" t="s">
        <v>5204</v>
      </c>
      <c r="I4090" s="10">
        <v>10.0</v>
      </c>
      <c r="J4090" s="11" t="str">
        <f>IF(D4090&lt;&gt;"",VLOOKUP(H4090,TABLEITEM,5,FALSE),"")</f>
        <v>EA</v>
      </c>
      <c r="K4090" s="12">
        <v>40.0</v>
      </c>
      <c r="L4090" s="13" t="str">
        <f>IF(D4090&lt;&gt;"",VLOOKUP(H4090,TABLEITEM,2,FALSE),"")</f>
        <v/>
      </c>
      <c r="M4090" s="13" t="str">
        <f>IF(D4090&lt;&gt;"",VLOOKUP(H4090,TABLEITEM,3,FALSE),"")</f>
        <v>ดอกสว่าน MAXCO 10.0MM</v>
      </c>
      <c r="N4090" s="14">
        <f>INSTOCK!$I4090*INSTOCK!$K4090</f>
        <v>400</v>
      </c>
      <c r="O4090" s="4"/>
      <c r="P4090" s="4"/>
    </row>
    <row r="4091" ht="15.75" hidden="1" customHeight="1">
      <c r="B4091" s="8">
        <v>4410.0</v>
      </c>
      <c r="C4091" s="9">
        <v>43351.0</v>
      </c>
      <c r="D4091" s="6" t="s">
        <v>5199</v>
      </c>
      <c r="E4091" s="4">
        <v>6.109001052E9</v>
      </c>
      <c r="F4091" s="8" t="s">
        <v>604</v>
      </c>
      <c r="G4091" s="4" t="s">
        <v>965</v>
      </c>
      <c r="H4091" s="10" t="s">
        <v>2974</v>
      </c>
      <c r="I4091" s="10">
        <v>10.0</v>
      </c>
      <c r="J4091" s="11" t="str">
        <f>IF(D4091&lt;&gt;"",VLOOKUP(H4091,TABLEITEM,5,FALSE),"")</f>
        <v>ROLL</v>
      </c>
      <c r="K4091" s="12">
        <v>32.0</v>
      </c>
      <c r="L4091" s="13" t="str">
        <f>IF(D4091&lt;&gt;"",VLOOKUP(H4091,TABLEITEM,2,FALSE),"")</f>
        <v/>
      </c>
      <c r="M4091" s="13" t="str">
        <f>IF(D4091&lt;&gt;"",VLOOKUP(H4091,TABLEITEM,3,FALSE),"")</f>
        <v>สายลม PU KOVET 8x12มม.(ฟ้า) </v>
      </c>
      <c r="N4091" s="14">
        <f>INSTOCK!$I4091*INSTOCK!$K4091</f>
        <v>320</v>
      </c>
      <c r="O4091" s="4"/>
      <c r="P4091" s="4"/>
    </row>
    <row r="4092" ht="15.75" hidden="1" customHeight="1">
      <c r="B4092" s="8">
        <v>4411.0</v>
      </c>
      <c r="C4092" s="9">
        <v>43350.0</v>
      </c>
      <c r="D4092" s="6" t="s">
        <v>5205</v>
      </c>
      <c r="E4092" s="4">
        <v>6.109001082E9</v>
      </c>
      <c r="F4092" s="8" t="s">
        <v>604</v>
      </c>
      <c r="G4092" s="4" t="s">
        <v>5206</v>
      </c>
      <c r="H4092" s="10" t="s">
        <v>5207</v>
      </c>
      <c r="I4092" s="10">
        <v>10.0</v>
      </c>
      <c r="J4092" s="11" t="str">
        <f>IF(D4092&lt;&gt;"",VLOOKUP(H4092,TABLEITEM,5,FALSE),"")</f>
        <v>EA</v>
      </c>
      <c r="K4092" s="12">
        <v>100.0</v>
      </c>
      <c r="L4092" s="13" t="str">
        <f>IF(D4092&lt;&gt;"",VLOOKUP(H4092,TABLEITEM,2,FALSE),"")</f>
        <v/>
      </c>
      <c r="M4092" s="13" t="str">
        <f>IF(D4092&lt;&gt;"",VLOOKUP(H4092,TABLEITEM,3,FALSE),"")</f>
        <v>SHIELD CUP PN-70 แม็กกาไลท์</v>
      </c>
      <c r="N4092" s="14">
        <f>INSTOCK!$I4092*INSTOCK!$K4092</f>
        <v>1000</v>
      </c>
      <c r="O4092" s="4"/>
      <c r="P4092" s="4"/>
    </row>
    <row r="4093" ht="15.75" hidden="1" customHeight="1">
      <c r="B4093" s="8">
        <v>4412.0</v>
      </c>
      <c r="C4093" s="9">
        <v>43350.0</v>
      </c>
      <c r="D4093" s="6">
        <v>6.10902806E8</v>
      </c>
      <c r="E4093" s="4">
        <v>6.10900109E9</v>
      </c>
      <c r="F4093" s="8"/>
      <c r="G4093" s="4" t="s">
        <v>1130</v>
      </c>
      <c r="H4093" s="10" t="s">
        <v>1833</v>
      </c>
      <c r="I4093" s="10">
        <v>2.0</v>
      </c>
      <c r="J4093" s="11" t="str">
        <f>IF(D4093&lt;&gt;"",VLOOKUP(H4093,TABLEITEM,5,FALSE),"")</f>
        <v>EA</v>
      </c>
      <c r="K4093" s="12">
        <v>620.0</v>
      </c>
      <c r="L4093" s="13" t="str">
        <f>IF(D4093&lt;&gt;"",VLOOKUP(H4093,TABLEITEM,2,FALSE),"")</f>
        <v/>
      </c>
      <c r="M4093" s="13" t="str">
        <f>IF(D4093&lt;&gt;"",VLOOKUP(H4093,TABLEITEM,3,FALSE),"")</f>
        <v>Timer H3CR-A8 100-240VAC</v>
      </c>
      <c r="N4093" s="14">
        <f>INSTOCK!$I4093*INSTOCK!$K4093</f>
        <v>1240</v>
      </c>
      <c r="O4093" s="4"/>
      <c r="P4093" s="4"/>
    </row>
    <row r="4094" ht="15.75" hidden="1" customHeight="1">
      <c r="B4094" s="8">
        <v>4413.0</v>
      </c>
      <c r="C4094" s="9">
        <v>43350.0</v>
      </c>
      <c r="D4094" s="6">
        <v>6.10902806E8</v>
      </c>
      <c r="E4094" s="4">
        <v>6.10900109E9</v>
      </c>
      <c r="F4094" s="8"/>
      <c r="G4094" s="4" t="s">
        <v>1130</v>
      </c>
      <c r="H4094" s="10" t="s">
        <v>5143</v>
      </c>
      <c r="I4094" s="10">
        <v>1.0</v>
      </c>
      <c r="J4094" s="11" t="str">
        <f>IF(D4094&lt;&gt;"",VLOOKUP(H4094,TABLEITEM,5,FALSE),"")</f>
        <v>EA</v>
      </c>
      <c r="K4094" s="12">
        <v>135.0</v>
      </c>
      <c r="L4094" s="13" t="str">
        <f>IF(D4094&lt;&gt;"",VLOOKUP(H4094,TABLEITEM,2,FALSE),"")</f>
        <v/>
      </c>
      <c r="M4094" s="13" t="str">
        <f>IF(D4094&lt;&gt;"",VLOOKUP(H4094,TABLEITEM,3,FALSE),"")</f>
        <v>Relay MY4N-GS 24VAC </v>
      </c>
      <c r="N4094" s="14">
        <f>INSTOCK!$I4094*INSTOCK!$K4094</f>
        <v>135</v>
      </c>
      <c r="O4094" s="4"/>
      <c r="P4094" s="4"/>
    </row>
    <row r="4095" ht="15.75" hidden="1" customHeight="1">
      <c r="B4095" s="8">
        <v>4414.0</v>
      </c>
      <c r="C4095" s="9">
        <v>43350.0</v>
      </c>
      <c r="D4095" s="6">
        <v>6.10902806E8</v>
      </c>
      <c r="E4095" s="4">
        <v>6.10900109E9</v>
      </c>
      <c r="F4095" s="8"/>
      <c r="G4095" s="4" t="s">
        <v>1130</v>
      </c>
      <c r="H4095" s="10" t="s">
        <v>1728</v>
      </c>
      <c r="I4095" s="10">
        <v>9.0</v>
      </c>
      <c r="J4095" s="11" t="str">
        <f>IF(D4095&lt;&gt;"",VLOOKUP(H4095,TABLEITEM,5,FALSE),"")</f>
        <v>EA</v>
      </c>
      <c r="K4095" s="12">
        <v>135.0</v>
      </c>
      <c r="L4095" s="13" t="str">
        <f>IF(D4095&lt;&gt;"",VLOOKUP(H4095,TABLEITEM,2,FALSE),"")</f>
        <v/>
      </c>
      <c r="M4095" s="13" t="str">
        <f>IF(D4095&lt;&gt;"",VLOOKUP(H4095,TABLEITEM,3,FALSE),"")</f>
        <v>Relay MY4N-GS 220/240VAC </v>
      </c>
      <c r="N4095" s="14">
        <f>INSTOCK!$I4095*INSTOCK!$K4095</f>
        <v>1215</v>
      </c>
      <c r="O4095" s="4"/>
      <c r="P4095" s="4"/>
    </row>
    <row r="4096" ht="15.75" hidden="1" customHeight="1">
      <c r="B4096" s="8">
        <v>4415.0</v>
      </c>
      <c r="C4096" s="9">
        <v>43350.0</v>
      </c>
      <c r="D4096" s="6">
        <v>6.10902806E8</v>
      </c>
      <c r="E4096" s="4">
        <v>6.10900109E9</v>
      </c>
      <c r="F4096" s="8"/>
      <c r="G4096" s="4" t="s">
        <v>1130</v>
      </c>
      <c r="H4096" s="10" t="s">
        <v>1832</v>
      </c>
      <c r="I4096" s="10">
        <v>10.0</v>
      </c>
      <c r="J4096" s="11" t="str">
        <f>IF(D4096&lt;&gt;"",VLOOKUP(H4096,TABLEITEM,5,FALSE),"")</f>
        <v>EA</v>
      </c>
      <c r="K4096" s="12">
        <v>50.0</v>
      </c>
      <c r="L4096" s="13" t="str">
        <f>IF(D4096&lt;&gt;"",VLOOKUP(H4096,TABLEITEM,2,FALSE),"")</f>
        <v/>
      </c>
      <c r="M4096" s="13" t="str">
        <f>IF(D4096&lt;&gt;"",VLOOKUP(H4096,TABLEITEM,3,FALSE),"")</f>
        <v>SOCKET PYF-14A-E</v>
      </c>
      <c r="N4096" s="14">
        <f>INSTOCK!$I4096*INSTOCK!$K4096</f>
        <v>500</v>
      </c>
      <c r="O4096" s="4"/>
      <c r="P4096" s="4"/>
    </row>
    <row r="4097" ht="15.75" hidden="1" customHeight="1">
      <c r="B4097" s="8">
        <v>4416.0</v>
      </c>
      <c r="C4097" s="9">
        <v>43350.0</v>
      </c>
      <c r="D4097" s="6">
        <v>6.10902806E8</v>
      </c>
      <c r="E4097" s="4">
        <v>6.10900109E9</v>
      </c>
      <c r="F4097" s="8"/>
      <c r="G4097" s="4" t="s">
        <v>1130</v>
      </c>
      <c r="H4097" s="10" t="s">
        <v>3116</v>
      </c>
      <c r="I4097" s="10">
        <v>3.0</v>
      </c>
      <c r="J4097" s="11" t="str">
        <f>IF(D4097&lt;&gt;"",VLOOKUP(H4097,TABLEITEM,5,FALSE),"")</f>
        <v>EA</v>
      </c>
      <c r="K4097" s="12">
        <v>121.123</v>
      </c>
      <c r="L4097" s="13" t="str">
        <f>IF(D4097&lt;&gt;"",VLOOKUP(H4097,TABLEITEM,2,FALSE),"")</f>
        <v/>
      </c>
      <c r="M4097" s="13" t="str">
        <f>IF(D4097&lt;&gt;"",VLOOKUP(H4097,TABLEITEM,3,FALSE),"")</f>
        <v>CT100/5 MSQ40</v>
      </c>
      <c r="N4097" s="14">
        <f>INSTOCK!$I4097*INSTOCK!$K4097</f>
        <v>363.369</v>
      </c>
      <c r="O4097" s="4"/>
      <c r="P4097" s="4"/>
    </row>
    <row r="4098" ht="15.75" hidden="1" customHeight="1">
      <c r="B4098" s="8">
        <v>4417.0</v>
      </c>
      <c r="C4098" s="9">
        <v>43350.0</v>
      </c>
      <c r="D4098" s="6">
        <v>6.10902806E8</v>
      </c>
      <c r="E4098" s="4">
        <v>6.10900109E9</v>
      </c>
      <c r="F4098" s="8"/>
      <c r="G4098" s="4" t="s">
        <v>1130</v>
      </c>
      <c r="H4098" s="10" t="s">
        <v>5137</v>
      </c>
      <c r="I4098" s="10">
        <v>3.0</v>
      </c>
      <c r="J4098" s="11" t="str">
        <f>IF(D4098&lt;&gt;"",VLOOKUP(H4098,TABLEITEM,5,FALSE),"")</f>
        <v>EA</v>
      </c>
      <c r="K4098" s="12">
        <v>695.0</v>
      </c>
      <c r="L4098" s="13" t="str">
        <f>IF(D4098&lt;&gt;"",VLOOKUP(H4098,TABLEITEM,2,FALSE),"")</f>
        <v/>
      </c>
      <c r="M4098" s="13" t="str">
        <f>IF(D4098&lt;&gt;"",VLOOKUP(H4098,TABLEITEM,3,FALSE),"")</f>
        <v>HOUR METER TH-2385</v>
      </c>
      <c r="N4098" s="14">
        <f>INSTOCK!$I4098*INSTOCK!$K4098</f>
        <v>2085</v>
      </c>
      <c r="O4098" s="4"/>
      <c r="P4098" s="4"/>
    </row>
    <row r="4099" ht="15.75" hidden="1" customHeight="1">
      <c r="B4099" s="8">
        <v>4418.0</v>
      </c>
      <c r="C4099" s="9">
        <v>43350.0</v>
      </c>
      <c r="D4099" s="6" t="s">
        <v>5208</v>
      </c>
      <c r="E4099" s="4">
        <v>6.109001094E9</v>
      </c>
      <c r="F4099" s="8"/>
      <c r="G4099" s="4" t="s">
        <v>1516</v>
      </c>
      <c r="H4099" s="10" t="s">
        <v>5209</v>
      </c>
      <c r="I4099" s="10">
        <v>3.0</v>
      </c>
      <c r="J4099" s="11" t="str">
        <f>IF(D4099&lt;&gt;"",VLOOKUP(H4099,TABLEITEM,5,FALSE),"")</f>
        <v>EA</v>
      </c>
      <c r="K4099" s="12">
        <v>180.6</v>
      </c>
      <c r="L4099" s="13" t="str">
        <f>IF(D4099&lt;&gt;"",VLOOKUP(H4099,TABLEITEM,2,FALSE),"")</f>
        <v/>
      </c>
      <c r="M4099" s="13" t="str">
        <f>IF(D4099&lt;&gt;"",VLOOKUP(H4099,TABLEITEM,3,FALSE),"")</f>
        <v>SELEC SWITCH DIAM 22 HANDLE 2</v>
      </c>
      <c r="N4099" s="14">
        <f>INSTOCK!$I4099*INSTOCK!$K4099</f>
        <v>541.8</v>
      </c>
      <c r="O4099" s="4" t="s">
        <v>5210</v>
      </c>
      <c r="P4099" s="4"/>
    </row>
    <row r="4100" ht="15.75" hidden="1" customHeight="1">
      <c r="B4100" s="8">
        <v>4419.0</v>
      </c>
      <c r="C4100" s="9">
        <v>43350.0</v>
      </c>
      <c r="D4100" s="6" t="s">
        <v>5208</v>
      </c>
      <c r="E4100" s="4">
        <v>6.109001094E9</v>
      </c>
      <c r="F4100" s="8"/>
      <c r="G4100" s="4" t="s">
        <v>1516</v>
      </c>
      <c r="H4100" s="10" t="s">
        <v>4010</v>
      </c>
      <c r="I4100" s="10">
        <v>2.0</v>
      </c>
      <c r="J4100" s="11" t="str">
        <f>IF(D4100&lt;&gt;"",VLOOKUP(H4100,TABLEITEM,5,FALSE),"")</f>
        <v>EA</v>
      </c>
      <c r="K4100" s="12">
        <v>1118.0</v>
      </c>
      <c r="L4100" s="13" t="str">
        <f>IF(D4100&lt;&gt;"",VLOOKUP(H4100,TABLEITEM,2,FALSE),"")</f>
        <v/>
      </c>
      <c r="M4100" s="13" t="str">
        <f>IF(D4100&lt;&gt;"",VLOOKUP(H4100,TABLEITEM,3,FALSE),"")</f>
        <v>UNDERVOLTAGE RELEASE(MN)220-240VAC 50/60HZ FOR NXS,CVS</v>
      </c>
      <c r="N4100" s="14">
        <f>INSTOCK!$I4100*INSTOCK!$K4100</f>
        <v>2236</v>
      </c>
      <c r="O4100" s="4" t="s">
        <v>5211</v>
      </c>
      <c r="P4100" s="4"/>
    </row>
    <row r="4101" ht="15.75" hidden="1" customHeight="1">
      <c r="B4101" s="8">
        <v>4420.0</v>
      </c>
      <c r="C4101" s="9">
        <v>43350.0</v>
      </c>
      <c r="D4101" s="6" t="s">
        <v>5212</v>
      </c>
      <c r="E4101" s="4">
        <v>6.10800106E9</v>
      </c>
      <c r="F4101" s="8"/>
      <c r="G4101" s="4" t="s">
        <v>1516</v>
      </c>
      <c r="H4101" s="10" t="s">
        <v>2157</v>
      </c>
      <c r="I4101" s="10">
        <v>50.0</v>
      </c>
      <c r="J4101" s="11" t="str">
        <f>IF(D4101&lt;&gt;"",VLOOKUP(H4101,TABLEITEM,5,FALSE),"")</f>
        <v>EA</v>
      </c>
      <c r="K4101" s="12">
        <v>81.9</v>
      </c>
      <c r="L4101" s="13" t="str">
        <f>IF(D4101&lt;&gt;"",VLOOKUP(H4101,TABLEITEM,2,FALSE),"")</f>
        <v/>
      </c>
      <c r="M4101" s="13" t="str">
        <f>IF(D4101&lt;&gt;"",VLOOKUP(H4101,TABLEITEM,3,FALSE),"")</f>
        <v>PILOT LIGHT LED 240V YELLOW</v>
      </c>
      <c r="N4101" s="14">
        <f>INSTOCK!$I4101*INSTOCK!$K4101</f>
        <v>4095</v>
      </c>
      <c r="O4101" s="4" t="s">
        <v>5213</v>
      </c>
      <c r="P4101" s="4"/>
    </row>
    <row r="4102" ht="15.75" hidden="1" customHeight="1">
      <c r="B4102" s="8">
        <v>4421.0</v>
      </c>
      <c r="C4102" s="9">
        <v>43350.0</v>
      </c>
      <c r="D4102" s="6" t="s">
        <v>5214</v>
      </c>
      <c r="E4102" s="4">
        <v>6.109001091E9</v>
      </c>
      <c r="F4102" s="8" t="s">
        <v>3676</v>
      </c>
      <c r="G4102" s="4" t="s">
        <v>1904</v>
      </c>
      <c r="H4102" s="10" t="s">
        <v>5126</v>
      </c>
      <c r="I4102" s="10">
        <v>1.0</v>
      </c>
      <c r="J4102" s="11" t="str">
        <f>IF(D4102&lt;&gt;"",VLOOKUP(H4102,TABLEITEM,5,FALSE),"")</f>
        <v>EA</v>
      </c>
      <c r="K4102" s="12">
        <v>1900.0</v>
      </c>
      <c r="L4102" s="13" t="str">
        <f>IF(D4102&lt;&gt;"",VLOOKUP(H4102,TABLEITEM,2,FALSE),"")</f>
        <v/>
      </c>
      <c r="M4102" s="13" t="str">
        <f>IF(D4102&lt;&gt;"",VLOOKUP(H4102,TABLEITEM,3,FALSE),"")</f>
        <v>Monitoring Com K8AK-PM2</v>
      </c>
      <c r="N4102" s="14">
        <f>INSTOCK!$I4102*INSTOCK!$K4102</f>
        <v>1900</v>
      </c>
      <c r="O4102" s="4"/>
      <c r="P4102" s="4"/>
    </row>
    <row r="4103" ht="15.75" hidden="1" customHeight="1">
      <c r="B4103" s="8">
        <v>4422.0</v>
      </c>
      <c r="C4103" s="9">
        <v>43349.0</v>
      </c>
      <c r="D4103" s="6" t="s">
        <v>5215</v>
      </c>
      <c r="E4103" s="4"/>
      <c r="F4103" s="8" t="s">
        <v>5048</v>
      </c>
      <c r="G4103" s="4" t="s">
        <v>2465</v>
      </c>
      <c r="H4103" s="10" t="s">
        <v>5216</v>
      </c>
      <c r="I4103" s="10">
        <v>1.0</v>
      </c>
      <c r="J4103" s="11" t="str">
        <f>IF(D4103&lt;&gt;"",VLOOKUP(H4103,TABLEITEM,5,FALSE),"")</f>
        <v>EA</v>
      </c>
      <c r="K4103" s="12">
        <v>2600.0</v>
      </c>
      <c r="L4103" s="13" t="str">
        <f>IF(D4103&lt;&gt;"",VLOOKUP(H4103,TABLEITEM,2,FALSE),"")</f>
        <v/>
      </c>
      <c r="M4103" s="13" t="str">
        <f>IF(D4103&lt;&gt;"",VLOOKUP(H4103,TABLEITEM,3,FALSE),"")</f>
        <v>VACON PAN-HMDR-MK01-3M S/N V000002057807</v>
      </c>
      <c r="N4103" s="14">
        <f>INSTOCK!$I4103*INSTOCK!$K4103</f>
        <v>2600</v>
      </c>
      <c r="O4103" s="4"/>
      <c r="P4103" s="4"/>
    </row>
    <row r="4104" ht="15.75" hidden="1" customHeight="1">
      <c r="B4104" s="8">
        <v>4423.0</v>
      </c>
      <c r="C4104" s="9">
        <v>43349.0</v>
      </c>
      <c r="D4104" s="6" t="s">
        <v>5217</v>
      </c>
      <c r="E4104" s="4"/>
      <c r="F4104" s="8" t="s">
        <v>5218</v>
      </c>
      <c r="G4104" s="4" t="s">
        <v>5219</v>
      </c>
      <c r="H4104" s="10" t="s">
        <v>5220</v>
      </c>
      <c r="I4104" s="10">
        <v>3.0</v>
      </c>
      <c r="J4104" s="11" t="str">
        <f>IF(D4104&lt;&gt;"",VLOOKUP(H4104,TABLEITEM,5,FALSE),"")</f>
        <v>EA</v>
      </c>
      <c r="K4104" s="12">
        <v>32.71</v>
      </c>
      <c r="L4104" s="13" t="str">
        <f>IF(D4104&lt;&gt;"",VLOOKUP(H4104,TABLEITEM,2,FALSE),"")</f>
        <v/>
      </c>
      <c r="M4104" s="13" t="str">
        <f>IF(D4104&lt;&gt;"",VLOOKUP(H4104,TABLEITEM,3,FALSE),"")</f>
        <v>ลูกปืน FBJ6800ZZ </v>
      </c>
      <c r="N4104" s="14">
        <f>INSTOCK!$I4104*INSTOCK!$K4104</f>
        <v>98.13</v>
      </c>
      <c r="O4104" s="4"/>
      <c r="P4104" s="4"/>
    </row>
    <row r="4105" ht="15.75" hidden="1" customHeight="1">
      <c r="B4105" s="8">
        <v>4424.0</v>
      </c>
      <c r="C4105" s="9">
        <v>43349.0</v>
      </c>
      <c r="D4105" s="6" t="s">
        <v>5221</v>
      </c>
      <c r="E4105" s="4">
        <v>6.109001083E9</v>
      </c>
      <c r="F4105" s="8" t="s">
        <v>5222</v>
      </c>
      <c r="G4105" s="4" t="s">
        <v>1485</v>
      </c>
      <c r="H4105" s="10" t="s">
        <v>2967</v>
      </c>
      <c r="I4105" s="10">
        <v>4.0</v>
      </c>
      <c r="J4105" s="11" t="str">
        <f>IF(D4105&lt;&gt;"",VLOOKUP(H4105,TABLEITEM,5,FALSE),"")</f>
        <v>EA</v>
      </c>
      <c r="K4105" s="12">
        <v>2129.4</v>
      </c>
      <c r="L4105" s="13" t="str">
        <f>IF(D4105&lt;&gt;"",VLOOKUP(H4105,TABLEITEM,2,FALSE),"")</f>
        <v/>
      </c>
      <c r="M4105" s="13" t="str">
        <f>IF(D4105&lt;&gt;"",VLOOKUP(H4105,TABLEITEM,3,FALSE),"")</f>
        <v>MCCB CVS250B TM200D 3P3D 380/415 VAC 25KA</v>
      </c>
      <c r="N4105" s="14">
        <f>INSTOCK!$I4105*INSTOCK!$K4105</f>
        <v>8517.6</v>
      </c>
      <c r="O4105" s="4"/>
      <c r="P4105" s="4"/>
    </row>
    <row r="4106" ht="15.75" hidden="1" customHeight="1">
      <c r="B4106" s="8">
        <v>4425.0</v>
      </c>
      <c r="C4106" s="9">
        <v>43349.0</v>
      </c>
      <c r="D4106" s="6" t="s">
        <v>5221</v>
      </c>
      <c r="E4106" s="4">
        <v>6.109001083E9</v>
      </c>
      <c r="F4106" s="8" t="s">
        <v>5222</v>
      </c>
      <c r="G4106" s="4" t="s">
        <v>1485</v>
      </c>
      <c r="H4106" s="10" t="s">
        <v>4010</v>
      </c>
      <c r="I4106" s="10">
        <v>1.0</v>
      </c>
      <c r="J4106" s="11" t="str">
        <f>IF(D4106&lt;&gt;"",VLOOKUP(H4106,TABLEITEM,5,FALSE),"")</f>
        <v>EA</v>
      </c>
      <c r="K4106" s="12">
        <v>1092.0</v>
      </c>
      <c r="L4106" s="13" t="str">
        <f>IF(D4106&lt;&gt;"",VLOOKUP(H4106,TABLEITEM,2,FALSE),"")</f>
        <v/>
      </c>
      <c r="M4106" s="13" t="str">
        <f>IF(D4106&lt;&gt;"",VLOOKUP(H4106,TABLEITEM,3,FALSE),"")</f>
        <v>UNDERVOLTAGE RELEASE(MN)220-240VAC 50/60HZ FOR NXS,CVS</v>
      </c>
      <c r="N4106" s="14">
        <f>INSTOCK!$I4106*INSTOCK!$K4106</f>
        <v>1092</v>
      </c>
      <c r="O4106" s="4"/>
      <c r="P4106" s="4"/>
    </row>
    <row r="4107" ht="15.75" hidden="1" customHeight="1">
      <c r="B4107" s="8">
        <v>4426.0</v>
      </c>
      <c r="C4107" s="9">
        <v>43349.0</v>
      </c>
      <c r="D4107" s="6" t="s">
        <v>5221</v>
      </c>
      <c r="E4107" s="4">
        <v>6.109001083E9</v>
      </c>
      <c r="F4107" s="8" t="s">
        <v>5222</v>
      </c>
      <c r="G4107" s="4" t="s">
        <v>1485</v>
      </c>
      <c r="H4107" s="10" t="s">
        <v>4009</v>
      </c>
      <c r="I4107" s="10">
        <v>2.0</v>
      </c>
      <c r="J4107" s="11" t="str">
        <f>IF(D4107&lt;&gt;"",VLOOKUP(H4107,TABLEITEM,5,FALSE),"")</f>
        <v>EA</v>
      </c>
      <c r="K4107" s="12">
        <v>1260.0</v>
      </c>
      <c r="L4107" s="13" t="str">
        <f>IF(D4107&lt;&gt;"",VLOOKUP(H4107,TABLEITEM,2,FALSE),"")</f>
        <v/>
      </c>
      <c r="M4107" s="13" t="str">
        <f>IF(D4107&lt;&gt;"",VLOOKUP(H4107,TABLEITEM,3,FALSE),"")</f>
        <v>MCCB CVS100B TMD 3P 100A</v>
      </c>
      <c r="N4107" s="14">
        <f>INSTOCK!$I4107*INSTOCK!$K4107</f>
        <v>2520</v>
      </c>
      <c r="O4107" s="4"/>
      <c r="P4107" s="4"/>
    </row>
    <row r="4108" ht="15.75" hidden="1" customHeight="1">
      <c r="B4108" s="8">
        <v>4427.0</v>
      </c>
      <c r="C4108" s="9">
        <v>43349.0</v>
      </c>
      <c r="D4108" s="6" t="s">
        <v>5221</v>
      </c>
      <c r="E4108" s="4">
        <v>6.109001083E9</v>
      </c>
      <c r="F4108" s="8" t="s">
        <v>5222</v>
      </c>
      <c r="G4108" s="4" t="s">
        <v>1485</v>
      </c>
      <c r="H4108" s="10" t="s">
        <v>5121</v>
      </c>
      <c r="I4108" s="10">
        <v>1.0</v>
      </c>
      <c r="J4108" s="11" t="str">
        <f>IF(D4108&lt;&gt;"",VLOOKUP(H4108,TABLEITEM,5,FALSE),"")</f>
        <v>EA</v>
      </c>
      <c r="K4108" s="12">
        <v>1260.0</v>
      </c>
      <c r="L4108" s="13" t="str">
        <f>IF(D4108&lt;&gt;"",VLOOKUP(H4108,TABLEITEM,2,FALSE),"")</f>
        <v/>
      </c>
      <c r="M4108" s="13" t="str">
        <f>IF(D4108&lt;&gt;"",VLOOKUP(H4108,TABLEITEM,3,FALSE),"")</f>
        <v>CVS100B TM160D 3P3D 380/415VAC 25KA</v>
      </c>
      <c r="N4108" s="14">
        <f>INSTOCK!$I4108*INSTOCK!$K4108</f>
        <v>1260</v>
      </c>
      <c r="O4108" s="4"/>
      <c r="P4108" s="4"/>
    </row>
    <row r="4109" ht="15.75" hidden="1" customHeight="1">
      <c r="B4109" s="8">
        <v>4428.0</v>
      </c>
      <c r="C4109" s="9">
        <v>43349.0</v>
      </c>
      <c r="D4109" s="6" t="s">
        <v>5221</v>
      </c>
      <c r="E4109" s="4">
        <v>6.109001083E9</v>
      </c>
      <c r="F4109" s="8" t="s">
        <v>5222</v>
      </c>
      <c r="G4109" s="4" t="s">
        <v>1485</v>
      </c>
      <c r="H4109" s="10" t="s">
        <v>5223</v>
      </c>
      <c r="I4109" s="10">
        <v>1.0</v>
      </c>
      <c r="J4109" s="11" t="str">
        <f>IF(D4109&lt;&gt;"",VLOOKUP(H4109,TABLEITEM,5,FALSE),"")</f>
        <v>EA</v>
      </c>
      <c r="K4109" s="12">
        <v>8820.0</v>
      </c>
      <c r="L4109" s="13" t="str">
        <f>IF(D4109&lt;&gt;"",VLOOKUP(H4109,TABLEITEM,2,FALSE),"")</f>
        <v/>
      </c>
      <c r="M4109" s="13" t="str">
        <f>IF(D4109&lt;&gt;"",VLOOKUP(H4109,TABLEITEM,3,FALSE),"")</f>
        <v>NSX400F 3P (36KA AT 380/415V)MICROLOGIC 2.3 400A </v>
      </c>
      <c r="N4109" s="14">
        <f>INSTOCK!$I4109*INSTOCK!$K4109</f>
        <v>8820</v>
      </c>
      <c r="O4109" s="4"/>
      <c r="P4109" s="4"/>
    </row>
    <row r="4110" ht="15.75" hidden="1" customHeight="1">
      <c r="B4110" s="8">
        <v>4429.0</v>
      </c>
      <c r="C4110" s="9">
        <v>43349.0</v>
      </c>
      <c r="D4110" s="6" t="s">
        <v>5221</v>
      </c>
      <c r="E4110" s="4">
        <v>6.109001083E9</v>
      </c>
      <c r="F4110" s="8" t="s">
        <v>5222</v>
      </c>
      <c r="G4110" s="4" t="s">
        <v>1485</v>
      </c>
      <c r="H4110" s="10" t="s">
        <v>5096</v>
      </c>
      <c r="I4110" s="10">
        <v>1.0</v>
      </c>
      <c r="J4110" s="11" t="str">
        <f>IF(D4110&lt;&gt;"",VLOOKUP(H4110,TABLEITEM,5,FALSE),"")</f>
        <v>EA</v>
      </c>
      <c r="K4110" s="12">
        <v>630.0</v>
      </c>
      <c r="L4110" s="13" t="str">
        <f>IF(D4110&lt;&gt;"",VLOOKUP(H4110,TABLEITEM,2,FALSE),"")</f>
        <v/>
      </c>
      <c r="M4110" s="13" t="str">
        <f>IF(D4110&lt;&gt;"",VLOOKUP(H4110,TABLEITEM,3,FALSE),"")</f>
        <v>SHUNT RELEASE (MX) 220-240VAC 50/60HZ 208-277 V 60HZ FOR NSX, CVS</v>
      </c>
      <c r="N4110" s="14">
        <f>INSTOCK!$I4110*INSTOCK!$K4110</f>
        <v>630</v>
      </c>
      <c r="O4110" s="4"/>
      <c r="P4110" s="4"/>
    </row>
    <row r="4111" ht="15.75" hidden="1" customHeight="1">
      <c r="B4111" s="8">
        <v>4430.0</v>
      </c>
      <c r="C4111" s="9">
        <v>43349.0</v>
      </c>
      <c r="D4111" s="6" t="s">
        <v>5221</v>
      </c>
      <c r="E4111" s="4">
        <v>6.109001083E9</v>
      </c>
      <c r="F4111" s="8" t="s">
        <v>5222</v>
      </c>
      <c r="G4111" s="4" t="s">
        <v>1485</v>
      </c>
      <c r="H4111" s="10" t="s">
        <v>5224</v>
      </c>
      <c r="I4111" s="10">
        <v>1.0</v>
      </c>
      <c r="J4111" s="11" t="str">
        <f>IF(D4111&lt;&gt;"",VLOOKUP(H4111,TABLEITEM,5,FALSE),"")</f>
        <v>EA</v>
      </c>
      <c r="K4111" s="12">
        <v>942.4</v>
      </c>
      <c r="L4111" s="13" t="str">
        <f>IF(D4111&lt;&gt;"",VLOOKUP(H4111,TABLEITEM,2,FALSE),"")</f>
        <v/>
      </c>
      <c r="M4111" s="13" t="str">
        <f>IF(D4111&lt;&gt;"",VLOOKUP(H4111,TABLEITEM,3,FALSE),"")</f>
        <v>MCCB 2P EZC100H 20AT/100AF 50KA 220/240VAC</v>
      </c>
      <c r="N4111" s="14">
        <f>INSTOCK!$I4111*INSTOCK!$K4111</f>
        <v>942.4</v>
      </c>
      <c r="O4111" s="4"/>
      <c r="P4111" s="4"/>
    </row>
    <row r="4112" ht="15.75" hidden="1" customHeight="1">
      <c r="B4112" s="8">
        <v>4431.0</v>
      </c>
      <c r="C4112" s="9">
        <v>43349.0</v>
      </c>
      <c r="D4112" s="6" t="s">
        <v>5221</v>
      </c>
      <c r="E4112" s="4">
        <v>6.109001083E9</v>
      </c>
      <c r="F4112" s="8" t="s">
        <v>5222</v>
      </c>
      <c r="G4112" s="4" t="s">
        <v>1485</v>
      </c>
      <c r="H4112" s="10" t="s">
        <v>4159</v>
      </c>
      <c r="I4112" s="10">
        <v>1.0</v>
      </c>
      <c r="J4112" s="11" t="str">
        <f>IF(D4112&lt;&gt;"",VLOOKUP(H4112,TABLEITEM,5,FALSE),"")</f>
        <v>EA</v>
      </c>
      <c r="K4112" s="12">
        <v>1178.0</v>
      </c>
      <c r="L4112" s="13" t="str">
        <f>IF(D4112&lt;&gt;"",VLOOKUP(H4112,TABLEITEM,2,FALSE),"")</f>
        <v/>
      </c>
      <c r="M4112" s="13" t="str">
        <f>IF(D4112&lt;&gt;"",VLOOKUP(H4112,TABLEITEM,3,FALSE),"")</f>
        <v>MG EZC 100 10KA/400 3P/3T 30A</v>
      </c>
      <c r="N4112" s="14">
        <f>INSTOCK!$I4112*INSTOCK!$K4112</f>
        <v>1178</v>
      </c>
      <c r="O4112" s="4"/>
      <c r="P4112" s="4"/>
    </row>
    <row r="4113" ht="15.75" hidden="1" customHeight="1">
      <c r="B4113" s="8">
        <v>4432.0</v>
      </c>
      <c r="C4113" s="9">
        <v>43349.0</v>
      </c>
      <c r="D4113" s="6" t="s">
        <v>5221</v>
      </c>
      <c r="E4113" s="4">
        <v>6.109001083E9</v>
      </c>
      <c r="F4113" s="8" t="s">
        <v>5222</v>
      </c>
      <c r="G4113" s="4" t="s">
        <v>1485</v>
      </c>
      <c r="H4113" s="10" t="s">
        <v>5225</v>
      </c>
      <c r="I4113" s="10">
        <v>1.0</v>
      </c>
      <c r="J4113" s="11" t="str">
        <f>IF(D4113&lt;&gt;"",VLOOKUP(H4113,TABLEITEM,5,FALSE),"")</f>
        <v>EA</v>
      </c>
      <c r="K4113" s="12">
        <v>9660.0</v>
      </c>
      <c r="L4113" s="13" t="str">
        <f>IF(D4113&lt;&gt;"",VLOOKUP(H4113,TABLEITEM,2,FALSE),"")</f>
        <v/>
      </c>
      <c r="M4113" s="13" t="str">
        <f>IF(D4113&lt;&gt;"",VLOOKUP(H4113,TABLEITEM,3,FALSE),"")</f>
        <v>MOTOT MECHANISM (MCH) 220V FOR NSX400/630</v>
      </c>
      <c r="N4113" s="14">
        <f>INSTOCK!$I4113*INSTOCK!$K4113</f>
        <v>9660</v>
      </c>
      <c r="O4113" s="4"/>
      <c r="P4113" s="4"/>
    </row>
    <row r="4114" ht="15.75" hidden="1" customHeight="1">
      <c r="B4114" s="8">
        <v>4433.0</v>
      </c>
      <c r="C4114" s="9">
        <v>43349.0</v>
      </c>
      <c r="D4114" s="6" t="s">
        <v>5221</v>
      </c>
      <c r="E4114" s="4">
        <v>6.109001083E9</v>
      </c>
      <c r="F4114" s="8" t="s">
        <v>5222</v>
      </c>
      <c r="G4114" s="4" t="s">
        <v>1485</v>
      </c>
      <c r="H4114" s="10" t="s">
        <v>4157</v>
      </c>
      <c r="I4114" s="10">
        <v>1.0</v>
      </c>
      <c r="J4114" s="11" t="str">
        <f>IF(D4114&lt;&gt;"",VLOOKUP(H4114,TABLEITEM,5,FALSE),"")</f>
        <v>EA</v>
      </c>
      <c r="K4114" s="12">
        <v>1558.0</v>
      </c>
      <c r="L4114" s="13" t="str">
        <f>IF(D4114&lt;&gt;"",VLOOKUP(H4114,TABLEITEM,2,FALSE),"")</f>
        <v/>
      </c>
      <c r="M4114" s="13" t="str">
        <f>IF(D4114&lt;&gt;"",VLOOKUP(H4114,TABLEITEM,3,FALSE),"")</f>
        <v>MG EZC 100 10KA/400 3P/3T 60A</v>
      </c>
      <c r="N4114" s="14">
        <f>INSTOCK!$I4114*INSTOCK!$K4114</f>
        <v>1558</v>
      </c>
      <c r="O4114" s="4"/>
      <c r="P4114" s="4"/>
    </row>
    <row r="4115" ht="15.75" hidden="1" customHeight="1">
      <c r="B4115" s="8">
        <v>4434.0</v>
      </c>
      <c r="C4115" s="9">
        <v>43349.0</v>
      </c>
      <c r="D4115" s="6">
        <v>6.10902393E8</v>
      </c>
      <c r="E4115" s="4"/>
      <c r="F4115" s="8"/>
      <c r="G4115" s="4" t="s">
        <v>1130</v>
      </c>
      <c r="H4115" s="10" t="s">
        <v>1728</v>
      </c>
      <c r="I4115" s="10">
        <v>30.0</v>
      </c>
      <c r="J4115" s="11" t="str">
        <f>IF(D4115&lt;&gt;"",VLOOKUP(H4115,TABLEITEM,5,FALSE),"")</f>
        <v>EA</v>
      </c>
      <c r="K4115" s="12">
        <v>133.0</v>
      </c>
      <c r="L4115" s="13" t="str">
        <f>IF(D4115&lt;&gt;"",VLOOKUP(H4115,TABLEITEM,2,FALSE),"")</f>
        <v/>
      </c>
      <c r="M4115" s="13" t="str">
        <f>IF(D4115&lt;&gt;"",VLOOKUP(H4115,TABLEITEM,3,FALSE),"")</f>
        <v>Relay MY4N-GS 220/240VAC </v>
      </c>
      <c r="N4115" s="14">
        <f>INSTOCK!$I4115*INSTOCK!$K4115</f>
        <v>3990</v>
      </c>
      <c r="O4115" s="4"/>
      <c r="P4115" s="4"/>
    </row>
    <row r="4116" ht="15.75" hidden="1" customHeight="1">
      <c r="B4116" s="8">
        <v>4435.0</v>
      </c>
      <c r="C4116" s="9">
        <v>43349.0</v>
      </c>
      <c r="D4116" s="6">
        <v>6.10902393E8</v>
      </c>
      <c r="E4116" s="4"/>
      <c r="F4116" s="8"/>
      <c r="G4116" s="4" t="s">
        <v>1130</v>
      </c>
      <c r="H4116" s="10" t="s">
        <v>1832</v>
      </c>
      <c r="I4116" s="10">
        <v>30.0</v>
      </c>
      <c r="J4116" s="11" t="str">
        <f>IF(D4116&lt;&gt;"",VLOOKUP(H4116,TABLEITEM,5,FALSE),"")</f>
        <v>EA</v>
      </c>
      <c r="K4116" s="12">
        <v>50.0</v>
      </c>
      <c r="L4116" s="13" t="str">
        <f>IF(D4116&lt;&gt;"",VLOOKUP(H4116,TABLEITEM,2,FALSE),"")</f>
        <v/>
      </c>
      <c r="M4116" s="13" t="str">
        <f>IF(D4116&lt;&gt;"",VLOOKUP(H4116,TABLEITEM,3,FALSE),"")</f>
        <v>SOCKET PYF-14A-E</v>
      </c>
      <c r="N4116" s="14">
        <f>INSTOCK!$I4116*INSTOCK!$K4116</f>
        <v>1500</v>
      </c>
      <c r="O4116" s="4"/>
      <c r="P4116" s="4"/>
    </row>
    <row r="4117" ht="15.75" hidden="1" customHeight="1">
      <c r="B4117" s="8">
        <v>4436.0</v>
      </c>
      <c r="C4117" s="9">
        <v>43349.0</v>
      </c>
      <c r="D4117" s="6">
        <v>6.10902393E8</v>
      </c>
      <c r="E4117" s="4"/>
      <c r="F4117" s="8"/>
      <c r="G4117" s="4" t="s">
        <v>1130</v>
      </c>
      <c r="H4117" s="10" t="s">
        <v>1555</v>
      </c>
      <c r="I4117" s="10">
        <v>20.0</v>
      </c>
      <c r="J4117" s="11" t="str">
        <f>IF(D4117&lt;&gt;"",VLOOKUP(H4117,TABLEITEM,5,FALSE),"")</f>
        <v>EA</v>
      </c>
      <c r="K4117" s="12">
        <v>40.0</v>
      </c>
      <c r="L4117" s="13" t="str">
        <f>IF(D4117&lt;&gt;"",VLOOKUP(H4117,TABLEITEM,2,FALSE),"")</f>
        <v/>
      </c>
      <c r="M4117" s="13" t="str">
        <f>IF(D4117&lt;&gt;"",VLOOKUP(H4117,TABLEITEM,3,FALSE),"")</f>
        <v>SOCKET PYF-08A-E </v>
      </c>
      <c r="N4117" s="14">
        <f>INSTOCK!$I4117*INSTOCK!$K4117</f>
        <v>800</v>
      </c>
      <c r="O4117" s="4"/>
      <c r="P4117" s="4"/>
    </row>
    <row r="4118" ht="15.75" hidden="1" customHeight="1">
      <c r="B4118" s="8">
        <v>4437.0</v>
      </c>
      <c r="C4118" s="9">
        <v>43349.0</v>
      </c>
      <c r="D4118" s="6">
        <v>6.10902393E8</v>
      </c>
      <c r="E4118" s="4"/>
      <c r="F4118" s="8"/>
      <c r="G4118" s="4" t="s">
        <v>1130</v>
      </c>
      <c r="H4118" s="10" t="s">
        <v>1833</v>
      </c>
      <c r="I4118" s="10">
        <v>3.0</v>
      </c>
      <c r="J4118" s="11" t="str">
        <f>IF(D4118&lt;&gt;"",VLOOKUP(H4118,TABLEITEM,5,FALSE),"")</f>
        <v>EA</v>
      </c>
      <c r="K4118" s="12">
        <v>620.0</v>
      </c>
      <c r="L4118" s="13" t="str">
        <f>IF(D4118&lt;&gt;"",VLOOKUP(H4118,TABLEITEM,2,FALSE),"")</f>
        <v/>
      </c>
      <c r="M4118" s="13" t="str">
        <f>IF(D4118&lt;&gt;"",VLOOKUP(H4118,TABLEITEM,3,FALSE),"")</f>
        <v>Timer H3CR-A8 100-240VAC</v>
      </c>
      <c r="N4118" s="14">
        <f>INSTOCK!$I4118*INSTOCK!$K4118</f>
        <v>1860</v>
      </c>
      <c r="O4118" s="4"/>
      <c r="P4118" s="4"/>
    </row>
    <row r="4119" ht="15.75" hidden="1" customHeight="1">
      <c r="B4119" s="8">
        <v>4438.0</v>
      </c>
      <c r="C4119" s="9">
        <v>43349.0</v>
      </c>
      <c r="D4119" s="6">
        <v>6.10902393E8</v>
      </c>
      <c r="E4119" s="4"/>
      <c r="F4119" s="8"/>
      <c r="G4119" s="4" t="s">
        <v>1130</v>
      </c>
      <c r="H4119" s="10" t="s">
        <v>5137</v>
      </c>
      <c r="I4119" s="10">
        <v>4.0</v>
      </c>
      <c r="J4119" s="11" t="str">
        <f>IF(D4119&lt;&gt;"",VLOOKUP(H4119,TABLEITEM,5,FALSE),"")</f>
        <v>EA</v>
      </c>
      <c r="K4119" s="12">
        <v>695.0</v>
      </c>
      <c r="L4119" s="13" t="str">
        <f>IF(D4119&lt;&gt;"",VLOOKUP(H4119,TABLEITEM,2,FALSE),"")</f>
        <v/>
      </c>
      <c r="M4119" s="13" t="str">
        <f>IF(D4119&lt;&gt;"",VLOOKUP(H4119,TABLEITEM,3,FALSE),"")</f>
        <v>HOUR METER TH-2385</v>
      </c>
      <c r="N4119" s="14">
        <f>INSTOCK!$I4119*INSTOCK!$K4119</f>
        <v>2780</v>
      </c>
      <c r="O4119" s="4"/>
      <c r="P4119" s="4"/>
    </row>
    <row r="4120" ht="15.75" hidden="1" customHeight="1">
      <c r="B4120" s="8">
        <v>4439.0</v>
      </c>
      <c r="C4120" s="9">
        <v>43349.0</v>
      </c>
      <c r="D4120" s="6" t="s">
        <v>5226</v>
      </c>
      <c r="E4120" s="4">
        <v>6.109001078E9</v>
      </c>
      <c r="F4120" s="8" t="s">
        <v>604</v>
      </c>
      <c r="G4120" s="4" t="s">
        <v>1777</v>
      </c>
      <c r="H4120" s="10" t="s">
        <v>2074</v>
      </c>
      <c r="I4120" s="10">
        <v>2000.0</v>
      </c>
      <c r="J4120" s="11" t="str">
        <f>IF(D4120&lt;&gt;"",VLOOKUP(H4120,TABLEITEM,5,FALSE),"")</f>
        <v>EA</v>
      </c>
      <c r="K4120" s="12">
        <v>0.429</v>
      </c>
      <c r="L4120" s="13" t="str">
        <f>IF(D4120&lt;&gt;"",VLOOKUP(H4120,TABLEITEM,2,FALSE),"")</f>
        <v/>
      </c>
      <c r="M4120" s="13" t="str">
        <f>IF(D4120&lt;&gt;"",VLOOKUP(H4120,TABLEITEM,3,FALSE),"")</f>
        <v>สกรูหัวเหลี่ยมชุบขาว M 6x20</v>
      </c>
      <c r="N4120" s="14">
        <f>INSTOCK!$I4120*INSTOCK!$K4120</f>
        <v>858</v>
      </c>
      <c r="O4120" s="4" t="s">
        <v>2075</v>
      </c>
      <c r="P4120" s="4"/>
    </row>
    <row r="4121" ht="15.75" hidden="1" customHeight="1">
      <c r="B4121" s="8">
        <v>4440.0</v>
      </c>
      <c r="C4121" s="9">
        <v>43349.0</v>
      </c>
      <c r="D4121" s="6" t="s">
        <v>5226</v>
      </c>
      <c r="E4121" s="4">
        <v>6.109001078E9</v>
      </c>
      <c r="F4121" s="8" t="s">
        <v>604</v>
      </c>
      <c r="G4121" s="4" t="s">
        <v>1777</v>
      </c>
      <c r="H4121" s="10" t="s">
        <v>5227</v>
      </c>
      <c r="I4121" s="10">
        <v>500.0</v>
      </c>
      <c r="J4121" s="11" t="str">
        <f>IF(D4121&lt;&gt;"",VLOOKUP(H4121,TABLEITEM,5,FALSE),"")</f>
        <v>EA</v>
      </c>
      <c r="K4121" s="12">
        <v>0.5785</v>
      </c>
      <c r="L4121" s="13" t="str">
        <f>IF(D4121&lt;&gt;"",VLOOKUP(H4121,TABLEITEM,2,FALSE),"")</f>
        <v/>
      </c>
      <c r="M4121" s="13" t="str">
        <f>IF(D4121&lt;&gt;"",VLOOKUP(H4121,TABLEITEM,3,FALSE),"")</f>
        <v>สกรูหัวเหลี่ยมชุบขาว M 6x30</v>
      </c>
      <c r="N4121" s="14">
        <f>INSTOCK!$I4121*INSTOCK!$K4121</f>
        <v>289.25</v>
      </c>
      <c r="O4121" s="4" t="s">
        <v>5228</v>
      </c>
      <c r="P4121" s="4"/>
    </row>
    <row r="4122" ht="15.75" hidden="1" customHeight="1">
      <c r="B4122" s="8">
        <v>4441.0</v>
      </c>
      <c r="C4122" s="9">
        <v>43349.0</v>
      </c>
      <c r="D4122" s="6" t="s">
        <v>5229</v>
      </c>
      <c r="E4122" s="4">
        <v>6.109001089E9</v>
      </c>
      <c r="F4122" s="8" t="s">
        <v>5230</v>
      </c>
      <c r="G4122" s="4" t="s">
        <v>1587</v>
      </c>
      <c r="H4122" s="10" t="s">
        <v>5231</v>
      </c>
      <c r="I4122" s="10">
        <v>8.0</v>
      </c>
      <c r="J4122" s="11" t="str">
        <f>IF(D4122&lt;&gt;"",VLOOKUP(H4122,TABLEITEM,5,FALSE),"")</f>
        <v>EA</v>
      </c>
      <c r="K4122" s="12">
        <v>1881.0</v>
      </c>
      <c r="L4122" s="13" t="str">
        <f>IF(D4122&lt;&gt;"",VLOOKUP(H4122,TABLEITEM,2,FALSE),"")</f>
        <v/>
      </c>
      <c r="M4122" s="13" t="str">
        <f>IF(D4122&lt;&gt;"",VLOOKUP(H4122,TABLEITEM,3,FALSE),"")</f>
        <v>เบรกเกอร์ NV63-CV 2P 20A 30MA</v>
      </c>
      <c r="N4122" s="14">
        <f>INSTOCK!$I4122*INSTOCK!$K4122</f>
        <v>15048</v>
      </c>
      <c r="O4122" s="4" t="s">
        <v>1589</v>
      </c>
      <c r="P4122" s="4"/>
    </row>
    <row r="4123" ht="15.75" hidden="1" customHeight="1">
      <c r="B4123" s="8">
        <v>4442.0</v>
      </c>
      <c r="C4123" s="9">
        <v>43318.0</v>
      </c>
      <c r="D4123" s="6">
        <v>265314.0</v>
      </c>
      <c r="E4123" s="4">
        <v>6.109001076E9</v>
      </c>
      <c r="F4123" s="8"/>
      <c r="G4123" s="4" t="s">
        <v>5232</v>
      </c>
      <c r="H4123" s="10" t="s">
        <v>5233</v>
      </c>
      <c r="I4123" s="10">
        <v>50.0</v>
      </c>
      <c r="J4123" s="11" t="str">
        <f>IF(D4123&lt;&gt;"",VLOOKUP(H4123,TABLEITEM,5,FALSE),"")</f>
        <v>EA</v>
      </c>
      <c r="K4123" s="12">
        <v>123.0</v>
      </c>
      <c r="L4123" s="13" t="str">
        <f>IF(D4123&lt;&gt;"",VLOOKUP(H4123,TABLEITEM,2,FALSE),"")</f>
        <v/>
      </c>
      <c r="M4123" s="13" t="str">
        <f>IF(D4123&lt;&gt;"",VLOOKUP(H4123,TABLEITEM,3,FALSE),"")</f>
        <v>TIP CHU-210UL D/C TISSUE 8mmx50mtr</v>
      </c>
      <c r="N4123" s="14">
        <f>INSTOCK!$I4123*INSTOCK!$K4123</f>
        <v>6150</v>
      </c>
      <c r="O4123" s="4"/>
      <c r="P4123" s="4"/>
    </row>
    <row r="4124" ht="15.75" hidden="1" customHeight="1">
      <c r="B4124" s="8">
        <v>4443.0</v>
      </c>
      <c r="C4124" s="9">
        <v>43349.0</v>
      </c>
      <c r="D4124" s="6" t="s">
        <v>5234</v>
      </c>
      <c r="E4124" s="4">
        <v>6.109001086E9</v>
      </c>
      <c r="F4124" s="8"/>
      <c r="G4124" s="4" t="s">
        <v>1516</v>
      </c>
      <c r="H4124" s="10" t="s">
        <v>5235</v>
      </c>
      <c r="I4124" s="10">
        <v>20.0</v>
      </c>
      <c r="J4124" s="11" t="str">
        <f>IF(D4124&lt;&gt;"",VLOOKUP(H4124,TABLEITEM,5,FALSE),"")</f>
        <v>EA</v>
      </c>
      <c r="K4124" s="12">
        <v>225.0</v>
      </c>
      <c r="L4124" s="13" t="str">
        <f>IF(D4124&lt;&gt;"",VLOOKUP(H4124,TABLEITEM,2,FALSE),"")</f>
        <v/>
      </c>
      <c r="M4124" s="13" t="str">
        <f>IF(D4124&lt;&gt;"",VLOOKUP(H4124,TABLEITEM,3,FALSE),"")</f>
        <v>IC60H 1P 16A C MINIATURE CIRCUIT B</v>
      </c>
      <c r="N4124" s="14">
        <f>INSTOCK!$I4124*INSTOCK!$K4124</f>
        <v>4500</v>
      </c>
      <c r="O4124" s="4"/>
      <c r="P4124" s="4"/>
    </row>
    <row r="4125" ht="15.75" hidden="1" customHeight="1">
      <c r="B4125" s="8">
        <v>4444.0</v>
      </c>
      <c r="C4125" s="9">
        <v>43349.0</v>
      </c>
      <c r="D4125" s="6" t="s">
        <v>5234</v>
      </c>
      <c r="E4125" s="4">
        <v>6.109001086E9</v>
      </c>
      <c r="F4125" s="8"/>
      <c r="G4125" s="4" t="s">
        <v>1516</v>
      </c>
      <c r="H4125" s="10" t="s">
        <v>5060</v>
      </c>
      <c r="I4125" s="10">
        <v>13.0</v>
      </c>
      <c r="J4125" s="11" t="str">
        <f>IF(D4125&lt;&gt;"",VLOOKUP(H4125,TABLEITEM,5,FALSE),"")</f>
        <v>EA</v>
      </c>
      <c r="K4125" s="12">
        <v>225.0</v>
      </c>
      <c r="L4125" s="13" t="str">
        <f>IF(D4125&lt;&gt;"",VLOOKUP(H4125,TABLEITEM,2,FALSE),"")</f>
        <v/>
      </c>
      <c r="M4125" s="13" t="str">
        <f>IF(D4125&lt;&gt;"",VLOOKUP(H4125,TABLEITEM,3,FALSE),"")</f>
        <v>MINIATURE CIRCUIYT B IC60H 1P 10A</v>
      </c>
      <c r="N4125" s="14">
        <f>INSTOCK!$I4125*INSTOCK!$K4125</f>
        <v>2925</v>
      </c>
      <c r="O4125" s="4"/>
      <c r="P4125" s="4"/>
    </row>
    <row r="4126" ht="15.75" hidden="1" customHeight="1">
      <c r="B4126" s="8">
        <v>4445.0</v>
      </c>
      <c r="C4126" s="9">
        <v>43349.0</v>
      </c>
      <c r="D4126" s="6" t="s">
        <v>5234</v>
      </c>
      <c r="E4126" s="4">
        <v>6.109001086E9</v>
      </c>
      <c r="F4126" s="8"/>
      <c r="G4126" s="4" t="s">
        <v>1516</v>
      </c>
      <c r="H4126" s="10" t="s">
        <v>5236</v>
      </c>
      <c r="I4126" s="10">
        <v>6.0</v>
      </c>
      <c r="J4126" s="11" t="str">
        <f>IF(D4126&lt;&gt;"",VLOOKUP(H4126,TABLEITEM,5,FALSE),"")</f>
        <v>EA</v>
      </c>
      <c r="K4126" s="12">
        <v>1225.0</v>
      </c>
      <c r="L4126" s="13" t="str">
        <f>IF(D4126&lt;&gt;"",VLOOKUP(H4126,TABLEITEM,2,FALSE),"")</f>
        <v/>
      </c>
      <c r="M4126" s="13" t="str">
        <f>IF(D4126&lt;&gt;"",VLOOKUP(H4126,TABLEITEM,3,FALSE),"")</f>
        <v>IC60H 3P 32A C MINIATURE CIRCUIT B</v>
      </c>
      <c r="N4126" s="14">
        <f>INSTOCK!$I4126*INSTOCK!$K4126</f>
        <v>7350</v>
      </c>
      <c r="O4126" s="4"/>
      <c r="P4126" s="4"/>
    </row>
    <row r="4127" ht="15.75" hidden="1" customHeight="1">
      <c r="B4127" s="8">
        <v>4446.0</v>
      </c>
      <c r="C4127" s="9">
        <v>43349.0</v>
      </c>
      <c r="D4127" s="6" t="s">
        <v>5234</v>
      </c>
      <c r="E4127" s="4">
        <v>6.109001086E9</v>
      </c>
      <c r="F4127" s="8"/>
      <c r="G4127" s="4" t="s">
        <v>1516</v>
      </c>
      <c r="H4127" s="10" t="s">
        <v>2828</v>
      </c>
      <c r="I4127" s="10">
        <v>5.0</v>
      </c>
      <c r="J4127" s="11" t="str">
        <f>IF(D4127&lt;&gt;"",VLOOKUP(H4127,TABLEITEM,5,FALSE),"")</f>
        <v>EA</v>
      </c>
      <c r="K4127" s="12">
        <v>250.0</v>
      </c>
      <c r="L4127" s="13" t="str">
        <f>IF(D4127&lt;&gt;"",VLOOKUP(H4127,TABLEITEM,2,FALSE),"")</f>
        <v/>
      </c>
      <c r="M4127" s="13" t="str">
        <f>IF(D4127&lt;&gt;"",VLOOKUP(H4127,TABLEITEM,3,FALSE),"")</f>
        <v>COMB BUSBAR 3P 100A 12MOD</v>
      </c>
      <c r="N4127" s="14">
        <f>INSTOCK!$I4127*INSTOCK!$K4127</f>
        <v>1250</v>
      </c>
      <c r="O4127" s="4"/>
      <c r="P4127" s="4"/>
    </row>
    <row r="4128" ht="15.75" hidden="1" customHeight="1">
      <c r="B4128" s="8">
        <v>4447.0</v>
      </c>
      <c r="C4128" s="9">
        <v>43349.0</v>
      </c>
      <c r="D4128" s="6" t="s">
        <v>5234</v>
      </c>
      <c r="E4128" s="4">
        <v>6.109001086E9</v>
      </c>
      <c r="F4128" s="8"/>
      <c r="G4128" s="4" t="s">
        <v>1516</v>
      </c>
      <c r="H4128" s="10" t="s">
        <v>5237</v>
      </c>
      <c r="I4128" s="10">
        <v>5.0</v>
      </c>
      <c r="J4128" s="11" t="str">
        <f>IF(D4128&lt;&gt;"",VLOOKUP(H4128,TABLEITEM,5,FALSE),"")</f>
        <v>EA</v>
      </c>
      <c r="K4128" s="12">
        <v>240.0</v>
      </c>
      <c r="L4128" s="13" t="str">
        <f>IF(D4128&lt;&gt;"",VLOOKUP(H4128,TABLEITEM,2,FALSE),"")</f>
        <v/>
      </c>
      <c r="M4128" s="13" t="str">
        <f>IF(D4128&lt;&gt;"",VLOOKUP(H4128,TABLEITEM,3,FALSE),"")</f>
        <v>SET OF 4 CONNECTORS</v>
      </c>
      <c r="N4128" s="14">
        <f>INSTOCK!$I4128*INSTOCK!$K4128</f>
        <v>1200</v>
      </c>
      <c r="O4128" s="4"/>
      <c r="P4128" s="4"/>
    </row>
    <row r="4129" ht="15.75" hidden="1" customHeight="1">
      <c r="B4129" s="8">
        <v>4448.0</v>
      </c>
      <c r="C4129" s="9">
        <v>43349.0</v>
      </c>
      <c r="D4129" s="6" t="s">
        <v>5238</v>
      </c>
      <c r="E4129" s="4">
        <v>6.109001085E9</v>
      </c>
      <c r="F4129" s="8"/>
      <c r="G4129" s="4" t="s">
        <v>1516</v>
      </c>
      <c r="H4129" s="10" t="s">
        <v>1653</v>
      </c>
      <c r="I4129" s="10">
        <v>7.0</v>
      </c>
      <c r="J4129" s="11" t="str">
        <f>IF(D4129&lt;&gt;"",VLOOKUP(H4129,TABLEITEM,5,FALSE),"")</f>
        <v>EA</v>
      </c>
      <c r="K4129" s="12">
        <v>483.0</v>
      </c>
      <c r="L4129" s="13" t="str">
        <f>IF(D4129&lt;&gt;"",VLOOKUP(H4129,TABLEITEM,2,FALSE),"")</f>
        <v/>
      </c>
      <c r="M4129" s="13" t="str">
        <f>IF(D4129&lt;&gt;"",VLOOKUP(H4129,TABLEITEM,3,FALSE),"")</f>
        <v>CONTACTOR 3P AC3 12A 220VAC</v>
      </c>
      <c r="N4129" s="14">
        <f>INSTOCK!$I4129*INSTOCK!$K4129</f>
        <v>3381</v>
      </c>
      <c r="O4129" s="4" t="s">
        <v>5239</v>
      </c>
      <c r="P4129" s="4"/>
    </row>
    <row r="4130" ht="15.75" hidden="1" customHeight="1">
      <c r="B4130" s="8">
        <v>4449.0</v>
      </c>
      <c r="C4130" s="9">
        <v>43349.0</v>
      </c>
      <c r="D4130" s="6" t="s">
        <v>5238</v>
      </c>
      <c r="E4130" s="4">
        <v>6.109001085E9</v>
      </c>
      <c r="F4130" s="8"/>
      <c r="G4130" s="4" t="s">
        <v>1516</v>
      </c>
      <c r="H4130" s="10" t="s">
        <v>1751</v>
      </c>
      <c r="I4130" s="10">
        <v>3.0</v>
      </c>
      <c r="J4130" s="11" t="str">
        <f>IF(D4130&lt;&gt;"",VLOOKUP(H4130,TABLEITEM,5,FALSE),"")</f>
        <v>EA</v>
      </c>
      <c r="K4130" s="12">
        <v>1201.2</v>
      </c>
      <c r="L4130" s="13" t="str">
        <f>IF(D4130&lt;&gt;"",VLOOKUP(H4130,TABLEITEM,2,FALSE),"")</f>
        <v/>
      </c>
      <c r="M4130" s="13" t="str">
        <f>IF(D4130&lt;&gt;"",VLOOKUP(H4130,TABLEITEM,3,FALSE),"")</f>
        <v>MOTOR CIR CUIT BREAKER 2.5-4A GV2P08</v>
      </c>
      <c r="N4130" s="14">
        <f>INSTOCK!$I4130*INSTOCK!$K4130</f>
        <v>3603.6</v>
      </c>
      <c r="O4130" s="4" t="s">
        <v>5240</v>
      </c>
      <c r="P4130" s="4"/>
    </row>
    <row r="4131" ht="15.75" hidden="1" customHeight="1">
      <c r="B4131" s="8">
        <v>4450.0</v>
      </c>
      <c r="C4131" s="9">
        <v>43349.0</v>
      </c>
      <c r="D4131" s="6" t="s">
        <v>5238</v>
      </c>
      <c r="E4131" s="4">
        <v>6.109001085E9</v>
      </c>
      <c r="F4131" s="8"/>
      <c r="G4131" s="4" t="s">
        <v>1516</v>
      </c>
      <c r="H4131" s="10" t="s">
        <v>5241</v>
      </c>
      <c r="I4131" s="10">
        <v>1.0</v>
      </c>
      <c r="J4131" s="11" t="str">
        <f>IF(D4131&lt;&gt;"",VLOOKUP(H4131,TABLEITEM,5,FALSE),"")</f>
        <v>EA</v>
      </c>
      <c r="K4131" s="12">
        <v>1201.2</v>
      </c>
      <c r="L4131" s="13" t="str">
        <f>IF(D4131&lt;&gt;"",VLOOKUP(H4131,TABLEITEM,2,FALSE),"")</f>
        <v/>
      </c>
      <c r="M4131" s="13" t="str">
        <f>IF(D4131&lt;&gt;"",VLOOKUP(H4131,TABLEITEM,3,FALSE),"")</f>
        <v>MOTOR CIRCUIT BREAKER</v>
      </c>
      <c r="N4131" s="14">
        <f>INSTOCK!$I4131*INSTOCK!$K4131</f>
        <v>1201.2</v>
      </c>
      <c r="O4131" s="4" t="s">
        <v>5240</v>
      </c>
      <c r="P4131" s="4"/>
    </row>
    <row r="4132" ht="15.75" hidden="1" customHeight="1">
      <c r="B4132" s="8">
        <v>4451.0</v>
      </c>
      <c r="C4132" s="9">
        <v>43349.0</v>
      </c>
      <c r="D4132" s="6" t="s">
        <v>5238</v>
      </c>
      <c r="E4132" s="4">
        <v>6.109001085E9</v>
      </c>
      <c r="F4132" s="8"/>
      <c r="G4132" s="4" t="s">
        <v>1516</v>
      </c>
      <c r="H4132" s="10" t="s">
        <v>3110</v>
      </c>
      <c r="I4132" s="10">
        <v>1.0</v>
      </c>
      <c r="J4132" s="11" t="str">
        <f>IF(D4132&lt;&gt;"",VLOOKUP(H4132,TABLEITEM,5,FALSE),"")</f>
        <v>EA</v>
      </c>
      <c r="K4132" s="12">
        <v>1008.0</v>
      </c>
      <c r="L4132" s="13" t="str">
        <f>IF(D4132&lt;&gt;"",VLOOKUP(H4132,TABLEITEM,2,FALSE),"")</f>
        <v/>
      </c>
      <c r="M4132" s="13" t="str">
        <f>IF(D4132&lt;&gt;"",VLOOKUP(H4132,TABLEITEM,3,FALSE),"")</f>
        <v>TESTS GV2 CIRCUIT BREAKER MAGNETIC 6.3A SCREW CLAMP TERMINAL</v>
      </c>
      <c r="N4132" s="14">
        <f>INSTOCK!$I4132*INSTOCK!$K4132</f>
        <v>1008</v>
      </c>
      <c r="O4132" s="4" t="s">
        <v>5242</v>
      </c>
      <c r="P4132" s="4"/>
    </row>
    <row r="4133" ht="15.75" hidden="1" customHeight="1">
      <c r="B4133" s="8">
        <v>4452.0</v>
      </c>
      <c r="C4133" s="9">
        <v>43349.0</v>
      </c>
      <c r="D4133" s="6" t="s">
        <v>5238</v>
      </c>
      <c r="E4133" s="4">
        <v>6.109001085E9</v>
      </c>
      <c r="F4133" s="8"/>
      <c r="G4133" s="4" t="s">
        <v>1516</v>
      </c>
      <c r="H4133" s="10" t="s">
        <v>5189</v>
      </c>
      <c r="I4133" s="10">
        <v>3.0</v>
      </c>
      <c r="J4133" s="11" t="str">
        <f>IF(D4133&lt;&gt;"",VLOOKUP(H4133,TABLEITEM,5,FALSE),"")</f>
        <v>EA</v>
      </c>
      <c r="K4133" s="12">
        <v>140.0</v>
      </c>
      <c r="L4133" s="13" t="str">
        <f>IF(D4133&lt;&gt;"",VLOOKUP(H4133,TABLEITEM,2,FALSE),"")</f>
        <v/>
      </c>
      <c r="M4133" s="13" t="str">
        <f>IF(D4133&lt;&gt;"",VLOOKUP(H4133,TABLEITEM,3,FALSE),"")</f>
        <v>IC60N 1P 6A CURVE 10KA 400VAC</v>
      </c>
      <c r="N4133" s="14">
        <f>INSTOCK!$I4133*INSTOCK!$K4133</f>
        <v>420</v>
      </c>
      <c r="O4133" s="4" t="s">
        <v>5243</v>
      </c>
      <c r="P4133" s="4"/>
    </row>
    <row r="4134" ht="15.75" hidden="1" customHeight="1">
      <c r="B4134" s="8">
        <v>4453.0</v>
      </c>
      <c r="C4134" s="9">
        <v>43349.0</v>
      </c>
      <c r="D4134" s="6" t="s">
        <v>5238</v>
      </c>
      <c r="E4134" s="4">
        <v>6.109001085E9</v>
      </c>
      <c r="F4134" s="8"/>
      <c r="G4134" s="4" t="s">
        <v>1516</v>
      </c>
      <c r="H4134" s="10" t="s">
        <v>2826</v>
      </c>
      <c r="I4134" s="10">
        <v>2.0</v>
      </c>
      <c r="J4134" s="11" t="str">
        <f>IF(D4134&lt;&gt;"",VLOOKUP(H4134,TABLEITEM,5,FALSE),"")</f>
        <v>EA</v>
      </c>
      <c r="K4134" s="12">
        <v>345.0</v>
      </c>
      <c r="L4134" s="13" t="str">
        <f>IF(D4134&lt;&gt;"",VLOOKUP(H4134,TABLEITEM,2,FALSE),"")</f>
        <v/>
      </c>
      <c r="M4134" s="13" t="str">
        <f>IF(D4134&lt;&gt;"",VLOOKUP(H4134,TABLEITEM,3,FALSE),"")</f>
        <v>MCB IC60N 2P 32A C CURVE 10KA 400VAC</v>
      </c>
      <c r="N4134" s="14">
        <f>INSTOCK!$I4134*INSTOCK!$K4134</f>
        <v>690</v>
      </c>
      <c r="O4134" s="4" t="s">
        <v>5244</v>
      </c>
      <c r="P4134" s="4"/>
    </row>
    <row r="4135" ht="15.75" hidden="1" customHeight="1">
      <c r="B4135" s="8">
        <v>4454.0</v>
      </c>
      <c r="C4135" s="9">
        <v>43348.0</v>
      </c>
      <c r="D4135" s="6">
        <v>4.18074872E8</v>
      </c>
      <c r="E4135" s="4">
        <v>6.1090010731E10</v>
      </c>
      <c r="F4135" s="8" t="s">
        <v>604</v>
      </c>
      <c r="G4135" s="4" t="s">
        <v>1274</v>
      </c>
      <c r="H4135" s="10" t="s">
        <v>21</v>
      </c>
      <c r="I4135" s="10">
        <v>400.0</v>
      </c>
      <c r="J4135" s="11" t="str">
        <f>IF(D4135&lt;&gt;"",VLOOKUP(H4135,TABLEITEM,5,FALSE),"")</f>
        <v>EA</v>
      </c>
      <c r="K4135" s="12">
        <v>45.0</v>
      </c>
      <c r="L4135" s="13" t="str">
        <f>IF(D4135&lt;&gt;"",VLOOKUP(H4135,TABLEITEM,2,FALSE),"")</f>
        <v/>
      </c>
      <c r="M4135" s="13" t="str">
        <f>IF(D4135&lt;&gt;"",VLOOKUP(H4135,TABLEITEM,3,FALSE),"")</f>
        <v>ใบหินเจียร์ 4'' </v>
      </c>
      <c r="N4135" s="14">
        <f>INSTOCK!$I4135*INSTOCK!$K4135</f>
        <v>18000</v>
      </c>
      <c r="O4135" s="4"/>
      <c r="P4135" s="4"/>
    </row>
    <row r="4136" ht="15.75" hidden="1" customHeight="1">
      <c r="B4136" s="8">
        <v>4455.0</v>
      </c>
      <c r="C4136" s="9">
        <v>43348.0</v>
      </c>
      <c r="D4136" s="6">
        <v>6.10901729E8</v>
      </c>
      <c r="E4136" s="4">
        <v>6.10900108E9</v>
      </c>
      <c r="F4136" s="8"/>
      <c r="G4136" s="4" t="s">
        <v>1130</v>
      </c>
      <c r="H4136" s="10" t="s">
        <v>288</v>
      </c>
      <c r="I4136" s="10">
        <v>2000.0</v>
      </c>
      <c r="J4136" s="11" t="str">
        <f>IF(D4136&lt;&gt;"",VLOOKUP(H4136,TABLEITEM,5,FALSE),"")</f>
        <v>EA</v>
      </c>
      <c r="K4136" s="12">
        <v>1.75</v>
      </c>
      <c r="L4136" s="13" t="str">
        <f>IF(D4136&lt;&gt;"",VLOOKUP(H4136,TABLEITEM,2,FALSE),"")</f>
        <v/>
      </c>
      <c r="M4136" s="13" t="str">
        <f>IF(D4136&lt;&gt;"",VLOOKUP(H4136,TABLEITEM,3,FALSE),"")</f>
        <v>หางปลากลมเปลือย6-6</v>
      </c>
      <c r="N4136" s="14">
        <f>INSTOCK!$I4136*INSTOCK!$K4136</f>
        <v>3500</v>
      </c>
      <c r="O4136" s="4" t="s">
        <v>5245</v>
      </c>
      <c r="P4136" s="4"/>
    </row>
    <row r="4137" ht="15.75" hidden="1" customHeight="1">
      <c r="B4137" s="8">
        <v>4456.0</v>
      </c>
      <c r="C4137" s="9">
        <v>43348.0</v>
      </c>
      <c r="D4137" s="6">
        <v>6109172.0</v>
      </c>
      <c r="E4137" s="4">
        <v>6.109001079E9</v>
      </c>
      <c r="F4137" s="8" t="s">
        <v>604</v>
      </c>
      <c r="G4137" s="4" t="s">
        <v>1100</v>
      </c>
      <c r="H4137" s="10" t="s">
        <v>277</v>
      </c>
      <c r="I4137" s="10">
        <v>2500.0</v>
      </c>
      <c r="J4137" s="11" t="str">
        <f>IF(D4137&lt;&gt;"",VLOOKUP(H4137,TABLEITEM,5,FALSE),"")</f>
        <v>EA</v>
      </c>
      <c r="K4137" s="12">
        <v>0.975</v>
      </c>
      <c r="L4137" s="13" t="str">
        <f>IF(D4137&lt;&gt;"",VLOOKUP(H4137,TABLEITEM,2,FALSE),"")</f>
        <v/>
      </c>
      <c r="M4137" s="13" t="str">
        <f>IF(D4137&lt;&gt;"",VLOOKUP(H4137,TABLEITEM,3,FALSE),"")</f>
        <v>หางปลากลมเปลือย 2-6</v>
      </c>
      <c r="N4137" s="14">
        <f>INSTOCK!$I4137*INSTOCK!$K4137</f>
        <v>2437.5</v>
      </c>
      <c r="O4137" s="4" t="s">
        <v>5246</v>
      </c>
      <c r="P4137" s="4"/>
    </row>
    <row r="4138" ht="15.75" hidden="1" customHeight="1">
      <c r="B4138" s="8">
        <v>4457.0</v>
      </c>
      <c r="C4138" s="9">
        <v>43348.0</v>
      </c>
      <c r="D4138" s="6" t="s">
        <v>5247</v>
      </c>
      <c r="E4138" s="4">
        <v>6.109001084E9</v>
      </c>
      <c r="F4138" s="8" t="s">
        <v>5248</v>
      </c>
      <c r="G4138" s="4" t="s">
        <v>3567</v>
      </c>
      <c r="H4138" s="10" t="s">
        <v>5249</v>
      </c>
      <c r="I4138" s="10">
        <v>3.0</v>
      </c>
      <c r="J4138" s="11" t="str">
        <f>IF(D4138&lt;&gt;"",VLOOKUP(H4138,TABLEITEM,5,FALSE),"")</f>
        <v>EA</v>
      </c>
      <c r="K4138" s="12">
        <v>975.0</v>
      </c>
      <c r="L4138" s="13" t="str">
        <f>IF(D4138&lt;&gt;"",VLOOKUP(H4138,TABLEITEM,2,FALSE),"")</f>
        <v/>
      </c>
      <c r="M4138" s="13" t="str">
        <f>IF(D4138&lt;&gt;"",VLOOKUP(H4138,TABLEITEM,3,FALSE),"")</f>
        <v>CT ENT.30 300/5 10VA</v>
      </c>
      <c r="N4138" s="14">
        <f>INSTOCK!$I4138*INSTOCK!$K4138</f>
        <v>2925</v>
      </c>
      <c r="O4138" s="4" t="s">
        <v>5250</v>
      </c>
      <c r="P4138" s="4"/>
    </row>
    <row r="4139" ht="15.75" hidden="1" customHeight="1">
      <c r="B4139" s="8">
        <v>4458.0</v>
      </c>
      <c r="C4139" s="9">
        <v>43348.0</v>
      </c>
      <c r="D4139" s="6">
        <v>9077.0</v>
      </c>
      <c r="E4139" s="4"/>
      <c r="F4139" s="8"/>
      <c r="G4139" s="4" t="s">
        <v>2528</v>
      </c>
      <c r="H4139" s="10" t="s">
        <v>2529</v>
      </c>
      <c r="I4139" s="10">
        <v>290.0</v>
      </c>
      <c r="J4139" s="11" t="str">
        <f>IF(D4139&lt;&gt;"",VLOOKUP(H4139,TABLEITEM,5,FALSE),"")</f>
        <v>KG.</v>
      </c>
      <c r="K4139" s="12">
        <v>14.0</v>
      </c>
      <c r="L4139" s="13" t="str">
        <f>IF(D4139&lt;&gt;"",VLOOKUP(H4139,TABLEITEM,2,FALSE),"")</f>
        <v/>
      </c>
      <c r="M4139" s="13" t="str">
        <f>IF(D4139&lt;&gt;"",VLOOKUP(H4139,TABLEITEM,3,FALSE),"")</f>
        <v>งานชุบ HOT DIP</v>
      </c>
      <c r="N4139" s="14">
        <f>INSTOCK!$I4139*INSTOCK!$K4139</f>
        <v>4060</v>
      </c>
      <c r="O4139" s="4" t="s">
        <v>5251</v>
      </c>
      <c r="P4139" s="4"/>
    </row>
    <row r="4140" ht="15.75" hidden="1" customHeight="1">
      <c r="B4140" s="8">
        <v>4459.0</v>
      </c>
      <c r="C4140" s="9">
        <v>43348.0</v>
      </c>
      <c r="D4140" s="6" t="s">
        <v>5252</v>
      </c>
      <c r="E4140" s="4">
        <v>6.109001077E9</v>
      </c>
      <c r="F4140" s="8"/>
      <c r="G4140" s="4" t="s">
        <v>1962</v>
      </c>
      <c r="H4140" s="10" t="s">
        <v>1963</v>
      </c>
      <c r="I4140" s="10">
        <v>1.0</v>
      </c>
      <c r="J4140" s="11" t="str">
        <f>IF(D4140&lt;&gt;"",VLOOKUP(H4140,TABLEITEM,5,FALSE),"")</f>
        <v>EA</v>
      </c>
      <c r="K4140" s="12">
        <v>3800.0</v>
      </c>
      <c r="L4140" s="13" t="str">
        <f>IF(D4140&lt;&gt;"",VLOOKUP(H4140,TABLEITEM,2,FALSE),"")</f>
        <v/>
      </c>
      <c r="M4140" s="13" t="str">
        <f>IF(D4140&lt;&gt;"",VLOOKUP(H4140,TABLEITEM,3,FALSE),"")</f>
        <v>SURGE STPT240K275V-4P AC230VAC 4P 40A</v>
      </c>
      <c r="N4140" s="14">
        <f>INSTOCK!$I4140*INSTOCK!$K4140</f>
        <v>3800</v>
      </c>
      <c r="O4140" s="4"/>
      <c r="P4140" s="4"/>
    </row>
    <row r="4141" ht="15.75" hidden="1" customHeight="1">
      <c r="B4141" s="8">
        <v>4460.0</v>
      </c>
      <c r="C4141" s="9">
        <v>43348.0</v>
      </c>
      <c r="D4141" s="6" t="s">
        <v>5253</v>
      </c>
      <c r="E4141" s="4">
        <v>6.109001069E9</v>
      </c>
      <c r="F4141" s="8" t="s">
        <v>5254</v>
      </c>
      <c r="G4141" s="4" t="s">
        <v>1870</v>
      </c>
      <c r="H4141" s="10" t="s">
        <v>5255</v>
      </c>
      <c r="I4141" s="10">
        <v>6.0</v>
      </c>
      <c r="J4141" s="11" t="str">
        <f>IF(D4141&lt;&gt;"",VLOOKUP(H4141,TABLEITEM,5,FALSE),"")</f>
        <v>EA</v>
      </c>
      <c r="K4141" s="12">
        <v>78.0</v>
      </c>
      <c r="L4141" s="13" t="str">
        <f>IF(D4141&lt;&gt;"",VLOOKUP(H4141,TABLEITEM,2,FALSE),"")</f>
        <v/>
      </c>
      <c r="M4141" s="13" t="str">
        <f>IF(D4141&lt;&gt;"",VLOOKUP(H4141,TABLEITEM,3,FALSE),"")</f>
        <v>สตัดเกลียวตลอด SUS 3/8"</v>
      </c>
      <c r="N4141" s="14">
        <f>INSTOCK!$I4141*INSTOCK!$K4141</f>
        <v>468</v>
      </c>
      <c r="O4141" s="4"/>
      <c r="P4141" s="4"/>
    </row>
    <row r="4142" ht="15.75" hidden="1" customHeight="1">
      <c r="B4142" s="8">
        <v>4461.0</v>
      </c>
      <c r="C4142" s="9">
        <v>43348.0</v>
      </c>
      <c r="D4142" s="6" t="s">
        <v>5253</v>
      </c>
      <c r="E4142" s="4">
        <v>6.109001069E9</v>
      </c>
      <c r="F4142" s="8" t="s">
        <v>5254</v>
      </c>
      <c r="G4142" s="4" t="s">
        <v>1870</v>
      </c>
      <c r="H4142" s="10" t="s">
        <v>1944</v>
      </c>
      <c r="I4142" s="10">
        <v>24.0</v>
      </c>
      <c r="J4142" s="11" t="str">
        <f>IF(D4142&lt;&gt;"",VLOOKUP(H4142,TABLEITEM,5,FALSE),"")</f>
        <v>EA</v>
      </c>
      <c r="K4142" s="12">
        <v>1.8</v>
      </c>
      <c r="L4142" s="13" t="str">
        <f>IF(D4142&lt;&gt;"",VLOOKUP(H4142,TABLEITEM,2,FALSE),"")</f>
        <v/>
      </c>
      <c r="M4142" s="13" t="str">
        <f>IF(D4142&lt;&gt;"",VLOOKUP(H4142,TABLEITEM,3,FALSE),"")</f>
        <v>แหวนสปริง SUS M10</v>
      </c>
      <c r="N4142" s="14">
        <f>INSTOCK!$I4142*INSTOCK!$K4142</f>
        <v>43.2</v>
      </c>
      <c r="O4142" s="4"/>
      <c r="P4142" s="4"/>
    </row>
    <row r="4143" ht="15.75" hidden="1" customHeight="1">
      <c r="B4143" s="8">
        <v>4462.0</v>
      </c>
      <c r="C4143" s="9">
        <v>43348.0</v>
      </c>
      <c r="D4143" s="6" t="s">
        <v>5253</v>
      </c>
      <c r="E4143" s="4">
        <v>6.109001069E9</v>
      </c>
      <c r="F4143" s="8" t="s">
        <v>5254</v>
      </c>
      <c r="G4143" s="4" t="s">
        <v>1870</v>
      </c>
      <c r="H4143" s="10" t="s">
        <v>1943</v>
      </c>
      <c r="I4143" s="10">
        <v>24.0</v>
      </c>
      <c r="J4143" s="11" t="str">
        <f>IF(D4143&lt;&gt;"",VLOOKUP(H4143,TABLEITEM,5,FALSE),"")</f>
        <v>EA</v>
      </c>
      <c r="K4143" s="12">
        <v>2.0</v>
      </c>
      <c r="L4143" s="13" t="str">
        <f>IF(D4143&lt;&gt;"",VLOOKUP(H4143,TABLEITEM,2,FALSE),"")</f>
        <v/>
      </c>
      <c r="M4143" s="13" t="str">
        <f>IF(D4143&lt;&gt;"",VLOOKUP(H4143,TABLEITEM,3,FALSE),"")</f>
        <v>แหวนอีแปะ SUS M10</v>
      </c>
      <c r="N4143" s="14">
        <f>INSTOCK!$I4143*INSTOCK!$K4143</f>
        <v>48</v>
      </c>
      <c r="O4143" s="4"/>
      <c r="P4143" s="4"/>
    </row>
    <row r="4144" ht="15.75" hidden="1" customHeight="1">
      <c r="B4144" s="8">
        <v>4463.0</v>
      </c>
      <c r="C4144" s="9">
        <v>43348.0</v>
      </c>
      <c r="D4144" s="6" t="s">
        <v>5253</v>
      </c>
      <c r="E4144" s="4">
        <v>6.109001069E9</v>
      </c>
      <c r="F4144" s="8" t="s">
        <v>5254</v>
      </c>
      <c r="G4144" s="4" t="s">
        <v>1870</v>
      </c>
      <c r="H4144" s="10" t="s">
        <v>1942</v>
      </c>
      <c r="I4144" s="10">
        <v>24.0</v>
      </c>
      <c r="J4144" s="11" t="str">
        <f>IF(D4144&lt;&gt;"",VLOOKUP(H4144,TABLEITEM,5,FALSE),"")</f>
        <v>EA</v>
      </c>
      <c r="K4144" s="12">
        <v>5.2</v>
      </c>
      <c r="L4144" s="13" t="str">
        <f>IF(D4144&lt;&gt;"",VLOOKUP(H4144,TABLEITEM,2,FALSE),"")</f>
        <v/>
      </c>
      <c r="M4144" s="13" t="str">
        <f>IF(D4144&lt;&gt;"",VLOOKUP(H4144,TABLEITEM,3,FALSE),"")</f>
        <v>หัวน๊อต SUS M10</v>
      </c>
      <c r="N4144" s="14">
        <f>INSTOCK!$I4144*INSTOCK!$K4144</f>
        <v>124.8</v>
      </c>
      <c r="O4144" s="4"/>
      <c r="P4144" s="4"/>
    </row>
    <row r="4145" ht="15.75" hidden="1" customHeight="1">
      <c r="B4145" s="8">
        <v>4464.0</v>
      </c>
      <c r="C4145" s="9">
        <v>43348.0</v>
      </c>
      <c r="D4145" s="6">
        <v>35779.0</v>
      </c>
      <c r="E4145" s="4">
        <v>6.109001072E9</v>
      </c>
      <c r="F4145" s="8" t="s">
        <v>604</v>
      </c>
      <c r="G4145" s="4" t="s">
        <v>696</v>
      </c>
      <c r="H4145" s="10" t="s">
        <v>44</v>
      </c>
      <c r="I4145" s="10">
        <v>4.0</v>
      </c>
      <c r="J4145" s="11" t="str">
        <f>IF(D4145&lt;&gt;"",VLOOKUP(H4145,TABLEITEM,5,FALSE),"")</f>
        <v>ปี๊ป</v>
      </c>
      <c r="K4145" s="12">
        <v>370.0</v>
      </c>
      <c r="L4145" s="13" t="str">
        <f>IF(D4145&lt;&gt;"",VLOOKUP(H4145,TABLEITEM,2,FALSE),"")</f>
        <v/>
      </c>
      <c r="M4145" s="13" t="str">
        <f>IF(D4145&lt;&gt;"",VLOOKUP(H4145,TABLEITEM,3,FALSE),"")</f>
        <v>ทินเนอร์ AAA</v>
      </c>
      <c r="N4145" s="14">
        <f>INSTOCK!$I4145*INSTOCK!$K4145</f>
        <v>1480</v>
      </c>
      <c r="O4145" s="4"/>
      <c r="P4145" s="4"/>
    </row>
    <row r="4146" ht="15.75" hidden="1" customHeight="1">
      <c r="B4146" s="8">
        <v>4465.0</v>
      </c>
      <c r="C4146" s="9">
        <v>43348.0</v>
      </c>
      <c r="D4146" s="6">
        <v>35779.0</v>
      </c>
      <c r="E4146" s="4">
        <v>6.109001072E9</v>
      </c>
      <c r="F4146" s="8" t="s">
        <v>604</v>
      </c>
      <c r="G4146" s="4" t="s">
        <v>696</v>
      </c>
      <c r="H4146" s="10" t="s">
        <v>5256</v>
      </c>
      <c r="I4146" s="10">
        <v>2.0</v>
      </c>
      <c r="J4146" s="11" t="str">
        <f>IF(D4146&lt;&gt;"",VLOOKUP(H4146,TABLEITEM,5,FALSE),"")</f>
        <v>EA</v>
      </c>
      <c r="K4146" s="12">
        <v>220.0</v>
      </c>
      <c r="L4146" s="13" t="str">
        <f>IF(D4146&lt;&gt;"",VLOOKUP(H4146,TABLEITEM,2,FALSE),"")</f>
        <v/>
      </c>
      <c r="M4146" s="13" t="str">
        <f>IF(D4146&lt;&gt;"",VLOOKUP(H4146,TABLEITEM,3,FALSE),"")</f>
        <v>ตะไบท้องปลิงละเอียด 12"</v>
      </c>
      <c r="N4146" s="14">
        <f>INSTOCK!$I4146*INSTOCK!$K4146</f>
        <v>440</v>
      </c>
      <c r="O4146" s="4"/>
      <c r="P4146" s="4"/>
    </row>
    <row r="4147" ht="15.75" hidden="1" customHeight="1">
      <c r="B4147" s="8">
        <v>4466.0</v>
      </c>
      <c r="C4147" s="9">
        <v>43348.0</v>
      </c>
      <c r="D4147" s="6" t="s">
        <v>5257</v>
      </c>
      <c r="E4147" s="4"/>
      <c r="F4147" s="8" t="s">
        <v>5258</v>
      </c>
      <c r="G4147" s="4" t="s">
        <v>3267</v>
      </c>
      <c r="H4147" s="10" t="s">
        <v>5259</v>
      </c>
      <c r="I4147" s="10">
        <v>2.0</v>
      </c>
      <c r="J4147" s="11" t="str">
        <f>IF(D4147&lt;&gt;"",VLOOKUP(H4147,TABLEITEM,5,FALSE),"")</f>
        <v>EA</v>
      </c>
      <c r="K4147" s="12">
        <v>3200.0</v>
      </c>
      <c r="L4147" s="13" t="str">
        <f>IF(D4147&lt;&gt;"",VLOOKUP(H4147,TABLEITEM,2,FALSE),"")</f>
        <v/>
      </c>
      <c r="M4147" s="13" t="str">
        <f>IF(D4147&lt;&gt;"",VLOOKUP(H4147,TABLEITEM,3,FALSE),"")</f>
        <v>Electrode Ho;der X1 F SP</v>
      </c>
      <c r="N4147" s="14">
        <f>INSTOCK!$I4147*INSTOCK!$K4147</f>
        <v>6400</v>
      </c>
      <c r="O4147" s="4"/>
      <c r="P4147" s="4"/>
    </row>
    <row r="4148" ht="15.75" hidden="1" customHeight="1">
      <c r="B4148" s="8">
        <v>4467.0</v>
      </c>
      <c r="C4148" s="9">
        <v>43348.0</v>
      </c>
      <c r="D4148" s="6" t="s">
        <v>5257</v>
      </c>
      <c r="E4148" s="4"/>
      <c r="F4148" s="8" t="s">
        <v>5258</v>
      </c>
      <c r="G4148" s="4" t="s">
        <v>3267</v>
      </c>
      <c r="H4148" s="10" t="s">
        <v>5260</v>
      </c>
      <c r="I4148" s="10">
        <v>1.0</v>
      </c>
      <c r="J4148" s="11" t="str">
        <f>IF(D4148&lt;&gt;"",VLOOKUP(H4148,TABLEITEM,5,FALSE),"")</f>
        <v>EA</v>
      </c>
      <c r="K4148" s="12">
        <v>1200.0</v>
      </c>
      <c r="L4148" s="13" t="str">
        <f>IF(D4148&lt;&gt;"",VLOOKUP(H4148,TABLEITEM,2,FALSE),"")</f>
        <v/>
      </c>
      <c r="M4148" s="13" t="str">
        <f>IF(D4148&lt;&gt;"",VLOOKUP(H4148,TABLEITEM,3,FALSE),"")</f>
        <v>Hose nipple D10-D12 complete </v>
      </c>
      <c r="N4148" s="14">
        <f>INSTOCK!$I4148*INSTOCK!$K4148</f>
        <v>1200</v>
      </c>
      <c r="O4148" s="4"/>
      <c r="P4148" s="4"/>
    </row>
    <row r="4149" ht="15.75" hidden="1" customHeight="1">
      <c r="B4149" s="8">
        <v>4468.0</v>
      </c>
      <c r="C4149" s="9">
        <v>43348.0</v>
      </c>
      <c r="D4149" s="6" t="s">
        <v>5257</v>
      </c>
      <c r="E4149" s="4"/>
      <c r="F4149" s="8" t="s">
        <v>5258</v>
      </c>
      <c r="G4149" s="4" t="s">
        <v>3267</v>
      </c>
      <c r="H4149" s="10" t="s">
        <v>5261</v>
      </c>
      <c r="I4149" s="10">
        <v>1.0</v>
      </c>
      <c r="J4149" s="11" t="str">
        <f>IF(D4149&lt;&gt;"",VLOOKUP(H4149,TABLEITEM,5,FALSE),"")</f>
        <v>EA</v>
      </c>
      <c r="K4149" s="12">
        <v>500.0</v>
      </c>
      <c r="L4149" s="13" t="str">
        <f>IF(D4149&lt;&gt;"",VLOOKUP(H4149,TABLEITEM,2,FALSE),"")</f>
        <v/>
      </c>
      <c r="M4149" s="13" t="str">
        <f>IF(D4149&lt;&gt;"",VLOOKUP(H4149,TABLEITEM,3,FALSE),"")</f>
        <v>O-ring set PFM-X1 ET</v>
      </c>
      <c r="N4149" s="14">
        <f>INSTOCK!$I4149*INSTOCK!$K4149</f>
        <v>500</v>
      </c>
      <c r="O4149" s="4"/>
      <c r="P4149" s="4"/>
    </row>
    <row r="4150" ht="15.75" hidden="1" customHeight="1">
      <c r="B4150" s="8">
        <v>4469.0</v>
      </c>
      <c r="C4150" s="9">
        <v>43347.0</v>
      </c>
      <c r="D4150" s="6" t="s">
        <v>5262</v>
      </c>
      <c r="E4150" s="4">
        <v>6.108001062E9</v>
      </c>
      <c r="F4150" s="8" t="s">
        <v>5263</v>
      </c>
      <c r="G4150" s="4" t="s">
        <v>1923</v>
      </c>
      <c r="H4150" s="10" t="s">
        <v>5264</v>
      </c>
      <c r="I4150" s="10">
        <v>20.0</v>
      </c>
      <c r="J4150" s="11" t="str">
        <f>IF(D4150&lt;&gt;"",VLOOKUP(H4150,TABLEITEM,5,FALSE),"")</f>
        <v>EA</v>
      </c>
      <c r="K4150" s="12">
        <v>54.0</v>
      </c>
      <c r="L4150" s="13" t="str">
        <f>IF(D4150&lt;&gt;"",VLOOKUP(H4150,TABLEITEM,2,FALSE),"")</f>
        <v/>
      </c>
      <c r="M4150" s="13" t="str">
        <f>IF(D4150&lt;&gt;"",VLOOKUP(H4150,TABLEITEM,3,FALSE),"")</f>
        <v>ล้อไนล่อน  แป้นตาย 2" </v>
      </c>
      <c r="N4150" s="14">
        <f>INSTOCK!$I4150*INSTOCK!$K4150</f>
        <v>1080</v>
      </c>
      <c r="O4150" s="4"/>
      <c r="P4150" s="4"/>
    </row>
    <row r="4151" ht="15.75" hidden="1" customHeight="1">
      <c r="B4151" s="8">
        <v>4470.0</v>
      </c>
      <c r="C4151" s="9">
        <v>43347.0</v>
      </c>
      <c r="D4151" s="6" t="s">
        <v>5262</v>
      </c>
      <c r="E4151" s="4">
        <v>6.108001062E9</v>
      </c>
      <c r="F4151" s="8" t="s">
        <v>5263</v>
      </c>
      <c r="G4151" s="4" t="s">
        <v>1923</v>
      </c>
      <c r="H4151" s="10" t="s">
        <v>5265</v>
      </c>
      <c r="I4151" s="10">
        <v>20.0</v>
      </c>
      <c r="J4151" s="11" t="str">
        <f>IF(D4151&lt;&gt;"",VLOOKUP(H4151,TABLEITEM,5,FALSE),"")</f>
        <v>EA</v>
      </c>
      <c r="K4151" s="12">
        <v>81.0</v>
      </c>
      <c r="L4151" s="13" t="str">
        <f>IF(D4151&lt;&gt;"",VLOOKUP(H4151,TABLEITEM,2,FALSE),"")</f>
        <v/>
      </c>
      <c r="M4151" s="13" t="str">
        <f>IF(D4151&lt;&gt;"",VLOOKUP(H4151,TABLEITEM,3,FALSE),"")</f>
        <v>ล้อไนล่อน ล้อเป็นมีเบรค 2"</v>
      </c>
      <c r="N4151" s="14">
        <f>INSTOCK!$I4151*INSTOCK!$K4151</f>
        <v>1620</v>
      </c>
      <c r="O4151" s="4"/>
      <c r="P4151" s="4"/>
    </row>
    <row r="4152" ht="15.75" hidden="1" customHeight="1">
      <c r="B4152" s="8">
        <v>4471.0</v>
      </c>
      <c r="C4152" s="9">
        <v>43346.0</v>
      </c>
      <c r="D4152" s="6" t="s">
        <v>5266</v>
      </c>
      <c r="E4152" s="4">
        <v>6.108001059E9</v>
      </c>
      <c r="F4152" s="8" t="s">
        <v>604</v>
      </c>
      <c r="G4152" s="4" t="s">
        <v>1033</v>
      </c>
      <c r="H4152" s="10" t="s">
        <v>2310</v>
      </c>
      <c r="I4152" s="10">
        <v>3.0</v>
      </c>
      <c r="J4152" s="11" t="str">
        <f>IF(D4152&lt;&gt;"",VLOOKUP(H4152,TABLEITEM,5,FALSE),"")</f>
        <v>EA</v>
      </c>
      <c r="K4152" s="12">
        <v>467.5</v>
      </c>
      <c r="L4152" s="13" t="str">
        <f>IF(D4152&lt;&gt;"",VLOOKUP(H4152,TABLEITEM,2,FALSE),"")</f>
        <v/>
      </c>
      <c r="M4152" s="13" t="str">
        <f>IF(D4152&lt;&gt;"",VLOOKUP(H4152,TABLEITEM,3,FALSE),"")</f>
        <v>แป้นจานขัด 5"</v>
      </c>
      <c r="N4152" s="14">
        <f>INSTOCK!$I4152*INSTOCK!$K4152</f>
        <v>1402.5</v>
      </c>
      <c r="O4152" s="4" t="s">
        <v>4550</v>
      </c>
      <c r="P4152" s="4"/>
    </row>
    <row r="4153" ht="15.75" hidden="1" customHeight="1">
      <c r="B4153" s="8">
        <v>4472.0</v>
      </c>
      <c r="C4153" s="9">
        <v>43346.0</v>
      </c>
      <c r="D4153" s="6" t="s">
        <v>5267</v>
      </c>
      <c r="E4153" s="4" t="s">
        <v>5268</v>
      </c>
      <c r="F4153" s="8" t="s">
        <v>604</v>
      </c>
      <c r="G4153" s="4" t="s">
        <v>1070</v>
      </c>
      <c r="H4153" s="10" t="s">
        <v>4504</v>
      </c>
      <c r="I4153" s="10">
        <v>10.0</v>
      </c>
      <c r="J4153" s="11" t="str">
        <f>IF(D4153&lt;&gt;"",VLOOKUP(H4153,TABLEITEM,5,FALSE),"")</f>
        <v>EA</v>
      </c>
      <c r="K4153" s="12">
        <v>100.0</v>
      </c>
      <c r="L4153" s="13" t="str">
        <f>IF(D4153&lt;&gt;"",VLOOKUP(H4153,TABLEITEM,2,FALSE),"")</f>
        <v/>
      </c>
      <c r="M4153" s="13" t="str">
        <f>IF(D4153&lt;&gt;"",VLOOKUP(H4153,TABLEITEM,3,FALSE),"")</f>
        <v>NOZZLE 200A REF.U4186L00</v>
      </c>
      <c r="N4153" s="14">
        <f>INSTOCK!$I4153*INSTOCK!$K4153</f>
        <v>1000</v>
      </c>
      <c r="O4153" s="4"/>
      <c r="P4153" s="4"/>
    </row>
    <row r="4154" ht="15.75" hidden="1" customHeight="1">
      <c r="B4154" s="8">
        <v>4473.0</v>
      </c>
      <c r="C4154" s="9">
        <v>43346.0</v>
      </c>
      <c r="D4154" s="6" t="s">
        <v>5269</v>
      </c>
      <c r="E4154" s="4">
        <v>6.108001057E9</v>
      </c>
      <c r="F4154" s="8" t="s">
        <v>4921</v>
      </c>
      <c r="G4154" s="4" t="s">
        <v>3541</v>
      </c>
      <c r="H4154" s="10" t="s">
        <v>2241</v>
      </c>
      <c r="I4154" s="10">
        <v>1.0</v>
      </c>
      <c r="J4154" s="11" t="str">
        <f>IF(D4154&lt;&gt;"",VLOOKUP(H4154,TABLEITEM,5,FALSE),"")</f>
        <v>EA</v>
      </c>
      <c r="K4154" s="12">
        <v>321.75</v>
      </c>
      <c r="L4154" s="13" t="str">
        <f>IF(D4154&lt;&gt;"",VLOOKUP(H4154,TABLEITEM,2,FALSE),"")</f>
        <v/>
      </c>
      <c r="M4154" s="13" t="str">
        <f>IF(D4154&lt;&gt;"",VLOOKUP(H4154,TABLEITEM,3,FALSE),"")</f>
        <v>MCB 2P 10A 10KA</v>
      </c>
      <c r="N4154" s="14">
        <f>INSTOCK!$I4154*INSTOCK!$K4154</f>
        <v>321.75</v>
      </c>
      <c r="O4154" s="4" t="s">
        <v>4667</v>
      </c>
      <c r="P4154" s="4"/>
    </row>
    <row r="4155" ht="15.75" hidden="1" customHeight="1">
      <c r="B4155" s="8">
        <v>4474.0</v>
      </c>
      <c r="C4155" s="9">
        <v>43346.0</v>
      </c>
      <c r="D4155" s="6" t="s">
        <v>5269</v>
      </c>
      <c r="E4155" s="4">
        <v>6.108001057E9</v>
      </c>
      <c r="F4155" s="8" t="s">
        <v>4921</v>
      </c>
      <c r="G4155" s="4" t="s">
        <v>3541</v>
      </c>
      <c r="H4155" s="10" t="s">
        <v>1894</v>
      </c>
      <c r="I4155" s="10">
        <v>100.0</v>
      </c>
      <c r="J4155" s="11" t="str">
        <f>IF(D4155&lt;&gt;"",VLOOKUP(H4155,TABLEITEM,5,FALSE),"")</f>
        <v>EA</v>
      </c>
      <c r="K4155" s="12">
        <v>70.0</v>
      </c>
      <c r="L4155" s="13" t="str">
        <f>IF(D4155&lt;&gt;"",VLOOKUP(H4155,TABLEITEM,2,FALSE),"")</f>
        <v/>
      </c>
      <c r="M4155" s="13" t="str">
        <f>IF(D4155&lt;&gt;"",VLOOKUP(H4155,TABLEITEM,3,FALSE),"")</f>
        <v>FUSE CONTROL 1P 10x38 4A</v>
      </c>
      <c r="N4155" s="14">
        <f>INSTOCK!$I4155*INSTOCK!$K4155</f>
        <v>7000</v>
      </c>
      <c r="O4155" s="4"/>
      <c r="P4155" s="4"/>
    </row>
    <row r="4156" ht="15.75" hidden="1" customHeight="1">
      <c r="B4156" s="8">
        <v>4475.0</v>
      </c>
      <c r="C4156" s="9">
        <v>43346.0</v>
      </c>
      <c r="D4156" s="6" t="s">
        <v>5269</v>
      </c>
      <c r="E4156" s="4">
        <v>6.108001057E9</v>
      </c>
      <c r="F4156" s="8" t="s">
        <v>4921</v>
      </c>
      <c r="G4156" s="4" t="s">
        <v>3541</v>
      </c>
      <c r="H4156" s="10" t="s">
        <v>2250</v>
      </c>
      <c r="I4156" s="10">
        <v>8.0</v>
      </c>
      <c r="J4156" s="11" t="str">
        <f>IF(D4156&lt;&gt;"",VLOOKUP(H4156,TABLEITEM,5,FALSE),"")</f>
        <v>EA</v>
      </c>
      <c r="K4156" s="12">
        <v>1092.0</v>
      </c>
      <c r="L4156" s="13" t="str">
        <f>IF(D4156&lt;&gt;"",VLOOKUP(H4156,TABLEITEM,2,FALSE),"")</f>
        <v/>
      </c>
      <c r="M4156" s="13" t="str">
        <f>IF(D4156&lt;&gt;"",VLOOKUP(H4156,TABLEITEM,3,FALSE),"")</f>
        <v>ELECTRONIC TIMER CT-ERE</v>
      </c>
      <c r="N4156" s="14">
        <f>INSTOCK!$I4156*INSTOCK!$K4156</f>
        <v>8736</v>
      </c>
      <c r="O4156" s="4" t="s">
        <v>5270</v>
      </c>
      <c r="P4156" s="4"/>
    </row>
    <row r="4157" ht="15.75" hidden="1" customHeight="1">
      <c r="B4157" s="8">
        <v>4476.0</v>
      </c>
      <c r="C4157" s="9">
        <v>43346.0</v>
      </c>
      <c r="D4157" s="6" t="s">
        <v>5271</v>
      </c>
      <c r="E4157" s="4">
        <v>6.108001054E9</v>
      </c>
      <c r="F4157" s="8" t="s">
        <v>4921</v>
      </c>
      <c r="G4157" s="4" t="s">
        <v>1485</v>
      </c>
      <c r="H4157" s="10" t="s">
        <v>2005</v>
      </c>
      <c r="I4157" s="10">
        <v>10.0</v>
      </c>
      <c r="J4157" s="11" t="str">
        <f>IF(D4157&lt;&gt;"",VLOOKUP(H4157,TABLEITEM,5,FALSE),"")</f>
        <v>EA</v>
      </c>
      <c r="K4157" s="12">
        <v>85.8</v>
      </c>
      <c r="L4157" s="13" t="str">
        <f>IF(D4157&lt;&gt;"",VLOOKUP(H4157,TABLEITEM,2,FALSE),"")</f>
        <v/>
      </c>
      <c r="M4157" s="13" t="str">
        <f>IF(D4157&lt;&gt;"",VLOOKUP(H4157,TABLEITEM,3,FALSE),"")</f>
        <v>PILOT LIGHT LED 240V BLUE</v>
      </c>
      <c r="N4157" s="14">
        <f>INSTOCK!$I4157*INSTOCK!$K4157</f>
        <v>858</v>
      </c>
      <c r="O4157" s="4"/>
      <c r="P4157" s="4"/>
    </row>
    <row r="4158" ht="15.75" hidden="1" customHeight="1">
      <c r="B4158" s="8">
        <v>4477.0</v>
      </c>
      <c r="C4158" s="9">
        <v>43346.0</v>
      </c>
      <c r="D4158" s="6" t="s">
        <v>5272</v>
      </c>
      <c r="E4158" s="4">
        <v>6.10800106E9</v>
      </c>
      <c r="F4158" s="8"/>
      <c r="G4158" s="4" t="s">
        <v>1516</v>
      </c>
      <c r="H4158" s="10" t="s">
        <v>2004</v>
      </c>
      <c r="I4158" s="10">
        <v>50.0</v>
      </c>
      <c r="J4158" s="11" t="str">
        <f>IF(D4158&lt;&gt;"",VLOOKUP(H4158,TABLEITEM,5,FALSE),"")</f>
        <v>EA</v>
      </c>
      <c r="K4158" s="12">
        <v>81.9</v>
      </c>
      <c r="L4158" s="13" t="str">
        <f>IF(D4158&lt;&gt;"",VLOOKUP(H4158,TABLEITEM,2,FALSE),"")</f>
        <v/>
      </c>
      <c r="M4158" s="13" t="str">
        <f>IF(D4158&lt;&gt;"",VLOOKUP(H4158,TABLEITEM,3,FALSE),"")</f>
        <v>PILOT LIGHT LED 240V RED</v>
      </c>
      <c r="N4158" s="14">
        <f>INSTOCK!$I4158*INSTOCK!$K4158</f>
        <v>4095</v>
      </c>
      <c r="O4158" s="4" t="s">
        <v>5213</v>
      </c>
      <c r="P4158" s="4"/>
    </row>
    <row r="4159" ht="15.75" hidden="1" customHeight="1">
      <c r="B4159" s="8">
        <v>4478.0</v>
      </c>
      <c r="C4159" s="9">
        <v>43346.0</v>
      </c>
      <c r="D4159" s="6" t="s">
        <v>5272</v>
      </c>
      <c r="E4159" s="4">
        <v>6.10800106E9</v>
      </c>
      <c r="F4159" s="8"/>
      <c r="G4159" s="4" t="s">
        <v>1516</v>
      </c>
      <c r="H4159" s="10" t="s">
        <v>2005</v>
      </c>
      <c r="I4159" s="10">
        <v>30.0</v>
      </c>
      <c r="J4159" s="11" t="str">
        <f>IF(D4159&lt;&gt;"",VLOOKUP(H4159,TABLEITEM,5,FALSE),"")</f>
        <v>EA</v>
      </c>
      <c r="K4159" s="12">
        <v>81.9</v>
      </c>
      <c r="L4159" s="13" t="str">
        <f>IF(D4159&lt;&gt;"",VLOOKUP(H4159,TABLEITEM,2,FALSE),"")</f>
        <v/>
      </c>
      <c r="M4159" s="13" t="str">
        <f>IF(D4159&lt;&gt;"",VLOOKUP(H4159,TABLEITEM,3,FALSE),"")</f>
        <v>PILOT LIGHT LED 240V BLUE</v>
      </c>
      <c r="N4159" s="14">
        <f>INSTOCK!$I4159*INSTOCK!$K4159</f>
        <v>2457</v>
      </c>
      <c r="O4159" s="4" t="s">
        <v>5213</v>
      </c>
      <c r="P4159" s="4"/>
    </row>
    <row r="4160" ht="15.75" hidden="1" customHeight="1">
      <c r="B4160" s="8">
        <v>4479.0</v>
      </c>
      <c r="C4160" s="9">
        <v>43346.0</v>
      </c>
      <c r="D4160" s="6" t="s">
        <v>5272</v>
      </c>
      <c r="E4160" s="4">
        <v>6.10800106E9</v>
      </c>
      <c r="F4160" s="8"/>
      <c r="G4160" s="4" t="s">
        <v>1516</v>
      </c>
      <c r="H4160" s="10" t="s">
        <v>2006</v>
      </c>
      <c r="I4160" s="10">
        <v>50.0</v>
      </c>
      <c r="J4160" s="11" t="str">
        <f>IF(D4160&lt;&gt;"",VLOOKUP(H4160,TABLEITEM,5,FALSE),"")</f>
        <v>EA</v>
      </c>
      <c r="K4160" s="12">
        <v>81.9</v>
      </c>
      <c r="L4160" s="13" t="str">
        <f>IF(D4160&lt;&gt;"",VLOOKUP(H4160,TABLEITEM,2,FALSE),"")</f>
        <v/>
      </c>
      <c r="M4160" s="13" t="str">
        <f>IF(D4160&lt;&gt;"",VLOOKUP(H4160,TABLEITEM,3,FALSE),"")</f>
        <v>PILOT LIGHT LED 240V GREEN</v>
      </c>
      <c r="N4160" s="14">
        <f>INSTOCK!$I4160*INSTOCK!$K4160</f>
        <v>4095</v>
      </c>
      <c r="O4160" s="4" t="s">
        <v>5213</v>
      </c>
      <c r="P4160" s="4"/>
    </row>
    <row r="4161" ht="15.75" hidden="1" customHeight="1">
      <c r="B4161" s="8">
        <v>4480.0</v>
      </c>
      <c r="C4161" s="9">
        <v>43346.0</v>
      </c>
      <c r="D4161" s="6" t="s">
        <v>5272</v>
      </c>
      <c r="E4161" s="4">
        <v>6.10800106E9</v>
      </c>
      <c r="F4161" s="8"/>
      <c r="G4161" s="4" t="s">
        <v>1516</v>
      </c>
      <c r="H4161" s="10" t="s">
        <v>4446</v>
      </c>
      <c r="I4161" s="10">
        <v>50.0</v>
      </c>
      <c r="J4161" s="11" t="str">
        <f>IF(D4161&lt;&gt;"",VLOOKUP(H4161,TABLEITEM,5,FALSE),"")</f>
        <v>EA</v>
      </c>
      <c r="K4161" s="12">
        <v>74.76</v>
      </c>
      <c r="L4161" s="13" t="str">
        <f>IF(D4161&lt;&gt;"",VLOOKUP(H4161,TABLEITEM,2,FALSE),"")</f>
        <v/>
      </c>
      <c r="M4161" s="13" t="str">
        <f>IF(D4161&lt;&gt;"",VLOOKUP(H4161,TABLEITEM,3,FALSE),"")</f>
        <v>PUSH BUTTON GREEN</v>
      </c>
      <c r="N4161" s="14">
        <f>INSTOCK!$I4161*INSTOCK!$K4161</f>
        <v>3738</v>
      </c>
      <c r="O4161" s="4" t="s">
        <v>5273</v>
      </c>
      <c r="P4161" s="4"/>
    </row>
    <row r="4162" ht="15.75" hidden="1" customHeight="1">
      <c r="B4162" s="8">
        <v>4481.0</v>
      </c>
      <c r="C4162" s="9">
        <v>43346.0</v>
      </c>
      <c r="D4162" s="6" t="s">
        <v>5272</v>
      </c>
      <c r="E4162" s="4">
        <v>6.10800106E9</v>
      </c>
      <c r="F4162" s="8"/>
      <c r="G4162" s="4" t="s">
        <v>1516</v>
      </c>
      <c r="H4162" s="10" t="s">
        <v>4448</v>
      </c>
      <c r="I4162" s="10">
        <v>50.0</v>
      </c>
      <c r="J4162" s="11" t="str">
        <f>IF(D4162&lt;&gt;"",VLOOKUP(H4162,TABLEITEM,5,FALSE),"")</f>
        <v>EA</v>
      </c>
      <c r="K4162" s="12">
        <v>74.76</v>
      </c>
      <c r="L4162" s="13" t="str">
        <f>IF(D4162&lt;&gt;"",VLOOKUP(H4162,TABLEITEM,2,FALSE),"")</f>
        <v/>
      </c>
      <c r="M4162" s="13" t="str">
        <f>IF(D4162&lt;&gt;"",VLOOKUP(H4162,TABLEITEM,3,FALSE),"")</f>
        <v>PUSH BUTTON RED</v>
      </c>
      <c r="N4162" s="14">
        <f>INSTOCK!$I4162*INSTOCK!$K4162</f>
        <v>3738</v>
      </c>
      <c r="O4162" s="4" t="s">
        <v>5273</v>
      </c>
      <c r="P4162" s="4"/>
    </row>
    <row r="4163" ht="15.75" hidden="1" customHeight="1">
      <c r="B4163" s="8">
        <v>4482.0</v>
      </c>
      <c r="C4163" s="9">
        <v>43346.0</v>
      </c>
      <c r="D4163" s="6" t="s">
        <v>5274</v>
      </c>
      <c r="E4163" s="4">
        <v>6.108001044E9</v>
      </c>
      <c r="F4163" s="8" t="s">
        <v>604</v>
      </c>
      <c r="G4163" s="4" t="s">
        <v>1611</v>
      </c>
      <c r="H4163" s="10" t="s">
        <v>188</v>
      </c>
      <c r="I4163" s="10">
        <v>1200.0</v>
      </c>
      <c r="J4163" s="11" t="str">
        <f>IF(D4163&lt;&gt;"",VLOOKUP(H4163,TABLEITEM,5,FALSE),"")</f>
        <v>EA</v>
      </c>
      <c r="K4163" s="12">
        <v>9.0</v>
      </c>
      <c r="L4163" s="13" t="str">
        <f>IF(D4163&lt;&gt;"",VLOOKUP(H4163,TABLEITEM,2,FALSE),"")</f>
        <v/>
      </c>
      <c r="M4163" s="13" t="str">
        <f>IF(D4163&lt;&gt;"",VLOOKUP(H4163,TABLEITEM,3,FALSE),"")</f>
        <v>TERMINAL BLOCK TX10</v>
      </c>
      <c r="N4163" s="14">
        <f>INSTOCK!$I4163*INSTOCK!$K4163</f>
        <v>10800</v>
      </c>
      <c r="O4163" s="4"/>
      <c r="P4163" s="4"/>
    </row>
    <row r="4164" ht="15.75" hidden="1" customHeight="1">
      <c r="B4164" s="8">
        <v>4483.0</v>
      </c>
      <c r="C4164" s="9">
        <v>43344.0</v>
      </c>
      <c r="D4164" s="6">
        <v>6.1090064E7</v>
      </c>
      <c r="E4164" s="4">
        <v>6.108001016E9</v>
      </c>
      <c r="F4164" s="8" t="s">
        <v>5275</v>
      </c>
      <c r="G4164" s="4" t="s">
        <v>1512</v>
      </c>
      <c r="H4164" s="10" t="s">
        <v>5276</v>
      </c>
      <c r="I4164" s="10">
        <v>8.0</v>
      </c>
      <c r="J4164" s="11" t="str">
        <f>IF(D4164&lt;&gt;"",VLOOKUP(H4164,TABLEITEM,5,FALSE),"")</f>
        <v>EA</v>
      </c>
      <c r="K4164" s="12">
        <v>1316.25</v>
      </c>
      <c r="L4164" s="13" t="str">
        <f>IF(D4164&lt;&gt;"",VLOOKUP(H4164,TABLEITEM,2,FALSE),"")</f>
        <v/>
      </c>
      <c r="M4164" s="13" t="str">
        <f>IF(D4164&lt;&gt;"",VLOOKUP(H4164,TABLEITEM,3,FALSE),"")</f>
        <v>CRC AS6-2000/5A CT 2000/5 15VA,CL.05</v>
      </c>
      <c r="N4164" s="14">
        <f>INSTOCK!$I4164*INSTOCK!$K4164</f>
        <v>10530</v>
      </c>
      <c r="O4164" s="4" t="s">
        <v>5277</v>
      </c>
      <c r="P4164" s="4"/>
    </row>
    <row r="4165" ht="15.75" hidden="1" customHeight="1">
      <c r="B4165" s="8">
        <v>4484.0</v>
      </c>
      <c r="C4165" s="9">
        <v>43344.0</v>
      </c>
      <c r="D4165" s="6">
        <v>6.1090064E7</v>
      </c>
      <c r="E4165" s="4">
        <v>6.108001016E9</v>
      </c>
      <c r="F4165" s="8" t="s">
        <v>5275</v>
      </c>
      <c r="G4165" s="4" t="s">
        <v>1512</v>
      </c>
      <c r="H4165" s="18" t="s">
        <v>5278</v>
      </c>
      <c r="I4165" s="10">
        <v>3.0</v>
      </c>
      <c r="J4165" s="11" t="str">
        <f>IF(D4165&lt;&gt;"",VLOOKUP(H4165,TABLEITEM,5,FALSE),"")</f>
        <v>EA</v>
      </c>
      <c r="K4165" s="12">
        <v>668.25</v>
      </c>
      <c r="L4165" s="13" t="str">
        <f>IF(D4165&lt;&gt;"",VLOOKUP(H4165,TABLEITEM,2,FALSE),"")</f>
        <v/>
      </c>
      <c r="M4165" s="13" t="str">
        <f>IF(D4165&lt;&gt;"",VLOOKUP(H4165,TABLEITEM,3,FALSE),"")</f>
        <v>CT1000/5 AS5 10VA-CL0.5 Aperture 85</v>
      </c>
      <c r="N4165" s="14">
        <f>INSTOCK!$I4165*INSTOCK!$K4165</f>
        <v>2004.75</v>
      </c>
      <c r="O4165" s="4" t="s">
        <v>5279</v>
      </c>
      <c r="P4165" s="4"/>
    </row>
    <row r="4166" ht="15.75" hidden="1" customHeight="1">
      <c r="B4166" s="8">
        <v>4485.0</v>
      </c>
      <c r="C4166" s="9">
        <v>43344.0</v>
      </c>
      <c r="D4166" s="6">
        <v>6.1090064E7</v>
      </c>
      <c r="E4166" s="4">
        <v>6.108001016E9</v>
      </c>
      <c r="F4166" s="8" t="s">
        <v>5275</v>
      </c>
      <c r="G4166" s="4" t="s">
        <v>1512</v>
      </c>
      <c r="H4166" s="10" t="s">
        <v>5280</v>
      </c>
      <c r="I4166" s="10">
        <v>8.0</v>
      </c>
      <c r="J4166" s="11" t="str">
        <f>IF(D4166&lt;&gt;"",VLOOKUP(H4166,TABLEITEM,5,FALSE),"")</f>
        <v>EA</v>
      </c>
      <c r="K4166" s="12">
        <v>931.5</v>
      </c>
      <c r="L4166" s="13" t="str">
        <f>IF(D4166&lt;&gt;"",VLOOKUP(H4166,TABLEITEM,2,FALSE),"")</f>
        <v/>
      </c>
      <c r="M4166" s="13" t="str">
        <f>IF(D4166&lt;&gt;"",VLOOKUP(H4166,TABLEITEM,3,FALSE),"")</f>
        <v>CRC AS1B-300/5 5VA</v>
      </c>
      <c r="N4166" s="14">
        <f>INSTOCK!$I4166*INSTOCK!$K4166</f>
        <v>7452</v>
      </c>
      <c r="O4166" s="4" t="s">
        <v>5281</v>
      </c>
      <c r="P4166" s="4"/>
    </row>
    <row r="4167" ht="15.75" hidden="1" customHeight="1">
      <c r="B4167" s="8">
        <v>4486.0</v>
      </c>
      <c r="C4167" s="9">
        <v>43344.0</v>
      </c>
      <c r="D4167" s="6" t="s">
        <v>5282</v>
      </c>
      <c r="E4167" s="4">
        <v>6.108001058E9</v>
      </c>
      <c r="F4167" s="8" t="s">
        <v>4921</v>
      </c>
      <c r="G4167" s="4" t="s">
        <v>692</v>
      </c>
      <c r="H4167" s="10" t="s">
        <v>5283</v>
      </c>
      <c r="I4167" s="10">
        <v>8.0</v>
      </c>
      <c r="J4167" s="11" t="str">
        <f>IF(D4167&lt;&gt;"",VLOOKUP(H4167,TABLEITEM,5,FALSE),"")</f>
        <v>EA</v>
      </c>
      <c r="K4167" s="12">
        <v>1170.0</v>
      </c>
      <c r="L4167" s="13" t="str">
        <f>IF(D4167&lt;&gt;"",VLOOKUP(H4167,TABLEITEM,2,FALSE),"")</f>
        <v/>
      </c>
      <c r="M4167" s="13" t="str">
        <f>IF(D4167&lt;&gt;"",VLOOKUP(H4167,TABLEITEM,3,FALSE),"")</f>
        <v>MCCB A1C125 3P 25A 25KA</v>
      </c>
      <c r="N4167" s="14">
        <f>INSTOCK!$I4167*INSTOCK!$K4167</f>
        <v>9360</v>
      </c>
      <c r="O4167" s="4" t="s">
        <v>1718</v>
      </c>
      <c r="P4167" s="4"/>
    </row>
    <row r="4168" ht="15.75" hidden="1" customHeight="1">
      <c r="B4168" s="8">
        <v>4487.0</v>
      </c>
      <c r="C4168" s="9">
        <v>43344.0</v>
      </c>
      <c r="D4168" s="6" t="s">
        <v>5282</v>
      </c>
      <c r="E4168" s="4">
        <v>6.108001058E9</v>
      </c>
      <c r="F4168" s="8" t="s">
        <v>4921</v>
      </c>
      <c r="G4168" s="4" t="s">
        <v>692</v>
      </c>
      <c r="H4168" s="18" t="s">
        <v>2244</v>
      </c>
      <c r="I4168" s="10">
        <v>24.0</v>
      </c>
      <c r="J4168" s="11" t="str">
        <f>IF(D4168&lt;&gt;"",VLOOKUP(H4168,TABLEITEM,5,FALSE),"")</f>
        <v>EA</v>
      </c>
      <c r="K4168" s="12">
        <v>305.025</v>
      </c>
      <c r="L4168" s="13" t="str">
        <f>IF(D4168&lt;&gt;"",VLOOKUP(H4168,TABLEITEM,2,FALSE),"")</f>
        <v/>
      </c>
      <c r="M4168" s="13" t="str">
        <f>IF(D4168&lt;&gt;"",VLOOKUP(H4168,TABLEITEM,3,FALSE),"")</f>
        <v>CONTACTORS AF09-30-10</v>
      </c>
      <c r="N4168" s="14">
        <f>INSTOCK!$I4168*INSTOCK!$K4168</f>
        <v>7320.6</v>
      </c>
      <c r="O4168" s="4" t="s">
        <v>5284</v>
      </c>
      <c r="P4168" s="4"/>
    </row>
    <row r="4169" ht="15.75" hidden="1" customHeight="1">
      <c r="B4169" s="8">
        <v>4488.0</v>
      </c>
      <c r="C4169" s="9">
        <v>43344.0</v>
      </c>
      <c r="D4169" s="6" t="s">
        <v>5282</v>
      </c>
      <c r="E4169" s="4">
        <v>6.108001058E9</v>
      </c>
      <c r="F4169" s="8" t="s">
        <v>4921</v>
      </c>
      <c r="G4169" s="4" t="s">
        <v>692</v>
      </c>
      <c r="H4169" s="10" t="s">
        <v>5285</v>
      </c>
      <c r="I4169" s="10">
        <v>6.0</v>
      </c>
      <c r="J4169" s="11" t="str">
        <f>IF(D4169&lt;&gt;"",VLOOKUP(H4169,TABLEITEM,5,FALSE),"")</f>
        <v>EA</v>
      </c>
      <c r="K4169" s="12">
        <v>406.7</v>
      </c>
      <c r="L4169" s="13" t="str">
        <f>IF(D4169&lt;&gt;"",VLOOKUP(H4169,TABLEITEM,2,FALSE),"")</f>
        <v/>
      </c>
      <c r="M4169" s="13" t="str">
        <f>IF(D4169&lt;&gt;"",VLOOKUP(H4169,TABLEITEM,3,FALSE),"")</f>
        <v>OVERLOAD RELAY TF42-5.7</v>
      </c>
      <c r="N4169" s="14">
        <f>INSTOCK!$I4169*INSTOCK!$K4169</f>
        <v>2440.2</v>
      </c>
      <c r="O4169" s="4" t="s">
        <v>5286</v>
      </c>
      <c r="P4169" s="4"/>
    </row>
    <row r="4170" ht="15.75" hidden="1" customHeight="1">
      <c r="B4170" s="8">
        <v>4489.0</v>
      </c>
      <c r="C4170" s="9">
        <v>43344.0</v>
      </c>
      <c r="D4170" s="6" t="s">
        <v>5282</v>
      </c>
      <c r="E4170" s="4">
        <v>6.108001058E9</v>
      </c>
      <c r="F4170" s="8" t="s">
        <v>4921</v>
      </c>
      <c r="G4170" s="4" t="s">
        <v>692</v>
      </c>
      <c r="H4170" s="10" t="s">
        <v>5287</v>
      </c>
      <c r="I4170" s="10">
        <v>2.0</v>
      </c>
      <c r="J4170" s="11" t="str">
        <f>IF(D4170&lt;&gt;"",VLOOKUP(H4170,TABLEITEM,5,FALSE),"")</f>
        <v>EA</v>
      </c>
      <c r="K4170" s="12">
        <v>406.7</v>
      </c>
      <c r="L4170" s="13" t="str">
        <f>IF(D4170&lt;&gt;"",VLOOKUP(H4170,TABLEITEM,2,FALSE),"")</f>
        <v/>
      </c>
      <c r="M4170" s="13" t="str">
        <f>IF(D4170&lt;&gt;"",VLOOKUP(H4170,TABLEITEM,3,FALSE),"")</f>
        <v>OVERLOAD RELAY TF42-7.6</v>
      </c>
      <c r="N4170" s="14">
        <f>INSTOCK!$I4170*INSTOCK!$K4170</f>
        <v>813.4</v>
      </c>
      <c r="O4170" s="4" t="s">
        <v>5286</v>
      </c>
      <c r="P4170" s="4"/>
    </row>
    <row r="4171" ht="15.75" hidden="1" customHeight="1">
      <c r="B4171" s="8">
        <v>4490.0</v>
      </c>
      <c r="C4171" s="9">
        <v>43344.0</v>
      </c>
      <c r="D4171" s="6" t="s">
        <v>5282</v>
      </c>
      <c r="E4171" s="4">
        <v>6.108001058E9</v>
      </c>
      <c r="F4171" s="8" t="s">
        <v>4921</v>
      </c>
      <c r="G4171" s="4" t="s">
        <v>692</v>
      </c>
      <c r="H4171" s="10" t="s">
        <v>2252</v>
      </c>
      <c r="I4171" s="10">
        <v>8.0</v>
      </c>
      <c r="J4171" s="11" t="str">
        <f>IF(D4171&lt;&gt;"",VLOOKUP(H4171,TABLEITEM,5,FALSE),"")</f>
        <v>EA</v>
      </c>
      <c r="K4171" s="12">
        <v>539.5</v>
      </c>
      <c r="L4171" s="13" t="str">
        <f>IF(D4171&lt;&gt;"",VLOOKUP(H4171,TABLEITEM,2,FALSE),"")</f>
        <v/>
      </c>
      <c r="M4171" s="13" t="str">
        <f>IF(D4171&lt;&gt;"",VLOOKUP(H4171,TABLEITEM,3,FALSE),"")</f>
        <v>MACHANICA INTERLOCK VEM4</v>
      </c>
      <c r="N4171" s="14">
        <f>INSTOCK!$I4171*INSTOCK!$K4171</f>
        <v>4316</v>
      </c>
      <c r="O4171" s="4" t="s">
        <v>5288</v>
      </c>
      <c r="P4171" s="4"/>
    </row>
    <row r="4172" ht="15.75" hidden="1" customHeight="1">
      <c r="B4172" s="8">
        <v>4491.0</v>
      </c>
      <c r="C4172" s="9">
        <v>43344.0</v>
      </c>
      <c r="D4172" s="6" t="s">
        <v>5282</v>
      </c>
      <c r="E4172" s="4">
        <v>6.108001058E9</v>
      </c>
      <c r="F4172" s="8" t="s">
        <v>4921</v>
      </c>
      <c r="G4172" s="4" t="s">
        <v>692</v>
      </c>
      <c r="H4172" s="10" t="s">
        <v>5289</v>
      </c>
      <c r="I4172" s="10">
        <v>8.0</v>
      </c>
      <c r="J4172" s="11" t="str">
        <f>IF(D4172&lt;&gt;"",VLOOKUP(H4172,TABLEITEM,5,FALSE),"")</f>
        <v>EA</v>
      </c>
      <c r="K4172" s="12">
        <v>253.15</v>
      </c>
      <c r="L4172" s="13" t="str">
        <f>IF(D4172&lt;&gt;"",VLOOKUP(H4172,TABLEITEM,2,FALSE),"")</f>
        <v/>
      </c>
      <c r="M4172" s="13" t="str">
        <f>IF(D4172&lt;&gt;"",VLOOKUP(H4172,TABLEITEM,3,FALSE),"")</f>
        <v>AUX CONHTACT CAL4-11 1NO+1NC</v>
      </c>
      <c r="N4172" s="14">
        <f>INSTOCK!$I4172*INSTOCK!$K4172</f>
        <v>2025.2</v>
      </c>
      <c r="O4172" s="4" t="s">
        <v>5290</v>
      </c>
      <c r="P4172" s="4"/>
    </row>
    <row r="4173" ht="15.75" hidden="1" customHeight="1">
      <c r="B4173" s="8">
        <v>4492.0</v>
      </c>
      <c r="C4173" s="9">
        <v>43344.0</v>
      </c>
      <c r="D4173" s="6" t="s">
        <v>5291</v>
      </c>
      <c r="E4173" s="4">
        <v>6.108001047E9</v>
      </c>
      <c r="F4173" s="8" t="s">
        <v>5292</v>
      </c>
      <c r="G4173" s="4" t="s">
        <v>965</v>
      </c>
      <c r="H4173" s="10" t="s">
        <v>2616</v>
      </c>
      <c r="I4173" s="10">
        <v>10.0</v>
      </c>
      <c r="J4173" s="11" t="str">
        <f>IF(D4173&lt;&gt;"",VLOOKUP(H4173,TABLEITEM,5,FALSE),"")</f>
        <v>M</v>
      </c>
      <c r="K4173" s="12">
        <v>12.0</v>
      </c>
      <c r="L4173" s="13" t="str">
        <f>IF(D4173&lt;&gt;"",VLOOKUP(H4173,TABLEITEM,2,FALSE),"")</f>
        <v/>
      </c>
      <c r="M4173" s="13" t="str">
        <f>IF(D4173&lt;&gt;"",VLOOKUP(H4173,TABLEITEM,3,FALSE),"")</f>
        <v>สายยางน้ำ 5/8"</v>
      </c>
      <c r="N4173" s="14">
        <f>INSTOCK!$I4173*INSTOCK!$K4173</f>
        <v>120</v>
      </c>
      <c r="O4173" s="4"/>
      <c r="P4173" s="4"/>
    </row>
    <row r="4174" ht="15.75" hidden="1" customHeight="1">
      <c r="B4174" s="8">
        <v>4493.0</v>
      </c>
      <c r="C4174" s="9">
        <v>43344.0</v>
      </c>
      <c r="D4174" s="6" t="s">
        <v>5291</v>
      </c>
      <c r="E4174" s="4">
        <v>6.108001047E9</v>
      </c>
      <c r="F4174" s="8" t="s">
        <v>5292</v>
      </c>
      <c r="G4174" s="4" t="s">
        <v>965</v>
      </c>
      <c r="H4174" s="10" t="s">
        <v>59</v>
      </c>
      <c r="I4174" s="10">
        <v>3.0</v>
      </c>
      <c r="J4174" s="11" t="str">
        <f>IF(D4174&lt;&gt;"",VLOOKUP(H4174,TABLEITEM,5,FALSE),"")</f>
        <v>EA</v>
      </c>
      <c r="K4174" s="12">
        <v>100.0</v>
      </c>
      <c r="L4174" s="13" t="str">
        <f>IF(D4174&lt;&gt;"",VLOOKUP(H4174,TABLEITEM,2,FALSE),"")</f>
        <v/>
      </c>
      <c r="M4174" s="13" t="str">
        <f>IF(D4174&lt;&gt;"",VLOOKUP(H4174,TABLEITEM,3,FALSE),"")</f>
        <v>โซเน็ก</v>
      </c>
      <c r="N4174" s="14">
        <f>INSTOCK!$I4174*INSTOCK!$K4174</f>
        <v>300</v>
      </c>
      <c r="O4174" s="4"/>
      <c r="P4174" s="4"/>
    </row>
    <row r="4175" ht="15.75" hidden="1" customHeight="1">
      <c r="B4175" s="8">
        <v>4494.0</v>
      </c>
      <c r="C4175" s="9">
        <v>43344.0</v>
      </c>
      <c r="D4175" s="6" t="s">
        <v>5291</v>
      </c>
      <c r="E4175" s="4">
        <v>6.108001047E9</v>
      </c>
      <c r="F4175" s="8" t="s">
        <v>5292</v>
      </c>
      <c r="G4175" s="4" t="s">
        <v>965</v>
      </c>
      <c r="H4175" s="10" t="s">
        <v>3003</v>
      </c>
      <c r="I4175" s="10">
        <v>8.0</v>
      </c>
      <c r="J4175" s="11" t="str">
        <f>IF(D4175&lt;&gt;"",VLOOKUP(H4175,TABLEITEM,5,FALSE),"")</f>
        <v>EA</v>
      </c>
      <c r="K4175" s="12">
        <v>4.0</v>
      </c>
      <c r="L4175" s="13" t="str">
        <f>IF(D4175&lt;&gt;"",VLOOKUP(H4175,TABLEITEM,2,FALSE),"")</f>
        <v/>
      </c>
      <c r="M4175" s="13" t="str">
        <f>IF(D4175&lt;&gt;"",VLOOKUP(H4175,TABLEITEM,3,FALSE),"")</f>
        <v>ยูโบล์ท 1"</v>
      </c>
      <c r="N4175" s="14">
        <f>INSTOCK!$I4175*INSTOCK!$K4175</f>
        <v>32</v>
      </c>
      <c r="O4175" s="4"/>
      <c r="P4175" s="4"/>
    </row>
    <row r="4176" ht="15.75" hidden="1" customHeight="1">
      <c r="B4176" s="8">
        <v>4495.0</v>
      </c>
      <c r="C4176" s="9">
        <v>43344.0</v>
      </c>
      <c r="D4176" s="6" t="s">
        <v>5291</v>
      </c>
      <c r="E4176" s="4">
        <v>6.108001047E9</v>
      </c>
      <c r="F4176" s="8" t="s">
        <v>5292</v>
      </c>
      <c r="G4176" s="4" t="s">
        <v>965</v>
      </c>
      <c r="H4176" s="10" t="s">
        <v>5203</v>
      </c>
      <c r="I4176" s="10">
        <v>1.0</v>
      </c>
      <c r="J4176" s="11" t="str">
        <f>IF(D4176&lt;&gt;"",VLOOKUP(H4176,TABLEITEM,5,FALSE),"")</f>
        <v>EA</v>
      </c>
      <c r="K4176" s="12">
        <v>35.0</v>
      </c>
      <c r="L4176" s="13" t="str">
        <f>IF(D4176&lt;&gt;"",VLOOKUP(H4176,TABLEITEM,2,FALSE),"")</f>
        <v/>
      </c>
      <c r="M4176" s="13" t="str">
        <f>IF(D4176&lt;&gt;"",VLOOKUP(H4176,TABLEITEM,3,FALSE),"")</f>
        <v>ดอกสว่าน MAXCO 8.0MM</v>
      </c>
      <c r="N4176" s="14">
        <f>INSTOCK!$I4176*INSTOCK!$K4176</f>
        <v>35</v>
      </c>
      <c r="O4176" s="4"/>
      <c r="P4176" s="4"/>
    </row>
    <row r="4177" ht="15.75" hidden="1" customHeight="1">
      <c r="B4177" s="8">
        <v>4496.0</v>
      </c>
      <c r="C4177" s="9">
        <v>43344.0</v>
      </c>
      <c r="D4177" s="6" t="s">
        <v>5293</v>
      </c>
      <c r="E4177" s="4">
        <v>6.108001064E9</v>
      </c>
      <c r="F4177" s="8" t="s">
        <v>5294</v>
      </c>
      <c r="G4177" s="4" t="s">
        <v>965</v>
      </c>
      <c r="H4177" s="10" t="s">
        <v>5295</v>
      </c>
      <c r="I4177" s="10">
        <v>1.0</v>
      </c>
      <c r="J4177" s="11" t="str">
        <f>IF(D4177&lt;&gt;"",VLOOKUP(H4177,TABLEITEM,5,FALSE),"")</f>
        <v>EA</v>
      </c>
      <c r="K4177" s="12">
        <v>20.0</v>
      </c>
      <c r="L4177" s="13" t="str">
        <f>IF(D4177&lt;&gt;"",VLOOKUP(H4177,TABLEITEM,2,FALSE),"")</f>
        <v/>
      </c>
      <c r="M4177" s="13" t="str">
        <f>IF(D4177&lt;&gt;"",VLOOKUP(H4177,TABLEITEM,3,FALSE),"")</f>
        <v>น้ำยาบักกรี</v>
      </c>
      <c r="N4177" s="14">
        <f>INSTOCK!$I4177*INSTOCK!$K4177</f>
        <v>20</v>
      </c>
      <c r="O4177" s="4"/>
      <c r="P4177" s="4"/>
    </row>
    <row r="4178" ht="15.75" hidden="1" customHeight="1">
      <c r="B4178" s="8">
        <v>4497.0</v>
      </c>
      <c r="C4178" s="9">
        <v>43344.0</v>
      </c>
      <c r="D4178" s="6" t="s">
        <v>5293</v>
      </c>
      <c r="E4178" s="4">
        <v>6.108001064E9</v>
      </c>
      <c r="F4178" s="8" t="s">
        <v>5294</v>
      </c>
      <c r="G4178" s="4" t="s">
        <v>965</v>
      </c>
      <c r="H4178" s="18" t="s">
        <v>2704</v>
      </c>
      <c r="I4178" s="10">
        <v>1.0</v>
      </c>
      <c r="J4178" s="11" t="str">
        <f>IF(D4178&lt;&gt;"",VLOOKUP(H4178,TABLEITEM,5,FALSE),"")</f>
        <v>EA</v>
      </c>
      <c r="K4178" s="12">
        <v>440.0</v>
      </c>
      <c r="L4178" s="13" t="str">
        <f>IF(D4178&lt;&gt;"",VLOOKUP(H4178,TABLEITEM,2,FALSE),"")</f>
        <v/>
      </c>
      <c r="M4178" s="13" t="str">
        <f>IF(D4178&lt;&gt;"",VLOOKUP(H4178,TABLEITEM,3,FALSE),"")</f>
        <v>ตะกั่วบัดกรี ขนาด 1ปอนด์</v>
      </c>
      <c r="N4178" s="14">
        <f>INSTOCK!$I4178*INSTOCK!$K4178</f>
        <v>440</v>
      </c>
      <c r="O4178" s="4"/>
      <c r="P4178" s="4"/>
    </row>
    <row r="4179" ht="15.75" hidden="1" customHeight="1">
      <c r="B4179" s="8">
        <v>4498.0</v>
      </c>
      <c r="C4179" s="9">
        <v>43344.0</v>
      </c>
      <c r="D4179" s="6" t="s">
        <v>5293</v>
      </c>
      <c r="E4179" s="4">
        <v>6.108001064E9</v>
      </c>
      <c r="F4179" s="8" t="s">
        <v>5294</v>
      </c>
      <c r="G4179" s="4" t="s">
        <v>965</v>
      </c>
      <c r="H4179" s="10" t="s">
        <v>5296</v>
      </c>
      <c r="I4179" s="10">
        <v>2.0</v>
      </c>
      <c r="J4179" s="11" t="str">
        <f>IF(D4179&lt;&gt;"",VLOOKUP(H4179,TABLEITEM,5,FALSE),"")</f>
        <v>EA</v>
      </c>
      <c r="K4179" s="12">
        <v>115.0</v>
      </c>
      <c r="L4179" s="13" t="str">
        <f>IF(D4179&lt;&gt;"",VLOOKUP(H4179,TABLEITEM,2,FALSE),"")</f>
        <v/>
      </c>
      <c r="M4179" s="13" t="str">
        <f>IF(D4179&lt;&gt;"",VLOOKUP(H4179,TABLEITEM,3,FALSE),"")</f>
        <v>ดอกสว่าน นาซิ 8.0 มิล</v>
      </c>
      <c r="N4179" s="14">
        <f>INSTOCK!$I4179*INSTOCK!$K4179</f>
        <v>230</v>
      </c>
      <c r="O4179" s="4"/>
      <c r="P4179" s="4"/>
    </row>
    <row r="4180" ht="15.75" hidden="1" customHeight="1">
      <c r="B4180" s="8">
        <v>4499.0</v>
      </c>
      <c r="C4180" s="9">
        <v>43344.0</v>
      </c>
      <c r="D4180" s="6" t="s">
        <v>5293</v>
      </c>
      <c r="E4180" s="4">
        <v>6.108001064E9</v>
      </c>
      <c r="F4180" s="8" t="s">
        <v>5294</v>
      </c>
      <c r="G4180" s="4" t="s">
        <v>965</v>
      </c>
      <c r="H4180" s="10" t="s">
        <v>5297</v>
      </c>
      <c r="I4180" s="10">
        <v>5.0</v>
      </c>
      <c r="J4180" s="11" t="str">
        <f>IF(D4180&lt;&gt;"",VLOOKUP(H4180,TABLEITEM,5,FALSE),"")</f>
        <v>EA</v>
      </c>
      <c r="K4180" s="12">
        <v>36.0</v>
      </c>
      <c r="L4180" s="13" t="str">
        <f>IF(D4180&lt;&gt;"",VLOOKUP(H4180,TABLEITEM,2,FALSE),"")</f>
        <v/>
      </c>
      <c r="M4180" s="13" t="str">
        <f>IF(D4180&lt;&gt;"",VLOOKUP(H4180,TABLEITEM,3,FALSE),"")</f>
        <v>บานพับ สเตนเลส 4"</v>
      </c>
      <c r="N4180" s="14">
        <f>INSTOCK!$I4180*INSTOCK!$K4180</f>
        <v>180</v>
      </c>
      <c r="O4180" s="4"/>
      <c r="P4180" s="4"/>
    </row>
    <row r="4181" ht="15.75" hidden="1" customHeight="1">
      <c r="B4181" s="8">
        <v>4500.0</v>
      </c>
      <c r="C4181" s="9">
        <v>43344.0</v>
      </c>
      <c r="D4181" s="6">
        <v>6.1090016E8</v>
      </c>
      <c r="E4181" s="4">
        <v>6.108001038E9</v>
      </c>
      <c r="F4181" s="8"/>
      <c r="G4181" s="4" t="s">
        <v>1130</v>
      </c>
      <c r="H4181" s="10" t="s">
        <v>5298</v>
      </c>
      <c r="I4181" s="10">
        <v>1.0</v>
      </c>
      <c r="J4181" s="11" t="str">
        <f>IF(D4181&lt;&gt;"",VLOOKUP(H4181,TABLEITEM,5,FALSE),"")</f>
        <v>EA</v>
      </c>
      <c r="K4181" s="12">
        <v>1518.0</v>
      </c>
      <c r="L4181" s="13" t="str">
        <f>IF(D4181&lt;&gt;"",VLOOKUP(H4181,TABLEITEM,2,FALSE),"")</f>
        <v/>
      </c>
      <c r="M4181" s="13" t="str">
        <f>IF(D4181&lt;&gt;"",VLOOKUP(H4181,TABLEITEM,3,FALSE),"")</f>
        <v>BREAKER NF125 CV 3P 125A</v>
      </c>
      <c r="N4181" s="14">
        <f>INSTOCK!$I4181*INSTOCK!$K4181</f>
        <v>1518</v>
      </c>
      <c r="O4181" s="4" t="s">
        <v>1605</v>
      </c>
      <c r="P4181" s="4"/>
    </row>
    <row r="4182" ht="15.75" hidden="1" customHeight="1">
      <c r="B4182" s="8">
        <v>4501.0</v>
      </c>
      <c r="C4182" s="9">
        <v>43344.0</v>
      </c>
      <c r="D4182" s="6">
        <v>6.1090016E8</v>
      </c>
      <c r="E4182" s="4">
        <v>6.108001038E9</v>
      </c>
      <c r="F4182" s="8"/>
      <c r="G4182" s="4" t="s">
        <v>1130</v>
      </c>
      <c r="H4182" s="10" t="s">
        <v>1608</v>
      </c>
      <c r="I4182" s="10">
        <v>3.0</v>
      </c>
      <c r="J4182" s="11" t="str">
        <f>IF(D4182&lt;&gt;"",VLOOKUP(H4182,TABLEITEM,5,FALSE),"")</f>
        <v>EA</v>
      </c>
      <c r="K4182" s="12">
        <v>490.2</v>
      </c>
      <c r="L4182" s="13" t="str">
        <f>IF(D4182&lt;&gt;"",VLOOKUP(H4182,TABLEITEM,2,FALSE),"")</f>
        <v/>
      </c>
      <c r="M4182" s="13" t="str">
        <f>IF(D4182&lt;&gt;"",VLOOKUP(H4182,TABLEITEM,3,FALSE),"")</f>
        <v>CIRCUIT CP30-BA 1P 2A</v>
      </c>
      <c r="N4182" s="14">
        <f>INSTOCK!$I4182*INSTOCK!$K4182</f>
        <v>1470.6</v>
      </c>
      <c r="O4182" s="4" t="s">
        <v>1609</v>
      </c>
      <c r="P4182" s="4"/>
    </row>
    <row r="4183" ht="15.75" hidden="1" customHeight="1">
      <c r="B4183" s="8">
        <v>4502.0</v>
      </c>
      <c r="C4183" s="9">
        <v>43345.0</v>
      </c>
      <c r="D4183" s="6">
        <v>6.109003331E9</v>
      </c>
      <c r="E4183" s="4">
        <v>6.108001056E9</v>
      </c>
      <c r="F4183" s="8"/>
      <c r="G4183" s="4" t="s">
        <v>1130</v>
      </c>
      <c r="H4183" s="10" t="s">
        <v>1832</v>
      </c>
      <c r="I4183" s="10">
        <v>18.0</v>
      </c>
      <c r="J4183" s="11" t="str">
        <f>IF(D4183&lt;&gt;"",VLOOKUP(H4183,TABLEITEM,5,FALSE),"")</f>
        <v>EA</v>
      </c>
      <c r="K4183" s="12">
        <v>50.0</v>
      </c>
      <c r="L4183" s="13" t="str">
        <f>IF(D4183&lt;&gt;"",VLOOKUP(H4183,TABLEITEM,2,FALSE),"")</f>
        <v/>
      </c>
      <c r="M4183" s="13" t="str">
        <f>IF(D4183&lt;&gt;"",VLOOKUP(H4183,TABLEITEM,3,FALSE),"")</f>
        <v>SOCKET PYF-14A-E</v>
      </c>
      <c r="N4183" s="14">
        <f>INSTOCK!$I4183*INSTOCK!$K4183</f>
        <v>900</v>
      </c>
      <c r="O4183" s="4"/>
      <c r="P4183" s="4"/>
    </row>
    <row r="4184" ht="15.75" hidden="1" customHeight="1">
      <c r="B4184" s="8">
        <v>4503.0</v>
      </c>
      <c r="C4184" s="9">
        <v>43346.0</v>
      </c>
      <c r="D4184" s="6">
        <v>6.109003331E9</v>
      </c>
      <c r="E4184" s="4">
        <v>6.108001056E9</v>
      </c>
      <c r="F4184" s="8"/>
      <c r="G4184" s="4" t="s">
        <v>1130</v>
      </c>
      <c r="H4184" s="10" t="s">
        <v>1728</v>
      </c>
      <c r="I4184" s="10">
        <v>10.0</v>
      </c>
      <c r="J4184" s="11" t="str">
        <f>IF(D4184&lt;&gt;"",VLOOKUP(H4184,TABLEITEM,5,FALSE),"")</f>
        <v>EA</v>
      </c>
      <c r="K4184" s="12">
        <v>135.0</v>
      </c>
      <c r="L4184" s="13" t="str">
        <f>IF(D4184&lt;&gt;"",VLOOKUP(H4184,TABLEITEM,2,FALSE),"")</f>
        <v/>
      </c>
      <c r="M4184" s="13" t="str">
        <f>IF(D4184&lt;&gt;"",VLOOKUP(H4184,TABLEITEM,3,FALSE),"")</f>
        <v>Relay MY4N-GS 220/240VAC </v>
      </c>
      <c r="N4184" s="14">
        <f>INSTOCK!$I4184*INSTOCK!$K4184</f>
        <v>1350</v>
      </c>
      <c r="O4184" s="4"/>
      <c r="P4184" s="4"/>
    </row>
    <row r="4185" ht="15.75" hidden="1" customHeight="1">
      <c r="B4185" s="8">
        <v>4504.0</v>
      </c>
      <c r="C4185" s="9">
        <v>43347.0</v>
      </c>
      <c r="D4185" s="6">
        <v>6.109003331E9</v>
      </c>
      <c r="E4185" s="4">
        <v>6.108001056E9</v>
      </c>
      <c r="F4185" s="8"/>
      <c r="G4185" s="4" t="s">
        <v>1130</v>
      </c>
      <c r="H4185" s="10" t="s">
        <v>5143</v>
      </c>
      <c r="I4185" s="10">
        <v>8.0</v>
      </c>
      <c r="J4185" s="11" t="str">
        <f>IF(D4185&lt;&gt;"",VLOOKUP(H4185,TABLEITEM,5,FALSE),"")</f>
        <v>EA</v>
      </c>
      <c r="K4185" s="12">
        <v>135.0</v>
      </c>
      <c r="L4185" s="13" t="str">
        <f>IF(D4185&lt;&gt;"",VLOOKUP(H4185,TABLEITEM,2,FALSE),"")</f>
        <v/>
      </c>
      <c r="M4185" s="13" t="str">
        <f>IF(D4185&lt;&gt;"",VLOOKUP(H4185,TABLEITEM,3,FALSE),"")</f>
        <v>Relay MY4N-GS 24VAC </v>
      </c>
      <c r="N4185" s="14">
        <f>INSTOCK!$I4185*INSTOCK!$K4185</f>
        <v>1080</v>
      </c>
      <c r="O4185" s="4"/>
      <c r="P4185" s="4"/>
    </row>
    <row r="4186" ht="15.75" hidden="1" customHeight="1">
      <c r="B4186" s="8">
        <v>4505.0</v>
      </c>
      <c r="C4186" s="9">
        <v>43348.0</v>
      </c>
      <c r="D4186" s="6">
        <v>6.109003331E9</v>
      </c>
      <c r="E4186" s="4">
        <v>6.108001056E9</v>
      </c>
      <c r="F4186" s="8"/>
      <c r="G4186" s="4" t="s">
        <v>1130</v>
      </c>
      <c r="H4186" s="10" t="s">
        <v>1833</v>
      </c>
      <c r="I4186" s="10">
        <v>1.0</v>
      </c>
      <c r="J4186" s="11" t="str">
        <f>IF(D4186&lt;&gt;"",VLOOKUP(H4186,TABLEITEM,5,FALSE),"")</f>
        <v>EA</v>
      </c>
      <c r="K4186" s="12">
        <v>620.0</v>
      </c>
      <c r="L4186" s="13" t="str">
        <f>IF(D4186&lt;&gt;"",VLOOKUP(H4186,TABLEITEM,2,FALSE),"")</f>
        <v/>
      </c>
      <c r="M4186" s="13" t="str">
        <f>IF(D4186&lt;&gt;"",VLOOKUP(H4186,TABLEITEM,3,FALSE),"")</f>
        <v>Timer H3CR-A8 100-240VAC</v>
      </c>
      <c r="N4186" s="14">
        <f>INSTOCK!$I4186*INSTOCK!$K4186</f>
        <v>620</v>
      </c>
      <c r="O4186" s="4"/>
      <c r="P4186" s="4"/>
    </row>
    <row r="4187" ht="15.75" hidden="1" customHeight="1">
      <c r="B4187" s="8">
        <v>4506.0</v>
      </c>
      <c r="C4187" s="9">
        <v>43349.0</v>
      </c>
      <c r="D4187" s="6">
        <v>6.109003331E9</v>
      </c>
      <c r="E4187" s="4">
        <v>6.108001056E9</v>
      </c>
      <c r="F4187" s="8"/>
      <c r="G4187" s="4" t="s">
        <v>1130</v>
      </c>
      <c r="H4187" s="10" t="s">
        <v>5137</v>
      </c>
      <c r="I4187" s="10">
        <v>1.0</v>
      </c>
      <c r="J4187" s="11" t="str">
        <f>IF(D4187&lt;&gt;"",VLOOKUP(H4187,TABLEITEM,5,FALSE),"")</f>
        <v>EA</v>
      </c>
      <c r="K4187" s="12">
        <v>695.0</v>
      </c>
      <c r="L4187" s="13" t="str">
        <f>IF(D4187&lt;&gt;"",VLOOKUP(H4187,TABLEITEM,2,FALSE),"")</f>
        <v/>
      </c>
      <c r="M4187" s="13" t="str">
        <f>IF(D4187&lt;&gt;"",VLOOKUP(H4187,TABLEITEM,3,FALSE),"")</f>
        <v>HOUR METER TH-2385</v>
      </c>
      <c r="N4187" s="14">
        <f>INSTOCK!$I4187*INSTOCK!$K4187</f>
        <v>695</v>
      </c>
      <c r="O4187" s="4"/>
      <c r="P4187" s="4"/>
    </row>
    <row r="4188" ht="15.75" hidden="1" customHeight="1">
      <c r="B4188" s="8">
        <v>4507.0</v>
      </c>
      <c r="C4188" s="9">
        <v>43344.0</v>
      </c>
      <c r="D4188" s="6" t="s">
        <v>5299</v>
      </c>
      <c r="E4188" s="4">
        <v>6.106000794E9</v>
      </c>
      <c r="F4188" s="8"/>
      <c r="G4188" s="4" t="s">
        <v>1777</v>
      </c>
      <c r="H4188" s="10" t="s">
        <v>3997</v>
      </c>
      <c r="I4188" s="10">
        <v>10000.0</v>
      </c>
      <c r="J4188" s="11" t="str">
        <f>IF(D4188&lt;&gt;"",VLOOKUP(H4188,TABLEITEM,5,FALSE),"")</f>
        <v>EA</v>
      </c>
      <c r="K4188" s="12">
        <v>0.99</v>
      </c>
      <c r="L4188" s="13" t="str">
        <f>IF(D4188&lt;&gt;"",VLOOKUP(H4188,TABLEITEM,2,FALSE),"")</f>
        <v/>
      </c>
      <c r="M4188" s="13" t="str">
        <f>IF(D4188&lt;&gt;"",VLOOKUP(H4188,TABLEITEM,3,FALSE),"")</f>
        <v>สกรูหัวติดแหวน M 6x10</v>
      </c>
      <c r="N4188" s="14">
        <f>INSTOCK!$I4188*INSTOCK!$K4188</f>
        <v>9900</v>
      </c>
      <c r="O4188" s="4" t="s">
        <v>1857</v>
      </c>
      <c r="P4188" s="4"/>
    </row>
    <row r="4189" ht="15.75" hidden="1" customHeight="1">
      <c r="B4189" s="8">
        <v>4508.0</v>
      </c>
      <c r="C4189" s="9">
        <v>43344.0</v>
      </c>
      <c r="D4189" s="6" t="s">
        <v>5300</v>
      </c>
      <c r="E4189" s="4">
        <v>6.108001043E9</v>
      </c>
      <c r="F4189" s="8" t="s">
        <v>604</v>
      </c>
      <c r="G4189" s="4" t="s">
        <v>1777</v>
      </c>
      <c r="H4189" s="10" t="s">
        <v>4607</v>
      </c>
      <c r="I4189" s="10">
        <v>20000.0</v>
      </c>
      <c r="J4189" s="11" t="str">
        <f>IF(D4189&lt;&gt;"",VLOOKUP(H4189,TABLEITEM,5,FALSE),"")</f>
        <v>EA</v>
      </c>
      <c r="K4189" s="12">
        <v>1.05</v>
      </c>
      <c r="L4189" s="13" t="str">
        <f>IF(D4189&lt;&gt;"",VLOOKUP(H4189,TABLEITEM,2,FALSE),"")</f>
        <v/>
      </c>
      <c r="M4189" s="13" t="str">
        <f>IF(D4189&lt;&gt;"",VLOOKUP(H4189,TABLEITEM,3,FALSE),"")</f>
        <v>สกรูหัวติดแหวน M 6x15</v>
      </c>
      <c r="N4189" s="14">
        <f>INSTOCK!$I4189*INSTOCK!$K4189</f>
        <v>21000</v>
      </c>
      <c r="O4189" s="4" t="s">
        <v>3119</v>
      </c>
      <c r="P4189" s="4"/>
    </row>
    <row r="4190" ht="15.75" hidden="1" customHeight="1">
      <c r="B4190" s="8">
        <v>4509.0</v>
      </c>
      <c r="C4190" s="9">
        <v>43344.0</v>
      </c>
      <c r="D4190" s="6" t="s">
        <v>5300</v>
      </c>
      <c r="E4190" s="4">
        <v>6.108001043E9</v>
      </c>
      <c r="F4190" s="8" t="s">
        <v>604</v>
      </c>
      <c r="G4190" s="4" t="s">
        <v>1777</v>
      </c>
      <c r="H4190" s="10" t="s">
        <v>2104</v>
      </c>
      <c r="I4190" s="10">
        <v>6000.0</v>
      </c>
      <c r="J4190" s="11" t="str">
        <f>IF(D4190&lt;&gt;"",VLOOKUP(H4190,TABLEITEM,5,FALSE),"")</f>
        <v>EA</v>
      </c>
      <c r="K4190" s="12">
        <v>0.2475</v>
      </c>
      <c r="L4190" s="13" t="str">
        <f>IF(D4190&lt;&gt;"",VLOOKUP(H4190,TABLEITEM,2,FALSE),"")</f>
        <v/>
      </c>
      <c r="M4190" s="13" t="str">
        <f>IF(D4190&lt;&gt;"",VLOOKUP(H4190,TABLEITEM,3,FALSE),"")</f>
        <v>ติดจาน M6</v>
      </c>
      <c r="N4190" s="14">
        <f>INSTOCK!$I4190*INSTOCK!$K4190</f>
        <v>1485</v>
      </c>
      <c r="O4190" s="4" t="s">
        <v>3645</v>
      </c>
      <c r="P4190" s="4"/>
    </row>
    <row r="4191" ht="15.75" hidden="1" customHeight="1">
      <c r="B4191" s="8">
        <v>4510.0</v>
      </c>
      <c r="C4191" s="9">
        <v>43344.0</v>
      </c>
      <c r="D4191" s="6" t="s">
        <v>5300</v>
      </c>
      <c r="E4191" s="4">
        <v>6.108001043E9</v>
      </c>
      <c r="F4191" s="8" t="s">
        <v>604</v>
      </c>
      <c r="G4191" s="4" t="s">
        <v>1777</v>
      </c>
      <c r="H4191" s="10" t="s">
        <v>2086</v>
      </c>
      <c r="I4191" s="10">
        <v>6000.0</v>
      </c>
      <c r="J4191" s="11" t="str">
        <f>IF(D4191&lt;&gt;"",VLOOKUP(H4191,TABLEITEM,5,FALSE),"")</f>
        <v>EA</v>
      </c>
      <c r="K4191" s="12">
        <v>0.495</v>
      </c>
      <c r="L4191" s="13" t="str">
        <f>IF(D4191&lt;&gt;"",VLOOKUP(H4191,TABLEITEM,2,FALSE),"")</f>
        <v/>
      </c>
      <c r="M4191" s="13" t="str">
        <f>IF(D4191&lt;&gt;"",VLOOKUP(H4191,TABLEITEM,3,FALSE),"")</f>
        <v>ติดจาน M8</v>
      </c>
      <c r="N4191" s="14">
        <f>INSTOCK!$I4191*INSTOCK!$K4191</f>
        <v>2970</v>
      </c>
      <c r="O4191" s="4" t="s">
        <v>1999</v>
      </c>
      <c r="P4191" s="4"/>
    </row>
    <row r="4192" ht="15.75" hidden="1" customHeight="1">
      <c r="B4192" s="8">
        <v>4511.0</v>
      </c>
      <c r="C4192" s="9">
        <v>43344.0</v>
      </c>
      <c r="D4192" s="6" t="s">
        <v>5300</v>
      </c>
      <c r="E4192" s="4">
        <v>6.108001043E9</v>
      </c>
      <c r="F4192" s="8" t="s">
        <v>604</v>
      </c>
      <c r="G4192" s="4" t="s">
        <v>1777</v>
      </c>
      <c r="H4192" s="10" t="s">
        <v>3842</v>
      </c>
      <c r="I4192" s="10">
        <v>4000.0</v>
      </c>
      <c r="J4192" s="11" t="str">
        <f>IF(D4192&lt;&gt;"",VLOOKUP(H4192,TABLEITEM,5,FALSE),"")</f>
        <v>EA</v>
      </c>
      <c r="K4192" s="12">
        <v>0.275</v>
      </c>
      <c r="L4192" s="13" t="str">
        <f>IF(D4192&lt;&gt;"",VLOOKUP(H4192,TABLEITEM,2,FALSE),"")</f>
        <v/>
      </c>
      <c r="M4192" s="13" t="str">
        <f>IF(D4192&lt;&gt;"",VLOOKUP(H4192,TABLEITEM,3,FALSE),"")</f>
        <v>แหวนอีแปะ M10  ชุบขาว</v>
      </c>
      <c r="N4192" s="14">
        <f>INSTOCK!$I4192*INSTOCK!$K4192</f>
        <v>1100</v>
      </c>
      <c r="O4192" s="4" t="s">
        <v>3843</v>
      </c>
      <c r="P4192" s="4"/>
    </row>
    <row r="4193" ht="15.75" hidden="1" customHeight="1">
      <c r="B4193" s="8">
        <v>4512.0</v>
      </c>
      <c r="C4193" s="9">
        <v>43344.0</v>
      </c>
      <c r="D4193" s="6" t="s">
        <v>5300</v>
      </c>
      <c r="E4193" s="4">
        <v>6.108001043E9</v>
      </c>
      <c r="F4193" s="8" t="s">
        <v>604</v>
      </c>
      <c r="G4193" s="4" t="s">
        <v>1777</v>
      </c>
      <c r="H4193" s="10" t="s">
        <v>3839</v>
      </c>
      <c r="I4193" s="10">
        <v>2000.0</v>
      </c>
      <c r="J4193" s="11" t="str">
        <f>IF(D4193&lt;&gt;"",VLOOKUP(H4193,TABLEITEM,5,FALSE),"")</f>
        <v>EA</v>
      </c>
      <c r="K4193" s="12">
        <v>0.1</v>
      </c>
      <c r="L4193" s="13" t="str">
        <f>IF(D4193&lt;&gt;"",VLOOKUP(H4193,TABLEITEM,2,FALSE),"")</f>
        <v/>
      </c>
      <c r="M4193" s="13" t="str">
        <f>IF(D4193&lt;&gt;"",VLOOKUP(H4193,TABLEITEM,3,FALSE),"")</f>
        <v>สกรูหัวกลมชุบขาว M4x10</v>
      </c>
      <c r="N4193" s="14">
        <f>INSTOCK!$I4193*INSTOCK!$K4193</f>
        <v>200</v>
      </c>
      <c r="O4193" s="4"/>
      <c r="P4193" s="4"/>
    </row>
    <row r="4194" ht="15.75" hidden="1" customHeight="1">
      <c r="B4194" s="8">
        <v>4513.0</v>
      </c>
      <c r="C4194" s="9">
        <v>43344.0</v>
      </c>
      <c r="D4194" s="6" t="s">
        <v>5300</v>
      </c>
      <c r="E4194" s="4">
        <v>6.108001043E9</v>
      </c>
      <c r="F4194" s="8" t="s">
        <v>604</v>
      </c>
      <c r="G4194" s="4" t="s">
        <v>1777</v>
      </c>
      <c r="H4194" s="10" t="s">
        <v>1942</v>
      </c>
      <c r="I4194" s="10">
        <v>2000.0</v>
      </c>
      <c r="J4194" s="11" t="str">
        <f>IF(D4194&lt;&gt;"",VLOOKUP(H4194,TABLEITEM,5,FALSE),"")</f>
        <v>EA</v>
      </c>
      <c r="K4194" s="12">
        <v>0.75</v>
      </c>
      <c r="L4194" s="13" t="str">
        <f>IF(D4194&lt;&gt;"",VLOOKUP(H4194,TABLEITEM,2,FALSE),"")</f>
        <v/>
      </c>
      <c r="M4194" s="13" t="str">
        <f>IF(D4194&lt;&gt;"",VLOOKUP(H4194,TABLEITEM,3,FALSE),"")</f>
        <v>หัวน๊อต SUS M10</v>
      </c>
      <c r="N4194" s="14">
        <f>INSTOCK!$I4194*INSTOCK!$K4194</f>
        <v>1500</v>
      </c>
      <c r="O4194" s="4" t="s">
        <v>2095</v>
      </c>
      <c r="P4194" s="4"/>
    </row>
    <row r="4195" ht="15.75" hidden="1" customHeight="1">
      <c r="B4195" s="8">
        <v>4514.0</v>
      </c>
      <c r="C4195" s="9">
        <v>43344.0</v>
      </c>
      <c r="D4195" s="6" t="s">
        <v>5301</v>
      </c>
      <c r="E4195" s="4">
        <v>6.108001001E9</v>
      </c>
      <c r="F4195" s="8" t="s">
        <v>604</v>
      </c>
      <c r="G4195" s="4" t="s">
        <v>1777</v>
      </c>
      <c r="H4195" s="10" t="s">
        <v>1778</v>
      </c>
      <c r="I4195" s="10">
        <v>1000.0</v>
      </c>
      <c r="J4195" s="11" t="str">
        <f>IF(D4195&lt;&gt;"",VLOOKUP(H4195,TABLEITEM,5,FALSE),"")</f>
        <v>EA</v>
      </c>
      <c r="K4195" s="12">
        <v>1.85</v>
      </c>
      <c r="L4195" s="13" t="str">
        <f>IF(D4195&lt;&gt;"",VLOOKUP(H4195,TABLEITEM,2,FALSE),"")</f>
        <v/>
      </c>
      <c r="M4195" s="13" t="str">
        <f>IF(D4195&lt;&gt;"",VLOOKUP(H4195,TABLEITEM,3,FALSE),"")</f>
        <v>สกรูหัวจมชุบขาว M4x35</v>
      </c>
      <c r="N4195" s="14">
        <f>INSTOCK!$I4195*INSTOCK!$K4195</f>
        <v>1850</v>
      </c>
      <c r="O4195" s="4"/>
      <c r="P4195" s="4"/>
    </row>
    <row r="4196" ht="15.75" hidden="1" customHeight="1">
      <c r="B4196" s="8">
        <v>4515.0</v>
      </c>
      <c r="C4196" s="9">
        <v>43344.0</v>
      </c>
      <c r="D4196" s="6" t="s">
        <v>5301</v>
      </c>
      <c r="E4196" s="4">
        <v>6.108001001E9</v>
      </c>
      <c r="F4196" s="8" t="s">
        <v>604</v>
      </c>
      <c r="G4196" s="4" t="s">
        <v>1777</v>
      </c>
      <c r="H4196" s="10" t="s">
        <v>4531</v>
      </c>
      <c r="I4196" s="10">
        <v>2000.0</v>
      </c>
      <c r="J4196" s="11" t="str">
        <f>IF(D4196&lt;&gt;"",VLOOKUP(H4196,TABLEITEM,5,FALSE),"")</f>
        <v>EA</v>
      </c>
      <c r="K4196" s="12">
        <v>0.54</v>
      </c>
      <c r="L4196" s="13" t="str">
        <f>IF(D4196&lt;&gt;"",VLOOKUP(H4196,TABLEITEM,2,FALSE),"")</f>
        <v/>
      </c>
      <c r="M4196" s="13" t="str">
        <f>IF(D4196&lt;&gt;"",VLOOKUP(H4196,TABLEITEM,3,FALSE),"")</f>
        <v>สกรูเตเปอร์ M6x35</v>
      </c>
      <c r="N4196" s="14">
        <f>INSTOCK!$I4196*INSTOCK!$K4196</f>
        <v>1080</v>
      </c>
      <c r="O4196" s="4"/>
      <c r="P4196" s="4"/>
    </row>
    <row r="4197" ht="15.75" hidden="1" customHeight="1">
      <c r="B4197" s="8">
        <v>4516.0</v>
      </c>
      <c r="C4197" s="9">
        <v>43344.0</v>
      </c>
      <c r="D4197" s="6" t="s">
        <v>5301</v>
      </c>
      <c r="E4197" s="4">
        <v>6.108001001E9</v>
      </c>
      <c r="F4197" s="8" t="s">
        <v>604</v>
      </c>
      <c r="G4197" s="4" t="s">
        <v>1777</v>
      </c>
      <c r="H4197" s="10" t="s">
        <v>1884</v>
      </c>
      <c r="I4197" s="10">
        <v>3000.0</v>
      </c>
      <c r="J4197" s="11" t="str">
        <f>IF(D4197&lt;&gt;"",VLOOKUP(H4197,TABLEITEM,5,FALSE),"")</f>
        <v>EA</v>
      </c>
      <c r="K4197" s="12">
        <v>1.8</v>
      </c>
      <c r="L4197" s="13" t="str">
        <f>IF(D4197&lt;&gt;"",VLOOKUP(H4197,TABLEITEM,2,FALSE),"")</f>
        <v/>
      </c>
      <c r="M4197" s="13" t="str">
        <f>IF(D4197&lt;&gt;"",VLOOKUP(H4197,TABLEITEM,3,FALSE),"")</f>
        <v>สกรูหัวติดแหวน M 6x35 ชุบขาว</v>
      </c>
      <c r="N4197" s="14">
        <f>INSTOCK!$I4197*INSTOCK!$K4197</f>
        <v>5400</v>
      </c>
      <c r="O4197" s="4" t="s">
        <v>5302</v>
      </c>
      <c r="P4197" s="4"/>
    </row>
    <row r="4198" ht="15.75" hidden="1" customHeight="1">
      <c r="B4198" s="8">
        <v>4517.0</v>
      </c>
      <c r="C4198" s="9">
        <v>43344.0</v>
      </c>
      <c r="D4198" s="6" t="s">
        <v>5301</v>
      </c>
      <c r="E4198" s="4">
        <v>6.108001001E9</v>
      </c>
      <c r="F4198" s="8" t="s">
        <v>604</v>
      </c>
      <c r="G4198" s="4" t="s">
        <v>1777</v>
      </c>
      <c r="H4198" s="10" t="s">
        <v>3698</v>
      </c>
      <c r="I4198" s="10">
        <v>2000.0</v>
      </c>
      <c r="J4198" s="11" t="str">
        <f>IF(D4198&lt;&gt;"",VLOOKUP(H4198,TABLEITEM,5,FALSE),"")</f>
        <v>EA</v>
      </c>
      <c r="K4198" s="12">
        <v>1.105</v>
      </c>
      <c r="L4198" s="13" t="str">
        <f>IF(D4198&lt;&gt;"",VLOOKUP(H4198,TABLEITEM,2,FALSE),"")</f>
        <v/>
      </c>
      <c r="M4198" s="13" t="str">
        <f>IF(D4198&lt;&gt;"",VLOOKUP(H4198,TABLEITEM,3,FALSE),"")</f>
        <v>สกรูหัวเหลี่ยม M8x20  HDG</v>
      </c>
      <c r="N4198" s="14">
        <f>INSTOCK!$I4198*INSTOCK!$K4198</f>
        <v>2210</v>
      </c>
      <c r="O4198" s="4" t="s">
        <v>3699</v>
      </c>
      <c r="P4198" s="4"/>
    </row>
    <row r="4199" ht="15.75" hidden="1" customHeight="1">
      <c r="B4199" s="8">
        <v>4518.0</v>
      </c>
      <c r="C4199" s="9">
        <v>43344.0</v>
      </c>
      <c r="D4199" s="6">
        <v>82444.0</v>
      </c>
      <c r="E4199" s="4">
        <v>6.108001039E9</v>
      </c>
      <c r="F4199" s="8" t="s">
        <v>604</v>
      </c>
      <c r="G4199" s="4" t="s">
        <v>1546</v>
      </c>
      <c r="H4199" s="10" t="s">
        <v>1547</v>
      </c>
      <c r="I4199" s="10">
        <v>10.0</v>
      </c>
      <c r="J4199" s="11" t="str">
        <f>IF(D4199&lt;&gt;"",VLOOKUP(H4199,TABLEITEM,5,FALSE),"")</f>
        <v>EA</v>
      </c>
      <c r="K4199" s="12">
        <v>490.0</v>
      </c>
      <c r="L4199" s="13" t="str">
        <f>IF(D4199&lt;&gt;"",VLOOKUP(H4199,TABLEITEM,2,FALSE),"")</f>
        <v/>
      </c>
      <c r="M4199" s="13" t="str">
        <f>IF(D4199&lt;&gt;"",VLOOKUP(H4199,TABLEITEM,3,FALSE),"")</f>
        <v>ล้อขัดใยสังเคราะห์ 100x100x35mmAC/R8</v>
      </c>
      <c r="N4199" s="14">
        <f>INSTOCK!$I4199*INSTOCK!$K4199</f>
        <v>4900</v>
      </c>
      <c r="O4199" s="4"/>
      <c r="P4199" s="4"/>
    </row>
    <row r="4200" ht="15.75" hidden="1" customHeight="1">
      <c r="B4200" s="8">
        <v>4519.0</v>
      </c>
      <c r="C4200" s="9">
        <v>43344.0</v>
      </c>
      <c r="D4200" s="6" t="s">
        <v>5303</v>
      </c>
      <c r="E4200" s="4">
        <v>6.108001063E9</v>
      </c>
      <c r="F4200" s="8" t="s">
        <v>604</v>
      </c>
      <c r="G4200" s="4" t="s">
        <v>1904</v>
      </c>
      <c r="H4200" s="10" t="s">
        <v>2717</v>
      </c>
      <c r="I4200" s="10">
        <v>10.0</v>
      </c>
      <c r="J4200" s="11" t="str">
        <f>IF(D4200&lt;&gt;"",VLOOKUP(H4200,TABLEITEM,5,FALSE),"")</f>
        <v>M</v>
      </c>
      <c r="K4200" s="12">
        <v>247.5</v>
      </c>
      <c r="L4200" s="13" t="str">
        <f>IF(D4200&lt;&gt;"",VLOOKUP(H4200,TABLEITEM,2,FALSE),"")</f>
        <v/>
      </c>
      <c r="M4200" s="13" t="str">
        <f>IF(D4200&lt;&gt;"",VLOOKUP(H4200,TABLEITEM,3,FALSE),"")</f>
        <v>RIBBON LM-IR300B 1/50M</v>
      </c>
      <c r="N4200" s="14">
        <f>INSTOCK!$I4200*INSTOCK!$K4200</f>
        <v>2475</v>
      </c>
      <c r="O4200" s="4" t="s">
        <v>2718</v>
      </c>
      <c r="P4200" s="4"/>
    </row>
    <row r="4201" ht="15.75" hidden="1" customHeight="1">
      <c r="B4201" s="8">
        <v>4520.0</v>
      </c>
      <c r="C4201" s="9">
        <v>43344.0</v>
      </c>
      <c r="D4201" s="6" t="s">
        <v>5304</v>
      </c>
      <c r="E4201" s="4">
        <v>6.108001026E9</v>
      </c>
      <c r="F4201" s="8" t="s">
        <v>5305</v>
      </c>
      <c r="G4201" s="4" t="s">
        <v>1904</v>
      </c>
      <c r="H4201" s="10" t="s">
        <v>5126</v>
      </c>
      <c r="I4201" s="10">
        <v>1.0</v>
      </c>
      <c r="J4201" s="11" t="str">
        <f>IF(D4201&lt;&gt;"",VLOOKUP(H4201,TABLEITEM,5,FALSE),"")</f>
        <v>EA</v>
      </c>
      <c r="K4201" s="12">
        <v>19000.0</v>
      </c>
      <c r="L4201" s="13" t="str">
        <f>IF(D4201&lt;&gt;"",VLOOKUP(H4201,TABLEITEM,2,FALSE),"")</f>
        <v/>
      </c>
      <c r="M4201" s="13" t="str">
        <f>IF(D4201&lt;&gt;"",VLOOKUP(H4201,TABLEITEM,3,FALSE),"")</f>
        <v>Monitoring Com K8AK-PM2</v>
      </c>
      <c r="N4201" s="14">
        <f>INSTOCK!$I4201*INSTOCK!$K4201</f>
        <v>19000</v>
      </c>
      <c r="O4201" s="4"/>
      <c r="P4201" s="4"/>
    </row>
    <row r="4202" ht="15.75" hidden="1" customHeight="1">
      <c r="B4202" s="8">
        <v>4521.0</v>
      </c>
      <c r="C4202" s="9">
        <v>43344.0</v>
      </c>
      <c r="D4202" s="6" t="s">
        <v>5306</v>
      </c>
      <c r="E4202" s="4">
        <v>6.108001017E9</v>
      </c>
      <c r="F4202" s="8" t="s">
        <v>5307</v>
      </c>
      <c r="G4202" s="4" t="s">
        <v>1904</v>
      </c>
      <c r="H4202" s="10" t="s">
        <v>5308</v>
      </c>
      <c r="I4202" s="10">
        <v>2.0</v>
      </c>
      <c r="J4202" s="11" t="str">
        <f>IF(D4202&lt;&gt;"",VLOOKUP(H4202,TABLEITEM,5,FALSE),"")</f>
        <v>EA</v>
      </c>
      <c r="K4202" s="12">
        <v>1665.0</v>
      </c>
      <c r="L4202" s="13" t="str">
        <f>IF(D4202&lt;&gt;"",VLOOKUP(H4202,TABLEITEM,2,FALSE),"")</f>
        <v/>
      </c>
      <c r="M4202" s="13" t="str">
        <f>IF(D4202&lt;&gt;"",VLOOKUP(H4202,TABLEITEM,3,FALSE),"")</f>
        <v>Timer MIL72E D120 (tactic371.2 plus)</v>
      </c>
      <c r="N4202" s="14">
        <f>INSTOCK!$I4202*INSTOCK!$K4202</f>
        <v>3330</v>
      </c>
      <c r="O4202" s="4" t="s">
        <v>2195</v>
      </c>
      <c r="P4202" s="4"/>
    </row>
    <row r="4203" ht="15.75" hidden="1" customHeight="1">
      <c r="B4203" s="8">
        <v>4522.0</v>
      </c>
      <c r="C4203" s="9">
        <v>43344.0</v>
      </c>
      <c r="D4203" s="6" t="s">
        <v>5309</v>
      </c>
      <c r="E4203" s="4">
        <v>6.10800105E9</v>
      </c>
      <c r="F4203" s="8" t="s">
        <v>604</v>
      </c>
      <c r="G4203" s="4" t="s">
        <v>765</v>
      </c>
      <c r="H4203" s="10" t="s">
        <v>85</v>
      </c>
      <c r="I4203" s="10">
        <v>200.0</v>
      </c>
      <c r="J4203" s="11" t="str">
        <f>IF(D4203&lt;&gt;"",VLOOKUP(H4203,TABLEITEM,5,FALSE),"")</f>
        <v>KG.</v>
      </c>
      <c r="K4203" s="12">
        <v>112.0</v>
      </c>
      <c r="L4203" s="13" t="str">
        <f>IF(D4203&lt;&gt;"",VLOOKUP(H4203,TABLEITEM,2,FALSE),"")</f>
        <v/>
      </c>
      <c r="M4203" s="13" t="str">
        <f>IF(D4203&lt;&gt;"",VLOOKUP(H4203,TABLEITEM,3,FALSE),"")</f>
        <v>สีฝุ่น GH433241 สีเทาย่น</v>
      </c>
      <c r="N4203" s="14">
        <f>INSTOCK!$I4203*INSTOCK!$K4203</f>
        <v>22400</v>
      </c>
      <c r="O4203" s="4"/>
      <c r="P4203" s="4"/>
    </row>
    <row r="4204" ht="15.75" hidden="1" customHeight="1">
      <c r="B4204" s="8">
        <v>4523.0</v>
      </c>
      <c r="C4204" s="9">
        <v>43344.0</v>
      </c>
      <c r="D4204" s="6" t="s">
        <v>5310</v>
      </c>
      <c r="E4204" s="4">
        <v>6.108001055E9</v>
      </c>
      <c r="F4204" s="8" t="s">
        <v>5311</v>
      </c>
      <c r="G4204" s="4" t="s">
        <v>1904</v>
      </c>
      <c r="H4204" s="10" t="s">
        <v>5312</v>
      </c>
      <c r="I4204" s="10">
        <v>5.0</v>
      </c>
      <c r="J4204" s="11" t="str">
        <f>IF(D4204&lt;&gt;"",VLOOKUP(H4204,TABLEITEM,5,FALSE),"")</f>
        <v>EA</v>
      </c>
      <c r="K4204" s="12">
        <v>381.5</v>
      </c>
      <c r="L4204" s="13" t="str">
        <f>IF(D4204&lt;&gt;"",VLOOKUP(H4204,TABLEITEM,2,FALSE),"")</f>
        <v/>
      </c>
      <c r="M4204" s="13" t="str">
        <f>IF(D4204&lt;&gt;"",VLOOKUP(H4204,TABLEITEM,3,FALSE),"")</f>
        <v>PILOT LIGHT APW126D-W 22mm</v>
      </c>
      <c r="N4204" s="14">
        <f>INSTOCK!$I4204*INSTOCK!$K4204</f>
        <v>1907.5</v>
      </c>
      <c r="O4204" s="4" t="s">
        <v>4297</v>
      </c>
      <c r="P4204" s="4"/>
    </row>
    <row r="4205" ht="15.75" hidden="1" customHeight="1">
      <c r="B4205" s="8">
        <v>4524.0</v>
      </c>
      <c r="C4205" s="9">
        <v>43344.0</v>
      </c>
      <c r="D4205" s="6" t="s">
        <v>5310</v>
      </c>
      <c r="E4205" s="4">
        <v>6.108001055E9</v>
      </c>
      <c r="F4205" s="8" t="s">
        <v>5311</v>
      </c>
      <c r="G4205" s="4" t="s">
        <v>1904</v>
      </c>
      <c r="H4205" s="10" t="s">
        <v>5313</v>
      </c>
      <c r="I4205" s="10">
        <v>2.0</v>
      </c>
      <c r="J4205" s="11" t="str">
        <f>IF(D4205&lt;&gt;"",VLOOKUP(H4205,TABLEITEM,5,FALSE),"")</f>
        <v>EA</v>
      </c>
      <c r="K4205" s="12">
        <v>381.5</v>
      </c>
      <c r="L4205" s="13" t="str">
        <f>IF(D4205&lt;&gt;"",VLOOKUP(H4205,TABLEITEM,2,FALSE),"")</f>
        <v/>
      </c>
      <c r="M4205" s="13" t="str">
        <f>IF(D4205&lt;&gt;"",VLOOKUP(H4205,TABLEITEM,3,FALSE),"")</f>
        <v>PILOT LIGHT APW126D-R 22mm</v>
      </c>
      <c r="N4205" s="14">
        <f>INSTOCK!$I4205*INSTOCK!$K4205</f>
        <v>763</v>
      </c>
      <c r="O4205" s="4" t="s">
        <v>4297</v>
      </c>
      <c r="P4205" s="4"/>
    </row>
    <row r="4206" ht="15.75" hidden="1" customHeight="1">
      <c r="B4206" s="8">
        <v>4525.0</v>
      </c>
      <c r="C4206" s="9">
        <v>43344.0</v>
      </c>
      <c r="D4206" s="6" t="s">
        <v>5310</v>
      </c>
      <c r="E4206" s="4">
        <v>6.108001055E9</v>
      </c>
      <c r="F4206" s="8" t="s">
        <v>5311</v>
      </c>
      <c r="G4206" s="4" t="s">
        <v>1904</v>
      </c>
      <c r="H4206" s="10" t="s">
        <v>5314</v>
      </c>
      <c r="I4206" s="10">
        <v>4.0</v>
      </c>
      <c r="J4206" s="11" t="str">
        <f>IF(D4206&lt;&gt;"",VLOOKUP(H4206,TABLEITEM,5,FALSE),"")</f>
        <v>EA</v>
      </c>
      <c r="K4206" s="12">
        <v>381.5</v>
      </c>
      <c r="L4206" s="13" t="str">
        <f>IF(D4206&lt;&gt;"",VLOOKUP(H4206,TABLEITEM,2,FALSE),"")</f>
        <v/>
      </c>
      <c r="M4206" s="13" t="str">
        <f>IF(D4206&lt;&gt;"",VLOOKUP(H4206,TABLEITEM,3,FALSE),"")</f>
        <v>PILOT LIGHT APW126D-Y 22mm</v>
      </c>
      <c r="N4206" s="14">
        <f>INSTOCK!$I4206*INSTOCK!$K4206</f>
        <v>1526</v>
      </c>
      <c r="O4206" s="4" t="s">
        <v>4297</v>
      </c>
      <c r="P4206" s="4"/>
    </row>
    <row r="4207" ht="15.75" hidden="1" customHeight="1">
      <c r="B4207" s="8">
        <v>4526.0</v>
      </c>
      <c r="C4207" s="9">
        <v>43344.0</v>
      </c>
      <c r="D4207" s="6" t="s">
        <v>5310</v>
      </c>
      <c r="E4207" s="4">
        <v>6.108001055E9</v>
      </c>
      <c r="F4207" s="8" t="s">
        <v>5311</v>
      </c>
      <c r="G4207" s="4" t="s">
        <v>1904</v>
      </c>
      <c r="H4207" s="10" t="s">
        <v>5315</v>
      </c>
      <c r="I4207" s="10">
        <v>1.0</v>
      </c>
      <c r="J4207" s="11" t="str">
        <f>IF(D4207&lt;&gt;"",VLOOKUP(H4207,TABLEITEM,5,FALSE),"")</f>
        <v>EA</v>
      </c>
      <c r="K4207" s="12">
        <v>381.5</v>
      </c>
      <c r="L4207" s="13" t="str">
        <f>IF(D4207&lt;&gt;"",VLOOKUP(H4207,TABLEITEM,2,FALSE),"")</f>
        <v/>
      </c>
      <c r="M4207" s="13" t="str">
        <f>IF(D4207&lt;&gt;"",VLOOKUP(H4207,TABLEITEM,3,FALSE),"")</f>
        <v>PILOT LIGHT APW126D-S 22mm</v>
      </c>
      <c r="N4207" s="14">
        <f>INSTOCK!$I4207*INSTOCK!$K4207</f>
        <v>381.5</v>
      </c>
      <c r="O4207" s="4" t="s">
        <v>4297</v>
      </c>
      <c r="P4207" s="4"/>
    </row>
    <row r="4208" ht="15.75" hidden="1" customHeight="1">
      <c r="B4208" s="8">
        <v>4527.0</v>
      </c>
      <c r="C4208" s="9">
        <v>43344.0</v>
      </c>
      <c r="D4208" s="6" t="s">
        <v>5310</v>
      </c>
      <c r="E4208" s="4">
        <v>6.108001055E9</v>
      </c>
      <c r="F4208" s="8" t="s">
        <v>5311</v>
      </c>
      <c r="G4208" s="4" t="s">
        <v>1904</v>
      </c>
      <c r="H4208" s="10" t="s">
        <v>5316</v>
      </c>
      <c r="I4208" s="10">
        <v>1.0</v>
      </c>
      <c r="J4208" s="11" t="str">
        <f>IF(D4208&lt;&gt;"",VLOOKUP(H4208,TABLEITEM,5,FALSE),"")</f>
        <v>EA</v>
      </c>
      <c r="K4208" s="12">
        <v>381.5</v>
      </c>
      <c r="L4208" s="13" t="str">
        <f>IF(D4208&lt;&gt;"",VLOOKUP(H4208,TABLEITEM,2,FALSE),"")</f>
        <v/>
      </c>
      <c r="M4208" s="13" t="str">
        <f>IF(D4208&lt;&gt;"",VLOOKUP(H4208,TABLEITEM,3,FALSE),"")</f>
        <v>PILOT LIGHT APW126D-G 22mm</v>
      </c>
      <c r="N4208" s="14">
        <f>INSTOCK!$I4208*INSTOCK!$K4208</f>
        <v>381.5</v>
      </c>
      <c r="O4208" s="4" t="s">
        <v>4297</v>
      </c>
      <c r="P4208" s="4"/>
    </row>
    <row r="4209" ht="15.75" hidden="1" customHeight="1">
      <c r="B4209" s="8">
        <v>4528.0</v>
      </c>
      <c r="C4209" s="9">
        <v>43344.0</v>
      </c>
      <c r="D4209" s="6" t="s">
        <v>5310</v>
      </c>
      <c r="E4209" s="4">
        <v>6.108001055E9</v>
      </c>
      <c r="F4209" s="8" t="s">
        <v>5311</v>
      </c>
      <c r="G4209" s="4" t="s">
        <v>1904</v>
      </c>
      <c r="H4209" s="10" t="s">
        <v>5317</v>
      </c>
      <c r="I4209" s="10">
        <v>2.0</v>
      </c>
      <c r="J4209" s="11" t="str">
        <f>IF(D4209&lt;&gt;"",VLOOKUP(H4209,TABLEITEM,5,FALSE),"")</f>
        <v>EA</v>
      </c>
      <c r="K4209" s="12">
        <v>108.5</v>
      </c>
      <c r="L4209" s="13" t="str">
        <f>IF(D4209&lt;&gt;"",VLOOKUP(H4209,TABLEITEM,2,FALSE),"")</f>
        <v/>
      </c>
      <c r="M4209" s="13" t="str">
        <f>IF(D4209&lt;&gt;"",VLOOKUP(H4209,TABLEITEM,3,FALSE),"")</f>
        <v>Pushbutton ABW110-B 22mm</v>
      </c>
      <c r="N4209" s="14">
        <f>INSTOCK!$I4209*INSTOCK!$K4209</f>
        <v>217</v>
      </c>
      <c r="O4209" s="4" t="s">
        <v>5318</v>
      </c>
      <c r="P4209" s="4"/>
    </row>
    <row r="4210" ht="15.75" hidden="1" customHeight="1">
      <c r="B4210" s="8">
        <v>4529.0</v>
      </c>
      <c r="C4210" s="9">
        <v>43344.0</v>
      </c>
      <c r="D4210" s="6" t="s">
        <v>5310</v>
      </c>
      <c r="E4210" s="4">
        <v>6.108001055E9</v>
      </c>
      <c r="F4210" s="8" t="s">
        <v>5311</v>
      </c>
      <c r="G4210" s="4" t="s">
        <v>1904</v>
      </c>
      <c r="H4210" s="10" t="s">
        <v>5319</v>
      </c>
      <c r="I4210" s="10">
        <v>1.0</v>
      </c>
      <c r="J4210" s="11" t="str">
        <f>IF(D4210&lt;&gt;"",VLOOKUP(H4210,TABLEITEM,5,FALSE),"")</f>
        <v>EA</v>
      </c>
      <c r="K4210" s="12">
        <v>332.5</v>
      </c>
      <c r="L4210" s="13" t="str">
        <f>IF(D4210&lt;&gt;"",VLOOKUP(H4210,TABLEITEM,2,FALSE),"")</f>
        <v/>
      </c>
      <c r="M4210" s="13" t="str">
        <f>IF(D4210&lt;&gt;"",VLOOKUP(H4210,TABLEITEM,3,FALSE),"")</f>
        <v>Pushbutton AVM401-R 22mm</v>
      </c>
      <c r="N4210" s="14">
        <f>INSTOCK!$I4210*INSTOCK!$K4210</f>
        <v>332.5</v>
      </c>
      <c r="O4210" s="4" t="s">
        <v>5320</v>
      </c>
      <c r="P4210" s="4"/>
    </row>
    <row r="4211" ht="15.75" hidden="1" customHeight="1">
      <c r="B4211" s="8">
        <v>4530.0</v>
      </c>
      <c r="C4211" s="9">
        <v>43344.0</v>
      </c>
      <c r="D4211" s="6" t="s">
        <v>5310</v>
      </c>
      <c r="E4211" s="4">
        <v>6.108001055E9</v>
      </c>
      <c r="F4211" s="8" t="s">
        <v>5311</v>
      </c>
      <c r="G4211" s="4" t="s">
        <v>1904</v>
      </c>
      <c r="H4211" s="10" t="s">
        <v>5321</v>
      </c>
      <c r="I4211" s="10">
        <v>2.0</v>
      </c>
      <c r="J4211" s="11" t="str">
        <f>IF(D4211&lt;&gt;"",VLOOKUP(H4211,TABLEITEM,5,FALSE),"")</f>
        <v>EA</v>
      </c>
      <c r="K4211" s="12">
        <v>241.5</v>
      </c>
      <c r="L4211" s="13" t="str">
        <f>IF(D4211&lt;&gt;"",VLOOKUP(H4211,TABLEITEM,2,FALSE),"")</f>
        <v/>
      </c>
      <c r="M4211" s="13" t="str">
        <f>IF(D4211&lt;&gt;"",VLOOKUP(H4211,TABLEITEM,3,FALSE),"")</f>
        <v>Selector Switch ASW320 22mm</v>
      </c>
      <c r="N4211" s="14">
        <f>INSTOCK!$I4211*INSTOCK!$K4211</f>
        <v>483</v>
      </c>
      <c r="O4211" s="4" t="s">
        <v>5322</v>
      </c>
      <c r="P4211" s="4"/>
    </row>
    <row r="4212" ht="15.75" hidden="1" customHeight="1">
      <c r="B4212" s="8">
        <v>4531.0</v>
      </c>
      <c r="C4212" s="9">
        <v>43633.0</v>
      </c>
      <c r="D4212" s="6" t="s">
        <v>5323</v>
      </c>
      <c r="E4212" s="4">
        <v>6.206000895E9</v>
      </c>
      <c r="F4212" s="8" t="s">
        <v>604</v>
      </c>
      <c r="G4212" s="4" t="s">
        <v>737</v>
      </c>
      <c r="H4212" s="10" t="s">
        <v>16</v>
      </c>
      <c r="I4212" s="10">
        <v>360.0</v>
      </c>
      <c r="J4212" s="11" t="str">
        <f>IF(D4212&lt;&gt;"",VLOOKUP(H4212,TABLEITEM,5,FALSE),"")</f>
        <v>คู่</v>
      </c>
      <c r="K4212" s="12">
        <v>4.5833</v>
      </c>
      <c r="L4212" s="13" t="str">
        <f>IF(D4212&lt;&gt;"",VLOOKUP(H4212,TABLEITEM,2,FALSE),"")</f>
        <v/>
      </c>
      <c r="M4212" s="13" t="str">
        <f>IF(D4212&lt;&gt;"",VLOOKUP(H4212,TABLEITEM,3,FALSE),"")</f>
        <v>ถุงมือผ้า</v>
      </c>
      <c r="N4212" s="14">
        <f>INSTOCK!$I4212*INSTOCK!$K4212</f>
        <v>1649.988</v>
      </c>
      <c r="O4212" s="4" t="s">
        <v>5324</v>
      </c>
      <c r="P4212" s="4"/>
    </row>
    <row r="4213" ht="15.75" hidden="1" customHeight="1">
      <c r="B4213" s="8">
        <v>4532.0</v>
      </c>
      <c r="C4213" s="9">
        <v>43630.0</v>
      </c>
      <c r="D4213" s="6" t="s">
        <v>5325</v>
      </c>
      <c r="E4213" s="4">
        <v>6.206000896E9</v>
      </c>
      <c r="F4213" s="8" t="s">
        <v>5326</v>
      </c>
      <c r="G4213" s="4" t="s">
        <v>692</v>
      </c>
      <c r="H4213" s="10" t="s">
        <v>511</v>
      </c>
      <c r="I4213" s="10">
        <v>200.0</v>
      </c>
      <c r="J4213" s="11" t="str">
        <f>IF(D4213&lt;&gt;"",VLOOKUP(H4213,TABLEITEM,5,FALSE),"")</f>
        <v>M</v>
      </c>
      <c r="K4213" s="12">
        <v>14.1</v>
      </c>
      <c r="L4213" s="13" t="str">
        <f>IF(D4213&lt;&gt;"",VLOOKUP(H4213,TABLEITEM,2,FALSE),"")</f>
        <v>wire</v>
      </c>
      <c r="M4213" s="13" t="str">
        <f>IF(D4213&lt;&gt;"",VLOOKUP(H4213,TABLEITEM,3,FALSE),"")</f>
        <v>สายTHW ขนาด 1x6 SQMM.สีดำ</v>
      </c>
      <c r="N4213" s="14">
        <f>INSTOCK!$I4213*INSTOCK!$K4213</f>
        <v>2820</v>
      </c>
      <c r="O4213" s="4" t="s">
        <v>5327</v>
      </c>
      <c r="P4213" s="4"/>
    </row>
    <row r="4214" ht="15.75" hidden="1" customHeight="1">
      <c r="B4214" s="8">
        <v>4533.0</v>
      </c>
      <c r="C4214" s="9">
        <v>43630.0</v>
      </c>
      <c r="D4214" s="6" t="s">
        <v>5325</v>
      </c>
      <c r="E4214" s="4">
        <v>6.206000896E9</v>
      </c>
      <c r="F4214" s="8" t="s">
        <v>5326</v>
      </c>
      <c r="G4214" s="4" t="s">
        <v>692</v>
      </c>
      <c r="H4214" s="10" t="s">
        <v>515</v>
      </c>
      <c r="I4214" s="10">
        <v>100.0</v>
      </c>
      <c r="J4214" s="11" t="str">
        <f>IF(D4214&lt;&gt;"",VLOOKUP(H4214,TABLEITEM,5,FALSE),"")</f>
        <v>M</v>
      </c>
      <c r="K4214" s="12">
        <v>80.135</v>
      </c>
      <c r="L4214" s="13" t="str">
        <f>IF(D4214&lt;&gt;"",VLOOKUP(H4214,TABLEITEM,2,FALSE),"")</f>
        <v>wire</v>
      </c>
      <c r="M4214" s="13" t="str">
        <f>IF(D4214&lt;&gt;"",VLOOKUP(H4214,TABLEITEM,3,FALSE),"")</f>
        <v>สายTHW ขนาด 1x35 SQMM.สีดำ</v>
      </c>
      <c r="N4214" s="14">
        <f>INSTOCK!$I4214*INSTOCK!$K4214</f>
        <v>8013.5</v>
      </c>
      <c r="O4214" s="4" t="s">
        <v>1325</v>
      </c>
      <c r="P4214" s="4"/>
    </row>
    <row r="4215" ht="15.75" hidden="1" customHeight="1">
      <c r="B4215" s="8">
        <v>4534.0</v>
      </c>
      <c r="C4215" s="9">
        <v>43630.0</v>
      </c>
      <c r="D4215" s="6" t="s">
        <v>5328</v>
      </c>
      <c r="E4215" s="4">
        <v>6.206000894E9</v>
      </c>
      <c r="F4215" s="8" t="s">
        <v>604</v>
      </c>
      <c r="G4215" s="4" t="s">
        <v>1070</v>
      </c>
      <c r="H4215" s="10" t="s">
        <v>22</v>
      </c>
      <c r="I4215" s="10">
        <v>200.0</v>
      </c>
      <c r="J4215" s="11" t="str">
        <f>IF(D4215&lt;&gt;"",VLOOKUP(H4215,TABLEITEM,5,FALSE),"")</f>
        <v>EA</v>
      </c>
      <c r="K4215" s="12">
        <v>38.0</v>
      </c>
      <c r="L4215" s="13" t="str">
        <f>IF(D4215&lt;&gt;"",VLOOKUP(H4215,TABLEITEM,2,FALSE),"")</f>
        <v/>
      </c>
      <c r="M4215" s="13" t="str">
        <f>IF(D4215&lt;&gt;"",VLOOKUP(H4215,TABLEITEM,3,FALSE),"")</f>
        <v>ใบขัดซ้อน # 80</v>
      </c>
      <c r="N4215" s="14">
        <f>INSTOCK!$I4215*INSTOCK!$K4215</f>
        <v>7600</v>
      </c>
      <c r="O4215" s="4"/>
      <c r="P4215" s="4"/>
    </row>
    <row r="4216" ht="15.75" hidden="1" customHeight="1">
      <c r="B4216" s="8">
        <v>4535.0</v>
      </c>
      <c r="C4216" s="9">
        <v>43633.0</v>
      </c>
      <c r="D4216" s="6" t="s">
        <v>5329</v>
      </c>
      <c r="E4216" s="4">
        <v>6.206000888E9</v>
      </c>
      <c r="F4216" s="8" t="s">
        <v>604</v>
      </c>
      <c r="G4216" s="4" t="s">
        <v>1453</v>
      </c>
      <c r="H4216" s="10" t="s">
        <v>2050</v>
      </c>
      <c r="I4216" s="10">
        <v>7.0</v>
      </c>
      <c r="J4216" s="11" t="str">
        <f>IF(D4216&lt;&gt;"",VLOOKUP(H4216,TABLEITEM,5,FALSE),"")</f>
        <v>EA</v>
      </c>
      <c r="K4216" s="12">
        <v>837.9</v>
      </c>
      <c r="L4216" s="13" t="str">
        <f>IF(D4216&lt;&gt;"",VLOOKUP(H4216,TABLEITEM,2,FALSE),"")</f>
        <v/>
      </c>
      <c r="M4216" s="13" t="str">
        <f>IF(D4216&lt;&gt;"",VLOOKUP(H4216,TABLEITEM,3,FALSE),"")</f>
        <v>พัดลม PMV25C.01220 6"</v>
      </c>
      <c r="N4216" s="14">
        <f>INSTOCK!$I4216*INSTOCK!$K4216</f>
        <v>5865.3</v>
      </c>
      <c r="O4216" s="4" t="s">
        <v>2051</v>
      </c>
      <c r="P4216" s="4"/>
    </row>
    <row r="4217" ht="15.75" hidden="1" customHeight="1">
      <c r="B4217" s="8">
        <v>4536.0</v>
      </c>
      <c r="C4217" s="9">
        <v>43633.0</v>
      </c>
      <c r="D4217" s="6" t="s">
        <v>5330</v>
      </c>
      <c r="E4217" s="4">
        <v>6.206000893E9</v>
      </c>
      <c r="F4217" s="8" t="s">
        <v>604</v>
      </c>
      <c r="G4217" s="4" t="s">
        <v>1611</v>
      </c>
      <c r="H4217" s="10" t="s">
        <v>188</v>
      </c>
      <c r="I4217" s="10">
        <v>1200.0</v>
      </c>
      <c r="J4217" s="11" t="str">
        <f>IF(D4217&lt;&gt;"",VLOOKUP(H4217,TABLEITEM,5,FALSE),"")</f>
        <v>EA</v>
      </c>
      <c r="K4217" s="12">
        <v>9.0</v>
      </c>
      <c r="L4217" s="13" t="str">
        <f>IF(D4217&lt;&gt;"",VLOOKUP(H4217,TABLEITEM,2,FALSE),"")</f>
        <v/>
      </c>
      <c r="M4217" s="13" t="str">
        <f>IF(D4217&lt;&gt;"",VLOOKUP(H4217,TABLEITEM,3,FALSE),"")</f>
        <v>TERMINAL BLOCK TX10</v>
      </c>
      <c r="N4217" s="14">
        <f>INSTOCK!$I4217*INSTOCK!$K4217</f>
        <v>10800</v>
      </c>
      <c r="O4217" s="4"/>
      <c r="P4217" s="4"/>
    </row>
    <row r="4218" ht="15.75" hidden="1" customHeight="1">
      <c r="B4218" s="8">
        <v>4537.0</v>
      </c>
      <c r="C4218" s="9">
        <v>43633.0</v>
      </c>
      <c r="D4218" s="6" t="s">
        <v>5330</v>
      </c>
      <c r="E4218" s="4">
        <v>6.206000893E9</v>
      </c>
      <c r="F4218" s="8" t="s">
        <v>604</v>
      </c>
      <c r="G4218" s="4" t="s">
        <v>1611</v>
      </c>
      <c r="H4218" s="10" t="s">
        <v>189</v>
      </c>
      <c r="I4218" s="10">
        <v>200.0</v>
      </c>
      <c r="J4218" s="11" t="str">
        <f>IF(D4218&lt;&gt;"",VLOOKUP(H4218,TABLEITEM,5,FALSE),"")</f>
        <v>EA</v>
      </c>
      <c r="K4218" s="12">
        <v>5.0</v>
      </c>
      <c r="L4218" s="13" t="str">
        <f>IF(D4218&lt;&gt;"",VLOOKUP(H4218,TABLEITEM,2,FALSE),"")</f>
        <v/>
      </c>
      <c r="M4218" s="13" t="str">
        <f>IF(D4218&lt;&gt;"",VLOOKUP(H4218,TABLEITEM,3,FALSE),"")</f>
        <v>END PLATE TXA1</v>
      </c>
      <c r="N4218" s="14">
        <f>INSTOCK!$I4218*INSTOCK!$K4218</f>
        <v>1000</v>
      </c>
      <c r="O4218" s="4"/>
      <c r="P4218" s="4"/>
    </row>
    <row r="4219" ht="15.75" hidden="1" customHeight="1">
      <c r="B4219" s="8">
        <v>4538.0</v>
      </c>
      <c r="C4219" s="9">
        <v>43633.0</v>
      </c>
      <c r="D4219" s="6" t="s">
        <v>5330</v>
      </c>
      <c r="E4219" s="4">
        <v>6.206000893E9</v>
      </c>
      <c r="F4219" s="8" t="s">
        <v>604</v>
      </c>
      <c r="G4219" s="4" t="s">
        <v>1611</v>
      </c>
      <c r="H4219" s="10" t="s">
        <v>190</v>
      </c>
      <c r="I4219" s="10">
        <v>300.0</v>
      </c>
      <c r="J4219" s="11" t="str">
        <f>IF(D4219&lt;&gt;"",VLOOKUP(H4219,TABLEITEM,5,FALSE),"")</f>
        <v>EA</v>
      </c>
      <c r="K4219" s="12">
        <v>11.5</v>
      </c>
      <c r="L4219" s="13" t="str">
        <f>IF(D4219&lt;&gt;"",VLOOKUP(H4219,TABLEITEM,2,FALSE),"")</f>
        <v/>
      </c>
      <c r="M4219" s="13" t="str">
        <f>IF(D4219&lt;&gt;"",VLOOKUP(H4219,TABLEITEM,3,FALSE),"")</f>
        <v>TERMINAL BLOCK TX20</v>
      </c>
      <c r="N4219" s="14">
        <f>INSTOCK!$I4219*INSTOCK!$K4219</f>
        <v>3450</v>
      </c>
      <c r="O4219" s="4"/>
      <c r="P4219" s="4"/>
    </row>
    <row r="4220" ht="15.75" hidden="1" customHeight="1">
      <c r="B4220" s="8">
        <v>4539.0</v>
      </c>
      <c r="C4220" s="9">
        <v>43633.0</v>
      </c>
      <c r="D4220" s="6" t="s">
        <v>5330</v>
      </c>
      <c r="E4220" s="4">
        <v>6.206000893E9</v>
      </c>
      <c r="F4220" s="8" t="s">
        <v>604</v>
      </c>
      <c r="G4220" s="4" t="s">
        <v>1611</v>
      </c>
      <c r="H4220" s="10" t="s">
        <v>191</v>
      </c>
      <c r="I4220" s="10">
        <v>300.0</v>
      </c>
      <c r="J4220" s="11" t="str">
        <f>IF(D4220&lt;&gt;"",VLOOKUP(H4220,TABLEITEM,5,FALSE),"")</f>
        <v>EA</v>
      </c>
      <c r="K4220" s="12">
        <v>20.0</v>
      </c>
      <c r="L4220" s="13" t="str">
        <f>IF(D4220&lt;&gt;"",VLOOKUP(H4220,TABLEITEM,2,FALSE),"")</f>
        <v/>
      </c>
      <c r="M4220" s="13" t="str">
        <f>IF(D4220&lt;&gt;"",VLOOKUP(H4220,TABLEITEM,3,FALSE),"")</f>
        <v>TERMINAL BLOCK TX30</v>
      </c>
      <c r="N4220" s="14">
        <f>INSTOCK!$I4220*INSTOCK!$K4220</f>
        <v>6000</v>
      </c>
      <c r="O4220" s="4"/>
      <c r="P4220" s="4"/>
    </row>
    <row r="4221" ht="15.75" hidden="1" customHeight="1">
      <c r="B4221" s="8">
        <v>4540.0</v>
      </c>
      <c r="C4221" s="9">
        <v>43633.0</v>
      </c>
      <c r="D4221" s="6" t="s">
        <v>5330</v>
      </c>
      <c r="E4221" s="4">
        <v>6.206000893E9</v>
      </c>
      <c r="F4221" s="8" t="s">
        <v>604</v>
      </c>
      <c r="G4221" s="4" t="s">
        <v>1611</v>
      </c>
      <c r="H4221" s="10" t="s">
        <v>192</v>
      </c>
      <c r="I4221" s="10">
        <v>100.0</v>
      </c>
      <c r="J4221" s="11" t="str">
        <f>IF(D4221&lt;&gt;"",VLOOKUP(H4221,TABLEITEM,5,FALSE),"")</f>
        <v>EA</v>
      </c>
      <c r="K4221" s="12">
        <v>6.86</v>
      </c>
      <c r="L4221" s="13" t="str">
        <f>IF(D4221&lt;&gt;"",VLOOKUP(H4221,TABLEITEM,2,FALSE),"")</f>
        <v/>
      </c>
      <c r="M4221" s="13" t="str">
        <f>IF(D4221&lt;&gt;"",VLOOKUP(H4221,TABLEITEM,3,FALSE),"")</f>
        <v>END PLATE TXA3</v>
      </c>
      <c r="N4221" s="14">
        <f>INSTOCK!$I4221*INSTOCK!$K4221</f>
        <v>686</v>
      </c>
      <c r="O4221" s="4"/>
      <c r="P4221" s="4"/>
    </row>
    <row r="4222" ht="15.75" hidden="1" customHeight="1">
      <c r="B4222" s="8">
        <v>4541.0</v>
      </c>
      <c r="C4222" s="9">
        <v>43633.0</v>
      </c>
      <c r="D4222" s="6" t="s">
        <v>5330</v>
      </c>
      <c r="E4222" s="4">
        <v>6.206000893E9</v>
      </c>
      <c r="F4222" s="8" t="s">
        <v>604</v>
      </c>
      <c r="G4222" s="4" t="s">
        <v>1611</v>
      </c>
      <c r="H4222" s="10" t="s">
        <v>195</v>
      </c>
      <c r="I4222" s="10">
        <v>60.0</v>
      </c>
      <c r="J4222" s="11" t="str">
        <f>IF(D4222&lt;&gt;"",VLOOKUP(H4222,TABLEITEM,5,FALSE),"")</f>
        <v>EA</v>
      </c>
      <c r="K4222" s="12">
        <v>75.0</v>
      </c>
      <c r="L4222" s="13" t="str">
        <f>IF(D4222&lt;&gt;"",VLOOKUP(H4222,TABLEITEM,2,FALSE),"")</f>
        <v/>
      </c>
      <c r="M4222" s="13" t="str">
        <f>IF(D4222&lt;&gt;"",VLOOKUP(H4222,TABLEITEM,3,FALSE),"")</f>
        <v>TERMINAL BLOCK TX100</v>
      </c>
      <c r="N4222" s="14">
        <f>INSTOCK!$I4222*INSTOCK!$K4222</f>
        <v>4500</v>
      </c>
      <c r="O4222" s="4"/>
      <c r="P4222" s="4"/>
    </row>
    <row r="4223" ht="15.75" hidden="1" customHeight="1">
      <c r="B4223" s="8">
        <v>4542.0</v>
      </c>
      <c r="C4223" s="9">
        <v>43633.0</v>
      </c>
      <c r="D4223" s="6" t="s">
        <v>5331</v>
      </c>
      <c r="E4223" s="4">
        <v>6.206000889E9</v>
      </c>
      <c r="F4223" s="8" t="s">
        <v>604</v>
      </c>
      <c r="G4223" s="4" t="s">
        <v>665</v>
      </c>
      <c r="H4223" s="10" t="s">
        <v>464</v>
      </c>
      <c r="I4223" s="10">
        <v>2000.0</v>
      </c>
      <c r="J4223" s="11" t="str">
        <f>IF(D4223&lt;&gt;"",VLOOKUP(H4223,TABLEITEM,5,FALSE),"")</f>
        <v>M</v>
      </c>
      <c r="K4223" s="12">
        <v>5.0</v>
      </c>
      <c r="L4223" s="13" t="str">
        <f>IF(D4223&lt;&gt;"",VLOOKUP(H4223,TABLEITEM,2,FALSE),"")</f>
        <v>wire</v>
      </c>
      <c r="M4223" s="13" t="str">
        <f>IF(D4223&lt;&gt;"",VLOOKUP(H4223,TABLEITEM,3,FALSE),"")</f>
        <v>สายไฟ VSF1x1 SQMM.สีขาว</v>
      </c>
      <c r="N4223" s="14">
        <f>INSTOCK!$I4223*INSTOCK!$K4223</f>
        <v>10000</v>
      </c>
      <c r="O4223" s="4"/>
      <c r="P4223" s="4"/>
    </row>
    <row r="4224" ht="15.75" hidden="1" customHeight="1">
      <c r="B4224" s="8">
        <v>4543.0</v>
      </c>
      <c r="C4224" s="9">
        <v>43633.0</v>
      </c>
      <c r="D4224" s="6" t="s">
        <v>5331</v>
      </c>
      <c r="E4224" s="4">
        <v>6.206000889E9</v>
      </c>
      <c r="F4224" s="8" t="s">
        <v>604</v>
      </c>
      <c r="G4224" s="4" t="s">
        <v>665</v>
      </c>
      <c r="H4224" s="10" t="s">
        <v>679</v>
      </c>
      <c r="I4224" s="10">
        <v>300.0</v>
      </c>
      <c r="J4224" s="11" t="str">
        <f>IF(D4224&lt;&gt;"",VLOOKUP(H4224,TABLEITEM,5,FALSE),"")</f>
        <v>M</v>
      </c>
      <c r="K4224" s="12">
        <v>9.8</v>
      </c>
      <c r="L4224" s="13" t="str">
        <f>IF(D4224&lt;&gt;"",VLOOKUP(H4224,TABLEITEM,2,FALSE),"")</f>
        <v>wire</v>
      </c>
      <c r="M4224" s="13" t="str">
        <f>IF(D4224&lt;&gt;"",VLOOKUP(H4224,TABLEITEM,3,FALSE),"")</f>
        <v>สายกราวน์ VSF1x2.5 SQMM.สีเขียวเหลือง</v>
      </c>
      <c r="N4224" s="14">
        <f>INSTOCK!$I4224*INSTOCK!$K4224</f>
        <v>2940</v>
      </c>
      <c r="O4224" s="4"/>
      <c r="P4224" s="4"/>
    </row>
    <row r="4225" ht="15.75" hidden="1" customHeight="1">
      <c r="B4225" s="8">
        <v>4544.0</v>
      </c>
      <c r="C4225" s="9">
        <v>43633.0</v>
      </c>
      <c r="D4225" s="6" t="s">
        <v>5331</v>
      </c>
      <c r="E4225" s="4">
        <v>6.206000889E9</v>
      </c>
      <c r="F4225" s="8" t="s">
        <v>604</v>
      </c>
      <c r="G4225" s="4" t="s">
        <v>665</v>
      </c>
      <c r="H4225" s="10" t="s">
        <v>494</v>
      </c>
      <c r="I4225" s="10">
        <v>300.0</v>
      </c>
      <c r="J4225" s="11" t="str">
        <f>IF(D4225&lt;&gt;"",VLOOKUP(H4225,TABLEITEM,5,FALSE),"")</f>
        <v>M</v>
      </c>
      <c r="K4225" s="12">
        <v>15.47</v>
      </c>
      <c r="L4225" s="13" t="str">
        <f>IF(D4225&lt;&gt;"",VLOOKUP(H4225,TABLEITEM,2,FALSE),"")</f>
        <v>wire</v>
      </c>
      <c r="M4225" s="13" t="str">
        <f>IF(D4225&lt;&gt;"",VLOOKUP(H4225,TABLEITEM,3,FALSE),"")</f>
        <v>สายไฟ VSF1x4 SQMM.สีน้ำตาล</v>
      </c>
      <c r="N4225" s="14">
        <f>INSTOCK!$I4225*INSTOCK!$K4225</f>
        <v>4641</v>
      </c>
      <c r="O4225" s="4"/>
      <c r="P4225" s="4"/>
    </row>
    <row r="4226" ht="15.75" hidden="1" customHeight="1">
      <c r="B4226" s="8">
        <v>4545.0</v>
      </c>
      <c r="C4226" s="9">
        <v>43633.0</v>
      </c>
      <c r="D4226" s="6" t="s">
        <v>5331</v>
      </c>
      <c r="E4226" s="4">
        <v>6.206000889E9</v>
      </c>
      <c r="F4226" s="8" t="s">
        <v>604</v>
      </c>
      <c r="G4226" s="4" t="s">
        <v>665</v>
      </c>
      <c r="H4226" s="10" t="s">
        <v>490</v>
      </c>
      <c r="I4226" s="10">
        <v>200.0</v>
      </c>
      <c r="J4226" s="11" t="str">
        <f>IF(D4226&lt;&gt;"",VLOOKUP(H4226,TABLEITEM,5,FALSE),"")</f>
        <v>M</v>
      </c>
      <c r="K4226" s="12">
        <v>15.47</v>
      </c>
      <c r="L4226" s="13" t="str">
        <f>IF(D4226&lt;&gt;"",VLOOKUP(H4226,TABLEITEM,2,FALSE),"")</f>
        <v>wire</v>
      </c>
      <c r="M4226" s="13" t="str">
        <f>IF(D4226&lt;&gt;"",VLOOKUP(H4226,TABLEITEM,3,FALSE),"")</f>
        <v>สายไฟ VSF1x4 SQMM.สีดำ</v>
      </c>
      <c r="N4226" s="14">
        <f>INSTOCK!$I4226*INSTOCK!$K4226</f>
        <v>3094</v>
      </c>
      <c r="O4226" s="4"/>
      <c r="P4226" s="4"/>
    </row>
    <row r="4227" ht="15.75" hidden="1" customHeight="1">
      <c r="B4227" s="8">
        <v>4546.0</v>
      </c>
      <c r="C4227" s="9">
        <v>43633.0</v>
      </c>
      <c r="D4227" s="6" t="s">
        <v>5331</v>
      </c>
      <c r="E4227" s="4">
        <v>6.206000889E9</v>
      </c>
      <c r="F4227" s="8" t="s">
        <v>604</v>
      </c>
      <c r="G4227" s="4" t="s">
        <v>665</v>
      </c>
      <c r="H4227" s="10" t="s">
        <v>506</v>
      </c>
      <c r="I4227" s="10">
        <v>100.0</v>
      </c>
      <c r="J4227" s="11" t="str">
        <f>IF(D4227&lt;&gt;"",VLOOKUP(H4227,TABLEITEM,5,FALSE),"")</f>
        <v>M</v>
      </c>
      <c r="K4227" s="12">
        <v>60.58</v>
      </c>
      <c r="L4227" s="13" t="str">
        <f>IF(D4227&lt;&gt;"",VLOOKUP(H4227,TABLEITEM,2,FALSE),"")</f>
        <v>wire</v>
      </c>
      <c r="M4227" s="13" t="str">
        <f>IF(D4227&lt;&gt;"",VLOOKUP(H4227,TABLEITEM,3,FALSE),"")</f>
        <v>สายไฟ VSF1x16 SQMM.สีดำ</v>
      </c>
      <c r="N4227" s="14">
        <f>INSTOCK!$I4227*INSTOCK!$K4227</f>
        <v>6058</v>
      </c>
      <c r="O4227" s="4"/>
      <c r="P4227" s="4"/>
    </row>
    <row r="4228" ht="15.75" hidden="1" customHeight="1">
      <c r="B4228" s="8">
        <v>4547.0</v>
      </c>
      <c r="C4228" s="9">
        <v>43633.0</v>
      </c>
      <c r="D4228" s="6" t="s">
        <v>5331</v>
      </c>
      <c r="E4228" s="4">
        <v>6.206000889E9</v>
      </c>
      <c r="F4228" s="8" t="s">
        <v>604</v>
      </c>
      <c r="G4228" s="4" t="s">
        <v>665</v>
      </c>
      <c r="H4228" s="10" t="s">
        <v>5332</v>
      </c>
      <c r="I4228" s="10">
        <v>50.0</v>
      </c>
      <c r="J4228" s="11" t="str">
        <f>IF(D4228&lt;&gt;"",VLOOKUP(H4228,TABLEITEM,5,FALSE),"")</f>
        <v>EA</v>
      </c>
      <c r="K4228" s="12">
        <v>289.11</v>
      </c>
      <c r="L4228" s="13" t="str">
        <f>IF(D4228&lt;&gt;"",VLOOKUP(H4228,TABLEITEM,2,FALSE),"")</f>
        <v>wire</v>
      </c>
      <c r="M4228" s="13" t="str">
        <f>IF(D4228&lt;&gt;"",VLOOKUP(H4228,TABLEITEM,3,FALSE),"")</f>
        <v>สายไฟ VSF1x70 SQMM.สีดำ</v>
      </c>
      <c r="N4228" s="14">
        <f>INSTOCK!$I4228*INSTOCK!$K4228</f>
        <v>14455.5</v>
      </c>
      <c r="O4228" s="4"/>
      <c r="P4228" s="4"/>
    </row>
    <row r="4229" ht="15.75" hidden="1" customHeight="1">
      <c r="B4229" s="8">
        <v>4548.0</v>
      </c>
      <c r="C4229" s="9">
        <v>43633.0</v>
      </c>
      <c r="D4229" s="6" t="s">
        <v>5331</v>
      </c>
      <c r="E4229" s="4">
        <v>6.206000889E9</v>
      </c>
      <c r="F4229" s="8" t="s">
        <v>604</v>
      </c>
      <c r="G4229" s="4" t="s">
        <v>665</v>
      </c>
      <c r="H4229" s="10" t="s">
        <v>495</v>
      </c>
      <c r="I4229" s="10">
        <v>200.0</v>
      </c>
      <c r="J4229" s="11" t="str">
        <f>IF(D4229&lt;&gt;"",VLOOKUP(H4229,TABLEITEM,5,FALSE),"")</f>
        <v>M</v>
      </c>
      <c r="K4229" s="12">
        <v>15.47</v>
      </c>
      <c r="L4229" s="13" t="str">
        <f>IF(D4229&lt;&gt;"",VLOOKUP(H4229,TABLEITEM,2,FALSE),"")</f>
        <v>wire</v>
      </c>
      <c r="M4229" s="13" t="str">
        <f>IF(D4229&lt;&gt;"",VLOOKUP(H4229,TABLEITEM,3,FALSE),"")</f>
        <v>สายกราวน์ VSF1x4 SQMM.สีเขียวเหลือง</v>
      </c>
      <c r="N4229" s="14">
        <f>INSTOCK!$I4229*INSTOCK!$K4229</f>
        <v>3094</v>
      </c>
      <c r="O4229" s="4"/>
      <c r="P4229" s="4"/>
    </row>
    <row r="4230" ht="15.75" hidden="1" customHeight="1">
      <c r="B4230" s="8">
        <v>4549.0</v>
      </c>
      <c r="C4230" s="9">
        <v>43633.0</v>
      </c>
      <c r="D4230" s="6">
        <v>6.2060791E7</v>
      </c>
      <c r="E4230" s="4">
        <v>6.206000902E9</v>
      </c>
      <c r="F4230" s="8" t="s">
        <v>5333</v>
      </c>
      <c r="G4230" s="4" t="s">
        <v>711</v>
      </c>
      <c r="H4230" s="10" t="s">
        <v>109</v>
      </c>
      <c r="I4230" s="10">
        <v>40.0</v>
      </c>
      <c r="J4230" s="11" t="str">
        <f>IF(D4230&lt;&gt;"",VLOOKUP(H4230,TABLEITEM,5,FALSE),"")</f>
        <v>KG.</v>
      </c>
      <c r="K4230" s="12">
        <v>153.0</v>
      </c>
      <c r="L4230" s="13" t="str">
        <f>IF(D4230&lt;&gt;"",VLOOKUP(H4230,TABLEITEM,2,FALSE),"")</f>
        <v/>
      </c>
      <c r="M4230" s="13" t="str">
        <f>IF(D4230&lt;&gt;"",VLOOKUP(H4230,TABLEITEM,3,FALSE),"")</f>
        <v>สีฝุ่น P90097 BN</v>
      </c>
      <c r="N4230" s="14">
        <f>INSTOCK!$I4230*INSTOCK!$K4230</f>
        <v>6120</v>
      </c>
      <c r="O4230" s="4" t="s">
        <v>1460</v>
      </c>
      <c r="P4230" s="4"/>
    </row>
    <row r="4231" ht="15.75" hidden="1" customHeight="1">
      <c r="B4231" s="8">
        <v>4550.0</v>
      </c>
      <c r="C4231" s="9">
        <v>43630.0</v>
      </c>
      <c r="D4231" s="6">
        <v>6206332.0</v>
      </c>
      <c r="E4231" s="4">
        <v>6.206000901E9</v>
      </c>
      <c r="F4231" s="8" t="s">
        <v>604</v>
      </c>
      <c r="G4231" s="4" t="s">
        <v>1100</v>
      </c>
      <c r="H4231" s="10" t="s">
        <v>371</v>
      </c>
      <c r="I4231" s="10">
        <v>200.0</v>
      </c>
      <c r="J4231" s="11" t="str">
        <f>IF(D4231&lt;&gt;"",VLOOKUP(H4231,TABLEITEM,5,FALSE),"")</f>
        <v>EA</v>
      </c>
      <c r="K4231" s="12">
        <v>0.36</v>
      </c>
      <c r="L4231" s="13" t="str">
        <f>IF(D4231&lt;&gt;"",VLOOKUP(H4233,TABLEITEM,2,FALSE),"")</f>
        <v/>
      </c>
      <c r="M4231" s="13" t="str">
        <f>IF(D4231&lt;&gt;"",VLOOKUP(H4231,TABLEITEM,3,FALSE),"")</f>
        <v>ปลอกหุ้มหางปลา V-8 สีน้ำเงิน</v>
      </c>
      <c r="N4231" s="14">
        <f>INSTOCK!$I4231*INSTOCK!$K4231</f>
        <v>72</v>
      </c>
      <c r="O4231" s="4" t="s">
        <v>1669</v>
      </c>
      <c r="P4231" s="4"/>
    </row>
    <row r="4232" ht="15.75" hidden="1" customHeight="1">
      <c r="B4232" s="8">
        <v>4551.0</v>
      </c>
      <c r="C4232" s="9">
        <v>43630.0</v>
      </c>
      <c r="D4232" s="6">
        <v>6206332.0</v>
      </c>
      <c r="E4232" s="4">
        <v>6.206000901E9</v>
      </c>
      <c r="F4232" s="8" t="s">
        <v>604</v>
      </c>
      <c r="G4232" s="4" t="s">
        <v>1100</v>
      </c>
      <c r="H4232" s="10" t="s">
        <v>367</v>
      </c>
      <c r="I4232" s="10">
        <v>300.0</v>
      </c>
      <c r="J4232" s="11" t="str">
        <f>IF(D4232&lt;&gt;"",VLOOKUP(H4232,TABLEITEM,5,FALSE),"")</f>
        <v>EA</v>
      </c>
      <c r="K4232" s="12">
        <v>0.288</v>
      </c>
      <c r="L4232" s="13" t="str">
        <f>IF(D4232&lt;&gt;"",VLOOKUP(H4232,TABLEITEM,2,FALSE),"")</f>
        <v/>
      </c>
      <c r="M4232" s="13" t="str">
        <f>IF(D4232&lt;&gt;"",VLOOKUP(H4232,TABLEITEM,3,FALSE),"")</f>
        <v>ปลอกหุ้มหางปลา V-5 สีเขียว</v>
      </c>
      <c r="N4232" s="14">
        <f>INSTOCK!$I4232*INSTOCK!$K4232</f>
        <v>86.4</v>
      </c>
      <c r="O4232" s="4" t="s">
        <v>1845</v>
      </c>
      <c r="P4232" s="4"/>
    </row>
    <row r="4233" ht="15.75" hidden="1" customHeight="1">
      <c r="B4233" s="8">
        <v>4552.0</v>
      </c>
      <c r="C4233" s="9">
        <v>43630.0</v>
      </c>
      <c r="D4233" s="6">
        <v>6206332.0</v>
      </c>
      <c r="E4233" s="4">
        <v>6.206000901E9</v>
      </c>
      <c r="F4233" s="8" t="s">
        <v>604</v>
      </c>
      <c r="G4233" s="4" t="s">
        <v>1100</v>
      </c>
      <c r="H4233" s="10" t="s">
        <v>377</v>
      </c>
      <c r="I4233" s="10">
        <v>200.0</v>
      </c>
      <c r="J4233" s="11" t="str">
        <f>IF(D4233&lt;&gt;"",VLOOKUP(H4233,TABLEITEM,5,FALSE),"")</f>
        <v>EA</v>
      </c>
      <c r="K4233" s="12">
        <v>0.576</v>
      </c>
      <c r="L4233" s="13" t="str">
        <f>IF(D4233&lt;&gt;"",VLOOKUP(#REF!,TABLEITEM,2,FALSE),"")</f>
        <v>#REF!</v>
      </c>
      <c r="M4233" s="13" t="str">
        <f>IF(D4233&lt;&gt;"",VLOOKUP(H4233,TABLEITEM,3,FALSE),"")</f>
        <v>ปลอกหุ้มหางปลา V-14 สีน้ำเงิน</v>
      </c>
      <c r="N4233" s="14">
        <f>INSTOCK!$I4233*INSTOCK!$K4233</f>
        <v>115.2</v>
      </c>
      <c r="O4233" s="4" t="s">
        <v>1849</v>
      </c>
      <c r="P4233" s="4"/>
    </row>
    <row r="4234" ht="15.75" hidden="1" customHeight="1">
      <c r="B4234" s="8">
        <v>4553.0</v>
      </c>
      <c r="C4234" s="9">
        <v>43631.0</v>
      </c>
      <c r="D4234" s="6" t="s">
        <v>5334</v>
      </c>
      <c r="E4234" s="4">
        <v>6.206000884E9</v>
      </c>
      <c r="F4234" s="8" t="s">
        <v>823</v>
      </c>
      <c r="G4234" s="4" t="s">
        <v>808</v>
      </c>
      <c r="H4234" s="10" t="s">
        <v>824</v>
      </c>
      <c r="I4234" s="10">
        <v>1.0</v>
      </c>
      <c r="J4234" s="11" t="str">
        <f>IF(D4234&lt;&gt;"",VLOOKUP(H4234,TABLEITEM,5,FALSE),"")</f>
        <v>ท่อ</v>
      </c>
      <c r="K4234" s="12">
        <v>600.0</v>
      </c>
      <c r="L4234" s="13" t="str">
        <f>IF(D4234&lt;&gt;"",VLOOKUP(H4234,TABLEITEM,2,FALSE),"")</f>
        <v/>
      </c>
      <c r="M4234" s="13" t="str">
        <f>IF(D4234&lt;&gt;"",VLOOKUP(H4234,TABLEITEM,3,FALSE),"")</f>
        <v>20% CO2 Balance AR ขนาด 6คิว</v>
      </c>
      <c r="N4234" s="14">
        <f>INSTOCK!$I4234*INSTOCK!$K4234</f>
        <v>600</v>
      </c>
      <c r="O4234" s="4"/>
      <c r="P4234" s="4"/>
    </row>
    <row r="4235" ht="15.75" hidden="1" customHeight="1">
      <c r="B4235" s="8">
        <v>4554.0</v>
      </c>
      <c r="C4235" s="9">
        <v>43631.0</v>
      </c>
      <c r="D4235" s="6" t="s">
        <v>5335</v>
      </c>
      <c r="E4235" s="4">
        <v>6.2060009E9</v>
      </c>
      <c r="F4235" s="8" t="s">
        <v>604</v>
      </c>
      <c r="G4235" s="4" t="s">
        <v>808</v>
      </c>
      <c r="H4235" s="10" t="s">
        <v>816</v>
      </c>
      <c r="I4235" s="10">
        <v>4.0</v>
      </c>
      <c r="J4235" s="11" t="str">
        <f>IF(D4235&lt;&gt;"",VLOOKUP(H4235,TABLEITEM,5,FALSE),"")</f>
        <v>ท่อ</v>
      </c>
      <c r="K4235" s="12">
        <v>600.0</v>
      </c>
      <c r="L4235" s="13" t="str">
        <f>IF(D4235&lt;&gt;"",VLOOKUP(H4235,TABLEITEM,2,FALSE),"")</f>
        <v/>
      </c>
      <c r="M4235" s="13" t="str">
        <f>IF(D4235&lt;&gt;"",VLOOKUP(H4235,TABLEITEM,3,FALSE),"")</f>
        <v>อาร์กอน ขนาด 6คิว</v>
      </c>
      <c r="N4235" s="14">
        <f>INSTOCK!$I4235*INSTOCK!$K4235</f>
        <v>2400</v>
      </c>
      <c r="O4235" s="4"/>
      <c r="P4235" s="4"/>
    </row>
    <row r="4236" ht="15.75" hidden="1" customHeight="1">
      <c r="B4236" s="8">
        <v>4555.0</v>
      </c>
      <c r="C4236" s="9">
        <v>43631.0</v>
      </c>
      <c r="D4236" s="6" t="s">
        <v>5335</v>
      </c>
      <c r="E4236" s="4">
        <v>6.2060009E9</v>
      </c>
      <c r="F4236" s="8" t="s">
        <v>604</v>
      </c>
      <c r="G4236" s="4" t="s">
        <v>808</v>
      </c>
      <c r="H4236" s="18" t="s">
        <v>818</v>
      </c>
      <c r="I4236" s="10">
        <v>12.0</v>
      </c>
      <c r="J4236" s="11" t="str">
        <f>IF(D4236&lt;&gt;"",VLOOKUP(H4236,TABLEITEM,5,FALSE),"")</f>
        <v>ท่อ</v>
      </c>
      <c r="K4236" s="12">
        <v>300.0</v>
      </c>
      <c r="L4236" s="13" t="str">
        <f>IF(D4236&lt;&gt;"",VLOOKUP(H4236,TABLEITEM,2,FALSE),"")</f>
        <v/>
      </c>
      <c r="M4236" s="13" t="str">
        <f>IF(D4236&lt;&gt;"",VLOOKUP(H4236,TABLEITEM,3,FALSE),"")</f>
        <v>คาร์บอนไดออกไซด์ ขนาด 25 กก</v>
      </c>
      <c r="N4236" s="14">
        <f>INSTOCK!$I4236*INSTOCK!$K4236</f>
        <v>3600</v>
      </c>
      <c r="O4236" s="4"/>
      <c r="P4236" s="4"/>
    </row>
    <row r="4237" ht="15.75" hidden="1" customHeight="1">
      <c r="B4237" s="8">
        <v>4556.0</v>
      </c>
      <c r="C4237" s="9">
        <v>43631.0</v>
      </c>
      <c r="D4237" s="6" t="s">
        <v>5336</v>
      </c>
      <c r="E4237" s="4">
        <v>6.206000891E9</v>
      </c>
      <c r="F4237" s="8" t="s">
        <v>604</v>
      </c>
      <c r="G4237" s="4" t="s">
        <v>3541</v>
      </c>
      <c r="H4237" s="10" t="s">
        <v>1894</v>
      </c>
      <c r="I4237" s="10">
        <v>70.0</v>
      </c>
      <c r="J4237" s="11" t="str">
        <f>IF(D4237&lt;&gt;"",VLOOKUP(H4237,TABLEITEM,5,FALSE),"")</f>
        <v>EA</v>
      </c>
      <c r="K4237" s="12">
        <v>70.0</v>
      </c>
      <c r="L4237" s="13" t="str">
        <f>IF(D4237&lt;&gt;"",VLOOKUP(H4237,TABLEITEM,2,FALSE),"")</f>
        <v/>
      </c>
      <c r="M4237" s="13" t="str">
        <f>IF(D4237&lt;&gt;"",VLOOKUP(H4237,TABLEITEM,3,FALSE),"")</f>
        <v>FUSE CONTROL 1P 10x38 4A</v>
      </c>
      <c r="N4237" s="14">
        <f>INSTOCK!$I4237*INSTOCK!$K4237</f>
        <v>4900</v>
      </c>
      <c r="O4237" s="4"/>
      <c r="P4237" s="4"/>
    </row>
    <row r="4238" ht="15.75" hidden="1" customHeight="1">
      <c r="B4238" s="8">
        <v>4557.0</v>
      </c>
      <c r="C4238" s="9">
        <v>43631.0</v>
      </c>
      <c r="D4238" s="6" t="s">
        <v>5336</v>
      </c>
      <c r="E4238" s="4">
        <v>6.206000891E9</v>
      </c>
      <c r="F4238" s="8" t="s">
        <v>604</v>
      </c>
      <c r="G4238" s="4" t="s">
        <v>3541</v>
      </c>
      <c r="H4238" s="10" t="s">
        <v>1895</v>
      </c>
      <c r="I4238" s="10">
        <v>30.0</v>
      </c>
      <c r="J4238" s="11" t="str">
        <f>IF(D4238&lt;&gt;"",VLOOKUP(H4238,TABLEITEM,5,FALSE),"")</f>
        <v>EA</v>
      </c>
      <c r="K4238" s="12">
        <v>70.0</v>
      </c>
      <c r="L4238" s="13" t="str">
        <f>IF(D4238&lt;&gt;"",VLOOKUP(H4238,TABLEITEM,2,FALSE),"")</f>
        <v/>
      </c>
      <c r="M4238" s="13" t="str">
        <f>IF(D4238&lt;&gt;"",VLOOKUP(H4238,TABLEITEM,3,FALSE),"")</f>
        <v>FUSE CONTROL 1P 10x38 6A</v>
      </c>
      <c r="N4238" s="14">
        <f>INSTOCK!$I4238*INSTOCK!$K4238</f>
        <v>2100</v>
      </c>
      <c r="O4238" s="4"/>
      <c r="P4238" s="4"/>
    </row>
    <row r="4239" ht="15.75" hidden="1" customHeight="1">
      <c r="B4239" s="8">
        <v>4558.0</v>
      </c>
      <c r="C4239" s="9">
        <v>43631.0</v>
      </c>
      <c r="D4239" s="6" t="s">
        <v>5336</v>
      </c>
      <c r="E4239" s="4">
        <v>6.206000891E9</v>
      </c>
      <c r="F4239" s="8" t="s">
        <v>604</v>
      </c>
      <c r="G4239" s="4" t="s">
        <v>3541</v>
      </c>
      <c r="H4239" s="10" t="s">
        <v>5337</v>
      </c>
      <c r="I4239" s="10">
        <v>20.0</v>
      </c>
      <c r="J4239" s="11" t="str">
        <f>IF(D4239&lt;&gt;"",VLOOKUP(H4239,TABLEITEM,5,FALSE),"")</f>
        <v>EA</v>
      </c>
      <c r="K4239" s="12">
        <v>12.0</v>
      </c>
      <c r="L4239" s="13" t="str">
        <f>IF(D4239&lt;&gt;"",VLOOKUP(H4239,TABLEITEM,2,FALSE),"")</f>
        <v/>
      </c>
      <c r="M4239" s="13" t="str">
        <f>IF(D4239&lt;&gt;"",VLOOKUP(H4239,TABLEITEM,3,FALSE),"")</f>
        <v>FUSE LINK Size 10x38 10A</v>
      </c>
      <c r="N4239" s="14">
        <f>INSTOCK!$I4239*INSTOCK!$K4239</f>
        <v>240</v>
      </c>
      <c r="O4239" s="4"/>
      <c r="P4239" s="4"/>
    </row>
    <row r="4240" ht="15.75" hidden="1" customHeight="1">
      <c r="B4240" s="8">
        <v>4559.0</v>
      </c>
      <c r="C4240" s="9">
        <v>43630.0</v>
      </c>
      <c r="D4240" s="6">
        <v>6.20604402E8</v>
      </c>
      <c r="E4240" s="4">
        <v>6.206000892E9</v>
      </c>
      <c r="F4240" s="8" t="s">
        <v>604</v>
      </c>
      <c r="G4240" s="4" t="s">
        <v>1130</v>
      </c>
      <c r="H4240" s="10" t="s">
        <v>245</v>
      </c>
      <c r="I4240" s="10">
        <v>5000.0</v>
      </c>
      <c r="J4240" s="11" t="str">
        <f>IF(D4240&lt;&gt;"",VLOOKUP(H4240,TABLEITEM,5,FALSE),"")</f>
        <v>EA</v>
      </c>
      <c r="K4240" s="12">
        <v>0.63</v>
      </c>
      <c r="L4240" s="13" t="str">
        <f>IF(D4240&lt;&gt;"",VLOOKUP(H4240,TABLEITEM,2,FALSE),"")</f>
        <v/>
      </c>
      <c r="M4240" s="13" t="str">
        <f>IF(D4240&lt;&gt;"",VLOOKUP(H4240,TABLEITEM,3,FALSE),"")</f>
        <v>หางปลาแฉกเปลือย Y1.5-3S</v>
      </c>
      <c r="N4240" s="14">
        <f>INSTOCK!$I4240*INSTOCK!$K4240</f>
        <v>3150</v>
      </c>
      <c r="O4240" s="4" t="s">
        <v>1830</v>
      </c>
      <c r="P4240" s="4"/>
    </row>
    <row r="4241" ht="15.75" hidden="1" customHeight="1">
      <c r="B4241" s="8">
        <v>4560.0</v>
      </c>
      <c r="C4241" s="9">
        <v>43630.0</v>
      </c>
      <c r="D4241" s="6">
        <v>6.20604402E8</v>
      </c>
      <c r="E4241" s="4">
        <v>6.206000892E9</v>
      </c>
      <c r="F4241" s="8" t="s">
        <v>604</v>
      </c>
      <c r="G4241" s="4" t="s">
        <v>1130</v>
      </c>
      <c r="H4241" s="10" t="s">
        <v>248</v>
      </c>
      <c r="I4241" s="10">
        <v>2500.0</v>
      </c>
      <c r="J4241" s="11" t="str">
        <f>IF(D4241&lt;&gt;"",VLOOKUP(H4241,TABLEITEM,5,FALSE),"")</f>
        <v>EA</v>
      </c>
      <c r="K4241" s="12">
        <v>0.63</v>
      </c>
      <c r="L4241" s="13" t="str">
        <f>IF(D4241&lt;&gt;"",VLOOKUP(H4241,TABLEITEM,2,FALSE),"")</f>
        <v/>
      </c>
      <c r="M4241" s="13" t="str">
        <f>IF(D4241&lt;&gt;"",VLOOKUP(H4241,TABLEITEM,3,FALSE),"")</f>
        <v>หางปลาแฉกเปลือย Y2.5-4S</v>
      </c>
      <c r="N4241" s="14">
        <f>INSTOCK!$I4241*INSTOCK!$K4241</f>
        <v>1575</v>
      </c>
      <c r="O4241" s="4" t="s">
        <v>1830</v>
      </c>
      <c r="P4241" s="4"/>
    </row>
    <row r="4242" ht="15.75" hidden="1" customHeight="1">
      <c r="B4242" s="8">
        <v>4561.0</v>
      </c>
      <c r="C4242" s="9">
        <v>43631.0</v>
      </c>
      <c r="D4242" s="6" t="s">
        <v>5338</v>
      </c>
      <c r="E4242" s="4">
        <v>6.206000903E9</v>
      </c>
      <c r="F4242" s="8" t="s">
        <v>3166</v>
      </c>
      <c r="G4242" s="4" t="s">
        <v>965</v>
      </c>
      <c r="H4242" s="10" t="s">
        <v>2151</v>
      </c>
      <c r="I4242" s="10">
        <v>1.0</v>
      </c>
      <c r="J4242" s="11" t="str">
        <f>IF(D4242&lt;&gt;"",VLOOKUP(H4242,TABLEITEM,5,FALSE),"")</f>
        <v>EA</v>
      </c>
      <c r="K4242" s="12">
        <v>1400.0</v>
      </c>
      <c r="L4242" s="13" t="str">
        <f>IF(D4242&lt;&gt;"",VLOOKUP(H4242,TABLEITEM,2,FALSE),"")</f>
        <v/>
      </c>
      <c r="M4242" s="13" t="str">
        <f>IF(D4242&lt;&gt;"",VLOOKUP(H4242,TABLEITEM,3,FALSE),"")</f>
        <v>เครื่องเจียร์ 7-100 BOSCH</v>
      </c>
      <c r="N4242" s="14">
        <f>INSTOCK!$I4242*INSTOCK!$K4242</f>
        <v>1400</v>
      </c>
      <c r="O4242" s="4"/>
      <c r="P4242" s="4"/>
    </row>
    <row r="4243" ht="15.75" hidden="1" customHeight="1">
      <c r="B4243" s="8">
        <v>4562.0</v>
      </c>
      <c r="C4243" s="9">
        <v>43633.0</v>
      </c>
      <c r="D4243" s="6" t="s">
        <v>5339</v>
      </c>
      <c r="E4243" s="4"/>
      <c r="F4243" s="8" t="s">
        <v>604</v>
      </c>
      <c r="G4243" s="4" t="s">
        <v>3327</v>
      </c>
      <c r="H4243" s="18" t="s">
        <v>4801</v>
      </c>
      <c r="I4243" s="10">
        <v>3.0</v>
      </c>
      <c r="J4243" s="11" t="str">
        <f>IF(D4243&lt;&gt;"",VLOOKUP(H4243,TABLEITEM,5,FALSE),"")</f>
        <v>EA</v>
      </c>
      <c r="K4243" s="12">
        <v>214.95</v>
      </c>
      <c r="L4243" s="13" t="str">
        <f>IF(D4243&lt;&gt;"",VLOOKUP(H4243,TABLEITEM,2,FALSE),"")</f>
        <v/>
      </c>
      <c r="M4243" s="13" t="str">
        <f>IF(D4243&lt;&gt;"",VLOOKUP(H4243,TABLEITEM,3,FALSE),"")</f>
        <v>ใบพัดลม 22" (A14) PP+CA สีเทา DGR15-4503</v>
      </c>
      <c r="N4243" s="14">
        <f>INSTOCK!$I4243*INSTOCK!$K4243</f>
        <v>644.85</v>
      </c>
      <c r="O4243" s="4"/>
      <c r="P4243" s="4"/>
    </row>
    <row r="4244" ht="15.75" hidden="1" customHeight="1">
      <c r="B4244" s="8">
        <v>4563.0</v>
      </c>
      <c r="C4244" s="9">
        <v>43634.0</v>
      </c>
      <c r="D4244" s="6" t="s">
        <v>5340</v>
      </c>
      <c r="E4244" s="4">
        <v>6.206000897E9</v>
      </c>
      <c r="F4244" s="8" t="s">
        <v>604</v>
      </c>
      <c r="G4244" s="4" t="s">
        <v>798</v>
      </c>
      <c r="H4244" s="10" t="s">
        <v>112</v>
      </c>
      <c r="I4244" s="10">
        <v>100.0</v>
      </c>
      <c r="J4244" s="11" t="str">
        <f>IF(D4244&lt;&gt;"",VLOOKUP(H4244,TABLEITEM,5,FALSE),"")</f>
        <v>EA</v>
      </c>
      <c r="K4244" s="12">
        <v>30.0</v>
      </c>
      <c r="L4244" s="13" t="str">
        <f>IF(D4244&lt;&gt;"",VLOOKUP(H4244,TABLEITEM,2,FALSE),"")</f>
        <v/>
      </c>
      <c r="M4244" s="13" t="str">
        <f>IF(D4244&lt;&gt;"",VLOOKUP(H4244,TABLEITEM,3,FALSE),"")</f>
        <v>กุญแจกลมดำ174-04-G016-16</v>
      </c>
      <c r="N4244" s="14">
        <f>INSTOCK!$I4244*INSTOCK!$K4244</f>
        <v>3000</v>
      </c>
      <c r="O4244" s="4"/>
      <c r="P4244" s="4"/>
    </row>
    <row r="4245" ht="15.75" hidden="1" customHeight="1">
      <c r="B4245" s="8">
        <v>4564.0</v>
      </c>
      <c r="C4245" s="9">
        <v>43615.0</v>
      </c>
      <c r="D4245" s="6" t="s">
        <v>5341</v>
      </c>
      <c r="E4245" s="4"/>
      <c r="F4245" s="8" t="s">
        <v>3727</v>
      </c>
      <c r="G4245" s="4" t="s">
        <v>2941</v>
      </c>
      <c r="H4245" s="10" t="s">
        <v>5342</v>
      </c>
      <c r="I4245" s="10">
        <v>4.0</v>
      </c>
      <c r="J4245" s="11" t="str">
        <f>IF(D4245&lt;&gt;"",VLOOKUP(H4245,TABLEITEM,5,FALSE),"")</f>
        <v>EA</v>
      </c>
      <c r="K4245" s="12">
        <v>3750.0</v>
      </c>
      <c r="L4245" s="13" t="str">
        <f>IF(D4245&lt;&gt;"",VLOOKUP(H4245,TABLEITEM,2,FALSE),"")</f>
        <v/>
      </c>
      <c r="M4245" s="13" t="str">
        <f>IF(D4245&lt;&gt;"",VLOOKUP(H4245,TABLEITEM,3,FALSE),"")</f>
        <v>IQDEMY UV Premium ink 1L (White)</v>
      </c>
      <c r="N4245" s="14">
        <f>INSTOCK!$I4245*INSTOCK!$K4245</f>
        <v>15000</v>
      </c>
      <c r="O4245" s="4"/>
      <c r="P4245" s="4"/>
    </row>
    <row r="4246" ht="15.75" hidden="1" customHeight="1">
      <c r="B4246" s="8">
        <v>4565.0</v>
      </c>
      <c r="C4246" s="9">
        <v>43633.0</v>
      </c>
      <c r="D4246" s="6" t="s">
        <v>5343</v>
      </c>
      <c r="E4246" s="4"/>
      <c r="F4246" s="8" t="s">
        <v>1989</v>
      </c>
      <c r="G4246" s="4" t="s">
        <v>2014</v>
      </c>
      <c r="H4246" s="10" t="s">
        <v>5344</v>
      </c>
      <c r="I4246" s="10">
        <v>1.0</v>
      </c>
      <c r="J4246" s="11" t="str">
        <f>IF(D4246&lt;&gt;"",VLOOKUP(H4246,TABLEITEM,5,FALSE),"")</f>
        <v>EA</v>
      </c>
      <c r="K4246" s="12">
        <v>328.04</v>
      </c>
      <c r="L4246" s="13" t="str">
        <f>IF(D4246&lt;&gt;"",VLOOKUP(H4246,TABLEITEM,2,FALSE),"")</f>
        <v/>
      </c>
      <c r="M4246" s="13" t="str">
        <f>IF(D4246&lt;&gt;"",VLOOKUP(H4246,TABLEITEM,3,FALSE),"")</f>
        <v>ตลับผ้าหมึกดอท S015589</v>
      </c>
      <c r="N4246" s="14">
        <f>INSTOCK!$I4246*INSTOCK!$K4246</f>
        <v>328.04</v>
      </c>
      <c r="O4246" s="4"/>
      <c r="P4246" s="4"/>
    </row>
    <row r="4247" ht="15.75" hidden="1" customHeight="1">
      <c r="B4247" s="8">
        <v>4566.0</v>
      </c>
      <c r="C4247" s="9">
        <v>43634.0</v>
      </c>
      <c r="D4247" s="6" t="s">
        <v>5345</v>
      </c>
      <c r="E4247" s="4">
        <v>6.206000899E9</v>
      </c>
      <c r="F4247" s="8" t="s">
        <v>604</v>
      </c>
      <c r="G4247" s="4" t="s">
        <v>2121</v>
      </c>
      <c r="H4247" s="10" t="s">
        <v>5346</v>
      </c>
      <c r="I4247" s="10">
        <v>4000.0</v>
      </c>
      <c r="J4247" s="11" t="str">
        <f>IF(D4247&lt;&gt;"",VLOOKUP(H4247,TABLEITEM,5,FALSE),"")</f>
        <v>EA</v>
      </c>
      <c r="K4247" s="12">
        <v>0.37</v>
      </c>
      <c r="L4247" s="13" t="str">
        <f>IF(D4247&lt;&gt;"",VLOOKUP(H4247,TABLEITEM,2,FALSE),"")</f>
        <v/>
      </c>
      <c r="M4247" s="13" t="str">
        <f>IF(D4247&lt;&gt;"",VLOOKUP(H4247,TABLEITEM,3,FALSE),"")</f>
        <v>สกรูเกลียวปล่อยปลายตัด M4x10</v>
      </c>
      <c r="N4247" s="14">
        <f>INSTOCK!$I4247*INSTOCK!$K4247</f>
        <v>1480</v>
      </c>
      <c r="O4247" s="4"/>
      <c r="P4247" s="4"/>
    </row>
    <row r="4248" ht="15.75" hidden="1" customHeight="1">
      <c r="B4248" s="8">
        <v>4567.0</v>
      </c>
      <c r="C4248" s="9">
        <v>43633.0</v>
      </c>
      <c r="D4248" s="6" t="s">
        <v>5347</v>
      </c>
      <c r="E4248" s="4">
        <v>6.206000914E9</v>
      </c>
      <c r="F4248" s="8" t="s">
        <v>604</v>
      </c>
      <c r="G4248" s="4" t="s">
        <v>721</v>
      </c>
      <c r="H4248" s="10" t="s">
        <v>164</v>
      </c>
      <c r="I4248" s="10">
        <v>2000.0</v>
      </c>
      <c r="J4248" s="11" t="str">
        <f>IF(D4248&lt;&gt;"",VLOOKUP(H4248,TABLEITEM,5,FALSE),"")</f>
        <v>EA</v>
      </c>
      <c r="K4248" s="12">
        <v>0.4074</v>
      </c>
      <c r="L4248" s="13" t="str">
        <f>IF(D4248&lt;&gt;"",VLOOKUP(H4248,TABLEITEM,2,FALSE),"")</f>
        <v/>
      </c>
      <c r="M4248" s="13" t="str">
        <f>IF(D4248&lt;&gt;"",VLOOKUP(H4248,TABLEITEM,3,FALSE),"")</f>
        <v>เคเบิ้ลไทร์ 8" สีดำCT-200B-3C</v>
      </c>
      <c r="N4248" s="14">
        <f>INSTOCK!$I4248*INSTOCK!$K4248</f>
        <v>814.8</v>
      </c>
      <c r="O4248" s="4" t="s">
        <v>1219</v>
      </c>
      <c r="P4248" s="4"/>
    </row>
    <row r="4249" ht="15.75" hidden="1" customHeight="1">
      <c r="B4249" s="8">
        <v>4568.0</v>
      </c>
      <c r="C4249" s="9">
        <v>43633.0</v>
      </c>
      <c r="D4249" s="6" t="s">
        <v>5348</v>
      </c>
      <c r="E4249" s="4">
        <v>6.20600089E9</v>
      </c>
      <c r="F4249" s="8" t="s">
        <v>604</v>
      </c>
      <c r="G4249" s="4" t="s">
        <v>721</v>
      </c>
      <c r="H4249" s="10" t="s">
        <v>159</v>
      </c>
      <c r="I4249" s="10">
        <v>2000.0</v>
      </c>
      <c r="J4249" s="11" t="str">
        <f>IF(D4249&lt;&gt;"",VLOOKUP(H4249,TABLEITEM,5,FALSE),"")</f>
        <v>EA</v>
      </c>
      <c r="K4249" s="12">
        <v>0.1164</v>
      </c>
      <c r="L4249" s="13" t="str">
        <f>IF(D4249&lt;&gt;"",VLOOKUP(H4249,TABLEITEM,2,FALSE),"")</f>
        <v/>
      </c>
      <c r="M4249" s="13" t="str">
        <f>IF(D4249&lt;&gt;"",VLOOKUP(H4249,TABLEITEM,3,FALSE),"")</f>
        <v>เคเบิ้ลไทร์ 4" สีขาวCT-100-2C</v>
      </c>
      <c r="N4249" s="14">
        <f>INSTOCK!$I4249*INSTOCK!$K4249</f>
        <v>232.8</v>
      </c>
      <c r="O4249" s="4"/>
      <c r="P4249" s="4"/>
    </row>
    <row r="4250" ht="15.75" hidden="1" customHeight="1">
      <c r="B4250" s="8">
        <v>4569.0</v>
      </c>
      <c r="C4250" s="9">
        <v>43633.0</v>
      </c>
      <c r="D4250" s="6" t="s">
        <v>5348</v>
      </c>
      <c r="E4250" s="4">
        <v>6.20600089E9</v>
      </c>
      <c r="F4250" s="8" t="s">
        <v>604</v>
      </c>
      <c r="G4250" s="4" t="s">
        <v>721</v>
      </c>
      <c r="H4250" s="10" t="s">
        <v>204</v>
      </c>
      <c r="I4250" s="10">
        <v>40.0</v>
      </c>
      <c r="J4250" s="11" t="str">
        <f>IF(D4250&lt;&gt;"",VLOOKUP(H4250,TABLEITEM,5,FALSE),"")</f>
        <v>EA</v>
      </c>
      <c r="K4250" s="12">
        <v>102.432</v>
      </c>
      <c r="L4250" s="13" t="str">
        <f>IF(D4250&lt;&gt;"",VLOOKUP(H4250,TABLEITEM,2,FALSE),"")</f>
        <v/>
      </c>
      <c r="M4250" s="13" t="str">
        <f>IF(D4250&lt;&gt;"",VLOOKUP(H4250,TABLEITEM,3,FALSE),"")</f>
        <v>รางวายดัก/รางPVC 33x45 mm.</v>
      </c>
      <c r="N4250" s="14">
        <f>INSTOCK!$I4250*INSTOCK!$K4250</f>
        <v>4097.28</v>
      </c>
      <c r="O4250" s="4"/>
      <c r="P4250" s="4"/>
    </row>
    <row r="4251" ht="15.75" hidden="1" customHeight="1">
      <c r="B4251" s="8">
        <v>4570.0</v>
      </c>
      <c r="C4251" s="9">
        <v>43634.0</v>
      </c>
      <c r="D4251" s="6">
        <v>1906147.0</v>
      </c>
      <c r="E4251" s="4">
        <v>6.206000917E9</v>
      </c>
      <c r="F4251" s="8" t="s">
        <v>604</v>
      </c>
      <c r="G4251" s="4" t="s">
        <v>5349</v>
      </c>
      <c r="H4251" s="10" t="s">
        <v>85</v>
      </c>
      <c r="I4251" s="10">
        <v>200.0</v>
      </c>
      <c r="J4251" s="11" t="str">
        <f>IF(D4251&lt;&gt;"",VLOOKUP(H4251,TABLEITEM,5,FALSE),"")</f>
        <v>KG.</v>
      </c>
      <c r="K4251" s="12">
        <v>112.0</v>
      </c>
      <c r="L4251" s="13" t="str">
        <f>IF(D4251&lt;&gt;"",VLOOKUP(H4251,TABLEITEM,2,FALSE),"")</f>
        <v/>
      </c>
      <c r="M4251" s="13" t="str">
        <f>IF(D4251&lt;&gt;"",VLOOKUP(H4251,TABLEITEM,3,FALSE),"")</f>
        <v>สีฝุ่น GH433241 สีเทาย่น</v>
      </c>
      <c r="N4251" s="14">
        <f>INSTOCK!$I4251*INSTOCK!$K4251</f>
        <v>22400</v>
      </c>
      <c r="O4251" s="4"/>
      <c r="P4251" s="4"/>
    </row>
    <row r="4252" ht="15.75" hidden="1" customHeight="1">
      <c r="B4252" s="8">
        <v>4571.0</v>
      </c>
      <c r="C4252" s="9">
        <v>43402.0</v>
      </c>
      <c r="D4252" s="6" t="s">
        <v>5350</v>
      </c>
      <c r="E4252" s="4"/>
      <c r="F4252" s="8" t="s">
        <v>5351</v>
      </c>
      <c r="G4252" s="4" t="s">
        <v>3029</v>
      </c>
      <c r="H4252" s="10" t="s">
        <v>3030</v>
      </c>
      <c r="I4252" s="10">
        <v>10.83</v>
      </c>
      <c r="J4252" s="11" t="str">
        <f>IF(D4252&lt;&gt;"",VLOOKUP(H4252,TABLEITEM,5,FALSE),"")</f>
        <v>LOT</v>
      </c>
      <c r="K4252" s="12">
        <v>55.0</v>
      </c>
      <c r="L4252" s="13" t="str">
        <f>IF(D4252&lt;&gt;"",VLOOKUP(H4252,TABLEITEM,2,FALSE),"")</f>
        <v/>
      </c>
      <c r="M4252" s="13" t="str">
        <f>IF(D4252&lt;&gt;"",VLOOKUP(H4252,TABLEITEM,3,FALSE),"")</f>
        <v>ค่าชุบ ดีบุกเงา</v>
      </c>
      <c r="N4252" s="14">
        <f>INSTOCK!$I4252*INSTOCK!$K4252</f>
        <v>595.65</v>
      </c>
      <c r="O4252" s="4"/>
      <c r="P4252" s="4"/>
    </row>
    <row r="4253" ht="15.75" hidden="1" customHeight="1">
      <c r="B4253" s="8">
        <v>4572.0</v>
      </c>
      <c r="C4253" s="9">
        <v>43400.0</v>
      </c>
      <c r="D4253" s="6" t="s">
        <v>5352</v>
      </c>
      <c r="E4253" s="4"/>
      <c r="F4253" s="8" t="s">
        <v>1989</v>
      </c>
      <c r="G4253" s="4" t="s">
        <v>3045</v>
      </c>
      <c r="H4253" s="10" t="s">
        <v>5353</v>
      </c>
      <c r="I4253" s="10">
        <v>3.0</v>
      </c>
      <c r="J4253" s="11" t="str">
        <f>IF(D4253&lt;&gt;"",VLOOKUP(H4253,TABLEITEM,5,FALSE),"")</f>
        <v>EA</v>
      </c>
      <c r="K4253" s="12">
        <v>560.0</v>
      </c>
      <c r="L4253" s="13" t="str">
        <f>IF(D4253&lt;&gt;"",VLOOKUP(H4253,TABLEITEM,2,FALSE),"")</f>
        <v/>
      </c>
      <c r="M4253" s="13" t="str">
        <f>IF(D4253&lt;&gt;"",VLOOKUP(H4253,TABLEITEM,3,FALSE),"")</f>
        <v>แบตเตอรี่แห้ง LEOCH LP 12-7.8 12V7.8AH</v>
      </c>
      <c r="N4253" s="14">
        <f>INSTOCK!$I4253*INSTOCK!$K4253</f>
        <v>1680</v>
      </c>
      <c r="O4253" s="4"/>
      <c r="P4253" s="4"/>
    </row>
    <row r="4254" ht="15.75" hidden="1" customHeight="1">
      <c r="B4254" s="8">
        <v>4573.0</v>
      </c>
      <c r="C4254" s="9">
        <v>43400.0</v>
      </c>
      <c r="D4254" s="6" t="s">
        <v>5354</v>
      </c>
      <c r="E4254" s="4">
        <v>6.110001313E9</v>
      </c>
      <c r="F4254" s="8" t="s">
        <v>604</v>
      </c>
      <c r="G4254" s="4" t="s">
        <v>965</v>
      </c>
      <c r="H4254" s="10" t="s">
        <v>3161</v>
      </c>
      <c r="I4254" s="10">
        <v>50.0</v>
      </c>
      <c r="J4254" s="11" t="str">
        <f>IF(D4254&lt;&gt;"",VLOOKUP(H4254,TABLEITEM,5,FALSE),"")</f>
        <v>EA</v>
      </c>
      <c r="K4254" s="12">
        <v>10.0</v>
      </c>
      <c r="L4254" s="13" t="str">
        <f>IF(D4254&lt;&gt;"",VLOOKUP(H4254,TABLEITEM,2,FALSE),"")</f>
        <v/>
      </c>
      <c r="M4254" s="13" t="str">
        <f>IF(D4254&lt;&gt;"",VLOOKUP(H4254,TABLEITEM,3,FALSE),"")</f>
        <v>ใบตัดเหล็ก 4" SUMO</v>
      </c>
      <c r="N4254" s="14">
        <f>INSTOCK!$I4254*INSTOCK!$K4254</f>
        <v>500</v>
      </c>
      <c r="O4254" s="4"/>
      <c r="P4254" s="4"/>
    </row>
    <row r="4255" ht="15.75" hidden="1" customHeight="1">
      <c r="B4255" s="8">
        <v>4574.0</v>
      </c>
      <c r="C4255" s="9">
        <v>43400.0</v>
      </c>
      <c r="D4255" s="6" t="s">
        <v>5354</v>
      </c>
      <c r="E4255" s="4">
        <v>6.110001313E9</v>
      </c>
      <c r="F4255" s="8" t="s">
        <v>604</v>
      </c>
      <c r="G4255" s="4" t="s">
        <v>965</v>
      </c>
      <c r="H4255" s="10" t="s">
        <v>3732</v>
      </c>
      <c r="I4255" s="10">
        <v>1.0</v>
      </c>
      <c r="J4255" s="11" t="str">
        <f>IF(D4255&lt;&gt;"",VLOOKUP(H4255,TABLEITEM,5,FALSE),"")</f>
        <v>EA</v>
      </c>
      <c r="K4255" s="12">
        <v>6.0</v>
      </c>
      <c r="L4255" s="13" t="str">
        <f>IF(D4255&lt;&gt;"",VLOOKUP(H4255,TABLEITEM,2,FALSE),"")</f>
        <v/>
      </c>
      <c r="M4255" s="13" t="str">
        <f>IF(D4255&lt;&gt;"",VLOOKUP(H4255,TABLEITEM,3,FALSE),"")</f>
        <v>ต่อตรง 1"</v>
      </c>
      <c r="N4255" s="14">
        <f>INSTOCK!$I4255*INSTOCK!$K4255</f>
        <v>6</v>
      </c>
      <c r="O4255" s="4"/>
      <c r="P4255" s="4"/>
    </row>
    <row r="4256" ht="15.75" hidden="1" customHeight="1">
      <c r="B4256" s="8">
        <v>4575.0</v>
      </c>
      <c r="C4256" s="9">
        <v>43400.0</v>
      </c>
      <c r="D4256" s="6" t="s">
        <v>5354</v>
      </c>
      <c r="E4256" s="4">
        <v>6.110001313E9</v>
      </c>
      <c r="F4256" s="8" t="s">
        <v>604</v>
      </c>
      <c r="G4256" s="4" t="s">
        <v>965</v>
      </c>
      <c r="H4256" s="10" t="s">
        <v>3729</v>
      </c>
      <c r="I4256" s="10">
        <v>2.0</v>
      </c>
      <c r="J4256" s="11" t="str">
        <f>IF(D4256&lt;&gt;"",VLOOKUP(H4256,TABLEITEM,5,FALSE),"")</f>
        <v>EA</v>
      </c>
      <c r="K4256" s="12">
        <v>8.0</v>
      </c>
      <c r="L4256" s="13" t="str">
        <f>IF(D4256&lt;&gt;"",VLOOKUP(H4256,TABLEITEM,2,FALSE),"")</f>
        <v/>
      </c>
      <c r="M4256" s="13" t="str">
        <f>IF(D4256&lt;&gt;"",VLOOKUP(H4256,TABLEITEM,3,FALSE),"")</f>
        <v>ข้องอ 90 1"</v>
      </c>
      <c r="N4256" s="14">
        <f>INSTOCK!$I4256*INSTOCK!$K4256</f>
        <v>16</v>
      </c>
      <c r="O4256" s="4"/>
      <c r="P4256" s="4"/>
    </row>
    <row r="4257" ht="15.75" hidden="1" customHeight="1">
      <c r="B4257" s="8">
        <v>4576.0</v>
      </c>
      <c r="C4257" s="9">
        <v>43400.0</v>
      </c>
      <c r="D4257" s="6" t="s">
        <v>5354</v>
      </c>
      <c r="E4257" s="4">
        <v>6.110001313E9</v>
      </c>
      <c r="F4257" s="8" t="s">
        <v>604</v>
      </c>
      <c r="G4257" s="4" t="s">
        <v>965</v>
      </c>
      <c r="H4257" s="18" t="s">
        <v>5355</v>
      </c>
      <c r="I4257" s="10">
        <v>1.0</v>
      </c>
      <c r="J4257" s="11" t="str">
        <f>IF(D4257&lt;&gt;"",VLOOKUP(H4257,TABLEITEM,5,FALSE),"")</f>
        <v>กป.</v>
      </c>
      <c r="K4257" s="12">
        <v>38.0</v>
      </c>
      <c r="L4257" s="13" t="str">
        <f>IF(D4257&lt;&gt;"",VLOOKUP(H4257,TABLEITEM,2,FALSE),"")</f>
        <v/>
      </c>
      <c r="M4257" s="13" t="str">
        <f>IF(D4257&lt;&gt;"",VLOOKUP(H4257,TABLEITEM,3,FALSE),"")</f>
        <v>กาวทาท่อน้ำไทย 50G</v>
      </c>
      <c r="N4257" s="14">
        <f>INSTOCK!$I4257*INSTOCK!$K4257</f>
        <v>38</v>
      </c>
      <c r="O4257" s="4"/>
      <c r="P4257" s="4"/>
    </row>
    <row r="4258" ht="15.75" hidden="1" customHeight="1">
      <c r="B4258" s="8">
        <v>4577.0</v>
      </c>
      <c r="C4258" s="9">
        <v>43399.0</v>
      </c>
      <c r="D4258" s="6" t="s">
        <v>5356</v>
      </c>
      <c r="E4258" s="4"/>
      <c r="F4258" s="8" t="s">
        <v>5357</v>
      </c>
      <c r="G4258" s="4" t="s">
        <v>5358</v>
      </c>
      <c r="H4258" s="10" t="s">
        <v>5359</v>
      </c>
      <c r="I4258" s="10">
        <v>2.0</v>
      </c>
      <c r="J4258" s="11" t="str">
        <f>IF(D4258&lt;&gt;"",VLOOKUP(H4258,TABLEITEM,5,FALSE),"")</f>
        <v>EA</v>
      </c>
      <c r="K4258" s="12">
        <v>783.75</v>
      </c>
      <c r="L4258" s="13" t="str">
        <f>IF(D4258&lt;&gt;"",VLOOKUP(H4258,TABLEITEM,2,FALSE),"")</f>
        <v/>
      </c>
      <c r="M4258" s="13" t="str">
        <f>IF(D4258&lt;&gt;"",VLOOKUP(H4258,TABLEITEM,3,FALSE),"")</f>
        <v>RUBBER FLEX COLLET FOR VTA TAPPER</v>
      </c>
      <c r="N4258" s="14">
        <f>INSTOCK!$I4258*INSTOCK!$K4258</f>
        <v>1567.5</v>
      </c>
      <c r="O4258" s="4" t="s">
        <v>2632</v>
      </c>
      <c r="P4258" s="4"/>
    </row>
    <row r="4259" ht="15.75" hidden="1" customHeight="1">
      <c r="B4259" s="8">
        <v>4578.0</v>
      </c>
      <c r="C4259" s="9">
        <v>43399.0</v>
      </c>
      <c r="D4259" s="6" t="s">
        <v>5360</v>
      </c>
      <c r="E4259" s="4"/>
      <c r="F4259" s="8" t="s">
        <v>5361</v>
      </c>
      <c r="G4259" s="4" t="s">
        <v>5362</v>
      </c>
      <c r="H4259" s="10" t="s">
        <v>5363</v>
      </c>
      <c r="I4259" s="10">
        <v>5.0</v>
      </c>
      <c r="J4259" s="11" t="str">
        <f>IF(D4259&lt;&gt;"",VLOOKUP(H4259,TABLEITEM,5,FALSE),"")</f>
        <v>EA</v>
      </c>
      <c r="K4259" s="12">
        <v>35.0</v>
      </c>
      <c r="L4259" s="13" t="str">
        <f>IF(D4259&lt;&gt;"",VLOOKUP(H4259,TABLEITEM,2,FALSE),"")</f>
        <v/>
      </c>
      <c r="M4259" s="13" t="str">
        <f>IF(D4259&lt;&gt;"",VLOOKUP(H4259,TABLEITEM,3,FALSE),"")</f>
        <v>สกรูหัวจมเตเปอร์สเตนเลส M10x50</v>
      </c>
      <c r="N4259" s="14">
        <f>INSTOCK!$I4259*INSTOCK!$K4259</f>
        <v>175</v>
      </c>
      <c r="O4259" s="4"/>
      <c r="P4259" s="4"/>
    </row>
    <row r="4260" ht="15.75" hidden="1" customHeight="1">
      <c r="B4260" s="8">
        <v>4579.0</v>
      </c>
      <c r="C4260" s="9">
        <v>43399.0</v>
      </c>
      <c r="D4260" s="6" t="s">
        <v>5360</v>
      </c>
      <c r="E4260" s="4"/>
      <c r="F4260" s="8" t="s">
        <v>5361</v>
      </c>
      <c r="G4260" s="4" t="s">
        <v>5362</v>
      </c>
      <c r="H4260" s="10" t="s">
        <v>1942</v>
      </c>
      <c r="I4260" s="10">
        <v>5.0</v>
      </c>
      <c r="J4260" s="11" t="str">
        <f>IF(D4260&lt;&gt;"",VLOOKUP(H4260,TABLEITEM,5,FALSE),"")</f>
        <v>EA</v>
      </c>
      <c r="K4260" s="12">
        <v>10.0</v>
      </c>
      <c r="L4260" s="13" t="str">
        <f>IF(D4260&lt;&gt;"",VLOOKUP(H4260,TABLEITEM,2,FALSE),"")</f>
        <v/>
      </c>
      <c r="M4260" s="13" t="str">
        <f>IF(D4260&lt;&gt;"",VLOOKUP(H4260,TABLEITEM,3,FALSE),"")</f>
        <v>หัวน๊อต SUS M10</v>
      </c>
      <c r="N4260" s="14">
        <f>INSTOCK!$I4260*INSTOCK!$K4260</f>
        <v>50</v>
      </c>
      <c r="O4260" s="4"/>
      <c r="P4260" s="4"/>
    </row>
    <row r="4261" ht="15.75" hidden="1" customHeight="1">
      <c r="B4261" s="8">
        <v>4580.0</v>
      </c>
      <c r="C4261" s="9">
        <v>43398.0</v>
      </c>
      <c r="D4261" s="6" t="s">
        <v>5364</v>
      </c>
      <c r="E4261" s="4">
        <v>6.110001262E9</v>
      </c>
      <c r="F4261" s="8" t="s">
        <v>604</v>
      </c>
      <c r="G4261" s="4" t="s">
        <v>1777</v>
      </c>
      <c r="H4261" s="10" t="s">
        <v>2100</v>
      </c>
      <c r="I4261" s="10">
        <v>3000.0</v>
      </c>
      <c r="J4261" s="11" t="str">
        <f>IF(D4261&lt;&gt;"",VLOOKUP(H4261,TABLEITEM,5,FALSE),"")</f>
        <v>EA</v>
      </c>
      <c r="K4261" s="12">
        <v>0.7995</v>
      </c>
      <c r="L4261" s="13" t="str">
        <f>IF(D4261&lt;&gt;"",VLOOKUP(H4261,TABLEITEM,2,FALSE),"")</f>
        <v/>
      </c>
      <c r="M4261" s="13" t="str">
        <f>IF(D4261&lt;&gt;"",VLOOKUP(H4261,TABLEITEM,3,FALSE),"")</f>
        <v>สกรูหัวเหลี่ยมชุบขาว M8x20</v>
      </c>
      <c r="N4261" s="14">
        <f>INSTOCK!$I4261*INSTOCK!$K4261</f>
        <v>2398.5</v>
      </c>
      <c r="O4261" s="4" t="s">
        <v>2101</v>
      </c>
      <c r="P4261" s="4"/>
    </row>
    <row r="4262" ht="15.75" hidden="1" customHeight="1">
      <c r="B4262" s="8">
        <v>4581.0</v>
      </c>
      <c r="C4262" s="9">
        <v>43398.0</v>
      </c>
      <c r="D4262" s="6" t="s">
        <v>5364</v>
      </c>
      <c r="E4262" s="4">
        <v>6.110001262E9</v>
      </c>
      <c r="F4262" s="8" t="s">
        <v>604</v>
      </c>
      <c r="G4262" s="4" t="s">
        <v>1777</v>
      </c>
      <c r="H4262" s="10" t="s">
        <v>5365</v>
      </c>
      <c r="I4262" s="10">
        <v>2000.0</v>
      </c>
      <c r="J4262" s="11" t="str">
        <f>IF(D4262&lt;&gt;"",VLOOKUP(H4262,TABLEITEM,5,FALSE),"")</f>
        <v>EA</v>
      </c>
      <c r="K4262" s="12">
        <v>10.5</v>
      </c>
      <c r="L4262" s="13" t="str">
        <f>IF(D4262&lt;&gt;"",VLOOKUP(H4262,TABLEITEM,2,FALSE),"")</f>
        <v/>
      </c>
      <c r="M4262" s="13" t="str">
        <f>IF(D4262&lt;&gt;"",VLOOKUP(H4262,TABLEITEM,3,FALSE),"")</f>
        <v>สกรูหัวจมชุบรุ้ง M5x15</v>
      </c>
      <c r="N4262" s="14">
        <f>INSTOCK!$I4262*INSTOCK!$K4262</f>
        <v>21000</v>
      </c>
      <c r="O4262" s="4" t="s">
        <v>3939</v>
      </c>
      <c r="P4262" s="4"/>
    </row>
    <row r="4263" ht="15.75" hidden="1" customHeight="1">
      <c r="B4263" s="8">
        <v>4582.0</v>
      </c>
      <c r="C4263" s="9">
        <v>43395.0</v>
      </c>
      <c r="D4263" s="6" t="s">
        <v>5366</v>
      </c>
      <c r="E4263" s="4">
        <v>6.1100012588E10</v>
      </c>
      <c r="F4263" s="8" t="s">
        <v>604</v>
      </c>
      <c r="G4263" s="4" t="s">
        <v>4220</v>
      </c>
      <c r="H4263" s="10" t="s">
        <v>5367</v>
      </c>
      <c r="I4263" s="10">
        <v>1000.0</v>
      </c>
      <c r="J4263" s="11" t="str">
        <f>IF(D4263&lt;&gt;"",VLOOKUP(H4263,TABLEITEM,5,FALSE),"")</f>
        <v>EA</v>
      </c>
      <c r="K4263" s="12">
        <v>2.0</v>
      </c>
      <c r="L4263" s="13" t="str">
        <f>IF(D4263&lt;&gt;"",VLOOKUP(H4263,TABLEITEM,2,FALSE),"")</f>
        <v/>
      </c>
      <c r="M4263" s="13" t="str">
        <f>IF(D4263&lt;&gt;"",VLOOKUP(H4263,TABLEITEM,3,FALSE),"")</f>
        <v>สติ๊กเกอร์ PVC ขาวมัน ขนาด 4x8 พิมพ์ 2สี (ชิลด์)1หน้า ไดคัทสี่เหลี่ยมธรรมดา</v>
      </c>
      <c r="N4263" s="14">
        <f>INSTOCK!$I4263*INSTOCK!$K4263</f>
        <v>2000</v>
      </c>
      <c r="O4263" s="4"/>
      <c r="P4263" s="4"/>
    </row>
    <row r="4264" ht="15.75" hidden="1" customHeight="1">
      <c r="B4264" s="8">
        <v>4583.0</v>
      </c>
      <c r="C4264" s="9">
        <v>43395.0</v>
      </c>
      <c r="D4264" s="6">
        <v>83233.0</v>
      </c>
      <c r="E4264" s="4">
        <v>6.1100001274E10</v>
      </c>
      <c r="F4264" s="8" t="s">
        <v>604</v>
      </c>
      <c r="G4264" s="4" t="s">
        <v>2589</v>
      </c>
      <c r="H4264" s="10" t="s">
        <v>2668</v>
      </c>
      <c r="I4264" s="10">
        <v>10000.0</v>
      </c>
      <c r="J4264" s="11" t="str">
        <f>IF(D4264&lt;&gt;"",VLOOKUP(H4264,TABLEITEM,5,FALSE),"")</f>
        <v>EA</v>
      </c>
      <c r="K4264" s="12">
        <v>1.15</v>
      </c>
      <c r="L4264" s="13" t="str">
        <f>IF(D4264&lt;&gt;"",VLOOKUP(H4264,TABLEITEM,2,FALSE),"")</f>
        <v/>
      </c>
      <c r="M4264" s="13" t="str">
        <f>IF(D4264&lt;&gt;"",VLOOKUP(H4264,TABLEITEM,3,FALSE),"")</f>
        <v>สตัด M5x10</v>
      </c>
      <c r="N4264" s="14">
        <f>INSTOCK!$I4264*INSTOCK!$K4264</f>
        <v>11500</v>
      </c>
      <c r="O4264" s="4"/>
      <c r="P4264" s="4"/>
    </row>
    <row r="4265" ht="15.75" hidden="1" customHeight="1">
      <c r="B4265" s="8">
        <v>4584.0</v>
      </c>
      <c r="C4265" s="9">
        <v>43392.0</v>
      </c>
      <c r="D4265" s="6" t="s">
        <v>5368</v>
      </c>
      <c r="E4265" s="4">
        <v>6.1100001301E10</v>
      </c>
      <c r="F4265" s="8" t="s">
        <v>5369</v>
      </c>
      <c r="G4265" s="4" t="s">
        <v>2495</v>
      </c>
      <c r="H4265" s="10" t="s">
        <v>5370</v>
      </c>
      <c r="I4265" s="10">
        <v>4.0</v>
      </c>
      <c r="J4265" s="11" t="str">
        <f>IF(D4265&lt;&gt;"",VLOOKUP(H4265,TABLEITEM,5,FALSE),"")</f>
        <v>EA</v>
      </c>
      <c r="K4265" s="12">
        <v>145.0</v>
      </c>
      <c r="L4265" s="13" t="str">
        <f>IF(D4265&lt;&gt;"",VLOOKUP(H4265,TABLEITEM,2,FALSE),"")</f>
        <v/>
      </c>
      <c r="M4265" s="13" t="str">
        <f>IF(D4265&lt;&gt;"",VLOOKUP(H4265,TABLEITEM,3,FALSE),"")</f>
        <v>สตัดเกลียวตลอด สเตนเลส M12 ยาว 1เมตร </v>
      </c>
      <c r="N4265" s="14">
        <f>INSTOCK!$I4265*INSTOCK!$K4265</f>
        <v>580</v>
      </c>
      <c r="O4265" s="4"/>
      <c r="P4265" s="4"/>
    </row>
    <row r="4266" ht="15.75" hidden="1" customHeight="1">
      <c r="B4266" s="8">
        <v>4585.0</v>
      </c>
      <c r="C4266" s="9">
        <v>43390.0</v>
      </c>
      <c r="D4266" s="6" t="s">
        <v>5371</v>
      </c>
      <c r="E4266" s="4"/>
      <c r="F4266" s="8" t="s">
        <v>1436</v>
      </c>
      <c r="G4266" s="4" t="s">
        <v>3239</v>
      </c>
      <c r="H4266" s="10" t="s">
        <v>2580</v>
      </c>
      <c r="I4266" s="10">
        <v>7.0</v>
      </c>
      <c r="J4266" s="11" t="str">
        <f>IF(D4266&lt;&gt;"",VLOOKUP(H4266,TABLEITEM,5,FALSE),"")</f>
        <v>EA</v>
      </c>
      <c r="K4266" s="12">
        <v>220.0</v>
      </c>
      <c r="L4266" s="13" t="str">
        <f>IF(D4266&lt;&gt;"",VLOOKUP(H4266,TABLEITEM,2,FALSE),"")</f>
        <v/>
      </c>
      <c r="M4266" s="13" t="str">
        <f>IF(D4266&lt;&gt;"",VLOOKUP(H4266,TABLEITEM,3,FALSE),"")</f>
        <v>หม้อแปลง 250V/24V 50VA</v>
      </c>
      <c r="N4266" s="14">
        <f>INSTOCK!$I4266*INSTOCK!$K4266</f>
        <v>1540</v>
      </c>
      <c r="O4266" s="4"/>
      <c r="P4266" s="4"/>
    </row>
    <row r="4267" ht="15.75" hidden="1" customHeight="1">
      <c r="B4267" s="8">
        <v>4586.0</v>
      </c>
      <c r="C4267" s="9">
        <v>43390.0</v>
      </c>
      <c r="D4267" s="6" t="s">
        <v>5372</v>
      </c>
      <c r="E4267" s="4">
        <v>6.110001279E9</v>
      </c>
      <c r="F4267" s="8" t="s">
        <v>1989</v>
      </c>
      <c r="G4267" s="4" t="s">
        <v>2014</v>
      </c>
      <c r="H4267" s="10" t="s">
        <v>5373</v>
      </c>
      <c r="I4267" s="10">
        <v>2.0</v>
      </c>
      <c r="J4267" s="11" t="str">
        <f>IF(D4267&lt;&gt;"",VLOOKUP(H4267,TABLEITEM,5,FALSE),"")</f>
        <v>EA</v>
      </c>
      <c r="K4267" s="12">
        <v>23.36</v>
      </c>
      <c r="L4267" s="13" t="str">
        <f>IF(D4267&lt;&gt;"",VLOOKUP(H4267,TABLEITEM,2,FALSE),"")</f>
        <v/>
      </c>
      <c r="M4267" s="13" t="str">
        <f>IF(D4267&lt;&gt;"",VLOOKUP(H4267,TABLEITEM,3,FALSE),"")</f>
        <v>ซองเอนกประสงค์ A4 0.05 mm (20ซอง )ตราช้าง</v>
      </c>
      <c r="N4267" s="14">
        <f>INSTOCK!$I4267*INSTOCK!$K4267</f>
        <v>46.72</v>
      </c>
      <c r="O4267" s="4"/>
      <c r="P4267" s="4"/>
    </row>
    <row r="4268" ht="15.75" hidden="1" customHeight="1">
      <c r="B4268" s="8">
        <v>4587.0</v>
      </c>
      <c r="C4268" s="9">
        <v>43390.0</v>
      </c>
      <c r="D4268" s="6" t="s">
        <v>5372</v>
      </c>
      <c r="E4268" s="4">
        <v>6.110001279E9</v>
      </c>
      <c r="F4268" s="8" t="s">
        <v>1989</v>
      </c>
      <c r="G4268" s="4" t="s">
        <v>2014</v>
      </c>
      <c r="H4268" s="10" t="s">
        <v>5374</v>
      </c>
      <c r="I4268" s="10">
        <v>1.0</v>
      </c>
      <c r="J4268" s="11" t="str">
        <f>IF(D4268&lt;&gt;"",VLOOKUP(H4268,TABLEITEM,5,FALSE),"")</f>
        <v>EA</v>
      </c>
      <c r="K4268" s="12">
        <v>2485.98</v>
      </c>
      <c r="L4268" s="13" t="str">
        <f>IF(D4268&lt;&gt;"",VLOOKUP(H4268,TABLEITEM,2,FALSE),"")</f>
        <v/>
      </c>
      <c r="M4268" s="13" t="str">
        <f>IF(D4268&lt;&gt;"",VLOOKUP(H4268,TABLEITEM,3,FALSE),"")</f>
        <v>ตลับหมึกโทนเนอร์ 85A (CE285A) ดำ HP</v>
      </c>
      <c r="N4268" s="14">
        <f>INSTOCK!$I4268*INSTOCK!$K4268</f>
        <v>2485.98</v>
      </c>
      <c r="O4268" s="4"/>
      <c r="P4268" s="4"/>
    </row>
    <row r="4269" ht="15.75" hidden="1" customHeight="1">
      <c r="B4269" s="8">
        <v>4588.0</v>
      </c>
      <c r="C4269" s="9">
        <v>43390.0</v>
      </c>
      <c r="D4269" s="6" t="s">
        <v>5372</v>
      </c>
      <c r="E4269" s="4">
        <v>6.110001279E9</v>
      </c>
      <c r="F4269" s="8" t="s">
        <v>1989</v>
      </c>
      <c r="G4269" s="4" t="s">
        <v>2014</v>
      </c>
      <c r="H4269" s="10" t="s">
        <v>3427</v>
      </c>
      <c r="I4269" s="10">
        <v>1.0</v>
      </c>
      <c r="J4269" s="11" t="str">
        <f>IF(D4269&lt;&gt;"",VLOOKUP(H4269,TABLEITEM,5,FALSE),"")</f>
        <v>ea</v>
      </c>
      <c r="K4269" s="12">
        <v>98.13</v>
      </c>
      <c r="L4269" s="13" t="str">
        <f>IF(D4269&lt;&gt;"",VLOOKUP(H4269,TABLEITEM,2,FALSE),"")</f>
        <v/>
      </c>
      <c r="M4269" s="13" t="str">
        <f>IF(D4269&lt;&gt;"",VLOOKUP(H4269,TABLEITEM,3,FALSE),"")</f>
        <v>สมุดปกอ่อน 16x23.5ซม. 60 แกรม 40 แผ่นคละลาย (12เล่ม</v>
      </c>
      <c r="N4269" s="14">
        <f>INSTOCK!$I4269*INSTOCK!$K4269</f>
        <v>98.13</v>
      </c>
      <c r="O4269" s="4"/>
      <c r="P4269" s="4"/>
    </row>
    <row r="4270" ht="15.75" hidden="1" customHeight="1">
      <c r="B4270" s="8">
        <v>4589.0</v>
      </c>
      <c r="C4270" s="9">
        <v>43390.0</v>
      </c>
      <c r="D4270" s="6" t="s">
        <v>5372</v>
      </c>
      <c r="E4270" s="4">
        <v>6.110001279E9</v>
      </c>
      <c r="F4270" s="8" t="s">
        <v>1989</v>
      </c>
      <c r="G4270" s="4" t="s">
        <v>2014</v>
      </c>
      <c r="H4270" s="10" t="s">
        <v>5375</v>
      </c>
      <c r="I4270" s="10">
        <v>2.0</v>
      </c>
      <c r="J4270" s="11" t="str">
        <f>IF(D4270&lt;&gt;"",VLOOKUP(H4270,TABLEITEM,5,FALSE),"")</f>
        <v>EA</v>
      </c>
      <c r="K4270" s="12">
        <v>42.06</v>
      </c>
      <c r="L4270" s="13" t="str">
        <f>IF(D4270&lt;&gt;"",VLOOKUP(H4270,TABLEITEM,2,FALSE),"")</f>
        <v/>
      </c>
      <c r="M4270" s="13" t="str">
        <f>IF(D4270&lt;&gt;"",VLOOKUP(H4270,TABLEITEM,3,FALSE),"")</f>
        <v>แผ่นพลาสติกทำปก A4 ใส (20แผ่น) ONE</v>
      </c>
      <c r="N4270" s="14">
        <f>INSTOCK!$I4270*INSTOCK!$K4270</f>
        <v>84.12</v>
      </c>
      <c r="O4270" s="4"/>
      <c r="P4270" s="4"/>
    </row>
    <row r="4271" ht="15.75" hidden="1" customHeight="1">
      <c r="B4271" s="8">
        <v>4590.0</v>
      </c>
      <c r="C4271" s="9">
        <v>43389.0</v>
      </c>
      <c r="D4271" s="6">
        <v>6107542.0</v>
      </c>
      <c r="E4271" s="4">
        <v>6.11000125E9</v>
      </c>
      <c r="F4271" s="8"/>
      <c r="G4271" s="4" t="s">
        <v>2688</v>
      </c>
      <c r="H4271" s="10" t="s">
        <v>5376</v>
      </c>
      <c r="I4271" s="10">
        <v>1.0</v>
      </c>
      <c r="J4271" s="11" t="str">
        <f>IF(D4271&lt;&gt;"",VLOOKUP(H4271,TABLEITEM,5,FALSE),"")</f>
        <v>EA</v>
      </c>
      <c r="K4271" s="12">
        <v>4000.0</v>
      </c>
      <c r="L4271" s="13" t="str">
        <f>IF(D4271&lt;&gt;"",VLOOKUP(H4271,TABLEITEM,2,FALSE),"")</f>
        <v/>
      </c>
      <c r="M4271" s="13" t="str">
        <f>IF(D4271&lt;&gt;"",VLOOKUP(H4271,TABLEITEM,3,FALSE),"")</f>
        <v>Installation</v>
      </c>
      <c r="N4271" s="14">
        <f>INSTOCK!$I4271*INSTOCK!$K4271</f>
        <v>4000</v>
      </c>
      <c r="O4271" s="4"/>
      <c r="P4271" s="4"/>
    </row>
    <row r="4272" ht="15.75" hidden="1" customHeight="1">
      <c r="B4272" s="8">
        <v>4591.0</v>
      </c>
      <c r="C4272" s="9">
        <v>43389.0</v>
      </c>
      <c r="D4272" s="6">
        <v>4.18088068E8</v>
      </c>
      <c r="E4272" s="4">
        <v>6.110001287E9</v>
      </c>
      <c r="F4272" s="8" t="s">
        <v>604</v>
      </c>
      <c r="G4272" s="4" t="s">
        <v>1274</v>
      </c>
      <c r="H4272" s="10" t="s">
        <v>2555</v>
      </c>
      <c r="I4272" s="10">
        <v>4.0</v>
      </c>
      <c r="J4272" s="11" t="str">
        <f>IF(D4272&lt;&gt;"",VLOOKUP(H4272,TABLEITEM,5,FALSE),"")</f>
        <v>EA</v>
      </c>
      <c r="K4272" s="12">
        <v>700.0</v>
      </c>
      <c r="L4272" s="13" t="str">
        <f>IF(D4272&lt;&gt;"",VLOOKUP(H4272,TABLEITEM,2,FALSE),"")</f>
        <v/>
      </c>
      <c r="M4272" s="13" t="str">
        <f>IF(D4272&lt;&gt;"",VLOOKUP(H4272,TABLEITEM,3,FALSE),"")</f>
        <v>สก๊อตไบร์ MULTI-FLEX ขนาด 8x20 สีเทา (60แผ่น/ม้วน)</v>
      </c>
      <c r="N4272" s="14">
        <f>INSTOCK!$I4272*INSTOCK!$K4272</f>
        <v>2800</v>
      </c>
      <c r="O4272" s="4"/>
      <c r="P4272" s="4"/>
    </row>
    <row r="4273" ht="15.75" hidden="1" customHeight="1">
      <c r="B4273" s="8">
        <v>4592.0</v>
      </c>
      <c r="C4273" s="9">
        <v>43389.0</v>
      </c>
      <c r="D4273" s="6" t="s">
        <v>5377</v>
      </c>
      <c r="E4273" s="4">
        <v>6.110001289E9</v>
      </c>
      <c r="F4273" s="8" t="s">
        <v>604</v>
      </c>
      <c r="G4273" s="4" t="s">
        <v>1870</v>
      </c>
      <c r="H4273" s="10" t="s">
        <v>5378</v>
      </c>
      <c r="I4273" s="10">
        <v>2000.0</v>
      </c>
      <c r="J4273" s="11" t="str">
        <f>IF(D4273&lt;&gt;"",VLOOKUP(H4273,TABLEITEM,5,FALSE),"")</f>
        <v>EA</v>
      </c>
      <c r="K4273" s="12">
        <v>1.16</v>
      </c>
      <c r="L4273" s="13" t="str">
        <f>IF(D4273&lt;&gt;"",VLOOKUP(H4273,TABLEITEM,2,FALSE),"")</f>
        <v/>
      </c>
      <c r="M4273" s="13" t="str">
        <f>IF(D4273&lt;&gt;"",VLOOKUP(H4273,TABLEITEM,3,FALSE),"")</f>
        <v>สกรูสแตนเลสหัวร่ม M6x15</v>
      </c>
      <c r="N4273" s="14">
        <f>INSTOCK!$I4273*INSTOCK!$K4273</f>
        <v>2320</v>
      </c>
      <c r="O4273" s="4" t="s">
        <v>5379</v>
      </c>
      <c r="P4273" s="4"/>
    </row>
    <row r="4274" ht="15.75" hidden="1" customHeight="1">
      <c r="B4274" s="8">
        <v>4593.0</v>
      </c>
      <c r="C4274" s="9">
        <v>43389.0</v>
      </c>
      <c r="D4274" s="6" t="s">
        <v>5380</v>
      </c>
      <c r="E4274" s="4">
        <v>6.110001289E9</v>
      </c>
      <c r="F4274" s="8" t="s">
        <v>604</v>
      </c>
      <c r="G4274" s="4" t="s">
        <v>1870</v>
      </c>
      <c r="H4274" s="10" t="s">
        <v>4744</v>
      </c>
      <c r="I4274" s="10">
        <v>2000.0</v>
      </c>
      <c r="J4274" s="11" t="str">
        <f>IF(D4274&lt;&gt;"",VLOOKUP(H4274,TABLEITEM,5,FALSE),"")</f>
        <v>EA</v>
      </c>
      <c r="K4274" s="12">
        <v>0.175</v>
      </c>
      <c r="L4274" s="13" t="str">
        <f>IF(D4274&lt;&gt;"",VLOOKUP(H4274,TABLEITEM,2,FALSE),"")</f>
        <v/>
      </c>
      <c r="M4274" s="13" t="str">
        <f>IF(D4274&lt;&gt;"",VLOOKUP(H4274,TABLEITEM,3,FALSE),"")</f>
        <v>แหวนอีแปะ สแตนเลส M6</v>
      </c>
      <c r="N4274" s="14">
        <f>INSTOCK!$I4274*INSTOCK!$K4274</f>
        <v>350</v>
      </c>
      <c r="O4274" s="4" t="s">
        <v>4745</v>
      </c>
      <c r="P4274" s="4"/>
    </row>
    <row r="4275" ht="15.75" hidden="1" customHeight="1">
      <c r="B4275" s="8">
        <v>4594.0</v>
      </c>
      <c r="C4275" s="9">
        <v>43388.0</v>
      </c>
      <c r="D4275" s="6" t="s">
        <v>5381</v>
      </c>
      <c r="E4275" s="4">
        <v>6.109001162E9</v>
      </c>
      <c r="F4275" s="8" t="s">
        <v>604</v>
      </c>
      <c r="G4275" s="4" t="s">
        <v>3099</v>
      </c>
      <c r="H4275" s="10" t="s">
        <v>4543</v>
      </c>
      <c r="I4275" s="10">
        <v>2295.0</v>
      </c>
      <c r="J4275" s="11" t="str">
        <f>IF(D4275&lt;&gt;"",VLOOKUP(H4275,TABLEITEM,5,FALSE),"")</f>
        <v>EA</v>
      </c>
      <c r="K4275" s="12">
        <v>6.7</v>
      </c>
      <c r="L4275" s="13" t="str">
        <f>IF(D4275&lt;&gt;"",VLOOKUP(H4275,TABLEITEM,2,FALSE),"")</f>
        <v/>
      </c>
      <c r="M4275" s="13" t="str">
        <f>IF(D4275&lt;&gt;"",VLOOKUP(H4275,TABLEITEM,3,FALSE),"")</f>
        <v>บานพับตู้ Knock Down รุ่นไม่พับงอ</v>
      </c>
      <c r="N4275" s="14">
        <f>INSTOCK!$I4275*INSTOCK!$K4275</f>
        <v>15376.5</v>
      </c>
      <c r="O4275" s="4"/>
      <c r="P4275" s="4"/>
    </row>
    <row r="4276" ht="15.75" hidden="1" customHeight="1">
      <c r="B4276" s="8">
        <v>4595.0</v>
      </c>
      <c r="C4276" s="9">
        <v>43388.0</v>
      </c>
      <c r="D4276" s="6" t="s">
        <v>5382</v>
      </c>
      <c r="E4276" s="4">
        <v>6.11000129E9</v>
      </c>
      <c r="F4276" s="8" t="s">
        <v>604</v>
      </c>
      <c r="G4276" s="4" t="s">
        <v>2495</v>
      </c>
      <c r="H4276" s="10" t="s">
        <v>5383</v>
      </c>
      <c r="I4276" s="10">
        <v>2000.0</v>
      </c>
      <c r="J4276" s="11" t="str">
        <f>IF(D4276&lt;&gt;"",VLOOKUP(H4276,TABLEITEM,5,FALSE),"")</f>
        <v>EA</v>
      </c>
      <c r="K4276" s="12">
        <v>0.4275</v>
      </c>
      <c r="L4276" s="13" t="str">
        <f>IF(D4276&lt;&gt;"",VLOOKUP(H4276,TABLEITEM,2,FALSE),"")</f>
        <v/>
      </c>
      <c r="M4276" s="13" t="str">
        <f>IF(D4276&lt;&gt;"",VLOOKUP(H4276,TABLEITEM,3,FALSE),"")</f>
        <v>หัวน็อต      สแตนเลส M5</v>
      </c>
      <c r="N4276" s="14">
        <f>INSTOCK!$I4276*INSTOCK!$K4276</f>
        <v>855</v>
      </c>
      <c r="O4276" s="4" t="s">
        <v>5384</v>
      </c>
      <c r="P4276" s="4"/>
    </row>
    <row r="4277" ht="15.75" hidden="1" customHeight="1">
      <c r="B4277" s="8">
        <v>4596.0</v>
      </c>
      <c r="C4277" s="9">
        <v>43388.0</v>
      </c>
      <c r="D4277" s="6" t="s">
        <v>5382</v>
      </c>
      <c r="E4277" s="4">
        <v>6.11000129E9</v>
      </c>
      <c r="F4277" s="8" t="s">
        <v>604</v>
      </c>
      <c r="G4277" s="4" t="s">
        <v>2495</v>
      </c>
      <c r="H4277" s="10" t="s">
        <v>3226</v>
      </c>
      <c r="I4277" s="10">
        <v>2000.0</v>
      </c>
      <c r="J4277" s="11" t="str">
        <f>IF(D4277&lt;&gt;"",VLOOKUP(H4277,TABLEITEM,5,FALSE),"")</f>
        <v>EA</v>
      </c>
      <c r="K4277" s="12">
        <v>0.45</v>
      </c>
      <c r="L4277" s="13" t="str">
        <f>IF(D4277&lt;&gt;"",VLOOKUP(H4277,TABLEITEM,2,FALSE),"")</f>
        <v/>
      </c>
      <c r="M4277" s="13" t="str">
        <f>IF(D4277&lt;&gt;"",VLOOKUP(H4277,TABLEITEM,3,FALSE),"")</f>
        <v>หัวน็อต      สแตนเลส M6</v>
      </c>
      <c r="N4277" s="14">
        <f>INSTOCK!$I4277*INSTOCK!$K4277</f>
        <v>900</v>
      </c>
      <c r="O4277" s="4" t="s">
        <v>5385</v>
      </c>
      <c r="P4277" s="4"/>
    </row>
    <row r="4278" ht="15.75" hidden="1" customHeight="1">
      <c r="B4278" s="8">
        <v>4597.0</v>
      </c>
      <c r="C4278" s="9">
        <v>43388.0</v>
      </c>
      <c r="D4278" s="6" t="s">
        <v>5386</v>
      </c>
      <c r="E4278" s="4">
        <v>6.11000128E9</v>
      </c>
      <c r="F4278" s="8" t="s">
        <v>1989</v>
      </c>
      <c r="G4278" s="4" t="s">
        <v>1990</v>
      </c>
      <c r="H4278" s="10" t="s">
        <v>1991</v>
      </c>
      <c r="I4278" s="10">
        <v>24.0</v>
      </c>
      <c r="J4278" s="11" t="str">
        <f>IF(D4278&lt;&gt;"",VLOOKUP(H4278,TABLEITEM,5,FALSE),"")</f>
        <v>EA</v>
      </c>
      <c r="K4278" s="12">
        <v>8.5</v>
      </c>
      <c r="L4278" s="13" t="str">
        <f>IF(D4278&lt;&gt;"",VLOOKUP(H4278,TABLEITEM,2,FALSE),"")</f>
        <v/>
      </c>
      <c r="M4278" s="13" t="str">
        <f>IF(D4278&lt;&gt;"",VLOOKUP(H4278,TABLEITEM,3,FALSE),"")</f>
        <v>ปากกาเคมี/มาร์คเกอร์ ตราม้า 2หัว น้ำเงิน</v>
      </c>
      <c r="N4278" s="14">
        <f>INSTOCK!$I4278*INSTOCK!$K4278</f>
        <v>204</v>
      </c>
      <c r="O4278" s="4"/>
      <c r="P4278" s="4"/>
    </row>
    <row r="4279" ht="15.75" hidden="1" customHeight="1">
      <c r="B4279" s="8">
        <v>4598.0</v>
      </c>
      <c r="C4279" s="9">
        <v>43388.0</v>
      </c>
      <c r="D4279" s="6" t="s">
        <v>5386</v>
      </c>
      <c r="E4279" s="4">
        <v>6.11000128E9</v>
      </c>
      <c r="F4279" s="8" t="s">
        <v>1989</v>
      </c>
      <c r="G4279" s="4" t="s">
        <v>1990</v>
      </c>
      <c r="H4279" s="10" t="s">
        <v>2438</v>
      </c>
      <c r="I4279" s="10">
        <v>6.0</v>
      </c>
      <c r="J4279" s="11" t="str">
        <f>IF(D4279&lt;&gt;"",VLOOKUP(H4279,TABLEITEM,5,FALSE),"")</f>
        <v>EA</v>
      </c>
      <c r="K4279" s="12">
        <v>50.0</v>
      </c>
      <c r="L4279" s="13" t="str">
        <f>IF(D4279&lt;&gt;"",VLOOKUP(H4279,TABLEITEM,2,FALSE),"")</f>
        <v/>
      </c>
      <c r="M4279" s="13" t="str">
        <f>IF(D4279&lt;&gt;"",VLOOKUP(H4279,TABLEITEM,3,FALSE),"")</f>
        <v>ปากกาเพ้นท์ ซากุระ XPMK-B 2มม ดำ</v>
      </c>
      <c r="N4279" s="14">
        <f>INSTOCK!$I4279*INSTOCK!$K4279</f>
        <v>300</v>
      </c>
      <c r="O4279" s="4"/>
      <c r="P4279" s="4"/>
    </row>
    <row r="4280" ht="15.75" hidden="1" customHeight="1">
      <c r="B4280" s="8">
        <v>4599.0</v>
      </c>
      <c r="C4280" s="9">
        <v>43388.0</v>
      </c>
      <c r="D4280" s="6" t="s">
        <v>5386</v>
      </c>
      <c r="E4280" s="4">
        <v>6.11000128E9</v>
      </c>
      <c r="F4280" s="8" t="s">
        <v>1989</v>
      </c>
      <c r="G4280" s="4" t="s">
        <v>1990</v>
      </c>
      <c r="H4280" s="10" t="s">
        <v>4355</v>
      </c>
      <c r="I4280" s="10">
        <v>6.0</v>
      </c>
      <c r="J4280" s="11" t="str">
        <f>IF(D4280&lt;&gt;"",VLOOKUP(H4280,TABLEITEM,5,FALSE),"")</f>
        <v>EA</v>
      </c>
      <c r="K4280" s="12">
        <v>50.0</v>
      </c>
      <c r="L4280" s="13" t="str">
        <f>IF(D4280&lt;&gt;"",VLOOKUP(H4280,TABLEITEM,2,FALSE),"")</f>
        <v/>
      </c>
      <c r="M4280" s="13" t="str">
        <f>IF(D4280&lt;&gt;"",VLOOKUP(H4280,TABLEITEM,3,FALSE),"")</f>
        <v>ปากกาเพ้นท์ ซากุละ XPMK-B 2mm ทอง</v>
      </c>
      <c r="N4280" s="14">
        <f>INSTOCK!$I4280*INSTOCK!$K4280</f>
        <v>300</v>
      </c>
      <c r="O4280" s="4"/>
      <c r="P4280" s="4"/>
    </row>
    <row r="4281" ht="15.75" hidden="1" customHeight="1">
      <c r="B4281" s="8">
        <v>4600.0</v>
      </c>
      <c r="C4281" s="9">
        <v>43388.0</v>
      </c>
      <c r="D4281" s="6" t="s">
        <v>5386</v>
      </c>
      <c r="E4281" s="4">
        <v>6.11000128E9</v>
      </c>
      <c r="F4281" s="8" t="s">
        <v>1989</v>
      </c>
      <c r="G4281" s="4" t="s">
        <v>1990</v>
      </c>
      <c r="H4281" s="10" t="s">
        <v>5387</v>
      </c>
      <c r="I4281" s="10">
        <v>2.0</v>
      </c>
      <c r="J4281" s="11" t="str">
        <f>IF(D4281&lt;&gt;"",VLOOKUP(H4281,TABLEITEM,5,FALSE),"")</f>
        <v>EA</v>
      </c>
      <c r="K4281" s="12">
        <v>48.0</v>
      </c>
      <c r="L4281" s="13" t="str">
        <f>IF(D4281&lt;&gt;"",VLOOKUP(H4281,TABLEITEM,2,FALSE),"")</f>
        <v/>
      </c>
      <c r="M4281" s="13" t="str">
        <f>IF(D4281&lt;&gt;"",VLOOKUP(H4281,TABLEITEM,3,FALSE),"")</f>
        <v>หมึกเติมปากกาไวท์บอร์ด ไพล๊อต น้ำเงิน WBMK R30CC</v>
      </c>
      <c r="N4281" s="14">
        <f>INSTOCK!$I4281*INSTOCK!$K4281</f>
        <v>96</v>
      </c>
      <c r="O4281" s="4"/>
      <c r="P4281" s="4"/>
    </row>
    <row r="4282" ht="15.75" hidden="1" customHeight="1">
      <c r="B4282" s="8">
        <v>4601.0</v>
      </c>
      <c r="C4282" s="9">
        <v>43388.0</v>
      </c>
      <c r="D4282" s="6" t="s">
        <v>5386</v>
      </c>
      <c r="E4282" s="4">
        <v>6.11000128E9</v>
      </c>
      <c r="F4282" s="8" t="s">
        <v>1989</v>
      </c>
      <c r="G4282" s="4" t="s">
        <v>1990</v>
      </c>
      <c r="H4282" s="10" t="s">
        <v>3641</v>
      </c>
      <c r="I4282" s="10">
        <v>1.0</v>
      </c>
      <c r="J4282" s="11" t="str">
        <f>IF(D4282&lt;&gt;"",VLOOKUP(H4282,TABLEITEM,5,FALSE),"")</f>
        <v>pack</v>
      </c>
      <c r="K4282" s="12">
        <v>145.0</v>
      </c>
      <c r="L4282" s="13" t="str">
        <f>IF(D4282&lt;&gt;"",VLOOKUP(H4282,TABLEITEM,2,FALSE),"")</f>
        <v/>
      </c>
      <c r="M4282" s="13" t="str">
        <f>IF(D4282&lt;&gt;"",VLOOKUP(H4282,TABLEITEM,3,FALSE),"")</f>
        <v>กระดาษถ่ายเอกสารสี ตราช้างสีเหลืองทอง 259662,80แกรม</v>
      </c>
      <c r="N4282" s="14">
        <f>INSTOCK!$I4282*INSTOCK!$K4282</f>
        <v>145</v>
      </c>
      <c r="O4282" s="4"/>
      <c r="P4282" s="4"/>
    </row>
    <row r="4283" ht="15.75" hidden="1" customHeight="1">
      <c r="B4283" s="8">
        <v>4602.0</v>
      </c>
      <c r="C4283" s="9">
        <v>43388.0</v>
      </c>
      <c r="D4283" s="6" t="s">
        <v>5386</v>
      </c>
      <c r="E4283" s="4">
        <v>6.11000128E9</v>
      </c>
      <c r="F4283" s="8" t="s">
        <v>1989</v>
      </c>
      <c r="G4283" s="4" t="s">
        <v>1990</v>
      </c>
      <c r="H4283" s="10" t="s">
        <v>1992</v>
      </c>
      <c r="I4283" s="10">
        <v>2.0</v>
      </c>
      <c r="J4283" s="11" t="str">
        <f>IF(D4283&lt;&gt;"",VLOOKUP(H4283,TABLEITEM,5,FALSE),"")</f>
        <v>PACK</v>
      </c>
      <c r="K4283" s="12">
        <v>119.0</v>
      </c>
      <c r="L4283" s="13" t="str">
        <f>IF(D4283&lt;&gt;"",VLOOKUP(H4283,TABLEITEM,2,FALSE),"")</f>
        <v/>
      </c>
      <c r="M4283" s="13" t="str">
        <f>IF(D4283&lt;&gt;"",VLOOKUP(H4283,TABLEITEM,3,FALSE),"")</f>
        <v>ถ่านอัลคาไลน์ Panasonic AA (แพ็ค 8ก้อน)</v>
      </c>
      <c r="N4283" s="14">
        <f>INSTOCK!$I4283*INSTOCK!$K4283</f>
        <v>238</v>
      </c>
      <c r="O4283" s="4"/>
      <c r="P4283" s="4"/>
    </row>
    <row r="4284" ht="15.75" hidden="1" customHeight="1">
      <c r="B4284" s="8">
        <v>4603.0</v>
      </c>
      <c r="C4284" s="9">
        <v>43388.0</v>
      </c>
      <c r="D4284" s="6" t="s">
        <v>5388</v>
      </c>
      <c r="E4284" s="4">
        <v>6.110001282E9</v>
      </c>
      <c r="F4284" s="8" t="s">
        <v>604</v>
      </c>
      <c r="G4284" s="4" t="s">
        <v>2121</v>
      </c>
      <c r="H4284" s="10" t="s">
        <v>2122</v>
      </c>
      <c r="I4284" s="10">
        <v>200.0</v>
      </c>
      <c r="J4284" s="11" t="str">
        <f>IF(D4284&lt;&gt;"",VLOOKUP(H4284,TABLEITEM,5,FALSE),"")</f>
        <v>EA</v>
      </c>
      <c r="K4284" s="12">
        <v>30.0</v>
      </c>
      <c r="L4284" s="13" t="str">
        <f>IF(D4284&lt;&gt;"",VLOOKUP(H4284,TABLEITEM,2,FALSE),"")</f>
        <v/>
      </c>
      <c r="M4284" s="13" t="str">
        <f>IF(D4284&lt;&gt;"",VLOOKUP(H4284,TABLEITEM,3,FALSE),"")</f>
        <v>ห่วงตู้ M12 ชุบขาว</v>
      </c>
      <c r="N4284" s="14">
        <f>INSTOCK!$I4284*INSTOCK!$K4284</f>
        <v>6000</v>
      </c>
      <c r="O4284" s="4"/>
      <c r="P4284" s="4"/>
    </row>
    <row r="4285" ht="15.75" hidden="1" customHeight="1">
      <c r="B4285" s="8">
        <v>4604.0</v>
      </c>
      <c r="C4285" s="9">
        <v>43385.0</v>
      </c>
      <c r="D4285" s="6" t="s">
        <v>5389</v>
      </c>
      <c r="E4285" s="4">
        <v>6.110001262E9</v>
      </c>
      <c r="F4285" s="8" t="s">
        <v>604</v>
      </c>
      <c r="G4285" s="4" t="s">
        <v>1777</v>
      </c>
      <c r="H4285" s="10" t="s">
        <v>2102</v>
      </c>
      <c r="I4285" s="10">
        <v>20000.0</v>
      </c>
      <c r="J4285" s="11" t="str">
        <f>IF(D4285&lt;&gt;"",VLOOKUP(H4285,TABLEITEM,5,FALSE),"")</f>
        <v>EA</v>
      </c>
      <c r="K4285" s="12">
        <v>0.09</v>
      </c>
      <c r="L4285" s="13" t="str">
        <f>IF(D4285&lt;&gt;"",VLOOKUP(H4285,TABLEITEM,2,FALSE),"")</f>
        <v/>
      </c>
      <c r="M4285" s="13" t="str">
        <f>IF(D4285&lt;&gt;"",VLOOKUP(H4285,TABLEITEM,3,FALSE),"")</f>
        <v>แหวนอีแปะ M8 ชุบขาว</v>
      </c>
      <c r="N4285" s="14">
        <f>INSTOCK!$I4285*INSTOCK!$K4285</f>
        <v>1800</v>
      </c>
      <c r="O4285" s="4" t="s">
        <v>2103</v>
      </c>
      <c r="P4285" s="4"/>
    </row>
    <row r="4286" ht="15.75" hidden="1" customHeight="1">
      <c r="B4286" s="8">
        <v>4605.0</v>
      </c>
      <c r="C4286" s="9">
        <v>43385.0</v>
      </c>
      <c r="D4286" s="6" t="s">
        <v>5389</v>
      </c>
      <c r="E4286" s="4">
        <v>6.110001262E9</v>
      </c>
      <c r="F4286" s="8" t="s">
        <v>604</v>
      </c>
      <c r="G4286" s="4" t="s">
        <v>1777</v>
      </c>
      <c r="H4286" s="10" t="s">
        <v>3014</v>
      </c>
      <c r="I4286" s="10">
        <v>10000.0</v>
      </c>
      <c r="J4286" s="11" t="str">
        <f>IF(D4286&lt;&gt;"",VLOOKUP(H4286,TABLEITEM,5,FALSE),"")</f>
        <v>EA</v>
      </c>
      <c r="K4286" s="12">
        <v>0.075</v>
      </c>
      <c r="L4286" s="13" t="str">
        <f>IF(D4286&lt;&gt;"",VLOOKUP(H4286,TABLEITEM,2,FALSE),"")</f>
        <v/>
      </c>
      <c r="M4286" s="13" t="str">
        <f>IF(D4286&lt;&gt;"",VLOOKUP(H4286,TABLEITEM,3,FALSE),"")</f>
        <v>แหวนสปริง M 8 ชุบรุ้ง</v>
      </c>
      <c r="N4286" s="14">
        <f>INSTOCK!$I4286*INSTOCK!$K4286</f>
        <v>750</v>
      </c>
      <c r="O4286" s="4" t="s">
        <v>2079</v>
      </c>
      <c r="P4286" s="4"/>
    </row>
    <row r="4287" ht="15.75" hidden="1" customHeight="1">
      <c r="B4287" s="8">
        <v>4606.0</v>
      </c>
      <c r="C4287" s="9">
        <v>43385.0</v>
      </c>
      <c r="D4287" s="6" t="s">
        <v>5389</v>
      </c>
      <c r="E4287" s="4">
        <v>6.110001262E9</v>
      </c>
      <c r="F4287" s="8" t="s">
        <v>604</v>
      </c>
      <c r="G4287" s="4" t="s">
        <v>1777</v>
      </c>
      <c r="H4287" s="10" t="s">
        <v>2080</v>
      </c>
      <c r="I4287" s="10">
        <v>10000.0</v>
      </c>
      <c r="J4287" s="11" t="str">
        <f>IF(D4287&lt;&gt;"",VLOOKUP(H4287,TABLEITEM,5,FALSE),"")</f>
        <v>EA</v>
      </c>
      <c r="K4287" s="12">
        <v>0.36</v>
      </c>
      <c r="L4287" s="13" t="str">
        <f>IF(D4287&lt;&gt;"",VLOOKUP(H4287,TABLEITEM,2,FALSE),"")</f>
        <v/>
      </c>
      <c r="M4287" s="13" t="str">
        <f>IF(D4287&lt;&gt;"",VLOOKUP(H4287,TABLEITEM,3,FALSE),"")</f>
        <v>หัวน็อต M 8 ชุบขาว</v>
      </c>
      <c r="N4287" s="14">
        <f>INSTOCK!$I4287*INSTOCK!$K4287</f>
        <v>3600</v>
      </c>
      <c r="O4287" s="4" t="s">
        <v>2081</v>
      </c>
      <c r="P4287" s="4"/>
    </row>
    <row r="4288" ht="15.75" hidden="1" customHeight="1">
      <c r="B4288" s="8">
        <v>4607.0</v>
      </c>
      <c r="C4288" s="9">
        <v>43385.0</v>
      </c>
      <c r="D4288" s="6" t="s">
        <v>5389</v>
      </c>
      <c r="E4288" s="4">
        <v>6.110001262E9</v>
      </c>
      <c r="F4288" s="8" t="s">
        <v>604</v>
      </c>
      <c r="G4288" s="4" t="s">
        <v>1777</v>
      </c>
      <c r="H4288" s="10" t="s">
        <v>2876</v>
      </c>
      <c r="I4288" s="10">
        <v>4000.0</v>
      </c>
      <c r="J4288" s="11" t="str">
        <f>IF(D4288&lt;&gt;"",VLOOKUP(H4288,TABLEITEM,5,FALSE),"")</f>
        <v>EA</v>
      </c>
      <c r="K4288" s="12">
        <v>0.17</v>
      </c>
      <c r="L4288" s="13" t="str">
        <f>IF(D4288&lt;&gt;"",VLOOKUP(H4288,TABLEITEM,2,FALSE),"")</f>
        <v/>
      </c>
      <c r="M4288" s="13" t="str">
        <f>IF(D4288&lt;&gt;"",VLOOKUP(H4288,TABLEITEM,3,FALSE),"")</f>
        <v>สกรูหัวหมวก  M5x12</v>
      </c>
      <c r="N4288" s="14">
        <f>INSTOCK!$I4288*INSTOCK!$K4288</f>
        <v>680</v>
      </c>
      <c r="O4288" s="4"/>
      <c r="P4288" s="4"/>
    </row>
    <row r="4289" ht="15.75" hidden="1" customHeight="1">
      <c r="B4289" s="8">
        <v>4608.0</v>
      </c>
      <c r="C4289" s="9">
        <v>43385.0</v>
      </c>
      <c r="D4289" s="6" t="s">
        <v>5389</v>
      </c>
      <c r="E4289" s="4">
        <v>6.110001262E9</v>
      </c>
      <c r="F4289" s="8" t="s">
        <v>604</v>
      </c>
      <c r="G4289" s="4" t="s">
        <v>1777</v>
      </c>
      <c r="H4289" s="10" t="s">
        <v>2400</v>
      </c>
      <c r="I4289" s="10">
        <v>4000.0</v>
      </c>
      <c r="J4289" s="11" t="str">
        <f>IF(D4289&lt;&gt;"",VLOOKUP(H4289,TABLEITEM,5,FALSE),"")</f>
        <v>EA</v>
      </c>
      <c r="K4289" s="12">
        <v>0.216</v>
      </c>
      <c r="L4289" s="13" t="str">
        <f>IF(D4289&lt;&gt;"",VLOOKUP(H4289,TABLEITEM,2,FALSE),"")</f>
        <v/>
      </c>
      <c r="M4289" s="13" t="str">
        <f>IF(D4289&lt;&gt;"",VLOOKUP(H4289,TABLEITEM,3,FALSE),"")</f>
        <v>สกรูหัวหมวก  M6x10</v>
      </c>
      <c r="N4289" s="14">
        <f>INSTOCK!$I4289*INSTOCK!$K4289</f>
        <v>864</v>
      </c>
      <c r="O4289" s="4" t="s">
        <v>2401</v>
      </c>
      <c r="P4289" s="4"/>
    </row>
    <row r="4290" ht="15.75" hidden="1" customHeight="1">
      <c r="B4290" s="8">
        <v>4609.0</v>
      </c>
      <c r="C4290" s="9">
        <v>43385.0</v>
      </c>
      <c r="D4290" s="6" t="s">
        <v>5389</v>
      </c>
      <c r="E4290" s="4">
        <v>6.110001262E9</v>
      </c>
      <c r="F4290" s="8" t="s">
        <v>604</v>
      </c>
      <c r="G4290" s="4" t="s">
        <v>1777</v>
      </c>
      <c r="H4290" s="10" t="s">
        <v>2084</v>
      </c>
      <c r="I4290" s="10">
        <v>8000.0</v>
      </c>
      <c r="J4290" s="11" t="str">
        <f>IF(D4290&lt;&gt;"",VLOOKUP(H4290,TABLEITEM,5,FALSE),"")</f>
        <v>EA</v>
      </c>
      <c r="K4290" s="12">
        <v>0.24</v>
      </c>
      <c r="L4290" s="13" t="str">
        <f>IF(D4290&lt;&gt;"",VLOOKUP(H4290,TABLEITEM,2,FALSE),"")</f>
        <v/>
      </c>
      <c r="M4290" s="13" t="str">
        <f>IF(D4290&lt;&gt;"",VLOOKUP(H4290,TABLEITEM,3,FALSE),"")</f>
        <v>ติดจาน M5</v>
      </c>
      <c r="N4290" s="14">
        <f>INSTOCK!$I4290*INSTOCK!$K4290</f>
        <v>1920</v>
      </c>
      <c r="O4290" s="4" t="s">
        <v>2085</v>
      </c>
      <c r="P4290" s="4"/>
    </row>
    <row r="4291" ht="15.75" hidden="1" customHeight="1">
      <c r="B4291" s="8">
        <v>4610.0</v>
      </c>
      <c r="C4291" s="9">
        <v>43385.0</v>
      </c>
      <c r="D4291" s="6" t="s">
        <v>5389</v>
      </c>
      <c r="E4291" s="4">
        <v>6.110001262E9</v>
      </c>
      <c r="F4291" s="8" t="s">
        <v>604</v>
      </c>
      <c r="G4291" s="4" t="s">
        <v>1777</v>
      </c>
      <c r="H4291" s="10" t="s">
        <v>2398</v>
      </c>
      <c r="I4291" s="10">
        <v>4000.0</v>
      </c>
      <c r="J4291" s="11" t="str">
        <f>IF(D4291&lt;&gt;"",VLOOKUP(H4291,TABLEITEM,5,FALSE),"")</f>
        <v>EA</v>
      </c>
      <c r="K4291" s="12">
        <v>0.13</v>
      </c>
      <c r="L4291" s="13" t="str">
        <f>IF(D4291&lt;&gt;"",VLOOKUP(H4291,TABLEITEM,2,FALSE),"")</f>
        <v/>
      </c>
      <c r="M4291" s="13" t="str">
        <f>IF(D4291&lt;&gt;"",VLOOKUP(H4291,TABLEITEM,3,FALSE),"")</f>
        <v>สกรูหัวหมวก  M4x10</v>
      </c>
      <c r="N4291" s="14">
        <f>INSTOCK!$I4291*INSTOCK!$K4291</f>
        <v>520</v>
      </c>
      <c r="O4291" s="4"/>
      <c r="P4291" s="4"/>
    </row>
    <row r="4292" ht="15.75" hidden="1" customHeight="1">
      <c r="B4292" s="8">
        <v>4611.0</v>
      </c>
      <c r="C4292" s="9">
        <v>43385.0</v>
      </c>
      <c r="D4292" s="6" t="s">
        <v>5389</v>
      </c>
      <c r="E4292" s="4">
        <v>6.110001262E9</v>
      </c>
      <c r="F4292" s="8" t="s">
        <v>604</v>
      </c>
      <c r="G4292" s="4" t="s">
        <v>1777</v>
      </c>
      <c r="H4292" s="10" t="s">
        <v>1859</v>
      </c>
      <c r="I4292" s="10">
        <v>7000.0</v>
      </c>
      <c r="J4292" s="11" t="str">
        <f>IF(D4292&lt;&gt;"",VLOOKUP(H4292,TABLEITEM,5,FALSE),"")</f>
        <v>EA</v>
      </c>
      <c r="K4292" s="12">
        <v>0.7995</v>
      </c>
      <c r="L4292" s="13" t="str">
        <f>IF(D4292&lt;&gt;"",VLOOKUP(H4292,TABLEITEM,2,FALSE),"")</f>
        <v/>
      </c>
      <c r="M4292" s="13" t="str">
        <f>IF(D4292&lt;&gt;"",VLOOKUP(H4292,TABLEITEM,3,FALSE),"")</f>
        <v>สกรูหัวเหลี่ยมชุบขาว M8x25</v>
      </c>
      <c r="N4292" s="14">
        <f>INSTOCK!$I4292*INSTOCK!$K4292</f>
        <v>5596.5</v>
      </c>
      <c r="O4292" s="4" t="s">
        <v>2101</v>
      </c>
      <c r="P4292" s="4"/>
    </row>
    <row r="4293" ht="15.75" hidden="1" customHeight="1">
      <c r="B4293" s="8">
        <v>4612.0</v>
      </c>
      <c r="C4293" s="9">
        <v>43385.0</v>
      </c>
      <c r="D4293" s="6" t="s">
        <v>5390</v>
      </c>
      <c r="E4293" s="4" t="s">
        <v>5391</v>
      </c>
      <c r="F4293" s="8" t="s">
        <v>604</v>
      </c>
      <c r="G4293" s="4" t="s">
        <v>3076</v>
      </c>
      <c r="H4293" s="10" t="s">
        <v>5392</v>
      </c>
      <c r="I4293" s="10">
        <v>9.0</v>
      </c>
      <c r="J4293" s="11" t="str">
        <f>IF(D4293&lt;&gt;"",VLOOKUP(H4293,TABLEITEM,5,FALSE),"")</f>
        <v>EA</v>
      </c>
      <c r="K4293" s="12">
        <v>120.0</v>
      </c>
      <c r="L4293" s="13" t="str">
        <f>IF(D4293&lt;&gt;"",VLOOKUP(H4293,TABLEITEM,2,FALSE),"")</f>
        <v/>
      </c>
      <c r="M4293" s="13" t="str">
        <f>IF(D4293&lt;&gt;"",VLOOKUP(H4293,TABLEITEM,3,FALSE),"")</f>
        <v>SLEEVE</v>
      </c>
      <c r="N4293" s="14">
        <f>INSTOCK!$I4293*INSTOCK!$K4293</f>
        <v>1080</v>
      </c>
      <c r="O4293" s="4"/>
      <c r="P4293" s="4"/>
    </row>
    <row r="4294" ht="15.75" hidden="1" customHeight="1">
      <c r="B4294" s="8">
        <v>4613.0</v>
      </c>
      <c r="C4294" s="9">
        <v>43384.0</v>
      </c>
      <c r="D4294" s="6" t="s">
        <v>5393</v>
      </c>
      <c r="E4294" s="4">
        <v>6.110001275E9</v>
      </c>
      <c r="F4294" s="8" t="s">
        <v>604</v>
      </c>
      <c r="G4294" s="4" t="s">
        <v>965</v>
      </c>
      <c r="H4294" s="10" t="s">
        <v>3610</v>
      </c>
      <c r="I4294" s="10">
        <v>10.0</v>
      </c>
      <c r="J4294" s="11" t="str">
        <f>IF(D4294&lt;&gt;"",VLOOKUP(H4294,TABLEITEM,5,FALSE),"")</f>
        <v>EA</v>
      </c>
      <c r="K4294" s="12">
        <v>18.0</v>
      </c>
      <c r="L4294" s="13" t="str">
        <f>IF(D4294&lt;&gt;"",VLOOKUP(H4294,TABLEITEM,2,FALSE),"")</f>
        <v/>
      </c>
      <c r="M4294" s="13" t="str">
        <f>IF(D4294&lt;&gt;"",VLOOKUP(H4294,TABLEITEM,3,FALSE),"")</f>
        <v>หินเจียรนัย 3/8"(หินชมพู)</v>
      </c>
      <c r="N4294" s="14">
        <f>INSTOCK!$I4294*INSTOCK!$K4294</f>
        <v>180</v>
      </c>
      <c r="O4294" s="4"/>
      <c r="P4294" s="4"/>
    </row>
    <row r="4295" ht="15.75" hidden="1" customHeight="1">
      <c r="B4295" s="8">
        <v>4614.0</v>
      </c>
      <c r="C4295" s="9">
        <v>43384.0</v>
      </c>
      <c r="D4295" s="6" t="s">
        <v>5393</v>
      </c>
      <c r="E4295" s="4">
        <v>6.110001275E9</v>
      </c>
      <c r="F4295" s="8" t="s">
        <v>604</v>
      </c>
      <c r="G4295" s="4" t="s">
        <v>965</v>
      </c>
      <c r="H4295" s="10" t="s">
        <v>2152</v>
      </c>
      <c r="I4295" s="10">
        <v>10.0</v>
      </c>
      <c r="J4295" s="11" t="str">
        <f>IF(D4295&lt;&gt;"",VLOOKUP(H4295,TABLEITEM,5,FALSE),"")</f>
        <v>EA</v>
      </c>
      <c r="K4295" s="12">
        <v>30.0</v>
      </c>
      <c r="L4295" s="13" t="str">
        <f>IF(D4295&lt;&gt;"",VLOOKUP(H4295,TABLEITEM,2,FALSE),"")</f>
        <v/>
      </c>
      <c r="M4295" s="13" t="str">
        <f>IF(D4295&lt;&gt;"",VLOOKUP(H4295,TABLEITEM,3,FALSE),"")</f>
        <v>ไม้กวาดดอกหญ้า</v>
      </c>
      <c r="N4295" s="14">
        <f>INSTOCK!$I4295*INSTOCK!$K4295</f>
        <v>300</v>
      </c>
      <c r="O4295" s="4"/>
      <c r="P4295" s="4"/>
    </row>
    <row r="4296" ht="15.75" hidden="1" customHeight="1">
      <c r="B4296" s="8">
        <v>4615.0</v>
      </c>
      <c r="C4296" s="9">
        <v>43381.0</v>
      </c>
      <c r="D4296" s="6" t="s">
        <v>5394</v>
      </c>
      <c r="E4296" s="4">
        <v>6.110001254E9</v>
      </c>
      <c r="F4296" s="8" t="s">
        <v>604</v>
      </c>
      <c r="G4296" s="4" t="s">
        <v>965</v>
      </c>
      <c r="H4296" s="10" t="s">
        <v>5395</v>
      </c>
      <c r="I4296" s="10">
        <v>10.0</v>
      </c>
      <c r="J4296" s="11" t="str">
        <f>IF(D4296&lt;&gt;"",VLOOKUP(H4296,TABLEITEM,5,FALSE),"")</f>
        <v>EA</v>
      </c>
      <c r="K4296" s="12">
        <v>30.0</v>
      </c>
      <c r="L4296" s="13" t="str">
        <f>IF(D4296&lt;&gt;"",VLOOKUP(H4296,TABLEITEM,2,FALSE),"")</f>
        <v/>
      </c>
      <c r="M4296" s="13" t="str">
        <f>IF(D4296&lt;&gt;"",VLOOKUP(H4296,TABLEITEM,3,FALSE),"")</f>
        <v>มุ้งไนล่อน</v>
      </c>
      <c r="N4296" s="14">
        <f>INSTOCK!$I4296*INSTOCK!$K4296</f>
        <v>300</v>
      </c>
      <c r="O4296" s="4"/>
      <c r="P4296" s="4"/>
    </row>
    <row r="4297" ht="15.75" hidden="1" customHeight="1">
      <c r="B4297" s="8">
        <v>4616.0</v>
      </c>
      <c r="C4297" s="9">
        <v>43381.0</v>
      </c>
      <c r="D4297" s="6" t="s">
        <v>5394</v>
      </c>
      <c r="E4297" s="4">
        <v>6.110001254E9</v>
      </c>
      <c r="F4297" s="8" t="s">
        <v>604</v>
      </c>
      <c r="G4297" s="4" t="s">
        <v>965</v>
      </c>
      <c r="H4297" s="10" t="s">
        <v>4025</v>
      </c>
      <c r="I4297" s="10">
        <v>2.0</v>
      </c>
      <c r="J4297" s="11" t="str">
        <f>IF(D4297&lt;&gt;"",VLOOKUP(H4297,TABLEITEM,5,FALSE),"")</f>
        <v>EA</v>
      </c>
      <c r="K4297" s="12">
        <v>12.0</v>
      </c>
      <c r="L4297" s="13" t="str">
        <f>IF(D4297&lt;&gt;"",VLOOKUP(H4297,TABLEITEM,2,FALSE),"")</f>
        <v/>
      </c>
      <c r="M4297" s="13" t="str">
        <f>IF(D4297&lt;&gt;"",VLOOKUP(H4297,TABLEITEM,3,FALSE),"")</f>
        <v>เกียงโป๊วสี ขนาด 2"</v>
      </c>
      <c r="N4297" s="14">
        <f>INSTOCK!$I4297*INSTOCK!$K4297</f>
        <v>24</v>
      </c>
      <c r="O4297" s="4"/>
      <c r="P4297" s="4"/>
    </row>
    <row r="4298" ht="15.75" hidden="1" customHeight="1">
      <c r="B4298" s="8">
        <v>4617.0</v>
      </c>
      <c r="C4298" s="9">
        <v>43381.0</v>
      </c>
      <c r="D4298" s="6" t="s">
        <v>5394</v>
      </c>
      <c r="E4298" s="4">
        <v>6.110001254E9</v>
      </c>
      <c r="F4298" s="8" t="s">
        <v>604</v>
      </c>
      <c r="G4298" s="4" t="s">
        <v>965</v>
      </c>
      <c r="H4298" s="18" t="s">
        <v>4026</v>
      </c>
      <c r="I4298" s="10">
        <v>2.0</v>
      </c>
      <c r="J4298" s="11" t="str">
        <f>IF(D4298&lt;&gt;"",VLOOKUP(H4298,TABLEITEM,5,FALSE),"")</f>
        <v>EA</v>
      </c>
      <c r="K4298" s="12">
        <v>30.0</v>
      </c>
      <c r="L4298" s="13" t="str">
        <f>IF(D4298&lt;&gt;"",VLOOKUP(H4298,TABLEITEM,2,FALSE),"")</f>
        <v/>
      </c>
      <c r="M4298" s="13" t="str">
        <f>IF(D4298&lt;&gt;"",VLOOKUP(H4298,TABLEITEM,3,FALSE),"")</f>
        <v>เกียงโป๊วสี ขนาด 4"</v>
      </c>
      <c r="N4298" s="14">
        <f>INSTOCK!$I4298*INSTOCK!$K4298</f>
        <v>60</v>
      </c>
      <c r="O4298" s="4"/>
      <c r="P4298" s="4"/>
    </row>
    <row r="4299" ht="15.75" hidden="1" customHeight="1">
      <c r="B4299" s="8">
        <v>4618.0</v>
      </c>
      <c r="C4299" s="9">
        <v>43378.0</v>
      </c>
      <c r="D4299" s="6" t="s">
        <v>5396</v>
      </c>
      <c r="E4299" s="4">
        <v>6.11001242E8</v>
      </c>
      <c r="F4299" s="8" t="s">
        <v>604</v>
      </c>
      <c r="G4299" s="4" t="s">
        <v>1870</v>
      </c>
      <c r="H4299" s="10" t="s">
        <v>5397</v>
      </c>
      <c r="I4299" s="10">
        <v>1000.0</v>
      </c>
      <c r="J4299" s="11" t="str">
        <f>IF(D4299&lt;&gt;"",VLOOKUP(H4299,TABLEITEM,5,FALSE),"")</f>
        <v>EA</v>
      </c>
      <c r="K4299" s="12">
        <v>0.96</v>
      </c>
      <c r="L4299" s="13" t="str">
        <f>IF(D4299&lt;&gt;"",VLOOKUP(H4299,TABLEITEM,2,FALSE),"")</f>
        <v/>
      </c>
      <c r="M4299" s="13" t="str">
        <f>IF(D4299&lt;&gt;"",VLOOKUP(H4299,TABLEITEM,3,FALSE),"")</f>
        <v>สกรูสแตนเลสหัวร่ม M6x10</v>
      </c>
      <c r="N4299" s="14">
        <f>INSTOCK!$I4299*INSTOCK!$K4299</f>
        <v>960</v>
      </c>
      <c r="O4299" s="4" t="s">
        <v>5398</v>
      </c>
      <c r="P4299" s="4"/>
    </row>
    <row r="4300" ht="15.75" hidden="1" customHeight="1">
      <c r="B4300" s="8">
        <v>4619.0</v>
      </c>
      <c r="C4300" s="9">
        <v>43378.0</v>
      </c>
      <c r="D4300" s="6" t="s">
        <v>5399</v>
      </c>
      <c r="E4300" s="4"/>
      <c r="F4300" s="8" t="s">
        <v>5400</v>
      </c>
      <c r="G4300" s="4" t="s">
        <v>3029</v>
      </c>
      <c r="H4300" s="10" t="s">
        <v>3030</v>
      </c>
      <c r="I4300" s="10">
        <v>1.0</v>
      </c>
      <c r="J4300" s="11" t="str">
        <f>IF(D4300&lt;&gt;"",VLOOKUP(H4300,TABLEITEM,5,FALSE),"")</f>
        <v>LOT</v>
      </c>
      <c r="K4300" s="12">
        <v>535.0</v>
      </c>
      <c r="L4300" s="13" t="str">
        <f>IF(D4300&lt;&gt;"",VLOOKUP(H4300,TABLEITEM,2,FALSE),"")</f>
        <v/>
      </c>
      <c r="M4300" s="13" t="str">
        <f>IF(D4300&lt;&gt;"",VLOOKUP(H4300,TABLEITEM,3,FALSE),"")</f>
        <v>ค่าชุบ ดีบุกเงา</v>
      </c>
      <c r="N4300" s="14">
        <f>INSTOCK!$I4300*INSTOCK!$K4300</f>
        <v>535</v>
      </c>
      <c r="O4300" s="4" t="s">
        <v>3258</v>
      </c>
      <c r="P4300" s="4"/>
    </row>
    <row r="4301" ht="15.75" hidden="1" customHeight="1">
      <c r="B4301" s="8">
        <v>4620.0</v>
      </c>
      <c r="C4301" s="9">
        <v>43378.0</v>
      </c>
      <c r="D4301" s="6">
        <v>9247.0</v>
      </c>
      <c r="E4301" s="4"/>
      <c r="F4301" s="8"/>
      <c r="G4301" s="4" t="s">
        <v>2528</v>
      </c>
      <c r="H4301" s="10" t="s">
        <v>2529</v>
      </c>
      <c r="I4301" s="10">
        <v>1.0</v>
      </c>
      <c r="J4301" s="11" t="str">
        <f>IF(D4301&lt;&gt;"",VLOOKUP(H4301,TABLEITEM,5,FALSE),"")</f>
        <v>KG.</v>
      </c>
      <c r="K4301" s="12">
        <v>1000.0</v>
      </c>
      <c r="L4301" s="13" t="str">
        <f>IF(D4301&lt;&gt;"",VLOOKUP(H4301,TABLEITEM,2,FALSE),"")</f>
        <v/>
      </c>
      <c r="M4301" s="13" t="str">
        <f>IF(D4301&lt;&gt;"",VLOOKUP(H4301,TABLEITEM,3,FALSE),"")</f>
        <v>งานชุบ HOT DIP</v>
      </c>
      <c r="N4301" s="14">
        <f>INSTOCK!$I4301*INSTOCK!$K4301</f>
        <v>1000</v>
      </c>
      <c r="O4301" s="4" t="s">
        <v>5401</v>
      </c>
      <c r="P4301" s="4"/>
    </row>
    <row r="4302" ht="15.75" hidden="1" customHeight="1">
      <c r="B4302" s="8">
        <v>4621.0</v>
      </c>
      <c r="C4302" s="9">
        <v>43377.0</v>
      </c>
      <c r="D4302" s="6" t="s">
        <v>5402</v>
      </c>
      <c r="E4302" s="4">
        <v>6.109001103E9</v>
      </c>
      <c r="F4302" s="8" t="s">
        <v>604</v>
      </c>
      <c r="G4302" s="4" t="s">
        <v>3099</v>
      </c>
      <c r="H4302" s="10" t="s">
        <v>3683</v>
      </c>
      <c r="I4302" s="10">
        <v>1093.0</v>
      </c>
      <c r="J4302" s="11" t="str">
        <f>IF(D4302&lt;&gt;"",VLOOKUP(H4302,TABLEITEM,5,FALSE),"")</f>
        <v>EA</v>
      </c>
      <c r="K4302" s="12">
        <v>7.3</v>
      </c>
      <c r="L4302" s="13" t="str">
        <f>IF(D4302&lt;&gt;"",VLOOKUP(H4302,TABLEITEM,2,FALSE),"")</f>
        <v/>
      </c>
      <c r="M4302" s="13" t="str">
        <f>IF(D4302&lt;&gt;"",VLOOKUP(H4302,TABLEITEM,3,FALSE),"")</f>
        <v>บานพับตู้ พับขอบกันน้ำพิเศษ รุ่นพับงอ</v>
      </c>
      <c r="N4302" s="14">
        <f>INSTOCK!$I4302*INSTOCK!$K4302</f>
        <v>7978.9</v>
      </c>
      <c r="O4302" s="4"/>
      <c r="P4302" s="4"/>
    </row>
    <row r="4303" ht="15.75" hidden="1" customHeight="1">
      <c r="B4303" s="8">
        <v>4622.0</v>
      </c>
      <c r="C4303" s="9">
        <v>43376.0</v>
      </c>
      <c r="D4303" s="6" t="s">
        <v>5403</v>
      </c>
      <c r="E4303" s="4">
        <v>6.110001238E9</v>
      </c>
      <c r="F4303" s="8" t="s">
        <v>1383</v>
      </c>
      <c r="G4303" s="4" t="s">
        <v>1870</v>
      </c>
      <c r="H4303" s="10" t="s">
        <v>4107</v>
      </c>
      <c r="I4303" s="10">
        <v>1000.0</v>
      </c>
      <c r="J4303" s="11" t="str">
        <f>IF(D4303&lt;&gt;"",VLOOKUP(H4303,TABLEITEM,5,FALSE),"")</f>
        <v>EA</v>
      </c>
      <c r="K4303" s="12">
        <v>0.3</v>
      </c>
      <c r="L4303" s="13" t="str">
        <f>IF(D4303&lt;&gt;"",VLOOKUP(H4303,TABLEITEM,2,FALSE),"")</f>
        <v/>
      </c>
      <c r="M4303" s="13" t="str">
        <f>IF(D4303&lt;&gt;"",VLOOKUP(H4303,TABLEITEM,3,FALSE),"")</f>
        <v>แหวนสปริง สแตนเลส M6</v>
      </c>
      <c r="N4303" s="14">
        <f>INSTOCK!$I4303*INSTOCK!$K4303</f>
        <v>300</v>
      </c>
      <c r="O4303" s="4" t="s">
        <v>3804</v>
      </c>
      <c r="P4303" s="4"/>
    </row>
    <row r="4304" ht="15.75" hidden="1" customHeight="1">
      <c r="B4304" s="8">
        <v>4623.0</v>
      </c>
      <c r="C4304" s="9">
        <v>43376.0</v>
      </c>
      <c r="D4304" s="6" t="s">
        <v>5403</v>
      </c>
      <c r="E4304" s="4">
        <v>6.110001238E9</v>
      </c>
      <c r="F4304" s="8" t="s">
        <v>1383</v>
      </c>
      <c r="G4304" s="4" t="s">
        <v>1870</v>
      </c>
      <c r="H4304" s="10" t="s">
        <v>4744</v>
      </c>
      <c r="I4304" s="10">
        <v>2000.0</v>
      </c>
      <c r="J4304" s="11" t="str">
        <f>IF(D4304&lt;&gt;"",VLOOKUP(H4304,TABLEITEM,5,FALSE),"")</f>
        <v>EA</v>
      </c>
      <c r="K4304" s="12">
        <v>0.175</v>
      </c>
      <c r="L4304" s="13" t="str">
        <f>IF(D4304&lt;&gt;"",VLOOKUP(H4304,TABLEITEM,2,FALSE),"")</f>
        <v/>
      </c>
      <c r="M4304" s="13" t="str">
        <f>IF(D4304&lt;&gt;"",VLOOKUP(H4304,TABLEITEM,3,FALSE),"")</f>
        <v>แหวนอีแปะ สแตนเลส M6</v>
      </c>
      <c r="N4304" s="14">
        <f>INSTOCK!$I4304*INSTOCK!$K4304</f>
        <v>350</v>
      </c>
      <c r="O4304" s="4" t="s">
        <v>4745</v>
      </c>
      <c r="P4304" s="4"/>
    </row>
    <row r="4305" ht="15.75" hidden="1" customHeight="1">
      <c r="B4305" s="8">
        <v>4624.0</v>
      </c>
      <c r="C4305" s="9">
        <v>43376.0</v>
      </c>
      <c r="D4305" s="6" t="s">
        <v>5403</v>
      </c>
      <c r="E4305" s="4">
        <v>6.110001238E9</v>
      </c>
      <c r="F4305" s="8" t="s">
        <v>1383</v>
      </c>
      <c r="G4305" s="4" t="s">
        <v>1870</v>
      </c>
      <c r="H4305" s="10" t="s">
        <v>5404</v>
      </c>
      <c r="I4305" s="10">
        <v>1000.0</v>
      </c>
      <c r="J4305" s="11" t="str">
        <f>IF(D4305&lt;&gt;"",VLOOKUP(H4305,TABLEITEM,5,FALSE),"")</f>
        <v>EA</v>
      </c>
      <c r="K4305" s="12">
        <v>3.3</v>
      </c>
      <c r="L4305" s="13" t="str">
        <f>IF(D4305&lt;&gt;"",VLOOKUP(H4305,TABLEITEM,2,FALSE),"")</f>
        <v/>
      </c>
      <c r="M4305" s="13" t="str">
        <f>IF(D4305&lt;&gt;"",VLOOKUP(H4305,TABLEITEM,3,FALSE),"")</f>
        <v>สกรูเกลียวปล่อยไม้ SUS M6x25</v>
      </c>
      <c r="N4305" s="14">
        <f>INSTOCK!$I4305*INSTOCK!$K4305</f>
        <v>3300</v>
      </c>
      <c r="O4305" s="4" t="s">
        <v>5405</v>
      </c>
      <c r="P4305" s="4"/>
    </row>
    <row r="4306" ht="15.75" hidden="1" customHeight="1">
      <c r="B4306" s="8">
        <v>4625.0</v>
      </c>
      <c r="C4306" s="9">
        <v>43376.0</v>
      </c>
      <c r="D4306" s="6">
        <v>83017.0</v>
      </c>
      <c r="E4306" s="4">
        <v>6.109000172E9</v>
      </c>
      <c r="F4306" s="8" t="s">
        <v>604</v>
      </c>
      <c r="G4306" s="4" t="s">
        <v>2589</v>
      </c>
      <c r="H4306" s="10" t="s">
        <v>3007</v>
      </c>
      <c r="I4306" s="10">
        <v>2000.0</v>
      </c>
      <c r="J4306" s="11" t="str">
        <f>IF(D4306&lt;&gt;"",VLOOKUP(H4306,TABLEITEM,5,FALSE),"")</f>
        <v>EA</v>
      </c>
      <c r="K4306" s="12">
        <v>2.94</v>
      </c>
      <c r="L4306" s="13" t="str">
        <f>IF(D4306&lt;&gt;"",VLOOKUP(H4306,TABLEITEM,2,FALSE),"")</f>
        <v/>
      </c>
      <c r="M4306" s="13" t="str">
        <f>IF(D4306&lt;&gt;"",VLOOKUP(H4306,TABLEITEM,3,FALSE),"")</f>
        <v>สตัด M6x25</v>
      </c>
      <c r="N4306" s="14">
        <f>INSTOCK!$I4306*INSTOCK!$K4306</f>
        <v>5880</v>
      </c>
      <c r="O4306" s="4"/>
      <c r="P4306" s="4"/>
    </row>
    <row r="4307" ht="15.75" hidden="1" customHeight="1">
      <c r="B4307" s="8">
        <v>4626.0</v>
      </c>
      <c r="C4307" s="9">
        <v>43374.0</v>
      </c>
      <c r="D4307" s="6" t="s">
        <v>5406</v>
      </c>
      <c r="E4307" s="4">
        <v>6.107000888E9</v>
      </c>
      <c r="F4307" s="8" t="s">
        <v>604</v>
      </c>
      <c r="G4307" s="4" t="s">
        <v>3099</v>
      </c>
      <c r="H4307" s="10" t="s">
        <v>5407</v>
      </c>
      <c r="I4307" s="10">
        <v>1289.0</v>
      </c>
      <c r="J4307" s="11" t="str">
        <f>IF(D4307&lt;&gt;"",VLOOKUP(H4307,TABLEITEM,5,FALSE),"")</f>
        <v>EA</v>
      </c>
      <c r="K4307" s="12">
        <v>9.1</v>
      </c>
      <c r="L4307" s="13" t="str">
        <f>IF(D4307&lt;&gt;"",VLOOKUP(H4307,TABLEITEM,2,FALSE),"")</f>
        <v/>
      </c>
      <c r="M4307" s="13" t="str">
        <f>IF(D4307&lt;&gt;"",VLOOKUP(H4307,TABLEITEM,3,FALSE),"")</f>
        <v>บานพับตู้ พับขอบกันน้ำ รุ่นพับงอ</v>
      </c>
      <c r="N4307" s="14">
        <f>INSTOCK!$I4307*INSTOCK!$K4307</f>
        <v>11729.9</v>
      </c>
      <c r="O4307" s="4"/>
      <c r="P4307" s="4"/>
    </row>
    <row r="4308" ht="15.75" hidden="1" customHeight="1">
      <c r="B4308" s="8">
        <v>4627.0</v>
      </c>
      <c r="C4308" s="9">
        <v>43374.0</v>
      </c>
      <c r="D4308" s="6" t="s">
        <v>5408</v>
      </c>
      <c r="E4308" s="4">
        <v>6.109001223E9</v>
      </c>
      <c r="F4308" s="8" t="s">
        <v>604</v>
      </c>
      <c r="G4308" s="4" t="s">
        <v>965</v>
      </c>
      <c r="H4308" s="10" t="s">
        <v>5409</v>
      </c>
      <c r="I4308" s="10">
        <v>5.0</v>
      </c>
      <c r="J4308" s="11" t="str">
        <f>IF(D4308&lt;&gt;"",VLOOKUP(H4308,TABLEITEM,5,FALSE),"")</f>
        <v>EA</v>
      </c>
      <c r="K4308" s="12">
        <v>90.0</v>
      </c>
      <c r="L4308" s="13" t="str">
        <f>IF(D4308&lt;&gt;"",VLOOKUP(H4308,TABLEITEM,2,FALSE),"")</f>
        <v/>
      </c>
      <c r="M4308" s="13" t="str">
        <f>IF(D4308&lt;&gt;"",VLOOKUP(H4308,TABLEITEM,3,FALSE),"")</f>
        <v>คอปเปอร์ SP30</v>
      </c>
      <c r="N4308" s="14">
        <f>INSTOCK!$I4308*INSTOCK!$K4308</f>
        <v>450</v>
      </c>
      <c r="O4308" s="4"/>
      <c r="P4308" s="4"/>
    </row>
    <row r="4309" ht="15.75" hidden="1" customHeight="1">
      <c r="B4309" s="8">
        <v>4628.0</v>
      </c>
      <c r="C4309" s="9">
        <v>43374.0</v>
      </c>
      <c r="D4309" s="6" t="s">
        <v>5408</v>
      </c>
      <c r="E4309" s="4">
        <v>6.109001223E9</v>
      </c>
      <c r="F4309" s="8" t="s">
        <v>604</v>
      </c>
      <c r="G4309" s="4" t="s">
        <v>965</v>
      </c>
      <c r="H4309" s="10" t="s">
        <v>5410</v>
      </c>
      <c r="I4309" s="10">
        <v>5.0</v>
      </c>
      <c r="J4309" s="11" t="str">
        <f>IF(D4309&lt;&gt;"",VLOOKUP(H4309,TABLEITEM,5,FALSE),"")</f>
        <v>EA</v>
      </c>
      <c r="K4309" s="12">
        <v>125.0</v>
      </c>
      <c r="L4309" s="13" t="str">
        <f>IF(D4309&lt;&gt;"",VLOOKUP(H4309,TABLEITEM,2,FALSE),"")</f>
        <v/>
      </c>
      <c r="M4309" s="13" t="str">
        <f>IF(D4309&lt;&gt;"",VLOOKUP(H4309,TABLEITEM,3,FALSE),"")</f>
        <v>ข้อต่อคอปเปอร์ PP30</v>
      </c>
      <c r="N4309" s="14">
        <f>INSTOCK!$I4309*INSTOCK!$K4309</f>
        <v>625</v>
      </c>
      <c r="O4309" s="4"/>
      <c r="P4309" s="4"/>
    </row>
    <row r="4310" ht="15.75" hidden="1" customHeight="1">
      <c r="B4310" s="8">
        <v>4629.0</v>
      </c>
      <c r="C4310" s="9">
        <v>43374.0</v>
      </c>
      <c r="D4310" s="6" t="s">
        <v>5408</v>
      </c>
      <c r="E4310" s="4">
        <v>6.109001223E9</v>
      </c>
      <c r="F4310" s="8" t="s">
        <v>604</v>
      </c>
      <c r="G4310" s="4" t="s">
        <v>965</v>
      </c>
      <c r="H4310" s="18" t="s">
        <v>3584</v>
      </c>
      <c r="I4310" s="10">
        <v>8.0</v>
      </c>
      <c r="J4310" s="11" t="str">
        <f>IF(D4310&lt;&gt;"",VLOOKUP(H4310,TABLEITEM,5,FALSE),"")</f>
        <v>EA</v>
      </c>
      <c r="K4310" s="12">
        <v>200.0</v>
      </c>
      <c r="L4310" s="13" t="str">
        <f>IF(D4310&lt;&gt;"",VLOOKUP(H4310,TABLEITEM,2,FALSE),"")</f>
        <v/>
      </c>
      <c r="M4310" s="13" t="str">
        <f>IF(D4310&lt;&gt;"",VLOOKUP(H4310,TABLEITEM,3,FALSE),"")</f>
        <v>ปลั๊กยาง 3ขา มีกราว</v>
      </c>
      <c r="N4310" s="14">
        <f>INSTOCK!$I4310*INSTOCK!$K4310</f>
        <v>1600</v>
      </c>
      <c r="O4310" s="4"/>
      <c r="P4310" s="4"/>
    </row>
    <row r="4311" ht="15.75" hidden="1" customHeight="1">
      <c r="B4311" s="8">
        <v>4630.0</v>
      </c>
      <c r="C4311" s="9">
        <v>43374.0</v>
      </c>
      <c r="D4311" s="6" t="s">
        <v>5408</v>
      </c>
      <c r="E4311" s="4">
        <v>6.109001223E9</v>
      </c>
      <c r="F4311" s="8" t="s">
        <v>604</v>
      </c>
      <c r="G4311" s="4" t="s">
        <v>965</v>
      </c>
      <c r="H4311" s="10" t="s">
        <v>5411</v>
      </c>
      <c r="I4311" s="10">
        <v>20.0</v>
      </c>
      <c r="J4311" s="11" t="str">
        <f>IF(D4311&lt;&gt;"",VLOOKUP(H4311,TABLEITEM,5,FALSE),"")</f>
        <v>EA</v>
      </c>
      <c r="K4311" s="12">
        <v>4.0</v>
      </c>
      <c r="L4311" s="13" t="str">
        <f>IF(D4311&lt;&gt;"",VLOOKUP(H4311,TABLEITEM,2,FALSE),"")</f>
        <v/>
      </c>
      <c r="M4311" s="13" t="str">
        <f>IF(D4311&lt;&gt;"",VLOOKUP(H4311,TABLEITEM,3,FALSE),"")</f>
        <v>สกรูเกลียวปล่อย M6x3/4"</v>
      </c>
      <c r="N4311" s="14">
        <f>INSTOCK!$I4311*INSTOCK!$K4311</f>
        <v>80</v>
      </c>
      <c r="O4311" s="4"/>
      <c r="P4311" s="4"/>
    </row>
    <row r="4312" ht="15.75" hidden="1" customHeight="1">
      <c r="B4312" s="8">
        <v>4631.0</v>
      </c>
      <c r="C4312" s="9">
        <v>43374.0</v>
      </c>
      <c r="D4312" s="6" t="s">
        <v>5412</v>
      </c>
      <c r="E4312" s="4">
        <v>6.109001211E9</v>
      </c>
      <c r="F4312" s="8" t="s">
        <v>2875</v>
      </c>
      <c r="G4312" s="4" t="s">
        <v>965</v>
      </c>
      <c r="H4312" s="10" t="s">
        <v>46</v>
      </c>
      <c r="I4312" s="10">
        <v>10.0</v>
      </c>
      <c r="J4312" s="11" t="str">
        <f>IF(D4312&lt;&gt;"",VLOOKUP(H4312,TABLEITEM,5,FALSE),"")</f>
        <v>ROLL</v>
      </c>
      <c r="K4312" s="12">
        <v>90.0</v>
      </c>
      <c r="L4312" s="13" t="str">
        <f>IF(D4312&lt;&gt;"",VLOOKUP(H4312,TABLEITEM,2,FALSE),"")</f>
        <v/>
      </c>
      <c r="M4312" s="13" t="str">
        <f>IF(D4312&lt;&gt;"",VLOOKUP(H4312,TABLEITEM,3,FALSE),"")</f>
        <v>ลวดดำ</v>
      </c>
      <c r="N4312" s="14">
        <f>INSTOCK!$I4312*INSTOCK!$K4312</f>
        <v>900</v>
      </c>
      <c r="O4312" s="4"/>
      <c r="P4312" s="4"/>
    </row>
    <row r="4313" ht="15.75" hidden="1" customHeight="1">
      <c r="B4313" s="8">
        <v>4632.0</v>
      </c>
      <c r="C4313" s="9">
        <v>43374.0</v>
      </c>
      <c r="D4313" s="6" t="s">
        <v>5412</v>
      </c>
      <c r="E4313" s="4">
        <v>6.109001211E9</v>
      </c>
      <c r="F4313" s="8" t="s">
        <v>2875</v>
      </c>
      <c r="G4313" s="4" t="s">
        <v>965</v>
      </c>
      <c r="H4313" s="18" t="s">
        <v>4632</v>
      </c>
      <c r="I4313" s="10">
        <v>5.0</v>
      </c>
      <c r="J4313" s="11" t="str">
        <f>IF(D4313&lt;&gt;"",VLOOKUP(H4313,TABLEITEM,5,FALSE),"")</f>
        <v>EA</v>
      </c>
      <c r="K4313" s="12">
        <v>110.0</v>
      </c>
      <c r="L4313" s="13" t="str">
        <f>IF(D4313&lt;&gt;"",VLOOKUP(H4313,TABLEITEM,2,FALSE),"")</f>
        <v/>
      </c>
      <c r="M4313" s="13" t="str">
        <f>IF(D4313&lt;&gt;"",VLOOKUP(H4313,TABLEITEM,3,FALSE),"")</f>
        <v>พลาสติกใสม้วนยาว </v>
      </c>
      <c r="N4313" s="14">
        <f>INSTOCK!$I4313*INSTOCK!$K4313</f>
        <v>550</v>
      </c>
      <c r="O4313" s="4"/>
      <c r="P4313" s="4"/>
    </row>
    <row r="4314" ht="15.75" hidden="1" customHeight="1">
      <c r="B4314" s="8">
        <v>4633.0</v>
      </c>
      <c r="C4314" s="9">
        <v>43374.0</v>
      </c>
      <c r="D4314" s="6" t="s">
        <v>5413</v>
      </c>
      <c r="E4314" s="4">
        <v>6.109001191E9</v>
      </c>
      <c r="F4314" s="8" t="s">
        <v>604</v>
      </c>
      <c r="G4314" s="4" t="s">
        <v>965</v>
      </c>
      <c r="H4314" s="10" t="s">
        <v>5395</v>
      </c>
      <c r="I4314" s="10">
        <v>2.0</v>
      </c>
      <c r="J4314" s="11" t="str">
        <f>IF(D4314&lt;&gt;"",VLOOKUP(H4314,TABLEITEM,5,FALSE),"")</f>
        <v>EA</v>
      </c>
      <c r="K4314" s="12">
        <v>30.0</v>
      </c>
      <c r="L4314" s="13" t="str">
        <f>IF(D4314&lt;&gt;"",VLOOKUP(H4314,TABLEITEM,2,FALSE),"")</f>
        <v/>
      </c>
      <c r="M4314" s="13" t="str">
        <f>IF(D4314&lt;&gt;"",VLOOKUP(H4314,TABLEITEM,3,FALSE),"")</f>
        <v>มุ้งไนล่อน</v>
      </c>
      <c r="N4314" s="14">
        <f>INSTOCK!$I4314*INSTOCK!$K4314</f>
        <v>60</v>
      </c>
      <c r="O4314" s="4"/>
      <c r="P4314" s="4"/>
    </row>
    <row r="4315" ht="15.75" hidden="1" customHeight="1">
      <c r="B4315" s="8">
        <v>4634.0</v>
      </c>
      <c r="C4315" s="9">
        <v>43374.0</v>
      </c>
      <c r="D4315" s="6" t="s">
        <v>5413</v>
      </c>
      <c r="E4315" s="4">
        <v>6.109001191E9</v>
      </c>
      <c r="F4315" s="8" t="s">
        <v>604</v>
      </c>
      <c r="G4315" s="4" t="s">
        <v>965</v>
      </c>
      <c r="H4315" s="10" t="s">
        <v>3003</v>
      </c>
      <c r="I4315" s="10">
        <v>6.0</v>
      </c>
      <c r="J4315" s="11" t="str">
        <f>IF(D4315&lt;&gt;"",VLOOKUP(H4315,TABLEITEM,5,FALSE),"")</f>
        <v>EA</v>
      </c>
      <c r="K4315" s="12">
        <v>4.0</v>
      </c>
      <c r="L4315" s="13" t="str">
        <f>IF(D4315&lt;&gt;"",VLOOKUP(H4315,TABLEITEM,2,FALSE),"")</f>
        <v/>
      </c>
      <c r="M4315" s="13" t="str">
        <f>IF(D4315&lt;&gt;"",VLOOKUP(H4315,TABLEITEM,3,FALSE),"")</f>
        <v>ยูโบล์ท 1"</v>
      </c>
      <c r="N4315" s="14">
        <f>INSTOCK!$I4315*INSTOCK!$K4315</f>
        <v>24</v>
      </c>
      <c r="O4315" s="4"/>
      <c r="P4315" s="4"/>
    </row>
    <row r="4316" ht="15.75" hidden="1" customHeight="1">
      <c r="B4316" s="8">
        <v>4635.0</v>
      </c>
      <c r="C4316" s="9">
        <v>43374.0</v>
      </c>
      <c r="D4316" s="6" t="s">
        <v>5413</v>
      </c>
      <c r="E4316" s="4">
        <v>6.109001191E9</v>
      </c>
      <c r="F4316" s="8" t="s">
        <v>604</v>
      </c>
      <c r="G4316" s="4" t="s">
        <v>965</v>
      </c>
      <c r="H4316" s="10" t="s">
        <v>2906</v>
      </c>
      <c r="I4316" s="10">
        <v>20.0</v>
      </c>
      <c r="J4316" s="11" t="str">
        <f>IF(D4316&lt;&gt;"",VLOOKUP(H4316,TABLEITEM,5,FALSE),"")</f>
        <v>EA</v>
      </c>
      <c r="K4316" s="12">
        <v>10.0</v>
      </c>
      <c r="L4316" s="13" t="str">
        <f>IF(D4316&lt;&gt;"",VLOOKUP(H4316,TABLEITEM,2,FALSE),"")</f>
        <v/>
      </c>
      <c r="M4316" s="13" t="str">
        <f>IF(D4316&lt;&gt;"",VLOOKUP(H4316,TABLEITEM,3,FALSE),"")</f>
        <v>ภู่กัน #8</v>
      </c>
      <c r="N4316" s="14">
        <f>INSTOCK!$I4316*INSTOCK!$K4316</f>
        <v>200</v>
      </c>
      <c r="O4316" s="4"/>
      <c r="P4316" s="4"/>
    </row>
    <row r="4317" ht="15.75" hidden="1" customHeight="1">
      <c r="B4317" s="8">
        <v>4636.0</v>
      </c>
      <c r="C4317" s="9">
        <v>43374.0</v>
      </c>
      <c r="D4317" s="6" t="s">
        <v>5413</v>
      </c>
      <c r="E4317" s="4">
        <v>6.109001191E9</v>
      </c>
      <c r="F4317" s="8" t="s">
        <v>604</v>
      </c>
      <c r="G4317" s="4" t="s">
        <v>965</v>
      </c>
      <c r="H4317" s="10" t="s">
        <v>45</v>
      </c>
      <c r="I4317" s="10">
        <v>1.0</v>
      </c>
      <c r="J4317" s="11" t="str">
        <f>IF(D4317&lt;&gt;"",VLOOKUP(H4317,TABLEITEM,5,FALSE),"")</f>
        <v>กล</v>
      </c>
      <c r="K4317" s="12">
        <v>280.0</v>
      </c>
      <c r="L4317" s="13" t="str">
        <f>IF(D4317&lt;&gt;"",VLOOKUP(H4317,TABLEITEM,2,FALSE),"")</f>
        <v/>
      </c>
      <c r="M4317" s="13" t="str">
        <f>IF(D4317&lt;&gt;"",VLOOKUP(H4317,TABLEITEM,3,FALSE),"")</f>
        <v>สีโป้ว</v>
      </c>
      <c r="N4317" s="14">
        <f>INSTOCK!$I4317*INSTOCK!$K4317</f>
        <v>280</v>
      </c>
      <c r="O4317" s="4"/>
      <c r="P4317" s="4"/>
    </row>
    <row r="4318" ht="15.75" hidden="1" customHeight="1">
      <c r="B4318" s="8">
        <v>4637.0</v>
      </c>
      <c r="C4318" s="9">
        <v>43374.0</v>
      </c>
      <c r="D4318" s="6" t="s">
        <v>5414</v>
      </c>
      <c r="E4318" s="4">
        <v>6.109001183E9</v>
      </c>
      <c r="F4318" s="8" t="s">
        <v>604</v>
      </c>
      <c r="G4318" s="4" t="s">
        <v>965</v>
      </c>
      <c r="H4318" s="10" t="s">
        <v>2831</v>
      </c>
      <c r="I4318" s="10">
        <v>24.0</v>
      </c>
      <c r="J4318" s="11" t="str">
        <f>IF(D4318&lt;&gt;"",VLOOKUP(H4318,TABLEITEM,5,FALSE),"")</f>
        <v>EA</v>
      </c>
      <c r="K4318" s="12">
        <v>30.0</v>
      </c>
      <c r="L4318" s="13" t="str">
        <f>IF(D4318&lt;&gt;"",VLOOKUP(H4318,TABLEITEM,2,FALSE),"")</f>
        <v/>
      </c>
      <c r="M4318" s="13" t="str">
        <f>IF(D4318&lt;&gt;"",VLOOKUP(H4318,TABLEITEM,3,FALSE),"")</f>
        <v>แว่นตาใส </v>
      </c>
      <c r="N4318" s="14">
        <f>INSTOCK!$I4318*INSTOCK!$K4318</f>
        <v>720</v>
      </c>
      <c r="O4318" s="4"/>
      <c r="P4318" s="4"/>
    </row>
    <row r="4319" ht="15.75" hidden="1" customHeight="1">
      <c r="B4319" s="8">
        <v>4638.0</v>
      </c>
      <c r="C4319" s="9">
        <v>43374.0</v>
      </c>
      <c r="D4319" s="6">
        <v>36124.0</v>
      </c>
      <c r="E4319" s="4">
        <v>6.109001222E9</v>
      </c>
      <c r="F4319" s="8" t="s">
        <v>604</v>
      </c>
      <c r="G4319" s="4" t="s">
        <v>696</v>
      </c>
      <c r="H4319" s="18" t="s">
        <v>5415</v>
      </c>
      <c r="I4319" s="10">
        <v>2.0</v>
      </c>
      <c r="J4319" s="11" t="str">
        <f>IF(D4319&lt;&gt;"",VLOOKUP(H4319,TABLEITEM,5,FALSE),"")</f>
        <v>EA</v>
      </c>
      <c r="K4319" s="12">
        <v>540.0</v>
      </c>
      <c r="L4319" s="13" t="str">
        <f>IF(D4319&lt;&gt;"",VLOOKUP(H4319,TABLEITEM,2,FALSE),"")</f>
        <v/>
      </c>
      <c r="M4319" s="13" t="str">
        <f>IF(D4319&lt;&gt;"",VLOOKUP(H4319,TABLEITEM,3,FALSE),"")</f>
        <v>ตะไบท้องปลิงละเอียด 8"</v>
      </c>
      <c r="N4319" s="14">
        <f>INSTOCK!$I4319*INSTOCK!$K4319</f>
        <v>1080</v>
      </c>
      <c r="O4319" s="4"/>
      <c r="P4319" s="4"/>
    </row>
    <row r="4320" ht="15.75" hidden="1" customHeight="1">
      <c r="B4320" s="8">
        <v>4639.0</v>
      </c>
      <c r="C4320" s="9">
        <v>43374.0</v>
      </c>
      <c r="D4320" s="6">
        <v>36124.0</v>
      </c>
      <c r="E4320" s="4">
        <v>6.109001222E9</v>
      </c>
      <c r="F4320" s="8" t="s">
        <v>604</v>
      </c>
      <c r="G4320" s="4" t="s">
        <v>696</v>
      </c>
      <c r="H4320" s="18" t="s">
        <v>5416</v>
      </c>
      <c r="I4320" s="10">
        <v>2.0</v>
      </c>
      <c r="J4320" s="11" t="str">
        <f>IF(D4320&lt;&gt;"",VLOOKUP(H4320,TABLEITEM,5,FALSE),"")</f>
        <v>EA</v>
      </c>
      <c r="K4320" s="12">
        <v>600.0</v>
      </c>
      <c r="L4320" s="13" t="str">
        <f>IF(D4320&lt;&gt;"",VLOOKUP(H4320,TABLEITEM,2,FALSE),"")</f>
        <v/>
      </c>
      <c r="M4320" s="13" t="str">
        <f>IF(D4320&lt;&gt;"",VLOOKUP(H4320,TABLEITEM,3,FALSE),"")</f>
        <v>ตะไบท้องปลิงหยาบ 8"</v>
      </c>
      <c r="N4320" s="14">
        <f>INSTOCK!$I4320*INSTOCK!$K4320</f>
        <v>1200</v>
      </c>
      <c r="O4320" s="4"/>
      <c r="P4320" s="4"/>
    </row>
    <row r="4321" ht="15.75" hidden="1" customHeight="1">
      <c r="B4321" s="8">
        <v>4640.0</v>
      </c>
      <c r="C4321" s="9">
        <v>43374.0</v>
      </c>
      <c r="D4321" s="6" t="s">
        <v>5417</v>
      </c>
      <c r="E4321" s="4">
        <v>6.109001109E9</v>
      </c>
      <c r="F4321" s="8" t="s">
        <v>604</v>
      </c>
      <c r="G4321" s="4" t="s">
        <v>1777</v>
      </c>
      <c r="H4321" s="10" t="s">
        <v>3997</v>
      </c>
      <c r="I4321" s="10">
        <v>10000.0</v>
      </c>
      <c r="J4321" s="11" t="str">
        <f>IF(D4321&lt;&gt;"",VLOOKUP(H4321,TABLEITEM,5,FALSE),"")</f>
        <v>EA</v>
      </c>
      <c r="K4321" s="12">
        <v>0.99</v>
      </c>
      <c r="L4321" s="13" t="str">
        <f>IF(D4321&lt;&gt;"",VLOOKUP(H4321,TABLEITEM,2,FALSE),"")</f>
        <v/>
      </c>
      <c r="M4321" s="13" t="str">
        <f>IF(D4321&lt;&gt;"",VLOOKUP(H4321,TABLEITEM,3,FALSE),"")</f>
        <v>สกรูหัวติดแหวน M 6x10</v>
      </c>
      <c r="N4321" s="14">
        <f>INSTOCK!$I4321*INSTOCK!$K4321</f>
        <v>9900</v>
      </c>
      <c r="O4321" s="4" t="s">
        <v>1857</v>
      </c>
      <c r="P4321" s="4"/>
    </row>
    <row r="4322" ht="15.75" hidden="1" customHeight="1">
      <c r="B4322" s="8">
        <v>4641.0</v>
      </c>
      <c r="C4322" s="9">
        <v>43636.0</v>
      </c>
      <c r="D4322" s="6" t="s">
        <v>5418</v>
      </c>
      <c r="E4322" s="4">
        <v>6.206000925E9</v>
      </c>
      <c r="F4322" s="8" t="s">
        <v>604</v>
      </c>
      <c r="G4322" s="4" t="s">
        <v>617</v>
      </c>
      <c r="H4322" s="10" t="s">
        <v>559</v>
      </c>
      <c r="I4322" s="10">
        <v>45.0</v>
      </c>
      <c r="J4322" s="11" t="str">
        <f>IF(D4322&lt;&gt;"",VLOOKUP(H4322,TABLEITEM,5,FALSE),"")</f>
        <v>M</v>
      </c>
      <c r="K4322" s="12">
        <v>321.6</v>
      </c>
      <c r="L4322" s="13" t="str">
        <f>IF(D4322&lt;&gt;"",VLOOKUP(H4322,TABLEITEM,2,FALSE),"")</f>
        <v>Busbar</v>
      </c>
      <c r="M4322" s="13" t="str">
        <f>IF(D4322&lt;&gt;"",VLOOKUP(H4322,TABLEITEM,3,FALSE),"")</f>
        <v>บัสบาร์ทองแดง 30x5</v>
      </c>
      <c r="N4322" s="14">
        <f>INSTOCK!$I4322*INSTOCK!$K4322</f>
        <v>14472</v>
      </c>
      <c r="O4322" s="4" t="s">
        <v>3941</v>
      </c>
      <c r="P4322" s="4"/>
    </row>
    <row r="4323" ht="15.75" hidden="1" customHeight="1">
      <c r="B4323" s="8">
        <v>4642.0</v>
      </c>
      <c r="C4323" s="9">
        <v>43635.0</v>
      </c>
      <c r="D4323" s="6" t="s">
        <v>5419</v>
      </c>
      <c r="E4323" s="4">
        <v>6.206000919E9</v>
      </c>
      <c r="F4323" s="8" t="s">
        <v>5420</v>
      </c>
      <c r="G4323" s="4" t="s">
        <v>617</v>
      </c>
      <c r="H4323" s="10" t="s">
        <v>5421</v>
      </c>
      <c r="I4323" s="10">
        <v>2.0</v>
      </c>
      <c r="J4323" s="11" t="str">
        <f>IF(D4323&lt;&gt;"",VLOOKUP(H4323,TABLEITEM,5,FALSE),"")</f>
        <v>EA</v>
      </c>
      <c r="K4323" s="12">
        <v>16195.0</v>
      </c>
      <c r="L4323" s="13" t="str">
        <f>IF(D4323&lt;&gt;"",VLOOKUP(H4323,TABLEITEM,2,FALSE),"")</f>
        <v/>
      </c>
      <c r="M4323" s="13" t="str">
        <f>IF(D4323&lt;&gt;"",VLOOKUP(H4323,TABLEITEM,3,FALSE),"")</f>
        <v>ทองเหลืองแผ่น 6.00mm 2'x4' </v>
      </c>
      <c r="N4323" s="14">
        <f>INSTOCK!$I4323*INSTOCK!$K4323</f>
        <v>32390</v>
      </c>
      <c r="O4323" s="4"/>
      <c r="P4323" s="4"/>
    </row>
    <row r="4324" ht="15.75" hidden="1" customHeight="1">
      <c r="B4324" s="8">
        <v>4648.0</v>
      </c>
      <c r="C4324" s="9">
        <v>43630.0</v>
      </c>
      <c r="D4324" s="6" t="s">
        <v>5422</v>
      </c>
      <c r="E4324" s="4">
        <v>6.206000875E9</v>
      </c>
      <c r="F4324" s="8" t="s">
        <v>604</v>
      </c>
      <c r="G4324" s="4" t="s">
        <v>743</v>
      </c>
      <c r="H4324" s="10" t="s">
        <v>73</v>
      </c>
      <c r="I4324" s="10">
        <v>500.0</v>
      </c>
      <c r="J4324" s="11" t="str">
        <f>IF(D4324&lt;&gt;"",VLOOKUP(H4324,TABLEITEM,5,FALSE),"")</f>
        <v>KG.</v>
      </c>
      <c r="K4324" s="12">
        <v>99.85</v>
      </c>
      <c r="L4324" s="13" t="str">
        <f>IF(D4324&lt;&gt;"",VLOOKUP(H4324,TABLEITEM,2,FALSE),"")</f>
        <v/>
      </c>
      <c r="M4324" s="13" t="str">
        <f>IF(D4324&lt;&gt;"",VLOOKUP(H4324,TABLEITEM,3,FALSE),"")</f>
        <v>สีฝุ่น สีครีมย่น 1002782PX20</v>
      </c>
      <c r="N4324" s="14">
        <f>INSTOCK!$I4324*INSTOCK!$K4324</f>
        <v>49925</v>
      </c>
      <c r="O4324" s="4"/>
      <c r="P4324" s="4"/>
    </row>
    <row r="4325" ht="15.75" hidden="1" customHeight="1">
      <c r="B4325" s="8">
        <v>4649.0</v>
      </c>
      <c r="C4325" s="9">
        <v>43630.0</v>
      </c>
      <c r="D4325" s="6" t="s">
        <v>5423</v>
      </c>
      <c r="E4325" s="4">
        <v>6.206000875E9</v>
      </c>
      <c r="F4325" s="8" t="s">
        <v>604</v>
      </c>
      <c r="G4325" s="4" t="s">
        <v>743</v>
      </c>
      <c r="H4325" s="10" t="s">
        <v>86</v>
      </c>
      <c r="I4325" s="10">
        <v>500.0</v>
      </c>
      <c r="J4325" s="11" t="str">
        <f>IF(D4325&lt;&gt;"",VLOOKUP(H4325,TABLEITEM,5,FALSE),"")</f>
        <v>KG.</v>
      </c>
      <c r="K4325" s="12">
        <v>139.0</v>
      </c>
      <c r="L4325" s="13" t="str">
        <f>IF(D4325&lt;&gt;"",VLOOKUP(H4325,TABLEITEM,2,FALSE),"")</f>
        <v/>
      </c>
      <c r="M4325" s="13" t="str">
        <f>IF(D4325&lt;&gt;"",VLOOKUP(H4325,TABLEITEM,3,FALSE),"")</f>
        <v>สีฝุ่น ครีมเรียบ 1204551PX20</v>
      </c>
      <c r="N4325" s="14">
        <f>INSTOCK!$I4325*INSTOCK!$K4325</f>
        <v>69500</v>
      </c>
      <c r="O4325" s="4"/>
      <c r="P4325" s="4"/>
    </row>
    <row r="4326" ht="15.75" hidden="1" customHeight="1">
      <c r="B4326" s="8">
        <v>4650.0</v>
      </c>
      <c r="C4326" s="9">
        <v>43629.0</v>
      </c>
      <c r="D4326" s="6" t="s">
        <v>5424</v>
      </c>
      <c r="E4326" s="4">
        <v>6.206000886E9</v>
      </c>
      <c r="F4326" s="8" t="s">
        <v>5425</v>
      </c>
      <c r="G4326" s="4" t="s">
        <v>1962</v>
      </c>
      <c r="H4326" s="10" t="s">
        <v>1963</v>
      </c>
      <c r="I4326" s="10">
        <v>1.0</v>
      </c>
      <c r="J4326" s="11" t="str">
        <f>IF(D4326&lt;&gt;"",VLOOKUP(H4326,TABLEITEM,5,FALSE),"")</f>
        <v>EA</v>
      </c>
      <c r="K4326" s="12">
        <v>3800.0</v>
      </c>
      <c r="L4326" s="13" t="str">
        <f>IF(D4326&lt;&gt;"",VLOOKUP(H4326,TABLEITEM,2,FALSE),"")</f>
        <v/>
      </c>
      <c r="M4326" s="13" t="str">
        <f>IF(D4326&lt;&gt;"",VLOOKUP(H4326,TABLEITEM,3,FALSE),"")</f>
        <v>SURGE STPT240K275V-4P AC230VAC 4P 40A</v>
      </c>
      <c r="N4326" s="14">
        <f>INSTOCK!$I4326*INSTOCK!$K4326</f>
        <v>3800</v>
      </c>
      <c r="O4326" s="4"/>
      <c r="P4326" s="4"/>
    </row>
    <row r="4327" ht="15.75" hidden="1" customHeight="1">
      <c r="B4327" s="8">
        <v>4651.0</v>
      </c>
      <c r="C4327" s="9">
        <v>43636.0</v>
      </c>
      <c r="D4327" s="6" t="s">
        <v>5426</v>
      </c>
      <c r="E4327" s="4">
        <v>6.20600092E9</v>
      </c>
      <c r="F4327" s="8" t="s">
        <v>5427</v>
      </c>
      <c r="G4327" s="4" t="s">
        <v>798</v>
      </c>
      <c r="H4327" s="10" t="s">
        <v>779</v>
      </c>
      <c r="I4327" s="10">
        <v>80.0</v>
      </c>
      <c r="J4327" s="11" t="str">
        <f>IF(D4327&lt;&gt;"",VLOOKUP(H4327,TABLEITEM,5,FALSE),"")</f>
        <v>KG.</v>
      </c>
      <c r="K4327" s="12">
        <v>130.0</v>
      </c>
      <c r="L4327" s="13" t="str">
        <f>IF(D4327&lt;&gt;"",VLOOKUP(H4327,TABLEITEM,2,FALSE),"")</f>
        <v/>
      </c>
      <c r="M4327" s="13" t="str">
        <f>IF(D4327&lt;&gt;"",VLOOKUP(H4327,TABLEITEM,3,FALSE),"")</f>
        <v>สีฝุ่น FF110/948/C สีครีม</v>
      </c>
      <c r="N4327" s="14">
        <f>INSTOCK!$I4327*INSTOCK!$K4327</f>
        <v>10400</v>
      </c>
      <c r="O4327" s="4"/>
      <c r="P4327" s="4"/>
    </row>
    <row r="4328" ht="15.75" hidden="1" customHeight="1">
      <c r="B4328" s="8">
        <v>4652.0</v>
      </c>
      <c r="C4328" s="9">
        <v>43636.0</v>
      </c>
      <c r="D4328" s="6" t="s">
        <v>5428</v>
      </c>
      <c r="E4328" s="4">
        <v>6.206000907E9</v>
      </c>
      <c r="F4328" s="8" t="s">
        <v>604</v>
      </c>
      <c r="G4328" s="4" t="s">
        <v>5429</v>
      </c>
      <c r="H4328" s="10" t="s">
        <v>5430</v>
      </c>
      <c r="I4328" s="10">
        <v>1.0</v>
      </c>
      <c r="J4328" s="11" t="str">
        <f>IF(D4328&lt;&gt;"",VLOOKUP(H4328,TABLEITEM,5,FALSE),"")</f>
        <v>EA</v>
      </c>
      <c r="K4328" s="12">
        <v>6000.0</v>
      </c>
      <c r="L4328" s="13" t="str">
        <f>IF(D4328&lt;&gt;"",VLOOKUP(H4328,TABLEITEM,2,FALSE),"")</f>
        <v/>
      </c>
      <c r="M4328" s="13" t="str">
        <f>IF(D4328&lt;&gt;"",VLOOKUP(H4328,TABLEITEM,3,FALSE),"")</f>
        <v>FILTER NET NO.38 (สีดำ) Size W1.2x50m</v>
      </c>
      <c r="N4328" s="14">
        <f>INSTOCK!$I4328*INSTOCK!$K4328</f>
        <v>6000</v>
      </c>
      <c r="O4328" s="4"/>
      <c r="P4328" s="4"/>
    </row>
    <row r="4329" ht="15.75" hidden="1" customHeight="1">
      <c r="B4329" s="8">
        <v>4653.0</v>
      </c>
      <c r="C4329" s="9">
        <v>43636.0</v>
      </c>
      <c r="D4329" s="6" t="s">
        <v>5431</v>
      </c>
      <c r="E4329" s="4">
        <v>6.20600091E9</v>
      </c>
      <c r="F4329" s="8" t="s">
        <v>604</v>
      </c>
      <c r="G4329" s="4" t="s">
        <v>1777</v>
      </c>
      <c r="H4329" s="10" t="s">
        <v>3014</v>
      </c>
      <c r="I4329" s="10">
        <v>10000.0</v>
      </c>
      <c r="J4329" s="11" t="str">
        <f>IF(D4329&lt;&gt;"",VLOOKUP(H4329,TABLEITEM,5,FALSE),"")</f>
        <v>EA</v>
      </c>
      <c r="K4329" s="12">
        <v>0.075</v>
      </c>
      <c r="L4329" s="13" t="str">
        <f>IF(D4329&lt;&gt;"",VLOOKUP(H4329,TABLEITEM,2,FALSE),"")</f>
        <v/>
      </c>
      <c r="M4329" s="13" t="str">
        <f>IF(D4329&lt;&gt;"",VLOOKUP(H4329,TABLEITEM,3,FALSE),"")</f>
        <v>แหวนสปริง M 8 ชุบรุ้ง</v>
      </c>
      <c r="N4329" s="14">
        <f>INSTOCK!$I4329*INSTOCK!$K4329</f>
        <v>750</v>
      </c>
      <c r="O4329" s="4" t="s">
        <v>2079</v>
      </c>
      <c r="P4329" s="4"/>
    </row>
    <row r="4330" ht="15.75" hidden="1" customHeight="1">
      <c r="B4330" s="8">
        <v>4654.0</v>
      </c>
      <c r="C4330" s="9">
        <v>43636.0</v>
      </c>
      <c r="D4330" s="6" t="s">
        <v>5431</v>
      </c>
      <c r="E4330" s="4">
        <v>6.20600091E9</v>
      </c>
      <c r="F4330" s="8" t="s">
        <v>604</v>
      </c>
      <c r="G4330" s="4" t="s">
        <v>1777</v>
      </c>
      <c r="H4330" s="10" t="s">
        <v>2102</v>
      </c>
      <c r="I4330" s="10">
        <v>20000.0</v>
      </c>
      <c r="J4330" s="11" t="str">
        <f>IF(D4330&lt;&gt;"",VLOOKUP(H4330,TABLEITEM,5,FALSE),"")</f>
        <v>EA</v>
      </c>
      <c r="K4330" s="12">
        <v>0.175</v>
      </c>
      <c r="L4330" s="13" t="str">
        <f>IF(D4330&lt;&gt;"",VLOOKUP(H4330,TABLEITEM,2,FALSE),"")</f>
        <v/>
      </c>
      <c r="M4330" s="13" t="str">
        <f>IF(D4330&lt;&gt;"",VLOOKUP(H4330,TABLEITEM,3,FALSE),"")</f>
        <v>แหวนอีแปะ M8 ชุบขาว</v>
      </c>
      <c r="N4330" s="14">
        <f>INSTOCK!$I4330*INSTOCK!$K4330</f>
        <v>3500</v>
      </c>
      <c r="O4330" s="4" t="s">
        <v>3647</v>
      </c>
      <c r="P4330" s="4"/>
    </row>
    <row r="4331" ht="15.75" hidden="1" customHeight="1">
      <c r="B4331" s="8">
        <v>4655.0</v>
      </c>
      <c r="C4331" s="9">
        <v>43636.0</v>
      </c>
      <c r="D4331" s="6" t="s">
        <v>5432</v>
      </c>
      <c r="E4331" s="4">
        <v>6.206000921E9</v>
      </c>
      <c r="F4331" s="8" t="s">
        <v>5433</v>
      </c>
      <c r="G4331" s="4" t="s">
        <v>3267</v>
      </c>
      <c r="H4331" s="10" t="s">
        <v>5434</v>
      </c>
      <c r="I4331" s="10">
        <v>4.0</v>
      </c>
      <c r="J4331" s="11" t="str">
        <f>IF(D4331&lt;&gt;"",VLOOKUP(H4331,TABLEITEM,5,FALSE),"")</f>
        <v>EA</v>
      </c>
      <c r="K4331" s="12">
        <v>520.0</v>
      </c>
      <c r="L4331" s="13" t="str">
        <f>IF(D4331&lt;&gt;"",VLOOKUP(H4331,TABLEITEM,2,FALSE),"")</f>
        <v/>
      </c>
      <c r="M4331" s="13" t="str">
        <f>IF(D4331&lt;&gt;"",VLOOKUP(H4331,TABLEITEM,3,FALSE),"")</f>
        <v>Collector nozzle PI-F1 #241225</v>
      </c>
      <c r="N4331" s="14">
        <f>INSTOCK!$I4331*INSTOCK!$K4331</f>
        <v>2080</v>
      </c>
      <c r="O4331" s="4"/>
      <c r="P4331" s="4"/>
    </row>
    <row r="4332" ht="15.75" hidden="1" customHeight="1">
      <c r="B4332" s="8">
        <v>4656.0</v>
      </c>
      <c r="C4332" s="9">
        <v>43635.0</v>
      </c>
      <c r="D4332" s="6" t="s">
        <v>5435</v>
      </c>
      <c r="E4332" s="4">
        <v>6.206000893E9</v>
      </c>
      <c r="F4332" s="8" t="s">
        <v>604</v>
      </c>
      <c r="G4332" s="4" t="s">
        <v>1611</v>
      </c>
      <c r="H4332" s="10" t="s">
        <v>193</v>
      </c>
      <c r="I4332" s="10">
        <v>80.0</v>
      </c>
      <c r="J4332" s="11" t="str">
        <f>IF(D4332&lt;&gt;"",VLOOKUP(H4332,TABLEITEM,5,FALSE),"")</f>
        <v>EA</v>
      </c>
      <c r="K4332" s="12">
        <v>35.0</v>
      </c>
      <c r="L4332" s="13" t="str">
        <f>IF(D4332&lt;&gt;"",VLOOKUP(H4332,TABLEITEM,2,FALSE),"")</f>
        <v/>
      </c>
      <c r="M4332" s="13" t="str">
        <f>IF(D4332&lt;&gt;"",VLOOKUP(H4332,TABLEITEM,3,FALSE),"")</f>
        <v>TERMINAL BLOCK TX60</v>
      </c>
      <c r="N4332" s="14">
        <f>INSTOCK!$I4332*INSTOCK!$K4332</f>
        <v>2800</v>
      </c>
      <c r="O4332" s="4"/>
      <c r="P4332" s="4"/>
    </row>
    <row r="4333" ht="15.75" hidden="1" customHeight="1">
      <c r="B4333" s="8">
        <v>4657.0</v>
      </c>
      <c r="C4333" s="9">
        <v>43635.0</v>
      </c>
      <c r="D4333" s="6" t="s">
        <v>5436</v>
      </c>
      <c r="E4333" s="4">
        <v>6.206000912E9</v>
      </c>
      <c r="F4333" s="8" t="s">
        <v>5326</v>
      </c>
      <c r="G4333" s="4" t="s">
        <v>2320</v>
      </c>
      <c r="H4333" s="10" t="s">
        <v>518</v>
      </c>
      <c r="I4333" s="10">
        <v>50.0</v>
      </c>
      <c r="J4333" s="11" t="str">
        <f>IF(D4333&lt;&gt;"",VLOOKUP(H4333,TABLEITEM,5,FALSE),"")</f>
        <v>M</v>
      </c>
      <c r="K4333" s="12">
        <v>212.205</v>
      </c>
      <c r="L4333" s="13" t="str">
        <f>IF(D4333&lt;&gt;"",VLOOKUP(H4333,TABLEITEM,2,FALSE),"")</f>
        <v>wire</v>
      </c>
      <c r="M4333" s="13" t="str">
        <f>IF(D4333&lt;&gt;"",VLOOKUP(H4333,TABLEITEM,3,FALSE),"")</f>
        <v>สายTHW ขนาด 1x95 SQMM.สีดำ</v>
      </c>
      <c r="N4333" s="14">
        <f>INSTOCK!$I4333*INSTOCK!$K4333</f>
        <v>10610.25</v>
      </c>
      <c r="O4333" s="4" t="s">
        <v>5437</v>
      </c>
      <c r="P4333" s="4"/>
    </row>
    <row r="4334" ht="15.75" hidden="1" customHeight="1">
      <c r="B4334" s="8">
        <v>4658.0</v>
      </c>
      <c r="C4334" s="9">
        <v>43633.0</v>
      </c>
      <c r="D4334" s="6">
        <v>6.20604894E8</v>
      </c>
      <c r="E4334" s="4">
        <v>6.206000915E9</v>
      </c>
      <c r="F4334" s="8" t="s">
        <v>604</v>
      </c>
      <c r="G4334" s="4" t="s">
        <v>1130</v>
      </c>
      <c r="H4334" s="10" t="s">
        <v>5438</v>
      </c>
      <c r="I4334" s="10">
        <v>400.0</v>
      </c>
      <c r="J4334" s="11" t="str">
        <f>IF(D4334&lt;&gt;"",VLOOKUP(H4334,TABLEITEM,5,FALSE),"")</f>
        <v>EA</v>
      </c>
      <c r="K4334" s="12">
        <v>12.348</v>
      </c>
      <c r="L4334" s="13" t="str">
        <f>IF(D4334&lt;&gt;"",VLOOKUP(H4334,TABLEITEM,2,FALSE),"")</f>
        <v/>
      </c>
      <c r="M4334" s="13" t="str">
        <f>IF(D4334&lt;&gt;"",VLOOKUP(H4334,TABLEITEM,3,FALSE),"")</f>
        <v>หางปลาทรงยุโรป CL50-8</v>
      </c>
      <c r="N4334" s="14">
        <f>INSTOCK!$I4334*INSTOCK!$K4334</f>
        <v>4939.2</v>
      </c>
      <c r="O4334" s="4" t="s">
        <v>5439</v>
      </c>
      <c r="P4334" s="4"/>
    </row>
    <row r="4335" ht="15.75" hidden="1" customHeight="1">
      <c r="B4335" s="8">
        <v>4659.0</v>
      </c>
      <c r="C4335" s="9">
        <v>43633.0</v>
      </c>
      <c r="D4335" s="6">
        <v>6.20604894E8</v>
      </c>
      <c r="E4335" s="4">
        <v>6.206000915E9</v>
      </c>
      <c r="F4335" s="8" t="s">
        <v>604</v>
      </c>
      <c r="G4335" s="4" t="s">
        <v>1130</v>
      </c>
      <c r="H4335" s="10" t="s">
        <v>5440</v>
      </c>
      <c r="I4335" s="10">
        <v>200.0</v>
      </c>
      <c r="J4335" s="11" t="str">
        <f>IF(D4335&lt;&gt;"",VLOOKUP(H4335,TABLEITEM,5,FALSE),"")</f>
        <v>EA</v>
      </c>
      <c r="K4335" s="12">
        <v>12.348</v>
      </c>
      <c r="L4335" s="13" t="str">
        <f>IF(D4335&lt;&gt;"",VLOOKUP(H4335,TABLEITEM,2,FALSE),"")</f>
        <v/>
      </c>
      <c r="M4335" s="13" t="str">
        <f>IF(D4335&lt;&gt;"",VLOOKUP(H4335,TABLEITEM,3,FALSE),"")</f>
        <v>หางปลาทรงยุโรป CL50-10</v>
      </c>
      <c r="N4335" s="14">
        <f>INSTOCK!$I4335*INSTOCK!$K4335</f>
        <v>2469.6</v>
      </c>
      <c r="O4335" s="4" t="s">
        <v>5439</v>
      </c>
      <c r="P4335" s="4"/>
    </row>
    <row r="4336" ht="15.75" hidden="1" customHeight="1">
      <c r="B4336" s="8">
        <v>4660.0</v>
      </c>
      <c r="C4336" s="9">
        <v>43633.0</v>
      </c>
      <c r="D4336" s="6">
        <v>6.20604894E8</v>
      </c>
      <c r="E4336" s="4">
        <v>6.206000915E9</v>
      </c>
      <c r="F4336" s="8" t="s">
        <v>604</v>
      </c>
      <c r="G4336" s="4" t="s">
        <v>1130</v>
      </c>
      <c r="H4336" s="10" t="s">
        <v>5441</v>
      </c>
      <c r="I4336" s="10">
        <v>240.0</v>
      </c>
      <c r="J4336" s="11" t="str">
        <f>IF(D4336&lt;&gt;"",VLOOKUP(H4336,TABLEITEM,5,FALSE),"")</f>
        <v>EA</v>
      </c>
      <c r="K4336" s="12">
        <v>30.87</v>
      </c>
      <c r="L4336" s="13" t="str">
        <f>IF(D4336&lt;&gt;"",VLOOKUP(H4336,TABLEITEM,2,FALSE),"")</f>
        <v/>
      </c>
      <c r="M4336" s="13" t="str">
        <f>IF(D4336&lt;&gt;"",VLOOKUP(H4336,TABLEITEM,3,FALSE),"")</f>
        <v>หางปลาทรงยุโรป CL95-10</v>
      </c>
      <c r="N4336" s="14">
        <f>INSTOCK!$I4336*INSTOCK!$K4336</f>
        <v>7408.8</v>
      </c>
      <c r="O4336" s="4" t="s">
        <v>5442</v>
      </c>
      <c r="P4336" s="4"/>
    </row>
    <row r="4337" ht="15.75" hidden="1" customHeight="1">
      <c r="B4337" s="8">
        <v>4661.0</v>
      </c>
      <c r="C4337" s="9">
        <v>43634.0</v>
      </c>
      <c r="D4337" s="6">
        <v>6206376.0</v>
      </c>
      <c r="E4337" s="4">
        <v>6.206000916E9</v>
      </c>
      <c r="F4337" s="8" t="s">
        <v>604</v>
      </c>
      <c r="G4337" s="4" t="s">
        <v>1100</v>
      </c>
      <c r="H4337" s="10" t="s">
        <v>447</v>
      </c>
      <c r="I4337" s="10">
        <v>300.0</v>
      </c>
      <c r="J4337" s="11" t="str">
        <f>IF(D4337&lt;&gt;"",VLOOKUP(H4337,TABLEITEM,5,FALSE),"")</f>
        <v>EA</v>
      </c>
      <c r="K4337" s="12">
        <v>1.152</v>
      </c>
      <c r="L4337" s="13" t="str">
        <f>IF(D4337&lt;&gt;"",VLOOKUP(H4337,TABLEITEM,2,FALSE),"")</f>
        <v/>
      </c>
      <c r="M4337" s="13" t="str">
        <f>IF(D4337&lt;&gt;"",VLOOKUP(H4337,TABLEITEM,3,FALSE),"")</f>
        <v>ปลอกหุ้มหางปลา V-38 น้ำตาล</v>
      </c>
      <c r="N4337" s="14">
        <f>INSTOCK!$I4337*INSTOCK!$K4337</f>
        <v>345.6</v>
      </c>
      <c r="O4337" s="4" t="s">
        <v>5443</v>
      </c>
      <c r="P4337" s="4"/>
    </row>
    <row r="4338" ht="15.75" hidden="1" customHeight="1">
      <c r="B4338" s="8">
        <v>4662.0</v>
      </c>
      <c r="C4338" s="9">
        <v>43634.0</v>
      </c>
      <c r="D4338" s="6">
        <v>6206376.0</v>
      </c>
      <c r="E4338" s="4">
        <v>6.206000916E9</v>
      </c>
      <c r="F4338" s="8" t="s">
        <v>604</v>
      </c>
      <c r="G4338" s="4" t="s">
        <v>1100</v>
      </c>
      <c r="H4338" s="10" t="s">
        <v>448</v>
      </c>
      <c r="I4338" s="10">
        <v>300.0</v>
      </c>
      <c r="J4338" s="11" t="str">
        <f>IF(D4338&lt;&gt;"",VLOOKUP(H4338,TABLEITEM,5,FALSE),"")</f>
        <v>EA</v>
      </c>
      <c r="K4338" s="12">
        <v>1.152</v>
      </c>
      <c r="L4338" s="13" t="str">
        <f>IF(D4338&lt;&gt;"",VLOOKUP(H4338,TABLEITEM,2,FALSE),"")</f>
        <v/>
      </c>
      <c r="M4338" s="13" t="str">
        <f>IF(D4338&lt;&gt;"",VLOOKUP(H4338,TABLEITEM,3,FALSE),"")</f>
        <v>ปลอกหุ้มหางปลา V-38 เทา</v>
      </c>
      <c r="N4338" s="14">
        <f>INSTOCK!$I4338*INSTOCK!$K4338</f>
        <v>345.6</v>
      </c>
      <c r="O4338" s="4" t="s">
        <v>5443</v>
      </c>
      <c r="P4338" s="4"/>
    </row>
    <row r="4339" ht="15.75" hidden="1" customHeight="1">
      <c r="B4339" s="8">
        <v>4663.0</v>
      </c>
      <c r="C4339" s="9">
        <v>43634.0</v>
      </c>
      <c r="D4339" s="6">
        <v>6206376.0</v>
      </c>
      <c r="E4339" s="4">
        <v>6.206000916E9</v>
      </c>
      <c r="F4339" s="8" t="s">
        <v>604</v>
      </c>
      <c r="G4339" s="4" t="s">
        <v>1100</v>
      </c>
      <c r="H4339" s="10" t="s">
        <v>450</v>
      </c>
      <c r="I4339" s="10">
        <v>100.0</v>
      </c>
      <c r="J4339" s="11" t="str">
        <f>IF(D4339&lt;&gt;"",VLOOKUP(H4339,TABLEITEM,5,FALSE),"")</f>
        <v>EA</v>
      </c>
      <c r="K4339" s="12">
        <v>1.8</v>
      </c>
      <c r="L4339" s="13" t="str">
        <f>IF(D4339&lt;&gt;"",VLOOKUP(H4339,TABLEITEM,2,FALSE),"")</f>
        <v/>
      </c>
      <c r="M4339" s="13" t="str">
        <f>IF(D4339&lt;&gt;"",VLOOKUP(H4339,TABLEITEM,3,FALSE),"")</f>
        <v>ปลอกหุ้มหางปลา V-60 น้ำตาล</v>
      </c>
      <c r="N4339" s="14">
        <f>INSTOCK!$I4339*INSTOCK!$K4339</f>
        <v>180</v>
      </c>
      <c r="O4339" s="4" t="s">
        <v>5444</v>
      </c>
      <c r="P4339" s="4"/>
    </row>
    <row r="4340" ht="15.75" hidden="1" customHeight="1">
      <c r="B4340" s="8">
        <v>4664.0</v>
      </c>
      <c r="C4340" s="9">
        <v>43634.0</v>
      </c>
      <c r="D4340" s="6">
        <v>6206376.0</v>
      </c>
      <c r="E4340" s="4">
        <v>6.206000916E9</v>
      </c>
      <c r="F4340" s="8" t="s">
        <v>604</v>
      </c>
      <c r="G4340" s="4" t="s">
        <v>1100</v>
      </c>
      <c r="H4340" s="10" t="s">
        <v>451</v>
      </c>
      <c r="I4340" s="10">
        <v>100.0</v>
      </c>
      <c r="J4340" s="11" t="str">
        <f>IF(D4340&lt;&gt;"",VLOOKUP(H4340,TABLEITEM,5,FALSE),"")</f>
        <v>EA</v>
      </c>
      <c r="K4340" s="12">
        <v>1.8</v>
      </c>
      <c r="L4340" s="13" t="str">
        <f>IF(D4340&lt;&gt;"",VLOOKUP(H4340,TABLEITEM,2,FALSE),"")</f>
        <v/>
      </c>
      <c r="M4340" s="13" t="str">
        <f>IF(D4340&lt;&gt;"",VLOOKUP(H4340,TABLEITEM,3,FALSE),"")</f>
        <v>ปลอกหุ้มหางปลา V-60 เทา</v>
      </c>
      <c r="N4340" s="14">
        <f>INSTOCK!$I4340*INSTOCK!$K4340</f>
        <v>180</v>
      </c>
      <c r="O4340" s="4" t="s">
        <v>5444</v>
      </c>
      <c r="P4340" s="4"/>
    </row>
    <row r="4341" ht="15.75" hidden="1" customHeight="1">
      <c r="B4341" s="8">
        <v>4665.0</v>
      </c>
      <c r="C4341" s="9">
        <v>43634.0</v>
      </c>
      <c r="D4341" s="6">
        <v>6206376.0</v>
      </c>
      <c r="E4341" s="4">
        <v>6.206000916E9</v>
      </c>
      <c r="F4341" s="8" t="s">
        <v>604</v>
      </c>
      <c r="G4341" s="4" t="s">
        <v>1100</v>
      </c>
      <c r="H4341" s="10" t="s">
        <v>398</v>
      </c>
      <c r="I4341" s="10">
        <v>100.0</v>
      </c>
      <c r="J4341" s="11" t="str">
        <f>IF(D4341&lt;&gt;"",VLOOKUP(H4341,TABLEITEM,5,FALSE),"")</f>
        <v>EA</v>
      </c>
      <c r="K4341" s="12">
        <v>1.8</v>
      </c>
      <c r="L4341" s="13" t="str">
        <f>IF(D4341&lt;&gt;"",VLOOKUP(H4341,TABLEITEM,2,FALSE),"")</f>
        <v/>
      </c>
      <c r="M4341" s="13" t="str">
        <f>IF(D4341&lt;&gt;"",VLOOKUP(H4341,TABLEITEM,3,FALSE),"")</f>
        <v>ปลอกหุ้มหางปลา V-60 สีดำ</v>
      </c>
      <c r="N4341" s="14">
        <f>INSTOCK!$I4341*INSTOCK!$K4341</f>
        <v>180</v>
      </c>
      <c r="O4341" s="4" t="s">
        <v>5444</v>
      </c>
      <c r="P4341" s="4"/>
    </row>
    <row r="4342" ht="15.75" hidden="1" customHeight="1">
      <c r="B4342" s="8">
        <v>4666.0</v>
      </c>
      <c r="C4342" s="9">
        <v>43634.0</v>
      </c>
      <c r="D4342" s="6">
        <v>6206376.0</v>
      </c>
      <c r="E4342" s="4">
        <v>6.206000916E9</v>
      </c>
      <c r="F4342" s="8" t="s">
        <v>604</v>
      </c>
      <c r="G4342" s="4" t="s">
        <v>1100</v>
      </c>
      <c r="H4342" s="10" t="s">
        <v>453</v>
      </c>
      <c r="I4342" s="10">
        <v>200.0</v>
      </c>
      <c r="J4342" s="11" t="str">
        <f>IF(D4342&lt;&gt;"",VLOOKUP(H4342,TABLEITEM,5,FALSE),"")</f>
        <v>EA</v>
      </c>
      <c r="K4342" s="12">
        <v>2.376</v>
      </c>
      <c r="L4342" s="13" t="str">
        <f>IF(D4342&lt;&gt;"",VLOOKUP(H4342,TABLEITEM,2,FALSE),"")</f>
        <v/>
      </c>
      <c r="M4342" s="13" t="str">
        <f>IF(D4342&lt;&gt;"",VLOOKUP(H4342,TABLEITEM,3,FALSE),"")</f>
        <v>ปลอกหุ้มหางปลา V-80 น้ำตาล</v>
      </c>
      <c r="N4342" s="14">
        <f>INSTOCK!$I4342*INSTOCK!$K4342</f>
        <v>475.2</v>
      </c>
      <c r="O4342" s="4" t="s">
        <v>5445</v>
      </c>
      <c r="P4342" s="4"/>
    </row>
    <row r="4343" ht="15.75" hidden="1" customHeight="1">
      <c r="B4343" s="8">
        <v>4667.0</v>
      </c>
      <c r="C4343" s="9">
        <v>43634.0</v>
      </c>
      <c r="D4343" s="6">
        <v>6206376.0</v>
      </c>
      <c r="E4343" s="4">
        <v>6.206000916E9</v>
      </c>
      <c r="F4343" s="8" t="s">
        <v>604</v>
      </c>
      <c r="G4343" s="4" t="s">
        <v>1100</v>
      </c>
      <c r="H4343" s="10" t="s">
        <v>404</v>
      </c>
      <c r="I4343" s="10">
        <v>200.0</v>
      </c>
      <c r="J4343" s="11" t="str">
        <f>IF(D4343&lt;&gt;"",VLOOKUP(H4343,TABLEITEM,5,FALSE),"")</f>
        <v>EA</v>
      </c>
      <c r="K4343" s="12">
        <v>2.376</v>
      </c>
      <c r="L4343" s="13" t="str">
        <f>IF(D4343&lt;&gt;"",VLOOKUP(H4343,TABLEITEM,2,FALSE),"")</f>
        <v/>
      </c>
      <c r="M4343" s="13" t="str">
        <f>IF(D4343&lt;&gt;"",VLOOKUP(H4343,TABLEITEM,3,FALSE),"")</f>
        <v>ปลอกหุ้มหางปลา V-80 สีดำ</v>
      </c>
      <c r="N4343" s="14">
        <f>INSTOCK!$I4343*INSTOCK!$K4343</f>
        <v>475.2</v>
      </c>
      <c r="O4343" s="4" t="s">
        <v>5445</v>
      </c>
      <c r="P4343" s="4"/>
    </row>
    <row r="4344" ht="15.75" hidden="1" customHeight="1">
      <c r="B4344" s="8">
        <v>4668.0</v>
      </c>
      <c r="C4344" s="9">
        <v>43634.0</v>
      </c>
      <c r="D4344" s="6">
        <v>6206376.0</v>
      </c>
      <c r="E4344" s="4">
        <v>6.206000916E9</v>
      </c>
      <c r="F4344" s="8" t="s">
        <v>604</v>
      </c>
      <c r="G4344" s="4" t="s">
        <v>1100</v>
      </c>
      <c r="H4344" s="10" t="s">
        <v>454</v>
      </c>
      <c r="I4344" s="10">
        <v>200.0</v>
      </c>
      <c r="J4344" s="11" t="str">
        <f>IF(D4344&lt;&gt;"",VLOOKUP(H4344,TABLEITEM,5,FALSE),"")</f>
        <v>EA</v>
      </c>
      <c r="K4344" s="12">
        <v>2.376</v>
      </c>
      <c r="L4344" s="13" t="str">
        <f>IF(D4344&lt;&gt;"",VLOOKUP(H4344,TABLEITEM,2,FALSE),"")</f>
        <v/>
      </c>
      <c r="M4344" s="13" t="str">
        <f>IF(D4344&lt;&gt;"",VLOOKUP(H4344,TABLEITEM,3,FALSE),"")</f>
        <v>ปลอกหุ้มหางปลา V-80 เทา</v>
      </c>
      <c r="N4344" s="14">
        <f>INSTOCK!$I4344*INSTOCK!$K4344</f>
        <v>475.2</v>
      </c>
      <c r="O4344" s="4" t="s">
        <v>5445</v>
      </c>
      <c r="P4344" s="4"/>
    </row>
    <row r="4345" ht="15.75" hidden="1" customHeight="1">
      <c r="B4345" s="8">
        <v>4669.0</v>
      </c>
      <c r="C4345" s="9">
        <v>43634.0</v>
      </c>
      <c r="D4345" s="6" t="s">
        <v>5446</v>
      </c>
      <c r="E4345" s="4">
        <v>6.206000913E9</v>
      </c>
      <c r="F4345" s="8" t="s">
        <v>604</v>
      </c>
      <c r="G4345" s="4" t="s">
        <v>965</v>
      </c>
      <c r="H4345" s="10" t="s">
        <v>5447</v>
      </c>
      <c r="I4345" s="10">
        <v>5.0</v>
      </c>
      <c r="J4345" s="11" t="str">
        <f>IF(D4345&lt;&gt;"",VLOOKUP(H4345,TABLEITEM,5,FALSE),"")</f>
        <v>EA</v>
      </c>
      <c r="K4345" s="12">
        <v>20.0</v>
      </c>
      <c r="L4345" s="13" t="str">
        <f>IF(D4345&lt;&gt;"",VLOOKUP(H4345,TABLEITEM,2,FALSE),"")</f>
        <v/>
      </c>
      <c r="M4345" s="13" t="str">
        <f>IF(D4345&lt;&gt;"",VLOOKUP(H4345,TABLEITEM,3,FALSE),"")</f>
        <v>ข้อต่อลม PU M8</v>
      </c>
      <c r="N4345" s="14">
        <f>INSTOCK!$I4345*INSTOCK!$K4345</f>
        <v>100</v>
      </c>
      <c r="O4345" s="4"/>
      <c r="P4345" s="4"/>
    </row>
    <row r="4346" ht="15.75" hidden="1" customHeight="1">
      <c r="B4346" s="8">
        <v>4670.0</v>
      </c>
      <c r="C4346" s="9">
        <v>43634.0</v>
      </c>
      <c r="D4346" s="6" t="s">
        <v>5446</v>
      </c>
      <c r="E4346" s="4">
        <v>6.206000913E9</v>
      </c>
      <c r="F4346" s="8" t="s">
        <v>604</v>
      </c>
      <c r="G4346" s="4" t="s">
        <v>965</v>
      </c>
      <c r="H4346" s="10" t="s">
        <v>2152</v>
      </c>
      <c r="I4346" s="10">
        <v>10.0</v>
      </c>
      <c r="J4346" s="11" t="str">
        <f>IF(D4346&lt;&gt;"",VLOOKUP(H4346,TABLEITEM,5,FALSE),"")</f>
        <v>EA</v>
      </c>
      <c r="K4346" s="12">
        <v>30.0</v>
      </c>
      <c r="L4346" s="13" t="str">
        <f>IF(D4346&lt;&gt;"",VLOOKUP(H4346,TABLEITEM,2,FALSE),"")</f>
        <v/>
      </c>
      <c r="M4346" s="13" t="str">
        <f>IF(D4346&lt;&gt;"",VLOOKUP(H4346,TABLEITEM,3,FALSE),"")</f>
        <v>ไม้กวาดดอกหญ้า</v>
      </c>
      <c r="N4346" s="14">
        <f>INSTOCK!$I4346*INSTOCK!$K4346</f>
        <v>300</v>
      </c>
      <c r="O4346" s="4"/>
      <c r="P4346" s="4"/>
    </row>
    <row r="4347" ht="15.75" hidden="1" customHeight="1">
      <c r="B4347" s="8">
        <v>4671.0</v>
      </c>
      <c r="C4347" s="9">
        <v>43636.0</v>
      </c>
      <c r="D4347" s="6" t="s">
        <v>5448</v>
      </c>
      <c r="E4347" s="4">
        <v>6.206000911E9</v>
      </c>
      <c r="F4347" s="8" t="s">
        <v>5449</v>
      </c>
      <c r="G4347" s="4" t="s">
        <v>2014</v>
      </c>
      <c r="H4347" s="10" t="s">
        <v>5450</v>
      </c>
      <c r="I4347" s="10">
        <v>1.0</v>
      </c>
      <c r="J4347" s="11" t="str">
        <f>IF(D4347&lt;&gt;"",VLOOKUP(H4347,TABLEITEM,5,FALSE),"")</f>
        <v>EA</v>
      </c>
      <c r="K4347" s="12">
        <v>1570.09</v>
      </c>
      <c r="L4347" s="13" t="str">
        <f>IF(D4347&lt;&gt;"",VLOOKUP(H4347,TABLEITEM,2,FALSE),"")</f>
        <v/>
      </c>
      <c r="M4347" s="13" t="str">
        <f>IF(D4347&lt;&gt;"",VLOOKUP(H4347,TABLEITEM,3,FALSE),"")</f>
        <v>ผงหมึก HP CF248A</v>
      </c>
      <c r="N4347" s="14">
        <f>INSTOCK!$I4347*INSTOCK!$K4347</f>
        <v>1570.09</v>
      </c>
      <c r="O4347" s="4"/>
      <c r="P4347" s="4"/>
    </row>
    <row r="4348" ht="15.75" hidden="1" customHeight="1">
      <c r="B4348" s="8">
        <v>4672.0</v>
      </c>
      <c r="C4348" s="9">
        <v>43637.0</v>
      </c>
      <c r="D4348" s="6" t="s">
        <v>5451</v>
      </c>
      <c r="E4348" s="4">
        <v>6.206000906E9</v>
      </c>
      <c r="F4348" s="8" t="s">
        <v>5452</v>
      </c>
      <c r="G4348" s="4" t="s">
        <v>1904</v>
      </c>
      <c r="H4348" s="10" t="s">
        <v>1554</v>
      </c>
      <c r="I4348" s="10">
        <v>20.0</v>
      </c>
      <c r="J4348" s="11" t="str">
        <f>IF(D4348&lt;&gt;"",VLOOKUP(H4348,TABLEITEM,5,FALSE),"")</f>
        <v>EA</v>
      </c>
      <c r="K4348" s="12">
        <v>106.0</v>
      </c>
      <c r="L4348" s="13" t="str">
        <f>IF(D4348&lt;&gt;"",VLOOKUP(H4348,TABLEITEM,2,FALSE),"")</f>
        <v/>
      </c>
      <c r="M4348" s="13" t="str">
        <f>IF(D4348&lt;&gt;"",VLOOKUP(H4348,TABLEITEM,3,FALSE),"")</f>
        <v>RELAY MY2N-GS 220/240VAC</v>
      </c>
      <c r="N4348" s="14">
        <f>INSTOCK!$I4348*INSTOCK!$K4348</f>
        <v>2120</v>
      </c>
      <c r="O4348" s="4"/>
      <c r="P4348" s="4"/>
    </row>
    <row r="4349" ht="15.75" hidden="1" customHeight="1">
      <c r="B4349" s="8">
        <v>4673.0</v>
      </c>
      <c r="C4349" s="9">
        <v>43637.0</v>
      </c>
      <c r="D4349" s="6" t="s">
        <v>5451</v>
      </c>
      <c r="E4349" s="4">
        <v>6.206000906E9</v>
      </c>
      <c r="F4349" s="8" t="s">
        <v>5452</v>
      </c>
      <c r="G4349" s="4" t="s">
        <v>1904</v>
      </c>
      <c r="H4349" s="10" t="s">
        <v>1555</v>
      </c>
      <c r="I4349" s="10">
        <v>20.0</v>
      </c>
      <c r="J4349" s="11" t="str">
        <f>IF(D4349&lt;&gt;"",VLOOKUP(H4349,TABLEITEM,5,FALSE),"")</f>
        <v>EA</v>
      </c>
      <c r="K4349" s="12">
        <v>40.0</v>
      </c>
      <c r="L4349" s="13" t="str">
        <f>IF(D4349&lt;&gt;"",VLOOKUP(H4349,TABLEITEM,2,FALSE),"")</f>
        <v/>
      </c>
      <c r="M4349" s="13" t="str">
        <f>IF(D4349&lt;&gt;"",VLOOKUP(H4349,TABLEITEM,3,FALSE),"")</f>
        <v>SOCKET PYF-08A-E </v>
      </c>
      <c r="N4349" s="14">
        <f>INSTOCK!$I4349*INSTOCK!$K4349</f>
        <v>800</v>
      </c>
      <c r="O4349" s="4"/>
      <c r="P4349" s="4"/>
    </row>
    <row r="4350" ht="15.75" hidden="1" customHeight="1">
      <c r="B4350" s="8">
        <v>4674.0</v>
      </c>
      <c r="C4350" s="9">
        <v>43637.0</v>
      </c>
      <c r="D4350" s="6" t="s">
        <v>5451</v>
      </c>
      <c r="E4350" s="4">
        <v>6.206000906E9</v>
      </c>
      <c r="F4350" s="8" t="s">
        <v>5452</v>
      </c>
      <c r="G4350" s="4" t="s">
        <v>1904</v>
      </c>
      <c r="H4350" s="10" t="s">
        <v>5453</v>
      </c>
      <c r="I4350" s="10">
        <v>31.0</v>
      </c>
      <c r="J4350" s="11" t="str">
        <f>IF(D4350&lt;&gt;"",VLOOKUP(H4350,TABLEITEM,5,FALSE),"")</f>
        <v>EA</v>
      </c>
      <c r="K4350" s="12">
        <v>1568.0</v>
      </c>
      <c r="L4350" s="13" t="str">
        <f>IF(D4350&lt;&gt;"",VLOOKUP(H4350,TABLEITEM,2,FALSE),"")</f>
        <v/>
      </c>
      <c r="M4350" s="13" t="str">
        <f>IF(D4350&lt;&gt;"",VLOOKUP(H4350,TABLEITEM,3,FALSE),"")</f>
        <v>TIMER H3CR-G8L AC200-240</v>
      </c>
      <c r="N4350" s="14">
        <f>INSTOCK!$I4350*INSTOCK!$K4350</f>
        <v>48608</v>
      </c>
      <c r="O4350" s="4" t="s">
        <v>5454</v>
      </c>
      <c r="P4350" s="4"/>
    </row>
    <row r="4351" ht="15.75" hidden="1" customHeight="1">
      <c r="B4351" s="8">
        <v>4675.0</v>
      </c>
      <c r="C4351" s="9">
        <v>43637.0</v>
      </c>
      <c r="D4351" s="6" t="s">
        <v>5451</v>
      </c>
      <c r="E4351" s="4">
        <v>6.206000906E9</v>
      </c>
      <c r="F4351" s="8" t="s">
        <v>5452</v>
      </c>
      <c r="G4351" s="4" t="s">
        <v>1904</v>
      </c>
      <c r="H4351" s="10" t="s">
        <v>1834</v>
      </c>
      <c r="I4351" s="10">
        <v>32.0</v>
      </c>
      <c r="J4351" s="11" t="str">
        <f>IF(D4351&lt;&gt;"",VLOOKUP(H4351,TABLEITEM,5,FALSE),"")</f>
        <v>EA</v>
      </c>
      <c r="K4351" s="12">
        <v>57.82</v>
      </c>
      <c r="L4351" s="13" t="str">
        <f>IF(D4351&lt;&gt;"",VLOOKUP(H4351,TABLEITEM,2,FALSE),"")</f>
        <v/>
      </c>
      <c r="M4351" s="13" t="str">
        <f>IF(D4351&lt;&gt;"",VLOOKUP(H4351,TABLEITEM,3,FALSE),"")</f>
        <v>SOCKET PF083A-E</v>
      </c>
      <c r="N4351" s="14">
        <f>INSTOCK!$I4351*INSTOCK!$K4351</f>
        <v>1850.24</v>
      </c>
      <c r="O4351" s="4" t="s">
        <v>1835</v>
      </c>
      <c r="P4351" s="4"/>
    </row>
    <row r="4352" ht="15.75" hidden="1" customHeight="1">
      <c r="B4352" s="8">
        <v>4676.0</v>
      </c>
      <c r="C4352" s="9">
        <v>43637.0</v>
      </c>
      <c r="D4352" s="6" t="s">
        <v>5451</v>
      </c>
      <c r="E4352" s="4">
        <v>6.206000906E9</v>
      </c>
      <c r="F4352" s="8" t="s">
        <v>5452</v>
      </c>
      <c r="G4352" s="4" t="s">
        <v>1904</v>
      </c>
      <c r="H4352" s="10" t="s">
        <v>1728</v>
      </c>
      <c r="I4352" s="10">
        <v>20.0</v>
      </c>
      <c r="J4352" s="11" t="str">
        <f>IF(D4352&lt;&gt;"",VLOOKUP(H4352,TABLEITEM,5,FALSE),"")</f>
        <v>EA</v>
      </c>
      <c r="K4352" s="12">
        <v>134.0</v>
      </c>
      <c r="L4352" s="13" t="str">
        <f>IF(D4352&lt;&gt;"",VLOOKUP(H4352,TABLEITEM,2,FALSE),"")</f>
        <v/>
      </c>
      <c r="M4352" s="13" t="str">
        <f>IF(D4352&lt;&gt;"",VLOOKUP(H4352,TABLEITEM,3,FALSE),"")</f>
        <v>Relay MY4N-GS 220/240VAC </v>
      </c>
      <c r="N4352" s="14">
        <f>INSTOCK!$I4352*INSTOCK!$K4352</f>
        <v>2680</v>
      </c>
      <c r="O4352" s="4" t="s">
        <v>5455</v>
      </c>
      <c r="P4352" s="4"/>
    </row>
    <row r="4353" ht="15.75" hidden="1" customHeight="1">
      <c r="B4353" s="8">
        <v>4677.0</v>
      </c>
      <c r="C4353" s="9">
        <v>43637.0</v>
      </c>
      <c r="D4353" s="6" t="s">
        <v>5456</v>
      </c>
      <c r="E4353" s="4">
        <v>6.20600093E9</v>
      </c>
      <c r="F4353" s="8" t="s">
        <v>5326</v>
      </c>
      <c r="G4353" s="4" t="s">
        <v>617</v>
      </c>
      <c r="H4353" s="10" t="s">
        <v>556</v>
      </c>
      <c r="I4353" s="10">
        <v>75.0</v>
      </c>
      <c r="J4353" s="11" t="str">
        <f>IF(D4353&lt;&gt;"",VLOOKUP(H4353,TABLEITEM,5,FALSE),"")</f>
        <v>M</v>
      </c>
      <c r="K4353" s="12">
        <v>211.5</v>
      </c>
      <c r="L4353" s="13" t="str">
        <f>IF(D4353&lt;&gt;"",VLOOKUP(H4353,TABLEITEM,2,FALSE),"")</f>
        <v>Busbar</v>
      </c>
      <c r="M4353" s="13" t="str">
        <f>IF(D4353&lt;&gt;"",VLOOKUP(H4353,TABLEITEM,3,FALSE),"")</f>
        <v>บัสบาร์ทองแดง 20x5</v>
      </c>
      <c r="N4353" s="14">
        <f>INSTOCK!$I4353*INSTOCK!$K4353</f>
        <v>15862.5</v>
      </c>
      <c r="O4353" s="4" t="s">
        <v>5455</v>
      </c>
      <c r="P4353" s="4"/>
    </row>
    <row r="4354" ht="15.75" hidden="1" customHeight="1">
      <c r="B4354" s="8">
        <v>4678.0</v>
      </c>
      <c r="C4354" s="9">
        <v>43637.0</v>
      </c>
      <c r="D4354" s="6" t="s">
        <v>5456</v>
      </c>
      <c r="E4354" s="4">
        <v>6.20600093E9</v>
      </c>
      <c r="F4354" s="8" t="s">
        <v>5326</v>
      </c>
      <c r="G4354" s="4" t="s">
        <v>617</v>
      </c>
      <c r="H4354" s="10" t="s">
        <v>562</v>
      </c>
      <c r="I4354" s="10">
        <v>75.0</v>
      </c>
      <c r="J4354" s="11" t="str">
        <f>IF(D4354&lt;&gt;"",VLOOKUP(H4354,TABLEITEM,5,FALSE),"")</f>
        <v>M</v>
      </c>
      <c r="K4354" s="12">
        <v>1052.8</v>
      </c>
      <c r="L4354" s="13" t="str">
        <f>IF(D4354&lt;&gt;"",VLOOKUP(H4354,TABLEITEM,2,FALSE),"")</f>
        <v>Busbar</v>
      </c>
      <c r="M4354" s="13" t="str">
        <f>IF(D4354&lt;&gt;"",VLOOKUP(H4354,TABLEITEM,3,FALSE),"")</f>
        <v>บัสบาร์ทองแดง 50x10</v>
      </c>
      <c r="N4354" s="14">
        <f>INSTOCK!$I4354*INSTOCK!$K4354</f>
        <v>78960</v>
      </c>
      <c r="O4354" s="4" t="s">
        <v>5455</v>
      </c>
      <c r="P4354" s="4"/>
    </row>
    <row r="4355" ht="15.75" hidden="1" customHeight="1">
      <c r="B4355" s="8">
        <v>4679.0</v>
      </c>
      <c r="C4355" s="9">
        <v>43637.0</v>
      </c>
      <c r="D4355" s="6" t="s">
        <v>5456</v>
      </c>
      <c r="E4355" s="4">
        <v>6.20600093E9</v>
      </c>
      <c r="F4355" s="8" t="s">
        <v>5326</v>
      </c>
      <c r="G4355" s="4" t="s">
        <v>617</v>
      </c>
      <c r="H4355" s="10" t="s">
        <v>563</v>
      </c>
      <c r="I4355" s="10">
        <v>10.0</v>
      </c>
      <c r="J4355" s="11" t="str">
        <f>IF(D4355&lt;&gt;"",VLOOKUP(H4355,TABLEITEM,5,FALSE),"")</f>
        <v>M</v>
      </c>
      <c r="K4355" s="12">
        <v>1259.6</v>
      </c>
      <c r="L4355" s="13" t="str">
        <f>IF(D4355&lt;&gt;"",VLOOKUP(H4355,TABLEITEM,2,FALSE),"")</f>
        <v>Busbar</v>
      </c>
      <c r="M4355" s="13" t="str">
        <f>IF(D4355&lt;&gt;"",VLOOKUP(H4355,TABLEITEM,3,FALSE),"")</f>
        <v>บัสบาร์ทองแดง 60x10</v>
      </c>
      <c r="N4355" s="14">
        <f>INSTOCK!$I4355*INSTOCK!$K4355</f>
        <v>12596</v>
      </c>
      <c r="O4355" s="4" t="s">
        <v>5455</v>
      </c>
      <c r="P4355" s="4"/>
    </row>
    <row r="4356" ht="15.75" hidden="1" customHeight="1">
      <c r="B4356" s="8">
        <v>4680.0</v>
      </c>
      <c r="C4356" s="9">
        <v>43637.0</v>
      </c>
      <c r="D4356" s="6" t="s">
        <v>5456</v>
      </c>
      <c r="E4356" s="4">
        <v>6.20600093E9</v>
      </c>
      <c r="F4356" s="8" t="s">
        <v>5326</v>
      </c>
      <c r="G4356" s="4" t="s">
        <v>617</v>
      </c>
      <c r="H4356" s="10" t="s">
        <v>564</v>
      </c>
      <c r="I4356" s="10">
        <v>65.0</v>
      </c>
      <c r="J4356" s="11" t="str">
        <f>IF(D4356&lt;&gt;"",VLOOKUP(H4356,TABLEITEM,5,FALSE),"")</f>
        <v>M</v>
      </c>
      <c r="K4356" s="12">
        <v>2100.9</v>
      </c>
      <c r="L4356" s="13" t="str">
        <f>IF(D4356&lt;&gt;"",VLOOKUP(H4356,TABLEITEM,2,FALSE),"")</f>
        <v>Busbar</v>
      </c>
      <c r="M4356" s="13" t="str">
        <f>IF(D4356&lt;&gt;"",VLOOKUP(H4356,TABLEITEM,3,FALSE),"")</f>
        <v>บัสบาร์ทองแดง 100x10</v>
      </c>
      <c r="N4356" s="14">
        <f>INSTOCK!$I4356*INSTOCK!$K4356</f>
        <v>136558.5</v>
      </c>
      <c r="O4356" s="4" t="s">
        <v>5455</v>
      </c>
      <c r="P4356" s="4"/>
    </row>
    <row r="4357" ht="15.75" hidden="1" customHeight="1">
      <c r="B4357" s="8">
        <v>4681.0</v>
      </c>
      <c r="C4357" s="9">
        <v>43637.0</v>
      </c>
      <c r="D4357" s="6">
        <v>6.20606037E8</v>
      </c>
      <c r="E4357" s="4">
        <v>6.206000905E9</v>
      </c>
      <c r="F4357" s="8" t="s">
        <v>5452</v>
      </c>
      <c r="G4357" s="4" t="s">
        <v>1130</v>
      </c>
      <c r="H4357" s="10" t="s">
        <v>1832</v>
      </c>
      <c r="I4357" s="10">
        <v>20.0</v>
      </c>
      <c r="J4357" s="11" t="str">
        <f>IF(D4357&lt;&gt;"",VLOOKUP(H4357,TABLEITEM,5,FALSE),"")</f>
        <v>EA</v>
      </c>
      <c r="K4357" s="12">
        <v>50.0</v>
      </c>
      <c r="L4357" s="13" t="str">
        <f>IF(D4357&lt;&gt;"",VLOOKUP(H4357,TABLEITEM,2,FALSE),"")</f>
        <v/>
      </c>
      <c r="M4357" s="13" t="str">
        <f>IF(D4357&lt;&gt;"",VLOOKUP(H4357,TABLEITEM,3,FALSE),"")</f>
        <v>SOCKET PYF-14A-E</v>
      </c>
      <c r="N4357" s="14">
        <f>INSTOCK!$I4357*INSTOCK!$K4357</f>
        <v>1000</v>
      </c>
      <c r="O4357" s="4"/>
      <c r="P4357" s="4"/>
    </row>
    <row r="4358" ht="15.75" hidden="1" customHeight="1">
      <c r="B4358" s="8">
        <v>4682.0</v>
      </c>
      <c r="C4358" s="9">
        <v>43637.0</v>
      </c>
      <c r="D4358" s="6">
        <v>6.20606037E8</v>
      </c>
      <c r="E4358" s="4">
        <v>6.206000905E9</v>
      </c>
      <c r="F4358" s="8" t="s">
        <v>5452</v>
      </c>
      <c r="G4358" s="4" t="s">
        <v>1130</v>
      </c>
      <c r="H4358" s="10" t="s">
        <v>5457</v>
      </c>
      <c r="I4358" s="10">
        <v>1.0</v>
      </c>
      <c r="J4358" s="11" t="str">
        <f>IF(D4358&lt;&gt;"",VLOOKUP(H4358,TABLEITEM,5,FALSE),"")</f>
        <v>EA</v>
      </c>
      <c r="K4358" s="12">
        <v>1272.0</v>
      </c>
      <c r="L4358" s="13" t="str">
        <f>IF(D4358&lt;&gt;"",VLOOKUP(H4358,TABLEITEM,2,FALSE),"")</f>
        <v/>
      </c>
      <c r="M4358" s="13" t="str">
        <f>IF(D4358&lt;&gt;"",VLOOKUP(H4358,TABLEITEM,3,FALSE),"")</f>
        <v>TIMER H3M-B 220VAC</v>
      </c>
      <c r="N4358" s="14">
        <f>INSTOCK!$I4358*INSTOCK!$K4358</f>
        <v>1272</v>
      </c>
      <c r="O4358" s="4"/>
      <c r="P4358" s="4"/>
    </row>
    <row r="4359" ht="15.75" hidden="1" customHeight="1">
      <c r="B4359" s="8">
        <v>4683.0</v>
      </c>
      <c r="C4359" s="9">
        <v>43637.0</v>
      </c>
      <c r="D4359" s="6">
        <v>6.20606037E8</v>
      </c>
      <c r="E4359" s="4">
        <v>6.206000905E9</v>
      </c>
      <c r="F4359" s="8" t="s">
        <v>5452</v>
      </c>
      <c r="G4359" s="4" t="s">
        <v>1130</v>
      </c>
      <c r="H4359" s="10" t="s">
        <v>5144</v>
      </c>
      <c r="I4359" s="10">
        <v>10.0</v>
      </c>
      <c r="J4359" s="11" t="str">
        <f>IF(D4359&lt;&gt;"",VLOOKUP(H4359,TABLEITEM,5,FALSE),"")</f>
        <v>EA</v>
      </c>
      <c r="K4359" s="12">
        <v>105.0</v>
      </c>
      <c r="L4359" s="13" t="str">
        <f>IF(D4359&lt;&gt;"",VLOOKUP(H4359,TABLEITEM,2,FALSE),"")</f>
        <v/>
      </c>
      <c r="M4359" s="13" t="str">
        <f>IF(D4359&lt;&gt;"",VLOOKUP(H4359,TABLEITEM,3,FALSE),"")</f>
        <v>RELAY MY2N-GS-24VDC </v>
      </c>
      <c r="N4359" s="14">
        <f>INSTOCK!$I4359*INSTOCK!$K4359</f>
        <v>1050</v>
      </c>
      <c r="O4359" s="4"/>
      <c r="P4359" s="4"/>
    </row>
    <row r="4360" ht="15.75" hidden="1" customHeight="1">
      <c r="B4360" s="8">
        <v>4684.0</v>
      </c>
      <c r="C4360" s="9">
        <v>43637.0</v>
      </c>
      <c r="D4360" s="6" t="s">
        <v>5458</v>
      </c>
      <c r="E4360" s="4">
        <v>6.206000926E9</v>
      </c>
      <c r="F4360" s="8" t="s">
        <v>5452</v>
      </c>
      <c r="G4360" s="4" t="s">
        <v>1453</v>
      </c>
      <c r="H4360" s="10" t="s">
        <v>5459</v>
      </c>
      <c r="I4360" s="10">
        <v>4.0</v>
      </c>
      <c r="J4360" s="11" t="str">
        <f>IF(D4360&lt;&gt;"",VLOOKUP(H4360,TABLEITEM,5,FALSE),"")</f>
        <v>EA</v>
      </c>
      <c r="K4360" s="12">
        <v>545.3</v>
      </c>
      <c r="L4360" s="13" t="str">
        <f>IF(D4360&lt;&gt;"",VLOOKUP(H4360,TABLEITEM,2,FALSE),"")</f>
        <v/>
      </c>
      <c r="M4360" s="13" t="str">
        <f>IF(D4360&lt;&gt;"",VLOOKUP(H4360,TABLEITEM,3,FALSE),"")</f>
        <v>พัดลม 6" FP-108X-S1-B AC220/240V</v>
      </c>
      <c r="N4360" s="14">
        <f>INSTOCK!$I4360*INSTOCK!$K4360</f>
        <v>2181.2</v>
      </c>
      <c r="O4360" s="4" t="s">
        <v>5460</v>
      </c>
      <c r="P4360" s="4"/>
    </row>
    <row r="4361" ht="15.75" hidden="1" customHeight="1">
      <c r="B4361" s="8">
        <v>4685.0</v>
      </c>
      <c r="C4361" s="9">
        <v>43637.0</v>
      </c>
      <c r="D4361" s="6" t="s">
        <v>5458</v>
      </c>
      <c r="E4361" s="4">
        <v>6.206000926E9</v>
      </c>
      <c r="F4361" s="8" t="s">
        <v>5452</v>
      </c>
      <c r="G4361" s="4" t="s">
        <v>1453</v>
      </c>
      <c r="H4361" s="10" t="s">
        <v>5461</v>
      </c>
      <c r="I4361" s="10">
        <v>4.0</v>
      </c>
      <c r="J4361" s="11" t="str">
        <f>IF(D4361&lt;&gt;"",VLOOKUP(H4361,TABLEITEM,5,FALSE),"")</f>
        <v>EA</v>
      </c>
      <c r="K4361" s="12">
        <v>100.0</v>
      </c>
      <c r="L4361" s="13" t="str">
        <f>IF(D4361&lt;&gt;"",VLOOKUP(H4361,TABLEITEM,2,FALSE),"")</f>
        <v/>
      </c>
      <c r="M4361" s="13" t="str">
        <f>IF(D4361&lt;&gt;"",VLOOKUP(H4361,TABLEITEM,3,FALSE),"")</f>
        <v>ตะแกรงพัดลม 6" S-0172-7 T</v>
      </c>
      <c r="N4361" s="14">
        <f>INSTOCK!$I4361*INSTOCK!$K4361</f>
        <v>400</v>
      </c>
      <c r="O4361" s="4"/>
      <c r="P4361" s="4"/>
    </row>
    <row r="4362" ht="15.75" hidden="1" customHeight="1">
      <c r="B4362" s="8">
        <v>4686.0</v>
      </c>
      <c r="C4362" s="9">
        <v>43430.0</v>
      </c>
      <c r="D4362" s="6" t="s">
        <v>1761</v>
      </c>
      <c r="E4362" s="4">
        <v>6.111001501E9</v>
      </c>
      <c r="F4362" s="8" t="s">
        <v>5462</v>
      </c>
      <c r="G4362" s="26" t="s">
        <v>1763</v>
      </c>
      <c r="H4362" s="10" t="s">
        <v>1764</v>
      </c>
      <c r="I4362" s="10">
        <v>5.0</v>
      </c>
      <c r="J4362" s="11" t="str">
        <f>IF(D4362&lt;&gt;"",VLOOKUP(H4362,TABLEITEM,5,FALSE),"")</f>
        <v>EA</v>
      </c>
      <c r="K4362" s="12">
        <v>416.0</v>
      </c>
      <c r="L4362" s="13" t="str">
        <f>IF(D4362&lt;&gt;"",VLOOKUP(H4362,TABLEITEM,2,FALSE),"")</f>
        <v/>
      </c>
      <c r="M4362" s="13" t="str">
        <f>IF(D4362&lt;&gt;"",VLOOKUP(H4362,TABLEITEM,3,FALSE),"")</f>
        <v>THERMOSTAT TS-050SR-C(0-50C)</v>
      </c>
      <c r="N4362" s="14">
        <f>INSTOCK!$I4362*INSTOCK!$K4362</f>
        <v>2080</v>
      </c>
      <c r="O4362" s="4" t="s">
        <v>1765</v>
      </c>
      <c r="P4362" s="4"/>
    </row>
    <row r="4363" ht="15.75" hidden="1" customHeight="1">
      <c r="B4363" s="8">
        <v>4687.0</v>
      </c>
      <c r="C4363" s="9">
        <v>43420.0</v>
      </c>
      <c r="D4363" s="6">
        <v>36605.0</v>
      </c>
      <c r="E4363" s="4">
        <v>6.111001441E9</v>
      </c>
      <c r="F4363" s="8" t="s">
        <v>2875</v>
      </c>
      <c r="G4363" s="4" t="s">
        <v>696</v>
      </c>
      <c r="H4363" s="10" t="s">
        <v>37</v>
      </c>
      <c r="I4363" s="10">
        <v>20.0</v>
      </c>
      <c r="J4363" s="11" t="str">
        <f>IF(D4363&lt;&gt;"",VLOOKUP(H4363,TABLEITEM,5,FALSE),"")</f>
        <v>EA</v>
      </c>
      <c r="K4363" s="12">
        <v>145.0</v>
      </c>
      <c r="L4363" s="13" t="str">
        <f>IF(D4363&lt;&gt;"",VLOOKUP(H4363,TABLEITEM,2,FALSE),"")</f>
        <v/>
      </c>
      <c r="M4363" s="13" t="str">
        <f>IF(D4363&lt;&gt;"",VLOOKUP(H4363,TABLEITEM,3,FALSE),"")</f>
        <v>ซิลิโคนใส</v>
      </c>
      <c r="N4363" s="14">
        <f>INSTOCK!$I4363*INSTOCK!$K4363</f>
        <v>2900</v>
      </c>
      <c r="O4363" s="4"/>
      <c r="P4363" s="4"/>
    </row>
    <row r="4364" ht="15.75" hidden="1" customHeight="1">
      <c r="B4364" s="8">
        <v>4688.0</v>
      </c>
      <c r="C4364" s="9">
        <v>43420.0</v>
      </c>
      <c r="D4364" s="6" t="s">
        <v>5463</v>
      </c>
      <c r="E4364" s="4" t="s">
        <v>5464</v>
      </c>
      <c r="F4364" s="8" t="s">
        <v>5465</v>
      </c>
      <c r="G4364" s="4" t="s">
        <v>3567</v>
      </c>
      <c r="H4364" s="10" t="s">
        <v>5466</v>
      </c>
      <c r="I4364" s="10">
        <v>1.0</v>
      </c>
      <c r="J4364" s="11" t="str">
        <f>IF(D4364&lt;&gt;"",VLOOKUP(H4364,TABLEITEM,5,FALSE),"")</f>
        <v>EA</v>
      </c>
      <c r="K4364" s="12">
        <v>12500.0</v>
      </c>
      <c r="L4364" s="13" t="str">
        <f>IF(D4364&lt;&gt;"",VLOOKUP(H4364,TABLEITEM,2,FALSE),"")</f>
        <v/>
      </c>
      <c r="M4364" s="13" t="str">
        <f>IF(D4364&lt;&gt;"",VLOOKUP(H4364,TABLEITEM,3,FALSE),"")</f>
        <v>OVER &amp; EARTH FAULT 85-265 VAC OR 110-340VDC</v>
      </c>
      <c r="N4364" s="14">
        <f>INSTOCK!$I4364*INSTOCK!$K4364</f>
        <v>12500</v>
      </c>
      <c r="O4364" s="4" t="s">
        <v>5467</v>
      </c>
      <c r="P4364" s="4"/>
    </row>
    <row r="4365" ht="15.75" hidden="1" customHeight="1">
      <c r="B4365" s="8">
        <v>4689.0</v>
      </c>
      <c r="C4365" s="9">
        <v>43420.0</v>
      </c>
      <c r="D4365" s="6" t="s">
        <v>5463</v>
      </c>
      <c r="E4365" s="4" t="s">
        <v>5464</v>
      </c>
      <c r="F4365" s="8" t="s">
        <v>5465</v>
      </c>
      <c r="G4365" s="4" t="s">
        <v>3567</v>
      </c>
      <c r="H4365" s="10" t="s">
        <v>5466</v>
      </c>
      <c r="I4365" s="10">
        <v>2.0</v>
      </c>
      <c r="J4365" s="11" t="str">
        <f>IF(D4365&lt;&gt;"",VLOOKUP(H4365,TABLEITEM,5,FALSE),"")</f>
        <v>EA</v>
      </c>
      <c r="K4365" s="12">
        <v>12500.0</v>
      </c>
      <c r="L4365" s="13" t="str">
        <f>IF(D4365&lt;&gt;"",VLOOKUP(H4365,TABLEITEM,2,FALSE),"")</f>
        <v/>
      </c>
      <c r="M4365" s="13" t="str">
        <f>IF(D4365&lt;&gt;"",VLOOKUP(H4365,TABLEITEM,3,FALSE),"")</f>
        <v>OVER &amp; EARTH FAULT 85-265 VAC OR 110-340VDC</v>
      </c>
      <c r="N4365" s="14">
        <f>INSTOCK!$I4365*INSTOCK!$K4365</f>
        <v>25000</v>
      </c>
      <c r="O4365" s="4" t="s">
        <v>5467</v>
      </c>
      <c r="P4365" s="4"/>
    </row>
    <row r="4366" ht="15.75" hidden="1" customHeight="1">
      <c r="B4366" s="8">
        <v>4690.0</v>
      </c>
      <c r="C4366" s="9">
        <v>43420.0</v>
      </c>
      <c r="D4366" s="6" t="s">
        <v>5468</v>
      </c>
      <c r="E4366" s="4">
        <v>6.111001433E9</v>
      </c>
      <c r="F4366" s="8" t="s">
        <v>604</v>
      </c>
      <c r="G4366" s="4" t="s">
        <v>965</v>
      </c>
      <c r="H4366" s="10" t="s">
        <v>5469</v>
      </c>
      <c r="I4366" s="10">
        <v>1.5</v>
      </c>
      <c r="J4366" s="11" t="str">
        <f>IF(D4366&lt;&gt;"",VLOOKUP(H4366,TABLEITEM,5,FALSE),"")</f>
        <v>EA</v>
      </c>
      <c r="K4366" s="12">
        <v>70.0</v>
      </c>
      <c r="L4366" s="13" t="str">
        <f>IF(D4366&lt;&gt;"",VLOOKUP(H4366,TABLEITEM,2,FALSE),"")</f>
        <v/>
      </c>
      <c r="M4366" s="13" t="str">
        <f>IF(D4366&lt;&gt;"",VLOOKUP(H4366,TABLEITEM,3,FALSE),"")</f>
        <v>โซ่</v>
      </c>
      <c r="N4366" s="14">
        <f>INSTOCK!$I4366*INSTOCK!$K4366</f>
        <v>105</v>
      </c>
      <c r="O4366" s="4"/>
      <c r="P4366" s="4"/>
    </row>
    <row r="4367" ht="15.75" hidden="1" customHeight="1">
      <c r="B4367" s="8">
        <v>4691.0</v>
      </c>
      <c r="C4367" s="9">
        <v>43420.0</v>
      </c>
      <c r="D4367" s="6" t="s">
        <v>5468</v>
      </c>
      <c r="E4367" s="4">
        <v>6.111001433E9</v>
      </c>
      <c r="F4367" s="8" t="s">
        <v>604</v>
      </c>
      <c r="G4367" s="4" t="s">
        <v>965</v>
      </c>
      <c r="H4367" s="10" t="s">
        <v>5470</v>
      </c>
      <c r="I4367" s="10">
        <v>2.0</v>
      </c>
      <c r="J4367" s="11" t="str">
        <f>IF(D4367&lt;&gt;"",VLOOKUP(H4367,TABLEITEM,5,FALSE),"")</f>
        <v>EA</v>
      </c>
      <c r="K4367" s="12">
        <v>22.0</v>
      </c>
      <c r="L4367" s="13" t="str">
        <f>IF(D4367&lt;&gt;"",VLOOKUP(H4367,TABLEITEM,2,FALSE),"")</f>
        <v/>
      </c>
      <c r="M4367" s="13" t="str">
        <f>IF(D4367&lt;&gt;"",VLOOKUP(H4367,TABLEITEM,3,FALSE),"")</f>
        <v>สายยาง 1"</v>
      </c>
      <c r="N4367" s="14">
        <f>INSTOCK!$I4367*INSTOCK!$K4367</f>
        <v>44</v>
      </c>
      <c r="O4367" s="4"/>
      <c r="P4367" s="4"/>
    </row>
    <row r="4368" ht="15.75" hidden="1" customHeight="1">
      <c r="B4368" s="8">
        <v>4692.0</v>
      </c>
      <c r="C4368" s="9">
        <v>43420.0</v>
      </c>
      <c r="D4368" s="6" t="s">
        <v>5468</v>
      </c>
      <c r="E4368" s="4">
        <v>6.111001433E9</v>
      </c>
      <c r="F4368" s="8" t="s">
        <v>604</v>
      </c>
      <c r="G4368" s="4" t="s">
        <v>965</v>
      </c>
      <c r="H4368" s="10" t="s">
        <v>5471</v>
      </c>
      <c r="I4368" s="10">
        <v>20.0</v>
      </c>
      <c r="J4368" s="11" t="str">
        <f>IF(D4368&lt;&gt;"",VLOOKUP(H4368,TABLEITEM,5,FALSE),"")</f>
        <v>EA</v>
      </c>
      <c r="K4368" s="12">
        <v>70.0</v>
      </c>
      <c r="L4368" s="13" t="str">
        <f>IF(D4368&lt;&gt;"",VLOOKUP(H4368,TABLEITEM,2,FALSE),"")</f>
        <v/>
      </c>
      <c r="M4368" s="13" t="str">
        <f>IF(D4368&lt;&gt;"",VLOOKUP(H4368,TABLEITEM,3,FALSE),"")</f>
        <v>ลูกปืน 6206ZZ</v>
      </c>
      <c r="N4368" s="14">
        <f>INSTOCK!$I4368*INSTOCK!$K4368</f>
        <v>1400</v>
      </c>
      <c r="O4368" s="4"/>
      <c r="P4368" s="4"/>
    </row>
    <row r="4369" ht="15.75" hidden="1" customHeight="1">
      <c r="B4369" s="8">
        <v>4693.0</v>
      </c>
      <c r="C4369" s="9">
        <v>43420.0</v>
      </c>
      <c r="D4369" s="6" t="s">
        <v>5472</v>
      </c>
      <c r="E4369" s="4">
        <v>6.111001452E9</v>
      </c>
      <c r="F4369" s="8" t="s">
        <v>5473</v>
      </c>
      <c r="G4369" s="4" t="s">
        <v>1485</v>
      </c>
      <c r="H4369" s="10" t="s">
        <v>5474</v>
      </c>
      <c r="I4369" s="10">
        <v>40.0</v>
      </c>
      <c r="J4369" s="11" t="str">
        <f>IF(D4369&lt;&gt;"",VLOOKUP(H4369,TABLEITEM,5,FALSE),"")</f>
        <v>EA</v>
      </c>
      <c r="K4369" s="12">
        <v>275.0</v>
      </c>
      <c r="L4369" s="13" t="str">
        <f>IF(D4369&lt;&gt;"",VLOOKUP(H4369,TABLEITEM,2,FALSE),"")</f>
        <v/>
      </c>
      <c r="M4369" s="13" t="str">
        <f>IF(D4369&lt;&gt;"",VLOOKUP(H4369,TABLEITEM,3,FALSE),"")</f>
        <v>IC60N 1P 3A C CURVE 10KA 400VAC</v>
      </c>
      <c r="N4369" s="14">
        <f>INSTOCK!$I4369*INSTOCK!$K4369</f>
        <v>11000</v>
      </c>
      <c r="O4369" s="4"/>
      <c r="P4369" s="4"/>
    </row>
    <row r="4370" ht="15.75" hidden="1" customHeight="1">
      <c r="B4370" s="8">
        <v>4694.0</v>
      </c>
      <c r="C4370" s="9">
        <v>43420.0</v>
      </c>
      <c r="D4370" s="6" t="s">
        <v>5472</v>
      </c>
      <c r="E4370" s="4">
        <v>6.111001452E9</v>
      </c>
      <c r="F4370" s="8" t="s">
        <v>5473</v>
      </c>
      <c r="G4370" s="4" t="s">
        <v>1485</v>
      </c>
      <c r="H4370" s="10" t="s">
        <v>5475</v>
      </c>
      <c r="I4370" s="10">
        <v>4.0</v>
      </c>
      <c r="J4370" s="11" t="str">
        <f>IF(D4370&lt;&gt;"",VLOOKUP(H4370,TABLEITEM,5,FALSE),"")</f>
        <v>EA</v>
      </c>
      <c r="K4370" s="12">
        <v>275.0</v>
      </c>
      <c r="L4370" s="13" t="str">
        <f>IF(D4370&lt;&gt;"",VLOOKUP(H4370,TABLEITEM,2,FALSE),"")</f>
        <v/>
      </c>
      <c r="M4370" s="13" t="str">
        <f>IF(D4370&lt;&gt;"",VLOOKUP(H4370,TABLEITEM,3,FALSE),"")</f>
        <v>IC60N 1P 4A C CURVE 10KA 400VAC</v>
      </c>
      <c r="N4370" s="14">
        <f>INSTOCK!$I4370*INSTOCK!$K4370</f>
        <v>1100</v>
      </c>
      <c r="O4370" s="4"/>
      <c r="P4370" s="4"/>
    </row>
    <row r="4371" ht="15.75" hidden="1" customHeight="1">
      <c r="B4371" s="8">
        <v>4695.0</v>
      </c>
      <c r="C4371" s="9">
        <v>43420.0</v>
      </c>
      <c r="D4371" s="6" t="s">
        <v>5476</v>
      </c>
      <c r="E4371" s="4">
        <v>6.111001447E9</v>
      </c>
      <c r="F4371" s="8" t="s">
        <v>604</v>
      </c>
      <c r="G4371" s="4" t="s">
        <v>2453</v>
      </c>
      <c r="H4371" s="10" t="s">
        <v>2905</v>
      </c>
      <c r="I4371" s="10">
        <v>30.0</v>
      </c>
      <c r="J4371" s="11" t="str">
        <f>IF(D4371&lt;&gt;"",VLOOKUP(H4371,TABLEITEM,5,FALSE),"")</f>
        <v>EA</v>
      </c>
      <c r="K4371" s="12">
        <v>26.6</v>
      </c>
      <c r="L4371" s="13" t="str">
        <f>IF(D4371&lt;&gt;"",VLOOKUP(H4371,TABLEITEM,2,FALSE),"")</f>
        <v/>
      </c>
      <c r="M4371" s="13" t="str">
        <f>IF(D4371&lt;&gt;"",VLOOKUP(H4371,TABLEITEM,3,FALSE),"")</f>
        <v>ดอกสว่าน NACHI 3.3 MM</v>
      </c>
      <c r="N4371" s="14">
        <f>INSTOCK!$I4371*INSTOCK!$K4371</f>
        <v>798</v>
      </c>
      <c r="O4371" s="4"/>
      <c r="P4371" s="4"/>
    </row>
    <row r="4372" ht="15.75" hidden="1" customHeight="1">
      <c r="B4372" s="8">
        <v>4696.0</v>
      </c>
      <c r="C4372" s="9">
        <v>43420.0</v>
      </c>
      <c r="D4372" s="6" t="s">
        <v>5476</v>
      </c>
      <c r="E4372" s="4">
        <v>6.111001447E9</v>
      </c>
      <c r="F4372" s="8" t="s">
        <v>604</v>
      </c>
      <c r="G4372" s="4" t="s">
        <v>2453</v>
      </c>
      <c r="H4372" s="10" t="s">
        <v>2585</v>
      </c>
      <c r="I4372" s="10">
        <v>10.0</v>
      </c>
      <c r="J4372" s="11" t="str">
        <f>IF(D4372&lt;&gt;"",VLOOKUP(H4372,TABLEITEM,5,FALSE),"")</f>
        <v>EA</v>
      </c>
      <c r="K4372" s="12">
        <v>31.26</v>
      </c>
      <c r="L4372" s="13" t="str">
        <f>IF(D4372&lt;&gt;"",VLOOKUP(H4372,TABLEITEM,2,FALSE),"")</f>
        <v/>
      </c>
      <c r="M4372" s="13" t="str">
        <f>IF(D4372&lt;&gt;"",VLOOKUP(H4372,TABLEITEM,3,FALSE),"")</f>
        <v>ดอกสว่านนาซิ L/N 500 4.0mm</v>
      </c>
      <c r="N4372" s="14">
        <f>INSTOCK!$I4372*INSTOCK!$K4372</f>
        <v>312.6</v>
      </c>
      <c r="O4372" s="4"/>
      <c r="P4372" s="4"/>
    </row>
    <row r="4373" ht="15.75" hidden="1" customHeight="1">
      <c r="B4373" s="8">
        <v>4697.0</v>
      </c>
      <c r="C4373" s="9">
        <v>43420.0</v>
      </c>
      <c r="D4373" s="6" t="s">
        <v>5477</v>
      </c>
      <c r="E4373" s="4">
        <v>6.111001439E9</v>
      </c>
      <c r="F4373" s="8" t="s">
        <v>604</v>
      </c>
      <c r="G4373" s="4" t="s">
        <v>743</v>
      </c>
      <c r="H4373" s="10" t="s">
        <v>73</v>
      </c>
      <c r="I4373" s="10">
        <v>500.0</v>
      </c>
      <c r="J4373" s="11" t="str">
        <f>IF(D4373&lt;&gt;"",VLOOKUP(H4373,TABLEITEM,5,FALSE),"")</f>
        <v>KG.</v>
      </c>
      <c r="K4373" s="12">
        <v>99.85</v>
      </c>
      <c r="L4373" s="13" t="str">
        <f>IF(D4373&lt;&gt;"",VLOOKUP(H4373,TABLEITEM,2,FALSE),"")</f>
        <v/>
      </c>
      <c r="M4373" s="13" t="str">
        <f>IF(D4373&lt;&gt;"",VLOOKUP(H4373,TABLEITEM,3,FALSE),"")</f>
        <v>สีฝุ่น สีครีมย่น 1002782PX20</v>
      </c>
      <c r="N4373" s="14">
        <f>INSTOCK!$I4373*INSTOCK!$K4373</f>
        <v>49925</v>
      </c>
      <c r="O4373" s="4"/>
      <c r="P4373" s="4"/>
    </row>
    <row r="4374" ht="15.75" hidden="1" customHeight="1">
      <c r="B4374" s="8">
        <v>4698.0</v>
      </c>
      <c r="C4374" s="9">
        <v>43420.0</v>
      </c>
      <c r="D4374" s="6" t="s">
        <v>5478</v>
      </c>
      <c r="E4374" s="4">
        <v>6.111001429E9</v>
      </c>
      <c r="F4374" s="8" t="s">
        <v>604</v>
      </c>
      <c r="G4374" s="4" t="s">
        <v>1777</v>
      </c>
      <c r="H4374" s="10" t="s">
        <v>2100</v>
      </c>
      <c r="I4374" s="10">
        <v>3100.0</v>
      </c>
      <c r="J4374" s="11" t="str">
        <f>IF(D4374&lt;&gt;"",VLOOKUP(H4374,TABLEITEM,5,FALSE),"")</f>
        <v>EA</v>
      </c>
      <c r="K4374" s="12">
        <v>0.7995</v>
      </c>
      <c r="L4374" s="13" t="str">
        <f>IF(D4374&lt;&gt;"",VLOOKUP(H4374,TABLEITEM,2,FALSE),"")</f>
        <v/>
      </c>
      <c r="M4374" s="13" t="str">
        <f>IF(D4374&lt;&gt;"",VLOOKUP(H4374,TABLEITEM,3,FALSE),"")</f>
        <v>สกรูหัวเหลี่ยมชุบขาว M8x20</v>
      </c>
      <c r="N4374" s="14">
        <f>INSTOCK!$I4374*INSTOCK!$K4374</f>
        <v>2478.45</v>
      </c>
      <c r="O4374" s="4" t="s">
        <v>2101</v>
      </c>
      <c r="P4374" s="4"/>
    </row>
    <row r="4375" ht="15.75" hidden="1" customHeight="1">
      <c r="B4375" s="8">
        <v>4699.0</v>
      </c>
      <c r="C4375" s="9">
        <v>43420.0</v>
      </c>
      <c r="D4375" s="6" t="s">
        <v>5478</v>
      </c>
      <c r="E4375" s="4">
        <v>6.111001429E9</v>
      </c>
      <c r="F4375" s="8" t="s">
        <v>604</v>
      </c>
      <c r="G4375" s="4" t="s">
        <v>1777</v>
      </c>
      <c r="H4375" s="10" t="s">
        <v>2523</v>
      </c>
      <c r="I4375" s="10">
        <v>350.0</v>
      </c>
      <c r="J4375" s="11" t="str">
        <f>IF(D4375&lt;&gt;"",VLOOKUP(H4375,TABLEITEM,5,FALSE),"")</f>
        <v>EA</v>
      </c>
      <c r="K4375" s="12">
        <v>1.196</v>
      </c>
      <c r="L4375" s="13" t="str">
        <f>IF(D4375&lt;&gt;"",VLOOKUP(H4375,TABLEITEM,2,FALSE),"")</f>
        <v/>
      </c>
      <c r="M4375" s="13" t="str">
        <f>IF(D4375&lt;&gt;"",VLOOKUP(H4375,TABLEITEM,3,FALSE),"")</f>
        <v>สกรูหัวเหลี่ยมชุบขาว M8x35</v>
      </c>
      <c r="N4375" s="14">
        <f>INSTOCK!$I4375*INSTOCK!$K4375</f>
        <v>418.6</v>
      </c>
      <c r="O4375" s="4" t="s">
        <v>2524</v>
      </c>
      <c r="P4375" s="4"/>
    </row>
    <row r="4376" ht="15.75" hidden="1" customHeight="1">
      <c r="B4376" s="8">
        <v>4700.0</v>
      </c>
      <c r="C4376" s="9">
        <v>43420.0</v>
      </c>
      <c r="D4376" s="6" t="s">
        <v>5479</v>
      </c>
      <c r="E4376" s="4">
        <v>6.11100144E9</v>
      </c>
      <c r="F4376" s="8" t="s">
        <v>604</v>
      </c>
      <c r="G4376" s="4" t="s">
        <v>1611</v>
      </c>
      <c r="H4376" s="10" t="s">
        <v>191</v>
      </c>
      <c r="I4376" s="10">
        <v>300.0</v>
      </c>
      <c r="J4376" s="11" t="str">
        <f>IF(D4376&lt;&gt;"",VLOOKUP(H4376,TABLEITEM,5,FALSE),"")</f>
        <v>EA</v>
      </c>
      <c r="K4376" s="12">
        <v>20.0</v>
      </c>
      <c r="L4376" s="13" t="str">
        <f>IF(D4376&lt;&gt;"",VLOOKUP(H4376,TABLEITEM,2,FALSE),"")</f>
        <v/>
      </c>
      <c r="M4376" s="13" t="str">
        <f>IF(D4376&lt;&gt;"",VLOOKUP(H4376,TABLEITEM,3,FALSE),"")</f>
        <v>TERMINAL BLOCK TX30</v>
      </c>
      <c r="N4376" s="14">
        <f>INSTOCK!$I4376*INSTOCK!$K4376</f>
        <v>6000</v>
      </c>
      <c r="O4376" s="4"/>
      <c r="P4376" s="4"/>
    </row>
    <row r="4377" ht="15.75" hidden="1" customHeight="1">
      <c r="B4377" s="8">
        <v>4701.0</v>
      </c>
      <c r="C4377" s="9">
        <v>43420.0</v>
      </c>
      <c r="D4377" s="6">
        <v>2.210166438E9</v>
      </c>
      <c r="E4377" s="4">
        <v>6.111001448E9</v>
      </c>
      <c r="F4377" s="8" t="s">
        <v>604</v>
      </c>
      <c r="G4377" s="4" t="s">
        <v>4578</v>
      </c>
      <c r="H4377" s="10" t="s">
        <v>5480</v>
      </c>
      <c r="I4377" s="10">
        <v>5.0</v>
      </c>
      <c r="J4377" s="11" t="str">
        <f>IF(D4377&lt;&gt;"",VLOOKUP(H4377,TABLEITEM,5,FALSE),"")</f>
        <v>EA</v>
      </c>
      <c r="K4377" s="12">
        <v>51.8</v>
      </c>
      <c r="L4377" s="13" t="str">
        <f>IF(D4377&lt;&gt;"",VLOOKUP(H4377,TABLEITEM,2,FALSE),"")</f>
        <v/>
      </c>
      <c r="M4377" s="13" t="str">
        <f>IF(D4377&lt;&gt;"",VLOOKUP(H4377,TABLEITEM,3,FALSE),"")</f>
        <v>ดอกสว่าน นาซิ 5.4 มิล</v>
      </c>
      <c r="N4377" s="14">
        <f>INSTOCK!$I4377*INSTOCK!$K4377</f>
        <v>259</v>
      </c>
      <c r="O4377" s="4" t="s">
        <v>5481</v>
      </c>
      <c r="P4377" s="4"/>
    </row>
    <row r="4378" ht="15.75" hidden="1" customHeight="1">
      <c r="B4378" s="8">
        <v>4702.0</v>
      </c>
      <c r="C4378" s="9">
        <v>43420.0</v>
      </c>
      <c r="D4378" s="6">
        <v>2.210166438E9</v>
      </c>
      <c r="E4378" s="4">
        <v>6.111001448E9</v>
      </c>
      <c r="F4378" s="8" t="s">
        <v>604</v>
      </c>
      <c r="G4378" s="4" t="s">
        <v>4578</v>
      </c>
      <c r="H4378" s="10" t="s">
        <v>2587</v>
      </c>
      <c r="I4378" s="10">
        <v>5.0</v>
      </c>
      <c r="J4378" s="11" t="str">
        <f>IF(D4378&lt;&gt;"",VLOOKUP(H4378,TABLEITEM,5,FALSE),"")</f>
        <v>EA</v>
      </c>
      <c r="K4378" s="12">
        <v>157.5</v>
      </c>
      <c r="L4378" s="13" t="str">
        <f>IF(D4378&lt;&gt;"",VLOOKUP(H4378,TABLEITEM,2,FALSE),"")</f>
        <v/>
      </c>
      <c r="M4378" s="13" t="str">
        <f>IF(D4378&lt;&gt;"",VLOOKUP(H4378,TABLEITEM,3,FALSE),"")</f>
        <v>ดอกสว่านนาซิ L/N 500 10.0mm</v>
      </c>
      <c r="N4378" s="14">
        <f>INSTOCK!$I4378*INSTOCK!$K4378</f>
        <v>787.5</v>
      </c>
      <c r="O4378" s="4" t="s">
        <v>4581</v>
      </c>
      <c r="P4378" s="4"/>
    </row>
    <row r="4379" ht="15.75" hidden="1" customHeight="1">
      <c r="B4379" s="8">
        <v>4703.0</v>
      </c>
      <c r="C4379" s="9">
        <v>43420.0</v>
      </c>
      <c r="D4379" s="6" t="s">
        <v>5482</v>
      </c>
      <c r="E4379" s="4">
        <v>6.111001372E9</v>
      </c>
      <c r="F4379" s="8" t="s">
        <v>604</v>
      </c>
      <c r="G4379" s="4" t="s">
        <v>765</v>
      </c>
      <c r="H4379" s="10" t="s">
        <v>5483</v>
      </c>
      <c r="I4379" s="10">
        <v>215.0</v>
      </c>
      <c r="J4379" s="11" t="str">
        <f>IF(D4379&lt;&gt;"",VLOOKUP(H4379,TABLEITEM,5,FALSE),"")</f>
        <v>KG.</v>
      </c>
      <c r="K4379" s="12">
        <v>140.0</v>
      </c>
      <c r="L4379" s="13" t="str">
        <f>IF(D4379&lt;&gt;"",VLOOKUP(H4379,TABLEITEM,2,FALSE),"")</f>
        <v/>
      </c>
      <c r="M4379" s="13" t="str">
        <f>IF(D4379&lt;&gt;"",VLOOKUP(H4379,TABLEITEM,3,FALSE),"")</f>
        <v>สีฝุ่น GH413156F </v>
      </c>
      <c r="N4379" s="14">
        <f>INSTOCK!$I4379*INSTOCK!$K4379</f>
        <v>30100</v>
      </c>
      <c r="O4379" s="4"/>
      <c r="P4379" s="4"/>
    </row>
    <row r="4380" ht="15.75" hidden="1" customHeight="1">
      <c r="B4380" s="8">
        <v>4704.0</v>
      </c>
      <c r="C4380" s="9">
        <v>43419.0</v>
      </c>
      <c r="D4380" s="6" t="s">
        <v>5484</v>
      </c>
      <c r="E4380" s="4">
        <v>6.111001425E9</v>
      </c>
      <c r="F4380" s="8" t="s">
        <v>1709</v>
      </c>
      <c r="G4380" s="26" t="s">
        <v>1763</v>
      </c>
      <c r="H4380" s="10" t="s">
        <v>1764</v>
      </c>
      <c r="I4380" s="10">
        <v>4.0</v>
      </c>
      <c r="J4380" s="11" t="str">
        <f>IF(D4380&lt;&gt;"",VLOOKUP(H4380,TABLEITEM,5,FALSE),"")</f>
        <v>EA</v>
      </c>
      <c r="K4380" s="12">
        <v>416.0</v>
      </c>
      <c r="L4380" s="13" t="str">
        <f>IF(D4380&lt;&gt;"",VLOOKUP(H4380,TABLEITEM,2,FALSE),"")</f>
        <v/>
      </c>
      <c r="M4380" s="13" t="str">
        <f>IF(D4380&lt;&gt;"",VLOOKUP(H4380,TABLEITEM,3,FALSE),"")</f>
        <v>THERMOSTAT TS-050SR-C(0-50C)</v>
      </c>
      <c r="N4380" s="14">
        <f>INSTOCK!$I4380*INSTOCK!$K4380</f>
        <v>1664</v>
      </c>
      <c r="O4380" s="4" t="s">
        <v>1765</v>
      </c>
      <c r="P4380" s="4"/>
    </row>
    <row r="4381" ht="15.75" hidden="1" customHeight="1">
      <c r="B4381" s="8">
        <v>4705.0</v>
      </c>
      <c r="C4381" s="9">
        <v>43419.0</v>
      </c>
      <c r="D4381" s="6" t="s">
        <v>5485</v>
      </c>
      <c r="E4381" s="4">
        <v>6.111001415E9</v>
      </c>
      <c r="F4381" s="8" t="s">
        <v>604</v>
      </c>
      <c r="G4381" s="4" t="s">
        <v>737</v>
      </c>
      <c r="H4381" s="10" t="s">
        <v>20</v>
      </c>
      <c r="I4381" s="10">
        <v>10.0</v>
      </c>
      <c r="J4381" s="11" t="str">
        <f>IF(D4381&lt;&gt;"",VLOOKUP(H4381,TABLEITEM,5,FALSE),"")</f>
        <v>ROLL</v>
      </c>
      <c r="K4381" s="12">
        <v>795.0</v>
      </c>
      <c r="L4381" s="13" t="str">
        <f>IF(D4381&lt;&gt;"",VLOOKUP(H4381,TABLEITEM,2,FALSE),"")</f>
        <v/>
      </c>
      <c r="M4381" s="13" t="str">
        <f>IF(D4381&lt;&gt;"",VLOOKUP(H4381,TABLEITEM,3,FALSE),"")</f>
        <v>ลวดเชื่อมco2</v>
      </c>
      <c r="N4381" s="14">
        <f>INSTOCK!$I4381*INSTOCK!$K4381</f>
        <v>7950</v>
      </c>
      <c r="O4381" s="4"/>
      <c r="P4381" s="4"/>
    </row>
    <row r="4382" ht="15.75" hidden="1" customHeight="1">
      <c r="B4382" s="8">
        <v>4706.0</v>
      </c>
      <c r="C4382" s="9">
        <v>43419.0</v>
      </c>
      <c r="D4382" s="6" t="s">
        <v>5485</v>
      </c>
      <c r="E4382" s="4">
        <v>6.111001415E9</v>
      </c>
      <c r="F4382" s="8" t="s">
        <v>604</v>
      </c>
      <c r="G4382" s="4" t="s">
        <v>737</v>
      </c>
      <c r="H4382" s="10" t="s">
        <v>16</v>
      </c>
      <c r="I4382" s="10">
        <v>360.0</v>
      </c>
      <c r="J4382" s="11" t="str">
        <f>IF(D4382&lt;&gt;"",VLOOKUP(H4382,TABLEITEM,5,FALSE),"")</f>
        <v>คู่</v>
      </c>
      <c r="K4382" s="12">
        <v>4.5833</v>
      </c>
      <c r="L4382" s="13" t="str">
        <f>IF(D4382&lt;&gt;"",VLOOKUP(H4382,TABLEITEM,2,FALSE),"")</f>
        <v/>
      </c>
      <c r="M4382" s="13" t="str">
        <f>IF(D4382&lt;&gt;"",VLOOKUP(H4382,TABLEITEM,3,FALSE),"")</f>
        <v>ถุงมือผ้า</v>
      </c>
      <c r="N4382" s="14">
        <f>INSTOCK!$I4382*INSTOCK!$K4382</f>
        <v>1649.988</v>
      </c>
      <c r="O4382" s="4"/>
      <c r="P4382" s="4"/>
    </row>
    <row r="4383" ht="15.75" hidden="1" customHeight="1">
      <c r="B4383" s="8">
        <v>4707.0</v>
      </c>
      <c r="C4383" s="9">
        <v>43419.0</v>
      </c>
      <c r="D4383" s="6" t="s">
        <v>5486</v>
      </c>
      <c r="E4383" s="4">
        <v>6.111001426E9</v>
      </c>
      <c r="F4383" s="8" t="s">
        <v>1716</v>
      </c>
      <c r="G4383" s="4" t="s">
        <v>1631</v>
      </c>
      <c r="H4383" s="10" t="s">
        <v>1638</v>
      </c>
      <c r="I4383" s="10">
        <v>3.0</v>
      </c>
      <c r="J4383" s="11" t="str">
        <f>IF(D4383&lt;&gt;"",VLOOKUP(H4383,TABLEITEM,5,FALSE),"")</f>
        <v>EA</v>
      </c>
      <c r="K4383" s="12">
        <v>20000.0</v>
      </c>
      <c r="L4383" s="13" t="str">
        <f>IF(D4383&lt;&gt;"",VLOOKUP(H4383,TABLEITEM,2,FALSE),"")</f>
        <v/>
      </c>
      <c r="M4383" s="13" t="str">
        <f>IF(D4383&lt;&gt;"",VLOOKUP(H4383,TABLEITEM,3,FALSE),"")</f>
        <v>ACS355-03E-23A1-4/11KW(15 HP)380-480V</v>
      </c>
      <c r="N4383" s="14">
        <f>INSTOCK!$I4383*INSTOCK!$K4383</f>
        <v>60000</v>
      </c>
      <c r="O4383" s="4"/>
      <c r="P4383" s="4"/>
    </row>
    <row r="4384" ht="15.75" hidden="1" customHeight="1">
      <c r="B4384" s="8">
        <v>4708.0</v>
      </c>
      <c r="C4384" s="9">
        <v>43419.0</v>
      </c>
      <c r="D4384" s="6" t="s">
        <v>5486</v>
      </c>
      <c r="E4384" s="4">
        <v>6.111001426E9</v>
      </c>
      <c r="F4384" s="8" t="s">
        <v>1716</v>
      </c>
      <c r="G4384" s="4" t="s">
        <v>1631</v>
      </c>
      <c r="H4384" s="10" t="s">
        <v>1640</v>
      </c>
      <c r="I4384" s="10">
        <v>3.0</v>
      </c>
      <c r="J4384" s="11" t="str">
        <f>IF(D4384&lt;&gt;"",VLOOKUP(H4384,TABLEITEM,5,FALSE),"")</f>
        <v>EA</v>
      </c>
      <c r="K4384" s="12">
        <v>0.0</v>
      </c>
      <c r="L4384" s="13" t="str">
        <f>IF(D4384&lt;&gt;"",VLOOKUP(H4384,TABLEITEM,2,FALSE),"")</f>
        <v/>
      </c>
      <c r="M4384" s="13" t="str">
        <f>IF(D4384&lt;&gt;"",VLOOKUP(H4384,TABLEITEM,3,FALSE),"")</f>
        <v>ACS-CP-C(BASIC CONTRON PANEL)</v>
      </c>
      <c r="N4384" s="14">
        <f>INSTOCK!$I4384*INSTOCK!$K4384</f>
        <v>0</v>
      </c>
      <c r="O4384" s="4"/>
      <c r="P4384" s="4"/>
    </row>
    <row r="4385" ht="15.75" hidden="1" customHeight="1">
      <c r="B4385" s="8">
        <v>4709.0</v>
      </c>
      <c r="C4385" s="9">
        <v>43419.0</v>
      </c>
      <c r="D4385" s="6" t="s">
        <v>5487</v>
      </c>
      <c r="E4385" s="4">
        <v>6.11100143E9</v>
      </c>
      <c r="F4385" s="8" t="s">
        <v>807</v>
      </c>
      <c r="G4385" s="4" t="s">
        <v>808</v>
      </c>
      <c r="H4385" s="10" t="s">
        <v>812</v>
      </c>
      <c r="I4385" s="10">
        <v>1.0</v>
      </c>
      <c r="J4385" s="11" t="str">
        <f>IF(D4385&lt;&gt;"",VLOOKUP(H4385,TABLEITEM,5,FALSE),"")</f>
        <v>ท่อ</v>
      </c>
      <c r="K4385" s="12">
        <v>2960.0</v>
      </c>
      <c r="L4385" s="13" t="str">
        <f>IF(D4385&lt;&gt;"",VLOOKUP(H4385,TABLEITEM,2,FALSE),"")</f>
        <v/>
      </c>
      <c r="M4385" s="13" t="str">
        <f>IF(D4385&lt;&gt;"",VLOOKUP(H4385,TABLEITEM,3,FALSE),"")</f>
        <v>ออกซิเจนเหลว ขนาด 148 คิว</v>
      </c>
      <c r="N4385" s="14">
        <f>INSTOCK!$I4385*INSTOCK!$K4385</f>
        <v>2960</v>
      </c>
      <c r="O4385" s="4"/>
      <c r="P4385" s="4"/>
    </row>
    <row r="4386" ht="15.75" hidden="1" customHeight="1">
      <c r="B4386" s="8">
        <v>4710.0</v>
      </c>
      <c r="C4386" s="9">
        <v>43419.0</v>
      </c>
      <c r="D4386" s="6" t="s">
        <v>5488</v>
      </c>
      <c r="E4386" s="4">
        <v>6.111001417E9</v>
      </c>
      <c r="F4386" s="8" t="s">
        <v>604</v>
      </c>
      <c r="G4386" s="4" t="s">
        <v>1453</v>
      </c>
      <c r="H4386" s="10" t="s">
        <v>2050</v>
      </c>
      <c r="I4386" s="10">
        <v>8.0</v>
      </c>
      <c r="J4386" s="11" t="str">
        <f>IF(D4386&lt;&gt;"",VLOOKUP(H4386,TABLEITEM,5,FALSE),"")</f>
        <v>EA</v>
      </c>
      <c r="K4386" s="12">
        <v>837.9</v>
      </c>
      <c r="L4386" s="13" t="str">
        <f>IF(D4386&lt;&gt;"",VLOOKUP(H4386,TABLEITEM,2,FALSE),"")</f>
        <v/>
      </c>
      <c r="M4386" s="13" t="str">
        <f>IF(D4386&lt;&gt;"",VLOOKUP(H4386,TABLEITEM,3,FALSE),"")</f>
        <v>พัดลม PMV25C.01220 6"</v>
      </c>
      <c r="N4386" s="14">
        <f>INSTOCK!$I4386*INSTOCK!$K4386</f>
        <v>6703.2</v>
      </c>
      <c r="O4386" s="4" t="s">
        <v>2051</v>
      </c>
      <c r="P4386" s="4"/>
    </row>
    <row r="4387" ht="15.75" hidden="1" customHeight="1">
      <c r="B4387" s="8">
        <v>4711.0</v>
      </c>
      <c r="C4387" s="9">
        <v>43419.0</v>
      </c>
      <c r="D4387" s="6" t="s">
        <v>5489</v>
      </c>
      <c r="E4387" s="4">
        <v>6.111001434E9</v>
      </c>
      <c r="F4387" s="8" t="s">
        <v>1815</v>
      </c>
      <c r="G4387" s="4" t="s">
        <v>1596</v>
      </c>
      <c r="H4387" s="10" t="s">
        <v>5490</v>
      </c>
      <c r="I4387" s="10">
        <v>2.0</v>
      </c>
      <c r="J4387" s="11" t="str">
        <f>IF(D4387&lt;&gt;"",VLOOKUP(H4387,TABLEITEM,5,FALSE),"")</f>
        <v>EA</v>
      </c>
      <c r="K4387" s="12">
        <v>2106.0</v>
      </c>
      <c r="L4387" s="13" t="str">
        <f>IF(D4387&lt;&gt;"",VLOOKUP(H4387,TABLEITEM,2,FALSE),"")</f>
        <v/>
      </c>
      <c r="M4387" s="13" t="str">
        <f>IF(D4387&lt;&gt;"",VLOOKUP(H4387,TABLEITEM,3,FALSE),"")</f>
        <v>MCCB A2B250 TMF 3P 200A </v>
      </c>
      <c r="N4387" s="14">
        <f>INSTOCK!$I4387*INSTOCK!$K4387</f>
        <v>4212</v>
      </c>
      <c r="O4387" s="4" t="s">
        <v>5491</v>
      </c>
      <c r="P4387" s="4"/>
    </row>
    <row r="4388" ht="15.75" hidden="1" customHeight="1">
      <c r="B4388" s="8">
        <v>4712.0</v>
      </c>
      <c r="C4388" s="9">
        <v>43419.0</v>
      </c>
      <c r="D4388" s="6" t="s">
        <v>5492</v>
      </c>
      <c r="E4388" s="4">
        <v>6.111001435E9</v>
      </c>
      <c r="F4388" s="8" t="s">
        <v>1815</v>
      </c>
      <c r="G4388" s="4" t="s">
        <v>692</v>
      </c>
      <c r="H4388" s="10" t="s">
        <v>5493</v>
      </c>
      <c r="I4388" s="10">
        <v>2.0</v>
      </c>
      <c r="J4388" s="11" t="str">
        <f>IF(D4388&lt;&gt;"",VLOOKUP(H4388,TABLEITEM,5,FALSE),"")</f>
        <v>EA</v>
      </c>
      <c r="K4388" s="12">
        <v>994.5</v>
      </c>
      <c r="L4388" s="13" t="str">
        <f>IF(D4388&lt;&gt;"",VLOOKUP(H4388,TABLEITEM,2,FALSE),"")</f>
        <v/>
      </c>
      <c r="M4388" s="13" t="str">
        <f>IF(D4388&lt;&gt;"",VLOOKUP(H4388,TABLEITEM,3,FALSE),"")</f>
        <v>MCCB A1N125 2P 50A</v>
      </c>
      <c r="N4388" s="14">
        <f>INSTOCK!$I4388*INSTOCK!$K4388</f>
        <v>1989</v>
      </c>
      <c r="O4388" s="4" t="s">
        <v>5494</v>
      </c>
      <c r="P4388" s="4"/>
    </row>
    <row r="4389" ht="15.75" hidden="1" customHeight="1">
      <c r="B4389" s="8">
        <v>4713.0</v>
      </c>
      <c r="C4389" s="9">
        <v>43419.0</v>
      </c>
      <c r="D4389" s="6" t="s">
        <v>5495</v>
      </c>
      <c r="E4389" s="4"/>
      <c r="F4389" s="8" t="s">
        <v>5496</v>
      </c>
      <c r="G4389" s="4" t="s">
        <v>2495</v>
      </c>
      <c r="H4389" s="10" t="s">
        <v>2998</v>
      </c>
      <c r="I4389" s="10">
        <v>2000.0</v>
      </c>
      <c r="J4389" s="11" t="str">
        <f>IF(D4389&lt;&gt;"",VLOOKUP(H4389,TABLEITEM,5,FALSE),"")</f>
        <v>EA</v>
      </c>
      <c r="K4389" s="12">
        <v>0.345</v>
      </c>
      <c r="L4389" s="13" t="str">
        <f>IF(D4389&lt;&gt;"",VLOOKUP(H4389,TABLEITEM,2,FALSE),"")</f>
        <v/>
      </c>
      <c r="M4389" s="13" t="str">
        <f>IF(D4389&lt;&gt;"",VLOOKUP(H4389,TABLEITEM,3,FALSE),"")</f>
        <v>สกรูตัวหนอน M5x5</v>
      </c>
      <c r="N4389" s="14">
        <f>INSTOCK!$I4389*INSTOCK!$K4389</f>
        <v>690</v>
      </c>
      <c r="O4389" s="4" t="s">
        <v>5497</v>
      </c>
      <c r="P4389" s="4"/>
    </row>
    <row r="4390" ht="15.75" hidden="1" customHeight="1">
      <c r="B4390" s="8">
        <v>4714.0</v>
      </c>
      <c r="C4390" s="9">
        <v>43419.0</v>
      </c>
      <c r="D4390" s="6">
        <v>36569.0</v>
      </c>
      <c r="E4390" s="4">
        <v>6.111001416E9</v>
      </c>
      <c r="F4390" s="8" t="s">
        <v>604</v>
      </c>
      <c r="G4390" s="4" t="s">
        <v>696</v>
      </c>
      <c r="H4390" s="10" t="s">
        <v>44</v>
      </c>
      <c r="I4390" s="10">
        <v>4.0</v>
      </c>
      <c r="J4390" s="11" t="str">
        <f>IF(D4390&lt;&gt;"",VLOOKUP(H4390,TABLEITEM,5,FALSE),"")</f>
        <v>ปี๊ป</v>
      </c>
      <c r="K4390" s="12">
        <v>370.0</v>
      </c>
      <c r="L4390" s="13" t="str">
        <f>IF(D4390&lt;&gt;"",VLOOKUP(H4390,TABLEITEM,2,FALSE),"")</f>
        <v/>
      </c>
      <c r="M4390" s="13" t="str">
        <f>IF(D4390&lt;&gt;"",VLOOKUP(H4390,TABLEITEM,3,FALSE),"")</f>
        <v>ทินเนอร์ AAA</v>
      </c>
      <c r="N4390" s="14">
        <f>INSTOCK!$I4390*INSTOCK!$K4390</f>
        <v>1480</v>
      </c>
      <c r="O4390" s="4"/>
      <c r="P4390" s="4"/>
    </row>
    <row r="4391" ht="15.75" hidden="1" customHeight="1">
      <c r="B4391" s="8">
        <v>4715.0</v>
      </c>
      <c r="C4391" s="9">
        <v>43419.0</v>
      </c>
      <c r="D4391" s="6" t="s">
        <v>5498</v>
      </c>
      <c r="E4391" s="4">
        <v>6.111001436E9</v>
      </c>
      <c r="F4391" s="8"/>
      <c r="G4391" s="4" t="s">
        <v>1516</v>
      </c>
      <c r="H4391" s="10" t="s">
        <v>1900</v>
      </c>
      <c r="I4391" s="10">
        <v>4.0</v>
      </c>
      <c r="J4391" s="11" t="str">
        <f>IF(D4391&lt;&gt;"",VLOOKUP(H4391,TABLEITEM,5,FALSE),"")</f>
        <v>EA</v>
      </c>
      <c r="K4391" s="12">
        <v>945.0</v>
      </c>
      <c r="L4391" s="13" t="str">
        <f>IF(D4391&lt;&gt;"",VLOOKUP(H4391,TABLEITEM,2,FALSE),"")</f>
        <v/>
      </c>
      <c r="M4391" s="13" t="str">
        <f>IF(D4391&lt;&gt;"",VLOOKUP(H4391,TABLEITEM,3,FALSE),"")</f>
        <v>Power plug ตัวเมียฝังกันน้ำ 3P+N+E 63A</v>
      </c>
      <c r="N4391" s="14">
        <f>INSTOCK!$I4391*INSTOCK!$K4391</f>
        <v>3780</v>
      </c>
      <c r="O4391" s="4" t="s">
        <v>1901</v>
      </c>
      <c r="P4391" s="4"/>
    </row>
    <row r="4392" ht="15.75" hidden="1" customHeight="1">
      <c r="B4392" s="8">
        <v>4716.0</v>
      </c>
      <c r="C4392" s="9">
        <v>43419.0</v>
      </c>
      <c r="D4392" s="6" t="s">
        <v>5498</v>
      </c>
      <c r="E4392" s="4">
        <v>6.111001436E9</v>
      </c>
      <c r="F4392" s="8"/>
      <c r="G4392" s="4" t="s">
        <v>1516</v>
      </c>
      <c r="H4392" s="10" t="s">
        <v>5499</v>
      </c>
      <c r="I4392" s="10">
        <v>2.0</v>
      </c>
      <c r="J4392" s="11" t="str">
        <f>IF(D4392&lt;&gt;"",VLOOKUP(H4392,TABLEITEM,5,FALSE),"")</f>
        <v>EA</v>
      </c>
      <c r="K4392" s="12">
        <v>810.0</v>
      </c>
      <c r="L4392" s="13" t="str">
        <f>IF(D4392&lt;&gt;"",VLOOKUP(H4392,TABLEITEM,2,FALSE),"")</f>
        <v/>
      </c>
      <c r="M4392" s="13" t="str">
        <f>IF(D4392&lt;&gt;"",VLOOKUP(H4392,TABLEITEM,3,FALSE),"")</f>
        <v>Power plug 2P+E 63A 230V IP 67</v>
      </c>
      <c r="N4392" s="14">
        <f>INSTOCK!$I4392*INSTOCK!$K4392</f>
        <v>1620</v>
      </c>
      <c r="O4392" s="4" t="s">
        <v>5500</v>
      </c>
      <c r="P4392" s="4"/>
    </row>
    <row r="4393" ht="15.75" hidden="1" customHeight="1">
      <c r="B4393" s="8">
        <v>4717.0</v>
      </c>
      <c r="C4393" s="9">
        <v>43419.0</v>
      </c>
      <c r="D4393" s="6" t="s">
        <v>5501</v>
      </c>
      <c r="E4393" s="4">
        <v>6.111001429E9</v>
      </c>
      <c r="F4393" s="8" t="s">
        <v>604</v>
      </c>
      <c r="G4393" s="4" t="s">
        <v>1777</v>
      </c>
      <c r="H4393" s="10" t="s">
        <v>2100</v>
      </c>
      <c r="I4393" s="10">
        <v>6900.0</v>
      </c>
      <c r="J4393" s="11" t="str">
        <f>IF(D4393&lt;&gt;"",VLOOKUP(H4393,TABLEITEM,5,FALSE),"")</f>
        <v>EA</v>
      </c>
      <c r="K4393" s="12">
        <v>0.7995</v>
      </c>
      <c r="L4393" s="13" t="str">
        <f>IF(D4393&lt;&gt;"",VLOOKUP(H4393,TABLEITEM,2,FALSE),"")</f>
        <v/>
      </c>
      <c r="M4393" s="13" t="str">
        <f>IF(D4393&lt;&gt;"",VLOOKUP(H4393,TABLEITEM,3,FALSE),"")</f>
        <v>สกรูหัวเหลี่ยมชุบขาว M8x20</v>
      </c>
      <c r="N4393" s="14">
        <f>INSTOCK!$I4393*INSTOCK!$K4393</f>
        <v>5516.55</v>
      </c>
      <c r="O4393" s="4" t="s">
        <v>2101</v>
      </c>
      <c r="P4393" s="4"/>
    </row>
    <row r="4394" ht="15.75" hidden="1" customHeight="1">
      <c r="B4394" s="8">
        <v>4718.0</v>
      </c>
      <c r="C4394" s="9">
        <v>43419.0</v>
      </c>
      <c r="D4394" s="6" t="s">
        <v>5501</v>
      </c>
      <c r="E4394" s="4">
        <v>6.111001429E9</v>
      </c>
      <c r="F4394" s="8" t="s">
        <v>604</v>
      </c>
      <c r="G4394" s="4" t="s">
        <v>1777</v>
      </c>
      <c r="H4394" s="10" t="s">
        <v>2102</v>
      </c>
      <c r="I4394" s="10">
        <v>20000.0</v>
      </c>
      <c r="J4394" s="11" t="str">
        <f>IF(D4394&lt;&gt;"",VLOOKUP(H4394,TABLEITEM,5,FALSE),"")</f>
        <v>EA</v>
      </c>
      <c r="K4394" s="12">
        <v>0.09</v>
      </c>
      <c r="L4394" s="13" t="str">
        <f>IF(D4394&lt;&gt;"",VLOOKUP(H4394,TABLEITEM,2,FALSE),"")</f>
        <v/>
      </c>
      <c r="M4394" s="13" t="str">
        <f>IF(D4394&lt;&gt;"",VLOOKUP(H4394,TABLEITEM,3,FALSE),"")</f>
        <v>แหวนอีแปะ M8 ชุบขาว</v>
      </c>
      <c r="N4394" s="14">
        <f>INSTOCK!$I4394*INSTOCK!$K4394</f>
        <v>1800</v>
      </c>
      <c r="O4394" s="4" t="s">
        <v>2103</v>
      </c>
      <c r="P4394" s="4"/>
    </row>
    <row r="4395" ht="15.75" hidden="1" customHeight="1">
      <c r="B4395" s="8">
        <v>4719.0</v>
      </c>
      <c r="C4395" s="9">
        <v>43419.0</v>
      </c>
      <c r="D4395" s="6" t="s">
        <v>5501</v>
      </c>
      <c r="E4395" s="4">
        <v>6.111001429E9</v>
      </c>
      <c r="F4395" s="8" t="s">
        <v>604</v>
      </c>
      <c r="G4395" s="4" t="s">
        <v>1777</v>
      </c>
      <c r="H4395" s="10" t="s">
        <v>3014</v>
      </c>
      <c r="I4395" s="10">
        <v>10000.0</v>
      </c>
      <c r="J4395" s="11" t="str">
        <f>IF(D4395&lt;&gt;"",VLOOKUP(H4395,TABLEITEM,5,FALSE),"")</f>
        <v>EA</v>
      </c>
      <c r="K4395" s="12">
        <v>0.075</v>
      </c>
      <c r="L4395" s="13" t="str">
        <f>IF(D4395&lt;&gt;"",VLOOKUP(H4395,TABLEITEM,2,FALSE),"")</f>
        <v/>
      </c>
      <c r="M4395" s="13" t="str">
        <f>IF(D4395&lt;&gt;"",VLOOKUP(H4395,TABLEITEM,3,FALSE),"")</f>
        <v>แหวนสปริง M 8 ชุบรุ้ง</v>
      </c>
      <c r="N4395" s="14">
        <f>INSTOCK!$I4395*INSTOCK!$K4395</f>
        <v>750</v>
      </c>
      <c r="O4395" s="4" t="s">
        <v>2079</v>
      </c>
      <c r="P4395" s="4"/>
    </row>
    <row r="4396" ht="15.75" hidden="1" customHeight="1">
      <c r="B4396" s="8">
        <v>4720.0</v>
      </c>
      <c r="C4396" s="9">
        <v>43419.0</v>
      </c>
      <c r="D4396" s="6" t="s">
        <v>5501</v>
      </c>
      <c r="E4396" s="4">
        <v>6.111001429E9</v>
      </c>
      <c r="F4396" s="8" t="s">
        <v>604</v>
      </c>
      <c r="G4396" s="4" t="s">
        <v>1777</v>
      </c>
      <c r="H4396" s="10" t="s">
        <v>2080</v>
      </c>
      <c r="I4396" s="10">
        <v>10000.0</v>
      </c>
      <c r="J4396" s="11" t="str">
        <f>IF(D4396&lt;&gt;"",VLOOKUP(H4396,TABLEITEM,5,FALSE),"")</f>
        <v>EA</v>
      </c>
      <c r="K4396" s="12">
        <v>0.36</v>
      </c>
      <c r="L4396" s="13" t="str">
        <f>IF(D4396&lt;&gt;"",VLOOKUP(H4396,TABLEITEM,2,FALSE),"")</f>
        <v/>
      </c>
      <c r="M4396" s="13" t="str">
        <f>IF(D4396&lt;&gt;"",VLOOKUP(H4396,TABLEITEM,3,FALSE),"")</f>
        <v>หัวน็อต M 8 ชุบขาว</v>
      </c>
      <c r="N4396" s="14">
        <f>INSTOCK!$I4396*INSTOCK!$K4396</f>
        <v>3600</v>
      </c>
      <c r="O4396" s="4" t="s">
        <v>2081</v>
      </c>
      <c r="P4396" s="4"/>
    </row>
    <row r="4397" ht="15.75" hidden="1" customHeight="1">
      <c r="B4397" s="8">
        <v>4721.0</v>
      </c>
      <c r="C4397" s="9">
        <v>43419.0</v>
      </c>
      <c r="D4397" s="6" t="s">
        <v>5501</v>
      </c>
      <c r="E4397" s="4">
        <v>6.111001429E9</v>
      </c>
      <c r="F4397" s="8" t="s">
        <v>604</v>
      </c>
      <c r="G4397" s="4" t="s">
        <v>1777</v>
      </c>
      <c r="H4397" s="10" t="s">
        <v>2086</v>
      </c>
      <c r="I4397" s="10">
        <v>7000.0</v>
      </c>
      <c r="J4397" s="11" t="str">
        <f>IF(D4397&lt;&gt;"",VLOOKUP(H4397,TABLEITEM,5,FALSE),"")</f>
        <v>EA</v>
      </c>
      <c r="K4397" s="12">
        <v>0.2475</v>
      </c>
      <c r="L4397" s="13" t="str">
        <f>IF(D4397&lt;&gt;"",VLOOKUP(H4397,TABLEITEM,2,FALSE),"")</f>
        <v/>
      </c>
      <c r="M4397" s="13" t="str">
        <f>IF(D4397&lt;&gt;"",VLOOKUP(H4397,TABLEITEM,3,FALSE),"")</f>
        <v>ติดจาน M8</v>
      </c>
      <c r="N4397" s="14">
        <f>INSTOCK!$I4397*INSTOCK!$K4397</f>
        <v>1732.5</v>
      </c>
      <c r="O4397" s="4" t="s">
        <v>3645</v>
      </c>
      <c r="P4397" s="4"/>
    </row>
    <row r="4398" ht="15.75" hidden="1" customHeight="1">
      <c r="B4398" s="8">
        <v>4722.0</v>
      </c>
      <c r="C4398" s="9">
        <v>43419.0</v>
      </c>
      <c r="D4398" s="6" t="s">
        <v>5501</v>
      </c>
      <c r="E4398" s="4">
        <v>6.111001429E9</v>
      </c>
      <c r="F4398" s="8" t="s">
        <v>604</v>
      </c>
      <c r="G4398" s="4" t="s">
        <v>1777</v>
      </c>
      <c r="H4398" s="10" t="s">
        <v>2523</v>
      </c>
      <c r="I4398" s="10">
        <v>2650.0</v>
      </c>
      <c r="J4398" s="11" t="str">
        <f>IF(D4398&lt;&gt;"",VLOOKUP(H4398,TABLEITEM,5,FALSE),"")</f>
        <v>EA</v>
      </c>
      <c r="K4398" s="12">
        <v>1.196</v>
      </c>
      <c r="L4398" s="13" t="str">
        <f>IF(D4398&lt;&gt;"",VLOOKUP(H4398,TABLEITEM,2,FALSE),"")</f>
        <v/>
      </c>
      <c r="M4398" s="13" t="str">
        <f>IF(D4398&lt;&gt;"",VLOOKUP(H4398,TABLEITEM,3,FALSE),"")</f>
        <v>สกรูหัวเหลี่ยมชุบขาว M8x35</v>
      </c>
      <c r="N4398" s="14">
        <f>INSTOCK!$I4398*INSTOCK!$K4398</f>
        <v>3169.4</v>
      </c>
      <c r="O4398" s="4" t="s">
        <v>2524</v>
      </c>
      <c r="P4398" s="4"/>
    </row>
    <row r="4399" ht="15.75" hidden="1" customHeight="1">
      <c r="B4399" s="8">
        <v>4723.0</v>
      </c>
      <c r="C4399" s="9">
        <v>43419.0</v>
      </c>
      <c r="D4399" s="6" t="s">
        <v>5502</v>
      </c>
      <c r="E4399" s="4">
        <v>6.111001431E9</v>
      </c>
      <c r="F4399" s="8" t="s">
        <v>5503</v>
      </c>
      <c r="G4399" s="4" t="s">
        <v>617</v>
      </c>
      <c r="H4399" s="10" t="s">
        <v>3451</v>
      </c>
      <c r="I4399" s="10">
        <v>25.0</v>
      </c>
      <c r="J4399" s="11" t="str">
        <f>IF(D4399&lt;&gt;"",VLOOKUP(H4399,TABLEITEM,5,FALSE),"")</f>
        <v>M</v>
      </c>
      <c r="K4399" s="12">
        <v>432.0</v>
      </c>
      <c r="L4399" s="13" t="str">
        <f>IF(D4399&lt;&gt;"",VLOOKUP(H4399,TABLEITEM,2,FALSE),"")</f>
        <v>Busbar</v>
      </c>
      <c r="M4399" s="13" t="str">
        <f>IF(D4399&lt;&gt;"",VLOOKUP(H4399,TABLEITEM,3,FALSE),"")</f>
        <v>บัสบาร์ทองแดง 40x5</v>
      </c>
      <c r="N4399" s="14">
        <f>INSTOCK!$I4399*INSTOCK!$K4399</f>
        <v>10800</v>
      </c>
      <c r="O4399" s="4" t="s">
        <v>3941</v>
      </c>
      <c r="P4399" s="4"/>
    </row>
    <row r="4400" ht="15.75" hidden="1" customHeight="1">
      <c r="B4400" s="8">
        <v>4724.0</v>
      </c>
      <c r="C4400" s="9">
        <v>43419.0</v>
      </c>
      <c r="D4400" s="6" t="s">
        <v>5502</v>
      </c>
      <c r="E4400" s="4">
        <v>6.111001431E9</v>
      </c>
      <c r="F4400" s="8" t="s">
        <v>5503</v>
      </c>
      <c r="G4400" s="4" t="s">
        <v>617</v>
      </c>
      <c r="H4400" s="10" t="s">
        <v>629</v>
      </c>
      <c r="I4400" s="10">
        <v>10.0</v>
      </c>
      <c r="J4400" s="11" t="str">
        <f>IF(D4400&lt;&gt;"",VLOOKUP(H4400,TABLEITEM,5,FALSE),"")</f>
        <v>M</v>
      </c>
      <c r="K4400" s="12">
        <v>1718.4</v>
      </c>
      <c r="L4400" s="13" t="str">
        <f>IF(D4400&lt;&gt;"",VLOOKUP(H4400,TABLEITEM,2,FALSE),"")</f>
        <v>Busbar</v>
      </c>
      <c r="M4400" s="13" t="str">
        <f>IF(D4400&lt;&gt;"",VLOOKUP(H4400,TABLEITEM,3,FALSE),"")</f>
        <v>บัสบาร์ทองแดง 80x10</v>
      </c>
      <c r="N4400" s="14">
        <f>INSTOCK!$I4400*INSTOCK!$K4400</f>
        <v>17184</v>
      </c>
      <c r="O4400" s="4" t="s">
        <v>3941</v>
      </c>
      <c r="P4400" s="4"/>
    </row>
    <row r="4401" ht="15.75" hidden="1" customHeight="1">
      <c r="B4401" s="8">
        <v>4725.0</v>
      </c>
      <c r="C4401" s="9">
        <v>43418.0</v>
      </c>
      <c r="D4401" s="6" t="s">
        <v>5504</v>
      </c>
      <c r="E4401" s="4"/>
      <c r="F4401" s="8" t="s">
        <v>3446</v>
      </c>
      <c r="G4401" s="4" t="s">
        <v>702</v>
      </c>
      <c r="H4401" s="10" t="s">
        <v>5505</v>
      </c>
      <c r="I4401" s="10">
        <v>20.0</v>
      </c>
      <c r="J4401" s="11" t="str">
        <f>IF(D4401&lt;&gt;"",VLOOKUP(H4401,TABLEITEM,5,FALSE),"")</f>
        <v>KG.</v>
      </c>
      <c r="K4401" s="12">
        <v>145.0</v>
      </c>
      <c r="L4401" s="13" t="str">
        <f>IF(D4401&lt;&gt;"",VLOOKUP(H4401,TABLEITEM,2,FALSE),"")</f>
        <v/>
      </c>
      <c r="M4401" s="13" t="str">
        <f>IF(D4401&lt;&gt;"",VLOOKUP(H4401,TABLEITEM,3,FALSE),"")</f>
        <v>สีฝุ่น FF171/8101/CW3</v>
      </c>
      <c r="N4401" s="14">
        <f>INSTOCK!$I4401*INSTOCK!$K4401</f>
        <v>2900</v>
      </c>
      <c r="O4401" s="4"/>
      <c r="P4401" s="4"/>
    </row>
    <row r="4402" ht="15.75" hidden="1" customHeight="1">
      <c r="B4402" s="8">
        <v>4726.0</v>
      </c>
      <c r="C4402" s="9">
        <v>43418.0</v>
      </c>
      <c r="D4402" s="6" t="s">
        <v>5506</v>
      </c>
      <c r="E4402" s="4"/>
      <c r="F4402" s="8" t="s">
        <v>5507</v>
      </c>
      <c r="G4402" s="4" t="s">
        <v>898</v>
      </c>
      <c r="H4402" s="10" t="s">
        <v>899</v>
      </c>
      <c r="I4402" s="10">
        <v>1.0</v>
      </c>
      <c r="J4402" s="11" t="str">
        <f>IF(D4402&lt;&gt;"",VLOOKUP(H4402,TABLEITEM,5,FALSE),"")</f>
        <v>LIT</v>
      </c>
      <c r="K4402" s="12">
        <v>430.0</v>
      </c>
      <c r="L4402" s="13" t="str">
        <f>IF(D4402&lt;&gt;"",VLOOKUP(H4402,TABLEITEM,2,FALSE),"")</f>
        <v/>
      </c>
      <c r="M4402" s="13" t="str">
        <f>IF(D4402&lt;&gt;"",VLOOKUP(H4402,TABLEITEM,3,FALSE),"")</f>
        <v>สีพ่นแห้งเร็ว(สีผสม)</v>
      </c>
      <c r="N4402" s="14">
        <f>INSTOCK!$I4402*INSTOCK!$K4402</f>
        <v>430</v>
      </c>
      <c r="O4402" s="4" t="s">
        <v>5508</v>
      </c>
      <c r="P4402" s="4"/>
    </row>
    <row r="4403" ht="15.75" hidden="1" customHeight="1">
      <c r="B4403" s="8">
        <v>4727.0</v>
      </c>
      <c r="C4403" s="9">
        <v>43418.0</v>
      </c>
      <c r="D4403" s="6">
        <v>6.1112299E7</v>
      </c>
      <c r="E4403" s="4">
        <v>6.111001421E9</v>
      </c>
      <c r="F4403" s="8" t="s">
        <v>1366</v>
      </c>
      <c r="G4403" s="4" t="s">
        <v>1512</v>
      </c>
      <c r="H4403" s="18" t="s">
        <v>5280</v>
      </c>
      <c r="I4403" s="10">
        <v>4.0</v>
      </c>
      <c r="J4403" s="11" t="str">
        <f>IF(D4403&lt;&gt;"",VLOOKUP(H4403,TABLEITEM,5,FALSE),"")</f>
        <v>EA</v>
      </c>
      <c r="K4403" s="12">
        <v>668.25</v>
      </c>
      <c r="L4403" s="13" t="str">
        <f>IF(D4403&lt;&gt;"",VLOOKUP(H4403,TABLEITEM,2,FALSE),"")</f>
        <v/>
      </c>
      <c r="M4403" s="13" t="str">
        <f>IF(D4403&lt;&gt;"",VLOOKUP(H4403,TABLEITEM,3,FALSE),"")</f>
        <v>CRC AS1B-300/5 5VA</v>
      </c>
      <c r="N4403" s="14">
        <f>INSTOCK!$I4403*INSTOCK!$K4403</f>
        <v>2673</v>
      </c>
      <c r="O4403" s="4" t="s">
        <v>5279</v>
      </c>
      <c r="P4403" s="4"/>
    </row>
    <row r="4404" ht="15.75" hidden="1" customHeight="1">
      <c r="B4404" s="8">
        <v>4728.0</v>
      </c>
      <c r="C4404" s="9">
        <v>43418.0</v>
      </c>
      <c r="D4404" s="6">
        <v>6.1112299E7</v>
      </c>
      <c r="E4404" s="4">
        <v>6.111001421E9</v>
      </c>
      <c r="F4404" s="8" t="s">
        <v>1366</v>
      </c>
      <c r="G4404" s="4" t="s">
        <v>1512</v>
      </c>
      <c r="H4404" s="10" t="s">
        <v>5509</v>
      </c>
      <c r="I4404" s="10">
        <v>4.0</v>
      </c>
      <c r="J4404" s="11" t="str">
        <f>IF(D4404&lt;&gt;"",VLOOKUP(H4404,TABLEITEM,5,FALSE),"")</f>
        <v>EA</v>
      </c>
      <c r="K4404" s="12">
        <v>688.5</v>
      </c>
      <c r="L4404" s="13" t="str">
        <f>IF(D4404&lt;&gt;"",VLOOKUP(H4404,TABLEITEM,2,FALSE),"")</f>
        <v/>
      </c>
      <c r="M4404" s="13" t="str">
        <f>IF(D4404&lt;&gt;"",VLOOKUP(H4404,TABLEITEM,3,FALSE),"")</f>
        <v>CRC AS2-500/5 5VA</v>
      </c>
      <c r="N4404" s="14">
        <f>INSTOCK!$I4404*INSTOCK!$K4404</f>
        <v>2754</v>
      </c>
      <c r="O4404" s="4" t="s">
        <v>5510</v>
      </c>
      <c r="P4404" s="4"/>
    </row>
    <row r="4405" ht="15.75" hidden="1" customHeight="1">
      <c r="B4405" s="8">
        <v>4729.0</v>
      </c>
      <c r="C4405" s="9">
        <v>43418.0</v>
      </c>
      <c r="D4405" s="6">
        <v>6.1112299E7</v>
      </c>
      <c r="E4405" s="4">
        <v>6.111001421E9</v>
      </c>
      <c r="F4405" s="8" t="s">
        <v>1366</v>
      </c>
      <c r="G4405" s="4" t="s">
        <v>1512</v>
      </c>
      <c r="H4405" s="18" t="s">
        <v>5276</v>
      </c>
      <c r="I4405" s="10">
        <v>4.0</v>
      </c>
      <c r="J4405" s="11" t="str">
        <f>IF(D4405&lt;&gt;"",VLOOKUP(H4405,TABLEITEM,5,FALSE),"")</f>
        <v>EA</v>
      </c>
      <c r="K4405" s="12">
        <v>1316.25</v>
      </c>
      <c r="L4405" s="13" t="str">
        <f>IF(D4405&lt;&gt;"",VLOOKUP(H4405,TABLEITEM,2,FALSE),"")</f>
        <v/>
      </c>
      <c r="M4405" s="13" t="str">
        <f>IF(D4405&lt;&gt;"",VLOOKUP(H4405,TABLEITEM,3,FALSE),"")</f>
        <v>CRC AS6-2000/5A CT 2000/5 15VA,CL.05</v>
      </c>
      <c r="N4405" s="14">
        <f>INSTOCK!$I4405*INSTOCK!$K4405</f>
        <v>5265</v>
      </c>
      <c r="O4405" s="4" t="s">
        <v>5277</v>
      </c>
      <c r="P4405" s="4"/>
    </row>
    <row r="4406" ht="15.75" hidden="1" customHeight="1">
      <c r="B4406" s="8">
        <v>4730.0</v>
      </c>
      <c r="C4406" s="9">
        <v>43418.0</v>
      </c>
      <c r="D4406" s="6" t="s">
        <v>5511</v>
      </c>
      <c r="E4406" s="4">
        <v>6.111001432E9</v>
      </c>
      <c r="F4406" s="8" t="s">
        <v>1709</v>
      </c>
      <c r="G4406" s="4" t="s">
        <v>1596</v>
      </c>
      <c r="H4406" s="10" t="s">
        <v>3410</v>
      </c>
      <c r="I4406" s="10">
        <v>1.0</v>
      </c>
      <c r="J4406" s="11" t="str">
        <f>IF(D4406&lt;&gt;"",VLOOKUP(H4406,TABLEITEM,5,FALSE),"")</f>
        <v>EA</v>
      </c>
      <c r="K4406" s="12">
        <v>1326.0</v>
      </c>
      <c r="L4406" s="13" t="str">
        <f>IF(D4406&lt;&gt;"",VLOOKUP(H4406,TABLEITEM,2,FALSE),"")</f>
        <v/>
      </c>
      <c r="M4406" s="13" t="str">
        <f>IF(D4406&lt;&gt;"",VLOOKUP(H4406,TABLEITEM,3,FALSE),"")</f>
        <v>UVR-C A1-A2 220-240VAC 220-250VDC</v>
      </c>
      <c r="N4406" s="14">
        <f>INSTOCK!$I4406*INSTOCK!$K4406</f>
        <v>1326</v>
      </c>
      <c r="O4406" s="4" t="s">
        <v>5512</v>
      </c>
      <c r="P4406" s="4"/>
    </row>
    <row r="4407" ht="15.75" hidden="1" customHeight="1">
      <c r="B4407" s="8">
        <v>4731.0</v>
      </c>
      <c r="C4407" s="9">
        <v>43418.0</v>
      </c>
      <c r="D4407" s="6" t="s">
        <v>5513</v>
      </c>
      <c r="E4407" s="4">
        <v>6.111001404E9</v>
      </c>
      <c r="F4407" s="8" t="s">
        <v>5514</v>
      </c>
      <c r="G4407" s="4" t="s">
        <v>1596</v>
      </c>
      <c r="H4407" s="10" t="s">
        <v>1795</v>
      </c>
      <c r="I4407" s="10">
        <v>3.0</v>
      </c>
      <c r="J4407" s="11" t="str">
        <f>IF(D4407&lt;&gt;"",VLOOKUP(H4407,TABLEITEM,5,FALSE),"")</f>
        <v>EA</v>
      </c>
      <c r="K4407" s="12">
        <v>74.0</v>
      </c>
      <c r="L4407" s="13" t="str">
        <f>IF(D4407&lt;&gt;"",VLOOKUP(H4407,TABLEITEM,2,FALSE),"")</f>
        <v/>
      </c>
      <c r="M4407" s="13" t="str">
        <f>IF(D4407&lt;&gt;"",VLOOKUP(H4407,TABLEITEM,3,FALSE),"")</f>
        <v>MCB SH201-C20</v>
      </c>
      <c r="N4407" s="14">
        <f>INSTOCK!$I4407*INSTOCK!$K4407</f>
        <v>222</v>
      </c>
      <c r="O4407" s="4" t="s">
        <v>1598</v>
      </c>
      <c r="P4407" s="4"/>
    </row>
    <row r="4408" ht="15.75" hidden="1" customHeight="1">
      <c r="B4408" s="8">
        <v>4732.0</v>
      </c>
      <c r="C4408" s="9">
        <v>43418.0</v>
      </c>
      <c r="D4408" s="6" t="s">
        <v>5513</v>
      </c>
      <c r="E4408" s="4">
        <v>6.111001404E9</v>
      </c>
      <c r="F4408" s="8" t="s">
        <v>5514</v>
      </c>
      <c r="G4408" s="4" t="s">
        <v>1596</v>
      </c>
      <c r="H4408" s="10" t="s">
        <v>2246</v>
      </c>
      <c r="I4408" s="10">
        <v>2.0</v>
      </c>
      <c r="J4408" s="11" t="str">
        <f>IF(D4408&lt;&gt;"",VLOOKUP(H4408,TABLEITEM,5,FALSE),"")</f>
        <v>EA</v>
      </c>
      <c r="K4408" s="12">
        <v>382.6</v>
      </c>
      <c r="L4408" s="13" t="str">
        <f>IF(D4408&lt;&gt;"",VLOOKUP(H4408,TABLEITEM,2,FALSE),"")</f>
        <v/>
      </c>
      <c r="M4408" s="13" t="str">
        <f>IF(D4408&lt;&gt;"",VLOOKUP(H4408,TABLEITEM,3,FALSE),"")</f>
        <v>CONTACTORS AF12-30-10</v>
      </c>
      <c r="N4408" s="14">
        <f>INSTOCK!$I4408*INSTOCK!$K4408</f>
        <v>765.2</v>
      </c>
      <c r="O4408" s="4" t="s">
        <v>5515</v>
      </c>
      <c r="P4408" s="4"/>
    </row>
    <row r="4409" ht="15.75" hidden="1" customHeight="1">
      <c r="B4409" s="8">
        <v>4733.0</v>
      </c>
      <c r="C4409" s="9">
        <v>43418.0</v>
      </c>
      <c r="D4409" s="6" t="s">
        <v>5513</v>
      </c>
      <c r="E4409" s="4">
        <v>6.111001404E9</v>
      </c>
      <c r="F4409" s="8" t="s">
        <v>5514</v>
      </c>
      <c r="G4409" s="4" t="s">
        <v>1596</v>
      </c>
      <c r="H4409" s="10" t="s">
        <v>1721</v>
      </c>
      <c r="I4409" s="10">
        <v>1.0</v>
      </c>
      <c r="J4409" s="11" t="str">
        <f>IF(D4409&lt;&gt;"",VLOOKUP(H4409,TABLEITEM,5,FALSE),"")</f>
        <v>EA</v>
      </c>
      <c r="K4409" s="12">
        <v>456.0</v>
      </c>
      <c r="L4409" s="13" t="str">
        <f>IF(D4409&lt;&gt;"",VLOOKUP(H4409,TABLEITEM,2,FALSE),"")</f>
        <v/>
      </c>
      <c r="M4409" s="13" t="str">
        <f>IF(D4409&lt;&gt;"",VLOOKUP(H4409,TABLEITEM,3,FALSE),"")</f>
        <v>Consumer Unit SCP-07</v>
      </c>
      <c r="N4409" s="14">
        <f>INSTOCK!$I4409*INSTOCK!$K4409</f>
        <v>456</v>
      </c>
      <c r="O4409" s="4" t="s">
        <v>1799</v>
      </c>
      <c r="P4409" s="4"/>
    </row>
    <row r="4410" ht="15.75" hidden="1" customHeight="1">
      <c r="B4410" s="8">
        <v>4734.0</v>
      </c>
      <c r="C4410" s="9">
        <v>43418.0</v>
      </c>
      <c r="D4410" s="6" t="s">
        <v>5513</v>
      </c>
      <c r="E4410" s="4">
        <v>6.111001404E9</v>
      </c>
      <c r="F4410" s="8" t="s">
        <v>5514</v>
      </c>
      <c r="G4410" s="4" t="s">
        <v>1596</v>
      </c>
      <c r="H4410" s="10" t="s">
        <v>5516</v>
      </c>
      <c r="I4410" s="10">
        <v>1.0</v>
      </c>
      <c r="J4410" s="11" t="str">
        <f>IF(D4410&lt;&gt;"",VLOOKUP(H4410,TABLEITEM,5,FALSE),"")</f>
        <v>EA</v>
      </c>
      <c r="K4410" s="12">
        <v>860.0</v>
      </c>
      <c r="L4410" s="13" t="str">
        <f>IF(D4410&lt;&gt;"",VLOOKUP(H4410,TABLEITEM,2,FALSE),"")</f>
        <v/>
      </c>
      <c r="M4410" s="13" t="str">
        <f>IF(D4410&lt;&gt;"",VLOOKUP(H4410,TABLEITEM,3,FALSE),"")</f>
        <v>MCB S203-C32</v>
      </c>
      <c r="N4410" s="14">
        <f>INSTOCK!$I4410*INSTOCK!$K4410</f>
        <v>860</v>
      </c>
      <c r="O4410" s="4" t="s">
        <v>2243</v>
      </c>
      <c r="P4410" s="4"/>
    </row>
    <row r="4411" ht="15.75" hidden="1" customHeight="1">
      <c r="B4411" s="8">
        <v>4735.0</v>
      </c>
      <c r="C4411" s="9">
        <v>43418.0</v>
      </c>
      <c r="D4411" s="6" t="s">
        <v>5513</v>
      </c>
      <c r="E4411" s="4">
        <v>6.111001404E9</v>
      </c>
      <c r="F4411" s="8" t="s">
        <v>5514</v>
      </c>
      <c r="G4411" s="4" t="s">
        <v>1596</v>
      </c>
      <c r="H4411" s="10" t="s">
        <v>5517</v>
      </c>
      <c r="I4411" s="10">
        <v>2.0</v>
      </c>
      <c r="J4411" s="11" t="str">
        <f>IF(D4411&lt;&gt;"",VLOOKUP(H4411,TABLEITEM,5,FALSE),"")</f>
        <v>EA</v>
      </c>
      <c r="K4411" s="12">
        <v>1010.0</v>
      </c>
      <c r="L4411" s="13" t="str">
        <f>IF(D4411&lt;&gt;"",VLOOKUP(H4411,TABLEITEM,2,FALSE),"")</f>
        <v/>
      </c>
      <c r="M4411" s="13" t="str">
        <f>IF(D4411&lt;&gt;"",VLOOKUP(H4411,TABLEITEM,3,FALSE),"")</f>
        <v>DSE201 C20 AC30 </v>
      </c>
      <c r="N4411" s="14">
        <f>INSTOCK!$I4411*INSTOCK!$K4411</f>
        <v>2020</v>
      </c>
      <c r="O4411" s="4" t="s">
        <v>5518</v>
      </c>
      <c r="P4411" s="4"/>
    </row>
    <row r="4412" ht="15.75" hidden="1" customHeight="1">
      <c r="B4412" s="8">
        <v>4736.0</v>
      </c>
      <c r="C4412" s="9">
        <v>43418.0</v>
      </c>
      <c r="D4412" s="6" t="s">
        <v>5513</v>
      </c>
      <c r="E4412" s="4">
        <v>6.111001404E9</v>
      </c>
      <c r="F4412" s="8" t="s">
        <v>5514</v>
      </c>
      <c r="G4412" s="4" t="s">
        <v>1596</v>
      </c>
      <c r="H4412" s="10" t="s">
        <v>5519</v>
      </c>
      <c r="I4412" s="10">
        <v>4.0</v>
      </c>
      <c r="J4412" s="11" t="str">
        <f>IF(D4412&lt;&gt;"",VLOOKUP(H4412,TABLEITEM,5,FALSE),"")</f>
        <v>EA</v>
      </c>
      <c r="K4412" s="12">
        <v>1040.0</v>
      </c>
      <c r="L4412" s="13" t="str">
        <f>IF(D4412&lt;&gt;"",VLOOKUP(H4412,TABLEITEM,2,FALSE),"")</f>
        <v/>
      </c>
      <c r="M4412" s="13" t="str">
        <f>IF(D4412&lt;&gt;"",VLOOKUP(H4412,TABLEITEM,3,FALSE),"")</f>
        <v>DSE201 C32 AC30 </v>
      </c>
      <c r="N4412" s="14">
        <f>INSTOCK!$I4412*INSTOCK!$K4412</f>
        <v>4160</v>
      </c>
      <c r="O4412" s="4" t="s">
        <v>5520</v>
      </c>
      <c r="P4412" s="4"/>
    </row>
    <row r="4413" ht="15.75" hidden="1" customHeight="1">
      <c r="B4413" s="8">
        <v>4737.0</v>
      </c>
      <c r="C4413" s="9">
        <v>43418.0</v>
      </c>
      <c r="D4413" s="6" t="s">
        <v>5513</v>
      </c>
      <c r="E4413" s="4">
        <v>6.111001404E9</v>
      </c>
      <c r="F4413" s="8" t="s">
        <v>5514</v>
      </c>
      <c r="G4413" s="4" t="s">
        <v>1596</v>
      </c>
      <c r="H4413" s="10" t="s">
        <v>1721</v>
      </c>
      <c r="I4413" s="10">
        <v>1.0</v>
      </c>
      <c r="J4413" s="11" t="str">
        <f>IF(D4413&lt;&gt;"",VLOOKUP(H4413,TABLEITEM,5,FALSE),"")</f>
        <v>EA</v>
      </c>
      <c r="K4413" s="12">
        <v>456.0</v>
      </c>
      <c r="L4413" s="13" t="str">
        <f>IF(D4413&lt;&gt;"",VLOOKUP(H4413,TABLEITEM,2,FALSE),"")</f>
        <v/>
      </c>
      <c r="M4413" s="13" t="str">
        <f>IF(D4413&lt;&gt;"",VLOOKUP(H4413,TABLEITEM,3,FALSE),"")</f>
        <v>Consumer Unit SCP-07</v>
      </c>
      <c r="N4413" s="14">
        <f>INSTOCK!$I4413*INSTOCK!$K4413</f>
        <v>456</v>
      </c>
      <c r="O4413" s="4" t="s">
        <v>1799</v>
      </c>
      <c r="P4413" s="4"/>
    </row>
    <row r="4414" ht="15.75" hidden="1" customHeight="1">
      <c r="B4414" s="8">
        <v>4738.0</v>
      </c>
      <c r="C4414" s="9">
        <v>43418.0</v>
      </c>
      <c r="D4414" s="6" t="s">
        <v>5513</v>
      </c>
      <c r="E4414" s="4">
        <v>6.111001404E9</v>
      </c>
      <c r="F4414" s="8" t="s">
        <v>5514</v>
      </c>
      <c r="G4414" s="4" t="s">
        <v>1596</v>
      </c>
      <c r="H4414" s="10" t="s">
        <v>5521</v>
      </c>
      <c r="I4414" s="10">
        <v>1.0</v>
      </c>
      <c r="J4414" s="11" t="str">
        <f>IF(D4414&lt;&gt;"",VLOOKUP(H4414,TABLEITEM,5,FALSE),"")</f>
        <v>EA</v>
      </c>
      <c r="K4414" s="12">
        <v>3600.0</v>
      </c>
      <c r="L4414" s="13" t="str">
        <f>IF(D4414&lt;&gt;"",VLOOKUP(H4414,TABLEITEM,2,FALSE),"")</f>
        <v/>
      </c>
      <c r="M4414" s="13" t="str">
        <f>IF(D4414&lt;&gt;"",VLOOKUP(H4414,TABLEITEM,3,FALSE),"")</f>
        <v>STB OT40F C 2+ OWC6D40 3P</v>
      </c>
      <c r="N4414" s="14">
        <f>INSTOCK!$I4414*INSTOCK!$K4414</f>
        <v>3600</v>
      </c>
      <c r="O4414" s="4" t="s">
        <v>5522</v>
      </c>
      <c r="P4414" s="4"/>
    </row>
    <row r="4415" ht="15.75" hidden="1" customHeight="1">
      <c r="B4415" s="8">
        <v>4739.0</v>
      </c>
      <c r="C4415" s="9">
        <v>43418.0</v>
      </c>
      <c r="D4415" s="6" t="s">
        <v>5513</v>
      </c>
      <c r="E4415" s="4">
        <v>6.111001404E9</v>
      </c>
      <c r="F4415" s="8" t="s">
        <v>5514</v>
      </c>
      <c r="G4415" s="4" t="s">
        <v>1596</v>
      </c>
      <c r="H4415" s="10" t="s">
        <v>5523</v>
      </c>
      <c r="I4415" s="10">
        <v>1.0</v>
      </c>
      <c r="J4415" s="11" t="str">
        <f>IF(D4415&lt;&gt;"",VLOOKUP(H4415,TABLEITEM,5,FALSE),"")</f>
        <v>EA</v>
      </c>
      <c r="K4415" s="12">
        <v>1120.0</v>
      </c>
      <c r="L4415" s="13" t="str">
        <f>IF(D4415&lt;&gt;"",VLOOKUP(H4415,TABLEITEM,2,FALSE),"")</f>
        <v/>
      </c>
      <c r="M4415" s="13" t="str">
        <f>IF(D4415&lt;&gt;"",VLOOKUP(H4415,TABLEITEM,3,FALSE),"")</f>
        <v>MCB S203-C63 </v>
      </c>
      <c r="N4415" s="14">
        <f>INSTOCK!$I4415*INSTOCK!$K4415</f>
        <v>1120</v>
      </c>
      <c r="O4415" s="4" t="s">
        <v>5524</v>
      </c>
      <c r="P4415" s="4"/>
    </row>
    <row r="4416" ht="15.75" hidden="1" customHeight="1">
      <c r="B4416" s="8">
        <v>4740.0</v>
      </c>
      <c r="C4416" s="9">
        <v>43418.0</v>
      </c>
      <c r="D4416" s="6" t="s">
        <v>5513</v>
      </c>
      <c r="E4416" s="4">
        <v>6.111001404E9</v>
      </c>
      <c r="F4416" s="8" t="s">
        <v>5514</v>
      </c>
      <c r="G4416" s="4" t="s">
        <v>1596</v>
      </c>
      <c r="H4416" s="10" t="s">
        <v>5519</v>
      </c>
      <c r="I4416" s="10">
        <v>6.0</v>
      </c>
      <c r="J4416" s="11" t="str">
        <f>IF(D4416&lt;&gt;"",VLOOKUP(H4416,TABLEITEM,5,FALSE),"")</f>
        <v>EA</v>
      </c>
      <c r="K4416" s="12">
        <v>1040.0</v>
      </c>
      <c r="L4416" s="13" t="str">
        <f>IF(D4416&lt;&gt;"",VLOOKUP(H4416,TABLEITEM,2,FALSE),"")</f>
        <v/>
      </c>
      <c r="M4416" s="13" t="str">
        <f>IF(D4416&lt;&gt;"",VLOOKUP(H4416,TABLEITEM,3,FALSE),"")</f>
        <v>DSE201 C32 AC30 </v>
      </c>
      <c r="N4416" s="14">
        <f>INSTOCK!$I4416*INSTOCK!$K4416</f>
        <v>6240</v>
      </c>
      <c r="O4416" s="4" t="s">
        <v>5520</v>
      </c>
      <c r="P4416" s="4"/>
    </row>
    <row r="4417" ht="15.75" hidden="1" customHeight="1">
      <c r="B4417" s="8">
        <v>4741.0</v>
      </c>
      <c r="C4417" s="9">
        <v>43418.0</v>
      </c>
      <c r="D4417" s="6" t="s">
        <v>5513</v>
      </c>
      <c r="E4417" s="4">
        <v>6.111001404E9</v>
      </c>
      <c r="F4417" s="8" t="s">
        <v>5514</v>
      </c>
      <c r="G4417" s="4" t="s">
        <v>1596</v>
      </c>
      <c r="H4417" s="10" t="s">
        <v>1721</v>
      </c>
      <c r="I4417" s="10">
        <v>1.0</v>
      </c>
      <c r="J4417" s="11" t="str">
        <f>IF(D4417&lt;&gt;"",VLOOKUP(H4417,TABLEITEM,5,FALSE),"")</f>
        <v>EA</v>
      </c>
      <c r="K4417" s="12">
        <v>456.0</v>
      </c>
      <c r="L4417" s="13" t="str">
        <f>IF(D4417&lt;&gt;"",VLOOKUP(H4417,TABLEITEM,2,FALSE),"")</f>
        <v/>
      </c>
      <c r="M4417" s="13" t="str">
        <f>IF(D4417&lt;&gt;"",VLOOKUP(H4417,TABLEITEM,3,FALSE),"")</f>
        <v>Consumer Unit SCP-07</v>
      </c>
      <c r="N4417" s="14">
        <f>INSTOCK!$I4417*INSTOCK!$K4417</f>
        <v>456</v>
      </c>
      <c r="O4417" s="4" t="s">
        <v>1799</v>
      </c>
      <c r="P4417" s="4"/>
    </row>
    <row r="4418" ht="15.75" hidden="1" customHeight="1">
      <c r="B4418" s="8">
        <v>4742.0</v>
      </c>
      <c r="C4418" s="9">
        <v>43418.0</v>
      </c>
      <c r="D4418" s="6" t="s">
        <v>5513</v>
      </c>
      <c r="E4418" s="4">
        <v>6.111001404E9</v>
      </c>
      <c r="F4418" s="8" t="s">
        <v>5514</v>
      </c>
      <c r="G4418" s="4" t="s">
        <v>1596</v>
      </c>
      <c r="H4418" s="10" t="s">
        <v>5525</v>
      </c>
      <c r="I4418" s="10">
        <v>1.0</v>
      </c>
      <c r="J4418" s="11" t="str">
        <f>IF(D4418&lt;&gt;"",VLOOKUP(H4418,TABLEITEM,5,FALSE),"")</f>
        <v>EA</v>
      </c>
      <c r="K4418" s="12">
        <v>6250.0</v>
      </c>
      <c r="L4418" s="13" t="str">
        <f>IF(D4418&lt;&gt;"",VLOOKUP(H4418,TABLEITEM,2,FALSE),"")</f>
        <v/>
      </c>
      <c r="M4418" s="13" t="str">
        <f>IF(D4418&lt;&gt;"",VLOOKUP(H4418,TABLEITEM,3,FALSE),"")</f>
        <v>STB OT63F C 2+OWC6D80 3P</v>
      </c>
      <c r="N4418" s="14">
        <f>INSTOCK!$I4418*INSTOCK!$K4418</f>
        <v>6250</v>
      </c>
      <c r="O4418" s="4" t="s">
        <v>5526</v>
      </c>
      <c r="P4418" s="4"/>
    </row>
    <row r="4419" ht="15.75" hidden="1" customHeight="1">
      <c r="B4419" s="8">
        <v>4743.0</v>
      </c>
      <c r="C4419" s="9">
        <v>43418.0</v>
      </c>
      <c r="D4419" s="6" t="s">
        <v>5527</v>
      </c>
      <c r="E4419" s="4">
        <v>6.111001423E9</v>
      </c>
      <c r="F4419" s="8" t="s">
        <v>5528</v>
      </c>
      <c r="G4419" s="4" t="s">
        <v>692</v>
      </c>
      <c r="H4419" s="10" t="s">
        <v>1769</v>
      </c>
      <c r="I4419" s="10">
        <v>3.0</v>
      </c>
      <c r="J4419" s="11" t="str">
        <f>IF(D4419&lt;&gt;"",VLOOKUP(H4419,TABLEITEM,5,FALSE),"")</f>
        <v>EA</v>
      </c>
      <c r="K4419" s="12">
        <v>1170.0</v>
      </c>
      <c r="L4419" s="13" t="str">
        <f>IF(D4419&lt;&gt;"",VLOOKUP(H4419,TABLEITEM,2,FALSE),"")</f>
        <v/>
      </c>
      <c r="M4419" s="13" t="str">
        <f>IF(D4419&lt;&gt;"",VLOOKUP(H4419,TABLEITEM,3,FALSE),"")</f>
        <v>MCCB A1C125 3P 50A 25KA</v>
      </c>
      <c r="N4419" s="14">
        <f>INSTOCK!$I4419*INSTOCK!$K4419</f>
        <v>3510</v>
      </c>
      <c r="O4419" s="4" t="s">
        <v>1718</v>
      </c>
      <c r="P4419" s="4"/>
    </row>
    <row r="4420" ht="15.75" hidden="1" customHeight="1">
      <c r="B4420" s="8">
        <v>4744.0</v>
      </c>
      <c r="C4420" s="9">
        <v>43418.0</v>
      </c>
      <c r="D4420" s="6" t="s">
        <v>5527</v>
      </c>
      <c r="E4420" s="4">
        <v>6.111001423E9</v>
      </c>
      <c r="F4420" s="8" t="s">
        <v>5528</v>
      </c>
      <c r="G4420" s="4" t="s">
        <v>692</v>
      </c>
      <c r="H4420" s="10" t="s">
        <v>1768</v>
      </c>
      <c r="I4420" s="10">
        <v>1.0</v>
      </c>
      <c r="J4420" s="11" t="str">
        <f>IF(D4420&lt;&gt;"",VLOOKUP(H4420,TABLEITEM,5,FALSE),"")</f>
        <v>EA</v>
      </c>
      <c r="K4420" s="12">
        <v>1170.0</v>
      </c>
      <c r="L4420" s="13" t="str">
        <f>IF(D4420&lt;&gt;"",VLOOKUP(H4420,TABLEITEM,2,FALSE),"")</f>
        <v/>
      </c>
      <c r="M4420" s="13" t="str">
        <f>IF(D4420&lt;&gt;"",VLOOKUP(H4420,TABLEITEM,3,FALSE),"")</f>
        <v>MCCB A1C125 3P 30A 25KA</v>
      </c>
      <c r="N4420" s="14">
        <f>INSTOCK!$I4420*INSTOCK!$K4420</f>
        <v>1170</v>
      </c>
      <c r="O4420" s="4" t="s">
        <v>1718</v>
      </c>
      <c r="P4420" s="4"/>
    </row>
    <row r="4421" ht="15.75" hidden="1" customHeight="1">
      <c r="B4421" s="8">
        <v>4745.0</v>
      </c>
      <c r="C4421" s="9">
        <v>43418.0</v>
      </c>
      <c r="D4421" s="6" t="s">
        <v>5527</v>
      </c>
      <c r="E4421" s="4">
        <v>6.111001423E9</v>
      </c>
      <c r="F4421" s="8" t="s">
        <v>5528</v>
      </c>
      <c r="G4421" s="4" t="s">
        <v>692</v>
      </c>
      <c r="H4421" s="10" t="s">
        <v>1694</v>
      </c>
      <c r="I4421" s="10">
        <v>11.0</v>
      </c>
      <c r="J4421" s="11" t="str">
        <f>IF(D4421&lt;&gt;"",VLOOKUP(H4421,TABLEITEM,5,FALSE),"")</f>
        <v>EA</v>
      </c>
      <c r="K4421" s="12">
        <v>1062.6</v>
      </c>
      <c r="L4421" s="13" t="str">
        <f>IF(D4421&lt;&gt;"",VLOOKUP(H4421,TABLEITEM,2,FALSE),"")</f>
        <v/>
      </c>
      <c r="M4421" s="13" t="str">
        <f>IF(D4421&lt;&gt;"",VLOOKUP(H4421,TABLEITEM,3,FALSE),"")</f>
        <v>Circuil Breaker FH202AC-40/0.03</v>
      </c>
      <c r="N4421" s="14">
        <f>INSTOCK!$I4421*INSTOCK!$K4421</f>
        <v>11688.6</v>
      </c>
      <c r="O4421" s="4" t="s">
        <v>2037</v>
      </c>
      <c r="P4421" s="4"/>
    </row>
    <row r="4422" ht="15.75" hidden="1" customHeight="1">
      <c r="B4422" s="8">
        <v>4746.0</v>
      </c>
      <c r="C4422" s="9">
        <v>43418.0</v>
      </c>
      <c r="D4422" s="6" t="s">
        <v>5529</v>
      </c>
      <c r="E4422" s="4">
        <v>6.111001427E9</v>
      </c>
      <c r="F4422" s="8" t="s">
        <v>1383</v>
      </c>
      <c r="G4422" s="4" t="s">
        <v>2495</v>
      </c>
      <c r="H4422" s="18" t="s">
        <v>5411</v>
      </c>
      <c r="I4422" s="10">
        <v>500.0</v>
      </c>
      <c r="J4422" s="11" t="str">
        <f>IF(D4422&lt;&gt;"",VLOOKUP(H4422,TABLEITEM,5,FALSE),"")</f>
        <v>EA</v>
      </c>
      <c r="K4422" s="12">
        <v>4.0</v>
      </c>
      <c r="L4422" s="13" t="str">
        <f>IF(D4422&lt;&gt;"",VLOOKUP(H4422,TABLEITEM,2,FALSE),"")</f>
        <v/>
      </c>
      <c r="M4422" s="13" t="str">
        <f>IF(D4422&lt;&gt;"",VLOOKUP(H4422,TABLEITEM,3,FALSE),"")</f>
        <v>สกรูเกลียวปล่อย M6x3/4"</v>
      </c>
      <c r="N4422" s="14">
        <f>INSTOCK!$I4422*INSTOCK!$K4422</f>
        <v>2000</v>
      </c>
      <c r="O4422" s="4"/>
      <c r="P4422" s="4"/>
    </row>
    <row r="4423" ht="15.75" hidden="1" customHeight="1">
      <c r="B4423" s="8">
        <v>4747.0</v>
      </c>
      <c r="C4423" s="9">
        <v>43418.0</v>
      </c>
      <c r="D4423" s="6" t="s">
        <v>5529</v>
      </c>
      <c r="E4423" s="4">
        <v>6.111001427E9</v>
      </c>
      <c r="F4423" s="8" t="s">
        <v>1383</v>
      </c>
      <c r="G4423" s="4" t="s">
        <v>2495</v>
      </c>
      <c r="H4423" s="10" t="s">
        <v>4744</v>
      </c>
      <c r="I4423" s="10">
        <v>1000.0</v>
      </c>
      <c r="J4423" s="11" t="str">
        <f>IF(D4423&lt;&gt;"",VLOOKUP(H4423,TABLEITEM,5,FALSE),"")</f>
        <v>EA</v>
      </c>
      <c r="K4423" s="12">
        <v>0.25</v>
      </c>
      <c r="L4423" s="13" t="str">
        <f>IF(D4423&lt;&gt;"",VLOOKUP(H4423,TABLEITEM,2,FALSE),"")</f>
        <v/>
      </c>
      <c r="M4423" s="13" t="str">
        <f>IF(D4423&lt;&gt;"",VLOOKUP(H4423,TABLEITEM,3,FALSE),"")</f>
        <v>แหวนอีแปะ สแตนเลส M6</v>
      </c>
      <c r="N4423" s="14">
        <f>INSTOCK!$I4423*INSTOCK!$K4423</f>
        <v>250</v>
      </c>
      <c r="O4423" s="4" t="s">
        <v>1891</v>
      </c>
      <c r="P4423" s="4"/>
    </row>
    <row r="4424" ht="15.75" hidden="1" customHeight="1">
      <c r="B4424" s="8">
        <v>4748.0</v>
      </c>
      <c r="C4424" s="9">
        <v>43418.0</v>
      </c>
      <c r="D4424" s="6" t="s">
        <v>5529</v>
      </c>
      <c r="E4424" s="4">
        <v>6.111001427E9</v>
      </c>
      <c r="F4424" s="8" t="s">
        <v>1383</v>
      </c>
      <c r="G4424" s="4" t="s">
        <v>2495</v>
      </c>
      <c r="H4424" s="10" t="s">
        <v>4107</v>
      </c>
      <c r="I4424" s="10">
        <v>500.0</v>
      </c>
      <c r="J4424" s="11" t="str">
        <f>IF(D4424&lt;&gt;"",VLOOKUP(H4424,TABLEITEM,5,FALSE),"")</f>
        <v>EA</v>
      </c>
      <c r="K4424" s="12">
        <v>0.3</v>
      </c>
      <c r="L4424" s="13" t="str">
        <f>IF(D4424&lt;&gt;"",VLOOKUP(H4424,TABLEITEM,2,FALSE),"")</f>
        <v/>
      </c>
      <c r="M4424" s="13" t="str">
        <f>IF(D4424&lt;&gt;"",VLOOKUP(H4424,TABLEITEM,3,FALSE),"")</f>
        <v>แหวนสปริง สแตนเลส M6</v>
      </c>
      <c r="N4424" s="14">
        <f>INSTOCK!$I4424*INSTOCK!$K4424</f>
        <v>150</v>
      </c>
      <c r="O4424" s="4" t="s">
        <v>3804</v>
      </c>
      <c r="P4424" s="4"/>
    </row>
    <row r="4425" ht="15.75" hidden="1" customHeight="1">
      <c r="B4425" s="8">
        <v>4749.0</v>
      </c>
      <c r="C4425" s="9">
        <v>43418.0</v>
      </c>
      <c r="D4425" s="6" t="s">
        <v>5530</v>
      </c>
      <c r="E4425" s="4">
        <v>6.111001401E9</v>
      </c>
      <c r="F4425" s="8" t="s">
        <v>5531</v>
      </c>
      <c r="G4425" s="4" t="s">
        <v>965</v>
      </c>
      <c r="H4425" s="10" t="s">
        <v>1679</v>
      </c>
      <c r="I4425" s="10">
        <v>2.0</v>
      </c>
      <c r="J4425" s="11" t="str">
        <f>IF(D4425&lt;&gt;"",VLOOKUP(H4425,TABLEITEM,5,FALSE),"")</f>
        <v>กล</v>
      </c>
      <c r="K4425" s="12">
        <v>300.0</v>
      </c>
      <c r="L4425" s="13" t="str">
        <f>IF(D4425&lt;&gt;"",VLOOKUP(H4425,TABLEITEM,2,FALSE),"")</f>
        <v/>
      </c>
      <c r="M4425" s="13" t="str">
        <f>IF(D4425&lt;&gt;"",VLOOKUP(H4425,TABLEITEM,3,FALSE),"")</f>
        <v>สีน้ำมันดำด้าน DENZO-888</v>
      </c>
      <c r="N4425" s="14">
        <f>INSTOCK!$I4425*INSTOCK!$K4425</f>
        <v>600</v>
      </c>
      <c r="O4425" s="4"/>
      <c r="P4425" s="4"/>
    </row>
    <row r="4426" ht="15.75" hidden="1" customHeight="1">
      <c r="B4426" s="8">
        <v>4750.0</v>
      </c>
      <c r="C4426" s="9">
        <v>43418.0</v>
      </c>
      <c r="D4426" s="6" t="s">
        <v>5530</v>
      </c>
      <c r="E4426" s="4">
        <v>6.111001401E9</v>
      </c>
      <c r="F4426" s="8" t="s">
        <v>5531</v>
      </c>
      <c r="G4426" s="4" t="s">
        <v>965</v>
      </c>
      <c r="H4426" s="10" t="s">
        <v>1678</v>
      </c>
      <c r="I4426" s="10">
        <v>1.0</v>
      </c>
      <c r="J4426" s="11" t="str">
        <f>IF(D4426&lt;&gt;"",VLOOKUP(H4426,TABLEITEM,5,FALSE),"")</f>
        <v>EA</v>
      </c>
      <c r="K4426" s="12">
        <v>200.0</v>
      </c>
      <c r="L4426" s="13" t="str">
        <f>IF(D4426&lt;&gt;"",VLOOKUP(H4426,TABLEITEM,2,FALSE),"")</f>
        <v/>
      </c>
      <c r="M4426" s="13" t="str">
        <f>IF(D4426&lt;&gt;"",VLOOKUP(H4426,TABLEITEM,3,FALSE),"")</f>
        <v>สีรองพื้นกันสนิม Lotto</v>
      </c>
      <c r="N4426" s="14">
        <f>INSTOCK!$I4426*INSTOCK!$K4426</f>
        <v>200</v>
      </c>
      <c r="O4426" s="4"/>
      <c r="P4426" s="4"/>
    </row>
    <row r="4427" ht="15.75" hidden="1" customHeight="1">
      <c r="B4427" s="8">
        <v>4751.0</v>
      </c>
      <c r="C4427" s="9">
        <v>43418.0</v>
      </c>
      <c r="D4427" s="6">
        <v>6.11104464E8</v>
      </c>
      <c r="E4427" s="4">
        <v>6.11100142E9</v>
      </c>
      <c r="F4427" s="8"/>
      <c r="G4427" s="4" t="s">
        <v>1130</v>
      </c>
      <c r="H4427" s="10" t="s">
        <v>3685</v>
      </c>
      <c r="I4427" s="10">
        <v>2.0</v>
      </c>
      <c r="J4427" s="11" t="str">
        <f>IF(D4427&lt;&gt;"",VLOOKUP(H4427,TABLEITEM,5,FALSE),"")</f>
        <v>EA</v>
      </c>
      <c r="K4427" s="12">
        <v>805.56</v>
      </c>
      <c r="L4427" s="13" t="str">
        <f>IF(D4427&lt;&gt;"",VLOOKUP(H4427,TABLEITEM,2,FALSE),"")</f>
        <v/>
      </c>
      <c r="M4427" s="13" t="str">
        <f>IF(D4427&lt;&gt;"",VLOOKUP(H4427,TABLEITEM,3,FALSE),"")</f>
        <v>TIMER H3Y-2 30S 200-230VAC </v>
      </c>
      <c r="N4427" s="14">
        <f>INSTOCK!$I4427*INSTOCK!$K4427</f>
        <v>1611.12</v>
      </c>
      <c r="O4427" s="4" t="s">
        <v>3686</v>
      </c>
      <c r="P4427" s="4"/>
    </row>
    <row r="4428" ht="15.75" hidden="1" customHeight="1">
      <c r="B4428" s="8">
        <v>4752.0</v>
      </c>
      <c r="C4428" s="9">
        <v>43418.0</v>
      </c>
      <c r="D4428" s="6">
        <v>6.11104464E8</v>
      </c>
      <c r="E4428" s="4">
        <v>6.11100142E9</v>
      </c>
      <c r="F4428" s="8"/>
      <c r="G4428" s="4" t="s">
        <v>1130</v>
      </c>
      <c r="H4428" s="10" t="s">
        <v>1555</v>
      </c>
      <c r="I4428" s="10">
        <v>40.0</v>
      </c>
      <c r="J4428" s="11" t="str">
        <f>IF(D4428&lt;&gt;"",VLOOKUP(H4428,TABLEITEM,5,FALSE),"")</f>
        <v>EA</v>
      </c>
      <c r="K4428" s="12">
        <v>40.0</v>
      </c>
      <c r="L4428" s="13" t="str">
        <f>IF(D4428&lt;&gt;"",VLOOKUP(H4428,TABLEITEM,2,FALSE),"")</f>
        <v/>
      </c>
      <c r="M4428" s="13" t="str">
        <f>IF(D4428&lt;&gt;"",VLOOKUP(H4428,TABLEITEM,3,FALSE),"")</f>
        <v>SOCKET PYF-08A-E </v>
      </c>
      <c r="N4428" s="14">
        <f>INSTOCK!$I4428*INSTOCK!$K4428</f>
        <v>1600</v>
      </c>
      <c r="O4428" s="4"/>
      <c r="P4428" s="4"/>
    </row>
    <row r="4429" ht="15.75" hidden="1" customHeight="1">
      <c r="B4429" s="8">
        <v>4753.0</v>
      </c>
      <c r="C4429" s="9">
        <v>43418.0</v>
      </c>
      <c r="D4429" s="6">
        <v>6.11104464E8</v>
      </c>
      <c r="E4429" s="4">
        <v>6.11100142E9</v>
      </c>
      <c r="F4429" s="8"/>
      <c r="G4429" s="4" t="s">
        <v>1130</v>
      </c>
      <c r="H4429" s="10" t="s">
        <v>1832</v>
      </c>
      <c r="I4429" s="10">
        <v>40.0</v>
      </c>
      <c r="J4429" s="11" t="str">
        <f>IF(D4429&lt;&gt;"",VLOOKUP(H4429,TABLEITEM,5,FALSE),"")</f>
        <v>EA</v>
      </c>
      <c r="K4429" s="12">
        <v>50.0</v>
      </c>
      <c r="L4429" s="13" t="str">
        <f>IF(D4429&lt;&gt;"",VLOOKUP(H4429,TABLEITEM,2,FALSE),"")</f>
        <v/>
      </c>
      <c r="M4429" s="13" t="str">
        <f>IF(D4429&lt;&gt;"",VLOOKUP(H4429,TABLEITEM,3,FALSE),"")</f>
        <v>SOCKET PYF-14A-E</v>
      </c>
      <c r="N4429" s="14">
        <f>INSTOCK!$I4429*INSTOCK!$K4429</f>
        <v>2000</v>
      </c>
      <c r="O4429" s="4"/>
      <c r="P4429" s="4"/>
    </row>
    <row r="4430" ht="15.75" hidden="1" customHeight="1">
      <c r="B4430" s="8">
        <v>4754.0</v>
      </c>
      <c r="C4430" s="9">
        <v>43418.0</v>
      </c>
      <c r="D4430" s="6" t="s">
        <v>5532</v>
      </c>
      <c r="E4430" s="4">
        <v>6.111001428E9</v>
      </c>
      <c r="F4430" s="8" t="s">
        <v>5473</v>
      </c>
      <c r="G4430" s="4" t="s">
        <v>1485</v>
      </c>
      <c r="H4430" s="10" t="s">
        <v>5533</v>
      </c>
      <c r="I4430" s="10">
        <v>2.0</v>
      </c>
      <c r="J4430" s="11" t="str">
        <f>IF(D4430&lt;&gt;"",VLOOKUP(H4430,TABLEITEM,5,FALSE),"")</f>
        <v>EA</v>
      </c>
      <c r="K4430" s="12">
        <v>4700.0</v>
      </c>
      <c r="L4430" s="13" t="str">
        <f>IF(D4430&lt;&gt;"",VLOOKUP(H4430,TABLEITEM,2,FALSE),"")</f>
        <v/>
      </c>
      <c r="M4430" s="13" t="str">
        <f>IF(D4430&lt;&gt;"",VLOOKUP(H4430,TABLEITEM,3,FALSE),"")</f>
        <v>power supply switch-mode unit 24v</v>
      </c>
      <c r="N4430" s="14">
        <f>INSTOCK!$I4430*INSTOCK!$K4430</f>
        <v>9400</v>
      </c>
      <c r="O4430" s="4"/>
      <c r="P4430" s="4"/>
    </row>
    <row r="4431" ht="15.75" hidden="1" customHeight="1">
      <c r="B4431" s="8">
        <v>4755.0</v>
      </c>
      <c r="C4431" s="9">
        <v>43418.0</v>
      </c>
      <c r="D4431" s="6">
        <v>83598.0</v>
      </c>
      <c r="E4431" s="4">
        <v>6.109000172E9</v>
      </c>
      <c r="F4431" s="8" t="s">
        <v>604</v>
      </c>
      <c r="G4431" s="4" t="s">
        <v>2589</v>
      </c>
      <c r="H4431" s="10" t="s">
        <v>4462</v>
      </c>
      <c r="I4431" s="10">
        <v>2000.0</v>
      </c>
      <c r="J4431" s="11" t="str">
        <f>IF(D4431&lt;&gt;"",VLOOKUP(H4431,TABLEITEM,5,FALSE),"")</f>
        <v>EA</v>
      </c>
      <c r="K4431" s="12">
        <v>2.15</v>
      </c>
      <c r="L4431" s="13" t="str">
        <f>IF(D4431&lt;&gt;"",VLOOKUP(H4431,TABLEITEM,2,FALSE),"")</f>
        <v/>
      </c>
      <c r="M4431" s="13" t="str">
        <f>IF(D4431&lt;&gt;"",VLOOKUP(H4431,TABLEITEM,3,FALSE),"")</f>
        <v>สตัด M6x15</v>
      </c>
      <c r="N4431" s="14">
        <f>INSTOCK!$I4431*INSTOCK!$K4431</f>
        <v>4300</v>
      </c>
      <c r="O4431" s="4"/>
      <c r="P4431" s="4"/>
    </row>
    <row r="4432" ht="15.75" hidden="1" customHeight="1">
      <c r="B4432" s="8">
        <v>4756.0</v>
      </c>
      <c r="C4432" s="9">
        <v>43418.0</v>
      </c>
      <c r="D4432" s="6" t="s">
        <v>5534</v>
      </c>
      <c r="E4432" s="4"/>
      <c r="F4432" s="8" t="s">
        <v>604</v>
      </c>
      <c r="G4432" s="4" t="s">
        <v>1092</v>
      </c>
      <c r="H4432" s="10" t="s">
        <v>818</v>
      </c>
      <c r="I4432" s="10">
        <v>15.0</v>
      </c>
      <c r="J4432" s="11" t="str">
        <f>IF(D4432&lt;&gt;"",VLOOKUP(H4432,TABLEITEM,5,FALSE),"")</f>
        <v>ท่อ</v>
      </c>
      <c r="K4432" s="12">
        <v>280.0</v>
      </c>
      <c r="L4432" s="13" t="str">
        <f>IF(D4432&lt;&gt;"",VLOOKUP(H4432,TABLEITEM,2,FALSE),"")</f>
        <v/>
      </c>
      <c r="M4432" s="13" t="str">
        <f>IF(D4432&lt;&gt;"",VLOOKUP(H4432,TABLEITEM,3,FALSE),"")</f>
        <v>คาร์บอนไดออกไซด์ ขนาด 25 กก</v>
      </c>
      <c r="N4432" s="14">
        <f>INSTOCK!$I4432*INSTOCK!$K4432</f>
        <v>4200</v>
      </c>
      <c r="O4432" s="4"/>
      <c r="P4432" s="4"/>
    </row>
    <row r="4433" ht="15.75" hidden="1" customHeight="1">
      <c r="B4433" s="8">
        <v>4757.0</v>
      </c>
      <c r="C4433" s="9">
        <v>43418.0</v>
      </c>
      <c r="D4433" s="6" t="s">
        <v>5534</v>
      </c>
      <c r="E4433" s="4"/>
      <c r="F4433" s="8" t="s">
        <v>604</v>
      </c>
      <c r="G4433" s="4" t="s">
        <v>1092</v>
      </c>
      <c r="H4433" s="10" t="s">
        <v>816</v>
      </c>
      <c r="I4433" s="10">
        <v>1.0</v>
      </c>
      <c r="J4433" s="11" t="str">
        <f>IF(D4433&lt;&gt;"",VLOOKUP(H4433,TABLEITEM,5,FALSE),"")</f>
        <v>ท่อ</v>
      </c>
      <c r="K4433" s="12">
        <v>600.0</v>
      </c>
      <c r="L4433" s="13" t="str">
        <f>IF(D4433&lt;&gt;"",VLOOKUP(H4433,TABLEITEM,2,FALSE),"")</f>
        <v/>
      </c>
      <c r="M4433" s="13" t="str">
        <f>IF(D4433&lt;&gt;"",VLOOKUP(H4433,TABLEITEM,3,FALSE),"")</f>
        <v>อาร์กอน ขนาด 6คิว</v>
      </c>
      <c r="N4433" s="14">
        <f>INSTOCK!$I4433*INSTOCK!$K4433</f>
        <v>600</v>
      </c>
      <c r="O4433" s="4"/>
      <c r="P4433" s="4"/>
    </row>
    <row r="4434" ht="15.75" hidden="1" customHeight="1">
      <c r="B4434" s="8">
        <v>4758.0</v>
      </c>
      <c r="C4434" s="9">
        <v>43418.0</v>
      </c>
      <c r="D4434" s="6" t="s">
        <v>5535</v>
      </c>
      <c r="E4434" s="4">
        <v>6.111001424E9</v>
      </c>
      <c r="F4434" s="8" t="s">
        <v>1709</v>
      </c>
      <c r="G4434" s="4" t="s">
        <v>1485</v>
      </c>
      <c r="H4434" s="10" t="s">
        <v>4320</v>
      </c>
      <c r="I4434" s="10">
        <v>80.0</v>
      </c>
      <c r="J4434" s="11" t="str">
        <f>IF(D4434&lt;&gt;"",VLOOKUP(H4434,TABLEITEM,5,FALSE),"")</f>
        <v>EA</v>
      </c>
      <c r="K4434" s="12">
        <v>82.0</v>
      </c>
      <c r="L4434" s="13" t="str">
        <f>IF(D4434&lt;&gt;"",VLOOKUP(H4434,TABLEITEM,2,FALSE),"")</f>
        <v/>
      </c>
      <c r="M4434" s="13" t="str">
        <f>IF(D4434&lt;&gt;"",VLOOKUP(H4434,TABLEITEM,3,FALSE),"")</f>
        <v>PILOT LIGHT LED 240V WHITE</v>
      </c>
      <c r="N4434" s="14">
        <f>INSTOCK!$I4434*INSTOCK!$K4434</f>
        <v>6560</v>
      </c>
      <c r="O4434" s="4"/>
      <c r="P4434" s="4"/>
    </row>
    <row r="4435" ht="15.75" hidden="1" customHeight="1">
      <c r="B4435" s="8">
        <v>4759.0</v>
      </c>
      <c r="C4435" s="9">
        <v>43418.0</v>
      </c>
      <c r="D4435" s="6" t="s">
        <v>5535</v>
      </c>
      <c r="E4435" s="4">
        <v>6.111001424E9</v>
      </c>
      <c r="F4435" s="8" t="s">
        <v>5536</v>
      </c>
      <c r="G4435" s="4" t="s">
        <v>1485</v>
      </c>
      <c r="H4435" s="10" t="s">
        <v>2006</v>
      </c>
      <c r="I4435" s="10">
        <v>40.0</v>
      </c>
      <c r="J4435" s="11" t="str">
        <f>IF(D4435&lt;&gt;"",VLOOKUP(H4435,TABLEITEM,5,FALSE),"")</f>
        <v>EA</v>
      </c>
      <c r="K4435" s="12">
        <v>82.0</v>
      </c>
      <c r="L4435" s="13" t="str">
        <f>IF(D4435&lt;&gt;"",VLOOKUP(H4435,TABLEITEM,2,FALSE),"")</f>
        <v/>
      </c>
      <c r="M4435" s="13" t="str">
        <f>IF(D4435&lt;&gt;"",VLOOKUP(H4435,TABLEITEM,3,FALSE),"")</f>
        <v>PILOT LIGHT LED 240V GREEN</v>
      </c>
      <c r="N4435" s="14">
        <f>INSTOCK!$I4435*INSTOCK!$K4435</f>
        <v>3280</v>
      </c>
      <c r="O4435" s="4"/>
      <c r="P4435" s="4"/>
    </row>
    <row r="4436" ht="15.75" hidden="1" customHeight="1">
      <c r="B4436" s="8">
        <v>4760.0</v>
      </c>
      <c r="C4436" s="9">
        <v>43418.0</v>
      </c>
      <c r="D4436" s="6" t="s">
        <v>5535</v>
      </c>
      <c r="E4436" s="4">
        <v>6.111001424E9</v>
      </c>
      <c r="F4436" s="8" t="s">
        <v>5537</v>
      </c>
      <c r="G4436" s="4" t="s">
        <v>1485</v>
      </c>
      <c r="H4436" s="10" t="s">
        <v>4446</v>
      </c>
      <c r="I4436" s="10">
        <v>50.0</v>
      </c>
      <c r="J4436" s="11" t="str">
        <f>IF(D4436&lt;&gt;"",VLOOKUP(H4436,TABLEITEM,5,FALSE),"")</f>
        <v>EA</v>
      </c>
      <c r="K4436" s="12">
        <v>75.85</v>
      </c>
      <c r="L4436" s="13" t="str">
        <f>IF(D4436&lt;&gt;"",VLOOKUP(H4436,TABLEITEM,2,FALSE),"")</f>
        <v/>
      </c>
      <c r="M4436" s="13" t="str">
        <f>IF(D4436&lt;&gt;"",VLOOKUP(H4436,TABLEITEM,3,FALSE),"")</f>
        <v>PUSH BUTTON GREEN</v>
      </c>
      <c r="N4436" s="14">
        <f>INSTOCK!$I4436*INSTOCK!$K4436</f>
        <v>3792.5</v>
      </c>
      <c r="O4436" s="4"/>
      <c r="P4436" s="4"/>
    </row>
    <row r="4437" ht="15.75" hidden="1" customHeight="1">
      <c r="B4437" s="8">
        <v>4761.0</v>
      </c>
      <c r="C4437" s="9">
        <v>43418.0</v>
      </c>
      <c r="D4437" s="6" t="s">
        <v>5535</v>
      </c>
      <c r="E4437" s="4">
        <v>6.111001424E9</v>
      </c>
      <c r="F4437" s="8" t="s">
        <v>5538</v>
      </c>
      <c r="G4437" s="4" t="s">
        <v>1485</v>
      </c>
      <c r="H4437" s="10" t="s">
        <v>4448</v>
      </c>
      <c r="I4437" s="10">
        <v>50.0</v>
      </c>
      <c r="J4437" s="11" t="str">
        <f>IF(D4437&lt;&gt;"",VLOOKUP(H4437,TABLEITEM,5,FALSE),"")</f>
        <v>EA</v>
      </c>
      <c r="K4437" s="12">
        <v>75.85</v>
      </c>
      <c r="L4437" s="13" t="str">
        <f>IF(D4437&lt;&gt;"",VLOOKUP(H4437,TABLEITEM,2,FALSE),"")</f>
        <v/>
      </c>
      <c r="M4437" s="13" t="str">
        <f>IF(D4437&lt;&gt;"",VLOOKUP(H4437,TABLEITEM,3,FALSE),"")</f>
        <v>PUSH BUTTON RED</v>
      </c>
      <c r="N4437" s="14">
        <f>INSTOCK!$I4437*INSTOCK!$K4437</f>
        <v>3792.5</v>
      </c>
      <c r="O4437" s="4"/>
      <c r="P4437" s="4"/>
    </row>
    <row r="4438" ht="15.75" hidden="1" customHeight="1">
      <c r="B4438" s="8">
        <v>4762.0</v>
      </c>
      <c r="C4438" s="9">
        <v>43418.0</v>
      </c>
      <c r="D4438" s="6" t="s">
        <v>5535</v>
      </c>
      <c r="E4438" s="4">
        <v>6.111001424E9</v>
      </c>
      <c r="F4438" s="8" t="s">
        <v>5539</v>
      </c>
      <c r="G4438" s="4" t="s">
        <v>1485</v>
      </c>
      <c r="H4438" s="10" t="s">
        <v>1841</v>
      </c>
      <c r="I4438" s="10">
        <v>5.0</v>
      </c>
      <c r="J4438" s="11" t="str">
        <f>IF(D4438&lt;&gt;"",VLOOKUP(H4438,TABLEITEM,5,FALSE),"")</f>
        <v>EA</v>
      </c>
      <c r="K4438" s="12">
        <v>533.0</v>
      </c>
      <c r="L4438" s="13" t="str">
        <f>IF(D4438&lt;&gt;"",VLOOKUP(H4438,TABLEITEM,2,FALSE),"")</f>
        <v/>
      </c>
      <c r="M4438" s="13" t="str">
        <f>IF(D4438&lt;&gt;"",VLOOKUP(H4438,TABLEITEM,3,FALSE),"")</f>
        <v>K CAM SWITCH 3L AND 3L-N 45 12A</v>
      </c>
      <c r="N4438" s="14">
        <f>INSTOCK!$I4438*INSTOCK!$K4438</f>
        <v>2665</v>
      </c>
      <c r="O4438" s="4"/>
      <c r="P4438" s="4"/>
    </row>
    <row r="4439" ht="15.75" hidden="1" customHeight="1">
      <c r="B4439" s="8">
        <v>4763.0</v>
      </c>
      <c r="C4439" s="9">
        <v>43418.0</v>
      </c>
      <c r="D4439" s="6" t="s">
        <v>5535</v>
      </c>
      <c r="E4439" s="4">
        <v>6.111001424E9</v>
      </c>
      <c r="F4439" s="8" t="s">
        <v>5540</v>
      </c>
      <c r="G4439" s="4" t="s">
        <v>1485</v>
      </c>
      <c r="H4439" s="10" t="s">
        <v>1838</v>
      </c>
      <c r="I4439" s="10">
        <v>22.0</v>
      </c>
      <c r="J4439" s="11" t="str">
        <f>IF(D4439&lt;&gt;"",VLOOKUP(H4439,TABLEITEM,5,FALSE),"")</f>
        <v>EA</v>
      </c>
      <c r="K4439" s="12">
        <v>71.75</v>
      </c>
      <c r="L4439" s="13" t="str">
        <f>IF(D4439&lt;&gt;"",VLOOKUP(H4439,TABLEITEM,2,FALSE),"")</f>
        <v/>
      </c>
      <c r="M4439" s="13" t="str">
        <f>IF(D4439&lt;&gt;"",VLOOKUP(H4439,TABLEITEM,3,FALSE),"")</f>
        <v>MINIATURE RELAY LED 2C/O 230VAC 5A</v>
      </c>
      <c r="N4439" s="14">
        <f>INSTOCK!$I4439*INSTOCK!$K4439</f>
        <v>1578.5</v>
      </c>
      <c r="O4439" s="4"/>
      <c r="P4439" s="4"/>
    </row>
    <row r="4440" ht="15.75" hidden="1" customHeight="1">
      <c r="B4440" s="8">
        <v>4764.0</v>
      </c>
      <c r="C4440" s="9">
        <v>43418.0</v>
      </c>
      <c r="D4440" s="6" t="s">
        <v>5541</v>
      </c>
      <c r="E4440" s="4">
        <v>6.111001387E9</v>
      </c>
      <c r="F4440" s="8" t="s">
        <v>604</v>
      </c>
      <c r="G4440" s="4" t="s">
        <v>1611</v>
      </c>
      <c r="H4440" s="10" t="s">
        <v>200</v>
      </c>
      <c r="I4440" s="10">
        <v>400.0</v>
      </c>
      <c r="J4440" s="11" t="str">
        <f>IF(D4440&lt;&gt;"",VLOOKUP(H4440,TABLEITEM,5,FALSE),"")</f>
        <v>EA</v>
      </c>
      <c r="K4440" s="12">
        <v>16.0</v>
      </c>
      <c r="L4440" s="13" t="str">
        <f>IF(D4440&lt;&gt;"",VLOOKUP(H4440,TABLEITEM,2,FALSE),"")</f>
        <v/>
      </c>
      <c r="M4440" s="13" t="str">
        <f>IF(D4440&lt;&gt;"",VLOOKUP(H4440,TABLEITEM,3,FALSE),"")</f>
        <v>STOPPER TXE2</v>
      </c>
      <c r="N4440" s="14">
        <f>INSTOCK!$I4440*INSTOCK!$K4440</f>
        <v>6400</v>
      </c>
      <c r="O4440" s="4"/>
      <c r="P4440" s="4"/>
    </row>
    <row r="4441" ht="15.75" hidden="1" customHeight="1">
      <c r="B4441" s="8">
        <v>4765.0</v>
      </c>
      <c r="C4441" s="9">
        <v>43418.0</v>
      </c>
      <c r="D4441" s="6" t="s">
        <v>5542</v>
      </c>
      <c r="E4441" s="4"/>
      <c r="F4441" s="8" t="s">
        <v>2020</v>
      </c>
      <c r="G4441" s="4" t="s">
        <v>1485</v>
      </c>
      <c r="H4441" s="10" t="s">
        <v>1560</v>
      </c>
      <c r="I4441" s="10">
        <v>6.0</v>
      </c>
      <c r="J4441" s="11" t="str">
        <f>IF(D4441&lt;&gt;"",VLOOKUP(H4441,TABLEITEM,5,FALSE),"")</f>
        <v>EA</v>
      </c>
      <c r="K4441" s="12">
        <v>-331.8</v>
      </c>
      <c r="L4441" s="13" t="str">
        <f>IF(D4441&lt;&gt;"",VLOOKUP(H4441,TABLEITEM,2,FALSE),"")</f>
        <v/>
      </c>
      <c r="M4441" s="13" t="str">
        <f>IF(D4441&lt;&gt;"",VLOOKUP(H4441,TABLEITEM,3,FALSE),"")</f>
        <v>GV2&amp;GV3 AUXILIARY GVAD0110</v>
      </c>
      <c r="N4441" s="14">
        <f>INSTOCK!$I4441*INSTOCK!$K4441</f>
        <v>-1990.8</v>
      </c>
      <c r="O4441" s="4"/>
      <c r="P4441" s="4"/>
    </row>
    <row r="4442" ht="15.75" hidden="1" customHeight="1">
      <c r="B4442" s="8">
        <v>4766.0</v>
      </c>
      <c r="C4442" s="9">
        <v>43417.0</v>
      </c>
      <c r="D4442" s="6" t="s">
        <v>5543</v>
      </c>
      <c r="E4442" s="4">
        <v>6.111001398E9</v>
      </c>
      <c r="F4442" s="8" t="s">
        <v>604</v>
      </c>
      <c r="G4442" s="4" t="s">
        <v>1870</v>
      </c>
      <c r="H4442" s="10" t="s">
        <v>4967</v>
      </c>
      <c r="I4442" s="10">
        <v>2000.0</v>
      </c>
      <c r="J4442" s="11" t="str">
        <f>IF(D4442&lt;&gt;"",VLOOKUP(H4442,TABLEITEM,5,FALSE),"")</f>
        <v>EA</v>
      </c>
      <c r="K4442" s="12">
        <v>0.1425</v>
      </c>
      <c r="L4442" s="13" t="str">
        <f>IF(D4442&lt;&gt;"",VLOOKUP(H4442,TABLEITEM,2,FALSE),"")</f>
        <v/>
      </c>
      <c r="M4442" s="13" t="str">
        <f>IF(D4442&lt;&gt;"",VLOOKUP(H4442,TABLEITEM,3,FALSE),"")</f>
        <v>แหวนจักร M6</v>
      </c>
      <c r="N4442" s="14">
        <f>INSTOCK!$I4442*INSTOCK!$K4442</f>
        <v>285</v>
      </c>
      <c r="O4442" s="4" t="s">
        <v>5544</v>
      </c>
      <c r="P4442" s="4"/>
    </row>
    <row r="4443" ht="15.75" hidden="1" customHeight="1">
      <c r="B4443" s="8">
        <v>4767.0</v>
      </c>
      <c r="C4443" s="9">
        <v>43417.0</v>
      </c>
      <c r="D4443" s="6">
        <v>6.1110569E7</v>
      </c>
      <c r="E4443" s="4">
        <v>6.11100141E9</v>
      </c>
      <c r="F4443" s="8" t="s">
        <v>5545</v>
      </c>
      <c r="G4443" s="4" t="s">
        <v>711</v>
      </c>
      <c r="H4443" s="10" t="s">
        <v>712</v>
      </c>
      <c r="I4443" s="10">
        <v>20.0</v>
      </c>
      <c r="J4443" s="11" t="str">
        <f>IF(D4443&lt;&gt;"",VLOOKUP(H4443,TABLEITEM,5,FALSE),"")</f>
        <v>KG.</v>
      </c>
      <c r="K4443" s="12">
        <v>148.0</v>
      </c>
      <c r="L4443" s="13" t="str">
        <f>IF(D4443&lt;&gt;"",VLOOKUP(H4443,TABLEITEM,2,FALSE),"")</f>
        <v/>
      </c>
      <c r="M4443" s="13" t="str">
        <f>IF(D4443&lt;&gt;"",VLOOKUP(H4443,TABLEITEM,3,FALSE),"")</f>
        <v>สีฝุ่น M70460 CN</v>
      </c>
      <c r="N4443" s="14">
        <f>INSTOCK!$I4443*INSTOCK!$K4443</f>
        <v>2960</v>
      </c>
      <c r="O4443" s="4" t="s">
        <v>714</v>
      </c>
      <c r="P4443" s="4"/>
    </row>
    <row r="4444" ht="15.75" hidden="1" customHeight="1">
      <c r="B4444" s="8">
        <v>4768.0</v>
      </c>
      <c r="C4444" s="9">
        <v>43417.0</v>
      </c>
      <c r="D4444" s="6" t="s">
        <v>5546</v>
      </c>
      <c r="E4444" s="4"/>
      <c r="F4444" s="8" t="s">
        <v>5547</v>
      </c>
      <c r="G4444" s="4" t="s">
        <v>3045</v>
      </c>
      <c r="H4444" s="10" t="s">
        <v>5548</v>
      </c>
      <c r="I4444" s="10">
        <v>1.0</v>
      </c>
      <c r="J4444" s="11" t="str">
        <f>IF(D4444&lt;&gt;"",VLOOKUP(H4444,TABLEITEM,5,FALSE),"")</f>
        <v>EA</v>
      </c>
      <c r="K4444" s="12">
        <v>1590.0</v>
      </c>
      <c r="L4444" s="13" t="str">
        <f>IF(D4444&lt;&gt;"",VLOOKUP(H4444,TABLEITEM,2,FALSE),"")</f>
        <v/>
      </c>
      <c r="M4444" s="13" t="str">
        <f>IF(D4444&lt;&gt;"",VLOOKUP(H4444,TABLEITEM,3,FALSE),"")</f>
        <v>เครื่องสำรองไฟ SYNDOME ICON-800 800VA /320W BLACK</v>
      </c>
      <c r="N4444" s="14">
        <f>INSTOCK!$I4444*INSTOCK!$K4444</f>
        <v>1590</v>
      </c>
      <c r="O4444" s="4"/>
      <c r="P4444" s="4"/>
    </row>
    <row r="4445" ht="15.75" hidden="1" customHeight="1">
      <c r="B4445" s="8">
        <v>4769.0</v>
      </c>
      <c r="C4445" s="9">
        <v>43417.0</v>
      </c>
      <c r="D4445" s="6" t="s">
        <v>5549</v>
      </c>
      <c r="E4445" s="4">
        <v>6.111001409E9</v>
      </c>
      <c r="F4445" s="8" t="s">
        <v>5550</v>
      </c>
      <c r="G4445" s="4" t="s">
        <v>702</v>
      </c>
      <c r="H4445" s="10" t="s">
        <v>92</v>
      </c>
      <c r="I4445" s="10">
        <v>20.0</v>
      </c>
      <c r="J4445" s="11" t="str">
        <f>IF(D4445&lt;&gt;"",VLOOKUP(H4445,TABLEITEM,5,FALSE),"")</f>
        <v>KG.</v>
      </c>
      <c r="K4445" s="12">
        <v>115.0</v>
      </c>
      <c r="L4445" s="13" t="str">
        <f>IF(D4445&lt;&gt;"",VLOOKUP(H4445,TABLEITEM,2,FALSE),"")</f>
        <v/>
      </c>
      <c r="M4445" s="13" t="str">
        <f>IF(D4445&lt;&gt;"",VLOOKUP(H4445,TABLEITEM,3,FALSE),"")</f>
        <v>สีฝุ่น FF110/703/c สีดำผิวเงา</v>
      </c>
      <c r="N4445" s="14">
        <f>INSTOCK!$I4445*INSTOCK!$K4445</f>
        <v>2300</v>
      </c>
      <c r="O4445" s="4"/>
      <c r="P4445" s="4"/>
    </row>
    <row r="4446" ht="15.75" hidden="1" customHeight="1">
      <c r="B4446" s="8">
        <v>4770.0</v>
      </c>
      <c r="C4446" s="9">
        <v>43417.0</v>
      </c>
      <c r="D4446" s="6" t="s">
        <v>5551</v>
      </c>
      <c r="E4446" s="4">
        <v>6.111001412E9</v>
      </c>
      <c r="F4446" s="8" t="s">
        <v>5552</v>
      </c>
      <c r="G4446" s="4" t="s">
        <v>1512</v>
      </c>
      <c r="H4446" s="10" t="s">
        <v>1771</v>
      </c>
      <c r="I4446" s="10">
        <v>6.0</v>
      </c>
      <c r="J4446" s="11" t="str">
        <f>IF(D4446&lt;&gt;"",VLOOKUP(H4446,TABLEITEM,5,FALSE),"")</f>
        <v>EA</v>
      </c>
      <c r="K4446" s="12">
        <v>850.5</v>
      </c>
      <c r="L4446" s="13" t="str">
        <f>IF(D4446&lt;&gt;"",VLOOKUP(H4446,TABLEITEM,2,FALSE),"")</f>
        <v/>
      </c>
      <c r="M4446" s="13" t="str">
        <f>IF(D4446&lt;&gt;"",VLOOKUP(H4446,TABLEITEM,3,FALSE),"")</f>
        <v>SHUNT-OPENING RELEASES A1-2</v>
      </c>
      <c r="N4446" s="14">
        <f>INSTOCK!$I4446*INSTOCK!$K4446</f>
        <v>5103</v>
      </c>
      <c r="O4446" s="4" t="s">
        <v>5553</v>
      </c>
      <c r="P4446" s="4"/>
    </row>
    <row r="4447" ht="15.75" hidden="1" customHeight="1">
      <c r="B4447" s="8">
        <v>4771.0</v>
      </c>
      <c r="C4447" s="9">
        <v>43417.0</v>
      </c>
      <c r="D4447" s="6" t="s">
        <v>5554</v>
      </c>
      <c r="E4447" s="4">
        <v>6.108001035E9</v>
      </c>
      <c r="F4447" s="8" t="s">
        <v>5555</v>
      </c>
      <c r="G4447" s="4" t="s">
        <v>1453</v>
      </c>
      <c r="H4447" s="10" t="s">
        <v>5556</v>
      </c>
      <c r="I4447" s="10">
        <v>4.0</v>
      </c>
      <c r="J4447" s="11" t="str">
        <f>IF(D4447&lt;&gt;"",VLOOKUP(H4447,TABLEITEM,5,FALSE),"")</f>
        <v>EA</v>
      </c>
      <c r="K4447" s="12">
        <v>1176.0</v>
      </c>
      <c r="L4447" s="13" t="str">
        <f>IF(D4447&lt;&gt;"",VLOOKUP(H4447,TABLEITEM,2,FALSE),"")</f>
        <v/>
      </c>
      <c r="M4447" s="13" t="str">
        <f>IF(D4447&lt;&gt;"",VLOOKUP(H4447,TABLEITEM,3,FALSE),"")</f>
        <v>Anti-Condensation Heater PM CH-03 240V 80W</v>
      </c>
      <c r="N4447" s="14">
        <f>INSTOCK!$I4447*INSTOCK!$K4447</f>
        <v>4704</v>
      </c>
      <c r="O4447" s="4" t="s">
        <v>5557</v>
      </c>
      <c r="P4447" s="4"/>
    </row>
    <row r="4448" ht="15.75" hidden="1" customHeight="1">
      <c r="B4448" s="8">
        <v>4772.0</v>
      </c>
      <c r="C4448" s="9">
        <v>43417.0</v>
      </c>
      <c r="D4448" s="6" t="s">
        <v>5558</v>
      </c>
      <c r="E4448" s="4">
        <v>6.111001407E9</v>
      </c>
      <c r="F4448" s="8" t="s">
        <v>5559</v>
      </c>
      <c r="G4448" s="4" t="s">
        <v>1596</v>
      </c>
      <c r="H4448" s="10" t="s">
        <v>1769</v>
      </c>
      <c r="I4448" s="10">
        <v>1.0</v>
      </c>
      <c r="J4448" s="11" t="str">
        <f>IF(D4448&lt;&gt;"",VLOOKUP(H4448,TABLEITEM,5,FALSE),"")</f>
        <v>EA</v>
      </c>
      <c r="K4448" s="12">
        <v>1170.0</v>
      </c>
      <c r="L4448" s="13" t="str">
        <f>IF(D4448&lt;&gt;"",VLOOKUP(H4448,TABLEITEM,2,FALSE),"")</f>
        <v/>
      </c>
      <c r="M4448" s="13" t="str">
        <f>IF(D4448&lt;&gt;"",VLOOKUP(H4448,TABLEITEM,3,FALSE),"")</f>
        <v>MCCB A1C125 3P 50A 25KA</v>
      </c>
      <c r="N4448" s="14">
        <f>INSTOCK!$I4448*INSTOCK!$K4448</f>
        <v>1170</v>
      </c>
      <c r="O4448" s="4" t="s">
        <v>1718</v>
      </c>
      <c r="P4448" s="4"/>
    </row>
    <row r="4449" ht="15.75" hidden="1" customHeight="1">
      <c r="B4449" s="8">
        <v>4773.0</v>
      </c>
      <c r="C4449" s="9">
        <v>43417.0</v>
      </c>
      <c r="D4449" s="6" t="s">
        <v>5558</v>
      </c>
      <c r="E4449" s="4">
        <v>6.111001407E9</v>
      </c>
      <c r="F4449" s="8" t="s">
        <v>5559</v>
      </c>
      <c r="G4449" s="4" t="s">
        <v>1596</v>
      </c>
      <c r="H4449" s="10" t="s">
        <v>1768</v>
      </c>
      <c r="I4449" s="10">
        <v>5.0</v>
      </c>
      <c r="J4449" s="11" t="str">
        <f>IF(D4449&lt;&gt;"",VLOOKUP(H4449,TABLEITEM,5,FALSE),"")</f>
        <v>EA</v>
      </c>
      <c r="K4449" s="12">
        <v>1170.0</v>
      </c>
      <c r="L4449" s="13" t="str">
        <f>IF(D4449&lt;&gt;"",VLOOKUP(H4449,TABLEITEM,2,FALSE),"")</f>
        <v/>
      </c>
      <c r="M4449" s="13" t="str">
        <f>IF(D4449&lt;&gt;"",VLOOKUP(H4449,TABLEITEM,3,FALSE),"")</f>
        <v>MCCB A1C125 3P 30A 25KA</v>
      </c>
      <c r="N4449" s="14">
        <f>INSTOCK!$I4449*INSTOCK!$K4449</f>
        <v>5850</v>
      </c>
      <c r="O4449" s="4" t="s">
        <v>1718</v>
      </c>
      <c r="P4449" s="4"/>
    </row>
    <row r="4450" ht="15.75" hidden="1" customHeight="1">
      <c r="B4450" s="8">
        <v>4774.0</v>
      </c>
      <c r="C4450" s="9">
        <v>43417.0</v>
      </c>
      <c r="D4450" s="6" t="s">
        <v>5558</v>
      </c>
      <c r="E4450" s="4">
        <v>6.111001407E9</v>
      </c>
      <c r="F4450" s="8" t="s">
        <v>5559</v>
      </c>
      <c r="G4450" s="4" t="s">
        <v>1596</v>
      </c>
      <c r="H4450" s="10" t="s">
        <v>1769</v>
      </c>
      <c r="I4450" s="10">
        <v>1.0</v>
      </c>
      <c r="J4450" s="11" t="str">
        <f>IF(D4450&lt;&gt;"",VLOOKUP(H4450,TABLEITEM,5,FALSE),"")</f>
        <v>EA</v>
      </c>
      <c r="K4450" s="12">
        <v>1170.0</v>
      </c>
      <c r="L4450" s="13" t="str">
        <f>IF(D4450&lt;&gt;"",VLOOKUP(H4450,TABLEITEM,2,FALSE),"")</f>
        <v/>
      </c>
      <c r="M4450" s="13" t="str">
        <f>IF(D4450&lt;&gt;"",VLOOKUP(H4450,TABLEITEM,3,FALSE),"")</f>
        <v>MCCB A1C125 3P 50A 25KA</v>
      </c>
      <c r="N4450" s="14">
        <f>INSTOCK!$I4450*INSTOCK!$K4450</f>
        <v>1170</v>
      </c>
      <c r="O4450" s="4" t="s">
        <v>1718</v>
      </c>
      <c r="P4450" s="4"/>
    </row>
    <row r="4451" ht="15.75" hidden="1" customHeight="1">
      <c r="B4451" s="8">
        <v>4775.0</v>
      </c>
      <c r="C4451" s="9">
        <v>43417.0</v>
      </c>
      <c r="D4451" s="6" t="s">
        <v>5558</v>
      </c>
      <c r="E4451" s="4">
        <v>6.111001407E9</v>
      </c>
      <c r="F4451" s="8" t="s">
        <v>5559</v>
      </c>
      <c r="G4451" s="4" t="s">
        <v>1596</v>
      </c>
      <c r="H4451" s="10" t="s">
        <v>1768</v>
      </c>
      <c r="I4451" s="10">
        <v>8.0</v>
      </c>
      <c r="J4451" s="11" t="str">
        <f>IF(D4451&lt;&gt;"",VLOOKUP(H4451,TABLEITEM,5,FALSE),"")</f>
        <v>EA</v>
      </c>
      <c r="K4451" s="12">
        <v>1170.0</v>
      </c>
      <c r="L4451" s="13" t="str">
        <f>IF(D4451&lt;&gt;"",VLOOKUP(H4451,TABLEITEM,2,FALSE),"")</f>
        <v/>
      </c>
      <c r="M4451" s="13" t="str">
        <f>IF(D4451&lt;&gt;"",VLOOKUP(H4451,TABLEITEM,3,FALSE),"")</f>
        <v>MCCB A1C125 3P 30A 25KA</v>
      </c>
      <c r="N4451" s="14">
        <f>INSTOCK!$I4451*INSTOCK!$K4451</f>
        <v>9360</v>
      </c>
      <c r="O4451" s="4" t="s">
        <v>1718</v>
      </c>
      <c r="P4451" s="4"/>
    </row>
    <row r="4452" ht="15.75" hidden="1" customHeight="1">
      <c r="B4452" s="8">
        <v>4776.0</v>
      </c>
      <c r="C4452" s="9">
        <v>43417.0</v>
      </c>
      <c r="D4452" s="6" t="s">
        <v>5558</v>
      </c>
      <c r="E4452" s="4">
        <v>6.111001407E9</v>
      </c>
      <c r="F4452" s="8" t="s">
        <v>5559</v>
      </c>
      <c r="G4452" s="4" t="s">
        <v>1596</v>
      </c>
      <c r="H4452" s="10" t="s">
        <v>1717</v>
      </c>
      <c r="I4452" s="10">
        <v>1.0</v>
      </c>
      <c r="J4452" s="11" t="str">
        <f>IF(D4452&lt;&gt;"",VLOOKUP(H4452,TABLEITEM,5,FALSE),"")</f>
        <v>EA</v>
      </c>
      <c r="K4452" s="12">
        <v>1170.0</v>
      </c>
      <c r="L4452" s="13" t="str">
        <f>IF(D4452&lt;&gt;"",VLOOKUP(H4452,TABLEITEM,2,FALSE),"")</f>
        <v/>
      </c>
      <c r="M4452" s="13" t="str">
        <f>IF(D4452&lt;&gt;"",VLOOKUP(H4452,TABLEITEM,3,FALSE),"")</f>
        <v>MCCB A1C125 3P 60A 25KA</v>
      </c>
      <c r="N4452" s="14">
        <f>INSTOCK!$I4452*INSTOCK!$K4452</f>
        <v>1170</v>
      </c>
      <c r="O4452" s="4" t="s">
        <v>1718</v>
      </c>
      <c r="P4452" s="4"/>
    </row>
    <row r="4453" ht="15.75" hidden="1" customHeight="1">
      <c r="B4453" s="8">
        <v>4777.0</v>
      </c>
      <c r="C4453" s="9">
        <v>43417.0</v>
      </c>
      <c r="D4453" s="6" t="s">
        <v>5558</v>
      </c>
      <c r="E4453" s="4">
        <v>6.111001407E9</v>
      </c>
      <c r="F4453" s="8" t="s">
        <v>5559</v>
      </c>
      <c r="G4453" s="4" t="s">
        <v>1596</v>
      </c>
      <c r="H4453" s="10" t="s">
        <v>1769</v>
      </c>
      <c r="I4453" s="10">
        <v>1.0</v>
      </c>
      <c r="J4453" s="11" t="str">
        <f>IF(D4453&lt;&gt;"",VLOOKUP(H4453,TABLEITEM,5,FALSE),"")</f>
        <v>EA</v>
      </c>
      <c r="K4453" s="12">
        <v>1170.0</v>
      </c>
      <c r="L4453" s="13" t="str">
        <f>IF(D4453&lt;&gt;"",VLOOKUP(H4453,TABLEITEM,2,FALSE),"")</f>
        <v/>
      </c>
      <c r="M4453" s="13" t="str">
        <f>IF(D4453&lt;&gt;"",VLOOKUP(H4453,TABLEITEM,3,FALSE),"")</f>
        <v>MCCB A1C125 3P 50A 25KA</v>
      </c>
      <c r="N4453" s="14">
        <f>INSTOCK!$I4453*INSTOCK!$K4453</f>
        <v>1170</v>
      </c>
      <c r="O4453" s="4" t="s">
        <v>1718</v>
      </c>
      <c r="P4453" s="4"/>
    </row>
    <row r="4454" ht="15.75" hidden="1" customHeight="1">
      <c r="B4454" s="8">
        <v>4778.0</v>
      </c>
      <c r="C4454" s="9">
        <v>43417.0</v>
      </c>
      <c r="D4454" s="6" t="s">
        <v>5558</v>
      </c>
      <c r="E4454" s="4">
        <v>6.111001407E9</v>
      </c>
      <c r="F4454" s="8" t="s">
        <v>5559</v>
      </c>
      <c r="G4454" s="4" t="s">
        <v>1596</v>
      </c>
      <c r="H4454" s="10" t="s">
        <v>1768</v>
      </c>
      <c r="I4454" s="10">
        <v>2.0</v>
      </c>
      <c r="J4454" s="11" t="str">
        <f>IF(D4454&lt;&gt;"",VLOOKUP(H4454,TABLEITEM,5,FALSE),"")</f>
        <v>EA</v>
      </c>
      <c r="K4454" s="12">
        <v>1170.0</v>
      </c>
      <c r="L4454" s="13" t="str">
        <f>IF(D4454&lt;&gt;"",VLOOKUP(H4454,TABLEITEM,2,FALSE),"")</f>
        <v/>
      </c>
      <c r="M4454" s="13" t="str">
        <f>IF(D4454&lt;&gt;"",VLOOKUP(H4454,TABLEITEM,3,FALSE),"")</f>
        <v>MCCB A1C125 3P 30A 25KA</v>
      </c>
      <c r="N4454" s="14">
        <f>INSTOCK!$I4454*INSTOCK!$K4454</f>
        <v>2340</v>
      </c>
      <c r="O4454" s="4" t="s">
        <v>1718</v>
      </c>
      <c r="P4454" s="4"/>
    </row>
    <row r="4455" ht="15.75" hidden="1" customHeight="1">
      <c r="B4455" s="8">
        <v>4779.0</v>
      </c>
      <c r="C4455" s="9">
        <v>43417.0</v>
      </c>
      <c r="D4455" s="6" t="s">
        <v>5558</v>
      </c>
      <c r="E4455" s="4">
        <v>6.111001407E9</v>
      </c>
      <c r="F4455" s="8" t="s">
        <v>5559</v>
      </c>
      <c r="G4455" s="4" t="s">
        <v>1596</v>
      </c>
      <c r="H4455" s="10" t="s">
        <v>5560</v>
      </c>
      <c r="I4455" s="10">
        <v>1.0</v>
      </c>
      <c r="J4455" s="11" t="str">
        <f>IF(D4455&lt;&gt;"",VLOOKUP(H4455,TABLEITEM,5,FALSE),"")</f>
        <v>EA</v>
      </c>
      <c r="K4455" s="12">
        <v>3911.62</v>
      </c>
      <c r="L4455" s="13" t="str">
        <f>IF(D4455&lt;&gt;"",VLOOKUP(H4455,TABLEITEM,2,FALSE),"")</f>
        <v/>
      </c>
      <c r="M4455" s="13" t="str">
        <f>IF(D4455&lt;&gt;"",VLOOKUP(H4455,TABLEITEM,3,FALSE),"")</f>
        <v>AF116-30-11 100-250V50/60HZ-DC</v>
      </c>
      <c r="N4455" s="14">
        <f>INSTOCK!$I4455*INSTOCK!$K4455</f>
        <v>3911.62</v>
      </c>
      <c r="O4455" s="4" t="s">
        <v>5561</v>
      </c>
      <c r="P4455" s="4"/>
    </row>
    <row r="4456" ht="15.75" hidden="1" customHeight="1">
      <c r="B4456" s="8">
        <v>4780.0</v>
      </c>
      <c r="C4456" s="9">
        <v>43417.0</v>
      </c>
      <c r="D4456" s="6" t="s">
        <v>5562</v>
      </c>
      <c r="E4456" s="4">
        <v>6.111001406E9</v>
      </c>
      <c r="F4456" s="8" t="s">
        <v>5563</v>
      </c>
      <c r="G4456" s="4" t="s">
        <v>1596</v>
      </c>
      <c r="H4456" s="10" t="s">
        <v>1768</v>
      </c>
      <c r="I4456" s="10">
        <v>6.0</v>
      </c>
      <c r="J4456" s="11" t="str">
        <f>IF(D4456&lt;&gt;"",VLOOKUP(H4456,TABLEITEM,5,FALSE),"")</f>
        <v>EA</v>
      </c>
      <c r="K4456" s="12">
        <v>1170.0</v>
      </c>
      <c r="L4456" s="13" t="str">
        <f>IF(D4456&lt;&gt;"",VLOOKUP(H4456,TABLEITEM,2,FALSE),"")</f>
        <v/>
      </c>
      <c r="M4456" s="13" t="str">
        <f>IF(D4456&lt;&gt;"",VLOOKUP(H4456,TABLEITEM,3,FALSE),"")</f>
        <v>MCCB A1C125 3P 30A 25KA</v>
      </c>
      <c r="N4456" s="14">
        <f>INSTOCK!$I4456*INSTOCK!$K4456</f>
        <v>7020</v>
      </c>
      <c r="O4456" s="4" t="s">
        <v>1718</v>
      </c>
      <c r="P4456" s="4"/>
    </row>
    <row r="4457" ht="15.75" hidden="1" customHeight="1">
      <c r="B4457" s="8">
        <v>4781.0</v>
      </c>
      <c r="C4457" s="9">
        <v>43417.0</v>
      </c>
      <c r="D4457" s="6" t="s">
        <v>5564</v>
      </c>
      <c r="E4457" s="4">
        <v>6.111001408E9</v>
      </c>
      <c r="F4457" s="8" t="s">
        <v>5565</v>
      </c>
      <c r="G4457" s="4" t="s">
        <v>1596</v>
      </c>
      <c r="H4457" s="10" t="s">
        <v>1717</v>
      </c>
      <c r="I4457" s="10">
        <v>1.0</v>
      </c>
      <c r="J4457" s="11" t="str">
        <f>IF(D4457&lt;&gt;"",VLOOKUP(H4457,TABLEITEM,5,FALSE),"")</f>
        <v>EA</v>
      </c>
      <c r="K4457" s="12">
        <v>1170.0</v>
      </c>
      <c r="L4457" s="13" t="str">
        <f>IF(D4457&lt;&gt;"",VLOOKUP(H4457,TABLEITEM,2,FALSE),"")</f>
        <v/>
      </c>
      <c r="M4457" s="13" t="str">
        <f>IF(D4457&lt;&gt;"",VLOOKUP(H4457,TABLEITEM,3,FALSE),"")</f>
        <v>MCCB A1C125 3P 60A 25KA</v>
      </c>
      <c r="N4457" s="14">
        <f>INSTOCK!$I4457*INSTOCK!$K4457</f>
        <v>1170</v>
      </c>
      <c r="O4457" s="4" t="s">
        <v>1718</v>
      </c>
      <c r="P4457" s="4"/>
    </row>
    <row r="4458" ht="15.75" hidden="1" customHeight="1">
      <c r="B4458" s="8">
        <v>4782.0</v>
      </c>
      <c r="C4458" s="9">
        <v>43417.0</v>
      </c>
      <c r="D4458" s="6" t="s">
        <v>5564</v>
      </c>
      <c r="E4458" s="4">
        <v>6.111001408E9</v>
      </c>
      <c r="F4458" s="8" t="s">
        <v>5565</v>
      </c>
      <c r="G4458" s="4" t="s">
        <v>1596</v>
      </c>
      <c r="H4458" s="10" t="s">
        <v>1795</v>
      </c>
      <c r="I4458" s="10">
        <v>18.0</v>
      </c>
      <c r="J4458" s="11" t="str">
        <f>IF(D4458&lt;&gt;"",VLOOKUP(H4458,TABLEITEM,5,FALSE),"")</f>
        <v>EA</v>
      </c>
      <c r="K4458" s="12">
        <v>74.0</v>
      </c>
      <c r="L4458" s="13" t="str">
        <f>IF(D4458&lt;&gt;"",VLOOKUP(H4458,TABLEITEM,2,FALSE),"")</f>
        <v/>
      </c>
      <c r="M4458" s="13" t="str">
        <f>IF(D4458&lt;&gt;"",VLOOKUP(H4458,TABLEITEM,3,FALSE),"")</f>
        <v>MCB SH201-C20</v>
      </c>
      <c r="N4458" s="14">
        <f>INSTOCK!$I4458*INSTOCK!$K4458</f>
        <v>1332</v>
      </c>
      <c r="O4458" s="4" t="s">
        <v>1598</v>
      </c>
      <c r="P4458" s="4"/>
    </row>
    <row r="4459" ht="15.75" hidden="1" customHeight="1">
      <c r="B4459" s="8">
        <v>4783.0</v>
      </c>
      <c r="C4459" s="9">
        <v>43417.0</v>
      </c>
      <c r="D4459" s="6" t="s">
        <v>5564</v>
      </c>
      <c r="E4459" s="4">
        <v>6.111001408E9</v>
      </c>
      <c r="F4459" s="8" t="s">
        <v>5565</v>
      </c>
      <c r="G4459" s="4" t="s">
        <v>1596</v>
      </c>
      <c r="H4459" s="10" t="s">
        <v>1768</v>
      </c>
      <c r="I4459" s="10">
        <v>1.0</v>
      </c>
      <c r="J4459" s="11" t="str">
        <f>IF(D4459&lt;&gt;"",VLOOKUP(H4459,TABLEITEM,5,FALSE),"")</f>
        <v>EA</v>
      </c>
      <c r="K4459" s="12">
        <v>1170.0</v>
      </c>
      <c r="L4459" s="13" t="str">
        <f>IF(D4459&lt;&gt;"",VLOOKUP(H4459,TABLEITEM,2,FALSE),"")</f>
        <v/>
      </c>
      <c r="M4459" s="13" t="str">
        <f>IF(D4459&lt;&gt;"",VLOOKUP(H4459,TABLEITEM,3,FALSE),"")</f>
        <v>MCCB A1C125 3P 30A 25KA</v>
      </c>
      <c r="N4459" s="14">
        <f>INSTOCK!$I4459*INSTOCK!$K4459</f>
        <v>1170</v>
      </c>
      <c r="O4459" s="4" t="s">
        <v>1718</v>
      </c>
      <c r="P4459" s="4"/>
    </row>
    <row r="4460" ht="15.75" hidden="1" customHeight="1">
      <c r="B4460" s="8">
        <v>4784.0</v>
      </c>
      <c r="C4460" s="9">
        <v>43417.0</v>
      </c>
      <c r="D4460" s="6" t="s">
        <v>5564</v>
      </c>
      <c r="E4460" s="4">
        <v>6.111001408E9</v>
      </c>
      <c r="F4460" s="8" t="s">
        <v>5565</v>
      </c>
      <c r="G4460" s="4" t="s">
        <v>1596</v>
      </c>
      <c r="H4460" s="10" t="s">
        <v>1769</v>
      </c>
      <c r="I4460" s="10">
        <v>1.0</v>
      </c>
      <c r="J4460" s="11" t="str">
        <f>IF(D4460&lt;&gt;"",VLOOKUP(H4460,TABLEITEM,5,FALSE),"")</f>
        <v>EA</v>
      </c>
      <c r="K4460" s="12">
        <v>1170.0</v>
      </c>
      <c r="L4460" s="13" t="str">
        <f>IF(D4460&lt;&gt;"",VLOOKUP(H4460,TABLEITEM,2,FALSE),"")</f>
        <v/>
      </c>
      <c r="M4460" s="13" t="str">
        <f>IF(D4460&lt;&gt;"",VLOOKUP(H4460,TABLEITEM,3,FALSE),"")</f>
        <v>MCCB A1C125 3P 50A 25KA</v>
      </c>
      <c r="N4460" s="14">
        <f>INSTOCK!$I4460*INSTOCK!$K4460</f>
        <v>1170</v>
      </c>
      <c r="O4460" s="4" t="s">
        <v>1718</v>
      </c>
      <c r="P4460" s="4"/>
    </row>
    <row r="4461" ht="15.75" hidden="1" customHeight="1">
      <c r="B4461" s="8">
        <v>4785.0</v>
      </c>
      <c r="C4461" s="9">
        <v>43417.0</v>
      </c>
      <c r="D4461" s="6" t="s">
        <v>5564</v>
      </c>
      <c r="E4461" s="4">
        <v>6.111001408E9</v>
      </c>
      <c r="F4461" s="8" t="s">
        <v>5565</v>
      </c>
      <c r="G4461" s="4" t="s">
        <v>1596</v>
      </c>
      <c r="H4461" s="10" t="s">
        <v>1803</v>
      </c>
      <c r="I4461" s="10">
        <v>12.0</v>
      </c>
      <c r="J4461" s="11" t="str">
        <f>IF(D4461&lt;&gt;"",VLOOKUP(H4461,TABLEITEM,5,FALSE),"")</f>
        <v>EA</v>
      </c>
      <c r="K4461" s="12">
        <v>74.0</v>
      </c>
      <c r="L4461" s="13" t="str">
        <f>IF(D4461&lt;&gt;"",VLOOKUP(H4461,TABLEITEM,2,FALSE),"")</f>
        <v/>
      </c>
      <c r="M4461" s="13" t="str">
        <f>IF(D4461&lt;&gt;"",VLOOKUP(H4461,TABLEITEM,3,FALSE),"")</f>
        <v>MCB SH201-C32</v>
      </c>
      <c r="N4461" s="14">
        <f>INSTOCK!$I4461*INSTOCK!$K4461</f>
        <v>888</v>
      </c>
      <c r="O4461" s="4" t="s">
        <v>1598</v>
      </c>
      <c r="P4461" s="4"/>
    </row>
    <row r="4462" ht="15.75" hidden="1" customHeight="1">
      <c r="B4462" s="8">
        <v>4786.0</v>
      </c>
      <c r="C4462" s="9">
        <v>43417.0</v>
      </c>
      <c r="D4462" s="6" t="s">
        <v>5564</v>
      </c>
      <c r="E4462" s="4">
        <v>6.111001408E9</v>
      </c>
      <c r="F4462" s="8" t="s">
        <v>5565</v>
      </c>
      <c r="G4462" s="4" t="s">
        <v>1596</v>
      </c>
      <c r="H4462" s="10" t="s">
        <v>1801</v>
      </c>
      <c r="I4462" s="10">
        <v>3.0</v>
      </c>
      <c r="J4462" s="11" t="str">
        <f>IF(D4462&lt;&gt;"",VLOOKUP(H4462,TABLEITEM,5,FALSE),"")</f>
        <v>EA</v>
      </c>
      <c r="K4462" s="12">
        <v>578.0</v>
      </c>
      <c r="L4462" s="13" t="str">
        <f>IF(D4462&lt;&gt;"",VLOOKUP(H4462,TABLEITEM,2,FALSE),"")</f>
        <v/>
      </c>
      <c r="M4462" s="13" t="str">
        <f>IF(D4462&lt;&gt;"",VLOOKUP(H4462,TABLEITEM,3,FALSE),"")</f>
        <v>Consumer Unit SCP-10</v>
      </c>
      <c r="N4462" s="14">
        <f>INSTOCK!$I4462*INSTOCK!$K4462</f>
        <v>1734</v>
      </c>
      <c r="O4462" s="4" t="s">
        <v>5566</v>
      </c>
      <c r="P4462" s="4"/>
    </row>
    <row r="4463" ht="15.75" hidden="1" customHeight="1">
      <c r="B4463" s="8">
        <v>4787.0</v>
      </c>
      <c r="C4463" s="9">
        <v>43417.0</v>
      </c>
      <c r="D4463" s="6" t="s">
        <v>5564</v>
      </c>
      <c r="E4463" s="4">
        <v>6.111001408E9</v>
      </c>
      <c r="F4463" s="8" t="s">
        <v>5565</v>
      </c>
      <c r="G4463" s="4" t="s">
        <v>1596</v>
      </c>
      <c r="H4463" s="10" t="s">
        <v>1717</v>
      </c>
      <c r="I4463" s="10">
        <v>1.0</v>
      </c>
      <c r="J4463" s="11" t="str">
        <f>IF(D4463&lt;&gt;"",VLOOKUP(H4463,TABLEITEM,5,FALSE),"")</f>
        <v>EA</v>
      </c>
      <c r="K4463" s="12">
        <v>1170.0</v>
      </c>
      <c r="L4463" s="13" t="str">
        <f>IF(D4463&lt;&gt;"",VLOOKUP(H4463,TABLEITEM,2,FALSE),"")</f>
        <v/>
      </c>
      <c r="M4463" s="13" t="str">
        <f>IF(D4463&lt;&gt;"",VLOOKUP(H4463,TABLEITEM,3,FALSE),"")</f>
        <v>MCCB A1C125 3P 60A 25KA</v>
      </c>
      <c r="N4463" s="14">
        <f>INSTOCK!$I4463*INSTOCK!$K4463</f>
        <v>1170</v>
      </c>
      <c r="O4463" s="4" t="s">
        <v>1718</v>
      </c>
      <c r="P4463" s="4"/>
    </row>
    <row r="4464" ht="15.75" hidden="1" customHeight="1">
      <c r="B4464" s="8">
        <v>4788.0</v>
      </c>
      <c r="C4464" s="9">
        <v>43417.0</v>
      </c>
      <c r="D4464" s="6" t="s">
        <v>5564</v>
      </c>
      <c r="E4464" s="4">
        <v>6.111001408E9</v>
      </c>
      <c r="F4464" s="8" t="s">
        <v>5565</v>
      </c>
      <c r="G4464" s="4" t="s">
        <v>1596</v>
      </c>
      <c r="H4464" s="10" t="s">
        <v>1769</v>
      </c>
      <c r="I4464" s="10">
        <v>1.0</v>
      </c>
      <c r="J4464" s="11" t="str">
        <f>IF(D4464&lt;&gt;"",VLOOKUP(H4464,TABLEITEM,5,FALSE),"")</f>
        <v>EA</v>
      </c>
      <c r="K4464" s="12">
        <v>1170.0</v>
      </c>
      <c r="L4464" s="13" t="str">
        <f>IF(D4464&lt;&gt;"",VLOOKUP(H4464,TABLEITEM,2,FALSE),"")</f>
        <v/>
      </c>
      <c r="M4464" s="13" t="str">
        <f>IF(D4464&lt;&gt;"",VLOOKUP(H4464,TABLEITEM,3,FALSE),"")</f>
        <v>MCCB A1C125 3P 50A 25KA</v>
      </c>
      <c r="N4464" s="14">
        <f>INSTOCK!$I4464*INSTOCK!$K4464</f>
        <v>1170</v>
      </c>
      <c r="O4464" s="4" t="s">
        <v>1718</v>
      </c>
      <c r="P4464" s="4"/>
    </row>
    <row r="4465" ht="15.75" hidden="1" customHeight="1">
      <c r="B4465" s="8">
        <v>4789.0</v>
      </c>
      <c r="C4465" s="9">
        <v>43417.0</v>
      </c>
      <c r="D4465" s="6" t="s">
        <v>5564</v>
      </c>
      <c r="E4465" s="4">
        <v>6.111001408E9</v>
      </c>
      <c r="F4465" s="8" t="s">
        <v>5565</v>
      </c>
      <c r="G4465" s="4" t="s">
        <v>1596</v>
      </c>
      <c r="H4465" s="10" t="s">
        <v>1801</v>
      </c>
      <c r="I4465" s="10">
        <v>3.0</v>
      </c>
      <c r="J4465" s="11" t="str">
        <f>IF(D4465&lt;&gt;"",VLOOKUP(H4465,TABLEITEM,5,FALSE),"")</f>
        <v>EA</v>
      </c>
      <c r="K4465" s="12">
        <v>578.0</v>
      </c>
      <c r="L4465" s="13" t="str">
        <f>IF(D4465&lt;&gt;"",VLOOKUP(H4465,TABLEITEM,2,FALSE),"")</f>
        <v/>
      </c>
      <c r="M4465" s="13" t="str">
        <f>IF(D4465&lt;&gt;"",VLOOKUP(H4465,TABLEITEM,3,FALSE),"")</f>
        <v>Consumer Unit SCP-10</v>
      </c>
      <c r="N4465" s="14">
        <f>INSTOCK!$I4465*INSTOCK!$K4465</f>
        <v>1734</v>
      </c>
      <c r="O4465" s="4" t="s">
        <v>5566</v>
      </c>
      <c r="P4465" s="4"/>
    </row>
    <row r="4466" ht="15.75" hidden="1" customHeight="1">
      <c r="B4466" s="8">
        <v>4790.0</v>
      </c>
      <c r="C4466" s="9">
        <v>43417.0</v>
      </c>
      <c r="D4466" s="6" t="s">
        <v>5564</v>
      </c>
      <c r="E4466" s="4">
        <v>6.111001408E9</v>
      </c>
      <c r="F4466" s="8" t="s">
        <v>5565</v>
      </c>
      <c r="G4466" s="4" t="s">
        <v>1596</v>
      </c>
      <c r="H4466" s="10" t="s">
        <v>1795</v>
      </c>
      <c r="I4466" s="10">
        <v>18.0</v>
      </c>
      <c r="J4466" s="11" t="str">
        <f>IF(D4466&lt;&gt;"",VLOOKUP(H4466,TABLEITEM,5,FALSE),"")</f>
        <v>EA</v>
      </c>
      <c r="K4466" s="12">
        <v>74.0</v>
      </c>
      <c r="L4466" s="13" t="str">
        <f>IF(D4466&lt;&gt;"",VLOOKUP(H4466,TABLEITEM,2,FALSE),"")</f>
        <v/>
      </c>
      <c r="M4466" s="13" t="str">
        <f>IF(D4466&lt;&gt;"",VLOOKUP(H4466,TABLEITEM,3,FALSE),"")</f>
        <v>MCB SH201-C20</v>
      </c>
      <c r="N4466" s="14">
        <f>INSTOCK!$I4466*INSTOCK!$K4466</f>
        <v>1332</v>
      </c>
      <c r="O4466" s="4" t="s">
        <v>1598</v>
      </c>
      <c r="P4466" s="4"/>
    </row>
    <row r="4467" ht="15.75" hidden="1" customHeight="1">
      <c r="B4467" s="8">
        <v>4791.0</v>
      </c>
      <c r="C4467" s="9">
        <v>43417.0</v>
      </c>
      <c r="D4467" s="6" t="s">
        <v>5564</v>
      </c>
      <c r="E4467" s="4">
        <v>6.111001408E9</v>
      </c>
      <c r="F4467" s="8" t="s">
        <v>5565</v>
      </c>
      <c r="G4467" s="4" t="s">
        <v>1596</v>
      </c>
      <c r="H4467" s="10" t="s">
        <v>1803</v>
      </c>
      <c r="I4467" s="10">
        <v>12.0</v>
      </c>
      <c r="J4467" s="11" t="str">
        <f>IF(D4467&lt;&gt;"",VLOOKUP(H4467,TABLEITEM,5,FALSE),"")</f>
        <v>EA</v>
      </c>
      <c r="K4467" s="12">
        <v>74.0</v>
      </c>
      <c r="L4467" s="13" t="str">
        <f>IF(D4467&lt;&gt;"",VLOOKUP(H4467,TABLEITEM,2,FALSE),"")</f>
        <v/>
      </c>
      <c r="M4467" s="13" t="str">
        <f>IF(D4467&lt;&gt;"",VLOOKUP(H4467,TABLEITEM,3,FALSE),"")</f>
        <v>MCB SH201-C32</v>
      </c>
      <c r="N4467" s="14">
        <f>INSTOCK!$I4467*INSTOCK!$K4467</f>
        <v>888</v>
      </c>
      <c r="O4467" s="4" t="s">
        <v>1598</v>
      </c>
      <c r="P4467" s="4"/>
    </row>
    <row r="4468" ht="15.75" hidden="1" customHeight="1">
      <c r="B4468" s="8">
        <v>4792.0</v>
      </c>
      <c r="C4468" s="9">
        <v>43417.0</v>
      </c>
      <c r="D4468" s="6" t="s">
        <v>5564</v>
      </c>
      <c r="E4468" s="4">
        <v>6.111001408E9</v>
      </c>
      <c r="F4468" s="8" t="s">
        <v>5565</v>
      </c>
      <c r="G4468" s="4" t="s">
        <v>1596</v>
      </c>
      <c r="H4468" s="10" t="s">
        <v>1717</v>
      </c>
      <c r="I4468" s="10">
        <v>1.0</v>
      </c>
      <c r="J4468" s="11" t="str">
        <f>IF(D4468&lt;&gt;"",VLOOKUP(H4468,TABLEITEM,5,FALSE),"")</f>
        <v>EA</v>
      </c>
      <c r="K4468" s="12">
        <v>1170.0</v>
      </c>
      <c r="L4468" s="13" t="str">
        <f>IF(D4468&lt;&gt;"",VLOOKUP(H4468,TABLEITEM,2,FALSE),"")</f>
        <v/>
      </c>
      <c r="M4468" s="13" t="str">
        <f>IF(D4468&lt;&gt;"",VLOOKUP(H4468,TABLEITEM,3,FALSE),"")</f>
        <v>MCCB A1C125 3P 60A 25KA</v>
      </c>
      <c r="N4468" s="14">
        <f>INSTOCK!$I4468*INSTOCK!$K4468</f>
        <v>1170</v>
      </c>
      <c r="O4468" s="4" t="s">
        <v>1718</v>
      </c>
      <c r="P4468" s="4"/>
    </row>
    <row r="4469" ht="15.75" hidden="1" customHeight="1">
      <c r="B4469" s="8">
        <v>4793.0</v>
      </c>
      <c r="C4469" s="9">
        <v>43417.0</v>
      </c>
      <c r="D4469" s="6" t="s">
        <v>5564</v>
      </c>
      <c r="E4469" s="4">
        <v>6.111001408E9</v>
      </c>
      <c r="F4469" s="8" t="s">
        <v>5565</v>
      </c>
      <c r="G4469" s="4" t="s">
        <v>1596</v>
      </c>
      <c r="H4469" s="10" t="s">
        <v>1769</v>
      </c>
      <c r="I4469" s="10">
        <v>1.0</v>
      </c>
      <c r="J4469" s="11" t="str">
        <f>IF(D4469&lt;&gt;"",VLOOKUP(H4469,TABLEITEM,5,FALSE),"")</f>
        <v>EA</v>
      </c>
      <c r="K4469" s="12">
        <v>1170.0</v>
      </c>
      <c r="L4469" s="13" t="str">
        <f>IF(D4469&lt;&gt;"",VLOOKUP(H4469,TABLEITEM,2,FALSE),"")</f>
        <v/>
      </c>
      <c r="M4469" s="13" t="str">
        <f>IF(D4469&lt;&gt;"",VLOOKUP(H4469,TABLEITEM,3,FALSE),"")</f>
        <v>MCCB A1C125 3P 50A 25KA</v>
      </c>
      <c r="N4469" s="14">
        <f>INSTOCK!$I4469*INSTOCK!$K4469</f>
        <v>1170</v>
      </c>
      <c r="O4469" s="4" t="s">
        <v>1718</v>
      </c>
      <c r="P4469" s="4"/>
    </row>
    <row r="4470" ht="15.75" hidden="1" customHeight="1">
      <c r="B4470" s="8">
        <v>4794.0</v>
      </c>
      <c r="C4470" s="9">
        <v>43417.0</v>
      </c>
      <c r="D4470" s="6" t="s">
        <v>5564</v>
      </c>
      <c r="E4470" s="4">
        <v>6.111001408E9</v>
      </c>
      <c r="F4470" s="8" t="s">
        <v>5565</v>
      </c>
      <c r="G4470" s="4" t="s">
        <v>1596</v>
      </c>
      <c r="H4470" s="10" t="s">
        <v>1795</v>
      </c>
      <c r="I4470" s="10">
        <v>12.0</v>
      </c>
      <c r="J4470" s="11" t="str">
        <f>IF(D4470&lt;&gt;"",VLOOKUP(H4470,TABLEITEM,5,FALSE),"")</f>
        <v>EA</v>
      </c>
      <c r="K4470" s="12">
        <v>74.0</v>
      </c>
      <c r="L4470" s="13" t="str">
        <f>IF(D4470&lt;&gt;"",VLOOKUP(H4470,TABLEITEM,2,FALSE),"")</f>
        <v/>
      </c>
      <c r="M4470" s="13" t="str">
        <f>IF(D4470&lt;&gt;"",VLOOKUP(H4470,TABLEITEM,3,FALSE),"")</f>
        <v>MCB SH201-C20</v>
      </c>
      <c r="N4470" s="14">
        <f>INSTOCK!$I4470*INSTOCK!$K4470</f>
        <v>888</v>
      </c>
      <c r="O4470" s="4" t="s">
        <v>1598</v>
      </c>
      <c r="P4470" s="4"/>
    </row>
    <row r="4471" ht="15.75" hidden="1" customHeight="1">
      <c r="B4471" s="8">
        <v>4795.0</v>
      </c>
      <c r="C4471" s="9">
        <v>43417.0</v>
      </c>
      <c r="D4471" s="6" t="s">
        <v>5564</v>
      </c>
      <c r="E4471" s="4">
        <v>6.111001408E9</v>
      </c>
      <c r="F4471" s="8" t="s">
        <v>5565</v>
      </c>
      <c r="G4471" s="4" t="s">
        <v>1596</v>
      </c>
      <c r="H4471" s="10" t="s">
        <v>1803</v>
      </c>
      <c r="I4471" s="10">
        <v>6.0</v>
      </c>
      <c r="J4471" s="11" t="str">
        <f>IF(D4471&lt;&gt;"",VLOOKUP(H4471,TABLEITEM,5,FALSE),"")</f>
        <v>EA</v>
      </c>
      <c r="K4471" s="12">
        <v>74.0</v>
      </c>
      <c r="L4471" s="13" t="str">
        <f>IF(D4471&lt;&gt;"",VLOOKUP(H4471,TABLEITEM,2,FALSE),"")</f>
        <v/>
      </c>
      <c r="M4471" s="13" t="str">
        <f>IF(D4471&lt;&gt;"",VLOOKUP(H4471,TABLEITEM,3,FALSE),"")</f>
        <v>MCB SH201-C32</v>
      </c>
      <c r="N4471" s="14">
        <f>INSTOCK!$I4471*INSTOCK!$K4471</f>
        <v>444</v>
      </c>
      <c r="O4471" s="4" t="s">
        <v>1598</v>
      </c>
      <c r="P4471" s="4"/>
    </row>
    <row r="4472" ht="15.75" hidden="1" customHeight="1">
      <c r="B4472" s="8">
        <v>4796.0</v>
      </c>
      <c r="C4472" s="9">
        <v>43417.0</v>
      </c>
      <c r="D4472" s="6" t="s">
        <v>5564</v>
      </c>
      <c r="E4472" s="4">
        <v>6.111001408E9</v>
      </c>
      <c r="F4472" s="8" t="s">
        <v>5565</v>
      </c>
      <c r="G4472" s="4" t="s">
        <v>1596</v>
      </c>
      <c r="H4472" s="10" t="s">
        <v>1801</v>
      </c>
      <c r="I4472" s="10">
        <v>3.0</v>
      </c>
      <c r="J4472" s="11" t="str">
        <f>IF(D4472&lt;&gt;"",VLOOKUP(H4472,TABLEITEM,5,FALSE),"")</f>
        <v>EA</v>
      </c>
      <c r="K4472" s="12">
        <v>456.0</v>
      </c>
      <c r="L4472" s="13" t="str">
        <f>IF(D4472&lt;&gt;"",VLOOKUP(H4472,TABLEITEM,2,FALSE),"")</f>
        <v/>
      </c>
      <c r="M4472" s="13" t="str">
        <f>IF(D4472&lt;&gt;"",VLOOKUP(H4472,TABLEITEM,3,FALSE),"")</f>
        <v>Consumer Unit SCP-10</v>
      </c>
      <c r="N4472" s="14">
        <f>INSTOCK!$I4472*INSTOCK!$K4472</f>
        <v>1368</v>
      </c>
      <c r="O4472" s="4" t="s">
        <v>1799</v>
      </c>
      <c r="P4472" s="4"/>
    </row>
    <row r="4473" ht="15.75" hidden="1" customHeight="1">
      <c r="B4473" s="8">
        <v>4797.0</v>
      </c>
      <c r="C4473" s="9">
        <v>43417.0</v>
      </c>
      <c r="D4473" s="6" t="s">
        <v>5567</v>
      </c>
      <c r="E4473" s="4">
        <v>6.111001405E9</v>
      </c>
      <c r="F4473" s="8" t="s">
        <v>5565</v>
      </c>
      <c r="G4473" s="4" t="s">
        <v>1596</v>
      </c>
      <c r="H4473" s="10" t="s">
        <v>1769</v>
      </c>
      <c r="I4473" s="10">
        <v>1.0</v>
      </c>
      <c r="J4473" s="11" t="str">
        <f>IF(D4473&lt;&gt;"",VLOOKUP(H4473,TABLEITEM,5,FALSE),"")</f>
        <v>EA</v>
      </c>
      <c r="K4473" s="12">
        <v>1170.0</v>
      </c>
      <c r="L4473" s="13" t="str">
        <f>IF(D4473&lt;&gt;"",VLOOKUP(H4473,TABLEITEM,2,FALSE),"")</f>
        <v/>
      </c>
      <c r="M4473" s="13" t="str">
        <f>IF(D4473&lt;&gt;"",VLOOKUP(H4473,TABLEITEM,3,FALSE),"")</f>
        <v>MCCB A1C125 3P 50A 25KA</v>
      </c>
      <c r="N4473" s="14">
        <f>INSTOCK!$I4473*INSTOCK!$K4473</f>
        <v>1170</v>
      </c>
      <c r="O4473" s="4"/>
      <c r="P4473" s="4"/>
    </row>
    <row r="4474" ht="15.75" hidden="1" customHeight="1">
      <c r="B4474" s="8">
        <v>4798.0</v>
      </c>
      <c r="C4474" s="9">
        <v>43417.0</v>
      </c>
      <c r="D4474" s="6" t="s">
        <v>5567</v>
      </c>
      <c r="E4474" s="4">
        <v>6.111001405E9</v>
      </c>
      <c r="F4474" s="8" t="s">
        <v>5565</v>
      </c>
      <c r="G4474" s="4" t="s">
        <v>1596</v>
      </c>
      <c r="H4474" s="10" t="s">
        <v>1694</v>
      </c>
      <c r="I4474" s="10">
        <v>3.0</v>
      </c>
      <c r="J4474" s="11" t="str">
        <f>IF(D4474&lt;&gt;"",VLOOKUP(H4474,TABLEITEM,5,FALSE),"")</f>
        <v>EA</v>
      </c>
      <c r="K4474" s="12">
        <v>1012.0</v>
      </c>
      <c r="L4474" s="13" t="str">
        <f>IF(D4474&lt;&gt;"",VLOOKUP(H4474,TABLEITEM,2,FALSE),"")</f>
        <v/>
      </c>
      <c r="M4474" s="13" t="str">
        <f>IF(D4474&lt;&gt;"",VLOOKUP(H4474,TABLEITEM,3,FALSE),"")</f>
        <v>Circuil Breaker FH202AC-40/0.03</v>
      </c>
      <c r="N4474" s="14">
        <f>INSTOCK!$I4474*INSTOCK!$K4474</f>
        <v>3036</v>
      </c>
      <c r="O4474" s="4"/>
      <c r="P4474" s="4"/>
    </row>
    <row r="4475" ht="15.75" hidden="1" customHeight="1">
      <c r="B4475" s="8">
        <v>4799.0</v>
      </c>
      <c r="C4475" s="9">
        <v>43417.0</v>
      </c>
      <c r="D4475" s="6" t="s">
        <v>5567</v>
      </c>
      <c r="E4475" s="4">
        <v>6.111001405E9</v>
      </c>
      <c r="F4475" s="8" t="s">
        <v>5565</v>
      </c>
      <c r="G4475" s="4" t="s">
        <v>1596</v>
      </c>
      <c r="H4475" s="10" t="s">
        <v>1798</v>
      </c>
      <c r="I4475" s="10">
        <v>21.0</v>
      </c>
      <c r="J4475" s="11" t="str">
        <f>IF(D4475&lt;&gt;"",VLOOKUP(H4475,TABLEITEM,5,FALSE),"")</f>
        <v>EA</v>
      </c>
      <c r="K4475" s="12">
        <v>74.0</v>
      </c>
      <c r="L4475" s="13" t="str">
        <f>IF(D4475&lt;&gt;"",VLOOKUP(H4475,TABLEITEM,2,FALSE),"")</f>
        <v/>
      </c>
      <c r="M4475" s="13" t="str">
        <f>IF(D4475&lt;&gt;"",VLOOKUP(H4475,TABLEITEM,3,FALSE),"")</f>
        <v>MCB SH201-C10</v>
      </c>
      <c r="N4475" s="14">
        <f>INSTOCK!$I4475*INSTOCK!$K4475</f>
        <v>1554</v>
      </c>
      <c r="O4475" s="4"/>
      <c r="P4475" s="4"/>
    </row>
    <row r="4476" ht="15.75" hidden="1" customHeight="1">
      <c r="B4476" s="8">
        <v>4800.0</v>
      </c>
      <c r="C4476" s="9">
        <v>43417.0</v>
      </c>
      <c r="D4476" s="6" t="s">
        <v>5567</v>
      </c>
      <c r="E4476" s="4">
        <v>6.111001405E9</v>
      </c>
      <c r="F4476" s="8" t="s">
        <v>5565</v>
      </c>
      <c r="G4476" s="4" t="s">
        <v>1596</v>
      </c>
      <c r="H4476" s="10" t="s">
        <v>1721</v>
      </c>
      <c r="I4476" s="10">
        <v>3.0</v>
      </c>
      <c r="J4476" s="11" t="str">
        <f>IF(D4476&lt;&gt;"",VLOOKUP(H4476,TABLEITEM,5,FALSE),"")</f>
        <v>EA</v>
      </c>
      <c r="K4476" s="12">
        <v>456.0</v>
      </c>
      <c r="L4476" s="13" t="str">
        <f>IF(D4476&lt;&gt;"",VLOOKUP(H4476,TABLEITEM,2,FALSE),"")</f>
        <v/>
      </c>
      <c r="M4476" s="13" t="str">
        <f>IF(D4476&lt;&gt;"",VLOOKUP(H4476,TABLEITEM,3,FALSE),"")</f>
        <v>Consumer Unit SCP-07</v>
      </c>
      <c r="N4476" s="14">
        <f>INSTOCK!$I4476*INSTOCK!$K4476</f>
        <v>1368</v>
      </c>
      <c r="O4476" s="4"/>
      <c r="P4476" s="4"/>
    </row>
    <row r="4477" ht="15.75" hidden="1" customHeight="1">
      <c r="B4477" s="8">
        <v>4801.0</v>
      </c>
      <c r="C4477" s="9">
        <v>43417.0</v>
      </c>
      <c r="D4477" s="6" t="s">
        <v>5567</v>
      </c>
      <c r="E4477" s="4">
        <v>6.111001405E9</v>
      </c>
      <c r="F4477" s="8" t="s">
        <v>5565</v>
      </c>
      <c r="G4477" s="4" t="s">
        <v>1596</v>
      </c>
      <c r="H4477" s="10" t="s">
        <v>1769</v>
      </c>
      <c r="I4477" s="10">
        <v>1.0</v>
      </c>
      <c r="J4477" s="11" t="str">
        <f>IF(D4477&lt;&gt;"",VLOOKUP(H4477,TABLEITEM,5,FALSE),"")</f>
        <v>EA</v>
      </c>
      <c r="K4477" s="12">
        <v>1170.0</v>
      </c>
      <c r="L4477" s="13" t="str">
        <f>IF(D4477&lt;&gt;"",VLOOKUP(H4477,TABLEITEM,2,FALSE),"")</f>
        <v/>
      </c>
      <c r="M4477" s="13" t="str">
        <f>IF(D4477&lt;&gt;"",VLOOKUP(H4477,TABLEITEM,3,FALSE),"")</f>
        <v>MCCB A1C125 3P 50A 25KA</v>
      </c>
      <c r="N4477" s="14">
        <f>INSTOCK!$I4477*INSTOCK!$K4477</f>
        <v>1170</v>
      </c>
      <c r="O4477" s="4"/>
      <c r="P4477" s="4"/>
    </row>
    <row r="4478" ht="15.75" hidden="1" customHeight="1">
      <c r="B4478" s="8">
        <v>4802.0</v>
      </c>
      <c r="C4478" s="9">
        <v>43417.0</v>
      </c>
      <c r="D4478" s="6" t="s">
        <v>5567</v>
      </c>
      <c r="E4478" s="4">
        <v>6.111001405E9</v>
      </c>
      <c r="F4478" s="8" t="s">
        <v>5565</v>
      </c>
      <c r="G4478" s="4" t="s">
        <v>1596</v>
      </c>
      <c r="H4478" s="10" t="s">
        <v>1694</v>
      </c>
      <c r="I4478" s="10">
        <v>3.0</v>
      </c>
      <c r="J4478" s="11" t="str">
        <f>IF(D4478&lt;&gt;"",VLOOKUP(H4478,TABLEITEM,5,FALSE),"")</f>
        <v>EA</v>
      </c>
      <c r="K4478" s="12">
        <v>1012.0</v>
      </c>
      <c r="L4478" s="13" t="str">
        <f>IF(D4478&lt;&gt;"",VLOOKUP(H4478,TABLEITEM,2,FALSE),"")</f>
        <v/>
      </c>
      <c r="M4478" s="13" t="str">
        <f>IF(D4478&lt;&gt;"",VLOOKUP(H4478,TABLEITEM,3,FALSE),"")</f>
        <v>Circuil Breaker FH202AC-40/0.03</v>
      </c>
      <c r="N4478" s="14">
        <f>INSTOCK!$I4478*INSTOCK!$K4478</f>
        <v>3036</v>
      </c>
      <c r="O4478" s="4"/>
      <c r="P4478" s="4"/>
    </row>
    <row r="4479" ht="15.75" hidden="1" customHeight="1">
      <c r="B4479" s="8">
        <v>4803.0</v>
      </c>
      <c r="C4479" s="9">
        <v>43417.0</v>
      </c>
      <c r="D4479" s="6" t="s">
        <v>5567</v>
      </c>
      <c r="E4479" s="4">
        <v>6.111001405E9</v>
      </c>
      <c r="F4479" s="8" t="s">
        <v>5565</v>
      </c>
      <c r="G4479" s="4" t="s">
        <v>1596</v>
      </c>
      <c r="H4479" s="10" t="s">
        <v>1798</v>
      </c>
      <c r="I4479" s="10">
        <v>25.0</v>
      </c>
      <c r="J4479" s="11" t="str">
        <f>IF(D4479&lt;&gt;"",VLOOKUP(H4479,TABLEITEM,5,FALSE),"")</f>
        <v>EA</v>
      </c>
      <c r="K4479" s="12">
        <v>74.0</v>
      </c>
      <c r="L4479" s="13" t="str">
        <f>IF(D4479&lt;&gt;"",VLOOKUP(H4479,TABLEITEM,2,FALSE),"")</f>
        <v/>
      </c>
      <c r="M4479" s="13" t="str">
        <f>IF(D4479&lt;&gt;"",VLOOKUP(H4479,TABLEITEM,3,FALSE),"")</f>
        <v>MCB SH201-C10</v>
      </c>
      <c r="N4479" s="14">
        <f>INSTOCK!$I4479*INSTOCK!$K4479</f>
        <v>1850</v>
      </c>
      <c r="O4479" s="4"/>
      <c r="P4479" s="4"/>
    </row>
    <row r="4480" ht="15.75" hidden="1" customHeight="1">
      <c r="B4480" s="8">
        <v>4804.0</v>
      </c>
      <c r="C4480" s="9">
        <v>43417.0</v>
      </c>
      <c r="D4480" s="6" t="s">
        <v>5567</v>
      </c>
      <c r="E4480" s="4">
        <v>6.111001405E9</v>
      </c>
      <c r="F4480" s="8" t="s">
        <v>5565</v>
      </c>
      <c r="G4480" s="4" t="s">
        <v>1596</v>
      </c>
      <c r="H4480" s="10" t="s">
        <v>1801</v>
      </c>
      <c r="I4480" s="10">
        <v>3.0</v>
      </c>
      <c r="J4480" s="11" t="str">
        <f>IF(D4480&lt;&gt;"",VLOOKUP(H4480,TABLEITEM,5,FALSE),"")</f>
        <v>EA</v>
      </c>
      <c r="K4480" s="12">
        <v>578.0</v>
      </c>
      <c r="L4480" s="13" t="str">
        <f>IF(D4480&lt;&gt;"",VLOOKUP(H4480,TABLEITEM,2,FALSE),"")</f>
        <v/>
      </c>
      <c r="M4480" s="13" t="str">
        <f>IF(D4480&lt;&gt;"",VLOOKUP(H4480,TABLEITEM,3,FALSE),"")</f>
        <v>Consumer Unit SCP-10</v>
      </c>
      <c r="N4480" s="14">
        <f>INSTOCK!$I4480*INSTOCK!$K4480</f>
        <v>1734</v>
      </c>
      <c r="O4480" s="4"/>
      <c r="P4480" s="4"/>
    </row>
    <row r="4481" ht="15.75" hidden="1" customHeight="1">
      <c r="B4481" s="8">
        <v>4805.0</v>
      </c>
      <c r="C4481" s="9">
        <v>43417.0</v>
      </c>
      <c r="D4481" s="6" t="s">
        <v>5567</v>
      </c>
      <c r="E4481" s="4">
        <v>6.111001405E9</v>
      </c>
      <c r="F4481" s="8" t="s">
        <v>5565</v>
      </c>
      <c r="G4481" s="4" t="s">
        <v>1596</v>
      </c>
      <c r="H4481" s="10" t="s">
        <v>1769</v>
      </c>
      <c r="I4481" s="10">
        <v>1.0</v>
      </c>
      <c r="J4481" s="11" t="str">
        <f>IF(D4481&lt;&gt;"",VLOOKUP(H4481,TABLEITEM,5,FALSE),"")</f>
        <v>EA</v>
      </c>
      <c r="K4481" s="12">
        <v>1170.0</v>
      </c>
      <c r="L4481" s="13" t="str">
        <f>IF(D4481&lt;&gt;"",VLOOKUP(H4481,TABLEITEM,2,FALSE),"")</f>
        <v/>
      </c>
      <c r="M4481" s="13" t="str">
        <f>IF(D4481&lt;&gt;"",VLOOKUP(H4481,TABLEITEM,3,FALSE),"")</f>
        <v>MCCB A1C125 3P 50A 25KA</v>
      </c>
      <c r="N4481" s="14">
        <f>INSTOCK!$I4481*INSTOCK!$K4481</f>
        <v>1170</v>
      </c>
      <c r="O4481" s="4"/>
      <c r="P4481" s="4"/>
    </row>
    <row r="4482" ht="15.75" hidden="1" customHeight="1">
      <c r="B4482" s="8">
        <v>4806.0</v>
      </c>
      <c r="C4482" s="9">
        <v>43417.0</v>
      </c>
      <c r="D4482" s="6" t="s">
        <v>5567</v>
      </c>
      <c r="E4482" s="4">
        <v>6.111001405E9</v>
      </c>
      <c r="F4482" s="8" t="s">
        <v>5565</v>
      </c>
      <c r="G4482" s="4" t="s">
        <v>1596</v>
      </c>
      <c r="H4482" s="10" t="s">
        <v>1694</v>
      </c>
      <c r="I4482" s="10">
        <v>3.0</v>
      </c>
      <c r="J4482" s="11" t="str">
        <f>IF(D4482&lt;&gt;"",VLOOKUP(H4482,TABLEITEM,5,FALSE),"")</f>
        <v>EA</v>
      </c>
      <c r="K4482" s="12">
        <v>1012.0</v>
      </c>
      <c r="L4482" s="13" t="str">
        <f>IF(D4482&lt;&gt;"",VLOOKUP(H4482,TABLEITEM,2,FALSE),"")</f>
        <v/>
      </c>
      <c r="M4482" s="13" t="str">
        <f>IF(D4482&lt;&gt;"",VLOOKUP(H4482,TABLEITEM,3,FALSE),"")</f>
        <v>Circuil Breaker FH202AC-40/0.03</v>
      </c>
      <c r="N4482" s="14">
        <f>INSTOCK!$I4482*INSTOCK!$K4482</f>
        <v>3036</v>
      </c>
      <c r="O4482" s="4"/>
      <c r="P4482" s="4"/>
    </row>
    <row r="4483" ht="15.75" hidden="1" customHeight="1">
      <c r="B4483" s="8">
        <v>4807.0</v>
      </c>
      <c r="C4483" s="9">
        <v>43417.0</v>
      </c>
      <c r="D4483" s="6" t="s">
        <v>5567</v>
      </c>
      <c r="E4483" s="4">
        <v>6.111001405E9</v>
      </c>
      <c r="F4483" s="8" t="s">
        <v>5565</v>
      </c>
      <c r="G4483" s="4" t="s">
        <v>1596</v>
      </c>
      <c r="H4483" s="10" t="s">
        <v>1798</v>
      </c>
      <c r="I4483" s="10">
        <v>21.0</v>
      </c>
      <c r="J4483" s="11" t="str">
        <f>IF(D4483&lt;&gt;"",VLOOKUP(H4483,TABLEITEM,5,FALSE),"")</f>
        <v>EA</v>
      </c>
      <c r="K4483" s="12">
        <v>74.0</v>
      </c>
      <c r="L4483" s="13" t="str">
        <f>IF(D4483&lt;&gt;"",VLOOKUP(H4483,TABLEITEM,2,FALSE),"")</f>
        <v/>
      </c>
      <c r="M4483" s="13" t="str">
        <f>IF(D4483&lt;&gt;"",VLOOKUP(H4483,TABLEITEM,3,FALSE),"")</f>
        <v>MCB SH201-C10</v>
      </c>
      <c r="N4483" s="14">
        <f>INSTOCK!$I4483*INSTOCK!$K4483</f>
        <v>1554</v>
      </c>
      <c r="O4483" s="4"/>
      <c r="P4483" s="4"/>
    </row>
    <row r="4484" ht="15.75" hidden="1" customHeight="1">
      <c r="B4484" s="8">
        <v>4808.0</v>
      </c>
      <c r="C4484" s="9">
        <v>43417.0</v>
      </c>
      <c r="D4484" s="6" t="s">
        <v>5567</v>
      </c>
      <c r="E4484" s="4">
        <v>6.111001405E9</v>
      </c>
      <c r="F4484" s="8" t="s">
        <v>5565</v>
      </c>
      <c r="G4484" s="4" t="s">
        <v>1596</v>
      </c>
      <c r="H4484" s="10" t="s">
        <v>1721</v>
      </c>
      <c r="I4484" s="10">
        <v>3.0</v>
      </c>
      <c r="J4484" s="11" t="str">
        <f>IF(D4484&lt;&gt;"",VLOOKUP(H4484,TABLEITEM,5,FALSE),"")</f>
        <v>EA</v>
      </c>
      <c r="K4484" s="12">
        <v>456.0</v>
      </c>
      <c r="L4484" s="13" t="str">
        <f>IF(D4484&lt;&gt;"",VLOOKUP(H4484,TABLEITEM,2,FALSE),"")</f>
        <v/>
      </c>
      <c r="M4484" s="13" t="str">
        <f>IF(D4484&lt;&gt;"",VLOOKUP(H4484,TABLEITEM,3,FALSE),"")</f>
        <v>Consumer Unit SCP-07</v>
      </c>
      <c r="N4484" s="14">
        <f>INSTOCK!$I4484*INSTOCK!$K4484</f>
        <v>1368</v>
      </c>
      <c r="O4484" s="4"/>
      <c r="P4484" s="4"/>
    </row>
    <row r="4485" ht="15.75" hidden="1" customHeight="1">
      <c r="B4485" s="8">
        <v>4809.0</v>
      </c>
      <c r="C4485" s="9">
        <v>43417.0</v>
      </c>
      <c r="D4485" s="6" t="s">
        <v>5567</v>
      </c>
      <c r="E4485" s="4">
        <v>6.111001405E9</v>
      </c>
      <c r="F4485" s="8" t="s">
        <v>5565</v>
      </c>
      <c r="G4485" s="4" t="s">
        <v>1596</v>
      </c>
      <c r="H4485" s="10" t="s">
        <v>1769</v>
      </c>
      <c r="I4485" s="10">
        <v>2.0</v>
      </c>
      <c r="J4485" s="11" t="str">
        <f>IF(D4485&lt;&gt;"",VLOOKUP(H4485,TABLEITEM,5,FALSE),"")</f>
        <v>EA</v>
      </c>
      <c r="K4485" s="12">
        <v>1170.0</v>
      </c>
      <c r="L4485" s="13" t="str">
        <f>IF(D4485&lt;&gt;"",VLOOKUP(H4485,TABLEITEM,2,FALSE),"")</f>
        <v/>
      </c>
      <c r="M4485" s="13" t="str">
        <f>IF(D4485&lt;&gt;"",VLOOKUP(H4485,TABLEITEM,3,FALSE),"")</f>
        <v>MCCB A1C125 3P 50A 25KA</v>
      </c>
      <c r="N4485" s="14">
        <f>INSTOCK!$I4485*INSTOCK!$K4485</f>
        <v>2340</v>
      </c>
      <c r="O4485" s="4"/>
      <c r="P4485" s="4"/>
    </row>
    <row r="4486" ht="15.75" hidden="1" customHeight="1">
      <c r="B4486" s="8">
        <v>4810.0</v>
      </c>
      <c r="C4486" s="9">
        <v>43417.0</v>
      </c>
      <c r="D4486" s="6" t="s">
        <v>5567</v>
      </c>
      <c r="E4486" s="4">
        <v>6.111001405E9</v>
      </c>
      <c r="F4486" s="8" t="s">
        <v>5565</v>
      </c>
      <c r="G4486" s="4" t="s">
        <v>1596</v>
      </c>
      <c r="H4486" s="10" t="s">
        <v>1694</v>
      </c>
      <c r="I4486" s="10">
        <v>3.0</v>
      </c>
      <c r="J4486" s="11" t="str">
        <f>IF(D4486&lt;&gt;"",VLOOKUP(H4486,TABLEITEM,5,FALSE),"")</f>
        <v>EA</v>
      </c>
      <c r="K4486" s="12">
        <v>1012.0</v>
      </c>
      <c r="L4486" s="13" t="str">
        <f>IF(D4486&lt;&gt;"",VLOOKUP(H4486,TABLEITEM,2,FALSE),"")</f>
        <v/>
      </c>
      <c r="M4486" s="13" t="str">
        <f>IF(D4486&lt;&gt;"",VLOOKUP(H4486,TABLEITEM,3,FALSE),"")</f>
        <v>Circuil Breaker FH202AC-40/0.03</v>
      </c>
      <c r="N4486" s="14">
        <f>INSTOCK!$I4486*INSTOCK!$K4486</f>
        <v>3036</v>
      </c>
      <c r="O4486" s="4"/>
      <c r="P4486" s="4"/>
    </row>
    <row r="4487" ht="15.75" hidden="1" customHeight="1">
      <c r="B4487" s="8">
        <v>4811.0</v>
      </c>
      <c r="C4487" s="9">
        <v>43417.0</v>
      </c>
      <c r="D4487" s="6" t="s">
        <v>5567</v>
      </c>
      <c r="E4487" s="4">
        <v>6.111001405E9</v>
      </c>
      <c r="F4487" s="8" t="s">
        <v>5565</v>
      </c>
      <c r="G4487" s="4" t="s">
        <v>1596</v>
      </c>
      <c r="H4487" s="10" t="s">
        <v>1795</v>
      </c>
      <c r="I4487" s="10">
        <v>12.0</v>
      </c>
      <c r="J4487" s="11" t="str">
        <f>IF(D4487&lt;&gt;"",VLOOKUP(H4487,TABLEITEM,5,FALSE),"")</f>
        <v>EA</v>
      </c>
      <c r="K4487" s="12">
        <v>74.0</v>
      </c>
      <c r="L4487" s="13" t="str">
        <f>IF(D4487&lt;&gt;"",VLOOKUP(H4487,TABLEITEM,2,FALSE),"")</f>
        <v/>
      </c>
      <c r="M4487" s="13" t="str">
        <f>IF(D4487&lt;&gt;"",VLOOKUP(H4487,TABLEITEM,3,FALSE),"")</f>
        <v>MCB SH201-C20</v>
      </c>
      <c r="N4487" s="14">
        <f>INSTOCK!$I4487*INSTOCK!$K4487</f>
        <v>888</v>
      </c>
      <c r="O4487" s="4"/>
      <c r="P4487" s="4"/>
    </row>
    <row r="4488" ht="15.75" hidden="1" customHeight="1">
      <c r="B4488" s="8">
        <v>4812.0</v>
      </c>
      <c r="C4488" s="9">
        <v>43417.0</v>
      </c>
      <c r="D4488" s="6" t="s">
        <v>5567</v>
      </c>
      <c r="E4488" s="4">
        <v>6.111001405E9</v>
      </c>
      <c r="F4488" s="8" t="s">
        <v>5565</v>
      </c>
      <c r="G4488" s="4" t="s">
        <v>1596</v>
      </c>
      <c r="H4488" s="10" t="s">
        <v>1803</v>
      </c>
      <c r="I4488" s="10">
        <v>9.0</v>
      </c>
      <c r="J4488" s="11" t="str">
        <f>IF(D4488&lt;&gt;"",VLOOKUP(H4488,TABLEITEM,5,FALSE),"")</f>
        <v>EA</v>
      </c>
      <c r="K4488" s="12">
        <v>74.0</v>
      </c>
      <c r="L4488" s="13" t="str">
        <f>IF(D4488&lt;&gt;"",VLOOKUP(H4488,TABLEITEM,2,FALSE),"")</f>
        <v/>
      </c>
      <c r="M4488" s="13" t="str">
        <f>IF(D4488&lt;&gt;"",VLOOKUP(H4488,TABLEITEM,3,FALSE),"")</f>
        <v>MCB SH201-C32</v>
      </c>
      <c r="N4488" s="14">
        <f>INSTOCK!$I4488*INSTOCK!$K4488</f>
        <v>666</v>
      </c>
      <c r="O4488" s="4"/>
      <c r="P4488" s="4"/>
    </row>
    <row r="4489" ht="15.75" hidden="1" customHeight="1">
      <c r="B4489" s="8">
        <v>4813.0</v>
      </c>
      <c r="C4489" s="9">
        <v>43417.0</v>
      </c>
      <c r="D4489" s="6" t="s">
        <v>5567</v>
      </c>
      <c r="E4489" s="4">
        <v>6.111001405E9</v>
      </c>
      <c r="F4489" s="8" t="s">
        <v>5565</v>
      </c>
      <c r="G4489" s="4" t="s">
        <v>1596</v>
      </c>
      <c r="H4489" s="10" t="s">
        <v>1721</v>
      </c>
      <c r="I4489" s="10">
        <v>3.0</v>
      </c>
      <c r="J4489" s="11" t="str">
        <f>IF(D4489&lt;&gt;"",VLOOKUP(H4489,TABLEITEM,5,FALSE),"")</f>
        <v>EA</v>
      </c>
      <c r="K4489" s="12">
        <v>456.0</v>
      </c>
      <c r="L4489" s="13" t="str">
        <f>IF(D4489&lt;&gt;"",VLOOKUP(H4489,TABLEITEM,2,FALSE),"")</f>
        <v/>
      </c>
      <c r="M4489" s="13" t="str">
        <f>IF(D4489&lt;&gt;"",VLOOKUP(H4489,TABLEITEM,3,FALSE),"")</f>
        <v>Consumer Unit SCP-07</v>
      </c>
      <c r="N4489" s="14">
        <f>INSTOCK!$I4489*INSTOCK!$K4489</f>
        <v>1368</v>
      </c>
      <c r="O4489" s="4"/>
      <c r="P4489" s="4"/>
    </row>
    <row r="4490" ht="15.75" hidden="1" customHeight="1">
      <c r="B4490" s="8">
        <v>4814.0</v>
      </c>
      <c r="C4490" s="9">
        <v>43417.0</v>
      </c>
      <c r="D4490" s="6" t="s">
        <v>5567</v>
      </c>
      <c r="E4490" s="4">
        <v>6.111001405E9</v>
      </c>
      <c r="F4490" s="8" t="s">
        <v>5565</v>
      </c>
      <c r="G4490" s="4" t="s">
        <v>1596</v>
      </c>
      <c r="H4490" s="10" t="s">
        <v>1768</v>
      </c>
      <c r="I4490" s="10">
        <v>1.0</v>
      </c>
      <c r="J4490" s="11" t="str">
        <f>IF(D4490&lt;&gt;"",VLOOKUP(H4490,TABLEITEM,5,FALSE),"")</f>
        <v>EA</v>
      </c>
      <c r="K4490" s="12">
        <v>1170.0</v>
      </c>
      <c r="L4490" s="13" t="str">
        <f>IF(D4490&lt;&gt;"",VLOOKUP(H4490,TABLEITEM,2,FALSE),"")</f>
        <v/>
      </c>
      <c r="M4490" s="13" t="str">
        <f>IF(D4490&lt;&gt;"",VLOOKUP(H4490,TABLEITEM,3,FALSE),"")</f>
        <v>MCCB A1C125 3P 30A 25KA</v>
      </c>
      <c r="N4490" s="14">
        <f>INSTOCK!$I4490*INSTOCK!$K4490</f>
        <v>1170</v>
      </c>
      <c r="O4490" s="4"/>
      <c r="P4490" s="4"/>
    </row>
    <row r="4491" ht="15.75" hidden="1" customHeight="1">
      <c r="B4491" s="8">
        <v>4815.0</v>
      </c>
      <c r="C4491" s="9">
        <v>43417.0</v>
      </c>
      <c r="D4491" s="6" t="s">
        <v>5567</v>
      </c>
      <c r="E4491" s="4">
        <v>6.111001405E9</v>
      </c>
      <c r="F4491" s="8" t="s">
        <v>5565</v>
      </c>
      <c r="G4491" s="4" t="s">
        <v>1596</v>
      </c>
      <c r="H4491" s="10" t="s">
        <v>1694</v>
      </c>
      <c r="I4491" s="10">
        <v>2.0</v>
      </c>
      <c r="J4491" s="11" t="str">
        <f>IF(D4491&lt;&gt;"",VLOOKUP(H4491,TABLEITEM,5,FALSE),"")</f>
        <v>EA</v>
      </c>
      <c r="K4491" s="12">
        <v>1012.0</v>
      </c>
      <c r="L4491" s="13" t="str">
        <f>IF(D4491&lt;&gt;"",VLOOKUP(H4491,TABLEITEM,2,FALSE),"")</f>
        <v/>
      </c>
      <c r="M4491" s="13" t="str">
        <f>IF(D4491&lt;&gt;"",VLOOKUP(H4491,TABLEITEM,3,FALSE),"")</f>
        <v>Circuil Breaker FH202AC-40/0.03</v>
      </c>
      <c r="N4491" s="14">
        <f>INSTOCK!$I4491*INSTOCK!$K4491</f>
        <v>2024</v>
      </c>
      <c r="O4491" s="4"/>
      <c r="P4491" s="4"/>
    </row>
    <row r="4492" ht="15.75" hidden="1" customHeight="1">
      <c r="B4492" s="8">
        <v>4816.0</v>
      </c>
      <c r="C4492" s="9">
        <v>43417.0</v>
      </c>
      <c r="D4492" s="6" t="s">
        <v>5567</v>
      </c>
      <c r="E4492" s="4">
        <v>6.111001405E9</v>
      </c>
      <c r="F4492" s="8" t="s">
        <v>5565</v>
      </c>
      <c r="G4492" s="4" t="s">
        <v>1596</v>
      </c>
      <c r="H4492" s="10" t="s">
        <v>1798</v>
      </c>
      <c r="I4492" s="10">
        <v>10.0</v>
      </c>
      <c r="J4492" s="11" t="str">
        <f>IF(D4492&lt;&gt;"",VLOOKUP(H4492,TABLEITEM,5,FALSE),"")</f>
        <v>EA</v>
      </c>
      <c r="K4492" s="12">
        <v>74.0</v>
      </c>
      <c r="L4492" s="13" t="str">
        <f>IF(D4492&lt;&gt;"",VLOOKUP(H4492,TABLEITEM,2,FALSE),"")</f>
        <v/>
      </c>
      <c r="M4492" s="13" t="str">
        <f>IF(D4492&lt;&gt;"",VLOOKUP(H4492,TABLEITEM,3,FALSE),"")</f>
        <v>MCB SH201-C10</v>
      </c>
      <c r="N4492" s="14">
        <f>INSTOCK!$I4492*INSTOCK!$K4492</f>
        <v>740</v>
      </c>
      <c r="O4492" s="4"/>
      <c r="P4492" s="4"/>
    </row>
    <row r="4493" ht="15.75" hidden="1" customHeight="1">
      <c r="B4493" s="8">
        <v>4817.0</v>
      </c>
      <c r="C4493" s="9">
        <v>43417.0</v>
      </c>
      <c r="D4493" s="6" t="s">
        <v>5567</v>
      </c>
      <c r="E4493" s="4">
        <v>6.111001405E9</v>
      </c>
      <c r="F4493" s="8" t="s">
        <v>5565</v>
      </c>
      <c r="G4493" s="4" t="s">
        <v>1596</v>
      </c>
      <c r="H4493" s="10" t="s">
        <v>1721</v>
      </c>
      <c r="I4493" s="10">
        <v>3.0</v>
      </c>
      <c r="J4493" s="11" t="str">
        <f>IF(D4493&lt;&gt;"",VLOOKUP(H4493,TABLEITEM,5,FALSE),"")</f>
        <v>EA</v>
      </c>
      <c r="K4493" s="12">
        <v>456.0</v>
      </c>
      <c r="L4493" s="13" t="str">
        <f>IF(D4493&lt;&gt;"",VLOOKUP(H4493,TABLEITEM,2,FALSE),"")</f>
        <v/>
      </c>
      <c r="M4493" s="13" t="str">
        <f>IF(D4493&lt;&gt;"",VLOOKUP(H4493,TABLEITEM,3,FALSE),"")</f>
        <v>Consumer Unit SCP-07</v>
      </c>
      <c r="N4493" s="14">
        <f>INSTOCK!$I4493*INSTOCK!$K4493</f>
        <v>1368</v>
      </c>
      <c r="O4493" s="4"/>
      <c r="P4493" s="4"/>
    </row>
    <row r="4494" ht="15.75" hidden="1" customHeight="1">
      <c r="B4494" s="8">
        <v>4818.0</v>
      </c>
      <c r="C4494" s="9">
        <v>43417.0</v>
      </c>
      <c r="D4494" s="6" t="s">
        <v>5568</v>
      </c>
      <c r="E4494" s="4">
        <v>6.111001392E9</v>
      </c>
      <c r="F4494" s="8" t="s">
        <v>604</v>
      </c>
      <c r="G4494" s="4" t="s">
        <v>2056</v>
      </c>
      <c r="H4494" s="10" t="s">
        <v>5569</v>
      </c>
      <c r="I4494" s="10">
        <v>1500.0</v>
      </c>
      <c r="J4494" s="11" t="str">
        <f>IF(D4494&lt;&gt;"",VLOOKUP(H4494,TABLEITEM,5,FALSE),"")</f>
        <v>EA</v>
      </c>
      <c r="K4494" s="12">
        <v>3.3</v>
      </c>
      <c r="L4494" s="13" t="str">
        <f>IF(D4494&lt;&gt;"",VLOOKUP(H4494,TABLEITEM,2,FALSE),"")</f>
        <v/>
      </c>
      <c r="M4494" s="13" t="str">
        <f>IF(D4494&lt;&gt;"",VLOOKUP(H4494,TABLEITEM,3,FALSE),"")</f>
        <v>RIVKLEPLUS STEEL ZINC PLATED RK07 M10 235</v>
      </c>
      <c r="N4494" s="14">
        <f>INSTOCK!$I4494*INSTOCK!$K4494</f>
        <v>4950</v>
      </c>
      <c r="O4494" s="4"/>
      <c r="P4494" s="4"/>
    </row>
    <row r="4495" ht="15.75" hidden="1" customHeight="1">
      <c r="B4495" s="8">
        <v>4819.0</v>
      </c>
      <c r="C4495" s="9">
        <v>43417.0</v>
      </c>
      <c r="D4495" s="6" t="s">
        <v>5570</v>
      </c>
      <c r="E4495" s="4">
        <v>6.111001385E9</v>
      </c>
      <c r="F4495" s="8" t="s">
        <v>604</v>
      </c>
      <c r="G4495" s="4" t="s">
        <v>743</v>
      </c>
      <c r="H4495" s="10" t="s">
        <v>86</v>
      </c>
      <c r="I4495" s="10">
        <v>500.0</v>
      </c>
      <c r="J4495" s="11" t="str">
        <f>IF(D4495&lt;&gt;"",VLOOKUP(H4495,TABLEITEM,5,FALSE),"")</f>
        <v>KG.</v>
      </c>
      <c r="K4495" s="12">
        <v>139.0</v>
      </c>
      <c r="L4495" s="13" t="str">
        <f>IF(D4495&lt;&gt;"",VLOOKUP(H4495,TABLEITEM,2,FALSE),"")</f>
        <v/>
      </c>
      <c r="M4495" s="13" t="str">
        <f>IF(D4495&lt;&gt;"",VLOOKUP(H4495,TABLEITEM,3,FALSE),"")</f>
        <v>สีฝุ่น ครีมเรียบ 1204551PX20</v>
      </c>
      <c r="N4495" s="14">
        <f>INSTOCK!$I4495*INSTOCK!$K4495</f>
        <v>69500</v>
      </c>
      <c r="O4495" s="4"/>
      <c r="P4495" s="4"/>
    </row>
    <row r="4496" ht="15.75" hidden="1" customHeight="1">
      <c r="B4496" s="8">
        <v>4820.0</v>
      </c>
      <c r="C4496" s="9">
        <v>43634.0</v>
      </c>
      <c r="D4496" s="6" t="s">
        <v>5571</v>
      </c>
      <c r="E4496" s="4">
        <v>6.206000898E9</v>
      </c>
      <c r="F4496" s="8" t="s">
        <v>604</v>
      </c>
      <c r="G4496" s="4" t="s">
        <v>965</v>
      </c>
      <c r="H4496" s="10" t="s">
        <v>42</v>
      </c>
      <c r="I4496" s="10">
        <v>2.0</v>
      </c>
      <c r="J4496" s="11" t="str">
        <f>IF(D4496&lt;&gt;"",VLOOKUP(H4496,TABLEITEM,5,FALSE),"")</f>
        <v>กล.</v>
      </c>
      <c r="K4496" s="12">
        <v>250.0</v>
      </c>
      <c r="L4496" s="13" t="str">
        <f>IF(D4496&lt;&gt;"",VLOOKUP(H4496,TABLEITEM,2,FALSE),"")</f>
        <v/>
      </c>
      <c r="M4496" s="13" t="str">
        <f>IF(D4496&lt;&gt;"",VLOOKUP(H4496,TABLEITEM,3,FALSE),"")</f>
        <v>แอลกอฮอลดีพิเศษ</v>
      </c>
      <c r="N4496" s="14">
        <f>INSTOCK!$I4496*INSTOCK!$K4496</f>
        <v>500</v>
      </c>
      <c r="O4496" s="4"/>
      <c r="P4496" s="4"/>
    </row>
    <row r="4497" ht="15.75" hidden="1" customHeight="1">
      <c r="B4497" s="8">
        <v>4821.0</v>
      </c>
      <c r="C4497" s="9">
        <v>43634.0</v>
      </c>
      <c r="D4497" s="6" t="s">
        <v>5571</v>
      </c>
      <c r="E4497" s="4">
        <v>6.206000898E9</v>
      </c>
      <c r="F4497" s="8" t="s">
        <v>604</v>
      </c>
      <c r="G4497" s="4" t="s">
        <v>965</v>
      </c>
      <c r="H4497" s="10" t="s">
        <v>5572</v>
      </c>
      <c r="I4497" s="10">
        <v>2.0</v>
      </c>
      <c r="J4497" s="11" t="str">
        <f>IF(D4497&lt;&gt;"",VLOOKUP(H4497,TABLEITEM,5,FALSE),"")</f>
        <v>EA</v>
      </c>
      <c r="K4497" s="12">
        <v>60.0</v>
      </c>
      <c r="L4497" s="13" t="str">
        <f>IF(D4497&lt;&gt;"",VLOOKUP(H4497,TABLEITEM,2,FALSE),"")</f>
        <v/>
      </c>
      <c r="M4497" s="13" t="str">
        <f>IF(D4497&lt;&gt;"",VLOOKUP(H4497,TABLEITEM,3,FALSE),"")</f>
        <v>หน้ากากเชื่อมมือถือดำ</v>
      </c>
      <c r="N4497" s="14">
        <f>INSTOCK!$I4497*INSTOCK!$K4497</f>
        <v>120</v>
      </c>
      <c r="O4497" s="4"/>
      <c r="P4497" s="4"/>
    </row>
    <row r="4498" ht="15.75" hidden="1" customHeight="1">
      <c r="B4498" s="8">
        <v>4822.0</v>
      </c>
      <c r="C4498" s="9">
        <v>43638.0</v>
      </c>
      <c r="D4498" s="6" t="s">
        <v>5573</v>
      </c>
      <c r="E4498" s="4"/>
      <c r="F4498" s="8" t="s">
        <v>1973</v>
      </c>
      <c r="G4498" s="4" t="s">
        <v>5103</v>
      </c>
      <c r="H4498" s="10" t="s">
        <v>5574</v>
      </c>
      <c r="I4498" s="10">
        <v>1.0</v>
      </c>
      <c r="J4498" s="11" t="str">
        <f>IF(D4498&lt;&gt;"",VLOOKUP(H4498,TABLEITEM,5,FALSE),"")</f>
        <v>EA</v>
      </c>
      <c r="K4498" s="12">
        <v>5800.0</v>
      </c>
      <c r="L4498" s="13" t="str">
        <f>IF(D4498&lt;&gt;"",VLOOKUP(H4498,TABLEITEM,2,FALSE),"")</f>
        <v/>
      </c>
      <c r="M4498" s="13" t="str">
        <f>IF(D4498&lt;&gt;"",VLOOKUP(H4498,TABLEITEM,3,FALSE),"")</f>
        <v>สายพานชุดขับโซ่ 5T</v>
      </c>
      <c r="N4498" s="14">
        <f>INSTOCK!$I4498*INSTOCK!$K4498</f>
        <v>5800</v>
      </c>
      <c r="O4498" s="4"/>
      <c r="P4498" s="4"/>
    </row>
    <row r="4499" ht="15.75" hidden="1" customHeight="1">
      <c r="B4499" s="8">
        <v>4823.0</v>
      </c>
      <c r="C4499" s="9">
        <v>43638.0</v>
      </c>
      <c r="D4499" s="6" t="s">
        <v>5573</v>
      </c>
      <c r="E4499" s="4"/>
      <c r="F4499" s="8" t="s">
        <v>1973</v>
      </c>
      <c r="G4499" s="4" t="s">
        <v>5103</v>
      </c>
      <c r="H4499" s="10" t="s">
        <v>5575</v>
      </c>
      <c r="I4499" s="10">
        <v>1.0</v>
      </c>
      <c r="J4499" s="11" t="str">
        <f>IF(D4499&lt;&gt;"",VLOOKUP(H4499,TABLEITEM,5,FALSE),"")</f>
        <v>EA</v>
      </c>
      <c r="K4499" s="12">
        <v>1250.0</v>
      </c>
      <c r="L4499" s="13" t="str">
        <f>IF(D4499&lt;&gt;"",VLOOKUP(H4499,TABLEITEM,2,FALSE),"")</f>
        <v/>
      </c>
      <c r="M4499" s="13" t="str">
        <f>IF(D4499&lt;&gt;"",VLOOKUP(H4499,TABLEITEM,3,FALSE),"")</f>
        <v>เพลาสั้น 5T 45x230mm</v>
      </c>
      <c r="N4499" s="14">
        <f>INSTOCK!$I4499*INSTOCK!$K4499</f>
        <v>1250</v>
      </c>
      <c r="O4499" s="4"/>
      <c r="P4499" s="4"/>
    </row>
    <row r="4500" ht="15.75" hidden="1" customHeight="1">
      <c r="B4500" s="8">
        <v>4824.0</v>
      </c>
      <c r="C4500" s="9">
        <v>43638.0</v>
      </c>
      <c r="D4500" s="6" t="s">
        <v>5573</v>
      </c>
      <c r="E4500" s="4"/>
      <c r="F4500" s="8" t="s">
        <v>1973</v>
      </c>
      <c r="G4500" s="4" t="s">
        <v>5103</v>
      </c>
      <c r="H4500" s="10" t="s">
        <v>5576</v>
      </c>
      <c r="I4500" s="10">
        <v>1.0</v>
      </c>
      <c r="J4500" s="11" t="str">
        <f>IF(D4500&lt;&gt;"",VLOOKUP(H4500,TABLEITEM,5,FALSE),"")</f>
        <v>EA</v>
      </c>
      <c r="K4500" s="12">
        <v>3200.0</v>
      </c>
      <c r="L4500" s="13" t="str">
        <f>IF(D4500&lt;&gt;"",VLOOKUP(H4500,TABLEITEM,2,FALSE),"")</f>
        <v/>
      </c>
      <c r="M4500" s="13" t="str">
        <f>IF(D4500&lt;&gt;"",VLOOKUP(H4500,TABLEITEM,3,FALSE),"")</f>
        <v>ฟันเฟือง ชุดขับสายพาน 5 ตัน</v>
      </c>
      <c r="N4500" s="14">
        <f>INSTOCK!$I4500*INSTOCK!$K4500</f>
        <v>3200</v>
      </c>
      <c r="O4500" s="4"/>
      <c r="P4500" s="4"/>
    </row>
    <row r="4501" ht="15.75" hidden="1" customHeight="1">
      <c r="B4501" s="8">
        <v>4825.0</v>
      </c>
      <c r="C4501" s="9">
        <v>43638.0</v>
      </c>
      <c r="D4501" s="6" t="s">
        <v>5577</v>
      </c>
      <c r="E4501" s="4">
        <v>6.205000825E9</v>
      </c>
      <c r="F4501" s="8" t="s">
        <v>604</v>
      </c>
      <c r="G4501" s="4" t="s">
        <v>2495</v>
      </c>
      <c r="H4501" s="10" t="s">
        <v>5578</v>
      </c>
      <c r="I4501" s="10">
        <v>4.0</v>
      </c>
      <c r="J4501" s="11" t="str">
        <f>IF(D4501&lt;&gt;"",VLOOKUP(H4501,TABLEITEM,5,FALSE),"")</f>
        <v>EA</v>
      </c>
      <c r="K4501" s="12">
        <v>19.5</v>
      </c>
      <c r="L4501" s="13" t="str">
        <f>IF(D4501&lt;&gt;"",VLOOKUP(H4501,TABLEITEM,2,FALSE),"")</f>
        <v/>
      </c>
      <c r="M4501" s="13" t="str">
        <f>IF(D4501&lt;&gt;"",VLOOKUP(H4501,TABLEITEM,3,FALSE),"")</f>
        <v>สตัดเหล็ก M8 ยาว 1เมตร</v>
      </c>
      <c r="N4501" s="14">
        <f>INSTOCK!$I4501*INSTOCK!$K4501</f>
        <v>78</v>
      </c>
      <c r="O4501" s="4"/>
      <c r="P4501" s="4"/>
    </row>
    <row r="4502" ht="15.75" hidden="1" customHeight="1">
      <c r="B4502" s="8">
        <v>4826.0</v>
      </c>
      <c r="C4502" s="9">
        <v>43638.0</v>
      </c>
      <c r="D4502" s="6" t="s">
        <v>5577</v>
      </c>
      <c r="E4502" s="4">
        <v>6.205000825E9</v>
      </c>
      <c r="F4502" s="8" t="s">
        <v>604</v>
      </c>
      <c r="G4502" s="4" t="s">
        <v>2495</v>
      </c>
      <c r="H4502" s="10" t="s">
        <v>2100</v>
      </c>
      <c r="I4502" s="10">
        <v>10000.0</v>
      </c>
      <c r="J4502" s="11" t="str">
        <f>IF(D4502&lt;&gt;"",VLOOKUP(H4502,TABLEITEM,5,FALSE),"")</f>
        <v>EA</v>
      </c>
      <c r="K4502" s="12">
        <v>0.8</v>
      </c>
      <c r="L4502" s="13" t="str">
        <f>IF(D4502&lt;&gt;"",VLOOKUP(H4502,TABLEITEM,2,FALSE),"")</f>
        <v/>
      </c>
      <c r="M4502" s="13" t="str">
        <f>IF(D4502&lt;&gt;"",VLOOKUP(H4502,TABLEITEM,3,FALSE),"")</f>
        <v>สกรูหัวเหลี่ยมชุบขาว M8x20</v>
      </c>
      <c r="N4502" s="14">
        <f>INSTOCK!$I4502*INSTOCK!$K4502</f>
        <v>8000</v>
      </c>
      <c r="O4502" s="4"/>
      <c r="P4502" s="4"/>
    </row>
    <row r="4503" ht="15.75" hidden="1" customHeight="1">
      <c r="B4503" s="8">
        <v>4827.0</v>
      </c>
      <c r="C4503" s="9">
        <v>43638.0</v>
      </c>
      <c r="D4503" s="6" t="s">
        <v>5577</v>
      </c>
      <c r="E4503" s="4">
        <v>6.205000825E9</v>
      </c>
      <c r="F4503" s="8" t="s">
        <v>604</v>
      </c>
      <c r="G4503" s="4" t="s">
        <v>2495</v>
      </c>
      <c r="H4503" s="10" t="s">
        <v>2090</v>
      </c>
      <c r="I4503" s="10">
        <v>500.0</v>
      </c>
      <c r="J4503" s="11" t="str">
        <f>IF(D4503&lt;&gt;"",VLOOKUP(H4503,TABLEITEM,5,FALSE),"")</f>
        <v>EA</v>
      </c>
      <c r="K4503" s="12">
        <v>1.7</v>
      </c>
      <c r="L4503" s="13" t="str">
        <f>IF(D4503&lt;&gt;"",VLOOKUP(H4503,TABLEITEM,2,FALSE),"")</f>
        <v/>
      </c>
      <c r="M4503" s="13" t="str">
        <f>IF(D4503&lt;&gt;"",VLOOKUP(H4503,TABLEITEM,3,FALSE),"")</f>
        <v>สกรูหัวเหลี่ยมชุบขาว M10x30</v>
      </c>
      <c r="N4503" s="14">
        <f>INSTOCK!$I4503*INSTOCK!$K4503</f>
        <v>850</v>
      </c>
      <c r="O4503" s="4"/>
      <c r="P4503" s="4"/>
    </row>
    <row r="4504" ht="15.75" hidden="1" customHeight="1">
      <c r="B4504" s="8">
        <v>4828.0</v>
      </c>
      <c r="C4504" s="9">
        <v>43638.0</v>
      </c>
      <c r="D4504" s="6" t="s">
        <v>5577</v>
      </c>
      <c r="E4504" s="4">
        <v>6.205000825E9</v>
      </c>
      <c r="F4504" s="8" t="s">
        <v>604</v>
      </c>
      <c r="G4504" s="4" t="s">
        <v>2495</v>
      </c>
      <c r="H4504" s="10" t="s">
        <v>2080</v>
      </c>
      <c r="I4504" s="10">
        <v>10000.0</v>
      </c>
      <c r="J4504" s="11" t="str">
        <f>IF(D4504&lt;&gt;"",VLOOKUP(H4504,TABLEITEM,5,FALSE),"")</f>
        <v>EA</v>
      </c>
      <c r="K4504" s="12">
        <v>0.33</v>
      </c>
      <c r="L4504" s="13" t="str">
        <f>IF(D4504&lt;&gt;"",VLOOKUP(H4504,TABLEITEM,2,FALSE),"")</f>
        <v/>
      </c>
      <c r="M4504" s="13" t="str">
        <f>IF(D4504&lt;&gt;"",VLOOKUP(H4504,TABLEITEM,3,FALSE),"")</f>
        <v>หัวน็อต M 8 ชุบขาว</v>
      </c>
      <c r="N4504" s="14">
        <f>INSTOCK!$I4504*INSTOCK!$K4504</f>
        <v>3300</v>
      </c>
      <c r="O4504" s="4"/>
      <c r="P4504" s="4"/>
    </row>
    <row r="4505" ht="15.75" hidden="1" customHeight="1">
      <c r="B4505" s="8">
        <v>4829.0</v>
      </c>
      <c r="C4505" s="9">
        <v>43638.0</v>
      </c>
      <c r="D4505" s="6" t="s">
        <v>5579</v>
      </c>
      <c r="E4505" s="4">
        <v>6.206000941E9</v>
      </c>
      <c r="F4505" s="8" t="s">
        <v>604</v>
      </c>
      <c r="G4505" s="4" t="s">
        <v>1289</v>
      </c>
      <c r="H4505" s="10" t="s">
        <v>1308</v>
      </c>
      <c r="I4505" s="10">
        <v>20.0</v>
      </c>
      <c r="J4505" s="11" t="str">
        <f>IF(D4505&lt;&gt;"",VLOOKUP(H4505,TABLEITEM,5,FALSE),"")</f>
        <v>EA</v>
      </c>
      <c r="K4505" s="12">
        <v>67.5</v>
      </c>
      <c r="L4505" s="13" t="str">
        <f>IF(D4505&lt;&gt;"",VLOOKUP(H4505,TABLEITEM,2,FALSE),"")</f>
        <v/>
      </c>
      <c r="M4505" s="13" t="str">
        <f>IF(D4505&lt;&gt;"",VLOOKUP(H4505,TABLEITEM,3,FALSE),"")</f>
        <v>รางลูกปืนสามตอน 35x355mm 14"</v>
      </c>
      <c r="N4505" s="14">
        <f>INSTOCK!$I4505*INSTOCK!$K4505</f>
        <v>1350</v>
      </c>
      <c r="O4505" s="4" t="s">
        <v>5580</v>
      </c>
      <c r="P4505" s="4"/>
    </row>
    <row r="4506" ht="15.75" hidden="1" customHeight="1">
      <c r="B4506" s="8">
        <v>4830.0</v>
      </c>
      <c r="C4506" s="9">
        <v>43638.0</v>
      </c>
      <c r="D4506" s="6">
        <v>39105.0</v>
      </c>
      <c r="E4506" s="4">
        <v>6.206000934E9</v>
      </c>
      <c r="F4506" s="8" t="s">
        <v>604</v>
      </c>
      <c r="G4506" s="4" t="s">
        <v>696</v>
      </c>
      <c r="H4506" s="10" t="s">
        <v>42</v>
      </c>
      <c r="I4506" s="10">
        <v>2.0</v>
      </c>
      <c r="J4506" s="11" t="str">
        <f>IF(D4506&lt;&gt;"",VLOOKUP(H4506,TABLEITEM,5,FALSE),"")</f>
        <v>กล.</v>
      </c>
      <c r="K4506" s="12">
        <v>240.0</v>
      </c>
      <c r="L4506" s="13" t="str">
        <f>IF(D4506&lt;&gt;"",VLOOKUP(H4506,TABLEITEM,2,FALSE),"")</f>
        <v/>
      </c>
      <c r="M4506" s="13" t="str">
        <f>IF(D4506&lt;&gt;"",VLOOKUP(H4506,TABLEITEM,3,FALSE),"")</f>
        <v>แอลกอฮอลดีพิเศษ</v>
      </c>
      <c r="N4506" s="14">
        <f>INSTOCK!$I4506*INSTOCK!$K4506</f>
        <v>480</v>
      </c>
      <c r="O4506" s="4"/>
      <c r="P4506" s="4"/>
    </row>
    <row r="4507" ht="15.75" hidden="1" customHeight="1">
      <c r="B4507" s="8">
        <v>4831.0</v>
      </c>
      <c r="C4507" s="9">
        <v>43638.0</v>
      </c>
      <c r="D4507" s="6">
        <v>39105.0</v>
      </c>
      <c r="E4507" s="4">
        <v>6.206000934E9</v>
      </c>
      <c r="F4507" s="8" t="s">
        <v>604</v>
      </c>
      <c r="G4507" s="4" t="s">
        <v>696</v>
      </c>
      <c r="H4507" s="10" t="s">
        <v>44</v>
      </c>
      <c r="I4507" s="10">
        <v>3.0</v>
      </c>
      <c r="J4507" s="11" t="str">
        <f>IF(D4507&lt;&gt;"",VLOOKUP(H4507,TABLEITEM,5,FALSE),"")</f>
        <v>ปี๊ป</v>
      </c>
      <c r="K4507" s="12">
        <v>370.0</v>
      </c>
      <c r="L4507" s="13" t="str">
        <f>IF(D4507&lt;&gt;"",VLOOKUP(H4507,TABLEITEM,2,FALSE),"")</f>
        <v/>
      </c>
      <c r="M4507" s="13" t="str">
        <f>IF(D4507&lt;&gt;"",VLOOKUP(H4507,TABLEITEM,3,FALSE),"")</f>
        <v>ทินเนอร์ AAA</v>
      </c>
      <c r="N4507" s="14">
        <f>INSTOCK!$I4507*INSTOCK!$K4507</f>
        <v>1110</v>
      </c>
      <c r="O4507" s="4"/>
      <c r="P4507" s="4"/>
    </row>
    <row r="4508" ht="15.75" hidden="1" customHeight="1">
      <c r="B4508" s="8">
        <v>4832.0</v>
      </c>
      <c r="C4508" s="9">
        <v>43638.0</v>
      </c>
      <c r="D4508" s="6">
        <v>39105.0</v>
      </c>
      <c r="E4508" s="4">
        <v>6.206000934E9</v>
      </c>
      <c r="F4508" s="8" t="s">
        <v>604</v>
      </c>
      <c r="G4508" s="4" t="s">
        <v>696</v>
      </c>
      <c r="H4508" s="10" t="s">
        <v>43</v>
      </c>
      <c r="I4508" s="10">
        <v>3.0</v>
      </c>
      <c r="J4508" s="11" t="str">
        <f>IF(D4508&lt;&gt;"",VLOOKUP(H4508,TABLEITEM,5,FALSE),"")</f>
        <v>ปี๊ป</v>
      </c>
      <c r="K4508" s="12">
        <v>590.0</v>
      </c>
      <c r="L4508" s="13" t="str">
        <f>IF(D4508&lt;&gt;"",VLOOKUP(H4508,TABLEITEM,2,FALSE),"")</f>
        <v/>
      </c>
      <c r="M4508" s="13" t="str">
        <f>IF(D4508&lt;&gt;"",VLOOKUP(H4508,TABLEITEM,3,FALSE),"")</f>
        <v>ทินเนอร์อคลิลิค</v>
      </c>
      <c r="N4508" s="14">
        <f>INSTOCK!$I4508*INSTOCK!$K4508</f>
        <v>1770</v>
      </c>
      <c r="O4508" s="4"/>
      <c r="P4508" s="4"/>
    </row>
    <row r="4509" ht="15.75" hidden="1" customHeight="1">
      <c r="B4509" s="8">
        <v>4833.0</v>
      </c>
      <c r="C4509" s="9">
        <v>43637.0</v>
      </c>
      <c r="D4509" s="6" t="s">
        <v>5581</v>
      </c>
      <c r="E4509" s="4"/>
      <c r="F4509" s="8" t="s">
        <v>5582</v>
      </c>
      <c r="G4509" s="4" t="s">
        <v>3029</v>
      </c>
      <c r="H4509" s="10" t="s">
        <v>3030</v>
      </c>
      <c r="I4509" s="10">
        <v>1.0</v>
      </c>
      <c r="J4509" s="11" t="str">
        <f>IF(D4509&lt;&gt;"",VLOOKUP(H4509,TABLEITEM,5,FALSE),"")</f>
        <v>LOT</v>
      </c>
      <c r="K4509" s="12">
        <v>535.0</v>
      </c>
      <c r="L4509" s="13" t="str">
        <f>IF(D4509&lt;&gt;"",VLOOKUP(H4509,TABLEITEM,2,FALSE),"")</f>
        <v/>
      </c>
      <c r="M4509" s="13" t="str">
        <f>IF(D4509&lt;&gt;"",VLOOKUP(H4509,TABLEITEM,3,FALSE),"")</f>
        <v>ค่าชุบ ดีบุกเงา</v>
      </c>
      <c r="N4509" s="14">
        <f>INSTOCK!$I4509*INSTOCK!$K4509</f>
        <v>535</v>
      </c>
      <c r="O4509" s="4"/>
      <c r="P4509" s="4"/>
    </row>
    <row r="4510" ht="15.75" hidden="1" customHeight="1">
      <c r="B4510" s="8">
        <v>4834.0</v>
      </c>
      <c r="C4510" s="9">
        <v>43416.0</v>
      </c>
      <c r="D4510" s="6" t="s">
        <v>5583</v>
      </c>
      <c r="E4510" s="4">
        <v>6.111001397E9</v>
      </c>
      <c r="F4510" s="8" t="s">
        <v>604</v>
      </c>
      <c r="G4510" s="4" t="s">
        <v>1289</v>
      </c>
      <c r="H4510" s="10" t="s">
        <v>150</v>
      </c>
      <c r="I4510" s="10">
        <v>25.0</v>
      </c>
      <c r="J4510" s="11" t="str">
        <f>IF(D4510&lt;&gt;"",VLOOKUP(H4510,TABLEITEM,5,FALSE),"")</f>
        <v>EA</v>
      </c>
      <c r="K4510" s="12">
        <v>9.0</v>
      </c>
      <c r="L4510" s="13" t="str">
        <f>IF(D4510&lt;&gt;"",VLOOKUP(H4510,TABLEITEM,2,FALSE),"")</f>
        <v/>
      </c>
      <c r="M4510" s="13" t="str">
        <f>IF(D4510&lt;&gt;"",VLOOKUP(H4510,TABLEITEM,3,FALSE),"")</f>
        <v>บานพับ 1''1/2 สแตนเลส</v>
      </c>
      <c r="N4510" s="14">
        <f>INSTOCK!$I4510*INSTOCK!$K4510</f>
        <v>225</v>
      </c>
      <c r="O4510" s="4" t="s">
        <v>1298</v>
      </c>
      <c r="P4510" s="4"/>
    </row>
    <row r="4511" ht="15.75" hidden="1" customHeight="1">
      <c r="B4511" s="8">
        <v>4835.0</v>
      </c>
      <c r="C4511" s="9">
        <v>43416.0</v>
      </c>
      <c r="D4511" s="6" t="s">
        <v>5584</v>
      </c>
      <c r="E4511" s="4">
        <v>6.111001402E9</v>
      </c>
      <c r="F4511" s="8" t="s">
        <v>5552</v>
      </c>
      <c r="G4511" s="4" t="s">
        <v>3567</v>
      </c>
      <c r="H4511" s="10" t="s">
        <v>1785</v>
      </c>
      <c r="I4511" s="10">
        <v>6.0</v>
      </c>
      <c r="J4511" s="11" t="str">
        <f>IF(D4511&lt;&gt;"",VLOOKUP(H4511,TABLEITEM,5,FALSE),"")</f>
        <v>EA</v>
      </c>
      <c r="K4511" s="12">
        <v>995.0</v>
      </c>
      <c r="L4511" s="13" t="str">
        <f>IF(D4511&lt;&gt;"",VLOOKUP(H4511,TABLEITEM,2,FALSE),"")</f>
        <v/>
      </c>
      <c r="M4511" s="13" t="str">
        <f>IF(D4511&lt;&gt;"",VLOOKUP(H4511,TABLEITEM,3,FALSE),"")</f>
        <v>Special Core ZCT 40mm</v>
      </c>
      <c r="N4511" s="14">
        <f>INSTOCK!$I4511*INSTOCK!$K4511</f>
        <v>5970</v>
      </c>
      <c r="O4511" s="4" t="s">
        <v>1786</v>
      </c>
      <c r="P4511" s="4"/>
    </row>
    <row r="4512" ht="15.75" hidden="1" customHeight="1">
      <c r="B4512" s="8">
        <v>4836.0</v>
      </c>
      <c r="C4512" s="9">
        <v>43416.0</v>
      </c>
      <c r="D4512" s="6" t="s">
        <v>5584</v>
      </c>
      <c r="E4512" s="4">
        <v>6.111001402E9</v>
      </c>
      <c r="F4512" s="8" t="s">
        <v>5552</v>
      </c>
      <c r="G4512" s="4" t="s">
        <v>3567</v>
      </c>
      <c r="H4512" s="10" t="s">
        <v>1711</v>
      </c>
      <c r="I4512" s="10">
        <v>6.0</v>
      </c>
      <c r="J4512" s="11" t="str">
        <f>IF(D4512&lt;&gt;"",VLOOKUP(H4512,TABLEITEM,5,FALSE),"")</f>
        <v>EA</v>
      </c>
      <c r="K4512" s="12">
        <v>2625.0</v>
      </c>
      <c r="L4512" s="13" t="str">
        <f>IF(D4512&lt;&gt;"",VLOOKUP(H4512,TABLEITEM,2,FALSE),"")</f>
        <v/>
      </c>
      <c r="M4512" s="13" t="str">
        <f>IF(D4512&lt;&gt;"",VLOOKUP(H4512,TABLEITEM,3,FALSE),"")</f>
        <v>Din Rail Barth Leakage Relay Din300-240VAC</v>
      </c>
      <c r="N4512" s="14">
        <f>INSTOCK!$I4512*INSTOCK!$K4512</f>
        <v>15750</v>
      </c>
      <c r="O4512" s="4" t="s">
        <v>1712</v>
      </c>
      <c r="P4512" s="4"/>
    </row>
    <row r="4513" ht="15.75" hidden="1" customHeight="1">
      <c r="B4513" s="8">
        <v>4837.0</v>
      </c>
      <c r="C4513" s="9">
        <v>43416.0</v>
      </c>
      <c r="D4513" s="6" t="s">
        <v>5585</v>
      </c>
      <c r="E4513" s="4">
        <v>6.111001403E9</v>
      </c>
      <c r="F4513" s="8" t="s">
        <v>5586</v>
      </c>
      <c r="G4513" s="4" t="s">
        <v>1904</v>
      </c>
      <c r="H4513" s="10" t="s">
        <v>5308</v>
      </c>
      <c r="I4513" s="10">
        <v>2.0</v>
      </c>
      <c r="J4513" s="11" t="str">
        <f>IF(D4513&lt;&gt;"",VLOOKUP(H4513,TABLEITEM,5,FALSE),"")</f>
        <v>EA</v>
      </c>
      <c r="K4513" s="12">
        <v>1665.0</v>
      </c>
      <c r="L4513" s="13" t="str">
        <f>IF(D4513&lt;&gt;"",VLOOKUP(H4513,TABLEITEM,2,FALSE),"")</f>
        <v/>
      </c>
      <c r="M4513" s="13" t="str">
        <f>IF(D4513&lt;&gt;"",VLOOKUP(H4513,TABLEITEM,3,FALSE),"")</f>
        <v>Timer MIL72E D120 (tactic371.2 plus)</v>
      </c>
      <c r="N4513" s="14">
        <f>INSTOCK!$I4513*INSTOCK!$K4513</f>
        <v>3330</v>
      </c>
      <c r="O4513" s="4" t="s">
        <v>2195</v>
      </c>
      <c r="P4513" s="4"/>
    </row>
    <row r="4514" ht="15.75" hidden="1" customHeight="1">
      <c r="B4514" s="8">
        <v>4838.0</v>
      </c>
      <c r="C4514" s="9">
        <v>43446.0</v>
      </c>
      <c r="D4514" s="6">
        <v>610465.0</v>
      </c>
      <c r="E4514" s="4">
        <v>6.111001395E9</v>
      </c>
      <c r="F4514" s="8" t="s">
        <v>5547</v>
      </c>
      <c r="G4514" s="4" t="s">
        <v>4239</v>
      </c>
      <c r="H4514" s="10" t="s">
        <v>4242</v>
      </c>
      <c r="I4514" s="10">
        <v>6.0</v>
      </c>
      <c r="J4514" s="11" t="str">
        <f>IF(D4514&lt;&gt;"",VLOOKUP(H4514,TABLEITEM,5,FALSE),"")</f>
        <v>EA</v>
      </c>
      <c r="K4514" s="12">
        <v>500.0</v>
      </c>
      <c r="L4514" s="13" t="str">
        <f>IF(D4514&lt;&gt;"",VLOOKUP(H4514,TABLEITEM,2,FALSE),"")</f>
        <v/>
      </c>
      <c r="M4514" s="13" t="str">
        <f>IF(D4514&lt;&gt;"",VLOOKUP(H4514,TABLEITEM,3,FALSE),"")</f>
        <v>FUSSE BASE 160A #00</v>
      </c>
      <c r="N4514" s="14">
        <f>INSTOCK!$I4514*INSTOCK!$K4514</f>
        <v>3000</v>
      </c>
      <c r="O4514" s="4" t="s">
        <v>2621</v>
      </c>
      <c r="P4514" s="4"/>
    </row>
    <row r="4515" ht="15.75" hidden="1" customHeight="1">
      <c r="B4515" s="8">
        <v>4839.0</v>
      </c>
      <c r="C4515" s="9">
        <v>43446.0</v>
      </c>
      <c r="D4515" s="6">
        <v>610465.0</v>
      </c>
      <c r="E4515" s="4">
        <v>6.111001395E9</v>
      </c>
      <c r="F4515" s="8" t="s">
        <v>5547</v>
      </c>
      <c r="G4515" s="4" t="s">
        <v>4239</v>
      </c>
      <c r="H4515" s="10" t="s">
        <v>4240</v>
      </c>
      <c r="I4515" s="10">
        <v>18.0</v>
      </c>
      <c r="J4515" s="11" t="str">
        <f>IF(D4515&lt;&gt;"",VLOOKUP(H4515,TABLEITEM,5,FALSE),"")</f>
        <v>EA</v>
      </c>
      <c r="K4515" s="12">
        <v>120.0</v>
      </c>
      <c r="L4515" s="13" t="str">
        <f>IF(D4515&lt;&gt;"",VLOOKUP(H4515,TABLEITEM,2,FALSE),"")</f>
        <v/>
      </c>
      <c r="M4515" s="13" t="str">
        <f>IF(D4515&lt;&gt;"",VLOOKUP(H4515,TABLEITEM,3,FALSE),"")</f>
        <v>HRC FUSE #0 125A 500V</v>
      </c>
      <c r="N4515" s="14">
        <f>INSTOCK!$I4515*INSTOCK!$K4515</f>
        <v>2160</v>
      </c>
      <c r="O4515" s="4" t="s">
        <v>4241</v>
      </c>
      <c r="P4515" s="4"/>
    </row>
    <row r="4516" ht="15.75" hidden="1" customHeight="1">
      <c r="B4516" s="8">
        <v>4840.0</v>
      </c>
      <c r="C4516" s="9">
        <v>43446.0</v>
      </c>
      <c r="D4516" s="6">
        <v>6103464.0</v>
      </c>
      <c r="E4516" s="4">
        <v>6.108001034E9</v>
      </c>
      <c r="F4516" s="8" t="s">
        <v>5587</v>
      </c>
      <c r="G4516" s="4" t="s">
        <v>4239</v>
      </c>
      <c r="H4516" s="10" t="s">
        <v>4242</v>
      </c>
      <c r="I4516" s="10">
        <v>24.0</v>
      </c>
      <c r="J4516" s="11" t="str">
        <f>IF(D4516&lt;&gt;"",VLOOKUP(H4516,TABLEITEM,5,FALSE),"")</f>
        <v>EA</v>
      </c>
      <c r="K4516" s="10">
        <v>500.0</v>
      </c>
      <c r="L4516" s="13" t="str">
        <f>IF(D4516&lt;&gt;"",VLOOKUP(H4516,TABLEITEM,2,FALSE),"")</f>
        <v/>
      </c>
      <c r="M4516" s="13" t="str">
        <f>IF(D4516&lt;&gt;"",VLOOKUP(H4516,TABLEITEM,3,FALSE),"")</f>
        <v>FUSSE BASE 160A #00</v>
      </c>
      <c r="N4516" s="14">
        <f>INSTOCK!$I4516*INSTOCK!$K4516</f>
        <v>12000</v>
      </c>
      <c r="O4516" s="4" t="s">
        <v>2621</v>
      </c>
      <c r="P4516" s="4"/>
    </row>
    <row r="4517" ht="15.75" hidden="1" customHeight="1">
      <c r="B4517" s="8">
        <v>4841.0</v>
      </c>
      <c r="C4517" s="9">
        <v>43446.0</v>
      </c>
      <c r="D4517" s="6">
        <v>6103464.0</v>
      </c>
      <c r="E4517" s="4">
        <v>6.108001034E9</v>
      </c>
      <c r="F4517" s="8" t="s">
        <v>5587</v>
      </c>
      <c r="G4517" s="4" t="s">
        <v>4239</v>
      </c>
      <c r="H4517" s="10" t="s">
        <v>5588</v>
      </c>
      <c r="I4517" s="10">
        <v>33.0</v>
      </c>
      <c r="J4517" s="11" t="str">
        <f>IF(D4517&lt;&gt;"",VLOOKUP(H4517,TABLEITEM,5,FALSE),"")</f>
        <v>EA</v>
      </c>
      <c r="K4517" s="10">
        <v>100.0</v>
      </c>
      <c r="L4517" s="13" t="str">
        <f>IF(D4517&lt;&gt;"",VLOOKUP(H4517,TABLEITEM,2,FALSE),"")</f>
        <v/>
      </c>
      <c r="M4517" s="13" t="str">
        <f>IF(D4517&lt;&gt;"",VLOOKUP(H4517,TABLEITEM,3,FALSE),"")</f>
        <v>HRC FUSE #00 35A 500V</v>
      </c>
      <c r="N4517" s="14">
        <f>INSTOCK!$I4517*INSTOCK!$K4517</f>
        <v>3300</v>
      </c>
      <c r="O4517" s="4" t="s">
        <v>4555</v>
      </c>
      <c r="P4517" s="4"/>
    </row>
    <row r="4518" ht="15.75" hidden="1" customHeight="1">
      <c r="B4518" s="8">
        <v>4842.0</v>
      </c>
      <c r="C4518" s="9">
        <v>43446.0</v>
      </c>
      <c r="D4518" s="6">
        <v>6103464.0</v>
      </c>
      <c r="E4518" s="4">
        <v>6.108001034E9</v>
      </c>
      <c r="F4518" s="8" t="s">
        <v>5587</v>
      </c>
      <c r="G4518" s="4" t="s">
        <v>4239</v>
      </c>
      <c r="H4518" s="10" t="s">
        <v>5589</v>
      </c>
      <c r="I4518" s="10">
        <v>3.0</v>
      </c>
      <c r="J4518" s="11" t="str">
        <f>IF(D4518&lt;&gt;"",VLOOKUP(H4518,TABLEITEM,5,FALSE),"")</f>
        <v>EA</v>
      </c>
      <c r="K4518" s="10">
        <v>100.0</v>
      </c>
      <c r="L4518" s="13" t="str">
        <f>IF(D4518&lt;&gt;"",VLOOKUP(H4518,TABLEITEM,2,FALSE),"")</f>
        <v/>
      </c>
      <c r="M4518" s="13" t="str">
        <f>IF(D4518&lt;&gt;"",VLOOKUP(H4518,TABLEITEM,3,FALSE),"")</f>
        <v>HRC FUSE #00 63A 500V</v>
      </c>
      <c r="N4518" s="14">
        <f>INSTOCK!$I4518*INSTOCK!$K4518</f>
        <v>300</v>
      </c>
      <c r="O4518" s="4" t="s">
        <v>4555</v>
      </c>
      <c r="P4518" s="4"/>
    </row>
    <row r="4519" ht="15.75" hidden="1" customHeight="1">
      <c r="B4519" s="8">
        <v>4843.0</v>
      </c>
      <c r="C4519" s="9">
        <v>43446.0</v>
      </c>
      <c r="D4519" s="6">
        <v>6103464.0</v>
      </c>
      <c r="E4519" s="4">
        <v>6.108001034E9</v>
      </c>
      <c r="F4519" s="8" t="s">
        <v>5587</v>
      </c>
      <c r="G4519" s="4" t="s">
        <v>4239</v>
      </c>
      <c r="H4519" s="10" t="s">
        <v>5590</v>
      </c>
      <c r="I4519" s="10">
        <v>27.0</v>
      </c>
      <c r="J4519" s="11" t="str">
        <f>IF(D4519&lt;&gt;"",VLOOKUP(H4519,TABLEITEM,5,FALSE),"")</f>
        <v>EA</v>
      </c>
      <c r="K4519" s="10">
        <v>120.0</v>
      </c>
      <c r="L4519" s="13" t="str">
        <f>IF(D4519&lt;&gt;"",VLOOKUP(H4519,TABLEITEM,2,FALSE),"")</f>
        <v/>
      </c>
      <c r="M4519" s="13" t="str">
        <f>IF(D4519&lt;&gt;"",VLOOKUP(H4519,TABLEITEM,3,FALSE),"")</f>
        <v>HRC FUSE #00 160A 500V</v>
      </c>
      <c r="N4519" s="14">
        <f>INSTOCK!$I4519*INSTOCK!$K4519</f>
        <v>3240</v>
      </c>
      <c r="O4519" s="4" t="s">
        <v>4241</v>
      </c>
      <c r="P4519" s="4"/>
    </row>
    <row r="4520" ht="15.75" hidden="1" customHeight="1">
      <c r="B4520" s="8">
        <v>4844.0</v>
      </c>
      <c r="C4520" s="9">
        <v>43446.0</v>
      </c>
      <c r="D4520" s="6">
        <v>6103464.0</v>
      </c>
      <c r="E4520" s="4">
        <v>6.108001034E9</v>
      </c>
      <c r="F4520" s="8" t="s">
        <v>5587</v>
      </c>
      <c r="G4520" s="4" t="s">
        <v>4239</v>
      </c>
      <c r="H4520" s="10" t="s">
        <v>4240</v>
      </c>
      <c r="I4520" s="10">
        <v>9.0</v>
      </c>
      <c r="J4520" s="11" t="str">
        <f>IF(D4520&lt;&gt;"",VLOOKUP(H4520,TABLEITEM,5,FALSE),"")</f>
        <v>EA</v>
      </c>
      <c r="K4520" s="10">
        <v>120.0</v>
      </c>
      <c r="L4520" s="13" t="str">
        <f>IF(D4520&lt;&gt;"",VLOOKUP(H4520,TABLEITEM,2,FALSE),"")</f>
        <v/>
      </c>
      <c r="M4520" s="13" t="str">
        <f>IF(D4520&lt;&gt;"",VLOOKUP(H4520,TABLEITEM,3,FALSE),"")</f>
        <v>HRC FUSE #0 125A 500V</v>
      </c>
      <c r="N4520" s="14">
        <f>INSTOCK!$I4520*INSTOCK!$K4520</f>
        <v>1080</v>
      </c>
      <c r="O4520" s="4" t="s">
        <v>4241</v>
      </c>
      <c r="P4520" s="4"/>
    </row>
    <row r="4521" ht="15.75" hidden="1" customHeight="1">
      <c r="B4521" s="8">
        <v>4845.0</v>
      </c>
      <c r="C4521" s="9">
        <v>43416.0</v>
      </c>
      <c r="D4521" s="6" t="s">
        <v>5591</v>
      </c>
      <c r="E4521" s="4">
        <v>6.111001394E9</v>
      </c>
      <c r="F4521" s="8" t="s">
        <v>5507</v>
      </c>
      <c r="G4521" s="4" t="s">
        <v>1453</v>
      </c>
      <c r="H4521" s="18" t="s">
        <v>5592</v>
      </c>
      <c r="I4521" s="10">
        <v>1.0</v>
      </c>
      <c r="J4521" s="11" t="str">
        <f>IF(D4521&lt;&gt;"",VLOOKUP(H4521,TABLEITEM,5,FALSE),"")</f>
        <v>EA</v>
      </c>
      <c r="K4521" s="12">
        <v>605.5</v>
      </c>
      <c r="L4521" s="13" t="str">
        <f>IF(D4521&lt;&gt;"",VLOOKUP(H4521,TABLEITEM,2,FALSE),"")</f>
        <v/>
      </c>
      <c r="M4521" s="13" t="str">
        <f>IF(D4521&lt;&gt;"",VLOOKUP(H4521,TABLEITEM,3,FALSE),"")</f>
        <v>Filter Fan PMV12.00024DC</v>
      </c>
      <c r="N4521" s="14">
        <f>INSTOCK!$I4521*INSTOCK!$K4521</f>
        <v>605.5</v>
      </c>
      <c r="O4521" s="4" t="s">
        <v>5593</v>
      </c>
      <c r="P4521" s="4"/>
    </row>
    <row r="4522" ht="15.75" hidden="1" customHeight="1">
      <c r="B4522" s="8">
        <v>4846.0</v>
      </c>
      <c r="C4522" s="9">
        <v>43416.0</v>
      </c>
      <c r="D4522" s="6" t="s">
        <v>5594</v>
      </c>
      <c r="E4522" s="4">
        <v>6.111001386E9</v>
      </c>
      <c r="F4522" s="8" t="s">
        <v>604</v>
      </c>
      <c r="G4522" s="4" t="s">
        <v>2121</v>
      </c>
      <c r="H4522" s="10" t="s">
        <v>2122</v>
      </c>
      <c r="I4522" s="10">
        <v>200.0</v>
      </c>
      <c r="J4522" s="11" t="str">
        <f>IF(D4522&lt;&gt;"",VLOOKUP(H4522,TABLEITEM,5,FALSE),"")</f>
        <v>EA</v>
      </c>
      <c r="K4522" s="12">
        <v>30.0</v>
      </c>
      <c r="L4522" s="13" t="str">
        <f>IF(D4522&lt;&gt;"",VLOOKUP(H4522,TABLEITEM,2,FALSE),"")</f>
        <v/>
      </c>
      <c r="M4522" s="13" t="str">
        <f>IF(D4522&lt;&gt;"",VLOOKUP(H4522,TABLEITEM,3,FALSE),"")</f>
        <v>ห่วงตู้ M12 ชุบขาว</v>
      </c>
      <c r="N4522" s="14">
        <f>INSTOCK!$I4522*INSTOCK!$K4522</f>
        <v>6000</v>
      </c>
      <c r="O4522" s="4"/>
      <c r="P4522" s="4"/>
    </row>
    <row r="4523" ht="15.75" hidden="1" customHeight="1">
      <c r="B4523" s="8">
        <v>4847.0</v>
      </c>
      <c r="C4523" s="9">
        <v>43416.0</v>
      </c>
      <c r="D4523" s="6" t="s">
        <v>5595</v>
      </c>
      <c r="E4523" s="4">
        <v>6.111001383E9</v>
      </c>
      <c r="F4523" s="8" t="s">
        <v>604</v>
      </c>
      <c r="G4523" s="4" t="s">
        <v>950</v>
      </c>
      <c r="H4523" s="10" t="s">
        <v>1114</v>
      </c>
      <c r="I4523" s="10">
        <v>100.0</v>
      </c>
      <c r="J4523" s="11" t="str">
        <f>IF(D4523&lt;&gt;"",VLOOKUP(H4523,TABLEITEM,5,FALSE),"")</f>
        <v>M</v>
      </c>
      <c r="K4523" s="12">
        <v>8.5</v>
      </c>
      <c r="L4523" s="13" t="str">
        <f>IF(D4523&lt;&gt;"",VLOOKUP(H4523,TABLEITEM,2,FALSE),"")</f>
        <v/>
      </c>
      <c r="M4523" s="13" t="str">
        <f>IF(D4523&lt;&gt;"",VLOOKUP(H4523,TABLEITEM,3,FALSE),"")</f>
        <v>Heat Shrink G5 # 12   สีแดง</v>
      </c>
      <c r="N4523" s="14">
        <f>INSTOCK!$I4523*INSTOCK!$K4523</f>
        <v>850</v>
      </c>
      <c r="O4523" s="4"/>
      <c r="P4523" s="4"/>
    </row>
    <row r="4524" ht="15.75" hidden="1" customHeight="1">
      <c r="B4524" s="8">
        <v>4848.0</v>
      </c>
      <c r="C4524" s="9">
        <v>43416.0</v>
      </c>
      <c r="D4524" s="6" t="s">
        <v>5595</v>
      </c>
      <c r="E4524" s="4">
        <v>6.111001383E9</v>
      </c>
      <c r="F4524" s="8" t="s">
        <v>604</v>
      </c>
      <c r="G4524" s="4" t="s">
        <v>950</v>
      </c>
      <c r="H4524" s="10" t="s">
        <v>5596</v>
      </c>
      <c r="I4524" s="10">
        <v>100.0</v>
      </c>
      <c r="J4524" s="11" t="str">
        <f>IF(D4524&lt;&gt;"",VLOOKUP(H4524,TABLEITEM,5,FALSE),"")</f>
        <v>M</v>
      </c>
      <c r="K4524" s="12">
        <v>20.65</v>
      </c>
      <c r="L4524" s="13" t="str">
        <f>IF(D4524&lt;&gt;"",VLOOKUP(H4524,TABLEITEM,2,FALSE),"")</f>
        <v/>
      </c>
      <c r="M4524" s="13" t="str">
        <f>IF(D4524&lt;&gt;"",VLOOKUP(H4524,TABLEITEM,3,FALSE),"")</f>
        <v>Heat Shrink G5 # 16   สีน้ำตาล</v>
      </c>
      <c r="N4524" s="14">
        <f>INSTOCK!$I4524*INSTOCK!$K4524</f>
        <v>2065</v>
      </c>
      <c r="O4524" s="4"/>
      <c r="P4524" s="4"/>
    </row>
    <row r="4525" ht="15.75" hidden="1" customHeight="1">
      <c r="B4525" s="8">
        <v>4849.0</v>
      </c>
      <c r="C4525" s="9">
        <v>43416.0</v>
      </c>
      <c r="D4525" s="6" t="s">
        <v>5595</v>
      </c>
      <c r="E4525" s="4">
        <v>6.111001383E9</v>
      </c>
      <c r="F4525" s="8" t="s">
        <v>604</v>
      </c>
      <c r="G4525" s="4" t="s">
        <v>950</v>
      </c>
      <c r="H4525" s="10" t="s">
        <v>5597</v>
      </c>
      <c r="I4525" s="10">
        <v>100.0</v>
      </c>
      <c r="J4525" s="11" t="str">
        <f>IF(D4525&lt;&gt;"",VLOOKUP(H4525,TABLEITEM,5,FALSE),"")</f>
        <v>M</v>
      </c>
      <c r="K4525" s="12">
        <v>20.65</v>
      </c>
      <c r="L4525" s="13" t="str">
        <f>IF(D4525&lt;&gt;"",VLOOKUP(H4525,TABLEITEM,2,FALSE),"")</f>
        <v/>
      </c>
      <c r="M4525" s="13" t="str">
        <f>IF(D4525&lt;&gt;"",VLOOKUP(H4525,TABLEITEM,3,FALSE),"")</f>
        <v>Heat Shrink G5 # 16   สีเทา</v>
      </c>
      <c r="N4525" s="14">
        <f>INSTOCK!$I4525*INSTOCK!$K4525</f>
        <v>2065</v>
      </c>
      <c r="O4525" s="4"/>
      <c r="P4525" s="4"/>
    </row>
    <row r="4526" ht="15.75" hidden="1" customHeight="1">
      <c r="B4526" s="8">
        <v>4850.0</v>
      </c>
      <c r="C4526" s="9">
        <v>43416.0</v>
      </c>
      <c r="D4526" s="6" t="s">
        <v>5595</v>
      </c>
      <c r="E4526" s="4">
        <v>6.111001383E9</v>
      </c>
      <c r="F4526" s="8" t="s">
        <v>604</v>
      </c>
      <c r="G4526" s="4" t="s">
        <v>950</v>
      </c>
      <c r="H4526" s="10" t="s">
        <v>5598</v>
      </c>
      <c r="I4526" s="10">
        <v>100.0</v>
      </c>
      <c r="J4526" s="11" t="str">
        <f>IF(D4526&lt;&gt;"",VLOOKUP(H4526,TABLEITEM,5,FALSE),"")</f>
        <v>M</v>
      </c>
      <c r="K4526" s="12">
        <v>24.95</v>
      </c>
      <c r="L4526" s="13" t="str">
        <f>IF(D4526&lt;&gt;"",VLOOKUP(H4526,TABLEITEM,2,FALSE),"")</f>
        <v/>
      </c>
      <c r="M4526" s="13" t="str">
        <f>IF(D4526&lt;&gt;"",VLOOKUP(H4526,TABLEITEM,3,FALSE),"")</f>
        <v>Heat Shrink G5 # 20   สีน้ำตาล</v>
      </c>
      <c r="N4526" s="14">
        <f>INSTOCK!$I4526*INSTOCK!$K4526</f>
        <v>2495</v>
      </c>
      <c r="O4526" s="4"/>
      <c r="P4526" s="4"/>
    </row>
    <row r="4527" ht="15.75" hidden="1" customHeight="1">
      <c r="B4527" s="8">
        <v>4851.0</v>
      </c>
      <c r="C4527" s="9">
        <v>43416.0</v>
      </c>
      <c r="D4527" s="6" t="s">
        <v>5595</v>
      </c>
      <c r="E4527" s="4">
        <v>6.111001383E9</v>
      </c>
      <c r="F4527" s="8" t="s">
        <v>604</v>
      </c>
      <c r="G4527" s="4" t="s">
        <v>950</v>
      </c>
      <c r="H4527" s="10" t="s">
        <v>5599</v>
      </c>
      <c r="I4527" s="10">
        <v>100.0</v>
      </c>
      <c r="J4527" s="11" t="str">
        <f>IF(D4527&lt;&gt;"",VLOOKUP(H4527,TABLEITEM,5,FALSE),"")</f>
        <v>M</v>
      </c>
      <c r="K4527" s="12">
        <v>24.95</v>
      </c>
      <c r="L4527" s="13" t="str">
        <f>IF(D4527&lt;&gt;"",VLOOKUP(H4527,TABLEITEM,2,FALSE),"")</f>
        <v/>
      </c>
      <c r="M4527" s="13" t="str">
        <f>IF(D4527&lt;&gt;"",VLOOKUP(H4527,TABLEITEM,3,FALSE),"")</f>
        <v>Heat Shrink G5 # 20   สีเทา</v>
      </c>
      <c r="N4527" s="14">
        <f>INSTOCK!$I4527*INSTOCK!$K4527</f>
        <v>2495</v>
      </c>
      <c r="O4527" s="4"/>
      <c r="P4527" s="4"/>
    </row>
    <row r="4528" ht="15.75" hidden="1" customHeight="1">
      <c r="B4528" s="8">
        <v>4852.0</v>
      </c>
      <c r="C4528" s="9">
        <v>43414.0</v>
      </c>
      <c r="D4528" s="6" t="s">
        <v>5600</v>
      </c>
      <c r="E4528" s="4">
        <v>6.111001398E9</v>
      </c>
      <c r="F4528" s="8" t="s">
        <v>604</v>
      </c>
      <c r="G4528" s="4" t="s">
        <v>1870</v>
      </c>
      <c r="H4528" s="10" t="s">
        <v>4247</v>
      </c>
      <c r="I4528" s="10">
        <v>3000.0</v>
      </c>
      <c r="J4528" s="11" t="str">
        <f>IF(D4528&lt;&gt;"",VLOOKUP(H4528,TABLEITEM,5,FALSE),"")</f>
        <v>EA</v>
      </c>
      <c r="K4528" s="12">
        <v>2.31</v>
      </c>
      <c r="L4528" s="13" t="str">
        <f>IF(D4528&lt;&gt;"",VLOOKUP(H4528,TABLEITEM,2,FALSE),"")</f>
        <v/>
      </c>
      <c r="M4528" s="13" t="str">
        <f>IF(D4528&lt;&gt;"",VLOOKUP(H4528,TABLEITEM,3,FALSE),"")</f>
        <v>สกรูหัวเหลี่ยม M10x35  HDG</v>
      </c>
      <c r="N4528" s="14">
        <f>INSTOCK!$I4528*INSTOCK!$K4528</f>
        <v>6930</v>
      </c>
      <c r="O4528" s="4" t="s">
        <v>5601</v>
      </c>
      <c r="P4528" s="4"/>
    </row>
    <row r="4529" ht="15.75" hidden="1" customHeight="1">
      <c r="B4529" s="8">
        <v>4853.0</v>
      </c>
      <c r="C4529" s="9">
        <v>43414.0</v>
      </c>
      <c r="D4529" s="6" t="s">
        <v>5600</v>
      </c>
      <c r="E4529" s="4">
        <v>6.111001398E9</v>
      </c>
      <c r="F4529" s="8" t="s">
        <v>604</v>
      </c>
      <c r="G4529" s="4" t="s">
        <v>1870</v>
      </c>
      <c r="H4529" s="10" t="s">
        <v>1998</v>
      </c>
      <c r="I4529" s="10">
        <v>5000.0</v>
      </c>
      <c r="J4529" s="11" t="str">
        <f>IF(D4529&lt;&gt;"",VLOOKUP(H4529,TABLEITEM,5,FALSE),"")</f>
        <v>EA</v>
      </c>
      <c r="K4529" s="12">
        <v>0.495</v>
      </c>
      <c r="L4529" s="13" t="str">
        <f>IF(D4529&lt;&gt;"",VLOOKUP(H4529,TABLEITEM,2,FALSE),"")</f>
        <v/>
      </c>
      <c r="M4529" s="13" t="str">
        <f>IF(D4529&lt;&gt;"",VLOOKUP(H4529,TABLEITEM,3,FALSE),"")</f>
        <v>แหวนอีแปะ M10   HDG</v>
      </c>
      <c r="N4529" s="14">
        <f>INSTOCK!$I4529*INSTOCK!$K4529</f>
        <v>2475</v>
      </c>
      <c r="O4529" s="4" t="s">
        <v>1999</v>
      </c>
      <c r="P4529" s="4"/>
    </row>
    <row r="4530" ht="15.75" hidden="1" customHeight="1">
      <c r="B4530" s="8">
        <v>4854.0</v>
      </c>
      <c r="C4530" s="9">
        <v>43414.0</v>
      </c>
      <c r="D4530" s="6" t="s">
        <v>5600</v>
      </c>
      <c r="E4530" s="4">
        <v>6.111001398E9</v>
      </c>
      <c r="F4530" s="8" t="s">
        <v>604</v>
      </c>
      <c r="G4530" s="4" t="s">
        <v>1870</v>
      </c>
      <c r="H4530" s="10" t="s">
        <v>3709</v>
      </c>
      <c r="I4530" s="10">
        <v>3000.0</v>
      </c>
      <c r="J4530" s="11" t="str">
        <f>IF(D4530&lt;&gt;"",VLOOKUP(H4530,TABLEITEM,5,FALSE),"")</f>
        <v>EA</v>
      </c>
      <c r="K4530" s="12">
        <v>0.33</v>
      </c>
      <c r="L4530" s="13" t="str">
        <f>IF(D4530&lt;&gt;"",VLOOKUP(H4530,TABLEITEM,2,FALSE),"")</f>
        <v/>
      </c>
      <c r="M4530" s="13" t="str">
        <f>IF(D4530&lt;&gt;"",VLOOKUP(H4530,TABLEITEM,3,FALSE),"")</f>
        <v>แหวนสปริง M10   HDG</v>
      </c>
      <c r="N4530" s="14">
        <f>INSTOCK!$I4530*INSTOCK!$K4530</f>
        <v>990</v>
      </c>
      <c r="O4530" s="4" t="s">
        <v>3136</v>
      </c>
      <c r="P4530" s="4"/>
    </row>
    <row r="4531" ht="15.75" hidden="1" customHeight="1">
      <c r="B4531" s="8">
        <v>4855.0</v>
      </c>
      <c r="C4531" s="9">
        <v>43414.0</v>
      </c>
      <c r="D4531" s="6" t="s">
        <v>5602</v>
      </c>
      <c r="E4531" s="4">
        <v>6.110001329E9</v>
      </c>
      <c r="F4531" s="8" t="s">
        <v>604</v>
      </c>
      <c r="G4531" s="4" t="s">
        <v>798</v>
      </c>
      <c r="H4531" s="10" t="s">
        <v>1284</v>
      </c>
      <c r="I4531" s="10">
        <v>1000.0</v>
      </c>
      <c r="J4531" s="11" t="str">
        <f>IF(D4531&lt;&gt;"",VLOOKUP(H4531,TABLEITEM,5,FALSE),"")</f>
        <v>EA</v>
      </c>
      <c r="K4531" s="12">
        <v>23.0</v>
      </c>
      <c r="L4531" s="13" t="str">
        <f>IF(D4531&lt;&gt;"",VLOOKUP(H4531,TABLEITEM,2,FALSE),"")</f>
        <v/>
      </c>
      <c r="M4531" s="13" t="str">
        <f>IF(D4531&lt;&gt;"",VLOOKUP(H4531,TABLEITEM,3,FALSE),"")</f>
        <v>กุญแจกลมดำ แบบมีก้านลิ้นสั้น178-04-G-293</v>
      </c>
      <c r="N4531" s="14">
        <f>INSTOCK!$I4531*INSTOCK!$K4531</f>
        <v>23000</v>
      </c>
      <c r="O4531" s="4"/>
      <c r="P4531" s="4"/>
    </row>
    <row r="4532" ht="15.75" hidden="1" customHeight="1">
      <c r="B4532" s="8">
        <v>4856.0</v>
      </c>
      <c r="C4532" s="9">
        <v>43414.0</v>
      </c>
      <c r="D4532" s="6" t="s">
        <v>5603</v>
      </c>
      <c r="E4532" s="4">
        <v>6.111001382E9</v>
      </c>
      <c r="F4532" s="8" t="s">
        <v>604</v>
      </c>
      <c r="G4532" s="4" t="s">
        <v>725</v>
      </c>
      <c r="H4532" s="10" t="s">
        <v>26</v>
      </c>
      <c r="I4532" s="10">
        <v>1500.0</v>
      </c>
      <c r="J4532" s="11" t="str">
        <f>IF(D4532&lt;&gt;"",VLOOKUP(H4532,TABLEITEM,5,FALSE),"")</f>
        <v>M</v>
      </c>
      <c r="K4532" s="12">
        <v>18.0</v>
      </c>
      <c r="L4532" s="13" t="str">
        <f>IF(D4532&lt;&gt;"",VLOOKUP(H4532,TABLEITEM,2,FALSE),"")</f>
        <v/>
      </c>
      <c r="M4532" s="13" t="str">
        <f>IF(D4532&lt;&gt;"",VLOOKUP(H4532,TABLEITEM,3,FALSE),"")</f>
        <v>ยางโปร่ง#110</v>
      </c>
      <c r="N4532" s="14">
        <f>INSTOCK!$I4532*INSTOCK!$K4532</f>
        <v>27000</v>
      </c>
      <c r="O4532" s="4"/>
      <c r="P4532" s="4"/>
    </row>
    <row r="4533" ht="15.75" hidden="1" customHeight="1">
      <c r="B4533" s="8">
        <v>4857.0</v>
      </c>
      <c r="C4533" s="9">
        <v>43414.0</v>
      </c>
      <c r="D4533" s="6">
        <v>7228.0</v>
      </c>
      <c r="E4533" s="4">
        <v>6.111001356E9</v>
      </c>
      <c r="F4533" s="8" t="s">
        <v>5604</v>
      </c>
      <c r="G4533" s="4" t="s">
        <v>1009</v>
      </c>
      <c r="H4533" s="10" t="s">
        <v>129</v>
      </c>
      <c r="I4533" s="10">
        <v>25.0</v>
      </c>
      <c r="J4533" s="11" t="str">
        <f>IF(D4533&lt;&gt;"",VLOOKUP(H4533,TABLEITEM,5,FALSE),"")</f>
        <v>EA</v>
      </c>
      <c r="K4533" s="12">
        <v>90.0</v>
      </c>
      <c r="L4533" s="13" t="str">
        <f>IF(D4533&lt;&gt;"",VLOOKUP(H4533,TABLEITEM,2,FALSE),"")</f>
        <v/>
      </c>
      <c r="M4533" s="13" t="str">
        <f>IF(D4533&lt;&gt;"",VLOOKUP(H4533,TABLEITEM,3,FALSE),"")</f>
        <v>DOOR LOCKER AB301-3-1</v>
      </c>
      <c r="N4533" s="14">
        <f>INSTOCK!$I4533*INSTOCK!$K4533</f>
        <v>2250</v>
      </c>
      <c r="O4533" s="4"/>
      <c r="P4533" s="4"/>
    </row>
    <row r="4534" ht="15.75" hidden="1" customHeight="1">
      <c r="B4534" s="8">
        <v>4858.0</v>
      </c>
      <c r="C4534" s="9">
        <v>43413.0</v>
      </c>
      <c r="D4534" s="6" t="s">
        <v>5605</v>
      </c>
      <c r="E4534" s="4"/>
      <c r="F4534" s="8" t="s">
        <v>633</v>
      </c>
      <c r="G4534" s="4" t="s">
        <v>3150</v>
      </c>
      <c r="H4534" s="10" t="s">
        <v>5606</v>
      </c>
      <c r="I4534" s="10">
        <v>1.0</v>
      </c>
      <c r="J4534" s="11" t="str">
        <f>IF(D4534&lt;&gt;"",VLOOKUP(H4534,TABLEITEM,5,FALSE),"")</f>
        <v>EA</v>
      </c>
      <c r="K4534" s="12">
        <v>3158.88</v>
      </c>
      <c r="L4534" s="13" t="str">
        <f>IF(D4534&lt;&gt;"",VLOOKUP(H4534,TABLEITEM,2,FALSE),"")</f>
        <v/>
      </c>
      <c r="M4534" s="13" t="str">
        <f>IF(D4534&lt;&gt;"",VLOOKUP(H4534,TABLEITEM,3,FALSE),"")</f>
        <v>คอนกรีต CPAC SUPER PLUS กำลังอัด 240กก /ตร.ซม </v>
      </c>
      <c r="N4534" s="14">
        <f>INSTOCK!$I4534*INSTOCK!$K4534</f>
        <v>3158.88</v>
      </c>
      <c r="O4534" s="4"/>
      <c r="P4534" s="4"/>
    </row>
    <row r="4535" ht="15.75" hidden="1" customHeight="1">
      <c r="B4535" s="8">
        <v>4859.0</v>
      </c>
      <c r="C4535" s="9">
        <v>43413.0</v>
      </c>
      <c r="D4535" s="6">
        <v>6.11103139E8</v>
      </c>
      <c r="E4535" s="4">
        <v>6.111001393E9</v>
      </c>
      <c r="F4535" s="8"/>
      <c r="G4535" s="4" t="s">
        <v>1130</v>
      </c>
      <c r="H4535" s="10" t="s">
        <v>5607</v>
      </c>
      <c r="I4535" s="10">
        <v>4.0</v>
      </c>
      <c r="J4535" s="11" t="str">
        <f>IF(D4535&lt;&gt;"",VLOOKUP(H4535,TABLEITEM,5,FALSE),"")</f>
        <v>EA</v>
      </c>
      <c r="K4535" s="12">
        <v>420.375</v>
      </c>
      <c r="L4535" s="13" t="str">
        <f>IF(D4535&lt;&gt;"",VLOOKUP(H4535,TABLEITEM,2,FALSE),"")</f>
        <v/>
      </c>
      <c r="M4535" s="13" t="str">
        <f>IF(D4535&lt;&gt;"",VLOOKUP(H4535,TABLEITEM,3,FALSE),"")</f>
        <v>CT2000/5 MSQ130</v>
      </c>
      <c r="N4535" s="14">
        <f>INSTOCK!$I4535*INSTOCK!$K4535</f>
        <v>1681.5</v>
      </c>
      <c r="O4535" s="4"/>
      <c r="P4535" s="4"/>
    </row>
    <row r="4536" ht="15.75" hidden="1" customHeight="1">
      <c r="B4536" s="8">
        <v>4860.0</v>
      </c>
      <c r="C4536" s="9">
        <v>43413.0</v>
      </c>
      <c r="D4536" s="6">
        <v>6.11103139E8</v>
      </c>
      <c r="E4536" s="4">
        <v>6.111001393E9</v>
      </c>
      <c r="F4536" s="8"/>
      <c r="G4536" s="4" t="s">
        <v>1130</v>
      </c>
      <c r="H4536" s="10" t="s">
        <v>4216</v>
      </c>
      <c r="I4536" s="10">
        <v>3.0</v>
      </c>
      <c r="J4536" s="11" t="str">
        <f>IF(D4536&lt;&gt;"",VLOOKUP(H4536,TABLEITEM,5,FALSE),"")</f>
        <v>EA</v>
      </c>
      <c r="K4536" s="12">
        <v>174.5633</v>
      </c>
      <c r="L4536" s="13" t="str">
        <f>IF(D4536&lt;&gt;"",VLOOKUP(H4536,TABLEITEM,2,FALSE),"")</f>
        <v/>
      </c>
      <c r="M4536" s="13" t="str">
        <f>IF(D4536&lt;&gt;"",VLOOKUP(H4536,TABLEITEM,3,FALSE),"")</f>
        <v>CT500/5MSQ60</v>
      </c>
      <c r="N4536" s="14">
        <f>INSTOCK!$I4536*INSTOCK!$K4536</f>
        <v>523.6899</v>
      </c>
      <c r="O4536" s="4"/>
      <c r="P4536" s="4"/>
    </row>
    <row r="4537" ht="15.75" hidden="1" customHeight="1">
      <c r="B4537" s="8">
        <v>4861.0</v>
      </c>
      <c r="C4537" s="9">
        <v>43413.0</v>
      </c>
      <c r="D4537" s="6">
        <v>6.11103139E8</v>
      </c>
      <c r="E4537" s="4">
        <v>6.111001393E9</v>
      </c>
      <c r="F4537" s="8"/>
      <c r="G4537" s="4" t="s">
        <v>1130</v>
      </c>
      <c r="H4537" s="10" t="s">
        <v>5608</v>
      </c>
      <c r="I4537" s="10">
        <v>1.0</v>
      </c>
      <c r="J4537" s="11" t="str">
        <f>IF(D4537&lt;&gt;"",VLOOKUP(H4537,TABLEITEM,5,FALSE),"")</f>
        <v>EA</v>
      </c>
      <c r="K4537" s="12">
        <v>1130.0</v>
      </c>
      <c r="L4537" s="13" t="str">
        <f>IF(D4537&lt;&gt;"",VLOOKUP(H4537,TABLEITEM,2,FALSE),"")</f>
        <v/>
      </c>
      <c r="M4537" s="13" t="str">
        <f>IF(D4537&lt;&gt;"",VLOOKUP(H4537,TABLEITEM,3,FALSE),"")</f>
        <v>เฟสโปรเทคเตอร์ WOP-4 220V 3P4W</v>
      </c>
      <c r="N4537" s="14">
        <f>INSTOCK!$I4537*INSTOCK!$K4537</f>
        <v>1130</v>
      </c>
      <c r="O4537" s="4"/>
      <c r="P4537" s="4"/>
    </row>
    <row r="4538" ht="15.75" hidden="1" customHeight="1">
      <c r="B4538" s="8">
        <v>4862.0</v>
      </c>
      <c r="C4538" s="9">
        <v>43413.0</v>
      </c>
      <c r="D4538" s="6" t="s">
        <v>5609</v>
      </c>
      <c r="E4538" s="4">
        <v>6.111001391E9</v>
      </c>
      <c r="F4538" s="8" t="s">
        <v>604</v>
      </c>
      <c r="G4538" s="4" t="s">
        <v>692</v>
      </c>
      <c r="H4538" s="10" t="s">
        <v>513</v>
      </c>
      <c r="I4538" s="10">
        <v>100.0</v>
      </c>
      <c r="J4538" s="11" t="str">
        <f>IF(D4538&lt;&gt;"",VLOOKUP(H4538,TABLEITEM,5,FALSE),"")</f>
        <v>M</v>
      </c>
      <c r="K4538" s="12">
        <v>35.955</v>
      </c>
      <c r="L4538" s="13" t="str">
        <f>IF(D4538&lt;&gt;"",VLOOKUP(H4538,TABLEITEM,2,FALSE),"")</f>
        <v>wire</v>
      </c>
      <c r="M4538" s="13" t="str">
        <f>IF(D4538&lt;&gt;"",VLOOKUP(H4538,TABLEITEM,3,FALSE),"")</f>
        <v>สายTHW ขนาด 1x16 SQMM.สีดำ</v>
      </c>
      <c r="N4538" s="14">
        <f>INSTOCK!$I4538*INSTOCK!$K4538</f>
        <v>3595.5</v>
      </c>
      <c r="O4538" s="4" t="s">
        <v>1476</v>
      </c>
      <c r="P4538" s="4"/>
    </row>
    <row r="4539" ht="15.75" hidden="1" customHeight="1">
      <c r="B4539" s="8">
        <v>4863.0</v>
      </c>
      <c r="C4539" s="9">
        <v>43413.0</v>
      </c>
      <c r="D4539" s="6" t="s">
        <v>5610</v>
      </c>
      <c r="E4539" s="4">
        <v>6.11100139E9</v>
      </c>
      <c r="F4539" s="8" t="s">
        <v>604</v>
      </c>
      <c r="G4539" s="4" t="s">
        <v>721</v>
      </c>
      <c r="H4539" s="18" t="s">
        <v>222</v>
      </c>
      <c r="I4539" s="10">
        <v>200.0</v>
      </c>
      <c r="J4539" s="11" t="str">
        <f>IF(D4539&lt;&gt;"",VLOOKUP(H4539,TABLEITEM,5,FALSE),"")</f>
        <v>M</v>
      </c>
      <c r="K4539" s="12">
        <v>9.4575</v>
      </c>
      <c r="L4539" s="13" t="str">
        <f>IF(D4539&lt;&gt;"",VLOOKUP(H4539,TABLEITEM,2,FALSE),"")</f>
        <v/>
      </c>
      <c r="M4539" s="13" t="str">
        <f>IF(D4539&lt;&gt;"",VLOOKUP(H4539,TABLEITEM,3,FALSE),"")</f>
        <v>ท่ออ่อนลูกฟูกชิดผ่า/ท่อผ่าดำ 11มิล</v>
      </c>
      <c r="N4539" s="14">
        <f>INSTOCK!$I4539*INSTOCK!$K4539</f>
        <v>1891.5</v>
      </c>
      <c r="O4539" s="4" t="s">
        <v>1145</v>
      </c>
      <c r="P4539" s="4"/>
    </row>
    <row r="4540" ht="15.75" hidden="1" customHeight="1">
      <c r="B4540" s="8">
        <v>4864.0</v>
      </c>
      <c r="C4540" s="9">
        <v>43413.0</v>
      </c>
      <c r="D4540" s="6" t="s">
        <v>5610</v>
      </c>
      <c r="E4540" s="4">
        <v>6.11100139E9</v>
      </c>
      <c r="F4540" s="8" t="s">
        <v>604</v>
      </c>
      <c r="G4540" s="4" t="s">
        <v>721</v>
      </c>
      <c r="H4540" s="10" t="s">
        <v>1162</v>
      </c>
      <c r="I4540" s="10">
        <v>1500.0</v>
      </c>
      <c r="J4540" s="11" t="str">
        <f>IF(D4540&lt;&gt;"",VLOOKUP(H4540,TABLEITEM,5,FALSE),"")</f>
        <v>EA</v>
      </c>
      <c r="K4540" s="12">
        <v>1.19</v>
      </c>
      <c r="L4540" s="13" t="str">
        <f>IF(D4540&lt;&gt;"",VLOOKUP(H4540,TABLEITEM,2,FALSE),"")</f>
        <v/>
      </c>
      <c r="M4540" s="13" t="str">
        <f>IF(D4540&lt;&gt;"",VLOOKUP(H4540,TABLEITEM,3,FALSE),"")</f>
        <v>บุชชิ่งสแน๊ป</v>
      </c>
      <c r="N4540" s="14">
        <f>INSTOCK!$I4540*INSTOCK!$K4540</f>
        <v>1785</v>
      </c>
      <c r="O4540" s="4" t="s">
        <v>3796</v>
      </c>
      <c r="P4540" s="4"/>
    </row>
    <row r="4541" ht="15.75" hidden="1" customHeight="1">
      <c r="B4541" s="8">
        <v>4865.0</v>
      </c>
      <c r="C4541" s="9">
        <v>43413.0</v>
      </c>
      <c r="D4541" s="6" t="s">
        <v>5610</v>
      </c>
      <c r="E4541" s="4">
        <v>6.11100139E9</v>
      </c>
      <c r="F4541" s="8" t="s">
        <v>604</v>
      </c>
      <c r="G4541" s="4" t="s">
        <v>721</v>
      </c>
      <c r="H4541" s="10" t="s">
        <v>173</v>
      </c>
      <c r="I4541" s="10">
        <v>1000.0</v>
      </c>
      <c r="J4541" s="11" t="str">
        <f>IF(D4541&lt;&gt;"",VLOOKUP(H4541,TABLEITEM,5,FALSE),"")</f>
        <v>EA</v>
      </c>
      <c r="K4541" s="12">
        <v>1.9546</v>
      </c>
      <c r="L4541" s="13" t="str">
        <f>IF(D4541&lt;&gt;"",VLOOKUP(H4541,TABLEITEM,2,FALSE),"")</f>
        <v/>
      </c>
      <c r="M4541" s="13" t="str">
        <f>IF(D4541&lt;&gt;"",VLOOKUP(H4541,TABLEITEM,3,FALSE),"")</f>
        <v>แป้นกาวเล็กTM2121-4WP</v>
      </c>
      <c r="N4541" s="14">
        <f>INSTOCK!$I4541*INSTOCK!$K4541</f>
        <v>1954.6</v>
      </c>
      <c r="O4541" s="4" t="s">
        <v>1405</v>
      </c>
      <c r="P4541" s="4"/>
    </row>
    <row r="4542" ht="15.75" hidden="1" customHeight="1">
      <c r="B4542" s="8">
        <v>4866.0</v>
      </c>
      <c r="C4542" s="9">
        <v>43413.0</v>
      </c>
      <c r="D4542" s="6" t="s">
        <v>5611</v>
      </c>
      <c r="E4542" s="4">
        <v>6.111001389E9</v>
      </c>
      <c r="F4542" s="8" t="s">
        <v>604</v>
      </c>
      <c r="G4542" s="4" t="s">
        <v>665</v>
      </c>
      <c r="H4542" s="10" t="s">
        <v>462</v>
      </c>
      <c r="I4542" s="10">
        <v>1500.0</v>
      </c>
      <c r="J4542" s="11" t="str">
        <f>IF(D4542&lt;&gt;"",VLOOKUP(H4542,TABLEITEM,5,FALSE),"")</f>
        <v>M</v>
      </c>
      <c r="K4542" s="12">
        <v>5.0</v>
      </c>
      <c r="L4542" s="13" t="str">
        <f>IF(D4542&lt;&gt;"",VLOOKUP(H4542,TABLEITEM,2,FALSE),"")</f>
        <v>wire</v>
      </c>
      <c r="M4542" s="13" t="str">
        <f>IF(D4542&lt;&gt;"",VLOOKUP(H4542,TABLEITEM,3,FALSE),"")</f>
        <v>สายไฟ VSF1x1 SQMM.สีเหลือง</v>
      </c>
      <c r="N4542" s="14">
        <f>INSTOCK!$I4542*INSTOCK!$K4542</f>
        <v>7500</v>
      </c>
      <c r="O4542" s="4"/>
      <c r="P4542" s="4"/>
    </row>
    <row r="4543" ht="15.75" hidden="1" customHeight="1">
      <c r="B4543" s="8">
        <v>4867.0</v>
      </c>
      <c r="C4543" s="9">
        <v>43413.0</v>
      </c>
      <c r="D4543" s="6" t="s">
        <v>5611</v>
      </c>
      <c r="E4543" s="4">
        <v>6.111001389E9</v>
      </c>
      <c r="F4543" s="8" t="s">
        <v>604</v>
      </c>
      <c r="G4543" s="4" t="s">
        <v>665</v>
      </c>
      <c r="H4543" s="10" t="s">
        <v>479</v>
      </c>
      <c r="I4543" s="10">
        <v>600.0</v>
      </c>
      <c r="J4543" s="11" t="str">
        <f>IF(D4543&lt;&gt;"",VLOOKUP(H4543,TABLEITEM,5,FALSE),"")</f>
        <v>M</v>
      </c>
      <c r="K4543" s="12">
        <v>9.8</v>
      </c>
      <c r="L4543" s="13" t="str">
        <f>IF(D4543&lt;&gt;"",VLOOKUP(H4543,TABLEITEM,2,FALSE),"")</f>
        <v>wire</v>
      </c>
      <c r="M4543" s="13" t="str">
        <f>IF(D4543&lt;&gt;"",VLOOKUP(H4543,TABLEITEM,3,FALSE),"")</f>
        <v>สายไฟ VSF1x2.5 SQMM.สีเหลือง</v>
      </c>
      <c r="N4543" s="14">
        <f>INSTOCK!$I4543*INSTOCK!$K4543</f>
        <v>5880</v>
      </c>
      <c r="O4543" s="4"/>
      <c r="P4543" s="4"/>
    </row>
    <row r="4544" ht="15.75" hidden="1" customHeight="1">
      <c r="B4544" s="8">
        <v>4868.0</v>
      </c>
      <c r="C4544" s="9">
        <v>43413.0</v>
      </c>
      <c r="D4544" s="6" t="s">
        <v>5611</v>
      </c>
      <c r="E4544" s="4">
        <v>6.111001389E9</v>
      </c>
      <c r="F4544" s="8" t="s">
        <v>604</v>
      </c>
      <c r="G4544" s="4" t="s">
        <v>665</v>
      </c>
      <c r="H4544" s="10" t="s">
        <v>679</v>
      </c>
      <c r="I4544" s="10">
        <v>200.0</v>
      </c>
      <c r="J4544" s="11" t="str">
        <f>IF(D4544&lt;&gt;"",VLOOKUP(H4544,TABLEITEM,5,FALSE),"")</f>
        <v>M</v>
      </c>
      <c r="K4544" s="12">
        <v>9.8</v>
      </c>
      <c r="L4544" s="13" t="str">
        <f>IF(D4544&lt;&gt;"",VLOOKUP(H4544,TABLEITEM,2,FALSE),"")</f>
        <v>wire</v>
      </c>
      <c r="M4544" s="13" t="str">
        <f>IF(D4544&lt;&gt;"",VLOOKUP(H4544,TABLEITEM,3,FALSE),"")</f>
        <v>สายกราวน์ VSF1x2.5 SQMM.สีเขียวเหลือง</v>
      </c>
      <c r="N4544" s="14">
        <f>INSTOCK!$I4544*INSTOCK!$K4544</f>
        <v>1960</v>
      </c>
      <c r="O4544" s="4"/>
      <c r="P4544" s="4"/>
    </row>
    <row r="4545" ht="15.75" hidden="1" customHeight="1">
      <c r="B4545" s="8">
        <v>4869.0</v>
      </c>
      <c r="C4545" s="9">
        <v>43413.0</v>
      </c>
      <c r="D4545" s="6" t="s">
        <v>5611</v>
      </c>
      <c r="E4545" s="4">
        <v>6.111001389E9</v>
      </c>
      <c r="F4545" s="8" t="s">
        <v>604</v>
      </c>
      <c r="G4545" s="4" t="s">
        <v>665</v>
      </c>
      <c r="H4545" s="10" t="s">
        <v>495</v>
      </c>
      <c r="I4545" s="10">
        <v>200.0</v>
      </c>
      <c r="J4545" s="11" t="str">
        <f>IF(D4545&lt;&gt;"",VLOOKUP(H4545,TABLEITEM,5,FALSE),"")</f>
        <v>M</v>
      </c>
      <c r="K4545" s="12">
        <v>15.47</v>
      </c>
      <c r="L4545" s="13" t="str">
        <f>IF(D4545&lt;&gt;"",VLOOKUP(H4545,TABLEITEM,2,FALSE),"")</f>
        <v>wire</v>
      </c>
      <c r="M4545" s="13" t="str">
        <f>IF(D4545&lt;&gt;"",VLOOKUP(H4545,TABLEITEM,3,FALSE),"")</f>
        <v>สายกราวน์ VSF1x4 SQMM.สีเขียวเหลือง</v>
      </c>
      <c r="N4545" s="14">
        <f>INSTOCK!$I4545*INSTOCK!$K4545</f>
        <v>3094</v>
      </c>
      <c r="O4545" s="4"/>
      <c r="P4545" s="4"/>
    </row>
    <row r="4546" ht="15.75" hidden="1" customHeight="1">
      <c r="B4546" s="8">
        <v>4870.0</v>
      </c>
      <c r="C4546" s="9">
        <v>43413.0</v>
      </c>
      <c r="D4546" s="6" t="s">
        <v>5612</v>
      </c>
      <c r="E4546" s="4"/>
      <c r="F4546" s="8" t="s">
        <v>604</v>
      </c>
      <c r="G4546" s="4" t="s">
        <v>965</v>
      </c>
      <c r="H4546" s="18" t="s">
        <v>5613</v>
      </c>
      <c r="I4546" s="10">
        <v>1.0</v>
      </c>
      <c r="J4546" s="11" t="str">
        <f>IF(D4546&lt;&gt;"",VLOOKUP(H4546,TABLEITEM,5,FALSE),"")</f>
        <v>EA</v>
      </c>
      <c r="K4546" s="12">
        <v>380.0</v>
      </c>
      <c r="L4546" s="13" t="str">
        <f>IF(D4546&lt;&gt;"",VLOOKUP(H4546,TABLEITEM,2,FALSE),"")</f>
        <v/>
      </c>
      <c r="M4546" s="13" t="str">
        <f>IF(D4546&lt;&gt;"",VLOOKUP(H4546,TABLEITEM,3,FALSE),"")</f>
        <v>บอลวาล์ว Sunwa 1.1/2"</v>
      </c>
      <c r="N4546" s="14">
        <f>INSTOCK!$I4546*INSTOCK!$K4546</f>
        <v>380</v>
      </c>
      <c r="O4546" s="4"/>
      <c r="P4546" s="4"/>
    </row>
    <row r="4547" ht="15.75" hidden="1" customHeight="1">
      <c r="B4547" s="8">
        <v>4871.0</v>
      </c>
      <c r="C4547" s="9">
        <v>43413.0</v>
      </c>
      <c r="D4547" s="6" t="s">
        <v>5612</v>
      </c>
      <c r="E4547" s="4"/>
      <c r="F4547" s="8" t="s">
        <v>604</v>
      </c>
      <c r="G4547" s="4" t="s">
        <v>965</v>
      </c>
      <c r="H4547" s="10" t="s">
        <v>5614</v>
      </c>
      <c r="I4547" s="10">
        <v>10.0</v>
      </c>
      <c r="J4547" s="11" t="str">
        <f>IF(D4547&lt;&gt;"",VLOOKUP(H4547,TABLEITEM,5,FALSE),"")</f>
        <v>EA</v>
      </c>
      <c r="K4547" s="12">
        <v>3.0</v>
      </c>
      <c r="L4547" s="13" t="str">
        <f>IF(D4547&lt;&gt;"",VLOOKUP(H4547,TABLEITEM,2,FALSE),"")</f>
        <v/>
      </c>
      <c r="M4547" s="13" t="str">
        <f>IF(D4547&lt;&gt;"",VLOOKUP(H4547,TABLEITEM,3,FALSE),"")</f>
        <v>ยางยูเนียน 1"</v>
      </c>
      <c r="N4547" s="14">
        <f>INSTOCK!$I4547*INSTOCK!$K4547</f>
        <v>30</v>
      </c>
      <c r="O4547" s="4"/>
      <c r="P4547" s="4"/>
    </row>
    <row r="4548" ht="15.75" hidden="1" customHeight="1">
      <c r="B4548" s="8">
        <v>4872.0</v>
      </c>
      <c r="C4548" s="9">
        <v>43413.0</v>
      </c>
      <c r="D4548" s="6" t="s">
        <v>5612</v>
      </c>
      <c r="E4548" s="4"/>
      <c r="F4548" s="8" t="s">
        <v>604</v>
      </c>
      <c r="G4548" s="4" t="s">
        <v>965</v>
      </c>
      <c r="H4548" s="10" t="s">
        <v>2151</v>
      </c>
      <c r="I4548" s="10">
        <v>1.0</v>
      </c>
      <c r="J4548" s="11" t="str">
        <f>IF(D4548&lt;&gt;"",VLOOKUP(H4548,TABLEITEM,5,FALSE),"")</f>
        <v>EA</v>
      </c>
      <c r="K4548" s="12">
        <v>1500.0</v>
      </c>
      <c r="L4548" s="13" t="str">
        <f>IF(D4548&lt;&gt;"",VLOOKUP(H4548,TABLEITEM,2,FALSE),"")</f>
        <v/>
      </c>
      <c r="M4548" s="13" t="str">
        <f>IF(D4548&lt;&gt;"",VLOOKUP(H4548,TABLEITEM,3,FALSE),"")</f>
        <v>เครื่องเจียร์ 7-100 BOSCH</v>
      </c>
      <c r="N4548" s="14">
        <f>INSTOCK!$I4548*INSTOCK!$K4548</f>
        <v>1500</v>
      </c>
      <c r="O4548" s="4"/>
      <c r="P4548" s="4"/>
    </row>
    <row r="4549" ht="15.75" hidden="1" customHeight="1">
      <c r="B4549" s="8">
        <v>4873.0</v>
      </c>
      <c r="C4549" s="9">
        <v>43413.0</v>
      </c>
      <c r="D4549" s="6" t="s">
        <v>5612</v>
      </c>
      <c r="E4549" s="4"/>
      <c r="F4549" s="8" t="s">
        <v>604</v>
      </c>
      <c r="G4549" s="4" t="s">
        <v>965</v>
      </c>
      <c r="H4549" s="10" t="s">
        <v>966</v>
      </c>
      <c r="I4549" s="10">
        <v>20.0</v>
      </c>
      <c r="J4549" s="11" t="str">
        <f>IF(D4549&lt;&gt;"",VLOOKUP(H4549,TABLEITEM,5,FALSE),"")</f>
        <v>EA</v>
      </c>
      <c r="K4549" s="12">
        <v>28.0</v>
      </c>
      <c r="L4549" s="13" t="str">
        <f>IF(D4549&lt;&gt;"",VLOOKUP(H4549,TABLEITEM,2,FALSE),"")</f>
        <v/>
      </c>
      <c r="M4549" s="13" t="str">
        <f>IF(D4549&lt;&gt;"",VLOOKUP(H4549,TABLEITEM,3,FALSE),"")</f>
        <v>ลูกปืน 6000ZZ</v>
      </c>
      <c r="N4549" s="14">
        <f>INSTOCK!$I4549*INSTOCK!$K4549</f>
        <v>560</v>
      </c>
      <c r="O4549" s="4"/>
      <c r="P4549" s="4"/>
    </row>
    <row r="4550" ht="15.75" hidden="1" customHeight="1">
      <c r="B4550" s="8">
        <v>4874.0</v>
      </c>
      <c r="C4550" s="9">
        <v>43413.0</v>
      </c>
      <c r="D4550" s="6" t="s">
        <v>5612</v>
      </c>
      <c r="E4550" s="4"/>
      <c r="F4550" s="8" t="s">
        <v>604</v>
      </c>
      <c r="G4550" s="4" t="s">
        <v>965</v>
      </c>
      <c r="H4550" s="10" t="s">
        <v>45</v>
      </c>
      <c r="I4550" s="10">
        <v>1.0</v>
      </c>
      <c r="J4550" s="11" t="str">
        <f>IF(D4550&lt;&gt;"",VLOOKUP(H4550,TABLEITEM,5,FALSE),"")</f>
        <v>กล</v>
      </c>
      <c r="K4550" s="12">
        <v>280.0</v>
      </c>
      <c r="L4550" s="13" t="str">
        <f>IF(D4550&lt;&gt;"",VLOOKUP(H4550,TABLEITEM,2,FALSE),"")</f>
        <v/>
      </c>
      <c r="M4550" s="13" t="str">
        <f>IF(D4550&lt;&gt;"",VLOOKUP(H4550,TABLEITEM,3,FALSE),"")</f>
        <v>สีโป้ว</v>
      </c>
      <c r="N4550" s="14">
        <f>INSTOCK!$I4550*INSTOCK!$K4550</f>
        <v>280</v>
      </c>
      <c r="O4550" s="4"/>
      <c r="P4550" s="4"/>
    </row>
    <row r="4551" ht="15.75" hidden="1" customHeight="1">
      <c r="B4551" s="8">
        <v>4875.0</v>
      </c>
      <c r="C4551" s="9">
        <v>43413.0</v>
      </c>
      <c r="D4551" s="6" t="s">
        <v>5615</v>
      </c>
      <c r="E4551" s="4">
        <v>6.111001381E9</v>
      </c>
      <c r="F4551" s="8" t="s">
        <v>604</v>
      </c>
      <c r="G4551" s="4" t="s">
        <v>965</v>
      </c>
      <c r="H4551" s="10" t="s">
        <v>59</v>
      </c>
      <c r="I4551" s="10">
        <v>3.0</v>
      </c>
      <c r="J4551" s="11" t="str">
        <f>IF(D4551&lt;&gt;"",VLOOKUP(H4551,TABLEITEM,5,FALSE),"")</f>
        <v>EA</v>
      </c>
      <c r="K4551" s="12">
        <v>100.0</v>
      </c>
      <c r="L4551" s="13" t="str">
        <f>IF(D4551&lt;&gt;"",VLOOKUP(H4551,TABLEITEM,2,FALSE),"")</f>
        <v/>
      </c>
      <c r="M4551" s="13" t="str">
        <f>IF(D4551&lt;&gt;"",VLOOKUP(H4551,TABLEITEM,3,FALSE),"")</f>
        <v>โซเน็ก</v>
      </c>
      <c r="N4551" s="14">
        <f>INSTOCK!$I4551*INSTOCK!$K4551</f>
        <v>300</v>
      </c>
      <c r="O4551" s="4"/>
      <c r="P4551" s="4"/>
    </row>
    <row r="4552" ht="15.75" hidden="1" customHeight="1">
      <c r="B4552" s="8">
        <v>4876.0</v>
      </c>
      <c r="C4552" s="9">
        <v>43413.0</v>
      </c>
      <c r="D4552" s="6" t="s">
        <v>5615</v>
      </c>
      <c r="E4552" s="4">
        <v>6.111001381E9</v>
      </c>
      <c r="F4552" s="8" t="s">
        <v>604</v>
      </c>
      <c r="G4552" s="4" t="s">
        <v>965</v>
      </c>
      <c r="H4552" s="10" t="s">
        <v>3198</v>
      </c>
      <c r="I4552" s="10">
        <v>3.0</v>
      </c>
      <c r="J4552" s="11" t="str">
        <f>IF(D4552&lt;&gt;"",VLOOKUP(H4552,TABLEITEM,5,FALSE),"")</f>
        <v>EA</v>
      </c>
      <c r="K4552" s="12">
        <v>10.0</v>
      </c>
      <c r="L4552" s="13" t="str">
        <f>IF(D4552&lt;&gt;"",VLOOKUP(H4552,TABLEITEM,2,FALSE),"")</f>
        <v/>
      </c>
      <c r="M4552" s="13" t="str">
        <f>IF(D4552&lt;&gt;"",VLOOKUP(H4552,TABLEITEM,3,FALSE),"")</f>
        <v>น้ำกลั่น</v>
      </c>
      <c r="N4552" s="14">
        <f>INSTOCK!$I4552*INSTOCK!$K4552</f>
        <v>30</v>
      </c>
      <c r="O4552" s="4"/>
      <c r="P4552" s="4"/>
    </row>
    <row r="4553" ht="15.75" hidden="1" customHeight="1">
      <c r="B4553" s="8">
        <v>4877.0</v>
      </c>
      <c r="C4553" s="9">
        <v>43413.0</v>
      </c>
      <c r="D4553" s="6" t="s">
        <v>5616</v>
      </c>
      <c r="E4553" s="4">
        <v>6.11100138E9</v>
      </c>
      <c r="F4553" s="8" t="s">
        <v>5617</v>
      </c>
      <c r="G4553" s="4" t="s">
        <v>965</v>
      </c>
      <c r="H4553" s="10" t="s">
        <v>966</v>
      </c>
      <c r="I4553" s="10">
        <v>20.0</v>
      </c>
      <c r="J4553" s="11" t="str">
        <f>IF(D4553&lt;&gt;"",VLOOKUP(H4553,TABLEITEM,5,FALSE),"")</f>
        <v>EA</v>
      </c>
      <c r="K4553" s="12">
        <v>28.0</v>
      </c>
      <c r="L4553" s="13" t="str">
        <f>IF(D4553&lt;&gt;"",VLOOKUP(H4553,TABLEITEM,2,FALSE),"")</f>
        <v/>
      </c>
      <c r="M4553" s="13" t="str">
        <f>IF(D4553&lt;&gt;"",VLOOKUP(H4553,TABLEITEM,3,FALSE),"")</f>
        <v>ลูกปืน 6000ZZ</v>
      </c>
      <c r="N4553" s="14">
        <f>INSTOCK!$I4553*INSTOCK!$K4553</f>
        <v>560</v>
      </c>
      <c r="O4553" s="4"/>
      <c r="P4553" s="4"/>
    </row>
    <row r="4554" ht="15.75" hidden="1" customHeight="1">
      <c r="B4554" s="8">
        <v>4878.0</v>
      </c>
      <c r="C4554" s="9">
        <v>43413.0</v>
      </c>
      <c r="D4554" s="6" t="s">
        <v>5618</v>
      </c>
      <c r="E4554" s="4">
        <v>6.111001361E9</v>
      </c>
      <c r="F4554" s="8" t="s">
        <v>5547</v>
      </c>
      <c r="G4554" s="4" t="s">
        <v>1485</v>
      </c>
      <c r="H4554" s="10" t="s">
        <v>1853</v>
      </c>
      <c r="I4554" s="10">
        <v>1.0</v>
      </c>
      <c r="J4554" s="11" t="str">
        <f>IF(D4554&lt;&gt;"",VLOOKUP(H4554,TABLEITEM,5,FALSE),"")</f>
        <v>EA</v>
      </c>
      <c r="K4554" s="12">
        <v>533.0</v>
      </c>
      <c r="L4554" s="13" t="str">
        <f>IF(D4554&lt;&gt;"",VLOOKUP(H4554,TABLEITEM,2,FALSE),"")</f>
        <v/>
      </c>
      <c r="M4554" s="13" t="str">
        <f>IF(D4554&lt;&gt;"",VLOOKUP(H4554,TABLEITEM,3,FALSE),"")</f>
        <v>K CAM SWITCH K1F003MLH</v>
      </c>
      <c r="N4554" s="14">
        <f>INSTOCK!$I4554*INSTOCK!$K4554</f>
        <v>533</v>
      </c>
      <c r="O4554" s="4"/>
      <c r="P4554" s="4"/>
    </row>
    <row r="4555" ht="15.75" hidden="1" customHeight="1">
      <c r="B4555" s="8">
        <v>4879.0</v>
      </c>
      <c r="C4555" s="9">
        <v>43412.0</v>
      </c>
      <c r="D4555" s="6" t="s">
        <v>5619</v>
      </c>
      <c r="E4555" s="4">
        <v>6.111001374E9</v>
      </c>
      <c r="F4555" s="8" t="s">
        <v>5620</v>
      </c>
      <c r="G4555" s="4" t="s">
        <v>1962</v>
      </c>
      <c r="H4555" s="18" t="s">
        <v>3447</v>
      </c>
      <c r="I4555" s="10">
        <v>1.0</v>
      </c>
      <c r="J4555" s="11" t="str">
        <f>IF(D4555&lt;&gt;"",VLOOKUP(H4555,TABLEITEM,5,FALSE),"")</f>
        <v>EA</v>
      </c>
      <c r="K4555" s="12">
        <v>10900.0</v>
      </c>
      <c r="L4555" s="13" t="str">
        <f>IF(D4555&lt;&gt;"",VLOOKUP(H4555,TABLEITEM,2,FALSE),"")</f>
        <v/>
      </c>
      <c r="M4555" s="13" t="str">
        <f>IF(D4555&lt;&gt;"",VLOOKUP(H4555,TABLEITEM,3,FALSE),"")</f>
        <v>power miter MF96021A NEMO 96HD+ </v>
      </c>
      <c r="N4555" s="14">
        <f>INSTOCK!$I4555*INSTOCK!$K4555</f>
        <v>10900</v>
      </c>
      <c r="O4555" s="4" t="s">
        <v>5621</v>
      </c>
      <c r="P4555" s="4"/>
    </row>
    <row r="4556" ht="15.75" hidden="1" customHeight="1">
      <c r="B4556" s="8">
        <v>4880.0</v>
      </c>
      <c r="C4556" s="9">
        <v>43412.0</v>
      </c>
      <c r="D4556" s="6" t="s">
        <v>5622</v>
      </c>
      <c r="E4556" s="4">
        <v>6.111001379E9</v>
      </c>
      <c r="F4556" s="8" t="s">
        <v>5623</v>
      </c>
      <c r="G4556" s="4" t="s">
        <v>1596</v>
      </c>
      <c r="H4556" s="10" t="s">
        <v>5624</v>
      </c>
      <c r="I4556" s="10">
        <v>1.0</v>
      </c>
      <c r="J4556" s="11" t="str">
        <f>IF(D4556&lt;&gt;"",VLOOKUP(H4556,TABLEITEM,5,FALSE),"")</f>
        <v>EA</v>
      </c>
      <c r="K4556" s="12">
        <v>900.0</v>
      </c>
      <c r="L4556" s="13" t="str">
        <f>IF(D4556&lt;&gt;"",VLOOKUP(H4556,TABLEITEM,2,FALSE),"")</f>
        <v/>
      </c>
      <c r="M4556" s="13" t="str">
        <f>IF(D4556&lt;&gt;"",VLOOKUP(H4556,TABLEITEM,3,FALSE),"")</f>
        <v>Consumer unit SCP-14</v>
      </c>
      <c r="N4556" s="14">
        <f>INSTOCK!$I4556*INSTOCK!$K4556</f>
        <v>900</v>
      </c>
      <c r="O4556" s="4" t="s">
        <v>1598</v>
      </c>
      <c r="P4556" s="4"/>
    </row>
    <row r="4557" ht="15.75" hidden="1" customHeight="1">
      <c r="B4557" s="8">
        <v>4881.0</v>
      </c>
      <c r="C4557" s="9">
        <v>43412.0</v>
      </c>
      <c r="D4557" s="6" t="s">
        <v>5622</v>
      </c>
      <c r="E4557" s="4">
        <v>6.111001379E9</v>
      </c>
      <c r="F4557" s="8" t="s">
        <v>5623</v>
      </c>
      <c r="G4557" s="4" t="s">
        <v>1596</v>
      </c>
      <c r="H4557" s="10" t="s">
        <v>1795</v>
      </c>
      <c r="I4557" s="10">
        <v>12.0</v>
      </c>
      <c r="J4557" s="11" t="str">
        <f>IF(D4557&lt;&gt;"",VLOOKUP(H4557,TABLEITEM,5,FALSE),"")</f>
        <v>EA</v>
      </c>
      <c r="K4557" s="12">
        <v>74.0</v>
      </c>
      <c r="L4557" s="13" t="str">
        <f>IF(D4557&lt;&gt;"",VLOOKUP(H4557,TABLEITEM,2,FALSE),"")</f>
        <v/>
      </c>
      <c r="M4557" s="13" t="str">
        <f>IF(D4557&lt;&gt;"",VLOOKUP(H4557,TABLEITEM,3,FALSE),"")</f>
        <v>MCB SH201-C20</v>
      </c>
      <c r="N4557" s="14">
        <f>INSTOCK!$I4557*INSTOCK!$K4557</f>
        <v>888</v>
      </c>
      <c r="O4557" s="4"/>
      <c r="P4557" s="4"/>
    </row>
    <row r="4558" ht="15.75" hidden="1" customHeight="1">
      <c r="B4558" s="8">
        <v>4882.0</v>
      </c>
      <c r="C4558" s="9">
        <v>43412.0</v>
      </c>
      <c r="D4558" s="6" t="s">
        <v>5622</v>
      </c>
      <c r="E4558" s="4">
        <v>6.111001379E9</v>
      </c>
      <c r="F4558" s="8" t="s">
        <v>5623</v>
      </c>
      <c r="G4558" s="4" t="s">
        <v>1596</v>
      </c>
      <c r="H4558" s="10" t="s">
        <v>1694</v>
      </c>
      <c r="I4558" s="10">
        <v>1.0</v>
      </c>
      <c r="J4558" s="11" t="str">
        <f>IF(D4558&lt;&gt;"",VLOOKUP(H4558,TABLEITEM,5,FALSE),"")</f>
        <v>EA</v>
      </c>
      <c r="K4558" s="12">
        <v>1012.0</v>
      </c>
      <c r="L4558" s="13" t="str">
        <f>IF(D4558&lt;&gt;"",VLOOKUP(H4558,TABLEITEM,2,FALSE),"")</f>
        <v/>
      </c>
      <c r="M4558" s="13" t="str">
        <f>IF(D4558&lt;&gt;"",VLOOKUP(H4558,TABLEITEM,3,FALSE),"")</f>
        <v>Circuil Breaker FH202AC-40/0.03</v>
      </c>
      <c r="N4558" s="14">
        <f>INSTOCK!$I4558*INSTOCK!$K4558</f>
        <v>1012</v>
      </c>
      <c r="O4558" s="4"/>
      <c r="P4558" s="4"/>
    </row>
    <row r="4559" ht="15.75" hidden="1" customHeight="1">
      <c r="B4559" s="8">
        <v>4883.0</v>
      </c>
      <c r="C4559" s="9">
        <v>43412.0</v>
      </c>
      <c r="D4559" s="6" t="s">
        <v>5622</v>
      </c>
      <c r="E4559" s="4">
        <v>6.111001379E9</v>
      </c>
      <c r="F4559" s="8" t="s">
        <v>5623</v>
      </c>
      <c r="G4559" s="4" t="s">
        <v>1596</v>
      </c>
      <c r="H4559" s="10" t="s">
        <v>1769</v>
      </c>
      <c r="I4559" s="10">
        <v>1.0</v>
      </c>
      <c r="J4559" s="11" t="str">
        <f>IF(D4559&lt;&gt;"",VLOOKUP(H4559,TABLEITEM,5,FALSE),"")</f>
        <v>EA</v>
      </c>
      <c r="K4559" s="12">
        <v>1170.0</v>
      </c>
      <c r="L4559" s="13" t="str">
        <f>IF(D4559&lt;&gt;"",VLOOKUP(H4559,TABLEITEM,2,FALSE),"")</f>
        <v/>
      </c>
      <c r="M4559" s="13" t="str">
        <f>IF(D4559&lt;&gt;"",VLOOKUP(H4559,TABLEITEM,3,FALSE),"")</f>
        <v>MCCB A1C125 3P 50A 25KA</v>
      </c>
      <c r="N4559" s="14">
        <f>INSTOCK!$I4559*INSTOCK!$K4559</f>
        <v>1170</v>
      </c>
      <c r="O4559" s="4"/>
      <c r="P4559" s="4"/>
    </row>
    <row r="4560" ht="15.75" hidden="1" customHeight="1">
      <c r="B4560" s="8">
        <v>4884.0</v>
      </c>
      <c r="C4560" s="9">
        <v>43412.0</v>
      </c>
      <c r="D4560" s="6" t="s">
        <v>5622</v>
      </c>
      <c r="E4560" s="4">
        <v>6.111001379E9</v>
      </c>
      <c r="F4560" s="8" t="s">
        <v>5623</v>
      </c>
      <c r="G4560" s="4" t="s">
        <v>1596</v>
      </c>
      <c r="H4560" s="10" t="s">
        <v>1801</v>
      </c>
      <c r="I4560" s="10">
        <v>1.0</v>
      </c>
      <c r="J4560" s="11" t="str">
        <f>IF(D4560&lt;&gt;"",VLOOKUP(H4560,TABLEITEM,5,FALSE),"")</f>
        <v>EA</v>
      </c>
      <c r="K4560" s="12">
        <v>578.0</v>
      </c>
      <c r="L4560" s="13" t="str">
        <f>IF(D4560&lt;&gt;"",VLOOKUP(H4560,TABLEITEM,2,FALSE),"")</f>
        <v/>
      </c>
      <c r="M4560" s="13" t="str">
        <f>IF(D4560&lt;&gt;"",VLOOKUP(H4560,TABLEITEM,3,FALSE),"")</f>
        <v>Consumer Unit SCP-10</v>
      </c>
      <c r="N4560" s="14">
        <f>INSTOCK!$I4560*INSTOCK!$K4560</f>
        <v>578</v>
      </c>
      <c r="O4560" s="4"/>
      <c r="P4560" s="4"/>
    </row>
    <row r="4561" ht="15.75" hidden="1" customHeight="1">
      <c r="B4561" s="8">
        <v>4885.0</v>
      </c>
      <c r="C4561" s="9">
        <v>43412.0</v>
      </c>
      <c r="D4561" s="6" t="s">
        <v>5622</v>
      </c>
      <c r="E4561" s="4">
        <v>6.111001379E9</v>
      </c>
      <c r="F4561" s="8" t="s">
        <v>5623</v>
      </c>
      <c r="G4561" s="4" t="s">
        <v>1596</v>
      </c>
      <c r="H4561" s="10" t="s">
        <v>1803</v>
      </c>
      <c r="I4561" s="10">
        <v>12.0</v>
      </c>
      <c r="J4561" s="11" t="str">
        <f>IF(D4561&lt;&gt;"",VLOOKUP(H4561,TABLEITEM,5,FALSE),"")</f>
        <v>EA</v>
      </c>
      <c r="K4561" s="12">
        <v>74.0</v>
      </c>
      <c r="L4561" s="13" t="str">
        <f>IF(D4561&lt;&gt;"",VLOOKUP(H4561,TABLEITEM,2,FALSE),"")</f>
        <v/>
      </c>
      <c r="M4561" s="13" t="str">
        <f>IF(D4561&lt;&gt;"",VLOOKUP(H4561,TABLEITEM,3,FALSE),"")</f>
        <v>MCB SH201-C32</v>
      </c>
      <c r="N4561" s="14">
        <f>INSTOCK!$I4561*INSTOCK!$K4561</f>
        <v>888</v>
      </c>
      <c r="O4561" s="4"/>
      <c r="P4561" s="4"/>
    </row>
    <row r="4562" ht="15.75" hidden="1" customHeight="1">
      <c r="B4562" s="8">
        <v>4886.0</v>
      </c>
      <c r="C4562" s="9">
        <v>43412.0</v>
      </c>
      <c r="D4562" s="6" t="s">
        <v>5622</v>
      </c>
      <c r="E4562" s="4">
        <v>6.111001379E9</v>
      </c>
      <c r="F4562" s="8" t="s">
        <v>5623</v>
      </c>
      <c r="G4562" s="4" t="s">
        <v>1596</v>
      </c>
      <c r="H4562" s="10" t="s">
        <v>1694</v>
      </c>
      <c r="I4562" s="10">
        <v>3.0</v>
      </c>
      <c r="J4562" s="11" t="str">
        <f>IF(D4562&lt;&gt;"",VLOOKUP(H4562,TABLEITEM,5,FALSE),"")</f>
        <v>EA</v>
      </c>
      <c r="K4562" s="12">
        <v>1012.0</v>
      </c>
      <c r="L4562" s="13" t="str">
        <f>IF(D4562&lt;&gt;"",VLOOKUP(H4562,TABLEITEM,2,FALSE),"")</f>
        <v/>
      </c>
      <c r="M4562" s="13" t="str">
        <f>IF(D4562&lt;&gt;"",VLOOKUP(H4562,TABLEITEM,3,FALSE),"")</f>
        <v>Circuil Breaker FH202AC-40/0.03</v>
      </c>
      <c r="N4562" s="14">
        <f>INSTOCK!$I4562*INSTOCK!$K4562</f>
        <v>3036</v>
      </c>
      <c r="O4562" s="4"/>
      <c r="P4562" s="4"/>
    </row>
    <row r="4563" ht="15.75" hidden="1" customHeight="1">
      <c r="B4563" s="8">
        <v>4887.0</v>
      </c>
      <c r="C4563" s="9">
        <v>43412.0</v>
      </c>
      <c r="D4563" s="6" t="s">
        <v>5622</v>
      </c>
      <c r="E4563" s="4">
        <v>6.111001379E9</v>
      </c>
      <c r="F4563" s="8" t="s">
        <v>5623</v>
      </c>
      <c r="G4563" s="4" t="s">
        <v>1596</v>
      </c>
      <c r="H4563" s="10" t="s">
        <v>1717</v>
      </c>
      <c r="I4563" s="10">
        <v>1.0</v>
      </c>
      <c r="J4563" s="11" t="str">
        <f>IF(D4563&lt;&gt;"",VLOOKUP(H4563,TABLEITEM,5,FALSE),"")</f>
        <v>EA</v>
      </c>
      <c r="K4563" s="12">
        <v>1170.0</v>
      </c>
      <c r="L4563" s="13" t="str">
        <f>IF(D4563&lt;&gt;"",VLOOKUP(H4563,TABLEITEM,2,FALSE),"")</f>
        <v/>
      </c>
      <c r="M4563" s="13" t="str">
        <f>IF(D4563&lt;&gt;"",VLOOKUP(H4563,TABLEITEM,3,FALSE),"")</f>
        <v>MCCB A1C125 3P 60A 25KA</v>
      </c>
      <c r="N4563" s="14">
        <f>INSTOCK!$I4563*INSTOCK!$K4563</f>
        <v>1170</v>
      </c>
      <c r="O4563" s="4"/>
      <c r="P4563" s="4"/>
    </row>
    <row r="4564" ht="15.75" hidden="1" customHeight="1">
      <c r="B4564" s="8">
        <v>4888.0</v>
      </c>
      <c r="C4564" s="9">
        <v>43412.0</v>
      </c>
      <c r="D4564" s="6" t="s">
        <v>5622</v>
      </c>
      <c r="E4564" s="4">
        <v>6.111001379E9</v>
      </c>
      <c r="F4564" s="8" t="s">
        <v>5623</v>
      </c>
      <c r="G4564" s="4" t="s">
        <v>1596</v>
      </c>
      <c r="H4564" s="10" t="s">
        <v>1768</v>
      </c>
      <c r="I4564" s="10">
        <v>2.0</v>
      </c>
      <c r="J4564" s="11" t="str">
        <f>IF(D4564&lt;&gt;"",VLOOKUP(H4564,TABLEITEM,5,FALSE),"")</f>
        <v>EA</v>
      </c>
      <c r="K4564" s="12">
        <v>1170.0</v>
      </c>
      <c r="L4564" s="13" t="str">
        <f>IF(D4564&lt;&gt;"",VLOOKUP(H4564,TABLEITEM,2,FALSE),"")</f>
        <v/>
      </c>
      <c r="M4564" s="13" t="str">
        <f>IF(D4564&lt;&gt;"",VLOOKUP(H4564,TABLEITEM,3,FALSE),"")</f>
        <v>MCCB A1C125 3P 30A 25KA</v>
      </c>
      <c r="N4564" s="14">
        <f>INSTOCK!$I4564*INSTOCK!$K4564</f>
        <v>2340</v>
      </c>
      <c r="O4564" s="4"/>
      <c r="P4564" s="4"/>
    </row>
    <row r="4565" ht="15.75" hidden="1" customHeight="1">
      <c r="B4565" s="8">
        <v>4889.0</v>
      </c>
      <c r="C4565" s="9">
        <v>43412.0</v>
      </c>
      <c r="D4565" s="6" t="s">
        <v>5622</v>
      </c>
      <c r="E4565" s="4">
        <v>6.111001379E9</v>
      </c>
      <c r="F4565" s="8" t="s">
        <v>5623</v>
      </c>
      <c r="G4565" s="4" t="s">
        <v>1596</v>
      </c>
      <c r="H4565" s="10" t="s">
        <v>1721</v>
      </c>
      <c r="I4565" s="10">
        <v>3.0</v>
      </c>
      <c r="J4565" s="11" t="str">
        <f>IF(D4565&lt;&gt;"",VLOOKUP(H4565,TABLEITEM,5,FALSE),"")</f>
        <v>EA</v>
      </c>
      <c r="K4565" s="12">
        <v>456.0</v>
      </c>
      <c r="L4565" s="13" t="str">
        <f>IF(D4565&lt;&gt;"",VLOOKUP(H4565,TABLEITEM,2,FALSE),"")</f>
        <v/>
      </c>
      <c r="M4565" s="13" t="str">
        <f>IF(D4565&lt;&gt;"",VLOOKUP(H4565,TABLEITEM,3,FALSE),"")</f>
        <v>Consumer Unit SCP-07</v>
      </c>
      <c r="N4565" s="14">
        <f>INSTOCK!$I4565*INSTOCK!$K4565</f>
        <v>1368</v>
      </c>
      <c r="O4565" s="4"/>
      <c r="P4565" s="4"/>
    </row>
    <row r="4566" ht="15.75" hidden="1" customHeight="1">
      <c r="B4566" s="8">
        <v>4890.0</v>
      </c>
      <c r="C4566" s="9">
        <v>43412.0</v>
      </c>
      <c r="D4566" s="6" t="s">
        <v>5625</v>
      </c>
      <c r="E4566" s="4">
        <v>6.111001379E9</v>
      </c>
      <c r="F4566" s="8" t="s">
        <v>5623</v>
      </c>
      <c r="G4566" s="4" t="s">
        <v>1596</v>
      </c>
      <c r="H4566" s="10" t="s">
        <v>1798</v>
      </c>
      <c r="I4566" s="10">
        <v>12.0</v>
      </c>
      <c r="J4566" s="11" t="str">
        <f>IF(D4566&lt;&gt;"",VLOOKUP(H4566,TABLEITEM,5,FALSE),"")</f>
        <v>EA</v>
      </c>
      <c r="K4566" s="12">
        <v>74.0</v>
      </c>
      <c r="L4566" s="13" t="str">
        <f>IF(D4566&lt;&gt;"",VLOOKUP(H4566,TABLEITEM,2,FALSE),"")</f>
        <v/>
      </c>
      <c r="M4566" s="13" t="str">
        <f>IF(D4566&lt;&gt;"",VLOOKUP(H4566,TABLEITEM,3,FALSE),"")</f>
        <v>MCB SH201-C10</v>
      </c>
      <c r="N4566" s="14">
        <f>INSTOCK!$I4566*INSTOCK!$K4566</f>
        <v>888</v>
      </c>
      <c r="O4566" s="4"/>
      <c r="P4566" s="4"/>
    </row>
    <row r="4567" ht="15.75" hidden="1" customHeight="1">
      <c r="B4567" s="8">
        <v>4891.0</v>
      </c>
      <c r="C4567" s="9">
        <v>43412.0</v>
      </c>
      <c r="D4567" s="6" t="s">
        <v>5626</v>
      </c>
      <c r="E4567" s="4">
        <v>6.111001379E9</v>
      </c>
      <c r="F4567" s="8" t="s">
        <v>5623</v>
      </c>
      <c r="G4567" s="4" t="s">
        <v>1596</v>
      </c>
      <c r="H4567" s="10" t="s">
        <v>1694</v>
      </c>
      <c r="I4567" s="10">
        <v>3.0</v>
      </c>
      <c r="J4567" s="11" t="str">
        <f>IF(D4567&lt;&gt;"",VLOOKUP(H4567,TABLEITEM,5,FALSE),"")</f>
        <v>EA</v>
      </c>
      <c r="K4567" s="12">
        <v>1012.0</v>
      </c>
      <c r="L4567" s="13" t="str">
        <f>IF(D4567&lt;&gt;"",VLOOKUP(H4567,TABLEITEM,2,FALSE),"")</f>
        <v/>
      </c>
      <c r="M4567" s="13" t="str">
        <f>IF(D4567&lt;&gt;"",VLOOKUP(H4567,TABLEITEM,3,FALSE),"")</f>
        <v>Circuil Breaker FH202AC-40/0.03</v>
      </c>
      <c r="N4567" s="14">
        <f>INSTOCK!$I4567*INSTOCK!$K4567</f>
        <v>3036</v>
      </c>
      <c r="O4567" s="4"/>
      <c r="P4567" s="4"/>
    </row>
    <row r="4568" ht="15.75" hidden="1" customHeight="1">
      <c r="B4568" s="8">
        <v>4892.0</v>
      </c>
      <c r="C4568" s="9">
        <v>43412.0</v>
      </c>
      <c r="D4568" s="6" t="s">
        <v>5627</v>
      </c>
      <c r="E4568" s="4">
        <v>6.111001379E9</v>
      </c>
      <c r="F4568" s="8" t="s">
        <v>5623</v>
      </c>
      <c r="G4568" s="4" t="s">
        <v>1596</v>
      </c>
      <c r="H4568" s="10" t="s">
        <v>1768</v>
      </c>
      <c r="I4568" s="10">
        <v>1.0</v>
      </c>
      <c r="J4568" s="11" t="str">
        <f>IF(D4568&lt;&gt;"",VLOOKUP(H4568,TABLEITEM,5,FALSE),"")</f>
        <v>EA</v>
      </c>
      <c r="K4568" s="12">
        <v>1170.0</v>
      </c>
      <c r="L4568" s="13" t="str">
        <f>IF(D4568&lt;&gt;"",VLOOKUP(H4568,TABLEITEM,2,FALSE),"")</f>
        <v/>
      </c>
      <c r="M4568" s="13" t="str">
        <f>IF(D4568&lt;&gt;"",VLOOKUP(H4568,TABLEITEM,3,FALSE),"")</f>
        <v>MCCB A1C125 3P 30A 25KA</v>
      </c>
      <c r="N4568" s="14">
        <f>INSTOCK!$I4568*INSTOCK!$K4568</f>
        <v>1170</v>
      </c>
      <c r="O4568" s="4"/>
      <c r="P4568" s="4"/>
    </row>
    <row r="4569" ht="15.75" hidden="1" customHeight="1">
      <c r="B4569" s="8">
        <v>4893.0</v>
      </c>
      <c r="C4569" s="9">
        <v>43412.0</v>
      </c>
      <c r="D4569" s="6" t="s">
        <v>5627</v>
      </c>
      <c r="E4569" s="4">
        <v>6.111001379E9</v>
      </c>
      <c r="F4569" s="8" t="s">
        <v>5623</v>
      </c>
      <c r="G4569" s="4" t="s">
        <v>1596</v>
      </c>
      <c r="H4569" s="10" t="s">
        <v>1801</v>
      </c>
      <c r="I4569" s="10">
        <v>3.0</v>
      </c>
      <c r="J4569" s="11" t="str">
        <f>IF(D4569&lt;&gt;"",VLOOKUP(H4569,TABLEITEM,5,FALSE),"")</f>
        <v>EA</v>
      </c>
      <c r="K4569" s="12">
        <v>578.0</v>
      </c>
      <c r="L4569" s="13" t="str">
        <f>IF(D4569&lt;&gt;"",VLOOKUP(H4569,TABLEITEM,2,FALSE),"")</f>
        <v/>
      </c>
      <c r="M4569" s="13" t="str">
        <f>IF(D4569&lt;&gt;"",VLOOKUP(H4569,TABLEITEM,3,FALSE),"")</f>
        <v>Consumer Unit SCP-10</v>
      </c>
      <c r="N4569" s="14">
        <f>INSTOCK!$I4569*INSTOCK!$K4569</f>
        <v>1734</v>
      </c>
      <c r="O4569" s="4"/>
      <c r="P4569" s="4"/>
    </row>
    <row r="4570" ht="15.75" hidden="1" customHeight="1">
      <c r="B4570" s="8">
        <v>4894.0</v>
      </c>
      <c r="C4570" s="9">
        <v>43412.0</v>
      </c>
      <c r="D4570" s="6" t="s">
        <v>5627</v>
      </c>
      <c r="E4570" s="4">
        <v>6.111001379E9</v>
      </c>
      <c r="F4570" s="8" t="s">
        <v>5623</v>
      </c>
      <c r="G4570" s="4" t="s">
        <v>1596</v>
      </c>
      <c r="H4570" s="10" t="s">
        <v>1795</v>
      </c>
      <c r="I4570" s="10">
        <v>18.0</v>
      </c>
      <c r="J4570" s="11" t="str">
        <f>IF(D4570&lt;&gt;"",VLOOKUP(H4570,TABLEITEM,5,FALSE),"")</f>
        <v>EA</v>
      </c>
      <c r="K4570" s="12">
        <v>74.0</v>
      </c>
      <c r="L4570" s="13" t="str">
        <f>IF(D4570&lt;&gt;"",VLOOKUP(H4570,TABLEITEM,2,FALSE),"")</f>
        <v/>
      </c>
      <c r="M4570" s="13" t="str">
        <f>IF(D4570&lt;&gt;"",VLOOKUP(H4570,TABLEITEM,3,FALSE),"")</f>
        <v>MCB SH201-C20</v>
      </c>
      <c r="N4570" s="14">
        <f>INSTOCK!$I4570*INSTOCK!$K4570</f>
        <v>1332</v>
      </c>
      <c r="O4570" s="4"/>
      <c r="P4570" s="4"/>
    </row>
    <row r="4571" ht="15.75" hidden="1" customHeight="1">
      <c r="B4571" s="8">
        <v>4895.0</v>
      </c>
      <c r="C4571" s="9">
        <v>43412.0</v>
      </c>
      <c r="D4571" s="6" t="s">
        <v>5627</v>
      </c>
      <c r="E4571" s="4">
        <v>6.111001379E9</v>
      </c>
      <c r="F4571" s="8" t="s">
        <v>5623</v>
      </c>
      <c r="G4571" s="4" t="s">
        <v>1596</v>
      </c>
      <c r="H4571" s="10" t="s">
        <v>1803</v>
      </c>
      <c r="I4571" s="10">
        <v>12.0</v>
      </c>
      <c r="J4571" s="11" t="str">
        <f>IF(D4571&lt;&gt;"",VLOOKUP(H4571,TABLEITEM,5,FALSE),"")</f>
        <v>EA</v>
      </c>
      <c r="K4571" s="12">
        <v>74.0</v>
      </c>
      <c r="L4571" s="13" t="str">
        <f>IF(D4571&lt;&gt;"",VLOOKUP(H4571,TABLEITEM,2,FALSE),"")</f>
        <v/>
      </c>
      <c r="M4571" s="13" t="str">
        <f>IF(D4571&lt;&gt;"",VLOOKUP(H4571,TABLEITEM,3,FALSE),"")</f>
        <v>MCB SH201-C32</v>
      </c>
      <c r="N4571" s="14">
        <f>INSTOCK!$I4571*INSTOCK!$K4571</f>
        <v>888</v>
      </c>
      <c r="O4571" s="4"/>
      <c r="P4571" s="4"/>
    </row>
    <row r="4572" ht="15.75" hidden="1" customHeight="1">
      <c r="B4572" s="8">
        <v>4896.0</v>
      </c>
      <c r="C4572" s="9">
        <v>43412.0</v>
      </c>
      <c r="D4572" s="6" t="s">
        <v>5627</v>
      </c>
      <c r="E4572" s="4">
        <v>6.111001379E9</v>
      </c>
      <c r="F4572" s="8" t="s">
        <v>5623</v>
      </c>
      <c r="G4572" s="4" t="s">
        <v>1596</v>
      </c>
      <c r="H4572" s="10" t="s">
        <v>1769</v>
      </c>
      <c r="I4572" s="10">
        <v>2.0</v>
      </c>
      <c r="J4572" s="11" t="str">
        <f>IF(D4572&lt;&gt;"",VLOOKUP(H4572,TABLEITEM,5,FALSE),"")</f>
        <v>EA</v>
      </c>
      <c r="K4572" s="12">
        <v>1170.0</v>
      </c>
      <c r="L4572" s="13" t="str">
        <f>IF(D4572&lt;&gt;"",VLOOKUP(H4572,TABLEITEM,2,FALSE),"")</f>
        <v/>
      </c>
      <c r="M4572" s="13" t="str">
        <f>IF(D4572&lt;&gt;"",VLOOKUP(H4572,TABLEITEM,3,FALSE),"")</f>
        <v>MCCB A1C125 3P 50A 25KA</v>
      </c>
      <c r="N4572" s="14">
        <f>INSTOCK!$I4572*INSTOCK!$K4572</f>
        <v>2340</v>
      </c>
      <c r="O4572" s="4"/>
      <c r="P4572" s="4"/>
    </row>
    <row r="4573" ht="15.75" hidden="1" customHeight="1">
      <c r="B4573" s="8">
        <v>4897.0</v>
      </c>
      <c r="C4573" s="9">
        <v>43412.0</v>
      </c>
      <c r="D4573" s="6" t="s">
        <v>5627</v>
      </c>
      <c r="E4573" s="4">
        <v>6.111001379E9</v>
      </c>
      <c r="F4573" s="8" t="s">
        <v>5623</v>
      </c>
      <c r="G4573" s="4" t="s">
        <v>1596</v>
      </c>
      <c r="H4573" s="10" t="s">
        <v>1694</v>
      </c>
      <c r="I4573" s="10">
        <v>3.0</v>
      </c>
      <c r="J4573" s="11" t="str">
        <f>IF(D4573&lt;&gt;"",VLOOKUP(H4573,TABLEITEM,5,FALSE),"")</f>
        <v>EA</v>
      </c>
      <c r="K4573" s="12">
        <v>1012.0</v>
      </c>
      <c r="L4573" s="13" t="str">
        <f>IF(D4573&lt;&gt;"",VLOOKUP(H4573,TABLEITEM,2,FALSE),"")</f>
        <v/>
      </c>
      <c r="M4573" s="13" t="str">
        <f>IF(D4573&lt;&gt;"",VLOOKUP(H4573,TABLEITEM,3,FALSE),"")</f>
        <v>Circuil Breaker FH202AC-40/0.03</v>
      </c>
      <c r="N4573" s="14">
        <f>INSTOCK!$I4573*INSTOCK!$K4573</f>
        <v>3036</v>
      </c>
      <c r="O4573" s="4"/>
      <c r="P4573" s="4"/>
    </row>
    <row r="4574" ht="15.75" hidden="1" customHeight="1">
      <c r="B4574" s="8">
        <v>4898.0</v>
      </c>
      <c r="C4574" s="9">
        <v>43412.0</v>
      </c>
      <c r="D4574" s="6" t="s">
        <v>5627</v>
      </c>
      <c r="E4574" s="4">
        <v>6.111001379E9</v>
      </c>
      <c r="F4574" s="8" t="s">
        <v>5623</v>
      </c>
      <c r="G4574" s="4" t="s">
        <v>1596</v>
      </c>
      <c r="H4574" s="10" t="s">
        <v>1717</v>
      </c>
      <c r="I4574" s="10">
        <v>1.0</v>
      </c>
      <c r="J4574" s="11" t="str">
        <f>IF(D4574&lt;&gt;"",VLOOKUP(H4574,TABLEITEM,5,FALSE),"")</f>
        <v>EA</v>
      </c>
      <c r="K4574" s="12">
        <v>1170.0</v>
      </c>
      <c r="L4574" s="13" t="str">
        <f>IF(D4574&lt;&gt;"",VLOOKUP(H4574,TABLEITEM,2,FALSE),"")</f>
        <v/>
      </c>
      <c r="M4574" s="13" t="str">
        <f>IF(D4574&lt;&gt;"",VLOOKUP(H4574,TABLEITEM,3,FALSE),"")</f>
        <v>MCCB A1C125 3P 60A 25KA</v>
      </c>
      <c r="N4574" s="14">
        <f>INSTOCK!$I4574*INSTOCK!$K4574</f>
        <v>1170</v>
      </c>
      <c r="O4574" s="4"/>
      <c r="P4574" s="4"/>
    </row>
    <row r="4575" ht="15.75" hidden="1" customHeight="1">
      <c r="B4575" s="8">
        <v>4899.0</v>
      </c>
      <c r="C4575" s="9">
        <v>43412.0</v>
      </c>
      <c r="D4575" s="6" t="s">
        <v>5627</v>
      </c>
      <c r="E4575" s="4">
        <v>6.111001379E9</v>
      </c>
      <c r="F4575" s="8" t="s">
        <v>5623</v>
      </c>
      <c r="G4575" s="4" t="s">
        <v>1596</v>
      </c>
      <c r="H4575" s="10" t="s">
        <v>1801</v>
      </c>
      <c r="I4575" s="10">
        <v>3.0</v>
      </c>
      <c r="J4575" s="11" t="str">
        <f>IF(D4575&lt;&gt;"",VLOOKUP(H4575,TABLEITEM,5,FALSE),"")</f>
        <v>EA</v>
      </c>
      <c r="K4575" s="12">
        <v>578.0</v>
      </c>
      <c r="L4575" s="13" t="str">
        <f>IF(D4575&lt;&gt;"",VLOOKUP(H4575,TABLEITEM,2,FALSE),"")</f>
        <v/>
      </c>
      <c r="M4575" s="13" t="str">
        <f>IF(D4575&lt;&gt;"",VLOOKUP(H4575,TABLEITEM,3,FALSE),"")</f>
        <v>Consumer Unit SCP-10</v>
      </c>
      <c r="N4575" s="14">
        <f>INSTOCK!$I4575*INSTOCK!$K4575</f>
        <v>1734</v>
      </c>
      <c r="O4575" s="4"/>
      <c r="P4575" s="4"/>
    </row>
    <row r="4576" ht="15.75" hidden="1" customHeight="1">
      <c r="B4576" s="8">
        <v>4900.0</v>
      </c>
      <c r="C4576" s="9">
        <v>43412.0</v>
      </c>
      <c r="D4576" s="6" t="s">
        <v>5627</v>
      </c>
      <c r="E4576" s="4">
        <v>6.111001379E9</v>
      </c>
      <c r="F4576" s="8" t="s">
        <v>5623</v>
      </c>
      <c r="G4576" s="4" t="s">
        <v>1596</v>
      </c>
      <c r="H4576" s="10" t="s">
        <v>1795</v>
      </c>
      <c r="I4576" s="10">
        <v>18.0</v>
      </c>
      <c r="J4576" s="11" t="str">
        <f>IF(D4576&lt;&gt;"",VLOOKUP(H4576,TABLEITEM,5,FALSE),"")</f>
        <v>EA</v>
      </c>
      <c r="K4576" s="12">
        <v>74.0</v>
      </c>
      <c r="L4576" s="13" t="str">
        <f>IF(D4576&lt;&gt;"",VLOOKUP(H4576,TABLEITEM,2,FALSE),"")</f>
        <v/>
      </c>
      <c r="M4576" s="13" t="str">
        <f>IF(D4576&lt;&gt;"",VLOOKUP(H4576,TABLEITEM,3,FALSE),"")</f>
        <v>MCB SH201-C20</v>
      </c>
      <c r="N4576" s="14">
        <f>INSTOCK!$I4576*INSTOCK!$K4576</f>
        <v>1332</v>
      </c>
      <c r="O4576" s="4"/>
      <c r="P4576" s="4"/>
    </row>
    <row r="4577" ht="15.75" hidden="1" customHeight="1">
      <c r="B4577" s="8">
        <v>4901.0</v>
      </c>
      <c r="C4577" s="9">
        <v>43412.0</v>
      </c>
      <c r="D4577" s="6" t="s">
        <v>5627</v>
      </c>
      <c r="E4577" s="4">
        <v>6.111001379E9</v>
      </c>
      <c r="F4577" s="8" t="s">
        <v>5623</v>
      </c>
      <c r="G4577" s="4" t="s">
        <v>1596</v>
      </c>
      <c r="H4577" s="10" t="s">
        <v>1803</v>
      </c>
      <c r="I4577" s="10">
        <v>12.0</v>
      </c>
      <c r="J4577" s="11" t="str">
        <f>IF(D4577&lt;&gt;"",VLOOKUP(H4577,TABLEITEM,5,FALSE),"")</f>
        <v>EA</v>
      </c>
      <c r="K4577" s="12">
        <v>74.0</v>
      </c>
      <c r="L4577" s="13" t="str">
        <f>IF(D4577&lt;&gt;"",VLOOKUP(H4577,TABLEITEM,2,FALSE),"")</f>
        <v/>
      </c>
      <c r="M4577" s="13" t="str">
        <f>IF(D4577&lt;&gt;"",VLOOKUP(H4577,TABLEITEM,3,FALSE),"")</f>
        <v>MCB SH201-C32</v>
      </c>
      <c r="N4577" s="14">
        <f>INSTOCK!$I4577*INSTOCK!$K4577</f>
        <v>888</v>
      </c>
      <c r="O4577" s="4"/>
      <c r="P4577" s="4"/>
    </row>
    <row r="4578" ht="15.75" hidden="1" customHeight="1">
      <c r="B4578" s="8">
        <v>4902.0</v>
      </c>
      <c r="C4578" s="9">
        <v>43412.0</v>
      </c>
      <c r="D4578" s="6" t="s">
        <v>5627</v>
      </c>
      <c r="E4578" s="4">
        <v>6.111001379E9</v>
      </c>
      <c r="F4578" s="8" t="s">
        <v>5623</v>
      </c>
      <c r="G4578" s="4" t="s">
        <v>1596</v>
      </c>
      <c r="H4578" s="10" t="s">
        <v>1769</v>
      </c>
      <c r="I4578" s="10">
        <v>1.0</v>
      </c>
      <c r="J4578" s="11" t="str">
        <f>IF(D4578&lt;&gt;"",VLOOKUP(H4578,TABLEITEM,5,FALSE),"")</f>
        <v>EA</v>
      </c>
      <c r="K4578" s="12">
        <v>1170.0</v>
      </c>
      <c r="L4578" s="13" t="str">
        <f>IF(D4578&lt;&gt;"",VLOOKUP(H4578,TABLEITEM,2,FALSE),"")</f>
        <v/>
      </c>
      <c r="M4578" s="13" t="str">
        <f>IF(D4578&lt;&gt;"",VLOOKUP(H4578,TABLEITEM,3,FALSE),"")</f>
        <v>MCCB A1C125 3P 50A 25KA</v>
      </c>
      <c r="N4578" s="14">
        <f>INSTOCK!$I4578*INSTOCK!$K4578</f>
        <v>1170</v>
      </c>
      <c r="O4578" s="4"/>
      <c r="P4578" s="4"/>
    </row>
    <row r="4579" ht="15.75" hidden="1" customHeight="1">
      <c r="B4579" s="8">
        <v>4903.0</v>
      </c>
      <c r="C4579" s="9">
        <v>43412.0</v>
      </c>
      <c r="D4579" s="6" t="s">
        <v>5627</v>
      </c>
      <c r="E4579" s="4">
        <v>6.111001379E9</v>
      </c>
      <c r="F4579" s="8" t="s">
        <v>5623</v>
      </c>
      <c r="G4579" s="4" t="s">
        <v>1596</v>
      </c>
      <c r="H4579" s="10" t="s">
        <v>1694</v>
      </c>
      <c r="I4579" s="10">
        <v>8.0</v>
      </c>
      <c r="J4579" s="11" t="str">
        <f>IF(D4579&lt;&gt;"",VLOOKUP(H4579,TABLEITEM,5,FALSE),"")</f>
        <v>EA</v>
      </c>
      <c r="K4579" s="12">
        <v>1012.0</v>
      </c>
      <c r="L4579" s="13" t="str">
        <f>IF(D4579&lt;&gt;"",VLOOKUP(H4579,TABLEITEM,2,FALSE),"")</f>
        <v/>
      </c>
      <c r="M4579" s="13" t="str">
        <f>IF(D4579&lt;&gt;"",VLOOKUP(H4579,TABLEITEM,3,FALSE),"")</f>
        <v>Circuil Breaker FH202AC-40/0.03</v>
      </c>
      <c r="N4579" s="14">
        <f>INSTOCK!$I4579*INSTOCK!$K4579</f>
        <v>8096</v>
      </c>
      <c r="O4579" s="4"/>
      <c r="P4579" s="4"/>
    </row>
    <row r="4580" ht="15.75" hidden="1" customHeight="1">
      <c r="B4580" s="8">
        <v>4904.0</v>
      </c>
      <c r="C4580" s="9">
        <v>43412.0</v>
      </c>
      <c r="D4580" s="6" t="s">
        <v>5627</v>
      </c>
      <c r="E4580" s="4">
        <v>6.111001379E9</v>
      </c>
      <c r="F4580" s="8" t="s">
        <v>5623</v>
      </c>
      <c r="G4580" s="4" t="s">
        <v>1596</v>
      </c>
      <c r="H4580" s="10" t="s">
        <v>1717</v>
      </c>
      <c r="I4580" s="10">
        <v>1.0</v>
      </c>
      <c r="J4580" s="11" t="str">
        <f>IF(D4580&lt;&gt;"",VLOOKUP(H4580,TABLEITEM,5,FALSE),"")</f>
        <v>EA</v>
      </c>
      <c r="K4580" s="12">
        <v>1170.0</v>
      </c>
      <c r="L4580" s="13" t="str">
        <f>IF(D4580&lt;&gt;"",VLOOKUP(H4580,TABLEITEM,2,FALSE),"")</f>
        <v/>
      </c>
      <c r="M4580" s="13" t="str">
        <f>IF(D4580&lt;&gt;"",VLOOKUP(H4580,TABLEITEM,3,FALSE),"")</f>
        <v>MCCB A1C125 3P 60A 25KA</v>
      </c>
      <c r="N4580" s="14">
        <f>INSTOCK!$I4580*INSTOCK!$K4580</f>
        <v>1170</v>
      </c>
      <c r="O4580" s="4"/>
      <c r="P4580" s="4"/>
    </row>
    <row r="4581" ht="15.75" hidden="1" customHeight="1">
      <c r="B4581" s="8">
        <v>4905.0</v>
      </c>
      <c r="C4581" s="9">
        <v>43412.0</v>
      </c>
      <c r="D4581" s="6" t="s">
        <v>5627</v>
      </c>
      <c r="E4581" s="4">
        <v>6.111001379E9</v>
      </c>
      <c r="F4581" s="8" t="s">
        <v>5623</v>
      </c>
      <c r="G4581" s="4" t="s">
        <v>1596</v>
      </c>
      <c r="H4581" s="10" t="s">
        <v>1768</v>
      </c>
      <c r="I4581" s="10">
        <v>2.0</v>
      </c>
      <c r="J4581" s="11" t="str">
        <f>IF(D4581&lt;&gt;"",VLOOKUP(H4581,TABLEITEM,5,FALSE),"")</f>
        <v>EA</v>
      </c>
      <c r="K4581" s="12">
        <v>1170.0</v>
      </c>
      <c r="L4581" s="13" t="str">
        <f>IF(D4581&lt;&gt;"",VLOOKUP(H4581,TABLEITEM,2,FALSE),"")</f>
        <v/>
      </c>
      <c r="M4581" s="13" t="str">
        <f>IF(D4581&lt;&gt;"",VLOOKUP(H4581,TABLEITEM,3,FALSE),"")</f>
        <v>MCCB A1C125 3P 30A 25KA</v>
      </c>
      <c r="N4581" s="14">
        <f>INSTOCK!$I4581*INSTOCK!$K4581</f>
        <v>2340</v>
      </c>
      <c r="O4581" s="4"/>
      <c r="P4581" s="4"/>
    </row>
    <row r="4582" ht="15.75" hidden="1" customHeight="1">
      <c r="B4582" s="8">
        <v>4906.0</v>
      </c>
      <c r="C4582" s="9">
        <v>43412.0</v>
      </c>
      <c r="D4582" s="6">
        <v>6.11103017E8</v>
      </c>
      <c r="E4582" s="4">
        <v>6.111001388E9</v>
      </c>
      <c r="F4582" s="8"/>
      <c r="G4582" s="4" t="s">
        <v>1130</v>
      </c>
      <c r="H4582" s="10" t="s">
        <v>245</v>
      </c>
      <c r="I4582" s="10">
        <v>5000.0</v>
      </c>
      <c r="J4582" s="11" t="str">
        <f>IF(D4582&lt;&gt;"",VLOOKUP(H4582,TABLEITEM,5,FALSE),"")</f>
        <v>EA</v>
      </c>
      <c r="K4582" s="12">
        <v>0.63</v>
      </c>
      <c r="L4582" s="13" t="str">
        <f>IF(D4582&lt;&gt;"",VLOOKUP(H4582,TABLEITEM,2,FALSE),"")</f>
        <v/>
      </c>
      <c r="M4582" s="13" t="str">
        <f>IF(D4582&lt;&gt;"",VLOOKUP(H4582,TABLEITEM,3,FALSE),"")</f>
        <v>หางปลาแฉกเปลือย Y1.5-3S</v>
      </c>
      <c r="N4582" s="14">
        <f>INSTOCK!$I4582*INSTOCK!$K4582</f>
        <v>3150</v>
      </c>
      <c r="O4582" s="4" t="s">
        <v>1830</v>
      </c>
      <c r="P4582" s="4"/>
    </row>
    <row r="4583" ht="15.75" hidden="1" customHeight="1">
      <c r="B4583" s="8">
        <v>4907.0</v>
      </c>
      <c r="C4583" s="9">
        <v>43411.0</v>
      </c>
      <c r="D4583" s="6" t="s">
        <v>5628</v>
      </c>
      <c r="E4583" s="4"/>
      <c r="F4583" s="8" t="s">
        <v>5629</v>
      </c>
      <c r="G4583" s="4" t="s">
        <v>1512</v>
      </c>
      <c r="H4583" s="10" t="s">
        <v>3879</v>
      </c>
      <c r="I4583" s="10">
        <v>9.0</v>
      </c>
      <c r="J4583" s="11" t="str">
        <f>IF(D4583&lt;&gt;"",VLOOKUP(H4583,TABLEITEM,5,FALSE),"")</f>
        <v>EA</v>
      </c>
      <c r="K4583" s="12">
        <v>801.9</v>
      </c>
      <c r="L4583" s="13" t="str">
        <f>IF(D4583&lt;&gt;"",VLOOKUP(H4583,TABLEITEM,2,FALSE),"")</f>
        <v/>
      </c>
      <c r="M4583" s="13" t="str">
        <f>IF(D4583&lt;&gt;"",VLOOKUP(H4583,TABLEITEM,3,FALSE),"")</f>
        <v>เบรกเกอร์ A1C125 1P 20A 18KA </v>
      </c>
      <c r="N4583" s="14">
        <f>INSTOCK!$I4583*INSTOCK!$K4583</f>
        <v>7217.1</v>
      </c>
      <c r="O4583" s="4" t="s">
        <v>3880</v>
      </c>
      <c r="P4583" s="4"/>
    </row>
    <row r="4584" ht="15.75" hidden="1" customHeight="1">
      <c r="B4584" s="8">
        <v>4908.0</v>
      </c>
      <c r="C4584" s="9">
        <v>43411.0</v>
      </c>
      <c r="D4584" s="6" t="s">
        <v>5630</v>
      </c>
      <c r="E4584" s="4"/>
      <c r="F4584" s="8" t="s">
        <v>801</v>
      </c>
      <c r="G4584" s="4" t="s">
        <v>1417</v>
      </c>
      <c r="H4584" s="10" t="s">
        <v>803</v>
      </c>
      <c r="I4584" s="10">
        <v>15.0</v>
      </c>
      <c r="J4584" s="11" t="str">
        <f>IF(D4584&lt;&gt;"",VLOOKUP(H4584,TABLEITEM,5,FALSE),"")</f>
        <v>ถัง</v>
      </c>
      <c r="K4584" s="12">
        <v>981.31</v>
      </c>
      <c r="L4584" s="13" t="str">
        <f>IF(D4584&lt;&gt;"",VLOOKUP(H4584,TABLEITEM,2,FALSE),"")</f>
        <v/>
      </c>
      <c r="M4584" s="13" t="str">
        <f>IF(D4584&lt;&gt;"",VLOOKUP(H4584,TABLEITEM,3,FALSE),"")</f>
        <v>แก๊สหุงต้ม 48กก</v>
      </c>
      <c r="N4584" s="14">
        <f>INSTOCK!$I4584*INSTOCK!$K4584</f>
        <v>14719.65</v>
      </c>
      <c r="O4584" s="4"/>
      <c r="P4584" s="4"/>
    </row>
    <row r="4585" ht="15.75" hidden="1" customHeight="1">
      <c r="B4585" s="8">
        <v>4909.0</v>
      </c>
      <c r="C4585" s="9">
        <v>43411.0</v>
      </c>
      <c r="D4585" s="6" t="s">
        <v>5631</v>
      </c>
      <c r="E4585" s="4">
        <v>6.111001373E9</v>
      </c>
      <c r="F4585" s="8" t="s">
        <v>1709</v>
      </c>
      <c r="G4585" s="4" t="s">
        <v>1596</v>
      </c>
      <c r="H4585" s="10" t="s">
        <v>5632</v>
      </c>
      <c r="I4585" s="10">
        <v>2.0</v>
      </c>
      <c r="J4585" s="11" t="str">
        <f>IF(D4585&lt;&gt;"",VLOOKUP(H4585,TABLEITEM,5,FALSE),"")</f>
        <v>EA</v>
      </c>
      <c r="K4585" s="12">
        <v>37315.2</v>
      </c>
      <c r="L4585" s="13" t="str">
        <f>IF(D4585&lt;&gt;"",VLOOKUP(H4585,TABLEITEM,2,FALSE),"")</f>
        <v/>
      </c>
      <c r="M4585" s="13" t="str">
        <f>IF(D4585&lt;&gt;"",VLOOKUP(H4585,TABLEITEM,3,FALSE),"")</f>
        <v>T7S 1000 PR331/P LSIG 3P 1000A </v>
      </c>
      <c r="N4585" s="14">
        <f>INSTOCK!$I4585*INSTOCK!$K4585</f>
        <v>74630.4</v>
      </c>
      <c r="O4585" s="4" t="s">
        <v>5633</v>
      </c>
      <c r="P4585" s="4"/>
    </row>
    <row r="4586" ht="15.75" hidden="1" customHeight="1">
      <c r="B4586" s="8">
        <v>4910.0</v>
      </c>
      <c r="C4586" s="9">
        <v>43411.0</v>
      </c>
      <c r="D4586" s="6" t="s">
        <v>5631</v>
      </c>
      <c r="E4586" s="4">
        <v>6.111001373E9</v>
      </c>
      <c r="F4586" s="8" t="s">
        <v>1709</v>
      </c>
      <c r="G4586" s="4" t="s">
        <v>1596</v>
      </c>
      <c r="H4586" s="10" t="s">
        <v>5634</v>
      </c>
      <c r="I4586" s="10">
        <v>2.0</v>
      </c>
      <c r="J4586" s="11" t="str">
        <f>IF(D4586&lt;&gt;"",VLOOKUP(H4586,TABLEITEM,5,FALSE),"")</f>
        <v>EA</v>
      </c>
      <c r="K4586" s="12">
        <v>2028.0</v>
      </c>
      <c r="L4586" s="13" t="str">
        <f>IF(D4586&lt;&gt;"",VLOOKUP(H4586,TABLEITEM,2,FALSE),"")</f>
        <v/>
      </c>
      <c r="M4586" s="13" t="str">
        <f>IF(D4586&lt;&gt;"",VLOOKUP(H4586,TABLEITEM,3,FALSE),"")</f>
        <v>SHUNT OPEN T7-T7M</v>
      </c>
      <c r="N4586" s="14">
        <f>INSTOCK!$I4586*INSTOCK!$K4586</f>
        <v>4056</v>
      </c>
      <c r="O4586" s="4" t="s">
        <v>5635</v>
      </c>
      <c r="P4586" s="4"/>
    </row>
    <row r="4587" ht="15.75" hidden="1" customHeight="1">
      <c r="B4587" s="8">
        <v>4911.0</v>
      </c>
      <c r="C4587" s="9">
        <v>43411.0</v>
      </c>
      <c r="D4587" s="6" t="s">
        <v>5631</v>
      </c>
      <c r="E4587" s="4">
        <v>6.111001373E9</v>
      </c>
      <c r="F4587" s="8" t="s">
        <v>1709</v>
      </c>
      <c r="G4587" s="4" t="s">
        <v>1596</v>
      </c>
      <c r="H4587" s="10" t="s">
        <v>5636</v>
      </c>
      <c r="I4587" s="10">
        <v>1.0</v>
      </c>
      <c r="J4587" s="11" t="str">
        <f>IF(D4587&lt;&gt;"",VLOOKUP(H4587,TABLEITEM,5,FALSE),"")</f>
        <v>EA</v>
      </c>
      <c r="K4587" s="12">
        <v>5432.7</v>
      </c>
      <c r="L4587" s="13" t="str">
        <f>IF(D4587&lt;&gt;"",VLOOKUP(H4587,TABLEITEM,2,FALSE),"")</f>
        <v/>
      </c>
      <c r="M4587" s="13" t="str">
        <f>IF(D4587&lt;&gt;"",VLOOKUP(H4587,TABLEITEM,3,FALSE),"")</f>
        <v>INTERLOCK T7-T7M</v>
      </c>
      <c r="N4587" s="14">
        <f>INSTOCK!$I4587*INSTOCK!$K4587</f>
        <v>5432.7</v>
      </c>
      <c r="O4587" s="4" t="s">
        <v>5637</v>
      </c>
      <c r="P4587" s="4"/>
    </row>
    <row r="4588" ht="15.75" hidden="1" customHeight="1">
      <c r="B4588" s="8">
        <v>4912.0</v>
      </c>
      <c r="C4588" s="9">
        <v>43411.0</v>
      </c>
      <c r="D4588" s="6" t="s">
        <v>5631</v>
      </c>
      <c r="E4588" s="4">
        <v>6.111001373E9</v>
      </c>
      <c r="F4588" s="8" t="s">
        <v>1709</v>
      </c>
      <c r="G4588" s="4" t="s">
        <v>1596</v>
      </c>
      <c r="H4588" s="10" t="s">
        <v>5638</v>
      </c>
      <c r="I4588" s="10">
        <v>2.0</v>
      </c>
      <c r="J4588" s="11" t="str">
        <f>IF(D4588&lt;&gt;"",VLOOKUP(H4588,TABLEITEM,5,FALSE),"")</f>
        <v>EA</v>
      </c>
      <c r="K4588" s="12">
        <v>2145.0</v>
      </c>
      <c r="L4588" s="13" t="str">
        <f>IF(D4588&lt;&gt;"",VLOOKUP(H4588,TABLEITEM,2,FALSE),"")</f>
        <v/>
      </c>
      <c r="M4588" s="13" t="str">
        <f>IF(D4588&lt;&gt;"",VLOOKUP(H4588,TABLEITEM,3,FALSE),"")</f>
        <v>MCCB A2C250 TMF 3P 200A</v>
      </c>
      <c r="N4588" s="14">
        <f>INSTOCK!$I4588*INSTOCK!$K4588</f>
        <v>4290</v>
      </c>
      <c r="O4588" s="4" t="s">
        <v>5639</v>
      </c>
      <c r="P4588" s="4"/>
    </row>
    <row r="4589" ht="15.75" hidden="1" customHeight="1">
      <c r="B4589" s="8">
        <v>4913.0</v>
      </c>
      <c r="C4589" s="9">
        <v>43411.0</v>
      </c>
      <c r="D4589" s="6" t="s">
        <v>5631</v>
      </c>
      <c r="E4589" s="4">
        <v>6.111001373E9</v>
      </c>
      <c r="F4589" s="8" t="s">
        <v>1709</v>
      </c>
      <c r="G4589" s="4" t="s">
        <v>1596</v>
      </c>
      <c r="H4589" s="10" t="s">
        <v>5640</v>
      </c>
      <c r="I4589" s="10">
        <v>1.0</v>
      </c>
      <c r="J4589" s="11" t="str">
        <f>IF(D4589&lt;&gt;"",VLOOKUP(H4589,TABLEITEM,5,FALSE),"")</f>
        <v>EA</v>
      </c>
      <c r="K4589" s="12">
        <v>2145.0</v>
      </c>
      <c r="L4589" s="13" t="str">
        <f>IF(D4589&lt;&gt;"",VLOOKUP(H4589,TABLEITEM,2,FALSE),"")</f>
        <v/>
      </c>
      <c r="M4589" s="13" t="str">
        <f>IF(D4589&lt;&gt;"",VLOOKUP(H4589,TABLEITEM,3,FALSE),"")</f>
        <v>MCCB A2C250 TMF 3P 250A</v>
      </c>
      <c r="N4589" s="14">
        <f>INSTOCK!$I4589*INSTOCK!$K4589</f>
        <v>2145</v>
      </c>
      <c r="O4589" s="4" t="s">
        <v>5639</v>
      </c>
      <c r="P4589" s="4"/>
    </row>
    <row r="4590" ht="15.75" hidden="1" customHeight="1">
      <c r="B4590" s="8">
        <v>4914.0</v>
      </c>
      <c r="C4590" s="9">
        <v>43411.0</v>
      </c>
      <c r="D4590" s="6" t="s">
        <v>5631</v>
      </c>
      <c r="E4590" s="4">
        <v>6.111001373E9</v>
      </c>
      <c r="F4590" s="8" t="s">
        <v>1709</v>
      </c>
      <c r="G4590" s="4" t="s">
        <v>1596</v>
      </c>
      <c r="H4590" s="10" t="s">
        <v>1771</v>
      </c>
      <c r="I4590" s="10">
        <v>1.0</v>
      </c>
      <c r="J4590" s="11" t="str">
        <f>IF(D4590&lt;&gt;"",VLOOKUP(H4590,TABLEITEM,5,FALSE),"")</f>
        <v>EA</v>
      </c>
      <c r="K4590" s="12">
        <v>819.0</v>
      </c>
      <c r="L4590" s="13" t="str">
        <f>IF(D4590&lt;&gt;"",VLOOKUP(H4590,TABLEITEM,2,FALSE),"")</f>
        <v/>
      </c>
      <c r="M4590" s="13" t="str">
        <f>IF(D4590&lt;&gt;"",VLOOKUP(H4590,TABLEITEM,3,FALSE),"")</f>
        <v>SHUNT-OPENING RELEASES A1-2</v>
      </c>
      <c r="N4590" s="14">
        <f>INSTOCK!$I4590*INSTOCK!$K4590</f>
        <v>819</v>
      </c>
      <c r="O4590" s="4" t="s">
        <v>1772</v>
      </c>
      <c r="P4590" s="4"/>
    </row>
    <row r="4591" ht="15.75" hidden="1" customHeight="1">
      <c r="B4591" s="8">
        <v>4915.0</v>
      </c>
      <c r="C4591" s="9">
        <v>43411.0</v>
      </c>
      <c r="D4591" s="6" t="s">
        <v>5631</v>
      </c>
      <c r="E4591" s="4">
        <v>6.111001373E9</v>
      </c>
      <c r="F4591" s="8" t="s">
        <v>1709</v>
      </c>
      <c r="G4591" s="4" t="s">
        <v>1596</v>
      </c>
      <c r="H4591" s="10" t="s">
        <v>5641</v>
      </c>
      <c r="I4591" s="10">
        <v>1.0</v>
      </c>
      <c r="J4591" s="11" t="str">
        <f>IF(D4591&lt;&gt;"",VLOOKUP(H4591,TABLEITEM,5,FALSE),"")</f>
        <v>EA</v>
      </c>
      <c r="K4591" s="12">
        <v>5850.0</v>
      </c>
      <c r="L4591" s="13" t="str">
        <f>IF(D4591&lt;&gt;"",VLOOKUP(H4591,TABLEITEM,2,FALSE),"")</f>
        <v/>
      </c>
      <c r="M4591" s="13" t="str">
        <f>IF(D4591&lt;&gt;"",VLOOKUP(H4591,TABLEITEM,3,FALSE),"")</f>
        <v>MCCB A2N400 TMF 3P 320A</v>
      </c>
      <c r="N4591" s="14">
        <f>INSTOCK!$I4591*INSTOCK!$K4591</f>
        <v>5850</v>
      </c>
      <c r="O4591" s="4" t="s">
        <v>5642</v>
      </c>
      <c r="P4591" s="4"/>
    </row>
    <row r="4592" ht="15.75" hidden="1" customHeight="1">
      <c r="B4592" s="8">
        <v>4916.0</v>
      </c>
      <c r="C4592" s="9">
        <v>43411.0</v>
      </c>
      <c r="D4592" s="6" t="s">
        <v>5631</v>
      </c>
      <c r="E4592" s="4">
        <v>6.111001373E9</v>
      </c>
      <c r="F4592" s="8" t="s">
        <v>1709</v>
      </c>
      <c r="G4592" s="4" t="s">
        <v>1596</v>
      </c>
      <c r="H4592" s="18" t="s">
        <v>3618</v>
      </c>
      <c r="I4592" s="10">
        <v>1.0</v>
      </c>
      <c r="J4592" s="11" t="str">
        <f>IF(D4592&lt;&gt;"",VLOOKUP(H4592,TABLEITEM,5,FALSE),"")</f>
        <v>EA</v>
      </c>
      <c r="K4592" s="12">
        <v>1216.8</v>
      </c>
      <c r="L4592" s="13" t="str">
        <f>IF(D4592&lt;&gt;"",VLOOKUP(H4592,TABLEITEM,2,FALSE),"")</f>
        <v/>
      </c>
      <c r="M4592" s="13" t="str">
        <f>IF(D4592&lt;&gt;"",VLOOKUP(H4592,TABLEITEM,3,FALSE),"")</f>
        <v>1W-T4-T6,A3 SHUN TRIP </v>
      </c>
      <c r="N4592" s="14">
        <f>INSTOCK!$I4592*INSTOCK!$K4592</f>
        <v>1216.8</v>
      </c>
      <c r="O4592" s="4" t="s">
        <v>5643</v>
      </c>
      <c r="P4592" s="4"/>
    </row>
    <row r="4593" ht="15.75" hidden="1" customHeight="1">
      <c r="B4593" s="8">
        <v>4917.0</v>
      </c>
      <c r="C4593" s="9">
        <v>43411.0</v>
      </c>
      <c r="D4593" s="6" t="s">
        <v>5631</v>
      </c>
      <c r="E4593" s="4">
        <v>6.111001373E9</v>
      </c>
      <c r="F4593" s="8" t="s">
        <v>1709</v>
      </c>
      <c r="G4593" s="4" t="s">
        <v>1596</v>
      </c>
      <c r="H4593" s="10" t="s">
        <v>1717</v>
      </c>
      <c r="I4593" s="10">
        <v>12.0</v>
      </c>
      <c r="J4593" s="11" t="str">
        <f>IF(D4593&lt;&gt;"",VLOOKUP(H4593,TABLEITEM,5,FALSE),"")</f>
        <v>EA</v>
      </c>
      <c r="K4593" s="12">
        <v>1170.0</v>
      </c>
      <c r="L4593" s="13" t="str">
        <f>IF(D4593&lt;&gt;"",VLOOKUP(H4593,TABLEITEM,2,FALSE),"")</f>
        <v/>
      </c>
      <c r="M4593" s="13" t="str">
        <f>IF(D4593&lt;&gt;"",VLOOKUP(H4593,TABLEITEM,3,FALSE),"")</f>
        <v>MCCB A1C125 3P 60A 25KA</v>
      </c>
      <c r="N4593" s="14">
        <f>INSTOCK!$I4593*INSTOCK!$K4593</f>
        <v>14040</v>
      </c>
      <c r="O4593" s="4" t="s">
        <v>1718</v>
      </c>
      <c r="P4593" s="4"/>
    </row>
    <row r="4594" ht="15.75" hidden="1" customHeight="1">
      <c r="B4594" s="8">
        <v>4918.0</v>
      </c>
      <c r="C4594" s="9">
        <v>43411.0</v>
      </c>
      <c r="D4594" s="6" t="s">
        <v>5631</v>
      </c>
      <c r="E4594" s="4">
        <v>6.111001373E9</v>
      </c>
      <c r="F4594" s="8" t="s">
        <v>1709</v>
      </c>
      <c r="G4594" s="4" t="s">
        <v>1596</v>
      </c>
      <c r="H4594" s="10" t="s">
        <v>1717</v>
      </c>
      <c r="I4594" s="10">
        <v>1.0</v>
      </c>
      <c r="J4594" s="11" t="str">
        <f>IF(D4594&lt;&gt;"",VLOOKUP(H4594,TABLEITEM,5,FALSE),"")</f>
        <v>EA</v>
      </c>
      <c r="K4594" s="12">
        <v>1170.0</v>
      </c>
      <c r="L4594" s="13" t="str">
        <f>IF(D4594&lt;&gt;"",VLOOKUP(H4594,TABLEITEM,2,FALSE),"")</f>
        <v/>
      </c>
      <c r="M4594" s="13" t="str">
        <f>IF(D4594&lt;&gt;"",VLOOKUP(H4594,TABLEITEM,3,FALSE),"")</f>
        <v>MCCB A1C125 3P 60A 25KA</v>
      </c>
      <c r="N4594" s="14">
        <f>INSTOCK!$I4594*INSTOCK!$K4594</f>
        <v>1170</v>
      </c>
      <c r="O4594" s="4" t="s">
        <v>1718</v>
      </c>
      <c r="P4594" s="4"/>
    </row>
    <row r="4595" ht="15.75" hidden="1" customHeight="1">
      <c r="B4595" s="8">
        <v>4919.0</v>
      </c>
      <c r="C4595" s="9">
        <v>43411.0</v>
      </c>
      <c r="D4595" s="6" t="s">
        <v>5631</v>
      </c>
      <c r="E4595" s="4">
        <v>6.111001373E9</v>
      </c>
      <c r="F4595" s="8" t="s">
        <v>1709</v>
      </c>
      <c r="G4595" s="4" t="s">
        <v>1596</v>
      </c>
      <c r="H4595" s="10" t="s">
        <v>1771</v>
      </c>
      <c r="I4595" s="10">
        <v>1.0</v>
      </c>
      <c r="J4595" s="11" t="str">
        <f>IF(D4595&lt;&gt;"",VLOOKUP(H4595,TABLEITEM,5,FALSE),"")</f>
        <v>EA</v>
      </c>
      <c r="K4595" s="12">
        <v>819.0</v>
      </c>
      <c r="L4595" s="13" t="str">
        <f>IF(D4595&lt;&gt;"",VLOOKUP(H4595,TABLEITEM,2,FALSE),"")</f>
        <v/>
      </c>
      <c r="M4595" s="13" t="str">
        <f>IF(D4595&lt;&gt;"",VLOOKUP(H4595,TABLEITEM,3,FALSE),"")</f>
        <v>SHUNT-OPENING RELEASES A1-2</v>
      </c>
      <c r="N4595" s="14">
        <f>INSTOCK!$I4595*INSTOCK!$K4595</f>
        <v>819</v>
      </c>
      <c r="O4595" s="4" t="s">
        <v>1772</v>
      </c>
      <c r="P4595" s="4"/>
    </row>
    <row r="4596" ht="15.75" hidden="1" customHeight="1">
      <c r="B4596" s="8">
        <v>4920.0</v>
      </c>
      <c r="C4596" s="9">
        <v>43411.0</v>
      </c>
      <c r="D4596" s="6" t="s">
        <v>5631</v>
      </c>
      <c r="E4596" s="4">
        <v>6.111001373E9</v>
      </c>
      <c r="F4596" s="8" t="s">
        <v>1709</v>
      </c>
      <c r="G4596" s="4" t="s">
        <v>1596</v>
      </c>
      <c r="H4596" s="10" t="s">
        <v>1770</v>
      </c>
      <c r="I4596" s="10">
        <v>1.0</v>
      </c>
      <c r="J4596" s="11" t="str">
        <f>IF(D4596&lt;&gt;"",VLOOKUP(H4596,TABLEITEM,5,FALSE),"")</f>
        <v>EA</v>
      </c>
      <c r="K4596" s="12">
        <v>1170.0</v>
      </c>
      <c r="L4596" s="13" t="str">
        <f>IF(D4596&lt;&gt;"",VLOOKUP(H4596,TABLEITEM,2,FALSE),"")</f>
        <v/>
      </c>
      <c r="M4596" s="13" t="str">
        <f>IF(D4596&lt;&gt;"",VLOOKUP(H4596,TABLEITEM,3,FALSE),"")</f>
        <v>MCCB A1C125 3P 100A 25KA</v>
      </c>
      <c r="N4596" s="14">
        <f>INSTOCK!$I4596*INSTOCK!$K4596</f>
        <v>1170</v>
      </c>
      <c r="O4596" s="4" t="s">
        <v>1718</v>
      </c>
      <c r="P4596" s="4"/>
    </row>
    <row r="4597" ht="15.75" hidden="1" customHeight="1">
      <c r="B4597" s="8">
        <v>4921.0</v>
      </c>
      <c r="C4597" s="9">
        <v>43411.0</v>
      </c>
      <c r="D4597" s="6" t="s">
        <v>5631</v>
      </c>
      <c r="E4597" s="4">
        <v>6.111001373E9</v>
      </c>
      <c r="F4597" s="8" t="s">
        <v>1709</v>
      </c>
      <c r="G4597" s="4" t="s">
        <v>1596</v>
      </c>
      <c r="H4597" s="10" t="s">
        <v>1768</v>
      </c>
      <c r="I4597" s="10">
        <v>2.0</v>
      </c>
      <c r="J4597" s="11" t="str">
        <f>IF(D4597&lt;&gt;"",VLOOKUP(H4597,TABLEITEM,5,FALSE),"")</f>
        <v>EA</v>
      </c>
      <c r="K4597" s="12">
        <v>1170.0</v>
      </c>
      <c r="L4597" s="13" t="str">
        <f>IF(D4597&lt;&gt;"",VLOOKUP(H4597,TABLEITEM,2,FALSE),"")</f>
        <v/>
      </c>
      <c r="M4597" s="13" t="str">
        <f>IF(D4597&lt;&gt;"",VLOOKUP(H4597,TABLEITEM,3,FALSE),"")</f>
        <v>MCCB A1C125 3P 30A 25KA</v>
      </c>
      <c r="N4597" s="14">
        <f>INSTOCK!$I4597*INSTOCK!$K4597</f>
        <v>2340</v>
      </c>
      <c r="O4597" s="4" t="s">
        <v>1718</v>
      </c>
      <c r="P4597" s="4"/>
    </row>
    <row r="4598" ht="15.75" hidden="1" customHeight="1">
      <c r="B4598" s="8">
        <v>4922.0</v>
      </c>
      <c r="C4598" s="9">
        <v>43411.0</v>
      </c>
      <c r="D4598" s="6" t="s">
        <v>5631</v>
      </c>
      <c r="E4598" s="4">
        <v>6.111001373E9</v>
      </c>
      <c r="F4598" s="8" t="s">
        <v>1709</v>
      </c>
      <c r="G4598" s="4" t="s">
        <v>1596</v>
      </c>
      <c r="H4598" s="10" t="s">
        <v>5644</v>
      </c>
      <c r="I4598" s="10">
        <v>1.0</v>
      </c>
      <c r="J4598" s="11" t="str">
        <f>IF(D4598&lt;&gt;"",VLOOKUP(H4598,TABLEITEM,5,FALSE),"")</f>
        <v>EA</v>
      </c>
      <c r="K4598" s="12">
        <v>7624.5</v>
      </c>
      <c r="L4598" s="13" t="str">
        <f>IF(D4598&lt;&gt;"",VLOOKUP(H4598,TABLEITEM,2,FALSE),"")</f>
        <v/>
      </c>
      <c r="M4598" s="13" t="str">
        <f>IF(D4598&lt;&gt;"",VLOOKUP(H4598,TABLEITEM,3,FALSE),"")</f>
        <v>T5N 400 LS/I 3P 400A</v>
      </c>
      <c r="N4598" s="14">
        <f>INSTOCK!$I4598*INSTOCK!$K4598</f>
        <v>7624.5</v>
      </c>
      <c r="O4598" s="4" t="s">
        <v>5645</v>
      </c>
      <c r="P4598" s="4"/>
    </row>
    <row r="4599" ht="15.75" hidden="1" customHeight="1">
      <c r="B4599" s="8">
        <v>4923.0</v>
      </c>
      <c r="C4599" s="9">
        <v>43411.0</v>
      </c>
      <c r="D4599" s="6" t="s">
        <v>5631</v>
      </c>
      <c r="E4599" s="4">
        <v>6.111001373E9</v>
      </c>
      <c r="F4599" s="8" t="s">
        <v>1709</v>
      </c>
      <c r="G4599" s="4" t="s">
        <v>1596</v>
      </c>
      <c r="H4599" s="10" t="s">
        <v>5646</v>
      </c>
      <c r="I4599" s="10">
        <v>1.0</v>
      </c>
      <c r="J4599" s="11" t="str">
        <f>IF(D4599&lt;&gt;"",VLOOKUP(H4599,TABLEITEM,5,FALSE),"")</f>
        <v>EA</v>
      </c>
      <c r="K4599" s="12">
        <v>16426.8</v>
      </c>
      <c r="L4599" s="13" t="str">
        <f>IF(D4599&lt;&gt;"",VLOOKUP(H4599,TABLEITEM,2,FALSE),"")</f>
        <v/>
      </c>
      <c r="M4599" s="13" t="str">
        <f>IF(D4599&lt;&gt;"",VLOOKUP(H4599,TABLEITEM,3,FALSE),"")</f>
        <v>T6N 800LS/I 3P 800A</v>
      </c>
      <c r="N4599" s="14">
        <f>INSTOCK!$I4599*INSTOCK!$K4599</f>
        <v>16426.8</v>
      </c>
      <c r="O4599" s="4" t="s">
        <v>5647</v>
      </c>
      <c r="P4599" s="4"/>
    </row>
    <row r="4600" ht="15.75" hidden="1" customHeight="1">
      <c r="B4600" s="8">
        <v>4924.0</v>
      </c>
      <c r="C4600" s="9">
        <v>43411.0</v>
      </c>
      <c r="D4600" s="6" t="s">
        <v>5631</v>
      </c>
      <c r="E4600" s="4">
        <v>6.111001373E9</v>
      </c>
      <c r="F4600" s="8" t="s">
        <v>1709</v>
      </c>
      <c r="G4600" s="4" t="s">
        <v>1596</v>
      </c>
      <c r="H4600" s="18" t="s">
        <v>3618</v>
      </c>
      <c r="I4600" s="10">
        <v>1.0</v>
      </c>
      <c r="J4600" s="11" t="str">
        <f>IF(D4600&lt;&gt;"",VLOOKUP(H4600,TABLEITEM,5,FALSE),"")</f>
        <v>EA</v>
      </c>
      <c r="K4600" s="12">
        <v>1216.8</v>
      </c>
      <c r="L4600" s="13" t="str">
        <f>IF(D4600&lt;&gt;"",VLOOKUP(H4600,TABLEITEM,2,FALSE),"")</f>
        <v/>
      </c>
      <c r="M4600" s="13" t="str">
        <f>IF(D4600&lt;&gt;"",VLOOKUP(H4600,TABLEITEM,3,FALSE),"")</f>
        <v>1W-T4-T6,A3 SHUN TRIP </v>
      </c>
      <c r="N4600" s="14">
        <f>INSTOCK!$I4600*INSTOCK!$K4600</f>
        <v>1216.8</v>
      </c>
      <c r="O4600" s="4" t="s">
        <v>5643</v>
      </c>
      <c r="P4600" s="4"/>
    </row>
    <row r="4601" ht="15.75" hidden="1" customHeight="1">
      <c r="B4601" s="8">
        <v>4925.0</v>
      </c>
      <c r="C4601" s="9">
        <v>43411.0</v>
      </c>
      <c r="D4601" s="6" t="s">
        <v>5648</v>
      </c>
      <c r="E4601" s="4" t="s">
        <v>5649</v>
      </c>
      <c r="F4601" s="8" t="s">
        <v>1647</v>
      </c>
      <c r="G4601" s="4" t="s">
        <v>1596</v>
      </c>
      <c r="H4601" s="10" t="s">
        <v>5650</v>
      </c>
      <c r="I4601" s="10">
        <v>2.0</v>
      </c>
      <c r="J4601" s="11" t="str">
        <f>IF(D4601&lt;&gt;"",VLOOKUP(H4601,TABLEITEM,5,FALSE),"")</f>
        <v>EA</v>
      </c>
      <c r="K4601" s="12">
        <v>59670.0</v>
      </c>
      <c r="L4601" s="13" t="str">
        <f>IF(D4601&lt;&gt;"",VLOOKUP(H4601,TABLEITEM,2,FALSE),"")</f>
        <v/>
      </c>
      <c r="M4601" s="13" t="str">
        <f>IF(D4601&lt;&gt;"",VLOOKUP(H4601,TABLEITEM,3,FALSE),"")</f>
        <v>E2.2N 2000Ekip Touch LI </v>
      </c>
      <c r="N4601" s="14">
        <f>INSTOCK!$I4601*INSTOCK!$K4601</f>
        <v>119340</v>
      </c>
      <c r="O4601" s="4" t="s">
        <v>5651</v>
      </c>
      <c r="P4601" s="4"/>
    </row>
    <row r="4602" ht="15.75" hidden="1" customHeight="1">
      <c r="B4602" s="8">
        <v>4926.0</v>
      </c>
      <c r="C4602" s="9">
        <v>43411.0</v>
      </c>
      <c r="D4602" s="6" t="s">
        <v>5648</v>
      </c>
      <c r="E4602" s="4" t="s">
        <v>5649</v>
      </c>
      <c r="F4602" s="8" t="s">
        <v>1647</v>
      </c>
      <c r="G4602" s="4" t="s">
        <v>1596</v>
      </c>
      <c r="H4602" s="10" t="s">
        <v>5652</v>
      </c>
      <c r="I4602" s="10">
        <v>3.0</v>
      </c>
      <c r="J4602" s="11" t="str">
        <f>IF(D4602&lt;&gt;"",VLOOKUP(H4602,TABLEITEM,5,FALSE),"")</f>
        <v>EA</v>
      </c>
      <c r="K4602" s="12">
        <v>13533.0</v>
      </c>
      <c r="L4602" s="13" t="str">
        <f>IF(D4602&lt;&gt;"",VLOOKUP(H4602,TABLEITEM,2,FALSE),"")</f>
        <v/>
      </c>
      <c r="M4602" s="13" t="str">
        <f>IF(D4602&lt;&gt;"",VLOOKUP(H4602,TABLEITEM,3,FALSE),"")</f>
        <v>MOTOR CHARGING SHUNT CLOSING E2.2-6.2</v>
      </c>
      <c r="N4602" s="14">
        <f>INSTOCK!$I4602*INSTOCK!$K4602</f>
        <v>40599</v>
      </c>
      <c r="O4602" s="4" t="s">
        <v>5653</v>
      </c>
      <c r="P4602" s="4"/>
    </row>
    <row r="4603" ht="15.75" hidden="1" customHeight="1">
      <c r="B4603" s="8">
        <v>4927.0</v>
      </c>
      <c r="C4603" s="9">
        <v>43411.0</v>
      </c>
      <c r="D4603" s="6" t="s">
        <v>5648</v>
      </c>
      <c r="E4603" s="4" t="s">
        <v>5649</v>
      </c>
      <c r="F4603" s="8" t="s">
        <v>1647</v>
      </c>
      <c r="G4603" s="4" t="s">
        <v>1596</v>
      </c>
      <c r="H4603" s="10" t="s">
        <v>5654</v>
      </c>
      <c r="I4603" s="10">
        <v>2.0</v>
      </c>
      <c r="J4603" s="11" t="str">
        <f>IF(D4603&lt;&gt;"",VLOOKUP(H4603,TABLEITEM,5,FALSE),"")</f>
        <v>EA</v>
      </c>
      <c r="K4603" s="12">
        <v>2145.0</v>
      </c>
      <c r="L4603" s="13" t="str">
        <f>IF(D4603&lt;&gt;"",VLOOKUP(H4603,TABLEITEM,2,FALSE),"")</f>
        <v/>
      </c>
      <c r="M4603" s="13" t="str">
        <f>IF(D4603&lt;&gt;"",VLOOKUP(H4603,TABLEITEM,3,FALSE),"")</f>
        <v>SHUNT OPEN E2.2-6.2 200-240 AC/DC</v>
      </c>
      <c r="N4603" s="14">
        <f>INSTOCK!$I4603*INSTOCK!$K4603</f>
        <v>4290</v>
      </c>
      <c r="O4603" s="4" t="s">
        <v>5639</v>
      </c>
      <c r="P4603" s="4"/>
    </row>
    <row r="4604" ht="15.75" hidden="1" customHeight="1">
      <c r="B4604" s="8">
        <v>4928.0</v>
      </c>
      <c r="C4604" s="9">
        <v>43411.0</v>
      </c>
      <c r="D4604" s="6" t="s">
        <v>5648</v>
      </c>
      <c r="E4604" s="4" t="s">
        <v>5649</v>
      </c>
      <c r="F4604" s="8" t="s">
        <v>1647</v>
      </c>
      <c r="G4604" s="4" t="s">
        <v>1596</v>
      </c>
      <c r="H4604" s="10" t="s">
        <v>2236</v>
      </c>
      <c r="I4604" s="10">
        <v>1.0</v>
      </c>
      <c r="J4604" s="11" t="str">
        <f>IF(D4604&lt;&gt;"",VLOOKUP(H4604,TABLEITEM,5,FALSE),"")</f>
        <v>EA</v>
      </c>
      <c r="K4604" s="12">
        <v>18954.0</v>
      </c>
      <c r="L4604" s="13" t="str">
        <f>IF(D4604&lt;&gt;"",VLOOKUP(H4604,TABLEITEM,2,FALSE),"")</f>
        <v/>
      </c>
      <c r="M4604" s="13" t="str">
        <f>IF(D4604&lt;&gt;"",VLOOKUP(H4604,TABLEITEM,3,FALSE),"")</f>
        <v>MECHANIEAL INTERLOCK TYPE A FIXED E2.2</v>
      </c>
      <c r="N4604" s="14">
        <f>INSTOCK!$I4604*INSTOCK!$K4604</f>
        <v>18954</v>
      </c>
      <c r="O4604" s="4" t="s">
        <v>2237</v>
      </c>
      <c r="P4604" s="4"/>
    </row>
    <row r="4605" ht="15.75" hidden="1" customHeight="1">
      <c r="B4605" s="8">
        <v>4929.0</v>
      </c>
      <c r="C4605" s="9">
        <v>43411.0</v>
      </c>
      <c r="D4605" s="6" t="s">
        <v>5648</v>
      </c>
      <c r="E4605" s="4" t="s">
        <v>5649</v>
      </c>
      <c r="F4605" s="8" t="s">
        <v>1647</v>
      </c>
      <c r="G4605" s="4" t="s">
        <v>1596</v>
      </c>
      <c r="H4605" s="10" t="s">
        <v>5655</v>
      </c>
      <c r="I4605" s="10">
        <v>1.0</v>
      </c>
      <c r="J4605" s="11" t="str">
        <f>IF(D4605&lt;&gt;"",VLOOKUP(H4605,TABLEITEM,5,FALSE),"")</f>
        <v>EA</v>
      </c>
      <c r="K4605" s="12">
        <v>78000.0</v>
      </c>
      <c r="L4605" s="13" t="str">
        <f>IF(D4605&lt;&gt;"",VLOOKUP(H4605,TABLEITEM,2,FALSE),"")</f>
        <v/>
      </c>
      <c r="M4605" s="13" t="str">
        <f>IF(D4605&lt;&gt;"",VLOOKUP(H4605,TABLEITEM,3,FALSE),"")</f>
        <v>E2.2N 2000Ekip Touch LSIG</v>
      </c>
      <c r="N4605" s="14">
        <f>INSTOCK!$I4605*INSTOCK!$K4605</f>
        <v>78000</v>
      </c>
      <c r="O4605" s="4" t="s">
        <v>5656</v>
      </c>
      <c r="P4605" s="4"/>
    </row>
    <row r="4606" ht="15.75" hidden="1" customHeight="1">
      <c r="B4606" s="8">
        <v>4930.0</v>
      </c>
      <c r="C4606" s="9">
        <v>43411.0</v>
      </c>
      <c r="D4606" s="6" t="s">
        <v>5648</v>
      </c>
      <c r="E4606" s="4" t="s">
        <v>5649</v>
      </c>
      <c r="F4606" s="8" t="s">
        <v>1647</v>
      </c>
      <c r="G4606" s="4" t="s">
        <v>1596</v>
      </c>
      <c r="H4606" s="10" t="s">
        <v>5646</v>
      </c>
      <c r="I4606" s="10">
        <v>1.0</v>
      </c>
      <c r="J4606" s="11" t="str">
        <f>IF(D4606&lt;&gt;"",VLOOKUP(H4606,TABLEITEM,5,FALSE),"")</f>
        <v>EA</v>
      </c>
      <c r="K4606" s="12">
        <v>16426.8</v>
      </c>
      <c r="L4606" s="13" t="str">
        <f>IF(D4606&lt;&gt;"",VLOOKUP(H4606,TABLEITEM,2,FALSE),"")</f>
        <v/>
      </c>
      <c r="M4606" s="13" t="str">
        <f>IF(D4606&lt;&gt;"",VLOOKUP(H4606,TABLEITEM,3,FALSE),"")</f>
        <v>T6N 800LS/I 3P 800A</v>
      </c>
      <c r="N4606" s="14">
        <f>INSTOCK!$I4606*INSTOCK!$K4606</f>
        <v>16426.8</v>
      </c>
      <c r="O4606" s="4" t="s">
        <v>5647</v>
      </c>
      <c r="P4606" s="4"/>
    </row>
    <row r="4607" ht="15.75" hidden="1" customHeight="1">
      <c r="B4607" s="8">
        <v>4931.0</v>
      </c>
      <c r="C4607" s="9">
        <v>43411.0</v>
      </c>
      <c r="D4607" s="6" t="s">
        <v>5648</v>
      </c>
      <c r="E4607" s="4" t="s">
        <v>5649</v>
      </c>
      <c r="F4607" s="8" t="s">
        <v>1647</v>
      </c>
      <c r="G4607" s="4" t="s">
        <v>1596</v>
      </c>
      <c r="H4607" s="10" t="s">
        <v>5641</v>
      </c>
      <c r="I4607" s="10">
        <v>1.0</v>
      </c>
      <c r="J4607" s="11" t="str">
        <f>IF(D4607&lt;&gt;"",VLOOKUP(H4607,TABLEITEM,5,FALSE),"")</f>
        <v>EA</v>
      </c>
      <c r="K4607" s="12">
        <v>1170.0</v>
      </c>
      <c r="L4607" s="13" t="str">
        <f>IF(D4607&lt;&gt;"",VLOOKUP(H4607,TABLEITEM,2,FALSE),"")</f>
        <v/>
      </c>
      <c r="M4607" s="13" t="str">
        <f>IF(D4607&lt;&gt;"",VLOOKUP(H4607,TABLEITEM,3,FALSE),"")</f>
        <v>MCCB A2N400 TMF 3P 320A</v>
      </c>
      <c r="N4607" s="14">
        <f>INSTOCK!$I4607*INSTOCK!$K4607</f>
        <v>1170</v>
      </c>
      <c r="O4607" s="4" t="s">
        <v>5642</v>
      </c>
      <c r="P4607" s="4"/>
    </row>
    <row r="4608" ht="15.75" hidden="1" customHeight="1">
      <c r="B4608" s="8">
        <v>4932.0</v>
      </c>
      <c r="C4608" s="9">
        <v>43411.0</v>
      </c>
      <c r="D4608" s="6" t="s">
        <v>5648</v>
      </c>
      <c r="E4608" s="4" t="s">
        <v>5649</v>
      </c>
      <c r="F4608" s="8" t="s">
        <v>1647</v>
      </c>
      <c r="G4608" s="4" t="s">
        <v>1596</v>
      </c>
      <c r="H4608" s="10" t="s">
        <v>1770</v>
      </c>
      <c r="I4608" s="10">
        <v>1.0</v>
      </c>
      <c r="J4608" s="11" t="str">
        <f>IF(D4608&lt;&gt;"",VLOOKUP(H4608,TABLEITEM,5,FALSE),"")</f>
        <v>EA</v>
      </c>
      <c r="K4608" s="12">
        <v>1170.0</v>
      </c>
      <c r="L4608" s="13" t="str">
        <f>IF(D4608&lt;&gt;"",VLOOKUP(H4608,TABLEITEM,2,FALSE),"")</f>
        <v/>
      </c>
      <c r="M4608" s="13" t="str">
        <f>IF(D4608&lt;&gt;"",VLOOKUP(H4608,TABLEITEM,3,FALSE),"")</f>
        <v>MCCB A1C125 3P 100A 25KA</v>
      </c>
      <c r="N4608" s="14">
        <f>INSTOCK!$I4608*INSTOCK!$K4608</f>
        <v>1170</v>
      </c>
      <c r="O4608" s="4"/>
      <c r="P4608" s="4"/>
    </row>
    <row r="4609" ht="15.75" hidden="1" customHeight="1">
      <c r="B4609" s="8">
        <v>4933.0</v>
      </c>
      <c r="C4609" s="9">
        <v>43411.0</v>
      </c>
      <c r="D4609" s="6" t="s">
        <v>5648</v>
      </c>
      <c r="E4609" s="4" t="s">
        <v>5649</v>
      </c>
      <c r="F4609" s="8" t="s">
        <v>1647</v>
      </c>
      <c r="G4609" s="4" t="s">
        <v>1596</v>
      </c>
      <c r="H4609" s="10" t="s">
        <v>1717</v>
      </c>
      <c r="I4609" s="10">
        <v>4.0</v>
      </c>
      <c r="J4609" s="11" t="str">
        <f>IF(D4609&lt;&gt;"",VLOOKUP(H4609,TABLEITEM,5,FALSE),"")</f>
        <v>EA</v>
      </c>
      <c r="K4609" s="12">
        <v>1170.0</v>
      </c>
      <c r="L4609" s="13" t="str">
        <f>IF(D4609&lt;&gt;"",VLOOKUP(H4609,TABLEITEM,2,FALSE),"")</f>
        <v/>
      </c>
      <c r="M4609" s="13" t="str">
        <f>IF(D4609&lt;&gt;"",VLOOKUP(H4609,TABLEITEM,3,FALSE),"")</f>
        <v>MCCB A1C125 3P 60A 25KA</v>
      </c>
      <c r="N4609" s="14">
        <f>INSTOCK!$I4609*INSTOCK!$K4609</f>
        <v>4680</v>
      </c>
      <c r="O4609" s="4"/>
      <c r="P4609" s="4"/>
    </row>
    <row r="4610" ht="15.75" hidden="1" customHeight="1">
      <c r="B4610" s="8">
        <v>4934.0</v>
      </c>
      <c r="C4610" s="9">
        <v>43411.0</v>
      </c>
      <c r="D4610" s="6" t="s">
        <v>5648</v>
      </c>
      <c r="E4610" s="4" t="s">
        <v>5649</v>
      </c>
      <c r="F4610" s="8" t="s">
        <v>1647</v>
      </c>
      <c r="G4610" s="4" t="s">
        <v>1596</v>
      </c>
      <c r="H4610" s="10" t="s">
        <v>1768</v>
      </c>
      <c r="I4610" s="10">
        <v>2.0</v>
      </c>
      <c r="J4610" s="11" t="str">
        <f>IF(D4610&lt;&gt;"",VLOOKUP(H4610,TABLEITEM,5,FALSE),"")</f>
        <v>EA</v>
      </c>
      <c r="K4610" s="12">
        <v>1170.0</v>
      </c>
      <c r="L4610" s="13" t="str">
        <f>IF(D4610&lt;&gt;"",VLOOKUP(H4610,TABLEITEM,2,FALSE),"")</f>
        <v/>
      </c>
      <c r="M4610" s="13" t="str">
        <f>IF(D4610&lt;&gt;"",VLOOKUP(H4610,TABLEITEM,3,FALSE),"")</f>
        <v>MCCB A1C125 3P 30A 25KA</v>
      </c>
      <c r="N4610" s="14">
        <f>INSTOCK!$I4610*INSTOCK!$K4610</f>
        <v>2340</v>
      </c>
      <c r="O4610" s="4"/>
      <c r="P4610" s="4"/>
    </row>
    <row r="4611" ht="15.75" hidden="1" customHeight="1">
      <c r="B4611" s="8">
        <v>4935.0</v>
      </c>
      <c r="C4611" s="9">
        <v>43411.0</v>
      </c>
      <c r="D4611" s="6" t="s">
        <v>5648</v>
      </c>
      <c r="E4611" s="4" t="s">
        <v>5649</v>
      </c>
      <c r="F4611" s="8" t="s">
        <v>1647</v>
      </c>
      <c r="G4611" s="4" t="s">
        <v>1596</v>
      </c>
      <c r="H4611" s="10" t="s">
        <v>5657</v>
      </c>
      <c r="I4611" s="10">
        <v>2.0</v>
      </c>
      <c r="J4611" s="11" t="str">
        <f>IF(D4611&lt;&gt;"",VLOOKUP(H4611,TABLEITEM,5,FALSE),"")</f>
        <v>EA</v>
      </c>
      <c r="K4611" s="12">
        <v>25566.8</v>
      </c>
      <c r="L4611" s="13" t="str">
        <f>IF(D4611&lt;&gt;"",VLOOKUP(H4611,TABLEITEM,2,FALSE),"")</f>
        <v/>
      </c>
      <c r="M4611" s="13" t="str">
        <f>IF(D4611&lt;&gt;"",VLOOKUP(H4611,TABLEITEM,3,FALSE),"")</f>
        <v>T7S 1000 PR331/P LSI 3P 1000A </v>
      </c>
      <c r="N4611" s="14">
        <f>INSTOCK!$I4611*INSTOCK!$K4611</f>
        <v>51133.6</v>
      </c>
      <c r="O4611" s="4" t="s">
        <v>5658</v>
      </c>
      <c r="P4611" s="4"/>
    </row>
    <row r="4612" ht="15.75" hidden="1" customHeight="1">
      <c r="B4612" s="8">
        <v>4936.0</v>
      </c>
      <c r="C4612" s="9">
        <v>43411.0</v>
      </c>
      <c r="D4612" s="6" t="s">
        <v>5648</v>
      </c>
      <c r="E4612" s="4" t="s">
        <v>5649</v>
      </c>
      <c r="F4612" s="8" t="s">
        <v>1647</v>
      </c>
      <c r="G4612" s="4" t="s">
        <v>1596</v>
      </c>
      <c r="H4612" s="10" t="s">
        <v>5659</v>
      </c>
      <c r="I4612" s="10">
        <v>1.0</v>
      </c>
      <c r="J4612" s="11" t="str">
        <f>IF(D4612&lt;&gt;"",VLOOKUP(H4612,TABLEITEM,5,FALSE),"")</f>
        <v>EA</v>
      </c>
      <c r="K4612" s="12">
        <v>28080.0</v>
      </c>
      <c r="L4612" s="13" t="str">
        <f>IF(D4612&lt;&gt;"",VLOOKUP(H4612,TABLEITEM,2,FALSE),"")</f>
        <v/>
      </c>
      <c r="M4612" s="13" t="str">
        <f>IF(D4612&lt;&gt;"",VLOOKUP(H4612,TABLEITEM,3,FALSE),"")</f>
        <v>ATS022 CONTROLLER </v>
      </c>
      <c r="N4612" s="14">
        <f>INSTOCK!$I4612*INSTOCK!$K4612</f>
        <v>28080</v>
      </c>
      <c r="O4612" s="4" t="s">
        <v>5660</v>
      </c>
      <c r="P4612" s="4"/>
    </row>
    <row r="4613" ht="15.75" hidden="1" customHeight="1">
      <c r="B4613" s="8">
        <v>4937.0</v>
      </c>
      <c r="C4613" s="9">
        <v>43411.0</v>
      </c>
      <c r="D4613" s="6">
        <v>6.11102273E8</v>
      </c>
      <c r="E4613" s="4">
        <v>6.111001371E9</v>
      </c>
      <c r="F4613" s="8"/>
      <c r="G4613" s="4" t="s">
        <v>1130</v>
      </c>
      <c r="H4613" s="10" t="s">
        <v>5607</v>
      </c>
      <c r="I4613" s="10">
        <v>3.0</v>
      </c>
      <c r="J4613" s="11" t="str">
        <f>IF(D4613&lt;&gt;"",VLOOKUP(H4613,TABLEITEM,5,FALSE),"")</f>
        <v>EA</v>
      </c>
      <c r="K4613" s="12">
        <v>420.3733</v>
      </c>
      <c r="L4613" s="13" t="str">
        <f>IF(D4613&lt;&gt;"",VLOOKUP(H4613,TABLEITEM,2,FALSE),"")</f>
        <v/>
      </c>
      <c r="M4613" s="13" t="str">
        <f>IF(D4613&lt;&gt;"",VLOOKUP(H4613,TABLEITEM,3,FALSE),"")</f>
        <v>CT2000/5 MSQ130</v>
      </c>
      <c r="N4613" s="14">
        <f>INSTOCK!$I4613*INSTOCK!$K4613</f>
        <v>1261.1199</v>
      </c>
      <c r="O4613" s="4" t="s">
        <v>2287</v>
      </c>
      <c r="P4613" s="4"/>
    </row>
    <row r="4614" ht="15.75" hidden="1" customHeight="1">
      <c r="B4614" s="8">
        <v>4938.0</v>
      </c>
      <c r="C4614" s="9">
        <v>43411.0</v>
      </c>
      <c r="D4614" s="6" t="s">
        <v>2018</v>
      </c>
      <c r="E4614" s="4">
        <v>6.111001361E9</v>
      </c>
      <c r="F4614" s="8" t="s">
        <v>5547</v>
      </c>
      <c r="G4614" s="4" t="s">
        <v>1485</v>
      </c>
      <c r="H4614" s="10" t="s">
        <v>5661</v>
      </c>
      <c r="I4614" s="10">
        <v>2.0</v>
      </c>
      <c r="J4614" s="11" t="str">
        <f>IF(D4614&lt;&gt;"",VLOOKUP(H4614,TABLEITEM,5,FALSE),"")</f>
        <v>EA</v>
      </c>
      <c r="K4614" s="12">
        <v>6314.0</v>
      </c>
      <c r="L4614" s="13" t="str">
        <f>IF(D4614&lt;&gt;"",VLOOKUP(H4614,TABLEITEM,2,FALSE),"")</f>
        <v/>
      </c>
      <c r="M4614" s="13" t="str">
        <f>IF(D4614&lt;&gt;"",VLOOKUP(H4614,TABLEITEM,3,FALSE),"")</f>
        <v>CVS630F TM500D 3P3D 380/415 VAC</v>
      </c>
      <c r="N4614" s="14">
        <f>INSTOCK!$I4614*INSTOCK!$K4614</f>
        <v>12628</v>
      </c>
      <c r="O4614" s="4"/>
      <c r="P4614" s="4"/>
    </row>
    <row r="4615" ht="15.75" hidden="1" customHeight="1">
      <c r="B4615" s="8">
        <v>4939.0</v>
      </c>
      <c r="C4615" s="9">
        <v>43411.0</v>
      </c>
      <c r="D4615" s="6" t="s">
        <v>2018</v>
      </c>
      <c r="E4615" s="4">
        <v>6.111001361E9</v>
      </c>
      <c r="F4615" s="8" t="s">
        <v>5547</v>
      </c>
      <c r="G4615" s="4" t="s">
        <v>1485</v>
      </c>
      <c r="H4615" s="10" t="s">
        <v>1841</v>
      </c>
      <c r="I4615" s="10">
        <v>2.0</v>
      </c>
      <c r="J4615" s="11" t="str">
        <f>IF(D4615&lt;&gt;"",VLOOKUP(H4615,TABLEITEM,5,FALSE),"")</f>
        <v>EA</v>
      </c>
      <c r="K4615" s="12">
        <v>533.0</v>
      </c>
      <c r="L4615" s="13" t="str">
        <f>IF(D4615&lt;&gt;"",VLOOKUP(H4615,TABLEITEM,2,FALSE),"")</f>
        <v/>
      </c>
      <c r="M4615" s="13" t="str">
        <f>IF(D4615&lt;&gt;"",VLOOKUP(H4615,TABLEITEM,3,FALSE),"")</f>
        <v>K CAM SWITCH 3L AND 3L-N 45 12A</v>
      </c>
      <c r="N4615" s="14">
        <f>INSTOCK!$I4615*INSTOCK!$K4615</f>
        <v>1066</v>
      </c>
      <c r="O4615" s="4"/>
      <c r="P4615" s="4"/>
    </row>
    <row r="4616" ht="15.75" hidden="1" customHeight="1">
      <c r="B4616" s="8">
        <v>4940.0</v>
      </c>
      <c r="C4616" s="9">
        <v>43411.0</v>
      </c>
      <c r="D4616" s="6" t="s">
        <v>2018</v>
      </c>
      <c r="E4616" s="4">
        <v>6.111001361E9</v>
      </c>
      <c r="F4616" s="8" t="s">
        <v>5547</v>
      </c>
      <c r="G4616" s="4" t="s">
        <v>1485</v>
      </c>
      <c r="H4616" s="10" t="s">
        <v>1853</v>
      </c>
      <c r="I4616" s="10">
        <v>1.0</v>
      </c>
      <c r="J4616" s="11" t="str">
        <f>IF(D4616&lt;&gt;"",VLOOKUP(H4616,TABLEITEM,5,FALSE),"")</f>
        <v>EA</v>
      </c>
      <c r="K4616" s="12">
        <v>533.0</v>
      </c>
      <c r="L4616" s="13" t="str">
        <f>IF(D4616&lt;&gt;"",VLOOKUP(H4616,TABLEITEM,2,FALSE),"")</f>
        <v/>
      </c>
      <c r="M4616" s="13" t="str">
        <f>IF(D4616&lt;&gt;"",VLOOKUP(H4616,TABLEITEM,3,FALSE),"")</f>
        <v>K CAM SWITCH K1F003MLH</v>
      </c>
      <c r="N4616" s="14">
        <f>INSTOCK!$I4616*INSTOCK!$K4616</f>
        <v>533</v>
      </c>
      <c r="O4616" s="4"/>
      <c r="P4616" s="4"/>
    </row>
    <row r="4617" ht="15.75" hidden="1" customHeight="1">
      <c r="B4617" s="8">
        <v>4941.0</v>
      </c>
      <c r="C4617" s="9">
        <v>43411.0</v>
      </c>
      <c r="D4617" s="6" t="s">
        <v>2018</v>
      </c>
      <c r="E4617" s="4">
        <v>6.111001361E9</v>
      </c>
      <c r="F4617" s="8" t="s">
        <v>5547</v>
      </c>
      <c r="G4617" s="4" t="s">
        <v>1485</v>
      </c>
      <c r="H4617" s="10" t="s">
        <v>5176</v>
      </c>
      <c r="I4617" s="10">
        <v>1.0</v>
      </c>
      <c r="J4617" s="11" t="str">
        <f>IF(D4617&lt;&gt;"",VLOOKUP(H4617,TABLEITEM,5,FALSE),"")</f>
        <v>EA</v>
      </c>
      <c r="K4617" s="12">
        <v>82000.0</v>
      </c>
      <c r="L4617" s="13" t="str">
        <f>IF(D4617&lt;&gt;"",VLOOKUP(H4617,TABLEITEM,2,FALSE),"")</f>
        <v/>
      </c>
      <c r="M4617" s="13" t="str">
        <f>IF(D4617&lt;&gt;"",VLOOKUP(H4617,TABLEITEM,3,FALSE),"")</f>
        <v>MASTERP ACT 3P 2000A 65KA AT 4151VAC FIXED TYPE</v>
      </c>
      <c r="N4617" s="14">
        <f>INSTOCK!$I4617*INSTOCK!$K4617</f>
        <v>82000</v>
      </c>
      <c r="O4617" s="4"/>
      <c r="P4617" s="4"/>
    </row>
    <row r="4618" ht="15.75" hidden="1" customHeight="1">
      <c r="B4618" s="8">
        <v>4942.0</v>
      </c>
      <c r="C4618" s="9">
        <v>43411.0</v>
      </c>
      <c r="D4618" s="6" t="s">
        <v>2018</v>
      </c>
      <c r="E4618" s="4">
        <v>6.111001361E9</v>
      </c>
      <c r="F4618" s="8" t="s">
        <v>5547</v>
      </c>
      <c r="G4618" s="4" t="s">
        <v>1485</v>
      </c>
      <c r="H4618" s="10" t="s">
        <v>5662</v>
      </c>
      <c r="I4618" s="10">
        <v>1.0</v>
      </c>
      <c r="J4618" s="11" t="str">
        <f>IF(D4618&lt;&gt;"",VLOOKUP(H4618,TABLEITEM,5,FALSE),"")</f>
        <v>EA</v>
      </c>
      <c r="K4618" s="12">
        <v>1992.6</v>
      </c>
      <c r="L4618" s="13" t="str">
        <f>IF(D4618&lt;&gt;"",VLOOKUP(H4618,TABLEITEM,2,FALSE),"")</f>
        <v/>
      </c>
      <c r="M4618" s="13" t="str">
        <f>IF(D4618&lt;&gt;"",VLOOKUP(H4618,TABLEITEM,3,FALSE),"")</f>
        <v>UNDER VOLTAGE RELEASE 220-240VAC 50/60HZ 208-277 VAC 60HZ</v>
      </c>
      <c r="N4618" s="14">
        <f>INSTOCK!$I4618*INSTOCK!$K4618</f>
        <v>1992.6</v>
      </c>
      <c r="O4618" s="4"/>
      <c r="P4618" s="4"/>
    </row>
    <row r="4619" ht="15.75" hidden="1" customHeight="1">
      <c r="B4619" s="8">
        <v>4943.0</v>
      </c>
      <c r="C4619" s="9">
        <v>43411.0</v>
      </c>
      <c r="D4619" s="6" t="s">
        <v>2018</v>
      </c>
      <c r="E4619" s="4">
        <v>6.111001361E9</v>
      </c>
      <c r="F4619" s="8" t="s">
        <v>5547</v>
      </c>
      <c r="G4619" s="4" t="s">
        <v>1485</v>
      </c>
      <c r="H4619" s="10" t="s">
        <v>5663</v>
      </c>
      <c r="I4619" s="10">
        <v>1.0</v>
      </c>
      <c r="J4619" s="11" t="str">
        <f>IF(D4619&lt;&gt;"",VLOOKUP(H4619,TABLEITEM,5,FALSE),"")</f>
        <v>EA</v>
      </c>
      <c r="K4619" s="12">
        <v>3353.8</v>
      </c>
      <c r="L4619" s="13" t="str">
        <f>IF(D4619&lt;&gt;"",VLOOKUP(H4619,TABLEITEM,2,FALSE),"")</f>
        <v/>
      </c>
      <c r="M4619" s="13" t="str">
        <f>IF(D4619&lt;&gt;"",VLOOKUP(H4619,TABLEITEM,3,FALSE),"")</f>
        <v>TIME DELAY UNIT USE WITH UNDER VOLTAGE RELAY 220/250 VAC/DC</v>
      </c>
      <c r="N4619" s="14">
        <f>INSTOCK!$I4619*INSTOCK!$K4619</f>
        <v>3353.8</v>
      </c>
      <c r="O4619" s="4"/>
      <c r="P4619" s="4"/>
    </row>
    <row r="4620" ht="15.75" hidden="1" customHeight="1">
      <c r="B4620" s="8">
        <v>4944.0</v>
      </c>
      <c r="C4620" s="9">
        <v>43411.0</v>
      </c>
      <c r="D4620" s="6" t="s">
        <v>2018</v>
      </c>
      <c r="E4620" s="4">
        <v>6.111001361E9</v>
      </c>
      <c r="F4620" s="8" t="s">
        <v>5547</v>
      </c>
      <c r="G4620" s="4" t="s">
        <v>1485</v>
      </c>
      <c r="H4620" s="10">
        <v>33662.0</v>
      </c>
      <c r="I4620" s="10">
        <v>1.0</v>
      </c>
      <c r="J4620" s="11" t="str">
        <f>IF(D4620&lt;&gt;"",VLOOKUP(H4620,TABLEITEM,5,FALSE),"")</f>
        <v>EA</v>
      </c>
      <c r="K4620" s="12">
        <v>1980.3</v>
      </c>
      <c r="L4620" s="13" t="str">
        <f>IF(D4620&lt;&gt;"",VLOOKUP(H4620,TABLEITEM,2,FALSE),"")</f>
        <v/>
      </c>
      <c r="M4620" s="13" t="str">
        <f>IF(D4620&lt;&gt;"",VLOOKUP(H4620,TABLEITEM,3,FALSE),"")</f>
        <v>SHUNT RELEASE OR CLOSING RELEASE 220 VAC</v>
      </c>
      <c r="N4620" s="14">
        <f>INSTOCK!$I4620*INSTOCK!$K4620</f>
        <v>1980.3</v>
      </c>
      <c r="O4620" s="4"/>
      <c r="P4620" s="4"/>
    </row>
    <row r="4621" ht="15.75" hidden="1" customHeight="1">
      <c r="B4621" s="8">
        <v>4945.0</v>
      </c>
      <c r="C4621" s="9">
        <v>43411.0</v>
      </c>
      <c r="D4621" s="6" t="s">
        <v>2018</v>
      </c>
      <c r="E4621" s="4">
        <v>6.111001361E9</v>
      </c>
      <c r="F4621" s="8" t="s">
        <v>5547</v>
      </c>
      <c r="G4621" s="4" t="s">
        <v>1485</v>
      </c>
      <c r="H4621" s="10">
        <v>47074.0</v>
      </c>
      <c r="I4621" s="10">
        <v>2.0</v>
      </c>
      <c r="J4621" s="11" t="str">
        <f>IF(D4621&lt;&gt;"",VLOOKUP(H4621,TABLEITEM,5,FALSE),"")</f>
        <v>EA</v>
      </c>
      <c r="K4621" s="12">
        <v>381.3</v>
      </c>
      <c r="L4621" s="13" t="str">
        <f>IF(D4621&lt;&gt;"",VLOOKUP(H4621,TABLEITEM,2,FALSE),"")</f>
        <v/>
      </c>
      <c r="M4621" s="13" t="str">
        <f>IF(D4621&lt;&gt;"",VLOOKUP(H4621,TABLEITEM,3,FALSE),"")</f>
        <v>TERMINAL BLOCK FOR FIXED CIYRCUIT BREAKER FOR NT&amp;NW</v>
      </c>
      <c r="N4621" s="14">
        <f>INSTOCK!$I4621*INSTOCK!$K4621</f>
        <v>762.6</v>
      </c>
      <c r="O4621" s="4"/>
      <c r="P4621" s="4"/>
    </row>
    <row r="4622" ht="15.75" hidden="1" customHeight="1">
      <c r="B4622" s="8">
        <v>4946.0</v>
      </c>
      <c r="C4622" s="9">
        <v>43411.0</v>
      </c>
      <c r="D4622" s="6" t="s">
        <v>2018</v>
      </c>
      <c r="E4622" s="4">
        <v>6.111001361E9</v>
      </c>
      <c r="F4622" s="8" t="s">
        <v>5547</v>
      </c>
      <c r="G4622" s="4" t="s">
        <v>1485</v>
      </c>
      <c r="H4622" s="10" t="s">
        <v>5664</v>
      </c>
      <c r="I4622" s="10">
        <v>1.0</v>
      </c>
      <c r="J4622" s="11" t="str">
        <f>IF(D4622&lt;&gt;"",VLOOKUP(H4622,TABLEITEM,5,FALSE),"")</f>
        <v>EA</v>
      </c>
      <c r="K4622" s="12">
        <v>1980.3</v>
      </c>
      <c r="L4622" s="13" t="str">
        <f>IF(D4622&lt;&gt;"",VLOOKUP(H4622,TABLEITEM,2,FALSE),"")</f>
        <v/>
      </c>
      <c r="M4622" s="13" t="str">
        <f>IF(D4622&lt;&gt;"",VLOOKUP(H4622,TABLEITEM,3,FALSE),"")</f>
        <v>CVS160F TM125D 3P3D 380/415VAC</v>
      </c>
      <c r="N4622" s="14">
        <f>INSTOCK!$I4622*INSTOCK!$K4622</f>
        <v>1980.3</v>
      </c>
      <c r="O4622" s="4"/>
      <c r="P4622" s="4"/>
    </row>
    <row r="4623" ht="15.75" hidden="1" customHeight="1">
      <c r="B4623" s="8">
        <v>4947.0</v>
      </c>
      <c r="C4623" s="9">
        <v>43411.0</v>
      </c>
      <c r="D4623" s="6" t="s">
        <v>2018</v>
      </c>
      <c r="E4623" s="4">
        <v>6.111001361E9</v>
      </c>
      <c r="F4623" s="8" t="s">
        <v>5547</v>
      </c>
      <c r="G4623" s="4" t="s">
        <v>1485</v>
      </c>
      <c r="H4623" s="10" t="s">
        <v>4693</v>
      </c>
      <c r="I4623" s="10">
        <v>11.0</v>
      </c>
      <c r="J4623" s="11" t="str">
        <f>IF(D4623&lt;&gt;"",VLOOKUP(H4623,TABLEITEM,5,FALSE),"")</f>
        <v>EA</v>
      </c>
      <c r="K4623" s="12">
        <v>1459.6</v>
      </c>
      <c r="L4623" s="13" t="str">
        <f>IF(D4623&lt;&gt;"",VLOOKUP(H4623,TABLEITEM,2,FALSE),"")</f>
        <v/>
      </c>
      <c r="M4623" s="13" t="str">
        <f>IF(D4623&lt;&gt;"",VLOOKUP(H4623,TABLEITEM,3,FALSE),"")</f>
        <v>CVS100F TM100D 3P3D 380/415VAC 36KA</v>
      </c>
      <c r="N4623" s="14">
        <f>INSTOCK!$I4623*INSTOCK!$K4623</f>
        <v>16055.6</v>
      </c>
      <c r="O4623" s="4"/>
      <c r="P4623" s="4"/>
    </row>
    <row r="4624" ht="15.75" hidden="1" customHeight="1">
      <c r="B4624" s="8">
        <v>4948.0</v>
      </c>
      <c r="C4624" s="9">
        <v>43411.0</v>
      </c>
      <c r="D4624" s="6" t="s">
        <v>2018</v>
      </c>
      <c r="E4624" s="4">
        <v>6.111001361E9</v>
      </c>
      <c r="F4624" s="8" t="s">
        <v>5547</v>
      </c>
      <c r="G4624" s="4" t="s">
        <v>1485</v>
      </c>
      <c r="H4624" s="10" t="s">
        <v>5665</v>
      </c>
      <c r="I4624" s="10">
        <v>4.0</v>
      </c>
      <c r="J4624" s="11" t="str">
        <f>IF(D4624&lt;&gt;"",VLOOKUP(H4624,TABLEITEM,5,FALSE),"")</f>
        <v>EA</v>
      </c>
      <c r="K4624" s="12">
        <v>1459.6</v>
      </c>
      <c r="L4624" s="13" t="str">
        <f>IF(D4624&lt;&gt;"",VLOOKUP(H4624,TABLEITEM,2,FALSE),"")</f>
        <v/>
      </c>
      <c r="M4624" s="13" t="str">
        <f>IF(D4624&lt;&gt;"",VLOOKUP(H4624,TABLEITEM,3,FALSE),"")</f>
        <v>CVS100F TM50D 3P3D 380/415VAC 36KA</v>
      </c>
      <c r="N4624" s="14">
        <f>INSTOCK!$I4624*INSTOCK!$K4624</f>
        <v>5838.4</v>
      </c>
      <c r="O4624" s="4"/>
      <c r="P4624" s="4"/>
    </row>
    <row r="4625" ht="15.75" hidden="1" customHeight="1">
      <c r="B4625" s="8">
        <v>4949.0</v>
      </c>
      <c r="C4625" s="9">
        <v>43411.0</v>
      </c>
      <c r="D4625" s="6" t="s">
        <v>2018</v>
      </c>
      <c r="E4625" s="4">
        <v>6.111001361E9</v>
      </c>
      <c r="F4625" s="8" t="s">
        <v>5547</v>
      </c>
      <c r="G4625" s="4" t="s">
        <v>1485</v>
      </c>
      <c r="H4625" s="10" t="s">
        <v>2019</v>
      </c>
      <c r="I4625" s="10">
        <v>13.0</v>
      </c>
      <c r="J4625" s="11" t="str">
        <f>IF(D4625&lt;&gt;"",VLOOKUP(H4625,TABLEITEM,5,FALSE),"")</f>
        <v>EA</v>
      </c>
      <c r="K4625" s="12">
        <v>1459.6</v>
      </c>
      <c r="L4625" s="13" t="str">
        <f>IF(D4625&lt;&gt;"",VLOOKUP(H4625,TABLEITEM,2,FALSE),"")</f>
        <v/>
      </c>
      <c r="M4625" s="13" t="str">
        <f>IF(D4625&lt;&gt;"",VLOOKUP(H4625,TABLEITEM,3,FALSE),"")</f>
        <v>CVS 100F TM800 3P 3D 380/415 VAC 36KA</v>
      </c>
      <c r="N4625" s="14">
        <f>INSTOCK!$I4625*INSTOCK!$K4625</f>
        <v>18974.8</v>
      </c>
      <c r="O4625" s="4"/>
      <c r="P4625" s="4"/>
    </row>
    <row r="4626" ht="15.75" hidden="1" customHeight="1">
      <c r="B4626" s="8">
        <v>4950.0</v>
      </c>
      <c r="C4626" s="9">
        <v>43411.0</v>
      </c>
      <c r="D4626" s="6" t="s">
        <v>2018</v>
      </c>
      <c r="E4626" s="4">
        <v>6.111001361E9</v>
      </c>
      <c r="F4626" s="8" t="s">
        <v>5547</v>
      </c>
      <c r="G4626" s="4" t="s">
        <v>1485</v>
      </c>
      <c r="H4626" s="10" t="s">
        <v>5666</v>
      </c>
      <c r="I4626" s="10">
        <v>3.0</v>
      </c>
      <c r="J4626" s="11" t="str">
        <f>IF(D4626&lt;&gt;"",VLOOKUP(H4626,TABLEITEM,5,FALSE),"")</f>
        <v>EA</v>
      </c>
      <c r="K4626" s="12">
        <v>2960.2</v>
      </c>
      <c r="L4626" s="13" t="str">
        <f>IF(D4626&lt;&gt;"",VLOOKUP(H4626,TABLEITEM,2,FALSE),"")</f>
        <v/>
      </c>
      <c r="M4626" s="13" t="str">
        <f>IF(D4626&lt;&gt;"",VLOOKUP(H4626,TABLEITEM,3,FALSE),"")</f>
        <v>CVS250F TM200D 3P3D 380/415VAC</v>
      </c>
      <c r="N4626" s="14">
        <f>INSTOCK!$I4626*INSTOCK!$K4626</f>
        <v>8880.6</v>
      </c>
      <c r="O4626" s="4"/>
      <c r="P4626" s="4"/>
    </row>
    <row r="4627" ht="15.75" hidden="1" customHeight="1">
      <c r="B4627" s="8">
        <v>4951.0</v>
      </c>
      <c r="C4627" s="9">
        <v>43411.0</v>
      </c>
      <c r="D4627" s="6" t="s">
        <v>2018</v>
      </c>
      <c r="E4627" s="4">
        <v>6.111001361E9</v>
      </c>
      <c r="F4627" s="8" t="s">
        <v>5547</v>
      </c>
      <c r="G4627" s="4" t="s">
        <v>1485</v>
      </c>
      <c r="H4627" s="10" t="s">
        <v>5667</v>
      </c>
      <c r="I4627" s="10">
        <v>1.0</v>
      </c>
      <c r="J4627" s="11" t="str">
        <f>IF(D4627&lt;&gt;"",VLOOKUP(H4627,TABLEITEM,5,FALSE),"")</f>
        <v>EA</v>
      </c>
      <c r="K4627" s="12">
        <v>2960.2</v>
      </c>
      <c r="L4627" s="13" t="str">
        <f>IF(D4627&lt;&gt;"",VLOOKUP(H4627,TABLEITEM,2,FALSE),"")</f>
        <v/>
      </c>
      <c r="M4627" s="13" t="str">
        <f>IF(D4627&lt;&gt;"",VLOOKUP(H4627,TABLEITEM,3,FALSE),"")</f>
        <v>CVS250F TM250D 3P3D 380/415VAC</v>
      </c>
      <c r="N4627" s="14">
        <f>INSTOCK!$I4627*INSTOCK!$K4627</f>
        <v>2960.2</v>
      </c>
      <c r="O4627" s="4"/>
      <c r="P4627" s="4"/>
    </row>
    <row r="4628" ht="15.75" hidden="1" customHeight="1">
      <c r="B4628" s="8">
        <v>4952.0</v>
      </c>
      <c r="C4628" s="9">
        <v>43411.0</v>
      </c>
      <c r="D4628" s="6" t="s">
        <v>2018</v>
      </c>
      <c r="E4628" s="4">
        <v>6.111001361E9</v>
      </c>
      <c r="F4628" s="8" t="s">
        <v>5547</v>
      </c>
      <c r="G4628" s="4" t="s">
        <v>1485</v>
      </c>
      <c r="H4628" s="10" t="s">
        <v>5668</v>
      </c>
      <c r="I4628" s="10">
        <v>1.0</v>
      </c>
      <c r="J4628" s="11" t="str">
        <f>IF(D4628&lt;&gt;"",VLOOKUP(H4628,TABLEITEM,5,FALSE),"")</f>
        <v>EA</v>
      </c>
      <c r="K4628" s="12">
        <v>14175.0</v>
      </c>
      <c r="L4628" s="13" t="str">
        <f>IF(D4628&lt;&gt;"",VLOOKUP(H4628,TABLEITEM,2,FALSE),"")</f>
        <v/>
      </c>
      <c r="M4628" s="13" t="str">
        <f>IF(D4628&lt;&gt;"",VLOOKUP(H4628,TABLEITEM,3,FALSE),"")</f>
        <v>PRD1 25R SURGE ARRESTER</v>
      </c>
      <c r="N4628" s="14">
        <f>INSTOCK!$I4628*INSTOCK!$K4628</f>
        <v>14175</v>
      </c>
      <c r="O4628" s="4"/>
      <c r="P4628" s="4"/>
    </row>
    <row r="4629" ht="15.75" hidden="1" customHeight="1">
      <c r="B4629" s="8">
        <v>4953.0</v>
      </c>
      <c r="C4629" s="9">
        <v>43411.0</v>
      </c>
      <c r="D4629" s="6" t="s">
        <v>2018</v>
      </c>
      <c r="E4629" s="4">
        <v>6.111001361E9</v>
      </c>
      <c r="F4629" s="8" t="s">
        <v>5547</v>
      </c>
      <c r="G4629" s="4" t="s">
        <v>1485</v>
      </c>
      <c r="H4629" s="10" t="s">
        <v>5669</v>
      </c>
      <c r="I4629" s="10">
        <v>6.0</v>
      </c>
      <c r="J4629" s="11" t="str">
        <f>IF(D4629&lt;&gt;"",VLOOKUP(H4629,TABLEITEM,5,FALSE),"")</f>
        <v>EA</v>
      </c>
      <c r="K4629" s="12">
        <v>5935.5</v>
      </c>
      <c r="L4629" s="13" t="str">
        <f>IF(D4629&lt;&gt;"",VLOOKUP(H4629,TABLEITEM,2,FALSE),"")</f>
        <v/>
      </c>
      <c r="M4629" s="13" t="str">
        <f>IF(D4629&lt;&gt;"",VLOOKUP(H4629,TABLEITEM,3,FALSE),"")</f>
        <v>VARPLUS CAN HDUTY CAPACITOR 50/0KVAR 400V 50/60HZ</v>
      </c>
      <c r="N4629" s="14">
        <f>INSTOCK!$I4629*INSTOCK!$K4629</f>
        <v>35613</v>
      </c>
      <c r="O4629" s="4"/>
      <c r="P4629" s="4"/>
    </row>
    <row r="4630" ht="15.75" hidden="1" customHeight="1">
      <c r="B4630" s="8">
        <v>4954.0</v>
      </c>
      <c r="C4630" s="9">
        <v>43411.0</v>
      </c>
      <c r="D4630" s="6" t="s">
        <v>2018</v>
      </c>
      <c r="E4630" s="4">
        <v>6.111001361E9</v>
      </c>
      <c r="F4630" s="8" t="s">
        <v>5547</v>
      </c>
      <c r="G4630" s="4" t="s">
        <v>1485</v>
      </c>
      <c r="H4630" s="10" t="s">
        <v>5670</v>
      </c>
      <c r="I4630" s="10">
        <v>6.0</v>
      </c>
      <c r="J4630" s="11" t="str">
        <f>IF(D4630&lt;&gt;"",VLOOKUP(H4630,TABLEITEM,5,FALSE),"")</f>
        <v>EA</v>
      </c>
      <c r="K4630" s="12">
        <v>2562.5</v>
      </c>
      <c r="L4630" s="13" t="str">
        <f>IF(D4630&lt;&gt;"",VLOOKUP(H4630,TABLEITEM,2,FALSE),"")</f>
        <v/>
      </c>
      <c r="M4630" s="13" t="str">
        <f>IF(D4630&lt;&gt;"",VLOOKUP(H4630,TABLEITEM,3,FALSE),"")</f>
        <v>CONTACTOR 3P 400-440V 60KV AR 220VAC </v>
      </c>
      <c r="N4630" s="14">
        <f>INSTOCK!$I4630*INSTOCK!$K4630</f>
        <v>15375</v>
      </c>
      <c r="O4630" s="4"/>
      <c r="P4630" s="4"/>
    </row>
    <row r="4631" ht="15.75" hidden="1" customHeight="1">
      <c r="B4631" s="8">
        <v>4955.0</v>
      </c>
      <c r="C4631" s="9">
        <v>43411.0</v>
      </c>
      <c r="D4631" s="6" t="s">
        <v>2018</v>
      </c>
      <c r="E4631" s="4">
        <v>6.111001361E9</v>
      </c>
      <c r="F4631" s="8" t="s">
        <v>5547</v>
      </c>
      <c r="G4631" s="4" t="s">
        <v>1485</v>
      </c>
      <c r="H4631" s="10" t="s">
        <v>5671</v>
      </c>
      <c r="I4631" s="10">
        <v>1.0</v>
      </c>
      <c r="J4631" s="11" t="str">
        <f>IF(D4631&lt;&gt;"",VLOOKUP(H4631,TABLEITEM,5,FALSE),"")</f>
        <v>EA</v>
      </c>
      <c r="K4631" s="12">
        <v>9270.0</v>
      </c>
      <c r="L4631" s="13" t="str">
        <f>IF(D4631&lt;&gt;"",VLOOKUP(H4631,TABLEITEM,2,FALSE),"")</f>
        <v/>
      </c>
      <c r="M4631" s="13" t="str">
        <f>IF(D4631&lt;&gt;"",VLOOKUP(H4631,TABLEITEM,3,FALSE),"")</f>
        <v>CONTROLLER 6STEP OUTPUTS</v>
      </c>
      <c r="N4631" s="14">
        <f>INSTOCK!$I4631*INSTOCK!$K4631</f>
        <v>9270</v>
      </c>
      <c r="O4631" s="4"/>
      <c r="P4631" s="4"/>
    </row>
    <row r="4632" ht="15.75" hidden="1" customHeight="1">
      <c r="B4632" s="8">
        <v>4956.0</v>
      </c>
      <c r="C4632" s="9">
        <v>43411.0</v>
      </c>
      <c r="D4632" s="6" t="s">
        <v>5672</v>
      </c>
      <c r="E4632" s="4">
        <v>6.11100135E9</v>
      </c>
      <c r="F4632" s="8" t="s">
        <v>604</v>
      </c>
      <c r="G4632" s="4" t="s">
        <v>1777</v>
      </c>
      <c r="H4632" s="10" t="s">
        <v>5673</v>
      </c>
      <c r="I4632" s="10">
        <v>500.0</v>
      </c>
      <c r="J4632" s="11" t="str">
        <f>IF(D4632&lt;&gt;"",VLOOKUP(H4632,TABLEITEM,5,FALSE),"")</f>
        <v>EA</v>
      </c>
      <c r="K4632" s="12">
        <v>0.77</v>
      </c>
      <c r="L4632" s="13" t="str">
        <f>IF(D4632&lt;&gt;"",VLOOKUP(H4632,TABLEITEM,2,FALSE),"")</f>
        <v/>
      </c>
      <c r="M4632" s="13" t="str">
        <f>IF(D4632&lt;&gt;"",VLOOKUP(H4632,TABLEITEM,3,FALSE),"")</f>
        <v>หัวน็อตล็อค M8</v>
      </c>
      <c r="N4632" s="14">
        <f>INSTOCK!$I4632*INSTOCK!$K4632</f>
        <v>385</v>
      </c>
      <c r="O4632" s="4" t="s">
        <v>5674</v>
      </c>
      <c r="P4632" s="4"/>
    </row>
    <row r="4633" ht="15.75" hidden="1" customHeight="1">
      <c r="B4633" s="8">
        <v>4957.0</v>
      </c>
      <c r="C4633" s="9">
        <v>43410.0</v>
      </c>
      <c r="D4633" s="6" t="s">
        <v>5675</v>
      </c>
      <c r="E4633" s="4">
        <v>6.111001359E9</v>
      </c>
      <c r="F4633" s="8" t="s">
        <v>1716</v>
      </c>
      <c r="G4633" s="4" t="s">
        <v>1587</v>
      </c>
      <c r="H4633" s="10" t="s">
        <v>5159</v>
      </c>
      <c r="I4633" s="10">
        <v>8.0</v>
      </c>
      <c r="J4633" s="11" t="str">
        <f>IF(D4633&lt;&gt;"",VLOOKUP(H4633,TABLEITEM,5,FALSE),"")</f>
        <v>EA</v>
      </c>
      <c r="K4633" s="12">
        <v>1100.0</v>
      </c>
      <c r="L4633" s="13" t="str">
        <f>IF(D4633&lt;&gt;"",VLOOKUP(H4633,TABLEITEM,2,FALSE),"")</f>
        <v/>
      </c>
      <c r="M4633" s="13" t="str">
        <f>IF(D4633&lt;&gt;"",VLOOKUP(H4633,TABLEITEM,3,FALSE),"")</f>
        <v>คอนแทคเตอร์ ST35 200V</v>
      </c>
      <c r="N4633" s="14">
        <f>INSTOCK!$I4633*INSTOCK!$K4633</f>
        <v>8800</v>
      </c>
      <c r="O4633" s="4" t="s">
        <v>4876</v>
      </c>
      <c r="P4633" s="4"/>
    </row>
    <row r="4634" ht="15.75" hidden="1" customHeight="1">
      <c r="B4634" s="8">
        <v>4958.0</v>
      </c>
      <c r="C4634" s="9">
        <v>43410.0</v>
      </c>
      <c r="D4634" s="6" t="s">
        <v>5676</v>
      </c>
      <c r="E4634" s="4">
        <v>6.11100136E9</v>
      </c>
      <c r="F4634" s="8" t="s">
        <v>1709</v>
      </c>
      <c r="G4634" s="4" t="s">
        <v>1587</v>
      </c>
      <c r="H4634" s="10" t="s">
        <v>5159</v>
      </c>
      <c r="I4634" s="10">
        <v>1.0</v>
      </c>
      <c r="J4634" s="11" t="str">
        <f>IF(D4634&lt;&gt;"",VLOOKUP(H4634,TABLEITEM,5,FALSE),"")</f>
        <v>EA</v>
      </c>
      <c r="K4634" s="12">
        <v>1100.0</v>
      </c>
      <c r="L4634" s="13"/>
      <c r="M4634" s="13" t="str">
        <f>IF(D4634&lt;&gt;"",VLOOKUP(H4634,TABLEITEM,3,FALSE),"")</f>
        <v>คอนแทคเตอร์ ST35 200V</v>
      </c>
      <c r="N4634" s="14">
        <f>INSTOCK!$I4634*INSTOCK!$K4634</f>
        <v>1100</v>
      </c>
      <c r="O4634" s="4" t="s">
        <v>4876</v>
      </c>
      <c r="P4634" s="4"/>
    </row>
    <row r="4635" ht="15.75" hidden="1" customHeight="1">
      <c r="B4635" s="8">
        <v>4959.0</v>
      </c>
      <c r="C4635" s="9">
        <v>43410.0</v>
      </c>
      <c r="D4635" s="6" t="s">
        <v>5677</v>
      </c>
      <c r="E4635" s="4" t="s">
        <v>5678</v>
      </c>
      <c r="F4635" s="8" t="s">
        <v>5587</v>
      </c>
      <c r="G4635" s="4" t="s">
        <v>3567</v>
      </c>
      <c r="H4635" s="10" t="s">
        <v>1711</v>
      </c>
      <c r="I4635" s="10">
        <v>3.0</v>
      </c>
      <c r="J4635" s="11" t="str">
        <f>IF(D4635&lt;&gt;"",VLOOKUP(H4635,TABLEITEM,5,FALSE),"")</f>
        <v>EA</v>
      </c>
      <c r="K4635" s="12">
        <v>2625.0</v>
      </c>
      <c r="L4635" s="13" t="str">
        <f>IF(D4635&lt;&gt;"",VLOOKUP(H4635,TABLEITEM,2,FALSE),"")</f>
        <v/>
      </c>
      <c r="M4635" s="13" t="str">
        <f>IF(D4635&lt;&gt;"",VLOOKUP(H4635,TABLEITEM,3,FALSE),"")</f>
        <v>Din Rail Barth Leakage Relay Din300-240VAC</v>
      </c>
      <c r="N4635" s="14">
        <f>INSTOCK!$I4635*INSTOCK!$K4635</f>
        <v>7875</v>
      </c>
      <c r="O4635" s="4" t="s">
        <v>1712</v>
      </c>
      <c r="P4635" s="4"/>
    </row>
    <row r="4636" ht="15.75" hidden="1" customHeight="1">
      <c r="B4636" s="8">
        <v>4960.0</v>
      </c>
      <c r="C4636" s="9">
        <v>43410.0</v>
      </c>
      <c r="D4636" s="6" t="s">
        <v>5677</v>
      </c>
      <c r="E4636" s="4" t="s">
        <v>5678</v>
      </c>
      <c r="F4636" s="8" t="s">
        <v>5587</v>
      </c>
      <c r="G4636" s="4" t="s">
        <v>3567</v>
      </c>
      <c r="H4636" s="10" t="s">
        <v>1785</v>
      </c>
      <c r="I4636" s="10">
        <v>1.0</v>
      </c>
      <c r="J4636" s="11" t="str">
        <f>IF(D4636&lt;&gt;"",VLOOKUP(H4636,TABLEITEM,5,FALSE),"")</f>
        <v>EA</v>
      </c>
      <c r="K4636" s="12">
        <v>995.0</v>
      </c>
      <c r="L4636" s="13" t="str">
        <f>IF(D4636&lt;&gt;"",VLOOKUP(H4636,TABLEITEM,2,FALSE),"")</f>
        <v/>
      </c>
      <c r="M4636" s="13" t="str">
        <f>IF(D4636&lt;&gt;"",VLOOKUP(H4636,TABLEITEM,3,FALSE),"")</f>
        <v>Special Core ZCT 40mm</v>
      </c>
      <c r="N4636" s="14">
        <f>INSTOCK!$I4636*INSTOCK!$K4636</f>
        <v>995</v>
      </c>
      <c r="O4636" s="4" t="s">
        <v>1786</v>
      </c>
      <c r="P4636" s="4"/>
    </row>
    <row r="4637" ht="15.75" hidden="1" customHeight="1">
      <c r="B4637" s="8">
        <v>4961.0</v>
      </c>
      <c r="C4637" s="9">
        <v>43410.0</v>
      </c>
      <c r="D4637" s="6" t="s">
        <v>5677</v>
      </c>
      <c r="E4637" s="4" t="s">
        <v>5678</v>
      </c>
      <c r="F4637" s="8" t="s">
        <v>5587</v>
      </c>
      <c r="G4637" s="4" t="s">
        <v>3567</v>
      </c>
      <c r="H4637" s="10" t="s">
        <v>1713</v>
      </c>
      <c r="I4637" s="10">
        <v>1.0</v>
      </c>
      <c r="J4637" s="11" t="str">
        <f>IF(D4637&lt;&gt;"",VLOOKUP(H4637,TABLEITEM,5,FALSE),"")</f>
        <v>EA</v>
      </c>
      <c r="K4637" s="12">
        <v>1695.0</v>
      </c>
      <c r="L4637" s="13" t="str">
        <f>IF(D4637&lt;&gt;"",VLOOKUP(H4637,TABLEITEM,2,FALSE),"")</f>
        <v/>
      </c>
      <c r="M4637" s="13" t="str">
        <f>IF(D4637&lt;&gt;"",VLOOKUP(H4637,TABLEITEM,3,FALSE),"")</f>
        <v>Special Core ZCT 80mm</v>
      </c>
      <c r="N4637" s="14">
        <f>INSTOCK!$I4637*INSTOCK!$K4637</f>
        <v>1695</v>
      </c>
      <c r="O4637" s="4" t="s">
        <v>1714</v>
      </c>
      <c r="P4637" s="4"/>
    </row>
    <row r="4638" ht="15.75" hidden="1" customHeight="1">
      <c r="B4638" s="8">
        <v>4962.0</v>
      </c>
      <c r="C4638" s="9">
        <v>43410.0</v>
      </c>
      <c r="D4638" s="6" t="s">
        <v>5677</v>
      </c>
      <c r="E4638" s="4" t="s">
        <v>5678</v>
      </c>
      <c r="F4638" s="8" t="s">
        <v>5587</v>
      </c>
      <c r="G4638" s="4" t="s">
        <v>3567</v>
      </c>
      <c r="H4638" s="10" t="s">
        <v>5679</v>
      </c>
      <c r="I4638" s="10">
        <v>3.0</v>
      </c>
      <c r="J4638" s="11" t="str">
        <f>IF(D4638&lt;&gt;"",VLOOKUP(H4638,TABLEITEM,5,FALSE),"")</f>
        <v>EA</v>
      </c>
      <c r="K4638" s="12">
        <v>2025.0</v>
      </c>
      <c r="L4638" s="13" t="str">
        <f>IF(D4638&lt;&gt;"",VLOOKUP(H4638,TABLEITEM,2,FALSE),"")</f>
        <v/>
      </c>
      <c r="M4638" s="13" t="str">
        <f>IF(D4638&lt;&gt;"",VLOOKUP(H4638,TABLEITEM,3,FALSE),"")</f>
        <v>Special Core ZCT120S</v>
      </c>
      <c r="N4638" s="14">
        <f>INSTOCK!$I4638*INSTOCK!$K4638</f>
        <v>6075</v>
      </c>
      <c r="O4638" s="4" t="s">
        <v>5680</v>
      </c>
      <c r="P4638" s="4"/>
    </row>
    <row r="4639" ht="15.75" hidden="1" customHeight="1">
      <c r="B4639" s="8">
        <v>4963.0</v>
      </c>
      <c r="C4639" s="9">
        <v>43410.0</v>
      </c>
      <c r="D4639" s="6" t="s">
        <v>5681</v>
      </c>
      <c r="E4639" s="4">
        <v>6.111001366E9</v>
      </c>
      <c r="F4639" s="8" t="s">
        <v>5587</v>
      </c>
      <c r="G4639" s="4" t="s">
        <v>1512</v>
      </c>
      <c r="H4639" s="10" t="s">
        <v>5682</v>
      </c>
      <c r="I4639" s="10">
        <v>4.0</v>
      </c>
      <c r="J4639" s="11" t="str">
        <f>IF(D4639&lt;&gt;"",VLOOKUP(H4639,TABLEITEM,5,FALSE),"")</f>
        <v>EA</v>
      </c>
      <c r="K4639" s="12">
        <v>648.0</v>
      </c>
      <c r="L4639" s="13" t="str">
        <f>IF(D4639&lt;&gt;"",VLOOKUP(H4639,TABLEITEM,2,FALSE),"")</f>
        <v/>
      </c>
      <c r="M4639" s="13" t="str">
        <f>IF(D4639&lt;&gt;"",VLOOKUP(H4639,TABLEITEM,3,FALSE),"")</f>
        <v>CRC AS1B-250/5 5VA</v>
      </c>
      <c r="N4639" s="14">
        <f>INSTOCK!$I4639*INSTOCK!$K4639</f>
        <v>2592</v>
      </c>
      <c r="O4639" s="4"/>
      <c r="P4639" s="4"/>
    </row>
    <row r="4640" ht="15.75" hidden="1" customHeight="1">
      <c r="B4640" s="8">
        <v>4964.0</v>
      </c>
      <c r="C4640" s="9">
        <v>43410.0</v>
      </c>
      <c r="D4640" s="6" t="s">
        <v>5681</v>
      </c>
      <c r="E4640" s="4">
        <v>6.111001366E9</v>
      </c>
      <c r="F4640" s="8" t="s">
        <v>5587</v>
      </c>
      <c r="G4640" s="4" t="s">
        <v>1512</v>
      </c>
      <c r="H4640" s="10" t="s">
        <v>5509</v>
      </c>
      <c r="I4640" s="10">
        <v>4.0</v>
      </c>
      <c r="J4640" s="11" t="str">
        <f>IF(D4640&lt;&gt;"",VLOOKUP(H4640,TABLEITEM,5,FALSE),"")</f>
        <v>EA</v>
      </c>
      <c r="K4640" s="12">
        <v>688.5</v>
      </c>
      <c r="L4640" s="13" t="str">
        <f>IF(D4640&lt;&gt;"",VLOOKUP(H4640,TABLEITEM,2,FALSE),"")</f>
        <v/>
      </c>
      <c r="M4640" s="13" t="str">
        <f>IF(D4640&lt;&gt;"",VLOOKUP(H4640,TABLEITEM,3,FALSE),"")</f>
        <v>CRC AS2-500/5 5VA</v>
      </c>
      <c r="N4640" s="14">
        <f>INSTOCK!$I4640*INSTOCK!$K4640</f>
        <v>2754</v>
      </c>
      <c r="O4640" s="4"/>
      <c r="P4640" s="4"/>
    </row>
    <row r="4641" ht="15.75" hidden="1" customHeight="1">
      <c r="B4641" s="8">
        <v>4965.0</v>
      </c>
      <c r="C4641" s="9">
        <v>43410.0</v>
      </c>
      <c r="D4641" s="6" t="s">
        <v>5681</v>
      </c>
      <c r="E4641" s="4">
        <v>6.111001366E9</v>
      </c>
      <c r="F4641" s="8" t="s">
        <v>5587</v>
      </c>
      <c r="G4641" s="4" t="s">
        <v>1512</v>
      </c>
      <c r="H4641" s="10" t="s">
        <v>5278</v>
      </c>
      <c r="I4641" s="10">
        <v>4.0</v>
      </c>
      <c r="J4641" s="11" t="str">
        <f>IF(D4641&lt;&gt;"",VLOOKUP(H4641,TABLEITEM,5,FALSE),"")</f>
        <v>EA</v>
      </c>
      <c r="K4641" s="12">
        <v>931.5</v>
      </c>
      <c r="L4641" s="13" t="str">
        <f>IF(D4641&lt;&gt;"",VLOOKUP(H4641,TABLEITEM,2,FALSE),"")</f>
        <v/>
      </c>
      <c r="M4641" s="13" t="str">
        <f>IF(D4641&lt;&gt;"",VLOOKUP(H4641,TABLEITEM,3,FALSE),"")</f>
        <v>CT1000/5 AS5 10VA-CL0.5 Aperture 85</v>
      </c>
      <c r="N4641" s="14">
        <f>INSTOCK!$I4641*INSTOCK!$K4641</f>
        <v>3726</v>
      </c>
      <c r="O4641" s="4"/>
      <c r="P4641" s="4"/>
    </row>
    <row r="4642" ht="15.75" hidden="1" customHeight="1">
      <c r="B4642" s="8">
        <v>4966.0</v>
      </c>
      <c r="C4642" s="9">
        <v>43410.0</v>
      </c>
      <c r="D4642" s="6" t="s">
        <v>5683</v>
      </c>
      <c r="E4642" s="4" t="s">
        <v>5684</v>
      </c>
      <c r="F4642" s="8" t="s">
        <v>5685</v>
      </c>
      <c r="G4642" s="4" t="s">
        <v>1596</v>
      </c>
      <c r="H4642" s="10" t="s">
        <v>5686</v>
      </c>
      <c r="I4642" s="10">
        <v>1.0</v>
      </c>
      <c r="J4642" s="11" t="str">
        <f>IF(D4642&lt;&gt;"",VLOOKUP(H4642,TABLEITEM,5,FALSE),"")</f>
        <v>EA</v>
      </c>
      <c r="K4642" s="12">
        <v>2886.0</v>
      </c>
      <c r="L4642" s="13" t="str">
        <f>IF(D4642&lt;&gt;"",VLOOKUP(H4642,TABLEITEM,2,FALSE),"")</f>
        <v/>
      </c>
      <c r="M4642" s="13" t="str">
        <f>IF(D4642&lt;&gt;"",VLOOKUP(H4642,TABLEITEM,3,FALSE),"")</f>
        <v>MCCB A2N250 TMF 3P 250A</v>
      </c>
      <c r="N4642" s="14">
        <f>INSTOCK!$I4642*INSTOCK!$K4642</f>
        <v>2886</v>
      </c>
      <c r="O4642" s="4" t="s">
        <v>5687</v>
      </c>
      <c r="P4642" s="4"/>
    </row>
    <row r="4643" ht="15.75" hidden="1" customHeight="1">
      <c r="B4643" s="8">
        <v>4967.0</v>
      </c>
      <c r="C4643" s="9">
        <v>43410.0</v>
      </c>
      <c r="D4643" s="6" t="s">
        <v>5683</v>
      </c>
      <c r="E4643" s="4" t="s">
        <v>5684</v>
      </c>
      <c r="F4643" s="8" t="s">
        <v>5685</v>
      </c>
      <c r="G4643" s="4" t="s">
        <v>1596</v>
      </c>
      <c r="H4643" s="10" t="s">
        <v>1771</v>
      </c>
      <c r="I4643" s="10">
        <v>2.0</v>
      </c>
      <c r="J4643" s="11" t="str">
        <f>IF(D4643&lt;&gt;"",VLOOKUP(H4643,TABLEITEM,5,FALSE),"")</f>
        <v>EA</v>
      </c>
      <c r="K4643" s="12">
        <v>819.0</v>
      </c>
      <c r="L4643" s="13" t="str">
        <f>IF(D4643&lt;&gt;"",VLOOKUP(H4643,TABLEITEM,2,FALSE),"")</f>
        <v/>
      </c>
      <c r="M4643" s="13" t="str">
        <f>IF(D4643&lt;&gt;"",VLOOKUP(H4643,TABLEITEM,3,FALSE),"")</f>
        <v>SHUNT-OPENING RELEASES A1-2</v>
      </c>
      <c r="N4643" s="14">
        <f>INSTOCK!$I4643*INSTOCK!$K4643</f>
        <v>1638</v>
      </c>
      <c r="O4643" s="4" t="s">
        <v>1772</v>
      </c>
      <c r="P4643" s="4"/>
    </row>
    <row r="4644" ht="15.75" hidden="1" customHeight="1">
      <c r="B4644" s="8">
        <v>4968.0</v>
      </c>
      <c r="C4644" s="9">
        <v>43410.0</v>
      </c>
      <c r="D4644" s="6" t="s">
        <v>5683</v>
      </c>
      <c r="E4644" s="4" t="s">
        <v>5684</v>
      </c>
      <c r="F4644" s="8" t="s">
        <v>5685</v>
      </c>
      <c r="G4644" s="4" t="s">
        <v>1596</v>
      </c>
      <c r="H4644" s="10" t="s">
        <v>3879</v>
      </c>
      <c r="I4644" s="10">
        <v>5.0</v>
      </c>
      <c r="J4644" s="11" t="str">
        <f>IF(D4644&lt;&gt;"",VLOOKUP(H4644,TABLEITEM,5,FALSE),"")</f>
        <v>EA</v>
      </c>
      <c r="K4644" s="12">
        <v>772.2</v>
      </c>
      <c r="L4644" s="13" t="str">
        <f>IF(D4644&lt;&gt;"",VLOOKUP(H4644,TABLEITEM,2,FALSE),"")</f>
        <v/>
      </c>
      <c r="M4644" s="13" t="str">
        <f>IF(D4644&lt;&gt;"",VLOOKUP(H4644,TABLEITEM,3,FALSE),"")</f>
        <v>เบรกเกอร์ A1C125 1P 20A 18KA </v>
      </c>
      <c r="N4644" s="14">
        <f>INSTOCK!$I4644*INSTOCK!$K4644</f>
        <v>3861</v>
      </c>
      <c r="O4644" s="4" t="s">
        <v>5688</v>
      </c>
      <c r="P4644" s="4"/>
    </row>
    <row r="4645" ht="15.75" hidden="1" customHeight="1">
      <c r="B4645" s="8">
        <v>4969.0</v>
      </c>
      <c r="C4645" s="9">
        <v>43410.0</v>
      </c>
      <c r="D4645" s="6" t="s">
        <v>5683</v>
      </c>
      <c r="E4645" s="4" t="s">
        <v>5684</v>
      </c>
      <c r="F4645" s="8" t="s">
        <v>5685</v>
      </c>
      <c r="G4645" s="4" t="s">
        <v>1596</v>
      </c>
      <c r="H4645" s="10" t="s">
        <v>5689</v>
      </c>
      <c r="I4645" s="10">
        <v>1.0</v>
      </c>
      <c r="J4645" s="11" t="str">
        <f>IF(D4645&lt;&gt;"",VLOOKUP(H4645,TABLEITEM,5,FALSE),"")</f>
        <v>EA</v>
      </c>
      <c r="K4645" s="12">
        <v>1170.0</v>
      </c>
      <c r="L4645" s="13" t="str">
        <f>IF(D4645&lt;&gt;"",VLOOKUP(H4645,TABLEITEM,2,FALSE),"")</f>
        <v/>
      </c>
      <c r="M4645" s="13" t="str">
        <f>IF(D4645&lt;&gt;"",VLOOKUP(H4645,TABLEITEM,3,FALSE),"")</f>
        <v>MCCB A1C125 TMF 3P 80A</v>
      </c>
      <c r="N4645" s="14">
        <f>INSTOCK!$I4645*INSTOCK!$K4645</f>
        <v>1170</v>
      </c>
      <c r="O4645" s="4" t="s">
        <v>1718</v>
      </c>
      <c r="P4645" s="4"/>
    </row>
    <row r="4646" ht="15.75" hidden="1" customHeight="1">
      <c r="B4646" s="8">
        <v>4970.0</v>
      </c>
      <c r="C4646" s="9">
        <v>43410.0</v>
      </c>
      <c r="D4646" s="6" t="s">
        <v>5683</v>
      </c>
      <c r="E4646" s="4" t="s">
        <v>5684</v>
      </c>
      <c r="F4646" s="8" t="s">
        <v>5685</v>
      </c>
      <c r="G4646" s="4" t="s">
        <v>1596</v>
      </c>
      <c r="H4646" s="10" t="s">
        <v>1768</v>
      </c>
      <c r="I4646" s="10">
        <v>21.0</v>
      </c>
      <c r="J4646" s="11" t="str">
        <f>IF(D4646&lt;&gt;"",VLOOKUP(H4646,TABLEITEM,5,FALSE),"")</f>
        <v>EA</v>
      </c>
      <c r="K4646" s="12">
        <v>1170.0</v>
      </c>
      <c r="L4646" s="13" t="str">
        <f>IF(D4646&lt;&gt;"",VLOOKUP(H4646,TABLEITEM,2,FALSE),"")</f>
        <v/>
      </c>
      <c r="M4646" s="13" t="str">
        <f>IF(D4646&lt;&gt;"",VLOOKUP(H4646,TABLEITEM,3,FALSE),"")</f>
        <v>MCCB A1C125 3P 30A 25KA</v>
      </c>
      <c r="N4646" s="14">
        <f>INSTOCK!$I4646*INSTOCK!$K4646</f>
        <v>24570</v>
      </c>
      <c r="O4646" s="4" t="s">
        <v>1718</v>
      </c>
      <c r="P4646" s="4"/>
    </row>
    <row r="4647" ht="15.75" hidden="1" customHeight="1">
      <c r="B4647" s="8">
        <v>4971.0</v>
      </c>
      <c r="C4647" s="9">
        <v>43410.0</v>
      </c>
      <c r="D4647" s="6" t="s">
        <v>5683</v>
      </c>
      <c r="E4647" s="4" t="s">
        <v>5684</v>
      </c>
      <c r="F4647" s="8" t="s">
        <v>5685</v>
      </c>
      <c r="G4647" s="4" t="s">
        <v>1596</v>
      </c>
      <c r="H4647" s="10" t="s">
        <v>1769</v>
      </c>
      <c r="I4647" s="10">
        <v>5.0</v>
      </c>
      <c r="J4647" s="11" t="str">
        <f>IF(D4647&lt;&gt;"",VLOOKUP(H4647,TABLEITEM,5,FALSE),"")</f>
        <v>EA</v>
      </c>
      <c r="K4647" s="12">
        <v>1170.0</v>
      </c>
      <c r="L4647" s="13" t="str">
        <f>IF(D4647&lt;&gt;"",VLOOKUP(H4647,TABLEITEM,2,FALSE),"")</f>
        <v/>
      </c>
      <c r="M4647" s="13" t="str">
        <f>IF(D4647&lt;&gt;"",VLOOKUP(H4647,TABLEITEM,3,FALSE),"")</f>
        <v>MCCB A1C125 3P 50A 25KA</v>
      </c>
      <c r="N4647" s="14">
        <f>INSTOCK!$I4647*INSTOCK!$K4647</f>
        <v>5850</v>
      </c>
      <c r="O4647" s="4" t="s">
        <v>1718</v>
      </c>
      <c r="P4647" s="4"/>
    </row>
    <row r="4648" ht="15.75" hidden="1" customHeight="1">
      <c r="B4648" s="8">
        <v>4972.0</v>
      </c>
      <c r="C4648" s="9">
        <v>43410.0</v>
      </c>
      <c r="D4648" s="6" t="s">
        <v>5683</v>
      </c>
      <c r="E4648" s="4" t="s">
        <v>5684</v>
      </c>
      <c r="F4648" s="8" t="s">
        <v>5685</v>
      </c>
      <c r="G4648" s="4" t="s">
        <v>1596</v>
      </c>
      <c r="H4648" s="10" t="s">
        <v>5560</v>
      </c>
      <c r="I4648" s="10">
        <v>2.0</v>
      </c>
      <c r="J4648" s="11" t="str">
        <f>IF(D4648&lt;&gt;"",VLOOKUP(H4648,TABLEITEM,5,FALSE),"")</f>
        <v>EA</v>
      </c>
      <c r="K4648" s="12">
        <v>3911.625</v>
      </c>
      <c r="L4648" s="13" t="str">
        <f>IF(D4648&lt;&gt;"",VLOOKUP(H4648,TABLEITEM,2,FALSE),"")</f>
        <v/>
      </c>
      <c r="M4648" s="13" t="str">
        <f>IF(D4648&lt;&gt;"",VLOOKUP(H4648,TABLEITEM,3,FALSE),"")</f>
        <v>AF116-30-11 100-250V50/60HZ-DC</v>
      </c>
      <c r="N4648" s="14">
        <f>INSTOCK!$I4648*INSTOCK!$K4648</f>
        <v>7823.25</v>
      </c>
      <c r="O4648" s="4" t="s">
        <v>5561</v>
      </c>
      <c r="P4648" s="4"/>
    </row>
    <row r="4649" ht="15.75" hidden="1" customHeight="1">
      <c r="B4649" s="8">
        <v>4973.0</v>
      </c>
      <c r="C4649" s="9">
        <v>43410.0</v>
      </c>
      <c r="D4649" s="6" t="s">
        <v>5683</v>
      </c>
      <c r="E4649" s="4" t="s">
        <v>5684</v>
      </c>
      <c r="F4649" s="8" t="s">
        <v>5685</v>
      </c>
      <c r="G4649" s="4" t="s">
        <v>1596</v>
      </c>
      <c r="H4649" s="10" t="s">
        <v>5690</v>
      </c>
      <c r="I4649" s="10">
        <v>1.0</v>
      </c>
      <c r="J4649" s="11" t="str">
        <f>IF(D4649&lt;&gt;"",VLOOKUP(H4649,TABLEITEM,5,FALSE),"")</f>
        <v>EA</v>
      </c>
      <c r="K4649" s="12">
        <v>1761.3</v>
      </c>
      <c r="L4649" s="13" t="str">
        <f>IF(D4649&lt;&gt;"",VLOOKUP(H4649,TABLEITEM,2,FALSE),"")</f>
        <v/>
      </c>
      <c r="M4649" s="13" t="str">
        <f>IF(D4649&lt;&gt;"",VLOOKUP(H4649,TABLEITEM,3,FALSE),"")</f>
        <v>AF52-30-11 100-250V50/60HZ-DC</v>
      </c>
      <c r="N4649" s="14">
        <f>INSTOCK!$I4649*INSTOCK!$K4649</f>
        <v>1761.3</v>
      </c>
      <c r="O4649" s="4" t="s">
        <v>5691</v>
      </c>
      <c r="P4649" s="4"/>
    </row>
    <row r="4650" ht="15.75" hidden="1" customHeight="1">
      <c r="B4650" s="8">
        <v>4974.0</v>
      </c>
      <c r="C4650" s="9">
        <v>43410.0</v>
      </c>
      <c r="D4650" s="6" t="s">
        <v>5683</v>
      </c>
      <c r="E4650" s="4" t="s">
        <v>5684</v>
      </c>
      <c r="F4650" s="8" t="s">
        <v>5685</v>
      </c>
      <c r="G4650" s="4" t="s">
        <v>1596</v>
      </c>
      <c r="H4650" s="10" t="s">
        <v>1770</v>
      </c>
      <c r="I4650" s="10">
        <v>1.0</v>
      </c>
      <c r="J4650" s="11" t="str">
        <f>IF(D4650&lt;&gt;"",VLOOKUP(H4650,TABLEITEM,5,FALSE),"")</f>
        <v>EA</v>
      </c>
      <c r="K4650" s="12">
        <v>1170.0</v>
      </c>
      <c r="L4650" s="13" t="str">
        <f>IF(D4650&lt;&gt;"",VLOOKUP(H4650,TABLEITEM,2,FALSE),"")</f>
        <v/>
      </c>
      <c r="M4650" s="13" t="str">
        <f>IF(D4650&lt;&gt;"",VLOOKUP(H4650,TABLEITEM,3,FALSE),"")</f>
        <v>MCCB A1C125 3P 100A 25KA</v>
      </c>
      <c r="N4650" s="14">
        <f>INSTOCK!$I4650*INSTOCK!$K4650</f>
        <v>1170</v>
      </c>
      <c r="O4650" s="4"/>
      <c r="P4650" s="4"/>
    </row>
    <row r="4651" ht="15.75" hidden="1" customHeight="1">
      <c r="B4651" s="8">
        <v>4975.0</v>
      </c>
      <c r="C4651" s="9">
        <v>43410.0</v>
      </c>
      <c r="D4651" s="6" t="s">
        <v>5692</v>
      </c>
      <c r="E4651" s="4">
        <v>6.111001368E9</v>
      </c>
      <c r="F4651" s="8" t="s">
        <v>1716</v>
      </c>
      <c r="G4651" s="4" t="s">
        <v>1596</v>
      </c>
      <c r="H4651" s="10" t="s">
        <v>5693</v>
      </c>
      <c r="I4651" s="10">
        <v>1.0</v>
      </c>
      <c r="J4651" s="11" t="str">
        <f>IF(D4651&lt;&gt;"",VLOOKUP(H4651,TABLEITEM,5,FALSE),"")</f>
        <v>EA</v>
      </c>
      <c r="K4651" s="12">
        <v>8435.7</v>
      </c>
      <c r="L4651" s="13" t="str">
        <f>IF(D4651&lt;&gt;"",VLOOKUP(H4651,TABLEITEM,2,FALSE),"")</f>
        <v/>
      </c>
      <c r="M4651" s="13" t="str">
        <f>IF(D4651&lt;&gt;"",VLOOKUP(H4651,TABLEITEM,3,FALSE),"")</f>
        <v>T5N 630 LAI 3P 630A </v>
      </c>
      <c r="N4651" s="14">
        <f>INSTOCK!$I4651*INSTOCK!$K4651</f>
        <v>8435.7</v>
      </c>
      <c r="O4651" s="4" t="s">
        <v>5694</v>
      </c>
      <c r="P4651" s="4"/>
    </row>
    <row r="4652" ht="15.75" hidden="1" customHeight="1">
      <c r="B4652" s="8">
        <v>4976.0</v>
      </c>
      <c r="C4652" s="9">
        <v>43410.0</v>
      </c>
      <c r="D4652" s="6" t="s">
        <v>5695</v>
      </c>
      <c r="E4652" s="4">
        <v>6.111001368E9</v>
      </c>
      <c r="F4652" s="8" t="s">
        <v>1716</v>
      </c>
      <c r="G4652" s="4" t="s">
        <v>1596</v>
      </c>
      <c r="H4652" s="18" t="s">
        <v>3618</v>
      </c>
      <c r="I4652" s="10">
        <v>1.0</v>
      </c>
      <c r="J4652" s="11" t="str">
        <f>IF(D4652&lt;&gt;"",VLOOKUP(H4652,TABLEITEM,5,FALSE),"")</f>
        <v>EA</v>
      </c>
      <c r="K4652" s="12">
        <v>1216.8</v>
      </c>
      <c r="L4652" s="13" t="str">
        <f>IF(D4652&lt;&gt;"",VLOOKUP(H4652,TABLEITEM,2,FALSE),"")</f>
        <v/>
      </c>
      <c r="M4652" s="13" t="str">
        <f>IF(D4652&lt;&gt;"",VLOOKUP(H4652,TABLEITEM,3,FALSE),"")</f>
        <v>1W-T4-T6,A3 SHUN TRIP </v>
      </c>
      <c r="N4652" s="14">
        <f>INSTOCK!$I4652*INSTOCK!$K4652</f>
        <v>1216.8</v>
      </c>
      <c r="O4652" s="4"/>
      <c r="P4652" s="4"/>
    </row>
    <row r="4653" ht="15.75" hidden="1" customHeight="1">
      <c r="B4653" s="8">
        <v>4977.0</v>
      </c>
      <c r="C4653" s="9">
        <v>43410.0</v>
      </c>
      <c r="D4653" s="6" t="s">
        <v>5683</v>
      </c>
      <c r="E4653" s="4">
        <v>6.111001368E9</v>
      </c>
      <c r="F4653" s="8" t="s">
        <v>1716</v>
      </c>
      <c r="G4653" s="4" t="s">
        <v>1596</v>
      </c>
      <c r="H4653" s="10" t="s">
        <v>5640</v>
      </c>
      <c r="I4653" s="10">
        <v>2.0</v>
      </c>
      <c r="J4653" s="11" t="str">
        <f>IF(D4653&lt;&gt;"",VLOOKUP(H4653,TABLEITEM,5,FALSE),"")</f>
        <v>EA</v>
      </c>
      <c r="K4653" s="12">
        <v>2145.0</v>
      </c>
      <c r="L4653" s="13" t="str">
        <f>IF(D4653&lt;&gt;"",VLOOKUP(H4653,TABLEITEM,2,FALSE),"")</f>
        <v/>
      </c>
      <c r="M4653" s="13" t="str">
        <f>IF(D4653&lt;&gt;"",VLOOKUP(H4653,TABLEITEM,3,FALSE),"")</f>
        <v>MCCB A2C250 TMF 3P 250A</v>
      </c>
      <c r="N4653" s="14">
        <f>INSTOCK!$I4653*INSTOCK!$K4653</f>
        <v>4290</v>
      </c>
      <c r="O4653" s="4"/>
      <c r="P4653" s="4"/>
    </row>
    <row r="4654" ht="15.75" hidden="1" customHeight="1">
      <c r="B4654" s="8">
        <v>4978.0</v>
      </c>
      <c r="C4654" s="9">
        <v>43410.0</v>
      </c>
      <c r="D4654" s="6" t="s">
        <v>5696</v>
      </c>
      <c r="E4654" s="4">
        <v>6.111001368E9</v>
      </c>
      <c r="F4654" s="8" t="s">
        <v>1716</v>
      </c>
      <c r="G4654" s="4" t="s">
        <v>1596</v>
      </c>
      <c r="H4654" s="10" t="s">
        <v>1769</v>
      </c>
      <c r="I4654" s="10">
        <v>3.0</v>
      </c>
      <c r="J4654" s="11" t="str">
        <f>IF(D4654&lt;&gt;"",VLOOKUP(H4654,TABLEITEM,5,FALSE),"")</f>
        <v>EA</v>
      </c>
      <c r="K4654" s="12">
        <v>1170.0</v>
      </c>
      <c r="L4654" s="13" t="str">
        <f>IF(D4654&lt;&gt;"",VLOOKUP(H4654,TABLEITEM,2,FALSE),"")</f>
        <v/>
      </c>
      <c r="M4654" s="13" t="str">
        <f>IF(D4654&lt;&gt;"",VLOOKUP(H4654,TABLEITEM,3,FALSE),"")</f>
        <v>MCCB A1C125 3P 50A 25KA</v>
      </c>
      <c r="N4654" s="14">
        <f>INSTOCK!$I4654*INSTOCK!$K4654</f>
        <v>3510</v>
      </c>
      <c r="O4654" s="4"/>
      <c r="P4654" s="4"/>
    </row>
    <row r="4655" ht="15.75" hidden="1" customHeight="1">
      <c r="B4655" s="8">
        <v>4979.0</v>
      </c>
      <c r="C4655" s="9">
        <v>43410.0</v>
      </c>
      <c r="D4655" s="6" t="s">
        <v>5697</v>
      </c>
      <c r="E4655" s="4">
        <v>6.111001368E9</v>
      </c>
      <c r="F4655" s="8" t="s">
        <v>1716</v>
      </c>
      <c r="G4655" s="4" t="s">
        <v>1596</v>
      </c>
      <c r="H4655" s="10" t="s">
        <v>1768</v>
      </c>
      <c r="I4655" s="10">
        <v>2.0</v>
      </c>
      <c r="J4655" s="11" t="str">
        <f>IF(D4655&lt;&gt;"",VLOOKUP(H4655,TABLEITEM,5,FALSE),"")</f>
        <v>EA</v>
      </c>
      <c r="K4655" s="12">
        <v>1170.0</v>
      </c>
      <c r="L4655" s="13" t="str">
        <f>IF(D4655&lt;&gt;"",VLOOKUP(H4655,TABLEITEM,2,FALSE),"")</f>
        <v/>
      </c>
      <c r="M4655" s="13" t="str">
        <f>IF(D4655&lt;&gt;"",VLOOKUP(H4655,TABLEITEM,3,FALSE),"")</f>
        <v>MCCB A1C125 3P 30A 25KA</v>
      </c>
      <c r="N4655" s="14">
        <f>INSTOCK!$I4655*INSTOCK!$K4655</f>
        <v>2340</v>
      </c>
      <c r="O4655" s="4"/>
      <c r="P4655" s="4"/>
    </row>
    <row r="4656" ht="15.75" hidden="1" customHeight="1">
      <c r="B4656" s="8">
        <v>4980.0</v>
      </c>
      <c r="C4656" s="9">
        <v>43410.0</v>
      </c>
      <c r="D4656" s="6" t="s">
        <v>5698</v>
      </c>
      <c r="E4656" s="4">
        <v>6.111001368E9</v>
      </c>
      <c r="F4656" s="8" t="s">
        <v>1716</v>
      </c>
      <c r="G4656" s="4" t="s">
        <v>1596</v>
      </c>
      <c r="H4656" s="10" t="s">
        <v>4201</v>
      </c>
      <c r="I4656" s="10">
        <v>1.0</v>
      </c>
      <c r="J4656" s="11" t="str">
        <f>IF(D4656&lt;&gt;"",VLOOKUP(H4656,TABLEITEM,5,FALSE),"")</f>
        <v>EA</v>
      </c>
      <c r="K4656" s="12">
        <v>1950.0</v>
      </c>
      <c r="L4656" s="13" t="str">
        <f>IF(D4656&lt;&gt;"",VLOOKUP(H4656,TABLEITEM,2,FALSE),"")</f>
        <v/>
      </c>
      <c r="M4656" s="13" t="str">
        <f>IF(D4656&lt;&gt;"",VLOOKUP(H4656,TABLEITEM,3,FALSE),"")</f>
        <v>MCCB A2C125 TMF160 3P 25KA</v>
      </c>
      <c r="N4656" s="14">
        <f>INSTOCK!$I4656*INSTOCK!$K4656</f>
        <v>1950</v>
      </c>
      <c r="O4656" s="4" t="s">
        <v>5699</v>
      </c>
      <c r="P4656" s="4"/>
    </row>
    <row r="4657" ht="15.75" hidden="1" customHeight="1">
      <c r="B4657" s="8">
        <v>4981.0</v>
      </c>
      <c r="C4657" s="9">
        <v>43410.0</v>
      </c>
      <c r="D4657" s="6">
        <v>83479.0</v>
      </c>
      <c r="E4657" s="4">
        <v>6.111001341E9</v>
      </c>
      <c r="F4657" s="8" t="s">
        <v>604</v>
      </c>
      <c r="G4657" s="4" t="s">
        <v>2589</v>
      </c>
      <c r="H4657" s="10" t="s">
        <v>5700</v>
      </c>
      <c r="I4657" s="10">
        <v>3.0</v>
      </c>
      <c r="J4657" s="11" t="str">
        <f>IF(D4657&lt;&gt;"",VLOOKUP(H4657,TABLEITEM,5,FALSE),"")</f>
        <v>EA</v>
      </c>
      <c r="K4657" s="12">
        <v>500.0</v>
      </c>
      <c r="L4657" s="13" t="str">
        <f>IF(D4657&lt;&gt;"",VLOOKUP(H4657,TABLEITEM,2,FALSE),"")</f>
        <v/>
      </c>
      <c r="M4657" s="13" t="str">
        <f>IF(D4657&lt;&gt;"",VLOOKUP(H4657,TABLEITEM,3,FALSE),"")</f>
        <v>Stud holder M5(F01153)</v>
      </c>
      <c r="N4657" s="14">
        <f>INSTOCK!$I4657*INSTOCK!$K4657</f>
        <v>1500</v>
      </c>
      <c r="O4657" s="4"/>
      <c r="P4657" s="4"/>
    </row>
    <row r="4658" ht="15.75" hidden="1" customHeight="1">
      <c r="B4658" s="8">
        <v>4982.0</v>
      </c>
      <c r="C4658" s="9">
        <v>43410.0</v>
      </c>
      <c r="D4658" s="6" t="s">
        <v>5701</v>
      </c>
      <c r="E4658" s="4">
        <v>6.111001367E9</v>
      </c>
      <c r="F4658" s="8" t="s">
        <v>5702</v>
      </c>
      <c r="G4658" s="4" t="s">
        <v>1904</v>
      </c>
      <c r="H4658" s="10" t="s">
        <v>5308</v>
      </c>
      <c r="I4658" s="10">
        <v>1.0</v>
      </c>
      <c r="J4658" s="11" t="str">
        <f>IF(D4658&lt;&gt;"",VLOOKUP(H4658,TABLEITEM,5,FALSE),"")</f>
        <v>EA</v>
      </c>
      <c r="K4658" s="12">
        <v>1665.0</v>
      </c>
      <c r="L4658" s="13" t="str">
        <f>IF(D4658&lt;&gt;"",VLOOKUP(H4658,TABLEITEM,2,FALSE),"")</f>
        <v/>
      </c>
      <c r="M4658" s="13" t="str">
        <f>IF(D4658&lt;&gt;"",VLOOKUP(H4658,TABLEITEM,3,FALSE),"")</f>
        <v>Timer MIL72E D120 (tactic371.2 plus)</v>
      </c>
      <c r="N4658" s="14">
        <f>INSTOCK!$I4658*INSTOCK!$K4658</f>
        <v>1665</v>
      </c>
      <c r="O4658" s="4" t="s">
        <v>2195</v>
      </c>
      <c r="P4658" s="4"/>
    </row>
    <row r="4659" ht="15.75" hidden="1" customHeight="1">
      <c r="B4659" s="8">
        <v>4983.0</v>
      </c>
      <c r="C4659" s="9">
        <v>43410.0</v>
      </c>
      <c r="D4659" s="6" t="s">
        <v>5703</v>
      </c>
      <c r="E4659" s="4">
        <v>6.111001355E9</v>
      </c>
      <c r="F4659" s="8" t="s">
        <v>1383</v>
      </c>
      <c r="G4659" s="4" t="s">
        <v>2495</v>
      </c>
      <c r="H4659" s="18" t="s">
        <v>5404</v>
      </c>
      <c r="I4659" s="10">
        <v>3000.0</v>
      </c>
      <c r="J4659" s="11" t="str">
        <f>IF(D4659&lt;&gt;"",VLOOKUP(H4659,TABLEITEM,5,FALSE),"")</f>
        <v>EA</v>
      </c>
      <c r="K4659" s="12">
        <v>4.0</v>
      </c>
      <c r="L4659" s="13" t="str">
        <f>IF(D4659&lt;&gt;"",VLOOKUP(H4659,TABLEITEM,2,FALSE),"")</f>
        <v/>
      </c>
      <c r="M4659" s="13" t="str">
        <f>IF(D4659&lt;&gt;"",VLOOKUP(H4659,TABLEITEM,3,FALSE),"")</f>
        <v>สกรูเกลียวปล่อยไม้ SUS M6x25</v>
      </c>
      <c r="N4659" s="14">
        <f>INSTOCK!$I4659*INSTOCK!$K4659</f>
        <v>12000</v>
      </c>
      <c r="O4659" s="4" t="s">
        <v>5491</v>
      </c>
      <c r="P4659" s="4"/>
    </row>
    <row r="4660" ht="15.75" hidden="1" customHeight="1">
      <c r="B4660" s="8">
        <v>4984.0</v>
      </c>
      <c r="C4660" s="9">
        <v>43409.0</v>
      </c>
      <c r="D4660" s="6" t="s">
        <v>5704</v>
      </c>
      <c r="E4660" s="4">
        <v>6.111001357E9</v>
      </c>
      <c r="F4660" s="8" t="s">
        <v>5705</v>
      </c>
      <c r="G4660" s="4" t="s">
        <v>1596</v>
      </c>
      <c r="H4660" s="10" t="s">
        <v>5706</v>
      </c>
      <c r="I4660" s="10">
        <v>5.0</v>
      </c>
      <c r="J4660" s="11" t="str">
        <f>IF(D4660&lt;&gt;"",VLOOKUP(H4660,TABLEITEM,5,FALSE),"")</f>
        <v>EA</v>
      </c>
      <c r="K4660" s="12">
        <v>2106.0</v>
      </c>
      <c r="L4660" s="13" t="str">
        <f>IF(D4660&lt;&gt;"",VLOOKUP(H4660,TABLEITEM,2,FALSE),"")</f>
        <v/>
      </c>
      <c r="M4660" s="13" t="str">
        <f>IF(D4660&lt;&gt;"",VLOOKUP(H4660,TABLEITEM,3,FALSE),"")</f>
        <v>MCCB A2B250 TMF 3P 250A </v>
      </c>
      <c r="N4660" s="14">
        <f>INSTOCK!$I4660*INSTOCK!$K4660</f>
        <v>10530</v>
      </c>
      <c r="O4660" s="4" t="s">
        <v>5491</v>
      </c>
      <c r="P4660" s="4"/>
    </row>
    <row r="4661" ht="15.75" hidden="1" customHeight="1">
      <c r="B4661" s="8">
        <v>4985.0</v>
      </c>
      <c r="C4661" s="9">
        <v>43409.0</v>
      </c>
      <c r="D4661" s="6" t="s">
        <v>5704</v>
      </c>
      <c r="E4661" s="4">
        <v>6.111001357E9</v>
      </c>
      <c r="F4661" s="8" t="s">
        <v>5705</v>
      </c>
      <c r="G4661" s="4" t="s">
        <v>1596</v>
      </c>
      <c r="H4661" s="10" t="s">
        <v>5707</v>
      </c>
      <c r="I4661" s="10">
        <v>5.0</v>
      </c>
      <c r="J4661" s="11" t="str">
        <f>IF(D4661&lt;&gt;"",VLOOKUP(H4661,TABLEITEM,5,FALSE),"")</f>
        <v>EA</v>
      </c>
      <c r="K4661" s="12">
        <v>1131.0</v>
      </c>
      <c r="L4661" s="13" t="str">
        <f>IF(D4661&lt;&gt;"",VLOOKUP(H4661,TABLEITEM,2,FALSE),"")</f>
        <v/>
      </c>
      <c r="M4661" s="13" t="str">
        <f>IF(D4661&lt;&gt;"",VLOOKUP(H4661,TABLEITEM,3,FALSE),"")</f>
        <v>MCCB A2B125 TMF 3P 50A </v>
      </c>
      <c r="N4661" s="14">
        <f>INSTOCK!$I4661*INSTOCK!$K4661</f>
        <v>5655</v>
      </c>
      <c r="O4661" s="4" t="s">
        <v>5708</v>
      </c>
      <c r="P4661" s="4"/>
    </row>
    <row r="4662" ht="15.75" hidden="1" customHeight="1">
      <c r="B4662" s="8">
        <v>4986.0</v>
      </c>
      <c r="C4662" s="9">
        <v>43409.0</v>
      </c>
      <c r="D4662" s="6" t="s">
        <v>5704</v>
      </c>
      <c r="E4662" s="4">
        <v>6.111001357E9</v>
      </c>
      <c r="F4662" s="8" t="s">
        <v>5705</v>
      </c>
      <c r="G4662" s="4" t="s">
        <v>1596</v>
      </c>
      <c r="H4662" s="10" t="s">
        <v>5709</v>
      </c>
      <c r="I4662" s="10">
        <v>5.0</v>
      </c>
      <c r="J4662" s="11" t="str">
        <f>IF(D4662&lt;&gt;"",VLOOKUP(H4662,TABLEITEM,5,FALSE),"")</f>
        <v>EA</v>
      </c>
      <c r="K4662" s="12">
        <v>1131.0</v>
      </c>
      <c r="L4662" s="13" t="str">
        <f>IF(D4662&lt;&gt;"",VLOOKUP(H4662,TABLEITEM,2,FALSE),"")</f>
        <v/>
      </c>
      <c r="M4662" s="13" t="str">
        <f>IF(D4662&lt;&gt;"",VLOOKUP(H4662,TABLEITEM,3,FALSE),"")</f>
        <v>MCCB A2B125 TMF 3P 60A </v>
      </c>
      <c r="N4662" s="14">
        <f>INSTOCK!$I4662*INSTOCK!$K4662</f>
        <v>5655</v>
      </c>
      <c r="O4662" s="4" t="s">
        <v>5708</v>
      </c>
      <c r="P4662" s="4"/>
    </row>
    <row r="4663" ht="15.75" hidden="1" customHeight="1">
      <c r="B4663" s="8">
        <v>4987.0</v>
      </c>
      <c r="C4663" s="9">
        <v>43409.0</v>
      </c>
      <c r="D4663" s="6" t="s">
        <v>5704</v>
      </c>
      <c r="E4663" s="4">
        <v>6.111001357E9</v>
      </c>
      <c r="F4663" s="8" t="s">
        <v>5705</v>
      </c>
      <c r="G4663" s="4" t="s">
        <v>1596</v>
      </c>
      <c r="H4663" s="10" t="s">
        <v>5493</v>
      </c>
      <c r="I4663" s="10">
        <v>5.0</v>
      </c>
      <c r="J4663" s="11" t="str">
        <f>IF(D4663&lt;&gt;"",VLOOKUP(H4663,TABLEITEM,5,FALSE),"")</f>
        <v>EA</v>
      </c>
      <c r="K4663" s="12">
        <v>994.5</v>
      </c>
      <c r="L4663" s="13" t="str">
        <f>IF(D4663&lt;&gt;"",VLOOKUP(H4663,TABLEITEM,2,FALSE),"")</f>
        <v/>
      </c>
      <c r="M4663" s="13" t="str">
        <f>IF(D4663&lt;&gt;"",VLOOKUP(H4663,TABLEITEM,3,FALSE),"")</f>
        <v>MCCB A1N125 2P 50A</v>
      </c>
      <c r="N4663" s="14">
        <f>INSTOCK!$I4663*INSTOCK!$K4663</f>
        <v>4972.5</v>
      </c>
      <c r="O4663" s="4" t="s">
        <v>5494</v>
      </c>
      <c r="P4663" s="4"/>
    </row>
    <row r="4664" ht="15.75" hidden="1" customHeight="1">
      <c r="B4664" s="8">
        <v>4988.0</v>
      </c>
      <c r="C4664" s="9">
        <v>43409.0</v>
      </c>
      <c r="D4664" s="6" t="s">
        <v>5704</v>
      </c>
      <c r="E4664" s="4">
        <v>6.111001357E9</v>
      </c>
      <c r="F4664" s="8" t="s">
        <v>5705</v>
      </c>
      <c r="G4664" s="4" t="s">
        <v>1596</v>
      </c>
      <c r="H4664" s="10" t="s">
        <v>1979</v>
      </c>
      <c r="I4664" s="10">
        <v>10.0</v>
      </c>
      <c r="J4664" s="11" t="str">
        <f>IF(D4664&lt;&gt;"",VLOOKUP(H4664,TABLEITEM,5,FALSE),"")</f>
        <v>EA</v>
      </c>
      <c r="K4664" s="12">
        <v>994.5</v>
      </c>
      <c r="L4664" s="13" t="str">
        <f>IF(D4664&lt;&gt;"",VLOOKUP(H4664,TABLEITEM,2,FALSE),"")</f>
        <v/>
      </c>
      <c r="M4664" s="13" t="str">
        <f>IF(D4664&lt;&gt;"",VLOOKUP(H4664,TABLEITEM,3,FALSE),"")</f>
        <v>MCCB 2P 30AT/125AF 50KA</v>
      </c>
      <c r="N4664" s="14">
        <f>INSTOCK!$I4664*INSTOCK!$K4664</f>
        <v>9945</v>
      </c>
      <c r="O4664" s="4" t="s">
        <v>5494</v>
      </c>
      <c r="P4664" s="4"/>
    </row>
    <row r="4665" ht="15.75" hidden="1" customHeight="1">
      <c r="B4665" s="8">
        <v>4989.0</v>
      </c>
      <c r="C4665" s="9">
        <v>43409.0</v>
      </c>
      <c r="D4665" s="6" t="s">
        <v>5710</v>
      </c>
      <c r="E4665" s="4">
        <v>6.111001354E9</v>
      </c>
      <c r="F4665" s="8"/>
      <c r="G4665" s="4" t="s">
        <v>1516</v>
      </c>
      <c r="H4665" s="10" t="s">
        <v>1900</v>
      </c>
      <c r="I4665" s="10">
        <v>5.0</v>
      </c>
      <c r="J4665" s="11" t="str">
        <f>IF(D4665&lt;&gt;"",VLOOKUP(H4665,TABLEITEM,5,FALSE),"")</f>
        <v>EA</v>
      </c>
      <c r="K4665" s="12">
        <v>945.0</v>
      </c>
      <c r="L4665" s="13" t="str">
        <f>IF(D4665&lt;&gt;"",VLOOKUP(H4665,TABLEITEM,2,FALSE),"")</f>
        <v/>
      </c>
      <c r="M4665" s="13" t="str">
        <f>IF(D4665&lt;&gt;"",VLOOKUP(H4665,TABLEITEM,3,FALSE),"")</f>
        <v>Power plug ตัวเมียฝังกันน้ำ 3P+N+E 63A</v>
      </c>
      <c r="N4665" s="14">
        <f>INSTOCK!$I4665*INSTOCK!$K4665</f>
        <v>4725</v>
      </c>
      <c r="O4665" s="4" t="s">
        <v>1901</v>
      </c>
      <c r="P4665" s="4"/>
    </row>
    <row r="4666" ht="15.75" hidden="1" customHeight="1">
      <c r="B4666" s="8">
        <v>4990.0</v>
      </c>
      <c r="C4666" s="9">
        <v>43409.0</v>
      </c>
      <c r="D4666" s="6" t="s">
        <v>5710</v>
      </c>
      <c r="E4666" s="4">
        <v>6.111001354E9</v>
      </c>
      <c r="F4666" s="8"/>
      <c r="G4666" s="4" t="s">
        <v>1516</v>
      </c>
      <c r="H4666" s="10" t="s">
        <v>5711</v>
      </c>
      <c r="I4666" s="10">
        <v>5.0</v>
      </c>
      <c r="J4666" s="11" t="str">
        <f>IF(D4666&lt;&gt;"",VLOOKUP(H4666,TABLEITEM,5,FALSE),"")</f>
        <v>EA</v>
      </c>
      <c r="K4666" s="12">
        <v>258.75</v>
      </c>
      <c r="L4666" s="13" t="str">
        <f>IF(D4666&lt;&gt;"",VLOOKUP(H4666,TABLEITEM,2,FALSE),"")</f>
        <v/>
      </c>
      <c r="M4666" s="13" t="str">
        <f>IF(D4666&lt;&gt;"",VLOOKUP(H4666,TABLEITEM,3,FALSE),"")</f>
        <v>Power plug 3P 32A 230V IP 67</v>
      </c>
      <c r="N4666" s="14">
        <f>INSTOCK!$I4666*INSTOCK!$K4666</f>
        <v>1293.75</v>
      </c>
      <c r="O4666" s="4" t="s">
        <v>5712</v>
      </c>
      <c r="P4666" s="4"/>
    </row>
    <row r="4667" ht="15.75" hidden="1" customHeight="1">
      <c r="B4667" s="8">
        <v>4991.0</v>
      </c>
      <c r="C4667" s="9">
        <v>43409.0</v>
      </c>
      <c r="D4667" s="6" t="s">
        <v>5713</v>
      </c>
      <c r="E4667" s="4">
        <v>6.110001333E9</v>
      </c>
      <c r="F4667" s="8" t="s">
        <v>604</v>
      </c>
      <c r="G4667" s="4" t="s">
        <v>3099</v>
      </c>
      <c r="H4667" s="10" t="s">
        <v>5714</v>
      </c>
      <c r="I4667" s="10">
        <v>100.0</v>
      </c>
      <c r="J4667" s="11" t="str">
        <f>IF(D4667&lt;&gt;"",VLOOKUP(H4667,TABLEITEM,5,FALSE),"")</f>
        <v>EA</v>
      </c>
      <c r="K4667" s="12">
        <v>8.6</v>
      </c>
      <c r="L4667" s="13" t="str">
        <f>IF(D4667&lt;&gt;"",VLOOKUP(H4667,TABLEITEM,2,FALSE),"")</f>
        <v/>
      </c>
      <c r="M4667" s="13" t="str">
        <f>IF(D4667&lt;&gt;"",VLOOKUP(H4667,TABLEITEM,3,FALSE),"")</f>
        <v>สลักบานประตู 1400 mm.</v>
      </c>
      <c r="N4667" s="14">
        <f>INSTOCK!$I4667*INSTOCK!$K4667</f>
        <v>860</v>
      </c>
      <c r="O4667" s="4"/>
      <c r="P4667" s="4"/>
    </row>
    <row r="4668" ht="15.75" hidden="1" customHeight="1">
      <c r="B4668" s="8">
        <v>4992.0</v>
      </c>
      <c r="C4668" s="9">
        <v>43409.0</v>
      </c>
      <c r="D4668" s="6" t="s">
        <v>5713</v>
      </c>
      <c r="E4668" s="4">
        <v>6.110001333E9</v>
      </c>
      <c r="F4668" s="8" t="s">
        <v>604</v>
      </c>
      <c r="G4668" s="4" t="s">
        <v>3099</v>
      </c>
      <c r="H4668" s="10" t="s">
        <v>4853</v>
      </c>
      <c r="I4668" s="10">
        <v>50.0</v>
      </c>
      <c r="J4668" s="11" t="str">
        <f>IF(D4668&lt;&gt;"",VLOOKUP(H4668,TABLEITEM,5,FALSE),"")</f>
        <v>EA</v>
      </c>
      <c r="K4668" s="12">
        <v>8.6</v>
      </c>
      <c r="L4668" s="13" t="str">
        <f>IF(D4668&lt;&gt;"",VLOOKUP(H4668,TABLEITEM,2,FALSE),"")</f>
        <v/>
      </c>
      <c r="M4668" s="13" t="str">
        <f>IF(D4668&lt;&gt;"",VLOOKUP(H4668,TABLEITEM,3,FALSE),"")</f>
        <v>สลักบานประตู 1200 mm.</v>
      </c>
      <c r="N4668" s="14">
        <f>INSTOCK!$I4668*INSTOCK!$K4668</f>
        <v>430</v>
      </c>
      <c r="O4668" s="4"/>
      <c r="P4668" s="4"/>
    </row>
    <row r="4669" ht="15.75" hidden="1" customHeight="1">
      <c r="B4669" s="8">
        <v>4993.0</v>
      </c>
      <c r="C4669" s="9">
        <v>43409.0</v>
      </c>
      <c r="D4669" s="6" t="s">
        <v>5713</v>
      </c>
      <c r="E4669" s="4">
        <v>6.110001333E9</v>
      </c>
      <c r="F4669" s="8" t="s">
        <v>604</v>
      </c>
      <c r="G4669" s="4" t="s">
        <v>3099</v>
      </c>
      <c r="H4669" s="10" t="s">
        <v>5715</v>
      </c>
      <c r="I4669" s="10">
        <v>129.0</v>
      </c>
      <c r="J4669" s="11" t="str">
        <f>IF(D4669&lt;&gt;"",VLOOKUP(H4669,TABLEITEM,5,FALSE),"")</f>
        <v>EA</v>
      </c>
      <c r="K4669" s="12">
        <v>8.6</v>
      </c>
      <c r="L4669" s="13" t="str">
        <f>IF(D4669&lt;&gt;"",VLOOKUP(H4669,TABLEITEM,2,FALSE),"")</f>
        <v/>
      </c>
      <c r="M4669" s="13" t="str">
        <f>IF(D4669&lt;&gt;"",VLOOKUP(H4669,TABLEITEM,3,FALSE),"")</f>
        <v>สลักบานประตู 307 mm.</v>
      </c>
      <c r="N4669" s="14">
        <f>INSTOCK!$I4669*INSTOCK!$K4669</f>
        <v>1109.4</v>
      </c>
      <c r="O4669" s="4"/>
      <c r="P4669" s="4"/>
    </row>
    <row r="4670" ht="15.75" hidden="1" customHeight="1">
      <c r="B4670" s="8">
        <v>4994.0</v>
      </c>
      <c r="C4670" s="9">
        <v>43409.0</v>
      </c>
      <c r="D4670" s="6" t="s">
        <v>5716</v>
      </c>
      <c r="E4670" s="4">
        <v>6.111001351E9</v>
      </c>
      <c r="F4670" s="8" t="s">
        <v>1383</v>
      </c>
      <c r="G4670" s="4" t="s">
        <v>1870</v>
      </c>
      <c r="H4670" s="10" t="s">
        <v>4107</v>
      </c>
      <c r="I4670" s="10">
        <v>3000.0</v>
      </c>
      <c r="J4670" s="11" t="str">
        <f>IF(D4670&lt;&gt;"",VLOOKUP(H4670,TABLEITEM,5,FALSE),"")</f>
        <v>EA</v>
      </c>
      <c r="K4670" s="12">
        <v>0.21</v>
      </c>
      <c r="L4670" s="13" t="str">
        <f>IF(D4670&lt;&gt;"",VLOOKUP(H4670,TABLEITEM,2,FALSE),"")</f>
        <v/>
      </c>
      <c r="M4670" s="13" t="str">
        <f>IF(D4670&lt;&gt;"",VLOOKUP(H4670,TABLEITEM,3,FALSE),"")</f>
        <v>แหวนสปริง สแตนเลส M6</v>
      </c>
      <c r="N4670" s="14">
        <f>INSTOCK!$I4670*INSTOCK!$K4670</f>
        <v>630</v>
      </c>
      <c r="O4670" s="4" t="s">
        <v>5717</v>
      </c>
      <c r="P4670" s="4"/>
    </row>
    <row r="4671" ht="15.75" hidden="1" customHeight="1">
      <c r="B4671" s="8">
        <v>4995.0</v>
      </c>
      <c r="C4671" s="9">
        <v>43409.0</v>
      </c>
      <c r="D4671" s="6" t="s">
        <v>5718</v>
      </c>
      <c r="E4671" s="4">
        <v>6.111001346E9</v>
      </c>
      <c r="F4671" s="8" t="s">
        <v>604</v>
      </c>
      <c r="G4671" s="4" t="s">
        <v>2456</v>
      </c>
      <c r="H4671" s="10" t="s">
        <v>211</v>
      </c>
      <c r="I4671" s="10">
        <v>50.0</v>
      </c>
      <c r="J4671" s="11" t="str">
        <f>IF(D4671&lt;&gt;"",VLOOKUP(H4671,TABLEITEM,5,FALSE),"")</f>
        <v>EA</v>
      </c>
      <c r="K4671" s="12">
        <v>117.0</v>
      </c>
      <c r="L4671" s="13" t="str">
        <f>IF(D4671&lt;&gt;"",VLOOKUP(H4671,TABLEITEM,2,FALSE),"")</f>
        <v/>
      </c>
      <c r="M4671" s="13" t="str">
        <f>IF(D4671&lt;&gt;"",VLOOKUP(H4671,TABLEITEM,3,FALSE),"")</f>
        <v>รางรีเลย์</v>
      </c>
      <c r="N4671" s="14">
        <f>INSTOCK!$I4671*INSTOCK!$K4671</f>
        <v>5850</v>
      </c>
      <c r="O4671" s="4"/>
      <c r="P4671" s="4"/>
    </row>
    <row r="4672" ht="15.75" hidden="1" customHeight="1">
      <c r="B4672" s="8">
        <v>4996.0</v>
      </c>
      <c r="C4672" s="9">
        <v>43409.0</v>
      </c>
      <c r="D4672" s="6">
        <v>9398.0</v>
      </c>
      <c r="E4672" s="4"/>
      <c r="F4672" s="8"/>
      <c r="G4672" s="4" t="s">
        <v>2528</v>
      </c>
      <c r="H4672" s="10" t="s">
        <v>2529</v>
      </c>
      <c r="I4672" s="10">
        <v>2870.0</v>
      </c>
      <c r="J4672" s="11" t="str">
        <f>IF(D4672&lt;&gt;"",VLOOKUP(H4672,TABLEITEM,5,FALSE),"")</f>
        <v>KG.</v>
      </c>
      <c r="K4672" s="12">
        <v>14.0</v>
      </c>
      <c r="L4672" s="13" t="str">
        <f>IF(D4672&lt;&gt;"",VLOOKUP(H4672,TABLEITEM,2,FALSE),"")</f>
        <v/>
      </c>
      <c r="M4672" s="13" t="str">
        <f>IF(D4672&lt;&gt;"",VLOOKUP(H4672,TABLEITEM,3,FALSE),"")</f>
        <v>งานชุบ HOT DIP</v>
      </c>
      <c r="N4672" s="14">
        <f>INSTOCK!$I4672*INSTOCK!$K4672</f>
        <v>40180</v>
      </c>
      <c r="O4672" s="4" t="s">
        <v>4490</v>
      </c>
      <c r="P4672" s="4"/>
    </row>
    <row r="4673" ht="15.75" hidden="1" customHeight="1">
      <c r="B4673" s="8">
        <v>4997.0</v>
      </c>
      <c r="C4673" s="9">
        <v>43409.0</v>
      </c>
      <c r="D4673" s="6">
        <v>9398.0</v>
      </c>
      <c r="E4673" s="4"/>
      <c r="F4673" s="8"/>
      <c r="G4673" s="4" t="s">
        <v>2528</v>
      </c>
      <c r="H4673" s="10" t="s">
        <v>2529</v>
      </c>
      <c r="I4673" s="10">
        <v>150.0</v>
      </c>
      <c r="J4673" s="11" t="str">
        <f>IF(D4673&lt;&gt;"",VLOOKUP(H4673,TABLEITEM,5,FALSE),"")</f>
        <v>KG.</v>
      </c>
      <c r="K4673" s="12">
        <v>16.0</v>
      </c>
      <c r="L4673" s="13" t="str">
        <f>IF(D4673&lt;&gt;"",VLOOKUP(H4673,TABLEITEM,2,FALSE),"")</f>
        <v/>
      </c>
      <c r="M4673" s="13" t="str">
        <f>IF(D4673&lt;&gt;"",VLOOKUP(H4673,TABLEITEM,3,FALSE),"")</f>
        <v>งานชุบ HOT DIP</v>
      </c>
      <c r="N4673" s="14">
        <f>INSTOCK!$I4673*INSTOCK!$K4673</f>
        <v>2400</v>
      </c>
      <c r="O4673" s="4" t="s">
        <v>5719</v>
      </c>
      <c r="P4673" s="4"/>
    </row>
    <row r="4674" ht="15.75" hidden="1" customHeight="1">
      <c r="B4674" s="8">
        <v>4998.0</v>
      </c>
      <c r="C4674" s="9">
        <v>43407.0</v>
      </c>
      <c r="D4674" s="6" t="s">
        <v>5720</v>
      </c>
      <c r="E4674" s="4">
        <v>6.110001285E9</v>
      </c>
      <c r="F4674" s="8" t="s">
        <v>604</v>
      </c>
      <c r="G4674" s="4" t="s">
        <v>3099</v>
      </c>
      <c r="H4674" s="10" t="s">
        <v>2302</v>
      </c>
      <c r="I4674" s="10">
        <v>5000.0</v>
      </c>
      <c r="J4674" s="11" t="str">
        <f>IF(D4674&lt;&gt;"",VLOOKUP(H4674,TABLEITEM,5,FALSE),"")</f>
        <v>EA</v>
      </c>
      <c r="K4674" s="12">
        <v>2.19</v>
      </c>
      <c r="L4674" s="13" t="str">
        <f>IF(D4674&lt;&gt;"",VLOOKUP(H4674,TABLEITEM,2,FALSE),"")</f>
        <v/>
      </c>
      <c r="M4674" s="13" t="str">
        <f>IF(D4674&lt;&gt;"",VLOOKUP(H4674,TABLEITEM,3,FALSE),"")</f>
        <v>ไส้กลางบานพับชุบขาว</v>
      </c>
      <c r="N4674" s="14">
        <f>INSTOCK!$I4674*INSTOCK!$K4674</f>
        <v>10950</v>
      </c>
      <c r="O4674" s="4"/>
      <c r="P4674" s="4"/>
    </row>
    <row r="4675" ht="15.75" hidden="1" customHeight="1">
      <c r="B4675" s="8">
        <v>4999.0</v>
      </c>
      <c r="C4675" s="9">
        <v>43407.0</v>
      </c>
      <c r="D4675" s="6" t="s">
        <v>5721</v>
      </c>
      <c r="E4675" s="4">
        <v>6.111001347E9</v>
      </c>
      <c r="F4675" s="8" t="s">
        <v>604</v>
      </c>
      <c r="G4675" s="4" t="s">
        <v>725</v>
      </c>
      <c r="H4675" s="10" t="s">
        <v>726</v>
      </c>
      <c r="I4675" s="10">
        <v>500.0</v>
      </c>
      <c r="J4675" s="11" t="str">
        <f>IF(D4675&lt;&gt;"",VLOOKUP(H4675,TABLEITEM,5,FALSE),"")</f>
        <v>M</v>
      </c>
      <c r="K4675" s="12">
        <v>10.0</v>
      </c>
      <c r="L4675" s="13" t="str">
        <f>IF(D4675&lt;&gt;"",VLOOKUP(H4675,TABLEITEM,2,FALSE),"")</f>
        <v/>
      </c>
      <c r="M4675" s="13" t="str">
        <f>IF(D4675&lt;&gt;"",VLOOKUP(H4675,TABLEITEM,3,FALSE),"")</f>
        <v>ยางกันบาดร่อง 10มิล</v>
      </c>
      <c r="N4675" s="14">
        <f>INSTOCK!$I4675*INSTOCK!$K4675</f>
        <v>5000</v>
      </c>
      <c r="O4675" s="4"/>
      <c r="P4675" s="4"/>
    </row>
    <row r="4676" ht="15.75" hidden="1" customHeight="1">
      <c r="B4676" s="8">
        <v>5000.0</v>
      </c>
      <c r="C4676" s="9">
        <v>43407.0</v>
      </c>
      <c r="D4676" s="6" t="s">
        <v>5722</v>
      </c>
      <c r="E4676" s="4">
        <v>6.111001351E9</v>
      </c>
      <c r="F4676" s="8" t="s">
        <v>1383</v>
      </c>
      <c r="G4676" s="4" t="s">
        <v>1870</v>
      </c>
      <c r="H4676" s="10" t="s">
        <v>4744</v>
      </c>
      <c r="I4676" s="10">
        <v>6000.0</v>
      </c>
      <c r="J4676" s="11" t="str">
        <f>IF(D4676&lt;&gt;"",VLOOKUP(H4676,TABLEITEM,5,FALSE),"")</f>
        <v>EA</v>
      </c>
      <c r="K4676" s="12">
        <v>0.175</v>
      </c>
      <c r="L4676" s="13" t="str">
        <f>IF(D4676&lt;&gt;"",VLOOKUP(H4676,TABLEITEM,2,FALSE),"")</f>
        <v/>
      </c>
      <c r="M4676" s="13" t="str">
        <f>IF(D4676&lt;&gt;"",VLOOKUP(H4676,TABLEITEM,3,FALSE),"")</f>
        <v>แหวนอีแปะ สแตนเลส M6</v>
      </c>
      <c r="N4676" s="14">
        <f>INSTOCK!$I4676*INSTOCK!$K4676</f>
        <v>1050</v>
      </c>
      <c r="O4676" s="4" t="s">
        <v>4745</v>
      </c>
      <c r="P4676" s="4"/>
    </row>
    <row r="4677" ht="15.75" hidden="1" customHeight="1">
      <c r="B4677" s="8">
        <v>5001.0</v>
      </c>
      <c r="C4677" s="9">
        <v>43407.0</v>
      </c>
      <c r="D4677" s="6" t="s">
        <v>5723</v>
      </c>
      <c r="E4677" s="4">
        <v>6.111001348E9</v>
      </c>
      <c r="F4677" s="8" t="s">
        <v>604</v>
      </c>
      <c r="G4677" s="4" t="s">
        <v>1870</v>
      </c>
      <c r="H4677" s="10" t="s">
        <v>5724</v>
      </c>
      <c r="I4677" s="10">
        <v>2000.0</v>
      </c>
      <c r="J4677" s="11" t="str">
        <f>IF(D4677&lt;&gt;"",VLOOKUP(H4677,TABLEITEM,5,FALSE),"")</f>
        <v>EA</v>
      </c>
      <c r="K4677" s="12">
        <v>0.72</v>
      </c>
      <c r="L4677" s="13" t="str">
        <f>IF(D4677&lt;&gt;"",VLOOKUP(H4677,TABLEITEM,2,FALSE),"")</f>
        <v/>
      </c>
      <c r="M4677" s="13" t="str">
        <f>IF(D4677&lt;&gt;"",VLOOKUP(H4677,TABLEITEM,3,FALSE),"")</f>
        <v>สกรูสแตนเลสหัวร่ม M5x15</v>
      </c>
      <c r="N4677" s="14">
        <f>INSTOCK!$I4677*INSTOCK!$K4677</f>
        <v>1440</v>
      </c>
      <c r="O4677" s="4" t="s">
        <v>5725</v>
      </c>
      <c r="P4677" s="4"/>
    </row>
    <row r="4678" ht="15.75" hidden="1" customHeight="1">
      <c r="B4678" s="8">
        <v>5002.0</v>
      </c>
      <c r="C4678" s="9">
        <v>43407.0</v>
      </c>
      <c r="D4678" s="6">
        <v>6.11101332E8</v>
      </c>
      <c r="E4678" s="4">
        <v>6.111001353E9</v>
      </c>
      <c r="F4678" s="8"/>
      <c r="G4678" s="4" t="s">
        <v>1130</v>
      </c>
      <c r="H4678" s="10" t="s">
        <v>2183</v>
      </c>
      <c r="I4678" s="10">
        <v>5.0</v>
      </c>
      <c r="J4678" s="11" t="str">
        <f>IF(D4678&lt;&gt;"",VLOOKUP(H4678,TABLEITEM,5,FALSE),"")</f>
        <v>EA</v>
      </c>
      <c r="K4678" s="12">
        <v>257.6</v>
      </c>
      <c r="L4678" s="13" t="str">
        <f>IF(D4678&lt;&gt;"",VLOOKUP(H4678,TABLEITEM,2,FALSE),"")</f>
        <v/>
      </c>
      <c r="M4678" s="13" t="str">
        <f>IF(D4678&lt;&gt;"",VLOOKUP(H4678,TABLEITEM,3,FALSE),"")</f>
        <v>ฝาพลาสติกกันน้ำ WEG-7903</v>
      </c>
      <c r="N4678" s="14">
        <f>INSTOCK!$I4678*INSTOCK!$K4678</f>
        <v>1288</v>
      </c>
      <c r="O4678" s="4" t="s">
        <v>2184</v>
      </c>
      <c r="P4678" s="4"/>
    </row>
    <row r="4679" ht="15.75" hidden="1" customHeight="1">
      <c r="B4679" s="8">
        <v>5003.0</v>
      </c>
      <c r="C4679" s="9">
        <v>43407.0</v>
      </c>
      <c r="D4679" s="6">
        <v>6.11101332E8</v>
      </c>
      <c r="E4679" s="4">
        <v>6.111001353E9</v>
      </c>
      <c r="F4679" s="8"/>
      <c r="G4679" s="4" t="s">
        <v>1130</v>
      </c>
      <c r="H4679" s="10" t="s">
        <v>1739</v>
      </c>
      <c r="I4679" s="10">
        <v>5.0</v>
      </c>
      <c r="J4679" s="11" t="str">
        <f>IF(D4679&lt;&gt;"",VLOOKUP(H4679,TABLEITEM,5,FALSE),"")</f>
        <v>EA</v>
      </c>
      <c r="K4679" s="12">
        <v>119.232</v>
      </c>
      <c r="L4679" s="13" t="str">
        <f>IF(D4679&lt;&gt;"",VLOOKUP(H4679,TABLEITEM,2,FALSE),"")</f>
        <v/>
      </c>
      <c r="M4679" s="13" t="str">
        <f>IF(D4679&lt;&gt;"",VLOOKUP(H4679,TABLEITEM,3,FALSE),"")</f>
        <v>ปลั๊กคู่มีกราวWEG 15929 2P+G</v>
      </c>
      <c r="N4679" s="14">
        <f>INSTOCK!$I4679*INSTOCK!$K4679</f>
        <v>596.16</v>
      </c>
      <c r="O4679" s="4" t="s">
        <v>1740</v>
      </c>
      <c r="P4679" s="4"/>
    </row>
    <row r="4680" ht="15.75" hidden="1" customHeight="1">
      <c r="B4680" s="8">
        <v>5004.0</v>
      </c>
      <c r="C4680" s="9">
        <v>43406.0</v>
      </c>
      <c r="D4680" s="6" t="s">
        <v>5726</v>
      </c>
      <c r="E4680" s="4">
        <v>6.111001342E9</v>
      </c>
      <c r="F4680" s="8" t="s">
        <v>604</v>
      </c>
      <c r="G4680" s="4" t="s">
        <v>1446</v>
      </c>
      <c r="H4680" s="10" t="s">
        <v>1542</v>
      </c>
      <c r="I4680" s="10">
        <v>6.0</v>
      </c>
      <c r="J4680" s="11" t="str">
        <f>IF(D4680&lt;&gt;"",VLOOKUP(H4680,TABLEITEM,5,FALSE),"")</f>
        <v>EA</v>
      </c>
      <c r="K4680" s="12">
        <v>235.0</v>
      </c>
      <c r="L4680" s="13" t="str">
        <f>IF(D4680&lt;&gt;"",VLOOKUP(H4680,TABLEITEM,2,FALSE),"")</f>
        <v/>
      </c>
      <c r="M4680" s="13" t="str">
        <f>IF(D4680&lt;&gt;"",VLOOKUP(H4680,TABLEITEM,3,FALSE),"")</f>
        <v>หลอดแสงจันทร์ HPL-N400W</v>
      </c>
      <c r="N4680" s="14">
        <f>INSTOCK!$I4680*INSTOCK!$K4680</f>
        <v>1410</v>
      </c>
      <c r="O4680" s="4"/>
      <c r="P4680" s="4"/>
    </row>
    <row r="4681" ht="15.75" hidden="1" customHeight="1">
      <c r="B4681" s="8">
        <v>5005.0</v>
      </c>
      <c r="C4681" s="9">
        <v>43406.0</v>
      </c>
      <c r="D4681" s="6" t="s">
        <v>5727</v>
      </c>
      <c r="E4681" s="4"/>
      <c r="F4681" s="8" t="s">
        <v>5728</v>
      </c>
      <c r="G4681" s="4" t="s">
        <v>3327</v>
      </c>
      <c r="H4681" s="10" t="s">
        <v>4560</v>
      </c>
      <c r="I4681" s="10">
        <v>5.0</v>
      </c>
      <c r="J4681" s="11" t="str">
        <f>IF(D4681&lt;&gt;"",VLOOKUP(H4681,TABLEITEM,5,FALSE),"")</f>
        <v>EA</v>
      </c>
      <c r="K4681" s="12">
        <v>18.69</v>
      </c>
      <c r="L4681" s="13" t="str">
        <f>IF(D4681&lt;&gt;"",VLOOKUP(H4681,TABLEITEM,2,FALSE),"")</f>
        <v/>
      </c>
      <c r="M4681" s="13" t="str">
        <f>IF(D4681&lt;&gt;"",VLOOKUP(H4681,TABLEITEM,3,FALSE),"")</f>
        <v>คาปาซิเตอร์ 1.5UF 400WV.AC</v>
      </c>
      <c r="N4681" s="14">
        <f>INSTOCK!$I4681*INSTOCK!$K4681</f>
        <v>93.45</v>
      </c>
      <c r="O4681" s="4"/>
      <c r="P4681" s="4"/>
    </row>
    <row r="4682" ht="15.75" hidden="1" customHeight="1">
      <c r="B4682" s="8">
        <v>5006.0</v>
      </c>
      <c r="C4682" s="9">
        <v>43406.0</v>
      </c>
      <c r="D4682" s="6" t="s">
        <v>5729</v>
      </c>
      <c r="E4682" s="4">
        <v>6.111001343E9</v>
      </c>
      <c r="F4682" s="8" t="s">
        <v>604</v>
      </c>
      <c r="G4682" s="4" t="s">
        <v>965</v>
      </c>
      <c r="H4682" s="10" t="s">
        <v>65</v>
      </c>
      <c r="I4682" s="10">
        <v>12.0</v>
      </c>
      <c r="J4682" s="11" t="str">
        <f>IF(D4682&lt;&gt;"",VLOOKUP(H4682,TABLEITEM,5,FALSE),"")</f>
        <v>กป.</v>
      </c>
      <c r="K4682" s="12">
        <v>41.6667</v>
      </c>
      <c r="L4682" s="13" t="str">
        <f>IF(D4682&lt;&gt;"",VLOOKUP(H4682,TABLEITEM,2,FALSE),"")</f>
        <v/>
      </c>
      <c r="M4682" s="13" t="str">
        <f>IF(D4682&lt;&gt;"",VLOOKUP(H4682,TABLEITEM,3,FALSE),"")</f>
        <v>สีสเปรย์ สีเขียว</v>
      </c>
      <c r="N4682" s="14">
        <f>INSTOCK!$I4682*INSTOCK!$K4682</f>
        <v>500.0004</v>
      </c>
      <c r="O4682" s="4"/>
      <c r="P4682" s="4"/>
    </row>
    <row r="4683" ht="15.75" hidden="1" customHeight="1">
      <c r="B4683" s="8">
        <v>5007.0</v>
      </c>
      <c r="C4683" s="9">
        <v>43406.0</v>
      </c>
      <c r="D4683" s="6" t="s">
        <v>5729</v>
      </c>
      <c r="E4683" s="4">
        <v>6.111001343E9</v>
      </c>
      <c r="F4683" s="8" t="s">
        <v>604</v>
      </c>
      <c r="G4683" s="4" t="s">
        <v>965</v>
      </c>
      <c r="H4683" s="10" t="s">
        <v>45</v>
      </c>
      <c r="I4683" s="10">
        <v>1.0</v>
      </c>
      <c r="J4683" s="11" t="str">
        <f>IF(D4683&lt;&gt;"",VLOOKUP(H4683,TABLEITEM,5,FALSE),"")</f>
        <v>กล</v>
      </c>
      <c r="K4683" s="12">
        <v>280.0</v>
      </c>
      <c r="L4683" s="13" t="str">
        <f>IF(D4683&lt;&gt;"",VLOOKUP(H4683,TABLEITEM,2,FALSE),"")</f>
        <v/>
      </c>
      <c r="M4683" s="13" t="str">
        <f>IF(D4683&lt;&gt;"",VLOOKUP(H4683,TABLEITEM,3,FALSE),"")</f>
        <v>สีโป้ว</v>
      </c>
      <c r="N4683" s="14">
        <f>INSTOCK!$I4683*INSTOCK!$K4683</f>
        <v>280</v>
      </c>
      <c r="O4683" s="4"/>
      <c r="P4683" s="4"/>
    </row>
    <row r="4684" ht="15.75" hidden="1" customHeight="1">
      <c r="B4684" s="8">
        <v>5008.0</v>
      </c>
      <c r="C4684" s="9">
        <v>43406.0</v>
      </c>
      <c r="D4684" s="6">
        <v>6.11100901E8</v>
      </c>
      <c r="E4684" s="4">
        <v>6.108001013E9</v>
      </c>
      <c r="F4684" s="8"/>
      <c r="G4684" s="4" t="s">
        <v>1130</v>
      </c>
      <c r="H4684" s="10" t="s">
        <v>5730</v>
      </c>
      <c r="I4684" s="10">
        <v>4.0</v>
      </c>
      <c r="J4684" s="11" t="str">
        <f>IF(D4684&lt;&gt;"",VLOOKUP(H4684,TABLEITEM,5,FALSE),"")</f>
        <v>EA</v>
      </c>
      <c r="K4684" s="12">
        <v>1034.0</v>
      </c>
      <c r="L4684" s="13" t="str">
        <f>IF(D4684&lt;&gt;"",VLOOKUP(H4684,TABLEITEM,2,FALSE),"")</f>
        <v/>
      </c>
      <c r="M4684" s="13" t="str">
        <f>IF(D4684&lt;&gt;"",VLOOKUP(H4684,TABLEITEM,3,FALSE),"")</f>
        <v>MCCB NF63 HV 3P 32A</v>
      </c>
      <c r="N4684" s="14">
        <f>INSTOCK!$I4684*INSTOCK!$K4684</f>
        <v>4136</v>
      </c>
      <c r="O4684" s="4" t="s">
        <v>5731</v>
      </c>
      <c r="P4684" s="4"/>
    </row>
    <row r="4685" ht="15.75" hidden="1" customHeight="1">
      <c r="B4685" s="8">
        <v>5009.0</v>
      </c>
      <c r="C4685" s="9">
        <v>43406.0</v>
      </c>
      <c r="D4685" s="6">
        <v>6.11100901E8</v>
      </c>
      <c r="E4685" s="4">
        <v>6.108001013E9</v>
      </c>
      <c r="F4685" s="8"/>
      <c r="G4685" s="4" t="s">
        <v>1130</v>
      </c>
      <c r="H4685" s="10" t="s">
        <v>5732</v>
      </c>
      <c r="I4685" s="10">
        <v>16.0</v>
      </c>
      <c r="J4685" s="11" t="str">
        <f>IF(D4685&lt;&gt;"",VLOOKUP(H4685,TABLEITEM,5,FALSE),"")</f>
        <v>EA</v>
      </c>
      <c r="K4685" s="12">
        <v>2013.0</v>
      </c>
      <c r="L4685" s="13" t="str">
        <f>IF(D4685&lt;&gt;"",VLOOKUP(H4685,TABLEITEM,2,FALSE),"")</f>
        <v/>
      </c>
      <c r="M4685" s="13" t="str">
        <f>IF(D4685&lt;&gt;"",VLOOKUP(H4685,TABLEITEM,3,FALSE),"")</f>
        <v>MCCB NV63 CCV 2P 15A</v>
      </c>
      <c r="N4685" s="14">
        <f>INSTOCK!$I4685*INSTOCK!$K4685</f>
        <v>32208</v>
      </c>
      <c r="O4685" s="4" t="s">
        <v>5733</v>
      </c>
      <c r="P4685" s="4"/>
    </row>
    <row r="4686" ht="15.75" hidden="1" customHeight="1">
      <c r="B4686" s="8">
        <v>5010.0</v>
      </c>
      <c r="C4686" s="9">
        <v>43406.0</v>
      </c>
      <c r="D4686" s="6">
        <v>6.11100901E8</v>
      </c>
      <c r="E4686" s="4">
        <v>6.108001013E9</v>
      </c>
      <c r="F4686" s="8"/>
      <c r="G4686" s="4" t="s">
        <v>1130</v>
      </c>
      <c r="H4686" s="10" t="s">
        <v>1608</v>
      </c>
      <c r="I4686" s="10">
        <v>12.0</v>
      </c>
      <c r="J4686" s="11" t="str">
        <f>IF(D4686&lt;&gt;"",VLOOKUP(H4686,TABLEITEM,5,FALSE),"")</f>
        <v>EA</v>
      </c>
      <c r="K4686" s="12">
        <v>490.2</v>
      </c>
      <c r="L4686" s="13" t="str">
        <f>IF(D4686&lt;&gt;"",VLOOKUP(H4686,TABLEITEM,2,FALSE),"")</f>
        <v/>
      </c>
      <c r="M4686" s="13" t="str">
        <f>IF(D4686&lt;&gt;"",VLOOKUP(H4686,TABLEITEM,3,FALSE),"")</f>
        <v>CIRCUIT CP30-BA 1P 2A</v>
      </c>
      <c r="N4686" s="14">
        <f>INSTOCK!$I4686*INSTOCK!$K4686</f>
        <v>5882.4</v>
      </c>
      <c r="O4686" s="4" t="s">
        <v>1609</v>
      </c>
      <c r="P4686" s="4"/>
    </row>
    <row r="4687" ht="15.75" hidden="1" customHeight="1">
      <c r="B4687" s="8">
        <v>5011.0</v>
      </c>
      <c r="C4687" s="9">
        <v>43406.0</v>
      </c>
      <c r="D4687" s="6">
        <v>6.11100901E8</v>
      </c>
      <c r="E4687" s="4">
        <v>6.108001013E9</v>
      </c>
      <c r="F4687" s="8"/>
      <c r="G4687" s="4" t="s">
        <v>1130</v>
      </c>
      <c r="H4687" s="10" t="s">
        <v>5734</v>
      </c>
      <c r="I4687" s="10">
        <v>18.0</v>
      </c>
      <c r="J4687" s="11" t="str">
        <f>IF(D4687&lt;&gt;"",VLOOKUP(H4687,TABLEITEM,5,FALSE),"")</f>
        <v>EA</v>
      </c>
      <c r="K4687" s="12">
        <v>223.8272</v>
      </c>
      <c r="L4687" s="13" t="str">
        <f>IF(D4687&lt;&gt;"",VLOOKUP(H4687,TABLEITEM,2,FALSE),"")</f>
        <v/>
      </c>
      <c r="M4687" s="13" t="str">
        <f>IF(D4687&lt;&gt;"",VLOOKUP(H4687,TABLEITEM,3,FALSE),"")</f>
        <v>Power plug PCE 2P+E 16A</v>
      </c>
      <c r="N4687" s="14">
        <f>INSTOCK!$I4687*INSTOCK!$K4687</f>
        <v>4028.8896</v>
      </c>
      <c r="O4687" s="4" t="s">
        <v>4952</v>
      </c>
      <c r="P4687" s="4"/>
    </row>
    <row r="4688" ht="15.75" hidden="1" customHeight="1">
      <c r="B4688" s="8">
        <v>5012.0</v>
      </c>
      <c r="C4688" s="9">
        <v>43406.0</v>
      </c>
      <c r="D4688" s="6" t="s">
        <v>5735</v>
      </c>
      <c r="E4688" s="4">
        <v>6.111001339E9</v>
      </c>
      <c r="F4688" s="8" t="s">
        <v>1436</v>
      </c>
      <c r="G4688" s="4" t="s">
        <v>1485</v>
      </c>
      <c r="H4688" s="10" t="s">
        <v>2200</v>
      </c>
      <c r="I4688" s="10">
        <v>13.0</v>
      </c>
      <c r="J4688" s="11" t="str">
        <f>IF(D4688&lt;&gt;"",VLOOKUP(H4688,TABLEITEM,5,FALSE),"")</f>
        <v>EA</v>
      </c>
      <c r="K4688" s="12">
        <v>331.8</v>
      </c>
      <c r="L4688" s="13" t="str">
        <f>IF(D4688&lt;&gt;"",VLOOKUP(H4688,TABLEITEM,2,FALSE),"")</f>
        <v/>
      </c>
      <c r="M4688" s="13" t="str">
        <f>IF(D4688&lt;&gt;"",VLOOKUP(H4688,TABLEITEM,3,FALSE),"")</f>
        <v>GV2&amp;GV3 AUXILIARY GVAD1010</v>
      </c>
      <c r="N4688" s="14">
        <f>INSTOCK!$I4688*INSTOCK!$K4688</f>
        <v>4313.4</v>
      </c>
      <c r="O4688" s="4"/>
      <c r="P4688" s="4"/>
    </row>
    <row r="4689" ht="15.75" hidden="1" customHeight="1">
      <c r="B4689" s="8">
        <v>5013.0</v>
      </c>
      <c r="C4689" s="9">
        <v>43405.0</v>
      </c>
      <c r="D4689" s="6" t="s">
        <v>5736</v>
      </c>
      <c r="E4689" s="4">
        <v>6.110001326E9</v>
      </c>
      <c r="F4689" s="8" t="s">
        <v>604</v>
      </c>
      <c r="G4689" s="4" t="s">
        <v>1070</v>
      </c>
      <c r="H4689" s="10" t="s">
        <v>35</v>
      </c>
      <c r="I4689" s="10">
        <v>25.0</v>
      </c>
      <c r="J4689" s="11" t="str">
        <f>IF(D4689&lt;&gt;"",VLOOKUP(H4689,TABLEITEM,5,FALSE),"")</f>
        <v>EA</v>
      </c>
      <c r="K4689" s="12">
        <v>85.0</v>
      </c>
      <c r="L4689" s="13" t="str">
        <f>IF(D4689&lt;&gt;"",VLOOKUP(H4689,TABLEITEM,2,FALSE),"")</f>
        <v/>
      </c>
      <c r="M4689" s="13" t="str">
        <f>IF(D4689&lt;&gt;"",VLOOKUP(H4689,TABLEITEM,3,FALSE),"")</f>
        <v>ใบตัดไฟเบอร์ #16</v>
      </c>
      <c r="N4689" s="14">
        <f>INSTOCK!$I4689*INSTOCK!$K4689</f>
        <v>2125</v>
      </c>
      <c r="O4689" s="4"/>
      <c r="P4689" s="4"/>
    </row>
    <row r="4690" ht="15.75" hidden="1" customHeight="1">
      <c r="B4690" s="8">
        <v>5014.0</v>
      </c>
      <c r="C4690" s="9">
        <v>43405.0</v>
      </c>
      <c r="D4690" s="6" t="s">
        <v>5736</v>
      </c>
      <c r="E4690" s="4">
        <v>6.110001326E9</v>
      </c>
      <c r="F4690" s="8" t="s">
        <v>604</v>
      </c>
      <c r="G4690" s="4" t="s">
        <v>1070</v>
      </c>
      <c r="H4690" s="10" t="s">
        <v>22</v>
      </c>
      <c r="I4690" s="10">
        <v>200.0</v>
      </c>
      <c r="J4690" s="11" t="str">
        <f>IF(D4690&lt;&gt;"",VLOOKUP(H4690,TABLEITEM,5,FALSE),"")</f>
        <v>EA</v>
      </c>
      <c r="K4690" s="12">
        <v>38.0</v>
      </c>
      <c r="L4690" s="13" t="str">
        <f>IF(D4690&lt;&gt;"",VLOOKUP(H4690,TABLEITEM,2,FALSE),"")</f>
        <v/>
      </c>
      <c r="M4690" s="13" t="str">
        <f>IF(D4690&lt;&gt;"",VLOOKUP(H4690,TABLEITEM,3,FALSE),"")</f>
        <v>ใบขัดซ้อน # 80</v>
      </c>
      <c r="N4690" s="14">
        <f>INSTOCK!$I4690*INSTOCK!$K4690</f>
        <v>7600</v>
      </c>
      <c r="O4690" s="4"/>
      <c r="P4690" s="4"/>
    </row>
    <row r="4691" ht="15.75" hidden="1" customHeight="1">
      <c r="B4691" s="8">
        <v>5015.0</v>
      </c>
      <c r="C4691" s="9">
        <v>43405.0</v>
      </c>
      <c r="D4691" s="6" t="s">
        <v>5737</v>
      </c>
      <c r="E4691" s="4">
        <v>6.111001338E9</v>
      </c>
      <c r="F4691" s="8" t="s">
        <v>1436</v>
      </c>
      <c r="G4691" s="4" t="s">
        <v>692</v>
      </c>
      <c r="H4691" s="10" t="s">
        <v>1768</v>
      </c>
      <c r="I4691" s="10">
        <v>6.0</v>
      </c>
      <c r="J4691" s="11" t="str">
        <f>IF(D4691&lt;&gt;"",VLOOKUP(H4691,TABLEITEM,5,FALSE),"")</f>
        <v>EA</v>
      </c>
      <c r="K4691" s="12">
        <v>1200.0</v>
      </c>
      <c r="L4691" s="13" t="str">
        <f>IF(D4691&lt;&gt;"",VLOOKUP(H4691,TABLEITEM,2,FALSE),"")</f>
        <v/>
      </c>
      <c r="M4691" s="13" t="str">
        <f>IF(D4691&lt;&gt;"",VLOOKUP(H4691,TABLEITEM,3,FALSE),"")</f>
        <v>MCCB A1C125 3P 30A 25KA</v>
      </c>
      <c r="N4691" s="14">
        <f>INSTOCK!$I4691*INSTOCK!$K4691</f>
        <v>7200</v>
      </c>
      <c r="O4691" s="4" t="s">
        <v>3654</v>
      </c>
      <c r="P4691" s="4"/>
    </row>
    <row r="4692" ht="15.75" hidden="1" customHeight="1">
      <c r="B4692" s="8">
        <v>5016.0</v>
      </c>
      <c r="C4692" s="9">
        <v>43405.0</v>
      </c>
      <c r="D4692" s="6" t="s">
        <v>5737</v>
      </c>
      <c r="E4692" s="4">
        <v>6.111001338E9</v>
      </c>
      <c r="F4692" s="8" t="s">
        <v>1436</v>
      </c>
      <c r="G4692" s="4" t="s">
        <v>692</v>
      </c>
      <c r="H4692" s="10" t="s">
        <v>1717</v>
      </c>
      <c r="I4692" s="10">
        <v>1.0</v>
      </c>
      <c r="J4692" s="11" t="str">
        <f>IF(D4692&lt;&gt;"",VLOOKUP(H4692,TABLEITEM,5,FALSE),"")</f>
        <v>EA</v>
      </c>
      <c r="K4692" s="12">
        <v>1200.0</v>
      </c>
      <c r="L4692" s="13" t="str">
        <f>IF(D4692&lt;&gt;"",VLOOKUP(H4692,TABLEITEM,2,FALSE),"")</f>
        <v/>
      </c>
      <c r="M4692" s="13" t="str">
        <f>IF(D4692&lt;&gt;"",VLOOKUP(H4692,TABLEITEM,3,FALSE),"")</f>
        <v>MCCB A1C125 3P 60A 25KA</v>
      </c>
      <c r="N4692" s="14">
        <f>INSTOCK!$I4692*INSTOCK!$K4692</f>
        <v>1200</v>
      </c>
      <c r="O4692" s="4" t="s">
        <v>3654</v>
      </c>
      <c r="P4692" s="4"/>
    </row>
    <row r="4693" ht="15.75" hidden="1" customHeight="1">
      <c r="B4693" s="8">
        <v>5017.0</v>
      </c>
      <c r="C4693" s="9">
        <v>43405.0</v>
      </c>
      <c r="D4693" s="6">
        <v>6.11100698E8</v>
      </c>
      <c r="E4693" s="4">
        <v>6.110001337E9</v>
      </c>
      <c r="F4693" s="8"/>
      <c r="G4693" s="4" t="s">
        <v>1130</v>
      </c>
      <c r="H4693" s="10" t="s">
        <v>1554</v>
      </c>
      <c r="I4693" s="10">
        <v>10.0</v>
      </c>
      <c r="J4693" s="11" t="str">
        <f>IF(D4693&lt;&gt;"",VLOOKUP(H4693,TABLEITEM,5,FALSE),"")</f>
        <v>EA</v>
      </c>
      <c r="K4693" s="12">
        <v>106.0</v>
      </c>
      <c r="L4693" s="13" t="str">
        <f>IF(D4693&lt;&gt;"",VLOOKUP(H4693,TABLEITEM,2,FALSE),"")</f>
        <v/>
      </c>
      <c r="M4693" s="13" t="str">
        <f>IF(D4693&lt;&gt;"",VLOOKUP(H4693,TABLEITEM,3,FALSE),"")</f>
        <v>RELAY MY2N-GS 220/240VAC</v>
      </c>
      <c r="N4693" s="14">
        <f>INSTOCK!$I4693*INSTOCK!$K4693</f>
        <v>1060</v>
      </c>
      <c r="O4693" s="4"/>
      <c r="P4693" s="4"/>
    </row>
    <row r="4694" ht="15.75" hidden="1" customHeight="1">
      <c r="B4694" s="8">
        <v>5018.0</v>
      </c>
      <c r="C4694" s="9">
        <v>43405.0</v>
      </c>
      <c r="D4694" s="6" t="s">
        <v>5738</v>
      </c>
      <c r="E4694" s="4">
        <v>6.11000133E9</v>
      </c>
      <c r="F4694" s="8" t="s">
        <v>604</v>
      </c>
      <c r="G4694" s="4" t="s">
        <v>965</v>
      </c>
      <c r="H4694" s="10" t="s">
        <v>2616</v>
      </c>
      <c r="I4694" s="10">
        <v>10.0</v>
      </c>
      <c r="J4694" s="11" t="str">
        <f>IF(D4694&lt;&gt;"",VLOOKUP(H4694,TABLEITEM,5,FALSE),"")</f>
        <v>M</v>
      </c>
      <c r="K4694" s="12">
        <v>12.0</v>
      </c>
      <c r="L4694" s="13" t="str">
        <f>IF(D4694&lt;&gt;"",VLOOKUP(H4694,TABLEITEM,2,FALSE),"")</f>
        <v/>
      </c>
      <c r="M4694" s="13" t="str">
        <f>IF(D4694&lt;&gt;"",VLOOKUP(H4694,TABLEITEM,3,FALSE),"")</f>
        <v>สายยางน้ำ 5/8"</v>
      </c>
      <c r="N4694" s="14">
        <f>INSTOCK!$I4694*INSTOCK!$K4694</f>
        <v>120</v>
      </c>
      <c r="O4694" s="4"/>
      <c r="P4694" s="4"/>
    </row>
    <row r="4695" ht="15.75" hidden="1" customHeight="1">
      <c r="B4695" s="8">
        <v>5019.0</v>
      </c>
      <c r="C4695" s="9">
        <v>43405.0</v>
      </c>
      <c r="D4695" s="6" t="s">
        <v>5738</v>
      </c>
      <c r="E4695" s="4">
        <v>6.11000133E9</v>
      </c>
      <c r="F4695" s="8" t="s">
        <v>604</v>
      </c>
      <c r="G4695" s="4" t="s">
        <v>965</v>
      </c>
      <c r="H4695" s="10" t="s">
        <v>2135</v>
      </c>
      <c r="I4695" s="10">
        <v>10.0</v>
      </c>
      <c r="J4695" s="11" t="str">
        <f>IF(D4695&lt;&gt;"",VLOOKUP(H4695,TABLEITEM,5,FALSE),"")</f>
        <v>แผง</v>
      </c>
      <c r="K4695" s="12">
        <v>26.0</v>
      </c>
      <c r="L4695" s="13" t="str">
        <f>IF(D4695&lt;&gt;"",VLOOKUP(H4695,TABLEITEM,2,FALSE),"")</f>
        <v/>
      </c>
      <c r="M4695" s="13" t="str">
        <f>IF(D4695&lt;&gt;"",VLOOKUP(H4695,TABLEITEM,3,FALSE),"")</f>
        <v>ใบเลื่อยจิ๊กซอ BOSCH T118A</v>
      </c>
      <c r="N4695" s="14">
        <f>INSTOCK!$I4695*INSTOCK!$K4695</f>
        <v>260</v>
      </c>
      <c r="O4695" s="4"/>
      <c r="P4695" s="4"/>
    </row>
    <row r="4696" ht="15.75" hidden="1" customHeight="1">
      <c r="B4696" s="8">
        <v>5020.0</v>
      </c>
      <c r="C4696" s="9">
        <v>43405.0</v>
      </c>
      <c r="D4696" s="6" t="s">
        <v>5739</v>
      </c>
      <c r="E4696" s="4">
        <v>6.110001334E9</v>
      </c>
      <c r="F4696" s="8" t="s">
        <v>1436</v>
      </c>
      <c r="G4696" s="4" t="s">
        <v>1485</v>
      </c>
      <c r="H4696" s="10" t="s">
        <v>1558</v>
      </c>
      <c r="I4696" s="10">
        <v>10.0</v>
      </c>
      <c r="J4696" s="11" t="str">
        <f>IF(D4696&lt;&gt;"",VLOOKUP(H4696,TABLEITEM,5,FALSE),"")</f>
        <v>EA</v>
      </c>
      <c r="K4696" s="12">
        <v>378.0</v>
      </c>
      <c r="L4696" s="13" t="str">
        <f>IF(D4696&lt;&gt;"",VLOOKUP(H4696,TABLEITEM,2,FALSE),"")</f>
        <v/>
      </c>
      <c r="M4696" s="13" t="str">
        <f>IF(D4696&lt;&gt;"",VLOOKUP(H4696,TABLEITEM,3,FALSE),"")</f>
        <v>CONTACTOR LC1D09M7</v>
      </c>
      <c r="N4696" s="14">
        <f>INSTOCK!$I4696*INSTOCK!$K4696</f>
        <v>3780</v>
      </c>
      <c r="O4696" s="4"/>
      <c r="P4696" s="4"/>
    </row>
    <row r="4697" ht="15.75" hidden="1" customHeight="1">
      <c r="B4697" s="8">
        <v>5021.0</v>
      </c>
      <c r="C4697" s="9">
        <v>43405.0</v>
      </c>
      <c r="D4697" s="6" t="s">
        <v>5739</v>
      </c>
      <c r="E4697" s="4">
        <v>6.110001334E9</v>
      </c>
      <c r="F4697" s="8" t="s">
        <v>1436</v>
      </c>
      <c r="G4697" s="4" t="s">
        <v>1485</v>
      </c>
      <c r="H4697" s="10" t="s">
        <v>2004</v>
      </c>
      <c r="I4697" s="10">
        <v>30.0</v>
      </c>
      <c r="J4697" s="11" t="str">
        <f>IF(D4697&lt;&gt;"",VLOOKUP(H4697,TABLEITEM,5,FALSE),"")</f>
        <v>EA</v>
      </c>
      <c r="K4697" s="12">
        <v>84.0</v>
      </c>
      <c r="L4697" s="13" t="str">
        <f>IF(D4697&lt;&gt;"",VLOOKUP(H4697,TABLEITEM,2,FALSE),"")</f>
        <v/>
      </c>
      <c r="M4697" s="13" t="str">
        <f>IF(D4697&lt;&gt;"",VLOOKUP(H4697,TABLEITEM,3,FALSE),"")</f>
        <v>PILOT LIGHT LED 240V RED</v>
      </c>
      <c r="N4697" s="14">
        <f>INSTOCK!$I4697*INSTOCK!$K4697</f>
        <v>2520</v>
      </c>
      <c r="O4697" s="4"/>
      <c r="P4697" s="4"/>
    </row>
    <row r="4698" ht="15.75" hidden="1" customHeight="1">
      <c r="B4698" s="8">
        <v>5022.0</v>
      </c>
      <c r="C4698" s="9">
        <v>43405.0</v>
      </c>
      <c r="D4698" s="6">
        <v>4296.0</v>
      </c>
      <c r="E4698" s="4">
        <v>6.110001283E9</v>
      </c>
      <c r="F4698" s="8" t="s">
        <v>5740</v>
      </c>
      <c r="G4698" s="4" t="s">
        <v>1063</v>
      </c>
      <c r="H4698" s="10" t="s">
        <v>5741</v>
      </c>
      <c r="I4698" s="10">
        <v>4.0</v>
      </c>
      <c r="J4698" s="11" t="str">
        <f>IF(D4698&lt;&gt;"",VLOOKUP(H4698,TABLEITEM,5,FALSE),"")</f>
        <v>EA</v>
      </c>
      <c r="K4698" s="12">
        <v>7000.0</v>
      </c>
      <c r="L4698" s="13" t="str">
        <f>IF(D4698&lt;&gt;"",VLOOKUP(H4698,TABLEITEM,2,FALSE),"")</f>
        <v/>
      </c>
      <c r="M4698" s="13" t="str">
        <f>IF(D4698&lt;&gt;"",VLOOKUP(H4698,TABLEITEM,3,FALSE),"")</f>
        <v>Heavy duty latch slot 2x4 316 PN 1091-U142-01</v>
      </c>
      <c r="N4698" s="14">
        <f>INSTOCK!$I4698*INSTOCK!$K4698</f>
        <v>28000</v>
      </c>
      <c r="O4698" s="4"/>
      <c r="P4698" s="4"/>
    </row>
    <row r="4699" ht="15.75" hidden="1" customHeight="1">
      <c r="B4699" s="8">
        <v>5023.0</v>
      </c>
      <c r="C4699" s="9">
        <v>43405.0</v>
      </c>
      <c r="D4699" s="6" t="s">
        <v>5742</v>
      </c>
      <c r="E4699" s="4">
        <v>6.110001327E9</v>
      </c>
      <c r="F4699" s="8" t="s">
        <v>604</v>
      </c>
      <c r="G4699" s="4" t="s">
        <v>1274</v>
      </c>
      <c r="H4699" s="10" t="s">
        <v>21</v>
      </c>
      <c r="I4699" s="10">
        <v>400.0</v>
      </c>
      <c r="J4699" s="11" t="str">
        <f>IF(D4699&lt;&gt;"",VLOOKUP(H4699,TABLEITEM,5,FALSE),"")</f>
        <v>EA</v>
      </c>
      <c r="K4699" s="12">
        <v>45.0</v>
      </c>
      <c r="L4699" s="13" t="str">
        <f>IF(D4699&lt;&gt;"",VLOOKUP(H4699,TABLEITEM,2,FALSE),"")</f>
        <v/>
      </c>
      <c r="M4699" s="13" t="str">
        <f>IF(D4699&lt;&gt;"",VLOOKUP(H4699,TABLEITEM,3,FALSE),"")</f>
        <v>ใบหินเจียร์ 4'' </v>
      </c>
      <c r="N4699" s="14">
        <f>INSTOCK!$I4699*INSTOCK!$K4699</f>
        <v>18000</v>
      </c>
      <c r="O4699" s="4"/>
      <c r="P4699" s="4"/>
    </row>
    <row r="4700" ht="15.75" hidden="1" customHeight="1">
      <c r="B4700" s="8">
        <v>5024.0</v>
      </c>
      <c r="C4700" s="9">
        <v>43405.0</v>
      </c>
      <c r="D4700" s="6">
        <v>6.11100114E8</v>
      </c>
      <c r="E4700" s="4">
        <v>6.110001321E9</v>
      </c>
      <c r="F4700" s="8"/>
      <c r="G4700" s="4" t="s">
        <v>1130</v>
      </c>
      <c r="H4700" s="10" t="s">
        <v>5743</v>
      </c>
      <c r="I4700" s="10">
        <v>1.0</v>
      </c>
      <c r="J4700" s="11" t="str">
        <f>IF(D4700&lt;&gt;"",VLOOKUP(H4700,TABLEITEM,5,FALSE),"")</f>
        <v>EA</v>
      </c>
      <c r="K4700" s="12">
        <v>409.82</v>
      </c>
      <c r="L4700" s="13" t="str">
        <f>IF(D4700&lt;&gt;"",VLOOKUP(H4700,TABLEITEM,2,FALSE),"")</f>
        <v/>
      </c>
      <c r="M4700" s="13" t="str">
        <f>IF(D4700&lt;&gt;"",VLOOKUP(H4700,TABLEITEM,3,FALSE),"")</f>
        <v>ปลั๊กเสียบชาร์จไฟ AP-E1USB  USB 2 ช่อง</v>
      </c>
      <c r="N4700" s="14">
        <f>INSTOCK!$I4700*INSTOCK!$K4700</f>
        <v>409.82</v>
      </c>
      <c r="O4700" s="4" t="s">
        <v>5744</v>
      </c>
      <c r="P4700" s="4"/>
    </row>
    <row r="4701" ht="15.75" hidden="1" customHeight="1">
      <c r="B4701" s="8">
        <v>5025.0</v>
      </c>
      <c r="C4701" s="9">
        <v>43405.0</v>
      </c>
      <c r="D4701" s="6" t="s">
        <v>5745</v>
      </c>
      <c r="E4701" s="4">
        <v>6.110001332E9</v>
      </c>
      <c r="F4701" s="8" t="s">
        <v>604</v>
      </c>
      <c r="G4701" s="4" t="s">
        <v>1777</v>
      </c>
      <c r="H4701" s="10" t="s">
        <v>3385</v>
      </c>
      <c r="I4701" s="10">
        <v>2000.0</v>
      </c>
      <c r="J4701" s="11" t="str">
        <f>IF(D4701&lt;&gt;"",VLOOKUP(H4701,TABLEITEM,5,FALSE),"")</f>
        <v>EA</v>
      </c>
      <c r="K4701" s="12">
        <v>0.728</v>
      </c>
      <c r="L4701" s="13" t="str">
        <f>IF(D4701&lt;&gt;"",VLOOKUP(H4701,TABLEITEM,2,FALSE),"")</f>
        <v/>
      </c>
      <c r="M4701" s="13" t="str">
        <f>IF(D4701&lt;&gt;"",VLOOKUP(H4701,TABLEITEM,3,FALSE),"")</f>
        <v>สกรูหัวเหลี่ยม M8x15</v>
      </c>
      <c r="N4701" s="14">
        <f>INSTOCK!$I4701*INSTOCK!$K4701</f>
        <v>1456</v>
      </c>
      <c r="O4701" s="4" t="s">
        <v>3386</v>
      </c>
      <c r="P4701" s="4"/>
    </row>
    <row r="4702" ht="15.75" hidden="1" customHeight="1">
      <c r="B4702" s="8">
        <v>5026.0</v>
      </c>
      <c r="C4702" s="9">
        <v>43405.0</v>
      </c>
      <c r="D4702" s="6" t="s">
        <v>5745</v>
      </c>
      <c r="E4702" s="4">
        <v>6.110001332E9</v>
      </c>
      <c r="F4702" s="8" t="s">
        <v>604</v>
      </c>
      <c r="G4702" s="4" t="s">
        <v>1777</v>
      </c>
      <c r="H4702" s="10" t="s">
        <v>1859</v>
      </c>
      <c r="I4702" s="10">
        <v>2000.0</v>
      </c>
      <c r="J4702" s="11" t="str">
        <f>IF(D4702&lt;&gt;"",VLOOKUP(H4702,TABLEITEM,5,FALSE),"")</f>
        <v>EA</v>
      </c>
      <c r="K4702" s="12">
        <v>1.196</v>
      </c>
      <c r="L4702" s="13" t="str">
        <f>IF(D4702&lt;&gt;"",VLOOKUP(H4702,TABLEITEM,2,FALSE),"")</f>
        <v/>
      </c>
      <c r="M4702" s="13" t="str">
        <f>IF(D4702&lt;&gt;"",VLOOKUP(H4702,TABLEITEM,3,FALSE),"")</f>
        <v>สกรูหัวเหลี่ยมชุบขาว M8x25</v>
      </c>
      <c r="N4702" s="14">
        <f>INSTOCK!$I4702*INSTOCK!$K4702</f>
        <v>2392</v>
      </c>
      <c r="O4702" s="4" t="s">
        <v>2524</v>
      </c>
      <c r="P4702" s="4"/>
    </row>
    <row r="4703" ht="15.75" hidden="1" customHeight="1">
      <c r="B4703" s="8">
        <v>5027.0</v>
      </c>
      <c r="C4703" s="9">
        <v>43405.0</v>
      </c>
      <c r="D4703" s="6" t="s">
        <v>5746</v>
      </c>
      <c r="E4703" s="4">
        <v>6.10900111E9</v>
      </c>
      <c r="F4703" s="8" t="s">
        <v>604</v>
      </c>
      <c r="G4703" s="4" t="s">
        <v>1777</v>
      </c>
      <c r="H4703" s="10" t="s">
        <v>3997</v>
      </c>
      <c r="I4703" s="10">
        <v>10000.0</v>
      </c>
      <c r="J4703" s="11" t="str">
        <f>IF(D4703&lt;&gt;"",VLOOKUP(H4703,TABLEITEM,5,FALSE),"")</f>
        <v>EA</v>
      </c>
      <c r="K4703" s="12">
        <v>0.99</v>
      </c>
      <c r="L4703" s="13" t="str">
        <f>IF(D4703&lt;&gt;"",VLOOKUP(H4703,TABLEITEM,2,FALSE),"")</f>
        <v/>
      </c>
      <c r="M4703" s="13" t="str">
        <f>IF(D4703&lt;&gt;"",VLOOKUP(H4703,TABLEITEM,3,FALSE),"")</f>
        <v>สกรูหัวติดแหวน M 6x10</v>
      </c>
      <c r="N4703" s="14">
        <f>INSTOCK!$I4703*INSTOCK!$K4703</f>
        <v>9900</v>
      </c>
      <c r="O4703" s="4" t="s">
        <v>1857</v>
      </c>
      <c r="P4703" s="4"/>
    </row>
    <row r="4704" ht="15.75" hidden="1" customHeight="1">
      <c r="B4704" s="8">
        <v>5028.0</v>
      </c>
      <c r="C4704" s="9">
        <v>43405.0</v>
      </c>
      <c r="D4704" s="6">
        <v>6.1110007E8</v>
      </c>
      <c r="E4704" s="4">
        <v>6.110001321E9</v>
      </c>
      <c r="F4704" s="8"/>
      <c r="G4704" s="4" t="s">
        <v>1130</v>
      </c>
      <c r="H4704" s="10" t="s">
        <v>2546</v>
      </c>
      <c r="I4704" s="10">
        <v>7.0</v>
      </c>
      <c r="J4704" s="11" t="str">
        <f>IF(D4704&lt;&gt;"",VLOOKUP(H4704,TABLEITEM,5,FALSE),"")</f>
        <v>EA</v>
      </c>
      <c r="K4704" s="12">
        <v>980.0</v>
      </c>
      <c r="L4704" s="13" t="str">
        <f>IF(D4704&lt;&gt;"",VLOOKUP(H4704,TABLEITEM,2,FALSE),"")</f>
        <v/>
      </c>
      <c r="M4704" s="13" t="str">
        <f>IF(D4704&lt;&gt;"",VLOOKUP(H4704,TABLEITEM,3,FALSE),"")</f>
        <v>PATLITE RHB-230L-R 220V REVOLVING LIGHT</v>
      </c>
      <c r="N4704" s="14">
        <f>INSTOCK!$I4704*INSTOCK!$K4704</f>
        <v>6860</v>
      </c>
      <c r="O4704" s="4"/>
      <c r="P4704" s="4"/>
    </row>
    <row r="4705" ht="15.75" hidden="1" customHeight="1">
      <c r="B4705" s="8">
        <v>5029.0</v>
      </c>
      <c r="C4705" s="9">
        <v>43405.0</v>
      </c>
      <c r="D4705" s="6">
        <v>6.1110007E8</v>
      </c>
      <c r="E4705" s="4">
        <v>6.110001321E9</v>
      </c>
      <c r="F4705" s="8"/>
      <c r="G4705" s="4" t="s">
        <v>1130</v>
      </c>
      <c r="H4705" s="10" t="s">
        <v>2547</v>
      </c>
      <c r="I4705" s="10">
        <v>7.0</v>
      </c>
      <c r="J4705" s="11" t="str">
        <f>IF(D4705&lt;&gt;"",VLOOKUP(H4705,TABLEITEM,5,FALSE),"")</f>
        <v>EA</v>
      </c>
      <c r="K4705" s="12">
        <v>405.0</v>
      </c>
      <c r="L4705" s="13" t="str">
        <f>IF(D4705&lt;&gt;"",VLOOKUP(H4705,TABLEITEM,2,FALSE),"")</f>
        <v/>
      </c>
      <c r="M4705" s="13" t="str">
        <f>IF(D4705&lt;&gt;"",VLOOKUP(H4705,TABLEITEM,3,FALSE),"")</f>
        <v>ไซเรนเล็ก MS-190 220VAC</v>
      </c>
      <c r="N4705" s="14">
        <f>INSTOCK!$I4705*INSTOCK!$K4705</f>
        <v>2835</v>
      </c>
      <c r="O4705" s="4" t="s">
        <v>5747</v>
      </c>
      <c r="P4705" s="4"/>
    </row>
    <row r="4706" ht="15.75" hidden="1" customHeight="1">
      <c r="B4706" s="8">
        <v>5030.0</v>
      </c>
      <c r="C4706" s="9">
        <v>43405.0</v>
      </c>
      <c r="D4706" s="6">
        <v>6.1110007E8</v>
      </c>
      <c r="E4706" s="4">
        <v>6.110001321E9</v>
      </c>
      <c r="F4706" s="8"/>
      <c r="G4706" s="4" t="s">
        <v>1130</v>
      </c>
      <c r="H4706" s="10" t="s">
        <v>4870</v>
      </c>
      <c r="I4706" s="10">
        <v>1.0</v>
      </c>
      <c r="J4706" s="11" t="str">
        <f>IF(D4706&lt;&gt;"",VLOOKUP(H4706,TABLEITEM,5,FALSE),"")</f>
        <v>EA</v>
      </c>
      <c r="K4706" s="12">
        <v>2990.0</v>
      </c>
      <c r="L4706" s="13" t="str">
        <f>IF(D4706&lt;&gt;"",VLOOKUP(H4706,TABLEITEM,2,FALSE),"")</f>
        <v/>
      </c>
      <c r="M4706" s="13" t="str">
        <f>IF(D4706&lt;&gt;"",VLOOKUP(H4706,TABLEITEM,3,FALSE),"")</f>
        <v>เบรกกอร์ NF250-CV 3P 250A</v>
      </c>
      <c r="N4706" s="14">
        <f>INSTOCK!$I4706*INSTOCK!$K4706</f>
        <v>2990</v>
      </c>
      <c r="O4706" s="4" t="s">
        <v>5145</v>
      </c>
      <c r="P4706" s="4"/>
    </row>
    <row r="4707" ht="15.75" hidden="1" customHeight="1">
      <c r="B4707" s="8">
        <v>5031.0</v>
      </c>
      <c r="C4707" s="9">
        <v>43405.0</v>
      </c>
      <c r="D4707" s="6">
        <v>6.1110007E8</v>
      </c>
      <c r="E4707" s="4">
        <v>6.110001321E9</v>
      </c>
      <c r="F4707" s="8"/>
      <c r="G4707" s="4" t="s">
        <v>1130</v>
      </c>
      <c r="H4707" s="10" t="s">
        <v>5298</v>
      </c>
      <c r="I4707" s="10">
        <v>2.0</v>
      </c>
      <c r="J4707" s="11" t="str">
        <f>IF(D4707&lt;&gt;"",VLOOKUP(H4707,TABLEITEM,5,FALSE),"")</f>
        <v>EA</v>
      </c>
      <c r="K4707" s="12">
        <v>1518.0</v>
      </c>
      <c r="L4707" s="13" t="str">
        <f>IF(D4707&lt;&gt;"",VLOOKUP(H4707,TABLEITEM,2,FALSE),"")</f>
        <v/>
      </c>
      <c r="M4707" s="13" t="str">
        <f>IF(D4707&lt;&gt;"",VLOOKUP(H4707,TABLEITEM,3,FALSE),"")</f>
        <v>BREAKER NF125 CV 3P 125A</v>
      </c>
      <c r="N4707" s="14">
        <f>INSTOCK!$I4707*INSTOCK!$K4707</f>
        <v>3036</v>
      </c>
      <c r="O4707" s="4" t="s">
        <v>1605</v>
      </c>
      <c r="P4707" s="4"/>
    </row>
    <row r="4708" ht="15.75" hidden="1" customHeight="1">
      <c r="B4708" s="8">
        <v>5032.0</v>
      </c>
      <c r="C4708" s="9">
        <v>43405.0</v>
      </c>
      <c r="D4708" s="6">
        <v>6.1110007E8</v>
      </c>
      <c r="E4708" s="4">
        <v>6.110001321E9</v>
      </c>
      <c r="F4708" s="8"/>
      <c r="G4708" s="4" t="s">
        <v>1130</v>
      </c>
      <c r="H4708" s="10" t="s">
        <v>1608</v>
      </c>
      <c r="I4708" s="10">
        <v>3.0</v>
      </c>
      <c r="J4708" s="11" t="str">
        <f>IF(D4708&lt;&gt;"",VLOOKUP(H4708,TABLEITEM,5,FALSE),"")</f>
        <v>EA</v>
      </c>
      <c r="K4708" s="12">
        <v>490.2</v>
      </c>
      <c r="L4708" s="13" t="str">
        <f>IF(D4708&lt;&gt;"",VLOOKUP(H4708,TABLEITEM,2,FALSE),"")</f>
        <v/>
      </c>
      <c r="M4708" s="13" t="str">
        <f>IF(D4708&lt;&gt;"",VLOOKUP(H4708,TABLEITEM,3,FALSE),"")</f>
        <v>CIRCUIT CP30-BA 1P 2A</v>
      </c>
      <c r="N4708" s="14">
        <f>INSTOCK!$I4708*INSTOCK!$K4708</f>
        <v>1470.6</v>
      </c>
      <c r="O4708" s="4" t="s">
        <v>1609</v>
      </c>
      <c r="P4708" s="4"/>
    </row>
    <row r="4709" ht="15.75" hidden="1" customHeight="1">
      <c r="B4709" s="8">
        <v>5033.0</v>
      </c>
      <c r="C4709" s="9">
        <v>43392.0</v>
      </c>
      <c r="D4709" s="6" t="s">
        <v>5748</v>
      </c>
      <c r="E4709" s="4">
        <v>6.110001236E9</v>
      </c>
      <c r="F4709" s="8" t="s">
        <v>604</v>
      </c>
      <c r="G4709" s="4" t="s">
        <v>2121</v>
      </c>
      <c r="H4709" s="10" t="s">
        <v>5346</v>
      </c>
      <c r="I4709" s="10">
        <v>5000.0</v>
      </c>
      <c r="J4709" s="11" t="str">
        <f>IF(D4709&lt;&gt;"",VLOOKUP(H4709,TABLEITEM,5,FALSE),"")</f>
        <v>EA</v>
      </c>
      <c r="K4709" s="12">
        <v>0.37</v>
      </c>
      <c r="L4709" s="13" t="str">
        <f>IF(D4709&lt;&gt;"",VLOOKUP(H4709,TABLEITEM,2,FALSE),"")</f>
        <v/>
      </c>
      <c r="M4709" s="13" t="str">
        <f>IF(D4709&lt;&gt;"",VLOOKUP(H4709,TABLEITEM,3,FALSE),"")</f>
        <v>สกรูเกลียวปล่อยปลายตัด M4x10</v>
      </c>
      <c r="N4709" s="14">
        <f>INSTOCK!$I4709*INSTOCK!$K4709</f>
        <v>1850</v>
      </c>
      <c r="O4709" s="4"/>
      <c r="P4709" s="4"/>
    </row>
    <row r="4710" ht="15.75" hidden="1" customHeight="1">
      <c r="B4710" s="8">
        <v>5034.0</v>
      </c>
      <c r="C4710" s="9">
        <v>43392.0</v>
      </c>
      <c r="D4710" s="6" t="s">
        <v>5748</v>
      </c>
      <c r="E4710" s="4">
        <v>6.110001236E9</v>
      </c>
      <c r="F4710" s="8" t="s">
        <v>604</v>
      </c>
      <c r="G4710" s="4" t="s">
        <v>2121</v>
      </c>
      <c r="H4710" s="10" t="s">
        <v>5749</v>
      </c>
      <c r="I4710" s="10">
        <v>573.0</v>
      </c>
      <c r="J4710" s="11" t="str">
        <f>IF(D4710&lt;&gt;"",VLOOKUP(H4710,TABLEITEM,5,FALSE),"")</f>
        <v>EA</v>
      </c>
      <c r="K4710" s="12">
        <v>11.0</v>
      </c>
      <c r="L4710" s="13" t="str">
        <f>IF(D4710&lt;&gt;"",VLOOKUP(H4710,TABLEITEM,2,FALSE),"")</f>
        <v/>
      </c>
      <c r="M4710" s="13" t="str">
        <f>IF(D4710&lt;&gt;"",VLOOKUP(H4710,TABLEITEM,3,FALSE),"")</f>
        <v>สตัดเกลียว 2 ข้าง M8x140</v>
      </c>
      <c r="N4710" s="14">
        <f>INSTOCK!$I4710*INSTOCK!$K4710</f>
        <v>6303</v>
      </c>
      <c r="O4710" s="4"/>
      <c r="P4710" s="4"/>
    </row>
    <row r="4711" ht="15.75" hidden="1" customHeight="1">
      <c r="B4711" s="8">
        <v>5035.0</v>
      </c>
      <c r="C4711" s="9">
        <v>43462.0</v>
      </c>
      <c r="D4711" s="6" t="s">
        <v>5750</v>
      </c>
      <c r="E4711" s="4">
        <v>6.1120017E9</v>
      </c>
      <c r="F4711" s="8" t="s">
        <v>5751</v>
      </c>
      <c r="G4711" s="4" t="s">
        <v>3567</v>
      </c>
      <c r="H4711" s="10" t="s">
        <v>5752</v>
      </c>
      <c r="I4711" s="10">
        <v>4.0</v>
      </c>
      <c r="J4711" s="11" t="str">
        <f>IF(D4711&lt;&gt;"",VLOOKUP(H4711,TABLEITEM,5,FALSE),"")</f>
        <v>EA</v>
      </c>
      <c r="K4711" s="12">
        <v>2925.0</v>
      </c>
      <c r="L4711" s="13" t="str">
        <f>IF(D4711&lt;&gt;"",VLOOKUP(H4711,TABLEITEM,2,FALSE),"")</f>
        <v/>
      </c>
      <c r="M4711" s="13" t="str">
        <f>IF(D4711&lt;&gt;"",VLOOKUP(H4711,TABLEITEM,3,FALSE),"")</f>
        <v>CAPACITOR 20KVAR 525 VAC CXD</v>
      </c>
      <c r="N4711" s="14">
        <f>INSTOCK!$I4711*INSTOCK!$K4711</f>
        <v>11700</v>
      </c>
      <c r="O4711" s="4" t="s">
        <v>5753</v>
      </c>
      <c r="P4711" s="4"/>
    </row>
    <row r="4712" ht="15.75" hidden="1" customHeight="1">
      <c r="B4712" s="8">
        <v>5036.0</v>
      </c>
      <c r="C4712" s="9">
        <v>43461.0</v>
      </c>
      <c r="D4712" s="6" t="s">
        <v>5754</v>
      </c>
      <c r="E4712" s="4">
        <v>6.112001694E9</v>
      </c>
      <c r="F4712" s="8" t="s">
        <v>5755</v>
      </c>
      <c r="G4712" s="4" t="s">
        <v>965</v>
      </c>
      <c r="H4712" s="10" t="s">
        <v>5756</v>
      </c>
      <c r="I4712" s="10">
        <v>2.0</v>
      </c>
      <c r="J4712" s="11" t="str">
        <f>IF(D4712&lt;&gt;"",VLOOKUP(H4712,TABLEITEM,5,FALSE),"")</f>
        <v>EA</v>
      </c>
      <c r="K4712" s="12">
        <v>25.0</v>
      </c>
      <c r="L4712" s="13" t="str">
        <f>IF(D4712&lt;&gt;"",VLOOKUP(H4712,TABLEITEM,2,FALSE),"")</f>
        <v/>
      </c>
      <c r="M4712" s="13" t="str">
        <f>IF(D4712&lt;&gt;"",VLOOKUP(H4712,TABLEITEM,3,FALSE),"")</f>
        <v>ท่อขาว 16มิล</v>
      </c>
      <c r="N4712" s="14">
        <f>INSTOCK!$I4712*INSTOCK!$K4712</f>
        <v>50</v>
      </c>
      <c r="O4712" s="4"/>
      <c r="P4712" s="4"/>
    </row>
    <row r="4713" ht="15.75" hidden="1" customHeight="1">
      <c r="B4713" s="8">
        <v>5037.0</v>
      </c>
      <c r="C4713" s="9">
        <v>43461.0</v>
      </c>
      <c r="D4713" s="6" t="s">
        <v>5754</v>
      </c>
      <c r="E4713" s="4">
        <v>6.112001694E9</v>
      </c>
      <c r="F4713" s="8" t="s">
        <v>5755</v>
      </c>
      <c r="G4713" s="4" t="s">
        <v>965</v>
      </c>
      <c r="H4713" s="10" t="s">
        <v>5757</v>
      </c>
      <c r="I4713" s="10">
        <v>15.0</v>
      </c>
      <c r="J4713" s="11" t="str">
        <f>IF(D4713&lt;&gt;"",VLOOKUP(H4713,TABLEITEM,5,FALSE),"")</f>
        <v>EA</v>
      </c>
      <c r="K4713" s="12">
        <v>2.0</v>
      </c>
      <c r="L4713" s="13" t="str">
        <f>IF(D4713&lt;&gt;"",VLOOKUP(H4713,TABLEITEM,2,FALSE),"")</f>
        <v/>
      </c>
      <c r="M4713" s="13" t="str">
        <f>IF(D4713&lt;&gt;"",VLOOKUP(H4713,TABLEITEM,3,FALSE),"")</f>
        <v>ก้ามปู ขาว 16มิล </v>
      </c>
      <c r="N4713" s="14">
        <f>INSTOCK!$I4713*INSTOCK!$K4713</f>
        <v>30</v>
      </c>
      <c r="O4713" s="4"/>
      <c r="P4713" s="4"/>
    </row>
    <row r="4714" ht="15.75" hidden="1" customHeight="1">
      <c r="B4714" s="8">
        <v>5038.0</v>
      </c>
      <c r="C4714" s="9">
        <v>43461.0</v>
      </c>
      <c r="D4714" s="6" t="s">
        <v>5754</v>
      </c>
      <c r="E4714" s="4">
        <v>6.112001694E9</v>
      </c>
      <c r="F4714" s="8" t="s">
        <v>5755</v>
      </c>
      <c r="G4714" s="4" t="s">
        <v>965</v>
      </c>
      <c r="H4714" s="10" t="s">
        <v>5758</v>
      </c>
      <c r="I4714" s="10">
        <v>6.0</v>
      </c>
      <c r="J4714" s="11" t="str">
        <f>IF(D4714&lt;&gt;"",VLOOKUP(H4714,TABLEITEM,5,FALSE),"")</f>
        <v>EA</v>
      </c>
      <c r="K4714" s="12">
        <v>4.0</v>
      </c>
      <c r="L4714" s="13" t="str">
        <f>IF(D4714&lt;&gt;"",VLOOKUP(H4714,TABLEITEM,2,FALSE),"")</f>
        <v/>
      </c>
      <c r="M4714" s="13" t="str">
        <f>IF(D4714&lt;&gt;"",VLOOKUP(H4714,TABLEITEM,3,FALSE),"")</f>
        <v>ต่อเข้ากล่อง 16 มิล</v>
      </c>
      <c r="N4714" s="14">
        <f>INSTOCK!$I4714*INSTOCK!$K4714</f>
        <v>24</v>
      </c>
      <c r="O4714" s="4"/>
      <c r="P4714" s="4"/>
    </row>
    <row r="4715" ht="15.75" hidden="1" customHeight="1">
      <c r="B4715" s="8">
        <v>5039.0</v>
      </c>
      <c r="C4715" s="9">
        <v>43461.0</v>
      </c>
      <c r="D4715" s="6" t="s">
        <v>5754</v>
      </c>
      <c r="E4715" s="4">
        <v>6.112001694E9</v>
      </c>
      <c r="F4715" s="8" t="s">
        <v>5755</v>
      </c>
      <c r="G4715" s="4" t="s">
        <v>965</v>
      </c>
      <c r="H4715" s="10" t="s">
        <v>5759</v>
      </c>
      <c r="I4715" s="10">
        <v>3.0</v>
      </c>
      <c r="J4715" s="11" t="str">
        <f>IF(D4715&lt;&gt;"",VLOOKUP(H4715,TABLEITEM,5,FALSE),"")</f>
        <v>EA</v>
      </c>
      <c r="K4715" s="12">
        <v>3.0</v>
      </c>
      <c r="L4715" s="13" t="str">
        <f>IF(D4715&lt;&gt;"",VLOOKUP(H4715,TABLEITEM,2,FALSE),"")</f>
        <v/>
      </c>
      <c r="M4715" s="13" t="str">
        <f>IF(D4715&lt;&gt;"",VLOOKUP(H4715,TABLEITEM,3,FALSE),"")</f>
        <v>ต่อตรงขาว 16มิล</v>
      </c>
      <c r="N4715" s="14">
        <f>INSTOCK!$I4715*INSTOCK!$K4715</f>
        <v>9</v>
      </c>
      <c r="O4715" s="4"/>
      <c r="P4715" s="4"/>
    </row>
    <row r="4716" ht="15.75" hidden="1" customHeight="1">
      <c r="B4716" s="8">
        <v>5040.0</v>
      </c>
      <c r="C4716" s="9">
        <v>43460.0</v>
      </c>
      <c r="D4716" s="6" t="s">
        <v>5760</v>
      </c>
      <c r="E4716" s="4">
        <v>6.112001658E9</v>
      </c>
      <c r="F4716" s="8" t="s">
        <v>5761</v>
      </c>
      <c r="G4716" s="4" t="s">
        <v>965</v>
      </c>
      <c r="H4716" s="10" t="s">
        <v>5762</v>
      </c>
      <c r="I4716" s="10">
        <v>10.0</v>
      </c>
      <c r="J4716" s="11" t="str">
        <f>IF(D4716&lt;&gt;"",VLOOKUP(H4716,TABLEITEM,5,FALSE),"")</f>
        <v>EA</v>
      </c>
      <c r="K4716" s="12">
        <v>7.0</v>
      </c>
      <c r="L4716" s="13" t="str">
        <f>IF(D4716&lt;&gt;"",VLOOKUP(H4716,TABLEITEM,2,FALSE),"")</f>
        <v/>
      </c>
      <c r="M4716" s="13" t="str">
        <f>IF(D4716&lt;&gt;"",VLOOKUP(H4716,TABLEITEM,3,FALSE),"")</f>
        <v>นิเปิ้ล PVC 1"</v>
      </c>
      <c r="N4716" s="14">
        <f>INSTOCK!$I4716*INSTOCK!$K4716</f>
        <v>70</v>
      </c>
      <c r="O4716" s="4"/>
      <c r="P4716" s="4"/>
    </row>
    <row r="4717" ht="15.75" hidden="1" customHeight="1">
      <c r="B4717" s="8">
        <v>5041.0</v>
      </c>
      <c r="C4717" s="9">
        <v>43460.0</v>
      </c>
      <c r="D4717" s="6" t="s">
        <v>5760</v>
      </c>
      <c r="E4717" s="4">
        <v>6.112001658E9</v>
      </c>
      <c r="F4717" s="8" t="s">
        <v>5761</v>
      </c>
      <c r="G4717" s="4" t="s">
        <v>965</v>
      </c>
      <c r="H4717" s="10" t="s">
        <v>5763</v>
      </c>
      <c r="I4717" s="10">
        <v>9.0</v>
      </c>
      <c r="J4717" s="11" t="str">
        <f>IF(D4717&lt;&gt;"",VLOOKUP(H4717,TABLEITEM,5,FALSE),"")</f>
        <v>EA</v>
      </c>
      <c r="K4717" s="12">
        <v>12.0</v>
      </c>
      <c r="L4717" s="13" t="str">
        <f>IF(D4717&lt;&gt;"",VLOOKUP(H4717,TABLEITEM,2,FALSE),"")</f>
        <v/>
      </c>
      <c r="M4717" s="13" t="str">
        <f>IF(D4717&lt;&gt;"",VLOOKUP(H4717,TABLEITEM,3,FALSE),"")</f>
        <v>สามทาง PVC 1"</v>
      </c>
      <c r="N4717" s="14">
        <f>INSTOCK!$I4717*INSTOCK!$K4717</f>
        <v>108</v>
      </c>
      <c r="O4717" s="4"/>
      <c r="P4717" s="4"/>
    </row>
    <row r="4718" ht="15.75" hidden="1" customHeight="1">
      <c r="B4718" s="8">
        <v>5042.0</v>
      </c>
      <c r="C4718" s="9">
        <v>43460.0</v>
      </c>
      <c r="D4718" s="6" t="s">
        <v>5760</v>
      </c>
      <c r="E4718" s="4">
        <v>6.112001658E9</v>
      </c>
      <c r="F4718" s="8" t="s">
        <v>5761</v>
      </c>
      <c r="G4718" s="4" t="s">
        <v>965</v>
      </c>
      <c r="H4718" s="10" t="s">
        <v>3729</v>
      </c>
      <c r="I4718" s="10">
        <v>10.0</v>
      </c>
      <c r="J4718" s="11" t="str">
        <f>IF(D4718&lt;&gt;"",VLOOKUP(H4718,TABLEITEM,5,FALSE),"")</f>
        <v>EA</v>
      </c>
      <c r="K4718" s="12">
        <v>8.0</v>
      </c>
      <c r="L4718" s="13" t="str">
        <f>IF(D4718&lt;&gt;"",VLOOKUP(H4718,TABLEITEM,2,FALSE),"")</f>
        <v/>
      </c>
      <c r="M4718" s="13" t="str">
        <f>IF(D4718&lt;&gt;"",VLOOKUP(H4718,TABLEITEM,3,FALSE),"")</f>
        <v>ข้องอ 90 1"</v>
      </c>
      <c r="N4718" s="14">
        <f>INSTOCK!$I4718*INSTOCK!$K4718</f>
        <v>80</v>
      </c>
      <c r="O4718" s="4"/>
      <c r="P4718" s="4"/>
    </row>
    <row r="4719" ht="15.75" hidden="1" customHeight="1">
      <c r="B4719" s="8">
        <v>5043.0</v>
      </c>
      <c r="C4719" s="9">
        <v>43460.0</v>
      </c>
      <c r="D4719" s="6" t="s">
        <v>5760</v>
      </c>
      <c r="E4719" s="4">
        <v>6.112001658E9</v>
      </c>
      <c r="F4719" s="8" t="s">
        <v>5761</v>
      </c>
      <c r="G4719" s="4" t="s">
        <v>965</v>
      </c>
      <c r="H4719" s="10" t="s">
        <v>5764</v>
      </c>
      <c r="I4719" s="10">
        <v>16.0</v>
      </c>
      <c r="J4719" s="11" t="str">
        <f>IF(D4719&lt;&gt;"",VLOOKUP(H4719,TABLEITEM,5,FALSE),"")</f>
        <v>EA</v>
      </c>
      <c r="K4719" s="12">
        <v>6.0</v>
      </c>
      <c r="L4719" s="13" t="str">
        <f>IF(D4719&lt;&gt;"",VLOOKUP(H4719,TABLEITEM,2,FALSE),"")</f>
        <v/>
      </c>
      <c r="M4719" s="13" t="str">
        <f>IF(D4719&lt;&gt;"",VLOOKUP(H4719,TABLEITEM,3,FALSE),"")</f>
        <v>ต่อเกลียวนอก PVC 1"</v>
      </c>
      <c r="N4719" s="14">
        <f>INSTOCK!$I4719*INSTOCK!$K4719</f>
        <v>96</v>
      </c>
      <c r="O4719" s="4"/>
      <c r="P4719" s="4"/>
    </row>
    <row r="4720" ht="15.75" hidden="1" customHeight="1">
      <c r="B4720" s="8">
        <v>5044.0</v>
      </c>
      <c r="C4720" s="9">
        <v>43460.0</v>
      </c>
      <c r="D4720" s="6" t="s">
        <v>5760</v>
      </c>
      <c r="E4720" s="4">
        <v>6.112001658E9</v>
      </c>
      <c r="F4720" s="8" t="s">
        <v>5761</v>
      </c>
      <c r="G4720" s="4" t="s">
        <v>965</v>
      </c>
      <c r="H4720" s="10" t="s">
        <v>3731</v>
      </c>
      <c r="I4720" s="10">
        <v>3.0</v>
      </c>
      <c r="J4720" s="11" t="str">
        <f>IF(D4720&lt;&gt;"",VLOOKUP(H4720,TABLEITEM,5,FALSE),"")</f>
        <v>เส้น</v>
      </c>
      <c r="K4720" s="12">
        <v>90.0</v>
      </c>
      <c r="L4720" s="13" t="str">
        <f>IF(D4720&lt;&gt;"",VLOOKUP(H4720,TABLEITEM,2,FALSE),"")</f>
        <v/>
      </c>
      <c r="M4720" s="13" t="str">
        <f>IF(D4720&lt;&gt;"",VLOOKUP(H4720,TABLEITEM,3,FALSE),"")</f>
        <v>ท่อPVC 1"</v>
      </c>
      <c r="N4720" s="14">
        <f>INSTOCK!$I4720*INSTOCK!$K4720</f>
        <v>270</v>
      </c>
      <c r="O4720" s="4"/>
      <c r="P4720" s="4"/>
    </row>
    <row r="4721" ht="15.75" hidden="1" customHeight="1">
      <c r="B4721" s="8">
        <v>5045.0</v>
      </c>
      <c r="C4721" s="9">
        <v>43460.0</v>
      </c>
      <c r="D4721" s="6" t="s">
        <v>5760</v>
      </c>
      <c r="E4721" s="4">
        <v>6.112001658E9</v>
      </c>
      <c r="F4721" s="8" t="s">
        <v>5761</v>
      </c>
      <c r="G4721" s="4" t="s">
        <v>965</v>
      </c>
      <c r="H4721" s="18" t="s">
        <v>3735</v>
      </c>
      <c r="I4721" s="10">
        <v>1.0</v>
      </c>
      <c r="J4721" s="11" t="str">
        <f>IF(D4721&lt;&gt;"",VLOOKUP(H4721,TABLEITEM,5,FALSE),"")</f>
        <v>กป.</v>
      </c>
      <c r="K4721" s="12">
        <v>130.0</v>
      </c>
      <c r="L4721" s="13" t="str">
        <f>IF(D4721&lt;&gt;"",VLOOKUP(H4721,TABLEITEM,2,FALSE),"")</f>
        <v/>
      </c>
      <c r="M4721" s="13" t="str">
        <f>IF(D4721&lt;&gt;"",VLOOKUP(H4721,TABLEITEM,3,FALSE),"")</f>
        <v>กาวทาท่อน้ำไทย 250g</v>
      </c>
      <c r="N4721" s="14">
        <f>INSTOCK!$I4721*INSTOCK!$K4721</f>
        <v>130</v>
      </c>
      <c r="O4721" s="4"/>
      <c r="P4721" s="4"/>
    </row>
    <row r="4722" ht="15.75" hidden="1" customHeight="1">
      <c r="B4722" s="8">
        <v>5046.0</v>
      </c>
      <c r="C4722" s="9">
        <v>43460.0</v>
      </c>
      <c r="D4722" s="6" t="s">
        <v>5765</v>
      </c>
      <c r="E4722" s="4">
        <v>6.112001657E9</v>
      </c>
      <c r="F4722" s="8" t="s">
        <v>604</v>
      </c>
      <c r="G4722" s="4" t="s">
        <v>965</v>
      </c>
      <c r="H4722" s="10" t="s">
        <v>45</v>
      </c>
      <c r="I4722" s="10">
        <v>1.0</v>
      </c>
      <c r="J4722" s="11" t="str">
        <f>IF(D4722&lt;&gt;"",VLOOKUP(H4722,TABLEITEM,5,FALSE),"")</f>
        <v>กล</v>
      </c>
      <c r="K4722" s="12">
        <v>280.0</v>
      </c>
      <c r="L4722" s="13" t="str">
        <f>IF(D4722&lt;&gt;"",VLOOKUP(H4722,TABLEITEM,2,FALSE),"")</f>
        <v/>
      </c>
      <c r="M4722" s="13" t="str">
        <f>IF(D4722&lt;&gt;"",VLOOKUP(H4722,TABLEITEM,3,FALSE),"")</f>
        <v>สีโป้ว</v>
      </c>
      <c r="N4722" s="14">
        <f>INSTOCK!$I4722*INSTOCK!$K4722</f>
        <v>280</v>
      </c>
      <c r="O4722" s="4"/>
      <c r="P4722" s="4"/>
    </row>
    <row r="4723" ht="15.75" hidden="1" customHeight="1">
      <c r="B4723" s="8">
        <v>5047.0</v>
      </c>
      <c r="C4723" s="9">
        <v>43460.0</v>
      </c>
      <c r="D4723" s="6" t="s">
        <v>5765</v>
      </c>
      <c r="E4723" s="4">
        <v>6.112001657E9</v>
      </c>
      <c r="F4723" s="8" t="s">
        <v>604</v>
      </c>
      <c r="G4723" s="4" t="s">
        <v>965</v>
      </c>
      <c r="H4723" s="10" t="s">
        <v>4838</v>
      </c>
      <c r="I4723" s="10">
        <v>1.5</v>
      </c>
      <c r="J4723" s="11" t="str">
        <f>IF(D4723&lt;&gt;"",VLOOKUP(H4723,TABLEITEM,5,FALSE),"")</f>
        <v>EA</v>
      </c>
      <c r="K4723" s="12">
        <v>70.0</v>
      </c>
      <c r="L4723" s="13" t="str">
        <f>IF(D4723&lt;&gt;"",VLOOKUP(H4723,TABLEITEM,2,FALSE),"")</f>
        <v/>
      </c>
      <c r="M4723" s="13" t="str">
        <f>IF(D4723&lt;&gt;"",VLOOKUP(H4723,TABLEITEM,3,FALSE),"")</f>
        <v>เชือกใยยักษ์</v>
      </c>
      <c r="N4723" s="14">
        <f>INSTOCK!$I4723*INSTOCK!$K4723</f>
        <v>105</v>
      </c>
      <c r="O4723" s="4"/>
      <c r="P4723" s="4"/>
    </row>
    <row r="4724" ht="15.75" hidden="1" customHeight="1">
      <c r="B4724" s="8">
        <v>5048.0</v>
      </c>
      <c r="C4724" s="9">
        <v>43460.0</v>
      </c>
      <c r="D4724" s="6" t="s">
        <v>5766</v>
      </c>
      <c r="E4724" s="4">
        <v>6.112001376E9</v>
      </c>
      <c r="F4724" s="8" t="s">
        <v>604</v>
      </c>
      <c r="G4724" s="4" t="s">
        <v>965</v>
      </c>
      <c r="H4724" s="10" t="s">
        <v>5767</v>
      </c>
      <c r="I4724" s="10">
        <v>15.0</v>
      </c>
      <c r="J4724" s="11" t="str">
        <f>IF(D4724&lt;&gt;"",VLOOKUP(H4724,TABLEITEM,5,FALSE),"")</f>
        <v>EA</v>
      </c>
      <c r="K4724" s="12">
        <v>14.0</v>
      </c>
      <c r="L4724" s="13" t="str">
        <f>IF(D4724&lt;&gt;"",VLOOKUP(H4724,TABLEITEM,2,FALSE),"")</f>
        <v/>
      </c>
      <c r="M4724" s="13" t="str">
        <f>IF(D4724&lt;&gt;"",VLOOKUP(H4724,TABLEITEM,3,FALSE),"")</f>
        <v>งอเหล็ก 1/2"</v>
      </c>
      <c r="N4724" s="14">
        <f>INSTOCK!$I4724*INSTOCK!$K4724</f>
        <v>210</v>
      </c>
      <c r="O4724" s="4"/>
      <c r="P4724" s="4"/>
    </row>
    <row r="4725" ht="15.75" hidden="1" customHeight="1">
      <c r="B4725" s="8">
        <v>5049.0</v>
      </c>
      <c r="C4725" s="9">
        <v>43460.0</v>
      </c>
      <c r="D4725" s="6" t="s">
        <v>5766</v>
      </c>
      <c r="E4725" s="4">
        <v>6.112001376E9</v>
      </c>
      <c r="F4725" s="8" t="s">
        <v>604</v>
      </c>
      <c r="G4725" s="4" t="s">
        <v>965</v>
      </c>
      <c r="H4725" s="10" t="s">
        <v>5768</v>
      </c>
      <c r="I4725" s="10">
        <v>1.0</v>
      </c>
      <c r="J4725" s="11" t="str">
        <f>IF(D4725&lt;&gt;"",VLOOKUP(H4725,TABLEITEM,5,FALSE),"")</f>
        <v>EA</v>
      </c>
      <c r="K4725" s="12">
        <v>22.0</v>
      </c>
      <c r="L4725" s="13" t="str">
        <f>IF(D4725&lt;&gt;"",VLOOKUP(H4725,TABLEITEM,2,FALSE),"")</f>
        <v/>
      </c>
      <c r="M4725" s="13" t="str">
        <f>IF(D4725&lt;&gt;"",VLOOKUP(H4725,TABLEITEM,3,FALSE),"")</f>
        <v>สามทางเหล็ก 1/2"</v>
      </c>
      <c r="N4725" s="14">
        <f>INSTOCK!$I4725*INSTOCK!$K4725</f>
        <v>22</v>
      </c>
      <c r="O4725" s="4"/>
      <c r="P4725" s="4"/>
    </row>
    <row r="4726" ht="15.75" hidden="1" customHeight="1">
      <c r="B4726" s="8">
        <v>5050.0</v>
      </c>
      <c r="C4726" s="9">
        <v>43460.0</v>
      </c>
      <c r="D4726" s="6" t="s">
        <v>5766</v>
      </c>
      <c r="E4726" s="4">
        <v>6.112001376E9</v>
      </c>
      <c r="F4726" s="8" t="s">
        <v>604</v>
      </c>
      <c r="G4726" s="4" t="s">
        <v>965</v>
      </c>
      <c r="H4726" s="10" t="s">
        <v>5769</v>
      </c>
      <c r="I4726" s="10">
        <v>24.0</v>
      </c>
      <c r="J4726" s="11" t="str">
        <f>IF(D4726&lt;&gt;"",VLOOKUP(H4726,TABLEITEM,5,FALSE),"")</f>
        <v>EA</v>
      </c>
      <c r="K4726" s="12">
        <v>3.0</v>
      </c>
      <c r="L4726" s="13" t="str">
        <f>IF(D4726&lt;&gt;"",VLOOKUP(H4726,TABLEITEM,2,FALSE),"")</f>
        <v/>
      </c>
      <c r="M4726" s="13" t="str">
        <f>IF(D4726&lt;&gt;"",VLOOKUP(H4726,TABLEITEM,3,FALSE),"")</f>
        <v>ยูโบล์ท 1/2"</v>
      </c>
      <c r="N4726" s="14">
        <f>INSTOCK!$I4726*INSTOCK!$K4726</f>
        <v>72</v>
      </c>
      <c r="O4726" s="4"/>
      <c r="P4726" s="4"/>
    </row>
    <row r="4727" ht="15.75" hidden="1" customHeight="1">
      <c r="B4727" s="8">
        <v>5051.0</v>
      </c>
      <c r="C4727" s="9">
        <v>43460.0</v>
      </c>
      <c r="D4727" s="6" t="s">
        <v>5766</v>
      </c>
      <c r="E4727" s="4">
        <v>6.112001376E9</v>
      </c>
      <c r="F4727" s="8" t="s">
        <v>604</v>
      </c>
      <c r="G4727" s="4" t="s">
        <v>965</v>
      </c>
      <c r="H4727" s="10" t="s">
        <v>5770</v>
      </c>
      <c r="I4727" s="10">
        <v>3.0</v>
      </c>
      <c r="J4727" s="11" t="str">
        <f>IF(D4727&lt;&gt;"",VLOOKUP(H4727,TABLEITEM,5,FALSE),"")</f>
        <v>EA</v>
      </c>
      <c r="K4727" s="12">
        <v>50.0</v>
      </c>
      <c r="L4727" s="13" t="str">
        <f>IF(D4727&lt;&gt;"",VLOOKUP(H4727,TABLEITEM,2,FALSE),"")</f>
        <v/>
      </c>
      <c r="M4727" s="13" t="str">
        <f>IF(D4727&lt;&gt;"",VLOOKUP(H4727,TABLEITEM,3,FALSE),"")</f>
        <v>กรรไกร</v>
      </c>
      <c r="N4727" s="14">
        <f>INSTOCK!$I4727*INSTOCK!$K4727</f>
        <v>150</v>
      </c>
      <c r="O4727" s="4"/>
      <c r="P4727" s="4"/>
    </row>
    <row r="4728" ht="15.75" hidden="1" customHeight="1">
      <c r="B4728" s="8">
        <v>5052.0</v>
      </c>
      <c r="C4728" s="9">
        <v>43460.0</v>
      </c>
      <c r="D4728" s="6" t="s">
        <v>5771</v>
      </c>
      <c r="E4728" s="4">
        <v>6.112001683E9</v>
      </c>
      <c r="F4728" s="8" t="s">
        <v>5755</v>
      </c>
      <c r="G4728" s="4" t="s">
        <v>965</v>
      </c>
      <c r="H4728" s="10" t="s">
        <v>5756</v>
      </c>
      <c r="I4728" s="10">
        <v>7.0</v>
      </c>
      <c r="J4728" s="11" t="str">
        <f>IF(D4728&lt;&gt;"",VLOOKUP(H4728,TABLEITEM,5,FALSE),"")</f>
        <v>EA</v>
      </c>
      <c r="K4728" s="12">
        <v>25.0</v>
      </c>
      <c r="L4728" s="13" t="str">
        <f>IF(D4728&lt;&gt;"",VLOOKUP(H4728,TABLEITEM,2,FALSE),"")</f>
        <v/>
      </c>
      <c r="M4728" s="13" t="str">
        <f>IF(D4728&lt;&gt;"",VLOOKUP(H4728,TABLEITEM,3,FALSE),"")</f>
        <v>ท่อขาว 16มิล</v>
      </c>
      <c r="N4728" s="14">
        <f>INSTOCK!$I4728*INSTOCK!$K4728</f>
        <v>175</v>
      </c>
      <c r="O4728" s="4"/>
      <c r="P4728" s="4"/>
    </row>
    <row r="4729" ht="15.75" hidden="1" customHeight="1">
      <c r="B4729" s="8">
        <v>5053.0</v>
      </c>
      <c r="C4729" s="9">
        <v>43460.0</v>
      </c>
      <c r="D4729" s="6" t="s">
        <v>5771</v>
      </c>
      <c r="E4729" s="4">
        <v>6.112001683E9</v>
      </c>
      <c r="F4729" s="8" t="s">
        <v>5755</v>
      </c>
      <c r="G4729" s="4" t="s">
        <v>965</v>
      </c>
      <c r="H4729" s="10" t="s">
        <v>5772</v>
      </c>
      <c r="I4729" s="10">
        <v>3.0</v>
      </c>
      <c r="J4729" s="11" t="str">
        <f>IF(D4729&lt;&gt;"",VLOOKUP(H4729,TABLEITEM,5,FALSE),"")</f>
        <v>EA</v>
      </c>
      <c r="K4729" s="12">
        <v>5.0</v>
      </c>
      <c r="L4729" s="13" t="str">
        <f>IF(D4729&lt;&gt;"",VLOOKUP(H4729,TABLEITEM,2,FALSE),"")</f>
        <v/>
      </c>
      <c r="M4729" s="13" t="str">
        <f>IF(D4729&lt;&gt;"",VLOOKUP(H4729,TABLEITEM,3,FALSE),"")</f>
        <v>สามทาง PVC ขาว16มิล</v>
      </c>
      <c r="N4729" s="14">
        <f>INSTOCK!$I4729*INSTOCK!$K4729</f>
        <v>15</v>
      </c>
      <c r="O4729" s="4"/>
      <c r="P4729" s="4"/>
    </row>
    <row r="4730" ht="15.75" hidden="1" customHeight="1">
      <c r="B4730" s="8">
        <v>5054.0</v>
      </c>
      <c r="C4730" s="9">
        <v>43460.0</v>
      </c>
      <c r="D4730" s="6" t="s">
        <v>5771</v>
      </c>
      <c r="E4730" s="4">
        <v>6.112001683E9</v>
      </c>
      <c r="F4730" s="8" t="s">
        <v>5755</v>
      </c>
      <c r="G4730" s="4" t="s">
        <v>965</v>
      </c>
      <c r="H4730" s="10" t="s">
        <v>5759</v>
      </c>
      <c r="I4730" s="10">
        <v>3.0</v>
      </c>
      <c r="J4730" s="11" t="str">
        <f>IF(D4730&lt;&gt;"",VLOOKUP(H4730,TABLEITEM,5,FALSE),"")</f>
        <v>EA</v>
      </c>
      <c r="K4730" s="12">
        <v>3.0</v>
      </c>
      <c r="L4730" s="13" t="str">
        <f>IF(D4730&lt;&gt;"",VLOOKUP(H4730,TABLEITEM,2,FALSE),"")</f>
        <v/>
      </c>
      <c r="M4730" s="13" t="str">
        <f>IF(D4730&lt;&gt;"",VLOOKUP(H4730,TABLEITEM,3,FALSE),"")</f>
        <v>ต่อตรงขาว 16มิล</v>
      </c>
      <c r="N4730" s="14">
        <f>INSTOCK!$I4730*INSTOCK!$K4730</f>
        <v>9</v>
      </c>
      <c r="O4730" s="4"/>
      <c r="P4730" s="4"/>
    </row>
    <row r="4731" ht="15.75" hidden="1" customHeight="1">
      <c r="B4731" s="8">
        <v>5055.0</v>
      </c>
      <c r="C4731" s="9">
        <v>43460.0</v>
      </c>
      <c r="D4731" s="6" t="s">
        <v>5771</v>
      </c>
      <c r="E4731" s="4">
        <v>6.112001683E9</v>
      </c>
      <c r="F4731" s="8" t="s">
        <v>5755</v>
      </c>
      <c r="G4731" s="4" t="s">
        <v>965</v>
      </c>
      <c r="H4731" s="10" t="s">
        <v>5773</v>
      </c>
      <c r="I4731" s="10">
        <v>8.0</v>
      </c>
      <c r="J4731" s="11" t="str">
        <f>IF(D4731&lt;&gt;"",VLOOKUP(H4731,TABLEITEM,5,FALSE),"")</f>
        <v>EA</v>
      </c>
      <c r="K4731" s="12">
        <v>4.0</v>
      </c>
      <c r="L4731" s="13" t="str">
        <f>IF(D4731&lt;&gt;"",VLOOKUP(H4731,TABLEITEM,2,FALSE),"")</f>
        <v/>
      </c>
      <c r="M4731" s="13" t="str">
        <f>IF(D4731&lt;&gt;"",VLOOKUP(H4731,TABLEITEM,3,FALSE),"")</f>
        <v>งอขาว 16มิล </v>
      </c>
      <c r="N4731" s="14">
        <f>INSTOCK!$I4731*INSTOCK!$K4731</f>
        <v>32</v>
      </c>
      <c r="O4731" s="4"/>
      <c r="P4731" s="4"/>
    </row>
    <row r="4732" ht="15.75" hidden="1" customHeight="1">
      <c r="B4732" s="8">
        <v>5056.0</v>
      </c>
      <c r="C4732" s="9">
        <v>43460.0</v>
      </c>
      <c r="D4732" s="6" t="s">
        <v>5771</v>
      </c>
      <c r="E4732" s="4">
        <v>6.112001683E9</v>
      </c>
      <c r="F4732" s="8" t="s">
        <v>5755</v>
      </c>
      <c r="G4732" s="4" t="s">
        <v>965</v>
      </c>
      <c r="H4732" s="10" t="s">
        <v>5757</v>
      </c>
      <c r="I4732" s="10">
        <v>10.0</v>
      </c>
      <c r="J4732" s="11" t="str">
        <f>IF(D4732&lt;&gt;"",VLOOKUP(H4732,TABLEITEM,5,FALSE),"")</f>
        <v>EA</v>
      </c>
      <c r="K4732" s="12">
        <v>2.0</v>
      </c>
      <c r="L4732" s="13" t="str">
        <f>IF(D4732&lt;&gt;"",VLOOKUP(H4732,TABLEITEM,2,FALSE),"")</f>
        <v/>
      </c>
      <c r="M4732" s="13" t="str">
        <f>IF(D4732&lt;&gt;"",VLOOKUP(H4732,TABLEITEM,3,FALSE),"")</f>
        <v>ก้ามปู ขาว 16มิล </v>
      </c>
      <c r="N4732" s="14">
        <f>INSTOCK!$I4732*INSTOCK!$K4732</f>
        <v>20</v>
      </c>
      <c r="O4732" s="4"/>
      <c r="P4732" s="4"/>
    </row>
    <row r="4733" ht="15.75" hidden="1" customHeight="1">
      <c r="B4733" s="8">
        <v>5057.0</v>
      </c>
      <c r="C4733" s="9">
        <v>43460.0</v>
      </c>
      <c r="D4733" s="6" t="s">
        <v>5771</v>
      </c>
      <c r="E4733" s="4">
        <v>6.112001683E9</v>
      </c>
      <c r="F4733" s="8" t="s">
        <v>5755</v>
      </c>
      <c r="G4733" s="4" t="s">
        <v>965</v>
      </c>
      <c r="H4733" s="10" t="s">
        <v>5774</v>
      </c>
      <c r="I4733" s="10">
        <v>20.0</v>
      </c>
      <c r="J4733" s="11" t="str">
        <f>IF(D4733&lt;&gt;"",VLOOKUP(H4733,TABLEITEM,5,FALSE),"")</f>
        <v>EA</v>
      </c>
      <c r="K4733" s="12">
        <v>4.0</v>
      </c>
      <c r="L4733" s="13" t="str">
        <f>IF(D4733&lt;&gt;"",VLOOKUP(H4733,TABLEITEM,2,FALSE),"")</f>
        <v/>
      </c>
      <c r="M4733" s="13" t="str">
        <f>IF(D4733&lt;&gt;"",VLOOKUP(H4733,TABLEITEM,3,FALSE),"")</f>
        <v>พุกเหล็ก 3/8"</v>
      </c>
      <c r="N4733" s="14">
        <f>INSTOCK!$I4733*INSTOCK!$K4733</f>
        <v>80</v>
      </c>
      <c r="O4733" s="4"/>
      <c r="P4733" s="4"/>
    </row>
    <row r="4734" ht="15.75" hidden="1" customHeight="1">
      <c r="B4734" s="8">
        <v>5058.0</v>
      </c>
      <c r="C4734" s="9">
        <v>43460.0</v>
      </c>
      <c r="D4734" s="6" t="s">
        <v>5775</v>
      </c>
      <c r="E4734" s="4">
        <v>6.11200169E9</v>
      </c>
      <c r="F4734" s="8" t="s">
        <v>1383</v>
      </c>
      <c r="G4734" s="4" t="s">
        <v>1485</v>
      </c>
      <c r="H4734" s="10" t="s">
        <v>5225</v>
      </c>
      <c r="I4734" s="10">
        <v>2.0</v>
      </c>
      <c r="J4734" s="11" t="str">
        <f>IF(D4734&lt;&gt;"",VLOOKUP(H4734,TABLEITEM,5,FALSE),"")</f>
        <v>EA</v>
      </c>
      <c r="K4734" s="12">
        <v>9717.0</v>
      </c>
      <c r="L4734" s="13" t="str">
        <f>IF(D4734&lt;&gt;"",VLOOKUP(H4734,TABLEITEM,2,FALSE),"")</f>
        <v/>
      </c>
      <c r="M4734" s="13" t="str">
        <f>IF(D4734&lt;&gt;"",VLOOKUP(H4734,TABLEITEM,3,FALSE),"")</f>
        <v>MOTOT MECHANISM (MCH) 220V FOR NSX400/630</v>
      </c>
      <c r="N4734" s="14">
        <f>INSTOCK!$I4734*INSTOCK!$K4734</f>
        <v>19434</v>
      </c>
      <c r="O4734" s="4"/>
      <c r="P4734" s="4"/>
    </row>
    <row r="4735" ht="15.75" hidden="1" customHeight="1">
      <c r="B4735" s="8">
        <v>5059.0</v>
      </c>
      <c r="C4735" s="9">
        <v>43459.0</v>
      </c>
      <c r="D4735" s="6" t="s">
        <v>5776</v>
      </c>
      <c r="E4735" s="4">
        <v>6.112001689E9</v>
      </c>
      <c r="F4735" s="8" t="s">
        <v>5777</v>
      </c>
      <c r="G4735" s="4" t="s">
        <v>5778</v>
      </c>
      <c r="H4735" s="10" t="s">
        <v>4261</v>
      </c>
      <c r="I4735" s="10">
        <v>1.0</v>
      </c>
      <c r="J4735" s="11" t="str">
        <f>IF(D4735&lt;&gt;"",VLOOKUP(H4735,TABLEITEM,5,FALSE),"")</f>
        <v>EA</v>
      </c>
      <c r="K4735" s="12">
        <v>21000.0</v>
      </c>
      <c r="L4735" s="13" t="str">
        <f>IF(D4735&lt;&gt;"",VLOOKUP(H4735,TABLEITEM,2,FALSE),"")</f>
        <v/>
      </c>
      <c r="M4735" s="13" t="str">
        <f>IF(D4735&lt;&gt;"",VLOOKUP(H4735,TABLEITEM,3,FALSE),"")</f>
        <v>ATS CONTROLLER COMPLETE OF FUNCTION OEC-01</v>
      </c>
      <c r="N4735" s="14">
        <f>INSTOCK!$I4735*INSTOCK!$K4735</f>
        <v>21000</v>
      </c>
      <c r="O4735" s="4"/>
      <c r="P4735" s="4"/>
    </row>
    <row r="4736" ht="15.75" hidden="1" customHeight="1">
      <c r="B4736" s="8">
        <v>5060.0</v>
      </c>
      <c r="C4736" s="9">
        <v>43459.0</v>
      </c>
      <c r="D4736" s="6" t="s">
        <v>5779</v>
      </c>
      <c r="E4736" s="4">
        <v>6.112001682E9</v>
      </c>
      <c r="F4736" s="8" t="s">
        <v>1989</v>
      </c>
      <c r="G4736" s="4" t="s">
        <v>1990</v>
      </c>
      <c r="H4736" s="10" t="s">
        <v>1992</v>
      </c>
      <c r="I4736" s="10">
        <v>4.0</v>
      </c>
      <c r="J4736" s="11" t="str">
        <f>IF(D4736&lt;&gt;"",VLOOKUP(H4736,TABLEITEM,5,FALSE),"")</f>
        <v>PACK</v>
      </c>
      <c r="K4736" s="12">
        <v>119.0</v>
      </c>
      <c r="L4736" s="13" t="str">
        <f>IF(D4736&lt;&gt;"",VLOOKUP(H4736,TABLEITEM,2,FALSE),"")</f>
        <v/>
      </c>
      <c r="M4736" s="13" t="str">
        <f>IF(D4736&lt;&gt;"",VLOOKUP(H4736,TABLEITEM,3,FALSE),"")</f>
        <v>ถ่านอัลคาไลน์ Panasonic AA (แพ็ค 8ก้อน)</v>
      </c>
      <c r="N4736" s="14">
        <f>INSTOCK!$I4736*INSTOCK!$K4736</f>
        <v>476</v>
      </c>
      <c r="O4736" s="4"/>
      <c r="P4736" s="4"/>
    </row>
    <row r="4737" ht="15.75" hidden="1" customHeight="1">
      <c r="B4737" s="8">
        <v>5061.0</v>
      </c>
      <c r="C4737" s="9">
        <v>43459.0</v>
      </c>
      <c r="D4737" s="6" t="s">
        <v>5779</v>
      </c>
      <c r="E4737" s="4">
        <v>6.112001682E9</v>
      </c>
      <c r="F4737" s="8" t="s">
        <v>1989</v>
      </c>
      <c r="G4737" s="4" t="s">
        <v>1990</v>
      </c>
      <c r="H4737" s="10" t="s">
        <v>5780</v>
      </c>
      <c r="I4737" s="10">
        <v>20.0</v>
      </c>
      <c r="J4737" s="11" t="str">
        <f>IF(D4737&lt;&gt;"",VLOOKUP(H4737,TABLEITEM,5,FALSE),"")</f>
        <v>EA</v>
      </c>
      <c r="K4737" s="12">
        <v>11.0</v>
      </c>
      <c r="L4737" s="13" t="str">
        <f>IF(D4737&lt;&gt;"",VLOOKUP(H4737,TABLEITEM,2,FALSE),"")</f>
        <v/>
      </c>
      <c r="M4737" s="13" t="str">
        <f>IF(D4737&lt;&gt;"",VLOOKUP(H4737,TABLEITEM,3,FALSE),"")</f>
        <v>เทปเยื่อกาว 2หน้า โพลิซิล 1/2"x20 หลา</v>
      </c>
      <c r="N4737" s="14">
        <f>INSTOCK!$I4737*INSTOCK!$K4737</f>
        <v>220</v>
      </c>
      <c r="O4737" s="4"/>
      <c r="P4737" s="4"/>
    </row>
    <row r="4738" ht="15.75" hidden="1" customHeight="1">
      <c r="B4738" s="8">
        <v>5062.0</v>
      </c>
      <c r="C4738" s="9">
        <v>43459.0</v>
      </c>
      <c r="D4738" s="6" t="s">
        <v>5781</v>
      </c>
      <c r="E4738" s="4">
        <v>6.112001667E9</v>
      </c>
      <c r="F4738" s="8" t="s">
        <v>5782</v>
      </c>
      <c r="G4738" s="4" t="s">
        <v>702</v>
      </c>
      <c r="H4738" s="10" t="s">
        <v>92</v>
      </c>
      <c r="I4738" s="10">
        <v>20.0</v>
      </c>
      <c r="J4738" s="11" t="str">
        <f>IF(D4738&lt;&gt;"",VLOOKUP(H4738,TABLEITEM,5,FALSE),"")</f>
        <v>KG.</v>
      </c>
      <c r="K4738" s="12">
        <v>115.0</v>
      </c>
      <c r="L4738" s="13" t="str">
        <f>IF(D4738&lt;&gt;"",VLOOKUP(H4738,TABLEITEM,2,FALSE),"")</f>
        <v/>
      </c>
      <c r="M4738" s="13" t="str">
        <f>IF(D4738&lt;&gt;"",VLOOKUP(H4738,TABLEITEM,3,FALSE),"")</f>
        <v>สีฝุ่น FF110/703/c สีดำผิวเงา</v>
      </c>
      <c r="N4738" s="14">
        <f>INSTOCK!$I4738*INSTOCK!$K4738</f>
        <v>2300</v>
      </c>
      <c r="O4738" s="4"/>
      <c r="P4738" s="4"/>
    </row>
    <row r="4739" ht="15.75" hidden="1" customHeight="1">
      <c r="B4739" s="8">
        <v>5063.0</v>
      </c>
      <c r="C4739" s="9">
        <v>43459.0</v>
      </c>
      <c r="D4739" s="6" t="s">
        <v>5783</v>
      </c>
      <c r="E4739" s="4">
        <v>6.112001663E9</v>
      </c>
      <c r="F4739" s="8" t="s">
        <v>807</v>
      </c>
      <c r="G4739" s="4" t="s">
        <v>808</v>
      </c>
      <c r="H4739" s="10" t="s">
        <v>812</v>
      </c>
      <c r="I4739" s="10">
        <v>1.0</v>
      </c>
      <c r="J4739" s="11" t="str">
        <f>IF(D4739&lt;&gt;"",VLOOKUP(H4739,TABLEITEM,5,FALSE),"")</f>
        <v>ท่อ</v>
      </c>
      <c r="K4739" s="12">
        <v>2960.0</v>
      </c>
      <c r="L4739" s="13" t="str">
        <f>IF(D4739&lt;&gt;"",VLOOKUP(H4739,TABLEITEM,2,FALSE),"")</f>
        <v/>
      </c>
      <c r="M4739" s="13" t="str">
        <f>IF(D4739&lt;&gt;"",VLOOKUP(H4739,TABLEITEM,3,FALSE),"")</f>
        <v>ออกซิเจนเหลว ขนาด 148 คิว</v>
      </c>
      <c r="N4739" s="14">
        <f>INSTOCK!$I4739*INSTOCK!$K4739</f>
        <v>2960</v>
      </c>
      <c r="O4739" s="4"/>
      <c r="P4739" s="4"/>
    </row>
    <row r="4740" ht="15.75" hidden="1" customHeight="1">
      <c r="B4740" s="8">
        <v>5064.0</v>
      </c>
      <c r="C4740" s="9">
        <v>43458.0</v>
      </c>
      <c r="D4740" s="6" t="s">
        <v>5784</v>
      </c>
      <c r="E4740" s="4"/>
      <c r="F4740" s="8"/>
      <c r="G4740" s="4" t="s">
        <v>2593</v>
      </c>
      <c r="H4740" s="10" t="s">
        <v>2594</v>
      </c>
      <c r="I4740" s="10">
        <v>1.0</v>
      </c>
      <c r="J4740" s="11" t="str">
        <f>IF(D4740&lt;&gt;"",VLOOKUP(H4740,TABLEITEM,5,FALSE),"")</f>
        <v>EA</v>
      </c>
      <c r="K4740" s="12">
        <v>2500.0</v>
      </c>
      <c r="L4740" s="13" t="str">
        <f>IF(D4740&lt;&gt;"",VLOOKUP(H4740,TABLEITEM,2,FALSE),"")</f>
        <v/>
      </c>
      <c r="M4740" s="13" t="str">
        <f>IF(D4740&lt;&gt;"",VLOOKUP(H4740,TABLEITEM,3,FALSE),"")</f>
        <v>ทรายหยาบ</v>
      </c>
      <c r="N4740" s="14">
        <f>INSTOCK!$I4740*INSTOCK!$K4740</f>
        <v>2500</v>
      </c>
      <c r="O4740" s="4"/>
      <c r="P4740" s="4"/>
    </row>
    <row r="4741" ht="15.75" hidden="1" customHeight="1">
      <c r="B4741" s="8">
        <v>5065.0</v>
      </c>
      <c r="C4741" s="9">
        <v>43458.0</v>
      </c>
      <c r="D4741" s="6" t="s">
        <v>5785</v>
      </c>
      <c r="E4741" s="4">
        <v>6.112001654E9</v>
      </c>
      <c r="F4741" s="8" t="s">
        <v>604</v>
      </c>
      <c r="G4741" s="4" t="s">
        <v>665</v>
      </c>
      <c r="H4741" s="10" t="s">
        <v>462</v>
      </c>
      <c r="I4741" s="10">
        <v>2000.0</v>
      </c>
      <c r="J4741" s="11" t="str">
        <f>IF(D4741&lt;&gt;"",VLOOKUP(H4741,TABLEITEM,5,FALSE),"")</f>
        <v>M</v>
      </c>
      <c r="K4741" s="12">
        <v>5.0</v>
      </c>
      <c r="L4741" s="13" t="str">
        <f>IF(D4741&lt;&gt;"",VLOOKUP(H4741,TABLEITEM,2,FALSE),"")</f>
        <v>wire</v>
      </c>
      <c r="M4741" s="13" t="str">
        <f>IF(D4741&lt;&gt;"",VLOOKUP(H4741,TABLEITEM,3,FALSE),"")</f>
        <v>สายไฟ VSF1x1 SQMM.สีเหลือง</v>
      </c>
      <c r="N4741" s="14">
        <f>INSTOCK!$I4741*INSTOCK!$K4741</f>
        <v>10000</v>
      </c>
      <c r="O4741" s="4"/>
      <c r="P4741" s="4"/>
    </row>
    <row r="4742" ht="15.75" hidden="1" customHeight="1">
      <c r="B4742" s="8">
        <v>5066.0</v>
      </c>
      <c r="C4742" s="9">
        <v>43458.0</v>
      </c>
      <c r="D4742" s="6" t="s">
        <v>5785</v>
      </c>
      <c r="E4742" s="4">
        <v>6.112001654E9</v>
      </c>
      <c r="F4742" s="8" t="s">
        <v>604</v>
      </c>
      <c r="G4742" s="4" t="s">
        <v>665</v>
      </c>
      <c r="H4742" s="10" t="s">
        <v>482</v>
      </c>
      <c r="I4742" s="10">
        <v>100.0</v>
      </c>
      <c r="J4742" s="11" t="str">
        <f>IF(D4742&lt;&gt;"",VLOOKUP(H4742,TABLEITEM,5,FALSE),"")</f>
        <v>M</v>
      </c>
      <c r="K4742" s="12">
        <v>10.0</v>
      </c>
      <c r="L4742" s="13" t="str">
        <f>IF(D4742&lt;&gt;"",VLOOKUP(H4742,TABLEITEM,2,FALSE),"")</f>
        <v>wire</v>
      </c>
      <c r="M4742" s="13" t="str">
        <f>IF(D4742&lt;&gt;"",VLOOKUP(H4742,TABLEITEM,3,FALSE),"")</f>
        <v>สายไฟ VSF1x2.5 SQMM.สีดำ</v>
      </c>
      <c r="N4742" s="14">
        <f>INSTOCK!$I4742*INSTOCK!$K4742</f>
        <v>1000</v>
      </c>
      <c r="O4742" s="4"/>
      <c r="P4742" s="4"/>
    </row>
    <row r="4743" ht="15.75" hidden="1" customHeight="1">
      <c r="B4743" s="8">
        <v>5067.0</v>
      </c>
      <c r="C4743" s="9">
        <v>43458.0</v>
      </c>
      <c r="D4743" s="6" t="s">
        <v>5785</v>
      </c>
      <c r="E4743" s="4">
        <v>6.112001654E9</v>
      </c>
      <c r="F4743" s="8" t="s">
        <v>604</v>
      </c>
      <c r="G4743" s="4" t="s">
        <v>665</v>
      </c>
      <c r="H4743" s="10" t="s">
        <v>506</v>
      </c>
      <c r="I4743" s="10">
        <v>100.0</v>
      </c>
      <c r="J4743" s="11" t="str">
        <f>IF(D4743&lt;&gt;"",VLOOKUP(H4743,TABLEITEM,5,FALSE),"")</f>
        <v>M</v>
      </c>
      <c r="K4743" s="12">
        <v>60.58</v>
      </c>
      <c r="L4743" s="13" t="str">
        <f>IF(D4743&lt;&gt;"",VLOOKUP(H4743,TABLEITEM,2,FALSE),"")</f>
        <v>wire</v>
      </c>
      <c r="M4743" s="13" t="str">
        <f>IF(D4743&lt;&gt;"",VLOOKUP(H4743,TABLEITEM,3,FALSE),"")</f>
        <v>สายไฟ VSF1x16 SQMM.สีดำ</v>
      </c>
      <c r="N4743" s="14">
        <f>INSTOCK!$I4743*INSTOCK!$K4743</f>
        <v>6058</v>
      </c>
      <c r="O4743" s="4"/>
      <c r="P4743" s="4"/>
    </row>
    <row r="4744" ht="15.75" hidden="1" customHeight="1">
      <c r="B4744" s="8">
        <v>5068.0</v>
      </c>
      <c r="C4744" s="9">
        <v>43458.0</v>
      </c>
      <c r="D4744" s="6">
        <v>84100.0</v>
      </c>
      <c r="E4744" s="4">
        <v>6.112001666E9</v>
      </c>
      <c r="F4744" s="8" t="s">
        <v>604</v>
      </c>
      <c r="G4744" s="4" t="s">
        <v>2589</v>
      </c>
      <c r="H4744" s="10" t="s">
        <v>3366</v>
      </c>
      <c r="I4744" s="10">
        <v>2000.0</v>
      </c>
      <c r="J4744" s="11" t="str">
        <f>IF(D4744&lt;&gt;"",VLOOKUP(H4744,TABLEITEM,5,FALSE),"")</f>
        <v>EA</v>
      </c>
      <c r="K4744" s="12">
        <v>6.11</v>
      </c>
      <c r="L4744" s="13" t="str">
        <f>IF(D4744&lt;&gt;"",VLOOKUP(H4744,TABLEITEM,2,FALSE),"")</f>
        <v/>
      </c>
      <c r="M4744" s="13" t="str">
        <f>IF(D4744&lt;&gt;"",VLOOKUP(H4744,TABLEITEM,3,FALSE),"")</f>
        <v>สตัด M8x30</v>
      </c>
      <c r="N4744" s="14">
        <f>INSTOCK!$I4744*INSTOCK!$K4744</f>
        <v>12220</v>
      </c>
      <c r="O4744" s="4"/>
      <c r="P4744" s="4"/>
    </row>
    <row r="4745" ht="15.75" hidden="1" customHeight="1">
      <c r="B4745" s="8">
        <v>5069.0</v>
      </c>
      <c r="C4745" s="9">
        <v>43458.0</v>
      </c>
      <c r="D4745" s="6" t="s">
        <v>5786</v>
      </c>
      <c r="E4745" s="4"/>
      <c r="F4745" s="8" t="s">
        <v>801</v>
      </c>
      <c r="G4745" s="4" t="s">
        <v>1417</v>
      </c>
      <c r="H4745" s="10" t="s">
        <v>803</v>
      </c>
      <c r="I4745" s="10">
        <v>15.0</v>
      </c>
      <c r="J4745" s="11" t="str">
        <f>IF(D4745&lt;&gt;"",VLOOKUP(H4745,TABLEITEM,5,FALSE),"")</f>
        <v>ถัง</v>
      </c>
      <c r="K4745" s="12">
        <v>981.31</v>
      </c>
      <c r="L4745" s="13" t="str">
        <f>IF(D4745&lt;&gt;"",VLOOKUP(H4745,TABLEITEM,2,FALSE),"")</f>
        <v/>
      </c>
      <c r="M4745" s="13" t="str">
        <f>IF(D4745&lt;&gt;"",VLOOKUP(H4745,TABLEITEM,3,FALSE),"")</f>
        <v>แก๊สหุงต้ม 48กก</v>
      </c>
      <c r="N4745" s="14">
        <f>INSTOCK!$I4745*INSTOCK!$K4745</f>
        <v>14719.65</v>
      </c>
      <c r="O4745" s="4"/>
      <c r="P4745" s="4"/>
    </row>
    <row r="4746" ht="15.75" hidden="1" customHeight="1">
      <c r="B4746" s="8">
        <v>5070.0</v>
      </c>
      <c r="C4746" s="9">
        <v>43458.0</v>
      </c>
      <c r="D4746" s="6">
        <v>6.11206448E8</v>
      </c>
      <c r="E4746" s="4">
        <v>6.112001659E9</v>
      </c>
      <c r="F4746" s="8"/>
      <c r="G4746" s="4" t="s">
        <v>1130</v>
      </c>
      <c r="H4746" s="10" t="s">
        <v>4283</v>
      </c>
      <c r="I4746" s="10">
        <v>10.0</v>
      </c>
      <c r="J4746" s="11" t="str">
        <f>IF(D4746&lt;&gt;"",VLOOKUP(H4746,TABLEITEM,5,FALSE),"")</f>
        <v>EA</v>
      </c>
      <c r="K4746" s="12">
        <v>16.192</v>
      </c>
      <c r="L4746" s="13" t="str">
        <f>IF(D4746&lt;&gt;"",VLOOKUP(H4746,TABLEITEM,2,FALSE),"")</f>
        <v/>
      </c>
      <c r="M4746" s="13" t="str">
        <f>IF(D4746&lt;&gt;"",VLOOKUP(H4746,TABLEITEM,3,FALSE),"")</f>
        <v>ฝาพลาสติก 2ช่อง WEG6803MB</v>
      </c>
      <c r="N4746" s="14">
        <f>INSTOCK!$I4746*INSTOCK!$K4746</f>
        <v>161.92</v>
      </c>
      <c r="O4746" s="4" t="s">
        <v>2365</v>
      </c>
      <c r="P4746" s="4"/>
    </row>
    <row r="4747" ht="15.75" hidden="1" customHeight="1">
      <c r="B4747" s="8">
        <v>5071.0</v>
      </c>
      <c r="C4747" s="9">
        <v>43458.0</v>
      </c>
      <c r="D4747" s="6" t="s">
        <v>5787</v>
      </c>
      <c r="E4747" s="4">
        <v>6.112001655E9</v>
      </c>
      <c r="F4747" s="8" t="s">
        <v>604</v>
      </c>
      <c r="G4747" s="4" t="s">
        <v>721</v>
      </c>
      <c r="H4747" s="10" t="s">
        <v>205</v>
      </c>
      <c r="I4747" s="10">
        <v>30.0</v>
      </c>
      <c r="J4747" s="11" t="str">
        <f>IF(D4747&lt;&gt;"",VLOOKUP(H4747,TABLEITEM,5,FALSE),"")</f>
        <v>EA</v>
      </c>
      <c r="K4747" s="12">
        <v>157.14</v>
      </c>
      <c r="L4747" s="13" t="str">
        <f>IF(D4747&lt;&gt;"",VLOOKUP(H4747,TABLEITEM,2,FALSE),"")</f>
        <v/>
      </c>
      <c r="M4747" s="13" t="str">
        <f>IF(D4747&lt;&gt;"",VLOOKUP(H4747,TABLEITEM,3,FALSE),"")</f>
        <v>รางวายดัก/รางPVC 33x65 mm.</v>
      </c>
      <c r="N4747" s="14">
        <f>INSTOCK!$I4747*INSTOCK!$K4747</f>
        <v>4714.2</v>
      </c>
      <c r="O4747" s="4" t="s">
        <v>5788</v>
      </c>
      <c r="P4747" s="4"/>
    </row>
    <row r="4748" ht="15.75" hidden="1" customHeight="1">
      <c r="B4748" s="8">
        <v>5072.0</v>
      </c>
      <c r="C4748" s="9">
        <v>43458.0</v>
      </c>
      <c r="D4748" s="6" t="s">
        <v>5787</v>
      </c>
      <c r="E4748" s="4">
        <v>6.112001655E9</v>
      </c>
      <c r="F4748" s="8" t="s">
        <v>604</v>
      </c>
      <c r="G4748" s="4" t="s">
        <v>721</v>
      </c>
      <c r="H4748" s="10" t="s">
        <v>207</v>
      </c>
      <c r="I4748" s="10">
        <v>48.0</v>
      </c>
      <c r="J4748" s="11" t="str">
        <f>IF(D4748&lt;&gt;"",VLOOKUP(H4748,TABLEITEM,5,FALSE),"")</f>
        <v>EA</v>
      </c>
      <c r="K4748" s="12">
        <v>168.78</v>
      </c>
      <c r="L4748" s="13" t="str">
        <f>IF(D4748&lt;&gt;"",VLOOKUP(H4748,TABLEITEM,2,FALSE),"")</f>
        <v/>
      </c>
      <c r="M4748" s="13" t="str">
        <f>IF(D4748&lt;&gt;"",VLOOKUP(H4748,TABLEITEM,3,FALSE),"")</f>
        <v>รางวายดัก/รางPVC 45x65 mm.</v>
      </c>
      <c r="N4748" s="14">
        <f>INSTOCK!$I4748*INSTOCK!$K4748</f>
        <v>8101.44</v>
      </c>
      <c r="O4748" s="4" t="s">
        <v>769</v>
      </c>
      <c r="P4748" s="4"/>
    </row>
    <row r="4749" ht="15.75" hidden="1" customHeight="1">
      <c r="B4749" s="8">
        <v>5073.0</v>
      </c>
      <c r="C4749" s="9">
        <v>43458.0</v>
      </c>
      <c r="D4749" s="6">
        <v>369979.0</v>
      </c>
      <c r="E4749" s="4">
        <v>6.112001656E9</v>
      </c>
      <c r="F4749" s="8" t="s">
        <v>604</v>
      </c>
      <c r="G4749" s="4" t="s">
        <v>696</v>
      </c>
      <c r="H4749" s="10" t="s">
        <v>44</v>
      </c>
      <c r="I4749" s="10">
        <v>4.0</v>
      </c>
      <c r="J4749" s="11" t="str">
        <f>IF(D4749&lt;&gt;"",VLOOKUP(H4749,TABLEITEM,5,FALSE),"")</f>
        <v>ปี๊ป</v>
      </c>
      <c r="K4749" s="12">
        <v>370.0</v>
      </c>
      <c r="L4749" s="13" t="str">
        <f>IF(D4749&lt;&gt;"",VLOOKUP(H4749,TABLEITEM,2,FALSE),"")</f>
        <v/>
      </c>
      <c r="M4749" s="13" t="str">
        <f>IF(D4749&lt;&gt;"",VLOOKUP(H4749,TABLEITEM,3,FALSE),"")</f>
        <v>ทินเนอร์ AAA</v>
      </c>
      <c r="N4749" s="14">
        <f>INSTOCK!$I4749*INSTOCK!$K4749</f>
        <v>1480</v>
      </c>
      <c r="O4749" s="4"/>
      <c r="P4749" s="4"/>
    </row>
    <row r="4750" ht="15.75" hidden="1" customHeight="1">
      <c r="B4750" s="8">
        <v>5074.0</v>
      </c>
      <c r="C4750" s="9">
        <v>43458.0</v>
      </c>
      <c r="D4750" s="6">
        <v>369979.0</v>
      </c>
      <c r="E4750" s="4">
        <v>6.112001656E9</v>
      </c>
      <c r="F4750" s="8" t="s">
        <v>604</v>
      </c>
      <c r="G4750" s="4" t="s">
        <v>696</v>
      </c>
      <c r="H4750" s="10" t="s">
        <v>43</v>
      </c>
      <c r="I4750" s="10">
        <v>3.0</v>
      </c>
      <c r="J4750" s="11" t="str">
        <f>IF(D4750&lt;&gt;"",VLOOKUP(H4750,TABLEITEM,5,FALSE),"")</f>
        <v>ปี๊ป</v>
      </c>
      <c r="K4750" s="12">
        <v>590.0</v>
      </c>
      <c r="L4750" s="13" t="str">
        <f>IF(D4750&lt;&gt;"",VLOOKUP(H4750,TABLEITEM,2,FALSE),"")</f>
        <v/>
      </c>
      <c r="M4750" s="13" t="str">
        <f>IF(D4750&lt;&gt;"",VLOOKUP(H4750,TABLEITEM,3,FALSE),"")</f>
        <v>ทินเนอร์อคลิลิค</v>
      </c>
      <c r="N4750" s="14">
        <f>INSTOCK!$I4750*INSTOCK!$K4750</f>
        <v>1770</v>
      </c>
      <c r="O4750" s="4"/>
      <c r="P4750" s="4"/>
    </row>
    <row r="4751" ht="15.75" hidden="1" customHeight="1">
      <c r="B4751" s="8">
        <v>5075.0</v>
      </c>
      <c r="C4751" s="9">
        <v>43458.0</v>
      </c>
      <c r="D4751" s="6" t="s">
        <v>5789</v>
      </c>
      <c r="E4751" s="4"/>
      <c r="F4751" s="8" t="s">
        <v>801</v>
      </c>
      <c r="G4751" s="4" t="s">
        <v>1417</v>
      </c>
      <c r="H4751" s="10" t="s">
        <v>5790</v>
      </c>
      <c r="I4751" s="10">
        <v>1.0</v>
      </c>
      <c r="J4751" s="11" t="str">
        <f>IF(D4751&lt;&gt;"",VLOOKUP(H4751,TABLEITEM,5,FALSE),"")</f>
        <v>ถัง</v>
      </c>
      <c r="K4751" s="12">
        <v>336.45</v>
      </c>
      <c r="L4751" s="13" t="str">
        <f>IF(D4751&lt;&gt;"",VLOOKUP(H4751,TABLEITEM,2,FALSE),"")</f>
        <v/>
      </c>
      <c r="M4751" s="13" t="str">
        <f>IF(D4751&lt;&gt;"",VLOOKUP(H4751,TABLEITEM,3,FALSE),"")</f>
        <v>แก๊สหุงต้ม 15กก</v>
      </c>
      <c r="N4751" s="14">
        <f>INSTOCK!$I4751*INSTOCK!$K4751</f>
        <v>336.45</v>
      </c>
      <c r="O4751" s="4"/>
      <c r="P4751" s="4"/>
    </row>
    <row r="4752" ht="15.75" hidden="1" customHeight="1">
      <c r="B4752" s="8">
        <v>5076.0</v>
      </c>
      <c r="C4752" s="9">
        <v>43455.0</v>
      </c>
      <c r="D4752" s="6" t="s">
        <v>5791</v>
      </c>
      <c r="E4752" s="4"/>
      <c r="F4752" s="8" t="s">
        <v>5792</v>
      </c>
      <c r="G4752" s="4" t="s">
        <v>1092</v>
      </c>
      <c r="H4752" s="10" t="s">
        <v>5793</v>
      </c>
      <c r="I4752" s="10">
        <v>3.0</v>
      </c>
      <c r="J4752" s="11" t="str">
        <f>IF(D4752&lt;&gt;"",VLOOKUP(H4752,TABLEITEM,5,FALSE),"")</f>
        <v>EA</v>
      </c>
      <c r="K4752" s="12">
        <v>180.0</v>
      </c>
      <c r="L4752" s="13" t="str">
        <f>IF(D4752&lt;&gt;"",VLOOKUP(H4752,TABLEITEM,2,FALSE),"")</f>
        <v/>
      </c>
      <c r="M4752" s="13" t="str">
        <f>IF(D4752&lt;&gt;"",VLOOKUP(H4752,TABLEITEM,3,FALSE),"")</f>
        <v>ก๊าซออกซิเจน 06Q</v>
      </c>
      <c r="N4752" s="14">
        <f>INSTOCK!$I4752*INSTOCK!$K4752</f>
        <v>540</v>
      </c>
      <c r="O4752" s="4"/>
      <c r="P4752" s="4"/>
    </row>
    <row r="4753" ht="15.75" hidden="1" customHeight="1">
      <c r="B4753" s="8">
        <v>5077.0</v>
      </c>
      <c r="C4753" s="9">
        <v>43454.0</v>
      </c>
      <c r="D4753" s="6">
        <v>36963.0</v>
      </c>
      <c r="E4753" s="4">
        <v>6.11200165E9</v>
      </c>
      <c r="F4753" s="8" t="s">
        <v>1442</v>
      </c>
      <c r="G4753" s="4" t="s">
        <v>696</v>
      </c>
      <c r="H4753" s="10" t="s">
        <v>5794</v>
      </c>
      <c r="I4753" s="10">
        <v>2.0</v>
      </c>
      <c r="J4753" s="11" t="str">
        <f>IF(D4753&lt;&gt;"",VLOOKUP(H4753,TABLEITEM,5,FALSE),"")</f>
        <v>เส้น</v>
      </c>
      <c r="K4753" s="12">
        <v>76.0</v>
      </c>
      <c r="L4753" s="13" t="str">
        <f>IF(D4753&lt;&gt;"",VLOOKUP(H4753,TABLEITEM,2,FALSE),"")</f>
        <v/>
      </c>
      <c r="M4753" s="13" t="str">
        <f>IF(D4753&lt;&gt;"",VLOOKUP(H4753,TABLEITEM,3,FALSE),"")</f>
        <v>สายพาน B 40</v>
      </c>
      <c r="N4753" s="14">
        <f>INSTOCK!$I4753*INSTOCK!$K4753</f>
        <v>152</v>
      </c>
      <c r="O4753" s="4"/>
      <c r="P4753" s="4"/>
    </row>
    <row r="4754" ht="15.75" hidden="1" customHeight="1">
      <c r="B4754" s="8">
        <v>5078.0</v>
      </c>
      <c r="C4754" s="9">
        <v>43454.0</v>
      </c>
      <c r="D4754" s="6">
        <v>36956.0</v>
      </c>
      <c r="E4754" s="4">
        <v>6.112001627E9</v>
      </c>
      <c r="F4754" s="8" t="s">
        <v>5795</v>
      </c>
      <c r="G4754" s="4" t="s">
        <v>696</v>
      </c>
      <c r="H4754" s="10" t="s">
        <v>3731</v>
      </c>
      <c r="I4754" s="10">
        <v>1.0</v>
      </c>
      <c r="J4754" s="11" t="str">
        <f>IF(D4754&lt;&gt;"",VLOOKUP(H4754,TABLEITEM,5,FALSE),"")</f>
        <v>เส้น</v>
      </c>
      <c r="K4754" s="12">
        <v>100.0</v>
      </c>
      <c r="L4754" s="13" t="str">
        <f>IF(D4754&lt;&gt;"",VLOOKUP(H4754,TABLEITEM,2,FALSE),"")</f>
        <v/>
      </c>
      <c r="M4754" s="13" t="str">
        <f>IF(D4754&lt;&gt;"",VLOOKUP(H4754,TABLEITEM,3,FALSE),"")</f>
        <v>ท่อPVC 1"</v>
      </c>
      <c r="N4754" s="14">
        <f>INSTOCK!$I4754*INSTOCK!$K4754</f>
        <v>100</v>
      </c>
      <c r="O4754" s="4"/>
      <c r="P4754" s="4"/>
    </row>
    <row r="4755" ht="15.75" hidden="1" customHeight="1">
      <c r="B4755" s="8">
        <v>5079.0</v>
      </c>
      <c r="C4755" s="9">
        <v>43454.0</v>
      </c>
      <c r="D4755" s="6">
        <v>36956.0</v>
      </c>
      <c r="E4755" s="4">
        <v>6.112001627E9</v>
      </c>
      <c r="F4755" s="8" t="s">
        <v>5795</v>
      </c>
      <c r="G4755" s="4" t="s">
        <v>696</v>
      </c>
      <c r="H4755" s="10" t="s">
        <v>5796</v>
      </c>
      <c r="I4755" s="10">
        <v>1.0</v>
      </c>
      <c r="J4755" s="11" t="str">
        <f>IF(D4755&lt;&gt;"",VLOOKUP(H4755,TABLEITEM,5,FALSE),"")</f>
        <v>เส้น</v>
      </c>
      <c r="K4755" s="12">
        <v>64.0</v>
      </c>
      <c r="L4755" s="13" t="str">
        <f>IF(D4755&lt;&gt;"",VLOOKUP(H4755,TABLEITEM,2,FALSE),"")</f>
        <v/>
      </c>
      <c r="M4755" s="13" t="str">
        <f>IF(D4755&lt;&gt;"",VLOOKUP(H4755,TABLEITEM,3,FALSE),"")</f>
        <v>ท่อ PVC 3/4"</v>
      </c>
      <c r="N4755" s="14">
        <f>INSTOCK!$I4755*INSTOCK!$K4755</f>
        <v>64</v>
      </c>
      <c r="O4755" s="4"/>
      <c r="P4755" s="4"/>
    </row>
    <row r="4756" ht="15.75" hidden="1" customHeight="1">
      <c r="B4756" s="8">
        <v>5080.0</v>
      </c>
      <c r="C4756" s="9">
        <v>43454.0</v>
      </c>
      <c r="D4756" s="6">
        <v>36956.0</v>
      </c>
      <c r="E4756" s="4">
        <v>6.112001627E9</v>
      </c>
      <c r="F4756" s="8" t="s">
        <v>5795</v>
      </c>
      <c r="G4756" s="4" t="s">
        <v>696</v>
      </c>
      <c r="H4756" s="10" t="s">
        <v>3728</v>
      </c>
      <c r="I4756" s="10">
        <v>2.0</v>
      </c>
      <c r="J4756" s="11" t="str">
        <f>IF(D4756&lt;&gt;"",VLOOKUP(H4756,TABLEITEM,5,FALSE),"")</f>
        <v>EA</v>
      </c>
      <c r="K4756" s="12">
        <v>6.0</v>
      </c>
      <c r="L4756" s="13" t="str">
        <f>IF(D4756&lt;&gt;"",VLOOKUP(H4756,TABLEITEM,2,FALSE),"")</f>
        <v/>
      </c>
      <c r="M4756" s="13" t="str">
        <f>IF(D4756&lt;&gt;"",VLOOKUP(H4756,TABLEITEM,3,FALSE),"")</f>
        <v>ต่อลด 1"x3/4" </v>
      </c>
      <c r="N4756" s="14">
        <f>INSTOCK!$I4756*INSTOCK!$K4756</f>
        <v>12</v>
      </c>
      <c r="O4756" s="4"/>
      <c r="P4756" s="4"/>
    </row>
    <row r="4757" ht="15.75" hidden="1" customHeight="1">
      <c r="B4757" s="8">
        <v>5081.0</v>
      </c>
      <c r="C4757" s="9">
        <v>43454.0</v>
      </c>
      <c r="D4757" s="6">
        <v>36956.0</v>
      </c>
      <c r="E4757" s="4">
        <v>6.112001627E9</v>
      </c>
      <c r="F4757" s="8" t="s">
        <v>5795</v>
      </c>
      <c r="G4757" s="4" t="s">
        <v>696</v>
      </c>
      <c r="H4757" s="10" t="s">
        <v>3732</v>
      </c>
      <c r="I4757" s="10">
        <v>2.0</v>
      </c>
      <c r="J4757" s="11" t="str">
        <f>IF(D4757&lt;&gt;"",VLOOKUP(H4757,TABLEITEM,5,FALSE),"")</f>
        <v>EA</v>
      </c>
      <c r="K4757" s="12">
        <v>6.0</v>
      </c>
      <c r="L4757" s="13" t="str">
        <f>IF(D4757&lt;&gt;"",VLOOKUP(H4757,TABLEITEM,2,FALSE),"")</f>
        <v/>
      </c>
      <c r="M4757" s="13" t="str">
        <f>IF(D4757&lt;&gt;"",VLOOKUP(H4757,TABLEITEM,3,FALSE),"")</f>
        <v>ต่อตรง 1"</v>
      </c>
      <c r="N4757" s="14">
        <f>INSTOCK!$I4757*INSTOCK!$K4757</f>
        <v>12</v>
      </c>
      <c r="O4757" s="4"/>
      <c r="P4757" s="4"/>
    </row>
    <row r="4758" ht="15.75" hidden="1" customHeight="1">
      <c r="B4758" s="8">
        <v>5082.0</v>
      </c>
      <c r="C4758" s="9">
        <v>43454.0</v>
      </c>
      <c r="D4758" s="6">
        <v>36956.0</v>
      </c>
      <c r="E4758" s="4">
        <v>6.112001627E9</v>
      </c>
      <c r="F4758" s="8" t="s">
        <v>5795</v>
      </c>
      <c r="G4758" s="4" t="s">
        <v>696</v>
      </c>
      <c r="H4758" s="18" t="s">
        <v>5763</v>
      </c>
      <c r="I4758" s="10">
        <v>3.0</v>
      </c>
      <c r="J4758" s="11" t="str">
        <f>IF(D4758&lt;&gt;"",VLOOKUP(H4758,TABLEITEM,5,FALSE),"")</f>
        <v>EA</v>
      </c>
      <c r="K4758" s="12">
        <v>12.0</v>
      </c>
      <c r="L4758" s="13" t="str">
        <f>IF(D4758&lt;&gt;"",VLOOKUP(H4758,TABLEITEM,2,FALSE),"")</f>
        <v/>
      </c>
      <c r="M4758" s="13" t="str">
        <f>IF(D4758&lt;&gt;"",VLOOKUP(H4758,TABLEITEM,3,FALSE),"")</f>
        <v>สามทาง PVC 1"</v>
      </c>
      <c r="N4758" s="14">
        <f>INSTOCK!$I4758*INSTOCK!$K4758</f>
        <v>36</v>
      </c>
      <c r="O4758" s="4"/>
      <c r="P4758" s="4"/>
    </row>
    <row r="4759" ht="15.75" hidden="1" customHeight="1">
      <c r="B4759" s="8">
        <v>5083.0</v>
      </c>
      <c r="C4759" s="9">
        <v>43454.0</v>
      </c>
      <c r="D4759" s="6">
        <v>36956.0</v>
      </c>
      <c r="E4759" s="4">
        <v>6.112001627E9</v>
      </c>
      <c r="F4759" s="8" t="s">
        <v>5795</v>
      </c>
      <c r="G4759" s="4" t="s">
        <v>696</v>
      </c>
      <c r="H4759" s="10" t="s">
        <v>3729</v>
      </c>
      <c r="I4759" s="10">
        <v>10.0</v>
      </c>
      <c r="J4759" s="11" t="str">
        <f>IF(D4759&lt;&gt;"",VLOOKUP(H4759,TABLEITEM,5,FALSE),"")</f>
        <v>EA</v>
      </c>
      <c r="K4759" s="12">
        <v>8.0</v>
      </c>
      <c r="L4759" s="13" t="str">
        <f>IF(D4759&lt;&gt;"",VLOOKUP(H4759,TABLEITEM,2,FALSE),"")</f>
        <v/>
      </c>
      <c r="M4759" s="13" t="str">
        <f>IF(D4759&lt;&gt;"",VLOOKUP(H4759,TABLEITEM,3,FALSE),"")</f>
        <v>ข้องอ 90 1"</v>
      </c>
      <c r="N4759" s="14">
        <f>INSTOCK!$I4759*INSTOCK!$K4759</f>
        <v>80</v>
      </c>
      <c r="O4759" s="4"/>
      <c r="P4759" s="4"/>
    </row>
    <row r="4760" ht="15.75" hidden="1" customHeight="1">
      <c r="B4760" s="8">
        <v>5084.0</v>
      </c>
      <c r="C4760" s="9">
        <v>43454.0</v>
      </c>
      <c r="D4760" s="6">
        <v>36956.0</v>
      </c>
      <c r="E4760" s="4">
        <v>6.112001627E9</v>
      </c>
      <c r="F4760" s="8" t="s">
        <v>5795</v>
      </c>
      <c r="G4760" s="4" t="s">
        <v>696</v>
      </c>
      <c r="H4760" s="18" t="s">
        <v>5764</v>
      </c>
      <c r="I4760" s="10">
        <v>10.0</v>
      </c>
      <c r="J4760" s="11" t="str">
        <f>IF(D4760&lt;&gt;"",VLOOKUP(H4760,TABLEITEM,5,FALSE),"")</f>
        <v>EA</v>
      </c>
      <c r="K4760" s="12">
        <v>5.0</v>
      </c>
      <c r="L4760" s="13" t="str">
        <f>IF(D4760&lt;&gt;"",VLOOKUP(H4760,TABLEITEM,2,FALSE),"")</f>
        <v/>
      </c>
      <c r="M4760" s="13" t="str">
        <f>IF(D4760&lt;&gt;"",VLOOKUP(H4760,TABLEITEM,3,FALSE),"")</f>
        <v>ต่อเกลียวนอก PVC 1"</v>
      </c>
      <c r="N4760" s="14">
        <f>INSTOCK!$I4760*INSTOCK!$K4760</f>
        <v>50</v>
      </c>
      <c r="O4760" s="4"/>
      <c r="P4760" s="4"/>
    </row>
    <row r="4761" ht="15.75" hidden="1" customHeight="1">
      <c r="B4761" s="8">
        <v>5085.0</v>
      </c>
      <c r="C4761" s="9">
        <v>43454.0</v>
      </c>
      <c r="D4761" s="6">
        <v>36956.0</v>
      </c>
      <c r="E4761" s="4">
        <v>6.112001627E9</v>
      </c>
      <c r="F4761" s="8" t="s">
        <v>5795</v>
      </c>
      <c r="G4761" s="4" t="s">
        <v>696</v>
      </c>
      <c r="H4761" s="10" t="s">
        <v>5797</v>
      </c>
      <c r="I4761" s="10">
        <v>4.0</v>
      </c>
      <c r="J4761" s="11" t="str">
        <f>IF(D4761&lt;&gt;"",VLOOKUP(H4761,TABLEITEM,5,FALSE),"")</f>
        <v>EA</v>
      </c>
      <c r="K4761" s="12">
        <v>3.5</v>
      </c>
      <c r="L4761" s="13" t="str">
        <f>IF(D4761&lt;&gt;"",VLOOKUP(H4761,TABLEITEM,2,FALSE),"")</f>
        <v/>
      </c>
      <c r="M4761" s="13" t="str">
        <f>IF(D4761&lt;&gt;"",VLOOKUP(H4761,TABLEITEM,3,FALSE),"")</f>
        <v>ต่อเกลียวนอก 3/4"</v>
      </c>
      <c r="N4761" s="14">
        <f>INSTOCK!$I4761*INSTOCK!$K4761</f>
        <v>14</v>
      </c>
      <c r="O4761" s="4"/>
      <c r="P4761" s="4"/>
    </row>
    <row r="4762" ht="15.75" hidden="1" customHeight="1">
      <c r="B4762" s="8">
        <v>5086.0</v>
      </c>
      <c r="C4762" s="9">
        <v>43454.0</v>
      </c>
      <c r="D4762" s="6">
        <v>36956.0</v>
      </c>
      <c r="E4762" s="4">
        <v>6.112001627E9</v>
      </c>
      <c r="F4762" s="8" t="s">
        <v>5795</v>
      </c>
      <c r="G4762" s="4" t="s">
        <v>696</v>
      </c>
      <c r="H4762" s="10" t="s">
        <v>5798</v>
      </c>
      <c r="I4762" s="10">
        <v>2.0</v>
      </c>
      <c r="J4762" s="11" t="str">
        <f>IF(D4762&lt;&gt;"",VLOOKUP(H4762,TABLEITEM,5,FALSE),"")</f>
        <v>EA</v>
      </c>
      <c r="K4762" s="12">
        <v>6.5</v>
      </c>
      <c r="L4762" s="13" t="str">
        <f>IF(D4762&lt;&gt;"",VLOOKUP(H4762,TABLEITEM,2,FALSE),"")</f>
        <v/>
      </c>
      <c r="M4762" s="13" t="str">
        <f>IF(D4762&lt;&gt;"",VLOOKUP(H4762,TABLEITEM,3,FALSE),"")</f>
        <v>สามทาง PVC 3/4"</v>
      </c>
      <c r="N4762" s="14">
        <f>INSTOCK!$I4762*INSTOCK!$K4762</f>
        <v>13</v>
      </c>
      <c r="O4762" s="4"/>
      <c r="P4762" s="4"/>
    </row>
    <row r="4763" ht="15.75" hidden="1" customHeight="1">
      <c r="B4763" s="8">
        <v>5087.0</v>
      </c>
      <c r="C4763" s="9">
        <v>43454.0</v>
      </c>
      <c r="D4763" s="6">
        <v>36956.0</v>
      </c>
      <c r="E4763" s="4">
        <v>6.112001627E9</v>
      </c>
      <c r="F4763" s="8" t="s">
        <v>5795</v>
      </c>
      <c r="G4763" s="4" t="s">
        <v>696</v>
      </c>
      <c r="H4763" s="10" t="s">
        <v>3735</v>
      </c>
      <c r="I4763" s="10">
        <v>1.0</v>
      </c>
      <c r="J4763" s="11" t="str">
        <f>IF(D4763&lt;&gt;"",VLOOKUP(H4763,TABLEITEM,5,FALSE),"")</f>
        <v>กป.</v>
      </c>
      <c r="K4763" s="12">
        <v>110.0</v>
      </c>
      <c r="L4763" s="13" t="str">
        <f>IF(D4763&lt;&gt;"",VLOOKUP(H4763,TABLEITEM,2,FALSE),"")</f>
        <v/>
      </c>
      <c r="M4763" s="13" t="str">
        <f>IF(D4763&lt;&gt;"",VLOOKUP(H4763,TABLEITEM,3,FALSE),"")</f>
        <v>กาวทาท่อน้ำไทย 250g</v>
      </c>
      <c r="N4763" s="14">
        <f>INSTOCK!$I4763*INSTOCK!$K4763</f>
        <v>110</v>
      </c>
      <c r="O4763" s="4"/>
      <c r="P4763" s="4"/>
    </row>
    <row r="4764" ht="15.75" hidden="1" customHeight="1">
      <c r="B4764" s="8">
        <v>5088.0</v>
      </c>
      <c r="C4764" s="9">
        <v>43647.0</v>
      </c>
      <c r="D4764" s="6" t="s">
        <v>5799</v>
      </c>
      <c r="E4764" s="4">
        <v>6.206000975E9</v>
      </c>
      <c r="F4764" s="8" t="s">
        <v>604</v>
      </c>
      <c r="G4764" s="4" t="s">
        <v>617</v>
      </c>
      <c r="H4764" s="10" t="s">
        <v>556</v>
      </c>
      <c r="I4764" s="10">
        <v>100.0</v>
      </c>
      <c r="J4764" s="11" t="str">
        <f>IF(D4764&lt;&gt;"",VLOOKUP(H4764,TABLEITEM,5,FALSE),"")</f>
        <v>M</v>
      </c>
      <c r="K4764" s="12">
        <v>214.2</v>
      </c>
      <c r="L4764" s="13" t="str">
        <f>IF(D4764&lt;&gt;"",VLOOKUP(H4764,TABLEITEM,2,FALSE),"")</f>
        <v>Busbar</v>
      </c>
      <c r="M4764" s="13" t="str">
        <f>IF(D4764&lt;&gt;"",VLOOKUP(H4764,TABLEITEM,3,FALSE),"")</f>
        <v>บัสบาร์ทองแดง 20x5</v>
      </c>
      <c r="N4764" s="14">
        <f>INSTOCK!$I4764*INSTOCK!$K4764</f>
        <v>21420</v>
      </c>
      <c r="O4764" s="4" t="s">
        <v>2381</v>
      </c>
      <c r="P4764" s="4"/>
    </row>
    <row r="4765" ht="15.75" hidden="1" customHeight="1">
      <c r="B4765" s="8">
        <v>5089.0</v>
      </c>
      <c r="C4765" s="9">
        <v>43643.0</v>
      </c>
      <c r="D4765" s="6" t="s">
        <v>5800</v>
      </c>
      <c r="E4765" s="4">
        <v>6.206000947E9</v>
      </c>
      <c r="F4765" s="8" t="s">
        <v>5801</v>
      </c>
      <c r="G4765" s="4" t="s">
        <v>1453</v>
      </c>
      <c r="H4765" s="10" t="s">
        <v>5459</v>
      </c>
      <c r="I4765" s="10">
        <v>10.0</v>
      </c>
      <c r="J4765" s="11" t="str">
        <f>IF(D4765&lt;&gt;"",VLOOKUP(H4765,TABLEITEM,5,FALSE),"")</f>
        <v>EA</v>
      </c>
      <c r="K4765" s="12">
        <v>545.3</v>
      </c>
      <c r="L4765" s="13" t="str">
        <f>IF(D4765&lt;&gt;"",VLOOKUP(H4765,TABLEITEM,2,FALSE),"")</f>
        <v/>
      </c>
      <c r="M4765" s="13" t="str">
        <f>IF(D4765&lt;&gt;"",VLOOKUP(H4765,TABLEITEM,3,FALSE),"")</f>
        <v>พัดลม 6" FP-108X-S1-B AC220/240V</v>
      </c>
      <c r="N4765" s="14">
        <f>INSTOCK!$I4765*INSTOCK!$K4765</f>
        <v>5453</v>
      </c>
      <c r="O4765" s="4" t="s">
        <v>5460</v>
      </c>
      <c r="P4765" s="4"/>
    </row>
    <row r="4766" ht="15.75" hidden="1" customHeight="1">
      <c r="B4766" s="8">
        <v>5090.0</v>
      </c>
      <c r="C4766" s="9">
        <v>43643.0</v>
      </c>
      <c r="D4766" s="6" t="s">
        <v>5800</v>
      </c>
      <c r="E4766" s="4">
        <v>6.206000947E9</v>
      </c>
      <c r="F4766" s="8" t="s">
        <v>5801</v>
      </c>
      <c r="G4766" s="4" t="s">
        <v>1453</v>
      </c>
      <c r="H4766" s="18" t="s">
        <v>5461</v>
      </c>
      <c r="I4766" s="10">
        <v>10.0</v>
      </c>
      <c r="J4766" s="11" t="str">
        <f>IF(D4766&lt;&gt;"",VLOOKUP(H4766,TABLEITEM,5,FALSE),"")</f>
        <v>EA</v>
      </c>
      <c r="K4766" s="12">
        <v>100.0</v>
      </c>
      <c r="L4766" s="13" t="str">
        <f>IF(D4766&lt;&gt;"",VLOOKUP(H4766,TABLEITEM,2,FALSE),"")</f>
        <v/>
      </c>
      <c r="M4766" s="13" t="str">
        <f>IF(D4766&lt;&gt;"",VLOOKUP(H4766,TABLEITEM,3,FALSE),"")</f>
        <v>ตะแกรงพัดลม 6" S-0172-7 T</v>
      </c>
      <c r="N4766" s="14">
        <f>INSTOCK!$I4766*INSTOCK!$K4766</f>
        <v>1000</v>
      </c>
      <c r="O4766" s="4"/>
      <c r="P4766" s="4"/>
    </row>
    <row r="4767" ht="15.75" hidden="1" customHeight="1">
      <c r="B4767" s="8">
        <v>5091.0</v>
      </c>
      <c r="C4767" s="9">
        <v>43642.0</v>
      </c>
      <c r="D4767" s="6" t="s">
        <v>5802</v>
      </c>
      <c r="E4767" s="4">
        <v>6.205000722E9</v>
      </c>
      <c r="F4767" s="8" t="s">
        <v>604</v>
      </c>
      <c r="G4767" s="4" t="s">
        <v>3099</v>
      </c>
      <c r="H4767" s="10" t="s">
        <v>4659</v>
      </c>
      <c r="I4767" s="10">
        <v>1000.0</v>
      </c>
      <c r="J4767" s="11" t="str">
        <f>IF(D4767&lt;&gt;"",VLOOKUP(H4767,TABLEITEM,5,FALSE),"")</f>
        <v>EA</v>
      </c>
      <c r="K4767" s="12">
        <v>10.3</v>
      </c>
      <c r="L4767" s="13" t="str">
        <f>IF(D4767&lt;&gt;"",VLOOKUP(H4767,TABLEITEM,2,FALSE),"")</f>
        <v/>
      </c>
      <c r="M4767" s="13" t="str">
        <f>IF(D4767&lt;&gt;"",VLOOKUP(H4767,TABLEITEM,3,FALSE),"")</f>
        <v>ชุด STOPER WITH ROOLER#001 ชุบขาว</v>
      </c>
      <c r="N4767" s="14">
        <f>INSTOCK!$I4767*INSTOCK!$K4767</f>
        <v>10300</v>
      </c>
      <c r="O4767" s="4"/>
      <c r="P4767" s="4"/>
    </row>
    <row r="4768" ht="15.75" hidden="1" customHeight="1">
      <c r="B4768" s="8">
        <v>5092.0</v>
      </c>
      <c r="C4768" s="9">
        <v>43617.0</v>
      </c>
      <c r="D4768" s="6" t="s">
        <v>5803</v>
      </c>
      <c r="E4768" s="4">
        <v>6.206000848E9</v>
      </c>
      <c r="F4768" s="8" t="s">
        <v>604</v>
      </c>
      <c r="G4768" s="4" t="s">
        <v>3099</v>
      </c>
      <c r="H4768" s="10" t="s">
        <v>3203</v>
      </c>
      <c r="I4768" s="10">
        <v>505.0</v>
      </c>
      <c r="J4768" s="11" t="str">
        <f>IF(D4768&lt;&gt;"",VLOOKUP(H4768,TABLEITEM,5,FALSE),"")</f>
        <v>EA</v>
      </c>
      <c r="K4768" s="12">
        <v>8.4</v>
      </c>
      <c r="L4768" s="13" t="str">
        <f>IF(D4768&lt;&gt;"",VLOOKUP(H4768,TABLEITEM,2,FALSE),"")</f>
        <v/>
      </c>
      <c r="M4768" s="13" t="str">
        <f>IF(D4768&lt;&gt;"",VLOOKUP(H4768,TABLEITEM,3,FALSE),"")</f>
        <v>สลักบานประตู 1040 mm.</v>
      </c>
      <c r="N4768" s="14">
        <f>INSTOCK!$I4768*INSTOCK!$K4768</f>
        <v>4242</v>
      </c>
      <c r="O4768" s="4"/>
      <c r="P4768" s="4"/>
    </row>
    <row r="4769" ht="15.75" hidden="1" customHeight="1">
      <c r="B4769" s="8">
        <v>5093.0</v>
      </c>
      <c r="C4769" s="9">
        <v>43617.0</v>
      </c>
      <c r="D4769" s="6" t="s">
        <v>5803</v>
      </c>
      <c r="E4769" s="4">
        <v>6.206000848E9</v>
      </c>
      <c r="F4769" s="8" t="s">
        <v>604</v>
      </c>
      <c r="G4769" s="4" t="s">
        <v>3099</v>
      </c>
      <c r="H4769" s="10" t="s">
        <v>2471</v>
      </c>
      <c r="I4769" s="10">
        <v>169.0</v>
      </c>
      <c r="J4769" s="11" t="str">
        <f>IF(D4769&lt;&gt;"",VLOOKUP(H4769,TABLEITEM,5,FALSE),"")</f>
        <v>EA</v>
      </c>
      <c r="K4769" s="12">
        <v>8.4</v>
      </c>
      <c r="L4769" s="13" t="str">
        <f>IF(D4769&lt;&gt;"",VLOOKUP(H4769,TABLEITEM,2,FALSE),"")</f>
        <v/>
      </c>
      <c r="M4769" s="13" t="str">
        <f>IF(D4769&lt;&gt;"",VLOOKUP(H4769,TABLEITEM,3,FALSE),"")</f>
        <v>สลักบานประตู 880 mm.</v>
      </c>
      <c r="N4769" s="14">
        <f>INSTOCK!$I4769*INSTOCK!$K4769</f>
        <v>1419.6</v>
      </c>
      <c r="O4769" s="4"/>
      <c r="P4769" s="4"/>
    </row>
    <row r="4770" ht="15.75" hidden="1" customHeight="1">
      <c r="B4770" s="8">
        <v>5094.0</v>
      </c>
      <c r="C4770" s="9">
        <v>43617.0</v>
      </c>
      <c r="D4770" s="6">
        <v>27626.0</v>
      </c>
      <c r="E4770" s="4"/>
      <c r="F4770" s="8" t="s">
        <v>4488</v>
      </c>
      <c r="G4770" s="4" t="s">
        <v>2528</v>
      </c>
      <c r="H4770" s="10" t="s">
        <v>2529</v>
      </c>
      <c r="I4770" s="10">
        <v>570.0</v>
      </c>
      <c r="J4770" s="11" t="str">
        <f>IF(D4770&lt;&gt;"",VLOOKUP(H4770,TABLEITEM,5,FALSE),"")</f>
        <v>KG.</v>
      </c>
      <c r="K4770" s="12">
        <v>17.0</v>
      </c>
      <c r="L4770" s="13" t="str">
        <f>IF(D4770&lt;&gt;"",VLOOKUP(H4770,TABLEITEM,2,FALSE),"")</f>
        <v/>
      </c>
      <c r="M4770" s="13" t="str">
        <f>IF(D4770&lt;&gt;"",VLOOKUP(H4770,TABLEITEM,3,FALSE),"")</f>
        <v>งานชุบ HOT DIP</v>
      </c>
      <c r="N4770" s="14">
        <f>INSTOCK!$I4770*INSTOCK!$K4770</f>
        <v>9690</v>
      </c>
      <c r="O4770" s="4" t="s">
        <v>5804</v>
      </c>
      <c r="P4770" s="4"/>
    </row>
    <row r="4771" ht="15.75" hidden="1" customHeight="1">
      <c r="B4771" s="8">
        <v>5095.0</v>
      </c>
      <c r="C4771" s="9">
        <v>43643.0</v>
      </c>
      <c r="D4771" s="6" t="s">
        <v>5805</v>
      </c>
      <c r="E4771" s="4"/>
      <c r="F4771" s="8" t="s">
        <v>5806</v>
      </c>
      <c r="G4771" s="4" t="s">
        <v>898</v>
      </c>
      <c r="H4771" s="10" t="s">
        <v>899</v>
      </c>
      <c r="I4771" s="10">
        <v>1.0</v>
      </c>
      <c r="J4771" s="11" t="str">
        <f>IF(D4771&lt;&gt;"",VLOOKUP(H4771,TABLEITEM,5,FALSE),"")</f>
        <v>LIT</v>
      </c>
      <c r="K4771" s="12">
        <v>380.0</v>
      </c>
      <c r="L4771" s="13" t="str">
        <f>IF(D4771&lt;&gt;"",VLOOKUP(H4771,TABLEITEM,2,FALSE),"")</f>
        <v/>
      </c>
      <c r="M4771" s="13" t="str">
        <f>IF(D4771&lt;&gt;"",VLOOKUP(H4771,TABLEITEM,3,FALSE),"")</f>
        <v>สีพ่นแห้งเร็ว(สีผสม)</v>
      </c>
      <c r="N4771" s="14">
        <f>INSTOCK!$I4771*INSTOCK!$K4771</f>
        <v>380</v>
      </c>
      <c r="O4771" s="4" t="s">
        <v>5807</v>
      </c>
      <c r="P4771" s="4"/>
    </row>
    <row r="4772" ht="15.75" hidden="1" customHeight="1">
      <c r="B4772" s="8">
        <v>5096.0</v>
      </c>
      <c r="C4772" s="9">
        <v>43642.0</v>
      </c>
      <c r="D4772" s="6" t="s">
        <v>5808</v>
      </c>
      <c r="E4772" s="4">
        <v>6.206000965E9</v>
      </c>
      <c r="F4772" s="8" t="s">
        <v>807</v>
      </c>
      <c r="G4772" s="4" t="s">
        <v>808</v>
      </c>
      <c r="H4772" s="10" t="s">
        <v>812</v>
      </c>
      <c r="I4772" s="10">
        <v>1.0</v>
      </c>
      <c r="J4772" s="11" t="str">
        <f>IF(D4772&lt;&gt;"",VLOOKUP(H4772,TABLEITEM,5,FALSE),"")</f>
        <v>ท่อ</v>
      </c>
      <c r="K4772" s="12">
        <v>2960.0</v>
      </c>
      <c r="L4772" s="13" t="str">
        <f>IF(D4772&lt;&gt;"",VLOOKUP(H4772,TABLEITEM,2,FALSE),"")</f>
        <v/>
      </c>
      <c r="M4772" s="13" t="str">
        <f>IF(D4772&lt;&gt;"",VLOOKUP(H4772,TABLEITEM,3,FALSE),"")</f>
        <v>ออกซิเจนเหลว ขนาด 148 คิว</v>
      </c>
      <c r="N4772" s="14">
        <f>INSTOCK!$I4772*INSTOCK!$K4772</f>
        <v>2960</v>
      </c>
      <c r="O4772" s="4"/>
      <c r="P4772" s="4"/>
    </row>
    <row r="4773" ht="15.75" hidden="1" customHeight="1">
      <c r="B4773" s="8">
        <v>5097.0</v>
      </c>
      <c r="C4773" s="9">
        <v>43642.0</v>
      </c>
      <c r="D4773" s="6" t="s">
        <v>5808</v>
      </c>
      <c r="E4773" s="4">
        <v>6.206000965E9</v>
      </c>
      <c r="F4773" s="8" t="s">
        <v>823</v>
      </c>
      <c r="G4773" s="4" t="s">
        <v>808</v>
      </c>
      <c r="H4773" s="10" t="s">
        <v>824</v>
      </c>
      <c r="I4773" s="10">
        <v>2.0</v>
      </c>
      <c r="J4773" s="11" t="str">
        <f>IF(D4773&lt;&gt;"",VLOOKUP(H4773,TABLEITEM,5,FALSE),"")</f>
        <v>ท่อ</v>
      </c>
      <c r="K4773" s="12">
        <v>600.0</v>
      </c>
      <c r="L4773" s="13" t="str">
        <f>IF(D4773&lt;&gt;"",VLOOKUP(H4773,TABLEITEM,2,FALSE),"")</f>
        <v/>
      </c>
      <c r="M4773" s="13" t="str">
        <f>IF(D4773&lt;&gt;"",VLOOKUP(H4773,TABLEITEM,3,FALSE),"")</f>
        <v>20% CO2 Balance AR ขนาด 6คิว</v>
      </c>
      <c r="N4773" s="14">
        <f>INSTOCK!$I4773*INSTOCK!$K4773</f>
        <v>1200</v>
      </c>
      <c r="O4773" s="4"/>
      <c r="P4773" s="4"/>
    </row>
    <row r="4774" ht="15.75" hidden="1" customHeight="1">
      <c r="B4774" s="8">
        <v>5098.0</v>
      </c>
      <c r="C4774" s="9">
        <v>43642.0</v>
      </c>
      <c r="D4774" s="6" t="s">
        <v>5809</v>
      </c>
      <c r="E4774" s="4">
        <v>6.206000962E9</v>
      </c>
      <c r="F4774" s="8" t="s">
        <v>5810</v>
      </c>
      <c r="G4774" s="4" t="s">
        <v>982</v>
      </c>
      <c r="H4774" s="18" t="s">
        <v>986</v>
      </c>
      <c r="I4774" s="10">
        <v>300.0</v>
      </c>
      <c r="J4774" s="11" t="str">
        <f>IF(D4774&lt;&gt;"",VLOOKUP(H4774,TABLEITEM,5,FALSE),"")</f>
        <v>KG.</v>
      </c>
      <c r="K4774" s="12">
        <v>41.0</v>
      </c>
      <c r="L4774" s="13" t="str">
        <f>IF(D4774&lt;&gt;"",VLOOKUP(H4774,TABLEITEM,2,FALSE),"")</f>
        <v/>
      </c>
      <c r="M4774" s="13" t="str">
        <f>IF(D4774&lt;&gt;"",VLOOKUP(H4774,TABLEITEM,3,FALSE),"")</f>
        <v>เคมีฟอสเฟต PN-134</v>
      </c>
      <c r="N4774" s="14">
        <f>INSTOCK!$I4774*INSTOCK!$K4774</f>
        <v>12300</v>
      </c>
      <c r="O4774" s="4"/>
      <c r="P4774" s="4"/>
    </row>
    <row r="4775" ht="15.75" hidden="1" customHeight="1">
      <c r="B4775" s="8">
        <v>5099.0</v>
      </c>
      <c r="C4775" s="9">
        <v>43642.0</v>
      </c>
      <c r="D4775" s="6" t="s">
        <v>5809</v>
      </c>
      <c r="E4775" s="4">
        <v>6.206000962E9</v>
      </c>
      <c r="F4775" s="8" t="s">
        <v>5810</v>
      </c>
      <c r="G4775" s="4" t="s">
        <v>982</v>
      </c>
      <c r="H4775" s="10" t="s">
        <v>983</v>
      </c>
      <c r="I4775" s="10">
        <v>200.0</v>
      </c>
      <c r="J4775" s="11" t="str">
        <f>IF(D4775&lt;&gt;"",VLOOKUP(H4775,TABLEITEM,5,FALSE),"")</f>
        <v>KG.</v>
      </c>
      <c r="K4775" s="12">
        <v>37.0</v>
      </c>
      <c r="L4775" s="13" t="str">
        <f>IF(D4775&lt;&gt;"",VLOOKUP(H4775,TABLEITEM,2,FALSE),"")</f>
        <v/>
      </c>
      <c r="M4775" s="13" t="str">
        <f>IF(D4775&lt;&gt;"",VLOOKUP(H4775,TABLEITEM,3,FALSE),"")</f>
        <v>เคมี ADDITIVE P-8</v>
      </c>
      <c r="N4775" s="14">
        <f>INSTOCK!$I4775*INSTOCK!$K4775</f>
        <v>7400</v>
      </c>
      <c r="O4775" s="4"/>
      <c r="P4775" s="4"/>
    </row>
    <row r="4776" ht="15.75" hidden="1" customHeight="1">
      <c r="B4776" s="8">
        <v>5100.0</v>
      </c>
      <c r="C4776" s="9">
        <v>43642.0</v>
      </c>
      <c r="D4776" s="6" t="s">
        <v>5811</v>
      </c>
      <c r="E4776" s="4">
        <v>6.206000964E9</v>
      </c>
      <c r="F4776" s="8" t="s">
        <v>5326</v>
      </c>
      <c r="G4776" s="4" t="s">
        <v>665</v>
      </c>
      <c r="H4776" s="10" t="s">
        <v>464</v>
      </c>
      <c r="I4776" s="10">
        <v>1500.0</v>
      </c>
      <c r="J4776" s="11" t="str">
        <f>IF(D4776&lt;&gt;"",VLOOKUP(H4776,TABLEITEM,5,FALSE),"")</f>
        <v>M</v>
      </c>
      <c r="K4776" s="12">
        <v>5.0</v>
      </c>
      <c r="L4776" s="13" t="str">
        <f>IF(D4776&lt;&gt;"",VLOOKUP(H4776,TABLEITEM,2,FALSE),"")</f>
        <v>wire</v>
      </c>
      <c r="M4776" s="13" t="str">
        <f>IF(D4776&lt;&gt;"",VLOOKUP(H4776,TABLEITEM,3,FALSE),"")</f>
        <v>สายไฟ VSF1x1 SQMM.สีขาว</v>
      </c>
      <c r="N4776" s="14">
        <f>INSTOCK!$I4776*INSTOCK!$K4776</f>
        <v>7500</v>
      </c>
      <c r="O4776" s="4"/>
      <c r="P4776" s="4"/>
    </row>
    <row r="4777" ht="15.75" hidden="1" customHeight="1">
      <c r="B4777" s="8">
        <v>5101.0</v>
      </c>
      <c r="C4777" s="9">
        <v>43642.0</v>
      </c>
      <c r="D4777" s="6">
        <v>39150.0</v>
      </c>
      <c r="E4777" s="4">
        <v>6.206000969E9</v>
      </c>
      <c r="F4777" s="8" t="s">
        <v>1973</v>
      </c>
      <c r="G4777" s="4" t="s">
        <v>696</v>
      </c>
      <c r="H4777" s="10" t="s">
        <v>5812</v>
      </c>
      <c r="I4777" s="10">
        <v>2.0</v>
      </c>
      <c r="J4777" s="11" t="str">
        <f>IF(D4777&lt;&gt;"",VLOOKUP(H4777,TABLEITEM,5,FALSE),"")</f>
        <v>เส้น</v>
      </c>
      <c r="K4777" s="12">
        <v>61.0</v>
      </c>
      <c r="L4777" s="13" t="str">
        <f>IF(D4777&lt;&gt;"",VLOOKUP(H4777,TABLEITEM,2,FALSE),"")</f>
        <v/>
      </c>
      <c r="M4777" s="13" t="str">
        <f>IF(D4777&lt;&gt;"",VLOOKUP(H4777,TABLEITEM,3,FALSE),"")</f>
        <v>สายพาน B 36</v>
      </c>
      <c r="N4777" s="14">
        <f>INSTOCK!$I4777*INSTOCK!$K4777</f>
        <v>122</v>
      </c>
      <c r="O4777" s="4"/>
      <c r="P4777" s="4"/>
    </row>
    <row r="4778" ht="15.75" hidden="1" customHeight="1">
      <c r="B4778" s="8">
        <v>5102.0</v>
      </c>
      <c r="C4778" s="9">
        <v>43640.0</v>
      </c>
      <c r="D4778" s="6" t="s">
        <v>5813</v>
      </c>
      <c r="E4778" s="4">
        <v>6.206000959E9</v>
      </c>
      <c r="F4778" s="8" t="s">
        <v>1973</v>
      </c>
      <c r="G4778" s="4" t="s">
        <v>2281</v>
      </c>
      <c r="H4778" s="10" t="s">
        <v>2282</v>
      </c>
      <c r="I4778" s="10">
        <v>30.0</v>
      </c>
      <c r="J4778" s="11" t="str">
        <f>IF(D4778&lt;&gt;"",VLOOKUP(H4778,TABLEITEM,5,FALSE),"")</f>
        <v>EA</v>
      </c>
      <c r="K4778" s="12">
        <v>650.0</v>
      </c>
      <c r="L4778" s="13" t="str">
        <f>IF(D4778&lt;&gt;"",VLOOKUP(H4778,TABLEITEM,2,FALSE),"")</f>
        <v/>
      </c>
      <c r="M4778" s="13" t="str">
        <f>IF(D4778&lt;&gt;"",VLOOKUP(H4778,TABLEITEM,3,FALSE),"")</f>
        <v>โซ่ 5 ตัน รุ่นมาตรฐาน STD</v>
      </c>
      <c r="N4778" s="14">
        <f>INSTOCK!$I4778*INSTOCK!$K4778</f>
        <v>19500</v>
      </c>
      <c r="O4778" s="4"/>
      <c r="P4778" s="4"/>
    </row>
    <row r="4779" ht="15.75" hidden="1" customHeight="1">
      <c r="B4779" s="8">
        <v>5103.0</v>
      </c>
      <c r="C4779" s="9">
        <v>43818.0</v>
      </c>
      <c r="D4779" s="6" t="s">
        <v>5814</v>
      </c>
      <c r="E4779" s="4"/>
      <c r="F4779" s="8" t="s">
        <v>1984</v>
      </c>
      <c r="G4779" s="4" t="s">
        <v>2450</v>
      </c>
      <c r="H4779" s="10" t="s">
        <v>2451</v>
      </c>
      <c r="I4779" s="10">
        <v>196.0</v>
      </c>
      <c r="J4779" s="11" t="str">
        <f>IF(D4779&lt;&gt;"",VLOOKUP(H4779,TABLEITEM,5,FALSE),"")</f>
        <v>EA</v>
      </c>
      <c r="K4779" s="12">
        <v>180.0</v>
      </c>
      <c r="L4779" s="13" t="str">
        <f>IF(D4779&lt;&gt;"",VLOOKUP(H4779,TABLEITEM,2,FALSE),"")</f>
        <v/>
      </c>
      <c r="M4779" s="13" t="str">
        <f>IF(D4779&lt;&gt;"",VLOOKUP(H4779,TABLEITEM,3,FALSE),"")</f>
        <v>เสื้อโปโล(เสื้อพนักงาน)</v>
      </c>
      <c r="N4779" s="14">
        <f>INSTOCK!$I4779*INSTOCK!$K4779</f>
        <v>35280</v>
      </c>
      <c r="O4779" s="4"/>
      <c r="P4779" s="4"/>
    </row>
    <row r="4780" ht="15.75" hidden="1" customHeight="1">
      <c r="B4780" s="8">
        <v>5104.0</v>
      </c>
      <c r="C4780" s="9">
        <v>43818.0</v>
      </c>
      <c r="D4780" s="6" t="s">
        <v>5815</v>
      </c>
      <c r="E4780" s="4">
        <v>6.112001647E9</v>
      </c>
      <c r="F4780" s="8" t="s">
        <v>604</v>
      </c>
      <c r="G4780" s="4" t="s">
        <v>965</v>
      </c>
      <c r="H4780" s="10" t="s">
        <v>1951</v>
      </c>
      <c r="I4780" s="10">
        <v>12.0</v>
      </c>
      <c r="J4780" s="11" t="str">
        <f>IF(D4780&lt;&gt;"",VLOOKUP(H4780,TABLEITEM,5,FALSE),"")</f>
        <v>EA</v>
      </c>
      <c r="K4780" s="12">
        <v>18.0</v>
      </c>
      <c r="L4780" s="13" t="str">
        <f>IF(D4780&lt;&gt;"",VLOOKUP(H4780,TABLEITEM,2,FALSE),"")</f>
        <v/>
      </c>
      <c r="M4780" s="13" t="str">
        <f>IF(D4780&lt;&gt;"",VLOOKUP(H4780,TABLEITEM,3,FALSE),"")</f>
        <v>พุกตะกั่ว 3/8"</v>
      </c>
      <c r="N4780" s="14">
        <f>INSTOCK!$I4780*INSTOCK!$K4780</f>
        <v>216</v>
      </c>
      <c r="O4780" s="4"/>
      <c r="P4780" s="4"/>
    </row>
    <row r="4781" ht="15.75" hidden="1" customHeight="1">
      <c r="B4781" s="8">
        <v>5105.0</v>
      </c>
      <c r="C4781" s="9">
        <v>43818.0</v>
      </c>
      <c r="D4781" s="6" t="s">
        <v>5815</v>
      </c>
      <c r="E4781" s="4">
        <v>6.112001647E9</v>
      </c>
      <c r="F4781" s="8" t="s">
        <v>604</v>
      </c>
      <c r="G4781" s="4" t="s">
        <v>965</v>
      </c>
      <c r="H4781" s="10" t="s">
        <v>5816</v>
      </c>
      <c r="I4781" s="10">
        <v>12.0</v>
      </c>
      <c r="J4781" s="11" t="str">
        <f>IF(D4781&lt;&gt;"",VLOOKUP(H4781,TABLEITEM,5,FALSE),"")</f>
        <v>EA</v>
      </c>
      <c r="K4781" s="12">
        <v>4.0</v>
      </c>
      <c r="L4781" s="13" t="str">
        <f>IF(D4781&lt;&gt;"",VLOOKUP(H4781,TABLEITEM,2,FALSE),"")</f>
        <v/>
      </c>
      <c r="M4781" s="13" t="str">
        <f>IF(D4781&lt;&gt;"",VLOOKUP(H4781,TABLEITEM,3,FALSE),"")</f>
        <v>สกรูหัวเหลี่ยม 3/8"x2.1/2"</v>
      </c>
      <c r="N4781" s="14">
        <f>INSTOCK!$I4781*INSTOCK!$K4781</f>
        <v>48</v>
      </c>
      <c r="O4781" s="4"/>
      <c r="P4781" s="4"/>
    </row>
    <row r="4782" ht="15.75" hidden="1" customHeight="1">
      <c r="B4782" s="8">
        <v>5106.0</v>
      </c>
      <c r="C4782" s="9">
        <v>43818.0</v>
      </c>
      <c r="D4782" s="6" t="s">
        <v>5815</v>
      </c>
      <c r="E4782" s="4">
        <v>6.112001647E9</v>
      </c>
      <c r="F4782" s="8" t="s">
        <v>604</v>
      </c>
      <c r="G4782" s="4" t="s">
        <v>965</v>
      </c>
      <c r="H4782" s="10" t="s">
        <v>3161</v>
      </c>
      <c r="I4782" s="10">
        <v>100.0</v>
      </c>
      <c r="J4782" s="11" t="str">
        <f>IF(D4782&lt;&gt;"",VLOOKUP(H4782,TABLEITEM,5,FALSE),"")</f>
        <v>EA</v>
      </c>
      <c r="K4782" s="12">
        <v>10.0</v>
      </c>
      <c r="L4782" s="13" t="str">
        <f>IF(D4782&lt;&gt;"",VLOOKUP(H4782,TABLEITEM,2,FALSE),"")</f>
        <v/>
      </c>
      <c r="M4782" s="13" t="str">
        <f>IF(D4782&lt;&gt;"",VLOOKUP(H4782,TABLEITEM,3,FALSE),"")</f>
        <v>ใบตัดเหล็ก 4" SUMO</v>
      </c>
      <c r="N4782" s="14">
        <f>INSTOCK!$I4782*INSTOCK!$K4782</f>
        <v>1000</v>
      </c>
      <c r="O4782" s="4"/>
      <c r="P4782" s="4"/>
    </row>
    <row r="4783" ht="15.75" hidden="1" customHeight="1">
      <c r="B4783" s="8">
        <v>5107.0</v>
      </c>
      <c r="C4783" s="9">
        <v>43453.0</v>
      </c>
      <c r="D4783" s="6" t="s">
        <v>5817</v>
      </c>
      <c r="E4783" s="4"/>
      <c r="F4783" s="8" t="s">
        <v>5818</v>
      </c>
      <c r="G4783" s="4" t="s">
        <v>898</v>
      </c>
      <c r="H4783" s="10" t="s">
        <v>899</v>
      </c>
      <c r="I4783" s="10">
        <v>2.0</v>
      </c>
      <c r="J4783" s="11" t="str">
        <f>IF(D4783&lt;&gt;"",VLOOKUP(H4783,TABLEITEM,5,FALSE),"")</f>
        <v>LIT</v>
      </c>
      <c r="K4783" s="12">
        <v>380.0</v>
      </c>
      <c r="L4783" s="13" t="str">
        <f>IF(D4783&lt;&gt;"",VLOOKUP(H4783,TABLEITEM,2,FALSE),"")</f>
        <v/>
      </c>
      <c r="M4783" s="13" t="str">
        <f>IF(D4783&lt;&gt;"",VLOOKUP(H4783,TABLEITEM,3,FALSE),"")</f>
        <v>สีพ่นแห้งเร็ว(สีผสม)</v>
      </c>
      <c r="N4783" s="14">
        <f>INSTOCK!$I4783*INSTOCK!$K4783</f>
        <v>760</v>
      </c>
      <c r="O4783" s="4" t="s">
        <v>928</v>
      </c>
      <c r="P4783" s="4"/>
    </row>
    <row r="4784" ht="15.75" hidden="1" customHeight="1">
      <c r="B4784" s="8">
        <v>5108.0</v>
      </c>
      <c r="C4784" s="9">
        <v>43453.0</v>
      </c>
      <c r="D4784" s="6" t="s">
        <v>5819</v>
      </c>
      <c r="E4784" s="4"/>
      <c r="F4784" s="8" t="s">
        <v>5792</v>
      </c>
      <c r="G4784" s="4" t="s">
        <v>1092</v>
      </c>
      <c r="H4784" s="10" t="s">
        <v>5793</v>
      </c>
      <c r="I4784" s="10">
        <v>3.0</v>
      </c>
      <c r="J4784" s="11" t="str">
        <f>IF(D4784&lt;&gt;"",VLOOKUP(H4784,TABLEITEM,5,FALSE),"")</f>
        <v>EA</v>
      </c>
      <c r="K4784" s="12">
        <v>140.0</v>
      </c>
      <c r="L4784" s="13"/>
      <c r="M4784" s="13" t="str">
        <f>IF(D4784&lt;&gt;"",VLOOKUP(H4784,TABLEITEM,3,FALSE),"")</f>
        <v>ก๊าซออกซิเจน 06Q</v>
      </c>
      <c r="N4784" s="14">
        <f>INSTOCK!$I4784*INSTOCK!$K4784</f>
        <v>420</v>
      </c>
      <c r="O4784" s="4" t="s">
        <v>5820</v>
      </c>
      <c r="P4784" s="4"/>
    </row>
    <row r="4785" ht="15.75" hidden="1" customHeight="1">
      <c r="B4785" s="8">
        <v>5109.0</v>
      </c>
      <c r="C4785" s="9">
        <v>43453.0</v>
      </c>
      <c r="D4785" s="6" t="s">
        <v>5821</v>
      </c>
      <c r="E4785" s="4"/>
      <c r="F4785" s="8" t="s">
        <v>5792</v>
      </c>
      <c r="G4785" s="4" t="s">
        <v>1092</v>
      </c>
      <c r="H4785" s="10" t="s">
        <v>5793</v>
      </c>
      <c r="I4785" s="10">
        <v>1.0</v>
      </c>
      <c r="J4785" s="11" t="str">
        <f>IF(D4785&lt;&gt;"",VLOOKUP(H4785,TABLEITEM,5,FALSE),"")</f>
        <v>EA</v>
      </c>
      <c r="K4785" s="12">
        <v>140.0</v>
      </c>
      <c r="L4785" s="13" t="str">
        <f>IF(D4785&lt;&gt;"",VLOOKUP(H4785,TABLEITEM,2,FALSE),"")</f>
        <v/>
      </c>
      <c r="M4785" s="13" t="str">
        <f>IF(D4785&lt;&gt;"",VLOOKUP(H4785,TABLEITEM,3,FALSE),"")</f>
        <v>ก๊าซออกซิเจน 06Q</v>
      </c>
      <c r="N4785" s="14">
        <f>INSTOCK!$I4785*INSTOCK!$K4785</f>
        <v>140</v>
      </c>
      <c r="O4785" s="4" t="s">
        <v>5820</v>
      </c>
      <c r="P4785" s="4"/>
    </row>
    <row r="4786" ht="15.75" hidden="1" customHeight="1">
      <c r="B4786" s="8">
        <v>5110.0</v>
      </c>
      <c r="C4786" s="9">
        <v>43453.0</v>
      </c>
      <c r="D4786" s="6" t="s">
        <v>5822</v>
      </c>
      <c r="E4786" s="4">
        <v>6.111001523E9</v>
      </c>
      <c r="F4786" s="8" t="s">
        <v>604</v>
      </c>
      <c r="G4786" s="4" t="s">
        <v>798</v>
      </c>
      <c r="H4786" s="10" t="s">
        <v>5823</v>
      </c>
      <c r="I4786" s="10">
        <v>500.0</v>
      </c>
      <c r="J4786" s="11" t="str">
        <f>IF(D4786&lt;&gt;"",VLOOKUP(H4786,TABLEITEM,5,FALSE),"")</f>
        <v>EA</v>
      </c>
      <c r="K4786" s="12">
        <v>23.0</v>
      </c>
      <c r="L4786" s="13" t="str">
        <f>IF(D4786&lt;&gt;"",VLOOKUP(H4786,TABLEITEM,2,FALSE),"")</f>
        <v/>
      </c>
      <c r="M4786" s="13" t="str">
        <f>IF(D4786&lt;&gt;"",VLOOKUP(H4786,TABLEITEM,3,FALSE),"")</f>
        <v>กุญแจกลมดำ แบบมีก้านลิ้นยาว178-04-G-247</v>
      </c>
      <c r="N4786" s="14">
        <f>INSTOCK!$I4786*INSTOCK!$K4786</f>
        <v>11500</v>
      </c>
      <c r="O4786" s="4"/>
      <c r="P4786" s="4"/>
    </row>
    <row r="4787" ht="15.75" hidden="1" customHeight="1">
      <c r="B4787" s="8">
        <v>5111.0</v>
      </c>
      <c r="C4787" s="9">
        <v>43453.0</v>
      </c>
      <c r="D4787" s="6" t="s">
        <v>5824</v>
      </c>
      <c r="E4787" s="4">
        <v>6.111001397E9</v>
      </c>
      <c r="F4787" s="8" t="s">
        <v>604</v>
      </c>
      <c r="G4787" s="4" t="s">
        <v>1289</v>
      </c>
      <c r="H4787" s="10" t="s">
        <v>150</v>
      </c>
      <c r="I4787" s="10">
        <v>275.0</v>
      </c>
      <c r="J4787" s="11" t="str">
        <f>IF(D4787&lt;&gt;"",VLOOKUP(H4787,TABLEITEM,5,FALSE),"")</f>
        <v>EA</v>
      </c>
      <c r="K4787" s="12">
        <v>9.0</v>
      </c>
      <c r="L4787" s="13" t="str">
        <f>IF(D4787&lt;&gt;"",VLOOKUP(H4787,TABLEITEM,2,FALSE),"")</f>
        <v/>
      </c>
      <c r="M4787" s="13" t="str">
        <f>IF(D4787&lt;&gt;"",VLOOKUP(H4787,TABLEITEM,3,FALSE),"")</f>
        <v>บานพับ 1''1/2 สแตนเลส</v>
      </c>
      <c r="N4787" s="14">
        <f>INSTOCK!$I4787*INSTOCK!$K4787</f>
        <v>2475</v>
      </c>
      <c r="O4787" s="4" t="s">
        <v>1298</v>
      </c>
      <c r="P4787" s="4"/>
    </row>
    <row r="4788" ht="15.75" hidden="1" customHeight="1">
      <c r="B4788" s="8">
        <v>5112.0</v>
      </c>
      <c r="C4788" s="9">
        <v>43453.0</v>
      </c>
      <c r="D4788" s="6" t="s">
        <v>5825</v>
      </c>
      <c r="E4788" s="4">
        <v>6.112001645E9</v>
      </c>
      <c r="F4788" s="8" t="s">
        <v>5826</v>
      </c>
      <c r="G4788" s="4" t="s">
        <v>2619</v>
      </c>
      <c r="H4788" s="10" t="s">
        <v>5827</v>
      </c>
      <c r="I4788" s="10">
        <v>1.0</v>
      </c>
      <c r="J4788" s="11" t="str">
        <f>IF(D4788&lt;&gt;"",VLOOKUP(H4788,TABLEITEM,5,FALSE),"")</f>
        <v>EA</v>
      </c>
      <c r="K4788" s="12">
        <v>9540.0</v>
      </c>
      <c r="L4788" s="13" t="str">
        <f>IF(D4788&lt;&gt;"",VLOOKUP(H4788,TABLEITEM,2,FALSE),"")</f>
        <v/>
      </c>
      <c r="M4788" s="13" t="str">
        <f>IF(D4788&lt;&gt;"",VLOOKUP(H4788,TABLEITEM,3,FALSE),"")</f>
        <v>Power miter SPM33-V-1</v>
      </c>
      <c r="N4788" s="14">
        <f>INSTOCK!$I4788*INSTOCK!$K4788</f>
        <v>9540</v>
      </c>
      <c r="O4788" s="4" t="s">
        <v>2960</v>
      </c>
      <c r="P4788" s="4"/>
    </row>
    <row r="4789" ht="15.75" hidden="1" customHeight="1">
      <c r="B4789" s="8">
        <v>5113.0</v>
      </c>
      <c r="C4789" s="9">
        <v>43453.0</v>
      </c>
      <c r="D4789" s="6" t="s">
        <v>5828</v>
      </c>
      <c r="E4789" s="4">
        <v>6.112001634E9</v>
      </c>
      <c r="F4789" s="8" t="s">
        <v>2368</v>
      </c>
      <c r="G4789" s="4" t="s">
        <v>2460</v>
      </c>
      <c r="H4789" s="10" t="s">
        <v>3209</v>
      </c>
      <c r="I4789" s="10">
        <v>2.0</v>
      </c>
      <c r="J4789" s="11" t="str">
        <f>IF(D4789&lt;&gt;"",VLOOKUP(H4789,TABLEITEM,5,FALSE),"")</f>
        <v>LOT</v>
      </c>
      <c r="K4789" s="12">
        <v>2500.0</v>
      </c>
      <c r="L4789" s="13" t="str">
        <f>IF(D4789&lt;&gt;"",VLOOKUP(H4789,TABLEITEM,2,FALSE),"")</f>
        <v/>
      </c>
      <c r="M4789" s="13" t="str">
        <f>IF(D4789&lt;&gt;"",VLOOKUP(H4789,TABLEITEM,3,FALSE),"")</f>
        <v>SERVICE-CHARGE(PROMOTION)-SERVICE1</v>
      </c>
      <c r="N4789" s="14">
        <f>INSTOCK!$I4789*INSTOCK!$K4789</f>
        <v>5000</v>
      </c>
      <c r="O4789" s="4"/>
      <c r="P4789" s="4"/>
    </row>
    <row r="4790" ht="15.75" hidden="1" customHeight="1">
      <c r="B4790" s="8">
        <v>5114.0</v>
      </c>
      <c r="C4790" s="9">
        <v>43453.0</v>
      </c>
      <c r="D4790" s="6" t="s">
        <v>5828</v>
      </c>
      <c r="E4790" s="4">
        <v>6.112001634E9</v>
      </c>
      <c r="F4790" s="8" t="s">
        <v>2368</v>
      </c>
      <c r="G4790" s="4" t="s">
        <v>2460</v>
      </c>
      <c r="H4790" s="10" t="s">
        <v>3210</v>
      </c>
      <c r="I4790" s="10">
        <v>1.0</v>
      </c>
      <c r="J4790" s="11" t="str">
        <f>IF(D4790&lt;&gt;"",VLOOKUP(H4790,TABLEITEM,5,FALSE),"")</f>
        <v>LOT</v>
      </c>
      <c r="K4790" s="12">
        <v>800.0</v>
      </c>
      <c r="L4790" s="13" t="str">
        <f>IF(D4790&lt;&gt;"",VLOOKUP(H4790,TABLEITEM,2,FALSE),"")</f>
        <v/>
      </c>
      <c r="M4790" s="13" t="str">
        <f>IF(D4790&lt;&gt;"",VLOOKUP(H4790,TABLEITEM,3,FALSE),"")</f>
        <v>TRAVEL CHARGE (PROMOTION) -TRAVEL1</v>
      </c>
      <c r="N4790" s="14">
        <f>INSTOCK!$I4790*INSTOCK!$K4790</f>
        <v>800</v>
      </c>
      <c r="O4790" s="4"/>
      <c r="P4790" s="4"/>
    </row>
    <row r="4791" ht="15.75" hidden="1" customHeight="1">
      <c r="B4791" s="8">
        <v>5115.0</v>
      </c>
      <c r="C4791" s="9">
        <v>43452.0</v>
      </c>
      <c r="D4791" s="6" t="s">
        <v>5829</v>
      </c>
      <c r="E4791" s="4"/>
      <c r="F4791" s="8" t="s">
        <v>5792</v>
      </c>
      <c r="G4791" s="4" t="s">
        <v>1092</v>
      </c>
      <c r="H4791" s="10" t="s">
        <v>5793</v>
      </c>
      <c r="I4791" s="10">
        <v>1.0</v>
      </c>
      <c r="J4791" s="11" t="str">
        <f>IF(D4791&lt;&gt;"",VLOOKUP(H4791,TABLEITEM,5,FALSE),"")</f>
        <v>EA</v>
      </c>
      <c r="K4791" s="12">
        <v>140.0</v>
      </c>
      <c r="L4791" s="13" t="str">
        <f>IF(D4791&lt;&gt;"",VLOOKUP(H4791,TABLEITEM,2,FALSE),"")</f>
        <v/>
      </c>
      <c r="M4791" s="13" t="str">
        <f>IF(D4791&lt;&gt;"",VLOOKUP(H4791,TABLEITEM,3,FALSE),"")</f>
        <v>ก๊าซออกซิเจน 06Q</v>
      </c>
      <c r="N4791" s="14">
        <f>INSTOCK!$I4791*INSTOCK!$K4791</f>
        <v>140</v>
      </c>
      <c r="O4791" s="4" t="s">
        <v>5820</v>
      </c>
      <c r="P4791" s="4"/>
    </row>
    <row r="4792" ht="15.75" hidden="1" customHeight="1">
      <c r="B4792" s="8">
        <v>5116.0</v>
      </c>
      <c r="C4792" s="9">
        <v>43452.0</v>
      </c>
      <c r="D4792" s="6" t="s">
        <v>5830</v>
      </c>
      <c r="E4792" s="4"/>
      <c r="F4792" s="8" t="s">
        <v>604</v>
      </c>
      <c r="G4792" s="4" t="s">
        <v>1946</v>
      </c>
      <c r="H4792" s="10" t="s">
        <v>1947</v>
      </c>
      <c r="I4792" s="10">
        <v>78.0</v>
      </c>
      <c r="J4792" s="11" t="str">
        <f>IF(D4792&lt;&gt;"",VLOOKUP(H4792,TABLEITEM,5,FALSE),"")</f>
        <v>KG.</v>
      </c>
      <c r="K4792" s="12">
        <v>18.0</v>
      </c>
      <c r="L4792" s="13" t="str">
        <f>IF(D4792&lt;&gt;"",VLOOKUP(H4792,TABLEITEM,2,FALSE),"")</f>
        <v/>
      </c>
      <c r="M4792" s="13" t="str">
        <f>IF(D4792&lt;&gt;"",VLOOKUP(H4792,TABLEITEM,3,FALSE),"")</f>
        <v>กระดาษลูกฟูก 48"เกรด A</v>
      </c>
      <c r="N4792" s="14">
        <f>INSTOCK!$I4792*INSTOCK!$K4792</f>
        <v>1404</v>
      </c>
      <c r="O4792" s="4" t="s">
        <v>5831</v>
      </c>
      <c r="P4792" s="4"/>
    </row>
    <row r="4793" ht="15.75" hidden="1" customHeight="1">
      <c r="B4793" s="8">
        <v>5117.0</v>
      </c>
      <c r="C4793" s="9">
        <v>43452.0</v>
      </c>
      <c r="D4793" s="6" t="s">
        <v>5832</v>
      </c>
      <c r="E4793" s="4">
        <v>6.1120016E9</v>
      </c>
      <c r="F4793" s="8" t="s">
        <v>1984</v>
      </c>
      <c r="G4793" s="4" t="s">
        <v>1985</v>
      </c>
      <c r="H4793" s="10" t="s">
        <v>2557</v>
      </c>
      <c r="I4793" s="10">
        <v>30.0</v>
      </c>
      <c r="J4793" s="11" t="str">
        <f>IF(D4793&lt;&gt;"",VLOOKUP(H4793,TABLEITEM,5,FALSE),"")</f>
        <v>คู่</v>
      </c>
      <c r="K4793" s="12">
        <v>560.0</v>
      </c>
      <c r="L4793" s="13" t="str">
        <f>IF(D4793&lt;&gt;"",VLOOKUP(H4793,TABLEITEM,2,FALSE),"")</f>
        <v/>
      </c>
      <c r="M4793" s="13" t="str">
        <f>IF(D4793&lt;&gt;"",VLOOKUP(H4793,TABLEITEM,3,FALSE),"")</f>
        <v>รองเท้าหุ้มส้นพื้นยาง CB800</v>
      </c>
      <c r="N4793" s="14">
        <f>INSTOCK!$I4793*INSTOCK!$K4793</f>
        <v>16800</v>
      </c>
      <c r="O4793" s="4"/>
      <c r="P4793" s="4"/>
    </row>
    <row r="4794" ht="15.75" hidden="1" customHeight="1">
      <c r="B4794" s="8">
        <v>5118.0</v>
      </c>
      <c r="C4794" s="9">
        <v>43452.0</v>
      </c>
      <c r="D4794" s="6" t="s">
        <v>5832</v>
      </c>
      <c r="E4794" s="4">
        <v>6.1120016E9</v>
      </c>
      <c r="F4794" s="8" t="s">
        <v>1984</v>
      </c>
      <c r="G4794" s="4" t="s">
        <v>1985</v>
      </c>
      <c r="H4794" s="10" t="s">
        <v>1986</v>
      </c>
      <c r="I4794" s="10">
        <v>19.0</v>
      </c>
      <c r="J4794" s="11" t="str">
        <f>IF(D4794&lt;&gt;"",VLOOKUP(H4794,TABLEITEM,5,FALSE),"")</f>
        <v>คู่</v>
      </c>
      <c r="K4794" s="12">
        <v>560.0</v>
      </c>
      <c r="L4794" s="13" t="str">
        <f>IF(D4794&lt;&gt;"",VLOOKUP(H4794,TABLEITEM,2,FALSE),"")</f>
        <v/>
      </c>
      <c r="M4794" s="13" t="str">
        <f>IF(D4794&lt;&gt;"",VLOOKUP(H4794,TABLEITEM,3,FALSE),"")</f>
        <v>รองเท้าหุ้มข้อหนังอัดลาย CB102</v>
      </c>
      <c r="N4794" s="14">
        <f>INSTOCK!$I4794*INSTOCK!$K4794</f>
        <v>10640</v>
      </c>
      <c r="O4794" s="4"/>
      <c r="P4794" s="4"/>
    </row>
    <row r="4795" ht="15.75" hidden="1" customHeight="1">
      <c r="B4795" s="8">
        <v>5119.0</v>
      </c>
      <c r="C4795" s="9">
        <v>43452.0</v>
      </c>
      <c r="D4795" s="6" t="s">
        <v>5833</v>
      </c>
      <c r="E4795" s="4">
        <v>6.112001619E9</v>
      </c>
      <c r="F4795" s="8" t="s">
        <v>604</v>
      </c>
      <c r="G4795" s="4" t="s">
        <v>692</v>
      </c>
      <c r="H4795" s="10" t="s">
        <v>512</v>
      </c>
      <c r="I4795" s="10">
        <v>100.0</v>
      </c>
      <c r="J4795" s="11" t="str">
        <f>IF(D4795&lt;&gt;"",VLOOKUP(H4795,TABLEITEM,5,FALSE),"")</f>
        <v>M</v>
      </c>
      <c r="K4795" s="12">
        <v>22.678</v>
      </c>
      <c r="L4795" s="13" t="str">
        <f>IF(D4795&lt;&gt;"",VLOOKUP(H4795,TABLEITEM,2,FALSE),"")</f>
        <v>wire</v>
      </c>
      <c r="M4795" s="13" t="str">
        <f>IF(D4795&lt;&gt;"",VLOOKUP(H4795,TABLEITEM,3,FALSE),"")</f>
        <v>สายTHW ขนาด 1x10 SQMM.สีดำ</v>
      </c>
      <c r="N4795" s="14">
        <f>INSTOCK!$I4795*INSTOCK!$K4795</f>
        <v>2267.8</v>
      </c>
      <c r="O4795" s="4" t="s">
        <v>1724</v>
      </c>
      <c r="P4795" s="4"/>
    </row>
    <row r="4796" ht="15.75" hidden="1" customHeight="1">
      <c r="B4796" s="8">
        <v>5120.0</v>
      </c>
      <c r="C4796" s="9">
        <v>43452.0</v>
      </c>
      <c r="D4796" s="6" t="s">
        <v>5834</v>
      </c>
      <c r="E4796" s="4">
        <v>6.111001349E9</v>
      </c>
      <c r="F4796" s="8" t="s">
        <v>604</v>
      </c>
      <c r="G4796" s="4" t="s">
        <v>2121</v>
      </c>
      <c r="H4796" s="10" t="s">
        <v>5835</v>
      </c>
      <c r="I4796" s="10">
        <v>31260.0</v>
      </c>
      <c r="J4796" s="11" t="str">
        <f>IF(D4796&lt;&gt;"",VLOOKUP(H4796,TABLEITEM,5,FALSE),"")</f>
        <v>EA</v>
      </c>
      <c r="K4796" s="12">
        <v>1.3</v>
      </c>
      <c r="L4796" s="13" t="str">
        <f>IF(D4796&lt;&gt;"",VLOOKUP(H4796,TABLEITEM,2,FALSE),"")</f>
        <v/>
      </c>
      <c r="M4796" s="13" t="str">
        <f>IF(D4796&lt;&gt;"",VLOOKUP(H4796,TABLEITEM,3,FALSE),"")</f>
        <v>สลักหัวหมุด M6x70</v>
      </c>
      <c r="N4796" s="14">
        <f>INSTOCK!$I4796*INSTOCK!$K4796</f>
        <v>40638</v>
      </c>
      <c r="O4796" s="4"/>
      <c r="P4796" s="4"/>
    </row>
    <row r="4797" ht="15.75" hidden="1" customHeight="1">
      <c r="B4797" s="8">
        <v>5121.0</v>
      </c>
      <c r="C4797" s="9">
        <v>43451.0</v>
      </c>
      <c r="D4797" s="6" t="s">
        <v>5836</v>
      </c>
      <c r="E4797" s="4">
        <v>6.112001641E9</v>
      </c>
      <c r="F4797" s="8" t="s">
        <v>5826</v>
      </c>
      <c r="G4797" s="4" t="s">
        <v>1485</v>
      </c>
      <c r="H4797" s="10" t="s">
        <v>2866</v>
      </c>
      <c r="I4797" s="10">
        <v>1.0</v>
      </c>
      <c r="J4797" s="11" t="str">
        <f>IF(D4797&lt;&gt;"",VLOOKUP(H4797,TABLEITEM,5,FALSE),"")</f>
        <v>EA</v>
      </c>
      <c r="K4797" s="12">
        <v>6027.0</v>
      </c>
      <c r="L4797" s="13" t="str">
        <f>IF(D4797&lt;&gt;"",VLOOKUP(H4797,TABLEITEM,2,FALSE),"")</f>
        <v/>
      </c>
      <c r="M4797" s="13" t="str">
        <f>IF(D4797&lt;&gt;"",VLOOKUP(H4797,TABLEITEM,3,FALSE),"")</f>
        <v>MCCB CVS 400F TM400D 3P 3D </v>
      </c>
      <c r="N4797" s="14">
        <f>INSTOCK!$I4797*INSTOCK!$K4797</f>
        <v>6027</v>
      </c>
      <c r="O4797" s="4"/>
      <c r="P4797" s="4"/>
    </row>
    <row r="4798" ht="15.75" hidden="1" customHeight="1">
      <c r="B4798" s="8">
        <v>5122.0</v>
      </c>
      <c r="C4798" s="9">
        <v>43451.0</v>
      </c>
      <c r="D4798" s="6" t="s">
        <v>5836</v>
      </c>
      <c r="E4798" s="4">
        <v>6.112001641E9</v>
      </c>
      <c r="F4798" s="8" t="s">
        <v>5826</v>
      </c>
      <c r="G4798" s="4" t="s">
        <v>1485</v>
      </c>
      <c r="H4798" s="10" t="s">
        <v>5120</v>
      </c>
      <c r="I4798" s="10">
        <v>2.0</v>
      </c>
      <c r="J4798" s="11" t="str">
        <f>IF(D4798&lt;&gt;"",VLOOKUP(H4798,TABLEITEM,5,FALSE),"")</f>
        <v>EA</v>
      </c>
      <c r="K4798" s="12">
        <v>1574.4</v>
      </c>
      <c r="L4798" s="13" t="str">
        <f>IF(D4798&lt;&gt;"",VLOOKUP(H4798,TABLEITEM,2,FALSE),"")</f>
        <v/>
      </c>
      <c r="M4798" s="13" t="str">
        <f>IF(D4798&lt;&gt;"",VLOOKUP(H4798,TABLEITEM,3,FALSE),"")</f>
        <v>CVS160B TM160D 3P3D 380/415VAC 25KA</v>
      </c>
      <c r="N4798" s="14">
        <f>INSTOCK!$I4798*INSTOCK!$K4798</f>
        <v>3148.8</v>
      </c>
      <c r="O4798" s="4"/>
      <c r="P4798" s="4"/>
    </row>
    <row r="4799" ht="15.75" hidden="1" customHeight="1">
      <c r="B4799" s="8">
        <v>5123.0</v>
      </c>
      <c r="C4799" s="9">
        <v>43451.0</v>
      </c>
      <c r="D4799" s="6" t="s">
        <v>5836</v>
      </c>
      <c r="E4799" s="4">
        <v>6.112001641E9</v>
      </c>
      <c r="F4799" s="8" t="s">
        <v>5826</v>
      </c>
      <c r="G4799" s="4" t="s">
        <v>1485</v>
      </c>
      <c r="H4799" s="10" t="s">
        <v>4009</v>
      </c>
      <c r="I4799" s="10">
        <v>4.0</v>
      </c>
      <c r="J4799" s="11" t="str">
        <f>IF(D4799&lt;&gt;"",VLOOKUP(H4799,TABLEITEM,5,FALSE),"")</f>
        <v>EA</v>
      </c>
      <c r="K4799" s="12">
        <v>1254.6</v>
      </c>
      <c r="L4799" s="13" t="str">
        <f>IF(D4799&lt;&gt;"",VLOOKUP(H4799,TABLEITEM,2,FALSE),"")</f>
        <v/>
      </c>
      <c r="M4799" s="13" t="str">
        <f>IF(D4799&lt;&gt;"",VLOOKUP(H4799,TABLEITEM,3,FALSE),"")</f>
        <v>MCCB CVS100B TMD 3P 100A</v>
      </c>
      <c r="N4799" s="14">
        <f>INSTOCK!$I4799*INSTOCK!$K4799</f>
        <v>5018.4</v>
      </c>
      <c r="O4799" s="4"/>
      <c r="P4799" s="4"/>
    </row>
    <row r="4800" ht="15.75" hidden="1" customHeight="1">
      <c r="B4800" s="8">
        <v>5124.0</v>
      </c>
      <c r="C4800" s="9">
        <v>43451.0</v>
      </c>
      <c r="D4800" s="6" t="s">
        <v>5836</v>
      </c>
      <c r="E4800" s="4">
        <v>6.112001641E9</v>
      </c>
      <c r="F4800" s="8" t="s">
        <v>5826</v>
      </c>
      <c r="G4800" s="4" t="s">
        <v>1485</v>
      </c>
      <c r="H4800" s="10" t="s">
        <v>2963</v>
      </c>
      <c r="I4800" s="10">
        <v>4.0</v>
      </c>
      <c r="J4800" s="11" t="str">
        <f>IF(D4800&lt;&gt;"",VLOOKUP(H4800,TABLEITEM,5,FALSE),"")</f>
        <v>EA</v>
      </c>
      <c r="K4800" s="12">
        <v>1254.6</v>
      </c>
      <c r="L4800" s="13" t="str">
        <f>IF(D4800&lt;&gt;"",VLOOKUP(H4800,TABLEITEM,2,FALSE),"")</f>
        <v/>
      </c>
      <c r="M4800" s="13" t="str">
        <f>IF(D4800&lt;&gt;"",VLOOKUP(H4800,TABLEITEM,3,FALSE),"")</f>
        <v>MCCB CVS100B TM800D 3P3D 380/415 VAC 25KA</v>
      </c>
      <c r="N4800" s="14">
        <f>INSTOCK!$I4800*INSTOCK!$K4800</f>
        <v>5018.4</v>
      </c>
      <c r="O4800" s="4"/>
      <c r="P4800" s="4"/>
    </row>
    <row r="4801" ht="15.75" hidden="1" customHeight="1">
      <c r="B4801" s="8">
        <v>5125.0</v>
      </c>
      <c r="C4801" s="9">
        <v>43451.0</v>
      </c>
      <c r="D4801" s="6" t="s">
        <v>5836</v>
      </c>
      <c r="E4801" s="4">
        <v>6.112001641E9</v>
      </c>
      <c r="F4801" s="8" t="s">
        <v>5826</v>
      </c>
      <c r="G4801" s="4" t="s">
        <v>1485</v>
      </c>
      <c r="H4801" s="10" t="s">
        <v>2964</v>
      </c>
      <c r="I4801" s="10">
        <v>1.0</v>
      </c>
      <c r="J4801" s="11" t="str">
        <f>IF(D4801&lt;&gt;"",VLOOKUP(H4801,TABLEITEM,5,FALSE),"")</f>
        <v>EA</v>
      </c>
      <c r="K4801" s="12">
        <v>1254.6</v>
      </c>
      <c r="L4801" s="13" t="str">
        <f>IF(D4801&lt;&gt;"",VLOOKUP(H4801,TABLEITEM,2,FALSE),"")</f>
        <v/>
      </c>
      <c r="M4801" s="13" t="str">
        <f>IF(D4801&lt;&gt;"",VLOOKUP(H4801,TABLEITEM,3,FALSE),"")</f>
        <v>MCCB CVS100B TM50D 3P3D 380/415 VAC 25KA</v>
      </c>
      <c r="N4801" s="14">
        <f>INSTOCK!$I4801*INSTOCK!$K4801</f>
        <v>1254.6</v>
      </c>
      <c r="O4801" s="4"/>
      <c r="P4801" s="4"/>
    </row>
    <row r="4802" ht="15.75" hidden="1" customHeight="1">
      <c r="B4802" s="8">
        <v>5126.0</v>
      </c>
      <c r="C4802" s="9">
        <v>43451.0</v>
      </c>
      <c r="D4802" s="6" t="s">
        <v>5836</v>
      </c>
      <c r="E4802" s="4">
        <v>6.112001641E9</v>
      </c>
      <c r="F4802" s="8" t="s">
        <v>5826</v>
      </c>
      <c r="G4802" s="4" t="s">
        <v>1485</v>
      </c>
      <c r="H4802" s="10" t="s">
        <v>2965</v>
      </c>
      <c r="I4802" s="10">
        <v>6.0</v>
      </c>
      <c r="J4802" s="11" t="str">
        <f>IF(D4802&lt;&gt;"",VLOOKUP(H4802,TABLEITEM,5,FALSE),"")</f>
        <v>EA</v>
      </c>
      <c r="K4802" s="12">
        <v>1254.6</v>
      </c>
      <c r="L4802" s="13" t="str">
        <f>IF(D4802&lt;&gt;"",VLOOKUP(H4802,TABLEITEM,2,FALSE),"")</f>
        <v/>
      </c>
      <c r="M4802" s="13" t="str">
        <f>IF(D4802&lt;&gt;"",VLOOKUP(H4802,TABLEITEM,3,FALSE),"")</f>
        <v>MCCB CVS100B TM32D 3P3D 380/415 VAC 25KA</v>
      </c>
      <c r="N4802" s="14">
        <f>INSTOCK!$I4802*INSTOCK!$K4802</f>
        <v>7527.6</v>
      </c>
      <c r="O4802" s="4"/>
      <c r="P4802" s="4"/>
    </row>
    <row r="4803" ht="15.75" hidden="1" customHeight="1">
      <c r="B4803" s="8">
        <v>5127.0</v>
      </c>
      <c r="C4803" s="9">
        <v>43451.0</v>
      </c>
      <c r="D4803" s="6" t="s">
        <v>5836</v>
      </c>
      <c r="E4803" s="4">
        <v>6.112001641E9</v>
      </c>
      <c r="F4803" s="8" t="s">
        <v>5826</v>
      </c>
      <c r="G4803" s="4" t="s">
        <v>1485</v>
      </c>
      <c r="H4803" s="10" t="s">
        <v>2966</v>
      </c>
      <c r="I4803" s="10">
        <v>1.0</v>
      </c>
      <c r="J4803" s="11" t="str">
        <f>IF(D4803&lt;&gt;"",VLOOKUP(H4803,TABLEITEM,5,FALSE),"")</f>
        <v>EA</v>
      </c>
      <c r="K4803" s="12">
        <v>1254.6</v>
      </c>
      <c r="L4803" s="13" t="str">
        <f>IF(D4803&lt;&gt;"",VLOOKUP(H4803,TABLEITEM,2,FALSE),"")</f>
        <v/>
      </c>
      <c r="M4803" s="13" t="str">
        <f>IF(D4803&lt;&gt;"",VLOOKUP(H4803,TABLEITEM,3,FALSE),"")</f>
        <v>MCCB CVS100B TM16D 3P3D 380/415 VAC 25KA</v>
      </c>
      <c r="N4803" s="14">
        <f>INSTOCK!$I4803*INSTOCK!$K4803</f>
        <v>1254.6</v>
      </c>
      <c r="O4803" s="4"/>
      <c r="P4803" s="4"/>
    </row>
    <row r="4804" ht="15.75" hidden="1" customHeight="1">
      <c r="B4804" s="8">
        <v>5128.0</v>
      </c>
      <c r="C4804" s="9">
        <v>43451.0</v>
      </c>
      <c r="D4804" s="6" t="s">
        <v>5836</v>
      </c>
      <c r="E4804" s="4">
        <v>6.112001641E9</v>
      </c>
      <c r="F4804" s="8" t="s">
        <v>5826</v>
      </c>
      <c r="G4804" s="4" t="s">
        <v>1485</v>
      </c>
      <c r="H4804" s="10" t="s">
        <v>2820</v>
      </c>
      <c r="I4804" s="10">
        <v>6.0</v>
      </c>
      <c r="J4804" s="11" t="str">
        <f>IF(D4804&lt;&gt;"",VLOOKUP(H4804,TABLEITEM,5,FALSE),"")</f>
        <v>EA</v>
      </c>
      <c r="K4804" s="12">
        <v>140.0</v>
      </c>
      <c r="L4804" s="13" t="str">
        <f>IF(D4804&lt;&gt;"",VLOOKUP(H4804,TABLEITEM,2,FALSE),"")</f>
        <v/>
      </c>
      <c r="M4804" s="13" t="str">
        <f>IF(D4804&lt;&gt;"",VLOOKUP(H4804,TABLEITEM,3,FALSE),"")</f>
        <v>MCB IC60N 1P 16A C CURVE 10KA 400VAC</v>
      </c>
      <c r="N4804" s="14">
        <f>INSTOCK!$I4804*INSTOCK!$K4804</f>
        <v>840</v>
      </c>
      <c r="O4804" s="4"/>
      <c r="P4804" s="4"/>
    </row>
    <row r="4805" ht="15.75" hidden="1" customHeight="1">
      <c r="B4805" s="8">
        <v>5129.0</v>
      </c>
      <c r="C4805" s="9">
        <v>43451.0</v>
      </c>
      <c r="D4805" s="6" t="s">
        <v>5837</v>
      </c>
      <c r="E4805" s="4">
        <v>6.112001635E9</v>
      </c>
      <c r="F4805" s="8" t="s">
        <v>5838</v>
      </c>
      <c r="G4805" s="4" t="s">
        <v>2162</v>
      </c>
      <c r="H4805" s="10" t="s">
        <v>5839</v>
      </c>
      <c r="I4805" s="10">
        <v>2.0</v>
      </c>
      <c r="J4805" s="11" t="str">
        <f>IF(D4805&lt;&gt;"",VLOOKUP(H4805,TABLEITEM,5,FALSE),"")</f>
        <v>EA</v>
      </c>
      <c r="K4805" s="12">
        <v>275.0</v>
      </c>
      <c r="L4805" s="13" t="str">
        <f>IF(D4805&lt;&gt;"",VLOOKUP(H4805,TABLEITEM,2,FALSE),"")</f>
        <v/>
      </c>
      <c r="M4805" s="13" t="str">
        <f>IF(D4805&lt;&gt;"",VLOOKUP(H4805,TABLEITEM,3,FALSE),"")</f>
        <v>ล้อยูริเทนเหล็กหล่อ 3" หน้ายาง 32มิล โครงเชื่อมล้อตาย</v>
      </c>
      <c r="N4805" s="14">
        <f>INSTOCK!$I4805*INSTOCK!$K4805</f>
        <v>550</v>
      </c>
      <c r="O4805" s="4"/>
      <c r="P4805" s="4"/>
    </row>
    <row r="4806" ht="15.75" hidden="1" customHeight="1">
      <c r="B4806" s="8">
        <v>5130.0</v>
      </c>
      <c r="C4806" s="9">
        <v>43451.0</v>
      </c>
      <c r="D4806" s="6" t="s">
        <v>5837</v>
      </c>
      <c r="E4806" s="4">
        <v>6.112001635E9</v>
      </c>
      <c r="F4806" s="8" t="s">
        <v>5838</v>
      </c>
      <c r="G4806" s="4" t="s">
        <v>2162</v>
      </c>
      <c r="H4806" s="10" t="s">
        <v>5840</v>
      </c>
      <c r="I4806" s="10">
        <v>2.0</v>
      </c>
      <c r="J4806" s="11" t="str">
        <f>IF(D4806&lt;&gt;"",VLOOKUP(H4806,TABLEITEM,5,FALSE),"")</f>
        <v>EA</v>
      </c>
      <c r="K4806" s="12">
        <v>330.0</v>
      </c>
      <c r="L4806" s="13" t="str">
        <f>IF(D4806&lt;&gt;"",VLOOKUP(H4806,TABLEITEM,2,FALSE),"")</f>
        <v/>
      </c>
      <c r="M4806" s="13" t="str">
        <f>IF(D4806&lt;&gt;"",VLOOKUP(H4806,TABLEITEM,3,FALSE),"")</f>
        <v>ล้อยูริเทนเหล็กหล่อ 3" หน้ายาง 32มิล โครงเชื่อมล้อเป็น</v>
      </c>
      <c r="N4806" s="14">
        <f>INSTOCK!$I4806*INSTOCK!$K4806</f>
        <v>660</v>
      </c>
      <c r="O4806" s="4"/>
      <c r="P4806" s="4"/>
    </row>
    <row r="4807" ht="15.75" hidden="1" customHeight="1">
      <c r="B4807" s="8">
        <v>5131.0</v>
      </c>
      <c r="C4807" s="9">
        <v>43451.0</v>
      </c>
      <c r="D4807" s="6" t="s">
        <v>5841</v>
      </c>
      <c r="E4807" s="4">
        <v>6.112001629E9</v>
      </c>
      <c r="F4807" s="8" t="s">
        <v>5842</v>
      </c>
      <c r="G4807" s="4" t="s">
        <v>2162</v>
      </c>
      <c r="H4807" s="10" t="s">
        <v>5843</v>
      </c>
      <c r="I4807" s="10">
        <v>2.0</v>
      </c>
      <c r="J4807" s="11" t="str">
        <f>IF(D4807&lt;&gt;"",VLOOKUP(H4807,TABLEITEM,5,FALSE),"")</f>
        <v>EA</v>
      </c>
      <c r="K4807" s="12">
        <v>330.0</v>
      </c>
      <c r="L4807" s="13" t="str">
        <f>IF(D4807&lt;&gt;"",VLOOKUP(H4807,TABLEITEM,2,FALSE),"")</f>
        <v/>
      </c>
      <c r="M4807" s="13" t="str">
        <f>IF(D4807&lt;&gt;"",VLOOKUP(H4807,TABLEITEM,3,FALSE),"")</f>
        <v>ล้อยูริเทน 3" หน้ายาง 32มิล โครงเชื่อมล้อเป็น</v>
      </c>
      <c r="N4807" s="14">
        <f>INSTOCK!$I4807*INSTOCK!$K4807</f>
        <v>660</v>
      </c>
      <c r="O4807" s="4"/>
      <c r="P4807" s="4"/>
    </row>
    <row r="4808" ht="15.75" hidden="1" customHeight="1">
      <c r="B4808" s="8">
        <v>5132.0</v>
      </c>
      <c r="C4808" s="9">
        <v>43451.0</v>
      </c>
      <c r="D4808" s="6" t="s">
        <v>5841</v>
      </c>
      <c r="E4808" s="4">
        <v>6.112001629E9</v>
      </c>
      <c r="F4808" s="8" t="s">
        <v>5842</v>
      </c>
      <c r="G4808" s="4" t="s">
        <v>2162</v>
      </c>
      <c r="H4808" s="10" t="s">
        <v>5844</v>
      </c>
      <c r="I4808" s="10">
        <v>2.0</v>
      </c>
      <c r="J4808" s="11" t="str">
        <f>IF(D4808&lt;&gt;"",VLOOKUP(H4808,TABLEITEM,5,FALSE),"")</f>
        <v>EA</v>
      </c>
      <c r="K4808" s="12">
        <v>275.0</v>
      </c>
      <c r="L4808" s="13" t="str">
        <f>IF(D4808&lt;&gt;"",VLOOKUP(H4808,TABLEITEM,2,FALSE),"")</f>
        <v/>
      </c>
      <c r="M4808" s="13" t="str">
        <f>IF(D4808&lt;&gt;"",VLOOKUP(H4808,TABLEITEM,3,FALSE),"")</f>
        <v>ล้อยูริเทน 3" หน้ายาง 32มิล โครงเชื่อมล้อตาย</v>
      </c>
      <c r="N4808" s="14">
        <f>INSTOCK!$I4808*INSTOCK!$K4808</f>
        <v>550</v>
      </c>
      <c r="O4808" s="4"/>
      <c r="P4808" s="4"/>
    </row>
    <row r="4809" ht="15.75" hidden="1" customHeight="1">
      <c r="B4809" s="8">
        <v>5133.0</v>
      </c>
      <c r="C4809" s="9">
        <v>43451.0</v>
      </c>
      <c r="D4809" s="6" t="s">
        <v>5845</v>
      </c>
      <c r="E4809" s="4"/>
      <c r="F4809" s="8" t="s">
        <v>2020</v>
      </c>
      <c r="G4809" s="4" t="s">
        <v>5846</v>
      </c>
      <c r="H4809" s="18">
        <v>7.3110155E8</v>
      </c>
      <c r="I4809" s="10">
        <v>70.0</v>
      </c>
      <c r="J4809" s="11" t="str">
        <f>IF(D4809&lt;&gt;"",VLOOKUP(H4809,TABLEITEM,5,FALSE),"")</f>
        <v>EA</v>
      </c>
      <c r="K4809" s="12">
        <v>-7.65</v>
      </c>
      <c r="L4809" s="13"/>
      <c r="M4809" s="13" t="str">
        <f>IF(D4809&lt;&gt;"",VLOOKUP(H4809,TABLEITEM,3,FALSE),"")</f>
        <v>07.311.0155.0 END PLATE FOR 2.5-4</v>
      </c>
      <c r="N4809" s="14">
        <f>INSTOCK!$I4809*INSTOCK!$K4809</f>
        <v>-535.5</v>
      </c>
      <c r="O4809" s="4"/>
      <c r="P4809" s="4"/>
    </row>
    <row r="4810" ht="15.75" hidden="1" customHeight="1">
      <c r="B4810" s="8">
        <v>5134.0</v>
      </c>
      <c r="C4810" s="9">
        <v>43449.0</v>
      </c>
      <c r="D4810" s="6">
        <v>6.11204598E8</v>
      </c>
      <c r="E4810" s="4">
        <v>6.11200164E9</v>
      </c>
      <c r="F4810" s="8"/>
      <c r="G4810" s="4" t="s">
        <v>1130</v>
      </c>
      <c r="H4810" s="10" t="s">
        <v>5847</v>
      </c>
      <c r="I4810" s="10">
        <v>31.0</v>
      </c>
      <c r="J4810" s="11" t="str">
        <f>IF(D4810&lt;&gt;"",VLOOKUP(H4810,TABLEITEM,5,FALSE),"")</f>
        <v>EA</v>
      </c>
      <c r="K4810" s="12">
        <v>121.123</v>
      </c>
      <c r="L4810" s="13" t="str">
        <f>IF(D4810&lt;&gt;"",VLOOKUP(H4810,TABLEITEM,2,FALSE),"")</f>
        <v/>
      </c>
      <c r="M4810" s="13" t="str">
        <f>IF(D4810&lt;&gt;"",VLOOKUP(H4810,TABLEITEM,3,FALSE),"")</f>
        <v>CT400/5 MSQ40</v>
      </c>
      <c r="N4810" s="14">
        <f>INSTOCK!$I4810*INSTOCK!$K4810</f>
        <v>3754.813</v>
      </c>
      <c r="O4810" s="4"/>
      <c r="P4810" s="4"/>
    </row>
    <row r="4811" ht="15.75" hidden="1" customHeight="1">
      <c r="B4811" s="8">
        <v>5135.0</v>
      </c>
      <c r="C4811" s="9">
        <v>43449.0</v>
      </c>
      <c r="D4811" s="6" t="s">
        <v>5848</v>
      </c>
      <c r="E4811" s="4"/>
      <c r="F4811" s="8" t="s">
        <v>5849</v>
      </c>
      <c r="G4811" s="4" t="s">
        <v>3029</v>
      </c>
      <c r="H4811" s="10" t="s">
        <v>3030</v>
      </c>
      <c r="I4811" s="10">
        <v>1.0</v>
      </c>
      <c r="J4811" s="11" t="str">
        <f>IF(D4811&lt;&gt;"",VLOOKUP(H4811,TABLEITEM,5,FALSE),"")</f>
        <v>LOT</v>
      </c>
      <c r="K4811" s="12">
        <v>535.0</v>
      </c>
      <c r="L4811" s="13" t="str">
        <f>IF(D4811&lt;&gt;"",VLOOKUP(H4811,TABLEITEM,2,FALSE),"")</f>
        <v/>
      </c>
      <c r="M4811" s="13" t="str">
        <f>IF(D4811&lt;&gt;"",VLOOKUP(H4811,TABLEITEM,3,FALSE),"")</f>
        <v>ค่าชุบ ดีบุกเงา</v>
      </c>
      <c r="N4811" s="14">
        <f>INSTOCK!$I4811*INSTOCK!$K4811</f>
        <v>535</v>
      </c>
      <c r="O4811" s="4" t="s">
        <v>3258</v>
      </c>
      <c r="P4811" s="4"/>
    </row>
    <row r="4812" ht="15.75" hidden="1" customHeight="1">
      <c r="B4812" s="8">
        <v>5136.0</v>
      </c>
      <c r="C4812" s="9">
        <v>43449.0</v>
      </c>
      <c r="D4812" s="6" t="s">
        <v>5850</v>
      </c>
      <c r="E4812" s="4">
        <v>6.112001637E9</v>
      </c>
      <c r="F4812" s="8" t="s">
        <v>604</v>
      </c>
      <c r="G4812" s="4" t="s">
        <v>721</v>
      </c>
      <c r="H4812" s="10" t="s">
        <v>208</v>
      </c>
      <c r="I4812" s="10">
        <v>32.0</v>
      </c>
      <c r="J4812" s="11" t="str">
        <f>IF(D4812&lt;&gt;"",VLOOKUP(H4812,TABLEITEM,5,FALSE),"")</f>
        <v>EA</v>
      </c>
      <c r="K4812" s="12">
        <v>188.5681</v>
      </c>
      <c r="L4812" s="13" t="str">
        <f>IF(D4812&lt;&gt;"",VLOOKUP(H4812,TABLEITEM,2,FALSE),"")</f>
        <v/>
      </c>
      <c r="M4812" s="13" t="str">
        <f>IF(D4812&lt;&gt;"",VLOOKUP(H4812,TABLEITEM,3,FALSE),"")</f>
        <v>รางวายดัก/รางPVC 65x65 mm.</v>
      </c>
      <c r="N4812" s="14">
        <f>INSTOCK!$I4812*INSTOCK!$K4812</f>
        <v>6034.1792</v>
      </c>
      <c r="O4812" s="4" t="s">
        <v>1167</v>
      </c>
      <c r="P4812" s="4"/>
    </row>
    <row r="4813" ht="15.75" hidden="1" customHeight="1">
      <c r="B4813" s="8">
        <v>5137.0</v>
      </c>
      <c r="C4813" s="9">
        <v>43449.0</v>
      </c>
      <c r="D4813" s="6" t="s">
        <v>5851</v>
      </c>
      <c r="E4813" s="4">
        <v>6.111001523E9</v>
      </c>
      <c r="F4813" s="8" t="s">
        <v>604</v>
      </c>
      <c r="G4813" s="4" t="s">
        <v>798</v>
      </c>
      <c r="H4813" s="10" t="s">
        <v>5823</v>
      </c>
      <c r="I4813" s="10">
        <v>500.0</v>
      </c>
      <c r="J4813" s="11" t="str">
        <f>IF(D4813&lt;&gt;"",VLOOKUP(H4813,TABLEITEM,5,FALSE),"")</f>
        <v>EA</v>
      </c>
      <c r="K4813" s="12">
        <v>23.0</v>
      </c>
      <c r="L4813" s="13" t="str">
        <f>IF(D4813&lt;&gt;"",VLOOKUP(H4813,TABLEITEM,2,FALSE),"")</f>
        <v/>
      </c>
      <c r="M4813" s="13" t="str">
        <f>IF(D4813&lt;&gt;"",VLOOKUP(H4813,TABLEITEM,3,FALSE),"")</f>
        <v>กุญแจกลมดำ แบบมีก้านลิ้นยาว178-04-G-247</v>
      </c>
      <c r="N4813" s="14">
        <f>INSTOCK!$I4813*INSTOCK!$K4813</f>
        <v>11500</v>
      </c>
      <c r="O4813" s="4"/>
      <c r="P4813" s="4"/>
    </row>
    <row r="4814" ht="15.75" hidden="1" customHeight="1">
      <c r="B4814" s="8">
        <v>5138.0</v>
      </c>
      <c r="C4814" s="9">
        <v>43448.0</v>
      </c>
      <c r="D4814" s="6" t="s">
        <v>5852</v>
      </c>
      <c r="E4814" s="4">
        <v>6.112001615E9</v>
      </c>
      <c r="F4814" s="8" t="s">
        <v>604</v>
      </c>
      <c r="G4814" s="4" t="s">
        <v>965</v>
      </c>
      <c r="H4814" s="10" t="s">
        <v>42</v>
      </c>
      <c r="I4814" s="10">
        <v>2.0</v>
      </c>
      <c r="J4814" s="11" t="str">
        <f>IF(D4814&lt;&gt;"",VLOOKUP(H4814,TABLEITEM,5,FALSE),"")</f>
        <v>กล.</v>
      </c>
      <c r="K4814" s="12">
        <v>250.0</v>
      </c>
      <c r="L4814" s="13" t="str">
        <f>IF(D4814&lt;&gt;"",VLOOKUP(H4814,TABLEITEM,2,FALSE),"")</f>
        <v/>
      </c>
      <c r="M4814" s="13" t="str">
        <f>IF(D4814&lt;&gt;"",VLOOKUP(H4814,TABLEITEM,3,FALSE),"")</f>
        <v>แอลกอฮอลดีพิเศษ</v>
      </c>
      <c r="N4814" s="14">
        <f>INSTOCK!$I4814*INSTOCK!$K4814</f>
        <v>500</v>
      </c>
      <c r="O4814" s="4"/>
      <c r="P4814" s="4"/>
    </row>
    <row r="4815" ht="15.75" hidden="1" customHeight="1">
      <c r="B4815" s="8">
        <v>5139.0</v>
      </c>
      <c r="C4815" s="9">
        <v>43448.0</v>
      </c>
      <c r="D4815" s="6" t="s">
        <v>5852</v>
      </c>
      <c r="E4815" s="4">
        <v>6.112001615E9</v>
      </c>
      <c r="F4815" s="8" t="s">
        <v>604</v>
      </c>
      <c r="G4815" s="4" t="s">
        <v>965</v>
      </c>
      <c r="H4815" s="10" t="s">
        <v>5853</v>
      </c>
      <c r="I4815" s="10">
        <v>2.0</v>
      </c>
      <c r="J4815" s="11" t="str">
        <f>IF(D4815&lt;&gt;"",VLOOKUP(H4815,TABLEITEM,5,FALSE),"")</f>
        <v>EA</v>
      </c>
      <c r="K4815" s="12">
        <v>35.0</v>
      </c>
      <c r="L4815" s="13" t="str">
        <f>IF(D4815&lt;&gt;"",VLOOKUP(H4815,TABLEITEM,2,FALSE),"")</f>
        <v/>
      </c>
      <c r="M4815" s="13" t="str">
        <f>IF(D4815&lt;&gt;"",VLOOKUP(H4815,TABLEITEM,3,FALSE),"")</f>
        <v>กรดเกลือ</v>
      </c>
      <c r="N4815" s="14">
        <f>INSTOCK!$I4815*INSTOCK!$K4815</f>
        <v>70</v>
      </c>
      <c r="O4815" s="4"/>
      <c r="P4815" s="4"/>
    </row>
    <row r="4816" ht="15.75" hidden="1" customHeight="1">
      <c r="B4816" s="8">
        <v>5140.0</v>
      </c>
      <c r="C4816" s="9">
        <v>43448.0</v>
      </c>
      <c r="D4816" s="6" t="s">
        <v>5854</v>
      </c>
      <c r="E4816" s="4"/>
      <c r="F4816" s="8" t="s">
        <v>5855</v>
      </c>
      <c r="G4816" s="4" t="s">
        <v>3029</v>
      </c>
      <c r="H4816" s="10" t="s">
        <v>3030</v>
      </c>
      <c r="I4816" s="10">
        <v>1.0</v>
      </c>
      <c r="J4816" s="11" t="str">
        <f>IF(D4816&lt;&gt;"",VLOOKUP(H4816,TABLEITEM,5,FALSE),"")</f>
        <v>LOT</v>
      </c>
      <c r="K4816" s="12">
        <v>535.0</v>
      </c>
      <c r="L4816" s="13" t="str">
        <f>IF(D4816&lt;&gt;"",VLOOKUP(H4816,TABLEITEM,2,FALSE),"")</f>
        <v/>
      </c>
      <c r="M4816" s="13" t="str">
        <f>IF(D4816&lt;&gt;"",VLOOKUP(H4816,TABLEITEM,3,FALSE),"")</f>
        <v>ค่าชุบ ดีบุกเงา</v>
      </c>
      <c r="N4816" s="14">
        <f>INSTOCK!$I4816*INSTOCK!$K4816</f>
        <v>535</v>
      </c>
      <c r="O4816" s="4" t="s">
        <v>5856</v>
      </c>
      <c r="P4816" s="4"/>
    </row>
    <row r="4817" ht="15.75" hidden="1" customHeight="1">
      <c r="B4817" s="8">
        <v>5141.0</v>
      </c>
      <c r="C4817" s="9">
        <v>43448.0</v>
      </c>
      <c r="D4817" s="6" t="s">
        <v>5857</v>
      </c>
      <c r="E4817" s="4">
        <v>6.112001628E9</v>
      </c>
      <c r="F4817" s="8" t="s">
        <v>1626</v>
      </c>
      <c r="G4817" s="4" t="s">
        <v>965</v>
      </c>
      <c r="H4817" s="10" t="s">
        <v>2704</v>
      </c>
      <c r="I4817" s="10">
        <v>1.0</v>
      </c>
      <c r="J4817" s="11" t="str">
        <f>IF(D4817&lt;&gt;"",VLOOKUP(H4817,TABLEITEM,5,FALSE),"")</f>
        <v>EA</v>
      </c>
      <c r="K4817" s="12">
        <v>430.0</v>
      </c>
      <c r="L4817" s="13" t="str">
        <f>IF(D4817&lt;&gt;"",VLOOKUP(H4817,TABLEITEM,2,FALSE),"")</f>
        <v/>
      </c>
      <c r="M4817" s="13" t="str">
        <f>IF(D4817&lt;&gt;"",VLOOKUP(H4817,TABLEITEM,3,FALSE),"")</f>
        <v>ตะกั่วบัดกรี ขนาด 1ปอนด์</v>
      </c>
      <c r="N4817" s="14">
        <f>INSTOCK!$I4817*INSTOCK!$K4817</f>
        <v>430</v>
      </c>
      <c r="O4817" s="4"/>
      <c r="P4817" s="4"/>
    </row>
    <row r="4818" ht="15.75" hidden="1" customHeight="1">
      <c r="B4818" s="8">
        <v>5142.0</v>
      </c>
      <c r="C4818" s="9">
        <v>43448.0</v>
      </c>
      <c r="D4818" s="6">
        <v>6.1120583E7</v>
      </c>
      <c r="E4818" s="4">
        <v>6.11200163E9</v>
      </c>
      <c r="F4818" s="8" t="s">
        <v>5858</v>
      </c>
      <c r="G4818" s="4" t="s">
        <v>711</v>
      </c>
      <c r="H4818" s="10" t="s">
        <v>105</v>
      </c>
      <c r="I4818" s="10">
        <v>20.0</v>
      </c>
      <c r="J4818" s="11" t="str">
        <f>IF(D4818&lt;&gt;"",VLOOKUP(H4818,TABLEITEM,5,FALSE),"")</f>
        <v>KG.</v>
      </c>
      <c r="K4818" s="12">
        <v>165.75</v>
      </c>
      <c r="L4818" s="13" t="str">
        <f>IF(D4818&lt;&gt;"",VLOOKUP(H4818,TABLEITEM,2,FALSE),"")</f>
        <v/>
      </c>
      <c r="M4818" s="13" t="str">
        <f>IF(D4818&lt;&gt;"",VLOOKUP(H4818,TABLEITEM,3,FALSE),"")</f>
        <v>สีฝุ่น M10001 WN</v>
      </c>
      <c r="N4818" s="14">
        <f>INSTOCK!$I4818*INSTOCK!$K4818</f>
        <v>3315</v>
      </c>
      <c r="O4818" s="4" t="s">
        <v>971</v>
      </c>
      <c r="P4818" s="4"/>
    </row>
    <row r="4819" ht="15.75" hidden="1" customHeight="1">
      <c r="B4819" s="8">
        <v>5143.0</v>
      </c>
      <c r="C4819" s="9">
        <v>43448.0</v>
      </c>
      <c r="D4819" s="6">
        <v>6.1120583E7</v>
      </c>
      <c r="E4819" s="4">
        <v>6.11200163E9</v>
      </c>
      <c r="F4819" s="8" t="s">
        <v>5858</v>
      </c>
      <c r="G4819" s="4" t="s">
        <v>711</v>
      </c>
      <c r="H4819" s="10" t="s">
        <v>106</v>
      </c>
      <c r="I4819" s="10">
        <v>20.0</v>
      </c>
      <c r="J4819" s="11" t="str">
        <f>IF(D4819&lt;&gt;"",VLOOKUP(H4819,TABLEITEM,5,FALSE),"")</f>
        <v>KG.</v>
      </c>
      <c r="K4819" s="12">
        <v>153.0</v>
      </c>
      <c r="L4819" s="13" t="str">
        <f>IF(D4819&lt;&gt;"",VLOOKUP(H4819,TABLEITEM,2,FALSE),"")</f>
        <v/>
      </c>
      <c r="M4819" s="13" t="str">
        <f>IF(D4819&lt;&gt;"",VLOOKUP(H4819,TABLEITEM,3,FALSE),"")</f>
        <v>สีฝุ่น M90254</v>
      </c>
      <c r="N4819" s="14">
        <f>INSTOCK!$I4819*INSTOCK!$K4819</f>
        <v>3060</v>
      </c>
      <c r="O4819" s="4" t="s">
        <v>1460</v>
      </c>
      <c r="P4819" s="4"/>
    </row>
    <row r="4820" ht="15.75" hidden="1" customHeight="1">
      <c r="B4820" s="8">
        <v>5144.0</v>
      </c>
      <c r="C4820" s="9">
        <v>43448.0</v>
      </c>
      <c r="D4820" s="6" t="s">
        <v>5859</v>
      </c>
      <c r="E4820" s="4">
        <v>6.112001573E9</v>
      </c>
      <c r="F4820" s="8" t="s">
        <v>604</v>
      </c>
      <c r="G4820" s="4" t="s">
        <v>1777</v>
      </c>
      <c r="H4820" s="10" t="s">
        <v>4607</v>
      </c>
      <c r="I4820" s="10">
        <v>15000.0</v>
      </c>
      <c r="J4820" s="11" t="str">
        <f>IF(D4820&lt;&gt;"",VLOOKUP(H4820,TABLEITEM,5,FALSE),"")</f>
        <v>EA</v>
      </c>
      <c r="K4820" s="12">
        <v>1.05</v>
      </c>
      <c r="L4820" s="13" t="str">
        <f>IF(D4820&lt;&gt;"",VLOOKUP(H4820,TABLEITEM,2,FALSE),"")</f>
        <v/>
      </c>
      <c r="M4820" s="13" t="str">
        <f>IF(D4820&lt;&gt;"",VLOOKUP(H4820,TABLEITEM,3,FALSE),"")</f>
        <v>สกรูหัวติดแหวน M 6x15</v>
      </c>
      <c r="N4820" s="14">
        <f>INSTOCK!$I4820*INSTOCK!$K4820</f>
        <v>15750</v>
      </c>
      <c r="O4820" s="4" t="s">
        <v>3119</v>
      </c>
      <c r="P4820" s="4"/>
    </row>
    <row r="4821" ht="15.75" hidden="1" customHeight="1">
      <c r="B4821" s="8">
        <v>5145.0</v>
      </c>
      <c r="C4821" s="9">
        <v>43448.0</v>
      </c>
      <c r="D4821" s="6" t="s">
        <v>5859</v>
      </c>
      <c r="E4821" s="4">
        <v>6.112001573E9</v>
      </c>
      <c r="F4821" s="8" t="s">
        <v>604</v>
      </c>
      <c r="G4821" s="4" t="s">
        <v>1777</v>
      </c>
      <c r="H4821" s="10" t="s">
        <v>3181</v>
      </c>
      <c r="I4821" s="10">
        <v>15000.0</v>
      </c>
      <c r="J4821" s="11" t="str">
        <f>IF(D4821&lt;&gt;"",VLOOKUP(H4821,TABLEITEM,5,FALSE),"")</f>
        <v>EA</v>
      </c>
      <c r="K4821" s="12">
        <v>0.065</v>
      </c>
      <c r="L4821" s="13" t="str">
        <f>IF(D4821&lt;&gt;"",VLOOKUP(H4821,TABLEITEM,2,FALSE),"")</f>
        <v/>
      </c>
      <c r="M4821" s="13" t="str">
        <f>IF(D4821&lt;&gt;"",VLOOKUP(H4821,TABLEITEM,3,FALSE),"")</f>
        <v>แหวนอีแปะ M6 ชุบขาว</v>
      </c>
      <c r="N4821" s="14">
        <f>INSTOCK!$I4821*INSTOCK!$K4821</f>
        <v>975</v>
      </c>
      <c r="O4821" s="4" t="s">
        <v>3182</v>
      </c>
      <c r="P4821" s="4"/>
    </row>
    <row r="4822" ht="15.75" hidden="1" customHeight="1">
      <c r="B4822" s="8">
        <v>5146.0</v>
      </c>
      <c r="C4822" s="9">
        <v>43448.0</v>
      </c>
      <c r="D4822" s="6" t="s">
        <v>5859</v>
      </c>
      <c r="E4822" s="4">
        <v>6.112001573E9</v>
      </c>
      <c r="F4822" s="8" t="s">
        <v>604</v>
      </c>
      <c r="G4822" s="4" t="s">
        <v>1777</v>
      </c>
      <c r="H4822" s="10" t="s">
        <v>4165</v>
      </c>
      <c r="I4822" s="10">
        <v>1000.0</v>
      </c>
      <c r="J4822" s="11" t="str">
        <f>IF(D4822&lt;&gt;"",VLOOKUP(H4822,TABLEITEM,5,FALSE),"")</f>
        <v>EA</v>
      </c>
      <c r="K4822" s="12">
        <v>1.0075</v>
      </c>
      <c r="L4822" s="13" t="str">
        <f>IF(D4822&lt;&gt;"",VLOOKUP(H4822,TABLEITEM,2,FALSE),"")</f>
        <v/>
      </c>
      <c r="M4822" s="13" t="str">
        <f>IF(D4822&lt;&gt;"",VLOOKUP(H4822,TABLEITEM,3,FALSE),"")</f>
        <v>สกรูหัวเหลี่ยมชุบขาว M8x30</v>
      </c>
      <c r="N4822" s="14">
        <f>INSTOCK!$I4822*INSTOCK!$K4822</f>
        <v>1007.5</v>
      </c>
      <c r="O4822" s="4" t="s">
        <v>4166</v>
      </c>
      <c r="P4822" s="4"/>
    </row>
    <row r="4823" ht="15.75" hidden="1" customHeight="1">
      <c r="B4823" s="8">
        <v>5147.0</v>
      </c>
      <c r="C4823" s="9">
        <v>43448.0</v>
      </c>
      <c r="D4823" s="6" t="s">
        <v>5859</v>
      </c>
      <c r="E4823" s="4">
        <v>6.112001573E9</v>
      </c>
      <c r="F4823" s="8" t="s">
        <v>604</v>
      </c>
      <c r="G4823" s="4" t="s">
        <v>1777</v>
      </c>
      <c r="H4823" s="10" t="s">
        <v>3184</v>
      </c>
      <c r="I4823" s="10">
        <v>15000.0</v>
      </c>
      <c r="J4823" s="11" t="str">
        <f>IF(D4823&lt;&gt;"",VLOOKUP(H4823,TABLEITEM,5,FALSE),"")</f>
        <v>EA</v>
      </c>
      <c r="K4823" s="12">
        <v>0.16</v>
      </c>
      <c r="L4823" s="13" t="str">
        <f>IF(D4823&lt;&gt;"",VLOOKUP(H4823,TABLEITEM,2,FALSE),"")</f>
        <v/>
      </c>
      <c r="M4823" s="13" t="str">
        <f>IF(D4823&lt;&gt;"",VLOOKUP(H4823,TABLEITEM,3,FALSE),"")</f>
        <v>หัวน็อต      M 6 ชุบขาว</v>
      </c>
      <c r="N4823" s="14">
        <f>INSTOCK!$I4823*INSTOCK!$K4823</f>
        <v>2400</v>
      </c>
      <c r="O4823" s="4" t="s">
        <v>3185</v>
      </c>
      <c r="P4823" s="4"/>
    </row>
    <row r="4824" ht="15.75" hidden="1" customHeight="1">
      <c r="B4824" s="8">
        <v>5148.0</v>
      </c>
      <c r="C4824" s="9">
        <v>43448.0</v>
      </c>
      <c r="D4824" s="6" t="s">
        <v>5860</v>
      </c>
      <c r="E4824" s="4">
        <v>6.11200161E9</v>
      </c>
      <c r="F4824" s="8" t="s">
        <v>604</v>
      </c>
      <c r="G4824" s="4" t="s">
        <v>5861</v>
      </c>
      <c r="H4824" s="10" t="s">
        <v>5862</v>
      </c>
      <c r="I4824" s="10">
        <v>10.0</v>
      </c>
      <c r="J4824" s="11" t="str">
        <f>IF(D4824&lt;&gt;"",VLOOKUP(H4824,TABLEITEM,5,FALSE),"")</f>
        <v>EA</v>
      </c>
      <c r="K4824" s="12">
        <v>468.0</v>
      </c>
      <c r="L4824" s="13" t="str">
        <f>IF(D4824&lt;&gt;"",VLOOKUP(H4824,TABLEITEM,2,FALSE),"")</f>
        <v/>
      </c>
      <c r="M4824" s="13" t="str">
        <f>IF(D4824&lt;&gt;"",VLOOKUP(H4824,TABLEITEM,3,FALSE),"")</f>
        <v>แหวนปากตาย #10</v>
      </c>
      <c r="N4824" s="14">
        <f>INSTOCK!$I4824*INSTOCK!$K4824</f>
        <v>4680</v>
      </c>
      <c r="O4824" s="4" t="s">
        <v>5863</v>
      </c>
      <c r="P4824" s="4"/>
    </row>
    <row r="4825" ht="15.75" hidden="1" customHeight="1">
      <c r="B4825" s="8">
        <v>5149.0</v>
      </c>
      <c r="C4825" s="9">
        <v>43448.0</v>
      </c>
      <c r="D4825" s="6" t="s">
        <v>5860</v>
      </c>
      <c r="E4825" s="4">
        <v>6.11200161E9</v>
      </c>
      <c r="F4825" s="8" t="s">
        <v>604</v>
      </c>
      <c r="G4825" s="4" t="s">
        <v>5861</v>
      </c>
      <c r="H4825" s="10" t="s">
        <v>5864</v>
      </c>
      <c r="I4825" s="10">
        <v>10.0</v>
      </c>
      <c r="J4825" s="11" t="str">
        <f>IF(D4825&lt;&gt;"",VLOOKUP(H4825,TABLEITEM,5,FALSE),"")</f>
        <v>EA</v>
      </c>
      <c r="K4825" s="12">
        <v>488.0</v>
      </c>
      <c r="L4825" s="13" t="str">
        <f>IF(D4825&lt;&gt;"",VLOOKUP(H4825,TABLEITEM,2,FALSE),"")</f>
        <v/>
      </c>
      <c r="M4825" s="13" t="str">
        <f>IF(D4825&lt;&gt;"",VLOOKUP(H4825,TABLEITEM,3,FALSE),"")</f>
        <v>แหวนปากตาย #13</v>
      </c>
      <c r="N4825" s="14">
        <f>INSTOCK!$I4825*INSTOCK!$K4825</f>
        <v>4880</v>
      </c>
      <c r="O4825" s="4" t="s">
        <v>5865</v>
      </c>
      <c r="P4825" s="4"/>
    </row>
    <row r="4826" ht="15.75" hidden="1" customHeight="1">
      <c r="B4826" s="8">
        <v>5150.0</v>
      </c>
      <c r="C4826" s="9">
        <v>43448.0</v>
      </c>
      <c r="D4826" s="6" t="s">
        <v>5866</v>
      </c>
      <c r="E4826" s="4">
        <v>6.112001631E9</v>
      </c>
      <c r="F4826" s="8" t="s">
        <v>5867</v>
      </c>
      <c r="G4826" s="4" t="s">
        <v>1258</v>
      </c>
      <c r="H4826" s="10" t="s">
        <v>1259</v>
      </c>
      <c r="I4826" s="10">
        <v>20.0</v>
      </c>
      <c r="J4826" s="11" t="str">
        <f>IF(D4826&lt;&gt;"",VLOOKUP(H4826,TABLEITEM,5,FALSE),"")</f>
        <v>KG.</v>
      </c>
      <c r="K4826" s="12">
        <v>130.0</v>
      </c>
      <c r="L4826" s="13" t="str">
        <f>IF(D4826&lt;&gt;"",VLOOKUP(H4826,TABLEITEM,2,FALSE),"")</f>
        <v/>
      </c>
      <c r="M4826" s="13" t="str">
        <f>IF(D4826&lt;&gt;"",VLOOKUP(H4826,TABLEITEM,3,FALSE),"")</f>
        <v>สีฝุ่น HB 45206 M BLACK MATT</v>
      </c>
      <c r="N4826" s="14">
        <f>INSTOCK!$I4826*INSTOCK!$K4826</f>
        <v>2600</v>
      </c>
      <c r="O4826" s="4"/>
      <c r="P4826" s="4"/>
    </row>
    <row r="4827" ht="15.75" hidden="1" customHeight="1">
      <c r="B4827" s="8">
        <v>5151.0</v>
      </c>
      <c r="C4827" s="9">
        <v>43448.0</v>
      </c>
      <c r="D4827" s="6" t="s">
        <v>5868</v>
      </c>
      <c r="E4827" s="4">
        <v>6.11200162E9</v>
      </c>
      <c r="F4827" s="8" t="s">
        <v>604</v>
      </c>
      <c r="G4827" s="4" t="s">
        <v>743</v>
      </c>
      <c r="H4827" s="10" t="s">
        <v>75</v>
      </c>
      <c r="I4827" s="10">
        <v>200.0</v>
      </c>
      <c r="J4827" s="11" t="str">
        <f>IF(D4827&lt;&gt;"",VLOOKUP(H4827,TABLEITEM,5,FALSE),"")</f>
        <v>KG.</v>
      </c>
      <c r="K4827" s="12">
        <v>149.35</v>
      </c>
      <c r="L4827" s="13" t="str">
        <f>IF(D4827&lt;&gt;"",VLOOKUP(H4827,TABLEITEM,2,FALSE),"")</f>
        <v/>
      </c>
      <c r="M4827" s="13" t="str">
        <f>IF(D4827&lt;&gt;"",VLOOKUP(H4827,TABLEITEM,3,FALSE),"")</f>
        <v>สีฝุ่น สีครีมย่น 1002735PX20</v>
      </c>
      <c r="N4827" s="14">
        <f>INSTOCK!$I4827*INSTOCK!$K4827</f>
        <v>29870</v>
      </c>
      <c r="O4827" s="4"/>
      <c r="P4827" s="4"/>
    </row>
    <row r="4828" ht="15.75" hidden="1" customHeight="1">
      <c r="B4828" s="8">
        <v>5152.0</v>
      </c>
      <c r="C4828" s="9">
        <v>43448.0</v>
      </c>
      <c r="D4828" s="6" t="s">
        <v>5869</v>
      </c>
      <c r="E4828" s="4">
        <v>6.112001618E9</v>
      </c>
      <c r="F4828" s="8" t="s">
        <v>604</v>
      </c>
      <c r="G4828" s="4" t="s">
        <v>950</v>
      </c>
      <c r="H4828" s="10" t="s">
        <v>5870</v>
      </c>
      <c r="I4828" s="10">
        <v>100.0</v>
      </c>
      <c r="J4828" s="11" t="str">
        <f>IF(D4828&lt;&gt;"",VLOOKUP(H4828,TABLEITEM,5,FALSE),"")</f>
        <v>M</v>
      </c>
      <c r="K4828" s="12">
        <v>24.95</v>
      </c>
      <c r="L4828" s="13" t="str">
        <f>IF(D4828&lt;&gt;"",VLOOKUP(H4828,TABLEITEM,2,FALSE),"")</f>
        <v/>
      </c>
      <c r="M4828" s="13" t="str">
        <f>IF(D4828&lt;&gt;"",VLOOKUP(H4828,TABLEITEM,3,FALSE),"")</f>
        <v>Heat Shrink G5 # 20   สีดำ</v>
      </c>
      <c r="N4828" s="14">
        <f>INSTOCK!$I4828*INSTOCK!$K4828</f>
        <v>2495</v>
      </c>
      <c r="O4828" s="4"/>
      <c r="P4828" s="4"/>
    </row>
    <row r="4829" ht="15.75" hidden="1" customHeight="1">
      <c r="B4829" s="8">
        <v>5153.0</v>
      </c>
      <c r="C4829" s="9">
        <v>43447.0</v>
      </c>
      <c r="D4829" s="6" t="s">
        <v>5871</v>
      </c>
      <c r="E4829" s="4">
        <v>6.112001616E9</v>
      </c>
      <c r="F4829" s="8" t="s">
        <v>5867</v>
      </c>
      <c r="G4829" s="4" t="s">
        <v>1258</v>
      </c>
      <c r="H4829" s="10" t="s">
        <v>1259</v>
      </c>
      <c r="I4829" s="10">
        <v>20.0</v>
      </c>
      <c r="J4829" s="11" t="str">
        <f>IF(D4829&lt;&gt;"",VLOOKUP(H4829,TABLEITEM,5,FALSE),"")</f>
        <v>KG.</v>
      </c>
      <c r="K4829" s="12">
        <v>130.0</v>
      </c>
      <c r="L4829" s="13" t="str">
        <f>IF(D4829&lt;&gt;"",VLOOKUP(H4829,TABLEITEM,2,FALSE),"")</f>
        <v/>
      </c>
      <c r="M4829" s="13" t="str">
        <f>IF(D4829&lt;&gt;"",VLOOKUP(H4829,TABLEITEM,3,FALSE),"")</f>
        <v>สีฝุ่น HB 45206 M BLACK MATT</v>
      </c>
      <c r="N4829" s="14">
        <f>INSTOCK!$I4829*INSTOCK!$K4829</f>
        <v>2600</v>
      </c>
      <c r="O4829" s="4"/>
      <c r="P4829" s="4"/>
    </row>
    <row r="4830" ht="15.75" hidden="1" customHeight="1">
      <c r="B4830" s="8">
        <v>5154.0</v>
      </c>
      <c r="C4830" s="9">
        <v>43447.0</v>
      </c>
      <c r="D4830" s="6" t="s">
        <v>5872</v>
      </c>
      <c r="E4830" s="4">
        <v>6.111001358E9</v>
      </c>
      <c r="F4830" s="8" t="s">
        <v>5873</v>
      </c>
      <c r="G4830" s="4" t="s">
        <v>2332</v>
      </c>
      <c r="H4830" s="10" t="s">
        <v>5152</v>
      </c>
      <c r="I4830" s="10">
        <v>9.0</v>
      </c>
      <c r="J4830" s="11" t="str">
        <f>IF(D4830&lt;&gt;"",VLOOKUP(H4830,TABLEITEM,5,FALSE),"")</f>
        <v>EA</v>
      </c>
      <c r="K4830" s="12">
        <v>6000.0</v>
      </c>
      <c r="L4830" s="13" t="str">
        <f>IF(D4830&lt;&gt;"",VLOOKUP(H4830,TABLEITEM,2,FALSE),"")</f>
        <v/>
      </c>
      <c r="M4830" s="13" t="str">
        <f>IF(D4830&lt;&gt;"",VLOOKUP(H4830,TABLEITEM,3,FALSE),"")</f>
        <v>คาปาซิเตอร์ 3PHASE 20KVAR 525V (RG-2)</v>
      </c>
      <c r="N4830" s="14">
        <f>INSTOCK!$I4830*INSTOCK!$K4830</f>
        <v>54000</v>
      </c>
      <c r="O4830" s="4"/>
      <c r="P4830" s="4"/>
    </row>
    <row r="4831" ht="15.75" hidden="1" customHeight="1">
      <c r="B4831" s="8">
        <v>5155.0</v>
      </c>
      <c r="C4831" s="9">
        <v>43447.0</v>
      </c>
      <c r="D4831" s="6" t="s">
        <v>5872</v>
      </c>
      <c r="E4831" s="4">
        <v>6.111001358E9</v>
      </c>
      <c r="F4831" s="8" t="s">
        <v>5873</v>
      </c>
      <c r="G4831" s="4" t="s">
        <v>2332</v>
      </c>
      <c r="H4831" s="10" t="s">
        <v>5155</v>
      </c>
      <c r="I4831" s="10">
        <v>9.0</v>
      </c>
      <c r="J4831" s="11" t="str">
        <f>IF(D4831&lt;&gt;"",VLOOKUP(H4831,TABLEITEM,5,FALSE),"")</f>
        <v>EA</v>
      </c>
      <c r="K4831" s="12">
        <v>8700.0</v>
      </c>
      <c r="L4831" s="13" t="str">
        <f>IF(D4831&lt;&gt;"",VLOOKUP(H4831,TABLEITEM,2,FALSE),"")</f>
        <v/>
      </c>
      <c r="M4831" s="13" t="str">
        <f>IF(D4831&lt;&gt;"",VLOOKUP(H4831,TABLEITEM,3,FALSE),"")</f>
        <v>รีแอ็คเตอร์ 6% สหรับคาปาซิเตอร์ 20KVAR 400 V</v>
      </c>
      <c r="N4831" s="14">
        <f>INSTOCK!$I4831*INSTOCK!$K4831</f>
        <v>78300</v>
      </c>
      <c r="O4831" s="4"/>
      <c r="P4831" s="4"/>
    </row>
    <row r="4832" ht="15.75" hidden="1" customHeight="1">
      <c r="B4832" s="8">
        <v>5156.0</v>
      </c>
      <c r="C4832" s="9">
        <v>43447.0</v>
      </c>
      <c r="D4832" s="6" t="s">
        <v>5872</v>
      </c>
      <c r="E4832" s="4">
        <v>6.111001358E9</v>
      </c>
      <c r="F4832" s="8" t="s">
        <v>5873</v>
      </c>
      <c r="G4832" s="4" t="s">
        <v>2332</v>
      </c>
      <c r="H4832" s="18" t="s">
        <v>5157</v>
      </c>
      <c r="I4832" s="10">
        <v>2.0</v>
      </c>
      <c r="J4832" s="11" t="str">
        <f>IF(D4832&lt;&gt;"",VLOOKUP(H4832,TABLEITEM,5,FALSE),"")</f>
        <v>EA</v>
      </c>
      <c r="K4832" s="12">
        <v>11800.0</v>
      </c>
      <c r="L4832" s="13" t="str">
        <f>IF(D4832&lt;&gt;"",VLOOKUP(H4832,TABLEITEM,2,FALSE),"")</f>
        <v/>
      </c>
      <c r="M4832" s="13" t="str">
        <f>IF(D4832&lt;&gt;"",VLOOKUP(H4832,TABLEITEM,3,FALSE),"")</f>
        <v>คอนโทรลเลอร์ MS-12Q 380-415 V 12 STEPS</v>
      </c>
      <c r="N4832" s="14">
        <f>INSTOCK!$I4832*INSTOCK!$K4832</f>
        <v>23600</v>
      </c>
      <c r="O4832" s="4"/>
      <c r="P4832" s="4"/>
    </row>
    <row r="4833" ht="15.75" hidden="1" customHeight="1">
      <c r="B4833" s="8">
        <v>5157.0</v>
      </c>
      <c r="C4833" s="9">
        <v>43447.0</v>
      </c>
      <c r="D4833" s="6" t="s">
        <v>5874</v>
      </c>
      <c r="E4833" s="4">
        <v>6.112001613E9</v>
      </c>
      <c r="F4833" s="8" t="s">
        <v>4325</v>
      </c>
      <c r="G4833" s="4" t="s">
        <v>1070</v>
      </c>
      <c r="H4833" s="10" t="s">
        <v>4132</v>
      </c>
      <c r="I4833" s="10">
        <v>1.0</v>
      </c>
      <c r="J4833" s="11" t="str">
        <f>IF(D4833&lt;&gt;"",VLOOKUP(H4833,TABLEITEM,5,FALSE),"")</f>
        <v>EA</v>
      </c>
      <c r="K4833" s="12">
        <v>1800.0</v>
      </c>
      <c r="L4833" s="13" t="str">
        <f>IF(D4833&lt;&gt;"",VLOOKUP(H4833,TABLEITEM,2,FALSE),"")</f>
        <v/>
      </c>
      <c r="M4833" s="13" t="str">
        <f>IF(D4833&lt;&gt;"",VLOOKUP(H4833,TABLEITEM,3,FALSE),"")</f>
        <v>REGULATOR CO2 HEATER 220V/NETWELD X600</v>
      </c>
      <c r="N4833" s="14">
        <f>INSTOCK!$I4833*INSTOCK!$K4833</f>
        <v>1800</v>
      </c>
      <c r="O4833" s="4"/>
      <c r="P4833" s="4"/>
    </row>
    <row r="4834" ht="15.75" hidden="1" customHeight="1">
      <c r="B4834" s="8">
        <v>5158.0</v>
      </c>
      <c r="C4834" s="9">
        <v>43447.0</v>
      </c>
      <c r="D4834" s="6" t="s">
        <v>5874</v>
      </c>
      <c r="E4834" s="4">
        <v>6.112001613E9</v>
      </c>
      <c r="F4834" s="8" t="s">
        <v>4325</v>
      </c>
      <c r="G4834" s="4" t="s">
        <v>1070</v>
      </c>
      <c r="H4834" s="10" t="s">
        <v>5875</v>
      </c>
      <c r="I4834" s="10">
        <v>20.0</v>
      </c>
      <c r="J4834" s="11" t="str">
        <f>IF(D4834&lt;&gt;"",VLOOKUP(H4834,TABLEITEM,5,FALSE),"")</f>
        <v>EA</v>
      </c>
      <c r="K4834" s="12">
        <v>52.0</v>
      </c>
      <c r="L4834" s="13" t="str">
        <f>IF(D4834&lt;&gt;"",VLOOKUP(H4834,TABLEITEM,2,FALSE),"")</f>
        <v/>
      </c>
      <c r="M4834" s="13" t="str">
        <f>IF(D4834&lt;&gt;"",VLOOKUP(H4834,TABLEITEM,3,FALSE),"")</f>
        <v>ลวดทังสเตน 2% 2.4x175mm</v>
      </c>
      <c r="N4834" s="14">
        <f>INSTOCK!$I4834*INSTOCK!$K4834</f>
        <v>1040</v>
      </c>
      <c r="O4834" s="4"/>
      <c r="P4834" s="4"/>
    </row>
    <row r="4835" ht="15.75" hidden="1" customHeight="1">
      <c r="B4835" s="8">
        <v>5159.0</v>
      </c>
      <c r="C4835" s="9">
        <v>43447.0</v>
      </c>
      <c r="D4835" s="6" t="s">
        <v>5876</v>
      </c>
      <c r="E4835" s="4" t="s">
        <v>5877</v>
      </c>
      <c r="F4835" s="8" t="s">
        <v>5878</v>
      </c>
      <c r="G4835" s="4" t="s">
        <v>1485</v>
      </c>
      <c r="H4835" s="10" t="s">
        <v>3095</v>
      </c>
      <c r="I4835" s="10">
        <v>4.0</v>
      </c>
      <c r="J4835" s="11" t="str">
        <f>IF(D4835&lt;&gt;"",VLOOKUP(H4835,TABLEITEM,5,FALSE),"")</f>
        <v>EA</v>
      </c>
      <c r="K4835" s="12">
        <v>2144.3</v>
      </c>
      <c r="L4835" s="13" t="str">
        <f>IF(D4835&lt;&gt;"",VLOOKUP(H4835,TABLEITEM,2,FALSE),"")</f>
        <v/>
      </c>
      <c r="M4835" s="13" t="str">
        <f>IF(D4835&lt;&gt;"",VLOOKUP(H4835,TABLEITEM,3,FALSE),"")</f>
        <v>TESYS D CONTACTOR 3P(3NO) AC-3 440V 50A 220VAC AC COIL</v>
      </c>
      <c r="N4835" s="14">
        <f>INSTOCK!$I4835*INSTOCK!$K4835</f>
        <v>8577.2</v>
      </c>
      <c r="O4835" s="4"/>
      <c r="P4835" s="4"/>
    </row>
    <row r="4836" ht="15.75" hidden="1" customHeight="1">
      <c r="B4836" s="8">
        <v>5160.0</v>
      </c>
      <c r="C4836" s="9">
        <v>43447.0</v>
      </c>
      <c r="D4836" s="6" t="s">
        <v>5876</v>
      </c>
      <c r="E4836" s="4" t="s">
        <v>5877</v>
      </c>
      <c r="F4836" s="8" t="s">
        <v>5878</v>
      </c>
      <c r="G4836" s="4" t="s">
        <v>1485</v>
      </c>
      <c r="H4836" s="10" t="s">
        <v>2964</v>
      </c>
      <c r="I4836" s="10">
        <v>4.0</v>
      </c>
      <c r="J4836" s="11" t="str">
        <f>IF(D4836&lt;&gt;"",VLOOKUP(H4836,TABLEITEM,5,FALSE),"")</f>
        <v>EA</v>
      </c>
      <c r="K4836" s="12">
        <v>1254.6</v>
      </c>
      <c r="L4836" s="13" t="str">
        <f>IF(D4836&lt;&gt;"",VLOOKUP(H4836,TABLEITEM,2,FALSE),"")</f>
        <v/>
      </c>
      <c r="M4836" s="13" t="str">
        <f>IF(D4836&lt;&gt;"",VLOOKUP(H4836,TABLEITEM,3,FALSE),"")</f>
        <v>MCCB CVS100B TM50D 3P3D 380/415 VAC 25KA</v>
      </c>
      <c r="N4836" s="14">
        <f>INSTOCK!$I4836*INSTOCK!$K4836</f>
        <v>5018.4</v>
      </c>
      <c r="O4836" s="4"/>
      <c r="P4836" s="4"/>
    </row>
    <row r="4837" ht="15.75" hidden="1" customHeight="1">
      <c r="B4837" s="8">
        <v>5161.0</v>
      </c>
      <c r="C4837" s="9">
        <v>43447.0</v>
      </c>
      <c r="D4837" s="6" t="s">
        <v>5876</v>
      </c>
      <c r="E4837" s="4" t="s">
        <v>5877</v>
      </c>
      <c r="F4837" s="8" t="s">
        <v>5878</v>
      </c>
      <c r="G4837" s="4" t="s">
        <v>1485</v>
      </c>
      <c r="H4837" s="10" t="s">
        <v>2820</v>
      </c>
      <c r="I4837" s="10">
        <v>4.0</v>
      </c>
      <c r="J4837" s="11" t="str">
        <f>IF(D4837&lt;&gt;"",VLOOKUP(H4837,TABLEITEM,5,FALSE),"")</f>
        <v>EA</v>
      </c>
      <c r="K4837" s="12">
        <v>140.0</v>
      </c>
      <c r="L4837" s="13" t="str">
        <f>IF(D4837&lt;&gt;"",VLOOKUP(H4837,TABLEITEM,2,FALSE),"")</f>
        <v/>
      </c>
      <c r="M4837" s="13" t="str">
        <f>IF(D4837&lt;&gt;"",VLOOKUP(H4837,TABLEITEM,3,FALSE),"")</f>
        <v>MCB IC60N 1P 16A C CURVE 10KA 400VAC</v>
      </c>
      <c r="N4837" s="14">
        <f>INSTOCK!$I4837*INSTOCK!$K4837</f>
        <v>560</v>
      </c>
      <c r="O4837" s="4"/>
      <c r="P4837" s="4"/>
    </row>
    <row r="4838" ht="15.75" hidden="1" customHeight="1">
      <c r="B4838" s="8">
        <v>5162.0</v>
      </c>
      <c r="C4838" s="9">
        <v>43447.0</v>
      </c>
      <c r="D4838" s="6" t="s">
        <v>5876</v>
      </c>
      <c r="E4838" s="4" t="s">
        <v>5877</v>
      </c>
      <c r="F4838" s="8" t="s">
        <v>5878</v>
      </c>
      <c r="G4838" s="4" t="s">
        <v>1485</v>
      </c>
      <c r="H4838" s="10" t="s">
        <v>2191</v>
      </c>
      <c r="I4838" s="10">
        <v>4.0</v>
      </c>
      <c r="J4838" s="11" t="str">
        <f>IF(D4838&lt;&gt;"",VLOOKUP(H4838,TABLEITEM,5,FALSE),"")</f>
        <v>EA</v>
      </c>
      <c r="K4838" s="12">
        <v>108.65</v>
      </c>
      <c r="L4838" s="13" t="str">
        <f>IF(D4838&lt;&gt;"",VLOOKUP(H4838,TABLEITEM,2,FALSE),"")</f>
        <v/>
      </c>
      <c r="M4838" s="13" t="str">
        <f>IF(D4838&lt;&gt;"",VLOOKUP(H4838,TABLEITEM,3,FALSE),"")</f>
        <v>SELECTOR SWITCH BLACK 3POSITIONS 2NO</v>
      </c>
      <c r="N4838" s="14">
        <f>INSTOCK!$I4838*INSTOCK!$K4838</f>
        <v>434.6</v>
      </c>
      <c r="O4838" s="4"/>
      <c r="P4838" s="4"/>
    </row>
    <row r="4839" ht="15.75" hidden="1" customHeight="1">
      <c r="B4839" s="8">
        <v>5163.0</v>
      </c>
      <c r="C4839" s="9">
        <v>43447.0</v>
      </c>
      <c r="D4839" s="6" t="s">
        <v>5876</v>
      </c>
      <c r="E4839" s="4" t="s">
        <v>5877</v>
      </c>
      <c r="F4839" s="8" t="s">
        <v>5878</v>
      </c>
      <c r="G4839" s="4" t="s">
        <v>1485</v>
      </c>
      <c r="H4839" s="10" t="s">
        <v>1853</v>
      </c>
      <c r="I4839" s="10">
        <v>1.0</v>
      </c>
      <c r="J4839" s="11" t="str">
        <f>IF(D4839&lt;&gt;"",VLOOKUP(H4839,TABLEITEM,5,FALSE),"")</f>
        <v>EA</v>
      </c>
      <c r="K4839" s="12">
        <v>533.0</v>
      </c>
      <c r="L4839" s="13" t="str">
        <f>IF(D4839&lt;&gt;"",VLOOKUP(H4839,TABLEITEM,2,FALSE),"")</f>
        <v/>
      </c>
      <c r="M4839" s="13" t="str">
        <f>IF(D4839&lt;&gt;"",VLOOKUP(H4839,TABLEITEM,3,FALSE),"")</f>
        <v>K CAM SWITCH K1F003MLH</v>
      </c>
      <c r="N4839" s="14">
        <f>INSTOCK!$I4839*INSTOCK!$K4839</f>
        <v>533</v>
      </c>
      <c r="O4839" s="4"/>
      <c r="P4839" s="4"/>
    </row>
    <row r="4840" ht="15.75" hidden="1" customHeight="1">
      <c r="B4840" s="8">
        <v>5164.0</v>
      </c>
      <c r="C4840" s="9">
        <v>43447.0</v>
      </c>
      <c r="D4840" s="6">
        <v>6.11203634E8</v>
      </c>
      <c r="E4840" s="4">
        <v>6.112001626E9</v>
      </c>
      <c r="F4840" s="8"/>
      <c r="G4840" s="4" t="s">
        <v>1130</v>
      </c>
      <c r="H4840" s="10" t="s">
        <v>5879</v>
      </c>
      <c r="I4840" s="10">
        <v>2.0</v>
      </c>
      <c r="J4840" s="11" t="str">
        <f>IF(D4840&lt;&gt;"",VLOOKUP(H4840,TABLEITEM,5,FALSE),"")</f>
        <v>EA</v>
      </c>
      <c r="K4840" s="12">
        <v>110.0</v>
      </c>
      <c r="L4840" s="13" t="str">
        <f>IF(D4840&lt;&gt;"",VLOOKUP(H4840,TABLEITEM,2,FALSE),"")</f>
        <v/>
      </c>
      <c r="M4840" s="13" t="str">
        <f>IF(D4840&lt;&gt;"",VLOOKUP(H4840,TABLEITEM,3,FALSE),"")</f>
        <v>ฟิลเตอร์พัดลม WFP-801</v>
      </c>
      <c r="N4840" s="14">
        <f>INSTOCK!$I4840*INSTOCK!$K4840</f>
        <v>220</v>
      </c>
      <c r="O4840" s="4" t="s">
        <v>5880</v>
      </c>
      <c r="P4840" s="4"/>
    </row>
    <row r="4841" ht="15.75" hidden="1" customHeight="1">
      <c r="B4841" s="8">
        <v>5165.0</v>
      </c>
      <c r="C4841" s="9">
        <v>43447.0</v>
      </c>
      <c r="D4841" s="6" t="s">
        <v>5881</v>
      </c>
      <c r="E4841" s="4">
        <v>6.112001605E9</v>
      </c>
      <c r="F4841" s="8" t="s">
        <v>604</v>
      </c>
      <c r="G4841" s="4" t="s">
        <v>665</v>
      </c>
      <c r="H4841" s="10" t="s">
        <v>482</v>
      </c>
      <c r="I4841" s="10">
        <v>500.0</v>
      </c>
      <c r="J4841" s="11" t="str">
        <f>IF(D4841&lt;&gt;"",VLOOKUP(H4841,TABLEITEM,5,FALSE),"")</f>
        <v>M</v>
      </c>
      <c r="K4841" s="12">
        <v>10.0</v>
      </c>
      <c r="L4841" s="13" t="str">
        <f>IF(D4841&lt;&gt;"",VLOOKUP(H4841,TABLEITEM,2,FALSE),"")</f>
        <v>wire</v>
      </c>
      <c r="M4841" s="13" t="str">
        <f>IF(D4841&lt;&gt;"",VLOOKUP(H4841,TABLEITEM,3,FALSE),"")</f>
        <v>สายไฟ VSF1x2.5 SQMM.สีดำ</v>
      </c>
      <c r="N4841" s="14">
        <f>INSTOCK!$I4841*INSTOCK!$K4841</f>
        <v>5000</v>
      </c>
      <c r="O4841" s="4"/>
      <c r="P4841" s="4"/>
    </row>
    <row r="4842" ht="15.75" hidden="1" customHeight="1">
      <c r="B4842" s="8">
        <v>5166.0</v>
      </c>
      <c r="C4842" s="9">
        <v>43447.0</v>
      </c>
      <c r="D4842" s="6" t="s">
        <v>5882</v>
      </c>
      <c r="E4842" s="4">
        <v>6.112001611E9</v>
      </c>
      <c r="F4842" s="8" t="s">
        <v>5867</v>
      </c>
      <c r="G4842" s="4" t="s">
        <v>5883</v>
      </c>
      <c r="H4842" s="10" t="s">
        <v>3353</v>
      </c>
      <c r="I4842" s="10">
        <v>5.0</v>
      </c>
      <c r="J4842" s="11" t="str">
        <f>IF(D4842&lt;&gt;"",VLOOKUP(H4842,TABLEITEM,5,FALSE),"")</f>
        <v>EA</v>
      </c>
      <c r="K4842" s="12">
        <v>66.5</v>
      </c>
      <c r="L4842" s="13" t="str">
        <f>IF(D4842&lt;&gt;"",VLOOKUP(H4842,TABLEITEM,2,FALSE),"")</f>
        <v/>
      </c>
      <c r="M4842" s="13" t="str">
        <f>IF(D4842&lt;&gt;"",VLOOKUP(H4842,TABLEITEM,3,FALSE),"")</f>
        <v>ล้อไนล่อน 2" ล้อตาย (4ตัวชุด)</v>
      </c>
      <c r="N4842" s="14">
        <f>INSTOCK!$I4842*INSTOCK!$K4842</f>
        <v>332.5</v>
      </c>
      <c r="O4842" s="4" t="s">
        <v>3354</v>
      </c>
      <c r="P4842" s="4"/>
    </row>
    <row r="4843" ht="15.75" hidden="1" customHeight="1">
      <c r="B4843" s="8">
        <v>5167.0</v>
      </c>
      <c r="C4843" s="9">
        <v>43447.0</v>
      </c>
      <c r="D4843" s="6" t="s">
        <v>5882</v>
      </c>
      <c r="E4843" s="4">
        <v>6.112001611E9</v>
      </c>
      <c r="F4843" s="8" t="s">
        <v>5884</v>
      </c>
      <c r="G4843" s="4" t="s">
        <v>5883</v>
      </c>
      <c r="H4843" s="10" t="s">
        <v>3355</v>
      </c>
      <c r="I4843" s="10">
        <v>5.0</v>
      </c>
      <c r="J4843" s="11" t="str">
        <f>IF(D4843&lt;&gt;"",VLOOKUP(H4843,TABLEITEM,5,FALSE),"")</f>
        <v>EA</v>
      </c>
      <c r="K4843" s="12">
        <v>95.0</v>
      </c>
      <c r="L4843" s="13" t="str">
        <f>IF(D4843&lt;&gt;"",VLOOKUP(H4843,TABLEITEM,2,FALSE),"")</f>
        <v/>
      </c>
      <c r="M4843" s="13" t="str">
        <f>IF(D4843&lt;&gt;"",VLOOKUP(H4843,TABLEITEM,3,FALSE),"")</f>
        <v>ล้อไนล่อน 2" ล้อเป็นมีเบรค (4ตัวชุด)</v>
      </c>
      <c r="N4843" s="14">
        <f>INSTOCK!$I4843*INSTOCK!$K4843</f>
        <v>475</v>
      </c>
      <c r="O4843" s="4" t="s">
        <v>3356</v>
      </c>
      <c r="P4843" s="4"/>
    </row>
    <row r="4844" ht="15.75" hidden="1" customHeight="1">
      <c r="B4844" s="8">
        <v>5168.0</v>
      </c>
      <c r="C4844" s="9">
        <v>43447.0</v>
      </c>
      <c r="D4844" s="6" t="s">
        <v>5885</v>
      </c>
      <c r="E4844" s="4">
        <v>6.112001625E9</v>
      </c>
      <c r="F4844" s="8" t="s">
        <v>5878</v>
      </c>
      <c r="G4844" s="4" t="s">
        <v>1904</v>
      </c>
      <c r="H4844" s="10" t="s">
        <v>5308</v>
      </c>
      <c r="I4844" s="10">
        <v>3.0</v>
      </c>
      <c r="J4844" s="11" t="str">
        <f>IF(D4844&lt;&gt;"",VLOOKUP(H4844,TABLEITEM,5,FALSE),"")</f>
        <v>EA</v>
      </c>
      <c r="K4844" s="12">
        <v>1665.0</v>
      </c>
      <c r="L4844" s="13" t="str">
        <f>IF(D4844&lt;&gt;"",VLOOKUP(H4844,TABLEITEM,2,FALSE),"")</f>
        <v/>
      </c>
      <c r="M4844" s="13" t="str">
        <f>IF(D4844&lt;&gt;"",VLOOKUP(H4844,TABLEITEM,3,FALSE),"")</f>
        <v>Timer MIL72E D120 (tactic371.2 plus)</v>
      </c>
      <c r="N4844" s="14">
        <f>INSTOCK!$I4844*INSTOCK!$K4844</f>
        <v>4995</v>
      </c>
      <c r="O4844" s="4" t="s">
        <v>2195</v>
      </c>
      <c r="P4844" s="4"/>
    </row>
    <row r="4845" ht="15.75" hidden="1" customHeight="1">
      <c r="B4845" s="8">
        <v>5169.0</v>
      </c>
      <c r="C4845" s="9">
        <v>43446.0</v>
      </c>
      <c r="D4845" s="6">
        <v>6.11203539E8</v>
      </c>
      <c r="E4845" s="4">
        <v>6.112001623E9</v>
      </c>
      <c r="F4845" s="8"/>
      <c r="G4845" s="4" t="s">
        <v>1130</v>
      </c>
      <c r="H4845" s="10" t="s">
        <v>3922</v>
      </c>
      <c r="I4845" s="10">
        <v>12.0</v>
      </c>
      <c r="J4845" s="11" t="str">
        <f>IF(D4845&lt;&gt;"",VLOOKUP(H4845,TABLEITEM,5,FALSE),"")</f>
        <v>EA</v>
      </c>
      <c r="K4845" s="12">
        <v>121.123</v>
      </c>
      <c r="L4845" s="13" t="str">
        <f>IF(D4845&lt;&gt;"",VLOOKUP(H4845,TABLEITEM,2,FALSE),"")</f>
        <v/>
      </c>
      <c r="M4845" s="13" t="str">
        <f>IF(D4845&lt;&gt;"",VLOOKUP(H4845,TABLEITEM,3,FALSE),"")</f>
        <v>CT50/5 MSQ40</v>
      </c>
      <c r="N4845" s="14">
        <f>INSTOCK!$I4845*INSTOCK!$K4845</f>
        <v>1453.476</v>
      </c>
      <c r="O4845" s="4" t="s">
        <v>1898</v>
      </c>
      <c r="P4845" s="4"/>
    </row>
    <row r="4846" ht="15.75" hidden="1" customHeight="1">
      <c r="B4846" s="8">
        <v>5170.0</v>
      </c>
      <c r="C4846" s="9">
        <v>43446.0</v>
      </c>
      <c r="D4846" s="6" t="s">
        <v>5886</v>
      </c>
      <c r="E4846" s="4"/>
      <c r="F4846" s="8" t="s">
        <v>604</v>
      </c>
      <c r="G4846" s="4" t="s">
        <v>1092</v>
      </c>
      <c r="H4846" s="10" t="s">
        <v>818</v>
      </c>
      <c r="I4846" s="10">
        <v>12.0</v>
      </c>
      <c r="J4846" s="11" t="str">
        <f>IF(D4846&lt;&gt;"",VLOOKUP(H4846,TABLEITEM,5,FALSE),"")</f>
        <v>ท่อ</v>
      </c>
      <c r="K4846" s="12">
        <v>280.0</v>
      </c>
      <c r="L4846" s="13" t="str">
        <f>IF(D4846&lt;&gt;"",VLOOKUP(H4846,TABLEITEM,2,FALSE),"")</f>
        <v/>
      </c>
      <c r="M4846" s="13" t="str">
        <f>IF(D4846&lt;&gt;"",VLOOKUP(H4846,TABLEITEM,3,FALSE),"")</f>
        <v>คาร์บอนไดออกไซด์ ขนาด 25 กก</v>
      </c>
      <c r="N4846" s="14">
        <f>INSTOCK!$I4846*INSTOCK!$K4846</f>
        <v>3360</v>
      </c>
      <c r="O4846" s="4"/>
      <c r="P4846" s="4"/>
    </row>
    <row r="4847" ht="15.75" hidden="1" customHeight="1">
      <c r="B4847" s="8">
        <v>5171.0</v>
      </c>
      <c r="C4847" s="9">
        <v>43446.0</v>
      </c>
      <c r="D4847" s="6" t="s">
        <v>5886</v>
      </c>
      <c r="E4847" s="4"/>
      <c r="F4847" s="8" t="s">
        <v>604</v>
      </c>
      <c r="G4847" s="4" t="s">
        <v>1092</v>
      </c>
      <c r="H4847" s="10" t="s">
        <v>816</v>
      </c>
      <c r="I4847" s="10">
        <v>3.0</v>
      </c>
      <c r="J4847" s="11" t="str">
        <f>IF(D4847&lt;&gt;"",VLOOKUP(H4847,TABLEITEM,5,FALSE),"")</f>
        <v>ท่อ</v>
      </c>
      <c r="K4847" s="12">
        <v>600.0</v>
      </c>
      <c r="L4847" s="13" t="str">
        <f>IF(D4847&lt;&gt;"",VLOOKUP(H4847,TABLEITEM,2,FALSE),"")</f>
        <v/>
      </c>
      <c r="M4847" s="13" t="str">
        <f>IF(D4847&lt;&gt;"",VLOOKUP(H4847,TABLEITEM,3,FALSE),"")</f>
        <v>อาร์กอน ขนาด 6คิว</v>
      </c>
      <c r="N4847" s="14">
        <f>INSTOCK!$I4847*INSTOCK!$K4847</f>
        <v>1800</v>
      </c>
      <c r="O4847" s="4"/>
      <c r="P4847" s="4"/>
    </row>
    <row r="4848" ht="15.75" hidden="1" customHeight="1">
      <c r="B4848" s="8">
        <v>5172.0</v>
      </c>
      <c r="C4848" s="9">
        <v>43446.0</v>
      </c>
      <c r="D4848" s="6">
        <v>6.11203502E8</v>
      </c>
      <c r="E4848" s="4">
        <v>6.112001621E9</v>
      </c>
      <c r="F4848" s="8"/>
      <c r="G4848" s="4" t="s">
        <v>1130</v>
      </c>
      <c r="H4848" s="18" t="s">
        <v>231</v>
      </c>
      <c r="I4848" s="10">
        <v>2000.0</v>
      </c>
      <c r="J4848" s="11" t="str">
        <f>IF(D4848&lt;&gt;"",VLOOKUP(H4848,TABLEITEM,5,FALSE),"")</f>
        <v>EA</v>
      </c>
      <c r="K4848" s="12">
        <v>1.155</v>
      </c>
      <c r="L4848" s="13" t="str">
        <f>IF(D4848&lt;&gt;"",VLOOKUP(H4848,TABLEITEM,2,FALSE),"")</f>
        <v/>
      </c>
      <c r="M4848" s="13" t="str">
        <f>IF(D4848&lt;&gt;"",VLOOKUP(H4848,TABLEITEM,3,FALSE),"")</f>
        <v>CORD-END 1.5-8 สีแดง</v>
      </c>
      <c r="N4848" s="14">
        <f>INSTOCK!$I4848*INSTOCK!$K4848</f>
        <v>2310</v>
      </c>
      <c r="O4848" s="4" t="s">
        <v>5887</v>
      </c>
      <c r="P4848" s="4"/>
    </row>
    <row r="4849" ht="15.75" hidden="1" customHeight="1">
      <c r="B4849" s="8">
        <v>5173.0</v>
      </c>
      <c r="C4849" s="9">
        <v>43446.0</v>
      </c>
      <c r="D4849" s="6" t="s">
        <v>5888</v>
      </c>
      <c r="E4849" s="4">
        <v>6.112001625E9</v>
      </c>
      <c r="F4849" s="8" t="s">
        <v>5878</v>
      </c>
      <c r="G4849" s="4" t="s">
        <v>1904</v>
      </c>
      <c r="H4849" s="10" t="s">
        <v>5308</v>
      </c>
      <c r="I4849" s="10">
        <v>1.0</v>
      </c>
      <c r="J4849" s="11" t="str">
        <f>IF(D4849&lt;&gt;"",VLOOKUP(H4849,TABLEITEM,5,FALSE),"")</f>
        <v>EA</v>
      </c>
      <c r="K4849" s="12">
        <v>1665.0</v>
      </c>
      <c r="L4849" s="13" t="str">
        <f>IF(D4849&lt;&gt;"",VLOOKUP(H4849,TABLEITEM,2,FALSE),"")</f>
        <v/>
      </c>
      <c r="M4849" s="13" t="str">
        <f>IF(D4849&lt;&gt;"",VLOOKUP(H4849,TABLEITEM,3,FALSE),"")</f>
        <v>Timer MIL72E D120 (tactic371.2 plus)</v>
      </c>
      <c r="N4849" s="14">
        <f>INSTOCK!$I4849*INSTOCK!$K4849</f>
        <v>1665</v>
      </c>
      <c r="O4849" s="4" t="s">
        <v>2195</v>
      </c>
      <c r="P4849" s="4"/>
    </row>
    <row r="4850" ht="15.75" hidden="1" customHeight="1">
      <c r="B4850" s="8">
        <v>5174.0</v>
      </c>
      <c r="C4850" s="9">
        <v>43446.0</v>
      </c>
      <c r="D4850" s="6" t="s">
        <v>5889</v>
      </c>
      <c r="E4850" s="4">
        <v>6.111001446E9</v>
      </c>
      <c r="F4850" s="8" t="s">
        <v>604</v>
      </c>
      <c r="G4850" s="4" t="s">
        <v>3099</v>
      </c>
      <c r="H4850" s="10" t="s">
        <v>4659</v>
      </c>
      <c r="I4850" s="10">
        <v>1000.0</v>
      </c>
      <c r="J4850" s="11" t="str">
        <f>IF(D4850&lt;&gt;"",VLOOKUP(H4850,TABLEITEM,5,FALSE),"")</f>
        <v>EA</v>
      </c>
      <c r="K4850" s="12">
        <v>10.3</v>
      </c>
      <c r="L4850" s="13" t="str">
        <f>IF(D4850&lt;&gt;"",VLOOKUP(H4850,TABLEITEM,2,FALSE),"")</f>
        <v/>
      </c>
      <c r="M4850" s="13" t="str">
        <f>IF(D4850&lt;&gt;"",VLOOKUP(H4850,TABLEITEM,3,FALSE),"")</f>
        <v>ชุด STOPER WITH ROOLER#001 ชุบขาว</v>
      </c>
      <c r="N4850" s="14">
        <f>INSTOCK!$I4850*INSTOCK!$K4850</f>
        <v>10300</v>
      </c>
      <c r="O4850" s="4"/>
      <c r="P4850" s="4"/>
    </row>
    <row r="4851" ht="15.75" hidden="1" customHeight="1">
      <c r="B4851" s="8">
        <v>5175.0</v>
      </c>
      <c r="C4851" s="9">
        <v>43446.0</v>
      </c>
      <c r="D4851" s="6" t="s">
        <v>5890</v>
      </c>
      <c r="E4851" s="4">
        <v>6.111001442E9</v>
      </c>
      <c r="F4851" s="8" t="s">
        <v>604</v>
      </c>
      <c r="G4851" s="4" t="s">
        <v>3099</v>
      </c>
      <c r="H4851" s="10" t="s">
        <v>2302</v>
      </c>
      <c r="I4851" s="10">
        <v>5000.0</v>
      </c>
      <c r="J4851" s="11" t="str">
        <f>IF(D4851&lt;&gt;"",VLOOKUP(H4851,TABLEITEM,5,FALSE),"")</f>
        <v>EA</v>
      </c>
      <c r="K4851" s="12">
        <v>2.19</v>
      </c>
      <c r="L4851" s="13" t="str">
        <f>IF(D4851&lt;&gt;"",VLOOKUP(H4851,TABLEITEM,2,FALSE),"")</f>
        <v/>
      </c>
      <c r="M4851" s="13" t="str">
        <f>IF(D4851&lt;&gt;"",VLOOKUP(H4851,TABLEITEM,3,FALSE),"")</f>
        <v>ไส้กลางบานพับชุบขาว</v>
      </c>
      <c r="N4851" s="14">
        <f>INSTOCK!$I4851*INSTOCK!$K4851</f>
        <v>10950</v>
      </c>
      <c r="O4851" s="4"/>
      <c r="P4851" s="4"/>
    </row>
    <row r="4852" ht="15.75" hidden="1" customHeight="1">
      <c r="B4852" s="8">
        <v>5176.0</v>
      </c>
      <c r="C4852" s="9">
        <v>43446.0</v>
      </c>
      <c r="D4852" s="6" t="s">
        <v>5891</v>
      </c>
      <c r="E4852" s="4"/>
      <c r="F4852" s="8" t="s">
        <v>1668</v>
      </c>
      <c r="G4852" s="4" t="s">
        <v>3029</v>
      </c>
      <c r="H4852" s="10" t="s">
        <v>3030</v>
      </c>
      <c r="I4852" s="10">
        <v>30.34</v>
      </c>
      <c r="J4852" s="11" t="str">
        <f>IF(D4852&lt;&gt;"",VLOOKUP(H4852,TABLEITEM,5,FALSE),"")</f>
        <v>LOT</v>
      </c>
      <c r="K4852" s="12">
        <v>55.0</v>
      </c>
      <c r="L4852" s="13" t="str">
        <f>IF(D4852&lt;&gt;"",VLOOKUP(H4852,TABLEITEM,2,FALSE),"")</f>
        <v/>
      </c>
      <c r="M4852" s="13" t="str">
        <f>IF(D4852&lt;&gt;"",VLOOKUP(H4852,TABLEITEM,3,FALSE),"")</f>
        <v>ค่าชุบ ดีบุกเงา</v>
      </c>
      <c r="N4852" s="14">
        <f>INSTOCK!$I4852*INSTOCK!$K4852</f>
        <v>1668.7</v>
      </c>
      <c r="O4852" s="4"/>
      <c r="P4852" s="4"/>
    </row>
    <row r="4853" ht="15.75" hidden="1" customHeight="1">
      <c r="B4853" s="8">
        <v>5177.0</v>
      </c>
      <c r="C4853" s="9">
        <v>43446.0</v>
      </c>
      <c r="D4853" s="6" t="s">
        <v>5892</v>
      </c>
      <c r="E4853" s="4"/>
      <c r="F4853" s="8"/>
      <c r="G4853" s="4" t="s">
        <v>3029</v>
      </c>
      <c r="H4853" s="10" t="s">
        <v>3030</v>
      </c>
      <c r="I4853" s="10">
        <v>9.33</v>
      </c>
      <c r="J4853" s="11" t="str">
        <f>IF(D4853&lt;&gt;"",VLOOKUP(H4853,TABLEITEM,5,FALSE),"")</f>
        <v>LOT</v>
      </c>
      <c r="K4853" s="12">
        <v>55.0</v>
      </c>
      <c r="L4853" s="13" t="str">
        <f>IF(D4853&lt;&gt;"",VLOOKUP(H4853,TABLEITEM,2,FALSE),"")</f>
        <v/>
      </c>
      <c r="M4853" s="13" t="str">
        <f>IF(D4853&lt;&gt;"",VLOOKUP(H4853,TABLEITEM,3,FALSE),"")</f>
        <v>ค่าชุบ ดีบุกเงา</v>
      </c>
      <c r="N4853" s="14">
        <f>INSTOCK!$I4853*INSTOCK!$K4853</f>
        <v>513.15</v>
      </c>
      <c r="O4853" s="4"/>
      <c r="P4853" s="4"/>
    </row>
    <row r="4854" ht="15.75" hidden="1" customHeight="1">
      <c r="B4854" s="8">
        <v>5178.0</v>
      </c>
      <c r="C4854" s="9">
        <v>43446.0</v>
      </c>
      <c r="D4854" s="6" t="s">
        <v>5893</v>
      </c>
      <c r="E4854" s="4"/>
      <c r="F4854" s="8" t="s">
        <v>801</v>
      </c>
      <c r="G4854" s="4" t="s">
        <v>1417</v>
      </c>
      <c r="H4854" s="10" t="s">
        <v>803</v>
      </c>
      <c r="I4854" s="10">
        <v>15.0</v>
      </c>
      <c r="J4854" s="11" t="str">
        <f>IF(D4854&lt;&gt;"",VLOOKUP(H4854,TABLEITEM,5,FALSE),"")</f>
        <v>ถัง</v>
      </c>
      <c r="K4854" s="12">
        <v>981.31</v>
      </c>
      <c r="L4854" s="13" t="str">
        <f>IF(D4854&lt;&gt;"",VLOOKUP(H4854,TABLEITEM,2,FALSE),"")</f>
        <v/>
      </c>
      <c r="M4854" s="13" t="str">
        <f>IF(D4854&lt;&gt;"",VLOOKUP(H4854,TABLEITEM,3,FALSE),"")</f>
        <v>แก๊สหุงต้ม 48กก</v>
      </c>
      <c r="N4854" s="14">
        <f>INSTOCK!$I4854*INSTOCK!$K4854</f>
        <v>14719.65</v>
      </c>
      <c r="O4854" s="4"/>
      <c r="P4854" s="4"/>
    </row>
    <row r="4855" ht="15.75" hidden="1" customHeight="1">
      <c r="B4855" s="8">
        <v>5179.0</v>
      </c>
      <c r="C4855" s="9">
        <v>43446.0</v>
      </c>
      <c r="D4855" s="6" t="s">
        <v>5894</v>
      </c>
      <c r="E4855" s="4">
        <v>6.112001606E9</v>
      </c>
      <c r="F4855" s="8" t="s">
        <v>807</v>
      </c>
      <c r="G4855" s="4" t="s">
        <v>808</v>
      </c>
      <c r="H4855" s="10" t="s">
        <v>809</v>
      </c>
      <c r="I4855" s="10">
        <v>1.0</v>
      </c>
      <c r="J4855" s="11" t="str">
        <f>IF(D4855&lt;&gt;"",VLOOKUP(H4855,TABLEITEM,5,FALSE),"")</f>
        <v>ท่อ</v>
      </c>
      <c r="K4855" s="12">
        <v>2700.0</v>
      </c>
      <c r="L4855" s="13" t="str">
        <f>IF(D4855&lt;&gt;"",VLOOKUP(H4855,TABLEITEM,2,FALSE),"")</f>
        <v/>
      </c>
      <c r="M4855" s="13" t="str">
        <f>IF(D4855&lt;&gt;"",VLOOKUP(H4855,TABLEITEM,3,FALSE),"")</f>
        <v>ไนโตรเจนเหลว ขนาด 100คิว</v>
      </c>
      <c r="N4855" s="14">
        <f>INSTOCK!$I4855*INSTOCK!$K4855</f>
        <v>2700</v>
      </c>
      <c r="O4855" s="4"/>
      <c r="P4855" s="4"/>
    </row>
    <row r="4856" ht="15.75" hidden="1" customHeight="1">
      <c r="B4856" s="8">
        <v>5180.0</v>
      </c>
      <c r="C4856" s="9">
        <v>43446.0</v>
      </c>
      <c r="D4856" s="6">
        <v>6103831.0</v>
      </c>
      <c r="E4856" s="4">
        <v>6.112001597E9</v>
      </c>
      <c r="F4856" s="8" t="s">
        <v>1709</v>
      </c>
      <c r="G4856" s="4" t="s">
        <v>4239</v>
      </c>
      <c r="H4856" s="10" t="s">
        <v>5895</v>
      </c>
      <c r="I4856" s="10">
        <v>6.0</v>
      </c>
      <c r="J4856" s="11" t="str">
        <f>IF(D4856&lt;&gt;"",VLOOKUP(H4856,TABLEITEM,5,FALSE),"")</f>
        <v>EA</v>
      </c>
      <c r="K4856" s="12">
        <v>100.0</v>
      </c>
      <c r="L4856" s="13" t="str">
        <f>IF(D4856&lt;&gt;"",VLOOKUP(H4856,TABLEITEM,2,FALSE),"")</f>
        <v/>
      </c>
      <c r="M4856" s="13" t="str">
        <f>IF(D4856&lt;&gt;"",VLOOKUP(H4856,TABLEITEM,3,FALSE),"")</f>
        <v>HRC FUSE #00 40A 500V</v>
      </c>
      <c r="N4856" s="14">
        <f>INSTOCK!$I4856*INSTOCK!$K4856</f>
        <v>600</v>
      </c>
      <c r="O4856" s="4" t="s">
        <v>4555</v>
      </c>
      <c r="P4856" s="4"/>
    </row>
    <row r="4857" ht="15.75" hidden="1" customHeight="1">
      <c r="B4857" s="8">
        <v>5181.0</v>
      </c>
      <c r="C4857" s="9">
        <v>43445.0</v>
      </c>
      <c r="D4857" s="6" t="s">
        <v>5896</v>
      </c>
      <c r="E4857" s="4">
        <v>6.112001591E9</v>
      </c>
      <c r="F4857" s="8" t="s">
        <v>5897</v>
      </c>
      <c r="G4857" s="4" t="s">
        <v>2056</v>
      </c>
      <c r="H4857" s="10" t="s">
        <v>5898</v>
      </c>
      <c r="I4857" s="10">
        <v>1.0</v>
      </c>
      <c r="J4857" s="11" t="str">
        <f>IF(D4857&lt;&gt;"",VLOOKUP(H4857,TABLEITEM,5,FALSE),"")</f>
        <v>LOT</v>
      </c>
      <c r="K4857" s="12">
        <v>8114.9</v>
      </c>
      <c r="L4857" s="13" t="str">
        <f>IF(D4857&lt;&gt;"",VLOOKUP(H4857,TABLEITEM,2,FALSE),"")</f>
        <v/>
      </c>
      <c r="M4857" s="13" t="str">
        <f>IF(D4857&lt;&gt;"",VLOOKUP(H4857,TABLEITEM,3,FALSE),"")</f>
        <v>SERVICE เครื่องยิงรีเวท P2005</v>
      </c>
      <c r="N4857" s="14">
        <f>INSTOCK!$I4857*INSTOCK!$K4857</f>
        <v>8114.9</v>
      </c>
      <c r="O4857" s="4"/>
      <c r="P4857" s="4"/>
    </row>
    <row r="4858" ht="15.75" hidden="1" customHeight="1">
      <c r="B4858" s="8">
        <v>5182.0</v>
      </c>
      <c r="C4858" s="9">
        <v>43445.0</v>
      </c>
      <c r="D4858" s="6" t="s">
        <v>5899</v>
      </c>
      <c r="E4858" s="4">
        <v>6.112001608E9</v>
      </c>
      <c r="F4858" s="8" t="s">
        <v>5900</v>
      </c>
      <c r="G4858" s="4" t="s">
        <v>1596</v>
      </c>
      <c r="H4858" s="10" t="s">
        <v>1597</v>
      </c>
      <c r="I4858" s="10">
        <v>5.0</v>
      </c>
      <c r="J4858" s="11" t="str">
        <f>IF(D4858&lt;&gt;"",VLOOKUP(H4858,TABLEITEM,5,FALSE),"")</f>
        <v>EA</v>
      </c>
      <c r="K4858" s="12">
        <v>74.0</v>
      </c>
      <c r="L4858" s="13" t="str">
        <f>IF(D4858&lt;&gt;"",VLOOKUP(H4858,TABLEITEM,2,FALSE),"")</f>
        <v/>
      </c>
      <c r="M4858" s="13" t="str">
        <f>IF(D4858&lt;&gt;"",VLOOKUP(H4858,TABLEITEM,3,FALSE),"")</f>
        <v>MCB SH201-C6</v>
      </c>
      <c r="N4858" s="14">
        <f>INSTOCK!$I4858*INSTOCK!$K4858</f>
        <v>370</v>
      </c>
      <c r="O4858" s="4" t="s">
        <v>1598</v>
      </c>
      <c r="P4858" s="4"/>
    </row>
    <row r="4859" ht="15.75" hidden="1" customHeight="1">
      <c r="B4859" s="8">
        <v>5183.0</v>
      </c>
      <c r="C4859" s="9">
        <v>43445.0</v>
      </c>
      <c r="D4859" s="6" t="s">
        <v>5901</v>
      </c>
      <c r="E4859" s="4">
        <v>6.112001589E9</v>
      </c>
      <c r="F4859" s="8" t="s">
        <v>604</v>
      </c>
      <c r="G4859" s="4" t="s">
        <v>1274</v>
      </c>
      <c r="H4859" s="10" t="s">
        <v>4760</v>
      </c>
      <c r="I4859" s="10">
        <v>72.0</v>
      </c>
      <c r="J4859" s="11" t="str">
        <f>IF(D4859&lt;&gt;"",VLOOKUP(H4859,TABLEITEM,5,FALSE),"")</f>
        <v>ม้วน</v>
      </c>
      <c r="K4859" s="12">
        <v>26.0</v>
      </c>
      <c r="L4859" s="13" t="str">
        <f>IF(D4859&lt;&gt;"",VLOOKUP(H4859,TABLEITEM,2,FALSE),"")</f>
        <v/>
      </c>
      <c r="M4859" s="13" t="str">
        <f>IF(D4859&lt;&gt;"",VLOOKUP(H4859,TABLEITEM,3,FALSE),"")</f>
        <v>เทปกาวย่น 24มมx50ม #2210</v>
      </c>
      <c r="N4859" s="14">
        <f>INSTOCK!$I4859*INSTOCK!$K4859</f>
        <v>1872</v>
      </c>
      <c r="O4859" s="4"/>
      <c r="P4859" s="4"/>
    </row>
    <row r="4860" ht="15.75" hidden="1" customHeight="1">
      <c r="B4860" s="8">
        <v>5184.0</v>
      </c>
      <c r="C4860" s="9">
        <v>43445.0</v>
      </c>
      <c r="D4860" s="6" t="s">
        <v>5902</v>
      </c>
      <c r="E4860" s="4">
        <v>6.112001594E9</v>
      </c>
      <c r="F4860" s="8" t="s">
        <v>604</v>
      </c>
      <c r="G4860" s="4" t="s">
        <v>1777</v>
      </c>
      <c r="H4860" s="10" t="s">
        <v>3014</v>
      </c>
      <c r="I4860" s="10">
        <v>10000.0</v>
      </c>
      <c r="J4860" s="11" t="str">
        <f>IF(D4860&lt;&gt;"",VLOOKUP(H4860,TABLEITEM,5,FALSE),"")</f>
        <v>EA</v>
      </c>
      <c r="K4860" s="12">
        <v>0.075</v>
      </c>
      <c r="L4860" s="13" t="str">
        <f>IF(D4860&lt;&gt;"",VLOOKUP(H4860,TABLEITEM,2,FALSE),"")</f>
        <v/>
      </c>
      <c r="M4860" s="13" t="str">
        <f>IF(D4860&lt;&gt;"",VLOOKUP(H4860,TABLEITEM,3,FALSE),"")</f>
        <v>แหวนสปริง M 8 ชุบรุ้ง</v>
      </c>
      <c r="N4860" s="14">
        <f>INSTOCK!$I4860*INSTOCK!$K4860</f>
        <v>750</v>
      </c>
      <c r="O4860" s="4" t="s">
        <v>2079</v>
      </c>
      <c r="P4860" s="4"/>
    </row>
    <row r="4861" ht="15.75" hidden="1" customHeight="1">
      <c r="B4861" s="8">
        <v>5185.0</v>
      </c>
      <c r="C4861" s="9">
        <v>43445.0</v>
      </c>
      <c r="D4861" s="6" t="s">
        <v>5902</v>
      </c>
      <c r="E4861" s="4">
        <v>6.112001594E9</v>
      </c>
      <c r="F4861" s="8" t="s">
        <v>604</v>
      </c>
      <c r="G4861" s="4" t="s">
        <v>1777</v>
      </c>
      <c r="H4861" s="10" t="s">
        <v>2102</v>
      </c>
      <c r="I4861" s="10">
        <v>20000.0</v>
      </c>
      <c r="J4861" s="11" t="str">
        <f>IF(D4861&lt;&gt;"",VLOOKUP(H4861,TABLEITEM,5,FALSE),"")</f>
        <v>EA</v>
      </c>
      <c r="K4861" s="12">
        <v>0.09</v>
      </c>
      <c r="L4861" s="13" t="str">
        <f>IF(D4861&lt;&gt;"",VLOOKUP(H4861,TABLEITEM,2,FALSE),"")</f>
        <v/>
      </c>
      <c r="M4861" s="13" t="str">
        <f>IF(D4861&lt;&gt;"",VLOOKUP(H4861,TABLEITEM,3,FALSE),"")</f>
        <v>แหวนอีแปะ M8 ชุบขาว</v>
      </c>
      <c r="N4861" s="14">
        <f>INSTOCK!$I4861*INSTOCK!$K4861</f>
        <v>1800</v>
      </c>
      <c r="O4861" s="4" t="s">
        <v>2103</v>
      </c>
      <c r="P4861" s="4"/>
    </row>
    <row r="4862" ht="15.75" hidden="1" customHeight="1">
      <c r="B4862" s="8">
        <v>5186.0</v>
      </c>
      <c r="C4862" s="9">
        <v>43445.0</v>
      </c>
      <c r="D4862" s="6" t="s">
        <v>5902</v>
      </c>
      <c r="E4862" s="4">
        <v>6.112001594E9</v>
      </c>
      <c r="F4862" s="8" t="s">
        <v>604</v>
      </c>
      <c r="G4862" s="4" t="s">
        <v>1777</v>
      </c>
      <c r="H4862" s="10" t="s">
        <v>2080</v>
      </c>
      <c r="I4862" s="10">
        <v>10000.0</v>
      </c>
      <c r="J4862" s="11" t="str">
        <f>IF(D4862&lt;&gt;"",VLOOKUP(H4862,TABLEITEM,5,FALSE),"")</f>
        <v>EA</v>
      </c>
      <c r="K4862" s="12">
        <v>0.36</v>
      </c>
      <c r="L4862" s="13" t="str">
        <f>IF(D4862&lt;&gt;"",VLOOKUP(H4862,TABLEITEM,2,FALSE),"")</f>
        <v/>
      </c>
      <c r="M4862" s="13" t="str">
        <f>IF(D4862&lt;&gt;"",VLOOKUP(H4862,TABLEITEM,3,FALSE),"")</f>
        <v>หัวน็อต M 8 ชุบขาว</v>
      </c>
      <c r="N4862" s="14">
        <f>INSTOCK!$I4862*INSTOCK!$K4862</f>
        <v>3600</v>
      </c>
      <c r="O4862" s="4" t="s">
        <v>2081</v>
      </c>
      <c r="P4862" s="4"/>
    </row>
    <row r="4863" ht="15.75" hidden="1" customHeight="1">
      <c r="B4863" s="8">
        <v>5187.0</v>
      </c>
      <c r="C4863" s="9">
        <v>43445.0</v>
      </c>
      <c r="D4863" s="6" t="s">
        <v>5903</v>
      </c>
      <c r="E4863" s="4">
        <v>6.112001607E9</v>
      </c>
      <c r="F4863" s="8"/>
      <c r="G4863" s="4" t="s">
        <v>1516</v>
      </c>
      <c r="H4863" s="10" t="s">
        <v>5166</v>
      </c>
      <c r="I4863" s="10">
        <v>1.0</v>
      </c>
      <c r="J4863" s="11" t="str">
        <f>IF(D4863&lt;&gt;"",VLOOKUP(H4863,TABLEITEM,5,FALSE),"")</f>
        <v>EA</v>
      </c>
      <c r="K4863" s="12">
        <v>3222.6</v>
      </c>
      <c r="L4863" s="13" t="str">
        <f>IF(D4863&lt;&gt;"",VLOOKUP(H4863,TABLEITEM,2,FALSE),"")</f>
        <v/>
      </c>
      <c r="M4863" s="13" t="str">
        <f>IF(D4863&lt;&gt;"",VLOOKUP(H4863,TABLEITEM,3,FALSE),"")</f>
        <v>NSX160F 3P(36KA AT 380/415V)TM125D</v>
      </c>
      <c r="N4863" s="14">
        <f>INSTOCK!$I4863*INSTOCK!$K4863</f>
        <v>3222.6</v>
      </c>
      <c r="O4863" s="4" t="s">
        <v>5904</v>
      </c>
      <c r="P4863" s="4"/>
    </row>
    <row r="4864" ht="15.75" hidden="1" customHeight="1">
      <c r="B4864" s="8">
        <v>5188.0</v>
      </c>
      <c r="C4864" s="9">
        <v>43445.0</v>
      </c>
      <c r="D4864" s="6" t="s">
        <v>5903</v>
      </c>
      <c r="E4864" s="4">
        <v>6.112001607E9</v>
      </c>
      <c r="F4864" s="8"/>
      <c r="G4864" s="4" t="s">
        <v>1516</v>
      </c>
      <c r="H4864" s="10" t="s">
        <v>5905</v>
      </c>
      <c r="I4864" s="10">
        <v>1.0</v>
      </c>
      <c r="J4864" s="11" t="str">
        <f>IF(D4864&lt;&gt;"",VLOOKUP(H4864,TABLEITEM,5,FALSE),"")</f>
        <v>EA</v>
      </c>
      <c r="K4864" s="12">
        <v>586.3</v>
      </c>
      <c r="L4864" s="13" t="str">
        <f>IF(D4864&lt;&gt;"",VLOOKUP(H4864,TABLEITEM,2,FALSE),"")</f>
        <v/>
      </c>
      <c r="M4864" s="13" t="str">
        <f>IF(D4864&lt;&gt;"",VLOOKUP(H4864,TABLEITEM,3,FALSE),"")</f>
        <v>PUSHBUTTON XB4BW35M5</v>
      </c>
      <c r="N4864" s="14">
        <f>INSTOCK!$I4864*INSTOCK!$K4864</f>
        <v>586.3</v>
      </c>
      <c r="O4864" s="4" t="s">
        <v>5906</v>
      </c>
      <c r="P4864" s="4"/>
    </row>
    <row r="4865" ht="15.75" hidden="1" customHeight="1">
      <c r="B4865" s="8">
        <v>5189.0</v>
      </c>
      <c r="C4865" s="9">
        <v>43641.0</v>
      </c>
      <c r="D4865" s="6" t="s">
        <v>5907</v>
      </c>
      <c r="E4865" s="4"/>
      <c r="F4865" s="8" t="s">
        <v>801</v>
      </c>
      <c r="G4865" s="4" t="s">
        <v>1417</v>
      </c>
      <c r="H4865" s="10" t="s">
        <v>803</v>
      </c>
      <c r="I4865" s="10">
        <v>15.0</v>
      </c>
      <c r="J4865" s="11" t="str">
        <f>IF(D4865&lt;&gt;"",VLOOKUP(H4865,TABLEITEM,5,FALSE),"")</f>
        <v>ถัง</v>
      </c>
      <c r="K4865" s="12">
        <v>981.31</v>
      </c>
      <c r="L4865" s="13" t="str">
        <f>IF(D4865&lt;&gt;"",VLOOKUP(H4865,TABLEITEM,2,FALSE),"")</f>
        <v/>
      </c>
      <c r="M4865" s="13" t="str">
        <f>IF(D4865&lt;&gt;"",VLOOKUP(H4865,TABLEITEM,3,FALSE),"")</f>
        <v>แก๊สหุงต้ม 48กก</v>
      </c>
      <c r="N4865" s="14">
        <f>INSTOCK!$I4865*INSTOCK!$K4865</f>
        <v>14719.65</v>
      </c>
      <c r="O4865" s="4"/>
      <c r="P4865" s="4"/>
    </row>
    <row r="4866" ht="15.75" hidden="1" customHeight="1">
      <c r="B4866" s="8">
        <v>5190.0</v>
      </c>
      <c r="C4866" s="9">
        <v>43641.0</v>
      </c>
      <c r="D4866" s="6">
        <v>39136.0</v>
      </c>
      <c r="E4866" s="4">
        <v>6.206000963E9</v>
      </c>
      <c r="F4866" s="8" t="s">
        <v>3166</v>
      </c>
      <c r="G4866" s="4" t="s">
        <v>696</v>
      </c>
      <c r="H4866" s="10" t="s">
        <v>5908</v>
      </c>
      <c r="I4866" s="10">
        <v>2.0</v>
      </c>
      <c r="J4866" s="11" t="str">
        <f>IF(D4866&lt;&gt;"",VLOOKUP(H4866,TABLEITEM,5,FALSE),"")</f>
        <v>EA</v>
      </c>
      <c r="K4866" s="12">
        <v>720.0</v>
      </c>
      <c r="L4866" s="13" t="str">
        <f>IF(D4866&lt;&gt;"",VLOOKUP(H4866,TABLEITEM,2,FALSE),"")</f>
        <v/>
      </c>
      <c r="M4866" s="13" t="str">
        <f>IF(D4866&lt;&gt;"",VLOOKUP(H4866,TABLEITEM,3,FALSE),"")</f>
        <v>ฆ้อนยูริเทนไร้แรงสะท้อน ด้ามดำ A-65</v>
      </c>
      <c r="N4866" s="14">
        <f>INSTOCK!$I4866*INSTOCK!$K4866</f>
        <v>1440</v>
      </c>
      <c r="O4866" s="4"/>
      <c r="P4866" s="4"/>
    </row>
    <row r="4867" ht="15.75" hidden="1" customHeight="1">
      <c r="B4867" s="8">
        <v>5191.0</v>
      </c>
      <c r="C4867" s="9">
        <v>43640.0</v>
      </c>
      <c r="D4867" s="6" t="s">
        <v>5909</v>
      </c>
      <c r="E4867" s="4">
        <v>6.206000939E9</v>
      </c>
      <c r="F4867" s="8" t="s">
        <v>604</v>
      </c>
      <c r="G4867" s="4" t="s">
        <v>1033</v>
      </c>
      <c r="H4867" s="10" t="s">
        <v>24</v>
      </c>
      <c r="I4867" s="10">
        <v>1000.0</v>
      </c>
      <c r="J4867" s="11" t="str">
        <f>IF(D4867&lt;&gt;"",VLOOKUP(H4867,TABLEITEM,5,FALSE),"")</f>
        <v>EA</v>
      </c>
      <c r="K4867" s="12">
        <v>4.5</v>
      </c>
      <c r="L4867" s="13" t="str">
        <f>IF(D4867&lt;&gt;"",VLOOKUP(H4867,TABLEITEM,2,FALSE),"")</f>
        <v/>
      </c>
      <c r="M4867" s="13" t="str">
        <f>IF(D4867&lt;&gt;"",VLOOKUP(H4867,TABLEITEM,3,FALSE),"")</f>
        <v>กระดาษทรายกลม#120</v>
      </c>
      <c r="N4867" s="14">
        <f>INSTOCK!$I4867*INSTOCK!$K4867</f>
        <v>4500</v>
      </c>
      <c r="O4867" s="4"/>
      <c r="P4867" s="4"/>
    </row>
    <row r="4868" ht="15.75" hidden="1" customHeight="1">
      <c r="B4868" s="8">
        <v>5192.0</v>
      </c>
      <c r="C4868" s="9">
        <v>43640.0</v>
      </c>
      <c r="D4868" s="6" t="s">
        <v>5910</v>
      </c>
      <c r="E4868" s="4">
        <v>6.206000938E9</v>
      </c>
      <c r="F4868" s="8" t="s">
        <v>604</v>
      </c>
      <c r="G4868" s="4" t="s">
        <v>1611</v>
      </c>
      <c r="H4868" s="10" t="s">
        <v>200</v>
      </c>
      <c r="I4868" s="10">
        <v>300.0</v>
      </c>
      <c r="J4868" s="11" t="str">
        <f>IF(D4868&lt;&gt;"",VLOOKUP(H4868,TABLEITEM,5,FALSE),"")</f>
        <v>EA</v>
      </c>
      <c r="K4868" s="12">
        <v>16.0</v>
      </c>
      <c r="L4868" s="13" t="str">
        <f>IF(D4868&lt;&gt;"",VLOOKUP(H4868,TABLEITEM,2,FALSE),"")</f>
        <v/>
      </c>
      <c r="M4868" s="13" t="str">
        <f>IF(D4868&lt;&gt;"",VLOOKUP(H4868,TABLEITEM,3,FALSE),"")</f>
        <v>STOPPER TXE2</v>
      </c>
      <c r="N4868" s="14">
        <f>INSTOCK!$I4868*INSTOCK!$K4868</f>
        <v>4800</v>
      </c>
      <c r="O4868" s="4"/>
      <c r="P4868" s="4"/>
    </row>
    <row r="4869" ht="15.75" hidden="1" customHeight="1">
      <c r="B4869" s="8">
        <v>5193.0</v>
      </c>
      <c r="C4869" s="9">
        <v>43640.0</v>
      </c>
      <c r="D4869" s="6" t="s">
        <v>5910</v>
      </c>
      <c r="E4869" s="4">
        <v>6.206000938E9</v>
      </c>
      <c r="F4869" s="8" t="s">
        <v>604</v>
      </c>
      <c r="G4869" s="4" t="s">
        <v>1611</v>
      </c>
      <c r="H4869" s="10" t="s">
        <v>189</v>
      </c>
      <c r="I4869" s="10">
        <v>200.0</v>
      </c>
      <c r="J4869" s="11" t="str">
        <f>IF(D4869&lt;&gt;"",VLOOKUP(H4869,TABLEITEM,5,FALSE),"")</f>
        <v>EA</v>
      </c>
      <c r="K4869" s="12">
        <v>5.0</v>
      </c>
      <c r="L4869" s="13" t="str">
        <f>IF(D4869&lt;&gt;"",VLOOKUP(H4869,TABLEITEM,2,FALSE),"")</f>
        <v/>
      </c>
      <c r="M4869" s="13" t="str">
        <f>IF(D4869&lt;&gt;"",VLOOKUP(H4869,TABLEITEM,3,FALSE),"")</f>
        <v>END PLATE TXA1</v>
      </c>
      <c r="N4869" s="14">
        <f>INSTOCK!$I4869*INSTOCK!$K4869</f>
        <v>1000</v>
      </c>
      <c r="O4869" s="4"/>
      <c r="P4869" s="4"/>
    </row>
    <row r="4870" ht="15.75" hidden="1" customHeight="1">
      <c r="B4870" s="8">
        <v>5194.0</v>
      </c>
      <c r="C4870" s="9">
        <v>43640.0</v>
      </c>
      <c r="D4870" s="6" t="s">
        <v>5911</v>
      </c>
      <c r="E4870" s="4">
        <v>6.206000936E9</v>
      </c>
      <c r="F4870" s="8" t="s">
        <v>604</v>
      </c>
      <c r="G4870" s="4" t="s">
        <v>975</v>
      </c>
      <c r="H4870" s="10" t="s">
        <v>19</v>
      </c>
      <c r="I4870" s="10">
        <v>60.0</v>
      </c>
      <c r="J4870" s="11" t="str">
        <f>IF(D4870&lt;&gt;"",VLOOKUP(H4870,TABLEITEM,5,FALSE),"")</f>
        <v>ROLL</v>
      </c>
      <c r="K4870" s="12">
        <v>140.0</v>
      </c>
      <c r="L4870" s="13" t="str">
        <f>IF(D4870&lt;&gt;"",VLOOKUP(H4870,TABLEITEM,2,FALSE),"")</f>
        <v/>
      </c>
      <c r="M4870" s="13" t="str">
        <f>IF(D4870&lt;&gt;"",VLOOKUP(H4870,TABLEITEM,3,FALSE),"")</f>
        <v>พลาสติกห่อตู้ 20micx50cmx300m</v>
      </c>
      <c r="N4870" s="14">
        <f>INSTOCK!$I4870*INSTOCK!$K4870</f>
        <v>8400</v>
      </c>
      <c r="O4870" s="4"/>
      <c r="P4870" s="4"/>
    </row>
    <row r="4871" ht="15.75" hidden="1" customHeight="1">
      <c r="B4871" s="8">
        <v>5195.0</v>
      </c>
      <c r="C4871" s="9">
        <v>43637.0</v>
      </c>
      <c r="D4871" s="6" t="s">
        <v>5912</v>
      </c>
      <c r="E4871" s="4">
        <v>6.206000904E9</v>
      </c>
      <c r="F4871" s="8" t="s">
        <v>5913</v>
      </c>
      <c r="G4871" s="4" t="s">
        <v>1485</v>
      </c>
      <c r="H4871" s="10" t="s">
        <v>5182</v>
      </c>
      <c r="I4871" s="10">
        <v>12.0</v>
      </c>
      <c r="J4871" s="11" t="str">
        <f>IF(D4871&lt;&gt;"",VLOOKUP(H4871,TABLEITEM,5,FALSE),"")</f>
        <v>EA</v>
      </c>
      <c r="K4871" s="12">
        <v>110.7</v>
      </c>
      <c r="L4871" s="13" t="str">
        <f>IF(D4871&lt;&gt;"",VLOOKUP(H4871,TABLEITEM,2,FALSE),"")</f>
        <v/>
      </c>
      <c r="M4871" s="13" t="str">
        <f>IF(D4871&lt;&gt;"",VLOOKUP(H4871,TABLEITEM,3,FALSE),"")</f>
        <v>HARMONY XB5 PILOT LIGH 22MM PLAIN LENS 230-240 RED</v>
      </c>
      <c r="N4871" s="14">
        <f>INSTOCK!$I4871*INSTOCK!$K4871</f>
        <v>1328.4</v>
      </c>
      <c r="O4871" s="4"/>
      <c r="P4871" s="4"/>
    </row>
    <row r="4872" ht="15.75" hidden="1" customHeight="1">
      <c r="B4872" s="8">
        <v>5196.0</v>
      </c>
      <c r="C4872" s="9">
        <v>43637.0</v>
      </c>
      <c r="D4872" s="6" t="s">
        <v>5912</v>
      </c>
      <c r="E4872" s="4">
        <v>6.206000904E9</v>
      </c>
      <c r="F4872" s="8" t="s">
        <v>5913</v>
      </c>
      <c r="G4872" s="4" t="s">
        <v>1485</v>
      </c>
      <c r="H4872" s="10" t="s">
        <v>5914</v>
      </c>
      <c r="I4872" s="10">
        <v>12.0</v>
      </c>
      <c r="J4872" s="11" t="str">
        <f>IF(D4872&lt;&gt;"",VLOOKUP(H4872,TABLEITEM,5,FALSE),"")</f>
        <v>EA</v>
      </c>
      <c r="K4872" s="12">
        <v>303.4</v>
      </c>
      <c r="L4872" s="13" t="str">
        <f>IF(D4872&lt;&gt;"",VLOOKUP(H4872,TABLEITEM,2,FALSE),"")</f>
        <v/>
      </c>
      <c r="M4872" s="13" t="str">
        <f>IF(D4872&lt;&gt;"",VLOOKUP(H4872,TABLEITEM,3,FALSE),"")</f>
        <v>PUSHBUTTON 22mm 1NO+1NC 220-240V GREEN</v>
      </c>
      <c r="N4872" s="14">
        <f>INSTOCK!$I4872*INSTOCK!$K4872</f>
        <v>3640.8</v>
      </c>
      <c r="O4872" s="4"/>
      <c r="P4872" s="4"/>
    </row>
    <row r="4873" ht="15.75" hidden="1" customHeight="1">
      <c r="B4873" s="8">
        <v>5197.0</v>
      </c>
      <c r="C4873" s="9">
        <v>43638.0</v>
      </c>
      <c r="D4873" s="6" t="s">
        <v>5915</v>
      </c>
      <c r="E4873" s="4">
        <v>6.206000935E9</v>
      </c>
      <c r="F4873" s="8" t="s">
        <v>604</v>
      </c>
      <c r="G4873" s="4" t="s">
        <v>729</v>
      </c>
      <c r="H4873" s="10" t="s">
        <v>1206</v>
      </c>
      <c r="I4873" s="10">
        <v>50.0</v>
      </c>
      <c r="J4873" s="11" t="str">
        <f>IF(D4873&lt;&gt;"",VLOOKUP(H4873,TABLEITEM,5,FALSE),"")</f>
        <v>M</v>
      </c>
      <c r="K4873" s="12">
        <v>36.0</v>
      </c>
      <c r="L4873" s="13" t="str">
        <f>IF(D4873&lt;&gt;"",VLOOKUP(H4873,TABLEITEM,2,FALSE),"")</f>
        <v/>
      </c>
      <c r="M4873" s="13" t="str">
        <f>IF(D4873&lt;&gt;"",VLOOKUP(H4873,TABLEITEM,3,FALSE),"")</f>
        <v>ยางม้วนตัวเอสใหญ่ </v>
      </c>
      <c r="N4873" s="14">
        <f>INSTOCK!$I4873*INSTOCK!$K4873</f>
        <v>1800</v>
      </c>
      <c r="O4873" s="4"/>
      <c r="P4873" s="4"/>
    </row>
    <row r="4874" ht="15.75" hidden="1" customHeight="1">
      <c r="B4874" s="8">
        <v>5198.0</v>
      </c>
      <c r="C4874" s="9">
        <v>43634.0</v>
      </c>
      <c r="D4874" s="6" t="s">
        <v>5916</v>
      </c>
      <c r="E4874" s="4">
        <v>6.206000918E9</v>
      </c>
      <c r="F4874" s="8" t="s">
        <v>5777</v>
      </c>
      <c r="G4874" s="4" t="s">
        <v>5778</v>
      </c>
      <c r="H4874" s="10" t="s">
        <v>4261</v>
      </c>
      <c r="I4874" s="10">
        <v>1.0</v>
      </c>
      <c r="J4874" s="11" t="str">
        <f>IF(D4874&lt;&gt;"",VLOOKUP(H4874,TABLEITEM,5,FALSE),"")</f>
        <v>EA</v>
      </c>
      <c r="K4874" s="12">
        <v>21000.0</v>
      </c>
      <c r="L4874" s="13" t="str">
        <f>IF(D4874&lt;&gt;"",VLOOKUP(H4874,TABLEITEM,2,FALSE),"")</f>
        <v/>
      </c>
      <c r="M4874" s="13" t="str">
        <f>IF(D4874&lt;&gt;"",VLOOKUP(H4874,TABLEITEM,3,FALSE),"")</f>
        <v>ATS CONTROLLER COMPLETE OF FUNCTION OEC-01</v>
      </c>
      <c r="N4874" s="14">
        <f>INSTOCK!$I4874*INSTOCK!$K4874</f>
        <v>21000</v>
      </c>
      <c r="O4874" s="4"/>
      <c r="P4874" s="4"/>
    </row>
    <row r="4875" ht="15.75" hidden="1" customHeight="1">
      <c r="B4875" s="8">
        <v>5199.0</v>
      </c>
      <c r="C4875" s="9">
        <v>43640.0</v>
      </c>
      <c r="D4875" s="6" t="s">
        <v>5917</v>
      </c>
      <c r="E4875" s="4">
        <v>6.206000937E9</v>
      </c>
      <c r="F4875" s="8" t="s">
        <v>604</v>
      </c>
      <c r="G4875" s="4" t="s">
        <v>2456</v>
      </c>
      <c r="H4875" s="10" t="s">
        <v>211</v>
      </c>
      <c r="I4875" s="10">
        <v>50.0</v>
      </c>
      <c r="J4875" s="11" t="str">
        <f>IF(D4875&lt;&gt;"",VLOOKUP(H4875,TABLEITEM,5,FALSE),"")</f>
        <v>EA</v>
      </c>
      <c r="K4875" s="12">
        <v>117.0</v>
      </c>
      <c r="L4875" s="13" t="str">
        <f>IF(D4875&lt;&gt;"",VLOOKUP(H4875,TABLEITEM,2,FALSE),"")</f>
        <v/>
      </c>
      <c r="M4875" s="13" t="str">
        <f>IF(D4875&lt;&gt;"",VLOOKUP(H4875,TABLEITEM,3,FALSE),"")</f>
        <v>รางรีเลย์</v>
      </c>
      <c r="N4875" s="14">
        <f>INSTOCK!$I4875*INSTOCK!$K4875</f>
        <v>5850</v>
      </c>
      <c r="O4875" s="4"/>
      <c r="P4875" s="4"/>
    </row>
    <row r="4876" ht="15.75" hidden="1" customHeight="1">
      <c r="B4876" s="8">
        <v>5200.0</v>
      </c>
      <c r="C4876" s="9">
        <v>43636.0</v>
      </c>
      <c r="D4876" s="6" t="s">
        <v>5918</v>
      </c>
      <c r="E4876" s="4">
        <v>6.206000922E9</v>
      </c>
      <c r="F4876" s="8" t="s">
        <v>604</v>
      </c>
      <c r="G4876" s="4" t="s">
        <v>1671</v>
      </c>
      <c r="H4876" s="10" t="s">
        <v>1672</v>
      </c>
      <c r="I4876" s="10">
        <v>20.0</v>
      </c>
      <c r="J4876" s="11" t="str">
        <f>IF(D4876&lt;&gt;"",VLOOKUP(H4876,TABLEITEM,5,FALSE),"")</f>
        <v>SET</v>
      </c>
      <c r="K4876" s="12">
        <v>150.0</v>
      </c>
      <c r="L4876" s="13" t="str">
        <f>IF(D4876&lt;&gt;"",VLOOKUP(H4876,TABLEITEM,2,FALSE),"")</f>
        <v/>
      </c>
      <c r="M4876" s="13" t="str">
        <f>IF(D4876&lt;&gt;"",VLOOKUP(H4876,TABLEITEM,3,FALSE),"")</f>
        <v>แปรงถ่าน BOSCH GWS 7-100</v>
      </c>
      <c r="N4876" s="14">
        <f>INSTOCK!$I4876*INSTOCK!$K4876</f>
        <v>3000</v>
      </c>
      <c r="O4876" s="4"/>
      <c r="P4876" s="4"/>
    </row>
    <row r="4877" ht="15.75" hidden="1" customHeight="1">
      <c r="B4877" s="8">
        <v>5201.0</v>
      </c>
      <c r="C4877" s="9">
        <v>43640.0</v>
      </c>
      <c r="D4877" s="6">
        <v>6.20606644E8</v>
      </c>
      <c r="E4877" s="4">
        <v>6.206000952E9</v>
      </c>
      <c r="F4877" s="8" t="s">
        <v>5919</v>
      </c>
      <c r="G4877" s="4" t="s">
        <v>1130</v>
      </c>
      <c r="H4877" s="10" t="s">
        <v>4283</v>
      </c>
      <c r="I4877" s="10">
        <v>48.0</v>
      </c>
      <c r="J4877" s="11" t="str">
        <f>IF(D4877&lt;&gt;"",VLOOKUP(H4877,TABLEITEM,5,FALSE),"")</f>
        <v>EA</v>
      </c>
      <c r="K4877" s="12">
        <v>15.84</v>
      </c>
      <c r="L4877" s="13" t="str">
        <f>IF(D4877&lt;&gt;"",VLOOKUP(H4877,TABLEITEM,2,FALSE),"")</f>
        <v/>
      </c>
      <c r="M4877" s="13" t="str">
        <f>IF(D4877&lt;&gt;"",VLOOKUP(H4877,TABLEITEM,3,FALSE),"")</f>
        <v>ฝาพลาสติก 2ช่อง WEG6803MB</v>
      </c>
      <c r="N4877" s="14">
        <f>INSTOCK!$I4877*INSTOCK!$K4877</f>
        <v>760.32</v>
      </c>
      <c r="O4877" s="4" t="s">
        <v>1493</v>
      </c>
      <c r="P4877" s="4"/>
    </row>
    <row r="4878" ht="15.75" hidden="1" customHeight="1">
      <c r="B4878" s="8">
        <v>5202.0</v>
      </c>
      <c r="C4878" s="9">
        <v>43640.0</v>
      </c>
      <c r="D4878" s="6">
        <v>6.20606644E8</v>
      </c>
      <c r="E4878" s="4">
        <v>6.206000952E9</v>
      </c>
      <c r="F4878" s="8" t="s">
        <v>5919</v>
      </c>
      <c r="G4878" s="4" t="s">
        <v>1130</v>
      </c>
      <c r="H4878" s="10" t="s">
        <v>1739</v>
      </c>
      <c r="I4878" s="10">
        <v>48.0</v>
      </c>
      <c r="J4878" s="11" t="str">
        <f>IF(D4878&lt;&gt;"",VLOOKUP(H4878,TABLEITEM,5,FALSE),"")</f>
        <v>EA</v>
      </c>
      <c r="K4878" s="12">
        <v>116.64</v>
      </c>
      <c r="L4878" s="13" t="str">
        <f>IF(D4878&lt;&gt;"",VLOOKUP(H4878,TABLEITEM,2,FALSE),"")</f>
        <v/>
      </c>
      <c r="M4878" s="13" t="str">
        <f>IF(D4878&lt;&gt;"",VLOOKUP(H4878,TABLEITEM,3,FALSE),"")</f>
        <v>ปลั๊กคู่มีกราวWEG 15929 2P+G</v>
      </c>
      <c r="N4878" s="14">
        <f>INSTOCK!$I4878*INSTOCK!$K4878</f>
        <v>5598.72</v>
      </c>
      <c r="O4878" s="4" t="s">
        <v>3556</v>
      </c>
      <c r="P4878" s="4"/>
    </row>
    <row r="4879" ht="15.75" customHeight="1">
      <c r="B4879" s="8">
        <v>5203.0</v>
      </c>
      <c r="C4879" s="9">
        <v>43640.0</v>
      </c>
      <c r="D4879" s="6">
        <v>6.20606644E8</v>
      </c>
      <c r="E4879" s="4">
        <v>6.206000952E9</v>
      </c>
      <c r="F4879" s="8" t="s">
        <v>5919</v>
      </c>
      <c r="G4879" s="4" t="s">
        <v>1130</v>
      </c>
      <c r="H4879" s="18" t="s">
        <v>1543</v>
      </c>
      <c r="I4879" s="10">
        <v>48.0</v>
      </c>
      <c r="J4879" s="11" t="str">
        <f>IF(D4879&lt;&gt;"",VLOOKUP(H4879,TABLEITEM,5,FALSE),"")</f>
        <v>EA</v>
      </c>
      <c r="K4879" s="12">
        <v>8.0</v>
      </c>
      <c r="L4879" s="13" t="str">
        <f>IF(D4879&lt;&gt;"",VLOOKUP(H4879,TABLEITEM,2,FALSE),"")</f>
        <v/>
      </c>
      <c r="M4879" s="13" t="str">
        <f>IF(D4879&lt;&gt;"",VLOOKUP(H4879,TABLEITEM,3,FALSE),"")</f>
        <v>บ๊อกยางสนาม 2"x4" </v>
      </c>
      <c r="N4879" s="14">
        <f>INSTOCK!$I4879*INSTOCK!$K4879</f>
        <v>384</v>
      </c>
      <c r="O4879" s="4"/>
      <c r="P4879" s="4"/>
    </row>
    <row r="4880" ht="15.75" hidden="1" customHeight="1">
      <c r="B4880" s="8">
        <v>5204.0</v>
      </c>
      <c r="C4880" s="9">
        <v>43638.0</v>
      </c>
      <c r="D4880" s="6">
        <v>6.206066E8</v>
      </c>
      <c r="E4880" s="4">
        <v>6.206000948E9</v>
      </c>
      <c r="F4880" s="8" t="s">
        <v>604</v>
      </c>
      <c r="G4880" s="4" t="s">
        <v>1130</v>
      </c>
      <c r="H4880" s="18" t="s">
        <v>237</v>
      </c>
      <c r="I4880" s="10">
        <v>1000.0</v>
      </c>
      <c r="J4880" s="11" t="str">
        <f>IF(D4880&lt;&gt;"",VLOOKUP(H4880,TABLEITEM,5,FALSE),"")</f>
        <v>EA</v>
      </c>
      <c r="K4880" s="12">
        <v>2.625</v>
      </c>
      <c r="L4880" s="13" t="str">
        <f>IF(D4880&lt;&gt;"",VLOOKUP(H4880,TABLEITEM,2,FALSE),"")</f>
        <v/>
      </c>
      <c r="M4880" s="13" t="str">
        <f>IF(D4880&lt;&gt;"",VLOOKUP(H4880,TABLEITEM,3,FALSE),"")</f>
        <v>CORD-END 10-12 สีน้ำตาล</v>
      </c>
      <c r="N4880" s="14">
        <f>INSTOCK!$I4880*INSTOCK!$K4880</f>
        <v>2625</v>
      </c>
      <c r="O4880" s="4" t="s">
        <v>3080</v>
      </c>
      <c r="P4880" s="4"/>
    </row>
    <row r="4881" ht="15.75" hidden="1" customHeight="1">
      <c r="B4881" s="8">
        <v>5205.0</v>
      </c>
      <c r="C4881" s="9">
        <v>43638.0</v>
      </c>
      <c r="D4881" s="6">
        <v>6.206066E8</v>
      </c>
      <c r="E4881" s="4">
        <v>6.206000948E9</v>
      </c>
      <c r="F4881" s="8" t="s">
        <v>604</v>
      </c>
      <c r="G4881" s="4" t="s">
        <v>1130</v>
      </c>
      <c r="H4881" s="10" t="s">
        <v>240</v>
      </c>
      <c r="I4881" s="10">
        <v>200.0</v>
      </c>
      <c r="J4881" s="11" t="str">
        <f>IF(D4881&lt;&gt;"",VLOOKUP(H4881,TABLEITEM,5,FALSE),"")</f>
        <v>EA</v>
      </c>
      <c r="K4881" s="12">
        <v>11.9</v>
      </c>
      <c r="L4881" s="13" t="str">
        <f>IF(D4881&lt;&gt;"",VLOOKUP(H4881,TABLEITEM,2,FALSE),"")</f>
        <v/>
      </c>
      <c r="M4881" s="13" t="str">
        <f>IF(D4881&lt;&gt;"",VLOOKUP(H4881,TABLEITEM,3,FALSE),"")</f>
        <v>CORD-END 35-1.6 สีเทา</v>
      </c>
      <c r="N4881" s="14">
        <f>INSTOCK!$I4881*INSTOCK!$K4881</f>
        <v>2380</v>
      </c>
      <c r="O4881" s="4" t="s">
        <v>3115</v>
      </c>
      <c r="P4881" s="4"/>
    </row>
    <row r="4882" ht="15.75" hidden="1" customHeight="1">
      <c r="B4882" s="8">
        <v>5206.0</v>
      </c>
      <c r="C4882" s="9">
        <v>43640.0</v>
      </c>
      <c r="D4882" s="6" t="s">
        <v>5920</v>
      </c>
      <c r="E4882" s="4">
        <v>6.206000945E9</v>
      </c>
      <c r="F4882" s="8" t="s">
        <v>604</v>
      </c>
      <c r="G4882" s="4" t="s">
        <v>950</v>
      </c>
      <c r="H4882" s="10" t="s">
        <v>5921</v>
      </c>
      <c r="I4882" s="10">
        <v>100.0</v>
      </c>
      <c r="J4882" s="11" t="str">
        <f>IF(D4882&lt;&gt;"",VLOOKUP(H4882,TABLEITEM,5,FALSE),"")</f>
        <v>M</v>
      </c>
      <c r="K4882" s="12">
        <v>8.5</v>
      </c>
      <c r="L4882" s="13" t="str">
        <f>IF(D4882&lt;&gt;"",VLOOKUP(H4882,TABLEITEM,2,FALSE),"")</f>
        <v/>
      </c>
      <c r="M4882" s="13" t="str">
        <f>IF(D4882&lt;&gt;"",VLOOKUP(H4882,TABLEITEM,3,FALSE),"")</f>
        <v>Heat Shrink G5 # 12   สีขาว</v>
      </c>
      <c r="N4882" s="14">
        <f>INSTOCK!$I4882*INSTOCK!$K4882</f>
        <v>850</v>
      </c>
      <c r="O4882" s="4"/>
      <c r="P4882" s="4"/>
    </row>
    <row r="4883" ht="15.75" hidden="1" customHeight="1">
      <c r="B4883" s="8">
        <v>5207.0</v>
      </c>
      <c r="C4883" s="9">
        <v>43640.0</v>
      </c>
      <c r="D4883" s="6" t="s">
        <v>5922</v>
      </c>
      <c r="E4883" s="4">
        <v>6.206000942E9</v>
      </c>
      <c r="F4883" s="8" t="s">
        <v>604</v>
      </c>
      <c r="G4883" s="4" t="s">
        <v>950</v>
      </c>
      <c r="H4883" s="10" t="s">
        <v>5923</v>
      </c>
      <c r="I4883" s="10">
        <v>50.0</v>
      </c>
      <c r="J4883" s="11" t="str">
        <f>IF(D4883&lt;&gt;"",VLOOKUP(H4883,TABLEITEM,5,FALSE),"")</f>
        <v>M</v>
      </c>
      <c r="K4883" s="12">
        <v>52.0</v>
      </c>
      <c r="L4883" s="13" t="str">
        <f>IF(D4883&lt;&gt;"",VLOOKUP(H4883,TABLEITEM,2,FALSE),"")</f>
        <v/>
      </c>
      <c r="M4883" s="13" t="str">
        <f>IF(D4883&lt;&gt;"",VLOOKUP(H4883,TABLEITEM,3,FALSE),"")</f>
        <v>Heat Shrink G5 # 30   สีเทา</v>
      </c>
      <c r="N4883" s="14">
        <f>INSTOCK!$I4883*INSTOCK!$K4883</f>
        <v>2600</v>
      </c>
      <c r="O4883" s="4"/>
      <c r="P4883" s="4"/>
    </row>
    <row r="4884" ht="15.75" hidden="1" customHeight="1">
      <c r="B4884" s="8">
        <v>5208.0</v>
      </c>
      <c r="C4884" s="9">
        <v>43640.0</v>
      </c>
      <c r="D4884" s="6" t="s">
        <v>5922</v>
      </c>
      <c r="E4884" s="4">
        <v>6.206000942E9</v>
      </c>
      <c r="F4884" s="8" t="s">
        <v>604</v>
      </c>
      <c r="G4884" s="4" t="s">
        <v>950</v>
      </c>
      <c r="H4884" s="10" t="s">
        <v>5924</v>
      </c>
      <c r="I4884" s="10">
        <v>50.0</v>
      </c>
      <c r="J4884" s="11" t="str">
        <f>IF(D4884&lt;&gt;"",VLOOKUP(H4884,TABLEITEM,5,FALSE),"")</f>
        <v>M</v>
      </c>
      <c r="K4884" s="12">
        <v>52.0</v>
      </c>
      <c r="L4884" s="13" t="str">
        <f>IF(D4884&lt;&gt;"",VLOOKUP(H4884,TABLEITEM,2,FALSE),"")</f>
        <v/>
      </c>
      <c r="M4884" s="13" t="str">
        <f>IF(D4884&lt;&gt;"",VLOOKUP(H4884,TABLEITEM,3,FALSE),"")</f>
        <v>Heat Shrink G5 # 30   สีน้ำตาล</v>
      </c>
      <c r="N4884" s="14">
        <f>INSTOCK!$I4884*INSTOCK!$K4884</f>
        <v>2600</v>
      </c>
      <c r="O4884" s="4"/>
      <c r="P4884" s="4"/>
    </row>
    <row r="4885" ht="15.75" hidden="1" customHeight="1">
      <c r="B4885" s="8">
        <v>5209.0</v>
      </c>
      <c r="C4885" s="9">
        <v>43641.0</v>
      </c>
      <c r="D4885" s="6" t="s">
        <v>5925</v>
      </c>
      <c r="E4885" s="4">
        <v>6.206000953E9</v>
      </c>
      <c r="F4885" s="8" t="s">
        <v>807</v>
      </c>
      <c r="G4885" s="4" t="s">
        <v>808</v>
      </c>
      <c r="H4885" s="10" t="s">
        <v>809</v>
      </c>
      <c r="I4885" s="10">
        <v>1.0</v>
      </c>
      <c r="J4885" s="11" t="str">
        <f>IF(D4885&lt;&gt;"",VLOOKUP(H4885,TABLEITEM,5,FALSE),"")</f>
        <v>ท่อ</v>
      </c>
      <c r="K4885" s="12">
        <v>2700.0</v>
      </c>
      <c r="L4885" s="13" t="str">
        <f>IF(D4885&lt;&gt;"",VLOOKUP(H4885,TABLEITEM,2,FALSE),"")</f>
        <v/>
      </c>
      <c r="M4885" s="13" t="str">
        <f>IF(D4885&lt;&gt;"",VLOOKUP(H4885,TABLEITEM,3,FALSE),"")</f>
        <v>ไนโตรเจนเหลว ขนาด 100คิว</v>
      </c>
      <c r="N4885" s="14">
        <f>INSTOCK!$I4885*INSTOCK!$K4885</f>
        <v>2700</v>
      </c>
      <c r="O4885" s="4"/>
      <c r="P4885" s="4"/>
    </row>
    <row r="4886" ht="15.75" hidden="1" customHeight="1">
      <c r="B4886" s="8">
        <v>5210.0</v>
      </c>
      <c r="C4886" s="9">
        <v>43640.0</v>
      </c>
      <c r="D4886" s="6">
        <v>6.2060666E8</v>
      </c>
      <c r="E4886" s="4">
        <v>6.206000954E9</v>
      </c>
      <c r="F4886" s="8" t="s">
        <v>1383</v>
      </c>
      <c r="G4886" s="4" t="s">
        <v>1130</v>
      </c>
      <c r="H4886" s="10" t="s">
        <v>5926</v>
      </c>
      <c r="I4886" s="10">
        <v>13.0</v>
      </c>
      <c r="J4886" s="11" t="str">
        <f>IF(D4886&lt;&gt;"",VLOOKUP(H4886,TABLEITEM,5,FALSE),"")</f>
        <v>EA</v>
      </c>
      <c r="K4886" s="12">
        <v>540.0</v>
      </c>
      <c r="L4886" s="13" t="str">
        <f>IF(D4886&lt;&gt;"",VLOOKUP(H4886,TABLEITEM,2,FALSE),"")</f>
        <v/>
      </c>
      <c r="M4886" s="13" t="str">
        <f>IF(D4886&lt;&gt;"",VLOOKUP(H4886,TABLEITEM,3,FALSE),"")</f>
        <v>PROTECTION RELAY WPF 10A</v>
      </c>
      <c r="N4886" s="14">
        <f>INSTOCK!$I4886*INSTOCK!$K4886</f>
        <v>7020</v>
      </c>
      <c r="O4886" s="4" t="s">
        <v>5927</v>
      </c>
      <c r="P4886" s="4"/>
    </row>
    <row r="4887" ht="15.75" hidden="1" customHeight="1">
      <c r="B4887" s="8">
        <v>5211.0</v>
      </c>
      <c r="C4887" s="9">
        <v>43640.0</v>
      </c>
      <c r="D4887" s="6">
        <v>6.2060666E8</v>
      </c>
      <c r="E4887" s="4">
        <v>6.206000954E9</v>
      </c>
      <c r="F4887" s="8" t="s">
        <v>1383</v>
      </c>
      <c r="G4887" s="4" t="s">
        <v>1130</v>
      </c>
      <c r="H4887" s="10" t="s">
        <v>5928</v>
      </c>
      <c r="I4887" s="10">
        <v>7.0</v>
      </c>
      <c r="J4887" s="11" t="str">
        <f>IF(D4887&lt;&gt;"",VLOOKUP(H4887,TABLEITEM,5,FALSE),"")</f>
        <v>EA</v>
      </c>
      <c r="K4887" s="12">
        <v>640.0</v>
      </c>
      <c r="L4887" s="13" t="str">
        <f>IF(D4887&lt;&gt;"",VLOOKUP(H4887,TABLEITEM,2,FALSE),"")</f>
        <v/>
      </c>
      <c r="M4887" s="13" t="str">
        <f>IF(D4887&lt;&gt;"",VLOOKUP(H4887,TABLEITEM,3,FALSE),"")</f>
        <v>PROTECTION RELAY WPF 20A</v>
      </c>
      <c r="N4887" s="14">
        <f>INSTOCK!$I4887*INSTOCK!$K4887</f>
        <v>4480</v>
      </c>
      <c r="O4887" s="4" t="s">
        <v>5929</v>
      </c>
      <c r="P4887" s="4"/>
    </row>
    <row r="4888" ht="15.75" hidden="1" customHeight="1">
      <c r="B4888" s="8">
        <v>5212.0</v>
      </c>
      <c r="C4888" s="9">
        <v>43640.0</v>
      </c>
      <c r="D4888" s="6" t="s">
        <v>5930</v>
      </c>
      <c r="E4888" s="4">
        <v>6.206000929E9</v>
      </c>
      <c r="F4888" s="8" t="s">
        <v>5931</v>
      </c>
      <c r="G4888" s="4" t="s">
        <v>5932</v>
      </c>
      <c r="H4888" s="10" t="s">
        <v>5933</v>
      </c>
      <c r="I4888" s="10">
        <v>4.0</v>
      </c>
      <c r="J4888" s="11" t="str">
        <f>IF(D4888&lt;&gt;"",VLOOKUP(H4888,TABLEITEM,5,FALSE),"")</f>
        <v>EA</v>
      </c>
      <c r="K4888" s="12">
        <v>90.0</v>
      </c>
      <c r="L4888" s="13" t="str">
        <f>IF(D4888&lt;&gt;"",VLOOKUP(H4888,TABLEITEM,2,FALSE),"")</f>
        <v/>
      </c>
      <c r="M4888" s="13" t="str">
        <f>IF(D4888&lt;&gt;"",VLOOKUP(H4888,TABLEITEM,3,FALSE),"")</f>
        <v>Univerasal Outlet NUO 250V</v>
      </c>
      <c r="N4888" s="14">
        <f>INSTOCK!$I4888*INSTOCK!$K4888</f>
        <v>360</v>
      </c>
      <c r="O4888" s="4" t="s">
        <v>5934</v>
      </c>
      <c r="P4888" s="4"/>
    </row>
    <row r="4889" ht="15.75" hidden="1" customHeight="1">
      <c r="B4889" s="8">
        <v>5213.0</v>
      </c>
      <c r="C4889" s="9">
        <v>43640.0</v>
      </c>
      <c r="D4889" s="6" t="s">
        <v>5930</v>
      </c>
      <c r="E4889" s="4">
        <v>6.206000929E9</v>
      </c>
      <c r="F4889" s="8" t="s">
        <v>5931</v>
      </c>
      <c r="G4889" s="4" t="s">
        <v>5932</v>
      </c>
      <c r="H4889" s="10" t="s">
        <v>5935</v>
      </c>
      <c r="I4889" s="10">
        <v>1.0</v>
      </c>
      <c r="J4889" s="11" t="str">
        <f>IF(D4889&lt;&gt;"",VLOOKUP(H4889,TABLEITEM,5,FALSE),"")</f>
        <v>EA</v>
      </c>
      <c r="K4889" s="12">
        <v>225.0</v>
      </c>
      <c r="L4889" s="13" t="str">
        <f>IF(D4889&lt;&gt;"",VLOOKUP(H4889,TABLEITEM,2,FALSE),"")</f>
        <v/>
      </c>
      <c r="M4889" s="13" t="str">
        <f>IF(D4889&lt;&gt;"",VLOOKUP(H4889,TABLEITEM,3,FALSE),"")</f>
        <v>Miniature buzzer 220VAC/DC NBZ-220</v>
      </c>
      <c r="N4889" s="14">
        <f>INSTOCK!$I4889*INSTOCK!$K4889</f>
        <v>225</v>
      </c>
      <c r="O4889" s="4" t="s">
        <v>5936</v>
      </c>
      <c r="P4889" s="4"/>
    </row>
    <row r="4890" ht="15.75" hidden="1" customHeight="1">
      <c r="B4890" s="8">
        <v>5214.0</v>
      </c>
      <c r="C4890" s="9">
        <v>43638.0</v>
      </c>
      <c r="D4890" s="6" t="s">
        <v>5937</v>
      </c>
      <c r="E4890" s="4"/>
      <c r="F4890" s="8" t="s">
        <v>5938</v>
      </c>
      <c r="G4890" s="4" t="s">
        <v>5939</v>
      </c>
      <c r="H4890" s="10" t="s">
        <v>5940</v>
      </c>
      <c r="I4890" s="10">
        <v>1.0</v>
      </c>
      <c r="J4890" s="11" t="str">
        <f>IF(D4890&lt;&gt;"",VLOOKUP(H4890,TABLEITEM,5,FALSE),"")</f>
        <v>EA</v>
      </c>
      <c r="K4890" s="12">
        <v>1790.0</v>
      </c>
      <c r="L4890" s="13" t="str">
        <f>IF(D4890&lt;&gt;"",VLOOKUP(H4890,TABLEITEM,2,FALSE),"")</f>
        <v/>
      </c>
      <c r="M4890" s="13" t="str">
        <f>IF(D4890&lt;&gt;"",VLOOKUP(H4890,TABLEITEM,3,FALSE),"")</f>
        <v>อุปกรณ์สกรู</v>
      </c>
      <c r="N4890" s="14">
        <f>INSTOCK!$I4890*INSTOCK!$K4890</f>
        <v>1790</v>
      </c>
      <c r="O4890" s="4" t="s">
        <v>5941</v>
      </c>
      <c r="P4890" s="4"/>
    </row>
    <row r="4891" ht="15.75" hidden="1" customHeight="1">
      <c r="B4891" s="8">
        <v>5215.0</v>
      </c>
      <c r="C4891" s="9">
        <v>43634.0</v>
      </c>
      <c r="D4891" s="6">
        <v>142779.0</v>
      </c>
      <c r="E4891" s="4"/>
      <c r="F4891" s="8" t="s">
        <v>5938</v>
      </c>
      <c r="G4891" s="4" t="s">
        <v>3724</v>
      </c>
      <c r="H4891" s="10" t="s">
        <v>5942</v>
      </c>
      <c r="I4891" s="10">
        <v>1.0</v>
      </c>
      <c r="J4891" s="11" t="str">
        <f>IF(D4891&lt;&gt;"",VLOOKUP(H4891,TABLEITEM,5,FALSE),"")</f>
        <v>EA</v>
      </c>
      <c r="K4891" s="12">
        <v>1944.53</v>
      </c>
      <c r="L4891" s="13" t="str">
        <f>IF(D4891&lt;&gt;"",VLOOKUP(H4891,TABLEITEM,2,FALSE),"")</f>
        <v/>
      </c>
      <c r="M4891" s="13" t="str">
        <f>IF(D4891&lt;&gt;"",VLOOKUP(H4891,TABLEITEM,3,FALSE),"")</f>
        <v>เครื่องมือ </v>
      </c>
      <c r="N4891" s="14">
        <f>INSTOCK!$I4891*INSTOCK!$K4891</f>
        <v>1944.53</v>
      </c>
      <c r="O4891" s="4" t="s">
        <v>5941</v>
      </c>
      <c r="P4891" s="4"/>
    </row>
    <row r="4892" ht="15.75" hidden="1" customHeight="1">
      <c r="B4892" s="8">
        <v>5216.0</v>
      </c>
      <c r="C4892" s="9">
        <v>43636.0</v>
      </c>
      <c r="D4892" s="6" t="s">
        <v>5943</v>
      </c>
      <c r="E4892" s="4"/>
      <c r="F4892" s="8" t="s">
        <v>5938</v>
      </c>
      <c r="G4892" s="4" t="s">
        <v>5944</v>
      </c>
      <c r="H4892" s="10" t="s">
        <v>5945</v>
      </c>
      <c r="I4892" s="10">
        <v>1.0</v>
      </c>
      <c r="J4892" s="11" t="str">
        <f>IF(D4892&lt;&gt;"",VLOOKUP(H4892,TABLEITEM,5,FALSE),"")</f>
        <v>EA</v>
      </c>
      <c r="K4892" s="12">
        <v>4406.68</v>
      </c>
      <c r="L4892" s="13" t="str">
        <f>IF(D4892&lt;&gt;"",VLOOKUP(H4892,TABLEITEM,2,FALSE),"")</f>
        <v/>
      </c>
      <c r="M4892" s="13" t="str">
        <f>IF(D4892&lt;&gt;"",VLOOKUP(H4892,TABLEITEM,3,FALSE),"")</f>
        <v>Power supply,socket relay</v>
      </c>
      <c r="N4892" s="14">
        <f>INSTOCK!$I4892*INSTOCK!$K4892</f>
        <v>4406.68</v>
      </c>
      <c r="O4892" s="4" t="s">
        <v>5941</v>
      </c>
      <c r="P4892" s="4"/>
    </row>
    <row r="4893" ht="15.75" hidden="1" customHeight="1">
      <c r="B4893" s="8">
        <v>5217.0</v>
      </c>
      <c r="C4893" s="9">
        <v>43640.0</v>
      </c>
      <c r="D4893" s="6" t="s">
        <v>5946</v>
      </c>
      <c r="E4893" s="4">
        <v>6.206000943E9</v>
      </c>
      <c r="F4893" s="8" t="s">
        <v>604</v>
      </c>
      <c r="G4893" s="4" t="s">
        <v>1777</v>
      </c>
      <c r="H4893" s="10" t="s">
        <v>3382</v>
      </c>
      <c r="I4893" s="10">
        <v>2000.0</v>
      </c>
      <c r="J4893" s="11" t="str">
        <f>IF(D4893&lt;&gt;"",VLOOKUP(H4893,TABLEITEM,5,FALSE),"")</f>
        <v>EA</v>
      </c>
      <c r="K4893" s="12">
        <v>0.125</v>
      </c>
      <c r="L4893" s="13" t="str">
        <f>IF(D4893&lt;&gt;"",VLOOKUP(H4893,TABLEITEM,2,FALSE),"")</f>
        <v/>
      </c>
      <c r="M4893" s="13" t="str">
        <f>IF(D4893&lt;&gt;"",VLOOKUP(H4893,TABLEITEM,3,FALSE),"")</f>
        <v>แหวนสปริง M10   ชุบรุ้ง</v>
      </c>
      <c r="N4893" s="14">
        <f>INSTOCK!$I4893*INSTOCK!$K4893</f>
        <v>250</v>
      </c>
      <c r="O4893" s="4" t="s">
        <v>3383</v>
      </c>
      <c r="P4893" s="4"/>
    </row>
    <row r="4894" ht="15.75" hidden="1" customHeight="1">
      <c r="B4894" s="8">
        <v>5218.0</v>
      </c>
      <c r="C4894" s="9">
        <v>43640.0</v>
      </c>
      <c r="D4894" s="6" t="s">
        <v>5946</v>
      </c>
      <c r="E4894" s="4">
        <v>6.206000943E9</v>
      </c>
      <c r="F4894" s="8" t="s">
        <v>604</v>
      </c>
      <c r="G4894" s="4" t="s">
        <v>1777</v>
      </c>
      <c r="H4894" s="10" t="s">
        <v>1936</v>
      </c>
      <c r="I4894" s="10">
        <v>1000.0</v>
      </c>
      <c r="J4894" s="11" t="str">
        <f>IF(D4894&lt;&gt;"",VLOOKUP(H4894,TABLEITEM,5,FALSE),"")</f>
        <v>EA</v>
      </c>
      <c r="K4894" s="12">
        <v>0.189</v>
      </c>
      <c r="L4894" s="13" t="str">
        <f>IF(D4894&lt;&gt;"",VLOOKUP(H4894,TABLEITEM,2,FALSE),"")</f>
        <v/>
      </c>
      <c r="M4894" s="13" t="str">
        <f>IF(D4894&lt;&gt;"",VLOOKUP(H4894,TABLEITEM,3,FALSE),"")</f>
        <v>สกรูหัวกลมชุบขาว M6x10</v>
      </c>
      <c r="N4894" s="14">
        <f>INSTOCK!$I4894*INSTOCK!$K4894</f>
        <v>189</v>
      </c>
      <c r="O4894" s="4" t="s">
        <v>1937</v>
      </c>
      <c r="P4894" s="4"/>
    </row>
    <row r="4895" ht="15.75" hidden="1" customHeight="1">
      <c r="B4895" s="8">
        <v>5219.0</v>
      </c>
      <c r="C4895" s="9">
        <v>43640.0</v>
      </c>
      <c r="D4895" s="6" t="s">
        <v>5946</v>
      </c>
      <c r="E4895" s="4">
        <v>6.206000943E9</v>
      </c>
      <c r="F4895" s="8" t="s">
        <v>604</v>
      </c>
      <c r="G4895" s="4" t="s">
        <v>1777</v>
      </c>
      <c r="H4895" s="10" t="s">
        <v>5947</v>
      </c>
      <c r="I4895" s="10">
        <v>2000.0</v>
      </c>
      <c r="J4895" s="11" t="str">
        <f>IF(D4895&lt;&gt;"",VLOOKUP(H4895,TABLEITEM,5,FALSE),"")</f>
        <v>EA</v>
      </c>
      <c r="K4895" s="12">
        <v>0.055</v>
      </c>
      <c r="L4895" s="13" t="str">
        <f>IF(D4895&lt;&gt;"",VLOOKUP(H4895,TABLEITEM,2,FALSE),"")</f>
        <v/>
      </c>
      <c r="M4895" s="13" t="str">
        <f>IF(D4895&lt;&gt;"",VLOOKUP(H4895,TABLEITEM,3,FALSE),"")</f>
        <v>แหวนอีแปะ M5  ชุบขาว</v>
      </c>
      <c r="N4895" s="14">
        <f>INSTOCK!$I4895*INSTOCK!$K4895</f>
        <v>110</v>
      </c>
      <c r="O4895" s="4" t="s">
        <v>2417</v>
      </c>
      <c r="P4895" s="4"/>
    </row>
    <row r="4896" ht="15.75" hidden="1" customHeight="1">
      <c r="B4896" s="8">
        <v>5220.0</v>
      </c>
      <c r="C4896" s="9">
        <v>43640.0</v>
      </c>
      <c r="D4896" s="6" t="s">
        <v>5946</v>
      </c>
      <c r="E4896" s="4">
        <v>6.206000943E9</v>
      </c>
      <c r="F4896" s="8" t="s">
        <v>604</v>
      </c>
      <c r="G4896" s="4" t="s">
        <v>1777</v>
      </c>
      <c r="H4896" s="10" t="s">
        <v>5948</v>
      </c>
      <c r="I4896" s="10">
        <v>2000.0</v>
      </c>
      <c r="J4896" s="11" t="str">
        <f>IF(D4896&lt;&gt;"",VLOOKUP(H4896,TABLEITEM,5,FALSE),"")</f>
        <v>EA</v>
      </c>
      <c r="K4896" s="12">
        <v>0.06</v>
      </c>
      <c r="L4896" s="13" t="str">
        <f>IF(D4896&lt;&gt;"",VLOOKUP(H4896,TABLEITEM,2,FALSE),"")</f>
        <v/>
      </c>
      <c r="M4896" s="13" t="str">
        <f>IF(D4896&lt;&gt;"",VLOOKUP(H4896,TABLEITEM,3,FALSE),"")</f>
        <v>แหวนสปริง M5   ชุบขาว</v>
      </c>
      <c r="N4896" s="14">
        <f>INSTOCK!$I4896*INSTOCK!$K4896</f>
        <v>120</v>
      </c>
      <c r="O4896" s="4" t="s">
        <v>3183</v>
      </c>
      <c r="P4896" s="4"/>
    </row>
    <row r="4897" ht="15.75" hidden="1" customHeight="1">
      <c r="B4897" s="8">
        <v>5221.0</v>
      </c>
      <c r="C4897" s="9">
        <v>43640.0</v>
      </c>
      <c r="D4897" s="6" t="s">
        <v>5946</v>
      </c>
      <c r="E4897" s="4">
        <v>6.206000943E9</v>
      </c>
      <c r="F4897" s="8" t="s">
        <v>604</v>
      </c>
      <c r="G4897" s="4" t="s">
        <v>1777</v>
      </c>
      <c r="H4897" s="10" t="s">
        <v>3842</v>
      </c>
      <c r="I4897" s="10">
        <v>4000.0</v>
      </c>
      <c r="J4897" s="11" t="str">
        <f>IF(D4897&lt;&gt;"",VLOOKUP(H4897,TABLEITEM,5,FALSE),"")</f>
        <v>EA</v>
      </c>
      <c r="K4897" s="12">
        <v>0.275</v>
      </c>
      <c r="L4897" s="13" t="str">
        <f>IF(D4897&lt;&gt;"",VLOOKUP(H4897,TABLEITEM,2,FALSE),"")</f>
        <v/>
      </c>
      <c r="M4897" s="13" t="str">
        <f>IF(D4897&lt;&gt;"",VLOOKUP(H4897,TABLEITEM,3,FALSE),"")</f>
        <v>แหวนอีแปะ M10  ชุบขาว</v>
      </c>
      <c r="N4897" s="14">
        <f>INSTOCK!$I4897*INSTOCK!$K4897</f>
        <v>1100</v>
      </c>
      <c r="O4897" s="4" t="s">
        <v>3843</v>
      </c>
      <c r="P4897" s="4"/>
    </row>
    <row r="4898" ht="15.75" hidden="1" customHeight="1">
      <c r="B4898" s="8">
        <v>5222.0</v>
      </c>
      <c r="C4898" s="9">
        <v>43640.0</v>
      </c>
      <c r="D4898" s="6" t="s">
        <v>5946</v>
      </c>
      <c r="E4898" s="4">
        <v>6.206000943E9</v>
      </c>
      <c r="F4898" s="8" t="s">
        <v>604</v>
      </c>
      <c r="G4898" s="4" t="s">
        <v>1777</v>
      </c>
      <c r="H4898" s="10" t="s">
        <v>2094</v>
      </c>
      <c r="I4898" s="10">
        <v>2000.0</v>
      </c>
      <c r="J4898" s="11" t="str">
        <f>IF(D4898&lt;&gt;"",VLOOKUP(H4898,TABLEITEM,5,FALSE),"")</f>
        <v>EA</v>
      </c>
      <c r="K4898" s="12">
        <v>0.75</v>
      </c>
      <c r="L4898" s="13" t="str">
        <f>IF(D4898&lt;&gt;"",VLOOKUP(H4898,TABLEITEM,2,FALSE),"")</f>
        <v/>
      </c>
      <c r="M4898" s="13" t="str">
        <f>IF(D4898&lt;&gt;"",VLOOKUP(H4898,TABLEITEM,3,FALSE),"")</f>
        <v>หัวน้อต       M10   ชุบขาว</v>
      </c>
      <c r="N4898" s="14">
        <f>INSTOCK!$I4898*INSTOCK!$K4898</f>
        <v>1500</v>
      </c>
      <c r="O4898" s="4" t="s">
        <v>2095</v>
      </c>
      <c r="P4898" s="4"/>
    </row>
    <row r="4899" ht="15.75" hidden="1" customHeight="1">
      <c r="B4899" s="8">
        <v>5223.0</v>
      </c>
      <c r="C4899" s="9">
        <v>43640.0</v>
      </c>
      <c r="D4899" s="6" t="s">
        <v>5946</v>
      </c>
      <c r="E4899" s="4">
        <v>6.206000943E9</v>
      </c>
      <c r="F4899" s="8" t="s">
        <v>604</v>
      </c>
      <c r="G4899" s="4" t="s">
        <v>1777</v>
      </c>
      <c r="H4899" s="10" t="s">
        <v>2090</v>
      </c>
      <c r="I4899" s="10">
        <v>500.0</v>
      </c>
      <c r="J4899" s="11" t="str">
        <f>IF(D4899&lt;&gt;"",VLOOKUP(H4899,TABLEITEM,5,FALSE),"")</f>
        <v>EA</v>
      </c>
      <c r="K4899" s="12">
        <v>1.6835</v>
      </c>
      <c r="L4899" s="13" t="str">
        <f>IF(D4899&lt;&gt;"",VLOOKUP(H4899,TABLEITEM,2,FALSE),"")</f>
        <v/>
      </c>
      <c r="M4899" s="13" t="str">
        <f>IF(D4899&lt;&gt;"",VLOOKUP(H4899,TABLEITEM,3,FALSE),"")</f>
        <v>สกรูหัวเหลี่ยมชุบขาว M10x30</v>
      </c>
      <c r="N4899" s="14">
        <f>INSTOCK!$I4899*INSTOCK!$K4899</f>
        <v>841.75</v>
      </c>
      <c r="O4899" s="4" t="s">
        <v>2091</v>
      </c>
      <c r="P4899" s="4"/>
    </row>
    <row r="4900" ht="15.75" hidden="1" customHeight="1">
      <c r="B4900" s="8">
        <v>5224.0</v>
      </c>
      <c r="C4900" s="9">
        <v>43640.0</v>
      </c>
      <c r="D4900" s="6" t="s">
        <v>5949</v>
      </c>
      <c r="E4900" s="4">
        <v>6.20600095E9</v>
      </c>
      <c r="F4900" s="8" t="s">
        <v>604</v>
      </c>
      <c r="G4900" s="4" t="s">
        <v>1870</v>
      </c>
      <c r="H4900" s="10" t="s">
        <v>1998</v>
      </c>
      <c r="I4900" s="10">
        <v>4000.0</v>
      </c>
      <c r="J4900" s="11" t="str">
        <f>IF(D4900&lt;&gt;"",VLOOKUP(H4900,TABLEITEM,5,FALSE),"")</f>
        <v>EA</v>
      </c>
      <c r="K4900" s="12">
        <v>0.495</v>
      </c>
      <c r="L4900" s="13" t="str">
        <f>IF(D4900&lt;&gt;"",VLOOKUP(H4900,TABLEITEM,2,FALSE),"")</f>
        <v/>
      </c>
      <c r="M4900" s="13" t="str">
        <f>IF(D4900&lt;&gt;"",VLOOKUP(H4900,TABLEITEM,3,FALSE),"")</f>
        <v>แหวนอีแปะ M10   HDG</v>
      </c>
      <c r="N4900" s="14">
        <f>INSTOCK!$I4900*INSTOCK!$K4900</f>
        <v>1980</v>
      </c>
      <c r="O4900" s="4" t="s">
        <v>1999</v>
      </c>
      <c r="P4900" s="4"/>
    </row>
    <row r="4901" ht="15.75" hidden="1" customHeight="1">
      <c r="B4901" s="8">
        <v>5225.0</v>
      </c>
      <c r="C4901" s="9">
        <v>43641.0</v>
      </c>
      <c r="D4901" s="6" t="s">
        <v>5949</v>
      </c>
      <c r="E4901" s="4">
        <v>6.20600095E9</v>
      </c>
      <c r="F4901" s="8" t="s">
        <v>604</v>
      </c>
      <c r="G4901" s="4" t="s">
        <v>1870</v>
      </c>
      <c r="H4901" s="10" t="s">
        <v>3709</v>
      </c>
      <c r="I4901" s="10">
        <v>2000.0</v>
      </c>
      <c r="J4901" s="11" t="str">
        <f>IF(D4901&lt;&gt;"",VLOOKUP(H4901,TABLEITEM,5,FALSE),"")</f>
        <v>EA</v>
      </c>
      <c r="K4901" s="12">
        <v>0.33</v>
      </c>
      <c r="L4901" s="13" t="str">
        <f>IF(D4901&lt;&gt;"",VLOOKUP(H4901,TABLEITEM,2,FALSE),"")</f>
        <v/>
      </c>
      <c r="M4901" s="13" t="str">
        <f>IF(D4901&lt;&gt;"",VLOOKUP(H4901,TABLEITEM,3,FALSE),"")</f>
        <v>แหวนสปริง M10   HDG</v>
      </c>
      <c r="N4901" s="14">
        <f>INSTOCK!$I4901*INSTOCK!$K4901</f>
        <v>660</v>
      </c>
      <c r="O4901" s="4" t="s">
        <v>3136</v>
      </c>
      <c r="P4901" s="4"/>
    </row>
    <row r="4902" ht="15.75" hidden="1" customHeight="1">
      <c r="B4902" s="8">
        <v>5226.0</v>
      </c>
      <c r="C4902" s="9">
        <v>43642.0</v>
      </c>
      <c r="D4902" s="6" t="s">
        <v>5949</v>
      </c>
      <c r="E4902" s="4">
        <v>6.20600095E9</v>
      </c>
      <c r="F4902" s="8" t="s">
        <v>604</v>
      </c>
      <c r="G4902" s="4" t="s">
        <v>1870</v>
      </c>
      <c r="H4902" s="10" t="s">
        <v>2512</v>
      </c>
      <c r="I4902" s="10">
        <v>2000.0</v>
      </c>
      <c r="J4902" s="11" t="str">
        <f>IF(D4902&lt;&gt;"",VLOOKUP(H4902,TABLEITEM,5,FALSE),"")</f>
        <v>EA</v>
      </c>
      <c r="K4902" s="12">
        <v>1.265</v>
      </c>
      <c r="L4902" s="13" t="str">
        <f>IF(D4902&lt;&gt;"",VLOOKUP(H4902,TABLEITEM,2,FALSE),"")</f>
        <v/>
      </c>
      <c r="M4902" s="13" t="str">
        <f>IF(D4902&lt;&gt;"",VLOOKUP(H4902,TABLEITEM,3,FALSE),"")</f>
        <v>หัวน้อต M10  HDG</v>
      </c>
      <c r="N4902" s="14">
        <f>INSTOCK!$I4902*INSTOCK!$K4902</f>
        <v>2530</v>
      </c>
      <c r="O4902" s="4" t="s">
        <v>2513</v>
      </c>
      <c r="P4902" s="4"/>
    </row>
    <row r="4903" ht="15.75" hidden="1" customHeight="1">
      <c r="B4903" s="8">
        <v>5227.0</v>
      </c>
      <c r="C4903" s="9">
        <v>43640.0</v>
      </c>
      <c r="D4903" s="6" t="s">
        <v>5950</v>
      </c>
      <c r="E4903" s="4">
        <v>6.206000944E9</v>
      </c>
      <c r="F4903" s="8" t="s">
        <v>604</v>
      </c>
      <c r="G4903" s="4" t="s">
        <v>965</v>
      </c>
      <c r="H4903" s="10" t="s">
        <v>45</v>
      </c>
      <c r="I4903" s="10">
        <v>2.0</v>
      </c>
      <c r="J4903" s="11" t="str">
        <f>IF(D4903&lt;&gt;"",VLOOKUP(H4903,TABLEITEM,5,FALSE),"")</f>
        <v>กล</v>
      </c>
      <c r="K4903" s="12">
        <v>280.0</v>
      </c>
      <c r="L4903" s="13" t="str">
        <f>IF(D4903&lt;&gt;"",VLOOKUP(H4903,TABLEITEM,2,FALSE),"")</f>
        <v/>
      </c>
      <c r="M4903" s="13" t="str">
        <f>IF(D4903&lt;&gt;"",VLOOKUP(H4903,TABLEITEM,3,FALSE),"")</f>
        <v>สีโป้ว</v>
      </c>
      <c r="N4903" s="14">
        <f>INSTOCK!$I4903*INSTOCK!$K4903</f>
        <v>560</v>
      </c>
      <c r="O4903" s="4"/>
      <c r="P4903" s="4"/>
    </row>
    <row r="4904" ht="15.75" hidden="1" customHeight="1">
      <c r="B4904" s="8">
        <v>5228.0</v>
      </c>
      <c r="C4904" s="9">
        <v>43640.0</v>
      </c>
      <c r="D4904" s="6" t="s">
        <v>5950</v>
      </c>
      <c r="E4904" s="4">
        <v>6.206000944E9</v>
      </c>
      <c r="F4904" s="8" t="s">
        <v>604</v>
      </c>
      <c r="G4904" s="4" t="s">
        <v>965</v>
      </c>
      <c r="H4904" s="10" t="s">
        <v>3003</v>
      </c>
      <c r="I4904" s="10">
        <v>8.0</v>
      </c>
      <c r="J4904" s="11" t="str">
        <f>IF(D4904&lt;&gt;"",VLOOKUP(H4904,TABLEITEM,5,FALSE),"")</f>
        <v>EA</v>
      </c>
      <c r="K4904" s="12">
        <v>4.0</v>
      </c>
      <c r="L4904" s="13" t="str">
        <f>IF(D4904&lt;&gt;"",VLOOKUP(H4904,TABLEITEM,2,FALSE),"")</f>
        <v/>
      </c>
      <c r="M4904" s="13" t="str">
        <f>IF(D4904&lt;&gt;"",VLOOKUP(H4904,TABLEITEM,3,FALSE),"")</f>
        <v>ยูโบล์ท 1"</v>
      </c>
      <c r="N4904" s="14">
        <f>INSTOCK!$I4904*INSTOCK!$K4904</f>
        <v>32</v>
      </c>
      <c r="O4904" s="4"/>
      <c r="P4904" s="4"/>
    </row>
    <row r="4905" ht="15.75" hidden="1" customHeight="1">
      <c r="B4905" s="8">
        <v>5229.0</v>
      </c>
      <c r="C4905" s="9">
        <v>43640.0</v>
      </c>
      <c r="D4905" s="6" t="s">
        <v>5950</v>
      </c>
      <c r="E4905" s="4">
        <v>6.206000951E9</v>
      </c>
      <c r="F4905" s="8" t="s">
        <v>604</v>
      </c>
      <c r="G4905" s="4" t="s">
        <v>965</v>
      </c>
      <c r="H4905" s="18" t="s">
        <v>5087</v>
      </c>
      <c r="I4905" s="10">
        <v>3.0</v>
      </c>
      <c r="J4905" s="11" t="str">
        <f>IF(D4905&lt;&gt;"",VLOOKUP(H4905,TABLEITEM,5,FALSE),"")</f>
        <v>EA</v>
      </c>
      <c r="K4905" s="12">
        <v>30.0</v>
      </c>
      <c r="L4905" s="13" t="str">
        <f>IF(D4905&lt;&gt;"",VLOOKUP(H4905,TABLEITEM,2,FALSE),"")</f>
        <v/>
      </c>
      <c r="M4905" s="13" t="str">
        <f>IF(D4905&lt;&gt;"",VLOOKUP(H4905,TABLEITEM,3,FALSE),"")</f>
        <v>แปรงลวดทองเหลือง</v>
      </c>
      <c r="N4905" s="14">
        <f>INSTOCK!$I4905*INSTOCK!$K4905</f>
        <v>90</v>
      </c>
      <c r="O4905" s="4"/>
      <c r="P4905" s="4"/>
    </row>
    <row r="4906" ht="15.75" hidden="1" customHeight="1">
      <c r="B4906" s="8">
        <v>5230.0</v>
      </c>
      <c r="C4906" s="9">
        <v>43640.0</v>
      </c>
      <c r="D4906" s="6" t="s">
        <v>5950</v>
      </c>
      <c r="E4906" s="4">
        <v>6.206000951E9</v>
      </c>
      <c r="F4906" s="8" t="s">
        <v>604</v>
      </c>
      <c r="G4906" s="4" t="s">
        <v>965</v>
      </c>
      <c r="H4906" s="18" t="s">
        <v>3584</v>
      </c>
      <c r="I4906" s="10">
        <v>8.0</v>
      </c>
      <c r="J4906" s="11" t="str">
        <f>IF(D4906&lt;&gt;"",VLOOKUP(H4906,TABLEITEM,5,FALSE),"")</f>
        <v>EA</v>
      </c>
      <c r="K4906" s="12">
        <v>25.0</v>
      </c>
      <c r="L4906" s="13" t="str">
        <f>IF(D4906&lt;&gt;"",VLOOKUP(H4906,TABLEITEM,2,FALSE),"")</f>
        <v/>
      </c>
      <c r="M4906" s="13" t="str">
        <f>IF(D4906&lt;&gt;"",VLOOKUP(H4906,TABLEITEM,3,FALSE),"")</f>
        <v>ปลั๊กยาง 3ขา มีกราว</v>
      </c>
      <c r="N4906" s="14">
        <f>INSTOCK!$I4906*INSTOCK!$K4906</f>
        <v>200</v>
      </c>
      <c r="O4906" s="4"/>
      <c r="P4906" s="4"/>
    </row>
    <row r="4907" ht="15.75" hidden="1" customHeight="1">
      <c r="B4907" s="8">
        <v>5231.0</v>
      </c>
      <c r="C4907" s="9">
        <v>43641.0</v>
      </c>
      <c r="D4907" s="6" t="s">
        <v>5951</v>
      </c>
      <c r="E4907" s="4">
        <v>6.206000958E9</v>
      </c>
      <c r="F4907" s="8" t="s">
        <v>5952</v>
      </c>
      <c r="G4907" s="4" t="s">
        <v>5103</v>
      </c>
      <c r="H4907" s="10" t="s">
        <v>5953</v>
      </c>
      <c r="I4907" s="10">
        <v>1.0</v>
      </c>
      <c r="J4907" s="11" t="str">
        <f>IF(D4907&lt;&gt;"",VLOOKUP(H4907,TABLEITEM,5,FALSE),"")</f>
        <v>EA</v>
      </c>
      <c r="K4907" s="12">
        <v>14500.0</v>
      </c>
      <c r="L4907" s="13" t="str">
        <f>IF(D4907&lt;&gt;"",VLOOKUP(H4907,TABLEITEM,2,FALSE),"")</f>
        <v/>
      </c>
      <c r="M4907" s="13" t="str">
        <f>IF(D4907&lt;&gt;"",VLOOKUP(H4907,TABLEITEM,3,FALSE),"")</f>
        <v>จารบี G-500 จารบีทนความร้อน </v>
      </c>
      <c r="N4907" s="14">
        <f>INSTOCK!$I4907*INSTOCK!$K4907</f>
        <v>14500</v>
      </c>
      <c r="O4907" s="4"/>
      <c r="P4907" s="4"/>
    </row>
    <row r="4908" ht="15.75" hidden="1" customHeight="1">
      <c r="B4908" s="8">
        <v>5232.0</v>
      </c>
      <c r="C4908" s="9">
        <v>43641.0</v>
      </c>
      <c r="D4908" s="6" t="s">
        <v>5951</v>
      </c>
      <c r="E4908" s="4">
        <v>6.206000958E9</v>
      </c>
      <c r="F4908" s="8" t="s">
        <v>5952</v>
      </c>
      <c r="G4908" s="4" t="s">
        <v>5103</v>
      </c>
      <c r="H4908" s="10" t="s">
        <v>5954</v>
      </c>
      <c r="I4908" s="10">
        <v>1.0</v>
      </c>
      <c r="J4908" s="11" t="str">
        <f>IF(D4908&lt;&gt;"",VLOOKUP(H4908,TABLEITEM,5,FALSE),"")</f>
        <v>EA</v>
      </c>
      <c r="K4908" s="12">
        <v>1350.0</v>
      </c>
      <c r="L4908" s="13" t="str">
        <f>IF(D4908&lt;&gt;"",VLOOKUP(H4908,TABLEITEM,2,FALSE),"")</f>
        <v/>
      </c>
      <c r="M4908" s="13" t="str">
        <f>IF(D4908&lt;&gt;"",VLOOKUP(H4908,TABLEITEM,3,FALSE),"")</f>
        <v>เพลายาว 5ธT 45x330</v>
      </c>
      <c r="N4908" s="14">
        <f>INSTOCK!$I4908*INSTOCK!$K4908</f>
        <v>1350</v>
      </c>
      <c r="O4908" s="4"/>
      <c r="P4908" s="4"/>
    </row>
    <row r="4909" ht="15.75" hidden="1" customHeight="1">
      <c r="B4909" s="8">
        <v>5233.0</v>
      </c>
      <c r="C4909" s="9">
        <v>43641.0</v>
      </c>
      <c r="D4909" s="6" t="s">
        <v>5951</v>
      </c>
      <c r="E4909" s="4">
        <v>6.206000958E9</v>
      </c>
      <c r="F4909" s="8" t="s">
        <v>5952</v>
      </c>
      <c r="G4909" s="4" t="s">
        <v>5103</v>
      </c>
      <c r="H4909" s="18" t="s">
        <v>5576</v>
      </c>
      <c r="I4909" s="10">
        <v>1.0</v>
      </c>
      <c r="J4909" s="11" t="str">
        <f>IF(D4909&lt;&gt;"",VLOOKUP(H4909,TABLEITEM,5,FALSE),"")</f>
        <v>EA</v>
      </c>
      <c r="K4909" s="12">
        <v>3200.0</v>
      </c>
      <c r="L4909" s="13" t="str">
        <f>IF(D4909&lt;&gt;"",VLOOKUP(H4909,TABLEITEM,2,FALSE),"")</f>
        <v/>
      </c>
      <c r="M4909" s="13" t="str">
        <f>IF(D4909&lt;&gt;"",VLOOKUP(H4909,TABLEITEM,3,FALSE),"")</f>
        <v>ฟันเฟือง ชุดขับสายพาน 5 ตัน</v>
      </c>
      <c r="N4909" s="14">
        <f>INSTOCK!$I4909*INSTOCK!$K4909</f>
        <v>3200</v>
      </c>
      <c r="O4909" s="4"/>
      <c r="P4909" s="4"/>
    </row>
    <row r="4910" ht="15.75" hidden="1" customHeight="1">
      <c r="B4910" s="8">
        <v>5234.0</v>
      </c>
      <c r="C4910" s="9">
        <v>43445.0</v>
      </c>
      <c r="D4910" s="6" t="s">
        <v>5955</v>
      </c>
      <c r="E4910" s="4">
        <v>6.112001603E9</v>
      </c>
      <c r="F4910" s="8" t="s">
        <v>604</v>
      </c>
      <c r="G4910" s="4" t="s">
        <v>965</v>
      </c>
      <c r="H4910" s="10" t="s">
        <v>5853</v>
      </c>
      <c r="I4910" s="10">
        <v>3.0</v>
      </c>
      <c r="J4910" s="11" t="str">
        <f>IF(D4910&lt;&gt;"",VLOOKUP(H4910,TABLEITEM,5,FALSE),"")</f>
        <v>EA</v>
      </c>
      <c r="K4910" s="12">
        <v>35.0</v>
      </c>
      <c r="L4910" s="13" t="str">
        <f>IF(D4910&lt;&gt;"",VLOOKUP(H4910,TABLEITEM,2,FALSE),"")</f>
        <v/>
      </c>
      <c r="M4910" s="13" t="str">
        <f>IF(D4910&lt;&gt;"",VLOOKUP(H4910,TABLEITEM,3,FALSE),"")</f>
        <v>กรดเกลือ</v>
      </c>
      <c r="N4910" s="14">
        <f>INSTOCK!$I4910*INSTOCK!$K4910</f>
        <v>105</v>
      </c>
      <c r="O4910" s="4"/>
      <c r="P4910" s="4"/>
    </row>
    <row r="4911" ht="15.75" hidden="1" customHeight="1">
      <c r="B4911" s="8">
        <v>5235.0</v>
      </c>
      <c r="C4911" s="9">
        <v>43445.0</v>
      </c>
      <c r="D4911" s="6" t="s">
        <v>5955</v>
      </c>
      <c r="E4911" s="4">
        <v>6.112001603E9</v>
      </c>
      <c r="F4911" s="8" t="s">
        <v>604</v>
      </c>
      <c r="G4911" s="4" t="s">
        <v>965</v>
      </c>
      <c r="H4911" s="10" t="s">
        <v>5956</v>
      </c>
      <c r="I4911" s="10">
        <v>4.0</v>
      </c>
      <c r="J4911" s="11" t="str">
        <f>IF(D4911&lt;&gt;"",VLOOKUP(H4911,TABLEITEM,5,FALSE),"")</f>
        <v>EA</v>
      </c>
      <c r="K4911" s="12">
        <v>320.0</v>
      </c>
      <c r="L4911" s="13" t="str">
        <f>IF(D4911&lt;&gt;"",VLOOKUP(H4911,TABLEITEM,2,FALSE),"")</f>
        <v/>
      </c>
      <c r="M4911" s="13" t="str">
        <f>IF(D4911&lt;&gt;"",VLOOKUP(H4911,TABLEITEM,3,FALSE),"")</f>
        <v>สายแพ็คพลาสติก 15mm สีดำ</v>
      </c>
      <c r="N4911" s="14">
        <f>INSTOCK!$I4911*INSTOCK!$K4911</f>
        <v>1280</v>
      </c>
      <c r="O4911" s="4"/>
      <c r="P4911" s="4"/>
    </row>
    <row r="4912" ht="15.75" hidden="1" customHeight="1">
      <c r="B4912" s="8">
        <v>5236.0</v>
      </c>
      <c r="C4912" s="9">
        <v>43445.0</v>
      </c>
      <c r="D4912" s="6" t="s">
        <v>5955</v>
      </c>
      <c r="E4912" s="4">
        <v>6.112001603E9</v>
      </c>
      <c r="F4912" s="8" t="s">
        <v>604</v>
      </c>
      <c r="G4912" s="4" t="s">
        <v>965</v>
      </c>
      <c r="H4912" s="10" t="s">
        <v>2616</v>
      </c>
      <c r="I4912" s="10">
        <v>10.0</v>
      </c>
      <c r="J4912" s="11" t="str">
        <f>IF(D4912&lt;&gt;"",VLOOKUP(H4912,TABLEITEM,5,FALSE),"")</f>
        <v>M</v>
      </c>
      <c r="K4912" s="12">
        <v>12.0</v>
      </c>
      <c r="L4912" s="13" t="str">
        <f>IF(D4912&lt;&gt;"",VLOOKUP(H4912,TABLEITEM,2,FALSE),"")</f>
        <v/>
      </c>
      <c r="M4912" s="13" t="str">
        <f>IF(D4912&lt;&gt;"",VLOOKUP(H4912,TABLEITEM,3,FALSE),"")</f>
        <v>สายยางน้ำ 5/8"</v>
      </c>
      <c r="N4912" s="14">
        <f>INSTOCK!$I4912*INSTOCK!$K4912</f>
        <v>120</v>
      </c>
      <c r="O4912" s="4"/>
      <c r="P4912" s="4"/>
    </row>
    <row r="4913" ht="15.75" hidden="1" customHeight="1">
      <c r="B4913" s="8">
        <v>5237.0</v>
      </c>
      <c r="C4913" s="9">
        <v>43809.0</v>
      </c>
      <c r="D4913" s="6" t="s">
        <v>5957</v>
      </c>
      <c r="E4913" s="4">
        <v>6.112001604E9</v>
      </c>
      <c r="F4913" s="8" t="s">
        <v>604</v>
      </c>
      <c r="G4913" s="4" t="s">
        <v>692</v>
      </c>
      <c r="H4913" s="10" t="s">
        <v>512</v>
      </c>
      <c r="I4913" s="10">
        <v>200.0</v>
      </c>
      <c r="J4913" s="11" t="str">
        <f>IF(D4913&lt;&gt;"",VLOOKUP(H4913,TABLEITEM,5,FALSE),"")</f>
        <v>M</v>
      </c>
      <c r="K4913" s="12">
        <v>22.67</v>
      </c>
      <c r="L4913" s="13" t="str">
        <f>IF(D4913&lt;&gt;"",VLOOKUP(H4913,TABLEITEM,2,FALSE),"")</f>
        <v>wire</v>
      </c>
      <c r="M4913" s="13" t="str">
        <f>IF(D4913&lt;&gt;"",VLOOKUP(H4913,TABLEITEM,3,FALSE),"")</f>
        <v>สายTHW ขนาด 1x10 SQMM.สีดำ</v>
      </c>
      <c r="N4913" s="14">
        <f>INSTOCK!$I4913*INSTOCK!$K4913</f>
        <v>4534</v>
      </c>
      <c r="O4913" s="4" t="s">
        <v>5958</v>
      </c>
      <c r="P4913" s="4"/>
    </row>
    <row r="4914" ht="15.75" hidden="1" customHeight="1">
      <c r="B4914" s="8">
        <v>5238.0</v>
      </c>
      <c r="C4914" s="9">
        <v>43444.0</v>
      </c>
      <c r="D4914" s="6" t="s">
        <v>5959</v>
      </c>
      <c r="E4914" s="4">
        <v>6.112001592E9</v>
      </c>
      <c r="F4914" s="8" t="s">
        <v>5960</v>
      </c>
      <c r="G4914" s="4" t="s">
        <v>965</v>
      </c>
      <c r="H4914" s="10" t="s">
        <v>1679</v>
      </c>
      <c r="I4914" s="10">
        <v>1.0</v>
      </c>
      <c r="J4914" s="11" t="str">
        <f>IF(D4914&lt;&gt;"",VLOOKUP(H4914,TABLEITEM,5,FALSE),"")</f>
        <v>กล</v>
      </c>
      <c r="K4914" s="12">
        <v>300.0</v>
      </c>
      <c r="L4914" s="13" t="str">
        <f>IF(D4914&lt;&gt;"",VLOOKUP(H4914,TABLEITEM,2,FALSE),"")</f>
        <v/>
      </c>
      <c r="M4914" s="13" t="str">
        <f>IF(D4914&lt;&gt;"",VLOOKUP(H4914,TABLEITEM,3,FALSE),"")</f>
        <v>สีน้ำมันดำด้าน DENZO-888</v>
      </c>
      <c r="N4914" s="14">
        <f>INSTOCK!$I4914*INSTOCK!$K4914</f>
        <v>300</v>
      </c>
      <c r="O4914" s="4"/>
      <c r="P4914" s="4"/>
    </row>
    <row r="4915" ht="15.75" hidden="1" customHeight="1">
      <c r="B4915" s="8">
        <v>5239.0</v>
      </c>
      <c r="C4915" s="9">
        <v>43444.0</v>
      </c>
      <c r="D4915" s="6">
        <v>6.1120354E7</v>
      </c>
      <c r="E4915" s="4">
        <v>6.112001595E9</v>
      </c>
      <c r="F4915" s="8" t="s">
        <v>5961</v>
      </c>
      <c r="G4915" s="4" t="s">
        <v>711</v>
      </c>
      <c r="H4915" s="10" t="s">
        <v>109</v>
      </c>
      <c r="I4915" s="10">
        <v>20.0</v>
      </c>
      <c r="J4915" s="11" t="str">
        <f>IF(D4915&lt;&gt;"",VLOOKUP(H4915,TABLEITEM,5,FALSE),"")</f>
        <v>KG.</v>
      </c>
      <c r="K4915" s="12">
        <v>153.0</v>
      </c>
      <c r="L4915" s="13" t="str">
        <f>IF(D4915&lt;&gt;"",VLOOKUP(H4915,TABLEITEM,2,FALSE),"")</f>
        <v/>
      </c>
      <c r="M4915" s="13" t="str">
        <f>IF(D4915&lt;&gt;"",VLOOKUP(H4915,TABLEITEM,3,FALSE),"")</f>
        <v>สีฝุ่น P90097 BN</v>
      </c>
      <c r="N4915" s="14">
        <f>INSTOCK!$I4915*INSTOCK!$K4915</f>
        <v>3060</v>
      </c>
      <c r="O4915" s="4" t="s">
        <v>1460</v>
      </c>
      <c r="P4915" s="4"/>
    </row>
    <row r="4916" ht="15.75" hidden="1" customHeight="1">
      <c r="B4916" s="8">
        <v>5240.0</v>
      </c>
      <c r="C4916" s="9">
        <v>43444.0</v>
      </c>
      <c r="D4916" s="6" t="s">
        <v>5962</v>
      </c>
      <c r="E4916" s="4">
        <v>6.112001588E9</v>
      </c>
      <c r="F4916" s="8" t="s">
        <v>3591</v>
      </c>
      <c r="G4916" s="26" t="s">
        <v>1763</v>
      </c>
      <c r="H4916" s="10" t="s">
        <v>5963</v>
      </c>
      <c r="I4916" s="10">
        <v>16.0</v>
      </c>
      <c r="J4916" s="11" t="str">
        <f>IF(D4916&lt;&gt;"",VLOOKUP(H4916,TABLEITEM,5,FALSE),"")</f>
        <v>EA</v>
      </c>
      <c r="K4916" s="12">
        <v>1040.0</v>
      </c>
      <c r="L4916" s="13" t="str">
        <f>IF(D4916&lt;&gt;"",VLOOKUP(H4916,TABLEITEM,2,FALSE),"")</f>
        <v/>
      </c>
      <c r="M4916" s="13" t="str">
        <f>IF(D4916&lt;&gt;"",VLOOKUP(H4916,TABLEITEM,3,FALSE),"")</f>
        <v>AM1-AP-2</v>
      </c>
      <c r="N4916" s="14">
        <f>INSTOCK!$I4916*INSTOCK!$K4916</f>
        <v>16640</v>
      </c>
      <c r="O4916" s="4" t="s">
        <v>3799</v>
      </c>
      <c r="P4916" s="4"/>
    </row>
    <row r="4917" ht="15.75" hidden="1" customHeight="1">
      <c r="B4917" s="8">
        <v>5241.0</v>
      </c>
      <c r="C4917" s="9">
        <v>43444.0</v>
      </c>
      <c r="D4917" s="6" t="s">
        <v>5964</v>
      </c>
      <c r="E4917" s="4">
        <v>6.112001599E9</v>
      </c>
      <c r="F4917" s="8" t="s">
        <v>3591</v>
      </c>
      <c r="G4917" s="4" t="s">
        <v>1485</v>
      </c>
      <c r="H4917" s="10" t="s">
        <v>3505</v>
      </c>
      <c r="I4917" s="10">
        <v>6.0</v>
      </c>
      <c r="J4917" s="11" t="str">
        <f>IF(D4917&lt;&gt;"",VLOOKUP(H4917,TABLEITEM,5,FALSE),"")</f>
        <v>EA</v>
      </c>
      <c r="K4917" s="12">
        <v>184.5</v>
      </c>
      <c r="L4917" s="13" t="str">
        <f>IF(D4917&lt;&gt;"",VLOOKUP(H4917,TABLEITEM,2,FALSE),"")</f>
        <v/>
      </c>
      <c r="M4917" s="13" t="str">
        <f>IF(D4917&lt;&gt;"",VLOOKUP(H4917,TABLEITEM,3,FALSE),"")</f>
        <v>PILOT LIGHT XB4BVB3 LED 24V GREEN</v>
      </c>
      <c r="N4917" s="14">
        <f>INSTOCK!$I4917*INSTOCK!$K4917</f>
        <v>1107</v>
      </c>
      <c r="O4917" s="4"/>
      <c r="P4917" s="4"/>
    </row>
    <row r="4918" ht="15.75" hidden="1" customHeight="1">
      <c r="B4918" s="8">
        <v>5242.0</v>
      </c>
      <c r="C4918" s="9">
        <v>43444.0</v>
      </c>
      <c r="D4918" s="6" t="s">
        <v>5964</v>
      </c>
      <c r="E4918" s="4">
        <v>6.112001599E9</v>
      </c>
      <c r="F4918" s="8" t="s">
        <v>3591</v>
      </c>
      <c r="G4918" s="4" t="s">
        <v>1485</v>
      </c>
      <c r="H4918" s="10" t="s">
        <v>3505</v>
      </c>
      <c r="I4918" s="10">
        <v>9.0</v>
      </c>
      <c r="J4918" s="11" t="str">
        <f>IF(D4918&lt;&gt;"",VLOOKUP(H4918,TABLEITEM,5,FALSE),"")</f>
        <v>EA</v>
      </c>
      <c r="K4918" s="12">
        <v>184.5</v>
      </c>
      <c r="L4918" s="13" t="str">
        <f>IF(D4918&lt;&gt;"",VLOOKUP(H4918,TABLEITEM,2,FALSE),"")</f>
        <v/>
      </c>
      <c r="M4918" s="13" t="str">
        <f>IF(D4918&lt;&gt;"",VLOOKUP(H4918,TABLEITEM,3,FALSE),"")</f>
        <v>PILOT LIGHT XB4BVB3 LED 24V GREEN</v>
      </c>
      <c r="N4918" s="14">
        <f>INSTOCK!$I4918*INSTOCK!$K4918</f>
        <v>1660.5</v>
      </c>
      <c r="O4918" s="4"/>
      <c r="P4918" s="4"/>
    </row>
    <row r="4919" ht="15.75" hidden="1" customHeight="1">
      <c r="B4919" s="8">
        <v>5243.0</v>
      </c>
      <c r="C4919" s="9">
        <v>43442.0</v>
      </c>
      <c r="D4919" s="6" t="s">
        <v>5965</v>
      </c>
      <c r="E4919" s="4">
        <v>6.111001396E9</v>
      </c>
      <c r="F4919" s="8" t="s">
        <v>5966</v>
      </c>
      <c r="G4919" s="4" t="s">
        <v>1923</v>
      </c>
      <c r="H4919" s="10" t="s">
        <v>5264</v>
      </c>
      <c r="I4919" s="10">
        <v>20.0</v>
      </c>
      <c r="J4919" s="11" t="str">
        <f>IF(D4919&lt;&gt;"",VLOOKUP(H4919,TABLEITEM,5,FALSE),"")</f>
        <v>EA</v>
      </c>
      <c r="K4919" s="12">
        <v>54.0</v>
      </c>
      <c r="L4919" s="13" t="str">
        <f>IF(D4919&lt;&gt;"",VLOOKUP(H4919,TABLEITEM,2,FALSE),"")</f>
        <v/>
      </c>
      <c r="M4919" s="13" t="str">
        <f>IF(D4919&lt;&gt;"",VLOOKUP(H4919,TABLEITEM,3,FALSE),"")</f>
        <v>ล้อไนล่อน  แป้นตาย 2" </v>
      </c>
      <c r="N4919" s="14">
        <f>INSTOCK!$I4919*INSTOCK!$K4919</f>
        <v>1080</v>
      </c>
      <c r="O4919" s="4"/>
      <c r="P4919" s="4"/>
    </row>
    <row r="4920" ht="15.75" hidden="1" customHeight="1">
      <c r="B4920" s="8">
        <v>5244.0</v>
      </c>
      <c r="C4920" s="9">
        <v>43442.0</v>
      </c>
      <c r="D4920" s="6" t="s">
        <v>5967</v>
      </c>
      <c r="E4920" s="4"/>
      <c r="F4920" s="8" t="s">
        <v>5792</v>
      </c>
      <c r="G4920" s="4" t="s">
        <v>1092</v>
      </c>
      <c r="H4920" s="10" t="s">
        <v>5793</v>
      </c>
      <c r="I4920" s="10">
        <v>2.0</v>
      </c>
      <c r="J4920" s="11" t="str">
        <f>IF(D4920&lt;&gt;"",VLOOKUP(H4920,TABLEITEM,5,FALSE),"")</f>
        <v>EA</v>
      </c>
      <c r="K4920" s="12">
        <v>140.0</v>
      </c>
      <c r="L4920" s="13" t="str">
        <f>IF(D4920&lt;&gt;"",VLOOKUP(H4920,TABLEITEM,2,FALSE),"")</f>
        <v/>
      </c>
      <c r="M4920" s="13" t="str">
        <f>IF(D4920&lt;&gt;"",VLOOKUP(H4920,TABLEITEM,3,FALSE),"")</f>
        <v>ก๊าซออกซิเจน 06Q</v>
      </c>
      <c r="N4920" s="14">
        <f>INSTOCK!$I4920*INSTOCK!$K4920</f>
        <v>280</v>
      </c>
      <c r="O4920" s="4" t="s">
        <v>5820</v>
      </c>
      <c r="P4920" s="4"/>
    </row>
    <row r="4921" ht="15.75" hidden="1" customHeight="1">
      <c r="B4921" s="8">
        <v>5245.0</v>
      </c>
      <c r="C4921" s="9">
        <v>43441.0</v>
      </c>
      <c r="D4921" s="6" t="s">
        <v>5968</v>
      </c>
      <c r="E4921" s="4">
        <v>6.112001586E9</v>
      </c>
      <c r="F4921" s="8"/>
      <c r="G4921" s="4" t="s">
        <v>1516</v>
      </c>
      <c r="H4921" s="10" t="s">
        <v>2967</v>
      </c>
      <c r="I4921" s="10">
        <v>3.0</v>
      </c>
      <c r="J4921" s="11" t="str">
        <f>IF(D4921&lt;&gt;"",VLOOKUP(H4921,TABLEITEM,5,FALSE),"")</f>
        <v>EA</v>
      </c>
      <c r="K4921" s="12">
        <v>2119.7</v>
      </c>
      <c r="L4921" s="13" t="str">
        <f>IF(D4921&lt;&gt;"",VLOOKUP(H4921,TABLEITEM,2,FALSE),"")</f>
        <v/>
      </c>
      <c r="M4921" s="13" t="str">
        <f>IF(D4921&lt;&gt;"",VLOOKUP(H4921,TABLEITEM,3,FALSE),"")</f>
        <v>MCCB CVS250B TM200D 3P3D 380/415 VAC 25KA</v>
      </c>
      <c r="N4921" s="14">
        <f>INSTOCK!$I4921*INSTOCK!$K4921</f>
        <v>6359.1</v>
      </c>
      <c r="O4921" s="4" t="s">
        <v>5969</v>
      </c>
      <c r="P4921" s="4"/>
    </row>
    <row r="4922" ht="15.75" hidden="1" customHeight="1">
      <c r="B4922" s="8">
        <v>5246.0</v>
      </c>
      <c r="C4922" s="9">
        <v>43441.0</v>
      </c>
      <c r="D4922" s="6" t="s">
        <v>5968</v>
      </c>
      <c r="E4922" s="4">
        <v>6.112001586E9</v>
      </c>
      <c r="F4922" s="8"/>
      <c r="G4922" s="4" t="s">
        <v>1516</v>
      </c>
      <c r="H4922" s="10" t="s">
        <v>5970</v>
      </c>
      <c r="I4922" s="10">
        <v>2.0</v>
      </c>
      <c r="J4922" s="11" t="str">
        <f>IF(D4922&lt;&gt;"",VLOOKUP(H4922,TABLEITEM,5,FALSE),"")</f>
        <v>EA</v>
      </c>
      <c r="K4922" s="12">
        <v>528.0</v>
      </c>
      <c r="L4922" s="13" t="str">
        <f>IF(D4922&lt;&gt;"",VLOOKUP(H4922,TABLEITEM,2,FALSE),"")</f>
        <v/>
      </c>
      <c r="M4922" s="13" t="str">
        <f>IF(D4922&lt;&gt;"",VLOOKUP(H4922,TABLEITEM,3,FALSE),"")</f>
        <v>COMP BUSBAR 3P 100A 24MOD</v>
      </c>
      <c r="N4922" s="14">
        <f>INSTOCK!$I4922*INSTOCK!$K4922</f>
        <v>1056</v>
      </c>
      <c r="O4922" s="4" t="s">
        <v>5971</v>
      </c>
      <c r="P4922" s="4"/>
    </row>
    <row r="4923" ht="15.75" hidden="1" customHeight="1">
      <c r="B4923" s="8">
        <v>5247.0</v>
      </c>
      <c r="C4923" s="9">
        <v>43441.0</v>
      </c>
      <c r="D4923" s="6" t="s">
        <v>5968</v>
      </c>
      <c r="E4923" s="4">
        <v>6.112001586E9</v>
      </c>
      <c r="F4923" s="8"/>
      <c r="G4923" s="4" t="s">
        <v>1516</v>
      </c>
      <c r="H4923" s="10" t="s">
        <v>5972</v>
      </c>
      <c r="I4923" s="10">
        <v>1.0</v>
      </c>
      <c r="J4923" s="11" t="str">
        <f>IF(D4923&lt;&gt;"",VLOOKUP(H4923,TABLEITEM,5,FALSE),"")</f>
        <v>EA</v>
      </c>
      <c r="K4923" s="12">
        <v>984.0</v>
      </c>
      <c r="L4923" s="13" t="str">
        <f>IF(D4923&lt;&gt;"",VLOOKUP(H4923,TABLEITEM,2,FALSE),"")</f>
        <v/>
      </c>
      <c r="M4923" s="13" t="str">
        <f>IF(D4923&lt;&gt;"",VLOOKUP(H4923,TABLEITEM,3,FALSE),"")</f>
        <v>MCB IC60N 3P 50A </v>
      </c>
      <c r="N4923" s="14">
        <f>INSTOCK!$I4923*INSTOCK!$K4923</f>
        <v>984</v>
      </c>
      <c r="O4923" s="4" t="s">
        <v>5973</v>
      </c>
      <c r="P4923" s="4"/>
    </row>
    <row r="4924" ht="15.75" hidden="1" customHeight="1">
      <c r="B4924" s="8">
        <v>5248.0</v>
      </c>
      <c r="C4924" s="9">
        <v>43441.0</v>
      </c>
      <c r="D4924" s="6" t="s">
        <v>5968</v>
      </c>
      <c r="E4924" s="4">
        <v>6.112001586E9</v>
      </c>
      <c r="F4924" s="8"/>
      <c r="G4924" s="4" t="s">
        <v>1516</v>
      </c>
      <c r="H4924" s="10" t="s">
        <v>5974</v>
      </c>
      <c r="I4924" s="10">
        <v>1.0</v>
      </c>
      <c r="J4924" s="11" t="str">
        <f>IF(D4924&lt;&gt;"",VLOOKUP(H4924,TABLEITEM,5,FALSE),"")</f>
        <v>EA</v>
      </c>
      <c r="K4924" s="12">
        <v>777.6</v>
      </c>
      <c r="L4924" s="13" t="str">
        <f>IF(D4924&lt;&gt;"",VLOOKUP(H4924,TABLEITEM,2,FALSE),"")</f>
        <v/>
      </c>
      <c r="M4924" s="13" t="str">
        <f>IF(D4924&lt;&gt;"",VLOOKUP(H4924,TABLEITEM,3,FALSE),"")</f>
        <v>MCB IC60N 3P 40A </v>
      </c>
      <c r="N4924" s="14">
        <f>INSTOCK!$I4924*INSTOCK!$K4924</f>
        <v>777.6</v>
      </c>
      <c r="O4924" s="4" t="s">
        <v>2825</v>
      </c>
      <c r="P4924" s="4"/>
    </row>
    <row r="4925" ht="15.75" hidden="1" customHeight="1">
      <c r="B4925" s="8">
        <v>5249.0</v>
      </c>
      <c r="C4925" s="9">
        <v>43441.0</v>
      </c>
      <c r="D4925" s="6" t="s">
        <v>5968</v>
      </c>
      <c r="E4925" s="4">
        <v>6.112001586E9</v>
      </c>
      <c r="F4925" s="8"/>
      <c r="G4925" s="4" t="s">
        <v>1516</v>
      </c>
      <c r="H4925" s="10" t="s">
        <v>2824</v>
      </c>
      <c r="I4925" s="10">
        <v>1.0</v>
      </c>
      <c r="J4925" s="11" t="str">
        <f>IF(D4925&lt;&gt;"",VLOOKUP(H4925,TABLEITEM,5,FALSE),"")</f>
        <v>EA</v>
      </c>
      <c r="K4925" s="12">
        <v>777.6</v>
      </c>
      <c r="L4925" s="13" t="str">
        <f>IF(D4925&lt;&gt;"",VLOOKUP(H4925,TABLEITEM,2,FALSE),"")</f>
        <v/>
      </c>
      <c r="M4925" s="13" t="str">
        <f>IF(D4925&lt;&gt;"",VLOOKUP(H4925,TABLEITEM,3,FALSE),"")</f>
        <v>MCB IC60N 3P 32A C CURVE 10KA 400VAC</v>
      </c>
      <c r="N4925" s="14">
        <f>INSTOCK!$I4925*INSTOCK!$K4925</f>
        <v>777.6</v>
      </c>
      <c r="O4925" s="4" t="s">
        <v>2825</v>
      </c>
      <c r="P4925" s="4"/>
    </row>
    <row r="4926" ht="15.75" hidden="1" customHeight="1">
      <c r="B4926" s="8">
        <v>5250.0</v>
      </c>
      <c r="C4926" s="9">
        <v>43441.0</v>
      </c>
      <c r="D4926" s="6" t="s">
        <v>5968</v>
      </c>
      <c r="E4926" s="4">
        <v>6.112001586E9</v>
      </c>
      <c r="F4926" s="8"/>
      <c r="G4926" s="4" t="s">
        <v>1516</v>
      </c>
      <c r="H4926" s="10" t="s">
        <v>3677</v>
      </c>
      <c r="I4926" s="10">
        <v>3.0</v>
      </c>
      <c r="J4926" s="11" t="str">
        <f>IF(D4926&lt;&gt;"",VLOOKUP(H4926,TABLEITEM,5,FALSE),"")</f>
        <v>EA</v>
      </c>
      <c r="K4926" s="12">
        <v>777.6</v>
      </c>
      <c r="L4926" s="13" t="str">
        <f>IF(D4926&lt;&gt;"",VLOOKUP(H4926,TABLEITEM,2,FALSE),"")</f>
        <v/>
      </c>
      <c r="M4926" s="13" t="str">
        <f>IF(D4926&lt;&gt;"",VLOOKUP(H4926,TABLEITEM,3,FALSE),"")</f>
        <v>MCB IC60N 3P 20A </v>
      </c>
      <c r="N4926" s="14">
        <f>INSTOCK!$I4926*INSTOCK!$K4926</f>
        <v>2332.8</v>
      </c>
      <c r="O4926" s="4" t="s">
        <v>2825</v>
      </c>
      <c r="P4926" s="4"/>
    </row>
    <row r="4927" ht="15.75" hidden="1" customHeight="1">
      <c r="B4927" s="8">
        <v>5251.0</v>
      </c>
      <c r="C4927" s="9">
        <v>43441.0</v>
      </c>
      <c r="D4927" s="6" t="s">
        <v>5968</v>
      </c>
      <c r="E4927" s="4">
        <v>6.112001586E9</v>
      </c>
      <c r="F4927" s="8"/>
      <c r="G4927" s="4" t="s">
        <v>1516</v>
      </c>
      <c r="H4927" s="10" t="s">
        <v>2821</v>
      </c>
      <c r="I4927" s="10">
        <v>4.0</v>
      </c>
      <c r="J4927" s="11" t="str">
        <f>IF(D4927&lt;&gt;"",VLOOKUP(H4927,TABLEITEM,5,FALSE),"")</f>
        <v>EA</v>
      </c>
      <c r="K4927" s="12">
        <v>134.4</v>
      </c>
      <c r="L4927" s="13" t="str">
        <f>IF(D4927&lt;&gt;"",VLOOKUP(H4927,TABLEITEM,2,FALSE),"")</f>
        <v/>
      </c>
      <c r="M4927" s="13" t="str">
        <f>IF(D4927&lt;&gt;"",VLOOKUP(H4927,TABLEITEM,3,FALSE),"")</f>
        <v>MCB IC60N 1P 20A C CURVE 10KA 400VAC</v>
      </c>
      <c r="N4927" s="14">
        <f>INSTOCK!$I4927*INSTOCK!$K4927</f>
        <v>537.6</v>
      </c>
      <c r="O4927" s="4" t="s">
        <v>2819</v>
      </c>
      <c r="P4927" s="4"/>
    </row>
    <row r="4928" ht="15.75" hidden="1" customHeight="1">
      <c r="B4928" s="8">
        <v>5252.0</v>
      </c>
      <c r="C4928" s="9">
        <v>43441.0</v>
      </c>
      <c r="D4928" s="6" t="s">
        <v>5968</v>
      </c>
      <c r="E4928" s="4">
        <v>6.112001586E9</v>
      </c>
      <c r="F4928" s="8"/>
      <c r="G4928" s="4" t="s">
        <v>1516</v>
      </c>
      <c r="H4928" s="10" t="s">
        <v>5975</v>
      </c>
      <c r="I4928" s="10">
        <v>1.0</v>
      </c>
      <c r="J4928" s="11" t="str">
        <f>IF(D4928&lt;&gt;"",VLOOKUP(H4928,TABLEITEM,5,FALSE),"")</f>
        <v>EA</v>
      </c>
      <c r="K4928" s="12">
        <v>926.4</v>
      </c>
      <c r="L4928" s="13" t="str">
        <f>IF(D4928&lt;&gt;"",VLOOKUP(H4928,TABLEITEM,2,FALSE),"")</f>
        <v/>
      </c>
      <c r="M4928" s="13" t="str">
        <f>IF(D4928&lt;&gt;"",VLOOKUP(H4928,TABLEITEM,3,FALSE),"")</f>
        <v>MCB 120N 1P 100A C10000A 240/415V</v>
      </c>
      <c r="N4928" s="14">
        <f>INSTOCK!$I4928*INSTOCK!$K4928</f>
        <v>926.4</v>
      </c>
      <c r="O4928" s="4" t="s">
        <v>5976</v>
      </c>
      <c r="P4928" s="4"/>
    </row>
    <row r="4929" ht="15.75" hidden="1" customHeight="1">
      <c r="B4929" s="8">
        <v>5253.0</v>
      </c>
      <c r="C4929" s="9">
        <v>43441.0</v>
      </c>
      <c r="D4929" s="6" t="s">
        <v>5977</v>
      </c>
      <c r="E4929" s="4">
        <v>6.112001593E9</v>
      </c>
      <c r="F4929" s="8"/>
      <c r="G4929" s="4" t="s">
        <v>1516</v>
      </c>
      <c r="H4929" s="10" t="s">
        <v>5186</v>
      </c>
      <c r="I4929" s="10">
        <v>40.0</v>
      </c>
      <c r="J4929" s="11" t="str">
        <f>IF(D4929&lt;&gt;"",VLOOKUP(H4929,TABLEITEM,5,FALSE),"")</f>
        <v>EA</v>
      </c>
      <c r="K4929" s="12">
        <v>168.1</v>
      </c>
      <c r="L4929" s="13" t="str">
        <f>IF(D4929&lt;&gt;"",VLOOKUP(H4929,TABLEITEM,2,FALSE),"")</f>
        <v/>
      </c>
      <c r="M4929" s="13" t="str">
        <f>IF(D4929&lt;&gt;"",VLOOKUP(H4929,TABLEITEM,3,FALSE),"")</f>
        <v>HARMONY XB5 SELECTOR SWITCH 22MM -POSITION 1NO BLACJ</v>
      </c>
      <c r="N4929" s="14">
        <f>INSTOCK!$I4929*INSTOCK!$K4929</f>
        <v>6724</v>
      </c>
      <c r="O4929" s="4" t="s">
        <v>5978</v>
      </c>
      <c r="P4929" s="4"/>
    </row>
    <row r="4930" ht="15.75" hidden="1" customHeight="1">
      <c r="B4930" s="8">
        <v>5254.0</v>
      </c>
      <c r="C4930" s="9">
        <v>43441.0</v>
      </c>
      <c r="D4930" s="6" t="s">
        <v>5979</v>
      </c>
      <c r="E4930" s="4"/>
      <c r="F4930" s="8" t="s">
        <v>5980</v>
      </c>
      <c r="G4930" s="4" t="s">
        <v>898</v>
      </c>
      <c r="H4930" s="10" t="s">
        <v>899</v>
      </c>
      <c r="I4930" s="10">
        <v>1.0</v>
      </c>
      <c r="J4930" s="11" t="str">
        <f>IF(D4930&lt;&gt;"",VLOOKUP(H4930,TABLEITEM,5,FALSE),"")</f>
        <v>LIT</v>
      </c>
      <c r="K4930" s="12">
        <v>400.0</v>
      </c>
      <c r="L4930" s="13" t="str">
        <f>IF(D4930&lt;&gt;"",VLOOKUP(H4930,TABLEITEM,2,FALSE),"")</f>
        <v/>
      </c>
      <c r="M4930" s="13" t="str">
        <f>IF(D4930&lt;&gt;"",VLOOKUP(H4930,TABLEITEM,3,FALSE),"")</f>
        <v>สีพ่นแห้งเร็ว(สีผสม)</v>
      </c>
      <c r="N4930" s="14">
        <f>INSTOCK!$I4930*INSTOCK!$K4930</f>
        <v>400</v>
      </c>
      <c r="O4930" s="4" t="s">
        <v>5981</v>
      </c>
      <c r="P4930" s="4"/>
    </row>
    <row r="4931" ht="15.75" hidden="1" customHeight="1">
      <c r="B4931" s="8">
        <v>5255.0</v>
      </c>
      <c r="C4931" s="9">
        <v>43441.0</v>
      </c>
      <c r="D4931" s="6">
        <v>6103795.0</v>
      </c>
      <c r="E4931" s="4">
        <v>6.112001584E9</v>
      </c>
      <c r="F4931" s="8" t="s">
        <v>1709</v>
      </c>
      <c r="G4931" s="4" t="s">
        <v>4239</v>
      </c>
      <c r="H4931" s="10" t="s">
        <v>4242</v>
      </c>
      <c r="I4931" s="10">
        <v>10.0</v>
      </c>
      <c r="J4931" s="11" t="str">
        <f>IF(D4931&lt;&gt;"",VLOOKUP(H4931,TABLEITEM,5,FALSE),"")</f>
        <v>EA</v>
      </c>
      <c r="K4931" s="12">
        <v>500.0</v>
      </c>
      <c r="L4931" s="13" t="str">
        <f>IF(D4931&lt;&gt;"",VLOOKUP(H4931,TABLEITEM,2,FALSE),"")</f>
        <v/>
      </c>
      <c r="M4931" s="13" t="str">
        <f>IF(D4931&lt;&gt;"",VLOOKUP(H4931,TABLEITEM,3,FALSE),"")</f>
        <v>FUSSE BASE 160A #00</v>
      </c>
      <c r="N4931" s="14">
        <f>INSTOCK!$I4931*INSTOCK!$K4931</f>
        <v>5000</v>
      </c>
      <c r="O4931" s="4" t="s">
        <v>2621</v>
      </c>
      <c r="P4931" s="4"/>
    </row>
    <row r="4932" ht="15.75" hidden="1" customHeight="1">
      <c r="B4932" s="8">
        <v>5256.0</v>
      </c>
      <c r="C4932" s="9">
        <v>43441.0</v>
      </c>
      <c r="D4932" s="6">
        <v>6103795.0</v>
      </c>
      <c r="E4932" s="4">
        <v>6.112001584E9</v>
      </c>
      <c r="F4932" s="8" t="s">
        <v>1709</v>
      </c>
      <c r="G4932" s="4" t="s">
        <v>4239</v>
      </c>
      <c r="H4932" s="10" t="s">
        <v>5588</v>
      </c>
      <c r="I4932" s="10">
        <v>15.0</v>
      </c>
      <c r="J4932" s="11" t="str">
        <f>IF(D4932&lt;&gt;"",VLOOKUP(H4932,TABLEITEM,5,FALSE),"")</f>
        <v>EA</v>
      </c>
      <c r="K4932" s="12">
        <v>100.0</v>
      </c>
      <c r="L4932" s="13" t="str">
        <f>IF(D4932&lt;&gt;"",VLOOKUP(H4932,TABLEITEM,2,FALSE),"")</f>
        <v/>
      </c>
      <c r="M4932" s="13" t="str">
        <f>IF(D4932&lt;&gt;"",VLOOKUP(H4932,TABLEITEM,3,FALSE),"")</f>
        <v>HRC FUSE #00 35A 500V</v>
      </c>
      <c r="N4932" s="14">
        <f>INSTOCK!$I4932*INSTOCK!$K4932</f>
        <v>1500</v>
      </c>
      <c r="O4932" s="4" t="s">
        <v>4555</v>
      </c>
      <c r="P4932" s="4"/>
    </row>
    <row r="4933" ht="15.75" hidden="1" customHeight="1">
      <c r="B4933" s="8">
        <v>5257.0</v>
      </c>
      <c r="C4933" s="9">
        <v>43441.0</v>
      </c>
      <c r="D4933" s="6">
        <v>6103795.0</v>
      </c>
      <c r="E4933" s="4">
        <v>6.112001584E9</v>
      </c>
      <c r="F4933" s="8" t="s">
        <v>1709</v>
      </c>
      <c r="G4933" s="4" t="s">
        <v>4239</v>
      </c>
      <c r="H4933" s="10" t="s">
        <v>5895</v>
      </c>
      <c r="I4933" s="10">
        <v>9.0</v>
      </c>
      <c r="J4933" s="11" t="str">
        <f>IF(D4933&lt;&gt;"",VLOOKUP(H4933,TABLEITEM,5,FALSE),"")</f>
        <v>EA</v>
      </c>
      <c r="K4933" s="12">
        <v>100.0</v>
      </c>
      <c r="L4933" s="13" t="str">
        <f>IF(D4933&lt;&gt;"",VLOOKUP(H4933,TABLEITEM,2,FALSE),"")</f>
        <v/>
      </c>
      <c r="M4933" s="13" t="str">
        <f>IF(D4933&lt;&gt;"",VLOOKUP(H4933,TABLEITEM,3,FALSE),"")</f>
        <v>HRC FUSE #00 40A 500V</v>
      </c>
      <c r="N4933" s="14">
        <f>INSTOCK!$I4933*INSTOCK!$K4933</f>
        <v>900</v>
      </c>
      <c r="O4933" s="4" t="s">
        <v>4555</v>
      </c>
      <c r="P4933" s="4"/>
    </row>
    <row r="4934" ht="15.75" hidden="1" customHeight="1">
      <c r="B4934" s="8">
        <v>5258.0</v>
      </c>
      <c r="C4934" s="9">
        <v>43441.0</v>
      </c>
      <c r="D4934" s="6" t="s">
        <v>5982</v>
      </c>
      <c r="E4934" s="4">
        <v>6.112001577E9</v>
      </c>
      <c r="F4934" s="8" t="s">
        <v>5810</v>
      </c>
      <c r="G4934" s="4" t="s">
        <v>982</v>
      </c>
      <c r="H4934" s="10" t="s">
        <v>983</v>
      </c>
      <c r="I4934" s="10">
        <v>100.0</v>
      </c>
      <c r="J4934" s="11" t="str">
        <f>IF(D4934&lt;&gt;"",VLOOKUP(H4934,TABLEITEM,5,FALSE),"")</f>
        <v>KG.</v>
      </c>
      <c r="K4934" s="12">
        <v>37.0</v>
      </c>
      <c r="L4934" s="13" t="str">
        <f>IF(D4934&lt;&gt;"",VLOOKUP(H4934,TABLEITEM,2,FALSE),"")</f>
        <v/>
      </c>
      <c r="M4934" s="13" t="str">
        <f>IF(D4934&lt;&gt;"",VLOOKUP(H4934,TABLEITEM,3,FALSE),"")</f>
        <v>เคมี ADDITIVE P-8</v>
      </c>
      <c r="N4934" s="14">
        <f>INSTOCK!$I4934*INSTOCK!$K4934</f>
        <v>3700</v>
      </c>
      <c r="O4934" s="4"/>
      <c r="P4934" s="4"/>
    </row>
    <row r="4935" ht="15.75" hidden="1" customHeight="1">
      <c r="B4935" s="8">
        <v>5259.0</v>
      </c>
      <c r="C4935" s="9">
        <v>43441.0</v>
      </c>
      <c r="D4935" s="6">
        <v>36823.0</v>
      </c>
      <c r="E4935" s="4">
        <v>6.11200159E9</v>
      </c>
      <c r="F4935" s="8" t="s">
        <v>604</v>
      </c>
      <c r="G4935" s="4" t="s">
        <v>696</v>
      </c>
      <c r="H4935" s="18" t="s">
        <v>55</v>
      </c>
      <c r="I4935" s="10">
        <v>30.0</v>
      </c>
      <c r="J4935" s="11" t="str">
        <f>IF(D4935&lt;&gt;"",VLOOKUP(H4935,TABLEITEM,5,FALSE),"")</f>
        <v>EA</v>
      </c>
      <c r="K4935" s="12">
        <v>15.0</v>
      </c>
      <c r="L4935" s="13" t="str">
        <f>IF(D4935&lt;&gt;"",VLOOKUP(H4935,TABLEITEM,2,FALSE),"")</f>
        <v/>
      </c>
      <c r="M4935" s="13" t="str">
        <f>IF(D4935&lt;&gt;"",VLOOKUP(H4935,TABLEITEM,3,FALSE),"")</f>
        <v>เทปใส 2''</v>
      </c>
      <c r="N4935" s="14">
        <f>INSTOCK!$I4935*INSTOCK!$K4935</f>
        <v>450</v>
      </c>
      <c r="O4935" s="4"/>
      <c r="P4935" s="4"/>
    </row>
    <row r="4936" ht="15.75" hidden="1" customHeight="1">
      <c r="B4936" s="8">
        <v>5260.0</v>
      </c>
      <c r="C4936" s="9">
        <v>43441.0</v>
      </c>
      <c r="D4936" s="6" t="s">
        <v>5983</v>
      </c>
      <c r="E4936" s="4">
        <v>6.112001576E9</v>
      </c>
      <c r="F4936" s="8"/>
      <c r="G4936" s="4" t="s">
        <v>1516</v>
      </c>
      <c r="H4936" s="10" t="s">
        <v>5984</v>
      </c>
      <c r="I4936" s="10">
        <v>1.0</v>
      </c>
      <c r="J4936" s="11" t="str">
        <f>IF(D4936&lt;&gt;"",VLOOKUP(H4936,TABLEITEM,5,FALSE),"")</f>
        <v>EA</v>
      </c>
      <c r="K4936" s="12">
        <v>160.0</v>
      </c>
      <c r="L4936" s="13" t="str">
        <f>IF(D4936&lt;&gt;"",VLOOKUP(H4936,TABLEITEM,2,FALSE),"")</f>
        <v/>
      </c>
      <c r="M4936" s="13" t="str">
        <f>IF(D4936&lt;&gt;"",VLOOKUP(H4936,TABLEITEM,3,FALSE),"")</f>
        <v>COMP BUSBAR 1P 100A 24MOD</v>
      </c>
      <c r="N4936" s="14">
        <f>INSTOCK!$I4936*INSTOCK!$K4936</f>
        <v>160</v>
      </c>
      <c r="O4936" s="4" t="s">
        <v>2793</v>
      </c>
      <c r="P4936" s="4"/>
    </row>
    <row r="4937" ht="15.75" hidden="1" customHeight="1">
      <c r="B4937" s="8">
        <v>5261.0</v>
      </c>
      <c r="C4937" s="9">
        <v>43440.0</v>
      </c>
      <c r="D4937" s="6">
        <v>9556.0</v>
      </c>
      <c r="E4937" s="4"/>
      <c r="F4937" s="8"/>
      <c r="G4937" s="4" t="s">
        <v>2528</v>
      </c>
      <c r="H4937" s="10" t="s">
        <v>2529</v>
      </c>
      <c r="I4937" s="10">
        <v>670.0</v>
      </c>
      <c r="J4937" s="11" t="str">
        <f>IF(D4937&lt;&gt;"",VLOOKUP(H4937,TABLEITEM,5,FALSE),"")</f>
        <v>KG.</v>
      </c>
      <c r="K4937" s="12">
        <v>15.0</v>
      </c>
      <c r="L4937" s="13" t="str">
        <f>IF(D4937&lt;&gt;"",VLOOKUP(H4937,TABLEITEM,2,FALSE),"")</f>
        <v/>
      </c>
      <c r="M4937" s="13" t="str">
        <f>IF(D4937&lt;&gt;"",VLOOKUP(H4937,TABLEITEM,3,FALSE),"")</f>
        <v>งานชุบ HOT DIP</v>
      </c>
      <c r="N4937" s="14">
        <f>INSTOCK!$I4937*INSTOCK!$K4937</f>
        <v>10050</v>
      </c>
      <c r="O4937" s="4" t="s">
        <v>5985</v>
      </c>
      <c r="P4937" s="4"/>
    </row>
    <row r="4938" ht="15.75" hidden="1" customHeight="1">
      <c r="B4938" s="8">
        <v>5262.0</v>
      </c>
      <c r="C4938" s="9">
        <v>43440.0</v>
      </c>
      <c r="D4938" s="6">
        <v>9556.0</v>
      </c>
      <c r="E4938" s="4"/>
      <c r="F4938" s="8"/>
      <c r="G4938" s="4" t="s">
        <v>2528</v>
      </c>
      <c r="H4938" s="10" t="s">
        <v>2529</v>
      </c>
      <c r="I4938" s="10">
        <v>1240.0</v>
      </c>
      <c r="J4938" s="11" t="str">
        <f>IF(D4938&lt;&gt;"",VLOOKUP(H4938,TABLEITEM,5,FALSE),"")</f>
        <v>KG.</v>
      </c>
      <c r="K4938" s="12">
        <v>17.0</v>
      </c>
      <c r="L4938" s="13" t="str">
        <f>IF(D4938&lt;&gt;"",VLOOKUP(H4938,TABLEITEM,2,FALSE),"")</f>
        <v/>
      </c>
      <c r="M4938" s="13" t="str">
        <f>IF(D4938&lt;&gt;"",VLOOKUP(H4938,TABLEITEM,3,FALSE),"")</f>
        <v>งานชุบ HOT DIP</v>
      </c>
      <c r="N4938" s="14">
        <f>INSTOCK!$I4938*INSTOCK!$K4938</f>
        <v>21080</v>
      </c>
      <c r="O4938" s="4" t="s">
        <v>4110</v>
      </c>
      <c r="P4938" s="4"/>
    </row>
    <row r="4939" ht="15.75" hidden="1" customHeight="1">
      <c r="B4939" s="8">
        <v>5263.0</v>
      </c>
      <c r="C4939" s="9">
        <v>43440.0</v>
      </c>
      <c r="D4939" s="6" t="s">
        <v>5986</v>
      </c>
      <c r="E4939" s="4"/>
      <c r="F4939" s="8" t="s">
        <v>5987</v>
      </c>
      <c r="G4939" s="4" t="s">
        <v>3029</v>
      </c>
      <c r="H4939" s="10" t="s">
        <v>3030</v>
      </c>
      <c r="I4939" s="10">
        <v>1.0</v>
      </c>
      <c r="J4939" s="11" t="str">
        <f>IF(D4939&lt;&gt;"",VLOOKUP(H4939,TABLEITEM,5,FALSE),"")</f>
        <v>LOT</v>
      </c>
      <c r="K4939" s="12">
        <v>535.0</v>
      </c>
      <c r="L4939" s="13" t="str">
        <f>IF(D4939&lt;&gt;"",VLOOKUP(H4939,TABLEITEM,2,FALSE),"")</f>
        <v/>
      </c>
      <c r="M4939" s="13" t="str">
        <f>IF(D4939&lt;&gt;"",VLOOKUP(H4939,TABLEITEM,3,FALSE),"")</f>
        <v>ค่าชุบ ดีบุกเงา</v>
      </c>
      <c r="N4939" s="14">
        <f>INSTOCK!$I4939*INSTOCK!$K4939</f>
        <v>535</v>
      </c>
      <c r="O4939" s="4" t="s">
        <v>5988</v>
      </c>
      <c r="P4939" s="4"/>
    </row>
    <row r="4940" ht="15.75" hidden="1" customHeight="1">
      <c r="B4940" s="8">
        <v>5264.0</v>
      </c>
      <c r="C4940" s="9">
        <v>43440.0</v>
      </c>
      <c r="D4940" s="6" t="s">
        <v>5989</v>
      </c>
      <c r="E4940" s="4">
        <v>6.112001565E9</v>
      </c>
      <c r="F4940" s="8" t="s">
        <v>1650</v>
      </c>
      <c r="G4940" s="26" t="s">
        <v>1763</v>
      </c>
      <c r="H4940" s="10" t="s">
        <v>5963</v>
      </c>
      <c r="I4940" s="10">
        <v>4.0</v>
      </c>
      <c r="J4940" s="11" t="str">
        <f>IF(D4940&lt;&gt;"",VLOOKUP(H4940,TABLEITEM,5,FALSE),"")</f>
        <v>EA</v>
      </c>
      <c r="K4940" s="12">
        <v>1040.0</v>
      </c>
      <c r="L4940" s="13" t="str">
        <f>IF(D4940&lt;&gt;"",VLOOKUP(H4940,TABLEITEM,2,FALSE),"")</f>
        <v/>
      </c>
      <c r="M4940" s="13" t="str">
        <f>IF(D4940&lt;&gt;"",VLOOKUP(H4940,TABLEITEM,3,FALSE),"")</f>
        <v>AM1-AP-2</v>
      </c>
      <c r="N4940" s="14">
        <f>INSTOCK!$I4940*INSTOCK!$K4940</f>
        <v>4160</v>
      </c>
      <c r="O4940" s="4" t="s">
        <v>3799</v>
      </c>
      <c r="P4940" s="4"/>
    </row>
    <row r="4941" ht="15.75" hidden="1" customHeight="1">
      <c r="B4941" s="8">
        <v>5265.0</v>
      </c>
      <c r="C4941" s="9">
        <v>43440.0</v>
      </c>
      <c r="D4941" s="6">
        <v>4.18103286E8</v>
      </c>
      <c r="E4941" s="4">
        <v>6.112001578E9</v>
      </c>
      <c r="F4941" s="8" t="s">
        <v>604</v>
      </c>
      <c r="G4941" s="4" t="s">
        <v>1274</v>
      </c>
      <c r="H4941" s="10" t="s">
        <v>5990</v>
      </c>
      <c r="I4941" s="10">
        <v>10.0</v>
      </c>
      <c r="J4941" s="11" t="str">
        <f>IF(D4941&lt;&gt;"",VLOOKUP(H4941,TABLEITEM,5,FALSE),"")</f>
        <v>EA</v>
      </c>
      <c r="K4941" s="12">
        <v>36.0</v>
      </c>
      <c r="L4941" s="13" t="str">
        <f>IF(D4941&lt;&gt;"",VLOOKUP(H4941,TABLEITEM,2,FALSE),"")</f>
        <v/>
      </c>
      <c r="M4941" s="13" t="str">
        <f>IF(D4941&lt;&gt;"",VLOOKUP(H4941,TABLEITEM,3,FALSE),"")</f>
        <v>แผ่นกรองฝุ่น #7711 3M</v>
      </c>
      <c r="N4941" s="14">
        <f>INSTOCK!$I4941*INSTOCK!$K4941</f>
        <v>360</v>
      </c>
      <c r="O4941" s="4"/>
      <c r="P4941" s="4"/>
    </row>
    <row r="4942" ht="15.75" hidden="1" customHeight="1">
      <c r="B4942" s="8">
        <v>5266.0</v>
      </c>
      <c r="C4942" s="9">
        <v>43440.0</v>
      </c>
      <c r="D4942" s="6">
        <v>4.18103191E8</v>
      </c>
      <c r="E4942" s="4">
        <v>6.112001578E9</v>
      </c>
      <c r="F4942" s="8" t="s">
        <v>604</v>
      </c>
      <c r="G4942" s="4" t="s">
        <v>1274</v>
      </c>
      <c r="H4942" s="10" t="s">
        <v>2555</v>
      </c>
      <c r="I4942" s="10">
        <v>4.0</v>
      </c>
      <c r="J4942" s="11" t="str">
        <f>IF(D4942&lt;&gt;"",VLOOKUP(H4942,TABLEITEM,5,FALSE),"")</f>
        <v>EA</v>
      </c>
      <c r="K4942" s="12">
        <v>700.0</v>
      </c>
      <c r="L4942" s="13" t="str">
        <f>IF(D4942&lt;&gt;"",VLOOKUP(H4942,TABLEITEM,2,FALSE),"")</f>
        <v/>
      </c>
      <c r="M4942" s="13" t="str">
        <f>IF(D4942&lt;&gt;"",VLOOKUP(H4942,TABLEITEM,3,FALSE),"")</f>
        <v>สก๊อตไบร์ MULTI-FLEX ขนาด 8x20 สีเทา (60แผ่น/ม้วน)</v>
      </c>
      <c r="N4942" s="14">
        <f>INSTOCK!$I4942*INSTOCK!$K4942</f>
        <v>2800</v>
      </c>
      <c r="O4942" s="4"/>
      <c r="P4942" s="4"/>
    </row>
    <row r="4943" ht="15.75" hidden="1" customHeight="1">
      <c r="B4943" s="8">
        <v>5267.0</v>
      </c>
      <c r="C4943" s="9">
        <v>43440.0</v>
      </c>
      <c r="D4943" s="6" t="s">
        <v>5991</v>
      </c>
      <c r="E4943" s="4">
        <v>6.111001504E9</v>
      </c>
      <c r="F4943" s="8" t="s">
        <v>604</v>
      </c>
      <c r="G4943" s="4" t="s">
        <v>965</v>
      </c>
      <c r="H4943" s="10" t="s">
        <v>45</v>
      </c>
      <c r="I4943" s="10">
        <v>1.0</v>
      </c>
      <c r="J4943" s="11" t="str">
        <f>IF(D4943&lt;&gt;"",VLOOKUP(H4943,TABLEITEM,5,FALSE),"")</f>
        <v>กล</v>
      </c>
      <c r="K4943" s="12">
        <v>280.0</v>
      </c>
      <c r="L4943" s="13" t="str">
        <f>IF(D4943&lt;&gt;"",VLOOKUP(H4943,TABLEITEM,2,FALSE),"")</f>
        <v/>
      </c>
      <c r="M4943" s="13" t="str">
        <f>IF(D4943&lt;&gt;"",VLOOKUP(H4943,TABLEITEM,3,FALSE),"")</f>
        <v>สีโป้ว</v>
      </c>
      <c r="N4943" s="14">
        <f>INSTOCK!$I4943*INSTOCK!$K4943</f>
        <v>280</v>
      </c>
      <c r="O4943" s="4"/>
      <c r="P4943" s="4"/>
    </row>
    <row r="4944" ht="15.75" hidden="1" customHeight="1">
      <c r="B4944" s="8">
        <v>5268.0</v>
      </c>
      <c r="C4944" s="9">
        <v>43440.0</v>
      </c>
      <c r="D4944" s="6" t="s">
        <v>5992</v>
      </c>
      <c r="E4944" s="4" t="s">
        <v>5993</v>
      </c>
      <c r="F4944" s="8" t="s">
        <v>604</v>
      </c>
      <c r="G4944" s="4" t="s">
        <v>965</v>
      </c>
      <c r="H4944" s="10" t="s">
        <v>66</v>
      </c>
      <c r="I4944" s="10">
        <v>24.0</v>
      </c>
      <c r="J4944" s="11" t="str">
        <f>IF(D4944&lt;&gt;"",VLOOKUP(H4944,TABLEITEM,5,FALSE),"")</f>
        <v>กป.</v>
      </c>
      <c r="K4944" s="12">
        <v>41.6667</v>
      </c>
      <c r="L4944" s="13" t="str">
        <f>IF(D4945&lt;&gt;"",VLOOKUP(H4944,TABLEITEM,2,FALSE),"")</f>
        <v/>
      </c>
      <c r="M4944" s="13" t="str">
        <f>IF(D4945&lt;&gt;"",VLOOKUP(H4944,TABLEITEM,3,FALSE),"")</f>
        <v>สีสเปรย์ สีดำ</v>
      </c>
      <c r="N4944" s="14">
        <f>INSTOCK!$I4944*INSTOCK!$K4944</f>
        <v>1000.0008</v>
      </c>
      <c r="O4944" s="4"/>
      <c r="P4944" s="4"/>
    </row>
    <row r="4945" ht="15.75" hidden="1" customHeight="1">
      <c r="B4945" s="8">
        <v>5269.0</v>
      </c>
      <c r="C4945" s="9">
        <v>43440.0</v>
      </c>
      <c r="D4945" s="6" t="s">
        <v>5992</v>
      </c>
      <c r="E4945" s="4" t="s">
        <v>5993</v>
      </c>
      <c r="F4945" s="8" t="s">
        <v>604</v>
      </c>
      <c r="G4945" s="4" t="s">
        <v>965</v>
      </c>
      <c r="H4945" s="15" t="s">
        <v>111</v>
      </c>
      <c r="I4945" s="10">
        <v>24.0</v>
      </c>
      <c r="J4945" s="11" t="str">
        <f>IF(D4945&lt;&gt;"",VLOOKUP(H4945,TABLEITEM,5,FALSE),"")</f>
        <v>กป.</v>
      </c>
      <c r="K4945" s="12">
        <v>41.6667</v>
      </c>
      <c r="L4945" s="13" t="str">
        <f>IF(#REF!&lt;&gt;"",VLOOKUP(H4945,TABLEITEM,2,FALSE),"")</f>
        <v>#REF!</v>
      </c>
      <c r="M4945" s="13" t="str">
        <f>IF(D4945&lt;&gt;"",VLOOKUP(H4945,TABLEITEM,3,FALSE),"")</f>
        <v>สีสเปรย์ สีเทา</v>
      </c>
      <c r="N4945" s="14">
        <f>INSTOCK!$I4945*INSTOCK!$K4945</f>
        <v>1000.0008</v>
      </c>
      <c r="O4945" s="4"/>
      <c r="P4945" s="4"/>
    </row>
    <row r="4946" ht="15.75" hidden="1" customHeight="1">
      <c r="B4946" s="8">
        <v>5270.0</v>
      </c>
      <c r="C4946" s="9">
        <v>43440.0</v>
      </c>
      <c r="D4946" s="6" t="s">
        <v>5994</v>
      </c>
      <c r="E4946" s="4">
        <v>6.11200158E9</v>
      </c>
      <c r="F4946" s="8" t="s">
        <v>1650</v>
      </c>
      <c r="G4946" s="4" t="s">
        <v>965</v>
      </c>
      <c r="H4946" s="10" t="s">
        <v>1421</v>
      </c>
      <c r="I4946" s="10">
        <v>3.0</v>
      </c>
      <c r="J4946" s="11" t="str">
        <f>IF(D4946&lt;&gt;"",VLOOKUP(H4946,TABLEITEM,5,FALSE),"")</f>
        <v>ห่อ</v>
      </c>
      <c r="K4946" s="12">
        <v>120.0</v>
      </c>
      <c r="L4946" s="13" t="str">
        <f>IF(D4946&lt;&gt;"",VLOOKUP(H4946,TABLEITEM,2,FALSE),"")</f>
        <v/>
      </c>
      <c r="M4946" s="13" t="str">
        <f>IF(D4946&lt;&gt;"",VLOOKUP(H4946,TABLEITEM,3,FALSE),"")</f>
        <v>ลวดเชื่อม KOBE 2.6มิล</v>
      </c>
      <c r="N4946" s="14">
        <f>INSTOCK!$I4946*INSTOCK!$K4946</f>
        <v>360</v>
      </c>
      <c r="O4946" s="4"/>
      <c r="P4946" s="4"/>
    </row>
    <row r="4947" ht="15.75" customHeight="1">
      <c r="B4947" s="8">
        <v>5271.0</v>
      </c>
      <c r="C4947" s="9">
        <v>43440.0</v>
      </c>
      <c r="D4947" s="6" t="s">
        <v>5994</v>
      </c>
      <c r="E4947" s="4">
        <v>6.11200158E9</v>
      </c>
      <c r="F4947" s="8" t="s">
        <v>1650</v>
      </c>
      <c r="G4947" s="4" t="s">
        <v>965</v>
      </c>
      <c r="H4947" s="10" t="s">
        <v>5995</v>
      </c>
      <c r="I4947" s="10">
        <v>5.0</v>
      </c>
      <c r="J4947" s="11" t="str">
        <f>IF(D4947&lt;&gt;"",VLOOKUP(H4947,TABLEITEM,5,FALSE),"")</f>
        <v>EA</v>
      </c>
      <c r="K4947" s="12">
        <v>28.0</v>
      </c>
      <c r="L4947" s="13" t="str">
        <f>IF(D4947&lt;&gt;"",VLOOKUP(H4947,TABLEITEM,2,FALSE),"")</f>
        <v/>
      </c>
      <c r="M4947" s="13" t="str">
        <f>IF(D4947&lt;&gt;"",VLOOKUP(H4947,TABLEITEM,3,FALSE),"")</f>
        <v>บ๊อกยางกันน้ำ 4x4</v>
      </c>
      <c r="N4947" s="14">
        <f>INSTOCK!$I4947*INSTOCK!$K4947</f>
        <v>140</v>
      </c>
      <c r="O4947" s="4"/>
      <c r="P4947" s="4"/>
    </row>
    <row r="4948" ht="15.75" hidden="1" customHeight="1">
      <c r="B4948" s="8">
        <v>5272.0</v>
      </c>
      <c r="C4948" s="9">
        <v>43440.0</v>
      </c>
      <c r="D4948" s="6">
        <v>6.1120153E8</v>
      </c>
      <c r="E4948" s="4">
        <v>6.112001582E9</v>
      </c>
      <c r="F4948" s="8"/>
      <c r="G4948" s="4" t="s">
        <v>1130</v>
      </c>
      <c r="H4948" s="10" t="s">
        <v>245</v>
      </c>
      <c r="I4948" s="10">
        <v>5000.0</v>
      </c>
      <c r="J4948" s="11" t="str">
        <f>IF(D4948&lt;&gt;"",VLOOKUP(H4948,TABLEITEM,5,FALSE),"")</f>
        <v>EA</v>
      </c>
      <c r="K4948" s="12">
        <v>0.63</v>
      </c>
      <c r="L4948" s="13" t="str">
        <f>IF(D4948&lt;&gt;"",VLOOKUP(H4948,TABLEITEM,2,FALSE),"")</f>
        <v/>
      </c>
      <c r="M4948" s="13" t="str">
        <f>IF(D4948&lt;&gt;"",VLOOKUP(H4948,TABLEITEM,3,FALSE),"")</f>
        <v>หางปลาแฉกเปลือย Y1.5-3S</v>
      </c>
      <c r="N4948" s="14">
        <f>INSTOCK!$I4948*INSTOCK!$K4948</f>
        <v>3150</v>
      </c>
      <c r="O4948" s="4" t="s">
        <v>1830</v>
      </c>
      <c r="P4948" s="4"/>
    </row>
    <row r="4949" ht="15.75" hidden="1" customHeight="1">
      <c r="B4949" s="8">
        <v>5273.0</v>
      </c>
      <c r="C4949" s="9">
        <v>43440.0</v>
      </c>
      <c r="D4949" s="6">
        <v>368080.0</v>
      </c>
      <c r="E4949" s="4">
        <v>6.112001566E9</v>
      </c>
      <c r="F4949" s="8" t="s">
        <v>604</v>
      </c>
      <c r="G4949" s="4" t="s">
        <v>696</v>
      </c>
      <c r="H4949" s="10" t="s">
        <v>110</v>
      </c>
      <c r="I4949" s="10">
        <v>12.0</v>
      </c>
      <c r="J4949" s="11" t="str">
        <f>IF(D4949&lt;&gt;"",VLOOKUP(H4949,TABLEITEM,5,FALSE),"")</f>
        <v>กป.</v>
      </c>
      <c r="K4949" s="12">
        <v>41.6667</v>
      </c>
      <c r="L4949" s="13" t="str">
        <f>IF(D4949&lt;&gt;"",VLOOKUP(H4949,TABLEITEM,2,FALSE),"")</f>
        <v/>
      </c>
      <c r="M4949" s="13" t="str">
        <f>IF(D4949&lt;&gt;"",VLOOKUP(H4949,TABLEITEM,3,FALSE),"")</f>
        <v>สีสเปรย์ สีน้ำตาล</v>
      </c>
      <c r="N4949" s="14">
        <f>INSTOCK!$I4949*INSTOCK!$K4949</f>
        <v>500.0004</v>
      </c>
      <c r="O4949" s="4"/>
      <c r="P4949" s="4"/>
    </row>
    <row r="4950" ht="15.75" hidden="1" customHeight="1">
      <c r="B4950" s="8">
        <v>5274.0</v>
      </c>
      <c r="C4950" s="9">
        <v>43440.0</v>
      </c>
      <c r="D4950" s="6">
        <v>368080.0</v>
      </c>
      <c r="E4950" s="4">
        <v>6.112001566E9</v>
      </c>
      <c r="F4950" s="8" t="s">
        <v>604</v>
      </c>
      <c r="G4950" s="4" t="s">
        <v>696</v>
      </c>
      <c r="H4950" s="10" t="s">
        <v>111</v>
      </c>
      <c r="I4950" s="10">
        <v>12.0</v>
      </c>
      <c r="J4950" s="11" t="str">
        <f>IF(D4950&lt;&gt;"",VLOOKUP(H4950,TABLEITEM,5,FALSE),"")</f>
        <v>กป.</v>
      </c>
      <c r="K4950" s="12">
        <v>41.6667</v>
      </c>
      <c r="L4950" s="13" t="str">
        <f>IF(D4950&lt;&gt;"",VLOOKUP(H4950,TABLEITEM,2,FALSE),"")</f>
        <v/>
      </c>
      <c r="M4950" s="13" t="str">
        <f>IF(D4950&lt;&gt;"",VLOOKUP(H4950,TABLEITEM,3,FALSE),"")</f>
        <v>สีสเปรย์ สีเทา</v>
      </c>
      <c r="N4950" s="14">
        <f>INSTOCK!$I4950*INSTOCK!$K4950</f>
        <v>500.0004</v>
      </c>
      <c r="O4950" s="4"/>
      <c r="P4950" s="4"/>
    </row>
    <row r="4951" ht="15.75" hidden="1" customHeight="1">
      <c r="B4951" s="8">
        <v>5275.0</v>
      </c>
      <c r="C4951" s="9">
        <v>43440.0</v>
      </c>
      <c r="D4951" s="6">
        <v>368080.0</v>
      </c>
      <c r="E4951" s="4">
        <v>6.112001566E9</v>
      </c>
      <c r="F4951" s="8" t="s">
        <v>604</v>
      </c>
      <c r="G4951" s="4" t="s">
        <v>696</v>
      </c>
      <c r="H4951" s="10" t="s">
        <v>66</v>
      </c>
      <c r="I4951" s="10">
        <v>12.0</v>
      </c>
      <c r="J4951" s="11" t="str">
        <f>IF(D4951&lt;&gt;"",VLOOKUP(H4951,TABLEITEM,5,FALSE),"")</f>
        <v>กป.</v>
      </c>
      <c r="K4951" s="12">
        <v>41.6667</v>
      </c>
      <c r="L4951" s="13" t="str">
        <f>IF(D4951&lt;&gt;"",VLOOKUP(H4951,TABLEITEM,2,FALSE),"")</f>
        <v/>
      </c>
      <c r="M4951" s="13" t="str">
        <f>IF(D4951&lt;&gt;"",VLOOKUP(H4951,TABLEITEM,3,FALSE),"")</f>
        <v>สีสเปรย์ สีดำ</v>
      </c>
      <c r="N4951" s="14">
        <f>INSTOCK!$I4951*INSTOCK!$K4951</f>
        <v>500.0004</v>
      </c>
      <c r="O4951" s="4"/>
      <c r="P4951" s="4"/>
    </row>
    <row r="4952" ht="15.75" hidden="1" customHeight="1">
      <c r="B4952" s="8">
        <v>5276.0</v>
      </c>
      <c r="C4952" s="9">
        <v>43440.0</v>
      </c>
      <c r="D4952" s="6">
        <v>368080.0</v>
      </c>
      <c r="E4952" s="4">
        <v>6.112001566E9</v>
      </c>
      <c r="F4952" s="8" t="s">
        <v>604</v>
      </c>
      <c r="G4952" s="4" t="s">
        <v>696</v>
      </c>
      <c r="H4952" s="10" t="s">
        <v>44</v>
      </c>
      <c r="I4952" s="10">
        <v>4.0</v>
      </c>
      <c r="J4952" s="11" t="str">
        <f>IF(D4952&lt;&gt;"",VLOOKUP(H4952,TABLEITEM,5,FALSE),"")</f>
        <v>ปี๊ป</v>
      </c>
      <c r="K4952" s="12">
        <v>370.0</v>
      </c>
      <c r="L4952" s="13" t="str">
        <f>IF(D4952&lt;&gt;"",VLOOKUP(H4952,TABLEITEM,2,FALSE),"")</f>
        <v/>
      </c>
      <c r="M4952" s="13" t="str">
        <f>IF(D4952&lt;&gt;"",VLOOKUP(H4952,TABLEITEM,3,FALSE),"")</f>
        <v>ทินเนอร์ AAA</v>
      </c>
      <c r="N4952" s="14">
        <f>INSTOCK!$I4952*INSTOCK!$K4952</f>
        <v>1480</v>
      </c>
      <c r="O4952" s="4"/>
      <c r="P4952" s="4"/>
    </row>
    <row r="4953" ht="15.75" hidden="1" customHeight="1">
      <c r="B4953" s="8">
        <v>5277.0</v>
      </c>
      <c r="C4953" s="9">
        <v>43647.0</v>
      </c>
      <c r="D4953" s="6">
        <v>6.20700405E8</v>
      </c>
      <c r="E4953" s="4"/>
      <c r="F4953" s="8"/>
      <c r="G4953" s="4" t="s">
        <v>1130</v>
      </c>
      <c r="H4953" s="10" t="s">
        <v>3124</v>
      </c>
      <c r="I4953" s="10">
        <v>3.0</v>
      </c>
      <c r="J4953" s="11" t="str">
        <f>IF(D4953&lt;&gt;"",VLOOKUP(H4953,TABLEITEM,5,FALSE),"")</f>
        <v>EA</v>
      </c>
      <c r="K4953" s="12">
        <v>174.5633</v>
      </c>
      <c r="L4953" s="13" t="str">
        <f>IF(D4953&lt;&gt;"",VLOOKUP(H4953,TABLEITEM,2,FALSE),"")</f>
        <v/>
      </c>
      <c r="M4953" s="13" t="str">
        <f>IF(D4953&lt;&gt;"",VLOOKUP(H4953,TABLEITEM,3,FALSE),"")</f>
        <v>CT600/5 MSQ60</v>
      </c>
      <c r="N4953" s="14">
        <f>INSTOCK!$I4953*INSTOCK!$K4953</f>
        <v>523.6899</v>
      </c>
      <c r="O4953" s="4" t="s">
        <v>3125</v>
      </c>
      <c r="P4953" s="4"/>
    </row>
    <row r="4954" ht="15.75" hidden="1" customHeight="1">
      <c r="B4954" s="8">
        <v>5278.0</v>
      </c>
      <c r="C4954" s="9">
        <v>43647.0</v>
      </c>
      <c r="D4954" s="6" t="s">
        <v>5996</v>
      </c>
      <c r="E4954" s="4"/>
      <c r="F4954" s="8" t="s">
        <v>604</v>
      </c>
      <c r="G4954" s="4" t="s">
        <v>1092</v>
      </c>
      <c r="H4954" s="10" t="s">
        <v>818</v>
      </c>
      <c r="I4954" s="10">
        <v>18.0</v>
      </c>
      <c r="J4954" s="11" t="str">
        <f>IF(D4954&lt;&gt;"",VLOOKUP(H4954,TABLEITEM,5,FALSE),"")</f>
        <v>ท่อ</v>
      </c>
      <c r="K4954" s="12">
        <v>280.0</v>
      </c>
      <c r="L4954" s="13" t="str">
        <f>IF(D4954&lt;&gt;"",VLOOKUP(H4954,TABLEITEM,2,FALSE),"")</f>
        <v/>
      </c>
      <c r="M4954" s="13" t="str">
        <f>IF(D4954&lt;&gt;"",VLOOKUP(H4954,TABLEITEM,3,FALSE),"")</f>
        <v>คาร์บอนไดออกไซด์ ขนาด 25 กก</v>
      </c>
      <c r="N4954" s="14">
        <f>INSTOCK!$I4954*INSTOCK!$K4954</f>
        <v>5040</v>
      </c>
      <c r="O4954" s="4"/>
      <c r="P4954" s="4"/>
    </row>
    <row r="4955" ht="15.75" hidden="1" customHeight="1">
      <c r="B4955" s="8">
        <v>5279.0</v>
      </c>
      <c r="C4955" s="9">
        <v>43647.0</v>
      </c>
      <c r="D4955" s="6" t="s">
        <v>5996</v>
      </c>
      <c r="E4955" s="4"/>
      <c r="F4955" s="8" t="s">
        <v>604</v>
      </c>
      <c r="G4955" s="4" t="s">
        <v>1092</v>
      </c>
      <c r="H4955" s="10" t="s">
        <v>816</v>
      </c>
      <c r="I4955" s="10">
        <v>3.0</v>
      </c>
      <c r="J4955" s="11" t="str">
        <f>IF(D4955&lt;&gt;"",VLOOKUP(H4955,TABLEITEM,5,FALSE),"")</f>
        <v>ท่อ</v>
      </c>
      <c r="K4955" s="12">
        <v>600.0</v>
      </c>
      <c r="L4955" s="13" t="str">
        <f>IF(D4955&lt;&gt;"",VLOOKUP(H4955,TABLEITEM,2,FALSE),"")</f>
        <v/>
      </c>
      <c r="M4955" s="13" t="str">
        <f>IF(D4955&lt;&gt;"",VLOOKUP(H4955,TABLEITEM,3,FALSE),"")</f>
        <v>อาร์กอน ขนาด 6คิว</v>
      </c>
      <c r="N4955" s="14">
        <f>INSTOCK!$I4955*INSTOCK!$K4955</f>
        <v>1800</v>
      </c>
      <c r="O4955" s="4"/>
      <c r="P4955" s="4"/>
    </row>
    <row r="4956" ht="15.75" hidden="1" customHeight="1">
      <c r="B4956" s="8">
        <v>5280.0</v>
      </c>
      <c r="C4956" s="9">
        <v>43647.0</v>
      </c>
      <c r="D4956" s="6" t="s">
        <v>5997</v>
      </c>
      <c r="E4956" s="4">
        <v>6.206000968E9</v>
      </c>
      <c r="F4956" s="8" t="s">
        <v>604</v>
      </c>
      <c r="G4956" s="4" t="s">
        <v>1777</v>
      </c>
      <c r="H4956" s="10" t="s">
        <v>1859</v>
      </c>
      <c r="I4956" s="10">
        <v>2000.0</v>
      </c>
      <c r="J4956" s="11" t="str">
        <f>IF(D4956&lt;&gt;"",VLOOKUP(H4956,TABLEITEM,5,FALSE),"")</f>
        <v>EA</v>
      </c>
      <c r="K4956" s="12">
        <v>0.9035</v>
      </c>
      <c r="L4956" s="13" t="str">
        <f>IF(D4956&lt;&gt;"",VLOOKUP(H4956,TABLEITEM,2,FALSE),"")</f>
        <v/>
      </c>
      <c r="M4956" s="13" t="str">
        <f>IF(D4956&lt;&gt;"",VLOOKUP(H4956,TABLEITEM,3,FALSE),"")</f>
        <v>สกรูหัวเหลี่ยมชุบขาว M8x25</v>
      </c>
      <c r="N4956" s="14">
        <f>INSTOCK!$I4956*INSTOCK!$K4956</f>
        <v>1807</v>
      </c>
      <c r="O4956" s="4"/>
      <c r="P4956" s="4"/>
    </row>
    <row r="4957" ht="15.75" hidden="1" customHeight="1">
      <c r="B4957" s="8">
        <v>5281.0</v>
      </c>
      <c r="C4957" s="9">
        <v>43647.0</v>
      </c>
      <c r="D4957" s="6" t="s">
        <v>5998</v>
      </c>
      <c r="E4957" s="4">
        <v>6.206000972E9</v>
      </c>
      <c r="F4957" s="8" t="s">
        <v>5999</v>
      </c>
      <c r="G4957" s="4" t="s">
        <v>702</v>
      </c>
      <c r="H4957" s="10" t="s">
        <v>779</v>
      </c>
      <c r="I4957" s="10">
        <v>60.0</v>
      </c>
      <c r="J4957" s="11" t="str">
        <f>IF(D4957&lt;&gt;"",VLOOKUP(H4957,TABLEITEM,5,FALSE),"")</f>
        <v>KG.</v>
      </c>
      <c r="K4957" s="12">
        <v>130.0</v>
      </c>
      <c r="L4957" s="13" t="str">
        <f>IF(D4957&lt;&gt;"",VLOOKUP(H4957,TABLEITEM,2,FALSE),"")</f>
        <v/>
      </c>
      <c r="M4957" s="13" t="str">
        <f>IF(D4957&lt;&gt;"",VLOOKUP(H4957,TABLEITEM,3,FALSE),"")</f>
        <v>สีฝุ่น FF110/948/C สีครีม</v>
      </c>
      <c r="N4957" s="14">
        <f>INSTOCK!$I4957*INSTOCK!$K4957</f>
        <v>7800</v>
      </c>
      <c r="O4957" s="4"/>
      <c r="P4957" s="4"/>
    </row>
    <row r="4958" ht="15.75" hidden="1" customHeight="1">
      <c r="B4958" s="8">
        <v>5282.0</v>
      </c>
      <c r="C4958" s="9">
        <v>43647.0</v>
      </c>
      <c r="D4958" s="6" t="s">
        <v>6000</v>
      </c>
      <c r="E4958" s="4">
        <v>6.207000987E9</v>
      </c>
      <c r="F4958" s="8" t="s">
        <v>604</v>
      </c>
      <c r="G4958" s="4" t="s">
        <v>2320</v>
      </c>
      <c r="H4958" s="10" t="s">
        <v>513</v>
      </c>
      <c r="I4958" s="10">
        <v>200.0</v>
      </c>
      <c r="J4958" s="11" t="str">
        <f>IF(D4958&lt;&gt;"",VLOOKUP(H4958,TABLEITEM,5,FALSE),"")</f>
        <v>M</v>
      </c>
      <c r="K4958" s="12">
        <v>35.955</v>
      </c>
      <c r="L4958" s="13" t="str">
        <f>IF(D4958&lt;&gt;"",VLOOKUP(H4958,TABLEITEM,2,FALSE),"")</f>
        <v>wire</v>
      </c>
      <c r="M4958" s="13" t="str">
        <f>IF(D4958&lt;&gt;"",VLOOKUP(H4958,TABLEITEM,3,FALSE),"")</f>
        <v>สายTHW ขนาด 1x16 SQMM.สีดำ</v>
      </c>
      <c r="N4958" s="14">
        <f>INSTOCK!$I4958*INSTOCK!$K4958</f>
        <v>7191</v>
      </c>
      <c r="O4958" s="4" t="s">
        <v>1476</v>
      </c>
      <c r="P4958" s="4"/>
    </row>
    <row r="4959" ht="15.75" hidden="1" customHeight="1">
      <c r="B4959" s="8">
        <v>5283.0</v>
      </c>
      <c r="C4959" s="9">
        <v>43643.0</v>
      </c>
      <c r="D4959" s="6">
        <v>39164.0</v>
      </c>
      <c r="E4959" s="4">
        <v>6.206000974E9</v>
      </c>
      <c r="F4959" s="8" t="s">
        <v>604</v>
      </c>
      <c r="G4959" s="4" t="s">
        <v>696</v>
      </c>
      <c r="H4959" s="10" t="s">
        <v>110</v>
      </c>
      <c r="I4959" s="10">
        <v>12.0</v>
      </c>
      <c r="J4959" s="11" t="str">
        <f>IF(D4959&lt;&gt;"",VLOOKUP(H4959,TABLEITEM,5,FALSE),"")</f>
        <v>กป.</v>
      </c>
      <c r="K4959" s="12">
        <v>41.6667</v>
      </c>
      <c r="L4959" s="13" t="str">
        <f>IF(D4959&lt;&gt;"",VLOOKUP(H4959,TABLEITEM,2,FALSE),"")</f>
        <v/>
      </c>
      <c r="M4959" s="13" t="str">
        <f>IF(D4959&lt;&gt;"",VLOOKUP(H4959,TABLEITEM,3,FALSE),"")</f>
        <v>สีสเปรย์ สีน้ำตาล</v>
      </c>
      <c r="N4959" s="14">
        <f>INSTOCK!$I4959*INSTOCK!$K4959</f>
        <v>500.0004</v>
      </c>
      <c r="O4959" s="4"/>
      <c r="P4959" s="4"/>
    </row>
    <row r="4960" ht="15.75" hidden="1" customHeight="1">
      <c r="B4960" s="8">
        <v>5284.0</v>
      </c>
      <c r="C4960" s="9">
        <v>43643.0</v>
      </c>
      <c r="D4960" s="6">
        <v>39164.0</v>
      </c>
      <c r="E4960" s="4">
        <v>6.206000974E9</v>
      </c>
      <c r="F4960" s="8" t="s">
        <v>604</v>
      </c>
      <c r="G4960" s="4" t="s">
        <v>696</v>
      </c>
      <c r="H4960" s="10" t="s">
        <v>66</v>
      </c>
      <c r="I4960" s="10">
        <v>24.0</v>
      </c>
      <c r="J4960" s="11" t="str">
        <f>IF(D4960&lt;&gt;"",VLOOKUP(H4960,TABLEITEM,5,FALSE),"")</f>
        <v>กป.</v>
      </c>
      <c r="K4960" s="12">
        <v>41.6667</v>
      </c>
      <c r="L4960" s="13" t="str">
        <f>IF(D4960&lt;&gt;"",VLOOKUP(H4960,TABLEITEM,2,FALSE),"")</f>
        <v/>
      </c>
      <c r="M4960" s="13" t="str">
        <f>IF(D4960&lt;&gt;"",VLOOKUP(H4960,TABLEITEM,3,FALSE),"")</f>
        <v>สีสเปรย์ สีดำ</v>
      </c>
      <c r="N4960" s="14">
        <f>INSTOCK!$I4960*INSTOCK!$K4960</f>
        <v>1000.0008</v>
      </c>
      <c r="O4960" s="4"/>
      <c r="P4960" s="4"/>
    </row>
    <row r="4961" ht="15.75" hidden="1" customHeight="1">
      <c r="B4961" s="8">
        <v>5285.0</v>
      </c>
      <c r="C4961" s="9">
        <v>43643.0</v>
      </c>
      <c r="D4961" s="6">
        <v>39164.0</v>
      </c>
      <c r="E4961" s="4">
        <v>6.206000974E9</v>
      </c>
      <c r="F4961" s="8" t="s">
        <v>604</v>
      </c>
      <c r="G4961" s="4" t="s">
        <v>696</v>
      </c>
      <c r="H4961" s="10" t="s">
        <v>111</v>
      </c>
      <c r="I4961" s="10">
        <v>12.0</v>
      </c>
      <c r="J4961" s="11" t="str">
        <f>IF(D4961&lt;&gt;"",VLOOKUP(H4961,TABLEITEM,5,FALSE),"")</f>
        <v>กป.</v>
      </c>
      <c r="K4961" s="12">
        <v>41.6667</v>
      </c>
      <c r="L4961" s="13" t="str">
        <f>IF(D4961&lt;&gt;"",VLOOKUP(H4961,TABLEITEM,2,FALSE),"")</f>
        <v/>
      </c>
      <c r="M4961" s="13" t="str">
        <f>IF(D4961&lt;&gt;"",VLOOKUP(H4961,TABLEITEM,3,FALSE),"")</f>
        <v>สีสเปรย์ สีเทา</v>
      </c>
      <c r="N4961" s="14">
        <f>INSTOCK!$I4961*INSTOCK!$K4961</f>
        <v>500.0004</v>
      </c>
      <c r="O4961" s="4"/>
      <c r="P4961" s="4"/>
    </row>
    <row r="4962" ht="15.75" hidden="1" customHeight="1">
      <c r="B4962" s="8">
        <v>5286.0</v>
      </c>
      <c r="C4962" s="9">
        <v>43647.0</v>
      </c>
      <c r="D4962" s="6" t="s">
        <v>6001</v>
      </c>
      <c r="E4962" s="4">
        <v>6.206000949E9</v>
      </c>
      <c r="F4962" s="8" t="s">
        <v>604</v>
      </c>
      <c r="G4962" s="4" t="s">
        <v>1777</v>
      </c>
      <c r="H4962" s="10" t="s">
        <v>3706</v>
      </c>
      <c r="I4962" s="10">
        <v>1000.0</v>
      </c>
      <c r="J4962" s="11" t="str">
        <f>IF(D4962&lt;&gt;"",VLOOKUP(H4962,TABLEITEM,5,FALSE),"")</f>
        <v>EA</v>
      </c>
      <c r="K4962" s="12">
        <v>2.21</v>
      </c>
      <c r="L4962" s="13" t="str">
        <f>IF(D4962&lt;&gt;"",VLOOKUP(H4962,TABLEITEM,2,FALSE),"")</f>
        <v/>
      </c>
      <c r="M4962" s="13" t="str">
        <f>IF(D4962&lt;&gt;"",VLOOKUP(H4962,TABLEITEM,3,FALSE),"")</f>
        <v>สกรูหัวเหลี่ยม M10x25  HDG</v>
      </c>
      <c r="N4962" s="14">
        <f>INSTOCK!$I4962*INSTOCK!$K4962</f>
        <v>2210</v>
      </c>
      <c r="O4962" s="4" t="s">
        <v>3707</v>
      </c>
      <c r="P4962" s="4"/>
    </row>
    <row r="4963" ht="15.75" hidden="1" customHeight="1">
      <c r="B4963" s="8">
        <v>5287.0</v>
      </c>
      <c r="C4963" s="9">
        <v>43647.0</v>
      </c>
      <c r="D4963" s="6" t="s">
        <v>6001</v>
      </c>
      <c r="E4963" s="4">
        <v>6.206000949E9</v>
      </c>
      <c r="F4963" s="8" t="s">
        <v>604</v>
      </c>
      <c r="G4963" s="4" t="s">
        <v>1777</v>
      </c>
      <c r="H4963" s="10" t="s">
        <v>4247</v>
      </c>
      <c r="I4963" s="10">
        <v>1000.0</v>
      </c>
      <c r="J4963" s="11" t="str">
        <f>IF(D4963&lt;&gt;"",VLOOKUP(H4963,TABLEITEM,5,FALSE),"")</f>
        <v>EA</v>
      </c>
      <c r="K4963" s="12">
        <v>2.73</v>
      </c>
      <c r="L4963" s="13" t="str">
        <f>IF(D4963&lt;&gt;"",VLOOKUP(H4963,TABLEITEM,2,FALSE),"")</f>
        <v/>
      </c>
      <c r="M4963" s="13" t="str">
        <f>IF(D4963&lt;&gt;"",VLOOKUP(H4963,TABLEITEM,3,FALSE),"")</f>
        <v>สกรูหัวเหลี่ยม M10x35  HDG</v>
      </c>
      <c r="N4963" s="14">
        <f>INSTOCK!$I4963*INSTOCK!$K4963</f>
        <v>2730</v>
      </c>
      <c r="O4963" s="4" t="s">
        <v>4248</v>
      </c>
      <c r="P4963" s="4"/>
    </row>
    <row r="4964" ht="15.75" hidden="1" customHeight="1">
      <c r="B4964" s="8">
        <v>5288.0</v>
      </c>
      <c r="C4964" s="9">
        <v>43642.0</v>
      </c>
      <c r="D4964" s="6" t="s">
        <v>6002</v>
      </c>
      <c r="E4964" s="4">
        <v>6.206000946E9</v>
      </c>
      <c r="F4964" s="8" t="s">
        <v>6003</v>
      </c>
      <c r="G4964" s="4" t="s">
        <v>1446</v>
      </c>
      <c r="H4964" s="10" t="s">
        <v>3510</v>
      </c>
      <c r="I4964" s="10">
        <v>15.0</v>
      </c>
      <c r="J4964" s="11" t="str">
        <f>IF(D4964&lt;&gt;"",VLOOKUP(H4964,TABLEITEM,5,FALSE),"")</f>
        <v>EA</v>
      </c>
      <c r="K4964" s="12">
        <v>113.75</v>
      </c>
      <c r="L4964" s="13" t="str">
        <f>IF(D4964&lt;&gt;"",VLOOKUP(H4964,TABLEITEM,2,FALSE),"")</f>
        <v/>
      </c>
      <c r="M4964" s="13" t="str">
        <f>IF(D4964&lt;&gt;"",VLOOKUP(H4964,TABLEITEM,3,FALSE),"")</f>
        <v>โคมผนังรูปไข่ 2121C/BEC</v>
      </c>
      <c r="N4964" s="14">
        <f>INSTOCK!$I4964*INSTOCK!$K4964</f>
        <v>1706.25</v>
      </c>
      <c r="O4964" s="4" t="s">
        <v>6004</v>
      </c>
      <c r="P4964" s="4"/>
    </row>
    <row r="4965" ht="15.75" hidden="1" customHeight="1">
      <c r="B4965" s="8">
        <v>5289.0</v>
      </c>
      <c r="C4965" s="9">
        <v>43643.0</v>
      </c>
      <c r="D4965" s="6" t="s">
        <v>6002</v>
      </c>
      <c r="E4965" s="4">
        <v>6.206000946E9</v>
      </c>
      <c r="F4965" s="8" t="s">
        <v>6003</v>
      </c>
      <c r="G4965" s="4" t="s">
        <v>1446</v>
      </c>
      <c r="H4965" s="10" t="s">
        <v>6005</v>
      </c>
      <c r="I4965" s="10">
        <v>15.0</v>
      </c>
      <c r="J4965" s="11" t="str">
        <f>IF(D4965&lt;&gt;"",VLOOKUP(H4965,TABLEITEM,5,FALSE),"")</f>
        <v>EA</v>
      </c>
      <c r="K4965" s="12">
        <v>85.0</v>
      </c>
      <c r="L4965" s="13" t="str">
        <f>IF(D4965&lt;&gt;"",VLOOKUP(H4965,TABLEITEM,2,FALSE),"")</f>
        <v/>
      </c>
      <c r="M4965" s="13" t="str">
        <f>IF(D4965&lt;&gt;"",VLOOKUP(H4965,TABLEITEM,3,FALSE),"")</f>
        <v>หลอดไฟ LED BULB 7W E27 </v>
      </c>
      <c r="N4965" s="14">
        <f>INSTOCK!$I4965*INSTOCK!$K4965</f>
        <v>1275</v>
      </c>
      <c r="O4965" s="4"/>
      <c r="P4965" s="4"/>
    </row>
    <row r="4966" ht="15.75" hidden="1" customHeight="1">
      <c r="B4966" s="8">
        <v>5290.0</v>
      </c>
      <c r="C4966" s="9">
        <v>43644.0</v>
      </c>
      <c r="D4966" s="6" t="s">
        <v>6006</v>
      </c>
      <c r="E4966" s="4">
        <v>6.206000927E9</v>
      </c>
      <c r="F4966" s="8" t="s">
        <v>6003</v>
      </c>
      <c r="G4966" s="4" t="s">
        <v>1446</v>
      </c>
      <c r="H4966" s="10" t="s">
        <v>3510</v>
      </c>
      <c r="I4966" s="10">
        <v>5.0</v>
      </c>
      <c r="J4966" s="11" t="str">
        <f>IF(D4966&lt;&gt;"",VLOOKUP(H4966,TABLEITEM,5,FALSE),"")</f>
        <v>EA</v>
      </c>
      <c r="K4966" s="12">
        <v>113.75</v>
      </c>
      <c r="L4966" s="13" t="str">
        <f>IF(D4966&lt;&gt;"",VLOOKUP(H4966,TABLEITEM,2,FALSE),"")</f>
        <v/>
      </c>
      <c r="M4966" s="13" t="str">
        <f>IF(D4966&lt;&gt;"",VLOOKUP(H4966,TABLEITEM,3,FALSE),"")</f>
        <v>โคมผนังรูปไข่ 2121C/BEC</v>
      </c>
      <c r="N4966" s="14">
        <f>INSTOCK!$I4966*INSTOCK!$K4966</f>
        <v>568.75</v>
      </c>
      <c r="O4966" s="4" t="s">
        <v>6004</v>
      </c>
      <c r="P4966" s="4"/>
    </row>
    <row r="4967" ht="15.75" hidden="1" customHeight="1">
      <c r="B4967" s="8">
        <v>5291.0</v>
      </c>
      <c r="C4967" s="9">
        <v>43645.0</v>
      </c>
      <c r="D4967" s="6" t="s">
        <v>6007</v>
      </c>
      <c r="E4967" s="4">
        <v>6.206000927E9</v>
      </c>
      <c r="F4967" s="8" t="s">
        <v>6003</v>
      </c>
      <c r="G4967" s="4" t="s">
        <v>1446</v>
      </c>
      <c r="H4967" s="10" t="s">
        <v>6005</v>
      </c>
      <c r="I4967" s="10">
        <v>5.0</v>
      </c>
      <c r="J4967" s="11" t="str">
        <f>IF(D4967&lt;&gt;"",VLOOKUP(H4967,TABLEITEM,5,FALSE),"")</f>
        <v>EA</v>
      </c>
      <c r="K4967" s="12">
        <v>85.0</v>
      </c>
      <c r="L4967" s="13" t="str">
        <f>IF(D4967&lt;&gt;"",VLOOKUP(H4967,TABLEITEM,2,FALSE),"")</f>
        <v/>
      </c>
      <c r="M4967" s="13" t="str">
        <f>IF(D4967&lt;&gt;"",VLOOKUP(H4967,TABLEITEM,3,FALSE),"")</f>
        <v>หลอดไฟ LED BULB 7W E27 </v>
      </c>
      <c r="N4967" s="14">
        <f>INSTOCK!$I4967*INSTOCK!$K4967</f>
        <v>425</v>
      </c>
      <c r="O4967" s="4"/>
      <c r="P4967" s="4"/>
    </row>
    <row r="4968" ht="15.75" hidden="1" customHeight="1">
      <c r="B4968" s="8">
        <v>5292.0</v>
      </c>
      <c r="C4968" s="9">
        <v>43647.0</v>
      </c>
      <c r="D4968" s="6">
        <v>39185.0</v>
      </c>
      <c r="E4968" s="4">
        <v>6.206000977E9</v>
      </c>
      <c r="F4968" s="8" t="s">
        <v>604</v>
      </c>
      <c r="G4968" s="4" t="s">
        <v>696</v>
      </c>
      <c r="H4968" s="10" t="s">
        <v>6008</v>
      </c>
      <c r="I4968" s="10">
        <v>1000.0</v>
      </c>
      <c r="J4968" s="11" t="str">
        <f>IF(D4968&lt;&gt;"",VLOOKUP(H4968,TABLEITEM,5,FALSE),"")</f>
        <v>EA</v>
      </c>
      <c r="K4968" s="12">
        <v>0.6</v>
      </c>
      <c r="L4968" s="13" t="str">
        <f>IF(D4968&lt;&gt;"",VLOOKUP(H4968,TABLEITEM,2,FALSE),"")</f>
        <v/>
      </c>
      <c r="M4968" s="13" t="str">
        <f>IF(D4968&lt;&gt;"",VLOOKUP(H4968,TABLEITEM,3,FALSE),"")</f>
        <v>เหล็กปิ้นตัวอาร์ ชุบขาว SSP-8</v>
      </c>
      <c r="N4968" s="14">
        <f>INSTOCK!$I4968*INSTOCK!$K4968</f>
        <v>600</v>
      </c>
      <c r="O4968" s="4"/>
      <c r="P4968" s="4"/>
    </row>
    <row r="4969" ht="15.75" hidden="1" customHeight="1">
      <c r="B4969" s="8">
        <v>5293.0</v>
      </c>
      <c r="C4969" s="9">
        <v>43440.0</v>
      </c>
      <c r="D4969" s="6">
        <v>36807.0</v>
      </c>
      <c r="E4969" s="4">
        <v>6.111001556E9</v>
      </c>
      <c r="F4969" s="8" t="s">
        <v>2052</v>
      </c>
      <c r="G4969" s="4" t="s">
        <v>696</v>
      </c>
      <c r="H4969" s="10" t="s">
        <v>2053</v>
      </c>
      <c r="I4969" s="10">
        <v>1.0</v>
      </c>
      <c r="J4969" s="11" t="str">
        <f>IF(D4969&lt;&gt;"",VLOOKUP(H4969,TABLEITEM,5,FALSE),"")</f>
        <v>EA</v>
      </c>
      <c r="K4969" s="12">
        <v>2400.0</v>
      </c>
      <c r="L4969" s="13" t="str">
        <f>IF(D4969&lt;&gt;"",VLOOKUP(H4969,TABLEITEM,2,FALSE),"")</f>
        <v/>
      </c>
      <c r="M4969" s="13" t="str">
        <f>IF(D4969&lt;&gt;"",VLOOKUP(H4969,TABLEITEM,3,FALSE),"")</f>
        <v>สว่านไฟฟ้า(กระแทก) GSB 16RE</v>
      </c>
      <c r="N4969" s="14">
        <f>INSTOCK!$I4969*INSTOCK!$K4969</f>
        <v>2400</v>
      </c>
      <c r="O4969" s="4"/>
      <c r="P4969" s="4"/>
    </row>
    <row r="4970" ht="15.75" hidden="1" customHeight="1">
      <c r="B4970" s="8">
        <v>5294.0</v>
      </c>
      <c r="C4970" s="9">
        <v>43440.0</v>
      </c>
      <c r="D4970" s="6" t="s">
        <v>6009</v>
      </c>
      <c r="E4970" s="4">
        <v>6.111001439E9</v>
      </c>
      <c r="F4970" s="8" t="s">
        <v>604</v>
      </c>
      <c r="G4970" s="4" t="s">
        <v>743</v>
      </c>
      <c r="H4970" s="10" t="s">
        <v>73</v>
      </c>
      <c r="I4970" s="10">
        <v>500.0</v>
      </c>
      <c r="J4970" s="11" t="str">
        <f>IF(D4970&lt;&gt;"",VLOOKUP(H4970,TABLEITEM,5,FALSE),"")</f>
        <v>KG.</v>
      </c>
      <c r="K4970" s="12">
        <v>99.85</v>
      </c>
      <c r="L4970" s="13" t="str">
        <f>IF(D4970&lt;&gt;"",VLOOKUP(H4970,TABLEITEM,2,FALSE),"")</f>
        <v/>
      </c>
      <c r="M4970" s="13" t="str">
        <f>IF(D4970&lt;&gt;"",VLOOKUP(H4970,TABLEITEM,3,FALSE),"")</f>
        <v>สีฝุ่น สีครีมย่น 1002782PX20</v>
      </c>
      <c r="N4970" s="14">
        <f>INSTOCK!$I4970*INSTOCK!$K4970</f>
        <v>49925</v>
      </c>
      <c r="O4970" s="4"/>
      <c r="P4970" s="4"/>
    </row>
    <row r="4971" ht="15.75" hidden="1" customHeight="1">
      <c r="B4971" s="8">
        <v>5295.0</v>
      </c>
      <c r="C4971" s="9">
        <v>43438.0</v>
      </c>
      <c r="D4971" s="6" t="s">
        <v>6010</v>
      </c>
      <c r="E4971" s="4">
        <v>6.112001581E9</v>
      </c>
      <c r="F4971" s="8" t="s">
        <v>1709</v>
      </c>
      <c r="G4971" s="4" t="s">
        <v>1512</v>
      </c>
      <c r="H4971" s="10" t="s">
        <v>1822</v>
      </c>
      <c r="I4971" s="10">
        <v>1.0</v>
      </c>
      <c r="J4971" s="11" t="str">
        <f>IF(D4971&lt;&gt;"",VLOOKUP(H4971,TABLEITEM,5,FALSE),"")</f>
        <v>EA</v>
      </c>
      <c r="K4971" s="12">
        <v>4072.5</v>
      </c>
      <c r="L4971" s="13" t="str">
        <f>IF(D4971&lt;&gt;"",VLOOKUP(H4971,TABLEITEM,2,FALSE),"")</f>
        <v/>
      </c>
      <c r="M4971" s="13" t="str">
        <f>IF(D4971&lt;&gt;"",VLOOKUP(H4971,TABLEITEM,3,FALSE),"")</f>
        <v>PHASE MONTOR CM-MPS.43 300-500V</v>
      </c>
      <c r="N4971" s="14">
        <f>INSTOCK!$I4971*INSTOCK!$K4971</f>
        <v>4072.5</v>
      </c>
      <c r="O4971" s="4" t="s">
        <v>1823</v>
      </c>
      <c r="P4971" s="4"/>
    </row>
    <row r="4972" ht="15.75" hidden="1" customHeight="1">
      <c r="B4972" s="8">
        <v>5296.0</v>
      </c>
      <c r="C4972" s="9">
        <v>43133.0</v>
      </c>
      <c r="D4972" s="6" t="s">
        <v>6011</v>
      </c>
      <c r="E4972" s="4">
        <v>6.112001575E9</v>
      </c>
      <c r="F4972" s="8" t="s">
        <v>1650</v>
      </c>
      <c r="G4972" s="4" t="s">
        <v>5846</v>
      </c>
      <c r="H4972" s="18" t="s">
        <v>6012</v>
      </c>
      <c r="I4972" s="10">
        <v>8.0</v>
      </c>
      <c r="J4972" s="11" t="str">
        <f>IF(D4972&lt;&gt;"",VLOOKUP(H4972,TABLEITEM,5,FALSE),"")</f>
        <v>EA</v>
      </c>
      <c r="K4972" s="12">
        <v>68.85</v>
      </c>
      <c r="L4972" s="13" t="str">
        <f>IF(D4972&lt;&gt;"",VLOOKUP(H4972,TABLEITEM,2,FALSE),"")</f>
        <v/>
      </c>
      <c r="M4972" s="13" t="str">
        <f>IF(D4972&lt;&gt;"",VLOOKUP(H4972,TABLEITEM,3,FALSE),"")</f>
        <v>Z7.280.7027.0 IVB WKF2.5-10P</v>
      </c>
      <c r="N4972" s="14">
        <f>INSTOCK!$I4972*INSTOCK!$K4972</f>
        <v>550.8</v>
      </c>
      <c r="O4972" s="4"/>
      <c r="P4972" s="4"/>
    </row>
    <row r="4973" ht="15.75" hidden="1" customHeight="1">
      <c r="B4973" s="8">
        <v>5297.0</v>
      </c>
      <c r="C4973" s="9">
        <v>43133.0</v>
      </c>
      <c r="D4973" s="6" t="s">
        <v>6011</v>
      </c>
      <c r="E4973" s="4">
        <v>6.112001575E9</v>
      </c>
      <c r="F4973" s="8" t="s">
        <v>1650</v>
      </c>
      <c r="G4973" s="4" t="s">
        <v>5846</v>
      </c>
      <c r="H4973" s="10" t="s">
        <v>3774</v>
      </c>
      <c r="I4973" s="10">
        <v>70.0</v>
      </c>
      <c r="J4973" s="11" t="str">
        <f>IF(D4973&lt;&gt;"",VLOOKUP(H4973,TABLEITEM,5,FALSE),"")</f>
        <v>EA</v>
      </c>
      <c r="K4973" s="12">
        <v>7.01</v>
      </c>
      <c r="L4973" s="13" t="str">
        <f>IF(D4973&lt;&gt;"",VLOOKUP(H4973,TABLEITEM,2,FALSE),"")</f>
        <v/>
      </c>
      <c r="M4973" s="13" t="str">
        <f>IF(D4973&lt;&gt;"",VLOOKUP(H4973,TABLEITEM,3,FALSE),"")</f>
        <v>End Plate WT2.5-10 #07.313.2555.0</v>
      </c>
      <c r="N4973" s="14">
        <f>INSTOCK!$I4973*INSTOCK!$K4973</f>
        <v>490.7</v>
      </c>
      <c r="O4973" s="4"/>
      <c r="P4973" s="4"/>
    </row>
    <row r="4974" ht="15.75" hidden="1" customHeight="1">
      <c r="B4974" s="8">
        <v>5298.0</v>
      </c>
      <c r="C4974" s="9">
        <v>43438.0</v>
      </c>
      <c r="D4974" s="6" t="s">
        <v>6013</v>
      </c>
      <c r="E4974" s="4">
        <v>6.112001572E9</v>
      </c>
      <c r="F4974" s="8" t="s">
        <v>604</v>
      </c>
      <c r="G4974" s="4" t="s">
        <v>957</v>
      </c>
      <c r="H4974" s="10" t="s">
        <v>1193</v>
      </c>
      <c r="I4974" s="10">
        <v>150.0</v>
      </c>
      <c r="J4974" s="11" t="str">
        <f>IF(D4974&lt;&gt;"",VLOOKUP(H4974,TABLEITEM,5,FALSE),"")</f>
        <v>EA</v>
      </c>
      <c r="K4974" s="12">
        <v>100.0</v>
      </c>
      <c r="L4974" s="13" t="str">
        <f>IF(D4974&lt;&gt;"",VLOOKUP(H4974,TABLEITEM,2,FALSE),"")</f>
        <v/>
      </c>
      <c r="M4974" s="13" t="str">
        <f>IF(D4974&lt;&gt;"",VLOOKUP(H4974,TABLEITEM,3,FALSE),"")</f>
        <v>กุญแจเขาควายกันน้ำMS-306-2-1</v>
      </c>
      <c r="N4974" s="14">
        <f>INSTOCK!$I4974*INSTOCK!$K4974</f>
        <v>15000</v>
      </c>
      <c r="O4974" s="4"/>
      <c r="P4974" s="4"/>
    </row>
    <row r="4975" ht="15.75" hidden="1" customHeight="1">
      <c r="B4975" s="8">
        <v>5299.0</v>
      </c>
      <c r="C4975" s="9">
        <v>43438.0</v>
      </c>
      <c r="D4975" s="6" t="s">
        <v>6014</v>
      </c>
      <c r="E4975" s="4">
        <v>6.112001569E9</v>
      </c>
      <c r="F4975" s="8" t="s">
        <v>604</v>
      </c>
      <c r="G4975" s="4" t="s">
        <v>721</v>
      </c>
      <c r="H4975" s="10" t="s">
        <v>160</v>
      </c>
      <c r="I4975" s="10">
        <v>2000.0</v>
      </c>
      <c r="J4975" s="11" t="str">
        <f>IF(D4975&lt;&gt;"",VLOOKUP(H4975,TABLEITEM,5,FALSE),"")</f>
        <v>EA</v>
      </c>
      <c r="K4975" s="12">
        <v>0.1164</v>
      </c>
      <c r="L4975" s="13" t="str">
        <f>IF(D4975&lt;&gt;"",VLOOKUP(H4975,TABLEITEM,2,FALSE),"")</f>
        <v/>
      </c>
      <c r="M4975" s="13" t="str">
        <f>IF(D4975&lt;&gt;"",VLOOKUP(H4975,TABLEITEM,3,FALSE),"")</f>
        <v>เคเบิ้ลไทร์ 4" สีดำCT-100-B-2C</v>
      </c>
      <c r="N4975" s="14">
        <f>INSTOCK!$I4975*INSTOCK!$K4975</f>
        <v>232.8</v>
      </c>
      <c r="O4975" s="4" t="s">
        <v>1217</v>
      </c>
      <c r="P4975" s="4"/>
    </row>
    <row r="4976" ht="15.75" hidden="1" customHeight="1">
      <c r="B4976" s="8">
        <v>5300.0</v>
      </c>
      <c r="C4976" s="9">
        <v>43438.0</v>
      </c>
      <c r="D4976" s="6" t="s">
        <v>6014</v>
      </c>
      <c r="E4976" s="4">
        <v>6.112001569E9</v>
      </c>
      <c r="F4976" s="8" t="s">
        <v>604</v>
      </c>
      <c r="G4976" s="4" t="s">
        <v>721</v>
      </c>
      <c r="H4976" s="10" t="s">
        <v>164</v>
      </c>
      <c r="I4976" s="10">
        <v>2000.0</v>
      </c>
      <c r="J4976" s="11" t="str">
        <f>IF(D4976&lt;&gt;"",VLOOKUP(H4976,TABLEITEM,5,FALSE),"")</f>
        <v>EA</v>
      </c>
      <c r="K4976" s="12">
        <v>0.47074</v>
      </c>
      <c r="L4976" s="13" t="str">
        <f>IF(D4976&lt;&gt;"",VLOOKUP(H4976,TABLEITEM,2,FALSE),"")</f>
        <v/>
      </c>
      <c r="M4976" s="13" t="str">
        <f>IF(D4976&lt;&gt;"",VLOOKUP(H4976,TABLEITEM,3,FALSE),"")</f>
        <v>เคเบิ้ลไทร์ 8" สีดำCT-200B-3C</v>
      </c>
      <c r="N4976" s="14">
        <f>INSTOCK!$I4976*INSTOCK!$K4976</f>
        <v>941.48</v>
      </c>
      <c r="O4976" s="4" t="s">
        <v>1219</v>
      </c>
      <c r="P4976" s="4"/>
    </row>
    <row r="4977" ht="15.75" hidden="1" customHeight="1">
      <c r="B4977" s="8">
        <v>5301.0</v>
      </c>
      <c r="C4977" s="9">
        <v>43438.0</v>
      </c>
      <c r="D4977" s="6" t="s">
        <v>6015</v>
      </c>
      <c r="E4977" s="4">
        <v>6.112001567E9</v>
      </c>
      <c r="F4977" s="8" t="s">
        <v>604</v>
      </c>
      <c r="G4977" s="4" t="s">
        <v>665</v>
      </c>
      <c r="H4977" s="10" t="s">
        <v>479</v>
      </c>
      <c r="I4977" s="10">
        <v>1000.0</v>
      </c>
      <c r="J4977" s="11" t="str">
        <f>IF(D4977&lt;&gt;"",VLOOKUP(H4977,TABLEITEM,5,FALSE),"")</f>
        <v>M</v>
      </c>
      <c r="K4977" s="12">
        <v>9.8</v>
      </c>
      <c r="L4977" s="13" t="str">
        <f>IF(D4977&lt;&gt;"",VLOOKUP(H4977,TABLEITEM,2,FALSE),"")</f>
        <v>wire</v>
      </c>
      <c r="M4977" s="13" t="str">
        <f>IF(D4977&lt;&gt;"",VLOOKUP(H4977,TABLEITEM,3,FALSE),"")</f>
        <v>สายไฟ VSF1x2.5 SQMM.สีเหลือง</v>
      </c>
      <c r="N4977" s="14">
        <f>INSTOCK!$I4977*INSTOCK!$K4977</f>
        <v>9800</v>
      </c>
      <c r="O4977" s="4"/>
      <c r="P4977" s="4"/>
    </row>
    <row r="4978" ht="15.75" hidden="1" customHeight="1">
      <c r="B4978" s="8">
        <v>5302.0</v>
      </c>
      <c r="C4978" s="9">
        <v>43438.0</v>
      </c>
      <c r="D4978" s="6" t="s">
        <v>6016</v>
      </c>
      <c r="E4978" s="4">
        <v>6.112001576E9</v>
      </c>
      <c r="F4978" s="8"/>
      <c r="G4978" s="4" t="s">
        <v>1516</v>
      </c>
      <c r="H4978" s="10" t="s">
        <v>6017</v>
      </c>
      <c r="I4978" s="10">
        <v>3.0</v>
      </c>
      <c r="J4978" s="11" t="str">
        <f>IF(D4978&lt;&gt;"",VLOOKUP(H4978,TABLEITEM,5,FALSE),"")</f>
        <v>EA</v>
      </c>
      <c r="K4978" s="12">
        <v>270.0</v>
      </c>
      <c r="L4978" s="13" t="str">
        <f>IF(D4978&lt;&gt;"",VLOOKUP(H4978,TABLEITEM,2,FALSE),"")</f>
        <v/>
      </c>
      <c r="M4978" s="13" t="str">
        <f>IF(D4978&lt;&gt;"",VLOOKUP(H4978,TABLEITEM,3,FALSE),"")</f>
        <v>COMP BUSBAR 1P 100A 24MOD</v>
      </c>
      <c r="N4978" s="14">
        <f>INSTOCK!$I4978*INSTOCK!$K4978</f>
        <v>810</v>
      </c>
      <c r="O4978" s="4" t="s">
        <v>6018</v>
      </c>
      <c r="P4978" s="4"/>
    </row>
    <row r="4979" ht="15.75" hidden="1" customHeight="1">
      <c r="B4979" s="8">
        <v>5303.0</v>
      </c>
      <c r="C4979" s="9">
        <v>43438.0</v>
      </c>
      <c r="D4979" s="6" t="s">
        <v>6016</v>
      </c>
      <c r="E4979" s="4">
        <v>6.112001576E9</v>
      </c>
      <c r="F4979" s="8"/>
      <c r="G4979" s="4" t="s">
        <v>1516</v>
      </c>
      <c r="H4979" s="10" t="s">
        <v>5984</v>
      </c>
      <c r="I4979" s="10">
        <v>13.0</v>
      </c>
      <c r="J4979" s="11" t="str">
        <f>IF(D4979&lt;&gt;"",VLOOKUP(H4979,TABLEITEM,5,FALSE),"")</f>
        <v>EA</v>
      </c>
      <c r="K4979" s="12">
        <v>160.0</v>
      </c>
      <c r="L4979" s="13" t="str">
        <f>IF(D4979&lt;&gt;"",VLOOKUP(H4979,TABLEITEM,2,FALSE),"")</f>
        <v/>
      </c>
      <c r="M4979" s="13" t="str">
        <f>IF(D4979&lt;&gt;"",VLOOKUP(H4979,TABLEITEM,3,FALSE),"")</f>
        <v>COMP BUSBAR 1P 100A 24MOD</v>
      </c>
      <c r="N4979" s="14">
        <f>INSTOCK!$I4979*INSTOCK!$K4979</f>
        <v>2080</v>
      </c>
      <c r="O4979" s="4" t="s">
        <v>2793</v>
      </c>
      <c r="P4979" s="4"/>
    </row>
    <row r="4980" ht="15.75" hidden="1" customHeight="1">
      <c r="B4980" s="8">
        <v>5304.0</v>
      </c>
      <c r="C4980" s="9">
        <v>43438.0</v>
      </c>
      <c r="D4980" s="6" t="s">
        <v>6019</v>
      </c>
      <c r="E4980" s="4">
        <v>6.111001548E9</v>
      </c>
      <c r="F4980" s="8" t="s">
        <v>604</v>
      </c>
      <c r="G4980" s="4" t="s">
        <v>617</v>
      </c>
      <c r="H4980" s="10" t="s">
        <v>560</v>
      </c>
      <c r="I4980" s="10">
        <v>25.0</v>
      </c>
      <c r="J4980" s="11" t="str">
        <f>IF(D4980&lt;&gt;"",VLOOKUP(H4980,TABLEITEM,5,FALSE),"")</f>
        <v>M</v>
      </c>
      <c r="K4980" s="12">
        <v>643.2</v>
      </c>
      <c r="L4980" s="13" t="str">
        <f>IF(D4980&lt;&gt;"",VLOOKUP(H4980,TABLEITEM,2,FALSE),"")</f>
        <v>Busbar</v>
      </c>
      <c r="M4980" s="13" t="str">
        <f>IF(D4980&lt;&gt;"",VLOOKUP(H4980,TABLEITEM,3,FALSE),"")</f>
        <v>บัสบาร์ทองแดง 30x10</v>
      </c>
      <c r="N4980" s="14">
        <f>INSTOCK!$I4980*INSTOCK!$K4980</f>
        <v>16080</v>
      </c>
      <c r="O4980" s="4" t="s">
        <v>6020</v>
      </c>
      <c r="P4980" s="4"/>
    </row>
    <row r="4981" ht="15.75" hidden="1" customHeight="1">
      <c r="B4981" s="8">
        <v>5305.0</v>
      </c>
      <c r="C4981" s="9">
        <v>43438.0</v>
      </c>
      <c r="D4981" s="6" t="s">
        <v>6019</v>
      </c>
      <c r="E4981" s="4">
        <v>6.111001548E9</v>
      </c>
      <c r="F4981" s="8" t="s">
        <v>604</v>
      </c>
      <c r="G4981" s="4" t="s">
        <v>617</v>
      </c>
      <c r="H4981" s="10" t="s">
        <v>562</v>
      </c>
      <c r="I4981" s="10">
        <v>25.0</v>
      </c>
      <c r="J4981" s="11" t="str">
        <f>IF(D4981&lt;&gt;"",VLOOKUP(H4981,TABLEITEM,5,FALSE),"")</f>
        <v>M</v>
      </c>
      <c r="K4981" s="12">
        <v>1075.2</v>
      </c>
      <c r="L4981" s="13" t="str">
        <f>IF(D4981&lt;&gt;"",VLOOKUP(H4981,TABLEITEM,2,FALSE),"")</f>
        <v>Busbar</v>
      </c>
      <c r="M4981" s="13" t="str">
        <f>IF(D4981&lt;&gt;"",VLOOKUP(H4981,TABLEITEM,3,FALSE),"")</f>
        <v>บัสบาร์ทองแดง 50x10</v>
      </c>
      <c r="N4981" s="14">
        <f>INSTOCK!$I4981*INSTOCK!$K4981</f>
        <v>26880</v>
      </c>
      <c r="O4981" s="4" t="s">
        <v>6020</v>
      </c>
      <c r="P4981" s="4"/>
    </row>
    <row r="4982" ht="15.75" hidden="1" customHeight="1">
      <c r="B4982" s="8">
        <v>5306.0</v>
      </c>
      <c r="C4982" s="9">
        <v>43437.0</v>
      </c>
      <c r="D4982" s="6">
        <v>6.1120077E8</v>
      </c>
      <c r="E4982" s="4">
        <v>6.11200157E9</v>
      </c>
      <c r="F4982" s="8"/>
      <c r="G4982" s="4" t="s">
        <v>1130</v>
      </c>
      <c r="H4982" s="10" t="s">
        <v>251</v>
      </c>
      <c r="I4982" s="10">
        <v>2000.0</v>
      </c>
      <c r="J4982" s="11" t="str">
        <f>IF(D4982&lt;&gt;"",VLOOKUP(H4982,TABLEITEM,5,FALSE),"")</f>
        <v>EA</v>
      </c>
      <c r="K4982" s="12">
        <v>1.05</v>
      </c>
      <c r="L4982" s="13" t="str">
        <f>IF(D4982&lt;&gt;"",VLOOKUP(H4982,TABLEITEM,2,FALSE),"")</f>
        <v/>
      </c>
      <c r="M4982" s="13" t="str">
        <f>IF(D4982&lt;&gt;"",VLOOKUP(H4982,TABLEITEM,3,FALSE),"")</f>
        <v>หางปลาแฉกเปลือย Y4-4</v>
      </c>
      <c r="N4982" s="14">
        <f>INSTOCK!$I4982*INSTOCK!$K4982</f>
        <v>2100</v>
      </c>
      <c r="O4982" s="4" t="s">
        <v>3939</v>
      </c>
      <c r="P4982" s="4"/>
    </row>
    <row r="4983" ht="15.75" hidden="1" customHeight="1">
      <c r="B4983" s="8">
        <v>5307.0</v>
      </c>
      <c r="C4983" s="9">
        <v>43437.0</v>
      </c>
      <c r="D4983" s="6">
        <v>6.1120039E7</v>
      </c>
      <c r="E4983" s="4">
        <v>6.111001557E9</v>
      </c>
      <c r="F4983" s="8" t="s">
        <v>6021</v>
      </c>
      <c r="G4983" s="4" t="s">
        <v>711</v>
      </c>
      <c r="H4983" s="10" t="s">
        <v>754</v>
      </c>
      <c r="I4983" s="10">
        <v>20.0</v>
      </c>
      <c r="J4983" s="11" t="str">
        <f>IF(D4983&lt;&gt;"",VLOOKUP(H4983,TABLEITEM,5,FALSE),"")</f>
        <v>KG.</v>
      </c>
      <c r="K4983" s="12">
        <v>144.0</v>
      </c>
      <c r="L4983" s="13" t="str">
        <f>IF(D4983&lt;&gt;"",VLOOKUP(H4983,TABLEITEM,2,FALSE),"")</f>
        <v/>
      </c>
      <c r="M4983" s="13" t="str">
        <f>IF(D4983&lt;&gt;"",VLOOKUP(H4983,TABLEITEM,3,FALSE),"")</f>
        <v>สีฝุ่น P70003 AN สีครีม</v>
      </c>
      <c r="N4983" s="14">
        <f>INSTOCK!$I4983*INSTOCK!$K4983</f>
        <v>2880</v>
      </c>
      <c r="O4983" s="4" t="s">
        <v>756</v>
      </c>
      <c r="P4983" s="4"/>
    </row>
    <row r="4984" ht="15.75" hidden="1" customHeight="1">
      <c r="B4984" s="8">
        <v>5308.0</v>
      </c>
      <c r="C4984" s="9">
        <v>43437.0</v>
      </c>
      <c r="D4984" s="6">
        <v>6.1120038E7</v>
      </c>
      <c r="E4984" s="4">
        <v>6.112001564E9</v>
      </c>
      <c r="F4984" s="8" t="s">
        <v>6022</v>
      </c>
      <c r="G4984" s="4" t="s">
        <v>1127</v>
      </c>
      <c r="H4984" s="10" t="s">
        <v>6023</v>
      </c>
      <c r="I4984" s="10">
        <v>5.0</v>
      </c>
      <c r="J4984" s="11" t="str">
        <f>IF(D4984&lt;&gt;"",VLOOKUP(H4984,TABLEITEM,5,FALSE),"")</f>
        <v>EA</v>
      </c>
      <c r="K4984" s="12">
        <v>90.0</v>
      </c>
      <c r="L4984" s="13" t="str">
        <f>IF(D4984&lt;&gt;"",VLOOKUP(H4984,TABLEITEM,2,FALSE),"")</f>
        <v/>
      </c>
      <c r="M4984" s="13" t="str">
        <f>IF(D4984&lt;&gt;"",VLOOKUP(H4984,TABLEITEM,3,FALSE),"")</f>
        <v>PANA200 TIP BODY ละเอียด 1.0มม</v>
      </c>
      <c r="N4984" s="14">
        <f>INSTOCK!$I4984*INSTOCK!$K4984</f>
        <v>450</v>
      </c>
      <c r="O4984" s="4"/>
      <c r="P4984" s="4"/>
    </row>
    <row r="4985" ht="15.75" hidden="1" customHeight="1">
      <c r="B4985" s="8">
        <v>5309.0</v>
      </c>
      <c r="C4985" s="9">
        <v>43437.0</v>
      </c>
      <c r="D4985" s="6" t="s">
        <v>6024</v>
      </c>
      <c r="E4985" s="4">
        <v>6.112001574E9</v>
      </c>
      <c r="F4985" s="8" t="s">
        <v>6025</v>
      </c>
      <c r="G4985" s="4" t="s">
        <v>1587</v>
      </c>
      <c r="H4985" s="10" t="s">
        <v>6026</v>
      </c>
      <c r="I4985" s="10">
        <v>5.0</v>
      </c>
      <c r="J4985" s="11" t="str">
        <f>IF(D4985&lt;&gt;"",VLOOKUP(H4985,TABLEITEM,5,FALSE),"")</f>
        <v>EA</v>
      </c>
      <c r="K4985" s="12">
        <v>1932.0</v>
      </c>
      <c r="L4985" s="13" t="str">
        <f>IF(D4985&lt;&gt;"",VLOOKUP(H4985,TABLEITEM,2,FALSE),"")</f>
        <v/>
      </c>
      <c r="M4985" s="13" t="str">
        <f>IF(D4985&lt;&gt;"",VLOOKUP(H4985,TABLEITEM,3,FALSE),"")</f>
        <v>MCCB NV63 CV 3P 32A</v>
      </c>
      <c r="N4985" s="14">
        <f>INSTOCK!$I4985*INSTOCK!$K4985</f>
        <v>9660</v>
      </c>
      <c r="O4985" s="4" t="s">
        <v>6027</v>
      </c>
      <c r="P4985" s="4"/>
    </row>
    <row r="4986" ht="15.75" hidden="1" customHeight="1">
      <c r="B4986" s="8">
        <v>5310.0</v>
      </c>
      <c r="C4986" s="9">
        <v>43437.0</v>
      </c>
      <c r="D4986" s="6" t="s">
        <v>6028</v>
      </c>
      <c r="E4986" s="4">
        <v>6.112001568E9</v>
      </c>
      <c r="F4986" s="8" t="s">
        <v>6029</v>
      </c>
      <c r="G4986" s="4" t="s">
        <v>1587</v>
      </c>
      <c r="H4986" s="10" t="s">
        <v>6030</v>
      </c>
      <c r="I4986" s="10">
        <v>12.0</v>
      </c>
      <c r="J4986" s="11" t="str">
        <f>IF(D4986&lt;&gt;"",VLOOKUP(H4986,TABLEITEM,5,FALSE),"")</f>
        <v>EA</v>
      </c>
      <c r="K4986" s="12">
        <v>320.16</v>
      </c>
      <c r="L4986" s="13" t="str">
        <f>IF(D4986&lt;&gt;"",VLOOKUP(H4986,TABLEITEM,2,FALSE),"")</f>
        <v/>
      </c>
      <c r="M4986" s="13" t="str">
        <f>IF(D4986&lt;&gt;"",VLOOKUP(H4986,TABLEITEM,3,FALSE),"")</f>
        <v>MCCB BH-D6 2P 25A</v>
      </c>
      <c r="N4986" s="14">
        <f>INSTOCK!$I4986*INSTOCK!$K4986</f>
        <v>3841.92</v>
      </c>
      <c r="O4986" s="4" t="s">
        <v>6031</v>
      </c>
      <c r="P4986" s="4"/>
    </row>
    <row r="4987" ht="15.75" hidden="1" customHeight="1">
      <c r="B4987" s="8">
        <v>5311.0</v>
      </c>
      <c r="C4987" s="9">
        <v>43437.0</v>
      </c>
      <c r="D4987" s="6" t="s">
        <v>6032</v>
      </c>
      <c r="E4987" s="4">
        <v>6.112001563E9</v>
      </c>
      <c r="F4987" s="8" t="s">
        <v>6033</v>
      </c>
      <c r="G4987" s="4" t="s">
        <v>6034</v>
      </c>
      <c r="H4987" s="10" t="s">
        <v>6035</v>
      </c>
      <c r="I4987" s="10">
        <v>528.31</v>
      </c>
      <c r="J4987" s="11" t="str">
        <f>IF(D4987&lt;&gt;"",VLOOKUP(H4987,TABLEITEM,5,FALSE),"")</f>
        <v>EA</v>
      </c>
      <c r="K4987" s="12">
        <v>105.0</v>
      </c>
      <c r="L4987" s="13" t="str">
        <f>IF(D4987&lt;&gt;"",VLOOKUP(H4987,TABLEITEM,2,FALSE),"")</f>
        <v/>
      </c>
      <c r="M4987" s="13" t="str">
        <f>IF(D4987&lt;&gt;"",VLOOKUP(H4987,TABLEITEM,3,FALSE),"")</f>
        <v>แผ่นหลังคาเมทัลซีท </v>
      </c>
      <c r="N4987" s="14">
        <f>INSTOCK!$I4987*INSTOCK!$K4987</f>
        <v>55472.55</v>
      </c>
      <c r="O4987" s="4"/>
      <c r="P4987" s="4"/>
    </row>
    <row r="4988" ht="15.75" hidden="1" customHeight="1">
      <c r="B4988" s="8">
        <v>5312.0</v>
      </c>
      <c r="C4988" s="9">
        <v>43437.0</v>
      </c>
      <c r="D4988" s="6" t="s">
        <v>6036</v>
      </c>
      <c r="E4988" s="4">
        <v>6.11200156E9</v>
      </c>
      <c r="F4988" s="8" t="s">
        <v>6037</v>
      </c>
      <c r="G4988" s="4" t="s">
        <v>692</v>
      </c>
      <c r="H4988" s="10" t="s">
        <v>1694</v>
      </c>
      <c r="I4988" s="10">
        <v>1.0</v>
      </c>
      <c r="J4988" s="11" t="str">
        <f>IF(D4988&lt;&gt;"",VLOOKUP(H4988,TABLEITEM,5,FALSE),"")</f>
        <v>EA</v>
      </c>
      <c r="K4988" s="12">
        <v>1062.6</v>
      </c>
      <c r="L4988" s="13" t="str">
        <f>IF(D4988&lt;&gt;"",VLOOKUP(H4988,TABLEITEM,2,FALSE),"")</f>
        <v/>
      </c>
      <c r="M4988" s="13" t="str">
        <f>IF(D4988&lt;&gt;"",VLOOKUP(H4988,TABLEITEM,3,FALSE),"")</f>
        <v>Circuil Breaker FH202AC-40/0.03</v>
      </c>
      <c r="N4988" s="14">
        <f>INSTOCK!$I4988*INSTOCK!$K4988</f>
        <v>1062.6</v>
      </c>
      <c r="O4988" s="4" t="s">
        <v>2037</v>
      </c>
      <c r="P4988" s="4"/>
    </row>
    <row r="4989" ht="15.75" hidden="1" customHeight="1">
      <c r="B4989" s="8">
        <v>5313.0</v>
      </c>
      <c r="C4989" s="9">
        <v>43437.0</v>
      </c>
      <c r="D4989" s="6" t="s">
        <v>6038</v>
      </c>
      <c r="E4989" s="4">
        <v>6.111001544E9</v>
      </c>
      <c r="F4989" s="8" t="s">
        <v>604</v>
      </c>
      <c r="G4989" s="4" t="s">
        <v>692</v>
      </c>
      <c r="H4989" s="10" t="s">
        <v>513</v>
      </c>
      <c r="I4989" s="10">
        <v>200.0</v>
      </c>
      <c r="J4989" s="11" t="str">
        <f>IF(D4989&lt;&gt;"",VLOOKUP(H4989,TABLEITEM,5,FALSE),"")</f>
        <v>M</v>
      </c>
      <c r="K4989" s="12">
        <v>35.19</v>
      </c>
      <c r="L4989" s="13" t="str">
        <f>IF(D4989&lt;&gt;"",VLOOKUP(H4989,TABLEITEM,2,FALSE),"")</f>
        <v>wire</v>
      </c>
      <c r="M4989" s="13" t="str">
        <f>IF(D4989&lt;&gt;"",VLOOKUP(H4989,TABLEITEM,3,FALSE),"")</f>
        <v>สายTHW ขนาด 1x16 SQMM.สีดำ</v>
      </c>
      <c r="N4989" s="14">
        <f>INSTOCK!$I4989*INSTOCK!$K4989</f>
        <v>7038</v>
      </c>
      <c r="O4989" s="4" t="s">
        <v>6039</v>
      </c>
      <c r="P4989" s="4"/>
    </row>
    <row r="4990" ht="15.75" hidden="1" customHeight="1">
      <c r="B4990" s="8">
        <v>5314.0</v>
      </c>
      <c r="C4990" s="9">
        <v>43437.0</v>
      </c>
      <c r="D4990" s="6" t="s">
        <v>6040</v>
      </c>
      <c r="E4990" s="4">
        <v>6.112001571E9</v>
      </c>
      <c r="F4990" s="8" t="s">
        <v>604</v>
      </c>
      <c r="G4990" s="4" t="s">
        <v>737</v>
      </c>
      <c r="H4990" s="10" t="s">
        <v>20</v>
      </c>
      <c r="I4990" s="10">
        <v>10.0</v>
      </c>
      <c r="J4990" s="11" t="str">
        <f>IF(D4990&lt;&gt;"",VLOOKUP(H4990,TABLEITEM,5,FALSE),"")</f>
        <v>ROLL</v>
      </c>
      <c r="K4990" s="12">
        <v>795.0</v>
      </c>
      <c r="L4990" s="13" t="str">
        <f>IF(D4990&lt;&gt;"",VLOOKUP(H4990,TABLEITEM,2,FALSE),"")</f>
        <v/>
      </c>
      <c r="M4990" s="13" t="str">
        <f>IF(D4990&lt;&gt;"",VLOOKUP(H4990,TABLEITEM,3,FALSE),"")</f>
        <v>ลวดเชื่อมco2</v>
      </c>
      <c r="N4990" s="14">
        <f>INSTOCK!$I4990*INSTOCK!$K4990</f>
        <v>7950</v>
      </c>
      <c r="O4990" s="4"/>
      <c r="P4990" s="4"/>
    </row>
    <row r="4991" ht="15.75" hidden="1" customHeight="1">
      <c r="B4991" s="8">
        <v>5315.0</v>
      </c>
      <c r="C4991" s="9">
        <v>43437.0</v>
      </c>
      <c r="D4991" s="6" t="s">
        <v>6041</v>
      </c>
      <c r="E4991" s="4" t="s">
        <v>6042</v>
      </c>
      <c r="F4991" s="8" t="s">
        <v>604</v>
      </c>
      <c r="G4991" s="4" t="s">
        <v>798</v>
      </c>
      <c r="H4991" s="10" t="s">
        <v>6043</v>
      </c>
      <c r="I4991" s="10">
        <v>1000.0</v>
      </c>
      <c r="J4991" s="11" t="str">
        <f>IF(D4991&lt;&gt;"",VLOOKUP(H4991,TABLEITEM,5,FALSE),"")</f>
        <v>EA</v>
      </c>
      <c r="K4991" s="12">
        <v>23.0</v>
      </c>
      <c r="L4991" s="13" t="str">
        <f>IF(D4991&lt;&gt;"",VLOOKUP(H4991,TABLEITEM,2,FALSE),"")</f>
        <v/>
      </c>
      <c r="M4991" s="13" t="str">
        <f>IF(D4991&lt;&gt;"",VLOOKUP(H4991,TABLEITEM,3,FALSE),"")</f>
        <v>กุญแจกลมดำ แบบมีก้านลิ้นสั้น178-04-G-293</v>
      </c>
      <c r="N4991" s="14">
        <f>INSTOCK!$I4991*INSTOCK!$K4991</f>
        <v>23000</v>
      </c>
      <c r="O4991" s="4"/>
      <c r="P4991" s="4"/>
    </row>
    <row r="4992" ht="15.75" hidden="1" customHeight="1">
      <c r="B4992" s="8">
        <v>5316.0</v>
      </c>
      <c r="C4992" s="9">
        <v>43437.0</v>
      </c>
      <c r="D4992" s="6" t="s">
        <v>6044</v>
      </c>
      <c r="E4992" s="4">
        <v>6.111001558E9</v>
      </c>
      <c r="F4992" s="8" t="s">
        <v>5810</v>
      </c>
      <c r="G4992" s="4" t="s">
        <v>982</v>
      </c>
      <c r="H4992" s="10" t="s">
        <v>983</v>
      </c>
      <c r="I4992" s="10">
        <v>100.0</v>
      </c>
      <c r="J4992" s="11" t="str">
        <f>IF(D4992&lt;&gt;"",VLOOKUP(H4992,TABLEITEM,5,FALSE),"")</f>
        <v>KG.</v>
      </c>
      <c r="K4992" s="12">
        <v>37.0</v>
      </c>
      <c r="L4992" s="13" t="str">
        <f>IF(D4992&lt;&gt;"",VLOOKUP(H4992,TABLEITEM,2,FALSE),"")</f>
        <v/>
      </c>
      <c r="M4992" s="13" t="str">
        <f>IF(D4992&lt;&gt;"",VLOOKUP(H4992,TABLEITEM,3,FALSE),"")</f>
        <v>เคมี ADDITIVE P-8</v>
      </c>
      <c r="N4992" s="14">
        <f>INSTOCK!$I4992*INSTOCK!$K4992</f>
        <v>3700</v>
      </c>
      <c r="O4992" s="4"/>
      <c r="P4992" s="4"/>
    </row>
    <row r="4993" ht="15.75" hidden="1" customHeight="1">
      <c r="B4993" s="8">
        <v>5317.0</v>
      </c>
      <c r="C4993" s="9">
        <v>43437.0</v>
      </c>
      <c r="D4993" s="6" t="s">
        <v>6044</v>
      </c>
      <c r="E4993" s="4">
        <v>6.111001558E9</v>
      </c>
      <c r="F4993" s="8" t="s">
        <v>5810</v>
      </c>
      <c r="G4993" s="4" t="s">
        <v>982</v>
      </c>
      <c r="H4993" s="10" t="s">
        <v>986</v>
      </c>
      <c r="I4993" s="10">
        <v>300.0</v>
      </c>
      <c r="J4993" s="11" t="str">
        <f>IF(D4993&lt;&gt;"",VLOOKUP(H4993,TABLEITEM,5,FALSE),"")</f>
        <v>KG.</v>
      </c>
      <c r="K4993" s="12">
        <v>41.0</v>
      </c>
      <c r="L4993" s="13" t="str">
        <f>IF(D4993&lt;&gt;"",VLOOKUP(H4993,TABLEITEM,2,FALSE),"")</f>
        <v/>
      </c>
      <c r="M4993" s="13" t="str">
        <f>IF(D4993&lt;&gt;"",VLOOKUP(H4993,TABLEITEM,3,FALSE),"")</f>
        <v>เคมีฟอสเฟต PN-134</v>
      </c>
      <c r="N4993" s="14">
        <f>INSTOCK!$I4993*INSTOCK!$K4993</f>
        <v>12300</v>
      </c>
      <c r="O4993" s="4"/>
      <c r="P4993" s="4"/>
    </row>
    <row r="4994" ht="15.75" hidden="1" customHeight="1">
      <c r="B4994" s="8">
        <v>5318.0</v>
      </c>
      <c r="C4994" s="9">
        <v>43437.0</v>
      </c>
      <c r="D4994" s="6">
        <v>6.11200657E8</v>
      </c>
      <c r="E4994" s="4">
        <v>6.112001562E9</v>
      </c>
      <c r="F4994" s="8"/>
      <c r="G4994" s="4" t="s">
        <v>1130</v>
      </c>
      <c r="H4994" s="10" t="s">
        <v>4872</v>
      </c>
      <c r="I4994" s="10">
        <v>1.0</v>
      </c>
      <c r="J4994" s="11" t="str">
        <f>IF(D4994&lt;&gt;"",VLOOKUP(H4994,TABLEITEM,5,FALSE),"")</f>
        <v>EA</v>
      </c>
      <c r="K4994" s="12">
        <v>2990.0</v>
      </c>
      <c r="L4994" s="13" t="str">
        <f>IF(D4994&lt;&gt;"",VLOOKUP(H4994,TABLEITEM,2,FALSE),"")</f>
        <v/>
      </c>
      <c r="M4994" s="13" t="str">
        <f>IF(D4994&lt;&gt;"",VLOOKUP(H4994,TABLEITEM,3,FALSE),"")</f>
        <v>เบรกเกอร์ NF250-CV 3P 150A</v>
      </c>
      <c r="N4994" s="14">
        <f>INSTOCK!$I4994*INSTOCK!$K4994</f>
        <v>2990</v>
      </c>
      <c r="O4994" s="4"/>
      <c r="P4994" s="4"/>
    </row>
    <row r="4995" ht="15.75" hidden="1" customHeight="1">
      <c r="B4995" s="8">
        <v>5319.0</v>
      </c>
      <c r="C4995" s="9">
        <v>43437.0</v>
      </c>
      <c r="D4995" s="6">
        <v>6.11200657E8</v>
      </c>
      <c r="E4995" s="4">
        <v>6.112001562E9</v>
      </c>
      <c r="F4995" s="8"/>
      <c r="G4995" s="4" t="s">
        <v>1130</v>
      </c>
      <c r="H4995" s="10" t="s">
        <v>1608</v>
      </c>
      <c r="I4995" s="10">
        <v>6.0</v>
      </c>
      <c r="J4995" s="11" t="str">
        <f>IF(D4995&lt;&gt;"",VLOOKUP(H4995,TABLEITEM,5,FALSE),"")</f>
        <v>EA</v>
      </c>
      <c r="K4995" s="12">
        <v>490.2</v>
      </c>
      <c r="L4995" s="13" t="str">
        <f>IF(D4995&lt;&gt;"",VLOOKUP(H4995,TABLEITEM,2,FALSE),"")</f>
        <v/>
      </c>
      <c r="M4995" s="13" t="str">
        <f>IF(D4995&lt;&gt;"",VLOOKUP(H4995,TABLEITEM,3,FALSE),"")</f>
        <v>CIRCUIT CP30-BA 1P 2A</v>
      </c>
      <c r="N4995" s="14">
        <f>INSTOCK!$I4995*INSTOCK!$K4995</f>
        <v>2941.2</v>
      </c>
      <c r="O4995" s="4"/>
      <c r="P4995" s="4"/>
    </row>
    <row r="4996" ht="15.75" hidden="1" customHeight="1">
      <c r="B4996" s="8">
        <v>5320.0</v>
      </c>
      <c r="C4996" s="9">
        <v>43437.0</v>
      </c>
      <c r="D4996" s="6">
        <v>6.11200657E8</v>
      </c>
      <c r="E4996" s="4">
        <v>6.112001562E9</v>
      </c>
      <c r="F4996" s="8"/>
      <c r="G4996" s="4" t="s">
        <v>1130</v>
      </c>
      <c r="H4996" s="10" t="s">
        <v>4385</v>
      </c>
      <c r="I4996" s="10">
        <v>4.0</v>
      </c>
      <c r="J4996" s="11" t="str">
        <f>IF(D4996&lt;&gt;"",VLOOKUP(H4996,TABLEITEM,5,FALSE),"")</f>
        <v>EA</v>
      </c>
      <c r="K4996" s="12">
        <v>874.0</v>
      </c>
      <c r="L4996" s="13" t="str">
        <f>IF(D4996&lt;&gt;"",VLOOKUP(H4996,TABLEITEM,2,FALSE),"")</f>
        <v/>
      </c>
      <c r="M4996" s="13" t="str">
        <f>IF(D4996&lt;&gt;"",VLOOKUP(H4996,TABLEITEM,3,FALSE),"")</f>
        <v>BREAKER NF63 CV 3P 32A</v>
      </c>
      <c r="N4996" s="14">
        <f>INSTOCK!$I4996*INSTOCK!$K4996</f>
        <v>3496</v>
      </c>
      <c r="O4996" s="4"/>
      <c r="P4996" s="4"/>
    </row>
    <row r="4997" ht="15.75" hidden="1" customHeight="1">
      <c r="B4997" s="8">
        <v>5321.0</v>
      </c>
      <c r="C4997" s="9">
        <v>43437.0</v>
      </c>
      <c r="D4997" s="6">
        <v>6.11200657E8</v>
      </c>
      <c r="E4997" s="4">
        <v>6.112001562E9</v>
      </c>
      <c r="F4997" s="8"/>
      <c r="G4997" s="4" t="s">
        <v>1130</v>
      </c>
      <c r="H4997" s="10" t="s">
        <v>6045</v>
      </c>
      <c r="I4997" s="10">
        <v>1.0</v>
      </c>
      <c r="J4997" s="11" t="str">
        <f>IF(D4997&lt;&gt;"",VLOOKUP(H4997,TABLEITEM,5,FALSE),"")</f>
        <v>EA</v>
      </c>
      <c r="K4997" s="12">
        <v>2990.0</v>
      </c>
      <c r="L4997" s="13" t="str">
        <f>IF(D4997&lt;&gt;"",VLOOKUP(H4997,TABLEITEM,2,FALSE),"")</f>
        <v/>
      </c>
      <c r="M4997" s="13" t="str">
        <f>IF(D4997&lt;&gt;"",VLOOKUP(H4997,TABLEITEM,3,FALSE),"")</f>
        <v>MCCB NF250 CV 3P 200A</v>
      </c>
      <c r="N4997" s="14">
        <f>INSTOCK!$I4997*INSTOCK!$K4997</f>
        <v>2990</v>
      </c>
      <c r="O4997" s="4"/>
      <c r="P4997" s="4"/>
    </row>
    <row r="4998" ht="15.75" hidden="1" customHeight="1">
      <c r="B4998" s="8">
        <v>5322.0</v>
      </c>
      <c r="C4998" s="9">
        <v>43437.0</v>
      </c>
      <c r="D4998" s="6" t="s">
        <v>6046</v>
      </c>
      <c r="E4998" s="4">
        <v>6.109001111E9</v>
      </c>
      <c r="F4998" s="8" t="s">
        <v>604</v>
      </c>
      <c r="G4998" s="4" t="s">
        <v>1777</v>
      </c>
      <c r="H4998" s="10" t="s">
        <v>3997</v>
      </c>
      <c r="I4998" s="10">
        <v>10000.0</v>
      </c>
      <c r="J4998" s="11" t="str">
        <f>IF(D4998&lt;&gt;"",VLOOKUP(H4998,TABLEITEM,5,FALSE),"")</f>
        <v>EA</v>
      </c>
      <c r="K4998" s="12">
        <v>0.99</v>
      </c>
      <c r="L4998" s="13" t="str">
        <f>IF(D4998&lt;&gt;"",VLOOKUP(H4998,TABLEITEM,2,FALSE),"")</f>
        <v/>
      </c>
      <c r="M4998" s="13" t="str">
        <f>IF(D4998&lt;&gt;"",VLOOKUP(H4998,TABLEITEM,3,FALSE),"")</f>
        <v>สกรูหัวติดแหวน M 6x10</v>
      </c>
      <c r="N4998" s="14">
        <f>INSTOCK!$I4998*INSTOCK!$K4998</f>
        <v>9900</v>
      </c>
      <c r="O4998" s="4" t="s">
        <v>6047</v>
      </c>
      <c r="P4998" s="4"/>
    </row>
    <row r="4999" ht="15.75" hidden="1" customHeight="1">
      <c r="B4999" s="8">
        <v>5323.0</v>
      </c>
      <c r="C4999" s="9">
        <v>43437.0</v>
      </c>
      <c r="D4999" s="6" t="s">
        <v>6048</v>
      </c>
      <c r="E4999" s="4">
        <v>6.112001561E9</v>
      </c>
      <c r="F4999" s="8" t="s">
        <v>6049</v>
      </c>
      <c r="G4999" s="4" t="s">
        <v>1904</v>
      </c>
      <c r="H4999" s="10" t="s">
        <v>6050</v>
      </c>
      <c r="I4999" s="10">
        <v>2.0</v>
      </c>
      <c r="J4999" s="11" t="str">
        <f>IF(D4999&lt;&gt;"",VLOOKUP(H4999,TABLEITEM,5,FALSE),"")</f>
        <v>EA</v>
      </c>
      <c r="K4999" s="12">
        <v>381.5</v>
      </c>
      <c r="L4999" s="13" t="str">
        <f>IF(D4999&lt;&gt;"",VLOOKUP(H4999,TABLEITEM,2,FALSE),"")</f>
        <v/>
      </c>
      <c r="M4999" s="13" t="str">
        <f>IF(D4999&lt;&gt;"",VLOOKUP(H4999,TABLEITEM,3,FALSE),"")</f>
        <v>PILOT LIGHT APW126D-R 22mm</v>
      </c>
      <c r="N4999" s="14">
        <f>INSTOCK!$I4999*INSTOCK!$K4999</f>
        <v>763</v>
      </c>
      <c r="O4999" s="4" t="s">
        <v>4297</v>
      </c>
      <c r="P4999" s="4"/>
    </row>
    <row r="5000" ht="15.75" hidden="1" customHeight="1">
      <c r="B5000" s="8">
        <v>5324.0</v>
      </c>
      <c r="C5000" s="9">
        <v>43437.0</v>
      </c>
      <c r="D5000" s="6" t="s">
        <v>6048</v>
      </c>
      <c r="E5000" s="4">
        <v>6.112001561E9</v>
      </c>
      <c r="F5000" s="8" t="s">
        <v>6049</v>
      </c>
      <c r="G5000" s="4" t="s">
        <v>1904</v>
      </c>
      <c r="H5000" s="10" t="s">
        <v>5314</v>
      </c>
      <c r="I5000" s="10">
        <v>2.0</v>
      </c>
      <c r="J5000" s="11" t="str">
        <f>IF(D5000&lt;&gt;"",VLOOKUP(H5000,TABLEITEM,5,FALSE),"")</f>
        <v>EA</v>
      </c>
      <c r="K5000" s="12">
        <v>381.5</v>
      </c>
      <c r="L5000" s="13" t="str">
        <f>IF(D5000&lt;&gt;"",VLOOKUP(H5000,TABLEITEM,2,FALSE),"")</f>
        <v/>
      </c>
      <c r="M5000" s="13" t="str">
        <f>IF(D5000&lt;&gt;"",VLOOKUP(H5000,TABLEITEM,3,FALSE),"")</f>
        <v>PILOT LIGHT APW126D-Y 22mm</v>
      </c>
      <c r="N5000" s="14">
        <f>INSTOCK!$I5000*INSTOCK!$K5000</f>
        <v>763</v>
      </c>
      <c r="O5000" s="4" t="s">
        <v>4297</v>
      </c>
      <c r="P5000" s="4"/>
    </row>
    <row r="5001" ht="15.75" hidden="1" customHeight="1">
      <c r="B5001" s="8">
        <v>5325.0</v>
      </c>
      <c r="C5001" s="9">
        <v>43437.0</v>
      </c>
      <c r="D5001" s="6" t="s">
        <v>6048</v>
      </c>
      <c r="E5001" s="4">
        <v>6.112001561E9</v>
      </c>
      <c r="F5001" s="8" t="s">
        <v>6049</v>
      </c>
      <c r="G5001" s="4" t="s">
        <v>1904</v>
      </c>
      <c r="H5001" s="10" t="s">
        <v>5315</v>
      </c>
      <c r="I5001" s="10">
        <v>2.0</v>
      </c>
      <c r="J5001" s="11" t="str">
        <f>IF(D5001&lt;&gt;"",VLOOKUP(H5001,TABLEITEM,5,FALSE),"")</f>
        <v>EA</v>
      </c>
      <c r="K5001" s="12">
        <v>479.5</v>
      </c>
      <c r="L5001" s="13" t="str">
        <f>IF(D5001&lt;&gt;"",VLOOKUP(H5001,TABLEITEM,2,FALSE),"")</f>
        <v/>
      </c>
      <c r="M5001" s="13" t="str">
        <f>IF(D5001&lt;&gt;"",VLOOKUP(H5001,TABLEITEM,3,FALSE),"")</f>
        <v>PILOT LIGHT APW126D-S 22mm</v>
      </c>
      <c r="N5001" s="14">
        <f>INSTOCK!$I5001*INSTOCK!$K5001</f>
        <v>959</v>
      </c>
      <c r="O5001" s="4" t="s">
        <v>6051</v>
      </c>
      <c r="P5001" s="4"/>
    </row>
    <row r="5002" ht="15.75" hidden="1" customHeight="1">
      <c r="B5002" s="8">
        <v>5326.0</v>
      </c>
      <c r="C5002" s="9">
        <v>43435.0</v>
      </c>
      <c r="D5002" s="6" t="s">
        <v>6052</v>
      </c>
      <c r="E5002" s="4">
        <v>6.111001551E9</v>
      </c>
      <c r="F5002" s="8" t="s">
        <v>1650</v>
      </c>
      <c r="G5002" s="4" t="s">
        <v>5846</v>
      </c>
      <c r="H5002" s="18">
        <v>5.75060055E9</v>
      </c>
      <c r="I5002" s="10">
        <v>20.0</v>
      </c>
      <c r="J5002" s="11" t="str">
        <f>IF(D5002&lt;&gt;"",VLOOKUP(H5002,TABLEITEM,5,FALSE),"")</f>
        <v>EA</v>
      </c>
      <c r="K5002" s="12">
        <v>28.0</v>
      </c>
      <c r="L5002" s="13" t="str">
        <f>IF(D5002&lt;&gt;"",VLOOKUP(H5002,TABLEITEM,2,FALSE),"")</f>
        <v/>
      </c>
      <c r="M5002" s="13" t="str">
        <f>IF(D5002&lt;&gt;"",VLOOKUP(H5002,TABLEITEM,3,FALSE),"")</f>
        <v>57.506.055.0 WK6/U GREY MODULAR TERMINAL</v>
      </c>
      <c r="N5002" s="14">
        <f>INSTOCK!$I5002*INSTOCK!$K5002</f>
        <v>560</v>
      </c>
      <c r="O5002" s="4"/>
      <c r="P5002" s="4"/>
    </row>
    <row r="5003" ht="15.75" hidden="1" customHeight="1">
      <c r="B5003" s="8">
        <v>5327.0</v>
      </c>
      <c r="C5003" s="9">
        <v>43435.0</v>
      </c>
      <c r="D5003" s="6" t="s">
        <v>6052</v>
      </c>
      <c r="E5003" s="4">
        <v>6.111001551E9</v>
      </c>
      <c r="F5003" s="8" t="s">
        <v>1650</v>
      </c>
      <c r="G5003" s="4" t="s">
        <v>5846</v>
      </c>
      <c r="H5003" s="18">
        <v>5.75069055E9</v>
      </c>
      <c r="I5003" s="10">
        <v>5.0</v>
      </c>
      <c r="J5003" s="11" t="str">
        <f>IF(D5003&lt;&gt;"",VLOOKUP(H5003,TABLEITEM,5,FALSE),"")</f>
        <v>EA</v>
      </c>
      <c r="K5003" s="12">
        <v>77.85</v>
      </c>
      <c r="L5003" s="13" t="str">
        <f>IF(D5003&lt;&gt;"",VLOOKUP(H5003,TABLEITEM,2,FALSE),"")</f>
        <v/>
      </c>
      <c r="M5003" s="13" t="str">
        <f>IF(D5003&lt;&gt;"",VLOOKUP(H5003,TABLEITEM,3,FALSE),"")</f>
        <v>57.506.9055.0 Wk6 SL/U GREY /YELLOW EAR</v>
      </c>
      <c r="N5003" s="14">
        <f>INSTOCK!$I5003*INSTOCK!$K5003</f>
        <v>389.25</v>
      </c>
      <c r="O5003" s="4"/>
      <c r="P5003" s="4"/>
    </row>
    <row r="5004" ht="15.75" hidden="1" customHeight="1">
      <c r="B5004" s="8">
        <v>5328.0</v>
      </c>
      <c r="C5004" s="9">
        <v>43435.0</v>
      </c>
      <c r="D5004" s="6" t="s">
        <v>6052</v>
      </c>
      <c r="E5004" s="4">
        <v>6.111001551E9</v>
      </c>
      <c r="F5004" s="8" t="s">
        <v>1650</v>
      </c>
      <c r="G5004" s="4" t="s">
        <v>5846</v>
      </c>
      <c r="H5004" s="18">
        <v>5.75040055E9</v>
      </c>
      <c r="I5004" s="10">
        <v>60.0</v>
      </c>
      <c r="J5004" s="11" t="str">
        <f>IF(D5004&lt;&gt;"",VLOOKUP(H5004,TABLEITEM,5,FALSE),"")</f>
        <v>EA</v>
      </c>
      <c r="K5004" s="12">
        <v>16.87</v>
      </c>
      <c r="L5004" s="13" t="str">
        <f>IF(D5004&lt;&gt;"",VLOOKUP(H5004,TABLEITEM,2,FALSE),"")</f>
        <v/>
      </c>
      <c r="M5004" s="13" t="str">
        <f>IF(D5004&lt;&gt;"",VLOOKUP(H5004,TABLEITEM,3,FALSE),"")</f>
        <v>57.504.0055.0 WK4/U GREY MODULAR TERMINAL</v>
      </c>
      <c r="N5004" s="14">
        <f>INSTOCK!$I5004*INSTOCK!$K5004</f>
        <v>1012.2</v>
      </c>
      <c r="O5004" s="4"/>
      <c r="P5004" s="4"/>
    </row>
    <row r="5005" ht="15.75" hidden="1" customHeight="1">
      <c r="B5005" s="8">
        <v>5329.0</v>
      </c>
      <c r="C5005" s="9">
        <v>43435.0</v>
      </c>
      <c r="D5005" s="6" t="s">
        <v>6052</v>
      </c>
      <c r="E5005" s="4">
        <v>6.111001551E9</v>
      </c>
      <c r="F5005" s="8" t="s">
        <v>1650</v>
      </c>
      <c r="G5005" s="4" t="s">
        <v>5846</v>
      </c>
      <c r="H5005" s="18">
        <v>5.75049055E9</v>
      </c>
      <c r="I5005" s="10">
        <v>20.0</v>
      </c>
      <c r="J5005" s="11" t="str">
        <f>IF(D5005&lt;&gt;"",VLOOKUP(H5005,TABLEITEM,5,FALSE),"")</f>
        <v>EA</v>
      </c>
      <c r="K5005" s="12">
        <v>61.65</v>
      </c>
      <c r="L5005" s="13" t="str">
        <f>IF(D5005&lt;&gt;"",VLOOKUP(H5005,TABLEITEM,2,FALSE),"")</f>
        <v/>
      </c>
      <c r="M5005" s="13" t="str">
        <f>IF(D5005&lt;&gt;"",VLOOKUP(H5005,TABLEITEM,3,FALSE),"")</f>
        <v>57.504.9055.0 WK4 SL/U/VO GROUND  TERMINAL</v>
      </c>
      <c r="N5005" s="14">
        <f>INSTOCK!$I5005*INSTOCK!$K5005</f>
        <v>1233</v>
      </c>
      <c r="O5005" s="4"/>
      <c r="P5005" s="4"/>
    </row>
    <row r="5006" ht="15.75" hidden="1" customHeight="1">
      <c r="B5006" s="8">
        <v>5330.0</v>
      </c>
      <c r="C5006" s="9">
        <v>43435.0</v>
      </c>
      <c r="D5006" s="6" t="s">
        <v>6052</v>
      </c>
      <c r="E5006" s="4">
        <v>6.111001551E9</v>
      </c>
      <c r="F5006" s="8" t="s">
        <v>1650</v>
      </c>
      <c r="G5006" s="4" t="s">
        <v>5846</v>
      </c>
      <c r="H5006" s="10" t="s">
        <v>3773</v>
      </c>
      <c r="I5006" s="10">
        <v>500.0</v>
      </c>
      <c r="J5006" s="11" t="str">
        <f>IF(D5006&lt;&gt;"",VLOOKUP(H5006,TABLEITEM,5,FALSE),"")</f>
        <v>EA</v>
      </c>
      <c r="K5006" s="12">
        <v>11.0</v>
      </c>
      <c r="L5006" s="13" t="str">
        <f>IF(D5006&lt;&gt;"",VLOOKUP(H5006,TABLEITEM,2,FALSE),"")</f>
        <v/>
      </c>
      <c r="M5006" s="13" t="str">
        <f>IF(D5006&lt;&gt;"",VLOOKUP(H5006,TABLEITEM,3,FALSE),"")</f>
        <v>Feed-Through Block ,Grey WT2.5 #58.503.0055.0</v>
      </c>
      <c r="N5006" s="14">
        <f>INSTOCK!$I5006*INSTOCK!$K5006</f>
        <v>5500</v>
      </c>
      <c r="O5006" s="4"/>
      <c r="P5006" s="4"/>
    </row>
    <row r="5007" ht="15.75" hidden="1" customHeight="1">
      <c r="B5007" s="8">
        <v>5331.0</v>
      </c>
      <c r="C5007" s="9">
        <v>43435.0</v>
      </c>
      <c r="D5007" s="6" t="s">
        <v>6052</v>
      </c>
      <c r="E5007" s="4">
        <v>6.111001551E9</v>
      </c>
      <c r="F5007" s="8" t="s">
        <v>1650</v>
      </c>
      <c r="G5007" s="4" t="s">
        <v>5846</v>
      </c>
      <c r="H5007" s="18" t="s">
        <v>6012</v>
      </c>
      <c r="I5007" s="10">
        <v>15.0</v>
      </c>
      <c r="J5007" s="11" t="str">
        <f>IF(D5007&lt;&gt;"",VLOOKUP(H5007,TABLEITEM,5,FALSE),"")</f>
        <v>EA</v>
      </c>
      <c r="K5007" s="12">
        <v>68.85</v>
      </c>
      <c r="L5007" s="13" t="str">
        <f>IF(D5007&lt;&gt;"",VLOOKUP(H5007,TABLEITEM,2,FALSE),"")</f>
        <v/>
      </c>
      <c r="M5007" s="13" t="str">
        <f>IF(D5007&lt;&gt;"",VLOOKUP(H5007,TABLEITEM,3,FALSE),"")</f>
        <v>Z7.280.7027.0 IVB WKF2.5-10P</v>
      </c>
      <c r="N5007" s="14">
        <f>INSTOCK!$I5007*INSTOCK!$K5007</f>
        <v>1032.75</v>
      </c>
      <c r="O5007" s="4"/>
      <c r="P5007" s="4"/>
    </row>
    <row r="5008" ht="15.75" hidden="1" customHeight="1">
      <c r="B5008" s="8">
        <v>5332.0</v>
      </c>
      <c r="C5008" s="9">
        <v>43435.0</v>
      </c>
      <c r="D5008" s="6" t="s">
        <v>6052</v>
      </c>
      <c r="E5008" s="4">
        <v>6.111001551E9</v>
      </c>
      <c r="F5008" s="8" t="s">
        <v>1650</v>
      </c>
      <c r="G5008" s="4" t="s">
        <v>5846</v>
      </c>
      <c r="H5008" s="18">
        <v>7.3110155E8</v>
      </c>
      <c r="I5008" s="10">
        <v>70.0</v>
      </c>
      <c r="J5008" s="11" t="str">
        <f>IF(D5008&lt;&gt;"",VLOOKUP(H5008,TABLEITEM,5,FALSE),"")</f>
        <v>EA</v>
      </c>
      <c r="K5008" s="12">
        <v>7.65</v>
      </c>
      <c r="L5008" s="13" t="str">
        <f>IF(D5008&lt;&gt;"",VLOOKUP(H5008,TABLEITEM,2,FALSE),"")</f>
        <v/>
      </c>
      <c r="M5008" s="13" t="str">
        <f>IF(D5008&lt;&gt;"",VLOOKUP(H5008,TABLEITEM,3,FALSE),"")</f>
        <v>07.311.0155.0 END PLATE FOR 2.5-4</v>
      </c>
      <c r="N5008" s="14">
        <f>INSTOCK!$I5008*INSTOCK!$K5008</f>
        <v>535.5</v>
      </c>
      <c r="O5008" s="4"/>
      <c r="P5008" s="4"/>
    </row>
    <row r="5009" ht="15.75" hidden="1" customHeight="1">
      <c r="B5009" s="8">
        <v>5333.0</v>
      </c>
      <c r="C5009" s="9">
        <v>43435.0</v>
      </c>
      <c r="D5009" s="6" t="s">
        <v>6053</v>
      </c>
      <c r="E5009" s="4">
        <v>6.111001515E9</v>
      </c>
      <c r="F5009" s="8" t="s">
        <v>604</v>
      </c>
      <c r="G5009" s="4" t="s">
        <v>1564</v>
      </c>
      <c r="H5009" s="10" t="s">
        <v>2761</v>
      </c>
      <c r="I5009" s="10">
        <v>150.0</v>
      </c>
      <c r="J5009" s="11" t="str">
        <f>IF(D5009&lt;&gt;"",VLOOKUP(H5009,TABLEITEM,5,FALSE),"")</f>
        <v>EA</v>
      </c>
      <c r="K5009" s="12">
        <v>18.0</v>
      </c>
      <c r="L5009" s="13" t="str">
        <f>IF(D5009&lt;&gt;"",VLOOKUP(H5009,TABLEITEM,2,FALSE),"")</f>
        <v/>
      </c>
      <c r="M5009" s="13" t="str">
        <f>IF(D5009&lt;&gt;"",VLOOKUP(H5009,TABLEITEM,3,FALSE),"")</f>
        <v>กาว BT-10</v>
      </c>
      <c r="N5009" s="14">
        <f>INSTOCK!$I5009*INSTOCK!$K5009</f>
        <v>2700</v>
      </c>
      <c r="O5009" s="4"/>
      <c r="P5009" s="4"/>
    </row>
    <row r="5010" ht="15.75" hidden="1" customHeight="1">
      <c r="B5010" s="8">
        <v>5334.0</v>
      </c>
      <c r="C5010" s="9">
        <v>43435.0</v>
      </c>
      <c r="D5010" s="6" t="s">
        <v>6053</v>
      </c>
      <c r="E5010" s="4">
        <v>6.111001515E9</v>
      </c>
      <c r="F5010" s="8" t="s">
        <v>604</v>
      </c>
      <c r="G5010" s="4" t="s">
        <v>1564</v>
      </c>
      <c r="H5010" s="10" t="s">
        <v>3784</v>
      </c>
      <c r="I5010" s="10">
        <v>150.0</v>
      </c>
      <c r="J5010" s="11" t="str">
        <f>IF(D5010&lt;&gt;"",VLOOKUP(H5010,TABLEITEM,5,FALSE),"")</f>
        <v>EA</v>
      </c>
      <c r="K5010" s="12">
        <v>28.0</v>
      </c>
      <c r="L5010" s="13" t="str">
        <f>IF(D5010&lt;&gt;"",VLOOKUP(H5010,TABLEITEM,2,FALSE),"")</f>
        <v/>
      </c>
      <c r="M5010" s="13" t="str">
        <f>IF(D5010&lt;&gt;"",VLOOKUP(H5010,TABLEITEM,3,FALSE),"")</f>
        <v>กาวร้อน BT-33</v>
      </c>
      <c r="N5010" s="14">
        <f>INSTOCK!$I5010*INSTOCK!$K5010</f>
        <v>4200</v>
      </c>
      <c r="O5010" s="4"/>
      <c r="P5010" s="4"/>
    </row>
    <row r="5011" ht="15.75" hidden="1" customHeight="1">
      <c r="B5011" s="8">
        <v>5335.0</v>
      </c>
      <c r="C5011" s="9">
        <v>43435.0</v>
      </c>
      <c r="D5011" s="6" t="s">
        <v>6054</v>
      </c>
      <c r="E5011" s="4">
        <v>6.111001534E9</v>
      </c>
      <c r="F5011" s="8" t="s">
        <v>604</v>
      </c>
      <c r="G5011" s="4" t="s">
        <v>1671</v>
      </c>
      <c r="H5011" s="10" t="s">
        <v>6055</v>
      </c>
      <c r="I5011" s="10">
        <v>1.0</v>
      </c>
      <c r="J5011" s="11" t="str">
        <f>IF(D5011&lt;&gt;"",VLOOKUP(H5011,TABLEITEM,5,FALSE),"")</f>
        <v>EA</v>
      </c>
      <c r="K5011" s="12">
        <v>7300.0</v>
      </c>
      <c r="L5011" s="13" t="str">
        <f>IF(D5011&lt;&gt;"",VLOOKUP(H5011,TABLEITEM,2,FALSE),"")</f>
        <v/>
      </c>
      <c r="M5011" s="13" t="str">
        <f>IF(D5011&lt;&gt;"",VLOOKUP(H5011,TABLEITEM,3,FALSE),"")</f>
        <v>สว่านไร้สาย BOSCH GDS-250LI</v>
      </c>
      <c r="N5011" s="14">
        <f>INSTOCK!$I5011*INSTOCK!$K5011</f>
        <v>7300</v>
      </c>
      <c r="O5011" s="4"/>
      <c r="P5011" s="4"/>
    </row>
    <row r="5012" ht="15.75" hidden="1" customHeight="1">
      <c r="B5012" s="8">
        <v>5336.0</v>
      </c>
      <c r="C5012" s="9">
        <v>43435.0</v>
      </c>
      <c r="D5012" s="6" t="s">
        <v>6056</v>
      </c>
      <c r="E5012" s="4">
        <v>6.111001553E9</v>
      </c>
      <c r="F5012" s="8" t="s">
        <v>1668</v>
      </c>
      <c r="G5012" s="4" t="s">
        <v>1904</v>
      </c>
      <c r="H5012" s="10" t="s">
        <v>1905</v>
      </c>
      <c r="I5012" s="10">
        <v>1.0</v>
      </c>
      <c r="J5012" s="11" t="str">
        <f>IF(D5012&lt;&gt;"",VLOOKUP(H5012,TABLEITEM,5,FALSE),"")</f>
        <v>EA</v>
      </c>
      <c r="K5012" s="12">
        <v>441.0</v>
      </c>
      <c r="L5012" s="13" t="str">
        <f>IF(D5012&lt;&gt;"",VLOOKUP(H5012,TABLEITEM,2,FALSE),"")</f>
        <v/>
      </c>
      <c r="M5012" s="13" t="str">
        <f>IF(D5012&lt;&gt;"",VLOOKUP(H5012,TABLEITEM,3,FALSE),"")</f>
        <v>PILOT LIGHT APW146D-R(22mm)</v>
      </c>
      <c r="N5012" s="14">
        <f>INSTOCK!$I5012*INSTOCK!$K5012</f>
        <v>441</v>
      </c>
      <c r="O5012" s="4" t="s">
        <v>1906</v>
      </c>
      <c r="P5012" s="4"/>
    </row>
    <row r="5013" ht="15.75" hidden="1" customHeight="1">
      <c r="B5013" s="8">
        <v>5337.0</v>
      </c>
      <c r="C5013" s="9">
        <v>43435.0</v>
      </c>
      <c r="D5013" s="6" t="s">
        <v>6056</v>
      </c>
      <c r="E5013" s="4">
        <v>6.111001553E9</v>
      </c>
      <c r="F5013" s="8" t="s">
        <v>1668</v>
      </c>
      <c r="G5013" s="4" t="s">
        <v>1904</v>
      </c>
      <c r="H5013" s="10" t="s">
        <v>1909</v>
      </c>
      <c r="I5013" s="10">
        <v>1.0</v>
      </c>
      <c r="J5013" s="11" t="str">
        <f>IF(D5013&lt;&gt;"",VLOOKUP(H5013,TABLEITEM,5,FALSE),"")</f>
        <v>EA</v>
      </c>
      <c r="K5013" s="12">
        <v>441.0</v>
      </c>
      <c r="L5013" s="13" t="str">
        <f>IF(D5013&lt;&gt;"",VLOOKUP(H5013,TABLEITEM,2,FALSE),"")</f>
        <v/>
      </c>
      <c r="M5013" s="13" t="str">
        <f>IF(D5013&lt;&gt;"",VLOOKUP(H5013,TABLEITEM,3,FALSE),"")</f>
        <v>PILOT LIGHT APW146D-Y(22mm)</v>
      </c>
      <c r="N5013" s="14">
        <f>INSTOCK!$I5013*INSTOCK!$K5013</f>
        <v>441</v>
      </c>
      <c r="O5013" s="4" t="s">
        <v>1906</v>
      </c>
      <c r="P5013" s="4"/>
    </row>
    <row r="5014" ht="15.75" hidden="1" customHeight="1">
      <c r="B5014" s="8">
        <v>5338.0</v>
      </c>
      <c r="C5014" s="9">
        <v>43435.0</v>
      </c>
      <c r="D5014" s="6" t="s">
        <v>6056</v>
      </c>
      <c r="E5014" s="4">
        <v>6.111001553E9</v>
      </c>
      <c r="F5014" s="8" t="s">
        <v>1668</v>
      </c>
      <c r="G5014" s="4" t="s">
        <v>1904</v>
      </c>
      <c r="H5014" s="10" t="s">
        <v>1911</v>
      </c>
      <c r="I5014" s="10">
        <v>1.0</v>
      </c>
      <c r="J5014" s="11" t="str">
        <f>IF(D5014&lt;&gt;"",VLOOKUP(H5014,TABLEITEM,5,FALSE),"")</f>
        <v>EA</v>
      </c>
      <c r="K5014" s="12">
        <v>595.0</v>
      </c>
      <c r="L5014" s="13" t="str">
        <f>IF(D5014&lt;&gt;"",VLOOKUP(H5014,TABLEITEM,2,FALSE),"")</f>
        <v/>
      </c>
      <c r="M5014" s="13" t="str">
        <f>IF(D5014&lt;&gt;"",VLOOKUP(H5014,TABLEITEM,3,FALSE),"")</f>
        <v>PILOT LIGHT APW146D-S(22mm)</v>
      </c>
      <c r="N5014" s="14">
        <f>INSTOCK!$I5014*INSTOCK!$K5014</f>
        <v>595</v>
      </c>
      <c r="O5014" s="4" t="s">
        <v>1912</v>
      </c>
      <c r="P5014" s="4"/>
    </row>
    <row r="5015" ht="15.75" hidden="1" customHeight="1">
      <c r="B5015" s="8">
        <v>5339.0</v>
      </c>
      <c r="C5015" s="9">
        <v>43435.0</v>
      </c>
      <c r="D5015" s="6" t="s">
        <v>6057</v>
      </c>
      <c r="E5015" s="4">
        <v>6.11100153E9</v>
      </c>
      <c r="F5015" s="8" t="s">
        <v>1716</v>
      </c>
      <c r="G5015" s="4" t="s">
        <v>1512</v>
      </c>
      <c r="H5015" s="10" t="s">
        <v>6058</v>
      </c>
      <c r="I5015" s="10">
        <v>6.0</v>
      </c>
      <c r="J5015" s="11" t="str">
        <f>IF(D5015&lt;&gt;"",VLOOKUP(H5015,TABLEITEM,5,FALSE),"")</f>
        <v>EA</v>
      </c>
      <c r="K5015" s="12">
        <v>648.0</v>
      </c>
      <c r="L5015" s="13" t="str">
        <f>IF(D5015&lt;&gt;"",VLOOKUP(H5015,TABLEITEM,2,FALSE),"")</f>
        <v/>
      </c>
      <c r="M5015" s="13" t="str">
        <f>IF(D5015&lt;&gt;"",VLOOKUP(H5015,TABLEITEM,3,FALSE),"")</f>
        <v>CRC AS1B CT 250/5 5VA</v>
      </c>
      <c r="N5015" s="14">
        <f>INSTOCK!$I5015*INSTOCK!$K5015</f>
        <v>3888</v>
      </c>
      <c r="O5015" s="4" t="s">
        <v>1514</v>
      </c>
      <c r="P5015" s="4"/>
    </row>
    <row r="5016" ht="15.75" hidden="1" customHeight="1">
      <c r="B5016" s="8">
        <v>5340.0</v>
      </c>
      <c r="C5016" s="9">
        <v>43435.0</v>
      </c>
      <c r="D5016" s="6" t="s">
        <v>6059</v>
      </c>
      <c r="E5016" s="4">
        <v>6.111001513E9</v>
      </c>
      <c r="F5016" s="8" t="s">
        <v>604</v>
      </c>
      <c r="G5016" s="4" t="s">
        <v>965</v>
      </c>
      <c r="H5016" s="10" t="s">
        <v>3161</v>
      </c>
      <c r="I5016" s="10">
        <v>50.0</v>
      </c>
      <c r="J5016" s="11" t="str">
        <f>IF(D5016&lt;&gt;"",VLOOKUP(H5016,TABLEITEM,5,FALSE),"")</f>
        <v>EA</v>
      </c>
      <c r="K5016" s="12">
        <v>10.0</v>
      </c>
      <c r="L5016" s="13" t="str">
        <f>IF(D5016&lt;&gt;"",VLOOKUP(H5016,TABLEITEM,2,FALSE),"")</f>
        <v/>
      </c>
      <c r="M5016" s="13" t="str">
        <f>IF(D5016&lt;&gt;"",VLOOKUP(H5016,TABLEITEM,3,FALSE),"")</f>
        <v>ใบตัดเหล็ก 4" SUMO</v>
      </c>
      <c r="N5016" s="14">
        <f>INSTOCK!$I5016*INSTOCK!$K5016</f>
        <v>500</v>
      </c>
      <c r="O5016" s="4"/>
      <c r="P5016" s="4"/>
    </row>
    <row r="5017" ht="15.75" hidden="1" customHeight="1">
      <c r="B5017" s="8">
        <v>5341.0</v>
      </c>
      <c r="C5017" s="9">
        <v>43435.0</v>
      </c>
      <c r="D5017" s="6" t="s">
        <v>6059</v>
      </c>
      <c r="E5017" s="4">
        <v>6.111001513E9</v>
      </c>
      <c r="F5017" s="8" t="s">
        <v>604</v>
      </c>
      <c r="G5017" s="4" t="s">
        <v>965</v>
      </c>
      <c r="H5017" s="10" t="s">
        <v>1421</v>
      </c>
      <c r="I5017" s="10">
        <v>2.0</v>
      </c>
      <c r="J5017" s="11" t="str">
        <f>IF(D5017&lt;&gt;"",VLOOKUP(H5017,TABLEITEM,5,FALSE),"")</f>
        <v>ห่อ</v>
      </c>
      <c r="K5017" s="12">
        <v>120.0</v>
      </c>
      <c r="L5017" s="13" t="str">
        <f>IF(D5017&lt;&gt;"",VLOOKUP(H5017,TABLEITEM,2,FALSE),"")</f>
        <v/>
      </c>
      <c r="M5017" s="13" t="str">
        <f>IF(D5017&lt;&gt;"",VLOOKUP(H5017,TABLEITEM,3,FALSE),"")</f>
        <v>ลวดเชื่อม KOBE 2.6มิล</v>
      </c>
      <c r="N5017" s="14">
        <f>INSTOCK!$I5017*INSTOCK!$K5017</f>
        <v>240</v>
      </c>
      <c r="O5017" s="4"/>
      <c r="P5017" s="4"/>
    </row>
    <row r="5018" ht="15.75" hidden="1" customHeight="1">
      <c r="B5018" s="8">
        <v>5342.0</v>
      </c>
      <c r="C5018" s="9">
        <v>43435.0</v>
      </c>
      <c r="D5018" s="6" t="s">
        <v>6060</v>
      </c>
      <c r="E5018" s="4">
        <v>6.111001549E9</v>
      </c>
      <c r="F5018" s="8" t="s">
        <v>604</v>
      </c>
      <c r="G5018" s="4" t="s">
        <v>965</v>
      </c>
      <c r="H5018" s="10" t="s">
        <v>6061</v>
      </c>
      <c r="I5018" s="10">
        <v>6.0</v>
      </c>
      <c r="J5018" s="11" t="str">
        <f>IF(D5018&lt;&gt;"",VLOOKUP(H5018,TABLEITEM,5,FALSE),"")</f>
        <v>EA</v>
      </c>
      <c r="K5018" s="12">
        <v>45.0</v>
      </c>
      <c r="L5018" s="13" t="str">
        <f>IF(D5018&lt;&gt;"",VLOOKUP(H5018,TABLEITEM,2,FALSE),"")</f>
        <v/>
      </c>
      <c r="M5018" s="13" t="str">
        <f>IF(D5018&lt;&gt;"",VLOOKUP(H5018,TABLEITEM,3,FALSE),"")</f>
        <v>โซดาไฟ</v>
      </c>
      <c r="N5018" s="14">
        <f>INSTOCK!$I5018*INSTOCK!$K5018</f>
        <v>270</v>
      </c>
      <c r="O5018" s="4"/>
      <c r="P5018" s="4"/>
    </row>
    <row r="5019" ht="15.75" hidden="1" customHeight="1">
      <c r="B5019" s="8">
        <v>5343.0</v>
      </c>
      <c r="C5019" s="9">
        <v>43435.0</v>
      </c>
      <c r="D5019" s="6" t="s">
        <v>6062</v>
      </c>
      <c r="E5019" s="4">
        <v>6.111001509E9</v>
      </c>
      <c r="F5019" s="8" t="s">
        <v>604</v>
      </c>
      <c r="G5019" s="4" t="s">
        <v>965</v>
      </c>
      <c r="H5019" s="10" t="s">
        <v>1678</v>
      </c>
      <c r="I5019" s="10">
        <v>1.0</v>
      </c>
      <c r="J5019" s="11" t="str">
        <f>IF(D5019&lt;&gt;"",VLOOKUP(H5019,TABLEITEM,5,FALSE),"")</f>
        <v>EA</v>
      </c>
      <c r="K5019" s="12">
        <v>200.0</v>
      </c>
      <c r="L5019" s="13" t="str">
        <f>IF(D5019&lt;&gt;"",VLOOKUP(H5019,TABLEITEM,2,FALSE),"")</f>
        <v/>
      </c>
      <c r="M5019" s="13" t="str">
        <f>IF(D5019&lt;&gt;"",VLOOKUP(H5019,TABLEITEM,3,FALSE),"")</f>
        <v>สีรองพื้นกันสนิม Lotto</v>
      </c>
      <c r="N5019" s="14">
        <f>INSTOCK!$I5019*INSTOCK!$K5019</f>
        <v>200</v>
      </c>
      <c r="O5019" s="4"/>
      <c r="P5019" s="4"/>
    </row>
    <row r="5020" ht="15.75" hidden="1" customHeight="1">
      <c r="B5020" s="8">
        <v>5344.0</v>
      </c>
      <c r="C5020" s="9">
        <v>43435.0</v>
      </c>
      <c r="D5020" s="6" t="s">
        <v>6062</v>
      </c>
      <c r="E5020" s="4">
        <v>6.111001509E9</v>
      </c>
      <c r="F5020" s="8" t="s">
        <v>604</v>
      </c>
      <c r="G5020" s="4" t="s">
        <v>965</v>
      </c>
      <c r="H5020" s="10" t="s">
        <v>1680</v>
      </c>
      <c r="I5020" s="10">
        <v>1.0</v>
      </c>
      <c r="J5020" s="11" t="str">
        <f>IF(D5020&lt;&gt;"",VLOOKUP(H5020,TABLEITEM,5,FALSE),"")</f>
        <v>EA</v>
      </c>
      <c r="K5020" s="12">
        <v>20.0</v>
      </c>
      <c r="L5020" s="13" t="str">
        <f>IF(D5020&lt;&gt;"",VLOOKUP(H5020,TABLEITEM,2,FALSE),"")</f>
        <v/>
      </c>
      <c r="M5020" s="13" t="str">
        <f>IF(D5020&lt;&gt;"",VLOOKUP(H5020,TABLEITEM,3,FALSE),"")</f>
        <v>แปรงทาสี 3"</v>
      </c>
      <c r="N5020" s="14">
        <f>INSTOCK!$I5020*INSTOCK!$K5020</f>
        <v>20</v>
      </c>
      <c r="O5020" s="4"/>
      <c r="P5020" s="4"/>
    </row>
    <row r="5021" ht="15.75" hidden="1" customHeight="1">
      <c r="B5021" s="8">
        <v>5345.0</v>
      </c>
      <c r="C5021" s="9">
        <v>43435.0</v>
      </c>
      <c r="D5021" s="6">
        <v>6.11200196E8</v>
      </c>
      <c r="E5021" s="4">
        <v>6.111001554E9</v>
      </c>
      <c r="F5021" s="8"/>
      <c r="G5021" s="4" t="s">
        <v>1130</v>
      </c>
      <c r="H5021" s="10" t="s">
        <v>3746</v>
      </c>
      <c r="I5021" s="10">
        <v>5.0</v>
      </c>
      <c r="J5021" s="11" t="str">
        <f>IF(D5021&lt;&gt;"",VLOOKUP(H5021,TABLEITEM,5,FALSE),"")</f>
        <v>EA</v>
      </c>
      <c r="K5021" s="12">
        <v>1695.4</v>
      </c>
      <c r="L5021" s="13" t="str">
        <f>IF(D5021&lt;&gt;"",VLOOKUP(H5021,TABLEITEM,2,FALSE),"")</f>
        <v/>
      </c>
      <c r="M5021" s="13" t="str">
        <f>IF(D5021&lt;&gt;"",VLOOKUP(H5021,TABLEITEM,3,FALSE),"")</f>
        <v>COUNTER H7EC-NFV </v>
      </c>
      <c r="N5021" s="14">
        <f>INSTOCK!$I5021*INSTOCK!$K5021</f>
        <v>8477</v>
      </c>
      <c r="O5021" s="4" t="s">
        <v>3747</v>
      </c>
      <c r="P5021" s="4"/>
    </row>
    <row r="5022" ht="15.75" hidden="1" customHeight="1">
      <c r="B5022" s="8">
        <v>5346.0</v>
      </c>
      <c r="C5022" s="9">
        <v>43435.0</v>
      </c>
      <c r="D5022" s="6">
        <v>6.11200196E8</v>
      </c>
      <c r="E5022" s="4">
        <v>6.111001554E9</v>
      </c>
      <c r="F5022" s="8"/>
      <c r="G5022" s="4" t="s">
        <v>1130</v>
      </c>
      <c r="H5022" s="10" t="s">
        <v>6063</v>
      </c>
      <c r="I5022" s="10">
        <v>10.0</v>
      </c>
      <c r="J5022" s="11" t="str">
        <f>IF(D5022&lt;&gt;"",VLOOKUP(H5022,TABLEITEM,5,FALSE),"")</f>
        <v>EA</v>
      </c>
      <c r="K5022" s="12">
        <v>184.24</v>
      </c>
      <c r="L5022" s="13" t="str">
        <f>IF(D5022&lt;&gt;"",VLOOKUP(H5022,TABLEITEM,2,FALSE),"")</f>
        <v/>
      </c>
      <c r="M5022" s="13" t="str">
        <f>IF(D5022&lt;&gt;"",VLOOKUP(H5022,TABLEITEM,3,FALSE),"")</f>
        <v>SOCKET P3G-08</v>
      </c>
      <c r="N5022" s="14">
        <f>INSTOCK!$I5022*INSTOCK!$K5022</f>
        <v>1842.4</v>
      </c>
      <c r="O5022" s="4" t="s">
        <v>6064</v>
      </c>
      <c r="P5022" s="4"/>
    </row>
    <row r="5023" ht="15.75" hidden="1" customHeight="1">
      <c r="B5023" s="8">
        <v>5347.0</v>
      </c>
      <c r="C5023" s="9">
        <v>43435.0</v>
      </c>
      <c r="D5023" s="6" t="s">
        <v>6065</v>
      </c>
      <c r="E5023" s="4">
        <v>6.111001555E9</v>
      </c>
      <c r="F5023" s="8" t="s">
        <v>604</v>
      </c>
      <c r="G5023" s="4" t="s">
        <v>1904</v>
      </c>
      <c r="H5023" s="10" t="s">
        <v>2717</v>
      </c>
      <c r="I5023" s="10">
        <v>10.0</v>
      </c>
      <c r="J5023" s="11" t="str">
        <f>IF(D5023&lt;&gt;"",VLOOKUP(H5023,TABLEITEM,5,FALSE),"")</f>
        <v>M</v>
      </c>
      <c r="K5023" s="12">
        <v>247.5</v>
      </c>
      <c r="L5023" s="13" t="str">
        <f>IF(D5023&lt;&gt;"",VLOOKUP(H5023,TABLEITEM,2,FALSE),"")</f>
        <v/>
      </c>
      <c r="M5023" s="13" t="str">
        <f>IF(D5023&lt;&gt;"",VLOOKUP(H5023,TABLEITEM,3,FALSE),"")</f>
        <v>RIBBON LM-IR300B 1/50M</v>
      </c>
      <c r="N5023" s="14">
        <f>INSTOCK!$I5023*INSTOCK!$K5023</f>
        <v>2475</v>
      </c>
      <c r="O5023" s="4" t="s">
        <v>2718</v>
      </c>
      <c r="P5023" s="4"/>
    </row>
    <row r="5024" ht="15.75" hidden="1" customHeight="1">
      <c r="B5024" s="8">
        <v>5348.0</v>
      </c>
      <c r="C5024" s="9">
        <v>43435.0</v>
      </c>
      <c r="D5024" s="6" t="s">
        <v>6065</v>
      </c>
      <c r="E5024" s="4">
        <v>6.111001555E9</v>
      </c>
      <c r="F5024" s="8" t="s">
        <v>604</v>
      </c>
      <c r="G5024" s="4" t="s">
        <v>1904</v>
      </c>
      <c r="H5024" s="10" t="s">
        <v>6066</v>
      </c>
      <c r="I5024" s="10">
        <v>1.0</v>
      </c>
      <c r="J5024" s="11" t="str">
        <f>IF(D5024&lt;&gt;"",VLOOKUP(H5024,TABLEITEM,5,FALSE),"")</f>
        <v>EA</v>
      </c>
      <c r="K5024" s="12">
        <v>540.0</v>
      </c>
      <c r="L5024" s="13" t="str">
        <f>IF(D5024&lt;&gt;"",VLOOKUP(H5024,TABLEITEM,2,FALSE),"")</f>
        <v/>
      </c>
      <c r="M5024" s="13" t="str">
        <f>IF(D5024&lt;&gt;"",VLOOKUP(H5024,TABLEITEM,3,FALSE),"")</f>
        <v>HALF CUTTER LM-HC340</v>
      </c>
      <c r="N5024" s="14">
        <f>INSTOCK!$I5024*INSTOCK!$K5024</f>
        <v>540</v>
      </c>
      <c r="O5024" s="4" t="s">
        <v>6067</v>
      </c>
      <c r="P5024" s="4"/>
    </row>
    <row r="5025" ht="15.75" hidden="1" customHeight="1">
      <c r="B5025" s="8">
        <v>5349.0</v>
      </c>
      <c r="C5025" s="9">
        <v>43435.0</v>
      </c>
      <c r="D5025" s="6" t="s">
        <v>6068</v>
      </c>
      <c r="E5025" s="4">
        <v>6.111001545E9</v>
      </c>
      <c r="F5025" s="8" t="s">
        <v>604</v>
      </c>
      <c r="G5025" s="4" t="s">
        <v>617</v>
      </c>
      <c r="H5025" s="10" t="s">
        <v>559</v>
      </c>
      <c r="I5025" s="10">
        <v>20.0</v>
      </c>
      <c r="J5025" s="11" t="str">
        <f>IF(D5025&lt;&gt;"",VLOOKUP(H5025,TABLEITEM,5,FALSE),"")</f>
        <v>M</v>
      </c>
      <c r="K5025" s="12">
        <v>321.6</v>
      </c>
      <c r="L5025" s="13" t="str">
        <f>IF(D5025&lt;&gt;"",VLOOKUP(H5025,TABLEITEM,2,FALSE),"")</f>
        <v>Busbar</v>
      </c>
      <c r="M5025" s="13" t="str">
        <f>IF(D5025&lt;&gt;"",VLOOKUP(H5025,TABLEITEM,3,FALSE),"")</f>
        <v>บัสบาร์ทองแดง 30x5</v>
      </c>
      <c r="N5025" s="14">
        <f>INSTOCK!$I5025*INSTOCK!$K5025</f>
        <v>6432</v>
      </c>
      <c r="O5025" s="4" t="s">
        <v>6020</v>
      </c>
      <c r="P5025" s="4"/>
    </row>
    <row r="5026" ht="15.75" hidden="1" customHeight="1">
      <c r="B5026" s="8">
        <v>5350.0</v>
      </c>
      <c r="C5026" s="9">
        <v>43435.0</v>
      </c>
      <c r="D5026" s="6" t="s">
        <v>6068</v>
      </c>
      <c r="E5026" s="4">
        <v>6.111001545E9</v>
      </c>
      <c r="F5026" s="8" t="s">
        <v>604</v>
      </c>
      <c r="G5026" s="4" t="s">
        <v>617</v>
      </c>
      <c r="H5026" s="10" t="s">
        <v>561</v>
      </c>
      <c r="I5026" s="10">
        <v>20.0</v>
      </c>
      <c r="J5026" s="11" t="str">
        <f>IF(D5026&lt;&gt;"",VLOOKUP(H5026,TABLEITEM,5,FALSE),"")</f>
        <v>M</v>
      </c>
      <c r="K5026" s="12">
        <v>859.2</v>
      </c>
      <c r="L5026" s="13" t="str">
        <f>IF(D5026&lt;&gt;"",VLOOKUP(H5026,TABLEITEM,2,FALSE),"")</f>
        <v>Busbar</v>
      </c>
      <c r="M5026" s="13" t="str">
        <f>IF(D5026&lt;&gt;"",VLOOKUP(H5026,TABLEITEM,3,FALSE),"")</f>
        <v>บัสบาร์ทองแดง 40x10</v>
      </c>
      <c r="N5026" s="14">
        <f>INSTOCK!$I5026*INSTOCK!$K5026</f>
        <v>17184</v>
      </c>
      <c r="O5026" s="4" t="s">
        <v>6020</v>
      </c>
      <c r="P5026" s="4"/>
    </row>
    <row r="5027" ht="15.75" hidden="1" customHeight="1">
      <c r="B5027" s="8">
        <v>5351.0</v>
      </c>
      <c r="C5027" s="9">
        <v>43435.0</v>
      </c>
      <c r="D5027" s="6" t="s">
        <v>6069</v>
      </c>
      <c r="E5027" s="4">
        <v>6.111001527E9</v>
      </c>
      <c r="F5027" s="8" t="s">
        <v>1650</v>
      </c>
      <c r="G5027" s="4" t="s">
        <v>1904</v>
      </c>
      <c r="H5027" s="10" t="s">
        <v>6070</v>
      </c>
      <c r="I5027" s="10">
        <v>5.0</v>
      </c>
      <c r="J5027" s="11" t="str">
        <f>IF(D5027&lt;&gt;"",VLOOKUP(H5027,TABLEITEM,5,FALSE),"")</f>
        <v>EA</v>
      </c>
      <c r="K5027" s="12">
        <v>11832.0</v>
      </c>
      <c r="L5027" s="13" t="str">
        <f>IF(D5027&lt;&gt;"",VLOOKUP(H5027,TABLEITEM,2,FALSE),"")</f>
        <v/>
      </c>
      <c r="M5027" s="13" t="str">
        <f>IF(D5027&lt;&gt;"",VLOOKUP(H5027,TABLEITEM,3,FALSE),"")</f>
        <v>CPU Unit CP1L-M40DR-A</v>
      </c>
      <c r="N5027" s="14">
        <f>INSTOCK!$I5027*INSTOCK!$K5027</f>
        <v>59160</v>
      </c>
      <c r="O5027" s="4"/>
      <c r="P5027" s="4"/>
    </row>
    <row r="5028" ht="15.75" hidden="1" customHeight="1">
      <c r="B5028" s="8">
        <v>5352.0</v>
      </c>
      <c r="C5028" s="9">
        <v>43435.0</v>
      </c>
      <c r="D5028" s="6">
        <v>6.11109053E8</v>
      </c>
      <c r="E5028" s="4">
        <v>6.111001552E9</v>
      </c>
      <c r="F5028" s="8"/>
      <c r="G5028" s="4" t="s">
        <v>1130</v>
      </c>
      <c r="H5028" s="10" t="s">
        <v>6071</v>
      </c>
      <c r="I5028" s="10">
        <v>1.0</v>
      </c>
      <c r="J5028" s="11" t="str">
        <f>IF(D5028&lt;&gt;"",VLOOKUP(H5028,TABLEITEM,5,FALSE),"")</f>
        <v>EA</v>
      </c>
      <c r="K5028" s="12">
        <v>8096.0</v>
      </c>
      <c r="L5028" s="13" t="str">
        <f>IF(D5028&lt;&gt;"",VLOOKUP(H5028,TABLEITEM,2,FALSE),"")</f>
        <v/>
      </c>
      <c r="M5028" s="13" t="str">
        <f>IF(D5028&lt;&gt;"",VLOOKUP(H5028,TABLEITEM,3,FALSE),"")</f>
        <v>เบรกเกอร์ NF400-SW 3P400A </v>
      </c>
      <c r="N5028" s="14">
        <f>INSTOCK!$I5028*INSTOCK!$K5028</f>
        <v>8096</v>
      </c>
      <c r="O5028" s="4" t="s">
        <v>2002</v>
      </c>
      <c r="P5028" s="4"/>
    </row>
    <row r="5029" ht="15.75" hidden="1" customHeight="1">
      <c r="B5029" s="8">
        <v>5353.0</v>
      </c>
      <c r="C5029" s="9">
        <v>43435.0</v>
      </c>
      <c r="D5029" s="6">
        <v>6.11109053E8</v>
      </c>
      <c r="E5029" s="4">
        <v>6.111001552E9</v>
      </c>
      <c r="F5029" s="8"/>
      <c r="G5029" s="4" t="s">
        <v>1130</v>
      </c>
      <c r="H5029" s="10" t="s">
        <v>6072</v>
      </c>
      <c r="I5029" s="10">
        <v>4.0</v>
      </c>
      <c r="J5029" s="11" t="str">
        <f>IF(D5029&lt;&gt;"",VLOOKUP(H5029,TABLEITEM,5,FALSE),"")</f>
        <v>EA</v>
      </c>
      <c r="K5029" s="12">
        <v>1978.0</v>
      </c>
      <c r="L5029" s="13" t="str">
        <f>IF(D5029&lt;&gt;"",VLOOKUP(H5029,TABLEITEM,2,FALSE),"")</f>
        <v/>
      </c>
      <c r="M5029" s="13" t="str">
        <f>IF(D5029&lt;&gt;"",VLOOKUP(H5029,TABLEITEM,3,FALSE),"")</f>
        <v>NF125-SV 3P 100A</v>
      </c>
      <c r="N5029" s="14">
        <f>INSTOCK!$I5029*INSTOCK!$K5029</f>
        <v>7912</v>
      </c>
      <c r="O5029" s="4" t="s">
        <v>1603</v>
      </c>
      <c r="P5029" s="4"/>
    </row>
    <row r="5030" ht="15.75" hidden="1" customHeight="1">
      <c r="B5030" s="8">
        <v>5354.0</v>
      </c>
      <c r="C5030" s="9">
        <v>43435.0</v>
      </c>
      <c r="D5030" s="6">
        <v>6.11109053E8</v>
      </c>
      <c r="E5030" s="4">
        <v>6.111001552E9</v>
      </c>
      <c r="F5030" s="8"/>
      <c r="G5030" s="4" t="s">
        <v>1130</v>
      </c>
      <c r="H5030" s="10" t="s">
        <v>1608</v>
      </c>
      <c r="I5030" s="10">
        <v>3.0</v>
      </c>
      <c r="J5030" s="11" t="str">
        <f>IF(D5030&lt;&gt;"",VLOOKUP(H5030,TABLEITEM,5,FALSE),"")</f>
        <v>EA</v>
      </c>
      <c r="K5030" s="12">
        <v>490.0</v>
      </c>
      <c r="L5030" s="13" t="str">
        <f>IF(D5030&lt;&gt;"",VLOOKUP(H5030,TABLEITEM,2,FALSE),"")</f>
        <v/>
      </c>
      <c r="M5030" s="13" t="str">
        <f>IF(D5030&lt;&gt;"",VLOOKUP(H5030,TABLEITEM,3,FALSE),"")</f>
        <v>CIRCUIT CP30-BA 1P 2A</v>
      </c>
      <c r="N5030" s="14">
        <f>INSTOCK!$I5030*INSTOCK!$K5030</f>
        <v>1470</v>
      </c>
      <c r="O5030" s="4" t="s">
        <v>1609</v>
      </c>
      <c r="P5030" s="4"/>
    </row>
    <row r="5031" ht="15.75" hidden="1" customHeight="1">
      <c r="B5031" s="8">
        <v>5355.0</v>
      </c>
      <c r="C5031" s="9">
        <v>43435.0</v>
      </c>
      <c r="D5031" s="6">
        <v>114241.0</v>
      </c>
      <c r="E5031" s="4"/>
      <c r="F5031" s="8" t="s">
        <v>2052</v>
      </c>
      <c r="G5031" s="4" t="s">
        <v>3724</v>
      </c>
      <c r="H5031" s="10" t="s">
        <v>6073</v>
      </c>
      <c r="I5031" s="10">
        <v>1.0</v>
      </c>
      <c r="J5031" s="11" t="str">
        <f>IF(D5031&lt;&gt;"",VLOOKUP(H5031,TABLEITEM,5,FALSE),"")</f>
        <v>EA</v>
      </c>
      <c r="K5031" s="12">
        <v>4390.0</v>
      </c>
      <c r="L5031" s="13" t="str">
        <f>IF(D5031&lt;&gt;"",VLOOKUP(H5031,TABLEITEM,2,FALSE),"")</f>
        <v/>
      </c>
      <c r="M5031" s="13" t="str">
        <f>IF(D5031&lt;&gt;"",VLOOKUP(H5031,TABLEITEM,3,FALSE),"")</f>
        <v>สว่านกระแทกไร้สาย DEWALT DCD716C2K-B1 10.8V</v>
      </c>
      <c r="N5031" s="14">
        <f>INSTOCK!$I5031*INSTOCK!$K5031</f>
        <v>4390</v>
      </c>
      <c r="O5031" s="4"/>
      <c r="P5031" s="4"/>
    </row>
    <row r="5032" ht="15.75" hidden="1" customHeight="1">
      <c r="B5032" s="8">
        <v>5356.0</v>
      </c>
      <c r="C5032" s="9">
        <v>43435.0</v>
      </c>
      <c r="D5032" s="6">
        <v>114241.0</v>
      </c>
      <c r="E5032" s="4"/>
      <c r="F5032" s="8" t="s">
        <v>2052</v>
      </c>
      <c r="G5032" s="4" t="s">
        <v>3724</v>
      </c>
      <c r="H5032" s="10" t="s">
        <v>6074</v>
      </c>
      <c r="I5032" s="10">
        <v>1.0</v>
      </c>
      <c r="J5032" s="11" t="str">
        <f>IF(D5032&lt;&gt;"",VLOOKUP(H5032,TABLEITEM,5,FALSE),"")</f>
        <v>EA</v>
      </c>
      <c r="K5032" s="12">
        <v>229.0</v>
      </c>
      <c r="L5032" s="13" t="str">
        <f>IF(D5032&lt;&gt;"",VLOOKUP(H5032,TABLEITEM,2,FALSE),"")</f>
        <v/>
      </c>
      <c r="M5032" s="13" t="str">
        <f>IF(D5032&lt;&gt;"",VLOOKUP(H5032,TABLEITEM,3,FALSE),"")</f>
        <v>กล่องเครื่องมือ DIY HL30124 15.5 ใส</v>
      </c>
      <c r="N5032" s="14">
        <f>INSTOCK!$I5032*INSTOCK!$K5032</f>
        <v>229</v>
      </c>
      <c r="O5032" s="4"/>
      <c r="P5032" s="4"/>
    </row>
    <row r="5033" ht="15.75" hidden="1" customHeight="1">
      <c r="B5033" s="8">
        <v>5357.0</v>
      </c>
      <c r="C5033" s="9">
        <v>43435.0</v>
      </c>
      <c r="D5033" s="6">
        <v>519554.0</v>
      </c>
      <c r="E5033" s="4"/>
      <c r="F5033" s="8"/>
      <c r="G5033" s="4" t="s">
        <v>3724</v>
      </c>
      <c r="H5033" s="10" t="s">
        <v>4885</v>
      </c>
      <c r="I5033" s="10">
        <v>2.0</v>
      </c>
      <c r="J5033" s="11" t="str">
        <f>IF(D5033&lt;&gt;"",VLOOKUP(H5033,TABLEITEM,5,FALSE),"")</f>
        <v>EA</v>
      </c>
      <c r="K5033" s="12">
        <v>299.0</v>
      </c>
      <c r="L5033" s="13" t="str">
        <f>IF(D5033&lt;&gt;"",VLOOKUP(H5033,TABLEITEM,2,FALSE),"")</f>
        <v/>
      </c>
      <c r="M5033" s="13" t="str">
        <f>IF(D5033&lt;&gt;"",VLOOKUP(H5033,TABLEITEM,3,FALSE),"")</f>
        <v>กรวยจราจร RIGHT PVC 70CM OR</v>
      </c>
      <c r="N5033" s="14">
        <f>INSTOCK!$I5033*INSTOCK!$K5033</f>
        <v>598</v>
      </c>
      <c r="O5033" s="4"/>
      <c r="P5033" s="4"/>
    </row>
    <row r="5034" ht="15.75" hidden="1" customHeight="1">
      <c r="B5034" s="8">
        <v>5358.0</v>
      </c>
      <c r="C5034" s="9">
        <v>43435.0</v>
      </c>
      <c r="D5034" s="6">
        <v>519554.0</v>
      </c>
      <c r="E5034" s="4"/>
      <c r="F5034" s="8"/>
      <c r="G5034" s="4" t="s">
        <v>3724</v>
      </c>
      <c r="H5034" s="10" t="s">
        <v>6075</v>
      </c>
      <c r="I5034" s="10">
        <v>5.0</v>
      </c>
      <c r="J5034" s="11" t="str">
        <f>IF(D5034&lt;&gt;"",VLOOKUP(H5034,TABLEITEM,5,FALSE),"")</f>
        <v>EA</v>
      </c>
      <c r="K5034" s="12">
        <v>115.0</v>
      </c>
      <c r="L5034" s="13" t="str">
        <f>IF(D5034&lt;&gt;"",VLOOKUP(H5034,TABLEITEM,2,FALSE),"")</f>
        <v/>
      </c>
      <c r="M5034" s="13" t="str">
        <f>IF(D5034&lt;&gt;"",VLOOKUP(H5034,TABLEITEM,3,FALSE),"")</f>
        <v>เสื้อจราจร YMD OR-6045 2แถบ</v>
      </c>
      <c r="N5034" s="14">
        <f>INSTOCK!$I5034*INSTOCK!$K5034</f>
        <v>575</v>
      </c>
      <c r="O5034" s="4"/>
      <c r="P5034" s="4"/>
    </row>
    <row r="5035" ht="15.75" hidden="1" customHeight="1">
      <c r="B5035" s="8">
        <v>5359.0</v>
      </c>
      <c r="C5035" s="9">
        <v>43648.0</v>
      </c>
      <c r="D5035" s="6" t="s">
        <v>6076</v>
      </c>
      <c r="E5035" s="4"/>
      <c r="F5035" s="8" t="s">
        <v>801</v>
      </c>
      <c r="G5035" s="4" t="s">
        <v>1417</v>
      </c>
      <c r="H5035" s="10" t="s">
        <v>803</v>
      </c>
      <c r="I5035" s="10">
        <v>19.0</v>
      </c>
      <c r="J5035" s="11" t="str">
        <f>IF(D5035&lt;&gt;"",VLOOKUP(H5035,TABLEITEM,5,FALSE),"")</f>
        <v>ถัง</v>
      </c>
      <c r="K5035" s="12">
        <v>981.32</v>
      </c>
      <c r="L5035" s="13" t="str">
        <f>IF(D5035&lt;&gt;"",VLOOKUP(H5035,TABLEITEM,2,FALSE),"")</f>
        <v/>
      </c>
      <c r="M5035" s="13" t="str">
        <f>IF(D5035&lt;&gt;"",VLOOKUP(H5035,TABLEITEM,3,FALSE),"")</f>
        <v>แก๊สหุงต้ม 48กก</v>
      </c>
      <c r="N5035" s="14">
        <f>INSTOCK!$I5035*INSTOCK!$K5035</f>
        <v>18645.08</v>
      </c>
      <c r="O5035" s="4"/>
      <c r="P5035" s="4"/>
    </row>
    <row r="5036" ht="15.75" hidden="1" customHeight="1">
      <c r="B5036" s="8">
        <v>5360.0</v>
      </c>
      <c r="C5036" s="9">
        <v>43648.0</v>
      </c>
      <c r="D5036" s="6" t="s">
        <v>6077</v>
      </c>
      <c r="E5036" s="4">
        <v>6.207001007E9</v>
      </c>
      <c r="F5036" s="8" t="s">
        <v>6078</v>
      </c>
      <c r="G5036" s="4" t="s">
        <v>1596</v>
      </c>
      <c r="H5036" s="10" t="s">
        <v>1824</v>
      </c>
      <c r="I5036" s="10">
        <v>1.0</v>
      </c>
      <c r="J5036" s="11" t="str">
        <f>IF(D5036&lt;&gt;"",VLOOKUP(H5036,TABLEITEM,5,FALSE),"")</f>
        <v>EA</v>
      </c>
      <c r="K5036" s="12">
        <v>300.3</v>
      </c>
      <c r="L5036" s="13" t="str">
        <f>IF(D5036&lt;&gt;"",VLOOKUP(H5036,TABLEITEM,2,FALSE),"")</f>
        <v/>
      </c>
      <c r="M5036" s="13" t="str">
        <f>IF(D5036&lt;&gt;"",VLOOKUP(H5036,TABLEITEM,3,FALSE),"")</f>
        <v>MCB 2P 16A 10KA</v>
      </c>
      <c r="N5036" s="14">
        <f>INSTOCK!$I5036*INSTOCK!$K5036</f>
        <v>300.3</v>
      </c>
      <c r="O5036" s="4" t="s">
        <v>6079</v>
      </c>
      <c r="P5036" s="4"/>
    </row>
    <row r="5037" ht="15.75" hidden="1" customHeight="1">
      <c r="B5037" s="8">
        <v>5361.0</v>
      </c>
      <c r="C5037" s="9">
        <v>43648.0</v>
      </c>
      <c r="D5037" s="6" t="s">
        <v>6077</v>
      </c>
      <c r="E5037" s="4">
        <v>6.207001007E9</v>
      </c>
      <c r="F5037" s="8" t="s">
        <v>6078</v>
      </c>
      <c r="G5037" s="4" t="s">
        <v>1596</v>
      </c>
      <c r="H5037" s="10" t="s">
        <v>4304</v>
      </c>
      <c r="I5037" s="10">
        <v>10.0</v>
      </c>
      <c r="J5037" s="11" t="str">
        <f>IF(D5037&lt;&gt;"",VLOOKUP(H5037,TABLEITEM,5,FALSE),"")</f>
        <v>EA</v>
      </c>
      <c r="K5037" s="12">
        <v>300.3</v>
      </c>
      <c r="L5037" s="13" t="str">
        <f>IF(D5037&lt;&gt;"",VLOOKUP(H5037,TABLEITEM,2,FALSE),"")</f>
        <v/>
      </c>
      <c r="M5037" s="13" t="str">
        <f>IF(D5037&lt;&gt;"",VLOOKUP(H5037,TABLEITEM,3,FALSE),"")</f>
        <v>MCB S202M-C6 2P C6</v>
      </c>
      <c r="N5037" s="14">
        <f>INSTOCK!$I5037*INSTOCK!$K5037</f>
        <v>3003</v>
      </c>
      <c r="O5037" s="4" t="s">
        <v>6079</v>
      </c>
      <c r="P5037" s="4"/>
    </row>
    <row r="5038" ht="15.75" hidden="1" customHeight="1">
      <c r="B5038" s="8">
        <v>5362.0</v>
      </c>
      <c r="C5038" s="9">
        <v>43647.0</v>
      </c>
      <c r="D5038" s="6" t="s">
        <v>6080</v>
      </c>
      <c r="E5038" s="4">
        <v>6.207000984E9</v>
      </c>
      <c r="F5038" s="8" t="s">
        <v>6081</v>
      </c>
      <c r="G5038" s="4" t="s">
        <v>965</v>
      </c>
      <c r="H5038" s="10" t="s">
        <v>5853</v>
      </c>
      <c r="I5038" s="10">
        <v>5.0</v>
      </c>
      <c r="J5038" s="11" t="str">
        <f>IF(D5038&lt;&gt;"",VLOOKUP(H5038,TABLEITEM,5,FALSE),"")</f>
        <v>EA</v>
      </c>
      <c r="K5038" s="12">
        <v>3.0</v>
      </c>
      <c r="L5038" s="13" t="str">
        <f>IF(D5038&lt;&gt;"",VLOOKUP(H5038,TABLEITEM,2,FALSE),"")</f>
        <v/>
      </c>
      <c r="M5038" s="13" t="str">
        <f>IF(D5038&lt;&gt;"",VLOOKUP(H5038,TABLEITEM,3,FALSE),"")</f>
        <v>กรดเกลือ</v>
      </c>
      <c r="N5038" s="14">
        <f>INSTOCK!$I5038*INSTOCK!$K5038</f>
        <v>15</v>
      </c>
      <c r="O5038" s="4"/>
      <c r="P5038" s="4"/>
    </row>
    <row r="5039" ht="15.75" hidden="1" customHeight="1">
      <c r="B5039" s="8">
        <v>5363.0</v>
      </c>
      <c r="C5039" s="9">
        <v>43647.0</v>
      </c>
      <c r="D5039" s="6" t="s">
        <v>6080</v>
      </c>
      <c r="E5039" s="4">
        <v>6.207000984E9</v>
      </c>
      <c r="F5039" s="8" t="s">
        <v>6081</v>
      </c>
      <c r="G5039" s="4" t="s">
        <v>965</v>
      </c>
      <c r="H5039" s="10" t="s">
        <v>6082</v>
      </c>
      <c r="I5039" s="10">
        <v>1.0</v>
      </c>
      <c r="J5039" s="11" t="str">
        <f>IF(D5039&lt;&gt;"",VLOOKUP(H5039,TABLEITEM,5,FALSE),"")</f>
        <v>EA</v>
      </c>
      <c r="K5039" s="12">
        <v>50.0</v>
      </c>
      <c r="L5039" s="13" t="str">
        <f>IF(D5039&lt;&gt;"",VLOOKUP(H5039,TABLEITEM,2,FALSE),"")</f>
        <v/>
      </c>
      <c r="M5039" s="13" t="str">
        <f>IF(D5039&lt;&gt;"",VLOOKUP(H5039,TABLEITEM,3,FALSE),"")</f>
        <v>สายน้ำดีซักโครก </v>
      </c>
      <c r="N5039" s="14">
        <f>INSTOCK!$I5039*INSTOCK!$K5039</f>
        <v>50</v>
      </c>
      <c r="O5039" s="4"/>
      <c r="P5039" s="4"/>
    </row>
    <row r="5040" ht="15.75" hidden="1" customHeight="1">
      <c r="B5040" s="8">
        <v>5364.0</v>
      </c>
      <c r="C5040" s="9">
        <v>43647.0</v>
      </c>
      <c r="D5040" s="6" t="s">
        <v>6080</v>
      </c>
      <c r="E5040" s="4">
        <v>6.207000984E9</v>
      </c>
      <c r="F5040" s="8" t="s">
        <v>6081</v>
      </c>
      <c r="G5040" s="4" t="s">
        <v>965</v>
      </c>
      <c r="H5040" s="10" t="s">
        <v>2616</v>
      </c>
      <c r="I5040" s="10">
        <v>10.0</v>
      </c>
      <c r="J5040" s="11" t="str">
        <f>IF(D5040&lt;&gt;"",VLOOKUP(H5040,TABLEITEM,5,FALSE),"")</f>
        <v>M</v>
      </c>
      <c r="K5040" s="12">
        <v>12.0</v>
      </c>
      <c r="L5040" s="13" t="str">
        <f>IF(D5040&lt;&gt;"",VLOOKUP(H5040,TABLEITEM,2,FALSE),"")</f>
        <v/>
      </c>
      <c r="M5040" s="13" t="str">
        <f>IF(D5040&lt;&gt;"",VLOOKUP(H5040,TABLEITEM,3,FALSE),"")</f>
        <v>สายยางน้ำ 5/8"</v>
      </c>
      <c r="N5040" s="14">
        <f>INSTOCK!$I5040*INSTOCK!$K5040</f>
        <v>120</v>
      </c>
      <c r="O5040" s="4"/>
      <c r="P5040" s="4"/>
    </row>
    <row r="5041" ht="15.75" hidden="1" customHeight="1">
      <c r="B5041" s="8">
        <v>5365.0</v>
      </c>
      <c r="C5041" s="9">
        <v>43647.0</v>
      </c>
      <c r="D5041" s="6" t="s">
        <v>6083</v>
      </c>
      <c r="E5041" s="4">
        <v>6.207000997E9</v>
      </c>
      <c r="F5041" s="8" t="s">
        <v>604</v>
      </c>
      <c r="G5041" s="4" t="s">
        <v>721</v>
      </c>
      <c r="H5041" s="10" t="s">
        <v>225</v>
      </c>
      <c r="I5041" s="10">
        <v>100.0</v>
      </c>
      <c r="J5041" s="11" t="str">
        <f>IF(D5041&lt;&gt;"",VLOOKUP(H5041,TABLEITEM,5,FALSE),"")</f>
        <v>M</v>
      </c>
      <c r="K5041" s="12">
        <v>14.5015</v>
      </c>
      <c r="L5041" s="13" t="str">
        <f>IF(D5041&lt;&gt;"",VLOOKUP(H5041,TABLEITEM,2,FALSE),"")</f>
        <v/>
      </c>
      <c r="M5041" s="13" t="str">
        <f>IF(D5041&lt;&gt;"",VLOOKUP(H5041,TABLEITEM,3,FALSE),"")</f>
        <v>ท่ออ่อนลูกฟูกชิดผ่า/ท่อผ่าดำ 19มิล</v>
      </c>
      <c r="N5041" s="14">
        <f>INSTOCK!$I5041*INSTOCK!$K5041</f>
        <v>1450.15</v>
      </c>
      <c r="O5041" s="4" t="s">
        <v>1157</v>
      </c>
      <c r="P5041" s="4"/>
    </row>
    <row r="5042" ht="15.75" hidden="1" customHeight="1">
      <c r="B5042" s="8">
        <v>5366.0</v>
      </c>
      <c r="C5042" s="9">
        <v>43647.0</v>
      </c>
      <c r="D5042" s="6" t="s">
        <v>6083</v>
      </c>
      <c r="E5042" s="4">
        <v>6.207000997E9</v>
      </c>
      <c r="F5042" s="8" t="s">
        <v>604</v>
      </c>
      <c r="G5042" s="4" t="s">
        <v>721</v>
      </c>
      <c r="H5042" s="10" t="s">
        <v>202</v>
      </c>
      <c r="I5042" s="10">
        <v>54.0</v>
      </c>
      <c r="J5042" s="11" t="str">
        <f>IF(D5042&lt;&gt;"",VLOOKUP(H5042,TABLEITEM,5,FALSE),"")</f>
        <v>EA</v>
      </c>
      <c r="K5042" s="12">
        <v>93.12</v>
      </c>
      <c r="L5042" s="13" t="str">
        <f>IF(D5042&lt;&gt;"",VLOOKUP(H5042,TABLEITEM,2,FALSE),"")</f>
        <v/>
      </c>
      <c r="M5042" s="13" t="str">
        <f>IF(D5042&lt;&gt;"",VLOOKUP(H5042,TABLEITEM,3,FALSE),"")</f>
        <v>รางวายดัก/รางPVC 25x45 mm.</v>
      </c>
      <c r="N5042" s="14">
        <f>INSTOCK!$I5042*INSTOCK!$K5042</f>
        <v>5028.48</v>
      </c>
      <c r="O5042" s="4" t="s">
        <v>2173</v>
      </c>
      <c r="P5042" s="4"/>
    </row>
    <row r="5043" ht="15.75" hidden="1" customHeight="1">
      <c r="B5043" s="8">
        <v>5367.0</v>
      </c>
      <c r="C5043" s="9">
        <v>43647.0</v>
      </c>
      <c r="D5043" s="6" t="s">
        <v>6083</v>
      </c>
      <c r="E5043" s="4">
        <v>6.207000997E9</v>
      </c>
      <c r="F5043" s="8" t="s">
        <v>604</v>
      </c>
      <c r="G5043" s="4" t="s">
        <v>721</v>
      </c>
      <c r="H5043" s="10" t="s">
        <v>207</v>
      </c>
      <c r="I5043" s="10">
        <v>24.0</v>
      </c>
      <c r="J5043" s="11" t="str">
        <f>IF(D5043&lt;&gt;"",VLOOKUP(H5043,TABLEITEM,5,FALSE),"")</f>
        <v>EA</v>
      </c>
      <c r="K5043" s="12">
        <v>168.78</v>
      </c>
      <c r="L5043" s="13" t="str">
        <f>IF(D5043&lt;&gt;"",VLOOKUP(H5043,TABLEITEM,2,FALSE),"")</f>
        <v/>
      </c>
      <c r="M5043" s="13" t="str">
        <f>IF(D5043&lt;&gt;"",VLOOKUP(H5043,TABLEITEM,3,FALSE),"")</f>
        <v>รางวายดัก/รางPVC 45x65 mm.</v>
      </c>
      <c r="N5043" s="14">
        <f>INSTOCK!$I5043*INSTOCK!$K5043</f>
        <v>4050.72</v>
      </c>
      <c r="O5043" s="4" t="s">
        <v>769</v>
      </c>
      <c r="P5043" s="4"/>
    </row>
    <row r="5044" ht="15.75" hidden="1" customHeight="1">
      <c r="B5044" s="8">
        <v>5368.0</v>
      </c>
      <c r="C5044" s="9">
        <v>43647.0</v>
      </c>
      <c r="D5044" s="6">
        <v>6.2070022E7</v>
      </c>
      <c r="E5044" s="4">
        <v>6.207000989E9</v>
      </c>
      <c r="F5044" s="8" t="s">
        <v>604</v>
      </c>
      <c r="G5044" s="4" t="s">
        <v>1127</v>
      </c>
      <c r="H5044" s="10" t="s">
        <v>17</v>
      </c>
      <c r="I5044" s="10">
        <v>24.0</v>
      </c>
      <c r="J5044" s="11" t="str">
        <f>IF(D5044&lt;&gt;"",VLOOKUP(H5044,TABLEITEM,5,FALSE),"")</f>
        <v>คู่</v>
      </c>
      <c r="K5044" s="12">
        <v>41.6667</v>
      </c>
      <c r="L5044" s="13" t="str">
        <f>IF(D5044&lt;&gt;"",VLOOKUP(H5044,TABLEITEM,2,FALSE),"")</f>
        <v/>
      </c>
      <c r="M5044" s="13" t="str">
        <f>IF(D5044&lt;&gt;"",VLOOKUP(H5044,TABLEITEM,3,FALSE),"")</f>
        <v>ถุงมือหนัง</v>
      </c>
      <c r="N5044" s="14">
        <f>INSTOCK!$I5044*INSTOCK!$K5044</f>
        <v>1000.0008</v>
      </c>
      <c r="O5044" s="4"/>
      <c r="P5044" s="4"/>
    </row>
    <row r="5045" ht="15.75" hidden="1" customHeight="1">
      <c r="B5045" s="8">
        <v>5369.0</v>
      </c>
      <c r="C5045" s="9">
        <v>43648.0</v>
      </c>
      <c r="D5045" s="6" t="s">
        <v>6084</v>
      </c>
      <c r="E5045" s="4">
        <v>6.207000993E9</v>
      </c>
      <c r="F5045" s="8" t="s">
        <v>604</v>
      </c>
      <c r="G5045" s="4" t="s">
        <v>725</v>
      </c>
      <c r="H5045" s="10" t="s">
        <v>26</v>
      </c>
      <c r="I5045" s="10">
        <v>1500.0</v>
      </c>
      <c r="J5045" s="11" t="str">
        <f>IF(D5045&lt;&gt;"",VLOOKUP(H5045,TABLEITEM,5,FALSE),"")</f>
        <v>M</v>
      </c>
      <c r="K5045" s="12">
        <v>18.0</v>
      </c>
      <c r="L5045" s="13" t="str">
        <f>IF(D5045&lt;&gt;"",VLOOKUP(H5045,TABLEITEM,2,FALSE),"")</f>
        <v/>
      </c>
      <c r="M5045" s="13" t="str">
        <f>IF(D5045&lt;&gt;"",VLOOKUP(H5045,TABLEITEM,3,FALSE),"")</f>
        <v>ยางโปร่ง#110</v>
      </c>
      <c r="N5045" s="14">
        <f>INSTOCK!$I5045*INSTOCK!$K5045</f>
        <v>27000</v>
      </c>
      <c r="O5045" s="4"/>
      <c r="P5045" s="4"/>
    </row>
    <row r="5046" ht="15.75" hidden="1" customHeight="1">
      <c r="B5046" s="8">
        <v>5370.0</v>
      </c>
      <c r="C5046" s="9">
        <v>43648.0</v>
      </c>
      <c r="D5046" s="6" t="s">
        <v>6084</v>
      </c>
      <c r="E5046" s="4">
        <v>6.207000993E9</v>
      </c>
      <c r="F5046" s="8" t="s">
        <v>604</v>
      </c>
      <c r="G5046" s="4" t="s">
        <v>725</v>
      </c>
      <c r="H5046" s="10" t="s">
        <v>1966</v>
      </c>
      <c r="I5046" s="10">
        <v>80.0</v>
      </c>
      <c r="J5046" s="11" t="str">
        <f>IF(D5046&lt;&gt;"",VLOOKUP(H5046,TABLEITEM,5,FALSE),"")</f>
        <v>M</v>
      </c>
      <c r="K5046" s="12">
        <v>13.0</v>
      </c>
      <c r="L5046" s="13" t="str">
        <f>IF(D5046&lt;&gt;"",VLOOKUP(H5046,TABLEITEM,2,FALSE),"")</f>
        <v/>
      </c>
      <c r="M5046" s="13" t="str">
        <f>IF(D5046&lt;&gt;"",VLOOKUP(H5046,TABLEITEM,3,FALSE),"")</f>
        <v>ยางฟองน้ำแถบกาว 3mm.X13m. </v>
      </c>
      <c r="N5046" s="14">
        <f>INSTOCK!$I5046*INSTOCK!$K5046</f>
        <v>1040</v>
      </c>
      <c r="O5046" s="4"/>
      <c r="P5046" s="4"/>
    </row>
    <row r="5047" ht="15.75" hidden="1" customHeight="1">
      <c r="B5047" s="8">
        <v>5371.0</v>
      </c>
      <c r="C5047" s="9">
        <v>43648.0</v>
      </c>
      <c r="D5047" s="6">
        <v>6.2070201E7</v>
      </c>
      <c r="E5047" s="4">
        <v>6.207000995E9</v>
      </c>
      <c r="F5047" s="8" t="s">
        <v>6085</v>
      </c>
      <c r="G5047" s="4" t="s">
        <v>711</v>
      </c>
      <c r="H5047" s="10" t="s">
        <v>790</v>
      </c>
      <c r="I5047" s="10">
        <v>40.0</v>
      </c>
      <c r="J5047" s="11" t="str">
        <f>IF(D5047&lt;&gt;"",VLOOKUP(H5047,TABLEITEM,5,FALSE),"")</f>
        <v>KG.</v>
      </c>
      <c r="K5047" s="12">
        <v>161.5</v>
      </c>
      <c r="L5047" s="13" t="str">
        <f>IF(D5047&lt;&gt;"",VLOOKUP(H5047,TABLEITEM,2,FALSE),"")</f>
        <v/>
      </c>
      <c r="M5047" s="13" t="str">
        <f>IF(D5047&lt;&gt;"",VLOOKUP(H5047,TABLEITEM,3,FALSE),"")</f>
        <v>สีฝุ่น M50170AN สีน้ำเงิน</v>
      </c>
      <c r="N5047" s="14">
        <f>INSTOCK!$I5047*INSTOCK!$K5047</f>
        <v>6460</v>
      </c>
      <c r="O5047" s="4" t="s">
        <v>792</v>
      </c>
      <c r="P5047" s="4"/>
    </row>
    <row r="5048" ht="15.75" hidden="1" customHeight="1">
      <c r="B5048" s="8">
        <v>5372.0</v>
      </c>
      <c r="C5048" s="9">
        <v>43647.0</v>
      </c>
      <c r="D5048" s="6">
        <v>6.2070055E7</v>
      </c>
      <c r="E5048" s="4">
        <v>6.206000971E9</v>
      </c>
      <c r="F5048" s="8" t="s">
        <v>6086</v>
      </c>
      <c r="G5048" s="4" t="s">
        <v>711</v>
      </c>
      <c r="H5048" s="10" t="s">
        <v>105</v>
      </c>
      <c r="I5048" s="10">
        <v>40.0</v>
      </c>
      <c r="J5048" s="11" t="str">
        <f>IF(D5048&lt;&gt;"",VLOOKUP(H5048,TABLEITEM,5,FALSE),"")</f>
        <v>KG.</v>
      </c>
      <c r="K5048" s="12">
        <v>165.75</v>
      </c>
      <c r="L5048" s="13" t="str">
        <f>IF(D5048&lt;&gt;"",VLOOKUP(H5048,TABLEITEM,2,FALSE),"")</f>
        <v/>
      </c>
      <c r="M5048" s="13" t="str">
        <f>IF(D5048&lt;&gt;"",VLOOKUP(H5048,TABLEITEM,3,FALSE),"")</f>
        <v>สีฝุ่น M10001 WN</v>
      </c>
      <c r="N5048" s="14">
        <f>INSTOCK!$I5048*INSTOCK!$K5048</f>
        <v>6630</v>
      </c>
      <c r="O5048" s="4" t="s">
        <v>971</v>
      </c>
      <c r="P5048" s="4"/>
    </row>
    <row r="5049" ht="15.75" hidden="1" customHeight="1">
      <c r="B5049" s="8">
        <v>5373.0</v>
      </c>
      <c r="C5049" s="9">
        <v>43650.0</v>
      </c>
      <c r="D5049" s="6" t="s">
        <v>6087</v>
      </c>
      <c r="E5049" s="4">
        <v>6.207000985E9</v>
      </c>
      <c r="F5049" s="8" t="s">
        <v>6088</v>
      </c>
      <c r="G5049" s="4" t="s">
        <v>1985</v>
      </c>
      <c r="H5049" s="10" t="s">
        <v>2557</v>
      </c>
      <c r="I5049" s="10">
        <v>1.0</v>
      </c>
      <c r="J5049" s="11" t="str">
        <f>IF(D5049&lt;&gt;"",VLOOKUP(H5049,TABLEITEM,5,FALSE),"")</f>
        <v>คู่</v>
      </c>
      <c r="K5049" s="12">
        <v>560.0</v>
      </c>
      <c r="L5049" s="13" t="str">
        <f>IF(D5049&lt;&gt;"",VLOOKUP(H5049,TABLEITEM,2,FALSE),"")</f>
        <v/>
      </c>
      <c r="M5049" s="13" t="str">
        <f>IF(D5049&lt;&gt;"",VLOOKUP(H5049,TABLEITEM,3,FALSE),"")</f>
        <v>รองเท้าหุ้มส้นพื้นยาง CB800</v>
      </c>
      <c r="N5049" s="14">
        <f>INSTOCK!$I5049*INSTOCK!$K5049</f>
        <v>560</v>
      </c>
      <c r="O5049" s="4" t="s">
        <v>5081</v>
      </c>
      <c r="P5049" s="4"/>
    </row>
    <row r="5050" ht="15.75" hidden="1" customHeight="1">
      <c r="B5050" s="8">
        <v>5374.0</v>
      </c>
      <c r="C5050" s="9">
        <v>43650.0</v>
      </c>
      <c r="D5050" s="6" t="s">
        <v>6089</v>
      </c>
      <c r="E5050" s="4">
        <v>6.207001006E9</v>
      </c>
      <c r="F5050" s="8" t="s">
        <v>807</v>
      </c>
      <c r="G5050" s="4" t="s">
        <v>808</v>
      </c>
      <c r="H5050" s="10" t="s">
        <v>809</v>
      </c>
      <c r="I5050" s="10">
        <v>1.0</v>
      </c>
      <c r="J5050" s="11" t="str">
        <f>IF(D5050&lt;&gt;"",VLOOKUP(H5050,TABLEITEM,5,FALSE),"")</f>
        <v>ท่อ</v>
      </c>
      <c r="K5050" s="12">
        <v>2700.0</v>
      </c>
      <c r="L5050" s="13" t="str">
        <f>IF(D5050&lt;&gt;"",VLOOKUP(H5050,TABLEITEM,2,FALSE),"")</f>
        <v/>
      </c>
      <c r="M5050" s="13" t="str">
        <f>IF(D5050&lt;&gt;"",VLOOKUP(H5050,TABLEITEM,3,FALSE),"")</f>
        <v>ไนโตรเจนเหลว ขนาด 100คิว</v>
      </c>
      <c r="N5050" s="14">
        <f>INSTOCK!$I5050*INSTOCK!$K5050</f>
        <v>2700</v>
      </c>
      <c r="O5050" s="4"/>
      <c r="P5050" s="4"/>
    </row>
    <row r="5051" ht="15.75" hidden="1" customHeight="1">
      <c r="B5051" s="8">
        <v>5375.0</v>
      </c>
      <c r="C5051" s="9">
        <v>43650.0</v>
      </c>
      <c r="D5051" s="6" t="s">
        <v>6089</v>
      </c>
      <c r="E5051" s="4">
        <v>6.207001006E9</v>
      </c>
      <c r="F5051" s="8" t="s">
        <v>807</v>
      </c>
      <c r="G5051" s="4" t="s">
        <v>808</v>
      </c>
      <c r="H5051" s="10" t="s">
        <v>831</v>
      </c>
      <c r="I5051" s="10">
        <v>1.0</v>
      </c>
      <c r="J5051" s="11" t="str">
        <f>IF(D5051&lt;&gt;"",VLOOKUP(H5051,TABLEITEM,5,FALSE),"")</f>
        <v>ท่อ</v>
      </c>
      <c r="K5051" s="12">
        <v>7700.0</v>
      </c>
      <c r="L5051" s="13" t="str">
        <f>IF(D5051&lt;&gt;"",VLOOKUP(H5051,TABLEITEM,2,FALSE),"")</f>
        <v/>
      </c>
      <c r="M5051" s="13" t="str">
        <f>IF(D5051&lt;&gt;"",VLOOKUP(H5051,TABLEITEM,3,FALSE),"")</f>
        <v>5% CO2.34% N2,61% HELIUM 7</v>
      </c>
      <c r="N5051" s="14">
        <f>INSTOCK!$I5051*INSTOCK!$K5051</f>
        <v>7700</v>
      </c>
      <c r="O5051" s="4"/>
      <c r="P5051" s="4"/>
    </row>
    <row r="5052" ht="15.75" hidden="1" customHeight="1">
      <c r="B5052" s="8">
        <v>5376.0</v>
      </c>
      <c r="C5052" s="9">
        <v>43650.0</v>
      </c>
      <c r="D5052" s="6" t="s">
        <v>6090</v>
      </c>
      <c r="E5052" s="4">
        <v>6.207001011E9</v>
      </c>
      <c r="F5052" s="8" t="s">
        <v>604</v>
      </c>
      <c r="G5052" s="4" t="s">
        <v>665</v>
      </c>
      <c r="H5052" s="10" t="s">
        <v>503</v>
      </c>
      <c r="I5052" s="10">
        <v>200.0</v>
      </c>
      <c r="J5052" s="11" t="str">
        <f>IF(D5052&lt;&gt;"",VLOOKUP(H5052,TABLEITEM,5,FALSE),"")</f>
        <v>M</v>
      </c>
      <c r="K5052" s="12">
        <v>34.28</v>
      </c>
      <c r="L5052" s="13" t="str">
        <f>IF(D5052&lt;&gt;"",VLOOKUP(H5052,TABLEITEM,2,FALSE),"")</f>
        <v>wire</v>
      </c>
      <c r="M5052" s="13" t="str">
        <f>IF(D5052&lt;&gt;"",VLOOKUP(H5052,TABLEITEM,3,FALSE),"")</f>
        <v>สายไฟ VSF1x10 SQMM.สีดำ</v>
      </c>
      <c r="N5052" s="14">
        <f>INSTOCK!$I5052*INSTOCK!$K5052</f>
        <v>6856</v>
      </c>
      <c r="O5052" s="4"/>
      <c r="P5052" s="4"/>
    </row>
    <row r="5053" ht="15.75" hidden="1" customHeight="1">
      <c r="B5053" s="8">
        <v>5377.0</v>
      </c>
      <c r="C5053" s="9">
        <v>43649.0</v>
      </c>
      <c r="D5053" s="6">
        <v>86364.0</v>
      </c>
      <c r="E5053" s="4">
        <v>6.206000976E9</v>
      </c>
      <c r="F5053" s="8" t="s">
        <v>604</v>
      </c>
      <c r="G5053" s="4" t="s">
        <v>2589</v>
      </c>
      <c r="H5053" s="10" t="s">
        <v>4462</v>
      </c>
      <c r="I5053" s="10">
        <v>3000.0</v>
      </c>
      <c r="J5053" s="11" t="str">
        <f>IF(D5053&lt;&gt;"",VLOOKUP(H5053,TABLEITEM,5,FALSE),"")</f>
        <v>EA</v>
      </c>
      <c r="K5053" s="12">
        <v>2.15</v>
      </c>
      <c r="L5053" s="13" t="str">
        <f>IF(D5053&lt;&gt;"",VLOOKUP(H5053,TABLEITEM,2,FALSE),"")</f>
        <v/>
      </c>
      <c r="M5053" s="13" t="str">
        <f>IF(D5053&lt;&gt;"",VLOOKUP(H5053,TABLEITEM,3,FALSE),"")</f>
        <v>สตัด M6x15</v>
      </c>
      <c r="N5053" s="14">
        <f>INSTOCK!$I5053*INSTOCK!$K5053</f>
        <v>6450</v>
      </c>
      <c r="O5053" s="4"/>
      <c r="P5053" s="4"/>
    </row>
    <row r="5054" ht="15.75" hidden="1" customHeight="1">
      <c r="B5054" s="8">
        <v>5378.0</v>
      </c>
      <c r="C5054" s="9">
        <v>43648.0</v>
      </c>
      <c r="D5054" s="6">
        <v>39244.0</v>
      </c>
      <c r="E5054" s="4">
        <v>6.207000983E9</v>
      </c>
      <c r="F5054" s="8" t="s">
        <v>604</v>
      </c>
      <c r="G5054" s="4" t="s">
        <v>696</v>
      </c>
      <c r="H5054" s="10" t="s">
        <v>110</v>
      </c>
      <c r="I5054" s="10">
        <v>24.0</v>
      </c>
      <c r="J5054" s="11" t="str">
        <f>IF(D5054&lt;&gt;"",VLOOKUP(H5054,TABLEITEM,5,FALSE),"")</f>
        <v>กป.</v>
      </c>
      <c r="K5054" s="12">
        <v>41.6667</v>
      </c>
      <c r="L5054" s="13" t="str">
        <f>IF(D5054&lt;&gt;"",VLOOKUP(H5054,TABLEITEM,2,FALSE),"")</f>
        <v/>
      </c>
      <c r="M5054" s="13" t="str">
        <f>IF(D5054&lt;&gt;"",VLOOKUP(H5054,TABLEITEM,3,FALSE),"")</f>
        <v>สีสเปรย์ สีน้ำตาล</v>
      </c>
      <c r="N5054" s="14">
        <f>INSTOCK!$I5054*INSTOCK!$K5054</f>
        <v>1000.0008</v>
      </c>
      <c r="O5054" s="4"/>
      <c r="P5054" s="4"/>
    </row>
    <row r="5055" ht="15.75" hidden="1" customHeight="1">
      <c r="B5055" s="8">
        <v>5379.0</v>
      </c>
      <c r="C5055" s="9">
        <v>43648.0</v>
      </c>
      <c r="D5055" s="6">
        <v>39244.0</v>
      </c>
      <c r="E5055" s="4">
        <v>6.207000983E9</v>
      </c>
      <c r="F5055" s="8" t="s">
        <v>604</v>
      </c>
      <c r="G5055" s="4" t="s">
        <v>696</v>
      </c>
      <c r="H5055" s="10" t="s">
        <v>66</v>
      </c>
      <c r="I5055" s="10">
        <v>24.0</v>
      </c>
      <c r="J5055" s="11" t="str">
        <f>IF(D5055&lt;&gt;"",VLOOKUP(H5055,TABLEITEM,5,FALSE),"")</f>
        <v>กป.</v>
      </c>
      <c r="K5055" s="12">
        <v>41.6667</v>
      </c>
      <c r="L5055" s="13" t="str">
        <f>IF(D5055&lt;&gt;"",VLOOKUP(H5055,TABLEITEM,2,FALSE),"")</f>
        <v/>
      </c>
      <c r="M5055" s="13" t="str">
        <f>IF(D5055&lt;&gt;"",VLOOKUP(H5055,TABLEITEM,3,FALSE),"")</f>
        <v>สีสเปรย์ สีดำ</v>
      </c>
      <c r="N5055" s="14">
        <f>INSTOCK!$I5055*INSTOCK!$K5055</f>
        <v>1000.0008</v>
      </c>
      <c r="O5055" s="4"/>
      <c r="P5055" s="4"/>
    </row>
    <row r="5056" ht="15.75" hidden="1" customHeight="1">
      <c r="B5056" s="8">
        <v>5380.0</v>
      </c>
      <c r="C5056" s="9">
        <v>43648.0</v>
      </c>
      <c r="D5056" s="6">
        <v>39244.0</v>
      </c>
      <c r="E5056" s="4">
        <v>6.207000983E9</v>
      </c>
      <c r="F5056" s="8" t="s">
        <v>604</v>
      </c>
      <c r="G5056" s="4" t="s">
        <v>696</v>
      </c>
      <c r="H5056" s="10" t="s">
        <v>111</v>
      </c>
      <c r="I5056" s="10">
        <v>24.0</v>
      </c>
      <c r="J5056" s="11" t="str">
        <f>IF(D5056&lt;&gt;"",VLOOKUP(H5056,TABLEITEM,5,FALSE),"")</f>
        <v>กป.</v>
      </c>
      <c r="K5056" s="12">
        <v>41.6667</v>
      </c>
      <c r="L5056" s="13" t="str">
        <f>IF(D5056&lt;&gt;"",VLOOKUP(H5056,TABLEITEM,2,FALSE),"")</f>
        <v/>
      </c>
      <c r="M5056" s="13" t="str">
        <f>IF(D5056&lt;&gt;"",VLOOKUP(H5056,TABLEITEM,3,FALSE),"")</f>
        <v>สีสเปรย์ สีเทา</v>
      </c>
      <c r="N5056" s="14">
        <f>INSTOCK!$I5056*INSTOCK!$K5056</f>
        <v>1000.0008</v>
      </c>
      <c r="O5056" s="4"/>
      <c r="P5056" s="4"/>
    </row>
    <row r="5057" ht="15.75" hidden="1" customHeight="1">
      <c r="B5057" s="8">
        <v>5381.0</v>
      </c>
      <c r="C5057" s="9">
        <v>43648.0</v>
      </c>
      <c r="D5057" s="6" t="s">
        <v>6091</v>
      </c>
      <c r="E5057" s="4">
        <v>6.207000986E9</v>
      </c>
      <c r="F5057" s="8" t="s">
        <v>604</v>
      </c>
      <c r="G5057" s="4" t="s">
        <v>665</v>
      </c>
      <c r="H5057" s="10" t="s">
        <v>508</v>
      </c>
      <c r="I5057" s="10">
        <v>100.0</v>
      </c>
      <c r="J5057" s="11" t="str">
        <f>IF(D5057&lt;&gt;"",VLOOKUP(H5057,TABLEITEM,5,FALSE),"")</f>
        <v>M</v>
      </c>
      <c r="K5057" s="12">
        <v>82.88</v>
      </c>
      <c r="L5057" s="13" t="str">
        <f>IF(D5057&lt;&gt;"",VLOOKUP(H5057,TABLEITEM,2,FALSE),"")</f>
        <v>wire</v>
      </c>
      <c r="M5057" s="13" t="str">
        <f>IF(D5057&lt;&gt;"",VLOOKUP(H5057,TABLEITEM,3,FALSE),"")</f>
        <v>สายไฟ VSF1x25 SQMM.สีดำ</v>
      </c>
      <c r="N5057" s="14">
        <f>INSTOCK!$I5057*INSTOCK!$K5057</f>
        <v>8288</v>
      </c>
      <c r="O5057" s="4"/>
      <c r="P5057" s="4"/>
    </row>
    <row r="5058" ht="15.75" hidden="1" customHeight="1">
      <c r="B5058" s="8">
        <v>5382.0</v>
      </c>
      <c r="C5058" s="9">
        <v>43649.0</v>
      </c>
      <c r="D5058" s="6" t="s">
        <v>6092</v>
      </c>
      <c r="E5058" s="4"/>
      <c r="F5058" s="8" t="s">
        <v>6093</v>
      </c>
      <c r="G5058" s="4" t="s">
        <v>3892</v>
      </c>
      <c r="H5058" s="18" t="s">
        <v>6094</v>
      </c>
      <c r="I5058" s="10">
        <v>6.0</v>
      </c>
      <c r="J5058" s="11" t="str">
        <f>IF(D5058&lt;&gt;"",VLOOKUP(H5058,TABLEITEM,5,FALSE),"")</f>
        <v>EA</v>
      </c>
      <c r="K5058" s="12">
        <v>120.0</v>
      </c>
      <c r="L5058" s="13" t="str">
        <f>IF(D5058&lt;&gt;"",VLOOKUP(H5058,TABLEITEM,2,FALSE),"")</f>
        <v/>
      </c>
      <c r="M5058" s="13" t="str">
        <f>IF(D5058&lt;&gt;"",VLOOKUP(H5058,TABLEITEM,3,FALSE),"")</f>
        <v>โซ๊คแก๊สกระบอก (NO.CS.05401)100N</v>
      </c>
      <c r="N5058" s="14">
        <f>INSTOCK!$I5058*INSTOCK!$K5058</f>
        <v>720</v>
      </c>
      <c r="O5058" s="4"/>
      <c r="P5058" s="4"/>
    </row>
    <row r="5059" ht="15.75" hidden="1" customHeight="1">
      <c r="B5059" s="8">
        <v>5383.0</v>
      </c>
      <c r="C5059" s="9">
        <v>43649.0</v>
      </c>
      <c r="D5059" s="6">
        <v>558328.0</v>
      </c>
      <c r="E5059" s="4"/>
      <c r="F5059" s="8" t="s">
        <v>6093</v>
      </c>
      <c r="G5059" s="4" t="s">
        <v>3724</v>
      </c>
      <c r="H5059" s="10" t="s">
        <v>6095</v>
      </c>
      <c r="I5059" s="10">
        <v>2.0</v>
      </c>
      <c r="J5059" s="11" t="str">
        <f>IF(D5059&lt;&gt;"",VLOOKUP(H5059,TABLEITEM,5,FALSE),"")</f>
        <v>EA</v>
      </c>
      <c r="K5059" s="12">
        <v>95.0</v>
      </c>
      <c r="L5059" s="13" t="str">
        <f>IF(D5059&lt;&gt;"",VLOOKUP(H5059,TABLEITEM,2,FALSE),"")</f>
        <v/>
      </c>
      <c r="M5059" s="13" t="str">
        <f>IF(D5059&lt;&gt;"",VLOOKUP(H5059,TABLEITEM,3,FALSE),"")</f>
        <v>มือจับ HF 481.21.109 NI </v>
      </c>
      <c r="N5059" s="14">
        <f>INSTOCK!$I5059*INSTOCK!$K5059</f>
        <v>190</v>
      </c>
      <c r="O5059" s="4"/>
      <c r="P5059" s="4"/>
    </row>
    <row r="5060" ht="15.75" hidden="1" customHeight="1">
      <c r="B5060" s="8">
        <v>5384.0</v>
      </c>
      <c r="C5060" s="9">
        <v>43649.0</v>
      </c>
      <c r="D5060" s="6" t="s">
        <v>6096</v>
      </c>
      <c r="E5060" s="4">
        <v>6.206000979E9</v>
      </c>
      <c r="F5060" s="8" t="s">
        <v>6097</v>
      </c>
      <c r="G5060" s="4" t="s">
        <v>1070</v>
      </c>
      <c r="H5060" s="10" t="s">
        <v>6098</v>
      </c>
      <c r="I5060" s="10">
        <v>1.0</v>
      </c>
      <c r="J5060" s="11" t="str">
        <f>IF(D5060&lt;&gt;"",VLOOKUP(H5060,TABLEITEM,5,FALSE),"")</f>
        <v>LOT</v>
      </c>
      <c r="K5060" s="12">
        <v>1000.0</v>
      </c>
      <c r="L5060" s="13" t="str">
        <f>IF(D5060&lt;&gt;"",VLOOKUP(H5060,TABLEITEM,2,FALSE),"")</f>
        <v/>
      </c>
      <c r="M5060" s="13" t="str">
        <f>IF(D5060&lt;&gt;"",VLOOKUP(H5060,TABLEITEM,3,FALSE),"")</f>
        <v>ค่าซ่อมตู้เชื่อม </v>
      </c>
      <c r="N5060" s="14">
        <f>INSTOCK!$I5060*INSTOCK!$K5060</f>
        <v>1000</v>
      </c>
      <c r="O5060" s="4"/>
      <c r="P5060" s="4"/>
    </row>
    <row r="5061" ht="15.75" hidden="1" customHeight="1">
      <c r="B5061" s="8">
        <v>5385.0</v>
      </c>
      <c r="C5061" s="9">
        <v>43649.0</v>
      </c>
      <c r="D5061" s="6" t="s">
        <v>6096</v>
      </c>
      <c r="E5061" s="4">
        <v>6.206000979E9</v>
      </c>
      <c r="F5061" s="8" t="s">
        <v>6097</v>
      </c>
      <c r="G5061" s="4" t="s">
        <v>1070</v>
      </c>
      <c r="H5061" s="10" t="s">
        <v>6099</v>
      </c>
      <c r="I5061" s="10">
        <v>1.0</v>
      </c>
      <c r="J5061" s="11" t="str">
        <f>IF(D5061&lt;&gt;"",VLOOKUP(H5061,TABLEITEM,5,FALSE),"")</f>
        <v>LOT</v>
      </c>
      <c r="K5061" s="12">
        <v>1200.0</v>
      </c>
      <c r="L5061" s="13" t="str">
        <f>IF(D5061&lt;&gt;"",VLOOKUP(H5061,TABLEITEM,2,FALSE),"")</f>
        <v/>
      </c>
      <c r="M5061" s="13" t="str">
        <f>IF(D5061&lt;&gt;"",VLOOKUP(H5061,TABLEITEM,3,FALSE),"")</f>
        <v>ค่าซ่อมบอร์ดคอนโทรล</v>
      </c>
      <c r="N5061" s="14">
        <f>INSTOCK!$I5061*INSTOCK!$K5061</f>
        <v>1200</v>
      </c>
      <c r="O5061" s="4"/>
      <c r="P5061" s="4"/>
    </row>
    <row r="5062" ht="15.75" hidden="1" customHeight="1">
      <c r="B5062" s="8">
        <v>5386.0</v>
      </c>
      <c r="C5062" s="9">
        <v>43649.0</v>
      </c>
      <c r="D5062" s="6" t="s">
        <v>6096</v>
      </c>
      <c r="E5062" s="4">
        <v>6.206000979E9</v>
      </c>
      <c r="F5062" s="8" t="s">
        <v>6097</v>
      </c>
      <c r="G5062" s="4" t="s">
        <v>1070</v>
      </c>
      <c r="H5062" s="10" t="s">
        <v>6100</v>
      </c>
      <c r="I5062" s="10">
        <v>1.0</v>
      </c>
      <c r="J5062" s="11" t="str">
        <f>IF(D5062&lt;&gt;"",VLOOKUP(H5062,TABLEITEM,5,FALSE),"")</f>
        <v>EA</v>
      </c>
      <c r="K5062" s="12">
        <v>520.0</v>
      </c>
      <c r="L5062" s="13" t="str">
        <f>IF(D5062&lt;&gt;"",VLOOKUP(H5062,TABLEITEM,2,FALSE),"")</f>
        <v/>
      </c>
      <c r="M5062" s="13" t="str">
        <f>IF(D5062&lt;&gt;"",VLOOKUP(H5062,TABLEITEM,3,FALSE),"")</f>
        <v>ON/OFF SWITCH 16A/250V 20A/125 V AC</v>
      </c>
      <c r="N5062" s="14">
        <f>INSTOCK!$I5062*INSTOCK!$K5062</f>
        <v>520</v>
      </c>
      <c r="O5062" s="4"/>
      <c r="P5062" s="4"/>
    </row>
    <row r="5063" ht="15.75" hidden="1" customHeight="1">
      <c r="B5063" s="8">
        <v>5387.0</v>
      </c>
      <c r="C5063" s="9">
        <v>43649.0</v>
      </c>
      <c r="D5063" s="6" t="s">
        <v>6096</v>
      </c>
      <c r="E5063" s="4">
        <v>6.206000979E9</v>
      </c>
      <c r="F5063" s="8" t="s">
        <v>6097</v>
      </c>
      <c r="G5063" s="4" t="s">
        <v>1070</v>
      </c>
      <c r="H5063" s="10" t="s">
        <v>6101</v>
      </c>
      <c r="I5063" s="10">
        <v>1.0</v>
      </c>
      <c r="J5063" s="11" t="str">
        <f>IF(D5063&lt;&gt;"",VLOOKUP(H5063,TABLEITEM,5,FALSE),"")</f>
        <v>EA</v>
      </c>
      <c r="K5063" s="12">
        <v>370.0</v>
      </c>
      <c r="L5063" s="13" t="str">
        <f>IF(D5063&lt;&gt;"",VLOOKUP(H5063,TABLEITEM,2,FALSE),"")</f>
        <v/>
      </c>
      <c r="M5063" s="13" t="str">
        <f>IF(D5063&lt;&gt;"",VLOOKUP(H5063,TABLEITEM,3,FALSE),"")</f>
        <v>VOLUME 10K BIG</v>
      </c>
      <c r="N5063" s="14">
        <f>INSTOCK!$I5063*INSTOCK!$K5063</f>
        <v>370</v>
      </c>
      <c r="O5063" s="4"/>
      <c r="P5063" s="4"/>
    </row>
    <row r="5064" ht="15.75" hidden="1" customHeight="1">
      <c r="B5064" s="8">
        <v>5388.0</v>
      </c>
      <c r="C5064" s="9">
        <v>43649.0</v>
      </c>
      <c r="D5064" s="6" t="s">
        <v>6096</v>
      </c>
      <c r="E5064" s="4">
        <v>6.206000979E9</v>
      </c>
      <c r="F5064" s="8" t="s">
        <v>6097</v>
      </c>
      <c r="G5064" s="4" t="s">
        <v>1070</v>
      </c>
      <c r="H5064" s="10" t="s">
        <v>6102</v>
      </c>
      <c r="I5064" s="10">
        <v>1.0</v>
      </c>
      <c r="J5064" s="11" t="str">
        <f>IF(D5064&lt;&gt;"",VLOOKUP(H5064,TABLEITEM,5,FALSE),"")</f>
        <v>EA</v>
      </c>
      <c r="K5064" s="12">
        <v>550.0</v>
      </c>
      <c r="L5064" s="13" t="str">
        <f>IF(D5064&lt;&gt;"",VLOOKUP(H5064,TABLEITEM,2,FALSE),"")</f>
        <v/>
      </c>
      <c r="M5064" s="13" t="str">
        <f>IF(D5064&lt;&gt;"",VLOOKUP(H5064,TABLEITEM,3,FALSE),"")</f>
        <v>VOLUME 250K BIG</v>
      </c>
      <c r="N5064" s="14">
        <f>INSTOCK!$I5064*INSTOCK!$K5064</f>
        <v>550</v>
      </c>
      <c r="O5064" s="4"/>
      <c r="P5064" s="4"/>
    </row>
    <row r="5065" ht="15.75" hidden="1" customHeight="1">
      <c r="B5065" s="8">
        <v>5389.0</v>
      </c>
      <c r="C5065" s="9">
        <v>43649.0</v>
      </c>
      <c r="D5065" s="6" t="s">
        <v>6103</v>
      </c>
      <c r="E5065" s="4">
        <v>6.207000994E9</v>
      </c>
      <c r="F5065" s="8" t="s">
        <v>6104</v>
      </c>
      <c r="G5065" s="4" t="s">
        <v>1070</v>
      </c>
      <c r="H5065" s="10" t="s">
        <v>6105</v>
      </c>
      <c r="I5065" s="10">
        <v>3.0</v>
      </c>
      <c r="J5065" s="11" t="str">
        <f>IF(D5065&lt;&gt;"",VLOOKUP(H5065,TABLEITEM,5,FALSE),"")</f>
        <v>EA</v>
      </c>
      <c r="K5065" s="12">
        <v>80.0</v>
      </c>
      <c r="L5065" s="13" t="str">
        <f>IF(D5065&lt;&gt;"",VLOOKUP(H5065,TABLEITEM,2,FALSE),"")</f>
        <v/>
      </c>
      <c r="M5065" s="13" t="str">
        <f>IF(D5065&lt;&gt;"",VLOOKUP(H5065,TABLEITEM,3,FALSE),"")</f>
        <v>INSULATOR PANA 350A  REF.U4167L00/004002</v>
      </c>
      <c r="N5065" s="14">
        <f>INSTOCK!$I5065*INSTOCK!$K5065</f>
        <v>240</v>
      </c>
      <c r="O5065" s="4"/>
      <c r="P5065" s="4"/>
    </row>
    <row r="5066" ht="15.75" hidden="1" customHeight="1">
      <c r="B5066" s="8">
        <v>5390.0</v>
      </c>
      <c r="C5066" s="9">
        <v>43649.0</v>
      </c>
      <c r="D5066" s="6" t="s">
        <v>6103</v>
      </c>
      <c r="E5066" s="4">
        <v>6.207000994E9</v>
      </c>
      <c r="F5066" s="8" t="s">
        <v>6104</v>
      </c>
      <c r="G5066" s="4" t="s">
        <v>1070</v>
      </c>
      <c r="H5066" s="10" t="s">
        <v>6106</v>
      </c>
      <c r="I5066" s="10">
        <v>3.0</v>
      </c>
      <c r="J5066" s="11" t="str">
        <f>IF(D5066&lt;&gt;"",VLOOKUP(H5066,TABLEITEM,5,FALSE),"")</f>
        <v>EA</v>
      </c>
      <c r="K5066" s="12">
        <v>110.0</v>
      </c>
      <c r="L5066" s="13" t="str">
        <f>IF(D5066&lt;&gt;"",VLOOKUP(H5066,TABLEITEM,2,FALSE),"")</f>
        <v/>
      </c>
      <c r="M5066" s="13" t="str">
        <f>IF(D5066&lt;&gt;"",VLOOKUP(H5066,TABLEITEM,3,FALSE),"")</f>
        <v>TIP BODY A 250/350A 68MM</v>
      </c>
      <c r="N5066" s="14">
        <f>INSTOCK!$I5066*INSTOCK!$K5066</f>
        <v>330</v>
      </c>
      <c r="O5066" s="4"/>
      <c r="P5066" s="4"/>
    </row>
    <row r="5067" ht="15.75" hidden="1" customHeight="1">
      <c r="B5067" s="8">
        <v>5391.0</v>
      </c>
      <c r="C5067" s="9">
        <v>43649.0</v>
      </c>
      <c r="D5067" s="6">
        <v>39249.0</v>
      </c>
      <c r="E5067" s="4">
        <v>6.207001004E9</v>
      </c>
      <c r="F5067" s="8" t="s">
        <v>604</v>
      </c>
      <c r="G5067" s="4" t="s">
        <v>696</v>
      </c>
      <c r="H5067" s="10" t="s">
        <v>6107</v>
      </c>
      <c r="I5067" s="10">
        <v>2.0</v>
      </c>
      <c r="J5067" s="11" t="str">
        <f>IF(D5067&lt;&gt;"",VLOOKUP(H5067,TABLEITEM,5,FALSE),"")</f>
        <v>เส้น</v>
      </c>
      <c r="K5067" s="12">
        <v>48.0</v>
      </c>
      <c r="L5067" s="13" t="str">
        <f>IF(D5067&lt;&gt;"",VLOOKUP(H5067,TABLEITEM,2,FALSE),"")</f>
        <v/>
      </c>
      <c r="M5067" s="13" t="str">
        <f>IF(D5067&lt;&gt;"",VLOOKUP(H5067,TABLEITEM,3,FALSE),"")</f>
        <v>สายพาน A41 BANDO</v>
      </c>
      <c r="N5067" s="14">
        <f>INSTOCK!$I5067*INSTOCK!$K5067</f>
        <v>96</v>
      </c>
      <c r="O5067" s="4"/>
      <c r="P5067" s="4"/>
    </row>
    <row r="5068" ht="15.75" hidden="1" customHeight="1">
      <c r="B5068" s="8">
        <v>5392.0</v>
      </c>
      <c r="C5068" s="9">
        <v>43649.0</v>
      </c>
      <c r="D5068" s="6">
        <v>39249.0</v>
      </c>
      <c r="E5068" s="4">
        <v>6.207001004E9</v>
      </c>
      <c r="F5068" s="8" t="s">
        <v>604</v>
      </c>
      <c r="G5068" s="4" t="s">
        <v>696</v>
      </c>
      <c r="H5068" s="10" t="s">
        <v>5794</v>
      </c>
      <c r="I5068" s="10">
        <v>2.0</v>
      </c>
      <c r="J5068" s="11" t="str">
        <f>IF(D5068&lt;&gt;"",VLOOKUP(H5068,TABLEITEM,5,FALSE),"")</f>
        <v>เส้น</v>
      </c>
      <c r="K5068" s="12">
        <v>68.0</v>
      </c>
      <c r="L5068" s="13" t="str">
        <f>IF(D5068&lt;&gt;"",VLOOKUP(H5068,TABLEITEM,2,FALSE),"")</f>
        <v/>
      </c>
      <c r="M5068" s="13" t="str">
        <f>IF(D5068&lt;&gt;"",VLOOKUP(H5068,TABLEITEM,3,FALSE),"")</f>
        <v>สายพาน B 40</v>
      </c>
      <c r="N5068" s="14">
        <f>INSTOCK!$I5068*INSTOCK!$K5068</f>
        <v>136</v>
      </c>
      <c r="O5068" s="4"/>
      <c r="P5068" s="4"/>
    </row>
    <row r="5069" ht="15.75" hidden="1" customHeight="1">
      <c r="B5069" s="8">
        <v>5393.0</v>
      </c>
      <c r="C5069" s="9">
        <v>43649.0</v>
      </c>
      <c r="D5069" s="6">
        <v>39249.0</v>
      </c>
      <c r="E5069" s="4">
        <v>6.207001004E9</v>
      </c>
      <c r="F5069" s="8" t="s">
        <v>604</v>
      </c>
      <c r="G5069" s="4" t="s">
        <v>696</v>
      </c>
      <c r="H5069" s="10" t="s">
        <v>6108</v>
      </c>
      <c r="I5069" s="10">
        <v>2.0</v>
      </c>
      <c r="J5069" s="11" t="str">
        <f>IF(D5069&lt;&gt;"",VLOOKUP(H5069,TABLEITEM,5,FALSE),"")</f>
        <v>EA</v>
      </c>
      <c r="K5069" s="12">
        <v>10.0</v>
      </c>
      <c r="L5069" s="13" t="str">
        <f>IF(D5069&lt;&gt;"",VLOOKUP(H5069,TABLEITEM,2,FALSE),"")</f>
        <v/>
      </c>
      <c r="M5069" s="13" t="str">
        <f>IF(D5069&lt;&gt;"",VLOOKUP(H5069,TABLEITEM,3,FALSE),"")</f>
        <v>ดอกสว่าน 5.0มม</v>
      </c>
      <c r="N5069" s="14">
        <f>INSTOCK!$I5069*INSTOCK!$K5069</f>
        <v>20</v>
      </c>
      <c r="O5069" s="4"/>
      <c r="P5069" s="4"/>
    </row>
    <row r="5070" ht="15.75" hidden="1" customHeight="1">
      <c r="B5070" s="8">
        <v>5394.0</v>
      </c>
      <c r="C5070" s="9">
        <v>43649.0</v>
      </c>
      <c r="D5070" s="6">
        <v>39249.0</v>
      </c>
      <c r="E5070" s="4">
        <v>6.207001004E9</v>
      </c>
      <c r="F5070" s="8" t="s">
        <v>604</v>
      </c>
      <c r="G5070" s="4" t="s">
        <v>696</v>
      </c>
      <c r="H5070" s="10" t="s">
        <v>6109</v>
      </c>
      <c r="I5070" s="10">
        <v>5.0</v>
      </c>
      <c r="J5070" s="11" t="str">
        <f>IF(D5070&lt;&gt;"",VLOOKUP(H5070,TABLEITEM,5,FALSE),"")</f>
        <v>EA</v>
      </c>
      <c r="K5070" s="12">
        <v>8.0</v>
      </c>
      <c r="L5070" s="13" t="str">
        <f>IF(D5070&lt;&gt;"",VLOOKUP(H5070,TABLEITEM,2,FALSE),"")</f>
        <v/>
      </c>
      <c r="M5070" s="13" t="str">
        <f>IF(D5070&lt;&gt;"",VLOOKUP(H5070,TABLEITEM,3,FALSE),"")</f>
        <v>ดอกสว่าน 3.3มม</v>
      </c>
      <c r="N5070" s="14">
        <f>INSTOCK!$I5070*INSTOCK!$K5070</f>
        <v>40</v>
      </c>
      <c r="O5070" s="4"/>
      <c r="P5070" s="4"/>
    </row>
    <row r="5071" ht="15.75" hidden="1" customHeight="1">
      <c r="B5071" s="8">
        <v>5395.0</v>
      </c>
      <c r="C5071" s="9">
        <v>43649.0</v>
      </c>
      <c r="D5071" s="6">
        <v>39249.0</v>
      </c>
      <c r="E5071" s="4">
        <v>6.207001004E9</v>
      </c>
      <c r="F5071" s="8" t="s">
        <v>604</v>
      </c>
      <c r="G5071" s="4" t="s">
        <v>696</v>
      </c>
      <c r="H5071" s="10" t="s">
        <v>6110</v>
      </c>
      <c r="I5071" s="10">
        <v>1.0</v>
      </c>
      <c r="J5071" s="11" t="str">
        <f>IF(D5071&lt;&gt;"",VLOOKUP(H5071,TABLEITEM,5,FALSE),"")</f>
        <v>EA</v>
      </c>
      <c r="K5071" s="12">
        <v>77.0</v>
      </c>
      <c r="L5071" s="13" t="str">
        <f>IF(D5071&lt;&gt;"",VLOOKUP(H5071,TABLEITEM,2,FALSE),"")</f>
        <v/>
      </c>
      <c r="M5071" s="13" t="str">
        <f>IF(D5071&lt;&gt;"",VLOOKUP(H5071,TABLEITEM,3,FALSE),"")</f>
        <v>ดอกสว่าน 12.0มม</v>
      </c>
      <c r="N5071" s="14">
        <f>INSTOCK!$I5071*INSTOCK!$K5071</f>
        <v>77</v>
      </c>
      <c r="O5071" s="4"/>
      <c r="P5071" s="4"/>
    </row>
    <row r="5072" ht="15.75" hidden="1" customHeight="1">
      <c r="B5072" s="8">
        <v>5396.0</v>
      </c>
      <c r="C5072" s="9">
        <v>43649.0</v>
      </c>
      <c r="D5072" s="6">
        <v>39249.0</v>
      </c>
      <c r="E5072" s="4">
        <v>6.207001004E9</v>
      </c>
      <c r="F5072" s="8" t="s">
        <v>604</v>
      </c>
      <c r="G5072" s="4" t="s">
        <v>696</v>
      </c>
      <c r="H5072" s="10" t="s">
        <v>6111</v>
      </c>
      <c r="I5072" s="10">
        <v>1.0</v>
      </c>
      <c r="J5072" s="11" t="str">
        <f>IF(D5072&lt;&gt;"",VLOOKUP(H5072,TABLEITEM,5,FALSE),"")</f>
        <v>EA</v>
      </c>
      <c r="K5072" s="12">
        <v>85.0</v>
      </c>
      <c r="L5072" s="13" t="str">
        <f>IF(D5072&lt;&gt;"",VLOOKUP(H5072,TABLEITEM,2,FALSE),"")</f>
        <v/>
      </c>
      <c r="M5072" s="13" t="str">
        <f>IF(D5072&lt;&gt;"",VLOOKUP(H5072,TABLEITEM,3,FALSE),"")</f>
        <v>ดอกสว่าน 13.0มม</v>
      </c>
      <c r="N5072" s="14">
        <f>INSTOCK!$I5072*INSTOCK!$K5072</f>
        <v>85</v>
      </c>
      <c r="O5072" s="4"/>
      <c r="P5072" s="4"/>
    </row>
    <row r="5073" ht="15.75" hidden="1" customHeight="1">
      <c r="B5073" s="8">
        <v>5397.0</v>
      </c>
      <c r="C5073" s="9">
        <v>43651.0</v>
      </c>
      <c r="D5073" s="6" t="s">
        <v>6112</v>
      </c>
      <c r="E5073" s="4">
        <v>6.207001008E9</v>
      </c>
      <c r="F5073" s="8" t="s">
        <v>604</v>
      </c>
      <c r="G5073" s="4" t="s">
        <v>737</v>
      </c>
      <c r="H5073" s="10" t="s">
        <v>20</v>
      </c>
      <c r="I5073" s="10">
        <v>10.0</v>
      </c>
      <c r="J5073" s="11" t="str">
        <f>IF(D5073&lt;&gt;"",VLOOKUP(H5073,TABLEITEM,5,FALSE),"")</f>
        <v>ROLL</v>
      </c>
      <c r="K5073" s="12">
        <v>795.0</v>
      </c>
      <c r="L5073" s="13" t="str">
        <f>IF(D5073&lt;&gt;"",VLOOKUP(H5073,TABLEITEM,2,FALSE),"")</f>
        <v/>
      </c>
      <c r="M5073" s="13" t="str">
        <f>IF(D5073&lt;&gt;"",VLOOKUP(H5073,TABLEITEM,3,FALSE),"")</f>
        <v>ลวดเชื่อมco2</v>
      </c>
      <c r="N5073" s="14">
        <f>INSTOCK!$I5073*INSTOCK!$K5073</f>
        <v>7950</v>
      </c>
      <c r="O5073" s="4"/>
      <c r="P5073" s="4"/>
    </row>
    <row r="5074" ht="15.75" hidden="1" customHeight="1">
      <c r="B5074" s="8">
        <v>5398.0</v>
      </c>
      <c r="C5074" s="9">
        <v>43650.0</v>
      </c>
      <c r="D5074" s="6">
        <v>6207158.0</v>
      </c>
      <c r="E5074" s="4">
        <v>6.206000967E9</v>
      </c>
      <c r="F5074" s="8" t="s">
        <v>604</v>
      </c>
      <c r="G5074" s="4" t="s">
        <v>1100</v>
      </c>
      <c r="H5074" s="10" t="s">
        <v>366</v>
      </c>
      <c r="I5074" s="10">
        <v>300.0</v>
      </c>
      <c r="J5074" s="11" t="str">
        <f>IF(D5074&lt;&gt;"",VLOOKUP(H5074,TABLEITEM,5,FALSE),"")</f>
        <v>EA</v>
      </c>
      <c r="K5074" s="12">
        <v>0.288</v>
      </c>
      <c r="L5074" s="13" t="str">
        <f>IF(D5074&lt;&gt;"",VLOOKUP(H5074,TABLEITEM,2,FALSE),"")</f>
        <v/>
      </c>
      <c r="M5074" s="13" t="str">
        <f>IF(D5074&lt;&gt;"",VLOOKUP(H5074,TABLEITEM,3,FALSE),"")</f>
        <v>ปลอกหุ้มหางปลา V-5 สีขาว</v>
      </c>
      <c r="N5074" s="14">
        <f>INSTOCK!$I5074*INSTOCK!$K5074</f>
        <v>86.4</v>
      </c>
      <c r="O5074" s="4" t="s">
        <v>6113</v>
      </c>
      <c r="P5074" s="4"/>
    </row>
    <row r="5075" ht="15.75" hidden="1" customHeight="1">
      <c r="B5075" s="8">
        <v>5399.0</v>
      </c>
      <c r="C5075" s="9">
        <v>43650.0</v>
      </c>
      <c r="D5075" s="6">
        <v>6207158.0</v>
      </c>
      <c r="E5075" s="4">
        <v>6.206000967E9</v>
      </c>
      <c r="F5075" s="8" t="s">
        <v>604</v>
      </c>
      <c r="G5075" s="4" t="s">
        <v>1100</v>
      </c>
      <c r="H5075" s="10" t="s">
        <v>1847</v>
      </c>
      <c r="I5075" s="10">
        <v>300.0</v>
      </c>
      <c r="J5075" s="11" t="str">
        <f>IF(D5075&lt;&gt;"",VLOOKUP(H5075,TABLEITEM,5,FALSE),"")</f>
        <v>EA</v>
      </c>
      <c r="K5075" s="12">
        <v>0.312</v>
      </c>
      <c r="L5075" s="13" t="str">
        <f>IF(D5075&lt;&gt;"",VLOOKUP(H5075,TABLEITEM,2,FALSE),"")</f>
        <v/>
      </c>
      <c r="M5075" s="13" t="str">
        <f>IF(D5075&lt;&gt;"",VLOOKUP(H5075,TABLEITEM,3,FALSE),"")</f>
        <v>ปลอกหุ้มหางปลา V-8 สีน้ำตาล</v>
      </c>
      <c r="N5075" s="14">
        <f>INSTOCK!$I5075*INSTOCK!$K5075</f>
        <v>93.6</v>
      </c>
      <c r="O5075" s="4" t="s">
        <v>1669</v>
      </c>
      <c r="P5075" s="4"/>
    </row>
    <row r="5076" ht="15.75" hidden="1" customHeight="1">
      <c r="B5076" s="8">
        <v>5400.0</v>
      </c>
      <c r="C5076" s="9">
        <v>43650.0</v>
      </c>
      <c r="D5076" s="6">
        <v>6207158.0</v>
      </c>
      <c r="E5076" s="4">
        <v>6.206000967E9</v>
      </c>
      <c r="F5076" s="8" t="s">
        <v>604</v>
      </c>
      <c r="G5076" s="4" t="s">
        <v>1100</v>
      </c>
      <c r="H5076" s="10" t="s">
        <v>1848</v>
      </c>
      <c r="I5076" s="10">
        <v>300.0</v>
      </c>
      <c r="J5076" s="11" t="str">
        <f>IF(D5076&lt;&gt;"",VLOOKUP(H5076,TABLEITEM,5,FALSE),"")</f>
        <v>EA</v>
      </c>
      <c r="K5076" s="12">
        <v>0.321</v>
      </c>
      <c r="L5076" s="13" t="str">
        <f>IF(D5076&lt;&gt;"",VLOOKUP(H5076,TABLEITEM,2,FALSE),"")</f>
        <v/>
      </c>
      <c r="M5076" s="13" t="str">
        <f>IF(D5076&lt;&gt;"",VLOOKUP(H5076,TABLEITEM,3,FALSE),"")</f>
        <v>ปลอกหุ้มหางปลา V-8 สีเทา</v>
      </c>
      <c r="N5076" s="14">
        <f>INSTOCK!$I5076*INSTOCK!$K5076</f>
        <v>96.3</v>
      </c>
      <c r="O5076" s="4" t="s">
        <v>1669</v>
      </c>
      <c r="P5076" s="4"/>
    </row>
    <row r="5077" ht="15.75" hidden="1" customHeight="1">
      <c r="B5077" s="8">
        <v>5401.0</v>
      </c>
      <c r="C5077" s="9">
        <v>43650.0</v>
      </c>
      <c r="D5077" s="6">
        <v>6207158.0</v>
      </c>
      <c r="E5077" s="4">
        <v>6.206000967E9</v>
      </c>
      <c r="F5077" s="8" t="s">
        <v>604</v>
      </c>
      <c r="G5077" s="4" t="s">
        <v>1100</v>
      </c>
      <c r="H5077" s="10" t="s">
        <v>372</v>
      </c>
      <c r="I5077" s="10">
        <v>500.0</v>
      </c>
      <c r="J5077" s="11" t="str">
        <f>IF(D5077&lt;&gt;"",VLOOKUP(H5077,TABLEITEM,5,FALSE),"")</f>
        <v>EA</v>
      </c>
      <c r="K5077" s="12">
        <v>0.312</v>
      </c>
      <c r="L5077" s="13" t="str">
        <f>IF(D5077&lt;&gt;"",VLOOKUP(H5077,TABLEITEM,2,FALSE),"")</f>
        <v/>
      </c>
      <c r="M5077" s="13" t="str">
        <f>IF(D5077&lt;&gt;"",VLOOKUP(H5077,TABLEITEM,3,FALSE),"")</f>
        <v>ปลอกหุ้มหางปลา V-8 สีขาว</v>
      </c>
      <c r="N5077" s="14">
        <f>INSTOCK!$I5077*INSTOCK!$K5077</f>
        <v>156</v>
      </c>
      <c r="O5077" s="4" t="s">
        <v>1669</v>
      </c>
      <c r="P5077" s="4"/>
    </row>
    <row r="5078" ht="15.75" hidden="1" customHeight="1">
      <c r="B5078" s="8">
        <v>5402.0</v>
      </c>
      <c r="C5078" s="9">
        <v>43650.0</v>
      </c>
      <c r="D5078" s="6">
        <v>6207158.0</v>
      </c>
      <c r="E5078" s="4">
        <v>6.206000967E9</v>
      </c>
      <c r="F5078" s="8" t="s">
        <v>604</v>
      </c>
      <c r="G5078" s="4" t="s">
        <v>1100</v>
      </c>
      <c r="H5078" s="10" t="s">
        <v>374</v>
      </c>
      <c r="I5078" s="10">
        <v>300.0</v>
      </c>
      <c r="J5078" s="11" t="str">
        <f>IF(D5078&lt;&gt;"",VLOOKUP(H5078,TABLEITEM,5,FALSE),"")</f>
        <v>EA</v>
      </c>
      <c r="K5078" s="12">
        <v>0.312</v>
      </c>
      <c r="L5078" s="13" t="str">
        <f>IF(D5078&lt;&gt;"",VLOOKUP(H5078,TABLEITEM,2,FALSE),"")</f>
        <v/>
      </c>
      <c r="M5078" s="13" t="str">
        <f>IF(D5078&lt;&gt;"",VLOOKUP(H5078,TABLEITEM,3,FALSE),"")</f>
        <v>ปลอกหุ้มหางปลา V-8 สีดำ</v>
      </c>
      <c r="N5078" s="14">
        <f>INSTOCK!$I5078*INSTOCK!$K5078</f>
        <v>93.6</v>
      </c>
      <c r="O5078" s="4" t="s">
        <v>1669</v>
      </c>
      <c r="P5078" s="4"/>
    </row>
    <row r="5079" ht="15.75" hidden="1" customHeight="1">
      <c r="B5079" s="8">
        <v>5403.0</v>
      </c>
      <c r="C5079" s="9">
        <v>43651.0</v>
      </c>
      <c r="D5079" s="6" t="s">
        <v>6114</v>
      </c>
      <c r="E5079" s="4">
        <v>6.206000956E9</v>
      </c>
      <c r="F5079" s="8" t="s">
        <v>604</v>
      </c>
      <c r="G5079" s="4" t="s">
        <v>6115</v>
      </c>
      <c r="H5079" s="10" t="s">
        <v>2607</v>
      </c>
      <c r="I5079" s="10">
        <v>100.0</v>
      </c>
      <c r="J5079" s="11" t="str">
        <f>IF(D5079&lt;&gt;"",VLOOKUP(H5079,TABLEITEM,5,FALSE),"")</f>
        <v>EA</v>
      </c>
      <c r="K5079" s="12">
        <v>12.0</v>
      </c>
      <c r="L5079" s="13" t="str">
        <f>IF(D5079&lt;&gt;"",VLOOKUP(H5079,TABLEITEM,2,FALSE),"")</f>
        <v/>
      </c>
      <c r="M5079" s="13" t="str">
        <f>IF(D5079&lt;&gt;"",VLOOKUP(H5079,TABLEITEM,3,FALSE),"")</f>
        <v>บูชกลึง M35x30ต๊าปเกลียวใน M10 E4</v>
      </c>
      <c r="N5079" s="14">
        <f>INSTOCK!$I5079*INSTOCK!$K5079</f>
        <v>1200</v>
      </c>
      <c r="O5079" s="4"/>
      <c r="P5079" s="4"/>
    </row>
    <row r="5080" ht="15.75" hidden="1" customHeight="1">
      <c r="B5080" s="8">
        <v>5404.0</v>
      </c>
      <c r="C5080" s="9">
        <v>43651.0</v>
      </c>
      <c r="D5080" s="6" t="s">
        <v>6116</v>
      </c>
      <c r="E5080" s="4">
        <v>6.207001012E9</v>
      </c>
      <c r="F5080" s="8" t="s">
        <v>604</v>
      </c>
      <c r="G5080" s="4" t="s">
        <v>798</v>
      </c>
      <c r="H5080" s="18" t="s">
        <v>121</v>
      </c>
      <c r="I5080" s="10">
        <v>100.0</v>
      </c>
      <c r="J5080" s="11" t="str">
        <f>IF(D5080&lt;&gt;"",VLOOKUP(H5080,TABLEITEM,5,FALSE),"")</f>
        <v>EA</v>
      </c>
      <c r="K5080" s="12">
        <v>23.0</v>
      </c>
      <c r="L5080" s="13" t="str">
        <f>IF(D5080&lt;&gt;"",VLOOKUP(H5080,TABLEITEM,2,FALSE),"")</f>
        <v/>
      </c>
      <c r="M5080" s="13" t="str">
        <f>IF(D5080&lt;&gt;"",VLOOKUP(H5080,TABLEITEM,3,FALSE),"")</f>
        <v>กุญแจสมอเรือ169-03-G-016</v>
      </c>
      <c r="N5080" s="14">
        <f>INSTOCK!$I5080*INSTOCK!$K5080</f>
        <v>2300</v>
      </c>
      <c r="O5080" s="4"/>
      <c r="P5080" s="4"/>
    </row>
    <row r="5081" ht="15.75" hidden="1" customHeight="1">
      <c r="B5081" s="8">
        <v>5405.0</v>
      </c>
      <c r="C5081" s="9">
        <v>43654.0</v>
      </c>
      <c r="D5081" s="6" t="s">
        <v>6117</v>
      </c>
      <c r="E5081" s="4"/>
      <c r="F5081" s="8" t="s">
        <v>6085</v>
      </c>
      <c r="G5081" s="4" t="s">
        <v>898</v>
      </c>
      <c r="H5081" s="10" t="s">
        <v>899</v>
      </c>
      <c r="I5081" s="10">
        <v>1.0</v>
      </c>
      <c r="J5081" s="11" t="str">
        <f>IF(D5081&lt;&gt;"",VLOOKUP(H5081,TABLEITEM,5,FALSE),"")</f>
        <v>LIT</v>
      </c>
      <c r="K5081" s="12">
        <v>420.0</v>
      </c>
      <c r="L5081" s="13" t="str">
        <f>IF(D5081&lt;&gt;"",VLOOKUP(H5081,TABLEITEM,2,FALSE),"")</f>
        <v/>
      </c>
      <c r="M5081" s="13" t="str">
        <f>IF(D5081&lt;&gt;"",VLOOKUP(H5081,TABLEITEM,3,FALSE),"")</f>
        <v>สีพ่นแห้งเร็ว(สีผสม)</v>
      </c>
      <c r="N5081" s="14">
        <f>INSTOCK!$I5081*INSTOCK!$K5081</f>
        <v>420</v>
      </c>
      <c r="O5081" s="4" t="s">
        <v>6118</v>
      </c>
      <c r="P5081" s="4"/>
    </row>
    <row r="5082" ht="15.75" hidden="1" customHeight="1">
      <c r="B5082" s="8">
        <v>5406.0</v>
      </c>
      <c r="C5082" s="9">
        <v>43654.0</v>
      </c>
      <c r="D5082" s="6">
        <v>1907065.0</v>
      </c>
      <c r="E5082" s="4">
        <v>6.207001028E9</v>
      </c>
      <c r="F5082" s="8" t="s">
        <v>604</v>
      </c>
      <c r="G5082" s="4" t="s">
        <v>5349</v>
      </c>
      <c r="H5082" s="10" t="s">
        <v>85</v>
      </c>
      <c r="I5082" s="10">
        <v>200.0</v>
      </c>
      <c r="J5082" s="11" t="str">
        <f>IF(D5082&lt;&gt;"",VLOOKUP(H5082,TABLEITEM,5,FALSE),"")</f>
        <v>KG.</v>
      </c>
      <c r="K5082" s="12">
        <v>112.0</v>
      </c>
      <c r="L5082" s="13" t="str">
        <f>IF(D5082&lt;&gt;"",VLOOKUP(H5082,TABLEITEM,2,FALSE),"")</f>
        <v/>
      </c>
      <c r="M5082" s="13" t="str">
        <f>IF(D5082&lt;&gt;"",VLOOKUP(H5082,TABLEITEM,3,FALSE),"")</f>
        <v>สีฝุ่น GH433241 สีเทาย่น</v>
      </c>
      <c r="N5082" s="14">
        <f>INSTOCK!$I5082*INSTOCK!$K5082</f>
        <v>22400</v>
      </c>
      <c r="O5082" s="4"/>
      <c r="P5082" s="4"/>
    </row>
    <row r="5083" ht="15.75" hidden="1" customHeight="1">
      <c r="B5083" s="8">
        <v>5407.0</v>
      </c>
      <c r="C5083" s="9">
        <v>43654.0</v>
      </c>
      <c r="D5083" s="6" t="s">
        <v>6119</v>
      </c>
      <c r="E5083" s="4">
        <v>6.207001027E9</v>
      </c>
      <c r="F5083" s="8" t="s">
        <v>604</v>
      </c>
      <c r="G5083" s="4" t="s">
        <v>721</v>
      </c>
      <c r="H5083" s="10" t="s">
        <v>159</v>
      </c>
      <c r="I5083" s="10">
        <v>3000.0</v>
      </c>
      <c r="J5083" s="11" t="str">
        <f>IF(D5083&lt;&gt;"",VLOOKUP(H5083,TABLEITEM,5,FALSE),"")</f>
        <v>EA</v>
      </c>
      <c r="K5083" s="12">
        <v>0.1164</v>
      </c>
      <c r="L5083" s="13" t="str">
        <f>IF(D5083&lt;&gt;"",VLOOKUP(H5083,TABLEITEM,2,FALSE),"")</f>
        <v/>
      </c>
      <c r="M5083" s="13" t="str">
        <f>IF(D5083&lt;&gt;"",VLOOKUP(H5083,TABLEITEM,3,FALSE),"")</f>
        <v>เคเบิ้ลไทร์ 4" สีขาวCT-100-2C</v>
      </c>
      <c r="N5083" s="14">
        <f>INSTOCK!$I5083*INSTOCK!$K5083</f>
        <v>349.2</v>
      </c>
      <c r="O5083" s="4" t="s">
        <v>1217</v>
      </c>
      <c r="P5083" s="4"/>
    </row>
    <row r="5084" ht="15.75" hidden="1" customHeight="1">
      <c r="B5084" s="8">
        <v>5408.0</v>
      </c>
      <c r="C5084" s="9">
        <v>43654.0</v>
      </c>
      <c r="D5084" s="6" t="s">
        <v>6119</v>
      </c>
      <c r="E5084" s="4">
        <v>6.207001027E9</v>
      </c>
      <c r="F5084" s="8" t="s">
        <v>604</v>
      </c>
      <c r="G5084" s="4" t="s">
        <v>721</v>
      </c>
      <c r="H5084" s="10" t="s">
        <v>160</v>
      </c>
      <c r="I5084" s="10">
        <v>2000.0</v>
      </c>
      <c r="J5084" s="11" t="str">
        <f>IF(D5084&lt;&gt;"",VLOOKUP(H5084,TABLEITEM,5,FALSE),"")</f>
        <v>EA</v>
      </c>
      <c r="K5084" s="12">
        <v>0.1164</v>
      </c>
      <c r="L5084" s="13" t="str">
        <f>IF(D5084&lt;&gt;"",VLOOKUP(H5084,TABLEITEM,2,FALSE),"")</f>
        <v/>
      </c>
      <c r="M5084" s="13" t="str">
        <f>IF(D5084&lt;&gt;"",VLOOKUP(H5084,TABLEITEM,3,FALSE),"")</f>
        <v>เคเบิ้ลไทร์ 4" สีดำCT-100-B-2C</v>
      </c>
      <c r="N5084" s="14">
        <f>INSTOCK!$I5084*INSTOCK!$K5084</f>
        <v>232.8</v>
      </c>
      <c r="O5084" s="4" t="s">
        <v>1217</v>
      </c>
      <c r="P5084" s="4"/>
    </row>
    <row r="5085" ht="15.75" hidden="1" customHeight="1">
      <c r="B5085" s="8">
        <v>5409.0</v>
      </c>
      <c r="C5085" s="9">
        <v>43652.0</v>
      </c>
      <c r="D5085" s="6" t="s">
        <v>6120</v>
      </c>
      <c r="E5085" s="4">
        <v>6.207001005E9</v>
      </c>
      <c r="F5085" s="8" t="s">
        <v>604</v>
      </c>
      <c r="G5085" s="4" t="s">
        <v>725</v>
      </c>
      <c r="H5085" s="10" t="s">
        <v>1966</v>
      </c>
      <c r="I5085" s="10">
        <v>720.0</v>
      </c>
      <c r="J5085" s="11" t="str">
        <f>IF(D5085&lt;&gt;"",VLOOKUP(H5085,TABLEITEM,5,FALSE),"")</f>
        <v>M</v>
      </c>
      <c r="K5085" s="12">
        <v>13.0</v>
      </c>
      <c r="L5085" s="13" t="str">
        <f>IF(D5085&lt;&gt;"",VLOOKUP(H5085,TABLEITEM,2,FALSE),"")</f>
        <v/>
      </c>
      <c r="M5085" s="13" t="str">
        <f>IF(D5085&lt;&gt;"",VLOOKUP(H5085,TABLEITEM,3,FALSE),"")</f>
        <v>ยางฟองน้ำแถบกาว 3mm.X13m. </v>
      </c>
      <c r="N5085" s="14">
        <f>INSTOCK!$I5085*INSTOCK!$K5085</f>
        <v>9360</v>
      </c>
      <c r="O5085" s="4"/>
      <c r="P5085" s="4"/>
    </row>
    <row r="5086" ht="15.75" hidden="1" customHeight="1">
      <c r="B5086" s="8">
        <v>5410.0</v>
      </c>
      <c r="C5086" s="9">
        <v>43651.0</v>
      </c>
      <c r="D5086" s="6" t="s">
        <v>6121</v>
      </c>
      <c r="E5086" s="4">
        <v>6.20700101E9</v>
      </c>
      <c r="F5086" s="8" t="s">
        <v>604</v>
      </c>
      <c r="G5086" s="4" t="s">
        <v>1777</v>
      </c>
      <c r="H5086" s="10" t="s">
        <v>2400</v>
      </c>
      <c r="I5086" s="10">
        <v>4000.0</v>
      </c>
      <c r="J5086" s="11" t="str">
        <f>IF(D5086&lt;&gt;"",VLOOKUP(H5086,TABLEITEM,5,FALSE),"")</f>
        <v>EA</v>
      </c>
      <c r="K5086" s="12">
        <v>0.216</v>
      </c>
      <c r="L5086" s="13" t="str">
        <f>IF(D5086&lt;&gt;"",VLOOKUP(H5086,TABLEITEM,2,FALSE),"")</f>
        <v/>
      </c>
      <c r="M5086" s="13" t="str">
        <f>IF(D5086&lt;&gt;"",VLOOKUP(H5086,TABLEITEM,3,FALSE),"")</f>
        <v>สกรูหัวหมวก  M6x10</v>
      </c>
      <c r="N5086" s="14">
        <f>INSTOCK!$I5086*INSTOCK!$K5086</f>
        <v>864</v>
      </c>
      <c r="O5086" s="4" t="s">
        <v>2401</v>
      </c>
      <c r="P5086" s="4"/>
    </row>
    <row r="5087" ht="15.75" hidden="1" customHeight="1">
      <c r="B5087" s="8">
        <v>5411.0</v>
      </c>
      <c r="C5087" s="9">
        <v>43651.0</v>
      </c>
      <c r="D5087" s="6" t="s">
        <v>6121</v>
      </c>
      <c r="E5087" s="4">
        <v>6.20700101E9</v>
      </c>
      <c r="F5087" s="8" t="s">
        <v>604</v>
      </c>
      <c r="G5087" s="4" t="s">
        <v>1777</v>
      </c>
      <c r="H5087" s="10" t="s">
        <v>3706</v>
      </c>
      <c r="I5087" s="10">
        <v>300.0</v>
      </c>
      <c r="J5087" s="11" t="str">
        <f>IF(D5087&lt;&gt;"",VLOOKUP(H5087,TABLEITEM,5,FALSE),"")</f>
        <v>EA</v>
      </c>
      <c r="K5087" s="12">
        <v>1.521</v>
      </c>
      <c r="L5087" s="13" t="str">
        <f>IF(D5087&lt;&gt;"",VLOOKUP(H5087,TABLEITEM,2,FALSE),"")</f>
        <v/>
      </c>
      <c r="M5087" s="13" t="str">
        <f>IF(D5087&lt;&gt;"",VLOOKUP(H5087,TABLEITEM,3,FALSE),"")</f>
        <v>สกรูหัวเหลี่ยม M10x25  HDG</v>
      </c>
      <c r="N5087" s="14">
        <f>INSTOCK!$I5087*INSTOCK!$K5087</f>
        <v>456.3</v>
      </c>
      <c r="O5087" s="4" t="s">
        <v>3381</v>
      </c>
      <c r="P5087" s="4"/>
    </row>
    <row r="5088" ht="15.75" hidden="1" customHeight="1">
      <c r="B5088" s="8">
        <v>5412.0</v>
      </c>
      <c r="C5088" s="9">
        <v>43654.0</v>
      </c>
      <c r="D5088" s="6" t="s">
        <v>6122</v>
      </c>
      <c r="E5088" s="4">
        <v>6.20700103E9</v>
      </c>
      <c r="F5088" s="8" t="s">
        <v>604</v>
      </c>
      <c r="G5088" s="4" t="s">
        <v>617</v>
      </c>
      <c r="H5088" s="10" t="s">
        <v>6123</v>
      </c>
      <c r="I5088" s="10">
        <v>50.0</v>
      </c>
      <c r="J5088" s="11" t="str">
        <f>IF(D5088&lt;&gt;"",VLOOKUP(H5088,TABLEITEM,5,FALSE),"")</f>
        <v>EA</v>
      </c>
      <c r="K5088" s="12">
        <v>126.9</v>
      </c>
      <c r="L5088" s="13" t="str">
        <f>IF(D5088&lt;&gt;"",VLOOKUP(H5088,TABLEITEM,2,FALSE),"")</f>
        <v/>
      </c>
      <c r="M5088" s="13" t="str">
        <f>IF(D5088&lt;&gt;"",VLOOKUP(H5088,TABLEITEM,3,FALSE),"")</f>
        <v>บัสบาร์ทองแดง 20x3</v>
      </c>
      <c r="N5088" s="14">
        <f>INSTOCK!$I5088*INSTOCK!$K5088</f>
        <v>6345</v>
      </c>
      <c r="O5088" s="4"/>
      <c r="P5088" s="4"/>
    </row>
    <row r="5089" ht="15.75" hidden="1" customHeight="1">
      <c r="B5089" s="8">
        <v>5413.0</v>
      </c>
      <c r="C5089" s="9">
        <v>43654.0</v>
      </c>
      <c r="D5089" s="6" t="s">
        <v>6122</v>
      </c>
      <c r="E5089" s="4">
        <v>6.20700103E9</v>
      </c>
      <c r="F5089" s="8" t="s">
        <v>604</v>
      </c>
      <c r="G5089" s="4" t="s">
        <v>617</v>
      </c>
      <c r="H5089" s="10" t="s">
        <v>556</v>
      </c>
      <c r="I5089" s="10">
        <v>50.0</v>
      </c>
      <c r="J5089" s="11" t="str">
        <f>IF(D5089&lt;&gt;"",VLOOKUP(H5089,TABLEITEM,5,FALSE),"")</f>
        <v>M</v>
      </c>
      <c r="K5089" s="12">
        <v>211.5</v>
      </c>
      <c r="L5089" s="13" t="str">
        <f>IF(D5089&lt;&gt;"",VLOOKUP(H5089,TABLEITEM,2,FALSE),"")</f>
        <v>Busbar</v>
      </c>
      <c r="M5089" s="13" t="str">
        <f>IF(D5089&lt;&gt;"",VLOOKUP(H5089,TABLEITEM,3,FALSE),"")</f>
        <v>บัสบาร์ทองแดง 20x5</v>
      </c>
      <c r="N5089" s="14">
        <f>INSTOCK!$I5089*INSTOCK!$K5089</f>
        <v>10575</v>
      </c>
      <c r="O5089" s="4"/>
      <c r="P5089" s="4"/>
    </row>
    <row r="5090" ht="15.75" hidden="1" customHeight="1">
      <c r="B5090" s="8">
        <v>5414.0</v>
      </c>
      <c r="C5090" s="9">
        <v>43654.0</v>
      </c>
      <c r="D5090" s="6" t="s">
        <v>6122</v>
      </c>
      <c r="E5090" s="4">
        <v>6.20700103E9</v>
      </c>
      <c r="F5090" s="8" t="s">
        <v>604</v>
      </c>
      <c r="G5090" s="4" t="s">
        <v>617</v>
      </c>
      <c r="H5090" s="10" t="s">
        <v>3451</v>
      </c>
      <c r="I5090" s="10">
        <v>50.0</v>
      </c>
      <c r="J5090" s="11" t="str">
        <f>IF(D5090&lt;&gt;"",VLOOKUP(H5090,TABLEITEM,5,FALSE),"")</f>
        <v>M</v>
      </c>
      <c r="K5090" s="12">
        <v>423.0</v>
      </c>
      <c r="L5090" s="13" t="str">
        <f>IF(D5090&lt;&gt;"",VLOOKUP(H5090,TABLEITEM,2,FALSE),"")</f>
        <v>Busbar</v>
      </c>
      <c r="M5090" s="13" t="str">
        <f>IF(D5090&lt;&gt;"",VLOOKUP(H5090,TABLEITEM,3,FALSE),"")</f>
        <v>บัสบาร์ทองแดง 40x5</v>
      </c>
      <c r="N5090" s="14">
        <f>INSTOCK!$I5090*INSTOCK!$K5090</f>
        <v>21150</v>
      </c>
      <c r="O5090" s="4"/>
      <c r="P5090" s="4"/>
    </row>
    <row r="5091" ht="15.75" hidden="1" customHeight="1">
      <c r="B5091" s="8">
        <v>5415.0</v>
      </c>
      <c r="C5091" s="9">
        <v>43654.0</v>
      </c>
      <c r="D5091" s="6" t="s">
        <v>6122</v>
      </c>
      <c r="E5091" s="4">
        <v>6.20700103E9</v>
      </c>
      <c r="F5091" s="8" t="s">
        <v>604</v>
      </c>
      <c r="G5091" s="4" t="s">
        <v>617</v>
      </c>
      <c r="H5091" s="10" t="s">
        <v>562</v>
      </c>
      <c r="I5091" s="10">
        <v>25.0</v>
      </c>
      <c r="J5091" s="11" t="str">
        <f>IF(D5091&lt;&gt;"",VLOOKUP(H5091,TABLEITEM,5,FALSE),"")</f>
        <v>M</v>
      </c>
      <c r="K5091" s="12">
        <v>1052.8</v>
      </c>
      <c r="L5091" s="13" t="str">
        <f>IF(D5091&lt;&gt;"",VLOOKUP(H5091,TABLEITEM,2,FALSE),"")</f>
        <v>Busbar</v>
      </c>
      <c r="M5091" s="13" t="str">
        <f>IF(D5091&lt;&gt;"",VLOOKUP(H5091,TABLEITEM,3,FALSE),"")</f>
        <v>บัสบาร์ทองแดง 50x10</v>
      </c>
      <c r="N5091" s="14">
        <f>INSTOCK!$I5091*INSTOCK!$K5091</f>
        <v>26320</v>
      </c>
      <c r="O5091" s="4"/>
      <c r="P5091" s="4"/>
    </row>
    <row r="5092" ht="15.75" hidden="1" customHeight="1">
      <c r="B5092" s="8">
        <v>5416.0</v>
      </c>
      <c r="C5092" s="9">
        <v>43654.0</v>
      </c>
      <c r="D5092" s="6" t="s">
        <v>6124</v>
      </c>
      <c r="E5092" s="4">
        <v>6.207001031E9</v>
      </c>
      <c r="F5092" s="8" t="s">
        <v>6125</v>
      </c>
      <c r="G5092" s="4" t="s">
        <v>702</v>
      </c>
      <c r="H5092" s="10" t="s">
        <v>779</v>
      </c>
      <c r="I5092" s="10">
        <v>40.0</v>
      </c>
      <c r="J5092" s="11" t="str">
        <f>IF(D5092&lt;&gt;"",VLOOKUP(H5092,TABLEITEM,5,FALSE),"")</f>
        <v>KG.</v>
      </c>
      <c r="K5092" s="12">
        <v>130.0</v>
      </c>
      <c r="L5092" s="13" t="str">
        <f>IF(D5092&lt;&gt;"",VLOOKUP(H5092,TABLEITEM,2,FALSE),"")</f>
        <v/>
      </c>
      <c r="M5092" s="13" t="str">
        <f>IF(D5092&lt;&gt;"",VLOOKUP(H5092,TABLEITEM,3,FALSE),"")</f>
        <v>สีฝุ่น FF110/948/C สีครีม</v>
      </c>
      <c r="N5092" s="14">
        <f>INSTOCK!$I5092*INSTOCK!$K5092</f>
        <v>5200</v>
      </c>
      <c r="O5092" s="4"/>
      <c r="P5092" s="4"/>
    </row>
    <row r="5093" ht="15.75" hidden="1" customHeight="1">
      <c r="B5093" s="8">
        <v>5417.0</v>
      </c>
      <c r="C5093" s="9">
        <v>43651.0</v>
      </c>
      <c r="D5093" s="6">
        <v>4.19058575E8</v>
      </c>
      <c r="E5093" s="4">
        <v>6.207001018E9</v>
      </c>
      <c r="F5093" s="8" t="s">
        <v>604</v>
      </c>
      <c r="G5093" s="4" t="s">
        <v>1274</v>
      </c>
      <c r="H5093" s="10" t="s">
        <v>2555</v>
      </c>
      <c r="I5093" s="10">
        <v>4.0</v>
      </c>
      <c r="J5093" s="11" t="str">
        <f>IF(D5093&lt;&gt;"",VLOOKUP(H5093,TABLEITEM,5,FALSE),"")</f>
        <v>EA</v>
      </c>
      <c r="K5093" s="12">
        <v>700.0</v>
      </c>
      <c r="L5093" s="13" t="str">
        <f>IF(D5093&lt;&gt;"",VLOOKUP(H5093,TABLEITEM,2,FALSE),"")</f>
        <v/>
      </c>
      <c r="M5093" s="13" t="str">
        <f>IF(D5093&lt;&gt;"",VLOOKUP(H5093,TABLEITEM,3,FALSE),"")</f>
        <v>สก๊อตไบร์ MULTI-FLEX ขนาด 8x20 สีเทา (60แผ่น/ม้วน)</v>
      </c>
      <c r="N5093" s="14">
        <f>INSTOCK!$I5093*INSTOCK!$K5093</f>
        <v>2800</v>
      </c>
      <c r="O5093" s="4"/>
      <c r="P5093" s="4"/>
    </row>
    <row r="5094" ht="15.75" hidden="1" customHeight="1">
      <c r="B5094" s="8">
        <v>5418.0</v>
      </c>
      <c r="C5094" s="9">
        <v>43652.0</v>
      </c>
      <c r="D5094" s="6" t="s">
        <v>6126</v>
      </c>
      <c r="E5094" s="4">
        <v>6.207001021E9</v>
      </c>
      <c r="F5094" s="8" t="s">
        <v>6127</v>
      </c>
      <c r="G5094" s="4" t="s">
        <v>2144</v>
      </c>
      <c r="H5094" s="10" t="s">
        <v>4601</v>
      </c>
      <c r="I5094" s="10">
        <v>100.0</v>
      </c>
      <c r="J5094" s="11" t="str">
        <f>IF(D5094&lt;&gt;"",VLOOKUP(H5094,TABLEITEM,5,FALSE),"")</f>
        <v>EA</v>
      </c>
      <c r="K5094" s="12">
        <v>124.8</v>
      </c>
      <c r="L5094" s="13" t="str">
        <f>IF(D5094&lt;&gt;"",VLOOKUP(H5094,TABLEITEM,2,FALSE),"")</f>
        <v/>
      </c>
      <c r="M5094" s="13" t="str">
        <f>IF(D5094&lt;&gt;"",VLOOKUP(H5094,TABLEITEM,3,FALSE),"")</f>
        <v>ช่องลมสีดำ</v>
      </c>
      <c r="N5094" s="14">
        <f>INSTOCK!$I5094*INSTOCK!$K5094</f>
        <v>12480</v>
      </c>
      <c r="O5094" s="4"/>
      <c r="P5094" s="4"/>
    </row>
    <row r="5095" ht="15.75" hidden="1" customHeight="1">
      <c r="B5095" s="8">
        <v>5419.0</v>
      </c>
      <c r="C5095" s="9">
        <v>43651.0</v>
      </c>
      <c r="D5095" s="6">
        <v>39282.0</v>
      </c>
      <c r="E5095" s="4">
        <v>6.207001015E9</v>
      </c>
      <c r="F5095" s="8" t="s">
        <v>604</v>
      </c>
      <c r="G5095" s="4" t="s">
        <v>696</v>
      </c>
      <c r="H5095" s="10" t="s">
        <v>65</v>
      </c>
      <c r="I5095" s="10">
        <v>12.0</v>
      </c>
      <c r="J5095" s="11" t="str">
        <f>IF(D5095&lt;&gt;"",VLOOKUP(H5095,TABLEITEM,5,FALSE),"")</f>
        <v>กป.</v>
      </c>
      <c r="K5095" s="12">
        <v>41.6667</v>
      </c>
      <c r="L5095" s="13" t="str">
        <f>IF(D5095&lt;&gt;"",VLOOKUP(H5095,TABLEITEM,2,FALSE),"")</f>
        <v/>
      </c>
      <c r="M5095" s="13" t="str">
        <f>IF(D5095&lt;&gt;"",VLOOKUP(H5095,TABLEITEM,3,FALSE),"")</f>
        <v>สีสเปรย์ สีเขียว</v>
      </c>
      <c r="N5095" s="14">
        <f>INSTOCK!$I5095*INSTOCK!$K5095</f>
        <v>500.0004</v>
      </c>
      <c r="O5095" s="4"/>
      <c r="P5095" s="4"/>
    </row>
    <row r="5096" ht="15.75" hidden="1" customHeight="1">
      <c r="B5096" s="8">
        <v>5420.0</v>
      </c>
      <c r="C5096" s="9">
        <v>43658.0</v>
      </c>
      <c r="D5096" s="6" t="s">
        <v>6128</v>
      </c>
      <c r="E5096" s="4">
        <v>6.207001042E9</v>
      </c>
      <c r="F5096" s="8" t="s">
        <v>6129</v>
      </c>
      <c r="G5096" s="4" t="s">
        <v>1258</v>
      </c>
      <c r="H5096" s="10" t="s">
        <v>1261</v>
      </c>
      <c r="I5096" s="10">
        <v>20.0</v>
      </c>
      <c r="J5096" s="11" t="str">
        <f>IF(D5096&lt;&gt;"",VLOOKUP(H5096,TABLEITEM,5,FALSE),"")</f>
        <v>KG.</v>
      </c>
      <c r="K5096" s="12">
        <v>130.0</v>
      </c>
      <c r="L5096" s="13" t="str">
        <f>IF(D5096&lt;&gt;"",VLOOKUP(H5096,TABLEITEM,2,FALSE),"")</f>
        <v/>
      </c>
      <c r="M5096" s="13" t="str">
        <f>IF(D5096&lt;&gt;"",VLOOKUP(H5096,TABLEITEM,3,FALSE),"")</f>
        <v>สีฝุ่น HB 45014 N GREY</v>
      </c>
      <c r="N5096" s="14">
        <f>INSTOCK!$I5096*INSTOCK!$K5096</f>
        <v>2600</v>
      </c>
      <c r="O5096" s="4"/>
      <c r="P5096" s="4"/>
    </row>
    <row r="5097" ht="15.75" hidden="1" customHeight="1">
      <c r="B5097" s="8">
        <v>5421.0</v>
      </c>
      <c r="C5097" s="9">
        <v>43658.0</v>
      </c>
      <c r="D5097" s="6" t="s">
        <v>6130</v>
      </c>
      <c r="E5097" s="4">
        <v>6.207001037E9</v>
      </c>
      <c r="F5097" s="8" t="s">
        <v>604</v>
      </c>
      <c r="G5097" s="4" t="s">
        <v>743</v>
      </c>
      <c r="H5097" s="10" t="s">
        <v>86</v>
      </c>
      <c r="I5097" s="10">
        <v>500.0</v>
      </c>
      <c r="J5097" s="11" t="str">
        <f>IF(D5097&lt;&gt;"",VLOOKUP(H5097,TABLEITEM,5,FALSE),"")</f>
        <v>KG.</v>
      </c>
      <c r="K5097" s="12">
        <v>139.0</v>
      </c>
      <c r="L5097" s="13" t="str">
        <f>IF(D5097&lt;&gt;"",VLOOKUP(H5097,TABLEITEM,2,FALSE),"")</f>
        <v/>
      </c>
      <c r="M5097" s="13" t="str">
        <f>IF(D5097&lt;&gt;"",VLOOKUP(H5097,TABLEITEM,3,FALSE),"")</f>
        <v>สีฝุ่น ครีมเรียบ 1204551PX20</v>
      </c>
      <c r="N5097" s="14">
        <f>INSTOCK!$I5097*INSTOCK!$K5097</f>
        <v>69500</v>
      </c>
      <c r="O5097" s="4"/>
      <c r="P5097" s="4"/>
    </row>
    <row r="5098" ht="15.75" hidden="1" customHeight="1">
      <c r="B5098" s="8">
        <v>5422.0</v>
      </c>
      <c r="C5098" s="9">
        <v>43658.0</v>
      </c>
      <c r="D5098" s="6" t="s">
        <v>6131</v>
      </c>
      <c r="E5098" s="4">
        <v>6.207001037E9</v>
      </c>
      <c r="F5098" s="8" t="s">
        <v>604</v>
      </c>
      <c r="G5098" s="4" t="s">
        <v>743</v>
      </c>
      <c r="H5098" s="10" t="s">
        <v>73</v>
      </c>
      <c r="I5098" s="10">
        <v>500.0</v>
      </c>
      <c r="J5098" s="11" t="str">
        <f>IF(D5098&lt;&gt;"",VLOOKUP(H5098,TABLEITEM,5,FALSE),"")</f>
        <v>KG.</v>
      </c>
      <c r="K5098" s="12">
        <v>99.85</v>
      </c>
      <c r="L5098" s="13" t="str">
        <f>IF(D5098&lt;&gt;"",VLOOKUP(H5098,TABLEITEM,2,FALSE),"")</f>
        <v/>
      </c>
      <c r="M5098" s="13" t="str">
        <f>IF(D5098&lt;&gt;"",VLOOKUP(H5098,TABLEITEM,3,FALSE),"")</f>
        <v>สีฝุ่น สีครีมย่น 1002782PX20</v>
      </c>
      <c r="N5098" s="14">
        <f>INSTOCK!$I5098*INSTOCK!$K5098</f>
        <v>49925</v>
      </c>
      <c r="O5098" s="4"/>
      <c r="P5098" s="4"/>
    </row>
    <row r="5099" ht="15.75" hidden="1" customHeight="1">
      <c r="B5099" s="8">
        <v>5423.0</v>
      </c>
      <c r="C5099" s="9">
        <v>43658.0</v>
      </c>
      <c r="D5099" s="6" t="s">
        <v>6132</v>
      </c>
      <c r="E5099" s="4"/>
      <c r="F5099" s="8" t="s">
        <v>604</v>
      </c>
      <c r="G5099" s="4" t="s">
        <v>965</v>
      </c>
      <c r="H5099" s="10" t="s">
        <v>2906</v>
      </c>
      <c r="I5099" s="10">
        <v>20.0</v>
      </c>
      <c r="J5099" s="11" t="str">
        <f>IF(D5099&lt;&gt;"",VLOOKUP(H5099,TABLEITEM,5,FALSE),"")</f>
        <v>EA</v>
      </c>
      <c r="K5099" s="12">
        <v>10.0</v>
      </c>
      <c r="L5099" s="13" t="str">
        <f>IF(D5099&lt;&gt;"",VLOOKUP(H5099,TABLEITEM,2,FALSE),"")</f>
        <v/>
      </c>
      <c r="M5099" s="13" t="str">
        <f>IF(D5099&lt;&gt;"",VLOOKUP(H5099,TABLEITEM,3,FALSE),"")</f>
        <v>ภู่กัน #8</v>
      </c>
      <c r="N5099" s="14">
        <f>INSTOCK!$I5099*INSTOCK!$K5099</f>
        <v>200</v>
      </c>
      <c r="O5099" s="4"/>
      <c r="P5099" s="4"/>
    </row>
    <row r="5100" ht="15.75" hidden="1" customHeight="1">
      <c r="B5100" s="8">
        <v>5424.0</v>
      </c>
      <c r="C5100" s="9">
        <v>43658.0</v>
      </c>
      <c r="D5100" s="6" t="s">
        <v>6132</v>
      </c>
      <c r="E5100" s="4"/>
      <c r="F5100" s="8" t="s">
        <v>604</v>
      </c>
      <c r="G5100" s="4" t="s">
        <v>965</v>
      </c>
      <c r="H5100" s="10" t="s">
        <v>46</v>
      </c>
      <c r="I5100" s="10">
        <v>10.0</v>
      </c>
      <c r="J5100" s="11" t="str">
        <f>IF(D5100&lt;&gt;"",VLOOKUP(H5100,TABLEITEM,5,FALSE),"")</f>
        <v>ROLL</v>
      </c>
      <c r="K5100" s="12">
        <v>90.0</v>
      </c>
      <c r="L5100" s="13" t="str">
        <f>IF(D5100&lt;&gt;"",VLOOKUP(H5100,TABLEITEM,2,FALSE),"")</f>
        <v/>
      </c>
      <c r="M5100" s="13" t="str">
        <f>IF(D5100&lt;&gt;"",VLOOKUP(H5100,TABLEITEM,3,FALSE),"")</f>
        <v>ลวดดำ</v>
      </c>
      <c r="N5100" s="14">
        <f>INSTOCK!$I5100*INSTOCK!$K5100</f>
        <v>900</v>
      </c>
      <c r="O5100" s="4"/>
      <c r="P5100" s="4"/>
    </row>
    <row r="5101" ht="15.75" hidden="1" customHeight="1">
      <c r="B5101" s="8">
        <v>5425.0</v>
      </c>
      <c r="C5101" s="9">
        <v>43657.0</v>
      </c>
      <c r="D5101" s="6">
        <v>39376.0</v>
      </c>
      <c r="E5101" s="4">
        <v>6.207001039E9</v>
      </c>
      <c r="F5101" s="8" t="s">
        <v>604</v>
      </c>
      <c r="G5101" s="4" t="s">
        <v>696</v>
      </c>
      <c r="H5101" s="10" t="s">
        <v>59</v>
      </c>
      <c r="I5101" s="10">
        <v>12.0</v>
      </c>
      <c r="J5101" s="11" t="str">
        <f>IF(D5101&lt;&gt;"",VLOOKUP(H5101,TABLEITEM,5,FALSE),"")</f>
        <v>EA</v>
      </c>
      <c r="K5101" s="12">
        <v>100.0</v>
      </c>
      <c r="L5101" s="13" t="str">
        <f>IF(D5101&lt;&gt;"",VLOOKUP(H5101,TABLEITEM,2,FALSE),"")</f>
        <v/>
      </c>
      <c r="M5101" s="13" t="str">
        <f>IF(D5101&lt;&gt;"",VLOOKUP(H5101,TABLEITEM,3,FALSE),"")</f>
        <v>โซเน็ก</v>
      </c>
      <c r="N5101" s="14">
        <f>INSTOCK!$I5101*INSTOCK!$K5101</f>
        <v>1200</v>
      </c>
      <c r="O5101" s="4"/>
      <c r="P5101" s="4"/>
    </row>
    <row r="5102" ht="15.75" hidden="1" customHeight="1">
      <c r="B5102" s="8">
        <v>5426.0</v>
      </c>
      <c r="C5102" s="9">
        <v>43656.0</v>
      </c>
      <c r="D5102" s="6" t="s">
        <v>6133</v>
      </c>
      <c r="E5102" s="4"/>
      <c r="F5102" s="8" t="s">
        <v>604</v>
      </c>
      <c r="G5102" s="4" t="s">
        <v>965</v>
      </c>
      <c r="H5102" s="18" t="s">
        <v>5085</v>
      </c>
      <c r="I5102" s="10">
        <v>8.0</v>
      </c>
      <c r="J5102" s="11" t="str">
        <f>IF(D5102&lt;&gt;"",VLOOKUP(H5102,TABLEITEM,5,FALSE),"")</f>
        <v>EA</v>
      </c>
      <c r="K5102" s="12">
        <v>28.0</v>
      </c>
      <c r="L5102" s="13" t="str">
        <f>IF(D5102&lt;&gt;"",VLOOKUP(H5102,TABLEITEM,2,FALSE),"")</f>
        <v/>
      </c>
      <c r="M5102" s="13" t="str">
        <f>IF(D5102&lt;&gt;"",VLOOKUP(H5102,TABLEITEM,3,FALSE),"")</f>
        <v>ลูกปืน 6200ZZ</v>
      </c>
      <c r="N5102" s="14">
        <f>INSTOCK!$I5102*INSTOCK!$K5102</f>
        <v>224</v>
      </c>
      <c r="O5102" s="4"/>
      <c r="P5102" s="4"/>
    </row>
    <row r="5103" ht="15.75" hidden="1" customHeight="1">
      <c r="B5103" s="8">
        <v>5427.0</v>
      </c>
      <c r="C5103" s="9">
        <v>43656.0</v>
      </c>
      <c r="D5103" s="6" t="s">
        <v>6133</v>
      </c>
      <c r="E5103" s="4"/>
      <c r="F5103" s="8" t="s">
        <v>604</v>
      </c>
      <c r="G5103" s="4" t="s">
        <v>965</v>
      </c>
      <c r="H5103" s="10" t="s">
        <v>45</v>
      </c>
      <c r="I5103" s="10">
        <v>2.0</v>
      </c>
      <c r="J5103" s="11" t="str">
        <f>IF(D5103&lt;&gt;"",VLOOKUP(H5103,TABLEITEM,5,FALSE),"")</f>
        <v>กล</v>
      </c>
      <c r="K5103" s="12">
        <v>280.0</v>
      </c>
      <c r="L5103" s="13" t="str">
        <f>IF(D5103&lt;&gt;"",VLOOKUP(H5103,TABLEITEM,2,FALSE),"")</f>
        <v/>
      </c>
      <c r="M5103" s="13" t="str">
        <f>IF(D5103&lt;&gt;"",VLOOKUP(H5103,TABLEITEM,3,FALSE),"")</f>
        <v>สีโป้ว</v>
      </c>
      <c r="N5103" s="14">
        <f>INSTOCK!$I5103*INSTOCK!$K5103</f>
        <v>560</v>
      </c>
      <c r="O5103" s="4"/>
      <c r="P5103" s="4"/>
    </row>
    <row r="5104" ht="15.75" hidden="1" customHeight="1">
      <c r="B5104" s="8">
        <v>5428.0</v>
      </c>
      <c r="C5104" s="9">
        <v>43656.0</v>
      </c>
      <c r="D5104" s="6" t="s">
        <v>6133</v>
      </c>
      <c r="E5104" s="4"/>
      <c r="F5104" s="8" t="s">
        <v>604</v>
      </c>
      <c r="G5104" s="4" t="s">
        <v>965</v>
      </c>
      <c r="H5104" s="10" t="s">
        <v>2151</v>
      </c>
      <c r="I5104" s="10">
        <v>1.0</v>
      </c>
      <c r="J5104" s="11" t="str">
        <f>IF(D5104&lt;&gt;"",VLOOKUP(H5104,TABLEITEM,5,FALSE),"")</f>
        <v>EA</v>
      </c>
      <c r="K5104" s="12">
        <v>1400.0</v>
      </c>
      <c r="L5104" s="13" t="str">
        <f>IF(D5104&lt;&gt;"",VLOOKUP(H5104,TABLEITEM,2,FALSE),"")</f>
        <v/>
      </c>
      <c r="M5104" s="13" t="str">
        <f>IF(D5104&lt;&gt;"",VLOOKUP(H5104,TABLEITEM,3,FALSE),"")</f>
        <v>เครื่องเจียร์ 7-100 BOSCH</v>
      </c>
      <c r="N5104" s="14">
        <f>INSTOCK!$I5104*INSTOCK!$K5104</f>
        <v>1400</v>
      </c>
      <c r="O5104" s="4"/>
      <c r="P5104" s="4"/>
    </row>
    <row r="5105" ht="15.75" hidden="1" customHeight="1">
      <c r="B5105" s="8">
        <v>5429.0</v>
      </c>
      <c r="C5105" s="9">
        <v>43655.0</v>
      </c>
      <c r="D5105" s="6">
        <v>39339.0</v>
      </c>
      <c r="E5105" s="4">
        <v>6.207001013E9</v>
      </c>
      <c r="F5105" s="8" t="s">
        <v>604</v>
      </c>
      <c r="G5105" s="4" t="s">
        <v>696</v>
      </c>
      <c r="H5105" s="10" t="s">
        <v>37</v>
      </c>
      <c r="I5105" s="10">
        <v>20.0</v>
      </c>
      <c r="J5105" s="11" t="str">
        <f>IF(D5105&lt;&gt;"",VLOOKUP(H5105,TABLEITEM,5,FALSE),"")</f>
        <v>EA</v>
      </c>
      <c r="K5105" s="12">
        <v>145.0</v>
      </c>
      <c r="L5105" s="13" t="str">
        <f>IF(D5105&lt;&gt;"",VLOOKUP(H5105,TABLEITEM,2,FALSE),"")</f>
        <v/>
      </c>
      <c r="M5105" s="13" t="str">
        <f>IF(D5105&lt;&gt;"",VLOOKUP(H5105,TABLEITEM,3,FALSE),"")</f>
        <v>ซิลิโคนใส</v>
      </c>
      <c r="N5105" s="14">
        <f>INSTOCK!$I5105*INSTOCK!$K5105</f>
        <v>2900</v>
      </c>
      <c r="O5105" s="4"/>
      <c r="P5105" s="4"/>
    </row>
    <row r="5106" ht="15.75" hidden="1" customHeight="1">
      <c r="B5106" s="8">
        <v>5430.0</v>
      </c>
      <c r="C5106" s="9">
        <v>43656.0</v>
      </c>
      <c r="D5106" s="6" t="s">
        <v>6134</v>
      </c>
      <c r="E5106" s="4">
        <v>6.207001034E9</v>
      </c>
      <c r="F5106" s="8" t="s">
        <v>604</v>
      </c>
      <c r="G5106" s="4" t="s">
        <v>2144</v>
      </c>
      <c r="H5106" s="10" t="s">
        <v>4601</v>
      </c>
      <c r="I5106" s="10">
        <v>24.0</v>
      </c>
      <c r="J5106" s="11" t="str">
        <f>IF(D5106&lt;&gt;"",VLOOKUP(H5106,TABLEITEM,5,FALSE),"")</f>
        <v>EA</v>
      </c>
      <c r="K5106" s="12">
        <v>127.4</v>
      </c>
      <c r="L5106" s="13" t="str">
        <f>IF(D5106&lt;&gt;"",VLOOKUP(H5106,TABLEITEM,2,FALSE),"")</f>
        <v/>
      </c>
      <c r="M5106" s="13" t="str">
        <f>IF(D5106&lt;&gt;"",VLOOKUP(H5106,TABLEITEM,3,FALSE),"")</f>
        <v>ช่องลมสีดำ</v>
      </c>
      <c r="N5106" s="14">
        <f>INSTOCK!$I5106*INSTOCK!$K5106</f>
        <v>3057.6</v>
      </c>
      <c r="O5106" s="4" t="s">
        <v>2146</v>
      </c>
      <c r="P5106" s="4"/>
    </row>
    <row r="5107" ht="15.75" hidden="1" customHeight="1">
      <c r="B5107" s="8">
        <v>5431.0</v>
      </c>
      <c r="C5107" s="9">
        <v>43655.0</v>
      </c>
      <c r="D5107" s="6" t="s">
        <v>6135</v>
      </c>
      <c r="E5107" s="4">
        <v>6.207001029E9</v>
      </c>
      <c r="F5107" s="8" t="s">
        <v>604</v>
      </c>
      <c r="G5107" s="4" t="s">
        <v>957</v>
      </c>
      <c r="H5107" s="10" t="s">
        <v>1193</v>
      </c>
      <c r="I5107" s="10">
        <v>200.0</v>
      </c>
      <c r="J5107" s="11" t="str">
        <f>IF(D5107&lt;&gt;"",VLOOKUP(H5107,TABLEITEM,5,FALSE),"")</f>
        <v>EA</v>
      </c>
      <c r="K5107" s="12">
        <v>100.0</v>
      </c>
      <c r="L5107" s="13"/>
      <c r="M5107" s="13" t="str">
        <f>IF(D5107&lt;&gt;"",VLOOKUP(H5107,TABLEITEM,3,FALSE),"")</f>
        <v>กุญแจเขาควายกันน้ำMS-306-2-1</v>
      </c>
      <c r="N5107" s="14">
        <f>INSTOCK!$I5107*INSTOCK!$K5107</f>
        <v>20000</v>
      </c>
      <c r="O5107" s="4"/>
      <c r="P5107" s="4"/>
    </row>
    <row r="5108" ht="15.75" hidden="1" customHeight="1">
      <c r="B5108" s="8">
        <v>5432.0</v>
      </c>
      <c r="C5108" s="9">
        <v>43655.0</v>
      </c>
      <c r="D5108" s="6" t="s">
        <v>6136</v>
      </c>
      <c r="E5108" s="4">
        <v>6.207001019E9</v>
      </c>
      <c r="F5108" s="8" t="s">
        <v>604</v>
      </c>
      <c r="G5108" s="4" t="s">
        <v>665</v>
      </c>
      <c r="H5108" s="10" t="s">
        <v>464</v>
      </c>
      <c r="I5108" s="10">
        <v>1500.0</v>
      </c>
      <c r="J5108" s="11" t="str">
        <f>IF(D5108&lt;&gt;"",VLOOKUP(H5108,TABLEITEM,5,FALSE),"")</f>
        <v>M</v>
      </c>
      <c r="K5108" s="12">
        <v>4.6</v>
      </c>
      <c r="L5108" s="13" t="str">
        <f>IF(D5108&lt;&gt;"",VLOOKUP(H5108,TABLEITEM,2,FALSE),"")</f>
        <v>wire</v>
      </c>
      <c r="M5108" s="13" t="str">
        <f>IF(D5108&lt;&gt;"",VLOOKUP(H5108,TABLEITEM,3,FALSE),"")</f>
        <v>สายไฟ VSF1x1 SQMM.สีขาว</v>
      </c>
      <c r="N5108" s="14">
        <f>INSTOCK!$I5108*INSTOCK!$K5108</f>
        <v>6900</v>
      </c>
      <c r="O5108" s="4"/>
      <c r="P5108" s="4"/>
    </row>
    <row r="5109" ht="15.75" hidden="1" customHeight="1">
      <c r="B5109" s="8">
        <v>5433.0</v>
      </c>
      <c r="C5109" s="9">
        <v>43654.0</v>
      </c>
      <c r="D5109" s="6">
        <v>4.19058888E8</v>
      </c>
      <c r="E5109" s="4">
        <v>6.207001026E9</v>
      </c>
      <c r="F5109" s="8" t="s">
        <v>604</v>
      </c>
      <c r="G5109" s="4" t="s">
        <v>1274</v>
      </c>
      <c r="H5109" s="10" t="s">
        <v>21</v>
      </c>
      <c r="I5109" s="10">
        <v>400.0</v>
      </c>
      <c r="J5109" s="11" t="str">
        <f>IF(D5109&lt;&gt;"",VLOOKUP(H5109,TABLEITEM,5,FALSE),"")</f>
        <v>EA</v>
      </c>
      <c r="K5109" s="12">
        <v>45.0</v>
      </c>
      <c r="L5109" s="13" t="str">
        <f>IF(D5109&lt;&gt;"",VLOOKUP(H5109,TABLEITEM,2,FALSE),"")</f>
        <v/>
      </c>
      <c r="M5109" s="13" t="str">
        <f>IF(D5109&lt;&gt;"",VLOOKUP(H5109,TABLEITEM,3,FALSE),"")</f>
        <v>ใบหินเจียร์ 4'' </v>
      </c>
      <c r="N5109" s="14">
        <f>INSTOCK!$I5109*INSTOCK!$K5109</f>
        <v>18000</v>
      </c>
      <c r="O5109" s="4"/>
      <c r="P5109" s="4"/>
    </row>
    <row r="5110" ht="15.75" hidden="1" customHeight="1">
      <c r="B5110" s="8">
        <v>5434.0</v>
      </c>
      <c r="C5110" s="9">
        <v>43655.0</v>
      </c>
      <c r="D5110" s="6" t="s">
        <v>6137</v>
      </c>
      <c r="E5110" s="4"/>
      <c r="F5110" s="8" t="s">
        <v>6138</v>
      </c>
      <c r="G5110" s="4" t="s">
        <v>3029</v>
      </c>
      <c r="H5110" s="10" t="s">
        <v>3030</v>
      </c>
      <c r="I5110" s="10">
        <v>28.89</v>
      </c>
      <c r="J5110" s="11" t="str">
        <f>IF(D5110&lt;&gt;"",VLOOKUP(H5110,TABLEITEM,5,FALSE),"")</f>
        <v>LOT</v>
      </c>
      <c r="K5110" s="12">
        <v>55.0</v>
      </c>
      <c r="L5110" s="13" t="str">
        <f>IF(D5110&lt;&gt;"",VLOOKUP(H5110,TABLEITEM,2,FALSE),"")</f>
        <v/>
      </c>
      <c r="M5110" s="13" t="str">
        <f>IF(D5110&lt;&gt;"",VLOOKUP(H5110,TABLEITEM,3,FALSE),"")</f>
        <v>ค่าชุบ ดีบุกเงา</v>
      </c>
      <c r="N5110" s="14">
        <f>INSTOCK!$I5110*INSTOCK!$K5110</f>
        <v>1588.95</v>
      </c>
      <c r="O5110" s="4"/>
      <c r="P5110" s="4"/>
    </row>
    <row r="5111" ht="15.75" hidden="1" customHeight="1">
      <c r="B5111" s="8">
        <v>5435.0</v>
      </c>
      <c r="C5111" s="9">
        <v>43651.0</v>
      </c>
      <c r="D5111" s="6" t="s">
        <v>6139</v>
      </c>
      <c r="E5111" s="4"/>
      <c r="F5111" s="8" t="s">
        <v>633</v>
      </c>
      <c r="G5111" s="4" t="s">
        <v>6140</v>
      </c>
      <c r="H5111" s="10" t="s">
        <v>6141</v>
      </c>
      <c r="I5111" s="10">
        <v>2.0</v>
      </c>
      <c r="J5111" s="11" t="str">
        <f>IF(D5111&lt;&gt;"",VLOOKUP(H5111,TABLEITEM,5,FALSE),"")</f>
        <v>EA</v>
      </c>
      <c r="K5111" s="12">
        <v>20490.0</v>
      </c>
      <c r="L5111" s="13" t="str">
        <f>IF(D5111&lt;&gt;"",VLOOKUP(H5111,TABLEITEM,2,FALSE),"")</f>
        <v/>
      </c>
      <c r="M5111" s="13" t="str">
        <f>IF(D5111&lt;&gt;"",VLOOKUP(H5111,TABLEITEM,3,FALSE),"")</f>
        <v>คอมพิวเตอร์ตั้งโต๊ะ DESKTOP DELL VOSTRO 3670-W268016114</v>
      </c>
      <c r="N5111" s="14">
        <f>INSTOCK!$I5111*INSTOCK!$K5111</f>
        <v>40980</v>
      </c>
      <c r="O5111" s="4"/>
      <c r="P5111" s="4"/>
    </row>
    <row r="5112" ht="15.75" hidden="1" customHeight="1">
      <c r="B5112" s="8">
        <v>5436.0</v>
      </c>
      <c r="C5112" s="9">
        <v>43655.0</v>
      </c>
      <c r="D5112" s="6" t="s">
        <v>6142</v>
      </c>
      <c r="E5112" s="4" t="s">
        <v>2020</v>
      </c>
      <c r="F5112" s="8" t="s">
        <v>6127</v>
      </c>
      <c r="G5112" s="4" t="s">
        <v>2144</v>
      </c>
      <c r="H5112" s="10" t="s">
        <v>4601</v>
      </c>
      <c r="I5112" s="10">
        <v>100.0</v>
      </c>
      <c r="J5112" s="11" t="str">
        <f>IF(D5112&lt;&gt;"",VLOOKUP(H5112,TABLEITEM,5,FALSE),"")</f>
        <v>EA</v>
      </c>
      <c r="K5112" s="12">
        <v>-124.8</v>
      </c>
      <c r="L5112" s="13" t="str">
        <f>IF(D5112&lt;&gt;"",VLOOKUP(H5112,TABLEITEM,2,FALSE),"")</f>
        <v/>
      </c>
      <c r="M5112" s="13" t="str">
        <f>IF(D5112&lt;&gt;"",VLOOKUP(H5112,TABLEITEM,3,FALSE),"")</f>
        <v>ช่องลมสีดำ</v>
      </c>
      <c r="N5112" s="14">
        <f>INSTOCK!$I5112*INSTOCK!$K5112</f>
        <v>-12480</v>
      </c>
      <c r="O5112" s="4" t="s">
        <v>6143</v>
      </c>
      <c r="P5112" s="4"/>
    </row>
    <row r="5113" ht="15.75" hidden="1" customHeight="1">
      <c r="B5113" s="8">
        <v>5437.0</v>
      </c>
      <c r="C5113" s="9">
        <v>43655.0</v>
      </c>
      <c r="D5113" s="6" t="s">
        <v>6144</v>
      </c>
      <c r="E5113" s="4">
        <v>6.207000966E9</v>
      </c>
      <c r="F5113" s="8" t="s">
        <v>604</v>
      </c>
      <c r="G5113" s="4" t="s">
        <v>2736</v>
      </c>
      <c r="H5113" s="10" t="s">
        <v>187</v>
      </c>
      <c r="I5113" s="10">
        <v>2000.0</v>
      </c>
      <c r="J5113" s="11" t="str">
        <f>IF(D5113&lt;&gt;"",VLOOKUP(H5113,TABLEITEM,5,FALSE),"")</f>
        <v>EA</v>
      </c>
      <c r="K5113" s="12">
        <v>1.5</v>
      </c>
      <c r="L5113" s="13" t="str">
        <f>IF(D5113&lt;&gt;"",VLOOKUP(H5113,TABLEITEM,2,FALSE),"")</f>
        <v/>
      </c>
      <c r="M5113" s="13" t="str">
        <f>IF(D5113&lt;&gt;"",VLOOKUP(H5113,TABLEITEM,3,FALSE),"")</f>
        <v>หมุดเนมเพลท</v>
      </c>
      <c r="N5113" s="14">
        <f>INSTOCK!$I5113*INSTOCK!$K5113</f>
        <v>3000</v>
      </c>
      <c r="O5113" s="4"/>
      <c r="P5113" s="4"/>
    </row>
    <row r="5114" ht="15.75" hidden="1" customHeight="1">
      <c r="B5114" s="8">
        <v>5438.0</v>
      </c>
      <c r="C5114" s="9">
        <v>43655.0</v>
      </c>
      <c r="D5114" s="6">
        <v>6.2070292E8</v>
      </c>
      <c r="E5114" s="4">
        <v>6.207001035E9</v>
      </c>
      <c r="F5114" s="8" t="s">
        <v>6145</v>
      </c>
      <c r="G5114" s="4" t="s">
        <v>1130</v>
      </c>
      <c r="H5114" s="10" t="s">
        <v>1554</v>
      </c>
      <c r="I5114" s="10">
        <v>20.0</v>
      </c>
      <c r="J5114" s="11" t="str">
        <f>IF(D5114&lt;&gt;"",VLOOKUP(H5114,TABLEITEM,5,FALSE),"")</f>
        <v>EA</v>
      </c>
      <c r="K5114" s="12">
        <v>105.0</v>
      </c>
      <c r="L5114" s="13" t="str">
        <f>IF(D5114&lt;&gt;"",VLOOKUP(H5114,TABLEITEM,2,FALSE),"")</f>
        <v/>
      </c>
      <c r="M5114" s="13" t="str">
        <f>IF(D5114&lt;&gt;"",VLOOKUP(H5114,TABLEITEM,3,FALSE),"")</f>
        <v>RELAY MY2N-GS 220/240VAC</v>
      </c>
      <c r="N5114" s="14">
        <f>INSTOCK!$I5114*INSTOCK!$K5114</f>
        <v>2100</v>
      </c>
      <c r="O5114" s="4"/>
      <c r="P5114" s="4"/>
    </row>
    <row r="5115" ht="15.75" hidden="1" customHeight="1">
      <c r="B5115" s="8">
        <v>5439.0</v>
      </c>
      <c r="C5115" s="9">
        <v>43655.0</v>
      </c>
      <c r="D5115" s="6">
        <v>6.2070292E8</v>
      </c>
      <c r="E5115" s="4">
        <v>6.207001035E9</v>
      </c>
      <c r="F5115" s="8" t="s">
        <v>6145</v>
      </c>
      <c r="G5115" s="4" t="s">
        <v>1130</v>
      </c>
      <c r="H5115" s="10" t="s">
        <v>1555</v>
      </c>
      <c r="I5115" s="10">
        <v>20.0</v>
      </c>
      <c r="J5115" s="11" t="str">
        <f>IF(D5115&lt;&gt;"",VLOOKUP(H5115,TABLEITEM,5,FALSE),"")</f>
        <v>EA</v>
      </c>
      <c r="K5115" s="12">
        <v>40.0</v>
      </c>
      <c r="L5115" s="13" t="str">
        <f>IF(D5115&lt;&gt;"",VLOOKUP(H5115,TABLEITEM,2,FALSE),"")</f>
        <v/>
      </c>
      <c r="M5115" s="13" t="str">
        <f>IF(D5115&lt;&gt;"",VLOOKUP(H5115,TABLEITEM,3,FALSE),"")</f>
        <v>SOCKET PYF-08A-E </v>
      </c>
      <c r="N5115" s="14">
        <f>INSTOCK!$I5115*INSTOCK!$K5115</f>
        <v>800</v>
      </c>
      <c r="O5115" s="4"/>
      <c r="P5115" s="4"/>
    </row>
    <row r="5116" ht="15.75" hidden="1" customHeight="1">
      <c r="B5116" s="8">
        <v>5440.0</v>
      </c>
      <c r="C5116" s="9">
        <v>43655.0</v>
      </c>
      <c r="D5116" s="6">
        <v>6.2070292E8</v>
      </c>
      <c r="E5116" s="4">
        <v>6.207001035E9</v>
      </c>
      <c r="F5116" s="8" t="s">
        <v>6145</v>
      </c>
      <c r="G5116" s="4" t="s">
        <v>1130</v>
      </c>
      <c r="H5116" s="10" t="s">
        <v>6146</v>
      </c>
      <c r="I5116" s="10">
        <v>1.0</v>
      </c>
      <c r="J5116" s="11" t="str">
        <f>IF(D5116&lt;&gt;"",VLOOKUP(H5116,TABLEITEM,5,FALSE),"")</f>
        <v>EA</v>
      </c>
      <c r="K5116" s="12">
        <v>87.22</v>
      </c>
      <c r="L5116" s="13" t="str">
        <f>IF(D5116&lt;&gt;"",VLOOKUP(H5116,TABLEITEM,2,FALSE),"")</f>
        <v/>
      </c>
      <c r="M5116" s="13" t="str">
        <f>IF(D5116&lt;&gt;"",VLOOKUP(H5116,TABLEITEM,3,FALSE),"")</f>
        <v>SOCKET PTF08-A-E</v>
      </c>
      <c r="N5116" s="14">
        <f>INSTOCK!$I5116*INSTOCK!$K5116</f>
        <v>87.22</v>
      </c>
      <c r="O5116" s="4" t="s">
        <v>6147</v>
      </c>
      <c r="P5116" s="4"/>
    </row>
    <row r="5117" ht="15.75" hidden="1" customHeight="1">
      <c r="B5117" s="8">
        <v>5441.0</v>
      </c>
      <c r="C5117" s="9">
        <v>43654.0</v>
      </c>
      <c r="D5117" s="6">
        <v>6.2070265E8</v>
      </c>
      <c r="E5117" s="4">
        <v>6.207001033E9</v>
      </c>
      <c r="F5117" s="8" t="s">
        <v>6148</v>
      </c>
      <c r="G5117" s="4" t="s">
        <v>1130</v>
      </c>
      <c r="H5117" s="10" t="s">
        <v>4870</v>
      </c>
      <c r="I5117" s="10">
        <v>1.0</v>
      </c>
      <c r="J5117" s="11" t="str">
        <f>IF(D5117&lt;&gt;"",VLOOKUP(H5117,TABLEITEM,5,FALSE),"")</f>
        <v>EA</v>
      </c>
      <c r="K5117" s="12">
        <v>2925.0</v>
      </c>
      <c r="L5117" s="13" t="str">
        <f>IF(D5117&lt;&gt;"",VLOOKUP(H5117,TABLEITEM,2,FALSE),"")</f>
        <v/>
      </c>
      <c r="M5117" s="13" t="str">
        <f>IF(D5117&lt;&gt;"",VLOOKUP(H5117,TABLEITEM,3,FALSE),"")</f>
        <v>เบรกกอร์ NF250-CV 3P 250A</v>
      </c>
      <c r="N5117" s="14">
        <f>INSTOCK!$I5117*INSTOCK!$K5117</f>
        <v>2925</v>
      </c>
      <c r="O5117" s="4" t="s">
        <v>2812</v>
      </c>
      <c r="P5117" s="4"/>
    </row>
    <row r="5118" ht="15.75" hidden="1" customHeight="1">
      <c r="B5118" s="8">
        <v>5442.0</v>
      </c>
      <c r="C5118" s="9">
        <v>43654.0</v>
      </c>
      <c r="D5118" s="6">
        <v>6.2070265E8</v>
      </c>
      <c r="E5118" s="4">
        <v>6.207001033E9</v>
      </c>
      <c r="F5118" s="8" t="s">
        <v>6148</v>
      </c>
      <c r="G5118" s="4" t="s">
        <v>1130</v>
      </c>
      <c r="H5118" s="10" t="s">
        <v>4873</v>
      </c>
      <c r="I5118" s="10">
        <v>2.0</v>
      </c>
      <c r="J5118" s="11" t="str">
        <f>IF(D5118&lt;&gt;"",VLOOKUP(H5118,TABLEITEM,5,FALSE),"")</f>
        <v>EA</v>
      </c>
      <c r="K5118" s="12">
        <v>1485.0</v>
      </c>
      <c r="L5118" s="13" t="str">
        <f>IF(D5118&lt;&gt;"",VLOOKUP(H5118,TABLEITEM,2,FALSE),"")</f>
        <v/>
      </c>
      <c r="M5118" s="13" t="str">
        <f>IF(D5118&lt;&gt;"",VLOOKUP(H5118,TABLEITEM,3,FALSE),"")</f>
        <v>เบรกเกอร์ NF125-CV 3P 100A</v>
      </c>
      <c r="N5118" s="14">
        <f>INSTOCK!$I5118*INSTOCK!$K5118</f>
        <v>2970</v>
      </c>
      <c r="O5118" s="4" t="s">
        <v>2889</v>
      </c>
      <c r="P5118" s="4"/>
    </row>
    <row r="5119" ht="15.75" hidden="1" customHeight="1">
      <c r="B5119" s="8">
        <v>5443.0</v>
      </c>
      <c r="C5119" s="9">
        <v>43654.0</v>
      </c>
      <c r="D5119" s="6">
        <v>6.2070265E8</v>
      </c>
      <c r="E5119" s="4">
        <v>6.207001033E9</v>
      </c>
      <c r="F5119" s="8" t="s">
        <v>6148</v>
      </c>
      <c r="G5119" s="4" t="s">
        <v>1130</v>
      </c>
      <c r="H5119" s="10" t="s">
        <v>6149</v>
      </c>
      <c r="I5119" s="10">
        <v>2.0</v>
      </c>
      <c r="J5119" s="11" t="str">
        <f>IF(D5119&lt;&gt;"",VLOOKUP(H5119,TABLEITEM,5,FALSE),"")</f>
        <v>EA</v>
      </c>
      <c r="K5119" s="12">
        <v>990.0</v>
      </c>
      <c r="L5119" s="13" t="str">
        <f>IF(D5119&lt;&gt;"",VLOOKUP(H5119,TABLEITEM,2,FALSE),"")</f>
        <v/>
      </c>
      <c r="M5119" s="13" t="str">
        <f>IF(D5119&lt;&gt;"",VLOOKUP(H5119,TABLEITEM,3,FALSE),"")</f>
        <v>BREAKER NF63 HV 3P 50A</v>
      </c>
      <c r="N5119" s="14">
        <f>INSTOCK!$I5119*INSTOCK!$K5119</f>
        <v>1980</v>
      </c>
      <c r="O5119" s="4" t="s">
        <v>214</v>
      </c>
      <c r="P5119" s="4"/>
    </row>
    <row r="5120" ht="15.75" hidden="1" customHeight="1">
      <c r="B5120" s="8">
        <v>5444.0</v>
      </c>
      <c r="C5120" s="9">
        <v>43658.0</v>
      </c>
      <c r="D5120" s="6" t="s">
        <v>6150</v>
      </c>
      <c r="E5120" s="4" t="s">
        <v>6151</v>
      </c>
      <c r="F5120" s="8" t="s">
        <v>5938</v>
      </c>
      <c r="G5120" s="4" t="s">
        <v>2162</v>
      </c>
      <c r="H5120" s="18" t="s">
        <v>6152</v>
      </c>
      <c r="I5120" s="10">
        <v>2.0</v>
      </c>
      <c r="J5120" s="11" t="str">
        <f>IF(D5120&lt;&gt;"",VLOOKUP(H5120,TABLEITEM,5,FALSE),"")</f>
        <v>EA</v>
      </c>
      <c r="K5120" s="12">
        <v>440.0</v>
      </c>
      <c r="L5120" s="13" t="str">
        <f>IF(D5120&lt;&gt;"",VLOOKUP(H5120,TABLEITEM,2,FALSE),"")</f>
        <v/>
      </c>
      <c r="M5120" s="13" t="str">
        <f>IF(D5120&lt;&gt;"",VLOOKUP(H5120,TABLEITEM,3,FALSE),"")</f>
        <v>ล้อยูริเทน 3" หน้ายาง 32มิล โครงเชื่อมล้อเป็นมีเบรค</v>
      </c>
      <c r="N5120" s="14">
        <f>INSTOCK!$I5120*INSTOCK!$K5120</f>
        <v>880</v>
      </c>
      <c r="O5120" s="4"/>
      <c r="P5120" s="4"/>
    </row>
    <row r="5121" ht="15.75" hidden="1" customHeight="1">
      <c r="B5121" s="8">
        <v>5445.0</v>
      </c>
      <c r="C5121" s="9">
        <v>43658.0</v>
      </c>
      <c r="D5121" s="6" t="s">
        <v>6150</v>
      </c>
      <c r="E5121" s="4" t="s">
        <v>6151</v>
      </c>
      <c r="F5121" s="8" t="s">
        <v>5938</v>
      </c>
      <c r="G5121" s="4" t="s">
        <v>2162</v>
      </c>
      <c r="H5121" s="18" t="s">
        <v>5844</v>
      </c>
      <c r="I5121" s="10">
        <v>2.0</v>
      </c>
      <c r="J5121" s="11" t="str">
        <f>IF(D5121&lt;&gt;"",VLOOKUP(H5121,TABLEITEM,5,FALSE),"")</f>
        <v>EA</v>
      </c>
      <c r="K5121" s="12">
        <v>275.0</v>
      </c>
      <c r="L5121" s="13" t="str">
        <f>IF(D5121&lt;&gt;"",VLOOKUP(H5121,TABLEITEM,2,FALSE),"")</f>
        <v/>
      </c>
      <c r="M5121" s="13" t="str">
        <f>IF(D5121&lt;&gt;"",VLOOKUP(H5121,TABLEITEM,3,FALSE),"")</f>
        <v>ล้อยูริเทน 3" หน้ายาง 32มิล โครงเชื่อมล้อตาย</v>
      </c>
      <c r="N5121" s="14">
        <f>INSTOCK!$I5121*INSTOCK!$K5121</f>
        <v>550</v>
      </c>
      <c r="O5121" s="4"/>
      <c r="P5121" s="4"/>
    </row>
    <row r="5122" ht="15.75" hidden="1" customHeight="1">
      <c r="B5122" s="8">
        <v>5446.0</v>
      </c>
      <c r="C5122" s="9">
        <v>43657.0</v>
      </c>
      <c r="D5122" s="6">
        <v>6.20703902E8</v>
      </c>
      <c r="E5122" s="4">
        <v>6.207001041E9</v>
      </c>
      <c r="F5122" s="8" t="s">
        <v>604</v>
      </c>
      <c r="G5122" s="4" t="s">
        <v>1130</v>
      </c>
      <c r="H5122" s="10" t="s">
        <v>267</v>
      </c>
      <c r="I5122" s="10">
        <v>1000.0</v>
      </c>
      <c r="J5122" s="11" t="str">
        <f>IF(D5122&lt;&gt;"",VLOOKUP(H5122,TABLEITEM,5,FALSE),"")</f>
        <v>EA</v>
      </c>
      <c r="K5122" s="12">
        <v>2.1</v>
      </c>
      <c r="L5122" s="13" t="str">
        <f>IF(D5122&lt;&gt;"",VLOOKUP(H5122,TABLEITEM,2,FALSE),"")</f>
        <v/>
      </c>
      <c r="M5122" s="13" t="str">
        <f>IF(D5122&lt;&gt;"",VLOOKUP(H5122,TABLEITEM,3,FALSE),"")</f>
        <v>หางปลากลมหุ้ม 6-6</v>
      </c>
      <c r="N5122" s="14">
        <f>INSTOCK!$I5122*INSTOCK!$K5122</f>
        <v>2100</v>
      </c>
      <c r="O5122" s="4" t="s">
        <v>4608</v>
      </c>
      <c r="P5122" s="4"/>
    </row>
    <row r="5123" ht="15.75" hidden="1" customHeight="1">
      <c r="B5123" s="8">
        <v>5447.0</v>
      </c>
      <c r="C5123" s="9">
        <v>43658.0</v>
      </c>
      <c r="D5123" s="6" t="s">
        <v>6153</v>
      </c>
      <c r="E5123" s="4"/>
      <c r="F5123" s="8" t="s">
        <v>6145</v>
      </c>
      <c r="G5123" s="4" t="s">
        <v>4419</v>
      </c>
      <c r="H5123" s="10" t="s">
        <v>5038</v>
      </c>
      <c r="I5123" s="10">
        <v>2.0</v>
      </c>
      <c r="J5123" s="11" t="str">
        <f>IF(D5123&lt;&gt;"",VLOOKUP(H5123,TABLEITEM,5,FALSE),"")</f>
        <v>EA</v>
      </c>
      <c r="K5123" s="12">
        <v>190.0</v>
      </c>
      <c r="L5123" s="13" t="str">
        <f>IF(D5123&lt;&gt;"",VLOOKUP(H5123,TABLEITEM,2,FALSE),"")</f>
        <v/>
      </c>
      <c r="M5123" s="13" t="str">
        <f>IF(D5123&lt;&gt;"",VLOOKUP(H5123,TABLEITEM,3,FALSE),"")</f>
        <v>T-001158 Variable RV30YN20SB202 2KOHM</v>
      </c>
      <c r="N5123" s="14">
        <f>INSTOCK!$I5123*INSTOCK!$K5123</f>
        <v>380</v>
      </c>
      <c r="O5123" s="4"/>
      <c r="P5123" s="4"/>
    </row>
    <row r="5124" ht="15.75" hidden="1" customHeight="1">
      <c r="B5124" s="8">
        <v>5448.0</v>
      </c>
      <c r="C5124" s="9">
        <v>43658.0</v>
      </c>
      <c r="D5124" s="6" t="s">
        <v>6153</v>
      </c>
      <c r="E5124" s="4"/>
      <c r="F5124" s="8" t="s">
        <v>6145</v>
      </c>
      <c r="G5124" s="4" t="s">
        <v>4419</v>
      </c>
      <c r="H5124" s="10" t="s">
        <v>6154</v>
      </c>
      <c r="I5124" s="10">
        <v>2.0</v>
      </c>
      <c r="J5124" s="11" t="str">
        <f>IF(D5124&lt;&gt;"",VLOOKUP(H5124,TABLEITEM,5,FALSE),"")</f>
        <v>EA</v>
      </c>
      <c r="K5124" s="12">
        <v>175.0</v>
      </c>
      <c r="L5124" s="13" t="str">
        <f>IF(D5124&lt;&gt;"",VLOOKUP(H5124,TABLEITEM,2,FALSE),"")</f>
        <v/>
      </c>
      <c r="M5124" s="13" t="str">
        <f>IF(D5124&lt;&gt;"",VLOOKUP(H5124,TABLEITEM,3,FALSE),"")</f>
        <v>KNOB SATO 2901-L(B)</v>
      </c>
      <c r="N5124" s="14">
        <f>INSTOCK!$I5124*INSTOCK!$K5124</f>
        <v>350</v>
      </c>
      <c r="O5124" s="4"/>
      <c r="P5124" s="4"/>
    </row>
    <row r="5125" ht="15.75" hidden="1" customHeight="1">
      <c r="B5125" s="8">
        <v>5449.0</v>
      </c>
      <c r="C5125" s="9">
        <v>43654.0</v>
      </c>
      <c r="D5125" s="6" t="s">
        <v>6155</v>
      </c>
      <c r="E5125" s="4">
        <v>6.20600098E9</v>
      </c>
      <c r="F5125" s="8" t="s">
        <v>2845</v>
      </c>
      <c r="G5125" s="4" t="s">
        <v>4811</v>
      </c>
      <c r="H5125" s="10" t="s">
        <v>4997</v>
      </c>
      <c r="I5125" s="10">
        <v>3.0</v>
      </c>
      <c r="J5125" s="11" t="str">
        <f>IF(D5125&lt;&gt;"",VLOOKUP(H5125,TABLEITEM,5,FALSE),"")</f>
        <v>EA</v>
      </c>
      <c r="K5125" s="12">
        <v>4300.0</v>
      </c>
      <c r="L5125" s="13" t="str">
        <f>IF(D5125&lt;&gt;"",VLOOKUP(H5125,TABLEITEM,2,FALSE),"")</f>
        <v/>
      </c>
      <c r="M5125" s="13" t="str">
        <f>IF(D5125&lt;&gt;"",VLOOKUP(H5125,TABLEITEM,3,FALSE),"")</f>
        <v>PUNCH NO.88 R 0.6 L=835</v>
      </c>
      <c r="N5125" s="14">
        <f>INSTOCK!$I5125*INSTOCK!$K5125</f>
        <v>12900</v>
      </c>
      <c r="O5125" s="4"/>
      <c r="P5125" s="4"/>
    </row>
    <row r="5126" ht="15.75" hidden="1" customHeight="1">
      <c r="B5126" s="8">
        <v>5450.0</v>
      </c>
      <c r="C5126" s="9">
        <v>43654.0</v>
      </c>
      <c r="D5126" s="6" t="s">
        <v>6155</v>
      </c>
      <c r="E5126" s="4">
        <v>6.20600098E9</v>
      </c>
      <c r="F5126" s="8" t="s">
        <v>2845</v>
      </c>
      <c r="G5126" s="4" t="s">
        <v>4811</v>
      </c>
      <c r="H5126" s="10" t="s">
        <v>4993</v>
      </c>
      <c r="I5126" s="10">
        <v>1.0</v>
      </c>
      <c r="J5126" s="11" t="str">
        <f>IF(D5126&lt;&gt;"",VLOOKUP(H5126,TABLEITEM,5,FALSE),"")</f>
        <v>EA</v>
      </c>
      <c r="K5126" s="12">
        <v>4200.0</v>
      </c>
      <c r="L5126" s="13" t="str">
        <f>IF(D5126&lt;&gt;"",VLOOKUP(H5126,TABLEITEM,2,FALSE),"")</f>
        <v/>
      </c>
      <c r="M5126" s="13" t="str">
        <f>IF(D5126&lt;&gt;"",VLOOKUP(H5126,TABLEITEM,3,FALSE),"")</f>
        <v>PUNCH NO.88 R 0.6 S-15mm</v>
      </c>
      <c r="N5126" s="14">
        <f>INSTOCK!$I5126*INSTOCK!$K5126</f>
        <v>4200</v>
      </c>
      <c r="O5126" s="4"/>
      <c r="P5126" s="4"/>
    </row>
    <row r="5127" ht="15.75" hidden="1" customHeight="1">
      <c r="B5127" s="8">
        <v>5451.0</v>
      </c>
      <c r="C5127" s="9">
        <v>43654.0</v>
      </c>
      <c r="D5127" s="6" t="s">
        <v>6155</v>
      </c>
      <c r="E5127" s="4">
        <v>6.20600098E9</v>
      </c>
      <c r="F5127" s="8" t="s">
        <v>2845</v>
      </c>
      <c r="G5127" s="4" t="s">
        <v>4811</v>
      </c>
      <c r="H5127" s="10" t="s">
        <v>4994</v>
      </c>
      <c r="I5127" s="10">
        <v>1.0</v>
      </c>
      <c r="J5127" s="11" t="str">
        <f>IF(D5127&lt;&gt;"",VLOOKUP(H5127,TABLEITEM,5,FALSE),"")</f>
        <v>EA</v>
      </c>
      <c r="K5127" s="12">
        <v>3000.0</v>
      </c>
      <c r="L5127" s="13" t="str">
        <f>IF(D5127&lt;&gt;"",VLOOKUP(H5127,TABLEITEM,2,FALSE),"")</f>
        <v/>
      </c>
      <c r="M5127" s="13" t="str">
        <f>IF(D5127&lt;&gt;"",VLOOKUP(H5127,TABLEITEM,3,FALSE),"")</f>
        <v>PUNCH NO.88 R 0.6 SECTIONALIZED</v>
      </c>
      <c r="N5127" s="14">
        <f>INSTOCK!$I5127*INSTOCK!$K5127</f>
        <v>3000</v>
      </c>
      <c r="O5127" s="4"/>
      <c r="P5127" s="4"/>
    </row>
    <row r="5128" ht="15.75" hidden="1" customHeight="1">
      <c r="B5128" s="8">
        <v>5452.0</v>
      </c>
      <c r="C5128" s="9">
        <v>43654.0</v>
      </c>
      <c r="D5128" s="6" t="s">
        <v>6155</v>
      </c>
      <c r="E5128" s="4">
        <v>6.20600098E9</v>
      </c>
      <c r="F5128" s="8" t="s">
        <v>2845</v>
      </c>
      <c r="G5128" s="4" t="s">
        <v>4811</v>
      </c>
      <c r="H5128" s="10" t="s">
        <v>4995</v>
      </c>
      <c r="I5128" s="10">
        <v>3.0</v>
      </c>
      <c r="J5128" s="11" t="str">
        <f>IF(D5128&lt;&gt;"",VLOOKUP(H5128,TABLEITEM,5,FALSE),"")</f>
        <v>EA</v>
      </c>
      <c r="K5128" s="12">
        <v>4900.0</v>
      </c>
      <c r="L5128" s="13" t="str">
        <f>IF(D5128&lt;&gt;"",VLOOKUP(H5128,TABLEITEM,2,FALSE),"")</f>
        <v/>
      </c>
      <c r="M5128" s="13" t="str">
        <f>IF(D5128&lt;&gt;"",VLOOKUP(H5128,TABLEITEM,3,FALSE),"")</f>
        <v>2V DIE 12x20 L=835</v>
      </c>
      <c r="N5128" s="14">
        <f>INSTOCK!$I5128*INSTOCK!$K5128</f>
        <v>14700</v>
      </c>
      <c r="O5128" s="4"/>
      <c r="P5128" s="4"/>
    </row>
    <row r="5129" ht="15.75" hidden="1" customHeight="1">
      <c r="B5129" s="8">
        <v>5453.0</v>
      </c>
      <c r="C5129" s="9">
        <v>43654.0</v>
      </c>
      <c r="D5129" s="6" t="s">
        <v>6155</v>
      </c>
      <c r="E5129" s="4">
        <v>6.20600098E9</v>
      </c>
      <c r="F5129" s="8" t="s">
        <v>2845</v>
      </c>
      <c r="G5129" s="4" t="s">
        <v>4811</v>
      </c>
      <c r="H5129" s="10" t="s">
        <v>6156</v>
      </c>
      <c r="I5129" s="10">
        <v>1.0</v>
      </c>
      <c r="J5129" s="11" t="str">
        <f>IF(D5129&lt;&gt;"",VLOOKUP(H5129,TABLEITEM,5,FALSE),"")</f>
        <v>EA</v>
      </c>
      <c r="K5129" s="12">
        <v>800.0</v>
      </c>
      <c r="L5129" s="13" t="str">
        <f>IF(D5129&lt;&gt;"",VLOOKUP(H5129,TABLEITEM,2,FALSE),"")</f>
        <v/>
      </c>
      <c r="M5129" s="13" t="str">
        <f>IF(D5129&lt;&gt;"",VLOOKUP(H5129,TABLEITEM,3,FALSE),"")</f>
        <v>ส่วนลด</v>
      </c>
      <c r="N5129" s="14">
        <f>INSTOCK!$I5129*INSTOCK!$K5129</f>
        <v>800</v>
      </c>
      <c r="O5129" s="4"/>
      <c r="P5129" s="4"/>
    </row>
    <row r="5130" ht="15.75" hidden="1" customHeight="1">
      <c r="B5130" s="8">
        <v>5454.0</v>
      </c>
      <c r="C5130" s="9">
        <v>43659.0</v>
      </c>
      <c r="D5130" s="6" t="s">
        <v>6157</v>
      </c>
      <c r="E5130" s="4">
        <v>6.207001062E9</v>
      </c>
      <c r="F5130" s="8" t="s">
        <v>604</v>
      </c>
      <c r="G5130" s="4" t="s">
        <v>1870</v>
      </c>
      <c r="H5130" s="10" t="s">
        <v>2400</v>
      </c>
      <c r="I5130" s="10">
        <v>1000.0</v>
      </c>
      <c r="J5130" s="11" t="str">
        <f>IF(D5130&lt;&gt;"",VLOOKUP(H5130,TABLEITEM,5,FALSE),"")</f>
        <v>EA</v>
      </c>
      <c r="K5130" s="12">
        <v>0.96</v>
      </c>
      <c r="L5130" s="13" t="str">
        <f>IF(D5130&lt;&gt;"",VLOOKUP(H5130,TABLEITEM,2,FALSE),"")</f>
        <v/>
      </c>
      <c r="M5130" s="13" t="str">
        <f>IF(D5130&lt;&gt;"",VLOOKUP(H5130,TABLEITEM,3,FALSE),"")</f>
        <v>สกรูหัวหมวก  M6x10</v>
      </c>
      <c r="N5130" s="14">
        <f>INSTOCK!$I5130*INSTOCK!$K5130</f>
        <v>960</v>
      </c>
      <c r="O5130" s="4" t="s">
        <v>5398</v>
      </c>
      <c r="P5130" s="4"/>
    </row>
    <row r="5131" ht="15.75" hidden="1" customHeight="1">
      <c r="B5131" s="8">
        <v>5455.0</v>
      </c>
      <c r="C5131" s="9">
        <v>43659.0</v>
      </c>
      <c r="D5131" s="6" t="s">
        <v>6158</v>
      </c>
      <c r="E5131" s="4">
        <v>6.207001057E9</v>
      </c>
      <c r="F5131" s="8" t="s">
        <v>6159</v>
      </c>
      <c r="G5131" s="4" t="s">
        <v>702</v>
      </c>
      <c r="H5131" s="10" t="s">
        <v>3663</v>
      </c>
      <c r="I5131" s="10">
        <v>20.0</v>
      </c>
      <c r="J5131" s="11" t="str">
        <f>IF(D5131&lt;&gt;"",VLOOKUP(H5131,TABLEITEM,5,FALSE),"")</f>
        <v>KG.</v>
      </c>
      <c r="K5131" s="12">
        <v>140.0</v>
      </c>
      <c r="L5131" s="13" t="str">
        <f>IF(D5131&lt;&gt;"",VLOOKUP(H5131,TABLEITEM,2,FALSE),"")</f>
        <v/>
      </c>
      <c r="M5131" s="13" t="str">
        <f>IF(D5131&lt;&gt;"",VLOOKUP(H5131,TABLEITEM,3,FALSE),"")</f>
        <v>สีฝุ่น PR26/7178/CW3 สีดำเม็ดทราย ภายนอก</v>
      </c>
      <c r="N5131" s="14">
        <f>INSTOCK!$I5131*INSTOCK!$K5131</f>
        <v>2800</v>
      </c>
      <c r="O5131" s="4"/>
      <c r="P5131" s="4"/>
    </row>
    <row r="5132" ht="15.75" hidden="1" customHeight="1">
      <c r="B5132" s="8">
        <v>5456.0</v>
      </c>
      <c r="C5132" s="9">
        <v>43659.0</v>
      </c>
      <c r="D5132" s="6" t="s">
        <v>6160</v>
      </c>
      <c r="E5132" s="4">
        <v>6.207001051E9</v>
      </c>
      <c r="F5132" s="8" t="s">
        <v>6161</v>
      </c>
      <c r="G5132" s="4" t="s">
        <v>702</v>
      </c>
      <c r="H5132" s="10" t="s">
        <v>779</v>
      </c>
      <c r="I5132" s="10">
        <v>40.0</v>
      </c>
      <c r="J5132" s="11" t="str">
        <f>IF(D5132&lt;&gt;"",VLOOKUP(H5132,TABLEITEM,5,FALSE),"")</f>
        <v>KG.</v>
      </c>
      <c r="K5132" s="12">
        <v>130.0</v>
      </c>
      <c r="L5132" s="13" t="str">
        <f>IF(D5132&lt;&gt;"",VLOOKUP(H5132,TABLEITEM,2,FALSE),"")</f>
        <v/>
      </c>
      <c r="M5132" s="13" t="str">
        <f>IF(D5132&lt;&gt;"",VLOOKUP(H5132,TABLEITEM,3,FALSE),"")</f>
        <v>สีฝุ่น FF110/948/C สีครีม</v>
      </c>
      <c r="N5132" s="14">
        <f>INSTOCK!$I5132*INSTOCK!$K5132</f>
        <v>5200</v>
      </c>
      <c r="O5132" s="4"/>
      <c r="P5132" s="4"/>
    </row>
    <row r="5133" ht="15.75" hidden="1" customHeight="1">
      <c r="B5133" s="8">
        <v>5457.0</v>
      </c>
      <c r="C5133" s="9">
        <v>43659.0</v>
      </c>
      <c r="D5133" s="6">
        <v>39412.0</v>
      </c>
      <c r="E5133" s="4">
        <v>6.207001063E9</v>
      </c>
      <c r="F5133" s="8" t="s">
        <v>604</v>
      </c>
      <c r="G5133" s="4" t="s">
        <v>696</v>
      </c>
      <c r="H5133" s="10" t="s">
        <v>44</v>
      </c>
      <c r="I5133" s="10">
        <v>4.0</v>
      </c>
      <c r="J5133" s="11" t="str">
        <f>IF(D5133&lt;&gt;"",VLOOKUP(H5133,TABLEITEM,5,FALSE),"")</f>
        <v>ปี๊ป</v>
      </c>
      <c r="K5133" s="12">
        <v>350.0</v>
      </c>
      <c r="L5133" s="13" t="str">
        <f>IF(D5133&lt;&gt;"",VLOOKUP(H5133,TABLEITEM,2,FALSE),"")</f>
        <v/>
      </c>
      <c r="M5133" s="13" t="str">
        <f>IF(D5133&lt;&gt;"",VLOOKUP(H5133,TABLEITEM,3,FALSE),"")</f>
        <v>ทินเนอร์ AAA</v>
      </c>
      <c r="N5133" s="14">
        <f>INSTOCK!$I5133*INSTOCK!$K5133</f>
        <v>1400</v>
      </c>
      <c r="O5133" s="4"/>
      <c r="P5133" s="4"/>
    </row>
    <row r="5134" ht="15.75" hidden="1" customHeight="1">
      <c r="B5134" s="8">
        <v>5458.0</v>
      </c>
      <c r="C5134" s="9">
        <v>43658.0</v>
      </c>
      <c r="D5134" s="6">
        <v>6.20704335E8</v>
      </c>
      <c r="E5134" s="4">
        <v>6.20700106E9</v>
      </c>
      <c r="F5134" s="8" t="s">
        <v>6145</v>
      </c>
      <c r="G5134" s="4" t="s">
        <v>1130</v>
      </c>
      <c r="H5134" s="10" t="s">
        <v>1726</v>
      </c>
      <c r="I5134" s="10">
        <v>1.0</v>
      </c>
      <c r="J5134" s="11" t="str">
        <f>IF(D5134&lt;&gt;"",VLOOKUP(H5134,TABLEITEM,5,FALSE),"")</f>
        <v>EA</v>
      </c>
      <c r="K5134" s="12">
        <v>3312.4</v>
      </c>
      <c r="L5134" s="13" t="str">
        <f>IF(D5134&lt;&gt;"",VLOOKUP(H5134,TABLEITEM,2,FALSE),"")</f>
        <v/>
      </c>
      <c r="M5134" s="13" t="str">
        <f>IF(D5134&lt;&gt;"",VLOOKUP(H5134,TABLEITEM,3,FALSE),"")</f>
        <v>Power supply S8VS-06024</v>
      </c>
      <c r="N5134" s="14">
        <f>INSTOCK!$I5134*INSTOCK!$K5134</f>
        <v>3312.4</v>
      </c>
      <c r="O5134" s="4" t="s">
        <v>1727</v>
      </c>
      <c r="P5134" s="4"/>
    </row>
    <row r="5135" ht="15.75" hidden="1" customHeight="1">
      <c r="B5135" s="8">
        <v>5459.0</v>
      </c>
      <c r="C5135" s="9">
        <v>43658.0</v>
      </c>
      <c r="D5135" s="6">
        <v>6.20704388E8</v>
      </c>
      <c r="E5135" s="4">
        <v>6.207001064E9</v>
      </c>
      <c r="F5135" s="8" t="s">
        <v>604</v>
      </c>
      <c r="G5135" s="4" t="s">
        <v>1130</v>
      </c>
      <c r="H5135" s="10" t="s">
        <v>4283</v>
      </c>
      <c r="I5135" s="10">
        <v>10.0</v>
      </c>
      <c r="J5135" s="11" t="str">
        <f>IF(D5135&lt;&gt;"",VLOOKUP(H5135,TABLEITEM,5,FALSE),"")</f>
        <v>EA</v>
      </c>
      <c r="K5135" s="12">
        <v>15.84</v>
      </c>
      <c r="L5135" s="13" t="str">
        <f>IF(D5135&lt;&gt;"",VLOOKUP(H5135,TABLEITEM,2,FALSE),"")</f>
        <v/>
      </c>
      <c r="M5135" s="13" t="str">
        <f>IF(D5135&lt;&gt;"",VLOOKUP(H5135,TABLEITEM,3,FALSE),"")</f>
        <v>ฝาพลาสติก 2ช่อง WEG6803MB</v>
      </c>
      <c r="N5135" s="14">
        <f>INSTOCK!$I5135*INSTOCK!$K5135</f>
        <v>158.4</v>
      </c>
      <c r="O5135" s="4" t="s">
        <v>1493</v>
      </c>
      <c r="P5135" s="4"/>
    </row>
    <row r="5136" ht="15.75" hidden="1" customHeight="1">
      <c r="B5136" s="8">
        <v>5460.0</v>
      </c>
      <c r="C5136" s="9">
        <v>43658.0</v>
      </c>
      <c r="D5136" s="6">
        <v>6.20704388E8</v>
      </c>
      <c r="E5136" s="4">
        <v>6.207001064E9</v>
      </c>
      <c r="F5136" s="8" t="s">
        <v>604</v>
      </c>
      <c r="G5136" s="4" t="s">
        <v>1130</v>
      </c>
      <c r="H5136" s="10" t="s">
        <v>1739</v>
      </c>
      <c r="I5136" s="10">
        <v>10.0</v>
      </c>
      <c r="J5136" s="11" t="str">
        <f>IF(D5136&lt;&gt;"",VLOOKUP(H5136,TABLEITEM,5,FALSE),"")</f>
        <v>EA</v>
      </c>
      <c r="K5136" s="12">
        <v>116.64</v>
      </c>
      <c r="L5136" s="13" t="str">
        <f>IF(D5136&lt;&gt;"",VLOOKUP(H5136,TABLEITEM,2,FALSE),"")</f>
        <v/>
      </c>
      <c r="M5136" s="13" t="str">
        <f>IF(D5136&lt;&gt;"",VLOOKUP(H5136,TABLEITEM,3,FALSE),"")</f>
        <v>ปลั๊กคู่มีกราวWEG 15929 2P+G</v>
      </c>
      <c r="N5136" s="14">
        <f>INSTOCK!$I5136*INSTOCK!$K5136</f>
        <v>1166.4</v>
      </c>
      <c r="O5136" s="4" t="s">
        <v>3556</v>
      </c>
      <c r="P5136" s="4"/>
    </row>
    <row r="5137" ht="15.75" hidden="1" customHeight="1">
      <c r="B5137" s="8">
        <v>5461.0</v>
      </c>
      <c r="C5137" s="9">
        <v>43657.0</v>
      </c>
      <c r="D5137" s="6" t="s">
        <v>6162</v>
      </c>
      <c r="E5137" s="4">
        <v>6.207201038E9</v>
      </c>
      <c r="F5137" s="8" t="s">
        <v>604</v>
      </c>
      <c r="G5137" s="4" t="s">
        <v>729</v>
      </c>
      <c r="H5137" s="10" t="s">
        <v>28</v>
      </c>
      <c r="I5137" s="10">
        <v>500.0</v>
      </c>
      <c r="J5137" s="11" t="str">
        <f>IF(D5137&lt;&gt;"",VLOOKUP(H5137,TABLEITEM,5,FALSE),"")</f>
        <v>M</v>
      </c>
      <c r="K5137" s="12">
        <v>12.0</v>
      </c>
      <c r="L5137" s="13" t="str">
        <f>IF(D5137&lt;&gt;"",VLOOKUP(H5137,TABLEITEM,2,FALSE),"")</f>
        <v/>
      </c>
      <c r="M5137" s="13" t="str">
        <f>IF(D5137&lt;&gt;"",VLOOKUP(H5137,TABLEITEM,3,FALSE),"")</f>
        <v>ยางฟองน้ำ1"x1/8"</v>
      </c>
      <c r="N5137" s="14">
        <f>INSTOCK!$I5137*INSTOCK!$K5137</f>
        <v>6000</v>
      </c>
      <c r="O5137" s="4"/>
      <c r="P5137" s="4"/>
    </row>
    <row r="5138" ht="15.75" hidden="1" customHeight="1">
      <c r="B5138" s="8">
        <v>5462.0</v>
      </c>
      <c r="C5138" s="9">
        <v>43661.0</v>
      </c>
      <c r="D5138" s="6">
        <v>6.2070799E7</v>
      </c>
      <c r="E5138" s="4">
        <v>6.207001052E9</v>
      </c>
      <c r="F5138" s="8" t="s">
        <v>6163</v>
      </c>
      <c r="G5138" s="4" t="s">
        <v>711</v>
      </c>
      <c r="H5138" s="10" t="s">
        <v>105</v>
      </c>
      <c r="I5138" s="10">
        <v>20.0</v>
      </c>
      <c r="J5138" s="11" t="str">
        <f>IF(D5138&lt;&gt;"",VLOOKUP(H5138,TABLEITEM,5,FALSE),"")</f>
        <v>KG.</v>
      </c>
      <c r="K5138" s="12">
        <v>165.75</v>
      </c>
      <c r="L5138" s="13" t="str">
        <f>IF(D5138&lt;&gt;"",VLOOKUP(H5138,TABLEITEM,2,FALSE),"")</f>
        <v/>
      </c>
      <c r="M5138" s="13" t="str">
        <f>IF(D5138&lt;&gt;"",VLOOKUP(H5138,TABLEITEM,3,FALSE),"")</f>
        <v>สีฝุ่น M10001 WN</v>
      </c>
      <c r="N5138" s="14">
        <f>INSTOCK!$I5138*INSTOCK!$K5138</f>
        <v>3315</v>
      </c>
      <c r="O5138" s="4" t="s">
        <v>971</v>
      </c>
      <c r="P5138" s="4"/>
    </row>
    <row r="5139" ht="15.75" hidden="1" customHeight="1">
      <c r="B5139" s="8">
        <v>5463.0</v>
      </c>
      <c r="C5139" s="9">
        <v>43661.0</v>
      </c>
      <c r="D5139" s="6" t="s">
        <v>6164</v>
      </c>
      <c r="E5139" s="4">
        <v>6.207001065E9</v>
      </c>
      <c r="F5139" s="8" t="s">
        <v>604</v>
      </c>
      <c r="G5139" s="4" t="s">
        <v>1611</v>
      </c>
      <c r="H5139" s="10" t="s">
        <v>188</v>
      </c>
      <c r="I5139" s="10">
        <v>600.0</v>
      </c>
      <c r="J5139" s="11" t="str">
        <f>IF(D5139&lt;&gt;"",VLOOKUP(H5139,TABLEITEM,5,FALSE),"")</f>
        <v>EA</v>
      </c>
      <c r="K5139" s="12">
        <v>9.0</v>
      </c>
      <c r="L5139" s="13" t="str">
        <f>IF(D5139&lt;&gt;"",VLOOKUP(H5139,TABLEITEM,2,FALSE),"")</f>
        <v/>
      </c>
      <c r="M5139" s="13" t="str">
        <f>IF(D5139&lt;&gt;"",VLOOKUP(H5139,TABLEITEM,3,FALSE),"")</f>
        <v>TERMINAL BLOCK TX10</v>
      </c>
      <c r="N5139" s="14">
        <f>INSTOCK!$I5139*INSTOCK!$K5139</f>
        <v>5400</v>
      </c>
      <c r="O5139" s="4"/>
      <c r="P5139" s="4"/>
    </row>
    <row r="5140" ht="15.75" hidden="1" customHeight="1">
      <c r="B5140" s="8">
        <v>5464.0</v>
      </c>
      <c r="C5140" s="9">
        <v>43661.0</v>
      </c>
      <c r="D5140" s="6" t="s">
        <v>6164</v>
      </c>
      <c r="E5140" s="4">
        <v>6.207001065E9</v>
      </c>
      <c r="F5140" s="8" t="s">
        <v>604</v>
      </c>
      <c r="G5140" s="4" t="s">
        <v>1611</v>
      </c>
      <c r="H5140" s="10" t="s">
        <v>189</v>
      </c>
      <c r="I5140" s="10">
        <v>200.0</v>
      </c>
      <c r="J5140" s="11" t="str">
        <f>IF(D5140&lt;&gt;"",VLOOKUP(H5140,TABLEITEM,5,FALSE),"")</f>
        <v>EA</v>
      </c>
      <c r="K5140" s="12">
        <v>5.0</v>
      </c>
      <c r="L5140" s="13" t="str">
        <f>IF(D5140&lt;&gt;"",VLOOKUP(H5140,TABLEITEM,2,FALSE),"")</f>
        <v/>
      </c>
      <c r="M5140" s="13" t="str">
        <f>IF(D5140&lt;&gt;"",VLOOKUP(H5140,TABLEITEM,3,FALSE),"")</f>
        <v>END PLATE TXA1</v>
      </c>
      <c r="N5140" s="14">
        <f>INSTOCK!$I5140*INSTOCK!$K5140</f>
        <v>1000</v>
      </c>
      <c r="O5140" s="4"/>
      <c r="P5140" s="4"/>
    </row>
    <row r="5141" ht="15.75" hidden="1" customHeight="1">
      <c r="B5141" s="8">
        <v>5465.0</v>
      </c>
      <c r="C5141" s="9">
        <v>43661.0</v>
      </c>
      <c r="D5141" s="6" t="s">
        <v>6165</v>
      </c>
      <c r="E5141" s="4">
        <v>6.207000992E9</v>
      </c>
      <c r="F5141" s="8" t="s">
        <v>604</v>
      </c>
      <c r="G5141" s="4" t="s">
        <v>2121</v>
      </c>
      <c r="H5141" s="10" t="s">
        <v>2122</v>
      </c>
      <c r="I5141" s="10">
        <v>300.0</v>
      </c>
      <c r="J5141" s="11" t="str">
        <f>IF(D5141&lt;&gt;"",VLOOKUP(H5141,TABLEITEM,5,FALSE),"")</f>
        <v>EA</v>
      </c>
      <c r="K5141" s="12">
        <v>30.0</v>
      </c>
      <c r="L5141" s="13" t="str">
        <f>IF(D5141&lt;&gt;"",VLOOKUP(H5141,TABLEITEM,2,FALSE),"")</f>
        <v/>
      </c>
      <c r="M5141" s="13" t="str">
        <f>IF(D5141&lt;&gt;"",VLOOKUP(H5141,TABLEITEM,3,FALSE),"")</f>
        <v>ห่วงตู้ M12 ชุบขาว</v>
      </c>
      <c r="N5141" s="14">
        <f>INSTOCK!$I5141*INSTOCK!$K5141</f>
        <v>9000</v>
      </c>
      <c r="O5141" s="4"/>
      <c r="P5141" s="4"/>
    </row>
    <row r="5142" ht="15.75" hidden="1" customHeight="1">
      <c r="B5142" s="8">
        <v>5466.0</v>
      </c>
      <c r="C5142" s="9">
        <v>43658.0</v>
      </c>
      <c r="D5142" s="6" t="s">
        <v>6166</v>
      </c>
      <c r="E5142" s="4">
        <v>6.207001002E9</v>
      </c>
      <c r="F5142" s="8" t="s">
        <v>6167</v>
      </c>
      <c r="G5142" s="4" t="s">
        <v>1070</v>
      </c>
      <c r="H5142" s="10" t="s">
        <v>4132</v>
      </c>
      <c r="I5142" s="10">
        <v>1.0</v>
      </c>
      <c r="J5142" s="11" t="str">
        <f>IF(D5142&lt;&gt;"",VLOOKUP(H5142,TABLEITEM,5,FALSE),"")</f>
        <v>EA</v>
      </c>
      <c r="K5142" s="12">
        <v>1800.0</v>
      </c>
      <c r="L5142" s="13"/>
      <c r="M5142" s="13" t="str">
        <f>IF(D5142&lt;&gt;"",VLOOKUP(H5142,TABLEITEM,3,FALSE),"")</f>
        <v>REGULATOR CO2 HEATER 220V/NETWELD X600</v>
      </c>
      <c r="N5142" s="14">
        <f>INSTOCK!$I5142*INSTOCK!$K5142</f>
        <v>1800</v>
      </c>
      <c r="O5142" s="4"/>
      <c r="P5142" s="4"/>
    </row>
    <row r="5143" ht="15.75" hidden="1" customHeight="1">
      <c r="B5143" s="8">
        <v>5467.0</v>
      </c>
      <c r="C5143" s="9">
        <v>43658.0</v>
      </c>
      <c r="D5143" s="6" t="s">
        <v>6168</v>
      </c>
      <c r="E5143" s="4">
        <v>6.207001043E9</v>
      </c>
      <c r="F5143" s="8" t="s">
        <v>6169</v>
      </c>
      <c r="G5143" s="4" t="s">
        <v>1070</v>
      </c>
      <c r="H5143" s="10" t="s">
        <v>3658</v>
      </c>
      <c r="I5143" s="10">
        <v>10.0</v>
      </c>
      <c r="J5143" s="11" t="str">
        <f>IF(D5143&lt;&gt;"",VLOOKUP(H5143,TABLEITEM,5,FALSE),"")</f>
        <v>EA</v>
      </c>
      <c r="K5143" s="12">
        <v>40.0</v>
      </c>
      <c r="L5143" s="13" t="str">
        <f>IF(D5143&lt;&gt;"",VLOOKUP(H5143,TABLEITEM,2,FALSE),"")</f>
        <v/>
      </c>
      <c r="M5143" s="13" t="str">
        <f>IF(D5143&lt;&gt;"",VLOOKUP(H5143,TABLEITEM,3,FALSE),"")</f>
        <v>ORIFICE/BUFFLE.U4167G02/003002 350A</v>
      </c>
      <c r="N5143" s="14">
        <f>INSTOCK!$I5143*INSTOCK!$K5143</f>
        <v>400</v>
      </c>
      <c r="O5143" s="4"/>
      <c r="P5143" s="4"/>
    </row>
    <row r="5144" ht="15.75" hidden="1" customHeight="1">
      <c r="B5144" s="8">
        <v>5468.0</v>
      </c>
      <c r="C5144" s="9">
        <v>43658.0</v>
      </c>
      <c r="D5144" s="6" t="s">
        <v>6170</v>
      </c>
      <c r="E5144" s="4"/>
      <c r="F5144" s="8" t="s">
        <v>6171</v>
      </c>
      <c r="G5144" s="4" t="s">
        <v>3668</v>
      </c>
      <c r="H5144" s="10" t="s">
        <v>3669</v>
      </c>
      <c r="I5144" s="10">
        <v>1.0</v>
      </c>
      <c r="J5144" s="11" t="str">
        <f>IF(D5144&lt;&gt;"",VLOOKUP(H5144,TABLEITEM,5,FALSE),"")</f>
        <v>LIT</v>
      </c>
      <c r="K5144" s="12">
        <v>1300.0</v>
      </c>
      <c r="L5144" s="13" t="str">
        <f>IF(D5144&lt;&gt;"",VLOOKUP(H5144,TABLEITEM,2,FALSE),"")</f>
        <v/>
      </c>
      <c r="M5144" s="13" t="str">
        <f>IF(D5144&lt;&gt;"",VLOOKUP(H5144,TABLEITEM,3,FALSE),"")</f>
        <v>สีน้ำมัน เพนการ์ด อีนาเมล STD 136 </v>
      </c>
      <c r="N5144" s="14">
        <f>INSTOCK!$I5144*INSTOCK!$K5144</f>
        <v>1300</v>
      </c>
      <c r="O5144" s="4"/>
      <c r="P5144" s="4"/>
    </row>
    <row r="5145" ht="15.75" hidden="1" customHeight="1">
      <c r="B5145" s="8">
        <v>5469.0</v>
      </c>
      <c r="C5145" s="9">
        <v>43661.0</v>
      </c>
      <c r="D5145" s="6" t="s">
        <v>6172</v>
      </c>
      <c r="E5145" s="4">
        <v>6.207001059E9</v>
      </c>
      <c r="F5145" s="8" t="s">
        <v>6145</v>
      </c>
      <c r="G5145" s="4" t="s">
        <v>6173</v>
      </c>
      <c r="H5145" s="10" t="s">
        <v>6174</v>
      </c>
      <c r="I5145" s="10">
        <v>1.0</v>
      </c>
      <c r="J5145" s="11" t="str">
        <f>IF(D5145&lt;&gt;"",VLOOKUP(H5145,TABLEITEM,5,FALSE),"")</f>
        <v>EA</v>
      </c>
      <c r="K5145" s="12">
        <v>15840.0</v>
      </c>
      <c r="L5145" s="13" t="str">
        <f>IF(D5145&lt;&gt;"",VLOOKUP(H5145,TABLEITEM,2,FALSE),"")</f>
        <v/>
      </c>
      <c r="M5145" s="13" t="str">
        <f>IF(D5145&lt;&gt;"",VLOOKUP(H5145,TABLEITEM,3,FALSE),"")</f>
        <v>FX3U CPU MODULE 40 POINTS DC INPUT/40 POINTS RELAY OUTPUT POWER SUPPLY 220VAC</v>
      </c>
      <c r="N5145" s="14">
        <f>INSTOCK!$I5145*INSTOCK!$K5145</f>
        <v>15840</v>
      </c>
      <c r="O5145" s="4"/>
      <c r="P5145" s="4"/>
    </row>
    <row r="5146" ht="15.75" hidden="1" customHeight="1">
      <c r="B5146" s="8">
        <v>5470.0</v>
      </c>
      <c r="C5146" s="9">
        <v>43661.0</v>
      </c>
      <c r="D5146" s="6" t="s">
        <v>6172</v>
      </c>
      <c r="E5146" s="4">
        <v>6.207001059E9</v>
      </c>
      <c r="F5146" s="8" t="s">
        <v>6145</v>
      </c>
      <c r="G5146" s="4" t="s">
        <v>6173</v>
      </c>
      <c r="H5146" s="10" t="s">
        <v>6175</v>
      </c>
      <c r="I5146" s="10">
        <v>1.0</v>
      </c>
      <c r="J5146" s="11" t="str">
        <f>IF(D5146&lt;&gt;"",VLOOKUP(H5146,TABLEITEM,5,FALSE),"")</f>
        <v>EA</v>
      </c>
      <c r="K5146" s="12">
        <v>20546.44</v>
      </c>
      <c r="L5146" s="13" t="str">
        <f>IF(D5146&lt;&gt;"",VLOOKUP(H5146,TABLEITEM,2,FALSE),"")</f>
        <v/>
      </c>
      <c r="M5146" s="13" t="str">
        <f>IF(D5146&lt;&gt;"",VLOOKUP(H5146,TABLEITEM,3,FALSE),"")</f>
        <v>GOT 2000 GT25,5.7 VGA TET POWER SUPPLY 24VDC</v>
      </c>
      <c r="N5146" s="14">
        <f>INSTOCK!$I5146*INSTOCK!$K5146</f>
        <v>20546.44</v>
      </c>
      <c r="O5146" s="4"/>
      <c r="P5146" s="4"/>
    </row>
    <row r="5147" ht="15.75" hidden="1" customHeight="1">
      <c r="B5147" s="8">
        <v>5471.0</v>
      </c>
      <c r="C5147" s="9">
        <v>43658.0</v>
      </c>
      <c r="D5147" s="6" t="s">
        <v>6176</v>
      </c>
      <c r="E5147" s="4">
        <v>6.20700105E9</v>
      </c>
      <c r="F5147" s="8" t="s">
        <v>4388</v>
      </c>
      <c r="G5147" s="4" t="s">
        <v>2014</v>
      </c>
      <c r="H5147" s="10" t="s">
        <v>6177</v>
      </c>
      <c r="I5147" s="10">
        <v>5.0</v>
      </c>
      <c r="J5147" s="11" t="str">
        <f>IF(D5147&lt;&gt;"",VLOOKUP(H5147,TABLEITEM,5,FALSE),"")</f>
        <v>EA</v>
      </c>
      <c r="K5147" s="12">
        <v>271.03</v>
      </c>
      <c r="L5147" s="13" t="str">
        <f>IF(D5147&lt;&gt;"",VLOOKUP(H5147,TABLEITEM,2,FALSE),"")</f>
        <v/>
      </c>
      <c r="M5147" s="13" t="str">
        <f>IF(D5147&lt;&gt;"",VLOOKUP(H5147,TABLEITEM,3,FALSE),"")</f>
        <v>เม้าท์ออฟติคัล สีดำ M100R</v>
      </c>
      <c r="N5147" s="14">
        <f>INSTOCK!$I5147*INSTOCK!$K5147</f>
        <v>1355.15</v>
      </c>
      <c r="O5147" s="4"/>
      <c r="P5147" s="4"/>
    </row>
    <row r="5148" ht="15.75" hidden="1" customHeight="1">
      <c r="B5148" s="8">
        <v>5472.0</v>
      </c>
      <c r="C5148" s="9">
        <v>43658.0</v>
      </c>
      <c r="D5148" s="6" t="s">
        <v>6176</v>
      </c>
      <c r="E5148" s="4">
        <v>6.20700105E9</v>
      </c>
      <c r="F5148" s="8" t="s">
        <v>4388</v>
      </c>
      <c r="G5148" s="4" t="s">
        <v>2014</v>
      </c>
      <c r="H5148" s="10" t="s">
        <v>6178</v>
      </c>
      <c r="I5148" s="10">
        <v>2.0</v>
      </c>
      <c r="J5148" s="11" t="str">
        <f>IF(D5148&lt;&gt;"",VLOOKUP(H5148,TABLEITEM,5,FALSE),"")</f>
        <v>EA</v>
      </c>
      <c r="K5148" s="12">
        <v>551.4</v>
      </c>
      <c r="L5148" s="13" t="str">
        <f>IF(D5148&lt;&gt;"",VLOOKUP(H5148,TABLEITEM,2,FALSE),"")</f>
        <v/>
      </c>
      <c r="M5148" s="13" t="str">
        <f>IF(D5148&lt;&gt;"",VLOOKUP(H5148,TABLEITEM,3,FALSE),"")</f>
        <v>ปลั๊กไฟ มอก. 5ช่อง ยาว 3เมตร H605</v>
      </c>
      <c r="N5148" s="14">
        <f>INSTOCK!$I5148*INSTOCK!$K5148</f>
        <v>1102.8</v>
      </c>
      <c r="O5148" s="4"/>
      <c r="P5148" s="4"/>
    </row>
    <row r="5149" ht="15.75" hidden="1" customHeight="1">
      <c r="B5149" s="8">
        <v>5473.0</v>
      </c>
      <c r="C5149" s="9">
        <v>43658.0</v>
      </c>
      <c r="D5149" s="6" t="s">
        <v>6176</v>
      </c>
      <c r="E5149" s="4">
        <v>6.20700105E9</v>
      </c>
      <c r="F5149" s="8" t="s">
        <v>4388</v>
      </c>
      <c r="G5149" s="4" t="s">
        <v>2014</v>
      </c>
      <c r="H5149" s="10" t="s">
        <v>6179</v>
      </c>
      <c r="I5149" s="10">
        <v>1.0</v>
      </c>
      <c r="J5149" s="11" t="str">
        <f>IF(D5149&lt;&gt;"",VLOOKUP(H5149,TABLEITEM,5,FALSE),"")</f>
        <v>EA</v>
      </c>
      <c r="K5149" s="12">
        <v>607.48</v>
      </c>
      <c r="L5149" s="13" t="str">
        <f>IF(D5149&lt;&gt;"",VLOOKUP(H5149,TABLEITEM,2,FALSE),"")</f>
        <v/>
      </c>
      <c r="M5149" s="13" t="str">
        <f>IF(D5149&lt;&gt;"",VLOOKUP(H5149,TABLEITEM,3,FALSE),"")</f>
        <v>ปลั๊กไฟ มอก +USB 4ช่อง ยาว 3 เมตร H624</v>
      </c>
      <c r="N5149" s="14">
        <f>INSTOCK!$I5149*INSTOCK!$K5149</f>
        <v>607.48</v>
      </c>
      <c r="O5149" s="4"/>
      <c r="P5149" s="4"/>
    </row>
    <row r="5150" ht="15.75" hidden="1" customHeight="1">
      <c r="B5150" s="8">
        <v>5474.0</v>
      </c>
      <c r="C5150" s="9">
        <v>43658.0</v>
      </c>
      <c r="D5150" s="6">
        <v>2.410432537E9</v>
      </c>
      <c r="E5150" s="4">
        <v>6.207001047E9</v>
      </c>
      <c r="F5150" s="8" t="s">
        <v>5938</v>
      </c>
      <c r="G5150" s="4" t="s">
        <v>6180</v>
      </c>
      <c r="H5150" s="10" t="s">
        <v>6181</v>
      </c>
      <c r="I5150" s="10">
        <v>1.0</v>
      </c>
      <c r="J5150" s="11" t="str">
        <f>IF(D5150&lt;&gt;"",VLOOKUP(H5150,TABLEITEM,5,FALSE),"")</f>
        <v>EA</v>
      </c>
      <c r="K5150" s="12">
        <v>5672.9</v>
      </c>
      <c r="L5150" s="13" t="str">
        <f>IF(D5150&lt;&gt;"",VLOOKUP(H5150,TABLEITEM,2,FALSE),"")</f>
        <v/>
      </c>
      <c r="M5150" s="13" t="str">
        <f>IF(D5150&lt;&gt;"",VLOOKUP(H5150,TABLEITEM,3,FALSE),"")</f>
        <v>ปั้มลมออยฟรี OFS5502-50 1.5HP 2หัว 50L</v>
      </c>
      <c r="N5150" s="14">
        <f>INSTOCK!$I5150*INSTOCK!$K5150</f>
        <v>5672.9</v>
      </c>
      <c r="O5150" s="4"/>
      <c r="P5150" s="4"/>
    </row>
    <row r="5151" ht="15.75" hidden="1" customHeight="1">
      <c r="B5151" s="8">
        <v>5475.0</v>
      </c>
      <c r="C5151" s="9">
        <v>43658.0</v>
      </c>
      <c r="D5151" s="6">
        <v>2.410432537E9</v>
      </c>
      <c r="E5151" s="4">
        <v>6.207001047E9</v>
      </c>
      <c r="F5151" s="8" t="s">
        <v>5938</v>
      </c>
      <c r="G5151" s="4" t="s">
        <v>6180</v>
      </c>
      <c r="H5151" s="10" t="s">
        <v>6182</v>
      </c>
      <c r="I5151" s="10">
        <v>1.0</v>
      </c>
      <c r="J5151" s="11" t="str">
        <f>IF(D5151&lt;&gt;"",VLOOKUP(H5151,TABLEITEM,5,FALSE),"")</f>
        <v>EA</v>
      </c>
      <c r="K5151" s="12">
        <v>2682.24</v>
      </c>
      <c r="L5151" s="13" t="str">
        <f>IF(D5151&lt;&gt;"",VLOOKUP(H5151,TABLEITEM,2,FALSE),"")</f>
        <v/>
      </c>
      <c r="M5151" s="13" t="str">
        <f>IF(D5151&lt;&gt;"",VLOOKUP(H5151,TABLEITEM,3,FALSE),"")</f>
        <v>พัดลมดูดเป่า 8" SHT-20</v>
      </c>
      <c r="N5151" s="14">
        <f>INSTOCK!$I5151*INSTOCK!$K5151</f>
        <v>2682.24</v>
      </c>
      <c r="O5151" s="4"/>
      <c r="P5151" s="4"/>
    </row>
    <row r="5152" ht="15.75" hidden="1" customHeight="1">
      <c r="B5152" s="8">
        <v>5476.0</v>
      </c>
      <c r="C5152" s="9">
        <v>43658.0</v>
      </c>
      <c r="D5152" s="6">
        <v>2.410432537E9</v>
      </c>
      <c r="E5152" s="4">
        <v>6.207001047E9</v>
      </c>
      <c r="F5152" s="8" t="s">
        <v>5938</v>
      </c>
      <c r="G5152" s="4" t="s">
        <v>6180</v>
      </c>
      <c r="H5152" s="10" t="s">
        <v>6183</v>
      </c>
      <c r="I5152" s="10">
        <v>1.0</v>
      </c>
      <c r="J5152" s="11" t="str">
        <f>IF(D5152&lt;&gt;"",VLOOKUP(H5152,TABLEITEM,5,FALSE),"")</f>
        <v>EA</v>
      </c>
      <c r="K5152" s="12">
        <v>1018.69</v>
      </c>
      <c r="L5152" s="13" t="str">
        <f>IF(D5152&lt;&gt;"",VLOOKUP(H5152,TABLEITEM,2,FALSE),"")</f>
        <v/>
      </c>
      <c r="M5152" s="13" t="str">
        <f>IF(D5152&lt;&gt;"",VLOOKUP(H5152,TABLEITEM,3,FALSE),"")</f>
        <v>ท่อลม สำหรับ SHT-20 ขนาด 8" 5MM</v>
      </c>
      <c r="N5152" s="14">
        <f>INSTOCK!$I5152*INSTOCK!$K5152</f>
        <v>1018.69</v>
      </c>
      <c r="O5152" s="4"/>
      <c r="P5152" s="4"/>
    </row>
    <row r="5153" ht="15.75" hidden="1" customHeight="1">
      <c r="B5153" s="8">
        <v>5477.0</v>
      </c>
      <c r="C5153" s="9">
        <v>43659.0</v>
      </c>
      <c r="D5153" s="6" t="s">
        <v>6184</v>
      </c>
      <c r="E5153" s="4">
        <v>6.207001061E9</v>
      </c>
      <c r="F5153" s="8" t="s">
        <v>6185</v>
      </c>
      <c r="G5153" s="4" t="s">
        <v>1587</v>
      </c>
      <c r="H5153" s="10" t="s">
        <v>2272</v>
      </c>
      <c r="I5153" s="10">
        <v>3.0</v>
      </c>
      <c r="J5153" s="11" t="str">
        <f>IF(D5153&lt;&gt;"",VLOOKUP(H5153,TABLEITEM,5,FALSE),"")</f>
        <v>EA</v>
      </c>
      <c r="K5153" s="12">
        <v>310.0</v>
      </c>
      <c r="L5153" s="13" t="str">
        <f>IF(D5153&lt;&gt;"",VLOOKUP(H5153,TABLEITEM,2,FALSE),"")</f>
        <v/>
      </c>
      <c r="M5153" s="13" t="str">
        <f>IF(D5153&lt;&gt;"",VLOOKUP(H5153,TABLEITEM,3,FALSE),"")</f>
        <v>โอเวอร์โหลด TH-T18 2.1A</v>
      </c>
      <c r="N5153" s="14">
        <f>INSTOCK!$I5153*INSTOCK!$K5153</f>
        <v>930</v>
      </c>
      <c r="O5153" s="4" t="s">
        <v>2273</v>
      </c>
      <c r="P5153" s="4"/>
    </row>
    <row r="5154" ht="15.75" hidden="1" customHeight="1">
      <c r="B5154" s="8">
        <v>5478.0</v>
      </c>
      <c r="C5154" s="9">
        <v>43659.0</v>
      </c>
      <c r="D5154" s="6" t="s">
        <v>6184</v>
      </c>
      <c r="E5154" s="4">
        <v>6.207001061E9</v>
      </c>
      <c r="F5154" s="8" t="s">
        <v>6185</v>
      </c>
      <c r="G5154" s="4" t="s">
        <v>1587</v>
      </c>
      <c r="H5154" s="10" t="s">
        <v>6186</v>
      </c>
      <c r="I5154" s="10">
        <v>1.0</v>
      </c>
      <c r="J5154" s="11" t="str">
        <f>IF(D5154&lt;&gt;"",VLOOKUP(H5154,TABLEITEM,5,FALSE),"")</f>
        <v>EA</v>
      </c>
      <c r="K5154" s="12">
        <v>310.0</v>
      </c>
      <c r="L5154" s="13" t="str">
        <f>IF(D5154&lt;&gt;"",VLOOKUP(H5154,TABLEITEM,2,FALSE),"")</f>
        <v/>
      </c>
      <c r="M5154" s="13" t="str">
        <f>IF(D5154&lt;&gt;"",VLOOKUP(H5154,TABLEITEM,3,FALSE),"")</f>
        <v>โอเวอร์โหลด TH-T18 5A</v>
      </c>
      <c r="N5154" s="14">
        <f>INSTOCK!$I5154*INSTOCK!$K5154</f>
        <v>310</v>
      </c>
      <c r="O5154" s="4" t="s">
        <v>2273</v>
      </c>
      <c r="P5154" s="4"/>
    </row>
    <row r="5155" ht="15.75" hidden="1" customHeight="1">
      <c r="B5155" s="8">
        <v>5479.0</v>
      </c>
      <c r="C5155" s="9">
        <v>43659.0</v>
      </c>
      <c r="D5155" s="6" t="s">
        <v>6184</v>
      </c>
      <c r="E5155" s="4">
        <v>6.207001061E9</v>
      </c>
      <c r="F5155" s="8" t="s">
        <v>6185</v>
      </c>
      <c r="G5155" s="4" t="s">
        <v>1587</v>
      </c>
      <c r="H5155" s="10" t="s">
        <v>6187</v>
      </c>
      <c r="I5155" s="10">
        <v>1.0</v>
      </c>
      <c r="J5155" s="11" t="str">
        <f>IF(D5155&lt;&gt;"",VLOOKUP(H5155,TABLEITEM,5,FALSE),"")</f>
        <v>EA</v>
      </c>
      <c r="K5155" s="12">
        <v>310.0</v>
      </c>
      <c r="L5155" s="13" t="str">
        <f>IF(D5155&lt;&gt;"",VLOOKUP(H5155,TABLEITEM,2,FALSE),"")</f>
        <v/>
      </c>
      <c r="M5155" s="13" t="str">
        <f>IF(D5155&lt;&gt;"",VLOOKUP(H5155,TABLEITEM,3,FALSE),"")</f>
        <v>โอเวอร์โหลด TH-T18 1.3A</v>
      </c>
      <c r="N5155" s="14">
        <f>INSTOCK!$I5155*INSTOCK!$K5155</f>
        <v>310</v>
      </c>
      <c r="O5155" s="4" t="s">
        <v>2273</v>
      </c>
      <c r="P5155" s="4"/>
    </row>
    <row r="5156" ht="15.75" hidden="1" customHeight="1">
      <c r="B5156" s="8">
        <v>5480.0</v>
      </c>
      <c r="C5156" s="9">
        <v>43659.0</v>
      </c>
      <c r="D5156" s="6" t="s">
        <v>6184</v>
      </c>
      <c r="E5156" s="4">
        <v>6.207001061E9</v>
      </c>
      <c r="F5156" s="8" t="s">
        <v>6185</v>
      </c>
      <c r="G5156" s="4" t="s">
        <v>1587</v>
      </c>
      <c r="H5156" s="10" t="s">
        <v>6188</v>
      </c>
      <c r="I5156" s="10">
        <v>1.0</v>
      </c>
      <c r="J5156" s="11" t="str">
        <f>IF(D5156&lt;&gt;"",VLOOKUP(H5156,TABLEITEM,5,FALSE),"")</f>
        <v>EA</v>
      </c>
      <c r="K5156" s="12">
        <v>525.0</v>
      </c>
      <c r="L5156" s="13" t="str">
        <f>IF(D5156&lt;&gt;"",VLOOKUP(H5156,TABLEITEM,2,FALSE),"")</f>
        <v/>
      </c>
      <c r="M5156" s="13" t="str">
        <f>IF(D5156&lt;&gt;"",VLOOKUP(H5156,TABLEITEM,3,FALSE),"")</f>
        <v>เบรกเกอร์ NF30-CS 3P 30A</v>
      </c>
      <c r="N5156" s="14">
        <f>INSTOCK!$I5156*INSTOCK!$K5156</f>
        <v>525</v>
      </c>
      <c r="O5156" s="4" t="s">
        <v>6189</v>
      </c>
      <c r="P5156" s="4"/>
    </row>
    <row r="5157" ht="15.75" hidden="1" customHeight="1">
      <c r="B5157" s="8">
        <v>5481.0</v>
      </c>
      <c r="C5157" s="9">
        <v>43659.0</v>
      </c>
      <c r="D5157" s="6" t="s">
        <v>6184</v>
      </c>
      <c r="E5157" s="4">
        <v>6.207001061E9</v>
      </c>
      <c r="F5157" s="8" t="s">
        <v>6185</v>
      </c>
      <c r="G5157" s="4" t="s">
        <v>1587</v>
      </c>
      <c r="H5157" s="10" t="s">
        <v>6190</v>
      </c>
      <c r="I5157" s="10">
        <v>4.0</v>
      </c>
      <c r="J5157" s="11" t="str">
        <f>IF(D5157&lt;&gt;"",VLOOKUP(H5157,TABLEITEM,5,FALSE),"")</f>
        <v>EA</v>
      </c>
      <c r="K5157" s="12">
        <v>525.0</v>
      </c>
      <c r="L5157" s="13" t="str">
        <f>IF(D5157&lt;&gt;"",VLOOKUP(H5157,TABLEITEM,2,FALSE),"")</f>
        <v/>
      </c>
      <c r="M5157" s="13" t="str">
        <f>IF(D5157&lt;&gt;"",VLOOKUP(H5157,TABLEITEM,3,FALSE),"")</f>
        <v>เบรกเกอร์ NF30-CS 3P 20A</v>
      </c>
      <c r="N5157" s="14">
        <f>INSTOCK!$I5157*INSTOCK!$K5157</f>
        <v>2100</v>
      </c>
      <c r="O5157" s="4" t="s">
        <v>6189</v>
      </c>
      <c r="P5157" s="4"/>
    </row>
    <row r="5158" ht="15.75" hidden="1" customHeight="1">
      <c r="B5158" s="8">
        <v>5482.0</v>
      </c>
      <c r="C5158" s="9">
        <v>43659.0</v>
      </c>
      <c r="D5158" s="6" t="s">
        <v>6184</v>
      </c>
      <c r="E5158" s="4">
        <v>6.207001061E9</v>
      </c>
      <c r="F5158" s="8" t="s">
        <v>6185</v>
      </c>
      <c r="G5158" s="4" t="s">
        <v>1587</v>
      </c>
      <c r="H5158" s="10" t="s">
        <v>6191</v>
      </c>
      <c r="I5158" s="10">
        <v>1.0</v>
      </c>
      <c r="J5158" s="11" t="str">
        <f>IF(D5158&lt;&gt;"",VLOOKUP(H5158,TABLEITEM,5,FALSE),"")</f>
        <v>EA</v>
      </c>
      <c r="K5158" s="12">
        <v>1111.5</v>
      </c>
      <c r="L5158" s="13" t="str">
        <f>IF(D5158&lt;&gt;"",VLOOKUP(H5158,TABLEITEM,2,FALSE),"")</f>
        <v/>
      </c>
      <c r="M5158" s="13" t="str">
        <f>IF(D5158&lt;&gt;"",VLOOKUP(H5158,TABLEITEM,3,FALSE),"")</f>
        <v>เซอร์กิตโปรเทคเตอร์ CP30-BA 1P 5A</v>
      </c>
      <c r="N5158" s="14">
        <f>INSTOCK!$I5158*INSTOCK!$K5158</f>
        <v>1111.5</v>
      </c>
      <c r="O5158" s="4" t="s">
        <v>6192</v>
      </c>
      <c r="P5158" s="4"/>
    </row>
    <row r="5159" ht="15.75" hidden="1" customHeight="1">
      <c r="B5159" s="8">
        <v>5483.0</v>
      </c>
      <c r="C5159" s="9">
        <v>43659.0</v>
      </c>
      <c r="D5159" s="6" t="s">
        <v>6184</v>
      </c>
      <c r="E5159" s="4">
        <v>6.207001061E9</v>
      </c>
      <c r="F5159" s="8" t="s">
        <v>6185</v>
      </c>
      <c r="G5159" s="4" t="s">
        <v>1587</v>
      </c>
      <c r="H5159" s="10" t="s">
        <v>6193</v>
      </c>
      <c r="I5159" s="10">
        <v>3.0</v>
      </c>
      <c r="J5159" s="11" t="str">
        <f>IF(D5159&lt;&gt;"",VLOOKUP(H5159,TABLEITEM,5,FALSE),"")</f>
        <v>EA</v>
      </c>
      <c r="K5159" s="12">
        <v>1111.5</v>
      </c>
      <c r="L5159" s="13" t="str">
        <f>IF(D5159&lt;&gt;"",VLOOKUP(H5159,TABLEITEM,2,FALSE),"")</f>
        <v/>
      </c>
      <c r="M5159" s="13" t="str">
        <f>IF(D5159&lt;&gt;"",VLOOKUP(H5159,TABLEITEM,3,FALSE),"")</f>
        <v>เซอร์กิตโปรเทคเตอร์ CP30-BA 1P 3A</v>
      </c>
      <c r="N5159" s="14">
        <f>INSTOCK!$I5159*INSTOCK!$K5159</f>
        <v>3334.5</v>
      </c>
      <c r="O5159" s="4" t="s">
        <v>6192</v>
      </c>
      <c r="P5159" s="4"/>
    </row>
    <row r="5160" ht="15.75" hidden="1" customHeight="1">
      <c r="B5160" s="8">
        <v>5484.0</v>
      </c>
      <c r="C5160" s="9">
        <v>43659.0</v>
      </c>
      <c r="D5160" s="6" t="s">
        <v>6194</v>
      </c>
      <c r="E5160" s="4">
        <v>6.207001054E9</v>
      </c>
      <c r="F5160" s="8" t="s">
        <v>6145</v>
      </c>
      <c r="G5160" s="4" t="s">
        <v>1904</v>
      </c>
      <c r="H5160" s="10" t="s">
        <v>6195</v>
      </c>
      <c r="I5160" s="10">
        <v>2.0</v>
      </c>
      <c r="J5160" s="11" t="str">
        <f>IF(D5160&lt;&gt;"",VLOOKUP(H5160,TABLEITEM,5,FALSE),"")</f>
        <v>EA</v>
      </c>
      <c r="K5160" s="12">
        <v>275.0</v>
      </c>
      <c r="L5160" s="13" t="str">
        <f>IF(D5160&lt;&gt;"",VLOOKUP(H5160,TABLEITEM,2,FALSE),"")</f>
        <v/>
      </c>
      <c r="M5160" s="13" t="str">
        <f>IF(D5160&lt;&gt;"",VLOOKUP(H5160,TABLEITEM,3,FALSE),"")</f>
        <v>Pilotlight DR30DOL-M4 R</v>
      </c>
      <c r="N5160" s="14">
        <f>INSTOCK!$I5160*INSTOCK!$K5160</f>
        <v>550</v>
      </c>
      <c r="O5160" s="4"/>
      <c r="P5160" s="4"/>
    </row>
    <row r="5161" ht="15.75" hidden="1" customHeight="1">
      <c r="B5161" s="8">
        <v>5485.0</v>
      </c>
      <c r="C5161" s="9">
        <v>43659.0</v>
      </c>
      <c r="D5161" s="6" t="s">
        <v>6194</v>
      </c>
      <c r="E5161" s="4">
        <v>6.207001054E9</v>
      </c>
      <c r="F5161" s="8" t="s">
        <v>6145</v>
      </c>
      <c r="G5161" s="4" t="s">
        <v>1904</v>
      </c>
      <c r="H5161" s="10" t="s">
        <v>6196</v>
      </c>
      <c r="I5161" s="10">
        <v>1.0</v>
      </c>
      <c r="J5161" s="11" t="str">
        <f>IF(D5161&lt;&gt;"",VLOOKUP(H5161,TABLEITEM,5,FALSE),"")</f>
        <v>EA</v>
      </c>
      <c r="K5161" s="12">
        <v>275.0</v>
      </c>
      <c r="L5161" s="13" t="str">
        <f>IF(D5161&lt;&gt;"",VLOOKUP(H5161,TABLEITEM,2,FALSE),"")</f>
        <v/>
      </c>
      <c r="M5161" s="13" t="str">
        <f>IF(D5161&lt;&gt;"",VLOOKUP(H5161,TABLEITEM,3,FALSE),"")</f>
        <v>Pilotlight DR30DOL-M4 Y</v>
      </c>
      <c r="N5161" s="14">
        <f>INSTOCK!$I5161*INSTOCK!$K5161</f>
        <v>275</v>
      </c>
      <c r="O5161" s="4"/>
      <c r="P5161" s="4"/>
    </row>
    <row r="5162" ht="15.75" hidden="1" customHeight="1">
      <c r="B5162" s="8">
        <v>5486.0</v>
      </c>
      <c r="C5162" s="9">
        <v>43659.0</v>
      </c>
      <c r="D5162" s="6" t="s">
        <v>6194</v>
      </c>
      <c r="E5162" s="4">
        <v>6.207001054E9</v>
      </c>
      <c r="F5162" s="8" t="s">
        <v>6145</v>
      </c>
      <c r="G5162" s="4" t="s">
        <v>1904</v>
      </c>
      <c r="H5162" s="10" t="s">
        <v>6197</v>
      </c>
      <c r="I5162" s="10">
        <v>2.0</v>
      </c>
      <c r="J5162" s="11" t="str">
        <f>IF(D5162&lt;&gt;"",VLOOKUP(H5162,TABLEITEM,5,FALSE),"")</f>
        <v>EA</v>
      </c>
      <c r="K5162" s="12">
        <v>165.0</v>
      </c>
      <c r="L5162" s="13" t="str">
        <f>IF(D5162&lt;&gt;"",VLOOKUP(H5162,TABLEITEM,2,FALSE),"")</f>
        <v/>
      </c>
      <c r="M5162" s="13" t="str">
        <f>IF(D5162&lt;&gt;"",VLOOKUP(H5162,TABLEITEM,3,FALSE),"")</f>
        <v>Pushbutton AR30-FOR 10 G</v>
      </c>
      <c r="N5162" s="14">
        <f>INSTOCK!$I5162*INSTOCK!$K5162</f>
        <v>330</v>
      </c>
      <c r="O5162" s="4"/>
      <c r="P5162" s="4"/>
    </row>
    <row r="5163" ht="15.75" hidden="1" customHeight="1">
      <c r="B5163" s="8">
        <v>5487.0</v>
      </c>
      <c r="C5163" s="9">
        <v>43659.0</v>
      </c>
      <c r="D5163" s="6" t="s">
        <v>6194</v>
      </c>
      <c r="E5163" s="4">
        <v>6.207001054E9</v>
      </c>
      <c r="F5163" s="8" t="s">
        <v>6145</v>
      </c>
      <c r="G5163" s="4" t="s">
        <v>1904</v>
      </c>
      <c r="H5163" s="10" t="s">
        <v>6198</v>
      </c>
      <c r="I5163" s="10">
        <v>2.0</v>
      </c>
      <c r="J5163" s="11" t="str">
        <f>IF(D5163&lt;&gt;"",VLOOKUP(H5163,TABLEITEM,5,FALSE),"")</f>
        <v>EA</v>
      </c>
      <c r="K5163" s="12">
        <v>165.0</v>
      </c>
      <c r="L5163" s="13" t="str">
        <f>IF(D5163&lt;&gt;"",VLOOKUP(H5163,TABLEITEM,2,FALSE),"")</f>
        <v/>
      </c>
      <c r="M5163" s="13" t="str">
        <f>IF(D5163&lt;&gt;"",VLOOKUP(H5163,TABLEITEM,3,FALSE),"")</f>
        <v>Pushbutton AR30-FOR 10 W</v>
      </c>
      <c r="N5163" s="14">
        <f>INSTOCK!$I5163*INSTOCK!$K5163</f>
        <v>330</v>
      </c>
      <c r="O5163" s="4"/>
      <c r="P5163" s="4"/>
    </row>
    <row r="5164" ht="15.75" hidden="1" customHeight="1">
      <c r="B5164" s="8">
        <v>5488.0</v>
      </c>
      <c r="C5164" s="9">
        <v>43659.0</v>
      </c>
      <c r="D5164" s="6" t="s">
        <v>6194</v>
      </c>
      <c r="E5164" s="4">
        <v>6.207001054E9</v>
      </c>
      <c r="F5164" s="8" t="s">
        <v>6145</v>
      </c>
      <c r="G5164" s="4" t="s">
        <v>1904</v>
      </c>
      <c r="H5164" s="10" t="s">
        <v>6199</v>
      </c>
      <c r="I5164" s="10">
        <v>2.0</v>
      </c>
      <c r="J5164" s="11" t="str">
        <f>IF(D5164&lt;&gt;"",VLOOKUP(H5164,TABLEITEM,5,FALSE),"")</f>
        <v>EA</v>
      </c>
      <c r="K5164" s="12">
        <v>535.0</v>
      </c>
      <c r="L5164" s="13" t="str">
        <f>IF(D5164&lt;&gt;"",VLOOKUP(H5164,TABLEITEM,2,FALSE),"")</f>
        <v/>
      </c>
      <c r="M5164" s="13" t="str">
        <f>IF(D5164&lt;&gt;"",VLOOKUP(H5164,TABLEITEM,3,FALSE),"")</f>
        <v>Pushbutton AE30V2R-01 R</v>
      </c>
      <c r="N5164" s="14">
        <f>INSTOCK!$I5164*INSTOCK!$K5164</f>
        <v>1070</v>
      </c>
      <c r="O5164" s="4"/>
      <c r="P5164" s="4"/>
    </row>
    <row r="5165" ht="15.75" hidden="1" customHeight="1">
      <c r="B5165" s="8">
        <v>5489.0</v>
      </c>
      <c r="C5165" s="9">
        <v>43665.0</v>
      </c>
      <c r="D5165" s="6" t="s">
        <v>6200</v>
      </c>
      <c r="E5165" s="4">
        <v>6.207001082E9</v>
      </c>
      <c r="F5165" s="8" t="s">
        <v>807</v>
      </c>
      <c r="G5165" s="4" t="s">
        <v>808</v>
      </c>
      <c r="H5165" s="10" t="s">
        <v>809</v>
      </c>
      <c r="I5165" s="10">
        <v>1.0</v>
      </c>
      <c r="J5165" s="11" t="str">
        <f>IF(D5165&lt;&gt;"",VLOOKUP(H5165,TABLEITEM,5,FALSE),"")</f>
        <v>ท่อ</v>
      </c>
      <c r="K5165" s="12">
        <v>2700.0</v>
      </c>
      <c r="L5165" s="13" t="str">
        <f>IF(D5165&lt;&gt;"",VLOOKUP(H5165,TABLEITEM,2,FALSE),"")</f>
        <v/>
      </c>
      <c r="M5165" s="13" t="str">
        <f>IF(D5165&lt;&gt;"",VLOOKUP(H5165,TABLEITEM,3,FALSE),"")</f>
        <v>ไนโตรเจนเหลว ขนาด 100คิว</v>
      </c>
      <c r="N5165" s="14">
        <f>INSTOCK!$I5165*INSTOCK!$K5165</f>
        <v>2700</v>
      </c>
      <c r="O5165" s="4"/>
      <c r="P5165" s="4"/>
    </row>
    <row r="5166" ht="15.75" hidden="1" customHeight="1">
      <c r="B5166" s="8">
        <v>5490.0</v>
      </c>
      <c r="C5166" s="9">
        <v>43665.0</v>
      </c>
      <c r="D5166" s="6" t="s">
        <v>6201</v>
      </c>
      <c r="E5166" s="4">
        <v>6.207001085E9</v>
      </c>
      <c r="F5166" s="8" t="s">
        <v>6202</v>
      </c>
      <c r="G5166" s="4" t="s">
        <v>1596</v>
      </c>
      <c r="H5166" s="10" t="s">
        <v>6203</v>
      </c>
      <c r="I5166" s="10">
        <v>1.0</v>
      </c>
      <c r="J5166" s="11" t="str">
        <f>IF(D5166&lt;&gt;"",VLOOKUP(H5166,TABLEITEM,5,FALSE),"")</f>
        <v>EA</v>
      </c>
      <c r="K5166" s="12">
        <v>1176.0</v>
      </c>
      <c r="L5166" s="13" t="str">
        <f>IF(D5166&lt;&gt;"",VLOOKUP(H5166,TABLEITEM,2,FALSE),"")</f>
        <v/>
      </c>
      <c r="M5166" s="13" t="str">
        <f>IF(D5166&lt;&gt;"",VLOOKUP(H5166,TABLEITEM,3,FALSE),"")</f>
        <v>MCCB A1A125 TMF 30A 3P</v>
      </c>
      <c r="N5166" s="14">
        <f>INSTOCK!$I5166*INSTOCK!$K5166</f>
        <v>1176</v>
      </c>
      <c r="O5166" s="4" t="s">
        <v>6204</v>
      </c>
      <c r="P5166" s="4"/>
    </row>
    <row r="5167" ht="15.75" hidden="1" customHeight="1">
      <c r="B5167" s="8">
        <v>5491.0</v>
      </c>
      <c r="C5167" s="9">
        <v>43665.0</v>
      </c>
      <c r="D5167" s="6" t="s">
        <v>6201</v>
      </c>
      <c r="E5167" s="4">
        <v>6.207001085E9</v>
      </c>
      <c r="F5167" s="8" t="s">
        <v>6202</v>
      </c>
      <c r="G5167" s="4" t="s">
        <v>1596</v>
      </c>
      <c r="H5167" s="10" t="s">
        <v>2241</v>
      </c>
      <c r="I5167" s="10">
        <v>4.0</v>
      </c>
      <c r="J5167" s="11" t="str">
        <f>IF(D5167&lt;&gt;"",VLOOKUP(H5167,TABLEITEM,5,FALSE),"")</f>
        <v>EA</v>
      </c>
      <c r="K5167" s="12">
        <v>300.3</v>
      </c>
      <c r="L5167" s="13" t="str">
        <f>IF(D5167&lt;&gt;"",VLOOKUP(H5167,TABLEITEM,2,FALSE),"")</f>
        <v/>
      </c>
      <c r="M5167" s="13" t="str">
        <f>IF(D5167&lt;&gt;"",VLOOKUP(H5167,TABLEITEM,3,FALSE),"")</f>
        <v>MCB 2P 10A 10KA</v>
      </c>
      <c r="N5167" s="14">
        <f>INSTOCK!$I5167*INSTOCK!$K5167</f>
        <v>1201.2</v>
      </c>
      <c r="O5167" s="4" t="s">
        <v>6079</v>
      </c>
      <c r="P5167" s="4"/>
    </row>
    <row r="5168" ht="15.75" hidden="1" customHeight="1">
      <c r="B5168" s="8">
        <v>5492.0</v>
      </c>
      <c r="C5168" s="9">
        <v>43665.0</v>
      </c>
      <c r="D5168" s="6" t="s">
        <v>6201</v>
      </c>
      <c r="E5168" s="4">
        <v>6.207001085E9</v>
      </c>
      <c r="F5168" s="8" t="s">
        <v>6202</v>
      </c>
      <c r="G5168" s="4" t="s">
        <v>1596</v>
      </c>
      <c r="H5168" s="10" t="s">
        <v>4304</v>
      </c>
      <c r="I5168" s="10">
        <v>3.0</v>
      </c>
      <c r="J5168" s="11" t="str">
        <f>IF(D5168&lt;&gt;"",VLOOKUP(H5168,TABLEITEM,5,FALSE),"")</f>
        <v>EA</v>
      </c>
      <c r="K5168" s="12">
        <v>300.3</v>
      </c>
      <c r="L5168" s="13" t="str">
        <f>IF(D5168&lt;&gt;"",VLOOKUP(H5168,TABLEITEM,2,FALSE),"")</f>
        <v/>
      </c>
      <c r="M5168" s="13" t="str">
        <f>IF(D5168&lt;&gt;"",VLOOKUP(H5168,TABLEITEM,3,FALSE),"")</f>
        <v>MCB S202M-C6 2P C6</v>
      </c>
      <c r="N5168" s="14">
        <f>INSTOCK!$I5168*INSTOCK!$K5168</f>
        <v>900.9</v>
      </c>
      <c r="O5168" s="4" t="s">
        <v>6079</v>
      </c>
      <c r="P5168" s="4"/>
    </row>
    <row r="5169" ht="15.75" hidden="1" customHeight="1">
      <c r="B5169" s="8">
        <v>5493.0</v>
      </c>
      <c r="C5169" s="9">
        <v>43663.0</v>
      </c>
      <c r="D5169" s="6">
        <v>6.20705077E8</v>
      </c>
      <c r="E5169" s="4">
        <v>6.207001053E9</v>
      </c>
      <c r="F5169" s="8" t="s">
        <v>6205</v>
      </c>
      <c r="G5169" s="4" t="s">
        <v>1130</v>
      </c>
      <c r="H5169" s="18" t="s">
        <v>4424</v>
      </c>
      <c r="I5169" s="10">
        <v>3.0</v>
      </c>
      <c r="J5169" s="11" t="str">
        <f>IF(D5169&lt;&gt;"",VLOOKUP(H5169,TABLEITEM,5,FALSE),"")</f>
        <v>EA</v>
      </c>
      <c r="K5169" s="12">
        <v>300.0</v>
      </c>
      <c r="L5169" s="13" t="str">
        <f>IF(D5169&lt;&gt;"",VLOOKUP(H5169,TABLEITEM,2,FALSE),"")</f>
        <v/>
      </c>
      <c r="M5169" s="13" t="str">
        <f>IF(D5169&lt;&gt;"",VLOOKUP(H5169,TABLEITEM,3,FALSE),"")</f>
        <v>พัดลมดูดอากาศ 4.5" WB123A-2LG+ตะแกรง G120</v>
      </c>
      <c r="N5169" s="14">
        <f>INSTOCK!$I5169*INSTOCK!$K5169</f>
        <v>900</v>
      </c>
      <c r="O5169" s="4" t="s">
        <v>6206</v>
      </c>
      <c r="P5169" s="4"/>
    </row>
    <row r="5170" ht="15.75" hidden="1" customHeight="1">
      <c r="B5170" s="8">
        <v>5494.0</v>
      </c>
      <c r="C5170" s="9">
        <v>43663.0</v>
      </c>
      <c r="D5170" s="6" t="s">
        <v>6207</v>
      </c>
      <c r="E5170" s="4">
        <v>6.207001003E9</v>
      </c>
      <c r="F5170" s="8" t="s">
        <v>604</v>
      </c>
      <c r="G5170" s="4" t="s">
        <v>1777</v>
      </c>
      <c r="H5170" s="10" t="s">
        <v>2228</v>
      </c>
      <c r="I5170" s="10">
        <v>2000.0</v>
      </c>
      <c r="J5170" s="11" t="str">
        <f>IF(D5170&lt;&gt;"",VLOOKUP(H5170,TABLEITEM,5,FALSE),"")</f>
        <v>EA</v>
      </c>
      <c r="K5170" s="12">
        <v>0.132</v>
      </c>
      <c r="L5170" s="13" t="str">
        <f>IF(D5170&lt;&gt;"",VLOOKUP(H5170,TABLEITEM,2,FALSE),"")</f>
        <v/>
      </c>
      <c r="M5170" s="13" t="str">
        <f>IF(D5170&lt;&gt;"",VLOOKUP(H5170,TABLEITEM,3,FALSE),"")</f>
        <v>หัวน้อต       M5   ชุบขาว</v>
      </c>
      <c r="N5170" s="14">
        <f>INSTOCK!$I5170*INSTOCK!$K5170</f>
        <v>264</v>
      </c>
      <c r="O5170" s="4" t="s">
        <v>3627</v>
      </c>
      <c r="P5170" s="4"/>
    </row>
    <row r="5171" ht="15.75" hidden="1" customHeight="1">
      <c r="B5171" s="8">
        <v>5495.0</v>
      </c>
      <c r="C5171" s="9">
        <v>43661.0</v>
      </c>
      <c r="D5171" s="6" t="s">
        <v>6208</v>
      </c>
      <c r="E5171" s="4">
        <v>6.20700101E9</v>
      </c>
      <c r="F5171" s="8" t="s">
        <v>604</v>
      </c>
      <c r="G5171" s="4" t="s">
        <v>1777</v>
      </c>
      <c r="H5171" s="10" t="s">
        <v>6209</v>
      </c>
      <c r="I5171" s="10">
        <v>300.0</v>
      </c>
      <c r="J5171" s="11" t="str">
        <f>IF(D5171&lt;&gt;"",VLOOKUP(H5171,TABLEITEM,5,FALSE),"")</f>
        <v>EA</v>
      </c>
      <c r="K5171" s="12">
        <v>5.4</v>
      </c>
      <c r="L5171" s="13" t="str">
        <f>IF(D5171&lt;&gt;"",VLOOKUP(H5171,TABLEITEM,2,FALSE),"")</f>
        <v/>
      </c>
      <c r="M5171" s="13" t="str">
        <f>IF(D5171&lt;&gt;"",VLOOKUP(H5171,TABLEITEM,3,FALSE),"")</f>
        <v>สกรูหัวเหลี่ยมชุบรุ้ง M12x80</v>
      </c>
      <c r="N5171" s="14">
        <f>INSTOCK!$I5171*INSTOCK!$K5171</f>
        <v>1620</v>
      </c>
      <c r="O5171" s="4" t="s">
        <v>6210</v>
      </c>
      <c r="P5171" s="4"/>
    </row>
    <row r="5172" ht="15.75" hidden="1" customHeight="1">
      <c r="B5172" s="8">
        <v>5496.0</v>
      </c>
      <c r="C5172" s="9">
        <v>43665.0</v>
      </c>
      <c r="D5172" s="6" t="s">
        <v>6211</v>
      </c>
      <c r="E5172" s="4">
        <v>6.207001086E9</v>
      </c>
      <c r="F5172" s="8" t="s">
        <v>6202</v>
      </c>
      <c r="G5172" s="4" t="s">
        <v>5932</v>
      </c>
      <c r="H5172" s="10" t="s">
        <v>5933</v>
      </c>
      <c r="I5172" s="10">
        <v>1.0</v>
      </c>
      <c r="J5172" s="11" t="str">
        <f>IF(D5172&lt;&gt;"",VLOOKUP(H5172,TABLEITEM,5,FALSE),"")</f>
        <v>EA</v>
      </c>
      <c r="K5172" s="12">
        <v>90.0</v>
      </c>
      <c r="L5172" s="13" t="str">
        <f>IF(D5172&lt;&gt;"",VLOOKUP(H5172,TABLEITEM,2,FALSE),"")</f>
        <v/>
      </c>
      <c r="M5172" s="13" t="str">
        <f>IF(D5172&lt;&gt;"",VLOOKUP(H5172,TABLEITEM,3,FALSE),"")</f>
        <v>Univerasal Outlet NUO 250V</v>
      </c>
      <c r="N5172" s="14">
        <f>INSTOCK!$I5172*INSTOCK!$K5172</f>
        <v>90</v>
      </c>
      <c r="O5172" s="8" t="s">
        <v>5934</v>
      </c>
      <c r="P5172" s="4"/>
    </row>
    <row r="5173" ht="15.75" hidden="1" customHeight="1">
      <c r="B5173" s="8">
        <v>5497.0</v>
      </c>
      <c r="C5173" s="9">
        <v>43664.0</v>
      </c>
      <c r="D5173" s="6" t="s">
        <v>6212</v>
      </c>
      <c r="E5173" s="4">
        <v>6.207001045E9</v>
      </c>
      <c r="F5173" s="8" t="s">
        <v>6213</v>
      </c>
      <c r="G5173" s="4" t="s">
        <v>2162</v>
      </c>
      <c r="H5173" s="18" t="s">
        <v>6152</v>
      </c>
      <c r="I5173" s="10">
        <v>2.0</v>
      </c>
      <c r="J5173" s="11" t="str">
        <f>IF(D5173&lt;&gt;"",VLOOKUP(H5173,TABLEITEM,5,FALSE),"")</f>
        <v>EA</v>
      </c>
      <c r="K5173" s="12">
        <v>440.0</v>
      </c>
      <c r="L5173" s="13" t="str">
        <f>IF(D5173&lt;&gt;"",VLOOKUP(H5173,TABLEITEM,2,FALSE),"")</f>
        <v/>
      </c>
      <c r="M5173" s="13" t="str">
        <f>IF(D5173&lt;&gt;"",VLOOKUP(H5173,TABLEITEM,3,FALSE),"")</f>
        <v>ล้อยูริเทน 3" หน้ายาง 32มิล โครงเชื่อมล้อเป็นมีเบรค</v>
      </c>
      <c r="N5173" s="14">
        <f>INSTOCK!$I5173*INSTOCK!$K5173</f>
        <v>880</v>
      </c>
      <c r="O5173" s="4"/>
      <c r="P5173" s="4"/>
    </row>
    <row r="5174" ht="15.75" hidden="1" customHeight="1">
      <c r="B5174" s="8">
        <v>5498.0</v>
      </c>
      <c r="C5174" s="9">
        <v>43664.0</v>
      </c>
      <c r="D5174" s="6" t="s">
        <v>6212</v>
      </c>
      <c r="E5174" s="4">
        <v>6.207001045E9</v>
      </c>
      <c r="F5174" s="8" t="s">
        <v>6213</v>
      </c>
      <c r="G5174" s="4" t="s">
        <v>2162</v>
      </c>
      <c r="H5174" s="18" t="s">
        <v>5844</v>
      </c>
      <c r="I5174" s="10">
        <v>2.0</v>
      </c>
      <c r="J5174" s="11" t="str">
        <f>IF(D5174&lt;&gt;"",VLOOKUP(H5174,TABLEITEM,5,FALSE),"")</f>
        <v>EA</v>
      </c>
      <c r="K5174" s="12">
        <v>275.0</v>
      </c>
      <c r="L5174" s="13" t="str">
        <f>IF(D5174&lt;&gt;"",VLOOKUP(H5174,TABLEITEM,2,FALSE),"")</f>
        <v/>
      </c>
      <c r="M5174" s="13" t="str">
        <f>IF(D5174&lt;&gt;"",VLOOKUP(H5174,TABLEITEM,3,FALSE),"")</f>
        <v>ล้อยูริเทน 3" หน้ายาง 32มิล โครงเชื่อมล้อตาย</v>
      </c>
      <c r="N5174" s="14">
        <f>INSTOCK!$I5174*INSTOCK!$K5174</f>
        <v>550</v>
      </c>
      <c r="O5174" s="4"/>
      <c r="P5174" s="4"/>
    </row>
    <row r="5175" ht="15.75" hidden="1" customHeight="1">
      <c r="B5175" s="8">
        <v>5499.0</v>
      </c>
      <c r="C5175" s="9">
        <v>43664.0</v>
      </c>
      <c r="D5175" s="6">
        <v>6.2075502E7</v>
      </c>
      <c r="E5175" s="4">
        <v>6.207001083E9</v>
      </c>
      <c r="F5175" s="8" t="s">
        <v>6145</v>
      </c>
      <c r="G5175" s="4" t="s">
        <v>1130</v>
      </c>
      <c r="H5175" s="10" t="s">
        <v>6214</v>
      </c>
      <c r="I5175" s="10">
        <v>3.0</v>
      </c>
      <c r="J5175" s="11" t="str">
        <f>IF(D5175&lt;&gt;"",VLOOKUP(H5175,TABLEITEM,5,FALSE),"")</f>
        <v>EA</v>
      </c>
      <c r="K5175" s="12">
        <v>213.75</v>
      </c>
      <c r="L5175" s="13" t="str">
        <f>IF(D5175&lt;&gt;"",VLOOKUP(H5175,TABLEITEM,2,FALSE),"")</f>
        <v/>
      </c>
      <c r="M5175" s="13" t="str">
        <f>IF(D5175&lt;&gt;"",VLOOKUP(H5175,TABLEITEM,3,FALSE),"")</f>
        <v>ท่อ IMC 3/4"</v>
      </c>
      <c r="N5175" s="14">
        <f>INSTOCK!$I5175*INSTOCK!$K5175</f>
        <v>641.25</v>
      </c>
      <c r="O5175" s="4" t="s">
        <v>6215</v>
      </c>
      <c r="P5175" s="4"/>
    </row>
    <row r="5176" ht="15.75" hidden="1" customHeight="1">
      <c r="B5176" s="8">
        <v>5500.0</v>
      </c>
      <c r="C5176" s="9">
        <v>43664.0</v>
      </c>
      <c r="D5176" s="6">
        <v>6.2075502E7</v>
      </c>
      <c r="E5176" s="4">
        <v>6.207001083E9</v>
      </c>
      <c r="F5176" s="8" t="s">
        <v>6145</v>
      </c>
      <c r="G5176" s="4" t="s">
        <v>1130</v>
      </c>
      <c r="H5176" s="18" t="s">
        <v>6216</v>
      </c>
      <c r="I5176" s="10">
        <v>4.0</v>
      </c>
      <c r="J5176" s="11" t="str">
        <f>IF(D5176&lt;&gt;"",VLOOKUP(H5176,TABLEITEM,5,FALSE),"")</f>
        <v>EA</v>
      </c>
      <c r="K5176" s="12">
        <v>10.83</v>
      </c>
      <c r="L5176" s="13" t="str">
        <f>IF(D5176&lt;&gt;"",VLOOKUP(H5176,TABLEITEM,2,FALSE),"")</f>
        <v/>
      </c>
      <c r="M5176" s="13" t="str">
        <f>IF(D5176&lt;&gt;"",VLOOKUP(H5176,TABLEITEM,3,FALSE),"")</f>
        <v>ข้อต่อหนา IMC 3/4"</v>
      </c>
      <c r="N5176" s="14">
        <f>INSTOCK!$I5176*INSTOCK!$K5176</f>
        <v>43.32</v>
      </c>
      <c r="O5176" s="4" t="s">
        <v>6217</v>
      </c>
      <c r="P5176" s="4"/>
    </row>
    <row r="5177" ht="15.75" hidden="1" customHeight="1">
      <c r="B5177" s="8">
        <v>5501.0</v>
      </c>
      <c r="C5177" s="9">
        <v>43665.0</v>
      </c>
      <c r="D5177" s="6">
        <v>6207342.0</v>
      </c>
      <c r="E5177" s="4">
        <v>6.207001056E9</v>
      </c>
      <c r="F5177" s="8" t="s">
        <v>6145</v>
      </c>
      <c r="G5177" s="4" t="s">
        <v>5049</v>
      </c>
      <c r="H5177" s="10" t="s">
        <v>6218</v>
      </c>
      <c r="I5177" s="10">
        <v>1.0</v>
      </c>
      <c r="J5177" s="11" t="str">
        <f>IF(D5177&lt;&gt;"",VLOOKUP(H5177,TABLEITEM,5,FALSE),"")</f>
        <v>EA</v>
      </c>
      <c r="K5177" s="12">
        <v>2800.0</v>
      </c>
      <c r="L5177" s="13" t="str">
        <f>IF(D5177&lt;&gt;"",VLOOKUP(H5177,TABLEITEM,2,FALSE),"")</f>
        <v/>
      </c>
      <c r="M5177" s="13" t="str">
        <f>IF(D5177&lt;&gt;"",VLOOKUP(H5177,TABLEITEM,3,FALSE),"")</f>
        <v>หม้อแปลง 1PH SW.XFMR 380V 50Hz/200-220V 500VA TR-0876</v>
      </c>
      <c r="N5177" s="14">
        <f>INSTOCK!$I5177*INSTOCK!$K5177</f>
        <v>2800</v>
      </c>
      <c r="O5177" s="4"/>
      <c r="P5177" s="4"/>
    </row>
    <row r="5178" ht="15.75" hidden="1" customHeight="1">
      <c r="B5178" s="8">
        <v>5502.0</v>
      </c>
      <c r="C5178" s="9">
        <v>43664.0</v>
      </c>
      <c r="D5178" s="6" t="s">
        <v>6219</v>
      </c>
      <c r="E5178" s="4">
        <v>6.207001079E9</v>
      </c>
      <c r="F5178" s="8" t="s">
        <v>1989</v>
      </c>
      <c r="G5178" s="4" t="s">
        <v>2014</v>
      </c>
      <c r="H5178" s="10" t="s">
        <v>6220</v>
      </c>
      <c r="I5178" s="10">
        <v>5.0</v>
      </c>
      <c r="J5178" s="11" t="str">
        <f>IF(D5178&lt;&gt;"",VLOOKUP(H5178,TABLEITEM,5,FALSE),"")</f>
        <v>EA</v>
      </c>
      <c r="K5178" s="12">
        <v>23.36</v>
      </c>
      <c r="L5178" s="13" t="str">
        <f>IF(D5178&lt;&gt;"",VLOOKUP(H5178,TABLEITEM,2,FALSE),"")</f>
        <v/>
      </c>
      <c r="M5178" s="13" t="str">
        <f>IF(D5178&lt;&gt;"",VLOOKUP(H5178,TABLEITEM,3,FALSE),"")</f>
        <v>ปากกาเน้นข้อความสีเหลือง H111</v>
      </c>
      <c r="N5178" s="14">
        <f>INSTOCK!$I5178*INSTOCK!$K5178</f>
        <v>116.8</v>
      </c>
      <c r="O5178" s="4"/>
      <c r="P5178" s="4"/>
    </row>
    <row r="5179" ht="15.75" hidden="1" customHeight="1">
      <c r="B5179" s="8">
        <v>5503.0</v>
      </c>
      <c r="C5179" s="9">
        <v>43664.0</v>
      </c>
      <c r="D5179" s="6" t="s">
        <v>6219</v>
      </c>
      <c r="E5179" s="4">
        <v>6.207001079E9</v>
      </c>
      <c r="F5179" s="8" t="s">
        <v>1989</v>
      </c>
      <c r="G5179" s="4" t="s">
        <v>2014</v>
      </c>
      <c r="H5179" s="10" t="s">
        <v>6221</v>
      </c>
      <c r="I5179" s="10">
        <v>5.0</v>
      </c>
      <c r="J5179" s="11" t="str">
        <f>IF(D5179&lt;&gt;"",VLOOKUP(H5179,TABLEITEM,5,FALSE),"")</f>
        <v>EA</v>
      </c>
      <c r="K5179" s="12">
        <v>23.36</v>
      </c>
      <c r="L5179" s="13" t="str">
        <f>IF(D5179&lt;&gt;"",VLOOKUP(H5179,TABLEITEM,2,FALSE),"")</f>
        <v/>
      </c>
      <c r="M5179" s="13" t="str">
        <f>IF(D5179&lt;&gt;"",VLOOKUP(H5179,TABLEITEM,3,FALSE),"")</f>
        <v>ปากกาเน้นข้อความสีชมพู H111</v>
      </c>
      <c r="N5179" s="14">
        <f>INSTOCK!$I5179*INSTOCK!$K5179</f>
        <v>116.8</v>
      </c>
      <c r="O5179" s="4"/>
      <c r="P5179" s="4"/>
    </row>
    <row r="5180" ht="15.75" hidden="1" customHeight="1">
      <c r="B5180" s="8">
        <v>5504.0</v>
      </c>
      <c r="C5180" s="9">
        <v>43664.0</v>
      </c>
      <c r="D5180" s="6" t="s">
        <v>6219</v>
      </c>
      <c r="E5180" s="4">
        <v>6.207001079E9</v>
      </c>
      <c r="F5180" s="8" t="s">
        <v>1989</v>
      </c>
      <c r="G5180" s="4" t="s">
        <v>2014</v>
      </c>
      <c r="H5180" s="10" t="s">
        <v>4374</v>
      </c>
      <c r="I5180" s="10">
        <v>2.0</v>
      </c>
      <c r="J5180" s="11" t="str">
        <f>IF(D5180&lt;&gt;"",VLOOKUP(H5180,TABLEITEM,5,FALSE),"")</f>
        <v>EA</v>
      </c>
      <c r="K5180" s="12">
        <v>114.95</v>
      </c>
      <c r="L5180" s="13" t="str">
        <f>IF(D5180&lt;&gt;"",VLOOKUP(H5180,TABLEITEM,2,FALSE),"")</f>
        <v/>
      </c>
      <c r="M5180" s="13" t="str">
        <f>IF(D5180&lt;&gt;"",VLOOKUP(H5180,TABLEITEM,3,FALSE),"")</f>
        <v>เทปใสแกน 1" 3/4"x36 หลา (แพ็ค6ม้วน)</v>
      </c>
      <c r="N5180" s="14">
        <f>INSTOCK!$I5180*INSTOCK!$K5180</f>
        <v>229.9</v>
      </c>
      <c r="O5180" s="4"/>
      <c r="P5180" s="4"/>
    </row>
    <row r="5181" ht="15.75" hidden="1" customHeight="1">
      <c r="B5181" s="8">
        <v>5505.0</v>
      </c>
      <c r="C5181" s="9">
        <v>43664.0</v>
      </c>
      <c r="D5181" s="6" t="s">
        <v>6219</v>
      </c>
      <c r="E5181" s="4">
        <v>6.207001079E9</v>
      </c>
      <c r="F5181" s="8" t="s">
        <v>1989</v>
      </c>
      <c r="G5181" s="4" t="s">
        <v>2014</v>
      </c>
      <c r="H5181" s="10" t="s">
        <v>6222</v>
      </c>
      <c r="I5181" s="10">
        <v>1.0</v>
      </c>
      <c r="J5181" s="11" t="str">
        <f>IF(D5181&lt;&gt;"",VLOOKUP(H5181,TABLEITEM,5,FALSE),"")</f>
        <v>EA</v>
      </c>
      <c r="K5181" s="12">
        <v>37.38</v>
      </c>
      <c r="L5181" s="13" t="str">
        <f>IF(D5181&lt;&gt;"",VLOOKUP(H5181,TABLEITEM,2,FALSE),"")</f>
        <v/>
      </c>
      <c r="M5181" s="13" t="str">
        <f>IF(D5181&lt;&gt;"",VLOOKUP(H5181,TABLEITEM,3,FALSE),"")</f>
        <v>หมุดปักแผนที่(กล่อง100ชิ้น)E510</v>
      </c>
      <c r="N5181" s="14">
        <f>INSTOCK!$I5181*INSTOCK!$K5181</f>
        <v>37.38</v>
      </c>
      <c r="O5181" s="4"/>
      <c r="P5181" s="4"/>
    </row>
    <row r="5182" ht="15.75" hidden="1" customHeight="1">
      <c r="B5182" s="8">
        <v>5506.0</v>
      </c>
      <c r="C5182" s="9">
        <v>43664.0</v>
      </c>
      <c r="D5182" s="6" t="s">
        <v>6219</v>
      </c>
      <c r="E5182" s="4">
        <v>6.207001079E9</v>
      </c>
      <c r="F5182" s="8" t="s">
        <v>1989</v>
      </c>
      <c r="G5182" s="4" t="s">
        <v>2014</v>
      </c>
      <c r="H5182" s="10" t="s">
        <v>5375</v>
      </c>
      <c r="I5182" s="10">
        <v>5.0</v>
      </c>
      <c r="J5182" s="11" t="str">
        <f>IF(D5182&lt;&gt;"",VLOOKUP(H5182,TABLEITEM,5,FALSE),"")</f>
        <v>EA</v>
      </c>
      <c r="K5182" s="12">
        <v>37.38</v>
      </c>
      <c r="L5182" s="13" t="str">
        <f>IF(D5182&lt;&gt;"",VLOOKUP(H5182,TABLEITEM,2,FALSE),"")</f>
        <v/>
      </c>
      <c r="M5182" s="13" t="str">
        <f>IF(D5182&lt;&gt;"",VLOOKUP(H5182,TABLEITEM,3,FALSE),"")</f>
        <v>แผ่นพลาสติกทำปก A4 ใส (20แผ่น) ONE</v>
      </c>
      <c r="N5182" s="14">
        <f>INSTOCK!$I5182*INSTOCK!$K5182</f>
        <v>186.9</v>
      </c>
      <c r="O5182" s="4"/>
      <c r="P5182" s="4"/>
    </row>
    <row r="5183" ht="15.75" hidden="1" customHeight="1">
      <c r="B5183" s="8">
        <v>5507.0</v>
      </c>
      <c r="C5183" s="9">
        <v>43649.0</v>
      </c>
      <c r="D5183" s="6" t="s">
        <v>6223</v>
      </c>
      <c r="E5183" s="4">
        <v>6.205000845E9</v>
      </c>
      <c r="F5183" s="8" t="s">
        <v>604</v>
      </c>
      <c r="G5183" s="4" t="s">
        <v>583</v>
      </c>
      <c r="H5183" s="10" t="s">
        <v>599</v>
      </c>
      <c r="I5183" s="10">
        <v>4500.0</v>
      </c>
      <c r="J5183" s="11" t="str">
        <f>IF(D5183&lt;&gt;"",VLOOKUP(H5183,TABLEITEM,5,FALSE),"")</f>
        <v>EA</v>
      </c>
      <c r="K5183" s="12">
        <v>13.0</v>
      </c>
      <c r="L5183" s="13" t="str">
        <f>IF(D5183&lt;&gt;"",VLOOKUP(H5183,TABLEITEM,2,FALSE),"")</f>
        <v>Support</v>
      </c>
      <c r="M5183" s="13" t="str">
        <f>IF(D5183&lt;&gt;"",VLOOKUP(H5183,TABLEITEM,3,FALSE),"")</f>
        <v>ลูกถ้วย D35 M8</v>
      </c>
      <c r="N5183" s="14">
        <f>INSTOCK!$I5183*INSTOCK!$K5183</f>
        <v>58500</v>
      </c>
      <c r="O5183" s="4" t="s">
        <v>6224</v>
      </c>
      <c r="P5183" s="4"/>
    </row>
    <row r="5184" ht="15.75" hidden="1" customHeight="1">
      <c r="B5184" s="8">
        <v>5508.0</v>
      </c>
      <c r="C5184" s="9">
        <v>43649.0</v>
      </c>
      <c r="D5184" s="6" t="s">
        <v>6223</v>
      </c>
      <c r="E5184" s="4">
        <v>6.205000845E9</v>
      </c>
      <c r="F5184" s="8" t="s">
        <v>604</v>
      </c>
      <c r="G5184" s="4" t="s">
        <v>583</v>
      </c>
      <c r="H5184" s="10" t="s">
        <v>590</v>
      </c>
      <c r="I5184" s="10">
        <v>400.0</v>
      </c>
      <c r="J5184" s="11" t="str">
        <f>IF(D5184&lt;&gt;"",VLOOKUP(H5184,TABLEITEM,5,FALSE),"")</f>
        <v>EA</v>
      </c>
      <c r="K5184" s="12">
        <v>188.5</v>
      </c>
      <c r="L5184" s="13" t="str">
        <f>IF(D5184&lt;&gt;"",VLOOKUP(H5184,TABLEITEM,2,FALSE),"")</f>
        <v>Support</v>
      </c>
      <c r="M5184" s="13" t="str">
        <f>IF(D5184&lt;&gt;"",VLOOKUP(H5184,TABLEITEM,3,FALSE),"")</f>
        <v>SUPPORT VFM D11 2040 270</v>
      </c>
      <c r="N5184" s="14">
        <f>INSTOCK!$I5184*INSTOCK!$K5184</f>
        <v>75400</v>
      </c>
      <c r="O5184" s="4" t="s">
        <v>589</v>
      </c>
      <c r="P5184" s="4"/>
    </row>
    <row r="5185" ht="15.75" hidden="1" customHeight="1">
      <c r="B5185" s="8">
        <v>5509.0</v>
      </c>
      <c r="C5185" s="9">
        <v>43649.0</v>
      </c>
      <c r="D5185" s="6" t="s">
        <v>6223</v>
      </c>
      <c r="E5185" s="4">
        <v>6.205000845E9</v>
      </c>
      <c r="F5185" s="8" t="s">
        <v>604</v>
      </c>
      <c r="G5185" s="4" t="s">
        <v>583</v>
      </c>
      <c r="H5185" s="10" t="s">
        <v>584</v>
      </c>
      <c r="I5185" s="10">
        <v>500.0</v>
      </c>
      <c r="J5185" s="11" t="str">
        <f>IF(D5185&lt;&gt;"",VLOOKUP(H5185,TABLEITEM,5,FALSE),"")</f>
        <v>EA</v>
      </c>
      <c r="K5185" s="12">
        <v>113.75</v>
      </c>
      <c r="L5185" s="13" t="str">
        <f>IF(D5185&lt;&gt;"",VLOOKUP(H5185,TABLEITEM,2,FALSE),"")</f>
        <v>Support</v>
      </c>
      <c r="M5185" s="13" t="str">
        <f>IF(D5185&lt;&gt;"",VLOOKUP(H5185,TABLEITEM,3,FALSE),"")</f>
        <v>SUPPORT VFM S7 2030 180</v>
      </c>
      <c r="N5185" s="14">
        <f>INSTOCK!$I5185*INSTOCK!$K5185</f>
        <v>56875</v>
      </c>
      <c r="O5185" s="4" t="s">
        <v>585</v>
      </c>
      <c r="P5185" s="4"/>
    </row>
    <row r="5186" ht="15.75" hidden="1" customHeight="1">
      <c r="B5186" s="8">
        <v>5510.0</v>
      </c>
      <c r="C5186" s="9">
        <v>43649.0</v>
      </c>
      <c r="D5186" s="6" t="s">
        <v>6223</v>
      </c>
      <c r="E5186" s="4">
        <v>6.205000845E9</v>
      </c>
      <c r="F5186" s="8" t="s">
        <v>604</v>
      </c>
      <c r="G5186" s="4" t="s">
        <v>583</v>
      </c>
      <c r="H5186" s="10" t="s">
        <v>600</v>
      </c>
      <c r="I5186" s="10">
        <v>2000.0</v>
      </c>
      <c r="J5186" s="11" t="str">
        <f>IF(D5186&lt;&gt;"",VLOOKUP(H5186,TABLEITEM,5,FALSE),"")</f>
        <v>EA</v>
      </c>
      <c r="K5186" s="12">
        <v>26.0</v>
      </c>
      <c r="L5186" s="13" t="str">
        <f>IF(D5186&lt;&gt;"",VLOOKUP(H5186,TABLEITEM,2,FALSE),"")</f>
        <v>Support</v>
      </c>
      <c r="M5186" s="13" t="str">
        <f>IF(D5186&lt;&gt;"",VLOOKUP(H5186,TABLEITEM,3,FALSE),"")</f>
        <v>ลูกถ้วย D51 M8</v>
      </c>
      <c r="N5186" s="14">
        <f>INSTOCK!$I5186*INSTOCK!$K5186</f>
        <v>52000</v>
      </c>
      <c r="O5186" s="4" t="s">
        <v>6225</v>
      </c>
      <c r="P5186" s="4"/>
    </row>
    <row r="5187" ht="15.75" hidden="1" customHeight="1">
      <c r="B5187" s="8">
        <v>5511.0</v>
      </c>
      <c r="C5187" s="9">
        <v>43649.0</v>
      </c>
      <c r="D5187" s="6" t="s">
        <v>6223</v>
      </c>
      <c r="E5187" s="4">
        <v>6.205000845E9</v>
      </c>
      <c r="F5187" s="8" t="s">
        <v>604</v>
      </c>
      <c r="G5187" s="4" t="s">
        <v>583</v>
      </c>
      <c r="H5187" s="10" t="s">
        <v>2346</v>
      </c>
      <c r="I5187" s="10">
        <v>50.0</v>
      </c>
      <c r="J5187" s="11" t="str">
        <f>IF(D5187&lt;&gt;"",VLOOKUP(H5187,TABLEITEM,5,FALSE),"")</f>
        <v>EA</v>
      </c>
      <c r="K5187" s="12">
        <v>178.75</v>
      </c>
      <c r="L5187" s="13" t="str">
        <f>IF(D5187&lt;&gt;"",VLOOKUP(H5187,TABLEITEM,2,FALSE),"")</f>
        <v>Support</v>
      </c>
      <c r="M5187" s="13" t="str">
        <f>IF(D5187&lt;&gt;"",VLOOKUP(H5187,TABLEITEM,3,FALSE),"")</f>
        <v>FLATBAR 9x12x2340MM.</v>
      </c>
      <c r="N5187" s="14">
        <f>INSTOCK!$I5187*INSTOCK!$K5187</f>
        <v>8937.5</v>
      </c>
      <c r="O5187" s="4" t="s">
        <v>6226</v>
      </c>
      <c r="P5187" s="4"/>
    </row>
    <row r="5188" ht="15.75" hidden="1" customHeight="1">
      <c r="B5188" s="8">
        <v>5512.0</v>
      </c>
      <c r="C5188" s="9">
        <v>43649.0</v>
      </c>
      <c r="D5188" s="6" t="s">
        <v>6223</v>
      </c>
      <c r="E5188" s="4">
        <v>6.205000845E9</v>
      </c>
      <c r="F5188" s="8" t="s">
        <v>604</v>
      </c>
      <c r="G5188" s="4" t="s">
        <v>583</v>
      </c>
      <c r="H5188" s="10" t="s">
        <v>2344</v>
      </c>
      <c r="I5188" s="10">
        <v>200.0</v>
      </c>
      <c r="J5188" s="11" t="str">
        <f>IF(D5188&lt;&gt;"",VLOOKUP(H5188,TABLEITEM,5,FALSE),"")</f>
        <v>EA</v>
      </c>
      <c r="K5188" s="12">
        <v>162.5</v>
      </c>
      <c r="L5188" s="13" t="str">
        <f>IF(D5188&lt;&gt;"",VLOOKUP(H5188,TABLEITEM,2,FALSE),"")</f>
        <v>Support</v>
      </c>
      <c r="M5188" s="13" t="str">
        <f>IF(D5188&lt;&gt;"",VLOOKUP(H5188,TABLEITEM,3,FALSE),"")</f>
        <v>INSULATOR TUBE 8.1x13.5x1829m</v>
      </c>
      <c r="N5188" s="14">
        <f>INSTOCK!$I5188*INSTOCK!$K5188</f>
        <v>32500</v>
      </c>
      <c r="O5188" s="4" t="s">
        <v>2345</v>
      </c>
      <c r="P5188" s="4"/>
    </row>
    <row r="5189" ht="15.75" hidden="1" customHeight="1">
      <c r="B5189" s="8">
        <v>5513.0</v>
      </c>
      <c r="C5189" s="9">
        <v>43664.0</v>
      </c>
      <c r="D5189" s="6">
        <v>6.2070942E7</v>
      </c>
      <c r="E5189" s="4">
        <v>6.207001071E9</v>
      </c>
      <c r="F5189" s="8" t="s">
        <v>6085</v>
      </c>
      <c r="G5189" s="4" t="s">
        <v>711</v>
      </c>
      <c r="H5189" s="10" t="s">
        <v>790</v>
      </c>
      <c r="I5189" s="10">
        <v>20.0</v>
      </c>
      <c r="J5189" s="11" t="str">
        <f>IF(D5189&lt;&gt;"",VLOOKUP(H5189,TABLEITEM,5,FALSE),"")</f>
        <v>KG.</v>
      </c>
      <c r="K5189" s="12">
        <v>161.5</v>
      </c>
      <c r="L5189" s="13" t="str">
        <f>IF(D5189&lt;&gt;"",VLOOKUP(H5189,TABLEITEM,2,FALSE),"")</f>
        <v/>
      </c>
      <c r="M5189" s="13" t="str">
        <f>IF(D5189&lt;&gt;"",VLOOKUP(H5189,TABLEITEM,3,FALSE),"")</f>
        <v>สีฝุ่น M50170AN สีน้ำเงิน</v>
      </c>
      <c r="N5189" s="14">
        <f>INSTOCK!$I5189*INSTOCK!$K5189</f>
        <v>3230</v>
      </c>
      <c r="O5189" s="4" t="s">
        <v>792</v>
      </c>
      <c r="P5189" s="4"/>
    </row>
    <row r="5190" ht="15.75" hidden="1" customHeight="1">
      <c r="B5190" s="8">
        <v>5514.0</v>
      </c>
      <c r="C5190" s="9">
        <v>43663.0</v>
      </c>
      <c r="D5190" s="6" t="s">
        <v>6227</v>
      </c>
      <c r="E5190" s="4"/>
      <c r="F5190" s="8" t="s">
        <v>801</v>
      </c>
      <c r="G5190" s="4" t="s">
        <v>1417</v>
      </c>
      <c r="H5190" s="10" t="s">
        <v>803</v>
      </c>
      <c r="I5190" s="10">
        <v>15.0</v>
      </c>
      <c r="J5190" s="11" t="str">
        <f>IF(D5190&lt;&gt;"",VLOOKUP(H5190,TABLEITEM,5,FALSE),"")</f>
        <v>ถัง</v>
      </c>
      <c r="K5190" s="12">
        <v>981.31</v>
      </c>
      <c r="L5190" s="13" t="str">
        <f>IF(D5190&lt;&gt;"",VLOOKUP(H5190,TABLEITEM,2,FALSE),"")</f>
        <v/>
      </c>
      <c r="M5190" s="13" t="str">
        <f>IF(D5190&lt;&gt;"",VLOOKUP(H5190,TABLEITEM,3,FALSE),"")</f>
        <v>แก๊สหุงต้ม 48กก</v>
      </c>
      <c r="N5190" s="14">
        <f>INSTOCK!$I5190*INSTOCK!$K5190</f>
        <v>14719.65</v>
      </c>
      <c r="O5190" s="4"/>
      <c r="P5190" s="4"/>
    </row>
    <row r="5191" ht="15.75" hidden="1" customHeight="1">
      <c r="B5191" s="8">
        <v>5515.0</v>
      </c>
      <c r="C5191" s="9">
        <v>43664.0</v>
      </c>
      <c r="D5191" s="6" t="s">
        <v>6228</v>
      </c>
      <c r="E5191" s="4">
        <v>6.207001075E9</v>
      </c>
      <c r="F5191" s="8" t="s">
        <v>6229</v>
      </c>
      <c r="G5191" s="4" t="s">
        <v>1446</v>
      </c>
      <c r="H5191" s="10" t="s">
        <v>6230</v>
      </c>
      <c r="I5191" s="10">
        <v>15.0</v>
      </c>
      <c r="J5191" s="11" t="str">
        <f>IF(D5191&lt;&gt;"",VLOOKUP(H5191,TABLEITEM,5,FALSE),"")</f>
        <v>EA</v>
      </c>
      <c r="K5191" s="12">
        <v>875.5</v>
      </c>
      <c r="L5191" s="13" t="str">
        <f>IF(D5191&lt;&gt;"",VLOOKUP(H5191,TABLEITEM,2,FALSE),"")</f>
        <v/>
      </c>
      <c r="M5191" s="13" t="str">
        <f>IF(D5191&lt;&gt;"",VLOOKUP(H5191,TABLEITEM,3,FALSE),"")</f>
        <v>สาย VSF 1x150MM BLACK</v>
      </c>
      <c r="N5191" s="14">
        <f>INSTOCK!$I5191*INSTOCK!$K5191</f>
        <v>13132.5</v>
      </c>
      <c r="O5191" s="4" t="s">
        <v>6231</v>
      </c>
      <c r="P5191" s="4"/>
    </row>
    <row r="5192" ht="15.75" hidden="1" customHeight="1">
      <c r="B5192" s="8">
        <v>5516.0</v>
      </c>
      <c r="C5192" s="9">
        <v>43663.0</v>
      </c>
      <c r="D5192" s="6" t="s">
        <v>6232</v>
      </c>
      <c r="E5192" s="4">
        <v>6.207001E9</v>
      </c>
      <c r="F5192" s="8" t="s">
        <v>604</v>
      </c>
      <c r="G5192" s="4" t="s">
        <v>2301</v>
      </c>
      <c r="H5192" s="10" t="s">
        <v>2302</v>
      </c>
      <c r="I5192" s="10">
        <v>5200.0</v>
      </c>
      <c r="J5192" s="11" t="str">
        <f>IF(D5192&lt;&gt;"",VLOOKUP(H5192,TABLEITEM,5,FALSE),"")</f>
        <v>EA</v>
      </c>
      <c r="K5192" s="12">
        <v>1.5</v>
      </c>
      <c r="L5192" s="13" t="str">
        <f>IF(D5192&lt;&gt;"",VLOOKUP(H5192,TABLEITEM,2,FALSE),"")</f>
        <v/>
      </c>
      <c r="M5192" s="13" t="str">
        <f>IF(D5192&lt;&gt;"",VLOOKUP(H5192,TABLEITEM,3,FALSE),"")</f>
        <v>ไส้กลางบานพับชุบขาว</v>
      </c>
      <c r="N5192" s="14">
        <f>INSTOCK!$I5192*INSTOCK!$K5192</f>
        <v>7800</v>
      </c>
      <c r="O5192" s="4"/>
      <c r="P5192" s="4"/>
    </row>
    <row r="5193" ht="15.75" hidden="1" customHeight="1">
      <c r="B5193" s="8">
        <v>5517.0</v>
      </c>
      <c r="C5193" s="9">
        <v>43661.0</v>
      </c>
      <c r="D5193" s="6">
        <v>6.20704691E8</v>
      </c>
      <c r="E5193" s="4">
        <v>6.207001067E9</v>
      </c>
      <c r="F5193" s="8" t="s">
        <v>6233</v>
      </c>
      <c r="G5193" s="4" t="s">
        <v>1130</v>
      </c>
      <c r="H5193" s="10" t="s">
        <v>5847</v>
      </c>
      <c r="I5193" s="10">
        <v>3.0</v>
      </c>
      <c r="J5193" s="11" t="str">
        <f>IF(D5193&lt;&gt;"",VLOOKUP(H5193,TABLEITEM,5,FALSE),"")</f>
        <v>EA</v>
      </c>
      <c r="K5193" s="12">
        <v>121.1234</v>
      </c>
      <c r="L5193" s="13" t="str">
        <f>IF(D5193&lt;&gt;"",VLOOKUP(H5193,TABLEITEM,2,FALSE),"")</f>
        <v/>
      </c>
      <c r="M5193" s="13" t="str">
        <f>IF(D5193&lt;&gt;"",VLOOKUP(H5193,TABLEITEM,3,FALSE),"")</f>
        <v>CT400/5 MSQ40</v>
      </c>
      <c r="N5193" s="14">
        <f>INSTOCK!$I5193*INSTOCK!$K5193</f>
        <v>363.3702</v>
      </c>
      <c r="O5193" s="4" t="s">
        <v>1898</v>
      </c>
      <c r="P5193" s="4"/>
    </row>
    <row r="5194" ht="15.75" hidden="1" customHeight="1">
      <c r="B5194" s="8">
        <v>5518.0</v>
      </c>
      <c r="C5194" s="9">
        <v>43664.0</v>
      </c>
      <c r="D5194" s="6" t="s">
        <v>6234</v>
      </c>
      <c r="E5194" s="4">
        <v>6.207001072E9</v>
      </c>
      <c r="F5194" s="8" t="s">
        <v>2368</v>
      </c>
      <c r="G5194" s="4" t="s">
        <v>2138</v>
      </c>
      <c r="H5194" s="10" t="s">
        <v>2369</v>
      </c>
      <c r="I5194" s="10">
        <v>1.0</v>
      </c>
      <c r="J5194" s="11" t="str">
        <f>IF(D5194&lt;&gt;"",VLOOKUP(H5194,TABLEITEM,5,FALSE),"")</f>
        <v>ถัง</v>
      </c>
      <c r="K5194" s="12">
        <v>1730.0</v>
      </c>
      <c r="L5194" s="13" t="str">
        <f>IF(D5194&lt;&gt;"",VLOOKUP(H5194,TABLEITEM,2,FALSE),"")</f>
        <v/>
      </c>
      <c r="M5194" s="13" t="str">
        <f>IF(D5194&lt;&gt;"",VLOOKUP(H5194,TABLEITEM,3,FALSE),"")</f>
        <v>MOBIL NUTO H32-1/20LT</v>
      </c>
      <c r="N5194" s="14">
        <f>INSTOCK!$I5194*INSTOCK!$K5194</f>
        <v>1730</v>
      </c>
      <c r="O5194" s="4"/>
      <c r="P5194" s="4"/>
    </row>
    <row r="5195" ht="15.75" hidden="1" customHeight="1">
      <c r="B5195" s="8">
        <v>5519.0</v>
      </c>
      <c r="C5195" s="9">
        <v>43663.0</v>
      </c>
      <c r="D5195" s="6" t="s">
        <v>6235</v>
      </c>
      <c r="E5195" s="4">
        <v>6.20500071E9</v>
      </c>
      <c r="F5195" s="8" t="s">
        <v>604</v>
      </c>
      <c r="G5195" s="4" t="s">
        <v>2301</v>
      </c>
      <c r="H5195" s="10" t="s">
        <v>2304</v>
      </c>
      <c r="I5195" s="10">
        <v>2000.0</v>
      </c>
      <c r="J5195" s="11" t="str">
        <f>IF(D5195&lt;&gt;"",VLOOKUP(H5195,TABLEITEM,5,FALSE),"")</f>
        <v>EA</v>
      </c>
      <c r="K5195" s="12">
        <v>4.0</v>
      </c>
      <c r="L5195" s="13" t="str">
        <f>IF(D5195&lt;&gt;"",VLOOKUP(H5195,TABLEITEM,2,FALSE),"")</f>
        <v/>
      </c>
      <c r="M5195" s="13" t="str">
        <f>IF(D5195&lt;&gt;"",VLOOKUP(H5195,TABLEITEM,3,FALSE),"")</f>
        <v>บานพับตู้ Knock Down รุ่นพับงอ-ใหม่</v>
      </c>
      <c r="N5195" s="14">
        <f>INSTOCK!$I5195*INSTOCK!$K5195</f>
        <v>8000</v>
      </c>
      <c r="O5195" s="4"/>
      <c r="P5195" s="4"/>
    </row>
    <row r="5196" ht="15.75" hidden="1" customHeight="1">
      <c r="B5196" s="8">
        <v>5520.0</v>
      </c>
      <c r="C5196" s="9">
        <v>43663.0</v>
      </c>
      <c r="D5196" s="6" t="s">
        <v>6236</v>
      </c>
      <c r="E5196" s="4">
        <v>6.207001069E9</v>
      </c>
      <c r="F5196" s="8" t="s">
        <v>807</v>
      </c>
      <c r="G5196" s="4" t="s">
        <v>808</v>
      </c>
      <c r="H5196" s="10" t="s">
        <v>812</v>
      </c>
      <c r="I5196" s="10">
        <v>1.0</v>
      </c>
      <c r="J5196" s="11" t="str">
        <f>IF(D5196&lt;&gt;"",VLOOKUP(H5196,TABLEITEM,5,FALSE),"")</f>
        <v>ท่อ</v>
      </c>
      <c r="K5196" s="12">
        <v>2960.0</v>
      </c>
      <c r="L5196" s="13" t="str">
        <f>IF(D5196&lt;&gt;"",VLOOKUP(H5196,TABLEITEM,2,FALSE),"")</f>
        <v/>
      </c>
      <c r="M5196" s="13" t="str">
        <f>IF(D5196&lt;&gt;"",VLOOKUP(H5196,TABLEITEM,3,FALSE),"")</f>
        <v>ออกซิเจนเหลว ขนาด 148 คิว</v>
      </c>
      <c r="N5196" s="14">
        <f>INSTOCK!$I5196*INSTOCK!$K5196</f>
        <v>2960</v>
      </c>
      <c r="O5196" s="4"/>
      <c r="P5196" s="4"/>
    </row>
    <row r="5197" ht="15.75" hidden="1" customHeight="1">
      <c r="B5197" s="8">
        <v>5521.0</v>
      </c>
      <c r="C5197" s="9">
        <v>43663.0</v>
      </c>
      <c r="D5197" s="6" t="s">
        <v>6237</v>
      </c>
      <c r="E5197" s="4">
        <v>6.207001066E9</v>
      </c>
      <c r="F5197" s="8" t="s">
        <v>604</v>
      </c>
      <c r="G5197" s="4" t="s">
        <v>743</v>
      </c>
      <c r="H5197" s="10" t="s">
        <v>6238</v>
      </c>
      <c r="I5197" s="10">
        <v>20.0</v>
      </c>
      <c r="J5197" s="11" t="str">
        <f>IF(D5197&lt;&gt;"",VLOOKUP(H5197,TABLEITEM,5,FALSE),"")</f>
        <v>KG.</v>
      </c>
      <c r="K5197" s="12">
        <v>125.0</v>
      </c>
      <c r="L5197" s="13" t="str">
        <f>IF(D5197&lt;&gt;"",VLOOKUP(H5197,TABLEITEM,2,FALSE),"")</f>
        <v/>
      </c>
      <c r="M5197" s="13" t="str">
        <f>IF(D5197&lt;&gt;"",VLOOKUP(H5197,TABLEITEM,3,FALSE),"")</f>
        <v>MX8302 -Medium Grey CTX 1002877PX20</v>
      </c>
      <c r="N5197" s="14">
        <f>INSTOCK!$I5197*INSTOCK!$K5197</f>
        <v>2500</v>
      </c>
      <c r="O5197" s="4"/>
      <c r="P5197" s="4"/>
    </row>
    <row r="5198" ht="15.75" hidden="1" customHeight="1">
      <c r="B5198" s="8">
        <v>5522.0</v>
      </c>
      <c r="C5198" s="9">
        <v>43629.0</v>
      </c>
      <c r="D5198" s="6" t="s">
        <v>6239</v>
      </c>
      <c r="E5198" s="4"/>
      <c r="F5198" s="8" t="s">
        <v>3727</v>
      </c>
      <c r="G5198" s="4" t="s">
        <v>2941</v>
      </c>
      <c r="H5198" s="10" t="s">
        <v>6240</v>
      </c>
      <c r="I5198" s="10">
        <v>1.0</v>
      </c>
      <c r="J5198" s="11" t="str">
        <f>IF(D5198&lt;&gt;"",VLOOKUP(H5198,TABLEITEM,5,FALSE),"")</f>
        <v>EA</v>
      </c>
      <c r="K5198" s="12">
        <v>3750.0</v>
      </c>
      <c r="L5198" s="13" t="str">
        <f>IF(D5198&lt;&gt;"",VLOOKUP(H5198,TABLEITEM,2,FALSE),"")</f>
        <v/>
      </c>
      <c r="M5198" s="13" t="str">
        <f>IF(D5198&lt;&gt;"",VLOOKUP(H5198,TABLEITEM,3,FALSE),"")</f>
        <v>UV PREMIUM LNK 1L CYAN</v>
      </c>
      <c r="N5198" s="14">
        <f>INSTOCK!$I5198*INSTOCK!$K5198</f>
        <v>3750</v>
      </c>
      <c r="O5198" s="4"/>
      <c r="P5198" s="4"/>
    </row>
    <row r="5199" ht="15.75" hidden="1" customHeight="1">
      <c r="B5199" s="8">
        <v>5523.0</v>
      </c>
      <c r="C5199" s="9">
        <v>43629.0</v>
      </c>
      <c r="D5199" s="6" t="s">
        <v>6239</v>
      </c>
      <c r="E5199" s="4"/>
      <c r="F5199" s="8" t="s">
        <v>3727</v>
      </c>
      <c r="G5199" s="4" t="s">
        <v>2941</v>
      </c>
      <c r="H5199" s="10" t="s">
        <v>6241</v>
      </c>
      <c r="I5199" s="10">
        <v>1.0</v>
      </c>
      <c r="J5199" s="11" t="str">
        <f>IF(D5199&lt;&gt;"",VLOOKUP(H5199,TABLEITEM,5,FALSE),"")</f>
        <v>EA</v>
      </c>
      <c r="K5199" s="12">
        <v>3750.0</v>
      </c>
      <c r="L5199" s="13" t="str">
        <f>IF(D5199&lt;&gt;"",VLOOKUP(H5199,TABLEITEM,2,FALSE),"")</f>
        <v/>
      </c>
      <c r="M5199" s="13" t="str">
        <f>IF(D5199&lt;&gt;"",VLOOKUP(H5199,TABLEITEM,3,FALSE),"")</f>
        <v>UV PREMIUM LNK 1L MAGENTA</v>
      </c>
      <c r="N5199" s="14">
        <f>INSTOCK!$I5199*INSTOCK!$K5199</f>
        <v>3750</v>
      </c>
      <c r="O5199" s="4"/>
      <c r="P5199" s="4"/>
    </row>
    <row r="5200" ht="15.75" hidden="1" customHeight="1">
      <c r="B5200" s="8">
        <v>5524.0</v>
      </c>
      <c r="C5200" s="9">
        <v>43629.0</v>
      </c>
      <c r="D5200" s="6" t="s">
        <v>6239</v>
      </c>
      <c r="E5200" s="4"/>
      <c r="F5200" s="8" t="s">
        <v>3727</v>
      </c>
      <c r="G5200" s="4" t="s">
        <v>2941</v>
      </c>
      <c r="H5200" s="10" t="s">
        <v>6242</v>
      </c>
      <c r="I5200" s="10">
        <v>1.0</v>
      </c>
      <c r="J5200" s="11" t="str">
        <f>IF(D5200&lt;&gt;"",VLOOKUP(H5200,TABLEITEM,5,FALSE),"")</f>
        <v>EA</v>
      </c>
      <c r="K5200" s="12">
        <v>3750.0</v>
      </c>
      <c r="L5200" s="13" t="str">
        <f>IF(D5200&lt;&gt;"",VLOOKUP(H5200,TABLEITEM,2,FALSE),"")</f>
        <v/>
      </c>
      <c r="M5200" s="13" t="str">
        <f>IF(D5200&lt;&gt;"",VLOOKUP(H5200,TABLEITEM,3,FALSE),"")</f>
        <v>UV PREMIUM LNK 1L YELLOW</v>
      </c>
      <c r="N5200" s="14">
        <f>INSTOCK!$I5200*INSTOCK!$K5200</f>
        <v>3750</v>
      </c>
      <c r="O5200" s="4"/>
      <c r="P5200" s="4"/>
    </row>
    <row r="5201" ht="15.75" hidden="1" customHeight="1">
      <c r="B5201" s="8">
        <v>5525.0</v>
      </c>
      <c r="C5201" s="9">
        <v>43629.0</v>
      </c>
      <c r="D5201" s="6" t="s">
        <v>6239</v>
      </c>
      <c r="E5201" s="4"/>
      <c r="F5201" s="8" t="s">
        <v>3727</v>
      </c>
      <c r="G5201" s="4" t="s">
        <v>2941</v>
      </c>
      <c r="H5201" s="10" t="s">
        <v>6243</v>
      </c>
      <c r="I5201" s="10">
        <v>1.0</v>
      </c>
      <c r="J5201" s="11" t="str">
        <f>IF(D5201&lt;&gt;"",VLOOKUP(H5201,TABLEITEM,5,FALSE),"")</f>
        <v>EA</v>
      </c>
      <c r="K5201" s="12">
        <v>2500.0</v>
      </c>
      <c r="L5201" s="13" t="str">
        <f>IF(D5201&lt;&gt;"",VLOOKUP(H5201,TABLEITEM,2,FALSE),"")</f>
        <v/>
      </c>
      <c r="M5201" s="13" t="str">
        <f>IF(D5201&lt;&gt;"",VLOOKUP(H5201,TABLEITEM,3,FALSE),"")</f>
        <v>FLUSHING FLUID PREMIUM 1L</v>
      </c>
      <c r="N5201" s="14">
        <f>INSTOCK!$I5201*INSTOCK!$K5201</f>
        <v>2500</v>
      </c>
      <c r="O5201" s="4"/>
      <c r="P5201" s="4"/>
    </row>
    <row r="5202" ht="15.75" hidden="1" customHeight="1">
      <c r="B5202" s="8">
        <v>5526.0</v>
      </c>
      <c r="C5202" s="9">
        <v>43666.0</v>
      </c>
      <c r="D5202" s="6">
        <v>6.20706184E8</v>
      </c>
      <c r="E5202" s="4">
        <v>6.207001108E9</v>
      </c>
      <c r="F5202" s="8" t="s">
        <v>6244</v>
      </c>
      <c r="G5202" s="4" t="s">
        <v>1130</v>
      </c>
      <c r="H5202" s="10" t="s">
        <v>1584</v>
      </c>
      <c r="I5202" s="10">
        <v>10.0</v>
      </c>
      <c r="J5202" s="11" t="str">
        <f>IF(D5202&lt;&gt;"",VLOOKUP(H5202,TABLEITEM,5,FALSE),"")</f>
        <v>EA</v>
      </c>
      <c r="K5202" s="12">
        <v>127.1</v>
      </c>
      <c r="L5202" s="13" t="str">
        <f>IF(D5202&lt;&gt;"",VLOOKUP(H5202,TABLEITEM,2,FALSE),"")</f>
        <v/>
      </c>
      <c r="M5202" s="13" t="str">
        <f>IF(D5202&lt;&gt;"",VLOOKUP(H5202,TABLEITEM,3,FALSE),"")</f>
        <v>HARMONY XB4 SINGLE CONTACT ZB4BZ101</v>
      </c>
      <c r="N5202" s="14">
        <f>INSTOCK!$I5202*INSTOCK!$K5202</f>
        <v>1271</v>
      </c>
      <c r="O5202" s="4" t="s">
        <v>3720</v>
      </c>
      <c r="P5202" s="4"/>
    </row>
    <row r="5203" ht="15.75" hidden="1" customHeight="1">
      <c r="B5203" s="8">
        <v>5527.0</v>
      </c>
      <c r="C5203" s="9">
        <v>43666.0</v>
      </c>
      <c r="D5203" s="6">
        <v>6.20706184E8</v>
      </c>
      <c r="E5203" s="4">
        <v>6.207001108E9</v>
      </c>
      <c r="F5203" s="8" t="s">
        <v>6244</v>
      </c>
      <c r="G5203" s="4" t="s">
        <v>1130</v>
      </c>
      <c r="H5203" s="10" t="s">
        <v>1582</v>
      </c>
      <c r="I5203" s="10">
        <v>1.0</v>
      </c>
      <c r="J5203" s="11" t="str">
        <f>IF(D5203&lt;&gt;"",VLOOKUP(H5203,TABLEITEM,5,FALSE),"")</f>
        <v>EA</v>
      </c>
      <c r="K5203" s="12">
        <v>147.6</v>
      </c>
      <c r="L5203" s="13" t="str">
        <f>IF(D5203&lt;&gt;"",VLOOKUP(H5203,TABLEITEM,2,FALSE),"")</f>
        <v/>
      </c>
      <c r="M5203" s="13" t="str">
        <f>IF(D5203&lt;&gt;"",VLOOKUP(H5203,TABLEITEM,3,FALSE),"")</f>
        <v>HARMONY XB4 SELECTOR SWITCH ZB4BD2</v>
      </c>
      <c r="N5203" s="14">
        <f>INSTOCK!$I5203*INSTOCK!$K5203</f>
        <v>147.6</v>
      </c>
      <c r="O5203" s="4" t="s">
        <v>3719</v>
      </c>
      <c r="P5203" s="4"/>
    </row>
    <row r="5204" ht="15.75" hidden="1" customHeight="1">
      <c r="B5204" s="8">
        <v>5528.0</v>
      </c>
      <c r="C5204" s="9">
        <v>43668.0</v>
      </c>
      <c r="D5204" s="6" t="s">
        <v>6245</v>
      </c>
      <c r="E5204" s="4">
        <v>6.207001109E9</v>
      </c>
      <c r="F5204" s="8" t="s">
        <v>6246</v>
      </c>
      <c r="G5204" s="4" t="s">
        <v>5932</v>
      </c>
      <c r="H5204" s="10" t="s">
        <v>5933</v>
      </c>
      <c r="I5204" s="10">
        <v>10.0</v>
      </c>
      <c r="J5204" s="11" t="str">
        <f>IF(D5204&lt;&gt;"",VLOOKUP(H5204,TABLEITEM,5,FALSE),"")</f>
        <v>EA</v>
      </c>
      <c r="K5204" s="12">
        <v>90.0</v>
      </c>
      <c r="L5204" s="13" t="str">
        <f>IF(D5204&lt;&gt;"",VLOOKUP(H5204,TABLEITEM,2,FALSE),"")</f>
        <v/>
      </c>
      <c r="M5204" s="13" t="str">
        <f>IF(D5204&lt;&gt;"",VLOOKUP(H5204,TABLEITEM,3,FALSE),"")</f>
        <v>Univerasal Outlet NUO 250V</v>
      </c>
      <c r="N5204" s="14">
        <f>INSTOCK!$I5204*INSTOCK!$K5204</f>
        <v>900</v>
      </c>
      <c r="O5204" s="4" t="s">
        <v>5934</v>
      </c>
      <c r="P5204" s="4"/>
    </row>
    <row r="5205" ht="15.75" hidden="1" customHeight="1">
      <c r="B5205" s="8">
        <v>5529.0</v>
      </c>
      <c r="C5205" s="9">
        <v>43663.0</v>
      </c>
      <c r="D5205" s="6" t="s">
        <v>6247</v>
      </c>
      <c r="E5205" s="4">
        <v>6.207001044E9</v>
      </c>
      <c r="F5205" s="8" t="s">
        <v>604</v>
      </c>
      <c r="G5205" s="4" t="s">
        <v>1777</v>
      </c>
      <c r="H5205" s="10" t="s">
        <v>2102</v>
      </c>
      <c r="I5205" s="10">
        <v>20000.0</v>
      </c>
      <c r="J5205" s="11" t="str">
        <f>IF(D5205&lt;&gt;"",VLOOKUP(H5205,TABLEITEM,5,FALSE),"")</f>
        <v>EA</v>
      </c>
      <c r="K5205" s="12">
        <v>0.175</v>
      </c>
      <c r="L5205" s="13" t="str">
        <f>IF(D5205&lt;&gt;"",VLOOKUP(H5205,TABLEITEM,2,FALSE),"")</f>
        <v/>
      </c>
      <c r="M5205" s="13" t="str">
        <f>IF(D5205&lt;&gt;"",VLOOKUP(H5205,TABLEITEM,3,FALSE),"")</f>
        <v>แหวนอีแปะ M8 ชุบขาว</v>
      </c>
      <c r="N5205" s="14">
        <f>INSTOCK!$I5205*INSTOCK!$K5205</f>
        <v>3500</v>
      </c>
      <c r="O5205" s="4" t="s">
        <v>3647</v>
      </c>
      <c r="P5205" s="4"/>
    </row>
    <row r="5206" ht="15.75" hidden="1" customHeight="1">
      <c r="B5206" s="8">
        <v>5530.0</v>
      </c>
      <c r="C5206" s="9">
        <v>43663.0</v>
      </c>
      <c r="D5206" s="6" t="s">
        <v>6247</v>
      </c>
      <c r="E5206" s="4">
        <v>6.207001044E9</v>
      </c>
      <c r="F5206" s="8" t="s">
        <v>604</v>
      </c>
      <c r="G5206" s="4" t="s">
        <v>1777</v>
      </c>
      <c r="H5206" s="10" t="s">
        <v>3014</v>
      </c>
      <c r="I5206" s="10">
        <v>10000.0</v>
      </c>
      <c r="J5206" s="11" t="str">
        <f>IF(D5206&lt;&gt;"",VLOOKUP(H5206,TABLEITEM,5,FALSE),"")</f>
        <v>EA</v>
      </c>
      <c r="K5206" s="12">
        <v>0.075</v>
      </c>
      <c r="L5206" s="13" t="str">
        <f>IF(D5206&lt;&gt;"",VLOOKUP(H5206,TABLEITEM,2,FALSE),"")</f>
        <v/>
      </c>
      <c r="M5206" s="13" t="str">
        <f>IF(D5206&lt;&gt;"",VLOOKUP(H5206,TABLEITEM,3,FALSE),"")</f>
        <v>แหวนสปริง M 8 ชุบรุ้ง</v>
      </c>
      <c r="N5206" s="14">
        <f>INSTOCK!$I5206*INSTOCK!$K5206</f>
        <v>750</v>
      </c>
      <c r="O5206" s="4" t="s">
        <v>2079</v>
      </c>
      <c r="P5206" s="4"/>
    </row>
    <row r="5207" ht="15.75" hidden="1" customHeight="1">
      <c r="B5207" s="8">
        <v>5531.0</v>
      </c>
      <c r="C5207" s="9">
        <v>43663.0</v>
      </c>
      <c r="D5207" s="6" t="s">
        <v>6247</v>
      </c>
      <c r="E5207" s="4">
        <v>6.207001044E9</v>
      </c>
      <c r="F5207" s="8" t="s">
        <v>604</v>
      </c>
      <c r="G5207" s="4" t="s">
        <v>1777</v>
      </c>
      <c r="H5207" s="10" t="s">
        <v>2080</v>
      </c>
      <c r="I5207" s="10">
        <v>10000.0</v>
      </c>
      <c r="J5207" s="11" t="str">
        <f>IF(D5207&lt;&gt;"",VLOOKUP(H5207,TABLEITEM,5,FALSE),"")</f>
        <v>EA</v>
      </c>
      <c r="K5207" s="12">
        <v>0.36</v>
      </c>
      <c r="L5207" s="13" t="str">
        <f>IF(D5207&lt;&gt;"",VLOOKUP(H5207,TABLEITEM,2,FALSE),"")</f>
        <v/>
      </c>
      <c r="M5207" s="13" t="str">
        <f>IF(D5207&lt;&gt;"",VLOOKUP(H5207,TABLEITEM,3,FALSE),"")</f>
        <v>หัวน็อต M 8 ชุบขาว</v>
      </c>
      <c r="N5207" s="14">
        <f>INSTOCK!$I5207*INSTOCK!$K5207</f>
        <v>3600</v>
      </c>
      <c r="O5207" s="4" t="s">
        <v>2081</v>
      </c>
      <c r="P5207" s="4"/>
    </row>
    <row r="5208" ht="15.75" hidden="1" customHeight="1">
      <c r="B5208" s="8">
        <v>5532.0</v>
      </c>
      <c r="C5208" s="9">
        <v>43663.0</v>
      </c>
      <c r="D5208" s="6" t="s">
        <v>6247</v>
      </c>
      <c r="E5208" s="4">
        <v>6.207001044E9</v>
      </c>
      <c r="F5208" s="8" t="s">
        <v>604</v>
      </c>
      <c r="G5208" s="4" t="s">
        <v>1777</v>
      </c>
      <c r="H5208" s="10" t="s">
        <v>2084</v>
      </c>
      <c r="I5208" s="10">
        <v>8000.0</v>
      </c>
      <c r="J5208" s="11" t="str">
        <f>IF(D5208&lt;&gt;"",VLOOKUP(H5208,TABLEITEM,5,FALSE),"")</f>
        <v>EA</v>
      </c>
      <c r="K5208" s="12">
        <v>0.24</v>
      </c>
      <c r="L5208" s="13" t="str">
        <f>IF(D5208&lt;&gt;"",VLOOKUP(H5208,TABLEITEM,2,FALSE),"")</f>
        <v/>
      </c>
      <c r="M5208" s="13" t="str">
        <f>IF(D5208&lt;&gt;"",VLOOKUP(H5208,TABLEITEM,3,FALSE),"")</f>
        <v>ติดจาน M5</v>
      </c>
      <c r="N5208" s="14">
        <f>INSTOCK!$I5208*INSTOCK!$K5208</f>
        <v>1920</v>
      </c>
      <c r="O5208" s="4" t="s">
        <v>6248</v>
      </c>
      <c r="P5208" s="4"/>
    </row>
    <row r="5209" ht="15.75" hidden="1" customHeight="1">
      <c r="B5209" s="8">
        <v>5533.0</v>
      </c>
      <c r="C5209" s="9">
        <v>43663.0</v>
      </c>
      <c r="D5209" s="6" t="s">
        <v>6247</v>
      </c>
      <c r="E5209" s="4">
        <v>6.207001044E9</v>
      </c>
      <c r="F5209" s="8" t="s">
        <v>604</v>
      </c>
      <c r="G5209" s="4" t="s">
        <v>1777</v>
      </c>
      <c r="H5209" s="10" t="s">
        <v>2104</v>
      </c>
      <c r="I5209" s="10">
        <v>8000.0</v>
      </c>
      <c r="J5209" s="11" t="str">
        <f>IF(D5209&lt;&gt;"",VLOOKUP(H5209,TABLEITEM,5,FALSE),"")</f>
        <v>EA</v>
      </c>
      <c r="K5209" s="12">
        <v>0.27</v>
      </c>
      <c r="L5209" s="13" t="str">
        <f>IF(D5209&lt;&gt;"",VLOOKUP(H5209,TABLEITEM,2,FALSE),"")</f>
        <v/>
      </c>
      <c r="M5209" s="13" t="str">
        <f>IF(D5209&lt;&gt;"",VLOOKUP(H5209,TABLEITEM,3,FALSE),"")</f>
        <v>ติดจาน M6</v>
      </c>
      <c r="N5209" s="14">
        <f>INSTOCK!$I5209*INSTOCK!$K5209</f>
        <v>2160</v>
      </c>
      <c r="O5209" s="4" t="s">
        <v>2105</v>
      </c>
      <c r="P5209" s="4"/>
    </row>
    <row r="5210" ht="15.75" hidden="1" customHeight="1">
      <c r="B5210" s="8">
        <v>5534.0</v>
      </c>
      <c r="C5210" s="9">
        <v>43663.0</v>
      </c>
      <c r="D5210" s="6" t="s">
        <v>6247</v>
      </c>
      <c r="E5210" s="4">
        <v>6.207001044E9</v>
      </c>
      <c r="F5210" s="8" t="s">
        <v>604</v>
      </c>
      <c r="G5210" s="4" t="s">
        <v>1777</v>
      </c>
      <c r="H5210" s="18" t="s">
        <v>2086</v>
      </c>
      <c r="I5210" s="10">
        <v>3000.0</v>
      </c>
      <c r="J5210" s="11" t="str">
        <f>IF(D5210&lt;&gt;"",VLOOKUP(H5210,TABLEITEM,5,FALSE),"")</f>
        <v>EA</v>
      </c>
      <c r="K5210" s="12">
        <v>0.6</v>
      </c>
      <c r="L5210" s="13" t="str">
        <f>IF(D5210&lt;&gt;"",VLOOKUP(H5210,TABLEITEM,2,FALSE),"")</f>
        <v/>
      </c>
      <c r="M5210" s="13" t="str">
        <f>IF(D5210&lt;&gt;"",VLOOKUP(H5210,TABLEITEM,3,FALSE),"")</f>
        <v>ติดจาน M8</v>
      </c>
      <c r="N5210" s="14">
        <f>INSTOCK!$I5210*INSTOCK!$K5210</f>
        <v>1800</v>
      </c>
      <c r="O5210" s="4" t="s">
        <v>6249</v>
      </c>
      <c r="P5210" s="4"/>
    </row>
    <row r="5211" ht="15.75" hidden="1" customHeight="1">
      <c r="B5211" s="8">
        <v>5535.0</v>
      </c>
      <c r="C5211" s="9">
        <v>43663.0</v>
      </c>
      <c r="D5211" s="6" t="s">
        <v>6247</v>
      </c>
      <c r="E5211" s="4">
        <v>6.207001044E9</v>
      </c>
      <c r="F5211" s="8" t="s">
        <v>604</v>
      </c>
      <c r="G5211" s="4" t="s">
        <v>1777</v>
      </c>
      <c r="H5211" s="18" t="s">
        <v>3184</v>
      </c>
      <c r="I5211" s="10">
        <v>10000.0</v>
      </c>
      <c r="J5211" s="11" t="str">
        <f>IF(D5211&lt;&gt;"",VLOOKUP(H5211,TABLEITEM,5,FALSE),"")</f>
        <v>EA</v>
      </c>
      <c r="K5211" s="12">
        <v>0.16</v>
      </c>
      <c r="L5211" s="13" t="str">
        <f>IF(D5211&lt;&gt;"",VLOOKUP(H5211,TABLEITEM,2,FALSE),"")</f>
        <v/>
      </c>
      <c r="M5211" s="13" t="str">
        <f>IF(D5211&lt;&gt;"",VLOOKUP(H5211,TABLEITEM,3,FALSE),"")</f>
        <v>หัวน็อต      M 6 ชุบขาว</v>
      </c>
      <c r="N5211" s="14">
        <f>INSTOCK!$I5211*INSTOCK!$K5211</f>
        <v>1600</v>
      </c>
      <c r="O5211" s="4" t="s">
        <v>3185</v>
      </c>
      <c r="P5211" s="4"/>
    </row>
    <row r="5212" ht="15.75" hidden="1" customHeight="1">
      <c r="B5212" s="8">
        <v>5536.0</v>
      </c>
      <c r="C5212" s="9">
        <v>43663.0</v>
      </c>
      <c r="D5212" s="6" t="s">
        <v>6247</v>
      </c>
      <c r="E5212" s="4">
        <v>6.207001044E9</v>
      </c>
      <c r="F5212" s="8" t="s">
        <v>604</v>
      </c>
      <c r="G5212" s="4" t="s">
        <v>1777</v>
      </c>
      <c r="H5212" s="10" t="s">
        <v>2523</v>
      </c>
      <c r="I5212" s="10">
        <v>2000.0</v>
      </c>
      <c r="J5212" s="11" t="str">
        <f>IF(D5212&lt;&gt;"",VLOOKUP(H5212,TABLEITEM,5,FALSE),"")</f>
        <v>EA</v>
      </c>
      <c r="K5212" s="12">
        <v>1.196</v>
      </c>
      <c r="L5212" s="13" t="str">
        <f>IF(D5212&lt;&gt;"",VLOOKUP(H5212,TABLEITEM,2,FALSE),"")</f>
        <v/>
      </c>
      <c r="M5212" s="13" t="str">
        <f>IF(D5212&lt;&gt;"",VLOOKUP(H5212,TABLEITEM,3,FALSE),"")</f>
        <v>สกรูหัวเหลี่ยมชุบขาว M8x35</v>
      </c>
      <c r="N5212" s="14">
        <f>INSTOCK!$I5212*INSTOCK!$K5212</f>
        <v>2392</v>
      </c>
      <c r="O5212" s="4" t="s">
        <v>2524</v>
      </c>
      <c r="P5212" s="4"/>
    </row>
    <row r="5213" ht="15.75" hidden="1" customHeight="1">
      <c r="B5213" s="8">
        <v>5537.0</v>
      </c>
      <c r="C5213" s="9">
        <v>43663.0</v>
      </c>
      <c r="D5213" s="6" t="s">
        <v>6247</v>
      </c>
      <c r="E5213" s="4">
        <v>6.207001044E9</v>
      </c>
      <c r="F5213" s="8" t="s">
        <v>604</v>
      </c>
      <c r="G5213" s="4" t="s">
        <v>1777</v>
      </c>
      <c r="H5213" s="10" t="s">
        <v>2876</v>
      </c>
      <c r="I5213" s="10">
        <v>3000.0</v>
      </c>
      <c r="J5213" s="11" t="str">
        <f>IF(D5213&lt;&gt;"",VLOOKUP(H5213,TABLEITEM,5,FALSE),"")</f>
        <v>EA</v>
      </c>
      <c r="K5213" s="12">
        <v>0.1704</v>
      </c>
      <c r="L5213" s="13" t="str">
        <f>IF(D5213&lt;&gt;"",VLOOKUP(H5213,TABLEITEM,2,FALSE),"")</f>
        <v/>
      </c>
      <c r="M5213" s="13" t="str">
        <f>IF(D5213&lt;&gt;"",VLOOKUP(H5213,TABLEITEM,3,FALSE),"")</f>
        <v>สกรูหัวหมวก  M5x12</v>
      </c>
      <c r="N5213" s="14">
        <f>INSTOCK!$I5213*INSTOCK!$K5213</f>
        <v>511.2</v>
      </c>
      <c r="O5213" s="4" t="s">
        <v>6250</v>
      </c>
      <c r="P5213" s="4"/>
    </row>
    <row r="5214" ht="15.75" hidden="1" customHeight="1">
      <c r="B5214" s="8">
        <v>5538.0</v>
      </c>
      <c r="C5214" s="9">
        <v>43664.0</v>
      </c>
      <c r="D5214" s="6" t="s">
        <v>6251</v>
      </c>
      <c r="E5214" s="4" t="s">
        <v>6252</v>
      </c>
      <c r="F5214" s="8" t="s">
        <v>6145</v>
      </c>
      <c r="G5214" s="4" t="s">
        <v>1529</v>
      </c>
      <c r="H5214" s="10" t="s">
        <v>6253</v>
      </c>
      <c r="I5214" s="10">
        <v>50.0</v>
      </c>
      <c r="J5214" s="11" t="str">
        <f>IF(D5214&lt;&gt;"",VLOOKUP(H5214,TABLEITEM,5,FALSE),"")</f>
        <v>EA</v>
      </c>
      <c r="K5214" s="12">
        <v>31.5</v>
      </c>
      <c r="L5214" s="13" t="str">
        <f>IF(D5214&lt;&gt;"",VLOOKUP(H5214,TABLEITEM,2,FALSE),"")</f>
        <v/>
      </c>
      <c r="M5214" s="13" t="str">
        <f>IF(D5214&lt;&gt;"",VLOOKUP(H5214,TABLEITEM,3,FALSE),"")</f>
        <v>ท่ออ่อนกันน้ำ BS 1/2" สีดำ A2017(50M)</v>
      </c>
      <c r="N5214" s="14">
        <f>INSTOCK!$I5214*INSTOCK!$K5214</f>
        <v>1575</v>
      </c>
      <c r="O5214" s="4" t="s">
        <v>6254</v>
      </c>
      <c r="P5214" s="4"/>
    </row>
    <row r="5215" ht="15.75" hidden="1" customHeight="1">
      <c r="B5215" s="8">
        <v>5539.0</v>
      </c>
      <c r="C5215" s="9">
        <v>43664.0</v>
      </c>
      <c r="D5215" s="6" t="s">
        <v>6251</v>
      </c>
      <c r="E5215" s="4" t="s">
        <v>6252</v>
      </c>
      <c r="F5215" s="8" t="s">
        <v>6145</v>
      </c>
      <c r="G5215" s="4" t="s">
        <v>1529</v>
      </c>
      <c r="H5215" s="10" t="s">
        <v>6255</v>
      </c>
      <c r="I5215" s="10">
        <v>20.0</v>
      </c>
      <c r="J5215" s="11" t="str">
        <f>IF(D5215&lt;&gt;"",VLOOKUP(H5215,TABLEITEM,5,FALSE),"")</f>
        <v>EA</v>
      </c>
      <c r="K5215" s="12">
        <v>63.0</v>
      </c>
      <c r="L5215" s="13" t="str">
        <f>IF(D5215&lt;&gt;"",VLOOKUP(H5215,TABLEITEM,2,FALSE),"")</f>
        <v/>
      </c>
      <c r="M5215" s="13" t="str">
        <f>IF(D5215&lt;&gt;"",VLOOKUP(H5215,TABLEITEM,3,FALSE),"")</f>
        <v>LF คอนเนคเตอร์ 3/8" B2102</v>
      </c>
      <c r="N5215" s="14">
        <f>INSTOCK!$I5215*INSTOCK!$K5215</f>
        <v>1260</v>
      </c>
      <c r="O5215" s="4" t="s">
        <v>6256</v>
      </c>
      <c r="P5215" s="4"/>
    </row>
    <row r="5216" ht="15.75" hidden="1" customHeight="1">
      <c r="B5216" s="8">
        <v>5540.0</v>
      </c>
      <c r="C5216" s="9">
        <v>43664.0</v>
      </c>
      <c r="D5216" s="6" t="s">
        <v>6251</v>
      </c>
      <c r="E5216" s="4" t="s">
        <v>6252</v>
      </c>
      <c r="F5216" s="8" t="s">
        <v>6145</v>
      </c>
      <c r="G5216" s="4" t="s">
        <v>1529</v>
      </c>
      <c r="H5216" s="10" t="s">
        <v>6257</v>
      </c>
      <c r="I5216" s="10">
        <v>20.0</v>
      </c>
      <c r="J5216" s="11" t="str">
        <f>IF(D5216&lt;&gt;"",VLOOKUP(H5216,TABLEITEM,5,FALSE),"")</f>
        <v>EA</v>
      </c>
      <c r="K5216" s="12">
        <v>98.0</v>
      </c>
      <c r="L5216" s="13" t="str">
        <f>IF(D5216&lt;&gt;"",VLOOKUP(H5216,TABLEITEM,2,FALSE),"")</f>
        <v/>
      </c>
      <c r="M5216" s="13" t="str">
        <f>IF(D5216&lt;&gt;"",VLOOKUP(H5216,TABLEITEM,3,FALSE),"")</f>
        <v>LF คอนเนคเตอร์ 3/4" B2102</v>
      </c>
      <c r="N5216" s="14">
        <f>INSTOCK!$I5216*INSTOCK!$K5216</f>
        <v>1960</v>
      </c>
      <c r="O5216" s="4" t="s">
        <v>6258</v>
      </c>
      <c r="P5216" s="4"/>
    </row>
    <row r="5217" ht="15.75" hidden="1" customHeight="1">
      <c r="B5217" s="8">
        <v>5541.0</v>
      </c>
      <c r="C5217" s="9">
        <v>43664.0</v>
      </c>
      <c r="D5217" s="6" t="s">
        <v>6251</v>
      </c>
      <c r="E5217" s="4" t="s">
        <v>6252</v>
      </c>
      <c r="F5217" s="8" t="s">
        <v>6145</v>
      </c>
      <c r="G5217" s="4" t="s">
        <v>1529</v>
      </c>
      <c r="H5217" s="10" t="s">
        <v>6259</v>
      </c>
      <c r="I5217" s="10">
        <v>10.0</v>
      </c>
      <c r="J5217" s="11" t="str">
        <f>IF(D5217&lt;&gt;"",VLOOKUP(H5217,TABLEITEM,5,FALSE),"")</f>
        <v>EA</v>
      </c>
      <c r="K5217" s="12">
        <v>196.0</v>
      </c>
      <c r="L5217" s="13" t="str">
        <f>IF(D5217&lt;&gt;"",VLOOKUP(H5217,TABLEITEM,2,FALSE),"")</f>
        <v/>
      </c>
      <c r="M5217" s="13" t="str">
        <f>IF(D5217&lt;&gt;"",VLOOKUP(H5217,TABLEITEM,3,FALSE),"")</f>
        <v>LF คอนเนคเตอร์ 1.1/4" B2102</v>
      </c>
      <c r="N5217" s="14">
        <f>INSTOCK!$I5217*INSTOCK!$K5217</f>
        <v>1960</v>
      </c>
      <c r="O5217" s="4" t="s">
        <v>6260</v>
      </c>
      <c r="P5217" s="4"/>
    </row>
    <row r="5218" ht="15.75" hidden="1" customHeight="1">
      <c r="B5218" s="8">
        <v>5542.0</v>
      </c>
      <c r="C5218" s="9">
        <v>43666.0</v>
      </c>
      <c r="D5218" s="6">
        <v>39474.0</v>
      </c>
      <c r="E5218" s="4">
        <v>6.207001096E9</v>
      </c>
      <c r="F5218" s="8" t="s">
        <v>3166</v>
      </c>
      <c r="G5218" s="4" t="s">
        <v>696</v>
      </c>
      <c r="H5218" s="10" t="s">
        <v>5190</v>
      </c>
      <c r="I5218" s="10">
        <v>1.0</v>
      </c>
      <c r="J5218" s="11" t="str">
        <f>IF(D5218&lt;&gt;"",VLOOKUP(H5218,TABLEITEM,5,FALSE),"")</f>
        <v>EA</v>
      </c>
      <c r="K5218" s="12">
        <v>1400.0</v>
      </c>
      <c r="L5218" s="13" t="str">
        <f>IF(D5218&lt;&gt;"",VLOOKUP(H5218,TABLEITEM,2,FALSE),"")</f>
        <v/>
      </c>
      <c r="M5218" s="13" t="str">
        <f>IF(D5218&lt;&gt;"",VLOOKUP(H5218,TABLEITEM,3,FALSE),"")</f>
        <v>ชุดสลิงยกของ ยาว 1.5 เมตร</v>
      </c>
      <c r="N5218" s="14">
        <f>INSTOCK!$I5218*INSTOCK!$K5218</f>
        <v>1400</v>
      </c>
      <c r="O5218" s="4"/>
      <c r="P5218" s="4"/>
    </row>
    <row r="5219" ht="15.75" hidden="1" customHeight="1">
      <c r="B5219" s="8">
        <v>5543.0</v>
      </c>
      <c r="C5219" s="9">
        <v>43663.0</v>
      </c>
      <c r="D5219" s="6" t="s">
        <v>6261</v>
      </c>
      <c r="E5219" s="4">
        <v>6.207001055E9</v>
      </c>
      <c r="F5219" s="8" t="s">
        <v>6145</v>
      </c>
      <c r="G5219" s="4" t="s">
        <v>6262</v>
      </c>
      <c r="H5219" s="10" t="s">
        <v>6263</v>
      </c>
      <c r="I5219" s="10">
        <v>2.0</v>
      </c>
      <c r="J5219" s="11" t="str">
        <f>IF(D5219&lt;&gt;"",VLOOKUP(H5219,TABLEITEM,5,FALSE),"")</f>
        <v>EA</v>
      </c>
      <c r="K5219" s="12">
        <v>8600.0</v>
      </c>
      <c r="L5219" s="13" t="str">
        <f>IF(D5219&lt;&gt;"",VLOOKUP(H5219,TABLEITEM,2,FALSE),"")</f>
        <v/>
      </c>
      <c r="M5219" s="13" t="str">
        <f>IF(D5219&lt;&gt;"",VLOOKUP(H5219,TABLEITEM,3,FALSE),"")</f>
        <v>INVERTER,ACE SERIES MODEL FRN0007E2S-4GB(2.2KW 380)</v>
      </c>
      <c r="N5219" s="14">
        <f>INSTOCK!$I5219*INSTOCK!$K5219</f>
        <v>17200</v>
      </c>
      <c r="O5219" s="4"/>
      <c r="P5219" s="4"/>
    </row>
    <row r="5220" ht="15.75" hidden="1" customHeight="1">
      <c r="B5220" s="8">
        <v>5544.0</v>
      </c>
      <c r="C5220" s="9">
        <v>43668.0</v>
      </c>
      <c r="D5220" s="6" t="s">
        <v>6264</v>
      </c>
      <c r="E5220" s="4">
        <v>6.204000627E9</v>
      </c>
      <c r="F5220" s="8" t="s">
        <v>604</v>
      </c>
      <c r="G5220" s="4" t="s">
        <v>1777</v>
      </c>
      <c r="H5220" s="10" t="s">
        <v>3997</v>
      </c>
      <c r="I5220" s="10">
        <v>10000.0</v>
      </c>
      <c r="J5220" s="11" t="str">
        <f>IF(D5220&lt;&gt;"",VLOOKUP(H5220,TABLEITEM,5,FALSE),"")</f>
        <v>EA</v>
      </c>
      <c r="K5220" s="12">
        <v>0.99</v>
      </c>
      <c r="L5220" s="13" t="str">
        <f>IF(D5220&lt;&gt;"",VLOOKUP(H5220,TABLEITEM,2,FALSE),"")</f>
        <v/>
      </c>
      <c r="M5220" s="13" t="str">
        <f>IF(D5220&lt;&gt;"",VLOOKUP(H5220,TABLEITEM,3,FALSE),"")</f>
        <v>สกรูหัวติดแหวน M 6x10</v>
      </c>
      <c r="N5220" s="14">
        <f>INSTOCK!$I5220*INSTOCK!$K5220</f>
        <v>9900</v>
      </c>
      <c r="O5220" s="4" t="s">
        <v>1857</v>
      </c>
      <c r="P5220" s="4"/>
    </row>
    <row r="5221" ht="15.75" hidden="1" customHeight="1">
      <c r="B5221" s="8">
        <v>5545.0</v>
      </c>
      <c r="C5221" s="9">
        <v>43668.0</v>
      </c>
      <c r="D5221" s="6" t="s">
        <v>6265</v>
      </c>
      <c r="E5221" s="4">
        <v>6.207001091E9</v>
      </c>
      <c r="F5221" s="8" t="s">
        <v>604</v>
      </c>
      <c r="G5221" s="4" t="s">
        <v>725</v>
      </c>
      <c r="H5221" s="10" t="s">
        <v>1037</v>
      </c>
      <c r="I5221" s="10">
        <v>200.0</v>
      </c>
      <c r="J5221" s="11" t="str">
        <f>IF(D5221&lt;&gt;"",VLOOKUP(H5221,TABLEITEM,5,FALSE),"")</f>
        <v>M</v>
      </c>
      <c r="K5221" s="12">
        <v>5.0</v>
      </c>
      <c r="L5221" s="13" t="str">
        <f>IF(D5221&lt;&gt;"",VLOOKUP(H5221,TABLEITEM,2,FALSE),"")</f>
        <v/>
      </c>
      <c r="M5221" s="13" t="str">
        <f>IF(D5221&lt;&gt;"",VLOOKUP(H5221,TABLEITEM,3,FALSE),"")</f>
        <v>ยางกันบาดร่อง 6มิล</v>
      </c>
      <c r="N5221" s="14">
        <f>INSTOCK!$I5221*INSTOCK!$K5221</f>
        <v>1000</v>
      </c>
      <c r="O5221" s="4"/>
      <c r="P5221" s="4"/>
    </row>
    <row r="5222" ht="15.75" hidden="1" customHeight="1">
      <c r="B5222" s="8">
        <v>5546.0</v>
      </c>
      <c r="C5222" s="9">
        <v>43668.0</v>
      </c>
      <c r="D5222" s="6" t="s">
        <v>6265</v>
      </c>
      <c r="E5222" s="4">
        <v>6.207001091E9</v>
      </c>
      <c r="F5222" s="8" t="s">
        <v>604</v>
      </c>
      <c r="G5222" s="4" t="s">
        <v>725</v>
      </c>
      <c r="H5222" s="10" t="s">
        <v>726</v>
      </c>
      <c r="I5222" s="10">
        <v>400.0</v>
      </c>
      <c r="J5222" s="11" t="str">
        <f>IF(D5222&lt;&gt;"",VLOOKUP(H5222,TABLEITEM,5,FALSE),"")</f>
        <v>M</v>
      </c>
      <c r="K5222" s="12">
        <v>10.0</v>
      </c>
      <c r="L5222" s="13" t="str">
        <f>IF(D5222&lt;&gt;"",VLOOKUP(H5222,TABLEITEM,2,FALSE),"")</f>
        <v/>
      </c>
      <c r="M5222" s="13" t="str">
        <f>IF(D5222&lt;&gt;"",VLOOKUP(H5222,TABLEITEM,3,FALSE),"")</f>
        <v>ยางกันบาดร่อง 10มิล</v>
      </c>
      <c r="N5222" s="14">
        <f>INSTOCK!$I5222*INSTOCK!$K5222</f>
        <v>4000</v>
      </c>
      <c r="O5222" s="4"/>
      <c r="P5222" s="4"/>
    </row>
    <row r="5223" ht="15.75" hidden="1" customHeight="1">
      <c r="B5223" s="8">
        <v>5547.0</v>
      </c>
      <c r="C5223" s="9">
        <v>43666.0</v>
      </c>
      <c r="D5223" s="6">
        <v>6.20706128E8</v>
      </c>
      <c r="E5223" s="4">
        <v>6.207001089E9</v>
      </c>
      <c r="F5223" s="8" t="s">
        <v>6202</v>
      </c>
      <c r="G5223" s="4" t="s">
        <v>1130</v>
      </c>
      <c r="H5223" s="10" t="s">
        <v>6266</v>
      </c>
      <c r="I5223" s="10">
        <v>4.0</v>
      </c>
      <c r="J5223" s="11" t="str">
        <f>IF(D5223&lt;&gt;"",VLOOKUP(H5223,TABLEITEM,5,FALSE),"")</f>
        <v>EA</v>
      </c>
      <c r="K5223" s="12">
        <v>50.0</v>
      </c>
      <c r="L5223" s="13" t="str">
        <f>IF(D5223&lt;&gt;"",VLOOKUP(H5223,TABLEITEM,2,FALSE),"")</f>
        <v/>
      </c>
      <c r="M5223" s="13" t="str">
        <f>IF(D5223&lt;&gt;"",VLOOKUP(H5223,TABLEITEM,3,FALSE),"")</f>
        <v>ฐานสวิตช์หัวเห็ด CP939</v>
      </c>
      <c r="N5223" s="14">
        <f>INSTOCK!$I5223*INSTOCK!$K5223</f>
        <v>200</v>
      </c>
      <c r="O5223" s="4"/>
      <c r="P5223" s="4"/>
    </row>
    <row r="5224" ht="15.75" hidden="1" customHeight="1">
      <c r="B5224" s="8">
        <v>5548.0</v>
      </c>
      <c r="C5224" s="9">
        <v>43669.0</v>
      </c>
      <c r="D5224" s="6" t="s">
        <v>6267</v>
      </c>
      <c r="E5224" s="4" t="s">
        <v>6268</v>
      </c>
      <c r="F5224" s="8" t="s">
        <v>6269</v>
      </c>
      <c r="G5224" s="4" t="s">
        <v>3029</v>
      </c>
      <c r="H5224" s="10" t="s">
        <v>3030</v>
      </c>
      <c r="I5224" s="10">
        <v>1.0</v>
      </c>
      <c r="J5224" s="11" t="str">
        <f>IF(D5224&lt;&gt;"",VLOOKUP(H5224,TABLEITEM,5,FALSE),"")</f>
        <v>LOT</v>
      </c>
      <c r="K5224" s="12">
        <v>535.0</v>
      </c>
      <c r="L5224" s="13" t="str">
        <f>IF(D5224&lt;&gt;"",VLOOKUP(H5224,TABLEITEM,2,FALSE),"")</f>
        <v/>
      </c>
      <c r="M5224" s="13" t="str">
        <f>IF(D5224&lt;&gt;"",VLOOKUP(H5224,TABLEITEM,3,FALSE),"")</f>
        <v>ค่าชุบ ดีบุกเงา</v>
      </c>
      <c r="N5224" s="14">
        <f>INSTOCK!$I5224*INSTOCK!$K5224</f>
        <v>535</v>
      </c>
      <c r="O5224" s="4" t="s">
        <v>3258</v>
      </c>
      <c r="P5224" s="4"/>
    </row>
    <row r="5225" ht="15.75" hidden="1" customHeight="1">
      <c r="B5225" s="8">
        <v>5549.0</v>
      </c>
      <c r="C5225" s="9">
        <v>43669.0</v>
      </c>
      <c r="D5225" s="6" t="s">
        <v>6270</v>
      </c>
      <c r="E5225" s="4" t="s">
        <v>6271</v>
      </c>
      <c r="F5225" s="8" t="s">
        <v>6272</v>
      </c>
      <c r="G5225" s="4" t="s">
        <v>3029</v>
      </c>
      <c r="H5225" s="10" t="s">
        <v>3030</v>
      </c>
      <c r="I5225" s="10">
        <v>1.0</v>
      </c>
      <c r="J5225" s="11" t="str">
        <f>IF(D5225&lt;&gt;"",VLOOKUP(H5225,TABLEITEM,5,FALSE),"")</f>
        <v>LOT</v>
      </c>
      <c r="K5225" s="12">
        <v>535.0</v>
      </c>
      <c r="L5225" s="13" t="str">
        <f>IF(D5225&lt;&gt;"",VLOOKUP(H5225,TABLEITEM,2,FALSE),"")</f>
        <v/>
      </c>
      <c r="M5225" s="13" t="str">
        <f>IF(D5225&lt;&gt;"",VLOOKUP(H5225,TABLEITEM,3,FALSE),"")</f>
        <v>ค่าชุบ ดีบุกเงา</v>
      </c>
      <c r="N5225" s="14">
        <f>INSTOCK!$I5225*INSTOCK!$K5225</f>
        <v>535</v>
      </c>
      <c r="O5225" s="4" t="s">
        <v>3258</v>
      </c>
      <c r="P5225" s="4"/>
    </row>
    <row r="5226" ht="15.75" hidden="1" customHeight="1">
      <c r="B5226" s="8">
        <v>5550.0</v>
      </c>
      <c r="C5226" s="9">
        <v>43668.0</v>
      </c>
      <c r="D5226" s="6" t="s">
        <v>6273</v>
      </c>
      <c r="E5226" s="4">
        <v>6.207001102E9</v>
      </c>
      <c r="F5226" s="8" t="s">
        <v>6274</v>
      </c>
      <c r="G5226" s="4" t="s">
        <v>1446</v>
      </c>
      <c r="H5226" s="10" t="s">
        <v>6275</v>
      </c>
      <c r="I5226" s="10">
        <v>3.0</v>
      </c>
      <c r="J5226" s="11" t="str">
        <f>IF(D5226&lt;&gt;"",VLOOKUP(H5226,TABLEITEM,5,FALSE),"")</f>
        <v>EA</v>
      </c>
      <c r="K5226" s="12">
        <v>382.5</v>
      </c>
      <c r="L5226" s="13" t="str">
        <f>IF(D5226&lt;&gt;"",VLOOKUP(H5226,TABLEITEM,2,FALSE),"")</f>
        <v/>
      </c>
      <c r="M5226" s="13" t="str">
        <f>IF(D5226&lt;&gt;"",VLOOKUP(H5226,TABLEITEM,3,FALSE),"")</f>
        <v>ไฟหมุน LTE-1101 AC220V RED</v>
      </c>
      <c r="N5226" s="14">
        <f>INSTOCK!$I5226*INSTOCK!$K5226</f>
        <v>1147.5</v>
      </c>
      <c r="O5226" s="4" t="s">
        <v>6276</v>
      </c>
      <c r="P5226" s="4"/>
    </row>
    <row r="5227" ht="15.75" hidden="1" customHeight="1">
      <c r="B5227" s="8">
        <v>5551.0</v>
      </c>
      <c r="C5227" s="9">
        <v>43669.0</v>
      </c>
      <c r="D5227" s="6">
        <v>6.2070663E8</v>
      </c>
      <c r="E5227" s="4">
        <v>6.207001119E9</v>
      </c>
      <c r="F5227" s="8" t="s">
        <v>6277</v>
      </c>
      <c r="G5227" s="4" t="s">
        <v>1130</v>
      </c>
      <c r="H5227" s="10" t="s">
        <v>1582</v>
      </c>
      <c r="I5227" s="10">
        <v>5.0</v>
      </c>
      <c r="J5227" s="11" t="str">
        <f>IF(D5227&lt;&gt;"",VLOOKUP(H5227,TABLEITEM,5,FALSE),"")</f>
        <v>EA</v>
      </c>
      <c r="K5227" s="12">
        <v>147.6</v>
      </c>
      <c r="L5227" s="13" t="str">
        <f>IF(D5227&lt;&gt;"",VLOOKUP(H5227,TABLEITEM,2,FALSE),"")</f>
        <v/>
      </c>
      <c r="M5227" s="13" t="str">
        <f>IF(D5227&lt;&gt;"",VLOOKUP(H5227,TABLEITEM,3,FALSE),"")</f>
        <v>HARMONY XB4 SELECTOR SWITCH ZB4BD2</v>
      </c>
      <c r="N5227" s="14">
        <f>INSTOCK!$I5227*INSTOCK!$K5227</f>
        <v>738</v>
      </c>
      <c r="O5227" s="4" t="s">
        <v>3719</v>
      </c>
      <c r="P5227" s="4"/>
    </row>
    <row r="5228" ht="15.75" hidden="1" customHeight="1">
      <c r="B5228" s="8">
        <v>5552.0</v>
      </c>
      <c r="C5228" s="9">
        <v>43668.0</v>
      </c>
      <c r="D5228" s="6" t="s">
        <v>6278</v>
      </c>
      <c r="E5228" s="4">
        <v>6.207001088E9</v>
      </c>
      <c r="F5228" s="8" t="s">
        <v>6202</v>
      </c>
      <c r="G5228" s="4" t="s">
        <v>1485</v>
      </c>
      <c r="H5228" s="10" t="s">
        <v>6279</v>
      </c>
      <c r="I5228" s="10">
        <v>1.0</v>
      </c>
      <c r="J5228" s="11" t="str">
        <f>IF(D5228&lt;&gt;"",VLOOKUP(H5228,TABLEITEM,5,FALSE),"")</f>
        <v>EA</v>
      </c>
      <c r="K5228" s="12">
        <v>110.7</v>
      </c>
      <c r="L5228" s="13" t="str">
        <f>IF(D5228&lt;&gt;"",VLOOKUP(H5228,TABLEITEM,2,FALSE),"")</f>
        <v/>
      </c>
      <c r="M5228" s="13" t="str">
        <f>IF(D5228&lt;&gt;"",VLOOKUP(H5228,TABLEITEM,3,FALSE),"")</f>
        <v>PILOT LIGHT INTEGRAL LED 230-240 WHITE</v>
      </c>
      <c r="N5228" s="14">
        <f>INSTOCK!$I5228*INSTOCK!$K5228</f>
        <v>110.7</v>
      </c>
      <c r="O5228" s="4"/>
      <c r="P5228" s="4"/>
    </row>
    <row r="5229" ht="15.75" hidden="1" customHeight="1">
      <c r="B5229" s="8">
        <v>5553.0</v>
      </c>
      <c r="C5229" s="9">
        <v>43668.0</v>
      </c>
      <c r="D5229" s="6" t="s">
        <v>6278</v>
      </c>
      <c r="E5229" s="4">
        <v>6.207001088E9</v>
      </c>
      <c r="F5229" s="8" t="s">
        <v>6202</v>
      </c>
      <c r="G5229" s="4" t="s">
        <v>1485</v>
      </c>
      <c r="H5229" s="10" t="s">
        <v>6280</v>
      </c>
      <c r="I5229" s="10">
        <v>1.0</v>
      </c>
      <c r="J5229" s="11" t="str">
        <f>IF(D5229&lt;&gt;"",VLOOKUP(H5229,TABLEITEM,5,FALSE),"")</f>
        <v>EA</v>
      </c>
      <c r="K5229" s="12">
        <v>217.3</v>
      </c>
      <c r="L5229" s="13" t="str">
        <f>IF(D5229&lt;&gt;"",VLOOKUP(H5229,TABLEITEM,2,FALSE),"")</f>
        <v/>
      </c>
      <c r="M5229" s="13" t="str">
        <f>IF(D5229&lt;&gt;"",VLOOKUP(H5229,TABLEITEM,3,FALSE),"")</f>
        <v>EMERGENCY STOP TURN TO RELEASE 1NC</v>
      </c>
      <c r="N5229" s="14">
        <f>INSTOCK!$I5229*INSTOCK!$K5229</f>
        <v>217.3</v>
      </c>
      <c r="O5229" s="4"/>
      <c r="P5229" s="4"/>
    </row>
    <row r="5230" ht="15.75" hidden="1" customHeight="1">
      <c r="B5230" s="8">
        <v>5554.0</v>
      </c>
      <c r="C5230" s="9">
        <v>43665.0</v>
      </c>
      <c r="D5230" s="6" t="s">
        <v>6281</v>
      </c>
      <c r="E5230" s="4">
        <v>6.207001094E9</v>
      </c>
      <c r="F5230" s="8" t="s">
        <v>2663</v>
      </c>
      <c r="G5230" s="4" t="s">
        <v>965</v>
      </c>
      <c r="H5230" s="10" t="s">
        <v>2151</v>
      </c>
      <c r="I5230" s="10">
        <v>2.0</v>
      </c>
      <c r="J5230" s="11" t="str">
        <f>IF(D5230&lt;&gt;"",VLOOKUP(H5230,TABLEITEM,5,FALSE),"")</f>
        <v>EA</v>
      </c>
      <c r="K5230" s="12">
        <v>1400.0</v>
      </c>
      <c r="L5230" s="13" t="str">
        <f>IF(D5230&lt;&gt;"",VLOOKUP(H5230,TABLEITEM,2,FALSE),"")</f>
        <v/>
      </c>
      <c r="M5230" s="13" t="str">
        <f>IF(D5230&lt;&gt;"",VLOOKUP(H5230,TABLEITEM,3,FALSE),"")</f>
        <v>เครื่องเจียร์ 7-100 BOSCH</v>
      </c>
      <c r="N5230" s="14">
        <f>INSTOCK!$I5230*INSTOCK!$K5230</f>
        <v>2800</v>
      </c>
      <c r="O5230" s="4"/>
      <c r="P5230" s="4"/>
    </row>
    <row r="5231" ht="15.75" hidden="1" customHeight="1">
      <c r="B5231" s="8">
        <v>5555.0</v>
      </c>
      <c r="C5231" s="9">
        <v>43668.0</v>
      </c>
      <c r="D5231" s="6" t="s">
        <v>6282</v>
      </c>
      <c r="E5231" s="4">
        <v>6.2070011E9</v>
      </c>
      <c r="F5231" s="8" t="s">
        <v>6283</v>
      </c>
      <c r="G5231" s="4" t="s">
        <v>1485</v>
      </c>
      <c r="H5231" s="10" t="s">
        <v>6284</v>
      </c>
      <c r="I5231" s="10">
        <v>3.0</v>
      </c>
      <c r="J5231" s="11" t="str">
        <f>IF(D5231&lt;&gt;"",VLOOKUP(H5231,TABLEITEM,5,FALSE),"")</f>
        <v>EA</v>
      </c>
      <c r="K5231" s="12">
        <v>135.3</v>
      </c>
      <c r="L5231" s="13" t="str">
        <f>IF(C5231&lt;&gt;"",VLOOKUP(H5231,TABLEITEM,2,FALSE),"")</f>
        <v/>
      </c>
      <c r="M5231" s="13" t="str">
        <f>IF(C5231&lt;&gt;"",VLOOKUP(H5231,TABLEITEM,3,FALSE),"")</f>
        <v>HARMONY XB5 PFUSH COMPLETE PUSHBUTTON #22 1NC RED</v>
      </c>
      <c r="N5231" s="14">
        <f>INSTOCK!$I5231*INSTOCK!$K5231</f>
        <v>405.9</v>
      </c>
      <c r="O5231" s="4"/>
      <c r="P5231" s="4"/>
    </row>
    <row r="5232" ht="15.75" hidden="1" customHeight="1">
      <c r="B5232" s="8">
        <v>5556.0</v>
      </c>
      <c r="C5232" s="9">
        <v>43668.0</v>
      </c>
      <c r="D5232" s="6" t="s">
        <v>6282</v>
      </c>
      <c r="E5232" s="4">
        <v>6.2070011E9</v>
      </c>
      <c r="F5232" s="8" t="s">
        <v>6283</v>
      </c>
      <c r="G5232" s="4" t="s">
        <v>1485</v>
      </c>
      <c r="H5232" s="10" t="s">
        <v>6285</v>
      </c>
      <c r="I5232" s="10">
        <v>3.0</v>
      </c>
      <c r="J5232" s="11" t="str">
        <f>IF(D5232&lt;&gt;"",VLOOKUP(H5232,TABLEITEM,5,FALSE),"")</f>
        <v>EA</v>
      </c>
      <c r="K5232" s="12">
        <v>135.3</v>
      </c>
      <c r="L5232" s="13" t="str">
        <f>IF(D5232&lt;&gt;"",VLOOKUP(H5232,TABLEITEM,2,FALSE),"")</f>
        <v/>
      </c>
      <c r="M5232" s="13" t="str">
        <f>IF(D5232&lt;&gt;"",VLOOKUP(H5232,TABLEITEM,3,FALSE),"")</f>
        <v>HARMONY XB5 PFUSH COMPLETE PUSHBUTTON #22 1NC YELLOW</v>
      </c>
      <c r="N5232" s="14">
        <f>INSTOCK!$I5232*INSTOCK!$K5232</f>
        <v>405.9</v>
      </c>
      <c r="O5232" s="4"/>
      <c r="P5232" s="4"/>
    </row>
    <row r="5233" ht="15.75" hidden="1" customHeight="1">
      <c r="B5233" s="8">
        <v>5557.0</v>
      </c>
      <c r="C5233" s="9">
        <v>43668.0</v>
      </c>
      <c r="D5233" s="6" t="s">
        <v>6282</v>
      </c>
      <c r="E5233" s="4">
        <v>6.2070011E9</v>
      </c>
      <c r="F5233" s="8" t="s">
        <v>6283</v>
      </c>
      <c r="G5233" s="4" t="s">
        <v>1485</v>
      </c>
      <c r="H5233" s="10" t="s">
        <v>6286</v>
      </c>
      <c r="I5233" s="10">
        <v>3.0</v>
      </c>
      <c r="J5233" s="11" t="str">
        <f>IF(D5233&lt;&gt;"",VLOOKUP(H5233,TABLEITEM,5,FALSE),"")</f>
        <v>EA</v>
      </c>
      <c r="K5233" s="12">
        <v>303.4</v>
      </c>
      <c r="L5233" s="13" t="str">
        <f>IF(D5233&lt;&gt;"",VLOOKUP(H5233,TABLEITEM,2,FALSE),"")</f>
        <v/>
      </c>
      <c r="M5233" s="13" t="str">
        <f>IF(D5233&lt;&gt;"",VLOOKUP(H5233,TABLEITEM,3,FALSE),"")</f>
        <v>PUSHBUTTON #22 1NO+1NC 220-240V GREEN</v>
      </c>
      <c r="N5233" s="14">
        <f>INSTOCK!$I5233*INSTOCK!$K5233</f>
        <v>910.2</v>
      </c>
      <c r="O5233" s="4"/>
      <c r="P5233" s="4"/>
    </row>
    <row r="5234" ht="15.75" hidden="1" customHeight="1">
      <c r="B5234" s="8">
        <v>5558.0</v>
      </c>
      <c r="C5234" s="9">
        <v>43668.0</v>
      </c>
      <c r="D5234" s="6" t="s">
        <v>6282</v>
      </c>
      <c r="E5234" s="4">
        <v>6.2070011E9</v>
      </c>
      <c r="F5234" s="8" t="s">
        <v>6283</v>
      </c>
      <c r="G5234" s="4" t="s">
        <v>1485</v>
      </c>
      <c r="H5234" s="10" t="s">
        <v>6287</v>
      </c>
      <c r="I5234" s="10">
        <v>3.0</v>
      </c>
      <c r="J5234" s="11" t="str">
        <f>IF(D5234&lt;&gt;"",VLOOKUP(H5234,TABLEITEM,5,FALSE),"")</f>
        <v>EA</v>
      </c>
      <c r="K5234" s="12">
        <v>225.5</v>
      </c>
      <c r="L5234" s="13" t="str">
        <f>IF(D5234&lt;&gt;"",VLOOKUP(H5234,TABLEITEM,2,FALSE),"")</f>
        <v/>
      </c>
      <c r="M5234" s="13" t="str">
        <f>IF(D5234&lt;&gt;"",VLOOKUP(H5234,TABLEITEM,3,FALSE),"")</f>
        <v>EMERGENCY STOP TURN TO RELEASE 1NC RED</v>
      </c>
      <c r="N5234" s="14">
        <f>INSTOCK!$I5234*INSTOCK!$K5234</f>
        <v>676.5</v>
      </c>
      <c r="O5234" s="4"/>
      <c r="P5234" s="4"/>
    </row>
    <row r="5235" ht="15.75" hidden="1" customHeight="1">
      <c r="B5235" s="8">
        <v>5559.0</v>
      </c>
      <c r="C5235" s="9">
        <v>43668.0</v>
      </c>
      <c r="D5235" s="6" t="s">
        <v>6288</v>
      </c>
      <c r="E5235" s="4" t="s">
        <v>6289</v>
      </c>
      <c r="F5235" s="8" t="s">
        <v>6145</v>
      </c>
      <c r="G5235" s="4" t="s">
        <v>6290</v>
      </c>
      <c r="H5235" s="10" t="s">
        <v>6291</v>
      </c>
      <c r="I5235" s="10">
        <v>50.0</v>
      </c>
      <c r="J5235" s="11" t="str">
        <f>IF(D5235&lt;&gt;"",VLOOKUP(H5235,TABLEITEM,5,FALSE),"")</f>
        <v>EA</v>
      </c>
      <c r="K5235" s="12">
        <v>82.0</v>
      </c>
      <c r="L5235" s="13" t="str">
        <f>IF(D5235&lt;&gt;"",VLOOKUP(H5235,TABLEITEM,2,FALSE),"")</f>
        <v/>
      </c>
      <c r="M5235" s="13" t="str">
        <f>IF(D5235&lt;&gt;"",VLOOKUP(H5235,TABLEITEM,3,FALSE),"")</f>
        <v>สาย YSLY-JZ 4x2.5</v>
      </c>
      <c r="N5235" s="14">
        <f>INSTOCK!$I5235*INSTOCK!$K5235</f>
        <v>4100</v>
      </c>
      <c r="O5235" s="4"/>
      <c r="P5235" s="4"/>
    </row>
    <row r="5236" ht="15.75" hidden="1" customHeight="1">
      <c r="B5236" s="8">
        <v>5560.0</v>
      </c>
      <c r="C5236" s="9">
        <v>43668.0</v>
      </c>
      <c r="D5236" s="6" t="s">
        <v>6288</v>
      </c>
      <c r="E5236" s="4" t="s">
        <v>6289</v>
      </c>
      <c r="F5236" s="8" t="s">
        <v>6145</v>
      </c>
      <c r="G5236" s="4" t="s">
        <v>6290</v>
      </c>
      <c r="H5236" s="10" t="s">
        <v>6292</v>
      </c>
      <c r="I5236" s="10">
        <v>30.0</v>
      </c>
      <c r="J5236" s="11" t="str">
        <f>IF(D5236&lt;&gt;"",VLOOKUP(H5236,TABLEITEM,5,FALSE),"")</f>
        <v>EA</v>
      </c>
      <c r="K5236" s="12">
        <v>68.0</v>
      </c>
      <c r="L5236" s="13" t="str">
        <f>IF(D5236&lt;&gt;"",VLOOKUP(H5236,TABLEITEM,2,FALSE),"")</f>
        <v/>
      </c>
      <c r="M5236" s="13" t="str">
        <f>IF(D5236&lt;&gt;"",VLOOKUP(H5236,TABLEITEM,3,FALSE),"")</f>
        <v>สาย LIY-CY 3x1.5</v>
      </c>
      <c r="N5236" s="14">
        <f>INSTOCK!$I5236*INSTOCK!$K5236</f>
        <v>2040</v>
      </c>
      <c r="O5236" s="4"/>
      <c r="P5236" s="4"/>
    </row>
    <row r="5237" ht="15.75" hidden="1" customHeight="1">
      <c r="B5237" s="8">
        <v>5561.0</v>
      </c>
      <c r="C5237" s="9">
        <v>43668.0</v>
      </c>
      <c r="D5237" s="6" t="s">
        <v>6293</v>
      </c>
      <c r="E5237" s="4">
        <v>6.207001113E9</v>
      </c>
      <c r="F5237" s="8" t="s">
        <v>6246</v>
      </c>
      <c r="G5237" s="4" t="s">
        <v>692</v>
      </c>
      <c r="H5237" s="10" t="s">
        <v>2244</v>
      </c>
      <c r="I5237" s="10">
        <v>1.0</v>
      </c>
      <c r="J5237" s="11" t="str">
        <f>IF(D5237&lt;&gt;"",VLOOKUP(H5237,TABLEITEM,5,FALSE),"")</f>
        <v>EA</v>
      </c>
      <c r="K5237" s="12">
        <v>314.21</v>
      </c>
      <c r="L5237" s="13" t="str">
        <f>IF(D5237&lt;&gt;"",VLOOKUP(H5237,TABLEITEM,2,FALSE),"")</f>
        <v/>
      </c>
      <c r="M5237" s="13" t="str">
        <f>IF(D5237&lt;&gt;"",VLOOKUP(H5237,TABLEITEM,3,FALSE),"")</f>
        <v>CONTACTORS AF09-30-10</v>
      </c>
      <c r="N5237" s="14">
        <f>INSTOCK!$I5237*INSTOCK!$K5237</f>
        <v>314.21</v>
      </c>
      <c r="O5237" s="4" t="s">
        <v>6294</v>
      </c>
      <c r="P5237" s="4"/>
    </row>
    <row r="5238" ht="15.75" hidden="1" customHeight="1">
      <c r="B5238" s="8">
        <v>5562.0</v>
      </c>
      <c r="C5238" s="9">
        <v>43668.0</v>
      </c>
      <c r="D5238" s="6" t="s">
        <v>6293</v>
      </c>
      <c r="E5238" s="4">
        <v>6.207001113E9</v>
      </c>
      <c r="F5238" s="8" t="s">
        <v>6246</v>
      </c>
      <c r="G5238" s="4" t="s">
        <v>692</v>
      </c>
      <c r="H5238" s="10" t="s">
        <v>6203</v>
      </c>
      <c r="I5238" s="10">
        <v>1.0</v>
      </c>
      <c r="J5238" s="11" t="str">
        <f>IF(D5238&lt;&gt;"",VLOOKUP(H5238,TABLEITEM,5,FALSE),"")</f>
        <v>EA</v>
      </c>
      <c r="K5238" s="12">
        <v>1120.0</v>
      </c>
      <c r="L5238" s="13" t="str">
        <f>IF(D5238&lt;&gt;"",VLOOKUP(H5238,TABLEITEM,2,FALSE),"")</f>
        <v/>
      </c>
      <c r="M5238" s="13" t="str">
        <f>IF(D5238&lt;&gt;"",VLOOKUP(H5238,TABLEITEM,3,FALSE),"")</f>
        <v>MCCB A1A125 TMF 30A 3P</v>
      </c>
      <c r="N5238" s="14">
        <f>INSTOCK!$I5238*INSTOCK!$K5238</f>
        <v>1120</v>
      </c>
      <c r="O5238" s="4" t="s">
        <v>5524</v>
      </c>
      <c r="P5238" s="4"/>
    </row>
    <row r="5239" ht="15.75" hidden="1" customHeight="1">
      <c r="B5239" s="8">
        <v>5563.0</v>
      </c>
      <c r="C5239" s="9">
        <v>43668.0</v>
      </c>
      <c r="D5239" s="6" t="s">
        <v>6293</v>
      </c>
      <c r="E5239" s="4">
        <v>6.207001113E9</v>
      </c>
      <c r="F5239" s="8" t="s">
        <v>6246</v>
      </c>
      <c r="G5239" s="4" t="s">
        <v>692</v>
      </c>
      <c r="H5239" s="10" t="s">
        <v>2241</v>
      </c>
      <c r="I5239" s="10">
        <v>4.0</v>
      </c>
      <c r="J5239" s="11" t="str">
        <f>IF(D5239&lt;&gt;"",VLOOKUP(H5239,TABLEITEM,5,FALSE),"")</f>
        <v>EA</v>
      </c>
      <c r="K5239" s="12">
        <v>305.6625</v>
      </c>
      <c r="L5239" s="13" t="str">
        <f>IF(D5239&lt;&gt;"",VLOOKUP(H5239,TABLEITEM,2,FALSE),"")</f>
        <v/>
      </c>
      <c r="M5239" s="13" t="str">
        <f>IF(D5239&lt;&gt;"",VLOOKUP(H5239,TABLEITEM,3,FALSE),"")</f>
        <v>MCB 2P 10A 10KA</v>
      </c>
      <c r="N5239" s="14">
        <f>INSTOCK!$I5239*INSTOCK!$K5239</f>
        <v>1222.65</v>
      </c>
      <c r="O5239" s="4" t="s">
        <v>1825</v>
      </c>
      <c r="P5239" s="4"/>
    </row>
    <row r="5240" ht="15.75" hidden="1" customHeight="1">
      <c r="B5240" s="8">
        <v>5564.0</v>
      </c>
      <c r="C5240" s="9">
        <v>43668.0</v>
      </c>
      <c r="D5240" s="6" t="s">
        <v>6293</v>
      </c>
      <c r="E5240" s="4">
        <v>6.207001113E9</v>
      </c>
      <c r="F5240" s="8" t="s">
        <v>6246</v>
      </c>
      <c r="G5240" s="4" t="s">
        <v>692</v>
      </c>
      <c r="H5240" s="10" t="s">
        <v>6295</v>
      </c>
      <c r="I5240" s="10">
        <v>7.0</v>
      </c>
      <c r="J5240" s="11" t="str">
        <f>IF(D5240&lt;&gt;"",VLOOKUP(H5240,TABLEITEM,5,FALSE),"")</f>
        <v>EA</v>
      </c>
      <c r="K5240" s="12">
        <v>188.1</v>
      </c>
      <c r="L5240" s="13" t="str">
        <f>IF(D5240&lt;&gt;"",VLOOKUP(H5240,TABLEITEM,2,FALSE),"")</f>
        <v/>
      </c>
      <c r="M5240" s="13" t="str">
        <f>IF(D5240&lt;&gt;"",VLOOKUP(H5240,TABLEITEM,3,FALSE),"")</f>
        <v>MCB 1P 6A 10KA</v>
      </c>
      <c r="N5240" s="14">
        <f>INSTOCK!$I5240*INSTOCK!$K5240</f>
        <v>1316.7</v>
      </c>
      <c r="O5240" s="4" t="s">
        <v>6296</v>
      </c>
      <c r="P5240" s="4"/>
    </row>
    <row r="5241" ht="15.75" hidden="1" customHeight="1">
      <c r="B5241" s="8">
        <v>5565.0</v>
      </c>
      <c r="C5241" s="9">
        <v>43668.0</v>
      </c>
      <c r="D5241" s="6" t="s">
        <v>6297</v>
      </c>
      <c r="E5241" s="4">
        <v>6.207001112E9</v>
      </c>
      <c r="F5241" s="8" t="s">
        <v>6246</v>
      </c>
      <c r="G5241" s="4" t="s">
        <v>1512</v>
      </c>
      <c r="H5241" s="10" t="s">
        <v>6298</v>
      </c>
      <c r="I5241" s="10">
        <v>1.0</v>
      </c>
      <c r="J5241" s="11" t="str">
        <f>IF(D5241&lt;&gt;"",VLOOKUP(H5241,TABLEITEM,5,FALSE),"")</f>
        <v>EA</v>
      </c>
      <c r="K5241" s="12">
        <v>2570.0</v>
      </c>
      <c r="L5241" s="13" t="str">
        <f>IF(D5241&lt;&gt;"",VLOOKUP(H5241,TABLEITEM,2,FALSE),"")</f>
        <v/>
      </c>
      <c r="M5241" s="13" t="str">
        <f>IF(D5241&lt;&gt;"",VLOOKUP(H5241,TABLEITEM,3,FALSE),"")</f>
        <v>THERMITOR MOTOR RELAY 2C/O 110-130 CM-MSS-223S</v>
      </c>
      <c r="N5241" s="14">
        <f>INSTOCK!$I5241*INSTOCK!$K5241</f>
        <v>2570</v>
      </c>
      <c r="O5241" s="4"/>
      <c r="P5241" s="4"/>
    </row>
    <row r="5242" ht="15.75" hidden="1" customHeight="1">
      <c r="B5242" s="8">
        <v>5566.0</v>
      </c>
      <c r="C5242" s="9">
        <v>43668.0</v>
      </c>
      <c r="D5242" s="6" t="s">
        <v>6297</v>
      </c>
      <c r="E5242" s="4">
        <v>6.207001112E9</v>
      </c>
      <c r="F5242" s="8" t="s">
        <v>6246</v>
      </c>
      <c r="G5242" s="4" t="s">
        <v>1512</v>
      </c>
      <c r="H5242" s="10" t="s">
        <v>6299</v>
      </c>
      <c r="I5242" s="10">
        <v>1.0</v>
      </c>
      <c r="J5242" s="11" t="str">
        <f>IF(D5242&lt;&gt;"",VLOOKUP(H5242,TABLEITEM,5,FALSE),"")</f>
        <v>EA</v>
      </c>
      <c r="K5242" s="12">
        <v>951.57</v>
      </c>
      <c r="L5242" s="13" t="str">
        <f>IF(D5242&lt;&gt;"",VLOOKUP(H5242,TABLEITEM,2,FALSE),"")</f>
        <v/>
      </c>
      <c r="M5242" s="13" t="str">
        <f>IF(D5242&lt;&gt;"",VLOOKUP(H5242,TABLEITEM,3,FALSE),"")</f>
        <v>MANULA MOTOR STAETER 4A MS132</v>
      </c>
      <c r="N5242" s="14">
        <f>INSTOCK!$I5242*INSTOCK!$K5242</f>
        <v>951.57</v>
      </c>
      <c r="O5242" s="4" t="s">
        <v>6300</v>
      </c>
      <c r="P5242" s="4"/>
    </row>
    <row r="5243" ht="15.75" hidden="1" customHeight="1">
      <c r="B5243" s="8">
        <v>5567.0</v>
      </c>
      <c r="C5243" s="9">
        <v>43668.0</v>
      </c>
      <c r="D5243" s="6" t="s">
        <v>6297</v>
      </c>
      <c r="E5243" s="4">
        <v>6.207001112E9</v>
      </c>
      <c r="F5243" s="8" t="s">
        <v>6246</v>
      </c>
      <c r="G5243" s="4" t="s">
        <v>1512</v>
      </c>
      <c r="H5243" s="10" t="s">
        <v>6301</v>
      </c>
      <c r="I5243" s="10">
        <v>1.0</v>
      </c>
      <c r="J5243" s="11" t="str">
        <f>IF(D5243&lt;&gt;"",VLOOKUP(H5243,TABLEITEM,5,FALSE),"")</f>
        <v>EA</v>
      </c>
      <c r="K5243" s="12">
        <v>229.16</v>
      </c>
      <c r="L5243" s="13" t="str">
        <f>IF(D5243&lt;&gt;"",VLOOKUP(H5243,TABLEITEM,2,FALSE),"")</f>
        <v/>
      </c>
      <c r="M5243" s="13" t="str">
        <f>IF(D5243&lt;&gt;"",VLOOKUP(H5243,TABLEITEM,3,FALSE),"")</f>
        <v>AUX.CONTACT FOR MS116 MS132 SK1-20</v>
      </c>
      <c r="N5243" s="14">
        <f>INSTOCK!$I5243*INSTOCK!$K5243</f>
        <v>229.16</v>
      </c>
      <c r="O5243" s="4" t="s">
        <v>6302</v>
      </c>
      <c r="P5243" s="4"/>
    </row>
    <row r="5244" ht="15.75" hidden="1" customHeight="1">
      <c r="B5244" s="8">
        <v>5568.0</v>
      </c>
      <c r="C5244" s="9">
        <v>43668.0</v>
      </c>
      <c r="D5244" s="6" t="s">
        <v>6303</v>
      </c>
      <c r="E5244" s="4">
        <v>6.207001111E9</v>
      </c>
      <c r="F5244" s="8" t="s">
        <v>6304</v>
      </c>
      <c r="G5244" s="4" t="s">
        <v>1516</v>
      </c>
      <c r="H5244" s="10" t="s">
        <v>6305</v>
      </c>
      <c r="I5244" s="10">
        <v>1.0</v>
      </c>
      <c r="J5244" s="11" t="str">
        <f>IF(D5244&lt;&gt;"",VLOOKUP(H5244,TABLEITEM,5,FALSE),"")</f>
        <v>EA</v>
      </c>
      <c r="K5244" s="12">
        <v>110.7</v>
      </c>
      <c r="L5244" s="13" t="str">
        <f>IF(D5244&lt;&gt;"",VLOOKUP(H5244,TABLEITEM,2,FALSE),"")</f>
        <v/>
      </c>
      <c r="M5244" s="13" t="str">
        <f>IF(D5244&lt;&gt;"",VLOOKUP(H5244,TABLEITEM,3,FALSE),"")</f>
        <v>PILOT LIGHT 230-240V BLUE </v>
      </c>
      <c r="N5244" s="14">
        <f>INSTOCK!$I5244*INSTOCK!$K5244</f>
        <v>110.7</v>
      </c>
      <c r="O5244" s="4" t="s">
        <v>6306</v>
      </c>
      <c r="P5244" s="4"/>
    </row>
    <row r="5245" ht="15.75" hidden="1" customHeight="1">
      <c r="B5245" s="8">
        <v>5569.0</v>
      </c>
      <c r="C5245" s="9">
        <v>43668.0</v>
      </c>
      <c r="D5245" s="6" t="s">
        <v>6303</v>
      </c>
      <c r="E5245" s="4">
        <v>6.207001111E9</v>
      </c>
      <c r="F5245" s="8" t="s">
        <v>6304</v>
      </c>
      <c r="G5245" s="4" t="s">
        <v>1516</v>
      </c>
      <c r="H5245" s="10" t="s">
        <v>6307</v>
      </c>
      <c r="I5245" s="10">
        <v>2.0</v>
      </c>
      <c r="J5245" s="11" t="str">
        <f>IF(D5245&lt;&gt;"",VLOOKUP(H5245,TABLEITEM,5,FALSE),"")</f>
        <v>EA</v>
      </c>
      <c r="K5245" s="12">
        <v>110.7</v>
      </c>
      <c r="L5245" s="13" t="str">
        <f>IF(D5245&lt;&gt;"",VLOOKUP(H5245,TABLEITEM,2,FALSE),"")</f>
        <v/>
      </c>
      <c r="M5245" s="13" t="str">
        <f>IF(D5245&lt;&gt;"",VLOOKUP(H5245,TABLEITEM,3,FALSE),"")</f>
        <v>PILOT LIGHT 24V WHITE</v>
      </c>
      <c r="N5245" s="14">
        <f>INSTOCK!$I5245*INSTOCK!$K5245</f>
        <v>221.4</v>
      </c>
      <c r="O5245" s="4" t="s">
        <v>6306</v>
      </c>
      <c r="P5245" s="4"/>
    </row>
    <row r="5246" ht="15.75" hidden="1" customHeight="1">
      <c r="B5246" s="8">
        <v>5570.0</v>
      </c>
      <c r="C5246" s="9">
        <v>43668.0</v>
      </c>
      <c r="D5246" s="6" t="s">
        <v>6303</v>
      </c>
      <c r="E5246" s="4">
        <v>6.207001111E9</v>
      </c>
      <c r="F5246" s="8" t="s">
        <v>6304</v>
      </c>
      <c r="G5246" s="4" t="s">
        <v>1516</v>
      </c>
      <c r="H5246" s="10" t="s">
        <v>6308</v>
      </c>
      <c r="I5246" s="10">
        <v>2.0</v>
      </c>
      <c r="J5246" s="11" t="str">
        <f>IF(D5246&lt;&gt;"",VLOOKUP(H5246,TABLEITEM,5,FALSE),"")</f>
        <v>EA</v>
      </c>
      <c r="K5246" s="12">
        <v>110.7</v>
      </c>
      <c r="L5246" s="13" t="str">
        <f>IF(D5246&lt;&gt;"",VLOOKUP(H5246,TABLEITEM,2,FALSE),"")</f>
        <v/>
      </c>
      <c r="M5246" s="13" t="str">
        <f>IF(D5246&lt;&gt;"",VLOOKUP(H5246,TABLEITEM,3,FALSE),"")</f>
        <v>PILOT LIGHT 24V GREEN</v>
      </c>
      <c r="N5246" s="14">
        <f>INSTOCK!$I5246*INSTOCK!$K5246</f>
        <v>221.4</v>
      </c>
      <c r="O5246" s="4" t="s">
        <v>6306</v>
      </c>
      <c r="P5246" s="4"/>
    </row>
    <row r="5247" ht="15.75" hidden="1" customHeight="1">
      <c r="B5247" s="8">
        <v>5571.0</v>
      </c>
      <c r="C5247" s="9">
        <v>43668.0</v>
      </c>
      <c r="D5247" s="6" t="s">
        <v>6303</v>
      </c>
      <c r="E5247" s="4">
        <v>6.207001111E9</v>
      </c>
      <c r="F5247" s="8" t="s">
        <v>6304</v>
      </c>
      <c r="G5247" s="4" t="s">
        <v>1516</v>
      </c>
      <c r="H5247" s="10" t="s">
        <v>6309</v>
      </c>
      <c r="I5247" s="10">
        <v>2.0</v>
      </c>
      <c r="J5247" s="11" t="str">
        <f>IF(D5247&lt;&gt;"",VLOOKUP(H5247,TABLEITEM,5,FALSE),"")</f>
        <v>EA</v>
      </c>
      <c r="K5247" s="12">
        <v>110.7</v>
      </c>
      <c r="L5247" s="13" t="str">
        <f>IF(D5247&lt;&gt;"",VLOOKUP(H5247,TABLEITEM,2,FALSE),"")</f>
        <v/>
      </c>
      <c r="M5247" s="13" t="str">
        <f>IF(D5247&lt;&gt;"",VLOOKUP(H5247,TABLEITEM,3,FALSE),"")</f>
        <v>PILOT LIGHT 24V YELLOW</v>
      </c>
      <c r="N5247" s="14">
        <f>INSTOCK!$I5247*INSTOCK!$K5247</f>
        <v>221.4</v>
      </c>
      <c r="O5247" s="4" t="s">
        <v>6306</v>
      </c>
      <c r="P5247" s="4"/>
    </row>
    <row r="5248" ht="15.75" hidden="1" customHeight="1">
      <c r="B5248" s="8">
        <v>5572.0</v>
      </c>
      <c r="C5248" s="9">
        <v>43668.0</v>
      </c>
      <c r="D5248" s="6" t="s">
        <v>6303</v>
      </c>
      <c r="E5248" s="4">
        <v>6.207001111E9</v>
      </c>
      <c r="F5248" s="8" t="s">
        <v>6304</v>
      </c>
      <c r="G5248" s="4" t="s">
        <v>1516</v>
      </c>
      <c r="H5248" s="10" t="s">
        <v>6287</v>
      </c>
      <c r="I5248" s="10">
        <v>1.0</v>
      </c>
      <c r="J5248" s="11" t="str">
        <f>IF(D5248&lt;&gt;"",VLOOKUP(H5248,TABLEITEM,5,FALSE),"")</f>
        <v>EA</v>
      </c>
      <c r="K5248" s="12">
        <v>225.5</v>
      </c>
      <c r="L5248" s="13" t="str">
        <f>IF(D5248&lt;&gt;"",VLOOKUP(H5248,TABLEITEM,2,FALSE),"")</f>
        <v/>
      </c>
      <c r="M5248" s="13" t="str">
        <f>IF(D5248&lt;&gt;"",VLOOKUP(H5248,TABLEITEM,3,FALSE),"")</f>
        <v>EMERGENCY STOP TURN TO RELEASE 1NC RED</v>
      </c>
      <c r="N5248" s="14">
        <f>INSTOCK!$I5248*INSTOCK!$K5248</f>
        <v>225.5</v>
      </c>
      <c r="O5248" s="4" t="s">
        <v>6310</v>
      </c>
      <c r="P5248" s="4"/>
    </row>
    <row r="5249" ht="15.75" hidden="1" customHeight="1">
      <c r="B5249" s="8">
        <v>5573.0</v>
      </c>
      <c r="C5249" s="9">
        <v>43668.0</v>
      </c>
      <c r="D5249" s="6" t="s">
        <v>6311</v>
      </c>
      <c r="E5249" s="4">
        <v>6.206000966E9</v>
      </c>
      <c r="F5249" s="8" t="s">
        <v>1989</v>
      </c>
      <c r="G5249" s="4" t="s">
        <v>1990</v>
      </c>
      <c r="H5249" s="10" t="s">
        <v>6312</v>
      </c>
      <c r="I5249" s="10">
        <v>1.0</v>
      </c>
      <c r="J5249" s="11" t="str">
        <f>IF(D5249&lt;&gt;"",VLOOKUP(H5249,TABLEITEM,5,FALSE),"")</f>
        <v>EA</v>
      </c>
      <c r="K5249" s="12">
        <v>385.0</v>
      </c>
      <c r="L5249" s="13" t="str">
        <f>IF(D5249&lt;&gt;"",VLOOKUP(H5249,TABLEITEM,2,FALSE),"")</f>
        <v/>
      </c>
      <c r="M5249" s="13" t="str">
        <f>IF(D5249&lt;&gt;"",VLOOKUP(H5249,TABLEITEM,3,FALSE),"")</f>
        <v>เครื่องคิดเลข AX-120ST</v>
      </c>
      <c r="N5249" s="14">
        <f>INSTOCK!$I5249*INSTOCK!$K5249</f>
        <v>385</v>
      </c>
      <c r="O5249" s="4"/>
      <c r="P5249" s="4"/>
    </row>
    <row r="5250" ht="15.75" hidden="1" customHeight="1">
      <c r="B5250" s="8">
        <v>5574.0</v>
      </c>
      <c r="C5250" s="9">
        <v>43668.0</v>
      </c>
      <c r="D5250" s="6" t="s">
        <v>6311</v>
      </c>
      <c r="E5250" s="4">
        <v>6.206000966E9</v>
      </c>
      <c r="F5250" s="8" t="s">
        <v>1989</v>
      </c>
      <c r="G5250" s="4" t="s">
        <v>1990</v>
      </c>
      <c r="H5250" s="10" t="s">
        <v>6313</v>
      </c>
      <c r="I5250" s="10">
        <v>1.0</v>
      </c>
      <c r="J5250" s="11" t="str">
        <f>IF(D5250&lt;&gt;"",VLOOKUP(H5250,TABLEITEM,5,FALSE),"")</f>
        <v>EA</v>
      </c>
      <c r="K5250" s="12">
        <v>45.0</v>
      </c>
      <c r="L5250" s="13" t="str">
        <f>IF(D5250&lt;&gt;"",VLOOKUP(H5250,TABLEITEM,2,FALSE),"")</f>
        <v/>
      </c>
      <c r="M5250" s="13" t="str">
        <f>IF(D5250&lt;&gt;"",VLOOKUP(H5250,TABLEITEM,3,FALSE),"")</f>
        <v>ที่ถอนลวดแบบคีม 1039A</v>
      </c>
      <c r="N5250" s="14">
        <f>INSTOCK!$I5250*INSTOCK!$K5250</f>
        <v>45</v>
      </c>
      <c r="O5250" s="4"/>
      <c r="P5250" s="4"/>
    </row>
    <row r="5251" ht="15.75" hidden="1" customHeight="1">
      <c r="B5251" s="8">
        <v>5575.0</v>
      </c>
      <c r="C5251" s="9">
        <v>43668.0</v>
      </c>
      <c r="D5251" s="6" t="s">
        <v>6311</v>
      </c>
      <c r="E5251" s="4">
        <v>6.206000966E9</v>
      </c>
      <c r="F5251" s="8" t="s">
        <v>1989</v>
      </c>
      <c r="G5251" s="4" t="s">
        <v>1990</v>
      </c>
      <c r="H5251" s="10" t="s">
        <v>4174</v>
      </c>
      <c r="I5251" s="10">
        <v>1.0</v>
      </c>
      <c r="J5251" s="11" t="str">
        <f>IF(D5251&lt;&gt;"",VLOOKUP(H5251,TABLEITEM,5,FALSE),"")</f>
        <v>EA</v>
      </c>
      <c r="K5251" s="12">
        <v>25.0</v>
      </c>
      <c r="L5251" s="13" t="str">
        <f>IF(D5251&lt;&gt;"",VLOOKUP(H5251,TABLEITEM,2,FALSE),"")</f>
        <v/>
      </c>
      <c r="M5251" s="13" t="str">
        <f>IF(D5251&lt;&gt;"",VLOOKUP(H5251,TABLEITEM,3,FALSE),"")</f>
        <v>ฟุตเหล็ก 12"</v>
      </c>
      <c r="N5251" s="14">
        <f>INSTOCK!$I5251*INSTOCK!$K5251</f>
        <v>25</v>
      </c>
      <c r="O5251" s="4"/>
      <c r="P5251" s="4"/>
    </row>
    <row r="5252" ht="15.75" hidden="1" customHeight="1">
      <c r="B5252" s="8">
        <v>5576.0</v>
      </c>
      <c r="C5252" s="9">
        <v>43668.0</v>
      </c>
      <c r="D5252" s="6" t="s">
        <v>6314</v>
      </c>
      <c r="E5252" s="4">
        <v>6.207001081E9</v>
      </c>
      <c r="F5252" s="8" t="s">
        <v>1989</v>
      </c>
      <c r="G5252" s="4" t="s">
        <v>1990</v>
      </c>
      <c r="H5252" s="10" t="s">
        <v>1992</v>
      </c>
      <c r="I5252" s="10">
        <v>2.0</v>
      </c>
      <c r="J5252" s="11" t="str">
        <f>IF(D5252&lt;&gt;"",VLOOKUP(H5252,TABLEITEM,5,FALSE),"")</f>
        <v>PACK</v>
      </c>
      <c r="K5252" s="12">
        <v>119.0</v>
      </c>
      <c r="L5252" s="13" t="str">
        <f>IF(D5252&lt;&gt;"",VLOOKUP(H5252,TABLEITEM,2,FALSE),"")</f>
        <v/>
      </c>
      <c r="M5252" s="13" t="str">
        <f>IF(D5252&lt;&gt;"",VLOOKUP(H5252,TABLEITEM,3,FALSE),"")</f>
        <v>ถ่านอัลคาไลน์ Panasonic AA (แพ็ค 8ก้อน)</v>
      </c>
      <c r="N5252" s="14">
        <f>INSTOCK!$I5252*INSTOCK!$K5252</f>
        <v>238</v>
      </c>
      <c r="O5252" s="4"/>
      <c r="P5252" s="4"/>
    </row>
    <row r="5253" ht="15.75" hidden="1" customHeight="1">
      <c r="B5253" s="8">
        <v>5577.0</v>
      </c>
      <c r="C5253" s="9">
        <v>43668.0</v>
      </c>
      <c r="D5253" s="6" t="s">
        <v>6314</v>
      </c>
      <c r="E5253" s="4">
        <v>6.207001081E9</v>
      </c>
      <c r="F5253" s="8" t="s">
        <v>1989</v>
      </c>
      <c r="G5253" s="4" t="s">
        <v>1990</v>
      </c>
      <c r="H5253" s="10" t="s">
        <v>3419</v>
      </c>
      <c r="I5253" s="10">
        <v>1.0</v>
      </c>
      <c r="J5253" s="11" t="str">
        <f>IF(D5253&lt;&gt;"",VLOOKUP(H5253,TABLEITEM,5,FALSE),"")</f>
        <v>pack</v>
      </c>
      <c r="K5253" s="12">
        <v>119.0</v>
      </c>
      <c r="L5253" s="13" t="str">
        <f>IF(D5253&lt;&gt;"",VLOOKUP(H5253,TABLEITEM,2,FALSE),"")</f>
        <v/>
      </c>
      <c r="M5253" s="13" t="str">
        <f>IF(D5253&lt;&gt;"",VLOOKUP(H5253,TABLEITEM,3,FALSE),"")</f>
        <v>ถ่านอัลคาไลน์ panasonic AAA (แพ็ค 8ก้อน)</v>
      </c>
      <c r="N5253" s="14">
        <f>INSTOCK!$I5253*INSTOCK!$K5253</f>
        <v>119</v>
      </c>
      <c r="O5253" s="4"/>
      <c r="P5253" s="4"/>
    </row>
    <row r="5254" ht="15.75" hidden="1" customHeight="1">
      <c r="B5254" s="8">
        <v>5578.0</v>
      </c>
      <c r="C5254" s="9">
        <v>43668.0</v>
      </c>
      <c r="D5254" s="6" t="s">
        <v>6314</v>
      </c>
      <c r="E5254" s="4">
        <v>6.207001081E9</v>
      </c>
      <c r="F5254" s="8" t="s">
        <v>1989</v>
      </c>
      <c r="G5254" s="4" t="s">
        <v>1990</v>
      </c>
      <c r="H5254" s="10" t="s">
        <v>2439</v>
      </c>
      <c r="I5254" s="10">
        <v>6.0</v>
      </c>
      <c r="J5254" s="11" t="str">
        <f>IF(D5254&lt;&gt;"",VLOOKUP(H5254,TABLEITEM,5,FALSE),"")</f>
        <v>EA</v>
      </c>
      <c r="K5254" s="12">
        <v>29.0</v>
      </c>
      <c r="L5254" s="13" t="str">
        <f>IF(D5254&lt;&gt;"",VLOOKUP(H5254,TABLEITEM,2,FALSE),"")</f>
        <v/>
      </c>
      <c r="M5254" s="13" t="str">
        <f>IF(D5254&lt;&gt;"",VLOOKUP(H5254,TABLEITEM,3,FALSE),"")</f>
        <v>ปากกาลบคำผิด ควอนตั้ม มารีนบลู 5มล.</v>
      </c>
      <c r="N5254" s="14">
        <f>INSTOCK!$I5254*INSTOCK!$K5254</f>
        <v>174</v>
      </c>
      <c r="O5254" s="4"/>
      <c r="P5254" s="4"/>
    </row>
    <row r="5255" ht="15.75" hidden="1" customHeight="1">
      <c r="B5255" s="8">
        <v>5579.0</v>
      </c>
      <c r="C5255" s="9">
        <v>43668.0</v>
      </c>
      <c r="D5255" s="6" t="s">
        <v>6314</v>
      </c>
      <c r="E5255" s="4">
        <v>6.207001081E9</v>
      </c>
      <c r="F5255" s="8" t="s">
        <v>1989</v>
      </c>
      <c r="G5255" s="4" t="s">
        <v>1990</v>
      </c>
      <c r="H5255" s="10" t="s">
        <v>1991</v>
      </c>
      <c r="I5255" s="10">
        <v>12.0</v>
      </c>
      <c r="J5255" s="11" t="str">
        <f>IF(D5255&lt;&gt;"",VLOOKUP(H5255,TABLEITEM,5,FALSE),"")</f>
        <v>EA</v>
      </c>
      <c r="K5255" s="12">
        <v>8.5</v>
      </c>
      <c r="L5255" s="13" t="str">
        <f>IF(D5255&lt;&gt;"",VLOOKUP(H5255,TABLEITEM,2,FALSE),"")</f>
        <v/>
      </c>
      <c r="M5255" s="13" t="str">
        <f>IF(D5255&lt;&gt;"",VLOOKUP(H5255,TABLEITEM,3,FALSE),"")</f>
        <v>ปากกาเคมี/มาร์คเกอร์ ตราม้า 2หัว น้ำเงิน</v>
      </c>
      <c r="N5255" s="14">
        <f>INSTOCK!$I5255*INSTOCK!$K5255</f>
        <v>102</v>
      </c>
      <c r="O5255" s="4"/>
      <c r="P5255" s="4"/>
    </row>
    <row r="5256" ht="15.75" hidden="1" customHeight="1">
      <c r="B5256" s="8">
        <v>5580.0</v>
      </c>
      <c r="C5256" s="9">
        <v>43668.0</v>
      </c>
      <c r="D5256" s="6" t="s">
        <v>6314</v>
      </c>
      <c r="E5256" s="4">
        <v>6.207001081E9</v>
      </c>
      <c r="F5256" s="8" t="s">
        <v>1989</v>
      </c>
      <c r="G5256" s="4" t="s">
        <v>1990</v>
      </c>
      <c r="H5256" s="10" t="s">
        <v>1993</v>
      </c>
      <c r="I5256" s="10">
        <v>2.0</v>
      </c>
      <c r="J5256" s="11" t="str">
        <f>IF(D5256&lt;&gt;"",VLOOKUP(H5256,TABLEITEM,5,FALSE),"")</f>
        <v>PACK</v>
      </c>
      <c r="K5256" s="12">
        <v>120.0</v>
      </c>
      <c r="L5256" s="13" t="str">
        <f>IF(D5256&lt;&gt;"",VLOOKUP(H5256,TABLEITEM,2,FALSE),"")</f>
        <v/>
      </c>
      <c r="M5256" s="13" t="str">
        <f>IF(D5256&lt;&gt;"",VLOOKUP(H5256,TABLEITEM,3,FALSE),"")</f>
        <v>ถ่านอัลคาไลน์ 9V panasonic</v>
      </c>
      <c r="N5256" s="14">
        <f>INSTOCK!$I5256*INSTOCK!$K5256</f>
        <v>240</v>
      </c>
      <c r="O5256" s="4"/>
      <c r="P5256" s="4"/>
    </row>
    <row r="5257" ht="15.75" hidden="1" customHeight="1">
      <c r="B5257" s="8">
        <v>5581.0</v>
      </c>
      <c r="C5257" s="9">
        <v>43665.0</v>
      </c>
      <c r="D5257" s="6">
        <v>6207441.0</v>
      </c>
      <c r="E5257" s="4">
        <v>6.207001097E9</v>
      </c>
      <c r="F5257" s="8" t="s">
        <v>6315</v>
      </c>
      <c r="G5257" s="4" t="s">
        <v>1100</v>
      </c>
      <c r="H5257" s="10" t="s">
        <v>6316</v>
      </c>
      <c r="I5257" s="10">
        <v>25.0</v>
      </c>
      <c r="J5257" s="11" t="str">
        <f>IF(D5257&lt;&gt;"",VLOOKUP(H5257,TABLEITEM,5,FALSE),"")</f>
        <v>EA</v>
      </c>
      <c r="K5257" s="12">
        <v>3.6</v>
      </c>
      <c r="L5257" s="13" t="str">
        <f>IF(D5257&lt;&gt;"",VLOOKUP(H5257,TABLEITEM,2,FALSE),"")</f>
        <v/>
      </c>
      <c r="M5257" s="13" t="str">
        <f>IF(D5257&lt;&gt;"",VLOOKUP(H5257,TABLEITEM,3,FALSE),"")</f>
        <v>ปลอกหุ้มหางปลา V125 สีน้ำตาล</v>
      </c>
      <c r="N5257" s="14">
        <f>INSTOCK!$I5257*INSTOCK!$K5257</f>
        <v>90</v>
      </c>
      <c r="O5257" s="4" t="s">
        <v>6317</v>
      </c>
      <c r="P5257" s="4"/>
    </row>
    <row r="5258" ht="15.75" hidden="1" customHeight="1">
      <c r="B5258" s="8">
        <v>5582.0</v>
      </c>
      <c r="C5258" s="9">
        <v>43665.0</v>
      </c>
      <c r="D5258" s="6">
        <v>6207441.0</v>
      </c>
      <c r="E5258" s="4">
        <v>6.207001097E9</v>
      </c>
      <c r="F5258" s="8" t="s">
        <v>6315</v>
      </c>
      <c r="G5258" s="4" t="s">
        <v>1100</v>
      </c>
      <c r="H5258" s="10" t="s">
        <v>6318</v>
      </c>
      <c r="I5258" s="10">
        <v>25.0</v>
      </c>
      <c r="J5258" s="11" t="str">
        <f>IF(D5258&lt;&gt;"",VLOOKUP(H5258,TABLEITEM,5,FALSE),"")</f>
        <v>EA</v>
      </c>
      <c r="K5258" s="12">
        <v>3.6</v>
      </c>
      <c r="L5258" s="13" t="str">
        <f>IF(D5258&lt;&gt;"",VLOOKUP(H5258,TABLEITEM,2,FALSE),"")</f>
        <v/>
      </c>
      <c r="M5258" s="13" t="str">
        <f>IF(D5258&lt;&gt;"",VLOOKUP(H5258,TABLEITEM,3,FALSE),"")</f>
        <v>ปลอกหุ้มหางปลา V125 สีดำ</v>
      </c>
      <c r="N5258" s="14">
        <f>INSTOCK!$I5258*INSTOCK!$K5258</f>
        <v>90</v>
      </c>
      <c r="O5258" s="4" t="s">
        <v>6317</v>
      </c>
      <c r="P5258" s="4"/>
    </row>
    <row r="5259" ht="15.75" hidden="1" customHeight="1">
      <c r="B5259" s="8">
        <v>5583.0</v>
      </c>
      <c r="C5259" s="9">
        <v>43665.0</v>
      </c>
      <c r="D5259" s="6">
        <v>6207441.0</v>
      </c>
      <c r="E5259" s="4">
        <v>6.207001097E9</v>
      </c>
      <c r="F5259" s="8" t="s">
        <v>6315</v>
      </c>
      <c r="G5259" s="4" t="s">
        <v>1100</v>
      </c>
      <c r="H5259" s="10" t="s">
        <v>6319</v>
      </c>
      <c r="I5259" s="10">
        <v>25.0</v>
      </c>
      <c r="J5259" s="11" t="str">
        <f>IF(D5259&lt;&gt;"",VLOOKUP(H5259,TABLEITEM,5,FALSE),"")</f>
        <v>EA</v>
      </c>
      <c r="K5259" s="12">
        <v>3.6</v>
      </c>
      <c r="L5259" s="13" t="str">
        <f>IF(D5259&lt;&gt;"",VLOOKUP(H5259,TABLEITEM,2,FALSE),"")</f>
        <v/>
      </c>
      <c r="M5259" s="13" t="str">
        <f>IF(D5259&lt;&gt;"",VLOOKUP(H5259,TABLEITEM,3,FALSE),"")</f>
        <v>ปลอกหุ้มหางปลา V125 สีเทา</v>
      </c>
      <c r="N5259" s="14">
        <f>INSTOCK!$I5259*INSTOCK!$K5259</f>
        <v>90</v>
      </c>
      <c r="O5259" s="4" t="s">
        <v>6317</v>
      </c>
      <c r="P5259" s="4"/>
    </row>
    <row r="5260" ht="15.75" hidden="1" customHeight="1">
      <c r="B5260" s="8">
        <v>5584.0</v>
      </c>
      <c r="C5260" s="9">
        <v>43666.0</v>
      </c>
      <c r="D5260" s="6" t="s">
        <v>6320</v>
      </c>
      <c r="E5260" s="4">
        <v>6.207001098E9</v>
      </c>
      <c r="F5260" s="8" t="s">
        <v>1383</v>
      </c>
      <c r="G5260" s="4" t="s">
        <v>1446</v>
      </c>
      <c r="H5260" s="10" t="s">
        <v>6321</v>
      </c>
      <c r="I5260" s="10">
        <v>50.0</v>
      </c>
      <c r="J5260" s="11" t="str">
        <f>IF(D5260&lt;&gt;"",VLOOKUP(H5260,TABLEITEM,5,FALSE),"")</f>
        <v>EA</v>
      </c>
      <c r="K5260" s="12">
        <v>40.5</v>
      </c>
      <c r="L5260" s="13" t="str">
        <f>IF(D5260&lt;&gt;"",VLOOKUP(H5260,TABLEITEM,2,FALSE),"")</f>
        <v/>
      </c>
      <c r="M5260" s="13" t="str">
        <f>IF(D5260&lt;&gt;"",VLOOKUP(H5260,TABLEITEM,3,FALSE),"")</f>
        <v>ท่ออ่อนกันน้ำ 1" B</v>
      </c>
      <c r="N5260" s="14">
        <f>INSTOCK!$I5260*INSTOCK!$K5260</f>
        <v>2025</v>
      </c>
      <c r="O5260" s="4" t="s">
        <v>6322</v>
      </c>
      <c r="P5260" s="4"/>
    </row>
    <row r="5261" ht="15.75" hidden="1" customHeight="1">
      <c r="B5261" s="8">
        <v>5585.0</v>
      </c>
      <c r="C5261" s="9">
        <v>43666.0</v>
      </c>
      <c r="D5261" s="6" t="s">
        <v>6320</v>
      </c>
      <c r="E5261" s="4">
        <v>6.207001098E9</v>
      </c>
      <c r="F5261" s="8" t="s">
        <v>1383</v>
      </c>
      <c r="G5261" s="4" t="s">
        <v>1446</v>
      </c>
      <c r="H5261" s="10" t="s">
        <v>6323</v>
      </c>
      <c r="I5261" s="10">
        <v>20.0</v>
      </c>
      <c r="J5261" s="11" t="str">
        <f>IF(D5261&lt;&gt;"",VLOOKUP(H5261,TABLEITEM,5,FALSE),"")</f>
        <v>EA</v>
      </c>
      <c r="K5261" s="12">
        <v>54.0</v>
      </c>
      <c r="L5261" s="13" t="str">
        <f>IF(D5261&lt;&gt;"",VLOOKUP(H5261,TABLEITEM,2,FALSE),"")</f>
        <v/>
      </c>
      <c r="M5261" s="13" t="str">
        <f>IF(D5261&lt;&gt;"",VLOOKUP(H5261,TABLEITEM,3,FALSE),"")</f>
        <v>คอนเน็ตเตอร์ท่ออ่อนกันน้ำ 1"</v>
      </c>
      <c r="N5261" s="14">
        <f>INSTOCK!$I5261*INSTOCK!$K5261</f>
        <v>1080</v>
      </c>
      <c r="O5261" s="4" t="s">
        <v>6324</v>
      </c>
      <c r="P5261" s="4"/>
    </row>
    <row r="5262" ht="15.75" hidden="1" customHeight="1">
      <c r="B5262" s="8">
        <v>5586.0</v>
      </c>
      <c r="C5262" s="9">
        <v>43663.0</v>
      </c>
      <c r="D5262" s="6" t="s">
        <v>6325</v>
      </c>
      <c r="E5262" s="4"/>
      <c r="F5262" s="8" t="s">
        <v>6326</v>
      </c>
      <c r="G5262" s="4" t="s">
        <v>6327</v>
      </c>
      <c r="H5262" s="10" t="s">
        <v>6328</v>
      </c>
      <c r="I5262" s="10">
        <v>1.0</v>
      </c>
      <c r="J5262" s="11" t="str">
        <f>IF(D5262&lt;&gt;"",VLOOKUP(H5262,TABLEITEM,5,FALSE),"")</f>
        <v>EA</v>
      </c>
      <c r="K5262" s="12">
        <v>936.0</v>
      </c>
      <c r="L5262" s="13" t="str">
        <f>IF(D5262&lt;&gt;"",VLOOKUP(H5262,TABLEITEM,2,FALSE),"")</f>
        <v/>
      </c>
      <c r="M5262" s="13" t="str">
        <f>IF(D5262&lt;&gt;"",VLOOKUP(H5262,TABLEITEM,3,FALSE),"")</f>
        <v>รางบน ยาว 4เมตร SDC-HDC-W</v>
      </c>
      <c r="N5262" s="14">
        <f>INSTOCK!$I5262*INSTOCK!$K5262</f>
        <v>936</v>
      </c>
      <c r="O5262" s="4"/>
      <c r="P5262" s="4"/>
    </row>
    <row r="5263" ht="15.75" hidden="1" customHeight="1">
      <c r="B5263" s="8">
        <v>5587.0</v>
      </c>
      <c r="C5263" s="9">
        <v>43663.0</v>
      </c>
      <c r="D5263" s="6" t="s">
        <v>6325</v>
      </c>
      <c r="E5263" s="4"/>
      <c r="F5263" s="8" t="s">
        <v>6326</v>
      </c>
      <c r="G5263" s="4" t="s">
        <v>6327</v>
      </c>
      <c r="H5263" s="10" t="s">
        <v>6329</v>
      </c>
      <c r="I5263" s="10">
        <v>4.0</v>
      </c>
      <c r="J5263" s="11" t="str">
        <f>IF(D5263&lt;&gt;"",VLOOKUP(H5263,TABLEITEM,5,FALSE),"")</f>
        <v>EA</v>
      </c>
      <c r="K5263" s="12">
        <v>79.0</v>
      </c>
      <c r="L5263" s="13" t="str">
        <f>IF(D5263&lt;&gt;"",VLOOKUP(H5263,TABLEITEM,2,FALSE),"")</f>
        <v/>
      </c>
      <c r="M5263" s="13" t="str">
        <f>IF(D5263&lt;&gt;"",VLOOKUP(H5263,TABLEITEM,3,FALSE),"")</f>
        <v>ไกด์บน SDC-HDC-W</v>
      </c>
      <c r="N5263" s="14">
        <f>INSTOCK!$I5263*INSTOCK!$K5263</f>
        <v>316</v>
      </c>
      <c r="O5263" s="4"/>
      <c r="P5263" s="4"/>
    </row>
    <row r="5264" ht="15.75" hidden="1" customHeight="1">
      <c r="B5264" s="8">
        <v>5588.0</v>
      </c>
      <c r="C5264" s="9">
        <v>43663.0</v>
      </c>
      <c r="D5264" s="6" t="s">
        <v>6325</v>
      </c>
      <c r="E5264" s="4"/>
      <c r="F5264" s="8" t="s">
        <v>6326</v>
      </c>
      <c r="G5264" s="4" t="s">
        <v>6327</v>
      </c>
      <c r="H5264" s="10" t="s">
        <v>6330</v>
      </c>
      <c r="I5264" s="10">
        <v>4.0</v>
      </c>
      <c r="J5264" s="11" t="str">
        <f>IF(D5264&lt;&gt;"",VLOOKUP(H5264,TABLEITEM,5,FALSE),"")</f>
        <v>EA</v>
      </c>
      <c r="K5264" s="12">
        <v>79.0</v>
      </c>
      <c r="L5264" s="13" t="str">
        <f>IF(D5264&lt;&gt;"",VLOOKUP(H5264,TABLEITEM,2,FALSE),"")</f>
        <v/>
      </c>
      <c r="M5264" s="13" t="str">
        <f>IF(D5264&lt;&gt;"",VLOOKUP(H5264,TABLEITEM,3,FALSE),"")</f>
        <v>ถ้วยำหรับลูกล้อบน</v>
      </c>
      <c r="N5264" s="14">
        <f>INSTOCK!$I5264*INSTOCK!$K5264</f>
        <v>316</v>
      </c>
      <c r="O5264" s="4"/>
      <c r="P5264" s="4"/>
    </row>
    <row r="5265" ht="15.75" hidden="1" customHeight="1">
      <c r="B5265" s="8">
        <v>5589.0</v>
      </c>
      <c r="C5265" s="9">
        <v>43663.0</v>
      </c>
      <c r="D5265" s="6" t="s">
        <v>6325</v>
      </c>
      <c r="E5265" s="4"/>
      <c r="F5265" s="8" t="s">
        <v>6326</v>
      </c>
      <c r="G5265" s="4" t="s">
        <v>6327</v>
      </c>
      <c r="H5265" s="10" t="s">
        <v>6331</v>
      </c>
      <c r="I5265" s="10">
        <v>2.0</v>
      </c>
      <c r="J5265" s="11" t="str">
        <f>IF(D5265&lt;&gt;"",VLOOKUP(H5265,TABLEITEM,5,FALSE),"")</f>
        <v>EA</v>
      </c>
      <c r="K5265" s="12">
        <v>1605.0</v>
      </c>
      <c r="L5265" s="13" t="str">
        <f>IF(D5265&lt;&gt;"",VLOOKUP(H5265,TABLEITEM,2,FALSE),"")</f>
        <v/>
      </c>
      <c r="M5265" s="13" t="str">
        <f>IF(D5265&lt;&gt;"",VLOOKUP(H5265,TABLEITEM,3,FALSE),"")</f>
        <v>ลูกล้อระบบ SOFT-CLOSE แบบ SOFT 2ด้าน </v>
      </c>
      <c r="N5265" s="14">
        <f>INSTOCK!$I5265*INSTOCK!$K5265</f>
        <v>3210</v>
      </c>
      <c r="O5265" s="4"/>
      <c r="P5265" s="4"/>
    </row>
    <row r="5266" ht="15.75" hidden="1" customHeight="1">
      <c r="B5266" s="8">
        <v>5590.0</v>
      </c>
      <c r="C5266" s="9">
        <v>43663.0</v>
      </c>
      <c r="D5266" s="6" t="s">
        <v>6325</v>
      </c>
      <c r="E5266" s="4"/>
      <c r="F5266" s="8" t="s">
        <v>6326</v>
      </c>
      <c r="G5266" s="4" t="s">
        <v>6327</v>
      </c>
      <c r="H5266" s="10" t="s">
        <v>6332</v>
      </c>
      <c r="I5266" s="10">
        <v>2.0</v>
      </c>
      <c r="J5266" s="11" t="str">
        <f>IF(D5266&lt;&gt;"",VLOOKUP(H5266,TABLEITEM,5,FALSE),"")</f>
        <v>EA</v>
      </c>
      <c r="K5266" s="12">
        <v>405.0</v>
      </c>
      <c r="L5266" s="13" t="str">
        <f>IF(D5266&lt;&gt;"",VLOOKUP(H5266,TABLEITEM,2,FALSE),"")</f>
        <v/>
      </c>
      <c r="M5266" s="13" t="str">
        <f>IF(D5266&lt;&gt;"",VLOOKUP(H5266,TABLEITEM,3,FALSE),"")</f>
        <v>ชุดลูกล้อบน </v>
      </c>
      <c r="N5266" s="14">
        <f>INSTOCK!$I5266*INSTOCK!$K5266</f>
        <v>810</v>
      </c>
      <c r="O5266" s="4"/>
      <c r="P5266" s="4"/>
    </row>
    <row r="5267" ht="15.75" hidden="1" customHeight="1">
      <c r="B5267" s="8">
        <v>5591.0</v>
      </c>
      <c r="C5267" s="9">
        <v>43665.0</v>
      </c>
      <c r="D5267" s="6">
        <v>6.20705884E8</v>
      </c>
      <c r="E5267" s="4">
        <v>6.20700109E9</v>
      </c>
      <c r="F5267" s="8" t="s">
        <v>604</v>
      </c>
      <c r="G5267" s="4" t="s">
        <v>1130</v>
      </c>
      <c r="H5267" s="10" t="s">
        <v>6333</v>
      </c>
      <c r="I5267" s="10">
        <v>50.0</v>
      </c>
      <c r="J5267" s="11" t="str">
        <f>IF(D5267&lt;&gt;"",VLOOKUP(H5267,TABLEITEM,5,FALSE),"")</f>
        <v>EA</v>
      </c>
      <c r="K5267" s="12">
        <v>56.0</v>
      </c>
      <c r="L5267" s="13" t="str">
        <f>IF(D5267&lt;&gt;"",VLOOKUP(H5267,TABLEITEM,2,FALSE),"")</f>
        <v/>
      </c>
      <c r="M5267" s="13" t="str">
        <f>IF(D5267&lt;&gt;"",VLOOKUP(H5267,TABLEITEM,3,FALSE),"")</f>
        <v>หางปลาทรงยุโรป CL150-10</v>
      </c>
      <c r="N5267" s="14">
        <f>INSTOCK!$I5267*INSTOCK!$K5267</f>
        <v>2800</v>
      </c>
      <c r="O5267" s="4" t="s">
        <v>6334</v>
      </c>
      <c r="P5267" s="4"/>
    </row>
    <row r="5268" ht="15.75" hidden="1" customHeight="1">
      <c r="B5268" s="8">
        <v>5592.0</v>
      </c>
      <c r="C5268" s="9">
        <v>43665.0</v>
      </c>
      <c r="D5268" s="6">
        <v>6.20705884E8</v>
      </c>
      <c r="E5268" s="4">
        <v>6.20700109E9</v>
      </c>
      <c r="F5268" s="8" t="s">
        <v>604</v>
      </c>
      <c r="G5268" s="4" t="s">
        <v>1130</v>
      </c>
      <c r="H5268" s="10" t="s">
        <v>6335</v>
      </c>
      <c r="I5268" s="10">
        <v>50.0</v>
      </c>
      <c r="J5268" s="11" t="str">
        <f>IF(D5268&lt;&gt;"",VLOOKUP(H5268,TABLEITEM,5,FALSE),"")</f>
        <v>EA</v>
      </c>
      <c r="K5268" s="12">
        <v>56.0</v>
      </c>
      <c r="L5268" s="13" t="str">
        <f>IF(D5268&lt;&gt;"",VLOOKUP(H5268,TABLEITEM,2,FALSE),"")</f>
        <v/>
      </c>
      <c r="M5268" s="13" t="str">
        <f>IF(D5268&lt;&gt;"",VLOOKUP(H5268,TABLEITEM,3,FALSE),"")</f>
        <v>หางปลาทรงยุโรป CL150-12</v>
      </c>
      <c r="N5268" s="14">
        <f>INSTOCK!$I5268*INSTOCK!$K5268</f>
        <v>2800</v>
      </c>
      <c r="O5268" s="4" t="s">
        <v>6334</v>
      </c>
      <c r="P5268" s="4"/>
    </row>
    <row r="5269" ht="15.75" hidden="1" customHeight="1">
      <c r="B5269" s="8">
        <v>5593.0</v>
      </c>
      <c r="C5269" s="9">
        <v>43665.0</v>
      </c>
      <c r="D5269" s="6">
        <v>6.20705884E8</v>
      </c>
      <c r="E5269" s="4">
        <v>6.20700109E9</v>
      </c>
      <c r="F5269" s="8" t="s">
        <v>604</v>
      </c>
      <c r="G5269" s="4" t="s">
        <v>1130</v>
      </c>
      <c r="H5269" s="10" t="s">
        <v>245</v>
      </c>
      <c r="I5269" s="10">
        <v>5000.0</v>
      </c>
      <c r="J5269" s="11" t="str">
        <f>IF(D5269&lt;&gt;"",VLOOKUP(H5269,TABLEITEM,5,FALSE),"")</f>
        <v>EA</v>
      </c>
      <c r="K5269" s="12">
        <v>0.63</v>
      </c>
      <c r="L5269" s="13" t="str">
        <f>IF(D5269&lt;&gt;"",VLOOKUP(H5269,TABLEITEM,2,FALSE),"")</f>
        <v/>
      </c>
      <c r="M5269" s="13" t="str">
        <f>IF(D5269&lt;&gt;"",VLOOKUP(H5269,TABLEITEM,3,FALSE),"")</f>
        <v>หางปลาแฉกเปลือย Y1.5-3S</v>
      </c>
      <c r="N5269" s="14">
        <f>INSTOCK!$I5269*INSTOCK!$K5269</f>
        <v>3150</v>
      </c>
      <c r="O5269" s="4" t="s">
        <v>1830</v>
      </c>
      <c r="P5269" s="4"/>
    </row>
    <row r="5270" ht="15.75" hidden="1" customHeight="1">
      <c r="B5270" s="8">
        <v>5594.0</v>
      </c>
      <c r="C5270" s="9">
        <v>43665.0</v>
      </c>
      <c r="D5270" s="6">
        <v>6.20705884E8</v>
      </c>
      <c r="E5270" s="4">
        <v>6.20700109E9</v>
      </c>
      <c r="F5270" s="8" t="s">
        <v>604</v>
      </c>
      <c r="G5270" s="4" t="s">
        <v>1130</v>
      </c>
      <c r="H5270" s="10" t="s">
        <v>4338</v>
      </c>
      <c r="I5270" s="10">
        <v>10.0</v>
      </c>
      <c r="J5270" s="11" t="str">
        <f>IF(D5270&lt;&gt;"",VLOOKUP(H5270,TABLEITEM,5,FALSE),"")</f>
        <v>EA</v>
      </c>
      <c r="K5270" s="12">
        <v>114.0</v>
      </c>
      <c r="L5270" s="13" t="str">
        <f>IF(D5270&lt;&gt;"",VLOOKUP(H5270,TABLEITEM,2,FALSE),"")</f>
        <v/>
      </c>
      <c r="M5270" s="13" t="str">
        <f>IF(D5270&lt;&gt;"",VLOOKUP(H5270,TABLEITEM,3,FALSE),"")</f>
        <v>ไมโครสวิทซ์ TM1307</v>
      </c>
      <c r="N5270" s="14">
        <f>INSTOCK!$I5270*INSTOCK!$K5270</f>
        <v>1140</v>
      </c>
      <c r="O5270" s="4" t="s">
        <v>4339</v>
      </c>
      <c r="P5270" s="4"/>
    </row>
    <row r="5271" ht="15.75" hidden="1" customHeight="1">
      <c r="B5271" s="8">
        <v>5595.0</v>
      </c>
      <c r="C5271" s="9">
        <v>43665.0</v>
      </c>
      <c r="D5271" s="6">
        <v>6.20705884E8</v>
      </c>
      <c r="E5271" s="4">
        <v>6.20700109E9</v>
      </c>
      <c r="F5271" s="8" t="s">
        <v>604</v>
      </c>
      <c r="G5271" s="4" t="s">
        <v>1130</v>
      </c>
      <c r="H5271" s="10" t="s">
        <v>1931</v>
      </c>
      <c r="I5271" s="10">
        <v>10.0</v>
      </c>
      <c r="J5271" s="11" t="str">
        <f>IF(D5271&lt;&gt;"",VLOOKUP(H5271,TABLEITEM,5,FALSE),"")</f>
        <v>EA</v>
      </c>
      <c r="K5271" s="12">
        <v>21.6</v>
      </c>
      <c r="L5271" s="13" t="str">
        <f>IF(D5271&lt;&gt;"",VLOOKUP(H5271,TABLEITEM,2,FALSE),"")</f>
        <v/>
      </c>
      <c r="M5271" s="13" t="str">
        <f>IF(D5271&lt;&gt;"",VLOOKUP(H5271,TABLEITEM,3,FALSE),"")</f>
        <v>ปลอกหุ้มไมโคร TAP-Z</v>
      </c>
      <c r="N5271" s="14">
        <f>INSTOCK!$I5271*INSTOCK!$K5271</f>
        <v>216</v>
      </c>
      <c r="O5271" s="4" t="s">
        <v>1932</v>
      </c>
      <c r="P5271" s="4"/>
    </row>
    <row r="5272" ht="15.75" hidden="1" customHeight="1">
      <c r="B5272" s="8">
        <v>5596.0</v>
      </c>
      <c r="C5272" s="9">
        <v>43665.0</v>
      </c>
      <c r="D5272" s="6">
        <v>6.20705884E8</v>
      </c>
      <c r="E5272" s="4">
        <v>6.20700109E9</v>
      </c>
      <c r="F5272" s="8" t="s">
        <v>604</v>
      </c>
      <c r="G5272" s="4" t="s">
        <v>1130</v>
      </c>
      <c r="H5272" s="10" t="s">
        <v>4424</v>
      </c>
      <c r="I5272" s="10">
        <v>5.0</v>
      </c>
      <c r="J5272" s="11" t="str">
        <f>IF(D5272&lt;&gt;"",VLOOKUP(H5272,TABLEITEM,5,FALSE),"")</f>
        <v>EA</v>
      </c>
      <c r="K5272" s="12">
        <v>300.0</v>
      </c>
      <c r="L5272" s="13" t="str">
        <f>IF(D5272&lt;&gt;"",VLOOKUP(H5272,TABLEITEM,2,FALSE),"")</f>
        <v/>
      </c>
      <c r="M5272" s="13" t="str">
        <f>IF(D5272&lt;&gt;"",VLOOKUP(H5272,TABLEITEM,3,FALSE),"")</f>
        <v>พัดลมดูดอากาศ 4.5" WB123A-2LG+ตะแกรง G120</v>
      </c>
      <c r="N5272" s="14">
        <f>INSTOCK!$I5272*INSTOCK!$K5272</f>
        <v>1500</v>
      </c>
      <c r="O5272" s="4" t="s">
        <v>6206</v>
      </c>
      <c r="P5272" s="4"/>
    </row>
    <row r="5273" ht="15.75" hidden="1" customHeight="1">
      <c r="B5273" s="8">
        <v>5597.0</v>
      </c>
      <c r="C5273" s="9">
        <v>43669.0</v>
      </c>
      <c r="D5273" s="6" t="s">
        <v>6336</v>
      </c>
      <c r="E5273" s="4">
        <v>6.207001118E9</v>
      </c>
      <c r="F5273" s="8" t="s">
        <v>6337</v>
      </c>
      <c r="G5273" s="4" t="s">
        <v>1962</v>
      </c>
      <c r="H5273" s="10" t="s">
        <v>1963</v>
      </c>
      <c r="I5273" s="10">
        <v>1.0</v>
      </c>
      <c r="J5273" s="11" t="str">
        <f>IF(D5273&lt;&gt;"",VLOOKUP(H5273,TABLEITEM,5,FALSE),"")</f>
        <v>EA</v>
      </c>
      <c r="K5273" s="12">
        <v>3800.0</v>
      </c>
      <c r="L5273" s="13" t="str">
        <f>IF(D5273&lt;&gt;"",VLOOKUP(H5273,TABLEITEM,2,FALSE),"")</f>
        <v/>
      </c>
      <c r="M5273" s="13" t="str">
        <f>IF(D5273&lt;&gt;"",VLOOKUP(H5273,TABLEITEM,3,FALSE),"")</f>
        <v>SURGE STPT240K275V-4P AC230VAC 4P 40A</v>
      </c>
      <c r="N5273" s="14">
        <f>INSTOCK!$I5273*INSTOCK!$K5273</f>
        <v>3800</v>
      </c>
      <c r="O5273" s="4"/>
      <c r="P5273" s="4"/>
    </row>
    <row r="5274" ht="15.75" hidden="1" customHeight="1">
      <c r="B5274" s="8">
        <v>5598.0</v>
      </c>
      <c r="C5274" s="9">
        <v>43670.0</v>
      </c>
      <c r="D5274" s="6" t="s">
        <v>6338</v>
      </c>
      <c r="E5274" s="4">
        <v>6.207001117E9</v>
      </c>
      <c r="F5274" s="8" t="s">
        <v>6003</v>
      </c>
      <c r="G5274" s="4" t="s">
        <v>1453</v>
      </c>
      <c r="H5274" s="10" t="s">
        <v>5459</v>
      </c>
      <c r="I5274" s="10">
        <v>2.0</v>
      </c>
      <c r="J5274" s="11" t="str">
        <f>IF(D5274&lt;&gt;"",VLOOKUP(H5274,TABLEITEM,5,FALSE),"")</f>
        <v>EA</v>
      </c>
      <c r="K5274" s="12">
        <v>545.0</v>
      </c>
      <c r="L5274" s="13" t="str">
        <f>IF(D5274&lt;&gt;"",VLOOKUP(H5274,TABLEITEM,2,FALSE),"")</f>
        <v/>
      </c>
      <c r="M5274" s="13" t="str">
        <f>IF(D5274&lt;&gt;"",VLOOKUP(H5274,TABLEITEM,3,FALSE),"")</f>
        <v>พัดลม 6" FP-108X-S1-B AC220/240V</v>
      </c>
      <c r="N5274" s="14">
        <f>INSTOCK!$I5274*INSTOCK!$K5274</f>
        <v>1090</v>
      </c>
      <c r="O5274" s="4" t="s">
        <v>5460</v>
      </c>
      <c r="P5274" s="4"/>
    </row>
    <row r="5275" ht="15.75" hidden="1" customHeight="1">
      <c r="B5275" s="8">
        <v>5599.0</v>
      </c>
      <c r="C5275" s="9">
        <v>43670.0</v>
      </c>
      <c r="D5275" s="6" t="s">
        <v>6338</v>
      </c>
      <c r="E5275" s="4">
        <v>6.207001117E9</v>
      </c>
      <c r="F5275" s="8" t="s">
        <v>6003</v>
      </c>
      <c r="G5275" s="4" t="s">
        <v>1453</v>
      </c>
      <c r="H5275" s="18" t="s">
        <v>5461</v>
      </c>
      <c r="I5275" s="10">
        <v>2.0</v>
      </c>
      <c r="J5275" s="11" t="str">
        <f>IF(D5275&lt;&gt;"",VLOOKUP(H5275,TABLEITEM,5,FALSE),"")</f>
        <v>EA</v>
      </c>
      <c r="K5275" s="12">
        <v>100.0</v>
      </c>
      <c r="L5275" s="13" t="str">
        <f>IF(D5275&lt;&gt;"",VLOOKUP(H5275,TABLEITEM,2,FALSE),"")</f>
        <v/>
      </c>
      <c r="M5275" s="13" t="str">
        <f>IF(D5275&lt;&gt;"",VLOOKUP(H5275,TABLEITEM,3,FALSE),"")</f>
        <v>ตะแกรงพัดลม 6" S-0172-7 T</v>
      </c>
      <c r="N5275" s="14">
        <f>INSTOCK!$I5275*INSTOCK!$K5275</f>
        <v>200</v>
      </c>
      <c r="O5275" s="4"/>
      <c r="P5275" s="4"/>
    </row>
    <row r="5276" ht="15.75" hidden="1" customHeight="1">
      <c r="B5276" s="8">
        <v>5600.0</v>
      </c>
      <c r="C5276" s="9">
        <v>43670.0</v>
      </c>
      <c r="D5276" s="6" t="s">
        <v>6339</v>
      </c>
      <c r="E5276" s="4">
        <v>6.207001122E9</v>
      </c>
      <c r="F5276" s="8" t="s">
        <v>604</v>
      </c>
      <c r="G5276" s="4" t="s">
        <v>1453</v>
      </c>
      <c r="H5276" s="10" t="s">
        <v>3604</v>
      </c>
      <c r="I5276" s="10">
        <v>10.0</v>
      </c>
      <c r="J5276" s="11" t="str">
        <f>IF(D5276&lt;&gt;"",VLOOKUP(H5276,TABLEITEM,5,FALSE),"")</f>
        <v>EA</v>
      </c>
      <c r="K5276" s="12">
        <v>488.775</v>
      </c>
      <c r="L5276" s="13" t="str">
        <f>IF(D5276&lt;&gt;"",VLOOKUP(H5276,TABLEITEM,2,FALSE),"")</f>
        <v/>
      </c>
      <c r="M5276" s="13" t="str">
        <f>IF(D5276&lt;&gt;"",VLOOKUP(H5276,TABLEITEM,3,FALSE),"")</f>
        <v>พัดลม PM PMV12.00 220VAC 4"</v>
      </c>
      <c r="N5276" s="14">
        <f>INSTOCK!$I5276*INSTOCK!$K5276</f>
        <v>4887.75</v>
      </c>
      <c r="O5276" s="4" t="s">
        <v>3605</v>
      </c>
      <c r="P5276" s="4"/>
    </row>
    <row r="5277" ht="15.75" hidden="1" customHeight="1">
      <c r="B5277" s="8">
        <v>5601.0</v>
      </c>
      <c r="C5277" s="9">
        <v>43671.0</v>
      </c>
      <c r="D5277" s="6" t="s">
        <v>6340</v>
      </c>
      <c r="E5277" s="4">
        <v>6.207001121E9</v>
      </c>
      <c r="F5277" s="8" t="s">
        <v>604</v>
      </c>
      <c r="G5277" s="4" t="s">
        <v>975</v>
      </c>
      <c r="H5277" s="10" t="s">
        <v>19</v>
      </c>
      <c r="I5277" s="10">
        <v>60.0</v>
      </c>
      <c r="J5277" s="11" t="str">
        <f>IF(D5277&lt;&gt;"",VLOOKUP(H5277,TABLEITEM,5,FALSE),"")</f>
        <v>ROLL</v>
      </c>
      <c r="K5277" s="12">
        <v>140.0</v>
      </c>
      <c r="L5277" s="13" t="str">
        <f>IF(D5277&lt;&gt;"",VLOOKUP(H5277,TABLEITEM,2,FALSE),"")</f>
        <v/>
      </c>
      <c r="M5277" s="13" t="str">
        <f>IF(D5277&lt;&gt;"",VLOOKUP(H5277,TABLEITEM,3,FALSE),"")</f>
        <v>พลาสติกห่อตู้ 20micx50cmx300m</v>
      </c>
      <c r="N5277" s="14">
        <f>INSTOCK!$I5277*INSTOCK!$K5277</f>
        <v>8400</v>
      </c>
      <c r="O5277" s="4"/>
      <c r="P5277" s="4"/>
    </row>
    <row r="5278" ht="15.75" hidden="1" customHeight="1">
      <c r="B5278" s="8">
        <v>5602.0</v>
      </c>
      <c r="C5278" s="9">
        <v>43671.0</v>
      </c>
      <c r="D5278" s="6" t="s">
        <v>6341</v>
      </c>
      <c r="E5278" s="4">
        <v>6.207001126E9</v>
      </c>
      <c r="F5278" s="8" t="s">
        <v>823</v>
      </c>
      <c r="G5278" s="4" t="s">
        <v>808</v>
      </c>
      <c r="H5278" s="10" t="s">
        <v>824</v>
      </c>
      <c r="I5278" s="10">
        <v>2.0</v>
      </c>
      <c r="J5278" s="11" t="str">
        <f>IF(D5278&lt;&gt;"",VLOOKUP(H5278,TABLEITEM,5,FALSE),"")</f>
        <v>ท่อ</v>
      </c>
      <c r="K5278" s="12">
        <v>600.0</v>
      </c>
      <c r="L5278" s="13" t="str">
        <f>IF(D5278&lt;&gt;"",VLOOKUP(H5278,TABLEITEM,2,FALSE),"")</f>
        <v/>
      </c>
      <c r="M5278" s="13" t="str">
        <f>IF(D5278&lt;&gt;"",VLOOKUP(H5278,TABLEITEM,3,FALSE),"")</f>
        <v>20% CO2 Balance AR ขนาด 6คิว</v>
      </c>
      <c r="N5278" s="14">
        <f>INSTOCK!$I5278*INSTOCK!$K5278</f>
        <v>1200</v>
      </c>
      <c r="O5278" s="4"/>
      <c r="P5278" s="4"/>
    </row>
    <row r="5279" ht="15.75" hidden="1" customHeight="1">
      <c r="B5279" s="8">
        <v>5603.0</v>
      </c>
      <c r="C5279" s="9">
        <v>43669.0</v>
      </c>
      <c r="D5279" s="6" t="s">
        <v>6342</v>
      </c>
      <c r="E5279" s="4">
        <v>6.20700112E9</v>
      </c>
      <c r="F5279" s="8" t="s">
        <v>6337</v>
      </c>
      <c r="G5279" s="4" t="s">
        <v>1596</v>
      </c>
      <c r="H5279" s="10" t="s">
        <v>6343</v>
      </c>
      <c r="I5279" s="10">
        <v>3.0</v>
      </c>
      <c r="J5279" s="11" t="str">
        <f>IF(D5279&lt;&gt;"",VLOOKUP(H5279,TABLEITEM,5,FALSE),"")</f>
        <v>EA</v>
      </c>
      <c r="K5279" s="12">
        <v>215.0</v>
      </c>
      <c r="L5279" s="13" t="str">
        <f>IF(D5279&lt;&gt;"",VLOOKUP(H5279,TABLEITEM,2,FALSE),"")</f>
        <v/>
      </c>
      <c r="M5279" s="13" t="str">
        <f>IF(D5279&lt;&gt;"",VLOOKUP(H5279,TABLEITEM,3,FALSE),"")</f>
        <v>FUSE LINK #00 50A</v>
      </c>
      <c r="N5279" s="14">
        <f>INSTOCK!$I5279*INSTOCK!$K5279</f>
        <v>645</v>
      </c>
      <c r="O5279" s="4" t="s">
        <v>6344</v>
      </c>
      <c r="P5279" s="4"/>
    </row>
    <row r="5280" ht="15.75" hidden="1" customHeight="1">
      <c r="B5280" s="8">
        <v>5604.0</v>
      </c>
      <c r="C5280" s="9">
        <v>43672.0</v>
      </c>
      <c r="D5280" s="6">
        <v>6.20707816E8</v>
      </c>
      <c r="E5280" s="4">
        <v>6.207001138E9</v>
      </c>
      <c r="F5280" s="8" t="s">
        <v>6345</v>
      </c>
      <c r="G5280" s="4" t="s">
        <v>1130</v>
      </c>
      <c r="H5280" s="10" t="s">
        <v>6346</v>
      </c>
      <c r="I5280" s="10">
        <v>4.0</v>
      </c>
      <c r="J5280" s="11" t="str">
        <f>IF(D5280&lt;&gt;"",VLOOKUP(H5280,TABLEITEM,5,FALSE),"")</f>
        <v>EA</v>
      </c>
      <c r="K5280" s="12">
        <v>1340.0</v>
      </c>
      <c r="L5280" s="13" t="str">
        <f>IF(D5280&lt;&gt;"",VLOOKUP(H5280,TABLEITEM,2,FALSE),"")</f>
        <v/>
      </c>
      <c r="M5280" s="13" t="str">
        <f>IF(D5280&lt;&gt;"",VLOOKUP(H5280,TABLEITEM,3,FALSE),"")</f>
        <v>CONTACTOR LC1-D32M7 </v>
      </c>
      <c r="N5280" s="14">
        <f>INSTOCK!$I5280*INSTOCK!$K5280</f>
        <v>5360</v>
      </c>
      <c r="O5280" s="4" t="s">
        <v>6347</v>
      </c>
      <c r="P5280" s="4"/>
    </row>
    <row r="5281" ht="15.75" hidden="1" customHeight="1">
      <c r="B5281" s="8">
        <v>5605.0</v>
      </c>
      <c r="C5281" s="9">
        <v>43673.0</v>
      </c>
      <c r="D5281" s="6">
        <v>39577.0</v>
      </c>
      <c r="E5281" s="4">
        <v>6.207001139E9</v>
      </c>
      <c r="F5281" s="8" t="s">
        <v>6348</v>
      </c>
      <c r="G5281" s="4" t="s">
        <v>696</v>
      </c>
      <c r="H5281" s="10" t="s">
        <v>6349</v>
      </c>
      <c r="I5281" s="10">
        <v>1.0</v>
      </c>
      <c r="J5281" s="11" t="str">
        <f>IF(D5281&lt;&gt;"",VLOOKUP(H5281,TABLEITEM,5,FALSE),"")</f>
        <v>EA</v>
      </c>
      <c r="K5281" s="12">
        <v>289.0</v>
      </c>
      <c r="L5281" s="13" t="str">
        <f>IF(D5281&lt;&gt;"",VLOOKUP(H5281,TABLEITEM,2,FALSE),"")</f>
        <v/>
      </c>
      <c r="M5281" s="13" t="str">
        <f>IF(D5281&lt;&gt;"",VLOOKUP(H5281,TABLEITEM,3,FALSE),"")</f>
        <v>เช็ควาล์วทองเหลือง 1" แบบสวิง</v>
      </c>
      <c r="N5281" s="14">
        <f>INSTOCK!$I5281*INSTOCK!$K5281</f>
        <v>289</v>
      </c>
      <c r="O5281" s="4"/>
      <c r="P5281" s="4"/>
    </row>
    <row r="5282" ht="15.75" hidden="1" customHeight="1">
      <c r="B5282" s="8">
        <v>5606.0</v>
      </c>
      <c r="C5282" s="9">
        <v>43673.0</v>
      </c>
      <c r="D5282" s="6" t="s">
        <v>6350</v>
      </c>
      <c r="E5282" s="4">
        <v>6.207001141E9</v>
      </c>
      <c r="F5282" s="8" t="s">
        <v>807</v>
      </c>
      <c r="G5282" s="4" t="s">
        <v>808</v>
      </c>
      <c r="H5282" s="10" t="s">
        <v>1957</v>
      </c>
      <c r="I5282" s="10">
        <v>1.0</v>
      </c>
      <c r="J5282" s="11" t="str">
        <f>IF(D5282&lt;&gt;"",VLOOKUP(H5282,TABLEITEM,5,FALSE),"")</f>
        <v>EA</v>
      </c>
      <c r="K5282" s="12">
        <v>180.0</v>
      </c>
      <c r="L5282" s="13" t="str">
        <f>IF(D5282&lt;&gt;"",VLOOKUP(H5282,TABLEITEM,2,FALSE),"")</f>
        <v/>
      </c>
      <c r="M5282" s="13" t="str">
        <f>IF(D5282&lt;&gt;"",VLOOKUP(H5282,TABLEITEM,3,FALSE),"")</f>
        <v>ไนโตรเจน ขนาด 6Q </v>
      </c>
      <c r="N5282" s="14">
        <f>INSTOCK!$I5282*INSTOCK!$K5282</f>
        <v>180</v>
      </c>
      <c r="O5282" s="4"/>
      <c r="P5282" s="4"/>
    </row>
    <row r="5283" ht="15.75" hidden="1" customHeight="1">
      <c r="B5283" s="8">
        <v>5607.0</v>
      </c>
      <c r="C5283" s="9">
        <v>43673.0</v>
      </c>
      <c r="D5283" s="6">
        <v>39576.0</v>
      </c>
      <c r="E5283" s="4">
        <v>6.207001134E9</v>
      </c>
      <c r="F5283" s="8" t="s">
        <v>604</v>
      </c>
      <c r="G5283" s="4" t="s">
        <v>696</v>
      </c>
      <c r="H5283" s="10" t="s">
        <v>58</v>
      </c>
      <c r="I5283" s="10">
        <v>12.0</v>
      </c>
      <c r="J5283" s="11" t="str">
        <f>IF(D5283&lt;&gt;"",VLOOKUP(H5283,TABLEITEM,5,FALSE),"")</f>
        <v>กป.</v>
      </c>
      <c r="K5283" s="12">
        <v>41.6667</v>
      </c>
      <c r="L5283" s="13" t="str">
        <f>IF(D5283&lt;&gt;"",VLOOKUP(H5283,TABLEITEM,2,FALSE),"")</f>
        <v/>
      </c>
      <c r="M5283" s="13" t="str">
        <f>IF(D5283&lt;&gt;"",VLOOKUP(H5283,TABLEITEM,3,FALSE),"")</f>
        <v>สีสเปรย์ เคลียร์</v>
      </c>
      <c r="N5283" s="14">
        <f>INSTOCK!$I5283*INSTOCK!$K5283</f>
        <v>500.0004</v>
      </c>
      <c r="O5283" s="4"/>
      <c r="P5283" s="4"/>
    </row>
    <row r="5284" ht="15.75" hidden="1" customHeight="1">
      <c r="B5284" s="8">
        <v>5608.0</v>
      </c>
      <c r="C5284" s="9">
        <v>43670.0</v>
      </c>
      <c r="D5284" s="6" t="s">
        <v>6351</v>
      </c>
      <c r="E5284" s="4">
        <v>6.207001092E9</v>
      </c>
      <c r="F5284" s="8" t="s">
        <v>604</v>
      </c>
      <c r="G5284" s="4" t="s">
        <v>1033</v>
      </c>
      <c r="H5284" s="10" t="s">
        <v>24</v>
      </c>
      <c r="I5284" s="10">
        <v>1000.0</v>
      </c>
      <c r="J5284" s="11" t="str">
        <f>IF(D5284&lt;&gt;"",VLOOKUP(H5284,TABLEITEM,5,FALSE),"")</f>
        <v>EA</v>
      </c>
      <c r="K5284" s="12">
        <v>4.5</v>
      </c>
      <c r="L5284" s="13" t="str">
        <f>IF(D5284&lt;&gt;"",VLOOKUP(H5284,TABLEITEM,2,FALSE),"")</f>
        <v/>
      </c>
      <c r="M5284" s="13" t="str">
        <f>IF(D5284&lt;&gt;"",VLOOKUP(H5284,TABLEITEM,3,FALSE),"")</f>
        <v>กระดาษทรายกลม#120</v>
      </c>
      <c r="N5284" s="14">
        <f>INSTOCK!$I5284*INSTOCK!$K5284</f>
        <v>4500</v>
      </c>
      <c r="O5284" s="4"/>
      <c r="P5284" s="4"/>
    </row>
    <row r="5285" ht="15.75" hidden="1" customHeight="1">
      <c r="B5285" s="8">
        <v>5609.0</v>
      </c>
      <c r="C5285" s="9">
        <v>43673.0</v>
      </c>
      <c r="D5285" s="6" t="s">
        <v>6352</v>
      </c>
      <c r="E5285" s="4"/>
      <c r="F5285" s="8" t="s">
        <v>801</v>
      </c>
      <c r="G5285" s="4" t="s">
        <v>1417</v>
      </c>
      <c r="H5285" s="10" t="s">
        <v>803</v>
      </c>
      <c r="I5285" s="10">
        <v>19.0</v>
      </c>
      <c r="J5285" s="11" t="str">
        <f>IF(D5285&lt;&gt;"",VLOOKUP(H5285,TABLEITEM,5,FALSE),"")</f>
        <v>ถัง</v>
      </c>
      <c r="K5285" s="12">
        <v>981.31</v>
      </c>
      <c r="L5285" s="13" t="str">
        <f>IF(D5285&lt;&gt;"",VLOOKUP(H5285,TABLEITEM,2,FALSE),"")</f>
        <v/>
      </c>
      <c r="M5285" s="13" t="str">
        <f>IF(D5285&lt;&gt;"",VLOOKUP(H5285,TABLEITEM,3,FALSE),"")</f>
        <v>แก๊สหุงต้ม 48กก</v>
      </c>
      <c r="N5285" s="14">
        <f>INSTOCK!$I5285*INSTOCK!$K5285</f>
        <v>18644.89</v>
      </c>
      <c r="O5285" s="4"/>
      <c r="P5285" s="4"/>
    </row>
    <row r="5286" ht="15.75" hidden="1" customHeight="1">
      <c r="B5286" s="8">
        <v>5610.0</v>
      </c>
      <c r="C5286" s="9">
        <v>43671.0</v>
      </c>
      <c r="D5286" s="6">
        <v>6.20707579E8</v>
      </c>
      <c r="E5286" s="4">
        <v>6.207001132E9</v>
      </c>
      <c r="F5286" s="8" t="s">
        <v>6353</v>
      </c>
      <c r="G5286" s="4" t="s">
        <v>1130</v>
      </c>
      <c r="H5286" s="10" t="s">
        <v>4652</v>
      </c>
      <c r="I5286" s="10">
        <v>3.0</v>
      </c>
      <c r="J5286" s="11" t="str">
        <f>IF(D5286&lt;&gt;"",VLOOKUP(H5286,TABLEITEM,5,FALSE),"")</f>
        <v>EA</v>
      </c>
      <c r="K5286" s="12">
        <v>235.1234</v>
      </c>
      <c r="L5286" s="13" t="str">
        <f>IF(D5286&lt;&gt;"",VLOOKUP(H5286,TABLEITEM,2,FALSE),"")</f>
        <v/>
      </c>
      <c r="M5286" s="13" t="str">
        <f>IF(D5286&lt;&gt;"",VLOOKUP(H5286,TABLEITEM,3,FALSE),"")</f>
        <v>CT 1000/5 MSQ130</v>
      </c>
      <c r="N5286" s="14">
        <f>INSTOCK!$I5286*INSTOCK!$K5286</f>
        <v>705.3702</v>
      </c>
      <c r="O5286" s="4" t="s">
        <v>4653</v>
      </c>
      <c r="P5286" s="4"/>
    </row>
    <row r="5287" ht="15.75" hidden="1" customHeight="1">
      <c r="B5287" s="8">
        <v>5611.0</v>
      </c>
      <c r="C5287" s="9">
        <v>43669.0</v>
      </c>
      <c r="D5287" s="6" t="s">
        <v>6354</v>
      </c>
      <c r="E5287" s="4">
        <v>6.207001123E9</v>
      </c>
      <c r="F5287" s="8" t="s">
        <v>604</v>
      </c>
      <c r="G5287" s="4" t="s">
        <v>721</v>
      </c>
      <c r="H5287" s="10" t="s">
        <v>204</v>
      </c>
      <c r="I5287" s="10">
        <v>40.0</v>
      </c>
      <c r="J5287" s="11" t="str">
        <f>IF(D5287&lt;&gt;"",VLOOKUP(H5287,TABLEITEM,5,FALSE),"")</f>
        <v>EA</v>
      </c>
      <c r="K5287" s="12">
        <v>102.432</v>
      </c>
      <c r="L5287" s="13" t="str">
        <f>IF(D5287&lt;&gt;"",VLOOKUP(H5287,TABLEITEM,2,FALSE),"")</f>
        <v/>
      </c>
      <c r="M5287" s="13" t="str">
        <f>IF(D5287&lt;&gt;"",VLOOKUP(H5287,TABLEITEM,3,FALSE),"")</f>
        <v>รางวายดัก/รางPVC 33x45 mm.</v>
      </c>
      <c r="N5287" s="14">
        <f>INSTOCK!$I5287*INSTOCK!$K5287</f>
        <v>4097.28</v>
      </c>
      <c r="O5287" s="4" t="s">
        <v>723</v>
      </c>
      <c r="P5287" s="4"/>
    </row>
    <row r="5288" ht="15.75" hidden="1" customHeight="1">
      <c r="B5288" s="8">
        <v>5612.0</v>
      </c>
      <c r="C5288" s="9">
        <v>43670.0</v>
      </c>
      <c r="D5288" s="6" t="s">
        <v>6355</v>
      </c>
      <c r="E5288" s="4">
        <v>6.207001044E9</v>
      </c>
      <c r="F5288" s="8" t="s">
        <v>604</v>
      </c>
      <c r="G5288" s="4" t="s">
        <v>1777</v>
      </c>
      <c r="H5288" s="10" t="s">
        <v>3181</v>
      </c>
      <c r="I5288" s="10">
        <v>10000.0</v>
      </c>
      <c r="J5288" s="11" t="str">
        <f>IF(D5288&lt;&gt;"",VLOOKUP(H5288,TABLEITEM,5,FALSE),"")</f>
        <v>EA</v>
      </c>
      <c r="K5288" s="12">
        <v>0.125</v>
      </c>
      <c r="L5288" s="13" t="str">
        <f>IF(D5288&lt;&gt;"",VLOOKUP(H5288,TABLEITEM,2,FALSE),"")</f>
        <v/>
      </c>
      <c r="M5288" s="13" t="str">
        <f>IF(D5288&lt;&gt;"",VLOOKUP(H5288,TABLEITEM,3,FALSE),"")</f>
        <v>แหวนอีแปะ M6 ชุบขาว</v>
      </c>
      <c r="N5288" s="14">
        <f>INSTOCK!$I5288*INSTOCK!$K5288</f>
        <v>1250</v>
      </c>
      <c r="O5288" s="4" t="s">
        <v>3383</v>
      </c>
      <c r="P5288" s="4"/>
    </row>
    <row r="5289" ht="15.75" hidden="1" customHeight="1">
      <c r="B5289" s="8">
        <v>5613.0</v>
      </c>
      <c r="C5289" s="9">
        <v>43670.0</v>
      </c>
      <c r="D5289" s="6" t="s">
        <v>6356</v>
      </c>
      <c r="E5289" s="4"/>
      <c r="F5289" s="8" t="s">
        <v>604</v>
      </c>
      <c r="G5289" s="4" t="s">
        <v>617</v>
      </c>
      <c r="H5289" s="10" t="s">
        <v>559</v>
      </c>
      <c r="I5289" s="10">
        <v>50.0</v>
      </c>
      <c r="J5289" s="11" t="str">
        <f>IF(D5289&lt;&gt;"",VLOOKUP(H5289,TABLEITEM,5,FALSE),"")</f>
        <v>M</v>
      </c>
      <c r="K5289" s="12">
        <v>314.9</v>
      </c>
      <c r="L5289" s="13" t="str">
        <f>IF(D5289&lt;&gt;"",VLOOKUP(H5289,TABLEITEM,2,FALSE),"")</f>
        <v>Busbar</v>
      </c>
      <c r="M5289" s="13" t="str">
        <f>IF(D5289&lt;&gt;"",VLOOKUP(H5289,TABLEITEM,3,FALSE),"")</f>
        <v>บัสบาร์ทองแดง 30x5</v>
      </c>
      <c r="N5289" s="14">
        <f>INSTOCK!$I5289*INSTOCK!$K5289</f>
        <v>15745</v>
      </c>
      <c r="O5289" s="4" t="s">
        <v>5455</v>
      </c>
      <c r="P5289" s="4"/>
    </row>
    <row r="5290" ht="15.75" hidden="1" customHeight="1">
      <c r="B5290" s="8">
        <v>5614.0</v>
      </c>
      <c r="C5290" s="9">
        <v>43670.0</v>
      </c>
      <c r="D5290" s="6" t="s">
        <v>6356</v>
      </c>
      <c r="E5290" s="4"/>
      <c r="F5290" s="8" t="s">
        <v>604</v>
      </c>
      <c r="G5290" s="4" t="s">
        <v>617</v>
      </c>
      <c r="H5290" s="10" t="s">
        <v>560</v>
      </c>
      <c r="I5290" s="10">
        <v>25.0</v>
      </c>
      <c r="J5290" s="11" t="str">
        <f>IF(D5290&lt;&gt;"",VLOOKUP(H5290,TABLEITEM,5,FALSE),"")</f>
        <v>M</v>
      </c>
      <c r="K5290" s="12">
        <v>629.8</v>
      </c>
      <c r="L5290" s="13" t="str">
        <f>IF(D5290&lt;&gt;"",VLOOKUP(H5290,TABLEITEM,2,FALSE),"")</f>
        <v>Busbar</v>
      </c>
      <c r="M5290" s="13" t="str">
        <f>IF(D5290&lt;&gt;"",VLOOKUP(H5290,TABLEITEM,3,FALSE),"")</f>
        <v>บัสบาร์ทองแดง 30x10</v>
      </c>
      <c r="N5290" s="14">
        <f>INSTOCK!$I5290*INSTOCK!$K5290</f>
        <v>15745</v>
      </c>
      <c r="O5290" s="4" t="s">
        <v>6357</v>
      </c>
      <c r="P5290" s="4"/>
    </row>
    <row r="5291" ht="15.75" hidden="1" customHeight="1">
      <c r="B5291" s="8">
        <v>5615.0</v>
      </c>
      <c r="C5291" s="9">
        <v>43672.0</v>
      </c>
      <c r="D5291" s="6">
        <v>6.20707817E8</v>
      </c>
      <c r="E5291" s="4">
        <v>6.207001131E9</v>
      </c>
      <c r="F5291" s="8" t="s">
        <v>6348</v>
      </c>
      <c r="G5291" s="4" t="s">
        <v>1130</v>
      </c>
      <c r="H5291" s="10" t="s">
        <v>6358</v>
      </c>
      <c r="I5291" s="10">
        <v>1.0</v>
      </c>
      <c r="J5291" s="11" t="str">
        <f>IF(D5291&lt;&gt;"",VLOOKUP(H5291,TABLEITEM,5,FALSE),"")</f>
        <v>EA</v>
      </c>
      <c r="K5291" s="12">
        <v>225.0</v>
      </c>
      <c r="L5291" s="13" t="str">
        <f>IF(D5291&lt;&gt;"",VLOOKUP(H5291,TABLEITEM,2,FALSE),"")</f>
        <v/>
      </c>
      <c r="M5291" s="13" t="str">
        <f>IF(D5291&lt;&gt;"",VLOOKUP(H5291,TABLEITEM,3,FALSE),"")</f>
        <v>สวิทซ์ลูกลอยสายไฟยาว 3เมตร UKY-23</v>
      </c>
      <c r="N5291" s="14">
        <f>INSTOCK!$I5291*INSTOCK!$K5291</f>
        <v>225</v>
      </c>
      <c r="O5291" s="4" t="s">
        <v>5059</v>
      </c>
      <c r="P5291" s="4"/>
    </row>
    <row r="5292" ht="15.75" hidden="1" customHeight="1">
      <c r="B5292" s="8">
        <v>5616.0</v>
      </c>
      <c r="C5292" s="9">
        <v>43672.0</v>
      </c>
      <c r="D5292" s="6" t="s">
        <v>6359</v>
      </c>
      <c r="E5292" s="4"/>
      <c r="F5292" s="8" t="s">
        <v>604</v>
      </c>
      <c r="G5292" s="4" t="s">
        <v>2450</v>
      </c>
      <c r="H5292" s="10" t="s">
        <v>2451</v>
      </c>
      <c r="I5292" s="10">
        <v>40.0</v>
      </c>
      <c r="J5292" s="11" t="str">
        <f>IF(D5292&lt;&gt;"",VLOOKUP(H5292,TABLEITEM,5,FALSE),"")</f>
        <v>EA</v>
      </c>
      <c r="K5292" s="12">
        <v>180.0</v>
      </c>
      <c r="L5292" s="13" t="str">
        <f>IF(D5292&lt;&gt;"",VLOOKUP(H5292,TABLEITEM,2,FALSE),"")</f>
        <v/>
      </c>
      <c r="M5292" s="13" t="str">
        <f>IF(D5292&lt;&gt;"",VLOOKUP(H5292,TABLEITEM,3,FALSE),"")</f>
        <v>เสื้อโปโล(เสื้อพนักงาน)</v>
      </c>
      <c r="N5292" s="14">
        <f>INSTOCK!$I5292*INSTOCK!$K5292</f>
        <v>7200</v>
      </c>
      <c r="O5292" s="4"/>
      <c r="P5292" s="4"/>
    </row>
    <row r="5293" ht="15.75" hidden="1" customHeight="1">
      <c r="B5293" s="8">
        <v>5617.0</v>
      </c>
      <c r="C5293" s="9">
        <v>43668.0</v>
      </c>
      <c r="D5293" s="6">
        <v>6.20706375E8</v>
      </c>
      <c r="E5293" s="4">
        <v>6.20700111E9</v>
      </c>
      <c r="F5293" s="8" t="s">
        <v>6315</v>
      </c>
      <c r="G5293" s="4" t="s">
        <v>1130</v>
      </c>
      <c r="H5293" s="10" t="s">
        <v>1726</v>
      </c>
      <c r="I5293" s="10">
        <v>1.0</v>
      </c>
      <c r="J5293" s="11" t="str">
        <f>IF(D5293&lt;&gt;"",VLOOKUP(H5293,TABLEITEM,5,FALSE),"")</f>
        <v>EA</v>
      </c>
      <c r="K5293" s="12">
        <v>3312.4</v>
      </c>
      <c r="L5293" s="13" t="str">
        <f>IF(D5293&lt;&gt;"",VLOOKUP(H5293,TABLEITEM,2,FALSE),"")</f>
        <v/>
      </c>
      <c r="M5293" s="13" t="str">
        <f>IF(D5293&lt;&gt;"",VLOOKUP(H5293,TABLEITEM,3,FALSE),"")</f>
        <v>Power supply S8VS-06024</v>
      </c>
      <c r="N5293" s="14">
        <f>INSTOCK!$I5293*INSTOCK!$K5293</f>
        <v>3312.4</v>
      </c>
      <c r="O5293" s="4" t="s">
        <v>1727</v>
      </c>
      <c r="P5293" s="4"/>
    </row>
    <row r="5294" ht="15.75" hidden="1" customHeight="1">
      <c r="B5294" s="8">
        <v>5618.0</v>
      </c>
      <c r="C5294" s="9">
        <v>43668.0</v>
      </c>
      <c r="D5294" s="6">
        <v>6.20706375E8</v>
      </c>
      <c r="E5294" s="4">
        <v>6.20700111E9</v>
      </c>
      <c r="F5294" s="8" t="s">
        <v>6315</v>
      </c>
      <c r="G5294" s="4" t="s">
        <v>1130</v>
      </c>
      <c r="H5294" s="10" t="s">
        <v>5143</v>
      </c>
      <c r="I5294" s="10">
        <v>10.0</v>
      </c>
      <c r="J5294" s="11" t="str">
        <f>IF(D5294&lt;&gt;"",VLOOKUP(H5294,TABLEITEM,5,FALSE),"")</f>
        <v>EA</v>
      </c>
      <c r="K5294" s="12">
        <v>134.0</v>
      </c>
      <c r="L5294" s="13" t="str">
        <f>IF(D5294&lt;&gt;"",VLOOKUP(H5294,TABLEITEM,2,FALSE),"")</f>
        <v/>
      </c>
      <c r="M5294" s="13" t="str">
        <f>IF(D5294&lt;&gt;"",VLOOKUP(H5294,TABLEITEM,3,FALSE),"")</f>
        <v>Relay MY4N-GS 24VAC </v>
      </c>
      <c r="N5294" s="14">
        <f>INSTOCK!$I5294*INSTOCK!$K5294</f>
        <v>1340</v>
      </c>
      <c r="O5294" s="4"/>
      <c r="P5294" s="4"/>
    </row>
    <row r="5295" ht="15.75" hidden="1" customHeight="1">
      <c r="B5295" s="8">
        <v>5619.0</v>
      </c>
      <c r="C5295" s="9">
        <v>43668.0</v>
      </c>
      <c r="D5295" s="6">
        <v>6.20706375E8</v>
      </c>
      <c r="E5295" s="4">
        <v>6.20700111E9</v>
      </c>
      <c r="F5295" s="8" t="s">
        <v>6315</v>
      </c>
      <c r="G5295" s="4" t="s">
        <v>1130</v>
      </c>
      <c r="H5295" s="10" t="s">
        <v>6266</v>
      </c>
      <c r="I5295" s="10">
        <v>10.0</v>
      </c>
      <c r="J5295" s="11" t="str">
        <f>IF(D5295&lt;&gt;"",VLOOKUP(H5295,TABLEITEM,5,FALSE),"")</f>
        <v>EA</v>
      </c>
      <c r="K5295" s="12">
        <v>50.0</v>
      </c>
      <c r="L5295" s="13" t="str">
        <f>IF(D5295&lt;&gt;"",VLOOKUP(H5295,TABLEITEM,2,FALSE),"")</f>
        <v/>
      </c>
      <c r="M5295" s="13" t="str">
        <f>IF(D5295&lt;&gt;"",VLOOKUP(H5295,TABLEITEM,3,FALSE),"")</f>
        <v>ฐานสวิตช์หัวเห็ด CP939</v>
      </c>
      <c r="N5295" s="14">
        <f>INSTOCK!$I5295*INSTOCK!$K5295</f>
        <v>500</v>
      </c>
      <c r="O5295" s="4"/>
      <c r="P5295" s="4"/>
    </row>
    <row r="5296" ht="15.75" hidden="1" customHeight="1">
      <c r="B5296" s="8">
        <v>5620.0</v>
      </c>
      <c r="C5296" s="9">
        <v>43670.0</v>
      </c>
      <c r="D5296" s="6" t="s">
        <v>3740</v>
      </c>
      <c r="E5296" s="4">
        <v>6.207001115E9</v>
      </c>
      <c r="F5296" s="8" t="s">
        <v>5810</v>
      </c>
      <c r="G5296" s="4" t="s">
        <v>982</v>
      </c>
      <c r="H5296" s="10" t="s">
        <v>986</v>
      </c>
      <c r="I5296" s="10">
        <v>150.0</v>
      </c>
      <c r="J5296" s="11" t="str">
        <f>IF(D5296&lt;&gt;"",VLOOKUP(H5296,TABLEITEM,5,FALSE),"")</f>
        <v>KG.</v>
      </c>
      <c r="K5296" s="12">
        <v>41.0</v>
      </c>
      <c r="L5296" s="13" t="str">
        <f>IF(D5296&lt;&gt;"",VLOOKUP(H5296,TABLEITEM,2,FALSE),"")</f>
        <v/>
      </c>
      <c r="M5296" s="13" t="str">
        <f>IF(D5296&lt;&gt;"",VLOOKUP(H5296,TABLEITEM,3,FALSE),"")</f>
        <v>เคมีฟอสเฟต PN-134</v>
      </c>
      <c r="N5296" s="14">
        <f>INSTOCK!$I5296*INSTOCK!$K5296</f>
        <v>6150</v>
      </c>
      <c r="O5296" s="4"/>
      <c r="P5296" s="4"/>
    </row>
    <row r="5297" ht="15.75" hidden="1" customHeight="1">
      <c r="B5297" s="8">
        <v>5621.0</v>
      </c>
      <c r="C5297" s="9">
        <v>43670.0</v>
      </c>
      <c r="D5297" s="6" t="s">
        <v>3740</v>
      </c>
      <c r="E5297" s="4">
        <v>6.207001115E9</v>
      </c>
      <c r="F5297" s="8" t="s">
        <v>5810</v>
      </c>
      <c r="G5297" s="4" t="s">
        <v>982</v>
      </c>
      <c r="H5297" s="10" t="s">
        <v>983</v>
      </c>
      <c r="I5297" s="10">
        <v>200.0</v>
      </c>
      <c r="J5297" s="11" t="str">
        <f>IF(D5297&lt;&gt;"",VLOOKUP(H5297,TABLEITEM,5,FALSE),"")</f>
        <v>KG.</v>
      </c>
      <c r="K5297" s="12">
        <v>37.0</v>
      </c>
      <c r="L5297" s="13" t="str">
        <f>IF(D5297&lt;&gt;"",VLOOKUP(H5297,TABLEITEM,2,FALSE),"")</f>
        <v/>
      </c>
      <c r="M5297" s="13" t="str">
        <f>IF(D5297&lt;&gt;"",VLOOKUP(H5297,TABLEITEM,3,FALSE),"")</f>
        <v>เคมี ADDITIVE P-8</v>
      </c>
      <c r="N5297" s="14">
        <f>INSTOCK!$I5297*INSTOCK!$K5297</f>
        <v>7400</v>
      </c>
      <c r="O5297" s="4"/>
      <c r="P5297" s="4"/>
    </row>
    <row r="5298" ht="15.75" hidden="1" customHeight="1">
      <c r="B5298" s="8">
        <v>5622.0</v>
      </c>
      <c r="C5298" s="9">
        <v>43670.0</v>
      </c>
      <c r="D5298" s="6" t="s">
        <v>3740</v>
      </c>
      <c r="E5298" s="4">
        <v>6.207001115E9</v>
      </c>
      <c r="F5298" s="8" t="s">
        <v>5810</v>
      </c>
      <c r="G5298" s="4" t="s">
        <v>982</v>
      </c>
      <c r="H5298" s="10" t="s">
        <v>995</v>
      </c>
      <c r="I5298" s="10">
        <v>100.0</v>
      </c>
      <c r="J5298" s="11" t="str">
        <f>IF(D5298&lt;&gt;"",VLOOKUP(H5298,TABLEITEM,5,FALSE),"")</f>
        <v>KG.</v>
      </c>
      <c r="K5298" s="12">
        <v>21.0</v>
      </c>
      <c r="L5298" s="13" t="str">
        <f>IF(D5298&lt;&gt;"",VLOOKUP(H5298,TABLEITEM,2,FALSE),"")</f>
        <v/>
      </c>
      <c r="M5298" s="13" t="str">
        <f>IF(D5298&lt;&gt;"",VLOOKUP(H5298,TABLEITEM,3,FALSE),"")</f>
        <v>เคมีลดค่ากรด PF-18</v>
      </c>
      <c r="N5298" s="14">
        <f>INSTOCK!$I5298*INSTOCK!$K5298</f>
        <v>2100</v>
      </c>
      <c r="O5298" s="4"/>
      <c r="P5298" s="4"/>
    </row>
    <row r="5299" ht="15.75" hidden="1" customHeight="1">
      <c r="B5299" s="8">
        <v>5623.0</v>
      </c>
      <c r="C5299" s="9">
        <v>43670.0</v>
      </c>
      <c r="D5299" s="6" t="s">
        <v>3740</v>
      </c>
      <c r="E5299" s="4">
        <v>6.207001115E9</v>
      </c>
      <c r="F5299" s="8" t="s">
        <v>5810</v>
      </c>
      <c r="G5299" s="4" t="s">
        <v>982</v>
      </c>
      <c r="H5299" s="10" t="s">
        <v>991</v>
      </c>
      <c r="I5299" s="10">
        <v>100.0</v>
      </c>
      <c r="J5299" s="11" t="str">
        <f>IF(D5299&lt;&gt;"",VLOOKUP(H5299,TABLEITEM,5,FALSE),"")</f>
        <v>KG.</v>
      </c>
      <c r="K5299" s="12">
        <v>18.0</v>
      </c>
      <c r="L5299" s="13" t="str">
        <f>IF(D5299&lt;&gt;"",VLOOKUP(H5299,TABLEITEM,2,FALSE),"")</f>
        <v/>
      </c>
      <c r="M5299" s="13" t="str">
        <f>IF(D5299&lt;&gt;"",VLOOKUP(H5299,TABLEITEM,3,FALSE),"")</f>
        <v>เคมีตัวเร่งฟอสเฟต</v>
      </c>
      <c r="N5299" s="14">
        <f>INSTOCK!$I5299*INSTOCK!$K5299</f>
        <v>1800</v>
      </c>
      <c r="O5299" s="4"/>
      <c r="P5299" s="4"/>
    </row>
    <row r="5300" ht="15.75" hidden="1" customHeight="1">
      <c r="B5300" s="8">
        <v>5624.0</v>
      </c>
      <c r="C5300" s="9">
        <v>43671.0</v>
      </c>
      <c r="D5300" s="6" t="s">
        <v>6360</v>
      </c>
      <c r="E5300" s="4">
        <v>6.207001114E9</v>
      </c>
      <c r="F5300" s="8" t="s">
        <v>6361</v>
      </c>
      <c r="G5300" s="4" t="s">
        <v>6173</v>
      </c>
      <c r="H5300" s="10" t="s">
        <v>6362</v>
      </c>
      <c r="I5300" s="10">
        <v>1.0</v>
      </c>
      <c r="J5300" s="11" t="str">
        <f>IF(D5300&lt;&gt;"",VLOOKUP(H5300,TABLEITEM,5,FALSE),"")</f>
        <v>EA</v>
      </c>
      <c r="K5300" s="12">
        <v>1500.0</v>
      </c>
      <c r="L5300" s="13" t="str">
        <f>IF(D5300&lt;&gt;"",VLOOKUP(H5300,TABLEITEM,2,FALSE),"")</f>
        <v/>
      </c>
      <c r="M5300" s="13" t="str">
        <f>IF(D5300&lt;&gt;"",VLOOKUP(H5300,TABLEITEM,3,FALSE),"")</f>
        <v>CABLE</v>
      </c>
      <c r="N5300" s="14">
        <f>INSTOCK!$I5300*INSTOCK!$K5300</f>
        <v>1500</v>
      </c>
      <c r="O5300" s="4"/>
      <c r="P5300" s="4"/>
    </row>
    <row r="5301" ht="15.75" hidden="1" customHeight="1">
      <c r="B5301" s="8">
        <v>5625.0</v>
      </c>
      <c r="C5301" s="9">
        <v>43671.0</v>
      </c>
      <c r="D5301" s="6" t="s">
        <v>6360</v>
      </c>
      <c r="E5301" s="4">
        <v>6.207001114E9</v>
      </c>
      <c r="F5301" s="8" t="s">
        <v>6361</v>
      </c>
      <c r="G5301" s="4" t="s">
        <v>6173</v>
      </c>
      <c r="H5301" s="10" t="s">
        <v>6363</v>
      </c>
      <c r="I5301" s="10">
        <v>1.0</v>
      </c>
      <c r="J5301" s="11" t="str">
        <f>IF(D5301&lt;&gt;"",VLOOKUP(H5301,TABLEITEM,5,FALSE),"")</f>
        <v>EA</v>
      </c>
      <c r="K5301" s="12">
        <v>4015.0</v>
      </c>
      <c r="L5301" s="13" t="str">
        <f>IF(D5301&lt;&gt;"",VLOOKUP(H5301,TABLEITEM,2,FALSE),"")</f>
        <v/>
      </c>
      <c r="M5301" s="13" t="str">
        <f>IF(D5301&lt;&gt;"",VLOOKUP(H5301,TABLEITEM,3,FALSE),"")</f>
        <v>FX2 EXPANSION MODULE 2CH VO ITAGE INPUT/CURRENT INPUT</v>
      </c>
      <c r="N5301" s="14">
        <f>INSTOCK!$I5301*INSTOCK!$K5301</f>
        <v>4015</v>
      </c>
      <c r="O5301" s="4"/>
      <c r="P5301" s="4"/>
    </row>
    <row r="5302" ht="15.75" hidden="1" customHeight="1">
      <c r="B5302" s="8">
        <v>5626.0</v>
      </c>
      <c r="C5302" s="9">
        <v>43671.0</v>
      </c>
      <c r="D5302" s="6" t="s">
        <v>6360</v>
      </c>
      <c r="E5302" s="4">
        <v>6.207001114E9</v>
      </c>
      <c r="F5302" s="8" t="s">
        <v>6361</v>
      </c>
      <c r="G5302" s="4" t="s">
        <v>6173</v>
      </c>
      <c r="H5302" s="10" t="s">
        <v>6364</v>
      </c>
      <c r="I5302" s="10">
        <v>1.0</v>
      </c>
      <c r="J5302" s="11" t="str">
        <f>IF(D5302&lt;&gt;"",VLOOKUP(H5302,TABLEITEM,5,FALSE),"")</f>
        <v>EA</v>
      </c>
      <c r="K5302" s="12">
        <v>4070.0</v>
      </c>
      <c r="L5302" s="13" t="str">
        <f>IF(D5302&lt;&gt;"",VLOOKUP(H5302,TABLEITEM,2,FALSE),"")</f>
        <v/>
      </c>
      <c r="M5302" s="13" t="str">
        <f>IF(D5302&lt;&gt;"",VLOOKUP(H5302,TABLEITEM,3,FALSE),"")</f>
        <v>FX2 EXPANSION MODULE 2CH VO ITAGE OUTPUT/CURRENT OUTPUT</v>
      </c>
      <c r="N5302" s="14">
        <f>INSTOCK!$I5302*INSTOCK!$K5302</f>
        <v>4070</v>
      </c>
      <c r="O5302" s="4"/>
      <c r="P5302" s="4"/>
    </row>
    <row r="5303" ht="15.75" hidden="1" customHeight="1">
      <c r="B5303" s="8">
        <v>5627.0</v>
      </c>
      <c r="C5303" s="9">
        <v>43671.0</v>
      </c>
      <c r="D5303" s="6" t="s">
        <v>6365</v>
      </c>
      <c r="E5303" s="4">
        <v>6.207001121E9</v>
      </c>
      <c r="F5303" s="8" t="s">
        <v>604</v>
      </c>
      <c r="G5303" s="4" t="s">
        <v>798</v>
      </c>
      <c r="H5303" s="10" t="s">
        <v>112</v>
      </c>
      <c r="I5303" s="10">
        <v>100.0</v>
      </c>
      <c r="J5303" s="11" t="str">
        <f>IF(D5303&lt;&gt;"",VLOOKUP(H5303,TABLEITEM,5,FALSE),"")</f>
        <v>EA</v>
      </c>
      <c r="K5303" s="12">
        <v>30.0</v>
      </c>
      <c r="L5303" s="13" t="str">
        <f>IF(D5303&lt;&gt;"",VLOOKUP(H5303,TABLEITEM,2,FALSE),"")</f>
        <v/>
      </c>
      <c r="M5303" s="13" t="str">
        <f>IF(D5303&lt;&gt;"",VLOOKUP(H5303,TABLEITEM,3,FALSE),"")</f>
        <v>กุญแจกลมดำ174-04-G016-16</v>
      </c>
      <c r="N5303" s="14">
        <f>INSTOCK!$I5303*INSTOCK!$K5303</f>
        <v>3000</v>
      </c>
      <c r="O5303" s="4"/>
      <c r="P5303" s="4"/>
    </row>
    <row r="5304" ht="15.75" hidden="1" customHeight="1">
      <c r="B5304" s="8">
        <v>5628.0</v>
      </c>
      <c r="C5304" s="9">
        <v>43671.0</v>
      </c>
      <c r="D5304" s="6" t="s">
        <v>6365</v>
      </c>
      <c r="E5304" s="4">
        <v>6.207001121E9</v>
      </c>
      <c r="F5304" s="8" t="s">
        <v>604</v>
      </c>
      <c r="G5304" s="4" t="s">
        <v>798</v>
      </c>
      <c r="H5304" s="10" t="s">
        <v>883</v>
      </c>
      <c r="I5304" s="10">
        <v>100.0</v>
      </c>
      <c r="J5304" s="11" t="str">
        <f>IF(D5304&lt;&gt;"",VLOOKUP(H5304,TABLEITEM,5,FALSE),"")</f>
        <v>EA</v>
      </c>
      <c r="K5304" s="12">
        <v>10.0</v>
      </c>
      <c r="L5304" s="13" t="str">
        <f>IF(D5304&lt;&gt;"",VLOOKUP(H5304,TABLEITEM,2,FALSE),"")</f>
        <v/>
      </c>
      <c r="M5304" s="13" t="str">
        <f>IF(D5304&lt;&gt;"",VLOOKUP(H5304,TABLEITEM,3,FALSE),"")</f>
        <v>ลูกไข 1K077-01</v>
      </c>
      <c r="N5304" s="14">
        <f>INSTOCK!$I5304*INSTOCK!$K5304</f>
        <v>1000</v>
      </c>
      <c r="O5304" s="4"/>
      <c r="P5304" s="4"/>
    </row>
    <row r="5305" ht="15.75" hidden="1" customHeight="1">
      <c r="B5305" s="8">
        <v>5629.0</v>
      </c>
      <c r="C5305" s="9">
        <v>43666.0</v>
      </c>
      <c r="D5305" s="6" t="s">
        <v>6366</v>
      </c>
      <c r="E5305" s="4">
        <v>6.207001093E9</v>
      </c>
      <c r="F5305" s="8" t="s">
        <v>604</v>
      </c>
      <c r="G5305" s="4" t="s">
        <v>1870</v>
      </c>
      <c r="H5305" s="10" t="s">
        <v>3709</v>
      </c>
      <c r="I5305" s="10">
        <v>2000.0</v>
      </c>
      <c r="J5305" s="11" t="str">
        <f>IF(D5305&lt;&gt;"",VLOOKUP(H5305,TABLEITEM,5,FALSE),"")</f>
        <v>EA</v>
      </c>
      <c r="K5305" s="12">
        <v>0.33</v>
      </c>
      <c r="L5305" s="13" t="str">
        <f>IF(D5305&lt;&gt;"",VLOOKUP(H5305,TABLEITEM,2,FALSE),"")</f>
        <v/>
      </c>
      <c r="M5305" s="13" t="str">
        <f>IF(D5305&lt;&gt;"",VLOOKUP(H5305,TABLEITEM,3,FALSE),"")</f>
        <v>แหวนสปริง M10   HDG</v>
      </c>
      <c r="N5305" s="14">
        <f>INSTOCK!$I5305*INSTOCK!$K5305</f>
        <v>660</v>
      </c>
      <c r="O5305" s="4" t="s">
        <v>3136</v>
      </c>
      <c r="P5305" s="4"/>
    </row>
    <row r="5306" ht="15.75" hidden="1" customHeight="1">
      <c r="B5306" s="8">
        <v>5630.0</v>
      </c>
      <c r="C5306" s="9">
        <v>43666.0</v>
      </c>
      <c r="D5306" s="6" t="s">
        <v>6366</v>
      </c>
      <c r="E5306" s="4">
        <v>6.207001093E9</v>
      </c>
      <c r="F5306" s="8" t="s">
        <v>604</v>
      </c>
      <c r="G5306" s="4" t="s">
        <v>1870</v>
      </c>
      <c r="H5306" s="10" t="s">
        <v>1998</v>
      </c>
      <c r="I5306" s="10">
        <v>4000.0</v>
      </c>
      <c r="J5306" s="11" t="str">
        <f>IF(D5306&lt;&gt;"",VLOOKUP(H5306,TABLEITEM,5,FALSE),"")</f>
        <v>EA</v>
      </c>
      <c r="K5306" s="12">
        <v>0.495</v>
      </c>
      <c r="L5306" s="13" t="str">
        <f>IF(D5306&lt;&gt;"",VLOOKUP(H5306,TABLEITEM,2,FALSE),"")</f>
        <v/>
      </c>
      <c r="M5306" s="13" t="str">
        <f>IF(D5306&lt;&gt;"",VLOOKUP(H5306,TABLEITEM,3,FALSE),"")</f>
        <v>แหวนอีแปะ M10   HDG</v>
      </c>
      <c r="N5306" s="14">
        <f>INSTOCK!$I5306*INSTOCK!$K5306</f>
        <v>1980</v>
      </c>
      <c r="O5306" s="4" t="s">
        <v>1999</v>
      </c>
      <c r="P5306" s="4"/>
    </row>
    <row r="5307" ht="15.75" customHeight="1">
      <c r="B5307" s="8">
        <v>5631.0</v>
      </c>
      <c r="C5307" s="9">
        <v>43671.0</v>
      </c>
      <c r="D5307" s="6" t="s">
        <v>6367</v>
      </c>
      <c r="E5307" s="4"/>
      <c r="F5307" s="8" t="s">
        <v>2020</v>
      </c>
      <c r="G5307" s="4" t="s">
        <v>1130</v>
      </c>
      <c r="H5307" s="18" t="s">
        <v>1881</v>
      </c>
      <c r="I5307" s="10">
        <v>48.0</v>
      </c>
      <c r="J5307" s="11" t="str">
        <f>IF(D5307&lt;&gt;"",VLOOKUP(H5307,TABLEITEM,5,FALSE),"")</f>
        <v>EA</v>
      </c>
      <c r="K5307" s="12">
        <v>-4.0</v>
      </c>
      <c r="L5307" s="13" t="str">
        <f>IF(D5307&lt;&gt;"",VLOOKUP(H5307,TABLEITEM,2,FALSE),"")</f>
        <v/>
      </c>
      <c r="M5307" s="13" t="str">
        <f>IF(D5307&lt;&gt;"",VLOOKUP(H5307,TABLEITEM,3,FALSE),"")</f>
        <v>บ๊อกลอย PVC 2x4</v>
      </c>
      <c r="N5307" s="14">
        <f>INSTOCK!$I5307*INSTOCK!$K5307</f>
        <v>-192</v>
      </c>
      <c r="O5307" s="4"/>
      <c r="P5307" s="4"/>
    </row>
    <row r="5308" ht="15.75" customHeight="1">
      <c r="B5308" s="8">
        <v>5632.0</v>
      </c>
      <c r="C5308" s="9">
        <v>43678.0</v>
      </c>
      <c r="D5308" s="6" t="s">
        <v>6368</v>
      </c>
      <c r="E5308" s="4">
        <v>6.207001157E9</v>
      </c>
      <c r="F5308" s="8" t="s">
        <v>604</v>
      </c>
      <c r="G5308" s="4" t="s">
        <v>617</v>
      </c>
      <c r="H5308" s="10" t="s">
        <v>561</v>
      </c>
      <c r="I5308" s="10">
        <v>25.0</v>
      </c>
      <c r="J5308" s="11" t="str">
        <f>IF(D5308&lt;&gt;"",VLOOKUP(H5308,TABLEITEM,5,FALSE),"")</f>
        <v>M</v>
      </c>
      <c r="K5308" s="12">
        <v>841.3</v>
      </c>
      <c r="L5308" s="13" t="str">
        <f>IF(D5308&lt;&gt;"",VLOOKUP(H5308,TABLEITEM,2,FALSE),"")</f>
        <v>Busbar</v>
      </c>
      <c r="M5308" s="13" t="str">
        <f>IF(D5308&lt;&gt;"",VLOOKUP(H5308,TABLEITEM,3,FALSE),"")</f>
        <v>บัสบาร์ทองแดง 40x10</v>
      </c>
      <c r="N5308" s="14">
        <f>INSTOCK!$I5308*INSTOCK!$K5308</f>
        <v>21032.5</v>
      </c>
      <c r="O5308" s="4" t="s">
        <v>5455</v>
      </c>
      <c r="P5308" s="4"/>
    </row>
    <row r="5309" ht="15.75" customHeight="1">
      <c r="B5309" s="8">
        <v>5633.0</v>
      </c>
      <c r="C5309" s="9">
        <v>43678.0</v>
      </c>
      <c r="D5309" s="6" t="s">
        <v>6369</v>
      </c>
      <c r="E5309" s="4">
        <v>6.207001156E9</v>
      </c>
      <c r="F5309" s="8" t="s">
        <v>6370</v>
      </c>
      <c r="G5309" s="4" t="s">
        <v>1596</v>
      </c>
      <c r="H5309" s="10" t="s">
        <v>1793</v>
      </c>
      <c r="I5309" s="10">
        <v>1.0</v>
      </c>
      <c r="J5309" s="11" t="str">
        <f>IF(D5309&lt;&gt;"",VLOOKUP(H5309,TABLEITEM,5,FALSE),"")</f>
        <v>EA</v>
      </c>
      <c r="K5309" s="12">
        <v>652.0</v>
      </c>
      <c r="L5309" s="13" t="str">
        <f>IF(D5309&lt;&gt;"",VLOOKUP(H5309,TABLEITEM,2,FALSE),"")</f>
        <v/>
      </c>
      <c r="M5309" s="13" t="str">
        <f>IF(D5309&lt;&gt;"",VLOOKUP(H5309,TABLEITEM,3,FALSE),"")</f>
        <v>MCB SH203-C32</v>
      </c>
      <c r="N5309" s="14">
        <f>INSTOCK!$I5309*INSTOCK!$K5309</f>
        <v>652</v>
      </c>
      <c r="O5309" s="4" t="s">
        <v>1794</v>
      </c>
      <c r="P5309" s="4"/>
    </row>
    <row r="5310" ht="15.75" customHeight="1">
      <c r="B5310" s="8">
        <v>5634.0</v>
      </c>
      <c r="C5310" s="9">
        <v>43677.0</v>
      </c>
      <c r="D5310" s="6" t="s">
        <v>6371</v>
      </c>
      <c r="E5310" s="4">
        <v>6.207001152E9</v>
      </c>
      <c r="F5310" s="8" t="s">
        <v>604</v>
      </c>
      <c r="G5310" s="4" t="s">
        <v>808</v>
      </c>
      <c r="H5310" s="10" t="s">
        <v>816</v>
      </c>
      <c r="I5310" s="10">
        <v>4.0</v>
      </c>
      <c r="J5310" s="11" t="str">
        <f>IF(D5310&lt;&gt;"",VLOOKUP(H5310,TABLEITEM,5,FALSE),"")</f>
        <v>ท่อ</v>
      </c>
      <c r="K5310" s="12">
        <v>600.0</v>
      </c>
      <c r="L5310" s="13" t="str">
        <f>IF(D5310&lt;&gt;"",VLOOKUP(H5310,TABLEITEM,2,FALSE),"")</f>
        <v/>
      </c>
      <c r="M5310" s="13" t="str">
        <f>IF(D5310&lt;&gt;"",VLOOKUP(H5310,TABLEITEM,3,FALSE),"")</f>
        <v>อาร์กอน ขนาด 6คิว</v>
      </c>
      <c r="N5310" s="14">
        <f>INSTOCK!$I5310*INSTOCK!$K5310</f>
        <v>2400</v>
      </c>
      <c r="O5310" s="4"/>
      <c r="P5310" s="4"/>
    </row>
    <row r="5311" ht="15.75" customHeight="1">
      <c r="B5311" s="8">
        <v>5635.0</v>
      </c>
      <c r="C5311" s="9">
        <v>43677.0</v>
      </c>
      <c r="D5311" s="6" t="s">
        <v>6371</v>
      </c>
      <c r="E5311" s="4">
        <v>6.207001152E9</v>
      </c>
      <c r="F5311" s="8" t="s">
        <v>604</v>
      </c>
      <c r="G5311" s="4" t="s">
        <v>808</v>
      </c>
      <c r="H5311" s="18" t="s">
        <v>818</v>
      </c>
      <c r="I5311" s="10">
        <v>12.0</v>
      </c>
      <c r="J5311" s="11" t="str">
        <f>IF(D5311&lt;&gt;"",VLOOKUP(H5311,TABLEITEM,5,FALSE),"")</f>
        <v>ท่อ</v>
      </c>
      <c r="K5311" s="12">
        <v>300.0</v>
      </c>
      <c r="L5311" s="13" t="str">
        <f>IF(D5311&lt;&gt;"",VLOOKUP(H5311,TABLEITEM,2,FALSE),"")</f>
        <v/>
      </c>
      <c r="M5311" s="13" t="str">
        <f>IF(D5311&lt;&gt;"",VLOOKUP(H5311,TABLEITEM,3,FALSE),"")</f>
        <v>คาร์บอนไดออกไซด์ ขนาด 25 กก</v>
      </c>
      <c r="N5311" s="14">
        <f>INSTOCK!$I5311*INSTOCK!$K5311</f>
        <v>3600</v>
      </c>
      <c r="O5311" s="4"/>
      <c r="P5311" s="4"/>
    </row>
    <row r="5312" ht="15.75" customHeight="1">
      <c r="B5312" s="8">
        <v>5636.0</v>
      </c>
      <c r="C5312" s="9">
        <v>43678.0</v>
      </c>
      <c r="D5312" s="6" t="s">
        <v>6372</v>
      </c>
      <c r="E5312" s="4">
        <v>6.207001153E9</v>
      </c>
      <c r="F5312" s="8" t="s">
        <v>604</v>
      </c>
      <c r="G5312" s="4" t="s">
        <v>1870</v>
      </c>
      <c r="H5312" s="10" t="s">
        <v>3700</v>
      </c>
      <c r="I5312" s="10">
        <v>4000.0</v>
      </c>
      <c r="J5312" s="11" t="str">
        <f>IF(D5312&lt;&gt;"",VLOOKUP(H5312,TABLEITEM,5,FALSE),"")</f>
        <v>EA</v>
      </c>
      <c r="K5312" s="12">
        <v>0.33</v>
      </c>
      <c r="L5312" s="13" t="str">
        <f>IF(D5312&lt;&gt;"",VLOOKUP(H5312,TABLEITEM,2,FALSE),"")</f>
        <v/>
      </c>
      <c r="M5312" s="13" t="str">
        <f>IF(D5312&lt;&gt;"",VLOOKUP(H5312,TABLEITEM,3,FALSE),"")</f>
        <v>แหวนอีแปะ M8   HDG</v>
      </c>
      <c r="N5312" s="14">
        <f>INSTOCK!$I5312*INSTOCK!$K5312</f>
        <v>1320</v>
      </c>
      <c r="O5312" s="4" t="s">
        <v>3136</v>
      </c>
      <c r="P5312" s="4"/>
    </row>
    <row r="5313" ht="15.75" customHeight="1">
      <c r="B5313" s="8">
        <v>5637.0</v>
      </c>
      <c r="C5313" s="9">
        <v>43678.0</v>
      </c>
      <c r="D5313" s="6" t="s">
        <v>6372</v>
      </c>
      <c r="E5313" s="4">
        <v>6.207001153E9</v>
      </c>
      <c r="F5313" s="8" t="s">
        <v>604</v>
      </c>
      <c r="G5313" s="4" t="s">
        <v>1870</v>
      </c>
      <c r="H5313" s="10" t="s">
        <v>1998</v>
      </c>
      <c r="I5313" s="10">
        <v>6000.0</v>
      </c>
      <c r="J5313" s="11" t="str">
        <f>IF(D5313&lt;&gt;"",VLOOKUP(H5313,TABLEITEM,5,FALSE),"")</f>
        <v>EA</v>
      </c>
      <c r="K5313" s="12">
        <v>0.495</v>
      </c>
      <c r="L5313" s="13" t="str">
        <f>IF(D5313&lt;&gt;"",VLOOKUP(H5313,TABLEITEM,2,FALSE),"")</f>
        <v/>
      </c>
      <c r="M5313" s="13" t="str">
        <f>IF(D5313&lt;&gt;"",VLOOKUP(H5313,TABLEITEM,3,FALSE),"")</f>
        <v>แหวนอีแปะ M10   HDG</v>
      </c>
      <c r="N5313" s="14">
        <f>INSTOCK!$I5313*INSTOCK!$K5313</f>
        <v>2970</v>
      </c>
      <c r="O5313" s="4" t="s">
        <v>1999</v>
      </c>
      <c r="P5313" s="4"/>
    </row>
    <row r="5314" ht="15.75" customHeight="1">
      <c r="B5314" s="8">
        <v>5638.0</v>
      </c>
      <c r="C5314" s="9">
        <v>43678.0</v>
      </c>
      <c r="D5314" s="6" t="s">
        <v>6372</v>
      </c>
      <c r="E5314" s="4">
        <v>6.207001153E9</v>
      </c>
      <c r="F5314" s="8" t="s">
        <v>604</v>
      </c>
      <c r="G5314" s="4" t="s">
        <v>1870</v>
      </c>
      <c r="H5314" s="10" t="s">
        <v>3702</v>
      </c>
      <c r="I5314" s="10">
        <v>2000.0</v>
      </c>
      <c r="J5314" s="11" t="str">
        <f>IF(D5314&lt;&gt;"",VLOOKUP(H5314,TABLEITEM,5,FALSE),"")</f>
        <v>EA</v>
      </c>
      <c r="K5314" s="12">
        <v>0.1845</v>
      </c>
      <c r="L5314" s="13" t="str">
        <f>IF(D5314&lt;&gt;"",VLOOKUP(H5314,TABLEITEM,2,FALSE),"")</f>
        <v/>
      </c>
      <c r="M5314" s="13" t="str">
        <f>IF(D5314&lt;&gt;"",VLOOKUP(H5314,TABLEITEM,3,FALSE),"")</f>
        <v>แหวนสปริง M8   HDG</v>
      </c>
      <c r="N5314" s="14">
        <f>INSTOCK!$I5314*INSTOCK!$K5314</f>
        <v>369</v>
      </c>
      <c r="O5314" s="4" t="s">
        <v>4613</v>
      </c>
      <c r="P5314" s="4"/>
    </row>
    <row r="5315" ht="15.75" customHeight="1">
      <c r="B5315" s="8">
        <v>5639.0</v>
      </c>
      <c r="C5315" s="9">
        <v>43678.0</v>
      </c>
      <c r="D5315" s="6" t="s">
        <v>6372</v>
      </c>
      <c r="E5315" s="4">
        <v>6.207001153E9</v>
      </c>
      <c r="F5315" s="8" t="s">
        <v>604</v>
      </c>
      <c r="G5315" s="4" t="s">
        <v>1870</v>
      </c>
      <c r="H5315" s="10" t="s">
        <v>3709</v>
      </c>
      <c r="I5315" s="10">
        <v>3000.0</v>
      </c>
      <c r="J5315" s="11" t="str">
        <f>IF(D5315&lt;&gt;"",VLOOKUP(H5315,TABLEITEM,5,FALSE),"")</f>
        <v>EA</v>
      </c>
      <c r="K5315" s="12">
        <v>0.33</v>
      </c>
      <c r="L5315" s="13" t="str">
        <f>IF(D5315&lt;&gt;"",VLOOKUP(H5315,TABLEITEM,2,FALSE),"")</f>
        <v/>
      </c>
      <c r="M5315" s="13" t="str">
        <f>IF(D5315&lt;&gt;"",VLOOKUP(H5315,TABLEITEM,3,FALSE),"")</f>
        <v>แหวนสปริง M10   HDG</v>
      </c>
      <c r="N5315" s="14">
        <f>INSTOCK!$I5315*INSTOCK!$K5315</f>
        <v>990</v>
      </c>
      <c r="O5315" s="4" t="s">
        <v>3136</v>
      </c>
      <c r="P5315" s="4"/>
    </row>
    <row r="5316" ht="15.75" customHeight="1">
      <c r="B5316" s="8">
        <v>5640.0</v>
      </c>
      <c r="C5316" s="9">
        <v>43678.0</v>
      </c>
      <c r="D5316" s="6" t="s">
        <v>6372</v>
      </c>
      <c r="E5316" s="4">
        <v>6.207001153E9</v>
      </c>
      <c r="F5316" s="8" t="s">
        <v>604</v>
      </c>
      <c r="G5316" s="4" t="s">
        <v>1870</v>
      </c>
      <c r="H5316" s="10" t="s">
        <v>3704</v>
      </c>
      <c r="I5316" s="10">
        <v>2000.0</v>
      </c>
      <c r="J5316" s="11" t="str">
        <f>IF(D5316&lt;&gt;"",VLOOKUP(H5316,TABLEITEM,5,FALSE),"")</f>
        <v>EA</v>
      </c>
      <c r="K5316" s="12">
        <v>0.7334</v>
      </c>
      <c r="L5316" s="13" t="str">
        <f>IF(D5316&lt;&gt;"",VLOOKUP(H5316,TABLEITEM,2,FALSE),"")</f>
        <v/>
      </c>
      <c r="M5316" s="13" t="str">
        <f>IF(D5316&lt;&gt;"",VLOOKUP(H5316,TABLEITEM,3,FALSE),"")</f>
        <v>หัวน้อต M8  HDG</v>
      </c>
      <c r="N5316" s="14">
        <f>INSTOCK!$I5316*INSTOCK!$K5316</f>
        <v>1466.8</v>
      </c>
      <c r="O5316" s="4" t="s">
        <v>4950</v>
      </c>
      <c r="P5316" s="4"/>
    </row>
    <row r="5317" ht="15.75" customHeight="1">
      <c r="B5317" s="8">
        <v>5641.0</v>
      </c>
      <c r="C5317" s="9">
        <v>43678.0</v>
      </c>
      <c r="D5317" s="6" t="s">
        <v>6372</v>
      </c>
      <c r="E5317" s="4">
        <v>6.207001153E9</v>
      </c>
      <c r="F5317" s="8" t="s">
        <v>604</v>
      </c>
      <c r="G5317" s="4" t="s">
        <v>1870</v>
      </c>
      <c r="H5317" s="10" t="s">
        <v>2512</v>
      </c>
      <c r="I5317" s="10">
        <v>3000.0</v>
      </c>
      <c r="J5317" s="11" t="str">
        <f>IF(D5317&lt;&gt;"",VLOOKUP(H5317,TABLEITEM,5,FALSE),"")</f>
        <v>EA</v>
      </c>
      <c r="K5317" s="12">
        <v>1.265</v>
      </c>
      <c r="L5317" s="13" t="str">
        <f>IF(D5317&lt;&gt;"",VLOOKUP(H5317,TABLEITEM,2,FALSE),"")</f>
        <v/>
      </c>
      <c r="M5317" s="13" t="str">
        <f>IF(D5317&lt;&gt;"",VLOOKUP(H5317,TABLEITEM,3,FALSE),"")</f>
        <v>หัวน้อต M10  HDG</v>
      </c>
      <c r="N5317" s="14">
        <f>INSTOCK!$I5317*INSTOCK!$K5317</f>
        <v>3795</v>
      </c>
      <c r="O5317" s="4" t="s">
        <v>2513</v>
      </c>
      <c r="P5317" s="4"/>
    </row>
    <row r="5318" ht="15.75" customHeight="1">
      <c r="B5318" s="8">
        <v>5642.0</v>
      </c>
      <c r="C5318" s="9">
        <v>43678.0</v>
      </c>
      <c r="D5318" s="6" t="s">
        <v>6372</v>
      </c>
      <c r="E5318" s="4">
        <v>6.207001153E9</v>
      </c>
      <c r="F5318" s="8" t="s">
        <v>604</v>
      </c>
      <c r="G5318" s="4" t="s">
        <v>1870</v>
      </c>
      <c r="H5318" s="10" t="s">
        <v>3706</v>
      </c>
      <c r="I5318" s="10">
        <v>3000.0</v>
      </c>
      <c r="J5318" s="11" t="str">
        <f>IF(D5318&lt;&gt;"",VLOOKUP(H5318,TABLEITEM,5,FALSE),"")</f>
        <v>EA</v>
      </c>
      <c r="K5318" s="12">
        <v>1.87</v>
      </c>
      <c r="L5318" s="13" t="str">
        <f>IF(D5318&lt;&gt;"",VLOOKUP(H5318,TABLEITEM,2,FALSE),"")</f>
        <v/>
      </c>
      <c r="M5318" s="13" t="str">
        <f>IF(D5318&lt;&gt;"",VLOOKUP(H5318,TABLEITEM,3,FALSE),"")</f>
        <v>สกรูหัวเหลี่ยม M10x25  HDG</v>
      </c>
      <c r="N5318" s="14">
        <f>INSTOCK!$I5318*INSTOCK!$K5318</f>
        <v>5610</v>
      </c>
      <c r="O5318" s="4" t="s">
        <v>4614</v>
      </c>
      <c r="P5318" s="4"/>
    </row>
    <row r="5319" ht="15.75" customHeight="1">
      <c r="B5319" s="8">
        <v>5643.0</v>
      </c>
      <c r="C5319" s="9">
        <v>43678.0</v>
      </c>
      <c r="D5319" s="6" t="s">
        <v>6372</v>
      </c>
      <c r="E5319" s="4">
        <v>6.207001153E9</v>
      </c>
      <c r="F5319" s="8" t="s">
        <v>604</v>
      </c>
      <c r="G5319" s="4" t="s">
        <v>1870</v>
      </c>
      <c r="H5319" s="10" t="s">
        <v>4247</v>
      </c>
      <c r="I5319" s="10">
        <v>3000.0</v>
      </c>
      <c r="J5319" s="11" t="str">
        <f>IF(D5319&lt;&gt;"",VLOOKUP(H5319,TABLEITEM,5,FALSE),"")</f>
        <v>EA</v>
      </c>
      <c r="K5319" s="12">
        <v>2.31</v>
      </c>
      <c r="L5319" s="13" t="str">
        <f>IF(D5319&lt;&gt;"",VLOOKUP(H5319,TABLEITEM,2,FALSE),"")</f>
        <v/>
      </c>
      <c r="M5319" s="13" t="str">
        <f>IF(D5319&lt;&gt;"",VLOOKUP(H5319,TABLEITEM,3,FALSE),"")</f>
        <v>สกรูหัวเหลี่ยม M10x35  HDG</v>
      </c>
      <c r="N5319" s="14">
        <f>INSTOCK!$I5319*INSTOCK!$K5319</f>
        <v>6930</v>
      </c>
      <c r="O5319" s="4" t="s">
        <v>5601</v>
      </c>
      <c r="P5319" s="4"/>
    </row>
    <row r="5320" ht="15.75" customHeight="1">
      <c r="B5320" s="8">
        <v>5644.0</v>
      </c>
      <c r="C5320" s="9">
        <v>43678.0</v>
      </c>
      <c r="D5320" s="6" t="s">
        <v>6373</v>
      </c>
      <c r="E5320" s="4">
        <v>6.207001147E9</v>
      </c>
      <c r="F5320" s="8" t="s">
        <v>604</v>
      </c>
      <c r="G5320" s="4" t="s">
        <v>665</v>
      </c>
      <c r="H5320" s="10" t="s">
        <v>1428</v>
      </c>
      <c r="I5320" s="10">
        <v>500.0</v>
      </c>
      <c r="J5320" s="11" t="str">
        <f>IF(D5320&lt;&gt;"",VLOOKUP(H5320,TABLEITEM,5,FALSE),"")</f>
        <v>M</v>
      </c>
      <c r="K5320" s="12">
        <v>4.6</v>
      </c>
      <c r="L5320" s="13" t="str">
        <f>IF(D5320&lt;&gt;"",VLOOKUP(H5320,TABLEITEM,2,FALSE),"")</f>
        <v>wire</v>
      </c>
      <c r="M5320" s="13" t="str">
        <f>IF(D5320&lt;&gt;"",VLOOKUP(H5320,TABLEITEM,3,FALSE),"")</f>
        <v>สายไฟ VSF1x1 SQMM.สีน้ำเงิน</v>
      </c>
      <c r="N5320" s="14">
        <f>INSTOCK!$I5320*INSTOCK!$K5320</f>
        <v>2300</v>
      </c>
      <c r="O5320" s="4"/>
      <c r="P5320" s="4"/>
    </row>
    <row r="5321" ht="15.75" customHeight="1">
      <c r="B5321" s="8">
        <v>5645.0</v>
      </c>
      <c r="C5321" s="9">
        <v>43678.0</v>
      </c>
      <c r="D5321" s="6" t="s">
        <v>6374</v>
      </c>
      <c r="E5321" s="4">
        <v>6.207001135E9</v>
      </c>
      <c r="F5321" s="8" t="s">
        <v>604</v>
      </c>
      <c r="G5321" s="4" t="s">
        <v>737</v>
      </c>
      <c r="H5321" s="10" t="s">
        <v>16</v>
      </c>
      <c r="I5321" s="10">
        <v>240.0</v>
      </c>
      <c r="J5321" s="11" t="str">
        <f>IF(D5321&lt;&gt;"",VLOOKUP(H5321,TABLEITEM,5,FALSE),"")</f>
        <v>คู่</v>
      </c>
      <c r="K5321" s="12">
        <v>4.5834</v>
      </c>
      <c r="L5321" s="13" t="str">
        <f>IF(D5321&lt;&gt;"",VLOOKUP(H5321,TABLEITEM,2,FALSE),"")</f>
        <v/>
      </c>
      <c r="M5321" s="13" t="str">
        <f>IF(D5321&lt;&gt;"",VLOOKUP(H5321,TABLEITEM,3,FALSE),"")</f>
        <v>ถุงมือผ้า</v>
      </c>
      <c r="N5321" s="14">
        <f>INSTOCK!$I5321*INSTOCK!$K5321</f>
        <v>1100.016</v>
      </c>
      <c r="O5321" s="4"/>
      <c r="P5321" s="4"/>
    </row>
    <row r="5322" ht="15.75" customHeight="1">
      <c r="B5322" s="8">
        <v>5646.0</v>
      </c>
      <c r="C5322" s="9">
        <v>43678.0</v>
      </c>
      <c r="D5322" s="6" t="s">
        <v>6374</v>
      </c>
      <c r="E5322" s="4">
        <v>6.207001135E9</v>
      </c>
      <c r="F5322" s="8" t="s">
        <v>604</v>
      </c>
      <c r="G5322" s="4" t="s">
        <v>737</v>
      </c>
      <c r="H5322" s="10" t="s">
        <v>20</v>
      </c>
      <c r="I5322" s="10">
        <v>10.0</v>
      </c>
      <c r="J5322" s="11" t="str">
        <f>IF(D5322&lt;&gt;"",VLOOKUP(H5322,TABLEITEM,5,FALSE),"")</f>
        <v>ROLL</v>
      </c>
      <c r="K5322" s="12">
        <v>795.0</v>
      </c>
      <c r="L5322" s="13" t="str">
        <f>IF(D5322&lt;&gt;"",VLOOKUP(H5322,TABLEITEM,2,FALSE),"")</f>
        <v/>
      </c>
      <c r="M5322" s="13" t="str">
        <f>IF(D5322&lt;&gt;"",VLOOKUP(H5322,TABLEITEM,3,FALSE),"")</f>
        <v>ลวดเชื่อมco2</v>
      </c>
      <c r="N5322" s="14">
        <f>INSTOCK!$I5322*INSTOCK!$K5322</f>
        <v>7950</v>
      </c>
      <c r="O5322" s="4"/>
      <c r="P5322" s="4"/>
    </row>
    <row r="5323" ht="15.75" customHeight="1">
      <c r="B5323" s="8">
        <v>5647.0</v>
      </c>
      <c r="C5323" s="9">
        <v>43678.0</v>
      </c>
      <c r="D5323" s="6" t="s">
        <v>6375</v>
      </c>
      <c r="E5323" s="4">
        <v>6.20700116E9</v>
      </c>
      <c r="F5323" s="8" t="s">
        <v>807</v>
      </c>
      <c r="G5323" s="4" t="s">
        <v>808</v>
      </c>
      <c r="H5323" s="10" t="s">
        <v>809</v>
      </c>
      <c r="I5323" s="10">
        <v>1.0</v>
      </c>
      <c r="J5323" s="11" t="str">
        <f>IF(D5323&lt;&gt;"",VLOOKUP(H5323,TABLEITEM,5,FALSE),"")</f>
        <v>ท่อ</v>
      </c>
      <c r="K5323" s="12">
        <v>2700.0</v>
      </c>
      <c r="L5323" s="13" t="str">
        <f>IF(D5323&lt;&gt;"",VLOOKUP(H5323,TABLEITEM,2,FALSE),"")</f>
        <v/>
      </c>
      <c r="M5323" s="13" t="str">
        <f>IF(D5323&lt;&gt;"",VLOOKUP(H5323,TABLEITEM,3,FALSE),"")</f>
        <v>ไนโตรเจนเหลว ขนาด 100คิว</v>
      </c>
      <c r="N5323" s="14">
        <f>INSTOCK!$I5323*INSTOCK!$K5323</f>
        <v>2700</v>
      </c>
      <c r="O5323" s="4"/>
      <c r="P5323" s="4"/>
    </row>
    <row r="5324" ht="15.75" customHeight="1">
      <c r="B5324" s="8">
        <v>5648.0</v>
      </c>
      <c r="C5324" s="9">
        <v>43677.0</v>
      </c>
      <c r="D5324" s="6" t="s">
        <v>6376</v>
      </c>
      <c r="E5324" s="4">
        <v>6.207001158E9</v>
      </c>
      <c r="F5324" s="8" t="s">
        <v>1973</v>
      </c>
      <c r="G5324" s="4" t="s">
        <v>2465</v>
      </c>
      <c r="H5324" s="10" t="s">
        <v>6377</v>
      </c>
      <c r="I5324" s="10">
        <v>1.0</v>
      </c>
      <c r="J5324" s="11" t="str">
        <f>IF(D5324&lt;&gt;"",VLOOKUP(H5324,TABLEITEM,5,FALSE),"")</f>
        <v>EA</v>
      </c>
      <c r="K5324" s="12">
        <v>3040.0</v>
      </c>
      <c r="L5324" s="13" t="str">
        <f>IF(D5324&lt;&gt;"",VLOOKUP(H5324,TABLEITEM,2,FALSE),"")</f>
        <v/>
      </c>
      <c r="M5324" s="13" t="str">
        <f>IF(D5324&lt;&gt;"",VLOOKUP(H5324,TABLEITEM,3,FALSE),"")</f>
        <v>REGULATOR +FILTER W300-8W-F-B3W</v>
      </c>
      <c r="N5324" s="14">
        <f>INSTOCK!$I5324*INSTOCK!$K5324</f>
        <v>3040</v>
      </c>
      <c r="O5324" s="4"/>
      <c r="P5324" s="4"/>
    </row>
    <row r="5325" ht="15.75" customHeight="1">
      <c r="B5325" s="8">
        <v>5649.0</v>
      </c>
      <c r="C5325" s="9">
        <v>43679.0</v>
      </c>
      <c r="D5325" s="6" t="s">
        <v>6378</v>
      </c>
      <c r="E5325" s="4">
        <v>6.207001157E9</v>
      </c>
      <c r="F5325" s="8" t="s">
        <v>604</v>
      </c>
      <c r="G5325" s="4" t="s">
        <v>617</v>
      </c>
      <c r="H5325" s="10" t="s">
        <v>561</v>
      </c>
      <c r="I5325" s="10">
        <v>25.0</v>
      </c>
      <c r="J5325" s="11" t="str">
        <f>IF(D5325&lt;&gt;"",VLOOKUP(H5325,TABLEITEM,5,FALSE),"")</f>
        <v>M</v>
      </c>
      <c r="K5325" s="12">
        <v>541.3</v>
      </c>
      <c r="L5325" s="13" t="str">
        <f>IF(D5325&lt;&gt;"",VLOOKUP(H5325,TABLEITEM,2,FALSE),"")</f>
        <v>Busbar</v>
      </c>
      <c r="M5325" s="13" t="str">
        <f>IF(D5325&lt;&gt;"",VLOOKUP(H5325,TABLEITEM,3,FALSE),"")</f>
        <v>บัสบาร์ทองแดง 40x10</v>
      </c>
      <c r="N5325" s="14">
        <f>INSTOCK!$I5325*INSTOCK!$K5325</f>
        <v>13532.5</v>
      </c>
      <c r="O5325" s="4" t="s">
        <v>5455</v>
      </c>
      <c r="P5325" s="4"/>
    </row>
    <row r="5326" ht="15.75" customHeight="1">
      <c r="B5326" s="8">
        <v>5650.0</v>
      </c>
      <c r="C5326" s="9">
        <v>43676.0</v>
      </c>
      <c r="D5326" s="6" t="s">
        <v>6379</v>
      </c>
      <c r="E5326" s="4">
        <v>6.208001167E9</v>
      </c>
      <c r="F5326" s="8" t="s">
        <v>6353</v>
      </c>
      <c r="G5326" s="4" t="s">
        <v>3029</v>
      </c>
      <c r="H5326" s="10" t="s">
        <v>3030</v>
      </c>
      <c r="I5326" s="10">
        <v>12.31</v>
      </c>
      <c r="J5326" s="11" t="str">
        <f>IF(D5326&lt;&gt;"",VLOOKUP(H5326,TABLEITEM,5,FALSE),"")</f>
        <v>LOT</v>
      </c>
      <c r="K5326" s="12">
        <v>55.0</v>
      </c>
      <c r="L5326" s="13" t="str">
        <f>IF(D5326&lt;&gt;"",VLOOKUP(H5326,TABLEITEM,2,FALSE),"")</f>
        <v/>
      </c>
      <c r="M5326" s="13" t="str">
        <f>IF(D5326&lt;&gt;"",VLOOKUP(H5326,TABLEITEM,3,FALSE),"")</f>
        <v>ค่าชุบ ดีบุกเงา</v>
      </c>
      <c r="N5326" s="14">
        <f>INSTOCK!$I5326*INSTOCK!$K5326</f>
        <v>677.05</v>
      </c>
      <c r="O5326" s="4"/>
      <c r="P5326" s="4"/>
    </row>
    <row r="5327" ht="15.75" customHeight="1">
      <c r="B5327" s="8">
        <v>5651.0</v>
      </c>
      <c r="C5327" s="9">
        <v>43677.0</v>
      </c>
      <c r="D5327" s="6" t="s">
        <v>6380</v>
      </c>
      <c r="E5327" s="4">
        <v>6.208001166E9</v>
      </c>
      <c r="F5327" s="8" t="s">
        <v>6381</v>
      </c>
      <c r="G5327" s="4" t="s">
        <v>3029</v>
      </c>
      <c r="H5327" s="10" t="s">
        <v>3030</v>
      </c>
      <c r="I5327" s="10">
        <v>1.0</v>
      </c>
      <c r="J5327" s="11" t="str">
        <f>IF(D5327&lt;&gt;"",VLOOKUP(H5327,TABLEITEM,5,FALSE),"")</f>
        <v>LOT</v>
      </c>
      <c r="K5327" s="12">
        <v>500.0</v>
      </c>
      <c r="L5327" s="13" t="str">
        <f>IF(D5327&lt;&gt;"",VLOOKUP(H5327,TABLEITEM,2,FALSE),"")</f>
        <v/>
      </c>
      <c r="M5327" s="13" t="str">
        <f>IF(D5327&lt;&gt;"",VLOOKUP(H5327,TABLEITEM,3,FALSE),"")</f>
        <v>ค่าชุบ ดีบุกเงา</v>
      </c>
      <c r="N5327" s="14">
        <f>INSTOCK!$I5327*INSTOCK!$K5327</f>
        <v>500</v>
      </c>
      <c r="O5327" s="4" t="s">
        <v>3258</v>
      </c>
      <c r="P5327" s="4"/>
    </row>
    <row r="5328" ht="15.75" customHeight="1">
      <c r="B5328" s="8">
        <v>5652.0</v>
      </c>
      <c r="C5328" s="9">
        <v>43676.0</v>
      </c>
      <c r="D5328" s="6" t="s">
        <v>6382</v>
      </c>
      <c r="E5328" s="4">
        <v>6.207001145E9</v>
      </c>
      <c r="F5328" s="8" t="s">
        <v>604</v>
      </c>
      <c r="G5328" s="4" t="s">
        <v>721</v>
      </c>
      <c r="H5328" s="10" t="s">
        <v>223</v>
      </c>
      <c r="I5328" s="10">
        <v>200.0</v>
      </c>
      <c r="J5328" s="11" t="str">
        <f>IF(D5328&lt;&gt;"",VLOOKUP(H5328,TABLEITEM,5,FALSE),"")</f>
        <v>M</v>
      </c>
      <c r="K5328" s="12">
        <v>11.349</v>
      </c>
      <c r="L5328" s="13" t="str">
        <f>IF(D5328&lt;&gt;"",VLOOKUP(H5328,TABLEITEM,2,FALSE),"")</f>
        <v/>
      </c>
      <c r="M5328" s="13" t="str">
        <f>IF(D5328&lt;&gt;"",VLOOKUP(H5328,TABLEITEM,3,FALSE),"")</f>
        <v>ท่ออ่อนลูกฟูกชิดผ่า/ท่อผ่าดำ 13มิล</v>
      </c>
      <c r="N5328" s="14">
        <f>INSTOCK!$I5328*INSTOCK!$K5328</f>
        <v>2269.8</v>
      </c>
      <c r="O5328" s="4" t="s">
        <v>1142</v>
      </c>
      <c r="P5328" s="4"/>
    </row>
    <row r="5329" ht="15.75" customHeight="1">
      <c r="B5329" s="8">
        <v>5653.0</v>
      </c>
      <c r="C5329" s="9">
        <v>43676.0</v>
      </c>
      <c r="D5329" s="6" t="s">
        <v>6382</v>
      </c>
      <c r="E5329" s="4">
        <v>6.207001145E9</v>
      </c>
      <c r="F5329" s="8" t="s">
        <v>604</v>
      </c>
      <c r="G5329" s="4" t="s">
        <v>721</v>
      </c>
      <c r="H5329" s="10" t="s">
        <v>164</v>
      </c>
      <c r="I5329" s="10">
        <v>2000.0</v>
      </c>
      <c r="J5329" s="11" t="str">
        <f>IF(D5329&lt;&gt;"",VLOOKUP(H5329,TABLEITEM,5,FALSE),"")</f>
        <v>EA</v>
      </c>
      <c r="K5329" s="12">
        <v>0.4074</v>
      </c>
      <c r="L5329" s="13" t="str">
        <f>IF(D5329&lt;&gt;"",VLOOKUP(H5329,TABLEITEM,2,FALSE),"")</f>
        <v/>
      </c>
      <c r="M5329" s="13" t="str">
        <f>IF(D5329&lt;&gt;"",VLOOKUP(H5329,TABLEITEM,3,FALSE),"")</f>
        <v>เคเบิ้ลไทร์ 8" สีดำCT-200B-3C</v>
      </c>
      <c r="N5329" s="14">
        <f>INSTOCK!$I5329*INSTOCK!$K5329</f>
        <v>814.8</v>
      </c>
      <c r="O5329" s="4" t="s">
        <v>1219</v>
      </c>
      <c r="P5329" s="4"/>
    </row>
    <row r="5330" ht="15.75" customHeight="1">
      <c r="B5330" s="8">
        <v>5654.0</v>
      </c>
      <c r="C5330" s="9">
        <v>43673.0</v>
      </c>
      <c r="D5330" s="6">
        <v>6.20708155E8</v>
      </c>
      <c r="E5330" s="4">
        <v>6.207001146E9</v>
      </c>
      <c r="F5330" s="8" t="s">
        <v>604</v>
      </c>
      <c r="G5330" s="4" t="s">
        <v>1130</v>
      </c>
      <c r="H5330" s="10" t="s">
        <v>288</v>
      </c>
      <c r="I5330" s="10">
        <v>2000.0</v>
      </c>
      <c r="J5330" s="11" t="str">
        <f>IF(D5330&lt;&gt;"",VLOOKUP(H5330,TABLEITEM,5,FALSE),"")</f>
        <v>EA</v>
      </c>
      <c r="K5330" s="12">
        <v>1.75</v>
      </c>
      <c r="L5330" s="13" t="str">
        <f>IF(D5330&lt;&gt;"",VLOOKUP(H5330,TABLEITEM,2,FALSE),"")</f>
        <v/>
      </c>
      <c r="M5330" s="13" t="str">
        <f>IF(D5330&lt;&gt;"",VLOOKUP(H5330,TABLEITEM,3,FALSE),"")</f>
        <v>หางปลากลมเปลือย6-6</v>
      </c>
      <c r="N5330" s="14">
        <f>INSTOCK!$I5330*INSTOCK!$K5330</f>
        <v>3500</v>
      </c>
      <c r="O5330" s="4" t="s">
        <v>5245</v>
      </c>
      <c r="P5330" s="4"/>
    </row>
    <row r="5331" ht="15.75" customHeight="1">
      <c r="B5331" s="8">
        <v>5655.0</v>
      </c>
      <c r="C5331" s="9">
        <v>43655.0</v>
      </c>
      <c r="D5331" s="6">
        <v>27871.0</v>
      </c>
      <c r="E5331" s="4"/>
      <c r="F5331" s="8" t="s">
        <v>6145</v>
      </c>
      <c r="G5331" s="4" t="s">
        <v>2528</v>
      </c>
      <c r="H5331" s="10" t="s">
        <v>2529</v>
      </c>
      <c r="I5331" s="10">
        <v>60.0</v>
      </c>
      <c r="J5331" s="11" t="str">
        <f>IF(D5331&lt;&gt;"",VLOOKUP(H5331,TABLEITEM,5,FALSE),"")</f>
        <v>KG.</v>
      </c>
      <c r="K5331" s="12">
        <v>17.0</v>
      </c>
      <c r="L5331" s="13" t="str">
        <f>IF(D5331&lt;&gt;"",VLOOKUP(H5331,TABLEITEM,2,FALSE),"")</f>
        <v/>
      </c>
      <c r="M5331" s="13" t="str">
        <f>IF(D5331&lt;&gt;"",VLOOKUP(H5331,TABLEITEM,3,FALSE),"")</f>
        <v>งานชุบ HOT DIP</v>
      </c>
      <c r="N5331" s="14">
        <f>INSTOCK!$I5331*INSTOCK!$K5331</f>
        <v>1020</v>
      </c>
      <c r="O5331" s="4" t="s">
        <v>4110</v>
      </c>
      <c r="P5331" s="4"/>
    </row>
    <row r="5332" ht="15.75" customHeight="1">
      <c r="B5332" s="8">
        <v>5656.0</v>
      </c>
      <c r="C5332" s="9">
        <v>43676.0</v>
      </c>
      <c r="D5332" s="6" t="s">
        <v>6383</v>
      </c>
      <c r="E5332" s="4">
        <v>6.20600094E9</v>
      </c>
      <c r="F5332" s="8" t="s">
        <v>604</v>
      </c>
      <c r="G5332" s="4" t="s">
        <v>3099</v>
      </c>
      <c r="H5332" s="10" t="s">
        <v>3683</v>
      </c>
      <c r="I5332" s="10">
        <v>1000.0</v>
      </c>
      <c r="J5332" s="11" t="str">
        <f>IF(D5332&lt;&gt;"",VLOOKUP(H5332,TABLEITEM,5,FALSE),"")</f>
        <v>EA</v>
      </c>
      <c r="K5332" s="12">
        <v>7.5</v>
      </c>
      <c r="L5332" s="13" t="str">
        <f>IF(D5332&lt;&gt;"",VLOOKUP(H5332,TABLEITEM,2,FALSE),"")</f>
        <v/>
      </c>
      <c r="M5332" s="13" t="str">
        <f>IF(D5332&lt;&gt;"",VLOOKUP(H5332,TABLEITEM,3,FALSE),"")</f>
        <v>บานพับตู้ พับขอบกันน้ำพิเศษ รุ่นพับงอ</v>
      </c>
      <c r="N5332" s="14">
        <f>INSTOCK!$I5332*INSTOCK!$K5332</f>
        <v>7500</v>
      </c>
      <c r="O5332" s="4"/>
      <c r="P5332" s="4"/>
    </row>
    <row r="5333" ht="15.75" customHeight="1">
      <c r="B5333" s="8">
        <v>5657.0</v>
      </c>
      <c r="C5333" s="9">
        <v>43627.0</v>
      </c>
      <c r="D5333" s="6">
        <v>554476.0</v>
      </c>
      <c r="E5333" s="4"/>
      <c r="F5333" s="8" t="s">
        <v>6093</v>
      </c>
      <c r="G5333" s="4" t="s">
        <v>3724</v>
      </c>
      <c r="H5333" s="18" t="s">
        <v>6095</v>
      </c>
      <c r="I5333" s="10">
        <v>2.0</v>
      </c>
      <c r="J5333" s="11" t="str">
        <f>IF(D5333&lt;&gt;"",VLOOKUP(H5333,TABLEITEM,5,FALSE),"")</f>
        <v>EA</v>
      </c>
      <c r="K5333" s="12">
        <v>95.0</v>
      </c>
      <c r="L5333" s="13" t="str">
        <f>IF(D5333&lt;&gt;"",VLOOKUP(H5333,TABLEITEM,2,FALSE),"")</f>
        <v/>
      </c>
      <c r="M5333" s="13" t="str">
        <f>IF(D5333&lt;&gt;"",VLOOKUP(H5333,TABLEITEM,3,FALSE),"")</f>
        <v>มือจับ HF 481.21.109 NI </v>
      </c>
      <c r="N5333" s="14">
        <f>INSTOCK!$I5333*INSTOCK!$K5333</f>
        <v>190</v>
      </c>
      <c r="O5333" s="4"/>
      <c r="P5333" s="4"/>
    </row>
    <row r="5334" ht="15.75" customHeight="1">
      <c r="B5334" s="8">
        <v>5658.0</v>
      </c>
      <c r="C5334" s="9">
        <v>43679.0</v>
      </c>
      <c r="D5334" s="6" t="s">
        <v>6384</v>
      </c>
      <c r="E5334" s="4">
        <v>6.207001095E9</v>
      </c>
      <c r="F5334" s="8" t="s">
        <v>604</v>
      </c>
      <c r="G5334" s="4" t="s">
        <v>718</v>
      </c>
      <c r="H5334" s="10" t="s">
        <v>71</v>
      </c>
      <c r="I5334" s="10">
        <v>600.0</v>
      </c>
      <c r="J5334" s="11" t="str">
        <f>IF(D5334&lt;&gt;"",VLOOKUP(H5334,TABLEITEM,5,FALSE),"")</f>
        <v>กป.</v>
      </c>
      <c r="K5334" s="12">
        <v>50.0</v>
      </c>
      <c r="L5334" s="13" t="str">
        <f>IF(D5334&lt;&gt;"",VLOOKUP(H5334,TABLEITEM,2,FALSE),"")</f>
        <v/>
      </c>
      <c r="M5334" s="13" t="str">
        <f>IF(D5334&lt;&gt;"",VLOOKUP(H5334,TABLEITEM,3,FALSE),"")</f>
        <v>สีสเปรย์ TDK #C130090A RAL7032</v>
      </c>
      <c r="N5334" s="14">
        <f>INSTOCK!$I5334*INSTOCK!$K5334</f>
        <v>30000</v>
      </c>
      <c r="O5334" s="4"/>
      <c r="P5334" s="4"/>
    </row>
    <row r="5335" ht="15.75" customHeight="1">
      <c r="B5335" s="8">
        <v>5659.0</v>
      </c>
      <c r="C5335" s="9">
        <v>43678.0</v>
      </c>
      <c r="D5335" s="6" t="s">
        <v>6385</v>
      </c>
      <c r="E5335" s="4">
        <v>6.207001084E9</v>
      </c>
      <c r="F5335" s="8" t="s">
        <v>604</v>
      </c>
      <c r="G5335" s="4" t="s">
        <v>965</v>
      </c>
      <c r="H5335" s="18" t="s">
        <v>5024</v>
      </c>
      <c r="I5335" s="10">
        <v>1.0</v>
      </c>
      <c r="J5335" s="11" t="str">
        <f>IF(D5335&lt;&gt;"",VLOOKUP(H5335,TABLEITEM,5,FALSE),"")</f>
        <v>EA</v>
      </c>
      <c r="K5335" s="12">
        <v>140.0</v>
      </c>
      <c r="L5335" s="13" t="str">
        <f>IF(D5335&lt;&gt;"",VLOOKUP(H5335,TABLEITEM,2,FALSE),"")</f>
        <v/>
      </c>
      <c r="M5335" s="13" t="str">
        <f>IF(D5335&lt;&gt;"",VLOOKUP(H5335,TABLEITEM,3,FALSE),"")</f>
        <v>โฮลซอล์ 28มิล</v>
      </c>
      <c r="N5335" s="14">
        <f>INSTOCK!$I5335*INSTOCK!$K5335</f>
        <v>140</v>
      </c>
      <c r="O5335" s="4"/>
      <c r="P5335" s="4"/>
    </row>
    <row r="5336" ht="15.75" customHeight="1">
      <c r="B5336" s="8">
        <v>5660.0</v>
      </c>
      <c r="C5336" s="9">
        <v>43678.0</v>
      </c>
      <c r="D5336" s="6" t="s">
        <v>6385</v>
      </c>
      <c r="E5336" s="4">
        <v>6.207001133E9</v>
      </c>
      <c r="F5336" s="8" t="s">
        <v>604</v>
      </c>
      <c r="G5336" s="4" t="s">
        <v>965</v>
      </c>
      <c r="H5336" s="10" t="s">
        <v>3161</v>
      </c>
      <c r="I5336" s="10">
        <v>100.0</v>
      </c>
      <c r="J5336" s="11" t="str">
        <f>IF(D5336&lt;&gt;"",VLOOKUP(H5336,TABLEITEM,5,FALSE),"")</f>
        <v>EA</v>
      </c>
      <c r="K5336" s="12">
        <v>10.0</v>
      </c>
      <c r="L5336" s="13" t="str">
        <f>IF(D5336&lt;&gt;"",VLOOKUP(H5336,TABLEITEM,2,FALSE),"")</f>
        <v/>
      </c>
      <c r="M5336" s="13" t="str">
        <f>IF(D5336&lt;&gt;"",VLOOKUP(H5336,TABLEITEM,3,FALSE),"")</f>
        <v>ใบตัดเหล็ก 4" SUMO</v>
      </c>
      <c r="N5336" s="14">
        <f>INSTOCK!$I5336*INSTOCK!$K5336</f>
        <v>1000</v>
      </c>
      <c r="O5336" s="4"/>
      <c r="P5336" s="4"/>
    </row>
    <row r="5337" ht="15.75" customHeight="1">
      <c r="B5337" s="8">
        <v>5661.0</v>
      </c>
      <c r="C5337" s="9">
        <v>43678.0</v>
      </c>
      <c r="D5337" s="6" t="s">
        <v>6385</v>
      </c>
      <c r="E5337" s="4">
        <v>6.207001133E9</v>
      </c>
      <c r="F5337" s="8" t="s">
        <v>604</v>
      </c>
      <c r="G5337" s="4" t="s">
        <v>965</v>
      </c>
      <c r="H5337" s="18" t="s">
        <v>4632</v>
      </c>
      <c r="I5337" s="10">
        <v>6.0</v>
      </c>
      <c r="J5337" s="11" t="str">
        <f>IF(D5337&lt;&gt;"",VLOOKUP(H5337,TABLEITEM,5,FALSE),"")</f>
        <v>EA</v>
      </c>
      <c r="K5337" s="12">
        <v>110.0</v>
      </c>
      <c r="L5337" s="13" t="str">
        <f>IF(D5337&lt;&gt;"",VLOOKUP(H5337,TABLEITEM,2,FALSE),"")</f>
        <v/>
      </c>
      <c r="M5337" s="13" t="str">
        <f>IF(D5337&lt;&gt;"",VLOOKUP(H5337,TABLEITEM,3,FALSE),"")</f>
        <v>พลาสติกใสม้วนยาว </v>
      </c>
      <c r="N5337" s="14">
        <f>INSTOCK!$I5337*INSTOCK!$K5337</f>
        <v>660</v>
      </c>
      <c r="O5337" s="4"/>
      <c r="P5337" s="4"/>
    </row>
    <row r="5338" ht="15.75" customHeight="1">
      <c r="B5338" s="8">
        <v>5662.0</v>
      </c>
      <c r="C5338" s="9">
        <v>43678.0</v>
      </c>
      <c r="D5338" s="6" t="s">
        <v>6385</v>
      </c>
      <c r="E5338" s="4">
        <v>6.207001133E9</v>
      </c>
      <c r="F5338" s="8" t="s">
        <v>604</v>
      </c>
      <c r="G5338" s="4" t="s">
        <v>965</v>
      </c>
      <c r="H5338" s="10" t="s">
        <v>45</v>
      </c>
      <c r="I5338" s="10">
        <v>2.0</v>
      </c>
      <c r="J5338" s="11" t="str">
        <f>IF(D5338&lt;&gt;"",VLOOKUP(H5338,TABLEITEM,5,FALSE),"")</f>
        <v>กล</v>
      </c>
      <c r="K5338" s="12">
        <v>280.0</v>
      </c>
      <c r="L5338" s="13" t="str">
        <f>IF(D5338&lt;&gt;"",VLOOKUP(H5338,TABLEITEM,2,FALSE),"")</f>
        <v/>
      </c>
      <c r="M5338" s="13" t="str">
        <f>IF(D5338&lt;&gt;"",VLOOKUP(H5338,TABLEITEM,3,FALSE),"")</f>
        <v>สีโป้ว</v>
      </c>
      <c r="N5338" s="14">
        <f>INSTOCK!$I5338*INSTOCK!$K5338</f>
        <v>560</v>
      </c>
      <c r="O5338" s="4"/>
      <c r="P5338" s="4"/>
    </row>
    <row r="5339" ht="15.75" customHeight="1">
      <c r="B5339" s="8">
        <v>5663.0</v>
      </c>
      <c r="C5339" s="9">
        <v>43678.0</v>
      </c>
      <c r="D5339" s="6" t="s">
        <v>6385</v>
      </c>
      <c r="E5339" s="4">
        <v>6.207001133E9</v>
      </c>
      <c r="F5339" s="8" t="s">
        <v>604</v>
      </c>
      <c r="G5339" s="4" t="s">
        <v>965</v>
      </c>
      <c r="H5339" s="10" t="s">
        <v>38</v>
      </c>
      <c r="I5339" s="10">
        <v>100.0</v>
      </c>
      <c r="J5339" s="11" t="str">
        <f>IF(D5339&lt;&gt;"",VLOOKUP(H5339,TABLEITEM,5,FALSE),"")</f>
        <v>EA</v>
      </c>
      <c r="K5339" s="12">
        <v>2.0</v>
      </c>
      <c r="L5339" s="13" t="str">
        <f>IF(D5339&lt;&gt;"",VLOOKUP(H5339,TABLEITEM,2,FALSE),"")</f>
        <v/>
      </c>
      <c r="M5339" s="13" t="str">
        <f>IF(D5339&lt;&gt;"",VLOOKUP(H5339,TABLEITEM,3,FALSE),"")</f>
        <v>กระจกใส</v>
      </c>
      <c r="N5339" s="14">
        <f>INSTOCK!$I5339*INSTOCK!$K5339</f>
        <v>200</v>
      </c>
      <c r="O5339" s="4"/>
      <c r="P5339" s="4"/>
    </row>
    <row r="5340" ht="15.75" customHeight="1">
      <c r="B5340" s="8">
        <v>5664.0</v>
      </c>
      <c r="C5340" s="9">
        <v>43678.0</v>
      </c>
      <c r="D5340" s="6" t="s">
        <v>6386</v>
      </c>
      <c r="E5340" s="4"/>
      <c r="F5340" s="8" t="s">
        <v>6387</v>
      </c>
      <c r="G5340" s="4" t="s">
        <v>6388</v>
      </c>
      <c r="H5340" s="10" t="s">
        <v>6389</v>
      </c>
      <c r="I5340" s="10">
        <v>1.0</v>
      </c>
      <c r="J5340" s="11" t="str">
        <f>IF(D5340&lt;&gt;"",VLOOKUP(H5340,TABLEITEM,5,FALSE),"")</f>
        <v>EA</v>
      </c>
      <c r="K5340" s="12">
        <v>2990.0</v>
      </c>
      <c r="L5340" s="13" t="str">
        <f>IF(D5340&lt;&gt;"",VLOOKUP(H5340,TABLEITEM,2,FALSE),"")</f>
        <v/>
      </c>
      <c r="M5340" s="13" t="str">
        <f>IF(D5340&lt;&gt;"",VLOOKUP(H5340,TABLEITEM,3,FALSE),"")</f>
        <v>Mikro Tik hEX S (RB760iGs-hEX-S) </v>
      </c>
      <c r="N5340" s="14">
        <f>INSTOCK!$I5340*INSTOCK!$K5340</f>
        <v>2990</v>
      </c>
      <c r="O5340" s="4"/>
      <c r="P5340" s="4"/>
    </row>
    <row r="5341" ht="15.75" customHeight="1">
      <c r="B5341" s="8">
        <v>5665.0</v>
      </c>
      <c r="C5341" s="9">
        <v>43679.0</v>
      </c>
      <c r="D5341" s="6" t="s">
        <v>6390</v>
      </c>
      <c r="E5341" s="4">
        <v>6.207001129E9</v>
      </c>
      <c r="F5341" s="8" t="s">
        <v>604</v>
      </c>
      <c r="G5341" s="4" t="s">
        <v>1864</v>
      </c>
      <c r="H5341" s="10" t="s">
        <v>1865</v>
      </c>
      <c r="I5341" s="10">
        <v>3.0</v>
      </c>
      <c r="J5341" s="11" t="str">
        <f>IF(D5341&lt;&gt;"",VLOOKUP(H5341,TABLEITEM,5,FALSE),"")</f>
        <v>DRUM</v>
      </c>
      <c r="K5341" s="12">
        <v>9375.0</v>
      </c>
      <c r="L5341" s="13" t="str">
        <f>IF(D5341&lt;&gt;"",VLOOKUP(H5341,TABLEITEM,2,FALSE),"")</f>
        <v/>
      </c>
      <c r="M5341" s="13" t="str">
        <f>IF(D5341&lt;&gt;"",VLOOKUP(H5341,TABLEITEM,3,FALSE),"")</f>
        <v>PU FOAM GLUE A IP67-3 (25KG=8DRUM)</v>
      </c>
      <c r="N5341" s="14">
        <f>INSTOCK!$I5341*INSTOCK!$K5341</f>
        <v>28125</v>
      </c>
      <c r="O5341" s="4"/>
      <c r="P5341" s="4"/>
    </row>
    <row r="5342" ht="15.75" customHeight="1">
      <c r="B5342" s="8">
        <v>5666.0</v>
      </c>
      <c r="C5342" s="9">
        <v>43679.0</v>
      </c>
      <c r="D5342" s="6" t="s">
        <v>6390</v>
      </c>
      <c r="E5342" s="4">
        <v>6.207001129E9</v>
      </c>
      <c r="F5342" s="8" t="s">
        <v>604</v>
      </c>
      <c r="G5342" s="4" t="s">
        <v>1864</v>
      </c>
      <c r="H5342" s="10" t="s">
        <v>1866</v>
      </c>
      <c r="I5342" s="10">
        <v>3.0</v>
      </c>
      <c r="J5342" s="11" t="str">
        <f>IF(D5342&lt;&gt;"",VLOOKUP(H5342,TABLEITEM,5,FALSE),"")</f>
        <v>DRUM</v>
      </c>
      <c r="K5342" s="12">
        <v>9550.0</v>
      </c>
      <c r="L5342" s="13" t="str">
        <f>IF(D5342&lt;&gt;"",VLOOKUP(H5342,TABLEITEM,2,FALSE),"")</f>
        <v/>
      </c>
      <c r="M5342" s="13" t="str">
        <f>IF(D5342&lt;&gt;"",VLOOKUP(H5342,TABLEITEM,3,FALSE),"")</f>
        <v>PU FOAM GLUE B IP67-3 (25KG=2DRUM)</v>
      </c>
      <c r="N5342" s="14">
        <f>INSTOCK!$I5342*INSTOCK!$K5342</f>
        <v>28650</v>
      </c>
      <c r="O5342" s="4"/>
      <c r="P5342" s="4"/>
    </row>
    <row r="5343" ht="15.75" customHeight="1">
      <c r="B5343" s="8">
        <v>5667.0</v>
      </c>
      <c r="C5343" s="9">
        <v>43682.0</v>
      </c>
      <c r="D5343" s="6" t="s">
        <v>6391</v>
      </c>
      <c r="E5343" s="4">
        <v>6.208001168E9</v>
      </c>
      <c r="F5343" s="8" t="s">
        <v>604</v>
      </c>
      <c r="G5343" s="4" t="s">
        <v>1289</v>
      </c>
      <c r="H5343" s="10" t="s">
        <v>153</v>
      </c>
      <c r="I5343" s="10">
        <v>500.0</v>
      </c>
      <c r="J5343" s="11" t="str">
        <f>IF(D5343&lt;&gt;"",VLOOKUP(H5343,TABLEITEM,5,FALSE),"")</f>
        <v>EA</v>
      </c>
      <c r="K5343" s="12">
        <v>2.5</v>
      </c>
      <c r="L5343" s="13" t="str">
        <f>IF(D5343&lt;&gt;"",VLOOKUP(H5343,TABLEITEM,2,FALSE),"")</f>
        <v/>
      </c>
      <c r="M5343" s="13" t="str">
        <f>IF(D5343&lt;&gt;"",VLOOKUP(H5343,TABLEITEM,3,FALSE),"")</f>
        <v>ยางกันกระแทกกลาง</v>
      </c>
      <c r="N5343" s="14">
        <f>INSTOCK!$I5343*INSTOCK!$K5343</f>
        <v>1250</v>
      </c>
      <c r="O5343" s="4"/>
      <c r="P5343" s="4"/>
    </row>
    <row r="5344" ht="15.75" customHeight="1">
      <c r="B5344" s="8">
        <v>5668.0</v>
      </c>
      <c r="C5344" s="9">
        <v>43680.0</v>
      </c>
      <c r="D5344" s="6" t="s">
        <v>6392</v>
      </c>
      <c r="E5344" s="4"/>
      <c r="F5344" s="8" t="s">
        <v>6393</v>
      </c>
      <c r="G5344" s="4" t="s">
        <v>1940</v>
      </c>
      <c r="H5344" s="10" t="s">
        <v>6394</v>
      </c>
      <c r="I5344" s="10">
        <v>150.0</v>
      </c>
      <c r="J5344" s="11" t="str">
        <f>IF(D5344&lt;&gt;"",VLOOKUP(H5344,TABLEITEM,5,FALSE),"")</f>
        <v>EA</v>
      </c>
      <c r="K5344" s="12">
        <v>5.83</v>
      </c>
      <c r="L5344" s="13" t="str">
        <f>IF(D5344&lt;&gt;"",VLOOKUP(H5344,TABLEITEM,2,FALSE),"")</f>
        <v/>
      </c>
      <c r="M5344" s="13" t="str">
        <f>IF(D5344&lt;&gt;"",VLOOKUP(H5344,TABLEITEM,3,FALSE),"")</f>
        <v>สกรูหัวเหลี่ยม M10x30 SUS</v>
      </c>
      <c r="N5344" s="14">
        <f>INSTOCK!$I5344*INSTOCK!$K5344</f>
        <v>874.5</v>
      </c>
      <c r="O5344" s="4" t="s">
        <v>6395</v>
      </c>
      <c r="P5344" s="4"/>
    </row>
    <row r="5345" ht="15.75" customHeight="1">
      <c r="B5345" s="8">
        <v>5669.0</v>
      </c>
      <c r="C5345" s="9">
        <v>43680.0</v>
      </c>
      <c r="D5345" s="6" t="s">
        <v>6392</v>
      </c>
      <c r="E5345" s="4"/>
      <c r="F5345" s="8" t="s">
        <v>6393</v>
      </c>
      <c r="G5345" s="4" t="s">
        <v>1940</v>
      </c>
      <c r="H5345" s="10" t="s">
        <v>1942</v>
      </c>
      <c r="I5345" s="10">
        <v>150.0</v>
      </c>
      <c r="J5345" s="11" t="str">
        <f>IF(D5345&lt;&gt;"",VLOOKUP(H5345,TABLEITEM,5,FALSE),"")</f>
        <v>EA</v>
      </c>
      <c r="K5345" s="12">
        <v>2.805</v>
      </c>
      <c r="L5345" s="13" t="str">
        <f>IF(D5345&lt;&gt;"",VLOOKUP(H5345,TABLEITEM,2,FALSE),"")</f>
        <v/>
      </c>
      <c r="M5345" s="13" t="str">
        <f>IF(D5345&lt;&gt;"",VLOOKUP(H5345,TABLEITEM,3,FALSE),"")</f>
        <v>หัวน๊อต SUS M10</v>
      </c>
      <c r="N5345" s="14">
        <f>INSTOCK!$I5345*INSTOCK!$K5345</f>
        <v>420.75</v>
      </c>
      <c r="O5345" s="4" t="s">
        <v>6396</v>
      </c>
      <c r="P5345" s="4"/>
    </row>
    <row r="5346" ht="15.75" customHeight="1">
      <c r="B5346" s="8">
        <v>5670.0</v>
      </c>
      <c r="C5346" s="9">
        <v>43680.0</v>
      </c>
      <c r="D5346" s="6" t="s">
        <v>6392</v>
      </c>
      <c r="E5346" s="4"/>
      <c r="F5346" s="8" t="s">
        <v>6393</v>
      </c>
      <c r="G5346" s="4" t="s">
        <v>1940</v>
      </c>
      <c r="H5346" s="10" t="s">
        <v>1943</v>
      </c>
      <c r="I5346" s="10">
        <v>150.0</v>
      </c>
      <c r="J5346" s="11" t="str">
        <f>IF(D5346&lt;&gt;"",VLOOKUP(H5346,TABLEITEM,5,FALSE),"")</f>
        <v>EA</v>
      </c>
      <c r="K5346" s="12">
        <v>1.1</v>
      </c>
      <c r="L5346" s="13" t="str">
        <f>IF(D5346&lt;&gt;"",VLOOKUP(H5346,TABLEITEM,2,FALSE),"")</f>
        <v/>
      </c>
      <c r="M5346" s="13" t="str">
        <f>IF(D5346&lt;&gt;"",VLOOKUP(H5346,TABLEITEM,3,FALSE),"")</f>
        <v>แหวนอีแปะ SUS M10</v>
      </c>
      <c r="N5346" s="14">
        <f>INSTOCK!$I5346*INSTOCK!$K5346</f>
        <v>165</v>
      </c>
      <c r="O5346" s="4" t="s">
        <v>6397</v>
      </c>
      <c r="P5346" s="4"/>
    </row>
    <row r="5347" ht="15.75" customHeight="1">
      <c r="B5347" s="8">
        <v>5671.0</v>
      </c>
      <c r="C5347" s="9">
        <v>43680.0</v>
      </c>
      <c r="D5347" s="6" t="s">
        <v>6392</v>
      </c>
      <c r="E5347" s="4"/>
      <c r="F5347" s="8" t="s">
        <v>6393</v>
      </c>
      <c r="G5347" s="4" t="s">
        <v>1940</v>
      </c>
      <c r="H5347" s="10" t="s">
        <v>1944</v>
      </c>
      <c r="I5347" s="10">
        <v>150.0</v>
      </c>
      <c r="J5347" s="11" t="str">
        <f>IF(D5347&lt;&gt;"",VLOOKUP(H5347,TABLEITEM,5,FALSE),"")</f>
        <v>EA</v>
      </c>
      <c r="K5347" s="12">
        <v>1.1</v>
      </c>
      <c r="L5347" s="13" t="str">
        <f>IF(D5347&lt;&gt;"",VLOOKUP(H5347,TABLEITEM,2,FALSE),"")</f>
        <v/>
      </c>
      <c r="M5347" s="13" t="str">
        <f>IF(D5347&lt;&gt;"",VLOOKUP(H5347,TABLEITEM,3,FALSE),"")</f>
        <v>แหวนสปริง SUS M10</v>
      </c>
      <c r="N5347" s="14">
        <f>INSTOCK!$I5347*INSTOCK!$K5347</f>
        <v>165</v>
      </c>
      <c r="O5347" s="4" t="s">
        <v>6397</v>
      </c>
      <c r="P5347" s="4"/>
    </row>
    <row r="5348" ht="15.75" customHeight="1">
      <c r="B5348" s="8">
        <v>5672.0</v>
      </c>
      <c r="C5348" s="9"/>
      <c r="D5348" s="6" t="s">
        <v>6398</v>
      </c>
      <c r="E5348" s="4"/>
      <c r="F5348" s="8" t="s">
        <v>6399</v>
      </c>
      <c r="G5348" s="4" t="s">
        <v>6400</v>
      </c>
      <c r="H5348" s="10" t="s">
        <v>139</v>
      </c>
      <c r="I5348" s="10">
        <v>1.0</v>
      </c>
      <c r="J5348" s="11" t="str">
        <f>IF(D5348&lt;&gt;"",VLOOKUP(H5348,TABLEITEM,5,FALSE),"")</f>
        <v>EA</v>
      </c>
      <c r="K5348" s="12">
        <v>870.0</v>
      </c>
      <c r="L5348" s="13" t="str">
        <f>IF(D5348&lt;&gt;"",VLOOKUP(H5348,TABLEITEM,2,FALSE),"")</f>
        <v/>
      </c>
      <c r="M5348" s="13" t="str">
        <f>IF(D5348&lt;&gt;"",VLOOKUP(H5348,TABLEITEM,3,FALSE),"")</f>
        <v>กุญแจ TAKIGEN A 464-1-1</v>
      </c>
      <c r="N5348" s="14">
        <f>INSTOCK!$I5348*INSTOCK!$K5348</f>
        <v>870</v>
      </c>
      <c r="O5348" s="4"/>
      <c r="P5348" s="4"/>
    </row>
    <row r="5349" ht="15.75" customHeight="1">
      <c r="B5349" s="8">
        <v>5673.0</v>
      </c>
      <c r="C5349" s="9">
        <v>43684.0</v>
      </c>
      <c r="D5349" s="6" t="s">
        <v>6401</v>
      </c>
      <c r="E5349" s="4"/>
      <c r="F5349" s="8" t="s">
        <v>801</v>
      </c>
      <c r="G5349" s="4" t="s">
        <v>1417</v>
      </c>
      <c r="H5349" s="10" t="s">
        <v>803</v>
      </c>
      <c r="I5349" s="10">
        <v>15.0</v>
      </c>
      <c r="J5349" s="11" t="str">
        <f>IF(D5349&lt;&gt;"",VLOOKUP(H5349,TABLEITEM,5,FALSE),"")</f>
        <v>ถัง</v>
      </c>
      <c r="K5349" s="12">
        <v>981.31</v>
      </c>
      <c r="L5349" s="13" t="str">
        <f>IF(D5349&lt;&gt;"",VLOOKUP(H5349,TABLEITEM,2,FALSE),"")</f>
        <v/>
      </c>
      <c r="M5349" s="13" t="str">
        <f>IF(D5349&lt;&gt;"",VLOOKUP(H5349,TABLEITEM,3,FALSE),"")</f>
        <v>แก๊สหุงต้ม 48กก</v>
      </c>
      <c r="N5349" s="14">
        <f>INSTOCK!$I5349*INSTOCK!$K5349</f>
        <v>14719.65</v>
      </c>
      <c r="O5349" s="4"/>
      <c r="P5349" s="4"/>
    </row>
    <row r="5350" ht="15.75" customHeight="1">
      <c r="B5350" s="8">
        <v>5674.0</v>
      </c>
      <c r="C5350" s="9">
        <v>43684.0</v>
      </c>
      <c r="D5350" s="6">
        <v>6.2080136E7</v>
      </c>
      <c r="E5350" s="4"/>
      <c r="F5350" s="8" t="s">
        <v>1973</v>
      </c>
      <c r="G5350" s="4" t="s">
        <v>6402</v>
      </c>
      <c r="H5350" s="10" t="s">
        <v>6403</v>
      </c>
      <c r="I5350" s="10">
        <v>1.0</v>
      </c>
      <c r="J5350" s="11" t="str">
        <f>IF(D5350&lt;&gt;"",VLOOKUP(H5350,TABLEITEM,5,FALSE),"")</f>
        <v>ตลับ</v>
      </c>
      <c r="K5350" s="12">
        <v>381.6</v>
      </c>
      <c r="L5350" s="13" t="str">
        <f>IF(D5350&lt;&gt;"",VLOOKUP(H5350,TABLEITEM,2,FALSE),"")</f>
        <v/>
      </c>
      <c r="M5350" s="13" t="str">
        <f>IF(D5350&lt;&gt;"",VLOOKUP(H5350,TABLEITEM,3,FALSE),"")</f>
        <v>สีโป้วดูปองด์ UNIVERSSAL POLYESTER 759R</v>
      </c>
      <c r="N5350" s="14">
        <f>INSTOCK!$I5350*INSTOCK!$K5350</f>
        <v>381.6</v>
      </c>
      <c r="O5350" s="4" t="s">
        <v>6404</v>
      </c>
      <c r="P5350" s="4"/>
    </row>
    <row r="5351" ht="15.75" customHeight="1">
      <c r="B5351" s="8">
        <v>5675.0</v>
      </c>
      <c r="C5351" s="9">
        <v>43684.0</v>
      </c>
      <c r="D5351" s="6">
        <v>6.2080136E7</v>
      </c>
      <c r="E5351" s="4"/>
      <c r="F5351" s="8" t="s">
        <v>1973</v>
      </c>
      <c r="G5351" s="4" t="s">
        <v>6402</v>
      </c>
      <c r="H5351" s="10" t="s">
        <v>6405</v>
      </c>
      <c r="I5351" s="10">
        <v>1.0</v>
      </c>
      <c r="J5351" s="11" t="str">
        <f>IF(D5351&lt;&gt;"",VLOOKUP(H5351,TABLEITEM,5,FALSE),"")</f>
        <v>EA</v>
      </c>
      <c r="K5351" s="12">
        <v>100.8</v>
      </c>
      <c r="L5351" s="13" t="str">
        <f>IF(D5351&lt;&gt;"",VLOOKUP(H5351,TABLEITEM,2,FALSE),"")</f>
        <v/>
      </c>
      <c r="M5351" s="13" t="str">
        <f>IF(D5351&lt;&gt;"",VLOOKUP(H5351,TABLEITEM,3,FALSE),"")</f>
        <v>น้ำยาผสมสีโป้ว 759R</v>
      </c>
      <c r="N5351" s="14">
        <f>INSTOCK!$I5351*INSTOCK!$K5351</f>
        <v>100.8</v>
      </c>
      <c r="O5351" s="4" t="s">
        <v>6406</v>
      </c>
      <c r="P5351" s="4"/>
    </row>
    <row r="5352" ht="15.75" customHeight="1">
      <c r="B5352" s="8">
        <v>5676.0</v>
      </c>
      <c r="C5352" s="9">
        <v>43684.0</v>
      </c>
      <c r="D5352" s="6" t="s">
        <v>6407</v>
      </c>
      <c r="E5352" s="4"/>
      <c r="F5352" s="8" t="s">
        <v>6408</v>
      </c>
      <c r="G5352" s="4" t="s">
        <v>3045</v>
      </c>
      <c r="H5352" s="18" t="s">
        <v>5353</v>
      </c>
      <c r="I5352" s="10">
        <v>2.0</v>
      </c>
      <c r="J5352" s="11" t="str">
        <f>IF(D5352&lt;&gt;"",VLOOKUP(H5352,TABLEITEM,5,FALSE),"")</f>
        <v>EA</v>
      </c>
      <c r="K5352" s="12">
        <v>560.0</v>
      </c>
      <c r="L5352" s="13" t="str">
        <f>IF(D5352&lt;&gt;"",VLOOKUP(H5352,TABLEITEM,2,FALSE),"")</f>
        <v/>
      </c>
      <c r="M5352" s="13" t="str">
        <f>IF(D5352&lt;&gt;"",VLOOKUP(H5352,TABLEITEM,3,FALSE),"")</f>
        <v>แบตเตอรี่แห้ง LEOCH LP 12-7.8 12V7.8AH</v>
      </c>
      <c r="N5352" s="14">
        <f>INSTOCK!$I5352*INSTOCK!$K5352</f>
        <v>1120</v>
      </c>
      <c r="O5352" s="4"/>
      <c r="P5352" s="4"/>
    </row>
    <row r="5353" ht="15.75" customHeight="1">
      <c r="B5353" s="8">
        <v>5677.0</v>
      </c>
      <c r="C5353" s="9">
        <v>43680.0</v>
      </c>
      <c r="D5353" s="6" t="s">
        <v>6409</v>
      </c>
      <c r="E5353" s="4">
        <v>6.20800117E9</v>
      </c>
      <c r="F5353" s="8" t="s">
        <v>6410</v>
      </c>
      <c r="G5353" s="4" t="s">
        <v>1446</v>
      </c>
      <c r="H5353" s="10" t="s">
        <v>6411</v>
      </c>
      <c r="I5353" s="10">
        <v>10.0</v>
      </c>
      <c r="J5353" s="11" t="str">
        <f>IF(D5353&lt;&gt;"",VLOOKUP(H5353,TABLEITEM,5,FALSE),"")</f>
        <v>EA</v>
      </c>
      <c r="K5353" s="12">
        <v>255.75</v>
      </c>
      <c r="L5353" s="13" t="str">
        <f>IF(D5353&lt;&gt;"",VLOOKUP(H5353,TABLEITEM,2,FALSE),"")</f>
        <v/>
      </c>
      <c r="M5353" s="13" t="str">
        <f>IF(D5353&lt;&gt;"",VLOOKUP(H5353,TABLEITEM,3,FALSE),"")</f>
        <v>สายไฟ XLPE3.6/6(7.2) KV-CV 1x70MM</v>
      </c>
      <c r="N5353" s="14">
        <f>INSTOCK!$I5353*INSTOCK!$K5353</f>
        <v>2557.5</v>
      </c>
      <c r="O5353" s="4" t="s">
        <v>6412</v>
      </c>
      <c r="P5353" s="4"/>
    </row>
    <row r="5354" ht="15.75" customHeight="1">
      <c r="B5354" s="8">
        <v>5678.0</v>
      </c>
      <c r="C5354" s="9">
        <v>43682.0</v>
      </c>
      <c r="D5354" s="6" t="s">
        <v>6413</v>
      </c>
      <c r="E5354" s="4">
        <v>6.208001176E9</v>
      </c>
      <c r="F5354" s="8" t="s">
        <v>604</v>
      </c>
      <c r="G5354" s="4" t="s">
        <v>1092</v>
      </c>
      <c r="H5354" s="10" t="s">
        <v>818</v>
      </c>
      <c r="I5354" s="10">
        <v>12.0</v>
      </c>
      <c r="J5354" s="11" t="str">
        <f>IF(D5354&lt;&gt;"",VLOOKUP(H5354,TABLEITEM,5,FALSE),"")</f>
        <v>ท่อ</v>
      </c>
      <c r="K5354" s="12">
        <v>280.0</v>
      </c>
      <c r="L5354" s="13" t="str">
        <f>IF(D5354&lt;&gt;"",VLOOKUP(H5354,TABLEITEM,2,FALSE),"")</f>
        <v/>
      </c>
      <c r="M5354" s="13" t="str">
        <f>IF(D5354&lt;&gt;"",VLOOKUP(H5354,TABLEITEM,3,FALSE),"")</f>
        <v>คาร์บอนไดออกไซด์ ขนาด 25 กก</v>
      </c>
      <c r="N5354" s="14">
        <f>INSTOCK!$I5354*INSTOCK!$K5354</f>
        <v>3360</v>
      </c>
      <c r="O5354" s="4"/>
      <c r="P5354" s="4"/>
    </row>
    <row r="5355" ht="15.75" customHeight="1">
      <c r="B5355" s="8">
        <v>5679.0</v>
      </c>
      <c r="C5355" s="9">
        <v>43682.0</v>
      </c>
      <c r="D5355" s="6" t="s">
        <v>6413</v>
      </c>
      <c r="E5355" s="4">
        <v>6.208001176E9</v>
      </c>
      <c r="F5355" s="8" t="s">
        <v>604</v>
      </c>
      <c r="G5355" s="4" t="s">
        <v>1092</v>
      </c>
      <c r="H5355" s="10" t="s">
        <v>816</v>
      </c>
      <c r="I5355" s="10">
        <v>2.0</v>
      </c>
      <c r="J5355" s="11" t="str">
        <f>IF(D5355&lt;&gt;"",VLOOKUP(H5355,TABLEITEM,5,FALSE),"")</f>
        <v>ท่อ</v>
      </c>
      <c r="K5355" s="12">
        <v>600.0</v>
      </c>
      <c r="L5355" s="13" t="str">
        <f>IF(D5355&lt;&gt;"",VLOOKUP(H5355,TABLEITEM,2,FALSE),"")</f>
        <v/>
      </c>
      <c r="M5355" s="13" t="str">
        <f>IF(D5355&lt;&gt;"",VLOOKUP(H5355,TABLEITEM,3,FALSE),"")</f>
        <v>อาร์กอน ขนาด 6คิว</v>
      </c>
      <c r="N5355" s="14">
        <f>INSTOCK!$I5355*INSTOCK!$K5355</f>
        <v>1200</v>
      </c>
      <c r="O5355" s="4"/>
      <c r="P5355" s="4"/>
    </row>
    <row r="5356" ht="15.75" customHeight="1">
      <c r="B5356" s="8">
        <v>5680.0</v>
      </c>
      <c r="C5356" s="9">
        <v>43683.0</v>
      </c>
      <c r="D5356" s="6" t="s">
        <v>6414</v>
      </c>
      <c r="E5356" s="4">
        <v>6.207001155E9</v>
      </c>
      <c r="F5356" s="8" t="s">
        <v>604</v>
      </c>
      <c r="G5356" s="4" t="s">
        <v>1777</v>
      </c>
      <c r="H5356" s="10" t="s">
        <v>3698</v>
      </c>
      <c r="I5356" s="10">
        <v>2000.0</v>
      </c>
      <c r="J5356" s="11" t="str">
        <f>IF(D5356&lt;&gt;"",VLOOKUP(H5356,TABLEITEM,5,FALSE),"")</f>
        <v>EA</v>
      </c>
      <c r="K5356" s="12">
        <v>1.105</v>
      </c>
      <c r="L5356" s="13" t="str">
        <f>IF(D5356&lt;&gt;"",VLOOKUP(H5356,TABLEITEM,2,FALSE),"")</f>
        <v/>
      </c>
      <c r="M5356" s="13" t="str">
        <f>IF(D5356&lt;&gt;"",VLOOKUP(H5356,TABLEITEM,3,FALSE),"")</f>
        <v>สกรูหัวเหลี่ยม M8x20  HDG</v>
      </c>
      <c r="N5356" s="14">
        <f>INSTOCK!$I5356*INSTOCK!$K5356</f>
        <v>2210</v>
      </c>
      <c r="O5356" s="4" t="s">
        <v>3699</v>
      </c>
      <c r="P5356" s="4"/>
    </row>
    <row r="5357" ht="15.75" customHeight="1">
      <c r="B5357" s="8">
        <v>5681.0</v>
      </c>
      <c r="C5357" s="9">
        <v>43684.0</v>
      </c>
      <c r="D5357" s="6">
        <v>6.2080423E7</v>
      </c>
      <c r="E5357" s="4">
        <v>6.208001182E9</v>
      </c>
      <c r="F5357" s="8" t="s">
        <v>6415</v>
      </c>
      <c r="G5357" s="4" t="s">
        <v>711</v>
      </c>
      <c r="H5357" s="10" t="s">
        <v>712</v>
      </c>
      <c r="I5357" s="10">
        <v>20.0</v>
      </c>
      <c r="J5357" s="11" t="str">
        <f>IF(D5357&lt;&gt;"",VLOOKUP(H5357,TABLEITEM,5,FALSE),"")</f>
        <v>KG.</v>
      </c>
      <c r="K5357" s="12">
        <v>148.75</v>
      </c>
      <c r="L5357" s="13" t="str">
        <f>IF(D5357&lt;&gt;"",VLOOKUP(H5357,TABLEITEM,2,FALSE),"")</f>
        <v/>
      </c>
      <c r="M5357" s="13" t="str">
        <f>IF(D5357&lt;&gt;"",VLOOKUP(H5357,TABLEITEM,3,FALSE),"")</f>
        <v>สีฝุ่น M70460 CN</v>
      </c>
      <c r="N5357" s="14">
        <f>INSTOCK!$I5357*INSTOCK!$K5357</f>
        <v>2975</v>
      </c>
      <c r="O5357" s="4" t="s">
        <v>714</v>
      </c>
      <c r="P5357" s="4"/>
    </row>
    <row r="5358" ht="15.75" customHeight="1">
      <c r="B5358" s="8">
        <v>5682.0</v>
      </c>
      <c r="C5358" s="9">
        <v>43682.0</v>
      </c>
      <c r="D5358" s="6" t="s">
        <v>6416</v>
      </c>
      <c r="E5358" s="4">
        <v>6.208001169E9</v>
      </c>
      <c r="F5358" s="8" t="s">
        <v>604</v>
      </c>
      <c r="G5358" s="4" t="s">
        <v>1537</v>
      </c>
      <c r="H5358" s="10" t="s">
        <v>1538</v>
      </c>
      <c r="I5358" s="10">
        <v>5000.0</v>
      </c>
      <c r="J5358" s="11" t="str">
        <f>IF(D5358&lt;&gt;"",VLOOKUP(H5358,TABLEITEM,5,FALSE),"")</f>
        <v>EA</v>
      </c>
      <c r="K5358" s="12">
        <v>1.55</v>
      </c>
      <c r="L5358" s="13" t="str">
        <f>IF(D5358&lt;&gt;"",VLOOKUP(H5358,TABLEITEM,2,FALSE),"")</f>
        <v/>
      </c>
      <c r="M5358" s="13" t="str">
        <f>IF(D5358&lt;&gt;"",VLOOKUP(H5358,TABLEITEM,3,FALSE),"")</f>
        <v>รีเวท M6 / ลูกยิงป๊อบนัท M6</v>
      </c>
      <c r="N5358" s="14">
        <f>INSTOCK!$I5358*INSTOCK!$K5358</f>
        <v>7750</v>
      </c>
      <c r="O5358" s="4"/>
      <c r="P5358" s="4"/>
    </row>
    <row r="5359" ht="15.75" customHeight="1">
      <c r="B5359" s="8">
        <v>5683.0</v>
      </c>
      <c r="C5359" s="9">
        <v>43683.0</v>
      </c>
      <c r="D5359" s="6" t="s">
        <v>6417</v>
      </c>
      <c r="E5359" s="4">
        <v>6.20800118E9</v>
      </c>
      <c r="F5359" s="8" t="s">
        <v>6418</v>
      </c>
      <c r="G5359" s="4" t="s">
        <v>1446</v>
      </c>
      <c r="H5359" s="10" t="s">
        <v>6419</v>
      </c>
      <c r="I5359" s="10">
        <v>12.0</v>
      </c>
      <c r="J5359" s="11" t="str">
        <f>IF(D5359&lt;&gt;"",VLOOKUP(H5359,TABLEITEM,5,FALSE),"")</f>
        <v>EA</v>
      </c>
      <c r="K5359" s="12">
        <v>519.6</v>
      </c>
      <c r="L5359" s="13" t="str">
        <f>IF(D5359&lt;&gt;"",VLOOKUP(H5359,TABLEITEM,2,FALSE),"")</f>
        <v/>
      </c>
      <c r="M5359" s="13" t="str">
        <f>IF(D5359&lt;&gt;"",VLOOKUP(H5359,TABLEITEM,3,FALSE),"")</f>
        <v>สายไฟ XLPE3.6/6(7.2) KV-CV 1x150MM</v>
      </c>
      <c r="N5359" s="14">
        <f>INSTOCK!$I5359*INSTOCK!$K5359</f>
        <v>6235.2</v>
      </c>
      <c r="O5359" s="4" t="s">
        <v>6420</v>
      </c>
      <c r="P5359" s="4"/>
    </row>
    <row r="5360" ht="15.75" customHeight="1">
      <c r="B5360" s="8">
        <v>5684.0</v>
      </c>
      <c r="C5360" s="9">
        <v>43683.0</v>
      </c>
      <c r="D5360" s="6" t="s">
        <v>6421</v>
      </c>
      <c r="E5360" s="4"/>
      <c r="F5360" s="8" t="s">
        <v>6422</v>
      </c>
      <c r="G5360" s="4" t="s">
        <v>3029</v>
      </c>
      <c r="H5360" s="10" t="s">
        <v>3030</v>
      </c>
      <c r="I5360" s="10">
        <v>1.0</v>
      </c>
      <c r="J5360" s="11" t="str">
        <f>IF(D5360&lt;&gt;"",VLOOKUP(H5360,TABLEITEM,5,FALSE),"")</f>
        <v>LOT</v>
      </c>
      <c r="K5360" s="12">
        <v>6458.1</v>
      </c>
      <c r="L5360" s="13" t="str">
        <f>IF(D5360&lt;&gt;"",VLOOKUP(H5360,TABLEITEM,2,FALSE),"")</f>
        <v/>
      </c>
      <c r="M5360" s="13" t="str">
        <f>IF(D5360&lt;&gt;"",VLOOKUP(H5360,TABLEITEM,3,FALSE),"")</f>
        <v>ค่าชุบ ดีบุกเงา</v>
      </c>
      <c r="N5360" s="14">
        <f>INSTOCK!$I5360*INSTOCK!$K5360</f>
        <v>6458.1</v>
      </c>
      <c r="O5360" s="4" t="s">
        <v>6423</v>
      </c>
      <c r="P5360" s="4"/>
    </row>
    <row r="5361" ht="15.75" customHeight="1">
      <c r="B5361" s="8">
        <v>5685.0</v>
      </c>
      <c r="C5361" s="9">
        <v>43682.0</v>
      </c>
      <c r="D5361" s="6" t="s">
        <v>6424</v>
      </c>
      <c r="E5361" s="4"/>
      <c r="F5361" s="8" t="s">
        <v>6425</v>
      </c>
      <c r="G5361" s="4" t="s">
        <v>3029</v>
      </c>
      <c r="H5361" s="10" t="s">
        <v>3030</v>
      </c>
      <c r="I5361" s="10">
        <v>1.0</v>
      </c>
      <c r="J5361" s="11" t="str">
        <f>IF(D5361&lt;&gt;"",VLOOKUP(H5361,TABLEITEM,5,FALSE),"")</f>
        <v>LOT</v>
      </c>
      <c r="K5361" s="12">
        <v>500.0</v>
      </c>
      <c r="L5361" s="13" t="str">
        <f>IF(D5361&lt;&gt;"",VLOOKUP(H5361,TABLEITEM,2,FALSE),"")</f>
        <v/>
      </c>
      <c r="M5361" s="13" t="str">
        <f>IF(D5361&lt;&gt;"",VLOOKUP(H5361,TABLEITEM,3,FALSE),"")</f>
        <v>ค่าชุบ ดีบุกเงา</v>
      </c>
      <c r="N5361" s="14">
        <f>INSTOCK!$I5361*INSTOCK!$K5361</f>
        <v>500</v>
      </c>
      <c r="O5361" s="4"/>
      <c r="P5361" s="4"/>
    </row>
    <row r="5362" ht="15.75" customHeight="1">
      <c r="B5362" s="8">
        <v>5686.0</v>
      </c>
      <c r="C5362" s="9">
        <v>43683.0</v>
      </c>
      <c r="D5362" s="6" t="s">
        <v>6426</v>
      </c>
      <c r="E5362" s="4">
        <v>6.208001174E9</v>
      </c>
      <c r="F5362" s="8" t="s">
        <v>1973</v>
      </c>
      <c r="G5362" s="4" t="s">
        <v>5861</v>
      </c>
      <c r="H5362" s="10" t="s">
        <v>6427</v>
      </c>
      <c r="I5362" s="10">
        <v>15.0</v>
      </c>
      <c r="J5362" s="11" t="str">
        <f>IF(D5362&lt;&gt;"",VLOOKUP(H5362,TABLEITEM,5,FALSE),"")</f>
        <v>EA</v>
      </c>
      <c r="K5362" s="12">
        <v>160.0</v>
      </c>
      <c r="L5362" s="13" t="str">
        <f>IF(D5362&lt;&gt;"",VLOOKUP(H5362,TABLEITEM,2,FALSE),"")</f>
        <v/>
      </c>
      <c r="M5362" s="13" t="str">
        <f>IF(D5362&lt;&gt;"",VLOOKUP(H5362,TABLEITEM,3,FALSE),"")</f>
        <v>คอปเปอร์เกลียวนอก 1/2"</v>
      </c>
      <c r="N5362" s="14">
        <f>INSTOCK!$I5362*INSTOCK!$K5362</f>
        <v>2400</v>
      </c>
      <c r="O5362" s="4" t="s">
        <v>6428</v>
      </c>
      <c r="P5362" s="4"/>
    </row>
    <row r="5363" ht="15.75" customHeight="1">
      <c r="B5363" s="8">
        <v>5687.0</v>
      </c>
      <c r="C5363" s="9">
        <v>43683.0</v>
      </c>
      <c r="D5363" s="6" t="s">
        <v>6429</v>
      </c>
      <c r="E5363" s="4">
        <v>6.207001068E9</v>
      </c>
      <c r="F5363" s="8" t="s">
        <v>6430</v>
      </c>
      <c r="G5363" s="4" t="s">
        <v>6115</v>
      </c>
      <c r="H5363" s="10" t="s">
        <v>6431</v>
      </c>
      <c r="I5363" s="10">
        <v>4.0</v>
      </c>
      <c r="J5363" s="11" t="str">
        <f>IF(D5363&lt;&gt;"",VLOOKUP(H5363,TABLEITEM,5,FALSE),"")</f>
        <v>EA</v>
      </c>
      <c r="K5363" s="12">
        <v>1000.0</v>
      </c>
      <c r="L5363" s="13" t="str">
        <f>IF(D5363&lt;&gt;"",VLOOKUP(H5363,TABLEITEM,2,FALSE),"")</f>
        <v/>
      </c>
      <c r="M5363" s="13" t="str">
        <f>IF(D5363&lt;&gt;"",VLOOKUP(H5363,TABLEITEM,3,FALSE),"")</f>
        <v>DIE SET ขนาด M7</v>
      </c>
      <c r="N5363" s="14">
        <f>INSTOCK!$I5363*INSTOCK!$K5363</f>
        <v>4000</v>
      </c>
      <c r="O5363" s="4"/>
      <c r="P5363" s="4"/>
    </row>
    <row r="5364" ht="15.75" customHeight="1">
      <c r="B5364" s="8">
        <v>5688.0</v>
      </c>
      <c r="C5364" s="9">
        <v>43683.0</v>
      </c>
      <c r="D5364" s="6" t="s">
        <v>6429</v>
      </c>
      <c r="E5364" s="4">
        <v>6.207001068E9</v>
      </c>
      <c r="F5364" s="8" t="s">
        <v>6430</v>
      </c>
      <c r="G5364" s="4" t="s">
        <v>6115</v>
      </c>
      <c r="H5364" s="10" t="s">
        <v>6432</v>
      </c>
      <c r="I5364" s="10">
        <v>4.0</v>
      </c>
      <c r="J5364" s="11" t="str">
        <f>IF(D5364&lt;&gt;"",VLOOKUP(H5364,TABLEITEM,5,FALSE),"")</f>
        <v>EA</v>
      </c>
      <c r="K5364" s="12">
        <v>1000.0</v>
      </c>
      <c r="L5364" s="13" t="str">
        <f>IF(D5364&lt;&gt;"",VLOOKUP(H5364,TABLEITEM,2,FALSE),"")</f>
        <v/>
      </c>
      <c r="M5364" s="13" t="str">
        <f>IF(D5364&lt;&gt;"",VLOOKUP(H5364,TABLEITEM,3,FALSE),"")</f>
        <v>DIE SET ขนาด M14</v>
      </c>
      <c r="N5364" s="14">
        <f>INSTOCK!$I5364*INSTOCK!$K5364</f>
        <v>4000</v>
      </c>
      <c r="O5364" s="4"/>
      <c r="P5364" s="4"/>
    </row>
    <row r="5365" ht="15.75" customHeight="1">
      <c r="B5365" s="8">
        <v>5689.0</v>
      </c>
      <c r="C5365" s="9">
        <v>43686.0</v>
      </c>
      <c r="D5365" s="6" t="s">
        <v>6433</v>
      </c>
      <c r="E5365" s="4">
        <v>6.2080012E9</v>
      </c>
      <c r="F5365" s="8" t="s">
        <v>6434</v>
      </c>
      <c r="G5365" s="4" t="s">
        <v>1258</v>
      </c>
      <c r="H5365" s="10" t="s">
        <v>1259</v>
      </c>
      <c r="I5365" s="10">
        <v>20.0</v>
      </c>
      <c r="J5365" s="11" t="str">
        <f>IF(D5365&lt;&gt;"",VLOOKUP(H5365,TABLEITEM,5,FALSE),"")</f>
        <v>KG.</v>
      </c>
      <c r="K5365" s="12">
        <v>130.0</v>
      </c>
      <c r="L5365" s="13" t="str">
        <f>IF(D5365&lt;&gt;"",VLOOKUP(H5365,TABLEITEM,2,FALSE),"")</f>
        <v/>
      </c>
      <c r="M5365" s="13" t="str">
        <f>IF(D5365&lt;&gt;"",VLOOKUP(H5365,TABLEITEM,3,FALSE),"")</f>
        <v>สีฝุ่น HB 45206 M BLACK MATT</v>
      </c>
      <c r="N5365" s="14">
        <f>INSTOCK!$I5365*INSTOCK!$K5365</f>
        <v>2600</v>
      </c>
      <c r="O5365" s="4"/>
      <c r="P5365" s="4"/>
    </row>
    <row r="5366" ht="15.75" customHeight="1">
      <c r="B5366" s="8">
        <v>5690.0</v>
      </c>
      <c r="C5366" s="9">
        <v>43686.0</v>
      </c>
      <c r="D5366" s="6" t="s">
        <v>6435</v>
      </c>
      <c r="E5366" s="4">
        <v>6.208001198E9</v>
      </c>
      <c r="F5366" s="8" t="s">
        <v>604</v>
      </c>
      <c r="G5366" s="4" t="s">
        <v>1453</v>
      </c>
      <c r="H5366" s="10" t="s">
        <v>3606</v>
      </c>
      <c r="I5366" s="10">
        <v>10.0</v>
      </c>
      <c r="J5366" s="11" t="str">
        <f>IF(D5366&lt;&gt;"",VLOOKUP(H5366,TABLEITEM,5,FALSE),"")</f>
        <v>EA</v>
      </c>
      <c r="K5366" s="12">
        <v>139.65</v>
      </c>
      <c r="L5366" s="13" t="str">
        <f>IF(D5366&lt;&gt;"",VLOOKUP(H5366,TABLEITEM,2,FALSE),"")</f>
        <v/>
      </c>
      <c r="M5366" s="13" t="str">
        <f>IF(D5366&lt;&gt;"",VLOOKUP(H5366,TABLEITEM,3,FALSE),"")</f>
        <v>Filter PMF12 4นิ้ว</v>
      </c>
      <c r="N5366" s="14">
        <f>INSTOCK!$I5366*INSTOCK!$K5366</f>
        <v>1396.5</v>
      </c>
      <c r="O5366" s="4" t="s">
        <v>3607</v>
      </c>
      <c r="P5366" s="4"/>
    </row>
    <row r="5367" ht="15.75" customHeight="1">
      <c r="B5367" s="8">
        <v>5691.0</v>
      </c>
      <c r="C5367" s="9">
        <v>43685.0</v>
      </c>
      <c r="D5367" s="6">
        <v>6.20802604E8</v>
      </c>
      <c r="E5367" s="4">
        <v>6.208001193E9</v>
      </c>
      <c r="F5367" s="8" t="s">
        <v>6436</v>
      </c>
      <c r="G5367" s="4" t="s">
        <v>1130</v>
      </c>
      <c r="H5367" s="10" t="s">
        <v>3130</v>
      </c>
      <c r="I5367" s="10">
        <v>6.0</v>
      </c>
      <c r="J5367" s="11" t="str">
        <f>IF(D5367&lt;&gt;"",VLOOKUP(H5367,TABLEITEM,5,FALSE),"")</f>
        <v>EA</v>
      </c>
      <c r="K5367" s="12">
        <v>121.125</v>
      </c>
      <c r="L5367" s="13" t="str">
        <f>IF(D5367&lt;&gt;"",VLOOKUP(H5367,TABLEITEM,2,FALSE),"")</f>
        <v/>
      </c>
      <c r="M5367" s="13" t="str">
        <f>IF(D5367&lt;&gt;"",VLOOKUP(H5367,TABLEITEM,3,FALSE),"")</f>
        <v>CT250/5 MSQ40</v>
      </c>
      <c r="N5367" s="14">
        <f>INSTOCK!$I5367*INSTOCK!$K5367</f>
        <v>726.75</v>
      </c>
      <c r="O5367" s="4" t="s">
        <v>1898</v>
      </c>
      <c r="P5367" s="4"/>
    </row>
    <row r="5368" ht="15.75" customHeight="1">
      <c r="B5368" s="8">
        <v>5692.0</v>
      </c>
      <c r="C5368" s="9">
        <v>43685.0</v>
      </c>
      <c r="D5368" s="6" t="s">
        <v>6437</v>
      </c>
      <c r="E5368" s="4">
        <v>6.208001187E9</v>
      </c>
      <c r="F5368" s="8" t="s">
        <v>604</v>
      </c>
      <c r="G5368" s="4" t="s">
        <v>1611</v>
      </c>
      <c r="H5368" s="10" t="s">
        <v>188</v>
      </c>
      <c r="I5368" s="10">
        <v>600.0</v>
      </c>
      <c r="J5368" s="11" t="str">
        <f>IF(D5368&lt;&gt;"",VLOOKUP(H5368,TABLEITEM,5,FALSE),"")</f>
        <v>EA</v>
      </c>
      <c r="K5368" s="12">
        <v>9.0</v>
      </c>
      <c r="L5368" s="13" t="str">
        <f>IF(D5368&lt;&gt;"",VLOOKUP(H5368,TABLEITEM,2,FALSE),"")</f>
        <v/>
      </c>
      <c r="M5368" s="13" t="str">
        <f>IF(D5368&lt;&gt;"",VLOOKUP(H5368,TABLEITEM,3,FALSE),"")</f>
        <v>TERMINAL BLOCK TX10</v>
      </c>
      <c r="N5368" s="14">
        <f>INSTOCK!$I5368*INSTOCK!$K5368</f>
        <v>5400</v>
      </c>
      <c r="O5368" s="4"/>
      <c r="P5368" s="4"/>
    </row>
    <row r="5369" ht="15.75" customHeight="1">
      <c r="B5369" s="8">
        <v>5693.0</v>
      </c>
      <c r="C5369" s="9">
        <v>43685.0</v>
      </c>
      <c r="D5369" s="6" t="s">
        <v>6438</v>
      </c>
      <c r="E5369" s="4"/>
      <c r="F5369" s="8" t="s">
        <v>604</v>
      </c>
      <c r="G5369" s="4" t="s">
        <v>2121</v>
      </c>
      <c r="H5369" s="10" t="s">
        <v>2122</v>
      </c>
      <c r="I5369" s="10">
        <v>300.0</v>
      </c>
      <c r="J5369" s="11" t="str">
        <f>IF(D5369&lt;&gt;"",VLOOKUP(H5369,TABLEITEM,5,FALSE),"")</f>
        <v>EA</v>
      </c>
      <c r="K5369" s="12">
        <v>30.0</v>
      </c>
      <c r="L5369" s="13" t="str">
        <f>IF(D5369&lt;&gt;"",VLOOKUP(H5369,TABLEITEM,2,FALSE),"")</f>
        <v/>
      </c>
      <c r="M5369" s="13" t="str">
        <f>IF(D5369&lt;&gt;"",VLOOKUP(H5369,TABLEITEM,3,FALSE),"")</f>
        <v>ห่วงตู้ M12 ชุบขาว</v>
      </c>
      <c r="N5369" s="14">
        <f>INSTOCK!$I5369*INSTOCK!$K5369</f>
        <v>9000</v>
      </c>
      <c r="O5369" s="4"/>
      <c r="P5369" s="4"/>
    </row>
    <row r="5370" ht="15.75" customHeight="1">
      <c r="B5370" s="8">
        <v>5694.0</v>
      </c>
      <c r="C5370" s="9">
        <v>43684.0</v>
      </c>
      <c r="D5370" s="6" t="s">
        <v>6439</v>
      </c>
      <c r="E5370" s="4">
        <v>6.208001189E9</v>
      </c>
      <c r="F5370" s="8" t="s">
        <v>604</v>
      </c>
      <c r="G5370" s="4" t="s">
        <v>1070</v>
      </c>
      <c r="H5370" s="10" t="s">
        <v>22</v>
      </c>
      <c r="I5370" s="10">
        <v>200.0</v>
      </c>
      <c r="J5370" s="11" t="str">
        <f>IF(D5370&lt;&gt;"",VLOOKUP(H5370,TABLEITEM,5,FALSE),"")</f>
        <v>EA</v>
      </c>
      <c r="K5370" s="12">
        <v>38.0</v>
      </c>
      <c r="L5370" s="13" t="str">
        <f>IF(D5370&lt;&gt;"",VLOOKUP(H5370,TABLEITEM,2,FALSE),"")</f>
        <v/>
      </c>
      <c r="M5370" s="13" t="str">
        <f>IF(D5370&lt;&gt;"",VLOOKUP(H5370,TABLEITEM,3,FALSE),"")</f>
        <v>ใบขัดซ้อน # 80</v>
      </c>
      <c r="N5370" s="14">
        <f>INSTOCK!$I5370*INSTOCK!$K5370</f>
        <v>7600</v>
      </c>
      <c r="O5370" s="4"/>
      <c r="P5370" s="4"/>
    </row>
    <row r="5371" ht="15.75" customHeight="1">
      <c r="B5371" s="8">
        <v>5695.0</v>
      </c>
      <c r="C5371" s="9">
        <v>43684.0</v>
      </c>
      <c r="D5371" s="6" t="s">
        <v>6440</v>
      </c>
      <c r="E5371" s="4">
        <v>6.208001188E9</v>
      </c>
      <c r="F5371" s="8" t="s">
        <v>604</v>
      </c>
      <c r="G5371" s="4" t="s">
        <v>721</v>
      </c>
      <c r="H5371" s="10" t="s">
        <v>207</v>
      </c>
      <c r="I5371" s="10">
        <v>48.0</v>
      </c>
      <c r="J5371" s="11" t="str">
        <f>IF(D5371&lt;&gt;"",VLOOKUP(H5371,TABLEITEM,5,FALSE),"")</f>
        <v>EA</v>
      </c>
      <c r="K5371" s="12">
        <v>106.28</v>
      </c>
      <c r="L5371" s="13" t="str">
        <f>IF(D5371&lt;&gt;"",VLOOKUP(H5371,TABLEITEM,2,FALSE),"")</f>
        <v/>
      </c>
      <c r="M5371" s="13" t="str">
        <f>IF(D5371&lt;&gt;"",VLOOKUP(H5371,TABLEITEM,3,FALSE),"")</f>
        <v>รางวายดัก/รางPVC 45x65 mm.</v>
      </c>
      <c r="N5371" s="14">
        <f>INSTOCK!$I5371*INSTOCK!$K5371</f>
        <v>5101.44</v>
      </c>
      <c r="O5371" s="4" t="s">
        <v>769</v>
      </c>
      <c r="P5371" s="4"/>
    </row>
    <row r="5372" ht="15.75" customHeight="1">
      <c r="B5372" s="8">
        <v>5696.0</v>
      </c>
      <c r="C5372" s="9">
        <v>43686.0</v>
      </c>
      <c r="D5372" s="6" t="s">
        <v>6441</v>
      </c>
      <c r="E5372" s="4">
        <v>6.208001199E9</v>
      </c>
      <c r="F5372" s="8" t="s">
        <v>3759</v>
      </c>
      <c r="G5372" s="4" t="s">
        <v>6442</v>
      </c>
      <c r="H5372" s="10" t="s">
        <v>2537</v>
      </c>
      <c r="I5372" s="10">
        <v>40.0</v>
      </c>
      <c r="J5372" s="11" t="str">
        <f>IF(D5372&lt;&gt;"",VLOOKUP(H5372,TABLEITEM,5,FALSE),"")</f>
        <v>KG.</v>
      </c>
      <c r="K5372" s="12">
        <v>122.0</v>
      </c>
      <c r="L5372" s="13" t="str">
        <f>IF(D5372&lt;&gt;"",VLOOKUP(H5372,TABLEITEM,2,FALSE),"")</f>
        <v/>
      </c>
      <c r="M5372" s="13" t="str">
        <f>IF(D5372&lt;&gt;"",VLOOKUP(H5372,TABLEITEM,3,FALSE),"")</f>
        <v>สีฝุ่น L4001  สีส้มภายนอก P2049A</v>
      </c>
      <c r="N5372" s="14">
        <f>INSTOCK!$I5372*INSTOCK!$K5372</f>
        <v>4880</v>
      </c>
      <c r="O5372" s="4"/>
      <c r="P5372" s="4"/>
    </row>
    <row r="5373" ht="15.75" customHeight="1">
      <c r="B5373" s="8">
        <v>5697.0</v>
      </c>
      <c r="C5373" s="9">
        <v>43685.0</v>
      </c>
      <c r="D5373" s="6" t="s">
        <v>6443</v>
      </c>
      <c r="E5373" s="4">
        <v>6.208001196E9</v>
      </c>
      <c r="F5373" s="8" t="s">
        <v>6436</v>
      </c>
      <c r="G5373" s="4" t="s">
        <v>1816</v>
      </c>
      <c r="H5373" s="10" t="s">
        <v>6444</v>
      </c>
      <c r="I5373" s="10">
        <v>1.0</v>
      </c>
      <c r="J5373" s="11" t="str">
        <f>IF(D5373&lt;&gt;"",VLOOKUP(H5373,TABLEITEM,5,FALSE),"")</f>
        <v>EA</v>
      </c>
      <c r="K5373" s="12">
        <v>420.0</v>
      </c>
      <c r="L5373" s="13" t="str">
        <f>IF(D5373&lt;&gt;"",VLOOKUP(H5373,TABLEITEM,2,FALSE),"")</f>
        <v/>
      </c>
      <c r="M5373" s="13" t="str">
        <f>IF(D5373&lt;&gt;"",VLOOKUP(H5373,TABLEITEM,3,FALSE),"")</f>
        <v>VOLMETER 96x96mm 500V AC96 </v>
      </c>
      <c r="N5373" s="14">
        <f>INSTOCK!$I5373*INSTOCK!$K5373</f>
        <v>420</v>
      </c>
      <c r="O5373" s="4" t="s">
        <v>6445</v>
      </c>
      <c r="P5373" s="4"/>
    </row>
    <row r="5374" ht="15.75" customHeight="1">
      <c r="B5374" s="8">
        <v>5698.0</v>
      </c>
      <c r="C5374" s="9">
        <v>43685.0</v>
      </c>
      <c r="D5374" s="6" t="s">
        <v>6446</v>
      </c>
      <c r="E5374" s="4">
        <v>6.208001194E9</v>
      </c>
      <c r="F5374" s="8" t="s">
        <v>6436</v>
      </c>
      <c r="G5374" s="4" t="s">
        <v>5778</v>
      </c>
      <c r="H5374" s="10" t="s">
        <v>4261</v>
      </c>
      <c r="I5374" s="10">
        <v>1.0</v>
      </c>
      <c r="J5374" s="11" t="str">
        <f>IF(D5374&lt;&gt;"",VLOOKUP(H5374,TABLEITEM,5,FALSE),"")</f>
        <v>EA</v>
      </c>
      <c r="K5374" s="12">
        <v>21000.0</v>
      </c>
      <c r="L5374" s="13" t="str">
        <f>IF(D5374&lt;&gt;"",VLOOKUP(H5374,TABLEITEM,2,FALSE),"")</f>
        <v/>
      </c>
      <c r="M5374" s="13" t="str">
        <f>IF(D5374&lt;&gt;"",VLOOKUP(H5374,TABLEITEM,3,FALSE),"")</f>
        <v>ATS CONTROLLER COMPLETE OF FUNCTION OEC-01</v>
      </c>
      <c r="N5374" s="14">
        <f>INSTOCK!$I5374*INSTOCK!$K5374</f>
        <v>21000</v>
      </c>
      <c r="O5374" s="4"/>
      <c r="P5374" s="4"/>
    </row>
    <row r="5375" ht="15.75" customHeight="1">
      <c r="B5375" s="8">
        <v>5699.0</v>
      </c>
      <c r="C5375" s="9">
        <v>43686.0</v>
      </c>
      <c r="D5375" s="6" t="s">
        <v>6447</v>
      </c>
      <c r="E5375" s="4">
        <v>6.208001191E9</v>
      </c>
      <c r="F5375" s="8" t="s">
        <v>604</v>
      </c>
      <c r="G5375" s="4" t="s">
        <v>1202</v>
      </c>
      <c r="H5375" s="10" t="s">
        <v>139</v>
      </c>
      <c r="I5375" s="10">
        <v>100.0</v>
      </c>
      <c r="J5375" s="11" t="str">
        <f>IF(D5375&lt;&gt;"",VLOOKUP(H5375,TABLEITEM,5,FALSE),"")</f>
        <v>EA</v>
      </c>
      <c r="K5375" s="12">
        <v>870.0</v>
      </c>
      <c r="L5375" s="13" t="str">
        <f>IF(D5375&lt;&gt;"",VLOOKUP(H5375,TABLEITEM,2,FALSE),"")</f>
        <v/>
      </c>
      <c r="M5375" s="13" t="str">
        <f>IF(D5375&lt;&gt;"",VLOOKUP(H5375,TABLEITEM,3,FALSE),"")</f>
        <v>กุญแจ TAKIGEN A 464-1-1</v>
      </c>
      <c r="N5375" s="14">
        <f>INSTOCK!$I5375*INSTOCK!$K5375</f>
        <v>87000</v>
      </c>
      <c r="O5375" s="4"/>
      <c r="P5375" s="4"/>
    </row>
    <row r="5376" ht="15.75" customHeight="1">
      <c r="B5376" s="8">
        <v>5700.0</v>
      </c>
      <c r="C5376" s="9">
        <v>43685.0</v>
      </c>
      <c r="D5376" s="6" t="s">
        <v>6448</v>
      </c>
      <c r="E5376" s="4">
        <v>6.208001178E9</v>
      </c>
      <c r="F5376" s="8" t="s">
        <v>604</v>
      </c>
      <c r="G5376" s="4" t="s">
        <v>2453</v>
      </c>
      <c r="H5376" s="18" t="s">
        <v>2905</v>
      </c>
      <c r="I5376" s="10">
        <v>40.0</v>
      </c>
      <c r="J5376" s="11" t="str">
        <f>IF(D5376&lt;&gt;"",VLOOKUP(H5376,TABLEITEM,5,FALSE),"")</f>
        <v>EA</v>
      </c>
      <c r="K5376" s="12">
        <v>29.1</v>
      </c>
      <c r="L5376" s="13" t="str">
        <f>IF(D5376&lt;&gt;"",VLOOKUP(H5376,TABLEITEM,2,FALSE),"")</f>
        <v/>
      </c>
      <c r="M5376" s="13" t="str">
        <f>IF(D5376&lt;&gt;"",VLOOKUP(H5376,TABLEITEM,3,FALSE),"")</f>
        <v>ดอกสว่าน NACHI 3.3 MM</v>
      </c>
      <c r="N5376" s="14">
        <f>INSTOCK!$I5376*INSTOCK!$K5376</f>
        <v>1164</v>
      </c>
      <c r="O5376" s="4"/>
      <c r="P5376" s="4"/>
    </row>
    <row r="5377" ht="15.75" customHeight="1">
      <c r="B5377" s="8">
        <v>5701.0</v>
      </c>
      <c r="C5377" s="9">
        <v>43685.0</v>
      </c>
      <c r="D5377" s="6" t="s">
        <v>6448</v>
      </c>
      <c r="E5377" s="4">
        <v>6.208001178E9</v>
      </c>
      <c r="F5377" s="8" t="s">
        <v>604</v>
      </c>
      <c r="G5377" s="4" t="s">
        <v>2453</v>
      </c>
      <c r="H5377" s="10" t="s">
        <v>2585</v>
      </c>
      <c r="I5377" s="10">
        <v>20.0</v>
      </c>
      <c r="J5377" s="11" t="str">
        <f>IF(D5377&lt;&gt;"",VLOOKUP(H5377,TABLEITEM,5,FALSE),"")</f>
        <v>EA</v>
      </c>
      <c r="K5377" s="12">
        <v>33.85</v>
      </c>
      <c r="L5377" s="13" t="str">
        <f>IF(D5377&lt;&gt;"",VLOOKUP(H5377,TABLEITEM,2,FALSE),"")</f>
        <v/>
      </c>
      <c r="M5377" s="13" t="str">
        <f>IF(D5377&lt;&gt;"",VLOOKUP(H5377,TABLEITEM,3,FALSE),"")</f>
        <v>ดอกสว่านนาซิ L/N 500 4.0mm</v>
      </c>
      <c r="N5377" s="14">
        <f>INSTOCK!$I5377*INSTOCK!$K5377</f>
        <v>677</v>
      </c>
      <c r="O5377" s="4"/>
      <c r="P5377" s="4"/>
    </row>
    <row r="5378" ht="15.75" customHeight="1">
      <c r="B5378" s="8">
        <v>5702.0</v>
      </c>
      <c r="C5378" s="9">
        <v>43685.0</v>
      </c>
      <c r="D5378" s="6" t="s">
        <v>6448</v>
      </c>
      <c r="E5378" s="4">
        <v>6.208001178E9</v>
      </c>
      <c r="F5378" s="8" t="s">
        <v>604</v>
      </c>
      <c r="G5378" s="4" t="s">
        <v>2453</v>
      </c>
      <c r="H5378" s="10" t="s">
        <v>2454</v>
      </c>
      <c r="I5378" s="10">
        <v>20.0</v>
      </c>
      <c r="J5378" s="11" t="str">
        <f>IF(D5378&lt;&gt;"",VLOOKUP(H5378,TABLEITEM,5,FALSE),"")</f>
        <v>EA</v>
      </c>
      <c r="K5378" s="12">
        <v>47.52</v>
      </c>
      <c r="L5378" s="13" t="str">
        <f>IF(D5378&lt;&gt;"",VLOOKUP(H5378,TABLEITEM,2,FALSE),"")</f>
        <v/>
      </c>
      <c r="M5378" s="13" t="str">
        <f>IF(D5378&lt;&gt;"",VLOOKUP(H5378,TABLEITEM,3,FALSE),"")</f>
        <v>ดอกสว่าน นาซิ L/N 500 5.00มิล</v>
      </c>
      <c r="N5378" s="14">
        <f>INSTOCK!$I5378*INSTOCK!$K5378</f>
        <v>950.4</v>
      </c>
      <c r="O5378" s="4"/>
      <c r="P5378" s="4"/>
    </row>
    <row r="5379" ht="15.75" customHeight="1">
      <c r="B5379" s="8">
        <v>5703.0</v>
      </c>
      <c r="C5379" s="9">
        <v>43684.0</v>
      </c>
      <c r="D5379" s="6" t="s">
        <v>6449</v>
      </c>
      <c r="E5379" s="4">
        <v>6.208001175E9</v>
      </c>
      <c r="F5379" s="8" t="s">
        <v>604</v>
      </c>
      <c r="G5379" s="4" t="s">
        <v>1777</v>
      </c>
      <c r="H5379" s="10" t="s">
        <v>4607</v>
      </c>
      <c r="I5379" s="10">
        <v>20000.0</v>
      </c>
      <c r="J5379" s="11" t="str">
        <f>IF(D5379&lt;&gt;"",VLOOKUP(H5379,TABLEITEM,5,FALSE),"")</f>
        <v>EA</v>
      </c>
      <c r="K5379" s="12">
        <v>1.05</v>
      </c>
      <c r="L5379" s="13" t="str">
        <f>IF(D5379&lt;&gt;"",VLOOKUP(H5379,TABLEITEM,2,FALSE),"")</f>
        <v/>
      </c>
      <c r="M5379" s="13" t="str">
        <f>IF(D5379&lt;&gt;"",VLOOKUP(H5379,TABLEITEM,3,FALSE),"")</f>
        <v>สกรูหัวติดแหวน M 6x15</v>
      </c>
      <c r="N5379" s="14">
        <f>INSTOCK!$I5379*INSTOCK!$K5379</f>
        <v>21000</v>
      </c>
      <c r="O5379" s="4" t="s">
        <v>3119</v>
      </c>
      <c r="P5379" s="4"/>
    </row>
    <row r="5380" ht="15.75" customHeight="1">
      <c r="B5380" s="8">
        <v>5704.0</v>
      </c>
      <c r="C5380" s="9">
        <v>43684.0</v>
      </c>
      <c r="D5380" s="6" t="s">
        <v>6449</v>
      </c>
      <c r="E5380" s="4">
        <v>6.208001175E9</v>
      </c>
      <c r="F5380" s="8" t="s">
        <v>604</v>
      </c>
      <c r="G5380" s="4" t="s">
        <v>1777</v>
      </c>
      <c r="H5380" s="10" t="s">
        <v>2100</v>
      </c>
      <c r="I5380" s="10">
        <v>10000.0</v>
      </c>
      <c r="J5380" s="11" t="str">
        <f>IF(D5380&lt;&gt;"",VLOOKUP(H5380,TABLEITEM,5,FALSE),"")</f>
        <v>EA</v>
      </c>
      <c r="K5380" s="12">
        <v>0.7995</v>
      </c>
      <c r="L5380" s="13" t="str">
        <f>IF(D5380&lt;&gt;"",VLOOKUP(H5380,TABLEITEM,2,FALSE),"")</f>
        <v/>
      </c>
      <c r="M5380" s="13" t="str">
        <f>IF(D5380&lt;&gt;"",VLOOKUP(H5380,TABLEITEM,3,FALSE),"")</f>
        <v>สกรูหัวเหลี่ยมชุบขาว M8x20</v>
      </c>
      <c r="N5380" s="14">
        <f>INSTOCK!$I5380*INSTOCK!$K5380</f>
        <v>7995</v>
      </c>
      <c r="O5380" s="4" t="s">
        <v>2101</v>
      </c>
      <c r="P5380" s="4"/>
    </row>
    <row r="5381" ht="15.75" customHeight="1">
      <c r="B5381" s="8">
        <v>5705.0</v>
      </c>
      <c r="C5381" s="9">
        <v>43684.0</v>
      </c>
      <c r="D5381" s="6" t="s">
        <v>6449</v>
      </c>
      <c r="E5381" s="4">
        <v>6.208001181E9</v>
      </c>
      <c r="F5381" s="8" t="s">
        <v>604</v>
      </c>
      <c r="G5381" s="4" t="s">
        <v>1777</v>
      </c>
      <c r="H5381" s="10" t="s">
        <v>1890</v>
      </c>
      <c r="I5381" s="10">
        <v>1000.0</v>
      </c>
      <c r="J5381" s="11" t="str">
        <f>IF(D5381&lt;&gt;"",VLOOKUP(H5381,TABLEITEM,5,FALSE),"")</f>
        <v>EA</v>
      </c>
      <c r="K5381" s="12">
        <v>0.13</v>
      </c>
      <c r="L5381" s="13" t="str">
        <f>IF(D5381&lt;&gt;"",VLOOKUP(H5381,TABLEITEM,2,FALSE),"")</f>
        <v/>
      </c>
      <c r="M5381" s="13" t="str">
        <f>IF(D5381&lt;&gt;"",VLOOKUP(H5381,TABLEITEM,3,FALSE),"")</f>
        <v>สกรูหัวกลมชุบขาว M5x10</v>
      </c>
      <c r="N5381" s="14">
        <f>INSTOCK!$I5381*INSTOCK!$K5381</f>
        <v>130</v>
      </c>
      <c r="O5381" s="4"/>
      <c r="P5381" s="4"/>
    </row>
    <row r="5382" ht="15.75" customHeight="1">
      <c r="B5382" s="8">
        <v>5706.0</v>
      </c>
      <c r="C5382" s="9">
        <v>43661.0</v>
      </c>
      <c r="D5382" s="6" t="s">
        <v>6450</v>
      </c>
      <c r="E5382" s="4">
        <v>6.207001001E9</v>
      </c>
      <c r="F5382" s="8" t="s">
        <v>604</v>
      </c>
      <c r="G5382" s="4" t="s">
        <v>2121</v>
      </c>
      <c r="H5382" s="10" t="s">
        <v>6451</v>
      </c>
      <c r="I5382" s="10">
        <v>500.0</v>
      </c>
      <c r="J5382" s="11" t="str">
        <f>IF(D5382&lt;&gt;"",VLOOKUP(H5382,TABLEITEM,5,FALSE),"")</f>
        <v>EA</v>
      </c>
      <c r="K5382" s="12">
        <v>3.5</v>
      </c>
      <c r="L5382" s="13" t="str">
        <f>IF(D5382&lt;&gt;"",VLOOKUP(H5382,TABLEITEM,2,FALSE),"")</f>
        <v/>
      </c>
      <c r="M5382" s="13" t="str">
        <f>IF(D5382&lt;&gt;"",VLOOKUP(H5382,TABLEITEM,3,FALSE),"")</f>
        <v>เคจนัท M6</v>
      </c>
      <c r="N5382" s="14">
        <f>INSTOCK!$I5382*INSTOCK!$K5382</f>
        <v>1750</v>
      </c>
      <c r="O5382" s="4"/>
      <c r="P5382" s="4"/>
    </row>
    <row r="5383" ht="15.75" customHeight="1">
      <c r="B5383" s="8">
        <v>5707.0</v>
      </c>
      <c r="C5383" s="9">
        <v>43661.0</v>
      </c>
      <c r="D5383" s="6" t="s">
        <v>6450</v>
      </c>
      <c r="E5383" s="4">
        <v>6.207001001E9</v>
      </c>
      <c r="F5383" s="8" t="s">
        <v>604</v>
      </c>
      <c r="G5383" s="4" t="s">
        <v>2121</v>
      </c>
      <c r="H5383" s="10" t="s">
        <v>6452</v>
      </c>
      <c r="I5383" s="10">
        <v>527.0</v>
      </c>
      <c r="J5383" s="11" t="str">
        <f>IF(D5383&lt;&gt;"",VLOOKUP(H5383,TABLEITEM,5,FALSE),"")</f>
        <v>EA</v>
      </c>
      <c r="K5383" s="12">
        <v>12.5</v>
      </c>
      <c r="L5383" s="13" t="str">
        <f>IF(D5383&lt;&gt;"",VLOOKUP(H5383,TABLEITEM,2,FALSE),"")</f>
        <v/>
      </c>
      <c r="M5383" s="13" t="str">
        <f>IF(D5383&lt;&gt;"",VLOOKUP(H5383,TABLEITEM,3,FALSE),"")</f>
        <v>สตัดเกลียว 2 ข้าง M8x100</v>
      </c>
      <c r="N5383" s="14">
        <f>INSTOCK!$I5383*INSTOCK!$K5383</f>
        <v>6587.5</v>
      </c>
      <c r="O5383" s="4"/>
      <c r="P5383" s="4"/>
    </row>
    <row r="5384" ht="15.75" customHeight="1">
      <c r="B5384" s="8">
        <v>5708.0</v>
      </c>
      <c r="C5384" s="9">
        <v>43686.0</v>
      </c>
      <c r="D5384" s="6" t="s">
        <v>6453</v>
      </c>
      <c r="E5384" s="4">
        <v>6.208001197E9</v>
      </c>
      <c r="F5384" s="8" t="s">
        <v>604</v>
      </c>
      <c r="G5384" s="4" t="s">
        <v>965</v>
      </c>
      <c r="H5384" s="10" t="s">
        <v>2616</v>
      </c>
      <c r="I5384" s="10">
        <v>10.0</v>
      </c>
      <c r="J5384" s="11" t="str">
        <f>IF(D5384&lt;&gt;"",VLOOKUP(H5384,TABLEITEM,5,FALSE),"")</f>
        <v>M</v>
      </c>
      <c r="K5384" s="12">
        <v>12.0</v>
      </c>
      <c r="L5384" s="13" t="str">
        <f>IF(D5384&lt;&gt;"",VLOOKUP(H5384,TABLEITEM,2,FALSE),"")</f>
        <v/>
      </c>
      <c r="M5384" s="13" t="str">
        <f>IF(D5384&lt;&gt;"",VLOOKUP(H5384,TABLEITEM,3,FALSE),"")</f>
        <v>สายยางน้ำ 5/8"</v>
      </c>
      <c r="N5384" s="14">
        <f>INSTOCK!$I5384*INSTOCK!$K5384</f>
        <v>120</v>
      </c>
      <c r="O5384" s="4"/>
      <c r="P5384" s="4"/>
    </row>
    <row r="5385" ht="15.75" customHeight="1">
      <c r="B5385" s="8">
        <v>5709.0</v>
      </c>
      <c r="C5385" s="9">
        <v>43686.0</v>
      </c>
      <c r="D5385" s="6" t="s">
        <v>6453</v>
      </c>
      <c r="E5385" s="4">
        <v>6.208001197E9</v>
      </c>
      <c r="F5385" s="8" t="s">
        <v>604</v>
      </c>
      <c r="G5385" s="4" t="s">
        <v>965</v>
      </c>
      <c r="H5385" s="10" t="s">
        <v>60</v>
      </c>
      <c r="I5385" s="10">
        <v>4.0</v>
      </c>
      <c r="J5385" s="11" t="str">
        <f>IF(D5385&lt;&gt;"",VLOOKUP(H5385,TABLEITEM,5,FALSE),"")</f>
        <v>EA</v>
      </c>
      <c r="K5385" s="12">
        <v>72.0</v>
      </c>
      <c r="L5385" s="13" t="str">
        <f>IF(D5385&lt;&gt;"",VLOOKUP(H5385,TABLEITEM,2,FALSE),"")</f>
        <v/>
      </c>
      <c r="M5385" s="13" t="str">
        <f>IF(D5385&lt;&gt;"",VLOOKUP(H5385,TABLEITEM,3,FALSE),"")</f>
        <v>กาวยาง</v>
      </c>
      <c r="N5385" s="14">
        <f>INSTOCK!$I5385*INSTOCK!$K5385</f>
        <v>288</v>
      </c>
      <c r="O5385" s="4"/>
      <c r="P5385" s="4"/>
    </row>
    <row r="5386" ht="15.75" customHeight="1">
      <c r="B5386" s="8">
        <v>5710.0</v>
      </c>
      <c r="C5386" s="9">
        <v>43685.0</v>
      </c>
      <c r="D5386" s="6" t="s">
        <v>6454</v>
      </c>
      <c r="E5386" s="4">
        <v>6.208001195E9</v>
      </c>
      <c r="F5386" s="8" t="s">
        <v>6436</v>
      </c>
      <c r="G5386" s="4" t="s">
        <v>1485</v>
      </c>
      <c r="H5386" s="10" t="s">
        <v>1841</v>
      </c>
      <c r="I5386" s="10">
        <v>1.0</v>
      </c>
      <c r="J5386" s="11" t="str">
        <f>IF(D5386&lt;&gt;"",VLOOKUP(H5386,TABLEITEM,5,FALSE),"")</f>
        <v>EA</v>
      </c>
      <c r="K5386" s="12">
        <v>561.7</v>
      </c>
      <c r="L5386" s="13" t="str">
        <f>IF(D5386&lt;&gt;"",VLOOKUP(H5386,TABLEITEM,2,FALSE),"")</f>
        <v/>
      </c>
      <c r="M5386" s="13" t="str">
        <f>IF(D5386&lt;&gt;"",VLOOKUP(H5386,TABLEITEM,3,FALSE),"")</f>
        <v>K CAM SWITCH 3L AND 3L-N 45 12A</v>
      </c>
      <c r="N5386" s="14">
        <f>INSTOCK!$I5386*INSTOCK!$K5386</f>
        <v>561.7</v>
      </c>
      <c r="O5386" s="4"/>
      <c r="P5386" s="4"/>
    </row>
    <row r="5387" ht="15.75" customHeight="1">
      <c r="B5387" s="8">
        <v>5711.0</v>
      </c>
      <c r="C5387" s="9">
        <v>43685.0</v>
      </c>
      <c r="D5387" s="6" t="s">
        <v>6454</v>
      </c>
      <c r="E5387" s="4">
        <v>6.208001195E9</v>
      </c>
      <c r="F5387" s="8" t="s">
        <v>6436</v>
      </c>
      <c r="G5387" s="4" t="s">
        <v>1485</v>
      </c>
      <c r="H5387" s="10" t="s">
        <v>6455</v>
      </c>
      <c r="I5387" s="10">
        <v>1.0</v>
      </c>
      <c r="J5387" s="11" t="str">
        <f>IF(D5387&lt;&gt;"",VLOOKUP(H5387,TABLEITEM,5,FALSE),"")</f>
        <v>EA</v>
      </c>
      <c r="K5387" s="12">
        <v>3866.3</v>
      </c>
      <c r="L5387" s="13" t="str">
        <f>IF(D5387&lt;&gt;"",VLOOKUP(H5387,TABLEITEM,2,FALSE),"")</f>
        <v/>
      </c>
      <c r="M5387" s="13" t="str">
        <f>IF(D5387&lt;&gt;"",VLOOKUP(H5387,TABLEITEM,3,FALSE),"")</f>
        <v>NSX250F 3P (36 KA AT 380/415v)TM250D</v>
      </c>
      <c r="N5387" s="14">
        <f>INSTOCK!$I5387*INSTOCK!$K5387</f>
        <v>3866.3</v>
      </c>
      <c r="O5387" s="4"/>
      <c r="P5387" s="4"/>
    </row>
    <row r="5388" ht="15.75" customHeight="1">
      <c r="B5388" s="8">
        <v>5712.0</v>
      </c>
      <c r="C5388" s="9">
        <v>43685.0</v>
      </c>
      <c r="D5388" s="6" t="s">
        <v>6454</v>
      </c>
      <c r="E5388" s="4">
        <v>6.208001195E9</v>
      </c>
      <c r="F5388" s="8" t="s">
        <v>6436</v>
      </c>
      <c r="G5388" s="4" t="s">
        <v>1485</v>
      </c>
      <c r="H5388" s="10" t="s">
        <v>6456</v>
      </c>
      <c r="I5388" s="10">
        <v>3.0</v>
      </c>
      <c r="J5388" s="11" t="str">
        <f>IF(D5388&lt;&gt;"",VLOOKUP(H5388,TABLEITEM,5,FALSE),"")</f>
        <v>EA</v>
      </c>
      <c r="K5388" s="12">
        <v>1853.2</v>
      </c>
      <c r="L5388" s="13" t="str">
        <f>IF(D5388&lt;&gt;"",VLOOKUP(H5388,TABLEITEM,2,FALSE),"")</f>
        <v/>
      </c>
      <c r="M5388" s="13" t="str">
        <f>IF(D5388&lt;&gt;"",VLOOKUP(H5388,TABLEITEM,3,FALSE),"")</f>
        <v>NSX100B TMD MCCB 3P 3D 100A</v>
      </c>
      <c r="N5388" s="14">
        <f>INSTOCK!$I5388*INSTOCK!$K5388</f>
        <v>5559.6</v>
      </c>
      <c r="O5388" s="4"/>
      <c r="P5388" s="4"/>
    </row>
    <row r="5389" ht="15.75" customHeight="1">
      <c r="B5389" s="8">
        <v>5713.0</v>
      </c>
      <c r="C5389" s="9">
        <v>43685.0</v>
      </c>
      <c r="D5389" s="6" t="s">
        <v>6454</v>
      </c>
      <c r="E5389" s="4">
        <v>6.208001195E9</v>
      </c>
      <c r="F5389" s="8" t="s">
        <v>6436</v>
      </c>
      <c r="G5389" s="4" t="s">
        <v>1485</v>
      </c>
      <c r="H5389" s="10" t="s">
        <v>6457</v>
      </c>
      <c r="I5389" s="10">
        <v>1.0</v>
      </c>
      <c r="J5389" s="11" t="str">
        <f>IF(D5389&lt;&gt;"",VLOOKUP(H5389,TABLEITEM,5,FALSE),"")</f>
        <v>EA</v>
      </c>
      <c r="K5389" s="12">
        <v>35383.0</v>
      </c>
      <c r="L5389" s="13" t="str">
        <f>IF(D5389&lt;&gt;"",VLOOKUP(H5389,TABLEITEM,2,FALSE),"")</f>
        <v/>
      </c>
      <c r="M5389" s="13" t="str">
        <f>IF(D5389&lt;&gt;"",VLOOKUP(H5389,TABLEITEM,3,FALSE),"")</f>
        <v>ATSNSX250F 3P 175-250A 36 KA TM250D</v>
      </c>
      <c r="N5389" s="14">
        <f>INSTOCK!$I5389*INSTOCK!$K5389</f>
        <v>35383</v>
      </c>
      <c r="O5389" s="4"/>
      <c r="P5389" s="4"/>
    </row>
    <row r="5390" ht="15.75" customHeight="1">
      <c r="B5390" s="8">
        <v>5714.0</v>
      </c>
      <c r="C5390" s="9">
        <v>43685.0</v>
      </c>
      <c r="D5390" s="6" t="s">
        <v>6454</v>
      </c>
      <c r="E5390" s="4">
        <v>6.208001195E9</v>
      </c>
      <c r="F5390" s="8" t="s">
        <v>6436</v>
      </c>
      <c r="G5390" s="4" t="s">
        <v>1485</v>
      </c>
      <c r="H5390" s="10" t="s">
        <v>6458</v>
      </c>
      <c r="I5390" s="10">
        <v>1.0</v>
      </c>
      <c r="J5390" s="11" t="str">
        <f>IF(D5390&lt;&gt;"",VLOOKUP(H5390,TABLEITEM,5,FALSE),"")</f>
        <v>EA</v>
      </c>
      <c r="K5390" s="12">
        <v>1328.4</v>
      </c>
      <c r="L5390" s="13" t="str">
        <f>IF(D5390&lt;&gt;"",VLOOKUP(H5390,TABLEITEM,2,FALSE),"")</f>
        <v/>
      </c>
      <c r="M5390" s="13" t="str">
        <f>IF(D5390&lt;&gt;"",VLOOKUP(H5390,TABLEITEM,3,FALSE),"")</f>
        <v>WIRING KIT FOR IVE UNIT DRAWOUT/FIXED MOUNTING MASTERPACT</v>
      </c>
      <c r="N5390" s="14">
        <f>INSTOCK!$I5390*INSTOCK!$K5390</f>
        <v>1328.4</v>
      </c>
      <c r="O5390" s="4"/>
      <c r="P5390" s="4"/>
    </row>
    <row r="5391" ht="15.75" customHeight="1">
      <c r="B5391" s="8">
        <v>5715.0</v>
      </c>
      <c r="C5391" s="9">
        <v>43683.0</v>
      </c>
      <c r="D5391" s="6" t="s">
        <v>6459</v>
      </c>
      <c r="E5391" s="4">
        <v>6.208001173E9</v>
      </c>
      <c r="F5391" s="8" t="s">
        <v>6460</v>
      </c>
      <c r="G5391" s="4" t="s">
        <v>1596</v>
      </c>
      <c r="H5391" s="10" t="s">
        <v>6461</v>
      </c>
      <c r="I5391" s="10">
        <v>1.0</v>
      </c>
      <c r="J5391" s="11" t="str">
        <f>IF(D5391&lt;&gt;"",VLOOKUP(H5391,TABLEITEM,5,FALSE),"")</f>
        <v>EA</v>
      </c>
      <c r="K5391" s="12">
        <v>1460.0</v>
      </c>
      <c r="L5391" s="13" t="str">
        <f>IF(D5391&lt;&gt;"",VLOOKUP(H5391,TABLEITEM,2,FALSE),"")</f>
        <v/>
      </c>
      <c r="M5391" s="13" t="str">
        <f>IF(D5391&lt;&gt;"",VLOOKUP(H5391,TABLEITEM,3,FALSE),"")</f>
        <v>XT1N 160 TMD 63-630 3 P </v>
      </c>
      <c r="N5391" s="14">
        <f>INSTOCK!$I5391*INSTOCK!$K5391</f>
        <v>1460</v>
      </c>
      <c r="O5391" s="4" t="s">
        <v>4302</v>
      </c>
      <c r="P5391" s="4"/>
    </row>
    <row r="5392" ht="15.75" customHeight="1">
      <c r="B5392" s="8">
        <v>5716.0</v>
      </c>
      <c r="C5392" s="9">
        <v>43683.0</v>
      </c>
      <c r="D5392" s="6" t="s">
        <v>6459</v>
      </c>
      <c r="E5392" s="4">
        <v>6.208001173E9</v>
      </c>
      <c r="F5392" s="8" t="s">
        <v>6460</v>
      </c>
      <c r="G5392" s="4" t="s">
        <v>1596</v>
      </c>
      <c r="H5392" s="10" t="s">
        <v>6462</v>
      </c>
      <c r="I5392" s="10">
        <v>1.0</v>
      </c>
      <c r="J5392" s="11" t="str">
        <f>IF(D5392&lt;&gt;"",VLOOKUP(H5392,TABLEITEM,5,FALSE),"")</f>
        <v>EA</v>
      </c>
      <c r="K5392" s="12">
        <v>936.0</v>
      </c>
      <c r="L5392" s="13" t="str">
        <f>IF(D5392&lt;&gt;"",VLOOKUP(H5392,TABLEITEM,2,FALSE),"")</f>
        <v/>
      </c>
      <c r="M5392" s="13" t="str">
        <f>IF(D5392&lt;&gt;"",VLOOKUP(H5392,TABLEITEM,3,FALSE),"")</f>
        <v>STB OT63F3 3P </v>
      </c>
      <c r="N5392" s="14">
        <f>INSTOCK!$I5392*INSTOCK!$K5392</f>
        <v>936</v>
      </c>
      <c r="O5392" s="4" t="s">
        <v>6463</v>
      </c>
      <c r="P5392" s="4"/>
    </row>
    <row r="5393" ht="15.75" customHeight="1">
      <c r="B5393" s="8">
        <v>5717.0</v>
      </c>
      <c r="C5393" s="9">
        <v>43685.0</v>
      </c>
      <c r="D5393" s="6">
        <v>6206133.0</v>
      </c>
      <c r="E5393" s="4">
        <v>6.207000113E10</v>
      </c>
      <c r="F5393" s="8" t="s">
        <v>6464</v>
      </c>
      <c r="G5393" s="4" t="s">
        <v>2688</v>
      </c>
      <c r="H5393" s="10" t="s">
        <v>6465</v>
      </c>
      <c r="I5393" s="10">
        <v>2.0</v>
      </c>
      <c r="J5393" s="11" t="str">
        <f>IF(D5393&lt;&gt;"",VLOOKUP(H5393,TABLEITEM,5,FALSE),"")</f>
        <v>EA</v>
      </c>
      <c r="K5393" s="12">
        <v>6900.0</v>
      </c>
      <c r="L5393" s="13" t="str">
        <f>IF(D5393&lt;&gt;"",VLOOKUP(H5393,TABLEITEM,2,FALSE),"")</f>
        <v/>
      </c>
      <c r="M5393" s="13" t="str">
        <f>IF(D5393&lt;&gt;"",VLOOKUP(H5393,TABLEITEM,3,FALSE),"")</f>
        <v>HD,500GB,ES,7.2,3.5,W-SU,E/C</v>
      </c>
      <c r="N5393" s="14">
        <f>INSTOCK!$I5393*INSTOCK!$K5393</f>
        <v>13800</v>
      </c>
      <c r="O5393" s="4"/>
      <c r="P5393" s="4"/>
    </row>
    <row r="5394" ht="15.75" customHeight="1">
      <c r="B5394" s="8">
        <v>5718.0</v>
      </c>
      <c r="C5394" s="9">
        <v>43685.0</v>
      </c>
      <c r="D5394" s="6">
        <v>6206133.0</v>
      </c>
      <c r="E5394" s="4">
        <v>6.207000113E10</v>
      </c>
      <c r="F5394" s="8" t="s">
        <v>6464</v>
      </c>
      <c r="G5394" s="4" t="s">
        <v>2688</v>
      </c>
      <c r="H5394" s="10" t="s">
        <v>4942</v>
      </c>
      <c r="I5394" s="10">
        <v>2.0</v>
      </c>
      <c r="J5394" s="11" t="str">
        <f>IF(D5394&lt;&gt;"",VLOOKUP(H5394,TABLEITEM,5,FALSE),"")</f>
        <v>EA</v>
      </c>
      <c r="K5394" s="12">
        <v>450.0</v>
      </c>
      <c r="L5394" s="13" t="str">
        <f>IF(D5394&lt;&gt;"",VLOOKUP(H5394,TABLEITEM,2,FALSE),"")</f>
        <v/>
      </c>
      <c r="M5394" s="13" t="str">
        <f>IF(D5394&lt;&gt;"",VLOOKUP(H5394,TABLEITEM,3,FALSE),"")</f>
        <v>ASSY,CARR,HD,SAS-SATAU,3.5</v>
      </c>
      <c r="N5394" s="14">
        <f>INSTOCK!$I5394*INSTOCK!$K5394</f>
        <v>900</v>
      </c>
      <c r="O5394" s="4"/>
      <c r="P5394" s="4"/>
    </row>
    <row r="5395" ht="15.75" customHeight="1">
      <c r="B5395" s="8">
        <v>5719.0</v>
      </c>
      <c r="C5395" s="9">
        <v>43685.0</v>
      </c>
      <c r="D5395" s="6">
        <v>6206133.0</v>
      </c>
      <c r="E5395" s="4">
        <v>6.207000113E10</v>
      </c>
      <c r="F5395" s="8" t="s">
        <v>6464</v>
      </c>
      <c r="G5395" s="4" t="s">
        <v>2688</v>
      </c>
      <c r="H5395" s="10" t="s">
        <v>4943</v>
      </c>
      <c r="I5395" s="10">
        <v>8.0</v>
      </c>
      <c r="J5395" s="11" t="str">
        <f>IF(D5395&lt;&gt;"",VLOOKUP(H5395,TABLEITEM,5,FALSE),"")</f>
        <v>EA</v>
      </c>
      <c r="K5395" s="12">
        <v>120.0</v>
      </c>
      <c r="L5395" s="13" t="str">
        <f>IF(D5395&lt;&gt;"",VLOOKUP(H5395,TABLEITEM,2,FALSE),"")</f>
        <v/>
      </c>
      <c r="M5395" s="13" t="str">
        <f>IF(D5395&lt;&gt;"",VLOOKUP(H5395,TABLEITEM,3,FALSE),"")</f>
        <v>SCR,6-32X.225,PHH,FLH.BLK</v>
      </c>
      <c r="N5395" s="14">
        <f>INSTOCK!$I5395*INSTOCK!$K5395</f>
        <v>960</v>
      </c>
      <c r="O5395" s="4"/>
      <c r="P5395" s="4"/>
    </row>
    <row r="5396" ht="15.75" customHeight="1">
      <c r="B5396" s="8">
        <v>5720.0</v>
      </c>
      <c r="C5396" s="9">
        <v>43684.0</v>
      </c>
      <c r="D5396" s="6" t="s">
        <v>6466</v>
      </c>
      <c r="E5396" s="4">
        <v>6.208001172E9</v>
      </c>
      <c r="F5396" s="8" t="s">
        <v>6399</v>
      </c>
      <c r="G5396" s="4" t="s">
        <v>965</v>
      </c>
      <c r="H5396" s="10" t="s">
        <v>6467</v>
      </c>
      <c r="I5396" s="10">
        <v>3.0</v>
      </c>
      <c r="J5396" s="11" t="str">
        <f>IF(D5396&lt;&gt;"",VLOOKUP(H5396,TABLEITEM,5,FALSE),"")</f>
        <v>EA</v>
      </c>
      <c r="K5396" s="12">
        <v>75.0</v>
      </c>
      <c r="L5396" s="13" t="str">
        <f>IF(D5396&lt;&gt;"",VLOOKUP(H5396,TABLEITEM,2,FALSE),"")</f>
        <v/>
      </c>
      <c r="M5396" s="13" t="str">
        <f>IF(D5396&lt;&gt;"",VLOOKUP(H5396,TABLEITEM,3,FALSE),"")</f>
        <v>บอลวาล์ว Sunwa 1/2"</v>
      </c>
      <c r="N5396" s="14">
        <f>INSTOCK!$I5396*INSTOCK!$K5396</f>
        <v>225</v>
      </c>
      <c r="O5396" s="4"/>
      <c r="P5396" s="4"/>
    </row>
    <row r="5397" ht="15.75" customHeight="1">
      <c r="B5397" s="8">
        <v>5721.0</v>
      </c>
      <c r="C5397" s="9">
        <v>43684.0</v>
      </c>
      <c r="D5397" s="6" t="s">
        <v>6466</v>
      </c>
      <c r="E5397" s="4">
        <v>6.208001172E9</v>
      </c>
      <c r="F5397" s="8" t="s">
        <v>6399</v>
      </c>
      <c r="G5397" s="4" t="s">
        <v>965</v>
      </c>
      <c r="H5397" s="10" t="s">
        <v>6468</v>
      </c>
      <c r="I5397" s="10">
        <v>3.0</v>
      </c>
      <c r="J5397" s="11" t="str">
        <f>IF(D5397&lt;&gt;"",VLOOKUP(H5397,TABLEITEM,5,FALSE),"")</f>
        <v>EA</v>
      </c>
      <c r="K5397" s="12">
        <v>12.0</v>
      </c>
      <c r="L5397" s="13" t="str">
        <f>IF(D5397&lt;&gt;"",VLOOKUP(H5397,TABLEITEM,2,FALSE),"")</f>
        <v/>
      </c>
      <c r="M5397" s="13" t="str">
        <f>IF(D5397&lt;&gt;"",VLOOKUP(H5397,TABLEITEM,3,FALSE),"")</f>
        <v>นิปเปิ้ลเหล็ก 1/2"</v>
      </c>
      <c r="N5397" s="14">
        <f>INSTOCK!$I5397*INSTOCK!$K5397</f>
        <v>36</v>
      </c>
      <c r="O5397" s="4"/>
      <c r="P5397" s="4"/>
    </row>
    <row r="5398" ht="15.75" customHeight="1">
      <c r="B5398" s="8">
        <v>5722.0</v>
      </c>
      <c r="C5398" s="9">
        <v>43684.0</v>
      </c>
      <c r="D5398" s="6" t="s">
        <v>6466</v>
      </c>
      <c r="E5398" s="4">
        <v>6.208001172E9</v>
      </c>
      <c r="F5398" s="8" t="s">
        <v>6399</v>
      </c>
      <c r="G5398" s="4" t="s">
        <v>965</v>
      </c>
      <c r="H5398" s="10" t="s">
        <v>6469</v>
      </c>
      <c r="I5398" s="10">
        <v>3.0</v>
      </c>
      <c r="J5398" s="11" t="str">
        <f>IF(D5398&lt;&gt;"",VLOOKUP(H5398,TABLEITEM,5,FALSE),"")</f>
        <v>EA</v>
      </c>
      <c r="K5398" s="12">
        <v>48.0</v>
      </c>
      <c r="L5398" s="13" t="str">
        <f>IF(D5398&lt;&gt;"",VLOOKUP(H5398,TABLEITEM,2,FALSE),"")</f>
        <v/>
      </c>
      <c r="M5398" s="13" t="str">
        <f>IF(D5398&lt;&gt;"",VLOOKUP(H5398,TABLEITEM,3,FALSE),"")</f>
        <v>ยูเนียนเหล็ก 1/2"</v>
      </c>
      <c r="N5398" s="14">
        <f>INSTOCK!$I5398*INSTOCK!$K5398</f>
        <v>144</v>
      </c>
      <c r="O5398" s="4"/>
      <c r="P5398" s="4"/>
    </row>
    <row r="5399" ht="15.75" customHeight="1">
      <c r="B5399" s="8">
        <v>5723.0</v>
      </c>
      <c r="C5399" s="9">
        <v>43684.0</v>
      </c>
      <c r="D5399" s="6" t="s">
        <v>6466</v>
      </c>
      <c r="E5399" s="4">
        <v>6.208001172E9</v>
      </c>
      <c r="F5399" s="8" t="s">
        <v>6399</v>
      </c>
      <c r="G5399" s="4" t="s">
        <v>965</v>
      </c>
      <c r="H5399" s="10" t="s">
        <v>3198</v>
      </c>
      <c r="I5399" s="10">
        <v>12.0</v>
      </c>
      <c r="J5399" s="11" t="str">
        <f>IF(D5399&lt;&gt;"",VLOOKUP(H5399,TABLEITEM,5,FALSE),"")</f>
        <v>EA</v>
      </c>
      <c r="K5399" s="12">
        <v>9.1667</v>
      </c>
      <c r="L5399" s="13" t="str">
        <f>IF(D5399&lt;&gt;"",VLOOKUP(H5399,TABLEITEM,2,FALSE),"")</f>
        <v/>
      </c>
      <c r="M5399" s="13" t="str">
        <f>IF(D5399&lt;&gt;"",VLOOKUP(H5399,TABLEITEM,3,FALSE),"")</f>
        <v>น้ำกลั่น</v>
      </c>
      <c r="N5399" s="14">
        <f>INSTOCK!$I5399*INSTOCK!$K5399</f>
        <v>110.0004</v>
      </c>
      <c r="O5399" s="4"/>
      <c r="P5399" s="4"/>
    </row>
    <row r="5400" ht="15.75" customHeight="1">
      <c r="B5400" s="8">
        <v>5724.0</v>
      </c>
      <c r="C5400" s="9">
        <v>43686.0</v>
      </c>
      <c r="D5400" s="6" t="s">
        <v>6470</v>
      </c>
      <c r="E5400" s="4"/>
      <c r="F5400" s="8" t="s">
        <v>6471</v>
      </c>
      <c r="G5400" s="4" t="s">
        <v>898</v>
      </c>
      <c r="H5400" s="10" t="s">
        <v>899</v>
      </c>
      <c r="I5400" s="10">
        <v>10.0</v>
      </c>
      <c r="J5400" s="11" t="str">
        <f>IF(D5400&lt;&gt;"",VLOOKUP(H5400,TABLEITEM,5,FALSE),"")</f>
        <v>LIT</v>
      </c>
      <c r="K5400" s="12">
        <v>400.0</v>
      </c>
      <c r="L5400" s="13" t="str">
        <f>IF(D5400&lt;&gt;"",VLOOKUP(H5400,TABLEITEM,2,FALSE),"")</f>
        <v/>
      </c>
      <c r="M5400" s="13" t="str">
        <f>IF(D5400&lt;&gt;"",VLOOKUP(H5400,TABLEITEM,3,FALSE),"")</f>
        <v>สีพ่นแห้งเร็ว(สีผสม)</v>
      </c>
      <c r="N5400" s="14">
        <f>INSTOCK!$I5400*INSTOCK!$K5400</f>
        <v>4000</v>
      </c>
      <c r="O5400" s="4" t="s">
        <v>6472</v>
      </c>
      <c r="P5400" s="4"/>
    </row>
    <row r="5401" ht="15.75" customHeight="1">
      <c r="B5401" s="8">
        <v>5725.0</v>
      </c>
      <c r="C5401" s="9">
        <v>43686.0</v>
      </c>
      <c r="D5401" s="6" t="s">
        <v>6470</v>
      </c>
      <c r="E5401" s="4"/>
      <c r="F5401" s="8" t="s">
        <v>6471</v>
      </c>
      <c r="G5401" s="4" t="s">
        <v>898</v>
      </c>
      <c r="H5401" s="10" t="s">
        <v>899</v>
      </c>
      <c r="I5401" s="10">
        <v>1.0</v>
      </c>
      <c r="J5401" s="11" t="str">
        <f>IF(D5401&lt;&gt;"",VLOOKUP(H5401,TABLEITEM,5,FALSE),"")</f>
        <v>LIT</v>
      </c>
      <c r="K5401" s="12">
        <v>400.0</v>
      </c>
      <c r="L5401" s="13" t="str">
        <f>IF(D5401&lt;&gt;"",VLOOKUP(H5401,TABLEITEM,2,FALSE),"")</f>
        <v/>
      </c>
      <c r="M5401" s="13" t="str">
        <f>IF(D5401&lt;&gt;"",VLOOKUP(H5401,TABLEITEM,3,FALSE),"")</f>
        <v>สีพ่นแห้งเร็ว(สีผสม)</v>
      </c>
      <c r="N5401" s="14">
        <f>INSTOCK!$I5401*INSTOCK!$K5401</f>
        <v>400</v>
      </c>
      <c r="O5401" s="4" t="s">
        <v>6473</v>
      </c>
      <c r="P5401" s="4"/>
    </row>
    <row r="5402" ht="15.75" customHeight="1">
      <c r="B5402" s="8">
        <v>5726.0</v>
      </c>
      <c r="C5402" s="9">
        <v>43686.0</v>
      </c>
      <c r="D5402" s="6">
        <v>8996.0</v>
      </c>
      <c r="E5402" s="4" t="s">
        <v>6474</v>
      </c>
      <c r="F5402" s="8" t="s">
        <v>604</v>
      </c>
      <c r="G5402" s="4" t="s">
        <v>1009</v>
      </c>
      <c r="H5402" s="10" t="s">
        <v>129</v>
      </c>
      <c r="I5402" s="10">
        <v>100.0</v>
      </c>
      <c r="J5402" s="11" t="str">
        <f>IF(D5402&lt;&gt;"",VLOOKUP(H5402,TABLEITEM,5,FALSE),"")</f>
        <v>EA</v>
      </c>
      <c r="K5402" s="12">
        <v>90.0</v>
      </c>
      <c r="L5402" s="13" t="str">
        <f>IF(D5402&lt;&gt;"",VLOOKUP(H5402,TABLEITEM,2,FALSE),"")</f>
        <v/>
      </c>
      <c r="M5402" s="13" t="str">
        <f>IF(D5402&lt;&gt;"",VLOOKUP(H5402,TABLEITEM,3,FALSE),"")</f>
        <v>DOOR LOCKER AB301-3-1</v>
      </c>
      <c r="N5402" s="14">
        <f>INSTOCK!$I5402*INSTOCK!$K5402</f>
        <v>9000</v>
      </c>
      <c r="O5402" s="4"/>
      <c r="P5402" s="4"/>
    </row>
    <row r="5403" ht="15.75" customHeight="1">
      <c r="B5403" s="8">
        <v>5727.0</v>
      </c>
      <c r="C5403" s="9">
        <v>43686.0</v>
      </c>
      <c r="D5403" s="6">
        <v>8996.0</v>
      </c>
      <c r="E5403" s="4" t="s">
        <v>6474</v>
      </c>
      <c r="F5403" s="8" t="s">
        <v>604</v>
      </c>
      <c r="G5403" s="4" t="s">
        <v>1009</v>
      </c>
      <c r="H5403" s="18" t="s">
        <v>124</v>
      </c>
      <c r="I5403" s="10">
        <v>100.0</v>
      </c>
      <c r="J5403" s="11" t="str">
        <f>IF(D5403&lt;&gt;"",VLOOKUP(H5403,TABLEITEM,5,FALSE),"")</f>
        <v>EA</v>
      </c>
      <c r="K5403" s="12">
        <v>180.0</v>
      </c>
      <c r="L5403" s="13" t="str">
        <f>IF(D5403&lt;&gt;"",VLOOKUP(H5403,TABLEITEM,2,FALSE),"")</f>
        <v/>
      </c>
      <c r="M5403" s="13" t="str">
        <f>IF(D5403&lt;&gt;"",VLOOKUP(H5403,TABLEITEM,3,FALSE),"")</f>
        <v>กุญแจกดเด้งสีดำ MS480-2</v>
      </c>
      <c r="N5403" s="14">
        <f>INSTOCK!$I5403*INSTOCK!$K5403</f>
        <v>18000</v>
      </c>
      <c r="O5403" s="4"/>
      <c r="P5403" s="4"/>
    </row>
    <row r="5404" ht="15.75" customHeight="1">
      <c r="B5404" s="8">
        <v>5728.0</v>
      </c>
      <c r="C5404" s="9">
        <v>43687.0</v>
      </c>
      <c r="D5404" s="6" t="s">
        <v>6475</v>
      </c>
      <c r="E5404" s="4"/>
      <c r="F5404" s="8" t="s">
        <v>6476</v>
      </c>
      <c r="G5404" s="4" t="s">
        <v>3045</v>
      </c>
      <c r="H5404" s="18" t="s">
        <v>4789</v>
      </c>
      <c r="I5404" s="10">
        <v>1.0</v>
      </c>
      <c r="J5404" s="11" t="str">
        <f>IF(D5404&lt;&gt;"",VLOOKUP(H5404,TABLEITEM,5,FALSE),"")</f>
        <v>EA</v>
      </c>
      <c r="K5404" s="12">
        <v>530.0</v>
      </c>
      <c r="L5404" s="13" t="str">
        <f>IF(D5404&lt;&gt;"",VLOOKUP(H5404,TABLEITEM,2,FALSE),"")</f>
        <v/>
      </c>
      <c r="M5404" s="13" t="str">
        <f>IF(D5404&lt;&gt;"",VLOOKUP(H5404,TABLEITEM,3,FALSE),"")</f>
        <v>แบตเตอรี่ DJW6-12 6V 12AH</v>
      </c>
      <c r="N5404" s="14">
        <f>INSTOCK!$I5404*INSTOCK!$K5404</f>
        <v>530</v>
      </c>
      <c r="O5404" s="4"/>
      <c r="P5404" s="4"/>
    </row>
    <row r="5405" ht="15.75" customHeight="1">
      <c r="B5405" s="8">
        <v>5729.0</v>
      </c>
      <c r="C5405" s="9">
        <v>43691.0</v>
      </c>
      <c r="D5405" s="6" t="s">
        <v>6477</v>
      </c>
      <c r="E5405" s="4">
        <v>6.20800121E9</v>
      </c>
      <c r="F5405" s="8" t="s">
        <v>604</v>
      </c>
      <c r="G5405" s="4" t="s">
        <v>1611</v>
      </c>
      <c r="H5405" s="10" t="s">
        <v>190</v>
      </c>
      <c r="I5405" s="10">
        <v>600.0</v>
      </c>
      <c r="J5405" s="11" t="str">
        <f>IF(D5405&lt;&gt;"",VLOOKUP(H5405,TABLEITEM,5,FALSE),"")</f>
        <v>EA</v>
      </c>
      <c r="K5405" s="12">
        <v>11.5</v>
      </c>
      <c r="L5405" s="13" t="str">
        <f>IF(D5405&lt;&gt;"",VLOOKUP(H5405,TABLEITEM,2,FALSE),"")</f>
        <v/>
      </c>
      <c r="M5405" s="13" t="str">
        <f>IF(D5405&lt;&gt;"",VLOOKUP(H5405,TABLEITEM,3,FALSE),"")</f>
        <v>TERMINAL BLOCK TX20</v>
      </c>
      <c r="N5405" s="14">
        <f>INSTOCK!$I5405*INSTOCK!$K5405</f>
        <v>6900</v>
      </c>
      <c r="O5405" s="4"/>
      <c r="P5405" s="4"/>
    </row>
    <row r="5406" ht="15.75" customHeight="1">
      <c r="B5406" s="8">
        <v>5730.0</v>
      </c>
      <c r="C5406" s="9">
        <v>43691.0</v>
      </c>
      <c r="D5406" s="6" t="s">
        <v>6477</v>
      </c>
      <c r="E5406" s="4">
        <v>6.20800121E9</v>
      </c>
      <c r="F5406" s="8" t="s">
        <v>604</v>
      </c>
      <c r="G5406" s="4" t="s">
        <v>1611</v>
      </c>
      <c r="H5406" s="10" t="s">
        <v>200</v>
      </c>
      <c r="I5406" s="10">
        <v>300.0</v>
      </c>
      <c r="J5406" s="11" t="str">
        <f>IF(D5406&lt;&gt;"",VLOOKUP(H5406,TABLEITEM,5,FALSE),"")</f>
        <v>EA</v>
      </c>
      <c r="K5406" s="12">
        <v>16.0</v>
      </c>
      <c r="L5406" s="13" t="str">
        <f>IF(D5406&lt;&gt;"",VLOOKUP(H5406,TABLEITEM,2,FALSE),"")</f>
        <v/>
      </c>
      <c r="M5406" s="13" t="str">
        <f>IF(D5406&lt;&gt;"",VLOOKUP(H5406,TABLEITEM,3,FALSE),"")</f>
        <v>STOPPER TXE2</v>
      </c>
      <c r="N5406" s="14">
        <f>INSTOCK!$I5406*INSTOCK!$K5406</f>
        <v>4800</v>
      </c>
      <c r="O5406" s="4"/>
      <c r="P5406" s="4"/>
    </row>
    <row r="5407" ht="15.75" customHeight="1">
      <c r="B5407" s="8">
        <v>5731.0</v>
      </c>
      <c r="C5407" s="9">
        <v>43691.0</v>
      </c>
      <c r="D5407" s="6" t="s">
        <v>6478</v>
      </c>
      <c r="E5407" s="4">
        <v>6.208001214E9</v>
      </c>
      <c r="F5407" s="8" t="s">
        <v>6479</v>
      </c>
      <c r="G5407" s="4" t="s">
        <v>702</v>
      </c>
      <c r="H5407" s="10" t="s">
        <v>779</v>
      </c>
      <c r="I5407" s="10">
        <v>40.0</v>
      </c>
      <c r="J5407" s="11" t="str">
        <f>IF(D5407&lt;&gt;"",VLOOKUP(H5407,TABLEITEM,5,FALSE),"")</f>
        <v>KG.</v>
      </c>
      <c r="K5407" s="12">
        <v>130.0</v>
      </c>
      <c r="L5407" s="13" t="str">
        <f>IF(D5407&lt;&gt;"",VLOOKUP(H5407,TABLEITEM,2,FALSE),"")</f>
        <v/>
      </c>
      <c r="M5407" s="13" t="str">
        <f>IF(D5407&lt;&gt;"",VLOOKUP(H5407,TABLEITEM,3,FALSE),"")</f>
        <v>สีฝุ่น FF110/948/C สีครีม</v>
      </c>
      <c r="N5407" s="14">
        <f>INSTOCK!$I5407*INSTOCK!$K5407</f>
        <v>5200</v>
      </c>
      <c r="O5407" s="4"/>
      <c r="P5407" s="4"/>
    </row>
    <row r="5408" ht="15.75" customHeight="1">
      <c r="B5408" s="8">
        <v>5732.0</v>
      </c>
      <c r="C5408" s="9">
        <v>43690.0</v>
      </c>
      <c r="D5408" s="6">
        <v>6.20803757E8</v>
      </c>
      <c r="E5408" s="4">
        <v>6.208001211E9</v>
      </c>
      <c r="F5408" s="8" t="s">
        <v>604</v>
      </c>
      <c r="G5408" s="4" t="s">
        <v>1130</v>
      </c>
      <c r="H5408" s="10" t="s">
        <v>1535</v>
      </c>
      <c r="I5408" s="10">
        <v>24.0</v>
      </c>
      <c r="J5408" s="11" t="str">
        <f>IF(D5408&lt;&gt;"",VLOOKUP(H5408,TABLEITEM,5,FALSE),"")</f>
        <v>EA</v>
      </c>
      <c r="K5408" s="12">
        <v>38.0</v>
      </c>
      <c r="L5408" s="13" t="str">
        <f>IF(D5408&lt;&gt;"",VLOOKUP(H5408,TABLEITEM,2,FALSE),"")</f>
        <v/>
      </c>
      <c r="M5408" s="13" t="str">
        <f>IF(D5408&lt;&gt;"",VLOOKUP(H5408,TABLEITEM,3,FALSE),"")</f>
        <v>หลอดนีออน 36W</v>
      </c>
      <c r="N5408" s="14">
        <f>INSTOCK!$I5408*INSTOCK!$K5408</f>
        <v>912</v>
      </c>
      <c r="O5408" s="4"/>
      <c r="P5408" s="4"/>
    </row>
    <row r="5409" ht="15.75" customHeight="1">
      <c r="B5409" s="8">
        <v>5733.0</v>
      </c>
      <c r="C5409" s="9">
        <v>43691.0</v>
      </c>
      <c r="D5409" s="6" t="s">
        <v>6480</v>
      </c>
      <c r="E5409" s="4">
        <v>6.208001216E9</v>
      </c>
      <c r="F5409" s="8" t="s">
        <v>6481</v>
      </c>
      <c r="G5409" s="4" t="s">
        <v>1446</v>
      </c>
      <c r="H5409" s="10" t="s">
        <v>6482</v>
      </c>
      <c r="I5409" s="10">
        <v>1.0</v>
      </c>
      <c r="J5409" s="11" t="str">
        <f>IF(D5409&lt;&gt;"",VLOOKUP(H5409,TABLEITEM,5,FALSE),"")</f>
        <v>EA</v>
      </c>
      <c r="K5409" s="12">
        <v>900.0</v>
      </c>
      <c r="L5409" s="13" t="str">
        <f>IF(D5409&lt;&gt;"",VLOOKUP(H5409,TABLEITEM,2,FALSE),"")</f>
        <v/>
      </c>
      <c r="M5409" s="13" t="str">
        <f>IF(D5409&lt;&gt;"",VLOOKUP(H5409,TABLEITEM,3,FALSE),"")</f>
        <v>คาปาซิเตอร์ 02DRCW4 EMI 2A</v>
      </c>
      <c r="N5409" s="14">
        <f>INSTOCK!$I5409*INSTOCK!$K5409</f>
        <v>900</v>
      </c>
      <c r="O5409" s="4"/>
      <c r="P5409" s="4"/>
    </row>
    <row r="5410" ht="15.75" customHeight="1">
      <c r="B5410" s="8">
        <v>5734.0</v>
      </c>
      <c r="C5410" s="9">
        <v>43692.0</v>
      </c>
      <c r="D5410" s="6" t="s">
        <v>6483</v>
      </c>
      <c r="E5410" s="39">
        <v>6.207001148E9</v>
      </c>
      <c r="F5410" s="8" t="s">
        <v>604</v>
      </c>
      <c r="G5410" s="4" t="s">
        <v>1777</v>
      </c>
      <c r="H5410" s="10" t="s">
        <v>3997</v>
      </c>
      <c r="I5410" s="10">
        <v>10000.0</v>
      </c>
      <c r="J5410" s="11" t="str">
        <f>IF(D5410&lt;&gt;"",VLOOKUP(H5410,TABLEITEM,5,FALSE),"")</f>
        <v>EA</v>
      </c>
      <c r="K5410" s="12">
        <v>0.99</v>
      </c>
      <c r="L5410" s="13" t="str">
        <f>IF(D5410&lt;&gt;"",VLOOKUP(H5410,TABLEITEM,2,FALSE),"")</f>
        <v/>
      </c>
      <c r="M5410" s="13" t="str">
        <f>IF(D5410&lt;&gt;"",VLOOKUP(H5410,TABLEITEM,3,FALSE),"")</f>
        <v>สกรูหัวติดแหวน M 6x10</v>
      </c>
      <c r="N5410" s="14">
        <f>INSTOCK!$I5410*INSTOCK!$K5410</f>
        <v>9900</v>
      </c>
      <c r="O5410" s="4" t="s">
        <v>1857</v>
      </c>
      <c r="P5410" s="4"/>
    </row>
    <row r="5411" ht="15.75" customHeight="1">
      <c r="B5411" s="8">
        <v>5735.0</v>
      </c>
      <c r="C5411" s="9">
        <v>43692.0</v>
      </c>
      <c r="D5411" s="6" t="s">
        <v>6483</v>
      </c>
      <c r="E5411" s="39">
        <v>6.208001212E9</v>
      </c>
      <c r="F5411" s="8" t="s">
        <v>604</v>
      </c>
      <c r="G5411" s="4" t="s">
        <v>1777</v>
      </c>
      <c r="H5411" s="10" t="s">
        <v>3380</v>
      </c>
      <c r="I5411" s="10">
        <v>300.0</v>
      </c>
      <c r="J5411" s="11" t="str">
        <f>IF(D5411&lt;&gt;"",VLOOKUP(H5411,TABLEITEM,5,FALSE),"")</f>
        <v>EA</v>
      </c>
      <c r="K5411" s="12">
        <v>1.521</v>
      </c>
      <c r="L5411" s="13" t="str">
        <f>IF(D5411&lt;&gt;"",VLOOKUP(H5411,TABLEITEM,2,FALSE),"")</f>
        <v/>
      </c>
      <c r="M5411" s="13" t="str">
        <f>IF(D5411&lt;&gt;"",VLOOKUP(H5411,TABLEITEM,3,FALSE),"")</f>
        <v>สกรูหัวเหลี่ยมชุบขาว M10x25</v>
      </c>
      <c r="N5411" s="14">
        <f>INSTOCK!$I5411*INSTOCK!$K5411</f>
        <v>456.3</v>
      </c>
      <c r="O5411" s="4" t="s">
        <v>3381</v>
      </c>
      <c r="P5411" s="4"/>
    </row>
    <row r="5412" ht="15.75" customHeight="1">
      <c r="B5412" s="8">
        <v>5736.0</v>
      </c>
      <c r="C5412" s="9">
        <v>43690.0</v>
      </c>
      <c r="D5412" s="6" t="s">
        <v>6484</v>
      </c>
      <c r="E5412" s="4">
        <v>6.207001144E9</v>
      </c>
      <c r="F5412" s="8" t="s">
        <v>604</v>
      </c>
      <c r="G5412" s="4" t="s">
        <v>798</v>
      </c>
      <c r="H5412" s="10" t="s">
        <v>116</v>
      </c>
      <c r="I5412" s="10">
        <v>1000.0</v>
      </c>
      <c r="J5412" s="11" t="str">
        <f>IF(D5412&lt;&gt;"",VLOOKUP(H5412,TABLEITEM,5,FALSE),"")</f>
        <v>EA</v>
      </c>
      <c r="K5412" s="12">
        <v>23.0</v>
      </c>
      <c r="L5412" s="13" t="str">
        <f>IF(D5412&lt;&gt;"",VLOOKUP(H5412,TABLEITEM,2,FALSE),"")</f>
        <v/>
      </c>
      <c r="M5412" s="13" t="str">
        <f>IF(D5412&lt;&gt;"",VLOOKUP(H5412,TABLEITEM,3,FALSE),"")</f>
        <v>กุญแจกลมดำ แบบมีก้านลิ้นสั้น178-04-G-293</v>
      </c>
      <c r="N5412" s="14">
        <f>INSTOCK!$I5412*INSTOCK!$K5412</f>
        <v>23000</v>
      </c>
      <c r="O5412" s="4"/>
      <c r="P5412" s="4"/>
    </row>
    <row r="5413" ht="15.75" customHeight="1">
      <c r="B5413" s="8">
        <v>5737.0</v>
      </c>
      <c r="C5413" s="9">
        <v>43690.0</v>
      </c>
      <c r="D5413" s="6" t="s">
        <v>6485</v>
      </c>
      <c r="E5413" s="4">
        <v>6.208001208E9</v>
      </c>
      <c r="F5413" s="8" t="s">
        <v>807</v>
      </c>
      <c r="G5413" s="4" t="s">
        <v>808</v>
      </c>
      <c r="H5413" s="10" t="s">
        <v>812</v>
      </c>
      <c r="I5413" s="10">
        <v>1.0</v>
      </c>
      <c r="J5413" s="11" t="str">
        <f>IF(D5413&lt;&gt;"",VLOOKUP(H5413,TABLEITEM,5,FALSE),"")</f>
        <v>ท่อ</v>
      </c>
      <c r="K5413" s="12">
        <v>2960.0</v>
      </c>
      <c r="L5413" s="13" t="str">
        <f>IF(D5413&lt;&gt;"",VLOOKUP(H5413,TABLEITEM,2,FALSE),"")</f>
        <v/>
      </c>
      <c r="M5413" s="13" t="str">
        <f>IF(D5413&lt;&gt;"",VLOOKUP(H5413,TABLEITEM,3,FALSE),"")</f>
        <v>ออกซิเจนเหลว ขนาด 148 คิว</v>
      </c>
      <c r="N5413" s="14">
        <f>INSTOCK!$I5413*INSTOCK!$K5413</f>
        <v>2960</v>
      </c>
      <c r="O5413" s="4"/>
      <c r="P5413" s="4"/>
    </row>
    <row r="5414" ht="15.75" customHeight="1">
      <c r="B5414" s="8">
        <v>5738.0</v>
      </c>
      <c r="C5414" s="9">
        <v>43690.0</v>
      </c>
      <c r="D5414" s="6" t="s">
        <v>6485</v>
      </c>
      <c r="E5414" s="4">
        <v>6.208001208E9</v>
      </c>
      <c r="F5414" s="8" t="s">
        <v>6486</v>
      </c>
      <c r="G5414" s="4" t="s">
        <v>808</v>
      </c>
      <c r="H5414" s="10" t="s">
        <v>824</v>
      </c>
      <c r="I5414" s="10">
        <v>2.0</v>
      </c>
      <c r="J5414" s="11" t="str">
        <f>IF(D5414&lt;&gt;"",VLOOKUP(H5414,TABLEITEM,5,FALSE),"")</f>
        <v>ท่อ</v>
      </c>
      <c r="K5414" s="12">
        <v>600.0</v>
      </c>
      <c r="L5414" s="13" t="str">
        <f>IF(D5414&lt;&gt;"",VLOOKUP(H5414,TABLEITEM,2,FALSE),"")</f>
        <v/>
      </c>
      <c r="M5414" s="13" t="str">
        <f>IF(D5414&lt;&gt;"",VLOOKUP(H5414,TABLEITEM,3,FALSE),"")</f>
        <v>20% CO2 Balance AR ขนาด 6คิว</v>
      </c>
      <c r="N5414" s="14">
        <f>INSTOCK!$I5414*INSTOCK!$K5414</f>
        <v>1200</v>
      </c>
      <c r="O5414" s="4"/>
      <c r="P5414" s="4"/>
    </row>
    <row r="5415" ht="15.75" customHeight="1">
      <c r="B5415" s="8">
        <v>5739.0</v>
      </c>
      <c r="C5415" s="9">
        <v>43692.0</v>
      </c>
      <c r="D5415" s="6" t="s">
        <v>6487</v>
      </c>
      <c r="E5415" s="4">
        <v>6.208001186E9</v>
      </c>
      <c r="F5415" s="8" t="s">
        <v>604</v>
      </c>
      <c r="G5415" s="4" t="s">
        <v>798</v>
      </c>
      <c r="H5415" s="10" t="s">
        <v>5823</v>
      </c>
      <c r="I5415" s="10">
        <v>500.0</v>
      </c>
      <c r="J5415" s="11" t="str">
        <f>IF(D5415&lt;&gt;"",VLOOKUP(H5415,TABLEITEM,5,FALSE),"")</f>
        <v>EA</v>
      </c>
      <c r="K5415" s="12">
        <v>23.0</v>
      </c>
      <c r="L5415" s="13" t="str">
        <f>IF(D5415&lt;&gt;"",VLOOKUP(H5415,TABLEITEM,2,FALSE),"")</f>
        <v/>
      </c>
      <c r="M5415" s="13" t="str">
        <f>IF(D5415&lt;&gt;"",VLOOKUP(H5415,TABLEITEM,3,FALSE),"")</f>
        <v>กุญแจกลมดำ แบบมีก้านลิ้นยาว178-04-G-247</v>
      </c>
      <c r="N5415" s="14">
        <f>INSTOCK!$I5415*INSTOCK!$K5415</f>
        <v>11500</v>
      </c>
      <c r="O5415" s="4"/>
      <c r="P5415" s="4"/>
    </row>
    <row r="5416" ht="15.75" customHeight="1">
      <c r="B5416" s="8">
        <v>5740.0</v>
      </c>
      <c r="C5416" s="9">
        <v>43690.0</v>
      </c>
      <c r="D5416" s="6" t="s">
        <v>6488</v>
      </c>
      <c r="E5416" s="4">
        <v>6.208001206E9</v>
      </c>
      <c r="F5416" s="8" t="s">
        <v>604</v>
      </c>
      <c r="G5416" s="4" t="s">
        <v>2679</v>
      </c>
      <c r="H5416" s="10" t="s">
        <v>2937</v>
      </c>
      <c r="I5416" s="10">
        <v>2.0</v>
      </c>
      <c r="J5416" s="11" t="str">
        <f>IF(D5416&lt;&gt;"",VLOOKUP(H5416,TABLEITEM,5,FALSE),"")</f>
        <v>แผ่น</v>
      </c>
      <c r="K5416" s="12">
        <v>1350.0</v>
      </c>
      <c r="L5416" s="13" t="str">
        <f>IF(D5416&lt;&gt;"",VLOOKUP(H5416,TABLEITEM,2,FALSE),"")</f>
        <v/>
      </c>
      <c r="M5416" s="13" t="str">
        <f>IF(D5416&lt;&gt;"",VLOOKUP(H5416,TABLEITEM,3,FALSE),"")</f>
        <v>GRAVOGRAPH 2MATTE WHITE/BLACK</v>
      </c>
      <c r="N5416" s="14">
        <f>INSTOCK!$I5416*INSTOCK!$K5416</f>
        <v>2700</v>
      </c>
      <c r="O5416" s="4"/>
      <c r="P5416" s="4"/>
    </row>
    <row r="5417" ht="15.75" customHeight="1">
      <c r="B5417" s="8">
        <v>5741.0</v>
      </c>
      <c r="C5417" s="9">
        <v>43687.0</v>
      </c>
      <c r="D5417" s="6">
        <v>39760.0</v>
      </c>
      <c r="E5417" s="4">
        <v>6.208001202E9</v>
      </c>
      <c r="F5417" s="8" t="s">
        <v>1973</v>
      </c>
      <c r="G5417" s="4" t="s">
        <v>696</v>
      </c>
      <c r="H5417" s="10" t="s">
        <v>6489</v>
      </c>
      <c r="I5417" s="10">
        <v>15.0</v>
      </c>
      <c r="J5417" s="11" t="str">
        <f>IF(D5417&lt;&gt;"",VLOOKUP(H5417,TABLEITEM,5,FALSE),"")</f>
        <v>EA</v>
      </c>
      <c r="K5417" s="12">
        <v>18.0</v>
      </c>
      <c r="L5417" s="13" t="str">
        <f>IF(D5417&lt;&gt;"",VLOOKUP(H5417,TABLEITEM,2,FALSE),"")</f>
        <v/>
      </c>
      <c r="M5417" s="13" t="str">
        <f>IF(D5417&lt;&gt;"",VLOOKUP(H5417,TABLEITEM,3,FALSE),"")</f>
        <v>ข้อต่อสเกลียวในสตีม 1/2"</v>
      </c>
      <c r="N5417" s="14">
        <f>INSTOCK!$I5417*INSTOCK!$K5417</f>
        <v>270</v>
      </c>
      <c r="O5417" s="4"/>
      <c r="P5417" s="4"/>
    </row>
    <row r="5418" ht="15.75" customHeight="1">
      <c r="B5418" s="8">
        <v>5742.0</v>
      </c>
      <c r="C5418" s="9">
        <v>43687.0</v>
      </c>
      <c r="D5418" s="6">
        <v>39760.0</v>
      </c>
      <c r="E5418" s="4">
        <v>6.208001202E9</v>
      </c>
      <c r="F5418" s="8" t="s">
        <v>1973</v>
      </c>
      <c r="G5418" s="4" t="s">
        <v>696</v>
      </c>
      <c r="H5418" s="10" t="s">
        <v>47</v>
      </c>
      <c r="I5418" s="10">
        <v>20.0</v>
      </c>
      <c r="J5418" s="11" t="str">
        <f>IF(D5418&lt;&gt;"",VLOOKUP(H5418,TABLEITEM,5,FALSE),"")</f>
        <v>EA</v>
      </c>
      <c r="K5418" s="12">
        <v>13.0</v>
      </c>
      <c r="L5418" s="13" t="str">
        <f>IF(D5418&lt;&gt;"",VLOOKUP(H5418,TABLEITEM,2,FALSE),"")</f>
        <v/>
      </c>
      <c r="M5418" s="13" t="str">
        <f>IF(D5418&lt;&gt;"",VLOOKUP(H5418,TABLEITEM,3,FALSE),"")</f>
        <v>กระดาษกาว 2หน้าสีขาว</v>
      </c>
      <c r="N5418" s="14">
        <f>INSTOCK!$I5418*INSTOCK!$K5418</f>
        <v>260</v>
      </c>
      <c r="O5418" s="4"/>
      <c r="P5418" s="4"/>
    </row>
    <row r="5419" ht="15.75" customHeight="1">
      <c r="B5419" s="8">
        <v>5743.0</v>
      </c>
      <c r="C5419" s="9">
        <v>43694.0</v>
      </c>
      <c r="D5419" s="6" t="s">
        <v>6490</v>
      </c>
      <c r="E5419" s="4">
        <v>6.208001222E9</v>
      </c>
      <c r="F5419" s="8" t="s">
        <v>604</v>
      </c>
      <c r="G5419" s="4" t="s">
        <v>1033</v>
      </c>
      <c r="H5419" s="10" t="s">
        <v>1176</v>
      </c>
      <c r="I5419" s="10">
        <v>300.0</v>
      </c>
      <c r="J5419" s="11" t="str">
        <f>IF(D5419&lt;&gt;"",VLOOKUP(H5419,TABLEITEM,5,FALSE),"")</f>
        <v>EA</v>
      </c>
      <c r="K5419" s="12">
        <v>5.0</v>
      </c>
      <c r="L5419" s="13" t="str">
        <f>IF(D5419&lt;&gt;"",VLOOKUP(H5419,TABLEITEM,2,FALSE),"")</f>
        <v/>
      </c>
      <c r="M5419" s="13" t="str">
        <f>IF(D5419&lt;&gt;"",VLOOKUP(H5419,TABLEITEM,3,FALSE),"")</f>
        <v>กระดาษทรายกลม#80</v>
      </c>
      <c r="N5419" s="14">
        <f>INSTOCK!$I5419*INSTOCK!$K5419</f>
        <v>1500</v>
      </c>
      <c r="O5419" s="4"/>
      <c r="P5419" s="4"/>
    </row>
    <row r="5420" ht="15.75" customHeight="1">
      <c r="B5420" s="8">
        <v>5744.0</v>
      </c>
      <c r="C5420" s="9">
        <v>43693.0</v>
      </c>
      <c r="D5420" s="6">
        <v>6.20804797E8</v>
      </c>
      <c r="E5420" s="4">
        <v>6.208001223E9</v>
      </c>
      <c r="F5420" s="8" t="s">
        <v>6213</v>
      </c>
      <c r="G5420" s="4" t="s">
        <v>1130</v>
      </c>
      <c r="H5420" s="10" t="s">
        <v>245</v>
      </c>
      <c r="I5420" s="10">
        <v>5000.0</v>
      </c>
      <c r="J5420" s="11" t="str">
        <f>IF(D5420&lt;&gt;"",VLOOKUP(H5420,TABLEITEM,5,FALSE),"")</f>
        <v>EA</v>
      </c>
      <c r="K5420" s="12">
        <v>0.63</v>
      </c>
      <c r="L5420" s="13" t="str">
        <f>IF(D5420&lt;&gt;"",VLOOKUP(H5420,TABLEITEM,2,FALSE),"")</f>
        <v/>
      </c>
      <c r="M5420" s="13" t="str">
        <f>IF(D5420&lt;&gt;"",VLOOKUP(H5420,TABLEITEM,3,FALSE),"")</f>
        <v>หางปลาแฉกเปลือย Y1.5-3S</v>
      </c>
      <c r="N5420" s="14">
        <f>INSTOCK!$I5420*INSTOCK!$K5420</f>
        <v>3150</v>
      </c>
      <c r="O5420" s="4" t="s">
        <v>1830</v>
      </c>
      <c r="P5420" s="4"/>
    </row>
    <row r="5421" ht="15.75" customHeight="1">
      <c r="B5421" s="8">
        <v>5745.0</v>
      </c>
      <c r="C5421" s="9">
        <v>43693.0</v>
      </c>
      <c r="D5421" s="6">
        <v>6.20804797E8</v>
      </c>
      <c r="E5421" s="4">
        <v>6.208001223E9</v>
      </c>
      <c r="F5421" s="8" t="s">
        <v>6213</v>
      </c>
      <c r="G5421" s="4" t="s">
        <v>1130</v>
      </c>
      <c r="H5421" s="10" t="s">
        <v>6266</v>
      </c>
      <c r="I5421" s="10">
        <v>2.0</v>
      </c>
      <c r="J5421" s="11" t="str">
        <f>IF(D5421&lt;&gt;"",VLOOKUP(H5421,TABLEITEM,5,FALSE),"")</f>
        <v>EA</v>
      </c>
      <c r="K5421" s="12">
        <v>50.0</v>
      </c>
      <c r="L5421" s="13" t="str">
        <f>IF(D5421&lt;&gt;"",VLOOKUP(H5421,TABLEITEM,2,FALSE),"")</f>
        <v/>
      </c>
      <c r="M5421" s="13" t="str">
        <f>IF(D5421&lt;&gt;"",VLOOKUP(H5421,TABLEITEM,3,FALSE),"")</f>
        <v>ฐานสวิตช์หัวเห็ด CP939</v>
      </c>
      <c r="N5421" s="14">
        <f>INSTOCK!$I5421*INSTOCK!$K5421</f>
        <v>100</v>
      </c>
      <c r="O5421" s="4"/>
      <c r="P5421" s="4"/>
    </row>
    <row r="5422" ht="15.75" customHeight="1">
      <c r="B5422" s="8">
        <v>5746.0</v>
      </c>
      <c r="C5422" s="9">
        <v>43693.0</v>
      </c>
      <c r="D5422" s="6">
        <v>39821.0</v>
      </c>
      <c r="E5422" s="4">
        <v>6.208001213E9</v>
      </c>
      <c r="F5422" s="8" t="s">
        <v>604</v>
      </c>
      <c r="G5422" s="4" t="s">
        <v>696</v>
      </c>
      <c r="H5422" s="10" t="s">
        <v>2730</v>
      </c>
      <c r="I5422" s="10">
        <v>24.0</v>
      </c>
      <c r="J5422" s="11" t="str">
        <f>IF(D5422&lt;&gt;"",VLOOKUP(H5422,TABLEITEM,5,FALSE),"")</f>
        <v>EA</v>
      </c>
      <c r="K5422" s="12">
        <v>46.0</v>
      </c>
      <c r="L5422" s="13" t="str">
        <f>IF(D5422&lt;&gt;"",VLOOKUP(H5422,TABLEITEM,2,FALSE),"")</f>
        <v/>
      </c>
      <c r="M5422" s="13" t="str">
        <f>IF(D5422&lt;&gt;"",VLOOKUP(H5422,TABLEITEM,3,FALSE),"")</f>
        <v>กระดาษกาวย่น INTER ขนาด 2"x45 หลา</v>
      </c>
      <c r="N5422" s="14">
        <f>INSTOCK!$I5422*INSTOCK!$K5422</f>
        <v>1104</v>
      </c>
      <c r="O5422" s="4"/>
      <c r="P5422" s="4"/>
    </row>
    <row r="5423" ht="15.75" customHeight="1">
      <c r="B5423" s="8">
        <v>5747.0</v>
      </c>
      <c r="C5423" s="9">
        <v>43693.0</v>
      </c>
      <c r="D5423" s="6" t="s">
        <v>6491</v>
      </c>
      <c r="E5423" s="4"/>
      <c r="F5423" s="8" t="s">
        <v>801</v>
      </c>
      <c r="G5423" s="4" t="s">
        <v>1417</v>
      </c>
      <c r="H5423" s="10" t="s">
        <v>803</v>
      </c>
      <c r="I5423" s="10">
        <v>15.0</v>
      </c>
      <c r="J5423" s="11" t="str">
        <f>IF(D5423&lt;&gt;"",VLOOKUP(H5423,TABLEITEM,5,FALSE),"")</f>
        <v>ถัง</v>
      </c>
      <c r="K5423" s="12">
        <v>981.31</v>
      </c>
      <c r="L5423" s="13" t="str">
        <f>IF(D5423&lt;&gt;"",VLOOKUP(H5423,TABLEITEM,2,FALSE),"")</f>
        <v/>
      </c>
      <c r="M5423" s="13" t="str">
        <f>IF(D5423&lt;&gt;"",VLOOKUP(H5423,TABLEITEM,3,FALSE),"")</f>
        <v>แก๊สหุงต้ม 48กก</v>
      </c>
      <c r="N5423" s="14">
        <f>INSTOCK!$I5423*INSTOCK!$K5423</f>
        <v>14719.65</v>
      </c>
      <c r="O5423" s="4"/>
      <c r="P5423" s="4"/>
    </row>
    <row r="5424" ht="15.75" customHeight="1">
      <c r="B5424" s="8">
        <v>5748.0</v>
      </c>
      <c r="C5424" s="9">
        <v>43693.0</v>
      </c>
      <c r="D5424" s="6">
        <v>6.2080838E7</v>
      </c>
      <c r="E5424" s="4">
        <v>6.208001221E9</v>
      </c>
      <c r="F5424" s="8" t="s">
        <v>6492</v>
      </c>
      <c r="G5424" s="4" t="s">
        <v>711</v>
      </c>
      <c r="H5424" s="10" t="s">
        <v>790</v>
      </c>
      <c r="I5424" s="10">
        <v>20.0</v>
      </c>
      <c r="J5424" s="11" t="str">
        <f>IF(D5424&lt;&gt;"",VLOOKUP(H5424,TABLEITEM,5,FALSE),"")</f>
        <v>KG.</v>
      </c>
      <c r="K5424" s="12">
        <v>161.5</v>
      </c>
      <c r="L5424" s="13" t="str">
        <f>IF(D5424&lt;&gt;"",VLOOKUP(H5424,TABLEITEM,2,FALSE),"")</f>
        <v/>
      </c>
      <c r="M5424" s="13" t="str">
        <f>IF(D5424&lt;&gt;"",VLOOKUP(H5424,TABLEITEM,3,FALSE),"")</f>
        <v>สีฝุ่น M50170AN สีน้ำเงิน</v>
      </c>
      <c r="N5424" s="14">
        <f>INSTOCK!$I5424*INSTOCK!$K5424</f>
        <v>3230</v>
      </c>
      <c r="O5424" s="4" t="s">
        <v>792</v>
      </c>
      <c r="P5424" s="4"/>
    </row>
    <row r="5425" ht="15.75" customHeight="1">
      <c r="B5425" s="8">
        <v>5749.0</v>
      </c>
      <c r="C5425" s="9">
        <v>43692.0</v>
      </c>
      <c r="D5425" s="6" t="s">
        <v>6493</v>
      </c>
      <c r="E5425" s="4">
        <v>6.208001219E9</v>
      </c>
      <c r="F5425" s="8" t="s">
        <v>6145</v>
      </c>
      <c r="G5425" s="4" t="s">
        <v>6173</v>
      </c>
      <c r="H5425" s="10" t="s">
        <v>6494</v>
      </c>
      <c r="I5425" s="10">
        <v>1.0</v>
      </c>
      <c r="J5425" s="11" t="str">
        <f>IF(D5425&lt;&gt;"",VLOOKUP(H5425,TABLEITEM,5,FALSE),"")</f>
        <v>EA</v>
      </c>
      <c r="K5425" s="12">
        <v>2500.0</v>
      </c>
      <c r="L5425" s="13" t="str">
        <f>IF(D5425&lt;&gt;"",VLOOKUP(H5425,TABLEITEM,2,FALSE),"")</f>
        <v/>
      </c>
      <c r="M5425" s="13" t="str">
        <f>IF(D5425&lt;&gt;"",VLOOKUP(H5425,TABLEITEM,3,FALSE),"")</f>
        <v>CABLE FOR FX GT01-C100RA-8P</v>
      </c>
      <c r="N5425" s="14">
        <f>INSTOCK!$I5425*INSTOCK!$K5425</f>
        <v>2500</v>
      </c>
      <c r="O5425" s="4"/>
      <c r="P5425" s="4"/>
    </row>
    <row r="5426" ht="15.75" customHeight="1">
      <c r="B5426" s="8">
        <v>5750.0</v>
      </c>
      <c r="C5426" s="9">
        <v>43694.0</v>
      </c>
      <c r="D5426" s="6" t="s">
        <v>6495</v>
      </c>
      <c r="E5426" s="4"/>
      <c r="F5426" s="8" t="s">
        <v>6496</v>
      </c>
      <c r="G5426" s="4" t="s">
        <v>3029</v>
      </c>
      <c r="H5426" s="10" t="s">
        <v>3030</v>
      </c>
      <c r="I5426" s="10">
        <v>1.0</v>
      </c>
      <c r="J5426" s="11" t="str">
        <f>IF(D5426&lt;&gt;"",VLOOKUP(H5426,TABLEITEM,5,FALSE),"")</f>
        <v>LOT</v>
      </c>
      <c r="K5426" s="12">
        <v>500.0</v>
      </c>
      <c r="L5426" s="13" t="str">
        <f>IF(D5426&lt;&gt;"",VLOOKUP(H5426,TABLEITEM,2,FALSE),"")</f>
        <v/>
      </c>
      <c r="M5426" s="13" t="str">
        <f>IF(D5426&lt;&gt;"",VLOOKUP(H5426,TABLEITEM,3,FALSE),"")</f>
        <v>ค่าชุบ ดีบุกเงา</v>
      </c>
      <c r="N5426" s="14">
        <f>INSTOCK!$I5426*INSTOCK!$K5426</f>
        <v>500</v>
      </c>
      <c r="O5426" s="4" t="s">
        <v>6497</v>
      </c>
      <c r="P5426" s="4"/>
    </row>
    <row r="5427" ht="15.75" customHeight="1">
      <c r="B5427" s="8">
        <v>5751.0</v>
      </c>
      <c r="C5427" s="9">
        <v>43694.0</v>
      </c>
      <c r="D5427" s="6" t="s">
        <v>6498</v>
      </c>
      <c r="E5427" s="4">
        <v>6.208001224E9</v>
      </c>
      <c r="F5427" s="8" t="s">
        <v>6213</v>
      </c>
      <c r="G5427" s="4" t="s">
        <v>1446</v>
      </c>
      <c r="H5427" s="10" t="s">
        <v>6482</v>
      </c>
      <c r="I5427" s="10">
        <v>1.0</v>
      </c>
      <c r="J5427" s="11" t="str">
        <f>IF(D5427&lt;&gt;"",VLOOKUP(H5427,TABLEITEM,5,FALSE),"")</f>
        <v>EA</v>
      </c>
      <c r="K5427" s="12">
        <v>900.0</v>
      </c>
      <c r="L5427" s="13" t="str">
        <f>IF(D5427&lt;&gt;"",VLOOKUP(H5427,TABLEITEM,2,FALSE),"")</f>
        <v/>
      </c>
      <c r="M5427" s="13" t="str">
        <f>IF(D5427&lt;&gt;"",VLOOKUP(H5427,TABLEITEM,3,FALSE),"")</f>
        <v>คาปาซิเตอร์ 02DRCW4 EMI 2A</v>
      </c>
      <c r="N5427" s="14">
        <f>INSTOCK!$I5427*INSTOCK!$K5427</f>
        <v>900</v>
      </c>
      <c r="O5427" s="4"/>
      <c r="P5427" s="4"/>
    </row>
    <row r="5428" ht="15.75" customHeight="1">
      <c r="B5428" s="8">
        <v>5752.0</v>
      </c>
      <c r="C5428" s="9">
        <v>43696.0</v>
      </c>
      <c r="D5428" s="6" t="s">
        <v>6499</v>
      </c>
      <c r="E5428" s="4">
        <v>6.208001218E9</v>
      </c>
      <c r="F5428" s="8" t="s">
        <v>2449</v>
      </c>
      <c r="G5428" s="4" t="s">
        <v>1985</v>
      </c>
      <c r="H5428" s="10" t="s">
        <v>2557</v>
      </c>
      <c r="I5428" s="10">
        <v>1.0</v>
      </c>
      <c r="J5428" s="11" t="str">
        <f>IF(D5428&lt;&gt;"",VLOOKUP(H5428,TABLEITEM,5,FALSE),"")</f>
        <v>คู่</v>
      </c>
      <c r="K5428" s="12">
        <v>560.0</v>
      </c>
      <c r="L5428" s="13" t="str">
        <f>IF(D5428&lt;&gt;"",VLOOKUP(H5428,TABLEITEM,2,FALSE),"")</f>
        <v/>
      </c>
      <c r="M5428" s="13" t="str">
        <f>IF(D5428&lt;&gt;"",VLOOKUP(H5428,TABLEITEM,3,FALSE),"")</f>
        <v>รองเท้าหุ้มส้นพื้นยาง CB800</v>
      </c>
      <c r="N5428" s="14">
        <f>INSTOCK!$I5428*INSTOCK!$K5428</f>
        <v>560</v>
      </c>
      <c r="O5428" s="4" t="s">
        <v>6500</v>
      </c>
      <c r="P5428" s="4"/>
    </row>
    <row r="5429" ht="15.75" customHeight="1">
      <c r="B5429" s="8">
        <v>5753.0</v>
      </c>
      <c r="C5429" s="9">
        <v>43696.0</v>
      </c>
      <c r="D5429" s="6" t="s">
        <v>6501</v>
      </c>
      <c r="E5429" s="4">
        <v>6.208001227E9</v>
      </c>
      <c r="F5429" s="8" t="s">
        <v>604</v>
      </c>
      <c r="G5429" s="4" t="s">
        <v>617</v>
      </c>
      <c r="H5429" s="10" t="s">
        <v>558</v>
      </c>
      <c r="I5429" s="10">
        <v>50.0</v>
      </c>
      <c r="J5429" s="11" t="str">
        <f>IF(D5429&lt;&gt;"",VLOOKUP(H5429,TABLEITEM,5,FALSE),"")</f>
        <v>M</v>
      </c>
      <c r="K5429" s="12">
        <v>260.96</v>
      </c>
      <c r="L5429" s="13" t="str">
        <f>IF(D5429&lt;&gt;"",VLOOKUP(H5429,TABLEITEM,2,FALSE),"")</f>
        <v>Busbar</v>
      </c>
      <c r="M5429" s="13" t="str">
        <f>IF(D5429&lt;&gt;"",VLOOKUP(H5429,TABLEITEM,3,FALSE),"")</f>
        <v>บัสบาร์ทองแดง 25x5</v>
      </c>
      <c r="N5429" s="14">
        <f>INSTOCK!$I5429*INSTOCK!$K5429</f>
        <v>13048</v>
      </c>
      <c r="O5429" s="4" t="s">
        <v>6502</v>
      </c>
      <c r="P5429" s="4"/>
    </row>
    <row r="5430" ht="15.75" customHeight="1">
      <c r="B5430" s="8">
        <v>5754.0</v>
      </c>
      <c r="C5430" s="9">
        <v>43697.0</v>
      </c>
      <c r="D5430" s="6" t="s">
        <v>6503</v>
      </c>
      <c r="E5430" s="4">
        <v>6.20800123E9</v>
      </c>
      <c r="F5430" s="8" t="s">
        <v>604</v>
      </c>
      <c r="G5430" s="4" t="s">
        <v>743</v>
      </c>
      <c r="H5430" s="10" t="s">
        <v>75</v>
      </c>
      <c r="I5430" s="10">
        <v>200.0</v>
      </c>
      <c r="J5430" s="11" t="str">
        <f>IF(D5430&lt;&gt;"",VLOOKUP(H5430,TABLEITEM,5,FALSE),"")</f>
        <v>KG.</v>
      </c>
      <c r="K5430" s="12">
        <v>149.35</v>
      </c>
      <c r="L5430" s="13" t="str">
        <f>IF(D5430&lt;&gt;"",VLOOKUP(H5430,TABLEITEM,2,FALSE),"")</f>
        <v/>
      </c>
      <c r="M5430" s="13" t="str">
        <f>IF(D5430&lt;&gt;"",VLOOKUP(H5430,TABLEITEM,3,FALSE),"")</f>
        <v>สีฝุ่น สีครีมย่น 1002735PX20</v>
      </c>
      <c r="N5430" s="14">
        <f>INSTOCK!$I5430*INSTOCK!$K5430</f>
        <v>29870</v>
      </c>
      <c r="O5430" s="4"/>
      <c r="P5430" s="4"/>
    </row>
    <row r="5431" ht="15.75" customHeight="1">
      <c r="B5431" s="8">
        <v>5755.0</v>
      </c>
      <c r="C5431" s="9">
        <v>43697.0</v>
      </c>
      <c r="D5431" s="6">
        <v>39887.0</v>
      </c>
      <c r="E5431" s="4">
        <v>6.208001233E9</v>
      </c>
      <c r="F5431" s="8" t="s">
        <v>6504</v>
      </c>
      <c r="G5431" s="4" t="s">
        <v>696</v>
      </c>
      <c r="H5431" s="18" t="s">
        <v>5578</v>
      </c>
      <c r="I5431" s="10">
        <v>6.0</v>
      </c>
      <c r="J5431" s="11" t="str">
        <f>IF(D5431&lt;&gt;"",VLOOKUP(H5431,TABLEITEM,5,FALSE),"")</f>
        <v>EA</v>
      </c>
      <c r="K5431" s="12">
        <v>25.0</v>
      </c>
      <c r="L5431" s="13" t="str">
        <f>IF(D5431&lt;&gt;"",VLOOKUP(H5431,TABLEITEM,2,FALSE),"")</f>
        <v/>
      </c>
      <c r="M5431" s="13" t="str">
        <f>IF(D5431&lt;&gt;"",VLOOKUP(H5431,TABLEITEM,3,FALSE),"")</f>
        <v>สตัดเหล็ก M8 ยาว 1เมตร</v>
      </c>
      <c r="N5431" s="14">
        <f>INSTOCK!$I5431*INSTOCK!$K5431</f>
        <v>150</v>
      </c>
      <c r="O5431" s="4"/>
      <c r="P5431" s="4"/>
    </row>
    <row r="5432" ht="15.75" customHeight="1">
      <c r="B5432" s="8">
        <v>5756.0</v>
      </c>
      <c r="C5432" s="9">
        <v>43697.0</v>
      </c>
      <c r="D5432" s="6" t="s">
        <v>6505</v>
      </c>
      <c r="E5432" s="4"/>
      <c r="F5432" s="8" t="s">
        <v>6506</v>
      </c>
      <c r="G5432" s="4" t="s">
        <v>5883</v>
      </c>
      <c r="H5432" s="10" t="s">
        <v>3355</v>
      </c>
      <c r="I5432" s="10">
        <v>5.0</v>
      </c>
      <c r="J5432" s="11" t="str">
        <f>IF(D5432&lt;&gt;"",VLOOKUP(H5432,TABLEITEM,5,FALSE),"")</f>
        <v>EA</v>
      </c>
      <c r="K5432" s="12">
        <v>95.0</v>
      </c>
      <c r="L5432" s="13" t="str">
        <f>IF(D5432&lt;&gt;"",VLOOKUP(H5432,TABLEITEM,2,FALSE),"")</f>
        <v/>
      </c>
      <c r="M5432" s="13" t="str">
        <f>IF(D5432&lt;&gt;"",VLOOKUP(H5432,TABLEITEM,3,FALSE),"")</f>
        <v>ล้อไนล่อน 2" ล้อเป็นมีเบรค (4ตัวชุด)</v>
      </c>
      <c r="N5432" s="14">
        <f>INSTOCK!$I5432*INSTOCK!$K5432</f>
        <v>475</v>
      </c>
      <c r="O5432" s="4" t="s">
        <v>3356</v>
      </c>
      <c r="P5432" s="4"/>
    </row>
    <row r="5433" ht="15.75" customHeight="1">
      <c r="B5433" s="8">
        <v>5757.0</v>
      </c>
      <c r="C5433" s="9">
        <v>43697.0</v>
      </c>
      <c r="D5433" s="6" t="s">
        <v>6505</v>
      </c>
      <c r="E5433" s="4"/>
      <c r="F5433" s="8" t="s">
        <v>6506</v>
      </c>
      <c r="G5433" s="4" t="s">
        <v>5883</v>
      </c>
      <c r="H5433" s="10" t="s">
        <v>3353</v>
      </c>
      <c r="I5433" s="10">
        <v>5.0</v>
      </c>
      <c r="J5433" s="11" t="str">
        <f>IF(D5433&lt;&gt;"",VLOOKUP(H5433,TABLEITEM,5,FALSE),"")</f>
        <v>EA</v>
      </c>
      <c r="K5433" s="12">
        <v>66.5</v>
      </c>
      <c r="L5433" s="13" t="str">
        <f>IF(D5433&lt;&gt;"",VLOOKUP(H5433,TABLEITEM,2,FALSE),"")</f>
        <v/>
      </c>
      <c r="M5433" s="13" t="str">
        <f>IF(D5433&lt;&gt;"",VLOOKUP(H5433,TABLEITEM,3,FALSE),"")</f>
        <v>ล้อไนล่อน 2" ล้อตาย (4ตัวชุด)</v>
      </c>
      <c r="N5433" s="14">
        <f>INSTOCK!$I5433*INSTOCK!$K5433</f>
        <v>332.5</v>
      </c>
      <c r="O5433" s="4" t="s">
        <v>3354</v>
      </c>
      <c r="P5433" s="4"/>
    </row>
    <row r="5434" ht="15.75" customHeight="1">
      <c r="B5434" s="8">
        <v>5758.0</v>
      </c>
      <c r="C5434" s="9">
        <v>43700.0</v>
      </c>
      <c r="D5434" s="6" t="s">
        <v>6507</v>
      </c>
      <c r="E5434" s="4">
        <v>6.208001251E9</v>
      </c>
      <c r="F5434" s="8" t="s">
        <v>6508</v>
      </c>
      <c r="G5434" s="4" t="s">
        <v>1516</v>
      </c>
      <c r="H5434" s="10" t="s">
        <v>5225</v>
      </c>
      <c r="I5434" s="10">
        <v>1.0</v>
      </c>
      <c r="J5434" s="11" t="str">
        <f>IF(D5434&lt;&gt;"",VLOOKUP(H5434,TABLEITEM,5,FALSE),"")</f>
        <v>EA</v>
      </c>
      <c r="K5434" s="12">
        <v>9560.0</v>
      </c>
      <c r="L5434" s="13"/>
      <c r="M5434" s="13" t="str">
        <f>IF(D5434&lt;&gt;"",VLOOKUP(H5434,TABLEITEM,3,FALSE),"")</f>
        <v>MOTOT MECHANISM (MCH) 220V FOR NSX400/630</v>
      </c>
      <c r="N5434" s="14">
        <f>INSTOCK!$I5434*INSTOCK!$K5434</f>
        <v>9560</v>
      </c>
      <c r="O5434" s="4" t="s">
        <v>6509</v>
      </c>
      <c r="P5434" s="4"/>
    </row>
    <row r="5435" ht="15.75" customHeight="1">
      <c r="B5435" s="8">
        <v>5759.0</v>
      </c>
      <c r="C5435" s="9">
        <v>43700.0</v>
      </c>
      <c r="D5435" s="6" t="s">
        <v>6510</v>
      </c>
      <c r="E5435" s="4">
        <v>6.208001248E9</v>
      </c>
      <c r="F5435" s="8" t="s">
        <v>3759</v>
      </c>
      <c r="G5435" s="4" t="s">
        <v>6442</v>
      </c>
      <c r="H5435" s="10" t="s">
        <v>2599</v>
      </c>
      <c r="I5435" s="10">
        <v>60.0</v>
      </c>
      <c r="J5435" s="11" t="str">
        <f>IF(D5435&lt;&gt;"",VLOOKUP(H5435,TABLEITEM,5,FALSE),"")</f>
        <v>KG.</v>
      </c>
      <c r="K5435" s="12">
        <v>122.0</v>
      </c>
      <c r="L5435" s="13"/>
      <c r="M5435" s="13" t="str">
        <f>IF(D5435&lt;&gt;"",VLOOKUP(H5435,TABLEITEM,3,FALSE),"")</f>
        <v>สีฝุ่น P9001A  สีเทาดำ</v>
      </c>
      <c r="N5435" s="14">
        <f>INSTOCK!$I5435*INSTOCK!$K5435</f>
        <v>7320</v>
      </c>
      <c r="O5435" s="4"/>
      <c r="P5435" s="4"/>
    </row>
    <row r="5436" ht="15.75" customHeight="1">
      <c r="B5436" s="8">
        <v>5760.0</v>
      </c>
      <c r="C5436" s="9">
        <v>43700.0</v>
      </c>
      <c r="D5436" s="6" t="s">
        <v>6510</v>
      </c>
      <c r="E5436" s="4">
        <v>6.208001248E9</v>
      </c>
      <c r="F5436" s="8" t="s">
        <v>3759</v>
      </c>
      <c r="G5436" s="4" t="s">
        <v>6442</v>
      </c>
      <c r="H5436" s="10" t="s">
        <v>2537</v>
      </c>
      <c r="I5436" s="10">
        <v>60.0</v>
      </c>
      <c r="J5436" s="11" t="str">
        <f>IF(D5436&lt;&gt;"",VLOOKUP(H5436,TABLEITEM,5,FALSE),"")</f>
        <v>KG.</v>
      </c>
      <c r="K5436" s="12">
        <v>122.0</v>
      </c>
      <c r="L5436" s="13" t="str">
        <f>IF(D5436&lt;&gt;"",VLOOKUP(H5436,TABLEITEM,2,FALSE),"")</f>
        <v/>
      </c>
      <c r="M5436" s="13" t="str">
        <f>IF(D5436&lt;&gt;"",VLOOKUP(H5436,TABLEITEM,3,FALSE),"")</f>
        <v>สีฝุ่น L4001  สีส้มภายนอก P2049A</v>
      </c>
      <c r="N5436" s="14">
        <f>INSTOCK!$I5436*INSTOCK!$K5436</f>
        <v>7320</v>
      </c>
      <c r="O5436" s="4"/>
      <c r="P5436" s="4"/>
    </row>
    <row r="5437" ht="15.75" customHeight="1">
      <c r="B5437" s="8">
        <v>5761.0</v>
      </c>
      <c r="C5437" s="9">
        <v>43700.0</v>
      </c>
      <c r="D5437" s="6" t="s">
        <v>6511</v>
      </c>
      <c r="E5437" s="4">
        <v>6.208001249E9</v>
      </c>
      <c r="F5437" s="8" t="s">
        <v>6506</v>
      </c>
      <c r="G5437" s="4" t="s">
        <v>1258</v>
      </c>
      <c r="H5437" s="10" t="s">
        <v>1259</v>
      </c>
      <c r="I5437" s="10">
        <v>20.0</v>
      </c>
      <c r="J5437" s="11" t="str">
        <f>IF(D5437&lt;&gt;"",VLOOKUP(H5437,TABLEITEM,5,FALSE),"")</f>
        <v>KG.</v>
      </c>
      <c r="K5437" s="12">
        <v>130.0</v>
      </c>
      <c r="L5437" s="13" t="str">
        <f>IF(D5437&lt;&gt;"",VLOOKUP(H5437,TABLEITEM,2,FALSE),"")</f>
        <v/>
      </c>
      <c r="M5437" s="13" t="str">
        <f>IF(D5437&lt;&gt;"",VLOOKUP(H5437,TABLEITEM,3,FALSE),"")</f>
        <v>สีฝุ่น HB 45206 M BLACK MATT</v>
      </c>
      <c r="N5437" s="14">
        <f>INSTOCK!$I5437*INSTOCK!$K5437</f>
        <v>2600</v>
      </c>
      <c r="O5437" s="4"/>
      <c r="P5437" s="4"/>
    </row>
    <row r="5438" ht="15.75" customHeight="1">
      <c r="B5438" s="8">
        <v>5762.0</v>
      </c>
      <c r="C5438" s="9">
        <v>43698.0</v>
      </c>
      <c r="D5438" s="6" t="s">
        <v>6512</v>
      </c>
      <c r="E5438" s="4">
        <v>6.208001236E9</v>
      </c>
      <c r="F5438" s="8" t="s">
        <v>6513</v>
      </c>
      <c r="G5438" s="4" t="s">
        <v>1479</v>
      </c>
      <c r="H5438" s="18" t="s">
        <v>3773</v>
      </c>
      <c r="I5438" s="10">
        <v>500.0</v>
      </c>
      <c r="J5438" s="11" t="str">
        <f>IF(D5438&lt;&gt;"",VLOOKUP(H5438,TABLEITEM,5,FALSE),"")</f>
        <v>EA</v>
      </c>
      <c r="K5438" s="12">
        <v>11.0</v>
      </c>
      <c r="L5438" s="13" t="str">
        <f>IF(D5438&lt;&gt;"",VLOOKUP(H5438,TABLEITEM,2,FALSE),"")</f>
        <v/>
      </c>
      <c r="M5438" s="13" t="str">
        <f>IF(D5438&lt;&gt;"",VLOOKUP(H5438,TABLEITEM,3,FALSE),"")</f>
        <v>Feed-Through Block ,Grey WT2.5 #58.503.0055.0</v>
      </c>
      <c r="N5438" s="14">
        <f>INSTOCK!$I5438*INSTOCK!$K5438</f>
        <v>5500</v>
      </c>
      <c r="O5438" s="4"/>
      <c r="P5438" s="4"/>
    </row>
    <row r="5439" ht="15.75" customHeight="1">
      <c r="B5439" s="8">
        <v>5763.0</v>
      </c>
      <c r="C5439" s="9">
        <v>43698.0</v>
      </c>
      <c r="D5439" s="6" t="s">
        <v>6512</v>
      </c>
      <c r="E5439" s="4">
        <v>6.208001236E9</v>
      </c>
      <c r="F5439" s="8" t="s">
        <v>6513</v>
      </c>
      <c r="G5439" s="4" t="s">
        <v>1479</v>
      </c>
      <c r="H5439" s="18" t="s">
        <v>3774</v>
      </c>
      <c r="I5439" s="10">
        <v>50.0</v>
      </c>
      <c r="J5439" s="11" t="str">
        <f>IF(D5439&lt;&gt;"",VLOOKUP(H5439,TABLEITEM,5,FALSE),"")</f>
        <v>EA</v>
      </c>
      <c r="K5439" s="12">
        <v>15.58</v>
      </c>
      <c r="L5439" s="13" t="str">
        <f>IF(D5439&lt;&gt;"",VLOOKUP(H5439,TABLEITEM,2,FALSE),"")</f>
        <v/>
      </c>
      <c r="M5439" s="13" t="str">
        <f>IF(D5439&lt;&gt;"",VLOOKUP(H5439,TABLEITEM,3,FALSE),"")</f>
        <v>End Plate WT2.5-10 #07.313.2555.0</v>
      </c>
      <c r="N5439" s="14">
        <f>INSTOCK!$I5439*INSTOCK!$K5439</f>
        <v>779</v>
      </c>
      <c r="O5439" s="4"/>
      <c r="P5439" s="4"/>
    </row>
    <row r="5440" ht="15.75" customHeight="1">
      <c r="B5440" s="8">
        <v>5764.0</v>
      </c>
      <c r="C5440" s="9">
        <v>43699.0</v>
      </c>
      <c r="D5440" s="6" t="s">
        <v>6514</v>
      </c>
      <c r="E5440" s="4">
        <v>6.208001225E9</v>
      </c>
      <c r="F5440" s="8" t="s">
        <v>6515</v>
      </c>
      <c r="G5440" s="4" t="s">
        <v>2701</v>
      </c>
      <c r="H5440" s="10" t="s">
        <v>6516</v>
      </c>
      <c r="I5440" s="10">
        <v>2.0</v>
      </c>
      <c r="J5440" s="11" t="str">
        <f>IF(D5440&lt;&gt;"",VLOOKUP(H5440,TABLEITEM,5,FALSE),"")</f>
        <v>LOT</v>
      </c>
      <c r="K5440" s="12">
        <v>8200.0</v>
      </c>
      <c r="L5440" s="13" t="str">
        <f>IF(D5440&lt;&gt;"",VLOOKUP(H5440,TABLEITEM,2,FALSE),"")</f>
        <v/>
      </c>
      <c r="M5440" s="13" t="str">
        <f>IF(D5440&lt;&gt;"",VLOOKUP(H5440,TABLEITEM,3,FALSE),"")</f>
        <v>ค่าบริการตรวจเช็คสภาพเครน NO.1 NO.2</v>
      </c>
      <c r="N5440" s="14">
        <f>INSTOCK!$I5440*INSTOCK!$K5440</f>
        <v>16400</v>
      </c>
      <c r="O5440" s="4"/>
      <c r="P5440" s="4"/>
    </row>
    <row r="5441" ht="15.75" customHeight="1">
      <c r="B5441" s="8">
        <v>5765.0</v>
      </c>
      <c r="C5441" s="9">
        <v>43692.0</v>
      </c>
      <c r="D5441" s="6" t="s">
        <v>6517</v>
      </c>
      <c r="E5441" s="4"/>
      <c r="F5441" s="8" t="s">
        <v>1973</v>
      </c>
      <c r="G5441" s="4" t="s">
        <v>6518</v>
      </c>
      <c r="H5441" s="10" t="s">
        <v>6519</v>
      </c>
      <c r="I5441" s="10">
        <v>1.0</v>
      </c>
      <c r="J5441" s="11" t="str">
        <f>IF(D5441&lt;&gt;"",VLOOKUP(H5441,TABLEITEM,5,FALSE),"")</f>
        <v>EA</v>
      </c>
      <c r="K5441" s="12">
        <v>39000.0</v>
      </c>
      <c r="L5441" s="13" t="str">
        <f>IF(D5441&lt;&gt;"",VLOOKUP(H5441,TABLEITEM,2,FALSE),"")</f>
        <v/>
      </c>
      <c r="M5441" s="13" t="str">
        <f>IF(D5441&lt;&gt;"",VLOOKUP(H5441,TABLEITEM,3,FALSE),"")</f>
        <v>เครื่องพ่นสีแรงดันสูง AIRESS SPRAYER RB899</v>
      </c>
      <c r="N5441" s="14">
        <f>INSTOCK!$I5441*INSTOCK!$K5441</f>
        <v>39000</v>
      </c>
      <c r="O5441" s="4"/>
      <c r="P5441" s="4"/>
    </row>
    <row r="5442" ht="15.75" customHeight="1">
      <c r="B5442" s="8">
        <v>5766.0</v>
      </c>
      <c r="C5442" s="9">
        <v>43699.0</v>
      </c>
      <c r="D5442" s="6" t="s">
        <v>6520</v>
      </c>
      <c r="E5442" s="4">
        <v>6.208001245E9</v>
      </c>
      <c r="F5442" s="8" t="s">
        <v>6521</v>
      </c>
      <c r="G5442" s="4" t="s">
        <v>1904</v>
      </c>
      <c r="H5442" s="10" t="s">
        <v>6522</v>
      </c>
      <c r="I5442" s="10">
        <v>1.0</v>
      </c>
      <c r="J5442" s="11" t="str">
        <f>IF(D5442&lt;&gt;"",VLOOKUP(H5442,TABLEITEM,5,FALSE),"")</f>
        <v>EA</v>
      </c>
      <c r="K5442" s="12">
        <v>2293.2</v>
      </c>
      <c r="L5442" s="13" t="str">
        <f>IF(D5442&lt;&gt;"",VLOOKUP(H5442,TABLEITEM,2,FALSE),"")</f>
        <v/>
      </c>
      <c r="M5442" s="13" t="str">
        <f>IF(D5442&lt;&gt;"",VLOOKUP(H5442,TABLEITEM,3,FALSE),"")</f>
        <v>Temperature #E5CC-RX2ASM-800</v>
      </c>
      <c r="N5442" s="14">
        <f>INSTOCK!$I5442*INSTOCK!$K5442</f>
        <v>2293.2</v>
      </c>
      <c r="O5442" s="4" t="s">
        <v>6523</v>
      </c>
      <c r="P5442" s="4"/>
    </row>
    <row r="5443" ht="15.75" customHeight="1">
      <c r="B5443" s="8">
        <v>5767.0</v>
      </c>
      <c r="C5443" s="9">
        <v>43699.0</v>
      </c>
      <c r="D5443" s="6" t="s">
        <v>6524</v>
      </c>
      <c r="E5443" s="4">
        <v>6.208001241E9</v>
      </c>
      <c r="F5443" s="8" t="s">
        <v>6399</v>
      </c>
      <c r="G5443" s="4" t="s">
        <v>1611</v>
      </c>
      <c r="H5443" s="10" t="s">
        <v>193</v>
      </c>
      <c r="I5443" s="10">
        <v>80.0</v>
      </c>
      <c r="J5443" s="11" t="str">
        <f>IF(D5443&lt;&gt;"",VLOOKUP(H5443,TABLEITEM,5,FALSE),"")</f>
        <v>EA</v>
      </c>
      <c r="K5443" s="12">
        <v>35.0</v>
      </c>
      <c r="L5443" s="13" t="str">
        <f>IF(D5443&lt;&gt;"",VLOOKUP(H5443,TABLEITEM,2,FALSE),"")</f>
        <v/>
      </c>
      <c r="M5443" s="13" t="str">
        <f>IF(D5443&lt;&gt;"",VLOOKUP(H5443,TABLEITEM,3,FALSE),"")</f>
        <v>TERMINAL BLOCK TX60</v>
      </c>
      <c r="N5443" s="14">
        <f>INSTOCK!$I5443*INSTOCK!$K5443</f>
        <v>2800</v>
      </c>
      <c r="O5443" s="4"/>
      <c r="P5443" s="4"/>
    </row>
    <row r="5444" ht="15.75" customHeight="1">
      <c r="B5444" s="8">
        <v>5768.0</v>
      </c>
      <c r="C5444" s="9">
        <v>43699.0</v>
      </c>
      <c r="D5444" s="6" t="s">
        <v>6524</v>
      </c>
      <c r="E5444" s="4">
        <v>6.208001241E9</v>
      </c>
      <c r="F5444" s="8" t="s">
        <v>6399</v>
      </c>
      <c r="G5444" s="4" t="s">
        <v>1611</v>
      </c>
      <c r="H5444" s="10" t="s">
        <v>195</v>
      </c>
      <c r="I5444" s="10">
        <v>60.0</v>
      </c>
      <c r="J5444" s="11" t="str">
        <f>IF(D5444&lt;&gt;"",VLOOKUP(H5444,TABLEITEM,5,FALSE),"")</f>
        <v>EA</v>
      </c>
      <c r="K5444" s="12">
        <v>75.0</v>
      </c>
      <c r="L5444" s="13" t="str">
        <f>IF(D5444&lt;&gt;"",VLOOKUP(H5444,TABLEITEM,2,FALSE),"")</f>
        <v/>
      </c>
      <c r="M5444" s="13" t="str">
        <f>IF(D5444&lt;&gt;"",VLOOKUP(H5444,TABLEITEM,3,FALSE),"")</f>
        <v>TERMINAL BLOCK TX100</v>
      </c>
      <c r="N5444" s="14">
        <f>INSTOCK!$I5444*INSTOCK!$K5444</f>
        <v>4500</v>
      </c>
      <c r="O5444" s="4"/>
      <c r="P5444" s="4"/>
    </row>
    <row r="5445" ht="15.75" customHeight="1">
      <c r="B5445" s="8">
        <v>5769.0</v>
      </c>
      <c r="C5445" s="9">
        <v>43698.0</v>
      </c>
      <c r="D5445" s="6">
        <v>6208469.0</v>
      </c>
      <c r="E5445" s="4">
        <v>6.208001242E9</v>
      </c>
      <c r="F5445" s="8" t="s">
        <v>6399</v>
      </c>
      <c r="G5445" s="4" t="s">
        <v>1100</v>
      </c>
      <c r="H5445" s="10" t="s">
        <v>293</v>
      </c>
      <c r="I5445" s="10">
        <v>1000.0</v>
      </c>
      <c r="J5445" s="11" t="str">
        <f>IF(D5445&lt;&gt;"",VLOOKUP(H5445,TABLEITEM,5,FALSE),"")</f>
        <v>EA</v>
      </c>
      <c r="K5445" s="12">
        <v>4.7288</v>
      </c>
      <c r="L5445" s="13" t="str">
        <f>IF(D5445&lt;&gt;"",VLOOKUP(H5445,TABLEITEM,2,FALSE),"")</f>
        <v/>
      </c>
      <c r="M5445" s="13" t="str">
        <f>IF(D5445&lt;&gt;"",VLOOKUP(H5445,TABLEITEM,3,FALSE),"")</f>
        <v>หางปลากลมเปลือย 14-6</v>
      </c>
      <c r="N5445" s="14">
        <f>INSTOCK!$I5445*INSTOCK!$K5445</f>
        <v>4728.8</v>
      </c>
      <c r="O5445" s="4" t="s">
        <v>1843</v>
      </c>
      <c r="P5445" s="4"/>
    </row>
    <row r="5446" ht="15.75" customHeight="1">
      <c r="B5446" s="8">
        <v>5770.0</v>
      </c>
      <c r="C5446" s="9">
        <v>43697.0</v>
      </c>
      <c r="D5446" s="6">
        <v>6.208106E7</v>
      </c>
      <c r="E5446" s="4">
        <v>6.208001234E9</v>
      </c>
      <c r="F5446" s="8" t="s">
        <v>6525</v>
      </c>
      <c r="G5446" s="4" t="s">
        <v>711</v>
      </c>
      <c r="H5446" s="10" t="s">
        <v>712</v>
      </c>
      <c r="I5446" s="10">
        <v>20.0</v>
      </c>
      <c r="J5446" s="11" t="str">
        <f>IF(D5446&lt;&gt;"",VLOOKUP(H5446,TABLEITEM,5,FALSE),"")</f>
        <v>KG.</v>
      </c>
      <c r="K5446" s="12">
        <v>148.75</v>
      </c>
      <c r="L5446" s="13" t="str">
        <f>IF(D5446&lt;&gt;"",VLOOKUP(H5446,TABLEITEM,2,FALSE),"")</f>
        <v/>
      </c>
      <c r="M5446" s="13" t="str">
        <f>IF(D5446&lt;&gt;"",VLOOKUP(H5446,TABLEITEM,3,FALSE),"")</f>
        <v>สีฝุ่น M70460 CN</v>
      </c>
      <c r="N5446" s="14">
        <f>INSTOCK!$I5446*INSTOCK!$K5446</f>
        <v>2975</v>
      </c>
      <c r="O5446" s="4" t="s">
        <v>714</v>
      </c>
      <c r="P5446" s="4"/>
    </row>
    <row r="5447" ht="15.75" customHeight="1">
      <c r="B5447" s="8">
        <v>5771.0</v>
      </c>
      <c r="C5447" s="9">
        <v>43699.0</v>
      </c>
      <c r="D5447" s="6" t="s">
        <v>6526</v>
      </c>
      <c r="E5447" s="4">
        <v>6.20800124E9</v>
      </c>
      <c r="F5447" s="8" t="s">
        <v>6399</v>
      </c>
      <c r="G5447" s="4" t="s">
        <v>665</v>
      </c>
      <c r="H5447" s="10" t="s">
        <v>462</v>
      </c>
      <c r="I5447" s="10">
        <v>1500.0</v>
      </c>
      <c r="J5447" s="11" t="str">
        <f>IF(D5447&lt;&gt;"",VLOOKUP(H5447,TABLEITEM,5,FALSE),"")</f>
        <v>M</v>
      </c>
      <c r="K5447" s="12">
        <v>4.46</v>
      </c>
      <c r="L5447" s="13" t="str">
        <f>IF(D5447&lt;&gt;"",VLOOKUP(H5447,TABLEITEM,2,FALSE),"")</f>
        <v>wire</v>
      </c>
      <c r="M5447" s="13" t="str">
        <f>IF(D5447&lt;&gt;"",VLOOKUP(H5447,TABLEITEM,3,FALSE),"")</f>
        <v>สายไฟ VSF1x1 SQMM.สีเหลือง</v>
      </c>
      <c r="N5447" s="14">
        <f>INSTOCK!$I5447*INSTOCK!$K5447</f>
        <v>6690</v>
      </c>
      <c r="O5447" s="4"/>
      <c r="P5447" s="4"/>
    </row>
    <row r="5448" ht="15.75" customHeight="1">
      <c r="B5448" s="8">
        <v>5772.0</v>
      </c>
      <c r="C5448" s="9">
        <v>43699.0</v>
      </c>
      <c r="D5448" s="6" t="s">
        <v>6526</v>
      </c>
      <c r="E5448" s="4">
        <v>6.20800124E9</v>
      </c>
      <c r="F5448" s="8" t="s">
        <v>6399</v>
      </c>
      <c r="G5448" s="4" t="s">
        <v>665</v>
      </c>
      <c r="H5448" s="10" t="s">
        <v>1428</v>
      </c>
      <c r="I5448" s="10">
        <v>500.0</v>
      </c>
      <c r="J5448" s="11" t="str">
        <f>IF(D5448&lt;&gt;"",VLOOKUP(H5448,TABLEITEM,5,FALSE),"")</f>
        <v>M</v>
      </c>
      <c r="K5448" s="12">
        <v>4.46</v>
      </c>
      <c r="L5448" s="13" t="str">
        <f>IF(D5448&lt;&gt;"",VLOOKUP(H5448,TABLEITEM,2,FALSE),"")</f>
        <v>wire</v>
      </c>
      <c r="M5448" s="13" t="str">
        <f>IF(D5448&lt;&gt;"",VLOOKUP(H5448,TABLEITEM,3,FALSE),"")</f>
        <v>สายไฟ VSF1x1 SQMM.สีน้ำเงิน</v>
      </c>
      <c r="N5448" s="14">
        <f>INSTOCK!$I5448*INSTOCK!$K5448</f>
        <v>2230</v>
      </c>
      <c r="O5448" s="4"/>
      <c r="P5448" s="4"/>
    </row>
    <row r="5449" ht="15.75" customHeight="1">
      <c r="B5449" s="8">
        <v>5773.0</v>
      </c>
      <c r="C5449" s="9">
        <v>43697.0</v>
      </c>
      <c r="D5449" s="6" t="s">
        <v>6527</v>
      </c>
      <c r="E5449" s="4">
        <v>6.208001237E9</v>
      </c>
      <c r="F5449" s="8" t="s">
        <v>6528</v>
      </c>
      <c r="G5449" s="4" t="s">
        <v>1516</v>
      </c>
      <c r="H5449" s="10" t="s">
        <v>1615</v>
      </c>
      <c r="I5449" s="10">
        <v>5.0</v>
      </c>
      <c r="J5449" s="11" t="str">
        <f>IF(D5449&lt;&gt;"",VLOOKUP(H5449,TABLEITEM,5,FALSE),"")</f>
        <v>EA</v>
      </c>
      <c r="K5449" s="12">
        <v>198.0</v>
      </c>
      <c r="L5449" s="13" t="str">
        <f>IF(D5449&lt;&gt;"",VLOOKUP(H5449,TABLEITEM,2,FALSE),"")</f>
        <v/>
      </c>
      <c r="M5449" s="13" t="str">
        <f>IF(D5449&lt;&gt;"",VLOOKUP(H5449,TABLEITEM,3,FALSE),"")</f>
        <v>เพาเวอร์ปลั๊ก 3P 16A 230V</v>
      </c>
      <c r="N5449" s="14">
        <f>INSTOCK!$I5449*INSTOCK!$K5449</f>
        <v>990</v>
      </c>
      <c r="O5449" s="4" t="s">
        <v>6529</v>
      </c>
      <c r="P5449" s="4"/>
    </row>
    <row r="5450" ht="15.75" customHeight="1">
      <c r="B5450" s="8">
        <v>5774.0</v>
      </c>
      <c r="C5450" s="9">
        <v>43698.0</v>
      </c>
      <c r="D5450" s="6">
        <v>39906.0</v>
      </c>
      <c r="E5450" s="4">
        <v>6.208001239E9</v>
      </c>
      <c r="F5450" s="8" t="s">
        <v>6530</v>
      </c>
      <c r="G5450" s="4" t="s">
        <v>696</v>
      </c>
      <c r="H5450" s="10" t="s">
        <v>6531</v>
      </c>
      <c r="I5450" s="10">
        <v>8.0</v>
      </c>
      <c r="J5450" s="11" t="str">
        <f>IF(D5450&lt;&gt;"",VLOOKUP(H5450,TABLEITEM,5,FALSE),"")</f>
        <v>EA</v>
      </c>
      <c r="K5450" s="12">
        <v>30.0</v>
      </c>
      <c r="L5450" s="13" t="str">
        <f>IF(D5450&lt;&gt;"",VLOOKUP(H5450,TABLEITEM,2,FALSE),"")</f>
        <v/>
      </c>
      <c r="M5450" s="13" t="str">
        <f>IF(D5450&lt;&gt;"",VLOOKUP(H5450,TABLEITEM,3,FALSE),"")</f>
        <v>กลอนสเตนเลส 2"</v>
      </c>
      <c r="N5450" s="14">
        <f>INSTOCK!$I5450*INSTOCK!$K5450</f>
        <v>240</v>
      </c>
      <c r="O5450" s="4"/>
      <c r="P5450" s="4"/>
    </row>
    <row r="5451" ht="15.75" customHeight="1">
      <c r="B5451" s="8">
        <v>5775.0</v>
      </c>
      <c r="C5451" s="9">
        <v>43698.0</v>
      </c>
      <c r="D5451" s="6">
        <v>39906.0</v>
      </c>
      <c r="E5451" s="4">
        <v>6.208001239E9</v>
      </c>
      <c r="F5451" s="8" t="s">
        <v>6530</v>
      </c>
      <c r="G5451" s="4" t="s">
        <v>696</v>
      </c>
      <c r="H5451" s="10" t="s">
        <v>44</v>
      </c>
      <c r="I5451" s="10">
        <v>2.0</v>
      </c>
      <c r="J5451" s="11" t="str">
        <f>IF(D5451&lt;&gt;"",VLOOKUP(H5451,TABLEITEM,5,FALSE),"")</f>
        <v>ปี๊ป</v>
      </c>
      <c r="K5451" s="12">
        <v>350.0</v>
      </c>
      <c r="L5451" s="13" t="str">
        <f>IF(D5451&lt;&gt;"",VLOOKUP(H5451,TABLEITEM,2,FALSE),"")</f>
        <v/>
      </c>
      <c r="M5451" s="13" t="str">
        <f>IF(D5451&lt;&gt;"",VLOOKUP(H5451,TABLEITEM,3,FALSE),"")</f>
        <v>ทินเนอร์ AAA</v>
      </c>
      <c r="N5451" s="14">
        <f>INSTOCK!$I5451*INSTOCK!$K5451</f>
        <v>700</v>
      </c>
      <c r="O5451" s="4"/>
      <c r="P5451" s="4"/>
    </row>
    <row r="5452" ht="15.75" customHeight="1">
      <c r="B5452" s="8">
        <v>5776.0</v>
      </c>
      <c r="C5452" s="9">
        <v>43698.0</v>
      </c>
      <c r="D5452" s="6">
        <v>39906.0</v>
      </c>
      <c r="E5452" s="4">
        <v>6.208001239E9</v>
      </c>
      <c r="F5452" s="8" t="s">
        <v>6530</v>
      </c>
      <c r="G5452" s="4" t="s">
        <v>696</v>
      </c>
      <c r="H5452" s="10" t="s">
        <v>43</v>
      </c>
      <c r="I5452" s="10">
        <v>3.0</v>
      </c>
      <c r="J5452" s="11" t="str">
        <f>IF(D5452&lt;&gt;"",VLOOKUP(H5452,TABLEITEM,5,FALSE),"")</f>
        <v>ปี๊ป</v>
      </c>
      <c r="K5452" s="12">
        <v>590.0</v>
      </c>
      <c r="L5452" s="13" t="str">
        <f>IF(D5452&lt;&gt;"",VLOOKUP(H5452,TABLEITEM,2,FALSE),"")</f>
        <v/>
      </c>
      <c r="M5452" s="13" t="str">
        <f>IF(D5452&lt;&gt;"",VLOOKUP(H5452,TABLEITEM,3,FALSE),"")</f>
        <v>ทินเนอร์อคลิลิค</v>
      </c>
      <c r="N5452" s="14">
        <f>INSTOCK!$I5452*INSTOCK!$K5452</f>
        <v>1770</v>
      </c>
      <c r="O5452" s="4"/>
      <c r="P5452" s="4"/>
    </row>
    <row r="5453" ht="15.75" customHeight="1">
      <c r="B5453" s="8">
        <v>5777.0</v>
      </c>
      <c r="C5453" s="9">
        <v>43697.0</v>
      </c>
      <c r="D5453" s="6" t="s">
        <v>6532</v>
      </c>
      <c r="E5453" s="4">
        <v>6.208001238E9</v>
      </c>
      <c r="F5453" s="8" t="s">
        <v>6533</v>
      </c>
      <c r="G5453" s="4" t="s">
        <v>1596</v>
      </c>
      <c r="H5453" s="10" t="s">
        <v>6534</v>
      </c>
      <c r="I5453" s="10">
        <v>5.0</v>
      </c>
      <c r="J5453" s="11" t="str">
        <f>IF(D5453&lt;&gt;"",VLOOKUP(H5453,TABLEITEM,5,FALSE),"")</f>
        <v>EA</v>
      </c>
      <c r="K5453" s="12">
        <v>1420.0</v>
      </c>
      <c r="L5453" s="13" t="str">
        <f>IF(D5453&lt;&gt;"",VLOOKUP(H5453,TABLEITEM,2,FALSE),"")</f>
        <v/>
      </c>
      <c r="M5453" s="13" t="str">
        <f>IF(D5453&lt;&gt;"",VLOOKUP(H5453,TABLEITEM,3,FALSE),"")</f>
        <v>MCCB A1N125 TMF 80A 3P </v>
      </c>
      <c r="N5453" s="14">
        <f>INSTOCK!$I5453*INSTOCK!$K5453</f>
        <v>7100</v>
      </c>
      <c r="O5453" s="4" t="s">
        <v>3925</v>
      </c>
      <c r="P5453" s="4"/>
    </row>
    <row r="5454" ht="15.75" customHeight="1">
      <c r="B5454" s="8">
        <v>5778.0</v>
      </c>
      <c r="C5454" s="9">
        <v>43697.0</v>
      </c>
      <c r="D5454" s="6" t="s">
        <v>6532</v>
      </c>
      <c r="E5454" s="4">
        <v>6.208001238E9</v>
      </c>
      <c r="F5454" s="8" t="s">
        <v>6533</v>
      </c>
      <c r="G5454" s="4" t="s">
        <v>1596</v>
      </c>
      <c r="H5454" s="10" t="s">
        <v>1977</v>
      </c>
      <c r="I5454" s="10">
        <v>5.0</v>
      </c>
      <c r="J5454" s="11" t="str">
        <f>IF(D5454&lt;&gt;"",VLOOKUP(H5454,TABLEITEM,5,FALSE),"")</f>
        <v>EA</v>
      </c>
      <c r="K5454" s="12">
        <v>1420.0</v>
      </c>
      <c r="L5454" s="13" t="str">
        <f>IF(D5454&lt;&gt;"",VLOOKUP(H5454,TABLEITEM,2,FALSE),"")</f>
        <v/>
      </c>
      <c r="M5454" s="13" t="str">
        <f>IF(D5454&lt;&gt;"",VLOOKUP(H5454,TABLEITEM,3,FALSE),"")</f>
        <v>MCCB 3P 30AT/125AF 36KA</v>
      </c>
      <c r="N5454" s="14">
        <f>INSTOCK!$I5454*INSTOCK!$K5454</f>
        <v>7100</v>
      </c>
      <c r="O5454" s="4" t="s">
        <v>3925</v>
      </c>
      <c r="P5454" s="4"/>
    </row>
    <row r="5455" ht="15.75" customHeight="1">
      <c r="B5455" s="8">
        <v>5779.0</v>
      </c>
      <c r="C5455" s="9">
        <v>43697.0</v>
      </c>
      <c r="D5455" s="6" t="s">
        <v>6532</v>
      </c>
      <c r="E5455" s="4">
        <v>6.208001238E9</v>
      </c>
      <c r="F5455" s="8" t="s">
        <v>6533</v>
      </c>
      <c r="G5455" s="4" t="s">
        <v>1596</v>
      </c>
      <c r="H5455" s="10" t="s">
        <v>1979</v>
      </c>
      <c r="I5455" s="10">
        <v>5.0</v>
      </c>
      <c r="J5455" s="11" t="str">
        <f>IF(D5455&lt;&gt;"",VLOOKUP(H5455,TABLEITEM,5,FALSE),"")</f>
        <v>EA</v>
      </c>
      <c r="K5455" s="12">
        <v>1020.0</v>
      </c>
      <c r="L5455" s="13" t="str">
        <f>IF(D5455&lt;&gt;"",VLOOKUP(H5455,TABLEITEM,2,FALSE),"")</f>
        <v/>
      </c>
      <c r="M5455" s="13" t="str">
        <f>IF(D5455&lt;&gt;"",VLOOKUP(H5455,TABLEITEM,3,FALSE),"")</f>
        <v>MCCB 2P 30AT/125AF 50KA</v>
      </c>
      <c r="N5455" s="14">
        <f>INSTOCK!$I5455*INSTOCK!$K5455</f>
        <v>5100</v>
      </c>
      <c r="O5455" s="4" t="s">
        <v>6535</v>
      </c>
      <c r="P5455" s="4"/>
    </row>
    <row r="5456" ht="15.75" customHeight="1">
      <c r="B5456" s="8">
        <v>5780.0</v>
      </c>
      <c r="C5456" s="9">
        <v>43697.0</v>
      </c>
      <c r="D5456" s="6" t="s">
        <v>6532</v>
      </c>
      <c r="E5456" s="4">
        <v>6.208001238E9</v>
      </c>
      <c r="F5456" s="8" t="s">
        <v>6533</v>
      </c>
      <c r="G5456" s="4" t="s">
        <v>1596</v>
      </c>
      <c r="H5456" s="18" t="s">
        <v>3924</v>
      </c>
      <c r="I5456" s="10">
        <v>5.0</v>
      </c>
      <c r="J5456" s="11" t="str">
        <f>IF(D5456&lt;&gt;"",VLOOKUP(H5456,TABLEITEM,5,FALSE),"")</f>
        <v>EA</v>
      </c>
      <c r="K5456" s="12">
        <v>1420.0</v>
      </c>
      <c r="L5456" s="13" t="str">
        <f>IF(D5456&lt;&gt;"",VLOOKUP(H5456,TABLEITEM,2,FALSE),"")</f>
        <v/>
      </c>
      <c r="M5456" s="13" t="str">
        <f>IF(D5456&lt;&gt;"",VLOOKUP(H5456,TABLEITEM,3,FALSE),"")</f>
        <v>MCCB A1N125 TMF 50A 3P </v>
      </c>
      <c r="N5456" s="14">
        <f>INSTOCK!$I5456*INSTOCK!$K5456</f>
        <v>7100</v>
      </c>
      <c r="O5456" s="4" t="s">
        <v>3925</v>
      </c>
      <c r="P5456" s="4"/>
    </row>
    <row r="5457" ht="15.75" customHeight="1">
      <c r="B5457" s="8">
        <v>5781.0</v>
      </c>
      <c r="C5457" s="9">
        <v>43697.0</v>
      </c>
      <c r="D5457" s="6" t="s">
        <v>6532</v>
      </c>
      <c r="E5457" s="4">
        <v>6.208001238E9</v>
      </c>
      <c r="F5457" s="8" t="s">
        <v>6533</v>
      </c>
      <c r="G5457" s="4" t="s">
        <v>1596</v>
      </c>
      <c r="H5457" s="10" t="s">
        <v>6536</v>
      </c>
      <c r="I5457" s="10">
        <v>1.0</v>
      </c>
      <c r="J5457" s="11" t="str">
        <f>IF(D5457&lt;&gt;"",VLOOKUP(H5457,TABLEITEM,5,FALSE),"")</f>
        <v>EA</v>
      </c>
      <c r="K5457" s="12">
        <v>2960.0</v>
      </c>
      <c r="L5457" s="13" t="str">
        <f>IF(D5457&lt;&gt;"",VLOOKUP(H5457,TABLEITEM,2,FALSE),"")</f>
        <v/>
      </c>
      <c r="M5457" s="13" t="str">
        <f>IF(D5457&lt;&gt;"",VLOOKUP(H5457,TABLEITEM,3,FALSE),"")</f>
        <v>MCCB A2N250 TMF 200A 3P </v>
      </c>
      <c r="N5457" s="14">
        <f>INSTOCK!$I5457*INSTOCK!$K5457</f>
        <v>2960</v>
      </c>
      <c r="O5457" s="4" t="s">
        <v>6537</v>
      </c>
      <c r="P5457" s="4"/>
    </row>
    <row r="5458" ht="15.75" customHeight="1">
      <c r="B5458" s="8">
        <v>5782.0</v>
      </c>
      <c r="C5458" s="9">
        <v>43697.0</v>
      </c>
      <c r="D5458" s="6" t="s">
        <v>6532</v>
      </c>
      <c r="E5458" s="4">
        <v>6.208001238E9</v>
      </c>
      <c r="F5458" s="8" t="s">
        <v>6533</v>
      </c>
      <c r="G5458" s="4" t="s">
        <v>1596</v>
      </c>
      <c r="H5458" s="10" t="s">
        <v>6538</v>
      </c>
      <c r="I5458" s="10">
        <v>1.0</v>
      </c>
      <c r="J5458" s="11" t="str">
        <f>IF(D5458&lt;&gt;"",VLOOKUP(H5458,TABLEITEM,5,FALSE),"")</f>
        <v>EA</v>
      </c>
      <c r="K5458" s="12">
        <v>2760.0</v>
      </c>
      <c r="L5458" s="13" t="str">
        <f>IF(D5458&lt;&gt;"",VLOOKUP(H5458,TABLEITEM,2,FALSE),"")</f>
        <v/>
      </c>
      <c r="M5458" s="13" t="str">
        <f>IF(D5458&lt;&gt;"",VLOOKUP(H5458,TABLEITEM,3,FALSE),"")</f>
        <v>MCCB A2N250 TMF 160A 3P </v>
      </c>
      <c r="N5458" s="14">
        <f>INSTOCK!$I5458*INSTOCK!$K5458</f>
        <v>2760</v>
      </c>
      <c r="O5458" s="4" t="s">
        <v>6539</v>
      </c>
      <c r="P5458" s="4"/>
    </row>
    <row r="5459" ht="15.75" customHeight="1">
      <c r="B5459" s="8">
        <v>5783.0</v>
      </c>
      <c r="C5459" s="9">
        <v>43697.0</v>
      </c>
      <c r="D5459" s="6" t="s">
        <v>6532</v>
      </c>
      <c r="E5459" s="4">
        <v>6.208001238E9</v>
      </c>
      <c r="F5459" s="8" t="s">
        <v>6533</v>
      </c>
      <c r="G5459" s="4" t="s">
        <v>1596</v>
      </c>
      <c r="H5459" s="10" t="s">
        <v>6540</v>
      </c>
      <c r="I5459" s="10">
        <v>1.0</v>
      </c>
      <c r="J5459" s="11" t="str">
        <f>IF(D5459&lt;&gt;"",VLOOKUP(H5459,TABLEITEM,5,FALSE),"")</f>
        <v>EA</v>
      </c>
      <c r="K5459" s="12">
        <v>1420.0</v>
      </c>
      <c r="L5459" s="13" t="str">
        <f>IF(D5459&lt;&gt;"",VLOOKUP(H5459,TABLEITEM,2,FALSE),"")</f>
        <v/>
      </c>
      <c r="M5459" s="13" t="str">
        <f>IF(D5459&lt;&gt;"",VLOOKUP(H5459,TABLEITEM,3,FALSE),"")</f>
        <v>MCCB A1N125 TMF 100A 3P </v>
      </c>
      <c r="N5459" s="14">
        <f>INSTOCK!$I5459*INSTOCK!$K5459</f>
        <v>1420</v>
      </c>
      <c r="O5459" s="4" t="s">
        <v>3925</v>
      </c>
      <c r="P5459" s="4"/>
    </row>
    <row r="5460" ht="15.75" customHeight="1">
      <c r="B5460" s="8">
        <v>5784.0</v>
      </c>
      <c r="C5460" s="9">
        <v>43703.0</v>
      </c>
      <c r="D5460" s="6" t="s">
        <v>6541</v>
      </c>
      <c r="E5460" s="4">
        <v>6.208001254E9</v>
      </c>
      <c r="F5460" s="8" t="s">
        <v>801</v>
      </c>
      <c r="G5460" s="4" t="s">
        <v>1417</v>
      </c>
      <c r="H5460" s="10" t="s">
        <v>803</v>
      </c>
      <c r="I5460" s="10">
        <v>19.0</v>
      </c>
      <c r="J5460" s="11" t="str">
        <f>IF(D5460&lt;&gt;"",VLOOKUP(H5460,TABLEITEM,5,FALSE),"")</f>
        <v>ถัง</v>
      </c>
      <c r="K5460" s="12">
        <v>981.31</v>
      </c>
      <c r="L5460" s="13" t="str">
        <f>IF(D5460&lt;&gt;"",VLOOKUP(H5460,TABLEITEM,2,FALSE),"")</f>
        <v/>
      </c>
      <c r="M5460" s="13" t="str">
        <f>IF(D5460&lt;&gt;"",VLOOKUP(H5460,TABLEITEM,3,FALSE),"")</f>
        <v>แก๊สหุงต้ม 48กก</v>
      </c>
      <c r="N5460" s="14">
        <f>INSTOCK!$I5460*INSTOCK!$K5460</f>
        <v>18644.89</v>
      </c>
      <c r="O5460" s="4"/>
      <c r="P5460" s="4"/>
    </row>
    <row r="5461" ht="15.75" customHeight="1">
      <c r="B5461" s="8">
        <v>5785.0</v>
      </c>
      <c r="C5461" s="9">
        <v>43704.0</v>
      </c>
      <c r="D5461" s="6" t="s">
        <v>6542</v>
      </c>
      <c r="E5461" s="4">
        <v>6.208001244E9</v>
      </c>
      <c r="F5461" s="8" t="s">
        <v>604</v>
      </c>
      <c r="G5461" s="4" t="s">
        <v>1985</v>
      </c>
      <c r="H5461" s="10" t="s">
        <v>1986</v>
      </c>
      <c r="I5461" s="10">
        <v>1.0</v>
      </c>
      <c r="J5461" s="11" t="str">
        <f>IF(D5461&lt;&gt;"",VLOOKUP(H5461,TABLEITEM,5,FALSE),"")</f>
        <v>คู่</v>
      </c>
      <c r="K5461" s="12">
        <v>560.0</v>
      </c>
      <c r="L5461" s="13" t="str">
        <f>IF(D5461&lt;&gt;"",VLOOKUP(H5461,TABLEITEM,2,FALSE),"")</f>
        <v/>
      </c>
      <c r="M5461" s="13" t="str">
        <f>IF(D5461&lt;&gt;"",VLOOKUP(H5461,TABLEITEM,3,FALSE),"")</f>
        <v>รองเท้าหุ้มข้อหนังอัดลาย CB102</v>
      </c>
      <c r="N5461" s="14">
        <f>INSTOCK!$I5461*INSTOCK!$K5461</f>
        <v>560</v>
      </c>
      <c r="O5461" s="4" t="s">
        <v>5080</v>
      </c>
      <c r="P5461" s="4"/>
    </row>
    <row r="5462" ht="15.75" customHeight="1">
      <c r="B5462" s="8">
        <v>5786.0</v>
      </c>
      <c r="C5462" s="9">
        <v>43703.0</v>
      </c>
      <c r="D5462" s="6" t="s">
        <v>6543</v>
      </c>
      <c r="E5462" s="4">
        <v>6.208001253E9</v>
      </c>
      <c r="F5462" s="8" t="s">
        <v>6544</v>
      </c>
      <c r="G5462" s="4" t="s">
        <v>702</v>
      </c>
      <c r="H5462" s="10" t="s">
        <v>779</v>
      </c>
      <c r="I5462" s="10">
        <v>60.0</v>
      </c>
      <c r="J5462" s="11" t="str">
        <f>IF(D5462&lt;&gt;"",VLOOKUP(H5462,TABLEITEM,5,FALSE),"")</f>
        <v>KG.</v>
      </c>
      <c r="K5462" s="12">
        <v>130.0</v>
      </c>
      <c r="L5462" s="13" t="str">
        <f>IF(D5462&lt;&gt;"",VLOOKUP(H5462,TABLEITEM,2,FALSE),"")</f>
        <v/>
      </c>
      <c r="M5462" s="13" t="str">
        <f>IF(D5462&lt;&gt;"",VLOOKUP(H5462,TABLEITEM,3,FALSE),"")</f>
        <v>สีฝุ่น FF110/948/C สีครีม</v>
      </c>
      <c r="N5462" s="14">
        <f>INSTOCK!$I5462*INSTOCK!$K5462</f>
        <v>7800</v>
      </c>
      <c r="O5462" s="4"/>
      <c r="P5462" s="4"/>
    </row>
    <row r="5463" ht="15.75" customHeight="1">
      <c r="B5463" s="8">
        <v>5787.0</v>
      </c>
      <c r="C5463" s="9">
        <v>43703.0</v>
      </c>
      <c r="D5463" s="6" t="s">
        <v>6545</v>
      </c>
      <c r="E5463" s="4">
        <v>6.208001209E9</v>
      </c>
      <c r="F5463" s="8" t="s">
        <v>604</v>
      </c>
      <c r="G5463" s="4" t="s">
        <v>965</v>
      </c>
      <c r="H5463" s="18" t="s">
        <v>5085</v>
      </c>
      <c r="I5463" s="10">
        <v>8.0</v>
      </c>
      <c r="J5463" s="11" t="str">
        <f>IF(D5463&lt;&gt;"",VLOOKUP(H5463,TABLEITEM,5,FALSE),"")</f>
        <v>EA</v>
      </c>
      <c r="K5463" s="12">
        <v>28.0</v>
      </c>
      <c r="L5463" s="13" t="str">
        <f>IF(D5463&lt;&gt;"",VLOOKUP(H5463,TABLEITEM,2,FALSE),"")</f>
        <v/>
      </c>
      <c r="M5463" s="13" t="str">
        <f>IF(D5463&lt;&gt;"",VLOOKUP(H5463,TABLEITEM,3,FALSE),"")</f>
        <v>ลูกปืน 6200ZZ</v>
      </c>
      <c r="N5463" s="14">
        <f>INSTOCK!$I5463*INSTOCK!$K5463</f>
        <v>224</v>
      </c>
      <c r="O5463" s="4"/>
      <c r="P5463" s="4"/>
    </row>
    <row r="5464" ht="15.75" customHeight="1">
      <c r="B5464" s="8">
        <v>5788.0</v>
      </c>
      <c r="C5464" s="9">
        <v>43703.0</v>
      </c>
      <c r="D5464" s="6" t="s">
        <v>6545</v>
      </c>
      <c r="E5464" s="4">
        <v>6.208001231E9</v>
      </c>
      <c r="F5464" s="8" t="s">
        <v>604</v>
      </c>
      <c r="G5464" s="4" t="s">
        <v>965</v>
      </c>
      <c r="H5464" s="10" t="s">
        <v>45</v>
      </c>
      <c r="I5464" s="10">
        <v>2.0</v>
      </c>
      <c r="J5464" s="11" t="str">
        <f>IF(D5464&lt;&gt;"",VLOOKUP(H5464,TABLEITEM,5,FALSE),"")</f>
        <v>กล</v>
      </c>
      <c r="K5464" s="12">
        <v>280.0</v>
      </c>
      <c r="L5464" s="13" t="str">
        <f>IF(D5464&lt;&gt;"",VLOOKUP(H5464,TABLEITEM,2,FALSE),"")</f>
        <v/>
      </c>
      <c r="M5464" s="13" t="str">
        <f>IF(D5464&lt;&gt;"",VLOOKUP(H5464,TABLEITEM,3,FALSE),"")</f>
        <v>สีโป้ว</v>
      </c>
      <c r="N5464" s="14">
        <f>INSTOCK!$I5464*INSTOCK!$K5464</f>
        <v>560</v>
      </c>
      <c r="O5464" s="4"/>
      <c r="P5464" s="4"/>
    </row>
    <row r="5465" ht="15.75" customHeight="1">
      <c r="B5465" s="8">
        <v>5789.0</v>
      </c>
      <c r="C5465" s="9">
        <v>43703.0</v>
      </c>
      <c r="D5465" s="6" t="s">
        <v>6545</v>
      </c>
      <c r="E5465" s="4">
        <v>6.208001256E9</v>
      </c>
      <c r="F5465" s="8" t="s">
        <v>604</v>
      </c>
      <c r="G5465" s="4" t="s">
        <v>965</v>
      </c>
      <c r="H5465" s="10" t="s">
        <v>6546</v>
      </c>
      <c r="I5465" s="10">
        <v>4.0</v>
      </c>
      <c r="J5465" s="11" t="str">
        <f>IF(D5465&lt;&gt;"",VLOOKUP(H5465,TABLEITEM,5,FALSE),"")</f>
        <v>EA</v>
      </c>
      <c r="K5465" s="12">
        <v>22.0</v>
      </c>
      <c r="L5465" s="13" t="str">
        <f>IF(D5465&lt;&gt;"",VLOOKUP(H5465,TABLEITEM,2,FALSE),"")</f>
        <v/>
      </c>
      <c r="M5465" s="13" t="str">
        <f>IF(D5465&lt;&gt;"",VLOOKUP(H5465,TABLEITEM,3,FALSE),"")</f>
        <v>มือจับสเตนเลส 4"</v>
      </c>
      <c r="N5465" s="14">
        <f>INSTOCK!$I5465*INSTOCK!$K5465</f>
        <v>88</v>
      </c>
      <c r="O5465" s="4"/>
      <c r="P5465" s="4"/>
    </row>
    <row r="5466" ht="15.75" customHeight="1">
      <c r="B5466" s="8">
        <v>5790.0</v>
      </c>
      <c r="C5466" s="9">
        <v>43703.0</v>
      </c>
      <c r="D5466" s="6" t="s">
        <v>6545</v>
      </c>
      <c r="E5466" s="4">
        <v>6.208001256E9</v>
      </c>
      <c r="F5466" s="8" t="s">
        <v>604</v>
      </c>
      <c r="G5466" s="4" t="s">
        <v>965</v>
      </c>
      <c r="H5466" s="10" t="s">
        <v>3163</v>
      </c>
      <c r="I5466" s="10">
        <v>2.0</v>
      </c>
      <c r="J5466" s="11" t="str">
        <f>IF(D5466&lt;&gt;"",VLOOKUP(H5466,TABLEITEM,5,FALSE),"")</f>
        <v>EA</v>
      </c>
      <c r="K5466" s="12">
        <v>15.0</v>
      </c>
      <c r="L5466" s="13" t="str">
        <f>IF(D5466&lt;&gt;"",VLOOKUP(H5466,TABLEITEM,2,FALSE),"")</f>
        <v/>
      </c>
      <c r="M5466" s="13" t="str">
        <f>IF(D5466&lt;&gt;"",VLOOKUP(H5466,TABLEITEM,3,FALSE),"")</f>
        <v>สายรัดมอเตอร์ไซร์</v>
      </c>
      <c r="N5466" s="14">
        <f>INSTOCK!$I5466*INSTOCK!$K5466</f>
        <v>30</v>
      </c>
      <c r="O5466" s="4"/>
      <c r="P5466" s="4"/>
    </row>
    <row r="5467" ht="15.75" customHeight="1">
      <c r="B5467" s="8">
        <v>5791.0</v>
      </c>
      <c r="C5467" s="9">
        <v>43703.0</v>
      </c>
      <c r="D5467" s="6" t="s">
        <v>6545</v>
      </c>
      <c r="E5467" s="4">
        <v>6.208001256E9</v>
      </c>
      <c r="F5467" s="8" t="s">
        <v>604</v>
      </c>
      <c r="G5467" s="4" t="s">
        <v>965</v>
      </c>
      <c r="H5467" s="10" t="s">
        <v>46</v>
      </c>
      <c r="I5467" s="10">
        <v>10.0</v>
      </c>
      <c r="J5467" s="11" t="str">
        <f>IF(D5467&lt;&gt;"",VLOOKUP(H5467,TABLEITEM,5,FALSE),"")</f>
        <v>ROLL</v>
      </c>
      <c r="K5467" s="12">
        <v>90.0</v>
      </c>
      <c r="L5467" s="13" t="str">
        <f>IF(D5467&lt;&gt;"",VLOOKUP(H5467,TABLEITEM,2,FALSE),"")</f>
        <v/>
      </c>
      <c r="M5467" s="13" t="str">
        <f>IF(D5467&lt;&gt;"",VLOOKUP(H5467,TABLEITEM,3,FALSE),"")</f>
        <v>ลวดดำ</v>
      </c>
      <c r="N5467" s="14">
        <f>INSTOCK!$I5467*INSTOCK!$K5467</f>
        <v>900</v>
      </c>
      <c r="O5467" s="4"/>
      <c r="P5467" s="4"/>
    </row>
    <row r="5468" ht="15.75" customHeight="1">
      <c r="B5468" s="8">
        <v>5792.0</v>
      </c>
      <c r="C5468" s="9">
        <v>43704.0</v>
      </c>
      <c r="D5468" s="6">
        <v>39974.0</v>
      </c>
      <c r="E5468" s="4">
        <v>6.208001255E9</v>
      </c>
      <c r="F5468" s="8" t="s">
        <v>6547</v>
      </c>
      <c r="G5468" s="4" t="s">
        <v>696</v>
      </c>
      <c r="H5468" s="10" t="s">
        <v>6531</v>
      </c>
      <c r="I5468" s="10">
        <v>20.0</v>
      </c>
      <c r="J5468" s="11" t="str">
        <f>IF(D5468&lt;&gt;"",VLOOKUP(H5468,TABLEITEM,5,FALSE),"")</f>
        <v>EA</v>
      </c>
      <c r="K5468" s="12">
        <v>28.0</v>
      </c>
      <c r="L5468" s="13" t="str">
        <f>IF(D5468&lt;&gt;"",VLOOKUP(H5468,TABLEITEM,2,FALSE),"")</f>
        <v/>
      </c>
      <c r="M5468" s="13" t="str">
        <f>IF(D5468&lt;&gt;"",VLOOKUP(H5468,TABLEITEM,3,FALSE),"")</f>
        <v>กลอนสเตนเลส 2"</v>
      </c>
      <c r="N5468" s="14">
        <f>INSTOCK!$I5468*INSTOCK!$K5468</f>
        <v>560</v>
      </c>
      <c r="O5468" s="4"/>
      <c r="P5468" s="4"/>
    </row>
    <row r="5469" ht="15.75" customHeight="1">
      <c r="B5469" s="8">
        <v>5793.0</v>
      </c>
      <c r="C5469" s="9">
        <v>43704.0</v>
      </c>
      <c r="D5469" s="6">
        <v>86997.0</v>
      </c>
      <c r="E5469" s="4">
        <v>6.208001232E9</v>
      </c>
      <c r="F5469" s="8" t="s">
        <v>604</v>
      </c>
      <c r="G5469" s="4" t="s">
        <v>2589</v>
      </c>
      <c r="H5469" s="10" t="s">
        <v>3366</v>
      </c>
      <c r="I5469" s="10">
        <v>1800.0</v>
      </c>
      <c r="J5469" s="11" t="str">
        <f>IF(D5469&lt;&gt;"",VLOOKUP(H5469,TABLEITEM,5,FALSE),"")</f>
        <v>EA</v>
      </c>
      <c r="K5469" s="12">
        <v>6.11</v>
      </c>
      <c r="L5469" s="13" t="str">
        <f>IF(D5469&lt;&gt;"",VLOOKUP(H5469,TABLEITEM,2,FALSE),"")</f>
        <v/>
      </c>
      <c r="M5469" s="13" t="str">
        <f>IF(D5469&lt;&gt;"",VLOOKUP(H5469,TABLEITEM,3,FALSE),"")</f>
        <v>สตัด M8x30</v>
      </c>
      <c r="N5469" s="14">
        <f>INSTOCK!$I5469*INSTOCK!$K5469</f>
        <v>10998</v>
      </c>
      <c r="O5469" s="4"/>
      <c r="P5469" s="4"/>
    </row>
    <row r="5470" ht="15.75" customHeight="1">
      <c r="B5470" s="8">
        <v>5794.0</v>
      </c>
      <c r="C5470" s="9">
        <v>43704.0</v>
      </c>
      <c r="D5470" s="6" t="s">
        <v>6548</v>
      </c>
      <c r="E5470" s="4">
        <v>6.208001274E9</v>
      </c>
      <c r="F5470" s="8" t="s">
        <v>1626</v>
      </c>
      <c r="G5470" s="4" t="s">
        <v>1904</v>
      </c>
      <c r="H5470" s="10" t="s">
        <v>2717</v>
      </c>
      <c r="I5470" s="10">
        <v>10.0</v>
      </c>
      <c r="J5470" s="11" t="str">
        <f>IF(D5470&lt;&gt;"",VLOOKUP(H5470,TABLEITEM,5,FALSE),"")</f>
        <v>M</v>
      </c>
      <c r="K5470" s="12">
        <v>247.5</v>
      </c>
      <c r="L5470" s="13" t="str">
        <f>IF(D5470&lt;&gt;"",VLOOKUP(H5470,TABLEITEM,2,FALSE),"")</f>
        <v/>
      </c>
      <c r="M5470" s="13" t="str">
        <f>IF(D5470&lt;&gt;"",VLOOKUP(H5470,TABLEITEM,3,FALSE),"")</f>
        <v>RIBBON LM-IR300B 1/50M</v>
      </c>
      <c r="N5470" s="14">
        <f>INSTOCK!$I5470*INSTOCK!$K5470</f>
        <v>2475</v>
      </c>
      <c r="O5470" s="4" t="s">
        <v>2718</v>
      </c>
      <c r="P5470" s="4"/>
    </row>
    <row r="5471" ht="15.75" customHeight="1">
      <c r="B5471" s="8">
        <v>5795.0</v>
      </c>
      <c r="C5471" s="9">
        <v>43710.0</v>
      </c>
      <c r="D5471" s="6" t="s">
        <v>6549</v>
      </c>
      <c r="E5471" s="4">
        <v>6.208001267E9</v>
      </c>
      <c r="F5471" s="8" t="s">
        <v>604</v>
      </c>
      <c r="G5471" s="4" t="s">
        <v>1870</v>
      </c>
      <c r="H5471" s="10" t="s">
        <v>4828</v>
      </c>
      <c r="I5471" s="10">
        <v>1000.0</v>
      </c>
      <c r="J5471" s="11" t="str">
        <f>IF(D5471&lt;&gt;"",VLOOKUP(H5471,TABLEITEM,5,FALSE),"")</f>
        <v>EA</v>
      </c>
      <c r="K5471" s="12">
        <v>0.64</v>
      </c>
      <c r="L5471" s="13" t="str">
        <f>IF(D5471&lt;&gt;"",VLOOKUP(H5471,TABLEITEM,2,FALSE),"")</f>
        <v/>
      </c>
      <c r="M5471" s="13" t="str">
        <f>IF(D5471&lt;&gt;"",VLOOKUP(H5471,TABLEITEM,3,FALSE),"")</f>
        <v>สกรูสแตนเลสหัวร่ม M5x10</v>
      </c>
      <c r="N5471" s="14">
        <f>INSTOCK!$I5471*INSTOCK!$K5471</f>
        <v>640</v>
      </c>
      <c r="O5471" s="4" t="s">
        <v>4829</v>
      </c>
      <c r="P5471" s="4"/>
    </row>
    <row r="5472" ht="15.75" customHeight="1">
      <c r="B5472" s="8">
        <v>5796.0</v>
      </c>
      <c r="C5472" s="9">
        <v>43710.0</v>
      </c>
      <c r="D5472" s="6" t="s">
        <v>6549</v>
      </c>
      <c r="E5472" s="4">
        <v>6.208001267E9</v>
      </c>
      <c r="F5472" s="8" t="s">
        <v>604</v>
      </c>
      <c r="G5472" s="4" t="s">
        <v>1870</v>
      </c>
      <c r="H5472" s="10" t="s">
        <v>4540</v>
      </c>
      <c r="I5472" s="10">
        <v>1000.0</v>
      </c>
      <c r="J5472" s="11" t="str">
        <f>IF(D5472&lt;&gt;"",VLOOKUP(H5472,TABLEITEM,5,FALSE),"")</f>
        <v>EA</v>
      </c>
      <c r="K5472" s="12">
        <v>1.32</v>
      </c>
      <c r="L5472" s="13" t="str">
        <f>IF(D5472&lt;&gt;"",VLOOKUP(H5472,TABLEITEM,2,FALSE),"")</f>
        <v/>
      </c>
      <c r="M5472" s="13" t="str">
        <f>IF(D5472&lt;&gt;"",VLOOKUP(H5472,TABLEITEM,3,FALSE),"")</f>
        <v>สกรูสแตนเลสหัวร่ม M6x20</v>
      </c>
      <c r="N5472" s="14">
        <f>INSTOCK!$I5472*INSTOCK!$K5472</f>
        <v>1320</v>
      </c>
      <c r="O5472" s="4" t="s">
        <v>6550</v>
      </c>
      <c r="P5472" s="4"/>
    </row>
    <row r="5473" ht="15.75" customHeight="1">
      <c r="B5473" s="8">
        <v>5797.0</v>
      </c>
      <c r="C5473" s="9">
        <v>43710.0</v>
      </c>
      <c r="D5473" s="6" t="s">
        <v>6549</v>
      </c>
      <c r="E5473" s="4">
        <v>6.208001267E9</v>
      </c>
      <c r="F5473" s="8" t="s">
        <v>604</v>
      </c>
      <c r="G5473" s="4" t="s">
        <v>1870</v>
      </c>
      <c r="H5473" s="10" t="s">
        <v>6551</v>
      </c>
      <c r="I5473" s="10">
        <v>1000.0</v>
      </c>
      <c r="J5473" s="11" t="str">
        <f>IF(D5473&lt;&gt;"",VLOOKUP(H5473,TABLEITEM,5,FALSE),"")</f>
        <v>EA</v>
      </c>
      <c r="K5473" s="12">
        <v>0.3</v>
      </c>
      <c r="L5473" s="13" t="str">
        <f>IF(D5473&lt;&gt;"",VLOOKUP(H5473,TABLEITEM,2,FALSE),"")</f>
        <v/>
      </c>
      <c r="M5473" s="13" t="str">
        <f>IF(D5473&lt;&gt;"",VLOOKUP(H5473,TABLEITEM,3,FALSE),"")</f>
        <v>แหวนสปริง สแตนเลส M5</v>
      </c>
      <c r="N5473" s="14">
        <f>INSTOCK!$I5473*INSTOCK!$K5473</f>
        <v>300</v>
      </c>
      <c r="O5473" s="4" t="s">
        <v>3804</v>
      </c>
      <c r="P5473" s="4"/>
    </row>
    <row r="5474" ht="15.75" customHeight="1">
      <c r="B5474" s="8">
        <v>5798.0</v>
      </c>
      <c r="C5474" s="9">
        <v>43710.0</v>
      </c>
      <c r="D5474" s="6" t="s">
        <v>6549</v>
      </c>
      <c r="E5474" s="4">
        <v>6.208001267E9</v>
      </c>
      <c r="F5474" s="8" t="s">
        <v>604</v>
      </c>
      <c r="G5474" s="4" t="s">
        <v>1870</v>
      </c>
      <c r="H5474" s="10" t="s">
        <v>6552</v>
      </c>
      <c r="I5474" s="10">
        <v>1000.0</v>
      </c>
      <c r="J5474" s="11" t="str">
        <f>IF(D5474&lt;&gt;"",VLOOKUP(H5474,TABLEITEM,5,FALSE),"")</f>
        <v>EA</v>
      </c>
      <c r="K5474" s="12">
        <v>0.225</v>
      </c>
      <c r="L5474" s="13" t="str">
        <f>IF(D5474&lt;&gt;"",VLOOKUP(H5474,TABLEITEM,2,FALSE),"")</f>
        <v/>
      </c>
      <c r="M5474" s="13" t="str">
        <f>IF(D5474&lt;&gt;"",VLOOKUP(H5474,TABLEITEM,3,FALSE),"")</f>
        <v>แหวนอีแปะ สแตนเลส M5</v>
      </c>
      <c r="N5474" s="14">
        <f>INSTOCK!$I5474*INSTOCK!$K5474</f>
        <v>225</v>
      </c>
      <c r="O5474" s="4" t="s">
        <v>6553</v>
      </c>
      <c r="P5474" s="4"/>
    </row>
    <row r="5475" ht="15.75" customHeight="1">
      <c r="B5475" s="8">
        <v>5799.0</v>
      </c>
      <c r="C5475" s="9">
        <v>43704.0</v>
      </c>
      <c r="D5475" s="6" t="s">
        <v>6554</v>
      </c>
      <c r="E5475" s="4">
        <v>6.208001265E9</v>
      </c>
      <c r="F5475" s="8" t="s">
        <v>807</v>
      </c>
      <c r="G5475" s="4" t="s">
        <v>808</v>
      </c>
      <c r="H5475" s="10" t="s">
        <v>809</v>
      </c>
      <c r="I5475" s="10">
        <v>1.0</v>
      </c>
      <c r="J5475" s="11" t="str">
        <f>IF(D5475&lt;&gt;"",VLOOKUP(H5475,TABLEITEM,5,FALSE),"")</f>
        <v>ท่อ</v>
      </c>
      <c r="K5475" s="12">
        <v>2700.0</v>
      </c>
      <c r="L5475" s="13" t="str">
        <f>IF(D5475&lt;&gt;"",VLOOKUP(H5475,TABLEITEM,2,FALSE),"")</f>
        <v/>
      </c>
      <c r="M5475" s="13" t="str">
        <f>IF(D5475&lt;&gt;"",VLOOKUP(H5475,TABLEITEM,3,FALSE),"")</f>
        <v>ไนโตรเจนเหลว ขนาด 100คิว</v>
      </c>
      <c r="N5475" s="14">
        <f>INSTOCK!$I5475*INSTOCK!$K5475</f>
        <v>2700</v>
      </c>
      <c r="O5475" s="4"/>
      <c r="P5475" s="4"/>
    </row>
    <row r="5476" ht="15.75" customHeight="1">
      <c r="B5476" s="8">
        <v>5800.0</v>
      </c>
      <c r="C5476" s="9">
        <v>43703.0</v>
      </c>
      <c r="D5476" s="6">
        <v>6.20807488E8</v>
      </c>
      <c r="E5476" s="4">
        <v>6.208001266E9</v>
      </c>
      <c r="F5476" s="8" t="s">
        <v>604</v>
      </c>
      <c r="G5476" s="4" t="s">
        <v>1130</v>
      </c>
      <c r="H5476" s="18" t="s">
        <v>230</v>
      </c>
      <c r="I5476" s="10">
        <v>2000.0</v>
      </c>
      <c r="J5476" s="11" t="str">
        <f>IF(D5476&lt;&gt;"",VLOOKUP(H5476,TABLEITEM,5,FALSE),"")</f>
        <v>EA</v>
      </c>
      <c r="K5476" s="12">
        <v>1.155</v>
      </c>
      <c r="L5476" s="13" t="str">
        <f>IF(D5476&lt;&gt;"",VLOOKUP(H5476,TABLEITEM,2,FALSE),"")</f>
        <v/>
      </c>
      <c r="M5476" s="13" t="str">
        <f>IF(D5476&lt;&gt;"",VLOOKUP(H5476,TABLEITEM,3,FALSE),"")</f>
        <v>CORD-END 1.0-8 สีแดง</v>
      </c>
      <c r="N5476" s="14">
        <f>INSTOCK!$I5476*INSTOCK!$K5476</f>
        <v>2310</v>
      </c>
      <c r="O5476" s="4" t="s">
        <v>5887</v>
      </c>
      <c r="P5476" s="4"/>
    </row>
    <row r="5477" ht="15.75" customHeight="1">
      <c r="B5477" s="8">
        <v>5801.0</v>
      </c>
      <c r="C5477" s="9">
        <v>43704.0</v>
      </c>
      <c r="D5477" s="6">
        <v>6.208133E7</v>
      </c>
      <c r="E5477" s="4">
        <v>6.208001252E9</v>
      </c>
      <c r="F5477" s="8" t="s">
        <v>6555</v>
      </c>
      <c r="G5477" s="4" t="s">
        <v>711</v>
      </c>
      <c r="H5477" s="10" t="s">
        <v>712</v>
      </c>
      <c r="I5477" s="10">
        <v>20.0</v>
      </c>
      <c r="J5477" s="11" t="str">
        <f>IF(D5477&lt;&gt;"",VLOOKUP(H5477,TABLEITEM,5,FALSE),"")</f>
        <v>KG.</v>
      </c>
      <c r="K5477" s="12">
        <v>148.75</v>
      </c>
      <c r="L5477" s="13" t="str">
        <f>IF(D5477&lt;&gt;"",VLOOKUP(H5477,TABLEITEM,2,FALSE),"")</f>
        <v/>
      </c>
      <c r="M5477" s="13" t="str">
        <f>IF(D5477&lt;&gt;"",VLOOKUP(H5477,TABLEITEM,3,FALSE),"")</f>
        <v>สีฝุ่น M70460 CN</v>
      </c>
      <c r="N5477" s="14">
        <f>INSTOCK!$I5477*INSTOCK!$K5477</f>
        <v>2975</v>
      </c>
      <c r="O5477" s="4" t="s">
        <v>714</v>
      </c>
      <c r="P5477" s="4"/>
    </row>
    <row r="5478" ht="15.75" customHeight="1">
      <c r="B5478" s="8">
        <v>5802.0</v>
      </c>
      <c r="C5478" s="9">
        <v>43710.0</v>
      </c>
      <c r="D5478" s="6" t="s">
        <v>6556</v>
      </c>
      <c r="E5478" s="4">
        <v>6.208001269E9</v>
      </c>
      <c r="F5478" s="8" t="s">
        <v>604</v>
      </c>
      <c r="G5478" s="4" t="s">
        <v>729</v>
      </c>
      <c r="H5478" s="10" t="s">
        <v>29</v>
      </c>
      <c r="I5478" s="10">
        <v>500.0</v>
      </c>
      <c r="J5478" s="11" t="str">
        <f>IF(D5478&lt;&gt;"",VLOOKUP(H5478,TABLEITEM,5,FALSE),"")</f>
        <v>M</v>
      </c>
      <c r="K5478" s="12">
        <v>17.0</v>
      </c>
      <c r="L5478" s="13" t="str">
        <f>IF(D5478&lt;&gt;"",VLOOKUP(H5478,TABLEITEM,2,FALSE),"")</f>
        <v/>
      </c>
      <c r="M5478" s="13" t="str">
        <f>IF(D5478&lt;&gt;"",VLOOKUP(H5478,TABLEITEM,3,FALSE),"")</f>
        <v>ยางฟองน้ำ1"x1/4''</v>
      </c>
      <c r="N5478" s="14">
        <f>INSTOCK!$I5478*INSTOCK!$K5478</f>
        <v>8500</v>
      </c>
      <c r="O5478" s="4"/>
      <c r="P5478" s="4"/>
    </row>
    <row r="5479" ht="15.75" customHeight="1">
      <c r="B5479" s="8">
        <v>5803.0</v>
      </c>
      <c r="C5479" s="9">
        <v>43710.0</v>
      </c>
      <c r="D5479" s="6">
        <v>6209016.0</v>
      </c>
      <c r="E5479" s="4">
        <v>6.208001268E9</v>
      </c>
      <c r="F5479" s="8" t="s">
        <v>604</v>
      </c>
      <c r="G5479" s="4" t="s">
        <v>1100</v>
      </c>
      <c r="H5479" s="10" t="s">
        <v>441</v>
      </c>
      <c r="I5479" s="10">
        <v>200.0</v>
      </c>
      <c r="J5479" s="11" t="str">
        <f>IF(D5479&lt;&gt;"",VLOOKUP(H5479,TABLEITEM,5,FALSE),"")</f>
        <v>EA</v>
      </c>
      <c r="K5479" s="12">
        <v>0.576</v>
      </c>
      <c r="L5479" s="13" t="str">
        <f>IF(D5479&lt;&gt;"",VLOOKUP(H5479,TABLEITEM,2,FALSE),"")</f>
        <v/>
      </c>
      <c r="M5479" s="13" t="str">
        <f>IF(D5479&lt;&gt;"",VLOOKUP(H5479,TABLEITEM,3,FALSE),"")</f>
        <v>ปลอกหุ้มหางปลา V-14 สีน้ำตาล</v>
      </c>
      <c r="N5479" s="14">
        <f>INSTOCK!$I5479*INSTOCK!$K5479</f>
        <v>115.2</v>
      </c>
      <c r="O5479" s="4" t="s">
        <v>1849</v>
      </c>
      <c r="P5479" s="4"/>
    </row>
    <row r="5480" ht="15.75" customHeight="1">
      <c r="B5480" s="8">
        <v>5804.0</v>
      </c>
      <c r="C5480" s="9">
        <v>43710.0</v>
      </c>
      <c r="D5480" s="6">
        <v>6209016.0</v>
      </c>
      <c r="E5480" s="4">
        <v>6.208001268E9</v>
      </c>
      <c r="F5480" s="8" t="s">
        <v>604</v>
      </c>
      <c r="G5480" s="4" t="s">
        <v>1100</v>
      </c>
      <c r="H5480" s="10" t="s">
        <v>380</v>
      </c>
      <c r="I5480" s="10">
        <v>300.0</v>
      </c>
      <c r="J5480" s="11" t="str">
        <f>IF(D5480&lt;&gt;"",VLOOKUP(H5480,TABLEITEM,5,FALSE),"")</f>
        <v>EA</v>
      </c>
      <c r="K5480" s="12">
        <v>0.576</v>
      </c>
      <c r="L5480" s="13" t="str">
        <f>IF(D5480&lt;&gt;"",VLOOKUP(H5480,TABLEITEM,2,FALSE),"")</f>
        <v/>
      </c>
      <c r="M5480" s="13" t="str">
        <f>IF(D5480&lt;&gt;"",VLOOKUP(H5480,TABLEITEM,3,FALSE),"")</f>
        <v>ปลอกหุ้มหางปลา V-14สีดำ</v>
      </c>
      <c r="N5480" s="14">
        <f>INSTOCK!$I5480*INSTOCK!$K5480</f>
        <v>172.8</v>
      </c>
      <c r="O5480" s="4" t="s">
        <v>6557</v>
      </c>
      <c r="P5480" s="4"/>
    </row>
    <row r="5481" ht="15.75" customHeight="1">
      <c r="B5481" s="8">
        <v>5805.0</v>
      </c>
      <c r="C5481" s="9">
        <v>43710.0</v>
      </c>
      <c r="D5481" s="6">
        <v>6209016.0</v>
      </c>
      <c r="E5481" s="4">
        <v>6.208001268E9</v>
      </c>
      <c r="F5481" s="8" t="s">
        <v>604</v>
      </c>
      <c r="G5481" s="4" t="s">
        <v>1100</v>
      </c>
      <c r="H5481" s="10" t="s">
        <v>442</v>
      </c>
      <c r="I5481" s="10">
        <v>200.0</v>
      </c>
      <c r="J5481" s="11" t="str">
        <f>IF(D5481&lt;&gt;"",VLOOKUP(H5481,TABLEITEM,5,FALSE),"")</f>
        <v>EA</v>
      </c>
      <c r="K5481" s="12">
        <v>0.576</v>
      </c>
      <c r="L5481" s="13" t="str">
        <f>IF(D5481&lt;&gt;"",VLOOKUP(H5481,TABLEITEM,2,FALSE),"")</f>
        <v/>
      </c>
      <c r="M5481" s="13" t="str">
        <f>IF(D5481&lt;&gt;"",VLOOKUP(H5481,TABLEITEM,3,FALSE),"")</f>
        <v>ปลอกหุ้มหางปลา V-14 สีเทา</v>
      </c>
      <c r="N5481" s="14">
        <f>INSTOCK!$I5481*INSTOCK!$K5481</f>
        <v>115.2</v>
      </c>
      <c r="O5481" s="4" t="s">
        <v>1849</v>
      </c>
      <c r="P5481" s="4"/>
    </row>
    <row r="5482" ht="15.75" customHeight="1">
      <c r="B5482" s="8">
        <v>5806.0</v>
      </c>
      <c r="C5482" s="9">
        <v>43710.0</v>
      </c>
      <c r="D5482" s="6">
        <v>6209016.0</v>
      </c>
      <c r="E5482" s="4">
        <v>6.208001268E9</v>
      </c>
      <c r="F5482" s="8" t="s">
        <v>604</v>
      </c>
      <c r="G5482" s="4" t="s">
        <v>1100</v>
      </c>
      <c r="H5482" s="10" t="s">
        <v>1851</v>
      </c>
      <c r="I5482" s="10">
        <v>300.0</v>
      </c>
      <c r="J5482" s="11" t="str">
        <f>IF(D5482&lt;&gt;"",VLOOKUP(H5482,TABLEITEM,5,FALSE),"")</f>
        <v>EA</v>
      </c>
      <c r="K5482" s="12">
        <v>0.936</v>
      </c>
      <c r="L5482" s="13" t="str">
        <f>IF(D5482&lt;&gt;"",VLOOKUP(H5482,TABLEITEM,2,FALSE),"")</f>
        <v/>
      </c>
      <c r="M5482" s="13" t="str">
        <f>IF(D5482&lt;&gt;"",VLOOKUP(H5482,TABLEITEM,3,FALSE),"")</f>
        <v>ปลอกหุ้มหางปลา V-22 สีน้ำตาล</v>
      </c>
      <c r="N5482" s="14">
        <f>INSTOCK!$I5482*INSTOCK!$K5482</f>
        <v>280.8</v>
      </c>
      <c r="O5482" s="4" t="s">
        <v>1842</v>
      </c>
      <c r="P5482" s="4"/>
    </row>
    <row r="5483" ht="15.75" customHeight="1">
      <c r="B5483" s="8">
        <v>5807.0</v>
      </c>
      <c r="C5483" s="9">
        <v>43710.0</v>
      </c>
      <c r="D5483" s="6">
        <v>6209016.0</v>
      </c>
      <c r="E5483" s="4">
        <v>6.208001268E9</v>
      </c>
      <c r="F5483" s="8" t="s">
        <v>604</v>
      </c>
      <c r="G5483" s="4" t="s">
        <v>1100</v>
      </c>
      <c r="H5483" s="10" t="s">
        <v>386</v>
      </c>
      <c r="I5483" s="10">
        <v>300.0</v>
      </c>
      <c r="J5483" s="11" t="str">
        <f>IF(D5483&lt;&gt;"",VLOOKUP(H5483,TABLEITEM,5,FALSE),"")</f>
        <v>EA</v>
      </c>
      <c r="K5483" s="12">
        <v>0.936</v>
      </c>
      <c r="L5483" s="13" t="str">
        <f>IF(D5483&lt;&gt;"",VLOOKUP(H5483,TABLEITEM,2,FALSE),"")</f>
        <v/>
      </c>
      <c r="M5483" s="13" t="str">
        <f>IF(D5483&lt;&gt;"",VLOOKUP(H5483,TABLEITEM,3,FALSE),"")</f>
        <v>ปลอกหุ้มหางปลา V-22สีดำ</v>
      </c>
      <c r="N5483" s="14">
        <f>INSTOCK!$I5483*INSTOCK!$K5483</f>
        <v>280.8</v>
      </c>
      <c r="O5483" s="4" t="s">
        <v>1842</v>
      </c>
      <c r="P5483" s="4"/>
    </row>
    <row r="5484" ht="15.75" customHeight="1">
      <c r="B5484" s="8">
        <v>5808.0</v>
      </c>
      <c r="C5484" s="9">
        <v>43710.0</v>
      </c>
      <c r="D5484" s="6">
        <v>6209016.0</v>
      </c>
      <c r="E5484" s="4">
        <v>6.208001268E9</v>
      </c>
      <c r="F5484" s="8" t="s">
        <v>604</v>
      </c>
      <c r="G5484" s="4" t="s">
        <v>1100</v>
      </c>
      <c r="H5484" s="10" t="s">
        <v>445</v>
      </c>
      <c r="I5484" s="10">
        <v>300.0</v>
      </c>
      <c r="J5484" s="11" t="str">
        <f>IF(D5484&lt;&gt;"",VLOOKUP(H5484,TABLEITEM,5,FALSE),"")</f>
        <v>EA</v>
      </c>
      <c r="K5484" s="12">
        <v>0.936</v>
      </c>
      <c r="L5484" s="13" t="str">
        <f>IF(D5484&lt;&gt;"",VLOOKUP(H5484,TABLEITEM,2,FALSE),"")</f>
        <v/>
      </c>
      <c r="M5484" s="13" t="str">
        <f>IF(D5484&lt;&gt;"",VLOOKUP(H5484,TABLEITEM,3,FALSE),"")</f>
        <v>ปลอกหุ้มหางปลา V-22 เทา</v>
      </c>
      <c r="N5484" s="14">
        <f>INSTOCK!$I5484*INSTOCK!$K5484</f>
        <v>280.8</v>
      </c>
      <c r="O5484" s="4" t="s">
        <v>1842</v>
      </c>
      <c r="P5484" s="4"/>
    </row>
    <row r="5485" ht="15.75" customHeight="1">
      <c r="B5485" s="8">
        <v>5809.0</v>
      </c>
      <c r="C5485" s="9">
        <v>43708.0</v>
      </c>
      <c r="D5485" s="6" t="s">
        <v>6558</v>
      </c>
      <c r="E5485" s="4">
        <v>6.20800129E9</v>
      </c>
      <c r="F5485" s="8" t="s">
        <v>807</v>
      </c>
      <c r="G5485" s="4" t="s">
        <v>808</v>
      </c>
      <c r="H5485" s="10" t="s">
        <v>809</v>
      </c>
      <c r="I5485" s="10">
        <v>1.0</v>
      </c>
      <c r="J5485" s="11" t="str">
        <f>IF(D5485&lt;&gt;"",VLOOKUP(H5485,TABLEITEM,5,FALSE),"")</f>
        <v>ท่อ</v>
      </c>
      <c r="K5485" s="12">
        <v>2700.0</v>
      </c>
      <c r="L5485" s="13" t="str">
        <f>IF(D5485&lt;&gt;"",VLOOKUP(H5485,TABLEITEM,2,FALSE),"")</f>
        <v/>
      </c>
      <c r="M5485" s="13" t="str">
        <f>IF(D5485&lt;&gt;"",VLOOKUP(H5485,TABLEITEM,3,FALSE),"")</f>
        <v>ไนโตรเจนเหลว ขนาด 100คิว</v>
      </c>
      <c r="N5485" s="14">
        <f>INSTOCK!$I5485*INSTOCK!$K5485</f>
        <v>2700</v>
      </c>
      <c r="O5485" s="4"/>
      <c r="P5485" s="4"/>
    </row>
    <row r="5486" ht="15.75" customHeight="1">
      <c r="B5486" s="8">
        <v>5810.0</v>
      </c>
      <c r="C5486" s="9">
        <v>43708.0</v>
      </c>
      <c r="D5486" s="6" t="s">
        <v>6559</v>
      </c>
      <c r="E5486" s="4">
        <v>6.208001284E9</v>
      </c>
      <c r="F5486" s="8" t="s">
        <v>807</v>
      </c>
      <c r="G5486" s="4" t="s">
        <v>808</v>
      </c>
      <c r="H5486" s="10" t="s">
        <v>809</v>
      </c>
      <c r="I5486" s="10">
        <v>1.0</v>
      </c>
      <c r="J5486" s="11" t="str">
        <f>IF(D5486&lt;&gt;"",VLOOKUP(H5486,TABLEITEM,5,FALSE),"")</f>
        <v>ท่อ</v>
      </c>
      <c r="K5486" s="12">
        <v>2700.0</v>
      </c>
      <c r="L5486" s="13" t="str">
        <f>IF(D5486&lt;&gt;"",VLOOKUP(H5486,TABLEITEM,2,FALSE),"")</f>
        <v/>
      </c>
      <c r="M5486" s="13" t="str">
        <f>IF(D5486&lt;&gt;"",VLOOKUP(H5486,TABLEITEM,3,FALSE),"")</f>
        <v>ไนโตรเจนเหลว ขนาด 100คิว</v>
      </c>
      <c r="N5486" s="14">
        <f>INSTOCK!$I5486*INSTOCK!$K5486</f>
        <v>2700</v>
      </c>
      <c r="O5486" s="4"/>
      <c r="P5486" s="4"/>
    </row>
    <row r="5487" ht="15.75" customHeight="1">
      <c r="B5487" s="8">
        <v>5811.0</v>
      </c>
      <c r="C5487" s="9">
        <v>43710.0</v>
      </c>
      <c r="D5487" s="6" t="s">
        <v>6560</v>
      </c>
      <c r="E5487" s="4">
        <v>6.209001298E9</v>
      </c>
      <c r="F5487" s="8" t="s">
        <v>807</v>
      </c>
      <c r="G5487" s="4" t="s">
        <v>808</v>
      </c>
      <c r="H5487" s="10" t="s">
        <v>831</v>
      </c>
      <c r="I5487" s="10">
        <v>1.0</v>
      </c>
      <c r="J5487" s="11" t="str">
        <f>IF(D5487&lt;&gt;"",VLOOKUP(H5487,TABLEITEM,5,FALSE),"")</f>
        <v>ท่อ</v>
      </c>
      <c r="K5487" s="12">
        <v>7700.0</v>
      </c>
      <c r="L5487" s="13" t="str">
        <f>IF(D5487&lt;&gt;"",VLOOKUP(H5487,TABLEITEM,2,FALSE),"")</f>
        <v/>
      </c>
      <c r="M5487" s="13" t="str">
        <f>IF(D5487&lt;&gt;"",VLOOKUP(H5487,TABLEITEM,3,FALSE),"")</f>
        <v>5% CO2.34% N2,61% HELIUM 7</v>
      </c>
      <c r="N5487" s="14">
        <f>INSTOCK!$I5487*INSTOCK!$K5487</f>
        <v>7700</v>
      </c>
      <c r="O5487" s="4"/>
      <c r="P5487" s="4"/>
    </row>
    <row r="5488" ht="15.75" customHeight="1">
      <c r="B5488" s="8">
        <v>5812.0</v>
      </c>
      <c r="C5488" s="9">
        <v>43710.0</v>
      </c>
      <c r="D5488" s="6" t="s">
        <v>6561</v>
      </c>
      <c r="E5488" s="4">
        <v>6.208001291E9</v>
      </c>
      <c r="F5488" s="8" t="s">
        <v>604</v>
      </c>
      <c r="G5488" s="4" t="s">
        <v>808</v>
      </c>
      <c r="H5488" s="10" t="s">
        <v>816</v>
      </c>
      <c r="I5488" s="10">
        <v>4.0</v>
      </c>
      <c r="J5488" s="11" t="str">
        <f>IF(D5488&lt;&gt;"",VLOOKUP(H5488,TABLEITEM,5,FALSE),"")</f>
        <v>ท่อ</v>
      </c>
      <c r="K5488" s="12">
        <v>600.0</v>
      </c>
      <c r="L5488" s="13" t="str">
        <f>IF(D5488&lt;&gt;"",VLOOKUP(H5488,TABLEITEM,2,FALSE),"")</f>
        <v/>
      </c>
      <c r="M5488" s="13" t="str">
        <f>IF(D5488&lt;&gt;"",VLOOKUP(H5488,TABLEITEM,3,FALSE),"")</f>
        <v>อาร์กอน ขนาด 6คิว</v>
      </c>
      <c r="N5488" s="14">
        <f>INSTOCK!$I5488*INSTOCK!$K5488</f>
        <v>2400</v>
      </c>
      <c r="O5488" s="4"/>
      <c r="P5488" s="4"/>
    </row>
    <row r="5489" ht="15.75" customHeight="1">
      <c r="B5489" s="8">
        <v>5813.0</v>
      </c>
      <c r="C5489" s="9">
        <v>43710.0</v>
      </c>
      <c r="D5489" s="6" t="s">
        <v>6561</v>
      </c>
      <c r="E5489" s="4">
        <v>6.208001291E9</v>
      </c>
      <c r="F5489" s="8" t="s">
        <v>604</v>
      </c>
      <c r="G5489" s="4" t="s">
        <v>808</v>
      </c>
      <c r="H5489" s="10" t="s">
        <v>818</v>
      </c>
      <c r="I5489" s="10">
        <v>12.0</v>
      </c>
      <c r="J5489" s="11" t="str">
        <f>IF(D5489&lt;&gt;"",VLOOKUP(H5489,TABLEITEM,5,FALSE),"")</f>
        <v>ท่อ</v>
      </c>
      <c r="K5489" s="12">
        <v>300.0</v>
      </c>
      <c r="L5489" s="13" t="str">
        <f>IF(D5489&lt;&gt;"",VLOOKUP(H5489,TABLEITEM,2,FALSE),"")</f>
        <v/>
      </c>
      <c r="M5489" s="13" t="str">
        <f>IF(D5489&lt;&gt;"",VLOOKUP(H5489,TABLEITEM,3,FALSE),"")</f>
        <v>คาร์บอนไดออกไซด์ ขนาด 25 กก</v>
      </c>
      <c r="N5489" s="14">
        <f>INSTOCK!$I5489*INSTOCK!$K5489</f>
        <v>3600</v>
      </c>
      <c r="O5489" s="4"/>
      <c r="P5489" s="4"/>
    </row>
    <row r="5490" ht="15.75" customHeight="1">
      <c r="B5490" s="8">
        <v>5814.0</v>
      </c>
      <c r="C5490" s="9">
        <v>43710.0</v>
      </c>
      <c r="D5490" s="6" t="s">
        <v>6562</v>
      </c>
      <c r="E5490" s="4">
        <v>6.208001285E9</v>
      </c>
      <c r="F5490" s="8" t="s">
        <v>604</v>
      </c>
      <c r="G5490" s="4" t="s">
        <v>1033</v>
      </c>
      <c r="H5490" s="10" t="s">
        <v>6563</v>
      </c>
      <c r="I5490" s="10">
        <v>100.0</v>
      </c>
      <c r="J5490" s="11" t="str">
        <f>IF(D5490&lt;&gt;"",VLOOKUP(H5490,TABLEITEM,5,FALSE),"")</f>
        <v>EA</v>
      </c>
      <c r="K5490" s="12">
        <v>5.0</v>
      </c>
      <c r="L5490" s="13" t="str">
        <f>IF(D5490&lt;&gt;"",VLOOKUP(H5490,TABLEITEM,2,FALSE),"")</f>
        <v/>
      </c>
      <c r="M5490" s="13" t="str">
        <f>IF(D5490&lt;&gt;"",VLOOKUP(H5490,TABLEITEM,3,FALSE),"")</f>
        <v>กระดาษทรายกลม #80 สีเหลือง </v>
      </c>
      <c r="N5490" s="14">
        <f>INSTOCK!$I5490*INSTOCK!$K5490</f>
        <v>500</v>
      </c>
      <c r="O5490" s="4"/>
      <c r="P5490" s="4"/>
    </row>
    <row r="5491" ht="15.75" customHeight="1">
      <c r="B5491" s="8">
        <v>5815.0</v>
      </c>
      <c r="C5491" s="9">
        <v>43710.0</v>
      </c>
      <c r="D5491" s="6" t="s">
        <v>6564</v>
      </c>
      <c r="E5491" s="4">
        <v>6.208001263E9</v>
      </c>
      <c r="F5491" s="8" t="s">
        <v>604</v>
      </c>
      <c r="G5491" s="4" t="s">
        <v>1033</v>
      </c>
      <c r="H5491" s="10" t="s">
        <v>24</v>
      </c>
      <c r="I5491" s="10">
        <v>1000.0</v>
      </c>
      <c r="J5491" s="11" t="str">
        <f>IF(D5491&lt;&gt;"",VLOOKUP(H5491,TABLEITEM,5,FALSE),"")</f>
        <v>EA</v>
      </c>
      <c r="K5491" s="12">
        <v>4.5</v>
      </c>
      <c r="L5491" s="13" t="str">
        <f>IF(D5491&lt;&gt;"",VLOOKUP(H5491,TABLEITEM,2,FALSE),"")</f>
        <v/>
      </c>
      <c r="M5491" s="13" t="str">
        <f>IF(D5491&lt;&gt;"",VLOOKUP(H5491,TABLEITEM,3,FALSE),"")</f>
        <v>กระดาษทรายกลม#120</v>
      </c>
      <c r="N5491" s="14">
        <f>INSTOCK!$I5491*INSTOCK!$K5491</f>
        <v>4500</v>
      </c>
      <c r="O5491" s="4"/>
      <c r="P5491" s="4"/>
    </row>
    <row r="5492" ht="15.75" customHeight="1">
      <c r="B5492" s="8">
        <v>5816.0</v>
      </c>
      <c r="C5492" s="9">
        <v>43710.0</v>
      </c>
      <c r="D5492" s="6" t="s">
        <v>6565</v>
      </c>
      <c r="E5492" s="4">
        <v>6.208001259E9</v>
      </c>
      <c r="F5492" s="8" t="s">
        <v>604</v>
      </c>
      <c r="G5492" s="4" t="s">
        <v>1611</v>
      </c>
      <c r="H5492" s="10" t="s">
        <v>189</v>
      </c>
      <c r="I5492" s="10">
        <v>200.0</v>
      </c>
      <c r="J5492" s="11" t="str">
        <f>IF(D5492&lt;&gt;"",VLOOKUP(H5492,TABLEITEM,5,FALSE),"")</f>
        <v>EA</v>
      </c>
      <c r="K5492" s="12">
        <v>5.0</v>
      </c>
      <c r="L5492" s="13" t="str">
        <f>IF(D5492&lt;&gt;"",VLOOKUP(H5492,TABLEITEM,2,FALSE),"")</f>
        <v/>
      </c>
      <c r="M5492" s="13" t="str">
        <f>IF(D5492&lt;&gt;"",VLOOKUP(H5492,TABLEITEM,3,FALSE),"")</f>
        <v>END PLATE TXA1</v>
      </c>
      <c r="N5492" s="14">
        <f>INSTOCK!$I5492*INSTOCK!$K5492</f>
        <v>1000</v>
      </c>
      <c r="O5492" s="4"/>
      <c r="P5492" s="4"/>
    </row>
    <row r="5493" ht="15.75" customHeight="1">
      <c r="B5493" s="8">
        <v>5817.0</v>
      </c>
      <c r="C5493" s="9">
        <v>43710.0</v>
      </c>
      <c r="D5493" s="6" t="s">
        <v>6565</v>
      </c>
      <c r="E5493" s="4">
        <v>6.208001259E9</v>
      </c>
      <c r="F5493" s="8" t="s">
        <v>604</v>
      </c>
      <c r="G5493" s="4" t="s">
        <v>1611</v>
      </c>
      <c r="H5493" s="10" t="s">
        <v>194</v>
      </c>
      <c r="I5493" s="10">
        <v>50.0</v>
      </c>
      <c r="J5493" s="11" t="str">
        <f>IF(D5493&lt;&gt;"",VLOOKUP(H5493,TABLEITEM,5,FALSE),"")</f>
        <v>EA</v>
      </c>
      <c r="K5493" s="12">
        <v>8.8</v>
      </c>
      <c r="L5493" s="13" t="str">
        <f>IF(D5493&lt;&gt;"",VLOOKUP(H5493,TABLEITEM,2,FALSE),"")</f>
        <v/>
      </c>
      <c r="M5493" s="13" t="str">
        <f>IF(D5493&lt;&gt;"",VLOOKUP(H5493,TABLEITEM,3,FALSE),"")</f>
        <v>END PLATE TXA6</v>
      </c>
      <c r="N5493" s="14">
        <f>INSTOCK!$I5493*INSTOCK!$K5493</f>
        <v>440</v>
      </c>
      <c r="O5493" s="4"/>
      <c r="P5493" s="4"/>
    </row>
    <row r="5494" ht="15.75" customHeight="1">
      <c r="B5494" s="8">
        <v>5818.0</v>
      </c>
      <c r="C5494" s="9">
        <v>43710.0</v>
      </c>
      <c r="D5494" s="6" t="s">
        <v>6566</v>
      </c>
      <c r="E5494" s="4">
        <v>6.208001286E9</v>
      </c>
      <c r="F5494" s="8" t="s">
        <v>6567</v>
      </c>
      <c r="G5494" s="4" t="s">
        <v>702</v>
      </c>
      <c r="H5494" s="10" t="s">
        <v>779</v>
      </c>
      <c r="I5494" s="10">
        <v>20.0</v>
      </c>
      <c r="J5494" s="11" t="str">
        <f>IF(D5494&lt;&gt;"",VLOOKUP(H5494,TABLEITEM,5,FALSE),"")</f>
        <v>KG.</v>
      </c>
      <c r="K5494" s="12">
        <v>130.0</v>
      </c>
      <c r="L5494" s="13" t="str">
        <f>IF(D5494&lt;&gt;"",VLOOKUP(H5494,TABLEITEM,2,FALSE),"")</f>
        <v/>
      </c>
      <c r="M5494" s="13" t="str">
        <f>IF(D5494&lt;&gt;"",VLOOKUP(H5494,TABLEITEM,3,FALSE),"")</f>
        <v>สีฝุ่น FF110/948/C สีครีม</v>
      </c>
      <c r="N5494" s="14">
        <f>INSTOCK!$I5494*INSTOCK!$K5494</f>
        <v>2600</v>
      </c>
      <c r="O5494" s="4"/>
      <c r="P5494" s="4"/>
    </row>
    <row r="5495" ht="15.75" customHeight="1">
      <c r="B5495" s="8">
        <v>5819.0</v>
      </c>
      <c r="C5495" s="9">
        <v>43710.0</v>
      </c>
      <c r="D5495" s="6" t="s">
        <v>6568</v>
      </c>
      <c r="E5495" s="4">
        <v>6.208001261E9</v>
      </c>
      <c r="F5495" s="8" t="s">
        <v>604</v>
      </c>
      <c r="G5495" s="4" t="s">
        <v>702</v>
      </c>
      <c r="H5495" s="10" t="s">
        <v>80</v>
      </c>
      <c r="I5495" s="10">
        <v>100.0</v>
      </c>
      <c r="J5495" s="11" t="str">
        <f>IF(D5495&lt;&gt;"",VLOOKUP(H5495,TABLEITEM,5,FALSE),"")</f>
        <v>KG.</v>
      </c>
      <c r="K5495" s="12">
        <v>115.0</v>
      </c>
      <c r="L5495" s="13" t="str">
        <f>IF(D5495&lt;&gt;"",VLOOKUP(H5495,TABLEITEM,2,FALSE),"")</f>
        <v/>
      </c>
      <c r="M5495" s="13" t="str">
        <f>IF(D5495&lt;&gt;"",VLOOKUP(H5495,TABLEITEM,3,FALSE),"")</f>
        <v>สีฝุ่น FF 110/815/C สีผิวเงา</v>
      </c>
      <c r="N5495" s="14">
        <f>INSTOCK!$I5495*INSTOCK!$K5495</f>
        <v>11500</v>
      </c>
      <c r="O5495" s="4"/>
      <c r="P5495" s="4"/>
    </row>
    <row r="5496" ht="15.75" customHeight="1">
      <c r="B5496" s="8">
        <v>5820.0</v>
      </c>
      <c r="C5496" s="9">
        <v>43710.0</v>
      </c>
      <c r="D5496" s="6" t="s">
        <v>6569</v>
      </c>
      <c r="E5496" s="4">
        <v>6.208001287E9</v>
      </c>
      <c r="F5496" s="8" t="s">
        <v>6567</v>
      </c>
      <c r="G5496" s="4" t="s">
        <v>1258</v>
      </c>
      <c r="H5496" s="10" t="s">
        <v>1261</v>
      </c>
      <c r="I5496" s="10">
        <v>20.0</v>
      </c>
      <c r="J5496" s="11" t="str">
        <f>IF(D5496&lt;&gt;"",VLOOKUP(H5496,TABLEITEM,5,FALSE),"")</f>
        <v>KG.</v>
      </c>
      <c r="K5496" s="12">
        <v>130.0</v>
      </c>
      <c r="L5496" s="13" t="str">
        <f>IF(D5496&lt;&gt;"",VLOOKUP(H5496,TABLEITEM,2,FALSE),"")</f>
        <v/>
      </c>
      <c r="M5496" s="13" t="str">
        <f>IF(D5496&lt;&gt;"",VLOOKUP(H5496,TABLEITEM,3,FALSE),"")</f>
        <v>สีฝุ่น HB 45014 N GREY</v>
      </c>
      <c r="N5496" s="14">
        <f>INSTOCK!$I5496*INSTOCK!$K5496</f>
        <v>2600</v>
      </c>
      <c r="O5496" s="4"/>
      <c r="P5496" s="4"/>
    </row>
    <row r="5497" ht="15.75" customHeight="1">
      <c r="B5497" s="8">
        <v>5821.0</v>
      </c>
      <c r="C5497" s="9">
        <v>43710.0</v>
      </c>
      <c r="D5497" s="6" t="s">
        <v>6570</v>
      </c>
      <c r="E5497" s="4">
        <v>6.208001264E9</v>
      </c>
      <c r="F5497" s="8" t="s">
        <v>604</v>
      </c>
      <c r="G5497" s="4" t="s">
        <v>737</v>
      </c>
      <c r="H5497" s="10" t="s">
        <v>16</v>
      </c>
      <c r="I5497" s="10">
        <v>360.0</v>
      </c>
      <c r="J5497" s="11" t="str">
        <f>IF(D5497&lt;&gt;"",VLOOKUP(H5497,TABLEITEM,5,FALSE),"")</f>
        <v>คู่</v>
      </c>
      <c r="K5497" s="12">
        <v>4.5834</v>
      </c>
      <c r="L5497" s="13" t="str">
        <f>IF(D5497&lt;&gt;"",VLOOKUP(H5497,TABLEITEM,2,FALSE),"")</f>
        <v/>
      </c>
      <c r="M5497" s="13" t="str">
        <f>IF(D5497&lt;&gt;"",VLOOKUP(H5497,TABLEITEM,3,FALSE),"")</f>
        <v>ถุงมือผ้า</v>
      </c>
      <c r="N5497" s="14">
        <f>INSTOCK!$I5497*INSTOCK!$K5497</f>
        <v>1650.024</v>
      </c>
      <c r="O5497" s="4" t="s">
        <v>6571</v>
      </c>
      <c r="P5497" s="4"/>
    </row>
    <row r="5498" ht="15.75" customHeight="1">
      <c r="B5498" s="8">
        <v>5822.0</v>
      </c>
      <c r="C5498" s="9">
        <v>43710.0</v>
      </c>
      <c r="D5498" s="6">
        <v>40081.0</v>
      </c>
      <c r="E5498" s="4">
        <v>6.208001292E9</v>
      </c>
      <c r="F5498" s="8" t="s">
        <v>604</v>
      </c>
      <c r="G5498" s="4" t="s">
        <v>696</v>
      </c>
      <c r="H5498" s="10" t="s">
        <v>66</v>
      </c>
      <c r="I5498" s="10">
        <v>12.0</v>
      </c>
      <c r="J5498" s="11" t="str">
        <f>IF(D5498&lt;&gt;"",VLOOKUP(H5498,TABLEITEM,5,FALSE),"")</f>
        <v>กป.</v>
      </c>
      <c r="K5498" s="12">
        <v>41.6667</v>
      </c>
      <c r="L5498" s="13" t="str">
        <f>IF(D5498&lt;&gt;"",VLOOKUP(H5498,TABLEITEM,2,FALSE),"")</f>
        <v/>
      </c>
      <c r="M5498" s="13" t="str">
        <f>IF(D5498&lt;&gt;"",VLOOKUP(H5498,TABLEITEM,3,FALSE),"")</f>
        <v>สีสเปรย์ สีดำ</v>
      </c>
      <c r="N5498" s="14">
        <f>INSTOCK!$I5498*INSTOCK!$K5498</f>
        <v>500.0004</v>
      </c>
      <c r="O5498" s="4"/>
      <c r="P5498" s="4"/>
    </row>
    <row r="5499" ht="15.75" customHeight="1">
      <c r="B5499" s="8">
        <v>5823.0</v>
      </c>
      <c r="C5499" s="9">
        <v>43710.0</v>
      </c>
      <c r="D5499" s="6">
        <v>40081.0</v>
      </c>
      <c r="E5499" s="4">
        <v>6.208001292E9</v>
      </c>
      <c r="F5499" s="8" t="s">
        <v>604</v>
      </c>
      <c r="G5499" s="4" t="s">
        <v>696</v>
      </c>
      <c r="H5499" s="10" t="s">
        <v>65</v>
      </c>
      <c r="I5499" s="10">
        <v>12.0</v>
      </c>
      <c r="J5499" s="11" t="str">
        <f>IF(D5499&lt;&gt;"",VLOOKUP(H5499,TABLEITEM,5,FALSE),"")</f>
        <v>กป.</v>
      </c>
      <c r="K5499" s="12">
        <v>41.667</v>
      </c>
      <c r="L5499" s="13" t="str">
        <f>IF(D5499&lt;&gt;"",VLOOKUP(H5499,TABLEITEM,2,FALSE),"")</f>
        <v/>
      </c>
      <c r="M5499" s="13" t="str">
        <f>IF(D5499&lt;&gt;"",VLOOKUP(H5499,TABLEITEM,3,FALSE),"")</f>
        <v>สีสเปรย์ สีเขียว</v>
      </c>
      <c r="N5499" s="14">
        <f>INSTOCK!$I5499*INSTOCK!$K5499</f>
        <v>500.004</v>
      </c>
      <c r="O5499" s="4"/>
      <c r="P5499" s="4"/>
    </row>
    <row r="5500" ht="15.75" customHeight="1">
      <c r="B5500" s="8">
        <v>5824.0</v>
      </c>
      <c r="C5500" s="9">
        <v>43710.0</v>
      </c>
      <c r="D5500" s="6">
        <v>40081.0</v>
      </c>
      <c r="E5500" s="4">
        <v>6.208001292E9</v>
      </c>
      <c r="F5500" s="8" t="s">
        <v>604</v>
      </c>
      <c r="G5500" s="4" t="s">
        <v>696</v>
      </c>
      <c r="H5500" s="10" t="s">
        <v>67</v>
      </c>
      <c r="I5500" s="10">
        <v>12.0</v>
      </c>
      <c r="J5500" s="11" t="str">
        <f>IF(D5500&lt;&gt;"",VLOOKUP(H5500,TABLEITEM,5,FALSE),"")</f>
        <v>กป.</v>
      </c>
      <c r="K5500" s="12">
        <v>41.667</v>
      </c>
      <c r="L5500" s="13" t="str">
        <f>IF(D5500&lt;&gt;"",VLOOKUP(H5500,TABLEITEM,2,FALSE),"")</f>
        <v/>
      </c>
      <c r="M5500" s="13" t="str">
        <f>IF(D5500&lt;&gt;"",VLOOKUP(H5500,TABLEITEM,3,FALSE),"")</f>
        <v>สีสเปรย์ สีฟ้า</v>
      </c>
      <c r="N5500" s="14">
        <f>INSTOCK!$I5500*INSTOCK!$K5500</f>
        <v>500.004</v>
      </c>
      <c r="O5500" s="4"/>
      <c r="P5500" s="4"/>
    </row>
    <row r="5501" ht="15.75" customHeight="1">
      <c r="B5501" s="8">
        <v>5825.0</v>
      </c>
      <c r="C5501" s="9">
        <v>43710.0</v>
      </c>
      <c r="D5501" s="6" t="s">
        <v>6572</v>
      </c>
      <c r="E5501" s="4">
        <v>6.20800127E9</v>
      </c>
      <c r="F5501" s="8" t="s">
        <v>604</v>
      </c>
      <c r="G5501" s="4" t="s">
        <v>725</v>
      </c>
      <c r="H5501" s="10" t="s">
        <v>26</v>
      </c>
      <c r="I5501" s="10">
        <v>1500.0</v>
      </c>
      <c r="J5501" s="11" t="str">
        <f>IF(D5501&lt;&gt;"",VLOOKUP(H5501,TABLEITEM,5,FALSE),"")</f>
        <v>M</v>
      </c>
      <c r="K5501" s="12">
        <v>18.0</v>
      </c>
      <c r="L5501" s="13" t="str">
        <f>IF(D5501&lt;&gt;"",VLOOKUP(H5501,TABLEITEM,2,FALSE),"")</f>
        <v/>
      </c>
      <c r="M5501" s="13" t="str">
        <f>IF(D5501&lt;&gt;"",VLOOKUP(H5501,TABLEITEM,3,FALSE),"")</f>
        <v>ยางโปร่ง#110</v>
      </c>
      <c r="N5501" s="14">
        <f>INSTOCK!$I5501*INSTOCK!$K5501</f>
        <v>27000</v>
      </c>
      <c r="O5501" s="4"/>
      <c r="P5501" s="4"/>
    </row>
    <row r="5502" ht="15.75" customHeight="1">
      <c r="B5502" s="8">
        <v>5826.0</v>
      </c>
      <c r="C5502" s="9">
        <v>43710.0</v>
      </c>
      <c r="D5502" s="6" t="s">
        <v>6572</v>
      </c>
      <c r="E5502" s="4">
        <v>6.20800127E9</v>
      </c>
      <c r="F5502" s="8" t="s">
        <v>604</v>
      </c>
      <c r="G5502" s="4" t="s">
        <v>725</v>
      </c>
      <c r="H5502" s="10" t="s">
        <v>726</v>
      </c>
      <c r="I5502" s="10">
        <v>400.0</v>
      </c>
      <c r="J5502" s="11" t="str">
        <f>IF(D5502&lt;&gt;"",VLOOKUP(H5502,TABLEITEM,5,FALSE),"")</f>
        <v>M</v>
      </c>
      <c r="K5502" s="12">
        <v>10.0</v>
      </c>
      <c r="L5502" s="13" t="str">
        <f>IF(D5502&lt;&gt;"",VLOOKUP(H5502,TABLEITEM,2,FALSE),"")</f>
        <v/>
      </c>
      <c r="M5502" s="13" t="str">
        <f>IF(D5502&lt;&gt;"",VLOOKUP(H5502,TABLEITEM,3,FALSE),"")</f>
        <v>ยางกันบาดร่อง 10มิล</v>
      </c>
      <c r="N5502" s="14">
        <f>INSTOCK!$I5502*INSTOCK!$K5502</f>
        <v>4000</v>
      </c>
      <c r="O5502" s="4"/>
      <c r="P5502" s="4"/>
    </row>
    <row r="5503" ht="15.75" customHeight="1">
      <c r="B5503" s="8">
        <v>5827.0</v>
      </c>
      <c r="C5503" s="9">
        <v>43710.0</v>
      </c>
      <c r="D5503" s="6" t="s">
        <v>6573</v>
      </c>
      <c r="E5503" s="4">
        <v>6.208001258E9</v>
      </c>
      <c r="F5503" s="8" t="s">
        <v>604</v>
      </c>
      <c r="G5503" s="4" t="s">
        <v>2121</v>
      </c>
      <c r="H5503" s="10" t="s">
        <v>5346</v>
      </c>
      <c r="I5503" s="10">
        <v>5000.0</v>
      </c>
      <c r="J5503" s="11" t="str">
        <f>IF(D5503&lt;&gt;"",VLOOKUP(H5503,TABLEITEM,5,FALSE),"")</f>
        <v>EA</v>
      </c>
      <c r="K5503" s="12">
        <v>0.37</v>
      </c>
      <c r="L5503" s="13" t="str">
        <f>IF(D5503&lt;&gt;"",VLOOKUP(H5503,TABLEITEM,2,FALSE),"")</f>
        <v/>
      </c>
      <c r="M5503" s="13" t="str">
        <f>IF(D5503&lt;&gt;"",VLOOKUP(H5503,TABLEITEM,3,FALSE),"")</f>
        <v>สกรูเกลียวปล่อยปลายตัด M4x10</v>
      </c>
      <c r="N5503" s="14">
        <f>INSTOCK!$I5503*INSTOCK!$K5503</f>
        <v>1850</v>
      </c>
      <c r="O5503" s="4"/>
      <c r="P5503" s="4"/>
    </row>
    <row r="5504" ht="15.75" customHeight="1">
      <c r="B5504" s="8">
        <v>5828.0</v>
      </c>
      <c r="C5504" s="9">
        <v>43710.0</v>
      </c>
      <c r="D5504" s="6" t="s">
        <v>6574</v>
      </c>
      <c r="E5504" s="4">
        <v>6.208001295E9</v>
      </c>
      <c r="F5504" s="8" t="s">
        <v>604</v>
      </c>
      <c r="G5504" s="4" t="s">
        <v>729</v>
      </c>
      <c r="H5504" s="10" t="s">
        <v>1380</v>
      </c>
      <c r="I5504" s="10">
        <v>20.0</v>
      </c>
      <c r="J5504" s="11" t="str">
        <f>IF(D5504&lt;&gt;"",VLOOKUP(H5504,TABLEITEM,5,FALSE),"")</f>
        <v>EA</v>
      </c>
      <c r="K5504" s="12">
        <v>450.0</v>
      </c>
      <c r="L5504" s="13" t="str">
        <f>IF(D5504&lt;&gt;"",VLOOKUP(H5504,TABLEITEM,2,FALSE),"")</f>
        <v/>
      </c>
      <c r="M5504" s="13" t="str">
        <f>IF(D5504&lt;&gt;"",VLOOKUP(H5504,TABLEITEM,3,FALSE),"")</f>
        <v>พีวีซี สีดำ 670x1460 หนา 0.5มม</v>
      </c>
      <c r="N5504" s="14">
        <f>INSTOCK!$I5504*INSTOCK!$K5504</f>
        <v>9000</v>
      </c>
      <c r="O5504" s="4"/>
      <c r="P5504" s="4"/>
    </row>
    <row r="5505" ht="15.75" customHeight="1">
      <c r="B5505" s="8">
        <v>5829.0</v>
      </c>
      <c r="C5505" s="9">
        <v>43710.0</v>
      </c>
      <c r="D5505" s="6" t="s">
        <v>6575</v>
      </c>
      <c r="E5505" s="4">
        <v>6.208001289E9</v>
      </c>
      <c r="F5505" s="8" t="s">
        <v>1989</v>
      </c>
      <c r="G5505" s="4" t="s">
        <v>2014</v>
      </c>
      <c r="H5505" s="10" t="s">
        <v>6576</v>
      </c>
      <c r="I5505" s="10">
        <v>5.0</v>
      </c>
      <c r="J5505" s="11" t="str">
        <f>IF(D5505&lt;&gt;"",VLOOKUP(H5505,TABLEITEM,5,FALSE),"")</f>
        <v>EA</v>
      </c>
      <c r="K5505" s="12">
        <v>73.83</v>
      </c>
      <c r="L5505" s="13" t="str">
        <f>IF(D5505&lt;&gt;"",VLOOKUP(H5505,TABLEITEM,2,FALSE),"")</f>
        <v/>
      </c>
      <c r="M5505" s="13" t="str">
        <f>IF(D5505&lt;&gt;"",VLOOKUP(H5505,TABLEITEM,3,FALSE),"")</f>
        <v>ปากกาเพ้นท์ 2มม ทอง XPMK-B41502</v>
      </c>
      <c r="N5505" s="14">
        <f>INSTOCK!$I5505*INSTOCK!$K5505</f>
        <v>369.15</v>
      </c>
      <c r="O5505" s="4"/>
      <c r="P5505" s="4"/>
    </row>
    <row r="5506" ht="15.75" customHeight="1">
      <c r="B5506" s="8">
        <v>5830.0</v>
      </c>
      <c r="C5506" s="9">
        <v>43710.0</v>
      </c>
      <c r="D5506" s="6" t="s">
        <v>6575</v>
      </c>
      <c r="E5506" s="4">
        <v>6.208001289E9</v>
      </c>
      <c r="F5506" s="8" t="s">
        <v>1989</v>
      </c>
      <c r="G5506" s="4" t="s">
        <v>2014</v>
      </c>
      <c r="H5506" s="10" t="s">
        <v>6577</v>
      </c>
      <c r="I5506" s="10">
        <v>5.0</v>
      </c>
      <c r="J5506" s="11" t="str">
        <f>IF(D5506&lt;&gt;"",VLOOKUP(H5506,TABLEITEM,5,FALSE),"")</f>
        <v>EA</v>
      </c>
      <c r="K5506" s="12">
        <v>73.83</v>
      </c>
      <c r="L5506" s="13" t="str">
        <f>IF(D5506&lt;&gt;"",VLOOKUP(H5506,TABLEITEM,2,FALSE),"")</f>
        <v/>
      </c>
      <c r="M5506" s="13" t="str">
        <f>IF(D5506&lt;&gt;"",VLOOKUP(H5506,TABLEITEM,3,FALSE),"")</f>
        <v>ปากกาเพ้นท์ 2มม เงิน XPMK-B41502</v>
      </c>
      <c r="N5506" s="14">
        <f>INSTOCK!$I5506*INSTOCK!$K5506</f>
        <v>369.15</v>
      </c>
      <c r="O5506" s="4"/>
      <c r="P5506" s="4"/>
    </row>
    <row r="5507" ht="15.75" customHeight="1">
      <c r="B5507" s="8">
        <v>5831.0</v>
      </c>
      <c r="C5507" s="9">
        <v>43710.0</v>
      </c>
      <c r="D5507" s="6" t="s">
        <v>6575</v>
      </c>
      <c r="E5507" s="4">
        <v>6.208001289E9</v>
      </c>
      <c r="F5507" s="8" t="s">
        <v>1989</v>
      </c>
      <c r="G5507" s="4" t="s">
        <v>2014</v>
      </c>
      <c r="H5507" s="10" t="s">
        <v>6177</v>
      </c>
      <c r="I5507" s="10">
        <v>5.0</v>
      </c>
      <c r="J5507" s="11" t="str">
        <f>IF(D5507&lt;&gt;"",VLOOKUP(H5507,TABLEITEM,5,FALSE),"")</f>
        <v>EA</v>
      </c>
      <c r="K5507" s="12">
        <v>271.03</v>
      </c>
      <c r="L5507" s="13" t="str">
        <f>IF(D5507&lt;&gt;"",VLOOKUP(H5507,TABLEITEM,2,FALSE),"")</f>
        <v/>
      </c>
      <c r="M5507" s="13" t="str">
        <f>IF(D5507&lt;&gt;"",VLOOKUP(H5507,TABLEITEM,3,FALSE),"")</f>
        <v>เม้าท์ออฟติคัล สีดำ M100R</v>
      </c>
      <c r="N5507" s="14">
        <f>INSTOCK!$I5507*INSTOCK!$K5507</f>
        <v>1355.15</v>
      </c>
      <c r="O5507" s="4"/>
      <c r="P5507" s="4"/>
    </row>
    <row r="5508" ht="15.75" customHeight="1">
      <c r="B5508" s="8">
        <v>5832.0</v>
      </c>
      <c r="C5508" s="9">
        <v>43710.0</v>
      </c>
      <c r="D5508" s="6" t="s">
        <v>6575</v>
      </c>
      <c r="E5508" s="4">
        <v>6.208001289E9</v>
      </c>
      <c r="F5508" s="8" t="s">
        <v>1989</v>
      </c>
      <c r="G5508" s="4" t="s">
        <v>2014</v>
      </c>
      <c r="H5508" s="10" t="s">
        <v>6578</v>
      </c>
      <c r="I5508" s="10">
        <v>1.0</v>
      </c>
      <c r="J5508" s="11" t="str">
        <f>IF(D5508&lt;&gt;"",VLOOKUP(H5508,TABLEITEM,5,FALSE),"")</f>
        <v>EA</v>
      </c>
      <c r="K5508" s="12">
        <v>182.24</v>
      </c>
      <c r="L5508" s="13" t="str">
        <f>IF(D5508&lt;&gt;"",VLOOKUP(H5508,TABLEITEM,2,FALSE),"")</f>
        <v/>
      </c>
      <c r="M5508" s="13" t="str">
        <f>IF(D5508&lt;&gt;"",VLOOKUP(H5508,TABLEITEM,3,FALSE),"")</f>
        <v>กระดาษการ์ดสี 01 A4 200 แกรม (50แผ่น/แพ็ค)</v>
      </c>
      <c r="N5508" s="14">
        <f>INSTOCK!$I5508*INSTOCK!$K5508</f>
        <v>182.24</v>
      </c>
      <c r="O5508" s="4"/>
      <c r="P5508" s="4"/>
    </row>
    <row r="5509" ht="15.75" customHeight="1">
      <c r="B5509" s="8">
        <v>5833.0</v>
      </c>
      <c r="C5509" s="9">
        <v>43706.0</v>
      </c>
      <c r="D5509" s="6" t="s">
        <v>6579</v>
      </c>
      <c r="E5509" s="4">
        <v>6.20800119E9</v>
      </c>
      <c r="F5509" s="8" t="s">
        <v>604</v>
      </c>
      <c r="G5509" s="4" t="s">
        <v>3099</v>
      </c>
      <c r="H5509" s="10" t="s">
        <v>4823</v>
      </c>
      <c r="I5509" s="10">
        <v>1243.0</v>
      </c>
      <c r="J5509" s="11" t="str">
        <f>IF(D5509&lt;&gt;"",VLOOKUP(H5509,TABLEITEM,5,FALSE),"")</f>
        <v>EA</v>
      </c>
      <c r="K5509" s="12">
        <v>8.9</v>
      </c>
      <c r="L5509" s="13" t="str">
        <f>IF(D5509&lt;&gt;"",VLOOKUP(H5509,TABLEITEM,2,FALSE),"")</f>
        <v/>
      </c>
      <c r="M5509" s="13" t="str">
        <f>IF(D5509&lt;&gt;"",VLOOKUP(H5509,TABLEITEM,3,FALSE),"")</f>
        <v>บานพับตู้ Panel</v>
      </c>
      <c r="N5509" s="14">
        <f>INSTOCK!$I5509*INSTOCK!$K5509</f>
        <v>11062.7</v>
      </c>
      <c r="O5509" s="4"/>
      <c r="P5509" s="4"/>
    </row>
    <row r="5510" ht="15.75" customHeight="1">
      <c r="B5510" s="8">
        <v>5834.0</v>
      </c>
      <c r="C5510" s="9">
        <v>43705.0</v>
      </c>
      <c r="D5510" s="6">
        <v>6208073.0</v>
      </c>
      <c r="E5510" s="4">
        <v>6.208001277E9</v>
      </c>
      <c r="F5510" s="8" t="s">
        <v>6213</v>
      </c>
      <c r="G5510" s="4" t="s">
        <v>1130</v>
      </c>
      <c r="H5510" s="10" t="s">
        <v>333</v>
      </c>
      <c r="I5510" s="10">
        <v>20.0</v>
      </c>
      <c r="J5510" s="11" t="str">
        <f>IF(D5510&lt;&gt;"",VLOOKUP(H5510,TABLEITEM,5,FALSE),"")</f>
        <v>EA</v>
      </c>
      <c r="K5510" s="12">
        <v>126.0</v>
      </c>
      <c r="L5510" s="13" t="str">
        <f>IF(D5510&lt;&gt;"",VLOOKUP(H5510,TABLEITEM,2,FALSE),"")</f>
        <v/>
      </c>
      <c r="M5510" s="13" t="str">
        <f>IF(D5510&lt;&gt;"",VLOOKUP(H5510,TABLEITEM,3,FALSE),"")</f>
        <v>หางปลากลมเปลือย 240-12</v>
      </c>
      <c r="N5510" s="14">
        <f>INSTOCK!$I5510*INSTOCK!$K5510</f>
        <v>2520</v>
      </c>
      <c r="O5510" s="4" t="s">
        <v>6580</v>
      </c>
      <c r="P5510" s="4"/>
    </row>
    <row r="5511" ht="15.75" customHeight="1">
      <c r="B5511" s="8">
        <v>5835.0</v>
      </c>
      <c r="C5511" s="9">
        <v>43706.0</v>
      </c>
      <c r="D5511" s="6">
        <v>6.2081436E7</v>
      </c>
      <c r="E5511" s="4">
        <v>6.208001282E9</v>
      </c>
      <c r="F5511" s="8" t="s">
        <v>6581</v>
      </c>
      <c r="G5511" s="4" t="s">
        <v>711</v>
      </c>
      <c r="H5511" s="10" t="s">
        <v>105</v>
      </c>
      <c r="I5511" s="10">
        <v>20.0</v>
      </c>
      <c r="J5511" s="11" t="str">
        <f>IF(D5511&lt;&gt;"",VLOOKUP(H5511,TABLEITEM,5,FALSE),"")</f>
        <v>KG.</v>
      </c>
      <c r="K5511" s="12">
        <v>165.75</v>
      </c>
      <c r="L5511" s="13" t="str">
        <f>IF(D5511&lt;&gt;"",VLOOKUP(H5511,TABLEITEM,2,FALSE),"")</f>
        <v/>
      </c>
      <c r="M5511" s="13" t="str">
        <f>IF(D5511&lt;&gt;"",VLOOKUP(H5511,TABLEITEM,3,FALSE),"")</f>
        <v>สีฝุ่น M10001 WN</v>
      </c>
      <c r="N5511" s="14">
        <f>INSTOCK!$I5511*INSTOCK!$K5511</f>
        <v>3315</v>
      </c>
      <c r="O5511" s="4" t="s">
        <v>971</v>
      </c>
      <c r="P5511" s="4"/>
    </row>
    <row r="5512" ht="15.75" customHeight="1">
      <c r="B5512" s="8">
        <v>5836.0</v>
      </c>
      <c r="C5512" s="9">
        <v>43706.0</v>
      </c>
      <c r="D5512" s="6">
        <v>1908248.0</v>
      </c>
      <c r="E5512" s="4">
        <v>6.208001276E9</v>
      </c>
      <c r="F5512" s="8" t="s">
        <v>604</v>
      </c>
      <c r="G5512" s="4" t="s">
        <v>5349</v>
      </c>
      <c r="H5512" s="10" t="s">
        <v>85</v>
      </c>
      <c r="I5512" s="10">
        <v>200.0</v>
      </c>
      <c r="J5512" s="11" t="str">
        <f>IF(D5512&lt;&gt;"",VLOOKUP(H5512,TABLEITEM,5,FALSE),"")</f>
        <v>KG.</v>
      </c>
      <c r="K5512" s="12">
        <v>112.0</v>
      </c>
      <c r="L5512" s="13" t="str">
        <f>IF(D5512&lt;&gt;"",VLOOKUP(H5512,TABLEITEM,2,FALSE),"")</f>
        <v/>
      </c>
      <c r="M5512" s="13" t="str">
        <f>IF(D5512&lt;&gt;"",VLOOKUP(H5512,TABLEITEM,3,FALSE),"")</f>
        <v>สีฝุ่น GH433241 สีเทาย่น</v>
      </c>
      <c r="N5512" s="14">
        <f>INSTOCK!$I5512*INSTOCK!$K5512</f>
        <v>22400</v>
      </c>
      <c r="O5512" s="4"/>
      <c r="P5512" s="4"/>
    </row>
    <row r="5513" ht="15.75" customHeight="1">
      <c r="B5513" s="8">
        <v>5837.0</v>
      </c>
      <c r="C5513" s="9">
        <v>43706.0</v>
      </c>
      <c r="D5513" s="6">
        <v>40002.0</v>
      </c>
      <c r="E5513" s="4">
        <v>6.208001278E9</v>
      </c>
      <c r="F5513" s="8" t="s">
        <v>6582</v>
      </c>
      <c r="G5513" s="4" t="s">
        <v>696</v>
      </c>
      <c r="H5513" s="10" t="s">
        <v>6583</v>
      </c>
      <c r="I5513" s="10">
        <v>1.0</v>
      </c>
      <c r="J5513" s="11" t="str">
        <f>IF(D5513&lt;&gt;"",VLOOKUP(H5513,TABLEITEM,5,FALSE),"")</f>
        <v>EA</v>
      </c>
      <c r="K5513" s="12">
        <v>2000.0</v>
      </c>
      <c r="L5513" s="13" t="str">
        <f>IF(D5513&lt;&gt;"",VLOOKUP(H5513,TABLEITEM,2,FALSE),"")</f>
        <v/>
      </c>
      <c r="M5513" s="13" t="str">
        <f>IF(D5513&lt;&gt;"",VLOOKUP(H5513,TABLEITEM,3,FALSE),"")</f>
        <v>เครื่องดูดฝุ่นมือ ZB6106WD แบตเตอรี่</v>
      </c>
      <c r="N5513" s="14">
        <f>INSTOCK!$I5513*INSTOCK!$K5513</f>
        <v>2000</v>
      </c>
      <c r="O5513" s="4"/>
      <c r="P5513" s="4"/>
    </row>
    <row r="5514" ht="15.75" customHeight="1">
      <c r="B5514" s="8">
        <v>5838.0</v>
      </c>
      <c r="C5514" s="9">
        <v>43690.0</v>
      </c>
      <c r="D5514" s="6">
        <v>38522.0</v>
      </c>
      <c r="E5514" s="4"/>
      <c r="F5514" s="8" t="s">
        <v>6393</v>
      </c>
      <c r="G5514" s="4" t="s">
        <v>2528</v>
      </c>
      <c r="H5514" s="10" t="s">
        <v>2529</v>
      </c>
      <c r="I5514" s="10">
        <v>1.0</v>
      </c>
      <c r="J5514" s="11" t="str">
        <f>IF(D5514&lt;&gt;"",VLOOKUP(H5514,TABLEITEM,5,FALSE),"")</f>
        <v>KG.</v>
      </c>
      <c r="K5514" s="12">
        <v>20600.0</v>
      </c>
      <c r="L5514" s="13" t="str">
        <f>IF(D5514&lt;&gt;"",VLOOKUP(H5514,TABLEITEM,2,FALSE),"")</f>
        <v/>
      </c>
      <c r="M5514" s="13" t="str">
        <f>IF(D5514&lt;&gt;"",VLOOKUP(H5514,TABLEITEM,3,FALSE),"")</f>
        <v>งานชุบ HOT DIP</v>
      </c>
      <c r="N5514" s="14">
        <f>INSTOCK!$I5514*INSTOCK!$K5514</f>
        <v>20600</v>
      </c>
      <c r="O5514" s="4" t="s">
        <v>6584</v>
      </c>
      <c r="P5514" s="4"/>
    </row>
    <row r="5515" ht="15.75" customHeight="1">
      <c r="B5515" s="8">
        <v>5839.0</v>
      </c>
      <c r="C5515" s="9">
        <v>43704.0</v>
      </c>
      <c r="D5515" s="6">
        <v>38936.0</v>
      </c>
      <c r="E5515" s="4"/>
      <c r="F5515" s="8" t="s">
        <v>6585</v>
      </c>
      <c r="G5515" s="4" t="s">
        <v>2528</v>
      </c>
      <c r="H5515" s="10" t="s">
        <v>2529</v>
      </c>
      <c r="I5515" s="10">
        <v>1.0</v>
      </c>
      <c r="J5515" s="11" t="str">
        <f>IF(D5515&lt;&gt;"",VLOOKUP(H5515,TABLEITEM,5,FALSE),"")</f>
        <v>KG.</v>
      </c>
      <c r="K5515" s="12">
        <v>2850.0</v>
      </c>
      <c r="L5515" s="13" t="str">
        <f>IF(D5515&lt;&gt;"",VLOOKUP(H5515,TABLEITEM,2,FALSE),"")</f>
        <v/>
      </c>
      <c r="M5515" s="13" t="str">
        <f>IF(D5515&lt;&gt;"",VLOOKUP(H5515,TABLEITEM,3,FALSE),"")</f>
        <v>งานชุบ HOT DIP</v>
      </c>
      <c r="N5515" s="14">
        <f>INSTOCK!$I5515*INSTOCK!$K5515</f>
        <v>2850</v>
      </c>
      <c r="O5515" s="4" t="s">
        <v>6586</v>
      </c>
      <c r="P5515" s="4"/>
    </row>
    <row r="5516" ht="15.75" customHeight="1">
      <c r="B5516" s="8">
        <v>5840.0</v>
      </c>
      <c r="C5516" s="9">
        <v>43707.0</v>
      </c>
      <c r="D5516" s="6" t="s">
        <v>6587</v>
      </c>
      <c r="E5516" s="4"/>
      <c r="F5516" s="8" t="s">
        <v>6588</v>
      </c>
      <c r="G5516" s="4" t="s">
        <v>3029</v>
      </c>
      <c r="H5516" s="10" t="s">
        <v>3030</v>
      </c>
      <c r="I5516" s="10">
        <v>1.0</v>
      </c>
      <c r="J5516" s="11" t="str">
        <f>IF(D5516&lt;&gt;"",VLOOKUP(H5516,TABLEITEM,5,FALSE),"")</f>
        <v>LOT</v>
      </c>
      <c r="K5516" s="12">
        <v>500.0</v>
      </c>
      <c r="L5516" s="13" t="str">
        <f>IF(D5516&lt;&gt;"",VLOOKUP(H5516,TABLEITEM,2,FALSE),"")</f>
        <v/>
      </c>
      <c r="M5516" s="13" t="str">
        <f>IF(D5516&lt;&gt;"",VLOOKUP(H5516,TABLEITEM,3,FALSE),"")</f>
        <v>ค่าชุบ ดีบุกเงา</v>
      </c>
      <c r="N5516" s="14">
        <f>INSTOCK!$I5516*INSTOCK!$K5516</f>
        <v>500</v>
      </c>
      <c r="O5516" s="4" t="s">
        <v>6589</v>
      </c>
      <c r="P5516" s="4"/>
    </row>
    <row r="5517" ht="15.75" customHeight="1">
      <c r="B5517" s="8">
        <v>5841.0</v>
      </c>
      <c r="C5517" s="9">
        <v>43706.0</v>
      </c>
      <c r="D5517" s="6" t="s">
        <v>6590</v>
      </c>
      <c r="E5517" s="4">
        <v>6.20800128E9</v>
      </c>
      <c r="F5517" s="8" t="s">
        <v>604</v>
      </c>
      <c r="G5517" s="4" t="s">
        <v>3099</v>
      </c>
      <c r="H5517" s="10" t="s">
        <v>3204</v>
      </c>
      <c r="I5517" s="10">
        <v>200.0</v>
      </c>
      <c r="J5517" s="11" t="str">
        <f>IF(D5517&lt;&gt;"",VLOOKUP(H5517,TABLEITEM,5,FALSE),"")</f>
        <v>EA</v>
      </c>
      <c r="K5517" s="12">
        <v>8.4</v>
      </c>
      <c r="L5517" s="13" t="str">
        <f>IF(D5517&lt;&gt;"",VLOOKUP(H5517,TABLEITEM,2,FALSE),"")</f>
        <v/>
      </c>
      <c r="M5517" s="13" t="str">
        <f>IF(D5517&lt;&gt;"",VLOOKUP(H5517,TABLEITEM,3,FALSE),"")</f>
        <v>สลักบานประตู 500 mm.</v>
      </c>
      <c r="N5517" s="14">
        <f>INSTOCK!$I5517*INSTOCK!$K5517</f>
        <v>1680</v>
      </c>
      <c r="O5517" s="4"/>
      <c r="P5517" s="4"/>
    </row>
    <row r="5518" ht="15.75" customHeight="1">
      <c r="B5518" s="8">
        <v>5842.0</v>
      </c>
      <c r="C5518" s="9">
        <v>43706.0</v>
      </c>
      <c r="D5518" s="6" t="s">
        <v>6590</v>
      </c>
      <c r="E5518" s="4">
        <v>6.20800128E9</v>
      </c>
      <c r="F5518" s="8" t="s">
        <v>604</v>
      </c>
      <c r="G5518" s="4" t="s">
        <v>3099</v>
      </c>
      <c r="H5518" s="10" t="s">
        <v>2472</v>
      </c>
      <c r="I5518" s="10">
        <v>240.0</v>
      </c>
      <c r="J5518" s="11" t="str">
        <f>IF(D5518&lt;&gt;"",VLOOKUP(H5518,TABLEITEM,5,FALSE),"")</f>
        <v>EA</v>
      </c>
      <c r="K5518" s="12">
        <v>8.4</v>
      </c>
      <c r="L5518" s="13" t="str">
        <f>IF(D5518&lt;&gt;"",VLOOKUP(H5518,TABLEITEM,2,FALSE),"")</f>
        <v/>
      </c>
      <c r="M5518" s="13" t="str">
        <f>IF(D5518&lt;&gt;"",VLOOKUP(H5518,TABLEITEM,3,FALSE),"")</f>
        <v>สลักบานประตู 930 mm.</v>
      </c>
      <c r="N5518" s="14">
        <f>INSTOCK!$I5518*INSTOCK!$K5518</f>
        <v>2016</v>
      </c>
      <c r="O5518" s="4"/>
      <c r="P5518" s="4"/>
    </row>
    <row r="5519" ht="15.75" customHeight="1">
      <c r="B5519" s="8">
        <v>5843.0</v>
      </c>
      <c r="C5519" s="9">
        <v>43706.0</v>
      </c>
      <c r="D5519" s="6" t="s">
        <v>6590</v>
      </c>
      <c r="E5519" s="4">
        <v>6.20800128E9</v>
      </c>
      <c r="F5519" s="8" t="s">
        <v>604</v>
      </c>
      <c r="G5519" s="4" t="s">
        <v>3099</v>
      </c>
      <c r="H5519" s="10" t="s">
        <v>2473</v>
      </c>
      <c r="I5519" s="10">
        <v>80.0</v>
      </c>
      <c r="J5519" s="11" t="str">
        <f>IF(D5519&lt;&gt;"",VLOOKUP(H5519,TABLEITEM,5,FALSE),"")</f>
        <v>EA</v>
      </c>
      <c r="K5519" s="12">
        <v>8.4</v>
      </c>
      <c r="L5519" s="13" t="str">
        <f>IF(D5519&lt;&gt;"",VLOOKUP(H5519,TABLEITEM,2,FALSE),"")</f>
        <v/>
      </c>
      <c r="M5519" s="13" t="str">
        <f>IF(D5519&lt;&gt;"",VLOOKUP(H5519,TABLEITEM,3,FALSE),"")</f>
        <v>สลักบานประตู 1210 มิล</v>
      </c>
      <c r="N5519" s="14">
        <f>INSTOCK!$I5519*INSTOCK!$K5519</f>
        <v>672</v>
      </c>
      <c r="O5519" s="4"/>
      <c r="P5519" s="4"/>
    </row>
    <row r="5520" ht="15.75" customHeight="1">
      <c r="B5520" s="8">
        <v>5844.0</v>
      </c>
      <c r="C5520" s="9">
        <v>43705.0</v>
      </c>
      <c r="D5520" s="6">
        <v>87024.0</v>
      </c>
      <c r="E5520" s="4">
        <v>6.208001257E9</v>
      </c>
      <c r="F5520" s="8" t="s">
        <v>6591</v>
      </c>
      <c r="G5520" s="4" t="s">
        <v>2589</v>
      </c>
      <c r="H5520" s="10" t="s">
        <v>6592</v>
      </c>
      <c r="I5520" s="10">
        <v>1.0</v>
      </c>
      <c r="J5520" s="11" t="str">
        <f>IF(D5520&lt;&gt;"",VLOOKUP(H5520,TABLEITEM,5,FALSE),"")</f>
        <v>EA</v>
      </c>
      <c r="K5520" s="12">
        <v>2700.0</v>
      </c>
      <c r="L5520" s="13" t="str">
        <f>IF(D5520&lt;&gt;"",VLOOKUP(H5520,TABLEITEM,2,FALSE),"")</f>
        <v/>
      </c>
      <c r="M5520" s="13" t="str">
        <f>IF(D5520&lt;&gt;"",VLOOKUP(H5520,TABLEITEM,3,FALSE),"")</f>
        <v>Control cable for PH-3N (Rep F03080/FA-E)</v>
      </c>
      <c r="N5520" s="14">
        <f>INSTOCK!$I5520*INSTOCK!$K5520</f>
        <v>2700</v>
      </c>
      <c r="O5520" s="4"/>
      <c r="P5520" s="4"/>
    </row>
    <row r="5521" ht="15.75" customHeight="1">
      <c r="B5521" s="8">
        <v>5845.0</v>
      </c>
      <c r="C5521" s="9">
        <v>43705.0</v>
      </c>
      <c r="D5521" s="6">
        <v>87024.0</v>
      </c>
      <c r="E5521" s="4">
        <v>6.208001257E9</v>
      </c>
      <c r="F5521" s="8" t="s">
        <v>6591</v>
      </c>
      <c r="G5521" s="4" t="s">
        <v>2589</v>
      </c>
      <c r="H5521" s="10" t="s">
        <v>6593</v>
      </c>
      <c r="I5521" s="10">
        <v>1.0</v>
      </c>
      <c r="J5521" s="11" t="str">
        <f>IF(D5521&lt;&gt;"",VLOOKUP(H5521,TABLEITEM,5,FALSE),"")</f>
        <v>EA</v>
      </c>
      <c r="K5521" s="12">
        <v>110.0</v>
      </c>
      <c r="L5521" s="13" t="str">
        <f>IF(D5521&lt;&gt;"",VLOOKUP(H5521,TABLEITEM,2,FALSE),"")</f>
        <v/>
      </c>
      <c r="M5521" s="13" t="str">
        <f>IF(D5521&lt;&gt;"",VLOOKUP(H5521,TABLEITEM,3,FALSE),"")</f>
        <v>Varistor 120Volt</v>
      </c>
      <c r="N5521" s="14">
        <f>INSTOCK!$I5521*INSTOCK!$K5521</f>
        <v>110</v>
      </c>
      <c r="O5521" s="4"/>
      <c r="P5521" s="4"/>
    </row>
    <row r="5522" ht="15.75" customHeight="1">
      <c r="B5522" s="8">
        <v>5846.0</v>
      </c>
      <c r="C5522" s="9">
        <v>43705.0</v>
      </c>
      <c r="D5522" s="6">
        <v>87024.0</v>
      </c>
      <c r="E5522" s="4">
        <v>6.208001257E9</v>
      </c>
      <c r="F5522" s="8" t="s">
        <v>6591</v>
      </c>
      <c r="G5522" s="4" t="s">
        <v>2589</v>
      </c>
      <c r="H5522" s="10" t="s">
        <v>6594</v>
      </c>
      <c r="I5522" s="10">
        <v>1.0</v>
      </c>
      <c r="J5522" s="11" t="str">
        <f>IF(D5522&lt;&gt;"",VLOOKUP(H5522,TABLEITEM,5,FALSE),"")</f>
        <v>LOT</v>
      </c>
      <c r="K5522" s="12">
        <v>800.0</v>
      </c>
      <c r="L5522" s="13" t="str">
        <f>IF(D5522&lt;&gt;"",VLOOKUP(H5522,TABLEITEM,2,FALSE),"")</f>
        <v/>
      </c>
      <c r="M5522" s="13" t="str">
        <f>IF(D5522&lt;&gt;"",VLOOKUP(H5522,TABLEITEM,3,FALSE),"")</f>
        <v>ค่าบริการตรวจเช็คเครื่องยิงสตัด</v>
      </c>
      <c r="N5522" s="14">
        <f>INSTOCK!$I5522*INSTOCK!$K5522</f>
        <v>800</v>
      </c>
      <c r="O5522" s="4"/>
      <c r="P5522" s="4"/>
    </row>
    <row r="5523" ht="15.75" customHeight="1">
      <c r="B5523" s="8">
        <v>5847.0</v>
      </c>
      <c r="C5523" s="9">
        <v>43711.0</v>
      </c>
      <c r="D5523" s="6" t="s">
        <v>6595</v>
      </c>
      <c r="E5523" s="4">
        <v>6.208001262E9</v>
      </c>
      <c r="F5523" s="8" t="s">
        <v>604</v>
      </c>
      <c r="G5523" s="4" t="s">
        <v>743</v>
      </c>
      <c r="H5523" s="10" t="s">
        <v>73</v>
      </c>
      <c r="I5523" s="10">
        <v>500.0</v>
      </c>
      <c r="J5523" s="11" t="str">
        <f>IF(D5523&lt;&gt;"",VLOOKUP(H5523,TABLEITEM,5,FALSE),"")</f>
        <v>KG.</v>
      </c>
      <c r="K5523" s="12">
        <v>99.85</v>
      </c>
      <c r="L5523" s="13" t="str">
        <f>IF(D5523&lt;&gt;"",VLOOKUP(H5523,TABLEITEM,2,FALSE),"")</f>
        <v/>
      </c>
      <c r="M5523" s="13" t="str">
        <f>IF(D5523&lt;&gt;"",VLOOKUP(H5523,TABLEITEM,3,FALSE),"")</f>
        <v>สีฝุ่น สีครีมย่น 1002782PX20</v>
      </c>
      <c r="N5523" s="14">
        <f>INSTOCK!$I5523*INSTOCK!$K5523</f>
        <v>49925</v>
      </c>
      <c r="O5523" s="4"/>
      <c r="P5523" s="4"/>
    </row>
    <row r="5524" ht="15.75" customHeight="1">
      <c r="B5524" s="8">
        <v>5848.0</v>
      </c>
      <c r="C5524" s="9">
        <v>43711.0</v>
      </c>
      <c r="D5524" s="6" t="s">
        <v>6596</v>
      </c>
      <c r="E5524" s="4">
        <v>6.208001262E9</v>
      </c>
      <c r="F5524" s="8" t="s">
        <v>604</v>
      </c>
      <c r="G5524" s="4" t="s">
        <v>743</v>
      </c>
      <c r="H5524" s="10" t="s">
        <v>86</v>
      </c>
      <c r="I5524" s="10">
        <v>460.0</v>
      </c>
      <c r="J5524" s="11" t="str">
        <f>IF(D5524&lt;&gt;"",VLOOKUP(H5524,TABLEITEM,5,FALSE),"")</f>
        <v>KG.</v>
      </c>
      <c r="K5524" s="12">
        <v>139.0</v>
      </c>
      <c r="L5524" s="13" t="str">
        <f>IF(D5524&lt;&gt;"",VLOOKUP(H5524,TABLEITEM,2,FALSE),"")</f>
        <v/>
      </c>
      <c r="M5524" s="13" t="str">
        <f>IF(D5524&lt;&gt;"",VLOOKUP(H5524,TABLEITEM,3,FALSE),"")</f>
        <v>สีฝุ่น ครีมเรียบ 1204551PX20</v>
      </c>
      <c r="N5524" s="14">
        <f>INSTOCK!$I5524*INSTOCK!$K5524</f>
        <v>63940</v>
      </c>
      <c r="O5524" s="4"/>
      <c r="P5524" s="4"/>
    </row>
    <row r="5525" ht="15.75" customHeight="1">
      <c r="B5525" s="8">
        <v>5849.0</v>
      </c>
      <c r="C5525" s="9">
        <v>43711.0</v>
      </c>
      <c r="D5525" s="6" t="s">
        <v>6597</v>
      </c>
      <c r="E5525" s="4">
        <v>6.20800126E9</v>
      </c>
      <c r="F5525" s="8" t="s">
        <v>604</v>
      </c>
      <c r="G5525" s="4" t="s">
        <v>1904</v>
      </c>
      <c r="H5525" s="10" t="s">
        <v>215</v>
      </c>
      <c r="I5525" s="10">
        <v>200.0</v>
      </c>
      <c r="J5525" s="11" t="str">
        <f>IF(D5525&lt;&gt;"",VLOOKUP(H5525,TABLEITEM,5,FALSE),"")</f>
        <v>M</v>
      </c>
      <c r="K5525" s="12">
        <v>5.9175</v>
      </c>
      <c r="L5525" s="13" t="str">
        <f>IF(D5525&lt;&gt;"",VLOOKUP(H5525,TABLEITEM,2,FALSE),"")</f>
        <v/>
      </c>
      <c r="M5525" s="13" t="str">
        <f>IF(D5525&lt;&gt;"",VLOOKUP(H5525,TABLEITEM,3,FALSE),"")</f>
        <v>TUBE 3.6</v>
      </c>
      <c r="N5525" s="14">
        <f>INSTOCK!$I5525*INSTOCK!$K5525</f>
        <v>1183.5</v>
      </c>
      <c r="O5525" s="4" t="s">
        <v>216</v>
      </c>
      <c r="P5525" s="4"/>
    </row>
    <row r="5526" ht="15.75" customHeight="1">
      <c r="B5526" s="8">
        <v>5850.0</v>
      </c>
      <c r="C5526" s="9">
        <v>43712.0</v>
      </c>
      <c r="D5526" s="6" t="s">
        <v>6598</v>
      </c>
      <c r="E5526" s="4">
        <v>6.209001307E9</v>
      </c>
      <c r="F5526" s="8" t="s">
        <v>807</v>
      </c>
      <c r="G5526" s="4" t="s">
        <v>808</v>
      </c>
      <c r="H5526" s="10" t="s">
        <v>809</v>
      </c>
      <c r="I5526" s="10">
        <v>1.0</v>
      </c>
      <c r="J5526" s="11" t="str">
        <f>IF(D5526&lt;&gt;"",VLOOKUP(H5526,TABLEITEM,5,FALSE),"")</f>
        <v>ท่อ</v>
      </c>
      <c r="K5526" s="12">
        <v>2700.0</v>
      </c>
      <c r="L5526" s="13" t="str">
        <f>IF(D5526&lt;&gt;"",VLOOKUP(H5526,TABLEITEM,2,FALSE),"")</f>
        <v/>
      </c>
      <c r="M5526" s="13" t="str">
        <f>IF(D5526&lt;&gt;"",VLOOKUP(H5526,TABLEITEM,3,FALSE),"")</f>
        <v>ไนโตรเจนเหลว ขนาด 100คิว</v>
      </c>
      <c r="N5526" s="14">
        <f>INSTOCK!$I5526*INSTOCK!$K5526</f>
        <v>2700</v>
      </c>
      <c r="O5526" s="4"/>
      <c r="P5526" s="4"/>
    </row>
    <row r="5527" ht="15.75" customHeight="1">
      <c r="B5527" s="8">
        <v>5851.0</v>
      </c>
      <c r="C5527" s="9">
        <v>43712.0</v>
      </c>
      <c r="D5527" s="6" t="s">
        <v>6598</v>
      </c>
      <c r="E5527" s="4">
        <v>6.209001307E9</v>
      </c>
      <c r="F5527" s="8" t="s">
        <v>807</v>
      </c>
      <c r="G5527" s="4" t="s">
        <v>808</v>
      </c>
      <c r="H5527" s="10" t="s">
        <v>812</v>
      </c>
      <c r="I5527" s="10">
        <v>1.0</v>
      </c>
      <c r="J5527" s="11" t="str">
        <f>IF(D5527&lt;&gt;"",VLOOKUP(H5527,TABLEITEM,5,FALSE),"")</f>
        <v>ท่อ</v>
      </c>
      <c r="K5527" s="12">
        <v>2960.0</v>
      </c>
      <c r="L5527" s="13" t="str">
        <f>IF(D5527&lt;&gt;"",VLOOKUP(H5527,TABLEITEM,2,FALSE),"")</f>
        <v/>
      </c>
      <c r="M5527" s="13" t="str">
        <f>IF(D5527&lt;&gt;"",VLOOKUP(H5527,TABLEITEM,3,FALSE),"")</f>
        <v>ออกซิเจนเหลว ขนาด 148 คิว</v>
      </c>
      <c r="N5527" s="14">
        <f>INSTOCK!$I5527*INSTOCK!$K5527</f>
        <v>2960</v>
      </c>
      <c r="O5527" s="4"/>
      <c r="P5527" s="4"/>
    </row>
    <row r="5528" ht="15.75" customHeight="1">
      <c r="B5528" s="8">
        <v>5852.0</v>
      </c>
      <c r="C5528" s="9">
        <v>43710.0</v>
      </c>
      <c r="D5528" s="6">
        <v>4.19075997E8</v>
      </c>
      <c r="E5528" s="4">
        <v>6.208001294E9</v>
      </c>
      <c r="F5528" s="8" t="s">
        <v>604</v>
      </c>
      <c r="G5528" s="4" t="s">
        <v>1274</v>
      </c>
      <c r="H5528" s="10" t="s">
        <v>2555</v>
      </c>
      <c r="I5528" s="10">
        <v>4.0</v>
      </c>
      <c r="J5528" s="11" t="str">
        <f>IF(D5528&lt;&gt;"",VLOOKUP(H5528,TABLEITEM,5,FALSE),"")</f>
        <v>EA</v>
      </c>
      <c r="K5528" s="12">
        <v>700.0</v>
      </c>
      <c r="L5528" s="13" t="str">
        <f>IF(D5528&lt;&gt;"",VLOOKUP(H5528,TABLEITEM,2,FALSE),"")</f>
        <v/>
      </c>
      <c r="M5528" s="13" t="str">
        <f>IF(D5528&lt;&gt;"",VLOOKUP(H5528,TABLEITEM,3,FALSE),"")</f>
        <v>สก๊อตไบร์ MULTI-FLEX ขนาด 8x20 สีเทา (60แผ่น/ม้วน)</v>
      </c>
      <c r="N5528" s="14">
        <f>INSTOCK!$I5528*INSTOCK!$K5528</f>
        <v>2800</v>
      </c>
      <c r="O5528" s="4"/>
      <c r="P5528" s="4"/>
    </row>
    <row r="5529" ht="15.75" customHeight="1">
      <c r="B5529" s="8">
        <v>5853.0</v>
      </c>
      <c r="C5529" s="9">
        <v>43684.0</v>
      </c>
      <c r="D5529" s="6" t="s">
        <v>6599</v>
      </c>
      <c r="E5529" s="4"/>
      <c r="F5529" s="8" t="s">
        <v>3727</v>
      </c>
      <c r="G5529" s="4" t="s">
        <v>2941</v>
      </c>
      <c r="H5529" s="10" t="s">
        <v>6600</v>
      </c>
      <c r="I5529" s="10">
        <v>1.0</v>
      </c>
      <c r="J5529" s="11" t="str">
        <f>IF(D5529&lt;&gt;"",VLOOKUP(H5529,TABLEITEM,5,FALSE),"")</f>
        <v>EA</v>
      </c>
      <c r="K5529" s="12">
        <v>3500.0</v>
      </c>
      <c r="L5529" s="13" t="str">
        <f>IF(D5529&lt;&gt;"",VLOOKUP(H5529,TABLEITEM,2,FALSE),"")</f>
        <v/>
      </c>
      <c r="M5529" s="13" t="str">
        <f>IF(D5529&lt;&gt;"",VLOOKUP(H5529,TABLEITEM,3,FALSE),"")</f>
        <v>IQDEMY PRIMER FOR MATAL 1L</v>
      </c>
      <c r="N5529" s="14">
        <f>INSTOCK!$I5529*INSTOCK!$K5529</f>
        <v>3500</v>
      </c>
      <c r="O5529" s="4"/>
      <c r="P5529" s="4"/>
    </row>
    <row r="5530" ht="15.75" customHeight="1">
      <c r="B5530" s="8">
        <v>5854.0</v>
      </c>
      <c r="C5530" s="9">
        <v>43712.0</v>
      </c>
      <c r="D5530" s="6" t="s">
        <v>6601</v>
      </c>
      <c r="E5530" s="4">
        <v>6.209001302E9</v>
      </c>
      <c r="F5530" s="8" t="s">
        <v>604</v>
      </c>
      <c r="G5530" s="4" t="s">
        <v>6602</v>
      </c>
      <c r="H5530" s="10" t="s">
        <v>19</v>
      </c>
      <c r="I5530" s="10">
        <v>60.0</v>
      </c>
      <c r="J5530" s="11" t="str">
        <f>IF(D5530&lt;&gt;"",VLOOKUP(H5530,TABLEITEM,5,FALSE),"")</f>
        <v>ROLL</v>
      </c>
      <c r="K5530" s="12">
        <v>135.0</v>
      </c>
      <c r="L5530" s="13" t="str">
        <f>IF(D5530&lt;&gt;"",VLOOKUP(H5530,TABLEITEM,2,FALSE),"")</f>
        <v/>
      </c>
      <c r="M5530" s="13" t="str">
        <f>IF(D5530&lt;&gt;"",VLOOKUP(H5530,TABLEITEM,3,FALSE),"")</f>
        <v>พลาสติกห่อตู้ 20micx50cmx300m</v>
      </c>
      <c r="N5530" s="14">
        <f>INSTOCK!$I5530*INSTOCK!$K5530</f>
        <v>8100</v>
      </c>
      <c r="O5530" s="4"/>
      <c r="P5530" s="4"/>
    </row>
    <row r="5531" ht="15.75" customHeight="1">
      <c r="B5531" s="8">
        <v>5855.0</v>
      </c>
      <c r="C5531" s="9">
        <v>43712.0</v>
      </c>
      <c r="D5531" s="6" t="s">
        <v>6601</v>
      </c>
      <c r="E5531" s="4">
        <v>6.209001302E9</v>
      </c>
      <c r="F5531" s="8" t="s">
        <v>604</v>
      </c>
      <c r="G5531" s="4" t="s">
        <v>6602</v>
      </c>
      <c r="H5531" s="10" t="s">
        <v>6603</v>
      </c>
      <c r="I5531" s="10">
        <v>5.0</v>
      </c>
      <c r="J5531" s="11" t="str">
        <f>IF(D5531&lt;&gt;"",VLOOKUP(H5531,TABLEITEM,5,FALSE),"")</f>
        <v>ROLL</v>
      </c>
      <c r="K5531" s="12">
        <v>160.0</v>
      </c>
      <c r="L5531" s="13" t="str">
        <f>IF(D5531&lt;&gt;"",VLOOKUP(H5531,TABLEITEM,2,FALSE),"")</f>
        <v/>
      </c>
      <c r="M5531" s="13" t="str">
        <f>IF(D5531&lt;&gt;"",VLOOKUP(H5531,TABLEITEM,3,FALSE),"")</f>
        <v>พลาสติกห่อตู้ 20micx100cmx150m</v>
      </c>
      <c r="N5531" s="14">
        <f>INSTOCK!$I5531*INSTOCK!$K5531</f>
        <v>800</v>
      </c>
      <c r="O5531" s="4"/>
      <c r="P5531" s="4"/>
    </row>
    <row r="5532" ht="15.75" customHeight="1">
      <c r="B5532" s="8">
        <v>5856.0</v>
      </c>
      <c r="C5532" s="9">
        <v>43711.0</v>
      </c>
      <c r="D5532" s="6" t="s">
        <v>6604</v>
      </c>
      <c r="E5532" s="4">
        <v>6.209001305E9</v>
      </c>
      <c r="F5532" s="8" t="s">
        <v>6605</v>
      </c>
      <c r="G5532" s="4" t="s">
        <v>1485</v>
      </c>
      <c r="H5532" s="10" t="s">
        <v>6606</v>
      </c>
      <c r="I5532" s="10">
        <v>4.0</v>
      </c>
      <c r="J5532" s="11" t="str">
        <f>IF(D5532&lt;&gt;"",VLOOKUP(H5532,TABLEITEM,5,FALSE),"")</f>
        <v>EA</v>
      </c>
      <c r="K5532" s="12">
        <v>1961.0</v>
      </c>
      <c r="L5532" s="13" t="str">
        <f>IF(D5532&lt;&gt;"",VLOOKUP(H5532,TABLEITEM,2,FALSE),"")</f>
        <v/>
      </c>
      <c r="M5532" s="13" t="str">
        <f>IF(D5532&lt;&gt;"",VLOOKUP(H5532,TABLEITEM,3,FALSE),"")</f>
        <v>MCCB 3P EZC100N 30AT/100AF 15KA 415VAC</v>
      </c>
      <c r="N5532" s="14">
        <f>INSTOCK!$I5532*INSTOCK!$K5532</f>
        <v>7844</v>
      </c>
      <c r="O5532" s="4"/>
      <c r="P5532" s="4"/>
    </row>
    <row r="5533" ht="15.75" customHeight="1">
      <c r="B5533" s="8">
        <v>5857.0</v>
      </c>
      <c r="C5533" s="9">
        <v>43711.0</v>
      </c>
      <c r="D5533" s="6" t="s">
        <v>6604</v>
      </c>
      <c r="E5533" s="4">
        <v>6.209001305E9</v>
      </c>
      <c r="F5533" s="8" t="s">
        <v>6605</v>
      </c>
      <c r="G5533" s="4" t="s">
        <v>1485</v>
      </c>
      <c r="H5533" s="10" t="s">
        <v>6607</v>
      </c>
      <c r="I5533" s="10">
        <v>2.0</v>
      </c>
      <c r="J5533" s="11" t="str">
        <f>IF(D5533&lt;&gt;"",VLOOKUP(H5533,TABLEITEM,5,FALSE),"")</f>
        <v>EA</v>
      </c>
      <c r="K5533" s="12">
        <v>1924.0</v>
      </c>
      <c r="L5533" s="13" t="str">
        <f>IF(D5533&lt;&gt;"",VLOOKUP(H5533,TABLEITEM,2,FALSE),"")</f>
        <v/>
      </c>
      <c r="M5533" s="13" t="str">
        <f>IF(D5533&lt;&gt;"",VLOOKUP(H5533,TABLEITEM,3,FALSE),"")</f>
        <v>MCCB 3P EZC100N 20AT/100AF 15KA 415VAC</v>
      </c>
      <c r="N5533" s="14">
        <f>INSTOCK!$I5533*INSTOCK!$K5533</f>
        <v>3848</v>
      </c>
      <c r="O5533" s="4"/>
      <c r="P5533" s="4"/>
    </row>
    <row r="5534" ht="15.75" customHeight="1">
      <c r="B5534" s="8">
        <v>5858.0</v>
      </c>
      <c r="C5534" s="9">
        <v>43711.0</v>
      </c>
      <c r="D5534" s="6" t="s">
        <v>6604</v>
      </c>
      <c r="E5534" s="4">
        <v>6.209001305E9</v>
      </c>
      <c r="F5534" s="8" t="s">
        <v>6605</v>
      </c>
      <c r="G5534" s="4" t="s">
        <v>1485</v>
      </c>
      <c r="H5534" s="10" t="s">
        <v>6608</v>
      </c>
      <c r="I5534" s="10">
        <v>2.0</v>
      </c>
      <c r="J5534" s="11" t="str">
        <f>IF(D5534&lt;&gt;"",VLOOKUP(H5534,TABLEITEM,5,FALSE),"")</f>
        <v>EA</v>
      </c>
      <c r="K5534" s="12">
        <v>973.1</v>
      </c>
      <c r="L5534" s="13" t="str">
        <f>IF(D5534&lt;&gt;"",VLOOKUP(H5534,TABLEITEM,2,FALSE),"")</f>
        <v/>
      </c>
      <c r="M5534" s="13" t="str">
        <f>IF(D5534&lt;&gt;"",VLOOKUP(H5534,TABLEITEM,3,FALSE),"")</f>
        <v>MCCB 2P EZC100H 30AT/100AF 30KA 415VAC</v>
      </c>
      <c r="N5534" s="14">
        <f>INSTOCK!$I5534*INSTOCK!$K5534</f>
        <v>1946.2</v>
      </c>
      <c r="O5534" s="4"/>
      <c r="P5534" s="4"/>
    </row>
    <row r="5535" ht="15.75" customHeight="1">
      <c r="B5535" s="8">
        <v>5859.0</v>
      </c>
      <c r="C5535" s="9">
        <v>43711.0</v>
      </c>
      <c r="D5535" s="6" t="s">
        <v>6604</v>
      </c>
      <c r="E5535" s="4">
        <v>6.209001305E9</v>
      </c>
      <c r="F5535" s="8" t="s">
        <v>6605</v>
      </c>
      <c r="G5535" s="4" t="s">
        <v>1485</v>
      </c>
      <c r="H5535" s="10" t="s">
        <v>6609</v>
      </c>
      <c r="I5535" s="10">
        <v>2.0</v>
      </c>
      <c r="J5535" s="11" t="str">
        <f>IF(D5535&lt;&gt;"",VLOOKUP(H5535,TABLEITEM,5,FALSE),"")</f>
        <v>EA</v>
      </c>
      <c r="K5535" s="12">
        <v>973.1</v>
      </c>
      <c r="L5535" s="13" t="str">
        <f>IF(D5535&lt;&gt;"",VLOOKUP(H5535,TABLEITEM,2,FALSE),"")</f>
        <v/>
      </c>
      <c r="M5535" s="13" t="str">
        <f>IF(D5535&lt;&gt;"",VLOOKUP(H5535,TABLEITEM,3,FALSE),"")</f>
        <v>MCCB 2P EZC100H 15AT/100AF 30KA 415VAC</v>
      </c>
      <c r="N5535" s="14">
        <f>INSTOCK!$I5535*INSTOCK!$K5535</f>
        <v>1946.2</v>
      </c>
      <c r="O5535" s="4"/>
      <c r="P5535" s="4"/>
    </row>
    <row r="5536" ht="15.75" customHeight="1">
      <c r="B5536" s="8">
        <v>5860.0</v>
      </c>
      <c r="C5536" s="9">
        <v>43711.0</v>
      </c>
      <c r="D5536" s="6" t="s">
        <v>6610</v>
      </c>
      <c r="E5536" s="4">
        <v>6.207001149E9</v>
      </c>
      <c r="F5536" s="8" t="s">
        <v>604</v>
      </c>
      <c r="G5536" s="4" t="s">
        <v>1777</v>
      </c>
      <c r="H5536" s="10" t="s">
        <v>3997</v>
      </c>
      <c r="I5536" s="10">
        <v>10000.0</v>
      </c>
      <c r="J5536" s="11" t="str">
        <f>IF(D5536&lt;&gt;"",VLOOKUP(H5536,TABLEITEM,5,FALSE),"")</f>
        <v>EA</v>
      </c>
      <c r="K5536" s="12">
        <v>0.99</v>
      </c>
      <c r="L5536" s="13" t="str">
        <f>IF(D5536&lt;&gt;"",VLOOKUP(H5536,TABLEITEM,2,FALSE),"")</f>
        <v/>
      </c>
      <c r="M5536" s="13" t="str">
        <f>IF(D5536&lt;&gt;"",VLOOKUP(H5536,TABLEITEM,3,FALSE),"")</f>
        <v>สกรูหัวติดแหวน M 6x10</v>
      </c>
      <c r="N5536" s="14">
        <f>INSTOCK!$I5536*INSTOCK!$K5536</f>
        <v>9900</v>
      </c>
      <c r="O5536" s="4" t="s">
        <v>1857</v>
      </c>
      <c r="P5536" s="4"/>
    </row>
    <row r="5537" ht="15.75" customHeight="1">
      <c r="B5537" s="8">
        <v>5861.0</v>
      </c>
      <c r="C5537" s="9">
        <v>43712.0</v>
      </c>
      <c r="D5537" s="6">
        <v>6.20901239E8</v>
      </c>
      <c r="E5537" s="4">
        <v>6.209001309E9</v>
      </c>
      <c r="F5537" s="8" t="s">
        <v>6611</v>
      </c>
      <c r="G5537" s="4" t="s">
        <v>1130</v>
      </c>
      <c r="H5537" s="10" t="s">
        <v>2571</v>
      </c>
      <c r="I5537" s="10">
        <v>1.0</v>
      </c>
      <c r="J5537" s="11" t="str">
        <f>IF(D5537&lt;&gt;"",VLOOKUP(H5537,TABLEITEM,5,FALSE),"")</f>
        <v>EA</v>
      </c>
      <c r="K5537" s="12">
        <v>2723.4</v>
      </c>
      <c r="L5537" s="13" t="str">
        <f>IF(D5537&lt;&gt;"",VLOOKUP(H5537,TABLEITEM,2,FALSE),"")</f>
        <v/>
      </c>
      <c r="M5537" s="13" t="str">
        <f>IF(D5537&lt;&gt;"",VLOOKUP(H5537,TABLEITEM,3,FALSE),"")</f>
        <v>MCCB 3P EZC250F 150At/250AF 18KA 415VAC</v>
      </c>
      <c r="N5537" s="14">
        <f>INSTOCK!$I5537*INSTOCK!$K5537</f>
        <v>2723.4</v>
      </c>
      <c r="O5537" s="4" t="s">
        <v>6612</v>
      </c>
      <c r="P5537" s="4"/>
    </row>
    <row r="5538" ht="15.75" customHeight="1">
      <c r="B5538" s="8">
        <v>5862.0</v>
      </c>
      <c r="C5538" s="9">
        <v>43712.0</v>
      </c>
      <c r="D5538" s="6">
        <v>6.20901239E8</v>
      </c>
      <c r="E5538" s="4">
        <v>6.209001309E9</v>
      </c>
      <c r="F5538" s="8" t="s">
        <v>6611</v>
      </c>
      <c r="G5538" s="4" t="s">
        <v>1130</v>
      </c>
      <c r="H5538" s="10" t="s">
        <v>4014</v>
      </c>
      <c r="I5538" s="10">
        <v>1.0</v>
      </c>
      <c r="J5538" s="11" t="str">
        <f>IF(D5538&lt;&gt;"",VLOOKUP(H5538,TABLEITEM,5,FALSE),"")</f>
        <v>EA</v>
      </c>
      <c r="K5538" s="12">
        <v>1550.4</v>
      </c>
      <c r="L5538" s="13" t="str">
        <f>IF(D5538&lt;&gt;"",VLOOKUP(H5538,TABLEITEM,2,FALSE),"")</f>
        <v/>
      </c>
      <c r="M5538" s="13" t="str">
        <f>IF(D5538&lt;&gt;"",VLOOKUP(H5538,TABLEITEM,3,FALSE),"")</f>
        <v>MCCB 3P EZC100F 100AT/100AF 10KA 415VAC</v>
      </c>
      <c r="N5538" s="14">
        <f>INSTOCK!$I5538*INSTOCK!$K5538</f>
        <v>1550.4</v>
      </c>
      <c r="O5538" s="4" t="s">
        <v>6613</v>
      </c>
      <c r="P5538" s="4"/>
    </row>
    <row r="5539" ht="15.75" customHeight="1">
      <c r="B5539" s="8">
        <v>5863.0</v>
      </c>
      <c r="C5539" s="9">
        <v>43712.0</v>
      </c>
      <c r="D5539" s="6">
        <v>6.20901239E8</v>
      </c>
      <c r="E5539" s="4">
        <v>6.209001309E9</v>
      </c>
      <c r="F5539" s="8" t="s">
        <v>6611</v>
      </c>
      <c r="G5539" s="4" t="s">
        <v>1130</v>
      </c>
      <c r="H5539" s="10" t="s">
        <v>6614</v>
      </c>
      <c r="I5539" s="10">
        <v>1.0</v>
      </c>
      <c r="J5539" s="11" t="str">
        <f>IF(D5539&lt;&gt;"",VLOOKUP(H5539,TABLEITEM,5,FALSE),"")</f>
        <v>EA</v>
      </c>
      <c r="K5539" s="12">
        <v>1118.6</v>
      </c>
      <c r="L5539" s="13" t="str">
        <f>IF(D5539&lt;&gt;"",VLOOKUP(H5539,TABLEITEM,2,FALSE),"")</f>
        <v/>
      </c>
      <c r="M5539" s="13" t="str">
        <f>IF(D5539&lt;&gt;"",VLOOKUP(H5539,TABLEITEM,3,FALSE),"")</f>
        <v>MCCB 3P EZC100F 100AT/100AF 10KA 415VAC</v>
      </c>
      <c r="N5539" s="14">
        <f>INSTOCK!$I5539*INSTOCK!$K5539</f>
        <v>1118.6</v>
      </c>
      <c r="O5539" s="4" t="s">
        <v>6615</v>
      </c>
      <c r="P5539" s="4"/>
    </row>
    <row r="5540" ht="15.75" customHeight="1">
      <c r="B5540" s="8">
        <v>5864.0</v>
      </c>
      <c r="C5540" s="9">
        <v>43712.0</v>
      </c>
      <c r="D5540" s="6">
        <v>6.20901239E8</v>
      </c>
      <c r="E5540" s="4">
        <v>6.209001309E9</v>
      </c>
      <c r="F5540" s="8" t="s">
        <v>6611</v>
      </c>
      <c r="G5540" s="4" t="s">
        <v>1130</v>
      </c>
      <c r="H5540" s="18" t="s">
        <v>4159</v>
      </c>
      <c r="I5540" s="10">
        <v>2.0</v>
      </c>
      <c r="J5540" s="11" t="str">
        <f>IF(D5540&lt;&gt;"",VLOOKUP(H5540,TABLEITEM,5,FALSE),"")</f>
        <v>EA</v>
      </c>
      <c r="K5540" s="12">
        <v>1118.6</v>
      </c>
      <c r="L5540" s="13" t="str">
        <f>IF(D5540&lt;&gt;"",VLOOKUP(H5540,TABLEITEM,2,FALSE),"")</f>
        <v/>
      </c>
      <c r="M5540" s="13" t="str">
        <f>IF(D5540&lt;&gt;"",VLOOKUP(H5540,TABLEITEM,3,FALSE),"")</f>
        <v>MG EZC 100 10KA/400 3P/3T 30A</v>
      </c>
      <c r="N5540" s="14">
        <f>INSTOCK!$I5540*INSTOCK!$K5540</f>
        <v>2237.2</v>
      </c>
      <c r="O5540" s="4" t="s">
        <v>6615</v>
      </c>
      <c r="P5540" s="4"/>
    </row>
    <row r="5541" ht="15.75" customHeight="1">
      <c r="B5541" s="8">
        <v>5865.0</v>
      </c>
      <c r="C5541" s="9">
        <v>43712.0</v>
      </c>
      <c r="D5541" s="6">
        <v>6.20901239E8</v>
      </c>
      <c r="E5541" s="4">
        <v>6.209001309E9</v>
      </c>
      <c r="F5541" s="8" t="s">
        <v>6611</v>
      </c>
      <c r="G5541" s="4" t="s">
        <v>1130</v>
      </c>
      <c r="H5541" s="18" t="s">
        <v>5224</v>
      </c>
      <c r="I5541" s="10">
        <v>1.0</v>
      </c>
      <c r="J5541" s="11" t="str">
        <f>IF(D5541&lt;&gt;"",VLOOKUP(H5541,TABLEITEM,5,FALSE),"")</f>
        <v>EA</v>
      </c>
      <c r="K5541" s="12">
        <v>894.2</v>
      </c>
      <c r="L5541" s="13" t="str">
        <f>IF(D5541&lt;&gt;"",VLOOKUP(H5541,TABLEITEM,2,FALSE),"")</f>
        <v/>
      </c>
      <c r="M5541" s="13" t="str">
        <f>IF(D5541&lt;&gt;"",VLOOKUP(H5541,TABLEITEM,3,FALSE),"")</f>
        <v>MCCB 2P EZC100H 20AT/100AF 50KA 220/240VAC</v>
      </c>
      <c r="N5541" s="14">
        <f>INSTOCK!$I5541*INSTOCK!$K5541</f>
        <v>894.2</v>
      </c>
      <c r="O5541" s="4" t="s">
        <v>6616</v>
      </c>
      <c r="P5541" s="4"/>
    </row>
    <row r="5542" ht="15.75" customHeight="1">
      <c r="B5542" s="8">
        <v>5866.0</v>
      </c>
      <c r="C5542" s="9">
        <v>43710.0</v>
      </c>
      <c r="D5542" s="6" t="s">
        <v>6617</v>
      </c>
      <c r="E5542" s="4">
        <v>6.208001271E9</v>
      </c>
      <c r="F5542" s="8" t="s">
        <v>604</v>
      </c>
      <c r="G5542" s="4" t="s">
        <v>1777</v>
      </c>
      <c r="H5542" s="10" t="s">
        <v>2074</v>
      </c>
      <c r="I5542" s="10">
        <v>2000.0</v>
      </c>
      <c r="J5542" s="11" t="str">
        <f>IF(D5542&lt;&gt;"",VLOOKUP(H5542,TABLEITEM,5,FALSE),"")</f>
        <v>EA</v>
      </c>
      <c r="K5542" s="12">
        <v>0.429</v>
      </c>
      <c r="L5542" s="13" t="str">
        <f>IF(D5542&lt;&gt;"",VLOOKUP(H5542,TABLEITEM,2,FALSE),"")</f>
        <v/>
      </c>
      <c r="M5542" s="13" t="str">
        <f>IF(D5542&lt;&gt;"",VLOOKUP(H5542,TABLEITEM,3,FALSE),"")</f>
        <v>สกรูหัวเหลี่ยมชุบขาว M 6x20</v>
      </c>
      <c r="N5542" s="14">
        <f>INSTOCK!$I5542*INSTOCK!$K5542</f>
        <v>858</v>
      </c>
      <c r="O5542" s="4" t="s">
        <v>2075</v>
      </c>
      <c r="P5542" s="4"/>
    </row>
    <row r="5543" ht="15.75" customHeight="1">
      <c r="B5543" s="8">
        <v>5867.0</v>
      </c>
      <c r="C5543" s="9">
        <v>43710.0</v>
      </c>
      <c r="D5543" s="6" t="s">
        <v>6617</v>
      </c>
      <c r="E5543" s="4">
        <v>6.208001271E9</v>
      </c>
      <c r="F5543" s="8" t="s">
        <v>604</v>
      </c>
      <c r="G5543" s="4" t="s">
        <v>1777</v>
      </c>
      <c r="H5543" s="10" t="s">
        <v>3384</v>
      </c>
      <c r="I5543" s="10">
        <v>12000.0</v>
      </c>
      <c r="J5543" s="11" t="str">
        <f>IF(D5543&lt;&gt;"",VLOOKUP(H5543,TABLEITEM,5,FALSE),"")</f>
        <v>EA</v>
      </c>
      <c r="K5543" s="12">
        <v>0.06</v>
      </c>
      <c r="L5543" s="13" t="str">
        <f>IF(D5543&lt;&gt;"",VLOOKUP(H5543,TABLEITEM,2,FALSE),"")</f>
        <v/>
      </c>
      <c r="M5543" s="13" t="str">
        <f>IF(D5543&lt;&gt;"",VLOOKUP(H5543,TABLEITEM,3,FALSE),"")</f>
        <v>แหวนสปริง M 6 ชุบรุ้ง</v>
      </c>
      <c r="N5543" s="14">
        <f>INSTOCK!$I5543*INSTOCK!$K5543</f>
        <v>720</v>
      </c>
      <c r="O5543" s="4" t="s">
        <v>3183</v>
      </c>
      <c r="P5543" s="4"/>
    </row>
    <row r="5544" ht="15.75" customHeight="1">
      <c r="B5544" s="8">
        <v>5868.0</v>
      </c>
      <c r="C5544" s="9">
        <v>43710.0</v>
      </c>
      <c r="D5544" s="6" t="s">
        <v>6617</v>
      </c>
      <c r="E5544" s="4">
        <v>6.208001271E9</v>
      </c>
      <c r="F5544" s="8" t="s">
        <v>604</v>
      </c>
      <c r="G5544" s="4" t="s">
        <v>1777</v>
      </c>
      <c r="H5544" s="10" t="s">
        <v>3385</v>
      </c>
      <c r="I5544" s="10">
        <v>2000.0</v>
      </c>
      <c r="J5544" s="11" t="str">
        <f>IF(D5544&lt;&gt;"",VLOOKUP(H5544,TABLEITEM,5,FALSE),"")</f>
        <v>EA</v>
      </c>
      <c r="K5544" s="12">
        <v>0.728</v>
      </c>
      <c r="L5544" s="13" t="str">
        <f>IF(D5544&lt;&gt;"",VLOOKUP(H5544,TABLEITEM,2,FALSE),"")</f>
        <v/>
      </c>
      <c r="M5544" s="13" t="str">
        <f>IF(D5544&lt;&gt;"",VLOOKUP(H5544,TABLEITEM,3,FALSE),"")</f>
        <v>สกรูหัวเหลี่ยม M8x15</v>
      </c>
      <c r="N5544" s="14">
        <f>INSTOCK!$I5544*INSTOCK!$K5544</f>
        <v>1456</v>
      </c>
      <c r="O5544" s="4" t="s">
        <v>3386</v>
      </c>
      <c r="P5544" s="4"/>
    </row>
    <row r="5545" ht="15.75" customHeight="1">
      <c r="B5545" s="8">
        <v>5869.0</v>
      </c>
      <c r="C5545" s="9">
        <v>43710.0</v>
      </c>
      <c r="D5545" s="6" t="s">
        <v>6617</v>
      </c>
      <c r="E5545" s="4">
        <v>6.208001271E9</v>
      </c>
      <c r="F5545" s="8" t="s">
        <v>604</v>
      </c>
      <c r="G5545" s="4" t="s">
        <v>1777</v>
      </c>
      <c r="H5545" s="10" t="s">
        <v>2102</v>
      </c>
      <c r="I5545" s="10">
        <v>20000.0</v>
      </c>
      <c r="J5545" s="11" t="str">
        <f>IF(D5545&lt;&gt;"",VLOOKUP(H5545,TABLEITEM,5,FALSE),"")</f>
        <v>EA</v>
      </c>
      <c r="K5545" s="12">
        <v>0.175</v>
      </c>
      <c r="L5545" s="13" t="str">
        <f>IF(D5545&lt;&gt;"",VLOOKUP(H5545,TABLEITEM,2,FALSE),"")</f>
        <v/>
      </c>
      <c r="M5545" s="13" t="str">
        <f>IF(D5545&lt;&gt;"",VLOOKUP(H5545,TABLEITEM,3,FALSE),"")</f>
        <v>แหวนอีแปะ M8 ชุบขาว</v>
      </c>
      <c r="N5545" s="14">
        <f>INSTOCK!$I5545*INSTOCK!$K5545</f>
        <v>3500</v>
      </c>
      <c r="O5545" s="4" t="s">
        <v>3647</v>
      </c>
      <c r="P5545" s="4"/>
    </row>
    <row r="5546" ht="15.75" customHeight="1">
      <c r="B5546" s="8">
        <v>5870.0</v>
      </c>
      <c r="C5546" s="9">
        <v>43710.0</v>
      </c>
      <c r="D5546" s="6" t="s">
        <v>6617</v>
      </c>
      <c r="E5546" s="4">
        <v>6.208001271E9</v>
      </c>
      <c r="F5546" s="8" t="s">
        <v>604</v>
      </c>
      <c r="G5546" s="4" t="s">
        <v>1777</v>
      </c>
      <c r="H5546" s="10" t="s">
        <v>3014</v>
      </c>
      <c r="I5546" s="10">
        <v>10000.0</v>
      </c>
      <c r="J5546" s="11" t="str">
        <f>IF(D5546&lt;&gt;"",VLOOKUP(H5546,TABLEITEM,5,FALSE),"")</f>
        <v>EA</v>
      </c>
      <c r="K5546" s="12">
        <v>0.075</v>
      </c>
      <c r="L5546" s="13" t="str">
        <f>IF(D5546&lt;&gt;"",VLOOKUP(H5546,TABLEITEM,2,FALSE),"")</f>
        <v/>
      </c>
      <c r="M5546" s="13" t="str">
        <f>IF(D5546&lt;&gt;"",VLOOKUP(H5546,TABLEITEM,3,FALSE),"")</f>
        <v>แหวนสปริง M 8 ชุบรุ้ง</v>
      </c>
      <c r="N5546" s="14">
        <f>INSTOCK!$I5546*INSTOCK!$K5546</f>
        <v>750</v>
      </c>
      <c r="O5546" s="4" t="s">
        <v>2079</v>
      </c>
      <c r="P5546" s="4"/>
    </row>
    <row r="5547" ht="15.75" customHeight="1">
      <c r="B5547" s="8">
        <v>5871.0</v>
      </c>
      <c r="C5547" s="9">
        <v>43710.0</v>
      </c>
      <c r="D5547" s="6" t="s">
        <v>6617</v>
      </c>
      <c r="E5547" s="4">
        <v>6.208001271E9</v>
      </c>
      <c r="F5547" s="8" t="s">
        <v>604</v>
      </c>
      <c r="G5547" s="4" t="s">
        <v>1777</v>
      </c>
      <c r="H5547" s="10" t="s">
        <v>2080</v>
      </c>
      <c r="I5547" s="10">
        <v>10000.0</v>
      </c>
      <c r="J5547" s="11" t="str">
        <f>IF(D5547&lt;&gt;"",VLOOKUP(H5547,TABLEITEM,5,FALSE),"")</f>
        <v>EA</v>
      </c>
      <c r="K5547" s="12">
        <v>0.36</v>
      </c>
      <c r="L5547" s="13" t="str">
        <f>IF(D5547&lt;&gt;"",VLOOKUP(H5547,TABLEITEM,2,FALSE),"")</f>
        <v/>
      </c>
      <c r="M5547" s="13" t="str">
        <f>IF(D5547&lt;&gt;"",VLOOKUP(H5547,TABLEITEM,3,FALSE),"")</f>
        <v>หัวน็อต M 8 ชุบขาว</v>
      </c>
      <c r="N5547" s="14">
        <f>INSTOCK!$I5547*INSTOCK!$K5547</f>
        <v>3600</v>
      </c>
      <c r="O5547" s="4" t="s">
        <v>2081</v>
      </c>
      <c r="P5547" s="4"/>
    </row>
    <row r="5548" ht="15.75" customHeight="1">
      <c r="B5548" s="8">
        <v>5872.0</v>
      </c>
      <c r="C5548" s="9">
        <v>43710.0</v>
      </c>
      <c r="D5548" s="6" t="s">
        <v>6617</v>
      </c>
      <c r="E5548" s="4">
        <v>6.208001271E9</v>
      </c>
      <c r="F5548" s="8" t="s">
        <v>604</v>
      </c>
      <c r="G5548" s="4" t="s">
        <v>1777</v>
      </c>
      <c r="H5548" s="10" t="s">
        <v>2082</v>
      </c>
      <c r="I5548" s="10">
        <v>4000.0</v>
      </c>
      <c r="J5548" s="11" t="str">
        <f>IF(D5548&lt;&gt;"",VLOOKUP(H5548,TABLEITEM,5,FALSE),"")</f>
        <v>EA</v>
      </c>
      <c r="K5548" s="12">
        <v>0.22</v>
      </c>
      <c r="L5548" s="13" t="str">
        <f>IF(D5548&lt;&gt;"",VLOOKUP(H5548,TABLEITEM,2,FALSE),"")</f>
        <v/>
      </c>
      <c r="M5548" s="13" t="str">
        <f>IF(D5548&lt;&gt;"",VLOOKUP(H5548,TABLEITEM,3,FALSE),"")</f>
        <v>สกรูหัวหมวก  M5x8</v>
      </c>
      <c r="N5548" s="14">
        <f>INSTOCK!$I5548*INSTOCK!$K5548</f>
        <v>880</v>
      </c>
      <c r="O5548" s="4"/>
      <c r="P5548" s="4"/>
    </row>
    <row r="5549" ht="15.75" customHeight="1">
      <c r="B5549" s="8">
        <v>5873.0</v>
      </c>
      <c r="C5549" s="9">
        <v>43710.0</v>
      </c>
      <c r="D5549" s="6" t="s">
        <v>6617</v>
      </c>
      <c r="E5549" s="4">
        <v>6.208001271E9</v>
      </c>
      <c r="F5549" s="8" t="s">
        <v>604</v>
      </c>
      <c r="G5549" s="4" t="s">
        <v>1777</v>
      </c>
      <c r="H5549" s="10" t="s">
        <v>2876</v>
      </c>
      <c r="I5549" s="10">
        <v>2000.0</v>
      </c>
      <c r="J5549" s="11" t="str">
        <f>IF(D5549&lt;&gt;"",VLOOKUP(H5549,TABLEITEM,5,FALSE),"")</f>
        <v>EA</v>
      </c>
      <c r="K5549" s="12">
        <v>0.1704</v>
      </c>
      <c r="L5549" s="13" t="str">
        <f>IF(D5549&lt;&gt;"",VLOOKUP(H5549,TABLEITEM,2,FALSE),"")</f>
        <v/>
      </c>
      <c r="M5549" s="13" t="str">
        <f>IF(D5549&lt;&gt;"",VLOOKUP(H5549,TABLEITEM,3,FALSE),"")</f>
        <v>สกรูหัวหมวก  M5x12</v>
      </c>
      <c r="N5549" s="14">
        <f>INSTOCK!$I5549*INSTOCK!$K5549</f>
        <v>340.8</v>
      </c>
      <c r="O5549" s="4" t="s">
        <v>6250</v>
      </c>
      <c r="P5549" s="4"/>
    </row>
    <row r="5550" ht="15.75" customHeight="1">
      <c r="B5550" s="8">
        <v>5874.0</v>
      </c>
      <c r="C5550" s="9">
        <v>43710.0</v>
      </c>
      <c r="D5550" s="6" t="s">
        <v>6617</v>
      </c>
      <c r="E5550" s="4">
        <v>6.208001271E9</v>
      </c>
      <c r="F5550" s="8" t="s">
        <v>604</v>
      </c>
      <c r="G5550" s="4" t="s">
        <v>1777</v>
      </c>
      <c r="H5550" s="10" t="s">
        <v>2400</v>
      </c>
      <c r="I5550" s="10">
        <v>2000.0</v>
      </c>
      <c r="J5550" s="11" t="str">
        <f>IF(D5550&lt;&gt;"",VLOOKUP(H5550,TABLEITEM,5,FALSE),"")</f>
        <v>EA</v>
      </c>
      <c r="K5550" s="12">
        <v>0.216</v>
      </c>
      <c r="L5550" s="13" t="str">
        <f>IF(D5550&lt;&gt;"",VLOOKUP(H5550,TABLEITEM,2,FALSE),"")</f>
        <v/>
      </c>
      <c r="M5550" s="13" t="str">
        <f>IF(D5550&lt;&gt;"",VLOOKUP(H5550,TABLEITEM,3,FALSE),"")</f>
        <v>สกรูหัวหมวก  M6x10</v>
      </c>
      <c r="N5550" s="14">
        <f>INSTOCK!$I5550*INSTOCK!$K5550</f>
        <v>432</v>
      </c>
      <c r="O5550" s="4" t="s">
        <v>2401</v>
      </c>
      <c r="P5550" s="4"/>
    </row>
    <row r="5551" ht="15.75" customHeight="1">
      <c r="B5551" s="8">
        <v>5875.0</v>
      </c>
      <c r="C5551" s="9">
        <v>43710.0</v>
      </c>
      <c r="D5551" s="6" t="s">
        <v>6617</v>
      </c>
      <c r="E5551" s="4">
        <v>6.208001271E9</v>
      </c>
      <c r="F5551" s="8" t="s">
        <v>604</v>
      </c>
      <c r="G5551" s="4" t="s">
        <v>1777</v>
      </c>
      <c r="H5551" s="10" t="s">
        <v>2084</v>
      </c>
      <c r="I5551" s="10">
        <v>5000.0</v>
      </c>
      <c r="J5551" s="11" t="str">
        <f>IF(D5551&lt;&gt;"",VLOOKUP(H5551,TABLEITEM,5,FALSE),"")</f>
        <v>EA</v>
      </c>
      <c r="K5551" s="12">
        <v>0.24</v>
      </c>
      <c r="L5551" s="13" t="str">
        <f>IF(D5551&lt;&gt;"",VLOOKUP(H5551,TABLEITEM,2,FALSE),"")</f>
        <v/>
      </c>
      <c r="M5551" s="13" t="str">
        <f>IF(D5551&lt;&gt;"",VLOOKUP(H5551,TABLEITEM,3,FALSE),"")</f>
        <v>ติดจาน M5</v>
      </c>
      <c r="N5551" s="14">
        <f>INSTOCK!$I5551*INSTOCK!$K5551</f>
        <v>1200</v>
      </c>
      <c r="O5551" s="4" t="s">
        <v>2085</v>
      </c>
      <c r="P5551" s="4"/>
    </row>
    <row r="5552" ht="15.75" customHeight="1">
      <c r="B5552" s="8">
        <v>5876.0</v>
      </c>
      <c r="C5552" s="9">
        <v>43710.0</v>
      </c>
      <c r="D5552" s="6" t="s">
        <v>6617</v>
      </c>
      <c r="E5552" s="4">
        <v>6.208001271E9</v>
      </c>
      <c r="F5552" s="8" t="s">
        <v>604</v>
      </c>
      <c r="G5552" s="4" t="s">
        <v>1777</v>
      </c>
      <c r="H5552" s="10" t="s">
        <v>2086</v>
      </c>
      <c r="I5552" s="10">
        <v>3000.0</v>
      </c>
      <c r="J5552" s="11" t="str">
        <f>IF(D5552&lt;&gt;"",VLOOKUP(H5552,TABLEITEM,5,FALSE),"")</f>
        <v>EA</v>
      </c>
      <c r="K5552" s="12">
        <v>0.6</v>
      </c>
      <c r="L5552" s="13" t="str">
        <f>IF(D5552&lt;&gt;"",VLOOKUP(H5552,TABLEITEM,2,FALSE),"")</f>
        <v/>
      </c>
      <c r="M5552" s="13" t="str">
        <f>IF(D5552&lt;&gt;"",VLOOKUP(H5552,TABLEITEM,3,FALSE),"")</f>
        <v>ติดจาน M8</v>
      </c>
      <c r="N5552" s="14">
        <f>INSTOCK!$I5552*INSTOCK!$K5552</f>
        <v>1800</v>
      </c>
      <c r="O5552" s="4" t="s">
        <v>6618</v>
      </c>
      <c r="P5552" s="4"/>
    </row>
    <row r="5553" ht="15.75" customHeight="1">
      <c r="B5553" s="8">
        <v>5877.0</v>
      </c>
      <c r="C5553" s="9">
        <v>43710.0</v>
      </c>
      <c r="D5553" s="6" t="s">
        <v>6617</v>
      </c>
      <c r="E5553" s="4">
        <v>6.208001271E9</v>
      </c>
      <c r="F5553" s="8" t="s">
        <v>604</v>
      </c>
      <c r="G5553" s="4" t="s">
        <v>1777</v>
      </c>
      <c r="H5553" s="10" t="s">
        <v>1942</v>
      </c>
      <c r="I5553" s="10">
        <v>2000.0</v>
      </c>
      <c r="J5553" s="11" t="str">
        <f>IF(D5553&lt;&gt;"",VLOOKUP(H5553,TABLEITEM,5,FALSE),"")</f>
        <v>EA</v>
      </c>
      <c r="K5553" s="12">
        <v>0.75</v>
      </c>
      <c r="L5553" s="13" t="str">
        <f>IF(D5553&lt;&gt;"",VLOOKUP(H5553,TABLEITEM,2,FALSE),"")</f>
        <v/>
      </c>
      <c r="M5553" s="13" t="str">
        <f>IF(D5553&lt;&gt;"",VLOOKUP(H5553,TABLEITEM,3,FALSE),"")</f>
        <v>หัวน๊อต SUS M10</v>
      </c>
      <c r="N5553" s="14">
        <f>INSTOCK!$I5553*INSTOCK!$K5553</f>
        <v>1500</v>
      </c>
      <c r="O5553" s="4" t="s">
        <v>2095</v>
      </c>
      <c r="P5553" s="4"/>
    </row>
    <row r="5554" ht="15.75" customHeight="1">
      <c r="B5554" s="8">
        <v>5878.0</v>
      </c>
      <c r="C5554" s="9">
        <v>43710.0</v>
      </c>
      <c r="D5554" s="6" t="s">
        <v>6617</v>
      </c>
      <c r="E5554" s="4">
        <v>6.208001271E9</v>
      </c>
      <c r="F5554" s="8" t="s">
        <v>604</v>
      </c>
      <c r="G5554" s="4" t="s">
        <v>1777</v>
      </c>
      <c r="H5554" s="10" t="s">
        <v>3841</v>
      </c>
      <c r="I5554" s="10">
        <v>2000.0</v>
      </c>
      <c r="J5554" s="11" t="str">
        <f>IF(D5554&lt;&gt;"",VLOOKUP(H5554,TABLEITEM,5,FALSE),"")</f>
        <v>EA</v>
      </c>
      <c r="K5554" s="12">
        <v>0.25</v>
      </c>
      <c r="L5554" s="13" t="str">
        <f>IF(D5554&lt;&gt;"",VLOOKUP(H5554,TABLEITEM,2,FALSE),"")</f>
        <v/>
      </c>
      <c r="M5554" s="13" t="str">
        <f>IF(D5554&lt;&gt;"",VLOOKUP(H5554,TABLEITEM,3,FALSE),"")</f>
        <v>แหวนสปริง M12   ชุบรุ้ง</v>
      </c>
      <c r="N5554" s="14">
        <f>INSTOCK!$I5554*INSTOCK!$K5554</f>
        <v>500</v>
      </c>
      <c r="O5554" s="4" t="s">
        <v>1891</v>
      </c>
      <c r="P5554" s="4"/>
    </row>
    <row r="5555" ht="15.75" customHeight="1">
      <c r="B5555" s="8">
        <v>5879.0</v>
      </c>
      <c r="C5555" s="9">
        <v>43710.0</v>
      </c>
      <c r="D5555" s="6" t="s">
        <v>6617</v>
      </c>
      <c r="E5555" s="4">
        <v>6.208001271E9</v>
      </c>
      <c r="F5555" s="8" t="s">
        <v>604</v>
      </c>
      <c r="G5555" s="4" t="s">
        <v>1777</v>
      </c>
      <c r="H5555" s="10" t="s">
        <v>6619</v>
      </c>
      <c r="I5555" s="10">
        <v>200.0</v>
      </c>
      <c r="J5555" s="11" t="str">
        <f>IF(D5555&lt;&gt;"",VLOOKUP(H5555,TABLEITEM,5,FALSE),"")</f>
        <v>EA</v>
      </c>
      <c r="K5555" s="12">
        <v>3.2</v>
      </c>
      <c r="L5555" s="13" t="str">
        <f>IF(D5555&lt;&gt;"",VLOOKUP(H5555,TABLEITEM,2,FALSE),"")</f>
        <v/>
      </c>
      <c r="M5555" s="13" t="str">
        <f>IF(D5555&lt;&gt;"",VLOOKUP(H5555,TABLEITEM,3,FALSE),"")</f>
        <v>หัวน้อต       M16   ชุบขาว</v>
      </c>
      <c r="N5555" s="14">
        <f>INSTOCK!$I5555*INSTOCK!$K5555</f>
        <v>640</v>
      </c>
      <c r="O5555" s="4"/>
      <c r="P5555" s="4"/>
    </row>
    <row r="5556" ht="15.75" customHeight="1">
      <c r="B5556" s="8">
        <v>5880.0</v>
      </c>
      <c r="C5556" s="9">
        <v>43710.0</v>
      </c>
      <c r="D5556" s="6" t="s">
        <v>6617</v>
      </c>
      <c r="E5556" s="4">
        <v>6.208001271E9</v>
      </c>
      <c r="F5556" s="8" t="s">
        <v>604</v>
      </c>
      <c r="G5556" s="4" t="s">
        <v>1777</v>
      </c>
      <c r="H5556" s="10" t="s">
        <v>4468</v>
      </c>
      <c r="I5556" s="10">
        <v>2000.0</v>
      </c>
      <c r="J5556" s="11" t="str">
        <f>IF(D5556&lt;&gt;"",VLOOKUP(H5556,TABLEITEM,5,FALSE),"")</f>
        <v>EA</v>
      </c>
      <c r="K5556" s="12">
        <v>0.0571</v>
      </c>
      <c r="L5556" s="13" t="str">
        <f>IF(D5556&lt;&gt;"",VLOOKUP(H5556,TABLEITEM,2,FALSE),"")</f>
        <v/>
      </c>
      <c r="M5556" s="13" t="str">
        <f>IF(D5556&lt;&gt;"",VLOOKUP(H5556,TABLEITEM,3,FALSE),"")</f>
        <v>สกรูเกลียวปล่อย M4x3/8</v>
      </c>
      <c r="N5556" s="14">
        <f>INSTOCK!$I5556*INSTOCK!$K5556</f>
        <v>114.2</v>
      </c>
      <c r="O5556" s="4" t="s">
        <v>6620</v>
      </c>
      <c r="P5556" s="4"/>
    </row>
    <row r="5557" ht="15.75" customHeight="1">
      <c r="B5557" s="8">
        <v>5881.0</v>
      </c>
      <c r="C5557" s="9">
        <v>43710.0</v>
      </c>
      <c r="D5557" s="6" t="s">
        <v>6617</v>
      </c>
      <c r="E5557" s="4">
        <v>6.208001271E9</v>
      </c>
      <c r="F5557" s="8" t="s">
        <v>604</v>
      </c>
      <c r="G5557" s="4" t="s">
        <v>1777</v>
      </c>
      <c r="H5557" s="10" t="s">
        <v>4616</v>
      </c>
      <c r="I5557" s="10">
        <v>2000.0</v>
      </c>
      <c r="J5557" s="11" t="str">
        <f>IF(D5557&lt;&gt;"",VLOOKUP(H5557,TABLEITEM,5,FALSE),"")</f>
        <v>EA</v>
      </c>
      <c r="K5557" s="12">
        <v>0.3</v>
      </c>
      <c r="L5557" s="13" t="str">
        <f>IF(D5557&lt;&gt;"",VLOOKUP(H5557,TABLEITEM,2,FALSE),"")</f>
        <v/>
      </c>
      <c r="M5557" s="13" t="str">
        <f>IF(D5557&lt;&gt;"",VLOOKUP(H5557,TABLEITEM,3,FALSE),"")</f>
        <v>หัวน็อตล็อค M5</v>
      </c>
      <c r="N5557" s="14">
        <f>INSTOCK!$I5557*INSTOCK!$K5557</f>
        <v>600</v>
      </c>
      <c r="O5557" s="4" t="s">
        <v>2170</v>
      </c>
      <c r="P5557" s="4"/>
    </row>
    <row r="5558" ht="15.75" customHeight="1">
      <c r="B5558" s="8">
        <v>5882.0</v>
      </c>
      <c r="C5558" s="9">
        <v>43710.0</v>
      </c>
      <c r="D5558" s="6" t="s">
        <v>6617</v>
      </c>
      <c r="E5558" s="4">
        <v>6.208001271E9</v>
      </c>
      <c r="F5558" s="8" t="s">
        <v>604</v>
      </c>
      <c r="G5558" s="4" t="s">
        <v>1777</v>
      </c>
      <c r="H5558" s="10" t="s">
        <v>1859</v>
      </c>
      <c r="I5558" s="10">
        <v>2000.0</v>
      </c>
      <c r="J5558" s="11" t="str">
        <f>IF(D5558&lt;&gt;"",VLOOKUP(H5558,TABLEITEM,5,FALSE),"")</f>
        <v>EA</v>
      </c>
      <c r="K5558" s="12">
        <v>0.9035</v>
      </c>
      <c r="L5558" s="13" t="str">
        <f>IF(D5558&lt;&gt;"",VLOOKUP(H5558,TABLEITEM,2,FALSE),"")</f>
        <v/>
      </c>
      <c r="M5558" s="13" t="str">
        <f>IF(D5558&lt;&gt;"",VLOOKUP(H5558,TABLEITEM,3,FALSE),"")</f>
        <v>สกรูหัวเหลี่ยมชุบขาว M8x25</v>
      </c>
      <c r="N5558" s="14">
        <f>INSTOCK!$I5558*INSTOCK!$K5558</f>
        <v>1807</v>
      </c>
      <c r="O5558" s="4" t="s">
        <v>1860</v>
      </c>
      <c r="P5558" s="4"/>
    </row>
    <row r="5559" ht="15.75" customHeight="1">
      <c r="B5559" s="8">
        <v>5883.0</v>
      </c>
      <c r="C5559" s="9">
        <v>43710.0</v>
      </c>
      <c r="D5559" s="6" t="s">
        <v>6617</v>
      </c>
      <c r="E5559" s="4">
        <v>6.208001271E9</v>
      </c>
      <c r="F5559" s="8" t="s">
        <v>604</v>
      </c>
      <c r="G5559" s="4" t="s">
        <v>1777</v>
      </c>
      <c r="H5559" s="10" t="s">
        <v>4531</v>
      </c>
      <c r="I5559" s="10">
        <v>1000.0</v>
      </c>
      <c r="J5559" s="11" t="str">
        <f>IF(D5559&lt;&gt;"",VLOOKUP(H5559,TABLEITEM,5,FALSE),"")</f>
        <v>EA</v>
      </c>
      <c r="K5559" s="12">
        <v>0.378</v>
      </c>
      <c r="L5559" s="13" t="str">
        <f>IF(D5559&lt;&gt;"",VLOOKUP(H5559,TABLEITEM,2,FALSE),"")</f>
        <v/>
      </c>
      <c r="M5559" s="13" t="str">
        <f>IF(D5559&lt;&gt;"",VLOOKUP(H5559,TABLEITEM,3,FALSE),"")</f>
        <v>สกรูเตเปอร์ M6x35</v>
      </c>
      <c r="N5559" s="14">
        <f>INSTOCK!$I5559*INSTOCK!$K5559</f>
        <v>378</v>
      </c>
      <c r="O5559" s="4" t="s">
        <v>2405</v>
      </c>
      <c r="P5559" s="4"/>
    </row>
    <row r="5560" ht="15.75" customHeight="1">
      <c r="B5560" s="8">
        <v>5884.0</v>
      </c>
      <c r="C5560" s="9">
        <v>43710.0</v>
      </c>
      <c r="D5560" s="6" t="s">
        <v>6617</v>
      </c>
      <c r="E5560" s="4">
        <v>6.208001271E9</v>
      </c>
      <c r="F5560" s="8" t="s">
        <v>604</v>
      </c>
      <c r="G5560" s="4" t="s">
        <v>1777</v>
      </c>
      <c r="H5560" s="10" t="s">
        <v>1887</v>
      </c>
      <c r="I5560" s="10">
        <v>2000.0</v>
      </c>
      <c r="J5560" s="11" t="str">
        <f>IF(D5560&lt;&gt;"",VLOOKUP(H5560,TABLEITEM,5,FALSE),"")</f>
        <v>EA</v>
      </c>
      <c r="K5560" s="12">
        <v>0.375</v>
      </c>
      <c r="L5560" s="13" t="str">
        <f>IF(D5560&lt;&gt;"",VLOOKUP(H5560,TABLEITEM,2,FALSE),"")</f>
        <v/>
      </c>
      <c r="M5560" s="13" t="str">
        <f>IF(D5560&lt;&gt;"",VLOOKUP(H5560,TABLEITEM,3,FALSE),"")</f>
        <v>แหวนอีแปะ M12  ชุบขาว</v>
      </c>
      <c r="N5560" s="14">
        <f>INSTOCK!$I5560*INSTOCK!$K5560</f>
        <v>750</v>
      </c>
      <c r="O5560" s="4" t="s">
        <v>1888</v>
      </c>
      <c r="P5560" s="4"/>
    </row>
    <row r="5561" ht="15.75" customHeight="1">
      <c r="B5561" s="8">
        <v>5885.0</v>
      </c>
      <c r="C5561" s="9">
        <v>43710.0</v>
      </c>
      <c r="D5561" s="6" t="s">
        <v>6617</v>
      </c>
      <c r="E5561" s="4">
        <v>6.208001271E9</v>
      </c>
      <c r="F5561" s="8" t="s">
        <v>604</v>
      </c>
      <c r="G5561" s="4" t="s">
        <v>1777</v>
      </c>
      <c r="H5561" s="10" t="s">
        <v>3519</v>
      </c>
      <c r="I5561" s="10">
        <v>2000.0</v>
      </c>
      <c r="J5561" s="11" t="str">
        <f>IF(D5561&lt;&gt;"",VLOOKUP(H5561,TABLEITEM,5,FALSE),"")</f>
        <v>EA</v>
      </c>
      <c r="K5561" s="12">
        <v>0.56</v>
      </c>
      <c r="L5561" s="13" t="str">
        <f>IF(D5561&lt;&gt;"",VLOOKUP(H5561,TABLEITEM,2,FALSE),"")</f>
        <v/>
      </c>
      <c r="M5561" s="13" t="str">
        <f>IF(D5561&lt;&gt;"",VLOOKUP(H5561,TABLEITEM,3,FALSE),"")</f>
        <v>แหวนอีแปะ M16  ชุบขาว</v>
      </c>
      <c r="N5561" s="14">
        <f>INSTOCK!$I5561*INSTOCK!$K5561</f>
        <v>1120</v>
      </c>
      <c r="O5561" s="4" t="s">
        <v>6621</v>
      </c>
      <c r="P5561" s="4"/>
    </row>
    <row r="5562" ht="15.75" customHeight="1">
      <c r="B5562" s="8">
        <v>5886.0</v>
      </c>
      <c r="C5562" s="9">
        <v>43713.0</v>
      </c>
      <c r="D5562" s="6" t="s">
        <v>6622</v>
      </c>
      <c r="E5562" s="4">
        <v>6.208001293E9</v>
      </c>
      <c r="F5562" s="8" t="s">
        <v>604</v>
      </c>
      <c r="G5562" s="4" t="s">
        <v>2445</v>
      </c>
      <c r="H5562" s="10" t="s">
        <v>2668</v>
      </c>
      <c r="I5562" s="10">
        <v>7000.0</v>
      </c>
      <c r="J5562" s="11" t="str">
        <f>IF(D5562&lt;&gt;"",VLOOKUP(H5562,TABLEITEM,5,FALSE),"")</f>
        <v>EA</v>
      </c>
      <c r="K5562" s="12">
        <v>1.05</v>
      </c>
      <c r="L5562" s="13" t="str">
        <f>IF(D5562&lt;&gt;"",VLOOKUP(H5562,TABLEITEM,2,FALSE),"")</f>
        <v/>
      </c>
      <c r="M5562" s="13" t="str">
        <f>IF(D5562&lt;&gt;"",VLOOKUP(H5562,TABLEITEM,3,FALSE),"")</f>
        <v>สตัด M5x10</v>
      </c>
      <c r="N5562" s="14">
        <f>INSTOCK!$I5562*INSTOCK!$K5562</f>
        <v>7350</v>
      </c>
      <c r="O5562" s="4"/>
      <c r="P5562" s="4"/>
    </row>
    <row r="5563" ht="15.75" customHeight="1">
      <c r="B5563" s="8">
        <v>5887.0</v>
      </c>
      <c r="C5563" s="9">
        <v>43712.0</v>
      </c>
      <c r="D5563" s="6" t="s">
        <v>6623</v>
      </c>
      <c r="E5563" s="4">
        <v>6.209001312E9</v>
      </c>
      <c r="F5563" s="8" t="s">
        <v>6624</v>
      </c>
      <c r="G5563" s="4" t="s">
        <v>1516</v>
      </c>
      <c r="H5563" s="10" t="s">
        <v>2158</v>
      </c>
      <c r="I5563" s="10">
        <v>1.0</v>
      </c>
      <c r="J5563" s="11" t="str">
        <f>IF(D5563&lt;&gt;"",VLOOKUP(H5563,TABLEITEM,5,FALSE),"")</f>
        <v>EA</v>
      </c>
      <c r="K5563" s="12">
        <v>504.0</v>
      </c>
      <c r="L5563" s="13" t="str">
        <f>IF(D5563&lt;&gt;"",VLOOKUP(H5563,TABLEITEM,2,FALSE),"")</f>
        <v/>
      </c>
      <c r="M5563" s="13" t="str">
        <f>IF(D5563&lt;&gt;"",VLOOKUP(H5563,TABLEITEM,3,FALSE),"")</f>
        <v>OVERLOAD RALAY 2.5-4A CLASS 10A</v>
      </c>
      <c r="N5563" s="14">
        <f>INSTOCK!$I5563*INSTOCK!$K5563</f>
        <v>504</v>
      </c>
      <c r="O5563" s="4" t="s">
        <v>6625</v>
      </c>
      <c r="P5563" s="4"/>
    </row>
    <row r="5564" ht="15.75" customHeight="1">
      <c r="B5564" s="8">
        <v>5888.0</v>
      </c>
      <c r="C5564" s="9">
        <v>43712.0</v>
      </c>
      <c r="D5564" s="6" t="s">
        <v>6623</v>
      </c>
      <c r="E5564" s="4">
        <v>6.209001312E9</v>
      </c>
      <c r="F5564" s="8" t="s">
        <v>6624</v>
      </c>
      <c r="G5564" s="4" t="s">
        <v>1516</v>
      </c>
      <c r="H5564" s="10" t="s">
        <v>1583</v>
      </c>
      <c r="I5564" s="10">
        <v>5.0</v>
      </c>
      <c r="J5564" s="11" t="str">
        <f>IF(D5564&lt;&gt;"",VLOOKUP(H5564,TABLEITEM,5,FALSE),"")</f>
        <v>EA</v>
      </c>
      <c r="K5564" s="12">
        <v>144.0</v>
      </c>
      <c r="L5564" s="13" t="str">
        <f>IF(D5564&lt;&gt;"",VLOOKUP(H5564,TABLEITEM,2,FALSE),"")</f>
        <v/>
      </c>
      <c r="M5564" s="13" t="str">
        <f>IF(D5564&lt;&gt;"",VLOOKUP(H5564,TABLEITEM,3,FALSE),"")</f>
        <v>HARMONY XB4 SELECTOR SWITCH ZB4BD3</v>
      </c>
      <c r="N5564" s="14">
        <f>INSTOCK!$I5564*INSTOCK!$K5564</f>
        <v>720</v>
      </c>
      <c r="O5564" s="4" t="s">
        <v>6626</v>
      </c>
      <c r="P5564" s="4"/>
    </row>
    <row r="5565" ht="15.75" customHeight="1">
      <c r="B5565" s="8">
        <v>5889.0</v>
      </c>
      <c r="C5565" s="9">
        <v>43712.0</v>
      </c>
      <c r="D5565" s="6" t="s">
        <v>6623</v>
      </c>
      <c r="E5565" s="4">
        <v>6.209001312E9</v>
      </c>
      <c r="F5565" s="8" t="s">
        <v>6624</v>
      </c>
      <c r="G5565" s="4" t="s">
        <v>1516</v>
      </c>
      <c r="H5565" s="10" t="s">
        <v>1742</v>
      </c>
      <c r="I5565" s="10">
        <v>3.0</v>
      </c>
      <c r="J5565" s="11" t="str">
        <f>IF(D5565&lt;&gt;"",VLOOKUP(H5565,TABLEITEM,5,FALSE),"")</f>
        <v>EA</v>
      </c>
      <c r="K5565" s="12">
        <v>124.0</v>
      </c>
      <c r="L5565" s="13" t="str">
        <f>IF(D5565&lt;&gt;"",VLOOKUP(H5565,TABLEITEM,2,FALSE),"")</f>
        <v/>
      </c>
      <c r="M5565" s="13" t="str">
        <f>IF(D5565&lt;&gt;"",VLOOKUP(H5565,TABLEITEM,3,FALSE),"")</f>
        <v>HARMONY XB4 SINGER CONTACT BLOCK ZB4BZ102</v>
      </c>
      <c r="N5565" s="14">
        <f>INSTOCK!$I5565*INSTOCK!$K5565</f>
        <v>372</v>
      </c>
      <c r="O5565" s="4" t="s">
        <v>6627</v>
      </c>
      <c r="P5565" s="4"/>
    </row>
    <row r="5566" ht="15.75" customHeight="1">
      <c r="B5566" s="8">
        <v>5890.0</v>
      </c>
      <c r="C5566" s="9">
        <v>43712.0</v>
      </c>
      <c r="D5566" s="6" t="s">
        <v>6623</v>
      </c>
      <c r="E5566" s="4">
        <v>6.209001312E9</v>
      </c>
      <c r="F5566" s="8" t="s">
        <v>6624</v>
      </c>
      <c r="G5566" s="4" t="s">
        <v>1516</v>
      </c>
      <c r="H5566" s="10" t="s">
        <v>1743</v>
      </c>
      <c r="I5566" s="10">
        <v>5.0</v>
      </c>
      <c r="J5566" s="11" t="str">
        <f>IF(D5566&lt;&gt;"",VLOOKUP(H5566,TABLEITEM,5,FALSE),"")</f>
        <v>EA</v>
      </c>
      <c r="K5566" s="12">
        <v>68.0</v>
      </c>
      <c r="L5566" s="13" t="str">
        <f>IF(D5566&lt;&gt;"",VLOOKUP(H5566,TABLEITEM,2,FALSE),"")</f>
        <v/>
      </c>
      <c r="M5566" s="13" t="str">
        <f>IF(D5566&lt;&gt;"",VLOOKUP(H5566,TABLEITEM,3,FALSE),"")</f>
        <v>SINGLE CONTACT BLOCK #22 1NO ZBE101</v>
      </c>
      <c r="N5566" s="14">
        <f>INSTOCK!$I5566*INSTOCK!$K5566</f>
        <v>340</v>
      </c>
      <c r="O5566" s="4" t="s">
        <v>6628</v>
      </c>
      <c r="P5566" s="4"/>
    </row>
    <row r="5567" ht="15.75" customHeight="1">
      <c r="B5567" s="8">
        <v>5891.0</v>
      </c>
      <c r="C5567" s="9">
        <v>43712.0</v>
      </c>
      <c r="D5567" s="6" t="s">
        <v>6623</v>
      </c>
      <c r="E5567" s="4">
        <v>6.209001312E9</v>
      </c>
      <c r="F5567" s="8" t="s">
        <v>6624</v>
      </c>
      <c r="G5567" s="4" t="s">
        <v>1516</v>
      </c>
      <c r="H5567" s="10" t="s">
        <v>2157</v>
      </c>
      <c r="I5567" s="10">
        <v>30.0</v>
      </c>
      <c r="J5567" s="11" t="str">
        <f>IF(D5567&lt;&gt;"",VLOOKUP(H5567,TABLEITEM,5,FALSE),"")</f>
        <v>EA</v>
      </c>
      <c r="K5567" s="12">
        <v>80.0</v>
      </c>
      <c r="L5567" s="13" t="str">
        <f>IF(D5567&lt;&gt;"",VLOOKUP(H5567,TABLEITEM,2,FALSE),"")</f>
        <v/>
      </c>
      <c r="M5567" s="13" t="str">
        <f>IF(D5567&lt;&gt;"",VLOOKUP(H5567,TABLEITEM,3,FALSE),"")</f>
        <v>PILOT LIGHT LED 240V YELLOW</v>
      </c>
      <c r="N5567" s="14">
        <f>INSTOCK!$I5567*INSTOCK!$K5567</f>
        <v>2400</v>
      </c>
      <c r="O5567" s="4" t="s">
        <v>6629</v>
      </c>
      <c r="P5567" s="4"/>
    </row>
    <row r="5568" ht="15.75" customHeight="1">
      <c r="B5568" s="8">
        <v>5892.0</v>
      </c>
      <c r="C5568" s="9">
        <v>43714.0</v>
      </c>
      <c r="D5568" s="6" t="s">
        <v>6630</v>
      </c>
      <c r="E5568" s="4">
        <v>6.209001314E9</v>
      </c>
      <c r="F5568" s="8" t="s">
        <v>5810</v>
      </c>
      <c r="G5568" s="4" t="s">
        <v>982</v>
      </c>
      <c r="H5568" s="10" t="s">
        <v>983</v>
      </c>
      <c r="I5568" s="10">
        <v>200.0</v>
      </c>
      <c r="J5568" s="11" t="str">
        <f>IF(D5568&lt;&gt;"",VLOOKUP(H5568,TABLEITEM,5,FALSE),"")</f>
        <v>KG.</v>
      </c>
      <c r="K5568" s="12">
        <v>37.0</v>
      </c>
      <c r="L5568" s="13" t="str">
        <f>IF(D5568&lt;&gt;"",VLOOKUP(H5568,TABLEITEM,2,FALSE),"")</f>
        <v/>
      </c>
      <c r="M5568" s="13" t="str">
        <f>IF(D5568&lt;&gt;"",VLOOKUP(H5568,TABLEITEM,3,FALSE),"")</f>
        <v>เคมี ADDITIVE P-8</v>
      </c>
      <c r="N5568" s="14">
        <f>INSTOCK!$I5568*INSTOCK!$K5568</f>
        <v>7400</v>
      </c>
      <c r="O5568" s="4"/>
      <c r="P5568" s="4"/>
    </row>
    <row r="5569" ht="15.75" customHeight="1">
      <c r="B5569" s="8">
        <v>5893.0</v>
      </c>
      <c r="C5569" s="9">
        <v>43714.0</v>
      </c>
      <c r="D5569" s="6" t="s">
        <v>6630</v>
      </c>
      <c r="E5569" s="4">
        <v>6.209001314E9</v>
      </c>
      <c r="F5569" s="8" t="s">
        <v>5810</v>
      </c>
      <c r="G5569" s="4" t="s">
        <v>982</v>
      </c>
      <c r="H5569" s="10" t="s">
        <v>991</v>
      </c>
      <c r="I5569" s="10">
        <v>100.0</v>
      </c>
      <c r="J5569" s="11" t="str">
        <f>IF(D5569&lt;&gt;"",VLOOKUP(H5569,TABLEITEM,5,FALSE),"")</f>
        <v>KG.</v>
      </c>
      <c r="K5569" s="12">
        <v>18.0</v>
      </c>
      <c r="L5569" s="13" t="str">
        <f>IF(D5569&lt;&gt;"",VLOOKUP(H5569,TABLEITEM,2,FALSE),"")</f>
        <v/>
      </c>
      <c r="M5569" s="13" t="str">
        <f>IF(D5569&lt;&gt;"",VLOOKUP(H5569,TABLEITEM,3,FALSE),"")</f>
        <v>เคมีตัวเร่งฟอสเฟต</v>
      </c>
      <c r="N5569" s="14">
        <f>INSTOCK!$I5569*INSTOCK!$K5569</f>
        <v>1800</v>
      </c>
      <c r="O5569" s="4"/>
      <c r="P5569" s="4"/>
    </row>
    <row r="5570" ht="15.75" customHeight="1">
      <c r="B5570" s="8">
        <v>5894.0</v>
      </c>
      <c r="C5570" s="9">
        <v>43713.0</v>
      </c>
      <c r="D5570" s="6">
        <v>281644.0</v>
      </c>
      <c r="E5570" s="4" t="s">
        <v>6631</v>
      </c>
      <c r="F5570" s="8" t="s">
        <v>604</v>
      </c>
      <c r="G5570" s="4" t="s">
        <v>6632</v>
      </c>
      <c r="H5570" s="10" t="s">
        <v>50</v>
      </c>
      <c r="I5570" s="10">
        <v>35.0</v>
      </c>
      <c r="J5570" s="11" t="str">
        <f>IF(D5570&lt;&gt;"",VLOOKUP(H5570,TABLEITEM,5,FALSE),"")</f>
        <v>EA</v>
      </c>
      <c r="K5570" s="12">
        <v>159.9</v>
      </c>
      <c r="L5570" s="13" t="str">
        <f>IF(D5570&lt;&gt;"",VLOOKUP(H5570,TABLEITEM,2,FALSE),"")</f>
        <v/>
      </c>
      <c r="M5570" s="13" t="str">
        <f>IF(D5570&lt;&gt;"",VLOOKUP(H5570,TABLEITEM,3,FALSE),"")</f>
        <v>กระดาษกาว 2 หน้า 13 มิล</v>
      </c>
      <c r="N5570" s="14">
        <f>INSTOCK!$I5570*INSTOCK!$K5570</f>
        <v>5596.5</v>
      </c>
      <c r="O5570" s="4"/>
      <c r="P5570" s="4"/>
    </row>
    <row r="5571" ht="15.75" customHeight="1">
      <c r="B5571" s="8">
        <v>5895.0</v>
      </c>
      <c r="C5571" s="9">
        <v>43712.0</v>
      </c>
      <c r="D5571" s="6">
        <v>6.20901435E8</v>
      </c>
      <c r="E5571" s="4">
        <v>6.209001311E9</v>
      </c>
      <c r="F5571" s="8" t="s">
        <v>6633</v>
      </c>
      <c r="G5571" s="4" t="s">
        <v>1130</v>
      </c>
      <c r="H5571" s="10" t="s">
        <v>6634</v>
      </c>
      <c r="I5571" s="10">
        <v>10.0</v>
      </c>
      <c r="J5571" s="11" t="str">
        <f>IF(D5571&lt;&gt;"",VLOOKUP(H5571,TABLEITEM,5,FALSE),"")</f>
        <v>EA</v>
      </c>
      <c r="K5571" s="12">
        <v>115.0</v>
      </c>
      <c r="L5571" s="13" t="str">
        <f>IF(D5571&lt;&gt;"",VLOOKUP(H5571,TABLEITEM,2,FALSE),"")</f>
        <v/>
      </c>
      <c r="M5571" s="13" t="str">
        <f>IF(D5571&lt;&gt;"",VLOOKUP(H5571,TABLEITEM,3,FALSE),"")</f>
        <v>RELAY MKS2P 220AC </v>
      </c>
      <c r="N5571" s="14">
        <f>INSTOCK!$I5571*INSTOCK!$K5571</f>
        <v>1150</v>
      </c>
      <c r="O5571" s="4"/>
      <c r="P5571" s="4"/>
    </row>
    <row r="5572" ht="15.75" customHeight="1">
      <c r="B5572" s="8">
        <v>5896.0</v>
      </c>
      <c r="C5572" s="9">
        <v>43712.0</v>
      </c>
      <c r="D5572" s="6">
        <v>6.20901435E8</v>
      </c>
      <c r="E5572" s="4">
        <v>6.209001311E9</v>
      </c>
      <c r="F5572" s="8" t="s">
        <v>6633</v>
      </c>
      <c r="G5572" s="4" t="s">
        <v>1130</v>
      </c>
      <c r="H5572" s="10" t="s">
        <v>1834</v>
      </c>
      <c r="I5572" s="10">
        <v>10.0</v>
      </c>
      <c r="J5572" s="11" t="str">
        <f>IF(D5572&lt;&gt;"",VLOOKUP(H5572,TABLEITEM,5,FALSE),"")</f>
        <v>EA</v>
      </c>
      <c r="K5572" s="12">
        <v>57.8</v>
      </c>
      <c r="L5572" s="13" t="str">
        <f>IF(D5572&lt;&gt;"",VLOOKUP(H5572,TABLEITEM,2,FALSE),"")</f>
        <v/>
      </c>
      <c r="M5572" s="13" t="str">
        <f>IF(D5572&lt;&gt;"",VLOOKUP(H5572,TABLEITEM,3,FALSE),"")</f>
        <v>SOCKET PF083A-E</v>
      </c>
      <c r="N5572" s="14">
        <f>INSTOCK!$I5572*INSTOCK!$K5572</f>
        <v>578</v>
      </c>
      <c r="O5572" s="4" t="s">
        <v>1835</v>
      </c>
      <c r="P5572" s="4"/>
    </row>
    <row r="5573" ht="15.75" customHeight="1">
      <c r="B5573" s="8">
        <v>5897.0</v>
      </c>
      <c r="C5573" s="9">
        <v>43714.0</v>
      </c>
      <c r="D5573" s="6">
        <v>40157.0</v>
      </c>
      <c r="E5573" s="4">
        <v>6.209001317E9</v>
      </c>
      <c r="F5573" s="8" t="s">
        <v>6635</v>
      </c>
      <c r="G5573" s="4" t="s">
        <v>696</v>
      </c>
      <c r="H5573" s="10" t="s">
        <v>6583</v>
      </c>
      <c r="I5573" s="10">
        <v>6.0</v>
      </c>
      <c r="J5573" s="11" t="str">
        <f>IF(D5573&lt;&gt;"",VLOOKUP(H5573,TABLEITEM,5,FALSE),"")</f>
        <v>EA</v>
      </c>
      <c r="K5573" s="12">
        <v>2000.0</v>
      </c>
      <c r="L5573" s="13" t="str">
        <f>IF(D5573&lt;&gt;"",VLOOKUP(H5573,TABLEITEM,2,FALSE),"")</f>
        <v/>
      </c>
      <c r="M5573" s="13" t="str">
        <f>IF(D5573&lt;&gt;"",VLOOKUP(H5573,TABLEITEM,3,FALSE),"")</f>
        <v>เครื่องดูดฝุ่นมือ ZB6106WD แบตเตอรี่</v>
      </c>
      <c r="N5573" s="14">
        <f>INSTOCK!$I5573*INSTOCK!$K5573</f>
        <v>12000</v>
      </c>
      <c r="O5573" s="4"/>
      <c r="P5573" s="4"/>
    </row>
    <row r="5574" ht="15.75" customHeight="1">
      <c r="B5574" s="8">
        <v>5898.0</v>
      </c>
      <c r="C5574" s="9">
        <v>43714.0</v>
      </c>
      <c r="D5574" s="6" t="s">
        <v>6636</v>
      </c>
      <c r="E5574" s="4"/>
      <c r="F5574" s="8" t="s">
        <v>3737</v>
      </c>
      <c r="G5574" s="4" t="s">
        <v>6637</v>
      </c>
      <c r="H5574" s="18" t="s">
        <v>3739</v>
      </c>
      <c r="I5574" s="10">
        <v>1.0</v>
      </c>
      <c r="J5574" s="11" t="str">
        <f>IF(D5574&lt;&gt;"",VLOOKUP(H5574,TABLEITEM,5,FALSE),"")</f>
        <v>KG.</v>
      </c>
      <c r="K5574" s="12">
        <v>180.0</v>
      </c>
      <c r="L5574" s="13" t="str">
        <f>IF(D5574&lt;&gt;"",VLOOKUP(H5574,TABLEITEM,2,FALSE),"")</f>
        <v/>
      </c>
      <c r="M5574" s="13" t="str">
        <f>IF(D5574&lt;&gt;"",VLOOKUP(H5574,TABLEITEM,3,FALSE),"")</f>
        <v>Silica Gel Blue 1000g</v>
      </c>
      <c r="N5574" s="14">
        <f>INSTOCK!$I5574*INSTOCK!$K5574</f>
        <v>180</v>
      </c>
      <c r="O5574" s="4"/>
      <c r="P5574" s="4"/>
    </row>
    <row r="5575" ht="15.75" customHeight="1">
      <c r="B5575" s="8">
        <v>5899.0</v>
      </c>
      <c r="C5575" s="9">
        <v>43717.0</v>
      </c>
      <c r="D5575" s="6">
        <v>40174.0</v>
      </c>
      <c r="E5575" s="4">
        <v>6.209001323E9</v>
      </c>
      <c r="F5575" s="8" t="s">
        <v>6638</v>
      </c>
      <c r="G5575" s="4" t="s">
        <v>696</v>
      </c>
      <c r="H5575" s="18" t="s">
        <v>6531</v>
      </c>
      <c r="I5575" s="10">
        <v>20.0</v>
      </c>
      <c r="J5575" s="11" t="str">
        <f>IF(D5575&lt;&gt;"",VLOOKUP(H5575,TABLEITEM,5,FALSE),"")</f>
        <v>EA</v>
      </c>
      <c r="K5575" s="12">
        <v>28.0</v>
      </c>
      <c r="L5575" s="13" t="str">
        <f>IF(D5575&lt;&gt;"",VLOOKUP(H5575,TABLEITEM,2,FALSE),"")</f>
        <v/>
      </c>
      <c r="M5575" s="13" t="str">
        <f>IF(D5575&lt;&gt;"",VLOOKUP(H5575,TABLEITEM,3,FALSE),"")</f>
        <v>กลอนสเตนเลส 2"</v>
      </c>
      <c r="N5575" s="14">
        <f>INSTOCK!$I5575*INSTOCK!$K5575</f>
        <v>560</v>
      </c>
      <c r="O5575" s="4"/>
      <c r="P5575" s="4"/>
    </row>
    <row r="5576" ht="15.75" customHeight="1">
      <c r="B5576" s="8">
        <v>5900.0</v>
      </c>
      <c r="C5576" s="9">
        <v>43714.0</v>
      </c>
      <c r="D5576" s="6" t="s">
        <v>6639</v>
      </c>
      <c r="E5576" s="4">
        <v>6.20900132E9</v>
      </c>
      <c r="F5576" s="8" t="s">
        <v>6640</v>
      </c>
      <c r="G5576" s="4" t="s">
        <v>1446</v>
      </c>
      <c r="H5576" s="10" t="s">
        <v>6641</v>
      </c>
      <c r="I5576" s="10">
        <v>30.0</v>
      </c>
      <c r="J5576" s="11" t="str">
        <f>IF(D5576&lt;&gt;"",VLOOKUP(H5576,TABLEITEM,5,FALSE),"")</f>
        <v>M</v>
      </c>
      <c r="K5576" s="12">
        <v>147.0</v>
      </c>
      <c r="L5576" s="13" t="str">
        <f>IF(D5576&lt;&gt;"",VLOOKUP(H5576,TABLEITEM,2,FALSE),"")</f>
        <v/>
      </c>
      <c r="M5576" s="13" t="str">
        <f>IF(D5576&lt;&gt;"",VLOOKUP(H5576,TABLEITEM,3,FALSE),"")</f>
        <v>สายไฟ XLPE3.6/6(7.2) KV-CV 1x25 MM</v>
      </c>
      <c r="N5576" s="14">
        <f>INSTOCK!$I5576*INSTOCK!$K5576</f>
        <v>4410</v>
      </c>
      <c r="O5576" s="4" t="s">
        <v>6642</v>
      </c>
      <c r="P5576" s="4"/>
    </row>
    <row r="5577" ht="15.75" customHeight="1">
      <c r="B5577" s="8">
        <v>5901.0</v>
      </c>
      <c r="C5577" s="9">
        <v>43715.0</v>
      </c>
      <c r="D5577" s="6" t="s">
        <v>6643</v>
      </c>
      <c r="E5577" s="4">
        <v>6.208001297E9</v>
      </c>
      <c r="F5577" s="8" t="s">
        <v>604</v>
      </c>
      <c r="G5577" s="4" t="s">
        <v>1777</v>
      </c>
      <c r="H5577" s="10" t="s">
        <v>6644</v>
      </c>
      <c r="I5577" s="10">
        <v>500.0</v>
      </c>
      <c r="J5577" s="11" t="str">
        <f>IF(D5577&lt;&gt;"",VLOOKUP(H5577,TABLEITEM,5,FALSE),"")</f>
        <v>EA</v>
      </c>
      <c r="K5577" s="12">
        <v>0.2688</v>
      </c>
      <c r="L5577" s="13" t="str">
        <f>IF(D5577&lt;&gt;"",VLOOKUP(H5577,TABLEITEM,2,FALSE),"")</f>
        <v/>
      </c>
      <c r="M5577" s="13" t="str">
        <f>IF(D5577&lt;&gt;"",VLOOKUP(H5577,TABLEITEM,3,FALSE),"")</f>
        <v>สกรูหัวกลมชุบขาว M5x30</v>
      </c>
      <c r="N5577" s="14">
        <f>INSTOCK!$I5577*INSTOCK!$K5577</f>
        <v>134.4</v>
      </c>
      <c r="O5577" s="4" t="s">
        <v>6645</v>
      </c>
      <c r="P5577" s="4"/>
    </row>
    <row r="5578" ht="15.75" customHeight="1">
      <c r="B5578" s="8">
        <v>5902.0</v>
      </c>
      <c r="C5578" s="9">
        <v>43715.0</v>
      </c>
      <c r="D5578" s="6" t="s">
        <v>6643</v>
      </c>
      <c r="E5578" s="4">
        <v>6.208001297E9</v>
      </c>
      <c r="F5578" s="8" t="s">
        <v>604</v>
      </c>
      <c r="G5578" s="4" t="s">
        <v>1777</v>
      </c>
      <c r="H5578" s="10" t="s">
        <v>6646</v>
      </c>
      <c r="I5578" s="10">
        <v>1000.0</v>
      </c>
      <c r="J5578" s="11" t="str">
        <f>IF(D5578&lt;&gt;"",VLOOKUP(H5578,TABLEITEM,5,FALSE),"")</f>
        <v>EA</v>
      </c>
      <c r="K5578" s="12">
        <v>0.6</v>
      </c>
      <c r="L5578" s="13" t="str">
        <f>IF(D5578&lt;&gt;"",VLOOKUP(H5578,TABLEITEM,2,FALSE),"")</f>
        <v/>
      </c>
      <c r="M5578" s="13" t="str">
        <f>IF(D5578&lt;&gt;"",VLOOKUP(H5578,TABLEITEM,3,FALSE),"")</f>
        <v>แหวนพลาสติก M4</v>
      </c>
      <c r="N5578" s="14">
        <f>INSTOCK!$I5578*INSTOCK!$K5578</f>
        <v>600</v>
      </c>
      <c r="O5578" s="4"/>
      <c r="P5578" s="4"/>
    </row>
    <row r="5579" ht="15.75" customHeight="1">
      <c r="B5579" s="8">
        <v>5903.0</v>
      </c>
      <c r="C5579" s="9">
        <v>43715.0</v>
      </c>
      <c r="D5579" s="6" t="s">
        <v>6643</v>
      </c>
      <c r="E5579" s="4">
        <v>6.208001297E9</v>
      </c>
      <c r="F5579" s="8" t="s">
        <v>604</v>
      </c>
      <c r="G5579" s="4" t="s">
        <v>1777</v>
      </c>
      <c r="H5579" s="10" t="s">
        <v>2391</v>
      </c>
      <c r="I5579" s="10">
        <v>1000.0</v>
      </c>
      <c r="J5579" s="11" t="str">
        <f>IF(D5579&lt;&gt;"",VLOOKUP(H5579,TABLEITEM,5,FALSE),"")</f>
        <v>EA</v>
      </c>
      <c r="K5579" s="12">
        <v>0.84</v>
      </c>
      <c r="L5579" s="13" t="str">
        <f>IF(D5579&lt;&gt;"",VLOOKUP(H5579,TABLEITEM,2,FALSE),"")</f>
        <v/>
      </c>
      <c r="M5579" s="13" t="str">
        <f>IF(D5579&lt;&gt;"",VLOOKUP(H5579,TABLEITEM,3,FALSE),"")</f>
        <v>แหวนพลาสติก M5</v>
      </c>
      <c r="N5579" s="14">
        <f>INSTOCK!$I5579*INSTOCK!$K5579</f>
        <v>840</v>
      </c>
      <c r="O5579" s="4"/>
      <c r="P5579" s="4"/>
    </row>
    <row r="5580" ht="15.75" customHeight="1">
      <c r="B5580" s="8">
        <v>5904.0</v>
      </c>
      <c r="C5580" s="9">
        <v>43715.0</v>
      </c>
      <c r="D5580" s="6" t="s">
        <v>6643</v>
      </c>
      <c r="E5580" s="4">
        <v>6.208001297E9</v>
      </c>
      <c r="F5580" s="8" t="s">
        <v>604</v>
      </c>
      <c r="G5580" s="4" t="s">
        <v>1777</v>
      </c>
      <c r="H5580" s="10" t="s">
        <v>2392</v>
      </c>
      <c r="I5580" s="10">
        <v>1000.0</v>
      </c>
      <c r="J5580" s="11" t="str">
        <f>IF(D5580&lt;&gt;"",VLOOKUP(H5580,TABLEITEM,5,FALSE),"")</f>
        <v>EA</v>
      </c>
      <c r="K5580" s="12">
        <v>1.0</v>
      </c>
      <c r="L5580" s="13" t="str">
        <f>IF(D5580&lt;&gt;"",VLOOKUP(H5580,TABLEITEM,2,FALSE),"")</f>
        <v/>
      </c>
      <c r="M5580" s="13" t="str">
        <f>IF(D5580&lt;&gt;"",VLOOKUP(H5580,TABLEITEM,3,FALSE),"")</f>
        <v>แหวนพลาสติก M6</v>
      </c>
      <c r="N5580" s="14">
        <f>INSTOCK!$I5580*INSTOCK!$K5580</f>
        <v>1000</v>
      </c>
      <c r="O5580" s="4"/>
      <c r="P5580" s="4"/>
    </row>
    <row r="5581" ht="15.75" customHeight="1">
      <c r="B5581" s="8">
        <v>5905.0</v>
      </c>
      <c r="C5581" s="9">
        <v>43713.0</v>
      </c>
      <c r="D5581" s="6">
        <v>101753.0</v>
      </c>
      <c r="E5581" s="4">
        <v>6.208001246E9</v>
      </c>
      <c r="F5581" s="8" t="s">
        <v>6647</v>
      </c>
      <c r="G5581" s="4" t="s">
        <v>6648</v>
      </c>
      <c r="H5581" s="10" t="s">
        <v>6649</v>
      </c>
      <c r="I5581" s="10">
        <v>1.0</v>
      </c>
      <c r="J5581" s="11" t="str">
        <f>IF(D5581&lt;&gt;"",VLOOKUP(H5581,TABLEITEM,5,FALSE),"")</f>
        <v>EA</v>
      </c>
      <c r="K5581" s="12">
        <v>21472.4</v>
      </c>
      <c r="L5581" s="13" t="str">
        <f>IF(D5581&lt;&gt;"",VLOOKUP(H5581,TABLEITEM,2,FALSE),"")</f>
        <v/>
      </c>
      <c r="M5581" s="13" t="str">
        <f>IF(D5581&lt;&gt;"",VLOOKUP(H5581,TABLEITEM,3,FALSE),"")</f>
        <v>I-KIT ROB3000 AUTOM INTERFACE</v>
      </c>
      <c r="N5581" s="14">
        <f>INSTOCK!$I5581*INSTOCK!$K5581</f>
        <v>21472.4</v>
      </c>
      <c r="O5581" s="4"/>
      <c r="P5581" s="4"/>
    </row>
    <row r="5582" ht="15.75" customHeight="1">
      <c r="B5582" s="8">
        <v>5906.0</v>
      </c>
      <c r="C5582" s="9">
        <v>43713.0</v>
      </c>
      <c r="D5582" s="6" t="s">
        <v>6650</v>
      </c>
      <c r="E5582" s="4">
        <v>6.209001303E9</v>
      </c>
      <c r="F5582" s="8" t="s">
        <v>807</v>
      </c>
      <c r="G5582" s="4" t="s">
        <v>2460</v>
      </c>
      <c r="H5582" s="18" t="s">
        <v>3199</v>
      </c>
      <c r="I5582" s="10">
        <v>1.0</v>
      </c>
      <c r="J5582" s="11" t="str">
        <f>IF(D5582&lt;&gt;"",VLOOKUP(H5582,TABLEITEM,5,FALSE),"")</f>
        <v>EA</v>
      </c>
      <c r="K5582" s="12">
        <v>1462.5</v>
      </c>
      <c r="L5582" s="13" t="str">
        <f>IF(D5582&lt;&gt;"",VLOOKUP(H5582,TABLEITEM,2,FALSE),"")</f>
        <v/>
      </c>
      <c r="M5582" s="13" t="str">
        <f>IF(D5582&lt;&gt;"",VLOOKUP(H5582,TABLEITEM,3,FALSE),"")</f>
        <v>TURBO BLOWER OIL CODE 71220332 DRAWING A04B-0800-K329/1</v>
      </c>
      <c r="N5582" s="14">
        <f>INSTOCK!$I5582*INSTOCK!$K5582</f>
        <v>1462.5</v>
      </c>
      <c r="O5582" s="4" t="s">
        <v>3200</v>
      </c>
      <c r="P5582" s="4"/>
    </row>
    <row r="5583" ht="15.75" customHeight="1">
      <c r="B5583" s="8">
        <v>5907.0</v>
      </c>
      <c r="C5583" s="9">
        <v>43713.0</v>
      </c>
      <c r="D5583" s="6" t="s">
        <v>6650</v>
      </c>
      <c r="E5583" s="4">
        <v>6.209001303E9</v>
      </c>
      <c r="F5583" s="8" t="s">
        <v>807</v>
      </c>
      <c r="G5583" s="4" t="s">
        <v>2460</v>
      </c>
      <c r="H5583" s="10" t="s">
        <v>3208</v>
      </c>
      <c r="I5583" s="10">
        <v>10.0</v>
      </c>
      <c r="J5583" s="11" t="str">
        <f>IF(D5583&lt;&gt;"",VLOOKUP(H5583,TABLEITEM,5,FALSE),"")</f>
        <v>EA</v>
      </c>
      <c r="K5583" s="12">
        <v>535.5</v>
      </c>
      <c r="L5583" s="13" t="str">
        <f>IF(D5583&lt;&gt;"",VLOOKUP(H5583,TABLEITEM,2,FALSE),"")</f>
        <v/>
      </c>
      <c r="M5583" s="13" t="str">
        <f>IF(D5583&lt;&gt;"",VLOOKUP(H5583,TABLEITEM,3,FALSE),"")</f>
        <v>DI WATER 20 LITRE (PROMOTION) CODE 79000239</v>
      </c>
      <c r="N5583" s="14">
        <f>INSTOCK!$I5583*INSTOCK!$K5583</f>
        <v>5355</v>
      </c>
      <c r="O5583" s="4" t="s">
        <v>6651</v>
      </c>
      <c r="P5583" s="4"/>
    </row>
    <row r="5584" ht="15.75" customHeight="1">
      <c r="B5584" s="8">
        <v>5908.0</v>
      </c>
      <c r="C5584" s="9">
        <v>43719.0</v>
      </c>
      <c r="D5584" s="6" t="s">
        <v>6652</v>
      </c>
      <c r="E5584" s="4">
        <v>6.209001344E9</v>
      </c>
      <c r="F5584" s="8" t="s">
        <v>604</v>
      </c>
      <c r="G5584" s="4" t="s">
        <v>1611</v>
      </c>
      <c r="H5584" s="10" t="s">
        <v>188</v>
      </c>
      <c r="I5584" s="10">
        <v>1200.0</v>
      </c>
      <c r="J5584" s="11" t="str">
        <f>IF(D5584&lt;&gt;"",VLOOKUP(H5584,TABLEITEM,5,FALSE),"")</f>
        <v>EA</v>
      </c>
      <c r="K5584" s="12">
        <v>9.0</v>
      </c>
      <c r="L5584" s="13" t="str">
        <f>IF(D5584&lt;&gt;"",VLOOKUP(H5584,TABLEITEM,2,FALSE),"")</f>
        <v/>
      </c>
      <c r="M5584" s="13" t="str">
        <f>IF(D5584&lt;&gt;"",VLOOKUP(H5584,TABLEITEM,3,FALSE),"")</f>
        <v>TERMINAL BLOCK TX10</v>
      </c>
      <c r="N5584" s="14">
        <f>INSTOCK!$I5584*INSTOCK!$K5584</f>
        <v>10800</v>
      </c>
      <c r="O5584" s="4"/>
      <c r="P5584" s="4"/>
    </row>
    <row r="5585" ht="15.75" customHeight="1">
      <c r="B5585" s="8">
        <v>5909.0</v>
      </c>
      <c r="C5585" s="9">
        <v>43719.0</v>
      </c>
      <c r="D5585" s="6" t="s">
        <v>6653</v>
      </c>
      <c r="E5585" s="4">
        <v>6.209001342E9</v>
      </c>
      <c r="F5585" s="8" t="s">
        <v>604</v>
      </c>
      <c r="G5585" s="4" t="s">
        <v>1453</v>
      </c>
      <c r="H5585" s="10" t="s">
        <v>1456</v>
      </c>
      <c r="I5585" s="10">
        <v>10.0</v>
      </c>
      <c r="J5585" s="11" t="str">
        <f>IF(D5585&lt;&gt;"",VLOOKUP(H5585,TABLEITEM,5,FALSE),"")</f>
        <v>EA</v>
      </c>
      <c r="K5585" s="12">
        <v>279.3</v>
      </c>
      <c r="L5585" s="13" t="str">
        <f>IF(D5585&lt;&gt;"",VLOOKUP(H5585,TABLEITEM,2,FALSE),"")</f>
        <v/>
      </c>
      <c r="M5585" s="13" t="str">
        <f>IF(D5585&lt;&gt;"",VLOOKUP(H5585,TABLEITEM,3,FALSE),"")</f>
        <v>Filter PMF25 6 นิ้ว</v>
      </c>
      <c r="N5585" s="14">
        <f>INSTOCK!$I5585*INSTOCK!$K5585</f>
        <v>2793</v>
      </c>
      <c r="O5585" s="4" t="s">
        <v>6654</v>
      </c>
      <c r="P5585" s="4"/>
    </row>
    <row r="5586" ht="15.75" customHeight="1">
      <c r="B5586" s="8">
        <v>5910.0</v>
      </c>
      <c r="C5586" s="9">
        <v>43719.0</v>
      </c>
      <c r="D5586" s="6" t="s">
        <v>6655</v>
      </c>
      <c r="E5586" s="4">
        <v>6.209001341E9</v>
      </c>
      <c r="F5586" s="8" t="s">
        <v>604</v>
      </c>
      <c r="G5586" s="4" t="s">
        <v>617</v>
      </c>
      <c r="H5586" s="10" t="s">
        <v>563</v>
      </c>
      <c r="I5586" s="10">
        <v>45.0</v>
      </c>
      <c r="J5586" s="11" t="str">
        <f>IF(D5586&lt;&gt;"",VLOOKUP(H5586,TABLEITEM,5,FALSE),"")</f>
        <v>M</v>
      </c>
      <c r="K5586" s="12">
        <v>1168.48</v>
      </c>
      <c r="L5586" s="13" t="str">
        <f>IF(D5586&lt;&gt;"",VLOOKUP(H5586,TABLEITEM,2,FALSE),"")</f>
        <v>Busbar</v>
      </c>
      <c r="M5586" s="13" t="str">
        <f>IF(D5586&lt;&gt;"",VLOOKUP(H5586,TABLEITEM,3,FALSE),"")</f>
        <v>บัสบาร์ทองแดง 60x10</v>
      </c>
      <c r="N5586" s="14">
        <f>INSTOCK!$I5586*INSTOCK!$K5586</f>
        <v>52581.6</v>
      </c>
      <c r="O5586" s="4" t="s">
        <v>6656</v>
      </c>
      <c r="P5586" s="4"/>
    </row>
    <row r="5587" ht="15.75" customHeight="1">
      <c r="B5587" s="8">
        <v>5911.0</v>
      </c>
      <c r="C5587" s="9">
        <v>43719.0</v>
      </c>
      <c r="D5587" s="6" t="s">
        <v>6655</v>
      </c>
      <c r="E5587" s="4">
        <v>6.209001341E9</v>
      </c>
      <c r="F5587" s="8" t="s">
        <v>604</v>
      </c>
      <c r="G5587" s="4" t="s">
        <v>617</v>
      </c>
      <c r="H5587" s="18" t="s">
        <v>566</v>
      </c>
      <c r="I5587" s="10">
        <v>1.0</v>
      </c>
      <c r="J5587" s="11" t="str">
        <f>IF(D5587&lt;&gt;"",VLOOKUP(H5587,TABLEITEM,5,FALSE),"")</f>
        <v>แผ่น</v>
      </c>
      <c r="K5587" s="12">
        <v>18000.0</v>
      </c>
      <c r="L5587" s="13" t="str">
        <f>IF(D5587&lt;&gt;"",VLOOKUP(H5587,TABLEITEM,2,FALSE),"")</f>
        <v>Busbar</v>
      </c>
      <c r="M5587" s="13" t="str">
        <f>IF(D5587&lt;&gt;"",VLOOKUP(H5587,TABLEITEM,3,FALSE),"")</f>
        <v>บัสบาร์ทองแดง 2MM(4x8)แผ่น</v>
      </c>
      <c r="N5587" s="14">
        <f>INSTOCK!$I5587*INSTOCK!$K5587</f>
        <v>18000</v>
      </c>
      <c r="O5587" s="4"/>
      <c r="P5587" s="4"/>
    </row>
    <row r="5588" ht="15.75" customHeight="1">
      <c r="B5588" s="8">
        <v>5912.0</v>
      </c>
      <c r="C5588" s="9">
        <v>43718.0</v>
      </c>
      <c r="D5588" s="6" t="s">
        <v>6657</v>
      </c>
      <c r="E5588" s="4">
        <v>6.20900133E9</v>
      </c>
      <c r="F5588" s="8" t="s">
        <v>807</v>
      </c>
      <c r="G5588" s="4" t="s">
        <v>808</v>
      </c>
      <c r="H5588" s="10" t="s">
        <v>809</v>
      </c>
      <c r="I5588" s="10">
        <v>1.0</v>
      </c>
      <c r="J5588" s="11" t="str">
        <f>IF(D5588&lt;&gt;"",VLOOKUP(H5588,TABLEITEM,5,FALSE),"")</f>
        <v>ท่อ</v>
      </c>
      <c r="K5588" s="12">
        <v>2700.0</v>
      </c>
      <c r="L5588" s="13" t="str">
        <f>IF(D5588&lt;&gt;"",VLOOKUP(H5588,TABLEITEM,2,FALSE),"")</f>
        <v/>
      </c>
      <c r="M5588" s="13" t="str">
        <f>IF(D5588&lt;&gt;"",VLOOKUP(H5588,TABLEITEM,3,FALSE),"")</f>
        <v>ไนโตรเจนเหลว ขนาด 100คิว</v>
      </c>
      <c r="N5588" s="14">
        <f>INSTOCK!$I5588*INSTOCK!$K5588</f>
        <v>2700</v>
      </c>
      <c r="O5588" s="4"/>
      <c r="P5588" s="4"/>
    </row>
    <row r="5589" ht="15.75" customHeight="1">
      <c r="B5589" s="8">
        <v>5913.0</v>
      </c>
      <c r="C5589" s="9">
        <v>43718.0</v>
      </c>
      <c r="D5589" s="6" t="s">
        <v>6658</v>
      </c>
      <c r="E5589" s="4"/>
      <c r="F5589" s="8" t="s">
        <v>801</v>
      </c>
      <c r="G5589" s="4" t="s">
        <v>1417</v>
      </c>
      <c r="H5589" s="10" t="s">
        <v>803</v>
      </c>
      <c r="I5589" s="10">
        <v>15.0</v>
      </c>
      <c r="J5589" s="11" t="str">
        <f>IF(D5589&lt;&gt;"",VLOOKUP(H5589,TABLEITEM,5,FALSE),"")</f>
        <v>ถัง</v>
      </c>
      <c r="K5589" s="12">
        <v>981.31</v>
      </c>
      <c r="L5589" s="13" t="str">
        <f>IF(D5589&lt;&gt;"",VLOOKUP(H5589,TABLEITEM,2,FALSE),"")</f>
        <v/>
      </c>
      <c r="M5589" s="13" t="str">
        <f>IF(D5589&lt;&gt;"",VLOOKUP(H5589,TABLEITEM,3,FALSE),"")</f>
        <v>แก๊สหุงต้ม 48กก</v>
      </c>
      <c r="N5589" s="14">
        <f>INSTOCK!$I5589*INSTOCK!$K5589</f>
        <v>14719.65</v>
      </c>
      <c r="O5589" s="4"/>
      <c r="P5589" s="4"/>
    </row>
    <row r="5590" ht="15.75" customHeight="1">
      <c r="B5590" s="8">
        <v>5914.0</v>
      </c>
      <c r="C5590" s="9">
        <v>43718.0</v>
      </c>
      <c r="D5590" s="6">
        <v>6.2090549E7</v>
      </c>
      <c r="E5590" s="4">
        <v>6.209001329E9</v>
      </c>
      <c r="F5590" s="8" t="s">
        <v>6659</v>
      </c>
      <c r="G5590" s="4" t="s">
        <v>711</v>
      </c>
      <c r="H5590" s="10" t="s">
        <v>6660</v>
      </c>
      <c r="I5590" s="10">
        <v>20.0</v>
      </c>
      <c r="J5590" s="11" t="str">
        <f>IF(D5590&lt;&gt;"",VLOOKUP(H5590,TABLEITEM,5,FALSE),"")</f>
        <v>KG.</v>
      </c>
      <c r="K5590" s="12">
        <v>199.5</v>
      </c>
      <c r="L5590" s="13" t="str">
        <f>IF(D5590&lt;&gt;"",VLOOKUP(H5590,TABLEITEM,2,FALSE),"")</f>
        <v/>
      </c>
      <c r="M5590" s="13" t="str">
        <f>IF(D5590&lt;&gt;"",VLOOKUP(H5590,TABLEITEM,3,FALSE),"")</f>
        <v>สีฝุ่น สีขาวมุก J5000TH</v>
      </c>
      <c r="N5590" s="14">
        <f>INSTOCK!$I5590*INSTOCK!$K5590</f>
        <v>3990</v>
      </c>
      <c r="O5590" s="4" t="s">
        <v>6661</v>
      </c>
      <c r="P5590" s="4"/>
    </row>
    <row r="5591" ht="15.75" customHeight="1">
      <c r="B5591" s="8">
        <v>5915.0</v>
      </c>
      <c r="C5591" s="9">
        <v>43710.0</v>
      </c>
      <c r="D5591" s="6">
        <v>6.2090086E7</v>
      </c>
      <c r="E5591" s="4">
        <v>6.208001247E9</v>
      </c>
      <c r="F5591" s="8" t="s">
        <v>6659</v>
      </c>
      <c r="G5591" s="4" t="s">
        <v>6662</v>
      </c>
      <c r="H5591" s="10" t="s">
        <v>6660</v>
      </c>
      <c r="I5591" s="10">
        <v>120.0</v>
      </c>
      <c r="J5591" s="11" t="str">
        <f>IF(D5591&lt;&gt;"",VLOOKUP(H5591,TABLEITEM,5,FALSE),"")</f>
        <v>KG.</v>
      </c>
      <c r="K5591" s="12">
        <v>199.5</v>
      </c>
      <c r="L5591" s="13" t="str">
        <f>IF(D5591&lt;&gt;"",VLOOKUP(H5591,TABLEITEM,2,FALSE),"")</f>
        <v/>
      </c>
      <c r="M5591" s="13" t="str">
        <f>IF(D5591&lt;&gt;"",VLOOKUP(H5591,TABLEITEM,3,FALSE),"")</f>
        <v>สีฝุ่น สีขาวมุก J5000TH</v>
      </c>
      <c r="N5591" s="14">
        <f>INSTOCK!$I5591*INSTOCK!$K5591</f>
        <v>23940</v>
      </c>
      <c r="O5591" s="4" t="s">
        <v>6661</v>
      </c>
      <c r="P5591" s="4"/>
    </row>
    <row r="5592" ht="15.75" customHeight="1">
      <c r="B5592" s="8">
        <v>5916.0</v>
      </c>
      <c r="C5592" s="9">
        <v>43718.0</v>
      </c>
      <c r="D5592" s="6">
        <v>6.209055E7</v>
      </c>
      <c r="E5592" s="4">
        <v>6.209001315E9</v>
      </c>
      <c r="F5592" s="8" t="s">
        <v>6663</v>
      </c>
      <c r="G5592" s="4" t="s">
        <v>711</v>
      </c>
      <c r="H5592" s="10" t="s">
        <v>6660</v>
      </c>
      <c r="I5592" s="10">
        <v>20.0</v>
      </c>
      <c r="J5592" s="11" t="str">
        <f>IF(D5592&lt;&gt;"",VLOOKUP(H5592,TABLEITEM,5,FALSE),"")</f>
        <v>KG.</v>
      </c>
      <c r="K5592" s="12">
        <v>199.5</v>
      </c>
      <c r="L5592" s="13" t="str">
        <f>IF(D5592&lt;&gt;"",VLOOKUP(H5592,TABLEITEM,2,FALSE),"")</f>
        <v/>
      </c>
      <c r="M5592" s="13" t="str">
        <f>IF(D5592&lt;&gt;"",VLOOKUP(H5592,TABLEITEM,3,FALSE),"")</f>
        <v>สีฝุ่น สีขาวมุก J5000TH</v>
      </c>
      <c r="N5592" s="14">
        <f>INSTOCK!$I5592*INSTOCK!$K5592</f>
        <v>3990</v>
      </c>
      <c r="O5592" s="4" t="s">
        <v>6661</v>
      </c>
      <c r="P5592" s="4"/>
    </row>
    <row r="5593" ht="15.75" customHeight="1">
      <c r="B5593" s="8">
        <v>5917.0</v>
      </c>
      <c r="C5593" s="9">
        <v>43719.0</v>
      </c>
      <c r="D5593" s="6" t="s">
        <v>6664</v>
      </c>
      <c r="E5593" s="4">
        <v>6.209001343E9</v>
      </c>
      <c r="F5593" s="8" t="s">
        <v>604</v>
      </c>
      <c r="G5593" s="4" t="s">
        <v>721</v>
      </c>
      <c r="H5593" s="10" t="s">
        <v>221</v>
      </c>
      <c r="I5593" s="10">
        <v>300.0</v>
      </c>
      <c r="J5593" s="11" t="str">
        <f>IF(D5593&lt;&gt;"",VLOOKUP(H5593,TABLEITEM,5,FALSE),"")</f>
        <v>M</v>
      </c>
      <c r="K5593" s="12">
        <v>7.566</v>
      </c>
      <c r="L5593" s="13" t="str">
        <f>IF(D5593&lt;&gt;"",VLOOKUP(H5593,TABLEITEM,2,FALSE),"")</f>
        <v/>
      </c>
      <c r="M5593" s="13" t="str">
        <f>IF(D5593&lt;&gt;"",VLOOKUP(H5593,TABLEITEM,3,FALSE),"")</f>
        <v>ท่ออ่อนลูกฟูกชิดผ่า/ท่อผ่าดำ 7มิล</v>
      </c>
      <c r="N5593" s="14">
        <f>INSTOCK!$I5593*INSTOCK!$K5593</f>
        <v>2269.8</v>
      </c>
      <c r="O5593" s="4" t="s">
        <v>785</v>
      </c>
      <c r="P5593" s="4"/>
    </row>
    <row r="5594" ht="15.75" customHeight="1">
      <c r="B5594" s="8">
        <v>5918.0</v>
      </c>
      <c r="C5594" s="9">
        <v>43719.0</v>
      </c>
      <c r="D5594" s="6" t="s">
        <v>6664</v>
      </c>
      <c r="E5594" s="4">
        <v>6.209001343E9</v>
      </c>
      <c r="F5594" s="8" t="s">
        <v>604</v>
      </c>
      <c r="G5594" s="4" t="s">
        <v>721</v>
      </c>
      <c r="H5594" s="18" t="s">
        <v>159</v>
      </c>
      <c r="I5594" s="10">
        <v>2000.0</v>
      </c>
      <c r="J5594" s="11" t="str">
        <f>IF(D5594&lt;&gt;"",VLOOKUP(H5594,TABLEITEM,5,FALSE),"")</f>
        <v>EA</v>
      </c>
      <c r="K5594" s="12">
        <v>0.1164</v>
      </c>
      <c r="L5594" s="13" t="str">
        <f>IF(D5594&lt;&gt;"",VLOOKUP(H5594,TABLEITEM,2,FALSE),"")</f>
        <v/>
      </c>
      <c r="M5594" s="13" t="str">
        <f>IF(D5594&lt;&gt;"",VLOOKUP(H5594,TABLEITEM,3,FALSE),"")</f>
        <v>เคเบิ้ลไทร์ 4" สีขาวCT-100-2C</v>
      </c>
      <c r="N5594" s="14">
        <f>INSTOCK!$I5594*INSTOCK!$K5594</f>
        <v>232.8</v>
      </c>
      <c r="O5594" s="4" t="s">
        <v>1217</v>
      </c>
      <c r="P5594" s="4"/>
    </row>
    <row r="5595" ht="15.75" customHeight="1">
      <c r="B5595" s="8">
        <v>5919.0</v>
      </c>
      <c r="C5595" s="9">
        <v>43719.0</v>
      </c>
      <c r="D5595" s="6" t="s">
        <v>6664</v>
      </c>
      <c r="E5595" s="4">
        <v>6.209001343E9</v>
      </c>
      <c r="F5595" s="8" t="s">
        <v>604</v>
      </c>
      <c r="G5595" s="4" t="s">
        <v>721</v>
      </c>
      <c r="H5595" s="18" t="s">
        <v>166</v>
      </c>
      <c r="I5595" s="10">
        <v>1000.0</v>
      </c>
      <c r="J5595" s="11" t="str">
        <f>IF(D5595&lt;&gt;"",VLOOKUP(H5595,TABLEITEM,5,FALSE),"")</f>
        <v>EA</v>
      </c>
      <c r="K5595" s="12">
        <v>1.0476</v>
      </c>
      <c r="L5595" s="13" t="str">
        <f>IF(D5595&lt;&gt;"",VLOOKUP(H5595,TABLEITEM,2,FALSE),"")</f>
        <v/>
      </c>
      <c r="M5595" s="13" t="str">
        <f>IF(D5595&lt;&gt;"",VLOOKUP(H5595,TABLEITEM,3,FALSE),"")</f>
        <v>เคเบิ้ลไทร์ 12" สีดำCT-310B-4C</v>
      </c>
      <c r="N5595" s="14">
        <f>INSTOCK!$I5595*INSTOCK!$K5595</f>
        <v>1047.6</v>
      </c>
      <c r="O5595" s="4" t="s">
        <v>1404</v>
      </c>
      <c r="P5595" s="4"/>
    </row>
    <row r="5596" ht="15.75" customHeight="1">
      <c r="B5596" s="8">
        <v>5920.0</v>
      </c>
      <c r="C5596" s="9">
        <v>43719.0</v>
      </c>
      <c r="D5596" s="6" t="s">
        <v>6664</v>
      </c>
      <c r="E5596" s="4">
        <v>6.209001343E9</v>
      </c>
      <c r="F5596" s="8" t="s">
        <v>604</v>
      </c>
      <c r="G5596" s="4" t="s">
        <v>721</v>
      </c>
      <c r="H5596" s="10" t="s">
        <v>173</v>
      </c>
      <c r="I5596" s="10">
        <v>1000.0</v>
      </c>
      <c r="J5596" s="11" t="str">
        <f>IF(D5596&lt;&gt;"",VLOOKUP(H5596,TABLEITEM,5,FALSE),"")</f>
        <v>EA</v>
      </c>
      <c r="K5596" s="12">
        <v>1.9545</v>
      </c>
      <c r="L5596" s="13" t="str">
        <f>IF(D5596&lt;&gt;"",VLOOKUP(H5596,TABLEITEM,2,FALSE),"")</f>
        <v/>
      </c>
      <c r="M5596" s="13" t="str">
        <f>IF(D5596&lt;&gt;"",VLOOKUP(H5596,TABLEITEM,3,FALSE),"")</f>
        <v>แป้นกาวเล็กTM2121-4WP</v>
      </c>
      <c r="N5596" s="14">
        <f>INSTOCK!$I5596*INSTOCK!$K5596</f>
        <v>1954.5</v>
      </c>
      <c r="O5596" s="4" t="s">
        <v>1405</v>
      </c>
      <c r="P5596" s="4"/>
    </row>
    <row r="5597" ht="15.75" customHeight="1">
      <c r="B5597" s="8">
        <v>5921.0</v>
      </c>
      <c r="C5597" s="9">
        <v>43718.0</v>
      </c>
      <c r="D5597" s="6">
        <v>6.20903233E8</v>
      </c>
      <c r="E5597" s="4">
        <v>6.209001346E9</v>
      </c>
      <c r="F5597" s="8" t="s">
        <v>604</v>
      </c>
      <c r="G5597" s="4" t="s">
        <v>1130</v>
      </c>
      <c r="H5597" s="10" t="s">
        <v>245</v>
      </c>
      <c r="I5597" s="10">
        <v>5000.0</v>
      </c>
      <c r="J5597" s="11" t="str">
        <f>IF(D5597&lt;&gt;"",VLOOKUP(H5597,TABLEITEM,5,FALSE),"")</f>
        <v>EA</v>
      </c>
      <c r="K5597" s="12">
        <v>0.6174</v>
      </c>
      <c r="L5597" s="13" t="str">
        <f>IF(D5597&lt;&gt;"",VLOOKUP(H5597,TABLEITEM,2,FALSE),"")</f>
        <v/>
      </c>
      <c r="M5597" s="13" t="str">
        <f>IF(D5597&lt;&gt;"",VLOOKUP(H5597,TABLEITEM,3,FALSE),"")</f>
        <v>หางปลาแฉกเปลือย Y1.5-3S</v>
      </c>
      <c r="N5597" s="14">
        <f>INSTOCK!$I5597*INSTOCK!$K5597</f>
        <v>3087</v>
      </c>
      <c r="O5597" s="4" t="s">
        <v>6665</v>
      </c>
      <c r="P5597" s="4"/>
    </row>
    <row r="5598" ht="15.75" customHeight="1">
      <c r="B5598" s="8">
        <v>5922.0</v>
      </c>
      <c r="C5598" s="9">
        <v>43718.0</v>
      </c>
      <c r="D5598" s="6">
        <v>6.20903233E8</v>
      </c>
      <c r="E5598" s="4">
        <v>6.209001346E9</v>
      </c>
      <c r="F5598" s="8" t="s">
        <v>604</v>
      </c>
      <c r="G5598" s="4" t="s">
        <v>1130</v>
      </c>
      <c r="H5598" s="10" t="s">
        <v>248</v>
      </c>
      <c r="I5598" s="10">
        <v>2500.0</v>
      </c>
      <c r="J5598" s="11" t="str">
        <f>IF(D5598&lt;&gt;"",VLOOKUP(H5598,TABLEITEM,5,FALSE),"")</f>
        <v>EA</v>
      </c>
      <c r="K5598" s="12">
        <v>0.6174</v>
      </c>
      <c r="L5598" s="13" t="str">
        <f>IF(D5598&lt;&gt;"",VLOOKUP(H5598,TABLEITEM,2,FALSE),"")</f>
        <v/>
      </c>
      <c r="M5598" s="13" t="str">
        <f>IF(D5598&lt;&gt;"",VLOOKUP(H5598,TABLEITEM,3,FALSE),"")</f>
        <v>หางปลาแฉกเปลือย Y2.5-4S</v>
      </c>
      <c r="N5598" s="14">
        <f>INSTOCK!$I5598*INSTOCK!$K5598</f>
        <v>1543.5</v>
      </c>
      <c r="O5598" s="4" t="s">
        <v>6665</v>
      </c>
      <c r="P5598" s="4"/>
    </row>
    <row r="5599" ht="15.75" customHeight="1">
      <c r="B5599" s="8">
        <v>5923.0</v>
      </c>
      <c r="C5599" s="9">
        <v>43718.0</v>
      </c>
      <c r="D5599" s="6">
        <v>6.20903233E8</v>
      </c>
      <c r="E5599" s="4">
        <v>6.209001346E9</v>
      </c>
      <c r="F5599" s="8" t="s">
        <v>604</v>
      </c>
      <c r="G5599" s="4" t="s">
        <v>1130</v>
      </c>
      <c r="H5599" s="10" t="s">
        <v>284</v>
      </c>
      <c r="I5599" s="10">
        <v>2000.0</v>
      </c>
      <c r="J5599" s="11" t="str">
        <f>IF(D5599&lt;&gt;"",VLOOKUP(H5599,TABLEITEM,5,FALSE),"")</f>
        <v>EA</v>
      </c>
      <c r="K5599" s="12">
        <v>1.372</v>
      </c>
      <c r="L5599" s="13" t="str">
        <f>IF(D5599&lt;&gt;"",VLOOKUP(H5599,TABLEITEM,2,FALSE),"")</f>
        <v/>
      </c>
      <c r="M5599" s="13" t="str">
        <f>IF(D5599&lt;&gt;"",VLOOKUP(H5599,TABLEITEM,3,FALSE),"")</f>
        <v>หางปลากลมเปลือย 4-6</v>
      </c>
      <c r="N5599" s="14">
        <f>INSTOCK!$I5599*INSTOCK!$K5599</f>
        <v>2744</v>
      </c>
      <c r="O5599" s="4" t="s">
        <v>6666</v>
      </c>
      <c r="P5599" s="4"/>
    </row>
    <row r="5600" ht="15.75" customHeight="1">
      <c r="B5600" s="8">
        <v>5924.0</v>
      </c>
      <c r="C5600" s="9">
        <v>43719.0</v>
      </c>
      <c r="D5600" s="6" t="s">
        <v>6667</v>
      </c>
      <c r="E5600" s="4">
        <v>6.209001335E9</v>
      </c>
      <c r="F5600" s="8" t="s">
        <v>604</v>
      </c>
      <c r="G5600" s="4" t="s">
        <v>3541</v>
      </c>
      <c r="H5600" s="10" t="s">
        <v>1894</v>
      </c>
      <c r="I5600" s="10">
        <v>100.0</v>
      </c>
      <c r="J5600" s="11" t="str">
        <f>IF(D5600&lt;&gt;"",VLOOKUP(H5600,TABLEITEM,5,FALSE),"")</f>
        <v>EA</v>
      </c>
      <c r="K5600" s="12">
        <v>70.0</v>
      </c>
      <c r="L5600" s="13" t="str">
        <f>IF(D5600&lt;&gt;"",VLOOKUP(H5600,TABLEITEM,2,FALSE),"")</f>
        <v/>
      </c>
      <c r="M5600" s="13" t="str">
        <f>IF(D5600&lt;&gt;"",VLOOKUP(H5600,TABLEITEM,3,FALSE),"")</f>
        <v>FUSE CONTROL 1P 10x38 4A</v>
      </c>
      <c r="N5600" s="14">
        <f>INSTOCK!$I5600*INSTOCK!$K5600</f>
        <v>7000</v>
      </c>
      <c r="O5600" s="4"/>
      <c r="P5600" s="4"/>
    </row>
    <row r="5601" ht="15.75" customHeight="1">
      <c r="B5601" s="8">
        <v>5925.0</v>
      </c>
      <c r="C5601" s="9">
        <v>43717.0</v>
      </c>
      <c r="D5601" s="6" t="s">
        <v>6668</v>
      </c>
      <c r="E5601" s="4">
        <v>6.209001328E9</v>
      </c>
      <c r="F5601" s="8" t="s">
        <v>6669</v>
      </c>
      <c r="G5601" s="4" t="s">
        <v>1631</v>
      </c>
      <c r="H5601" s="10" t="s">
        <v>1635</v>
      </c>
      <c r="I5601" s="10">
        <v>1.0</v>
      </c>
      <c r="J5601" s="11" t="str">
        <f>IF(D5601&lt;&gt;"",VLOOKUP(H5601,TABLEITEM,5,FALSE),"")</f>
        <v>EA</v>
      </c>
      <c r="K5601" s="12">
        <v>9600.0</v>
      </c>
      <c r="L5601" s="13" t="str">
        <f>IF(D5601&lt;&gt;"",VLOOKUP(H5601,TABLEITEM,2,FALSE),"")</f>
        <v/>
      </c>
      <c r="M5601" s="13" t="str">
        <f>IF(D5601&lt;&gt;"",VLOOKUP(H5601,TABLEITEM,3,FALSE),"")</f>
        <v>ACS355-03E-07A3-4/3KW(4 HP)380-480V</v>
      </c>
      <c r="N5601" s="14">
        <f>INSTOCK!$I5601*INSTOCK!$K5601</f>
        <v>9600</v>
      </c>
      <c r="O5601" s="4"/>
      <c r="P5601" s="4"/>
    </row>
    <row r="5602" ht="15.75" customHeight="1">
      <c r="B5602" s="8">
        <v>5926.0</v>
      </c>
      <c r="C5602" s="9">
        <v>43717.0</v>
      </c>
      <c r="D5602" s="6" t="s">
        <v>6668</v>
      </c>
      <c r="E5602" s="4">
        <v>6.209001328E9</v>
      </c>
      <c r="F5602" s="8" t="s">
        <v>6669</v>
      </c>
      <c r="G5602" s="4" t="s">
        <v>1631</v>
      </c>
      <c r="H5602" s="10" t="s">
        <v>1640</v>
      </c>
      <c r="I5602" s="10">
        <v>1.0</v>
      </c>
      <c r="J5602" s="11" t="str">
        <f>IF(D5602&lt;&gt;"",VLOOKUP(H5602,TABLEITEM,5,FALSE),"")</f>
        <v>EA</v>
      </c>
      <c r="K5602" s="12">
        <v>0.0</v>
      </c>
      <c r="L5602" s="13" t="str">
        <f>IF(D5602&lt;&gt;"",VLOOKUP(H5602,TABLEITEM,2,FALSE),"")</f>
        <v/>
      </c>
      <c r="M5602" s="13" t="str">
        <f>IF(D5602&lt;&gt;"",VLOOKUP(H5602,TABLEITEM,3,FALSE),"")</f>
        <v>ACS-CP-C(BASIC CONTRON PANEL)</v>
      </c>
      <c r="N5602" s="14">
        <f>INSTOCK!$I5602*INSTOCK!$K5602</f>
        <v>0</v>
      </c>
      <c r="O5602" s="4"/>
      <c r="P5602" s="4"/>
    </row>
    <row r="5603" ht="15.75" customHeight="1">
      <c r="B5603" s="8">
        <v>5927.0</v>
      </c>
      <c r="C5603" s="9">
        <v>43720.0</v>
      </c>
      <c r="D5603" s="6">
        <v>6.2090198E7</v>
      </c>
      <c r="E5603" s="4"/>
      <c r="F5603" s="8" t="s">
        <v>1973</v>
      </c>
      <c r="G5603" s="4" t="s">
        <v>6402</v>
      </c>
      <c r="H5603" s="10" t="s">
        <v>6403</v>
      </c>
      <c r="I5603" s="10">
        <v>3.0</v>
      </c>
      <c r="J5603" s="11" t="str">
        <f>IF(D5603&lt;&gt;"",VLOOKUP(H5603,TABLEITEM,5,FALSE),"")</f>
        <v>ตลับ</v>
      </c>
      <c r="K5603" s="12">
        <v>381.6</v>
      </c>
      <c r="L5603" s="13" t="str">
        <f>IF(D5603&lt;&gt;"",VLOOKUP(H5603,TABLEITEM,2,FALSE),"")</f>
        <v/>
      </c>
      <c r="M5603" s="13" t="str">
        <f>IF(D5603&lt;&gt;"",VLOOKUP(H5603,TABLEITEM,3,FALSE),"")</f>
        <v>สีโป้วดูปองด์ UNIVERSSAL POLYESTER 759R</v>
      </c>
      <c r="N5603" s="14">
        <f>INSTOCK!$I5603*INSTOCK!$K5603</f>
        <v>1144.8</v>
      </c>
      <c r="O5603" s="4" t="s">
        <v>6404</v>
      </c>
      <c r="P5603" s="4"/>
    </row>
    <row r="5604" ht="15.75" customHeight="1">
      <c r="B5604" s="8">
        <v>5928.0</v>
      </c>
      <c r="C5604" s="9">
        <v>43720.0</v>
      </c>
      <c r="D5604" s="6">
        <v>6.2090198E7</v>
      </c>
      <c r="E5604" s="4"/>
      <c r="F5604" s="8" t="s">
        <v>1973</v>
      </c>
      <c r="G5604" s="4" t="s">
        <v>6402</v>
      </c>
      <c r="H5604" s="18" t="s">
        <v>6405</v>
      </c>
      <c r="I5604" s="10">
        <v>3.0</v>
      </c>
      <c r="J5604" s="11" t="str">
        <f>IF(D5604&lt;&gt;"",VLOOKUP(H5604,TABLEITEM,5,FALSE),"")</f>
        <v>EA</v>
      </c>
      <c r="K5604" s="12">
        <v>100.8</v>
      </c>
      <c r="L5604" s="13" t="str">
        <f>IF(D5604&lt;&gt;"",VLOOKUP(H5604,TABLEITEM,2,FALSE),"")</f>
        <v/>
      </c>
      <c r="M5604" s="13" t="str">
        <f>IF(D5604&lt;&gt;"",VLOOKUP(H5604,TABLEITEM,3,FALSE),"")</f>
        <v>น้ำยาผสมสีโป้ว 759R</v>
      </c>
      <c r="N5604" s="14">
        <f>INSTOCK!$I5604*INSTOCK!$K5604</f>
        <v>302.4</v>
      </c>
      <c r="O5604" s="4" t="s">
        <v>6406</v>
      </c>
      <c r="P5604" s="4"/>
    </row>
    <row r="5605" ht="15.75" customHeight="1">
      <c r="B5605" s="8">
        <v>5929.0</v>
      </c>
      <c r="C5605" s="9">
        <v>43719.0</v>
      </c>
      <c r="D5605" s="6" t="s">
        <v>6670</v>
      </c>
      <c r="E5605" s="4">
        <v>6.209001336E9</v>
      </c>
      <c r="F5605" s="8" t="s">
        <v>604</v>
      </c>
      <c r="G5605" s="4" t="s">
        <v>1070</v>
      </c>
      <c r="H5605" s="10" t="s">
        <v>35</v>
      </c>
      <c r="I5605" s="10">
        <v>25.0</v>
      </c>
      <c r="J5605" s="11" t="str">
        <f>IF(D5605&lt;&gt;"",VLOOKUP(H5605,TABLEITEM,5,FALSE),"")</f>
        <v>EA</v>
      </c>
      <c r="K5605" s="12">
        <v>85.0</v>
      </c>
      <c r="L5605" s="13" t="str">
        <f>IF(D5605&lt;&gt;"",VLOOKUP(H5605,TABLEITEM,2,FALSE),"")</f>
        <v/>
      </c>
      <c r="M5605" s="13" t="str">
        <f>IF(D5605&lt;&gt;"",VLOOKUP(H5605,TABLEITEM,3,FALSE),"")</f>
        <v>ใบตัดไฟเบอร์ #16</v>
      </c>
      <c r="N5605" s="14">
        <f>INSTOCK!$I5605*INSTOCK!$K5605</f>
        <v>2125</v>
      </c>
      <c r="O5605" s="4"/>
      <c r="P5605" s="4"/>
    </row>
    <row r="5606" ht="15.75" customHeight="1">
      <c r="B5606" s="8">
        <v>5930.0</v>
      </c>
      <c r="C5606" s="9">
        <v>43720.0</v>
      </c>
      <c r="D5606" s="6" t="s">
        <v>6671</v>
      </c>
      <c r="E5606" s="4">
        <v>6.209001339E9</v>
      </c>
      <c r="F5606" s="8" t="s">
        <v>604</v>
      </c>
      <c r="G5606" s="4" t="s">
        <v>737</v>
      </c>
      <c r="H5606" s="10" t="s">
        <v>18</v>
      </c>
      <c r="I5606" s="10">
        <v>240.0</v>
      </c>
      <c r="J5606" s="11" t="str">
        <f>IF(D5606&lt;&gt;"",VLOOKUP(H5606,TABLEITEM,5,FALSE),"")</f>
        <v>EA</v>
      </c>
      <c r="K5606" s="12">
        <v>2.5</v>
      </c>
      <c r="L5606" s="13" t="str">
        <f>IF(D5606&lt;&gt;"",VLOOKUP(H5606,TABLEITEM,2,FALSE),"")</f>
        <v/>
      </c>
      <c r="M5606" s="13" t="str">
        <f>IF(D5606&lt;&gt;"",VLOOKUP(H5606,TABLEITEM,3,FALSE),"")</f>
        <v>ผ้าปิดจมูก</v>
      </c>
      <c r="N5606" s="14">
        <f>INSTOCK!$I5606*INSTOCK!$K5606</f>
        <v>600</v>
      </c>
      <c r="O5606" s="4"/>
      <c r="P5606" s="4"/>
    </row>
    <row r="5607" ht="15.75" customHeight="1">
      <c r="B5607" s="8">
        <v>5931.0</v>
      </c>
      <c r="C5607" s="9">
        <v>43720.0</v>
      </c>
      <c r="D5607" s="6" t="s">
        <v>6671</v>
      </c>
      <c r="E5607" s="4">
        <v>6.209001339E9</v>
      </c>
      <c r="F5607" s="8" t="s">
        <v>604</v>
      </c>
      <c r="G5607" s="4" t="s">
        <v>737</v>
      </c>
      <c r="H5607" s="10" t="s">
        <v>20</v>
      </c>
      <c r="I5607" s="10">
        <v>10.0</v>
      </c>
      <c r="J5607" s="11" t="str">
        <f>IF(D5607&lt;&gt;"",VLOOKUP(H5607,TABLEITEM,5,FALSE),"")</f>
        <v>ROLL</v>
      </c>
      <c r="K5607" s="12">
        <v>795.0</v>
      </c>
      <c r="L5607" s="13" t="str">
        <f>IF(D5607&lt;&gt;"",VLOOKUP(H5607,TABLEITEM,2,FALSE),"")</f>
        <v/>
      </c>
      <c r="M5607" s="13" t="str">
        <f>IF(D5607&lt;&gt;"",VLOOKUP(H5607,TABLEITEM,3,FALSE),"")</f>
        <v>ลวดเชื่อมco2</v>
      </c>
      <c r="N5607" s="14">
        <f>INSTOCK!$I5607*INSTOCK!$K5607</f>
        <v>7950</v>
      </c>
      <c r="O5607" s="4" t="s">
        <v>6672</v>
      </c>
      <c r="P5607" s="4"/>
    </row>
    <row r="5608" ht="15.75" customHeight="1">
      <c r="B5608" s="8">
        <v>5932.0</v>
      </c>
      <c r="C5608" s="9">
        <v>43720.0</v>
      </c>
      <c r="D5608" s="6" t="s">
        <v>6673</v>
      </c>
      <c r="E5608" s="4">
        <v>6.208001262E9</v>
      </c>
      <c r="F5608" s="8" t="s">
        <v>604</v>
      </c>
      <c r="G5608" s="4" t="s">
        <v>743</v>
      </c>
      <c r="H5608" s="10" t="s">
        <v>86</v>
      </c>
      <c r="I5608" s="10">
        <v>40.0</v>
      </c>
      <c r="J5608" s="11" t="str">
        <f>IF(D5608&lt;&gt;"",VLOOKUP(H5608,TABLEITEM,5,FALSE),"")</f>
        <v>KG.</v>
      </c>
      <c r="K5608" s="12">
        <v>139.0</v>
      </c>
      <c r="L5608" s="13" t="str">
        <f>IF(D5608&lt;&gt;"",VLOOKUP(H5608,TABLEITEM,2,FALSE),"")</f>
        <v/>
      </c>
      <c r="M5608" s="13" t="str">
        <f>IF(D5608&lt;&gt;"",VLOOKUP(H5608,TABLEITEM,3,FALSE),"")</f>
        <v>สีฝุ่น ครีมเรียบ 1204551PX20</v>
      </c>
      <c r="N5608" s="14">
        <f>INSTOCK!$I5608*INSTOCK!$K5608</f>
        <v>5560</v>
      </c>
      <c r="O5608" s="4"/>
      <c r="P5608" s="4"/>
    </row>
    <row r="5609" ht="15.75" customHeight="1">
      <c r="B5609" s="8">
        <v>5933.0</v>
      </c>
      <c r="C5609" s="9">
        <v>43719.0</v>
      </c>
      <c r="D5609" s="6" t="s">
        <v>6674</v>
      </c>
      <c r="E5609" s="4">
        <v>6.20900135E9</v>
      </c>
      <c r="F5609" s="8" t="s">
        <v>6675</v>
      </c>
      <c r="G5609" s="4" t="s">
        <v>1485</v>
      </c>
      <c r="H5609" s="10" t="s">
        <v>2866</v>
      </c>
      <c r="I5609" s="10">
        <v>2.0</v>
      </c>
      <c r="J5609" s="11" t="str">
        <f>IF(D5609&lt;&gt;"",VLOOKUP(H5609,TABLEITEM,5,FALSE),"")</f>
        <v>EA</v>
      </c>
      <c r="K5609" s="12">
        <v>6150.0</v>
      </c>
      <c r="L5609" s="13" t="str">
        <f>IF(D5609&lt;&gt;"",VLOOKUP(H5609,TABLEITEM,2,FALSE),"")</f>
        <v/>
      </c>
      <c r="M5609" s="13" t="str">
        <f>IF(D5609&lt;&gt;"",VLOOKUP(H5609,TABLEITEM,3,FALSE),"")</f>
        <v>MCCB CVS 400F TM400D 3P 3D </v>
      </c>
      <c r="N5609" s="14">
        <f>INSTOCK!$I5609*INSTOCK!$K5609</f>
        <v>12300</v>
      </c>
      <c r="O5609" s="4"/>
      <c r="P5609" s="4"/>
    </row>
    <row r="5610" ht="15.75" customHeight="1">
      <c r="B5610" s="8">
        <v>5934.0</v>
      </c>
      <c r="C5610" s="9">
        <v>43718.0</v>
      </c>
      <c r="D5610" s="6" t="s">
        <v>6676</v>
      </c>
      <c r="E5610" s="4"/>
      <c r="F5610" s="8" t="s">
        <v>6677</v>
      </c>
      <c r="G5610" s="4" t="s">
        <v>3029</v>
      </c>
      <c r="H5610" s="10" t="s">
        <v>3030</v>
      </c>
      <c r="I5610" s="10">
        <v>1.0</v>
      </c>
      <c r="J5610" s="11" t="str">
        <f>IF(D5610&lt;&gt;"",VLOOKUP(H5610,TABLEITEM,5,FALSE),"")</f>
        <v>LOT</v>
      </c>
      <c r="K5610" s="12">
        <v>4106.85</v>
      </c>
      <c r="L5610" s="13" t="str">
        <f>IF(D5610&lt;&gt;"",VLOOKUP(H5610,TABLEITEM,2,FALSE),"")</f>
        <v/>
      </c>
      <c r="M5610" s="13" t="str">
        <f>IF(D5610&lt;&gt;"",VLOOKUP(H5610,TABLEITEM,3,FALSE),"")</f>
        <v>ค่าชุบ ดีบุกเงา</v>
      </c>
      <c r="N5610" s="14">
        <f>INSTOCK!$I5610*INSTOCK!$K5610</f>
        <v>4106.85</v>
      </c>
      <c r="O5610" s="4" t="s">
        <v>6678</v>
      </c>
      <c r="P5610" s="4"/>
    </row>
    <row r="5611" ht="15.75" customHeight="1">
      <c r="B5611" s="8">
        <v>5935.0</v>
      </c>
      <c r="C5611" s="9">
        <v>43719.0</v>
      </c>
      <c r="D5611" s="6">
        <v>4.19079291E8</v>
      </c>
      <c r="E5611" s="4">
        <v>6.209001337E9</v>
      </c>
      <c r="F5611" s="8" t="s">
        <v>604</v>
      </c>
      <c r="G5611" s="4" t="s">
        <v>1274</v>
      </c>
      <c r="H5611" s="10" t="s">
        <v>21</v>
      </c>
      <c r="I5611" s="10">
        <v>400.0</v>
      </c>
      <c r="J5611" s="11" t="str">
        <f>IF(D5611&lt;&gt;"",VLOOKUP(H5611,TABLEITEM,5,FALSE),"")</f>
        <v>EA</v>
      </c>
      <c r="K5611" s="12">
        <v>45.0</v>
      </c>
      <c r="L5611" s="13" t="str">
        <f>IF(D5611&lt;&gt;"",VLOOKUP(H5611,TABLEITEM,2,FALSE),"")</f>
        <v/>
      </c>
      <c r="M5611" s="13" t="str">
        <f>IF(D5611&lt;&gt;"",VLOOKUP(H5611,TABLEITEM,3,FALSE),"")</f>
        <v>ใบหินเจียร์ 4'' </v>
      </c>
      <c r="N5611" s="14">
        <f>INSTOCK!$I5611*INSTOCK!$K5611</f>
        <v>18000</v>
      </c>
      <c r="O5611" s="4"/>
      <c r="P5611" s="4"/>
    </row>
    <row r="5612" ht="15.75" customHeight="1">
      <c r="B5612" s="8">
        <v>5936.0</v>
      </c>
      <c r="C5612" s="9">
        <v>43720.0</v>
      </c>
      <c r="D5612" s="6" t="s">
        <v>6679</v>
      </c>
      <c r="E5612" s="4">
        <v>6.209001347E9</v>
      </c>
      <c r="F5612" s="8" t="s">
        <v>604</v>
      </c>
      <c r="G5612" s="4" t="s">
        <v>665</v>
      </c>
      <c r="H5612" s="10" t="s">
        <v>472</v>
      </c>
      <c r="I5612" s="10">
        <v>1500.0</v>
      </c>
      <c r="J5612" s="11" t="str">
        <f>IF(D5612&lt;&gt;"",VLOOKUP(H5612,TABLEITEM,5,FALSE),"")</f>
        <v>M</v>
      </c>
      <c r="K5612" s="12">
        <v>5.37</v>
      </c>
      <c r="L5612" s="13" t="str">
        <f>IF(D5612&lt;&gt;"",VLOOKUP(H5612,TABLEITEM,2,FALSE),"")</f>
        <v>wire</v>
      </c>
      <c r="M5612" s="13" t="str">
        <f>IF(D5612&lt;&gt;"",VLOOKUP(H5612,TABLEITEM,3,FALSE),"")</f>
        <v>สายไฟ VSF1x1.5 SQMM.สีขาว</v>
      </c>
      <c r="N5612" s="14">
        <f>INSTOCK!$I5612*INSTOCK!$K5612</f>
        <v>8055</v>
      </c>
      <c r="O5612" s="4"/>
      <c r="P5612" s="4"/>
    </row>
    <row r="5613" ht="15.75" customHeight="1">
      <c r="B5613" s="8">
        <v>5937.0</v>
      </c>
      <c r="C5613" s="9">
        <v>43720.0</v>
      </c>
      <c r="D5613" s="6" t="s">
        <v>6679</v>
      </c>
      <c r="E5613" s="4">
        <v>6.209001347E9</v>
      </c>
      <c r="F5613" s="8" t="s">
        <v>604</v>
      </c>
      <c r="G5613" s="4" t="s">
        <v>665</v>
      </c>
      <c r="H5613" s="10" t="s">
        <v>479</v>
      </c>
      <c r="I5613" s="10">
        <v>500.0</v>
      </c>
      <c r="J5613" s="11" t="str">
        <f>IF(D5613&lt;&gt;"",VLOOKUP(H5613,TABLEITEM,5,FALSE),"")</f>
        <v>M</v>
      </c>
      <c r="K5613" s="12">
        <v>8.76</v>
      </c>
      <c r="L5613" s="13" t="str">
        <f>IF(D5613&lt;&gt;"",VLOOKUP(H5613,TABLEITEM,2,FALSE),"")</f>
        <v>wire</v>
      </c>
      <c r="M5613" s="13" t="str">
        <f>IF(D5613&lt;&gt;"",VLOOKUP(H5613,TABLEITEM,3,FALSE),"")</f>
        <v>สายไฟ VSF1x2.5 SQMM.สีเหลือง</v>
      </c>
      <c r="N5613" s="14">
        <f>INSTOCK!$I5613*INSTOCK!$K5613</f>
        <v>4380</v>
      </c>
      <c r="O5613" s="4"/>
      <c r="P5613" s="4"/>
    </row>
    <row r="5614" ht="15.75" customHeight="1">
      <c r="B5614" s="8">
        <v>5938.0</v>
      </c>
      <c r="C5614" s="9">
        <v>43720.0</v>
      </c>
      <c r="D5614" s="6" t="s">
        <v>6679</v>
      </c>
      <c r="E5614" s="4">
        <v>6.209001347E9</v>
      </c>
      <c r="F5614" s="8" t="s">
        <v>604</v>
      </c>
      <c r="G5614" s="4" t="s">
        <v>665</v>
      </c>
      <c r="H5614" s="10" t="s">
        <v>482</v>
      </c>
      <c r="I5614" s="10">
        <v>500.0</v>
      </c>
      <c r="J5614" s="11" t="str">
        <f>IF(D5614&lt;&gt;"",VLOOKUP(H5614,TABLEITEM,5,FALSE),"")</f>
        <v>M</v>
      </c>
      <c r="K5614" s="12">
        <v>8.76</v>
      </c>
      <c r="L5614" s="13" t="str">
        <f>IF(D5614&lt;&gt;"",VLOOKUP(H5614,TABLEITEM,2,FALSE),"")</f>
        <v>wire</v>
      </c>
      <c r="M5614" s="13" t="str">
        <f>IF(D5614&lt;&gt;"",VLOOKUP(H5614,TABLEITEM,3,FALSE),"")</f>
        <v>สายไฟ VSF1x2.5 SQMM.สีดำ</v>
      </c>
      <c r="N5614" s="14">
        <f>INSTOCK!$I5614*INSTOCK!$K5614</f>
        <v>4380</v>
      </c>
      <c r="O5614" s="4"/>
      <c r="P5614" s="4"/>
    </row>
    <row r="5615" ht="15.75" customHeight="1">
      <c r="B5615" s="8">
        <v>5939.0</v>
      </c>
      <c r="C5615" s="9">
        <v>43720.0</v>
      </c>
      <c r="D5615" s="6" t="s">
        <v>6679</v>
      </c>
      <c r="E5615" s="4">
        <v>6.209001347E9</v>
      </c>
      <c r="F5615" s="8" t="s">
        <v>604</v>
      </c>
      <c r="G5615" s="4" t="s">
        <v>665</v>
      </c>
      <c r="H5615" s="10" t="s">
        <v>510</v>
      </c>
      <c r="I5615" s="10">
        <v>200.0</v>
      </c>
      <c r="J5615" s="11" t="str">
        <f>IF(D5615&lt;&gt;"",VLOOKUP(H5615,TABLEITEM,5,FALSE),"")</f>
        <v>M</v>
      </c>
      <c r="K5615" s="12">
        <v>17.12</v>
      </c>
      <c r="L5615" s="13" t="str">
        <f>IF(D5615&lt;&gt;"",VLOOKUP(H5615,TABLEITEM,2,FALSE),"")</f>
        <v>wire</v>
      </c>
      <c r="M5615" s="13" t="str">
        <f>IF(D5615&lt;&gt;"",VLOOKUP(H5615,TABLEITEM,3,FALSE),"")</f>
        <v>สายLIYCY 3x0.34 สีเทา</v>
      </c>
      <c r="N5615" s="14">
        <f>INSTOCK!$I5615*INSTOCK!$K5615</f>
        <v>3424</v>
      </c>
      <c r="O5615" s="4"/>
      <c r="P5615" s="4"/>
    </row>
    <row r="5616" ht="15.75" customHeight="1">
      <c r="B5616" s="8">
        <v>5940.0</v>
      </c>
      <c r="C5616" s="9">
        <v>43719.0</v>
      </c>
      <c r="D5616" s="6" t="s">
        <v>6680</v>
      </c>
      <c r="E5616" s="4">
        <v>6.209001308E9</v>
      </c>
      <c r="F5616" s="8" t="s">
        <v>604</v>
      </c>
      <c r="G5616" s="4" t="s">
        <v>965</v>
      </c>
      <c r="H5616" s="10" t="s">
        <v>6681</v>
      </c>
      <c r="I5616" s="10">
        <v>4.0</v>
      </c>
      <c r="J5616" s="11" t="str">
        <f>IF(D5616&lt;&gt;"",VLOOKUP(H5616,TABLEITEM,5,FALSE),"")</f>
        <v>EA</v>
      </c>
      <c r="K5616" s="12">
        <v>28.0</v>
      </c>
      <c r="L5616" s="13" t="str">
        <f>IF(D5616&lt;&gt;"",VLOOKUP(H5616,TABLEITEM,2,FALSE),"")</f>
        <v/>
      </c>
      <c r="M5616" s="13" t="str">
        <f>IF(D5616&lt;&gt;"",VLOOKUP(H5616,TABLEITEM,3,FALSE),"")</f>
        <v>ลูกปืน 6202Z</v>
      </c>
      <c r="N5616" s="14">
        <f>INSTOCK!$I5616*INSTOCK!$K5616</f>
        <v>112</v>
      </c>
      <c r="O5616" s="4"/>
      <c r="P5616" s="4"/>
    </row>
    <row r="5617" ht="15.75" customHeight="1">
      <c r="B5617" s="8">
        <v>5941.0</v>
      </c>
      <c r="C5617" s="9">
        <v>43719.0</v>
      </c>
      <c r="D5617" s="6" t="s">
        <v>6680</v>
      </c>
      <c r="E5617" s="4">
        <v>6.209001308E9</v>
      </c>
      <c r="F5617" s="8" t="s">
        <v>604</v>
      </c>
      <c r="G5617" s="4" t="s">
        <v>965</v>
      </c>
      <c r="H5617" s="10" t="s">
        <v>6682</v>
      </c>
      <c r="I5617" s="10">
        <v>2.0</v>
      </c>
      <c r="J5617" s="11" t="str">
        <f>IF(D5617&lt;&gt;"",VLOOKUP(H5617,TABLEITEM,5,FALSE),"")</f>
        <v>EA</v>
      </c>
      <c r="K5617" s="12">
        <v>15.0</v>
      </c>
      <c r="L5617" s="13" t="str">
        <f>IF(D5617&lt;&gt;"",VLOOKUP(H5617,TABLEITEM,2,FALSE),"")</f>
        <v/>
      </c>
      <c r="M5617" s="13" t="str">
        <f>IF(D5617&lt;&gt;"",VLOOKUP(H5617,TABLEITEM,3,FALSE),"")</f>
        <v>ที่อุดหู</v>
      </c>
      <c r="N5617" s="14">
        <f>INSTOCK!$I5617*INSTOCK!$K5617</f>
        <v>30</v>
      </c>
      <c r="O5617" s="4"/>
      <c r="P5617" s="4"/>
    </row>
    <row r="5618" ht="15.75" customHeight="1">
      <c r="B5618" s="8">
        <v>5942.0</v>
      </c>
      <c r="C5618" s="9">
        <v>43719.0</v>
      </c>
      <c r="D5618" s="6" t="s">
        <v>6680</v>
      </c>
      <c r="E5618" s="4">
        <v>6.209001338E9</v>
      </c>
      <c r="F5618" s="8" t="s">
        <v>604</v>
      </c>
      <c r="G5618" s="4" t="s">
        <v>965</v>
      </c>
      <c r="H5618" s="10" t="s">
        <v>2135</v>
      </c>
      <c r="I5618" s="10">
        <v>5.0</v>
      </c>
      <c r="J5618" s="11" t="str">
        <f>IF(D5618&lt;&gt;"",VLOOKUP(H5618,TABLEITEM,5,FALSE),"")</f>
        <v>แผง</v>
      </c>
      <c r="K5618" s="12">
        <v>125.0</v>
      </c>
      <c r="L5618" s="13" t="str">
        <f>IF(D5618&lt;&gt;"",VLOOKUP(H5618,TABLEITEM,2,FALSE),"")</f>
        <v/>
      </c>
      <c r="M5618" s="13" t="str">
        <f>IF(D5618&lt;&gt;"",VLOOKUP(H5618,TABLEITEM,3,FALSE),"")</f>
        <v>ใบเลื่อยจิ๊กซอ BOSCH T118A</v>
      </c>
      <c r="N5618" s="14">
        <f>INSTOCK!$I5618*INSTOCK!$K5618</f>
        <v>625</v>
      </c>
      <c r="O5618" s="4"/>
      <c r="P5618" s="4"/>
    </row>
    <row r="5619" ht="15.75" customHeight="1">
      <c r="B5619" s="8">
        <v>5943.0</v>
      </c>
      <c r="C5619" s="9">
        <v>43719.0</v>
      </c>
      <c r="D5619" s="6" t="s">
        <v>6680</v>
      </c>
      <c r="E5619" s="4">
        <v>6.209001338E9</v>
      </c>
      <c r="F5619" s="8" t="s">
        <v>604</v>
      </c>
      <c r="G5619" s="4" t="s">
        <v>965</v>
      </c>
      <c r="H5619" s="10" t="s">
        <v>45</v>
      </c>
      <c r="I5619" s="10">
        <v>2.0</v>
      </c>
      <c r="J5619" s="11" t="str">
        <f>IF(D5619&lt;&gt;"",VLOOKUP(H5619,TABLEITEM,5,FALSE),"")</f>
        <v>กล</v>
      </c>
      <c r="K5619" s="12">
        <v>280.0</v>
      </c>
      <c r="L5619" s="13" t="str">
        <f>IF(D5619&lt;&gt;"",VLOOKUP(H5619,TABLEITEM,2,FALSE),"")</f>
        <v/>
      </c>
      <c r="M5619" s="13" t="str">
        <f>IF(D5619&lt;&gt;"",VLOOKUP(H5619,TABLEITEM,3,FALSE),"")</f>
        <v>สีโป้ว</v>
      </c>
      <c r="N5619" s="14">
        <f>INSTOCK!$I5619*INSTOCK!$K5619</f>
        <v>560</v>
      </c>
      <c r="O5619" s="4"/>
      <c r="P5619" s="4"/>
    </row>
    <row r="5620" ht="15.75" customHeight="1">
      <c r="B5620" s="8">
        <v>5944.0</v>
      </c>
      <c r="C5620" s="9">
        <v>43719.0</v>
      </c>
      <c r="D5620" s="6" t="s">
        <v>6680</v>
      </c>
      <c r="E5620" s="4">
        <v>6.209001338E9</v>
      </c>
      <c r="F5620" s="8" t="s">
        <v>604</v>
      </c>
      <c r="G5620" s="4" t="s">
        <v>965</v>
      </c>
      <c r="H5620" s="10" t="s">
        <v>2950</v>
      </c>
      <c r="I5620" s="10">
        <v>10.0</v>
      </c>
      <c r="J5620" s="11" t="str">
        <f>IF(D5620&lt;&gt;"",VLOOKUP(H5620,TABLEITEM,5,FALSE),"")</f>
        <v>EA</v>
      </c>
      <c r="K5620" s="12">
        <v>30.0</v>
      </c>
      <c r="L5620" s="13" t="str">
        <f>IF(D5620&lt;&gt;"",VLOOKUP(H5620,TABLEITEM,2,FALSE),"")</f>
        <v/>
      </c>
      <c r="M5620" s="13" t="str">
        <f>IF(D5620&lt;&gt;"",VLOOKUP(H5620,TABLEITEM,3,FALSE),"")</f>
        <v>ไม้กวาดทางมะพร้าว</v>
      </c>
      <c r="N5620" s="14">
        <f>INSTOCK!$I5620*INSTOCK!$K5620</f>
        <v>300</v>
      </c>
      <c r="O5620" s="4"/>
      <c r="P5620" s="4"/>
    </row>
    <row r="5621" ht="15.75" customHeight="1">
      <c r="B5621" s="8">
        <v>5945.0</v>
      </c>
      <c r="C5621" s="9">
        <v>43719.0</v>
      </c>
      <c r="D5621" s="6" t="s">
        <v>6683</v>
      </c>
      <c r="E5621" s="4">
        <v>6.208001203E9</v>
      </c>
      <c r="F5621" s="8" t="s">
        <v>6684</v>
      </c>
      <c r="G5621" s="4" t="s">
        <v>2460</v>
      </c>
      <c r="H5621" s="10" t="s">
        <v>6685</v>
      </c>
      <c r="I5621" s="10">
        <v>1.0</v>
      </c>
      <c r="J5621" s="11" t="str">
        <f>IF(D5621&lt;&gt;"",VLOOKUP(H5621,TABLEITEM,5,FALSE),"")</f>
        <v>set</v>
      </c>
      <c r="K5621" s="12">
        <v>20000.0</v>
      </c>
      <c r="L5621" s="13" t="str">
        <f>IF(D5621&lt;&gt;"",VLOOKUP(H5621,TABLEITEM,2,FALSE),"")</f>
        <v/>
      </c>
      <c r="M5621" s="13" t="str">
        <f>IF(D5621&lt;&gt;"",VLOOKUP(H5621,TABLEITEM,3,FALSE),"")</f>
        <v>Version UP 1st Set Dongle no.00025377</v>
      </c>
      <c r="N5621" s="14">
        <f>INSTOCK!$I5621*INSTOCK!$K5621</f>
        <v>20000</v>
      </c>
      <c r="O5621" s="4"/>
      <c r="P5621" s="4"/>
    </row>
    <row r="5622" ht="15.75" customHeight="1">
      <c r="B5622" s="8">
        <v>5946.0</v>
      </c>
      <c r="C5622" s="9">
        <v>43719.0</v>
      </c>
      <c r="D5622" s="6" t="s">
        <v>6683</v>
      </c>
      <c r="E5622" s="4">
        <v>6.208001203E9</v>
      </c>
      <c r="F5622" s="8" t="s">
        <v>6684</v>
      </c>
      <c r="G5622" s="4" t="s">
        <v>2460</v>
      </c>
      <c r="H5622" s="10" t="s">
        <v>6686</v>
      </c>
      <c r="I5622" s="10">
        <v>1.0</v>
      </c>
      <c r="J5622" s="11" t="str">
        <f>IF(D5622&lt;&gt;"",VLOOKUP(H5622,TABLEITEM,5,FALSE),"")</f>
        <v>set</v>
      </c>
      <c r="K5622" s="12">
        <v>13600.0</v>
      </c>
      <c r="L5622" s="13" t="str">
        <f>IF(D5622&lt;&gt;"",VLOOKUP(H5622,TABLEITEM,2,FALSE),"")</f>
        <v/>
      </c>
      <c r="M5622" s="13" t="str">
        <f>IF(D5622&lt;&gt;"",VLOOKUP(H5622,TABLEITEM,3,FALSE),"")</f>
        <v>Version UP From 2ndt Set Dongle no.00020014</v>
      </c>
      <c r="N5622" s="14">
        <f>INSTOCK!$I5622*INSTOCK!$K5622</f>
        <v>13600</v>
      </c>
      <c r="O5622" s="4"/>
      <c r="P5622" s="4"/>
    </row>
    <row r="5623" ht="15.75" customHeight="1">
      <c r="B5623" s="8">
        <v>5947.0</v>
      </c>
      <c r="C5623" s="9">
        <v>43719.0</v>
      </c>
      <c r="D5623" s="6" t="s">
        <v>6683</v>
      </c>
      <c r="E5623" s="4">
        <v>6.208001203E9</v>
      </c>
      <c r="F5623" s="8" t="s">
        <v>6684</v>
      </c>
      <c r="G5623" s="4" t="s">
        <v>2460</v>
      </c>
      <c r="H5623" s="10" t="s">
        <v>6687</v>
      </c>
      <c r="I5623" s="10">
        <v>1.0</v>
      </c>
      <c r="J5623" s="11" t="str">
        <f>IF(D5623&lt;&gt;"",VLOOKUP(H5623,TABLEITEM,5,FALSE),"")</f>
        <v>set</v>
      </c>
      <c r="K5623" s="12">
        <v>13600.0</v>
      </c>
      <c r="L5623" s="13" t="str">
        <f>IF(D5623&lt;&gt;"",VLOOKUP(H5623,TABLEITEM,2,FALSE),"")</f>
        <v/>
      </c>
      <c r="M5623" s="13" t="str">
        <f>IF(D5623&lt;&gt;"",VLOOKUP(H5623,TABLEITEM,3,FALSE),"")</f>
        <v>Version UP From 2ndt Set Dongle no.00022543</v>
      </c>
      <c r="N5623" s="14">
        <f>INSTOCK!$I5623*INSTOCK!$K5623</f>
        <v>13600</v>
      </c>
      <c r="O5623" s="4"/>
      <c r="P5623" s="4"/>
    </row>
    <row r="5624" ht="15.75" customHeight="1">
      <c r="B5624" s="8">
        <v>5948.0</v>
      </c>
      <c r="C5624" s="9">
        <v>43719.0</v>
      </c>
      <c r="D5624" s="6" t="s">
        <v>6683</v>
      </c>
      <c r="E5624" s="4">
        <v>6.208001203E9</v>
      </c>
      <c r="F5624" s="8" t="s">
        <v>6684</v>
      </c>
      <c r="G5624" s="4" t="s">
        <v>2460</v>
      </c>
      <c r="H5624" s="10" t="s">
        <v>6688</v>
      </c>
      <c r="I5624" s="10">
        <v>1.0</v>
      </c>
      <c r="J5624" s="11" t="str">
        <f>IF(D5624&lt;&gt;"",VLOOKUP(H5624,TABLEITEM,5,FALSE),"")</f>
        <v>set</v>
      </c>
      <c r="K5624" s="12">
        <v>13600.0</v>
      </c>
      <c r="L5624" s="13" t="str">
        <f>IF(D5624&lt;&gt;"",VLOOKUP(H5624,TABLEITEM,2,FALSE),"")</f>
        <v/>
      </c>
      <c r="M5624" s="13" t="str">
        <f>IF(D5624&lt;&gt;"",VLOOKUP(H5624,TABLEITEM,3,FALSE),"")</f>
        <v>Version UP From 2ndt Set Dongle no.00025376</v>
      </c>
      <c r="N5624" s="14">
        <f>INSTOCK!$I5624*INSTOCK!$K5624</f>
        <v>13600</v>
      </c>
      <c r="O5624" s="4"/>
      <c r="P5624" s="4"/>
    </row>
    <row r="5625" ht="15.75" customHeight="1">
      <c r="B5625" s="8">
        <v>5949.0</v>
      </c>
      <c r="C5625" s="9">
        <v>43719.0</v>
      </c>
      <c r="D5625" s="6" t="s">
        <v>6683</v>
      </c>
      <c r="E5625" s="4">
        <v>6.208001203E9</v>
      </c>
      <c r="F5625" s="8" t="s">
        <v>6684</v>
      </c>
      <c r="G5625" s="4" t="s">
        <v>2460</v>
      </c>
      <c r="H5625" s="10" t="s">
        <v>6689</v>
      </c>
      <c r="I5625" s="10">
        <v>1.0</v>
      </c>
      <c r="J5625" s="11" t="str">
        <f>IF(D5625&lt;&gt;"",VLOOKUP(H5625,TABLEITEM,5,FALSE),"")</f>
        <v>set</v>
      </c>
      <c r="K5625" s="12">
        <v>13600.0</v>
      </c>
      <c r="L5625" s="13" t="str">
        <f>IF(D5625&lt;&gt;"",VLOOKUP(H5625,TABLEITEM,2,FALSE),"")</f>
        <v/>
      </c>
      <c r="M5625" s="13" t="str">
        <f>IF(D5625&lt;&gt;"",VLOOKUP(H5625,TABLEITEM,3,FALSE),"")</f>
        <v>Version UP From 2ndt Set Dongle no.00025378</v>
      </c>
      <c r="N5625" s="14">
        <f>INSTOCK!$I5625*INSTOCK!$K5625</f>
        <v>13600</v>
      </c>
      <c r="O5625" s="4"/>
      <c r="P5625" s="4"/>
    </row>
    <row r="5626" ht="15.75" customHeight="1">
      <c r="B5626" s="8">
        <v>5950.0</v>
      </c>
      <c r="C5626" s="9">
        <v>43721.0</v>
      </c>
      <c r="D5626" s="6" t="s">
        <v>6690</v>
      </c>
      <c r="E5626" s="4">
        <v>6.209001352E9</v>
      </c>
      <c r="F5626" s="8" t="s">
        <v>6691</v>
      </c>
      <c r="G5626" s="4" t="s">
        <v>702</v>
      </c>
      <c r="H5626" s="10" t="s">
        <v>779</v>
      </c>
      <c r="I5626" s="10">
        <v>20.0</v>
      </c>
      <c r="J5626" s="11" t="str">
        <f>IF(D5626&lt;&gt;"",VLOOKUP(H5626,TABLEITEM,5,FALSE),"")</f>
        <v>KG.</v>
      </c>
      <c r="K5626" s="12">
        <v>130.0</v>
      </c>
      <c r="L5626" s="13" t="str">
        <f>IF(D5626&lt;&gt;"",VLOOKUP(H5626,TABLEITEM,2,FALSE),"")</f>
        <v/>
      </c>
      <c r="M5626" s="13" t="str">
        <f>IF(D5626&lt;&gt;"",VLOOKUP(H5626,TABLEITEM,3,FALSE),"")</f>
        <v>สีฝุ่น FF110/948/C สีครีม</v>
      </c>
      <c r="N5626" s="14">
        <f>INSTOCK!$I5626*INSTOCK!$K5626</f>
        <v>2600</v>
      </c>
      <c r="O5626" s="4"/>
      <c r="P5626" s="4"/>
    </row>
    <row r="5627" ht="15.75" customHeight="1">
      <c r="B5627" s="8">
        <v>5951.0</v>
      </c>
      <c r="C5627" s="9">
        <v>43721.0</v>
      </c>
      <c r="D5627" s="6" t="s">
        <v>6692</v>
      </c>
      <c r="E5627" s="4">
        <v>6.209001351E9</v>
      </c>
      <c r="F5627" s="8" t="s">
        <v>807</v>
      </c>
      <c r="G5627" s="4" t="s">
        <v>808</v>
      </c>
      <c r="H5627" s="10" t="s">
        <v>809</v>
      </c>
      <c r="I5627" s="10">
        <v>1.0</v>
      </c>
      <c r="J5627" s="11" t="str">
        <f>IF(D5627&lt;&gt;"",VLOOKUP(H5627,TABLEITEM,5,FALSE),"")</f>
        <v>ท่อ</v>
      </c>
      <c r="K5627" s="12">
        <v>2700.0</v>
      </c>
      <c r="L5627" s="13" t="str">
        <f>IF(D5627&lt;&gt;"",VLOOKUP(H5627,TABLEITEM,2,FALSE),"")</f>
        <v/>
      </c>
      <c r="M5627" s="13" t="str">
        <f>IF(D5627&lt;&gt;"",VLOOKUP(H5627,TABLEITEM,3,FALSE),"")</f>
        <v>ไนโตรเจนเหลว ขนาด 100คิว</v>
      </c>
      <c r="N5627" s="14">
        <f>INSTOCK!$I5627*INSTOCK!$K5627</f>
        <v>2700</v>
      </c>
      <c r="O5627" s="4"/>
      <c r="P5627" s="4"/>
    </row>
    <row r="5628" ht="15.75" customHeight="1">
      <c r="B5628" s="8">
        <v>5952.0</v>
      </c>
      <c r="C5628" s="9">
        <v>43721.0</v>
      </c>
      <c r="D5628" s="6" t="s">
        <v>6693</v>
      </c>
      <c r="E5628" s="4">
        <v>6.209001345E9</v>
      </c>
      <c r="F5628" s="8" t="s">
        <v>604</v>
      </c>
      <c r="G5628" s="4" t="s">
        <v>6694</v>
      </c>
      <c r="H5628" s="10" t="s">
        <v>211</v>
      </c>
      <c r="I5628" s="10">
        <v>50.0</v>
      </c>
      <c r="J5628" s="11" t="str">
        <f>IF(D5628&lt;&gt;"",VLOOKUP(H5628,TABLEITEM,5,FALSE),"")</f>
        <v>EA</v>
      </c>
      <c r="K5628" s="12">
        <v>117.0</v>
      </c>
      <c r="L5628" s="13" t="str">
        <f>IF(D5628&lt;&gt;"",VLOOKUP(H5628,TABLEITEM,2,FALSE),"")</f>
        <v/>
      </c>
      <c r="M5628" s="13" t="str">
        <f>IF(D5628&lt;&gt;"",VLOOKUP(H5628,TABLEITEM,3,FALSE),"")</f>
        <v>รางรีเลย์</v>
      </c>
      <c r="N5628" s="14">
        <f>INSTOCK!$I5628*INSTOCK!$K5628</f>
        <v>5850</v>
      </c>
      <c r="O5628" s="4"/>
      <c r="P5628" s="4"/>
    </row>
    <row r="5629" ht="15.75" customHeight="1">
      <c r="B5629" s="8">
        <v>5953.0</v>
      </c>
      <c r="C5629" s="9">
        <v>43721.0</v>
      </c>
      <c r="D5629" s="6">
        <v>40253.0</v>
      </c>
      <c r="E5629" s="4">
        <v>6.209001324E9</v>
      </c>
      <c r="F5629" s="8"/>
      <c r="G5629" s="4" t="s">
        <v>696</v>
      </c>
      <c r="H5629" s="10" t="s">
        <v>6695</v>
      </c>
      <c r="I5629" s="10">
        <v>2.0</v>
      </c>
      <c r="J5629" s="11" t="str">
        <f>IF(D5629&lt;&gt;"",VLOOKUP(H5629,TABLEITEM,5,FALSE),"")</f>
        <v>EA</v>
      </c>
      <c r="K5629" s="12">
        <v>180.0</v>
      </c>
      <c r="L5629" s="13" t="str">
        <f>IF(D5629&lt;&gt;"",VLOOKUP(H5629,TABLEITEM,2,FALSE),"")</f>
        <v/>
      </c>
      <c r="M5629" s="13" t="str">
        <f>IF(D5629&lt;&gt;"",VLOOKUP(H5629,TABLEITEM,3,FALSE),"")</f>
        <v>แม่เหล็กกลม ขนาด T10x25MM</v>
      </c>
      <c r="N5629" s="14">
        <f>INSTOCK!$I5629*INSTOCK!$K5629</f>
        <v>360</v>
      </c>
      <c r="O5629" s="4"/>
      <c r="P5629" s="4"/>
    </row>
    <row r="5630" ht="15.75" customHeight="1">
      <c r="B5630" s="8">
        <v>5954.0</v>
      </c>
      <c r="C5630" s="9">
        <v>43722.0</v>
      </c>
      <c r="D5630" s="6" t="s">
        <v>6696</v>
      </c>
      <c r="E5630" s="4">
        <v>6.209001358E9</v>
      </c>
      <c r="F5630" s="8" t="s">
        <v>807</v>
      </c>
      <c r="G5630" s="4" t="s">
        <v>808</v>
      </c>
      <c r="H5630" s="10" t="s">
        <v>809</v>
      </c>
      <c r="I5630" s="10">
        <v>1.0</v>
      </c>
      <c r="J5630" s="11" t="str">
        <f>IF(D5630&lt;&gt;"",VLOOKUP(H5630,TABLEITEM,5,FALSE),"")</f>
        <v>ท่อ</v>
      </c>
      <c r="K5630" s="12">
        <v>2700.0</v>
      </c>
      <c r="L5630" s="13" t="str">
        <f>IF(D5630&lt;&gt;"",VLOOKUP(H5630,TABLEITEM,2,FALSE),"")</f>
        <v/>
      </c>
      <c r="M5630" s="13" t="str">
        <f>IF(D5630&lt;&gt;"",VLOOKUP(H5630,TABLEITEM,3,FALSE),"")</f>
        <v>ไนโตรเจนเหลว ขนาด 100คิว</v>
      </c>
      <c r="N5630" s="14">
        <f>INSTOCK!$I5630*INSTOCK!$K5630</f>
        <v>2700</v>
      </c>
      <c r="O5630" s="4"/>
      <c r="P5630" s="4"/>
    </row>
    <row r="5631" ht="15.75" customHeight="1">
      <c r="B5631" s="8">
        <v>5955.0</v>
      </c>
      <c r="C5631" s="9">
        <v>43722.0</v>
      </c>
      <c r="D5631" s="6" t="s">
        <v>6697</v>
      </c>
      <c r="E5631" s="4">
        <v>6.209001366E9</v>
      </c>
      <c r="F5631" s="8" t="s">
        <v>807</v>
      </c>
      <c r="G5631" s="4" t="s">
        <v>808</v>
      </c>
      <c r="H5631" s="10" t="s">
        <v>809</v>
      </c>
      <c r="I5631" s="10">
        <v>1.0</v>
      </c>
      <c r="J5631" s="11" t="str">
        <f>IF(D5631&lt;&gt;"",VLOOKUP(H5631,TABLEITEM,5,FALSE),"")</f>
        <v>ท่อ</v>
      </c>
      <c r="K5631" s="12">
        <v>2700.0</v>
      </c>
      <c r="L5631" s="13" t="str">
        <f>IF(D5631&lt;&gt;"",VLOOKUP(H5631,TABLEITEM,2,FALSE),"")</f>
        <v/>
      </c>
      <c r="M5631" s="13" t="str">
        <f>IF(D5631&lt;&gt;"",VLOOKUP(H5631,TABLEITEM,3,FALSE),"")</f>
        <v>ไนโตรเจนเหลว ขนาด 100คิว</v>
      </c>
      <c r="N5631" s="14">
        <f>INSTOCK!$I5631*INSTOCK!$K5631</f>
        <v>2700</v>
      </c>
      <c r="O5631" s="4"/>
      <c r="P5631" s="4"/>
    </row>
    <row r="5632" ht="15.75" customHeight="1">
      <c r="B5632" s="8">
        <v>5956.0</v>
      </c>
      <c r="C5632" s="9">
        <v>43724.0</v>
      </c>
      <c r="D5632" s="6" t="s">
        <v>6698</v>
      </c>
      <c r="E5632" s="4">
        <v>6.209001367E9</v>
      </c>
      <c r="F5632" s="8" t="s">
        <v>604</v>
      </c>
      <c r="G5632" s="4" t="s">
        <v>617</v>
      </c>
      <c r="H5632" s="10" t="s">
        <v>562</v>
      </c>
      <c r="I5632" s="10">
        <v>10.0</v>
      </c>
      <c r="J5632" s="11" t="str">
        <f>IF(D5632&lt;&gt;"",VLOOKUP(H5632,TABLEITEM,5,FALSE),"")</f>
        <v>M</v>
      </c>
      <c r="K5632" s="12">
        <v>972.16</v>
      </c>
      <c r="L5632" s="13" t="str">
        <f>IF(D5632&lt;&gt;"",VLOOKUP(H5632,TABLEITEM,2,FALSE),"")</f>
        <v>Busbar</v>
      </c>
      <c r="M5632" s="13" t="str">
        <f>IF(D5632&lt;&gt;"",VLOOKUP(H5632,TABLEITEM,3,FALSE),"")</f>
        <v>บัสบาร์ทองแดง 50x10</v>
      </c>
      <c r="N5632" s="14">
        <f>INSTOCK!$I5632*INSTOCK!$K5632</f>
        <v>9721.6</v>
      </c>
      <c r="O5632" s="4"/>
      <c r="P5632" s="4"/>
    </row>
    <row r="5633" ht="15.75" customHeight="1">
      <c r="B5633" s="8">
        <v>5957.0</v>
      </c>
      <c r="C5633" s="9">
        <v>43724.0</v>
      </c>
      <c r="D5633" s="6" t="s">
        <v>6699</v>
      </c>
      <c r="E5633" s="4">
        <v>6.209001359E9</v>
      </c>
      <c r="F5633" s="8" t="s">
        <v>6700</v>
      </c>
      <c r="G5633" s="4" t="s">
        <v>1258</v>
      </c>
      <c r="H5633" s="10" t="s">
        <v>1259</v>
      </c>
      <c r="I5633" s="10">
        <v>20.0</v>
      </c>
      <c r="J5633" s="11" t="str">
        <f>IF(D5633&lt;&gt;"",VLOOKUP(H5633,TABLEITEM,5,FALSE),"")</f>
        <v>KG.</v>
      </c>
      <c r="K5633" s="12">
        <v>130.0</v>
      </c>
      <c r="L5633" s="13" t="str">
        <f>IF(D5633&lt;&gt;"",VLOOKUP(H5633,TABLEITEM,2,FALSE),"")</f>
        <v/>
      </c>
      <c r="M5633" s="13" t="str">
        <f>IF(D5633&lt;&gt;"",VLOOKUP(H5633,TABLEITEM,3,FALSE),"")</f>
        <v>สีฝุ่น HB 45206 M BLACK MATT</v>
      </c>
      <c r="N5633" s="14">
        <f>INSTOCK!$I5633*INSTOCK!$K5633</f>
        <v>2600</v>
      </c>
      <c r="O5633" s="4"/>
      <c r="P5633" s="4"/>
    </row>
    <row r="5634" ht="15.75" customHeight="1">
      <c r="B5634" s="8">
        <v>5958.0</v>
      </c>
      <c r="C5634" s="9">
        <v>43724.0</v>
      </c>
      <c r="D5634" s="6" t="s">
        <v>6701</v>
      </c>
      <c r="E5634" s="4">
        <v>6.209001372E9</v>
      </c>
      <c r="F5634" s="8" t="s">
        <v>6702</v>
      </c>
      <c r="G5634" s="4" t="s">
        <v>743</v>
      </c>
      <c r="H5634" s="10" t="s">
        <v>1328</v>
      </c>
      <c r="I5634" s="10">
        <v>20.0</v>
      </c>
      <c r="J5634" s="11" t="str">
        <f>IF(D5634&lt;&gt;"",VLOOKUP(H5634,TABLEITEM,5,FALSE),"")</f>
        <v>KG.</v>
      </c>
      <c r="K5634" s="12">
        <v>125.38</v>
      </c>
      <c r="L5634" s="13" t="str">
        <f>IF(D5634&lt;&gt;"",VLOOKUP(H5634,TABLEITEM,2,FALSE),"")</f>
        <v/>
      </c>
      <c r="M5634" s="13" t="str">
        <f>IF(D5634&lt;&gt;"",VLOOKUP(H5634,TABLEITEM,3,FALSE),"")</f>
        <v>สีฝุ่น 1002788PX20</v>
      </c>
      <c r="N5634" s="14">
        <f>INSTOCK!$I5634*INSTOCK!$K5634</f>
        <v>2507.6</v>
      </c>
      <c r="O5634" s="4"/>
      <c r="P5634" s="4"/>
    </row>
    <row r="5635" ht="15.75" customHeight="1">
      <c r="B5635" s="8">
        <v>5959.0</v>
      </c>
      <c r="C5635" s="9">
        <v>43722.0</v>
      </c>
      <c r="D5635" s="6" t="s">
        <v>6703</v>
      </c>
      <c r="E5635" s="4"/>
      <c r="F5635" s="8" t="s">
        <v>6704</v>
      </c>
      <c r="G5635" s="4" t="s">
        <v>3029</v>
      </c>
      <c r="H5635" s="10" t="s">
        <v>3030</v>
      </c>
      <c r="I5635" s="10">
        <v>1.0</v>
      </c>
      <c r="J5635" s="11" t="str">
        <f>IF(D5635&lt;&gt;"",VLOOKUP(H5635,TABLEITEM,5,FALSE),"")</f>
        <v>LOT</v>
      </c>
      <c r="K5635" s="12">
        <v>8472.2</v>
      </c>
      <c r="L5635" s="13" t="str">
        <f>IF(D5635&lt;&gt;"",VLOOKUP(H5635,TABLEITEM,2,FALSE),"")</f>
        <v/>
      </c>
      <c r="M5635" s="13" t="str">
        <f>IF(D5635&lt;&gt;"",VLOOKUP(H5635,TABLEITEM,3,FALSE),"")</f>
        <v>ค่าชุบ ดีบุกเงา</v>
      </c>
      <c r="N5635" s="14">
        <f>INSTOCK!$I5635*INSTOCK!$K5635</f>
        <v>8472.2</v>
      </c>
      <c r="O5635" s="4" t="s">
        <v>6705</v>
      </c>
      <c r="P5635" s="4"/>
    </row>
    <row r="5636" ht="15.75" customHeight="1">
      <c r="B5636" s="8">
        <v>5960.0</v>
      </c>
      <c r="C5636" s="9">
        <v>43725.0</v>
      </c>
      <c r="D5636" s="6" t="s">
        <v>6706</v>
      </c>
      <c r="E5636" s="4">
        <v>6.209001373E9</v>
      </c>
      <c r="F5636" s="8" t="s">
        <v>6707</v>
      </c>
      <c r="G5636" s="4" t="s">
        <v>1453</v>
      </c>
      <c r="H5636" s="10" t="s">
        <v>5592</v>
      </c>
      <c r="I5636" s="10">
        <v>1.0</v>
      </c>
      <c r="J5636" s="11" t="str">
        <f>IF(D5636&lt;&gt;"",VLOOKUP(H5636,TABLEITEM,5,FALSE),"")</f>
        <v>EA</v>
      </c>
      <c r="K5636" s="12">
        <v>575.22</v>
      </c>
      <c r="L5636" s="13" t="str">
        <f>IF(D5636&lt;&gt;"",VLOOKUP(H5636,TABLEITEM,2,FALSE),"")</f>
        <v/>
      </c>
      <c r="M5636" s="13" t="str">
        <f>IF(D5636&lt;&gt;"",VLOOKUP(H5636,TABLEITEM,3,FALSE),"")</f>
        <v>Filter Fan PMV12.00024DC</v>
      </c>
      <c r="N5636" s="14">
        <f>INSTOCK!$I5636*INSTOCK!$K5636</f>
        <v>575.22</v>
      </c>
      <c r="O5636" s="4" t="s">
        <v>6708</v>
      </c>
      <c r="P5636" s="4"/>
    </row>
    <row r="5637" ht="15.75" customHeight="1">
      <c r="B5637" s="8">
        <v>5961.0</v>
      </c>
      <c r="C5637" s="9">
        <v>43724.0</v>
      </c>
      <c r="D5637" s="6">
        <v>6.2090794E7</v>
      </c>
      <c r="E5637" s="4">
        <v>6.20900136E9</v>
      </c>
      <c r="F5637" s="8" t="s">
        <v>6709</v>
      </c>
      <c r="G5637" s="4" t="s">
        <v>711</v>
      </c>
      <c r="H5637" s="10" t="s">
        <v>6660</v>
      </c>
      <c r="I5637" s="10">
        <v>60.0</v>
      </c>
      <c r="J5637" s="11" t="str">
        <f>IF(D5637&lt;&gt;"",VLOOKUP(H5637,TABLEITEM,5,FALSE),"")</f>
        <v>KG.</v>
      </c>
      <c r="K5637" s="12">
        <v>199.5</v>
      </c>
      <c r="L5637" s="13" t="str">
        <f>IF(D5637&lt;&gt;"",VLOOKUP(H5637,TABLEITEM,2,FALSE),"")</f>
        <v/>
      </c>
      <c r="M5637" s="13" t="str">
        <f>IF(D5637&lt;&gt;"",VLOOKUP(H5637,TABLEITEM,3,FALSE),"")</f>
        <v>สีฝุ่น สีขาวมุก J5000TH</v>
      </c>
      <c r="N5637" s="14">
        <f>INSTOCK!$I5637*INSTOCK!$K5637</f>
        <v>11970</v>
      </c>
      <c r="O5637" s="4" t="s">
        <v>6661</v>
      </c>
      <c r="P5637" s="4"/>
    </row>
    <row r="5638" ht="15.75" customHeight="1">
      <c r="B5638" s="8">
        <v>5962.0</v>
      </c>
      <c r="C5638" s="9">
        <v>43724.0</v>
      </c>
      <c r="D5638" s="6">
        <v>6.2090793E7</v>
      </c>
      <c r="E5638" s="4">
        <v>6.2090001353E10</v>
      </c>
      <c r="F5638" s="8" t="s">
        <v>6709</v>
      </c>
      <c r="G5638" s="4" t="s">
        <v>711</v>
      </c>
      <c r="H5638" s="10" t="s">
        <v>6660</v>
      </c>
      <c r="I5638" s="10">
        <v>40.0</v>
      </c>
      <c r="J5638" s="11" t="str">
        <f>IF(D5638&lt;&gt;"",VLOOKUP(H5638,TABLEITEM,5,FALSE),"")</f>
        <v>KG.</v>
      </c>
      <c r="K5638" s="12">
        <v>199.5</v>
      </c>
      <c r="L5638" s="13" t="str">
        <f>IF(D5638&lt;&gt;"",VLOOKUP(H5638,TABLEITEM,2,FALSE),"")</f>
        <v/>
      </c>
      <c r="M5638" s="13" t="str">
        <f>IF(D5638&lt;&gt;"",VLOOKUP(H5638,TABLEITEM,3,FALSE),"")</f>
        <v>สีฝุ่น สีขาวมุก J5000TH</v>
      </c>
      <c r="N5638" s="14">
        <f>INSTOCK!$I5638*INSTOCK!$K5638</f>
        <v>7980</v>
      </c>
      <c r="O5638" s="4" t="s">
        <v>6661</v>
      </c>
      <c r="P5638" s="4"/>
    </row>
    <row r="5639" ht="15.75" customHeight="1">
      <c r="B5639" s="8">
        <v>5963.0</v>
      </c>
      <c r="C5639" s="9">
        <v>43725.0</v>
      </c>
      <c r="D5639" s="6" t="s">
        <v>6710</v>
      </c>
      <c r="E5639" s="4"/>
      <c r="F5639" s="8" t="s">
        <v>6707</v>
      </c>
      <c r="G5639" s="4" t="s">
        <v>898</v>
      </c>
      <c r="H5639" s="10" t="s">
        <v>899</v>
      </c>
      <c r="I5639" s="10">
        <v>1.0</v>
      </c>
      <c r="J5639" s="11" t="str">
        <f>IF(D5639&lt;&gt;"",VLOOKUP(H5639,TABLEITEM,5,FALSE),"")</f>
        <v>LIT</v>
      </c>
      <c r="K5639" s="12">
        <v>430.0</v>
      </c>
      <c r="L5639" s="13" t="str">
        <f>IF(D5639&lt;&gt;"",VLOOKUP(H5639,TABLEITEM,2,FALSE),"")</f>
        <v/>
      </c>
      <c r="M5639" s="13" t="str">
        <f>IF(D5639&lt;&gt;"",VLOOKUP(H5639,TABLEITEM,3,FALSE),"")</f>
        <v>สีพ่นแห้งเร็ว(สีผสม)</v>
      </c>
      <c r="N5639" s="14">
        <f>INSTOCK!$I5639*INSTOCK!$K5639</f>
        <v>430</v>
      </c>
      <c r="O5639" s="4" t="s">
        <v>5508</v>
      </c>
      <c r="P5639" s="4"/>
    </row>
    <row r="5640" ht="15.75" customHeight="1">
      <c r="B5640" s="8">
        <v>5964.0</v>
      </c>
      <c r="C5640" s="9">
        <v>43726.0</v>
      </c>
      <c r="D5640" s="6" t="s">
        <v>6711</v>
      </c>
      <c r="E5640" s="4">
        <v>6.209001381E9</v>
      </c>
      <c r="F5640" s="8" t="s">
        <v>807</v>
      </c>
      <c r="G5640" s="4" t="s">
        <v>808</v>
      </c>
      <c r="H5640" s="10" t="s">
        <v>809</v>
      </c>
      <c r="I5640" s="10">
        <v>1.0</v>
      </c>
      <c r="J5640" s="11" t="str">
        <f>IF(D5640&lt;&gt;"",VLOOKUP(H5640,TABLEITEM,5,FALSE),"")</f>
        <v>ท่อ</v>
      </c>
      <c r="K5640" s="12">
        <v>2700.0</v>
      </c>
      <c r="L5640" s="13" t="str">
        <f>IF(D5640&lt;&gt;"",VLOOKUP(H5640,TABLEITEM,2,FALSE),"")</f>
        <v/>
      </c>
      <c r="M5640" s="13" t="str">
        <f>IF(D5640&lt;&gt;"",VLOOKUP(H5640,TABLEITEM,3,FALSE),"")</f>
        <v>ไนโตรเจนเหลว ขนาด 100คิว</v>
      </c>
      <c r="N5640" s="14">
        <f>INSTOCK!$I5640*INSTOCK!$K5640</f>
        <v>2700</v>
      </c>
      <c r="O5640" s="4"/>
      <c r="P5640" s="4"/>
    </row>
    <row r="5641" ht="15.75" customHeight="1">
      <c r="B5641" s="8">
        <v>5965.0</v>
      </c>
      <c r="C5641" s="9">
        <v>43725.0</v>
      </c>
      <c r="D5641" s="6" t="s">
        <v>6712</v>
      </c>
      <c r="E5641" s="4">
        <v>6.209001368E9</v>
      </c>
      <c r="F5641" s="8" t="s">
        <v>604</v>
      </c>
      <c r="G5641" s="4" t="s">
        <v>2320</v>
      </c>
      <c r="H5641" s="10" t="s">
        <v>515</v>
      </c>
      <c r="I5641" s="10">
        <v>100.0</v>
      </c>
      <c r="J5641" s="11" t="str">
        <f>IF(D5641&lt;&gt;"",VLOOKUP(H5641,TABLEITEM,5,FALSE),"")</f>
        <v>M</v>
      </c>
      <c r="K5641" s="12">
        <v>76.0771</v>
      </c>
      <c r="L5641" s="13" t="str">
        <f>IF(D5641&lt;&gt;"",VLOOKUP(H5641,TABLEITEM,2,FALSE),"")</f>
        <v>wire</v>
      </c>
      <c r="M5641" s="13" t="str">
        <f>IF(D5641&lt;&gt;"",VLOOKUP(H5641,TABLEITEM,3,FALSE),"")</f>
        <v>สายTHW ขนาด 1x35 SQMM.สีดำ</v>
      </c>
      <c r="N5641" s="14">
        <f>INSTOCK!$I5641*INSTOCK!$K5641</f>
        <v>7607.71</v>
      </c>
      <c r="O5641" s="4" t="s">
        <v>6713</v>
      </c>
      <c r="P5641" s="4"/>
    </row>
    <row r="5642" ht="15.75" customHeight="1">
      <c r="B5642" s="8">
        <v>5966.0</v>
      </c>
      <c r="C5642" s="9">
        <v>43725.0</v>
      </c>
      <c r="D5642" s="6">
        <v>6.2090518E8</v>
      </c>
      <c r="E5642" s="4">
        <v>6.209001376E9</v>
      </c>
      <c r="F5642" s="8" t="s">
        <v>6714</v>
      </c>
      <c r="G5642" s="4" t="s">
        <v>1130</v>
      </c>
      <c r="H5642" s="10" t="s">
        <v>5142</v>
      </c>
      <c r="I5642" s="10">
        <v>4.0</v>
      </c>
      <c r="J5642" s="11" t="str">
        <f>IF(D5642&lt;&gt;"",VLOOKUP(H5642,TABLEITEM,5,FALSE),"")</f>
        <v>EA</v>
      </c>
      <c r="K5642" s="12">
        <v>174.5625</v>
      </c>
      <c r="L5642" s="13" t="str">
        <f>IF(D5642&lt;&gt;"",VLOOKUP(H5642,TABLEITEM,2,FALSE),"")</f>
        <v/>
      </c>
      <c r="M5642" s="13" t="str">
        <f>IF(D5642&lt;&gt;"",VLOOKUP(H5642,TABLEITEM,3,FALSE),"")</f>
        <v>CT800/5 MSQ60</v>
      </c>
      <c r="N5642" s="14">
        <f>INSTOCK!$I5642*INSTOCK!$K5642</f>
        <v>698.25</v>
      </c>
      <c r="O5642" s="4" t="s">
        <v>3125</v>
      </c>
      <c r="P5642" s="4"/>
    </row>
    <row r="5643" ht="15.75" customHeight="1">
      <c r="B5643" s="8">
        <v>5967.0</v>
      </c>
      <c r="C5643" s="9">
        <v>43726.0</v>
      </c>
      <c r="D5643" s="6" t="s">
        <v>6715</v>
      </c>
      <c r="E5643" s="4">
        <v>6.209001377E9</v>
      </c>
      <c r="F5643" s="8" t="s">
        <v>6716</v>
      </c>
      <c r="G5643" s="4" t="s">
        <v>1202</v>
      </c>
      <c r="H5643" s="18" t="s">
        <v>158</v>
      </c>
      <c r="I5643" s="10">
        <v>20.0</v>
      </c>
      <c r="J5643" s="11" t="str">
        <f>IF(D5643&lt;&gt;"",VLOOKUP(H5643,TABLEITEM,5,FALSE),"")</f>
        <v>EA</v>
      </c>
      <c r="K5643" s="12">
        <v>662.0</v>
      </c>
      <c r="L5643" s="13" t="str">
        <f>IF(D5643&lt;&gt;"",VLOOKUP(H5643,TABLEITEM,2,FALSE),"")</f>
        <v/>
      </c>
      <c r="M5643" s="13" t="str">
        <f>IF(D5643&lt;&gt;"",VLOOKUP(H5643,TABLEITEM,3,FALSE),"")</f>
        <v>กุญแจ TAKIGEN A-140-3-1</v>
      </c>
      <c r="N5643" s="14">
        <f>INSTOCK!$I5643*INSTOCK!$K5643</f>
        <v>13240</v>
      </c>
      <c r="O5643" s="4"/>
      <c r="P5643" s="4"/>
    </row>
    <row r="5644" ht="15.75" customHeight="1">
      <c r="B5644" s="8">
        <v>5968.0</v>
      </c>
      <c r="C5644" s="9">
        <v>43727.0</v>
      </c>
      <c r="D5644" s="6" t="s">
        <v>6717</v>
      </c>
      <c r="E5644" s="4">
        <v>6.209001379E9</v>
      </c>
      <c r="F5644" s="8" t="s">
        <v>604</v>
      </c>
      <c r="G5644" s="4" t="s">
        <v>665</v>
      </c>
      <c r="H5644" s="10" t="s">
        <v>462</v>
      </c>
      <c r="I5644" s="10">
        <v>1500.0</v>
      </c>
      <c r="J5644" s="11" t="str">
        <f>IF(D5644&lt;&gt;"",VLOOKUP(H5644,TABLEITEM,5,FALSE),"")</f>
        <v>M</v>
      </c>
      <c r="K5644" s="12">
        <v>4.25</v>
      </c>
      <c r="L5644" s="13" t="str">
        <f>IF(D5644&lt;&gt;"",VLOOKUP(H5644,TABLEITEM,2,FALSE),"")</f>
        <v>wire</v>
      </c>
      <c r="M5644" s="13" t="str">
        <f>IF(D5644&lt;&gt;"",VLOOKUP(H5644,TABLEITEM,3,FALSE),"")</f>
        <v>สายไฟ VSF1x1 SQMM.สีเหลือง</v>
      </c>
      <c r="N5644" s="14">
        <f>INSTOCK!$I5644*INSTOCK!$K5644</f>
        <v>6375</v>
      </c>
      <c r="O5644" s="4"/>
      <c r="P5644" s="4"/>
    </row>
    <row r="5645" ht="15.75" customHeight="1">
      <c r="B5645" s="8">
        <v>5969.0</v>
      </c>
      <c r="C5645" s="9">
        <v>43727.0</v>
      </c>
      <c r="D5645" s="6" t="s">
        <v>6717</v>
      </c>
      <c r="E5645" s="4">
        <v>6.209001379E9</v>
      </c>
      <c r="F5645" s="8" t="s">
        <v>604</v>
      </c>
      <c r="G5645" s="4" t="s">
        <v>665</v>
      </c>
      <c r="H5645" s="10" t="s">
        <v>490</v>
      </c>
      <c r="I5645" s="10">
        <v>400.0</v>
      </c>
      <c r="J5645" s="11" t="str">
        <f>IF(D5645&lt;&gt;"",VLOOKUP(H5645,TABLEITEM,5,FALSE),"")</f>
        <v>M</v>
      </c>
      <c r="K5645" s="12">
        <v>13.58</v>
      </c>
      <c r="L5645" s="13" t="str">
        <f>IF(D5645&lt;&gt;"",VLOOKUP(H5645,TABLEITEM,2,FALSE),"")</f>
        <v>wire</v>
      </c>
      <c r="M5645" s="13" t="str">
        <f>IF(D5645&lt;&gt;"",VLOOKUP(H5645,TABLEITEM,3,FALSE),"")</f>
        <v>สายไฟ VSF1x4 SQMM.สีดำ</v>
      </c>
      <c r="N5645" s="14">
        <f>INSTOCK!$I5645*INSTOCK!$K5645</f>
        <v>5432</v>
      </c>
      <c r="O5645" s="4"/>
      <c r="P5645" s="4"/>
    </row>
    <row r="5646" ht="15.75" customHeight="1">
      <c r="B5646" s="8">
        <v>5970.0</v>
      </c>
      <c r="C5646" s="9">
        <v>43727.0</v>
      </c>
      <c r="D5646" s="6" t="s">
        <v>6718</v>
      </c>
      <c r="E5646" s="4">
        <v>6.209001349E9</v>
      </c>
      <c r="F5646" s="8" t="s">
        <v>604</v>
      </c>
      <c r="G5646" s="4" t="s">
        <v>1777</v>
      </c>
      <c r="H5646" s="10" t="s">
        <v>2426</v>
      </c>
      <c r="I5646" s="10">
        <v>1000.0</v>
      </c>
      <c r="J5646" s="11" t="str">
        <f>IF(D5646&lt;&gt;"",VLOOKUP(H5646,TABLEITEM,5,FALSE),"")</f>
        <v>EA</v>
      </c>
      <c r="K5646" s="12">
        <v>0.3</v>
      </c>
      <c r="L5646" s="13" t="str">
        <f>IF(D5646&lt;&gt;"",VLOOKUP(H5646,TABLEITEM,2,FALSE),"")</f>
        <v/>
      </c>
      <c r="M5646" s="13" t="str">
        <f>IF(D5646&lt;&gt;"",VLOOKUP(H5646,TABLEITEM,3,FALSE),"")</f>
        <v>หัวน็อตล็อค M4</v>
      </c>
      <c r="N5646" s="14">
        <f>INSTOCK!$I5646*INSTOCK!$K5646</f>
        <v>300</v>
      </c>
      <c r="O5646" s="25" t="s">
        <v>2170</v>
      </c>
      <c r="P5646" s="4"/>
    </row>
    <row r="5647" ht="15.75" customHeight="1">
      <c r="B5647" s="8">
        <v>5971.0</v>
      </c>
      <c r="C5647" s="9">
        <v>43727.0</v>
      </c>
      <c r="D5647" s="6" t="s">
        <v>6718</v>
      </c>
      <c r="E5647" s="4">
        <v>6.209001349E9</v>
      </c>
      <c r="F5647" s="8" t="s">
        <v>604</v>
      </c>
      <c r="G5647" s="4" t="s">
        <v>1777</v>
      </c>
      <c r="H5647" s="10" t="s">
        <v>2167</v>
      </c>
      <c r="I5647" s="10">
        <v>4000.0</v>
      </c>
      <c r="J5647" s="11" t="str">
        <f>IF(D5647&lt;&gt;"",VLOOKUP(H5647,TABLEITEM,5,FALSE),"")</f>
        <v>EA</v>
      </c>
      <c r="K5647" s="12">
        <v>0.05</v>
      </c>
      <c r="L5647" s="13" t="str">
        <f>IF(D5647&lt;&gt;"",VLOOKUP(H5647,TABLEITEM,2,FALSE),"")</f>
        <v/>
      </c>
      <c r="M5647" s="13" t="str">
        <f>IF(D5647&lt;&gt;"",VLOOKUP(H5647,TABLEITEM,3,FALSE),"")</f>
        <v>แหวนอีแปะ M4  ชุบขาว</v>
      </c>
      <c r="N5647" s="14">
        <f>INSTOCK!$I5647*INSTOCK!$K5647</f>
        <v>200</v>
      </c>
      <c r="O5647" s="4" t="s">
        <v>2168</v>
      </c>
      <c r="P5647" s="4"/>
    </row>
    <row r="5648" ht="15.75" customHeight="1">
      <c r="B5648" s="8">
        <v>5972.0</v>
      </c>
      <c r="C5648" s="9">
        <v>43727.0</v>
      </c>
      <c r="D5648" s="6" t="s">
        <v>6718</v>
      </c>
      <c r="E5648" s="4">
        <v>6.209001349E9</v>
      </c>
      <c r="F5648" s="8" t="s">
        <v>604</v>
      </c>
      <c r="G5648" s="4" t="s">
        <v>1777</v>
      </c>
      <c r="H5648" s="10" t="s">
        <v>2998</v>
      </c>
      <c r="I5648" s="10">
        <v>1000.0</v>
      </c>
      <c r="J5648" s="11" t="str">
        <f>IF(D5648&lt;&gt;"",VLOOKUP(H5648,TABLEITEM,5,FALSE),"")</f>
        <v>EA</v>
      </c>
      <c r="K5648" s="12">
        <v>0.69</v>
      </c>
      <c r="L5648" s="13" t="str">
        <f>IF(D5648&lt;&gt;"",VLOOKUP(H5648,TABLEITEM,2,FALSE),"")</f>
        <v/>
      </c>
      <c r="M5648" s="13" t="str">
        <f>IF(D5648&lt;&gt;"",VLOOKUP(H5648,TABLEITEM,3,FALSE),"")</f>
        <v>สกรูตัวหนอน M5x5</v>
      </c>
      <c r="N5648" s="14">
        <f>INSTOCK!$I5648*INSTOCK!$K5648</f>
        <v>690</v>
      </c>
      <c r="O5648" s="4"/>
      <c r="P5648" s="4"/>
    </row>
    <row r="5649" ht="15.75" customHeight="1">
      <c r="B5649" s="8">
        <v>5973.0</v>
      </c>
      <c r="C5649" s="9">
        <v>43727.0</v>
      </c>
      <c r="D5649" s="6" t="s">
        <v>6718</v>
      </c>
      <c r="E5649" s="4">
        <v>6.209001349E9</v>
      </c>
      <c r="F5649" s="8" t="s">
        <v>604</v>
      </c>
      <c r="G5649" s="4" t="s">
        <v>1777</v>
      </c>
      <c r="H5649" s="10" t="s">
        <v>2398</v>
      </c>
      <c r="I5649" s="10">
        <v>4000.0</v>
      </c>
      <c r="J5649" s="11" t="str">
        <f>IF(D5649&lt;&gt;"",VLOOKUP(H5649,TABLEITEM,5,FALSE),"")</f>
        <v>EA</v>
      </c>
      <c r="K5649" s="12">
        <v>0.104</v>
      </c>
      <c r="L5649" s="13" t="str">
        <f>IF(D5649&lt;&gt;"",VLOOKUP(H5649,TABLEITEM,2,FALSE),"")</f>
        <v/>
      </c>
      <c r="M5649" s="13" t="str">
        <f>IF(D5649&lt;&gt;"",VLOOKUP(H5649,TABLEITEM,3,FALSE),"")</f>
        <v>สกรูหัวหมวก  M4x10</v>
      </c>
      <c r="N5649" s="14">
        <f>INSTOCK!$I5649*INSTOCK!$K5649</f>
        <v>416</v>
      </c>
      <c r="O5649" s="4" t="s">
        <v>2399</v>
      </c>
      <c r="P5649" s="4"/>
    </row>
    <row r="5650" ht="15.75" customHeight="1">
      <c r="B5650" s="8">
        <v>5974.0</v>
      </c>
      <c r="C5650" s="9">
        <v>43726.0</v>
      </c>
      <c r="D5650" s="6" t="s">
        <v>6719</v>
      </c>
      <c r="E5650" s="4">
        <v>6.209001383E9</v>
      </c>
      <c r="F5650" s="8" t="s">
        <v>6714</v>
      </c>
      <c r="G5650" s="4" t="s">
        <v>1596</v>
      </c>
      <c r="H5650" s="10" t="s">
        <v>1597</v>
      </c>
      <c r="I5650" s="10">
        <v>3.0</v>
      </c>
      <c r="J5650" s="11" t="str">
        <f>IF(D5650&lt;&gt;"",VLOOKUP(H5650,TABLEITEM,5,FALSE),"")</f>
        <v>EA</v>
      </c>
      <c r="K5650" s="12">
        <v>74.0</v>
      </c>
      <c r="L5650" s="13" t="str">
        <f>IF(D5650&lt;&gt;"",VLOOKUP(H5650,TABLEITEM,2,FALSE),"")</f>
        <v/>
      </c>
      <c r="M5650" s="13" t="str">
        <f>IF(D5650&lt;&gt;"",VLOOKUP(H5650,TABLEITEM,3,FALSE),"")</f>
        <v>MCB SH201-C6</v>
      </c>
      <c r="N5650" s="14">
        <f>INSTOCK!$I5650*INSTOCK!$K5650</f>
        <v>222</v>
      </c>
      <c r="O5650" s="4" t="s">
        <v>1598</v>
      </c>
      <c r="P5650" s="4"/>
    </row>
    <row r="5651" ht="15.75" customHeight="1">
      <c r="B5651" s="8">
        <v>5975.0</v>
      </c>
      <c r="C5651" s="9">
        <v>43727.0</v>
      </c>
      <c r="D5651" s="6">
        <v>91436.0</v>
      </c>
      <c r="E5651" s="4">
        <v>6.20900138E9</v>
      </c>
      <c r="F5651" s="8" t="s">
        <v>604</v>
      </c>
      <c r="G5651" s="4" t="s">
        <v>1546</v>
      </c>
      <c r="H5651" s="10" t="s">
        <v>1547</v>
      </c>
      <c r="I5651" s="10">
        <v>10.0</v>
      </c>
      <c r="J5651" s="11" t="str">
        <f>IF(D5651&lt;&gt;"",VLOOKUP(H5651,TABLEITEM,5,FALSE),"")</f>
        <v>EA</v>
      </c>
      <c r="K5651" s="12">
        <v>490.0</v>
      </c>
      <c r="L5651" s="13" t="str">
        <f>IF(D5651&lt;&gt;"",VLOOKUP(H5651,TABLEITEM,2,FALSE),"")</f>
        <v/>
      </c>
      <c r="M5651" s="13" t="str">
        <f>IF(D5651&lt;&gt;"",VLOOKUP(H5651,TABLEITEM,3,FALSE),"")</f>
        <v>ล้อขัดใยสังเคราะห์ 100x100x35mmAC/R8</v>
      </c>
      <c r="N5651" s="14">
        <f>INSTOCK!$I5651*INSTOCK!$K5651</f>
        <v>4900</v>
      </c>
      <c r="O5651" s="4"/>
      <c r="P5651" s="4"/>
    </row>
    <row r="5652" ht="15.75" customHeight="1">
      <c r="B5652" s="8">
        <v>5976.0</v>
      </c>
      <c r="C5652" s="9">
        <v>43728.0</v>
      </c>
      <c r="D5652" s="6" t="s">
        <v>6720</v>
      </c>
      <c r="E5652" s="4">
        <v>6.209001394E9</v>
      </c>
      <c r="F5652" s="8" t="s">
        <v>807</v>
      </c>
      <c r="G5652" s="4" t="s">
        <v>808</v>
      </c>
      <c r="H5652" s="10" t="s">
        <v>809</v>
      </c>
      <c r="I5652" s="10">
        <v>1.0</v>
      </c>
      <c r="J5652" s="11" t="str">
        <f>IF(D5652&lt;&gt;"",VLOOKUP(H5652,TABLEITEM,5,FALSE),"")</f>
        <v>ท่อ</v>
      </c>
      <c r="K5652" s="12">
        <v>2700.0</v>
      </c>
      <c r="L5652" s="13" t="str">
        <f>IF(D5652&lt;&gt;"",VLOOKUP(H5652,TABLEITEM,2,FALSE),"")</f>
        <v/>
      </c>
      <c r="M5652" s="13" t="str">
        <f>IF(D5652&lt;&gt;"",VLOOKUP(H5652,TABLEITEM,3,FALSE),"")</f>
        <v>ไนโตรเจนเหลว ขนาด 100คิว</v>
      </c>
      <c r="N5652" s="14">
        <f>INSTOCK!$I5652*INSTOCK!$K5652</f>
        <v>2700</v>
      </c>
      <c r="O5652" s="4"/>
      <c r="P5652" s="4"/>
    </row>
    <row r="5653" ht="15.75" customHeight="1">
      <c r="B5653" s="8">
        <v>5977.0</v>
      </c>
      <c r="C5653" s="9">
        <v>43728.0</v>
      </c>
      <c r="D5653" s="6">
        <v>53089.0</v>
      </c>
      <c r="E5653" s="4">
        <v>6.209001391E9</v>
      </c>
      <c r="F5653" s="8" t="s">
        <v>604</v>
      </c>
      <c r="G5653" s="4" t="s">
        <v>5349</v>
      </c>
      <c r="H5653" s="10" t="s">
        <v>85</v>
      </c>
      <c r="I5653" s="10">
        <v>200.0</v>
      </c>
      <c r="J5653" s="11" t="str">
        <f>IF(D5653&lt;&gt;"",VLOOKUP(H5653,TABLEITEM,5,FALSE),"")</f>
        <v>KG.</v>
      </c>
      <c r="K5653" s="12">
        <v>112.0</v>
      </c>
      <c r="L5653" s="13" t="str">
        <f>IF(D5653&lt;&gt;"",VLOOKUP(H5653,TABLEITEM,2,FALSE),"")</f>
        <v/>
      </c>
      <c r="M5653" s="13" t="str">
        <f>IF(D5653&lt;&gt;"",VLOOKUP(H5653,TABLEITEM,3,FALSE),"")</f>
        <v>สีฝุ่น GH433241 สีเทาย่น</v>
      </c>
      <c r="N5653" s="14">
        <f>INSTOCK!$I5653*INSTOCK!$K5653</f>
        <v>22400</v>
      </c>
      <c r="O5653" s="4"/>
      <c r="P5653" s="4"/>
    </row>
    <row r="5654" ht="15.75" customHeight="1">
      <c r="B5654" s="8">
        <v>5978.0</v>
      </c>
      <c r="C5654" s="9">
        <v>43728.0</v>
      </c>
      <c r="D5654" s="6" t="s">
        <v>6721</v>
      </c>
      <c r="E5654" s="4">
        <v>6.209001367E9</v>
      </c>
      <c r="F5654" s="8" t="s">
        <v>604</v>
      </c>
      <c r="G5654" s="4" t="s">
        <v>617</v>
      </c>
      <c r="H5654" s="10" t="s">
        <v>562</v>
      </c>
      <c r="I5654" s="10">
        <v>15.0</v>
      </c>
      <c r="J5654" s="11" t="str">
        <f>IF(D5654&lt;&gt;"",VLOOKUP(H5654,TABLEITEM,5,FALSE),"")</f>
        <v>M</v>
      </c>
      <c r="K5654" s="12">
        <v>972.16</v>
      </c>
      <c r="L5654" s="13" t="str">
        <f>IF(D5654&lt;&gt;"",VLOOKUP(H5654,TABLEITEM,2,FALSE),"")</f>
        <v>Busbar</v>
      </c>
      <c r="M5654" s="13" t="str">
        <f>IF(D5654&lt;&gt;"",VLOOKUP(H5654,TABLEITEM,3,FALSE),"")</f>
        <v>บัสบาร์ทองแดง 50x10</v>
      </c>
      <c r="N5654" s="14">
        <f>INSTOCK!$I5654*INSTOCK!$K5654</f>
        <v>14582.4</v>
      </c>
      <c r="O5654" s="4" t="s">
        <v>6722</v>
      </c>
      <c r="P5654" s="4"/>
    </row>
    <row r="5655" ht="15.75" customHeight="1">
      <c r="B5655" s="8">
        <v>5979.0</v>
      </c>
      <c r="C5655" s="9">
        <v>43728.0</v>
      </c>
      <c r="D5655" s="6" t="s">
        <v>6723</v>
      </c>
      <c r="E5655" s="4">
        <v>6.209001388E9</v>
      </c>
      <c r="F5655" s="8" t="s">
        <v>604</v>
      </c>
      <c r="G5655" s="4" t="s">
        <v>617</v>
      </c>
      <c r="H5655" s="10" t="s">
        <v>6724</v>
      </c>
      <c r="I5655" s="10">
        <v>10.0</v>
      </c>
      <c r="J5655" s="11" t="str">
        <f>IF(D5655&lt;&gt;"",VLOOKUP(H5655,TABLEITEM,5,FALSE),"")</f>
        <v>M</v>
      </c>
      <c r="K5655" s="12">
        <v>581.56</v>
      </c>
      <c r="L5655" s="13" t="str">
        <f>IF(D5655&lt;&gt;"",VLOOKUP(H5655,TABLEITEM,2,FALSE),"")</f>
        <v>Busbar</v>
      </c>
      <c r="M5655" s="13" t="str">
        <f>IF(D5655&lt;&gt;"",VLOOKUP(H5655,TABLEITEM,3,FALSE),"")</f>
        <v>บัสบาร์ทองแดง 60x5</v>
      </c>
      <c r="N5655" s="14">
        <f>INSTOCK!$I5655*INSTOCK!$K5655</f>
        <v>5815.6</v>
      </c>
      <c r="O5655" s="4" t="s">
        <v>6722</v>
      </c>
      <c r="P5655" s="4"/>
    </row>
    <row r="5656" ht="15.75" customHeight="1">
      <c r="B5656" s="8">
        <v>5980.0</v>
      </c>
      <c r="C5656" s="9">
        <v>43728.0</v>
      </c>
      <c r="D5656" s="6" t="s">
        <v>6725</v>
      </c>
      <c r="E5656" s="4">
        <v>6.209001388E9</v>
      </c>
      <c r="F5656" s="8" t="s">
        <v>604</v>
      </c>
      <c r="G5656" s="4" t="s">
        <v>617</v>
      </c>
      <c r="H5656" s="10" t="s">
        <v>1377</v>
      </c>
      <c r="I5656" s="10">
        <v>100.0</v>
      </c>
      <c r="J5656" s="11" t="str">
        <f>IF(D5656&lt;&gt;"",VLOOKUP(H5656,TABLEITEM,5,FALSE),"")</f>
        <v>M</v>
      </c>
      <c r="K5656" s="12">
        <v>91.14</v>
      </c>
      <c r="L5656" s="13" t="str">
        <f>IF(D5656&lt;&gt;"",VLOOKUP(H5656,TABLEITEM,2,FALSE),"")</f>
        <v>Busbar</v>
      </c>
      <c r="M5656" s="13" t="str">
        <f>IF(D5656&lt;&gt;"",VLOOKUP(H5656,TABLEITEM,3,FALSE),"")</f>
        <v>บัสบาร์ทองแดง 15x3</v>
      </c>
      <c r="N5656" s="14">
        <f>INSTOCK!$I5656*INSTOCK!$K5656</f>
        <v>9114</v>
      </c>
      <c r="O5656" s="4" t="s">
        <v>6722</v>
      </c>
      <c r="P5656" s="4"/>
    </row>
    <row r="5657" ht="15.75" customHeight="1">
      <c r="B5657" s="8">
        <v>5981.0</v>
      </c>
      <c r="C5657" s="9">
        <v>43728.0</v>
      </c>
      <c r="D5657" s="6" t="s">
        <v>6725</v>
      </c>
      <c r="E5657" s="4">
        <v>6.209001388E9</v>
      </c>
      <c r="F5657" s="8" t="s">
        <v>604</v>
      </c>
      <c r="G5657" s="4" t="s">
        <v>617</v>
      </c>
      <c r="H5657" s="10" t="s">
        <v>556</v>
      </c>
      <c r="I5657" s="10">
        <v>100.0</v>
      </c>
      <c r="J5657" s="11" t="str">
        <f>IF(D5657&lt;&gt;"",VLOOKUP(H5657,TABLEITEM,5,FALSE),"")</f>
        <v>M</v>
      </c>
      <c r="K5657" s="12">
        <v>195.3</v>
      </c>
      <c r="L5657" s="13" t="str">
        <f>IF(D5657&lt;&gt;"",VLOOKUP(H5657,TABLEITEM,2,FALSE),"")</f>
        <v>Busbar</v>
      </c>
      <c r="M5657" s="13" t="str">
        <f>IF(D5657&lt;&gt;"",VLOOKUP(H5657,TABLEITEM,3,FALSE),"")</f>
        <v>บัสบาร์ทองแดง 20x5</v>
      </c>
      <c r="N5657" s="14">
        <f>INSTOCK!$I5657*INSTOCK!$K5657</f>
        <v>19530</v>
      </c>
      <c r="O5657" s="4" t="s">
        <v>6722</v>
      </c>
      <c r="P5657" s="4"/>
    </row>
    <row r="5658" ht="15.75" customHeight="1">
      <c r="B5658" s="8">
        <v>5982.0</v>
      </c>
      <c r="C5658" s="9">
        <v>43728.0</v>
      </c>
      <c r="D5658" s="6" t="s">
        <v>6725</v>
      </c>
      <c r="E5658" s="4">
        <v>6.209001388E9</v>
      </c>
      <c r="F5658" s="8" t="s">
        <v>604</v>
      </c>
      <c r="G5658" s="4" t="s">
        <v>617</v>
      </c>
      <c r="H5658" s="10" t="s">
        <v>558</v>
      </c>
      <c r="I5658" s="10">
        <v>50.0</v>
      </c>
      <c r="J5658" s="11" t="str">
        <f>IF(D5658&lt;&gt;"",VLOOKUP(H5658,TABLEITEM,5,FALSE),"")</f>
        <v>M</v>
      </c>
      <c r="K5658" s="12">
        <v>243.04</v>
      </c>
      <c r="L5658" s="13" t="str">
        <f>IF(D5658&lt;&gt;"",VLOOKUP(H5658,TABLEITEM,2,FALSE),"")</f>
        <v>Busbar</v>
      </c>
      <c r="M5658" s="13" t="str">
        <f>IF(D5658&lt;&gt;"",VLOOKUP(H5658,TABLEITEM,3,FALSE),"")</f>
        <v>บัสบาร์ทองแดง 25x5</v>
      </c>
      <c r="N5658" s="14">
        <f>INSTOCK!$I5658*INSTOCK!$K5658</f>
        <v>12152</v>
      </c>
      <c r="O5658" s="4" t="s">
        <v>6722</v>
      </c>
      <c r="P5658" s="4"/>
    </row>
    <row r="5659" ht="15.75" customHeight="1">
      <c r="B5659" s="8">
        <v>5983.0</v>
      </c>
      <c r="C5659" s="9">
        <v>43727.0</v>
      </c>
      <c r="D5659" s="6">
        <v>6.2090594E8</v>
      </c>
      <c r="E5659" s="4">
        <v>6.209001389E9</v>
      </c>
      <c r="F5659" s="8" t="s">
        <v>604</v>
      </c>
      <c r="G5659" s="4" t="s">
        <v>1130</v>
      </c>
      <c r="H5659" s="10" t="s">
        <v>1555</v>
      </c>
      <c r="I5659" s="10">
        <v>20.0</v>
      </c>
      <c r="J5659" s="11" t="str">
        <f>IF(D5659&lt;&gt;"",VLOOKUP(H5659,TABLEITEM,5,FALSE),"")</f>
        <v>EA</v>
      </c>
      <c r="K5659" s="12">
        <v>40.0</v>
      </c>
      <c r="L5659" s="13" t="str">
        <f>IF(D5659&lt;&gt;"",VLOOKUP(H5659,TABLEITEM,2,FALSE),"")</f>
        <v/>
      </c>
      <c r="M5659" s="13" t="str">
        <f>IF(D5659&lt;&gt;"",VLOOKUP(H5659,TABLEITEM,3,FALSE),"")</f>
        <v>SOCKET PYF-08A-E </v>
      </c>
      <c r="N5659" s="14">
        <f>INSTOCK!$I5659*INSTOCK!$K5659</f>
        <v>800</v>
      </c>
      <c r="O5659" s="4"/>
      <c r="P5659" s="4"/>
    </row>
    <row r="5660" ht="15.75" customHeight="1">
      <c r="B5660" s="8">
        <v>5984.0</v>
      </c>
      <c r="C5660" s="9">
        <v>43728.0</v>
      </c>
      <c r="D5660" s="6" t="s">
        <v>6726</v>
      </c>
      <c r="E5660" s="4">
        <v>6.20900139E9</v>
      </c>
      <c r="F5660" s="8" t="s">
        <v>604</v>
      </c>
      <c r="G5660" s="4" t="s">
        <v>743</v>
      </c>
      <c r="H5660" s="10" t="s">
        <v>73</v>
      </c>
      <c r="I5660" s="10">
        <v>500.0</v>
      </c>
      <c r="J5660" s="11" t="str">
        <f>IF(D5660&lt;&gt;"",VLOOKUP(H5660,TABLEITEM,5,FALSE),"")</f>
        <v>KG.</v>
      </c>
      <c r="K5660" s="12">
        <v>99.85</v>
      </c>
      <c r="L5660" s="13" t="str">
        <f>IF(D5660&lt;&gt;"",VLOOKUP(H5660,TABLEITEM,2,FALSE),"")</f>
        <v/>
      </c>
      <c r="M5660" s="13" t="str">
        <f>IF(D5660&lt;&gt;"",VLOOKUP(H5660,TABLEITEM,3,FALSE),"")</f>
        <v>สีฝุ่น สีครีมย่น 1002782PX20</v>
      </c>
      <c r="N5660" s="14">
        <f>INSTOCK!$I5660*INSTOCK!$K5660</f>
        <v>49925</v>
      </c>
      <c r="O5660" s="4"/>
      <c r="P5660" s="4"/>
    </row>
    <row r="5661" ht="15.75" customHeight="1">
      <c r="B5661" s="8">
        <v>5985.0</v>
      </c>
      <c r="C5661" s="9">
        <v>43728.0</v>
      </c>
      <c r="D5661" s="6" t="s">
        <v>6727</v>
      </c>
      <c r="E5661" s="4">
        <v>6.209001393E9</v>
      </c>
      <c r="F5661" s="8" t="s">
        <v>801</v>
      </c>
      <c r="G5661" s="4" t="s">
        <v>1417</v>
      </c>
      <c r="H5661" s="10" t="s">
        <v>803</v>
      </c>
      <c r="I5661" s="10">
        <v>15.0</v>
      </c>
      <c r="J5661" s="11" t="str">
        <f>IF(D5661&lt;&gt;"",VLOOKUP(H5661,TABLEITEM,5,FALSE),"")</f>
        <v>ถัง</v>
      </c>
      <c r="K5661" s="12">
        <v>981.31</v>
      </c>
      <c r="L5661" s="13" t="str">
        <f>IF(D5661&lt;&gt;"",VLOOKUP(H5661,TABLEITEM,2,FALSE),"")</f>
        <v/>
      </c>
      <c r="M5661" s="13" t="str">
        <f>IF(D5661&lt;&gt;"",VLOOKUP(H5661,TABLEITEM,3,FALSE),"")</f>
        <v>แก๊สหุงต้ม 48กก</v>
      </c>
      <c r="N5661" s="14">
        <f>INSTOCK!$I5661*INSTOCK!$K5661</f>
        <v>14719.65</v>
      </c>
      <c r="O5661" s="4"/>
      <c r="P5661" s="4"/>
    </row>
    <row r="5662" ht="15.75" customHeight="1">
      <c r="B5662" s="8">
        <v>5986.0</v>
      </c>
      <c r="C5662" s="9">
        <v>43729.0</v>
      </c>
      <c r="D5662" s="6" t="s">
        <v>6728</v>
      </c>
      <c r="E5662" s="4">
        <v>6.209001384E9</v>
      </c>
      <c r="F5662" s="8" t="s">
        <v>604</v>
      </c>
      <c r="G5662" s="4" t="s">
        <v>1777</v>
      </c>
      <c r="H5662" s="10" t="s">
        <v>2100</v>
      </c>
      <c r="I5662" s="10">
        <v>10000.0</v>
      </c>
      <c r="J5662" s="11" t="str">
        <f>IF(D5662&lt;&gt;"",VLOOKUP(H5662,TABLEITEM,5,FALSE),"")</f>
        <v>EA</v>
      </c>
      <c r="K5662" s="12">
        <v>0.7995</v>
      </c>
      <c r="L5662" s="13" t="str">
        <f>IF(D5662&lt;&gt;"",VLOOKUP(H5662,TABLEITEM,2,FALSE),"")</f>
        <v/>
      </c>
      <c r="M5662" s="13" t="str">
        <f>IF(D5662&lt;&gt;"",VLOOKUP(H5662,TABLEITEM,3,FALSE),"")</f>
        <v>สกรูหัวเหลี่ยมชุบขาว M8x20</v>
      </c>
      <c r="N5662" s="14">
        <f>INSTOCK!$I5662*INSTOCK!$K5662</f>
        <v>7995</v>
      </c>
      <c r="O5662" s="25" t="s">
        <v>2101</v>
      </c>
      <c r="P5662" s="4"/>
    </row>
    <row r="5663" ht="15.75" customHeight="1">
      <c r="B5663" s="8">
        <v>5987.0</v>
      </c>
      <c r="C5663" s="9">
        <v>43729.0</v>
      </c>
      <c r="D5663" s="6" t="s">
        <v>6728</v>
      </c>
      <c r="E5663" s="4">
        <v>6.209001384E9</v>
      </c>
      <c r="F5663" s="8" t="s">
        <v>604</v>
      </c>
      <c r="G5663" s="4" t="s">
        <v>1777</v>
      </c>
      <c r="H5663" s="10" t="s">
        <v>2523</v>
      </c>
      <c r="I5663" s="10">
        <v>3000.0</v>
      </c>
      <c r="J5663" s="11" t="str">
        <f>IF(D5663&lt;&gt;"",VLOOKUP(H5663,TABLEITEM,5,FALSE),"")</f>
        <v>EA</v>
      </c>
      <c r="K5663" s="12">
        <v>1.196</v>
      </c>
      <c r="L5663" s="13" t="str">
        <f>IF(D5663&lt;&gt;"",VLOOKUP(H5663,TABLEITEM,2,FALSE),"")</f>
        <v/>
      </c>
      <c r="M5663" s="13" t="str">
        <f>IF(D5663&lt;&gt;"",VLOOKUP(H5663,TABLEITEM,3,FALSE),"")</f>
        <v>สกรูหัวเหลี่ยมชุบขาว M8x35</v>
      </c>
      <c r="N5663" s="14">
        <f>INSTOCK!$I5663*INSTOCK!$K5663</f>
        <v>3588</v>
      </c>
      <c r="O5663" s="4" t="s">
        <v>2524</v>
      </c>
      <c r="P5663" s="4"/>
    </row>
    <row r="5664" ht="15.75" customHeight="1">
      <c r="B5664" s="8">
        <v>5988.0</v>
      </c>
      <c r="C5664" s="9">
        <v>43729.0</v>
      </c>
      <c r="D5664" s="6" t="s">
        <v>6728</v>
      </c>
      <c r="E5664" s="4">
        <v>6.209001384E9</v>
      </c>
      <c r="F5664" s="8" t="s">
        <v>604</v>
      </c>
      <c r="G5664" s="4" t="s">
        <v>1777</v>
      </c>
      <c r="H5664" s="10" t="s">
        <v>4967</v>
      </c>
      <c r="I5664" s="10">
        <v>2000.0</v>
      </c>
      <c r="J5664" s="11" t="str">
        <f>IF(D5664&lt;&gt;"",VLOOKUP(H5664,TABLEITEM,5,FALSE),"")</f>
        <v>EA</v>
      </c>
      <c r="K5664" s="12">
        <v>0.19</v>
      </c>
      <c r="L5664" s="13" t="str">
        <f>IF(D5664&lt;&gt;"",VLOOKUP(H5664,TABLEITEM,2,FALSE),"")</f>
        <v/>
      </c>
      <c r="M5664" s="13" t="str">
        <f>IF(D5664&lt;&gt;"",VLOOKUP(H5664,TABLEITEM,3,FALSE),"")</f>
        <v>แหวนจักร M6</v>
      </c>
      <c r="N5664" s="14">
        <f>INSTOCK!$I5664*INSTOCK!$K5664</f>
        <v>380</v>
      </c>
      <c r="O5664" s="4"/>
      <c r="P5664" s="4"/>
    </row>
    <row r="5665" ht="15.75" customHeight="1">
      <c r="B5665" s="8">
        <v>5989.0</v>
      </c>
      <c r="C5665" s="9">
        <v>43728.0</v>
      </c>
      <c r="D5665" s="6" t="s">
        <v>6729</v>
      </c>
      <c r="E5665" s="4">
        <v>6.209001364E9</v>
      </c>
      <c r="F5665" s="8" t="s">
        <v>5496</v>
      </c>
      <c r="G5665" s="4" t="s">
        <v>2495</v>
      </c>
      <c r="H5665" s="10" t="s">
        <v>1778</v>
      </c>
      <c r="I5665" s="10">
        <v>1000.0</v>
      </c>
      <c r="J5665" s="11" t="str">
        <f>IF(D5665&lt;&gt;"",VLOOKUP(H5665,TABLEITEM,5,FALSE),"")</f>
        <v>EA</v>
      </c>
      <c r="K5665" s="12">
        <v>1.0</v>
      </c>
      <c r="L5665" s="13" t="str">
        <f>IF(D5665&lt;&gt;"",VLOOKUP(H5665,TABLEITEM,2,FALSE),"")</f>
        <v/>
      </c>
      <c r="M5665" s="13" t="str">
        <f>IF(D5665&lt;&gt;"",VLOOKUP(H5665,TABLEITEM,3,FALSE),"")</f>
        <v>สกรูหัวจมชุบขาว M4x35</v>
      </c>
      <c r="N5665" s="14">
        <f>INSTOCK!$I5665*INSTOCK!$K5665</f>
        <v>1000</v>
      </c>
      <c r="O5665" s="4"/>
      <c r="P5665" s="4"/>
    </row>
    <row r="5666" ht="15.75" customHeight="1">
      <c r="B5666" s="8">
        <v>5990.0</v>
      </c>
      <c r="C5666" s="9">
        <v>43728.0</v>
      </c>
      <c r="D5666" s="6" t="s">
        <v>6729</v>
      </c>
      <c r="E5666" s="4">
        <v>6.209001364E9</v>
      </c>
      <c r="F5666" s="8" t="s">
        <v>5496</v>
      </c>
      <c r="G5666" s="4" t="s">
        <v>2495</v>
      </c>
      <c r="H5666" s="10" t="s">
        <v>6730</v>
      </c>
      <c r="I5666" s="10">
        <v>3000.0</v>
      </c>
      <c r="J5666" s="11" t="str">
        <f>IF(D5666&lt;&gt;"",VLOOKUP(H5666,TABLEITEM,5,FALSE),"")</f>
        <v>EA</v>
      </c>
      <c r="K5666" s="12">
        <v>1.75</v>
      </c>
      <c r="L5666" s="13" t="str">
        <f>IF(D5666&lt;&gt;"",VLOOKUP(H5666,TABLEITEM,2,FALSE),"")</f>
        <v/>
      </c>
      <c r="M5666" s="13" t="str">
        <f>IF(D5666&lt;&gt;"",VLOOKUP(H5666,TABLEITEM,3,FALSE),"")</f>
        <v>สกรูหัวกลมชุบขาว M6x35</v>
      </c>
      <c r="N5666" s="14">
        <f>INSTOCK!$I5666*INSTOCK!$K5666</f>
        <v>5250</v>
      </c>
      <c r="O5666" s="4"/>
      <c r="P5666" s="4"/>
    </row>
    <row r="5667" ht="15.75" customHeight="1">
      <c r="B5667" s="8">
        <v>5991.0</v>
      </c>
      <c r="C5667" s="9">
        <v>43721.0</v>
      </c>
      <c r="D5667" s="6" t="s">
        <v>6731</v>
      </c>
      <c r="E5667" s="4"/>
      <c r="F5667" s="8" t="s">
        <v>6732</v>
      </c>
      <c r="G5667" s="4" t="s">
        <v>6733</v>
      </c>
      <c r="H5667" s="10" t="s">
        <v>6734</v>
      </c>
      <c r="I5667" s="10">
        <v>1.0</v>
      </c>
      <c r="J5667" s="11" t="str">
        <f>IF(D5667&lt;&gt;"",VLOOKUP(H5667,TABLEITEM,5,FALSE),"")</f>
        <v>EA</v>
      </c>
      <c r="K5667" s="12">
        <v>906.0</v>
      </c>
      <c r="L5667" s="13" t="str">
        <f>IF(D5667&lt;&gt;"",VLOOKUP(H5667,TABLEITEM,2,FALSE),"")</f>
        <v/>
      </c>
      <c r="M5667" s="13" t="str">
        <f>IF(D5667&lt;&gt;"",VLOOKUP(H5667,TABLEITEM,3,FALSE),"")</f>
        <v>อุปกรณ์ลม</v>
      </c>
      <c r="N5667" s="14">
        <f>INSTOCK!$I5667*INSTOCK!$K5667</f>
        <v>906</v>
      </c>
      <c r="O5667" s="4"/>
      <c r="P5667" s="4"/>
    </row>
    <row r="5668" ht="15.75" customHeight="1">
      <c r="B5668" s="8">
        <v>5992.0</v>
      </c>
      <c r="C5668" s="9">
        <v>43729.0</v>
      </c>
      <c r="D5668" s="6" t="s">
        <v>6735</v>
      </c>
      <c r="E5668" s="4" t="s">
        <v>6736</v>
      </c>
      <c r="F5668" s="8" t="s">
        <v>604</v>
      </c>
      <c r="G5668" s="4" t="s">
        <v>6115</v>
      </c>
      <c r="H5668" s="10" t="s">
        <v>2383</v>
      </c>
      <c r="I5668" s="10">
        <v>500.0</v>
      </c>
      <c r="J5668" s="11" t="str">
        <f>IF(D5668&lt;&gt;"",VLOOKUP(H5668,TABLEITEM,5,FALSE),"")</f>
        <v>EA</v>
      </c>
      <c r="K5668" s="12">
        <v>10.5</v>
      </c>
      <c r="L5668" s="13" t="str">
        <f>IF(D5668&lt;&gt;"",VLOOKUP(H5668,TABLEITEM,2,FALSE),"")</f>
        <v/>
      </c>
      <c r="M5668" s="13" t="str">
        <f>IF(D5668&lt;&gt;"",VLOOKUP(H5668,TABLEITEM,3,FALSE),"")</f>
        <v>บูชยึด E1 32x20 ชุบขาว</v>
      </c>
      <c r="N5668" s="14">
        <f>INSTOCK!$I5668*INSTOCK!$K5668</f>
        <v>5250</v>
      </c>
      <c r="O5668" s="4"/>
      <c r="P5668" s="4"/>
    </row>
    <row r="5669" ht="15.75" customHeight="1">
      <c r="B5669" s="8">
        <v>5993.0</v>
      </c>
      <c r="C5669" s="9">
        <v>43729.0</v>
      </c>
      <c r="D5669" s="6" t="s">
        <v>6735</v>
      </c>
      <c r="E5669" s="4" t="s">
        <v>6736</v>
      </c>
      <c r="F5669" s="8" t="s">
        <v>604</v>
      </c>
      <c r="G5669" s="4" t="s">
        <v>6115</v>
      </c>
      <c r="H5669" s="10" t="s">
        <v>6737</v>
      </c>
      <c r="I5669" s="10">
        <v>500.0</v>
      </c>
      <c r="J5669" s="11" t="str">
        <f>IF(D5669&lt;&gt;"",VLOOKUP(H5669,TABLEITEM,5,FALSE),"")</f>
        <v>EA</v>
      </c>
      <c r="K5669" s="12">
        <v>38.0</v>
      </c>
      <c r="L5669" s="13" t="str">
        <f>IF(D5669&lt;&gt;"",VLOOKUP(H5669,TABLEITEM,2,FALSE),"")</f>
        <v/>
      </c>
      <c r="M5669" s="13" t="str">
        <f>IF(D5669&lt;&gt;"",VLOOKUP(H5669,TABLEITEM,3,FALSE),"")</f>
        <v>บูชสำเร็จสแตนเลส 12.7x50</v>
      </c>
      <c r="N5669" s="14">
        <f>INSTOCK!$I5669*INSTOCK!$K5669</f>
        <v>19000</v>
      </c>
      <c r="O5669" s="4"/>
      <c r="P5669" s="4"/>
    </row>
    <row r="5670" ht="15.75" customHeight="1">
      <c r="B5670" s="8">
        <v>5994.0</v>
      </c>
      <c r="C5670" s="9">
        <v>43727.0</v>
      </c>
      <c r="D5670" s="6">
        <v>6.2090609E8</v>
      </c>
      <c r="E5670" s="4" t="s">
        <v>6738</v>
      </c>
      <c r="F5670" s="8" t="s">
        <v>6739</v>
      </c>
      <c r="G5670" s="4" t="s">
        <v>1130</v>
      </c>
      <c r="H5670" s="10" t="s">
        <v>6740</v>
      </c>
      <c r="I5670" s="10">
        <v>6.0</v>
      </c>
      <c r="J5670" s="11" t="str">
        <f>IF(D5670&lt;&gt;"",VLOOKUP(H5670,TABLEITEM,5,FALSE),"")</f>
        <v>EA</v>
      </c>
      <c r="K5670" s="12">
        <v>15.0</v>
      </c>
      <c r="L5670" s="13" t="str">
        <f>IF(D5670&lt;&gt;"",VLOOKUP(H5670,TABLEITEM,2,FALSE),"")</f>
        <v/>
      </c>
      <c r="M5670" s="13" t="str">
        <f>IF(D5670&lt;&gt;"",VLOOKUP(H5670,TABLEITEM,3,FALSE),"")</f>
        <v>เคเบิ้ลแกลนดำ PG21</v>
      </c>
      <c r="N5670" s="14">
        <f>INSTOCK!$I5670*INSTOCK!$K5670</f>
        <v>90</v>
      </c>
      <c r="O5670" s="4" t="s">
        <v>6741</v>
      </c>
      <c r="P5670" s="4"/>
    </row>
    <row r="5671" ht="15.75" customHeight="1">
      <c r="B5671" s="8">
        <v>5995.0</v>
      </c>
      <c r="C5671" s="9">
        <v>43727.0</v>
      </c>
      <c r="D5671" s="6">
        <v>6.2090609E8</v>
      </c>
      <c r="E5671" s="4" t="s">
        <v>6738</v>
      </c>
      <c r="F5671" s="8" t="s">
        <v>6739</v>
      </c>
      <c r="G5671" s="4" t="s">
        <v>1130</v>
      </c>
      <c r="H5671" s="10" t="s">
        <v>6742</v>
      </c>
      <c r="I5671" s="10">
        <v>6.0</v>
      </c>
      <c r="J5671" s="11" t="str">
        <f>IF(D5671&lt;&gt;"",VLOOKUP(H5671,TABLEITEM,5,FALSE),"")</f>
        <v>EA</v>
      </c>
      <c r="K5671" s="12">
        <v>50.0</v>
      </c>
      <c r="L5671" s="13" t="str">
        <f>IF(D5671&lt;&gt;"",VLOOKUP(H5671,TABLEITEM,2,FALSE),"")</f>
        <v/>
      </c>
      <c r="M5671" s="13" t="str">
        <f>IF(D5671&lt;&gt;"",VLOOKUP(H5671,TABLEITEM,3,FALSE),"")</f>
        <v>เคเบิ้ลแกลนดำ PG36</v>
      </c>
      <c r="N5671" s="14">
        <f>INSTOCK!$I5671*INSTOCK!$K5671</f>
        <v>300</v>
      </c>
      <c r="O5671" s="4" t="s">
        <v>6743</v>
      </c>
      <c r="P5671" s="4"/>
    </row>
    <row r="5672" ht="15.75" customHeight="1">
      <c r="B5672" s="8">
        <v>5996.0</v>
      </c>
      <c r="C5672" s="9">
        <v>43727.0</v>
      </c>
      <c r="D5672" s="6">
        <v>87299.0</v>
      </c>
      <c r="E5672" s="4">
        <v>6.209001375E9</v>
      </c>
      <c r="F5672" s="8" t="s">
        <v>604</v>
      </c>
      <c r="G5672" s="4" t="s">
        <v>2589</v>
      </c>
      <c r="H5672" s="10" t="s">
        <v>3319</v>
      </c>
      <c r="I5672" s="10">
        <v>3.0</v>
      </c>
      <c r="J5672" s="11" t="str">
        <f>IF(D5672&lt;&gt;"",VLOOKUP(H5672,TABLEITEM,5,FALSE),"")</f>
        <v>EA</v>
      </c>
      <c r="K5672" s="12">
        <v>480.0</v>
      </c>
      <c r="L5672" s="13" t="str">
        <f>IF(D5672&lt;&gt;"",VLOOKUP(H5672,TABLEITEM,2,FALSE),"")</f>
        <v/>
      </c>
      <c r="M5672" s="13" t="str">
        <f>IF(D5672&lt;&gt;"",VLOOKUP(H5672,TABLEITEM,3,FALSE),"")</f>
        <v>Stud hoider M8(01156)</v>
      </c>
      <c r="N5672" s="14">
        <f>INSTOCK!$I5672*INSTOCK!$K5672</f>
        <v>1440</v>
      </c>
      <c r="O5672" s="4"/>
      <c r="P5672" s="4"/>
    </row>
    <row r="5673" ht="15.75" customHeight="1">
      <c r="B5673" s="8">
        <v>5997.0</v>
      </c>
      <c r="C5673" s="9">
        <v>43732.0</v>
      </c>
      <c r="D5673" s="6" t="s">
        <v>6744</v>
      </c>
      <c r="E5673" s="4">
        <v>6.20900141E9</v>
      </c>
      <c r="F5673" s="8" t="s">
        <v>604</v>
      </c>
      <c r="G5673" s="4" t="s">
        <v>1946</v>
      </c>
      <c r="H5673" s="10" t="s">
        <v>1947</v>
      </c>
      <c r="I5673" s="10">
        <v>2.0</v>
      </c>
      <c r="J5673" s="11" t="str">
        <f>IF(D5673&lt;&gt;"",VLOOKUP(H5673,TABLEITEM,5,FALSE),"")</f>
        <v>KG.</v>
      </c>
      <c r="K5673" s="12">
        <v>666.0</v>
      </c>
      <c r="L5673" s="13" t="str">
        <f>IF(D5673&lt;&gt;"",VLOOKUP(H5673,TABLEITEM,2,FALSE),"")</f>
        <v/>
      </c>
      <c r="M5673" s="13" t="str">
        <f>IF(D5673&lt;&gt;"",VLOOKUP(H5673,TABLEITEM,3,FALSE),"")</f>
        <v>กระดาษลูกฟูก 48"เกรด A</v>
      </c>
      <c r="N5673" s="14">
        <f>INSTOCK!$I5673*INSTOCK!$K5673</f>
        <v>1332</v>
      </c>
      <c r="O5673" s="4" t="s">
        <v>1949</v>
      </c>
      <c r="P5673" s="4"/>
    </row>
    <row r="5674" ht="15.75" customHeight="1">
      <c r="B5674" s="8">
        <v>5998.0</v>
      </c>
      <c r="C5674" s="9">
        <v>43732.0</v>
      </c>
      <c r="D5674" s="6" t="s">
        <v>6745</v>
      </c>
      <c r="E5674" s="4">
        <v>6.209001403E9</v>
      </c>
      <c r="F5674" s="8" t="s">
        <v>604</v>
      </c>
      <c r="G5674" s="4" t="s">
        <v>1777</v>
      </c>
      <c r="H5674" s="10" t="s">
        <v>3839</v>
      </c>
      <c r="I5674" s="10">
        <v>1000.0</v>
      </c>
      <c r="J5674" s="11" t="str">
        <f>IF(D5674&lt;&gt;"",VLOOKUP(H5674,TABLEITEM,5,FALSE),"")</f>
        <v>EA</v>
      </c>
      <c r="K5674" s="12">
        <v>0.1</v>
      </c>
      <c r="L5674" s="13" t="str">
        <f>IF(D5674&lt;&gt;"",VLOOKUP(H5674,TABLEITEM,2,FALSE),"")</f>
        <v/>
      </c>
      <c r="M5674" s="13" t="str">
        <f>IF(D5674&lt;&gt;"",VLOOKUP(H5674,TABLEITEM,3,FALSE),"")</f>
        <v>สกรูหัวกลมชุบขาว M4x10</v>
      </c>
      <c r="N5674" s="14">
        <f>INSTOCK!$I5674*INSTOCK!$K5674</f>
        <v>100</v>
      </c>
      <c r="O5674" s="4"/>
      <c r="P5674" s="4"/>
    </row>
    <row r="5675" ht="15.75" customHeight="1">
      <c r="B5675" s="8">
        <v>5999.0</v>
      </c>
      <c r="C5675" s="9">
        <v>43732.0</v>
      </c>
      <c r="D5675" s="6" t="s">
        <v>6745</v>
      </c>
      <c r="E5675" s="4">
        <v>6.209001403E9</v>
      </c>
      <c r="F5675" s="8" t="s">
        <v>604</v>
      </c>
      <c r="G5675" s="4" t="s">
        <v>1777</v>
      </c>
      <c r="H5675" s="10" t="s">
        <v>2104</v>
      </c>
      <c r="I5675" s="10">
        <v>5000.0</v>
      </c>
      <c r="J5675" s="11" t="str">
        <f>IF(D5675&lt;&gt;"",VLOOKUP(H5675,TABLEITEM,5,FALSE),"")</f>
        <v>EA</v>
      </c>
      <c r="K5675" s="12">
        <v>0.27</v>
      </c>
      <c r="L5675" s="13" t="str">
        <f>IF(D5675&lt;&gt;"",VLOOKUP(H5675,TABLEITEM,2,FALSE),"")</f>
        <v/>
      </c>
      <c r="M5675" s="13" t="str">
        <f>IF(D5675&lt;&gt;"",VLOOKUP(H5675,TABLEITEM,3,FALSE),"")</f>
        <v>ติดจาน M6</v>
      </c>
      <c r="N5675" s="14">
        <f>INSTOCK!$I5675*INSTOCK!$K5675</f>
        <v>1350</v>
      </c>
      <c r="O5675" s="4" t="s">
        <v>2105</v>
      </c>
      <c r="P5675" s="4"/>
    </row>
    <row r="5676" ht="15.75" customHeight="1">
      <c r="B5676" s="8">
        <v>6000.0</v>
      </c>
      <c r="C5676" s="9">
        <v>43732.0</v>
      </c>
      <c r="D5676" s="6" t="s">
        <v>6745</v>
      </c>
      <c r="E5676" s="4">
        <v>6.209001403E9</v>
      </c>
      <c r="F5676" s="8" t="s">
        <v>604</v>
      </c>
      <c r="G5676" s="4" t="s">
        <v>1777</v>
      </c>
      <c r="H5676" s="10" t="s">
        <v>2092</v>
      </c>
      <c r="I5676" s="10">
        <v>400.0</v>
      </c>
      <c r="J5676" s="11" t="str">
        <f>IF(D5676&lt;&gt;"",VLOOKUP(H5676,TABLEITEM,5,FALSE),"")</f>
        <v>EA</v>
      </c>
      <c r="K5676" s="12">
        <v>1.846</v>
      </c>
      <c r="L5676" s="13" t="str">
        <f>IF(D5676&lt;&gt;"",VLOOKUP(H5676,TABLEITEM,2,FALSE),"")</f>
        <v/>
      </c>
      <c r="M5676" s="13" t="str">
        <f>IF(D5676&lt;&gt;"",VLOOKUP(H5676,TABLEITEM,3,FALSE),"")</f>
        <v>สกรูหัวเหลี่ยมชุบขาว M10x35</v>
      </c>
      <c r="N5676" s="14">
        <f>INSTOCK!$I5676*INSTOCK!$K5676</f>
        <v>738.4</v>
      </c>
      <c r="O5676" s="4" t="s">
        <v>2093</v>
      </c>
      <c r="P5676" s="4"/>
    </row>
    <row r="5677" ht="15.75" customHeight="1">
      <c r="B5677" s="8">
        <v>6001.0</v>
      </c>
      <c r="C5677" s="9">
        <v>43732.0</v>
      </c>
      <c r="D5677" s="6">
        <v>91533.0</v>
      </c>
      <c r="E5677" s="4">
        <v>6.209001398E9</v>
      </c>
      <c r="F5677" s="8" t="s">
        <v>604</v>
      </c>
      <c r="G5677" s="4" t="s">
        <v>1546</v>
      </c>
      <c r="H5677" s="10" t="s">
        <v>1547</v>
      </c>
      <c r="I5677" s="10">
        <v>10.0</v>
      </c>
      <c r="J5677" s="11" t="str">
        <f>IF(D5677&lt;&gt;"",VLOOKUP(H5677,TABLEITEM,5,FALSE),"")</f>
        <v>EA</v>
      </c>
      <c r="K5677" s="12">
        <v>490.0</v>
      </c>
      <c r="L5677" s="13" t="str">
        <f>IF(D5677&lt;&gt;"",VLOOKUP(H5677,TABLEITEM,2,FALSE),"")</f>
        <v/>
      </c>
      <c r="M5677" s="13" t="str">
        <f>IF(D5677&lt;&gt;"",VLOOKUP(H5677,TABLEITEM,3,FALSE),"")</f>
        <v>ล้อขัดใยสังเคราะห์ 100x100x35mmAC/R8</v>
      </c>
      <c r="N5677" s="14">
        <f>INSTOCK!$I5677*INSTOCK!$K5677</f>
        <v>4900</v>
      </c>
      <c r="O5677" s="4"/>
      <c r="P5677" s="4"/>
    </row>
    <row r="5678" ht="15.75" customHeight="1">
      <c r="B5678" s="8">
        <v>6002.0</v>
      </c>
      <c r="C5678" s="9">
        <v>43728.0</v>
      </c>
      <c r="D5678" s="6" t="s">
        <v>6746</v>
      </c>
      <c r="E5678" s="4"/>
      <c r="F5678" s="8" t="s">
        <v>6747</v>
      </c>
      <c r="G5678" s="4" t="s">
        <v>3029</v>
      </c>
      <c r="H5678" s="10" t="s">
        <v>3030</v>
      </c>
      <c r="I5678" s="10">
        <v>1.0</v>
      </c>
      <c r="J5678" s="11" t="str">
        <f>IF(D5678&lt;&gt;"",VLOOKUP(H5678,TABLEITEM,5,FALSE),"")</f>
        <v>LOT</v>
      </c>
      <c r="K5678" s="12">
        <v>5526.95</v>
      </c>
      <c r="L5678" s="13" t="str">
        <f>IF(D5678&lt;&gt;"",VLOOKUP(H5678,TABLEITEM,2,FALSE),"")</f>
        <v/>
      </c>
      <c r="M5678" s="13" t="str">
        <f>IF(D5678&lt;&gt;"",VLOOKUP(H5678,TABLEITEM,3,FALSE),"")</f>
        <v>ค่าชุบ ดีบุกเงา</v>
      </c>
      <c r="N5678" s="14">
        <f>INSTOCK!$I5678*INSTOCK!$K5678</f>
        <v>5526.95</v>
      </c>
      <c r="O5678" s="4" t="s">
        <v>6678</v>
      </c>
      <c r="P5678" s="4"/>
    </row>
    <row r="5679" ht="15.75" customHeight="1">
      <c r="B5679" s="8">
        <v>6003.0</v>
      </c>
      <c r="C5679" s="9">
        <v>43732.0</v>
      </c>
      <c r="D5679" s="6" t="s">
        <v>6748</v>
      </c>
      <c r="E5679" s="4">
        <v>6.2090014E9</v>
      </c>
      <c r="F5679" s="8" t="s">
        <v>6749</v>
      </c>
      <c r="G5679" s="4" t="s">
        <v>957</v>
      </c>
      <c r="H5679" s="10" t="s">
        <v>6750</v>
      </c>
      <c r="I5679" s="10">
        <v>1.0</v>
      </c>
      <c r="J5679" s="11" t="str">
        <f>IF(D5679&lt;&gt;"",VLOOKUP(H5679,TABLEITEM,5,FALSE),"")</f>
        <v>EA</v>
      </c>
      <c r="K5679" s="12">
        <v>490.0</v>
      </c>
      <c r="L5679" s="13" t="str">
        <f>IF(D5679&lt;&gt;"",VLOOKUP(H5679,TABLEITEM,2,FALSE),"")</f>
        <v/>
      </c>
      <c r="M5679" s="13" t="str">
        <f>IF(D5679&lt;&gt;"",VLOOKUP(H5679,TABLEITEM,3,FALSE),"")</f>
        <v>กุญแจกดเด้งสีดำ ล็อก 3ชั้น MS4008Z-1-1</v>
      </c>
      <c r="N5679" s="14">
        <f>INSTOCK!$I5679*INSTOCK!$K5679</f>
        <v>490</v>
      </c>
      <c r="O5679" s="4"/>
      <c r="P5679" s="4"/>
    </row>
    <row r="5680" ht="15.75" customHeight="1">
      <c r="B5680" s="8">
        <v>6004.0</v>
      </c>
      <c r="C5680" s="9">
        <v>43727.0</v>
      </c>
      <c r="D5680" s="6" t="s">
        <v>6751</v>
      </c>
      <c r="E5680" s="4">
        <v>6.209001309E9</v>
      </c>
      <c r="F5680" s="8" t="s">
        <v>6752</v>
      </c>
      <c r="G5680" s="4" t="s">
        <v>2701</v>
      </c>
      <c r="H5680" s="18" t="s">
        <v>6753</v>
      </c>
      <c r="I5680" s="10">
        <v>43.0</v>
      </c>
      <c r="J5680" s="11" t="str">
        <f>IF(D5680&lt;&gt;"",VLOOKUP(H5680,TABLEITEM,5,FALSE),"")</f>
        <v>M</v>
      </c>
      <c r="K5680" s="12">
        <v>400.0</v>
      </c>
      <c r="L5680" s="13" t="str">
        <f>IF(D5680&lt;&gt;"",VLOOKUP(H5680,TABLEITEM,2,FALSE),"")</f>
        <v/>
      </c>
      <c r="M5680" s="13" t="str">
        <f>IF(D5680&lt;&gt;"",VLOOKUP(H5680,TABLEITEM,3,FALSE),"")</f>
        <v>WIRE ROPE 8MM.LHL T/6</v>
      </c>
      <c r="N5680" s="14">
        <f>INSTOCK!$I5680*INSTOCK!$K5680</f>
        <v>17200</v>
      </c>
      <c r="O5680" s="4"/>
      <c r="P5680" s="4"/>
    </row>
    <row r="5681" ht="15.75" customHeight="1">
      <c r="B5681" s="8">
        <v>6005.0</v>
      </c>
      <c r="C5681" s="9">
        <v>43732.0</v>
      </c>
      <c r="D5681" s="6">
        <v>40410.0</v>
      </c>
      <c r="E5681" s="4">
        <v>6.209001402E9</v>
      </c>
      <c r="F5681" s="8" t="s">
        <v>604</v>
      </c>
      <c r="G5681" s="4" t="s">
        <v>696</v>
      </c>
      <c r="H5681" s="10" t="s">
        <v>110</v>
      </c>
      <c r="I5681" s="10">
        <v>24.0</v>
      </c>
      <c r="J5681" s="11" t="str">
        <f>IF(D5681&lt;&gt;"",VLOOKUP(H5681,TABLEITEM,5,FALSE),"")</f>
        <v>กป.</v>
      </c>
      <c r="K5681" s="12">
        <v>41.6667</v>
      </c>
      <c r="L5681" s="13" t="str">
        <f>IF(D5681&lt;&gt;"",VLOOKUP(H5681,TABLEITEM,2,FALSE),"")</f>
        <v/>
      </c>
      <c r="M5681" s="13" t="str">
        <f>IF(D5681&lt;&gt;"",VLOOKUP(H5681,TABLEITEM,3,FALSE),"")</f>
        <v>สีสเปรย์ สีน้ำตาล</v>
      </c>
      <c r="N5681" s="14">
        <f>INSTOCK!$I5681*INSTOCK!$K5681</f>
        <v>1000.0008</v>
      </c>
      <c r="O5681" s="4"/>
      <c r="P5681" s="4"/>
    </row>
    <row r="5682" ht="15.75" customHeight="1">
      <c r="B5682" s="8">
        <v>6006.0</v>
      </c>
      <c r="C5682" s="9">
        <v>43732.0</v>
      </c>
      <c r="D5682" s="6">
        <v>40410.0</v>
      </c>
      <c r="E5682" s="4">
        <v>6.209001402E9</v>
      </c>
      <c r="F5682" s="8" t="s">
        <v>604</v>
      </c>
      <c r="G5682" s="4" t="s">
        <v>696</v>
      </c>
      <c r="H5682" s="10" t="s">
        <v>111</v>
      </c>
      <c r="I5682" s="10">
        <v>24.0</v>
      </c>
      <c r="J5682" s="11" t="str">
        <f>IF(D5682&lt;&gt;"",VLOOKUP(H5682,TABLEITEM,5,FALSE),"")</f>
        <v>กป.</v>
      </c>
      <c r="K5682" s="12">
        <v>41.6667</v>
      </c>
      <c r="L5682" s="13" t="str">
        <f>IF(D5682&lt;&gt;"",VLOOKUP(H5682,TABLEITEM,2,FALSE),"")</f>
        <v/>
      </c>
      <c r="M5682" s="13" t="str">
        <f>IF(D5682&lt;&gt;"",VLOOKUP(H5682,TABLEITEM,3,FALSE),"")</f>
        <v>สีสเปรย์ สีเทา</v>
      </c>
      <c r="N5682" s="14">
        <f>INSTOCK!$I5682*INSTOCK!$K5682</f>
        <v>1000.0008</v>
      </c>
      <c r="O5682" s="4"/>
      <c r="P5682" s="4"/>
    </row>
    <row r="5683" ht="15.75" customHeight="1">
      <c r="B5683" s="8">
        <v>6007.0</v>
      </c>
      <c r="C5683" s="9">
        <v>43732.0</v>
      </c>
      <c r="D5683" s="6">
        <v>40410.0</v>
      </c>
      <c r="E5683" s="4">
        <v>6.209001402E9</v>
      </c>
      <c r="F5683" s="8" t="s">
        <v>604</v>
      </c>
      <c r="G5683" s="4" t="s">
        <v>696</v>
      </c>
      <c r="H5683" s="10" t="s">
        <v>66</v>
      </c>
      <c r="I5683" s="10">
        <v>24.0</v>
      </c>
      <c r="J5683" s="11" t="str">
        <f>IF(D5683&lt;&gt;"",VLOOKUP(H5683,TABLEITEM,5,FALSE),"")</f>
        <v>กป.</v>
      </c>
      <c r="K5683" s="12">
        <v>41.6667</v>
      </c>
      <c r="L5683" s="13" t="str">
        <f>IF(D5683&lt;&gt;"",VLOOKUP(H5683,TABLEITEM,2,FALSE),"")</f>
        <v/>
      </c>
      <c r="M5683" s="13" t="str">
        <f>IF(D5683&lt;&gt;"",VLOOKUP(H5683,TABLEITEM,3,FALSE),"")</f>
        <v>สีสเปรย์ สีดำ</v>
      </c>
      <c r="N5683" s="14">
        <f>INSTOCK!$I5683*INSTOCK!$K5683</f>
        <v>1000.0008</v>
      </c>
      <c r="O5683" s="4"/>
      <c r="P5683" s="4"/>
    </row>
    <row r="5684" ht="15.75" customHeight="1">
      <c r="B5684" s="8">
        <v>6008.0</v>
      </c>
      <c r="C5684" s="9">
        <v>43732.0</v>
      </c>
      <c r="D5684" s="6">
        <v>40410.0</v>
      </c>
      <c r="E5684" s="4">
        <v>6.209001402E9</v>
      </c>
      <c r="F5684" s="8" t="s">
        <v>604</v>
      </c>
      <c r="G5684" s="4" t="s">
        <v>696</v>
      </c>
      <c r="H5684" s="10" t="s">
        <v>42</v>
      </c>
      <c r="I5684" s="10">
        <v>2.0</v>
      </c>
      <c r="J5684" s="11" t="str">
        <f>IF(D5684&lt;&gt;"",VLOOKUP(H5684,TABLEITEM,5,FALSE),"")</f>
        <v>กล.</v>
      </c>
      <c r="K5684" s="12">
        <v>240.0</v>
      </c>
      <c r="L5684" s="13" t="str">
        <f>IF(D5684&lt;&gt;"",VLOOKUP(H5684,TABLEITEM,2,FALSE),"")</f>
        <v/>
      </c>
      <c r="M5684" s="13" t="str">
        <f>IF(D5684&lt;&gt;"",VLOOKUP(H5684,TABLEITEM,3,FALSE),"")</f>
        <v>แอลกอฮอลดีพิเศษ</v>
      </c>
      <c r="N5684" s="14">
        <f>INSTOCK!$I5684*INSTOCK!$K5684</f>
        <v>480</v>
      </c>
      <c r="O5684" s="4"/>
      <c r="P5684" s="4"/>
    </row>
    <row r="5685" ht="15.75" customHeight="1">
      <c r="B5685" s="8">
        <v>6009.0</v>
      </c>
      <c r="C5685" s="9">
        <v>43732.0</v>
      </c>
      <c r="D5685" s="6" t="s">
        <v>6754</v>
      </c>
      <c r="E5685" s="4">
        <v>6.209001365E9</v>
      </c>
      <c r="F5685" s="8" t="s">
        <v>604</v>
      </c>
      <c r="G5685" s="4" t="s">
        <v>965</v>
      </c>
      <c r="H5685" s="10" t="s">
        <v>966</v>
      </c>
      <c r="I5685" s="10">
        <v>25.0</v>
      </c>
      <c r="J5685" s="11" t="str">
        <f>IF(D5685&lt;&gt;"",VLOOKUP(H5685,TABLEITEM,5,FALSE),"")</f>
        <v>EA</v>
      </c>
      <c r="K5685" s="12">
        <v>28.0</v>
      </c>
      <c r="L5685" s="13" t="str">
        <f>IF(D5685&lt;&gt;"",VLOOKUP(H5685,TABLEITEM,2,FALSE),"")</f>
        <v/>
      </c>
      <c r="M5685" s="13" t="str">
        <f>IF(D5685&lt;&gt;"",VLOOKUP(H5685,TABLEITEM,3,FALSE),"")</f>
        <v>ลูกปืน 6000ZZ</v>
      </c>
      <c r="N5685" s="14">
        <f>INSTOCK!$I5685*INSTOCK!$K5685</f>
        <v>700</v>
      </c>
      <c r="O5685" s="4"/>
      <c r="P5685" s="4"/>
    </row>
    <row r="5686" ht="15.75" customHeight="1">
      <c r="B5686" s="8">
        <v>6010.0</v>
      </c>
      <c r="C5686" s="9">
        <v>43732.0</v>
      </c>
      <c r="D5686" s="6" t="s">
        <v>6754</v>
      </c>
      <c r="E5686" s="4">
        <v>6.209001405E9</v>
      </c>
      <c r="F5686" s="8" t="s">
        <v>604</v>
      </c>
      <c r="G5686" s="4" t="s">
        <v>965</v>
      </c>
      <c r="H5686" s="10" t="s">
        <v>39</v>
      </c>
      <c r="I5686" s="10">
        <v>20.0</v>
      </c>
      <c r="J5686" s="11" t="str">
        <f>IF(D5686&lt;&gt;"",VLOOKUP(H5686,TABLEITEM,5,FALSE),"")</f>
        <v>EA</v>
      </c>
      <c r="K5686" s="12">
        <v>8.0</v>
      </c>
      <c r="L5686" s="13" t="str">
        <f>IF(D5686&lt;&gt;"",VLOOKUP(H5686,TABLEITEM,2,FALSE),"")</f>
        <v/>
      </c>
      <c r="M5686" s="13" t="str">
        <f>IF(D5686&lt;&gt;"",VLOOKUP(H5686,TABLEITEM,3,FALSE),"")</f>
        <v>กระจกดำ#10</v>
      </c>
      <c r="N5686" s="14">
        <f>INSTOCK!$I5686*INSTOCK!$K5686</f>
        <v>160</v>
      </c>
      <c r="O5686" s="4"/>
      <c r="P5686" s="4"/>
    </row>
    <row r="5687" ht="15.75" customHeight="1">
      <c r="B5687" s="8">
        <v>6011.0</v>
      </c>
      <c r="C5687" s="9">
        <v>43732.0</v>
      </c>
      <c r="D5687" s="6" t="s">
        <v>6754</v>
      </c>
      <c r="E5687" s="4">
        <v>6.209001405E9</v>
      </c>
      <c r="F5687" s="8" t="s">
        <v>604</v>
      </c>
      <c r="G5687" s="4" t="s">
        <v>965</v>
      </c>
      <c r="H5687" s="10" t="s">
        <v>38</v>
      </c>
      <c r="I5687" s="10">
        <v>100.0</v>
      </c>
      <c r="J5687" s="11" t="str">
        <f>IF(D5687&lt;&gt;"",VLOOKUP(H5687,TABLEITEM,5,FALSE),"")</f>
        <v>EA</v>
      </c>
      <c r="K5687" s="12">
        <v>2.0</v>
      </c>
      <c r="L5687" s="13" t="str">
        <f>IF(D5687&lt;&gt;"",VLOOKUP(H5687,TABLEITEM,2,FALSE),"")</f>
        <v/>
      </c>
      <c r="M5687" s="13" t="str">
        <f>IF(D5687&lt;&gt;"",VLOOKUP(H5687,TABLEITEM,3,FALSE),"")</f>
        <v>กระจกใส</v>
      </c>
      <c r="N5687" s="14">
        <f>INSTOCK!$I5687*INSTOCK!$K5687</f>
        <v>200</v>
      </c>
      <c r="O5687" s="4"/>
      <c r="P5687" s="4"/>
    </row>
    <row r="5688" ht="15.75" customHeight="1">
      <c r="B5688" s="8">
        <v>6012.0</v>
      </c>
      <c r="C5688" s="9">
        <v>43732.0</v>
      </c>
      <c r="D5688" s="6" t="s">
        <v>6754</v>
      </c>
      <c r="E5688" s="4">
        <v>6.209001405E9</v>
      </c>
      <c r="F5688" s="8" t="s">
        <v>604</v>
      </c>
      <c r="G5688" s="4" t="s">
        <v>965</v>
      </c>
      <c r="H5688" s="18" t="s">
        <v>6682</v>
      </c>
      <c r="I5688" s="10">
        <v>5.0</v>
      </c>
      <c r="J5688" s="11" t="str">
        <f>IF(D5688&lt;&gt;"",VLOOKUP(H5688,TABLEITEM,5,FALSE),"")</f>
        <v>EA</v>
      </c>
      <c r="K5688" s="12">
        <v>15.0</v>
      </c>
      <c r="L5688" s="13" t="str">
        <f>IF(D5688&lt;&gt;"",VLOOKUP(H5688,TABLEITEM,2,FALSE),"")</f>
        <v/>
      </c>
      <c r="M5688" s="13" t="str">
        <f>IF(D5688&lt;&gt;"",VLOOKUP(H5688,TABLEITEM,3,FALSE),"")</f>
        <v>ที่อุดหู</v>
      </c>
      <c r="N5688" s="14">
        <f>INSTOCK!$I5688*INSTOCK!$K5688</f>
        <v>75</v>
      </c>
      <c r="O5688" s="4"/>
      <c r="P5688" s="4"/>
    </row>
    <row r="5689" ht="15.75" customHeight="1">
      <c r="B5689" s="8">
        <v>6013.0</v>
      </c>
      <c r="C5689" s="9">
        <v>43728.0</v>
      </c>
      <c r="D5689" s="6" t="s">
        <v>6755</v>
      </c>
      <c r="E5689" s="4">
        <v>6.209001395E9</v>
      </c>
      <c r="F5689" s="8" t="s">
        <v>604</v>
      </c>
      <c r="G5689" s="4" t="s">
        <v>1070</v>
      </c>
      <c r="H5689" s="10" t="s">
        <v>5006</v>
      </c>
      <c r="I5689" s="10">
        <v>20.0</v>
      </c>
      <c r="J5689" s="11" t="str">
        <f>IF(D5689&lt;&gt;"",VLOOKUP(H5689,TABLEITEM,5,FALSE),"")</f>
        <v>EA</v>
      </c>
      <c r="K5689" s="12">
        <v>50.0</v>
      </c>
      <c r="L5689" s="13" t="str">
        <f>IF(D5689&lt;&gt;"",VLOOKUP(H5689,TABLEITEM,2,FALSE),"")</f>
        <v/>
      </c>
      <c r="M5689" s="13" t="str">
        <f>IF(D5689&lt;&gt;"",VLOOKUP(H5689,TABLEITEM,3,FALSE),"")</f>
        <v>TIP 1.5mm YT065 PCS</v>
      </c>
      <c r="N5689" s="14">
        <f>INSTOCK!$I5689*INSTOCK!$K5689</f>
        <v>1000</v>
      </c>
      <c r="O5689" s="4"/>
      <c r="P5689" s="4"/>
    </row>
    <row r="5690" ht="15.75" customHeight="1">
      <c r="B5690" s="8">
        <v>6014.0</v>
      </c>
      <c r="C5690" s="9">
        <v>43728.0</v>
      </c>
      <c r="D5690" s="6" t="s">
        <v>6755</v>
      </c>
      <c r="E5690" s="4">
        <v>6.209001395E9</v>
      </c>
      <c r="F5690" s="8" t="s">
        <v>604</v>
      </c>
      <c r="G5690" s="4" t="s">
        <v>1070</v>
      </c>
      <c r="H5690" s="18" t="s">
        <v>5008</v>
      </c>
      <c r="I5690" s="10">
        <v>20.0</v>
      </c>
      <c r="J5690" s="11" t="str">
        <f>IF(D5690&lt;&gt;"",VLOOKUP(H5690,TABLEITEM,5,FALSE),"")</f>
        <v>EA</v>
      </c>
      <c r="K5690" s="12">
        <v>60.0</v>
      </c>
      <c r="L5690" s="13" t="str">
        <f>IF(D5690&lt;&gt;"",VLOOKUP(H5690,TABLEITEM,2,FALSE),"")</f>
        <v/>
      </c>
      <c r="M5690" s="13" t="str">
        <f>IF(D5690&lt;&gt;"",VLOOKUP(H5690,TABLEITEM,3,FALSE),"")</f>
        <v>ELECTRODE YT065PVS</v>
      </c>
      <c r="N5690" s="14">
        <f>INSTOCK!$I5690*INSTOCK!$K5690</f>
        <v>1200</v>
      </c>
      <c r="O5690" s="4"/>
      <c r="P5690" s="4"/>
    </row>
    <row r="5691" ht="15.75" customHeight="1">
      <c r="B5691" s="8">
        <v>6015.0</v>
      </c>
      <c r="C5691" s="9">
        <v>43728.0</v>
      </c>
      <c r="D5691" s="6" t="s">
        <v>6755</v>
      </c>
      <c r="E5691" s="4">
        <v>6.209001395E9</v>
      </c>
      <c r="F5691" s="8" t="s">
        <v>604</v>
      </c>
      <c r="G5691" s="4" t="s">
        <v>1070</v>
      </c>
      <c r="H5691" s="10" t="s">
        <v>5875</v>
      </c>
      <c r="I5691" s="10">
        <v>20.0</v>
      </c>
      <c r="J5691" s="11" t="str">
        <f>IF(D5691&lt;&gt;"",VLOOKUP(H5691,TABLEITEM,5,FALSE),"")</f>
        <v>EA</v>
      </c>
      <c r="K5691" s="12">
        <v>52.0</v>
      </c>
      <c r="L5691" s="13" t="str">
        <f>IF(D5691&lt;&gt;"",VLOOKUP(H5691,TABLEITEM,2,FALSE),"")</f>
        <v/>
      </c>
      <c r="M5691" s="13" t="str">
        <f>IF(D5691&lt;&gt;"",VLOOKUP(H5691,TABLEITEM,3,FALSE),"")</f>
        <v>ลวดทังสเตน 2% 2.4x175mm</v>
      </c>
      <c r="N5691" s="14">
        <f>INSTOCK!$I5691*INSTOCK!$K5691</f>
        <v>1040</v>
      </c>
      <c r="O5691" s="4"/>
      <c r="P5691" s="4"/>
    </row>
    <row r="5692" ht="15.75" customHeight="1">
      <c r="B5692" s="8">
        <v>6016.0</v>
      </c>
      <c r="C5692" s="9">
        <v>43731.0</v>
      </c>
      <c r="D5692" s="6" t="s">
        <v>6756</v>
      </c>
      <c r="E5692" s="4">
        <v>6.209001392E9</v>
      </c>
      <c r="F5692" s="8" t="s">
        <v>604</v>
      </c>
      <c r="G5692" s="4" t="s">
        <v>2320</v>
      </c>
      <c r="H5692" s="10" t="s">
        <v>515</v>
      </c>
      <c r="I5692" s="10">
        <v>100.0</v>
      </c>
      <c r="J5692" s="11" t="str">
        <f>IF(D5692&lt;&gt;"",VLOOKUP(H5692,TABLEITEM,5,FALSE),"")</f>
        <v>M</v>
      </c>
      <c r="K5692" s="12">
        <v>76.0771</v>
      </c>
      <c r="L5692" s="13" t="str">
        <f>IF(D5692&lt;&gt;"",VLOOKUP(H5692,TABLEITEM,2,FALSE),"")</f>
        <v>wire</v>
      </c>
      <c r="M5692" s="13" t="str">
        <f>IF(D5692&lt;&gt;"",VLOOKUP(H5692,TABLEITEM,3,FALSE),"")</f>
        <v>สายTHW ขนาด 1x35 SQMM.สีดำ</v>
      </c>
      <c r="N5692" s="14">
        <f>INSTOCK!$I5692*INSTOCK!$K5692</f>
        <v>7607.71</v>
      </c>
      <c r="O5692" s="4"/>
      <c r="P5692" s="4"/>
    </row>
    <row r="5693" ht="15.75" customHeight="1">
      <c r="B5693" s="8">
        <v>6017.0</v>
      </c>
      <c r="C5693" s="9">
        <v>43731.0</v>
      </c>
      <c r="D5693" s="6" t="s">
        <v>6757</v>
      </c>
      <c r="E5693" s="4"/>
      <c r="F5693" s="8" t="s">
        <v>6702</v>
      </c>
      <c r="G5693" s="4" t="s">
        <v>3724</v>
      </c>
      <c r="H5693" s="10" t="s">
        <v>6095</v>
      </c>
      <c r="I5693" s="10">
        <v>10.0</v>
      </c>
      <c r="J5693" s="11" t="str">
        <f>IF(D5693&lt;&gt;"",VLOOKUP(H5693,TABLEITEM,5,FALSE),"")</f>
        <v>EA</v>
      </c>
      <c r="K5693" s="12">
        <v>95.0</v>
      </c>
      <c r="L5693" s="13" t="str">
        <f>IF(D5693&lt;&gt;"",VLOOKUP(H5693,TABLEITEM,2,FALSE),"")</f>
        <v/>
      </c>
      <c r="M5693" s="13" t="str">
        <f>IF(D5693&lt;&gt;"",VLOOKUP(H5693,TABLEITEM,3,FALSE),"")</f>
        <v>มือจับ HF 481.21.109 NI </v>
      </c>
      <c r="N5693" s="14">
        <f>INSTOCK!$I5693*INSTOCK!$K5693</f>
        <v>950</v>
      </c>
      <c r="O5693" s="4"/>
      <c r="P5693" s="4"/>
    </row>
    <row r="5694" ht="15.75" customHeight="1">
      <c r="B5694" s="8">
        <v>6018.0</v>
      </c>
      <c r="C5694" s="9">
        <v>43731.0</v>
      </c>
      <c r="D5694" s="6" t="s">
        <v>6757</v>
      </c>
      <c r="E5694" s="4"/>
      <c r="F5694" s="8" t="s">
        <v>6702</v>
      </c>
      <c r="G5694" s="4" t="s">
        <v>3724</v>
      </c>
      <c r="H5694" s="10" t="s">
        <v>6758</v>
      </c>
      <c r="I5694" s="10">
        <v>2.0</v>
      </c>
      <c r="J5694" s="11" t="str">
        <f>IF(D5694&lt;&gt;"",VLOOKUP(H5694,TABLEITEM,5,FALSE),"")</f>
        <v>EA</v>
      </c>
      <c r="K5694" s="12">
        <v>90.0</v>
      </c>
      <c r="L5694" s="13" t="str">
        <f>IF(D5694&lt;&gt;"",VLOOKUP(H5694,TABLEITEM,2,FALSE),"")</f>
        <v/>
      </c>
      <c r="M5694" s="13" t="str">
        <f>IF(D5694&lt;&gt;"",VLOOKUP(H5694,TABLEITEM,3,FALSE),"")</f>
        <v>เสื้อจราจร RIGHT 5102 2 แถบ OR</v>
      </c>
      <c r="N5694" s="14">
        <f>INSTOCK!$I5694*INSTOCK!$K5694</f>
        <v>180</v>
      </c>
      <c r="O5694" s="4"/>
      <c r="P5694" s="4"/>
    </row>
    <row r="5695" ht="15.75" customHeight="1">
      <c r="B5695" s="8">
        <v>6019.0</v>
      </c>
      <c r="C5695" s="9">
        <v>43733.0</v>
      </c>
      <c r="D5695" s="6" t="s">
        <v>6759</v>
      </c>
      <c r="E5695" s="4">
        <v>6.209001411E9</v>
      </c>
      <c r="F5695" s="8" t="s">
        <v>807</v>
      </c>
      <c r="G5695" s="4" t="s">
        <v>808</v>
      </c>
      <c r="H5695" s="10" t="s">
        <v>812</v>
      </c>
      <c r="I5695" s="10">
        <v>1.0</v>
      </c>
      <c r="J5695" s="11" t="str">
        <f>IF(D5695&lt;&gt;"",VLOOKUP(H5695,TABLEITEM,5,FALSE),"")</f>
        <v>ท่อ</v>
      </c>
      <c r="K5695" s="12">
        <v>2960.0</v>
      </c>
      <c r="L5695" s="13" t="str">
        <f>IF(D5695&lt;&gt;"",VLOOKUP(H5695,TABLEITEM,2,FALSE),"")</f>
        <v/>
      </c>
      <c r="M5695" s="13" t="str">
        <f>IF(D5695&lt;&gt;"",VLOOKUP(H5695,TABLEITEM,3,FALSE),"")</f>
        <v>ออกซิเจนเหลว ขนาด 148 คิว</v>
      </c>
      <c r="N5695" s="14">
        <f>INSTOCK!$I5695*INSTOCK!$K5695</f>
        <v>2960</v>
      </c>
      <c r="O5695" s="4"/>
      <c r="P5695" s="4"/>
    </row>
    <row r="5696" ht="15.75" customHeight="1">
      <c r="B5696" s="8">
        <v>6020.0</v>
      </c>
      <c r="C5696" s="9">
        <v>43733.0</v>
      </c>
      <c r="D5696" s="6" t="s">
        <v>6759</v>
      </c>
      <c r="E5696" s="4">
        <v>6.209001411E9</v>
      </c>
      <c r="F5696" s="8" t="s">
        <v>807</v>
      </c>
      <c r="G5696" s="4" t="s">
        <v>808</v>
      </c>
      <c r="H5696" s="10" t="s">
        <v>809</v>
      </c>
      <c r="I5696" s="10">
        <v>1.0</v>
      </c>
      <c r="J5696" s="11" t="str">
        <f>IF(D5696&lt;&gt;"",VLOOKUP(H5696,TABLEITEM,5,FALSE),"")</f>
        <v>ท่อ</v>
      </c>
      <c r="K5696" s="12">
        <v>2700.0</v>
      </c>
      <c r="L5696" s="13" t="str">
        <f>IF(D5696&lt;&gt;"",VLOOKUP(H5696,TABLEITEM,2,FALSE),"")</f>
        <v/>
      </c>
      <c r="M5696" s="13" t="str">
        <f>IF(D5696&lt;&gt;"",VLOOKUP(H5696,TABLEITEM,3,FALSE),"")</f>
        <v>ไนโตรเจนเหลว ขนาด 100คิว</v>
      </c>
      <c r="N5696" s="14">
        <f>INSTOCK!$I5696*INSTOCK!$K5696</f>
        <v>2700</v>
      </c>
      <c r="O5696" s="4"/>
      <c r="P5696" s="4"/>
    </row>
    <row r="5697" ht="15.75" customHeight="1">
      <c r="B5697" s="8">
        <v>6021.0</v>
      </c>
      <c r="C5697" s="9">
        <v>43734.0</v>
      </c>
      <c r="D5697" s="6" t="s">
        <v>6760</v>
      </c>
      <c r="E5697" s="4">
        <v>6.209001421E9</v>
      </c>
      <c r="F5697" s="8" t="s">
        <v>604</v>
      </c>
      <c r="G5697" s="4" t="s">
        <v>665</v>
      </c>
      <c r="H5697" s="10" t="s">
        <v>495</v>
      </c>
      <c r="I5697" s="10">
        <v>200.0</v>
      </c>
      <c r="J5697" s="11" t="str">
        <f>IF(D5697&lt;&gt;"",VLOOKUP(H5697,TABLEITEM,5,FALSE),"")</f>
        <v>M</v>
      </c>
      <c r="K5697" s="12">
        <v>13.58</v>
      </c>
      <c r="L5697" s="13" t="str">
        <f>IF(D5697&lt;&gt;"",VLOOKUP(H5697,TABLEITEM,2,FALSE),"")</f>
        <v>wire</v>
      </c>
      <c r="M5697" s="13" t="str">
        <f>IF(D5697&lt;&gt;"",VLOOKUP(H5697,TABLEITEM,3,FALSE),"")</f>
        <v>สายกราวน์ VSF1x4 SQMM.สีเขียวเหลือง</v>
      </c>
      <c r="N5697" s="14">
        <f>INSTOCK!$I5697*INSTOCK!$K5697</f>
        <v>2716</v>
      </c>
      <c r="O5697" s="4"/>
      <c r="P5697" s="4"/>
    </row>
    <row r="5698" ht="15.75" customHeight="1">
      <c r="B5698" s="8">
        <v>6022.0</v>
      </c>
      <c r="C5698" s="9">
        <v>43734.0</v>
      </c>
      <c r="D5698" s="6" t="s">
        <v>6761</v>
      </c>
      <c r="E5698" s="4">
        <v>6.209001422E9</v>
      </c>
      <c r="F5698" s="8" t="s">
        <v>6762</v>
      </c>
      <c r="G5698" s="4" t="s">
        <v>702</v>
      </c>
      <c r="H5698" s="10" t="s">
        <v>3594</v>
      </c>
      <c r="I5698" s="10">
        <v>20.0</v>
      </c>
      <c r="J5698" s="11" t="str">
        <f>IF(D5698&lt;&gt;"",VLOOKUP(H5698,TABLEITEM,5,FALSE),"")</f>
        <v>KG.</v>
      </c>
      <c r="K5698" s="12">
        <v>130.0</v>
      </c>
      <c r="L5698" s="13" t="str">
        <f>IF(D5698&lt;&gt;"",VLOOKUP(H5698,TABLEITEM,2,FALSE),"")</f>
        <v/>
      </c>
      <c r="M5698" s="13" t="str">
        <f>IF(D5698&lt;&gt;"",VLOOKUP(H5698,TABLEITEM,3,FALSE),"")</f>
        <v>สีฝุ่น FF110/2112/C</v>
      </c>
      <c r="N5698" s="14">
        <f>INSTOCK!$I5698*INSTOCK!$K5698</f>
        <v>2600</v>
      </c>
      <c r="O5698" s="4"/>
      <c r="P5698" s="4"/>
    </row>
    <row r="5699" ht="15.75" customHeight="1">
      <c r="B5699" s="8">
        <v>6023.0</v>
      </c>
      <c r="C5699" s="9">
        <v>43732.0</v>
      </c>
      <c r="D5699" s="6" t="s">
        <v>6763</v>
      </c>
      <c r="E5699" s="4">
        <v>6.209001404E9</v>
      </c>
      <c r="F5699" s="8" t="s">
        <v>6764</v>
      </c>
      <c r="G5699" s="4" t="s">
        <v>3892</v>
      </c>
      <c r="H5699" s="10" t="s">
        <v>3893</v>
      </c>
      <c r="I5699" s="10">
        <v>10.0</v>
      </c>
      <c r="J5699" s="11" t="str">
        <f>IF(D5699&lt;&gt;"",VLOOKUP(H5699,TABLEITEM,5,FALSE),"")</f>
        <v>EA</v>
      </c>
      <c r="K5699" s="12">
        <v>120.0</v>
      </c>
      <c r="L5699" s="13" t="str">
        <f>IF(D5699&lt;&gt;"",VLOOKUP(H5699,TABLEITEM,2,FALSE),"")</f>
        <v/>
      </c>
      <c r="M5699" s="13" t="str">
        <f>IF(D5699&lt;&gt;"",VLOOKUP(H5699,TABLEITEM,3,FALSE),"")</f>
        <v>โซ๊คแก๊สกระบอก (NO.CS.05301)60N</v>
      </c>
      <c r="N5699" s="14">
        <f>INSTOCK!$I5699*INSTOCK!$K5699</f>
        <v>1200</v>
      </c>
      <c r="O5699" s="4"/>
      <c r="P5699" s="4"/>
    </row>
    <row r="5700" ht="15.75" customHeight="1">
      <c r="B5700" s="8">
        <v>6024.0</v>
      </c>
      <c r="C5700" s="9">
        <v>43732.0</v>
      </c>
      <c r="D5700" s="6" t="s">
        <v>6763</v>
      </c>
      <c r="E5700" s="4">
        <v>6.209001404E9</v>
      </c>
      <c r="F5700" s="8" t="s">
        <v>6764</v>
      </c>
      <c r="G5700" s="4" t="s">
        <v>3892</v>
      </c>
      <c r="H5700" s="10" t="s">
        <v>6094</v>
      </c>
      <c r="I5700" s="10">
        <v>10.0</v>
      </c>
      <c r="J5700" s="11" t="str">
        <f>IF(D5700&lt;&gt;"",VLOOKUP(H5700,TABLEITEM,5,FALSE),"")</f>
        <v>EA</v>
      </c>
      <c r="K5700" s="12">
        <v>120.0</v>
      </c>
      <c r="L5700" s="13" t="str">
        <f>IF(D5700&lt;&gt;"",VLOOKUP(H5700,TABLEITEM,2,FALSE),"")</f>
        <v/>
      </c>
      <c r="M5700" s="13" t="str">
        <f>IF(D5700&lt;&gt;"",VLOOKUP(H5700,TABLEITEM,3,FALSE),"")</f>
        <v>โซ๊คแก๊สกระบอก (NO.CS.05401)100N</v>
      </c>
      <c r="N5700" s="14">
        <f>INSTOCK!$I5700*INSTOCK!$K5700</f>
        <v>1200</v>
      </c>
      <c r="O5700" s="4"/>
      <c r="P5700" s="4"/>
    </row>
    <row r="5701" ht="15.75" customHeight="1">
      <c r="B5701" s="8">
        <v>6025.0</v>
      </c>
      <c r="C5701" s="9">
        <v>43731.0</v>
      </c>
      <c r="D5701" s="6" t="s">
        <v>6765</v>
      </c>
      <c r="E5701" s="4"/>
      <c r="F5701" s="8" t="s">
        <v>6766</v>
      </c>
      <c r="G5701" s="4" t="s">
        <v>3029</v>
      </c>
      <c r="H5701" s="10" t="s">
        <v>3030</v>
      </c>
      <c r="I5701" s="10">
        <v>1.0</v>
      </c>
      <c r="J5701" s="11" t="str">
        <f>IF(D5701&lt;&gt;"",VLOOKUP(H5701,TABLEITEM,5,FALSE),"")</f>
        <v>LOT</v>
      </c>
      <c r="K5701" s="12">
        <v>849.2</v>
      </c>
      <c r="L5701" s="13" t="str">
        <f>IF(D5701&lt;&gt;"",VLOOKUP(H5701,TABLEITEM,2,FALSE),"")</f>
        <v/>
      </c>
      <c r="M5701" s="13" t="str">
        <f>IF(D5701&lt;&gt;"",VLOOKUP(H5701,TABLEITEM,3,FALSE),"")</f>
        <v>ค่าชุบ ดีบุกเงา</v>
      </c>
      <c r="N5701" s="14">
        <f>INSTOCK!$I5701*INSTOCK!$K5701</f>
        <v>849.2</v>
      </c>
      <c r="O5701" s="4" t="s">
        <v>6678</v>
      </c>
      <c r="P5701" s="4"/>
    </row>
    <row r="5702" ht="15.75" customHeight="1">
      <c r="B5702" s="8">
        <v>6026.0</v>
      </c>
      <c r="C5702" s="9">
        <v>43732.0</v>
      </c>
      <c r="D5702" s="6" t="s">
        <v>6767</v>
      </c>
      <c r="E5702" s="4"/>
      <c r="F5702" s="8" t="s">
        <v>1973</v>
      </c>
      <c r="G5702" s="4" t="s">
        <v>6768</v>
      </c>
      <c r="H5702" s="10" t="s">
        <v>6769</v>
      </c>
      <c r="I5702" s="10">
        <v>1.0</v>
      </c>
      <c r="J5702" s="11" t="str">
        <f>IF(D5702&lt;&gt;"",VLOOKUP(H5702,TABLEITEM,5,FALSE),"")</f>
        <v>EA</v>
      </c>
      <c r="K5702" s="12">
        <v>110.0</v>
      </c>
      <c r="L5702" s="13" t="str">
        <f>IF(D5702&lt;&gt;"",VLOOKUP(H5702,TABLEITEM,2,FALSE),"")</f>
        <v/>
      </c>
      <c r="M5702" s="13" t="str">
        <f>IF(D5702&lt;&gt;"",VLOOKUP(H5702,TABLEITEM,3,FALSE),"")</f>
        <v>ลวดตาข่าย #8 ขนาดลวด 4มิล รู 1.1/2"</v>
      </c>
      <c r="N5702" s="14">
        <f>INSTOCK!$I5702*INSTOCK!$K5702</f>
        <v>110</v>
      </c>
      <c r="O5702" s="4"/>
      <c r="P5702" s="4"/>
    </row>
    <row r="5703" ht="15.75" customHeight="1">
      <c r="B5703" s="8">
        <v>6027.0</v>
      </c>
      <c r="C5703" s="9">
        <v>43731.0</v>
      </c>
      <c r="D5703" s="6" t="s">
        <v>6770</v>
      </c>
      <c r="E5703" s="4">
        <v>6.209001401E9</v>
      </c>
      <c r="F5703" s="8" t="s">
        <v>604</v>
      </c>
      <c r="G5703" s="4" t="s">
        <v>1870</v>
      </c>
      <c r="H5703" s="10" t="s">
        <v>4540</v>
      </c>
      <c r="I5703" s="10">
        <v>200.0</v>
      </c>
      <c r="J5703" s="11" t="str">
        <f>IF(D5703&lt;&gt;"",VLOOKUP(H5703,TABLEITEM,5,FALSE),"")</f>
        <v>EA</v>
      </c>
      <c r="K5703" s="12">
        <v>1.32</v>
      </c>
      <c r="L5703" s="13" t="str">
        <f>IF(D5703&lt;&gt;"",VLOOKUP(H5703,TABLEITEM,2,FALSE),"")</f>
        <v/>
      </c>
      <c r="M5703" s="13" t="str">
        <f>IF(D5703&lt;&gt;"",VLOOKUP(H5703,TABLEITEM,3,FALSE),"")</f>
        <v>สกรูสแตนเลสหัวร่ม M6x20</v>
      </c>
      <c r="N5703" s="14">
        <f>INSTOCK!$I5703*INSTOCK!$K5703</f>
        <v>264</v>
      </c>
      <c r="O5703" s="4" t="s">
        <v>6550</v>
      </c>
      <c r="P5703" s="4"/>
    </row>
    <row r="5704" ht="15.75" customHeight="1">
      <c r="B5704" s="8">
        <v>6028.0</v>
      </c>
      <c r="C5704" s="9">
        <v>43732.0</v>
      </c>
      <c r="D5704" s="6" t="s">
        <v>6771</v>
      </c>
      <c r="E5704" s="4">
        <v>6.209001401E9</v>
      </c>
      <c r="F5704" s="8" t="s">
        <v>604</v>
      </c>
      <c r="G5704" s="4" t="s">
        <v>1870</v>
      </c>
      <c r="H5704" s="10" t="s">
        <v>6772</v>
      </c>
      <c r="I5704" s="10">
        <v>100.0</v>
      </c>
      <c r="J5704" s="11" t="str">
        <f>IF(D5704&lt;&gt;"",VLOOKUP(H5704,TABLEITEM,5,FALSE),"")</f>
        <v>EA</v>
      </c>
      <c r="K5704" s="12">
        <v>2.15</v>
      </c>
      <c r="L5704" s="13" t="str">
        <f>IF(D5704&lt;&gt;"",VLOOKUP(H5704,TABLEITEM,2,FALSE),"")</f>
        <v/>
      </c>
      <c r="M5704" s="13" t="str">
        <f>IF(D5704&lt;&gt;"",VLOOKUP(H5704,TABLEITEM,3,FALSE),"")</f>
        <v>สกรูหัวกลมแฉก M5x25 JP SUS</v>
      </c>
      <c r="N5704" s="14">
        <f>INSTOCK!$I5704*INSTOCK!$K5704</f>
        <v>215</v>
      </c>
      <c r="O5704" s="4"/>
      <c r="P5704" s="4"/>
    </row>
    <row r="5705" ht="15.75" customHeight="1">
      <c r="B5705" s="8">
        <v>6029.0</v>
      </c>
      <c r="C5705" s="9">
        <v>43733.0</v>
      </c>
      <c r="D5705" s="6">
        <v>1.2111901174E10</v>
      </c>
      <c r="E5705" s="4">
        <v>6.209001318E9</v>
      </c>
      <c r="F5705" s="8" t="s">
        <v>604</v>
      </c>
      <c r="G5705" s="4" t="s">
        <v>6773</v>
      </c>
      <c r="H5705" s="10" t="s">
        <v>1593</v>
      </c>
      <c r="I5705" s="10">
        <v>2.0</v>
      </c>
      <c r="J5705" s="11" t="str">
        <f>IF(D5705&lt;&gt;"",VLOOKUP(H5705,TABLEITEM,5,FALSE),"")</f>
        <v>EA</v>
      </c>
      <c r="K5705" s="12">
        <v>800.0</v>
      </c>
      <c r="L5705" s="13" t="str">
        <f>IF(D5705&lt;&gt;"",VLOOKUP(H5705,TABLEITEM,2,FALSE),"")</f>
        <v/>
      </c>
      <c r="M5705" s="13" t="str">
        <f>IF(D5705&lt;&gt;"",VLOOKUP(H5705,TABLEITEM,3,FALSE),"")</f>
        <v>CEMENTED CARBIDE 3.175x114x0.254</v>
      </c>
      <c r="N5705" s="14">
        <f>INSTOCK!$I5705*INSTOCK!$K5705</f>
        <v>1600</v>
      </c>
      <c r="O5705" s="4"/>
      <c r="P5705" s="4"/>
    </row>
    <row r="5706" ht="15.75" customHeight="1">
      <c r="B5706" s="8">
        <v>6030.0</v>
      </c>
      <c r="C5706" s="9">
        <v>43734.0</v>
      </c>
      <c r="D5706" s="6" t="s">
        <v>6774</v>
      </c>
      <c r="E5706" s="4">
        <v>6.209001408E9</v>
      </c>
      <c r="F5706" s="8" t="s">
        <v>6764</v>
      </c>
      <c r="G5706" s="4" t="s">
        <v>2162</v>
      </c>
      <c r="H5706" s="18" t="s">
        <v>4333</v>
      </c>
      <c r="I5706" s="10">
        <v>12.0</v>
      </c>
      <c r="J5706" s="11" t="str">
        <f>IF(D5706&lt;&gt;"",VLOOKUP(H5706,TABLEITEM,5,FALSE),"")</f>
        <v>EA</v>
      </c>
      <c r="K5706" s="12">
        <v>310.0</v>
      </c>
      <c r="L5706" s="13" t="str">
        <f>IF(D5706&lt;&gt;"",VLOOKUP(H5706,TABLEITEM,2,FALSE),"")</f>
        <v/>
      </c>
      <c r="M5706" s="13" t="str">
        <f>IF(D5706&lt;&gt;"",VLOOKUP(H5706,TABLEITEM,3,FALSE),"")</f>
        <v>ล้อไนล่อน 3" หน้ายาง 32 โครงปั้มมีเบรค ล้อเป็น</v>
      </c>
      <c r="N5706" s="14">
        <f>INSTOCK!$I5706*INSTOCK!$K5706</f>
        <v>3720</v>
      </c>
      <c r="O5706" s="4"/>
      <c r="P5706" s="4"/>
    </row>
    <row r="5707" ht="15.75" customHeight="1">
      <c r="B5707" s="8">
        <v>6031.0</v>
      </c>
      <c r="C5707" s="9">
        <v>43733.0</v>
      </c>
      <c r="D5707" s="6" t="s">
        <v>6775</v>
      </c>
      <c r="E5707" s="4">
        <v>6.209001419E9</v>
      </c>
      <c r="F5707" s="8" t="s">
        <v>604</v>
      </c>
      <c r="G5707" s="4" t="s">
        <v>721</v>
      </c>
      <c r="H5707" s="10" t="s">
        <v>226</v>
      </c>
      <c r="I5707" s="10">
        <v>50.0</v>
      </c>
      <c r="J5707" s="11" t="str">
        <f>IF(D5707&lt;&gt;"",VLOOKUP(H5707,TABLEITEM,5,FALSE),"")</f>
        <v>M</v>
      </c>
      <c r="K5707" s="12">
        <v>17.654</v>
      </c>
      <c r="L5707" s="13" t="str">
        <f>IF(D5707&lt;&gt;"",VLOOKUP(H5707,TABLEITEM,2,FALSE),"")</f>
        <v/>
      </c>
      <c r="M5707" s="13" t="str">
        <f>IF(D5707&lt;&gt;"",VLOOKUP(H5707,TABLEITEM,3,FALSE),"")</f>
        <v>ท่ออ่อนลูกฟูกชิดผ่า/ท่อผ่าดำ 25มิล</v>
      </c>
      <c r="N5707" s="14">
        <f>INSTOCK!$I5707*INSTOCK!$K5707</f>
        <v>882.7</v>
      </c>
      <c r="O5707" s="4" t="s">
        <v>2128</v>
      </c>
      <c r="P5707" s="4"/>
    </row>
    <row r="5708" ht="15.75" customHeight="1">
      <c r="B5708" s="8">
        <v>6032.0</v>
      </c>
      <c r="C5708" s="9">
        <v>43733.0</v>
      </c>
      <c r="D5708" s="6" t="s">
        <v>6775</v>
      </c>
      <c r="E5708" s="4">
        <v>6.209001419E9</v>
      </c>
      <c r="F5708" s="8" t="s">
        <v>604</v>
      </c>
      <c r="G5708" s="4" t="s">
        <v>721</v>
      </c>
      <c r="H5708" s="10" t="s">
        <v>207</v>
      </c>
      <c r="I5708" s="10">
        <v>48.0</v>
      </c>
      <c r="J5708" s="11" t="str">
        <f>IF(D5708&lt;&gt;"",VLOOKUP(H5708,TABLEITEM,5,FALSE),"")</f>
        <v>EA</v>
      </c>
      <c r="K5708" s="12">
        <v>168.78</v>
      </c>
      <c r="L5708" s="13" t="str">
        <f>IF(D5708&lt;&gt;"",VLOOKUP(H5708,TABLEITEM,2,FALSE),"")</f>
        <v/>
      </c>
      <c r="M5708" s="13" t="str">
        <f>IF(D5708&lt;&gt;"",VLOOKUP(H5708,TABLEITEM,3,FALSE),"")</f>
        <v>รางวายดัก/รางPVC 45x65 mm.</v>
      </c>
      <c r="N5708" s="14">
        <f>INSTOCK!$I5708*INSTOCK!$K5708</f>
        <v>8101.44</v>
      </c>
      <c r="O5708" s="4" t="s">
        <v>769</v>
      </c>
      <c r="P5708" s="4"/>
    </row>
    <row r="5709" ht="15.75" customHeight="1">
      <c r="B5709" s="8">
        <v>6033.0</v>
      </c>
      <c r="C5709" s="9">
        <v>43733.0</v>
      </c>
      <c r="D5709" s="6">
        <v>87378.0</v>
      </c>
      <c r="E5709" s="4">
        <v>6.209001412E9</v>
      </c>
      <c r="F5709" s="8" t="s">
        <v>6776</v>
      </c>
      <c r="G5709" s="4" t="s">
        <v>2589</v>
      </c>
      <c r="H5709" s="10" t="s">
        <v>6777</v>
      </c>
      <c r="I5709" s="10">
        <v>1.0</v>
      </c>
      <c r="J5709" s="11" t="str">
        <f>IF(D5709&lt;&gt;"",VLOOKUP(H5709,TABLEITEM,5,FALSE),"")</f>
        <v>EA</v>
      </c>
      <c r="K5709" s="12">
        <v>100000.0</v>
      </c>
      <c r="L5709" s="13" t="str">
        <f>IF(D5709&lt;&gt;"",VLOOKUP(H5709,TABLEITEM,2,FALSE),"")</f>
        <v/>
      </c>
      <c r="M5709" s="13" t="str">
        <f>IF(D5709&lt;&gt;"",VLOOKUP(H5709,TABLEITEM,3,FALSE),"")</f>
        <v>เครื่องยิงสตัด BMS-8N </v>
      </c>
      <c r="N5709" s="14">
        <f>INSTOCK!$I5709*INSTOCK!$K5709</f>
        <v>100000</v>
      </c>
      <c r="O5709" s="4"/>
      <c r="P5709" s="4"/>
    </row>
    <row r="5710" ht="15.75" customHeight="1">
      <c r="B5710" s="8">
        <v>6034.0</v>
      </c>
      <c r="C5710" s="9">
        <v>43735.0</v>
      </c>
      <c r="D5710" s="6" t="s">
        <v>6778</v>
      </c>
      <c r="E5710" s="4">
        <v>6.209001407E9</v>
      </c>
      <c r="F5710" s="8" t="s">
        <v>604</v>
      </c>
      <c r="G5710" s="4" t="s">
        <v>2495</v>
      </c>
      <c r="H5710" s="10" t="s">
        <v>3014</v>
      </c>
      <c r="I5710" s="10">
        <v>5000.0</v>
      </c>
      <c r="J5710" s="11" t="str">
        <f>IF(D5710&lt;&gt;"",VLOOKUP(H5710,TABLEITEM,5,FALSE),"")</f>
        <v>EA</v>
      </c>
      <c r="K5710" s="12">
        <v>0.0752</v>
      </c>
      <c r="L5710" s="13" t="str">
        <f>IF(D5710&lt;&gt;"",VLOOKUP(H5710,TABLEITEM,2,FALSE),"")</f>
        <v/>
      </c>
      <c r="M5710" s="13" t="str">
        <f>IF(D5710&lt;&gt;"",VLOOKUP(H5710,TABLEITEM,3,FALSE),"")</f>
        <v>แหวนสปริง M 8 ชุบรุ้ง</v>
      </c>
      <c r="N5710" s="14">
        <f>INSTOCK!$I5710*INSTOCK!$K5710</f>
        <v>376</v>
      </c>
      <c r="O5710" s="4"/>
      <c r="P5710" s="4"/>
    </row>
    <row r="5711" ht="15.75" customHeight="1">
      <c r="B5711" s="8">
        <v>6035.0</v>
      </c>
      <c r="C5711" s="9">
        <v>43735.0</v>
      </c>
      <c r="D5711" s="6" t="s">
        <v>6778</v>
      </c>
      <c r="E5711" s="4">
        <v>6.209001407E9</v>
      </c>
      <c r="F5711" s="8" t="s">
        <v>604</v>
      </c>
      <c r="G5711" s="4" t="s">
        <v>2495</v>
      </c>
      <c r="H5711" s="10" t="s">
        <v>6779</v>
      </c>
      <c r="I5711" s="10">
        <v>500.0</v>
      </c>
      <c r="J5711" s="11" t="str">
        <f>IF(D5711&lt;&gt;"",VLOOKUP(H5711,TABLEITEM,5,FALSE),"")</f>
        <v>EA</v>
      </c>
      <c r="K5711" s="12">
        <v>0.1179</v>
      </c>
      <c r="L5711" s="13" t="str">
        <f>IF(D5711&lt;&gt;"",VLOOKUP(H5711,TABLEITEM,2,FALSE),"")</f>
        <v/>
      </c>
      <c r="M5711" s="13" t="str">
        <f>IF(D5711&lt;&gt;"",VLOOKUP(H5711,TABLEITEM,3,FALSE),"")</f>
        <v>สกรูเตเปอร์ M3x10</v>
      </c>
      <c r="N5711" s="14">
        <f>INSTOCK!$I5711*INSTOCK!$K5711</f>
        <v>58.95</v>
      </c>
      <c r="O5711" s="4" t="s">
        <v>6780</v>
      </c>
      <c r="P5711" s="4"/>
    </row>
    <row r="5712" ht="15.75" customHeight="1">
      <c r="B5712" s="8">
        <v>6036.0</v>
      </c>
      <c r="C5712" s="9">
        <v>43735.0</v>
      </c>
      <c r="D5712" s="6">
        <v>9362.0</v>
      </c>
      <c r="E5712" s="4">
        <v>6.209001428E9</v>
      </c>
      <c r="F5712" s="8" t="s">
        <v>604</v>
      </c>
      <c r="G5712" s="4" t="s">
        <v>1009</v>
      </c>
      <c r="H5712" s="10" t="s">
        <v>129</v>
      </c>
      <c r="I5712" s="10">
        <v>150.0</v>
      </c>
      <c r="J5712" s="11" t="str">
        <f>IF(D5712&lt;&gt;"",VLOOKUP(H5712,TABLEITEM,5,FALSE),"")</f>
        <v>EA</v>
      </c>
      <c r="K5712" s="12">
        <v>90.0</v>
      </c>
      <c r="L5712" s="13" t="str">
        <f>IF(D5712&lt;&gt;"",VLOOKUP(H5712,TABLEITEM,2,FALSE),"")</f>
        <v/>
      </c>
      <c r="M5712" s="13" t="str">
        <f>IF(D5712&lt;&gt;"",VLOOKUP(H5712,TABLEITEM,3,FALSE),"")</f>
        <v>DOOR LOCKER AB301-3-1</v>
      </c>
      <c r="N5712" s="14">
        <f>INSTOCK!$I5712*INSTOCK!$K5712</f>
        <v>13500</v>
      </c>
      <c r="O5712" s="4"/>
      <c r="P5712" s="4"/>
    </row>
    <row r="5713" ht="15.75" customHeight="1">
      <c r="B5713" s="8">
        <v>6037.0</v>
      </c>
      <c r="C5713" s="9">
        <v>43735.0</v>
      </c>
      <c r="D5713" s="6" t="s">
        <v>6781</v>
      </c>
      <c r="E5713" s="4">
        <v>6.20900142E9</v>
      </c>
      <c r="F5713" s="8" t="s">
        <v>604</v>
      </c>
      <c r="G5713" s="4" t="s">
        <v>798</v>
      </c>
      <c r="H5713" s="18" t="s">
        <v>120</v>
      </c>
      <c r="I5713" s="10">
        <v>100.0</v>
      </c>
      <c r="J5713" s="11" t="str">
        <f>IF(D5713&lt;&gt;"",VLOOKUP(H5713,TABLEITEM,5,FALSE),"")</f>
        <v>EA</v>
      </c>
      <c r="K5713" s="12">
        <v>45.0</v>
      </c>
      <c r="L5713" s="13" t="str">
        <f>IF(D5713&lt;&gt;"",VLOOKUP(H5713,TABLEITEM,2,FALSE),"")</f>
        <v/>
      </c>
      <c r="M5713" s="13" t="str">
        <f>IF(D5713&lt;&gt;"",VLOOKUP(H5713,TABLEITEM,3,FALSE),"")</f>
        <v>กุญแจเขากวาง1B-19-03-G-104</v>
      </c>
      <c r="N5713" s="14">
        <f>INSTOCK!$I5713*INSTOCK!$K5713</f>
        <v>4500</v>
      </c>
      <c r="O5713" s="4"/>
      <c r="P5713" s="4"/>
    </row>
    <row r="5714" ht="15.75" customHeight="1">
      <c r="B5714" s="8">
        <v>6038.0</v>
      </c>
      <c r="C5714" s="9">
        <v>43735.0</v>
      </c>
      <c r="D5714" s="6" t="s">
        <v>6782</v>
      </c>
      <c r="E5714" s="4">
        <v>6.209001418E9</v>
      </c>
      <c r="F5714" s="8" t="s">
        <v>604</v>
      </c>
      <c r="G5714" s="4" t="s">
        <v>1611</v>
      </c>
      <c r="H5714" s="10" t="s">
        <v>188</v>
      </c>
      <c r="I5714" s="10">
        <v>1200.0</v>
      </c>
      <c r="J5714" s="11" t="str">
        <f>IF(D5714&lt;&gt;"",VLOOKUP(H5714,TABLEITEM,5,FALSE),"")</f>
        <v>EA</v>
      </c>
      <c r="K5714" s="12">
        <v>9.0</v>
      </c>
      <c r="L5714" s="13" t="str">
        <f>IF(D5714&lt;&gt;"",VLOOKUP(H5714,TABLEITEM,2,FALSE),"")</f>
        <v/>
      </c>
      <c r="M5714" s="13" t="str">
        <f>IF(D5714&lt;&gt;"",VLOOKUP(H5714,TABLEITEM,3,FALSE),"")</f>
        <v>TERMINAL BLOCK TX10</v>
      </c>
      <c r="N5714" s="14">
        <f>INSTOCK!$I5714*INSTOCK!$K5714</f>
        <v>10800</v>
      </c>
      <c r="O5714" s="4"/>
      <c r="P5714" s="4"/>
    </row>
    <row r="5715" ht="15.75" customHeight="1">
      <c r="B5715" s="8">
        <v>6039.0</v>
      </c>
      <c r="C5715" s="9">
        <v>43735.0</v>
      </c>
      <c r="D5715" s="6" t="s">
        <v>6782</v>
      </c>
      <c r="E5715" s="4">
        <v>6.209001418E9</v>
      </c>
      <c r="F5715" s="8" t="s">
        <v>604</v>
      </c>
      <c r="G5715" s="4" t="s">
        <v>1611</v>
      </c>
      <c r="H5715" s="10" t="s">
        <v>189</v>
      </c>
      <c r="I5715" s="10">
        <v>300.0</v>
      </c>
      <c r="J5715" s="11" t="str">
        <f>IF(D5715&lt;&gt;"",VLOOKUP(H5715,TABLEITEM,5,FALSE),"")</f>
        <v>EA</v>
      </c>
      <c r="K5715" s="12">
        <v>5.0</v>
      </c>
      <c r="L5715" s="13" t="str">
        <f>IF(D5715&lt;&gt;"",VLOOKUP(H5715,TABLEITEM,2,FALSE),"")</f>
        <v/>
      </c>
      <c r="M5715" s="13" t="str">
        <f>IF(D5715&lt;&gt;"",VLOOKUP(H5715,TABLEITEM,3,FALSE),"")</f>
        <v>END PLATE TXA1</v>
      </c>
      <c r="N5715" s="14">
        <f>INSTOCK!$I5715*INSTOCK!$K5715</f>
        <v>1500</v>
      </c>
      <c r="O5715" s="4"/>
      <c r="P5715" s="4"/>
    </row>
    <row r="5716" ht="15.75" customHeight="1">
      <c r="B5716" s="8">
        <v>6040.0</v>
      </c>
      <c r="C5716" s="9">
        <v>43735.0</v>
      </c>
      <c r="D5716" s="6" t="s">
        <v>6783</v>
      </c>
      <c r="E5716" s="4">
        <v>6.209001433E9</v>
      </c>
      <c r="F5716" s="8" t="s">
        <v>604</v>
      </c>
      <c r="G5716" s="4" t="s">
        <v>665</v>
      </c>
      <c r="H5716" s="10" t="s">
        <v>495</v>
      </c>
      <c r="I5716" s="10">
        <v>300.0</v>
      </c>
      <c r="J5716" s="11" t="str">
        <f>IF(D5716&lt;&gt;"",VLOOKUP(H5716,TABLEITEM,5,FALSE),"")</f>
        <v>M</v>
      </c>
      <c r="K5716" s="12">
        <v>13.58</v>
      </c>
      <c r="L5716" s="13" t="str">
        <f>IF(D5716&lt;&gt;"",VLOOKUP(H5716,TABLEITEM,2,FALSE),"")</f>
        <v>wire</v>
      </c>
      <c r="M5716" s="13" t="str">
        <f>IF(D5716&lt;&gt;"",VLOOKUP(H5716,TABLEITEM,3,FALSE),"")</f>
        <v>สายกราวน์ VSF1x4 SQMM.สีเขียวเหลือง</v>
      </c>
      <c r="N5716" s="14">
        <f>INSTOCK!$I5716*INSTOCK!$K5716</f>
        <v>4074</v>
      </c>
      <c r="O5716" s="4"/>
      <c r="P5716" s="4"/>
    </row>
    <row r="5717" ht="15.75" customHeight="1">
      <c r="B5717" s="8">
        <v>6041.0</v>
      </c>
      <c r="C5717" s="9">
        <v>43735.0</v>
      </c>
      <c r="D5717" s="6" t="s">
        <v>6784</v>
      </c>
      <c r="E5717" s="4">
        <v>6.209001429E9</v>
      </c>
      <c r="F5717" s="8" t="s">
        <v>604</v>
      </c>
      <c r="G5717" s="4" t="s">
        <v>808</v>
      </c>
      <c r="H5717" s="10" t="s">
        <v>818</v>
      </c>
      <c r="I5717" s="10">
        <v>6.0</v>
      </c>
      <c r="J5717" s="11" t="str">
        <f>IF(D5717&lt;&gt;"",VLOOKUP(H5717,TABLEITEM,5,FALSE),"")</f>
        <v>ท่อ</v>
      </c>
      <c r="K5717" s="12">
        <v>300.0</v>
      </c>
      <c r="L5717" s="13" t="str">
        <f>IF(D5717&lt;&gt;"",VLOOKUP(H5717,TABLEITEM,2,FALSE),"")</f>
        <v/>
      </c>
      <c r="M5717" s="13" t="str">
        <f>IF(D5717&lt;&gt;"",VLOOKUP(H5717,TABLEITEM,3,FALSE),"")</f>
        <v>คาร์บอนไดออกไซด์ ขนาด 25 กก</v>
      </c>
      <c r="N5717" s="14">
        <f>INSTOCK!$I5717*INSTOCK!$K5717</f>
        <v>1800</v>
      </c>
      <c r="O5717" s="4"/>
      <c r="P5717" s="4"/>
    </row>
    <row r="5718" ht="15.75" customHeight="1">
      <c r="B5718" s="8">
        <v>6042.0</v>
      </c>
      <c r="C5718" s="9">
        <v>43735.0</v>
      </c>
      <c r="D5718" s="6" t="s">
        <v>6784</v>
      </c>
      <c r="E5718" s="4">
        <v>6.209001429E9</v>
      </c>
      <c r="F5718" s="8" t="s">
        <v>604</v>
      </c>
      <c r="G5718" s="4" t="s">
        <v>808</v>
      </c>
      <c r="H5718" s="10" t="s">
        <v>816</v>
      </c>
      <c r="I5718" s="10">
        <v>5.0</v>
      </c>
      <c r="J5718" s="11" t="str">
        <f>IF(D5718&lt;&gt;"",VLOOKUP(H5718,TABLEITEM,5,FALSE),"")</f>
        <v>ท่อ</v>
      </c>
      <c r="K5718" s="12">
        <v>600.0</v>
      </c>
      <c r="L5718" s="13" t="str">
        <f>IF(D5718&lt;&gt;"",VLOOKUP(H5718,TABLEITEM,2,FALSE),"")</f>
        <v/>
      </c>
      <c r="M5718" s="13" t="str">
        <f>IF(D5718&lt;&gt;"",VLOOKUP(H5718,TABLEITEM,3,FALSE),"")</f>
        <v>อาร์กอน ขนาด 6คิว</v>
      </c>
      <c r="N5718" s="14">
        <f>INSTOCK!$I5718*INSTOCK!$K5718</f>
        <v>3000</v>
      </c>
      <c r="O5718" s="4"/>
      <c r="P5718" s="4"/>
    </row>
    <row r="5719" ht="15.75" customHeight="1">
      <c r="B5719" s="8">
        <v>6043.0</v>
      </c>
      <c r="C5719" s="9">
        <v>43733.0</v>
      </c>
      <c r="D5719" s="6" t="s">
        <v>6785</v>
      </c>
      <c r="E5719" s="4"/>
      <c r="F5719" s="8" t="s">
        <v>604</v>
      </c>
      <c r="G5719" s="4" t="s">
        <v>1092</v>
      </c>
      <c r="H5719" s="10" t="s">
        <v>818</v>
      </c>
      <c r="I5719" s="10">
        <v>17.0</v>
      </c>
      <c r="J5719" s="11" t="str">
        <f>IF(D5719&lt;&gt;"",VLOOKUP(H5719,TABLEITEM,5,FALSE),"")</f>
        <v>ท่อ</v>
      </c>
      <c r="K5719" s="12">
        <v>280.0</v>
      </c>
      <c r="L5719" s="13" t="str">
        <f>IF(D5719&lt;&gt;"",VLOOKUP(H5719,TABLEITEM,2,FALSE),"")</f>
        <v/>
      </c>
      <c r="M5719" s="13" t="str">
        <f>IF(D5719&lt;&gt;"",VLOOKUP(H5719,TABLEITEM,3,FALSE),"")</f>
        <v>คาร์บอนไดออกไซด์ ขนาด 25 กก</v>
      </c>
      <c r="N5719" s="14">
        <f>INSTOCK!$I5719*INSTOCK!$K5719</f>
        <v>4760</v>
      </c>
      <c r="O5719" s="4"/>
      <c r="P5719" s="4"/>
    </row>
    <row r="5720" ht="15.75" customHeight="1">
      <c r="B5720" s="8">
        <v>6044.0</v>
      </c>
      <c r="C5720" s="9">
        <v>43733.0</v>
      </c>
      <c r="D5720" s="6" t="s">
        <v>6785</v>
      </c>
      <c r="E5720" s="4"/>
      <c r="F5720" s="8" t="s">
        <v>604</v>
      </c>
      <c r="G5720" s="4" t="s">
        <v>1092</v>
      </c>
      <c r="H5720" s="10" t="s">
        <v>816</v>
      </c>
      <c r="I5720" s="10">
        <v>6.0</v>
      </c>
      <c r="J5720" s="11" t="str">
        <f>IF(D5720&lt;&gt;"",VLOOKUP(H5720,TABLEITEM,5,FALSE),"")</f>
        <v>ท่อ</v>
      </c>
      <c r="K5720" s="12">
        <v>600.0</v>
      </c>
      <c r="L5720" s="13" t="str">
        <f>IF(D5720&lt;&gt;"",VLOOKUP(H5720,TABLEITEM,2,FALSE),"")</f>
        <v/>
      </c>
      <c r="M5720" s="13" t="str">
        <f>IF(D5720&lt;&gt;"",VLOOKUP(H5720,TABLEITEM,3,FALSE),"")</f>
        <v>อาร์กอน ขนาด 6คิว</v>
      </c>
      <c r="N5720" s="14">
        <f>INSTOCK!$I5720*INSTOCK!$K5720</f>
        <v>3600</v>
      </c>
      <c r="O5720" s="4"/>
      <c r="P5720" s="4"/>
    </row>
    <row r="5721" ht="15.75" customHeight="1">
      <c r="B5721" s="8">
        <v>6045.0</v>
      </c>
      <c r="C5721" s="9">
        <v>43735.0</v>
      </c>
      <c r="D5721" s="6" t="s">
        <v>6786</v>
      </c>
      <c r="E5721" s="4">
        <v>6.206000957E9</v>
      </c>
      <c r="F5721" s="8" t="s">
        <v>6787</v>
      </c>
      <c r="G5721" s="4" t="s">
        <v>5019</v>
      </c>
      <c r="H5721" s="10" t="s">
        <v>6788</v>
      </c>
      <c r="I5721" s="10">
        <v>1.0</v>
      </c>
      <c r="J5721" s="11" t="str">
        <f>IF(D5721&lt;&gt;"",VLOOKUP(H5721,TABLEITEM,5,FALSE),"")</f>
        <v>LOT</v>
      </c>
      <c r="K5721" s="12">
        <v>10000.0</v>
      </c>
      <c r="L5721" s="13" t="str">
        <f>IF(D5721&lt;&gt;"",VLOOKUP(H5721,TABLEITEM,2,FALSE),"")</f>
        <v/>
      </c>
      <c r="M5721" s="13" t="str">
        <f>IF(D5721&lt;&gt;"",VLOOKUP(H5721,TABLEITEM,3,FALSE),"")</f>
        <v>ANNUAL SERVICE MODEL OSP-22SNA MFG NO.HTB 11223</v>
      </c>
      <c r="N5721" s="14">
        <f>INSTOCK!$I5721*INSTOCK!$K5721</f>
        <v>10000</v>
      </c>
      <c r="O5721" s="4"/>
      <c r="P5721" s="4"/>
    </row>
    <row r="5722" ht="15.75" customHeight="1">
      <c r="B5722" s="8">
        <v>6046.0</v>
      </c>
      <c r="C5722" s="9">
        <v>43735.0</v>
      </c>
      <c r="D5722" s="6" t="s">
        <v>6786</v>
      </c>
      <c r="E5722" s="4">
        <v>6.206000957E9</v>
      </c>
      <c r="F5722" s="8" t="s">
        <v>6787</v>
      </c>
      <c r="G5722" s="4" t="s">
        <v>5019</v>
      </c>
      <c r="H5722" s="10" t="s">
        <v>6789</v>
      </c>
      <c r="I5722" s="10">
        <v>1.0</v>
      </c>
      <c r="J5722" s="11" t="str">
        <f>IF(D5722&lt;&gt;"",VLOOKUP(H5722,TABLEITEM,5,FALSE),"")</f>
        <v>LOT</v>
      </c>
      <c r="K5722" s="12">
        <v>0.0</v>
      </c>
      <c r="L5722" s="13" t="str">
        <f>IF(D5722&lt;&gt;"",VLOOKUP(H5722,TABLEITEM,2,FALSE),"")</f>
        <v/>
      </c>
      <c r="M5722" s="13" t="str">
        <f>IF(D5722&lt;&gt;"",VLOOKUP(H5722,TABLEITEM,3,FALSE),"")</f>
        <v>ANNUAL SERVICE MODEL ARX50J MFG NO E304002</v>
      </c>
      <c r="N5722" s="14">
        <f>INSTOCK!$I5722*INSTOCK!$K5722</f>
        <v>0</v>
      </c>
      <c r="O5722" s="4"/>
      <c r="P5722" s="4"/>
    </row>
    <row r="5723" ht="15.75" customHeight="1">
      <c r="B5723" s="8">
        <v>6047.0</v>
      </c>
      <c r="C5723" s="9">
        <v>43735.0</v>
      </c>
      <c r="D5723" s="6" t="s">
        <v>6790</v>
      </c>
      <c r="E5723" s="4">
        <v>6.209001434E9</v>
      </c>
      <c r="F5723" s="8" t="s">
        <v>6791</v>
      </c>
      <c r="G5723" s="4" t="s">
        <v>6792</v>
      </c>
      <c r="H5723" s="10" t="s">
        <v>6793</v>
      </c>
      <c r="I5723" s="10">
        <v>1.0</v>
      </c>
      <c r="J5723" s="11" t="str">
        <f>IF(D5723&lt;&gt;"",VLOOKUP(H5723,TABLEITEM,5,FALSE),"")</f>
        <v>EA</v>
      </c>
      <c r="K5723" s="12">
        <v>20000.0</v>
      </c>
      <c r="L5723" s="13" t="str">
        <f>IF(D5723&lt;&gt;"",VLOOKUP(H5723,TABLEITEM,2,FALSE),"")</f>
        <v/>
      </c>
      <c r="M5723" s="13" t="str">
        <f>IF(D5723&lt;&gt;"",VLOOKUP(H5723,TABLEITEM,3,FALSE),"")</f>
        <v>BOARD BMS-8N (อะไหล่เครื่องยิงสตัด)</v>
      </c>
      <c r="N5723" s="14">
        <f>INSTOCK!$I5723*INSTOCK!$K5723</f>
        <v>20000</v>
      </c>
      <c r="O5723" s="4"/>
      <c r="P5723" s="4"/>
    </row>
    <row r="5724" ht="15.75" customHeight="1">
      <c r="B5724" s="8">
        <v>6048.0</v>
      </c>
      <c r="C5724" s="9">
        <v>43706.0</v>
      </c>
      <c r="D5724" s="6" t="s">
        <v>6794</v>
      </c>
      <c r="E5724" s="4">
        <v>6.208001226E9</v>
      </c>
      <c r="F5724" s="8" t="s">
        <v>604</v>
      </c>
      <c r="G5724" s="4" t="s">
        <v>583</v>
      </c>
      <c r="H5724" s="10" t="s">
        <v>584</v>
      </c>
      <c r="I5724" s="10">
        <v>400.0</v>
      </c>
      <c r="J5724" s="11" t="str">
        <f>IF(D5724&lt;&gt;"",VLOOKUP(H5724,TABLEITEM,5,FALSE),"")</f>
        <v>EA</v>
      </c>
      <c r="K5724" s="12">
        <v>113.75</v>
      </c>
      <c r="L5724" s="13" t="str">
        <f>IF(D5724&lt;&gt;"",VLOOKUP(H5724,TABLEITEM,2,FALSE),"")</f>
        <v>Support</v>
      </c>
      <c r="M5724" s="13" t="str">
        <f>IF(D5724&lt;&gt;"",VLOOKUP(H5724,TABLEITEM,3,FALSE),"")</f>
        <v>SUPPORT VFM S7 2030 180</v>
      </c>
      <c r="N5724" s="14">
        <f>INSTOCK!$I5724*INSTOCK!$K5724</f>
        <v>45500</v>
      </c>
      <c r="O5724" s="4" t="s">
        <v>585</v>
      </c>
      <c r="P5724" s="4"/>
    </row>
    <row r="5725" ht="15.75" customHeight="1">
      <c r="B5725" s="8">
        <v>6049.0</v>
      </c>
      <c r="C5725" s="9">
        <v>43706.0</v>
      </c>
      <c r="D5725" s="6" t="s">
        <v>6794</v>
      </c>
      <c r="E5725" s="4">
        <v>6.208001226E9</v>
      </c>
      <c r="F5725" s="8" t="s">
        <v>604</v>
      </c>
      <c r="G5725" s="4" t="s">
        <v>583</v>
      </c>
      <c r="H5725" s="10" t="s">
        <v>590</v>
      </c>
      <c r="I5725" s="10">
        <v>600.0</v>
      </c>
      <c r="J5725" s="11" t="str">
        <f>IF(D5725&lt;&gt;"",VLOOKUP(H5725,TABLEITEM,5,FALSE),"")</f>
        <v>EA</v>
      </c>
      <c r="K5725" s="12">
        <v>188.5</v>
      </c>
      <c r="L5725" s="13" t="str">
        <f>IF(D5725&lt;&gt;"",VLOOKUP(H5725,TABLEITEM,2,FALSE),"")</f>
        <v>Support</v>
      </c>
      <c r="M5725" s="13" t="str">
        <f>IF(D5725&lt;&gt;"",VLOOKUP(H5725,TABLEITEM,3,FALSE),"")</f>
        <v>SUPPORT VFM D11 2040 270</v>
      </c>
      <c r="N5725" s="14">
        <f>INSTOCK!$I5725*INSTOCK!$K5725</f>
        <v>113100</v>
      </c>
      <c r="O5725" s="4" t="s">
        <v>589</v>
      </c>
      <c r="P5725" s="4"/>
    </row>
    <row r="5726" ht="15.75" customHeight="1">
      <c r="B5726" s="8">
        <v>6050.0</v>
      </c>
      <c r="C5726" s="9">
        <v>43706.0</v>
      </c>
      <c r="D5726" s="6" t="s">
        <v>6794</v>
      </c>
      <c r="E5726" s="4">
        <v>6.208001226E9</v>
      </c>
      <c r="F5726" s="8" t="s">
        <v>604</v>
      </c>
      <c r="G5726" s="4" t="s">
        <v>583</v>
      </c>
      <c r="H5726" s="10" t="s">
        <v>588</v>
      </c>
      <c r="I5726" s="18">
        <v>200.0</v>
      </c>
      <c r="J5726" s="11" t="str">
        <f>IF(D5726&lt;&gt;"",VLOOKUP(H5726,TABLEITEM,5,FALSE),"")</f>
        <v>EA</v>
      </c>
      <c r="K5726" s="17">
        <v>188.5</v>
      </c>
      <c r="L5726" s="13" t="str">
        <f>IF(D5726&lt;&gt;"",VLOOKUP(H5726,TABLEITEM,2,FALSE),"")</f>
        <v>Support</v>
      </c>
      <c r="M5726" s="13" t="str">
        <f>IF(D5726&lt;&gt;"",VLOOKUP(H5726,TABLEITEM,3,FALSE),"")</f>
        <v>SUPPORT VFM D7 2040 270</v>
      </c>
      <c r="N5726" s="14">
        <f>INSTOCK!$I5726*INSTOCK!$K5726</f>
        <v>37700</v>
      </c>
      <c r="O5726" s="4" t="s">
        <v>589</v>
      </c>
      <c r="P5726" s="4"/>
    </row>
    <row r="5727" ht="15.75" customHeight="1">
      <c r="B5727" s="8">
        <v>6051.0</v>
      </c>
      <c r="C5727" s="9">
        <v>43706.0</v>
      </c>
      <c r="D5727" s="6" t="s">
        <v>6794</v>
      </c>
      <c r="E5727" s="4">
        <v>6.208001226E9</v>
      </c>
      <c r="F5727" s="8" t="s">
        <v>604</v>
      </c>
      <c r="G5727" s="4" t="s">
        <v>583</v>
      </c>
      <c r="H5727" s="10" t="s">
        <v>596</v>
      </c>
      <c r="I5727" s="10">
        <v>10.0</v>
      </c>
      <c r="J5727" s="11" t="str">
        <f>IF(D5727&lt;&gt;"",VLOOKUP(H5727,TABLEITEM,5,FALSE),"")</f>
        <v>EA</v>
      </c>
      <c r="K5727" s="12">
        <v>1600.625</v>
      </c>
      <c r="L5727" s="13" t="str">
        <f>IF(D5727&lt;&gt;"",VLOOKUP(H5727,TABLEITEM,2,FALSE),"")</f>
        <v>Support</v>
      </c>
      <c r="M5727" s="13" t="str">
        <f>IF(D5727&lt;&gt;"",VLOOKUP(H5727,TABLEITEM,3,FALSE),"")</f>
        <v>FLATBAR 20x40x2340MM.</v>
      </c>
      <c r="N5727" s="14">
        <f>INSTOCK!$I5727*INSTOCK!$K5727</f>
        <v>16006.25</v>
      </c>
      <c r="O5727" s="4" t="s">
        <v>6795</v>
      </c>
      <c r="P5727" s="4"/>
    </row>
    <row r="5728" ht="15.75" customHeight="1">
      <c r="B5728" s="8">
        <v>6052.0</v>
      </c>
      <c r="C5728" s="9">
        <v>43735.0</v>
      </c>
      <c r="D5728" s="6" t="s">
        <v>6796</v>
      </c>
      <c r="E5728" s="4">
        <v>6.209001427E9</v>
      </c>
      <c r="F5728" s="8" t="s">
        <v>3166</v>
      </c>
      <c r="G5728" s="4" t="s">
        <v>1671</v>
      </c>
      <c r="H5728" s="10" t="s">
        <v>6797</v>
      </c>
      <c r="I5728" s="10">
        <v>3.0</v>
      </c>
      <c r="J5728" s="11" t="str">
        <f>IF(D5728&lt;&gt;"",VLOOKUP(H5728,TABLEITEM,5,FALSE),"")</f>
        <v>EA</v>
      </c>
      <c r="K5728" s="12">
        <v>180.0</v>
      </c>
      <c r="L5728" s="13" t="str">
        <f>IF(D5728&lt;&gt;"",VLOOKUP(H5728,TABLEITEM,2,FALSE),"")</f>
        <v/>
      </c>
      <c r="M5728" s="13" t="str">
        <f>IF(D5728&lt;&gt;"",VLOOKUP(H5728,TABLEITEM,3,FALSE),"")</f>
        <v>น้ำยาล้างแนวเชื่อม CT-501 NB</v>
      </c>
      <c r="N5728" s="14">
        <f>INSTOCK!$I5728*INSTOCK!$K5728</f>
        <v>540</v>
      </c>
      <c r="O5728" s="4"/>
      <c r="P5728" s="4"/>
    </row>
    <row r="5729" ht="15.75" customHeight="1">
      <c r="B5729" s="8">
        <v>6053.0</v>
      </c>
      <c r="C5729" s="9">
        <v>43738.0</v>
      </c>
      <c r="D5729" s="6" t="s">
        <v>6798</v>
      </c>
      <c r="E5729" s="4">
        <v>6.209001436E9</v>
      </c>
      <c r="F5729" s="8" t="s">
        <v>6747</v>
      </c>
      <c r="G5729" s="4" t="s">
        <v>1453</v>
      </c>
      <c r="H5729" s="10" t="s">
        <v>5459</v>
      </c>
      <c r="I5729" s="10">
        <v>4.0</v>
      </c>
      <c r="J5729" s="11" t="str">
        <f>IF(D5729&lt;&gt;"",VLOOKUP(H5729,TABLEITEM,5,FALSE),"")</f>
        <v>EA</v>
      </c>
      <c r="K5729" s="12">
        <v>545.3</v>
      </c>
      <c r="L5729" s="13" t="str">
        <f>IF(D5729&lt;&gt;"",VLOOKUP(H5729,TABLEITEM,2,FALSE),"")</f>
        <v/>
      </c>
      <c r="M5729" s="13" t="str">
        <f>IF(D5729&lt;&gt;"",VLOOKUP(H5729,TABLEITEM,3,FALSE),"")</f>
        <v>พัดลม 6" FP-108X-S1-B AC220/240V</v>
      </c>
      <c r="N5729" s="14">
        <f>INSTOCK!$I5729*INSTOCK!$K5729</f>
        <v>2181.2</v>
      </c>
      <c r="O5729" s="4" t="s">
        <v>5460</v>
      </c>
      <c r="P5729" s="4"/>
    </row>
    <row r="5730" ht="15.75" customHeight="1">
      <c r="B5730" s="8">
        <v>6054.0</v>
      </c>
      <c r="C5730" s="9">
        <v>43738.0</v>
      </c>
      <c r="D5730" s="6" t="s">
        <v>6798</v>
      </c>
      <c r="E5730" s="4">
        <v>6.209001436E9</v>
      </c>
      <c r="F5730" s="8" t="s">
        <v>6747</v>
      </c>
      <c r="G5730" s="4" t="s">
        <v>1453</v>
      </c>
      <c r="H5730" s="18" t="s">
        <v>5461</v>
      </c>
      <c r="I5730" s="10">
        <v>4.0</v>
      </c>
      <c r="J5730" s="11" t="str">
        <f>IF(D5730&lt;&gt;"",VLOOKUP(H5730,TABLEITEM,5,FALSE),"")</f>
        <v>EA</v>
      </c>
      <c r="K5730" s="12">
        <v>100.0</v>
      </c>
      <c r="L5730" s="13" t="str">
        <f>IF(D5730&lt;&gt;"",VLOOKUP(H5730,TABLEITEM,2,FALSE),"")</f>
        <v/>
      </c>
      <c r="M5730" s="13" t="str">
        <f>IF(D5730&lt;&gt;"",VLOOKUP(H5730,TABLEITEM,3,FALSE),"")</f>
        <v>ตะแกรงพัดลม 6" S-0172-7 T</v>
      </c>
      <c r="N5730" s="14">
        <f>INSTOCK!$I5730*INSTOCK!$K5730</f>
        <v>400</v>
      </c>
      <c r="O5730" s="4"/>
      <c r="P5730" s="4"/>
    </row>
    <row r="5731" ht="15.75" customHeight="1">
      <c r="B5731" s="8">
        <v>6055.0</v>
      </c>
      <c r="C5731" s="9">
        <v>43739.0</v>
      </c>
      <c r="D5731" s="6">
        <v>6.2100018E8</v>
      </c>
      <c r="E5731" s="4">
        <v>6.209001445E9</v>
      </c>
      <c r="F5731" s="8" t="s">
        <v>6799</v>
      </c>
      <c r="G5731" s="4" t="s">
        <v>1130</v>
      </c>
      <c r="H5731" s="10" t="s">
        <v>6800</v>
      </c>
      <c r="I5731" s="10">
        <v>2.0</v>
      </c>
      <c r="J5731" s="11" t="str">
        <f>IF(D5731&lt;&gt;"",VLOOKUP(H5731,TABLEITEM,5,FALSE),"")</f>
        <v>EA</v>
      </c>
      <c r="K5731" s="12">
        <v>4140.0</v>
      </c>
      <c r="L5731" s="13" t="str">
        <f>IF(D5731&lt;&gt;"",VLOOKUP(H5731,TABLEITEM,2,FALSE),"")</f>
        <v/>
      </c>
      <c r="M5731" s="13" t="str">
        <f>IF(D5731&lt;&gt;"",VLOOKUP(H5731,TABLEITEM,3,FALSE),"")</f>
        <v>เบรกเกอร์ NF250-SV 3P 125A </v>
      </c>
      <c r="N5731" s="14">
        <f>INSTOCK!$I5731*INSTOCK!$K5731</f>
        <v>8280</v>
      </c>
      <c r="O5731" s="4" t="s">
        <v>6801</v>
      </c>
      <c r="P5731" s="4"/>
    </row>
    <row r="5732" ht="15.75" customHeight="1">
      <c r="B5732" s="8">
        <v>6056.0</v>
      </c>
      <c r="C5732" s="9">
        <v>43739.0</v>
      </c>
      <c r="D5732" s="6">
        <v>6.2100018E8</v>
      </c>
      <c r="E5732" s="4">
        <v>6.209001445E9</v>
      </c>
      <c r="F5732" s="8" t="s">
        <v>6799</v>
      </c>
      <c r="G5732" s="4" t="s">
        <v>1130</v>
      </c>
      <c r="H5732" s="18" t="s">
        <v>6072</v>
      </c>
      <c r="I5732" s="10">
        <v>1.0</v>
      </c>
      <c r="J5732" s="11" t="str">
        <f>IF(D5732&lt;&gt;"",VLOOKUP(H5732,TABLEITEM,5,FALSE),"")</f>
        <v>EA</v>
      </c>
      <c r="K5732" s="12">
        <v>1935.0</v>
      </c>
      <c r="L5732" s="13" t="str">
        <f>IF(D5732&lt;&gt;"",VLOOKUP(H5732,TABLEITEM,2,FALSE),"")</f>
        <v/>
      </c>
      <c r="M5732" s="13" t="str">
        <f>IF(D5732&lt;&gt;"",VLOOKUP(H5732,TABLEITEM,3,FALSE),"")</f>
        <v>NF125-SV 3P 100A</v>
      </c>
      <c r="N5732" s="14">
        <f>INSTOCK!$I5732*INSTOCK!$K5732</f>
        <v>1935</v>
      </c>
      <c r="O5732" s="4" t="s">
        <v>6802</v>
      </c>
      <c r="P5732" s="4"/>
    </row>
    <row r="5733" ht="15.75" customHeight="1">
      <c r="B5733" s="8">
        <v>6057.0</v>
      </c>
      <c r="C5733" s="9">
        <v>43739.0</v>
      </c>
      <c r="D5733" s="6">
        <v>6.2100018E8</v>
      </c>
      <c r="E5733" s="4">
        <v>6.209001445E9</v>
      </c>
      <c r="F5733" s="8" t="s">
        <v>6799</v>
      </c>
      <c r="G5733" s="4" t="s">
        <v>1130</v>
      </c>
      <c r="H5733" s="10" t="s">
        <v>6803</v>
      </c>
      <c r="I5733" s="10">
        <v>1.0</v>
      </c>
      <c r="J5733" s="11" t="str">
        <f>IF(D5733&lt;&gt;"",VLOOKUP(H5733,TABLEITEM,5,FALSE),"")</f>
        <v>EA</v>
      </c>
      <c r="K5733" s="12">
        <v>1935.0</v>
      </c>
      <c r="L5733" s="13" t="str">
        <f>IF(D5733&lt;&gt;"",VLOOKUP(H5733,TABLEITEM,2,FALSE),"")</f>
        <v/>
      </c>
      <c r="M5733" s="13" t="str">
        <f>IF(D5733&lt;&gt;"",VLOOKUP(H5733,TABLEITEM,3,FALSE),"")</f>
        <v>เบรกเกอร์ NF125-SV 3P 80A </v>
      </c>
      <c r="N5733" s="14">
        <f>INSTOCK!$I5733*INSTOCK!$K5733</f>
        <v>1935</v>
      </c>
      <c r="O5733" s="4" t="s">
        <v>6802</v>
      </c>
      <c r="P5733" s="4"/>
    </row>
    <row r="5734" ht="15.75" customHeight="1">
      <c r="B5734" s="8">
        <v>6058.0</v>
      </c>
      <c r="C5734" s="9">
        <v>43739.0</v>
      </c>
      <c r="D5734" s="6">
        <v>6.2100018E8</v>
      </c>
      <c r="E5734" s="4">
        <v>6.209001445E9</v>
      </c>
      <c r="F5734" s="8" t="s">
        <v>6799</v>
      </c>
      <c r="G5734" s="4" t="s">
        <v>1130</v>
      </c>
      <c r="H5734" s="10" t="s">
        <v>6804</v>
      </c>
      <c r="I5734" s="10">
        <v>1.0</v>
      </c>
      <c r="J5734" s="11" t="str">
        <f>IF(D5734&lt;&gt;"",VLOOKUP(H5734,TABLEITEM,5,FALSE),"")</f>
        <v>EA</v>
      </c>
      <c r="K5734" s="12">
        <v>1935.0</v>
      </c>
      <c r="L5734" s="13" t="str">
        <f>IF(D5734&lt;&gt;"",VLOOKUP(H5734,TABLEITEM,2,FALSE),"")</f>
        <v/>
      </c>
      <c r="M5734" s="13" t="str">
        <f>IF(D5734&lt;&gt;"",VLOOKUP(H5734,TABLEITEM,3,FALSE),"")</f>
        <v>เบรกเกอร์ NF125-SV 3P 63A </v>
      </c>
      <c r="N5734" s="14">
        <f>INSTOCK!$I5734*INSTOCK!$K5734</f>
        <v>1935</v>
      </c>
      <c r="O5734" s="4" t="s">
        <v>6802</v>
      </c>
      <c r="P5734" s="4"/>
    </row>
    <row r="5735" ht="15.75" customHeight="1">
      <c r="B5735" s="8">
        <v>6059.0</v>
      </c>
      <c r="C5735" s="9">
        <v>43739.0</v>
      </c>
      <c r="D5735" s="6">
        <v>6.2100018E8</v>
      </c>
      <c r="E5735" s="4">
        <v>6.209001445E9</v>
      </c>
      <c r="F5735" s="8" t="s">
        <v>6799</v>
      </c>
      <c r="G5735" s="4" t="s">
        <v>1130</v>
      </c>
      <c r="H5735" s="10" t="s">
        <v>6805</v>
      </c>
      <c r="I5735" s="10">
        <v>3.0</v>
      </c>
      <c r="J5735" s="11" t="str">
        <f>IF(D5735&lt;&gt;"",VLOOKUP(H5735,TABLEITEM,5,FALSE),"")</f>
        <v>EA</v>
      </c>
      <c r="K5735" s="12">
        <v>1935.0</v>
      </c>
      <c r="L5735" s="13" t="str">
        <f>IF(D5735&lt;&gt;"",VLOOKUP(H5735,TABLEITEM,2,FALSE),"")</f>
        <v/>
      </c>
      <c r="M5735" s="13" t="str">
        <f>IF(D5735&lt;&gt;"",VLOOKUP(H5735,TABLEITEM,3,FALSE),"")</f>
        <v>เบรกเกอร์ NF125-SV 3P 32A </v>
      </c>
      <c r="N5735" s="14">
        <f>INSTOCK!$I5735*INSTOCK!$K5735</f>
        <v>5805</v>
      </c>
      <c r="O5735" s="4" t="s">
        <v>6802</v>
      </c>
      <c r="P5735" s="4"/>
    </row>
    <row r="5736" ht="15.75" customHeight="1">
      <c r="B5736" s="8">
        <v>6060.0</v>
      </c>
      <c r="C5736" s="9">
        <v>43739.0</v>
      </c>
      <c r="D5736" s="6">
        <v>6.2100018E8</v>
      </c>
      <c r="E5736" s="4">
        <v>6.209001445E9</v>
      </c>
      <c r="F5736" s="8" t="s">
        <v>6799</v>
      </c>
      <c r="G5736" s="4" t="s">
        <v>1130</v>
      </c>
      <c r="H5736" s="10" t="s">
        <v>6806</v>
      </c>
      <c r="I5736" s="10">
        <v>1.0</v>
      </c>
      <c r="J5736" s="11" t="str">
        <f>IF(D5736&lt;&gt;"",VLOOKUP(H5736,TABLEITEM,5,FALSE),"")</f>
        <v>EA</v>
      </c>
      <c r="K5736" s="12">
        <v>1111.5</v>
      </c>
      <c r="L5736" s="13" t="str">
        <f>IF(D5736&lt;&gt;"",VLOOKUP(H5736,TABLEITEM,2,FALSE),"")</f>
        <v/>
      </c>
      <c r="M5736" s="13" t="str">
        <f>IF(D5736&lt;&gt;"",VLOOKUP(H5736,TABLEITEM,3,FALSE),"")</f>
        <v>CRICUIT CP30-BA 2P5A</v>
      </c>
      <c r="N5736" s="14">
        <f>INSTOCK!$I5736*INSTOCK!$K5736</f>
        <v>1111.5</v>
      </c>
      <c r="O5736" s="4" t="s">
        <v>6192</v>
      </c>
      <c r="P5736" s="4"/>
    </row>
    <row r="5737" ht="15.75" customHeight="1">
      <c r="B5737" s="8">
        <v>6061.0</v>
      </c>
      <c r="C5737" s="9">
        <v>43739.0</v>
      </c>
      <c r="D5737" s="6">
        <v>6.2100018E8</v>
      </c>
      <c r="E5737" s="4">
        <v>6.209001445E9</v>
      </c>
      <c r="F5737" s="8" t="s">
        <v>6799</v>
      </c>
      <c r="G5737" s="4" t="s">
        <v>1130</v>
      </c>
      <c r="H5737" s="10" t="s">
        <v>1608</v>
      </c>
      <c r="I5737" s="10">
        <v>3.0</v>
      </c>
      <c r="J5737" s="11" t="str">
        <f>IF(D5737&lt;&gt;"",VLOOKUP(H5737,TABLEITEM,5,FALSE),"")</f>
        <v>EA</v>
      </c>
      <c r="K5737" s="12">
        <v>490.2</v>
      </c>
      <c r="L5737" s="13" t="str">
        <f>IF(D5737&lt;&gt;"",VLOOKUP(H5737,TABLEITEM,2,FALSE),"")</f>
        <v/>
      </c>
      <c r="M5737" s="13" t="str">
        <f>IF(D5737&lt;&gt;"",VLOOKUP(H5737,TABLEITEM,3,FALSE),"")</f>
        <v>CIRCUIT CP30-BA 1P 2A</v>
      </c>
      <c r="N5737" s="14">
        <f>INSTOCK!$I5737*INSTOCK!$K5737</f>
        <v>1470.6</v>
      </c>
      <c r="O5737" s="4" t="s">
        <v>1609</v>
      </c>
      <c r="P5737" s="4"/>
    </row>
    <row r="5738" ht="15.75" customHeight="1">
      <c r="B5738" s="8">
        <v>6062.0</v>
      </c>
      <c r="C5738" s="9">
        <v>43739.0</v>
      </c>
      <c r="D5738" s="6" t="s">
        <v>6807</v>
      </c>
      <c r="E5738" s="4">
        <v>6.209001449E9</v>
      </c>
      <c r="F5738" s="8" t="s">
        <v>823</v>
      </c>
      <c r="G5738" s="4" t="s">
        <v>808</v>
      </c>
      <c r="H5738" s="10" t="s">
        <v>809</v>
      </c>
      <c r="I5738" s="10">
        <v>1.0</v>
      </c>
      <c r="J5738" s="11" t="str">
        <f>IF(D5738&lt;&gt;"",VLOOKUP(H5738,TABLEITEM,5,FALSE),"")</f>
        <v>ท่อ</v>
      </c>
      <c r="K5738" s="12">
        <v>2700.0</v>
      </c>
      <c r="L5738" s="13"/>
      <c r="M5738" s="13" t="str">
        <f>IF(D5738&lt;&gt;"",VLOOKUP(H5738,TABLEITEM,3,FALSE),"")</f>
        <v>ไนโตรเจนเหลว ขนาด 100คิว</v>
      </c>
      <c r="N5738" s="14">
        <f>INSTOCK!$I5738*INSTOCK!$K5738</f>
        <v>2700</v>
      </c>
      <c r="O5738" s="4"/>
      <c r="P5738" s="4"/>
    </row>
    <row r="5739" ht="15.75" customHeight="1">
      <c r="B5739" s="8">
        <v>6063.0</v>
      </c>
      <c r="C5739" s="9">
        <v>43739.0</v>
      </c>
      <c r="D5739" s="6" t="s">
        <v>6807</v>
      </c>
      <c r="E5739" s="4">
        <v>6.209001449E9</v>
      </c>
      <c r="F5739" s="8" t="s">
        <v>823</v>
      </c>
      <c r="G5739" s="4" t="s">
        <v>808</v>
      </c>
      <c r="H5739" s="10" t="s">
        <v>824</v>
      </c>
      <c r="I5739" s="10">
        <v>1.0</v>
      </c>
      <c r="J5739" s="11" t="str">
        <f>IF(D5739&lt;&gt;"",VLOOKUP(H5739,TABLEITEM,5,FALSE),"")</f>
        <v>ท่อ</v>
      </c>
      <c r="K5739" s="12">
        <v>600.0</v>
      </c>
      <c r="L5739" s="13" t="str">
        <f>IF(D5739&lt;&gt;"",VLOOKUP(H5739,TABLEITEM,2,FALSE),"")</f>
        <v/>
      </c>
      <c r="M5739" s="13" t="str">
        <f>IF(D5739&lt;&gt;"",VLOOKUP(H5739,TABLEITEM,3,FALSE),"")</f>
        <v>20% CO2 Balance AR ขนาด 6คิว</v>
      </c>
      <c r="N5739" s="14">
        <f>INSTOCK!$I5739*INSTOCK!$K5739</f>
        <v>600</v>
      </c>
      <c r="O5739" s="4"/>
      <c r="P5739" s="4"/>
    </row>
    <row r="5740" ht="15.75" customHeight="1">
      <c r="B5740" s="8">
        <v>6064.0</v>
      </c>
      <c r="C5740" s="9">
        <v>43739.0</v>
      </c>
      <c r="D5740" s="6" t="s">
        <v>6808</v>
      </c>
      <c r="E5740" s="4">
        <v>6.20900143E9</v>
      </c>
      <c r="F5740" s="8" t="s">
        <v>604</v>
      </c>
      <c r="G5740" s="4" t="s">
        <v>737</v>
      </c>
      <c r="H5740" s="10" t="s">
        <v>16</v>
      </c>
      <c r="I5740" s="10">
        <v>360.0</v>
      </c>
      <c r="J5740" s="11" t="str">
        <f>IF(D5740&lt;&gt;"",VLOOKUP(H5740,TABLEITEM,5,FALSE),"")</f>
        <v>คู่</v>
      </c>
      <c r="K5740" s="12">
        <v>4.5834</v>
      </c>
      <c r="L5740" s="13" t="str">
        <f>IF(D5740&lt;&gt;"",VLOOKUP(H5740,TABLEITEM,2,FALSE),"")</f>
        <v/>
      </c>
      <c r="M5740" s="13" t="str">
        <f>IF(D5740&lt;&gt;"",VLOOKUP(H5740,TABLEITEM,3,FALSE),"")</f>
        <v>ถุงมือผ้า</v>
      </c>
      <c r="N5740" s="14">
        <f>INSTOCK!$I5740*INSTOCK!$K5740</f>
        <v>1650.024</v>
      </c>
      <c r="O5740" s="4" t="s">
        <v>6571</v>
      </c>
      <c r="P5740" s="4"/>
    </row>
    <row r="5741" ht="15.75" customHeight="1">
      <c r="B5741" s="8">
        <v>6065.0</v>
      </c>
      <c r="C5741" s="9">
        <v>43739.0</v>
      </c>
      <c r="D5741" s="6">
        <v>6207728.0</v>
      </c>
      <c r="E5741" s="4">
        <v>6.209001357E9</v>
      </c>
      <c r="F5741" s="8" t="s">
        <v>6809</v>
      </c>
      <c r="G5741" s="4" t="s">
        <v>2688</v>
      </c>
      <c r="H5741" s="10" t="s">
        <v>6465</v>
      </c>
      <c r="I5741" s="10">
        <v>1.0</v>
      </c>
      <c r="J5741" s="11" t="str">
        <f>IF(D5741&lt;&gt;"",VLOOKUP(H5741,TABLEITEM,5,FALSE),"")</f>
        <v>EA</v>
      </c>
      <c r="K5741" s="12">
        <v>6900.0</v>
      </c>
      <c r="L5741" s="13" t="str">
        <f>IF(D5741&lt;&gt;"",VLOOKUP(H5741,TABLEITEM,2,FALSE),"")</f>
        <v/>
      </c>
      <c r="M5741" s="13" t="str">
        <f>IF(D5741&lt;&gt;"",VLOOKUP(H5741,TABLEITEM,3,FALSE),"")</f>
        <v>HD,500GB,ES,7.2,3.5,W-SU,E/C</v>
      </c>
      <c r="N5741" s="14">
        <f>INSTOCK!$I5741*INSTOCK!$K5741</f>
        <v>6900</v>
      </c>
      <c r="O5741" s="4"/>
      <c r="P5741" s="4"/>
    </row>
    <row r="5742" ht="15.75" customHeight="1">
      <c r="B5742" s="8">
        <v>6066.0</v>
      </c>
      <c r="C5742" s="9">
        <v>43739.0</v>
      </c>
      <c r="D5742" s="6">
        <v>6207728.0</v>
      </c>
      <c r="E5742" s="4">
        <v>6.209001357E9</v>
      </c>
      <c r="F5742" s="8" t="s">
        <v>6809</v>
      </c>
      <c r="G5742" s="4" t="s">
        <v>2688</v>
      </c>
      <c r="H5742" s="10" t="s">
        <v>4942</v>
      </c>
      <c r="I5742" s="10">
        <v>1.0</v>
      </c>
      <c r="J5742" s="11" t="str">
        <f>IF(D5742&lt;&gt;"",VLOOKUP(H5742,TABLEITEM,5,FALSE),"")</f>
        <v>EA</v>
      </c>
      <c r="K5742" s="12">
        <v>450.0</v>
      </c>
      <c r="L5742" s="13" t="str">
        <f>IF(D5742&lt;&gt;"",VLOOKUP(H5742,TABLEITEM,2,FALSE),"")</f>
        <v/>
      </c>
      <c r="M5742" s="13" t="str">
        <f>IF(D5742&lt;&gt;"",VLOOKUP(H5742,TABLEITEM,3,FALSE),"")</f>
        <v>ASSY,CARR,HD,SAS-SATAU,3.5</v>
      </c>
      <c r="N5742" s="14">
        <f>INSTOCK!$I5742*INSTOCK!$K5742</f>
        <v>450</v>
      </c>
      <c r="O5742" s="4"/>
      <c r="P5742" s="4"/>
    </row>
    <row r="5743" ht="15.75" customHeight="1">
      <c r="B5743" s="8">
        <v>6067.0</v>
      </c>
      <c r="C5743" s="9">
        <v>43739.0</v>
      </c>
      <c r="D5743" s="6">
        <v>6207728.0</v>
      </c>
      <c r="E5743" s="4">
        <v>6.209001357E9</v>
      </c>
      <c r="F5743" s="8" t="s">
        <v>6809</v>
      </c>
      <c r="G5743" s="4" t="s">
        <v>2688</v>
      </c>
      <c r="H5743" s="10" t="s">
        <v>4943</v>
      </c>
      <c r="I5743" s="10">
        <v>4.0</v>
      </c>
      <c r="J5743" s="11" t="str">
        <f>IF(D5743&lt;&gt;"",VLOOKUP(H5743,TABLEITEM,5,FALSE),"")</f>
        <v>EA</v>
      </c>
      <c r="K5743" s="12">
        <v>120.0</v>
      </c>
      <c r="L5743" s="13" t="str">
        <f>IF(D5743&lt;&gt;"",VLOOKUP(H5743,TABLEITEM,2,FALSE),"")</f>
        <v/>
      </c>
      <c r="M5743" s="13" t="str">
        <f>IF(D5743&lt;&gt;"",VLOOKUP(H5743,TABLEITEM,3,FALSE),"")</f>
        <v>SCR,6-32X.225,PHH,FLH.BLK</v>
      </c>
      <c r="N5743" s="14">
        <f>INSTOCK!$I5743*INSTOCK!$K5743</f>
        <v>480</v>
      </c>
      <c r="O5743" s="4"/>
      <c r="P5743" s="4"/>
    </row>
    <row r="5744" ht="15.75" customHeight="1">
      <c r="B5744" s="8">
        <v>6068.0</v>
      </c>
      <c r="C5744" s="9">
        <v>43739.0</v>
      </c>
      <c r="D5744" s="6">
        <v>9392.0</v>
      </c>
      <c r="E5744" s="4">
        <v>6.209001438E9</v>
      </c>
      <c r="F5744" s="8" t="s">
        <v>604</v>
      </c>
      <c r="G5744" s="4" t="s">
        <v>1009</v>
      </c>
      <c r="H5744" s="10" t="s">
        <v>1010</v>
      </c>
      <c r="I5744" s="10">
        <v>150.0</v>
      </c>
      <c r="J5744" s="11" t="str">
        <f>IF(D5744&lt;&gt;"",VLOOKUP(H5744,TABLEITEM,5,FALSE),"")</f>
        <v>EA</v>
      </c>
      <c r="K5744" s="12">
        <v>200.0</v>
      </c>
      <c r="L5744" s="13" t="str">
        <f>IF(D5744&lt;&gt;"",VLOOKUP(H5744,TABLEITEM,2,FALSE),"")</f>
        <v/>
      </c>
      <c r="M5744" s="13" t="str">
        <f>IF(D5744&lt;&gt;"",VLOOKUP(H5744,TABLEITEM,3,FALSE),"")</f>
        <v>กุญแจMS306-1-1</v>
      </c>
      <c r="N5744" s="14">
        <f>INSTOCK!$I5744*INSTOCK!$K5744</f>
        <v>30000</v>
      </c>
      <c r="O5744" s="4"/>
      <c r="P5744" s="4"/>
    </row>
    <row r="5745" ht="15.75" customHeight="1">
      <c r="B5745" s="8">
        <v>6069.0</v>
      </c>
      <c r="C5745" s="9">
        <v>43739.0</v>
      </c>
      <c r="D5745" s="6">
        <v>9393.0</v>
      </c>
      <c r="E5745" s="4">
        <v>6.209001397E9</v>
      </c>
      <c r="F5745" s="8" t="s">
        <v>6810</v>
      </c>
      <c r="G5745" s="4" t="s">
        <v>1009</v>
      </c>
      <c r="H5745" s="18" t="s">
        <v>6811</v>
      </c>
      <c r="I5745" s="10">
        <v>50.0</v>
      </c>
      <c r="J5745" s="11" t="str">
        <f>IF(D5745&lt;&gt;"",VLOOKUP(H5745,TABLEITEM,5,FALSE),"")</f>
        <v>EA</v>
      </c>
      <c r="K5745" s="12">
        <v>90.0</v>
      </c>
      <c r="L5745" s="13" t="str">
        <f>IF(D5745&lt;&gt;"",VLOOKUP(H5745,TABLEITEM,2,FALSE),"")</f>
        <v/>
      </c>
      <c r="M5745" s="13" t="str">
        <f>IF(D5745&lt;&gt;"",VLOOKUP(H5745,TABLEITEM,3,FALSE),"")</f>
        <v>DOOR LOCKER AB301-3-1 BLACK</v>
      </c>
      <c r="N5745" s="14">
        <f>INSTOCK!$I5745*INSTOCK!$K5745</f>
        <v>4500</v>
      </c>
      <c r="O5745" s="4"/>
      <c r="P5745" s="4"/>
    </row>
    <row r="5746" ht="15.75" customHeight="1">
      <c r="B5746" s="8">
        <v>6070.0</v>
      </c>
      <c r="C5746" s="9">
        <v>43739.0</v>
      </c>
      <c r="D5746" s="6">
        <v>9390.0</v>
      </c>
      <c r="E5746" s="4">
        <v>6.209001435E9</v>
      </c>
      <c r="F5746" s="8" t="s">
        <v>6810</v>
      </c>
      <c r="G5746" s="4" t="s">
        <v>1009</v>
      </c>
      <c r="H5746" s="18" t="s">
        <v>6811</v>
      </c>
      <c r="I5746" s="10">
        <v>50.0</v>
      </c>
      <c r="J5746" s="11" t="str">
        <f>IF(D5746&lt;&gt;"",VLOOKUP(H5746,TABLEITEM,5,FALSE),"")</f>
        <v>EA</v>
      </c>
      <c r="K5746" s="12">
        <v>90.0</v>
      </c>
      <c r="L5746" s="13" t="str">
        <f>IF(D5746&lt;&gt;"",VLOOKUP(H5746,TABLEITEM,2,FALSE),"")</f>
        <v/>
      </c>
      <c r="M5746" s="13" t="str">
        <f>IF(D5746&lt;&gt;"",VLOOKUP(H5746,TABLEITEM,3,FALSE),"")</f>
        <v>DOOR LOCKER AB301-3-1 BLACK</v>
      </c>
      <c r="N5746" s="14">
        <f>INSTOCK!$I5746*INSTOCK!$K5746</f>
        <v>4500</v>
      </c>
      <c r="O5746" s="4"/>
      <c r="P5746" s="4"/>
    </row>
    <row r="5747" ht="15.75" customHeight="1">
      <c r="B5747" s="8">
        <v>6071.0</v>
      </c>
      <c r="C5747" s="9">
        <v>43739.0</v>
      </c>
      <c r="D5747" s="6">
        <v>6.21000058E8</v>
      </c>
      <c r="E5747" s="4">
        <v>6.209001431E9</v>
      </c>
      <c r="F5747" s="8" t="s">
        <v>604</v>
      </c>
      <c r="G5747" s="4" t="s">
        <v>1777</v>
      </c>
      <c r="H5747" s="10" t="s">
        <v>3380</v>
      </c>
      <c r="I5747" s="10">
        <v>1000.0</v>
      </c>
      <c r="J5747" s="11" t="str">
        <f>IF(D5747&lt;&gt;"",VLOOKUP(H5747,TABLEITEM,5,FALSE),"")</f>
        <v>EA</v>
      </c>
      <c r="K5747" s="12">
        <v>1.521</v>
      </c>
      <c r="L5747" s="13" t="str">
        <f>IF(D5747&lt;&gt;"",VLOOKUP(H5747,TABLEITEM,2,FALSE),"")</f>
        <v/>
      </c>
      <c r="M5747" s="13" t="str">
        <f>IF(D5747&lt;&gt;"",VLOOKUP(H5747,TABLEITEM,3,FALSE),"")</f>
        <v>สกรูหัวเหลี่ยมชุบขาว M10x25</v>
      </c>
      <c r="N5747" s="14">
        <f>INSTOCK!$I5747*INSTOCK!$K5747</f>
        <v>1521</v>
      </c>
      <c r="O5747" s="4" t="s">
        <v>3381</v>
      </c>
      <c r="P5747" s="4"/>
    </row>
    <row r="5748" ht="15.75" customHeight="1">
      <c r="B5748" s="8">
        <v>6072.0</v>
      </c>
      <c r="C5748" s="9">
        <v>43739.0</v>
      </c>
      <c r="D5748" s="6" t="s">
        <v>6812</v>
      </c>
      <c r="E5748" s="4">
        <v>6.209001439E9</v>
      </c>
      <c r="F5748" s="8" t="s">
        <v>604</v>
      </c>
      <c r="G5748" s="4" t="s">
        <v>743</v>
      </c>
      <c r="H5748" s="10" t="s">
        <v>75</v>
      </c>
      <c r="I5748" s="10">
        <v>200.0</v>
      </c>
      <c r="J5748" s="11" t="str">
        <f>IF(D5748&lt;&gt;"",VLOOKUP(H5748,TABLEITEM,5,FALSE),"")</f>
        <v>KG.</v>
      </c>
      <c r="K5748" s="12">
        <v>149.35</v>
      </c>
      <c r="L5748" s="13" t="str">
        <f>IF(D5748&lt;&gt;"",VLOOKUP(H5748,TABLEITEM,2,FALSE),"")</f>
        <v/>
      </c>
      <c r="M5748" s="13" t="str">
        <f>IF(D5748&lt;&gt;"",VLOOKUP(H5748,TABLEITEM,3,FALSE),"")</f>
        <v>สีฝุ่น สีครีมย่น 1002735PX20</v>
      </c>
      <c r="N5748" s="14">
        <f>INSTOCK!$I5748*INSTOCK!$K5748</f>
        <v>29870</v>
      </c>
      <c r="O5748" s="4"/>
      <c r="P5748" s="4"/>
    </row>
    <row r="5749" ht="15.75" customHeight="1">
      <c r="B5749" s="8">
        <v>6073.0</v>
      </c>
      <c r="C5749" s="9">
        <v>43735.0</v>
      </c>
      <c r="D5749" s="6">
        <v>53089.0</v>
      </c>
      <c r="E5749" s="4">
        <v>6.209001432E9</v>
      </c>
      <c r="F5749" s="8" t="s">
        <v>604</v>
      </c>
      <c r="G5749" s="4" t="s">
        <v>5349</v>
      </c>
      <c r="H5749" s="10" t="s">
        <v>85</v>
      </c>
      <c r="I5749" s="10">
        <v>140.0</v>
      </c>
      <c r="J5749" s="11" t="str">
        <f>IF(D5749&lt;&gt;"",VLOOKUP(H5749,TABLEITEM,5,FALSE),"")</f>
        <v>KG.</v>
      </c>
      <c r="K5749" s="12">
        <v>112.0</v>
      </c>
      <c r="L5749" s="13" t="str">
        <f>IF(D5749&lt;&gt;"",VLOOKUP(H5749,TABLEITEM,2,FALSE),"")</f>
        <v/>
      </c>
      <c r="M5749" s="13" t="str">
        <f>IF(D5749&lt;&gt;"",VLOOKUP(H5749,TABLEITEM,3,FALSE),"")</f>
        <v>สีฝุ่น GH433241 สีเทาย่น</v>
      </c>
      <c r="N5749" s="14">
        <f>INSTOCK!$I5749*INSTOCK!$K5749</f>
        <v>15680</v>
      </c>
      <c r="O5749" s="4"/>
      <c r="P5749" s="4"/>
    </row>
    <row r="5750" ht="15.75" customHeight="1">
      <c r="B5750" s="8">
        <v>6074.0</v>
      </c>
      <c r="C5750" s="9">
        <v>43740.0</v>
      </c>
      <c r="D5750" s="6" t="s">
        <v>6813</v>
      </c>
      <c r="E5750" s="4">
        <v>6.210001455E9</v>
      </c>
      <c r="F5750" s="8" t="s">
        <v>801</v>
      </c>
      <c r="G5750" s="4" t="s">
        <v>1417</v>
      </c>
      <c r="H5750" s="10" t="s">
        <v>803</v>
      </c>
      <c r="I5750" s="10">
        <v>20.0</v>
      </c>
      <c r="J5750" s="11" t="str">
        <f>IF(D5750&lt;&gt;"",VLOOKUP(H5750,TABLEITEM,5,FALSE),"")</f>
        <v>ถัง</v>
      </c>
      <c r="K5750" s="12">
        <v>981.31</v>
      </c>
      <c r="L5750" s="13" t="str">
        <f>IF(D5750&lt;&gt;"",VLOOKUP(H5750,TABLEITEM,2,FALSE),"")</f>
        <v/>
      </c>
      <c r="M5750" s="13" t="str">
        <f>IF(D5750&lt;&gt;"",VLOOKUP(H5750,TABLEITEM,3,FALSE),"")</f>
        <v>แก๊สหุงต้ม 48กก</v>
      </c>
      <c r="N5750" s="14">
        <f>INSTOCK!$I5750*INSTOCK!$K5750</f>
        <v>19626.2</v>
      </c>
      <c r="O5750" s="4"/>
      <c r="P5750" s="4"/>
    </row>
    <row r="5751" ht="15.75" customHeight="1">
      <c r="B5751" s="8">
        <v>6075.0</v>
      </c>
      <c r="C5751" s="9">
        <v>43739.0</v>
      </c>
      <c r="D5751" s="6" t="s">
        <v>6814</v>
      </c>
      <c r="E5751" s="4">
        <v>6.209001371E9</v>
      </c>
      <c r="F5751" s="8" t="s">
        <v>6815</v>
      </c>
      <c r="G5751" s="4" t="s">
        <v>1985</v>
      </c>
      <c r="H5751" s="10" t="s">
        <v>2557</v>
      </c>
      <c r="I5751" s="10">
        <v>34.0</v>
      </c>
      <c r="J5751" s="11" t="str">
        <f>IF(D5751&lt;&gt;"",VLOOKUP(H5751,TABLEITEM,5,FALSE),"")</f>
        <v>คู่</v>
      </c>
      <c r="K5751" s="12">
        <v>560.0</v>
      </c>
      <c r="L5751" s="13" t="str">
        <f>IF(D5751&lt;&gt;"",VLOOKUP(H5751,TABLEITEM,2,FALSE),"")</f>
        <v/>
      </c>
      <c r="M5751" s="13" t="str">
        <f>IF(D5751&lt;&gt;"",VLOOKUP(H5751,TABLEITEM,3,FALSE),"")</f>
        <v>รองเท้าหุ้มส้นพื้นยาง CB800</v>
      </c>
      <c r="N5751" s="14">
        <f>INSTOCK!$I5751*INSTOCK!$K5751</f>
        <v>19040</v>
      </c>
      <c r="O5751" s="4"/>
      <c r="P5751" s="4"/>
    </row>
    <row r="5752" ht="15.75" customHeight="1">
      <c r="B5752" s="8">
        <v>6076.0</v>
      </c>
      <c r="C5752" s="9">
        <v>43739.0</v>
      </c>
      <c r="D5752" s="6" t="s">
        <v>6814</v>
      </c>
      <c r="E5752" s="4">
        <v>6.209001371E9</v>
      </c>
      <c r="F5752" s="8" t="s">
        <v>6815</v>
      </c>
      <c r="G5752" s="4" t="s">
        <v>1985</v>
      </c>
      <c r="H5752" s="10" t="s">
        <v>1986</v>
      </c>
      <c r="I5752" s="10">
        <v>16.0</v>
      </c>
      <c r="J5752" s="11" t="str">
        <f>IF(D5752&lt;&gt;"",VLOOKUP(H5752,TABLEITEM,5,FALSE),"")</f>
        <v>คู่</v>
      </c>
      <c r="K5752" s="12">
        <v>550.0</v>
      </c>
      <c r="L5752" s="13" t="str">
        <f>IF(D5752&lt;&gt;"",VLOOKUP(H5752,TABLEITEM,2,FALSE),"")</f>
        <v/>
      </c>
      <c r="M5752" s="13" t="str">
        <f>IF(D5752&lt;&gt;"",VLOOKUP(H5752,TABLEITEM,3,FALSE),"")</f>
        <v>รองเท้าหุ้มข้อหนังอัดลาย CB102</v>
      </c>
      <c r="N5752" s="14">
        <f>INSTOCK!$I5752*INSTOCK!$K5752</f>
        <v>8800</v>
      </c>
      <c r="O5752" s="4"/>
      <c r="P5752" s="4"/>
    </row>
    <row r="5753" ht="15.75" customHeight="1">
      <c r="B5753" s="8">
        <v>6077.0</v>
      </c>
      <c r="C5753" s="9">
        <v>43741.0</v>
      </c>
      <c r="D5753" s="6" t="s">
        <v>6816</v>
      </c>
      <c r="E5753" s="4">
        <v>6.210001458E9</v>
      </c>
      <c r="F5753" s="8" t="s">
        <v>604</v>
      </c>
      <c r="G5753" s="4" t="s">
        <v>725</v>
      </c>
      <c r="H5753" s="10" t="s">
        <v>26</v>
      </c>
      <c r="I5753" s="10">
        <v>1500.0</v>
      </c>
      <c r="J5753" s="11" t="str">
        <f>IF(D5753&lt;&gt;"",VLOOKUP(H5753,TABLEITEM,5,FALSE),"")</f>
        <v>M</v>
      </c>
      <c r="K5753" s="12">
        <v>18.0</v>
      </c>
      <c r="L5753" s="13" t="str">
        <f>IF(D5753&lt;&gt;"",VLOOKUP(H5753,TABLEITEM,2,FALSE),"")</f>
        <v/>
      </c>
      <c r="M5753" s="13" t="str">
        <f>IF(D5753&lt;&gt;"",VLOOKUP(H5753,TABLEITEM,3,FALSE),"")</f>
        <v>ยางโปร่ง#110</v>
      </c>
      <c r="N5753" s="14">
        <f>INSTOCK!$I5753*INSTOCK!$K5753</f>
        <v>27000</v>
      </c>
      <c r="O5753" s="4"/>
      <c r="P5753" s="4"/>
    </row>
    <row r="5754" ht="15.75" customHeight="1">
      <c r="B5754" s="8">
        <v>6078.0</v>
      </c>
      <c r="C5754" s="9">
        <v>43740.0</v>
      </c>
      <c r="D5754" s="6" t="s">
        <v>6817</v>
      </c>
      <c r="E5754" s="4">
        <v>6.210001462E9</v>
      </c>
      <c r="F5754" s="8" t="s">
        <v>6818</v>
      </c>
      <c r="G5754" s="4" t="s">
        <v>617</v>
      </c>
      <c r="H5754" s="10" t="s">
        <v>564</v>
      </c>
      <c r="I5754" s="10">
        <v>30.0</v>
      </c>
      <c r="J5754" s="11" t="str">
        <f>IF(D5754&lt;&gt;"",VLOOKUP(H5754,TABLEITEM,5,FALSE),"")</f>
        <v>M</v>
      </c>
      <c r="K5754" s="12">
        <v>1939.98</v>
      </c>
      <c r="L5754" s="13" t="str">
        <f>IF(D5754&lt;&gt;"",VLOOKUP(H5754,TABLEITEM,2,FALSE),"")</f>
        <v>Busbar</v>
      </c>
      <c r="M5754" s="13" t="str">
        <f>IF(D5754&lt;&gt;"",VLOOKUP(H5754,TABLEITEM,3,FALSE),"")</f>
        <v>บัสบาร์ทองแดง 100x10</v>
      </c>
      <c r="N5754" s="14">
        <f>INSTOCK!$I5754*INSTOCK!$K5754</f>
        <v>58199.4</v>
      </c>
      <c r="O5754" s="4" t="s">
        <v>6722</v>
      </c>
      <c r="P5754" s="4"/>
    </row>
    <row r="5755" ht="15.75" customHeight="1">
      <c r="B5755" s="8">
        <v>6079.0</v>
      </c>
      <c r="C5755" s="9">
        <v>43740.0</v>
      </c>
      <c r="D5755" s="6" t="s">
        <v>6819</v>
      </c>
      <c r="E5755" s="4">
        <v>6.20900134E9</v>
      </c>
      <c r="F5755" s="8" t="s">
        <v>604</v>
      </c>
      <c r="G5755" s="4" t="s">
        <v>798</v>
      </c>
      <c r="H5755" s="10" t="s">
        <v>1284</v>
      </c>
      <c r="I5755" s="10">
        <v>1000.0</v>
      </c>
      <c r="J5755" s="11" t="str">
        <f>IF(D5755&lt;&gt;"",VLOOKUP(H5755,TABLEITEM,5,FALSE),"")</f>
        <v>EA</v>
      </c>
      <c r="K5755" s="12">
        <v>23.0</v>
      </c>
      <c r="L5755" s="13" t="str">
        <f>IF(D5755&lt;&gt;"",VLOOKUP(H5755,TABLEITEM,2,FALSE),"")</f>
        <v/>
      </c>
      <c r="M5755" s="13" t="str">
        <f>IF(D5755&lt;&gt;"",VLOOKUP(H5755,TABLEITEM,3,FALSE),"")</f>
        <v>กุญแจกลมดำ แบบมีก้านลิ้นสั้น178-04-G-293</v>
      </c>
      <c r="N5755" s="14">
        <f>INSTOCK!$I5755*INSTOCK!$K5755</f>
        <v>23000</v>
      </c>
      <c r="O5755" s="4"/>
      <c r="P5755" s="4"/>
    </row>
    <row r="5756" ht="15.75" customHeight="1">
      <c r="B5756" s="8">
        <v>6080.0</v>
      </c>
      <c r="C5756" s="9">
        <v>43740.0</v>
      </c>
      <c r="D5756" s="6" t="s">
        <v>6820</v>
      </c>
      <c r="E5756" s="4">
        <v>6.210001464E9</v>
      </c>
      <c r="F5756" s="8" t="s">
        <v>604</v>
      </c>
      <c r="G5756" s="4" t="s">
        <v>2320</v>
      </c>
      <c r="H5756" s="10" t="s">
        <v>513</v>
      </c>
      <c r="I5756" s="10">
        <v>100.0</v>
      </c>
      <c r="J5756" s="11" t="str">
        <f>IF(D5756&lt;&gt;"",VLOOKUP(H5756,TABLEITEM,5,FALSE),"")</f>
        <v>M</v>
      </c>
      <c r="K5756" s="12">
        <v>35.19</v>
      </c>
      <c r="L5756" s="13" t="str">
        <f>IF(D5756&lt;&gt;"",VLOOKUP(H5756,TABLEITEM,2,FALSE),"")</f>
        <v>wire</v>
      </c>
      <c r="M5756" s="13" t="str">
        <f>IF(D5756&lt;&gt;"",VLOOKUP(H5756,TABLEITEM,3,FALSE),"")</f>
        <v>สายTHW ขนาด 1x16 SQMM.สีดำ</v>
      </c>
      <c r="N5756" s="14">
        <f>INSTOCK!$I5756*INSTOCK!$K5756</f>
        <v>3519</v>
      </c>
      <c r="O5756" s="4" t="s">
        <v>6039</v>
      </c>
      <c r="P5756" s="4"/>
    </row>
    <row r="5757" ht="15.75" customHeight="1">
      <c r="B5757" s="8">
        <v>6081.0</v>
      </c>
      <c r="C5757" s="9">
        <v>43739.0</v>
      </c>
      <c r="D5757" s="6" t="s">
        <v>6821</v>
      </c>
      <c r="E5757" s="4">
        <v>6.210001456E9</v>
      </c>
      <c r="F5757" s="8" t="s">
        <v>604</v>
      </c>
      <c r="G5757" s="4" t="s">
        <v>692</v>
      </c>
      <c r="H5757" s="10" t="s">
        <v>513</v>
      </c>
      <c r="I5757" s="10">
        <v>200.0</v>
      </c>
      <c r="J5757" s="11" t="str">
        <f>IF(D5757&lt;&gt;"",VLOOKUP(H5757,TABLEITEM,5,FALSE),"")</f>
        <v>M</v>
      </c>
      <c r="K5757" s="12">
        <v>34.425</v>
      </c>
      <c r="L5757" s="13" t="str">
        <f>IF(D5757&lt;&gt;"",VLOOKUP(H5757,TABLEITEM,2,FALSE),"")</f>
        <v>wire</v>
      </c>
      <c r="M5757" s="13" t="str">
        <f>IF(D5757&lt;&gt;"",VLOOKUP(H5757,TABLEITEM,3,FALSE),"")</f>
        <v>สายTHW ขนาด 1x16 SQMM.สีดำ</v>
      </c>
      <c r="N5757" s="14">
        <f>INSTOCK!$I5757*INSTOCK!$K5757</f>
        <v>6885</v>
      </c>
      <c r="O5757" s="4" t="s">
        <v>6822</v>
      </c>
      <c r="P5757" s="4"/>
    </row>
    <row r="5758" ht="15.75" customHeight="1">
      <c r="B5758" s="8">
        <v>6082.0</v>
      </c>
      <c r="C5758" s="9">
        <v>43739.0</v>
      </c>
      <c r="D5758" s="6" t="s">
        <v>6821</v>
      </c>
      <c r="E5758" s="4">
        <v>6.210001456E9</v>
      </c>
      <c r="F5758" s="8" t="s">
        <v>604</v>
      </c>
      <c r="G5758" s="4" t="s">
        <v>692</v>
      </c>
      <c r="H5758" s="10" t="s">
        <v>515</v>
      </c>
      <c r="I5758" s="10">
        <v>100.0</v>
      </c>
      <c r="J5758" s="11" t="str">
        <f>IF(D5758&lt;&gt;"",VLOOKUP(H5758,TABLEITEM,5,FALSE),"")</f>
        <v>M</v>
      </c>
      <c r="K5758" s="12">
        <v>76.725</v>
      </c>
      <c r="L5758" s="13" t="str">
        <f>IF(D5758&lt;&gt;"",VLOOKUP(H5758,TABLEITEM,2,FALSE),"")</f>
        <v>wire</v>
      </c>
      <c r="M5758" s="13" t="str">
        <f>IF(D5758&lt;&gt;"",VLOOKUP(H5758,TABLEITEM,3,FALSE),"")</f>
        <v>สายTHW ขนาด 1x35 SQMM.สีดำ</v>
      </c>
      <c r="N5758" s="14">
        <f>INSTOCK!$I5758*INSTOCK!$K5758</f>
        <v>7672.5</v>
      </c>
      <c r="O5758" s="4" t="s">
        <v>6823</v>
      </c>
      <c r="P5758" s="4"/>
    </row>
    <row r="5759" ht="15.75" customHeight="1">
      <c r="B5759" s="8">
        <v>6083.0</v>
      </c>
      <c r="C5759" s="9">
        <v>43740.0</v>
      </c>
      <c r="D5759" s="6" t="s">
        <v>6824</v>
      </c>
      <c r="E5759" s="4">
        <v>6.209001446E9</v>
      </c>
      <c r="F5759" s="8" t="s">
        <v>604</v>
      </c>
      <c r="G5759" s="4" t="s">
        <v>665</v>
      </c>
      <c r="H5759" s="10" t="s">
        <v>472</v>
      </c>
      <c r="I5759" s="10">
        <v>2000.0</v>
      </c>
      <c r="J5759" s="11" t="str">
        <f>IF(D5759&lt;&gt;"",VLOOKUP(H5759,TABLEITEM,5,FALSE),"")</f>
        <v>M</v>
      </c>
      <c r="K5759" s="12">
        <v>5.37</v>
      </c>
      <c r="L5759" s="13" t="str">
        <f>IF(D5759&lt;&gt;"",VLOOKUP(H5759,TABLEITEM,2,FALSE),"")</f>
        <v>wire</v>
      </c>
      <c r="M5759" s="13" t="str">
        <f>IF(D5759&lt;&gt;"",VLOOKUP(H5759,TABLEITEM,3,FALSE),"")</f>
        <v>สายไฟ VSF1x1.5 SQMM.สีขาว</v>
      </c>
      <c r="N5759" s="14">
        <f>INSTOCK!$I5759*INSTOCK!$K5759</f>
        <v>10740</v>
      </c>
      <c r="O5759" s="4"/>
      <c r="P5759" s="4"/>
    </row>
    <row r="5760" ht="15.75" customHeight="1">
      <c r="B5760" s="8">
        <v>6084.0</v>
      </c>
      <c r="C5760" s="9">
        <v>43740.0</v>
      </c>
      <c r="D5760" s="6" t="s">
        <v>6824</v>
      </c>
      <c r="E5760" s="4">
        <v>6.209001446E9</v>
      </c>
      <c r="F5760" s="8" t="s">
        <v>604</v>
      </c>
      <c r="G5760" s="4" t="s">
        <v>665</v>
      </c>
      <c r="H5760" s="10" t="s">
        <v>475</v>
      </c>
      <c r="I5760" s="10">
        <v>500.0</v>
      </c>
      <c r="J5760" s="11" t="str">
        <f>IF(D5760&lt;&gt;"",VLOOKUP(H5760,TABLEITEM,5,FALSE),"")</f>
        <v>M</v>
      </c>
      <c r="K5760" s="12">
        <v>5.37</v>
      </c>
      <c r="L5760" s="13" t="str">
        <f>IF(D5760&lt;&gt;"",VLOOKUP(H5760,TABLEITEM,2,FALSE),"")</f>
        <v>wire</v>
      </c>
      <c r="M5760" s="13" t="str">
        <f>IF(D5760&lt;&gt;"",VLOOKUP(H5760,TABLEITEM,3,FALSE),"")</f>
        <v>สายไฟ VSF1x1.5 SQMM.สีน้ำเงิน</v>
      </c>
      <c r="N5760" s="14">
        <f>INSTOCK!$I5760*INSTOCK!$K5760</f>
        <v>2685</v>
      </c>
      <c r="O5760" s="4"/>
      <c r="P5760" s="4"/>
    </row>
    <row r="5761" ht="15.75" customHeight="1">
      <c r="B5761" s="8">
        <v>6085.0</v>
      </c>
      <c r="C5761" s="9">
        <v>43740.0</v>
      </c>
      <c r="D5761" s="6" t="s">
        <v>6824</v>
      </c>
      <c r="E5761" s="4">
        <v>6.209001446E9</v>
      </c>
      <c r="F5761" s="8" t="s">
        <v>604</v>
      </c>
      <c r="G5761" s="4" t="s">
        <v>665</v>
      </c>
      <c r="H5761" s="10" t="s">
        <v>494</v>
      </c>
      <c r="I5761" s="10">
        <v>400.0</v>
      </c>
      <c r="J5761" s="11" t="str">
        <f>IF(D5761&lt;&gt;"",VLOOKUP(H5761,TABLEITEM,5,FALSE),"")</f>
        <v>M</v>
      </c>
      <c r="K5761" s="12">
        <v>15.38</v>
      </c>
      <c r="L5761" s="13" t="str">
        <f>IF(D5761&lt;&gt;"",VLOOKUP(H5761,TABLEITEM,2,FALSE),"")</f>
        <v>wire</v>
      </c>
      <c r="M5761" s="13" t="str">
        <f>IF(D5761&lt;&gt;"",VLOOKUP(H5761,TABLEITEM,3,FALSE),"")</f>
        <v>สายไฟ VSF1x4 SQMM.สีน้ำตาล</v>
      </c>
      <c r="N5761" s="14">
        <f>INSTOCK!$I5761*INSTOCK!$K5761</f>
        <v>6152</v>
      </c>
      <c r="O5761" s="4"/>
      <c r="P5761" s="4"/>
    </row>
    <row r="5762" ht="15.75" customHeight="1">
      <c r="B5762" s="8">
        <v>6086.0</v>
      </c>
      <c r="C5762" s="9">
        <v>43739.0</v>
      </c>
      <c r="D5762" s="6" t="s">
        <v>6825</v>
      </c>
      <c r="E5762" s="4">
        <v>6.209001444E9</v>
      </c>
      <c r="F5762" s="8" t="s">
        <v>6826</v>
      </c>
      <c r="G5762" s="4" t="s">
        <v>965</v>
      </c>
      <c r="H5762" s="10" t="s">
        <v>966</v>
      </c>
      <c r="I5762" s="10">
        <v>20.0</v>
      </c>
      <c r="J5762" s="11" t="str">
        <f>IF(D5762&lt;&gt;"",VLOOKUP(H5762,TABLEITEM,5,FALSE),"")</f>
        <v>EA</v>
      </c>
      <c r="K5762" s="12">
        <v>28.0</v>
      </c>
      <c r="L5762" s="13" t="str">
        <f>IF(D5762&lt;&gt;"",VLOOKUP(H5762,TABLEITEM,2,FALSE),"")</f>
        <v/>
      </c>
      <c r="M5762" s="13" t="str">
        <f>IF(D5762&lt;&gt;"",VLOOKUP(H5762,TABLEITEM,3,FALSE),"")</f>
        <v>ลูกปืน 6000ZZ</v>
      </c>
      <c r="N5762" s="14">
        <f>INSTOCK!$I5762*INSTOCK!$K5762</f>
        <v>560</v>
      </c>
      <c r="O5762" s="4"/>
      <c r="P5762" s="4"/>
    </row>
    <row r="5763" ht="15.75" customHeight="1">
      <c r="B5763" s="8">
        <v>6087.0</v>
      </c>
      <c r="C5763" s="9">
        <v>43739.0</v>
      </c>
      <c r="D5763" s="6" t="s">
        <v>6807</v>
      </c>
      <c r="E5763" s="4"/>
      <c r="F5763" s="8" t="s">
        <v>633</v>
      </c>
      <c r="G5763" s="4" t="s">
        <v>4856</v>
      </c>
      <c r="H5763" s="10" t="s">
        <v>6827</v>
      </c>
      <c r="I5763" s="10">
        <v>3.0</v>
      </c>
      <c r="J5763" s="11" t="str">
        <f>IF(D5763&lt;&gt;"",VLOOKUP(H5763,TABLEITEM,5,FALSE),"")</f>
        <v>EA</v>
      </c>
      <c r="K5763" s="12">
        <v>600.0</v>
      </c>
      <c r="L5763" s="13" t="str">
        <f>IF(D5763&lt;&gt;"",VLOOKUP(H5763,TABLEITEM,2,FALSE),"")</f>
        <v/>
      </c>
      <c r="M5763" s="13" t="str">
        <f>IF(D5763&lt;&gt;"",VLOOKUP(H5763,TABLEITEM,3,FALSE),"")</f>
        <v>สายรัด RATCHET TIE DOWN 2"x8M x6000kg</v>
      </c>
      <c r="N5763" s="14">
        <f>INSTOCK!$I5763*INSTOCK!$K5763</f>
        <v>1800</v>
      </c>
      <c r="O5763" s="4"/>
      <c r="P5763" s="4"/>
    </row>
    <row r="5764" ht="15.75" customHeight="1">
      <c r="B5764" s="8">
        <v>6088.0</v>
      </c>
      <c r="C5764" s="9">
        <v>43741.0</v>
      </c>
      <c r="D5764" s="6" t="s">
        <v>6828</v>
      </c>
      <c r="E5764" s="4">
        <v>6.210001472E9</v>
      </c>
      <c r="F5764" s="8" t="s">
        <v>604</v>
      </c>
      <c r="G5764" s="4" t="s">
        <v>965</v>
      </c>
      <c r="H5764" s="10" t="s">
        <v>46</v>
      </c>
      <c r="I5764" s="10">
        <v>10.0</v>
      </c>
      <c r="J5764" s="11" t="str">
        <f>IF(D5764&lt;&gt;"",VLOOKUP(H5764,TABLEITEM,5,FALSE),"")</f>
        <v>ROLL</v>
      </c>
      <c r="K5764" s="12">
        <v>90.0</v>
      </c>
      <c r="L5764" s="13" t="str">
        <f>IF(D5764&lt;&gt;"",VLOOKUP(H5764,TABLEITEM,2,FALSE),"")</f>
        <v/>
      </c>
      <c r="M5764" s="13" t="str">
        <f>IF(D5764&lt;&gt;"",VLOOKUP(H5764,TABLEITEM,3,FALSE),"")</f>
        <v>ลวดดำ</v>
      </c>
      <c r="N5764" s="14">
        <f>INSTOCK!$I5764*INSTOCK!$K5764</f>
        <v>900</v>
      </c>
      <c r="O5764" s="4"/>
      <c r="P5764" s="4"/>
    </row>
    <row r="5765" ht="15.75" customHeight="1">
      <c r="B5765" s="8">
        <v>6089.0</v>
      </c>
      <c r="C5765" s="9">
        <v>43740.0</v>
      </c>
      <c r="D5765" s="6" t="s">
        <v>6829</v>
      </c>
      <c r="E5765" s="4">
        <v>6.210001469E9</v>
      </c>
      <c r="F5765" s="8" t="s">
        <v>5449</v>
      </c>
      <c r="G5765" s="4" t="s">
        <v>2014</v>
      </c>
      <c r="H5765" s="10" t="s">
        <v>5374</v>
      </c>
      <c r="I5765" s="10">
        <v>1.0</v>
      </c>
      <c r="J5765" s="11" t="str">
        <f>IF(D5765&lt;&gt;"",VLOOKUP(H5765,TABLEITEM,5,FALSE),"")</f>
        <v>EA</v>
      </c>
      <c r="K5765" s="12">
        <v>2485.98</v>
      </c>
      <c r="L5765" s="13" t="str">
        <f>IF(D5765&lt;&gt;"",VLOOKUP(H5765,TABLEITEM,2,FALSE),"")</f>
        <v/>
      </c>
      <c r="M5765" s="13" t="str">
        <f>IF(D5765&lt;&gt;"",VLOOKUP(H5765,TABLEITEM,3,FALSE),"")</f>
        <v>ตลับหมึกโทนเนอร์ 85A (CE285A) ดำ HP</v>
      </c>
      <c r="N5765" s="14">
        <f>INSTOCK!$I5765*INSTOCK!$K5765</f>
        <v>2485.98</v>
      </c>
      <c r="O5765" s="4"/>
      <c r="P5765" s="4"/>
    </row>
    <row r="5766" ht="15.75" customHeight="1">
      <c r="B5766" s="8">
        <v>6090.0</v>
      </c>
      <c r="C5766" s="9">
        <v>43741.0</v>
      </c>
      <c r="D5766" s="6" t="s">
        <v>6830</v>
      </c>
      <c r="E5766" s="4"/>
      <c r="F5766" s="8" t="s">
        <v>6831</v>
      </c>
      <c r="G5766" s="4" t="s">
        <v>3668</v>
      </c>
      <c r="H5766" s="10" t="s">
        <v>6832</v>
      </c>
      <c r="I5766" s="10">
        <v>6.0</v>
      </c>
      <c r="J5766" s="11" t="str">
        <f>IF(D5766&lt;&gt;"",VLOOKUP(H5766,TABLEITEM,5,FALSE),"")</f>
        <v>LIT</v>
      </c>
      <c r="K5766" s="12">
        <v>198.3334</v>
      </c>
      <c r="L5766" s="13" t="str">
        <f>IF(D5766&lt;&gt;"",VLOOKUP(H5766,TABLEITEM,2,FALSE),"")</f>
        <v/>
      </c>
      <c r="M5766" s="13" t="str">
        <f>IF(D5766&lt;&gt;"",VLOOKUP(H5766,TABLEITEM,3,FALSE),"")</f>
        <v>สีน้ำมัน สีครีม G-015</v>
      </c>
      <c r="N5766" s="14">
        <f>INSTOCK!$I5766*INSTOCK!$K5766</f>
        <v>1190.0004</v>
      </c>
      <c r="O5766" s="4" t="s">
        <v>6833</v>
      </c>
      <c r="P5766" s="4"/>
    </row>
    <row r="5767" ht="15.75" customHeight="1">
      <c r="B5767" s="8">
        <v>6091.0</v>
      </c>
      <c r="C5767" s="9">
        <v>43740.0</v>
      </c>
      <c r="D5767" s="6" t="s">
        <v>6834</v>
      </c>
      <c r="E5767" s="4">
        <v>6.210001467E9</v>
      </c>
      <c r="F5767" s="8" t="s">
        <v>604</v>
      </c>
      <c r="G5767" s="4" t="s">
        <v>1904</v>
      </c>
      <c r="H5767" s="10" t="s">
        <v>213</v>
      </c>
      <c r="I5767" s="10">
        <v>200.0</v>
      </c>
      <c r="J5767" s="11" t="str">
        <f>IF(D5767&lt;&gt;"",VLOOKUP(H5767,TABLEITEM,5,FALSE),"")</f>
        <v>M</v>
      </c>
      <c r="K5767" s="12">
        <v>4.995</v>
      </c>
      <c r="L5767" s="13" t="str">
        <f>IF(D5767&lt;&gt;"",VLOOKUP(H5767,TABLEITEM,2,FALSE),"")</f>
        <v/>
      </c>
      <c r="M5767" s="13" t="str">
        <f>IF(D5767&lt;&gt;"",VLOOKUP(H5767,TABLEITEM,3,FALSE),"")</f>
        <v>TUEB 3.2</v>
      </c>
      <c r="N5767" s="14">
        <f>INSTOCK!$I5767*INSTOCK!$K5767</f>
        <v>999</v>
      </c>
      <c r="O5767" s="4" t="s">
        <v>4620</v>
      </c>
      <c r="P5767" s="4"/>
    </row>
    <row r="5768" ht="15.75" customHeight="1">
      <c r="B5768" s="8">
        <v>6092.0</v>
      </c>
      <c r="C5768" s="9">
        <v>43740.0</v>
      </c>
      <c r="D5768" s="6" t="s">
        <v>6834</v>
      </c>
      <c r="E5768" s="4">
        <v>6.210001467E9</v>
      </c>
      <c r="F5768" s="8" t="s">
        <v>604</v>
      </c>
      <c r="G5768" s="4" t="s">
        <v>1904</v>
      </c>
      <c r="H5768" s="10" t="s">
        <v>215</v>
      </c>
      <c r="I5768" s="10">
        <v>400.0</v>
      </c>
      <c r="J5768" s="11" t="str">
        <f>IF(D5768&lt;&gt;"",VLOOKUP(H5768,TABLEITEM,5,FALSE),"")</f>
        <v>M</v>
      </c>
      <c r="K5768" s="12">
        <v>5.9175</v>
      </c>
      <c r="L5768" s="13" t="str">
        <f>IF(D5768&lt;&gt;"",VLOOKUP(H5768,TABLEITEM,2,FALSE),"")</f>
        <v/>
      </c>
      <c r="M5768" s="13" t="str">
        <f>IF(D5768&lt;&gt;"",VLOOKUP(H5768,TABLEITEM,3,FALSE),"")</f>
        <v>TUBE 3.6</v>
      </c>
      <c r="N5768" s="14">
        <f>INSTOCK!$I5768*INSTOCK!$K5768</f>
        <v>2367</v>
      </c>
      <c r="O5768" s="4" t="s">
        <v>216</v>
      </c>
      <c r="P5768" s="4"/>
    </row>
    <row r="5769" ht="15.75" customHeight="1">
      <c r="B5769" s="8">
        <v>6093.0</v>
      </c>
      <c r="C5769" s="9">
        <v>43741.0</v>
      </c>
      <c r="D5769" s="6" t="s">
        <v>6835</v>
      </c>
      <c r="E5769" s="4">
        <v>6.210001459E9</v>
      </c>
      <c r="F5769" s="8" t="s">
        <v>604</v>
      </c>
      <c r="G5769" s="4" t="s">
        <v>957</v>
      </c>
      <c r="H5769" s="10" t="s">
        <v>1193</v>
      </c>
      <c r="I5769" s="10">
        <v>200.0</v>
      </c>
      <c r="J5769" s="11" t="str">
        <f>IF(D5769&lt;&gt;"",VLOOKUP(H5769,TABLEITEM,5,FALSE),"")</f>
        <v>EA</v>
      </c>
      <c r="K5769" s="12">
        <v>100.0</v>
      </c>
      <c r="L5769" s="13" t="str">
        <f>IF(D5769&lt;&gt;"",VLOOKUP(H5769,TABLEITEM,2,FALSE),"")</f>
        <v/>
      </c>
      <c r="M5769" s="13" t="str">
        <f>IF(D5769&lt;&gt;"",VLOOKUP(H5769,TABLEITEM,3,FALSE),"")</f>
        <v>กุญแจเขาควายกันน้ำMS-306-2-1</v>
      </c>
      <c r="N5769" s="14">
        <f>INSTOCK!$I5769*INSTOCK!$K5769</f>
        <v>20000</v>
      </c>
      <c r="O5769" s="4"/>
      <c r="P5769" s="4"/>
    </row>
    <row r="5770" ht="15.75" customHeight="1">
      <c r="B5770" s="8">
        <v>6094.0</v>
      </c>
      <c r="C5770" s="9">
        <v>43741.0</v>
      </c>
      <c r="D5770" s="6" t="s">
        <v>6836</v>
      </c>
      <c r="E5770" s="4">
        <v>6.20900145E9</v>
      </c>
      <c r="F5770" s="8" t="s">
        <v>5810</v>
      </c>
      <c r="G5770" s="4" t="s">
        <v>982</v>
      </c>
      <c r="H5770" s="10" t="s">
        <v>983</v>
      </c>
      <c r="I5770" s="10">
        <v>200.0</v>
      </c>
      <c r="J5770" s="11" t="str">
        <f>IF(D5770&lt;&gt;"",VLOOKUP(H5770,TABLEITEM,5,FALSE),"")</f>
        <v>KG.</v>
      </c>
      <c r="K5770" s="12">
        <v>37.0</v>
      </c>
      <c r="L5770" s="13" t="str">
        <f>IF(D5770&lt;&gt;"",VLOOKUP(H5770,TABLEITEM,2,FALSE),"")</f>
        <v/>
      </c>
      <c r="M5770" s="13" t="str">
        <f>IF(D5770&lt;&gt;"",VLOOKUP(H5770,TABLEITEM,3,FALSE),"")</f>
        <v>เคมี ADDITIVE P-8</v>
      </c>
      <c r="N5770" s="14">
        <f>INSTOCK!$I5770*INSTOCK!$K5770</f>
        <v>7400</v>
      </c>
      <c r="O5770" s="4"/>
      <c r="P5770" s="4"/>
    </row>
    <row r="5771" ht="15.75" customHeight="1">
      <c r="B5771" s="8">
        <v>6095.0</v>
      </c>
      <c r="C5771" s="9">
        <v>43741.0</v>
      </c>
      <c r="D5771" s="6" t="s">
        <v>6836</v>
      </c>
      <c r="E5771" s="4">
        <v>6.20900145E9</v>
      </c>
      <c r="F5771" s="8" t="s">
        <v>5810</v>
      </c>
      <c r="G5771" s="4" t="s">
        <v>982</v>
      </c>
      <c r="H5771" s="10" t="s">
        <v>986</v>
      </c>
      <c r="I5771" s="10">
        <v>300.0</v>
      </c>
      <c r="J5771" s="11" t="str">
        <f>IF(D5771&lt;&gt;"",VLOOKUP(H5771,TABLEITEM,5,FALSE),"")</f>
        <v>KG.</v>
      </c>
      <c r="K5771" s="12">
        <v>41.0</v>
      </c>
      <c r="L5771" s="13" t="str">
        <f>IF(D5771&lt;&gt;"",VLOOKUP(H5771,TABLEITEM,2,FALSE),"")</f>
        <v/>
      </c>
      <c r="M5771" s="13" t="str">
        <f>IF(D5771&lt;&gt;"",VLOOKUP(H5771,TABLEITEM,3,FALSE),"")</f>
        <v>เคมีฟอสเฟต PN-134</v>
      </c>
      <c r="N5771" s="14">
        <f>INSTOCK!$I5771*INSTOCK!$K5771</f>
        <v>12300</v>
      </c>
      <c r="O5771" s="4"/>
      <c r="P5771" s="4"/>
    </row>
    <row r="5772" ht="15.75" customHeight="1">
      <c r="B5772" s="8">
        <v>6096.0</v>
      </c>
      <c r="C5772" s="9">
        <v>43741.0</v>
      </c>
      <c r="D5772" s="6" t="s">
        <v>6837</v>
      </c>
      <c r="E5772" s="4">
        <v>6.210001461E9</v>
      </c>
      <c r="F5772" s="8" t="s">
        <v>604</v>
      </c>
      <c r="G5772" s="4" t="s">
        <v>6602</v>
      </c>
      <c r="H5772" s="10" t="s">
        <v>19</v>
      </c>
      <c r="I5772" s="10">
        <v>60.0</v>
      </c>
      <c r="J5772" s="11" t="str">
        <f>IF(D5772&lt;&gt;"",VLOOKUP(H5772,TABLEITEM,5,FALSE),"")</f>
        <v>ROLL</v>
      </c>
      <c r="K5772" s="12">
        <v>135.0</v>
      </c>
      <c r="L5772" s="13" t="str">
        <f>IF(D5772&lt;&gt;"",VLOOKUP(H5772,TABLEITEM,2,FALSE),"")</f>
        <v/>
      </c>
      <c r="M5772" s="13" t="str">
        <f>IF(D5772&lt;&gt;"",VLOOKUP(H5772,TABLEITEM,3,FALSE),"")</f>
        <v>พลาสติกห่อตู้ 20micx50cmx300m</v>
      </c>
      <c r="N5772" s="14">
        <f>INSTOCK!$I5772*INSTOCK!$K5772</f>
        <v>8100</v>
      </c>
      <c r="O5772" s="4"/>
      <c r="P5772" s="4"/>
    </row>
    <row r="5773" ht="15.75" customHeight="1">
      <c r="B5773" s="8">
        <v>6097.0</v>
      </c>
      <c r="C5773" s="9">
        <v>43741.0</v>
      </c>
      <c r="D5773" s="6" t="s">
        <v>6837</v>
      </c>
      <c r="E5773" s="4">
        <v>6.210001461E9</v>
      </c>
      <c r="F5773" s="8" t="s">
        <v>604</v>
      </c>
      <c r="G5773" s="4" t="s">
        <v>6602</v>
      </c>
      <c r="H5773" s="18" t="s">
        <v>55</v>
      </c>
      <c r="I5773" s="10">
        <v>36.0</v>
      </c>
      <c r="J5773" s="11" t="str">
        <f>IF(D5773&lt;&gt;"",VLOOKUP(H5773,TABLEITEM,5,FALSE),"")</f>
        <v>EA</v>
      </c>
      <c r="K5773" s="12">
        <v>10.0</v>
      </c>
      <c r="L5773" s="13" t="str">
        <f>IF(D5773&lt;&gt;"",VLOOKUP(H5773,TABLEITEM,2,FALSE),"")</f>
        <v/>
      </c>
      <c r="M5773" s="13" t="str">
        <f>IF(D5773&lt;&gt;"",VLOOKUP(H5773,TABLEITEM,3,FALSE),"")</f>
        <v>เทปใส 2''</v>
      </c>
      <c r="N5773" s="14">
        <f>INSTOCK!$I5773*INSTOCK!$K5773</f>
        <v>360</v>
      </c>
      <c r="O5773" s="4"/>
      <c r="P5773" s="4"/>
    </row>
    <row r="5774" ht="15.75" customHeight="1">
      <c r="B5774" s="8">
        <v>6098.0</v>
      </c>
      <c r="C5774" s="9">
        <v>43741.0</v>
      </c>
      <c r="D5774" s="6" t="s">
        <v>6838</v>
      </c>
      <c r="E5774" s="4">
        <v>6.210001466E9</v>
      </c>
      <c r="F5774" s="8" t="s">
        <v>604</v>
      </c>
      <c r="G5774" s="4" t="s">
        <v>617</v>
      </c>
      <c r="H5774" s="10" t="s">
        <v>559</v>
      </c>
      <c r="I5774" s="10">
        <v>50.0</v>
      </c>
      <c r="J5774" s="11" t="str">
        <f>IF(D5774&lt;&gt;"",VLOOKUP(H5774,TABLEITEM,5,FALSE),"")</f>
        <v>M</v>
      </c>
      <c r="K5774" s="12">
        <v>290.78</v>
      </c>
      <c r="L5774" s="13" t="str">
        <f>IF(D5774&lt;&gt;"",VLOOKUP(H5774,TABLEITEM,2,FALSE),"")</f>
        <v>Busbar</v>
      </c>
      <c r="M5774" s="13" t="str">
        <f>IF(D5774&lt;&gt;"",VLOOKUP(H5774,TABLEITEM,3,FALSE),"")</f>
        <v>บัสบาร์ทองแดง 30x5</v>
      </c>
      <c r="N5774" s="14">
        <f>INSTOCK!$I5774*INSTOCK!$K5774</f>
        <v>14539</v>
      </c>
      <c r="O5774" s="4" t="s">
        <v>6722</v>
      </c>
      <c r="P5774" s="4"/>
    </row>
    <row r="5775" ht="15.75" customHeight="1">
      <c r="B5775" s="8">
        <v>6099.0</v>
      </c>
      <c r="C5775" s="9">
        <v>43741.0</v>
      </c>
      <c r="D5775" s="6" t="s">
        <v>6838</v>
      </c>
      <c r="E5775" s="4">
        <v>6.210001466E9</v>
      </c>
      <c r="F5775" s="8" t="s">
        <v>604</v>
      </c>
      <c r="G5775" s="4" t="s">
        <v>617</v>
      </c>
      <c r="H5775" s="10" t="s">
        <v>560</v>
      </c>
      <c r="I5775" s="10">
        <v>50.0</v>
      </c>
      <c r="J5775" s="11" t="str">
        <f>IF(D5775&lt;&gt;"",VLOOKUP(H5775,TABLEITEM,5,FALSE),"")</f>
        <v>M</v>
      </c>
      <c r="K5775" s="12">
        <v>581.56</v>
      </c>
      <c r="L5775" s="13" t="str">
        <f>IF(D5775&lt;&gt;"",VLOOKUP(H5775,TABLEITEM,2,FALSE),"")</f>
        <v>Busbar</v>
      </c>
      <c r="M5775" s="13" t="str">
        <f>IF(D5775&lt;&gt;"",VLOOKUP(H5775,TABLEITEM,3,FALSE),"")</f>
        <v>บัสบาร์ทองแดง 30x10</v>
      </c>
      <c r="N5775" s="14">
        <f>INSTOCK!$I5775*INSTOCK!$K5775</f>
        <v>29078</v>
      </c>
      <c r="O5775" s="4" t="s">
        <v>6722</v>
      </c>
      <c r="P5775" s="4"/>
    </row>
    <row r="5776" ht="15.75" customHeight="1">
      <c r="B5776" s="8">
        <v>6100.0</v>
      </c>
      <c r="C5776" s="9">
        <v>43741.0</v>
      </c>
      <c r="D5776" s="6" t="s">
        <v>6839</v>
      </c>
      <c r="E5776" s="4">
        <v>6.210001473E9</v>
      </c>
      <c r="F5776" s="8" t="s">
        <v>604</v>
      </c>
      <c r="G5776" s="4" t="s">
        <v>617</v>
      </c>
      <c r="H5776" s="10" t="s">
        <v>562</v>
      </c>
      <c r="I5776" s="10">
        <v>20.0</v>
      </c>
      <c r="J5776" s="11" t="str">
        <f>IF(D5776&lt;&gt;"",VLOOKUP(H5776,TABLEITEM,5,FALSE),"")</f>
        <v>M</v>
      </c>
      <c r="K5776" s="12">
        <v>972.16</v>
      </c>
      <c r="L5776" s="13" t="str">
        <f>IF(D5776&lt;&gt;"",VLOOKUP(H5776,TABLEITEM,2,FALSE),"")</f>
        <v>Busbar</v>
      </c>
      <c r="M5776" s="13" t="str">
        <f>IF(D5776&lt;&gt;"",VLOOKUP(H5776,TABLEITEM,3,FALSE),"")</f>
        <v>บัสบาร์ทองแดง 50x10</v>
      </c>
      <c r="N5776" s="14">
        <f>INSTOCK!$I5776*INSTOCK!$K5776</f>
        <v>19443.2</v>
      </c>
      <c r="O5776" s="4" t="s">
        <v>6722</v>
      </c>
      <c r="P5776" s="4"/>
    </row>
    <row r="5777" ht="15.75" customHeight="1">
      <c r="B5777" s="8">
        <v>6101.0</v>
      </c>
      <c r="C5777" s="9">
        <v>43741.0</v>
      </c>
      <c r="D5777" s="6" t="s">
        <v>6840</v>
      </c>
      <c r="E5777" s="4">
        <v>6.209001437E9</v>
      </c>
      <c r="F5777" s="8" t="s">
        <v>6841</v>
      </c>
      <c r="G5777" s="4" t="s">
        <v>617</v>
      </c>
      <c r="H5777" s="10" t="s">
        <v>6842</v>
      </c>
      <c r="I5777" s="10">
        <v>75.0</v>
      </c>
      <c r="J5777" s="11" t="str">
        <f>IF(D5777&lt;&gt;"",VLOOKUP(H5777,TABLEITEM,5,FALSE),"")</f>
        <v>M</v>
      </c>
      <c r="K5777" s="12">
        <v>1696.92</v>
      </c>
      <c r="L5777" s="13" t="str">
        <f>IF(D5777&lt;&gt;"",VLOOKUP(H5777,TABLEITEM,2,FALSE),"")</f>
        <v>BUSBAR</v>
      </c>
      <c r="M5777" s="13" t="str">
        <f>IF(D5777&lt;&gt;"",VLOOKUP(H5777,TABLEITEM,3,FALSE),"")</f>
        <v>บัสบาร์ทองแดง 80x10 ชุบดีบุก</v>
      </c>
      <c r="N5777" s="14">
        <f>INSTOCK!$I5777*INSTOCK!$K5777</f>
        <v>127269</v>
      </c>
      <c r="O5777" s="4" t="s">
        <v>6843</v>
      </c>
      <c r="P5777" s="4"/>
    </row>
    <row r="5778" ht="15.75" customHeight="1">
      <c r="B5778" s="8">
        <v>6102.0</v>
      </c>
      <c r="C5778" s="9">
        <v>43741.0</v>
      </c>
      <c r="D5778" s="6" t="s">
        <v>6840</v>
      </c>
      <c r="E5778" s="4">
        <v>6.209001437E9</v>
      </c>
      <c r="F5778" s="8" t="s">
        <v>6841</v>
      </c>
      <c r="G5778" s="4" t="s">
        <v>617</v>
      </c>
      <c r="H5778" s="10" t="s">
        <v>6844</v>
      </c>
      <c r="I5778" s="10">
        <v>105.0</v>
      </c>
      <c r="J5778" s="11" t="str">
        <f>IF(D5778&lt;&gt;"",VLOOKUP(H5778,TABLEITEM,5,FALSE),"")</f>
        <v>M</v>
      </c>
      <c r="K5778" s="12">
        <v>423.28</v>
      </c>
      <c r="L5778" s="13" t="str">
        <f>IF(D5778&lt;&gt;"",VLOOKUP(H5778,TABLEITEM,2,FALSE),"")</f>
        <v>BUSBAR</v>
      </c>
      <c r="M5778" s="13" t="str">
        <f>IF(D5778&lt;&gt;"",VLOOKUP(H5778,TABLEITEM,3,FALSE),"")</f>
        <v>บัสบาร์ทองแดง 40x5 ชุบดีบุก</v>
      </c>
      <c r="N5778" s="14">
        <f>INSTOCK!$I5778*INSTOCK!$K5778</f>
        <v>44444.4</v>
      </c>
      <c r="O5778" s="4" t="s">
        <v>6843</v>
      </c>
      <c r="P5778" s="4"/>
    </row>
    <row r="5779" ht="15.75" customHeight="1">
      <c r="B5779" s="8">
        <v>6103.0</v>
      </c>
      <c r="C5779" s="9">
        <v>43741.0</v>
      </c>
      <c r="D5779" s="6" t="s">
        <v>6840</v>
      </c>
      <c r="E5779" s="4">
        <v>6.209001437E9</v>
      </c>
      <c r="F5779" s="8" t="s">
        <v>6841</v>
      </c>
      <c r="G5779" s="4" t="s">
        <v>617</v>
      </c>
      <c r="H5779" s="10" t="s">
        <v>6845</v>
      </c>
      <c r="I5779" s="10">
        <v>20.0</v>
      </c>
      <c r="J5779" s="11" t="str">
        <f>IF(D5779&lt;&gt;"",VLOOKUP(H5779,TABLEITEM,5,FALSE),"")</f>
        <v>M</v>
      </c>
      <c r="K5779" s="12">
        <v>264.96</v>
      </c>
      <c r="L5779" s="13" t="str">
        <f>IF(D5779&lt;&gt;"",VLOOKUP(H5779,TABLEITEM,2,FALSE),"")</f>
        <v>BUSBAR</v>
      </c>
      <c r="M5779" s="13" t="str">
        <f>IF(D5779&lt;&gt;"",VLOOKUP(H5779,TABLEITEM,3,FALSE),"")</f>
        <v>บัสบาร์ทองแดง 25x5 ชุบดีบุก</v>
      </c>
      <c r="N5779" s="14">
        <f>INSTOCK!$I5779*INSTOCK!$K5779</f>
        <v>5299.2</v>
      </c>
      <c r="O5779" s="4" t="s">
        <v>6843</v>
      </c>
      <c r="P5779" s="4"/>
    </row>
    <row r="5780" ht="15.75" customHeight="1">
      <c r="B5780" s="8">
        <v>6104.0</v>
      </c>
      <c r="C5780" s="9">
        <v>43741.0</v>
      </c>
      <c r="D5780" s="6" t="s">
        <v>6840</v>
      </c>
      <c r="E5780" s="4">
        <v>6.209001437E9</v>
      </c>
      <c r="F5780" s="8" t="s">
        <v>6841</v>
      </c>
      <c r="G5780" s="4" t="s">
        <v>617</v>
      </c>
      <c r="H5780" s="10" t="s">
        <v>6846</v>
      </c>
      <c r="I5780" s="10">
        <v>10.0</v>
      </c>
      <c r="J5780" s="11" t="str">
        <f>IF(D5780&lt;&gt;"",VLOOKUP(H5780,TABLEITEM,5,FALSE),"")</f>
        <v>M</v>
      </c>
      <c r="K5780" s="12">
        <v>848.46</v>
      </c>
      <c r="L5780" s="13" t="str">
        <f>IF(D5780&lt;&gt;"",VLOOKUP(H5780,TABLEITEM,2,FALSE),"")</f>
        <v>BUSBAR</v>
      </c>
      <c r="M5780" s="13" t="str">
        <f>IF(D5780&lt;&gt;"",VLOOKUP(H5780,TABLEITEM,3,FALSE),"")</f>
        <v>บัสบาร์ทองแดง 40x10 ชุบดีบุก</v>
      </c>
      <c r="N5780" s="14">
        <f>INSTOCK!$I5780*INSTOCK!$K5780</f>
        <v>8484.6</v>
      </c>
      <c r="O5780" s="4" t="s">
        <v>6843</v>
      </c>
      <c r="P5780" s="4"/>
    </row>
    <row r="5781" ht="15.75" customHeight="1">
      <c r="B5781" s="8">
        <v>6105.0</v>
      </c>
      <c r="C5781" s="9">
        <v>43741.0</v>
      </c>
      <c r="D5781" s="6">
        <v>9422.0</v>
      </c>
      <c r="E5781" s="4">
        <v>6.21000146E9</v>
      </c>
      <c r="F5781" s="8" t="s">
        <v>604</v>
      </c>
      <c r="G5781" s="4" t="s">
        <v>1009</v>
      </c>
      <c r="H5781" s="18" t="s">
        <v>124</v>
      </c>
      <c r="I5781" s="10">
        <v>200.0</v>
      </c>
      <c r="J5781" s="11" t="str">
        <f>IF(D5781&lt;&gt;"",VLOOKUP(H5781,TABLEITEM,5,FALSE),"")</f>
        <v>EA</v>
      </c>
      <c r="K5781" s="12">
        <v>180.0</v>
      </c>
      <c r="L5781" s="13" t="str">
        <f>IF(D5781&lt;&gt;"",VLOOKUP(H5781,TABLEITEM,2,FALSE),"")</f>
        <v/>
      </c>
      <c r="M5781" s="13" t="str">
        <f>IF(D5781&lt;&gt;"",VLOOKUP(H5781,TABLEITEM,3,FALSE),"")</f>
        <v>กุญแจกดเด้งสีดำ MS480-2</v>
      </c>
      <c r="N5781" s="14">
        <f>INSTOCK!$I5781*INSTOCK!$K5781</f>
        <v>36000</v>
      </c>
      <c r="O5781" s="4"/>
      <c r="P5781" s="4"/>
    </row>
    <row r="5782" ht="15.75" customHeight="1">
      <c r="B5782" s="8">
        <v>6106.0</v>
      </c>
      <c r="C5782" s="9">
        <v>43741.0</v>
      </c>
      <c r="D5782" s="6">
        <v>53089.0</v>
      </c>
      <c r="E5782" s="4">
        <v>6.209001432E9</v>
      </c>
      <c r="F5782" s="8" t="s">
        <v>604</v>
      </c>
      <c r="G5782" s="4" t="s">
        <v>5349</v>
      </c>
      <c r="H5782" s="10" t="s">
        <v>85</v>
      </c>
      <c r="I5782" s="10">
        <v>60.0</v>
      </c>
      <c r="J5782" s="11" t="str">
        <f>IF(D5782&lt;&gt;"",VLOOKUP(H5782,TABLEITEM,5,FALSE),"")</f>
        <v>KG.</v>
      </c>
      <c r="K5782" s="12">
        <v>112.0</v>
      </c>
      <c r="L5782" s="13" t="str">
        <f>IF(D5782&lt;&gt;"",VLOOKUP(H5782,TABLEITEM,2,FALSE),"")</f>
        <v/>
      </c>
      <c r="M5782" s="13" t="str">
        <f>IF(D5782&lt;&gt;"",VLOOKUP(H5782,TABLEITEM,3,FALSE),"")</f>
        <v>สีฝุ่น GH433241 สีเทาย่น</v>
      </c>
      <c r="N5782" s="14">
        <f>INSTOCK!$I5782*INSTOCK!$K5782</f>
        <v>6720</v>
      </c>
      <c r="O5782" s="4"/>
      <c r="P5782" s="4"/>
    </row>
    <row r="5783" ht="15.75" customHeight="1">
      <c r="B5783" s="8">
        <v>6107.0</v>
      </c>
      <c r="C5783" s="9">
        <v>43741.0</v>
      </c>
      <c r="D5783" s="6" t="s">
        <v>6847</v>
      </c>
      <c r="E5783" s="4">
        <v>6.210001468E9</v>
      </c>
      <c r="F5783" s="8" t="s">
        <v>604</v>
      </c>
      <c r="G5783" s="4" t="s">
        <v>729</v>
      </c>
      <c r="H5783" s="10" t="s">
        <v>28</v>
      </c>
      <c r="I5783" s="10">
        <v>300.0</v>
      </c>
      <c r="J5783" s="11" t="str">
        <f>IF(D5783&lt;&gt;"",VLOOKUP(H5783,TABLEITEM,5,FALSE),"")</f>
        <v>M</v>
      </c>
      <c r="K5783" s="12">
        <v>12.0</v>
      </c>
      <c r="L5783" s="13" t="str">
        <f>IF(D5783&lt;&gt;"",VLOOKUP(H5783,TABLEITEM,2,FALSE),"")</f>
        <v/>
      </c>
      <c r="M5783" s="13" t="str">
        <f>IF(D5783&lt;&gt;"",VLOOKUP(H5783,TABLEITEM,3,FALSE),"")</f>
        <v>ยางฟองน้ำ1"x1/8"</v>
      </c>
      <c r="N5783" s="14">
        <f>INSTOCK!$I5783*INSTOCK!$K5783</f>
        <v>3600</v>
      </c>
      <c r="O5783" s="4"/>
      <c r="P5783" s="4"/>
    </row>
    <row r="5784" ht="15.75" customHeight="1">
      <c r="B5784" s="8">
        <v>6108.0</v>
      </c>
      <c r="C5784" s="9">
        <v>43741.0</v>
      </c>
      <c r="D5784" s="6">
        <v>6210515.0</v>
      </c>
      <c r="E5784" s="4">
        <v>6.209001448E9</v>
      </c>
      <c r="F5784" s="8" t="s">
        <v>604</v>
      </c>
      <c r="G5784" s="4" t="s">
        <v>6848</v>
      </c>
      <c r="H5784" s="10" t="s">
        <v>22</v>
      </c>
      <c r="I5784" s="10">
        <v>200.0</v>
      </c>
      <c r="J5784" s="11" t="str">
        <f>IF(D5784&lt;&gt;"",VLOOKUP(H5784,TABLEITEM,5,FALSE),"")</f>
        <v>EA</v>
      </c>
      <c r="K5784" s="12">
        <v>20.0</v>
      </c>
      <c r="L5784" s="13" t="str">
        <f>IF(D5784&lt;&gt;"",VLOOKUP(H5784,TABLEITEM,2,FALSE),"")</f>
        <v/>
      </c>
      <c r="M5784" s="13" t="str">
        <f>IF(D5784&lt;&gt;"",VLOOKUP(H5784,TABLEITEM,3,FALSE),"")</f>
        <v>ใบขัดซ้อน # 80</v>
      </c>
      <c r="N5784" s="14">
        <f>INSTOCK!$I5784*INSTOCK!$K5784</f>
        <v>4000</v>
      </c>
      <c r="O5784" s="4"/>
      <c r="P5784" s="4"/>
    </row>
    <row r="5785" ht="15.75" customHeight="1">
      <c r="B5785" s="8">
        <v>6109.0</v>
      </c>
      <c r="C5785" s="9">
        <v>43740.0</v>
      </c>
      <c r="D5785" s="6">
        <v>6.2100086E8</v>
      </c>
      <c r="E5785" s="4">
        <v>6.210001463E9</v>
      </c>
      <c r="F5785" s="8" t="s">
        <v>604</v>
      </c>
      <c r="G5785" s="4" t="s">
        <v>1130</v>
      </c>
      <c r="H5785" s="10" t="s">
        <v>299</v>
      </c>
      <c r="I5785" s="10">
        <v>600.0</v>
      </c>
      <c r="J5785" s="11" t="str">
        <f>IF(D5785&lt;&gt;"",VLOOKUP(H5785,TABLEITEM,5,FALSE),"")</f>
        <v>EA</v>
      </c>
      <c r="K5785" s="12">
        <v>5.488</v>
      </c>
      <c r="L5785" s="13" t="str">
        <f>IF(D5785&lt;&gt;"",VLOOKUP(H5785,TABLEITEM,2,FALSE),"")</f>
        <v/>
      </c>
      <c r="M5785" s="13" t="str">
        <f>IF(D5785&lt;&gt;"",VLOOKUP(H5785,TABLEITEM,3,FALSE),"")</f>
        <v>หางปลากลมเปลือย 22-6</v>
      </c>
      <c r="N5785" s="14">
        <f>INSTOCK!$I5785*INSTOCK!$K5785</f>
        <v>3292.8</v>
      </c>
      <c r="O5785" s="4" t="s">
        <v>6849</v>
      </c>
      <c r="P5785" s="4"/>
    </row>
    <row r="5786" ht="15.75" customHeight="1">
      <c r="B5786" s="8">
        <v>6110.0</v>
      </c>
      <c r="C5786" s="9">
        <v>43740.0</v>
      </c>
      <c r="D5786" s="6">
        <v>6.2100086E8</v>
      </c>
      <c r="E5786" s="4">
        <v>6.210001463E9</v>
      </c>
      <c r="F5786" s="8" t="s">
        <v>604</v>
      </c>
      <c r="G5786" s="4" t="s">
        <v>1130</v>
      </c>
      <c r="H5786" s="10" t="s">
        <v>300</v>
      </c>
      <c r="I5786" s="10">
        <v>600.0</v>
      </c>
      <c r="J5786" s="11" t="str">
        <f>IF(D5786&lt;&gt;"",VLOOKUP(H5786,TABLEITEM,5,FALSE),"")</f>
        <v>EA</v>
      </c>
      <c r="K5786" s="12">
        <v>5.831</v>
      </c>
      <c r="L5786" s="13" t="str">
        <f>IF(D5786&lt;&gt;"",VLOOKUP(H5786,TABLEITEM,2,FALSE),"")</f>
        <v/>
      </c>
      <c r="M5786" s="13" t="str">
        <f>IF(D5786&lt;&gt;"",VLOOKUP(H5786,TABLEITEM,3,FALSE),"")</f>
        <v>หางปลากลมเปลือย 22-8</v>
      </c>
      <c r="N5786" s="14">
        <f>INSTOCK!$I5786*INSTOCK!$K5786</f>
        <v>3498.6</v>
      </c>
      <c r="O5786" s="4" t="s">
        <v>6850</v>
      </c>
      <c r="P5786" s="4"/>
    </row>
    <row r="5787" ht="15.75" customHeight="1">
      <c r="B5787" s="8">
        <v>6111.0</v>
      </c>
      <c r="C5787" s="9">
        <v>43740.0</v>
      </c>
      <c r="D5787" s="6">
        <v>6.2100086E8</v>
      </c>
      <c r="E5787" s="4">
        <v>6.210001463E9</v>
      </c>
      <c r="F5787" s="8" t="s">
        <v>604</v>
      </c>
      <c r="G5787" s="4" t="s">
        <v>1130</v>
      </c>
      <c r="H5787" s="10" t="s">
        <v>301</v>
      </c>
      <c r="I5787" s="10">
        <v>300.0</v>
      </c>
      <c r="J5787" s="11" t="str">
        <f>IF(D5787&lt;&gt;"",VLOOKUP(H5787,TABLEITEM,5,FALSE),"")</f>
        <v>EA</v>
      </c>
      <c r="K5787" s="12">
        <v>5.831</v>
      </c>
      <c r="L5787" s="13" t="str">
        <f>IF(D5787&lt;&gt;"",VLOOKUP(H5787,TABLEITEM,2,FALSE),"")</f>
        <v/>
      </c>
      <c r="M5787" s="13" t="str">
        <f>IF(D5787&lt;&gt;"",VLOOKUP(H5787,TABLEITEM,3,FALSE),"")</f>
        <v>หางปลากลมเปลือย 22-10</v>
      </c>
      <c r="N5787" s="14">
        <f>INSTOCK!$I5787*INSTOCK!$K5787</f>
        <v>1749.3</v>
      </c>
      <c r="O5787" s="4" t="s">
        <v>6850</v>
      </c>
      <c r="P5787" s="4"/>
    </row>
    <row r="5788" ht="15.75" customHeight="1">
      <c r="B5788" s="8">
        <v>6112.0</v>
      </c>
      <c r="C5788" s="9">
        <v>43739.0</v>
      </c>
      <c r="D5788" s="6" t="s">
        <v>6851</v>
      </c>
      <c r="E5788" s="4">
        <v>6.210001451E9</v>
      </c>
      <c r="F5788" s="8" t="s">
        <v>6852</v>
      </c>
      <c r="G5788" s="4" t="s">
        <v>1962</v>
      </c>
      <c r="H5788" s="18" t="s">
        <v>6853</v>
      </c>
      <c r="I5788" s="10">
        <v>1.0</v>
      </c>
      <c r="J5788" s="11" t="str">
        <f>IF(D5788&lt;&gt;"",VLOOKUP(H5788,TABLEITEM,5,FALSE),"")</f>
        <v>EA</v>
      </c>
      <c r="K5788" s="12">
        <v>3800.0</v>
      </c>
      <c r="L5788" s="13" t="str">
        <f>IF(D5788&lt;&gt;"",VLOOKUP(H5788,TABLEITEM,2,FALSE),"")</f>
        <v/>
      </c>
      <c r="M5788" s="13" t="str">
        <f>IF(D5788&lt;&gt;"",VLOOKUP(H5788,TABLEITEM,3,FALSE),"")</f>
        <v>SURGE STPT240K275V-3P AC230VAC 3P 40A</v>
      </c>
      <c r="N5788" s="14">
        <f>INSTOCK!$I5788*INSTOCK!$K5788</f>
        <v>3800</v>
      </c>
      <c r="O5788" s="4"/>
      <c r="P5788" s="4"/>
    </row>
    <row r="5789" ht="15.75" customHeight="1">
      <c r="B5789" s="8">
        <v>6113.0</v>
      </c>
      <c r="C5789" s="9">
        <v>43743.0</v>
      </c>
      <c r="D5789" s="6" t="s">
        <v>6854</v>
      </c>
      <c r="E5789" s="4"/>
      <c r="F5789" s="8" t="s">
        <v>6855</v>
      </c>
      <c r="G5789" s="4" t="s">
        <v>6856</v>
      </c>
      <c r="H5789" s="10" t="s">
        <v>6857</v>
      </c>
      <c r="I5789" s="10">
        <v>14.0</v>
      </c>
      <c r="J5789" s="11" t="str">
        <f>IF(D5789&lt;&gt;"",VLOOKUP(H5789,TABLEITEM,5,FALSE),"")</f>
        <v>EA</v>
      </c>
      <c r="K5789" s="12">
        <v>162.0</v>
      </c>
      <c r="L5789" s="13" t="str">
        <f>IF(D5789&lt;&gt;"",VLOOKUP(H5789,TABLEITEM,2,FALSE),"")</f>
        <v/>
      </c>
      <c r="M5789" s="13" t="str">
        <f>IF(D5789&lt;&gt;"",VLOOKUP(H5789,TABLEITEM,3,FALSE),"")</f>
        <v>ซีล ISI 30 40 6 (ใช้เครื่องตัดเหล็ก)</v>
      </c>
      <c r="N5789" s="14">
        <f>INSTOCK!$I5789*INSTOCK!$K5789</f>
        <v>2268</v>
      </c>
      <c r="O5789" s="4" t="s">
        <v>6858</v>
      </c>
      <c r="P5789" s="4"/>
    </row>
    <row r="5790" ht="15.75" customHeight="1">
      <c r="B5790" s="8">
        <v>6114.0</v>
      </c>
      <c r="C5790" s="9">
        <v>43743.0</v>
      </c>
      <c r="D5790" s="6" t="s">
        <v>6854</v>
      </c>
      <c r="E5790" s="4"/>
      <c r="F5790" s="8" t="s">
        <v>6855</v>
      </c>
      <c r="G5790" s="4" t="s">
        <v>6856</v>
      </c>
      <c r="H5790" s="10" t="s">
        <v>6859</v>
      </c>
      <c r="I5790" s="10">
        <v>14.0</v>
      </c>
      <c r="J5790" s="11" t="str">
        <f>IF(D5790&lt;&gt;"",VLOOKUP(H5790,TABLEITEM,5,FALSE),"")</f>
        <v>EA</v>
      </c>
      <c r="K5790" s="12">
        <v>13.5</v>
      </c>
      <c r="L5790" s="13" t="str">
        <f>IF(D5790&lt;&gt;"",VLOOKUP(H5790,TABLEITEM,2,FALSE),"")</f>
        <v/>
      </c>
      <c r="M5790" s="13" t="str">
        <f>IF(D5790&lt;&gt;"",VLOOKUP(H5790,TABLEITEM,3,FALSE),"")</f>
        <v>โอริง G-055 N-70(3.10x54.4) ใช้เครื่องตัดเหล็ก</v>
      </c>
      <c r="N5790" s="14">
        <f>INSTOCK!$I5790*INSTOCK!$K5790</f>
        <v>189</v>
      </c>
      <c r="O5790" s="4" t="s">
        <v>6860</v>
      </c>
      <c r="P5790" s="4"/>
    </row>
    <row r="5791" ht="15.75" customHeight="1">
      <c r="B5791" s="8">
        <v>6115.0</v>
      </c>
      <c r="C5791" s="9">
        <v>43742.0</v>
      </c>
      <c r="D5791" s="6" t="s">
        <v>6861</v>
      </c>
      <c r="E5791" s="4">
        <v>6.210001475E9</v>
      </c>
      <c r="F5791" s="8" t="s">
        <v>807</v>
      </c>
      <c r="G5791" s="4" t="s">
        <v>808</v>
      </c>
      <c r="H5791" s="10" t="s">
        <v>809</v>
      </c>
      <c r="I5791" s="10">
        <v>1.0</v>
      </c>
      <c r="J5791" s="11" t="str">
        <f>IF(D5791&lt;&gt;"",VLOOKUP(H5791,TABLEITEM,5,FALSE),"")</f>
        <v>ท่อ</v>
      </c>
      <c r="K5791" s="12">
        <v>2700.0</v>
      </c>
      <c r="L5791" s="13" t="str">
        <f>IF(D5791&lt;&gt;"",VLOOKUP(H5791,TABLEITEM,2,FALSE),"")</f>
        <v/>
      </c>
      <c r="M5791" s="13" t="str">
        <f>IF(D5791&lt;&gt;"",VLOOKUP(H5791,TABLEITEM,3,FALSE),"")</f>
        <v>ไนโตรเจนเหลว ขนาด 100คิว</v>
      </c>
      <c r="N5791" s="14">
        <f>INSTOCK!$I5791*INSTOCK!$K5791</f>
        <v>2700</v>
      </c>
      <c r="O5791" s="4"/>
      <c r="P5791" s="4"/>
    </row>
    <row r="5792" ht="15.75" customHeight="1">
      <c r="B5792" s="8">
        <v>6116.0</v>
      </c>
      <c r="C5792" s="9">
        <v>43743.0</v>
      </c>
      <c r="D5792" s="6" t="s">
        <v>6862</v>
      </c>
      <c r="E5792" s="4">
        <v>6.210001476E9</v>
      </c>
      <c r="F5792" s="8" t="s">
        <v>3166</v>
      </c>
      <c r="G5792" s="4" t="s">
        <v>965</v>
      </c>
      <c r="H5792" s="10" t="s">
        <v>3161</v>
      </c>
      <c r="I5792" s="10">
        <v>100.0</v>
      </c>
      <c r="J5792" s="11" t="str">
        <f>IF(D5792&lt;&gt;"",VLOOKUP(H5792,TABLEITEM,5,FALSE),"")</f>
        <v>EA</v>
      </c>
      <c r="K5792" s="12">
        <v>10.0</v>
      </c>
      <c r="L5792" s="13" t="str">
        <f>IF(D5792&lt;&gt;"",VLOOKUP(H5792,TABLEITEM,2,FALSE),"")</f>
        <v/>
      </c>
      <c r="M5792" s="13" t="str">
        <f>IF(D5792&lt;&gt;"",VLOOKUP(H5792,TABLEITEM,3,FALSE),"")</f>
        <v>ใบตัดเหล็ก 4" SUMO</v>
      </c>
      <c r="N5792" s="14">
        <f>INSTOCK!$I5792*INSTOCK!$K5792</f>
        <v>1000</v>
      </c>
      <c r="O5792" s="4"/>
      <c r="P5792" s="4"/>
    </row>
    <row r="5793" ht="15.75" customHeight="1">
      <c r="B5793" s="8">
        <v>6117.0</v>
      </c>
      <c r="C5793" s="9">
        <v>43743.0</v>
      </c>
      <c r="D5793" s="6" t="s">
        <v>6863</v>
      </c>
      <c r="E5793" s="4">
        <v>6.210001486E9</v>
      </c>
      <c r="F5793" s="8" t="s">
        <v>604</v>
      </c>
      <c r="G5793" s="4" t="s">
        <v>965</v>
      </c>
      <c r="H5793" s="18" t="s">
        <v>51</v>
      </c>
      <c r="I5793" s="10">
        <v>50.0</v>
      </c>
      <c r="J5793" s="11" t="str">
        <f>IF(D5793&lt;&gt;"",VLOOKUP(H5793,TABLEITEM,5,FALSE),"")</f>
        <v>EA</v>
      </c>
      <c r="K5793" s="12">
        <v>18.0</v>
      </c>
      <c r="L5793" s="13" t="str">
        <f>IF(D5793&lt;&gt;"",VLOOKUP(H5793,TABLEITEM,2,FALSE),"")</f>
        <v/>
      </c>
      <c r="M5793" s="13" t="str">
        <f>IF(D5793&lt;&gt;"",VLOOKUP(H5793,TABLEITEM,3,FALSE),"")</f>
        <v>กระดาษกาวนิตโต้</v>
      </c>
      <c r="N5793" s="14">
        <f>INSTOCK!$I5793*INSTOCK!$K5793</f>
        <v>900</v>
      </c>
      <c r="O5793" s="4"/>
      <c r="P5793" s="4"/>
    </row>
    <row r="5794" ht="15.75" customHeight="1">
      <c r="B5794" s="8">
        <v>6118.0</v>
      </c>
      <c r="C5794" s="9">
        <v>43743.0</v>
      </c>
      <c r="D5794" s="6" t="s">
        <v>6863</v>
      </c>
      <c r="E5794" s="4">
        <v>6.210001486E9</v>
      </c>
      <c r="F5794" s="8" t="s">
        <v>604</v>
      </c>
      <c r="G5794" s="4" t="s">
        <v>965</v>
      </c>
      <c r="H5794" s="10" t="s">
        <v>2616</v>
      </c>
      <c r="I5794" s="10">
        <v>10.0</v>
      </c>
      <c r="J5794" s="11" t="str">
        <f>IF(D5794&lt;&gt;"",VLOOKUP(H5794,TABLEITEM,5,FALSE),"")</f>
        <v>M</v>
      </c>
      <c r="K5794" s="12">
        <v>12.0</v>
      </c>
      <c r="L5794" s="13" t="str">
        <f>IF(D5794&lt;&gt;"",VLOOKUP(H5794,TABLEITEM,2,FALSE),"")</f>
        <v/>
      </c>
      <c r="M5794" s="13" t="str">
        <f>IF(D5794&lt;&gt;"",VLOOKUP(H5794,TABLEITEM,3,FALSE),"")</f>
        <v>สายยางน้ำ 5/8"</v>
      </c>
      <c r="N5794" s="14">
        <f>INSTOCK!$I5794*INSTOCK!$K5794</f>
        <v>120</v>
      </c>
      <c r="O5794" s="4"/>
      <c r="P5794" s="4"/>
    </row>
    <row r="5795" ht="15.75" customHeight="1">
      <c r="B5795" s="8">
        <v>6119.0</v>
      </c>
      <c r="C5795" s="9">
        <v>43743.0</v>
      </c>
      <c r="D5795" s="6" t="s">
        <v>6864</v>
      </c>
      <c r="E5795" s="4">
        <v>6.210001457E9</v>
      </c>
      <c r="F5795" s="8" t="s">
        <v>604</v>
      </c>
      <c r="G5795" s="4" t="s">
        <v>721</v>
      </c>
      <c r="H5795" s="10" t="s">
        <v>221</v>
      </c>
      <c r="I5795" s="10">
        <v>300.0</v>
      </c>
      <c r="J5795" s="11" t="str">
        <f>IF(D5795&lt;&gt;"",VLOOKUP(H5795,TABLEITEM,5,FALSE),"")</f>
        <v>M</v>
      </c>
      <c r="K5795" s="12">
        <v>7.566</v>
      </c>
      <c r="L5795" s="13" t="str">
        <f>IF(D5795&lt;&gt;"",VLOOKUP(H5795,TABLEITEM,2,FALSE),"")</f>
        <v/>
      </c>
      <c r="M5795" s="13" t="str">
        <f>IF(D5795&lt;&gt;"",VLOOKUP(H5795,TABLEITEM,3,FALSE),"")</f>
        <v>ท่ออ่อนลูกฟูกชิดผ่า/ท่อผ่าดำ 7มิล</v>
      </c>
      <c r="N5795" s="14">
        <f>INSTOCK!$I5795*INSTOCK!$K5795</f>
        <v>2269.8</v>
      </c>
      <c r="O5795" s="4" t="s">
        <v>785</v>
      </c>
      <c r="P5795" s="4"/>
    </row>
    <row r="5796" ht="15.75" customHeight="1">
      <c r="B5796" s="8">
        <v>6120.0</v>
      </c>
      <c r="C5796" s="9">
        <v>43743.0</v>
      </c>
      <c r="D5796" s="6" t="s">
        <v>6864</v>
      </c>
      <c r="E5796" s="4">
        <v>6.210001457E9</v>
      </c>
      <c r="F5796" s="8" t="s">
        <v>604</v>
      </c>
      <c r="G5796" s="4" t="s">
        <v>721</v>
      </c>
      <c r="H5796" s="10" t="s">
        <v>222</v>
      </c>
      <c r="I5796" s="10">
        <v>200.0</v>
      </c>
      <c r="J5796" s="11" t="str">
        <f>IF(D5796&lt;&gt;"",VLOOKUP(H5796,TABLEITEM,5,FALSE),"")</f>
        <v>M</v>
      </c>
      <c r="K5796" s="12">
        <v>9.4575</v>
      </c>
      <c r="L5796" s="13" t="str">
        <f>IF(D5796&lt;&gt;"",VLOOKUP(H5796,TABLEITEM,2,FALSE),"")</f>
        <v/>
      </c>
      <c r="M5796" s="13" t="str">
        <f>IF(D5796&lt;&gt;"",VLOOKUP(H5796,TABLEITEM,3,FALSE),"")</f>
        <v>ท่ออ่อนลูกฟูกชิดผ่า/ท่อผ่าดำ 11มิล</v>
      </c>
      <c r="N5796" s="14">
        <f>INSTOCK!$I5796*INSTOCK!$K5796</f>
        <v>1891.5</v>
      </c>
      <c r="O5796" s="4" t="s">
        <v>1145</v>
      </c>
      <c r="P5796" s="4"/>
    </row>
    <row r="5797" ht="15.75" customHeight="1">
      <c r="B5797" s="8">
        <v>6121.0</v>
      </c>
      <c r="C5797" s="9">
        <v>43743.0</v>
      </c>
      <c r="D5797" s="6" t="s">
        <v>6864</v>
      </c>
      <c r="E5797" s="4">
        <v>6.210001457E9</v>
      </c>
      <c r="F5797" s="8" t="s">
        <v>604</v>
      </c>
      <c r="G5797" s="4" t="s">
        <v>721</v>
      </c>
      <c r="H5797" s="10" t="s">
        <v>164</v>
      </c>
      <c r="I5797" s="10">
        <v>3000.0</v>
      </c>
      <c r="J5797" s="11" t="str">
        <f>IF(D5797&lt;&gt;"",VLOOKUP(H5797,TABLEITEM,5,FALSE),"")</f>
        <v>EA</v>
      </c>
      <c r="K5797" s="12">
        <v>0.4074</v>
      </c>
      <c r="L5797" s="13" t="str">
        <f>IF(D5797&lt;&gt;"",VLOOKUP(H5797,TABLEITEM,2,FALSE),"")</f>
        <v/>
      </c>
      <c r="M5797" s="13" t="str">
        <f>IF(D5797&lt;&gt;"",VLOOKUP(H5797,TABLEITEM,3,FALSE),"")</f>
        <v>เคเบิ้ลไทร์ 8" สีดำCT-200B-3C</v>
      </c>
      <c r="N5797" s="14">
        <f>INSTOCK!$I5797*INSTOCK!$K5797</f>
        <v>1222.2</v>
      </c>
      <c r="O5797" s="4" t="s">
        <v>1219</v>
      </c>
      <c r="P5797" s="4"/>
    </row>
    <row r="5798" ht="15.75" customHeight="1">
      <c r="B5798" s="8">
        <v>6122.0</v>
      </c>
      <c r="C5798" s="9">
        <v>43742.0</v>
      </c>
      <c r="D5798" s="6">
        <v>6.21000213E8</v>
      </c>
      <c r="E5798" s="4">
        <v>6.20700115E9</v>
      </c>
      <c r="F5798" s="8" t="s">
        <v>604</v>
      </c>
      <c r="G5798" s="4" t="s">
        <v>1777</v>
      </c>
      <c r="H5798" s="10" t="s">
        <v>3997</v>
      </c>
      <c r="I5798" s="10">
        <v>10000.0</v>
      </c>
      <c r="J5798" s="11" t="str">
        <f>IF(D5798&lt;&gt;"",VLOOKUP(H5798,TABLEITEM,5,FALSE),"")</f>
        <v>EA</v>
      </c>
      <c r="K5798" s="12">
        <v>0.99</v>
      </c>
      <c r="L5798" s="13" t="str">
        <f>IF(D5798&lt;&gt;"",VLOOKUP(H5798,TABLEITEM,2,FALSE),"")</f>
        <v/>
      </c>
      <c r="M5798" s="13" t="str">
        <f>IF(D5798&lt;&gt;"",VLOOKUP(H5798,TABLEITEM,3,FALSE),"")</f>
        <v>สกรูหัวติดแหวน M 6x10</v>
      </c>
      <c r="N5798" s="14">
        <f>INSTOCK!$I5798*INSTOCK!$K5798</f>
        <v>9900</v>
      </c>
      <c r="O5798" s="4" t="s">
        <v>1857</v>
      </c>
      <c r="P5798" s="4"/>
    </row>
    <row r="5799" ht="15.75" customHeight="1">
      <c r="B5799" s="8">
        <v>6123.0</v>
      </c>
      <c r="C5799" s="9">
        <v>43742.0</v>
      </c>
      <c r="D5799" s="6">
        <v>6.21000213E8</v>
      </c>
      <c r="E5799" s="4">
        <v>6.210001465E9</v>
      </c>
      <c r="F5799" s="8" t="s">
        <v>6585</v>
      </c>
      <c r="G5799" s="4" t="s">
        <v>1777</v>
      </c>
      <c r="H5799" s="18" t="s">
        <v>6865</v>
      </c>
      <c r="I5799" s="10">
        <v>500.0</v>
      </c>
      <c r="J5799" s="11" t="str">
        <f>IF(D5799&lt;&gt;"",VLOOKUP(H5799,TABLEITEM,5,FALSE),"")</f>
        <v>EA</v>
      </c>
      <c r="K5799" s="12">
        <v>0.66</v>
      </c>
      <c r="L5799" s="13" t="str">
        <f>IF(D5799&lt;&gt;"",VLOOKUP(H5799,TABLEITEM,2,FALSE),"")</f>
        <v/>
      </c>
      <c r="M5799" s="13" t="str">
        <f>IF(D5799&lt;&gt;"",VLOOKUP(H5799,TABLEITEM,3,FALSE),"")</f>
        <v>สกรูเกลียวปล่อยไม้ SUS M4x30</v>
      </c>
      <c r="N5799" s="14">
        <f>INSTOCK!$I5799*INSTOCK!$K5799</f>
        <v>330</v>
      </c>
      <c r="O5799" s="4" t="s">
        <v>6866</v>
      </c>
      <c r="P5799" s="4"/>
    </row>
    <row r="5800" ht="15.75" customHeight="1">
      <c r="B5800" s="8">
        <v>6124.0</v>
      </c>
      <c r="C5800" s="9">
        <v>43746.0</v>
      </c>
      <c r="D5800" s="6" t="s">
        <v>6867</v>
      </c>
      <c r="E5800" s="4"/>
      <c r="F5800" s="8" t="s">
        <v>6868</v>
      </c>
      <c r="G5800" s="4" t="s">
        <v>617</v>
      </c>
      <c r="H5800" s="10" t="s">
        <v>562</v>
      </c>
      <c r="I5800" s="10">
        <v>35.0</v>
      </c>
      <c r="J5800" s="11" t="str">
        <f>IF(D5800&lt;&gt;"",VLOOKUP(H5800,TABLEITEM,5,FALSE),"")</f>
        <v>M</v>
      </c>
      <c r="K5800" s="12">
        <v>972.16</v>
      </c>
      <c r="L5800" s="13" t="str">
        <f>IF(D5800&lt;&gt;"",VLOOKUP(H5800,TABLEITEM,2,FALSE),"")</f>
        <v>Busbar</v>
      </c>
      <c r="M5800" s="13" t="str">
        <f>IF(D5800&lt;&gt;"",VLOOKUP(H5800,TABLEITEM,3,FALSE),"")</f>
        <v>บัสบาร์ทองแดง 50x10</v>
      </c>
      <c r="N5800" s="14">
        <f>INSTOCK!$I5800*INSTOCK!$K5800</f>
        <v>34025.6</v>
      </c>
      <c r="O5800" s="4" t="s">
        <v>6722</v>
      </c>
      <c r="P5800" s="4"/>
    </row>
    <row r="5801" ht="15.75" customHeight="1">
      <c r="B5801" s="8">
        <v>6125.0</v>
      </c>
      <c r="C5801" s="9">
        <v>43746.0</v>
      </c>
      <c r="D5801" s="6" t="s">
        <v>6869</v>
      </c>
      <c r="E5801" s="4">
        <v>6.21000149E9</v>
      </c>
      <c r="F5801" s="8" t="s">
        <v>6870</v>
      </c>
      <c r="G5801" s="4" t="s">
        <v>617</v>
      </c>
      <c r="H5801" s="10" t="s">
        <v>562</v>
      </c>
      <c r="I5801" s="10">
        <v>25.0</v>
      </c>
      <c r="J5801" s="11" t="str">
        <f>IF(D5801&lt;&gt;"",VLOOKUP(H5801,TABLEITEM,5,FALSE),"")</f>
        <v>M</v>
      </c>
      <c r="K5801" s="12">
        <v>972.16</v>
      </c>
      <c r="L5801" s="13" t="str">
        <f>IF(D5801&lt;&gt;"",VLOOKUP(H5801,TABLEITEM,2,FALSE),"")</f>
        <v>Busbar</v>
      </c>
      <c r="M5801" s="13" t="str">
        <f>IF(D5801&lt;&gt;"",VLOOKUP(H5801,TABLEITEM,3,FALSE),"")</f>
        <v>บัสบาร์ทองแดง 50x10</v>
      </c>
      <c r="N5801" s="14">
        <f>INSTOCK!$I5801*INSTOCK!$K5801</f>
        <v>24304</v>
      </c>
      <c r="O5801" s="4" t="s">
        <v>6722</v>
      </c>
      <c r="P5801" s="4"/>
    </row>
    <row r="5802" ht="15.75" customHeight="1">
      <c r="B5802" s="8">
        <v>6126.0</v>
      </c>
      <c r="C5802" s="9">
        <v>43746.0</v>
      </c>
      <c r="D5802" s="6" t="s">
        <v>6869</v>
      </c>
      <c r="E5802" s="4">
        <v>6.21000149E9</v>
      </c>
      <c r="F5802" s="8" t="s">
        <v>6870</v>
      </c>
      <c r="G5802" s="4" t="s">
        <v>617</v>
      </c>
      <c r="H5802" s="10" t="s">
        <v>629</v>
      </c>
      <c r="I5802" s="10">
        <v>15.0</v>
      </c>
      <c r="J5802" s="11" t="str">
        <f>IF(D5802&lt;&gt;"",VLOOKUP(H5802,TABLEITEM,5,FALSE),"")</f>
        <v>M</v>
      </c>
      <c r="K5802" s="12">
        <v>1553.72</v>
      </c>
      <c r="L5802" s="13" t="str">
        <f>IF(D5802&lt;&gt;"",VLOOKUP(H5802,TABLEITEM,2,FALSE),"")</f>
        <v>Busbar</v>
      </c>
      <c r="M5802" s="13" t="str">
        <f>IF(D5802&lt;&gt;"",VLOOKUP(H5802,TABLEITEM,3,FALSE),"")</f>
        <v>บัสบาร์ทองแดง 80x10</v>
      </c>
      <c r="N5802" s="14">
        <f>INSTOCK!$I5802*INSTOCK!$K5802</f>
        <v>23305.8</v>
      </c>
      <c r="O5802" s="4" t="s">
        <v>6722</v>
      </c>
      <c r="P5802" s="4"/>
    </row>
    <row r="5803" ht="15.75" customHeight="1">
      <c r="B5803" s="8">
        <v>6127.0</v>
      </c>
      <c r="C5803" s="9">
        <v>43746.0</v>
      </c>
      <c r="D5803" s="6" t="s">
        <v>6871</v>
      </c>
      <c r="E5803" s="4">
        <v>6.210001492E9</v>
      </c>
      <c r="F5803" s="8" t="s">
        <v>604</v>
      </c>
      <c r="G5803" s="4" t="s">
        <v>1033</v>
      </c>
      <c r="H5803" s="10" t="s">
        <v>24</v>
      </c>
      <c r="I5803" s="10">
        <v>1000.0</v>
      </c>
      <c r="J5803" s="11" t="str">
        <f>IF(D5803&lt;&gt;"",VLOOKUP(H5803,TABLEITEM,5,FALSE),"")</f>
        <v>EA</v>
      </c>
      <c r="K5803" s="12">
        <v>4.5</v>
      </c>
      <c r="L5803" s="13" t="str">
        <f>IF(D5803&lt;&gt;"",VLOOKUP(H5803,TABLEITEM,2,FALSE),"")</f>
        <v/>
      </c>
      <c r="M5803" s="13" t="str">
        <f>IF(D5803&lt;&gt;"",VLOOKUP(H5803,TABLEITEM,3,FALSE),"")</f>
        <v>กระดาษทรายกลม#120</v>
      </c>
      <c r="N5803" s="14">
        <f>INSTOCK!$I5803*INSTOCK!$K5803</f>
        <v>4500</v>
      </c>
      <c r="O5803" s="4"/>
      <c r="P5803" s="4"/>
    </row>
    <row r="5804" ht="15.75" customHeight="1">
      <c r="B5804" s="8">
        <v>6128.0</v>
      </c>
      <c r="C5804" s="9">
        <v>43746.0</v>
      </c>
      <c r="D5804" s="6" t="s">
        <v>6872</v>
      </c>
      <c r="E5804" s="4"/>
      <c r="F5804" s="8" t="s">
        <v>604</v>
      </c>
      <c r="G5804" s="4" t="s">
        <v>2121</v>
      </c>
      <c r="H5804" s="10" t="s">
        <v>2122</v>
      </c>
      <c r="I5804" s="10">
        <v>300.0</v>
      </c>
      <c r="J5804" s="11" t="str">
        <f>IF(D5804&lt;&gt;"",VLOOKUP(H5804,TABLEITEM,5,FALSE),"")</f>
        <v>EA</v>
      </c>
      <c r="K5804" s="12">
        <v>30.0</v>
      </c>
      <c r="L5804" s="13" t="str">
        <f>IF(D5804&lt;&gt;"",VLOOKUP(H5804,TABLEITEM,2,FALSE),"")</f>
        <v/>
      </c>
      <c r="M5804" s="13" t="str">
        <f>IF(D5804&lt;&gt;"",VLOOKUP(H5804,TABLEITEM,3,FALSE),"")</f>
        <v>ห่วงตู้ M12 ชุบขาว</v>
      </c>
      <c r="N5804" s="14">
        <f>INSTOCK!$I5804*INSTOCK!$K5804</f>
        <v>9000</v>
      </c>
      <c r="O5804" s="4"/>
      <c r="P5804" s="4"/>
    </row>
    <row r="5805" ht="15.75" customHeight="1">
      <c r="B5805" s="8">
        <v>6129.0</v>
      </c>
      <c r="C5805" s="9">
        <v>43743.0</v>
      </c>
      <c r="D5805" s="6" t="s">
        <v>6873</v>
      </c>
      <c r="E5805" s="4">
        <v>6.21000147E9</v>
      </c>
      <c r="F5805" s="8" t="s">
        <v>604</v>
      </c>
      <c r="G5805" s="4" t="s">
        <v>1564</v>
      </c>
      <c r="H5805" s="10" t="s">
        <v>3784</v>
      </c>
      <c r="I5805" s="10">
        <v>300.0</v>
      </c>
      <c r="J5805" s="11" t="str">
        <f>IF(D5805&lt;&gt;"",VLOOKUP(H5805,TABLEITEM,5,FALSE),"")</f>
        <v>EA</v>
      </c>
      <c r="K5805" s="12">
        <v>32.0</v>
      </c>
      <c r="L5805" s="13" t="str">
        <f>IF(D5805&lt;&gt;"",VLOOKUP(H5805,TABLEITEM,2,FALSE),"")</f>
        <v/>
      </c>
      <c r="M5805" s="13" t="str">
        <f>IF(D5805&lt;&gt;"",VLOOKUP(H5805,TABLEITEM,3,FALSE),"")</f>
        <v>กาวร้อน BT-33</v>
      </c>
      <c r="N5805" s="14">
        <f>INSTOCK!$I5805*INSTOCK!$K5805</f>
        <v>9600</v>
      </c>
      <c r="O5805" s="4"/>
      <c r="P5805" s="4"/>
    </row>
    <row r="5806" ht="15.75" customHeight="1">
      <c r="B5806" s="8">
        <v>6130.0</v>
      </c>
      <c r="C5806" s="9">
        <v>43746.0</v>
      </c>
      <c r="D5806" s="6" t="s">
        <v>6874</v>
      </c>
      <c r="E5806" s="4">
        <v>6.210001489E9</v>
      </c>
      <c r="F5806" s="8" t="s">
        <v>6875</v>
      </c>
      <c r="G5806" s="4" t="s">
        <v>743</v>
      </c>
      <c r="H5806" s="10" t="s">
        <v>76</v>
      </c>
      <c r="I5806" s="10">
        <v>20.0</v>
      </c>
      <c r="J5806" s="11" t="str">
        <f>IF(D5806&lt;&gt;"",VLOOKUP(H5806,TABLEITEM,5,FALSE),"")</f>
        <v>KG.</v>
      </c>
      <c r="K5806" s="12">
        <v>126.5</v>
      </c>
      <c r="L5806" s="13" t="str">
        <f>IF(D5806&lt;&gt;"",VLOOKUP(H5806,TABLEITEM,2,FALSE),"")</f>
        <v/>
      </c>
      <c r="M5806" s="13" t="str">
        <f>IF(D5806&lt;&gt;"",VLOOKUP(H5806,TABLEITEM,3,FALSE),"")</f>
        <v>สีฝุ่น Widely White 1029739PX20</v>
      </c>
      <c r="N5806" s="14">
        <f>INSTOCK!$I5806*INSTOCK!$K5806</f>
        <v>2530</v>
      </c>
      <c r="O5806" s="4"/>
      <c r="P5806" s="4"/>
    </row>
    <row r="5807" ht="15.75" customHeight="1">
      <c r="B5807" s="8">
        <v>6131.0</v>
      </c>
      <c r="C5807" s="9">
        <v>43746.0</v>
      </c>
      <c r="D5807" s="6">
        <v>40646.0</v>
      </c>
      <c r="E5807" s="4">
        <v>6.210001491E9</v>
      </c>
      <c r="F5807" s="8" t="s">
        <v>604</v>
      </c>
      <c r="G5807" s="4" t="s">
        <v>696</v>
      </c>
      <c r="H5807" s="10" t="s">
        <v>44</v>
      </c>
      <c r="I5807" s="10">
        <v>3.0</v>
      </c>
      <c r="J5807" s="11" t="str">
        <f>IF(D5807&lt;&gt;"",VLOOKUP(H5807,TABLEITEM,5,FALSE),"")</f>
        <v>ปี๊ป</v>
      </c>
      <c r="K5807" s="12">
        <v>350.0</v>
      </c>
      <c r="L5807" s="13" t="str">
        <f>IF(D5807&lt;&gt;"",VLOOKUP(H5807,TABLEITEM,2,FALSE),"")</f>
        <v/>
      </c>
      <c r="M5807" s="13" t="str">
        <f>IF(D5807&lt;&gt;"",VLOOKUP(H5807,TABLEITEM,3,FALSE),"")</f>
        <v>ทินเนอร์ AAA</v>
      </c>
      <c r="N5807" s="14">
        <f>INSTOCK!$I5807*INSTOCK!$K5807</f>
        <v>1050</v>
      </c>
      <c r="O5807" s="4"/>
      <c r="P5807" s="4"/>
    </row>
    <row r="5808" ht="15.75" customHeight="1">
      <c r="B5808" s="8">
        <v>6132.0</v>
      </c>
      <c r="C5808" s="9">
        <v>43745.0</v>
      </c>
      <c r="D5808" s="6" t="s">
        <v>6876</v>
      </c>
      <c r="E5808" s="4">
        <v>6.210001485E9</v>
      </c>
      <c r="F5808" s="8" t="s">
        <v>604</v>
      </c>
      <c r="G5808" s="4" t="s">
        <v>1611</v>
      </c>
      <c r="H5808" s="10" t="s">
        <v>189</v>
      </c>
      <c r="I5808" s="10">
        <v>200.0</v>
      </c>
      <c r="J5808" s="11" t="str">
        <f>IF(D5808&lt;&gt;"",VLOOKUP(H5808,TABLEITEM,5,FALSE),"")</f>
        <v>EA</v>
      </c>
      <c r="K5808" s="12">
        <v>5.0</v>
      </c>
      <c r="L5808" s="13" t="str">
        <f>IF(D5808&lt;&gt;"",VLOOKUP(H5808,TABLEITEM,2,FALSE),"")</f>
        <v/>
      </c>
      <c r="M5808" s="13" t="str">
        <f>IF(D5808&lt;&gt;"",VLOOKUP(H5808,TABLEITEM,3,FALSE),"")</f>
        <v>END PLATE TXA1</v>
      </c>
      <c r="N5808" s="14">
        <f>INSTOCK!$I5808*INSTOCK!$K5808</f>
        <v>1000</v>
      </c>
      <c r="O5808" s="4"/>
      <c r="P5808" s="4"/>
    </row>
    <row r="5809" ht="15.75" customHeight="1">
      <c r="B5809" s="8">
        <v>6133.0</v>
      </c>
      <c r="C5809" s="9">
        <v>43745.0</v>
      </c>
      <c r="D5809" s="6" t="s">
        <v>6876</v>
      </c>
      <c r="E5809" s="4">
        <v>6.210001485E9</v>
      </c>
      <c r="F5809" s="8" t="s">
        <v>604</v>
      </c>
      <c r="G5809" s="4" t="s">
        <v>1611</v>
      </c>
      <c r="H5809" s="10" t="s">
        <v>200</v>
      </c>
      <c r="I5809" s="10">
        <v>300.0</v>
      </c>
      <c r="J5809" s="11" t="str">
        <f>IF(D5809&lt;&gt;"",VLOOKUP(H5809,TABLEITEM,5,FALSE),"")</f>
        <v>EA</v>
      </c>
      <c r="K5809" s="12">
        <v>16.0</v>
      </c>
      <c r="L5809" s="13" t="str">
        <f>IF(D5809&lt;&gt;"",VLOOKUP(H5809,TABLEITEM,2,FALSE),"")</f>
        <v/>
      </c>
      <c r="M5809" s="13" t="str">
        <f>IF(D5809&lt;&gt;"",VLOOKUP(H5809,TABLEITEM,3,FALSE),"")</f>
        <v>STOPPER TXE2</v>
      </c>
      <c r="N5809" s="14">
        <f>INSTOCK!$I5809*INSTOCK!$K5809</f>
        <v>4800</v>
      </c>
      <c r="O5809" s="4"/>
      <c r="P5809" s="4"/>
    </row>
    <row r="5810" ht="15.75" customHeight="1">
      <c r="B5810" s="8">
        <v>6134.0</v>
      </c>
      <c r="C5810" s="9">
        <v>43747.0</v>
      </c>
      <c r="D5810" s="6" t="s">
        <v>6877</v>
      </c>
      <c r="E5810" s="4">
        <v>6.210001483E9</v>
      </c>
      <c r="F5810" s="8" t="s">
        <v>6815</v>
      </c>
      <c r="G5810" s="4" t="s">
        <v>1985</v>
      </c>
      <c r="H5810" s="10" t="s">
        <v>2557</v>
      </c>
      <c r="I5810" s="10">
        <v>1.0</v>
      </c>
      <c r="J5810" s="11" t="str">
        <f>IF(D5810&lt;&gt;"",VLOOKUP(H5810,TABLEITEM,5,FALSE),"")</f>
        <v>คู่</v>
      </c>
      <c r="K5810" s="12">
        <v>560.0</v>
      </c>
      <c r="L5810" s="13" t="str">
        <f>IF(D5810&lt;&gt;"",VLOOKUP(H5810,TABLEITEM,2,FALSE),"")</f>
        <v/>
      </c>
      <c r="M5810" s="13" t="str">
        <f>IF(D5810&lt;&gt;"",VLOOKUP(H5810,TABLEITEM,3,FALSE),"")</f>
        <v>รองเท้าหุ้มส้นพื้นยาง CB800</v>
      </c>
      <c r="N5810" s="14">
        <f>INSTOCK!$I5810*INSTOCK!$K5810</f>
        <v>560</v>
      </c>
      <c r="O5810" s="4" t="s">
        <v>4650</v>
      </c>
      <c r="P5810" s="4"/>
    </row>
    <row r="5811" ht="15.75" customHeight="1">
      <c r="B5811" s="8">
        <v>6135.0</v>
      </c>
      <c r="C5811" s="9">
        <v>43747.0</v>
      </c>
      <c r="D5811" s="6" t="s">
        <v>6878</v>
      </c>
      <c r="E5811" s="4">
        <v>6.209001371E9</v>
      </c>
      <c r="F5811" s="8" t="s">
        <v>6815</v>
      </c>
      <c r="G5811" s="4" t="s">
        <v>1985</v>
      </c>
      <c r="H5811" s="10" t="s">
        <v>1986</v>
      </c>
      <c r="I5811" s="10">
        <v>1.0</v>
      </c>
      <c r="J5811" s="11" t="str">
        <f>IF(D5811&lt;&gt;"",VLOOKUP(H5811,TABLEITEM,5,FALSE),"")</f>
        <v>คู่</v>
      </c>
      <c r="K5811" s="12">
        <v>550.0</v>
      </c>
      <c r="L5811" s="13" t="str">
        <f>IF(D5811&lt;&gt;"",VLOOKUP(H5811,TABLEITEM,2,FALSE),"")</f>
        <v/>
      </c>
      <c r="M5811" s="13" t="str">
        <f>IF(D5811&lt;&gt;"",VLOOKUP(H5811,TABLEITEM,3,FALSE),"")</f>
        <v>รองเท้าหุ้มข้อหนังอัดลาย CB102</v>
      </c>
      <c r="N5811" s="14">
        <f>INSTOCK!$I5811*INSTOCK!$K5811</f>
        <v>550</v>
      </c>
      <c r="O5811" s="4"/>
      <c r="P5811" s="4"/>
    </row>
    <row r="5812" ht="15.75" customHeight="1">
      <c r="B5812" s="8">
        <v>6136.0</v>
      </c>
      <c r="C5812" s="9">
        <v>43740.0</v>
      </c>
      <c r="D5812" s="6">
        <v>28533.0</v>
      </c>
      <c r="E5812" s="4"/>
      <c r="F5812" s="8" t="s">
        <v>6879</v>
      </c>
      <c r="G5812" s="4" t="s">
        <v>2528</v>
      </c>
      <c r="H5812" s="10" t="s">
        <v>2529</v>
      </c>
      <c r="I5812" s="10">
        <v>1.0</v>
      </c>
      <c r="J5812" s="11" t="str">
        <f>IF(D5812&lt;&gt;"",VLOOKUP(H5812,TABLEITEM,5,FALSE),"")</f>
        <v>KG.</v>
      </c>
      <c r="K5812" s="12">
        <v>2890.0</v>
      </c>
      <c r="L5812" s="13" t="str">
        <f>IF(D5812&lt;&gt;"",VLOOKUP(H5812,TABLEITEM,2,FALSE),"")</f>
        <v/>
      </c>
      <c r="M5812" s="13" t="str">
        <f>IF(D5812&lt;&gt;"",VLOOKUP(H5812,TABLEITEM,3,FALSE),"")</f>
        <v>งานชุบ HOT DIP</v>
      </c>
      <c r="N5812" s="14">
        <f>INSTOCK!$I5812*INSTOCK!$K5812</f>
        <v>2890</v>
      </c>
      <c r="O5812" s="4" t="s">
        <v>6880</v>
      </c>
      <c r="P5812" s="4"/>
    </row>
    <row r="5813" ht="15.75" customHeight="1">
      <c r="B5813" s="8">
        <v>6137.0</v>
      </c>
      <c r="C5813" s="9">
        <v>43711.0</v>
      </c>
      <c r="D5813" s="6">
        <v>28328.0</v>
      </c>
      <c r="E5813" s="4"/>
      <c r="F5813" s="8" t="s">
        <v>6393</v>
      </c>
      <c r="G5813" s="4" t="s">
        <v>2528</v>
      </c>
      <c r="H5813" s="10" t="s">
        <v>2529</v>
      </c>
      <c r="I5813" s="10">
        <v>1.0</v>
      </c>
      <c r="J5813" s="11" t="str">
        <f>IF(D5813&lt;&gt;"",VLOOKUP(H5813,TABLEITEM,5,FALSE),"")</f>
        <v>KG.</v>
      </c>
      <c r="K5813" s="12">
        <v>1650.0</v>
      </c>
      <c r="L5813" s="13" t="str">
        <f>IF(D5813&lt;&gt;"",VLOOKUP(H5813,TABLEITEM,2,FALSE),"")</f>
        <v/>
      </c>
      <c r="M5813" s="13" t="str">
        <f>IF(D5813&lt;&gt;"",VLOOKUP(H5813,TABLEITEM,3,FALSE),"")</f>
        <v>งานชุบ HOT DIP</v>
      </c>
      <c r="N5813" s="14">
        <f>INSTOCK!$I5813*INSTOCK!$K5813</f>
        <v>1650</v>
      </c>
      <c r="O5813" s="4" t="s">
        <v>6881</v>
      </c>
      <c r="P5813" s="4"/>
    </row>
    <row r="5814" ht="15.75" customHeight="1">
      <c r="B5814" s="8">
        <v>6138.0</v>
      </c>
      <c r="C5814" s="9">
        <v>43745.0</v>
      </c>
      <c r="D5814" s="6" t="s">
        <v>6882</v>
      </c>
      <c r="E5814" s="4">
        <v>6.210001479E9</v>
      </c>
      <c r="F5814" s="8" t="s">
        <v>1989</v>
      </c>
      <c r="G5814" s="4" t="s">
        <v>1990</v>
      </c>
      <c r="H5814" s="10" t="s">
        <v>1992</v>
      </c>
      <c r="I5814" s="10">
        <v>2.0</v>
      </c>
      <c r="J5814" s="11" t="str">
        <f>IF(D5814&lt;&gt;"",VLOOKUP(H5814,TABLEITEM,5,FALSE),"")</f>
        <v>PACK</v>
      </c>
      <c r="K5814" s="12">
        <v>119.0</v>
      </c>
      <c r="L5814" s="13" t="str">
        <f>IF(D5814&lt;&gt;"",VLOOKUP(H5814,TABLEITEM,2,FALSE),"")</f>
        <v/>
      </c>
      <c r="M5814" s="13" t="str">
        <f>IF(D5814&lt;&gt;"",VLOOKUP(H5814,TABLEITEM,3,FALSE),"")</f>
        <v>ถ่านอัลคาไลน์ Panasonic AA (แพ็ค 8ก้อน)</v>
      </c>
      <c r="N5814" s="14">
        <f>INSTOCK!$I5814*INSTOCK!$K5814</f>
        <v>238</v>
      </c>
      <c r="O5814" s="4"/>
      <c r="P5814" s="4"/>
    </row>
    <row r="5815" ht="15.75" customHeight="1">
      <c r="B5815" s="8">
        <v>6139.0</v>
      </c>
      <c r="C5815" s="9">
        <v>43745.0</v>
      </c>
      <c r="D5815" s="6" t="s">
        <v>6882</v>
      </c>
      <c r="E5815" s="4">
        <v>6.210001479E9</v>
      </c>
      <c r="F5815" s="8" t="s">
        <v>1989</v>
      </c>
      <c r="G5815" s="4" t="s">
        <v>1990</v>
      </c>
      <c r="H5815" s="10" t="s">
        <v>3419</v>
      </c>
      <c r="I5815" s="10">
        <v>2.0</v>
      </c>
      <c r="J5815" s="11" t="str">
        <f>IF(D5815&lt;&gt;"",VLOOKUP(H5815,TABLEITEM,5,FALSE),"")</f>
        <v>pack</v>
      </c>
      <c r="K5815" s="12">
        <v>119.0</v>
      </c>
      <c r="L5815" s="13" t="str">
        <f>IF(D5815&lt;&gt;"",VLOOKUP(H5815,TABLEITEM,2,FALSE),"")</f>
        <v/>
      </c>
      <c r="M5815" s="13" t="str">
        <f>IF(D5815&lt;&gt;"",VLOOKUP(H5815,TABLEITEM,3,FALSE),"")</f>
        <v>ถ่านอัลคาไลน์ panasonic AAA (แพ็ค 8ก้อน)</v>
      </c>
      <c r="N5815" s="14">
        <f>INSTOCK!$I5815*INSTOCK!$K5815</f>
        <v>238</v>
      </c>
      <c r="O5815" s="4"/>
      <c r="P5815" s="4"/>
    </row>
    <row r="5816" ht="15.75" customHeight="1">
      <c r="B5816" s="8">
        <v>6140.0</v>
      </c>
      <c r="C5816" s="9">
        <v>43745.0</v>
      </c>
      <c r="D5816" s="6" t="s">
        <v>6882</v>
      </c>
      <c r="E5816" s="4">
        <v>6.210001479E9</v>
      </c>
      <c r="F5816" s="8" t="s">
        <v>1989</v>
      </c>
      <c r="G5816" s="4" t="s">
        <v>1990</v>
      </c>
      <c r="H5816" s="10" t="s">
        <v>1991</v>
      </c>
      <c r="I5816" s="10">
        <v>24.0</v>
      </c>
      <c r="J5816" s="11" t="str">
        <f>IF(D5816&lt;&gt;"",VLOOKUP(H5816,TABLEITEM,5,FALSE),"")</f>
        <v>EA</v>
      </c>
      <c r="K5816" s="12">
        <v>8.5</v>
      </c>
      <c r="L5816" s="13" t="str">
        <f>IF(D5816&lt;&gt;"",VLOOKUP(H5816,TABLEITEM,2,FALSE),"")</f>
        <v/>
      </c>
      <c r="M5816" s="13" t="str">
        <f>IF(D5816&lt;&gt;"",VLOOKUP(H5816,TABLEITEM,3,FALSE),"")</f>
        <v>ปากกาเคมี/มาร์คเกอร์ ตราม้า 2หัว น้ำเงิน</v>
      </c>
      <c r="N5816" s="14">
        <f>INSTOCK!$I5816*INSTOCK!$K5816</f>
        <v>204</v>
      </c>
      <c r="O5816" s="4"/>
      <c r="P5816" s="4"/>
    </row>
    <row r="5817" ht="15.75" customHeight="1">
      <c r="B5817" s="8">
        <v>6141.0</v>
      </c>
      <c r="C5817" s="9">
        <v>43745.0</v>
      </c>
      <c r="D5817" s="6" t="s">
        <v>6882</v>
      </c>
      <c r="E5817" s="4">
        <v>6.210001479E9</v>
      </c>
      <c r="F5817" s="8" t="s">
        <v>1989</v>
      </c>
      <c r="G5817" s="4" t="s">
        <v>1990</v>
      </c>
      <c r="H5817" s="10" t="s">
        <v>3416</v>
      </c>
      <c r="I5817" s="10">
        <v>24.0</v>
      </c>
      <c r="J5817" s="11" t="str">
        <f>IF(D5817&lt;&gt;"",VLOOKUP(H5817,TABLEITEM,5,FALSE),"")</f>
        <v>EA</v>
      </c>
      <c r="K5817" s="12">
        <v>4.0</v>
      </c>
      <c r="L5817" s="13" t="str">
        <f>IF(D5817&lt;&gt;"",VLOOKUP(H5817,TABLEITEM,2,FALSE),"")</f>
        <v/>
      </c>
      <c r="M5817" s="13" t="str">
        <f>IF(D5817&lt;&gt;"",VLOOKUP(H5817,TABLEITEM,3,FALSE),"")</f>
        <v>ลวดเย็บเบอร์ 10 ตราช้าง ไททาเนีย</v>
      </c>
      <c r="N5817" s="14">
        <f>INSTOCK!$I5817*INSTOCK!$K5817</f>
        <v>96</v>
      </c>
      <c r="O5817" s="4"/>
      <c r="P5817" s="4"/>
    </row>
    <row r="5818" ht="15.75" customHeight="1">
      <c r="B5818" s="8">
        <v>6142.0</v>
      </c>
      <c r="C5818" s="9">
        <v>43745.0</v>
      </c>
      <c r="D5818" s="6" t="s">
        <v>6882</v>
      </c>
      <c r="E5818" s="4">
        <v>6.210001479E9</v>
      </c>
      <c r="F5818" s="8" t="s">
        <v>1989</v>
      </c>
      <c r="G5818" s="4" t="s">
        <v>1990</v>
      </c>
      <c r="H5818" s="10" t="s">
        <v>2438</v>
      </c>
      <c r="I5818" s="10">
        <v>6.0</v>
      </c>
      <c r="J5818" s="11" t="str">
        <f>IF(D5818&lt;&gt;"",VLOOKUP(H5818,TABLEITEM,5,FALSE),"")</f>
        <v>EA</v>
      </c>
      <c r="K5818" s="12">
        <v>50.0</v>
      </c>
      <c r="L5818" s="13" t="str">
        <f>IF(D5818&lt;&gt;"",VLOOKUP(H5818,TABLEITEM,2,FALSE),"")</f>
        <v/>
      </c>
      <c r="M5818" s="13" t="str">
        <f>IF(D5818&lt;&gt;"",VLOOKUP(H5818,TABLEITEM,3,FALSE),"")</f>
        <v>ปากกาเพ้นท์ ซากุระ XPMK-B 2มม ดำ</v>
      </c>
      <c r="N5818" s="14">
        <f>INSTOCK!$I5818*INSTOCK!$K5818</f>
        <v>300</v>
      </c>
      <c r="O5818" s="4"/>
      <c r="P5818" s="4"/>
    </row>
    <row r="5819" ht="15.75" customHeight="1">
      <c r="B5819" s="8">
        <v>6143.0</v>
      </c>
      <c r="C5819" s="9">
        <v>43745.0</v>
      </c>
      <c r="D5819" s="6" t="s">
        <v>6883</v>
      </c>
      <c r="E5819" s="4">
        <v>6.210001488E9</v>
      </c>
      <c r="F5819" s="8" t="s">
        <v>6884</v>
      </c>
      <c r="G5819" s="4" t="s">
        <v>1904</v>
      </c>
      <c r="H5819" s="10" t="s">
        <v>1833</v>
      </c>
      <c r="I5819" s="10">
        <v>2.0</v>
      </c>
      <c r="J5819" s="11" t="str">
        <f>IF(D5819&lt;&gt;"",VLOOKUP(H5819,TABLEITEM,5,FALSE),"")</f>
        <v>EA</v>
      </c>
      <c r="K5819" s="12">
        <v>620.0</v>
      </c>
      <c r="L5819" s="13" t="str">
        <f>IF(D5819&lt;&gt;"",VLOOKUP(H5819,TABLEITEM,2,FALSE),"")</f>
        <v/>
      </c>
      <c r="M5819" s="13" t="str">
        <f>IF(D5819&lt;&gt;"",VLOOKUP(H5819,TABLEITEM,3,FALSE),"")</f>
        <v>Timer H3CR-A8 100-240VAC</v>
      </c>
      <c r="N5819" s="14">
        <f>INSTOCK!$I5819*INSTOCK!$K5819</f>
        <v>1240</v>
      </c>
      <c r="O5819" s="4"/>
      <c r="P5819" s="4"/>
    </row>
    <row r="5820" ht="15.75" customHeight="1">
      <c r="B5820" s="8">
        <v>6144.0</v>
      </c>
      <c r="C5820" s="9">
        <v>43745.0</v>
      </c>
      <c r="D5820" s="6" t="s">
        <v>6885</v>
      </c>
      <c r="E5820" s="4">
        <v>6.210001487E9</v>
      </c>
      <c r="F5820" s="8" t="s">
        <v>604</v>
      </c>
      <c r="G5820" s="4" t="s">
        <v>665</v>
      </c>
      <c r="H5820" s="10" t="s">
        <v>469</v>
      </c>
      <c r="I5820" s="10">
        <v>300.0</v>
      </c>
      <c r="J5820" s="11" t="str">
        <f>IF(D5820&lt;&gt;"",VLOOKUP(H5820,TABLEITEM,5,FALSE),"")</f>
        <v>M</v>
      </c>
      <c r="K5820" s="12">
        <v>4.46</v>
      </c>
      <c r="L5820" s="13" t="str">
        <f>IF(D5820&lt;&gt;"",VLOOKUP(H5820,TABLEITEM,2,FALSE),"")</f>
        <v>wire</v>
      </c>
      <c r="M5820" s="13" t="str">
        <f>IF(D5820&lt;&gt;"",VLOOKUP(H5820,TABLEITEM,3,FALSE),"")</f>
        <v>สายไฟ VSF1x1 SQMM.สีเขียว</v>
      </c>
      <c r="N5820" s="14">
        <f>INSTOCK!$I5820*INSTOCK!$K5820</f>
        <v>1338</v>
      </c>
      <c r="O5820" s="4"/>
      <c r="P5820" s="4"/>
    </row>
    <row r="5821" ht="15.75" customHeight="1">
      <c r="B5821" s="8">
        <v>6145.0</v>
      </c>
      <c r="C5821" s="9">
        <v>43745.0</v>
      </c>
      <c r="D5821" s="6" t="s">
        <v>6885</v>
      </c>
      <c r="E5821" s="4">
        <v>6.210001487E9</v>
      </c>
      <c r="F5821" s="8" t="s">
        <v>604</v>
      </c>
      <c r="G5821" s="4" t="s">
        <v>665</v>
      </c>
      <c r="H5821" s="10" t="s">
        <v>490</v>
      </c>
      <c r="I5821" s="10">
        <v>500.0</v>
      </c>
      <c r="J5821" s="11" t="str">
        <f>IF(D5821&lt;&gt;"",VLOOKUP(H5821,TABLEITEM,5,FALSE),"")</f>
        <v>M</v>
      </c>
      <c r="K5821" s="12">
        <v>13.58</v>
      </c>
      <c r="L5821" s="13" t="str">
        <f>IF(D5821&lt;&gt;"",VLOOKUP(H5821,TABLEITEM,2,FALSE),"")</f>
        <v>wire</v>
      </c>
      <c r="M5821" s="13" t="str">
        <f>IF(D5821&lt;&gt;"",VLOOKUP(H5821,TABLEITEM,3,FALSE),"")</f>
        <v>สายไฟ VSF1x4 SQMM.สีดำ</v>
      </c>
      <c r="N5821" s="14">
        <f>INSTOCK!$I5821*INSTOCK!$K5821</f>
        <v>6790</v>
      </c>
      <c r="O5821" s="4"/>
      <c r="P5821" s="4"/>
    </row>
    <row r="5822" ht="15.75" customHeight="1">
      <c r="B5822" s="8">
        <v>6146.0</v>
      </c>
      <c r="C5822" s="9">
        <v>43745.0</v>
      </c>
      <c r="D5822" s="6" t="s">
        <v>6885</v>
      </c>
      <c r="E5822" s="4">
        <v>6.210001487E9</v>
      </c>
      <c r="F5822" s="8" t="s">
        <v>604</v>
      </c>
      <c r="G5822" s="4" t="s">
        <v>665</v>
      </c>
      <c r="H5822" s="10" t="s">
        <v>3571</v>
      </c>
      <c r="I5822" s="10">
        <v>500.0</v>
      </c>
      <c r="J5822" s="11" t="str">
        <f>IF(D5822&lt;&gt;"",VLOOKUP(H5822,TABLEITEM,5,FALSE),"")</f>
        <v>M</v>
      </c>
      <c r="K5822" s="12">
        <v>21.1</v>
      </c>
      <c r="L5822" s="13" t="str">
        <f>IF(D5822&lt;&gt;"",VLOOKUP(H5822,TABLEITEM,2,FALSE),"")</f>
        <v>wire</v>
      </c>
      <c r="M5822" s="13" t="str">
        <f>IF(D5822&lt;&gt;"",VLOOKUP(H5822,TABLEITEM,3,FALSE),"")</f>
        <v>สายกราวน์ VSF1x6 SQMM.สีเขียวเหลือง</v>
      </c>
      <c r="N5822" s="14">
        <f>INSTOCK!$I5822*INSTOCK!$K5822</f>
        <v>10550</v>
      </c>
      <c r="O5822" s="4"/>
      <c r="P5822" s="4"/>
    </row>
    <row r="5823" ht="15.75" customHeight="1">
      <c r="B5823" s="8">
        <v>6147.0</v>
      </c>
      <c r="C5823" s="9">
        <v>43745.0</v>
      </c>
      <c r="D5823" s="6">
        <v>40621.0</v>
      </c>
      <c r="E5823" s="4">
        <v>6.210001477E9</v>
      </c>
      <c r="F5823" s="8" t="s">
        <v>6886</v>
      </c>
      <c r="G5823" s="4" t="s">
        <v>696</v>
      </c>
      <c r="H5823" s="10" t="s">
        <v>6887</v>
      </c>
      <c r="I5823" s="10">
        <v>12.0</v>
      </c>
      <c r="J5823" s="11" t="str">
        <f>IF(D5823&lt;&gt;"",VLOOKUP(H5823,TABLEITEM,5,FALSE),"")</f>
        <v>กป.</v>
      </c>
      <c r="K5823" s="12">
        <v>45.0</v>
      </c>
      <c r="L5823" s="13" t="str">
        <f>IF(D5823&lt;&gt;"",VLOOKUP(H5823,TABLEITEM,2,FALSE),"")</f>
        <v/>
      </c>
      <c r="M5823" s="13" t="str">
        <f>IF(D5823&lt;&gt;"",VLOOKUP(H5823,TABLEITEM,3,FALSE),"")</f>
        <v>สีสเปร์ย สีน้ำตาล NO.7</v>
      </c>
      <c r="N5823" s="14">
        <f>INSTOCK!$I5823*INSTOCK!$K5823</f>
        <v>540</v>
      </c>
      <c r="O5823" s="4"/>
      <c r="P5823" s="4"/>
    </row>
    <row r="5824" ht="15.75" customHeight="1">
      <c r="B5824" s="8">
        <v>6148.0</v>
      </c>
      <c r="C5824" s="9">
        <v>43745.0</v>
      </c>
      <c r="D5824" s="6">
        <v>40621.0</v>
      </c>
      <c r="E5824" s="4">
        <v>6.210001477E9</v>
      </c>
      <c r="F5824" s="8" t="s">
        <v>6886</v>
      </c>
      <c r="G5824" s="4" t="s">
        <v>696</v>
      </c>
      <c r="H5824" s="10" t="s">
        <v>6888</v>
      </c>
      <c r="I5824" s="10">
        <v>12.0</v>
      </c>
      <c r="J5824" s="11" t="str">
        <f>IF(D5824&lt;&gt;"",VLOOKUP(H5824,TABLEITEM,5,FALSE),"")</f>
        <v>กป.</v>
      </c>
      <c r="K5824" s="12">
        <v>33.3334</v>
      </c>
      <c r="L5824" s="13" t="str">
        <f>IF(D5824&lt;&gt;"",VLOOKUP(H5824,TABLEITEM,2,FALSE),"")</f>
        <v/>
      </c>
      <c r="M5824" s="13" t="str">
        <f>IF(D5824&lt;&gt;"",VLOOKUP(H5824,TABLEITEM,3,FALSE),"")</f>
        <v>สีสเปร์ย สีเทา 920</v>
      </c>
      <c r="N5824" s="14">
        <f>INSTOCK!$I5824*INSTOCK!$K5824</f>
        <v>400.0008</v>
      </c>
      <c r="O5824" s="4"/>
      <c r="P5824" s="4"/>
    </row>
    <row r="5825" ht="15.75" customHeight="1">
      <c r="B5825" s="8">
        <v>6149.0</v>
      </c>
      <c r="C5825" s="9">
        <v>43745.0</v>
      </c>
      <c r="D5825" s="6">
        <v>40621.0</v>
      </c>
      <c r="E5825" s="4">
        <v>6.210001477E9</v>
      </c>
      <c r="F5825" s="8" t="s">
        <v>6886</v>
      </c>
      <c r="G5825" s="4" t="s">
        <v>696</v>
      </c>
      <c r="H5825" s="10" t="s">
        <v>6889</v>
      </c>
      <c r="I5825" s="10">
        <v>12.0</v>
      </c>
      <c r="J5825" s="11" t="str">
        <f>IF(D5825&lt;&gt;"",VLOOKUP(H5825,TABLEITEM,5,FALSE),"")</f>
        <v>กป.</v>
      </c>
      <c r="K5825" s="12">
        <v>40.0</v>
      </c>
      <c r="L5825" s="13" t="str">
        <f>IF(D5825&lt;&gt;"",VLOOKUP(H5825,TABLEITEM,2,FALSE),"")</f>
        <v/>
      </c>
      <c r="M5825" s="13" t="str">
        <f>IF(D5825&lt;&gt;"",VLOOKUP(H5825,TABLEITEM,3,FALSE),"")</f>
        <v>สีสเปร์ย สีเขียว 217</v>
      </c>
      <c r="N5825" s="14">
        <f>INSTOCK!$I5825*INSTOCK!$K5825</f>
        <v>480</v>
      </c>
      <c r="O5825" s="4"/>
      <c r="P5825" s="4"/>
    </row>
    <row r="5826" ht="15.75" customHeight="1">
      <c r="B5826" s="8">
        <v>6150.0</v>
      </c>
      <c r="C5826" s="9">
        <v>43745.0</v>
      </c>
      <c r="D5826" s="6">
        <v>40621.0</v>
      </c>
      <c r="E5826" s="4">
        <v>6.210001477E9</v>
      </c>
      <c r="F5826" s="8" t="s">
        <v>6886</v>
      </c>
      <c r="G5826" s="4" t="s">
        <v>696</v>
      </c>
      <c r="H5826" s="10" t="s">
        <v>6890</v>
      </c>
      <c r="I5826" s="10">
        <v>12.0</v>
      </c>
      <c r="J5826" s="11" t="str">
        <f>IF(D5826&lt;&gt;"",VLOOKUP(H5826,TABLEITEM,5,FALSE),"")</f>
        <v>กป.</v>
      </c>
      <c r="K5826" s="12">
        <v>40.0</v>
      </c>
      <c r="L5826" s="13" t="str">
        <f>IF(D5826&lt;&gt;"",VLOOKUP(H5826,TABLEITEM,2,FALSE),"")</f>
        <v/>
      </c>
      <c r="M5826" s="13" t="str">
        <f>IF(D5826&lt;&gt;"",VLOOKUP(H5826,TABLEITEM,3,FALSE),"")</f>
        <v>สีสเปร์ย สีฟ้า 224</v>
      </c>
      <c r="N5826" s="14">
        <f>INSTOCK!$I5826*INSTOCK!$K5826</f>
        <v>480</v>
      </c>
      <c r="O5826" s="4"/>
      <c r="P5826" s="4"/>
    </row>
    <row r="5827" ht="15.75" customHeight="1">
      <c r="B5827" s="8">
        <v>6151.0</v>
      </c>
      <c r="C5827" s="9">
        <v>43746.0</v>
      </c>
      <c r="D5827" s="6" t="s">
        <v>6891</v>
      </c>
      <c r="E5827" s="4"/>
      <c r="F5827" s="8" t="s">
        <v>604</v>
      </c>
      <c r="G5827" s="4" t="s">
        <v>6892</v>
      </c>
      <c r="H5827" s="18" t="s">
        <v>2023</v>
      </c>
      <c r="I5827" s="10">
        <v>30.0</v>
      </c>
      <c r="J5827" s="11" t="str">
        <f>IF(D5827&lt;&gt;"",VLOOKUP(H5827,TABLEITEM,5,FALSE),"")</f>
        <v>EA</v>
      </c>
      <c r="K5827" s="12">
        <v>70.0</v>
      </c>
      <c r="L5827" s="13" t="str">
        <f>IF(D5827&lt;&gt;"",VLOOKUP(H5827,TABLEITEM,2,FALSE),"")</f>
        <v/>
      </c>
      <c r="M5827" s="13" t="str">
        <f>IF(D5827&lt;&gt;"",VLOOKUP(H5827,TABLEITEM,3,FALSE),"")</f>
        <v>ต๊าป M4 มือ 2</v>
      </c>
      <c r="N5827" s="14">
        <f>INSTOCK!$I5827*INSTOCK!$K5827</f>
        <v>2100</v>
      </c>
      <c r="O5827" s="4"/>
      <c r="P5827" s="4"/>
    </row>
    <row r="5828" ht="15.75" customHeight="1">
      <c r="B5828" s="8">
        <v>6152.0</v>
      </c>
      <c r="C5828" s="9">
        <v>43746.0</v>
      </c>
      <c r="D5828" s="6" t="s">
        <v>6891</v>
      </c>
      <c r="E5828" s="4"/>
      <c r="F5828" s="8" t="s">
        <v>604</v>
      </c>
      <c r="G5828" s="4" t="s">
        <v>6892</v>
      </c>
      <c r="H5828" s="18" t="s">
        <v>2024</v>
      </c>
      <c r="I5828" s="10">
        <v>25.0</v>
      </c>
      <c r="J5828" s="11" t="str">
        <f>IF(D5828&lt;&gt;"",VLOOKUP(H5828,TABLEITEM,5,FALSE),"")</f>
        <v>EA</v>
      </c>
      <c r="K5828" s="12">
        <v>70.0</v>
      </c>
      <c r="L5828" s="13" t="str">
        <f>IF(D5828&lt;&gt;"",VLOOKUP(H5828,TABLEITEM,2,FALSE),"")</f>
        <v/>
      </c>
      <c r="M5828" s="13" t="str">
        <f>IF(D5828&lt;&gt;"",VLOOKUP(H5828,TABLEITEM,3,FALSE),"")</f>
        <v>ต๊าป M5 มือ 2</v>
      </c>
      <c r="N5828" s="14">
        <f>INSTOCK!$I5828*INSTOCK!$K5828</f>
        <v>1750</v>
      </c>
      <c r="O5828" s="4"/>
      <c r="P5828" s="4"/>
    </row>
    <row r="5829" ht="15.75" customHeight="1">
      <c r="B5829" s="8">
        <v>6153.0</v>
      </c>
      <c r="C5829" s="9">
        <v>43746.0</v>
      </c>
      <c r="D5829" s="6" t="s">
        <v>6891</v>
      </c>
      <c r="E5829" s="4"/>
      <c r="F5829" s="8" t="s">
        <v>604</v>
      </c>
      <c r="G5829" s="4" t="s">
        <v>6892</v>
      </c>
      <c r="H5829" s="18" t="s">
        <v>2025</v>
      </c>
      <c r="I5829" s="10">
        <v>30.0</v>
      </c>
      <c r="J5829" s="11" t="str">
        <f>IF(D5829&lt;&gt;"",VLOOKUP(H5829,TABLEITEM,5,FALSE),"")</f>
        <v>EA</v>
      </c>
      <c r="K5829" s="12">
        <v>70.0</v>
      </c>
      <c r="L5829" s="13" t="str">
        <f>IF(D5829&lt;&gt;"",VLOOKUP(H5829,TABLEITEM,2,FALSE),"")</f>
        <v/>
      </c>
      <c r="M5829" s="13" t="str">
        <f>IF(D5829&lt;&gt;"",VLOOKUP(H5829,TABLEITEM,3,FALSE),"")</f>
        <v>ต๊าป M6 มือ 2</v>
      </c>
      <c r="N5829" s="14">
        <f>INSTOCK!$I5829*INSTOCK!$K5829</f>
        <v>2100</v>
      </c>
      <c r="O5829" s="4"/>
      <c r="P5829" s="4"/>
    </row>
    <row r="5830" ht="15.75" customHeight="1">
      <c r="B5830" s="8">
        <v>6154.0</v>
      </c>
      <c r="C5830" s="9">
        <v>43745.0</v>
      </c>
      <c r="D5830" s="6" t="s">
        <v>6893</v>
      </c>
      <c r="E5830" s="4"/>
      <c r="F5830" s="8" t="s">
        <v>6894</v>
      </c>
      <c r="G5830" s="4" t="s">
        <v>3029</v>
      </c>
      <c r="H5830" s="10" t="s">
        <v>3030</v>
      </c>
      <c r="I5830" s="10">
        <v>1.0</v>
      </c>
      <c r="J5830" s="11" t="str">
        <f>IF(D5830&lt;&gt;"",VLOOKUP(H5830,TABLEITEM,5,FALSE),"")</f>
        <v>LOT</v>
      </c>
      <c r="K5830" s="12">
        <v>500.0</v>
      </c>
      <c r="L5830" s="13" t="str">
        <f>IF(D5830&lt;&gt;"",VLOOKUP(H5830,TABLEITEM,2,FALSE),"")</f>
        <v/>
      </c>
      <c r="M5830" s="13" t="str">
        <f>IF(D5830&lt;&gt;"",VLOOKUP(H5830,TABLEITEM,3,FALSE),"")</f>
        <v>ค่าชุบ ดีบุกเงา</v>
      </c>
      <c r="N5830" s="14">
        <f>INSTOCK!$I5830*INSTOCK!$K5830</f>
        <v>500</v>
      </c>
      <c r="O5830" s="4" t="s">
        <v>6895</v>
      </c>
      <c r="P5830" s="4"/>
    </row>
    <row r="5831" ht="15.75" customHeight="1">
      <c r="B5831" s="8">
        <v>6155.0</v>
      </c>
      <c r="C5831" s="9">
        <v>43742.0</v>
      </c>
      <c r="D5831" s="6">
        <v>87493.0</v>
      </c>
      <c r="E5831" s="4">
        <v>6.21000148E9</v>
      </c>
      <c r="F5831" s="8" t="s">
        <v>6591</v>
      </c>
      <c r="G5831" s="4" t="s">
        <v>2589</v>
      </c>
      <c r="H5831" s="10" t="s">
        <v>6594</v>
      </c>
      <c r="I5831" s="10">
        <v>1.0</v>
      </c>
      <c r="J5831" s="11" t="str">
        <f>IF(D5831&lt;&gt;"",VLOOKUP(H5831,TABLEITEM,5,FALSE),"")</f>
        <v>LOT</v>
      </c>
      <c r="K5831" s="12">
        <v>800.0</v>
      </c>
      <c r="L5831" s="13" t="str">
        <f>IF(D5831&lt;&gt;"",VLOOKUP(H5831,TABLEITEM,2,FALSE),"")</f>
        <v/>
      </c>
      <c r="M5831" s="13" t="str">
        <f>IF(D5831&lt;&gt;"",VLOOKUP(H5831,TABLEITEM,3,FALSE),"")</f>
        <v>ค่าบริการตรวจเช็คเครื่องยิงสตัด</v>
      </c>
      <c r="N5831" s="14">
        <f>INSTOCK!$I5831*INSTOCK!$K5831</f>
        <v>800</v>
      </c>
      <c r="O5831" s="4"/>
      <c r="P5831" s="4"/>
    </row>
    <row r="5832" ht="15.75" customHeight="1">
      <c r="B5832" s="8">
        <v>6156.0</v>
      </c>
      <c r="C5832" s="9">
        <v>43747.0</v>
      </c>
      <c r="D5832" s="6">
        <v>2.0</v>
      </c>
      <c r="E5832" s="4"/>
      <c r="F5832" s="8" t="s">
        <v>1984</v>
      </c>
      <c r="G5832" s="4" t="s">
        <v>6896</v>
      </c>
      <c r="H5832" s="10" t="s">
        <v>2451</v>
      </c>
      <c r="I5832" s="10">
        <v>239.0</v>
      </c>
      <c r="J5832" s="11" t="str">
        <f>IF(D5832&lt;&gt;"",VLOOKUP(H5832,TABLEITEM,5,FALSE),"")</f>
        <v>EA</v>
      </c>
      <c r="K5832" s="12">
        <v>175.0</v>
      </c>
      <c r="L5832" s="13" t="str">
        <f>IF(D5832&lt;&gt;"",VLOOKUP(H5832,TABLEITEM,2,FALSE),"")</f>
        <v/>
      </c>
      <c r="M5832" s="13" t="str">
        <f>IF(D5832&lt;&gt;"",VLOOKUP(H5832,TABLEITEM,3,FALSE),"")</f>
        <v>เสื้อโปโล(เสื้อพนักงาน)</v>
      </c>
      <c r="N5832" s="14">
        <f>INSTOCK!$I5832*INSTOCK!$K5832</f>
        <v>41825</v>
      </c>
      <c r="O5832" s="4"/>
      <c r="P5832" s="4"/>
    </row>
    <row r="5833" ht="15.75" customHeight="1">
      <c r="B5833" s="8">
        <v>6157.0</v>
      </c>
      <c r="C5833" s="9">
        <v>43748.0</v>
      </c>
      <c r="D5833" s="6" t="s">
        <v>6897</v>
      </c>
      <c r="E5833" s="4">
        <v>6.2100015E9</v>
      </c>
      <c r="F5833" s="8" t="s">
        <v>604</v>
      </c>
      <c r="G5833" s="4" t="s">
        <v>5861</v>
      </c>
      <c r="H5833" s="10" t="s">
        <v>5862</v>
      </c>
      <c r="I5833" s="10">
        <v>5.0</v>
      </c>
      <c r="J5833" s="11" t="str">
        <f>IF(D5833&lt;&gt;"",VLOOKUP(H5833,TABLEITEM,5,FALSE),"")</f>
        <v>EA</v>
      </c>
      <c r="K5833" s="12">
        <v>468.0</v>
      </c>
      <c r="L5833" s="13" t="str">
        <f>IF(D5833&lt;&gt;"",VLOOKUP(H5833,TABLEITEM,2,FALSE),"")</f>
        <v/>
      </c>
      <c r="M5833" s="13" t="str">
        <f>IF(D5833&lt;&gt;"",VLOOKUP(H5833,TABLEITEM,3,FALSE),"")</f>
        <v>แหวนปากตาย #10</v>
      </c>
      <c r="N5833" s="14">
        <f>INSTOCK!$I5833*INSTOCK!$K5833</f>
        <v>2340</v>
      </c>
      <c r="O5833" s="4" t="s">
        <v>5863</v>
      </c>
      <c r="P5833" s="4"/>
    </row>
    <row r="5834" ht="15.75" customHeight="1">
      <c r="B5834" s="8">
        <v>6158.0</v>
      </c>
      <c r="C5834" s="9">
        <v>43748.0</v>
      </c>
      <c r="D5834" s="6" t="s">
        <v>6897</v>
      </c>
      <c r="E5834" s="4">
        <v>6.2100015E9</v>
      </c>
      <c r="F5834" s="8" t="s">
        <v>604</v>
      </c>
      <c r="G5834" s="4" t="s">
        <v>5861</v>
      </c>
      <c r="H5834" s="10" t="s">
        <v>5864</v>
      </c>
      <c r="I5834" s="10">
        <v>5.0</v>
      </c>
      <c r="J5834" s="11" t="str">
        <f>IF(D5834&lt;&gt;"",VLOOKUP(H5834,TABLEITEM,5,FALSE),"")</f>
        <v>EA</v>
      </c>
      <c r="K5834" s="12">
        <v>488.0</v>
      </c>
      <c r="L5834" s="13" t="str">
        <f>IF(D5834&lt;&gt;"",VLOOKUP(H5834,TABLEITEM,2,FALSE),"")</f>
        <v/>
      </c>
      <c r="M5834" s="13" t="str">
        <f>IF(D5834&lt;&gt;"",VLOOKUP(H5834,TABLEITEM,3,FALSE),"")</f>
        <v>แหวนปากตาย #13</v>
      </c>
      <c r="N5834" s="14">
        <f>INSTOCK!$I5834*INSTOCK!$K5834</f>
        <v>2440</v>
      </c>
      <c r="O5834" s="4" t="s">
        <v>5865</v>
      </c>
      <c r="P5834" s="4"/>
    </row>
    <row r="5835" ht="15.75" customHeight="1">
      <c r="B5835" s="8">
        <v>6159.0</v>
      </c>
      <c r="C5835" s="9">
        <v>43748.0</v>
      </c>
      <c r="D5835" s="6" t="s">
        <v>6898</v>
      </c>
      <c r="E5835" s="4">
        <v>6.210001502E9</v>
      </c>
      <c r="F5835" s="8" t="s">
        <v>604</v>
      </c>
      <c r="G5835" s="4" t="s">
        <v>617</v>
      </c>
      <c r="H5835" s="10" t="s">
        <v>1377</v>
      </c>
      <c r="I5835" s="10">
        <v>50.0</v>
      </c>
      <c r="J5835" s="11" t="str">
        <f>IF(D5835&lt;&gt;"",VLOOKUP(H5835,TABLEITEM,5,FALSE),"")</f>
        <v>M</v>
      </c>
      <c r="K5835" s="12">
        <v>91.14</v>
      </c>
      <c r="L5835" s="13" t="str">
        <f>IF(D5835&lt;&gt;"",VLOOKUP(H5835,TABLEITEM,2,FALSE),"")</f>
        <v>Busbar</v>
      </c>
      <c r="M5835" s="13" t="str">
        <f>IF(D5835&lt;&gt;"",VLOOKUP(H5835,TABLEITEM,3,FALSE),"")</f>
        <v>บัสบาร์ทองแดง 15x3</v>
      </c>
      <c r="N5835" s="14">
        <f>INSTOCK!$I5835*INSTOCK!$K5835</f>
        <v>4557</v>
      </c>
      <c r="O5835" s="4" t="s">
        <v>6722</v>
      </c>
      <c r="P5835" s="4"/>
    </row>
    <row r="5836" ht="15.75" customHeight="1">
      <c r="B5836" s="8">
        <v>6160.0</v>
      </c>
      <c r="C5836" s="9">
        <v>43748.0</v>
      </c>
      <c r="D5836" s="6" t="s">
        <v>6898</v>
      </c>
      <c r="E5836" s="4">
        <v>6.210001502E9</v>
      </c>
      <c r="F5836" s="8" t="s">
        <v>604</v>
      </c>
      <c r="G5836" s="4" t="s">
        <v>617</v>
      </c>
      <c r="H5836" s="10" t="s">
        <v>559</v>
      </c>
      <c r="I5836" s="10">
        <v>50.0</v>
      </c>
      <c r="J5836" s="11" t="str">
        <f>IF(D5836&lt;&gt;"",VLOOKUP(H5836,TABLEITEM,5,FALSE),"")</f>
        <v>M</v>
      </c>
      <c r="K5836" s="12">
        <v>290.78</v>
      </c>
      <c r="L5836" s="13" t="str">
        <f>IF(D5836&lt;&gt;"",VLOOKUP(H5836,TABLEITEM,2,FALSE),"")</f>
        <v>Busbar</v>
      </c>
      <c r="M5836" s="13" t="str">
        <f>IF(D5836&lt;&gt;"",VLOOKUP(H5836,TABLEITEM,3,FALSE),"")</f>
        <v>บัสบาร์ทองแดง 30x5</v>
      </c>
      <c r="N5836" s="14">
        <f>INSTOCK!$I5836*INSTOCK!$K5836</f>
        <v>14539</v>
      </c>
      <c r="O5836" s="4" t="s">
        <v>6722</v>
      </c>
      <c r="P5836" s="4"/>
    </row>
    <row r="5837" ht="15.75" customHeight="1">
      <c r="B5837" s="8">
        <v>6161.0</v>
      </c>
      <c r="C5837" s="9">
        <v>43747.0</v>
      </c>
      <c r="D5837" s="6">
        <v>40659.0</v>
      </c>
      <c r="E5837" s="4">
        <v>6.210001501E9</v>
      </c>
      <c r="F5837" s="8" t="s">
        <v>604</v>
      </c>
      <c r="G5837" s="4" t="s">
        <v>696</v>
      </c>
      <c r="H5837" s="10" t="s">
        <v>1658</v>
      </c>
      <c r="I5837" s="10">
        <v>10.0</v>
      </c>
      <c r="J5837" s="11" t="str">
        <f>IF(D5837&lt;&gt;"",VLOOKUP(H5837,TABLEITEM,5,FALSE),"")</f>
        <v>EA</v>
      </c>
      <c r="K5837" s="12">
        <v>82.0</v>
      </c>
      <c r="L5837" s="13" t="str">
        <f>IF(D5837&lt;&gt;"",VLOOKUP(H5837,TABLEITEM,2,FALSE),"")</f>
        <v/>
      </c>
      <c r="M5837" s="13" t="str">
        <f>IF(D5837&lt;&gt;"",VLOOKUP(H5837,TABLEITEM,3,FALSE),"")</f>
        <v>ประแจแหวนข้างปากตาย #10</v>
      </c>
      <c r="N5837" s="14">
        <f>INSTOCK!$I5837*INSTOCK!$K5837</f>
        <v>820</v>
      </c>
      <c r="O5837" s="4"/>
      <c r="P5837" s="4"/>
    </row>
    <row r="5838" ht="15.75" customHeight="1">
      <c r="B5838" s="8">
        <v>6162.0</v>
      </c>
      <c r="C5838" s="9">
        <v>43747.0</v>
      </c>
      <c r="D5838" s="6">
        <v>40659.0</v>
      </c>
      <c r="E5838" s="4">
        <v>6.210001501E9</v>
      </c>
      <c r="F5838" s="8" t="s">
        <v>604</v>
      </c>
      <c r="G5838" s="4" t="s">
        <v>696</v>
      </c>
      <c r="H5838" s="10" t="s">
        <v>1660</v>
      </c>
      <c r="I5838" s="10">
        <v>10.0</v>
      </c>
      <c r="J5838" s="11" t="str">
        <f>IF(D5838&lt;&gt;"",VLOOKUP(H5838,TABLEITEM,5,FALSE),"")</f>
        <v>EA</v>
      </c>
      <c r="K5838" s="12">
        <v>99.0</v>
      </c>
      <c r="L5838" s="13" t="str">
        <f>IF(D5838&lt;&gt;"",VLOOKUP(H5838,TABLEITEM,2,FALSE),"")</f>
        <v/>
      </c>
      <c r="M5838" s="13" t="str">
        <f>IF(D5838&lt;&gt;"",VLOOKUP(H5838,TABLEITEM,3,FALSE),"")</f>
        <v>ประแจแหวนข้างปากตาย #13</v>
      </c>
      <c r="N5838" s="14">
        <f>INSTOCK!$I5838*INSTOCK!$K5838</f>
        <v>990</v>
      </c>
      <c r="O5838" s="4"/>
      <c r="P5838" s="4"/>
    </row>
    <row r="5839" ht="15.75" customHeight="1">
      <c r="B5839" s="8">
        <v>6163.0</v>
      </c>
      <c r="C5839" s="9">
        <v>43747.0</v>
      </c>
      <c r="D5839" s="6">
        <v>40659.0</v>
      </c>
      <c r="E5839" s="4">
        <v>6.210001501E9</v>
      </c>
      <c r="F5839" s="8" t="s">
        <v>604</v>
      </c>
      <c r="G5839" s="4" t="s">
        <v>696</v>
      </c>
      <c r="H5839" s="10" t="s">
        <v>1661</v>
      </c>
      <c r="I5839" s="10">
        <v>3.0</v>
      </c>
      <c r="J5839" s="11" t="str">
        <f>IF(D5839&lt;&gt;"",VLOOKUP(H5839,TABLEITEM,5,FALSE),"")</f>
        <v>EA</v>
      </c>
      <c r="K5839" s="12">
        <v>139.0</v>
      </c>
      <c r="L5839" s="13" t="str">
        <f>IF(D5839&lt;&gt;"",VLOOKUP(H5839,TABLEITEM,2,FALSE),"")</f>
        <v/>
      </c>
      <c r="M5839" s="13" t="str">
        <f>IF(D5839&lt;&gt;"",VLOOKUP(H5839,TABLEITEM,3,FALSE),"")</f>
        <v>ประแจแหวนข้างปากตาย #17</v>
      </c>
      <c r="N5839" s="14">
        <f>INSTOCK!$I5839*INSTOCK!$K5839</f>
        <v>417</v>
      </c>
      <c r="O5839" s="4"/>
      <c r="P5839" s="4"/>
    </row>
    <row r="5840" ht="15.75" customHeight="1">
      <c r="B5840" s="8">
        <v>6164.0</v>
      </c>
      <c r="C5840" s="9">
        <v>43746.0</v>
      </c>
      <c r="D5840" s="6">
        <v>40645.0</v>
      </c>
      <c r="E5840" s="4" t="s">
        <v>6899</v>
      </c>
      <c r="F5840" s="8" t="s">
        <v>6886</v>
      </c>
      <c r="G5840" s="4" t="s">
        <v>696</v>
      </c>
      <c r="H5840" s="10" t="s">
        <v>6887</v>
      </c>
      <c r="I5840" s="10">
        <v>24.0</v>
      </c>
      <c r="J5840" s="11" t="str">
        <f>IF(D5840&lt;&gt;"",VLOOKUP(H5840,TABLEITEM,5,FALSE),"")</f>
        <v>กป.</v>
      </c>
      <c r="K5840" s="12">
        <v>45.0</v>
      </c>
      <c r="L5840" s="13" t="str">
        <f>IF(D5840&lt;&gt;"",VLOOKUP(H5840,TABLEITEM,2,FALSE),"")</f>
        <v/>
      </c>
      <c r="M5840" s="13" t="str">
        <f>IF(D5840&lt;&gt;"",VLOOKUP(H5840,TABLEITEM,3,FALSE),"")</f>
        <v>สีสเปร์ย สีน้ำตาล NO.7</v>
      </c>
      <c r="N5840" s="14">
        <f>INSTOCK!$I5840*INSTOCK!$K5840</f>
        <v>1080</v>
      </c>
      <c r="O5840" s="4" t="s">
        <v>6900</v>
      </c>
      <c r="P5840" s="4"/>
    </row>
    <row r="5841" ht="15.75" customHeight="1">
      <c r="B5841" s="8">
        <v>6165.0</v>
      </c>
      <c r="C5841" s="9">
        <v>43746.0</v>
      </c>
      <c r="D5841" s="6">
        <v>40645.0</v>
      </c>
      <c r="E5841" s="4" t="s">
        <v>6899</v>
      </c>
      <c r="F5841" s="8" t="s">
        <v>6886</v>
      </c>
      <c r="G5841" s="4" t="s">
        <v>696</v>
      </c>
      <c r="H5841" s="10" t="s">
        <v>6888</v>
      </c>
      <c r="I5841" s="10">
        <v>24.0</v>
      </c>
      <c r="J5841" s="11" t="str">
        <f>IF(D5841&lt;&gt;"",VLOOKUP(H5841,TABLEITEM,5,FALSE),"")</f>
        <v>กป.</v>
      </c>
      <c r="K5841" s="12">
        <v>33.3334</v>
      </c>
      <c r="L5841" s="13" t="str">
        <f>IF(D5841&lt;&gt;"",VLOOKUP(H5841,TABLEITEM,2,FALSE),"")</f>
        <v/>
      </c>
      <c r="M5841" s="13" t="str">
        <f>IF(D5841&lt;&gt;"",VLOOKUP(H5841,TABLEITEM,3,FALSE),"")</f>
        <v>สีสเปร์ย สีเทา 920</v>
      </c>
      <c r="N5841" s="14">
        <f>INSTOCK!$I5841*INSTOCK!$K5841</f>
        <v>800.0016</v>
      </c>
      <c r="O5841" s="4" t="s">
        <v>6901</v>
      </c>
      <c r="P5841" s="4"/>
    </row>
    <row r="5842" ht="15.75" customHeight="1">
      <c r="B5842" s="8">
        <v>6166.0</v>
      </c>
      <c r="C5842" s="9">
        <v>43747.0</v>
      </c>
      <c r="D5842" s="6" t="s">
        <v>6902</v>
      </c>
      <c r="E5842" s="4">
        <v>6.210001504E9</v>
      </c>
      <c r="F5842" s="8" t="s">
        <v>604</v>
      </c>
      <c r="G5842" s="4" t="s">
        <v>1611</v>
      </c>
      <c r="H5842" s="10" t="s">
        <v>188</v>
      </c>
      <c r="I5842" s="10">
        <v>1800.0</v>
      </c>
      <c r="J5842" s="11" t="str">
        <f>IF(D5842&lt;&gt;"",VLOOKUP(H5842,TABLEITEM,5,FALSE),"")</f>
        <v>EA</v>
      </c>
      <c r="K5842" s="12">
        <v>9.0</v>
      </c>
      <c r="L5842" s="13" t="str">
        <f>IF(D5842&lt;&gt;"",VLOOKUP(H5842,TABLEITEM,2,FALSE),"")</f>
        <v/>
      </c>
      <c r="M5842" s="13" t="str">
        <f>IF(D5842&lt;&gt;"",VLOOKUP(H5842,TABLEITEM,3,FALSE),"")</f>
        <v>TERMINAL BLOCK TX10</v>
      </c>
      <c r="N5842" s="14">
        <f>INSTOCK!$I5842*INSTOCK!$K5842</f>
        <v>16200</v>
      </c>
      <c r="O5842" s="4"/>
      <c r="P5842" s="4"/>
    </row>
    <row r="5843" ht="15.75" customHeight="1">
      <c r="B5843" s="8">
        <v>6167.0</v>
      </c>
      <c r="C5843" s="9">
        <v>43747.0</v>
      </c>
      <c r="D5843" s="6">
        <v>40658.0</v>
      </c>
      <c r="E5843" s="4">
        <v>6.21000151E9</v>
      </c>
      <c r="F5843" s="8" t="s">
        <v>6886</v>
      </c>
      <c r="G5843" s="4" t="s">
        <v>696</v>
      </c>
      <c r="H5843" s="10" t="s">
        <v>66</v>
      </c>
      <c r="I5843" s="10">
        <v>24.0</v>
      </c>
      <c r="J5843" s="11" t="str">
        <f>IF(D5843&lt;&gt;"",VLOOKUP(H5843,TABLEITEM,5,FALSE),"")</f>
        <v>กป.</v>
      </c>
      <c r="K5843" s="12">
        <v>40.0</v>
      </c>
      <c r="L5843" s="13" t="str">
        <f>IF(D5843&lt;&gt;"",VLOOKUP(H5843,TABLEITEM,2,FALSE),"")</f>
        <v/>
      </c>
      <c r="M5843" s="13" t="str">
        <f>IF(D5843&lt;&gt;"",VLOOKUP(H5843,TABLEITEM,3,FALSE),"")</f>
        <v>สีสเปรย์ สีดำ</v>
      </c>
      <c r="N5843" s="14">
        <f>INSTOCK!$I5843*INSTOCK!$K5843</f>
        <v>960</v>
      </c>
      <c r="O5843" s="4" t="s">
        <v>6903</v>
      </c>
      <c r="P5843" s="4"/>
    </row>
    <row r="5844" ht="15.75" customHeight="1">
      <c r="B5844" s="8">
        <v>6168.0</v>
      </c>
      <c r="C5844" s="9">
        <v>43747.0</v>
      </c>
      <c r="D5844" s="6" t="s">
        <v>6904</v>
      </c>
      <c r="E5844" s="4">
        <v>6.210001493E9</v>
      </c>
      <c r="F5844" s="8" t="s">
        <v>604</v>
      </c>
      <c r="G5844" s="4" t="s">
        <v>1289</v>
      </c>
      <c r="H5844" s="10" t="s">
        <v>149</v>
      </c>
      <c r="I5844" s="10">
        <v>288.0</v>
      </c>
      <c r="J5844" s="11" t="str">
        <f>IF(D5844&lt;&gt;"",VLOOKUP(H5844,TABLEITEM,5,FALSE),"")</f>
        <v>EA</v>
      </c>
      <c r="K5844" s="12">
        <v>11.2</v>
      </c>
      <c r="L5844" s="13" t="str">
        <f>IF(D5844&lt;&gt;"",VLOOKUP(H5844,TABLEITEM,2,FALSE),"")</f>
        <v/>
      </c>
      <c r="M5844" s="13" t="str">
        <f>IF(D5844&lt;&gt;"",VLOOKUP(H5844,TABLEITEM,3,FALSE),"")</f>
        <v>บานพับ 2''สแตนเลส</v>
      </c>
      <c r="N5844" s="14">
        <f>INSTOCK!$I5844*INSTOCK!$K5844</f>
        <v>3225.6</v>
      </c>
      <c r="O5844" s="4"/>
      <c r="P5844" s="4"/>
    </row>
    <row r="5845" ht="15.75" customHeight="1">
      <c r="B5845" s="8">
        <v>6169.0</v>
      </c>
      <c r="C5845" s="9">
        <v>43748.0</v>
      </c>
      <c r="D5845" s="6" t="s">
        <v>6905</v>
      </c>
      <c r="E5845" s="4">
        <v>6.210001506E9</v>
      </c>
      <c r="F5845" s="8" t="s">
        <v>6702</v>
      </c>
      <c r="G5845" s="4" t="s">
        <v>743</v>
      </c>
      <c r="H5845" s="10" t="s">
        <v>1328</v>
      </c>
      <c r="I5845" s="10">
        <v>20.0</v>
      </c>
      <c r="J5845" s="11" t="str">
        <f>IF(D5845&lt;&gt;"",VLOOKUP(H5845,TABLEITEM,5,FALSE),"")</f>
        <v>KG.</v>
      </c>
      <c r="K5845" s="12">
        <v>125.38</v>
      </c>
      <c r="L5845" s="13" t="str">
        <f>IF(D5845&lt;&gt;"",VLOOKUP(H5845,TABLEITEM,2,FALSE),"")</f>
        <v/>
      </c>
      <c r="M5845" s="13" t="str">
        <f>IF(D5845&lt;&gt;"",VLOOKUP(H5845,TABLEITEM,3,FALSE),"")</f>
        <v>สีฝุ่น 1002788PX20</v>
      </c>
      <c r="N5845" s="14">
        <f>INSTOCK!$I5845*INSTOCK!$K5845</f>
        <v>2507.6</v>
      </c>
      <c r="O5845" s="4"/>
      <c r="P5845" s="4"/>
    </row>
    <row r="5846" ht="15.75" customHeight="1">
      <c r="B5846" s="8">
        <v>6170.0</v>
      </c>
      <c r="C5846" s="9">
        <v>43747.0</v>
      </c>
      <c r="D5846" s="6">
        <v>6.2100524E7</v>
      </c>
      <c r="E5846" s="4">
        <v>6.210001505E9</v>
      </c>
      <c r="F5846" s="8" t="s">
        <v>6906</v>
      </c>
      <c r="G5846" s="4" t="s">
        <v>711</v>
      </c>
      <c r="H5846" s="10" t="s">
        <v>790</v>
      </c>
      <c r="I5846" s="10">
        <v>20.0</v>
      </c>
      <c r="J5846" s="11" t="str">
        <f>IF(D5846&lt;&gt;"",VLOOKUP(H5846,TABLEITEM,5,FALSE),"")</f>
        <v>KG.</v>
      </c>
      <c r="K5846" s="12">
        <v>161.5</v>
      </c>
      <c r="L5846" s="13" t="str">
        <f>IF(D5846&lt;&gt;"",VLOOKUP(H5846,TABLEITEM,2,FALSE),"")</f>
        <v/>
      </c>
      <c r="M5846" s="13" t="str">
        <f>IF(D5846&lt;&gt;"",VLOOKUP(H5846,TABLEITEM,3,FALSE),"")</f>
        <v>สีฝุ่น M50170AN สีน้ำเงิน</v>
      </c>
      <c r="N5846" s="14">
        <f>INSTOCK!$I5846*INSTOCK!$K5846</f>
        <v>3230</v>
      </c>
      <c r="O5846" s="4" t="s">
        <v>6907</v>
      </c>
      <c r="P5846" s="4"/>
    </row>
    <row r="5847" ht="15.75" customHeight="1">
      <c r="B5847" s="8">
        <v>6171.0</v>
      </c>
      <c r="C5847" s="9">
        <v>43747.0</v>
      </c>
      <c r="D5847" s="6">
        <v>6.2100524E7</v>
      </c>
      <c r="E5847" s="4">
        <v>6.210001505E9</v>
      </c>
      <c r="F5847" s="8" t="s">
        <v>6906</v>
      </c>
      <c r="G5847" s="4" t="s">
        <v>711</v>
      </c>
      <c r="H5847" s="10" t="s">
        <v>754</v>
      </c>
      <c r="I5847" s="10">
        <v>20.0</v>
      </c>
      <c r="J5847" s="11" t="str">
        <f>IF(D5847&lt;&gt;"",VLOOKUP(H5847,TABLEITEM,5,FALSE),"")</f>
        <v>KG.</v>
      </c>
      <c r="K5847" s="12">
        <v>144.0</v>
      </c>
      <c r="L5847" s="13" t="str">
        <f>IF(D5847&lt;&gt;"",VLOOKUP(H5847,TABLEITEM,2,FALSE),"")</f>
        <v/>
      </c>
      <c r="M5847" s="13" t="str">
        <f>IF(D5847&lt;&gt;"",VLOOKUP(H5847,TABLEITEM,3,FALSE),"")</f>
        <v>สีฝุ่น P70003 AN สีครีม</v>
      </c>
      <c r="N5847" s="14">
        <f>INSTOCK!$I5847*INSTOCK!$K5847</f>
        <v>2880</v>
      </c>
      <c r="O5847" s="4" t="s">
        <v>1460</v>
      </c>
      <c r="P5847" s="4"/>
    </row>
    <row r="5848" ht="15.75" customHeight="1">
      <c r="B5848" s="8">
        <v>6172.0</v>
      </c>
      <c r="C5848" s="9">
        <v>43747.0</v>
      </c>
      <c r="D5848" s="6" t="s">
        <v>6908</v>
      </c>
      <c r="E5848" s="4">
        <v>6.210001498E9</v>
      </c>
      <c r="F5848" s="8" t="s">
        <v>604</v>
      </c>
      <c r="G5848" s="4" t="s">
        <v>2453</v>
      </c>
      <c r="H5848" s="10" t="s">
        <v>2905</v>
      </c>
      <c r="I5848" s="10">
        <v>40.0</v>
      </c>
      <c r="J5848" s="11" t="str">
        <f>IF(D5848&lt;&gt;"",VLOOKUP(H5848,TABLEITEM,5,FALSE),"")</f>
        <v>EA</v>
      </c>
      <c r="K5848" s="12">
        <v>29.11</v>
      </c>
      <c r="L5848" s="13" t="str">
        <f>IF(D5848&lt;&gt;"",VLOOKUP(H5848,TABLEITEM,2,FALSE),"")</f>
        <v/>
      </c>
      <c r="M5848" s="13" t="str">
        <f>IF(D5848&lt;&gt;"",VLOOKUP(H5848,TABLEITEM,3,FALSE),"")</f>
        <v>ดอกสว่าน NACHI 3.3 MM</v>
      </c>
      <c r="N5848" s="14">
        <f>INSTOCK!$I5848*INSTOCK!$K5848</f>
        <v>1164.4</v>
      </c>
      <c r="O5848" s="4"/>
      <c r="P5848" s="4"/>
    </row>
    <row r="5849" ht="15.75" customHeight="1">
      <c r="B5849" s="8">
        <v>6173.0</v>
      </c>
      <c r="C5849" s="9">
        <v>43747.0</v>
      </c>
      <c r="D5849" s="6" t="s">
        <v>6908</v>
      </c>
      <c r="E5849" s="4">
        <v>6.210001498E9</v>
      </c>
      <c r="F5849" s="8" t="s">
        <v>604</v>
      </c>
      <c r="G5849" s="4" t="s">
        <v>2453</v>
      </c>
      <c r="H5849" s="10" t="s">
        <v>2585</v>
      </c>
      <c r="I5849" s="10">
        <v>20.0</v>
      </c>
      <c r="J5849" s="11" t="str">
        <f>IF(D5849&lt;&gt;"",VLOOKUP(H5849,TABLEITEM,5,FALSE),"")</f>
        <v>EA</v>
      </c>
      <c r="K5849" s="12">
        <v>33.86</v>
      </c>
      <c r="L5849" s="13" t="str">
        <f>IF(D5849&lt;&gt;"",VLOOKUP(H5849,TABLEITEM,2,FALSE),"")</f>
        <v/>
      </c>
      <c r="M5849" s="13" t="str">
        <f>IF(D5849&lt;&gt;"",VLOOKUP(H5849,TABLEITEM,3,FALSE),"")</f>
        <v>ดอกสว่านนาซิ L/N 500 4.0mm</v>
      </c>
      <c r="N5849" s="14">
        <f>INSTOCK!$I5849*INSTOCK!$K5849</f>
        <v>677.2</v>
      </c>
      <c r="O5849" s="4"/>
      <c r="P5849" s="4"/>
    </row>
    <row r="5850" ht="15.75" customHeight="1">
      <c r="B5850" s="8">
        <v>6174.0</v>
      </c>
      <c r="C5850" s="9">
        <v>43747.0</v>
      </c>
      <c r="D5850" s="6" t="s">
        <v>6908</v>
      </c>
      <c r="E5850" s="4">
        <v>6.210001498E9</v>
      </c>
      <c r="F5850" s="8" t="s">
        <v>604</v>
      </c>
      <c r="G5850" s="4" t="s">
        <v>2453</v>
      </c>
      <c r="H5850" s="10" t="s">
        <v>2454</v>
      </c>
      <c r="I5850" s="10">
        <v>10.0</v>
      </c>
      <c r="J5850" s="11" t="str">
        <f>IF(D5850&lt;&gt;"",VLOOKUP(H5850,TABLEITEM,5,FALSE),"")</f>
        <v>EA</v>
      </c>
      <c r="K5850" s="12">
        <v>47.52</v>
      </c>
      <c r="L5850" s="13" t="str">
        <f>IF(D5850&lt;&gt;"",VLOOKUP(H5850,TABLEITEM,2,FALSE),"")</f>
        <v/>
      </c>
      <c r="M5850" s="13" t="str">
        <f>IF(D5850&lt;&gt;"",VLOOKUP(H5850,TABLEITEM,3,FALSE),"")</f>
        <v>ดอกสว่าน นาซิ L/N 500 5.00มิล</v>
      </c>
      <c r="N5850" s="14">
        <f>INSTOCK!$I5850*INSTOCK!$K5850</f>
        <v>475.2</v>
      </c>
      <c r="O5850" s="4"/>
      <c r="P5850" s="4"/>
    </row>
    <row r="5851" ht="15.75" customHeight="1">
      <c r="B5851" s="8">
        <v>6175.0</v>
      </c>
      <c r="C5851" s="9">
        <v>43747.0</v>
      </c>
      <c r="D5851" s="6" t="s">
        <v>6908</v>
      </c>
      <c r="E5851" s="4">
        <v>6.210001498E9</v>
      </c>
      <c r="F5851" s="8" t="s">
        <v>604</v>
      </c>
      <c r="G5851" s="4" t="s">
        <v>2453</v>
      </c>
      <c r="H5851" s="10" t="s">
        <v>5480</v>
      </c>
      <c r="I5851" s="10">
        <v>5.0</v>
      </c>
      <c r="J5851" s="11" t="str">
        <f>IF(D5851&lt;&gt;"",VLOOKUP(H5851,TABLEITEM,5,FALSE),"")</f>
        <v>EA</v>
      </c>
      <c r="K5851" s="12">
        <v>53.46</v>
      </c>
      <c r="L5851" s="13" t="str">
        <f>IF(D5851&lt;&gt;"",VLOOKUP(H5851,TABLEITEM,2,FALSE),"")</f>
        <v/>
      </c>
      <c r="M5851" s="13" t="str">
        <f>IF(D5851&lt;&gt;"",VLOOKUP(H5851,TABLEITEM,3,FALSE),"")</f>
        <v>ดอกสว่าน นาซิ 5.4 มิล</v>
      </c>
      <c r="N5851" s="14">
        <f>INSTOCK!$I5851*INSTOCK!$K5851</f>
        <v>267.3</v>
      </c>
      <c r="O5851" s="4"/>
      <c r="P5851" s="4"/>
    </row>
    <row r="5852" ht="15.75" customHeight="1">
      <c r="B5852" s="8">
        <v>6176.0</v>
      </c>
      <c r="C5852" s="9">
        <v>43747.0</v>
      </c>
      <c r="D5852" s="6" t="s">
        <v>6908</v>
      </c>
      <c r="E5852" s="4">
        <v>6.210001498E9</v>
      </c>
      <c r="F5852" s="8" t="s">
        <v>604</v>
      </c>
      <c r="G5852" s="4" t="s">
        <v>2453</v>
      </c>
      <c r="H5852" s="10" t="s">
        <v>4033</v>
      </c>
      <c r="I5852" s="10">
        <v>5.0</v>
      </c>
      <c r="J5852" s="11" t="str">
        <f>IF(D5852&lt;&gt;"",VLOOKUP(H5852,TABLEITEM,5,FALSE),"")</f>
        <v>EA</v>
      </c>
      <c r="K5852" s="12">
        <v>77.81</v>
      </c>
      <c r="L5852" s="13" t="str">
        <f>IF(D5852&lt;&gt;"",VLOOKUP(H5852,TABLEITEM,2,FALSE),"")</f>
        <v/>
      </c>
      <c r="M5852" s="13" t="str">
        <f>IF(D5852&lt;&gt;"",VLOOKUP(H5852,TABLEITEM,3,FALSE),"")</f>
        <v>ดอกสว่าน นาซิ L/N 500 7.0มิล</v>
      </c>
      <c r="N5852" s="14">
        <f>INSTOCK!$I5852*INSTOCK!$K5852</f>
        <v>389.05</v>
      </c>
      <c r="O5852" s="4"/>
      <c r="P5852" s="4"/>
    </row>
    <row r="5853" ht="15.75" customHeight="1">
      <c r="B5853" s="8">
        <v>6177.0</v>
      </c>
      <c r="C5853" s="9">
        <v>43747.0</v>
      </c>
      <c r="D5853" s="6" t="s">
        <v>6908</v>
      </c>
      <c r="E5853" s="4">
        <v>6.210001498E9</v>
      </c>
      <c r="F5853" s="8" t="s">
        <v>604</v>
      </c>
      <c r="G5853" s="4" t="s">
        <v>2453</v>
      </c>
      <c r="H5853" s="10" t="s">
        <v>2586</v>
      </c>
      <c r="I5853" s="10">
        <v>5.0</v>
      </c>
      <c r="J5853" s="11" t="str">
        <f>IF(D5853&lt;&gt;"",VLOOKUP(H5853,TABLEITEM,5,FALSE),"")</f>
        <v>EA</v>
      </c>
      <c r="K5853" s="12">
        <v>125.93</v>
      </c>
      <c r="L5853" s="13" t="str">
        <f>IF(D5853&lt;&gt;"",VLOOKUP(H5853,TABLEITEM,2,FALSE),"")</f>
        <v/>
      </c>
      <c r="M5853" s="13" t="str">
        <f>IF(D5853&lt;&gt;"",VLOOKUP(H5853,TABLEITEM,3,FALSE),"")</f>
        <v>ดอกสว่านนาซิ L/N 500 9.0mm</v>
      </c>
      <c r="N5853" s="14">
        <f>INSTOCK!$I5853*INSTOCK!$K5853</f>
        <v>629.65</v>
      </c>
      <c r="O5853" s="4"/>
      <c r="P5853" s="4"/>
    </row>
    <row r="5854" ht="15.75" customHeight="1">
      <c r="B5854" s="8">
        <v>6178.0</v>
      </c>
      <c r="C5854" s="9">
        <v>43747.0</v>
      </c>
      <c r="D5854" s="6" t="s">
        <v>6908</v>
      </c>
      <c r="E5854" s="4">
        <v>6.210001498E9</v>
      </c>
      <c r="F5854" s="8" t="s">
        <v>604</v>
      </c>
      <c r="G5854" s="4" t="s">
        <v>2453</v>
      </c>
      <c r="H5854" s="10" t="s">
        <v>2587</v>
      </c>
      <c r="I5854" s="10">
        <v>5.0</v>
      </c>
      <c r="J5854" s="11" t="str">
        <f>IF(D5854&lt;&gt;"",VLOOKUP(H5854,TABLEITEM,5,FALSE),"")</f>
        <v>EA</v>
      </c>
      <c r="K5854" s="12">
        <v>162.16</v>
      </c>
      <c r="L5854" s="13" t="str">
        <f>IF(D5854&lt;&gt;"",VLOOKUP(H5854,TABLEITEM,2,FALSE),"")</f>
        <v/>
      </c>
      <c r="M5854" s="13" t="str">
        <f>IF(D5854&lt;&gt;"",VLOOKUP(H5854,TABLEITEM,3,FALSE),"")</f>
        <v>ดอกสว่านนาซิ L/N 500 10.0mm</v>
      </c>
      <c r="N5854" s="14">
        <f>INSTOCK!$I5854*INSTOCK!$K5854</f>
        <v>810.8</v>
      </c>
      <c r="O5854" s="4"/>
      <c r="P5854" s="4"/>
    </row>
    <row r="5855" ht="15.75" customHeight="1">
      <c r="B5855" s="8">
        <v>6179.0</v>
      </c>
      <c r="C5855" s="9">
        <v>43748.0</v>
      </c>
      <c r="D5855" s="6">
        <v>6.21000394E8</v>
      </c>
      <c r="E5855" s="4">
        <v>6.210001494E9</v>
      </c>
      <c r="F5855" s="8" t="s">
        <v>604</v>
      </c>
      <c r="G5855" s="4" t="s">
        <v>1777</v>
      </c>
      <c r="H5855" s="10" t="s">
        <v>2100</v>
      </c>
      <c r="I5855" s="10">
        <v>10000.0</v>
      </c>
      <c r="J5855" s="11" t="str">
        <f>IF(D5855&lt;&gt;"",VLOOKUP(H5855,TABLEITEM,5,FALSE),"")</f>
        <v>EA</v>
      </c>
      <c r="K5855" s="12">
        <v>0.7995</v>
      </c>
      <c r="L5855" s="13" t="str">
        <f>IF(D5855&lt;&gt;"",VLOOKUP(H5855,TABLEITEM,2,FALSE),"")</f>
        <v/>
      </c>
      <c r="M5855" s="13" t="str">
        <f>IF(D5855&lt;&gt;"",VLOOKUP(H5855,TABLEITEM,3,FALSE),"")</f>
        <v>สกรูหัวเหลี่ยมชุบขาว M8x20</v>
      </c>
      <c r="N5855" s="14">
        <f>INSTOCK!$I5855*INSTOCK!$K5855</f>
        <v>7995</v>
      </c>
      <c r="O5855" s="4" t="s">
        <v>2101</v>
      </c>
      <c r="P5855" s="4"/>
    </row>
    <row r="5856" ht="15.75" customHeight="1">
      <c r="B5856" s="8">
        <v>6180.0</v>
      </c>
      <c r="C5856" s="9">
        <v>43748.0</v>
      </c>
      <c r="D5856" s="6">
        <v>6.21000394E8</v>
      </c>
      <c r="E5856" s="4">
        <v>6.210001494E9</v>
      </c>
      <c r="F5856" s="8" t="s">
        <v>604</v>
      </c>
      <c r="G5856" s="4" t="s">
        <v>1777</v>
      </c>
      <c r="H5856" s="10" t="s">
        <v>3014</v>
      </c>
      <c r="I5856" s="10">
        <v>10000.0</v>
      </c>
      <c r="J5856" s="11" t="str">
        <f>IF(D5856&lt;&gt;"",VLOOKUP(H5856,TABLEITEM,5,FALSE),"")</f>
        <v>EA</v>
      </c>
      <c r="K5856" s="12">
        <v>0.075</v>
      </c>
      <c r="L5856" s="13" t="str">
        <f>IF(D5856&lt;&gt;"",VLOOKUP(H5856,TABLEITEM,2,FALSE),"")</f>
        <v/>
      </c>
      <c r="M5856" s="13" t="str">
        <f>IF(D5856&lt;&gt;"",VLOOKUP(H5856,TABLEITEM,3,FALSE),"")</f>
        <v>แหวนสปริง M 8 ชุบรุ้ง</v>
      </c>
      <c r="N5856" s="14">
        <f>INSTOCK!$I5856*INSTOCK!$K5856</f>
        <v>750</v>
      </c>
      <c r="O5856" s="4" t="s">
        <v>2079</v>
      </c>
      <c r="P5856" s="4"/>
    </row>
    <row r="5857" ht="15.75" customHeight="1">
      <c r="B5857" s="8">
        <v>6181.0</v>
      </c>
      <c r="C5857" s="9">
        <v>43748.0</v>
      </c>
      <c r="D5857" s="6">
        <v>6.21000394E8</v>
      </c>
      <c r="E5857" s="4">
        <v>6.210001494E9</v>
      </c>
      <c r="F5857" s="8" t="s">
        <v>604</v>
      </c>
      <c r="G5857" s="4" t="s">
        <v>1777</v>
      </c>
      <c r="H5857" s="10" t="s">
        <v>2080</v>
      </c>
      <c r="I5857" s="10">
        <v>10000.0</v>
      </c>
      <c r="J5857" s="11" t="str">
        <f>IF(D5857&lt;&gt;"",VLOOKUP(H5857,TABLEITEM,5,FALSE),"")</f>
        <v>EA</v>
      </c>
      <c r="K5857" s="12">
        <v>0.36</v>
      </c>
      <c r="L5857" s="13" t="str">
        <f>IF(D5857&lt;&gt;"",VLOOKUP(H5857,TABLEITEM,2,FALSE),"")</f>
        <v/>
      </c>
      <c r="M5857" s="13" t="str">
        <f>IF(D5857&lt;&gt;"",VLOOKUP(H5857,TABLEITEM,3,FALSE),"")</f>
        <v>หัวน็อต M 8 ชุบขาว</v>
      </c>
      <c r="N5857" s="14">
        <f>INSTOCK!$I5857*INSTOCK!$K5857</f>
        <v>3600</v>
      </c>
      <c r="O5857" s="4" t="s">
        <v>2081</v>
      </c>
      <c r="P5857" s="4"/>
    </row>
    <row r="5858" ht="15.75" customHeight="1">
      <c r="B5858" s="8">
        <v>6182.0</v>
      </c>
      <c r="C5858" s="9">
        <v>43748.0</v>
      </c>
      <c r="D5858" s="6">
        <v>6.21000394E8</v>
      </c>
      <c r="E5858" s="4">
        <v>6.210001494E9</v>
      </c>
      <c r="F5858" s="8" t="s">
        <v>604</v>
      </c>
      <c r="G5858" s="4" t="s">
        <v>1777</v>
      </c>
      <c r="H5858" s="10" t="s">
        <v>2102</v>
      </c>
      <c r="I5858" s="10">
        <v>20000.0</v>
      </c>
      <c r="J5858" s="11" t="str">
        <f>IF(D5858&lt;&gt;"",VLOOKUP(H5858,TABLEITEM,5,FALSE),"")</f>
        <v>EA</v>
      </c>
      <c r="K5858" s="12">
        <v>0.175</v>
      </c>
      <c r="L5858" s="13" t="str">
        <f>IF(D5858&lt;&gt;"",VLOOKUP(H5858,TABLEITEM,2,FALSE),"")</f>
        <v/>
      </c>
      <c r="M5858" s="13" t="str">
        <f>IF(D5858&lt;&gt;"",VLOOKUP(H5858,TABLEITEM,3,FALSE),"")</f>
        <v>แหวนอีแปะ M8 ชุบขาว</v>
      </c>
      <c r="N5858" s="14">
        <f>INSTOCK!$I5858*INSTOCK!$K5858</f>
        <v>3500</v>
      </c>
      <c r="O5858" s="4" t="s">
        <v>3647</v>
      </c>
      <c r="P5858" s="4"/>
    </row>
    <row r="5859" ht="15.75" customHeight="1">
      <c r="B5859" s="8">
        <v>6183.0</v>
      </c>
      <c r="C5859" s="9">
        <v>43747.0</v>
      </c>
      <c r="D5859" s="6" t="s">
        <v>6909</v>
      </c>
      <c r="E5859" s="4"/>
      <c r="F5859" s="8" t="s">
        <v>604</v>
      </c>
      <c r="G5859" s="4" t="s">
        <v>721</v>
      </c>
      <c r="H5859" s="18" t="s">
        <v>159</v>
      </c>
      <c r="I5859" s="10">
        <v>2000.0</v>
      </c>
      <c r="J5859" s="11" t="str">
        <f>IF(D5859&lt;&gt;"",VLOOKUP(H5859,TABLEITEM,5,FALSE),"")</f>
        <v>EA</v>
      </c>
      <c r="K5859" s="12">
        <v>0.1164</v>
      </c>
      <c r="L5859" s="13" t="str">
        <f>IF(D5859&lt;&gt;"",VLOOKUP(H5859,TABLEITEM,2,FALSE),"")</f>
        <v/>
      </c>
      <c r="M5859" s="13" t="str">
        <f>IF(D5859&lt;&gt;"",VLOOKUP(H5859,TABLEITEM,3,FALSE),"")</f>
        <v>เคเบิ้ลไทร์ 4" สีขาวCT-100-2C</v>
      </c>
      <c r="N5859" s="14">
        <f>INSTOCK!$I5859*INSTOCK!$K5859</f>
        <v>232.8</v>
      </c>
      <c r="O5859" s="4" t="s">
        <v>1217</v>
      </c>
      <c r="P5859" s="4"/>
    </row>
    <row r="5860" ht="15.75" customHeight="1">
      <c r="B5860" s="8">
        <v>6184.0</v>
      </c>
      <c r="C5860" s="9">
        <v>43747.0</v>
      </c>
      <c r="D5860" s="6" t="s">
        <v>6909</v>
      </c>
      <c r="E5860" s="4"/>
      <c r="F5860" s="8" t="s">
        <v>604</v>
      </c>
      <c r="G5860" s="4" t="s">
        <v>721</v>
      </c>
      <c r="H5860" s="10" t="s">
        <v>160</v>
      </c>
      <c r="I5860" s="10">
        <v>2000.0</v>
      </c>
      <c r="J5860" s="11" t="str">
        <f>IF(D5860&lt;&gt;"",VLOOKUP(H5860,TABLEITEM,5,FALSE),"")</f>
        <v>EA</v>
      </c>
      <c r="K5860" s="12">
        <v>0.1164</v>
      </c>
      <c r="L5860" s="13" t="str">
        <f>IF(D5860&lt;&gt;"",VLOOKUP(H5860,TABLEITEM,2,FALSE),"")</f>
        <v/>
      </c>
      <c r="M5860" s="13" t="str">
        <f>IF(D5860&lt;&gt;"",VLOOKUP(H5860,TABLEITEM,3,FALSE),"")</f>
        <v>เคเบิ้ลไทร์ 4" สีดำCT-100-B-2C</v>
      </c>
      <c r="N5860" s="14">
        <f>INSTOCK!$I5860*INSTOCK!$K5860</f>
        <v>232.8</v>
      </c>
      <c r="O5860" s="4" t="s">
        <v>1217</v>
      </c>
      <c r="P5860" s="4"/>
    </row>
    <row r="5861" ht="15.75" customHeight="1">
      <c r="B5861" s="8">
        <v>6185.0</v>
      </c>
      <c r="C5861" s="9">
        <v>43747.0</v>
      </c>
      <c r="D5861" s="6" t="s">
        <v>6909</v>
      </c>
      <c r="E5861" s="4"/>
      <c r="F5861" s="8" t="s">
        <v>604</v>
      </c>
      <c r="G5861" s="4" t="s">
        <v>721</v>
      </c>
      <c r="H5861" s="10" t="s">
        <v>163</v>
      </c>
      <c r="I5861" s="10">
        <v>1000.0</v>
      </c>
      <c r="J5861" s="11" t="str">
        <f>IF(D5861&lt;&gt;"",VLOOKUP(H5861,TABLEITEM,5,FALSE),"")</f>
        <v>EA</v>
      </c>
      <c r="K5861" s="12">
        <v>0.4074</v>
      </c>
      <c r="L5861" s="13" t="str">
        <f>IF(D5861&lt;&gt;"",VLOOKUP(H5861,TABLEITEM,2,FALSE),"")</f>
        <v/>
      </c>
      <c r="M5861" s="13" t="str">
        <f>IF(D5861&lt;&gt;"",VLOOKUP(H5861,TABLEITEM,3,FALSE),"")</f>
        <v>เคเบิ้ลไทร์ 8" สีขาวCT-200-3C</v>
      </c>
      <c r="N5861" s="14">
        <f>INSTOCK!$I5861*INSTOCK!$K5861</f>
        <v>407.4</v>
      </c>
      <c r="O5861" s="4" t="s">
        <v>1219</v>
      </c>
      <c r="P5861" s="4"/>
    </row>
    <row r="5862" ht="15.75" customHeight="1">
      <c r="B5862" s="8">
        <v>6186.0</v>
      </c>
      <c r="C5862" s="9">
        <v>43747.0</v>
      </c>
      <c r="D5862" s="6" t="s">
        <v>6909</v>
      </c>
      <c r="E5862" s="4"/>
      <c r="F5862" s="8" t="s">
        <v>604</v>
      </c>
      <c r="G5862" s="4" t="s">
        <v>721</v>
      </c>
      <c r="H5862" s="10" t="s">
        <v>204</v>
      </c>
      <c r="I5862" s="10">
        <v>80.0</v>
      </c>
      <c r="J5862" s="11" t="str">
        <f>IF(D5862&lt;&gt;"",VLOOKUP(H5862,TABLEITEM,5,FALSE),"")</f>
        <v>EA</v>
      </c>
      <c r="K5862" s="12">
        <v>102.432</v>
      </c>
      <c r="L5862" s="13" t="str">
        <f>IF(D5862&lt;&gt;"",VLOOKUP(H5862,TABLEITEM,2,FALSE),"")</f>
        <v/>
      </c>
      <c r="M5862" s="13" t="str">
        <f>IF(D5862&lt;&gt;"",VLOOKUP(H5862,TABLEITEM,3,FALSE),"")</f>
        <v>รางวายดัก/รางPVC 33x45 mm.</v>
      </c>
      <c r="N5862" s="14">
        <f>INSTOCK!$I5862*INSTOCK!$K5862</f>
        <v>8194.56</v>
      </c>
      <c r="O5862" s="4" t="s">
        <v>723</v>
      </c>
      <c r="P5862" s="4"/>
    </row>
    <row r="5863" ht="15.75" customHeight="1">
      <c r="B5863" s="8">
        <v>6187.0</v>
      </c>
      <c r="C5863" s="9">
        <v>43747.0</v>
      </c>
      <c r="D5863" s="6" t="s">
        <v>6909</v>
      </c>
      <c r="E5863" s="4"/>
      <c r="F5863" s="8" t="s">
        <v>604</v>
      </c>
      <c r="G5863" s="4" t="s">
        <v>721</v>
      </c>
      <c r="H5863" s="10" t="s">
        <v>207</v>
      </c>
      <c r="I5863" s="10">
        <v>24.0</v>
      </c>
      <c r="J5863" s="11" t="str">
        <f>IF(D5863&lt;&gt;"",VLOOKUP(H5863,TABLEITEM,5,FALSE),"")</f>
        <v>EA</v>
      </c>
      <c r="K5863" s="12">
        <v>168.78</v>
      </c>
      <c r="L5863" s="13" t="str">
        <f>IF(D5863&lt;&gt;"",VLOOKUP(H5863,TABLEITEM,2,FALSE),"")</f>
        <v/>
      </c>
      <c r="M5863" s="13" t="str">
        <f>IF(D5863&lt;&gt;"",VLOOKUP(H5863,TABLEITEM,3,FALSE),"")</f>
        <v>รางวายดัก/รางPVC 45x65 mm.</v>
      </c>
      <c r="N5863" s="14">
        <f>INSTOCK!$I5863*INSTOCK!$K5863</f>
        <v>4050.72</v>
      </c>
      <c r="O5863" s="4" t="s">
        <v>769</v>
      </c>
      <c r="P5863" s="4"/>
    </row>
    <row r="5864" ht="15.75" customHeight="1">
      <c r="B5864" s="8">
        <v>6188.0</v>
      </c>
      <c r="C5864" s="9">
        <v>43747.0</v>
      </c>
      <c r="D5864" s="6" t="s">
        <v>6910</v>
      </c>
      <c r="E5864" s="4">
        <v>6.210001499E9</v>
      </c>
      <c r="F5864" s="8" t="s">
        <v>604</v>
      </c>
      <c r="G5864" s="4" t="s">
        <v>965</v>
      </c>
      <c r="H5864" s="10" t="s">
        <v>6911</v>
      </c>
      <c r="I5864" s="10">
        <v>1.0</v>
      </c>
      <c r="J5864" s="11" t="str">
        <f>IF(D5864&lt;&gt;"",VLOOKUP(H5864,TABLEITEM,5,FALSE),"")</f>
        <v>EA</v>
      </c>
      <c r="K5864" s="12">
        <v>380.0</v>
      </c>
      <c r="L5864" s="13" t="str">
        <f>IF(D5864&lt;&gt;"",VLOOKUP(H5864,TABLEITEM,2,FALSE),"")</f>
        <v/>
      </c>
      <c r="M5864" s="13" t="str">
        <f>IF(D5864&lt;&gt;"",VLOOKUP(H5864,TABLEITEM,3,FALSE),"")</f>
        <v>หินเจียร์มอเตอร์ เขียว 6x1</v>
      </c>
      <c r="N5864" s="14">
        <f>INSTOCK!$I5864*INSTOCK!$K5864</f>
        <v>380</v>
      </c>
      <c r="O5864" s="4"/>
      <c r="P5864" s="4"/>
    </row>
    <row r="5865" ht="15.75" customHeight="1">
      <c r="B5865" s="8">
        <v>6189.0</v>
      </c>
      <c r="C5865" s="9">
        <v>43747.0</v>
      </c>
      <c r="D5865" s="6" t="s">
        <v>6910</v>
      </c>
      <c r="E5865" s="4">
        <v>6.210001499E9</v>
      </c>
      <c r="F5865" s="8" t="s">
        <v>604</v>
      </c>
      <c r="G5865" s="4" t="s">
        <v>965</v>
      </c>
      <c r="H5865" s="10" t="s">
        <v>6912</v>
      </c>
      <c r="I5865" s="10">
        <v>1.0</v>
      </c>
      <c r="J5865" s="11" t="str">
        <f>IF(D5865&lt;&gt;"",VLOOKUP(H5865,TABLEITEM,5,FALSE),"")</f>
        <v>EA</v>
      </c>
      <c r="K5865" s="12">
        <v>180.0</v>
      </c>
      <c r="L5865" s="13" t="str">
        <f>IF(D5865&lt;&gt;"",VLOOKUP(H5865,TABLEITEM,2,FALSE),"")</f>
        <v/>
      </c>
      <c r="M5865" s="13" t="str">
        <f>IF(D5865&lt;&gt;"",VLOOKUP(H5865,TABLEITEM,3,FALSE),"")</f>
        <v>หินเจียร์มอเตอร์ เทา 6x1 </v>
      </c>
      <c r="N5865" s="14">
        <f>INSTOCK!$I5865*INSTOCK!$K5865</f>
        <v>180</v>
      </c>
      <c r="O5865" s="4"/>
      <c r="P5865" s="4"/>
    </row>
    <row r="5866" ht="15.75" customHeight="1">
      <c r="B5866" s="8">
        <v>6190.0</v>
      </c>
      <c r="C5866" s="9">
        <v>43747.0</v>
      </c>
      <c r="D5866" s="6" t="s">
        <v>6910</v>
      </c>
      <c r="E5866" s="4">
        <v>6.210001499E9</v>
      </c>
      <c r="F5866" s="8" t="s">
        <v>604</v>
      </c>
      <c r="G5866" s="4" t="s">
        <v>965</v>
      </c>
      <c r="H5866" s="10" t="s">
        <v>6913</v>
      </c>
      <c r="I5866" s="10">
        <v>2.0</v>
      </c>
      <c r="J5866" s="11" t="str">
        <f>IF(D5866&lt;&gt;"",VLOOKUP(H5866,TABLEITEM,5,FALSE),"")</f>
        <v>EA</v>
      </c>
      <c r="K5866" s="12">
        <v>10.0</v>
      </c>
      <c r="L5866" s="13" t="str">
        <f>IF(D5866&lt;&gt;"",VLOOKUP(H5866,TABLEITEM,2,FALSE),"")</f>
        <v/>
      </c>
      <c r="M5866" s="13" t="str">
        <f>IF(D5866&lt;&gt;"",VLOOKUP(H5866,TABLEITEM,3,FALSE),"")</f>
        <v>ดอกสว่าน 3.7</v>
      </c>
      <c r="N5866" s="14">
        <f>INSTOCK!$I5866*INSTOCK!$K5866</f>
        <v>20</v>
      </c>
      <c r="O5866" s="4"/>
      <c r="P5866" s="4"/>
    </row>
    <row r="5867" ht="15.75" customHeight="1">
      <c r="B5867" s="8">
        <v>6191.0</v>
      </c>
      <c r="C5867" s="9">
        <v>43747.0</v>
      </c>
      <c r="D5867" s="6" t="s">
        <v>6910</v>
      </c>
      <c r="E5867" s="4">
        <v>6.210001499E9</v>
      </c>
      <c r="F5867" s="8" t="s">
        <v>604</v>
      </c>
      <c r="G5867" s="4" t="s">
        <v>965</v>
      </c>
      <c r="H5867" s="10" t="s">
        <v>6914</v>
      </c>
      <c r="I5867" s="10">
        <v>1.0</v>
      </c>
      <c r="J5867" s="11" t="str">
        <f>IF(D5867&lt;&gt;"",VLOOKUP(H5867,TABLEITEM,5,FALSE),"")</f>
        <v>EA</v>
      </c>
      <c r="K5867" s="12">
        <v>40.0</v>
      </c>
      <c r="L5867" s="13" t="str">
        <f>IF(D5867&lt;&gt;"",VLOOKUP(H5867,TABLEITEM,2,FALSE),"")</f>
        <v/>
      </c>
      <c r="M5867" s="13" t="str">
        <f>IF(D5867&lt;&gt;"",VLOOKUP(H5867,TABLEITEM,3,FALSE),"")</f>
        <v>ดอกสว่าน นาซิ 3.7 </v>
      </c>
      <c r="N5867" s="14">
        <f>INSTOCK!$I5867*INSTOCK!$K5867</f>
        <v>40</v>
      </c>
      <c r="O5867" s="4"/>
      <c r="P5867" s="4"/>
    </row>
    <row r="5868" ht="15.75" customHeight="1">
      <c r="B5868" s="8">
        <v>6192.0</v>
      </c>
      <c r="C5868" s="9">
        <v>43747.0</v>
      </c>
      <c r="D5868" s="6" t="s">
        <v>6910</v>
      </c>
      <c r="E5868" s="4">
        <v>6.210001499E9</v>
      </c>
      <c r="F5868" s="8" t="s">
        <v>604</v>
      </c>
      <c r="G5868" s="4" t="s">
        <v>965</v>
      </c>
      <c r="H5868" s="18" t="s">
        <v>4767</v>
      </c>
      <c r="I5868" s="10">
        <v>2.0</v>
      </c>
      <c r="J5868" s="11" t="str">
        <f>IF(D5868&lt;&gt;"",VLOOKUP(H5868,TABLEITEM,5,FALSE),"")</f>
        <v>EA</v>
      </c>
      <c r="K5868" s="12">
        <v>90.0</v>
      </c>
      <c r="L5868" s="13" t="str">
        <f>IF(D5868&lt;&gt;"",VLOOKUP(H5868,TABLEITEM,2,FALSE),"")</f>
        <v/>
      </c>
      <c r="M5868" s="13" t="str">
        <f>IF(D5868&lt;&gt;"",VLOOKUP(H5868,TABLEITEM,3,FALSE),"")</f>
        <v>ไม้ม็อป+ผ้า</v>
      </c>
      <c r="N5868" s="14">
        <f>INSTOCK!$I5868*INSTOCK!$K5868</f>
        <v>180</v>
      </c>
      <c r="O5868" s="4"/>
      <c r="P5868" s="4"/>
    </row>
    <row r="5869" ht="15.75" customHeight="1">
      <c r="B5869" s="8">
        <v>6193.0</v>
      </c>
      <c r="C5869" s="9">
        <v>43742.0</v>
      </c>
      <c r="D5869" s="6">
        <v>6.21001798E8</v>
      </c>
      <c r="E5869" s="4" t="s">
        <v>6915</v>
      </c>
      <c r="F5869" s="8" t="s">
        <v>3902</v>
      </c>
      <c r="G5869" s="4" t="s">
        <v>1130</v>
      </c>
      <c r="H5869" s="10" t="s">
        <v>6916</v>
      </c>
      <c r="I5869" s="10">
        <v>2.0</v>
      </c>
      <c r="J5869" s="11" t="str">
        <f>IF(D5869&lt;&gt;"",VLOOKUP(H5869,TABLEITEM,5,FALSE),"")</f>
        <v>EA</v>
      </c>
      <c r="K5869" s="12">
        <v>540.0</v>
      </c>
      <c r="L5869" s="13" t="str">
        <f>IF(D5869&lt;&gt;"",VLOOKUP(H5869,TABLEITEM,2,FALSE),"")</f>
        <v/>
      </c>
      <c r="M5869" s="13" t="str">
        <f>IF(D5869&lt;&gt;"",VLOOKUP(H5869,TABLEITEM,3,FALSE),"")</f>
        <v>ลิมิตสวิตซ์ D4A-D4V8108SZ</v>
      </c>
      <c r="N5869" s="14">
        <f>INSTOCK!$I5869*INSTOCK!$K5869</f>
        <v>1080</v>
      </c>
      <c r="O5869" s="4"/>
      <c r="P5869" s="4"/>
    </row>
    <row r="5870" ht="15.75" customHeight="1">
      <c r="B5870" s="8">
        <v>6194.0</v>
      </c>
      <c r="C5870" s="9">
        <v>43748.0</v>
      </c>
      <c r="D5870" s="6" t="s">
        <v>6917</v>
      </c>
      <c r="E5870" s="4">
        <v>6.210001474E9</v>
      </c>
      <c r="F5870" s="8" t="s">
        <v>604</v>
      </c>
      <c r="G5870" s="4" t="s">
        <v>2162</v>
      </c>
      <c r="H5870" s="10" t="s">
        <v>6152</v>
      </c>
      <c r="I5870" s="10">
        <v>4.0</v>
      </c>
      <c r="J5870" s="11" t="str">
        <f>IF(D5870&lt;&gt;"",VLOOKUP(H5870,TABLEITEM,5,FALSE),"")</f>
        <v>EA</v>
      </c>
      <c r="K5870" s="12">
        <v>420.0</v>
      </c>
      <c r="L5870" s="13" t="str">
        <f>IF(D5870&lt;&gt;"",VLOOKUP(H5870,TABLEITEM,2,FALSE),"")</f>
        <v/>
      </c>
      <c r="M5870" s="13" t="str">
        <f>IF(D5870&lt;&gt;"",VLOOKUP(H5870,TABLEITEM,3,FALSE),"")</f>
        <v>ล้อยูริเทน 3" หน้ายาง 32มิล โครงเชื่อมล้อเป็นมีเบรค</v>
      </c>
      <c r="N5870" s="14">
        <f>INSTOCK!$I5870*INSTOCK!$K5870</f>
        <v>1680</v>
      </c>
      <c r="O5870" s="4"/>
      <c r="P5870" s="4"/>
    </row>
    <row r="5871" ht="15.75" customHeight="1">
      <c r="B5871" s="8">
        <v>6195.0</v>
      </c>
      <c r="C5871" s="9">
        <v>43749.0</v>
      </c>
      <c r="D5871" s="6" t="s">
        <v>6918</v>
      </c>
      <c r="E5871" s="4">
        <v>6.210001515E9</v>
      </c>
      <c r="F5871" s="8" t="s">
        <v>604</v>
      </c>
      <c r="G5871" s="4" t="s">
        <v>617</v>
      </c>
      <c r="H5871" s="10" t="s">
        <v>562</v>
      </c>
      <c r="I5871" s="10">
        <v>50.0</v>
      </c>
      <c r="J5871" s="11" t="str">
        <f>IF(D5871&lt;&gt;"",VLOOKUP(H5871,TABLEITEM,5,FALSE),"")</f>
        <v>M</v>
      </c>
      <c r="K5871" s="12">
        <v>972.16</v>
      </c>
      <c r="L5871" s="13" t="str">
        <f>IF(D5871&lt;&gt;"",VLOOKUP(H5871,TABLEITEM,2,FALSE),"")</f>
        <v>Busbar</v>
      </c>
      <c r="M5871" s="13" t="str">
        <f>IF(D5871&lt;&gt;"",VLOOKUP(H5871,TABLEITEM,3,FALSE),"")</f>
        <v>บัสบาร์ทองแดง 50x10</v>
      </c>
      <c r="N5871" s="14">
        <f>INSTOCK!$I5871*INSTOCK!$K5871</f>
        <v>48608</v>
      </c>
      <c r="O5871" s="4"/>
      <c r="P5871" s="4"/>
    </row>
    <row r="5872" ht="15.75" customHeight="1">
      <c r="B5872" s="8">
        <v>6196.0</v>
      </c>
      <c r="C5872" s="9">
        <v>43749.0</v>
      </c>
      <c r="D5872" s="6" t="s">
        <v>6918</v>
      </c>
      <c r="E5872" s="4">
        <v>6.210001515E9</v>
      </c>
      <c r="F5872" s="8" t="s">
        <v>604</v>
      </c>
      <c r="G5872" s="4" t="s">
        <v>617</v>
      </c>
      <c r="H5872" s="10" t="s">
        <v>560</v>
      </c>
      <c r="I5872" s="10">
        <v>50.0</v>
      </c>
      <c r="J5872" s="11" t="str">
        <f>IF(D5872&lt;&gt;"",VLOOKUP(H5872,TABLEITEM,5,FALSE),"")</f>
        <v>M</v>
      </c>
      <c r="K5872" s="12">
        <v>571.56</v>
      </c>
      <c r="L5872" s="13" t="str">
        <f>IF(D5872&lt;&gt;"",VLOOKUP(H5872,TABLEITEM,2,FALSE),"")</f>
        <v>Busbar</v>
      </c>
      <c r="M5872" s="13" t="str">
        <f>IF(D5872&lt;&gt;"",VLOOKUP(H5872,TABLEITEM,3,FALSE),"")</f>
        <v>บัสบาร์ทองแดง 30x10</v>
      </c>
      <c r="N5872" s="14">
        <f>INSTOCK!$I5872*INSTOCK!$K5872</f>
        <v>28578</v>
      </c>
      <c r="O5872" s="4"/>
      <c r="P5872" s="4"/>
    </row>
    <row r="5873" ht="15.75" customHeight="1">
      <c r="B5873" s="8">
        <v>6197.0</v>
      </c>
      <c r="C5873" s="9">
        <v>43717.0</v>
      </c>
      <c r="D5873" s="6" t="s">
        <v>6919</v>
      </c>
      <c r="E5873" s="4"/>
      <c r="F5873" s="8" t="s">
        <v>3727</v>
      </c>
      <c r="G5873" s="4" t="s">
        <v>2941</v>
      </c>
      <c r="H5873" s="18" t="s">
        <v>4079</v>
      </c>
      <c r="I5873" s="10">
        <v>1.0</v>
      </c>
      <c r="J5873" s="11" t="str">
        <f>IF(D5873&lt;&gt;"",VLOOKUP(H5873,TABLEITEM,5,FALSE),"")</f>
        <v>EA</v>
      </c>
      <c r="K5873" s="12">
        <v>450.0</v>
      </c>
      <c r="L5873" s="13" t="str">
        <f>IF(D5873&lt;&gt;"",VLOOKUP(H5873,TABLEITEM,2,FALSE),"")</f>
        <v/>
      </c>
      <c r="M5873" s="13" t="str">
        <f>IF(D5873&lt;&gt;"",VLOOKUP(H5873,TABLEITEM,3,FALSE),"")</f>
        <v>ผ้าเช็ดหัวพิมพ์</v>
      </c>
      <c r="N5873" s="14">
        <f>INSTOCK!$I5873*INSTOCK!$K5873</f>
        <v>450</v>
      </c>
      <c r="O5873" s="4"/>
      <c r="P5873" s="4"/>
    </row>
    <row r="5874" ht="15.75" customHeight="1">
      <c r="B5874" s="8">
        <v>6198.0</v>
      </c>
      <c r="C5874" s="9">
        <v>43717.0</v>
      </c>
      <c r="D5874" s="6" t="s">
        <v>6919</v>
      </c>
      <c r="E5874" s="4"/>
      <c r="F5874" s="8" t="s">
        <v>3727</v>
      </c>
      <c r="G5874" s="4" t="s">
        <v>2941</v>
      </c>
      <c r="H5874" s="10" t="s">
        <v>6920</v>
      </c>
      <c r="I5874" s="10">
        <v>1.0</v>
      </c>
      <c r="J5874" s="11" t="str">
        <f>IF(D5874&lt;&gt;"",VLOOKUP(H5874,TABLEITEM,5,FALSE),"")</f>
        <v>EA</v>
      </c>
      <c r="K5874" s="12">
        <v>2500.0</v>
      </c>
      <c r="L5874" s="13" t="str">
        <f>IF(D5874&lt;&gt;"",VLOOKUP(H5874,TABLEITEM,2,FALSE),"")</f>
        <v/>
      </c>
      <c r="M5874" s="13" t="str">
        <f>IF(D5874&lt;&gt;"",VLOOKUP(H5874,TABLEITEM,3,FALSE),"")</f>
        <v>IQ WF PREMUIM 1L</v>
      </c>
      <c r="N5874" s="14">
        <f>INSTOCK!$I5874*INSTOCK!$K5874</f>
        <v>2500</v>
      </c>
      <c r="O5874" s="4"/>
      <c r="P5874" s="4"/>
    </row>
    <row r="5875" ht="15.75" customHeight="1">
      <c r="B5875" s="8">
        <v>6199.0</v>
      </c>
      <c r="C5875" s="9">
        <v>43750.0</v>
      </c>
      <c r="D5875" s="6" t="s">
        <v>6921</v>
      </c>
      <c r="E5875" s="4"/>
      <c r="F5875" s="8" t="s">
        <v>801</v>
      </c>
      <c r="G5875" s="4" t="s">
        <v>1417</v>
      </c>
      <c r="H5875" s="10" t="s">
        <v>803</v>
      </c>
      <c r="I5875" s="10">
        <v>15.0</v>
      </c>
      <c r="J5875" s="11" t="str">
        <f>IF(D5875&lt;&gt;"",VLOOKUP(H5875,TABLEITEM,5,FALSE),"")</f>
        <v>ถัง</v>
      </c>
      <c r="K5875" s="12">
        <v>981.31</v>
      </c>
      <c r="L5875" s="13" t="str">
        <f>IF(D5875&lt;&gt;"",VLOOKUP(H5875,TABLEITEM,2,FALSE),"")</f>
        <v/>
      </c>
      <c r="M5875" s="13" t="str">
        <f>IF(D5875&lt;&gt;"",VLOOKUP(H5875,TABLEITEM,3,FALSE),"")</f>
        <v>แก๊สหุงต้ม 48กก</v>
      </c>
      <c r="N5875" s="14">
        <f>INSTOCK!$I5875*INSTOCK!$K5875</f>
        <v>14719.65</v>
      </c>
      <c r="O5875" s="4"/>
      <c r="P5875" s="4"/>
    </row>
    <row r="5876" ht="15.75" customHeight="1">
      <c r="B5876" s="8">
        <v>6200.0</v>
      </c>
      <c r="C5876" s="9">
        <v>43754.0</v>
      </c>
      <c r="D5876" s="6" t="s">
        <v>6922</v>
      </c>
      <c r="E5876" s="4">
        <v>6.210001529E9</v>
      </c>
      <c r="F5876" s="8" t="s">
        <v>604</v>
      </c>
      <c r="G5876" s="4" t="s">
        <v>737</v>
      </c>
      <c r="H5876" s="10" t="s">
        <v>17</v>
      </c>
      <c r="I5876" s="10">
        <v>24.0</v>
      </c>
      <c r="J5876" s="11" t="str">
        <f>IF(D5876&lt;&gt;"",VLOOKUP(H5876,TABLEITEM,5,FALSE),"")</f>
        <v>คู่</v>
      </c>
      <c r="K5876" s="12">
        <v>40.0</v>
      </c>
      <c r="L5876" s="13" t="str">
        <f>IF(D5876&lt;&gt;"",VLOOKUP(H5876,TABLEITEM,2,FALSE),"")</f>
        <v/>
      </c>
      <c r="M5876" s="13" t="str">
        <f>IF(D5876&lt;&gt;"",VLOOKUP(H5876,TABLEITEM,3,FALSE),"")</f>
        <v>ถุงมือหนัง</v>
      </c>
      <c r="N5876" s="14">
        <f>INSTOCK!$I5876*INSTOCK!$K5876</f>
        <v>960</v>
      </c>
      <c r="O5876" s="4"/>
      <c r="P5876" s="4"/>
    </row>
    <row r="5877" ht="15.75" customHeight="1">
      <c r="B5877" s="8">
        <v>6201.0</v>
      </c>
      <c r="C5877" s="9">
        <v>43754.0</v>
      </c>
      <c r="D5877" s="6" t="s">
        <v>6923</v>
      </c>
      <c r="E5877" s="4">
        <v>6.210001523E9</v>
      </c>
      <c r="F5877" s="8" t="s">
        <v>604</v>
      </c>
      <c r="G5877" s="4" t="s">
        <v>665</v>
      </c>
      <c r="H5877" s="10" t="s">
        <v>479</v>
      </c>
      <c r="I5877" s="10">
        <v>500.0</v>
      </c>
      <c r="J5877" s="11" t="str">
        <f>IF(D5877&lt;&gt;"",VLOOKUP(H5877,TABLEITEM,5,FALSE),"")</f>
        <v>M</v>
      </c>
      <c r="K5877" s="12">
        <v>8.76</v>
      </c>
      <c r="L5877" s="13" t="str">
        <f>IF(D5877&lt;&gt;"",VLOOKUP(H5877,TABLEITEM,2,FALSE),"")</f>
        <v>wire</v>
      </c>
      <c r="M5877" s="13" t="str">
        <f>IF(D5877&lt;&gt;"",VLOOKUP(H5877,TABLEITEM,3,FALSE),"")</f>
        <v>สายไฟ VSF1x2.5 SQMM.สีเหลือง</v>
      </c>
      <c r="N5877" s="14">
        <f>INSTOCK!$I5877*INSTOCK!$K5877</f>
        <v>4380</v>
      </c>
      <c r="O5877" s="4"/>
      <c r="P5877" s="4"/>
    </row>
    <row r="5878" ht="15.75" customHeight="1">
      <c r="B5878" s="8">
        <v>6202.0</v>
      </c>
      <c r="C5878" s="9">
        <v>43754.0</v>
      </c>
      <c r="D5878" s="6" t="s">
        <v>6923</v>
      </c>
      <c r="E5878" s="4">
        <v>6.210001523E9</v>
      </c>
      <c r="F5878" s="8" t="s">
        <v>604</v>
      </c>
      <c r="G5878" s="4" t="s">
        <v>665</v>
      </c>
      <c r="H5878" s="10" t="s">
        <v>6924</v>
      </c>
      <c r="I5878" s="10">
        <v>500.0</v>
      </c>
      <c r="J5878" s="11" t="str">
        <f>IF(D5878&lt;&gt;"",VLOOKUP(H5878,TABLEITEM,5,FALSE),"")</f>
        <v>M</v>
      </c>
      <c r="K5878" s="12">
        <v>8.76</v>
      </c>
      <c r="L5878" s="13" t="str">
        <f>IF(D5878&lt;&gt;"",VLOOKUP(H5878,TABLEITEM,2,FALSE),"")</f>
        <v>wire</v>
      </c>
      <c r="M5878" s="13" t="str">
        <f>IF(D5878&lt;&gt;"",VLOOKUP(H5878,TABLEITEM,3,FALSE),"")</f>
        <v>สายไฟ VSF1x2.5 SQMM.สีขาว</v>
      </c>
      <c r="N5878" s="14">
        <f>INSTOCK!$I5878*INSTOCK!$K5878</f>
        <v>4380</v>
      </c>
      <c r="O5878" s="4"/>
      <c r="P5878" s="4"/>
    </row>
    <row r="5879" ht="15.75" customHeight="1">
      <c r="B5879" s="8">
        <v>6203.0</v>
      </c>
      <c r="C5879" s="9">
        <v>43754.0</v>
      </c>
      <c r="D5879" s="6" t="s">
        <v>6923</v>
      </c>
      <c r="E5879" s="4">
        <v>6.210001523E9</v>
      </c>
      <c r="F5879" s="8" t="s">
        <v>604</v>
      </c>
      <c r="G5879" s="4" t="s">
        <v>665</v>
      </c>
      <c r="H5879" s="10" t="s">
        <v>462</v>
      </c>
      <c r="I5879" s="10">
        <v>1000.0</v>
      </c>
      <c r="J5879" s="11" t="str">
        <f>IF(D5879&lt;&gt;"",VLOOKUP(H5879,TABLEITEM,5,FALSE),"")</f>
        <v>M</v>
      </c>
      <c r="K5879" s="12">
        <v>4.46</v>
      </c>
      <c r="L5879" s="13" t="str">
        <f>IF(D5879&lt;&gt;"",VLOOKUP(H5879,TABLEITEM,2,FALSE),"")</f>
        <v>wire</v>
      </c>
      <c r="M5879" s="13" t="str">
        <f>IF(D5879&lt;&gt;"",VLOOKUP(H5879,TABLEITEM,3,FALSE),"")</f>
        <v>สายไฟ VSF1x1 SQMM.สีเหลือง</v>
      </c>
      <c r="N5879" s="14">
        <f>INSTOCK!$I5879*INSTOCK!$K5879</f>
        <v>4460</v>
      </c>
      <c r="O5879" s="4"/>
      <c r="P5879" s="4"/>
    </row>
    <row r="5880" ht="15.75" customHeight="1">
      <c r="B5880" s="8">
        <v>6204.0</v>
      </c>
      <c r="C5880" s="9">
        <v>43754.0</v>
      </c>
      <c r="D5880" s="6" t="s">
        <v>6925</v>
      </c>
      <c r="E5880" s="4">
        <v>6.210001526E9</v>
      </c>
      <c r="F5880" s="8" t="s">
        <v>604</v>
      </c>
      <c r="G5880" s="4" t="s">
        <v>2121</v>
      </c>
      <c r="H5880" s="10" t="s">
        <v>1538</v>
      </c>
      <c r="I5880" s="10">
        <v>5000.0</v>
      </c>
      <c r="J5880" s="11" t="str">
        <f>IF(D5880&lt;&gt;"",VLOOKUP(H5880,TABLEITEM,5,FALSE),"")</f>
        <v>EA</v>
      </c>
      <c r="K5880" s="12">
        <v>1.55</v>
      </c>
      <c r="L5880" s="13" t="str">
        <f>IF(D5880&lt;&gt;"",VLOOKUP(H5880,TABLEITEM,2,FALSE),"")</f>
        <v/>
      </c>
      <c r="M5880" s="13" t="str">
        <f>IF(D5880&lt;&gt;"",VLOOKUP(H5880,TABLEITEM,3,FALSE),"")</f>
        <v>รีเวท M6 / ลูกยิงป๊อบนัท M6</v>
      </c>
      <c r="N5880" s="14">
        <f>INSTOCK!$I5880*INSTOCK!$K5880</f>
        <v>7750</v>
      </c>
      <c r="O5880" s="4"/>
      <c r="P5880" s="4"/>
    </row>
    <row r="5881" ht="15.75" customHeight="1">
      <c r="B5881" s="8">
        <v>6205.0</v>
      </c>
      <c r="C5881" s="9">
        <v>43754.0</v>
      </c>
      <c r="D5881" s="6" t="s">
        <v>6926</v>
      </c>
      <c r="E5881" s="4">
        <v>6.210001528E9</v>
      </c>
      <c r="F5881" s="8" t="s">
        <v>604</v>
      </c>
      <c r="G5881" s="4" t="s">
        <v>1033</v>
      </c>
      <c r="H5881" s="18" t="s">
        <v>6563</v>
      </c>
      <c r="I5881" s="10">
        <v>300.0</v>
      </c>
      <c r="J5881" s="11" t="str">
        <f>IF(D5881&lt;&gt;"",VLOOKUP(H5881,TABLEITEM,5,FALSE),"")</f>
        <v>EA</v>
      </c>
      <c r="K5881" s="12">
        <v>5.0</v>
      </c>
      <c r="L5881" s="13" t="str">
        <f>IF(D5881&lt;&gt;"",VLOOKUP(H5881,TABLEITEM,2,FALSE),"")</f>
        <v/>
      </c>
      <c r="M5881" s="13" t="str">
        <f>IF(D5881&lt;&gt;"",VLOOKUP(H5881,TABLEITEM,3,FALSE),"")</f>
        <v>กระดาษทรายกลม #80 สีเหลือง </v>
      </c>
      <c r="N5881" s="14">
        <f>INSTOCK!$I5881*INSTOCK!$K5881</f>
        <v>1500</v>
      </c>
      <c r="O5881" s="4"/>
      <c r="P5881" s="4"/>
    </row>
    <row r="5882" ht="15.75" customHeight="1">
      <c r="B5882" s="8">
        <v>6206.0</v>
      </c>
      <c r="C5882" s="9">
        <v>43754.0</v>
      </c>
      <c r="D5882" s="6" t="s">
        <v>6927</v>
      </c>
      <c r="E5882" s="4">
        <v>6.210001527E9</v>
      </c>
      <c r="F5882" s="8" t="s">
        <v>807</v>
      </c>
      <c r="G5882" s="4" t="s">
        <v>808</v>
      </c>
      <c r="H5882" s="10" t="s">
        <v>809</v>
      </c>
      <c r="I5882" s="10">
        <v>1.0</v>
      </c>
      <c r="J5882" s="11" t="str">
        <f>IF(D5882&lt;&gt;"",VLOOKUP(H5882,TABLEITEM,5,FALSE),"")</f>
        <v>ท่อ</v>
      </c>
      <c r="K5882" s="12">
        <v>2700.0</v>
      </c>
      <c r="L5882" s="13" t="str">
        <f>IF(D5882&lt;&gt;"",VLOOKUP(H5882,TABLEITEM,2,FALSE),"")</f>
        <v/>
      </c>
      <c r="M5882" s="13" t="str">
        <f>IF(D5882&lt;&gt;"",VLOOKUP(H5882,TABLEITEM,3,FALSE),"")</f>
        <v>ไนโตรเจนเหลว ขนาด 100คิว</v>
      </c>
      <c r="N5882" s="14">
        <f>INSTOCK!$I5882*INSTOCK!$K5882</f>
        <v>2700</v>
      </c>
      <c r="O5882" s="4"/>
      <c r="P5882" s="4"/>
    </row>
    <row r="5883" ht="15.75" customHeight="1">
      <c r="B5883" s="8">
        <v>6207.0</v>
      </c>
      <c r="C5883" s="9">
        <v>43753.0</v>
      </c>
      <c r="D5883" s="6" t="s">
        <v>6928</v>
      </c>
      <c r="E5883" s="4">
        <v>6.210001509E9</v>
      </c>
      <c r="F5883" s="8" t="s">
        <v>604</v>
      </c>
      <c r="G5883" s="4" t="s">
        <v>2456</v>
      </c>
      <c r="H5883" s="10" t="s">
        <v>211</v>
      </c>
      <c r="I5883" s="10">
        <v>50.0</v>
      </c>
      <c r="J5883" s="11" t="str">
        <f>IF(D5883&lt;&gt;"",VLOOKUP(H5883,TABLEITEM,5,FALSE),"")</f>
        <v>EA</v>
      </c>
      <c r="K5883" s="12">
        <v>117.0</v>
      </c>
      <c r="L5883" s="13" t="str">
        <f>IF(D5883&lt;&gt;"",VLOOKUP(H5883,TABLEITEM,2,FALSE),"")</f>
        <v/>
      </c>
      <c r="M5883" s="13" t="str">
        <f>IF(D5883&lt;&gt;"",VLOOKUP(H5883,TABLEITEM,3,FALSE),"")</f>
        <v>รางรีเลย์</v>
      </c>
      <c r="N5883" s="14">
        <f>INSTOCK!$I5883*INSTOCK!$K5883</f>
        <v>5850</v>
      </c>
      <c r="O5883" s="4"/>
      <c r="P5883" s="4"/>
    </row>
    <row r="5884" ht="15.75" customHeight="1">
      <c r="B5884" s="8">
        <v>6208.0</v>
      </c>
      <c r="C5884" s="9">
        <v>43753.0</v>
      </c>
      <c r="D5884" s="6">
        <v>6.2100676E7</v>
      </c>
      <c r="E5884" s="4">
        <v>6.210001516E9</v>
      </c>
      <c r="F5884" s="8" t="s">
        <v>6929</v>
      </c>
      <c r="G5884" s="4" t="s">
        <v>711</v>
      </c>
      <c r="H5884" s="10" t="s">
        <v>754</v>
      </c>
      <c r="I5884" s="10">
        <v>20.0</v>
      </c>
      <c r="J5884" s="11" t="str">
        <f>IF(D5884&lt;&gt;"",VLOOKUP(H5884,TABLEITEM,5,FALSE),"")</f>
        <v>KG.</v>
      </c>
      <c r="K5884" s="12">
        <v>144.0</v>
      </c>
      <c r="L5884" s="13" t="str">
        <f>IF(D5884&lt;&gt;"",VLOOKUP(H5884,TABLEITEM,2,FALSE),"")</f>
        <v/>
      </c>
      <c r="M5884" s="13" t="str">
        <f>IF(D5884&lt;&gt;"",VLOOKUP(H5884,TABLEITEM,3,FALSE),"")</f>
        <v>สีฝุ่น P70003 AN สีครีม</v>
      </c>
      <c r="N5884" s="14">
        <f>INSTOCK!$I5884*INSTOCK!$K5884</f>
        <v>2880</v>
      </c>
      <c r="O5884" s="4" t="s">
        <v>756</v>
      </c>
      <c r="P5884" s="4"/>
    </row>
    <row r="5885" ht="15.75" customHeight="1">
      <c r="B5885" s="8">
        <v>6209.0</v>
      </c>
      <c r="C5885" s="9">
        <v>43753.0</v>
      </c>
      <c r="D5885" s="6" t="s">
        <v>6930</v>
      </c>
      <c r="E5885" s="4">
        <v>6.210001514E9</v>
      </c>
      <c r="F5885" s="8" t="s">
        <v>604</v>
      </c>
      <c r="G5885" s="4" t="s">
        <v>737</v>
      </c>
      <c r="H5885" s="10" t="s">
        <v>20</v>
      </c>
      <c r="I5885" s="10">
        <v>10.0</v>
      </c>
      <c r="J5885" s="11" t="str">
        <f>IF(D5885&lt;&gt;"",VLOOKUP(H5885,TABLEITEM,5,FALSE),"")</f>
        <v>ROLL</v>
      </c>
      <c r="K5885" s="12">
        <v>795.0</v>
      </c>
      <c r="L5885" s="13" t="str">
        <f>IF(D5885&lt;&gt;"",VLOOKUP(H5885,TABLEITEM,2,FALSE),"")</f>
        <v/>
      </c>
      <c r="M5885" s="13" t="str">
        <f>IF(D5885&lt;&gt;"",VLOOKUP(H5885,TABLEITEM,3,FALSE),"")</f>
        <v>ลวดเชื่อมco2</v>
      </c>
      <c r="N5885" s="14">
        <f>INSTOCK!$I5885*INSTOCK!$K5885</f>
        <v>7950</v>
      </c>
      <c r="O5885" s="4"/>
      <c r="P5885" s="4"/>
    </row>
    <row r="5886" ht="15.75" customHeight="1">
      <c r="B5886" s="8">
        <v>6210.0</v>
      </c>
      <c r="C5886" s="9">
        <v>43753.0</v>
      </c>
      <c r="D5886" s="6" t="s">
        <v>6931</v>
      </c>
      <c r="E5886" s="4">
        <v>6.210001513E9</v>
      </c>
      <c r="F5886" s="8" t="s">
        <v>604</v>
      </c>
      <c r="G5886" s="4" t="s">
        <v>950</v>
      </c>
      <c r="H5886" s="10" t="s">
        <v>6932</v>
      </c>
      <c r="I5886" s="10">
        <v>100.0</v>
      </c>
      <c r="J5886" s="11" t="str">
        <f>IF(D5886&lt;&gt;"",VLOOKUP(H5886,TABLEITEM,5,FALSE),"")</f>
        <v>M</v>
      </c>
      <c r="K5886" s="12">
        <v>12.5</v>
      </c>
      <c r="L5886" s="13" t="str">
        <f>IF(D5886&lt;&gt;"",VLOOKUP(H5886,TABLEITEM,2,FALSE),"")</f>
        <v/>
      </c>
      <c r="M5886" s="13" t="str">
        <f>IF(D5886&lt;&gt;"",VLOOKUP(H5886,TABLEITEM,3,FALSE),"")</f>
        <v>Heat Shrink G5 # 13   สีเทา</v>
      </c>
      <c r="N5886" s="14">
        <f>INSTOCK!$I5886*INSTOCK!$K5886</f>
        <v>1250</v>
      </c>
      <c r="O5886" s="4"/>
      <c r="P5886" s="4"/>
    </row>
    <row r="5887" ht="15.75" customHeight="1">
      <c r="B5887" s="8">
        <v>6211.0</v>
      </c>
      <c r="C5887" s="9">
        <v>43753.0</v>
      </c>
      <c r="D5887" s="6" t="s">
        <v>6931</v>
      </c>
      <c r="E5887" s="4">
        <v>6.210001513E9</v>
      </c>
      <c r="F5887" s="8" t="s">
        <v>604</v>
      </c>
      <c r="G5887" s="4" t="s">
        <v>950</v>
      </c>
      <c r="H5887" s="10" t="s">
        <v>6933</v>
      </c>
      <c r="I5887" s="10">
        <v>100.0</v>
      </c>
      <c r="J5887" s="11" t="str">
        <f>IF(D5887&lt;&gt;"",VLOOKUP(H5887,TABLEITEM,5,FALSE),"")</f>
        <v>M</v>
      </c>
      <c r="K5887" s="12">
        <v>12.5</v>
      </c>
      <c r="L5887" s="13" t="str">
        <f>IF(D5887&lt;&gt;"",VLOOKUP(H5887,TABLEITEM,2,FALSE),"")</f>
        <v/>
      </c>
      <c r="M5887" s="13" t="str">
        <f>IF(D5887&lt;&gt;"",VLOOKUP(H5887,TABLEITEM,3,FALSE),"")</f>
        <v>Heat Shrink G5 # 13   สีน้ำตาล</v>
      </c>
      <c r="N5887" s="14">
        <f>INSTOCK!$I5887*INSTOCK!$K5887</f>
        <v>1250</v>
      </c>
      <c r="O5887" s="4"/>
      <c r="P5887" s="4"/>
    </row>
    <row r="5888" ht="15.75" customHeight="1">
      <c r="B5888" s="8">
        <v>6212.0</v>
      </c>
      <c r="C5888" s="9">
        <v>43753.0</v>
      </c>
      <c r="D5888" s="6" t="s">
        <v>6934</v>
      </c>
      <c r="E5888" s="4">
        <v>6.210001521E9</v>
      </c>
      <c r="F5888" s="8" t="s">
        <v>1973</v>
      </c>
      <c r="G5888" s="4" t="s">
        <v>6935</v>
      </c>
      <c r="H5888" s="10" t="s">
        <v>6936</v>
      </c>
      <c r="I5888" s="10">
        <v>1.0</v>
      </c>
      <c r="J5888" s="11" t="str">
        <f>IF(D5888&lt;&gt;"",VLOOKUP(H5888,TABLEITEM,5,FALSE),"")</f>
        <v>EA</v>
      </c>
      <c r="K5888" s="12">
        <v>1200.0</v>
      </c>
      <c r="L5888" s="13" t="str">
        <f>IF(D5888&lt;&gt;"",VLOOKUP(H5888,TABLEITEM,2,FALSE),"")</f>
        <v/>
      </c>
      <c r="M5888" s="13" t="str">
        <f>IF(D5888&lt;&gt;"",VLOOKUP(H5888,TABLEITEM,3,FALSE),"")</f>
        <v>INJECTOR NOZZLE</v>
      </c>
      <c r="N5888" s="14">
        <f>INSTOCK!$I5888*INSTOCK!$K5888</f>
        <v>1200</v>
      </c>
      <c r="O5888" s="4"/>
      <c r="P5888" s="4"/>
    </row>
    <row r="5889" ht="15.75" customHeight="1">
      <c r="B5889" s="8">
        <v>6213.0</v>
      </c>
      <c r="C5889" s="9">
        <v>43753.0</v>
      </c>
      <c r="D5889" s="6" t="s">
        <v>6934</v>
      </c>
      <c r="E5889" s="4">
        <v>6.210001521E9</v>
      </c>
      <c r="F5889" s="8" t="s">
        <v>1973</v>
      </c>
      <c r="G5889" s="4" t="s">
        <v>6935</v>
      </c>
      <c r="H5889" s="10" t="s">
        <v>6937</v>
      </c>
      <c r="I5889" s="10">
        <v>2.0</v>
      </c>
      <c r="J5889" s="11" t="str">
        <f>IF(D5889&lt;&gt;"",VLOOKUP(H5889,TABLEITEM,5,FALSE),"")</f>
        <v>EA</v>
      </c>
      <c r="K5889" s="12">
        <v>850.0</v>
      </c>
      <c r="L5889" s="13" t="str">
        <f>IF(D5889&lt;&gt;"",VLOOKUP(H5889,TABLEITEM,2,FALSE),"")</f>
        <v/>
      </c>
      <c r="M5889" s="13" t="str">
        <f>IF(D5889&lt;&gt;"",VLOOKUP(H5889,TABLEITEM,3,FALSE),"")</f>
        <v>END PLATE WITH HOOK GM03</v>
      </c>
      <c r="N5889" s="14">
        <f>INSTOCK!$I5889*INSTOCK!$K5889</f>
        <v>1700</v>
      </c>
      <c r="O5889" s="4"/>
      <c r="P5889" s="4"/>
    </row>
    <row r="5890" ht="15.75" customHeight="1">
      <c r="B5890" s="8">
        <v>6214.0</v>
      </c>
      <c r="C5890" s="9">
        <v>43753.0</v>
      </c>
      <c r="D5890" s="6" t="s">
        <v>6934</v>
      </c>
      <c r="E5890" s="4">
        <v>6.210001521E9</v>
      </c>
      <c r="F5890" s="8" t="s">
        <v>1973</v>
      </c>
      <c r="G5890" s="4" t="s">
        <v>6935</v>
      </c>
      <c r="H5890" s="10" t="s">
        <v>6938</v>
      </c>
      <c r="I5890" s="10">
        <v>1.0</v>
      </c>
      <c r="J5890" s="11" t="str">
        <f>IF(D5890&lt;&gt;"",VLOOKUP(H5890,TABLEITEM,5,FALSE),"")</f>
        <v>EA</v>
      </c>
      <c r="K5890" s="12">
        <v>3390.0</v>
      </c>
      <c r="L5890" s="13" t="str">
        <f>IF(D5890&lt;&gt;"",VLOOKUP(H5890,TABLEITEM,2,FALSE),"")</f>
        <v/>
      </c>
      <c r="M5890" s="13" t="str">
        <f>IF(D5890&lt;&gt;"",VLOOKUP(H5890,TABLEITEM,3,FALSE),"")</f>
        <v>FLUIDIZING ZFLUIDIZING SUC0</v>
      </c>
      <c r="N5890" s="14">
        <f>INSTOCK!$I5890*INSTOCK!$K5890</f>
        <v>3390</v>
      </c>
      <c r="O5890" s="4"/>
      <c r="P5890" s="4"/>
    </row>
    <row r="5891" ht="15.75" customHeight="1">
      <c r="B5891" s="8">
        <v>6215.0</v>
      </c>
      <c r="C5891" s="9">
        <v>43754.0</v>
      </c>
      <c r="D5891" s="6" t="s">
        <v>6939</v>
      </c>
      <c r="E5891" s="4">
        <v>6.210001531E9</v>
      </c>
      <c r="F5891" s="8" t="s">
        <v>6940</v>
      </c>
      <c r="G5891" s="4" t="s">
        <v>1446</v>
      </c>
      <c r="H5891" s="10" t="s">
        <v>6941</v>
      </c>
      <c r="I5891" s="10">
        <v>10.0</v>
      </c>
      <c r="J5891" s="11" t="str">
        <f>IF(D5891&lt;&gt;"",VLOOKUP(H5891,TABLEITEM,5,FALSE),"")</f>
        <v>M</v>
      </c>
      <c r="K5891" s="12">
        <v>262.8</v>
      </c>
      <c r="L5891" s="13" t="str">
        <f>IF(D5891&lt;&gt;"",VLOOKUP(H5891,TABLEITEM,2,FALSE),"")</f>
        <v/>
      </c>
      <c r="M5891" s="13" t="str">
        <f>IF(D5891&lt;&gt;"",VLOOKUP(H5891,TABLEITEM,3,FALSE),"")</f>
        <v>สายไฟ XLPE 12/20(24KV) 1x35MM </v>
      </c>
      <c r="N5891" s="14">
        <f>INSTOCK!$I5891*INSTOCK!$K5891</f>
        <v>2628</v>
      </c>
      <c r="O5891" s="4" t="s">
        <v>6942</v>
      </c>
      <c r="P5891" s="4"/>
    </row>
    <row r="5892" ht="15.75" customHeight="1">
      <c r="B5892" s="8">
        <v>6216.0</v>
      </c>
      <c r="C5892" s="9">
        <v>43754.0</v>
      </c>
      <c r="D5892" s="6" t="s">
        <v>6943</v>
      </c>
      <c r="E5892" s="4"/>
      <c r="F5892" s="8" t="s">
        <v>6944</v>
      </c>
      <c r="G5892" s="4" t="s">
        <v>898</v>
      </c>
      <c r="H5892" s="10" t="s">
        <v>899</v>
      </c>
      <c r="I5892" s="10">
        <v>1.0</v>
      </c>
      <c r="J5892" s="11" t="str">
        <f>IF(D5892&lt;&gt;"",VLOOKUP(H5892,TABLEITEM,5,FALSE),"")</f>
        <v>LIT</v>
      </c>
      <c r="K5892" s="12">
        <v>430.0</v>
      </c>
      <c r="L5892" s="13" t="str">
        <f>IF(D5892&lt;&gt;"",VLOOKUP(H5892,TABLEITEM,2,FALSE),"")</f>
        <v/>
      </c>
      <c r="M5892" s="13" t="str">
        <f>IF(D5892&lt;&gt;"",VLOOKUP(H5892,TABLEITEM,3,FALSE),"")</f>
        <v>สีพ่นแห้งเร็ว(สีผสม)</v>
      </c>
      <c r="N5892" s="14">
        <f>INSTOCK!$I5892*INSTOCK!$K5892</f>
        <v>430</v>
      </c>
      <c r="O5892" s="4" t="s">
        <v>5508</v>
      </c>
      <c r="P5892" s="4"/>
    </row>
    <row r="5893" ht="15.75" customHeight="1">
      <c r="B5893" s="8">
        <v>6217.0</v>
      </c>
      <c r="C5893" s="9">
        <v>43755.0</v>
      </c>
      <c r="D5893" s="6" t="s">
        <v>6945</v>
      </c>
      <c r="E5893" s="4">
        <v>6.210001518E9</v>
      </c>
      <c r="F5893" s="8" t="s">
        <v>6946</v>
      </c>
      <c r="G5893" s="4" t="s">
        <v>1923</v>
      </c>
      <c r="H5893" s="10" t="s">
        <v>6947</v>
      </c>
      <c r="I5893" s="10">
        <v>16.0</v>
      </c>
      <c r="J5893" s="11" t="str">
        <f>IF(D5893&lt;&gt;"",VLOOKUP(H5893,TABLEITEM,5,FALSE),"")</f>
        <v>EA</v>
      </c>
      <c r="K5893" s="12">
        <v>190.8</v>
      </c>
      <c r="L5893" s="13" t="str">
        <f>IF(D5893&lt;&gt;"",VLOOKUP(H5893,TABLEITEM,2,FALSE),"")</f>
        <v/>
      </c>
      <c r="M5893" s="13" t="str">
        <f>IF(D5893&lt;&gt;"",VLOOKUP(H5893,TABLEITEM,3,FALSE),"")</f>
        <v>ล้อแป้นเป็น ติดเบรค GPU 3"</v>
      </c>
      <c r="N5893" s="14">
        <f>INSTOCK!$I5893*INSTOCK!$K5893</f>
        <v>3052.8</v>
      </c>
      <c r="O5893" s="4"/>
      <c r="P5893" s="4"/>
    </row>
    <row r="5894" ht="15.75" customHeight="1">
      <c r="B5894" s="8">
        <v>6218.0</v>
      </c>
      <c r="C5894" s="9">
        <v>43755.0</v>
      </c>
      <c r="D5894" s="6" t="s">
        <v>6948</v>
      </c>
      <c r="E5894" s="4">
        <v>6.210001535E9</v>
      </c>
      <c r="F5894" s="8" t="s">
        <v>604</v>
      </c>
      <c r="G5894" s="4" t="s">
        <v>743</v>
      </c>
      <c r="H5894" s="10" t="s">
        <v>86</v>
      </c>
      <c r="I5894" s="10">
        <v>500.0</v>
      </c>
      <c r="J5894" s="11" t="str">
        <f>IF(D5894&lt;&gt;"",VLOOKUP(H5894,TABLEITEM,5,FALSE),"")</f>
        <v>KG.</v>
      </c>
      <c r="K5894" s="12">
        <v>139.0</v>
      </c>
      <c r="L5894" s="13" t="str">
        <f>IF(D5894&lt;&gt;"",VLOOKUP(H5894,TABLEITEM,2,FALSE),"")</f>
        <v/>
      </c>
      <c r="M5894" s="13" t="str">
        <f>IF(D5894&lt;&gt;"",VLOOKUP(H5894,TABLEITEM,3,FALSE),"")</f>
        <v>สีฝุ่น ครีมเรียบ 1204551PX20</v>
      </c>
      <c r="N5894" s="14">
        <f>INSTOCK!$I5894*INSTOCK!$K5894</f>
        <v>69500</v>
      </c>
      <c r="O5894" s="4"/>
      <c r="P5894" s="4"/>
    </row>
    <row r="5895" ht="15.75" customHeight="1">
      <c r="B5895" s="8">
        <v>6219.0</v>
      </c>
      <c r="C5895" s="9">
        <v>43755.0</v>
      </c>
      <c r="D5895" s="6" t="s">
        <v>6949</v>
      </c>
      <c r="E5895" s="4"/>
      <c r="F5895" s="8"/>
      <c r="G5895" s="4" t="s">
        <v>6950</v>
      </c>
      <c r="H5895" s="10" t="s">
        <v>2583</v>
      </c>
      <c r="I5895" s="10">
        <v>1.0</v>
      </c>
      <c r="J5895" s="11" t="str">
        <f>IF(D5895&lt;&gt;"",VLOOKUP(H5895,TABLEITEM,5,FALSE),"")</f>
        <v>EA</v>
      </c>
      <c r="K5895" s="12">
        <v>2400.0</v>
      </c>
      <c r="L5895" s="13" t="str">
        <f>IF(D5895&lt;&gt;"",VLOOKUP(H5895,TABLEITEM,2,FALSE),"")</f>
        <v/>
      </c>
      <c r="M5895" s="13" t="str">
        <f>IF(D5895&lt;&gt;"",VLOOKUP(H5895,TABLEITEM,3,FALSE),"")</f>
        <v>ป้ายไวนิล</v>
      </c>
      <c r="N5895" s="14">
        <f>INSTOCK!$I5895*INSTOCK!$K5895</f>
        <v>2400</v>
      </c>
      <c r="O5895" s="4"/>
      <c r="P5895" s="4"/>
    </row>
    <row r="5896" ht="15.75" customHeight="1">
      <c r="B5896" s="8">
        <v>6220.0</v>
      </c>
      <c r="C5896" s="9">
        <v>43755.0</v>
      </c>
      <c r="D5896" s="6">
        <v>6.21000668E8</v>
      </c>
      <c r="E5896" s="4">
        <v>6.21000153E9</v>
      </c>
      <c r="F5896" s="8" t="s">
        <v>604</v>
      </c>
      <c r="G5896" s="4" t="s">
        <v>1777</v>
      </c>
      <c r="H5896" s="10" t="s">
        <v>4165</v>
      </c>
      <c r="I5896" s="10">
        <v>500.0</v>
      </c>
      <c r="J5896" s="11" t="str">
        <f>IF(D5896&lt;&gt;"",VLOOKUP(H5896,TABLEITEM,5,FALSE),"")</f>
        <v>EA</v>
      </c>
      <c r="K5896" s="12">
        <v>1.0075</v>
      </c>
      <c r="L5896" s="13" t="str">
        <f>IF(D5896&lt;&gt;"",VLOOKUP(H5896,TABLEITEM,2,FALSE),"")</f>
        <v/>
      </c>
      <c r="M5896" s="13" t="str">
        <f>IF(D5896&lt;&gt;"",VLOOKUP(H5896,TABLEITEM,3,FALSE),"")</f>
        <v>สกรูหัวเหลี่ยมชุบขาว M8x30</v>
      </c>
      <c r="N5896" s="14">
        <f>INSTOCK!$I5896*INSTOCK!$K5896</f>
        <v>503.75</v>
      </c>
      <c r="O5896" s="4" t="s">
        <v>4166</v>
      </c>
      <c r="P5896" s="4"/>
    </row>
    <row r="5897" ht="15.75" customHeight="1">
      <c r="B5897" s="8"/>
      <c r="C5897" s="9">
        <v>43756.0</v>
      </c>
      <c r="D5897" s="6">
        <v>6.21000668E8</v>
      </c>
      <c r="E5897" s="4">
        <v>6.21000153E9</v>
      </c>
      <c r="F5897" s="8" t="s">
        <v>604</v>
      </c>
      <c r="G5897" s="4" t="s">
        <v>1777</v>
      </c>
      <c r="H5897" s="10" t="s">
        <v>2092</v>
      </c>
      <c r="I5897" s="10">
        <v>1000.0</v>
      </c>
      <c r="J5897" s="11" t="str">
        <f>IF(D5897&lt;&gt;"",VLOOKUP(H5897,TABLEITEM,5,FALSE),"")</f>
        <v>EA</v>
      </c>
      <c r="K5897" s="12">
        <v>1.846</v>
      </c>
      <c r="L5897" s="13" t="str">
        <f>IF(D5897&lt;&gt;"",VLOOKUP(H5897,TABLEITEM,2,FALSE),"")</f>
        <v/>
      </c>
      <c r="M5897" s="13" t="str">
        <f>IF(D5897&lt;&gt;"",VLOOKUP(H5897,TABLEITEM,3,FALSE),"")</f>
        <v>สกรูหัวเหลี่ยมชุบขาว M10x35</v>
      </c>
      <c r="N5897" s="14">
        <f>INSTOCK!$I5897*INSTOCK!$K5897</f>
        <v>1846</v>
      </c>
      <c r="O5897" s="4" t="s">
        <v>2093</v>
      </c>
      <c r="P5897" s="4"/>
    </row>
    <row r="5898" ht="15.75" customHeight="1">
      <c r="B5898" s="8"/>
      <c r="C5898" s="9">
        <v>43757.0</v>
      </c>
      <c r="D5898" s="6">
        <v>6.21000668E8</v>
      </c>
      <c r="E5898" s="4">
        <v>6.21000153E9</v>
      </c>
      <c r="F5898" s="8" t="s">
        <v>604</v>
      </c>
      <c r="G5898" s="4" t="s">
        <v>1777</v>
      </c>
      <c r="H5898" s="10" t="s">
        <v>2106</v>
      </c>
      <c r="I5898" s="10">
        <v>500.0</v>
      </c>
      <c r="J5898" s="11" t="str">
        <f>IF(D5898&lt;&gt;"",VLOOKUP(H5898,TABLEITEM,5,FALSE),"")</f>
        <v>EA</v>
      </c>
      <c r="K5898" s="12">
        <v>2.86</v>
      </c>
      <c r="L5898" s="13" t="str">
        <f>IF(D5898&lt;&gt;"",VLOOKUP(H5898,TABLEITEM,2,FALSE),"")</f>
        <v/>
      </c>
      <c r="M5898" s="13" t="str">
        <f>IF(D5898&lt;&gt;"",VLOOKUP(H5898,TABLEITEM,3,FALSE),"")</f>
        <v>สกรูหัวเหลี่ยมชุบขาว M12x40</v>
      </c>
      <c r="N5898" s="14">
        <f>INSTOCK!$I5898*INSTOCK!$K5898</f>
        <v>1430</v>
      </c>
      <c r="O5898" s="4" t="s">
        <v>2107</v>
      </c>
      <c r="P5898" s="4"/>
    </row>
    <row r="5899" ht="15.75" customHeight="1">
      <c r="B5899" s="8"/>
      <c r="C5899" s="9">
        <v>43758.0</v>
      </c>
      <c r="D5899" s="6">
        <v>6.21000668E8</v>
      </c>
      <c r="E5899" s="4">
        <v>6.21000153E9</v>
      </c>
      <c r="F5899" s="8" t="s">
        <v>604</v>
      </c>
      <c r="G5899" s="4" t="s">
        <v>1777</v>
      </c>
      <c r="H5899" s="10" t="s">
        <v>2094</v>
      </c>
      <c r="I5899" s="10">
        <v>470.0</v>
      </c>
      <c r="J5899" s="11" t="str">
        <f>IF(D5899&lt;&gt;"",VLOOKUP(H5899,TABLEITEM,5,FALSE),"")</f>
        <v>EA</v>
      </c>
      <c r="K5899" s="12">
        <v>0.75</v>
      </c>
      <c r="L5899" s="13" t="str">
        <f>IF(D5899&lt;&gt;"",VLOOKUP(H5899,TABLEITEM,2,FALSE),"")</f>
        <v/>
      </c>
      <c r="M5899" s="13" t="str">
        <f>IF(D5899&lt;&gt;"",VLOOKUP(H5899,TABLEITEM,3,FALSE),"")</f>
        <v>หัวน้อต       M10   ชุบขาว</v>
      </c>
      <c r="N5899" s="14">
        <f>INSTOCK!$I5899*INSTOCK!$K5899</f>
        <v>352.5</v>
      </c>
      <c r="O5899" s="4" t="s">
        <v>2095</v>
      </c>
      <c r="P5899" s="4"/>
    </row>
    <row r="5900" ht="15.75" customHeight="1">
      <c r="B5900" s="8"/>
      <c r="C5900" s="9">
        <v>43759.0</v>
      </c>
      <c r="D5900" s="6">
        <v>6.21000668E8</v>
      </c>
      <c r="E5900" s="4">
        <v>6.21000153E9</v>
      </c>
      <c r="F5900" s="8" t="s">
        <v>604</v>
      </c>
      <c r="G5900" s="4" t="s">
        <v>1777</v>
      </c>
      <c r="H5900" s="10" t="s">
        <v>2876</v>
      </c>
      <c r="I5900" s="10">
        <v>4000.0</v>
      </c>
      <c r="J5900" s="11" t="str">
        <f>IF(D5900&lt;&gt;"",VLOOKUP(H5900,TABLEITEM,5,FALSE),"")</f>
        <v>EA</v>
      </c>
      <c r="K5900" s="12">
        <v>0.1704</v>
      </c>
      <c r="L5900" s="13" t="str">
        <f>IF(D5900&lt;&gt;"",VLOOKUP(H5900,TABLEITEM,2,FALSE),"")</f>
        <v/>
      </c>
      <c r="M5900" s="13" t="str">
        <f>IF(D5900&lt;&gt;"",VLOOKUP(H5900,TABLEITEM,3,FALSE),"")</f>
        <v>สกรูหัวหมวก  M5x12</v>
      </c>
      <c r="N5900" s="14">
        <f>INSTOCK!$I5900*INSTOCK!$K5900</f>
        <v>681.6</v>
      </c>
      <c r="O5900" s="4" t="s">
        <v>6250</v>
      </c>
      <c r="P5900" s="4"/>
    </row>
    <row r="5901" ht="15.75" customHeight="1">
      <c r="B5901" s="8"/>
      <c r="C5901" s="9">
        <v>43760.0</v>
      </c>
      <c r="D5901" s="6">
        <v>6.21000668E8</v>
      </c>
      <c r="E5901" s="4">
        <v>6.21000153E9</v>
      </c>
      <c r="F5901" s="8" t="s">
        <v>604</v>
      </c>
      <c r="G5901" s="4" t="s">
        <v>1777</v>
      </c>
      <c r="H5901" s="10" t="s">
        <v>2400</v>
      </c>
      <c r="I5901" s="10">
        <v>3000.0</v>
      </c>
      <c r="J5901" s="11" t="str">
        <f>IF(D5901&lt;&gt;"",VLOOKUP(H5901,TABLEITEM,5,FALSE),"")</f>
        <v>EA</v>
      </c>
      <c r="K5901" s="12">
        <v>0.216</v>
      </c>
      <c r="L5901" s="13" t="str">
        <f>IF(D5901&lt;&gt;"",VLOOKUP(H5901,TABLEITEM,2,FALSE),"")</f>
        <v/>
      </c>
      <c r="M5901" s="13" t="str">
        <f>IF(D5901&lt;&gt;"",VLOOKUP(H5901,TABLEITEM,3,FALSE),"")</f>
        <v>สกรูหัวหมวก  M6x10</v>
      </c>
      <c r="N5901" s="14">
        <f>INSTOCK!$I5901*INSTOCK!$K5901</f>
        <v>648</v>
      </c>
      <c r="O5901" s="4" t="s">
        <v>2401</v>
      </c>
      <c r="P5901" s="4"/>
    </row>
    <row r="5902" ht="15.75" customHeight="1">
      <c r="B5902" s="8"/>
      <c r="C5902" s="9">
        <v>43761.0</v>
      </c>
      <c r="D5902" s="6">
        <v>6.21000668E8</v>
      </c>
      <c r="E5902" s="4">
        <v>6.21000153E9</v>
      </c>
      <c r="F5902" s="8" t="s">
        <v>604</v>
      </c>
      <c r="G5902" s="4" t="s">
        <v>1777</v>
      </c>
      <c r="H5902" s="10" t="s">
        <v>2084</v>
      </c>
      <c r="I5902" s="10">
        <v>8000.0</v>
      </c>
      <c r="J5902" s="11" t="str">
        <f>IF(D5902&lt;&gt;"",VLOOKUP(H5902,TABLEITEM,5,FALSE),"")</f>
        <v>EA</v>
      </c>
      <c r="K5902" s="12">
        <v>0.24</v>
      </c>
      <c r="L5902" s="13" t="str">
        <f>IF(D5902&lt;&gt;"",VLOOKUP(H5902,TABLEITEM,2,FALSE),"")</f>
        <v/>
      </c>
      <c r="M5902" s="13" t="str">
        <f>IF(D5902&lt;&gt;"",VLOOKUP(H5902,TABLEITEM,3,FALSE),"")</f>
        <v>ติดจาน M5</v>
      </c>
      <c r="N5902" s="14">
        <f>INSTOCK!$I5902*INSTOCK!$K5902</f>
        <v>1920</v>
      </c>
      <c r="O5902" s="4" t="s">
        <v>6248</v>
      </c>
      <c r="P5902" s="4"/>
    </row>
    <row r="5903" ht="15.75" customHeight="1">
      <c r="B5903" s="8"/>
      <c r="C5903" s="9">
        <v>43762.0</v>
      </c>
      <c r="D5903" s="6">
        <v>6.21000668E8</v>
      </c>
      <c r="E5903" s="4">
        <v>6.21000153E9</v>
      </c>
      <c r="F5903" s="8" t="s">
        <v>604</v>
      </c>
      <c r="G5903" s="4" t="s">
        <v>1777</v>
      </c>
      <c r="H5903" s="10" t="s">
        <v>2420</v>
      </c>
      <c r="I5903" s="10">
        <v>1000.0</v>
      </c>
      <c r="J5903" s="11" t="str">
        <f>IF(D5903&lt;&gt;"",VLOOKUP(H5903,TABLEITEM,5,FALSE),"")</f>
        <v>EA</v>
      </c>
      <c r="K5903" s="12">
        <v>2.145</v>
      </c>
      <c r="L5903" s="13" t="str">
        <f>IF(D5903&lt;&gt;"",VLOOKUP(H5903,TABLEITEM,2,FALSE),"")</f>
        <v/>
      </c>
      <c r="M5903" s="13" t="str">
        <f>IF(D5903&lt;&gt;"",VLOOKUP(H5903,TABLEITEM,3,FALSE),"")</f>
        <v>สกรูหัวเหลี่ยมชุบขาว M10x40</v>
      </c>
      <c r="N5903" s="14">
        <f>INSTOCK!$I5903*INSTOCK!$K5903</f>
        <v>2145</v>
      </c>
      <c r="O5903" s="4" t="s">
        <v>2421</v>
      </c>
      <c r="P5903" s="4"/>
    </row>
    <row r="5904" ht="15.75" customHeight="1">
      <c r="B5904" s="8"/>
      <c r="C5904" s="9">
        <v>43757.0</v>
      </c>
      <c r="D5904" s="6" t="s">
        <v>6951</v>
      </c>
      <c r="E5904" s="26"/>
      <c r="F5904" s="8" t="s">
        <v>6952</v>
      </c>
      <c r="G5904" s="26" t="s">
        <v>3029</v>
      </c>
      <c r="H5904" s="18" t="s">
        <v>3030</v>
      </c>
      <c r="I5904" s="18">
        <v>1.0</v>
      </c>
      <c r="J5904" s="11" t="str">
        <f>IF(D5904&lt;&gt;"",VLOOKUP(H5904,TABLEITEM,5,FALSE),"")</f>
        <v>LOT</v>
      </c>
      <c r="K5904" s="17">
        <v>833.8</v>
      </c>
      <c r="L5904" s="13" t="str">
        <f>IF(D5904&lt;&gt;"",VLOOKUP(H5904,TABLEITEM,2,FALSE),"")</f>
        <v/>
      </c>
      <c r="M5904" s="13" t="str">
        <f>IF(D5904&lt;&gt;"",VLOOKUP(H5904,TABLEITEM,3,FALSE),"")</f>
        <v>ค่าชุบ ดีบุกเงา</v>
      </c>
      <c r="N5904" s="14">
        <f>INSTOCK!$I5904*INSTOCK!$K5904</f>
        <v>833.8</v>
      </c>
      <c r="O5904" s="26"/>
      <c r="P5904" s="26"/>
    </row>
    <row r="5905" ht="15.75" customHeight="1">
      <c r="B5905" s="8"/>
      <c r="C5905" s="9">
        <v>43756.0</v>
      </c>
      <c r="D5905" s="6" t="s">
        <v>6953</v>
      </c>
      <c r="E5905" s="26">
        <v>6.210001542E9</v>
      </c>
      <c r="F5905" s="8" t="s">
        <v>6954</v>
      </c>
      <c r="G5905" s="26" t="s">
        <v>965</v>
      </c>
      <c r="H5905" s="18" t="s">
        <v>2151</v>
      </c>
      <c r="I5905" s="18">
        <v>1.0</v>
      </c>
      <c r="J5905" s="11" t="str">
        <f>IF(D5905&lt;&gt;"",VLOOKUP(H5905,TABLEITEM,5,FALSE),"")</f>
        <v>EA</v>
      </c>
      <c r="K5905" s="17">
        <v>1450.0</v>
      </c>
      <c r="L5905" s="13" t="str">
        <f>IF(D5905&lt;&gt;"",VLOOKUP(H5905,TABLEITEM,2,FALSE),"")</f>
        <v/>
      </c>
      <c r="M5905" s="13" t="str">
        <f>IF(D5905&lt;&gt;"",VLOOKUP(H5905,TABLEITEM,3,FALSE),"")</f>
        <v>เครื่องเจียร์ 7-100 BOSCH</v>
      </c>
      <c r="N5905" s="14">
        <f>INSTOCK!$I5905*INSTOCK!$K5905</f>
        <v>1450</v>
      </c>
      <c r="O5905" s="26"/>
      <c r="P5905" s="26"/>
    </row>
    <row r="5906" ht="15.75" customHeight="1">
      <c r="B5906" s="8"/>
      <c r="C5906" s="9">
        <v>43756.0</v>
      </c>
      <c r="D5906" s="6" t="s">
        <v>6955</v>
      </c>
      <c r="E5906" s="26">
        <v>6.210001536E9</v>
      </c>
      <c r="F5906" s="8" t="s">
        <v>604</v>
      </c>
      <c r="G5906" s="26" t="s">
        <v>725</v>
      </c>
      <c r="H5906" s="18" t="s">
        <v>726</v>
      </c>
      <c r="I5906" s="18">
        <v>500.0</v>
      </c>
      <c r="J5906" s="11" t="str">
        <f>IF(D5906&lt;&gt;"",VLOOKUP(H5906,TABLEITEM,5,FALSE),"")</f>
        <v>M</v>
      </c>
      <c r="K5906" s="17">
        <v>10.0</v>
      </c>
      <c r="L5906" s="13" t="str">
        <f>IF(D5906&lt;&gt;"",VLOOKUP(H5906,TABLEITEM,2,FALSE),"")</f>
        <v/>
      </c>
      <c r="M5906" s="13" t="str">
        <f>IF(D5906&lt;&gt;"",VLOOKUP(H5906,TABLEITEM,3,FALSE),"")</f>
        <v>ยางกันบาดร่อง 10มิล</v>
      </c>
      <c r="N5906" s="14">
        <f>INSTOCK!$I5906*INSTOCK!$K5906</f>
        <v>5000</v>
      </c>
      <c r="O5906" s="26"/>
      <c r="P5906" s="26"/>
    </row>
    <row r="5907" ht="15.75" customHeight="1">
      <c r="B5907" s="8"/>
      <c r="C5907" s="9">
        <v>43755.0</v>
      </c>
      <c r="D5907" s="6" t="s">
        <v>6956</v>
      </c>
      <c r="E5907" s="26">
        <v>6.210001537E9</v>
      </c>
      <c r="F5907" s="8" t="s">
        <v>604</v>
      </c>
      <c r="G5907" s="26" t="s">
        <v>1904</v>
      </c>
      <c r="H5907" s="18" t="s">
        <v>2717</v>
      </c>
      <c r="I5907" s="18">
        <v>10.0</v>
      </c>
      <c r="J5907" s="11" t="str">
        <f>IF(D5907&lt;&gt;"",VLOOKUP(H5907,TABLEITEM,5,FALSE),"")</f>
        <v>M</v>
      </c>
      <c r="K5907" s="17">
        <v>247.5</v>
      </c>
      <c r="L5907" s="13" t="str">
        <f>IF(D5907&lt;&gt;"",VLOOKUP(H5907,TABLEITEM,2,FALSE),"")</f>
        <v/>
      </c>
      <c r="M5907" s="13" t="str">
        <f>IF(D5907&lt;&gt;"",VLOOKUP(H5907,TABLEITEM,3,FALSE),"")</f>
        <v>RIBBON LM-IR300B 1/50M</v>
      </c>
      <c r="N5907" s="14">
        <f>INSTOCK!$I5907*INSTOCK!$K5907</f>
        <v>2475</v>
      </c>
      <c r="O5907" s="26" t="s">
        <v>2718</v>
      </c>
      <c r="P5907" s="26"/>
    </row>
    <row r="5908" ht="15.75" customHeight="1">
      <c r="B5908" s="8"/>
      <c r="C5908" s="9">
        <v>43755.0</v>
      </c>
      <c r="D5908" s="6">
        <v>6.21005301E8</v>
      </c>
      <c r="E5908" s="26">
        <v>6.210001524E9</v>
      </c>
      <c r="F5908" s="8" t="s">
        <v>604</v>
      </c>
      <c r="G5908" s="26" t="s">
        <v>1130</v>
      </c>
      <c r="H5908" s="18" t="s">
        <v>245</v>
      </c>
      <c r="I5908" s="18">
        <v>7500.0</v>
      </c>
      <c r="J5908" s="11" t="str">
        <f>IF(D5908&lt;&gt;"",VLOOKUP(H5908,TABLEITEM,5,FALSE),"")</f>
        <v>EA</v>
      </c>
      <c r="K5908" s="17">
        <v>0.6174</v>
      </c>
      <c r="L5908" s="13" t="str">
        <f>IF(D5908&lt;&gt;"",VLOOKUP(H5908,TABLEITEM,2,FALSE),"")</f>
        <v/>
      </c>
      <c r="M5908" s="13" t="str">
        <f>IF(D5908&lt;&gt;"",VLOOKUP(H5908,TABLEITEM,3,FALSE),"")</f>
        <v>หางปลาแฉกเปลือย Y1.5-3S</v>
      </c>
      <c r="N5908" s="14">
        <f>INSTOCK!$I5908*INSTOCK!$K5908</f>
        <v>4630.5</v>
      </c>
      <c r="O5908" s="26" t="s">
        <v>6665</v>
      </c>
      <c r="P5908" s="26"/>
    </row>
    <row r="5909" ht="15.75" customHeight="1">
      <c r="B5909" s="8"/>
      <c r="C5909" s="9">
        <v>43759.0</v>
      </c>
      <c r="D5909" s="6" t="s">
        <v>6957</v>
      </c>
      <c r="E5909" s="26"/>
      <c r="F5909" s="8" t="s">
        <v>6958</v>
      </c>
      <c r="G5909" s="26" t="s">
        <v>898</v>
      </c>
      <c r="H5909" s="18" t="s">
        <v>899</v>
      </c>
      <c r="I5909" s="18">
        <v>1.0</v>
      </c>
      <c r="J5909" s="11" t="str">
        <f>IF(D5909&lt;&gt;"",VLOOKUP(H5909,TABLEITEM,5,FALSE),"")</f>
        <v>LIT</v>
      </c>
      <c r="K5909" s="17">
        <v>380.0</v>
      </c>
      <c r="L5909" s="13" t="str">
        <f>IF(D5909&lt;&gt;"",VLOOKUP(H5909,TABLEITEM,2,FALSE),"")</f>
        <v/>
      </c>
      <c r="M5909" s="13" t="str">
        <f>IF(D5909&lt;&gt;"",VLOOKUP(H5909,TABLEITEM,3,FALSE),"")</f>
        <v>สีพ่นแห้งเร็ว(สีผสม)</v>
      </c>
      <c r="N5909" s="14">
        <f>INSTOCK!$I5909*INSTOCK!$K5909</f>
        <v>380</v>
      </c>
      <c r="O5909" s="26" t="s">
        <v>6959</v>
      </c>
      <c r="P5909" s="26"/>
    </row>
    <row r="5910" ht="15.75" customHeight="1">
      <c r="B5910" s="8"/>
      <c r="C5910" s="9">
        <v>43759.0</v>
      </c>
      <c r="D5910" s="6" t="s">
        <v>6960</v>
      </c>
      <c r="E5910" s="26">
        <v>6.210001552E9</v>
      </c>
      <c r="F5910" s="8" t="s">
        <v>6961</v>
      </c>
      <c r="G5910" s="26" t="s">
        <v>1258</v>
      </c>
      <c r="H5910" s="18" t="s">
        <v>1259</v>
      </c>
      <c r="I5910" s="18">
        <v>40.0</v>
      </c>
      <c r="J5910" s="11" t="str">
        <f>IF(D5910&lt;&gt;"",VLOOKUP(H5910,TABLEITEM,5,FALSE),"")</f>
        <v>KG.</v>
      </c>
      <c r="K5910" s="17">
        <v>130.0</v>
      </c>
      <c r="L5910" s="13" t="str">
        <f>IF(D5910&lt;&gt;"",VLOOKUP(H5910,TABLEITEM,2,FALSE),"")</f>
        <v/>
      </c>
      <c r="M5910" s="13" t="str">
        <f>IF(D5910&lt;&gt;"",VLOOKUP(H5910,TABLEITEM,3,FALSE),"")</f>
        <v>สีฝุ่น HB 45206 M BLACK MATT</v>
      </c>
      <c r="N5910" s="14">
        <f>INSTOCK!$I5910*INSTOCK!$K5910</f>
        <v>5200</v>
      </c>
      <c r="O5910" s="26"/>
      <c r="P5910" s="26"/>
    </row>
    <row r="5911" ht="15.75" customHeight="1">
      <c r="B5911" s="8"/>
      <c r="C5911" s="9">
        <v>43759.0</v>
      </c>
      <c r="D5911" s="6" t="s">
        <v>6962</v>
      </c>
      <c r="E5911" s="26">
        <v>6.210001551E9</v>
      </c>
      <c r="F5911" s="8" t="s">
        <v>6958</v>
      </c>
      <c r="G5911" s="26" t="s">
        <v>702</v>
      </c>
      <c r="H5911" s="18" t="s">
        <v>779</v>
      </c>
      <c r="I5911" s="18">
        <v>60.0</v>
      </c>
      <c r="J5911" s="11" t="str">
        <f>IF(D5911&lt;&gt;"",VLOOKUP(H5911,TABLEITEM,5,FALSE),"")</f>
        <v>KG.</v>
      </c>
      <c r="K5911" s="17">
        <v>130.0</v>
      </c>
      <c r="L5911" s="13" t="str">
        <f>IF(D5911&lt;&gt;"",VLOOKUP(H5911,TABLEITEM,2,FALSE),"")</f>
        <v/>
      </c>
      <c r="M5911" s="13" t="str">
        <f>IF(D5911&lt;&gt;"",VLOOKUP(H5911,TABLEITEM,3,FALSE),"")</f>
        <v>สีฝุ่น FF110/948/C สีครีม</v>
      </c>
      <c r="N5911" s="14">
        <f>INSTOCK!$I5911*INSTOCK!$K5911</f>
        <v>7800</v>
      </c>
      <c r="O5911" s="26"/>
      <c r="P5911" s="26"/>
    </row>
    <row r="5912" ht="15.75" customHeight="1">
      <c r="B5912" s="8"/>
      <c r="C5912" s="9">
        <v>43757.0</v>
      </c>
      <c r="D5912" s="6" t="s">
        <v>6963</v>
      </c>
      <c r="E5912" s="26">
        <v>6.210001545E9</v>
      </c>
      <c r="F5912" s="8" t="s">
        <v>604</v>
      </c>
      <c r="G5912" s="26" t="s">
        <v>721</v>
      </c>
      <c r="H5912" s="18" t="s">
        <v>205</v>
      </c>
      <c r="I5912" s="18">
        <v>30.0</v>
      </c>
      <c r="J5912" s="11" t="str">
        <f>IF(D5912&lt;&gt;"",VLOOKUP(H5912,TABLEITEM,5,FALSE),"")</f>
        <v>EA</v>
      </c>
      <c r="K5912" s="17">
        <v>157.14</v>
      </c>
      <c r="L5912" s="13" t="str">
        <f>IF(D5912&lt;&gt;"",VLOOKUP(H5912,TABLEITEM,2,FALSE),"")</f>
        <v/>
      </c>
      <c r="M5912" s="13" t="str">
        <f>IF(D5912&lt;&gt;"",VLOOKUP(H5912,TABLEITEM,3,FALSE),"")</f>
        <v>รางวายดัก/รางPVC 33x65 mm.</v>
      </c>
      <c r="N5912" s="14">
        <f>INSTOCK!$I5912*INSTOCK!$K5912</f>
        <v>4714.2</v>
      </c>
      <c r="O5912" s="26" t="s">
        <v>5788</v>
      </c>
      <c r="P5912" s="26"/>
    </row>
    <row r="5913" ht="15.75" customHeight="1">
      <c r="B5913" s="8"/>
      <c r="C5913" s="9">
        <v>43757.0</v>
      </c>
      <c r="D5913" s="6" t="s">
        <v>6964</v>
      </c>
      <c r="E5913" s="26">
        <v>6.210001548E9</v>
      </c>
      <c r="F5913" s="8" t="s">
        <v>6965</v>
      </c>
      <c r="G5913" s="26" t="s">
        <v>729</v>
      </c>
      <c r="H5913" s="18" t="s">
        <v>6966</v>
      </c>
      <c r="I5913" s="18">
        <v>50.0</v>
      </c>
      <c r="J5913" s="11" t="str">
        <f>IF(D5913&lt;&gt;"",VLOOKUP(H5913,TABLEITEM,5,FALSE),"")</f>
        <v>M</v>
      </c>
      <c r="K5913" s="17">
        <v>36.0</v>
      </c>
      <c r="L5913" s="13" t="str">
        <f>IF(D5913&lt;&gt;"",VLOOKUP(H5913,TABLEITEM,2,FALSE),"")</f>
        <v/>
      </c>
      <c r="M5913" s="13" t="str">
        <f>IF(D5913&lt;&gt;"",VLOOKUP(H5913,TABLEITEM,3,FALSE),"")</f>
        <v>ยางขอบกระจกพร้อมใส้</v>
      </c>
      <c r="N5913" s="14">
        <f>INSTOCK!$I5913*INSTOCK!$K5913</f>
        <v>1800</v>
      </c>
      <c r="O5913" s="26"/>
      <c r="P5913" s="26"/>
    </row>
    <row r="5914" ht="15.75" customHeight="1">
      <c r="B5914" s="8"/>
      <c r="C5914" s="9">
        <v>43759.0</v>
      </c>
      <c r="D5914" s="6" t="s">
        <v>6967</v>
      </c>
      <c r="E5914" s="26">
        <v>6.210001544E9</v>
      </c>
      <c r="F5914" s="8" t="s">
        <v>604</v>
      </c>
      <c r="G5914" s="26" t="s">
        <v>743</v>
      </c>
      <c r="H5914" s="18" t="s">
        <v>73</v>
      </c>
      <c r="I5914" s="18">
        <v>500.0</v>
      </c>
      <c r="J5914" s="11" t="str">
        <f>IF(D5914&lt;&gt;"",VLOOKUP(H5914,TABLEITEM,5,FALSE),"")</f>
        <v>KG.</v>
      </c>
      <c r="K5914" s="17">
        <v>99.85</v>
      </c>
      <c r="L5914" s="13" t="str">
        <f>IF(D5914&lt;&gt;"",VLOOKUP(H5914,TABLEITEM,2,FALSE),"")</f>
        <v/>
      </c>
      <c r="M5914" s="13" t="str">
        <f>IF(D5914&lt;&gt;"",VLOOKUP(H5914,TABLEITEM,3,FALSE),"")</f>
        <v>สีฝุ่น สีครีมย่น 1002782PX20</v>
      </c>
      <c r="N5914" s="14">
        <f>INSTOCK!$I5914*INSTOCK!$K5914</f>
        <v>49925</v>
      </c>
      <c r="O5914" s="26"/>
      <c r="P5914" s="26"/>
    </row>
    <row r="5915" ht="15.75" customHeight="1">
      <c r="B5915" s="8"/>
      <c r="C5915" s="9">
        <v>43760.0</v>
      </c>
      <c r="D5915" s="6" t="s">
        <v>6968</v>
      </c>
      <c r="E5915" s="26">
        <v>6.210001545E9</v>
      </c>
      <c r="F5915" s="8" t="s">
        <v>604</v>
      </c>
      <c r="G5915" s="26" t="s">
        <v>743</v>
      </c>
      <c r="H5915" s="10" t="s">
        <v>75</v>
      </c>
      <c r="I5915" s="10">
        <v>200.0</v>
      </c>
      <c r="J5915" s="11" t="str">
        <f>IF(D5915&lt;&gt;"",VLOOKUP(H5915,TABLEITEM,5,FALSE),"")</f>
        <v>KG.</v>
      </c>
      <c r="K5915" s="12">
        <v>149.35</v>
      </c>
      <c r="L5915" s="13" t="str">
        <f>IF(D5915&lt;&gt;"",VLOOKUP(H5915,TABLEITEM,2,FALSE),"")</f>
        <v/>
      </c>
      <c r="M5915" s="13" t="str">
        <f>IF(D5915&lt;&gt;"",VLOOKUP(H5915,TABLEITEM,3,FALSE),"")</f>
        <v>สีฝุ่น สีครีมย่น 1002735PX20</v>
      </c>
      <c r="N5915" s="14">
        <f>INSTOCK!$I5915*INSTOCK!$K5915</f>
        <v>29870</v>
      </c>
      <c r="O5915" s="4"/>
      <c r="P5915" s="4"/>
    </row>
    <row r="5916" ht="15.75" customHeight="1">
      <c r="B5916" s="8"/>
      <c r="C5916" s="9">
        <v>43757.0</v>
      </c>
      <c r="D5916" s="6" t="s">
        <v>6931</v>
      </c>
      <c r="E5916" s="26">
        <v>6.210001546E9</v>
      </c>
      <c r="F5916" s="8" t="s">
        <v>604</v>
      </c>
      <c r="G5916" s="26" t="s">
        <v>729</v>
      </c>
      <c r="H5916" s="18" t="s">
        <v>27</v>
      </c>
      <c r="I5916" s="18">
        <v>500.0</v>
      </c>
      <c r="J5916" s="11" t="str">
        <f>IF(D5916&lt;&gt;"",VLOOKUP(H5916,TABLEITEM,5,FALSE),"")</f>
        <v>M</v>
      </c>
      <c r="K5916" s="17">
        <v>12.0</v>
      </c>
      <c r="L5916" s="13" t="str">
        <f>IF(D5916&lt;&gt;"",VLOOKUP(H5916,TABLEITEM,2,FALSE),"")</f>
        <v/>
      </c>
      <c r="M5916" s="13" t="str">
        <f>IF(D5916&lt;&gt;"",VLOOKUP(H5916,TABLEITEM,3,FALSE),"")</f>
        <v>ยางฟองน้ำ 3/4''x3/16''</v>
      </c>
      <c r="N5916" s="14">
        <f>INSTOCK!$I5916*INSTOCK!$K5916</f>
        <v>6000</v>
      </c>
      <c r="O5916" s="26"/>
      <c r="P5916" s="26"/>
    </row>
    <row r="5917" ht="15.75" customHeight="1">
      <c r="B5917" s="8"/>
      <c r="C5917" s="9">
        <v>43759.0</v>
      </c>
      <c r="D5917" s="6" t="s">
        <v>6969</v>
      </c>
      <c r="E5917" s="26">
        <v>6.210001553E9</v>
      </c>
      <c r="F5917" s="8" t="s">
        <v>1383</v>
      </c>
      <c r="G5917" s="26" t="s">
        <v>1516</v>
      </c>
      <c r="H5917" s="18" t="s">
        <v>5974</v>
      </c>
      <c r="I5917" s="18">
        <v>1.0</v>
      </c>
      <c r="J5917" s="11" t="str">
        <f>IF(D5917&lt;&gt;"",VLOOKUP(H5917,TABLEITEM,5,FALSE),"")</f>
        <v>EA</v>
      </c>
      <c r="K5917" s="17">
        <v>806.4</v>
      </c>
      <c r="L5917" s="13" t="str">
        <f>IF(D5917&lt;&gt;"",VLOOKUP(H5917,TABLEITEM,2,FALSE),"")</f>
        <v/>
      </c>
      <c r="M5917" s="13" t="str">
        <f>IF(D5917&lt;&gt;"",VLOOKUP(H5917,TABLEITEM,3,FALSE),"")</f>
        <v>MCB IC60N 3P 40A </v>
      </c>
      <c r="N5917" s="14">
        <f>INSTOCK!$I5917*INSTOCK!$K5917</f>
        <v>806.4</v>
      </c>
      <c r="O5917" s="26" t="s">
        <v>3678</v>
      </c>
      <c r="P5917" s="26"/>
    </row>
    <row r="5918" ht="15.75" customHeight="1">
      <c r="B5918" s="8"/>
      <c r="C5918" s="9">
        <v>43759.0</v>
      </c>
      <c r="D5918" s="6" t="s">
        <v>6969</v>
      </c>
      <c r="E5918" s="26">
        <v>6.210001553E9</v>
      </c>
      <c r="F5918" s="8" t="s">
        <v>1383</v>
      </c>
      <c r="G5918" s="26" t="s">
        <v>1516</v>
      </c>
      <c r="H5918" s="10" t="s">
        <v>6970</v>
      </c>
      <c r="I5918" s="10">
        <v>1.0</v>
      </c>
      <c r="J5918" s="11" t="str">
        <f>IF(D5918&lt;&gt;"",VLOOKUP(H5918,TABLEITEM,5,FALSE),"")</f>
        <v>EA</v>
      </c>
      <c r="K5918" s="12">
        <v>806.4</v>
      </c>
      <c r="L5918" s="13" t="str">
        <f>IF(D5918&lt;&gt;"",VLOOKUP(H5918,TABLEITEM,2,FALSE),"")</f>
        <v/>
      </c>
      <c r="M5918" s="13" t="str">
        <f>IF(D5918&lt;&gt;"",VLOOKUP(H5918,TABLEITEM,3,FALSE),"")</f>
        <v>MCB IC60N 3P 25A </v>
      </c>
      <c r="N5918" s="14">
        <f>INSTOCK!$I5918*INSTOCK!$K5918</f>
        <v>806.4</v>
      </c>
      <c r="O5918" s="4" t="s">
        <v>3678</v>
      </c>
      <c r="P5918" s="4"/>
    </row>
    <row r="5919" ht="15.75" customHeight="1">
      <c r="B5919" s="8"/>
      <c r="C5919" s="9">
        <v>43759.0</v>
      </c>
      <c r="D5919" s="6" t="s">
        <v>6969</v>
      </c>
      <c r="E5919" s="26">
        <v>6.210001553E9</v>
      </c>
      <c r="F5919" s="8" t="s">
        <v>1383</v>
      </c>
      <c r="G5919" s="26" t="s">
        <v>1516</v>
      </c>
      <c r="H5919" s="10" t="s">
        <v>2821</v>
      </c>
      <c r="I5919" s="10">
        <v>4.0</v>
      </c>
      <c r="J5919" s="11" t="str">
        <f>IF(D5919&lt;&gt;"",VLOOKUP(H5919,TABLEITEM,5,FALSE),"")</f>
        <v>EA</v>
      </c>
      <c r="K5919" s="12">
        <v>139.68</v>
      </c>
      <c r="L5919" s="13" t="str">
        <f>IF(D5919&lt;&gt;"",VLOOKUP(H5919,TABLEITEM,2,FALSE),"")</f>
        <v/>
      </c>
      <c r="M5919" s="13" t="str">
        <f>IF(D5919&lt;&gt;"",VLOOKUP(H5919,TABLEITEM,3,FALSE),"")</f>
        <v>MCB IC60N 1P 20A C CURVE 10KA 400VAC</v>
      </c>
      <c r="N5919" s="14">
        <f>INSTOCK!$I5919*INSTOCK!$K5919</f>
        <v>558.72</v>
      </c>
      <c r="O5919" s="4" t="s">
        <v>6971</v>
      </c>
      <c r="P5919" s="4"/>
    </row>
    <row r="5920" ht="15.75" customHeight="1">
      <c r="B5920" s="8"/>
      <c r="C5920" s="9">
        <v>43759.0</v>
      </c>
      <c r="D5920" s="6" t="s">
        <v>6969</v>
      </c>
      <c r="E5920" s="26">
        <v>6.210001553E9</v>
      </c>
      <c r="F5920" s="8" t="s">
        <v>1383</v>
      </c>
      <c r="G5920" s="26" t="s">
        <v>1516</v>
      </c>
      <c r="H5920" s="10" t="s">
        <v>2818</v>
      </c>
      <c r="I5920" s="10">
        <v>4.0</v>
      </c>
      <c r="J5920" s="11" t="str">
        <f>IF(D5920&lt;&gt;"",VLOOKUP(H5920,TABLEITEM,5,FALSE),"")</f>
        <v>EA</v>
      </c>
      <c r="K5920" s="12">
        <v>139.68</v>
      </c>
      <c r="L5920" s="13" t="str">
        <f>IF(D5920&lt;&gt;"",VLOOKUP(H5920,TABLEITEM,2,FALSE),"")</f>
        <v/>
      </c>
      <c r="M5920" s="13" t="str">
        <f>IF(D5920&lt;&gt;"",VLOOKUP(H5920,TABLEITEM,3,FALSE),"")</f>
        <v>MCB IC60N 1P 10A C CURVE 10KA 400VAC</v>
      </c>
      <c r="N5920" s="14">
        <f>INSTOCK!$I5920*INSTOCK!$K5920</f>
        <v>558.72</v>
      </c>
      <c r="O5920" s="4" t="s">
        <v>6971</v>
      </c>
      <c r="P5920" s="4"/>
    </row>
    <row r="5921" ht="15.75" customHeight="1">
      <c r="B5921" s="8"/>
      <c r="C5921" s="9">
        <v>43759.0</v>
      </c>
      <c r="D5921" s="6" t="s">
        <v>6969</v>
      </c>
      <c r="E5921" s="26">
        <v>6.210001553E9</v>
      </c>
      <c r="F5921" s="8" t="s">
        <v>1383</v>
      </c>
      <c r="G5921" s="26" t="s">
        <v>1516</v>
      </c>
      <c r="H5921" s="10" t="s">
        <v>2820</v>
      </c>
      <c r="I5921" s="10">
        <v>2.0</v>
      </c>
      <c r="J5921" s="11" t="str">
        <f>IF(D5921&lt;&gt;"",VLOOKUP(H5921,TABLEITEM,5,FALSE),"")</f>
        <v>EA</v>
      </c>
      <c r="K5921" s="12">
        <v>139.68</v>
      </c>
      <c r="L5921" s="13" t="str">
        <f>IF(D5921&lt;&gt;"",VLOOKUP(H5921,TABLEITEM,2,FALSE),"")</f>
        <v/>
      </c>
      <c r="M5921" s="13" t="str">
        <f>IF(D5921&lt;&gt;"",VLOOKUP(H5921,TABLEITEM,3,FALSE),"")</f>
        <v>MCB IC60N 1P 16A C CURVE 10KA 400VAC</v>
      </c>
      <c r="N5921" s="14">
        <f>INSTOCK!$I5921*INSTOCK!$K5921</f>
        <v>279.36</v>
      </c>
      <c r="O5921" s="4" t="s">
        <v>6971</v>
      </c>
      <c r="P5921" s="4"/>
    </row>
    <row r="5922" ht="15.75" customHeight="1">
      <c r="B5922" s="8"/>
      <c r="C5922" s="9">
        <v>43759.0</v>
      </c>
      <c r="D5922" s="6" t="s">
        <v>6969</v>
      </c>
      <c r="E5922" s="26">
        <v>6.210001553E9</v>
      </c>
      <c r="F5922" s="8" t="s">
        <v>1383</v>
      </c>
      <c r="G5922" s="26" t="s">
        <v>1516</v>
      </c>
      <c r="H5922" s="10" t="s">
        <v>5970</v>
      </c>
      <c r="I5922" s="10">
        <v>1.0</v>
      </c>
      <c r="J5922" s="11" t="str">
        <f>IF(D5922&lt;&gt;"",VLOOKUP(H5922,TABLEITEM,5,FALSE),"")</f>
        <v>EA</v>
      </c>
      <c r="K5922" s="12">
        <v>547.2</v>
      </c>
      <c r="L5922" s="13" t="str">
        <f>IF(D5922&lt;&gt;"",VLOOKUP(H5922,TABLEITEM,2,FALSE),"")</f>
        <v/>
      </c>
      <c r="M5922" s="13" t="str">
        <f>IF(D5922&lt;&gt;"",VLOOKUP(H5922,TABLEITEM,3,FALSE),"")</f>
        <v>COMP BUSBAR 3P 100A 24MOD</v>
      </c>
      <c r="N5922" s="14">
        <f>INSTOCK!$I5922*INSTOCK!$K5922</f>
        <v>547.2</v>
      </c>
      <c r="O5922" s="4" t="s">
        <v>6972</v>
      </c>
      <c r="P5922" s="4"/>
    </row>
    <row r="5923" ht="15.75" customHeight="1">
      <c r="B5923" s="8"/>
      <c r="C5923" s="9">
        <v>43757.0</v>
      </c>
      <c r="D5923" s="6">
        <v>40815.0</v>
      </c>
      <c r="E5923" s="26"/>
      <c r="F5923" s="8" t="s">
        <v>6973</v>
      </c>
      <c r="G5923" s="26" t="s">
        <v>696</v>
      </c>
      <c r="H5923" s="18" t="s">
        <v>4066</v>
      </c>
      <c r="I5923" s="18">
        <v>3.0</v>
      </c>
      <c r="J5923" s="11" t="str">
        <f>IF(D5923&lt;&gt;"",VLOOKUP(H5923,TABLEITEM,5,FALSE),"")</f>
        <v>EA</v>
      </c>
      <c r="K5923" s="17">
        <v>3.0</v>
      </c>
      <c r="L5923" s="13" t="str">
        <f>IF(D5923&lt;&gt;"",VLOOKUP(H5923,TABLEITEM,2,FALSE),"")</f>
        <v/>
      </c>
      <c r="M5923" s="13" t="str">
        <f>IF(D5923&lt;&gt;"",VLOOKUP(H5923,TABLEITEM,3,FALSE),"")</f>
        <v>ต่อตรงเกลียวนอก 1/2"</v>
      </c>
      <c r="N5923" s="14">
        <f>INSTOCK!$I5923*INSTOCK!$K5923</f>
        <v>9</v>
      </c>
      <c r="O5923" s="26"/>
      <c r="P5923" s="26"/>
    </row>
    <row r="5924" ht="15.75" customHeight="1">
      <c r="B5924" s="8"/>
      <c r="C5924" s="9">
        <v>43758.0</v>
      </c>
      <c r="D5924" s="6">
        <v>40816.0</v>
      </c>
      <c r="E5924" s="26"/>
      <c r="F5924" s="8" t="s">
        <v>6973</v>
      </c>
      <c r="G5924" s="26" t="s">
        <v>696</v>
      </c>
      <c r="H5924" s="10" t="s">
        <v>6974</v>
      </c>
      <c r="I5924" s="10">
        <v>3.0</v>
      </c>
      <c r="J5924" s="11" t="str">
        <f>IF(D5924&lt;&gt;"",VLOOKUP(H5924,TABLEITEM,5,FALSE),"")</f>
        <v>EA</v>
      </c>
      <c r="K5924" s="12">
        <v>6.0</v>
      </c>
      <c r="L5924" s="13" t="str">
        <f>IF(D5924&lt;&gt;"",VLOOKUP(H5924,TABLEITEM,2,FALSE),"")</f>
        <v/>
      </c>
      <c r="M5924" s="13" t="str">
        <f>IF(D5924&lt;&gt;"",VLOOKUP(H5924,TABLEITEM,3,FALSE),"")</f>
        <v>ลดกลม PVC 1"x1/2"</v>
      </c>
      <c r="N5924" s="14">
        <f>INSTOCK!$I5924*INSTOCK!$K5924</f>
        <v>18</v>
      </c>
      <c r="O5924" s="4"/>
      <c r="P5924" s="4"/>
    </row>
    <row r="5925" ht="15.75" customHeight="1">
      <c r="B5925" s="8"/>
      <c r="C5925" s="9">
        <v>43759.0</v>
      </c>
      <c r="D5925" s="6">
        <v>40817.0</v>
      </c>
      <c r="E5925" s="26"/>
      <c r="F5925" s="8" t="s">
        <v>6973</v>
      </c>
      <c r="G5925" s="26" t="s">
        <v>696</v>
      </c>
      <c r="H5925" s="10" t="s">
        <v>3729</v>
      </c>
      <c r="I5925" s="10">
        <v>6.0</v>
      </c>
      <c r="J5925" s="11" t="str">
        <f>IF(D5925&lt;&gt;"",VLOOKUP(H5925,TABLEITEM,5,FALSE),"")</f>
        <v>EA</v>
      </c>
      <c r="K5925" s="12">
        <v>8.5</v>
      </c>
      <c r="L5925" s="13" t="str">
        <f>IF(D5925&lt;&gt;"",VLOOKUP(H5925,TABLEITEM,2,FALSE),"")</f>
        <v/>
      </c>
      <c r="M5925" s="13" t="str">
        <f>IF(D5925&lt;&gt;"",VLOOKUP(H5925,TABLEITEM,3,FALSE),"")</f>
        <v>ข้องอ 90 1"</v>
      </c>
      <c r="N5925" s="14">
        <f>INSTOCK!$I5925*INSTOCK!$K5925</f>
        <v>51</v>
      </c>
      <c r="O5925" s="4"/>
      <c r="P5925" s="4"/>
    </row>
    <row r="5926" ht="15.75" customHeight="1">
      <c r="B5926" s="8"/>
      <c r="C5926" s="9">
        <v>43760.0</v>
      </c>
      <c r="D5926" s="6">
        <v>40818.0</v>
      </c>
      <c r="E5926" s="26"/>
      <c r="F5926" s="8" t="s">
        <v>6973</v>
      </c>
      <c r="G5926" s="26" t="s">
        <v>696</v>
      </c>
      <c r="H5926" s="10" t="s">
        <v>6975</v>
      </c>
      <c r="I5926" s="10">
        <v>3.0</v>
      </c>
      <c r="J5926" s="11" t="str">
        <f>IF(D5926&lt;&gt;"",VLOOKUP(H5926,TABLEITEM,5,FALSE),"")</f>
        <v>EA</v>
      </c>
      <c r="K5926" s="12">
        <v>80.0</v>
      </c>
      <c r="L5926" s="13" t="str">
        <f>IF(D5926&lt;&gt;"",VLOOKUP(H5926,TABLEITEM,2,FALSE),"")</f>
        <v/>
      </c>
      <c r="M5926" s="13" t="str">
        <f>IF(D5926&lt;&gt;"",VLOOKUP(H5926,TABLEITEM,3,FALSE),"")</f>
        <v>ลดเหลี่ยม SUS 1.1/4"x1"</v>
      </c>
      <c r="N5926" s="14">
        <f>INSTOCK!$I5926*INSTOCK!$K5926</f>
        <v>240</v>
      </c>
      <c r="O5926" s="4"/>
      <c r="P5926" s="4"/>
    </row>
    <row r="5927" ht="15.75" customHeight="1">
      <c r="B5927" s="8"/>
      <c r="C5927" s="9">
        <v>43757.0</v>
      </c>
      <c r="D5927" s="6">
        <v>40807.0</v>
      </c>
      <c r="E5927" s="26">
        <v>6.210001538E9</v>
      </c>
      <c r="F5927" s="8" t="s">
        <v>6973</v>
      </c>
      <c r="G5927" s="26" t="s">
        <v>696</v>
      </c>
      <c r="H5927" s="18" t="s">
        <v>6976</v>
      </c>
      <c r="I5927" s="18">
        <v>3.0</v>
      </c>
      <c r="J5927" s="11" t="str">
        <f>IF(D5927&lt;&gt;"",VLOOKUP(H5927,TABLEITEM,5,FALSE),"")</f>
        <v>EA</v>
      </c>
      <c r="K5927" s="17">
        <v>24.0</v>
      </c>
      <c r="L5927" s="13" t="str">
        <f>IF(D5927&lt;&gt;"",VLOOKUP(H5927,TABLEITEM,2,FALSE),"")</f>
        <v/>
      </c>
      <c r="M5927" s="13" t="str">
        <f>IF(D5927&lt;&gt;"",VLOOKUP(H5927,TABLEITEM,3,FALSE),"")</f>
        <v>ข้องอเกลียวใน SUS 1/4"</v>
      </c>
      <c r="N5927" s="14">
        <f>INSTOCK!$I5927*INSTOCK!$K5927</f>
        <v>72</v>
      </c>
      <c r="O5927" s="26"/>
      <c r="P5927" s="26"/>
    </row>
    <row r="5928" ht="15.75" customHeight="1">
      <c r="B5928" s="8"/>
      <c r="C5928" s="9">
        <v>43757.0</v>
      </c>
      <c r="D5928" s="6">
        <v>40807.0</v>
      </c>
      <c r="E5928" s="26">
        <v>6.210001538E9</v>
      </c>
      <c r="F5928" s="8" t="s">
        <v>6973</v>
      </c>
      <c r="G5928" s="26" t="s">
        <v>696</v>
      </c>
      <c r="H5928" s="10" t="s">
        <v>6977</v>
      </c>
      <c r="I5928" s="10">
        <v>6.0</v>
      </c>
      <c r="J5928" s="11" t="str">
        <f>IF(D5928&lt;&gt;"",VLOOKUP(H5928,TABLEITEM,5,FALSE),"")</f>
        <v>EA</v>
      </c>
      <c r="K5928" s="12">
        <v>20.0</v>
      </c>
      <c r="L5928" s="13" t="str">
        <f>IF(D5928&lt;&gt;"",VLOOKUP(H5928,TABLEITEM,2,FALSE),"")</f>
        <v/>
      </c>
      <c r="M5928" s="13" t="str">
        <f>IF(D5928&lt;&gt;"",VLOOKUP(H5928,TABLEITEM,3,FALSE),"")</f>
        <v>นิปเปิ้ล SUS 1/4"</v>
      </c>
      <c r="N5928" s="14">
        <f>INSTOCK!$I5928*INSTOCK!$K5928</f>
        <v>120</v>
      </c>
      <c r="O5928" s="4"/>
      <c r="P5928" s="4"/>
    </row>
    <row r="5929" ht="15.75" customHeight="1">
      <c r="B5929" s="8"/>
      <c r="C5929" s="9">
        <v>43757.0</v>
      </c>
      <c r="D5929" s="6">
        <v>40807.0</v>
      </c>
      <c r="E5929" s="26">
        <v>6.210001538E9</v>
      </c>
      <c r="F5929" s="8" t="s">
        <v>6973</v>
      </c>
      <c r="G5929" s="26" t="s">
        <v>696</v>
      </c>
      <c r="H5929" s="10" t="s">
        <v>6978</v>
      </c>
      <c r="I5929" s="10">
        <v>3.0</v>
      </c>
      <c r="J5929" s="11" t="str">
        <f>IF(D5929&lt;&gt;"",VLOOKUP(H5929,TABLEITEM,5,FALSE),"")</f>
        <v>EA</v>
      </c>
      <c r="K5929" s="12">
        <v>78.0</v>
      </c>
      <c r="L5929" s="13" t="str">
        <f>IF(D5929&lt;&gt;"",VLOOKUP(H5929,TABLEITEM,2,FALSE),"")</f>
        <v/>
      </c>
      <c r="M5929" s="13" t="str">
        <f>IF(D5929&lt;&gt;"",VLOOKUP(H5929,TABLEITEM,3,FALSE),"")</f>
        <v>ต่อลดเกลียวใน SUS 1.1/4"x1"</v>
      </c>
      <c r="N5929" s="14">
        <f>INSTOCK!$I5929*INSTOCK!$K5929</f>
        <v>234</v>
      </c>
      <c r="O5929" s="4"/>
      <c r="P5929" s="4"/>
    </row>
    <row r="5930" ht="15.75" customHeight="1">
      <c r="B5930" s="8"/>
      <c r="C5930" s="9">
        <v>43757.0</v>
      </c>
      <c r="D5930" s="6">
        <v>40807.0</v>
      </c>
      <c r="E5930" s="26">
        <v>6.210001538E9</v>
      </c>
      <c r="F5930" s="8" t="s">
        <v>6973</v>
      </c>
      <c r="G5930" s="26" t="s">
        <v>696</v>
      </c>
      <c r="H5930" s="10" t="s">
        <v>6979</v>
      </c>
      <c r="I5930" s="10">
        <v>12.0</v>
      </c>
      <c r="J5930" s="11" t="str">
        <f>IF(D5930&lt;&gt;"",VLOOKUP(H5930,TABLEITEM,5,FALSE),"")</f>
        <v>EA</v>
      </c>
      <c r="K5930" s="12">
        <v>68.0</v>
      </c>
      <c r="L5930" s="13" t="str">
        <f>IF(D5930&lt;&gt;"",VLOOKUP(H5930,TABLEITEM,2,FALSE),"")</f>
        <v/>
      </c>
      <c r="M5930" s="13" t="str">
        <f>IF(D5930&lt;&gt;"",VLOOKUP(H5930,TABLEITEM,3,FALSE),"")</f>
        <v>หน้าแปลน PVC 1.1/2"</v>
      </c>
      <c r="N5930" s="14">
        <f>INSTOCK!$I5930*INSTOCK!$K5930</f>
        <v>816</v>
      </c>
      <c r="O5930" s="4"/>
      <c r="P5930" s="4"/>
    </row>
    <row r="5931" ht="15.75" customHeight="1">
      <c r="B5931" s="8"/>
      <c r="C5931" s="9">
        <v>43756.0</v>
      </c>
      <c r="D5931" s="6" t="s">
        <v>6980</v>
      </c>
      <c r="E5931" s="26">
        <v>6.21000153E9</v>
      </c>
      <c r="F5931" s="8" t="s">
        <v>6973</v>
      </c>
      <c r="G5931" s="26" t="s">
        <v>965</v>
      </c>
      <c r="H5931" s="18" t="s">
        <v>5764</v>
      </c>
      <c r="I5931" s="18">
        <v>30.0</v>
      </c>
      <c r="J5931" s="11" t="str">
        <f>IF(D5931&lt;&gt;"",VLOOKUP(H5931,TABLEITEM,5,FALSE),"")</f>
        <v>EA</v>
      </c>
      <c r="K5931" s="17">
        <v>6.0</v>
      </c>
      <c r="L5931" s="13" t="str">
        <f>IF(D5931&lt;&gt;"",VLOOKUP(H5931,TABLEITEM,2,FALSE),"")</f>
        <v/>
      </c>
      <c r="M5931" s="13" t="str">
        <f>IF(D5931&lt;&gt;"",VLOOKUP(H5931,TABLEITEM,3,FALSE),"")</f>
        <v>ต่อเกลียวนอก PVC 1"</v>
      </c>
      <c r="N5931" s="14">
        <f>INSTOCK!$I5931*INSTOCK!$K5931</f>
        <v>180</v>
      </c>
      <c r="O5931" s="26"/>
      <c r="P5931" s="26"/>
    </row>
    <row r="5932" ht="15.75" customHeight="1">
      <c r="B5932" s="8"/>
      <c r="C5932" s="9">
        <v>43756.0</v>
      </c>
      <c r="D5932" s="6" t="s">
        <v>6980</v>
      </c>
      <c r="E5932" s="26">
        <v>6.21000153E9</v>
      </c>
      <c r="F5932" s="8" t="s">
        <v>6973</v>
      </c>
      <c r="G5932" s="26" t="s">
        <v>965</v>
      </c>
      <c r="H5932" s="10" t="s">
        <v>6981</v>
      </c>
      <c r="I5932" s="10">
        <v>9.0</v>
      </c>
      <c r="J5932" s="11" t="str">
        <f>IF(D5932&lt;&gt;"",VLOOKUP(H5932,TABLEITEM,5,FALSE),"")</f>
        <v>EA</v>
      </c>
      <c r="K5932" s="12">
        <v>11.0</v>
      </c>
      <c r="L5932" s="13" t="str">
        <f>IF(D5932&lt;&gt;"",VLOOKUP(H5932,TABLEITEM,2,FALSE),"")</f>
        <v/>
      </c>
      <c r="M5932" s="13" t="str">
        <f>IF(D5932&lt;&gt;"",VLOOKUP(H5932,TABLEITEM,3,FALSE),"")</f>
        <v>ต่อลด PVC 1.1/2"x1"</v>
      </c>
      <c r="N5932" s="14">
        <f>INSTOCK!$I5932*INSTOCK!$K5932</f>
        <v>99</v>
      </c>
      <c r="O5932" s="4"/>
      <c r="P5932" s="4"/>
    </row>
    <row r="5933" ht="15.75" customHeight="1">
      <c r="B5933" s="8"/>
      <c r="C5933" s="9">
        <v>43756.0</v>
      </c>
      <c r="D5933" s="6" t="s">
        <v>6980</v>
      </c>
      <c r="E5933" s="26">
        <v>6.21000153E9</v>
      </c>
      <c r="F5933" s="8" t="s">
        <v>6973</v>
      </c>
      <c r="G5933" s="26" t="s">
        <v>965</v>
      </c>
      <c r="H5933" s="10" t="s">
        <v>6982</v>
      </c>
      <c r="I5933" s="10">
        <v>9.0</v>
      </c>
      <c r="J5933" s="11" t="str">
        <f>IF(D5933&lt;&gt;"",VLOOKUP(H5933,TABLEITEM,5,FALSE),"")</f>
        <v>EA</v>
      </c>
      <c r="K5933" s="12">
        <v>38.0</v>
      </c>
      <c r="L5933" s="13" t="str">
        <f>IF(D5933&lt;&gt;"",VLOOKUP(H5933,TABLEITEM,2,FALSE),"")</f>
        <v/>
      </c>
      <c r="M5933" s="13" t="str">
        <f>IF(D5933&lt;&gt;"",VLOOKUP(H5933,TABLEITEM,3,FALSE),"")</f>
        <v>ข้อต่อยูเนียน PVC 1"</v>
      </c>
      <c r="N5933" s="14">
        <f>INSTOCK!$I5933*INSTOCK!$K5933</f>
        <v>342</v>
      </c>
      <c r="O5933" s="4"/>
      <c r="P5933" s="4"/>
    </row>
    <row r="5934" ht="15.75" customHeight="1">
      <c r="B5934" s="8"/>
      <c r="C5934" s="9">
        <v>43756.0</v>
      </c>
      <c r="D5934" s="6" t="s">
        <v>6980</v>
      </c>
      <c r="E5934" s="26">
        <v>6.21000153E9</v>
      </c>
      <c r="F5934" s="8" t="s">
        <v>6973</v>
      </c>
      <c r="G5934" s="26" t="s">
        <v>965</v>
      </c>
      <c r="H5934" s="10" t="s">
        <v>6983</v>
      </c>
      <c r="I5934" s="10">
        <v>6.0</v>
      </c>
      <c r="J5934" s="11" t="str">
        <f>IF(D5934&lt;&gt;"",VLOOKUP(H5934,TABLEITEM,5,FALSE),"")</f>
        <v>EA</v>
      </c>
      <c r="K5934" s="12">
        <v>130.0</v>
      </c>
      <c r="L5934" s="13" t="str">
        <f>IF(D5934&lt;&gt;"",VLOOKUP(H5934,TABLEITEM,2,FALSE),"")</f>
        <v/>
      </c>
      <c r="M5934" s="13" t="str">
        <f>IF(D5934&lt;&gt;"",VLOOKUP(H5934,TABLEITEM,3,FALSE),"")</f>
        <v>ข้อต่อยูเนียน PVC 1.1/2"</v>
      </c>
      <c r="N5934" s="14">
        <f>INSTOCK!$I5934*INSTOCK!$K5934</f>
        <v>780</v>
      </c>
      <c r="O5934" s="4"/>
      <c r="P5934" s="4"/>
    </row>
    <row r="5935" ht="15.75" customHeight="1">
      <c r="B5935" s="8"/>
      <c r="C5935" s="9">
        <v>43756.0</v>
      </c>
      <c r="D5935" s="6" t="s">
        <v>6980</v>
      </c>
      <c r="E5935" s="26">
        <v>6.21000153E9</v>
      </c>
      <c r="F5935" s="8" t="s">
        <v>6973</v>
      </c>
      <c r="G5935" s="26" t="s">
        <v>965</v>
      </c>
      <c r="H5935" s="10" t="s">
        <v>6984</v>
      </c>
      <c r="I5935" s="10">
        <v>3.0</v>
      </c>
      <c r="J5935" s="11" t="str">
        <f>IF(D5935&lt;&gt;"",VLOOKUP(H5935,TABLEITEM,5,FALSE),"")</f>
        <v>EA</v>
      </c>
      <c r="K5935" s="12">
        <v>27.0</v>
      </c>
      <c r="L5935" s="13" t="str">
        <f>IF(D5935&lt;&gt;"",VLOOKUP(H5935,TABLEITEM,2,FALSE),"")</f>
        <v/>
      </c>
      <c r="M5935" s="13" t="str">
        <f>IF(D5935&lt;&gt;"",VLOOKUP(H5935,TABLEITEM,3,FALSE),"")</f>
        <v>ต่อตรงเกลียวใน ทองเหลือง 1/2"</v>
      </c>
      <c r="N5935" s="14">
        <f>INSTOCK!$I5935*INSTOCK!$K5935</f>
        <v>81</v>
      </c>
      <c r="O5935" s="4"/>
      <c r="P5935" s="4"/>
    </row>
    <row r="5936" ht="15.75" customHeight="1">
      <c r="B5936" s="8"/>
      <c r="C5936" s="9">
        <v>43756.0</v>
      </c>
      <c r="D5936" s="6" t="s">
        <v>6980</v>
      </c>
      <c r="E5936" s="26">
        <v>6.21000153E9</v>
      </c>
      <c r="F5936" s="8" t="s">
        <v>6973</v>
      </c>
      <c r="G5936" s="26" t="s">
        <v>965</v>
      </c>
      <c r="H5936" s="10" t="s">
        <v>6985</v>
      </c>
      <c r="I5936" s="10">
        <v>6.0</v>
      </c>
      <c r="J5936" s="11" t="str">
        <f>IF(D5936&lt;&gt;"",VLOOKUP(H5936,TABLEITEM,5,FALSE),"")</f>
        <v>EA</v>
      </c>
      <c r="K5936" s="12">
        <v>16.0</v>
      </c>
      <c r="L5936" s="13" t="str">
        <f>IF(D5936&lt;&gt;"",VLOOKUP(H5936,TABLEITEM,2,FALSE),"")</f>
        <v/>
      </c>
      <c r="M5936" s="13" t="str">
        <f>IF(D5936&lt;&gt;"",VLOOKUP(H5936,TABLEITEM,3,FALSE),"")</f>
        <v>ต่อเกลียวใน PVC 1.1/2"</v>
      </c>
      <c r="N5936" s="14">
        <f>INSTOCK!$I5936*INSTOCK!$K5936</f>
        <v>96</v>
      </c>
      <c r="O5936" s="4"/>
      <c r="P5936" s="4"/>
    </row>
    <row r="5937" ht="15.75" customHeight="1">
      <c r="B5937" s="8"/>
      <c r="C5937" s="9">
        <v>43756.0</v>
      </c>
      <c r="D5937" s="6" t="s">
        <v>6980</v>
      </c>
      <c r="E5937" s="26">
        <v>6.21000153E9</v>
      </c>
      <c r="F5937" s="8" t="s">
        <v>6973</v>
      </c>
      <c r="G5937" s="26" t="s">
        <v>965</v>
      </c>
      <c r="H5937" s="10" t="s">
        <v>6986</v>
      </c>
      <c r="I5937" s="10">
        <v>3.0</v>
      </c>
      <c r="J5937" s="11" t="str">
        <f>IF(D5937&lt;&gt;"",VLOOKUP(H5937,TABLEITEM,5,FALSE),"")</f>
        <v>EA</v>
      </c>
      <c r="K5937" s="12">
        <v>130.0</v>
      </c>
      <c r="L5937" s="13" t="str">
        <f>IF(D5937&lt;&gt;"",VLOOKUP(H5937,TABLEITEM,2,FALSE),"")</f>
        <v/>
      </c>
      <c r="M5937" s="13" t="str">
        <f>IF(D5937&lt;&gt;"",VLOOKUP(H5937,TABLEITEM,3,FALSE),"")</f>
        <v>กาวทาท่อตราช้าง</v>
      </c>
      <c r="N5937" s="14">
        <f>INSTOCK!$I5937*INSTOCK!$K5937</f>
        <v>390</v>
      </c>
      <c r="O5937" s="4"/>
      <c r="P5937" s="4"/>
    </row>
    <row r="5938" ht="15.75" customHeight="1">
      <c r="B5938" s="8"/>
      <c r="C5938" s="9">
        <v>43756.0</v>
      </c>
      <c r="D5938" s="6" t="s">
        <v>6980</v>
      </c>
      <c r="E5938" s="26">
        <v>6.21000153E9</v>
      </c>
      <c r="F5938" s="8" t="s">
        <v>6973</v>
      </c>
      <c r="G5938" s="26" t="s">
        <v>965</v>
      </c>
      <c r="H5938" s="18" t="s">
        <v>5763</v>
      </c>
      <c r="I5938" s="10">
        <v>3.0</v>
      </c>
      <c r="J5938" s="11" t="str">
        <f>IF(D5938&lt;&gt;"",VLOOKUP(H5938,TABLEITEM,5,FALSE),"")</f>
        <v>EA</v>
      </c>
      <c r="K5938" s="12">
        <v>13.0</v>
      </c>
      <c r="L5938" s="13" t="str">
        <f>IF(D5938&lt;&gt;"",VLOOKUP(H5938,TABLEITEM,2,FALSE),"")</f>
        <v/>
      </c>
      <c r="M5938" s="13" t="str">
        <f>IF(D5938&lt;&gt;"",VLOOKUP(H5938,TABLEITEM,3,FALSE),"")</f>
        <v>สามทาง PVC 1"</v>
      </c>
      <c r="N5938" s="14">
        <f>INSTOCK!$I5938*INSTOCK!$K5938</f>
        <v>39</v>
      </c>
      <c r="O5938" s="4"/>
      <c r="P5938" s="4"/>
    </row>
    <row r="5939" ht="15.75" customHeight="1">
      <c r="B5939" s="8"/>
      <c r="C5939" s="9">
        <v>43756.0</v>
      </c>
      <c r="D5939" s="6" t="s">
        <v>6980</v>
      </c>
      <c r="E5939" s="26">
        <v>6.21000153E9</v>
      </c>
      <c r="F5939" s="8" t="s">
        <v>6973</v>
      </c>
      <c r="G5939" s="26" t="s">
        <v>965</v>
      </c>
      <c r="H5939" s="10" t="s">
        <v>3731</v>
      </c>
      <c r="I5939" s="10">
        <v>1.0</v>
      </c>
      <c r="J5939" s="11" t="str">
        <f>IF(D5939&lt;&gt;"",VLOOKUP(H5939,TABLEITEM,5,FALSE),"")</f>
        <v>เส้น</v>
      </c>
      <c r="K5939" s="12">
        <v>95.0</v>
      </c>
      <c r="L5939" s="13" t="str">
        <f>IF(D5939&lt;&gt;"",VLOOKUP(H5939,TABLEITEM,2,FALSE),"")</f>
        <v/>
      </c>
      <c r="M5939" s="13" t="str">
        <f>IF(D5939&lt;&gt;"",VLOOKUP(H5939,TABLEITEM,3,FALSE),"")</f>
        <v>ท่อPVC 1"</v>
      </c>
      <c r="N5939" s="14">
        <f>INSTOCK!$I5939*INSTOCK!$K5939</f>
        <v>95</v>
      </c>
      <c r="O5939" s="4"/>
      <c r="P5939" s="4"/>
    </row>
    <row r="5940" ht="15.75" customHeight="1">
      <c r="B5940" s="8"/>
      <c r="C5940" s="9">
        <v>43756.0</v>
      </c>
      <c r="D5940" s="6" t="s">
        <v>6980</v>
      </c>
      <c r="E5940" s="26">
        <v>6.21000153E9</v>
      </c>
      <c r="F5940" s="8" t="s">
        <v>6973</v>
      </c>
      <c r="G5940" s="26" t="s">
        <v>965</v>
      </c>
      <c r="H5940" s="10" t="s">
        <v>6987</v>
      </c>
      <c r="I5940" s="10">
        <v>1.0</v>
      </c>
      <c r="J5940" s="11" t="str">
        <f>IF(D5940&lt;&gt;"",VLOOKUP(H5940,TABLEITEM,5,FALSE),"")</f>
        <v>เส้น</v>
      </c>
      <c r="K5940" s="12">
        <v>140.0</v>
      </c>
      <c r="L5940" s="13" t="str">
        <f>IF(D5940&lt;&gt;"",VLOOKUP(H5940,TABLEITEM,2,FALSE),"")</f>
        <v/>
      </c>
      <c r="M5940" s="13" t="str">
        <f>IF(D5940&lt;&gt;"",VLOOKUP(H5940,TABLEITEM,3,FALSE),"")</f>
        <v>ท่อ PVC 1.1/2"</v>
      </c>
      <c r="N5940" s="14">
        <f>INSTOCK!$I5940*INSTOCK!$K5940</f>
        <v>140</v>
      </c>
      <c r="O5940" s="4"/>
      <c r="P5940" s="4"/>
    </row>
    <row r="5941" ht="15.75" customHeight="1">
      <c r="B5941" s="8"/>
      <c r="C5941" s="9">
        <v>43760.0</v>
      </c>
      <c r="D5941" s="6">
        <v>1910238.0</v>
      </c>
      <c r="E5941" s="26">
        <v>6.210001534E9</v>
      </c>
      <c r="F5941" s="8" t="s">
        <v>604</v>
      </c>
      <c r="G5941" s="26" t="s">
        <v>5349</v>
      </c>
      <c r="H5941" s="18" t="s">
        <v>5483</v>
      </c>
      <c r="I5941" s="18">
        <v>221.1</v>
      </c>
      <c r="J5941" s="11" t="str">
        <f>IF(D5941&lt;&gt;"",VLOOKUP(H5941,TABLEITEM,5,FALSE),"")</f>
        <v>KG.</v>
      </c>
      <c r="K5941" s="17">
        <v>140.0</v>
      </c>
      <c r="L5941" s="13" t="str">
        <f>IF(D5941&lt;&gt;"",VLOOKUP(H5941,TABLEITEM,2,FALSE),"")</f>
        <v/>
      </c>
      <c r="M5941" s="13" t="str">
        <f>IF(D5941&lt;&gt;"",VLOOKUP(H5941,TABLEITEM,3,FALSE),"")</f>
        <v>สีฝุ่น GH413156F </v>
      </c>
      <c r="N5941" s="14">
        <f>INSTOCK!$I5941*INSTOCK!$K5941</f>
        <v>30954</v>
      </c>
      <c r="O5941" s="26"/>
      <c r="P5941" s="26"/>
    </row>
    <row r="5942" ht="15.75" customHeight="1">
      <c r="B5942" s="8"/>
      <c r="C5942" s="9">
        <v>43760.0</v>
      </c>
      <c r="D5942" s="6" t="s">
        <v>6988</v>
      </c>
      <c r="E5942" s="26">
        <v>6.21000156E9</v>
      </c>
      <c r="F5942" s="8" t="s">
        <v>6989</v>
      </c>
      <c r="G5942" s="26" t="s">
        <v>1516</v>
      </c>
      <c r="H5942" s="18" t="s">
        <v>6990</v>
      </c>
      <c r="I5942" s="18">
        <v>3.0</v>
      </c>
      <c r="J5942" s="11" t="str">
        <f>IF(D5942&lt;&gt;"",VLOOKUP(H5942,TABLEITEM,5,FALSE),"")</f>
        <v>EA</v>
      </c>
      <c r="K5942" s="17">
        <v>81.0</v>
      </c>
      <c r="L5942" s="13" t="str">
        <f>IF(D5942&lt;&gt;"",VLOOKUP(H5942,TABLEITEM,2,FALSE),"")</f>
        <v/>
      </c>
      <c r="M5942" s="13" t="str">
        <f>IF(D5942&lt;&gt;"",VLOOKUP(H5942,TABLEITEM,3,FALSE),"")</f>
        <v>เพาเวอร์ปลั๊ก ตัวผู้ 3P6h 230V 16A IP44</v>
      </c>
      <c r="N5942" s="14">
        <f>INSTOCK!$I5942*INSTOCK!$K5942</f>
        <v>243</v>
      </c>
      <c r="O5942" s="26" t="s">
        <v>6991</v>
      </c>
      <c r="P5942" s="26"/>
    </row>
    <row r="5943" ht="15.75" customHeight="1">
      <c r="B5943" s="8"/>
      <c r="C5943" s="9">
        <v>43760.0</v>
      </c>
      <c r="D5943" s="6" t="s">
        <v>6988</v>
      </c>
      <c r="E5943" s="26">
        <v>6.21000156E9</v>
      </c>
      <c r="F5943" s="8" t="s">
        <v>6989</v>
      </c>
      <c r="G5943" s="26" t="s">
        <v>1516</v>
      </c>
      <c r="H5943" s="10" t="s">
        <v>6992</v>
      </c>
      <c r="I5943" s="10">
        <v>3.0</v>
      </c>
      <c r="J5943" s="11" t="str">
        <f>IF(D5943&lt;&gt;"",VLOOKUP(H5943,TABLEITEM,5,FALSE),"")</f>
        <v>EA</v>
      </c>
      <c r="K5943" s="12">
        <v>162.0</v>
      </c>
      <c r="L5943" s="13" t="str">
        <f>IF(D5943&lt;&gt;"",VLOOKUP(H5943,TABLEITEM,2,FALSE),"")</f>
        <v/>
      </c>
      <c r="M5943" s="13" t="str">
        <f>IF(D5943&lt;&gt;"",VLOOKUP(H5943,TABLEITEM,3,FALSE),"")</f>
        <v>เพาเวอร์ปลั๊ก ตัวเมีย 3P6h 230V 16A IP44</v>
      </c>
      <c r="N5943" s="14">
        <f>INSTOCK!$I5943*INSTOCK!$K5943</f>
        <v>486</v>
      </c>
      <c r="O5943" s="4" t="s">
        <v>6993</v>
      </c>
      <c r="P5943" s="4"/>
    </row>
    <row r="5944" ht="15.75" customHeight="1">
      <c r="B5944" s="8"/>
      <c r="C5944" s="9">
        <v>43760.0</v>
      </c>
      <c r="D5944" s="6" t="s">
        <v>6988</v>
      </c>
      <c r="E5944" s="26">
        <v>6.21000156E9</v>
      </c>
      <c r="F5944" s="8" t="s">
        <v>6989</v>
      </c>
      <c r="G5944" s="26" t="s">
        <v>1516</v>
      </c>
      <c r="H5944" s="10" t="s">
        <v>2005</v>
      </c>
      <c r="I5944" s="10">
        <v>10.0</v>
      </c>
      <c r="J5944" s="11" t="str">
        <f>IF(D5944&lt;&gt;"",VLOOKUP(H5944,TABLEITEM,5,FALSE),"")</f>
        <v>EA</v>
      </c>
      <c r="K5944" s="12">
        <v>84.0</v>
      </c>
      <c r="L5944" s="13" t="str">
        <f>IF(D5944&lt;&gt;"",VLOOKUP(H5944,TABLEITEM,2,FALSE),"")</f>
        <v/>
      </c>
      <c r="M5944" s="13" t="str">
        <f>IF(D5944&lt;&gt;"",VLOOKUP(H5944,TABLEITEM,3,FALSE),"")</f>
        <v>PILOT LIGHT LED 240V BLUE</v>
      </c>
      <c r="N5944" s="14">
        <f>INSTOCK!$I5944*INSTOCK!$K5944</f>
        <v>840</v>
      </c>
      <c r="O5944" s="4"/>
      <c r="P5944" s="4"/>
    </row>
    <row r="5945" ht="15.75" customHeight="1">
      <c r="B5945" s="8"/>
      <c r="C5945" s="9">
        <v>43762.0</v>
      </c>
      <c r="D5945" s="6">
        <v>6.2101092E7</v>
      </c>
      <c r="E5945" s="26">
        <v>6.210001564E9</v>
      </c>
      <c r="F5945" s="8" t="s">
        <v>6994</v>
      </c>
      <c r="G5945" s="26" t="s">
        <v>711</v>
      </c>
      <c r="H5945" s="10" t="s">
        <v>105</v>
      </c>
      <c r="I5945" s="18">
        <v>20.0</v>
      </c>
      <c r="J5945" s="11" t="str">
        <f>IF(D5945&lt;&gt;"",VLOOKUP(H5945,TABLEITEM,5,FALSE),"")</f>
        <v>KG.</v>
      </c>
      <c r="K5945" s="17">
        <v>165.75</v>
      </c>
      <c r="L5945" s="13" t="str">
        <f>IF(D5945&lt;&gt;"",VLOOKUP(H5945,TABLEITEM,2,FALSE),"")</f>
        <v/>
      </c>
      <c r="M5945" s="13" t="str">
        <f>IF(D5945&lt;&gt;"",VLOOKUP(H5945,TABLEITEM,3,FALSE),"")</f>
        <v>สีฝุ่น M10001 WN</v>
      </c>
      <c r="N5945" s="14">
        <f>INSTOCK!$I5945*INSTOCK!$K5945</f>
        <v>3315</v>
      </c>
      <c r="O5945" s="26" t="s">
        <v>971</v>
      </c>
      <c r="P5945" s="26"/>
    </row>
    <row r="5946" ht="15.75" customHeight="1">
      <c r="B5946" s="8"/>
      <c r="C5946" s="9">
        <v>43754.0</v>
      </c>
      <c r="D5946" s="6">
        <v>6.21000585E8</v>
      </c>
      <c r="E5946" s="26">
        <v>6.210001522E9</v>
      </c>
      <c r="F5946" s="8" t="s">
        <v>604</v>
      </c>
      <c r="G5946" s="26" t="s">
        <v>1777</v>
      </c>
      <c r="H5946" s="18" t="s">
        <v>2106</v>
      </c>
      <c r="I5946" s="18">
        <v>300.0</v>
      </c>
      <c r="J5946" s="11" t="str">
        <f>IF(D5946&lt;&gt;"",VLOOKUP(H5946,TABLEITEM,5,FALSE),"")</f>
        <v>EA</v>
      </c>
      <c r="K5946" s="17">
        <v>2.86</v>
      </c>
      <c r="L5946" s="13" t="str">
        <f>IF(D5946&lt;&gt;"",VLOOKUP(H5946,TABLEITEM,2,FALSE),"")</f>
        <v/>
      </c>
      <c r="M5946" s="13" t="str">
        <f>IF(D5946&lt;&gt;"",VLOOKUP(H5946,TABLEITEM,3,FALSE),"")</f>
        <v>สกรูหัวเหลี่ยมชุบขาว M12x40</v>
      </c>
      <c r="N5946" s="14">
        <f>INSTOCK!$I5946*INSTOCK!$K5946</f>
        <v>858</v>
      </c>
      <c r="O5946" s="26" t="s">
        <v>2107</v>
      </c>
      <c r="P5946" s="26"/>
    </row>
    <row r="5947" ht="15.75" customHeight="1">
      <c r="B5947" s="8"/>
      <c r="C5947" s="9">
        <v>43754.0</v>
      </c>
      <c r="D5947" s="6">
        <v>6.21000585E8</v>
      </c>
      <c r="E5947" s="26">
        <v>6.210001522E9</v>
      </c>
      <c r="F5947" s="8" t="s">
        <v>604</v>
      </c>
      <c r="G5947" s="26" t="s">
        <v>1777</v>
      </c>
      <c r="H5947" s="10" t="s">
        <v>3521</v>
      </c>
      <c r="I5947" s="10">
        <v>200.0</v>
      </c>
      <c r="J5947" s="11" t="str">
        <f>IF(D5947&lt;&gt;"",VLOOKUP(H5947,TABLEITEM,5,FALSE),"")</f>
        <v>EA</v>
      </c>
      <c r="K5947" s="12">
        <v>5.1805</v>
      </c>
      <c r="L5947" s="13" t="str">
        <f>IF(D5947&lt;&gt;"",VLOOKUP(H5947,TABLEITEM,2,FALSE),"")</f>
        <v/>
      </c>
      <c r="M5947" s="13" t="str">
        <f>IF(D5947&lt;&gt;"",VLOOKUP(H5947,TABLEITEM,3,FALSE),"")</f>
        <v>สกรูหัวเหลี่ยมชุบรุ้ง M16x35</v>
      </c>
      <c r="N5947" s="14">
        <f>INSTOCK!$I5947*INSTOCK!$K5947</f>
        <v>1036.1</v>
      </c>
      <c r="O5947" s="4" t="s">
        <v>3522</v>
      </c>
      <c r="P5947" s="4"/>
    </row>
    <row r="5948" ht="15.75" customHeight="1">
      <c r="B5948" s="8"/>
      <c r="C5948" s="9">
        <v>43754.0</v>
      </c>
      <c r="D5948" s="6">
        <v>6.21000585E8</v>
      </c>
      <c r="E5948" s="26">
        <v>6.210001522E9</v>
      </c>
      <c r="F5948" s="8" t="s">
        <v>604</v>
      </c>
      <c r="G5948" s="26" t="s">
        <v>1777</v>
      </c>
      <c r="H5948" s="10" t="s">
        <v>3519</v>
      </c>
      <c r="I5948" s="10">
        <v>200.0</v>
      </c>
      <c r="J5948" s="11" t="str">
        <f>IF(D5948&lt;&gt;"",VLOOKUP(H5948,TABLEITEM,5,FALSE),"")</f>
        <v>EA</v>
      </c>
      <c r="K5948" s="12">
        <v>0.84</v>
      </c>
      <c r="L5948" s="13" t="str">
        <f>IF(D5948&lt;&gt;"",VLOOKUP(H5948,TABLEITEM,2,FALSE),"")</f>
        <v/>
      </c>
      <c r="M5948" s="13" t="str">
        <f>IF(D5948&lt;&gt;"",VLOOKUP(H5948,TABLEITEM,3,FALSE),"")</f>
        <v>แหวนอีแปะ M16  ชุบขาว</v>
      </c>
      <c r="N5948" s="14">
        <f>INSTOCK!$I5948*INSTOCK!$K5948</f>
        <v>168</v>
      </c>
      <c r="O5948" s="4" t="s">
        <v>6995</v>
      </c>
      <c r="P5948" s="4"/>
    </row>
    <row r="5949" ht="15.75" customHeight="1">
      <c r="B5949" s="8"/>
      <c r="C5949" s="9">
        <v>43754.0</v>
      </c>
      <c r="D5949" s="6">
        <v>6.21000585E8</v>
      </c>
      <c r="E5949" s="26">
        <v>6.210001522E9</v>
      </c>
      <c r="F5949" s="8" t="s">
        <v>604</v>
      </c>
      <c r="G5949" s="26" t="s">
        <v>1777</v>
      </c>
      <c r="H5949" s="10" t="s">
        <v>3518</v>
      </c>
      <c r="I5949" s="10">
        <v>100.0</v>
      </c>
      <c r="J5949" s="11" t="str">
        <f>IF(D5949&lt;&gt;"",VLOOKUP(H5949,TABLEITEM,5,FALSE),"")</f>
        <v>EA</v>
      </c>
      <c r="K5949" s="12">
        <v>0.63</v>
      </c>
      <c r="L5949" s="13" t="str">
        <f>IF(D5949&lt;&gt;"",VLOOKUP(H5949,TABLEITEM,2,FALSE),"")</f>
        <v/>
      </c>
      <c r="M5949" s="13" t="str">
        <f>IF(D5949&lt;&gt;"",VLOOKUP(H5949,TABLEITEM,3,FALSE),"")</f>
        <v>แหวนสปริง M16   ชุบรุ้ง</v>
      </c>
      <c r="N5949" s="14">
        <f>INSTOCK!$I5949*INSTOCK!$K5949</f>
        <v>63</v>
      </c>
      <c r="O5949" s="4" t="s">
        <v>1830</v>
      </c>
      <c r="P5949" s="4"/>
    </row>
    <row r="5950" ht="15.75" customHeight="1">
      <c r="B5950" s="8"/>
      <c r="C5950" s="9">
        <v>43754.0</v>
      </c>
      <c r="D5950" s="6">
        <v>6.21000585E8</v>
      </c>
      <c r="E5950" s="26">
        <v>6.210001522E9</v>
      </c>
      <c r="F5950" s="8" t="s">
        <v>604</v>
      </c>
      <c r="G5950" s="26" t="s">
        <v>1777</v>
      </c>
      <c r="H5950" s="10" t="s">
        <v>3155</v>
      </c>
      <c r="I5950" s="10">
        <v>2000.0</v>
      </c>
      <c r="J5950" s="11" t="str">
        <f>IF(D5950&lt;&gt;"",VLOOKUP(H5950,TABLEITEM,5,FALSE),"")</f>
        <v>EA</v>
      </c>
      <c r="K5950" s="12">
        <v>1.125</v>
      </c>
      <c r="L5950" s="13" t="str">
        <f>IF(D5950&lt;&gt;"",VLOOKUP(H5950,TABLEITEM,2,FALSE),"")</f>
        <v/>
      </c>
      <c r="M5950" s="13" t="str">
        <f>IF(D5950&lt;&gt;"",VLOOKUP(H5950,TABLEITEM,3,FALSE),"")</f>
        <v>หัวน้อต       M12   ชุบขาว</v>
      </c>
      <c r="N5950" s="14">
        <f>INSTOCK!$I5950*INSTOCK!$K5950</f>
        <v>2250</v>
      </c>
      <c r="O5950" s="4" t="s">
        <v>3156</v>
      </c>
      <c r="P5950" s="4"/>
    </row>
    <row r="5951" ht="15.75" customHeight="1">
      <c r="B5951" s="8"/>
      <c r="C5951" s="9">
        <v>43759.0</v>
      </c>
      <c r="D5951" s="6">
        <v>6.21000761E8</v>
      </c>
      <c r="E5951" s="26">
        <v>6.21000153E9</v>
      </c>
      <c r="F5951" s="8" t="s">
        <v>604</v>
      </c>
      <c r="G5951" s="26" t="s">
        <v>6996</v>
      </c>
      <c r="H5951" s="18" t="s">
        <v>6997</v>
      </c>
      <c r="I5951" s="18">
        <v>500.0</v>
      </c>
      <c r="J5951" s="11" t="str">
        <f>IF(D5951&lt;&gt;"",VLOOKUP(H5951,TABLEITEM,5,FALSE),"")</f>
        <v>EA</v>
      </c>
      <c r="K5951" s="17">
        <v>0.42</v>
      </c>
      <c r="L5951" s="13" t="str">
        <f>IF(D5951&lt;&gt;"",VLOOKUP(H5951,TABLEITEM,2,FALSE),"")</f>
        <v/>
      </c>
      <c r="M5951" s="13" t="str">
        <f>IF(D5951&lt;&gt;"",VLOOKUP(H5951,TABLEITEM,3,FALSE),"")</f>
        <v>สกรูหัวกลมชุบขาว M6x40</v>
      </c>
      <c r="N5951" s="14">
        <f>INSTOCK!$I5951*INSTOCK!$K5951</f>
        <v>210</v>
      </c>
      <c r="O5951" s="26" t="s">
        <v>6998</v>
      </c>
      <c r="P5951" s="26"/>
    </row>
    <row r="5952" ht="15.75" customHeight="1">
      <c r="B5952" s="8"/>
      <c r="C5952" s="9">
        <v>43759.0</v>
      </c>
      <c r="D5952" s="6">
        <v>6.21000761E8</v>
      </c>
      <c r="E5952" s="26">
        <v>6.21000153E9</v>
      </c>
      <c r="F5952" s="8" t="s">
        <v>604</v>
      </c>
      <c r="G5952" s="26" t="s">
        <v>6996</v>
      </c>
      <c r="H5952" s="10" t="s">
        <v>1859</v>
      </c>
      <c r="I5952" s="10">
        <v>3000.0</v>
      </c>
      <c r="J5952" s="11" t="str">
        <f>IF(D5952&lt;&gt;"",VLOOKUP(H5952,TABLEITEM,5,FALSE),"")</f>
        <v>EA</v>
      </c>
      <c r="K5952" s="12">
        <v>0.9035</v>
      </c>
      <c r="L5952" s="13" t="str">
        <f>IF(D5952&lt;&gt;"",VLOOKUP(H5952,TABLEITEM,2,FALSE),"")</f>
        <v/>
      </c>
      <c r="M5952" s="13" t="str">
        <f>IF(D5952&lt;&gt;"",VLOOKUP(H5952,TABLEITEM,3,FALSE),"")</f>
        <v>สกรูหัวเหลี่ยมชุบขาว M8x25</v>
      </c>
      <c r="N5952" s="14">
        <f>INSTOCK!$I5952*INSTOCK!$K5952</f>
        <v>2710.5</v>
      </c>
      <c r="O5952" s="4" t="s">
        <v>1860</v>
      </c>
      <c r="P5952" s="4"/>
    </row>
    <row r="5953" ht="15.75" customHeight="1">
      <c r="B5953" s="8"/>
      <c r="C5953" s="9">
        <v>43759.0</v>
      </c>
      <c r="D5953" s="6">
        <v>6.21000761E8</v>
      </c>
      <c r="E5953" s="26">
        <v>6.21000153E9</v>
      </c>
      <c r="F5953" s="8" t="s">
        <v>604</v>
      </c>
      <c r="G5953" s="26" t="s">
        <v>6996</v>
      </c>
      <c r="H5953" s="10" t="s">
        <v>2094</v>
      </c>
      <c r="I5953" s="10">
        <v>1530.0</v>
      </c>
      <c r="J5953" s="11" t="str">
        <f>IF(D5953&lt;&gt;"",VLOOKUP(H5953,TABLEITEM,5,FALSE),"")</f>
        <v>EA</v>
      </c>
      <c r="K5953" s="12">
        <v>0.75</v>
      </c>
      <c r="L5953" s="13" t="str">
        <f>IF(D5953&lt;&gt;"",VLOOKUP(H5953,TABLEITEM,2,FALSE),"")</f>
        <v/>
      </c>
      <c r="M5953" s="13" t="str">
        <f>IF(D5953&lt;&gt;"",VLOOKUP(H5953,TABLEITEM,3,FALSE),"")</f>
        <v>หัวน้อต       M10   ชุบขาว</v>
      </c>
      <c r="N5953" s="14">
        <f>INSTOCK!$I5953*INSTOCK!$K5953</f>
        <v>1147.5</v>
      </c>
      <c r="O5953" s="4" t="s">
        <v>2095</v>
      </c>
      <c r="P5953" s="4"/>
    </row>
    <row r="5954" ht="15.75" customHeight="1">
      <c r="B5954" s="8"/>
      <c r="C5954" s="9">
        <v>43760.0</v>
      </c>
      <c r="D5954" s="6">
        <v>40830.0</v>
      </c>
      <c r="E5954" s="26">
        <v>6.210001547E9</v>
      </c>
      <c r="F5954" s="8" t="s">
        <v>604</v>
      </c>
      <c r="G5954" s="26" t="s">
        <v>696</v>
      </c>
      <c r="H5954" s="10" t="s">
        <v>2729</v>
      </c>
      <c r="I5954" s="18">
        <v>36.0</v>
      </c>
      <c r="J5954" s="11" t="str">
        <f>IF(D5954&lt;&gt;"",VLOOKUP(H5954,TABLEITEM,5,FALSE),"")</f>
        <v>EA</v>
      </c>
      <c r="K5954" s="17">
        <v>24.0</v>
      </c>
      <c r="L5954" s="13" t="str">
        <f>IF(D5954&lt;&gt;"",VLOOKUP(H5954,TABLEITEM,2,FALSE),"")</f>
        <v/>
      </c>
      <c r="M5954" s="13" t="str">
        <f>IF(D5954&lt;&gt;"",VLOOKUP(H5954,TABLEITEM,3,FALSE),"")</f>
        <v>กระดาษกาวย่น INTER ขนาด 1"x45 หลา</v>
      </c>
      <c r="N5954" s="14">
        <f>INSTOCK!$I5954*INSTOCK!$K5954</f>
        <v>864</v>
      </c>
      <c r="O5954" s="26"/>
      <c r="P5954" s="26"/>
    </row>
    <row r="5955" ht="15.75" customHeight="1">
      <c r="B5955" s="8"/>
      <c r="C5955" s="9">
        <v>43762.0</v>
      </c>
      <c r="D5955" s="6" t="s">
        <v>6999</v>
      </c>
      <c r="E5955" s="26">
        <v>6.210001557E9</v>
      </c>
      <c r="F5955" s="8" t="s">
        <v>1383</v>
      </c>
      <c r="G5955" s="26" t="s">
        <v>1763</v>
      </c>
      <c r="H5955" s="18" t="s">
        <v>7000</v>
      </c>
      <c r="I5955" s="18">
        <v>1.0</v>
      </c>
      <c r="J5955" s="11" t="str">
        <f>IF(D5955&lt;&gt;"",VLOOKUP(H5955,TABLEITEM,5,FALSE),"")</f>
        <v>EA</v>
      </c>
      <c r="K5955" s="17">
        <v>750.0</v>
      </c>
      <c r="L5955" s="13" t="str">
        <f>IF(D5955&lt;&gt;"",VLOOKUP(H5955,TABLEITEM,2,FALSE),"")</f>
        <v/>
      </c>
      <c r="M5955" s="13" t="str">
        <f>IF(D5955&lt;&gt;"",VLOOKUP(H5955,TABLEITEM,3,FALSE),"")</f>
        <v>เทอร์โมสตัท RTS-3-300 70C/83C 16A</v>
      </c>
      <c r="N5955" s="14">
        <f>INSTOCK!$I5955*INSTOCK!$K5955</f>
        <v>750</v>
      </c>
      <c r="O5955" s="26"/>
      <c r="P5955" s="26"/>
    </row>
    <row r="5956" ht="15.75" customHeight="1">
      <c r="B5956" s="8"/>
      <c r="C5956" s="9">
        <v>43760.0</v>
      </c>
      <c r="D5956" s="6" t="s">
        <v>7001</v>
      </c>
      <c r="E5956" s="26">
        <v>6.210001559E9</v>
      </c>
      <c r="F5956" s="8" t="s">
        <v>7002</v>
      </c>
      <c r="G5956" s="26" t="s">
        <v>965</v>
      </c>
      <c r="H5956" s="18" t="s">
        <v>966</v>
      </c>
      <c r="I5956" s="18">
        <v>16.0</v>
      </c>
      <c r="J5956" s="11" t="str">
        <f>IF(D5956&lt;&gt;"",VLOOKUP(H5956,TABLEITEM,5,FALSE),"")</f>
        <v>EA</v>
      </c>
      <c r="K5956" s="17">
        <v>28.0</v>
      </c>
      <c r="L5956" s="13" t="str">
        <f>IF(D5956&lt;&gt;"",VLOOKUP(H5956,TABLEITEM,2,FALSE),"")</f>
        <v/>
      </c>
      <c r="M5956" s="13" t="str">
        <f>IF(D5956&lt;&gt;"",VLOOKUP(H5956,TABLEITEM,3,FALSE),"")</f>
        <v>ลูกปืน 6000ZZ</v>
      </c>
      <c r="N5956" s="14">
        <f>INSTOCK!$I5956*INSTOCK!$K5956</f>
        <v>448</v>
      </c>
      <c r="O5956" s="26"/>
      <c r="P5956" s="26"/>
    </row>
    <row r="5957" ht="15.75" customHeight="1">
      <c r="B5957" s="8"/>
      <c r="C5957" s="9">
        <v>43760.0</v>
      </c>
      <c r="D5957" s="6" t="s">
        <v>7001</v>
      </c>
      <c r="E5957" s="26">
        <v>6.210001526E9</v>
      </c>
      <c r="F5957" s="8" t="s">
        <v>604</v>
      </c>
      <c r="G5957" s="26" t="s">
        <v>965</v>
      </c>
      <c r="H5957" s="18" t="s">
        <v>3006</v>
      </c>
      <c r="I5957" s="18">
        <v>5.0</v>
      </c>
      <c r="J5957" s="11" t="str">
        <f>IF(D5957&lt;&gt;"",VLOOKUP(H5957,TABLEITEM,5,FALSE),"")</f>
        <v>EA</v>
      </c>
      <c r="K5957" s="17">
        <v>25.0</v>
      </c>
      <c r="L5957" s="13" t="str">
        <f>IF(D5957&lt;&gt;"",VLOOKUP(H5957,TABLEITEM,2,FALSE),"")</f>
        <v/>
      </c>
      <c r="M5957" s="13" t="str">
        <f>IF(D5957&lt;&gt;"",VLOOKUP(H5957,TABLEITEM,3,FALSE),"")</f>
        <v>เชือกฟาง</v>
      </c>
      <c r="N5957" s="14">
        <f>INSTOCK!$I5957*INSTOCK!$K5957</f>
        <v>125</v>
      </c>
      <c r="O5957" s="26"/>
      <c r="P5957" s="26"/>
    </row>
    <row r="5958" ht="15.75" customHeight="1">
      <c r="B5958" s="8"/>
      <c r="C5958" s="9">
        <v>43760.0</v>
      </c>
      <c r="D5958" s="6" t="s">
        <v>7001</v>
      </c>
      <c r="E5958" s="26">
        <v>6.210001526E9</v>
      </c>
      <c r="F5958" s="8" t="s">
        <v>604</v>
      </c>
      <c r="G5958" s="26" t="s">
        <v>965</v>
      </c>
      <c r="H5958" s="10" t="s">
        <v>7003</v>
      </c>
      <c r="I5958" s="10">
        <v>1.0</v>
      </c>
      <c r="J5958" s="11" t="str">
        <f>IF(D5958&lt;&gt;"",VLOOKUP(H5958,TABLEITEM,5,FALSE),"")</f>
        <v>EA</v>
      </c>
      <c r="K5958" s="12">
        <v>110.0</v>
      </c>
      <c r="L5958" s="13" t="str">
        <f>IF(D5958&lt;&gt;"",VLOOKUP(H5958,TABLEITEM,2,FALSE),"")</f>
        <v/>
      </c>
      <c r="M5958" s="13" t="str">
        <f>IF(D5958&lt;&gt;"",VLOOKUP(H5958,TABLEITEM,3,FALSE),"")</f>
        <v>โฮลซอ 16 มิล</v>
      </c>
      <c r="N5958" s="14">
        <f>INSTOCK!$I5958*INSTOCK!$K5958</f>
        <v>110</v>
      </c>
      <c r="O5958" s="4"/>
      <c r="P5958" s="4"/>
    </row>
    <row r="5959" ht="15.75" customHeight="1">
      <c r="B5959" s="8"/>
      <c r="C5959" s="9">
        <v>43760.0</v>
      </c>
      <c r="D5959" s="6" t="s">
        <v>7001</v>
      </c>
      <c r="E5959" s="26">
        <v>6.210001526E9</v>
      </c>
      <c r="F5959" s="8" t="s">
        <v>604</v>
      </c>
      <c r="G5959" s="26" t="s">
        <v>965</v>
      </c>
      <c r="H5959" s="10" t="s">
        <v>7004</v>
      </c>
      <c r="I5959" s="10">
        <v>12.0</v>
      </c>
      <c r="J5959" s="11" t="str">
        <f>IF(D5959&lt;&gt;"",VLOOKUP(H5959,TABLEITEM,5,FALSE),"")</f>
        <v>EA</v>
      </c>
      <c r="K5959" s="12">
        <v>7.5</v>
      </c>
      <c r="L5959" s="13" t="str">
        <f>IF(D5959&lt;&gt;"",VLOOKUP(H5959,TABLEITEM,2,FALSE),"")</f>
        <v/>
      </c>
      <c r="M5959" s="13" t="str">
        <f>IF(D5959&lt;&gt;"",VLOOKUP(H5959,TABLEITEM,3,FALSE),"")</f>
        <v>สกรูน๊อต 1/2"x4"</v>
      </c>
      <c r="N5959" s="14">
        <f>INSTOCK!$I5959*INSTOCK!$K5959</f>
        <v>90</v>
      </c>
      <c r="O5959" s="4"/>
      <c r="P5959" s="4"/>
    </row>
    <row r="5960" ht="15.75" customHeight="1">
      <c r="B5960" s="8"/>
      <c r="C5960" s="9">
        <v>43763.0</v>
      </c>
      <c r="D5960" s="6" t="s">
        <v>7005</v>
      </c>
      <c r="E5960" s="26"/>
      <c r="F5960" s="8" t="s">
        <v>7006</v>
      </c>
      <c r="G5960" s="26" t="s">
        <v>3045</v>
      </c>
      <c r="H5960" s="18" t="s">
        <v>5353</v>
      </c>
      <c r="I5960" s="18">
        <v>2.0</v>
      </c>
      <c r="J5960" s="11" t="str">
        <f>IF(D5960&lt;&gt;"",VLOOKUP(H5960,TABLEITEM,5,FALSE),"")</f>
        <v>EA</v>
      </c>
      <c r="K5960" s="17">
        <v>560.0</v>
      </c>
      <c r="L5960" s="13" t="str">
        <f>IF(D5960&lt;&gt;"",VLOOKUP(H5960,TABLEITEM,2,FALSE),"")</f>
        <v/>
      </c>
      <c r="M5960" s="13" t="str">
        <f>IF(D5960&lt;&gt;"",VLOOKUP(H5960,TABLEITEM,3,FALSE),"")</f>
        <v>แบตเตอรี่แห้ง LEOCH LP 12-7.8 12V7.8AH</v>
      </c>
      <c r="N5960" s="14">
        <f>INSTOCK!$I5960*INSTOCK!$K5960</f>
        <v>1120</v>
      </c>
      <c r="O5960" s="26"/>
      <c r="P5960" s="26"/>
    </row>
    <row r="5961" ht="15.75" customHeight="1">
      <c r="B5961" s="8"/>
      <c r="C5961" s="9">
        <v>43763.0</v>
      </c>
      <c r="D5961" s="6" t="s">
        <v>7007</v>
      </c>
      <c r="E5961" s="26">
        <v>6.210001562E9</v>
      </c>
      <c r="F5961" s="8" t="s">
        <v>2449</v>
      </c>
      <c r="G5961" s="26" t="s">
        <v>1985</v>
      </c>
      <c r="H5961" s="10" t="s">
        <v>2557</v>
      </c>
      <c r="I5961" s="18">
        <v>3.0</v>
      </c>
      <c r="J5961" s="11" t="str">
        <f>IF(D5961&lt;&gt;"",VLOOKUP(H5961,TABLEITEM,5,FALSE),"")</f>
        <v>คู่</v>
      </c>
      <c r="K5961" s="17">
        <v>560.0</v>
      </c>
      <c r="L5961" s="13" t="str">
        <f>IF(D5961&lt;&gt;"",VLOOKUP(H5961,TABLEITEM,2,FALSE),"")</f>
        <v/>
      </c>
      <c r="M5961" s="13" t="str">
        <f>IF(D5961&lt;&gt;"",VLOOKUP(H5961,TABLEITEM,3,FALSE),"")</f>
        <v>รองเท้าหุ้มส้นพื้นยาง CB800</v>
      </c>
      <c r="N5961" s="14">
        <f>INSTOCK!$I5961*INSTOCK!$K5961</f>
        <v>1680</v>
      </c>
      <c r="O5961" s="26"/>
      <c r="P5961" s="26"/>
    </row>
    <row r="5962" ht="15.75" customHeight="1">
      <c r="B5962" s="8"/>
      <c r="C5962" s="9">
        <v>43763.0</v>
      </c>
      <c r="D5962" s="6" t="s">
        <v>7008</v>
      </c>
      <c r="E5962" s="26">
        <v>6.210001569E9</v>
      </c>
      <c r="F5962" s="8" t="s">
        <v>801</v>
      </c>
      <c r="G5962" s="26" t="s">
        <v>1417</v>
      </c>
      <c r="H5962" s="18" t="s">
        <v>803</v>
      </c>
      <c r="I5962" s="18">
        <v>15.0</v>
      </c>
      <c r="J5962" s="11" t="str">
        <f>IF(D5962&lt;&gt;"",VLOOKUP(H5962,TABLEITEM,5,FALSE),"")</f>
        <v>ถัง</v>
      </c>
      <c r="K5962" s="17">
        <v>981.31</v>
      </c>
      <c r="L5962" s="13" t="str">
        <f>IF(D5962&lt;&gt;"",VLOOKUP(H5962,TABLEITEM,2,FALSE),"")</f>
        <v/>
      </c>
      <c r="M5962" s="13" t="str">
        <f>IF(D5962&lt;&gt;"",VLOOKUP(H5962,TABLEITEM,3,FALSE),"")</f>
        <v>แก๊สหุงต้ม 48กก</v>
      </c>
      <c r="N5962" s="14">
        <f>INSTOCK!$I5962*INSTOCK!$K5962</f>
        <v>14719.65</v>
      </c>
      <c r="O5962" s="26"/>
      <c r="P5962" s="26"/>
    </row>
    <row r="5963" ht="15.75" customHeight="1">
      <c r="B5963" s="8"/>
      <c r="C5963" s="9">
        <v>43760.0</v>
      </c>
      <c r="D5963" s="6" t="s">
        <v>7009</v>
      </c>
      <c r="E5963" s="26">
        <v>6.21001555E8</v>
      </c>
      <c r="F5963" s="8" t="s">
        <v>6965</v>
      </c>
      <c r="G5963" s="26" t="s">
        <v>2056</v>
      </c>
      <c r="H5963" s="18" t="s">
        <v>7010</v>
      </c>
      <c r="I5963" s="18">
        <v>100.0</v>
      </c>
      <c r="J5963" s="11" t="str">
        <f>IF(D5963&lt;&gt;"",VLOOKUP(H5963,TABLEITEM,5,FALSE),"")</f>
        <v>EA</v>
      </c>
      <c r="K5963" s="17">
        <v>10.5</v>
      </c>
      <c r="L5963" s="13" t="str">
        <f>IF(D5963&lt;&gt;"",VLOOKUP(H5963,TABLEITEM,2,FALSE),"")</f>
        <v/>
      </c>
      <c r="M5963" s="13" t="str">
        <f>IF(D5963&lt;&gt;"",VLOOKUP(H5963,TABLEITEM,3,FALSE),"")</f>
        <v>รีเวทนัท M5 SUS</v>
      </c>
      <c r="N5963" s="14">
        <f>INSTOCK!$I5963*INSTOCK!$K5963</f>
        <v>1050</v>
      </c>
      <c r="O5963" s="26"/>
      <c r="P5963" s="26"/>
    </row>
    <row r="5964" ht="15.75" customHeight="1">
      <c r="B5964" s="8"/>
      <c r="C5964" s="9">
        <v>43763.0</v>
      </c>
      <c r="D5964" s="6" t="s">
        <v>7011</v>
      </c>
      <c r="E5964" s="26">
        <v>6.210001563E9</v>
      </c>
      <c r="F5964" s="8" t="s">
        <v>807</v>
      </c>
      <c r="G5964" s="26" t="s">
        <v>808</v>
      </c>
      <c r="H5964" s="18" t="s">
        <v>831</v>
      </c>
      <c r="I5964" s="18">
        <v>1.0</v>
      </c>
      <c r="J5964" s="11" t="str">
        <f>IF(D5964&lt;&gt;"",VLOOKUP(H5964,TABLEITEM,5,FALSE),"")</f>
        <v>ท่อ</v>
      </c>
      <c r="K5964" s="17">
        <v>7700.0</v>
      </c>
      <c r="L5964" s="13" t="str">
        <f>IF(D5964&lt;&gt;"",VLOOKUP(H5964,TABLEITEM,2,FALSE),"")</f>
        <v/>
      </c>
      <c r="M5964" s="13" t="str">
        <f>IF(D5964&lt;&gt;"",VLOOKUP(H5964,TABLEITEM,3,FALSE),"")</f>
        <v>5% CO2.34% N2,61% HELIUM 7</v>
      </c>
      <c r="N5964" s="14">
        <f>INSTOCK!$I5964*INSTOCK!$K5964</f>
        <v>7700</v>
      </c>
      <c r="O5964" s="26"/>
      <c r="P5964" s="26"/>
    </row>
    <row r="5965" ht="15.75" customHeight="1">
      <c r="B5965" s="8"/>
      <c r="C5965" s="9">
        <v>43767.0</v>
      </c>
      <c r="D5965" s="6" t="s">
        <v>7012</v>
      </c>
      <c r="E5965" s="26">
        <v>6.210001581E9</v>
      </c>
      <c r="F5965" s="8" t="s">
        <v>807</v>
      </c>
      <c r="G5965" s="26" t="s">
        <v>808</v>
      </c>
      <c r="H5965" s="18" t="s">
        <v>809</v>
      </c>
      <c r="I5965" s="18">
        <v>1.0</v>
      </c>
      <c r="J5965" s="11" t="str">
        <f>IF(D5965&lt;&gt;"",VLOOKUP(H5965,TABLEITEM,5,FALSE),"")</f>
        <v>ท่อ</v>
      </c>
      <c r="K5965" s="17">
        <v>2700.0</v>
      </c>
      <c r="L5965" s="13" t="str">
        <f>IF(D5965&lt;&gt;"",VLOOKUP(H5965,TABLEITEM,2,FALSE),"")</f>
        <v/>
      </c>
      <c r="M5965" s="13" t="str">
        <f>IF(D5965&lt;&gt;"",VLOOKUP(H5965,TABLEITEM,3,FALSE),"")</f>
        <v>ไนโตรเจนเหลว ขนาด 100คิว</v>
      </c>
      <c r="N5965" s="14">
        <f>INSTOCK!$I5965*INSTOCK!$K5965</f>
        <v>2700</v>
      </c>
      <c r="O5965" s="26"/>
      <c r="P5965" s="26"/>
    </row>
    <row r="5966" ht="15.75" customHeight="1">
      <c r="B5966" s="8"/>
      <c r="C5966" s="9">
        <v>43766.0</v>
      </c>
      <c r="D5966" s="6">
        <v>1.2111901293E10</v>
      </c>
      <c r="E5966" s="26"/>
      <c r="F5966" s="8" t="s">
        <v>604</v>
      </c>
      <c r="G5966" s="26" t="s">
        <v>6773</v>
      </c>
      <c r="H5966" s="18" t="s">
        <v>1591</v>
      </c>
      <c r="I5966" s="18">
        <v>1.0</v>
      </c>
      <c r="J5966" s="11" t="str">
        <f>IF(D5966&lt;&gt;"",VLOOKUP(H5966,TABLEITEM,5,FALSE),"")</f>
        <v>EA</v>
      </c>
      <c r="K5966" s="17">
        <v>880.0</v>
      </c>
      <c r="L5966" s="13" t="str">
        <f>IF(D5966&lt;&gt;"",VLOOKUP(H5966,TABLEITEM,2,FALSE),"")</f>
        <v/>
      </c>
      <c r="M5966" s="13" t="str">
        <f>IF(D5966&lt;&gt;"",VLOOKUP(H5966,TABLEITEM,3,FALSE),"")</f>
        <v>CEMENTED CARBIDE 3.175x114x0.762</v>
      </c>
      <c r="N5966" s="14">
        <f>INSTOCK!$I5966*INSTOCK!$K5966</f>
        <v>880</v>
      </c>
      <c r="O5966" s="26"/>
      <c r="P5966" s="26"/>
    </row>
    <row r="5967" ht="15.75" customHeight="1">
      <c r="B5967" s="8"/>
      <c r="C5967" s="9">
        <v>43767.0</v>
      </c>
      <c r="D5967" s="6">
        <v>92263.0</v>
      </c>
      <c r="E5967" s="26">
        <v>6.210001577E9</v>
      </c>
      <c r="F5967" s="8" t="s">
        <v>604</v>
      </c>
      <c r="G5967" s="26" t="s">
        <v>1546</v>
      </c>
      <c r="H5967" s="10" t="s">
        <v>1547</v>
      </c>
      <c r="I5967" s="18">
        <v>10.0</v>
      </c>
      <c r="J5967" s="11" t="str">
        <f>IF(D5967&lt;&gt;"",VLOOKUP(H5967,TABLEITEM,5,FALSE),"")</f>
        <v>EA</v>
      </c>
      <c r="K5967" s="17">
        <v>490.0</v>
      </c>
      <c r="L5967" s="13" t="str">
        <f>IF(D5967&lt;&gt;"",VLOOKUP(H5967,TABLEITEM,2,FALSE),"")</f>
        <v/>
      </c>
      <c r="M5967" s="13" t="str">
        <f>IF(D5967&lt;&gt;"",VLOOKUP(H5967,TABLEITEM,3,FALSE),"")</f>
        <v>ล้อขัดใยสังเคราะห์ 100x100x35mmAC/R8</v>
      </c>
      <c r="N5967" s="14">
        <f>INSTOCK!$I5967*INSTOCK!$K5967</f>
        <v>4900</v>
      </c>
      <c r="O5967" s="26"/>
      <c r="P5967" s="26"/>
    </row>
    <row r="5968" ht="15.75" customHeight="1">
      <c r="B5968" s="8"/>
      <c r="C5968" s="9">
        <v>43767.0</v>
      </c>
      <c r="D5968" s="6" t="s">
        <v>7013</v>
      </c>
      <c r="E5968" s="26">
        <v>6.209001334E9</v>
      </c>
      <c r="F5968" s="8" t="s">
        <v>604</v>
      </c>
      <c r="G5968" s="26" t="s">
        <v>3099</v>
      </c>
      <c r="H5968" s="18" t="s">
        <v>2389</v>
      </c>
      <c r="I5968" s="18">
        <v>1000.0</v>
      </c>
      <c r="J5968" s="11" t="str">
        <f>IF(D5968&lt;&gt;"",VLOOKUP(H5968,TABLEITEM,5,FALSE),"")</f>
        <v>EA</v>
      </c>
      <c r="K5968" s="17">
        <v>10.3</v>
      </c>
      <c r="L5968" s="13" t="str">
        <f>IF(D5968&lt;&gt;"",VLOOKUP(H5968,TABLEITEM,2,FALSE),"")</f>
        <v/>
      </c>
      <c r="M5968" s="13" t="str">
        <f>IF(D5968&lt;&gt;"",VLOOKUP(H5968,TABLEITEM,3,FALSE),"")</f>
        <v>บานพับตู้ Knock Down รุ่นพับงอ</v>
      </c>
      <c r="N5968" s="14">
        <f>INSTOCK!$I5968*INSTOCK!$K5968</f>
        <v>10300</v>
      </c>
      <c r="O5968" s="26"/>
      <c r="P5968" s="26"/>
    </row>
    <row r="5969" ht="15.75" customHeight="1">
      <c r="B5969" s="8"/>
      <c r="C5969" s="9">
        <v>43767.0</v>
      </c>
      <c r="D5969" s="6" t="s">
        <v>7013</v>
      </c>
      <c r="E5969" s="26">
        <v>6.209001334E9</v>
      </c>
      <c r="F5969" s="8" t="s">
        <v>604</v>
      </c>
      <c r="G5969" s="26" t="s">
        <v>3099</v>
      </c>
      <c r="H5969" s="10" t="s">
        <v>5407</v>
      </c>
      <c r="I5969" s="10">
        <v>1000.0</v>
      </c>
      <c r="J5969" s="11" t="str">
        <f>IF(D5969&lt;&gt;"",VLOOKUP(H5969,TABLEITEM,5,FALSE),"")</f>
        <v>EA</v>
      </c>
      <c r="K5969" s="12">
        <v>9.1</v>
      </c>
      <c r="L5969" s="13" t="str">
        <f>IF(D5969&lt;&gt;"",VLOOKUP(H5969,TABLEITEM,2,FALSE),"")</f>
        <v/>
      </c>
      <c r="M5969" s="13" t="str">
        <f>IF(D5969&lt;&gt;"",VLOOKUP(H5969,TABLEITEM,3,FALSE),"")</f>
        <v>บานพับตู้ พับขอบกันน้ำ รุ่นพับงอ</v>
      </c>
      <c r="N5969" s="14">
        <f>INSTOCK!$I5969*INSTOCK!$K5969</f>
        <v>9100</v>
      </c>
      <c r="O5969" s="4"/>
      <c r="P5969" s="4"/>
    </row>
    <row r="5970" ht="15.75" customHeight="1">
      <c r="B5970" s="8"/>
      <c r="C5970" s="9">
        <v>43764.0</v>
      </c>
      <c r="D5970" s="6">
        <v>40883.0</v>
      </c>
      <c r="E5970" s="26">
        <v>6.210001565E9</v>
      </c>
      <c r="F5970" s="8" t="s">
        <v>604</v>
      </c>
      <c r="G5970" s="26" t="s">
        <v>696</v>
      </c>
      <c r="H5970" s="18" t="s">
        <v>44</v>
      </c>
      <c r="I5970" s="18">
        <v>2.0</v>
      </c>
      <c r="J5970" s="11" t="str">
        <f>IF(D5970&lt;&gt;"",VLOOKUP(H5970,TABLEITEM,5,FALSE),"")</f>
        <v>ปี๊ป</v>
      </c>
      <c r="K5970" s="17">
        <v>590.0</v>
      </c>
      <c r="L5970" s="13" t="str">
        <f>IF(D5970&lt;&gt;"",VLOOKUP(H5970,TABLEITEM,2,FALSE),"")</f>
        <v/>
      </c>
      <c r="M5970" s="13" t="str">
        <f>IF(D5970&lt;&gt;"",VLOOKUP(H5970,TABLEITEM,3,FALSE),"")</f>
        <v>ทินเนอร์ AAA</v>
      </c>
      <c r="N5970" s="14">
        <f>INSTOCK!$I5970*INSTOCK!$K5970</f>
        <v>1180</v>
      </c>
      <c r="O5970" s="26"/>
      <c r="P5970" s="26"/>
    </row>
    <row r="5971" ht="15.75" customHeight="1">
      <c r="B5971" s="8"/>
      <c r="C5971" s="9">
        <v>43764.0</v>
      </c>
      <c r="D5971" s="6">
        <v>40883.0</v>
      </c>
      <c r="E5971" s="26">
        <v>6.210001565E9</v>
      </c>
      <c r="F5971" s="8" t="s">
        <v>604</v>
      </c>
      <c r="G5971" s="26" t="s">
        <v>696</v>
      </c>
      <c r="H5971" s="10" t="s">
        <v>7014</v>
      </c>
      <c r="I5971" s="10">
        <v>6.0</v>
      </c>
      <c r="J5971" s="11" t="str">
        <f>IF(D5971&lt;&gt;"",VLOOKUP(H5971,TABLEITEM,5,FALSE),"")</f>
        <v>EA</v>
      </c>
      <c r="K5971" s="12">
        <v>52.0</v>
      </c>
      <c r="L5971" s="13" t="str">
        <f>IF(D5971&lt;&gt;"",VLOOKUP(H5971,TABLEITEM,2,FALSE),"")</f>
        <v/>
      </c>
      <c r="M5971" s="13" t="str">
        <f>IF(D5971&lt;&gt;"",VLOOKUP(H5971,TABLEITEM,3,FALSE),"")</f>
        <v>หน้าแปลน PVC 1"</v>
      </c>
      <c r="N5971" s="14">
        <f>INSTOCK!$I5971*INSTOCK!$K5971</f>
        <v>312</v>
      </c>
      <c r="O5971" s="4"/>
      <c r="P5971" s="4"/>
    </row>
    <row r="5972" ht="15.75" customHeight="1">
      <c r="B5972" s="8"/>
      <c r="C5972" s="9">
        <v>43761.0</v>
      </c>
      <c r="D5972" s="6" t="s">
        <v>7015</v>
      </c>
      <c r="E5972" s="26"/>
      <c r="F5972" s="8" t="s">
        <v>7016</v>
      </c>
      <c r="G5972" s="26" t="s">
        <v>3029</v>
      </c>
      <c r="H5972" s="18" t="s">
        <v>3030</v>
      </c>
      <c r="I5972" s="18">
        <v>1.0</v>
      </c>
      <c r="J5972" s="11" t="str">
        <f>IF(D5972&lt;&gt;"",VLOOKUP(H5972,TABLEITEM,5,FALSE),"")</f>
        <v>LOT</v>
      </c>
      <c r="K5972" s="17">
        <v>3224.65</v>
      </c>
      <c r="L5972" s="13" t="str">
        <f>IF(D5972&lt;&gt;"",VLOOKUP(H5972,TABLEITEM,2,FALSE),"")</f>
        <v/>
      </c>
      <c r="M5972" s="13" t="str">
        <f>IF(D5972&lt;&gt;"",VLOOKUP(H5972,TABLEITEM,3,FALSE),"")</f>
        <v>ค่าชุบ ดีบุกเงา</v>
      </c>
      <c r="N5972" s="14">
        <f>INSTOCK!$I5972*INSTOCK!$K5972</f>
        <v>3224.65</v>
      </c>
      <c r="O5972" s="26" t="s">
        <v>7017</v>
      </c>
      <c r="P5972" s="26"/>
    </row>
    <row r="5973" ht="15.75" customHeight="1">
      <c r="B5973" s="8"/>
      <c r="C5973" s="9">
        <v>43760.0</v>
      </c>
      <c r="D5973" s="6" t="s">
        <v>7018</v>
      </c>
      <c r="E5973" s="26"/>
      <c r="F5973" s="8" t="s">
        <v>6799</v>
      </c>
      <c r="G5973" s="26" t="s">
        <v>3029</v>
      </c>
      <c r="H5973" s="18" t="s">
        <v>3030</v>
      </c>
      <c r="I5973" s="18">
        <v>1.0</v>
      </c>
      <c r="J5973" s="11" t="str">
        <f>IF(D5973&lt;&gt;"",VLOOKUP(H5973,TABLEITEM,5,FALSE),"")</f>
        <v>LOT</v>
      </c>
      <c r="K5973" s="17">
        <v>500.0</v>
      </c>
      <c r="L5973" s="13" t="str">
        <f>IF(D5973&lt;&gt;"",VLOOKUP(H5973,TABLEITEM,2,FALSE),"")</f>
        <v/>
      </c>
      <c r="M5973" s="13" t="str">
        <f>IF(D5973&lt;&gt;"",VLOOKUP(H5973,TABLEITEM,3,FALSE),"")</f>
        <v>ค่าชุบ ดีบุกเงา</v>
      </c>
      <c r="N5973" s="14">
        <f>INSTOCK!$I5973*INSTOCK!$K5973</f>
        <v>500</v>
      </c>
      <c r="O5973" s="26" t="s">
        <v>3258</v>
      </c>
      <c r="P5973" s="26"/>
    </row>
    <row r="5974" ht="15.75" customHeight="1">
      <c r="B5974" s="8"/>
      <c r="C5974" s="9">
        <v>43763.0</v>
      </c>
      <c r="D5974" s="6" t="s">
        <v>7019</v>
      </c>
      <c r="E5974" s="26">
        <v>6.210001561E9</v>
      </c>
      <c r="F5974" s="8" t="s">
        <v>604</v>
      </c>
      <c r="G5974" s="26" t="s">
        <v>1202</v>
      </c>
      <c r="H5974" s="18" t="s">
        <v>158</v>
      </c>
      <c r="I5974" s="18">
        <v>20.0</v>
      </c>
      <c r="J5974" s="11" t="str">
        <f>IF(D5974&lt;&gt;"",VLOOKUP(H5974,TABLEITEM,5,FALSE),"")</f>
        <v>EA</v>
      </c>
      <c r="K5974" s="17">
        <v>662.0</v>
      </c>
      <c r="L5974" s="13" t="str">
        <f>IF(D5974&lt;&gt;"",VLOOKUP(H5974,TABLEITEM,2,FALSE),"")</f>
        <v/>
      </c>
      <c r="M5974" s="13" t="str">
        <f>IF(D5974&lt;&gt;"",VLOOKUP(H5974,TABLEITEM,3,FALSE),"")</f>
        <v>กุญแจ TAKIGEN A-140-3-1</v>
      </c>
      <c r="N5974" s="14">
        <f>INSTOCK!$I5974*INSTOCK!$K5974</f>
        <v>13240</v>
      </c>
      <c r="O5974" s="26"/>
      <c r="P5974" s="26"/>
    </row>
    <row r="5975" ht="15.75" customHeight="1">
      <c r="B5975" s="8"/>
      <c r="C5975" s="9">
        <v>43763.0</v>
      </c>
      <c r="D5975" s="6" t="s">
        <v>7020</v>
      </c>
      <c r="E5975" s="26"/>
      <c r="F5975" s="8" t="s">
        <v>6973</v>
      </c>
      <c r="G5975" s="26" t="s">
        <v>7021</v>
      </c>
      <c r="H5975" s="18" t="s">
        <v>7022</v>
      </c>
      <c r="I5975" s="18">
        <v>2.0</v>
      </c>
      <c r="J5975" s="11" t="str">
        <f>IF(D5975&lt;&gt;"",VLOOKUP(H5975,TABLEITEM,5,FALSE),"")</f>
        <v>SHEET</v>
      </c>
      <c r="K5975" s="17">
        <v>2025.0</v>
      </c>
      <c r="L5975" s="13" t="str">
        <f>IF(D5975&lt;&gt;"",VLOOKUP(H5975,TABLEITEM,2,FALSE),"")</f>
        <v/>
      </c>
      <c r="M5975" s="13" t="str">
        <f>IF(D5975&lt;&gt;"",VLOOKUP(H5975,TABLEITEM,3,FALSE),"")</f>
        <v>ไม้ก๊อกผสมยาง 52999 พับไม่หัก W 1xL 1Mtr Thk 3.0mm</v>
      </c>
      <c r="N5975" s="14">
        <f>INSTOCK!$I5975*INSTOCK!$K5975</f>
        <v>4050</v>
      </c>
      <c r="O5975" s="26" t="s">
        <v>7023</v>
      </c>
      <c r="P5975" s="26"/>
    </row>
    <row r="5976" ht="15.75" customHeight="1">
      <c r="B5976" s="8"/>
      <c r="C5976" s="9">
        <v>43763.0</v>
      </c>
      <c r="D5976" s="6" t="s">
        <v>7024</v>
      </c>
      <c r="E5976" s="26"/>
      <c r="F5976" s="8" t="s">
        <v>6841</v>
      </c>
      <c r="G5976" s="26" t="s">
        <v>7025</v>
      </c>
      <c r="H5976" s="18" t="s">
        <v>7026</v>
      </c>
      <c r="I5976" s="18">
        <v>5.0</v>
      </c>
      <c r="J5976" s="11" t="str">
        <f>IF(D5976&lt;&gt;"",VLOOKUP(H5976,TABLEITEM,5,FALSE),"")</f>
        <v>EA</v>
      </c>
      <c r="K5976" s="17">
        <v>35.0</v>
      </c>
      <c r="L5976" s="13" t="str">
        <f>IF(D5976&lt;&gt;"",VLOOKUP(H5976,TABLEITEM,2,FALSE),"")</f>
        <v/>
      </c>
      <c r="M5976" s="13" t="str">
        <f>IF(D5976&lt;&gt;"",VLOOKUP(H5976,TABLEITEM,3,FALSE),"")</f>
        <v>สปริง 7/8"</v>
      </c>
      <c r="N5976" s="14">
        <f>INSTOCK!$I5976*INSTOCK!$K5976</f>
        <v>175</v>
      </c>
      <c r="O5976" s="26"/>
      <c r="P5976" s="26"/>
    </row>
    <row r="5977" ht="15.75" customHeight="1">
      <c r="B5977" s="8"/>
      <c r="C5977" s="9">
        <v>43768.0</v>
      </c>
      <c r="D5977" s="6" t="s">
        <v>7027</v>
      </c>
      <c r="E5977" s="26"/>
      <c r="F5977" s="8" t="s">
        <v>604</v>
      </c>
      <c r="G5977" s="26" t="s">
        <v>7028</v>
      </c>
      <c r="H5977" s="18" t="s">
        <v>7029</v>
      </c>
      <c r="I5977" s="18">
        <v>50.0</v>
      </c>
      <c r="J5977" s="11" t="str">
        <f>IF(D5977&lt;&gt;"",VLOOKUP(H5977,TABLEITEM,5,FALSE),"")</f>
        <v>M</v>
      </c>
      <c r="K5977" s="17">
        <v>40.82</v>
      </c>
      <c r="L5977" s="13" t="str">
        <f>IF(D5977&lt;&gt;"",VLOOKUP(H5977,TABLEITEM,2,FALSE),"")</f>
        <v/>
      </c>
      <c r="M5977" s="13" t="str">
        <f>IF(D5977&lt;&gt;"",VLOOKUP(H5977,TABLEITEM,3,FALSE),"")</f>
        <v>สายลมถัก 8x12 สีน้ำเงิน </v>
      </c>
      <c r="N5977" s="14">
        <f>INSTOCK!$I5977*INSTOCK!$K5977</f>
        <v>2041</v>
      </c>
      <c r="O5977" s="26" t="s">
        <v>7030</v>
      </c>
      <c r="P5977" s="26"/>
    </row>
    <row r="5978" ht="15.75" customHeight="1">
      <c r="B5978" s="8"/>
      <c r="C5978" s="9">
        <v>43767.0</v>
      </c>
      <c r="D5978" s="6">
        <v>6.2100825E7</v>
      </c>
      <c r="E5978" s="26">
        <v>6.210001593E9</v>
      </c>
      <c r="F5978" s="8" t="s">
        <v>7031</v>
      </c>
      <c r="G5978" s="26" t="s">
        <v>1130</v>
      </c>
      <c r="H5978" s="18" t="s">
        <v>7032</v>
      </c>
      <c r="I5978" s="18">
        <v>3.0</v>
      </c>
      <c r="J5978" s="11" t="str">
        <f>IF(D5978&lt;&gt;"",VLOOKUP(H5978,TABLEITEM,5,FALSE),"")</f>
        <v>EA</v>
      </c>
      <c r="K5978" s="17">
        <v>10.5</v>
      </c>
      <c r="L5978" s="13" t="str">
        <f>IF(D5978&lt;&gt;"",VLOOKUP(H5978,TABLEITEM,2,FALSE),"")</f>
        <v/>
      </c>
      <c r="M5978" s="13" t="str">
        <f>IF(D5978&lt;&gt;"",VLOOKUP(H5978,TABLEITEM,3,FALSE),"")</f>
        <v>เคเบิ้ลแกรนไนล่อนสีดำ PG16 </v>
      </c>
      <c r="N5978" s="14">
        <f>INSTOCK!$I5978*INSTOCK!$K5978</f>
        <v>31.5</v>
      </c>
      <c r="O5978" s="26" t="s">
        <v>7033</v>
      </c>
      <c r="P5978" s="26"/>
    </row>
    <row r="5979" ht="15.75" customHeight="1">
      <c r="B5979" s="8"/>
      <c r="C5979" s="9">
        <v>43767.0</v>
      </c>
      <c r="D5979" s="6">
        <v>6.2100825E7</v>
      </c>
      <c r="E5979" s="26">
        <v>6.210001593E9</v>
      </c>
      <c r="F5979" s="8" t="s">
        <v>7031</v>
      </c>
      <c r="G5979" s="26" t="s">
        <v>1130</v>
      </c>
      <c r="H5979" s="10" t="s">
        <v>245</v>
      </c>
      <c r="I5979" s="10">
        <v>2500.0</v>
      </c>
      <c r="J5979" s="11" t="str">
        <f>IF(D5979&lt;&gt;"",VLOOKUP(H5979,TABLEITEM,5,FALSE),"")</f>
        <v>EA</v>
      </c>
      <c r="K5979" s="12">
        <v>0.6174</v>
      </c>
      <c r="L5979" s="13" t="str">
        <f>IF(D5979&lt;&gt;"",VLOOKUP(H5979,TABLEITEM,2,FALSE),"")</f>
        <v/>
      </c>
      <c r="M5979" s="13" t="str">
        <f>IF(D5979&lt;&gt;"",VLOOKUP(H5979,TABLEITEM,3,FALSE),"")</f>
        <v>หางปลาแฉกเปลือย Y1.5-3S</v>
      </c>
      <c r="N5979" s="14">
        <f>INSTOCK!$I5979*INSTOCK!$K5979</f>
        <v>1543.5</v>
      </c>
      <c r="O5979" s="4" t="s">
        <v>6665</v>
      </c>
      <c r="P5979" s="4"/>
    </row>
    <row r="5980" ht="15.75" customHeight="1">
      <c r="B5980" s="8"/>
      <c r="C5980" s="9">
        <v>43768.0</v>
      </c>
      <c r="D5980" s="6" t="s">
        <v>7034</v>
      </c>
      <c r="E5980" s="26">
        <v>6.210001575E9</v>
      </c>
      <c r="F5980" s="8" t="s">
        <v>7035</v>
      </c>
      <c r="G5980" s="26" t="s">
        <v>1923</v>
      </c>
      <c r="H5980" s="18" t="s">
        <v>6947</v>
      </c>
      <c r="I5980" s="18">
        <v>30.0</v>
      </c>
      <c r="J5980" s="11" t="str">
        <f>IF(D5980&lt;&gt;"",VLOOKUP(H5980,TABLEITEM,5,FALSE),"")</f>
        <v>EA</v>
      </c>
      <c r="K5980" s="17">
        <v>190.8</v>
      </c>
      <c r="L5980" s="13" t="str">
        <f>IF(D5980&lt;&gt;"",VLOOKUP(H5980,TABLEITEM,2,FALSE),"")</f>
        <v/>
      </c>
      <c r="M5980" s="13" t="str">
        <f>IF(D5980&lt;&gt;"",VLOOKUP(H5980,TABLEITEM,3,FALSE),"")</f>
        <v>ล้อแป้นเป็น ติดเบรค GPU 3"</v>
      </c>
      <c r="N5980" s="14">
        <f>INSTOCK!$I5980*INSTOCK!$K5980</f>
        <v>5724</v>
      </c>
      <c r="O5980" s="26"/>
      <c r="P5980" s="26"/>
    </row>
    <row r="5981" ht="15.75" customHeight="1">
      <c r="B5981" s="8"/>
      <c r="C5981" s="9">
        <v>43770.0</v>
      </c>
      <c r="D5981" s="6" t="s">
        <v>7036</v>
      </c>
      <c r="E5981" s="26">
        <v>6.210001574E9</v>
      </c>
      <c r="F5981" s="8" t="s">
        <v>604</v>
      </c>
      <c r="G5981" s="26" t="s">
        <v>1671</v>
      </c>
      <c r="H5981" s="10" t="s">
        <v>1672</v>
      </c>
      <c r="I5981" s="18">
        <v>20.0</v>
      </c>
      <c r="J5981" s="11" t="str">
        <f>IF(D5981&lt;&gt;"",VLOOKUP(H5981,TABLEITEM,5,FALSE),"")</f>
        <v>SET</v>
      </c>
      <c r="K5981" s="17">
        <v>150.0</v>
      </c>
      <c r="L5981" s="13" t="str">
        <f>IF(D5981&lt;&gt;"",VLOOKUP(H5981,TABLEITEM,2,FALSE),"")</f>
        <v/>
      </c>
      <c r="M5981" s="13" t="str">
        <f>IF(D5981&lt;&gt;"",VLOOKUP(H5981,TABLEITEM,3,FALSE),"")</f>
        <v>แปรงถ่าน BOSCH GWS 7-100</v>
      </c>
      <c r="N5981" s="14">
        <f>INSTOCK!$I5981*INSTOCK!$K5981</f>
        <v>3000</v>
      </c>
      <c r="O5981" s="26"/>
      <c r="P5981" s="26"/>
    </row>
    <row r="5982" ht="15.75" customHeight="1">
      <c r="B5982" s="8"/>
      <c r="C5982" s="9">
        <v>43767.0</v>
      </c>
      <c r="D5982" s="6" t="s">
        <v>7037</v>
      </c>
      <c r="E5982" s="26"/>
      <c r="F5982" s="8" t="s">
        <v>1989</v>
      </c>
      <c r="G5982" s="26" t="s">
        <v>1990</v>
      </c>
      <c r="H5982" s="18" t="s">
        <v>3967</v>
      </c>
      <c r="I5982" s="18">
        <v>2.0</v>
      </c>
      <c r="J5982" s="11" t="str">
        <f>IF(D5982&lt;&gt;"",VLOOKUP(H5982,TABLEITEM,5,FALSE),"")</f>
        <v>EA</v>
      </c>
      <c r="K5982" s="17">
        <v>125.0</v>
      </c>
      <c r="L5982" s="13" t="str">
        <f>IF(D5982&lt;&gt;"",VLOOKUP(H5982,TABLEITEM,2,FALSE),"")</f>
        <v/>
      </c>
      <c r="M5982" s="13" t="str">
        <f>IF(D5982&lt;&gt;"",VLOOKUP(H5982,TABLEITEM,3,FALSE),"")</f>
        <v>เครื่องเจาะกระดาษ ตราม้า H-600(20แผ่น)</v>
      </c>
      <c r="N5982" s="14">
        <f>INSTOCK!$I5982*INSTOCK!$K5982</f>
        <v>250</v>
      </c>
      <c r="O5982" s="26"/>
      <c r="P5982" s="26"/>
    </row>
    <row r="5983" ht="15.75" customHeight="1">
      <c r="B5983" s="8"/>
      <c r="C5983" s="9">
        <v>43767.0</v>
      </c>
      <c r="D5983" s="6" t="s">
        <v>7037</v>
      </c>
      <c r="E5983" s="26"/>
      <c r="F5983" s="8" t="s">
        <v>1989</v>
      </c>
      <c r="G5983" s="26" t="s">
        <v>1990</v>
      </c>
      <c r="H5983" s="10" t="s">
        <v>7038</v>
      </c>
      <c r="I5983" s="10">
        <v>10.0</v>
      </c>
      <c r="J5983" s="11" t="str">
        <f>IF(D5983&lt;&gt;"",VLOOKUP(H5983,TABLEITEM,5,FALSE),"")</f>
        <v>EA</v>
      </c>
      <c r="K5983" s="12">
        <v>13.0</v>
      </c>
      <c r="L5983" s="13" t="str">
        <f>IF(D5983&lt;&gt;"",VLOOKUP(H5983,TABLEITEM,2,FALSE),"")</f>
        <v/>
      </c>
      <c r="M5983" s="13" t="str">
        <f>IF(D5983&lt;&gt;"",VLOOKUP(H5983,TABLEITEM,3,FALSE),"")</f>
        <v>ปากกาลบคำผิด ตราช้าง 0.7ml</v>
      </c>
      <c r="N5983" s="14">
        <f>INSTOCK!$I5983*INSTOCK!$K5983</f>
        <v>130</v>
      </c>
      <c r="O5983" s="4"/>
      <c r="P5983" s="4"/>
    </row>
    <row r="5984" ht="15.75" customHeight="1">
      <c r="B5984" s="8"/>
      <c r="C5984" s="9">
        <v>43767.0</v>
      </c>
      <c r="D5984" s="6" t="s">
        <v>7037</v>
      </c>
      <c r="E5984" s="26"/>
      <c r="F5984" s="8" t="s">
        <v>1989</v>
      </c>
      <c r="G5984" s="26" t="s">
        <v>1990</v>
      </c>
      <c r="H5984" s="10" t="s">
        <v>7039</v>
      </c>
      <c r="I5984" s="10">
        <v>60.0</v>
      </c>
      <c r="J5984" s="11" t="str">
        <f>IF(D5984&lt;&gt;"",VLOOKUP(H5984,TABLEITEM,5,FALSE),"")</f>
        <v>EA</v>
      </c>
      <c r="K5984" s="12">
        <v>2.5</v>
      </c>
      <c r="L5984" s="13" t="str">
        <f>IF(D5984&lt;&gt;"",VLOOKUP(H5984,TABLEITEM,2,FALSE),"")</f>
        <v/>
      </c>
      <c r="M5984" s="13" t="str">
        <f>IF(D5984&lt;&gt;"",VLOOKUP(H5984,TABLEITEM,3,FALSE),"")</f>
        <v>ดินสอดำ 2B ควอนตั้ม QP910</v>
      </c>
      <c r="N5984" s="14">
        <f>INSTOCK!$I5984*INSTOCK!$K5984</f>
        <v>150</v>
      </c>
      <c r="O5984" s="4"/>
      <c r="P5984" s="4"/>
    </row>
    <row r="5985" ht="15.75" customHeight="1">
      <c r="B5985" s="8"/>
      <c r="C5985" s="9">
        <v>43770.0</v>
      </c>
      <c r="D5985" s="6" t="s">
        <v>7040</v>
      </c>
      <c r="E5985" s="26">
        <v>6.210001583E9</v>
      </c>
      <c r="F5985" s="8" t="s">
        <v>2985</v>
      </c>
      <c r="G5985" s="26" t="s">
        <v>3267</v>
      </c>
      <c r="H5985" s="10" t="s">
        <v>3987</v>
      </c>
      <c r="I5985" s="18">
        <v>2.0</v>
      </c>
      <c r="J5985" s="11" t="str">
        <f>IF(D5985&lt;&gt;"",VLOOKUP(H5985,TABLEITEM,5,FALSE),"")</f>
        <v>EA</v>
      </c>
      <c r="K5985" s="17">
        <v>1200.0</v>
      </c>
      <c r="L5985" s="13" t="str">
        <f>IF(D5985&lt;&gt;"",VLOOKUP(H5985,TABLEITEM,2,FALSE),"")</f>
        <v/>
      </c>
      <c r="M5985" s="13" t="str">
        <f>IF(D5985&lt;&gt;"",VLOOKUP(H5985,TABLEITEM,3,FALSE),"")</f>
        <v>Powder tube PEM-X1 ET</v>
      </c>
      <c r="N5985" s="14">
        <f>INSTOCK!$I5985*INSTOCK!$K5985</f>
        <v>2400</v>
      </c>
      <c r="O5985" s="26"/>
      <c r="P5985" s="26"/>
    </row>
    <row r="5986" ht="15.75" customHeight="1">
      <c r="B5986" s="8"/>
      <c r="C5986" s="9">
        <v>43770.0</v>
      </c>
      <c r="D5986" s="6" t="s">
        <v>7040</v>
      </c>
      <c r="E5986" s="26">
        <v>6.210001583E9</v>
      </c>
      <c r="F5986" s="8" t="s">
        <v>2985</v>
      </c>
      <c r="G5986" s="26" t="s">
        <v>3267</v>
      </c>
      <c r="H5986" s="10" t="s">
        <v>5259</v>
      </c>
      <c r="I5986" s="10">
        <v>1.0</v>
      </c>
      <c r="J5986" s="11" t="str">
        <f>IF(D5986&lt;&gt;"",VLOOKUP(H5986,TABLEITEM,5,FALSE),"")</f>
        <v>EA</v>
      </c>
      <c r="K5986" s="12">
        <v>3200.0</v>
      </c>
      <c r="L5986" s="13" t="str">
        <f>IF(D5986&lt;&gt;"",VLOOKUP(H5986,TABLEITEM,2,FALSE),"")</f>
        <v/>
      </c>
      <c r="M5986" s="13" t="str">
        <f>IF(D5986&lt;&gt;"",VLOOKUP(H5986,TABLEITEM,3,FALSE),"")</f>
        <v>Electrode Ho;der X1 F SP</v>
      </c>
      <c r="N5986" s="14">
        <f>INSTOCK!$I5986*INSTOCK!$K5986</f>
        <v>3200</v>
      </c>
      <c r="O5986" s="4"/>
      <c r="P5986" s="4"/>
    </row>
    <row r="5987" ht="15.75" customHeight="1">
      <c r="B5987" s="8"/>
      <c r="C5987" s="9">
        <v>43749.0</v>
      </c>
      <c r="D5987" s="6" t="s">
        <v>7041</v>
      </c>
      <c r="E5987" s="26"/>
      <c r="F5987" s="8" t="s">
        <v>6707</v>
      </c>
      <c r="G5987" s="26" t="s">
        <v>898</v>
      </c>
      <c r="H5987" s="18" t="s">
        <v>899</v>
      </c>
      <c r="I5987" s="18">
        <v>1.0</v>
      </c>
      <c r="J5987" s="11" t="str">
        <f>IF(D5987&lt;&gt;"",VLOOKUP(H5987,TABLEITEM,5,FALSE),"")</f>
        <v>LIT</v>
      </c>
      <c r="K5987" s="17">
        <v>430.0</v>
      </c>
      <c r="L5987" s="13" t="str">
        <f>IF(D5987&lt;&gt;"",VLOOKUP(H5987,TABLEITEM,2,FALSE),"")</f>
        <v/>
      </c>
      <c r="M5987" s="13" t="str">
        <f>IF(D5987&lt;&gt;"",VLOOKUP(H5987,TABLEITEM,3,FALSE),"")</f>
        <v>สีพ่นแห้งเร็ว(สีผสม)</v>
      </c>
      <c r="N5987" s="14">
        <f>INSTOCK!$I5987*INSTOCK!$K5987</f>
        <v>430</v>
      </c>
      <c r="O5987" s="26" t="s">
        <v>5508</v>
      </c>
      <c r="P5987" s="26"/>
    </row>
    <row r="5988" ht="15.75" customHeight="1">
      <c r="B5988" s="8"/>
      <c r="C5988" s="9">
        <v>43749.0</v>
      </c>
      <c r="D5988" s="6" t="s">
        <v>7042</v>
      </c>
      <c r="E5988" s="26"/>
      <c r="F5988" s="8" t="s">
        <v>7043</v>
      </c>
      <c r="G5988" s="26" t="s">
        <v>898</v>
      </c>
      <c r="H5988" s="18" t="s">
        <v>899</v>
      </c>
      <c r="I5988" s="18">
        <v>1.0</v>
      </c>
      <c r="J5988" s="11" t="str">
        <f>IF(D5988&lt;&gt;"",VLOOKUP(H5988,TABLEITEM,5,FALSE),"")</f>
        <v>LIT</v>
      </c>
      <c r="K5988" s="17">
        <v>380.0</v>
      </c>
      <c r="L5988" s="13" t="str">
        <f>IF(D5988&lt;&gt;"",VLOOKUP(H5988,TABLEITEM,2,FALSE),"")</f>
        <v/>
      </c>
      <c r="M5988" s="13" t="str">
        <f>IF(D5988&lt;&gt;"",VLOOKUP(H5988,TABLEITEM,3,FALSE),"")</f>
        <v>สีพ่นแห้งเร็ว(สีผสม)</v>
      </c>
      <c r="N5988" s="14">
        <f>INSTOCK!$I5988*INSTOCK!$K5988</f>
        <v>380</v>
      </c>
      <c r="O5988" s="26" t="s">
        <v>7044</v>
      </c>
      <c r="P5988" s="26"/>
    </row>
    <row r="5989" ht="15.75" customHeight="1">
      <c r="B5989" s="8"/>
      <c r="C5989" s="9">
        <v>43755.0</v>
      </c>
      <c r="D5989" s="6">
        <v>28617.0</v>
      </c>
      <c r="E5989" s="26"/>
      <c r="F5989" s="8" t="s">
        <v>7045</v>
      </c>
      <c r="G5989" s="26" t="s">
        <v>2528</v>
      </c>
      <c r="H5989" s="18" t="s">
        <v>2529</v>
      </c>
      <c r="I5989" s="18">
        <v>1.0</v>
      </c>
      <c r="J5989" s="11" t="str">
        <f>IF(D5989&lt;&gt;"",VLOOKUP(H5989,TABLEITEM,5,FALSE),"")</f>
        <v>KG.</v>
      </c>
      <c r="K5989" s="17">
        <v>1200.0</v>
      </c>
      <c r="L5989" s="13" t="str">
        <f>IF(D5989&lt;&gt;"",VLOOKUP(H5989,TABLEITEM,2,FALSE),"")</f>
        <v/>
      </c>
      <c r="M5989" s="13" t="str">
        <f>IF(D5989&lt;&gt;"",VLOOKUP(H5989,TABLEITEM,3,FALSE),"")</f>
        <v>งานชุบ HOT DIP</v>
      </c>
      <c r="N5989" s="14">
        <f>INSTOCK!$I5989*INSTOCK!$K5989</f>
        <v>1200</v>
      </c>
      <c r="O5989" s="26" t="s">
        <v>7046</v>
      </c>
      <c r="P5989" s="26"/>
    </row>
    <row r="5990" ht="15.75" customHeight="1">
      <c r="B5990" s="8"/>
      <c r="C5990" s="9">
        <v>43769.0</v>
      </c>
      <c r="D5990" s="6" t="s">
        <v>7047</v>
      </c>
      <c r="E5990" s="26">
        <v>6.210001602E9</v>
      </c>
      <c r="F5990" s="8" t="s">
        <v>807</v>
      </c>
      <c r="G5990" s="26" t="s">
        <v>808</v>
      </c>
      <c r="H5990" s="18" t="s">
        <v>809</v>
      </c>
      <c r="I5990" s="18">
        <v>1.0</v>
      </c>
      <c r="J5990" s="11" t="str">
        <f>IF(D5990&lt;&gt;"",VLOOKUP(H5990,TABLEITEM,5,FALSE),"")</f>
        <v>ท่อ</v>
      </c>
      <c r="K5990" s="17">
        <v>2700.0</v>
      </c>
      <c r="L5990" s="13" t="str">
        <f>IF(D5990&lt;&gt;"",VLOOKUP(H5990,TABLEITEM,2,FALSE),"")</f>
        <v/>
      </c>
      <c r="M5990" s="13" t="str">
        <f>IF(D5990&lt;&gt;"",VLOOKUP(H5990,TABLEITEM,3,FALSE),"")</f>
        <v>ไนโตรเจนเหลว ขนาด 100คิว</v>
      </c>
      <c r="N5990" s="14">
        <f>INSTOCK!$I5990*INSTOCK!$K5990</f>
        <v>2700</v>
      </c>
      <c r="O5990" s="26"/>
      <c r="P5990" s="26"/>
    </row>
    <row r="5991" ht="15.75" customHeight="1">
      <c r="B5991" s="8"/>
      <c r="C5991" s="9">
        <v>43769.0</v>
      </c>
      <c r="D5991" s="6" t="s">
        <v>7047</v>
      </c>
      <c r="E5991" s="26">
        <v>6.210001602E9</v>
      </c>
      <c r="F5991" s="8" t="s">
        <v>807</v>
      </c>
      <c r="G5991" s="26" t="s">
        <v>808</v>
      </c>
      <c r="H5991" s="10" t="s">
        <v>812</v>
      </c>
      <c r="I5991" s="10">
        <v>1.0</v>
      </c>
      <c r="J5991" s="11" t="str">
        <f>IF(D5991&lt;&gt;"",VLOOKUP(H5991,TABLEITEM,5,FALSE),"")</f>
        <v>ท่อ</v>
      </c>
      <c r="K5991" s="12">
        <v>2960.0</v>
      </c>
      <c r="L5991" s="13" t="str">
        <f>IF(D5991&lt;&gt;"",VLOOKUP(H5991,TABLEITEM,2,FALSE),"")</f>
        <v/>
      </c>
      <c r="M5991" s="13" t="str">
        <f>IF(D5991&lt;&gt;"",VLOOKUP(H5991,TABLEITEM,3,FALSE),"")</f>
        <v>ออกซิเจนเหลว ขนาด 148 คิว</v>
      </c>
      <c r="N5991" s="14">
        <f>INSTOCK!$I5991*INSTOCK!$K5991</f>
        <v>2960</v>
      </c>
      <c r="O5991" s="4"/>
      <c r="P5991" s="4"/>
    </row>
    <row r="5992" ht="15.75" customHeight="1">
      <c r="B5992" s="8"/>
      <c r="C5992" s="9">
        <v>43770.0</v>
      </c>
      <c r="D5992" s="6" t="s">
        <v>7048</v>
      </c>
      <c r="E5992" s="26">
        <v>6.210001585E9</v>
      </c>
      <c r="F5992" s="8" t="s">
        <v>604</v>
      </c>
      <c r="G5992" s="26" t="s">
        <v>729</v>
      </c>
      <c r="H5992" s="10" t="s">
        <v>1206</v>
      </c>
      <c r="I5992" s="18">
        <v>50.0</v>
      </c>
      <c r="J5992" s="11" t="str">
        <f>IF(D5992&lt;&gt;"",VLOOKUP(H5992,TABLEITEM,5,FALSE),"")</f>
        <v>M</v>
      </c>
      <c r="K5992" s="17">
        <v>36.0</v>
      </c>
      <c r="L5992" s="13" t="str">
        <f>IF(D5992&lt;&gt;"",VLOOKUP(H5992,TABLEITEM,2,FALSE),"")</f>
        <v/>
      </c>
      <c r="M5992" s="13" t="str">
        <f>IF(D5992&lt;&gt;"",VLOOKUP(H5992,TABLEITEM,3,FALSE),"")</f>
        <v>ยางม้วนตัวเอสใหญ่ </v>
      </c>
      <c r="N5992" s="14">
        <f>INSTOCK!$I5992*INSTOCK!$K5992</f>
        <v>1800</v>
      </c>
      <c r="O5992" s="26"/>
      <c r="P5992" s="26"/>
    </row>
    <row r="5993" ht="15.75" customHeight="1">
      <c r="B5993" s="8"/>
      <c r="C5993" s="9">
        <v>43770.0</v>
      </c>
      <c r="D5993" s="6">
        <v>6.21100302E8</v>
      </c>
      <c r="E5993" s="26">
        <v>6.210001609E9</v>
      </c>
      <c r="F5993" s="8" t="s">
        <v>604</v>
      </c>
      <c r="G5993" s="26" t="s">
        <v>1130</v>
      </c>
      <c r="H5993" s="18" t="s">
        <v>267</v>
      </c>
      <c r="I5993" s="18">
        <v>1000.0</v>
      </c>
      <c r="J5993" s="11" t="str">
        <f>IF(D5993&lt;&gt;"",VLOOKUP(H5993,TABLEITEM,5,FALSE),"")</f>
        <v>EA</v>
      </c>
      <c r="K5993" s="17">
        <v>2.058</v>
      </c>
      <c r="L5993" s="13" t="str">
        <f>IF(D5993&lt;&gt;"",VLOOKUP(H5993,TABLEITEM,2,FALSE),"")</f>
        <v/>
      </c>
      <c r="M5993" s="13" t="str">
        <f>IF(D5993&lt;&gt;"",VLOOKUP(H5993,TABLEITEM,3,FALSE),"")</f>
        <v>หางปลากลมหุ้ม 6-6</v>
      </c>
      <c r="N5993" s="14">
        <f>INSTOCK!$I5993*INSTOCK!$K5993</f>
        <v>2058</v>
      </c>
      <c r="O5993" s="26" t="s">
        <v>7049</v>
      </c>
      <c r="P5993" s="26"/>
    </row>
    <row r="5994" ht="15.75" customHeight="1">
      <c r="B5994" s="8"/>
      <c r="C5994" s="9">
        <v>43770.0</v>
      </c>
      <c r="D5994" s="6" t="s">
        <v>7050</v>
      </c>
      <c r="E5994" s="26">
        <v>6.210001592E9</v>
      </c>
      <c r="F5994" s="8" t="s">
        <v>604</v>
      </c>
      <c r="G5994" s="26" t="s">
        <v>1870</v>
      </c>
      <c r="H5994" s="18" t="s">
        <v>4247</v>
      </c>
      <c r="I5994" s="18">
        <v>3000.0</v>
      </c>
      <c r="J5994" s="11" t="str">
        <f>IF(D5994&lt;&gt;"",VLOOKUP(H5994,TABLEITEM,5,FALSE),"")</f>
        <v>EA</v>
      </c>
      <c r="K5994" s="17">
        <v>2.31</v>
      </c>
      <c r="L5994" s="13" t="str">
        <f>IF(D5994&lt;&gt;"",VLOOKUP(H5994,TABLEITEM,2,FALSE),"")</f>
        <v/>
      </c>
      <c r="M5994" s="13" t="str">
        <f>IF(D5994&lt;&gt;"",VLOOKUP(H5994,TABLEITEM,3,FALSE),"")</f>
        <v>สกรูหัวเหลี่ยม M10x35  HDG</v>
      </c>
      <c r="N5994" s="14">
        <f>INSTOCK!$I5994*INSTOCK!$K5994</f>
        <v>6930</v>
      </c>
      <c r="O5994" s="26" t="s">
        <v>5601</v>
      </c>
      <c r="P5994" s="26"/>
    </row>
    <row r="5995" ht="15.75" customHeight="1">
      <c r="B5995" s="8"/>
      <c r="C5995" s="9">
        <v>43770.0</v>
      </c>
      <c r="D5995" s="6" t="s">
        <v>7050</v>
      </c>
      <c r="E5995" s="26">
        <v>6.210001592E9</v>
      </c>
      <c r="F5995" s="8" t="s">
        <v>604</v>
      </c>
      <c r="G5995" s="26" t="s">
        <v>1870</v>
      </c>
      <c r="H5995" s="10" t="s">
        <v>2512</v>
      </c>
      <c r="I5995" s="10">
        <v>3000.0</v>
      </c>
      <c r="J5995" s="11" t="str">
        <f>IF(D5995&lt;&gt;"",VLOOKUP(H5995,TABLEITEM,5,FALSE),"")</f>
        <v>EA</v>
      </c>
      <c r="K5995" s="12">
        <v>1.265</v>
      </c>
      <c r="L5995" s="13" t="str">
        <f>IF(D5995&lt;&gt;"",VLOOKUP(H5995,TABLEITEM,2,FALSE),"")</f>
        <v/>
      </c>
      <c r="M5995" s="13" t="str">
        <f>IF(D5995&lt;&gt;"",VLOOKUP(H5995,TABLEITEM,3,FALSE),"")</f>
        <v>หัวน้อต M10  HDG</v>
      </c>
      <c r="N5995" s="14">
        <f>INSTOCK!$I5995*INSTOCK!$K5995</f>
        <v>3795</v>
      </c>
      <c r="O5995" s="4" t="s">
        <v>2513</v>
      </c>
      <c r="P5995" s="4"/>
    </row>
    <row r="5996" ht="15.75" customHeight="1">
      <c r="B5996" s="8"/>
      <c r="C5996" s="9">
        <v>43770.0</v>
      </c>
      <c r="D5996" s="6" t="s">
        <v>7050</v>
      </c>
      <c r="E5996" s="26">
        <v>6.210001592E9</v>
      </c>
      <c r="F5996" s="8" t="s">
        <v>604</v>
      </c>
      <c r="G5996" s="26" t="s">
        <v>1870</v>
      </c>
      <c r="H5996" s="10" t="s">
        <v>3709</v>
      </c>
      <c r="I5996" s="10">
        <v>3000.0</v>
      </c>
      <c r="J5996" s="11" t="str">
        <f>IF(D5996&lt;&gt;"",VLOOKUP(H5996,TABLEITEM,5,FALSE),"")</f>
        <v>EA</v>
      </c>
      <c r="K5996" s="12">
        <v>0.33</v>
      </c>
      <c r="L5996" s="13" t="str">
        <f>IF(D5996&lt;&gt;"",VLOOKUP(H5996,TABLEITEM,2,FALSE),"")</f>
        <v/>
      </c>
      <c r="M5996" s="13" t="str">
        <f>IF(D5996&lt;&gt;"",VLOOKUP(H5996,TABLEITEM,3,FALSE),"")</f>
        <v>แหวนสปริง M10   HDG</v>
      </c>
      <c r="N5996" s="14">
        <f>INSTOCK!$I5996*INSTOCK!$K5996</f>
        <v>990</v>
      </c>
      <c r="O5996" s="4" t="s">
        <v>3136</v>
      </c>
      <c r="P5996" s="4"/>
    </row>
    <row r="5997" ht="15.75" customHeight="1">
      <c r="B5997" s="8"/>
      <c r="C5997" s="9">
        <v>43770.0</v>
      </c>
      <c r="D5997" s="6" t="s">
        <v>7050</v>
      </c>
      <c r="E5997" s="26">
        <v>6.210001592E9</v>
      </c>
      <c r="F5997" s="8" t="s">
        <v>604</v>
      </c>
      <c r="G5997" s="26" t="s">
        <v>1870</v>
      </c>
      <c r="H5997" s="10" t="s">
        <v>1998</v>
      </c>
      <c r="I5997" s="10">
        <v>6000.0</v>
      </c>
      <c r="J5997" s="11" t="str">
        <f>IF(D5997&lt;&gt;"",VLOOKUP(H5997,TABLEITEM,5,FALSE),"")</f>
        <v>EA</v>
      </c>
      <c r="K5997" s="12">
        <v>0.495</v>
      </c>
      <c r="L5997" s="13" t="str">
        <f>IF(D5997&lt;&gt;"",VLOOKUP(H5997,TABLEITEM,2,FALSE),"")</f>
        <v/>
      </c>
      <c r="M5997" s="13" t="str">
        <f>IF(D5997&lt;&gt;"",VLOOKUP(H5997,TABLEITEM,3,FALSE),"")</f>
        <v>แหวนอีแปะ M10   HDG</v>
      </c>
      <c r="N5997" s="14">
        <f>INSTOCK!$I5997*INSTOCK!$K5997</f>
        <v>2970</v>
      </c>
      <c r="O5997" s="4" t="s">
        <v>1999</v>
      </c>
      <c r="P5997" s="4"/>
    </row>
    <row r="5998" ht="15.75" customHeight="1">
      <c r="B5998" s="8"/>
      <c r="C5998" s="9">
        <v>43770.0</v>
      </c>
      <c r="D5998" s="6" t="s">
        <v>7050</v>
      </c>
      <c r="E5998" s="26">
        <v>6.210001592E9</v>
      </c>
      <c r="F5998" s="8" t="s">
        <v>604</v>
      </c>
      <c r="G5998" s="26" t="s">
        <v>1870</v>
      </c>
      <c r="H5998" s="10" t="s">
        <v>3839</v>
      </c>
      <c r="I5998" s="10">
        <v>1000.0</v>
      </c>
      <c r="J5998" s="11" t="str">
        <f>IF(D5998&lt;&gt;"",VLOOKUP(H5998,TABLEITEM,5,FALSE),"")</f>
        <v>EA</v>
      </c>
      <c r="K5998" s="12">
        <v>0.126</v>
      </c>
      <c r="L5998" s="13" t="str">
        <f>IF(D5998&lt;&gt;"",VLOOKUP(H5998,TABLEITEM,2,FALSE),"")</f>
        <v/>
      </c>
      <c r="M5998" s="13" t="str">
        <f>IF(D5998&lt;&gt;"",VLOOKUP(H5998,TABLEITEM,3,FALSE),"")</f>
        <v>สกรูหัวกลมชุบขาว M4x10</v>
      </c>
      <c r="N5998" s="14">
        <f>INSTOCK!$I5998*INSTOCK!$K5998</f>
        <v>126</v>
      </c>
      <c r="O5998" s="4"/>
      <c r="P5998" s="4"/>
    </row>
    <row r="5999" ht="15.75" customHeight="1">
      <c r="B5999" s="8"/>
      <c r="C5999" s="9">
        <v>43770.0</v>
      </c>
      <c r="D5999" s="6" t="s">
        <v>7051</v>
      </c>
      <c r="E5999" s="26">
        <v>6.210001586E9</v>
      </c>
      <c r="F5999" s="8" t="s">
        <v>604</v>
      </c>
      <c r="G5999" s="26" t="s">
        <v>737</v>
      </c>
      <c r="H5999" s="18" t="s">
        <v>16</v>
      </c>
      <c r="I5999" s="18">
        <v>360.0</v>
      </c>
      <c r="J5999" s="11" t="str">
        <f>IF(D5999&lt;&gt;"",VLOOKUP(H5999,TABLEITEM,5,FALSE),"")</f>
        <v>คู่</v>
      </c>
      <c r="K5999" s="17">
        <v>4.5834</v>
      </c>
      <c r="L5999" s="13" t="str">
        <f>IF(D5999&lt;&gt;"",VLOOKUP(H5999,TABLEITEM,2,FALSE),"")</f>
        <v/>
      </c>
      <c r="M5999" s="13" t="str">
        <f>IF(D5999&lt;&gt;"",VLOOKUP(H5999,TABLEITEM,3,FALSE),"")</f>
        <v>ถุงมือผ้า</v>
      </c>
      <c r="N5999" s="14">
        <f>INSTOCK!$I5999*INSTOCK!$K5999</f>
        <v>1650.024</v>
      </c>
      <c r="O5999" s="26" t="s">
        <v>973</v>
      </c>
      <c r="P5999" s="26"/>
    </row>
    <row r="6000" ht="15.75" customHeight="1">
      <c r="B6000" s="8"/>
      <c r="C6000" s="9">
        <v>43770.0</v>
      </c>
      <c r="D6000" s="6" t="s">
        <v>7052</v>
      </c>
      <c r="E6000" s="26">
        <v>6.210001572E9</v>
      </c>
      <c r="F6000" s="8" t="s">
        <v>604</v>
      </c>
      <c r="G6000" s="26" t="s">
        <v>1453</v>
      </c>
      <c r="H6000" s="18" t="s">
        <v>2050</v>
      </c>
      <c r="I6000" s="18">
        <v>10.0</v>
      </c>
      <c r="J6000" s="11" t="str">
        <f>IF(D6000&lt;&gt;"",VLOOKUP(H6000,TABLEITEM,5,FALSE),"")</f>
        <v>EA</v>
      </c>
      <c r="K6000" s="17">
        <v>837.9</v>
      </c>
      <c r="L6000" s="13" t="str">
        <f>IF(D6000&lt;&gt;"",VLOOKUP(H6000,TABLEITEM,2,FALSE),"")</f>
        <v/>
      </c>
      <c r="M6000" s="13" t="str">
        <f>IF(D6000&lt;&gt;"",VLOOKUP(H6000,TABLEITEM,3,FALSE),"")</f>
        <v>พัดลม PMV25C.01220 6"</v>
      </c>
      <c r="N6000" s="14">
        <f>INSTOCK!$I6000*INSTOCK!$K6000</f>
        <v>8379</v>
      </c>
      <c r="O6000" s="26" t="s">
        <v>2051</v>
      </c>
      <c r="P6000" s="26"/>
    </row>
    <row r="6001" ht="15.75" customHeight="1">
      <c r="B6001" s="8"/>
      <c r="C6001" s="9">
        <v>43770.0</v>
      </c>
      <c r="D6001" s="6" t="s">
        <v>7052</v>
      </c>
      <c r="E6001" s="26">
        <v>6.210001572E9</v>
      </c>
      <c r="F6001" s="8" t="s">
        <v>604</v>
      </c>
      <c r="G6001" s="26" t="s">
        <v>1453</v>
      </c>
      <c r="H6001" s="10" t="s">
        <v>1456</v>
      </c>
      <c r="I6001" s="10">
        <v>8.0</v>
      </c>
      <c r="J6001" s="11" t="str">
        <f>IF(D6001&lt;&gt;"",VLOOKUP(H6001,TABLEITEM,5,FALSE),"")</f>
        <v>EA</v>
      </c>
      <c r="K6001" s="12">
        <v>279.3</v>
      </c>
      <c r="L6001" s="13" t="str">
        <f>IF(D6001&lt;&gt;"",VLOOKUP(H6001,TABLEITEM,2,FALSE),"")</f>
        <v/>
      </c>
      <c r="M6001" s="13" t="str">
        <f>IF(D6001&lt;&gt;"",VLOOKUP(H6001,TABLEITEM,3,FALSE),"")</f>
        <v>Filter PMF25 6 นิ้ว</v>
      </c>
      <c r="N6001" s="14">
        <f>INSTOCK!$I6001*INSTOCK!$K6001</f>
        <v>2234.4</v>
      </c>
      <c r="O6001" s="4" t="s">
        <v>6654</v>
      </c>
      <c r="P6001" s="4"/>
    </row>
    <row r="6002" ht="15.75" customHeight="1">
      <c r="B6002" s="8"/>
      <c r="C6002" s="9">
        <v>43770.0</v>
      </c>
      <c r="D6002" s="6" t="s">
        <v>7053</v>
      </c>
      <c r="E6002" s="26">
        <v>6.210001606E9</v>
      </c>
      <c r="F6002" s="8" t="s">
        <v>604</v>
      </c>
      <c r="G6002" s="26" t="s">
        <v>808</v>
      </c>
      <c r="H6002" s="18" t="s">
        <v>816</v>
      </c>
      <c r="I6002" s="18">
        <v>4.0</v>
      </c>
      <c r="J6002" s="11" t="str">
        <f>IF(D6002&lt;&gt;"",VLOOKUP(H6002,TABLEITEM,5,FALSE),"")</f>
        <v>ท่อ</v>
      </c>
      <c r="K6002" s="17">
        <v>600.0</v>
      </c>
      <c r="L6002" s="13" t="str">
        <f>IF(D6002&lt;&gt;"",VLOOKUP(H6002,TABLEITEM,2,FALSE),"")</f>
        <v/>
      </c>
      <c r="M6002" s="13" t="str">
        <f>IF(D6002&lt;&gt;"",VLOOKUP(H6002,TABLEITEM,3,FALSE),"")</f>
        <v>อาร์กอน ขนาด 6คิว</v>
      </c>
      <c r="N6002" s="14">
        <f>INSTOCK!$I6002*INSTOCK!$K6002</f>
        <v>2400</v>
      </c>
      <c r="O6002" s="26"/>
      <c r="P6002" s="26"/>
    </row>
    <row r="6003" ht="15.75" customHeight="1">
      <c r="B6003" s="8"/>
      <c r="C6003" s="9">
        <v>43770.0</v>
      </c>
      <c r="D6003" s="6" t="s">
        <v>7053</v>
      </c>
      <c r="E6003" s="26">
        <v>6.210001606E9</v>
      </c>
      <c r="F6003" s="8" t="s">
        <v>604</v>
      </c>
      <c r="G6003" s="26" t="s">
        <v>808</v>
      </c>
      <c r="H6003" s="10" t="s">
        <v>818</v>
      </c>
      <c r="I6003" s="10">
        <v>12.0</v>
      </c>
      <c r="J6003" s="11" t="str">
        <f>IF(D6003&lt;&gt;"",VLOOKUP(H6003,TABLEITEM,5,FALSE),"")</f>
        <v>ท่อ</v>
      </c>
      <c r="K6003" s="12">
        <v>300.0</v>
      </c>
      <c r="L6003" s="13" t="str">
        <f>IF(D6003&lt;&gt;"",VLOOKUP(H6003,TABLEITEM,2,FALSE),"")</f>
        <v/>
      </c>
      <c r="M6003" s="13" t="str">
        <f>IF(D6003&lt;&gt;"",VLOOKUP(H6003,TABLEITEM,3,FALSE),"")</f>
        <v>คาร์บอนไดออกไซด์ ขนาด 25 กก</v>
      </c>
      <c r="N6003" s="14">
        <f>INSTOCK!$I6003*INSTOCK!$K6003</f>
        <v>3600</v>
      </c>
      <c r="O6003" s="4"/>
      <c r="P6003" s="4"/>
    </row>
    <row r="6004" ht="15.75" customHeight="1">
      <c r="B6004" s="8"/>
      <c r="C6004" s="9">
        <v>43770.0</v>
      </c>
      <c r="D6004" s="6" t="s">
        <v>7054</v>
      </c>
      <c r="E6004" s="26">
        <v>6.210001588E9</v>
      </c>
      <c r="F6004" s="8" t="s">
        <v>604</v>
      </c>
      <c r="G6004" s="26" t="s">
        <v>665</v>
      </c>
      <c r="H6004" s="18" t="s">
        <v>1428</v>
      </c>
      <c r="I6004" s="18">
        <v>1000.0</v>
      </c>
      <c r="J6004" s="11" t="str">
        <f>IF(D6004&lt;&gt;"",VLOOKUP(H6004,TABLEITEM,5,FALSE),"")</f>
        <v>M</v>
      </c>
      <c r="K6004" s="17">
        <v>4.46</v>
      </c>
      <c r="L6004" s="13" t="str">
        <f>IF(D6004&lt;&gt;"",VLOOKUP(H6004,TABLEITEM,2,FALSE),"")</f>
        <v>wire</v>
      </c>
      <c r="M6004" s="13" t="str">
        <f>IF(D6004&lt;&gt;"",VLOOKUP(H6004,TABLEITEM,3,FALSE),"")</f>
        <v>สายไฟ VSF1x1 SQMM.สีน้ำเงิน</v>
      </c>
      <c r="N6004" s="14">
        <f>INSTOCK!$I6004*INSTOCK!$K6004</f>
        <v>4460</v>
      </c>
      <c r="O6004" s="26"/>
      <c r="P6004" s="26"/>
    </row>
    <row r="6005" ht="15.75" customHeight="1">
      <c r="B6005" s="8"/>
      <c r="C6005" s="9">
        <v>43770.0</v>
      </c>
      <c r="D6005" s="6" t="s">
        <v>7054</v>
      </c>
      <c r="E6005" s="26">
        <v>6.210001588E9</v>
      </c>
      <c r="F6005" s="8" t="s">
        <v>604</v>
      </c>
      <c r="G6005" s="26" t="s">
        <v>665</v>
      </c>
      <c r="H6005" s="10" t="s">
        <v>468</v>
      </c>
      <c r="I6005" s="10">
        <v>500.0</v>
      </c>
      <c r="J6005" s="11" t="str">
        <f>IF(D6005&lt;&gt;"",VLOOKUP(H6005,TABLEITEM,5,FALSE),"")</f>
        <v>M</v>
      </c>
      <c r="K6005" s="12">
        <v>4.46</v>
      </c>
      <c r="L6005" s="13" t="str">
        <f>IF(D6005&lt;&gt;"",VLOOKUP(H6005,TABLEITEM,2,FALSE),"")</f>
        <v>wire</v>
      </c>
      <c r="M6005" s="13" t="str">
        <f>IF(D6005&lt;&gt;"",VLOOKUP(H6005,TABLEITEM,3,FALSE),"")</f>
        <v>สายไฟ VSF1x1 SQMM.สีเทา</v>
      </c>
      <c r="N6005" s="14">
        <f>INSTOCK!$I6005*INSTOCK!$K6005</f>
        <v>2230</v>
      </c>
      <c r="O6005" s="4"/>
      <c r="P6005" s="4"/>
    </row>
    <row r="6006" ht="15.75" customHeight="1">
      <c r="B6006" s="8"/>
      <c r="C6006" s="9">
        <v>43770.0</v>
      </c>
      <c r="D6006" s="6" t="s">
        <v>7055</v>
      </c>
      <c r="E6006" s="26">
        <v>6.210001582E9</v>
      </c>
      <c r="F6006" s="8" t="s">
        <v>6508</v>
      </c>
      <c r="G6006" s="26" t="s">
        <v>692</v>
      </c>
      <c r="H6006" s="18" t="s">
        <v>1574</v>
      </c>
      <c r="I6006" s="18">
        <v>250.0</v>
      </c>
      <c r="J6006" s="11" t="str">
        <f>IF(D6006&lt;&gt;"",VLOOKUP(H6006,TABLEITEM,5,FALSE),"")</f>
        <v>M</v>
      </c>
      <c r="K6006" s="17">
        <v>24.992</v>
      </c>
      <c r="L6006" s="13" t="str">
        <f>IF(D6006&lt;&gt;"",VLOOKUP(H6006,TABLEITEM,2,FALSE),"")</f>
        <v/>
      </c>
      <c r="M6006" s="13" t="str">
        <f>IF(D6006&lt;&gt;"",VLOOKUP(H6006,TABLEITEM,3,FALSE),"")</f>
        <v>สายไฟ VCT 4x1.5SQMM</v>
      </c>
      <c r="N6006" s="14">
        <f>INSTOCK!$I6006*INSTOCK!$K6006</f>
        <v>6248</v>
      </c>
      <c r="O6006" s="26" t="s">
        <v>7056</v>
      </c>
      <c r="P6006" s="26"/>
    </row>
    <row r="6007" ht="15.75" customHeight="1">
      <c r="B6007" s="8"/>
      <c r="C6007" s="9">
        <v>43770.0</v>
      </c>
      <c r="D6007" s="6" t="s">
        <v>7057</v>
      </c>
      <c r="E6007" s="26">
        <v>6.21000161E9</v>
      </c>
      <c r="F6007" s="8" t="s">
        <v>7058</v>
      </c>
      <c r="G6007" s="26" t="s">
        <v>692</v>
      </c>
      <c r="H6007" s="18" t="s">
        <v>1443</v>
      </c>
      <c r="I6007" s="18">
        <v>100.0</v>
      </c>
      <c r="J6007" s="11" t="str">
        <f>IF(D6007&lt;&gt;"",VLOOKUP(H6007,TABLEITEM,5,FALSE),"")</f>
        <v>M</v>
      </c>
      <c r="K6007" s="17">
        <v>11.484</v>
      </c>
      <c r="L6007" s="13" t="str">
        <f>IF(D6007&lt;&gt;"",VLOOKUP(H6007,TABLEITEM,2,FALSE),"")</f>
        <v/>
      </c>
      <c r="M6007" s="13" t="str">
        <f>IF(D6007&lt;&gt;"",VLOOKUP(H6007,TABLEITEM,3,FALSE),"")</f>
        <v>สายไฟ VCT 2x1SQMM</v>
      </c>
      <c r="N6007" s="14">
        <f>INSTOCK!$I6007*INSTOCK!$K6007</f>
        <v>1148.4</v>
      </c>
      <c r="O6007" s="26" t="s">
        <v>7059</v>
      </c>
      <c r="P6007" s="26"/>
    </row>
    <row r="6008" ht="15.75" customHeight="1">
      <c r="B6008" s="8"/>
      <c r="C6008" s="9">
        <v>43770.0</v>
      </c>
      <c r="D6008" s="6" t="s">
        <v>7057</v>
      </c>
      <c r="E6008" s="26">
        <v>6.21000161E9</v>
      </c>
      <c r="F6008" s="8" t="s">
        <v>7058</v>
      </c>
      <c r="G6008" s="26" t="s">
        <v>692</v>
      </c>
      <c r="H6008" s="10" t="s">
        <v>7060</v>
      </c>
      <c r="I6008" s="10">
        <v>100.0</v>
      </c>
      <c r="J6008" s="11" t="str">
        <f>IF(D6008&lt;&gt;"",VLOOKUP(H6008,TABLEITEM,5,FALSE),"")</f>
        <v>M</v>
      </c>
      <c r="K6008" s="12">
        <v>15.576</v>
      </c>
      <c r="L6008" s="13" t="str">
        <f>IF(D6008&lt;&gt;"",VLOOKUP(H6008,TABLEITEM,2,FALSE),"")</f>
        <v/>
      </c>
      <c r="M6008" s="13" t="str">
        <f>IF(D6008&lt;&gt;"",VLOOKUP(H6008,TABLEITEM,3,FALSE),"")</f>
        <v>สายไฟ VCT 3x1SQMM</v>
      </c>
      <c r="N6008" s="14">
        <f>INSTOCK!$I6008*INSTOCK!$K6008</f>
        <v>1557.6</v>
      </c>
      <c r="O6008" s="4" t="s">
        <v>7061</v>
      </c>
      <c r="P6008" s="4"/>
    </row>
    <row r="6009" ht="15.75" customHeight="1">
      <c r="B6009" s="8"/>
      <c r="C6009" s="9">
        <v>43770.0</v>
      </c>
      <c r="D6009" s="6" t="s">
        <v>7057</v>
      </c>
      <c r="E6009" s="26">
        <v>6.21000161E9</v>
      </c>
      <c r="F6009" s="8" t="s">
        <v>7058</v>
      </c>
      <c r="G6009" s="26" t="s">
        <v>692</v>
      </c>
      <c r="H6009" s="10" t="s">
        <v>7062</v>
      </c>
      <c r="I6009" s="10">
        <v>100.0</v>
      </c>
      <c r="J6009" s="11" t="str">
        <f>IF(D6009&lt;&gt;"",VLOOKUP(H6009,TABLEITEM,5,FALSE),"")</f>
        <v>M</v>
      </c>
      <c r="K6009" s="12">
        <v>34.936</v>
      </c>
      <c r="L6009" s="13" t="str">
        <f>IF(D6009&lt;&gt;"",VLOOKUP(H6009,TABLEITEM,2,FALSE),"")</f>
        <v/>
      </c>
      <c r="M6009" s="13" t="str">
        <f>IF(D6009&lt;&gt;"",VLOOKUP(H6009,TABLEITEM,3,FALSE),"")</f>
        <v>สายไฟ VCT 3x2.5SQMM</v>
      </c>
      <c r="N6009" s="14">
        <f>INSTOCK!$I6009*INSTOCK!$K6009</f>
        <v>3493.6</v>
      </c>
      <c r="O6009" s="4" t="s">
        <v>7063</v>
      </c>
      <c r="P6009" s="4"/>
    </row>
    <row r="6010" ht="15.75" customHeight="1">
      <c r="B6010" s="8"/>
      <c r="C6010" s="9">
        <v>43770.0</v>
      </c>
      <c r="D6010" s="6" t="s">
        <v>7064</v>
      </c>
      <c r="E6010" s="26">
        <v>6.210001607E9</v>
      </c>
      <c r="F6010" s="8" t="s">
        <v>604</v>
      </c>
      <c r="G6010" s="26" t="s">
        <v>1274</v>
      </c>
      <c r="H6010" s="18" t="s">
        <v>21</v>
      </c>
      <c r="I6010" s="18">
        <v>400.0</v>
      </c>
      <c r="J6010" s="11" t="str">
        <f>IF(D6010&lt;&gt;"",VLOOKUP(H6010,TABLEITEM,5,FALSE),"")</f>
        <v>EA</v>
      </c>
      <c r="K6010" s="17">
        <v>45.0</v>
      </c>
      <c r="L6010" s="13" t="str">
        <f>IF(D6010&lt;&gt;"",VLOOKUP(H6010,TABLEITEM,2,FALSE),"")</f>
        <v/>
      </c>
      <c r="M6010" s="13" t="str">
        <f>IF(D6010&lt;&gt;"",VLOOKUP(H6010,TABLEITEM,3,FALSE),"")</f>
        <v>ใบหินเจียร์ 4'' </v>
      </c>
      <c r="N6010" s="14">
        <f>INSTOCK!$I6010*INSTOCK!$K6010</f>
        <v>18000</v>
      </c>
      <c r="O6010" s="26"/>
      <c r="P6010" s="26"/>
    </row>
    <row r="6011" ht="15.75" customHeight="1">
      <c r="B6011" s="8"/>
      <c r="C6011" s="9">
        <v>43770.0</v>
      </c>
      <c r="D6011" s="6">
        <v>9672.0</v>
      </c>
      <c r="E6011" s="26">
        <v>6.210001584E9</v>
      </c>
      <c r="F6011" s="8" t="s">
        <v>604</v>
      </c>
      <c r="G6011" s="26" t="s">
        <v>1009</v>
      </c>
      <c r="H6011" s="18" t="s">
        <v>3758</v>
      </c>
      <c r="I6011" s="18">
        <v>300.0</v>
      </c>
      <c r="J6011" s="11" t="str">
        <f>IF(D6011&lt;&gt;"",VLOOKUP(H6011,TABLEITEM,5,FALSE),"")</f>
        <v>EA</v>
      </c>
      <c r="K6011" s="17">
        <v>33.0</v>
      </c>
      <c r="L6011" s="13" t="str">
        <f>IF(D6011&lt;&gt;"",VLOOKUP(H6011,TABLEITEM,2,FALSE),"")</f>
        <v/>
      </c>
      <c r="M6011" s="13" t="str">
        <f>IF(D6011&lt;&gt;"",VLOOKUP(H6011,TABLEITEM,3,FALSE),"")</f>
        <v>KEY-LOCKHINGES HL-042บานพับผีเสื้อดำ</v>
      </c>
      <c r="N6011" s="14">
        <f>INSTOCK!$I6011*INSTOCK!$K6011</f>
        <v>9900</v>
      </c>
      <c r="O6011" s="26"/>
      <c r="P6011" s="26"/>
    </row>
    <row r="6012" ht="15.75" customHeight="1">
      <c r="B6012" s="8"/>
      <c r="C6012" s="9">
        <v>43770.0</v>
      </c>
      <c r="D6012" s="6">
        <v>9672.0</v>
      </c>
      <c r="E6012" s="26">
        <v>6.210001584E9</v>
      </c>
      <c r="F6012" s="8" t="s">
        <v>604</v>
      </c>
      <c r="G6012" s="26" t="s">
        <v>1009</v>
      </c>
      <c r="H6012" s="10" t="s">
        <v>1249</v>
      </c>
      <c r="I6012" s="10">
        <v>50.0</v>
      </c>
      <c r="J6012" s="11" t="str">
        <f>IF(D6012&lt;&gt;"",VLOOKUP(H6012,TABLEITEM,5,FALSE),"")</f>
        <v>EA</v>
      </c>
      <c r="K6012" s="12">
        <v>190.0</v>
      </c>
      <c r="L6012" s="13" t="str">
        <f>IF(D6012&lt;&gt;"",VLOOKUP(H6012,TABLEITEM,2,FALSE),"")</f>
        <v/>
      </c>
      <c r="M6012" s="13" t="str">
        <f>IF(D6012&lt;&gt;"",VLOOKUP(H6012,TABLEITEM,3,FALSE),"")</f>
        <v>กุญแจกดเด้งสีดำ MS480-2</v>
      </c>
      <c r="N6012" s="14">
        <f>INSTOCK!$I6012*INSTOCK!$K6012</f>
        <v>9500</v>
      </c>
      <c r="O6012" s="4"/>
      <c r="P6012" s="4"/>
    </row>
    <row r="6013" ht="15.75" customHeight="1">
      <c r="B6013" s="8"/>
      <c r="C6013" s="9">
        <v>43770.0</v>
      </c>
      <c r="D6013" s="6">
        <v>6.2110051E7</v>
      </c>
      <c r="E6013" s="26">
        <v>6.210001603E9</v>
      </c>
      <c r="F6013" s="8" t="s">
        <v>7065</v>
      </c>
      <c r="G6013" s="26" t="s">
        <v>711</v>
      </c>
      <c r="H6013" s="18" t="s">
        <v>712</v>
      </c>
      <c r="I6013" s="18">
        <v>20.0</v>
      </c>
      <c r="J6013" s="11" t="str">
        <f>IF(D6013&lt;&gt;"",VLOOKUP(H6013,TABLEITEM,5,FALSE),"")</f>
        <v>KG.</v>
      </c>
      <c r="K6013" s="17">
        <v>148.75</v>
      </c>
      <c r="L6013" s="13" t="str">
        <f>IF(D6013&lt;&gt;"",VLOOKUP(H6013,TABLEITEM,2,FALSE),"")</f>
        <v/>
      </c>
      <c r="M6013" s="13" t="str">
        <f>IF(D6013&lt;&gt;"",VLOOKUP(H6013,TABLEITEM,3,FALSE),"")</f>
        <v>สีฝุ่น M70460 CN</v>
      </c>
      <c r="N6013" s="14">
        <f>INSTOCK!$I6013*INSTOCK!$K6013</f>
        <v>2975</v>
      </c>
      <c r="O6013" s="26" t="s">
        <v>714</v>
      </c>
      <c r="P6013" s="26"/>
    </row>
    <row r="6014" ht="15.75" customHeight="1">
      <c r="B6014" s="8"/>
      <c r="C6014" s="9">
        <v>43770.0</v>
      </c>
      <c r="D6014" s="6" t="s">
        <v>7066</v>
      </c>
      <c r="E6014" s="26">
        <v>6.2100016E9</v>
      </c>
      <c r="F6014" s="8" t="s">
        <v>7067</v>
      </c>
      <c r="G6014" s="26" t="s">
        <v>1453</v>
      </c>
      <c r="H6014" s="10" t="s">
        <v>5459</v>
      </c>
      <c r="I6014" s="18">
        <v>4.0</v>
      </c>
      <c r="J6014" s="11" t="str">
        <f>IF(D6014&lt;&gt;"",VLOOKUP(H6014,TABLEITEM,5,FALSE),"")</f>
        <v>EA</v>
      </c>
      <c r="K6014" s="17">
        <v>545.3</v>
      </c>
      <c r="L6014" s="13" t="str">
        <f>IF(D6014&lt;&gt;"",VLOOKUP(H6014,TABLEITEM,2,FALSE),"")</f>
        <v/>
      </c>
      <c r="M6014" s="13" t="str">
        <f>IF(D6014&lt;&gt;"",VLOOKUP(H6014,TABLEITEM,3,FALSE),"")</f>
        <v>พัดลม 6" FP-108X-S1-B AC220/240V</v>
      </c>
      <c r="N6014" s="14">
        <f>INSTOCK!$I6014*INSTOCK!$K6014</f>
        <v>2181.2</v>
      </c>
      <c r="O6014" s="26" t="s">
        <v>5460</v>
      </c>
      <c r="P6014" s="26"/>
    </row>
    <row r="6015" ht="15.75" customHeight="1">
      <c r="B6015" s="8"/>
      <c r="C6015" s="9">
        <v>43770.0</v>
      </c>
      <c r="D6015" s="6" t="s">
        <v>7066</v>
      </c>
      <c r="E6015" s="26">
        <v>6.2100016E9</v>
      </c>
      <c r="F6015" s="8" t="s">
        <v>7067</v>
      </c>
      <c r="G6015" s="26" t="s">
        <v>1453</v>
      </c>
      <c r="H6015" s="18" t="s">
        <v>5461</v>
      </c>
      <c r="I6015" s="10">
        <v>4.0</v>
      </c>
      <c r="J6015" s="11" t="str">
        <f>IF(D6015&lt;&gt;"",VLOOKUP(H6015,TABLEITEM,5,FALSE),"")</f>
        <v>EA</v>
      </c>
      <c r="K6015" s="12">
        <v>100.0</v>
      </c>
      <c r="L6015" s="13" t="str">
        <f>IF(D6015&lt;&gt;"",VLOOKUP(H6015,TABLEITEM,2,FALSE),"")</f>
        <v/>
      </c>
      <c r="M6015" s="13" t="str">
        <f>IF(D6015&lt;&gt;"",VLOOKUP(H6015,TABLEITEM,3,FALSE),"")</f>
        <v>ตะแกรงพัดลม 6" S-0172-7 T</v>
      </c>
      <c r="N6015" s="14">
        <f>INSTOCK!$I6015*INSTOCK!$K6015</f>
        <v>400</v>
      </c>
      <c r="O6015" s="4"/>
      <c r="P6015" s="4"/>
    </row>
    <row r="6016" ht="15.75" customHeight="1">
      <c r="B6016" s="8"/>
      <c r="C6016" s="9">
        <v>43770.0</v>
      </c>
      <c r="D6016" s="6" t="s">
        <v>7068</v>
      </c>
      <c r="E6016" s="26">
        <v>6.21000159E9</v>
      </c>
      <c r="F6016" s="8" t="s">
        <v>604</v>
      </c>
      <c r="G6016" s="26" t="s">
        <v>617</v>
      </c>
      <c r="H6016" s="18" t="s">
        <v>1377</v>
      </c>
      <c r="I6016" s="18">
        <v>100.0</v>
      </c>
      <c r="J6016" s="11" t="str">
        <f>IF(D6016&lt;&gt;"",VLOOKUP(H6016,TABLEITEM,5,FALSE),"")</f>
        <v>M</v>
      </c>
      <c r="K6016" s="17">
        <v>90.3</v>
      </c>
      <c r="L6016" s="13" t="str">
        <f>IF(D6016&lt;&gt;"",VLOOKUP(H6016,TABLEITEM,2,FALSE),"")</f>
        <v>Busbar</v>
      </c>
      <c r="M6016" s="13" t="str">
        <f>IF(D6016&lt;&gt;"",VLOOKUP(H6016,TABLEITEM,3,FALSE),"")</f>
        <v>บัสบาร์ทองแดง 15x3</v>
      </c>
      <c r="N6016" s="14">
        <f>INSTOCK!$I6016*INSTOCK!$K6016</f>
        <v>9030</v>
      </c>
      <c r="O6016" s="26" t="s">
        <v>7069</v>
      </c>
      <c r="P6016" s="26"/>
    </row>
    <row r="6017" ht="15.75" customHeight="1">
      <c r="B6017" s="8"/>
      <c r="C6017" s="9">
        <v>43770.0</v>
      </c>
      <c r="D6017" s="6" t="s">
        <v>7068</v>
      </c>
      <c r="E6017" s="26">
        <v>6.21000159E9</v>
      </c>
      <c r="F6017" s="8" t="s">
        <v>604</v>
      </c>
      <c r="G6017" s="26" t="s">
        <v>617</v>
      </c>
      <c r="H6017" s="10" t="s">
        <v>556</v>
      </c>
      <c r="I6017" s="10">
        <v>75.0</v>
      </c>
      <c r="J6017" s="11" t="str">
        <f>IF(D6017&lt;&gt;"",VLOOKUP(H6017,TABLEITEM,5,FALSE),"")</f>
        <v>M</v>
      </c>
      <c r="K6017" s="12">
        <v>193.5</v>
      </c>
      <c r="L6017" s="13" t="str">
        <f>IF(D6017&lt;&gt;"",VLOOKUP(H6017,TABLEITEM,2,FALSE),"")</f>
        <v>Busbar</v>
      </c>
      <c r="M6017" s="13" t="str">
        <f>IF(D6017&lt;&gt;"",VLOOKUP(H6017,TABLEITEM,3,FALSE),"")</f>
        <v>บัสบาร์ทองแดง 20x5</v>
      </c>
      <c r="N6017" s="14">
        <f>INSTOCK!$I6017*INSTOCK!$K6017</f>
        <v>14512.5</v>
      </c>
      <c r="O6017" s="26" t="s">
        <v>7069</v>
      </c>
      <c r="P6017" s="4"/>
    </row>
    <row r="6018" ht="15.75" customHeight="1">
      <c r="B6018" s="8"/>
      <c r="C6018" s="9">
        <v>43770.0</v>
      </c>
      <c r="D6018" s="6" t="s">
        <v>7068</v>
      </c>
      <c r="E6018" s="26">
        <v>6.21000159E9</v>
      </c>
      <c r="F6018" s="8" t="s">
        <v>604</v>
      </c>
      <c r="G6018" s="26" t="s">
        <v>617</v>
      </c>
      <c r="H6018" s="10" t="s">
        <v>559</v>
      </c>
      <c r="I6018" s="10">
        <v>50.0</v>
      </c>
      <c r="J6018" s="11" t="str">
        <f>IF(D6018&lt;&gt;"",VLOOKUP(H6018,TABLEITEM,5,FALSE),"")</f>
        <v>M</v>
      </c>
      <c r="K6018" s="12">
        <v>288.1</v>
      </c>
      <c r="L6018" s="13" t="str">
        <f>IF(D6018&lt;&gt;"",VLOOKUP(H6018,TABLEITEM,2,FALSE),"")</f>
        <v>Busbar</v>
      </c>
      <c r="M6018" s="13" t="str">
        <f>IF(D6018&lt;&gt;"",VLOOKUP(H6018,TABLEITEM,3,FALSE),"")</f>
        <v>บัสบาร์ทองแดง 30x5</v>
      </c>
      <c r="N6018" s="14">
        <f>INSTOCK!$I6018*INSTOCK!$K6018</f>
        <v>14405</v>
      </c>
      <c r="O6018" s="26" t="s">
        <v>7069</v>
      </c>
      <c r="P6018" s="4"/>
    </row>
    <row r="6019" ht="15.75" customHeight="1">
      <c r="B6019" s="8"/>
      <c r="C6019" s="9">
        <v>43773.0</v>
      </c>
      <c r="D6019" s="6" t="s">
        <v>7070</v>
      </c>
      <c r="E6019" s="26">
        <v>6.211001614E9</v>
      </c>
      <c r="F6019" s="8" t="s">
        <v>5810</v>
      </c>
      <c r="G6019" s="26" t="s">
        <v>982</v>
      </c>
      <c r="H6019" s="18" t="s">
        <v>983</v>
      </c>
      <c r="I6019" s="18">
        <v>200.0</v>
      </c>
      <c r="J6019" s="11" t="str">
        <f>IF(D6019&lt;&gt;"",VLOOKUP(H6019,TABLEITEM,5,FALSE),"")</f>
        <v>KG.</v>
      </c>
      <c r="K6019" s="17">
        <v>37.0</v>
      </c>
      <c r="L6019" s="13" t="str">
        <f>IF(D6019&lt;&gt;"",VLOOKUP(H6019,TABLEITEM,2,FALSE),"")</f>
        <v/>
      </c>
      <c r="M6019" s="13" t="str">
        <f>IF(D6019&lt;&gt;"",VLOOKUP(H6019,TABLEITEM,3,FALSE),"")</f>
        <v>เคมี ADDITIVE P-8</v>
      </c>
      <c r="N6019" s="14">
        <f>INSTOCK!$I6019*INSTOCK!$K6019</f>
        <v>7400</v>
      </c>
      <c r="O6019" s="26"/>
      <c r="P6019" s="26"/>
    </row>
    <row r="6020" ht="15.75" customHeight="1">
      <c r="B6020" s="8"/>
      <c r="C6020" s="9">
        <v>43773.0</v>
      </c>
      <c r="D6020" s="6" t="s">
        <v>7070</v>
      </c>
      <c r="E6020" s="26">
        <v>6.211001614E9</v>
      </c>
      <c r="F6020" s="8" t="s">
        <v>5810</v>
      </c>
      <c r="G6020" s="26" t="s">
        <v>982</v>
      </c>
      <c r="H6020" s="10" t="s">
        <v>986</v>
      </c>
      <c r="I6020" s="10">
        <v>300.0</v>
      </c>
      <c r="J6020" s="11" t="str">
        <f>IF(D6020&lt;&gt;"",VLOOKUP(H6020,TABLEITEM,5,FALSE),"")</f>
        <v>KG.</v>
      </c>
      <c r="K6020" s="12">
        <v>41.0</v>
      </c>
      <c r="L6020" s="13" t="str">
        <f>IF(D6020&lt;&gt;"",VLOOKUP(H6020,TABLEITEM,2,FALSE),"")</f>
        <v/>
      </c>
      <c r="M6020" s="13" t="str">
        <f>IF(D6020&lt;&gt;"",VLOOKUP(H6020,TABLEITEM,3,FALSE),"")</f>
        <v>เคมีฟอสเฟต PN-134</v>
      </c>
      <c r="N6020" s="14">
        <f>INSTOCK!$I6020*INSTOCK!$K6020</f>
        <v>12300</v>
      </c>
      <c r="O6020" s="4"/>
      <c r="P6020" s="4"/>
    </row>
    <row r="6021" ht="15.75" customHeight="1">
      <c r="B6021" s="8"/>
      <c r="C6021" s="9">
        <v>43747.0</v>
      </c>
      <c r="D6021" s="6" t="s">
        <v>7071</v>
      </c>
      <c r="E6021" s="26"/>
      <c r="F6021" s="8" t="s">
        <v>3727</v>
      </c>
      <c r="G6021" s="26" t="s">
        <v>2941</v>
      </c>
      <c r="H6021" s="18" t="s">
        <v>7072</v>
      </c>
      <c r="I6021" s="18">
        <v>6.0</v>
      </c>
      <c r="J6021" s="11" t="str">
        <f>IF(D6021&lt;&gt;"",VLOOKUP(H6021,TABLEITEM,5,FALSE),"")</f>
        <v>EA</v>
      </c>
      <c r="K6021" s="17">
        <v>1500.0</v>
      </c>
      <c r="L6021" s="13" t="str">
        <f>IF(D6021&lt;&gt;"",VLOOKUP(H6021,TABLEITEM,2,FALSE),"")</f>
        <v/>
      </c>
      <c r="M6021" s="13" t="str">
        <f>IF(D6021&lt;&gt;"",VLOOKUP(H6021,TABLEITEM,3,FALSE),"")</f>
        <v>Ink Filter</v>
      </c>
      <c r="N6021" s="14">
        <f>INSTOCK!$I6021*INSTOCK!$K6021</f>
        <v>9000</v>
      </c>
      <c r="O6021" s="26"/>
      <c r="P6021" s="26"/>
    </row>
    <row r="6022" ht="15.75" customHeight="1">
      <c r="B6022" s="8"/>
      <c r="C6022" s="9">
        <v>43773.0</v>
      </c>
      <c r="D6022" s="6" t="s">
        <v>7073</v>
      </c>
      <c r="E6022" s="26">
        <v>6.21000158E9</v>
      </c>
      <c r="F6022" s="8" t="s">
        <v>604</v>
      </c>
      <c r="G6022" s="26" t="s">
        <v>7074</v>
      </c>
      <c r="H6022" s="18" t="s">
        <v>2668</v>
      </c>
      <c r="I6022" s="18">
        <v>5000.0</v>
      </c>
      <c r="J6022" s="11" t="str">
        <f>IF(D6022&lt;&gt;"",VLOOKUP(H6022,TABLEITEM,5,FALSE),"")</f>
        <v>EA</v>
      </c>
      <c r="K6022" s="17">
        <v>1.05</v>
      </c>
      <c r="L6022" s="13" t="str">
        <f>IF(D6022&lt;&gt;"",VLOOKUP(H6022,TABLEITEM,2,FALSE),"")</f>
        <v/>
      </c>
      <c r="M6022" s="13" t="str">
        <f>IF(D6022&lt;&gt;"",VLOOKUP(H6022,TABLEITEM,3,FALSE),"")</f>
        <v>สตัด M5x10</v>
      </c>
      <c r="N6022" s="14">
        <f>INSTOCK!$I6022*INSTOCK!$K6022</f>
        <v>5250</v>
      </c>
      <c r="O6022" s="26"/>
      <c r="P6022" s="26"/>
    </row>
    <row r="6023" ht="15.75" customHeight="1">
      <c r="B6023" s="8"/>
      <c r="C6023" s="9">
        <v>43775.0</v>
      </c>
      <c r="D6023" s="6">
        <v>4717.0</v>
      </c>
      <c r="E6023" s="26">
        <v>6.211001616E9</v>
      </c>
      <c r="F6023" s="8" t="s">
        <v>7075</v>
      </c>
      <c r="G6023" s="26" t="s">
        <v>7076</v>
      </c>
      <c r="H6023" s="18" t="s">
        <v>7077</v>
      </c>
      <c r="I6023" s="18">
        <v>50.0</v>
      </c>
      <c r="J6023" s="11" t="str">
        <f>IF(D6023&lt;&gt;"",VLOOKUP(H6023,TABLEITEM,5,FALSE),"")</f>
        <v>EA</v>
      </c>
      <c r="K6023" s="17">
        <v>75.0</v>
      </c>
      <c r="L6023" s="13" t="str">
        <f>IF(D6023&lt;&gt;"",VLOOKUP(H6023,TABLEITEM,2,FALSE),"")</f>
        <v/>
      </c>
      <c r="M6023" s="13" t="str">
        <f>IF(D6023&lt;&gt;"",VLOOKUP(H6023,TABLEITEM,3,FALSE),"")</f>
        <v>Hinge zinc die black BP919</v>
      </c>
      <c r="N6023" s="14">
        <f>INSTOCK!$I6023*INSTOCK!$K6023</f>
        <v>3750</v>
      </c>
      <c r="O6023" s="26"/>
      <c r="P6023" s="26"/>
    </row>
    <row r="6024" ht="15.75" customHeight="1">
      <c r="B6024" s="8"/>
      <c r="C6024" s="9">
        <v>43774.0</v>
      </c>
      <c r="D6024" s="6" t="s">
        <v>7078</v>
      </c>
      <c r="E6024" s="26">
        <v>6.211001619E9</v>
      </c>
      <c r="F6024" s="8" t="s">
        <v>7079</v>
      </c>
      <c r="G6024" s="26" t="s">
        <v>1962</v>
      </c>
      <c r="H6024" s="18" t="s">
        <v>6853</v>
      </c>
      <c r="I6024" s="18">
        <v>1.0</v>
      </c>
      <c r="J6024" s="11" t="str">
        <f>IF(D6024&lt;&gt;"",VLOOKUP(H6024,TABLEITEM,5,FALSE),"")</f>
        <v>EA</v>
      </c>
      <c r="K6024" s="17">
        <v>3800.0</v>
      </c>
      <c r="L6024" s="13" t="str">
        <f>IF(D6024&lt;&gt;"",VLOOKUP(H6024,TABLEITEM,2,FALSE),"")</f>
        <v/>
      </c>
      <c r="M6024" s="13" t="str">
        <f>IF(D6024&lt;&gt;"",VLOOKUP(H6024,TABLEITEM,3,FALSE),"")</f>
        <v>SURGE STPT240K275V-3P AC230VAC 3P 40A</v>
      </c>
      <c r="N6024" s="14">
        <f>INSTOCK!$I6024*INSTOCK!$K6024</f>
        <v>3800</v>
      </c>
      <c r="O6024" s="26"/>
      <c r="P6024" s="26"/>
    </row>
    <row r="6025" ht="15.75" customHeight="1">
      <c r="B6025" s="8"/>
      <c r="C6025" s="9">
        <v>43775.0</v>
      </c>
      <c r="D6025" s="6" t="s">
        <v>7080</v>
      </c>
      <c r="E6025" s="26"/>
      <c r="F6025" s="8" t="s">
        <v>801</v>
      </c>
      <c r="G6025" s="26" t="s">
        <v>1417</v>
      </c>
      <c r="H6025" s="18" t="s">
        <v>803</v>
      </c>
      <c r="I6025" s="18">
        <v>19.0</v>
      </c>
      <c r="J6025" s="11" t="str">
        <f>IF(D6025&lt;&gt;"",VLOOKUP(H6025,TABLEITEM,5,FALSE),"")</f>
        <v>ถัง</v>
      </c>
      <c r="K6025" s="17">
        <v>981.31</v>
      </c>
      <c r="L6025" s="13" t="str">
        <f>IF(D6025&lt;&gt;"",VLOOKUP(H6025,TABLEITEM,2,FALSE),"")</f>
        <v/>
      </c>
      <c r="M6025" s="13" t="str">
        <f>IF(D6025&lt;&gt;"",VLOOKUP(H6025,TABLEITEM,3,FALSE),"")</f>
        <v>แก๊สหุงต้ม 48กก</v>
      </c>
      <c r="N6025" s="14">
        <f>INSTOCK!$I6025*INSTOCK!$K6025</f>
        <v>18644.89</v>
      </c>
      <c r="O6025" s="26"/>
      <c r="P6025" s="26"/>
    </row>
    <row r="6026" ht="15.75" customHeight="1">
      <c r="B6026" s="8"/>
      <c r="C6026" s="9">
        <v>43770.0</v>
      </c>
      <c r="D6026" s="6">
        <v>6.21100097E8</v>
      </c>
      <c r="E6026" s="26">
        <v>6.210001573E9</v>
      </c>
      <c r="F6026" s="8" t="s">
        <v>604</v>
      </c>
      <c r="G6026" s="26" t="s">
        <v>1777</v>
      </c>
      <c r="H6026" s="18" t="s">
        <v>7081</v>
      </c>
      <c r="I6026" s="18">
        <v>200.0</v>
      </c>
      <c r="J6026" s="11" t="str">
        <f>IF(D6026&lt;&gt;"",VLOOKUP(H6026,TABLEITEM,5,FALSE),"")</f>
        <v>EA</v>
      </c>
      <c r="K6026" s="17">
        <v>5.25</v>
      </c>
      <c r="L6026" s="13" t="str">
        <f>IF(D6026&lt;&gt;"",VLOOKUP(H6026,TABLEITEM,2,FALSE),"")</f>
        <v/>
      </c>
      <c r="M6026" s="13" t="str">
        <f>IF(D6026&lt;&gt;"",VLOOKUP(H6026,TABLEITEM,3,FALSE),"")</f>
        <v>สกรูหัวเหลี่ยมชุบขาว M10x45</v>
      </c>
      <c r="N6026" s="14">
        <f>INSTOCK!$I6026*INSTOCK!$K6026</f>
        <v>1050</v>
      </c>
      <c r="O6026" s="26" t="s">
        <v>4323</v>
      </c>
      <c r="P6026" s="26"/>
    </row>
    <row r="6027" ht="15.75" customHeight="1">
      <c r="B6027" s="8"/>
      <c r="C6027" s="9">
        <v>43770.0</v>
      </c>
      <c r="D6027" s="6">
        <v>6.21100097E8</v>
      </c>
      <c r="E6027" s="26">
        <v>6.210001573E9</v>
      </c>
      <c r="F6027" s="8" t="s">
        <v>604</v>
      </c>
      <c r="G6027" s="26" t="s">
        <v>1777</v>
      </c>
      <c r="H6027" s="10" t="s">
        <v>4607</v>
      </c>
      <c r="I6027" s="10">
        <v>10000.0</v>
      </c>
      <c r="J6027" s="11" t="str">
        <f>IF(D6027&lt;&gt;"",VLOOKUP(H6027,TABLEITEM,5,FALSE),"")</f>
        <v>EA</v>
      </c>
      <c r="K6027" s="12">
        <v>1.05</v>
      </c>
      <c r="L6027" s="13" t="str">
        <f>IF(D6027&lt;&gt;"",VLOOKUP(H6027,TABLEITEM,2,FALSE),"")</f>
        <v/>
      </c>
      <c r="M6027" s="13" t="str">
        <f>IF(D6027&lt;&gt;"",VLOOKUP(H6027,TABLEITEM,3,FALSE),"")</f>
        <v>สกรูหัวติดแหวน M 6x15</v>
      </c>
      <c r="N6027" s="14">
        <f>INSTOCK!$I6027*INSTOCK!$K6027</f>
        <v>10500</v>
      </c>
      <c r="O6027" s="4" t="s">
        <v>3119</v>
      </c>
      <c r="P6027" s="4"/>
    </row>
    <row r="6028" ht="15.75" customHeight="1">
      <c r="B6028" s="8"/>
      <c r="C6028" s="9">
        <v>43770.0</v>
      </c>
      <c r="D6028" s="6">
        <v>6.21100097E8</v>
      </c>
      <c r="E6028" s="26">
        <v>6.210001573E9</v>
      </c>
      <c r="F6028" s="8" t="s">
        <v>604</v>
      </c>
      <c r="G6028" s="26" t="s">
        <v>1777</v>
      </c>
      <c r="H6028" s="10" t="s">
        <v>3181</v>
      </c>
      <c r="I6028" s="10">
        <v>10000.0</v>
      </c>
      <c r="J6028" s="11" t="str">
        <f>IF(D6028&lt;&gt;"",VLOOKUP(H6028,TABLEITEM,5,FALSE),"")</f>
        <v>EA</v>
      </c>
      <c r="K6028" s="12">
        <v>0.125</v>
      </c>
      <c r="L6028" s="13" t="str">
        <f>IF(D6028&lt;&gt;"",VLOOKUP(H6028,TABLEITEM,2,FALSE),"")</f>
        <v/>
      </c>
      <c r="M6028" s="13" t="str">
        <f>IF(D6028&lt;&gt;"",VLOOKUP(H6028,TABLEITEM,3,FALSE),"")</f>
        <v>แหวนอีแปะ M6 ชุบขาว</v>
      </c>
      <c r="N6028" s="14">
        <f>INSTOCK!$I6028*INSTOCK!$K6028</f>
        <v>1250</v>
      </c>
      <c r="O6028" s="4" t="s">
        <v>3383</v>
      </c>
      <c r="P6028" s="4"/>
    </row>
    <row r="6029" ht="15.75" customHeight="1">
      <c r="B6029" s="8"/>
      <c r="C6029" s="9">
        <v>43770.0</v>
      </c>
      <c r="D6029" s="6">
        <v>6.21100097E8</v>
      </c>
      <c r="E6029" s="26">
        <v>6.210001573E9</v>
      </c>
      <c r="F6029" s="8" t="s">
        <v>604</v>
      </c>
      <c r="G6029" s="26" t="s">
        <v>1777</v>
      </c>
      <c r="H6029" s="10" t="s">
        <v>3184</v>
      </c>
      <c r="I6029" s="10">
        <v>10000.0</v>
      </c>
      <c r="J6029" s="11" t="str">
        <f>IF(D6029&lt;&gt;"",VLOOKUP(H6029,TABLEITEM,5,FALSE),"")</f>
        <v>EA</v>
      </c>
      <c r="K6029" s="12">
        <v>0.16</v>
      </c>
      <c r="L6029" s="13" t="str">
        <f>IF(D6029&lt;&gt;"",VLOOKUP(H6029,TABLEITEM,2,FALSE),"")</f>
        <v/>
      </c>
      <c r="M6029" s="13" t="str">
        <f>IF(D6029&lt;&gt;"",VLOOKUP(H6029,TABLEITEM,3,FALSE),"")</f>
        <v>หัวน็อต      M 6 ชุบขาว</v>
      </c>
      <c r="N6029" s="14">
        <f>INSTOCK!$I6029*INSTOCK!$K6029</f>
        <v>1600</v>
      </c>
      <c r="O6029" s="4" t="s">
        <v>3185</v>
      </c>
      <c r="P6029" s="4"/>
    </row>
    <row r="6030" ht="15.75" customHeight="1">
      <c r="B6030" s="8"/>
      <c r="C6030" s="9">
        <v>43773.0</v>
      </c>
      <c r="D6030" s="6" t="s">
        <v>7082</v>
      </c>
      <c r="E6030" s="26">
        <v>6.210001608E9</v>
      </c>
      <c r="F6030" s="8" t="s">
        <v>604</v>
      </c>
      <c r="G6030" s="26" t="s">
        <v>721</v>
      </c>
      <c r="H6030" s="18" t="s">
        <v>176</v>
      </c>
      <c r="I6030" s="18">
        <v>500.0</v>
      </c>
      <c r="J6030" s="11" t="str">
        <f>IF(D6030&lt;&gt;"",VLOOKUP(H6030,TABLEITEM,5,FALSE),"")</f>
        <v>EA</v>
      </c>
      <c r="K6030" s="17">
        <v>1.0593</v>
      </c>
      <c r="L6030" s="13" t="str">
        <f>IF(D6030&lt;&gt;"",VLOOKUP(H6030,TABLEITEM,2,FALSE),"")</f>
        <v/>
      </c>
      <c r="M6030" s="13" t="str">
        <f>IF(D6030&lt;&gt;"",VLOOKUP(H6030,TABLEITEM,3,FALSE),"")</f>
        <v>หมวกสวมเล็ก</v>
      </c>
      <c r="N6030" s="14">
        <f>INSTOCK!$I6030*INSTOCK!$K6030</f>
        <v>529.65</v>
      </c>
      <c r="O6030" s="26" t="s">
        <v>959</v>
      </c>
      <c r="P6030" s="26"/>
    </row>
    <row r="6031" ht="15.75" customHeight="1">
      <c r="B6031" s="8"/>
      <c r="C6031" s="9">
        <v>43773.0</v>
      </c>
      <c r="D6031" s="6" t="s">
        <v>7082</v>
      </c>
      <c r="E6031" s="26">
        <v>6.210001608E9</v>
      </c>
      <c r="F6031" s="8" t="s">
        <v>604</v>
      </c>
      <c r="G6031" s="26" t="s">
        <v>721</v>
      </c>
      <c r="H6031" s="10" t="s">
        <v>177</v>
      </c>
      <c r="I6031" s="10">
        <v>400.0</v>
      </c>
      <c r="J6031" s="11" t="str">
        <f>IF(D6031&lt;&gt;"",VLOOKUP(H6031,TABLEITEM,5,FALSE),"")</f>
        <v>EA</v>
      </c>
      <c r="K6031" s="12">
        <v>1.5006</v>
      </c>
      <c r="L6031" s="13" t="str">
        <f>IF(D6031&lt;&gt;"",VLOOKUP(H6031,TABLEITEM,2,FALSE),"")</f>
        <v/>
      </c>
      <c r="M6031" s="13" t="str">
        <f>IF(D6031&lt;&gt;"",VLOOKUP(H6031,TABLEITEM,3,FALSE),"")</f>
        <v>หมวกสวมใหญ่</v>
      </c>
      <c r="N6031" s="14">
        <f>INSTOCK!$I6031*INSTOCK!$K6031</f>
        <v>600.24</v>
      </c>
      <c r="O6031" s="4" t="s">
        <v>7083</v>
      </c>
      <c r="P6031" s="4"/>
    </row>
    <row r="6032" ht="15.75" customHeight="1">
      <c r="B6032" s="8"/>
      <c r="C6032" s="9">
        <v>43773.0</v>
      </c>
      <c r="D6032" s="6" t="s">
        <v>7082</v>
      </c>
      <c r="E6032" s="26">
        <v>6.210001608E9</v>
      </c>
      <c r="F6032" s="8" t="s">
        <v>604</v>
      </c>
      <c r="G6032" s="26" t="s">
        <v>721</v>
      </c>
      <c r="H6032" s="18" t="s">
        <v>159</v>
      </c>
      <c r="I6032" s="10">
        <v>2000.0</v>
      </c>
      <c r="J6032" s="11" t="str">
        <f>IF(D6032&lt;&gt;"",VLOOKUP(H6032,TABLEITEM,5,FALSE),"")</f>
        <v>EA</v>
      </c>
      <c r="K6032" s="12">
        <v>0.1164</v>
      </c>
      <c r="L6032" s="13" t="str">
        <f>IF(D6032&lt;&gt;"",VLOOKUP(H6032,TABLEITEM,2,FALSE),"")</f>
        <v/>
      </c>
      <c r="M6032" s="13" t="str">
        <f>IF(D6032&lt;&gt;"",VLOOKUP(H6032,TABLEITEM,3,FALSE),"")</f>
        <v>เคเบิ้ลไทร์ 4" สีขาวCT-100-2C</v>
      </c>
      <c r="N6032" s="14">
        <f>INSTOCK!$I6032*INSTOCK!$K6032</f>
        <v>232.8</v>
      </c>
      <c r="O6032" s="26" t="s">
        <v>1217</v>
      </c>
      <c r="P6032" s="4"/>
    </row>
    <row r="6033" ht="15.75" customHeight="1">
      <c r="B6033" s="8"/>
      <c r="C6033" s="9">
        <v>43773.0</v>
      </c>
      <c r="D6033" s="6" t="s">
        <v>7082</v>
      </c>
      <c r="E6033" s="26">
        <v>6.210001608E9</v>
      </c>
      <c r="F6033" s="8" t="s">
        <v>604</v>
      </c>
      <c r="G6033" s="26" t="s">
        <v>721</v>
      </c>
      <c r="H6033" s="10" t="s">
        <v>173</v>
      </c>
      <c r="I6033" s="10">
        <v>500.0</v>
      </c>
      <c r="J6033" s="11" t="str">
        <f>IF(D6033&lt;&gt;"",VLOOKUP(H6033,TABLEITEM,5,FALSE),"")</f>
        <v>EA</v>
      </c>
      <c r="K6033" s="12">
        <v>1.9546</v>
      </c>
      <c r="L6033" s="13" t="str">
        <f>IF(D6033&lt;&gt;"",VLOOKUP(H6033,TABLEITEM,2,FALSE),"")</f>
        <v/>
      </c>
      <c r="M6033" s="13" t="str">
        <f>IF(D6033&lt;&gt;"",VLOOKUP(H6033,TABLEITEM,3,FALSE),"")</f>
        <v>แป้นกาวเล็กTM2121-4WP</v>
      </c>
      <c r="N6033" s="14">
        <f>INSTOCK!$I6033*INSTOCK!$K6033</f>
        <v>977.3</v>
      </c>
      <c r="O6033" s="4" t="s">
        <v>1405</v>
      </c>
      <c r="P6033" s="4"/>
    </row>
    <row r="6034" ht="15.75" customHeight="1">
      <c r="B6034" s="8"/>
      <c r="C6034" s="9">
        <v>43775.0</v>
      </c>
      <c r="D6034" s="6" t="s">
        <v>7084</v>
      </c>
      <c r="E6034" s="26">
        <v>6.211001622E9</v>
      </c>
      <c r="F6034" s="8" t="s">
        <v>2368</v>
      </c>
      <c r="G6034" s="26" t="s">
        <v>2138</v>
      </c>
      <c r="H6034" s="18" t="s">
        <v>2369</v>
      </c>
      <c r="I6034" s="18">
        <v>1.0</v>
      </c>
      <c r="J6034" s="11" t="str">
        <f>IF(D6034&lt;&gt;"",VLOOKUP(H6034,TABLEITEM,5,FALSE),"")</f>
        <v>ถัง</v>
      </c>
      <c r="K6034" s="17">
        <v>1730.0</v>
      </c>
      <c r="L6034" s="13" t="str">
        <f>IF(D6034&lt;&gt;"",VLOOKUP(H6034,TABLEITEM,2,FALSE),"")</f>
        <v/>
      </c>
      <c r="M6034" s="13" t="str">
        <f>IF(D6034&lt;&gt;"",VLOOKUP(H6034,TABLEITEM,3,FALSE),"")</f>
        <v>MOBIL NUTO H32-1/20LT</v>
      </c>
      <c r="N6034" s="14">
        <f>INSTOCK!$I6034*INSTOCK!$K6034</f>
        <v>1730</v>
      </c>
      <c r="O6034" s="26"/>
      <c r="P6034" s="26"/>
    </row>
    <row r="6035" ht="15.75" customHeight="1">
      <c r="B6035" s="8"/>
      <c r="C6035" s="9">
        <v>43775.0</v>
      </c>
      <c r="D6035" s="6" t="s">
        <v>7085</v>
      </c>
      <c r="E6035" s="26"/>
      <c r="F6035" s="8" t="s">
        <v>604</v>
      </c>
      <c r="G6035" s="26" t="s">
        <v>2860</v>
      </c>
      <c r="H6035" s="18" t="s">
        <v>2861</v>
      </c>
      <c r="I6035" s="18">
        <v>2.0</v>
      </c>
      <c r="J6035" s="11" t="str">
        <f>IF(D6035&lt;&gt;"",VLOOKUP(H6035,TABLEITEM,5,FALSE),"")</f>
        <v>กล</v>
      </c>
      <c r="K6035" s="17">
        <v>850.0</v>
      </c>
      <c r="L6035" s="13" t="str">
        <f>IF(D6035&lt;&gt;"",VLOOKUP(H6035,TABLEITEM,2,FALSE),"")</f>
        <v/>
      </c>
      <c r="M6035" s="13" t="str">
        <f>IF(D6035&lt;&gt;"",VLOOKUP(H6035,TABLEITEM,3,FALSE),"")</f>
        <v>ยาขัด KOMAK</v>
      </c>
      <c r="N6035" s="14">
        <f>INSTOCK!$I6035*INSTOCK!$K6035</f>
        <v>1700</v>
      </c>
      <c r="O6035" s="26"/>
      <c r="P6035" s="26"/>
    </row>
    <row r="6036" ht="15.75" customHeight="1">
      <c r="B6036" s="8"/>
      <c r="C6036" s="9">
        <v>43774.0</v>
      </c>
      <c r="D6036" s="6" t="s">
        <v>7086</v>
      </c>
      <c r="E6036" s="26"/>
      <c r="F6036" s="8" t="s">
        <v>7087</v>
      </c>
      <c r="G6036" s="26" t="s">
        <v>3029</v>
      </c>
      <c r="H6036" s="18" t="s">
        <v>3030</v>
      </c>
      <c r="I6036" s="18">
        <v>1.0</v>
      </c>
      <c r="J6036" s="11" t="str">
        <f>IF(D6036&lt;&gt;"",VLOOKUP(H6036,TABLEITEM,5,FALSE),"")</f>
        <v>LOT</v>
      </c>
      <c r="K6036" s="17">
        <v>500.0</v>
      </c>
      <c r="L6036" s="13" t="str">
        <f>IF(D6036&lt;&gt;"",VLOOKUP(H6036,TABLEITEM,2,FALSE),"")</f>
        <v/>
      </c>
      <c r="M6036" s="13" t="str">
        <f>IF(D6036&lt;&gt;"",VLOOKUP(H6036,TABLEITEM,3,FALSE),"")</f>
        <v>ค่าชุบ ดีบุกเงา</v>
      </c>
      <c r="N6036" s="14">
        <f>INSTOCK!$I6036*INSTOCK!$K6036</f>
        <v>500</v>
      </c>
      <c r="O6036" s="26" t="s">
        <v>7088</v>
      </c>
      <c r="P6036" s="26"/>
    </row>
    <row r="6037" ht="15.75" customHeight="1">
      <c r="B6037" s="8"/>
      <c r="C6037" s="9">
        <v>43774.0</v>
      </c>
      <c r="D6037" s="6" t="s">
        <v>7089</v>
      </c>
      <c r="E6037" s="26">
        <v>6.21100162E9</v>
      </c>
      <c r="F6037" s="8" t="s">
        <v>7090</v>
      </c>
      <c r="G6037" s="26" t="s">
        <v>1258</v>
      </c>
      <c r="H6037" s="18" t="s">
        <v>1261</v>
      </c>
      <c r="I6037" s="18">
        <v>20.0</v>
      </c>
      <c r="J6037" s="11" t="str">
        <f>IF(D6037&lt;&gt;"",VLOOKUP(H6037,TABLEITEM,5,FALSE),"")</f>
        <v>KG.</v>
      </c>
      <c r="K6037" s="17">
        <v>130.0</v>
      </c>
      <c r="L6037" s="13" t="str">
        <f>IF(D6037&lt;&gt;"",VLOOKUP(H6037,TABLEITEM,2,FALSE),"")</f>
        <v/>
      </c>
      <c r="M6037" s="13" t="str">
        <f>IF(D6037&lt;&gt;"",VLOOKUP(H6037,TABLEITEM,3,FALSE),"")</f>
        <v>สีฝุ่น HB 45014 N GREY</v>
      </c>
      <c r="N6037" s="14">
        <f>INSTOCK!$I6037*INSTOCK!$K6037</f>
        <v>2600</v>
      </c>
      <c r="O6037" s="26"/>
      <c r="P6037" s="26"/>
    </row>
    <row r="6038" ht="20.25" customHeight="1">
      <c r="B6038" s="8"/>
      <c r="C6038" s="9">
        <v>43774.0</v>
      </c>
      <c r="D6038" s="6">
        <v>6.2110284E7</v>
      </c>
      <c r="E6038" s="26">
        <v>6.211001621E9</v>
      </c>
      <c r="F6038" s="8" t="s">
        <v>7091</v>
      </c>
      <c r="G6038" s="26" t="s">
        <v>711</v>
      </c>
      <c r="H6038" s="18" t="s">
        <v>754</v>
      </c>
      <c r="I6038" s="18">
        <v>20.0</v>
      </c>
      <c r="J6038" s="11" t="str">
        <f>IF(D6038&lt;&gt;"",VLOOKUP(H6038,TABLEITEM,5,FALSE),"")</f>
        <v>KG.</v>
      </c>
      <c r="K6038" s="17">
        <v>144.0</v>
      </c>
      <c r="L6038" s="13" t="str">
        <f>IF(D6038&lt;&gt;"",VLOOKUP(H6038,TABLEITEM,2,FALSE),"")</f>
        <v/>
      </c>
      <c r="M6038" s="13" t="str">
        <f>IF(D6038&lt;&gt;"",VLOOKUP(H6038,TABLEITEM,3,FALSE),"")</f>
        <v>สีฝุ่น P70003 AN สีครีม</v>
      </c>
      <c r="N6038" s="14">
        <f>INSTOCK!$I6038*INSTOCK!$K6038</f>
        <v>2880</v>
      </c>
      <c r="O6038" s="26" t="s">
        <v>756</v>
      </c>
      <c r="P6038" s="26"/>
    </row>
    <row r="6039" ht="15.75" customHeight="1">
      <c r="B6039" s="8"/>
      <c r="C6039" s="9">
        <v>43774.0</v>
      </c>
      <c r="D6039" s="6" t="s">
        <v>7092</v>
      </c>
      <c r="E6039" s="26">
        <v>6.209001423E9</v>
      </c>
      <c r="F6039" s="8" t="s">
        <v>604</v>
      </c>
      <c r="G6039" s="26" t="s">
        <v>7093</v>
      </c>
      <c r="H6039" s="18" t="s">
        <v>7094</v>
      </c>
      <c r="I6039" s="18">
        <v>50.0</v>
      </c>
      <c r="J6039" s="11" t="str">
        <f>IF(D6039&lt;&gt;"",VLOOKUP(H6039,TABLEITEM,5,FALSE),"")</f>
        <v>M</v>
      </c>
      <c r="K6039" s="17">
        <v>600.0</v>
      </c>
      <c r="L6039" s="13" t="str">
        <f>IF(D6039&lt;&gt;"",VLOOKUP(H6039,TABLEITEM,2,FALSE),"")</f>
        <v/>
      </c>
      <c r="M6039" s="13" t="str">
        <f>IF(D6039&lt;&gt;"",VLOOKUP(H6039,TABLEITEM,3,FALSE),"")</f>
        <v>สายไฟ MLFC 6.6KV 8SQ.MM</v>
      </c>
      <c r="N6039" s="14">
        <f>INSTOCK!$I6039*INSTOCK!$K6039</f>
        <v>30000</v>
      </c>
      <c r="O6039" s="26"/>
      <c r="P6039" s="26"/>
    </row>
    <row r="6040" ht="15.75" customHeight="1">
      <c r="B6040" s="8"/>
      <c r="C6040" s="9">
        <v>43773.0</v>
      </c>
      <c r="D6040" s="6" t="s">
        <v>7095</v>
      </c>
      <c r="E6040" s="26">
        <v>6.210001599E9</v>
      </c>
      <c r="F6040" s="8" t="s">
        <v>604</v>
      </c>
      <c r="G6040" s="26" t="s">
        <v>1289</v>
      </c>
      <c r="H6040" s="18" t="s">
        <v>1300</v>
      </c>
      <c r="I6040" s="18">
        <v>1000.0</v>
      </c>
      <c r="J6040" s="11" t="str">
        <f>IF(D6040&lt;&gt;"",VLOOKUP(H6040,TABLEITEM,5,FALSE),"")</f>
        <v>EA</v>
      </c>
      <c r="K6040" s="17">
        <v>21.0</v>
      </c>
      <c r="L6040" s="13" t="str">
        <f>IF(D6040&lt;&gt;"",VLOOKUP(H6040,TABLEITEM,2,FALSE),"")</f>
        <v/>
      </c>
      <c r="M6040" s="13" t="str">
        <f>IF(D6040&lt;&gt;"",VLOOKUP(H6040,TABLEITEM,3,FALSE),"")</f>
        <v>ห่วงล็อคสเตนเลสเล็ก มีสปริง 18x45</v>
      </c>
      <c r="N6040" s="14">
        <f>INSTOCK!$I6040*INSTOCK!$K6040</f>
        <v>21000</v>
      </c>
      <c r="O6040" s="26"/>
      <c r="P6040" s="26"/>
    </row>
    <row r="6041" ht="15.75" customHeight="1">
      <c r="B6041" s="8"/>
      <c r="C6041" s="9">
        <v>43774.0</v>
      </c>
      <c r="D6041" s="6" t="s">
        <v>7096</v>
      </c>
      <c r="E6041" s="26"/>
      <c r="F6041" s="8" t="s">
        <v>7075</v>
      </c>
      <c r="G6041" s="26" t="s">
        <v>7097</v>
      </c>
      <c r="H6041" s="18" t="s">
        <v>7098</v>
      </c>
      <c r="I6041" s="18">
        <v>1.0</v>
      </c>
      <c r="J6041" s="11" t="str">
        <f>IF(D6041&lt;&gt;"",VLOOKUP(H6041,TABLEITEM,5,FALSE),"")</f>
        <v>หลา</v>
      </c>
      <c r="K6041" s="17">
        <v>600.0</v>
      </c>
      <c r="L6041" s="13" t="str">
        <f>IF(D6041&lt;&gt;"",VLOOKUP(H6041,TABLEITEM,2,FALSE),"")</f>
        <v/>
      </c>
      <c r="M6041" s="13" t="str">
        <f>IF(D6041&lt;&gt;"",VLOOKUP(H6041,TABLEITEM,3,FALSE),"")</f>
        <v>สติ๊กเกอร์สะท้อนแสง 3M-610-10</v>
      </c>
      <c r="N6041" s="14">
        <f>INSTOCK!$I6041*INSTOCK!$K6041</f>
        <v>600</v>
      </c>
      <c r="O6041" s="26"/>
      <c r="P6041" s="26"/>
    </row>
    <row r="6042" ht="15.75" customHeight="1">
      <c r="B6042" s="8"/>
      <c r="C6042" s="9">
        <v>43774.0</v>
      </c>
      <c r="D6042" s="6" t="s">
        <v>7099</v>
      </c>
      <c r="E6042" s="26">
        <v>6.210001571E9</v>
      </c>
      <c r="F6042" s="8" t="s">
        <v>3737</v>
      </c>
      <c r="G6042" s="26" t="s">
        <v>1864</v>
      </c>
      <c r="H6042" s="10" t="s">
        <v>1865</v>
      </c>
      <c r="I6042" s="18">
        <v>16.0</v>
      </c>
      <c r="J6042" s="11" t="str">
        <f>IF(D6042&lt;&gt;"",VLOOKUP(H6042,TABLEITEM,5,FALSE),"")</f>
        <v>DRUM</v>
      </c>
      <c r="K6042" s="17">
        <v>9375.0</v>
      </c>
      <c r="L6042" s="13" t="str">
        <f>IF(D6042&lt;&gt;"",VLOOKUP(H6042,TABLEITEM,2,FALSE),"")</f>
        <v/>
      </c>
      <c r="M6042" s="13" t="str">
        <f>IF(D6042&lt;&gt;"",VLOOKUP(H6042,TABLEITEM,3,FALSE),"")</f>
        <v>PU FOAM GLUE A IP67-3 (25KG=8DRUM)</v>
      </c>
      <c r="N6042" s="14">
        <f>INSTOCK!$I6042*INSTOCK!$K6042</f>
        <v>150000</v>
      </c>
      <c r="O6042" s="26"/>
      <c r="P6042" s="26"/>
    </row>
    <row r="6043" ht="15.75" customHeight="1">
      <c r="B6043" s="8"/>
      <c r="C6043" s="9">
        <v>43774.0</v>
      </c>
      <c r="D6043" s="6" t="s">
        <v>7099</v>
      </c>
      <c r="E6043" s="26">
        <v>6.210001571E9</v>
      </c>
      <c r="F6043" s="8" t="s">
        <v>3737</v>
      </c>
      <c r="G6043" s="26" t="s">
        <v>1864</v>
      </c>
      <c r="H6043" s="10" t="s">
        <v>1866</v>
      </c>
      <c r="I6043" s="10">
        <v>8.0</v>
      </c>
      <c r="J6043" s="11" t="str">
        <f>IF(D6043&lt;&gt;"",VLOOKUP(H6043,TABLEITEM,5,FALSE),"")</f>
        <v>DRUM</v>
      </c>
      <c r="K6043" s="12">
        <v>9550.0</v>
      </c>
      <c r="L6043" s="13" t="str">
        <f>IF(D6043&lt;&gt;"",VLOOKUP(H6043,TABLEITEM,2,FALSE),"")</f>
        <v/>
      </c>
      <c r="M6043" s="13" t="str">
        <f>IF(D6043&lt;&gt;"",VLOOKUP(H6043,TABLEITEM,3,FALSE),"")</f>
        <v>PU FOAM GLUE B IP67-3 (25KG=2DRUM)</v>
      </c>
      <c r="N6043" s="14">
        <f>INSTOCK!$I6043*INSTOCK!$K6043</f>
        <v>76400</v>
      </c>
      <c r="O6043" s="4"/>
      <c r="P6043" s="4"/>
    </row>
    <row r="6044" ht="15.75" customHeight="1">
      <c r="B6044" s="8"/>
      <c r="C6044" s="9">
        <v>43774.0</v>
      </c>
      <c r="D6044" s="6" t="s">
        <v>7099</v>
      </c>
      <c r="E6044" s="26">
        <v>6.210001571E9</v>
      </c>
      <c r="F6044" s="8" t="s">
        <v>3737</v>
      </c>
      <c r="G6044" s="26" t="s">
        <v>1864</v>
      </c>
      <c r="H6044" s="10" t="s">
        <v>1867</v>
      </c>
      <c r="I6044" s="10">
        <v>1.0</v>
      </c>
      <c r="J6044" s="11" t="str">
        <f>IF(D6044&lt;&gt;"",VLOOKUP(H6044,TABLEITEM,5,FALSE),"")</f>
        <v>LOT</v>
      </c>
      <c r="K6044" s="12">
        <v>5500.0</v>
      </c>
      <c r="L6044" s="13" t="str">
        <f>IF(D6044&lt;&gt;"",VLOOKUP(H6044,TABLEITEM,2,FALSE),"")</f>
        <v/>
      </c>
      <c r="M6044" s="13" t="str">
        <f>IF(D6044&lt;&gt;"",VLOOKUP(H6044,TABLEITEM,3,FALSE),"")</f>
        <v>WOOD PACKING</v>
      </c>
      <c r="N6044" s="14">
        <f>INSTOCK!$I6044*INSTOCK!$K6044</f>
        <v>5500</v>
      </c>
      <c r="O6044" s="4"/>
      <c r="P6044" s="4"/>
    </row>
    <row r="6045" ht="15.75" customHeight="1">
      <c r="B6045" s="8"/>
      <c r="C6045" s="9">
        <v>43774.0</v>
      </c>
      <c r="D6045" s="6" t="s">
        <v>7099</v>
      </c>
      <c r="E6045" s="26">
        <v>6.210001571E9</v>
      </c>
      <c r="F6045" s="8" t="s">
        <v>3737</v>
      </c>
      <c r="G6045" s="26" t="s">
        <v>1864</v>
      </c>
      <c r="H6045" s="10" t="s">
        <v>7100</v>
      </c>
      <c r="I6045" s="10">
        <v>1.0</v>
      </c>
      <c r="J6045" s="11" t="str">
        <f>IF(D6045&lt;&gt;"",VLOOKUP(H6045,TABLEITEM,5,FALSE),"")</f>
        <v>LOT</v>
      </c>
      <c r="K6045" s="12">
        <v>8200.0</v>
      </c>
      <c r="L6045" s="13" t="str">
        <f>IF(D6045&lt;&gt;"",VLOOKUP(H6045,TABLEITEM,2,FALSE),"")</f>
        <v/>
      </c>
      <c r="M6045" s="13" t="str">
        <f>IF(D6045&lt;&gt;"",VLOOKUP(H6045,TABLEITEM,3,FALSE),"")</f>
        <v>STEEL PACKING</v>
      </c>
      <c r="N6045" s="14">
        <f>INSTOCK!$I6045*INSTOCK!$K6045</f>
        <v>8200</v>
      </c>
      <c r="O6045" s="4"/>
      <c r="P6045" s="4"/>
    </row>
    <row r="6046" ht="15.75" customHeight="1">
      <c r="B6046" s="8"/>
      <c r="C6046" s="9">
        <v>43774.0</v>
      </c>
      <c r="D6046" s="6" t="s">
        <v>7099</v>
      </c>
      <c r="E6046" s="26">
        <v>6.210001571E9</v>
      </c>
      <c r="F6046" s="8" t="s">
        <v>3737</v>
      </c>
      <c r="G6046" s="26" t="s">
        <v>1864</v>
      </c>
      <c r="H6046" s="10" t="s">
        <v>1868</v>
      </c>
      <c r="I6046" s="10">
        <v>1.0</v>
      </c>
      <c r="J6046" s="11" t="str">
        <f>IF(D6046&lt;&gt;"",VLOOKUP(H6046,TABLEITEM,5,FALSE),"")</f>
        <v>LOT</v>
      </c>
      <c r="K6046" s="12">
        <v>42384.0</v>
      </c>
      <c r="L6046" s="13" t="str">
        <f>IF(D6046&lt;&gt;"",VLOOKUP(H6046,TABLEITEM,2,FALSE),"")</f>
        <v/>
      </c>
      <c r="M6046" s="13" t="str">
        <f>IF(D6046&lt;&gt;"",VLOOKUP(H6046,TABLEITEM,3,FALSE),"")</f>
        <v>SHIPPING CHARGHE FROM KLANG PORT TO BKK</v>
      </c>
      <c r="N6046" s="14">
        <f>INSTOCK!$I6046*INSTOCK!$K6046</f>
        <v>42384</v>
      </c>
      <c r="O6046" s="4"/>
      <c r="P6046" s="4"/>
    </row>
    <row r="6047" ht="15.75" customHeight="1">
      <c r="B6047" s="8"/>
      <c r="C6047" s="9">
        <v>43775.0</v>
      </c>
      <c r="D6047" s="6" t="s">
        <v>7101</v>
      </c>
      <c r="E6047" s="4">
        <v>6.211001625E9</v>
      </c>
      <c r="F6047" s="8" t="s">
        <v>604</v>
      </c>
      <c r="G6047" s="4" t="s">
        <v>729</v>
      </c>
      <c r="H6047" s="10" t="s">
        <v>29</v>
      </c>
      <c r="I6047" s="10">
        <v>500.0</v>
      </c>
      <c r="J6047" s="11" t="str">
        <f>IF(D6047&lt;&gt;"",VLOOKUP(H6047,TABLEITEM,5,FALSE),"")</f>
        <v>M</v>
      </c>
      <c r="K6047" s="12">
        <v>17.0</v>
      </c>
      <c r="L6047" s="13" t="str">
        <f>IF(D6047&lt;&gt;"",VLOOKUP(H6047,TABLEITEM,2,FALSE),"")</f>
        <v/>
      </c>
      <c r="M6047" s="13" t="str">
        <f>IF(D6047&lt;&gt;"",VLOOKUP(H6047,TABLEITEM,3,FALSE),"")</f>
        <v>ยางฟองน้ำ1"x1/4''</v>
      </c>
      <c r="N6047" s="14">
        <f>INSTOCK!$I6047*INSTOCK!$K6047</f>
        <v>8500</v>
      </c>
      <c r="O6047" s="4"/>
      <c r="P6047" s="4"/>
    </row>
    <row r="6048" ht="15.75" customHeight="1">
      <c r="B6048" s="8"/>
      <c r="C6048" s="9">
        <v>43777.0</v>
      </c>
      <c r="D6048" s="6">
        <v>1911058.0</v>
      </c>
      <c r="E6048" s="4">
        <v>6.211001635E9</v>
      </c>
      <c r="F6048" s="8" t="s">
        <v>604</v>
      </c>
      <c r="G6048" s="4" t="s">
        <v>5349</v>
      </c>
      <c r="H6048" s="10" t="s">
        <v>85</v>
      </c>
      <c r="I6048" s="10">
        <v>200.0</v>
      </c>
      <c r="J6048" s="11" t="str">
        <f>IF(D6048&lt;&gt;"",VLOOKUP(H6048,TABLEITEM,5,FALSE),"")</f>
        <v>KG.</v>
      </c>
      <c r="K6048" s="12">
        <v>112.0</v>
      </c>
      <c r="L6048" s="13" t="str">
        <f>IF(D6048&lt;&gt;"",VLOOKUP(H6048,TABLEITEM,2,FALSE),"")</f>
        <v/>
      </c>
      <c r="M6048" s="13" t="str">
        <f>IF(D6048&lt;&gt;"",VLOOKUP(H6048,TABLEITEM,3,FALSE),"")</f>
        <v>สีฝุ่น GH433241 สีเทาย่น</v>
      </c>
      <c r="N6048" s="14">
        <f>INSTOCK!$I6048*INSTOCK!$K6048</f>
        <v>22400</v>
      </c>
      <c r="O6048" s="4"/>
      <c r="P6048" s="4"/>
    </row>
    <row r="6049" ht="15.75" customHeight="1">
      <c r="B6049" s="8"/>
      <c r="C6049" s="9">
        <v>43774.0</v>
      </c>
      <c r="D6049" s="6">
        <v>6.21101736E8</v>
      </c>
      <c r="E6049" s="4">
        <v>6.211001627E9</v>
      </c>
      <c r="F6049" s="8" t="s">
        <v>604</v>
      </c>
      <c r="G6049" s="4" t="s">
        <v>1130</v>
      </c>
      <c r="H6049" s="10" t="s">
        <v>169</v>
      </c>
      <c r="I6049" s="10">
        <v>100.0</v>
      </c>
      <c r="J6049" s="11" t="str">
        <f>IF(D6049&lt;&gt;"",VLOOKUP(H6049,TABLEITEM,5,FALSE),"")</f>
        <v>M</v>
      </c>
      <c r="K6049" s="12">
        <v>4.0</v>
      </c>
      <c r="L6049" s="13" t="str">
        <f>IF(D6049&lt;&gt;"",VLOOKUP(H6049,TABLEITEM,2,FALSE),"")</f>
        <v/>
      </c>
      <c r="M6049" s="13" t="str">
        <f>IF(D6049&lt;&gt;"",VLOOKUP(H6049,TABLEITEM,3,FALSE),"")</f>
        <v>ไส้ไก่ NO.10</v>
      </c>
      <c r="N6049" s="14">
        <f>INSTOCK!$I6049*INSTOCK!$K6049</f>
        <v>400</v>
      </c>
      <c r="O6049" s="4" t="s">
        <v>2917</v>
      </c>
      <c r="P6049" s="4"/>
    </row>
    <row r="6050" ht="15.75" customHeight="1">
      <c r="B6050" s="8"/>
      <c r="C6050" s="9">
        <v>43777.0</v>
      </c>
      <c r="D6050" s="6" t="s">
        <v>7102</v>
      </c>
      <c r="E6050" s="4">
        <v>6.211001617E9</v>
      </c>
      <c r="F6050" s="8" t="s">
        <v>2449</v>
      </c>
      <c r="G6050" s="4" t="s">
        <v>1985</v>
      </c>
      <c r="H6050" s="10" t="s">
        <v>2557</v>
      </c>
      <c r="I6050" s="10">
        <v>2.0</v>
      </c>
      <c r="J6050" s="11" t="str">
        <f>IF(D6050&lt;&gt;"",VLOOKUP(H6050,TABLEITEM,5,FALSE),"")</f>
        <v>คู่</v>
      </c>
      <c r="K6050" s="12">
        <v>560.0</v>
      </c>
      <c r="L6050" s="13" t="str">
        <f>IF(D6050&lt;&gt;"",VLOOKUP(H6050,TABLEITEM,2,FALSE),"")</f>
        <v/>
      </c>
      <c r="M6050" s="13" t="str">
        <f>IF(D6050&lt;&gt;"",VLOOKUP(H6050,TABLEITEM,3,FALSE),"")</f>
        <v>รองเท้าหุ้มส้นพื้นยาง CB800</v>
      </c>
      <c r="N6050" s="14">
        <f>INSTOCK!$I6050*INSTOCK!$K6050</f>
        <v>1120</v>
      </c>
      <c r="O6050" s="4"/>
      <c r="P6050" s="4"/>
    </row>
    <row r="6051" ht="15.75" customHeight="1">
      <c r="B6051" s="8"/>
      <c r="C6051" s="9">
        <v>43776.0</v>
      </c>
      <c r="D6051" s="6" t="s">
        <v>7103</v>
      </c>
      <c r="E6051" s="26">
        <v>6.211001628E9</v>
      </c>
      <c r="F6051" s="8" t="s">
        <v>604</v>
      </c>
      <c r="G6051" s="26" t="s">
        <v>6602</v>
      </c>
      <c r="H6051" s="18" t="s">
        <v>19</v>
      </c>
      <c r="I6051" s="18">
        <v>60.0</v>
      </c>
      <c r="J6051" s="40" t="str">
        <f>IF(D6051&lt;&gt;"",VLOOKUP(H6051,TABLEITEM,5,FALSE),"")</f>
        <v>ROLL</v>
      </c>
      <c r="K6051" s="17">
        <v>135.0</v>
      </c>
      <c r="L6051" s="13" t="str">
        <f>IF(D6051&lt;&gt;"",VLOOKUP(H6051,TABLEITEM,2,FALSE),"")</f>
        <v/>
      </c>
      <c r="M6051" s="13" t="str">
        <f>IF(D6051&lt;&gt;"",VLOOKUP(H6051,TABLEITEM,3,FALSE),"")</f>
        <v>พลาสติกห่อตู้ 20micx50cmx300m</v>
      </c>
      <c r="N6051" s="14">
        <f>INSTOCK!$I6051*INSTOCK!$K6051</f>
        <v>8100</v>
      </c>
      <c r="O6051" s="26"/>
      <c r="P6051" s="26"/>
    </row>
    <row r="6052" ht="15.75" customHeight="1">
      <c r="B6052" s="8"/>
      <c r="C6052" s="9">
        <v>43775.0</v>
      </c>
      <c r="D6052" s="6" t="s">
        <v>7104</v>
      </c>
      <c r="E6052" s="26">
        <v>6.211001629E9</v>
      </c>
      <c r="F6052" s="8" t="s">
        <v>604</v>
      </c>
      <c r="G6052" s="26" t="s">
        <v>965</v>
      </c>
      <c r="H6052" s="18" t="s">
        <v>7105</v>
      </c>
      <c r="I6052" s="18">
        <v>20.0</v>
      </c>
      <c r="J6052" s="40" t="str">
        <f>IF(D6052&lt;&gt;"",VLOOKUP(H6052,TABLEITEM,5,FALSE),"")</f>
        <v>EA</v>
      </c>
      <c r="K6052" s="17">
        <v>0.3</v>
      </c>
      <c r="L6052" s="13" t="str">
        <f>IF(D6052&lt;&gt;"",VLOOKUP(H6052,TABLEITEM,2,FALSE),"")</f>
        <v/>
      </c>
      <c r="M6052" s="13" t="str">
        <f>IF(D6052&lt;&gt;"",VLOOKUP(H6052,TABLEITEM,3,FALSE),"")</f>
        <v>สกรูเกลียวปล่อย M7x1.1/2" P</v>
      </c>
      <c r="N6052" s="14">
        <f>INSTOCK!$I6052*INSTOCK!$K6052</f>
        <v>6</v>
      </c>
      <c r="O6052" s="26"/>
      <c r="P6052" s="26"/>
    </row>
    <row r="6053" ht="15.75" customHeight="1">
      <c r="B6053" s="8"/>
      <c r="C6053" s="9">
        <v>43775.0</v>
      </c>
      <c r="D6053" s="6" t="s">
        <v>7104</v>
      </c>
      <c r="E6053" s="26">
        <v>6.211001629E9</v>
      </c>
      <c r="F6053" s="8" t="s">
        <v>604</v>
      </c>
      <c r="G6053" s="26" t="s">
        <v>965</v>
      </c>
      <c r="H6053" s="10" t="s">
        <v>59</v>
      </c>
      <c r="I6053" s="10">
        <v>12.0</v>
      </c>
      <c r="J6053" s="41" t="str">
        <f>IF(D6053&lt;&gt;"",VLOOKUP(H6053,TABLEITEM,5,FALSE),"")</f>
        <v>EA</v>
      </c>
      <c r="K6053" s="12">
        <v>105.0</v>
      </c>
      <c r="L6053" s="13" t="str">
        <f>IF(D6053&lt;&gt;"",VLOOKUP(H6053,TABLEITEM,2,FALSE),"")</f>
        <v/>
      </c>
      <c r="M6053" s="13" t="str">
        <f>IF(D6053&lt;&gt;"",VLOOKUP(H6053,TABLEITEM,3,FALSE),"")</f>
        <v>โซเน็ก</v>
      </c>
      <c r="N6053" s="14">
        <f>INSTOCK!$I6053*INSTOCK!$K6053</f>
        <v>1260</v>
      </c>
      <c r="O6053" s="4"/>
      <c r="P6053" s="4"/>
    </row>
    <row r="6054" ht="15.75" customHeight="1">
      <c r="B6054" s="8"/>
      <c r="C6054" s="9">
        <v>43776.0</v>
      </c>
      <c r="D6054" s="6" t="s">
        <v>7106</v>
      </c>
      <c r="E6054" s="26">
        <v>6.211001612E9</v>
      </c>
      <c r="F6054" s="8" t="s">
        <v>604</v>
      </c>
      <c r="G6054" s="26" t="s">
        <v>965</v>
      </c>
      <c r="H6054" s="18" t="s">
        <v>6986</v>
      </c>
      <c r="I6054" s="18">
        <v>1.0</v>
      </c>
      <c r="J6054" s="40" t="str">
        <f>IF(D6054&lt;&gt;"",VLOOKUP(H6054,TABLEITEM,5,FALSE),"")</f>
        <v>EA</v>
      </c>
      <c r="K6054" s="17">
        <v>130.0</v>
      </c>
      <c r="L6054" s="13" t="str">
        <f>IF(D6054&lt;&gt;"",VLOOKUP(H6054,TABLEITEM,2,FALSE),"")</f>
        <v/>
      </c>
      <c r="M6054" s="13" t="str">
        <f>IF(D6054&lt;&gt;"",VLOOKUP(H6054,TABLEITEM,3,FALSE),"")</f>
        <v>กาวทาท่อตราช้าง</v>
      </c>
      <c r="N6054" s="14">
        <f>INSTOCK!$I6054*INSTOCK!$K6054</f>
        <v>130</v>
      </c>
      <c r="O6054" s="26"/>
      <c r="P6054" s="26"/>
    </row>
    <row r="6055" ht="15.75" customHeight="1">
      <c r="B6055" s="8"/>
      <c r="C6055" s="9">
        <v>43776.0</v>
      </c>
      <c r="D6055" s="6" t="s">
        <v>7106</v>
      </c>
      <c r="E6055" s="26">
        <v>6.211001612E9</v>
      </c>
      <c r="F6055" s="8" t="s">
        <v>604</v>
      </c>
      <c r="G6055" s="26" t="s">
        <v>965</v>
      </c>
      <c r="H6055" s="10" t="s">
        <v>7107</v>
      </c>
      <c r="I6055" s="10">
        <v>4.0</v>
      </c>
      <c r="J6055" s="41" t="str">
        <f>IF(D6055&lt;&gt;"",VLOOKUP(H6055,TABLEITEM,5,FALSE),"")</f>
        <v>EA</v>
      </c>
      <c r="K6055" s="12">
        <v>7.0</v>
      </c>
      <c r="L6055" s="13" t="str">
        <f>IF(D6055&lt;&gt;"",VLOOKUP(H6055,TABLEITEM,2,FALSE),"")</f>
        <v/>
      </c>
      <c r="M6055" s="13" t="str">
        <f>IF(D6055&lt;&gt;"",VLOOKUP(H6055,TABLEITEM,3,FALSE),"")</f>
        <v>ยูโบล์ท 1.1/4"</v>
      </c>
      <c r="N6055" s="14">
        <f>INSTOCK!$I6055*INSTOCK!$K6055</f>
        <v>28</v>
      </c>
      <c r="O6055" s="4"/>
      <c r="P6055" s="4"/>
    </row>
    <row r="6056" ht="15.75" customHeight="1">
      <c r="B6056" s="8"/>
      <c r="C6056" s="9">
        <v>43777.0</v>
      </c>
      <c r="D6056" s="6" t="s">
        <v>7108</v>
      </c>
      <c r="E6056" s="26">
        <v>6.211001604E9</v>
      </c>
      <c r="F6056" s="8" t="s">
        <v>604</v>
      </c>
      <c r="G6056" s="26" t="s">
        <v>965</v>
      </c>
      <c r="H6056" s="18" t="s">
        <v>2153</v>
      </c>
      <c r="I6056" s="10">
        <v>20.0</v>
      </c>
      <c r="J6056" s="41" t="str">
        <f>IF(D6056&lt;&gt;"",VLOOKUP(H6056,TABLEITEM,5,FALSE),"")</f>
        <v>EA</v>
      </c>
      <c r="K6056" s="12">
        <v>8.0</v>
      </c>
      <c r="L6056" s="13" t="str">
        <f>IF(D6056&lt;&gt;"",VLOOKUP(H6056,TABLEITEM,2,FALSE),"")</f>
        <v/>
      </c>
      <c r="M6056" s="13" t="str">
        <f>IF(D6056&lt;&gt;"",VLOOKUP(H6056,TABLEITEM,3,FALSE),"")</f>
        <v>เทปพันเกลียว</v>
      </c>
      <c r="N6056" s="14">
        <f>INSTOCK!$I6056*INSTOCK!$K6056</f>
        <v>160</v>
      </c>
      <c r="O6056" s="4"/>
      <c r="P6056" s="4"/>
    </row>
    <row r="6057" ht="15.75" customHeight="1">
      <c r="B6057" s="8"/>
      <c r="C6057" s="9">
        <v>43778.0</v>
      </c>
      <c r="D6057" s="6" t="s">
        <v>7109</v>
      </c>
      <c r="E6057" s="26">
        <v>6.211001604E9</v>
      </c>
      <c r="F6057" s="8" t="s">
        <v>604</v>
      </c>
      <c r="G6057" s="26" t="s">
        <v>965</v>
      </c>
      <c r="H6057" s="10" t="s">
        <v>2906</v>
      </c>
      <c r="I6057" s="10">
        <v>20.0</v>
      </c>
      <c r="J6057" s="41" t="str">
        <f>IF(D6057&lt;&gt;"",VLOOKUP(H6057,TABLEITEM,5,FALSE),"")</f>
        <v>EA</v>
      </c>
      <c r="K6057" s="12">
        <v>10.0</v>
      </c>
      <c r="L6057" s="13" t="str">
        <f>IF(D6057&lt;&gt;"",VLOOKUP(H6057,TABLEITEM,2,FALSE),"")</f>
        <v/>
      </c>
      <c r="M6057" s="13" t="str">
        <f>IF(D6057&lt;&gt;"",VLOOKUP(H6057,TABLEITEM,3,FALSE),"")</f>
        <v>ภู่กัน #8</v>
      </c>
      <c r="N6057" s="14">
        <f>INSTOCK!$I6057*INSTOCK!$K6057</f>
        <v>200</v>
      </c>
      <c r="O6057" s="4"/>
      <c r="P6057" s="4"/>
    </row>
    <row r="6058" ht="15.75" customHeight="1">
      <c r="B6058" s="8"/>
      <c r="C6058" s="9">
        <v>43774.0</v>
      </c>
      <c r="D6058" s="6" t="s">
        <v>7110</v>
      </c>
      <c r="E6058" s="26"/>
      <c r="F6058" s="8" t="s">
        <v>604</v>
      </c>
      <c r="G6058" s="26" t="s">
        <v>1446</v>
      </c>
      <c r="H6058" s="18" t="s">
        <v>6641</v>
      </c>
      <c r="I6058" s="18">
        <v>30.0</v>
      </c>
      <c r="J6058" s="40" t="str">
        <f>IF(D6058&lt;&gt;"",VLOOKUP(H6058,TABLEITEM,5,FALSE),"")</f>
        <v>M</v>
      </c>
      <c r="K6058" s="17">
        <v>147.0</v>
      </c>
      <c r="L6058" s="13" t="str">
        <f>IF(D6058&lt;&gt;"",VLOOKUP(H6058,TABLEITEM,2,FALSE),"")</f>
        <v/>
      </c>
      <c r="M6058" s="13" t="str">
        <f>IF(D6058&lt;&gt;"",VLOOKUP(H6058,TABLEITEM,3,FALSE),"")</f>
        <v>สายไฟ XLPE3.6/6(7.2) KV-CV 1x25 MM</v>
      </c>
      <c r="N6058" s="14">
        <f>INSTOCK!$I6058*INSTOCK!$K6058</f>
        <v>4410</v>
      </c>
      <c r="O6058" s="26" t="s">
        <v>6642</v>
      </c>
      <c r="P6058" s="26"/>
    </row>
    <row r="6059" ht="15.75" customHeight="1">
      <c r="B6059" s="8"/>
      <c r="C6059" s="9">
        <v>43780.0</v>
      </c>
      <c r="D6059" s="6">
        <v>87902.0</v>
      </c>
      <c r="E6059" s="26">
        <v>6.210001576E9</v>
      </c>
      <c r="F6059" s="8" t="s">
        <v>604</v>
      </c>
      <c r="G6059" s="26" t="s">
        <v>2589</v>
      </c>
      <c r="H6059" s="18" t="s">
        <v>3366</v>
      </c>
      <c r="I6059" s="18">
        <v>1500.0</v>
      </c>
      <c r="J6059" s="40" t="str">
        <f>IF(D6059&lt;&gt;"",VLOOKUP(H6059,TABLEITEM,5,FALSE),"")</f>
        <v>EA</v>
      </c>
      <c r="K6059" s="17">
        <v>6.11</v>
      </c>
      <c r="L6059" s="13" t="str">
        <f>IF(D6059&lt;&gt;"",VLOOKUP(H6059,TABLEITEM,2,FALSE),"")</f>
        <v/>
      </c>
      <c r="M6059" s="13" t="str">
        <f>IF(D6059&lt;&gt;"",VLOOKUP(H6059,TABLEITEM,3,FALSE),"")</f>
        <v>สตัด M8x30</v>
      </c>
      <c r="N6059" s="14">
        <f>INSTOCK!$I6059*INSTOCK!$K6059</f>
        <v>9165</v>
      </c>
      <c r="O6059" s="26"/>
      <c r="P6059" s="26"/>
    </row>
    <row r="6060" ht="15.75" customHeight="1">
      <c r="B6060" s="8"/>
      <c r="C6060" s="9">
        <v>43778.0</v>
      </c>
      <c r="D6060" s="6">
        <v>41089.0</v>
      </c>
      <c r="E6060" s="26">
        <v>6.211001639E9</v>
      </c>
      <c r="F6060" s="8" t="s">
        <v>2663</v>
      </c>
      <c r="G6060" s="26" t="s">
        <v>696</v>
      </c>
      <c r="H6060" s="18" t="s">
        <v>7111</v>
      </c>
      <c r="I6060" s="18">
        <v>3.0</v>
      </c>
      <c r="J6060" s="40" t="str">
        <f>IF(D6060&lt;&gt;"",VLOOKUP(H6060,TABLEITEM,5,FALSE),"")</f>
        <v>เส้น</v>
      </c>
      <c r="K6060" s="17">
        <v>94.0</v>
      </c>
      <c r="L6060" s="13" t="str">
        <f>IF(D6060&lt;&gt;"",VLOOKUP(H6060,TABLEITEM,2,FALSE),"")</f>
        <v/>
      </c>
      <c r="M6060" s="13" t="str">
        <f>IF(D6060&lt;&gt;"",VLOOKUP(H6060,TABLEITEM,3,FALSE),"")</f>
        <v>สายพาน A84 BANDO</v>
      </c>
      <c r="N6060" s="14">
        <f>INSTOCK!$I6060*INSTOCK!$K6060</f>
        <v>282</v>
      </c>
      <c r="O6060" s="26"/>
      <c r="P6060" s="26"/>
    </row>
    <row r="6061" ht="15.75" customHeight="1">
      <c r="B6061" s="8"/>
      <c r="C6061" s="9">
        <v>43781.0</v>
      </c>
      <c r="D6061" s="6" t="s">
        <v>7112</v>
      </c>
      <c r="E6061" s="4"/>
      <c r="F6061" s="8" t="s">
        <v>604</v>
      </c>
      <c r="G6061" s="4" t="s">
        <v>1946</v>
      </c>
      <c r="H6061" s="10" t="s">
        <v>1947</v>
      </c>
      <c r="I6061" s="10">
        <v>77.0</v>
      </c>
      <c r="J6061" s="40" t="str">
        <f>IF(D6061&lt;&gt;"",VLOOKUP(H6061,TABLEITEM,5,FALSE),"")</f>
        <v>KG.</v>
      </c>
      <c r="K6061" s="12">
        <v>18.0</v>
      </c>
      <c r="L6061" s="13" t="str">
        <f>IF(D6061&lt;&gt;"",VLOOKUP(H6061,TABLEITEM,2,FALSE),"")</f>
        <v/>
      </c>
      <c r="M6061" s="13" t="str">
        <f>IF(D6061&lt;&gt;"",VLOOKUP(H6061,TABLEITEM,3,FALSE),"")</f>
        <v>กระดาษลูกฟูก 48"เกรด A</v>
      </c>
      <c r="N6061" s="14">
        <f>INSTOCK!$I6061*INSTOCK!$K6061</f>
        <v>1386</v>
      </c>
      <c r="O6061" s="4" t="s">
        <v>5831</v>
      </c>
      <c r="P6061" s="4"/>
    </row>
    <row r="6062" ht="15.75" customHeight="1">
      <c r="B6062" s="8"/>
      <c r="C6062" s="9">
        <v>43782.0</v>
      </c>
      <c r="D6062" s="6" t="s">
        <v>7113</v>
      </c>
      <c r="E6062" s="4">
        <v>6.21100165E9</v>
      </c>
      <c r="F6062" s="8" t="s">
        <v>807</v>
      </c>
      <c r="G6062" s="4" t="s">
        <v>808</v>
      </c>
      <c r="H6062" s="10" t="s">
        <v>809</v>
      </c>
      <c r="I6062" s="10">
        <v>1.0</v>
      </c>
      <c r="J6062" s="40" t="str">
        <f>IF(D6062&lt;&gt;"",VLOOKUP(H6062,TABLEITEM,5,FALSE),"")</f>
        <v>ท่อ</v>
      </c>
      <c r="K6062" s="12">
        <v>2700.0</v>
      </c>
      <c r="L6062" s="13" t="str">
        <f>IF(D6062&lt;&gt;"",VLOOKUP(H6062,TABLEITEM,2,FALSE),"")</f>
        <v/>
      </c>
      <c r="M6062" s="13" t="str">
        <f>IF(D6062&lt;&gt;"",VLOOKUP(H6062,TABLEITEM,3,FALSE),"")</f>
        <v>ไนโตรเจนเหลว ขนาด 100คิว</v>
      </c>
      <c r="N6062" s="14">
        <f>INSTOCK!$I6062*INSTOCK!$K6062</f>
        <v>2700</v>
      </c>
      <c r="O6062" s="4"/>
      <c r="P6062" s="4"/>
    </row>
    <row r="6063" ht="15.75" customHeight="1">
      <c r="B6063" s="8"/>
      <c r="C6063" s="9">
        <v>43782.0</v>
      </c>
      <c r="D6063" s="6" t="s">
        <v>7113</v>
      </c>
      <c r="E6063" s="4">
        <v>6.21100165E9</v>
      </c>
      <c r="F6063" s="8" t="s">
        <v>807</v>
      </c>
      <c r="G6063" s="4" t="s">
        <v>808</v>
      </c>
      <c r="H6063" s="10" t="s">
        <v>812</v>
      </c>
      <c r="I6063" s="10">
        <v>1.0</v>
      </c>
      <c r="J6063" s="40" t="str">
        <f>IF(D6063&lt;&gt;"",VLOOKUP(H6063,TABLEITEM,5,FALSE),"")</f>
        <v>ท่อ</v>
      </c>
      <c r="K6063" s="12">
        <v>2960.0</v>
      </c>
      <c r="L6063" s="13" t="str">
        <f>IF(D6063&lt;&gt;"",VLOOKUP(H6063,TABLEITEM,2,FALSE),"")</f>
        <v/>
      </c>
      <c r="M6063" s="13" t="str">
        <f>IF(D6063&lt;&gt;"",VLOOKUP(H6063,TABLEITEM,3,FALSE),"")</f>
        <v>ออกซิเจนเหลว ขนาด 148 คิว</v>
      </c>
      <c r="N6063" s="14">
        <f>INSTOCK!$I6063*INSTOCK!$K6063</f>
        <v>2960</v>
      </c>
      <c r="O6063" s="4"/>
      <c r="P6063" s="4"/>
    </row>
    <row r="6064" ht="15.75" customHeight="1">
      <c r="B6064" s="8"/>
      <c r="C6064" s="9">
        <v>43782.0</v>
      </c>
      <c r="D6064" s="6" t="s">
        <v>7114</v>
      </c>
      <c r="E6064" s="4">
        <v>6.211001647E9</v>
      </c>
      <c r="F6064" s="8" t="s">
        <v>7115</v>
      </c>
      <c r="G6064" s="4" t="s">
        <v>1453</v>
      </c>
      <c r="H6064" s="10" t="s">
        <v>5459</v>
      </c>
      <c r="I6064" s="10">
        <v>2.0</v>
      </c>
      <c r="J6064" s="40" t="str">
        <f>IF(D6064&lt;&gt;"",VLOOKUP(H6064,TABLEITEM,5,FALSE),"")</f>
        <v>EA</v>
      </c>
      <c r="K6064" s="12">
        <v>545.3</v>
      </c>
      <c r="L6064" s="13" t="str">
        <f>IF(D6064&lt;&gt;"",VLOOKUP(H6064,TABLEITEM,2,FALSE),"")</f>
        <v/>
      </c>
      <c r="M6064" s="13" t="str">
        <f>IF(D6064&lt;&gt;"",VLOOKUP(H6064,TABLEITEM,3,FALSE),"")</f>
        <v>พัดลม 6" FP-108X-S1-B AC220/240V</v>
      </c>
      <c r="N6064" s="14">
        <f>INSTOCK!$I6064*INSTOCK!$K6064</f>
        <v>1090.6</v>
      </c>
      <c r="O6064" s="4" t="s">
        <v>5460</v>
      </c>
      <c r="P6064" s="4"/>
    </row>
    <row r="6065" ht="15.75" customHeight="1">
      <c r="B6065" s="8"/>
      <c r="C6065" s="9">
        <v>43782.0</v>
      </c>
      <c r="D6065" s="6" t="s">
        <v>7114</v>
      </c>
      <c r="E6065" s="4">
        <v>6.211001647E9</v>
      </c>
      <c r="F6065" s="8" t="s">
        <v>7115</v>
      </c>
      <c r="G6065" s="4" t="s">
        <v>1453</v>
      </c>
      <c r="H6065" s="18" t="s">
        <v>5461</v>
      </c>
      <c r="I6065" s="10">
        <v>2.0</v>
      </c>
      <c r="J6065" s="40" t="str">
        <f>IF(D6065&lt;&gt;"",VLOOKUP(H6065,TABLEITEM,5,FALSE),"")</f>
        <v>EA</v>
      </c>
      <c r="K6065" s="12">
        <v>100.0</v>
      </c>
      <c r="L6065" s="13" t="str">
        <f>IF(D6065&lt;&gt;"",VLOOKUP(H6065,TABLEITEM,2,FALSE),"")</f>
        <v/>
      </c>
      <c r="M6065" s="13" t="str">
        <f>IF(D6065&lt;&gt;"",VLOOKUP(H6065,TABLEITEM,3,FALSE),"")</f>
        <v>ตะแกรงพัดลม 6" S-0172-7 T</v>
      </c>
      <c r="N6065" s="14">
        <f>INSTOCK!$I6065*INSTOCK!$K6065</f>
        <v>200</v>
      </c>
      <c r="O6065" s="4"/>
      <c r="P6065" s="4"/>
    </row>
    <row r="6066" ht="15.75" customHeight="1">
      <c r="B6066" s="8"/>
      <c r="C6066" s="9">
        <v>43782.0</v>
      </c>
      <c r="D6066" s="6" t="s">
        <v>7116</v>
      </c>
      <c r="E6066" s="4">
        <v>6.211001649E9</v>
      </c>
      <c r="F6066" s="8" t="s">
        <v>7075</v>
      </c>
      <c r="G6066" s="4" t="s">
        <v>2651</v>
      </c>
      <c r="H6066" s="10" t="s">
        <v>7117</v>
      </c>
      <c r="I6066" s="10">
        <v>100.0</v>
      </c>
      <c r="J6066" s="40" t="str">
        <f>IF(D6066&lt;&gt;"",VLOOKUP(H6066,TABLEITEM,5,FALSE),"")</f>
        <v>M</v>
      </c>
      <c r="K6066" s="12">
        <v>168.0</v>
      </c>
      <c r="L6066" s="13" t="str">
        <f>IF(D6066&lt;&gt;"",VLOOKUP(H6066,TABLEITEM,2,FALSE),"")</f>
        <v/>
      </c>
      <c r="M6066" s="13" t="str">
        <f>IF(D6066&lt;&gt;"",VLOOKUP(H6066,TABLEITEM,3,FALSE),"")</f>
        <v>ยางขอบตู้กันน้ำ</v>
      </c>
      <c r="N6066" s="14">
        <f>INSTOCK!$I6066*INSTOCK!$K6066</f>
        <v>16800</v>
      </c>
      <c r="O6066" s="4"/>
      <c r="P6066" s="4"/>
    </row>
    <row r="6067" ht="15.75" customHeight="1">
      <c r="B6067" s="8"/>
      <c r="C6067" s="9">
        <v>43775.0</v>
      </c>
      <c r="D6067" s="6">
        <v>6.211011E7</v>
      </c>
      <c r="E6067" s="4"/>
      <c r="F6067" s="8" t="s">
        <v>604</v>
      </c>
      <c r="G6067" s="4" t="s">
        <v>6402</v>
      </c>
      <c r="H6067" s="10" t="s">
        <v>6403</v>
      </c>
      <c r="I6067" s="10">
        <v>3.0</v>
      </c>
      <c r="J6067" s="40" t="str">
        <f>IF(D6067&lt;&gt;"",VLOOKUP(H6067,TABLEITEM,5,FALSE),"")</f>
        <v>ตลับ</v>
      </c>
      <c r="K6067" s="12">
        <v>381.6</v>
      </c>
      <c r="L6067" s="13" t="str">
        <f>IF(D6067&lt;&gt;"",VLOOKUP(H6067,TABLEITEM,2,FALSE),"")</f>
        <v/>
      </c>
      <c r="M6067" s="13" t="str">
        <f>IF(D6067&lt;&gt;"",VLOOKUP(H6067,TABLEITEM,3,FALSE),"")</f>
        <v>สีโป้วดูปองด์ UNIVERSSAL POLYESTER 759R</v>
      </c>
      <c r="N6067" s="14">
        <f>INSTOCK!$I6067*INSTOCK!$K6067</f>
        <v>1144.8</v>
      </c>
      <c r="O6067" s="4" t="s">
        <v>6404</v>
      </c>
      <c r="P6067" s="4"/>
    </row>
    <row r="6068" ht="15.75" customHeight="1">
      <c r="B6068" s="8"/>
      <c r="C6068" s="9">
        <v>43775.0</v>
      </c>
      <c r="D6068" s="6">
        <v>6.211011E7</v>
      </c>
      <c r="E6068" s="4"/>
      <c r="F6068" s="8" t="s">
        <v>604</v>
      </c>
      <c r="G6068" s="4" t="s">
        <v>6402</v>
      </c>
      <c r="H6068" s="18" t="s">
        <v>6405</v>
      </c>
      <c r="I6068" s="10">
        <v>3.0</v>
      </c>
      <c r="J6068" s="40" t="str">
        <f>IF(D6068&lt;&gt;"",VLOOKUP(H6068,TABLEITEM,5,FALSE),"")</f>
        <v>EA</v>
      </c>
      <c r="K6068" s="12">
        <v>100.8</v>
      </c>
      <c r="L6068" s="13" t="str">
        <f>IF(D6068&lt;&gt;"",VLOOKUP(H6068,TABLEITEM,2,FALSE),"")</f>
        <v/>
      </c>
      <c r="M6068" s="13" t="str">
        <f>IF(D6068&lt;&gt;"",VLOOKUP(H6068,TABLEITEM,3,FALSE),"")</f>
        <v>น้ำยาผสมสีโป้ว 759R</v>
      </c>
      <c r="N6068" s="14">
        <f>INSTOCK!$I6068*INSTOCK!$K6068</f>
        <v>302.4</v>
      </c>
      <c r="O6068" s="4" t="s">
        <v>6406</v>
      </c>
      <c r="P6068" s="4"/>
    </row>
    <row r="6069" ht="15.75" customHeight="1">
      <c r="B6069" s="8"/>
      <c r="C6069" s="9">
        <v>43781.0</v>
      </c>
      <c r="D6069" s="6" t="s">
        <v>7118</v>
      </c>
      <c r="E6069" s="4"/>
      <c r="F6069" s="8" t="s">
        <v>7075</v>
      </c>
      <c r="G6069" s="4" t="s">
        <v>898</v>
      </c>
      <c r="H6069" s="18" t="s">
        <v>7119</v>
      </c>
      <c r="I6069" s="10">
        <v>1.0</v>
      </c>
      <c r="J6069" s="40" t="str">
        <f>IF(D6069&lt;&gt;"",VLOOKUP(H6069,TABLEITEM,5,FALSE),"")</f>
        <v>LIT</v>
      </c>
      <c r="K6069" s="12">
        <v>440.0</v>
      </c>
      <c r="L6069" s="13" t="str">
        <f>IF(D6069&lt;&gt;"",VLOOKUP(H6069,TABLEITEM,2,FALSE),"")</f>
        <v/>
      </c>
      <c r="M6069" s="13" t="str">
        <f>IF(D6069&lt;&gt;"",VLOOKUP(H6069,TABLEITEM,3,FALSE),"")</f>
        <v>สีพ่น 2K </v>
      </c>
      <c r="N6069" s="14">
        <f>INSTOCK!$I6069*INSTOCK!$K6069</f>
        <v>440</v>
      </c>
      <c r="O6069" s="4" t="s">
        <v>7120</v>
      </c>
      <c r="P6069" s="4"/>
    </row>
    <row r="6070" ht="15.75" customHeight="1">
      <c r="B6070" s="8"/>
      <c r="C6070" s="9">
        <v>43781.0</v>
      </c>
      <c r="D6070" s="6" t="s">
        <v>7118</v>
      </c>
      <c r="E6070" s="4"/>
      <c r="F6070" s="8" t="s">
        <v>7075</v>
      </c>
      <c r="G6070" s="4" t="s">
        <v>898</v>
      </c>
      <c r="H6070" s="10" t="s">
        <v>7121</v>
      </c>
      <c r="I6070" s="10">
        <v>1.0</v>
      </c>
      <c r="J6070" s="40" t="str">
        <f>IF(D6070&lt;&gt;"",VLOOKUP(H6070,TABLEITEM,5,FALSE),"")</f>
        <v>กป.</v>
      </c>
      <c r="K6070" s="12">
        <v>100.0</v>
      </c>
      <c r="L6070" s="13" t="str">
        <f>IF(D6070&lt;&gt;"",VLOOKUP(H6070,TABLEITEM,2,FALSE),"")</f>
        <v/>
      </c>
      <c r="M6070" s="13" t="str">
        <f>IF(D6070&lt;&gt;"",VLOOKUP(H6070,TABLEITEM,3,FALSE),"")</f>
        <v>ตัวเร่ง 2K</v>
      </c>
      <c r="N6070" s="14">
        <f>INSTOCK!$I6070*INSTOCK!$K6070</f>
        <v>100</v>
      </c>
      <c r="O6070" s="4"/>
      <c r="P6070" s="4"/>
    </row>
    <row r="6071" ht="15.75" customHeight="1">
      <c r="B6071" s="8"/>
      <c r="C6071" s="9">
        <v>43781.0</v>
      </c>
      <c r="D6071" s="6" t="s">
        <v>7122</v>
      </c>
      <c r="E6071" s="4">
        <v>6.211001643E9</v>
      </c>
      <c r="F6071" s="8" t="s">
        <v>604</v>
      </c>
      <c r="G6071" s="4" t="s">
        <v>665</v>
      </c>
      <c r="H6071" s="10" t="s">
        <v>7123</v>
      </c>
      <c r="I6071" s="10">
        <v>100.0</v>
      </c>
      <c r="J6071" s="40" t="str">
        <f>IF(D6071&lt;&gt;"",VLOOKUP(H6071,TABLEITEM,5,FALSE),"")</f>
        <v>M</v>
      </c>
      <c r="K6071" s="12">
        <v>195.0</v>
      </c>
      <c r="L6071" s="13" t="str">
        <f>IF(D6071&lt;&gt;"",VLOOKUP(H6071,TABLEITEM,2,FALSE),"")</f>
        <v>wire</v>
      </c>
      <c r="M6071" s="13" t="str">
        <f>IF(D6071&lt;&gt;"",VLOOKUP(H6071,TABLEITEM,3,FALSE),"")</f>
        <v>สายไฟ VSF1x50 SQMM.สีดำ</v>
      </c>
      <c r="N6071" s="14">
        <f>INSTOCK!$I6071*INSTOCK!$K6071</f>
        <v>19500</v>
      </c>
      <c r="O6071" s="4"/>
      <c r="P6071" s="4"/>
    </row>
    <row r="6072" ht="15.75" customHeight="1">
      <c r="B6072" s="8"/>
      <c r="C6072" s="9">
        <v>43781.0</v>
      </c>
      <c r="D6072" s="6" t="s">
        <v>7124</v>
      </c>
      <c r="E6072" s="4">
        <v>6.210001589E9</v>
      </c>
      <c r="F6072" s="8" t="s">
        <v>604</v>
      </c>
      <c r="G6072" s="4" t="s">
        <v>6115</v>
      </c>
      <c r="H6072" s="18" t="s">
        <v>2607</v>
      </c>
      <c r="I6072" s="10">
        <v>100.0</v>
      </c>
      <c r="J6072" s="40" t="str">
        <f>IF(D6072&lt;&gt;"",VLOOKUP(H6072,TABLEITEM,5,FALSE),"")</f>
        <v>EA</v>
      </c>
      <c r="K6072" s="12">
        <v>12.0</v>
      </c>
      <c r="L6072" s="13" t="str">
        <f>IF(D6072&lt;&gt;"",VLOOKUP(H6072,TABLEITEM,2,FALSE),"")</f>
        <v/>
      </c>
      <c r="M6072" s="13" t="str">
        <f>IF(D6072&lt;&gt;"",VLOOKUP(H6072,TABLEITEM,3,FALSE),"")</f>
        <v>บูชกลึง M35x30ต๊าปเกลียวใน M10 E4</v>
      </c>
      <c r="N6072" s="14">
        <f>INSTOCK!$I6072*INSTOCK!$K6072</f>
        <v>1200</v>
      </c>
      <c r="O6072" s="4"/>
      <c r="P6072" s="4"/>
    </row>
    <row r="6073" ht="15.75" customHeight="1">
      <c r="B6073" s="8"/>
      <c r="C6073" s="9">
        <v>43780.0</v>
      </c>
      <c r="D6073" s="6">
        <v>6.21100406E8</v>
      </c>
      <c r="E6073" s="4">
        <v>6.210001605E9</v>
      </c>
      <c r="F6073" s="8" t="s">
        <v>604</v>
      </c>
      <c r="G6073" s="4" t="s">
        <v>1777</v>
      </c>
      <c r="H6073" s="10" t="s">
        <v>7125</v>
      </c>
      <c r="I6073" s="10">
        <v>500.0</v>
      </c>
      <c r="J6073" s="40" t="str">
        <f>IF(D6073&lt;&gt;"",VLOOKUP(H6073,TABLEITEM,5,FALSE),"")</f>
        <v>EA</v>
      </c>
      <c r="K6073" s="12">
        <v>3.25</v>
      </c>
      <c r="L6073" s="13" t="str">
        <f>IF(D6073&lt;&gt;"",VLOOKUP(H6073,TABLEITEM,2,FALSE),"")</f>
        <v/>
      </c>
      <c r="M6073" s="13" t="str">
        <f>IF(D6073&lt;&gt;"",VLOOKUP(H6073,TABLEITEM,3,FALSE),"")</f>
        <v>สกรูหัวติดแหวน M 6x40</v>
      </c>
      <c r="N6073" s="14">
        <f>INSTOCK!$I6073*INSTOCK!$K6073</f>
        <v>1625</v>
      </c>
      <c r="O6073" s="4"/>
      <c r="P6073" s="4"/>
    </row>
    <row r="6074" ht="15.75" customHeight="1">
      <c r="B6074" s="8"/>
      <c r="C6074" s="9">
        <v>43781.0</v>
      </c>
      <c r="D6074" s="6" t="s">
        <v>7126</v>
      </c>
      <c r="E6074" s="4">
        <v>6.211001642E9</v>
      </c>
      <c r="F6074" s="8" t="s">
        <v>604</v>
      </c>
      <c r="G6074" s="4" t="s">
        <v>1611</v>
      </c>
      <c r="H6074" s="10" t="s">
        <v>188</v>
      </c>
      <c r="I6074" s="10">
        <v>600.0</v>
      </c>
      <c r="J6074" s="40" t="str">
        <f>IF(D6074&lt;&gt;"",VLOOKUP(H6074,TABLEITEM,5,FALSE),"")</f>
        <v>EA</v>
      </c>
      <c r="K6074" s="12">
        <v>9.0</v>
      </c>
      <c r="L6074" s="13" t="str">
        <f>IF(D6074&lt;&gt;"",VLOOKUP(H6074,TABLEITEM,2,FALSE),"")</f>
        <v/>
      </c>
      <c r="M6074" s="13" t="str">
        <f>IF(D6074&lt;&gt;"",VLOOKUP(H6074,TABLEITEM,3,FALSE),"")</f>
        <v>TERMINAL BLOCK TX10</v>
      </c>
      <c r="N6074" s="14">
        <f>INSTOCK!$I6074*INSTOCK!$K6074</f>
        <v>5400</v>
      </c>
      <c r="O6074" s="4"/>
      <c r="P6074" s="4"/>
    </row>
    <row r="6075" ht="15.75" customHeight="1">
      <c r="B6075" s="8"/>
      <c r="C6075" s="9">
        <v>43781.0</v>
      </c>
      <c r="D6075" s="6" t="s">
        <v>7126</v>
      </c>
      <c r="E6075" s="4">
        <v>6.211001642E9</v>
      </c>
      <c r="F6075" s="8" t="s">
        <v>604</v>
      </c>
      <c r="G6075" s="4" t="s">
        <v>1611</v>
      </c>
      <c r="H6075" s="10" t="s">
        <v>195</v>
      </c>
      <c r="I6075" s="10">
        <v>60.0</v>
      </c>
      <c r="J6075" s="40" t="str">
        <f>IF(D6075&lt;&gt;"",VLOOKUP(H6075,TABLEITEM,5,FALSE),"")</f>
        <v>EA</v>
      </c>
      <c r="K6075" s="12">
        <v>75.0</v>
      </c>
      <c r="L6075" s="13" t="str">
        <f>IF(D6075&lt;&gt;"",VLOOKUP(H6075,TABLEITEM,2,FALSE),"")</f>
        <v/>
      </c>
      <c r="M6075" s="13" t="str">
        <f>IF(D6075&lt;&gt;"",VLOOKUP(H6075,TABLEITEM,3,FALSE),"")</f>
        <v>TERMINAL BLOCK TX100</v>
      </c>
      <c r="N6075" s="14">
        <f>INSTOCK!$I6075*INSTOCK!$K6075</f>
        <v>4500</v>
      </c>
      <c r="O6075" s="4"/>
      <c r="P6075" s="4"/>
    </row>
    <row r="6076" ht="15.75" customHeight="1">
      <c r="B6076" s="8"/>
      <c r="C6076" s="9">
        <v>43781.0</v>
      </c>
      <c r="D6076" s="6" t="s">
        <v>7126</v>
      </c>
      <c r="E6076" s="4">
        <v>6.211001642E9</v>
      </c>
      <c r="F6076" s="8" t="s">
        <v>604</v>
      </c>
      <c r="G6076" s="4" t="s">
        <v>1611</v>
      </c>
      <c r="H6076" s="10" t="s">
        <v>189</v>
      </c>
      <c r="I6076" s="10">
        <v>200.0</v>
      </c>
      <c r="J6076" s="40" t="str">
        <f>IF(D6076&lt;&gt;"",VLOOKUP(H6076,TABLEITEM,5,FALSE),"")</f>
        <v>EA</v>
      </c>
      <c r="K6076" s="12">
        <v>5.0</v>
      </c>
      <c r="L6076" s="13" t="str">
        <f>IF(D6076&lt;&gt;"",VLOOKUP(H6076,TABLEITEM,2,FALSE),"")</f>
        <v/>
      </c>
      <c r="M6076" s="13" t="str">
        <f>IF(D6076&lt;&gt;"",VLOOKUP(H6076,TABLEITEM,3,FALSE),"")</f>
        <v>END PLATE TXA1</v>
      </c>
      <c r="N6076" s="14">
        <f>INSTOCK!$I6076*INSTOCK!$K6076</f>
        <v>1000</v>
      </c>
      <c r="O6076" s="4"/>
      <c r="P6076" s="4"/>
    </row>
    <row r="6077" ht="15.75" customHeight="1">
      <c r="B6077" s="8"/>
      <c r="C6077" s="9">
        <v>43781.0</v>
      </c>
      <c r="D6077" s="6" t="s">
        <v>7127</v>
      </c>
      <c r="E6077" s="4">
        <v>6.211001641E9</v>
      </c>
      <c r="F6077" s="8" t="s">
        <v>807</v>
      </c>
      <c r="G6077" s="4" t="s">
        <v>808</v>
      </c>
      <c r="H6077" s="10" t="s">
        <v>824</v>
      </c>
      <c r="I6077" s="10">
        <v>2.0</v>
      </c>
      <c r="J6077" s="40" t="str">
        <f>IF(D6077&lt;&gt;"",VLOOKUP(H6077,TABLEITEM,5,FALSE),"")</f>
        <v>ท่อ</v>
      </c>
      <c r="K6077" s="12">
        <v>600.0</v>
      </c>
      <c r="L6077" s="13" t="str">
        <f>IF(D6077&lt;&gt;"",VLOOKUP(H6077,TABLEITEM,2,FALSE),"")</f>
        <v/>
      </c>
      <c r="M6077" s="13" t="str">
        <f>IF(D6077&lt;&gt;"",VLOOKUP(H6077,TABLEITEM,3,FALSE),"")</f>
        <v>20% CO2 Balance AR ขนาด 6คิว</v>
      </c>
      <c r="N6077" s="14">
        <f>INSTOCK!$I6077*INSTOCK!$K6077</f>
        <v>1200</v>
      </c>
      <c r="O6077" s="4"/>
      <c r="P6077" s="4"/>
    </row>
    <row r="6078" ht="15.75" customHeight="1">
      <c r="B6078" s="8"/>
      <c r="C6078" s="9">
        <v>43778.0</v>
      </c>
      <c r="D6078" s="6" t="s">
        <v>7128</v>
      </c>
      <c r="E6078" s="4"/>
      <c r="F6078" s="8" t="s">
        <v>7129</v>
      </c>
      <c r="G6078" s="4" t="s">
        <v>3029</v>
      </c>
      <c r="H6078" s="10" t="s">
        <v>3030</v>
      </c>
      <c r="I6078" s="10">
        <v>1.0</v>
      </c>
      <c r="J6078" s="40" t="str">
        <f>IF(D6078&lt;&gt;"",VLOOKUP(H6078,TABLEITEM,5,FALSE),"")</f>
        <v>LOT</v>
      </c>
      <c r="K6078" s="12">
        <v>2588.85</v>
      </c>
      <c r="L6078" s="13" t="str">
        <f>IF(D6078&lt;&gt;"",VLOOKUP(H6078,TABLEITEM,2,FALSE),"")</f>
        <v/>
      </c>
      <c r="M6078" s="13" t="str">
        <f>IF(D6078&lt;&gt;"",VLOOKUP(H6078,TABLEITEM,3,FALSE),"")</f>
        <v>ค่าชุบ ดีบุกเงา</v>
      </c>
      <c r="N6078" s="14">
        <f>INSTOCK!$I6078*INSTOCK!$K6078</f>
        <v>2588.85</v>
      </c>
      <c r="O6078" s="4"/>
      <c r="P6078" s="4"/>
    </row>
    <row r="6079" ht="15.75" customHeight="1">
      <c r="B6079" s="8"/>
      <c r="C6079" s="9">
        <v>43785.0</v>
      </c>
      <c r="D6079" s="6" t="s">
        <v>7130</v>
      </c>
      <c r="E6079" s="4">
        <v>6.211001667E9</v>
      </c>
      <c r="F6079" s="8" t="s">
        <v>7131</v>
      </c>
      <c r="G6079" s="4" t="s">
        <v>898</v>
      </c>
      <c r="H6079" s="10" t="s">
        <v>7132</v>
      </c>
      <c r="I6079" s="10">
        <v>2.0</v>
      </c>
      <c r="J6079" s="40" t="str">
        <f>IF(D6079&lt;&gt;"",VLOOKUP(H6079,TABLEITEM,5,FALSE),"")</f>
        <v>LIT</v>
      </c>
      <c r="K6079" s="12">
        <v>460.0</v>
      </c>
      <c r="L6079" s="13" t="str">
        <f>IF(D6079&lt;&gt;"",VLOOKUP(H6079,TABLEITEM,2,FALSE),"")</f>
        <v/>
      </c>
      <c r="M6079" s="13" t="str">
        <f>IF(D6079&lt;&gt;"",VLOOKUP(H6079,TABLEITEM,3,FALSE),"")</f>
        <v>สีพ่น 2K </v>
      </c>
      <c r="N6079" s="14">
        <f>INSTOCK!$I6079*INSTOCK!$K6079</f>
        <v>920</v>
      </c>
      <c r="O6079" s="4" t="s">
        <v>7133</v>
      </c>
      <c r="P6079" s="4"/>
    </row>
    <row r="6080" ht="15.75" customHeight="1">
      <c r="B6080" s="8"/>
      <c r="C6080" s="9">
        <v>43785.0</v>
      </c>
      <c r="D6080" s="6" t="s">
        <v>7130</v>
      </c>
      <c r="E6080" s="4">
        <v>6.211001667E9</v>
      </c>
      <c r="F6080" s="8" t="s">
        <v>7131</v>
      </c>
      <c r="G6080" s="4" t="s">
        <v>898</v>
      </c>
      <c r="H6080" s="10" t="s">
        <v>7121</v>
      </c>
      <c r="I6080" s="10">
        <v>2.0</v>
      </c>
      <c r="J6080" s="40" t="str">
        <f>IF(D6080&lt;&gt;"",VLOOKUP(H6080,TABLEITEM,5,FALSE),"")</f>
        <v>กป.</v>
      </c>
      <c r="K6080" s="12">
        <v>100.0</v>
      </c>
      <c r="L6080" s="13" t="str">
        <f>IF(D6080&lt;&gt;"",VLOOKUP(H6080,TABLEITEM,2,FALSE),"")</f>
        <v/>
      </c>
      <c r="M6080" s="13" t="str">
        <f>IF(D6080&lt;&gt;"",VLOOKUP(H6080,TABLEITEM,3,FALSE),"")</f>
        <v>ตัวเร่ง 2K</v>
      </c>
      <c r="N6080" s="14">
        <f>INSTOCK!$I6080*INSTOCK!$K6080</f>
        <v>200</v>
      </c>
      <c r="O6080" s="4"/>
      <c r="P6080" s="4"/>
    </row>
    <row r="6081" ht="15.75" customHeight="1">
      <c r="B6081" s="8"/>
      <c r="C6081" s="9">
        <v>43784.0</v>
      </c>
      <c r="D6081" s="6">
        <v>6.2110749E7</v>
      </c>
      <c r="E6081" s="4">
        <v>6.211001661E9</v>
      </c>
      <c r="F6081" s="8" t="s">
        <v>7134</v>
      </c>
      <c r="G6081" s="4" t="s">
        <v>711</v>
      </c>
      <c r="H6081" s="10" t="s">
        <v>754</v>
      </c>
      <c r="I6081" s="10">
        <v>20.0</v>
      </c>
      <c r="J6081" s="40" t="str">
        <f>IF(D6081&lt;&gt;"",VLOOKUP(H6081,TABLEITEM,5,FALSE),"")</f>
        <v>KG.</v>
      </c>
      <c r="K6081" s="12">
        <v>144.0</v>
      </c>
      <c r="L6081" s="13" t="str">
        <f>IF(D6081&lt;&gt;"",VLOOKUP(H6081,TABLEITEM,2,FALSE),"")</f>
        <v/>
      </c>
      <c r="M6081" s="13" t="str">
        <f>IF(D6081&lt;&gt;"",VLOOKUP(H6081,TABLEITEM,3,FALSE),"")</f>
        <v>สีฝุ่น P70003 AN สีครีม</v>
      </c>
      <c r="N6081" s="14">
        <f>INSTOCK!$I6081*INSTOCK!$K6081</f>
        <v>2880</v>
      </c>
      <c r="O6081" s="4" t="s">
        <v>756</v>
      </c>
      <c r="P6081" s="4"/>
    </row>
    <row r="6082" ht="15.75" customHeight="1">
      <c r="B6082" s="8"/>
      <c r="C6082" s="9">
        <v>43784.0</v>
      </c>
      <c r="D6082" s="6">
        <v>6.21104722E8</v>
      </c>
      <c r="E6082" s="4">
        <v>6.211001656E9</v>
      </c>
      <c r="F6082" s="8" t="s">
        <v>7135</v>
      </c>
      <c r="G6082" s="4" t="s">
        <v>1130</v>
      </c>
      <c r="H6082" s="10" t="s">
        <v>2550</v>
      </c>
      <c r="I6082" s="10">
        <v>3.0</v>
      </c>
      <c r="J6082" s="40" t="str">
        <f>IF(D6082&lt;&gt;"",VLOOKUP(H6082,TABLEITEM,5,FALSE),"")</f>
        <v>EA</v>
      </c>
      <c r="K6082" s="12">
        <v>121.1233</v>
      </c>
      <c r="L6082" s="13" t="str">
        <f>IF(D6082&lt;&gt;"",VLOOKUP(H6082,TABLEITEM,2,FALSE),"")</f>
        <v/>
      </c>
      <c r="M6082" s="13" t="str">
        <f>IF(D6082&lt;&gt;"",VLOOKUP(H6082,TABLEITEM,3,FALSE),"")</f>
        <v>CT150/5 MQS40</v>
      </c>
      <c r="N6082" s="14">
        <f>INSTOCK!$I6082*INSTOCK!$K6082</f>
        <v>363.3699</v>
      </c>
      <c r="O6082" s="4" t="s">
        <v>1898</v>
      </c>
      <c r="P6082" s="4"/>
    </row>
    <row r="6083" ht="15.75" customHeight="1">
      <c r="B6083" s="8"/>
      <c r="C6083" s="9">
        <v>43784.0</v>
      </c>
      <c r="D6083" s="6">
        <v>6.21104722E8</v>
      </c>
      <c r="E6083" s="4">
        <v>6.211001656E9</v>
      </c>
      <c r="F6083" s="8" t="s">
        <v>7135</v>
      </c>
      <c r="G6083" s="4" t="s">
        <v>1130</v>
      </c>
      <c r="H6083" s="10" t="s">
        <v>7136</v>
      </c>
      <c r="I6083" s="10">
        <v>1.0</v>
      </c>
      <c r="J6083" s="40" t="str">
        <f>IF(D6083&lt;&gt;"",VLOOKUP(H6083,TABLEITEM,5,FALSE),"")</f>
        <v>EA</v>
      </c>
      <c r="K6083" s="12">
        <v>3340.0</v>
      </c>
      <c r="L6083" s="13" t="str">
        <f>IF(D6083&lt;&gt;"",VLOOKUP(H6083,TABLEITEM,2,FALSE),"")</f>
        <v/>
      </c>
      <c r="M6083" s="13" t="str">
        <f>IF(D6083&lt;&gt;"",VLOOKUP(H6083,TABLEITEM,3,FALSE),"")</f>
        <v>มิเตอร์ MH-96 3P4W 5A</v>
      </c>
      <c r="N6083" s="14">
        <f>INSTOCK!$I6083*INSTOCK!$K6083</f>
        <v>3340</v>
      </c>
      <c r="O6083" s="4"/>
      <c r="P6083" s="4"/>
    </row>
    <row r="6084" ht="15.75" customHeight="1">
      <c r="B6084" s="8"/>
      <c r="C6084" s="9">
        <v>43783.0</v>
      </c>
      <c r="D6084" s="6">
        <v>6.2110686E7</v>
      </c>
      <c r="E6084" s="4">
        <v>6.211001659E9</v>
      </c>
      <c r="F6084" s="8" t="s">
        <v>7137</v>
      </c>
      <c r="G6084" s="4" t="s">
        <v>711</v>
      </c>
      <c r="H6084" s="10" t="s">
        <v>105</v>
      </c>
      <c r="I6084" s="10">
        <v>20.0</v>
      </c>
      <c r="J6084" s="40" t="str">
        <f>IF(D6084&lt;&gt;"",VLOOKUP(H6084,TABLEITEM,5,FALSE),"")</f>
        <v>KG.</v>
      </c>
      <c r="K6084" s="12">
        <v>165.75</v>
      </c>
      <c r="L6084" s="13" t="str">
        <f>IF(D6084&lt;&gt;"",VLOOKUP(H6084,TABLEITEM,2,FALSE),"")</f>
        <v/>
      </c>
      <c r="M6084" s="13" t="str">
        <f>IF(D6084&lt;&gt;"",VLOOKUP(H6084,TABLEITEM,3,FALSE),"")</f>
        <v>สีฝุ่น M10001 WN</v>
      </c>
      <c r="N6084" s="14">
        <f>INSTOCK!$I6084*INSTOCK!$K6084</f>
        <v>3315</v>
      </c>
      <c r="O6084" s="4" t="s">
        <v>971</v>
      </c>
      <c r="P6084" s="4"/>
    </row>
    <row r="6085" ht="15.75" customHeight="1">
      <c r="B6085" s="8"/>
      <c r="C6085" s="9">
        <v>43783.0</v>
      </c>
      <c r="D6085" s="6">
        <v>6.2110686E7</v>
      </c>
      <c r="E6085" s="4">
        <v>6.211001659E9</v>
      </c>
      <c r="F6085" s="8" t="s">
        <v>7137</v>
      </c>
      <c r="G6085" s="4" t="s">
        <v>711</v>
      </c>
      <c r="H6085" s="10" t="s">
        <v>7138</v>
      </c>
      <c r="I6085" s="10">
        <v>20.0</v>
      </c>
      <c r="J6085" s="40" t="str">
        <f>IF(D6085&lt;&gt;"",VLOOKUP(H6085,TABLEITEM,5,FALSE),"")</f>
        <v>KG.</v>
      </c>
      <c r="K6085" s="12">
        <v>153.0</v>
      </c>
      <c r="L6085" s="13" t="str">
        <f>IF(D6085&lt;&gt;"",VLOOKUP(H6085,TABLEITEM,2,FALSE),"")</f>
        <v/>
      </c>
      <c r="M6085" s="13" t="str">
        <f>IF(D6085&lt;&gt;"",VLOOKUP(H6085,TABLEITEM,3,FALSE),"")</f>
        <v>สีฝุ่น สีขาว P00161AN</v>
      </c>
      <c r="N6085" s="14">
        <f>INSTOCK!$I6085*INSTOCK!$K6085</f>
        <v>3060</v>
      </c>
      <c r="O6085" s="4" t="s">
        <v>1460</v>
      </c>
      <c r="P6085" s="4"/>
    </row>
    <row r="6086" ht="15.75" customHeight="1">
      <c r="B6086" s="8"/>
      <c r="C6086" s="9">
        <v>43783.0</v>
      </c>
      <c r="D6086" s="6" t="s">
        <v>7139</v>
      </c>
      <c r="E6086" s="4">
        <v>6.21100166E9</v>
      </c>
      <c r="F6086" s="8" t="s">
        <v>7140</v>
      </c>
      <c r="G6086" s="4" t="s">
        <v>1258</v>
      </c>
      <c r="H6086" s="10" t="s">
        <v>1259</v>
      </c>
      <c r="I6086" s="10">
        <v>20.0</v>
      </c>
      <c r="J6086" s="40" t="str">
        <f>IF(D6086&lt;&gt;"",VLOOKUP(H6086,TABLEITEM,5,FALSE),"")</f>
        <v>KG.</v>
      </c>
      <c r="K6086" s="12">
        <v>130.0</v>
      </c>
      <c r="L6086" s="13" t="str">
        <f>IF(D6086&lt;&gt;"",VLOOKUP(H6086,TABLEITEM,2,FALSE),"")</f>
        <v/>
      </c>
      <c r="M6086" s="13" t="str">
        <f>IF(D6086&lt;&gt;"",VLOOKUP(H6086,TABLEITEM,3,FALSE),"")</f>
        <v>สีฝุ่น HB 45206 M BLACK MATT</v>
      </c>
      <c r="N6086" s="14">
        <f>INSTOCK!$I6086*INSTOCK!$K6086</f>
        <v>2600</v>
      </c>
      <c r="O6086" s="4"/>
      <c r="P6086" s="4"/>
    </row>
    <row r="6087" ht="15.75" customHeight="1">
      <c r="B6087" s="8"/>
      <c r="C6087" s="9">
        <v>43781.0</v>
      </c>
      <c r="D6087" s="6" t="s">
        <v>7141</v>
      </c>
      <c r="E6087" s="4">
        <v>6.211001648E9</v>
      </c>
      <c r="F6087" s="8" t="s">
        <v>3727</v>
      </c>
      <c r="G6087" s="4" t="s">
        <v>2941</v>
      </c>
      <c r="H6087" s="10" t="s">
        <v>6600</v>
      </c>
      <c r="I6087" s="10">
        <v>1.0</v>
      </c>
      <c r="J6087" s="40" t="str">
        <f>IF(D6087&lt;&gt;"",VLOOKUP(H6087,TABLEITEM,5,FALSE),"")</f>
        <v>EA</v>
      </c>
      <c r="K6087" s="12">
        <v>3500.0</v>
      </c>
      <c r="L6087" s="13" t="str">
        <f>IF(D6087&lt;&gt;"",VLOOKUP(H6087,TABLEITEM,2,FALSE),"")</f>
        <v/>
      </c>
      <c r="M6087" s="13" t="str">
        <f>IF(D6087&lt;&gt;"",VLOOKUP(H6087,TABLEITEM,3,FALSE),"")</f>
        <v>IQDEMY PRIMER FOR MATAL 1L</v>
      </c>
      <c r="N6087" s="14">
        <f>INSTOCK!$I6087*INSTOCK!$K6087</f>
        <v>3500</v>
      </c>
      <c r="O6087" s="4"/>
      <c r="P6087" s="4"/>
    </row>
    <row r="6088" ht="15.75" customHeight="1">
      <c r="B6088" s="8"/>
      <c r="C6088" s="9">
        <v>43781.0</v>
      </c>
      <c r="D6088" s="6" t="s">
        <v>7142</v>
      </c>
      <c r="E6088" s="4">
        <v>6.210001581E9</v>
      </c>
      <c r="F6088" s="8" t="s">
        <v>7143</v>
      </c>
      <c r="G6088" s="4" t="s">
        <v>2460</v>
      </c>
      <c r="H6088" s="10" t="s">
        <v>7144</v>
      </c>
      <c r="I6088" s="10">
        <v>1.0</v>
      </c>
      <c r="J6088" s="40" t="str">
        <f>IF(D6088&lt;&gt;"",VLOOKUP(H6088,TABLEITEM,5,FALSE),"")</f>
        <v>EA</v>
      </c>
      <c r="K6088" s="12">
        <v>2323.0</v>
      </c>
      <c r="L6088" s="13" t="str">
        <f>IF(D6088&lt;&gt;"",VLOOKUP(H6088,TABLEITEM,2,FALSE),"")</f>
        <v/>
      </c>
      <c r="M6088" s="13" t="str">
        <f>IF(D6088&lt;&gt;"",VLOOKUP(H6088,TABLEITEM,3,FALSE),"")</f>
        <v>Solenoid Vale(die-cast aluminum) CODE 71563951 VQZ1221-5LOB1-M5-Q</v>
      </c>
      <c r="N6088" s="14">
        <f>INSTOCK!$I6088*INSTOCK!$K6088</f>
        <v>2323</v>
      </c>
      <c r="O6088" s="4" t="s">
        <v>7145</v>
      </c>
      <c r="P6088" s="4"/>
    </row>
    <row r="6089" ht="15.75" customHeight="1">
      <c r="B6089" s="8"/>
      <c r="C6089" s="9">
        <v>43787.0</v>
      </c>
      <c r="D6089" s="6" t="s">
        <v>7146</v>
      </c>
      <c r="E6089" s="4">
        <v>6.211001673E9</v>
      </c>
      <c r="F6089" s="8" t="s">
        <v>7147</v>
      </c>
      <c r="G6089" s="4" t="s">
        <v>1485</v>
      </c>
      <c r="H6089" s="10" t="s">
        <v>7148</v>
      </c>
      <c r="I6089" s="10">
        <v>1.0</v>
      </c>
      <c r="J6089" s="40" t="str">
        <f>IF(D6089&lt;&gt;"",VLOOKUP(H6089,TABLEITEM,5,FALSE),"")</f>
        <v>EA</v>
      </c>
      <c r="K6089" s="12">
        <v>6437.0</v>
      </c>
      <c r="L6089" s="13" t="str">
        <f>IF(D6089&lt;&gt;"",VLOOKUP(H6089,TABLEITEM,2,FALSE),"")</f>
        <v/>
      </c>
      <c r="M6089" s="13" t="str">
        <f>IF(D6089&lt;&gt;"",VLOOKUP(H6089,TABLEITEM,3,FALSE),"")</f>
        <v>CVS630F TM600D 3P3D 380/415 VAC</v>
      </c>
      <c r="N6089" s="14">
        <f>INSTOCK!$I6089*INSTOCK!$K6089</f>
        <v>6437</v>
      </c>
      <c r="O6089" s="4"/>
      <c r="P6089" s="4"/>
    </row>
    <row r="6090" ht="15.75" customHeight="1">
      <c r="B6090" s="8"/>
      <c r="C6090" s="9">
        <v>43787.0</v>
      </c>
      <c r="D6090" s="6" t="s">
        <v>7149</v>
      </c>
      <c r="E6090" s="4">
        <v>6.211001655E9</v>
      </c>
      <c r="F6090" s="8" t="s">
        <v>7135</v>
      </c>
      <c r="G6090" s="4" t="s">
        <v>692</v>
      </c>
      <c r="H6090" s="10" t="s">
        <v>7150</v>
      </c>
      <c r="I6090" s="10">
        <v>12.0</v>
      </c>
      <c r="J6090" s="40" t="str">
        <f>IF(D6090&lt;&gt;"",VLOOKUP(H6090,TABLEITEM,5,FALSE),"")</f>
        <v>EA</v>
      </c>
      <c r="K6090" s="12">
        <v>792.0</v>
      </c>
      <c r="L6090" s="13" t="str">
        <f>IF(D6090&lt;&gt;"",VLOOKUP(H6090,TABLEITEM,2,FALSE),"")</f>
        <v/>
      </c>
      <c r="M6090" s="13" t="str">
        <f>IF(D6090&lt;&gt;"",VLOOKUP(H6090,TABLEITEM,3,FALSE),"")</f>
        <v>MCCB A1C125 1P 15A 18KA</v>
      </c>
      <c r="N6090" s="14">
        <f>INSTOCK!$I6090*INSTOCK!$K6090</f>
        <v>9504</v>
      </c>
      <c r="O6090" s="4" t="s">
        <v>7151</v>
      </c>
      <c r="P6090" s="4"/>
    </row>
    <row r="6091" ht="15.75" customHeight="1">
      <c r="B6091" s="8"/>
      <c r="C6091" s="9">
        <v>43788.0</v>
      </c>
      <c r="D6091" s="6" t="s">
        <v>7152</v>
      </c>
      <c r="E6091" s="4">
        <v>6.211001679E9</v>
      </c>
      <c r="F6091" s="8" t="s">
        <v>7153</v>
      </c>
      <c r="G6091" s="4" t="s">
        <v>898</v>
      </c>
      <c r="H6091" s="10" t="s">
        <v>7132</v>
      </c>
      <c r="I6091" s="10">
        <v>1.0</v>
      </c>
      <c r="J6091" s="40" t="str">
        <f>IF(D6091&lt;&gt;"",VLOOKUP(H6091,TABLEITEM,5,FALSE),"")</f>
        <v>LIT</v>
      </c>
      <c r="K6091" s="12">
        <v>460.0</v>
      </c>
      <c r="L6091" s="13" t="str">
        <f>IF(D6091&lt;&gt;"",VLOOKUP(H6091,TABLEITEM,2,FALSE),"")</f>
        <v/>
      </c>
      <c r="M6091" s="13" t="str">
        <f>IF(D6091&lt;&gt;"",VLOOKUP(H6091,TABLEITEM,3,FALSE),"")</f>
        <v>สีพ่น 2K </v>
      </c>
      <c r="N6091" s="14">
        <f>INSTOCK!$I6091*INSTOCK!$K6091</f>
        <v>460</v>
      </c>
      <c r="O6091" s="4" t="s">
        <v>7133</v>
      </c>
      <c r="P6091" s="4"/>
    </row>
    <row r="6092" ht="15.75" customHeight="1">
      <c r="B6092" s="8"/>
      <c r="C6092" s="9">
        <v>43787.0</v>
      </c>
      <c r="D6092" s="6" t="s">
        <v>7154</v>
      </c>
      <c r="E6092" s="4">
        <v>6.211001663E9</v>
      </c>
      <c r="F6092" s="8" t="s">
        <v>5810</v>
      </c>
      <c r="G6092" s="4" t="s">
        <v>982</v>
      </c>
      <c r="H6092" s="10" t="s">
        <v>991</v>
      </c>
      <c r="I6092" s="10">
        <v>100.0</v>
      </c>
      <c r="J6092" s="40" t="str">
        <f>IF(D6092&lt;&gt;"",VLOOKUP(H6092,TABLEITEM,5,FALSE),"")</f>
        <v>KG.</v>
      </c>
      <c r="K6092" s="12">
        <v>18.0</v>
      </c>
      <c r="L6092" s="13" t="str">
        <f>IF(D6092&lt;&gt;"",VLOOKUP(H6092,TABLEITEM,2,FALSE),"")</f>
        <v/>
      </c>
      <c r="M6092" s="13" t="str">
        <f>IF(D6092&lt;&gt;"",VLOOKUP(H6092,TABLEITEM,3,FALSE),"")</f>
        <v>เคมีตัวเร่งฟอสเฟต</v>
      </c>
      <c r="N6092" s="14">
        <f>INSTOCK!$I6092*INSTOCK!$K6092</f>
        <v>1800</v>
      </c>
      <c r="O6092" s="4"/>
      <c r="P6092" s="4"/>
    </row>
    <row r="6093" ht="15.75" customHeight="1">
      <c r="B6093" s="8"/>
      <c r="C6093" s="9">
        <v>43784.0</v>
      </c>
      <c r="D6093" s="6" t="s">
        <v>7155</v>
      </c>
      <c r="E6093" s="4">
        <v>6.211001662E9</v>
      </c>
      <c r="F6093" s="8" t="s">
        <v>7156</v>
      </c>
      <c r="G6093" s="4" t="s">
        <v>1485</v>
      </c>
      <c r="H6093" s="10" t="s">
        <v>1853</v>
      </c>
      <c r="I6093" s="10">
        <v>2.0</v>
      </c>
      <c r="J6093" s="40" t="str">
        <f>IF(D6093&lt;&gt;"",VLOOKUP(H6093,TABLEITEM,5,FALSE),"")</f>
        <v>EA</v>
      </c>
      <c r="K6093" s="12">
        <v>561.7</v>
      </c>
      <c r="L6093" s="13" t="str">
        <f>IF(D6093&lt;&gt;"",VLOOKUP(H6093,TABLEITEM,2,FALSE),"")</f>
        <v/>
      </c>
      <c r="M6093" s="13" t="str">
        <f>IF(D6093&lt;&gt;"",VLOOKUP(H6093,TABLEITEM,3,FALSE),"")</f>
        <v>K CAM SWITCH K1F003MLH</v>
      </c>
      <c r="N6093" s="14">
        <f>INSTOCK!$I6093*INSTOCK!$K6093</f>
        <v>1123.4</v>
      </c>
      <c r="O6093" s="4"/>
      <c r="P6093" s="4"/>
    </row>
    <row r="6094" ht="15.75" customHeight="1">
      <c r="B6094" s="8"/>
      <c r="C6094" s="9">
        <v>43784.0</v>
      </c>
      <c r="D6094" s="6" t="s">
        <v>7155</v>
      </c>
      <c r="E6094" s="4">
        <v>6.211001662E9</v>
      </c>
      <c r="F6094" s="8" t="s">
        <v>7156</v>
      </c>
      <c r="G6094" s="4" t="s">
        <v>1485</v>
      </c>
      <c r="H6094" s="10" t="s">
        <v>1841</v>
      </c>
      <c r="I6094" s="10">
        <v>2.0</v>
      </c>
      <c r="J6094" s="40" t="str">
        <f>IF(D6094&lt;&gt;"",VLOOKUP(H6094,TABLEITEM,5,FALSE),"")</f>
        <v>EA</v>
      </c>
      <c r="K6094" s="12">
        <v>561.7</v>
      </c>
      <c r="L6094" s="13" t="str">
        <f>IF(D6094&lt;&gt;"",VLOOKUP(H6094,TABLEITEM,2,FALSE),"")</f>
        <v/>
      </c>
      <c r="M6094" s="13" t="str">
        <f>IF(D6094&lt;&gt;"",VLOOKUP(H6094,TABLEITEM,3,FALSE),"")</f>
        <v>K CAM SWITCH 3L AND 3L-N 45 12A</v>
      </c>
      <c r="N6094" s="14">
        <f>INSTOCK!$I6094*INSTOCK!$K6094</f>
        <v>1123.4</v>
      </c>
      <c r="O6094" s="4"/>
      <c r="P6094" s="4"/>
    </row>
    <row r="6095" ht="15.75" customHeight="1">
      <c r="B6095" s="8"/>
      <c r="C6095" s="9">
        <v>43787.0</v>
      </c>
      <c r="D6095" s="6">
        <v>1911157.0</v>
      </c>
      <c r="E6095" s="4">
        <v>6.211001663E9</v>
      </c>
      <c r="F6095" s="8" t="s">
        <v>604</v>
      </c>
      <c r="G6095" s="4" t="s">
        <v>5349</v>
      </c>
      <c r="H6095" s="10" t="s">
        <v>85</v>
      </c>
      <c r="I6095" s="10">
        <v>200.0</v>
      </c>
      <c r="J6095" s="40" t="str">
        <f>IF(D6095&lt;&gt;"",VLOOKUP(H6095,TABLEITEM,5,FALSE),"")</f>
        <v>KG.</v>
      </c>
      <c r="K6095" s="12">
        <v>112.0</v>
      </c>
      <c r="L6095" s="13" t="str">
        <f>IF(D6095&lt;&gt;"",VLOOKUP(H6095,TABLEITEM,2,FALSE),"")</f>
        <v/>
      </c>
      <c r="M6095" s="13" t="str">
        <f>IF(D6095&lt;&gt;"",VLOOKUP(H6095,TABLEITEM,3,FALSE),"")</f>
        <v>สีฝุ่น GH433241 สีเทาย่น</v>
      </c>
      <c r="N6095" s="14">
        <f>INSTOCK!$I6095*INSTOCK!$K6095</f>
        <v>22400</v>
      </c>
      <c r="O6095" s="4"/>
      <c r="P6095" s="4"/>
    </row>
    <row r="6096" ht="15.75" customHeight="1">
      <c r="B6096" s="8"/>
      <c r="C6096" s="9">
        <v>43784.0</v>
      </c>
      <c r="D6096" s="6" t="s">
        <v>7157</v>
      </c>
      <c r="E6096" s="4"/>
      <c r="F6096" s="8" t="s">
        <v>7158</v>
      </c>
      <c r="G6096" s="4" t="s">
        <v>3029</v>
      </c>
      <c r="H6096" s="10" t="s">
        <v>3030</v>
      </c>
      <c r="I6096" s="10">
        <v>1.0</v>
      </c>
      <c r="J6096" s="40" t="str">
        <f>IF(D6096&lt;&gt;"",VLOOKUP(H6096,TABLEITEM,5,FALSE),"")</f>
        <v>LOT</v>
      </c>
      <c r="K6096" s="12">
        <v>1069.75</v>
      </c>
      <c r="L6096" s="13" t="str">
        <f>IF(D6096&lt;&gt;"",VLOOKUP(H6096,TABLEITEM,2,FALSE),"")</f>
        <v/>
      </c>
      <c r="M6096" s="13" t="str">
        <f>IF(D6096&lt;&gt;"",VLOOKUP(H6096,TABLEITEM,3,FALSE),"")</f>
        <v>ค่าชุบ ดีบุกเงา</v>
      </c>
      <c r="N6096" s="14">
        <f>INSTOCK!$I6096*INSTOCK!$K6096</f>
        <v>1069.75</v>
      </c>
      <c r="O6096" s="4" t="s">
        <v>7159</v>
      </c>
      <c r="P6096" s="4"/>
    </row>
    <row r="6097" ht="15.75" customHeight="1">
      <c r="B6097" s="8"/>
      <c r="C6097" s="9"/>
      <c r="D6097" s="6"/>
      <c r="E6097" s="4"/>
      <c r="F6097" s="8"/>
      <c r="G6097" s="4"/>
      <c r="H6097" s="10"/>
      <c r="I6097" s="10"/>
      <c r="J6097" s="40" t="str">
        <f>IF(D6097&lt;&gt;"",VLOOKUP(H6097,TABLEITEM,5,FALSE),"")</f>
        <v/>
      </c>
      <c r="K6097" s="12"/>
      <c r="L6097" s="13" t="str">
        <f>IF(D6097&lt;&gt;"",VLOOKUP(H6097,TABLEITEM,2,FALSE),"")</f>
        <v/>
      </c>
      <c r="M6097" s="13" t="str">
        <f>IF(D6097&lt;&gt;"",VLOOKUP(H6097,TABLEITEM,3,FALSE),"")</f>
        <v/>
      </c>
      <c r="N6097" s="14">
        <f>INSTOCK!$I6097*INSTOCK!$K6097</f>
        <v>0</v>
      </c>
      <c r="O6097" s="4"/>
      <c r="P6097" s="4"/>
    </row>
    <row r="6098" ht="15.75" customHeight="1">
      <c r="B6098" s="8"/>
      <c r="C6098" s="9"/>
      <c r="D6098" s="6"/>
      <c r="E6098" s="4"/>
      <c r="F6098" s="8"/>
      <c r="G6098" s="4"/>
      <c r="H6098" s="10"/>
      <c r="I6098" s="10"/>
      <c r="J6098" s="40" t="str">
        <f>IF(D6098&lt;&gt;"",VLOOKUP(H6098,TABLEITEM,5,FALSE),"")</f>
        <v/>
      </c>
      <c r="K6098" s="12"/>
      <c r="L6098" s="13" t="str">
        <f>IF(D6098&lt;&gt;"",VLOOKUP(H6098,TABLEITEM,2,FALSE),"")</f>
        <v/>
      </c>
      <c r="M6098" s="13" t="str">
        <f>IF(D6098&lt;&gt;"",VLOOKUP(H6098,TABLEITEM,3,FALSE),"")</f>
        <v/>
      </c>
      <c r="N6098" s="14">
        <f>INSTOCK!$I6098*INSTOCK!$K6098</f>
        <v>0</v>
      </c>
      <c r="O6098" s="4"/>
      <c r="P6098" s="4"/>
    </row>
    <row r="6099" ht="15.75" customHeight="1">
      <c r="B6099" s="8"/>
      <c r="C6099" s="9"/>
      <c r="D6099" s="6"/>
      <c r="E6099" s="4"/>
      <c r="F6099" s="8"/>
      <c r="G6099" s="4"/>
      <c r="H6099" s="10"/>
      <c r="I6099" s="10"/>
      <c r="J6099" s="40" t="str">
        <f>IF(D6099&lt;&gt;"",VLOOKUP(H6099,TABLEITEM,5,FALSE),"")</f>
        <v/>
      </c>
      <c r="K6099" s="12"/>
      <c r="L6099" s="13" t="str">
        <f>IF(D6099&lt;&gt;"",VLOOKUP(H6099,TABLEITEM,2,FALSE),"")</f>
        <v/>
      </c>
      <c r="M6099" s="13" t="str">
        <f>IF(D6099&lt;&gt;"",VLOOKUP(H6099,TABLEITEM,3,FALSE),"")</f>
        <v/>
      </c>
      <c r="N6099" s="14">
        <f>INSTOCK!$I6099*INSTOCK!$K6099</f>
        <v>0</v>
      </c>
      <c r="O6099" s="4"/>
      <c r="P6099" s="4"/>
    </row>
    <row r="6100" ht="15.75" customHeight="1">
      <c r="B6100" s="8"/>
      <c r="C6100" s="9"/>
      <c r="D6100" s="6"/>
      <c r="E6100" s="4"/>
      <c r="F6100" s="8"/>
      <c r="G6100" s="4"/>
      <c r="H6100" s="10"/>
      <c r="I6100" s="10"/>
      <c r="J6100" s="40" t="str">
        <f>IF(D6100&lt;&gt;"",VLOOKUP(H6100,TABLEITEM,5,FALSE),"")</f>
        <v/>
      </c>
      <c r="K6100" s="12"/>
      <c r="L6100" s="13" t="str">
        <f>IF(D6100&lt;&gt;"",VLOOKUP(H6100,TABLEITEM,2,FALSE),"")</f>
        <v/>
      </c>
      <c r="M6100" s="13" t="str">
        <f>IF(D6100&lt;&gt;"",VLOOKUP(H6100,TABLEITEM,3,FALSE),"")</f>
        <v/>
      </c>
      <c r="N6100" s="14">
        <f>INSTOCK!$I6100*INSTOCK!$K6100</f>
        <v>0</v>
      </c>
      <c r="O6100" s="4"/>
      <c r="P6100" s="4"/>
    </row>
    <row r="6101" ht="15.75" customHeight="1">
      <c r="B6101" s="8"/>
      <c r="C6101" s="9"/>
      <c r="D6101" s="6"/>
      <c r="E6101" s="4"/>
      <c r="F6101" s="8"/>
      <c r="G6101" s="4"/>
      <c r="H6101" s="10"/>
      <c r="I6101" s="10"/>
      <c r="J6101" s="40" t="str">
        <f>IF(D6101&lt;&gt;"",VLOOKUP(H6101,TABLEITEM,5,FALSE),"")</f>
        <v/>
      </c>
      <c r="K6101" s="12"/>
      <c r="L6101" s="13" t="str">
        <f>IF(D6101&lt;&gt;"",VLOOKUP(H6101,TABLEITEM,2,FALSE),"")</f>
        <v/>
      </c>
      <c r="M6101" s="13" t="str">
        <f>IF(D6101&lt;&gt;"",VLOOKUP(H6101,TABLEITEM,3,FALSE),"")</f>
        <v/>
      </c>
      <c r="N6101" s="14">
        <f>INSTOCK!$I6101*INSTOCK!$K6101</f>
        <v>0</v>
      </c>
      <c r="O6101" s="4"/>
      <c r="P6101" s="4"/>
    </row>
    <row r="6102" ht="15.75" customHeight="1">
      <c r="B6102" s="8"/>
      <c r="C6102" s="9"/>
      <c r="D6102" s="6"/>
      <c r="E6102" s="4"/>
      <c r="F6102" s="8"/>
      <c r="G6102" s="4"/>
      <c r="H6102" s="10"/>
      <c r="I6102" s="10"/>
      <c r="J6102" s="40" t="str">
        <f>IF(D6102&lt;&gt;"",VLOOKUP(H6102,TABLEITEM,5,FALSE),"")</f>
        <v/>
      </c>
      <c r="K6102" s="12"/>
      <c r="L6102" s="13" t="str">
        <f>IF(D6102&lt;&gt;"",VLOOKUP(H6102,TABLEITEM,2,FALSE),"")</f>
        <v/>
      </c>
      <c r="M6102" s="13" t="str">
        <f>IF(D6102&lt;&gt;"",VLOOKUP(H6102,TABLEITEM,3,FALSE),"")</f>
        <v/>
      </c>
      <c r="N6102" s="14">
        <f>INSTOCK!$I6102*INSTOCK!$K6102</f>
        <v>0</v>
      </c>
      <c r="O6102" s="4"/>
      <c r="P6102" s="4"/>
    </row>
    <row r="6103" ht="15.75" customHeight="1">
      <c r="B6103" s="8"/>
      <c r="C6103" s="9"/>
      <c r="D6103" s="6"/>
      <c r="E6103" s="4"/>
      <c r="F6103" s="8"/>
      <c r="G6103" s="4"/>
      <c r="H6103" s="10"/>
      <c r="I6103" s="10"/>
      <c r="J6103" s="40" t="str">
        <f>IF(D6103&lt;&gt;"",VLOOKUP(H6103,TABLEITEM,5,FALSE),"")</f>
        <v/>
      </c>
      <c r="K6103" s="12"/>
      <c r="L6103" s="13" t="str">
        <f>IF(D6103&lt;&gt;"",VLOOKUP(H6103,TABLEITEM,2,FALSE),"")</f>
        <v/>
      </c>
      <c r="M6103" s="13" t="str">
        <f>IF(D6103&lt;&gt;"",VLOOKUP(H6103,TABLEITEM,3,FALSE),"")</f>
        <v/>
      </c>
      <c r="N6103" s="14">
        <f>INSTOCK!$I6103*INSTOCK!$K6103</f>
        <v>0</v>
      </c>
      <c r="O6103" s="4"/>
      <c r="P6103" s="4"/>
    </row>
    <row r="6104" ht="15.75" customHeight="1">
      <c r="B6104" s="8"/>
      <c r="C6104" s="9"/>
      <c r="D6104" s="6"/>
      <c r="E6104" s="4"/>
      <c r="F6104" s="8"/>
      <c r="G6104" s="4"/>
      <c r="H6104" s="10"/>
      <c r="I6104" s="10"/>
      <c r="J6104" s="40" t="str">
        <f>IF(D6104&lt;&gt;"",VLOOKUP(H6104,TABLEITEM,5,FALSE),"")</f>
        <v/>
      </c>
      <c r="K6104" s="12"/>
      <c r="L6104" s="13" t="str">
        <f>IF(D6104&lt;&gt;"",VLOOKUP(H6104,TABLEITEM,2,FALSE),"")</f>
        <v/>
      </c>
      <c r="M6104" s="13" t="str">
        <f>IF(D6104&lt;&gt;"",VLOOKUP(H6104,TABLEITEM,3,FALSE),"")</f>
        <v/>
      </c>
      <c r="N6104" s="14">
        <f>INSTOCK!$I6104*INSTOCK!$K6104</f>
        <v>0</v>
      </c>
      <c r="O6104" s="4"/>
      <c r="P6104" s="4"/>
    </row>
    <row r="6105" ht="15.75" customHeight="1">
      <c r="B6105" s="8"/>
      <c r="C6105" s="9"/>
      <c r="D6105" s="6"/>
      <c r="E6105" s="4"/>
      <c r="F6105" s="8"/>
      <c r="G6105" s="4"/>
      <c r="H6105" s="10"/>
      <c r="I6105" s="10"/>
      <c r="J6105" s="40" t="str">
        <f>IF(D6105&lt;&gt;"",VLOOKUP(H6105,TABLEITEM,5,FALSE),"")</f>
        <v/>
      </c>
      <c r="K6105" s="12"/>
      <c r="L6105" s="13" t="str">
        <f>IF(D6105&lt;&gt;"",VLOOKUP(H6105,TABLEITEM,2,FALSE),"")</f>
        <v/>
      </c>
      <c r="M6105" s="13" t="str">
        <f>IF(D6105&lt;&gt;"",VLOOKUP(H6105,TABLEITEM,3,FALSE),"")</f>
        <v/>
      </c>
      <c r="N6105" s="14">
        <f>INSTOCK!$I6105*INSTOCK!$K6105</f>
        <v>0</v>
      </c>
      <c r="O6105" s="4"/>
      <c r="P6105" s="4"/>
    </row>
    <row r="6106" ht="15.75" customHeight="1">
      <c r="B6106" s="8"/>
      <c r="C6106" s="9"/>
      <c r="D6106" s="6"/>
      <c r="E6106" s="4"/>
      <c r="F6106" s="8"/>
      <c r="G6106" s="4"/>
      <c r="H6106" s="10"/>
      <c r="I6106" s="10"/>
      <c r="J6106" s="40" t="str">
        <f>IF(D6106&lt;&gt;"",VLOOKUP(H6106,TABLEITEM,5,FALSE),"")</f>
        <v/>
      </c>
      <c r="K6106" s="12"/>
      <c r="L6106" s="13" t="str">
        <f>IF(D6106&lt;&gt;"",VLOOKUP(H6106,TABLEITEM,2,FALSE),"")</f>
        <v/>
      </c>
      <c r="M6106" s="13" t="str">
        <f>IF(D6106&lt;&gt;"",VLOOKUP(H6106,TABLEITEM,3,FALSE),"")</f>
        <v/>
      </c>
      <c r="N6106" s="14">
        <f>INSTOCK!$I6106*INSTOCK!$K6106</f>
        <v>0</v>
      </c>
      <c r="O6106" s="4"/>
      <c r="P6106" s="4"/>
    </row>
    <row r="6107" ht="15.75" customHeight="1">
      <c r="B6107" s="8"/>
      <c r="C6107" s="9"/>
      <c r="D6107" s="6"/>
      <c r="E6107" s="4"/>
      <c r="F6107" s="8"/>
      <c r="G6107" s="4"/>
      <c r="H6107" s="10"/>
      <c r="I6107" s="10"/>
      <c r="J6107" s="40" t="str">
        <f>IF(D6107&lt;&gt;"",VLOOKUP(H6107,TABLEITEM,5,FALSE),"")</f>
        <v/>
      </c>
      <c r="K6107" s="12"/>
      <c r="L6107" s="13" t="str">
        <f>IF(D6107&lt;&gt;"",VLOOKUP(H6107,TABLEITEM,2,FALSE),"")</f>
        <v/>
      </c>
      <c r="M6107" s="13" t="str">
        <f>IF(D6107&lt;&gt;"",VLOOKUP(H6107,TABLEITEM,3,FALSE),"")</f>
        <v/>
      </c>
      <c r="N6107" s="14">
        <f>INSTOCK!$I6107*INSTOCK!$K6107</f>
        <v>0</v>
      </c>
      <c r="O6107" s="4"/>
      <c r="P6107" s="4"/>
    </row>
    <row r="6108" ht="15.75" customHeight="1">
      <c r="B6108" s="8"/>
      <c r="C6108" s="9"/>
      <c r="D6108" s="6"/>
      <c r="E6108" s="4"/>
      <c r="F6108" s="8"/>
      <c r="G6108" s="4"/>
      <c r="H6108" s="10"/>
      <c r="I6108" s="10"/>
      <c r="J6108" s="40" t="str">
        <f>IF(D6108&lt;&gt;"",VLOOKUP(H6108,TABLEITEM,5,FALSE),"")</f>
        <v/>
      </c>
      <c r="K6108" s="12"/>
      <c r="L6108" s="13" t="str">
        <f>IF(D6108&lt;&gt;"",VLOOKUP(H6108,TABLEITEM,2,FALSE),"")</f>
        <v/>
      </c>
      <c r="M6108" s="13" t="str">
        <f>IF(D6108&lt;&gt;"",VLOOKUP(H6108,TABLEITEM,3,FALSE),"")</f>
        <v/>
      </c>
      <c r="N6108" s="14">
        <f>INSTOCK!$I6108*INSTOCK!$K6108</f>
        <v>0</v>
      </c>
      <c r="O6108" s="4"/>
      <c r="P6108" s="4"/>
    </row>
    <row r="6109" ht="15.75" customHeight="1">
      <c r="B6109" s="8"/>
      <c r="C6109" s="9"/>
      <c r="D6109" s="6"/>
      <c r="E6109" s="4"/>
      <c r="F6109" s="8"/>
      <c r="G6109" s="4"/>
      <c r="H6109" s="10"/>
      <c r="I6109" s="10"/>
      <c r="J6109" s="40" t="str">
        <f>IF(D6109&lt;&gt;"",VLOOKUP(H6109,TABLEITEM,5,FALSE),"")</f>
        <v/>
      </c>
      <c r="K6109" s="12"/>
      <c r="L6109" s="13" t="str">
        <f>IF(D6109&lt;&gt;"",VLOOKUP(H6109,TABLEITEM,2,FALSE),"")</f>
        <v/>
      </c>
      <c r="M6109" s="13" t="str">
        <f>IF(D6109&lt;&gt;"",VLOOKUP(H6109,TABLEITEM,3,FALSE),"")</f>
        <v/>
      </c>
      <c r="N6109" s="14">
        <f>INSTOCK!$I6109*INSTOCK!$K6109</f>
        <v>0</v>
      </c>
      <c r="O6109" s="4"/>
      <c r="P6109" s="4"/>
    </row>
    <row r="6110" ht="15.75" customHeight="1">
      <c r="B6110" s="8"/>
      <c r="C6110" s="9"/>
      <c r="D6110" s="6"/>
      <c r="E6110" s="4"/>
      <c r="F6110" s="8"/>
      <c r="G6110" s="4"/>
      <c r="H6110" s="10"/>
      <c r="I6110" s="10"/>
      <c r="J6110" s="40" t="str">
        <f>IF(D6110&lt;&gt;"",VLOOKUP(H6110,TABLEITEM,5,FALSE),"")</f>
        <v/>
      </c>
      <c r="K6110" s="12"/>
      <c r="L6110" s="13" t="str">
        <f>IF(D6110&lt;&gt;"",VLOOKUP(H6110,TABLEITEM,2,FALSE),"")</f>
        <v/>
      </c>
      <c r="M6110" s="13" t="str">
        <f>IF(D6110&lt;&gt;"",VLOOKUP(H6110,TABLEITEM,3,FALSE),"")</f>
        <v/>
      </c>
      <c r="N6110" s="14">
        <f>INSTOCK!$I6110*INSTOCK!$K6110</f>
        <v>0</v>
      </c>
      <c r="O6110" s="4"/>
      <c r="P6110" s="4"/>
    </row>
    <row r="6111" ht="15.75" customHeight="1">
      <c r="B6111" s="8"/>
      <c r="C6111" s="9"/>
      <c r="D6111" s="6"/>
      <c r="E6111" s="4"/>
      <c r="F6111" s="8"/>
      <c r="G6111" s="4"/>
      <c r="H6111" s="10"/>
      <c r="I6111" s="10"/>
      <c r="J6111" s="40" t="str">
        <f>IF(D6111&lt;&gt;"",VLOOKUP(H6111,TABLEITEM,5,FALSE),"")</f>
        <v/>
      </c>
      <c r="K6111" s="12"/>
      <c r="L6111" s="13" t="str">
        <f>IF(D6111&lt;&gt;"",VLOOKUP(H6111,TABLEITEM,2,FALSE),"")</f>
        <v/>
      </c>
      <c r="M6111" s="13" t="str">
        <f>IF(D6111&lt;&gt;"",VLOOKUP(H6111,TABLEITEM,3,FALSE),"")</f>
        <v/>
      </c>
      <c r="N6111" s="14">
        <f>INSTOCK!$I6111*INSTOCK!$K6111</f>
        <v>0</v>
      </c>
      <c r="O6111" s="4"/>
      <c r="P6111" s="4"/>
    </row>
    <row r="6112" ht="15.75" customHeight="1">
      <c r="B6112" s="8"/>
      <c r="C6112" s="9"/>
      <c r="D6112" s="6"/>
      <c r="E6112" s="4"/>
      <c r="F6112" s="8"/>
      <c r="G6112" s="4"/>
      <c r="H6112" s="10"/>
      <c r="I6112" s="10"/>
      <c r="J6112" s="40" t="str">
        <f>IF(D6112&lt;&gt;"",VLOOKUP(H6112,TABLEITEM,5,FALSE),"")</f>
        <v/>
      </c>
      <c r="K6112" s="12"/>
      <c r="L6112" s="13" t="str">
        <f>IF(D6112&lt;&gt;"",VLOOKUP(H6112,TABLEITEM,2,FALSE),"")</f>
        <v/>
      </c>
      <c r="M6112" s="13" t="str">
        <f>IF(D6112&lt;&gt;"",VLOOKUP(H6112,TABLEITEM,3,FALSE),"")</f>
        <v/>
      </c>
      <c r="N6112" s="14">
        <f>INSTOCK!$I6112*INSTOCK!$K6112</f>
        <v>0</v>
      </c>
      <c r="O6112" s="4"/>
      <c r="P6112" s="4"/>
    </row>
    <row r="6113" ht="15.75" customHeight="1">
      <c r="B6113" s="8"/>
      <c r="C6113" s="9"/>
      <c r="D6113" s="6"/>
      <c r="E6113" s="4"/>
      <c r="F6113" s="8"/>
      <c r="G6113" s="4"/>
      <c r="H6113" s="10"/>
      <c r="I6113" s="10"/>
      <c r="J6113" s="40" t="str">
        <f>IF(D6113&lt;&gt;"",VLOOKUP(H6113,TABLEITEM,5,FALSE),"")</f>
        <v/>
      </c>
      <c r="K6113" s="12"/>
      <c r="L6113" s="13" t="str">
        <f>IF(D6113&lt;&gt;"",VLOOKUP(H6113,TABLEITEM,2,FALSE),"")</f>
        <v/>
      </c>
      <c r="M6113" s="13" t="str">
        <f>IF(D6113&lt;&gt;"",VLOOKUP(H6113,TABLEITEM,3,FALSE),"")</f>
        <v/>
      </c>
      <c r="N6113" s="14">
        <f>INSTOCK!$I6113*INSTOCK!$K6113</f>
        <v>0</v>
      </c>
      <c r="O6113" s="4"/>
      <c r="P6113" s="4"/>
    </row>
    <row r="6114" ht="15.75" customHeight="1">
      <c r="B6114" s="8"/>
      <c r="C6114" s="9"/>
      <c r="D6114" s="6"/>
      <c r="E6114" s="4"/>
      <c r="F6114" s="8"/>
      <c r="G6114" s="4"/>
      <c r="H6114" s="10"/>
      <c r="I6114" s="10"/>
      <c r="J6114" s="40" t="str">
        <f>IF(D6114&lt;&gt;"",VLOOKUP(H6114,TABLEITEM,5,FALSE),"")</f>
        <v/>
      </c>
      <c r="K6114" s="12"/>
      <c r="L6114" s="13" t="str">
        <f>IF(D6114&lt;&gt;"",VLOOKUP(H6114,TABLEITEM,2,FALSE),"")</f>
        <v/>
      </c>
      <c r="M6114" s="13" t="str">
        <f>IF(D6114&lt;&gt;"",VLOOKUP(H6114,TABLEITEM,3,FALSE),"")</f>
        <v/>
      </c>
      <c r="N6114" s="14">
        <f>INSTOCK!$I6114*INSTOCK!$K6114</f>
        <v>0</v>
      </c>
      <c r="O6114" s="4"/>
      <c r="P6114" s="4"/>
    </row>
    <row r="6115" ht="15.75" customHeight="1">
      <c r="B6115" s="8"/>
      <c r="C6115" s="9"/>
      <c r="D6115" s="6"/>
      <c r="E6115" s="4"/>
      <c r="F6115" s="8"/>
      <c r="G6115" s="4"/>
      <c r="H6115" s="10"/>
      <c r="I6115" s="10"/>
      <c r="J6115" s="40" t="str">
        <f>IF(D6115&lt;&gt;"",VLOOKUP(H6115,TABLEITEM,5,FALSE),"")</f>
        <v/>
      </c>
      <c r="K6115" s="12"/>
      <c r="L6115" s="13" t="str">
        <f>IF(D6115&lt;&gt;"",VLOOKUP(H6115,TABLEITEM,2,FALSE),"")</f>
        <v/>
      </c>
      <c r="M6115" s="13" t="str">
        <f>IF(D6115&lt;&gt;"",VLOOKUP(H6115,TABLEITEM,3,FALSE),"")</f>
        <v/>
      </c>
      <c r="N6115" s="14">
        <f>INSTOCK!$I6115*INSTOCK!$K6115</f>
        <v>0</v>
      </c>
      <c r="O6115" s="4"/>
      <c r="P6115" s="4"/>
    </row>
    <row r="6116" ht="15.75" customHeight="1">
      <c r="B6116" s="8"/>
      <c r="C6116" s="9"/>
      <c r="D6116" s="6"/>
      <c r="E6116" s="4"/>
      <c r="F6116" s="8"/>
      <c r="G6116" s="4"/>
      <c r="H6116" s="10"/>
      <c r="I6116" s="10"/>
      <c r="J6116" s="40" t="str">
        <f>IF(D6116&lt;&gt;"",VLOOKUP(H6116,TABLEITEM,5,FALSE),"")</f>
        <v/>
      </c>
      <c r="K6116" s="12"/>
      <c r="L6116" s="13" t="str">
        <f>IF(D6116&lt;&gt;"",VLOOKUP(H6116,TABLEITEM,2,FALSE),"")</f>
        <v/>
      </c>
      <c r="M6116" s="13" t="str">
        <f>IF(D6116&lt;&gt;"",VLOOKUP(H6116,TABLEITEM,3,FALSE),"")</f>
        <v/>
      </c>
      <c r="N6116" s="14">
        <f>INSTOCK!$I6116*INSTOCK!$K6116</f>
        <v>0</v>
      </c>
      <c r="O6116" s="4"/>
      <c r="P6116" s="4"/>
    </row>
    <row r="6117" ht="15.75" customHeight="1">
      <c r="B6117" s="8"/>
      <c r="C6117" s="9"/>
      <c r="D6117" s="6"/>
      <c r="E6117" s="4"/>
      <c r="F6117" s="8"/>
      <c r="G6117" s="4"/>
      <c r="H6117" s="10"/>
      <c r="I6117" s="10"/>
      <c r="J6117" s="40" t="str">
        <f>IF(D6117&lt;&gt;"",VLOOKUP(H6117,TABLEITEM,5,FALSE),"")</f>
        <v/>
      </c>
      <c r="K6117" s="12"/>
      <c r="L6117" s="13" t="str">
        <f>IF(D6117&lt;&gt;"",VLOOKUP(H6117,TABLEITEM,2,FALSE),"")</f>
        <v/>
      </c>
      <c r="M6117" s="13" t="str">
        <f>IF(D6117&lt;&gt;"",VLOOKUP(H6117,TABLEITEM,3,FALSE),"")</f>
        <v/>
      </c>
      <c r="N6117" s="14">
        <f>INSTOCK!$I6117*INSTOCK!$K6117</f>
        <v>0</v>
      </c>
      <c r="O6117" s="4"/>
      <c r="P6117" s="4"/>
    </row>
    <row r="6118" ht="15.75" customHeight="1">
      <c r="B6118" s="8"/>
      <c r="C6118" s="9"/>
      <c r="D6118" s="6"/>
      <c r="E6118" s="4"/>
      <c r="F6118" s="8"/>
      <c r="G6118" s="4"/>
      <c r="H6118" s="10"/>
      <c r="I6118" s="10"/>
      <c r="J6118" s="40" t="str">
        <f>IF(D6118&lt;&gt;"",VLOOKUP(H6118,TABLEITEM,5,FALSE),"")</f>
        <v/>
      </c>
      <c r="K6118" s="12"/>
      <c r="L6118" s="13" t="str">
        <f>IF(D6118&lt;&gt;"",VLOOKUP(H6118,TABLEITEM,2,FALSE),"")</f>
        <v/>
      </c>
      <c r="M6118" s="13" t="str">
        <f>IF(D6118&lt;&gt;"",VLOOKUP(H6118,TABLEITEM,3,FALSE),"")</f>
        <v/>
      </c>
      <c r="N6118" s="14">
        <f>INSTOCK!$I6118*INSTOCK!$K6118</f>
        <v>0</v>
      </c>
      <c r="O6118" s="4"/>
      <c r="P6118" s="4"/>
    </row>
    <row r="6119" ht="15.75" customHeight="1">
      <c r="B6119" s="8"/>
      <c r="C6119" s="9"/>
      <c r="D6119" s="6"/>
      <c r="E6119" s="4"/>
      <c r="F6119" s="8"/>
      <c r="G6119" s="4"/>
      <c r="H6119" s="10"/>
      <c r="I6119" s="10"/>
      <c r="J6119" s="40" t="str">
        <f>IF(D6119&lt;&gt;"",VLOOKUP(H6119,TABLEITEM,5,FALSE),"")</f>
        <v/>
      </c>
      <c r="K6119" s="12"/>
      <c r="L6119" s="13" t="str">
        <f>IF(D6119&lt;&gt;"",VLOOKUP(H6119,TABLEITEM,2,FALSE),"")</f>
        <v/>
      </c>
      <c r="M6119" s="13" t="str">
        <f>IF(D6119&lt;&gt;"",VLOOKUP(H6119,TABLEITEM,3,FALSE),"")</f>
        <v/>
      </c>
      <c r="N6119" s="14">
        <f>INSTOCK!$I6119*INSTOCK!$K6119</f>
        <v>0</v>
      </c>
      <c r="O6119" s="4"/>
      <c r="P6119" s="4"/>
    </row>
    <row r="6120" ht="15.75" customHeight="1">
      <c r="B6120" s="8"/>
      <c r="C6120" s="9"/>
      <c r="D6120" s="6"/>
      <c r="E6120" s="4"/>
      <c r="F6120" s="8"/>
      <c r="G6120" s="4"/>
      <c r="H6120" s="10"/>
      <c r="I6120" s="10"/>
      <c r="J6120" s="40" t="str">
        <f>IF(D6120&lt;&gt;"",VLOOKUP(H6120,TABLEITEM,5,FALSE),"")</f>
        <v/>
      </c>
      <c r="K6120" s="12"/>
      <c r="L6120" s="13" t="str">
        <f>IF(D6120&lt;&gt;"",VLOOKUP(H6120,TABLEITEM,2,FALSE),"")</f>
        <v/>
      </c>
      <c r="M6120" s="13" t="str">
        <f>IF(D6120&lt;&gt;"",VLOOKUP(H6120,TABLEITEM,3,FALSE),"")</f>
        <v/>
      </c>
      <c r="N6120" s="14">
        <f>INSTOCK!$I6120*INSTOCK!$K6120</f>
        <v>0</v>
      </c>
      <c r="O6120" s="4"/>
      <c r="P6120" s="4"/>
    </row>
    <row r="6121" ht="15.75" customHeight="1">
      <c r="B6121" s="8"/>
      <c r="C6121" s="9"/>
      <c r="D6121" s="6"/>
      <c r="E6121" s="4"/>
      <c r="F6121" s="8"/>
      <c r="G6121" s="4"/>
      <c r="H6121" s="10"/>
      <c r="I6121" s="10"/>
      <c r="J6121" s="40" t="str">
        <f>IF(D6121&lt;&gt;"",VLOOKUP(H6121,TABLEITEM,5,FALSE),"")</f>
        <v/>
      </c>
      <c r="K6121" s="12"/>
      <c r="L6121" s="13" t="str">
        <f>IF(D6121&lt;&gt;"",VLOOKUP(H6121,TABLEITEM,2,FALSE),"")</f>
        <v/>
      </c>
      <c r="M6121" s="13" t="str">
        <f>IF(D6121&lt;&gt;"",VLOOKUP(H6121,TABLEITEM,3,FALSE),"")</f>
        <v/>
      </c>
      <c r="N6121" s="14">
        <f>INSTOCK!$I6121*INSTOCK!$K6121</f>
        <v>0</v>
      </c>
      <c r="O6121" s="4"/>
      <c r="P6121" s="4"/>
    </row>
    <row r="6122" ht="15.75" customHeight="1">
      <c r="B6122" s="8"/>
      <c r="C6122" s="9"/>
      <c r="D6122" s="6"/>
      <c r="E6122" s="4"/>
      <c r="F6122" s="8"/>
      <c r="G6122" s="4"/>
      <c r="H6122" s="10"/>
      <c r="I6122" s="10"/>
      <c r="J6122" s="40" t="str">
        <f>IF(D6122&lt;&gt;"",VLOOKUP(H6122,TABLEITEM,5,FALSE),"")</f>
        <v/>
      </c>
      <c r="K6122" s="12"/>
      <c r="L6122" s="13" t="str">
        <f>IF(D6122&lt;&gt;"",VLOOKUP(H6122,TABLEITEM,2,FALSE),"")</f>
        <v/>
      </c>
      <c r="M6122" s="13" t="str">
        <f>IF(D6122&lt;&gt;"",VLOOKUP(H6122,TABLEITEM,3,FALSE),"")</f>
        <v/>
      </c>
      <c r="N6122" s="14">
        <f>INSTOCK!$I6122*INSTOCK!$K6122</f>
        <v>0</v>
      </c>
      <c r="O6122" s="4"/>
      <c r="P6122" s="4"/>
    </row>
    <row r="6123" ht="15.75" customHeight="1">
      <c r="B6123" s="8"/>
      <c r="C6123" s="9"/>
      <c r="D6123" s="6"/>
      <c r="E6123" s="4"/>
      <c r="F6123" s="8"/>
      <c r="G6123" s="4"/>
      <c r="H6123" s="10"/>
      <c r="I6123" s="10"/>
      <c r="J6123" s="40" t="str">
        <f>IF(D6123&lt;&gt;"",VLOOKUP(H6123,TABLEITEM,5,FALSE),"")</f>
        <v/>
      </c>
      <c r="K6123" s="12"/>
      <c r="L6123" s="13" t="str">
        <f>IF(D6123&lt;&gt;"",VLOOKUP(H6123,TABLEITEM,2,FALSE),"")</f>
        <v/>
      </c>
      <c r="M6123" s="13" t="str">
        <f>IF(D6123&lt;&gt;"",VLOOKUP(H6123,TABLEITEM,3,FALSE),"")</f>
        <v/>
      </c>
      <c r="N6123" s="14">
        <f>INSTOCK!$I6123*INSTOCK!$K6123</f>
        <v>0</v>
      </c>
      <c r="O6123" s="4"/>
      <c r="P6123" s="4"/>
    </row>
    <row r="6124" ht="15.75" customHeight="1">
      <c r="B6124" s="8"/>
      <c r="C6124" s="9"/>
      <c r="D6124" s="6"/>
      <c r="E6124" s="4"/>
      <c r="F6124" s="8"/>
      <c r="G6124" s="4"/>
      <c r="H6124" s="10"/>
      <c r="I6124" s="10"/>
      <c r="J6124" s="40" t="str">
        <f>IF(D6124&lt;&gt;"",VLOOKUP(H6124,TABLEITEM,5,FALSE),"")</f>
        <v/>
      </c>
      <c r="K6124" s="12"/>
      <c r="L6124" s="13" t="str">
        <f>IF(D6124&lt;&gt;"",VLOOKUP(H6124,TABLEITEM,2,FALSE),"")</f>
        <v/>
      </c>
      <c r="M6124" s="13" t="str">
        <f>IF(D6124&lt;&gt;"",VLOOKUP(H6124,TABLEITEM,3,FALSE),"")</f>
        <v/>
      </c>
      <c r="N6124" s="14">
        <f>INSTOCK!$I6124*INSTOCK!$K6124</f>
        <v>0</v>
      </c>
      <c r="O6124" s="4"/>
      <c r="P6124" s="4"/>
    </row>
    <row r="6125" ht="15.75" customHeight="1">
      <c r="B6125" s="8"/>
      <c r="C6125" s="9"/>
      <c r="D6125" s="6"/>
      <c r="E6125" s="4"/>
      <c r="F6125" s="8"/>
      <c r="G6125" s="4"/>
      <c r="H6125" s="10"/>
      <c r="I6125" s="10"/>
      <c r="J6125" s="40" t="str">
        <f>IF(D6125&lt;&gt;"",VLOOKUP(H6125,TABLEITEM,5,FALSE),"")</f>
        <v/>
      </c>
      <c r="K6125" s="12"/>
      <c r="L6125" s="13" t="str">
        <f>IF(D6125&lt;&gt;"",VLOOKUP(H6125,TABLEITEM,2,FALSE),"")</f>
        <v/>
      </c>
      <c r="M6125" s="13" t="str">
        <f>IF(D6125&lt;&gt;"",VLOOKUP(H6125,TABLEITEM,3,FALSE),"")</f>
        <v/>
      </c>
      <c r="N6125" s="14">
        <f>INSTOCK!$I6125*INSTOCK!$K6125</f>
        <v>0</v>
      </c>
      <c r="O6125" s="4"/>
      <c r="P6125" s="4"/>
    </row>
  </sheetData>
  <printOptions/>
  <pageMargins bottom="0.75" footer="0.0" header="0.0" left="0.7" right="0.7" top="1.315"/>
  <pageSetup paperSize="9" scale="95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C6E7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5.89"/>
    <col customWidth="1" min="2" max="2" width="16.67"/>
    <col customWidth="1" min="3" max="3" width="9.44"/>
    <col customWidth="1" min="4" max="4" width="48.33"/>
    <col customWidth="1" min="5" max="5" width="15.11"/>
    <col customWidth="1" min="6" max="6" width="12.44"/>
    <col customWidth="1" min="7" max="7" width="11.44"/>
    <col customWidth="1" min="8" max="13" width="8.89"/>
  </cols>
  <sheetData>
    <row r="1">
      <c r="A1" s="42" t="s">
        <v>7160</v>
      </c>
      <c r="B1" s="43"/>
      <c r="G1" s="44"/>
    </row>
    <row r="2">
      <c r="A2" s="45" t="s">
        <v>0</v>
      </c>
      <c r="B2" s="45" t="s">
        <v>7161</v>
      </c>
      <c r="C2" s="45" t="s">
        <v>7162</v>
      </c>
      <c r="D2" s="45" t="s">
        <v>7163</v>
      </c>
      <c r="E2" s="45" t="s">
        <v>7164</v>
      </c>
      <c r="F2" s="45" t="s">
        <v>7165</v>
      </c>
      <c r="G2" s="46" t="s">
        <v>7166</v>
      </c>
      <c r="H2" s="45" t="s">
        <v>7167</v>
      </c>
      <c r="I2" s="45" t="s">
        <v>7168</v>
      </c>
      <c r="J2" s="45" t="s">
        <v>7169</v>
      </c>
      <c r="L2" s="47" t="s">
        <v>7162</v>
      </c>
      <c r="M2" s="23" t="s">
        <v>7170</v>
      </c>
    </row>
    <row r="3">
      <c r="A3" s="45">
        <v>304.0</v>
      </c>
      <c r="B3" s="10" t="s">
        <v>185</v>
      </c>
      <c r="C3" s="26"/>
      <c r="D3" s="10" t="s">
        <v>7171</v>
      </c>
      <c r="E3" s="48" t="s">
        <v>7172</v>
      </c>
      <c r="F3" s="48" t="s">
        <v>7173</v>
      </c>
      <c r="G3" s="49">
        <f>MAX(IF(INSTOCK!$H$3:$H$6125=B3,INSTOCK!$K$3:$K$6125))</f>
        <v>0</v>
      </c>
      <c r="H3" s="50">
        <f t="array" ref="H3">SUM(IF(INSTOCK!$H$3:$H$6125=B3,INSTOCK!$I$3:$I$6125))</f>
        <v>52</v>
      </c>
      <c r="I3" s="50" t="str">
        <f>SUM(IF([3]!Table13[ID]=B3,[3]!Table13[QTY]))</f>
        <v>#ERROR!</v>
      </c>
      <c r="J3" s="50" t="str">
        <f>TABLEITEM!$H$3:$H$2749-TABLEITEM!$I$3:$I$2749</f>
        <v>#ERROR!</v>
      </c>
      <c r="L3" s="51" t="s">
        <v>7174</v>
      </c>
      <c r="M3" s="23" t="s">
        <v>7175</v>
      </c>
    </row>
    <row r="4">
      <c r="A4" s="45">
        <v>303.0</v>
      </c>
      <c r="B4" s="10" t="s">
        <v>184</v>
      </c>
      <c r="C4" s="26"/>
      <c r="D4" s="10" t="s">
        <v>7176</v>
      </c>
      <c r="E4" s="48" t="s">
        <v>7172</v>
      </c>
      <c r="F4" s="48" t="s">
        <v>7173</v>
      </c>
      <c r="G4" s="49">
        <f t="array" ref="G4">MAX(IF(INSTOCK!$H$3:$H$6125=B4,INSTOCK!$K$3:$K$6125))</f>
        <v>0</v>
      </c>
      <c r="H4" s="50">
        <f t="array" ref="H4">SUM(IF(INSTOCK!$H$3:$H$6125=B4,INSTOCK!$I$3:$I$6125))</f>
        <v>70</v>
      </c>
      <c r="I4" s="50" t="str">
        <f>ARRAY_CONSTRAIN(ARRAYFORMULA(SUM(IF([3]!Table13[ID]=B4,[3]!Table13[QTY]))), 1, 1)</f>
        <v>#ERROR!</v>
      </c>
      <c r="J4" s="50" t="str">
        <f>TABLEITEM!$H$3:$H$2749-TABLEITEM!$I$3:$I$2749</f>
        <v>#ERROR!</v>
      </c>
      <c r="L4" s="51" t="s">
        <v>734</v>
      </c>
      <c r="M4" s="23" t="s">
        <v>7177</v>
      </c>
    </row>
    <row r="5">
      <c r="A5" s="45">
        <v>302.0</v>
      </c>
      <c r="B5" s="52" t="s">
        <v>183</v>
      </c>
      <c r="C5" s="26"/>
      <c r="D5" s="10" t="s">
        <v>7178</v>
      </c>
      <c r="E5" s="48" t="s">
        <v>7172</v>
      </c>
      <c r="F5" s="48" t="s">
        <v>7173</v>
      </c>
      <c r="G5" s="49">
        <f t="array" ref="G5">MAX(IF(INSTOCK!$H$3:$H$6125=B5,INSTOCK!$K$3:$K$6125))</f>
        <v>0</v>
      </c>
      <c r="H5" s="50">
        <f t="array" ref="H5">SUM(IF(INSTOCK!$H$3:$H$6125=B5,INSTOCK!$I$3:$I$6125))</f>
        <v>76</v>
      </c>
      <c r="I5" s="50" t="str">
        <f>ARRAY_CONSTRAIN(ARRAYFORMULA(SUM(IF([3]!Table13[ID]=B5,[3]!Table13[QTY]))), 1, 1)</f>
        <v>#ERROR!</v>
      </c>
      <c r="J5" s="50" t="str">
        <f>TABLEITEM!$H$3:$H$2749-TABLEITEM!$I$3:$I$2749</f>
        <v>#ERROR!</v>
      </c>
      <c r="L5" s="51" t="s">
        <v>7179</v>
      </c>
      <c r="M5" s="23" t="s">
        <v>7180</v>
      </c>
    </row>
    <row r="6">
      <c r="A6" s="45">
        <v>301.0</v>
      </c>
      <c r="B6" s="10" t="s">
        <v>182</v>
      </c>
      <c r="C6" s="26"/>
      <c r="D6" s="10" t="s">
        <v>7181</v>
      </c>
      <c r="E6" s="48" t="s">
        <v>7172</v>
      </c>
      <c r="F6" s="48" t="s">
        <v>7173</v>
      </c>
      <c r="G6" s="49">
        <f t="array" ref="G6">MAX(IF(INSTOCK!$H$3:$H$6125=B6,INSTOCK!$K$3:$K$6125))</f>
        <v>0.81965</v>
      </c>
      <c r="H6" s="50">
        <f t="array" ref="H6">SUM(IF(INSTOCK!$H$3:$H$6125=B6,INSTOCK!$I$3:$I$6125))</f>
        <v>200</v>
      </c>
      <c r="I6" s="50" t="str">
        <f>ARRAY_CONSTRAIN(ARRAYFORMULA(SUM(IF([3]!Table13[ID]=B6,[3]!Table13[QTY]))), 1, 1)</f>
        <v>#ERROR!</v>
      </c>
      <c r="J6" s="50" t="str">
        <f>TABLEITEM!$H$3:$H$2749-TABLEITEM!$I$3:$I$2749</f>
        <v>#ERROR!</v>
      </c>
      <c r="L6" s="51" t="s">
        <v>7182</v>
      </c>
      <c r="M6" s="23" t="s">
        <v>7183</v>
      </c>
    </row>
    <row r="7">
      <c r="A7" s="45"/>
      <c r="B7" s="10" t="s">
        <v>2835</v>
      </c>
      <c r="C7" s="26"/>
      <c r="D7" s="10" t="s">
        <v>7184</v>
      </c>
      <c r="E7" s="48" t="s">
        <v>7185</v>
      </c>
      <c r="F7" s="48" t="s">
        <v>7173</v>
      </c>
      <c r="G7" s="49">
        <f t="array" ref="G7">MAX(IF(INSTOCK!$H$3:$H$6125=B7,INSTOCK!$K$3:$K$6125))</f>
        <v>901</v>
      </c>
      <c r="H7" s="50">
        <f t="array" ref="H7">SUM(IF(INSTOCK!$H$3:$H$6125=B7,INSTOCK!$I$3:$I$6125))</f>
        <v>2</v>
      </c>
      <c r="I7" s="50" t="str">
        <f>ARRAY_CONSTRAIN(ARRAYFORMULA(SUM(IF([3]!Table13[ID]=B7,[3]!Table13[QTY]))), 1, 1)</f>
        <v>#ERROR!</v>
      </c>
      <c r="J7" s="50" t="str">
        <f>TABLEITEM!$H$3:$H$2749-TABLEITEM!$I$3:$I$2749</f>
        <v>#ERROR!</v>
      </c>
      <c r="L7" s="51" t="s">
        <v>113</v>
      </c>
      <c r="M7" s="23" t="s">
        <v>7186</v>
      </c>
    </row>
    <row r="8">
      <c r="A8" s="45"/>
      <c r="B8" s="10" t="s">
        <v>2274</v>
      </c>
      <c r="C8" s="26"/>
      <c r="D8" s="10" t="s">
        <v>7187</v>
      </c>
      <c r="E8" s="48" t="s">
        <v>7188</v>
      </c>
      <c r="F8" s="48" t="s">
        <v>7173</v>
      </c>
      <c r="G8" s="49">
        <f t="array" ref="G8">MAX(IF(INSTOCK!$H$3:$H$6125=B8,INSTOCK!$K$3:$K$6125))</f>
        <v>310</v>
      </c>
      <c r="H8" s="50">
        <f t="array" ref="H8">SUM(IF(INSTOCK!$H$3:$H$6125=B8,INSTOCK!$I$3:$I$6125))</f>
        <v>2</v>
      </c>
      <c r="I8" s="50" t="str">
        <f>ARRAY_CONSTRAIN(ARRAYFORMULA(SUM(IF([3]!Table13[ID]=B8,[3]!Table13[QTY]))), 1, 1)</f>
        <v>#ERROR!</v>
      </c>
      <c r="J8" s="50" t="str">
        <f>TABLEITEM!$H$3:$H$2749-TABLEITEM!$I$3:$I$2749</f>
        <v>#ERROR!</v>
      </c>
      <c r="L8" s="53" t="s">
        <v>7189</v>
      </c>
      <c r="M8" s="23" t="s">
        <v>7190</v>
      </c>
    </row>
    <row r="9">
      <c r="A9" s="45"/>
      <c r="B9" s="10" t="s">
        <v>2272</v>
      </c>
      <c r="C9" s="26"/>
      <c r="D9" s="10" t="s">
        <v>7191</v>
      </c>
      <c r="E9" s="48" t="s">
        <v>7188</v>
      </c>
      <c r="F9" s="48" t="s">
        <v>7173</v>
      </c>
      <c r="G9" s="49">
        <f t="array" ref="G9">MAX(IF(INSTOCK!$H$3:$H$6125=B9,INSTOCK!$K$3:$K$6125))</f>
        <v>310</v>
      </c>
      <c r="H9" s="50">
        <f t="array" ref="H9">SUM(IF(INSTOCK!$H$3:$H$6125=B9,INSTOCK!$I$3:$I$6125))</f>
        <v>3</v>
      </c>
      <c r="I9" s="50" t="str">
        <f>ARRAY_CONSTRAIN(ARRAYFORMULA(SUM(IF([3]!Table13[ID]=B9,[3]!Table13[QTY]))), 1, 1)</f>
        <v>#ERROR!</v>
      </c>
      <c r="J9" s="50" t="str">
        <f>TABLEITEM!$H$3:$H$2749-TABLEITEM!$I$3:$I$2749</f>
        <v>#ERROR!</v>
      </c>
    </row>
    <row r="10">
      <c r="A10" s="45">
        <v>161.0</v>
      </c>
      <c r="B10" s="10" t="s">
        <v>42</v>
      </c>
      <c r="C10" s="26"/>
      <c r="D10" s="10" t="s">
        <v>7192</v>
      </c>
      <c r="E10" s="48" t="s">
        <v>7193</v>
      </c>
      <c r="F10" s="48" t="s">
        <v>7194</v>
      </c>
      <c r="G10" s="49">
        <f t="array" ref="G10">MAX(IF(INSTOCK!$H$3:$H$6125=B10,INSTOCK!$K$3:$K$6125))</f>
        <v>260</v>
      </c>
      <c r="H10" s="50">
        <f t="array" ref="H10">SUM(IF(INSTOCK!$H$3:$H$6125=B10,INSTOCK!$I$3:$I$6125))</f>
        <v>21</v>
      </c>
      <c r="I10" s="50" t="str">
        <f>ARRAY_CONSTRAIN(ARRAYFORMULA(SUM(IF([3]!Table13[ID]=B10,[3]!Table13[QTY]))), 1, 1)</f>
        <v>#ERROR!</v>
      </c>
      <c r="J10" s="50" t="str">
        <f>TABLEITEM!$H$3:$H$2749-TABLEITEM!$I$3:$I$2749</f>
        <v>#ERROR!</v>
      </c>
    </row>
    <row r="11">
      <c r="A11" s="45"/>
      <c r="B11" s="10" t="s">
        <v>3101</v>
      </c>
      <c r="C11" s="26"/>
      <c r="D11" s="10" t="s">
        <v>7195</v>
      </c>
      <c r="E11" s="48"/>
      <c r="F11" s="48" t="s">
        <v>7173</v>
      </c>
      <c r="G11" s="49">
        <f t="array" ref="G11">MAX(IF(INSTOCK!$H$3:$H$6125=B11,INSTOCK!$K$3:$K$6125))</f>
        <v>7.5</v>
      </c>
      <c r="H11" s="50">
        <f t="array" ref="H11">SUM(IF(INSTOCK!$H$3:$H$6125=B11,INSTOCK!$I$3:$I$6125))</f>
        <v>760</v>
      </c>
      <c r="I11" s="50" t="str">
        <f>ARRAY_CONSTRAIN(ARRAYFORMULA(SUM(IF([3]!Table13[ID]=B11,[3]!Table13[QTY]))), 1, 1)</f>
        <v>#ERROR!</v>
      </c>
      <c r="J11" s="50" t="str">
        <f>TABLEITEM!$H$3:$H$2749-TABLEITEM!$I$3:$I$2749</f>
        <v>#ERROR!</v>
      </c>
    </row>
    <row r="12">
      <c r="A12" s="45"/>
      <c r="B12" s="10" t="s">
        <v>816</v>
      </c>
      <c r="C12" s="26"/>
      <c r="D12" s="10" t="s">
        <v>817</v>
      </c>
      <c r="E12" s="48" t="s">
        <v>7196</v>
      </c>
      <c r="F12" s="48" t="s">
        <v>7197</v>
      </c>
      <c r="G12" s="49">
        <f t="array" ref="G12">MAX(IF(INSTOCK!$H$3:$H$6125=B12,INSTOCK!$K$3:$K$6125))</f>
        <v>600</v>
      </c>
      <c r="H12" s="50">
        <f t="array" ref="H12">SUM(IF(INSTOCK!$H$3:$H$6125=B12,INSTOCK!$I$3:$I$6125))</f>
        <v>142</v>
      </c>
      <c r="I12" s="50" t="str">
        <f>ARRAY_CONSTRAIN(ARRAYFORMULA(SUM(IF([3]!Table13[ID]=B12,[3]!Table13[QTY]))), 1, 1)</f>
        <v>#ERROR!</v>
      </c>
      <c r="J12" s="50" t="str">
        <f>TABLEITEM!$H$3:$H$2749-TABLEITEM!$I$3:$I$2749</f>
        <v>#ERROR!</v>
      </c>
    </row>
    <row r="13">
      <c r="A13" s="45"/>
      <c r="B13" s="10" t="s">
        <v>3235</v>
      </c>
      <c r="C13" s="26"/>
      <c r="D13" s="10" t="s">
        <v>7198</v>
      </c>
      <c r="E13" s="48" t="s">
        <v>7188</v>
      </c>
      <c r="F13" s="48" t="s">
        <v>7173</v>
      </c>
      <c r="G13" s="49">
        <f t="array" ref="G13">MAX(IF(INSTOCK!$H$3:$H$6125=B13,INSTOCK!$K$3:$K$6125))</f>
        <v>3103.65</v>
      </c>
      <c r="H13" s="50">
        <f t="array" ref="H13">SUM(IF(INSTOCK!$H$3:$H$6125=B13,INSTOCK!$I$3:$I$6125))</f>
        <v>1</v>
      </c>
      <c r="I13" s="50" t="str">
        <f>ARRAY_CONSTRAIN(ARRAYFORMULA(SUM(IF([3]!Table13[ID]=B13,[3]!Table13[QTY]))), 1, 1)</f>
        <v>#ERROR!</v>
      </c>
      <c r="J13" s="50" t="str">
        <f>TABLEITEM!$H$3:$H$2749-TABLEITEM!$I$3:$I$2749</f>
        <v>#ERROR!</v>
      </c>
    </row>
    <row r="14">
      <c r="A14" s="45"/>
      <c r="B14" s="10" t="s">
        <v>3034</v>
      </c>
      <c r="C14" s="26"/>
      <c r="D14" s="10" t="s">
        <v>7199</v>
      </c>
      <c r="E14" s="48"/>
      <c r="F14" s="48" t="s">
        <v>7173</v>
      </c>
      <c r="G14" s="49">
        <f t="array" ref="G14">MAX(IF(INSTOCK!$H$3:$H$6125=B14,INSTOCK!$K$3:$K$6125))</f>
        <v>95</v>
      </c>
      <c r="H14" s="50">
        <f t="array" ref="H14">SUM(IF(INSTOCK!$H$3:$H$6125=B14,INSTOCK!$I$3:$I$6125))</f>
        <v>1</v>
      </c>
      <c r="I14" s="50" t="str">
        <f>ARRAY_CONSTRAIN(ARRAYFORMULA(SUM(IF([3]!Table13[ID]=B14,[3]!Table13[QTY]))), 1, 1)</f>
        <v>#ERROR!</v>
      </c>
      <c r="J14" s="50" t="str">
        <f>TABLEITEM!$H$3:$H$2749-TABLEITEM!$I$3:$I$2749</f>
        <v>#ERROR!</v>
      </c>
    </row>
    <row r="15">
      <c r="A15" s="45"/>
      <c r="B15" s="10" t="s">
        <v>3689</v>
      </c>
      <c r="C15" s="26"/>
      <c r="D15" s="10" t="s">
        <v>7200</v>
      </c>
      <c r="E15" s="48" t="s">
        <v>7201</v>
      </c>
      <c r="F15" s="48" t="s">
        <v>7173</v>
      </c>
      <c r="G15" s="49">
        <f t="array" ref="G15">MAX(IF(INSTOCK!$H$3:$H$6125=B15,INSTOCK!$K$3:$K$6125))</f>
        <v>135.51</v>
      </c>
      <c r="H15" s="50">
        <f t="array" ref="H15">SUM(IF(INSTOCK!$H$3:$H$6125=B15,INSTOCK!$I$3:$I$6125))</f>
        <v>6</v>
      </c>
      <c r="I15" s="50" t="str">
        <f>ARRAY_CONSTRAIN(ARRAYFORMULA(SUM(IF([3]!Table13[ID]=B15,[3]!Table13[QTY]))), 1, 1)</f>
        <v>#ERROR!</v>
      </c>
      <c r="J15" s="50" t="str">
        <f>TABLEITEM!$H$3:$H$2749-TABLEITEM!$I$3:$I$2749</f>
        <v>#ERROR!</v>
      </c>
    </row>
    <row r="16">
      <c r="A16" s="45"/>
      <c r="B16" s="10" t="s">
        <v>2642</v>
      </c>
      <c r="C16" s="26"/>
      <c r="D16" s="10" t="s">
        <v>7202</v>
      </c>
      <c r="E16" s="48" t="s">
        <v>1276</v>
      </c>
      <c r="F16" s="48" t="s">
        <v>7173</v>
      </c>
      <c r="G16" s="49">
        <f t="array" ref="G16">MAX(IF(INSTOCK!$H$3:$H$6125=B16,INSTOCK!$K$3:$K$6125))</f>
        <v>150</v>
      </c>
      <c r="H16" s="50">
        <f t="array" ref="H16">SUM(IF(INSTOCK!$H$3:$H$6125=B16,INSTOCK!$I$3:$I$6125))</f>
        <v>75</v>
      </c>
      <c r="I16" s="50" t="str">
        <f>ARRAY_CONSTRAIN(ARRAYFORMULA(SUM(IF([3]!Table13[ID]=B16,[3]!Table13[QTY]))), 1, 1)</f>
        <v>#ERROR!</v>
      </c>
      <c r="J16" s="50" t="str">
        <f>TABLEITEM!$H$3:$H$2749-TABLEITEM!$I$3:$I$2749</f>
        <v>#ERROR!</v>
      </c>
    </row>
    <row r="17">
      <c r="A17" s="45"/>
      <c r="B17" s="10" t="s">
        <v>1437</v>
      </c>
      <c r="C17" s="26"/>
      <c r="D17" s="10" t="s">
        <v>7203</v>
      </c>
      <c r="E17" s="48" t="s">
        <v>721</v>
      </c>
      <c r="F17" s="48" t="s">
        <v>7173</v>
      </c>
      <c r="G17" s="49">
        <f t="array" ref="G17">MAX(IF(INSTOCK!$H$3:$H$6125=B17,INSTOCK!$K$3:$K$6125))</f>
        <v>14972</v>
      </c>
      <c r="H17" s="50">
        <f t="array" ref="H17">SUM(IF(INSTOCK!$H$3:$H$6125=B17,INSTOCK!$I$3:$I$6125))</f>
        <v>8</v>
      </c>
      <c r="I17" s="50" t="str">
        <f>ARRAY_CONSTRAIN(ARRAYFORMULA(SUM(IF([3]!Table13[ID]=B17,[3]!Table13[QTY]))), 1, 1)</f>
        <v>#ERROR!</v>
      </c>
      <c r="J17" s="50" t="str">
        <f>TABLEITEM!$H$3:$H$2749-TABLEITEM!$I$3:$I$2749</f>
        <v>#ERROR!</v>
      </c>
    </row>
    <row r="18">
      <c r="A18" s="45"/>
      <c r="B18" s="10" t="s">
        <v>812</v>
      </c>
      <c r="C18" s="26"/>
      <c r="D18" s="10" t="s">
        <v>813</v>
      </c>
      <c r="E18" s="48" t="s">
        <v>7196</v>
      </c>
      <c r="F18" s="48" t="s">
        <v>7197</v>
      </c>
      <c r="G18" s="49">
        <f t="array" ref="G18">MAX(IF(INSTOCK!$H$3:$H$6125=B18,INSTOCK!$K$3:$K$6125))</f>
        <v>2960</v>
      </c>
      <c r="H18" s="50">
        <f t="array" ref="H18">SUM(IF(INSTOCK!$H$3:$H$6125=B18,INSTOCK!$I$3:$I$6125))</f>
        <v>29</v>
      </c>
      <c r="I18" s="50" t="str">
        <f>ARRAY_CONSTRAIN(ARRAYFORMULA(SUM(IF([3]!Table13[ID]=B18,[3]!Table13[QTY]))), 1, 1)</f>
        <v>#ERROR!</v>
      </c>
      <c r="J18" s="50" t="str">
        <f>TABLEITEM!$H$3:$H$2749-TABLEITEM!$I$3:$I$2749</f>
        <v>#ERROR!</v>
      </c>
    </row>
    <row r="19">
      <c r="A19" s="45"/>
      <c r="B19" s="10" t="s">
        <v>7204</v>
      </c>
      <c r="C19" s="26"/>
      <c r="D19" s="10" t="s">
        <v>7205</v>
      </c>
      <c r="E19" s="10"/>
      <c r="F19" s="48" t="s">
        <v>7173</v>
      </c>
      <c r="G19" s="49">
        <f t="array" ref="G19">MAX(IF(INSTOCK!$H$3:$H$6125=B19,INSTOCK!$K$3:$K$6125))</f>
        <v>0</v>
      </c>
      <c r="H19" s="50">
        <f t="array" ref="H19">SUM(IF(INSTOCK!$H$3:$H$6125=B19,INSTOCK!$I$3:$I$6125))</f>
        <v>0</v>
      </c>
      <c r="I19" s="50" t="str">
        <f>ARRAY_CONSTRAIN(ARRAYFORMULA(SUM(IF([3]!Table13[ID]=B19,[3]!Table13[QTY]))), 1, 1)</f>
        <v>#ERROR!</v>
      </c>
      <c r="J19" s="50" t="str">
        <f>TABLEITEM!$H$3:$H$2749-TABLEITEM!$I$3:$I$2749</f>
        <v>#ERROR!</v>
      </c>
    </row>
    <row r="20">
      <c r="A20" s="45"/>
      <c r="B20" s="10" t="s">
        <v>4832</v>
      </c>
      <c r="C20" s="26"/>
      <c r="D20" s="10" t="s">
        <v>7206</v>
      </c>
      <c r="E20" s="48" t="s">
        <v>7207</v>
      </c>
      <c r="F20" s="48" t="s">
        <v>7173</v>
      </c>
      <c r="G20" s="49">
        <f t="array" ref="G20">MAX(IF(INSTOCK!$H$3:$H$6125=B20,INSTOCK!$K$3:$K$6125))</f>
        <v>0.385</v>
      </c>
      <c r="H20" s="50">
        <f t="array" ref="H20">SUM(IF(INSTOCK!$H$3:$H$6125=B20,INSTOCK!$I$3:$I$6125))</f>
        <v>3000</v>
      </c>
      <c r="I20" s="50" t="str">
        <f>ARRAY_CONSTRAIN(ARRAYFORMULA(SUM(IF([3]!Table13[ID]=B20,[3]!Table13[QTY]))), 1, 1)</f>
        <v>#ERROR!</v>
      </c>
      <c r="J20" s="50" t="str">
        <f>TABLEITEM!$H$3:$H$2749-TABLEITEM!$I$3:$I$2749</f>
        <v>#ERROR!</v>
      </c>
    </row>
    <row r="21" ht="15.75" customHeight="1">
      <c r="A21" s="45"/>
      <c r="B21" s="10" t="s">
        <v>4744</v>
      </c>
      <c r="C21" s="26"/>
      <c r="D21" s="10" t="s">
        <v>7208</v>
      </c>
      <c r="E21" s="48" t="s">
        <v>7207</v>
      </c>
      <c r="F21" s="48" t="s">
        <v>7173</v>
      </c>
      <c r="G21" s="49">
        <f t="array" ref="G21">MAX(IF(INSTOCK!$H$3:$H$6125=B21,INSTOCK!$K$3:$K$6125))</f>
        <v>0.25</v>
      </c>
      <c r="H21" s="50">
        <f t="array" ref="H21">SUM(IF(INSTOCK!$H$3:$H$6125=B21,INSTOCK!$I$3:$I$6125))</f>
        <v>13000</v>
      </c>
      <c r="I21" s="50" t="str">
        <f>ARRAY_CONSTRAIN(ARRAYFORMULA(SUM(IF([3]!Table13[ID]=B21,[3]!Table13[QTY]))), 1, 1)</f>
        <v>#ERROR!</v>
      </c>
      <c r="J21" s="50" t="str">
        <f>TABLEITEM!$H$3:$H$2749-TABLEITEM!$I$3:$I$2749</f>
        <v>#ERROR!</v>
      </c>
    </row>
    <row r="22" ht="15.75" customHeight="1">
      <c r="A22" s="45"/>
      <c r="B22" s="10" t="s">
        <v>6552</v>
      </c>
      <c r="C22" s="26"/>
      <c r="D22" s="10" t="s">
        <v>7209</v>
      </c>
      <c r="E22" s="48" t="s">
        <v>7207</v>
      </c>
      <c r="F22" s="48" t="s">
        <v>7173</v>
      </c>
      <c r="G22" s="49">
        <f t="array" ref="G22">MAX(IF(INSTOCK!$H$3:$H$6125=B22,INSTOCK!$K$3:$K$6125))</f>
        <v>0.225</v>
      </c>
      <c r="H22" s="50">
        <f t="array" ref="H22">SUM(IF(INSTOCK!$H$3:$H$6125=B22,INSTOCK!$I$3:$I$6125))</f>
        <v>1000</v>
      </c>
      <c r="I22" s="50" t="str">
        <f>ARRAY_CONSTRAIN(ARRAYFORMULA(SUM(IF([3]!Table13[ID]=B22,[3]!Table13[QTY]))), 1, 1)</f>
        <v>#ERROR!</v>
      </c>
      <c r="J22" s="50" t="str">
        <f>TABLEITEM!$H$3:$H$2749-TABLEITEM!$I$3:$I$2749</f>
        <v>#ERROR!</v>
      </c>
    </row>
    <row r="23" ht="15.75" customHeight="1">
      <c r="A23" s="45"/>
      <c r="B23" s="10" t="s">
        <v>7210</v>
      </c>
      <c r="C23" s="26"/>
      <c r="D23" s="10" t="s">
        <v>7211</v>
      </c>
      <c r="E23" s="48" t="s">
        <v>7207</v>
      </c>
      <c r="F23" s="48" t="s">
        <v>7173</v>
      </c>
      <c r="G23" s="49">
        <f t="array" ref="G23">MAX(IF(INSTOCK!$H$3:$H$6125=B23,INSTOCK!$K$3:$K$6125))</f>
        <v>0</v>
      </c>
      <c r="H23" s="50">
        <f t="array" ref="H23">SUM(IF(INSTOCK!$H$3:$H$6125=B23,INSTOCK!$I$3:$I$6125))</f>
        <v>0</v>
      </c>
      <c r="I23" s="50" t="str">
        <f>ARRAY_CONSTRAIN(ARRAYFORMULA(SUM(IF([3]!Table13[ID]=B23,[3]!Table13[QTY]))), 1, 1)</f>
        <v>#ERROR!</v>
      </c>
      <c r="J23" s="50" t="str">
        <f>TABLEITEM!$H$3:$H$2749-TABLEITEM!$I$3:$I$2749</f>
        <v>#ERROR!</v>
      </c>
    </row>
    <row r="24" ht="15.75" customHeight="1">
      <c r="A24" s="45"/>
      <c r="B24" s="10" t="s">
        <v>1943</v>
      </c>
      <c r="C24" s="26"/>
      <c r="D24" s="10" t="s">
        <v>7212</v>
      </c>
      <c r="E24" s="48" t="s">
        <v>7213</v>
      </c>
      <c r="F24" s="48" t="s">
        <v>7173</v>
      </c>
      <c r="G24" s="49">
        <f t="array" ref="G24">MAX(IF(INSTOCK!$H$3:$H$6125=B24,INSTOCK!$K$3:$K$6125))</f>
        <v>2</v>
      </c>
      <c r="H24" s="50">
        <f t="array" ref="H24">SUM(IF(INSTOCK!$H$3:$H$6125=B24,INSTOCK!$I$3:$I$6125))</f>
        <v>360</v>
      </c>
      <c r="I24" s="50" t="str">
        <f>ARRAY_CONSTRAIN(ARRAYFORMULA(SUM(IF([3]!Table13[ID]=B24,[3]!Table13[QTY]))), 1, 1)</f>
        <v>#ERROR!</v>
      </c>
      <c r="J24" s="50" t="str">
        <f>TABLEITEM!$H$3:$H$2749-TABLEITEM!$I$3:$I$2749</f>
        <v>#ERROR!</v>
      </c>
    </row>
    <row r="25" ht="15.75" customHeight="1">
      <c r="A25" s="45"/>
      <c r="B25" s="10" t="s">
        <v>2102</v>
      </c>
      <c r="C25" s="26"/>
      <c r="D25" s="10" t="s">
        <v>7214</v>
      </c>
      <c r="E25" s="48" t="s">
        <v>7207</v>
      </c>
      <c r="F25" s="48" t="s">
        <v>7173</v>
      </c>
      <c r="G25" s="49">
        <f t="array" ref="G25">MAX(IF(INSTOCK!$H$3:$H$6125=B25,INSTOCK!$K$3:$K$6125))</f>
        <v>1.09</v>
      </c>
      <c r="H25" s="50">
        <f t="array" ref="H25">SUM(IF(INSTOCK!$H$3:$H$6125=B25,INSTOCK!$I$3:$I$6125))</f>
        <v>420000</v>
      </c>
      <c r="I25" s="50" t="str">
        <f>ARRAY_CONSTRAIN(ARRAYFORMULA(SUM(IF([3]!Table13[ID]=B25,[3]!Table13[QTY]))), 1, 1)</f>
        <v>#ERROR!</v>
      </c>
      <c r="J25" s="50" t="str">
        <f>TABLEITEM!$H$3:$H$2749-TABLEITEM!$I$3:$I$2749</f>
        <v>#ERROR!</v>
      </c>
    </row>
    <row r="26" ht="15.75" customHeight="1">
      <c r="A26" s="45"/>
      <c r="B26" s="10" t="s">
        <v>3700</v>
      </c>
      <c r="C26" s="26"/>
      <c r="D26" s="10" t="s">
        <v>7215</v>
      </c>
      <c r="E26" s="48" t="s">
        <v>7207</v>
      </c>
      <c r="F26" s="48" t="s">
        <v>7173</v>
      </c>
      <c r="G26" s="49">
        <f t="array" ref="G26">MAX(IF(INSTOCK!$H$3:$H$6125=B26,INSTOCK!$K$3:$K$6125))</f>
        <v>0.39</v>
      </c>
      <c r="H26" s="50">
        <f t="array" ref="H26">SUM(IF(INSTOCK!$H$3:$H$6125=B26,INSTOCK!$I$3:$I$6125))</f>
        <v>14000</v>
      </c>
      <c r="I26" s="50" t="str">
        <f>ARRAY_CONSTRAIN(ARRAYFORMULA(SUM(IF([3]!Table13[ID]=B26,[3]!Table13[QTY]))), 1, 1)</f>
        <v>#ERROR!</v>
      </c>
      <c r="J26" s="50" t="str">
        <f>TABLEITEM!$H$3:$H$2749-TABLEITEM!$I$3:$I$2749</f>
        <v>#ERROR!</v>
      </c>
    </row>
    <row r="27" ht="15.75" customHeight="1">
      <c r="A27" s="45"/>
      <c r="B27" s="10" t="s">
        <v>3181</v>
      </c>
      <c r="C27" s="26"/>
      <c r="D27" s="10" t="s">
        <v>7216</v>
      </c>
      <c r="E27" s="48" t="s">
        <v>7207</v>
      </c>
      <c r="F27" s="48" t="s">
        <v>7173</v>
      </c>
      <c r="G27" s="49">
        <f t="array" ref="G27">MAX(IF(INSTOCK!$H$3:$H$6125=B27,INSTOCK!$K$3:$K$6125))</f>
        <v>0.125</v>
      </c>
      <c r="H27" s="50">
        <f t="array" ref="H27">SUM(IF(INSTOCK!$H$3:$H$6125=B27,INSTOCK!$I$3:$I$6125))</f>
        <v>45000</v>
      </c>
      <c r="I27" s="50" t="str">
        <f>ARRAY_CONSTRAIN(ARRAYFORMULA(SUM(IF([3]!Table13[ID]=B27,[3]!Table13[QTY]))), 1, 1)</f>
        <v>#ERROR!</v>
      </c>
      <c r="J27" s="50" t="str">
        <f>TABLEITEM!$H$3:$H$2749-TABLEITEM!$I$3:$I$2749</f>
        <v>#ERROR!</v>
      </c>
    </row>
    <row r="28" ht="15.75" customHeight="1">
      <c r="A28" s="45"/>
      <c r="B28" s="10" t="s">
        <v>5947</v>
      </c>
      <c r="C28" s="26"/>
      <c r="D28" s="10" t="s">
        <v>7217</v>
      </c>
      <c r="E28" s="48" t="s">
        <v>7207</v>
      </c>
      <c r="F28" s="48" t="s">
        <v>7173</v>
      </c>
      <c r="G28" s="49">
        <f t="array" ref="G28">MAX(IF(INSTOCK!$H$3:$H$6125=B28,INSTOCK!$K$3:$K$6125))</f>
        <v>0.055</v>
      </c>
      <c r="H28" s="50">
        <f t="array" ref="H28">SUM(IF(INSTOCK!$H$3:$H$6125=B28,INSTOCK!$I$3:$I$6125))</f>
        <v>2000</v>
      </c>
      <c r="I28" s="50" t="str">
        <f>ARRAY_CONSTRAIN(ARRAYFORMULA(SUM(IF([3]!Table13[ID]=B28,[3]!Table13[QTY]))), 1, 1)</f>
        <v>#ERROR!</v>
      </c>
      <c r="J28" s="50" t="str">
        <f>TABLEITEM!$H$3:$H$2749-TABLEITEM!$I$3:$I$2749</f>
        <v>#ERROR!</v>
      </c>
    </row>
    <row r="29" ht="15.75" customHeight="1">
      <c r="A29" s="45"/>
      <c r="B29" s="10" t="s">
        <v>2167</v>
      </c>
      <c r="C29" s="26"/>
      <c r="D29" s="10" t="s">
        <v>7218</v>
      </c>
      <c r="E29" s="48" t="s">
        <v>7207</v>
      </c>
      <c r="F29" s="48" t="s">
        <v>7173</v>
      </c>
      <c r="G29" s="49">
        <f t="array" ref="G29">MAX(IF(INSTOCK!$H$3:$H$6125=B29,INSTOCK!$K$3:$K$6125))</f>
        <v>0.13</v>
      </c>
      <c r="H29" s="50">
        <f t="array" ref="H29">SUM(IF(INSTOCK!$H$3:$H$6125=B29,INSTOCK!$I$3:$I$6125))</f>
        <v>22000</v>
      </c>
      <c r="I29" s="50" t="str">
        <f>ARRAY_CONSTRAIN(ARRAYFORMULA(SUM(IF([3]!Table13[ID]=B29,[3]!Table13[QTY]))), 1, 1)</f>
        <v>#ERROR!</v>
      </c>
      <c r="J29" s="50" t="str">
        <f>TABLEITEM!$H$3:$H$2749-TABLEITEM!$I$3:$I$2749</f>
        <v>#ERROR!</v>
      </c>
    </row>
    <row r="30" ht="15.75" customHeight="1">
      <c r="A30" s="45"/>
      <c r="B30" s="10" t="s">
        <v>7219</v>
      </c>
      <c r="C30" s="26"/>
      <c r="D30" s="10" t="s">
        <v>7220</v>
      </c>
      <c r="E30" s="48" t="s">
        <v>7207</v>
      </c>
      <c r="F30" s="48" t="s">
        <v>7173</v>
      </c>
      <c r="G30" s="49">
        <f t="array" ref="G30">MAX(IF(INSTOCK!$H$3:$H$6125=B30,INSTOCK!$K$3:$K$6125))</f>
        <v>0</v>
      </c>
      <c r="H30" s="50">
        <f t="array" ref="H30">SUM(IF(INSTOCK!$H$3:$H$6125=B30,INSTOCK!$I$3:$I$6125))</f>
        <v>0</v>
      </c>
      <c r="I30" s="50" t="str">
        <f>ARRAY_CONSTRAIN(ARRAYFORMULA(SUM(IF([3]!Table13[ID]=B30,[3]!Table13[QTY]))), 1, 1)</f>
        <v>#ERROR!</v>
      </c>
      <c r="J30" s="50" t="str">
        <f>TABLEITEM!$H$3:$H$2749-TABLEITEM!$I$3:$I$2749</f>
        <v>#ERROR!</v>
      </c>
    </row>
    <row r="31" ht="15.75" customHeight="1">
      <c r="A31" s="45"/>
      <c r="B31" s="10" t="s">
        <v>3519</v>
      </c>
      <c r="C31" s="26"/>
      <c r="D31" s="10" t="s">
        <v>7221</v>
      </c>
      <c r="E31" s="48" t="s">
        <v>7207</v>
      </c>
      <c r="F31" s="48" t="s">
        <v>7173</v>
      </c>
      <c r="G31" s="49">
        <f t="array" ref="G31">MAX(IF(INSTOCK!$H$3:$H$6125=B31,INSTOCK!$K$3:$K$6125))</f>
        <v>0.84</v>
      </c>
      <c r="H31" s="50">
        <f t="array" ref="H31">SUM(IF(INSTOCK!$H$3:$H$6125=B31,INSTOCK!$I$3:$I$6125))</f>
        <v>2400</v>
      </c>
      <c r="I31" s="50" t="str">
        <f>ARRAY_CONSTRAIN(ARRAYFORMULA(SUM(IF([3]!Table13[ID]=B31,[3]!Table13[QTY]))), 1, 1)</f>
        <v>#ERROR!</v>
      </c>
      <c r="J31" s="50" t="str">
        <f>TABLEITEM!$H$3:$H$2749-TABLEITEM!$I$3:$I$2749</f>
        <v>#ERROR!</v>
      </c>
    </row>
    <row r="32" ht="15.75" customHeight="1">
      <c r="A32" s="45"/>
      <c r="B32" s="10" t="s">
        <v>1887</v>
      </c>
      <c r="C32" s="26"/>
      <c r="D32" s="10" t="s">
        <v>7222</v>
      </c>
      <c r="E32" s="48" t="s">
        <v>7207</v>
      </c>
      <c r="F32" s="48" t="s">
        <v>7173</v>
      </c>
      <c r="G32" s="49">
        <f t="array" ref="G32">MAX(IF(INSTOCK!$H$3:$H$6125=B32,INSTOCK!$K$3:$K$6125))</f>
        <v>0.45</v>
      </c>
      <c r="H32" s="50">
        <f t="array" ref="H32">SUM(IF(INSTOCK!$H$3:$H$6125=B32,INSTOCK!$I$3:$I$6125))</f>
        <v>7000</v>
      </c>
      <c r="I32" s="50" t="str">
        <f>ARRAY_CONSTRAIN(ARRAYFORMULA(SUM(IF([3]!Table13[ID]=B32,[3]!Table13[QTY]))), 1, 1)</f>
        <v>#ERROR!</v>
      </c>
      <c r="J32" s="50" t="str">
        <f>TABLEITEM!$H$3:$H$2749-TABLEITEM!$I$3:$I$2749</f>
        <v>#ERROR!</v>
      </c>
    </row>
    <row r="33" ht="15.75" customHeight="1">
      <c r="A33" s="45"/>
      <c r="B33" s="10" t="s">
        <v>3842</v>
      </c>
      <c r="C33" s="26"/>
      <c r="D33" s="10" t="s">
        <v>7223</v>
      </c>
      <c r="E33" s="48" t="s">
        <v>7207</v>
      </c>
      <c r="F33" s="48" t="s">
        <v>7173</v>
      </c>
      <c r="G33" s="49">
        <f t="array" ref="G33">MAX(IF(INSTOCK!$H$3:$H$6125=B33,INSTOCK!$K$3:$K$6125))</f>
        <v>0.275</v>
      </c>
      <c r="H33" s="50">
        <f t="array" ref="H33">SUM(IF(INSTOCK!$H$3:$H$6125=B33,INSTOCK!$I$3:$I$6125))</f>
        <v>12000</v>
      </c>
      <c r="I33" s="50" t="str">
        <f>ARRAY_CONSTRAIN(ARRAYFORMULA(SUM(IF([3]!Table13[ID]=B33,[3]!Table13[QTY]))), 1, 1)</f>
        <v>#ERROR!</v>
      </c>
      <c r="J33" s="50" t="str">
        <f>TABLEITEM!$H$3:$H$2749-TABLEITEM!$I$3:$I$2749</f>
        <v>#ERROR!</v>
      </c>
    </row>
    <row r="34" ht="15.75" customHeight="1">
      <c r="A34" s="45"/>
      <c r="B34" s="10" t="s">
        <v>1998</v>
      </c>
      <c r="C34" s="26"/>
      <c r="D34" s="10" t="s">
        <v>7224</v>
      </c>
      <c r="E34" s="48" t="s">
        <v>7207</v>
      </c>
      <c r="F34" s="48" t="s">
        <v>7173</v>
      </c>
      <c r="G34" s="49">
        <f t="array" ref="G34">MAX(IF(INSTOCK!$H$3:$H$6125=B34,INSTOCK!$K$3:$K$6125))</f>
        <v>0.585</v>
      </c>
      <c r="H34" s="50">
        <f t="array" ref="H34">SUM(IF(INSTOCK!$H$3:$H$6125=B34,INSTOCK!$I$3:$I$6125))</f>
        <v>55000</v>
      </c>
      <c r="I34" s="50" t="str">
        <f>ARRAY_CONSTRAIN(ARRAYFORMULA(SUM(IF([3]!Table13[ID]=B34,[3]!Table13[QTY]))), 1, 1)</f>
        <v>#ERROR!</v>
      </c>
      <c r="J34" s="50" t="str">
        <f>TABLEITEM!$H$3:$H$2749-TABLEITEM!$I$3:$I$2749</f>
        <v>#ERROR!</v>
      </c>
    </row>
    <row r="35" ht="15.75" customHeight="1">
      <c r="A35" s="45"/>
      <c r="B35" s="10" t="s">
        <v>3803</v>
      </c>
      <c r="C35" s="26"/>
      <c r="D35" s="10" t="s">
        <v>7225</v>
      </c>
      <c r="E35" s="48" t="s">
        <v>7207</v>
      </c>
      <c r="F35" s="48" t="s">
        <v>7173</v>
      </c>
      <c r="G35" s="49">
        <f t="array" ref="G35">MAX(IF(INSTOCK!$H$3:$H$6125=B35,INSTOCK!$K$3:$K$6125))</f>
        <v>0.3</v>
      </c>
      <c r="H35" s="50">
        <f t="array" ref="H35">SUM(IF(INSTOCK!$H$3:$H$6125=B35,INSTOCK!$I$3:$I$6125))</f>
        <v>1000</v>
      </c>
      <c r="I35" s="50" t="str">
        <f>ARRAY_CONSTRAIN(ARRAYFORMULA(SUM(IF([3]!Table13[ID]=B35,[3]!Table13[QTY]))), 1, 1)</f>
        <v>#ERROR!</v>
      </c>
      <c r="J35" s="50" t="str">
        <f>TABLEITEM!$H$3:$H$2749-TABLEITEM!$I$3:$I$2749</f>
        <v>#ERROR!</v>
      </c>
    </row>
    <row r="36" ht="15.75" customHeight="1">
      <c r="A36" s="45"/>
      <c r="B36" s="10" t="s">
        <v>4107</v>
      </c>
      <c r="C36" s="26"/>
      <c r="D36" s="10" t="s">
        <v>7226</v>
      </c>
      <c r="E36" s="48" t="s">
        <v>7207</v>
      </c>
      <c r="F36" s="48" t="s">
        <v>7173</v>
      </c>
      <c r="G36" s="49">
        <f t="array" ref="G36">MAX(IF(INSTOCK!$H$3:$H$6125=B36,INSTOCK!$K$3:$K$6125))</f>
        <v>0.33</v>
      </c>
      <c r="H36" s="50">
        <f t="array" ref="H36">SUM(IF(INSTOCK!$H$3:$H$6125=B36,INSTOCK!$I$3:$I$6125))</f>
        <v>6500</v>
      </c>
      <c r="I36" s="50" t="str">
        <f>ARRAY_CONSTRAIN(ARRAYFORMULA(SUM(IF([3]!Table13[ID]=B36,[3]!Table13[QTY]))), 1, 1)</f>
        <v>#ERROR!</v>
      </c>
      <c r="J36" s="50" t="str">
        <f>TABLEITEM!$H$3:$H$2749-TABLEITEM!$I$3:$I$2749</f>
        <v>#ERROR!</v>
      </c>
    </row>
    <row r="37" ht="15.75" customHeight="1">
      <c r="A37" s="45"/>
      <c r="B37" s="10" t="s">
        <v>6551</v>
      </c>
      <c r="C37" s="26"/>
      <c r="D37" s="10" t="s">
        <v>7227</v>
      </c>
      <c r="E37" s="48" t="s">
        <v>7207</v>
      </c>
      <c r="F37" s="48" t="s">
        <v>7173</v>
      </c>
      <c r="G37" s="49">
        <f t="array" ref="G37">MAX(IF(INSTOCK!$H$3:$H$6125=B37,INSTOCK!$K$3:$K$6125))</f>
        <v>0.3</v>
      </c>
      <c r="H37" s="50">
        <f t="array" ref="H37">SUM(IF(INSTOCK!$H$3:$H$6125=B37,INSTOCK!$I$3:$I$6125))</f>
        <v>1000</v>
      </c>
      <c r="I37" s="50" t="str">
        <f>ARRAY_CONSTRAIN(ARRAYFORMULA(SUM(IF([3]!Table13[ID]=B37,[3]!Table13[QTY]))), 1, 1)</f>
        <v>#ERROR!</v>
      </c>
      <c r="J37" s="50" t="str">
        <f>TABLEITEM!$H$3:$H$2749-TABLEITEM!$I$3:$I$2749</f>
        <v>#ERROR!</v>
      </c>
    </row>
    <row r="38" ht="15.75" customHeight="1">
      <c r="A38" s="45"/>
      <c r="B38" s="10" t="s">
        <v>7228</v>
      </c>
      <c r="C38" s="26"/>
      <c r="D38" s="10" t="s">
        <v>7229</v>
      </c>
      <c r="E38" s="48" t="s">
        <v>7207</v>
      </c>
      <c r="F38" s="48" t="s">
        <v>7173</v>
      </c>
      <c r="G38" s="49">
        <f t="array" ref="G38">MAX(IF(INSTOCK!$H$3:$H$6125=B38,INSTOCK!$K$3:$K$6125))</f>
        <v>0</v>
      </c>
      <c r="H38" s="50">
        <f t="array" ref="H38">SUM(IF(INSTOCK!$H$3:$H$6125=B38,INSTOCK!$I$3:$I$6125))</f>
        <v>0</v>
      </c>
      <c r="I38" s="50" t="str">
        <f>ARRAY_CONSTRAIN(ARRAYFORMULA(SUM(IF([3]!Table13[ID]=B38,[3]!Table13[QTY]))), 1, 1)</f>
        <v>#ERROR!</v>
      </c>
      <c r="J38" s="50" t="str">
        <f>TABLEITEM!$H$3:$H$2749-TABLEITEM!$I$3:$I$2749</f>
        <v>#ERROR!</v>
      </c>
    </row>
    <row r="39" ht="15.75" customHeight="1">
      <c r="A39" s="45"/>
      <c r="B39" s="10" t="s">
        <v>1944</v>
      </c>
      <c r="C39" s="26"/>
      <c r="D39" s="10" t="s">
        <v>7230</v>
      </c>
      <c r="E39" s="48" t="s">
        <v>7213</v>
      </c>
      <c r="F39" s="48" t="s">
        <v>7173</v>
      </c>
      <c r="G39" s="49">
        <f t="array" ref="G39">MAX(IF(INSTOCK!$H$3:$H$6125=B39,INSTOCK!$K$3:$K$6125))</f>
        <v>1.8</v>
      </c>
      <c r="H39" s="50">
        <f t="array" ref="H39">SUM(IF(INSTOCK!$H$3:$H$6125=B39,INSTOCK!$I$3:$I$6125))</f>
        <v>292</v>
      </c>
      <c r="I39" s="50" t="str">
        <f>ARRAY_CONSTRAIN(ARRAYFORMULA(SUM(IF([3]!Table13[ID]=B39,[3]!Table13[QTY]))), 1, 1)</f>
        <v>#ERROR!</v>
      </c>
      <c r="J39" s="50" t="str">
        <f>TABLEITEM!$H$3:$H$2749-TABLEITEM!$I$3:$I$2749</f>
        <v>#ERROR!</v>
      </c>
    </row>
    <row r="40" ht="15.75" customHeight="1">
      <c r="A40" s="45"/>
      <c r="B40" s="10" t="s">
        <v>2078</v>
      </c>
      <c r="C40" s="26"/>
      <c r="D40" s="10" t="s">
        <v>7231</v>
      </c>
      <c r="E40" s="48" t="s">
        <v>7207</v>
      </c>
      <c r="F40" s="48" t="s">
        <v>7173</v>
      </c>
      <c r="G40" s="49">
        <f t="array" ref="G40">MAX(IF(INSTOCK!$H$3:$H$6125=B40,INSTOCK!$K$3:$K$6125))</f>
        <v>0.075</v>
      </c>
      <c r="H40" s="50">
        <f t="array" ref="H40">SUM(IF(INSTOCK!$H$3:$H$6125=B40,INSTOCK!$I$3:$I$6125))</f>
        <v>10000</v>
      </c>
      <c r="I40" s="50" t="str">
        <f>ARRAY_CONSTRAIN(ARRAYFORMULA(SUM(IF([3]!Table13[ID]=B40,[3]!Table13[QTY]))), 1, 1)</f>
        <v>#ERROR!</v>
      </c>
      <c r="J40" s="50" t="str">
        <f>TABLEITEM!$H$3:$H$2749-TABLEITEM!$I$3:$I$2749</f>
        <v>#ERROR!</v>
      </c>
    </row>
    <row r="41" ht="15.75" customHeight="1">
      <c r="A41" s="45"/>
      <c r="B41" s="10" t="s">
        <v>3702</v>
      </c>
      <c r="C41" s="26"/>
      <c r="D41" s="10" t="s">
        <v>7232</v>
      </c>
      <c r="E41" s="48" t="s">
        <v>7207</v>
      </c>
      <c r="F41" s="48" t="s">
        <v>7173</v>
      </c>
      <c r="G41" s="49">
        <f t="array" ref="G41">MAX(IF(INSTOCK!$H$3:$H$6125=B41,INSTOCK!$K$3:$K$6125))</f>
        <v>0.234</v>
      </c>
      <c r="H41" s="50">
        <f t="array" ref="H41">SUM(IF(INSTOCK!$H$3:$H$6125=B41,INSTOCK!$I$3:$I$6125))</f>
        <v>7000</v>
      </c>
      <c r="I41" s="50" t="str">
        <f>ARRAY_CONSTRAIN(ARRAYFORMULA(SUM(IF([3]!Table13[ID]=B41,[3]!Table13[QTY]))), 1, 1)</f>
        <v>#ERROR!</v>
      </c>
      <c r="J41" s="50" t="str">
        <f>TABLEITEM!$H$3:$H$2749-TABLEITEM!$I$3:$I$2749</f>
        <v>#ERROR!</v>
      </c>
    </row>
    <row r="42" ht="15.75" customHeight="1">
      <c r="A42" s="45"/>
      <c r="B42" s="10" t="s">
        <v>7233</v>
      </c>
      <c r="C42" s="26"/>
      <c r="D42" s="10" t="s">
        <v>7234</v>
      </c>
      <c r="E42" s="10" t="s">
        <v>7235</v>
      </c>
      <c r="F42" s="48" t="s">
        <v>7173</v>
      </c>
      <c r="G42" s="49">
        <f t="array" ref="G42">MAX(IF(INSTOCK!$H$3:$H$6125=B42,INSTOCK!$K$3:$K$6125))</f>
        <v>0</v>
      </c>
      <c r="H42" s="50">
        <f t="array" ref="H42">SUM(IF(INSTOCK!$H$3:$H$6125=B42,INSTOCK!$I$3:$I$6125))</f>
        <v>0</v>
      </c>
      <c r="I42" s="50" t="str">
        <f>ARRAY_CONSTRAIN(ARRAYFORMULA(SUM(IF([3]!Table13[ID]=B42,[3]!Table13[QTY]))), 1, 1)</f>
        <v>#ERROR!</v>
      </c>
      <c r="J42" s="50" t="str">
        <f>TABLEITEM!$H$3:$H$2749-TABLEITEM!$I$3:$I$2749</f>
        <v>#ERROR!</v>
      </c>
    </row>
    <row r="43" ht="15.75" customHeight="1">
      <c r="A43" s="45"/>
      <c r="B43" s="10" t="s">
        <v>5948</v>
      </c>
      <c r="C43" s="26"/>
      <c r="D43" s="10" t="s">
        <v>7236</v>
      </c>
      <c r="E43" s="48" t="s">
        <v>7207</v>
      </c>
      <c r="F43" s="48" t="s">
        <v>7173</v>
      </c>
      <c r="G43" s="49">
        <f t="array" ref="G43">MAX(IF(INSTOCK!$H$3:$H$6125=B43,INSTOCK!$K$3:$K$6125))</f>
        <v>0.06</v>
      </c>
      <c r="H43" s="50">
        <f t="array" ref="H43">SUM(IF(INSTOCK!$H$3:$H$6125=B43,INSTOCK!$I$3:$I$6125))</f>
        <v>2000</v>
      </c>
      <c r="I43" s="50" t="str">
        <f>ARRAY_CONSTRAIN(ARRAYFORMULA(SUM(IF([3]!Table13[ID]=B43,[3]!Table13[QTY]))), 1, 1)</f>
        <v>#ERROR!</v>
      </c>
      <c r="J43" s="50" t="str">
        <f>TABLEITEM!$H$3:$H$2749-TABLEITEM!$I$3:$I$2749</f>
        <v>#ERROR!</v>
      </c>
    </row>
    <row r="44" ht="15.75" customHeight="1">
      <c r="A44" s="45"/>
      <c r="B44" s="10" t="s">
        <v>2416</v>
      </c>
      <c r="C44" s="26"/>
      <c r="D44" s="10" t="s">
        <v>7237</v>
      </c>
      <c r="E44" s="10" t="s">
        <v>7235</v>
      </c>
      <c r="F44" s="48" t="s">
        <v>7173</v>
      </c>
      <c r="G44" s="49">
        <f t="array" ref="G44">MAX(IF(INSTOCK!$H$3:$H$6125=B44,INSTOCK!$K$3:$K$6125))</f>
        <v>0.11</v>
      </c>
      <c r="H44" s="50">
        <f t="array" ref="H44">SUM(IF(INSTOCK!$H$3:$H$6125=B44,INSTOCK!$I$3:$I$6125))</f>
        <v>7000</v>
      </c>
      <c r="I44" s="50" t="str">
        <f>ARRAY_CONSTRAIN(ARRAYFORMULA(SUM(IF([3]!Table13[ID]=B44,[3]!Table13[QTY]))), 1, 1)</f>
        <v>#ERROR!</v>
      </c>
      <c r="J44" s="50" t="str">
        <f>TABLEITEM!$H$3:$H$2749-TABLEITEM!$I$3:$I$2749</f>
        <v>#ERROR!</v>
      </c>
    </row>
    <row r="45" ht="15.75" customHeight="1">
      <c r="A45" s="45"/>
      <c r="B45" s="10" t="s">
        <v>7238</v>
      </c>
      <c r="C45" s="26"/>
      <c r="D45" s="10" t="s">
        <v>7239</v>
      </c>
      <c r="E45" s="48" t="s">
        <v>7207</v>
      </c>
      <c r="F45" s="48" t="s">
        <v>7173</v>
      </c>
      <c r="G45" s="49">
        <f t="array" ref="G45">MAX(IF(INSTOCK!$H$3:$H$6125=B45,INSTOCK!$K$3:$K$6125))</f>
        <v>0</v>
      </c>
      <c r="H45" s="50">
        <f t="array" ref="H45">SUM(IF(INSTOCK!$H$3:$H$6125=B45,INSTOCK!$I$3:$I$6125))</f>
        <v>0</v>
      </c>
      <c r="I45" s="50" t="str">
        <f>ARRAY_CONSTRAIN(ARRAYFORMULA(SUM(IF([3]!Table13[ID]=B45,[3]!Table13[QTY]))), 1, 1)</f>
        <v>#ERROR!</v>
      </c>
      <c r="J45" s="50" t="str">
        <f>TABLEITEM!$H$3:$H$2749-TABLEITEM!$I$3:$I$2749</f>
        <v>#ERROR!</v>
      </c>
    </row>
    <row r="46" ht="15.75" customHeight="1">
      <c r="A46" s="45"/>
      <c r="B46" s="10" t="s">
        <v>3518</v>
      </c>
      <c r="C46" s="26"/>
      <c r="D46" s="10" t="s">
        <v>7240</v>
      </c>
      <c r="E46" s="48" t="s">
        <v>7207</v>
      </c>
      <c r="F46" s="48" t="s">
        <v>7173</v>
      </c>
      <c r="G46" s="49">
        <f t="array" ref="G46">MAX(IF(INSTOCK!$H$3:$H$6125=B46,INSTOCK!$K$3:$K$6125))</f>
        <v>0.63</v>
      </c>
      <c r="H46" s="50">
        <f t="array" ref="H46">SUM(IF(INSTOCK!$H$3:$H$6125=B46,INSTOCK!$I$3:$I$6125))</f>
        <v>300</v>
      </c>
      <c r="I46" s="50" t="str">
        <f>ARRAY_CONSTRAIN(ARRAYFORMULA(SUM(IF([3]!Table13[ID]=B46,[3]!Table13[QTY]))), 1, 1)</f>
        <v>#ERROR!</v>
      </c>
      <c r="J46" s="50" t="str">
        <f>TABLEITEM!$H$3:$H$2749-TABLEITEM!$I$3:$I$2749</f>
        <v>#ERROR!</v>
      </c>
    </row>
    <row r="47" ht="15.75" customHeight="1">
      <c r="A47" s="45"/>
      <c r="B47" s="10" t="s">
        <v>3841</v>
      </c>
      <c r="C47" s="26"/>
      <c r="D47" s="10" t="s">
        <v>7241</v>
      </c>
      <c r="E47" s="48" t="s">
        <v>7207</v>
      </c>
      <c r="F47" s="48" t="s">
        <v>7173</v>
      </c>
      <c r="G47" s="49">
        <f t="array" ref="G47">MAX(IF(INSTOCK!$H$3:$H$6125=B47,INSTOCK!$K$3:$K$6125))</f>
        <v>0.25</v>
      </c>
      <c r="H47" s="50">
        <f t="array" ref="H47">SUM(IF(INSTOCK!$H$3:$H$6125=B47,INSTOCK!$I$3:$I$6125))</f>
        <v>3000</v>
      </c>
      <c r="I47" s="50" t="str">
        <f>ARRAY_CONSTRAIN(ARRAYFORMULA(SUM(IF([3]!Table13[ID]=B47,[3]!Table13[QTY]))), 1, 1)</f>
        <v>#ERROR!</v>
      </c>
      <c r="J47" s="50" t="str">
        <f>TABLEITEM!$H$3:$H$2749-TABLEITEM!$I$3:$I$2749</f>
        <v>#ERROR!</v>
      </c>
    </row>
    <row r="48" ht="15.75" customHeight="1">
      <c r="A48" s="45"/>
      <c r="B48" s="10" t="s">
        <v>1889</v>
      </c>
      <c r="C48" s="26"/>
      <c r="D48" s="10" t="s">
        <v>7242</v>
      </c>
      <c r="E48" s="48" t="s">
        <v>7207</v>
      </c>
      <c r="F48" s="48" t="s">
        <v>7173</v>
      </c>
      <c r="G48" s="49">
        <f t="array" ref="G48">MAX(IF(INSTOCK!$H$3:$H$6125=B48,INSTOCK!$K$3:$K$6125))</f>
        <v>0.13</v>
      </c>
      <c r="H48" s="50">
        <f t="array" ref="H48">SUM(IF(INSTOCK!$H$3:$H$6125=B48,INSTOCK!$I$3:$I$6125))</f>
        <v>500</v>
      </c>
      <c r="I48" s="50" t="str">
        <f>ARRAY_CONSTRAIN(ARRAYFORMULA(SUM(IF([3]!Table13[ID]=B48,[3]!Table13[QTY]))), 1, 1)</f>
        <v>#ERROR!</v>
      </c>
      <c r="J48" s="50" t="str">
        <f>TABLEITEM!$H$3:$H$2749-TABLEITEM!$I$3:$I$2749</f>
        <v>#ERROR!</v>
      </c>
    </row>
    <row r="49" ht="15.75" customHeight="1">
      <c r="A49" s="45"/>
      <c r="B49" s="10" t="s">
        <v>3382</v>
      </c>
      <c r="C49" s="26"/>
      <c r="D49" s="10" t="s">
        <v>7243</v>
      </c>
      <c r="E49" s="48" t="s">
        <v>7207</v>
      </c>
      <c r="F49" s="48" t="s">
        <v>7173</v>
      </c>
      <c r="G49" s="49">
        <f t="array" ref="G49">MAX(IF(INSTOCK!$H$3:$H$6125=B49,INSTOCK!$K$3:$K$6125))</f>
        <v>0.125</v>
      </c>
      <c r="H49" s="50">
        <f t="array" ref="H49">SUM(IF(INSTOCK!$H$3:$H$6125=B49,INSTOCK!$I$3:$I$6125))</f>
        <v>4000</v>
      </c>
      <c r="I49" s="50" t="str">
        <f>ARRAY_CONSTRAIN(ARRAYFORMULA(SUM(IF([3]!Table13[ID]=B49,[3]!Table13[QTY]))), 1, 1)</f>
        <v>#ERROR!</v>
      </c>
      <c r="J49" s="50" t="str">
        <f>TABLEITEM!$H$3:$H$2749-TABLEITEM!$I$3:$I$2749</f>
        <v>#ERROR!</v>
      </c>
    </row>
    <row r="50" ht="15.75" customHeight="1">
      <c r="A50" s="45"/>
      <c r="B50" s="10" t="s">
        <v>3709</v>
      </c>
      <c r="C50" s="26"/>
      <c r="D50" s="10" t="s">
        <v>7244</v>
      </c>
      <c r="E50" s="48" t="s">
        <v>7207</v>
      </c>
      <c r="F50" s="48" t="s">
        <v>7173</v>
      </c>
      <c r="G50" s="49">
        <f t="array" ref="G50">MAX(IF(INSTOCK!$H$3:$H$6125=B50,INSTOCK!$K$3:$K$6125))</f>
        <v>0.39</v>
      </c>
      <c r="H50" s="50">
        <f t="array" ref="H50">SUM(IF(INSTOCK!$H$3:$H$6125=B50,INSTOCK!$I$3:$I$6125))</f>
        <v>32000</v>
      </c>
      <c r="I50" s="50" t="str">
        <f>ARRAY_CONSTRAIN(ARRAYFORMULA(SUM(IF([3]!Table13[ID]=B50,[3]!Table13[QTY]))), 1, 1)</f>
        <v>#ERROR!</v>
      </c>
      <c r="J50" s="50" t="str">
        <f>TABLEITEM!$H$3:$H$2749-TABLEITEM!$I$3:$I$2749</f>
        <v>#ERROR!</v>
      </c>
    </row>
    <row r="51" ht="15.75" customHeight="1">
      <c r="A51" s="45"/>
      <c r="B51" s="10" t="s">
        <v>3014</v>
      </c>
      <c r="C51" s="26"/>
      <c r="D51" s="10" t="s">
        <v>7245</v>
      </c>
      <c r="E51" s="48" t="s">
        <v>7207</v>
      </c>
      <c r="F51" s="48" t="s">
        <v>7173</v>
      </c>
      <c r="G51" s="49">
        <f t="array" ref="G51">MAX(IF(INSTOCK!$H$3:$H$6125=B51,INSTOCK!$K$3:$K$6125))</f>
        <v>0.1</v>
      </c>
      <c r="H51" s="50">
        <f t="array" ref="H51">SUM(IF(INSTOCK!$H$3:$H$6125=B51,INSTOCK!$I$3:$I$6125))</f>
        <v>215000</v>
      </c>
      <c r="I51" s="50" t="str">
        <f>ARRAY_CONSTRAIN(ARRAYFORMULA(SUM(IF([3]!Table13[ID]=B51,[3]!Table13[QTY]))), 1, 1)</f>
        <v>#ERROR!</v>
      </c>
      <c r="J51" s="50" t="str">
        <f>TABLEITEM!$H$3:$H$2749-TABLEITEM!$I$3:$I$2749</f>
        <v>#ERROR!</v>
      </c>
    </row>
    <row r="52" ht="15.75" customHeight="1">
      <c r="A52" s="45"/>
      <c r="B52" s="10" t="s">
        <v>3384</v>
      </c>
      <c r="C52" s="26"/>
      <c r="D52" s="10" t="s">
        <v>7246</v>
      </c>
      <c r="E52" s="48" t="s">
        <v>7207</v>
      </c>
      <c r="F52" s="48" t="s">
        <v>7173</v>
      </c>
      <c r="G52" s="49">
        <f t="array" ref="G52">MAX(IF(INSTOCK!$H$3:$H$6125=B52,INSTOCK!$K$3:$K$6125))</f>
        <v>0.6</v>
      </c>
      <c r="H52" s="50">
        <f t="array" ref="H52">SUM(IF(INSTOCK!$H$3:$H$6125=B52,INSTOCK!$I$3:$I$6125))</f>
        <v>13200</v>
      </c>
      <c r="I52" s="50" t="str">
        <f>ARRAY_CONSTRAIN(ARRAYFORMULA(SUM(IF([3]!Table13[ID]=B52,[3]!Table13[QTY]))), 1, 1)</f>
        <v>#ERROR!</v>
      </c>
      <c r="J52" s="50" t="str">
        <f>TABLEITEM!$H$3:$H$2749-TABLEITEM!$I$3:$I$2749</f>
        <v>#ERROR!</v>
      </c>
    </row>
    <row r="53" ht="15.75" customHeight="1">
      <c r="A53" s="45"/>
      <c r="B53" s="10" t="s">
        <v>7247</v>
      </c>
      <c r="C53" s="26"/>
      <c r="D53" s="10" t="s">
        <v>7248</v>
      </c>
      <c r="E53" s="10" t="s">
        <v>7249</v>
      </c>
      <c r="F53" s="48" t="s">
        <v>7173</v>
      </c>
      <c r="G53" s="49">
        <f t="array" ref="G53">MAX(IF(INSTOCK!$H$3:$H$6125=B53,INSTOCK!$K$3:$K$6125))</f>
        <v>0</v>
      </c>
      <c r="H53" s="50">
        <f t="array" ref="H53">SUM(IF(INSTOCK!$H$3:$H$6125=B53,INSTOCK!$I$3:$I$6125))</f>
        <v>0</v>
      </c>
      <c r="I53" s="50" t="str">
        <f>ARRAY_CONSTRAIN(ARRAYFORMULA(SUM(IF([3]!Table13[ID]=B53,[3]!Table13[QTY]))), 1, 1)</f>
        <v>#ERROR!</v>
      </c>
      <c r="J53" s="50" t="str">
        <f>TABLEITEM!$H$3:$H$2749-TABLEITEM!$I$3:$I$2749</f>
        <v>#ERROR!</v>
      </c>
    </row>
    <row r="54" ht="15.75" customHeight="1">
      <c r="A54" s="45"/>
      <c r="B54" s="10" t="s">
        <v>7250</v>
      </c>
      <c r="C54" s="26"/>
      <c r="D54" s="10" t="s">
        <v>7251</v>
      </c>
      <c r="E54" s="48" t="s">
        <v>7249</v>
      </c>
      <c r="F54" s="48" t="s">
        <v>7173</v>
      </c>
      <c r="G54" s="49">
        <f t="array" ref="G54">MAX(IF(INSTOCK!$H$3:$H$6125=B54,INSTOCK!$K$3:$K$6125))</f>
        <v>0</v>
      </c>
      <c r="H54" s="50">
        <f t="array" ref="H54">SUM(IF(INSTOCK!$H$3:$H$6125=B54,INSTOCK!$I$3:$I$6125))</f>
        <v>0</v>
      </c>
      <c r="I54" s="50" t="str">
        <f>ARRAY_CONSTRAIN(ARRAYFORMULA(SUM(IF([3]!Table13[ID]=B54,[3]!Table13[QTY]))), 1, 1)</f>
        <v>#ERROR!</v>
      </c>
      <c r="J54" s="50" t="str">
        <f>TABLEITEM!$H$3:$H$2749-TABLEITEM!$I$3:$I$2749</f>
        <v>#ERROR!</v>
      </c>
    </row>
    <row r="55" ht="15.75" customHeight="1">
      <c r="A55" s="45"/>
      <c r="B55" s="10" t="s">
        <v>7252</v>
      </c>
      <c r="C55" s="26"/>
      <c r="D55" s="10" t="s">
        <v>7253</v>
      </c>
      <c r="E55" s="48" t="s">
        <v>7249</v>
      </c>
      <c r="F55" s="48" t="s">
        <v>7173</v>
      </c>
      <c r="G55" s="49">
        <f t="array" ref="G55">MAX(IF(INSTOCK!$H$3:$H$6125=B55,INSTOCK!$K$3:$K$6125))</f>
        <v>0</v>
      </c>
      <c r="H55" s="50">
        <f t="array" ref="H55">SUM(IF(INSTOCK!$H$3:$H$6125=B55,INSTOCK!$I$3:$I$6125))</f>
        <v>0</v>
      </c>
      <c r="I55" s="50" t="str">
        <f>ARRAY_CONSTRAIN(ARRAYFORMULA(SUM(IF([3]!Table13[ID]=B55,[3]!Table13[QTY]))), 1, 1)</f>
        <v>#ERROR!</v>
      </c>
      <c r="J55" s="50" t="str">
        <f>TABLEITEM!$H$3:$H$2749-TABLEITEM!$I$3:$I$2749</f>
        <v>#ERROR!</v>
      </c>
    </row>
    <row r="56" ht="15.75" customHeight="1">
      <c r="A56" s="45"/>
      <c r="B56" s="10" t="s">
        <v>7254</v>
      </c>
      <c r="C56" s="26"/>
      <c r="D56" s="10" t="s">
        <v>7255</v>
      </c>
      <c r="E56" s="48" t="s">
        <v>7249</v>
      </c>
      <c r="F56" s="48" t="s">
        <v>7173</v>
      </c>
      <c r="G56" s="49">
        <f t="array" ref="G56">MAX(IF(INSTOCK!$H$3:$H$6125=B56,INSTOCK!$K$3:$K$6125))</f>
        <v>0</v>
      </c>
      <c r="H56" s="50">
        <f t="array" ref="H56">SUM(IF(INSTOCK!$H$3:$H$6125=B56,INSTOCK!$I$3:$I$6125))</f>
        <v>0</v>
      </c>
      <c r="I56" s="50" t="str">
        <f>ARRAY_CONSTRAIN(ARRAYFORMULA(SUM(IF([3]!Table13[ID]=B56,[3]!Table13[QTY]))), 1, 1)</f>
        <v>#ERROR!</v>
      </c>
      <c r="J56" s="50" t="str">
        <f>TABLEITEM!$H$3:$H$2749-TABLEITEM!$I$3:$I$2749</f>
        <v>#ERROR!</v>
      </c>
    </row>
    <row r="57" ht="15.75" customHeight="1">
      <c r="A57" s="45"/>
      <c r="B57" s="10" t="s">
        <v>2392</v>
      </c>
      <c r="C57" s="26"/>
      <c r="D57" s="10" t="s">
        <v>7256</v>
      </c>
      <c r="E57" s="10" t="s">
        <v>7249</v>
      </c>
      <c r="F57" s="48" t="s">
        <v>7173</v>
      </c>
      <c r="G57" s="49">
        <f t="array" ref="G57">MAX(IF(INSTOCK!$H$3:$H$6125=B57,INSTOCK!$K$3:$K$6125))</f>
        <v>1</v>
      </c>
      <c r="H57" s="50">
        <f t="array" ref="H57">SUM(IF(INSTOCK!$H$3:$H$6125=B57,INSTOCK!$I$3:$I$6125))</f>
        <v>2000</v>
      </c>
      <c r="I57" s="50" t="str">
        <f>ARRAY_CONSTRAIN(ARRAYFORMULA(SUM(IF([3]!Table13[ID]=B57,[3]!Table13[QTY]))), 1, 1)</f>
        <v>#ERROR!</v>
      </c>
      <c r="J57" s="50" t="str">
        <f>TABLEITEM!$H$3:$H$2749-TABLEITEM!$I$3:$I$2749</f>
        <v>#ERROR!</v>
      </c>
    </row>
    <row r="58" ht="15.75" customHeight="1">
      <c r="A58" s="45"/>
      <c r="B58" s="10" t="s">
        <v>2391</v>
      </c>
      <c r="C58" s="26"/>
      <c r="D58" s="10" t="s">
        <v>7257</v>
      </c>
      <c r="E58" s="10" t="s">
        <v>7249</v>
      </c>
      <c r="F58" s="48" t="s">
        <v>7173</v>
      </c>
      <c r="G58" s="49">
        <f t="array" ref="G58">MAX(IF(INSTOCK!$H$3:$H$6125=B58,INSTOCK!$K$3:$K$6125))</f>
        <v>0.84</v>
      </c>
      <c r="H58" s="50">
        <f t="array" ref="H58">SUM(IF(INSTOCK!$H$3:$H$6125=B58,INSTOCK!$I$3:$I$6125))</f>
        <v>2000</v>
      </c>
      <c r="I58" s="50" t="str">
        <f>ARRAY_CONSTRAIN(ARRAYFORMULA(SUM(IF([3]!Table13[ID]=B58,[3]!Table13[QTY]))), 1, 1)</f>
        <v>#ERROR!</v>
      </c>
      <c r="J58" s="50" t="str">
        <f>TABLEITEM!$H$3:$H$2749-TABLEITEM!$I$3:$I$2749</f>
        <v>#ERROR!</v>
      </c>
    </row>
    <row r="59" ht="15.75" customHeight="1">
      <c r="A59" s="45"/>
      <c r="B59" s="10" t="s">
        <v>6646</v>
      </c>
      <c r="C59" s="26"/>
      <c r="D59" s="10" t="s">
        <v>7258</v>
      </c>
      <c r="E59" s="10" t="s">
        <v>7249</v>
      </c>
      <c r="F59" s="48" t="s">
        <v>7173</v>
      </c>
      <c r="G59" s="49">
        <f t="array" ref="G59">MAX(IF(INSTOCK!$H$3:$H$6125=B59,INSTOCK!$K$3:$K$6125))</f>
        <v>0.6</v>
      </c>
      <c r="H59" s="50">
        <f t="array" ref="H59">SUM(IF(INSTOCK!$H$3:$H$6125=B59,INSTOCK!$I$3:$I$6125))</f>
        <v>1000</v>
      </c>
      <c r="I59" s="50" t="str">
        <f>ARRAY_CONSTRAIN(ARRAYFORMULA(SUM(IF([3]!Table13[ID]=B59,[3]!Table13[QTY]))), 1, 1)</f>
        <v>#ERROR!</v>
      </c>
      <c r="J59" s="50" t="str">
        <f>TABLEITEM!$H$3:$H$2749-TABLEITEM!$I$3:$I$2749</f>
        <v>#ERROR!</v>
      </c>
    </row>
    <row r="60" ht="15.75" customHeight="1">
      <c r="A60" s="45"/>
      <c r="B60" s="10" t="s">
        <v>609</v>
      </c>
      <c r="C60" s="26"/>
      <c r="D60" s="10" t="s">
        <v>7259</v>
      </c>
      <c r="E60" s="10" t="s">
        <v>605</v>
      </c>
      <c r="F60" s="48" t="s">
        <v>7173</v>
      </c>
      <c r="G60" s="49">
        <f>MAX(IF(INSTOCK!$H$3:$H$6125=B60,INSTOCK!$K$3:$K$6125))</f>
        <v>0</v>
      </c>
      <c r="H60" s="50">
        <f t="array" ref="H60">SUM(IF(INSTOCK!$H$3:$H$6125=B60,INSTOCK!$I$3:$I$6125))</f>
        <v>80000</v>
      </c>
      <c r="I60" s="50" t="str">
        <f>ARRAY_CONSTRAIN(ARRAYFORMULA(SUM(IF([3]!Table13[ID]=B60,[3]!Table13[QTY]))), 1, 1)</f>
        <v>#ERROR!</v>
      </c>
      <c r="J60" s="50" t="str">
        <f>TABLEITEM!$H$3:$H$2749-TABLEITEM!$I$3:$I$2749</f>
        <v>#ERROR!</v>
      </c>
    </row>
    <row r="61" ht="15.75" customHeight="1">
      <c r="A61" s="45"/>
      <c r="B61" s="10" t="s">
        <v>606</v>
      </c>
      <c r="C61" s="26"/>
      <c r="D61" s="10" t="s">
        <v>7260</v>
      </c>
      <c r="E61" s="10" t="s">
        <v>605</v>
      </c>
      <c r="F61" s="48" t="s">
        <v>7173</v>
      </c>
      <c r="G61" s="49">
        <f t="array" ref="G61">MAX(IF(INSTOCK!$H$3:$H$6125=B61,INSTOCK!$K$3:$K$6125))</f>
        <v>0.6</v>
      </c>
      <c r="H61" s="50">
        <f t="array" ref="H61">SUM(IF(INSTOCK!$H$3:$H$6125=B61,INSTOCK!$I$3:$I$6125))</f>
        <v>80000</v>
      </c>
      <c r="I61" s="50" t="str">
        <f>ARRAY_CONSTRAIN(ARRAYFORMULA(SUM(IF([3]!Table13[ID]=B61,[3]!Table13[QTY]))), 1, 1)</f>
        <v>#ERROR!</v>
      </c>
      <c r="J61" s="50" t="str">
        <f>TABLEITEM!$H$3:$H$2749-TABLEITEM!$I$3:$I$2749</f>
        <v>#ERROR!</v>
      </c>
    </row>
    <row r="62" ht="15.75" customHeight="1">
      <c r="A62" s="45"/>
      <c r="B62" s="10" t="s">
        <v>613</v>
      </c>
      <c r="C62" s="26"/>
      <c r="D62" s="10" t="s">
        <v>7261</v>
      </c>
      <c r="E62" s="10" t="s">
        <v>605</v>
      </c>
      <c r="F62" s="48" t="s">
        <v>7173</v>
      </c>
      <c r="G62" s="49">
        <f t="array" ref="G62">MAX(IF(INSTOCK!$H$3:$H$6125=B62,INSTOCK!$K$3:$K$6125))</f>
        <v>2.7</v>
      </c>
      <c r="H62" s="50">
        <f t="array" ref="H62">SUM(IF(INSTOCK!$H$3:$H$6125=B62,INSTOCK!$I$3:$I$6125))</f>
        <v>80000</v>
      </c>
      <c r="I62" s="50" t="str">
        <f>ARRAY_CONSTRAIN(ARRAYFORMULA(SUM(IF([3]!Table13[ID]=B62,[3]!Table13[QTY]))), 1, 1)</f>
        <v>#ERROR!</v>
      </c>
      <c r="J62" s="50" t="str">
        <f>TABLEITEM!$H$3:$H$2749-TABLEITEM!$I$3:$I$2749</f>
        <v>#ERROR!</v>
      </c>
    </row>
    <row r="63" ht="15.75" customHeight="1">
      <c r="A63" s="45"/>
      <c r="B63" s="10" t="s">
        <v>611</v>
      </c>
      <c r="C63" s="26"/>
      <c r="D63" s="10" t="s">
        <v>7262</v>
      </c>
      <c r="E63" s="10" t="s">
        <v>605</v>
      </c>
      <c r="F63" s="48" t="s">
        <v>7173</v>
      </c>
      <c r="G63" s="49">
        <f t="array" ref="G63">MAX(IF(INSTOCK!$H$3:$H$6125=B63,INSTOCK!$K$3:$K$6125))</f>
        <v>1.6</v>
      </c>
      <c r="H63" s="50">
        <f t="array" ref="H63">SUM(IF(INSTOCK!$H$3:$H$6125=B63,INSTOCK!$I$3:$I$6125))</f>
        <v>80000</v>
      </c>
      <c r="I63" s="50" t="str">
        <f>ARRAY_CONSTRAIN(ARRAYFORMULA(SUM(IF([3]!Table13[ID]=B63,[3]!Table13[QTY]))), 1, 1)</f>
        <v>#ERROR!</v>
      </c>
      <c r="J63" s="50" t="str">
        <f>TABLEITEM!$H$3:$H$2749-TABLEITEM!$I$3:$I$2749</f>
        <v>#ERROR!</v>
      </c>
    </row>
    <row r="64" ht="15.75" customHeight="1">
      <c r="A64" s="45"/>
      <c r="B64" s="10" t="s">
        <v>4967</v>
      </c>
      <c r="C64" s="26"/>
      <c r="D64" s="10" t="s">
        <v>7263</v>
      </c>
      <c r="E64" s="48" t="s">
        <v>7207</v>
      </c>
      <c r="F64" s="48" t="s">
        <v>7173</v>
      </c>
      <c r="G64" s="49">
        <f t="array" ref="G64">MAX(IF(INSTOCK!$H$3:$H$6125=B64,INSTOCK!$K$3:$K$6125))</f>
        <v>0.19</v>
      </c>
      <c r="H64" s="50">
        <f t="array" ref="H64">SUM(IF(INSTOCK!$H$3:$H$6125=B64,INSTOCK!$I$3:$I$6125))</f>
        <v>6000</v>
      </c>
      <c r="I64" s="50" t="str">
        <f>ARRAY_CONSTRAIN(ARRAYFORMULA(SUM(IF([3]!Table13[ID]=B64,[3]!Table13[QTY]))), 1, 1)</f>
        <v>#ERROR!</v>
      </c>
      <c r="J64" s="50" t="str">
        <f>TABLEITEM!$H$3:$H$2749-TABLEITEM!$I$3:$I$2749</f>
        <v>#ERROR!</v>
      </c>
    </row>
    <row r="65" ht="15.75" customHeight="1">
      <c r="A65" s="45"/>
      <c r="B65" s="10" t="s">
        <v>3151</v>
      </c>
      <c r="C65" s="26"/>
      <c r="D65" s="10" t="s">
        <v>7264</v>
      </c>
      <c r="E65" s="48"/>
      <c r="F65" s="48" t="s">
        <v>7173</v>
      </c>
      <c r="G65" s="49">
        <f t="array" ref="G65">MAX(IF(INSTOCK!$H$3:$H$6125=B65,INSTOCK!$K$3:$K$6125))</f>
        <v>3000</v>
      </c>
      <c r="H65" s="50">
        <f t="array" ref="H65">SUM(IF(INSTOCK!$H$3:$H$6125=B65,INSTOCK!$I$3:$I$6125))</f>
        <v>1</v>
      </c>
      <c r="I65" s="50" t="str">
        <f>ARRAY_CONSTRAIN(ARRAYFORMULA(SUM(IF([3]!Table13[ID]=B65,[3]!Table13[QTY]))), 1, 1)</f>
        <v>#ERROR!</v>
      </c>
      <c r="J65" s="50" t="str">
        <f>TABLEITEM!$H$3:$H$2749-TABLEITEM!$I$3:$I$2749</f>
        <v>#ERROR!</v>
      </c>
    </row>
    <row r="66" ht="15.75" customHeight="1">
      <c r="A66" s="45">
        <v>453.0</v>
      </c>
      <c r="B66" s="10" t="s">
        <v>338</v>
      </c>
      <c r="C66" s="26"/>
      <c r="D66" s="10" t="s">
        <v>7265</v>
      </c>
      <c r="E66" s="48" t="s">
        <v>1831</v>
      </c>
      <c r="F66" s="48" t="s">
        <v>7173</v>
      </c>
      <c r="G66" s="49">
        <f t="array" ref="G66">MAX(IF(INSTOCK!$H$3:$H$6125=B66,INSTOCK!$K$3:$K$6125))</f>
        <v>3.25</v>
      </c>
      <c r="H66" s="50">
        <f t="array" ref="H66">SUM(IF(INSTOCK!$H$3:$H$6125=B66,INSTOCK!$I$3:$I$6125))</f>
        <v>1000</v>
      </c>
      <c r="I66" s="50" t="str">
        <f>ARRAY_CONSTRAIN(ARRAYFORMULA(SUM(IF([3]!Table13[ID]=B66,[3]!Table13[QTY]))), 1, 1)</f>
        <v>#ERROR!</v>
      </c>
      <c r="J66" s="50" t="str">
        <f>TABLEITEM!$H$3:$H$2749-TABLEITEM!$I$3:$I$2749</f>
        <v>#ERROR!</v>
      </c>
    </row>
    <row r="67" ht="15.75" customHeight="1">
      <c r="A67" s="45">
        <v>459.0</v>
      </c>
      <c r="B67" s="10" t="s">
        <v>344</v>
      </c>
      <c r="C67" s="26"/>
      <c r="D67" s="10" t="s">
        <v>7266</v>
      </c>
      <c r="E67" s="48" t="s">
        <v>1831</v>
      </c>
      <c r="F67" s="48" t="s">
        <v>7173</v>
      </c>
      <c r="G67" s="49">
        <f t="array" ref="G67">MAX(IF(INSTOCK!$H$3:$H$6125=B67,INSTOCK!$K$3:$K$6125))</f>
        <v>0</v>
      </c>
      <c r="H67" s="50">
        <f t="array" ref="H67">SUM(IF(INSTOCK!$H$3:$H$6125=B67,INSTOCK!$I$3:$I$6125))</f>
        <v>900</v>
      </c>
      <c r="I67" s="50" t="str">
        <f>ARRAY_CONSTRAIN(ARRAYFORMULA(SUM(IF([3]!Table13[ID]=B67,[3]!Table13[QTY]))), 1, 1)</f>
        <v>#ERROR!</v>
      </c>
      <c r="J67" s="50" t="str">
        <f>TABLEITEM!$H$3:$H$2749-TABLEITEM!$I$3:$I$2749</f>
        <v>#ERROR!</v>
      </c>
    </row>
    <row r="68" ht="15.75" customHeight="1">
      <c r="A68" s="45">
        <v>454.0</v>
      </c>
      <c r="B68" s="10" t="s">
        <v>339</v>
      </c>
      <c r="C68" s="26"/>
      <c r="D68" s="10" t="s">
        <v>7267</v>
      </c>
      <c r="E68" s="48" t="s">
        <v>1831</v>
      </c>
      <c r="F68" s="48" t="s">
        <v>7173</v>
      </c>
      <c r="G68" s="49">
        <f t="array" ref="G68">MAX(IF(INSTOCK!$H$3:$H$6125=B68,INSTOCK!$K$3:$K$6125))</f>
        <v>2.5</v>
      </c>
      <c r="H68" s="50">
        <f t="array" ref="H68">SUM(IF(INSTOCK!$H$3:$H$6125=B68,INSTOCK!$I$3:$I$6125))</f>
        <v>1000</v>
      </c>
      <c r="I68" s="50" t="str">
        <f>ARRAY_CONSTRAIN(ARRAYFORMULA(SUM(IF([3]!Table13[ID]=B68,[3]!Table13[QTY]))), 1, 1)</f>
        <v>#ERROR!</v>
      </c>
      <c r="J68" s="50" t="str">
        <f>TABLEITEM!$H$3:$H$2749-TABLEITEM!$I$3:$I$2749</f>
        <v>#ERROR!</v>
      </c>
    </row>
    <row r="69" ht="15.75" customHeight="1">
      <c r="A69" s="45">
        <v>455.0</v>
      </c>
      <c r="B69" s="10" t="s">
        <v>340</v>
      </c>
      <c r="C69" s="26"/>
      <c r="D69" s="10" t="s">
        <v>7268</v>
      </c>
      <c r="E69" s="48" t="s">
        <v>1831</v>
      </c>
      <c r="F69" s="48" t="s">
        <v>7173</v>
      </c>
      <c r="G69" s="49">
        <f t="array" ref="G69">MAX(IF(INSTOCK!$H$3:$H$6125=B69,INSTOCK!$K$3:$K$6125))</f>
        <v>2.5</v>
      </c>
      <c r="H69" s="50">
        <f t="array" ref="H69">SUM(IF(INSTOCK!$H$3:$H$6125=B69,INSTOCK!$I$3:$I$6125))</f>
        <v>1145</v>
      </c>
      <c r="I69" s="50" t="str">
        <f>ARRAY_CONSTRAIN(ARRAYFORMULA(SUM(IF([3]!Table13[ID]=B69,[3]!Table13[QTY]))), 1, 1)</f>
        <v>#ERROR!</v>
      </c>
      <c r="J69" s="50" t="str">
        <f>TABLEITEM!$H$3:$H$2749-TABLEITEM!$I$3:$I$2749</f>
        <v>#ERROR!</v>
      </c>
    </row>
    <row r="70" ht="15.75" customHeight="1">
      <c r="A70" s="45">
        <v>456.0</v>
      </c>
      <c r="B70" s="10" t="s">
        <v>341</v>
      </c>
      <c r="C70" s="26"/>
      <c r="D70" s="10" t="s">
        <v>7269</v>
      </c>
      <c r="E70" s="48" t="s">
        <v>1831</v>
      </c>
      <c r="F70" s="48" t="s">
        <v>7173</v>
      </c>
      <c r="G70" s="49">
        <f t="array" ref="G70">MAX(IF(INSTOCK!$H$3:$H$6125=B70,INSTOCK!$K$3:$K$6125))</f>
        <v>2.1</v>
      </c>
      <c r="H70" s="50">
        <f t="array" ref="H70">SUM(IF(INSTOCK!$H$3:$H$6125=B70,INSTOCK!$I$3:$I$6125))</f>
        <v>249</v>
      </c>
      <c r="I70" s="50" t="str">
        <f>ARRAY_CONSTRAIN(ARRAYFORMULA(SUM(IF([3]!Table13[ID]=B70,[3]!Table13[QTY]))), 1, 1)</f>
        <v>#ERROR!</v>
      </c>
      <c r="J70" s="50" t="str">
        <f>TABLEITEM!$H$3:$H$2749-TABLEITEM!$I$3:$I$2749</f>
        <v>#ERROR!</v>
      </c>
    </row>
    <row r="71" ht="15.75" customHeight="1">
      <c r="A71" s="45">
        <v>465.0</v>
      </c>
      <c r="B71" s="10" t="s">
        <v>350</v>
      </c>
      <c r="C71" s="26"/>
      <c r="D71" s="10" t="s">
        <v>7270</v>
      </c>
      <c r="E71" s="48" t="s">
        <v>1831</v>
      </c>
      <c r="F71" s="48" t="s">
        <v>7173</v>
      </c>
      <c r="G71" s="49">
        <f t="array" ref="G71">MAX(IF(INSTOCK!$H$3:$H$6125=B71,INSTOCK!$K$3:$K$6125))</f>
        <v>6</v>
      </c>
      <c r="H71" s="50">
        <f t="array" ref="H71">SUM(IF(INSTOCK!$H$3:$H$6125=B71,INSTOCK!$I$3:$I$6125))</f>
        <v>1000</v>
      </c>
      <c r="I71" s="50" t="str">
        <f>ARRAY_CONSTRAIN(ARRAYFORMULA(SUM(IF([3]!Table13[ID]=B71,[3]!Table13[QTY]))), 1, 1)</f>
        <v>#ERROR!</v>
      </c>
      <c r="J71" s="50" t="str">
        <f>TABLEITEM!$H$3:$H$2749-TABLEITEM!$I$3:$I$2749</f>
        <v>#ERROR!</v>
      </c>
    </row>
    <row r="72" ht="15.75" customHeight="1">
      <c r="A72" s="45">
        <v>464.0</v>
      </c>
      <c r="B72" s="10" t="s">
        <v>349</v>
      </c>
      <c r="C72" s="26"/>
      <c r="D72" s="10" t="s">
        <v>7271</v>
      </c>
      <c r="E72" s="48" t="s">
        <v>1831</v>
      </c>
      <c r="F72" s="48" t="s">
        <v>7173</v>
      </c>
      <c r="G72" s="49">
        <f t="array" ref="G72">MAX(IF(INSTOCK!$H$3:$H$6125=B72,INSTOCK!$K$3:$K$6125))</f>
        <v>5.25</v>
      </c>
      <c r="H72" s="50">
        <f t="array" ref="H72">SUM(IF(INSTOCK!$H$3:$H$6125=B72,INSTOCK!$I$3:$I$6125))</f>
        <v>400</v>
      </c>
      <c r="I72" s="50" t="str">
        <f>ARRAY_CONSTRAIN(ARRAYFORMULA(SUM(IF([3]!Table13[ID]=B72,[3]!Table13[QTY]))), 1, 1)</f>
        <v>#ERROR!</v>
      </c>
      <c r="J72" s="50" t="str">
        <f>TABLEITEM!$H$3:$H$2749-TABLEITEM!$I$3:$I$2749</f>
        <v>#ERROR!</v>
      </c>
    </row>
    <row r="73" ht="15.75" customHeight="1">
      <c r="A73" s="45">
        <v>457.0</v>
      </c>
      <c r="B73" s="10" t="s">
        <v>342</v>
      </c>
      <c r="C73" s="26"/>
      <c r="D73" s="10" t="s">
        <v>7272</v>
      </c>
      <c r="E73" s="48" t="s">
        <v>1831</v>
      </c>
      <c r="F73" s="48" t="s">
        <v>7173</v>
      </c>
      <c r="G73" s="49">
        <f t="array" ref="G73">MAX(IF(INSTOCK!$H$3:$H$6125=B73,INSTOCK!$K$3:$K$6125))</f>
        <v>1.8</v>
      </c>
      <c r="H73" s="50">
        <f t="array" ref="H73">SUM(IF(INSTOCK!$H$3:$H$6125=B73,INSTOCK!$I$3:$I$6125))</f>
        <v>600</v>
      </c>
      <c r="I73" s="50" t="str">
        <f>ARRAY_CONSTRAIN(ARRAYFORMULA(SUM(IF([3]!Table13[ID]=B73,[3]!Table13[QTY]))), 1, 1)</f>
        <v>#ERROR!</v>
      </c>
      <c r="J73" s="50" t="str">
        <f>TABLEITEM!$H$3:$H$2749-TABLEITEM!$I$3:$I$2749</f>
        <v>#ERROR!</v>
      </c>
    </row>
    <row r="74" ht="15.75" customHeight="1">
      <c r="A74" s="45">
        <v>458.0</v>
      </c>
      <c r="B74" s="10" t="s">
        <v>343</v>
      </c>
      <c r="C74" s="26"/>
      <c r="D74" s="10" t="s">
        <v>7273</v>
      </c>
      <c r="E74" s="48" t="s">
        <v>1831</v>
      </c>
      <c r="F74" s="48" t="s">
        <v>7173</v>
      </c>
      <c r="G74" s="49">
        <f t="array" ref="G74">MAX(IF(INSTOCK!$H$3:$H$6125=B74,INSTOCK!$K$3:$K$6125))</f>
        <v>1.8</v>
      </c>
      <c r="H74" s="50">
        <f t="array" ref="H74">SUM(IF(INSTOCK!$H$3:$H$6125=B74,INSTOCK!$I$3:$I$6125))</f>
        <v>499</v>
      </c>
      <c r="I74" s="50" t="str">
        <f>ARRAY_CONSTRAIN(ARRAYFORMULA(SUM(IF([3]!Table13[ID]=B74,[3]!Table13[QTY]))), 1, 1)</f>
        <v>#ERROR!</v>
      </c>
      <c r="J74" s="50" t="str">
        <f>TABLEITEM!$H$3:$H$2749-TABLEITEM!$I$3:$I$2749</f>
        <v>#ERROR!</v>
      </c>
    </row>
    <row r="75" ht="15.75" customHeight="1">
      <c r="A75" s="45">
        <v>460.0</v>
      </c>
      <c r="B75" s="10" t="s">
        <v>345</v>
      </c>
      <c r="C75" s="26"/>
      <c r="D75" s="10" t="s">
        <v>7274</v>
      </c>
      <c r="E75" s="48" t="s">
        <v>1831</v>
      </c>
      <c r="F75" s="48" t="s">
        <v>7173</v>
      </c>
      <c r="G75" s="49">
        <f t="array" ref="G75">MAX(IF(INSTOCK!$H$3:$H$6125=B75,INSTOCK!$K$3:$K$6125))</f>
        <v>3.25</v>
      </c>
      <c r="H75" s="50">
        <f t="array" ref="H75">SUM(IF(INSTOCK!$H$3:$H$6125=B75,INSTOCK!$I$3:$I$6125))</f>
        <v>192</v>
      </c>
      <c r="I75" s="50" t="str">
        <f>ARRAY_CONSTRAIN(ARRAYFORMULA(SUM(IF([3]!Table13[ID]=B75,[3]!Table13[QTY]))), 1, 1)</f>
        <v>#ERROR!</v>
      </c>
      <c r="J75" s="50" t="str">
        <f>TABLEITEM!$H$3:$H$2749-TABLEITEM!$I$3:$I$2749</f>
        <v>#ERROR!</v>
      </c>
    </row>
    <row r="76" ht="15.75" customHeight="1">
      <c r="A76" s="45">
        <v>375.0</v>
      </c>
      <c r="B76" s="10" t="s">
        <v>260</v>
      </c>
      <c r="C76" s="26"/>
      <c r="D76" s="10" t="s">
        <v>7275</v>
      </c>
      <c r="E76" s="48" t="s">
        <v>1831</v>
      </c>
      <c r="F76" s="48" t="s">
        <v>7173</v>
      </c>
      <c r="G76" s="49">
        <f t="array" ref="G76">MAX(IF(INSTOCK!$H$3:$H$6125=B76,INSTOCK!$K$3:$K$6125))</f>
        <v>3</v>
      </c>
      <c r="H76" s="50">
        <f t="array" ref="H76">SUM(IF(INSTOCK!$H$3:$H$6125=B76,INSTOCK!$I$3:$I$6125))</f>
        <v>178</v>
      </c>
      <c r="I76" s="50" t="str">
        <f>ARRAY_CONSTRAIN(ARRAYFORMULA(SUM(IF([3]!Table13[ID]=B76,[3]!Table13[QTY]))), 1, 1)</f>
        <v>#ERROR!</v>
      </c>
      <c r="J76" s="50" t="str">
        <f>TABLEITEM!$H$3:$H$2749-TABLEITEM!$I$3:$I$2749</f>
        <v>#ERROR!</v>
      </c>
    </row>
    <row r="77" ht="15.75" customHeight="1">
      <c r="A77" s="45">
        <v>374.0</v>
      </c>
      <c r="B77" s="10" t="s">
        <v>259</v>
      </c>
      <c r="C77" s="26"/>
      <c r="D77" s="10" t="s">
        <v>7276</v>
      </c>
      <c r="E77" s="48" t="s">
        <v>1831</v>
      </c>
      <c r="F77" s="48" t="s">
        <v>7173</v>
      </c>
      <c r="G77" s="49">
        <f t="array" ref="G77">MAX(IF(INSTOCK!$H$3:$H$6125=B77,INSTOCK!$K$3:$K$6125))</f>
        <v>1.9</v>
      </c>
      <c r="H77" s="50">
        <f t="array" ref="H77">SUM(IF(INSTOCK!$H$3:$H$6125=B77,INSTOCK!$I$3:$I$6125))</f>
        <v>22</v>
      </c>
      <c r="I77" s="50" t="str">
        <f>ARRAY_CONSTRAIN(ARRAYFORMULA(SUM(IF([3]!Table13[ID]=B77,[3]!Table13[QTY]))), 1, 1)</f>
        <v>#ERROR!</v>
      </c>
      <c r="J77" s="50" t="str">
        <f>TABLEITEM!$H$3:$H$2749-TABLEITEM!$I$3:$I$2749</f>
        <v>#ERROR!</v>
      </c>
    </row>
    <row r="78" ht="15.75" customHeight="1">
      <c r="A78" s="45">
        <v>373.0</v>
      </c>
      <c r="B78" s="10" t="s">
        <v>258</v>
      </c>
      <c r="C78" s="26"/>
      <c r="D78" s="10" t="s">
        <v>7277</v>
      </c>
      <c r="E78" s="48" t="s">
        <v>1831</v>
      </c>
      <c r="F78" s="48" t="s">
        <v>7173</v>
      </c>
      <c r="G78" s="49">
        <f t="array" ref="G78">MAX(IF(INSTOCK!$H$3:$H$6125=B78,INSTOCK!$K$3:$K$6125))</f>
        <v>1.6</v>
      </c>
      <c r="H78" s="50">
        <f t="array" ref="H78">SUM(IF(INSTOCK!$H$3:$H$6125=B78,INSTOCK!$I$3:$I$6125))</f>
        <v>1001</v>
      </c>
      <c r="I78" s="50" t="str">
        <f>ARRAY_CONSTRAIN(ARRAYFORMULA(SUM(IF([3]!Table13[ID]=B78,[3]!Table13[QTY]))), 1, 1)</f>
        <v>#ERROR!</v>
      </c>
      <c r="J78" s="50" t="str">
        <f>TABLEITEM!$H$3:$H$2749-TABLEITEM!$I$3:$I$2749</f>
        <v>#ERROR!</v>
      </c>
    </row>
    <row r="79" ht="15.75" customHeight="1">
      <c r="A79" s="45">
        <v>371.0</v>
      </c>
      <c r="B79" s="10" t="s">
        <v>256</v>
      </c>
      <c r="C79" s="26"/>
      <c r="D79" s="10" t="s">
        <v>7278</v>
      </c>
      <c r="E79" s="48" t="s">
        <v>1831</v>
      </c>
      <c r="F79" s="48" t="s">
        <v>7173</v>
      </c>
      <c r="G79" s="49">
        <f t="array" ref="G79">MAX(IF(INSTOCK!$H$3:$H$6125=B79,INSTOCK!$K$3:$K$6125))</f>
        <v>0.9</v>
      </c>
      <c r="H79" s="50">
        <f t="array" ref="H79">SUM(IF(INSTOCK!$H$3:$H$6125=B79,INSTOCK!$I$3:$I$6125))</f>
        <v>1200</v>
      </c>
      <c r="I79" s="50" t="str">
        <f>ARRAY_CONSTRAIN(ARRAYFORMULA(SUM(IF([3]!Table13[ID]=B79,[3]!Table13[QTY]))), 1, 1)</f>
        <v>#ERROR!</v>
      </c>
      <c r="J79" s="50" t="str">
        <f>TABLEITEM!$H$3:$H$2749-TABLEITEM!$I$3:$I$2749</f>
        <v>#ERROR!</v>
      </c>
    </row>
    <row r="80" ht="15.75" customHeight="1">
      <c r="A80" s="45">
        <v>388.0</v>
      </c>
      <c r="B80" s="10" t="s">
        <v>273</v>
      </c>
      <c r="C80" s="26"/>
      <c r="D80" s="10" t="s">
        <v>7279</v>
      </c>
      <c r="E80" s="48" t="s">
        <v>1831</v>
      </c>
      <c r="F80" s="48" t="s">
        <v>7173</v>
      </c>
      <c r="G80" s="49">
        <f t="array" ref="G80">MAX(IF(INSTOCK!$H$3:$H$6125=B80,INSTOCK!$K$3:$K$6125))</f>
        <v>2.25</v>
      </c>
      <c r="H80" s="50">
        <f t="array" ref="H80">SUM(IF(INSTOCK!$H$3:$H$6125=B80,INSTOCK!$I$3:$I$6125))</f>
        <v>2000</v>
      </c>
      <c r="I80" s="50" t="str">
        <f>ARRAY_CONSTRAIN(ARRAYFORMULA(SUM(IF([3]!Table13[ID]=B80,[3]!Table13[QTY]))), 1, 1)</f>
        <v>#ERROR!</v>
      </c>
      <c r="J80" s="50" t="str">
        <f>TABLEITEM!$H$3:$H$2749-TABLEITEM!$I$3:$I$2749</f>
        <v>#ERROR!</v>
      </c>
    </row>
    <row r="81" ht="15.75" customHeight="1">
      <c r="A81" s="45">
        <v>370.0</v>
      </c>
      <c r="B81" s="10" t="s">
        <v>255</v>
      </c>
      <c r="C81" s="26"/>
      <c r="D81" s="10" t="s">
        <v>7280</v>
      </c>
      <c r="E81" s="48" t="s">
        <v>1831</v>
      </c>
      <c r="F81" s="48" t="s">
        <v>7173</v>
      </c>
      <c r="G81" s="49">
        <f t="array" ref="G81">MAX(IF(INSTOCK!$H$3:$H$6125=B81,INSTOCK!$K$3:$K$6125))</f>
        <v>1.5</v>
      </c>
      <c r="H81" s="50">
        <f t="array" ref="H81">SUM(IF(INSTOCK!$H$3:$H$6125=B81,INSTOCK!$I$3:$I$6125))</f>
        <v>1200</v>
      </c>
      <c r="I81" s="50" t="str">
        <f>ARRAY_CONSTRAIN(ARRAYFORMULA(SUM(IF([3]!Table13[ID]=B81,[3]!Table13[QTY]))), 1, 1)</f>
        <v>#ERROR!</v>
      </c>
      <c r="J81" s="50" t="str">
        <f>TABLEITEM!$H$3:$H$2749-TABLEITEM!$I$3:$I$2749</f>
        <v>#ERROR!</v>
      </c>
    </row>
    <row r="82" ht="15.75" customHeight="1">
      <c r="A82" s="45">
        <v>387.0</v>
      </c>
      <c r="B82" s="10" t="s">
        <v>272</v>
      </c>
      <c r="C82" s="26"/>
      <c r="D82" s="10" t="s">
        <v>7281</v>
      </c>
      <c r="E82" s="48" t="s">
        <v>1831</v>
      </c>
      <c r="F82" s="48" t="s">
        <v>7173</v>
      </c>
      <c r="G82" s="49">
        <f t="array" ref="G82">MAX(IF(INSTOCK!$H$3:$H$6125=B82,INSTOCK!$K$3:$K$6125))</f>
        <v>1.5</v>
      </c>
      <c r="H82" s="50">
        <f t="array" ref="H82">SUM(IF(INSTOCK!$H$3:$H$6125=B82,INSTOCK!$I$3:$I$6125))</f>
        <v>1185</v>
      </c>
      <c r="I82" s="50" t="str">
        <f>ARRAY_CONSTRAIN(ARRAYFORMULA(SUM(IF([3]!Table13[ID]=B82,[3]!Table13[QTY]))), 1, 1)</f>
        <v>#ERROR!</v>
      </c>
      <c r="J82" s="50" t="str">
        <f>TABLEITEM!$H$3:$H$2749-TABLEITEM!$I$3:$I$2749</f>
        <v>#ERROR!</v>
      </c>
    </row>
    <row r="83" ht="15.75" customHeight="1">
      <c r="A83" s="45">
        <v>369.0</v>
      </c>
      <c r="B83" s="10" t="s">
        <v>254</v>
      </c>
      <c r="C83" s="26"/>
      <c r="D83" s="10" t="s">
        <v>7282</v>
      </c>
      <c r="E83" s="48" t="s">
        <v>1831</v>
      </c>
      <c r="F83" s="48" t="s">
        <v>7173</v>
      </c>
      <c r="G83" s="49">
        <f t="array" ref="G83">MAX(IF(INSTOCK!$H$3:$H$6125=B83,INSTOCK!$K$3:$K$6125))</f>
        <v>1.5</v>
      </c>
      <c r="H83" s="50">
        <f t="array" ref="H83">SUM(IF(INSTOCK!$H$3:$H$6125=B83,INSTOCK!$I$3:$I$6125))</f>
        <v>3090</v>
      </c>
      <c r="I83" s="50" t="str">
        <f>ARRAY_CONSTRAIN(ARRAYFORMULA(SUM(IF([3]!Table13[ID]=B83,[3]!Table13[QTY]))), 1, 1)</f>
        <v>#ERROR!</v>
      </c>
      <c r="J83" s="50" t="str">
        <f>TABLEITEM!$H$3:$H$2749-TABLEITEM!$I$3:$I$2749</f>
        <v>#ERROR!</v>
      </c>
    </row>
    <row r="84" ht="15.75" customHeight="1">
      <c r="A84" s="45">
        <v>368.0</v>
      </c>
      <c r="B84" s="10" t="s">
        <v>253</v>
      </c>
      <c r="C84" s="26"/>
      <c r="D84" s="10" t="s">
        <v>7283</v>
      </c>
      <c r="E84" s="48" t="s">
        <v>1831</v>
      </c>
      <c r="F84" s="48" t="s">
        <v>7173</v>
      </c>
      <c r="G84" s="49">
        <f t="array" ref="G84">MAX(IF(INSTOCK!$H$3:$H$6125=B84,INSTOCK!$K$3:$K$6125))</f>
        <v>1.84</v>
      </c>
      <c r="H84" s="50">
        <f t="array" ref="H84">SUM(IF(INSTOCK!$H$3:$H$6125=B84,INSTOCK!$I$3:$I$6125))</f>
        <v>38</v>
      </c>
      <c r="I84" s="50" t="str">
        <f>ARRAY_CONSTRAIN(ARRAYFORMULA(SUM(IF([3]!Table13[ID]=B84,[3]!Table13[QTY]))), 1, 1)</f>
        <v>#ERROR!</v>
      </c>
      <c r="J84" s="50" t="str">
        <f>TABLEITEM!$H$3:$H$2749-TABLEITEM!$I$3:$I$2749</f>
        <v>#ERROR!</v>
      </c>
    </row>
    <row r="85" ht="15.75" customHeight="1">
      <c r="A85" s="45">
        <v>367.0</v>
      </c>
      <c r="B85" s="10" t="s">
        <v>252</v>
      </c>
      <c r="C85" s="26"/>
      <c r="D85" s="10" t="s">
        <v>7284</v>
      </c>
      <c r="E85" s="48" t="s">
        <v>1831</v>
      </c>
      <c r="F85" s="48" t="s">
        <v>7173</v>
      </c>
      <c r="G85" s="49">
        <f t="array" ref="G85">MAX(IF(INSTOCK!$H$3:$H$6125=B85,INSTOCK!$K$3:$K$6125))</f>
        <v>1.84</v>
      </c>
      <c r="H85" s="50">
        <f t="array" ref="H85">SUM(IF(INSTOCK!$H$3:$H$6125=B85,INSTOCK!$I$3:$I$6125))</f>
        <v>0</v>
      </c>
      <c r="I85" s="50" t="str">
        <f>ARRAY_CONSTRAIN(ARRAYFORMULA(SUM(IF([3]!Table13[ID]=B85,[3]!Table13[QTY]))), 1, 1)</f>
        <v>#ERROR!</v>
      </c>
      <c r="J85" s="50" t="str">
        <f>TABLEITEM!$H$3:$H$2749-TABLEITEM!$I$3:$I$2749</f>
        <v>#ERROR!</v>
      </c>
    </row>
    <row r="86" ht="15.75" customHeight="1">
      <c r="A86" s="45">
        <v>366.0</v>
      </c>
      <c r="B86" s="10" t="s">
        <v>251</v>
      </c>
      <c r="C86" s="26"/>
      <c r="D86" s="10" t="s">
        <v>7285</v>
      </c>
      <c r="E86" s="48" t="s">
        <v>1831</v>
      </c>
      <c r="F86" s="48" t="s">
        <v>7173</v>
      </c>
      <c r="G86" s="49">
        <f t="array" ref="G86">MAX(IF(INSTOCK!$H$3:$H$6125=B86,INSTOCK!$K$3:$K$6125))</f>
        <v>1.5</v>
      </c>
      <c r="H86" s="50">
        <f t="array" ref="H86">SUM(IF(INSTOCK!$H$3:$H$6125=B86,INSTOCK!$I$3:$I$6125))</f>
        <v>4417</v>
      </c>
      <c r="I86" s="50" t="str">
        <f>ARRAY_CONSTRAIN(ARRAYFORMULA(SUM(IF([3]!Table13[ID]=B86,[3]!Table13[QTY]))), 1, 1)</f>
        <v>#ERROR!</v>
      </c>
      <c r="J86" s="50" t="str">
        <f>TABLEITEM!$H$3:$H$2749-TABLEITEM!$I$3:$I$2749</f>
        <v>#ERROR!</v>
      </c>
    </row>
    <row r="87" ht="15.75" customHeight="1">
      <c r="A87" s="45">
        <v>365.0</v>
      </c>
      <c r="B87" s="10" t="s">
        <v>250</v>
      </c>
      <c r="C87" s="26"/>
      <c r="D87" s="10" t="s">
        <v>7286</v>
      </c>
      <c r="E87" s="48" t="s">
        <v>7287</v>
      </c>
      <c r="F87" s="48" t="s">
        <v>7173</v>
      </c>
      <c r="G87" s="49">
        <f t="array" ref="G87">MAX(IF(INSTOCK!$H$3:$H$6125=B87,INSTOCK!$K$3:$K$6125))</f>
        <v>1.56</v>
      </c>
      <c r="H87" s="50">
        <f t="array" ref="H87">SUM(IF(INSTOCK!$H$3:$H$6125=B87,INSTOCK!$I$3:$I$6125))</f>
        <v>2100</v>
      </c>
      <c r="I87" s="50" t="str">
        <f>ARRAY_CONSTRAIN(ARRAYFORMULA(SUM(IF([3]!Table13[ID]=B87,[3]!Table13[QTY]))), 1, 1)</f>
        <v>#ERROR!</v>
      </c>
      <c r="J87" s="50" t="str">
        <f>TABLEITEM!$H$3:$H$2749-TABLEITEM!$I$3:$I$2749</f>
        <v>#ERROR!</v>
      </c>
    </row>
    <row r="88" ht="15.75" customHeight="1">
      <c r="A88" s="45">
        <v>364.0</v>
      </c>
      <c r="B88" s="10" t="s">
        <v>249</v>
      </c>
      <c r="C88" s="26"/>
      <c r="D88" s="10" t="s">
        <v>7288</v>
      </c>
      <c r="E88" s="48" t="s">
        <v>7287</v>
      </c>
      <c r="F88" s="48" t="s">
        <v>7173</v>
      </c>
      <c r="G88" s="49">
        <f t="array" ref="G88">MAX(IF(INSTOCK!$H$3:$H$6125=B88,INSTOCK!$K$3:$K$6125))</f>
        <v>1.56</v>
      </c>
      <c r="H88" s="50">
        <f t="array" ref="H88">SUM(IF(INSTOCK!$H$3:$H$6125=B88,INSTOCK!$I$3:$I$6125))</f>
        <v>6100</v>
      </c>
      <c r="I88" s="50" t="str">
        <f>ARRAY_CONSTRAIN(ARRAYFORMULA(SUM(IF([3]!Table13[ID]=B88,[3]!Table13[QTY]))), 1, 1)</f>
        <v>#ERROR!</v>
      </c>
      <c r="J88" s="50" t="str">
        <f>TABLEITEM!$H$3:$H$2749-TABLEITEM!$I$3:$I$2749</f>
        <v>#ERROR!</v>
      </c>
    </row>
    <row r="89" ht="15.75" customHeight="1">
      <c r="A89" s="45">
        <v>363.0</v>
      </c>
      <c r="B89" s="10" t="s">
        <v>248</v>
      </c>
      <c r="C89" s="26"/>
      <c r="D89" s="10" t="s">
        <v>7289</v>
      </c>
      <c r="E89" s="48" t="s">
        <v>1831</v>
      </c>
      <c r="F89" s="48" t="s">
        <v>7173</v>
      </c>
      <c r="G89" s="49">
        <f t="array" ref="G89">MAX(IF(INSTOCK!$H$3:$H$6125=B89,INSTOCK!$K$3:$K$6125))</f>
        <v>0.87</v>
      </c>
      <c r="H89" s="50">
        <f t="array" ref="H89">SUM(IF(INSTOCK!$H$3:$H$6125=B89,INSTOCK!$I$3:$I$6125))</f>
        <v>18700</v>
      </c>
      <c r="I89" s="50" t="str">
        <f>ARRAY_CONSTRAIN(ARRAYFORMULA(SUM(IF([3]!Table13[ID]=B89,[3]!Table13[QTY]))), 1, 1)</f>
        <v>#ERROR!</v>
      </c>
      <c r="J89" s="50" t="str">
        <f>TABLEITEM!$H$3:$H$2749-TABLEITEM!$I$3:$I$2749</f>
        <v>#ERROR!</v>
      </c>
    </row>
    <row r="90" ht="15.75" customHeight="1">
      <c r="A90" s="45">
        <v>362.0</v>
      </c>
      <c r="B90" s="10" t="s">
        <v>247</v>
      </c>
      <c r="C90" s="26"/>
      <c r="D90" s="10" t="s">
        <v>7290</v>
      </c>
      <c r="E90" s="48" t="s">
        <v>1831</v>
      </c>
      <c r="F90" s="48" t="s">
        <v>7173</v>
      </c>
      <c r="G90" s="49">
        <f t="array" ref="G90">MAX(IF(INSTOCK!$H$3:$H$6125=B90,INSTOCK!$K$3:$K$6125))</f>
        <v>0.9</v>
      </c>
      <c r="H90" s="50">
        <f t="array" ref="H90">SUM(IF(INSTOCK!$H$3:$H$6125=B90,INSTOCK!$I$3:$I$6125))</f>
        <v>4300</v>
      </c>
      <c r="I90" s="50" t="str">
        <f>ARRAY_CONSTRAIN(ARRAYFORMULA(SUM(IF([3]!Table13[ID]=B90,[3]!Table13[QTY]))), 1, 1)</f>
        <v>#ERROR!</v>
      </c>
      <c r="J90" s="50" t="str">
        <f>TABLEITEM!$H$3:$H$2749-TABLEITEM!$I$3:$I$2749</f>
        <v>#ERROR!</v>
      </c>
    </row>
    <row r="91" ht="15.75" customHeight="1">
      <c r="A91" s="45">
        <v>360.0</v>
      </c>
      <c r="B91" s="10" t="s">
        <v>245</v>
      </c>
      <c r="C91" s="26"/>
      <c r="D91" s="10" t="s">
        <v>7291</v>
      </c>
      <c r="E91" s="48" t="s">
        <v>1831</v>
      </c>
      <c r="F91" s="48" t="s">
        <v>7173</v>
      </c>
      <c r="G91" s="49">
        <f t="array" ref="G91">MAX(IF(INSTOCK!$H$3:$H$6125=B91,INSTOCK!$K$3:$K$6125))</f>
        <v>0.9</v>
      </c>
      <c r="H91" s="50">
        <f t="array" ref="H91">SUM(IF(INSTOCK!$H$3:$H$6125=B91,INSTOCK!$I$3:$I$6125))</f>
        <v>88800</v>
      </c>
      <c r="I91" s="50" t="str">
        <f>ARRAY_CONSTRAIN(ARRAYFORMULA(SUM(IF([3]!Table13[ID]=B91,[3]!Table13[QTY]))), 1, 1)</f>
        <v>#ERROR!</v>
      </c>
      <c r="J91" s="50" t="str">
        <f>TABLEITEM!$H$3:$H$2749-TABLEITEM!$I$3:$I$2749</f>
        <v>#ERROR!</v>
      </c>
    </row>
    <row r="92" ht="15.75" customHeight="1">
      <c r="A92" s="45">
        <v>361.0</v>
      </c>
      <c r="B92" s="10" t="s">
        <v>246</v>
      </c>
      <c r="C92" s="26"/>
      <c r="D92" s="10" t="s">
        <v>7292</v>
      </c>
      <c r="E92" s="48" t="s">
        <v>7287</v>
      </c>
      <c r="F92" s="48" t="s">
        <v>7173</v>
      </c>
      <c r="G92" s="49">
        <f t="array" ref="G92">MAX(IF(INSTOCK!$H$3:$H$6125=B92,INSTOCK!$K$3:$K$6125))</f>
        <v>0.87</v>
      </c>
      <c r="H92" s="50">
        <f t="array" ref="H92">SUM(IF(INSTOCK!$H$3:$H$6125=B92,INSTOCK!$I$3:$I$6125))</f>
        <v>3600</v>
      </c>
      <c r="I92" s="50" t="str">
        <f>ARRAY_CONSTRAIN(ARRAYFORMULA(SUM(IF([3]!Table13[ID]=B92,[3]!Table13[QTY]))), 1, 1)</f>
        <v>#ERROR!</v>
      </c>
      <c r="J92" s="50" t="str">
        <f>TABLEITEM!$H$3:$H$2749-TABLEITEM!$I$3:$I$2749</f>
        <v>#ERROR!</v>
      </c>
    </row>
    <row r="93" ht="15.75" customHeight="1">
      <c r="A93" s="45">
        <v>359.0</v>
      </c>
      <c r="B93" s="10" t="s">
        <v>244</v>
      </c>
      <c r="C93" s="26"/>
      <c r="D93" s="10" t="s">
        <v>7293</v>
      </c>
      <c r="E93" s="48" t="s">
        <v>7294</v>
      </c>
      <c r="F93" s="48" t="s">
        <v>7173</v>
      </c>
      <c r="G93" s="49">
        <f t="array" ref="G93">MAX(IF(INSTOCK!$H$3:$H$6125=B93,INSTOCK!$K$3:$K$6125))</f>
        <v>1.56</v>
      </c>
      <c r="H93" s="50">
        <f t="array" ref="H93">SUM(IF(INSTOCK!$H$3:$H$6125=B93,INSTOCK!$I$3:$I$6125))</f>
        <v>4917</v>
      </c>
      <c r="I93" s="50" t="str">
        <f>ARRAY_CONSTRAIN(ARRAYFORMULA(SUM(IF([3]!Table13[ID]=B93,[3]!Table13[QTY]))), 1, 1)</f>
        <v>#ERROR!</v>
      </c>
      <c r="J93" s="50" t="str">
        <f>TABLEITEM!$H$3:$H$2749-TABLEITEM!$I$3:$I$2749</f>
        <v>#ERROR!</v>
      </c>
    </row>
    <row r="94" ht="15.75" customHeight="1">
      <c r="A94" s="45">
        <v>358.0</v>
      </c>
      <c r="B94" s="10" t="s">
        <v>243</v>
      </c>
      <c r="C94" s="26"/>
      <c r="D94" s="10" t="s">
        <v>7295</v>
      </c>
      <c r="E94" s="48" t="s">
        <v>7294</v>
      </c>
      <c r="F94" s="48" t="s">
        <v>7173</v>
      </c>
      <c r="G94" s="49">
        <f t="array" ref="G94">MAX(IF(INSTOCK!$H$3:$H$6125=B94,INSTOCK!$K$3:$K$6125))</f>
        <v>0</v>
      </c>
      <c r="H94" s="50">
        <f t="array" ref="H94">SUM(IF(INSTOCK!$H$3:$H$6125=B94,INSTOCK!$I$3:$I$6125))</f>
        <v>8200</v>
      </c>
      <c r="I94" s="50" t="str">
        <f>ARRAY_CONSTRAIN(ARRAYFORMULA(SUM(IF([3]!Table13[ID]=B94,[3]!Table13[QTY]))), 1, 1)</f>
        <v>#ERROR!</v>
      </c>
      <c r="J94" s="50" t="str">
        <f>TABLEITEM!$H$3:$H$2749-TABLEITEM!$I$3:$I$2749</f>
        <v>#ERROR!</v>
      </c>
    </row>
    <row r="95" ht="15.75" customHeight="1">
      <c r="A95" s="45">
        <v>357.0</v>
      </c>
      <c r="B95" s="10" t="s">
        <v>242</v>
      </c>
      <c r="C95" s="26"/>
      <c r="D95" s="10" t="s">
        <v>7296</v>
      </c>
      <c r="E95" s="48" t="s">
        <v>7294</v>
      </c>
      <c r="F95" s="48" t="s">
        <v>7173</v>
      </c>
      <c r="G95" s="49">
        <f t="array" ref="G95">MAX(IF(INSTOCK!$H$3:$H$6125=B95,INSTOCK!$K$3:$K$6125))</f>
        <v>0.55</v>
      </c>
      <c r="H95" s="50">
        <f t="array" ref="H95">SUM(IF(INSTOCK!$H$3:$H$6125=B95,INSTOCK!$I$3:$I$6125))</f>
        <v>14100</v>
      </c>
      <c r="I95" s="50" t="str">
        <f>ARRAY_CONSTRAIN(ARRAYFORMULA(SUM(IF([3]!Table13[ID]=B95,[3]!Table13[QTY]))), 1, 1)</f>
        <v>#ERROR!</v>
      </c>
      <c r="J95" s="50" t="str">
        <f>TABLEITEM!$H$3:$H$2749-TABLEITEM!$I$3:$I$2749</f>
        <v>#ERROR!</v>
      </c>
    </row>
    <row r="96" ht="15.75" customHeight="1">
      <c r="A96" s="45">
        <v>383.0</v>
      </c>
      <c r="B96" s="10" t="s">
        <v>268</v>
      </c>
      <c r="C96" s="26"/>
      <c r="D96" s="10" t="s">
        <v>7297</v>
      </c>
      <c r="E96" s="48" t="s">
        <v>1831</v>
      </c>
      <c r="F96" s="48" t="s">
        <v>7173</v>
      </c>
      <c r="G96" s="49">
        <f t="array" ref="G96">MAX(IF(INSTOCK!$H$3:$H$6125=B96,INSTOCK!$K$3:$K$6125))</f>
        <v>3</v>
      </c>
      <c r="H96" s="50">
        <f t="array" ref="H96">SUM(IF(INSTOCK!$H$3:$H$6125=B96,INSTOCK!$I$3:$I$6125))</f>
        <v>82</v>
      </c>
      <c r="I96" s="50" t="str">
        <f>ARRAY_CONSTRAIN(ARRAYFORMULA(SUM(IF([3]!Table13[ID]=B96,[3]!Table13[QTY]))), 1, 1)</f>
        <v>#ERROR!</v>
      </c>
      <c r="J96" s="50" t="str">
        <f>TABLEITEM!$H$3:$H$2749-TABLEITEM!$I$3:$I$2749</f>
        <v>#ERROR!</v>
      </c>
    </row>
    <row r="97" ht="15.75" customHeight="1">
      <c r="A97" s="45">
        <v>382.0</v>
      </c>
      <c r="B97" s="10" t="s">
        <v>267</v>
      </c>
      <c r="C97" s="26"/>
      <c r="D97" s="10" t="s">
        <v>7298</v>
      </c>
      <c r="E97" s="48" t="s">
        <v>1831</v>
      </c>
      <c r="F97" s="48" t="s">
        <v>7173</v>
      </c>
      <c r="G97" s="49">
        <f t="array" ref="G97">MAX(IF(INSTOCK!$H$3:$H$6125=B97,INSTOCK!$K$3:$K$6125))</f>
        <v>3</v>
      </c>
      <c r="H97" s="50">
        <f t="array" ref="H97">SUM(IF(INSTOCK!$H$3:$H$6125=B97,INSTOCK!$I$3:$I$6125))</f>
        <v>3500</v>
      </c>
      <c r="I97" s="50" t="str">
        <f>ARRAY_CONSTRAIN(ARRAYFORMULA(SUM(IF([3]!Table13[ID]=B97,[3]!Table13[QTY]))), 1, 1)</f>
        <v>#ERROR!</v>
      </c>
      <c r="J97" s="50" t="str">
        <f>TABLEITEM!$H$3:$H$2749-TABLEITEM!$I$3:$I$2749</f>
        <v>#ERROR!</v>
      </c>
    </row>
    <row r="98" ht="15.75" customHeight="1">
      <c r="A98" s="45">
        <v>381.0</v>
      </c>
      <c r="B98" s="10" t="s">
        <v>266</v>
      </c>
      <c r="C98" s="26"/>
      <c r="D98" s="10" t="s">
        <v>7299</v>
      </c>
      <c r="E98" s="48" t="s">
        <v>1831</v>
      </c>
      <c r="F98" s="48" t="s">
        <v>7173</v>
      </c>
      <c r="G98" s="49">
        <f t="array" ref="G98">MAX(IF(INSTOCK!$H$3:$H$6125=B98,INSTOCK!$K$3:$K$6125))</f>
        <v>2</v>
      </c>
      <c r="H98" s="50">
        <f t="array" ref="H98">SUM(IF(INSTOCK!$H$3:$H$6125=B98,INSTOCK!$I$3:$I$6125))</f>
        <v>352</v>
      </c>
      <c r="I98" s="50" t="str">
        <f>ARRAY_CONSTRAIN(ARRAYFORMULA(SUM(IF([3]!Table13[ID]=B98,[3]!Table13[QTY]))), 1, 1)</f>
        <v>#ERROR!</v>
      </c>
      <c r="J98" s="50" t="str">
        <f>TABLEITEM!$H$3:$H$2749-TABLEITEM!$I$3:$I$2749</f>
        <v>#ERROR!</v>
      </c>
    </row>
    <row r="99" ht="15.75" customHeight="1">
      <c r="A99" s="45">
        <v>384.0</v>
      </c>
      <c r="B99" s="10" t="s">
        <v>269</v>
      </c>
      <c r="C99" s="26"/>
      <c r="D99" s="10" t="s">
        <v>7300</v>
      </c>
      <c r="E99" s="48" t="s">
        <v>1831</v>
      </c>
      <c r="F99" s="48" t="s">
        <v>7173</v>
      </c>
      <c r="G99" s="49">
        <f t="array" ref="G99">MAX(IF(INSTOCK!$H$3:$H$6125=B99,INSTOCK!$K$3:$K$6125))</f>
        <v>4.5</v>
      </c>
      <c r="H99" s="50">
        <f t="array" ref="H99">SUM(IF(INSTOCK!$H$3:$H$6125=B99,INSTOCK!$I$3:$I$6125))</f>
        <v>24</v>
      </c>
      <c r="I99" s="50" t="str">
        <f>ARRAY_CONSTRAIN(ARRAYFORMULA(SUM(IF([3]!Table13[ID]=B99,[3]!Table13[QTY]))), 1, 1)</f>
        <v>#ERROR!</v>
      </c>
      <c r="J99" s="50" t="str">
        <f>TABLEITEM!$H$3:$H$2749-TABLEITEM!$I$3:$I$2749</f>
        <v>#ERROR!</v>
      </c>
    </row>
    <row r="100" ht="15.75" customHeight="1">
      <c r="A100" s="45"/>
      <c r="B100" s="10" t="s">
        <v>7301</v>
      </c>
      <c r="C100" s="26"/>
      <c r="D100" s="10" t="s">
        <v>7302</v>
      </c>
      <c r="E100" s="48" t="s">
        <v>7303</v>
      </c>
      <c r="F100" s="48" t="s">
        <v>7173</v>
      </c>
      <c r="G100" s="49">
        <f t="array" ref="G100">MAX(IF(INSTOCK!$H$3:$H$6125=B100,INSTOCK!$K$3:$K$6125))</f>
        <v>0</v>
      </c>
      <c r="H100" s="50">
        <f t="array" ref="H100">SUM(IF(INSTOCK!$H$3:$H$6125=B100,INSTOCK!$I$3:$I$6125))</f>
        <v>0</v>
      </c>
      <c r="I100" s="50" t="str">
        <f>ARRAY_CONSTRAIN(ARRAYFORMULA(SUM(IF([3]!Table13[ID]=B100,[3]!Table13[QTY]))), 1, 1)</f>
        <v>#ERROR!</v>
      </c>
      <c r="J100" s="50" t="str">
        <f>TABLEITEM!$H$3:$H$2749-TABLEITEM!$I$3:$I$2749</f>
        <v>#ERROR!</v>
      </c>
    </row>
    <row r="101" ht="15.75" customHeight="1">
      <c r="A101" s="45">
        <v>380.0</v>
      </c>
      <c r="B101" s="10" t="s">
        <v>265</v>
      </c>
      <c r="C101" s="26"/>
      <c r="D101" s="10" t="s">
        <v>7304</v>
      </c>
      <c r="E101" s="48" t="s">
        <v>1831</v>
      </c>
      <c r="F101" s="48" t="s">
        <v>7173</v>
      </c>
      <c r="G101" s="49">
        <f t="array" ref="G101">MAX(IF(INSTOCK!$H$3:$H$6125=B101,INSTOCK!$K$3:$K$6125))</f>
        <v>4.2</v>
      </c>
      <c r="H101" s="50">
        <f t="array" ref="H101">SUM(IF(INSTOCK!$H$3:$H$6125=B101,INSTOCK!$I$3:$I$6125))</f>
        <v>100</v>
      </c>
      <c r="I101" s="50" t="str">
        <f>ARRAY_CONSTRAIN(ARRAYFORMULA(SUM(IF([3]!Table13[ID]=B101,[3]!Table13[QTY]))), 1, 1)</f>
        <v>#ERROR!</v>
      </c>
      <c r="J101" s="50" t="str">
        <f>TABLEITEM!$H$3:$H$2749-TABLEITEM!$I$3:$I$2749</f>
        <v>#ERROR!</v>
      </c>
    </row>
    <row r="102" ht="15.75" customHeight="1">
      <c r="A102" s="45">
        <v>378.0</v>
      </c>
      <c r="B102" s="10" t="s">
        <v>263</v>
      </c>
      <c r="C102" s="26"/>
      <c r="D102" s="10" t="s">
        <v>7305</v>
      </c>
      <c r="E102" s="48" t="s">
        <v>1831</v>
      </c>
      <c r="F102" s="48" t="s">
        <v>7173</v>
      </c>
      <c r="G102" s="49">
        <f t="array" ref="G102">MAX(IF(INSTOCK!$H$3:$H$6125=B102,INSTOCK!$K$3:$K$6125))</f>
        <v>2</v>
      </c>
      <c r="H102" s="50">
        <f t="array" ref="H102">SUM(IF(INSTOCK!$H$3:$H$6125=B102,INSTOCK!$I$3:$I$6125))</f>
        <v>149</v>
      </c>
      <c r="I102" s="50" t="str">
        <f>ARRAY_CONSTRAIN(ARRAYFORMULA(SUM(IF([3]!Table13[ID]=B102,[3]!Table13[QTY]))), 1, 1)</f>
        <v>#ERROR!</v>
      </c>
      <c r="J102" s="50" t="str">
        <f>TABLEITEM!$H$3:$H$2749-TABLEITEM!$I$3:$I$2749</f>
        <v>#ERROR!</v>
      </c>
    </row>
    <row r="103" ht="15.75" customHeight="1">
      <c r="A103" s="45">
        <v>377.0</v>
      </c>
      <c r="B103" s="10" t="s">
        <v>262</v>
      </c>
      <c r="C103" s="26"/>
      <c r="D103" s="10" t="s">
        <v>7306</v>
      </c>
      <c r="E103" s="48" t="s">
        <v>1831</v>
      </c>
      <c r="F103" s="48" t="s">
        <v>7173</v>
      </c>
      <c r="G103" s="49">
        <f t="array" ref="G103">MAX(IF(INSTOCK!$H$3:$H$6125=B103,INSTOCK!$K$3:$K$6125))</f>
        <v>1.2</v>
      </c>
      <c r="H103" s="50">
        <f t="array" ref="H103">SUM(IF(INSTOCK!$H$3:$H$6125=B103,INSTOCK!$I$3:$I$6125))</f>
        <v>928</v>
      </c>
      <c r="I103" s="50" t="str">
        <f>ARRAY_CONSTRAIN(ARRAYFORMULA(SUM(IF([3]!Table13[ID]=B103,[3]!Table13[QTY]))), 1, 1)</f>
        <v>#ERROR!</v>
      </c>
      <c r="J103" s="50" t="str">
        <f>TABLEITEM!$H$3:$H$2749-TABLEITEM!$I$3:$I$2749</f>
        <v>#ERROR!</v>
      </c>
    </row>
    <row r="104" ht="15.75" customHeight="1">
      <c r="A104" s="45">
        <v>379.0</v>
      </c>
      <c r="B104" s="10" t="s">
        <v>264</v>
      </c>
      <c r="C104" s="26"/>
      <c r="D104" s="10" t="s">
        <v>7307</v>
      </c>
      <c r="E104" s="48" t="s">
        <v>1831</v>
      </c>
      <c r="F104" s="48" t="s">
        <v>7173</v>
      </c>
      <c r="G104" s="49">
        <f t="array" ref="G104">MAX(IF(INSTOCK!$H$3:$H$6125=B104,INSTOCK!$K$3:$K$6125))</f>
        <v>1.2</v>
      </c>
      <c r="H104" s="50">
        <f t="array" ref="H104">SUM(IF(INSTOCK!$H$3:$H$6125=B104,INSTOCK!$I$3:$I$6125))</f>
        <v>610</v>
      </c>
      <c r="I104" s="50" t="str">
        <f>ARRAY_CONSTRAIN(ARRAYFORMULA(SUM(IF([3]!Table13[ID]=B104,[3]!Table13[QTY]))), 1, 1)</f>
        <v>#ERROR!</v>
      </c>
      <c r="J104" s="50" t="str">
        <f>TABLEITEM!$H$3:$H$2749-TABLEITEM!$I$3:$I$2749</f>
        <v>#ERROR!</v>
      </c>
    </row>
    <row r="105" ht="15.75" customHeight="1">
      <c r="A105" s="45">
        <v>376.0</v>
      </c>
      <c r="B105" s="10" t="s">
        <v>261</v>
      </c>
      <c r="C105" s="26"/>
      <c r="D105" s="10" t="s">
        <v>7308</v>
      </c>
      <c r="E105" s="48" t="s">
        <v>1831</v>
      </c>
      <c r="F105" s="48" t="s">
        <v>7173</v>
      </c>
      <c r="G105" s="49">
        <f t="array" ref="G105">MAX(IF(INSTOCK!$H$3:$H$6125=B105,INSTOCK!$K$3:$K$6125))</f>
        <v>1.2</v>
      </c>
      <c r="H105" s="50">
        <f t="array" ref="H105">SUM(IF(INSTOCK!$H$3:$H$6125=B105,INSTOCK!$I$3:$I$6125))</f>
        <v>1600</v>
      </c>
      <c r="I105" s="50" t="str">
        <f>ARRAY_CONSTRAIN(ARRAYFORMULA(SUM(IF([3]!Table13[ID]=B105,[3]!Table13[QTY]))), 1, 1)</f>
        <v>#ERROR!</v>
      </c>
      <c r="J105" s="50" t="str">
        <f>TABLEITEM!$H$3:$H$2749-TABLEITEM!$I$3:$I$2749</f>
        <v>#ERROR!</v>
      </c>
    </row>
    <row r="106" ht="15.75" customHeight="1">
      <c r="A106" s="45">
        <v>420.0</v>
      </c>
      <c r="B106" s="10" t="s">
        <v>305</v>
      </c>
      <c r="C106" s="26"/>
      <c r="D106" s="10" t="s">
        <v>7309</v>
      </c>
      <c r="E106" s="48" t="s">
        <v>7287</v>
      </c>
      <c r="F106" s="48" t="s">
        <v>7173</v>
      </c>
      <c r="G106" s="49">
        <f t="array" ref="G106">MAX(IF(INSTOCK!$H$3:$H$6125=B106,INSTOCK!$K$3:$K$6125))</f>
        <v>9</v>
      </c>
      <c r="H106" s="50">
        <f t="array" ref="H106">SUM(IF(INSTOCK!$H$3:$H$6125=B106,INSTOCK!$I$3:$I$6125))</f>
        <v>381</v>
      </c>
      <c r="I106" s="50" t="str">
        <f>ARRAY_CONSTRAIN(ARRAYFORMULA(SUM(IF([3]!Table13[ID]=B106,[3]!Table13[QTY]))), 1, 1)</f>
        <v>#ERROR!</v>
      </c>
      <c r="J106" s="50" t="str">
        <f>TABLEITEM!$H$3:$H$2749-TABLEITEM!$I$3:$I$2749</f>
        <v>#ERROR!</v>
      </c>
    </row>
    <row r="107" ht="15.75" customHeight="1">
      <c r="A107" s="45">
        <v>419.0</v>
      </c>
      <c r="B107" s="10" t="s">
        <v>304</v>
      </c>
      <c r="C107" s="26"/>
      <c r="D107" s="10" t="s">
        <v>7310</v>
      </c>
      <c r="E107" s="48" t="s">
        <v>7287</v>
      </c>
      <c r="F107" s="48" t="s">
        <v>7173</v>
      </c>
      <c r="G107" s="49">
        <f t="array" ref="G107">MAX(IF(INSTOCK!$H$3:$H$6125=B107,INSTOCK!$K$3:$K$6125))</f>
        <v>9</v>
      </c>
      <c r="H107" s="50">
        <f t="array" ref="H107">SUM(IF(INSTOCK!$H$3:$H$6125=B107,INSTOCK!$I$3:$I$6125))</f>
        <v>452</v>
      </c>
      <c r="I107" s="50" t="str">
        <f>ARRAY_CONSTRAIN(ARRAYFORMULA(SUM(IF([3]!Table13[ID]=B107,[3]!Table13[QTY]))), 1, 1)</f>
        <v>#ERROR!</v>
      </c>
      <c r="J107" s="50" t="str">
        <f>TABLEITEM!$H$3:$H$2749-TABLEITEM!$I$3:$I$2749</f>
        <v>#ERROR!</v>
      </c>
    </row>
    <row r="108" ht="15.75" customHeight="1">
      <c r="A108" s="45">
        <v>421.0</v>
      </c>
      <c r="B108" s="10" t="s">
        <v>306</v>
      </c>
      <c r="C108" s="26"/>
      <c r="D108" s="10" t="s">
        <v>7311</v>
      </c>
      <c r="E108" s="48" t="s">
        <v>7287</v>
      </c>
      <c r="F108" s="48" t="s">
        <v>7173</v>
      </c>
      <c r="G108" s="49">
        <f t="array" ref="G108">MAX(IF(INSTOCK!$H$3:$H$6125=B108,INSTOCK!$K$3:$K$6125))</f>
        <v>9</v>
      </c>
      <c r="H108" s="50">
        <f t="array" ref="H108">SUM(IF(INSTOCK!$H$3:$H$6125=B108,INSTOCK!$I$3:$I$6125))</f>
        <v>210</v>
      </c>
      <c r="I108" s="50" t="str">
        <f>ARRAY_CONSTRAIN(ARRAYFORMULA(SUM(IF([3]!Table13[ID]=B108,[3]!Table13[QTY]))), 1, 1)</f>
        <v>#ERROR!</v>
      </c>
      <c r="J108" s="50" t="str">
        <f>TABLEITEM!$H$3:$H$2749-TABLEITEM!$I$3:$I$2749</f>
        <v>#ERROR!</v>
      </c>
    </row>
    <row r="109" ht="15.75" customHeight="1">
      <c r="A109" s="45">
        <v>418.0</v>
      </c>
      <c r="B109" s="10" t="s">
        <v>303</v>
      </c>
      <c r="C109" s="26"/>
      <c r="D109" s="10" t="s">
        <v>7312</v>
      </c>
      <c r="E109" s="48" t="s">
        <v>7287</v>
      </c>
      <c r="F109" s="48" t="s">
        <v>7173</v>
      </c>
      <c r="G109" s="49">
        <f t="array" ref="G109">MAX(IF(INSTOCK!$H$3:$H$6125=B109,INSTOCK!$K$3:$K$6125))</f>
        <v>6</v>
      </c>
      <c r="H109" s="50">
        <f t="array" ref="H109">SUM(IF(INSTOCK!$H$3:$H$6125=B109,INSTOCK!$I$3:$I$6125))</f>
        <v>409</v>
      </c>
      <c r="I109" s="50" t="str">
        <f>ARRAY_CONSTRAIN(ARRAYFORMULA(SUM(IF([3]!Table13[ID]=B109,[3]!Table13[QTY]))), 1, 1)</f>
        <v>#ERROR!</v>
      </c>
      <c r="J109" s="50" t="str">
        <f>TABLEITEM!$H$3:$H$2749-TABLEITEM!$I$3:$I$2749</f>
        <v>#ERROR!</v>
      </c>
    </row>
    <row r="110" ht="15.75" customHeight="1">
      <c r="A110" s="45">
        <v>413.0</v>
      </c>
      <c r="B110" s="10" t="s">
        <v>298</v>
      </c>
      <c r="C110" s="26"/>
      <c r="D110" s="10" t="s">
        <v>7313</v>
      </c>
      <c r="E110" s="48" t="s">
        <v>1831</v>
      </c>
      <c r="F110" s="48" t="s">
        <v>7173</v>
      </c>
      <c r="G110" s="49">
        <f t="array" ref="G110">MAX(IF(INSTOCK!$H$3:$H$6125=B110,INSTOCK!$K$3:$K$6125))</f>
        <v>7.5</v>
      </c>
      <c r="H110" s="50">
        <f t="array" ref="H110">SUM(IF(INSTOCK!$H$3:$H$6125=B110,INSTOCK!$I$3:$I$6125))</f>
        <v>500</v>
      </c>
      <c r="I110" s="50" t="str">
        <f>ARRAY_CONSTRAIN(ARRAYFORMULA(SUM(IF([3]!Table13[ID]=B110,[3]!Table13[QTY]))), 1, 1)</f>
        <v>#ERROR!</v>
      </c>
      <c r="J110" s="50" t="str">
        <f>TABLEITEM!$H$3:$H$2749-TABLEITEM!$I$3:$I$2749</f>
        <v>#ERROR!</v>
      </c>
    </row>
    <row r="111" ht="15.75" customHeight="1">
      <c r="A111" s="45">
        <v>404.0</v>
      </c>
      <c r="B111" s="10" t="s">
        <v>289</v>
      </c>
      <c r="C111" s="26"/>
      <c r="D111" s="10" t="s">
        <v>7314</v>
      </c>
      <c r="E111" s="48" t="s">
        <v>7287</v>
      </c>
      <c r="F111" s="48" t="s">
        <v>7173</v>
      </c>
      <c r="G111" s="49">
        <f t="array" ref="G111">MAX(IF(INSTOCK!$H$3:$H$6125=B111,INSTOCK!$K$3:$K$6125))</f>
        <v>2.19</v>
      </c>
      <c r="H111" s="50">
        <f t="array" ref="H111">SUM(IF(INSTOCK!$H$3:$H$6125=B111,INSTOCK!$I$3:$I$6125))</f>
        <v>1501</v>
      </c>
      <c r="I111" s="50" t="str">
        <f>ARRAY_CONSTRAIN(ARRAYFORMULA(SUM(IF([3]!Table13[ID]=B111,[3]!Table13[QTY]))), 1, 1)</f>
        <v>#ERROR!</v>
      </c>
      <c r="J111" s="50" t="str">
        <f>TABLEITEM!$H$3:$H$2749-TABLEITEM!$I$3:$I$2749</f>
        <v>#ERROR!</v>
      </c>
    </row>
    <row r="112" ht="15.75" customHeight="1">
      <c r="A112" s="45">
        <v>403.0</v>
      </c>
      <c r="B112" s="10" t="s">
        <v>288</v>
      </c>
      <c r="C112" s="26"/>
      <c r="D112" s="10" t="s">
        <v>7315</v>
      </c>
      <c r="E112" s="48" t="s">
        <v>1831</v>
      </c>
      <c r="F112" s="48" t="s">
        <v>7173</v>
      </c>
      <c r="G112" s="49">
        <f t="array" ref="G112">MAX(IF(INSTOCK!$H$3:$H$6125=B112,INSTOCK!$K$3:$K$6125))</f>
        <v>2.5</v>
      </c>
      <c r="H112" s="50">
        <f t="array" ref="H112">SUM(IF(INSTOCK!$H$3:$H$6125=B112,INSTOCK!$I$3:$I$6125))</f>
        <v>4610</v>
      </c>
      <c r="I112" s="50" t="str">
        <f>ARRAY_CONSTRAIN(ARRAYFORMULA(SUM(IF([3]!Table13[ID]=B112,[3]!Table13[QTY]))), 1, 1)</f>
        <v>#ERROR!</v>
      </c>
      <c r="J112" s="50" t="str">
        <f>TABLEITEM!$H$3:$H$2749-TABLEITEM!$I$3:$I$2749</f>
        <v>#ERROR!</v>
      </c>
    </row>
    <row r="113" ht="15.75" customHeight="1">
      <c r="A113" s="45">
        <v>427.0</v>
      </c>
      <c r="B113" s="10" t="s">
        <v>312</v>
      </c>
      <c r="C113" s="26"/>
      <c r="D113" s="10" t="s">
        <v>7316</v>
      </c>
      <c r="E113" s="48" t="s">
        <v>1831</v>
      </c>
      <c r="F113" s="48" t="s">
        <v>7173</v>
      </c>
      <c r="G113" s="49">
        <f t="array" ref="G113">MAX(IF(INSTOCK!$H$3:$H$6125=B113,INSTOCK!$K$3:$K$6125))</f>
        <v>18</v>
      </c>
      <c r="H113" s="50">
        <f t="array" ref="H113">SUM(IF(INSTOCK!$H$3:$H$6125=B113,INSTOCK!$I$3:$I$6125))</f>
        <v>632</v>
      </c>
      <c r="I113" s="50" t="str">
        <f>ARRAY_CONSTRAIN(ARRAYFORMULA(SUM(IF([3]!Table13[ID]=B113,[3]!Table13[QTY]))), 1, 1)</f>
        <v>#ERROR!</v>
      </c>
      <c r="J113" s="50" t="str">
        <f>TABLEITEM!$H$3:$H$2749-TABLEITEM!$I$3:$I$2749</f>
        <v>#ERROR!</v>
      </c>
    </row>
    <row r="114" ht="15.75" customHeight="1">
      <c r="A114" s="45">
        <v>426.0</v>
      </c>
      <c r="B114" s="10" t="s">
        <v>311</v>
      </c>
      <c r="C114" s="26"/>
      <c r="D114" s="10" t="s">
        <v>7317</v>
      </c>
      <c r="E114" s="48" t="s">
        <v>1831</v>
      </c>
      <c r="F114" s="48" t="s">
        <v>7173</v>
      </c>
      <c r="G114" s="49">
        <f t="array" ref="G114">MAX(IF(INSTOCK!$H$3:$H$6125=B114,INSTOCK!$K$3:$K$6125))</f>
        <v>18</v>
      </c>
      <c r="H114" s="50">
        <f t="array" ref="H114">SUM(IF(INSTOCK!$H$3:$H$6125=B114,INSTOCK!$I$3:$I$6125))</f>
        <v>148</v>
      </c>
      <c r="I114" s="50" t="str">
        <f>ARRAY_CONSTRAIN(ARRAYFORMULA(SUM(IF([3]!Table13[ID]=B114,[3]!Table13[QTY]))), 1, 1)</f>
        <v>#ERROR!</v>
      </c>
      <c r="J114" s="50" t="str">
        <f>TABLEITEM!$H$3:$H$2749-TABLEITEM!$I$3:$I$2749</f>
        <v>#ERROR!</v>
      </c>
    </row>
    <row r="115" ht="15.75" customHeight="1">
      <c r="A115" s="45">
        <v>429.0</v>
      </c>
      <c r="B115" s="10" t="s">
        <v>314</v>
      </c>
      <c r="C115" s="26"/>
      <c r="D115" s="10" t="s">
        <v>7318</v>
      </c>
      <c r="E115" s="48" t="s">
        <v>1831</v>
      </c>
      <c r="F115" s="48" t="s">
        <v>7173</v>
      </c>
      <c r="G115" s="49">
        <f t="array" ref="G115">MAX(IF(INSTOCK!$H$3:$H$6125=B115,INSTOCK!$K$3:$K$6125))</f>
        <v>18</v>
      </c>
      <c r="H115" s="50">
        <f t="array" ref="H115">SUM(IF(INSTOCK!$H$3:$H$6125=B115,INSTOCK!$I$3:$I$6125))</f>
        <v>137</v>
      </c>
      <c r="I115" s="50" t="str">
        <f>ARRAY_CONSTRAIN(ARRAYFORMULA(SUM(IF([3]!Table13[ID]=B115,[3]!Table13[QTY]))), 1, 1)</f>
        <v>#ERROR!</v>
      </c>
      <c r="J115" s="50" t="str">
        <f>TABLEITEM!$H$3:$H$2749-TABLEITEM!$I$3:$I$2749</f>
        <v>#ERROR!</v>
      </c>
    </row>
    <row r="116" ht="15.75" customHeight="1">
      <c r="A116" s="45">
        <v>428.0</v>
      </c>
      <c r="B116" s="10" t="s">
        <v>313</v>
      </c>
      <c r="C116" s="26"/>
      <c r="D116" s="10" t="s">
        <v>7319</v>
      </c>
      <c r="E116" s="48" t="s">
        <v>1831</v>
      </c>
      <c r="F116" s="48" t="s">
        <v>7173</v>
      </c>
      <c r="G116" s="49">
        <f t="array" ref="G116">MAX(IF(INSTOCK!$H$3:$H$6125=B116,INSTOCK!$K$3:$K$6125))</f>
        <v>18</v>
      </c>
      <c r="H116" s="50">
        <f t="array" ref="H116">SUM(IF(INSTOCK!$H$3:$H$6125=B116,INSTOCK!$I$3:$I$6125))</f>
        <v>154</v>
      </c>
      <c r="I116" s="50" t="str">
        <f>ARRAY_CONSTRAIN(ARRAYFORMULA(SUM(IF([3]!Table13[ID]=B116,[3]!Table13[QTY]))), 1, 1)</f>
        <v>#ERROR!</v>
      </c>
      <c r="J116" s="50" t="str">
        <f>TABLEITEM!$H$3:$H$2749-TABLEITEM!$I$3:$I$2749</f>
        <v>#ERROR!</v>
      </c>
    </row>
    <row r="117" ht="15.75" customHeight="1">
      <c r="A117" s="45">
        <v>423.0</v>
      </c>
      <c r="B117" s="10" t="s">
        <v>308</v>
      </c>
      <c r="C117" s="26"/>
      <c r="D117" s="10" t="s">
        <v>7320</v>
      </c>
      <c r="E117" s="48" t="s">
        <v>1831</v>
      </c>
      <c r="F117" s="48" t="s">
        <v>7173</v>
      </c>
      <c r="G117" s="49">
        <f t="array" ref="G117">MAX(IF(INSTOCK!$H$3:$H$6125=B117,INSTOCK!$K$3:$K$6125))</f>
        <v>13</v>
      </c>
      <c r="H117" s="50">
        <f t="array" ref="H117">SUM(IF(INSTOCK!$H$3:$H$6125=B117,INSTOCK!$I$3:$I$6125))</f>
        <v>353</v>
      </c>
      <c r="I117" s="50" t="str">
        <f>ARRAY_CONSTRAIN(ARRAYFORMULA(SUM(IF([3]!Table13[ID]=B117,[3]!Table13[QTY]))), 1, 1)</f>
        <v>#ERROR!</v>
      </c>
      <c r="J117" s="50" t="str">
        <f>TABLEITEM!$H$3:$H$2749-TABLEITEM!$I$3:$I$2749</f>
        <v>#ERROR!</v>
      </c>
    </row>
    <row r="118" ht="15.75" customHeight="1">
      <c r="A118" s="45">
        <v>422.0</v>
      </c>
      <c r="B118" s="10" t="s">
        <v>307</v>
      </c>
      <c r="C118" s="26"/>
      <c r="D118" s="10" t="s">
        <v>7321</v>
      </c>
      <c r="E118" s="48" t="s">
        <v>1831</v>
      </c>
      <c r="F118" s="48" t="s">
        <v>7173</v>
      </c>
      <c r="G118" s="49">
        <f t="array" ref="G118">MAX(IF(INSTOCK!$H$3:$H$6125=B118,INSTOCK!$K$3:$K$6125))</f>
        <v>13</v>
      </c>
      <c r="H118" s="50">
        <f t="array" ref="H118">SUM(IF(INSTOCK!$H$3:$H$6125=B118,INSTOCK!$I$3:$I$6125))</f>
        <v>172</v>
      </c>
      <c r="I118" s="50" t="str">
        <f>ARRAY_CONSTRAIN(ARRAYFORMULA(SUM(IF([3]!Table13[ID]=B118,[3]!Table13[QTY]))), 1, 1)</f>
        <v>#ERROR!</v>
      </c>
      <c r="J118" s="50" t="str">
        <f>TABLEITEM!$H$3:$H$2749-TABLEITEM!$I$3:$I$2749</f>
        <v>#ERROR!</v>
      </c>
    </row>
    <row r="119" ht="15.75" customHeight="1">
      <c r="A119" s="45">
        <v>425.0</v>
      </c>
      <c r="B119" s="10" t="s">
        <v>310</v>
      </c>
      <c r="C119" s="26"/>
      <c r="D119" s="10" t="s">
        <v>7322</v>
      </c>
      <c r="E119" s="48" t="s">
        <v>1831</v>
      </c>
      <c r="F119" s="48" t="s">
        <v>7173</v>
      </c>
      <c r="G119" s="49">
        <f t="array" ref="G119">MAX(IF(INSTOCK!$H$3:$H$6125=B119,INSTOCK!$K$3:$K$6125))</f>
        <v>13</v>
      </c>
      <c r="H119" s="50">
        <f t="array" ref="H119">SUM(IF(INSTOCK!$H$3:$H$6125=B119,INSTOCK!$I$3:$I$6125))</f>
        <v>66</v>
      </c>
      <c r="I119" s="50" t="str">
        <f>ARRAY_CONSTRAIN(ARRAYFORMULA(SUM(IF([3]!Table13[ID]=B119,[3]!Table13[QTY]))), 1, 1)</f>
        <v>#ERROR!</v>
      </c>
      <c r="J119" s="50" t="str">
        <f>TABLEITEM!$H$3:$H$2749-TABLEITEM!$I$3:$I$2749</f>
        <v>#ERROR!</v>
      </c>
    </row>
    <row r="120" ht="15.75" customHeight="1">
      <c r="A120" s="45">
        <v>424.0</v>
      </c>
      <c r="B120" s="10" t="s">
        <v>309</v>
      </c>
      <c r="C120" s="26"/>
      <c r="D120" s="10" t="s">
        <v>7323</v>
      </c>
      <c r="E120" s="48" t="s">
        <v>1831</v>
      </c>
      <c r="F120" s="48" t="s">
        <v>7173</v>
      </c>
      <c r="G120" s="49">
        <f t="array" ref="G120">MAX(IF(INSTOCK!$H$3:$H$6125=B120,INSTOCK!$K$3:$K$6125))</f>
        <v>13</v>
      </c>
      <c r="H120" s="50">
        <f t="array" ref="H120">SUM(IF(INSTOCK!$H$3:$H$6125=B120,INSTOCK!$I$3:$I$6125))</f>
        <v>191</v>
      </c>
      <c r="I120" s="50" t="str">
        <f>ARRAY_CONSTRAIN(ARRAYFORMULA(SUM(IF([3]!Table13[ID]=B120,[3]!Table13[QTY]))), 1, 1)</f>
        <v>#ERROR!</v>
      </c>
      <c r="J120" s="50" t="str">
        <f>TABLEITEM!$H$3:$H$2749-TABLEITEM!$I$3:$I$2749</f>
        <v>#ERROR!</v>
      </c>
    </row>
    <row r="121" ht="15.75" customHeight="1">
      <c r="A121" s="45">
        <v>433.0</v>
      </c>
      <c r="B121" s="10" t="s">
        <v>318</v>
      </c>
      <c r="C121" s="26"/>
      <c r="D121" s="10" t="s">
        <v>7324</v>
      </c>
      <c r="E121" s="48" t="s">
        <v>1831</v>
      </c>
      <c r="F121" s="48" t="s">
        <v>7173</v>
      </c>
      <c r="G121" s="49">
        <f t="array" ref="G121">MAX(IF(INSTOCK!$H$3:$H$6125=B121,INSTOCK!$K$3:$K$6125))</f>
        <v>32</v>
      </c>
      <c r="H121" s="50">
        <f t="array" ref="H121">SUM(IF(INSTOCK!$H$3:$H$6125=B121,INSTOCK!$I$3:$I$6125))</f>
        <v>220</v>
      </c>
      <c r="I121" s="50" t="str">
        <f>ARRAY_CONSTRAIN(ARRAYFORMULA(SUM(IF([3]!Table13[ID]=B121,[3]!Table13[QTY]))), 1, 1)</f>
        <v>#ERROR!</v>
      </c>
      <c r="J121" s="50" t="str">
        <f>TABLEITEM!$H$3:$H$2749-TABLEITEM!$I$3:$I$2749</f>
        <v>#ERROR!</v>
      </c>
    </row>
    <row r="122" ht="15.75" customHeight="1">
      <c r="A122" s="45">
        <v>436.0</v>
      </c>
      <c r="B122" s="10" t="s">
        <v>321</v>
      </c>
      <c r="C122" s="26"/>
      <c r="D122" s="10" t="s">
        <v>7325</v>
      </c>
      <c r="E122" s="48" t="s">
        <v>1831</v>
      </c>
      <c r="F122" s="48" t="s">
        <v>7173</v>
      </c>
      <c r="G122" s="49">
        <f t="array" ref="G122">MAX(IF(INSTOCK!$H$3:$H$6125=B122,INSTOCK!$K$3:$K$6125))</f>
        <v>32</v>
      </c>
      <c r="H122" s="50">
        <f t="array" ref="H122">SUM(IF(INSTOCK!$H$3:$H$6125=B122,INSTOCK!$I$3:$I$6125))</f>
        <v>43</v>
      </c>
      <c r="I122" s="50" t="str">
        <f>ARRAY_CONSTRAIN(ARRAYFORMULA(SUM(IF([3]!Table13[ID]=B122,[3]!Table13[QTY]))), 1, 1)</f>
        <v>#ERROR!</v>
      </c>
      <c r="J122" s="50" t="str">
        <f>TABLEITEM!$H$3:$H$2749-TABLEITEM!$I$3:$I$2749</f>
        <v>#ERROR!</v>
      </c>
    </row>
    <row r="123" ht="15.75" customHeight="1">
      <c r="A123" s="45">
        <v>435.0</v>
      </c>
      <c r="B123" s="10" t="s">
        <v>320</v>
      </c>
      <c r="C123" s="26"/>
      <c r="D123" s="10" t="s">
        <v>7326</v>
      </c>
      <c r="E123" s="48" t="s">
        <v>1831</v>
      </c>
      <c r="F123" s="48" t="s">
        <v>7173</v>
      </c>
      <c r="G123" s="49">
        <f t="array" ref="G123">MAX(IF(INSTOCK!$H$3:$H$6125=B123,INSTOCK!$K$3:$K$6125))</f>
        <v>32</v>
      </c>
      <c r="H123" s="50">
        <f t="array" ref="H123">SUM(IF(INSTOCK!$H$3:$H$6125=B123,INSTOCK!$I$3:$I$6125))</f>
        <v>170</v>
      </c>
      <c r="I123" s="50" t="str">
        <f>ARRAY_CONSTRAIN(ARRAYFORMULA(SUM(IF([3]!Table13[ID]=B123,[3]!Table13[QTY]))), 1, 1)</f>
        <v>#ERROR!</v>
      </c>
      <c r="J123" s="50" t="str">
        <f>TABLEITEM!$H$3:$H$2749-TABLEITEM!$I$3:$I$2749</f>
        <v>#ERROR!</v>
      </c>
    </row>
    <row r="124" ht="15.75" customHeight="1">
      <c r="A124" s="45">
        <v>434.0</v>
      </c>
      <c r="B124" s="10" t="s">
        <v>319</v>
      </c>
      <c r="C124" s="26"/>
      <c r="D124" s="10" t="s">
        <v>7327</v>
      </c>
      <c r="E124" s="48" t="s">
        <v>1831</v>
      </c>
      <c r="F124" s="48" t="s">
        <v>7173</v>
      </c>
      <c r="G124" s="49">
        <f t="array" ref="G124">MAX(IF(INSTOCK!$H$3:$H$6125=B124,INSTOCK!$K$3:$K$6125))</f>
        <v>32</v>
      </c>
      <c r="H124" s="50">
        <f t="array" ref="H124">SUM(IF(INSTOCK!$H$3:$H$6125=B124,INSTOCK!$I$3:$I$6125))</f>
        <v>244</v>
      </c>
      <c r="I124" s="50" t="str">
        <f>ARRAY_CONSTRAIN(ARRAYFORMULA(SUM(IF([3]!Table13[ID]=B124,[3]!Table13[QTY]))), 1, 1)</f>
        <v>#ERROR!</v>
      </c>
      <c r="J124" s="50" t="str">
        <f>TABLEITEM!$H$3:$H$2749-TABLEITEM!$I$3:$I$2749</f>
        <v>#ERROR!</v>
      </c>
    </row>
    <row r="125" ht="15.75" customHeight="1">
      <c r="A125" s="45">
        <v>430.0</v>
      </c>
      <c r="B125" s="10" t="s">
        <v>315</v>
      </c>
      <c r="C125" s="26"/>
      <c r="D125" s="10" t="s">
        <v>7328</v>
      </c>
      <c r="E125" s="48" t="s">
        <v>1831</v>
      </c>
      <c r="F125" s="48" t="s">
        <v>7173</v>
      </c>
      <c r="G125" s="49">
        <f t="array" ref="G125">MAX(IF(INSTOCK!$H$3:$H$6125=B125,INSTOCK!$K$3:$K$6125))</f>
        <v>25</v>
      </c>
      <c r="H125" s="50">
        <f t="array" ref="H125">SUM(IF(INSTOCK!$H$3:$H$6125=B125,INSTOCK!$I$3:$I$6125))</f>
        <v>250</v>
      </c>
      <c r="I125" s="50" t="str">
        <f>ARRAY_CONSTRAIN(ARRAYFORMULA(SUM(IF([3]!Table13[ID]=B125,[3]!Table13[QTY]))), 1, 1)</f>
        <v>#ERROR!</v>
      </c>
      <c r="J125" s="50" t="str">
        <f>TABLEITEM!$H$3:$H$2749-TABLEITEM!$I$3:$I$2749</f>
        <v>#ERROR!</v>
      </c>
    </row>
    <row r="126" ht="15.75" customHeight="1">
      <c r="A126" s="45">
        <v>432.0</v>
      </c>
      <c r="B126" s="10" t="s">
        <v>317</v>
      </c>
      <c r="C126" s="26"/>
      <c r="D126" s="10" t="s">
        <v>7329</v>
      </c>
      <c r="E126" s="48" t="s">
        <v>1831</v>
      </c>
      <c r="F126" s="48" t="s">
        <v>7173</v>
      </c>
      <c r="G126" s="49">
        <f t="array" ref="G126">MAX(IF(INSTOCK!$H$3:$H$6125=B126,INSTOCK!$K$3:$K$6125))</f>
        <v>25</v>
      </c>
      <c r="H126" s="50">
        <f t="array" ref="H126">SUM(IF(INSTOCK!$H$3:$H$6125=B126,INSTOCK!$I$3:$I$6125))</f>
        <v>96</v>
      </c>
      <c r="I126" s="50" t="str">
        <f>ARRAY_CONSTRAIN(ARRAYFORMULA(SUM(IF([3]!Table13[ID]=B126,[3]!Table13[QTY]))), 1, 1)</f>
        <v>#ERROR!</v>
      </c>
      <c r="J126" s="50" t="str">
        <f>TABLEITEM!$H$3:$H$2749-TABLEITEM!$I$3:$I$2749</f>
        <v>#ERROR!</v>
      </c>
    </row>
    <row r="127" ht="15.75" customHeight="1">
      <c r="A127" s="45">
        <v>431.0</v>
      </c>
      <c r="B127" s="10" t="s">
        <v>316</v>
      </c>
      <c r="C127" s="26"/>
      <c r="D127" s="10" t="s">
        <v>7330</v>
      </c>
      <c r="E127" s="48" t="s">
        <v>1831</v>
      </c>
      <c r="F127" s="48" t="s">
        <v>7173</v>
      </c>
      <c r="G127" s="49">
        <f t="array" ref="G127">MAX(IF(INSTOCK!$H$3:$H$6125=B127,INSTOCK!$K$3:$K$6125))</f>
        <v>25</v>
      </c>
      <c r="H127" s="50">
        <f t="array" ref="H127">SUM(IF(INSTOCK!$H$3:$H$6125=B127,INSTOCK!$I$3:$I$6125))</f>
        <v>244</v>
      </c>
      <c r="I127" s="50" t="str">
        <f>ARRAY_CONSTRAIN(ARRAYFORMULA(SUM(IF([3]!Table13[ID]=B127,[3]!Table13[QTY]))), 1, 1)</f>
        <v>#ERROR!</v>
      </c>
      <c r="J127" s="50" t="str">
        <f>TABLEITEM!$H$3:$H$2749-TABLEITEM!$I$3:$I$2749</f>
        <v>#ERROR!</v>
      </c>
    </row>
    <row r="128" ht="15.75" customHeight="1">
      <c r="A128" s="45">
        <v>401.0</v>
      </c>
      <c r="B128" s="10" t="s">
        <v>286</v>
      </c>
      <c r="C128" s="26"/>
      <c r="D128" s="10" t="s">
        <v>7331</v>
      </c>
      <c r="E128" s="48" t="s">
        <v>7287</v>
      </c>
      <c r="F128" s="48" t="s">
        <v>7173</v>
      </c>
      <c r="G128" s="49">
        <f t="array" ref="G128">MAX(IF(INSTOCK!$H$3:$H$6125=B128,INSTOCK!$K$3:$K$6125))</f>
        <v>3.1</v>
      </c>
      <c r="H128" s="50">
        <f t="array" ref="H128">SUM(IF(INSTOCK!$H$3:$H$6125=B128,INSTOCK!$I$3:$I$6125))</f>
        <v>200</v>
      </c>
      <c r="I128" s="50" t="str">
        <f>ARRAY_CONSTRAIN(ARRAYFORMULA(SUM(IF([3]!Table13[ID]=B128,[3]!Table13[QTY]))), 1, 1)</f>
        <v>#ERROR!</v>
      </c>
      <c r="J128" s="50" t="str">
        <f>TABLEITEM!$H$3:$H$2749-TABLEITEM!$I$3:$I$2749</f>
        <v>#ERROR!</v>
      </c>
    </row>
    <row r="129" ht="15.75" customHeight="1">
      <c r="A129" s="45">
        <v>400.0</v>
      </c>
      <c r="B129" s="10" t="s">
        <v>285</v>
      </c>
      <c r="C129" s="26"/>
      <c r="D129" s="10" t="s">
        <v>7332</v>
      </c>
      <c r="E129" s="48" t="s">
        <v>7287</v>
      </c>
      <c r="F129" s="48" t="s">
        <v>7173</v>
      </c>
      <c r="G129" s="49">
        <f t="array" ref="G129">MAX(IF(INSTOCK!$H$3:$H$6125=B129,INSTOCK!$K$3:$K$6125))</f>
        <v>2.65</v>
      </c>
      <c r="H129" s="50">
        <f t="array" ref="H129">SUM(IF(INSTOCK!$H$3:$H$6125=B129,INSTOCK!$I$3:$I$6125))</f>
        <v>0</v>
      </c>
      <c r="I129" s="50" t="str">
        <f>ARRAY_CONSTRAIN(ARRAYFORMULA(SUM(IF([3]!Table13[ID]=B129,[3]!Table13[QTY]))), 1, 1)</f>
        <v>#ERROR!</v>
      </c>
      <c r="J129" s="50" t="str">
        <f>TABLEITEM!$H$3:$H$2749-TABLEITEM!$I$3:$I$2749</f>
        <v>#ERROR!</v>
      </c>
    </row>
    <row r="130" ht="15.75" customHeight="1">
      <c r="A130" s="45">
        <v>402.0</v>
      </c>
      <c r="B130" s="10" t="s">
        <v>287</v>
      </c>
      <c r="C130" s="26"/>
      <c r="D130" s="10" t="s">
        <v>7333</v>
      </c>
      <c r="E130" s="48" t="s">
        <v>7287</v>
      </c>
      <c r="F130" s="48" t="s">
        <v>7173</v>
      </c>
      <c r="G130" s="49">
        <f t="array" ref="G130">MAX(IF(INSTOCK!$H$3:$H$6125=B130,INSTOCK!$K$3:$K$6125))</f>
        <v>3.1</v>
      </c>
      <c r="H130" s="50">
        <f t="array" ref="H130">SUM(IF(INSTOCK!$H$3:$H$6125=B130,INSTOCK!$I$3:$I$6125))</f>
        <v>1814</v>
      </c>
      <c r="I130" s="50" t="str">
        <f>ARRAY_CONSTRAIN(ARRAYFORMULA(SUM(IF([3]!Table13[ID]=B130,[3]!Table13[QTY]))), 1, 1)</f>
        <v>#ERROR!</v>
      </c>
      <c r="J130" s="50" t="str">
        <f>TABLEITEM!$H$3:$H$2749-TABLEITEM!$I$3:$I$2749</f>
        <v>#ERROR!</v>
      </c>
    </row>
    <row r="131" ht="15.75" customHeight="1">
      <c r="A131" s="45">
        <v>399.0</v>
      </c>
      <c r="B131" s="10" t="s">
        <v>284</v>
      </c>
      <c r="C131" s="26"/>
      <c r="D131" s="10" t="s">
        <v>7334</v>
      </c>
      <c r="E131" s="48" t="s">
        <v>1831</v>
      </c>
      <c r="F131" s="48" t="s">
        <v>7173</v>
      </c>
      <c r="G131" s="49">
        <f t="array" ref="G131">MAX(IF(INSTOCK!$H$3:$H$6125=B131,INSTOCK!$K$3:$K$6125))</f>
        <v>2</v>
      </c>
      <c r="H131" s="50">
        <f t="array" ref="H131">SUM(IF(INSTOCK!$H$3:$H$6125=B131,INSTOCK!$I$3:$I$6125))</f>
        <v>3195</v>
      </c>
      <c r="I131" s="50" t="str">
        <f>ARRAY_CONSTRAIN(ARRAYFORMULA(SUM(IF([3]!Table13[ID]=B131,[3]!Table13[QTY]))), 1, 1)</f>
        <v>#ERROR!</v>
      </c>
      <c r="J131" s="50" t="str">
        <f>TABLEITEM!$H$3:$H$2749-TABLEITEM!$I$3:$I$2749</f>
        <v>#ERROR!</v>
      </c>
    </row>
    <row r="132" ht="15.75" customHeight="1">
      <c r="A132" s="45">
        <v>412.0</v>
      </c>
      <c r="B132" s="10" t="s">
        <v>297</v>
      </c>
      <c r="C132" s="26"/>
      <c r="D132" s="10" t="s">
        <v>7335</v>
      </c>
      <c r="E132" s="48" t="s">
        <v>1831</v>
      </c>
      <c r="F132" s="48" t="s">
        <v>7173</v>
      </c>
      <c r="G132" s="49">
        <f t="array" ref="G132">MAX(IF(INSTOCK!$H$3:$H$6125=B132,INSTOCK!$K$3:$K$6125))</f>
        <v>1.4</v>
      </c>
      <c r="H132" s="50">
        <f t="array" ref="H132">SUM(IF(INSTOCK!$H$3:$H$6125=B132,INSTOCK!$I$3:$I$6125))</f>
        <v>1044</v>
      </c>
      <c r="I132" s="50" t="str">
        <f>ARRAY_CONSTRAIN(ARRAYFORMULA(SUM(IF([3]!Table13[ID]=B132,[3]!Table13[QTY]))), 1, 1)</f>
        <v>#ERROR!</v>
      </c>
      <c r="J132" s="50" t="str">
        <f>TABLEITEM!$H$3:$H$2749-TABLEITEM!$I$3:$I$2749</f>
        <v>#ERROR!</v>
      </c>
    </row>
    <row r="133" ht="15.75" customHeight="1">
      <c r="A133" s="45">
        <v>452.0</v>
      </c>
      <c r="B133" s="10" t="s">
        <v>337</v>
      </c>
      <c r="C133" s="26"/>
      <c r="D133" s="10" t="s">
        <v>7336</v>
      </c>
      <c r="E133" s="48" t="s">
        <v>1831</v>
      </c>
      <c r="F133" s="48" t="s">
        <v>7173</v>
      </c>
      <c r="G133" s="49">
        <f t="array" ref="G133">MAX(IF(INSTOCK!$H$3:$H$6125=B133,INSTOCK!$K$3:$K$6125))</f>
        <v>200</v>
      </c>
      <c r="H133" s="50">
        <f t="array" ref="H133">SUM(IF(INSTOCK!$H$3:$H$6125=B133,INSTOCK!$I$3:$I$6125))</f>
        <v>14</v>
      </c>
      <c r="I133" s="50" t="str">
        <f>ARRAY_CONSTRAIN(ARRAYFORMULA(SUM(IF([3]!Table13[ID]=B133,[3]!Table13[QTY]))), 1, 1)</f>
        <v>#ERROR!</v>
      </c>
      <c r="J133" s="50" t="str">
        <f>TABLEITEM!$H$3:$H$2749-TABLEITEM!$I$3:$I$2749</f>
        <v>#ERROR!</v>
      </c>
    </row>
    <row r="134" ht="15.75" customHeight="1">
      <c r="A134" s="45">
        <v>451.0</v>
      </c>
      <c r="B134" s="10" t="s">
        <v>336</v>
      </c>
      <c r="C134" s="26"/>
      <c r="D134" s="10" t="s">
        <v>7337</v>
      </c>
      <c r="E134" s="48" t="s">
        <v>1831</v>
      </c>
      <c r="F134" s="48" t="s">
        <v>7173</v>
      </c>
      <c r="G134" s="49">
        <f t="array" ref="G134">MAX(IF(INSTOCK!$H$3:$H$6125=B134,INSTOCK!$K$3:$K$6125))</f>
        <v>200</v>
      </c>
      <c r="H134" s="50">
        <f t="array" ref="H134">SUM(IF(INSTOCK!$H$3:$H$6125=B134,INSTOCK!$I$3:$I$6125))</f>
        <v>0</v>
      </c>
      <c r="I134" s="50" t="str">
        <f>ARRAY_CONSTRAIN(ARRAYFORMULA(SUM(IF([3]!Table13[ID]=B134,[3]!Table13[QTY]))), 1, 1)</f>
        <v>#ERROR!</v>
      </c>
      <c r="J134" s="50" t="str">
        <f>TABLEITEM!$H$3:$H$2749-TABLEITEM!$I$3:$I$2749</f>
        <v>#ERROR!</v>
      </c>
    </row>
    <row r="135" ht="15.75" customHeight="1">
      <c r="A135" s="45">
        <v>398.0</v>
      </c>
      <c r="B135" s="10" t="s">
        <v>1530</v>
      </c>
      <c r="C135" s="26"/>
      <c r="D135" s="10" t="s">
        <v>7338</v>
      </c>
      <c r="E135" s="48" t="s">
        <v>7287</v>
      </c>
      <c r="F135" s="48" t="s">
        <v>7173</v>
      </c>
      <c r="G135" s="49">
        <f t="array" ref="G135">MAX(IF(INSTOCK!$H$3:$H$6125=B135,INSTOCK!$K$3:$K$6125))</f>
        <v>1.9452</v>
      </c>
      <c r="H135" s="50">
        <f t="array" ref="H135">SUM(IF(INSTOCK!$H$3:$H$6125=B135,INSTOCK!$I$3:$I$6125))</f>
        <v>2000</v>
      </c>
      <c r="I135" s="50" t="str">
        <f>ARRAY_CONSTRAIN(ARRAYFORMULA(SUM(IF([3]!Table13[ID]=B135,[3]!Table13[QTY]))), 1, 1)</f>
        <v>#ERROR!</v>
      </c>
      <c r="J135" s="50" t="str">
        <f>TABLEITEM!$H$3:$H$2749-TABLEITEM!$I$3:$I$2749</f>
        <v>#ERROR!</v>
      </c>
    </row>
    <row r="136" ht="15.75" customHeight="1">
      <c r="A136" s="45">
        <v>393.0</v>
      </c>
      <c r="B136" s="10" t="s">
        <v>278</v>
      </c>
      <c r="C136" s="26"/>
      <c r="D136" s="10" t="s">
        <v>7339</v>
      </c>
      <c r="E136" s="48" t="s">
        <v>7287</v>
      </c>
      <c r="F136" s="48" t="s">
        <v>7173</v>
      </c>
      <c r="G136" s="49">
        <f t="array" ref="G136">MAX(IF(INSTOCK!$H$3:$H$6125=B136,INSTOCK!$K$3:$K$6125))</f>
        <v>1.6</v>
      </c>
      <c r="H136" s="50">
        <f t="array" ref="H136">SUM(IF(INSTOCK!$H$3:$H$6125=B136,INSTOCK!$I$3:$I$6125))</f>
        <v>2697</v>
      </c>
      <c r="I136" s="50" t="str">
        <f>ARRAY_CONSTRAIN(ARRAYFORMULA(SUM(IF([3]!Table13[ID]=B136,[3]!Table13[QTY]))), 1, 1)</f>
        <v>#ERROR!</v>
      </c>
      <c r="J136" s="50" t="str">
        <f>TABLEITEM!$H$3:$H$2749-TABLEITEM!$I$3:$I$2749</f>
        <v>#ERROR!</v>
      </c>
      <c r="K136" s="54"/>
      <c r="L136" s="54"/>
      <c r="M136" s="54"/>
    </row>
    <row r="137" ht="15.75" customHeight="1">
      <c r="A137" s="45">
        <v>392.0</v>
      </c>
      <c r="B137" s="10" t="s">
        <v>277</v>
      </c>
      <c r="C137" s="26"/>
      <c r="D137" s="10" t="s">
        <v>7340</v>
      </c>
      <c r="E137" s="48" t="s">
        <v>7287</v>
      </c>
      <c r="F137" s="48" t="s">
        <v>7173</v>
      </c>
      <c r="G137" s="49">
        <f t="array" ref="G137">MAX(IF(INSTOCK!$H$3:$H$6125=B137,INSTOCK!$K$3:$K$6125))</f>
        <v>1.5</v>
      </c>
      <c r="H137" s="50">
        <f t="array" ref="H137">SUM(IF(INSTOCK!$H$3:$H$6125=B137,INSTOCK!$I$3:$I$6125))</f>
        <v>4397</v>
      </c>
      <c r="I137" s="50" t="str">
        <f>ARRAY_CONSTRAIN(ARRAYFORMULA(SUM(IF([3]!Table13[ID]=B137,[3]!Table13[QTY]))), 1, 1)</f>
        <v>#ERROR!</v>
      </c>
      <c r="J137" s="50" t="str">
        <f>TABLEITEM!$H$3:$H$2749-TABLEITEM!$I$3:$I$2749</f>
        <v>#ERROR!</v>
      </c>
    </row>
    <row r="138" ht="15.75" customHeight="1">
      <c r="A138" s="45">
        <v>391.0</v>
      </c>
      <c r="B138" s="10" t="s">
        <v>276</v>
      </c>
      <c r="C138" s="26"/>
      <c r="D138" s="10" t="s">
        <v>7341</v>
      </c>
      <c r="E138" s="48" t="s">
        <v>7287</v>
      </c>
      <c r="F138" s="48" t="s">
        <v>7173</v>
      </c>
      <c r="G138" s="49">
        <f t="array" ref="G138">MAX(IF(INSTOCK!$H$3:$H$6125=B138,INSTOCK!$K$3:$K$6125))</f>
        <v>1.02</v>
      </c>
      <c r="H138" s="50">
        <f t="array" ref="H138">SUM(IF(INSTOCK!$H$3:$H$6125=B138,INSTOCK!$I$3:$I$6125))</f>
        <v>5480</v>
      </c>
      <c r="I138" s="50" t="str">
        <f>ARRAY_CONSTRAIN(ARRAYFORMULA(SUM(IF([3]!Table13[ID]=B138,[3]!Table13[QTY]))), 1, 1)</f>
        <v>#ERROR!</v>
      </c>
      <c r="J138" s="50" t="str">
        <f>TABLEITEM!$H$3:$H$2749-TABLEITEM!$I$3:$I$2749</f>
        <v>#ERROR!</v>
      </c>
    </row>
    <row r="139" ht="15.75" customHeight="1">
      <c r="A139" s="45">
        <v>450.0</v>
      </c>
      <c r="B139" s="10" t="s">
        <v>335</v>
      </c>
      <c r="C139" s="26"/>
      <c r="D139" s="10" t="s">
        <v>7342</v>
      </c>
      <c r="E139" s="48" t="s">
        <v>1831</v>
      </c>
      <c r="F139" s="48" t="s">
        <v>7173</v>
      </c>
      <c r="G139" s="49">
        <f t="array" ref="G139">MAX(IF(INSTOCK!$H$3:$H$6125=B139,INSTOCK!$K$3:$K$6125))</f>
        <v>150</v>
      </c>
      <c r="H139" s="50">
        <f t="array" ref="H139">SUM(IF(INSTOCK!$H$3:$H$6125=B139,INSTOCK!$I$3:$I$6125))</f>
        <v>0</v>
      </c>
      <c r="I139" s="50" t="str">
        <f>ARRAY_CONSTRAIN(ARRAYFORMULA(SUM(IF([3]!Table13[ID]=B139,[3]!Table13[QTY]))), 1, 1)</f>
        <v>#ERROR!</v>
      </c>
      <c r="J139" s="50" t="str">
        <f>TABLEITEM!$H$3:$H$2749-TABLEITEM!$I$3:$I$2749</f>
        <v>#ERROR!</v>
      </c>
    </row>
    <row r="140" ht="15.75" customHeight="1">
      <c r="A140" s="45">
        <v>449.0</v>
      </c>
      <c r="B140" s="10" t="s">
        <v>334</v>
      </c>
      <c r="C140" s="26"/>
      <c r="D140" s="10" t="s">
        <v>7343</v>
      </c>
      <c r="E140" s="48" t="s">
        <v>1831</v>
      </c>
      <c r="F140" s="48" t="s">
        <v>7173</v>
      </c>
      <c r="G140" s="49">
        <f t="array" ref="G140">MAX(IF(INSTOCK!$H$3:$H$6125=B140,INSTOCK!$K$3:$K$6125))</f>
        <v>150</v>
      </c>
      <c r="H140" s="50">
        <f t="array" ref="H140">SUM(IF(INSTOCK!$H$3:$H$6125=B140,INSTOCK!$I$3:$I$6125))</f>
        <v>0</v>
      </c>
      <c r="I140" s="50" t="str">
        <f>ARRAY_CONSTRAIN(ARRAYFORMULA(SUM(IF([3]!Table13[ID]=B140,[3]!Table13[QTY]))), 1, 1)</f>
        <v>#ERROR!</v>
      </c>
      <c r="J140" s="50" t="str">
        <f>TABLEITEM!$H$3:$H$2749-TABLEITEM!$I$3:$I$2749</f>
        <v>#ERROR!</v>
      </c>
    </row>
    <row r="141" ht="15.75" customHeight="1">
      <c r="A141" s="45">
        <v>448.0</v>
      </c>
      <c r="B141" s="10" t="s">
        <v>333</v>
      </c>
      <c r="C141" s="26"/>
      <c r="D141" s="10" t="s">
        <v>7344</v>
      </c>
      <c r="E141" s="48" t="s">
        <v>1831</v>
      </c>
      <c r="F141" s="48" t="s">
        <v>7173</v>
      </c>
      <c r="G141" s="49">
        <f t="array" ref="G141">MAX(IF(INSTOCK!$H$3:$H$6125=B141,INSTOCK!$K$3:$K$6125))</f>
        <v>150</v>
      </c>
      <c r="H141" s="50">
        <f t="array" ref="H141">SUM(IF(INSTOCK!$H$3:$H$6125=B141,INSTOCK!$I$3:$I$6125))</f>
        <v>39</v>
      </c>
      <c r="I141" s="50" t="str">
        <f>ARRAY_CONSTRAIN(ARRAYFORMULA(SUM(IF([3]!Table13[ID]=B141,[3]!Table13[QTY]))), 1, 1)</f>
        <v>#ERROR!</v>
      </c>
      <c r="J141" s="50" t="str">
        <f>TABLEITEM!$H$3:$H$2749-TABLEITEM!$I$3:$I$2749</f>
        <v>#ERROR!</v>
      </c>
    </row>
    <row r="142" ht="15.75" customHeight="1">
      <c r="A142" s="45">
        <v>390.0</v>
      </c>
      <c r="B142" s="10" t="s">
        <v>275</v>
      </c>
      <c r="C142" s="26"/>
      <c r="D142" s="10" t="s">
        <v>7345</v>
      </c>
      <c r="E142" s="48" t="s">
        <v>7287</v>
      </c>
      <c r="F142" s="48" t="s">
        <v>7173</v>
      </c>
      <c r="G142" s="49">
        <f t="array" ref="G142">MAX(IF(INSTOCK!$H$3:$H$6125=B142,INSTOCK!$K$3:$K$6125))</f>
        <v>1.02</v>
      </c>
      <c r="H142" s="50">
        <f t="array" ref="H142">SUM(IF(INSTOCK!$H$3:$H$6125=B142,INSTOCK!$I$3:$I$6125))</f>
        <v>775</v>
      </c>
      <c r="I142" s="50" t="str">
        <f>ARRAY_CONSTRAIN(ARRAYFORMULA(SUM(IF([3]!Table13[ID]=B142,[3]!Table13[QTY]))), 1, 1)</f>
        <v>#ERROR!</v>
      </c>
      <c r="J142" s="50" t="str">
        <f>TABLEITEM!$H$3:$H$2749-TABLEITEM!$I$3:$I$2749</f>
        <v>#ERROR!</v>
      </c>
    </row>
    <row r="143" ht="15.75" customHeight="1">
      <c r="A143" s="45">
        <v>389.0</v>
      </c>
      <c r="B143" s="10" t="s">
        <v>274</v>
      </c>
      <c r="C143" s="26"/>
      <c r="D143" s="10" t="s">
        <v>7346</v>
      </c>
      <c r="E143" s="48" t="s">
        <v>1831</v>
      </c>
      <c r="F143" s="48" t="s">
        <v>7173</v>
      </c>
      <c r="G143" s="49">
        <f t="array" ref="G143">MAX(IF(INSTOCK!$H$3:$H$6125=B143,INSTOCK!$K$3:$K$6125))</f>
        <v>0.87</v>
      </c>
      <c r="H143" s="50">
        <f t="array" ref="H143">SUM(IF(INSTOCK!$H$3:$H$6125=B143,INSTOCK!$I$3:$I$6125))</f>
        <v>1200</v>
      </c>
      <c r="I143" s="50" t="str">
        <f>ARRAY_CONSTRAIN(ARRAYFORMULA(SUM(IF([3]!Table13[ID]=B143,[3]!Table13[QTY]))), 1, 1)</f>
        <v>#ERROR!</v>
      </c>
      <c r="J143" s="50" t="str">
        <f>TABLEITEM!$H$3:$H$2749-TABLEITEM!$I$3:$I$2749</f>
        <v>#ERROR!</v>
      </c>
    </row>
    <row r="144" ht="15.75" customHeight="1">
      <c r="A144" s="45">
        <v>415.0</v>
      </c>
      <c r="B144" s="10" t="s">
        <v>300</v>
      </c>
      <c r="C144" s="26"/>
      <c r="D144" s="10" t="s">
        <v>7347</v>
      </c>
      <c r="E144" s="48" t="s">
        <v>1532</v>
      </c>
      <c r="F144" s="48" t="s">
        <v>7173</v>
      </c>
      <c r="G144" s="49">
        <f t="array" ref="G144">MAX(IF(INSTOCK!$H$3:$H$6125=B144,INSTOCK!$K$3:$K$6125))</f>
        <v>8.5</v>
      </c>
      <c r="H144" s="50">
        <f t="array" ref="H144">SUM(IF(INSTOCK!$H$3:$H$6125=B144,INSTOCK!$I$3:$I$6125))</f>
        <v>2019</v>
      </c>
      <c r="I144" s="50" t="str">
        <f>ARRAY_CONSTRAIN(ARRAYFORMULA(SUM(IF([3]!Table13[ID]=B144,[3]!Table13[QTY]))), 1, 1)</f>
        <v>#ERROR!</v>
      </c>
      <c r="J144" s="50" t="str">
        <f>TABLEITEM!$H$3:$H$2749-TABLEITEM!$I$3:$I$2749</f>
        <v>#ERROR!</v>
      </c>
    </row>
    <row r="145" ht="15.75" customHeight="1">
      <c r="A145" s="45">
        <v>414.0</v>
      </c>
      <c r="B145" s="10" t="s">
        <v>299</v>
      </c>
      <c r="C145" s="26"/>
      <c r="D145" s="10" t="s">
        <v>7348</v>
      </c>
      <c r="E145" s="48" t="s">
        <v>1532</v>
      </c>
      <c r="F145" s="48" t="s">
        <v>7173</v>
      </c>
      <c r="G145" s="49">
        <f t="array" ref="G145">MAX(IF(INSTOCK!$H$3:$H$6125=B145,INSTOCK!$K$3:$K$6125))</f>
        <v>8.5</v>
      </c>
      <c r="H145" s="50">
        <f t="array" ref="H145">SUM(IF(INSTOCK!$H$3:$H$6125=B145,INSTOCK!$I$3:$I$6125))</f>
        <v>1223</v>
      </c>
      <c r="I145" s="50" t="str">
        <f>ARRAY_CONSTRAIN(ARRAYFORMULA(SUM(IF([3]!Table13[ID]=B145,[3]!Table13[QTY]))), 1, 1)</f>
        <v>#ERROR!</v>
      </c>
      <c r="J145" s="50" t="str">
        <f>TABLEITEM!$H$3:$H$2749-TABLEITEM!$I$3:$I$2749</f>
        <v>#ERROR!</v>
      </c>
    </row>
    <row r="146" ht="15.75" customHeight="1">
      <c r="A146" s="45">
        <v>417.0</v>
      </c>
      <c r="B146" s="10" t="s">
        <v>302</v>
      </c>
      <c r="C146" s="26"/>
      <c r="D146" s="10" t="s">
        <v>7349</v>
      </c>
      <c r="E146" s="48" t="s">
        <v>1532</v>
      </c>
      <c r="F146" s="48" t="s">
        <v>7173</v>
      </c>
      <c r="G146" s="49">
        <f t="array" ref="G146">MAX(IF(INSTOCK!$H$3:$H$6125=B146,INSTOCK!$K$3:$K$6125))</f>
        <v>10.5</v>
      </c>
      <c r="H146" s="50">
        <f t="array" ref="H146">SUM(IF(INSTOCK!$H$3:$H$6125=B146,INSTOCK!$I$3:$I$6125))</f>
        <v>386</v>
      </c>
      <c r="I146" s="50" t="str">
        <f>ARRAY_CONSTRAIN(ARRAYFORMULA(SUM(IF([3]!Table13[ID]=B146,[3]!Table13[QTY]))), 1, 1)</f>
        <v>#ERROR!</v>
      </c>
      <c r="J146" s="50" t="str">
        <f>TABLEITEM!$H$3:$H$2749-TABLEITEM!$I$3:$I$2749</f>
        <v>#ERROR!</v>
      </c>
    </row>
    <row r="147" ht="15.75" customHeight="1">
      <c r="A147" s="45">
        <v>416.0</v>
      </c>
      <c r="B147" s="10" t="s">
        <v>301</v>
      </c>
      <c r="C147" s="26"/>
      <c r="D147" s="10" t="s">
        <v>7350</v>
      </c>
      <c r="E147" s="48" t="s">
        <v>1532</v>
      </c>
      <c r="F147" s="48" t="s">
        <v>7173</v>
      </c>
      <c r="G147" s="49">
        <f t="array" ref="G147">MAX(IF(INSTOCK!$H$3:$H$6125=B147,INSTOCK!$K$3:$K$6125))</f>
        <v>8.5</v>
      </c>
      <c r="H147" s="50">
        <f t="array" ref="H147">SUM(IF(INSTOCK!$H$3:$H$6125=B147,INSTOCK!$I$3:$I$6125))</f>
        <v>691</v>
      </c>
      <c r="I147" s="50" t="str">
        <f>ARRAY_CONSTRAIN(ARRAYFORMULA(SUM(IF([3]!Table13[ID]=B147,[3]!Table13[QTY]))), 1, 1)</f>
        <v>#ERROR!</v>
      </c>
      <c r="J147" s="50" t="str">
        <f>TABLEITEM!$H$3:$H$2749-TABLEITEM!$I$3:$I$2749</f>
        <v>#ERROR!</v>
      </c>
    </row>
    <row r="148" ht="15.75" customHeight="1">
      <c r="A148" s="45">
        <v>397.0</v>
      </c>
      <c r="B148" s="10" t="s">
        <v>282</v>
      </c>
      <c r="C148" s="26"/>
      <c r="D148" s="10" t="s">
        <v>7351</v>
      </c>
      <c r="E148" s="48" t="s">
        <v>1831</v>
      </c>
      <c r="F148" s="48" t="s">
        <v>7173</v>
      </c>
      <c r="G148" s="49">
        <f t="array" ref="G148">MAX(IF(INSTOCK!$H$3:$H$6125=B148,INSTOCK!$K$3:$K$6125))</f>
        <v>1.5</v>
      </c>
      <c r="H148" s="50">
        <f t="array" ref="H148">SUM(IF(INSTOCK!$H$3:$H$6125=B148,INSTOCK!$I$3:$I$6125))</f>
        <v>1027</v>
      </c>
      <c r="I148" s="50" t="str">
        <f>ARRAY_CONSTRAIN(ARRAYFORMULA(SUM(IF([3]!Table13[ID]=B148,[3]!Table13[QTY]))), 1, 1)</f>
        <v>#ERROR!</v>
      </c>
      <c r="J148" s="50" t="str">
        <f>TABLEITEM!$H$3:$H$2749-TABLEITEM!$I$3:$I$2749</f>
        <v>#ERROR!</v>
      </c>
    </row>
    <row r="149" ht="15.75" customHeight="1">
      <c r="A149" s="45">
        <v>396.0</v>
      </c>
      <c r="B149" s="10" t="s">
        <v>281</v>
      </c>
      <c r="C149" s="26"/>
      <c r="D149" s="10" t="s">
        <v>7352</v>
      </c>
      <c r="E149" s="48" t="s">
        <v>1831</v>
      </c>
      <c r="F149" s="48" t="s">
        <v>7173</v>
      </c>
      <c r="G149" s="49">
        <f t="array" ref="G149">MAX(IF(INSTOCK!$H$3:$H$6125=B149,INSTOCK!$K$3:$K$6125))</f>
        <v>0.9</v>
      </c>
      <c r="H149" s="50">
        <f t="array" ref="H149">SUM(IF(INSTOCK!$H$3:$H$6125=B149,INSTOCK!$I$3:$I$6125))</f>
        <v>4380</v>
      </c>
      <c r="I149" s="50" t="str">
        <f>ARRAY_CONSTRAIN(ARRAYFORMULA(SUM(IF([3]!Table13[ID]=B149,[3]!Table13[QTY]))), 1, 1)</f>
        <v>#ERROR!</v>
      </c>
      <c r="J149" s="50" t="str">
        <f>TABLEITEM!$H$3:$H$2749-TABLEITEM!$I$3:$I$2749</f>
        <v>#ERROR!</v>
      </c>
    </row>
    <row r="150" ht="15.75" customHeight="1">
      <c r="A150" s="45">
        <v>395.0</v>
      </c>
      <c r="B150" s="10" t="s">
        <v>280</v>
      </c>
      <c r="C150" s="26"/>
      <c r="D150" s="10" t="s">
        <v>7353</v>
      </c>
      <c r="E150" s="48" t="s">
        <v>1831</v>
      </c>
      <c r="F150" s="48" t="s">
        <v>7173</v>
      </c>
      <c r="G150" s="49">
        <f t="array" ref="G150">MAX(IF(INSTOCK!$H$3:$H$6125=B150,INSTOCK!$K$3:$K$6125))</f>
        <v>0.9</v>
      </c>
      <c r="H150" s="50">
        <f t="array" ref="H150">SUM(IF(INSTOCK!$H$3:$H$6125=B150,INSTOCK!$I$3:$I$6125))</f>
        <v>4500</v>
      </c>
      <c r="I150" s="50" t="str">
        <f>ARRAY_CONSTRAIN(ARRAYFORMULA(SUM(IF([3]!Table13[ID]=B150,[3]!Table13[QTY]))), 1, 1)</f>
        <v>#ERROR!</v>
      </c>
      <c r="J150" s="50" t="str">
        <f>TABLEITEM!$H$3:$H$2749-TABLEITEM!$I$3:$I$2749</f>
        <v>#ERROR!</v>
      </c>
    </row>
    <row r="151" ht="15.75" customHeight="1">
      <c r="A151" s="45">
        <v>394.0</v>
      </c>
      <c r="B151" s="10" t="s">
        <v>279</v>
      </c>
      <c r="C151" s="26"/>
      <c r="D151" s="10" t="s">
        <v>7354</v>
      </c>
      <c r="E151" s="48" t="s">
        <v>1831</v>
      </c>
      <c r="F151" s="48" t="s">
        <v>7173</v>
      </c>
      <c r="G151" s="49">
        <f t="array" ref="G151">MAX(IF(INSTOCK!$H$3:$H$6125=B151,INSTOCK!$K$3:$K$6125))</f>
        <v>0.9</v>
      </c>
      <c r="H151" s="50">
        <f t="array" ref="H151">SUM(IF(INSTOCK!$H$3:$H$6125=B151,INSTOCK!$I$3:$I$6125))</f>
        <v>2200</v>
      </c>
      <c r="I151" s="50" t="str">
        <f>ARRAY_CONSTRAIN(ARRAYFORMULA(SUM(IF([3]!Table13[ID]=B151,[3]!Table13[QTY]))), 1, 1)</f>
        <v>#ERROR!</v>
      </c>
      <c r="J151" s="50" t="str">
        <f>TABLEITEM!$H$3:$H$2749-TABLEITEM!$I$3:$I$2749</f>
        <v>#ERROR!</v>
      </c>
    </row>
    <row r="152" ht="15.75" customHeight="1">
      <c r="A152" s="45">
        <v>447.0</v>
      </c>
      <c r="B152" s="10" t="s">
        <v>332</v>
      </c>
      <c r="C152" s="26"/>
      <c r="D152" s="10" t="s">
        <v>7355</v>
      </c>
      <c r="E152" s="48" t="s">
        <v>7287</v>
      </c>
      <c r="F152" s="48" t="s">
        <v>7173</v>
      </c>
      <c r="G152" s="49">
        <f t="array" ref="G152">MAX(IF(INSTOCK!$H$3:$H$6125=B152,INSTOCK!$K$3:$K$6125))</f>
        <v>100</v>
      </c>
      <c r="H152" s="50">
        <f t="array" ref="H152">SUM(IF(INSTOCK!$H$3:$H$6125=B152,INSTOCK!$I$3:$I$6125))</f>
        <v>32</v>
      </c>
      <c r="I152" s="50" t="str">
        <f>ARRAY_CONSTRAIN(ARRAYFORMULA(SUM(IF([3]!Table13[ID]=B152,[3]!Table13[QTY]))), 1, 1)</f>
        <v>#ERROR!</v>
      </c>
      <c r="J152" s="50" t="str">
        <f>TABLEITEM!$H$3:$H$2749-TABLEITEM!$I$3:$I$2749</f>
        <v>#ERROR!</v>
      </c>
    </row>
    <row r="153" ht="15.75" customHeight="1">
      <c r="A153" s="45">
        <v>446.0</v>
      </c>
      <c r="B153" s="10" t="s">
        <v>331</v>
      </c>
      <c r="C153" s="26"/>
      <c r="D153" s="10" t="s">
        <v>7356</v>
      </c>
      <c r="E153" s="48" t="s">
        <v>7287</v>
      </c>
      <c r="F153" s="48" t="s">
        <v>7173</v>
      </c>
      <c r="G153" s="49">
        <f t="array" ref="G153">MAX(IF(INSTOCK!$H$3:$H$6125=B153,INSTOCK!$K$3:$K$6125))</f>
        <v>100</v>
      </c>
      <c r="H153" s="50">
        <f t="array" ref="H153">SUM(IF(INSTOCK!$H$3:$H$6125=B153,INSTOCK!$I$3:$I$6125))</f>
        <v>10</v>
      </c>
      <c r="I153" s="50" t="str">
        <f>ARRAY_CONSTRAIN(ARRAYFORMULA(SUM(IF([3]!Table13[ID]=B153,[3]!Table13[QTY]))), 1, 1)</f>
        <v>#ERROR!</v>
      </c>
      <c r="J153" s="50" t="str">
        <f>TABLEITEM!$H$3:$H$2749-TABLEITEM!$I$3:$I$2749</f>
        <v>#ERROR!</v>
      </c>
    </row>
    <row r="154" ht="15.75" customHeight="1">
      <c r="A154" s="45">
        <v>445.0</v>
      </c>
      <c r="B154" s="10" t="s">
        <v>330</v>
      </c>
      <c r="C154" s="26"/>
      <c r="D154" s="10" t="s">
        <v>7357</v>
      </c>
      <c r="E154" s="48" t="s">
        <v>7287</v>
      </c>
      <c r="F154" s="48" t="s">
        <v>7173</v>
      </c>
      <c r="G154" s="49">
        <f t="array" ref="G154">MAX(IF(INSTOCK!$H$3:$H$6125=B154,INSTOCK!$K$3:$K$6125))</f>
        <v>100</v>
      </c>
      <c r="H154" s="50">
        <f t="array" ref="H154">SUM(IF(INSTOCK!$H$3:$H$6125=B154,INSTOCK!$I$3:$I$6125))</f>
        <v>0</v>
      </c>
      <c r="I154" s="50" t="str">
        <f>ARRAY_CONSTRAIN(ARRAYFORMULA(SUM(IF([3]!Table13[ID]=B154,[3]!Table13[QTY]))), 1, 1)</f>
        <v>#ERROR!</v>
      </c>
      <c r="J154" s="50" t="str">
        <f>TABLEITEM!$H$3:$H$2749-TABLEITEM!$I$3:$I$2749</f>
        <v>#ERROR!</v>
      </c>
    </row>
    <row r="155" ht="15.75" customHeight="1">
      <c r="A155" s="45">
        <v>443.0</v>
      </c>
      <c r="B155" s="10" t="s">
        <v>328</v>
      </c>
      <c r="C155" s="26"/>
      <c r="D155" s="10" t="s">
        <v>7358</v>
      </c>
      <c r="E155" s="48" t="s">
        <v>1831</v>
      </c>
      <c r="F155" s="48" t="s">
        <v>7173</v>
      </c>
      <c r="G155" s="49">
        <f t="array" ref="G155">MAX(IF(INSTOCK!$H$3:$H$6125=B155,INSTOCK!$K$3:$K$6125))</f>
        <v>75</v>
      </c>
      <c r="H155" s="50">
        <f t="array" ref="H155">SUM(IF(INSTOCK!$H$3:$H$6125=B155,INSTOCK!$I$3:$I$6125))</f>
        <v>59</v>
      </c>
      <c r="I155" s="50" t="str">
        <f>ARRAY_CONSTRAIN(ARRAYFORMULA(SUM(IF([3]!Table13[ID]=B155,[3]!Table13[QTY]))), 1, 1)</f>
        <v>#ERROR!</v>
      </c>
      <c r="J155" s="50" t="str">
        <f>TABLEITEM!$H$3:$H$2749-TABLEITEM!$I$3:$I$2749</f>
        <v>#ERROR!</v>
      </c>
    </row>
    <row r="156" ht="15.75" customHeight="1">
      <c r="A156" s="45">
        <v>444.0</v>
      </c>
      <c r="B156" s="10" t="s">
        <v>329</v>
      </c>
      <c r="C156" s="26"/>
      <c r="D156" s="10" t="s">
        <v>7359</v>
      </c>
      <c r="E156" s="48" t="s">
        <v>1831</v>
      </c>
      <c r="F156" s="48" t="s">
        <v>7173</v>
      </c>
      <c r="G156" s="49">
        <f t="array" ref="G156">MAX(IF(INSTOCK!$H$3:$H$6125=B156,INSTOCK!$K$3:$K$6125))</f>
        <v>75</v>
      </c>
      <c r="H156" s="50">
        <f t="array" ref="H156">SUM(IF(INSTOCK!$H$3:$H$6125=B156,INSTOCK!$I$3:$I$6125))</f>
        <v>37</v>
      </c>
      <c r="I156" s="50" t="str">
        <f>ARRAY_CONSTRAIN(ARRAYFORMULA(SUM(IF([3]!Table13[ID]=B156,[3]!Table13[QTY]))), 1, 1)</f>
        <v>#ERROR!</v>
      </c>
      <c r="J156" s="50" t="str">
        <f>TABLEITEM!$H$3:$H$2749-TABLEITEM!$I$3:$I$2749</f>
        <v>#ERROR!</v>
      </c>
    </row>
    <row r="157" ht="15.75" customHeight="1">
      <c r="A157" s="45">
        <v>442.0</v>
      </c>
      <c r="B157" s="10" t="s">
        <v>327</v>
      </c>
      <c r="C157" s="26"/>
      <c r="D157" s="10" t="s">
        <v>7360</v>
      </c>
      <c r="E157" s="48" t="s">
        <v>1831</v>
      </c>
      <c r="F157" s="48" t="s">
        <v>7173</v>
      </c>
      <c r="G157" s="49">
        <f t="array" ref="G157">MAX(IF(INSTOCK!$H$3:$H$6125=B157,INSTOCK!$K$3:$K$6125))</f>
        <v>70</v>
      </c>
      <c r="H157" s="50">
        <f t="array" ref="H157">SUM(IF(INSTOCK!$H$3:$H$6125=B157,INSTOCK!$I$3:$I$6125))</f>
        <v>53</v>
      </c>
      <c r="I157" s="50" t="str">
        <f>ARRAY_CONSTRAIN(ARRAYFORMULA(SUM(IF([3]!Table13[ID]=B157,[3]!Table13[QTY]))), 1, 1)</f>
        <v>#ERROR!</v>
      </c>
      <c r="J157" s="50" t="str">
        <f>TABLEITEM!$H$3:$H$2749-TABLEITEM!$I$3:$I$2749</f>
        <v>#ERROR!</v>
      </c>
    </row>
    <row r="158" ht="15.75" customHeight="1">
      <c r="A158" s="45">
        <v>441.0</v>
      </c>
      <c r="B158" s="10" t="s">
        <v>326</v>
      </c>
      <c r="C158" s="26"/>
      <c r="D158" s="10" t="s">
        <v>7361</v>
      </c>
      <c r="E158" s="48" t="s">
        <v>1831</v>
      </c>
      <c r="F158" s="48" t="s">
        <v>7173</v>
      </c>
      <c r="G158" s="49">
        <f t="array" ref="G158">MAX(IF(INSTOCK!$H$3:$H$6125=B158,INSTOCK!$K$3:$K$6125))</f>
        <v>70</v>
      </c>
      <c r="H158" s="50">
        <f t="array" ref="H158">SUM(IF(INSTOCK!$H$3:$H$6125=B158,INSTOCK!$I$3:$I$6125))</f>
        <v>21</v>
      </c>
      <c r="I158" s="50" t="str">
        <f>ARRAY_CONSTRAIN(ARRAYFORMULA(SUM(IF([3]!Table13[ID]=B158,[3]!Table13[QTY]))), 1, 1)</f>
        <v>#ERROR!</v>
      </c>
      <c r="J158" s="50" t="str">
        <f>TABLEITEM!$H$3:$H$2749-TABLEITEM!$I$3:$I$2749</f>
        <v>#ERROR!</v>
      </c>
    </row>
    <row r="159" ht="15.75" customHeight="1">
      <c r="A159" s="45">
        <v>409.0</v>
      </c>
      <c r="B159" s="10" t="s">
        <v>294</v>
      </c>
      <c r="C159" s="26"/>
      <c r="D159" s="10" t="s">
        <v>7362</v>
      </c>
      <c r="E159" s="48" t="s">
        <v>7287</v>
      </c>
      <c r="F159" s="48" t="s">
        <v>7173</v>
      </c>
      <c r="G159" s="49">
        <f t="array" ref="G159">MAX(IF(INSTOCK!$H$3:$H$6125=B159,INSTOCK!$K$3:$K$6125))</f>
        <v>7.5</v>
      </c>
      <c r="H159" s="50">
        <f t="array" ref="H159">SUM(IF(INSTOCK!$H$3:$H$6125=B159,INSTOCK!$I$3:$I$6125))</f>
        <v>2273</v>
      </c>
      <c r="I159" s="50" t="str">
        <f>ARRAY_CONSTRAIN(ARRAYFORMULA(SUM(IF([3]!Table13[ID]=B159,[3]!Table13[QTY]))), 1, 1)</f>
        <v>#ERROR!</v>
      </c>
      <c r="J159" s="50" t="str">
        <f>TABLEITEM!$H$3:$H$2749-TABLEITEM!$I$3:$I$2749</f>
        <v>#ERROR!</v>
      </c>
    </row>
    <row r="160" ht="15.75" customHeight="1">
      <c r="A160" s="45">
        <v>408.0</v>
      </c>
      <c r="B160" s="10" t="s">
        <v>293</v>
      </c>
      <c r="C160" s="26"/>
      <c r="D160" s="10" t="s">
        <v>7363</v>
      </c>
      <c r="E160" s="48" t="s">
        <v>7287</v>
      </c>
      <c r="F160" s="48" t="s">
        <v>7173</v>
      </c>
      <c r="G160" s="49">
        <f t="array" ref="G160">MAX(IF(INSTOCK!$H$3:$H$6125=B160,INSTOCK!$K$3:$K$6125))</f>
        <v>7.5</v>
      </c>
      <c r="H160" s="50">
        <f t="array" ref="H160">SUM(IF(INSTOCK!$H$3:$H$6125=B160,INSTOCK!$I$3:$I$6125))</f>
        <v>2907</v>
      </c>
      <c r="I160" s="50" t="str">
        <f>ARRAY_CONSTRAIN(ARRAYFORMULA(SUM(IF([3]!Table13[ID]=B160,[3]!Table13[QTY]))), 1, 1)</f>
        <v>#ERROR!</v>
      </c>
      <c r="J160" s="50" t="str">
        <f>TABLEITEM!$H$3:$H$2749-TABLEITEM!$I$3:$I$2749</f>
        <v>#ERROR!</v>
      </c>
    </row>
    <row r="161" ht="15.75" customHeight="1">
      <c r="A161" s="45">
        <v>411.0</v>
      </c>
      <c r="B161" s="10" t="s">
        <v>296</v>
      </c>
      <c r="C161" s="26"/>
      <c r="D161" s="10" t="s">
        <v>7364</v>
      </c>
      <c r="E161" s="48" t="s">
        <v>7287</v>
      </c>
      <c r="F161" s="48" t="s">
        <v>7173</v>
      </c>
      <c r="G161" s="49">
        <f t="array" ref="G161">MAX(IF(INSTOCK!$H$3:$H$6125=B161,INSTOCK!$K$3:$K$6125))</f>
        <v>7.5</v>
      </c>
      <c r="H161" s="50">
        <f t="array" ref="H161">SUM(IF(INSTOCK!$H$3:$H$6125=B161,INSTOCK!$I$3:$I$6125))</f>
        <v>404</v>
      </c>
      <c r="I161" s="50" t="str">
        <f>ARRAY_CONSTRAIN(ARRAYFORMULA(SUM(IF([3]!Table13[ID]=B161,[3]!Table13[QTY]))), 1, 1)</f>
        <v>#ERROR!</v>
      </c>
      <c r="J161" s="50" t="str">
        <f>TABLEITEM!$H$3:$H$2749-TABLEITEM!$I$3:$I$2749</f>
        <v>#ERROR!</v>
      </c>
    </row>
    <row r="162" ht="15.75" customHeight="1">
      <c r="A162" s="45">
        <v>410.0</v>
      </c>
      <c r="B162" s="10" t="s">
        <v>295</v>
      </c>
      <c r="C162" s="26"/>
      <c r="D162" s="10" t="s">
        <v>7365</v>
      </c>
      <c r="E162" s="48" t="s">
        <v>7287</v>
      </c>
      <c r="F162" s="48" t="s">
        <v>7173</v>
      </c>
      <c r="G162" s="49">
        <f t="array" ref="G162">MAX(IF(INSTOCK!$H$3:$H$6125=B162,INSTOCK!$K$3:$K$6125))</f>
        <v>7.5</v>
      </c>
      <c r="H162" s="50">
        <f t="array" ref="H162">SUM(IF(INSTOCK!$H$3:$H$6125=B162,INSTOCK!$I$3:$I$6125))</f>
        <v>699</v>
      </c>
      <c r="I162" s="50" t="str">
        <f>ARRAY_CONSTRAIN(ARRAYFORMULA(SUM(IF([3]!Table13[ID]=B162,[3]!Table13[QTY]))), 1, 1)</f>
        <v>#ERROR!</v>
      </c>
      <c r="J162" s="50" t="str">
        <f>TABLEITEM!$H$3:$H$2749-TABLEITEM!$I$3:$I$2749</f>
        <v>#ERROR!</v>
      </c>
    </row>
    <row r="163" ht="15.75" customHeight="1">
      <c r="A163" s="45">
        <v>440.0</v>
      </c>
      <c r="B163" s="10" t="s">
        <v>325</v>
      </c>
      <c r="C163" s="26"/>
      <c r="D163" s="10" t="s">
        <v>7366</v>
      </c>
      <c r="E163" s="48" t="s">
        <v>1831</v>
      </c>
      <c r="F163" s="48" t="s">
        <v>7173</v>
      </c>
      <c r="G163" s="49">
        <f t="array" ref="G163">MAX(IF(INSTOCK!$H$3:$H$6125=B163,INSTOCK!$K$3:$K$6125))</f>
        <v>55</v>
      </c>
      <c r="H163" s="50">
        <f t="array" ref="H163">SUM(IF(INSTOCK!$H$3:$H$6125=B163,INSTOCK!$I$3:$I$6125))</f>
        <v>120</v>
      </c>
      <c r="I163" s="50" t="str">
        <f>ARRAY_CONSTRAIN(ARRAYFORMULA(SUM(IF([3]!Table13[ID]=B163,[3]!Table13[QTY]))), 1, 1)</f>
        <v>#ERROR!</v>
      </c>
      <c r="J163" s="50" t="str">
        <f>TABLEITEM!$H$3:$H$2749-TABLEITEM!$I$3:$I$2749</f>
        <v>#ERROR!</v>
      </c>
    </row>
    <row r="164" ht="15.75" customHeight="1">
      <c r="A164" s="45">
        <v>439.0</v>
      </c>
      <c r="B164" s="10" t="s">
        <v>324</v>
      </c>
      <c r="C164" s="26"/>
      <c r="D164" s="10" t="s">
        <v>7367</v>
      </c>
      <c r="E164" s="48" t="s">
        <v>1831</v>
      </c>
      <c r="F164" s="48" t="s">
        <v>7173</v>
      </c>
      <c r="G164" s="49">
        <f t="array" ref="G164">MAX(IF(INSTOCK!$H$3:$H$6125=B164,INSTOCK!$K$3:$K$6125))</f>
        <v>55</v>
      </c>
      <c r="H164" s="50">
        <f t="array" ref="H164">SUM(IF(INSTOCK!$H$3:$H$6125=B164,INSTOCK!$I$3:$I$6125))</f>
        <v>97</v>
      </c>
      <c r="I164" s="50" t="str">
        <f>ARRAY_CONSTRAIN(ARRAYFORMULA(SUM(IF([3]!Table13[ID]=B164,[3]!Table13[QTY]))), 1, 1)</f>
        <v>#ERROR!</v>
      </c>
      <c r="J164" s="50" t="str">
        <f>TABLEITEM!$H$3:$H$2749-TABLEITEM!$I$3:$I$2749</f>
        <v>#ERROR!</v>
      </c>
    </row>
    <row r="165" ht="15.75" customHeight="1">
      <c r="A165" s="45">
        <v>438.0</v>
      </c>
      <c r="B165" s="10" t="s">
        <v>323</v>
      </c>
      <c r="C165" s="26"/>
      <c r="D165" s="10" t="s">
        <v>7368</v>
      </c>
      <c r="E165" s="48" t="s">
        <v>1831</v>
      </c>
      <c r="F165" s="48" t="s">
        <v>7173</v>
      </c>
      <c r="G165" s="49">
        <f t="array" ref="G165">MAX(IF(INSTOCK!$H$3:$H$6125=B165,INSTOCK!$K$3:$K$6125))</f>
        <v>45</v>
      </c>
      <c r="H165" s="50">
        <f t="array" ref="H165">SUM(IF(INSTOCK!$H$3:$H$6125=B165,INSTOCK!$I$3:$I$6125))</f>
        <v>73</v>
      </c>
      <c r="I165" s="50" t="str">
        <f>ARRAY_CONSTRAIN(ARRAYFORMULA(SUM(IF([3]!Table13[ID]=B165,[3]!Table13[QTY]))), 1, 1)</f>
        <v>#ERROR!</v>
      </c>
      <c r="J165" s="50" t="str">
        <f>TABLEITEM!$H$3:$H$2749-TABLEITEM!$I$3:$I$2749</f>
        <v>#ERROR!</v>
      </c>
    </row>
    <row r="166" ht="15.75" customHeight="1">
      <c r="A166" s="45">
        <v>437.0</v>
      </c>
      <c r="B166" s="10" t="s">
        <v>322</v>
      </c>
      <c r="C166" s="26"/>
      <c r="D166" s="10" t="s">
        <v>7369</v>
      </c>
      <c r="E166" s="48" t="s">
        <v>1831</v>
      </c>
      <c r="F166" s="48" t="s">
        <v>7173</v>
      </c>
      <c r="G166" s="49">
        <f t="array" ref="G166">MAX(IF(INSTOCK!$H$3:$H$6125=B166,INSTOCK!$K$3:$K$6125))</f>
        <v>45</v>
      </c>
      <c r="H166" s="50">
        <f t="array" ref="H166">SUM(IF(INSTOCK!$H$3:$H$6125=B166,INSTOCK!$I$3:$I$6125))</f>
        <v>75</v>
      </c>
      <c r="I166" s="50" t="str">
        <f>ARRAY_CONSTRAIN(ARRAYFORMULA(SUM(IF([3]!Table13[ID]=B166,[3]!Table13[QTY]))), 1, 1)</f>
        <v>#ERROR!</v>
      </c>
      <c r="J166" s="50" t="str">
        <f>TABLEITEM!$H$3:$H$2749-TABLEITEM!$I$3:$I$2749</f>
        <v>#ERROR!</v>
      </c>
    </row>
    <row r="167" ht="15.75" customHeight="1">
      <c r="A167" s="45">
        <v>386.0</v>
      </c>
      <c r="B167" s="10" t="s">
        <v>271</v>
      </c>
      <c r="C167" s="26"/>
      <c r="D167" s="10" t="s">
        <v>7370</v>
      </c>
      <c r="E167" s="48" t="s">
        <v>1831</v>
      </c>
      <c r="F167" s="48" t="s">
        <v>7173</v>
      </c>
      <c r="G167" s="49">
        <f t="array" ref="G167">MAX(IF(INSTOCK!$H$3:$H$6125=B167,INSTOCK!$K$3:$K$6125))</f>
        <v>0.9</v>
      </c>
      <c r="H167" s="50">
        <f t="array" ref="H167">SUM(IF(INSTOCK!$H$3:$H$6125=B167,INSTOCK!$I$3:$I$6125))</f>
        <v>5600</v>
      </c>
      <c r="I167" s="50" t="str">
        <f>ARRAY_CONSTRAIN(ARRAYFORMULA(SUM(IF([3]!Table13[ID]=B167,[3]!Table13[QTY]))), 1, 1)</f>
        <v>#ERROR!</v>
      </c>
      <c r="J167" s="50" t="str">
        <f>TABLEITEM!$H$3:$H$2749-TABLEITEM!$I$3:$I$2749</f>
        <v>#ERROR!</v>
      </c>
    </row>
    <row r="168" ht="15.75" customHeight="1">
      <c r="A168" s="45">
        <v>385.0</v>
      </c>
      <c r="B168" s="10" t="s">
        <v>270</v>
      </c>
      <c r="C168" s="26"/>
      <c r="D168" s="10" t="s">
        <v>7371</v>
      </c>
      <c r="E168" s="48" t="s">
        <v>1831</v>
      </c>
      <c r="F168" s="48" t="s">
        <v>7173</v>
      </c>
      <c r="G168" s="49">
        <f t="array" ref="G168">MAX(IF(INSTOCK!$H$3:$H$6125=B168,INSTOCK!$K$3:$K$6125))</f>
        <v>0.9</v>
      </c>
      <c r="H168" s="50">
        <f t="array" ref="H168">SUM(IF(INSTOCK!$H$3:$H$6125=B168,INSTOCK!$I$3:$I$6125))</f>
        <v>803</v>
      </c>
      <c r="I168" s="50" t="str">
        <f>ARRAY_CONSTRAIN(ARRAYFORMULA(SUM(IF([3]!Table13[ID]=B168,[3]!Table13[QTY]))), 1, 1)</f>
        <v>#ERROR!</v>
      </c>
      <c r="J168" s="50" t="str">
        <f>TABLEITEM!$H$3:$H$2749-TABLEITEM!$I$3:$I$2749</f>
        <v>#ERROR!</v>
      </c>
    </row>
    <row r="169" ht="15.75" customHeight="1">
      <c r="A169" s="45">
        <v>406.0</v>
      </c>
      <c r="B169" s="10" t="s">
        <v>291</v>
      </c>
      <c r="C169" s="26"/>
      <c r="D169" s="10" t="s">
        <v>7372</v>
      </c>
      <c r="E169" s="48" t="s">
        <v>1831</v>
      </c>
      <c r="F169" s="48" t="s">
        <v>7173</v>
      </c>
      <c r="G169" s="49">
        <f t="array" ref="G169">MAX(IF(INSTOCK!$H$3:$H$6125=B169,INSTOCK!$K$3:$K$6125))</f>
        <v>4.5</v>
      </c>
      <c r="H169" s="50">
        <f t="array" ref="H169">SUM(IF(INSTOCK!$H$3:$H$6125=B169,INSTOCK!$I$3:$I$6125))</f>
        <v>2478</v>
      </c>
      <c r="I169" s="50" t="str">
        <f>ARRAY_CONSTRAIN(ARRAYFORMULA(SUM(IF([3]!Table13[ID]=B169,[3]!Table13[QTY]))), 1, 1)</f>
        <v>#ERROR!</v>
      </c>
      <c r="J169" s="50" t="str">
        <f>TABLEITEM!$H$3:$H$2749-TABLEITEM!$I$3:$I$2749</f>
        <v>#ERROR!</v>
      </c>
    </row>
    <row r="170" ht="15.75" customHeight="1">
      <c r="A170" s="45">
        <v>405.0</v>
      </c>
      <c r="B170" s="10" t="s">
        <v>290</v>
      </c>
      <c r="C170" s="26"/>
      <c r="D170" s="10" t="s">
        <v>7373</v>
      </c>
      <c r="E170" s="48" t="s">
        <v>7287</v>
      </c>
      <c r="F170" s="48" t="s">
        <v>7173</v>
      </c>
      <c r="G170" s="49">
        <f t="array" ref="G170">MAX(IF(INSTOCK!$H$3:$H$6125=B170,INSTOCK!$K$3:$K$6125))</f>
        <v>3</v>
      </c>
      <c r="H170" s="50">
        <f t="array" ref="H170">SUM(IF(INSTOCK!$H$3:$H$6125=B170,INSTOCK!$I$3:$I$6125))</f>
        <v>2696</v>
      </c>
      <c r="I170" s="50" t="str">
        <f>ARRAY_CONSTRAIN(ARRAYFORMULA(SUM(IF([3]!Table13[ID]=B170,[3]!Table13[QTY]))), 1, 1)</f>
        <v>#ERROR!</v>
      </c>
      <c r="J170" s="50" t="str">
        <f>TABLEITEM!$H$3:$H$2749-TABLEITEM!$I$3:$I$2749</f>
        <v>#ERROR!</v>
      </c>
    </row>
    <row r="171" ht="15.75" customHeight="1">
      <c r="A171" s="45">
        <v>407.0</v>
      </c>
      <c r="B171" s="10" t="s">
        <v>292</v>
      </c>
      <c r="C171" s="26"/>
      <c r="D171" s="10" t="s">
        <v>7374</v>
      </c>
      <c r="E171" s="48" t="s">
        <v>7287</v>
      </c>
      <c r="F171" s="48" t="s">
        <v>7173</v>
      </c>
      <c r="G171" s="49">
        <f t="array" ref="G171">MAX(IF(INSTOCK!$H$3:$H$6125=B171,INSTOCK!$K$3:$K$6125))</f>
        <v>5.5</v>
      </c>
      <c r="H171" s="50">
        <f t="array" ref="H171">SUM(IF(INSTOCK!$H$3:$H$6125=B171,INSTOCK!$I$3:$I$6125))</f>
        <v>1133</v>
      </c>
      <c r="I171" s="50" t="str">
        <f>ARRAY_CONSTRAIN(ARRAYFORMULA(SUM(IF([3]!Table13[ID]=B171,[3]!Table13[QTY]))), 1, 1)</f>
        <v>#ERROR!</v>
      </c>
      <c r="J171" s="50" t="str">
        <f>TABLEITEM!$H$3:$H$2749-TABLEITEM!$I$3:$I$2749</f>
        <v>#ERROR!</v>
      </c>
    </row>
    <row r="172" ht="15.75" customHeight="1">
      <c r="A172" s="45"/>
      <c r="B172" s="10" t="s">
        <v>2490</v>
      </c>
      <c r="C172" s="26"/>
      <c r="D172" s="10" t="s">
        <v>7375</v>
      </c>
      <c r="E172" s="48" t="s">
        <v>7376</v>
      </c>
      <c r="F172" s="48" t="s">
        <v>7173</v>
      </c>
      <c r="G172" s="49">
        <f t="array" ref="G172">MAX(IF(INSTOCK!$H$3:$H$6125=B172,INSTOCK!$K$3:$K$6125))</f>
        <v>650</v>
      </c>
      <c r="H172" s="50">
        <f t="array" ref="H172">SUM(IF(INSTOCK!$H$3:$H$6125=B172,INSTOCK!$I$3:$I$6125))</f>
        <v>2</v>
      </c>
      <c r="I172" s="50" t="str">
        <f>ARRAY_CONSTRAIN(ARRAYFORMULA(SUM(IF([3]!Table13[ID]=B172,[3]!Table13[QTY]))), 1, 1)</f>
        <v>#ERROR!</v>
      </c>
      <c r="J172" s="50" t="str">
        <f>TABLEITEM!$H$3:$H$2749-TABLEITEM!$I$3:$I$2749</f>
        <v>#ERROR!</v>
      </c>
    </row>
    <row r="173" ht="15.75" customHeight="1">
      <c r="A173" s="45"/>
      <c r="B173" s="10" t="s">
        <v>7377</v>
      </c>
      <c r="C173" s="26"/>
      <c r="D173" s="10" t="s">
        <v>7378</v>
      </c>
      <c r="E173" s="48" t="s">
        <v>7207</v>
      </c>
      <c r="F173" s="48" t="s">
        <v>7173</v>
      </c>
      <c r="G173" s="49">
        <f t="array" ref="G173">MAX(IF(INSTOCK!$H$3:$H$6125=B173,INSTOCK!$K$3:$K$6125))</f>
        <v>0</v>
      </c>
      <c r="H173" s="50">
        <f t="array" ref="H173">SUM(IF(INSTOCK!$H$3:$H$6125=B173,INSTOCK!$I$3:$I$6125))</f>
        <v>0</v>
      </c>
      <c r="I173" s="50" t="str">
        <f>ARRAY_CONSTRAIN(ARRAYFORMULA(SUM(IF([3]!Table13[ID]=B173,[3]!Table13[QTY]))), 1, 1)</f>
        <v>#ERROR!</v>
      </c>
      <c r="J173" s="50" t="str">
        <f>TABLEITEM!$H$3:$H$2749-TABLEITEM!$I$3:$I$2749</f>
        <v>#ERROR!</v>
      </c>
    </row>
    <row r="174" ht="15.75" customHeight="1">
      <c r="A174" s="45"/>
      <c r="B174" s="10" t="s">
        <v>7379</v>
      </c>
      <c r="C174" s="26"/>
      <c r="D174" s="10" t="s">
        <v>7380</v>
      </c>
      <c r="E174" s="10" t="s">
        <v>7249</v>
      </c>
      <c r="F174" s="48" t="s">
        <v>7173</v>
      </c>
      <c r="G174" s="49">
        <f t="array" ref="G174">MAX(IF(INSTOCK!$H$3:$H$6125=B174,INSTOCK!$K$3:$K$6125))</f>
        <v>0</v>
      </c>
      <c r="H174" s="50">
        <f t="array" ref="H174">SUM(IF(INSTOCK!$H$3:$H$6125=B174,INSTOCK!$I$3:$I$6125))</f>
        <v>0</v>
      </c>
      <c r="I174" s="50" t="str">
        <f>ARRAY_CONSTRAIN(ARRAYFORMULA(SUM(IF([3]!Table13[ID]=B174,[3]!Table13[QTY]))), 1, 1)</f>
        <v>#ERROR!</v>
      </c>
      <c r="J174" s="50" t="str">
        <f>TABLEITEM!$H$3:$H$2749-TABLEITEM!$I$3:$I$2749</f>
        <v>#ERROR!</v>
      </c>
    </row>
    <row r="175" ht="15.75" customHeight="1">
      <c r="A175" s="45"/>
      <c r="B175" s="10" t="s">
        <v>4704</v>
      </c>
      <c r="C175" s="26"/>
      <c r="D175" s="10" t="s">
        <v>7381</v>
      </c>
      <c r="E175" s="10" t="s">
        <v>7235</v>
      </c>
      <c r="F175" s="48" t="s">
        <v>7173</v>
      </c>
      <c r="G175" s="49">
        <f t="array" ref="G175">MAX(IF(INSTOCK!$H$3:$H$6125=B175,INSTOCK!$K$3:$K$6125))</f>
        <v>4.8</v>
      </c>
      <c r="H175" s="50">
        <f t="array" ref="H175">SUM(IF(INSTOCK!$H$3:$H$6125=B175,INSTOCK!$I$3:$I$6125))</f>
        <v>100</v>
      </c>
      <c r="I175" s="50" t="str">
        <f>ARRAY_CONSTRAIN(ARRAYFORMULA(SUM(IF([3]!Table13[ID]=B175,[3]!Table13[QTY]))), 1, 1)</f>
        <v>#ERROR!</v>
      </c>
      <c r="J175" s="50" t="str">
        <f>TABLEITEM!$H$3:$H$2749-TABLEITEM!$I$3:$I$2749</f>
        <v>#ERROR!</v>
      </c>
    </row>
    <row r="176" ht="15.75" customHeight="1">
      <c r="A176" s="45"/>
      <c r="B176" s="10" t="s">
        <v>5673</v>
      </c>
      <c r="C176" s="26"/>
      <c r="D176" s="10" t="s">
        <v>7382</v>
      </c>
      <c r="E176" s="48" t="s">
        <v>7207</v>
      </c>
      <c r="F176" s="48" t="s">
        <v>7173</v>
      </c>
      <c r="G176" s="49">
        <f t="array" ref="G176">MAX(IF(INSTOCK!$H$3:$H$6125=B176,INSTOCK!$K$3:$K$6125))</f>
        <v>0.77</v>
      </c>
      <c r="H176" s="50">
        <f t="array" ref="H176">SUM(IF(INSTOCK!$H$3:$H$6125=B176,INSTOCK!$I$3:$I$6125))</f>
        <v>500</v>
      </c>
      <c r="I176" s="50" t="str">
        <f>ARRAY_CONSTRAIN(ARRAYFORMULA(SUM(IF([3]!Table13[ID]=B176,[3]!Table13[QTY]))), 1, 1)</f>
        <v>#ERROR!</v>
      </c>
      <c r="J176" s="50" t="str">
        <f>TABLEITEM!$H$3:$H$2749-TABLEITEM!$I$3:$I$2749</f>
        <v>#ERROR!</v>
      </c>
    </row>
    <row r="177" ht="15.75" customHeight="1">
      <c r="A177" s="45"/>
      <c r="B177" s="10" t="s">
        <v>7383</v>
      </c>
      <c r="C177" s="26"/>
      <c r="D177" s="10" t="s">
        <v>7384</v>
      </c>
      <c r="E177" s="10" t="s">
        <v>7235</v>
      </c>
      <c r="F177" s="48" t="s">
        <v>7173</v>
      </c>
      <c r="G177" s="49">
        <f t="array" ref="G177">MAX(IF(INSTOCK!$H$3:$H$6125=B177,INSTOCK!$K$3:$K$6125))</f>
        <v>0</v>
      </c>
      <c r="H177" s="50">
        <f t="array" ref="H177">SUM(IF(INSTOCK!$H$3:$H$6125=B177,INSTOCK!$I$3:$I$6125))</f>
        <v>0</v>
      </c>
      <c r="I177" s="50" t="str">
        <f>ARRAY_CONSTRAIN(ARRAYFORMULA(SUM(IF([3]!Table13[ID]=B177,[3]!Table13[QTY]))), 1, 1)</f>
        <v>#ERROR!</v>
      </c>
      <c r="J177" s="50" t="str">
        <f>TABLEITEM!$H$3:$H$2749-TABLEITEM!$I$3:$I$2749</f>
        <v>#ERROR!</v>
      </c>
    </row>
    <row r="178" ht="15.75" customHeight="1">
      <c r="A178" s="45"/>
      <c r="B178" s="10" t="s">
        <v>4616</v>
      </c>
      <c r="C178" s="26"/>
      <c r="D178" s="10" t="s">
        <v>7385</v>
      </c>
      <c r="E178" s="48" t="s">
        <v>7207</v>
      </c>
      <c r="F178" s="48" t="s">
        <v>7173</v>
      </c>
      <c r="G178" s="49">
        <f t="array" ref="G178">MAX(IF(INSTOCK!$H$3:$H$6125=B178,INSTOCK!$K$3:$K$6125))</f>
        <v>0.3</v>
      </c>
      <c r="H178" s="50">
        <f t="array" ref="H178">SUM(IF(INSTOCK!$H$3:$H$6125=B178,INSTOCK!$I$3:$I$6125))</f>
        <v>4000</v>
      </c>
      <c r="I178" s="50" t="str">
        <f>ARRAY_CONSTRAIN(ARRAYFORMULA(SUM(IF([3]!Table13[ID]=B178,[3]!Table13[QTY]))), 1, 1)</f>
        <v>#ERROR!</v>
      </c>
      <c r="J178" s="50" t="str">
        <f>TABLEITEM!$H$3:$H$2749-TABLEITEM!$I$3:$I$2749</f>
        <v>#ERROR!</v>
      </c>
    </row>
    <row r="179" ht="15.75" customHeight="1">
      <c r="A179" s="45"/>
      <c r="B179" s="10" t="s">
        <v>2426</v>
      </c>
      <c r="C179" s="26"/>
      <c r="D179" s="10" t="s">
        <v>7386</v>
      </c>
      <c r="E179" s="48" t="s">
        <v>7207</v>
      </c>
      <c r="F179" s="48" t="s">
        <v>7173</v>
      </c>
      <c r="G179" s="49">
        <f t="array" ref="G179">MAX(IF(INSTOCK!$H$3:$H$6125=B179,INSTOCK!$K$3:$K$6125))</f>
        <v>0.3</v>
      </c>
      <c r="H179" s="50">
        <f t="array" ref="H179">SUM(IF(INSTOCK!$H$3:$H$6125=B179,INSTOCK!$I$3:$I$6125))</f>
        <v>11000</v>
      </c>
      <c r="I179" s="50" t="str">
        <f>ARRAY_CONSTRAIN(ARRAYFORMULA(SUM(IF([3]!Table13[ID]=B179,[3]!Table13[QTY]))), 1, 1)</f>
        <v>#ERROR!</v>
      </c>
      <c r="J179" s="50" t="str">
        <f>TABLEITEM!$H$3:$H$2749-TABLEITEM!$I$3:$I$2749</f>
        <v>#ERROR!</v>
      </c>
    </row>
    <row r="180" ht="15.75" customHeight="1">
      <c r="A180" s="45"/>
      <c r="B180" s="10" t="s">
        <v>4617</v>
      </c>
      <c r="C180" s="26"/>
      <c r="D180" s="10" t="s">
        <v>7387</v>
      </c>
      <c r="E180" s="48" t="s">
        <v>7207</v>
      </c>
      <c r="F180" s="48" t="s">
        <v>7173</v>
      </c>
      <c r="G180" s="49">
        <f t="array" ref="G180">MAX(IF(INSTOCK!$H$3:$H$6125=B180,INSTOCK!$K$3:$K$6125))</f>
        <v>0.9</v>
      </c>
      <c r="H180" s="50">
        <f t="array" ref="H180">SUM(IF(INSTOCK!$H$3:$H$6125=B180,INSTOCK!$I$3:$I$6125))</f>
        <v>200</v>
      </c>
      <c r="I180" s="50" t="str">
        <f>ARRAY_CONSTRAIN(ARRAYFORMULA(SUM(IF([3]!Table13[ID]=B180,[3]!Table13[QTY]))), 1, 1)</f>
        <v>#ERROR!</v>
      </c>
      <c r="J180" s="50" t="str">
        <f>TABLEITEM!$H$3:$H$2749-TABLEITEM!$I$3:$I$2749</f>
        <v>#ERROR!</v>
      </c>
    </row>
    <row r="181" ht="15.75" customHeight="1">
      <c r="A181" s="45"/>
      <c r="B181" s="10" t="s">
        <v>1942</v>
      </c>
      <c r="C181" s="26"/>
      <c r="D181" s="10" t="s">
        <v>7388</v>
      </c>
      <c r="E181" s="48" t="s">
        <v>7213</v>
      </c>
      <c r="F181" s="48" t="s">
        <v>7173</v>
      </c>
      <c r="G181" s="49">
        <f t="array" ref="G181">MAX(IF(INSTOCK!$H$3:$H$6125=B181,INSTOCK!$K$3:$K$6125))</f>
        <v>10</v>
      </c>
      <c r="H181" s="50">
        <f t="array" ref="H181">SUM(IF(INSTOCK!$H$3:$H$6125=B181,INSTOCK!$I$3:$I$6125))</f>
        <v>4311</v>
      </c>
      <c r="I181" s="50" t="str">
        <f>ARRAY_CONSTRAIN(ARRAYFORMULA(SUM(IF([3]!Table13[ID]=B181,[3]!Table13[QTY]))), 1, 1)</f>
        <v>#ERROR!</v>
      </c>
      <c r="J181" s="50" t="str">
        <f>TABLEITEM!$H$3:$H$2749-TABLEITEM!$I$3:$I$2749</f>
        <v>#ERROR!</v>
      </c>
    </row>
    <row r="182" ht="15.75" customHeight="1">
      <c r="A182" s="45"/>
      <c r="B182" s="10" t="s">
        <v>3041</v>
      </c>
      <c r="C182" s="26"/>
      <c r="D182" s="10" t="s">
        <v>7389</v>
      </c>
      <c r="E182" s="48"/>
      <c r="F182" s="48" t="s">
        <v>7173</v>
      </c>
      <c r="G182" s="49">
        <f t="array" ref="G182">MAX(IF(INSTOCK!$H$3:$H$6125=B182,INSTOCK!$K$3:$K$6125))</f>
        <v>11</v>
      </c>
      <c r="H182" s="50">
        <f t="array" ref="H182">SUM(IF(INSTOCK!$H$3:$H$6125=B182,INSTOCK!$I$3:$I$6125))</f>
        <v>24</v>
      </c>
      <c r="I182" s="50" t="str">
        <f>ARRAY_CONSTRAIN(ARRAYFORMULA(SUM(IF([3]!Table13[ID]=B182,[3]!Table13[QTY]))), 1, 1)</f>
        <v>#ERROR!</v>
      </c>
      <c r="J182" s="50" t="str">
        <f>TABLEITEM!$H$3:$H$2749-TABLEITEM!$I$3:$I$2749</f>
        <v>#ERROR!</v>
      </c>
    </row>
    <row r="183" ht="15.75" customHeight="1">
      <c r="A183" s="45"/>
      <c r="B183" s="10" t="s">
        <v>3704</v>
      </c>
      <c r="C183" s="26"/>
      <c r="D183" s="10" t="s">
        <v>7390</v>
      </c>
      <c r="E183" s="48" t="s">
        <v>7207</v>
      </c>
      <c r="F183" s="48" t="s">
        <v>7173</v>
      </c>
      <c r="G183" s="49">
        <f t="array" ref="G183">MAX(IF(INSTOCK!$H$3:$H$6125=B183,INSTOCK!$K$3:$K$6125))</f>
        <v>1.3</v>
      </c>
      <c r="H183" s="50">
        <f t="array" ref="H183">SUM(IF(INSTOCK!$H$3:$H$6125=B183,INSTOCK!$I$3:$I$6125))</f>
        <v>7000</v>
      </c>
      <c r="I183" s="50" t="str">
        <f>ARRAY_CONSTRAIN(ARRAYFORMULA(SUM(IF([3]!Table13[ID]=B183,[3]!Table13[QTY]))), 1, 1)</f>
        <v>#ERROR!</v>
      </c>
      <c r="J183" s="50" t="str">
        <f>TABLEITEM!$H$3:$H$2749-TABLEITEM!$I$3:$I$2749</f>
        <v>#ERROR!</v>
      </c>
    </row>
    <row r="184" ht="15.75" customHeight="1">
      <c r="A184" s="45"/>
      <c r="B184" s="10" t="s">
        <v>2540</v>
      </c>
      <c r="C184" s="26"/>
      <c r="D184" s="10" t="s">
        <v>7391</v>
      </c>
      <c r="E184" s="48" t="s">
        <v>7207</v>
      </c>
      <c r="F184" s="48" t="s">
        <v>7173</v>
      </c>
      <c r="G184" s="49">
        <f t="array" ref="G184">MAX(IF(INSTOCK!$H$3:$H$6125=B184,INSTOCK!$K$3:$K$6125))</f>
        <v>0.18</v>
      </c>
      <c r="H184" s="50">
        <f t="array" ref="H184">SUM(IF(INSTOCK!$H$3:$H$6125=B184,INSTOCK!$I$3:$I$6125))</f>
        <v>3000</v>
      </c>
      <c r="I184" s="50" t="str">
        <f>ARRAY_CONSTRAIN(ARRAYFORMULA(SUM(IF([3]!Table13[ID]=B184,[3]!Table13[QTY]))), 1, 1)</f>
        <v>#ERROR!</v>
      </c>
      <c r="J184" s="50" t="str">
        <f>TABLEITEM!$H$3:$H$2749-TABLEITEM!$I$3:$I$2749</f>
        <v>#ERROR!</v>
      </c>
    </row>
    <row r="185" ht="15.75" customHeight="1">
      <c r="A185" s="45"/>
      <c r="B185" s="10" t="s">
        <v>2512</v>
      </c>
      <c r="C185" s="26"/>
      <c r="D185" s="10" t="s">
        <v>7392</v>
      </c>
      <c r="E185" s="48" t="s">
        <v>7207</v>
      </c>
      <c r="F185" s="48" t="s">
        <v>7173</v>
      </c>
      <c r="G185" s="49">
        <f t="array" ref="G185">MAX(IF(INSTOCK!$H$3:$H$6125=B185,INSTOCK!$K$3:$K$6125))</f>
        <v>1.495</v>
      </c>
      <c r="H185" s="50">
        <f t="array" ref="H185">SUM(IF(INSTOCK!$H$3:$H$6125=B185,INSTOCK!$I$3:$I$6125))</f>
        <v>24970</v>
      </c>
      <c r="I185" s="50" t="str">
        <f>ARRAY_CONSTRAIN(ARRAYFORMULA(SUM(IF([3]!Table13[ID]=B185,[3]!Table13[QTY]))), 1, 1)</f>
        <v>#ERROR!</v>
      </c>
      <c r="J185" s="50" t="str">
        <f>TABLEITEM!$H$3:$H$2749-TABLEITEM!$I$3:$I$2749</f>
        <v>#ERROR!</v>
      </c>
    </row>
    <row r="186" ht="15.75" customHeight="1">
      <c r="A186" s="45"/>
      <c r="B186" s="10" t="s">
        <v>2080</v>
      </c>
      <c r="C186" s="26"/>
      <c r="D186" s="10" t="s">
        <v>7393</v>
      </c>
      <c r="E186" s="48" t="s">
        <v>7207</v>
      </c>
      <c r="F186" s="48" t="s">
        <v>7173</v>
      </c>
      <c r="G186" s="49">
        <f t="array" ref="G186">MAX(IF(INSTOCK!$H$3:$H$6125=B186,INSTOCK!$K$3:$K$6125))</f>
        <v>0.468</v>
      </c>
      <c r="H186" s="50">
        <f t="array" ref="H186">SUM(IF(INSTOCK!$H$3:$H$6125=B186,INSTOCK!$I$3:$I$6125))</f>
        <v>215000</v>
      </c>
      <c r="I186" s="50" t="str">
        <f>ARRAY_CONSTRAIN(ARRAYFORMULA(SUM(IF([3]!Table13[ID]=B186,[3]!Table13[QTY]))), 1, 1)</f>
        <v>#ERROR!</v>
      </c>
      <c r="J186" s="50" t="str">
        <f>TABLEITEM!$H$3:$H$2749-TABLEITEM!$I$3:$I$2749</f>
        <v>#ERROR!</v>
      </c>
    </row>
    <row r="187" ht="15.75" customHeight="1">
      <c r="A187" s="45"/>
      <c r="B187" s="10" t="s">
        <v>4702</v>
      </c>
      <c r="C187" s="26"/>
      <c r="D187" s="10" t="s">
        <v>7394</v>
      </c>
      <c r="E187" s="48" t="s">
        <v>7207</v>
      </c>
      <c r="F187" s="48" t="s">
        <v>7173</v>
      </c>
      <c r="G187" s="49">
        <f t="array" ref="G187">MAX(IF(INSTOCK!$H$3:$H$6125=B187,INSTOCK!$K$3:$K$6125))</f>
        <v>1.4</v>
      </c>
      <c r="H187" s="50">
        <f t="array" ref="H187">SUM(IF(INSTOCK!$H$3:$H$6125=B187,INSTOCK!$I$3:$I$6125))</f>
        <v>2500</v>
      </c>
      <c r="I187" s="50" t="str">
        <f>ARRAY_CONSTRAIN(ARRAYFORMULA(SUM(IF([3]!Table13[ID]=B187,[3]!Table13[QTY]))), 1, 1)</f>
        <v>#ERROR!</v>
      </c>
      <c r="J187" s="50" t="str">
        <f>TABLEITEM!$H$3:$H$2749-TABLEITEM!$I$3:$I$2749</f>
        <v>#ERROR!</v>
      </c>
    </row>
    <row r="188" ht="15.75" customHeight="1">
      <c r="A188" s="45"/>
      <c r="B188" s="10" t="s">
        <v>3226</v>
      </c>
      <c r="C188" s="26"/>
      <c r="D188" s="10" t="s">
        <v>7395</v>
      </c>
      <c r="E188" s="48" t="s">
        <v>7207</v>
      </c>
      <c r="F188" s="48" t="s">
        <v>7173</v>
      </c>
      <c r="G188" s="49">
        <f t="array" ref="G188">MAX(IF(INSTOCK!$H$3:$H$6125=B188,INSTOCK!$K$3:$K$6125))</f>
        <v>0.45</v>
      </c>
      <c r="H188" s="50">
        <f t="array" ref="H188">SUM(IF(INSTOCK!$H$3:$H$6125=B188,INSTOCK!$I$3:$I$6125))</f>
        <v>25500</v>
      </c>
      <c r="I188" s="50" t="str">
        <f>ARRAY_CONSTRAIN(ARRAYFORMULA(SUM(IF([3]!Table13[ID]=B188,[3]!Table13[QTY]))), 1, 1)</f>
        <v>#ERROR!</v>
      </c>
      <c r="J188" s="50" t="str">
        <f>TABLEITEM!$H$3:$H$2749-TABLEITEM!$I$3:$I$2749</f>
        <v>#ERROR!</v>
      </c>
    </row>
    <row r="189" ht="15.75" customHeight="1">
      <c r="A189" s="45"/>
      <c r="B189" s="10" t="s">
        <v>5383</v>
      </c>
      <c r="C189" s="26"/>
      <c r="D189" s="10" t="s">
        <v>7396</v>
      </c>
      <c r="E189" s="48" t="s">
        <v>7207</v>
      </c>
      <c r="F189" s="48" t="s">
        <v>7173</v>
      </c>
      <c r="G189" s="49">
        <f t="array" ref="G189">MAX(IF(INSTOCK!$H$3:$H$6125=B189,INSTOCK!$K$3:$K$6125))</f>
        <v>0.4275</v>
      </c>
      <c r="H189" s="50">
        <f t="array" ref="H189">SUM(IF(INSTOCK!$H$3:$H$6125=B189,INSTOCK!$I$3:$I$6125))</f>
        <v>2000</v>
      </c>
      <c r="I189" s="50" t="str">
        <f>ARRAY_CONSTRAIN(ARRAYFORMULA(SUM(IF([3]!Table13[ID]=B189,[3]!Table13[QTY]))), 1, 1)</f>
        <v>#ERROR!</v>
      </c>
      <c r="J189" s="50" t="str">
        <f>TABLEITEM!$H$3:$H$2749-TABLEITEM!$I$3:$I$2749</f>
        <v>#ERROR!</v>
      </c>
    </row>
    <row r="190" ht="15.75" customHeight="1">
      <c r="A190" s="45"/>
      <c r="B190" s="10" t="s">
        <v>7397</v>
      </c>
      <c r="C190" s="26"/>
      <c r="D190" s="10" t="s">
        <v>7398</v>
      </c>
      <c r="E190" s="48" t="s">
        <v>7207</v>
      </c>
      <c r="F190" s="48" t="s">
        <v>7173</v>
      </c>
      <c r="G190" s="49">
        <f t="array" ref="G190">MAX(IF(INSTOCK!$H$3:$H$6125=B190,INSTOCK!$K$3:$K$6125))</f>
        <v>0</v>
      </c>
      <c r="H190" s="50">
        <f t="array" ref="H190">SUM(IF(INSTOCK!$H$3:$H$6125=B190,INSTOCK!$I$3:$I$6125))</f>
        <v>0</v>
      </c>
      <c r="I190" s="50" t="str">
        <f>ARRAY_CONSTRAIN(ARRAYFORMULA(SUM(IF([3]!Table13[ID]=B190,[3]!Table13[QTY]))), 1, 1)</f>
        <v>#ERROR!</v>
      </c>
      <c r="J190" s="50" t="str">
        <f>TABLEITEM!$H$3:$H$2749-TABLEITEM!$I$3:$I$2749</f>
        <v>#ERROR!</v>
      </c>
    </row>
    <row r="191" ht="15.75" customHeight="1">
      <c r="A191" s="45"/>
      <c r="B191" s="10" t="s">
        <v>3184</v>
      </c>
      <c r="C191" s="26"/>
      <c r="D191" s="10" t="s">
        <v>7399</v>
      </c>
      <c r="E191" s="48" t="s">
        <v>7207</v>
      </c>
      <c r="F191" s="48" t="s">
        <v>7173</v>
      </c>
      <c r="G191" s="49">
        <f t="array" ref="G191">MAX(IF(INSTOCK!$H$3:$H$6125=B191,INSTOCK!$K$3:$K$6125))</f>
        <v>0.16</v>
      </c>
      <c r="H191" s="50">
        <f t="array" ref="H191">SUM(IF(INSTOCK!$H$3:$H$6125=B191,INSTOCK!$I$3:$I$6125))</f>
        <v>51000</v>
      </c>
      <c r="I191" s="50" t="str">
        <f>ARRAY_CONSTRAIN(ARRAYFORMULA(SUM(IF([3]!Table13[ID]=B191,[3]!Table13[QTY]))), 1, 1)</f>
        <v>#ERROR!</v>
      </c>
      <c r="J191" s="50" t="str">
        <f>TABLEITEM!$H$3:$H$2749-TABLEITEM!$I$3:$I$2749</f>
        <v>#ERROR!</v>
      </c>
    </row>
    <row r="192" ht="15.75" customHeight="1">
      <c r="A192" s="45"/>
      <c r="B192" s="10" t="s">
        <v>2228</v>
      </c>
      <c r="C192" s="26"/>
      <c r="D192" s="10" t="s">
        <v>7400</v>
      </c>
      <c r="E192" s="48" t="s">
        <v>7207</v>
      </c>
      <c r="F192" s="48" t="s">
        <v>7173</v>
      </c>
      <c r="G192" s="49">
        <f t="array" ref="G192">MAX(IF(INSTOCK!$H$3:$H$6125=B192,INSTOCK!$K$3:$K$6125))</f>
        <v>0.3</v>
      </c>
      <c r="H192" s="50">
        <f t="array" ref="H192">SUM(IF(INSTOCK!$H$3:$H$6125=B192,INSTOCK!$I$3:$I$6125))</f>
        <v>5000</v>
      </c>
      <c r="I192" s="50" t="str">
        <f>ARRAY_CONSTRAIN(ARRAYFORMULA(SUM(IF([3]!Table13[ID]=B192,[3]!Table13[QTY]))), 1, 1)</f>
        <v>#ERROR!</v>
      </c>
      <c r="J192" s="50" t="str">
        <f>TABLEITEM!$H$3:$H$2749-TABLEITEM!$I$3:$I$2749</f>
        <v>#ERROR!</v>
      </c>
    </row>
    <row r="193" ht="15.75" customHeight="1">
      <c r="A193" s="45"/>
      <c r="B193" s="10" t="s">
        <v>2169</v>
      </c>
      <c r="C193" s="26"/>
      <c r="D193" s="10" t="s">
        <v>7401</v>
      </c>
      <c r="E193" s="48" t="s">
        <v>7207</v>
      </c>
      <c r="F193" s="48" t="s">
        <v>7173</v>
      </c>
      <c r="G193" s="49">
        <f t="array" ref="G193">MAX(IF(INSTOCK!$H$3:$H$6125=B193,INSTOCK!$K$3:$K$6125))</f>
        <v>0.3</v>
      </c>
      <c r="H193" s="50">
        <f t="array" ref="H193">SUM(IF(INSTOCK!$H$3:$H$6125=B193,INSTOCK!$I$3:$I$6125))</f>
        <v>52000</v>
      </c>
      <c r="I193" s="50" t="str">
        <f>ARRAY_CONSTRAIN(ARRAYFORMULA(SUM(IF([3]!Table13[ID]=B193,[3]!Table13[QTY]))), 1, 1)</f>
        <v>#ERROR!</v>
      </c>
      <c r="J193" s="50" t="str">
        <f>TABLEITEM!$H$3:$H$2749-TABLEITEM!$I$3:$I$2749</f>
        <v>#ERROR!</v>
      </c>
    </row>
    <row r="194" ht="17.25" customHeight="1">
      <c r="A194" s="45"/>
      <c r="B194" s="10" t="s">
        <v>6619</v>
      </c>
      <c r="C194" s="26"/>
      <c r="D194" s="10" t="s">
        <v>7402</v>
      </c>
      <c r="E194" s="48" t="s">
        <v>7207</v>
      </c>
      <c r="F194" s="48" t="s">
        <v>7173</v>
      </c>
      <c r="G194" s="49">
        <f t="array" ref="G194">MAX(IF(INSTOCK!$H$3:$H$6125=B194,INSTOCK!$K$3:$K$6125))</f>
        <v>3.2</v>
      </c>
      <c r="H194" s="50">
        <f t="array" ref="H194">SUM(IF(INSTOCK!$H$3:$H$6125=B194,INSTOCK!$I$3:$I$6125))</f>
        <v>200</v>
      </c>
      <c r="I194" s="50" t="str">
        <f>ARRAY_CONSTRAIN(ARRAYFORMULA(SUM(IF([3]!Table13[ID]=B194,[3]!Table13[QTY]))), 1, 1)</f>
        <v>#ERROR!</v>
      </c>
      <c r="J194" s="50" t="str">
        <f>TABLEITEM!$H$3:$H$2749-TABLEITEM!$I$3:$I$2749</f>
        <v>#ERROR!</v>
      </c>
    </row>
    <row r="195" ht="17.25" customHeight="1">
      <c r="A195" s="45"/>
      <c r="B195" s="10" t="s">
        <v>3155</v>
      </c>
      <c r="C195" s="26"/>
      <c r="D195" s="10" t="s">
        <v>7403</v>
      </c>
      <c r="E195" s="48" t="s">
        <v>7207</v>
      </c>
      <c r="F195" s="48" t="s">
        <v>7173</v>
      </c>
      <c r="G195" s="49">
        <f t="array" ref="G195">MAX(IF(INSTOCK!$H$3:$H$6125=B195,INSTOCK!$K$3:$K$6125))</f>
        <v>1.125</v>
      </c>
      <c r="H195" s="50">
        <f t="array" ref="H195">SUM(IF(INSTOCK!$H$3:$H$6125=B195,INSTOCK!$I$3:$I$6125))</f>
        <v>6000</v>
      </c>
      <c r="I195" s="50" t="str">
        <f>ARRAY_CONSTRAIN(ARRAYFORMULA(SUM(IF([3]!Table13[ID]=B195,[3]!Table13[QTY]))), 1, 1)</f>
        <v>#ERROR!</v>
      </c>
      <c r="J195" s="50" t="str">
        <f>TABLEITEM!$H$3:$H$2749-TABLEITEM!$I$3:$I$2749</f>
        <v>#ERROR!</v>
      </c>
    </row>
    <row r="196" ht="15.75" customHeight="1">
      <c r="A196" s="45"/>
      <c r="B196" s="10" t="s">
        <v>2094</v>
      </c>
      <c r="C196" s="26"/>
      <c r="D196" s="10" t="s">
        <v>7404</v>
      </c>
      <c r="E196" s="48" t="s">
        <v>7207</v>
      </c>
      <c r="F196" s="48" t="s">
        <v>7173</v>
      </c>
      <c r="G196" s="49">
        <f t="array" ref="G196">MAX(IF(INSTOCK!$H$3:$H$6125=B196,INSTOCK!$K$3:$K$6125))</f>
        <v>0.75</v>
      </c>
      <c r="H196" s="50">
        <f t="array" ref="H196">SUM(IF(INSTOCK!$H$3:$H$6125=B196,INSTOCK!$I$3:$I$6125))</f>
        <v>8200</v>
      </c>
      <c r="I196" s="50" t="str">
        <f>ARRAY_CONSTRAIN(ARRAYFORMULA(SUM(IF([3]!Table13[ID]=B196,[3]!Table13[QTY]))), 1, 1)</f>
        <v>#ERROR!</v>
      </c>
      <c r="J196" s="50" t="str">
        <f>TABLEITEM!$H$3:$H$2749-TABLEITEM!$I$3:$I$2749</f>
        <v>#ERROR!</v>
      </c>
    </row>
    <row r="197" ht="15.75" customHeight="1">
      <c r="A197" s="45"/>
      <c r="B197" s="10" t="s">
        <v>1300</v>
      </c>
      <c r="C197" s="26"/>
      <c r="D197" s="10" t="s">
        <v>1301</v>
      </c>
      <c r="E197" s="48" t="s">
        <v>1289</v>
      </c>
      <c r="F197" s="48" t="s">
        <v>7173</v>
      </c>
      <c r="G197" s="49">
        <f t="array" ref="G197">MAX(IF(INSTOCK!$H$3:$H$6125=B197,INSTOCK!$K$3:$K$6125))</f>
        <v>21</v>
      </c>
      <c r="H197" s="50">
        <f t="array" ref="H197">SUM(IF(INSTOCK!$H$3:$H$6125=B197,INSTOCK!$I$3:$I$6125))</f>
        <v>2000</v>
      </c>
      <c r="I197" s="50" t="str">
        <f>ARRAY_CONSTRAIN(ARRAYFORMULA(SUM(IF([3]!Table13[ID]=B197,[3]!Table13[QTY]))), 1, 1)</f>
        <v>#ERROR!</v>
      </c>
      <c r="J197" s="50" t="str">
        <f>TABLEITEM!$H$3:$H$2749-TABLEITEM!$I$3:$I$2749</f>
        <v>#ERROR!</v>
      </c>
    </row>
    <row r="198" ht="15.75" customHeight="1">
      <c r="A198" s="45"/>
      <c r="B198" s="10" t="s">
        <v>7405</v>
      </c>
      <c r="C198" s="26"/>
      <c r="D198" s="10" t="s">
        <v>7406</v>
      </c>
      <c r="E198" s="10"/>
      <c r="F198" s="48" t="s">
        <v>7173</v>
      </c>
      <c r="G198" s="49">
        <f t="array" ref="G198">MAX(IF(INSTOCK!$H$3:$H$6125=B198,INSTOCK!$K$3:$K$6125))</f>
        <v>0</v>
      </c>
      <c r="H198" s="50">
        <f t="array" ref="H198">SUM(IF(INSTOCK!$H$3:$H$6125=B198,INSTOCK!$I$3:$I$6125))</f>
        <v>0</v>
      </c>
      <c r="I198" s="50" t="str">
        <f>ARRAY_CONSTRAIN(ARRAYFORMULA(SUM(IF([3]!Table13[ID]=B198,[3]!Table13[QTY]))), 1, 1)</f>
        <v>#ERROR!</v>
      </c>
      <c r="J198" s="50" t="str">
        <f>TABLEITEM!$H$3:$H$2749-TABLEITEM!$I$3:$I$2749</f>
        <v>#ERROR!</v>
      </c>
    </row>
    <row r="199" ht="15.75" customHeight="1">
      <c r="A199" s="45"/>
      <c r="B199" s="10" t="s">
        <v>2122</v>
      </c>
      <c r="C199" s="26"/>
      <c r="D199" s="10" t="s">
        <v>7407</v>
      </c>
      <c r="E199" s="10"/>
      <c r="F199" s="48" t="s">
        <v>7173</v>
      </c>
      <c r="G199" s="49">
        <f t="array" ref="G199">MAX(IF(INSTOCK!$H$3:$H$6125=B199,INSTOCK!$K$3:$K$6125))</f>
        <v>30</v>
      </c>
      <c r="H199" s="50">
        <f t="array" ref="H199">SUM(IF(INSTOCK!$H$3:$H$6125=B199,INSTOCK!$I$3:$I$6125))</f>
        <v>2200</v>
      </c>
      <c r="I199" s="50" t="str">
        <f>ARRAY_CONSTRAIN(ARRAYFORMULA(SUM(IF([3]!Table13[ID]=B199,[3]!Table13[QTY]))), 1, 1)</f>
        <v>#ERROR!</v>
      </c>
      <c r="J199" s="50" t="str">
        <f>TABLEITEM!$H$3:$H$2749-TABLEITEM!$I$3:$I$2749</f>
        <v>#ERROR!</v>
      </c>
    </row>
    <row r="200" ht="15.75" customHeight="1">
      <c r="A200" s="45"/>
      <c r="B200" s="10" t="s">
        <v>3369</v>
      </c>
      <c r="C200" s="26"/>
      <c r="D200" s="10" t="s">
        <v>7408</v>
      </c>
      <c r="E200" s="10"/>
      <c r="F200" s="48" t="s">
        <v>7173</v>
      </c>
      <c r="G200" s="49">
        <f t="array" ref="G200">MAX(IF(INSTOCK!$H$3:$H$6125=B200,INSTOCK!$K$3:$K$6125))</f>
        <v>30</v>
      </c>
      <c r="H200" s="50">
        <f t="array" ref="H200">SUM(IF(INSTOCK!$H$3:$H$6125=B200,INSTOCK!$I$3:$I$6125))</f>
        <v>300</v>
      </c>
      <c r="I200" s="50" t="str">
        <f>ARRAY_CONSTRAIN(ARRAYFORMULA(SUM(IF([3]!Table13[ID]=B200,[3]!Table13[QTY]))), 1, 1)</f>
        <v>#ERROR!</v>
      </c>
      <c r="J200" s="50" t="str">
        <f>TABLEITEM!$H$3:$H$2749-TABLEITEM!$I$3:$I$2749</f>
        <v>#ERROR!</v>
      </c>
    </row>
    <row r="201" ht="15.75" customHeight="1">
      <c r="A201" s="45"/>
      <c r="B201" s="10" t="s">
        <v>1542</v>
      </c>
      <c r="C201" s="26"/>
      <c r="D201" s="10" t="s">
        <v>7409</v>
      </c>
      <c r="E201" s="48" t="s">
        <v>1934</v>
      </c>
      <c r="F201" s="48" t="s">
        <v>7173</v>
      </c>
      <c r="G201" s="49">
        <f t="array" ref="G201">MAX(IF(INSTOCK!$H$3:$H$6125=B201,INSTOCK!$K$3:$K$6125))</f>
        <v>235</v>
      </c>
      <c r="H201" s="50">
        <f t="array" ref="H201">SUM(IF(INSTOCK!$H$3:$H$6125=B201,INSTOCK!$I$3:$I$6125))</f>
        <v>31</v>
      </c>
      <c r="I201" s="50" t="str">
        <f>ARRAY_CONSTRAIN(ARRAYFORMULA(SUM(IF([3]!Table13[ID]=B201,[3]!Table13[QTY]))), 1, 1)</f>
        <v>#ERROR!</v>
      </c>
      <c r="J201" s="50" t="str">
        <f>TABLEITEM!$H$3:$H$2749-TABLEITEM!$I$3:$I$2749</f>
        <v>#ERROR!</v>
      </c>
    </row>
    <row r="202" ht="15.75" customHeight="1">
      <c r="A202" s="45"/>
      <c r="B202" s="10" t="s">
        <v>1523</v>
      </c>
      <c r="C202" s="26"/>
      <c r="D202" s="10" t="s">
        <v>7410</v>
      </c>
      <c r="E202" s="48" t="s">
        <v>1934</v>
      </c>
      <c r="F202" s="48" t="s">
        <v>7173</v>
      </c>
      <c r="G202" s="49">
        <f t="array" ref="G202">MAX(IF(INSTOCK!$H$3:$H$6125=B202,INSTOCK!$K$3:$K$6125))</f>
        <v>60</v>
      </c>
      <c r="H202" s="50">
        <f t="array" ref="H202">SUM(IF(INSTOCK!$H$3:$H$6125=B202,INSTOCK!$I$3:$I$6125))</f>
        <v>62</v>
      </c>
      <c r="I202" s="50" t="str">
        <f>ARRAY_CONSTRAIN(ARRAYFORMULA(SUM(IF([3]!Table13[ID]=B202,[3]!Table13[QTY]))), 1, 1)</f>
        <v>#ERROR!</v>
      </c>
      <c r="J202" s="50" t="str">
        <f>TABLEITEM!$H$3:$H$2749-TABLEITEM!$I$3:$I$2749</f>
        <v>#ERROR!</v>
      </c>
    </row>
    <row r="203" ht="15.75" customHeight="1">
      <c r="A203" s="45"/>
      <c r="B203" s="10" t="s">
        <v>1535</v>
      </c>
      <c r="C203" s="26"/>
      <c r="D203" s="10" t="s">
        <v>7411</v>
      </c>
      <c r="E203" s="48" t="s">
        <v>1934</v>
      </c>
      <c r="F203" s="48" t="s">
        <v>7173</v>
      </c>
      <c r="G203" s="49">
        <f t="array" ref="G203">MAX(IF(INSTOCK!$H$3:$H$6125=B203,INSTOCK!$K$3:$K$6125))</f>
        <v>38</v>
      </c>
      <c r="H203" s="50">
        <f t="array" ref="H203">SUM(IF(INSTOCK!$H$3:$H$6125=B203,INSTOCK!$I$3:$I$6125))</f>
        <v>74</v>
      </c>
      <c r="I203" s="50" t="str">
        <f>ARRAY_CONSTRAIN(ARRAYFORMULA(SUM(IF([3]!Table13[ID]=B203,[3]!Table13[QTY]))), 1, 1)</f>
        <v>#ERROR!</v>
      </c>
      <c r="J203" s="50" t="str">
        <f>TABLEITEM!$H$3:$H$2749-TABLEITEM!$I$3:$I$2749</f>
        <v>#ERROR!</v>
      </c>
    </row>
    <row r="204" ht="15.75" customHeight="1">
      <c r="A204" s="45"/>
      <c r="B204" s="10" t="s">
        <v>2187</v>
      </c>
      <c r="C204" s="26"/>
      <c r="D204" s="10" t="s">
        <v>7412</v>
      </c>
      <c r="E204" s="48" t="s">
        <v>1934</v>
      </c>
      <c r="F204" s="48" t="s">
        <v>7173</v>
      </c>
      <c r="G204" s="49">
        <f t="array" ref="G204">MAX(IF(INSTOCK!$H$3:$H$6125=B204,INSTOCK!$K$3:$K$6125))</f>
        <v>95</v>
      </c>
      <c r="H204" s="50">
        <f t="array" ref="H204">SUM(IF(INSTOCK!$H$3:$H$6125=B204,INSTOCK!$I$3:$I$6125))</f>
        <v>12</v>
      </c>
      <c r="I204" s="50" t="str">
        <f>ARRAY_CONSTRAIN(ARRAYFORMULA(SUM(IF([3]!Table13[ID]=B204,[3]!Table13[QTY]))), 1, 1)</f>
        <v>#ERROR!</v>
      </c>
      <c r="J204" s="50" t="str">
        <f>TABLEITEM!$H$3:$H$2749-TABLEITEM!$I$3:$I$2749</f>
        <v>#ERROR!</v>
      </c>
    </row>
    <row r="205" ht="15.75" customHeight="1">
      <c r="A205" s="45"/>
      <c r="B205" s="10" t="s">
        <v>1540</v>
      </c>
      <c r="C205" s="26"/>
      <c r="D205" s="10" t="s">
        <v>7413</v>
      </c>
      <c r="E205" s="48" t="s">
        <v>1934</v>
      </c>
      <c r="F205" s="48" t="s">
        <v>7173</v>
      </c>
      <c r="G205" s="49">
        <f t="array" ref="G205">MAX(IF(INSTOCK!$H$3:$H$6125=B205,INSTOCK!$K$3:$K$6125))</f>
        <v>146</v>
      </c>
      <c r="H205" s="50">
        <f t="array" ref="H205">SUM(IF(INSTOCK!$H$3:$H$6125=B205,INSTOCK!$I$3:$I$6125))</f>
        <v>46</v>
      </c>
      <c r="I205" s="50" t="str">
        <f>ARRAY_CONSTRAIN(ARRAYFORMULA(SUM(IF([3]!Table13[ID]=B205,[3]!Table13[QTY]))), 1, 1)</f>
        <v>#ERROR!</v>
      </c>
      <c r="J205" s="50" t="str">
        <f>TABLEITEM!$H$3:$H$2749-TABLEITEM!$I$3:$I$2749</f>
        <v>#ERROR!</v>
      </c>
    </row>
    <row r="206" ht="15.75" customHeight="1">
      <c r="A206" s="45">
        <v>306.0</v>
      </c>
      <c r="B206" s="10" t="s">
        <v>187</v>
      </c>
      <c r="C206" s="26"/>
      <c r="D206" s="10" t="s">
        <v>7414</v>
      </c>
      <c r="E206" s="48" t="s">
        <v>7415</v>
      </c>
      <c r="F206" s="48" t="s">
        <v>7173</v>
      </c>
      <c r="G206" s="49">
        <f t="array" ref="G206">MAX(IF(INSTOCK!$H$3:$H$6125=B206,INSTOCK!$K$3:$K$6125))</f>
        <v>1.5</v>
      </c>
      <c r="H206" s="50">
        <f t="array" ref="H206">SUM(IF(INSTOCK!$H$3:$H$6125=B206,INSTOCK!$I$3:$I$6125))</f>
        <v>7087</v>
      </c>
      <c r="I206" s="50" t="str">
        <f>ARRAY_CONSTRAIN(ARRAYFORMULA(SUM(IF([3]!Table13[ID]=B206,[3]!Table13[QTY]))), 1, 1)</f>
        <v>#ERROR!</v>
      </c>
      <c r="J206" s="50" t="str">
        <f>TABLEITEM!$H$3:$H$2749-TABLEITEM!$I$3:$I$2749</f>
        <v>#ERROR!</v>
      </c>
    </row>
    <row r="207" ht="15.75" customHeight="1">
      <c r="A207" s="45"/>
      <c r="B207" s="10" t="s">
        <v>7416</v>
      </c>
      <c r="C207" s="26"/>
      <c r="D207" s="10" t="s">
        <v>7417</v>
      </c>
      <c r="E207" s="10" t="s">
        <v>7418</v>
      </c>
      <c r="F207" s="48" t="s">
        <v>7173</v>
      </c>
      <c r="G207" s="49">
        <f t="array" ref="G207">MAX(IF(INSTOCK!$H$3:$H$6125=B207,INSTOCK!$K$3:$K$6125))</f>
        <v>0</v>
      </c>
      <c r="H207" s="50">
        <f t="array" ref="H207">SUM(IF(INSTOCK!$H$3:$H$6125=B207,INSTOCK!$I$3:$I$6125))</f>
        <v>0</v>
      </c>
      <c r="I207" s="50" t="str">
        <f>ARRAY_CONSTRAIN(ARRAYFORMULA(SUM(IF([3]!Table13[ID]=B207,[3]!Table13[QTY]))), 1, 1)</f>
        <v>#ERROR!</v>
      </c>
      <c r="J207" s="50" t="str">
        <f>TABLEITEM!$H$3:$H$2749-TABLEITEM!$I$3:$I$2749</f>
        <v>#ERROR!</v>
      </c>
    </row>
    <row r="208" ht="15.75" customHeight="1">
      <c r="A208" s="45"/>
      <c r="B208" s="10" t="s">
        <v>2444</v>
      </c>
      <c r="C208" s="26"/>
      <c r="D208" s="10" t="s">
        <v>7419</v>
      </c>
      <c r="E208" s="48" t="s">
        <v>7420</v>
      </c>
      <c r="F208" s="48" t="s">
        <v>7173</v>
      </c>
      <c r="G208" s="49">
        <f t="array" ref="G208">MAX(IF(INSTOCK!$H$3:$H$6125=B208,INSTOCK!$K$3:$K$6125))</f>
        <v>278.3</v>
      </c>
      <c r="H208" s="50">
        <f t="array" ref="H208">SUM(IF(INSTOCK!$H$3:$H$6125=B208,INSTOCK!$I$3:$I$6125))</f>
        <v>23</v>
      </c>
      <c r="I208" s="50" t="str">
        <f>ARRAY_CONSTRAIN(ARRAYFORMULA(SUM(IF([3]!Table13[ID]=B208,[3]!Table13[QTY]))), 1, 1)</f>
        <v>#ERROR!</v>
      </c>
      <c r="J208" s="50" t="str">
        <f>TABLEITEM!$H$3:$H$2749-TABLEITEM!$I$3:$I$2749</f>
        <v>#ERROR!</v>
      </c>
    </row>
    <row r="209" ht="15.75" customHeight="1">
      <c r="A209" s="45"/>
      <c r="B209" s="10" t="s">
        <v>2580</v>
      </c>
      <c r="C209" s="26"/>
      <c r="D209" s="10" t="s">
        <v>7421</v>
      </c>
      <c r="E209" s="48"/>
      <c r="F209" s="48" t="s">
        <v>7173</v>
      </c>
      <c r="G209" s="49">
        <f t="array" ref="G209">MAX(IF(INSTOCK!$H$3:$H$6125=B209,INSTOCK!$K$3:$K$6125))</f>
        <v>240</v>
      </c>
      <c r="H209" s="50">
        <f t="array" ref="H209">SUM(IF(INSTOCK!$H$3:$H$6125=B209,INSTOCK!$I$3:$I$6125))</f>
        <v>17</v>
      </c>
      <c r="I209" s="50" t="str">
        <f>ARRAY_CONSTRAIN(ARRAYFORMULA(SUM(IF([3]!Table13[ID]=B209,[3]!Table13[QTY]))), 1, 1)</f>
        <v>#ERROR!</v>
      </c>
      <c r="J209" s="50" t="str">
        <f>TABLEITEM!$H$3:$H$2749-TABLEITEM!$I$3:$I$2749</f>
        <v>#ERROR!</v>
      </c>
    </row>
    <row r="210" ht="15.75" customHeight="1">
      <c r="A210" s="45"/>
      <c r="B210" s="10" t="s">
        <v>3374</v>
      </c>
      <c r="C210" s="26"/>
      <c r="D210" s="10" t="s">
        <v>7422</v>
      </c>
      <c r="E210" s="48" t="s">
        <v>7423</v>
      </c>
      <c r="F210" s="48" t="s">
        <v>7173</v>
      </c>
      <c r="G210" s="49">
        <f t="array" ref="G210">MAX(IF(INSTOCK!$H$3:$H$6125=B210,INSTOCK!$K$3:$K$6125))</f>
        <v>450.5</v>
      </c>
      <c r="H210" s="50">
        <f t="array" ref="H210">SUM(IF(INSTOCK!$H$3:$H$6125=B210,INSTOCK!$I$3:$I$6125))</f>
        <v>1</v>
      </c>
      <c r="I210" s="50" t="str">
        <f>ARRAY_CONSTRAIN(ARRAYFORMULA(SUM(IF([3]!Table13[ID]=B210,[3]!Table13[QTY]))), 1, 1)</f>
        <v>#ERROR!</v>
      </c>
      <c r="J210" s="50" t="str">
        <f>TABLEITEM!$H$3:$H$2749-TABLEITEM!$I$3:$I$2749</f>
        <v>#ERROR!</v>
      </c>
    </row>
    <row r="211" ht="15.75" customHeight="1">
      <c r="A211" s="45">
        <v>296.0</v>
      </c>
      <c r="B211" s="10" t="s">
        <v>177</v>
      </c>
      <c r="C211" s="26"/>
      <c r="D211" s="10" t="s">
        <v>7424</v>
      </c>
      <c r="E211" s="48" t="s">
        <v>7172</v>
      </c>
      <c r="F211" s="48" t="s">
        <v>7173</v>
      </c>
      <c r="G211" s="49">
        <f t="array" ref="G211">MAX(IF(INSTOCK!$H$3:$H$6125=B211,INSTOCK!$K$3:$K$6125))</f>
        <v>2.38</v>
      </c>
      <c r="H211" s="50">
        <f t="array" ref="H211">SUM(IF(INSTOCK!$H$3:$H$6125=B211,INSTOCK!$I$3:$I$6125))</f>
        <v>1160</v>
      </c>
      <c r="I211" s="50" t="str">
        <f>ARRAY_CONSTRAIN(ARRAYFORMULA(SUM(IF([3]!Table13[ID]=B211,[3]!Table13[QTY]))), 1, 1)</f>
        <v>#ERROR!</v>
      </c>
      <c r="J211" s="50" t="str">
        <f>TABLEITEM!$H$3:$H$2749-TABLEITEM!$I$3:$I$2749</f>
        <v>#ERROR!</v>
      </c>
    </row>
    <row r="212" ht="15.75" customHeight="1">
      <c r="A212" s="45">
        <v>295.0</v>
      </c>
      <c r="B212" s="10" t="s">
        <v>176</v>
      </c>
      <c r="C212" s="26"/>
      <c r="D212" s="10" t="s">
        <v>7425</v>
      </c>
      <c r="E212" s="48" t="s">
        <v>7172</v>
      </c>
      <c r="F212" s="48" t="s">
        <v>7173</v>
      </c>
      <c r="G212" s="49">
        <f t="array" ref="G212">MAX(IF(INSTOCK!$H$3:$H$6125=B212,INSTOCK!$K$3:$K$6125))</f>
        <v>1.18</v>
      </c>
      <c r="H212" s="50">
        <f t="array" ref="H212">SUM(IF(INSTOCK!$H$3:$H$6125=B212,INSTOCK!$I$3:$I$6125))</f>
        <v>1900</v>
      </c>
      <c r="I212" s="50" t="str">
        <f>ARRAY_CONSTRAIN(ARRAYFORMULA(SUM(IF([3]!Table13[ID]=B212,[3]!Table13[QTY]))), 1, 1)</f>
        <v>#ERROR!</v>
      </c>
      <c r="J212" s="50" t="str">
        <f>TABLEITEM!$H$3:$H$2749-TABLEITEM!$I$3:$I$2749</f>
        <v>#ERROR!</v>
      </c>
    </row>
    <row r="213" ht="15.75" customHeight="1">
      <c r="A213" s="45"/>
      <c r="B213" s="10" t="s">
        <v>3325</v>
      </c>
      <c r="C213" s="26"/>
      <c r="D213" s="10" t="s">
        <v>7426</v>
      </c>
      <c r="E213" s="48"/>
      <c r="F213" s="48" t="s">
        <v>7173</v>
      </c>
      <c r="G213" s="49">
        <f t="array" ref="G213">MAX(IF(INSTOCK!$H$3:$H$6125=B213,INSTOCK!$K$3:$K$6125))</f>
        <v>180</v>
      </c>
      <c r="H213" s="50">
        <f t="array" ref="H213">SUM(IF(INSTOCK!$H$3:$H$6125=B213,INSTOCK!$I$3:$I$6125))</f>
        <v>5</v>
      </c>
      <c r="I213" s="50" t="str">
        <f>ARRAY_CONSTRAIN(ARRAYFORMULA(SUM(IF([3]!Table13[ID]=B213,[3]!Table13[QTY]))), 1, 1)</f>
        <v>#ERROR!</v>
      </c>
      <c r="J213" s="50" t="str">
        <f>TABLEITEM!$H$3:$H$2749-TABLEITEM!$I$3:$I$2749</f>
        <v>#ERROR!</v>
      </c>
    </row>
    <row r="214" ht="15.75" customHeight="1">
      <c r="A214" s="45"/>
      <c r="B214" s="10" t="s">
        <v>3167</v>
      </c>
      <c r="C214" s="26"/>
      <c r="D214" s="10" t="s">
        <v>7427</v>
      </c>
      <c r="E214" s="48"/>
      <c r="F214" s="48" t="s">
        <v>7173</v>
      </c>
      <c r="G214" s="49">
        <f t="array" ref="G214">MAX(IF(INSTOCK!$H$3:$H$6125=B214,INSTOCK!$K$3:$K$6125))</f>
        <v>35</v>
      </c>
      <c r="H214" s="50">
        <f t="array" ref="H214">SUM(IF(INSTOCK!$H$3:$H$6125=B214,INSTOCK!$I$3:$I$6125))</f>
        <v>5</v>
      </c>
      <c r="I214" s="50" t="str">
        <f>ARRAY_CONSTRAIN(ARRAYFORMULA(SUM(IF([3]!Table13[ID]=B214,[3]!Table13[QTY]))), 1, 1)</f>
        <v>#ERROR!</v>
      </c>
      <c r="J214" s="50" t="str">
        <f>TABLEITEM!$H$3:$H$2749-TABLEITEM!$I$3:$I$2749</f>
        <v>#ERROR!</v>
      </c>
    </row>
    <row r="215" ht="15.75" customHeight="1">
      <c r="A215" s="45">
        <v>287.0</v>
      </c>
      <c r="B215" s="10" t="s">
        <v>168</v>
      </c>
      <c r="C215" s="26"/>
      <c r="D215" s="10" t="s">
        <v>7428</v>
      </c>
      <c r="E215" s="48" t="s">
        <v>1130</v>
      </c>
      <c r="F215" s="48" t="s">
        <v>7429</v>
      </c>
      <c r="G215" s="49">
        <f t="array" ref="G215">MAX(IF(INSTOCK!$H$3:$H$6125=B215,INSTOCK!$K$3:$K$6125))</f>
        <v>9</v>
      </c>
      <c r="H215" s="50">
        <f t="array" ref="H215">SUM(IF(INSTOCK!$H$3:$H$6125=B215,INSTOCK!$I$3:$I$6125))</f>
        <v>372</v>
      </c>
      <c r="I215" s="50" t="str">
        <f>ARRAY_CONSTRAIN(ARRAYFORMULA(SUM(IF([3]!Table13[ID]=B215,[3]!Table13[QTY]))), 1, 1)</f>
        <v>#ERROR!</v>
      </c>
      <c r="J215" s="50" t="str">
        <f>TABLEITEM!$H$3:$H$2749-TABLEITEM!$I$3:$I$2749</f>
        <v>#ERROR!</v>
      </c>
    </row>
    <row r="216" ht="15.75" customHeight="1">
      <c r="A216" s="45">
        <v>286.0</v>
      </c>
      <c r="B216" s="10" t="s">
        <v>167</v>
      </c>
      <c r="C216" s="26"/>
      <c r="D216" s="10" t="s">
        <v>7430</v>
      </c>
      <c r="E216" s="48" t="s">
        <v>1130</v>
      </c>
      <c r="F216" s="48" t="s">
        <v>7429</v>
      </c>
      <c r="G216" s="49">
        <f t="array" ref="G216">MAX(IF(INSTOCK!$H$3:$H$6125=B216,INSTOCK!$K$3:$K$6125))</f>
        <v>6</v>
      </c>
      <c r="H216" s="50">
        <f t="array" ref="H216">SUM(IF(INSTOCK!$H$3:$H$6125=B216,INSTOCK!$I$3:$I$6125))</f>
        <v>309</v>
      </c>
      <c r="I216" s="50" t="str">
        <f>ARRAY_CONSTRAIN(ARRAYFORMULA(SUM(IF([3]!Table13[ID]=B216,[3]!Table13[QTY]))), 1, 1)</f>
        <v>#ERROR!</v>
      </c>
      <c r="J216" s="50" t="str">
        <f>TABLEITEM!$H$3:$H$2749-TABLEITEM!$I$3:$I$2749</f>
        <v>#ERROR!</v>
      </c>
    </row>
    <row r="217" ht="15.75" customHeight="1">
      <c r="A217" s="45">
        <v>291.0</v>
      </c>
      <c r="B217" s="10" t="s">
        <v>172</v>
      </c>
      <c r="C217" s="26"/>
      <c r="D217" s="10" t="s">
        <v>7431</v>
      </c>
      <c r="E217" s="48" t="s">
        <v>1130</v>
      </c>
      <c r="F217" s="48" t="s">
        <v>7429</v>
      </c>
      <c r="G217" s="49">
        <f t="array" ref="G217">MAX(IF(INSTOCK!$H$3:$H$6125=B217,INSTOCK!$K$3:$K$6125))</f>
        <v>19</v>
      </c>
      <c r="H217" s="50">
        <f t="array" ref="H217">SUM(IF(INSTOCK!$H$3:$H$6125=B217,INSTOCK!$I$3:$I$6125))</f>
        <v>68</v>
      </c>
      <c r="I217" s="50" t="str">
        <f>ARRAY_CONSTRAIN(ARRAYFORMULA(SUM(IF([3]!Table13[ID]=B217,[3]!Table13[QTY]))), 1, 1)</f>
        <v>#ERROR!</v>
      </c>
      <c r="J217" s="50" t="str">
        <f>TABLEITEM!$H$3:$H$2749-TABLEITEM!$I$3:$I$2749</f>
        <v>#ERROR!</v>
      </c>
    </row>
    <row r="218" ht="15.75" customHeight="1">
      <c r="A218" s="45">
        <v>290.0</v>
      </c>
      <c r="B218" s="10" t="s">
        <v>171</v>
      </c>
      <c r="C218" s="26"/>
      <c r="D218" s="10" t="s">
        <v>7432</v>
      </c>
      <c r="E218" s="48" t="s">
        <v>1130</v>
      </c>
      <c r="F218" s="48" t="s">
        <v>7429</v>
      </c>
      <c r="G218" s="49">
        <f t="array" ref="G218">MAX(IF(INSTOCK!$H$3:$H$6125=B218,INSTOCK!$K$3:$K$6125))</f>
        <v>12</v>
      </c>
      <c r="H218" s="50">
        <f t="array" ref="H218">SUM(IF(INSTOCK!$H$3:$H$6125=B218,INSTOCK!$I$3:$I$6125))</f>
        <v>190</v>
      </c>
      <c r="I218" s="50" t="str">
        <f>ARRAY_CONSTRAIN(ARRAYFORMULA(SUM(IF([3]!Table13[ID]=B218,[3]!Table13[QTY]))), 1, 1)</f>
        <v>#ERROR!</v>
      </c>
      <c r="J218" s="50" t="str">
        <f>TABLEITEM!$H$3:$H$2749-TABLEITEM!$I$3:$I$2749</f>
        <v>#ERROR!</v>
      </c>
    </row>
    <row r="219" ht="15.75" customHeight="1">
      <c r="A219" s="45">
        <v>289.0</v>
      </c>
      <c r="B219" s="10" t="s">
        <v>170</v>
      </c>
      <c r="C219" s="26"/>
      <c r="D219" s="10" t="s">
        <v>7433</v>
      </c>
      <c r="E219" s="48" t="s">
        <v>1130</v>
      </c>
      <c r="F219" s="48" t="s">
        <v>7429</v>
      </c>
      <c r="G219" s="49">
        <f t="array" ref="G219">MAX(IF(INSTOCK!$H$3:$H$6125=B219,INSTOCK!$K$3:$K$6125))</f>
        <v>9</v>
      </c>
      <c r="H219" s="50">
        <f t="array" ref="H219">SUM(IF(INSTOCK!$H$3:$H$6125=B219,INSTOCK!$I$3:$I$6125))</f>
        <v>76</v>
      </c>
      <c r="I219" s="50" t="str">
        <f>ARRAY_CONSTRAIN(ARRAYFORMULA(SUM(IF([3]!Table13[ID]=B219,[3]!Table13[QTY]))), 1, 1)</f>
        <v>#ERROR!</v>
      </c>
      <c r="J219" s="50" t="str">
        <f>TABLEITEM!$H$3:$H$2749-TABLEITEM!$I$3:$I$2749</f>
        <v>#ERROR!</v>
      </c>
    </row>
    <row r="220" ht="15.75" customHeight="1">
      <c r="A220" s="45">
        <v>288.0</v>
      </c>
      <c r="B220" s="10" t="s">
        <v>169</v>
      </c>
      <c r="C220" s="26"/>
      <c r="D220" s="10" t="s">
        <v>7434</v>
      </c>
      <c r="E220" s="48" t="s">
        <v>1130</v>
      </c>
      <c r="F220" s="48" t="s">
        <v>7429</v>
      </c>
      <c r="G220" s="49">
        <f t="array" ref="G220">MAX(IF(INSTOCK!$H$3:$H$6125=B220,INSTOCK!$K$3:$K$6125))</f>
        <v>8</v>
      </c>
      <c r="H220" s="50">
        <f t="array" ref="H220">SUM(IF(INSTOCK!$H$3:$H$6125=B220,INSTOCK!$I$3:$I$6125))</f>
        <v>497</v>
      </c>
      <c r="I220" s="50" t="str">
        <f>ARRAY_CONSTRAIN(ARRAYFORMULA(SUM(IF([3]!Table13[ID]=B220,[3]!Table13[QTY]))), 1, 1)</f>
        <v>#ERROR!</v>
      </c>
      <c r="J220" s="50" t="str">
        <f>TABLEITEM!$H$3:$H$2749-TABLEITEM!$I$3:$I$2749</f>
        <v>#ERROR!</v>
      </c>
    </row>
    <row r="221" ht="15.75" customHeight="1">
      <c r="A221" s="45"/>
      <c r="B221" s="10" t="s">
        <v>7435</v>
      </c>
      <c r="C221" s="26"/>
      <c r="D221" s="10" t="s">
        <v>7436</v>
      </c>
      <c r="E221" s="48" t="s">
        <v>7437</v>
      </c>
      <c r="F221" s="48" t="s">
        <v>7173</v>
      </c>
      <c r="G221" s="49">
        <f t="array" ref="G221">MAX(IF(INSTOCK!$H$3:$H$6125=B221,INSTOCK!$K$3:$K$6125))</f>
        <v>0</v>
      </c>
      <c r="H221" s="50">
        <f t="array" ref="H221">SUM(IF(INSTOCK!$H$3:$H$6125=B221,INSTOCK!$I$3:$I$6125))</f>
        <v>0</v>
      </c>
      <c r="I221" s="50" t="str">
        <f>ARRAY_CONSTRAIN(ARRAYFORMULA(SUM(IF([3]!Table13[ID]=B221,[3]!Table13[QTY]))), 1, 1)</f>
        <v>#ERROR!</v>
      </c>
      <c r="J221" s="50" t="str">
        <f>TABLEITEM!$H$3:$H$2749-TABLEITEM!$I$3:$I$2749</f>
        <v>#ERROR!</v>
      </c>
    </row>
    <row r="222" ht="15.75" customHeight="1">
      <c r="A222" s="45"/>
      <c r="B222" s="10" t="s">
        <v>2302</v>
      </c>
      <c r="C222" s="26"/>
      <c r="D222" s="10" t="s">
        <v>7438</v>
      </c>
      <c r="E222" s="48" t="s">
        <v>7439</v>
      </c>
      <c r="F222" s="48" t="s">
        <v>7173</v>
      </c>
      <c r="G222" s="49">
        <f t="array" ref="G222">MAX(IF(INSTOCK!$H$3:$H$6125=B222,INSTOCK!$K$3:$K$6125))</f>
        <v>2.19</v>
      </c>
      <c r="H222" s="50">
        <f t="array" ref="H222">SUM(IF(INSTOCK!$H$3:$H$6125=B222,INSTOCK!$I$3:$I$6125))</f>
        <v>34337</v>
      </c>
      <c r="I222" s="50" t="str">
        <f>ARRAY_CONSTRAIN(ARRAYFORMULA(SUM(IF([3]!Table13[ID]=B222,[3]!Table13[QTY]))), 1, 1)</f>
        <v>#ERROR!</v>
      </c>
      <c r="J222" s="50" t="str">
        <f>TABLEITEM!$H$3:$H$2749-TABLEITEM!$I$3:$I$2749</f>
        <v>#ERROR!</v>
      </c>
    </row>
    <row r="223" ht="15.75" customHeight="1">
      <c r="A223" s="45"/>
      <c r="B223" s="10" t="s">
        <v>2977</v>
      </c>
      <c r="C223" s="26"/>
      <c r="D223" s="10" t="s">
        <v>7440</v>
      </c>
      <c r="E223" s="48"/>
      <c r="F223" s="48" t="s">
        <v>7173</v>
      </c>
      <c r="G223" s="49">
        <f t="array" ref="G223">MAX(IF(INSTOCK!$H$3:$H$6125=B223,INSTOCK!$K$3:$K$6125))</f>
        <v>255</v>
      </c>
      <c r="H223" s="50">
        <f t="array" ref="H223">SUM(IF(INSTOCK!$H$3:$H$6125=B223,INSTOCK!$I$3:$I$6125))</f>
        <v>1</v>
      </c>
      <c r="I223" s="50" t="str">
        <f>ARRAY_CONSTRAIN(ARRAYFORMULA(SUM(IF([3]!Table13[ID]=B223,[3]!Table13[QTY]))), 1, 1)</f>
        <v>#ERROR!</v>
      </c>
      <c r="J223" s="50" t="str">
        <f>TABLEITEM!$H$3:$H$2749-TABLEITEM!$I$3:$I$2749</f>
        <v>#ERROR!</v>
      </c>
    </row>
    <row r="224" ht="15.75" customHeight="1">
      <c r="A224" s="45"/>
      <c r="B224" s="10" t="s">
        <v>2720</v>
      </c>
      <c r="C224" s="26"/>
      <c r="D224" s="10" t="s">
        <v>7441</v>
      </c>
      <c r="E224" s="48"/>
      <c r="F224" s="48" t="s">
        <v>7173</v>
      </c>
      <c r="G224" s="49">
        <f t="array" ref="G224">MAX(IF(INSTOCK!$H$3:$H$6125=B224,INSTOCK!$K$3:$K$6125))</f>
        <v>1300</v>
      </c>
      <c r="H224" s="50">
        <f t="array" ref="H224">SUM(IF(INSTOCK!$H$3:$H$6125=B224,INSTOCK!$I$3:$I$6125))</f>
        <v>60</v>
      </c>
      <c r="I224" s="50" t="str">
        <f>ARRAY_CONSTRAIN(ARRAYFORMULA(SUM(IF([3]!Table13[ID]=B224,[3]!Table13[QTY]))), 1, 1)</f>
        <v>#ERROR!</v>
      </c>
      <c r="J224" s="50" t="str">
        <f>TABLEITEM!$H$3:$H$2749-TABLEITEM!$I$3:$I$2749</f>
        <v>#ERROR!</v>
      </c>
    </row>
    <row r="225" ht="15.75" customHeight="1">
      <c r="A225" s="45"/>
      <c r="B225" s="10" t="s">
        <v>2451</v>
      </c>
      <c r="C225" s="26"/>
      <c r="D225" s="10" t="s">
        <v>7442</v>
      </c>
      <c r="E225" s="48"/>
      <c r="F225" s="48" t="s">
        <v>7173</v>
      </c>
      <c r="G225" s="49">
        <f t="array" ref="G225">MAX(IF(INSTOCK!$H$3:$H$6125=B225,INSTOCK!$K$3:$K$6125))</f>
        <v>180</v>
      </c>
      <c r="H225" s="50">
        <f t="array" ref="H225">SUM(IF(INSTOCK!$H$3:$H$6125=B225,INSTOCK!$I$3:$I$6125))</f>
        <v>573</v>
      </c>
      <c r="I225" s="50" t="str">
        <f>ARRAY_CONSTRAIN(ARRAYFORMULA(SUM(IF([3]!Table13[ID]=B225,[3]!Table13[QTY]))), 1, 1)</f>
        <v>#ERROR!</v>
      </c>
      <c r="J225" s="50" t="str">
        <f>TABLEITEM!$H$3:$H$2749-TABLEITEM!$I$3:$I$2749</f>
        <v>#ERROR!</v>
      </c>
    </row>
    <row r="226" ht="15.75" customHeight="1">
      <c r="A226" s="45">
        <v>183.0</v>
      </c>
      <c r="B226" s="15" t="s">
        <v>64</v>
      </c>
      <c r="C226" s="26"/>
      <c r="D226" s="10" t="s">
        <v>7443</v>
      </c>
      <c r="E226" s="48" t="s">
        <v>7444</v>
      </c>
      <c r="F226" s="48" t="s">
        <v>7445</v>
      </c>
      <c r="G226" s="49">
        <f t="array" ref="G226">MAX(IF(INSTOCK!$H$3:$H$6125=B226,INSTOCK!$K$3:$K$6125))</f>
        <v>41.6666</v>
      </c>
      <c r="H226" s="50">
        <f t="array" ref="H226">SUM(IF(INSTOCK!$H$3:$H$6125=B226,INSTOCK!$I$3:$I$6125))</f>
        <v>36</v>
      </c>
      <c r="I226" s="50" t="str">
        <f>ARRAY_CONSTRAIN(ARRAYFORMULA(SUM(IF([3]!Table13[ID]=B226,[3]!Table13[QTY]))), 1, 1)</f>
        <v>#ERROR!</v>
      </c>
      <c r="J226" s="50" t="str">
        <f>TABLEITEM!$H$3:$H$2749-TABLEITEM!$I$3:$I$2749</f>
        <v>#ERROR!</v>
      </c>
    </row>
    <row r="227" ht="15.75" customHeight="1">
      <c r="A227" s="45">
        <v>186.0</v>
      </c>
      <c r="B227" s="15" t="s">
        <v>67</v>
      </c>
      <c r="C227" s="26"/>
      <c r="D227" s="10" t="s">
        <v>7446</v>
      </c>
      <c r="E227" s="48" t="s">
        <v>7444</v>
      </c>
      <c r="F227" s="48" t="s">
        <v>7445</v>
      </c>
      <c r="G227" s="49">
        <f t="array" ref="G227">MAX(IF(INSTOCK!$H$3:$H$6125=B227,INSTOCK!$K$3:$K$6125))</f>
        <v>41.667</v>
      </c>
      <c r="H227" s="50">
        <f t="array" ref="H227">SUM(IF(INSTOCK!$H$3:$H$6125=B227,INSTOCK!$I$3:$I$6125))</f>
        <v>48</v>
      </c>
      <c r="I227" s="50" t="str">
        <f>ARRAY_CONSTRAIN(ARRAYFORMULA(SUM(IF([3]!Table13[ID]=B227,[3]!Table13[QTY]))), 1, 1)</f>
        <v>#ERROR!</v>
      </c>
      <c r="J227" s="50" t="str">
        <f>TABLEITEM!$H$3:$H$2749-TABLEITEM!$I$3:$I$2749</f>
        <v>#ERROR!</v>
      </c>
    </row>
    <row r="228" ht="15.75" customHeight="1">
      <c r="A228" s="45">
        <v>229.0</v>
      </c>
      <c r="B228" s="15" t="s">
        <v>110</v>
      </c>
      <c r="C228" s="26"/>
      <c r="D228" s="10" t="s">
        <v>7447</v>
      </c>
      <c r="E228" s="48" t="s">
        <v>7444</v>
      </c>
      <c r="F228" s="48" t="s">
        <v>7445</v>
      </c>
      <c r="G228" s="49">
        <f t="array" ref="G228">MAX(IF(INSTOCK!$H$3:$H$6125=B228,INSTOCK!$K$3:$K$6125))</f>
        <v>41.6667</v>
      </c>
      <c r="H228" s="50">
        <f t="array" ref="H228">SUM(IF(INSTOCK!$H$3:$H$6125=B228,INSTOCK!$I$3:$I$6125))</f>
        <v>168</v>
      </c>
      <c r="I228" s="50" t="str">
        <f>ARRAY_CONSTRAIN(ARRAYFORMULA(SUM(IF([3]!Table13[ID]=B228,[3]!Table13[QTY]))), 1, 1)</f>
        <v>#ERROR!</v>
      </c>
      <c r="J228" s="50" t="str">
        <f>TABLEITEM!$H$3:$H$2749-TABLEITEM!$I$3:$I$2749</f>
        <v>#ERROR!</v>
      </c>
    </row>
    <row r="229" ht="15.75" customHeight="1">
      <c r="A229" s="45">
        <v>181.0</v>
      </c>
      <c r="B229" s="15" t="s">
        <v>62</v>
      </c>
      <c r="C229" s="26"/>
      <c r="D229" s="10" t="s">
        <v>7448</v>
      </c>
      <c r="E229" s="48" t="s">
        <v>7444</v>
      </c>
      <c r="F229" s="48" t="s">
        <v>7445</v>
      </c>
      <c r="G229" s="49">
        <f t="array" ref="G229">MAX(IF(INSTOCK!$H$3:$H$6125=B229,INSTOCK!$K$3:$K$6125))</f>
        <v>41.6667</v>
      </c>
      <c r="H229" s="50">
        <f t="array" ref="H229">SUM(IF(INSTOCK!$H$3:$H$6125=B229,INSTOCK!$I$3:$I$6125))</f>
        <v>56</v>
      </c>
      <c r="I229" s="50" t="str">
        <f>ARRAY_CONSTRAIN(ARRAYFORMULA(SUM(IF([3]!Table13[ID]=B229,[3]!Table13[QTY]))), 1, 1)</f>
        <v>#ERROR!</v>
      </c>
      <c r="J229" s="50" t="str">
        <f>TABLEITEM!$H$3:$H$2749-TABLEITEM!$I$3:$I$2749</f>
        <v>#ERROR!</v>
      </c>
    </row>
    <row r="230" ht="15.75" customHeight="1">
      <c r="A230" s="45">
        <v>230.0</v>
      </c>
      <c r="B230" s="15" t="s">
        <v>111</v>
      </c>
      <c r="C230" s="26"/>
      <c r="D230" s="10" t="s">
        <v>1044</v>
      </c>
      <c r="E230" s="48" t="s">
        <v>7444</v>
      </c>
      <c r="F230" s="48" t="s">
        <v>7445</v>
      </c>
      <c r="G230" s="49">
        <f t="array" ref="G230">MAX(IF(INSTOCK!$H$3:$H$6125=B230,INSTOCK!$K$3:$K$6125))</f>
        <v>41.6667</v>
      </c>
      <c r="H230" s="50">
        <f t="array" ref="H230">SUM(IF(INSTOCK!$H$3:$H$6125=B230,INSTOCK!$I$3:$I$6125))</f>
        <v>176</v>
      </c>
      <c r="I230" s="50" t="str">
        <f>ARRAY_CONSTRAIN(ARRAYFORMULA(SUM(IF([3]!Table13[ID]=B230,[3]!Table13[QTY]))), 1, 1)</f>
        <v>#ERROR!</v>
      </c>
      <c r="J230" s="50" t="str">
        <f>TABLEITEM!$H$3:$H$2749-TABLEITEM!$I$3:$I$2749</f>
        <v>#ERROR!</v>
      </c>
    </row>
    <row r="231" ht="17.25" customHeight="1">
      <c r="A231" s="45">
        <v>180.0</v>
      </c>
      <c r="B231" s="15" t="s">
        <v>61</v>
      </c>
      <c r="C231" s="26"/>
      <c r="D231" s="10" t="s">
        <v>7449</v>
      </c>
      <c r="E231" s="48" t="s">
        <v>7444</v>
      </c>
      <c r="F231" s="48" t="s">
        <v>7445</v>
      </c>
      <c r="G231" s="49">
        <f t="array" ref="G231">MAX(IF(INSTOCK!$H$3:$H$6125=B231,INSTOCK!$K$3:$K$6125))</f>
        <v>41.6667</v>
      </c>
      <c r="H231" s="50">
        <f t="array" ref="H231">SUM(IF(INSTOCK!$H$3:$H$6125=B231,INSTOCK!$I$3:$I$6125))</f>
        <v>71</v>
      </c>
      <c r="I231" s="50" t="str">
        <f>ARRAY_CONSTRAIN(ARRAYFORMULA(SUM(IF([3]!Table13[ID]=B231,[3]!Table13[QTY]))), 1, 1)</f>
        <v>#ERROR!</v>
      </c>
      <c r="J231" s="50" t="str">
        <f>TABLEITEM!$H$3:$H$2749-TABLEITEM!$I$3:$I$2749</f>
        <v>#ERROR!</v>
      </c>
    </row>
    <row r="232" ht="17.25" customHeight="1">
      <c r="A232" s="45">
        <v>185.0</v>
      </c>
      <c r="B232" s="15" t="s">
        <v>66</v>
      </c>
      <c r="C232" s="26"/>
      <c r="D232" s="10" t="s">
        <v>1046</v>
      </c>
      <c r="E232" s="48" t="s">
        <v>7444</v>
      </c>
      <c r="F232" s="48" t="s">
        <v>7445</v>
      </c>
      <c r="G232" s="49">
        <f t="array" ref="G232">MAX(IF(INSTOCK!$H$3:$H$6125=B232,INSTOCK!$K$3:$K$6125))</f>
        <v>41.6667</v>
      </c>
      <c r="H232" s="50">
        <f t="array" ref="H232">SUM(IF(INSTOCK!$H$3:$H$6125=B232,INSTOCK!$I$3:$I$6125))</f>
        <v>284</v>
      </c>
      <c r="I232" s="50" t="str">
        <f>ARRAY_CONSTRAIN(ARRAYFORMULA(SUM(IF([3]!Table13[ID]=B232,[3]!Table13[QTY]))), 1, 1)</f>
        <v>#ERROR!</v>
      </c>
      <c r="J232" s="50" t="str">
        <f>TABLEITEM!$H$3:$H$2749-TABLEITEM!$I$3:$I$2749</f>
        <v>#ERROR!</v>
      </c>
    </row>
    <row r="233" ht="17.25" customHeight="1">
      <c r="A233" s="45">
        <v>184.0</v>
      </c>
      <c r="B233" s="15" t="s">
        <v>65</v>
      </c>
      <c r="C233" s="26"/>
      <c r="D233" s="10" t="s">
        <v>7450</v>
      </c>
      <c r="E233" s="48" t="s">
        <v>7444</v>
      </c>
      <c r="F233" s="48" t="s">
        <v>7445</v>
      </c>
      <c r="G233" s="49">
        <f t="array" ref="G233">MAX(IF(INSTOCK!$H$3:$H$6125=B233,INSTOCK!$K$3:$K$6125))</f>
        <v>41.667</v>
      </c>
      <c r="H233" s="50">
        <f t="array" ref="H233">SUM(IF(INSTOCK!$H$3:$H$6125=B233,INSTOCK!$I$3:$I$6125))</f>
        <v>79</v>
      </c>
      <c r="I233" s="50" t="str">
        <f>ARRAY_CONSTRAIN(ARRAYFORMULA(SUM(IF([3]!Table13[ID]=B233,[3]!Table13[QTY]))), 1, 1)</f>
        <v>#ERROR!</v>
      </c>
      <c r="J233" s="50" t="str">
        <f>TABLEITEM!$H$3:$H$2749-TABLEITEM!$I$3:$I$2749</f>
        <v>#ERROR!</v>
      </c>
    </row>
    <row r="234" ht="17.25" customHeight="1">
      <c r="A234" s="45">
        <v>182.0</v>
      </c>
      <c r="B234" s="15" t="s">
        <v>63</v>
      </c>
      <c r="C234" s="26"/>
      <c r="D234" s="10" t="s">
        <v>7451</v>
      </c>
      <c r="E234" s="48" t="s">
        <v>7444</v>
      </c>
      <c r="F234" s="48" t="s">
        <v>7445</v>
      </c>
      <c r="G234" s="49">
        <f t="array" ref="G234">MAX(IF(INSTOCK!$H$3:$H$6125=B234,INSTOCK!$K$3:$K$6125))</f>
        <v>41.6667</v>
      </c>
      <c r="H234" s="50">
        <f t="array" ref="H234">SUM(IF(INSTOCK!$H$3:$H$6125=B234,INSTOCK!$I$3:$I$6125))</f>
        <v>76</v>
      </c>
      <c r="I234" s="50" t="str">
        <f>ARRAY_CONSTRAIN(ARRAYFORMULA(SUM(IF([3]!Table13[ID]=B234,[3]!Table13[QTY]))), 1, 1)</f>
        <v>#ERROR!</v>
      </c>
      <c r="J234" s="50" t="str">
        <f>TABLEITEM!$H$3:$H$2749-TABLEITEM!$I$3:$I$2749</f>
        <v>#ERROR!</v>
      </c>
    </row>
    <row r="235" ht="15.75" customHeight="1">
      <c r="A235" s="45">
        <v>177.0</v>
      </c>
      <c r="B235" s="10" t="s">
        <v>58</v>
      </c>
      <c r="C235" s="26"/>
      <c r="D235" s="10" t="s">
        <v>7452</v>
      </c>
      <c r="E235" s="48" t="s">
        <v>7444</v>
      </c>
      <c r="F235" s="48" t="s">
        <v>7445</v>
      </c>
      <c r="G235" s="49">
        <f t="array" ref="G235">MAX(IF(INSTOCK!$H$3:$H$6125=B235,INSTOCK!$K$3:$K$6125))</f>
        <v>41.6667</v>
      </c>
      <c r="H235" s="50">
        <f t="array" ref="H235">SUM(IF(INSTOCK!$H$3:$H$6125=B235,INSTOCK!$I$3:$I$6125))</f>
        <v>24</v>
      </c>
      <c r="I235" s="50" t="str">
        <f>ARRAY_CONSTRAIN(ARRAYFORMULA(SUM(IF([3]!Table13[ID]=B235,[3]!Table13[QTY]))), 1, 1)</f>
        <v>#ERROR!</v>
      </c>
      <c r="J235" s="50" t="str">
        <f>TABLEITEM!$H$3:$H$2749-TABLEITEM!$I$3:$I$2749</f>
        <v>#ERROR!</v>
      </c>
    </row>
    <row r="236" ht="15.75" customHeight="1">
      <c r="A236" s="45">
        <v>189.0</v>
      </c>
      <c r="B236" s="10" t="s">
        <v>70</v>
      </c>
      <c r="C236" s="26"/>
      <c r="D236" s="10" t="s">
        <v>7453</v>
      </c>
      <c r="E236" s="48" t="s">
        <v>7454</v>
      </c>
      <c r="F236" s="48" t="s">
        <v>7445</v>
      </c>
      <c r="G236" s="49">
        <f t="array" ref="G236">MAX(IF(INSTOCK!$H$3:$H$6125=B236,INSTOCK!$K$3:$K$6125))</f>
        <v>50</v>
      </c>
      <c r="H236" s="50">
        <f t="array" ref="H236">SUM(IF(INSTOCK!$H$3:$H$6125=B236,INSTOCK!$I$3:$I$6125))</f>
        <v>750</v>
      </c>
      <c r="I236" s="50" t="str">
        <f>ARRAY_CONSTRAIN(ARRAYFORMULA(SUM(IF([3]!Table13[ID]=B236,[3]!Table13[QTY]))), 1, 1)</f>
        <v>#ERROR!</v>
      </c>
      <c r="J236" s="50" t="str">
        <f>TABLEITEM!$H$3:$H$2749-TABLEITEM!$I$3:$I$2749</f>
        <v>#ERROR!</v>
      </c>
    </row>
    <row r="237" ht="15.75" customHeight="1">
      <c r="A237" s="45">
        <v>190.0</v>
      </c>
      <c r="B237" s="10" t="s">
        <v>71</v>
      </c>
      <c r="C237" s="26"/>
      <c r="D237" s="10" t="s">
        <v>719</v>
      </c>
      <c r="E237" s="48" t="s">
        <v>7454</v>
      </c>
      <c r="F237" s="48" t="s">
        <v>7445</v>
      </c>
      <c r="G237" s="49">
        <f t="array" ref="G237">MAX(IF(INSTOCK!$H$3:$H$6125=B237,INSTOCK!$K$3:$K$6125))</f>
        <v>50</v>
      </c>
      <c r="H237" s="50">
        <f t="array" ref="H237">SUM(IF(INSTOCK!$H$3:$H$6125=B237,INSTOCK!$I$3:$I$6125))</f>
        <v>888</v>
      </c>
      <c r="I237" s="50" t="str">
        <f>ARRAY_CONSTRAIN(ARRAYFORMULA(SUM(IF([3]!Table13[ID]=B237,[3]!Table13[QTY]))), 1, 1)</f>
        <v>#ERROR!</v>
      </c>
      <c r="J237" s="50" t="str">
        <f>TABLEITEM!$H$3:$H$2749-TABLEITEM!$I$3:$I$2749</f>
        <v>#ERROR!</v>
      </c>
    </row>
    <row r="238" ht="15.75" customHeight="1">
      <c r="A238" s="45">
        <v>187.0</v>
      </c>
      <c r="B238" s="10" t="s">
        <v>68</v>
      </c>
      <c r="C238" s="26"/>
      <c r="D238" s="10" t="s">
        <v>7455</v>
      </c>
      <c r="E238" s="48" t="s">
        <v>7454</v>
      </c>
      <c r="F238" s="48" t="s">
        <v>7445</v>
      </c>
      <c r="G238" s="49">
        <f t="array" ref="G238">MAX(IF(INSTOCK!$H$3:$H$6125=B238,INSTOCK!$K$3:$K$6125))</f>
        <v>50</v>
      </c>
      <c r="H238" s="50">
        <f t="array" ref="H238">SUM(IF(INSTOCK!$H$3:$H$6125=B238,INSTOCK!$I$3:$I$6125))</f>
        <v>171</v>
      </c>
      <c r="I238" s="50" t="str">
        <f>ARRAY_CONSTRAIN(ARRAYFORMULA(SUM(IF([3]!Table13[ID]=B238,[3]!Table13[QTY]))), 1, 1)</f>
        <v>#ERROR!</v>
      </c>
      <c r="J238" s="50" t="str">
        <f>TABLEITEM!$H$3:$H$2749-TABLEITEM!$I$3:$I$2749</f>
        <v>#ERROR!</v>
      </c>
    </row>
    <row r="239" ht="15.75" customHeight="1">
      <c r="A239" s="45">
        <v>188.0</v>
      </c>
      <c r="B239" s="10" t="s">
        <v>69</v>
      </c>
      <c r="C239" s="26"/>
      <c r="D239" s="10" t="s">
        <v>7456</v>
      </c>
      <c r="E239" s="48" t="s">
        <v>7454</v>
      </c>
      <c r="F239" s="48" t="s">
        <v>7445</v>
      </c>
      <c r="G239" s="49">
        <f t="array" ref="G239">MAX(IF(INSTOCK!$H$3:$H$6125=B239,INSTOCK!$K$3:$K$6125))</f>
        <v>50</v>
      </c>
      <c r="H239" s="50">
        <f t="array" ref="H239">SUM(IF(INSTOCK!$H$3:$H$6125=B239,INSTOCK!$I$3:$I$6125))</f>
        <v>90</v>
      </c>
      <c r="I239" s="50" t="str">
        <f>ARRAY_CONSTRAIN(ARRAYFORMULA(SUM(IF([3]!Table13[ID]=B239,[3]!Table13[QTY]))), 1, 1)</f>
        <v>#ERROR!</v>
      </c>
      <c r="J239" s="50" t="str">
        <f>TABLEITEM!$H$3:$H$2749-TABLEITEM!$I$3:$I$2749</f>
        <v>#ERROR!</v>
      </c>
    </row>
    <row r="240" ht="15.75" customHeight="1">
      <c r="A240" s="45">
        <v>191.0</v>
      </c>
      <c r="B240" s="10" t="s">
        <v>72</v>
      </c>
      <c r="C240" s="26"/>
      <c r="D240" s="10" t="s">
        <v>7457</v>
      </c>
      <c r="E240" s="48" t="s">
        <v>743</v>
      </c>
      <c r="F240" s="48" t="s">
        <v>7445</v>
      </c>
      <c r="G240" s="49">
        <f t="array" ref="G240">MAX(IF(INSTOCK!$H$3:$H$6125=B240,INSTOCK!$K$3:$K$6125))</f>
        <v>139.5</v>
      </c>
      <c r="H240" s="50">
        <f t="array" ref="H240">SUM(IF(INSTOCK!$H$3:$H$6125=B240,INSTOCK!$I$3:$I$6125))</f>
        <v>166</v>
      </c>
      <c r="I240" s="50" t="str">
        <f>ARRAY_CONSTRAIN(ARRAYFORMULA(SUM(IF([3]!Table13[ID]=B240,[3]!Table13[QTY]))), 1, 1)</f>
        <v>#ERROR!</v>
      </c>
      <c r="J240" s="50" t="str">
        <f>TABLEITEM!$H$3:$H$2749-TABLEITEM!$I$3:$I$2749</f>
        <v>#ERROR!</v>
      </c>
    </row>
    <row r="241" ht="15.75" customHeight="1">
      <c r="A241" s="45"/>
      <c r="B241" s="10" t="s">
        <v>1678</v>
      </c>
      <c r="C241" s="26"/>
      <c r="D241" s="10" t="s">
        <v>7458</v>
      </c>
      <c r="E241" s="48" t="s">
        <v>7459</v>
      </c>
      <c r="F241" s="48" t="s">
        <v>7173</v>
      </c>
      <c r="G241" s="49">
        <f t="array" ref="G241">MAX(IF(INSTOCK!$H$3:$H$6125=B241,INSTOCK!$K$3:$K$6125))</f>
        <v>200</v>
      </c>
      <c r="H241" s="50">
        <f t="array" ref="H241">SUM(IF(INSTOCK!$H$3:$H$6125=B241,INSTOCK!$I$3:$I$6125))</f>
        <v>4</v>
      </c>
      <c r="I241" s="50" t="str">
        <f>ARRAY_CONSTRAIN(ARRAYFORMULA(SUM(IF([3]!Table13[ID]=B241,[3]!Table13[QTY]))), 1, 1)</f>
        <v>#ERROR!</v>
      </c>
      <c r="J241" s="50" t="str">
        <f>TABLEITEM!$H$3:$H$2749-TABLEITEM!$I$3:$I$2749</f>
        <v>#ERROR!</v>
      </c>
    </row>
    <row r="242" ht="15.75" customHeight="1">
      <c r="A242" s="45"/>
      <c r="B242" s="10" t="s">
        <v>899</v>
      </c>
      <c r="C242" s="26"/>
      <c r="D242" s="10" t="s">
        <v>900</v>
      </c>
      <c r="E242" s="48" t="s">
        <v>898</v>
      </c>
      <c r="F242" s="48" t="s">
        <v>7460</v>
      </c>
      <c r="G242" s="49">
        <f t="array" ref="G242">MAX(IF(INSTOCK!$H$3:$H$6125=B242,INSTOCK!$K$3:$K$6125))</f>
        <v>500</v>
      </c>
      <c r="H242" s="50">
        <f t="array" ref="H242">SUM(IF(INSTOCK!$H$3:$H$6125=B242,INSTOCK!$I$3:$I$6125))</f>
        <v>239</v>
      </c>
      <c r="I242" s="50" t="str">
        <f>ARRAY_CONSTRAIN(ARRAYFORMULA(SUM(IF([3]!Table13[ID]=B242,[3]!Table13[QTY]))), 1, 1)</f>
        <v>#ERROR!</v>
      </c>
      <c r="J242" s="50" t="str">
        <f>TABLEITEM!$H$3:$H$2749-TABLEITEM!$I$3:$I$2749</f>
        <v>#ERROR!</v>
      </c>
    </row>
    <row r="243" ht="15.75" customHeight="1">
      <c r="A243" s="45">
        <v>198.0</v>
      </c>
      <c r="B243" s="10" t="s">
        <v>79</v>
      </c>
      <c r="C243" s="26"/>
      <c r="D243" s="10" t="s">
        <v>7461</v>
      </c>
      <c r="E243" s="48" t="s">
        <v>7462</v>
      </c>
      <c r="F243" s="48" t="s">
        <v>7189</v>
      </c>
      <c r="G243" s="49">
        <f t="array" ref="G243">MAX(IF(INSTOCK!$H$3:$H$6125=B243,INSTOCK!$K$3:$K$6125))</f>
        <v>140</v>
      </c>
      <c r="H243" s="50">
        <f t="array" ref="H243">SUM(IF(INSTOCK!$H$3:$H$6125=B243,INSTOCK!$I$3:$I$6125))</f>
        <v>80</v>
      </c>
      <c r="I243" s="50" t="str">
        <f>ARRAY_CONSTRAIN(ARRAYFORMULA(SUM(IF([3]!Table13[ID]=B243,[3]!Table13[QTY]))), 1, 1)</f>
        <v>#ERROR!</v>
      </c>
      <c r="J243" s="50" t="str">
        <f>TABLEITEM!$H$3:$H$2749-TABLEITEM!$I$3:$I$2749</f>
        <v>#ERROR!</v>
      </c>
    </row>
    <row r="244" ht="15.75" customHeight="1">
      <c r="A244" s="45">
        <v>197.0</v>
      </c>
      <c r="B244" s="10" t="s">
        <v>78</v>
      </c>
      <c r="C244" s="26"/>
      <c r="D244" s="10" t="s">
        <v>7463</v>
      </c>
      <c r="E244" s="48" t="s">
        <v>743</v>
      </c>
      <c r="F244" s="48" t="s">
        <v>7189</v>
      </c>
      <c r="G244" s="49">
        <f t="array" ref="G244">MAX(IF(INSTOCK!$H$3:$H$6125=B244,INSTOCK!$K$3:$K$6125))</f>
        <v>139.5</v>
      </c>
      <c r="H244" s="50">
        <f t="array" ref="H244">SUM(IF(INSTOCK!$H$3:$H$6125=B244,INSTOCK!$I$3:$I$6125))</f>
        <v>20</v>
      </c>
      <c r="I244" s="50" t="str">
        <f>ARRAY_CONSTRAIN(ARRAYFORMULA(SUM(IF([3]!Table13[ID]=B244,[3]!Table13[QTY]))), 1, 1)</f>
        <v>#ERROR!</v>
      </c>
      <c r="J244" s="50" t="str">
        <f>TABLEITEM!$H$3:$H$2749-TABLEITEM!$I$3:$I$2749</f>
        <v>#ERROR!</v>
      </c>
    </row>
    <row r="245" ht="15.75" customHeight="1">
      <c r="A245" s="45">
        <v>193.0</v>
      </c>
      <c r="B245" s="10" t="s">
        <v>74</v>
      </c>
      <c r="C245" s="26"/>
      <c r="D245" s="10" t="s">
        <v>7464</v>
      </c>
      <c r="E245" s="48" t="s">
        <v>743</v>
      </c>
      <c r="F245" s="48" t="s">
        <v>7189</v>
      </c>
      <c r="G245" s="49">
        <f t="array" ref="G245">MAX(IF(INSTOCK!$H$3:$H$6125=B245,INSTOCK!$K$3:$K$6125))</f>
        <v>139.5</v>
      </c>
      <c r="H245" s="50">
        <f t="array" ref="H245">SUM(IF(INSTOCK!$H$3:$H$6125=B245,INSTOCK!$I$3:$I$6125))</f>
        <v>80</v>
      </c>
      <c r="I245" s="50" t="str">
        <f>ARRAY_CONSTRAIN(ARRAYFORMULA(SUM(IF([3]!Table13[ID]=B245,[3]!Table13[QTY]))), 1, 1)</f>
        <v>#ERROR!</v>
      </c>
      <c r="J245" s="50" t="str">
        <f>TABLEITEM!$H$3:$H$2749-TABLEITEM!$I$3:$I$2749</f>
        <v>#ERROR!</v>
      </c>
    </row>
    <row r="246" ht="15.75" customHeight="1">
      <c r="A246" s="45">
        <v>192.0</v>
      </c>
      <c r="B246" s="10" t="s">
        <v>73</v>
      </c>
      <c r="C246" s="26"/>
      <c r="D246" s="10" t="s">
        <v>7465</v>
      </c>
      <c r="E246" s="48" t="s">
        <v>743</v>
      </c>
      <c r="F246" s="48" t="s">
        <v>7189</v>
      </c>
      <c r="G246" s="49">
        <f t="array" ref="G246">MAX(IF(INSTOCK!$H$3:$H$6125=B246,INSTOCK!$K$3:$K$6125))</f>
        <v>139.5</v>
      </c>
      <c r="H246" s="50">
        <f t="array" ref="H246">SUM(IF(INSTOCK!$H$3:$H$6125=B246,INSTOCK!$I$3:$I$6125))</f>
        <v>13240</v>
      </c>
      <c r="I246" s="50" t="str">
        <f>ARRAY_CONSTRAIN(ARRAYFORMULA(SUM(IF([3]!Table13[ID]=B246,[3]!Table13[QTY]))), 1, 1)</f>
        <v>#ERROR!</v>
      </c>
      <c r="J246" s="50" t="str">
        <f>TABLEITEM!$H$3:$H$2749-TABLEITEM!$I$3:$I$2749</f>
        <v>#ERROR!</v>
      </c>
    </row>
    <row r="247" ht="15.75" customHeight="1">
      <c r="A247" s="45">
        <v>194.0</v>
      </c>
      <c r="B247" s="10" t="s">
        <v>75</v>
      </c>
      <c r="C247" s="26"/>
      <c r="D247" s="10" t="s">
        <v>7466</v>
      </c>
      <c r="E247" s="48" t="s">
        <v>743</v>
      </c>
      <c r="F247" s="48" t="s">
        <v>7189</v>
      </c>
      <c r="G247" s="49">
        <f t="array" ref="G247">MAX(IF(INSTOCK!$H$3:$H$6125=B247,INSTOCK!$K$3:$K$6125))</f>
        <v>149.35</v>
      </c>
      <c r="H247" s="50">
        <f t="array" ref="H247">SUM(IF(INSTOCK!$H$3:$H$6125=B247,INSTOCK!$I$3:$I$6125))</f>
        <v>1780</v>
      </c>
      <c r="I247" s="50" t="str">
        <f>ARRAY_CONSTRAIN(ARRAYFORMULA(SUM(IF([3]!Table13[ID]=B247,[3]!Table13[QTY]))), 1, 1)</f>
        <v>#ERROR!</v>
      </c>
      <c r="J247" s="50" t="str">
        <f>TABLEITEM!$H$3:$H$2749-TABLEITEM!$I$3:$I$2749</f>
        <v>#ERROR!</v>
      </c>
    </row>
    <row r="248" ht="15.75" customHeight="1">
      <c r="A248" s="45">
        <v>205.0</v>
      </c>
      <c r="B248" s="10" t="s">
        <v>86</v>
      </c>
      <c r="C248" s="26"/>
      <c r="D248" s="10" t="s">
        <v>744</v>
      </c>
      <c r="E248" s="48" t="s">
        <v>743</v>
      </c>
      <c r="F248" s="48" t="s">
        <v>7189</v>
      </c>
      <c r="G248" s="49">
        <f t="array" ref="G248">MAX(IF(INSTOCK!$H$3:$H$6125=B248,INSTOCK!$K$3:$K$6125))</f>
        <v>145</v>
      </c>
      <c r="H248" s="50">
        <f t="array" ref="H248">SUM(IF(INSTOCK!$H$3:$H$6125=B248,INSTOCK!$I$3:$I$6125))</f>
        <v>7760</v>
      </c>
      <c r="I248" s="50" t="str">
        <f>ARRAY_CONSTRAIN(ARRAYFORMULA(SUM(IF([3]!Table13[ID]=B248,[3]!Table13[QTY]))), 1, 1)</f>
        <v>#ERROR!</v>
      </c>
      <c r="J248" s="50" t="str">
        <f>TABLEITEM!$H$3:$H$2749-TABLEITEM!$I$3:$I$2749</f>
        <v>#ERROR!</v>
      </c>
    </row>
    <row r="249" ht="15.75" customHeight="1">
      <c r="A249" s="45">
        <v>195.0</v>
      </c>
      <c r="B249" s="10" t="s">
        <v>76</v>
      </c>
      <c r="C249" s="26"/>
      <c r="D249" s="10" t="s">
        <v>7467</v>
      </c>
      <c r="E249" s="48" t="s">
        <v>743</v>
      </c>
      <c r="F249" s="48" t="s">
        <v>7189</v>
      </c>
      <c r="G249" s="49">
        <f t="array" ref="G249">MAX(IF(INSTOCK!$H$3:$H$6125=B249,INSTOCK!$K$3:$K$6125))</f>
        <v>139.5</v>
      </c>
      <c r="H249" s="50">
        <f t="array" ref="H249">SUM(IF(INSTOCK!$H$3:$H$6125=B249,INSTOCK!$I$3:$I$6125))</f>
        <v>140</v>
      </c>
      <c r="I249" s="50" t="str">
        <f>ARRAY_CONSTRAIN(ARRAYFORMULA(SUM(IF([3]!Table13[ID]=B249,[3]!Table13[QTY]))), 1, 1)</f>
        <v>#ERROR!</v>
      </c>
      <c r="J249" s="50" t="str">
        <f>TABLEITEM!$H$3:$H$2749-TABLEITEM!$I$3:$I$2749</f>
        <v>#ERROR!</v>
      </c>
    </row>
    <row r="250" ht="15.75" customHeight="1">
      <c r="A250" s="45"/>
      <c r="B250" s="10" t="s">
        <v>1026</v>
      </c>
      <c r="C250" s="26"/>
      <c r="D250" s="10" t="s">
        <v>7468</v>
      </c>
      <c r="E250" s="48" t="s">
        <v>7469</v>
      </c>
      <c r="F250" s="48" t="s">
        <v>7189</v>
      </c>
      <c r="G250" s="49">
        <f t="array" ref="G250">MAX(IF(INSTOCK!$H$3:$H$6125=B250,INSTOCK!$K$3:$K$6125))</f>
        <v>130</v>
      </c>
      <c r="H250" s="50">
        <f t="array" ref="H250">SUM(IF(INSTOCK!$H$3:$H$6125=B250,INSTOCK!$I$3:$I$6125))</f>
        <v>20</v>
      </c>
      <c r="I250" s="50" t="str">
        <f>ARRAY_CONSTRAIN(ARRAYFORMULA(SUM(IF([3]!Table13[ID]=B250,[3]!Table13[QTY]))), 1, 1)</f>
        <v>#ERROR!</v>
      </c>
      <c r="J250" s="50" t="str">
        <f>TABLEITEM!$H$3:$H$2749-TABLEITEM!$I$3:$I$2749</f>
        <v>#ERROR!</v>
      </c>
    </row>
    <row r="251" ht="15.75" customHeight="1">
      <c r="A251" s="45"/>
      <c r="B251" s="10" t="s">
        <v>1331</v>
      </c>
      <c r="C251" s="26"/>
      <c r="D251" s="10" t="s">
        <v>7470</v>
      </c>
      <c r="E251" s="48" t="s">
        <v>7462</v>
      </c>
      <c r="F251" s="48" t="s">
        <v>7189</v>
      </c>
      <c r="G251" s="49">
        <f t="array" ref="G251">MAX(IF(INSTOCK!$H$3:$H$6125=B251,INSTOCK!$K$3:$K$6125))</f>
        <v>135</v>
      </c>
      <c r="H251" s="50">
        <f t="array" ref="H251">SUM(IF(INSTOCK!$H$3:$H$6125=B251,INSTOCK!$I$3:$I$6125))</f>
        <v>20</v>
      </c>
      <c r="I251" s="50" t="str">
        <f>ARRAY_CONSTRAIN(ARRAYFORMULA(SUM(IF([3]!Table13[ID]=B251,[3]!Table13[QTY]))), 1, 1)</f>
        <v>#ERROR!</v>
      </c>
      <c r="J251" s="50" t="str">
        <f>TABLEITEM!$H$3:$H$2749-TABLEITEM!$I$3:$I$2749</f>
        <v>#ERROR!</v>
      </c>
    </row>
    <row r="252" ht="15.75" customHeight="1">
      <c r="A252" s="45">
        <v>228.0</v>
      </c>
      <c r="B252" s="10" t="s">
        <v>109</v>
      </c>
      <c r="C252" s="26"/>
      <c r="D252" s="10" t="s">
        <v>7471</v>
      </c>
      <c r="E252" s="48" t="s">
        <v>7469</v>
      </c>
      <c r="F252" s="48" t="s">
        <v>7189</v>
      </c>
      <c r="G252" s="49">
        <f t="array" ref="G252">MAX(IF(INSTOCK!$H$3:$H$6125=B252,INSTOCK!$K$3:$K$6125))</f>
        <v>180</v>
      </c>
      <c r="H252" s="50">
        <f t="array" ref="H252">SUM(IF(INSTOCK!$H$3:$H$6125=B252,INSTOCK!$I$3:$I$6125))</f>
        <v>160</v>
      </c>
      <c r="I252" s="50" t="str">
        <f>ARRAY_CONSTRAIN(ARRAYFORMULA(SUM(IF([3]!Table13[ID]=B252,[3]!Table13[QTY]))), 1, 1)</f>
        <v>#ERROR!</v>
      </c>
      <c r="J252" s="50" t="str">
        <f>TABLEITEM!$H$3:$H$2749-TABLEITEM!$I$3:$I$2749</f>
        <v>#ERROR!</v>
      </c>
    </row>
    <row r="253" ht="15.75" customHeight="1">
      <c r="A253" s="45">
        <v>227.0</v>
      </c>
      <c r="B253" s="10" t="s">
        <v>108</v>
      </c>
      <c r="C253" s="26"/>
      <c r="D253" s="10" t="s">
        <v>7472</v>
      </c>
      <c r="E253" s="48" t="s">
        <v>7469</v>
      </c>
      <c r="F253" s="48" t="s">
        <v>7189</v>
      </c>
      <c r="G253" s="49">
        <f t="array" ref="G253">MAX(IF(INSTOCK!$H$3:$H$6125=B253,INSTOCK!$K$3:$K$6125))</f>
        <v>180</v>
      </c>
      <c r="H253" s="50">
        <f t="array" ref="H253">SUM(IF(INSTOCK!$H$3:$H$6125=B253,INSTOCK!$I$3:$I$6125))</f>
        <v>20</v>
      </c>
      <c r="I253" s="50" t="str">
        <f>ARRAY_CONSTRAIN(ARRAYFORMULA(SUM(IF([3]!Table13[ID]=B253,[3]!Table13[QTY]))), 1, 1)</f>
        <v>#ERROR!</v>
      </c>
      <c r="J253" s="50" t="str">
        <f>TABLEITEM!$H$3:$H$2749-TABLEITEM!$I$3:$I$2749</f>
        <v>#ERROR!</v>
      </c>
    </row>
    <row r="254" ht="15.75" customHeight="1">
      <c r="A254" s="45"/>
      <c r="B254" s="10" t="s">
        <v>7473</v>
      </c>
      <c r="C254" s="26"/>
      <c r="D254" s="10" t="s">
        <v>7474</v>
      </c>
      <c r="E254" s="48" t="s">
        <v>6442</v>
      </c>
      <c r="F254" s="48" t="s">
        <v>7189</v>
      </c>
      <c r="G254" s="49">
        <f t="array" ref="G254">MAX(IF(INSTOCK!$H$3:$H$6125=B254,INSTOCK!$K$3:$K$6125))</f>
        <v>122</v>
      </c>
      <c r="H254" s="50">
        <f t="array" ref="H254">SUM(IF(INSTOCK!$H$3:$H$6125=B254,INSTOCK!$I$3:$I$6125))</f>
        <v>1360</v>
      </c>
      <c r="I254" s="50" t="str">
        <f>ARRAY_CONSTRAIN(ARRAYFORMULA(SUM(IF([3]!Table13[ID]=B254,[3]!Table13[QTY]))), 1, 1)</f>
        <v>#ERROR!</v>
      </c>
      <c r="J254" s="50" t="str">
        <f>TABLEITEM!$H$3:$H$2749-TABLEITEM!$I$3:$I$2749</f>
        <v>#ERROR!</v>
      </c>
    </row>
    <row r="255" ht="15.75" customHeight="1">
      <c r="A255" s="45"/>
      <c r="B255" s="10" t="s">
        <v>754</v>
      </c>
      <c r="C255" s="26"/>
      <c r="D255" s="10" t="s">
        <v>7475</v>
      </c>
      <c r="E255" s="48" t="s">
        <v>7469</v>
      </c>
      <c r="F255" s="48" t="s">
        <v>7189</v>
      </c>
      <c r="G255" s="49">
        <f t="array" ref="G255">MAX(IF(INSTOCK!$H$3:$H$6125=B255,INSTOCK!$K$3:$K$6125))</f>
        <v>144</v>
      </c>
      <c r="H255" s="50">
        <f t="array" ref="H255">SUM(IF(INSTOCK!$H$3:$H$6125=B255,INSTOCK!$I$3:$I$6125))</f>
        <v>160</v>
      </c>
      <c r="I255" s="50" t="str">
        <f>ARRAY_CONSTRAIN(ARRAYFORMULA(SUM(IF([3]!Table13[ID]=B255,[3]!Table13[QTY]))), 1, 1)</f>
        <v>#ERROR!</v>
      </c>
      <c r="J255" s="50" t="str">
        <f>TABLEITEM!$H$3:$H$2749-TABLEITEM!$I$3:$I$2749</f>
        <v>#ERROR!</v>
      </c>
    </row>
    <row r="256" ht="15.75" customHeight="1">
      <c r="A256" s="45">
        <v>226.0</v>
      </c>
      <c r="B256" s="10" t="s">
        <v>107</v>
      </c>
      <c r="C256" s="26"/>
      <c r="D256" s="10" t="s">
        <v>7476</v>
      </c>
      <c r="E256" s="48" t="s">
        <v>7469</v>
      </c>
      <c r="F256" s="48" t="s">
        <v>7189</v>
      </c>
      <c r="G256" s="49">
        <f t="array" ref="G256">MAX(IF(INSTOCK!$H$3:$H$6125=B256,INSTOCK!$K$3:$K$6125))</f>
        <v>180</v>
      </c>
      <c r="H256" s="50">
        <f t="array" ref="H256">SUM(IF(INSTOCK!$H$3:$H$6125=B256,INSTOCK!$I$3:$I$6125))</f>
        <v>120</v>
      </c>
      <c r="I256" s="50" t="str">
        <f>ARRAY_CONSTRAIN(ARRAYFORMULA(SUM(IF([3]!Table13[ID]=B256,[3]!Table13[QTY]))), 1, 1)</f>
        <v>#ERROR!</v>
      </c>
      <c r="J256" s="50" t="str">
        <f>TABLEITEM!$H$3:$H$2749-TABLEITEM!$I$3:$I$2749</f>
        <v>#ERROR!</v>
      </c>
    </row>
    <row r="257" ht="15.75" customHeight="1">
      <c r="A257" s="45"/>
      <c r="B257" s="10" t="s">
        <v>2351</v>
      </c>
      <c r="C257" s="26"/>
      <c r="D257" s="10" t="s">
        <v>7477</v>
      </c>
      <c r="E257" s="48"/>
      <c r="F257" s="48" t="s">
        <v>7189</v>
      </c>
      <c r="G257" s="49">
        <f t="array" ref="G257">MAX(IF(INSTOCK!$H$3:$H$6125=B257,INSTOCK!$K$3:$K$6125))</f>
        <v>122</v>
      </c>
      <c r="H257" s="50">
        <f t="array" ref="H257">SUM(IF(INSTOCK!$H$3:$H$6125=B257,INSTOCK!$I$3:$I$6125))</f>
        <v>200</v>
      </c>
      <c r="I257" s="50" t="str">
        <f>ARRAY_CONSTRAIN(ARRAYFORMULA(SUM(IF([3]!Table13[ID]=B257,[3]!Table13[QTY]))), 1, 1)</f>
        <v>#ERROR!</v>
      </c>
      <c r="J257" s="50" t="str">
        <f>TABLEITEM!$H$3:$H$2749-TABLEITEM!$I$3:$I$2749</f>
        <v>#ERROR!</v>
      </c>
    </row>
    <row r="258" ht="15.75" customHeight="1">
      <c r="A258" s="45"/>
      <c r="B258" s="10" t="s">
        <v>2358</v>
      </c>
      <c r="C258" s="26"/>
      <c r="D258" s="10" t="s">
        <v>7478</v>
      </c>
      <c r="E258" s="48" t="s">
        <v>7479</v>
      </c>
      <c r="F258" s="48" t="s">
        <v>7189</v>
      </c>
      <c r="G258" s="49">
        <f t="array" ref="G258">MAX(IF(INSTOCK!$H$3:$H$6125=B258,INSTOCK!$K$3:$K$6125))</f>
        <v>153</v>
      </c>
      <c r="H258" s="50">
        <f t="array" ref="H258">SUM(IF(INSTOCK!$H$3:$H$6125=B258,INSTOCK!$I$3:$I$6125))</f>
        <v>220</v>
      </c>
      <c r="I258" s="50" t="str">
        <f>ARRAY_CONSTRAIN(ARRAYFORMULA(SUM(IF([3]!Table13[ID]=B258,[3]!Table13[QTY]))), 1, 1)</f>
        <v>#ERROR!</v>
      </c>
      <c r="J258" s="50" t="str">
        <f>TABLEITEM!$H$3:$H$2749-TABLEITEM!$I$3:$I$2749</f>
        <v>#ERROR!</v>
      </c>
    </row>
    <row r="259" ht="15.75" customHeight="1">
      <c r="A259" s="45"/>
      <c r="B259" s="10" t="s">
        <v>2538</v>
      </c>
      <c r="C259" s="26"/>
      <c r="D259" s="10" t="s">
        <v>7480</v>
      </c>
      <c r="E259" s="48" t="s">
        <v>6442</v>
      </c>
      <c r="F259" s="48" t="s">
        <v>7189</v>
      </c>
      <c r="G259" s="49">
        <f t="array" ref="G259">MAX(IF(INSTOCK!$H$3:$H$6125=B259,INSTOCK!$K$3:$K$6125))</f>
        <v>122</v>
      </c>
      <c r="H259" s="50">
        <f t="array" ref="H259">SUM(IF(INSTOCK!$H$3:$H$6125=B259,INSTOCK!$I$3:$I$6125))</f>
        <v>1580</v>
      </c>
      <c r="I259" s="50" t="str">
        <f>ARRAY_CONSTRAIN(ARRAYFORMULA(SUM(IF([3]!Table13[ID]=B259,[3]!Table13[QTY]))), 1, 1)</f>
        <v>#ERROR!</v>
      </c>
      <c r="J259" s="50" t="str">
        <f>TABLEITEM!$H$3:$H$2749-TABLEITEM!$I$3:$I$2749</f>
        <v>#ERROR!</v>
      </c>
    </row>
    <row r="260" ht="15.75" customHeight="1">
      <c r="A260" s="45">
        <v>225.0</v>
      </c>
      <c r="B260" s="10" t="s">
        <v>106</v>
      </c>
      <c r="C260" s="26"/>
      <c r="D260" s="10" t="s">
        <v>7481</v>
      </c>
      <c r="E260" s="48" t="s">
        <v>7469</v>
      </c>
      <c r="F260" s="48" t="s">
        <v>7189</v>
      </c>
      <c r="G260" s="49">
        <f t="array" ref="G260">MAX(IF(INSTOCK!$H$3:$H$6125=B260,INSTOCK!$K$3:$K$6125))</f>
        <v>180</v>
      </c>
      <c r="H260" s="50">
        <f t="array" ref="H260">SUM(IF(INSTOCK!$H$3:$H$6125=B260,INSTOCK!$I$3:$I$6125))</f>
        <v>40</v>
      </c>
      <c r="I260" s="50" t="str">
        <f>ARRAY_CONSTRAIN(ARRAYFORMULA(SUM(IF([3]!Table13[ID]=B260,[3]!Table13[QTY]))), 1, 1)</f>
        <v>#ERROR!</v>
      </c>
      <c r="J260" s="50" t="str">
        <f>TABLEITEM!$H$3:$H$2749-TABLEITEM!$I$3:$I$2749</f>
        <v>#ERROR!</v>
      </c>
    </row>
    <row r="261" ht="15.75" customHeight="1">
      <c r="A261" s="45"/>
      <c r="B261" s="10" t="s">
        <v>2117</v>
      </c>
      <c r="C261" s="26"/>
      <c r="D261" s="10" t="s">
        <v>7482</v>
      </c>
      <c r="E261" s="48" t="s">
        <v>7469</v>
      </c>
      <c r="F261" s="48" t="s">
        <v>7189</v>
      </c>
      <c r="G261" s="49">
        <f t="array" ref="G261">MAX(IF(INSTOCK!$H$3:$H$6125=B261,INSTOCK!$K$3:$K$6125))</f>
        <v>153</v>
      </c>
      <c r="H261" s="50">
        <f t="array" ref="H261">SUM(IF(INSTOCK!$H$3:$H$6125=B261,INSTOCK!$I$3:$I$6125))</f>
        <v>160</v>
      </c>
      <c r="I261" s="50" t="str">
        <f>ARRAY_CONSTRAIN(ARRAYFORMULA(SUM(IF([3]!Table13[ID]=B261,[3]!Table13[QTY]))), 1, 1)</f>
        <v>#ERROR!</v>
      </c>
      <c r="J261" s="50" t="str">
        <f>TABLEITEM!$H$3:$H$2749-TABLEITEM!$I$3:$I$2749</f>
        <v>#ERROR!</v>
      </c>
    </row>
    <row r="262" ht="15.75" customHeight="1">
      <c r="A262" s="45"/>
      <c r="B262" s="10" t="s">
        <v>712</v>
      </c>
      <c r="C262" s="26"/>
      <c r="D262" s="10" t="s">
        <v>713</v>
      </c>
      <c r="E262" s="48" t="s">
        <v>7469</v>
      </c>
      <c r="F262" s="48" t="s">
        <v>7189</v>
      </c>
      <c r="G262" s="49">
        <f t="array" ref="G262">MAX(IF(INSTOCK!$H$3:$H$6125=B262,INSTOCK!$K$3:$K$6125))</f>
        <v>148.75</v>
      </c>
      <c r="H262" s="50">
        <f t="array" ref="H262">SUM(IF(INSTOCK!$H$3:$H$6125=B262,INSTOCK!$I$3:$I$6125))</f>
        <v>280</v>
      </c>
      <c r="I262" s="50" t="str">
        <f>ARRAY_CONSTRAIN(ARRAYFORMULA(SUM(IF([3]!Table13[ID]=B262,[3]!Table13[QTY]))), 1, 1)</f>
        <v>#ERROR!</v>
      </c>
      <c r="J262" s="50" t="str">
        <f>TABLEITEM!$H$3:$H$2749-TABLEITEM!$I$3:$I$2749</f>
        <v>#ERROR!</v>
      </c>
    </row>
    <row r="263" ht="15.75" customHeight="1">
      <c r="A263" s="45"/>
      <c r="B263" s="10" t="s">
        <v>790</v>
      </c>
      <c r="C263" s="26"/>
      <c r="D263" s="10" t="s">
        <v>7483</v>
      </c>
      <c r="E263" s="48" t="s">
        <v>7469</v>
      </c>
      <c r="F263" s="48" t="s">
        <v>7189</v>
      </c>
      <c r="G263" s="49">
        <f t="array" ref="G263">MAX(IF(INSTOCK!$H$3:$H$6125=B263,INSTOCK!$K$3:$K$6125))</f>
        <v>161.5</v>
      </c>
      <c r="H263" s="50">
        <f t="array" ref="H263">SUM(IF(INSTOCK!$H$3:$H$6125=B263,INSTOCK!$I$3:$I$6125))</f>
        <v>120</v>
      </c>
      <c r="I263" s="50" t="str">
        <f>ARRAY_CONSTRAIN(ARRAYFORMULA(SUM(IF([3]!Table13[ID]=B263,[3]!Table13[QTY]))), 1, 1)</f>
        <v>#ERROR!</v>
      </c>
      <c r="J263" s="50" t="str">
        <f>TABLEITEM!$H$3:$H$2749-TABLEITEM!$I$3:$I$2749</f>
        <v>#ERROR!</v>
      </c>
    </row>
    <row r="264" ht="15.75" customHeight="1">
      <c r="A264" s="45"/>
      <c r="B264" s="10" t="s">
        <v>788</v>
      </c>
      <c r="C264" s="26"/>
      <c r="D264" s="10" t="s">
        <v>7484</v>
      </c>
      <c r="E264" s="48" t="s">
        <v>7469</v>
      </c>
      <c r="F264" s="48" t="s">
        <v>7189</v>
      </c>
      <c r="G264" s="49">
        <f t="array" ref="G264">MAX(IF(INSTOCK!$H$3:$H$6125=B264,INSTOCK!$K$3:$K$6125))</f>
        <v>155</v>
      </c>
      <c r="H264" s="50">
        <f t="array" ref="H264">SUM(IF(INSTOCK!$H$3:$H$6125=B264,INSTOCK!$I$3:$I$6125))</f>
        <v>20</v>
      </c>
      <c r="I264" s="50" t="str">
        <f>ARRAY_CONSTRAIN(ARRAYFORMULA(SUM(IF([3]!Table13[ID]=B264,[3]!Table13[QTY]))), 1, 1)</f>
        <v>#ERROR!</v>
      </c>
      <c r="J264" s="50" t="str">
        <f>TABLEITEM!$H$3:$H$2749-TABLEITEM!$I$3:$I$2749</f>
        <v>#ERROR!</v>
      </c>
    </row>
    <row r="265" ht="15.75" customHeight="1">
      <c r="A265" s="45">
        <v>224.0</v>
      </c>
      <c r="B265" s="10" t="s">
        <v>105</v>
      </c>
      <c r="C265" s="26"/>
      <c r="D265" s="10" t="s">
        <v>7485</v>
      </c>
      <c r="E265" s="48" t="s">
        <v>7469</v>
      </c>
      <c r="F265" s="48" t="s">
        <v>7189</v>
      </c>
      <c r="G265" s="49">
        <f t="array" ref="G265">MAX(IF(INSTOCK!$H$3:$H$6125=B265,INSTOCK!$K$3:$K$6125))</f>
        <v>195</v>
      </c>
      <c r="H265" s="50">
        <f t="array" ref="H265">SUM(IF(INSTOCK!$H$3:$H$6125=B265,INSTOCK!$I$3:$I$6125))</f>
        <v>300</v>
      </c>
      <c r="I265" s="50" t="str">
        <f>ARRAY_CONSTRAIN(ARRAYFORMULA(SUM(IF([3]!Table13[ID]=B265,[3]!Table13[QTY]))), 1, 1)</f>
        <v>#ERROR!</v>
      </c>
      <c r="J265" s="50" t="str">
        <f>TABLEITEM!$H$3:$H$2749-TABLEITEM!$I$3:$I$2749</f>
        <v>#ERROR!</v>
      </c>
    </row>
    <row r="266" ht="15.75" customHeight="1">
      <c r="A266" s="45"/>
      <c r="B266" s="10" t="s">
        <v>2537</v>
      </c>
      <c r="C266" s="26"/>
      <c r="D266" s="10" t="s">
        <v>7486</v>
      </c>
      <c r="E266" s="48" t="s">
        <v>6442</v>
      </c>
      <c r="F266" s="48" t="s">
        <v>7189</v>
      </c>
      <c r="G266" s="49">
        <f t="array" ref="G266">MAX(IF(INSTOCK!$H$3:$H$6125=B266,INSTOCK!$K$3:$K$6125))</f>
        <v>122</v>
      </c>
      <c r="H266" s="50">
        <f t="array" ref="H266">SUM(IF(INSTOCK!$H$3:$H$6125=B266,INSTOCK!$I$3:$I$6125))</f>
        <v>1920</v>
      </c>
      <c r="I266" s="50" t="str">
        <f>ARRAY_CONSTRAIN(ARRAYFORMULA(SUM(IF([3]!Table13[ID]=B266,[3]!Table13[QTY]))), 1, 1)</f>
        <v>#ERROR!</v>
      </c>
      <c r="J266" s="50" t="str">
        <f>TABLEITEM!$H$3:$H$2749-TABLEITEM!$I$3:$I$2749</f>
        <v>#ERROR!</v>
      </c>
    </row>
    <row r="267" ht="15.75" customHeight="1">
      <c r="A267" s="45"/>
      <c r="B267" s="10" t="s">
        <v>1259</v>
      </c>
      <c r="C267" s="26"/>
      <c r="D267" s="10" t="s">
        <v>7487</v>
      </c>
      <c r="E267" s="48" t="s">
        <v>1258</v>
      </c>
      <c r="F267" s="48" t="s">
        <v>7189</v>
      </c>
      <c r="G267" s="49">
        <f t="array" ref="G267">MAX(IF(INSTOCK!$H$3:$H$6125=B267,INSTOCK!$K$3:$K$6125))</f>
        <v>130</v>
      </c>
      <c r="H267" s="50">
        <f t="array" ref="H267">SUM(IF(INSTOCK!$H$3:$H$6125=B267,INSTOCK!$I$3:$I$6125))</f>
        <v>200</v>
      </c>
      <c r="I267" s="50" t="str">
        <f>ARRAY_CONSTRAIN(ARRAYFORMULA(SUM(IF([3]!Table13[ID]=B267,[3]!Table13[QTY]))), 1, 1)</f>
        <v>#ERROR!</v>
      </c>
      <c r="J267" s="50" t="str">
        <f>TABLEITEM!$H$3:$H$2749-TABLEITEM!$I$3:$I$2749</f>
        <v>#ERROR!</v>
      </c>
    </row>
    <row r="268" ht="15.75" customHeight="1">
      <c r="A268" s="45"/>
      <c r="B268" s="10" t="s">
        <v>1261</v>
      </c>
      <c r="C268" s="26"/>
      <c r="D268" s="10" t="s">
        <v>1262</v>
      </c>
      <c r="E268" s="48" t="s">
        <v>1258</v>
      </c>
      <c r="F268" s="48" t="s">
        <v>7189</v>
      </c>
      <c r="G268" s="49">
        <f t="array" ref="G268">MAX(IF(INSTOCK!$H$3:$H$6125=B268,INSTOCK!$K$3:$K$6125))</f>
        <v>130</v>
      </c>
      <c r="H268" s="50">
        <f t="array" ref="H268">SUM(IF(INSTOCK!$H$3:$H$6125=B268,INSTOCK!$I$3:$I$6125))</f>
        <v>200</v>
      </c>
      <c r="I268" s="50" t="str">
        <f>ARRAY_CONSTRAIN(ARRAYFORMULA(SUM(IF([3]!Table13[ID]=B268,[3]!Table13[QTY]))), 1, 1)</f>
        <v>#ERROR!</v>
      </c>
      <c r="J268" s="50" t="str">
        <f>TABLEITEM!$H$3:$H$2749-TABLEITEM!$I$3:$I$2749</f>
        <v>#ERROR!</v>
      </c>
    </row>
    <row r="269" ht="15.75" customHeight="1">
      <c r="A269" s="45">
        <v>196.0</v>
      </c>
      <c r="B269" s="10" t="s">
        <v>77</v>
      </c>
      <c r="C269" s="26"/>
      <c r="D269" s="10" t="s">
        <v>7488</v>
      </c>
      <c r="E269" s="48" t="s">
        <v>743</v>
      </c>
      <c r="F269" s="48" t="s">
        <v>7189</v>
      </c>
      <c r="G269" s="49">
        <f t="array" ref="G269">MAX(IF(INSTOCK!$H$3:$H$6125=B269,INSTOCK!$K$3:$K$6125))</f>
        <v>139.5</v>
      </c>
      <c r="H269" s="50">
        <f t="array" ref="H269">SUM(IF(INSTOCK!$H$3:$H$6125=B269,INSTOCK!$I$3:$I$6125))</f>
        <v>60</v>
      </c>
      <c r="I269" s="50" t="str">
        <f>ARRAY_CONSTRAIN(ARRAYFORMULA(SUM(IF([3]!Table13[ID]=B269,[3]!Table13[QTY]))), 1, 1)</f>
        <v>#ERROR!</v>
      </c>
      <c r="J269" s="50" t="str">
        <f>TABLEITEM!$H$3:$H$2749-TABLEITEM!$I$3:$I$2749</f>
        <v>#ERROR!</v>
      </c>
    </row>
    <row r="270" ht="15.75" customHeight="1">
      <c r="A270" s="45">
        <v>220.0</v>
      </c>
      <c r="B270" s="10" t="s">
        <v>101</v>
      </c>
      <c r="C270" s="26"/>
      <c r="D270" s="10" t="s">
        <v>7489</v>
      </c>
      <c r="E270" s="48" t="s">
        <v>7490</v>
      </c>
      <c r="F270" s="48" t="s">
        <v>7189</v>
      </c>
      <c r="G270" s="49">
        <f t="array" ref="G270">MAX(IF(INSTOCK!$H$3:$H$6125=B270,INSTOCK!$K$3:$K$6125))</f>
        <v>145</v>
      </c>
      <c r="H270" s="50">
        <f t="array" ref="H270">SUM(IF(INSTOCK!$H$3:$H$6125=B270,INSTOCK!$I$3:$I$6125))</f>
        <v>20</v>
      </c>
      <c r="I270" s="50" t="str">
        <f>ARRAY_CONSTRAIN(ARRAYFORMULA(SUM(IF([3]!Table13[ID]=B270,[3]!Table13[QTY]))), 1, 1)</f>
        <v>#ERROR!</v>
      </c>
      <c r="J270" s="50" t="str">
        <f>TABLEITEM!$H$3:$H$2749-TABLEITEM!$I$3:$I$2749</f>
        <v>#ERROR!</v>
      </c>
    </row>
    <row r="271" ht="15.75" customHeight="1">
      <c r="A271" s="45">
        <v>219.0</v>
      </c>
      <c r="B271" s="10" t="s">
        <v>100</v>
      </c>
      <c r="C271" s="26"/>
      <c r="D271" s="10" t="s">
        <v>7491</v>
      </c>
      <c r="E271" s="48" t="s">
        <v>7490</v>
      </c>
      <c r="F271" s="48" t="s">
        <v>7189</v>
      </c>
      <c r="G271" s="49">
        <f t="array" ref="G271">MAX(IF(INSTOCK!$H$3:$H$6125=B271,INSTOCK!$K$3:$K$6125))</f>
        <v>145</v>
      </c>
      <c r="H271" s="50">
        <f t="array" ref="H271">SUM(IF(INSTOCK!$H$3:$H$6125=B271,INSTOCK!$I$3:$I$6125))</f>
        <v>74</v>
      </c>
      <c r="I271" s="50" t="str">
        <f>ARRAY_CONSTRAIN(ARRAYFORMULA(SUM(IF([3]!Table13[ID]=B271,[3]!Table13[QTY]))), 1, 1)</f>
        <v>#ERROR!</v>
      </c>
      <c r="J271" s="50" t="str">
        <f>TABLEITEM!$H$3:$H$2749-TABLEITEM!$I$3:$I$2749</f>
        <v>#ERROR!</v>
      </c>
    </row>
    <row r="272" ht="15.75" customHeight="1">
      <c r="A272" s="45">
        <v>218.0</v>
      </c>
      <c r="B272" s="10" t="s">
        <v>99</v>
      </c>
      <c r="C272" s="26"/>
      <c r="D272" s="10" t="s">
        <v>7492</v>
      </c>
      <c r="E272" s="48" t="s">
        <v>7490</v>
      </c>
      <c r="F272" s="48" t="s">
        <v>7189</v>
      </c>
      <c r="G272" s="49">
        <f t="array" ref="G272">MAX(IF(INSTOCK!$H$3:$H$6125=B272,INSTOCK!$K$3:$K$6125))</f>
        <v>145</v>
      </c>
      <c r="H272" s="50">
        <f t="array" ref="H272">SUM(IF(INSTOCK!$H$3:$H$6125=B272,INSTOCK!$I$3:$I$6125))</f>
        <v>140</v>
      </c>
      <c r="I272" s="50" t="str">
        <f>ARRAY_CONSTRAIN(ARRAYFORMULA(SUM(IF([3]!Table13[ID]=B272,[3]!Table13[QTY]))), 1, 1)</f>
        <v>#ERROR!</v>
      </c>
      <c r="J272" s="50" t="str">
        <f>TABLEITEM!$H$3:$H$2749-TABLEITEM!$I$3:$I$2749</f>
        <v>#ERROR!</v>
      </c>
    </row>
    <row r="273" ht="15.75" customHeight="1">
      <c r="A273" s="45">
        <v>217.0</v>
      </c>
      <c r="B273" s="10" t="s">
        <v>98</v>
      </c>
      <c r="C273" s="26"/>
      <c r="D273" s="10" t="s">
        <v>7493</v>
      </c>
      <c r="E273" s="48" t="s">
        <v>7490</v>
      </c>
      <c r="F273" s="48" t="s">
        <v>7189</v>
      </c>
      <c r="G273" s="49">
        <f t="array" ref="G273">MAX(IF(INSTOCK!$H$3:$H$6125=B273,INSTOCK!$K$3:$K$6125))</f>
        <v>145</v>
      </c>
      <c r="H273" s="50">
        <f t="array" ref="H273">SUM(IF(INSTOCK!$H$3:$H$6125=B273,INSTOCK!$I$3:$I$6125))</f>
        <v>40</v>
      </c>
      <c r="I273" s="50" t="str">
        <f>ARRAY_CONSTRAIN(ARRAYFORMULA(SUM(IF([3]!Table13[ID]=B273,[3]!Table13[QTY]))), 1, 1)</f>
        <v>#ERROR!</v>
      </c>
      <c r="J273" s="50" t="str">
        <f>TABLEITEM!$H$3:$H$2749-TABLEITEM!$I$3:$I$2749</f>
        <v>#ERROR!</v>
      </c>
    </row>
    <row r="274" ht="15.75" customHeight="1">
      <c r="A274" s="45">
        <v>204.0</v>
      </c>
      <c r="B274" s="10" t="s">
        <v>85</v>
      </c>
      <c r="C274" s="26"/>
      <c r="D274" s="10" t="s">
        <v>766</v>
      </c>
      <c r="E274" s="48" t="s">
        <v>765</v>
      </c>
      <c r="F274" s="48" t="s">
        <v>7189</v>
      </c>
      <c r="G274" s="49">
        <f t="array" ref="G274">MAX(IF(INSTOCK!$H$3:$H$6125=B274,INSTOCK!$K$3:$K$6125))</f>
        <v>112</v>
      </c>
      <c r="H274" s="50">
        <f t="array" ref="H274">SUM(IF(INSTOCK!$H$3:$H$6125=B274,INSTOCK!$I$3:$I$6125))</f>
        <v>3360</v>
      </c>
      <c r="I274" s="50" t="str">
        <f>ARRAY_CONSTRAIN(ARRAYFORMULA(SUM(IF([3]!Table13[ID]=B274,[3]!Table13[QTY]))), 1, 1)</f>
        <v>#ERROR!</v>
      </c>
      <c r="J274" s="50" t="str">
        <f>TABLEITEM!$H$3:$H$2749-TABLEITEM!$I$3:$I$2749</f>
        <v>#ERROR!</v>
      </c>
    </row>
    <row r="275" ht="15.75" customHeight="1">
      <c r="A275" s="45">
        <v>223.0</v>
      </c>
      <c r="B275" s="10" t="s">
        <v>104</v>
      </c>
      <c r="C275" s="26"/>
      <c r="D275" s="10" t="s">
        <v>7494</v>
      </c>
      <c r="E275" s="48" t="s">
        <v>7490</v>
      </c>
      <c r="F275" s="48" t="s">
        <v>7189</v>
      </c>
      <c r="G275" s="49">
        <f t="array" ref="G275">MAX(IF(INSTOCK!$H$3:$H$6125=B275,INSTOCK!$K$3:$K$6125))</f>
        <v>140</v>
      </c>
      <c r="H275" s="50">
        <f t="array" ref="H275">SUM(IF(INSTOCK!$H$3:$H$6125=B275,INSTOCK!$I$3:$I$6125))</f>
        <v>160</v>
      </c>
      <c r="I275" s="50" t="str">
        <f>ARRAY_CONSTRAIN(ARRAYFORMULA(SUM(IF([3]!Table13[ID]=B275,[3]!Table13[QTY]))), 1, 1)</f>
        <v>#ERROR!</v>
      </c>
      <c r="J275" s="50" t="str">
        <f>TABLEITEM!$H$3:$H$2749-TABLEITEM!$I$3:$I$2749</f>
        <v>#ERROR!</v>
      </c>
    </row>
    <row r="276" ht="15.75" customHeight="1">
      <c r="A276" s="45">
        <v>222.0</v>
      </c>
      <c r="B276" s="10" t="s">
        <v>103</v>
      </c>
      <c r="C276" s="26"/>
      <c r="D276" s="10" t="s">
        <v>7495</v>
      </c>
      <c r="E276" s="48" t="s">
        <v>7490</v>
      </c>
      <c r="F276" s="48" t="s">
        <v>7189</v>
      </c>
      <c r="G276" s="49">
        <f t="array" ref="G276">MAX(IF(INSTOCK!$H$3:$H$6125=B276,INSTOCK!$K$3:$K$6125))</f>
        <v>140</v>
      </c>
      <c r="H276" s="50">
        <f t="array" ref="H276">SUM(IF(INSTOCK!$H$3:$H$6125=B276,INSTOCK!$I$3:$I$6125))</f>
        <v>220</v>
      </c>
      <c r="I276" s="50" t="str">
        <f>ARRAY_CONSTRAIN(ARRAYFORMULA(SUM(IF([3]!Table13[ID]=B276,[3]!Table13[QTY]))), 1, 1)</f>
        <v>#ERROR!</v>
      </c>
      <c r="J276" s="50" t="str">
        <f>TABLEITEM!$H$3:$H$2749-TABLEITEM!$I$3:$I$2749</f>
        <v>#ERROR!</v>
      </c>
    </row>
    <row r="277" ht="15.75" customHeight="1">
      <c r="A277" s="45">
        <v>221.0</v>
      </c>
      <c r="B277" s="10" t="s">
        <v>102</v>
      </c>
      <c r="C277" s="26"/>
      <c r="D277" s="10" t="s">
        <v>7496</v>
      </c>
      <c r="E277" s="48" t="s">
        <v>7490</v>
      </c>
      <c r="F277" s="48" t="s">
        <v>7189</v>
      </c>
      <c r="G277" s="49">
        <f t="array" ref="G277">MAX(IF(INSTOCK!$H$3:$H$6125=B277,INSTOCK!$K$3:$K$6125))</f>
        <v>145</v>
      </c>
      <c r="H277" s="50">
        <f t="array" ref="H277">SUM(IF(INSTOCK!$H$3:$H$6125=B277,INSTOCK!$I$3:$I$6125))</f>
        <v>220</v>
      </c>
      <c r="I277" s="50" t="str">
        <f>ARRAY_CONSTRAIN(ARRAYFORMULA(SUM(IF([3]!Table13[ID]=B277,[3]!Table13[QTY]))), 1, 1)</f>
        <v>#ERROR!</v>
      </c>
      <c r="J277" s="50" t="str">
        <f>TABLEITEM!$H$3:$H$2749-TABLEITEM!$I$3:$I$2749</f>
        <v>#ERROR!</v>
      </c>
    </row>
    <row r="278" ht="15.75" customHeight="1">
      <c r="A278" s="45">
        <v>206.0</v>
      </c>
      <c r="B278" s="10" t="s">
        <v>87</v>
      </c>
      <c r="C278" s="26"/>
      <c r="D278" s="10" t="s">
        <v>7497</v>
      </c>
      <c r="E278" s="48" t="s">
        <v>765</v>
      </c>
      <c r="F278" s="48" t="s">
        <v>7189</v>
      </c>
      <c r="G278" s="49">
        <f t="array" ref="G278">MAX(IF(INSTOCK!$H$3:$H$6125=B278,INSTOCK!$K$3:$K$6125))</f>
        <v>140</v>
      </c>
      <c r="H278" s="50">
        <f t="array" ref="H278">SUM(IF(INSTOCK!$H$3:$H$6125=B278,INSTOCK!$I$3:$I$6125))</f>
        <v>374</v>
      </c>
      <c r="I278" s="50" t="str">
        <f>ARRAY_CONSTRAIN(ARRAYFORMULA(SUM(IF([3]!Table13[ID]=B278,[3]!Table13[QTY]))), 1, 1)</f>
        <v>#ERROR!</v>
      </c>
      <c r="J278" s="50" t="str">
        <f>TABLEITEM!$H$3:$H$2749-TABLEITEM!$I$3:$I$2749</f>
        <v>#ERROR!</v>
      </c>
    </row>
    <row r="279" ht="15.75" customHeight="1">
      <c r="A279" s="45">
        <v>207.0</v>
      </c>
      <c r="B279" s="10" t="s">
        <v>88</v>
      </c>
      <c r="C279" s="26"/>
      <c r="D279" s="10" t="s">
        <v>7498</v>
      </c>
      <c r="E279" s="48" t="s">
        <v>7462</v>
      </c>
      <c r="F279" s="48" t="s">
        <v>7189</v>
      </c>
      <c r="G279" s="49">
        <f t="array" ref="G279">MAX(IF(INSTOCK!$H$3:$H$6125=B279,INSTOCK!$K$3:$K$6125))</f>
        <v>145</v>
      </c>
      <c r="H279" s="50">
        <f t="array" ref="H279">SUM(IF(INSTOCK!$H$3:$H$6125=B279,INSTOCK!$I$3:$I$6125))</f>
        <v>0</v>
      </c>
      <c r="I279" s="50" t="str">
        <f>ARRAY_CONSTRAIN(ARRAYFORMULA(SUM(IF([3]!Table13[ID]=B279,[3]!Table13[QTY]))), 1, 1)</f>
        <v>#ERROR!</v>
      </c>
      <c r="J279" s="50" t="str">
        <f>TABLEITEM!$H$3:$H$2749-TABLEITEM!$I$3:$I$2749</f>
        <v>#ERROR!</v>
      </c>
    </row>
    <row r="280" ht="15.75" customHeight="1">
      <c r="A280" s="45">
        <v>212.0</v>
      </c>
      <c r="B280" s="10" t="s">
        <v>93</v>
      </c>
      <c r="C280" s="26"/>
      <c r="D280" s="10" t="s">
        <v>7499</v>
      </c>
      <c r="E280" s="48" t="s">
        <v>7462</v>
      </c>
      <c r="F280" s="48" t="s">
        <v>7189</v>
      </c>
      <c r="G280" s="49">
        <f t="array" ref="G280">MAX(IF(INSTOCK!$H$3:$H$6125=B280,INSTOCK!$K$3:$K$6125))</f>
        <v>130</v>
      </c>
      <c r="H280" s="50">
        <f t="array" ref="H280">SUM(IF(INSTOCK!$H$3:$H$6125=B280,INSTOCK!$I$3:$I$6125))</f>
        <v>40</v>
      </c>
      <c r="I280" s="50" t="str">
        <f>ARRAY_CONSTRAIN(ARRAYFORMULA(SUM(IF([3]!Table13[ID]=B280,[3]!Table13[QTY]))), 1, 1)</f>
        <v>#ERROR!</v>
      </c>
      <c r="J280" s="50" t="str">
        <f>TABLEITEM!$H$3:$H$2749-TABLEITEM!$I$3:$I$2749</f>
        <v>#ERROR!</v>
      </c>
    </row>
    <row r="281" ht="15.75" customHeight="1">
      <c r="A281" s="45"/>
      <c r="B281" s="10" t="s">
        <v>779</v>
      </c>
      <c r="C281" s="26"/>
      <c r="D281" s="10" t="s">
        <v>7500</v>
      </c>
      <c r="E281" s="48" t="s">
        <v>7462</v>
      </c>
      <c r="F281" s="48" t="s">
        <v>7189</v>
      </c>
      <c r="G281" s="49">
        <f t="array" ref="G281">MAX(IF(INSTOCK!$H$3:$H$6125=B281,INSTOCK!$K$3:$K$6125))</f>
        <v>130</v>
      </c>
      <c r="H281" s="50">
        <f t="array" ref="H281">SUM(IF(INSTOCK!$H$3:$H$6125=B281,INSTOCK!$I$3:$I$6125))</f>
        <v>1540</v>
      </c>
      <c r="I281" s="50" t="str">
        <f>ARRAY_CONSTRAIN(ARRAYFORMULA(SUM(IF([3]!Table13[ID]=B281,[3]!Table13[QTY]))), 1, 1)</f>
        <v>#ERROR!</v>
      </c>
      <c r="J281" s="50" t="str">
        <f>TABLEITEM!$H$3:$H$2749-TABLEITEM!$I$3:$I$2749</f>
        <v>#ERROR!</v>
      </c>
    </row>
    <row r="282" ht="17.25" customHeight="1">
      <c r="A282" s="45">
        <v>211.0</v>
      </c>
      <c r="B282" s="10" t="s">
        <v>92</v>
      </c>
      <c r="C282" s="26"/>
      <c r="D282" s="10" t="s">
        <v>717</v>
      </c>
      <c r="E282" s="48" t="s">
        <v>7462</v>
      </c>
      <c r="F282" s="48" t="s">
        <v>7189</v>
      </c>
      <c r="G282" s="49">
        <f t="array" ref="G282">MAX(IF(INSTOCK!$H$3:$H$6125=B282,INSTOCK!$K$3:$K$6125))</f>
        <v>130</v>
      </c>
      <c r="H282" s="50">
        <f t="array" ref="H282">SUM(IF(INSTOCK!$H$3:$H$6125=B282,INSTOCK!$I$3:$I$6125))</f>
        <v>180</v>
      </c>
      <c r="I282" s="50" t="str">
        <f>ARRAY_CONSTRAIN(ARRAYFORMULA(SUM(IF([3]!Table13[ID]=B282,[3]!Table13[QTY]))), 1, 1)</f>
        <v>#ERROR!</v>
      </c>
      <c r="J282" s="50" t="str">
        <f>TABLEITEM!$H$3:$H$2749-TABLEITEM!$I$3:$I$2749</f>
        <v>#ERROR!</v>
      </c>
    </row>
    <row r="283" ht="15.75" customHeight="1">
      <c r="A283" s="45"/>
      <c r="B283" s="10" t="s">
        <v>7501</v>
      </c>
      <c r="C283" s="26"/>
      <c r="D283" s="10" t="s">
        <v>7502</v>
      </c>
      <c r="E283" s="48" t="s">
        <v>7462</v>
      </c>
      <c r="F283" s="48" t="s">
        <v>7189</v>
      </c>
      <c r="G283" s="49">
        <f t="array" ref="G283">MAX(IF(INSTOCK!$H$3:$H$6125=B283,INSTOCK!$K$3:$K$6125))</f>
        <v>0</v>
      </c>
      <c r="H283" s="50">
        <f t="array" ref="H283">SUM(IF(INSTOCK!$H$3:$H$6125=B283,INSTOCK!$I$3:$I$6125))</f>
        <v>0</v>
      </c>
      <c r="I283" s="50" t="str">
        <f>ARRAY_CONSTRAIN(ARRAYFORMULA(SUM(IF([3]!Table13[ID]=B283,[3]!Table13[QTY]))), 1, 1)</f>
        <v>#ERROR!</v>
      </c>
      <c r="J283" s="50" t="str">
        <f>TABLEITEM!$H$3:$H$2749-TABLEITEM!$I$3:$I$2749</f>
        <v>#ERROR!</v>
      </c>
    </row>
    <row r="284" ht="15.75" customHeight="1">
      <c r="A284" s="45"/>
      <c r="B284" s="10" t="s">
        <v>3594</v>
      </c>
      <c r="C284" s="26"/>
      <c r="D284" s="10" t="s">
        <v>7503</v>
      </c>
      <c r="E284" s="48" t="s">
        <v>7462</v>
      </c>
      <c r="F284" s="48" t="s">
        <v>7189</v>
      </c>
      <c r="G284" s="49">
        <f t="array" ref="G284">MAX(IF(INSTOCK!$H$3:$H$6125=B284,INSTOCK!$K$3:$K$6125))</f>
        <v>130</v>
      </c>
      <c r="H284" s="50">
        <f t="array" ref="H284">SUM(IF(INSTOCK!$H$3:$H$6125=B284,INSTOCK!$I$3:$I$6125))</f>
        <v>40</v>
      </c>
      <c r="I284" s="50" t="str">
        <f>ARRAY_CONSTRAIN(ARRAYFORMULA(SUM(IF([3]!Table13[ID]=B284,[3]!Table13[QTY]))), 1, 1)</f>
        <v>#ERROR!</v>
      </c>
      <c r="J284" s="50" t="str">
        <f>TABLEITEM!$H$3:$H$2749-TABLEITEM!$I$3:$I$2749</f>
        <v>#ERROR!</v>
      </c>
    </row>
    <row r="285" ht="15.75" customHeight="1">
      <c r="A285" s="45">
        <v>209.0</v>
      </c>
      <c r="B285" s="10" t="s">
        <v>90</v>
      </c>
      <c r="C285" s="26"/>
      <c r="D285" s="10" t="s">
        <v>7504</v>
      </c>
      <c r="E285" s="48" t="s">
        <v>7462</v>
      </c>
      <c r="F285" s="48" t="s">
        <v>7189</v>
      </c>
      <c r="G285" s="49">
        <f t="array" ref="G285">MAX(IF(INSTOCK!$H$3:$H$6125=B285,INSTOCK!$K$3:$K$6125))</f>
        <v>140</v>
      </c>
      <c r="H285" s="50">
        <f t="array" ref="H285">SUM(IF(INSTOCK!$H$3:$H$6125=B285,INSTOCK!$I$3:$I$6125))</f>
        <v>20</v>
      </c>
      <c r="I285" s="50" t="str">
        <f>ARRAY_CONSTRAIN(ARRAYFORMULA(SUM(IF([3]!Table13[ID]=B285,[3]!Table13[QTY]))), 1, 1)</f>
        <v>#ERROR!</v>
      </c>
      <c r="J285" s="50" t="str">
        <f>TABLEITEM!$H$3:$H$2749-TABLEITEM!$I$3:$I$2749</f>
        <v>#ERROR!</v>
      </c>
    </row>
    <row r="286" ht="15.75" customHeight="1">
      <c r="A286" s="45">
        <v>208.0</v>
      </c>
      <c r="B286" s="10" t="s">
        <v>89</v>
      </c>
      <c r="C286" s="26"/>
      <c r="D286" s="10" t="s">
        <v>7505</v>
      </c>
      <c r="E286" s="48" t="s">
        <v>7462</v>
      </c>
      <c r="F286" s="48" t="s">
        <v>7189</v>
      </c>
      <c r="G286" s="49">
        <f t="array" ref="G286">MAX(IF(INSTOCK!$H$3:$H$6125=B286,INSTOCK!$K$3:$K$6125))</f>
        <v>145</v>
      </c>
      <c r="H286" s="50">
        <f t="array" ref="H286">SUM(IF(INSTOCK!$H$3:$H$6125=B286,INSTOCK!$I$3:$I$6125))</f>
        <v>20</v>
      </c>
      <c r="I286" s="50" t="str">
        <f>ARRAY_CONSTRAIN(ARRAYFORMULA(SUM(IF([3]!Table13[ID]=B286,[3]!Table13[QTY]))), 1, 1)</f>
        <v>#ERROR!</v>
      </c>
      <c r="J286" s="50" t="str">
        <f>TABLEITEM!$H$3:$H$2749-TABLEITEM!$I$3:$I$2749</f>
        <v>#ERROR!</v>
      </c>
    </row>
    <row r="287" ht="15.75" customHeight="1">
      <c r="A287" s="45">
        <v>203.0</v>
      </c>
      <c r="B287" s="10" t="s">
        <v>84</v>
      </c>
      <c r="C287" s="26"/>
      <c r="D287" s="10" t="s">
        <v>7506</v>
      </c>
      <c r="E287" s="48" t="s">
        <v>7462</v>
      </c>
      <c r="F287" s="48" t="s">
        <v>7189</v>
      </c>
      <c r="G287" s="49">
        <f t="array" ref="G287">MAX(IF(INSTOCK!$H$3:$H$6125=B287,INSTOCK!$K$3:$K$6125))</f>
        <v>130</v>
      </c>
      <c r="H287" s="50">
        <f t="array" ref="H287">SUM(IF(INSTOCK!$H$3:$H$6125=B287,INSTOCK!$I$3:$I$6125))</f>
        <v>60</v>
      </c>
      <c r="I287" s="50" t="str">
        <f>ARRAY_CONSTRAIN(ARRAYFORMULA(SUM(IF([3]!Table13[ID]=B287,[3]!Table13[QTY]))), 1, 1)</f>
        <v>#ERROR!</v>
      </c>
      <c r="J287" s="50" t="str">
        <f>TABLEITEM!$H$3:$H$2749-TABLEITEM!$I$3:$I$2749</f>
        <v>#ERROR!</v>
      </c>
    </row>
    <row r="288" ht="15.75" customHeight="1">
      <c r="A288" s="45">
        <v>201.0</v>
      </c>
      <c r="B288" s="10" t="s">
        <v>82</v>
      </c>
      <c r="C288" s="26"/>
      <c r="D288" s="10" t="s">
        <v>7507</v>
      </c>
      <c r="E288" s="48" t="s">
        <v>7462</v>
      </c>
      <c r="F288" s="48" t="s">
        <v>7189</v>
      </c>
      <c r="G288" s="49">
        <f t="array" ref="G288">MAX(IF(INSTOCK!$H$3:$H$6125=B288,INSTOCK!$K$3:$K$6125))</f>
        <v>130</v>
      </c>
      <c r="H288" s="50">
        <f t="array" ref="H288">SUM(IF(INSTOCK!$H$3:$H$6125=B288,INSTOCK!$I$3:$I$6125))</f>
        <v>180</v>
      </c>
      <c r="I288" s="50" t="str">
        <f>ARRAY_CONSTRAIN(ARRAYFORMULA(SUM(IF([3]!Table13[ID]=B288,[3]!Table13[QTY]))), 1, 1)</f>
        <v>#ERROR!</v>
      </c>
      <c r="J288" s="50" t="str">
        <f>TABLEITEM!$H$3:$H$2749-TABLEITEM!$I$3:$I$2749</f>
        <v>#ERROR!</v>
      </c>
    </row>
    <row r="289" ht="15.75" customHeight="1">
      <c r="A289" s="45">
        <v>202.0</v>
      </c>
      <c r="B289" s="10" t="s">
        <v>83</v>
      </c>
      <c r="C289" s="26"/>
      <c r="D289" s="10" t="s">
        <v>7508</v>
      </c>
      <c r="E289" s="48" t="s">
        <v>7462</v>
      </c>
      <c r="F289" s="48" t="s">
        <v>7189</v>
      </c>
      <c r="G289" s="49">
        <f t="array" ref="G289">MAX(IF(INSTOCK!$H$3:$H$6125=B289,INSTOCK!$K$3:$K$6125))</f>
        <v>130</v>
      </c>
      <c r="H289" s="50">
        <f t="array" ref="H289">SUM(IF(INSTOCK!$H$3:$H$6125=B289,INSTOCK!$I$3:$I$6125))</f>
        <v>400</v>
      </c>
      <c r="I289" s="50" t="str">
        <f>ARRAY_CONSTRAIN(ARRAYFORMULA(SUM(IF([3]!Table13[ID]=B289,[3]!Table13[QTY]))), 1, 1)</f>
        <v>#ERROR!</v>
      </c>
      <c r="J289" s="50" t="str">
        <f>TABLEITEM!$H$3:$H$2749-TABLEITEM!$I$3:$I$2749</f>
        <v>#ERROR!</v>
      </c>
    </row>
    <row r="290" ht="15.75" customHeight="1">
      <c r="A290" s="45">
        <v>200.0</v>
      </c>
      <c r="B290" s="10" t="s">
        <v>81</v>
      </c>
      <c r="C290" s="26"/>
      <c r="D290" s="10" t="s">
        <v>7509</v>
      </c>
      <c r="E290" s="48" t="s">
        <v>7462</v>
      </c>
      <c r="F290" s="48" t="s">
        <v>7189</v>
      </c>
      <c r="G290" s="49">
        <f t="array" ref="G290">MAX(IF(INSTOCK!$H$3:$H$6125=B290,INSTOCK!$K$3:$K$6125))</f>
        <v>130</v>
      </c>
      <c r="H290" s="50">
        <f t="array" ref="H290">SUM(IF(INSTOCK!$H$3:$H$6125=B290,INSTOCK!$I$3:$I$6125))</f>
        <v>80</v>
      </c>
      <c r="I290" s="50" t="str">
        <f>ARRAY_CONSTRAIN(ARRAYFORMULA(SUM(IF([3]!Table13[ID]=B290,[3]!Table13[QTY]))), 1, 1)</f>
        <v>#ERROR!</v>
      </c>
      <c r="J290" s="50" t="str">
        <f>TABLEITEM!$H$3:$H$2749-TABLEITEM!$I$3:$I$2749</f>
        <v>#ERROR!</v>
      </c>
    </row>
    <row r="291" ht="15.75" customHeight="1">
      <c r="A291" s="45">
        <v>199.0</v>
      </c>
      <c r="B291" s="10" t="s">
        <v>80</v>
      </c>
      <c r="C291" s="26"/>
      <c r="D291" s="10" t="s">
        <v>7510</v>
      </c>
      <c r="E291" s="48" t="s">
        <v>7462</v>
      </c>
      <c r="F291" s="48" t="s">
        <v>7189</v>
      </c>
      <c r="G291" s="49">
        <f t="array" ref="G291">MAX(IF(INSTOCK!$H$3:$H$6125=B291,INSTOCK!$K$3:$K$6125))</f>
        <v>130</v>
      </c>
      <c r="H291" s="50">
        <f t="array" ref="H291">SUM(IF(INSTOCK!$H$3:$H$6125=B291,INSTOCK!$I$3:$I$6125))</f>
        <v>480</v>
      </c>
      <c r="I291" s="50" t="str">
        <f>ARRAY_CONSTRAIN(ARRAYFORMULA(SUM(IF([3]!Table13[ID]=B291,[3]!Table13[QTY]))), 1, 1)</f>
        <v>#ERROR!</v>
      </c>
      <c r="J291" s="50" t="str">
        <f>TABLEITEM!$H$3:$H$2749-TABLEITEM!$I$3:$I$2749</f>
        <v>#ERROR!</v>
      </c>
    </row>
    <row r="292" ht="15.75" customHeight="1">
      <c r="A292" s="45">
        <v>215.0</v>
      </c>
      <c r="B292" s="10" t="s">
        <v>96</v>
      </c>
      <c r="C292" s="26"/>
      <c r="D292" s="10" t="s">
        <v>7511</v>
      </c>
      <c r="E292" s="48" t="s">
        <v>743</v>
      </c>
      <c r="F292" s="48" t="s">
        <v>7189</v>
      </c>
      <c r="G292" s="49">
        <f t="array" ref="G292">MAX(IF(INSTOCK!$H$3:$H$6125=B292,INSTOCK!$K$3:$K$6125))</f>
        <v>139.5</v>
      </c>
      <c r="H292" s="50">
        <f t="array" ref="H292">SUM(IF(INSTOCK!$H$3:$H$6125=B292,INSTOCK!$I$3:$I$6125))</f>
        <v>100</v>
      </c>
      <c r="I292" s="50" t="str">
        <f>ARRAY_CONSTRAIN(ARRAYFORMULA(SUM(IF([3]!Table13[ID]=B292,[3]!Table13[QTY]))), 1, 1)</f>
        <v>#ERROR!</v>
      </c>
      <c r="J292" s="50" t="str">
        <f>TABLEITEM!$H$3:$H$2749-TABLEITEM!$I$3:$I$2749</f>
        <v>#ERROR!</v>
      </c>
    </row>
    <row r="293" ht="15.75" customHeight="1">
      <c r="A293" s="45">
        <v>216.0</v>
      </c>
      <c r="B293" s="10" t="s">
        <v>97</v>
      </c>
      <c r="C293" s="26"/>
      <c r="D293" s="10" t="s">
        <v>7512</v>
      </c>
      <c r="E293" s="48" t="s">
        <v>743</v>
      </c>
      <c r="F293" s="48" t="s">
        <v>7189</v>
      </c>
      <c r="G293" s="49">
        <f t="array" ref="G293">MAX(IF(INSTOCK!$H$3:$H$6125=B293,INSTOCK!$K$3:$K$6125))</f>
        <v>139.5</v>
      </c>
      <c r="H293" s="50">
        <f t="array" ref="H293">SUM(IF(INSTOCK!$H$3:$H$6125=B293,INSTOCK!$I$3:$I$6125))</f>
        <v>80</v>
      </c>
      <c r="I293" s="50" t="str">
        <f>ARRAY_CONSTRAIN(ARRAYFORMULA(SUM(IF([3]!Table13[ID]=B293,[3]!Table13[QTY]))), 1, 1)</f>
        <v>#ERROR!</v>
      </c>
      <c r="J293" s="50" t="str">
        <f>TABLEITEM!$H$3:$H$2749-TABLEITEM!$I$3:$I$2749</f>
        <v>#ERROR!</v>
      </c>
    </row>
    <row r="294" ht="15.75" customHeight="1">
      <c r="A294" s="45">
        <v>214.0</v>
      </c>
      <c r="B294" s="10" t="s">
        <v>95</v>
      </c>
      <c r="C294" s="26"/>
      <c r="D294" s="10" t="s">
        <v>7513</v>
      </c>
      <c r="E294" s="48" t="s">
        <v>743</v>
      </c>
      <c r="F294" s="48" t="s">
        <v>7189</v>
      </c>
      <c r="G294" s="49">
        <f t="array" ref="G294">MAX(IF(INSTOCK!$H$3:$H$6125=B294,INSTOCK!$K$3:$K$6125))</f>
        <v>139.5</v>
      </c>
      <c r="H294" s="50">
        <f t="array" ref="H294">SUM(IF(INSTOCK!$H$3:$H$6125=B294,INSTOCK!$I$3:$I$6125))</f>
        <v>100</v>
      </c>
      <c r="I294" s="50" t="str">
        <f>ARRAY_CONSTRAIN(ARRAYFORMULA(SUM(IF([3]!Table13[ID]=B294,[3]!Table13[QTY]))), 1, 1)</f>
        <v>#ERROR!</v>
      </c>
      <c r="J294" s="50" t="str">
        <f>TABLEITEM!$H$3:$H$2749-TABLEITEM!$I$3:$I$2749</f>
        <v>#ERROR!</v>
      </c>
    </row>
    <row r="295" ht="15.75" customHeight="1">
      <c r="A295" s="45">
        <v>213.0</v>
      </c>
      <c r="B295" s="10" t="s">
        <v>94</v>
      </c>
      <c r="C295" s="26"/>
      <c r="D295" s="10" t="s">
        <v>7514</v>
      </c>
      <c r="E295" s="48" t="s">
        <v>743</v>
      </c>
      <c r="F295" s="48" t="s">
        <v>7189</v>
      </c>
      <c r="G295" s="49">
        <f t="array" ref="G295">MAX(IF(INSTOCK!$H$3:$H$6125=B295,INSTOCK!$K$3:$K$6125))</f>
        <v>139.5</v>
      </c>
      <c r="H295" s="50">
        <f t="array" ref="H295">SUM(IF(INSTOCK!$H$3:$H$6125=B295,INSTOCK!$I$3:$I$6125))</f>
        <v>20</v>
      </c>
      <c r="I295" s="50" t="str">
        <f>ARRAY_CONSTRAIN(ARRAYFORMULA(SUM(IF([3]!Table13[ID]=B295,[3]!Table13[QTY]))), 1, 1)</f>
        <v>#ERROR!</v>
      </c>
      <c r="J295" s="50" t="str">
        <f>TABLEITEM!$H$3:$H$2749-TABLEITEM!$I$3:$I$2749</f>
        <v>#ERROR!</v>
      </c>
    </row>
    <row r="296" ht="15.75" customHeight="1">
      <c r="A296" s="45"/>
      <c r="B296" s="10" t="s">
        <v>1020</v>
      </c>
      <c r="C296" s="26"/>
      <c r="D296" s="10" t="s">
        <v>7515</v>
      </c>
      <c r="E296" s="48" t="s">
        <v>743</v>
      </c>
      <c r="F296" s="48" t="s">
        <v>7189</v>
      </c>
      <c r="G296" s="49">
        <f t="array" ref="G296">MAX(IF(INSTOCK!$H$3:$H$6125=B296,INSTOCK!$K$3:$K$6125))</f>
        <v>150</v>
      </c>
      <c r="H296" s="50">
        <f t="array" ref="H296">SUM(IF(INSTOCK!$H$3:$H$6125=B296,INSTOCK!$I$3:$I$6125))</f>
        <v>40</v>
      </c>
      <c r="I296" s="50" t="str">
        <f>ARRAY_CONSTRAIN(ARRAYFORMULA(SUM(IF([3]!Table13[ID]=B296,[3]!Table13[QTY]))), 1, 1)</f>
        <v>#ERROR!</v>
      </c>
      <c r="J296" s="50" t="str">
        <f>TABLEITEM!$H$3:$H$2749-TABLEITEM!$I$3:$I$2749</f>
        <v>#ERROR!</v>
      </c>
    </row>
    <row r="297" ht="15.75" customHeight="1">
      <c r="A297" s="45"/>
      <c r="B297" s="10" t="s">
        <v>1031</v>
      </c>
      <c r="C297" s="26"/>
      <c r="D297" s="10" t="s">
        <v>7516</v>
      </c>
      <c r="E297" s="48"/>
      <c r="F297" s="48" t="s">
        <v>7189</v>
      </c>
      <c r="G297" s="49">
        <f t="array" ref="G297">MAX(IF(INSTOCK!$H$3:$H$6125=B297,INSTOCK!$K$3:$K$6125))</f>
        <v>139.05</v>
      </c>
      <c r="H297" s="50">
        <f t="array" ref="H297">SUM(IF(INSTOCK!$H$3:$H$6125=B297,INSTOCK!$I$3:$I$6125))</f>
        <v>100</v>
      </c>
      <c r="I297" s="50" t="str">
        <f>ARRAY_CONSTRAIN(ARRAYFORMULA(SUM(IF([3]!Table13[ID]=B297,[3]!Table13[QTY]))), 1, 1)</f>
        <v>#ERROR!</v>
      </c>
      <c r="J297" s="50" t="str">
        <f>TABLEITEM!$H$3:$H$2749-TABLEITEM!$I$3:$I$2749</f>
        <v>#ERROR!</v>
      </c>
    </row>
    <row r="298" ht="15.75" customHeight="1">
      <c r="A298" s="45"/>
      <c r="B298" s="10" t="s">
        <v>948</v>
      </c>
      <c r="C298" s="26"/>
      <c r="D298" s="10" t="s">
        <v>7517</v>
      </c>
      <c r="E298" s="48" t="s">
        <v>743</v>
      </c>
      <c r="F298" s="48" t="s">
        <v>7189</v>
      </c>
      <c r="G298" s="49">
        <f t="array" ref="G298">MAX(IF(INSTOCK!$H$3:$H$6125=B298,INSTOCK!$K$3:$K$6125))</f>
        <v>170.98</v>
      </c>
      <c r="H298" s="50">
        <f t="array" ref="H298">SUM(IF(INSTOCK!$H$3:$H$6125=B298,INSTOCK!$I$3:$I$6125))</f>
        <v>80</v>
      </c>
      <c r="I298" s="50" t="str">
        <f>ARRAY_CONSTRAIN(ARRAYFORMULA(SUM(IF([3]!Table13[ID]=B298,[3]!Table13[QTY]))), 1, 1)</f>
        <v>#ERROR!</v>
      </c>
      <c r="J298" s="50" t="str">
        <f>TABLEITEM!$H$3:$H$2749-TABLEITEM!$I$3:$I$2749</f>
        <v>#ERROR!</v>
      </c>
    </row>
    <row r="299" ht="15.75" customHeight="1">
      <c r="A299" s="45"/>
      <c r="B299" s="10" t="s">
        <v>1328</v>
      </c>
      <c r="C299" s="26"/>
      <c r="D299" s="10" t="s">
        <v>7518</v>
      </c>
      <c r="E299" s="48" t="s">
        <v>743</v>
      </c>
      <c r="F299" s="48" t="s">
        <v>7189</v>
      </c>
      <c r="G299" s="49">
        <f t="array" ref="G299">MAX(IF(INSTOCK!$H$3:$H$6125=B299,INSTOCK!$K$3:$K$6125))</f>
        <v>125.38</v>
      </c>
      <c r="H299" s="50">
        <f t="array" ref="H299">SUM(IF(INSTOCK!$H$3:$H$6125=B299,INSTOCK!$I$3:$I$6125))</f>
        <v>60</v>
      </c>
      <c r="I299" s="50" t="str">
        <f>ARRAY_CONSTRAIN(ARRAYFORMULA(SUM(IF([3]!Table13[ID]=B299,[3]!Table13[QTY]))), 1, 1)</f>
        <v>#ERROR!</v>
      </c>
      <c r="J299" s="50" t="str">
        <f>TABLEITEM!$H$3:$H$2749-TABLEITEM!$I$3:$I$2749</f>
        <v>#ERROR!</v>
      </c>
    </row>
    <row r="300" ht="15.75" customHeight="1">
      <c r="A300" s="45"/>
      <c r="B300" s="10" t="s">
        <v>1022</v>
      </c>
      <c r="C300" s="26"/>
      <c r="D300" s="10" t="s">
        <v>7519</v>
      </c>
      <c r="E300" s="48" t="s">
        <v>743</v>
      </c>
      <c r="F300" s="48" t="s">
        <v>7189</v>
      </c>
      <c r="G300" s="49">
        <f t="array" ref="G300">MAX(IF(INSTOCK!$H$3:$H$6125=B300,INSTOCK!$K$3:$K$6125))</f>
        <v>160</v>
      </c>
      <c r="H300" s="50">
        <f t="array" ref="H300">SUM(IF(INSTOCK!$H$3:$H$6125=B300,INSTOCK!$I$3:$I$6125))</f>
        <v>20</v>
      </c>
      <c r="I300" s="50" t="str">
        <f>ARRAY_CONSTRAIN(ARRAYFORMULA(SUM(IF([3]!Table13[ID]=B300,[3]!Table13[QTY]))), 1, 1)</f>
        <v>#ERROR!</v>
      </c>
      <c r="J300" s="50" t="str">
        <f>TABLEITEM!$H$3:$H$2749-TABLEITEM!$I$3:$I$2749</f>
        <v>#ERROR!</v>
      </c>
    </row>
    <row r="301" ht="15.75" customHeight="1">
      <c r="A301" s="45">
        <v>210.0</v>
      </c>
      <c r="B301" s="10" t="s">
        <v>91</v>
      </c>
      <c r="C301" s="26"/>
      <c r="D301" s="10" t="s">
        <v>7520</v>
      </c>
      <c r="E301" s="48" t="s">
        <v>7462</v>
      </c>
      <c r="F301" s="48" t="s">
        <v>7189</v>
      </c>
      <c r="G301" s="49">
        <f t="array" ref="G301">MAX(IF(INSTOCK!$H$3:$H$6125=B301,INSTOCK!$K$3:$K$6125))</f>
        <v>140</v>
      </c>
      <c r="H301" s="50">
        <f t="array" ref="H301">SUM(IF(INSTOCK!$H$3:$H$6125=B301,INSTOCK!$I$3:$I$6125))</f>
        <v>40</v>
      </c>
      <c r="I301" s="50" t="str">
        <f>ARRAY_CONSTRAIN(ARRAYFORMULA(SUM(IF([3]!Table13[ID]=B301,[3]!Table13[QTY]))), 1, 1)</f>
        <v>#ERROR!</v>
      </c>
      <c r="J301" s="50" t="str">
        <f>TABLEITEM!$H$3:$H$2749-TABLEITEM!$I$3:$I$2749</f>
        <v>#ERROR!</v>
      </c>
    </row>
    <row r="302" ht="15.75" customHeight="1">
      <c r="A302" s="45">
        <v>164.0</v>
      </c>
      <c r="B302" s="10" t="s">
        <v>45</v>
      </c>
      <c r="C302" s="26"/>
      <c r="D302" s="10" t="s">
        <v>7521</v>
      </c>
      <c r="E302" s="10"/>
      <c r="F302" s="48" t="s">
        <v>7522</v>
      </c>
      <c r="G302" s="49">
        <f t="array" ref="G302">MAX(IF(INSTOCK!$H$3:$H$6125=B302,INSTOCK!$K$3:$K$6125))</f>
        <v>280</v>
      </c>
      <c r="H302" s="50">
        <f t="array" ref="H302">SUM(IF(INSTOCK!$H$3:$H$6125=B302,INSTOCK!$I$3:$I$6125))</f>
        <v>69</v>
      </c>
      <c r="I302" s="50" t="str">
        <f>ARRAY_CONSTRAIN(ARRAYFORMULA(SUM(IF([3]!Table13[ID]=B302,[3]!Table13[QTY]))), 1, 1)</f>
        <v>#ERROR!</v>
      </c>
      <c r="J302" s="50" t="str">
        <f>TABLEITEM!$H$3:$H$2749-TABLEITEM!$I$3:$I$2749</f>
        <v>#ERROR!</v>
      </c>
    </row>
    <row r="303" ht="15.75" customHeight="1">
      <c r="A303" s="45"/>
      <c r="B303" s="10" t="s">
        <v>1679</v>
      </c>
      <c r="C303" s="26"/>
      <c r="D303" s="10" t="s">
        <v>7523</v>
      </c>
      <c r="E303" s="48" t="s">
        <v>7524</v>
      </c>
      <c r="F303" s="48" t="s">
        <v>7522</v>
      </c>
      <c r="G303" s="49">
        <f t="array" ref="G303">MAX(IF(INSTOCK!$H$3:$H$6125=B303,INSTOCK!$K$3:$K$6125))</f>
        <v>300</v>
      </c>
      <c r="H303" s="50">
        <f t="array" ref="H303">SUM(IF(INSTOCK!$H$3:$H$6125=B303,INSTOCK!$I$3:$I$6125))</f>
        <v>4</v>
      </c>
      <c r="I303" s="50" t="str">
        <f>ARRAY_CONSTRAIN(ARRAYFORMULA(SUM(IF([3]!Table13[ID]=B303,[3]!Table13[QTY]))), 1, 1)</f>
        <v>#ERROR!</v>
      </c>
      <c r="J303" s="50" t="str">
        <f>TABLEITEM!$H$3:$H$2749-TABLEITEM!$I$3:$I$2749</f>
        <v>#ERROR!</v>
      </c>
    </row>
    <row r="304" ht="15.75" customHeight="1">
      <c r="A304" s="45"/>
      <c r="B304" s="10" t="s">
        <v>2041</v>
      </c>
      <c r="C304" s="26"/>
      <c r="D304" s="10" t="s">
        <v>7525</v>
      </c>
      <c r="E304" s="48" t="s">
        <v>7459</v>
      </c>
      <c r="F304" s="48" t="s">
        <v>7522</v>
      </c>
      <c r="G304" s="49">
        <f t="array" ref="G304">MAX(IF(INSTOCK!$H$3:$H$6125=B304,INSTOCK!$K$3:$K$6125))</f>
        <v>290</v>
      </c>
      <c r="H304" s="50">
        <f t="array" ref="H304">SUM(IF(INSTOCK!$H$3:$H$6125=B304,INSTOCK!$I$3:$I$6125))</f>
        <v>6</v>
      </c>
      <c r="I304" s="50" t="str">
        <f>ARRAY_CONSTRAIN(ARRAYFORMULA(SUM(IF([3]!Table13[ID]=B304,[3]!Table13[QTY]))), 1, 1)</f>
        <v>#ERROR!</v>
      </c>
      <c r="J304" s="50" t="str">
        <f>TABLEITEM!$H$3:$H$2749-TABLEITEM!$I$3:$I$2749</f>
        <v>#ERROR!</v>
      </c>
    </row>
    <row r="305" ht="15.75" customHeight="1">
      <c r="A305" s="45"/>
      <c r="B305" s="10" t="s">
        <v>2277</v>
      </c>
      <c r="C305" s="26"/>
      <c r="D305" s="10" t="s">
        <v>7526</v>
      </c>
      <c r="E305" s="48" t="s">
        <v>7527</v>
      </c>
      <c r="F305" s="48" t="s">
        <v>7522</v>
      </c>
      <c r="G305" s="49">
        <f t="array" ref="G305">MAX(IF(INSTOCK!$H$3:$H$6125=B305,INSTOCK!$K$3:$K$6125))</f>
        <v>290</v>
      </c>
      <c r="H305" s="50">
        <f t="array" ref="H305">SUM(IF(INSTOCK!$H$3:$H$6125=B305,INSTOCK!$I$3:$I$6125))</f>
        <v>1</v>
      </c>
      <c r="I305" s="50" t="str">
        <f>ARRAY_CONSTRAIN(ARRAYFORMULA(SUM(IF([3]!Table13[ID]=B305,[3]!Table13[QTY]))), 1, 1)</f>
        <v>#ERROR!</v>
      </c>
      <c r="J305" s="50" t="str">
        <f>TABLEITEM!$H$3:$H$2749-TABLEITEM!$I$3:$I$2749</f>
        <v>#ERROR!</v>
      </c>
    </row>
    <row r="306" ht="15.75" customHeight="1">
      <c r="A306" s="45"/>
      <c r="B306" s="10" t="s">
        <v>2974</v>
      </c>
      <c r="C306" s="26"/>
      <c r="D306" s="10" t="s">
        <v>7528</v>
      </c>
      <c r="E306" s="48" t="s">
        <v>7529</v>
      </c>
      <c r="F306" s="48" t="s">
        <v>7530</v>
      </c>
      <c r="G306" s="49">
        <f t="array" ref="G306">MAX(IF(INSTOCK!$H$3:$H$6125=B306,INSTOCK!$K$3:$K$6125))</f>
        <v>40</v>
      </c>
      <c r="H306" s="50">
        <f t="array" ref="H306">SUM(IF(INSTOCK!$H$3:$H$6125=B306,INSTOCK!$I$3:$I$6125))</f>
        <v>60</v>
      </c>
      <c r="I306" s="50" t="str">
        <f>ARRAY_CONSTRAIN(ARRAYFORMULA(SUM(IF([3]!Table13[ID]=B306,[3]!Table13[QTY]))), 1, 1)</f>
        <v>#ERROR!</v>
      </c>
      <c r="J306" s="50" t="str">
        <f>TABLEITEM!$H$3:$H$2749-TABLEITEM!$I$3:$I$2749</f>
        <v>#ERROR!</v>
      </c>
    </row>
    <row r="307" ht="15.75" customHeight="1">
      <c r="A307" s="45"/>
      <c r="B307" s="10" t="s">
        <v>3163</v>
      </c>
      <c r="C307" s="26"/>
      <c r="D307" s="10" t="s">
        <v>7531</v>
      </c>
      <c r="E307" s="48"/>
      <c r="F307" s="48" t="s">
        <v>7173</v>
      </c>
      <c r="G307" s="49">
        <f t="array" ref="G307">MAX(IF(INSTOCK!$H$3:$H$6125=B307,INSTOCK!$K$3:$K$6125))</f>
        <v>15</v>
      </c>
      <c r="H307" s="50">
        <f t="array" ref="H307">SUM(IF(INSTOCK!$H$3:$H$6125=B307,INSTOCK!$I$3:$I$6125))</f>
        <v>4</v>
      </c>
      <c r="I307" s="50" t="str">
        <f>ARRAY_CONSTRAIN(ARRAYFORMULA(SUM(IF([3]!Table13[ID]=B307,[3]!Table13[QTY]))), 1, 1)</f>
        <v>#ERROR!</v>
      </c>
      <c r="J307" s="50" t="str">
        <f>TABLEITEM!$H$3:$H$2749-TABLEITEM!$I$3:$I$2749</f>
        <v>#ERROR!</v>
      </c>
    </row>
    <row r="308" ht="15.75" customHeight="1">
      <c r="A308" s="45"/>
      <c r="B308" s="10" t="s">
        <v>2616</v>
      </c>
      <c r="C308" s="26"/>
      <c r="D308" s="10" t="s">
        <v>7532</v>
      </c>
      <c r="E308" s="48"/>
      <c r="F308" s="48" t="s">
        <v>7429</v>
      </c>
      <c r="G308" s="49">
        <f t="array" ref="G308">MAX(IF(INSTOCK!$H$3:$H$6125=B308,INSTOCK!$K$3:$K$6125))</f>
        <v>12</v>
      </c>
      <c r="H308" s="50">
        <f t="array" ref="H308">SUM(IF(INSTOCK!$H$3:$H$6125=B308,INSTOCK!$I$3:$I$6125))</f>
        <v>110</v>
      </c>
      <c r="I308" s="50" t="str">
        <f>ARRAY_CONSTRAIN(ARRAYFORMULA(SUM(IF([3]!Table13[ID]=B308,[3]!Table13[QTY]))), 1, 1)</f>
        <v>#ERROR!</v>
      </c>
      <c r="J308" s="50" t="str">
        <f>TABLEITEM!$H$3:$H$2749-TABLEITEM!$I$3:$I$2749</f>
        <v>#ERROR!</v>
      </c>
    </row>
    <row r="309" ht="15.75" customHeight="1">
      <c r="A309" s="45"/>
      <c r="B309" s="10" t="s">
        <v>2063</v>
      </c>
      <c r="C309" s="26"/>
      <c r="D309" s="10" t="s">
        <v>7533</v>
      </c>
      <c r="E309" s="48"/>
      <c r="F309" s="48" t="s">
        <v>7429</v>
      </c>
      <c r="G309" s="49">
        <f t="array" ref="G309">MAX(IF(INSTOCK!$H$3:$H$6125=B309,INSTOCK!$K$3:$K$6125))</f>
        <v>60</v>
      </c>
      <c r="H309" s="50">
        <f t="array" ref="H309">SUM(IF(INSTOCK!$H$3:$H$6125=B309,INSTOCK!$I$3:$I$6125))</f>
        <v>10</v>
      </c>
      <c r="I309" s="50" t="str">
        <f>ARRAY_CONSTRAIN(ARRAYFORMULA(SUM(IF([3]!Table13[ID]=B309,[3]!Table13[QTY]))), 1, 1)</f>
        <v>#ERROR!</v>
      </c>
      <c r="J309" s="50" t="str">
        <f>TABLEITEM!$H$3:$H$2749-TABLEITEM!$I$3:$I$2749</f>
        <v>#ERROR!</v>
      </c>
    </row>
    <row r="310" ht="15.75" customHeight="1">
      <c r="A310" s="45">
        <v>40.0</v>
      </c>
      <c r="B310" s="10" t="s">
        <v>498</v>
      </c>
      <c r="C310" s="26" t="s">
        <v>734</v>
      </c>
      <c r="D310" s="10" t="s">
        <v>7534</v>
      </c>
      <c r="E310" s="48" t="s">
        <v>7535</v>
      </c>
      <c r="F310" s="48" t="s">
        <v>7429</v>
      </c>
      <c r="G310" s="49">
        <f t="array" ref="G310">MAX(IF(INSTOCK!$H$3:$H$6125=B310,INSTOCK!$K$3:$K$6125))</f>
        <v>25.93</v>
      </c>
      <c r="H310" s="50">
        <f t="array" ref="H310">SUM(IF(INSTOCK!$H$3:$H$6125=B310,INSTOCK!$I$3:$I$6125))</f>
        <v>66</v>
      </c>
      <c r="I310" s="50" t="str">
        <f>ARRAY_CONSTRAIN(ARRAYFORMULA(SUM(IF([3]!Table13[ID]=B310,[3]!Table13[QTY]))), 1, 1)</f>
        <v>#ERROR!</v>
      </c>
      <c r="J310" s="50" t="str">
        <f>TABLEITEM!$H$3:$H$2749-TABLEITEM!$I$3:$I$2749</f>
        <v>#ERROR!</v>
      </c>
    </row>
    <row r="311" ht="15.75" customHeight="1">
      <c r="A311" s="45">
        <v>41.0</v>
      </c>
      <c r="B311" s="10" t="s">
        <v>499</v>
      </c>
      <c r="C311" s="26" t="s">
        <v>734</v>
      </c>
      <c r="D311" s="10" t="s">
        <v>7536</v>
      </c>
      <c r="E311" s="48" t="s">
        <v>7535</v>
      </c>
      <c r="F311" s="48" t="s">
        <v>7429</v>
      </c>
      <c r="G311" s="49">
        <f t="array" ref="G311">MAX(IF(INSTOCK!$H$3:$H$6125=B311,INSTOCK!$K$3:$K$6125))</f>
        <v>25.93</v>
      </c>
      <c r="H311" s="50">
        <f t="array" ref="H311">SUM(IF(INSTOCK!$H$3:$H$6125=B311,INSTOCK!$I$3:$I$6125))</f>
        <v>156</v>
      </c>
      <c r="I311" s="50" t="str">
        <f>ARRAY_CONSTRAIN(ARRAYFORMULA(SUM(IF([3]!Table13[ID]=B311,[3]!Table13[QTY]))), 1, 1)</f>
        <v>#ERROR!</v>
      </c>
      <c r="J311" s="50" t="str">
        <f>TABLEITEM!$H$3:$H$2749-TABLEITEM!$I$3:$I$2749</f>
        <v>#ERROR!</v>
      </c>
    </row>
    <row r="312" ht="15.75" customHeight="1">
      <c r="A312" s="45">
        <v>43.0</v>
      </c>
      <c r="B312" s="10" t="s">
        <v>501</v>
      </c>
      <c r="C312" s="26" t="s">
        <v>734</v>
      </c>
      <c r="D312" s="10" t="s">
        <v>7537</v>
      </c>
      <c r="E312" s="48" t="s">
        <v>7535</v>
      </c>
      <c r="F312" s="48" t="s">
        <v>7429</v>
      </c>
      <c r="G312" s="49">
        <f t="array" ref="G312">MAX(IF(INSTOCK!$H$3:$H$6125=B312,INSTOCK!$K$3:$K$6125))</f>
        <v>25.93</v>
      </c>
      <c r="H312" s="50">
        <f t="array" ref="H312">SUM(IF(INSTOCK!$H$3:$H$6125=B312,INSTOCK!$I$3:$I$6125))</f>
        <v>462</v>
      </c>
      <c r="I312" s="50" t="str">
        <f>ARRAY_CONSTRAIN(ARRAYFORMULA(SUM(IF([3]!Table13[ID]=B312,[3]!Table13[QTY]))), 1, 1)</f>
        <v>#ERROR!</v>
      </c>
      <c r="J312" s="50" t="str">
        <f>TABLEITEM!$H$3:$H$2749-TABLEITEM!$I$3:$I$2749</f>
        <v>#ERROR!</v>
      </c>
    </row>
    <row r="313" ht="15.75" customHeight="1">
      <c r="A313" s="45">
        <v>39.0</v>
      </c>
      <c r="B313" s="10" t="s">
        <v>497</v>
      </c>
      <c r="C313" s="26" t="s">
        <v>734</v>
      </c>
      <c r="D313" s="10" t="s">
        <v>7538</v>
      </c>
      <c r="E313" s="48" t="s">
        <v>7535</v>
      </c>
      <c r="F313" s="48" t="s">
        <v>7429</v>
      </c>
      <c r="G313" s="49">
        <f t="array" ref="G313">MAX(IF(INSTOCK!$H$3:$H$6125=B313,INSTOCK!$K$3:$K$6125))</f>
        <v>25.93</v>
      </c>
      <c r="H313" s="50">
        <f t="array" ref="H313">SUM(IF(INSTOCK!$H$3:$H$6125=B313,INSTOCK!$I$3:$I$6125))</f>
        <v>218</v>
      </c>
      <c r="I313" s="50" t="str">
        <f>ARRAY_CONSTRAIN(ARRAYFORMULA(SUM(IF([3]!Table13[ID]=B313,[3]!Table13[QTY]))), 1, 1)</f>
        <v>#ERROR!</v>
      </c>
      <c r="J313" s="50" t="str">
        <f>TABLEITEM!$H$3:$H$2749-TABLEITEM!$I$3:$I$2749</f>
        <v>#ERROR!</v>
      </c>
    </row>
    <row r="314" ht="15.75" customHeight="1">
      <c r="A314" s="45">
        <v>38.0</v>
      </c>
      <c r="B314" s="10" t="s">
        <v>496</v>
      </c>
      <c r="C314" s="26" t="s">
        <v>734</v>
      </c>
      <c r="D314" s="10" t="s">
        <v>7539</v>
      </c>
      <c r="E314" s="48" t="s">
        <v>7535</v>
      </c>
      <c r="F314" s="48" t="s">
        <v>7429</v>
      </c>
      <c r="G314" s="49">
        <f t="array" ref="G314">MAX(IF(INSTOCK!$H$3:$H$6125=B314,INSTOCK!$K$3:$K$6125))</f>
        <v>25.93</v>
      </c>
      <c r="H314" s="50">
        <f t="array" ref="H314">SUM(IF(INSTOCK!$H$3:$H$6125=B314,INSTOCK!$I$3:$I$6125))</f>
        <v>1131</v>
      </c>
      <c r="I314" s="50" t="str">
        <f>ARRAY_CONSTRAIN(ARRAYFORMULA(SUM(IF([3]!Table13[ID]=B314,[3]!Table13[QTY]))), 1, 1)</f>
        <v>#ERROR!</v>
      </c>
      <c r="J314" s="50" t="str">
        <f>TABLEITEM!$H$3:$H$2749-TABLEITEM!$I$3:$I$2749</f>
        <v>#ERROR!</v>
      </c>
    </row>
    <row r="315" ht="15.75" customHeight="1">
      <c r="A315" s="45">
        <v>42.0</v>
      </c>
      <c r="B315" s="10" t="s">
        <v>500</v>
      </c>
      <c r="C315" s="26" t="s">
        <v>734</v>
      </c>
      <c r="D315" s="10" t="s">
        <v>7540</v>
      </c>
      <c r="E315" s="48" t="s">
        <v>7535</v>
      </c>
      <c r="F315" s="48" t="s">
        <v>7429</v>
      </c>
      <c r="G315" s="49">
        <f t="array" ref="G315">MAX(IF(INSTOCK!$H$3:$H$6125=B315,INSTOCK!$K$3:$K$6125))</f>
        <v>25.93</v>
      </c>
      <c r="H315" s="50">
        <f t="array" ref="H315">SUM(IF(INSTOCK!$H$3:$H$6125=B315,INSTOCK!$I$3:$I$6125))</f>
        <v>293</v>
      </c>
      <c r="I315" s="50" t="str">
        <f>ARRAY_CONSTRAIN(ARRAYFORMULA(SUM(IF([3]!Table13[ID]=B315,[3]!Table13[QTY]))), 1, 1)</f>
        <v>#ERROR!</v>
      </c>
      <c r="J315" s="50" t="str">
        <f>TABLEITEM!$H$3:$H$2749-TABLEITEM!$I$3:$I$2749</f>
        <v>#ERROR!</v>
      </c>
    </row>
    <row r="316" ht="15.75" customHeight="1">
      <c r="A316" s="45">
        <v>44.0</v>
      </c>
      <c r="B316" s="10" t="s">
        <v>502</v>
      </c>
      <c r="C316" s="26" t="s">
        <v>734</v>
      </c>
      <c r="D316" s="10" t="s">
        <v>7541</v>
      </c>
      <c r="E316" s="48" t="s">
        <v>7535</v>
      </c>
      <c r="F316" s="48" t="s">
        <v>7429</v>
      </c>
      <c r="G316" s="49">
        <f t="array" ref="G316">MAX(IF(INSTOCK!$H$3:$H$6125=B316,INSTOCK!$K$3:$K$6125))</f>
        <v>25.93</v>
      </c>
      <c r="H316" s="50">
        <f t="array" ref="H316">SUM(IF(INSTOCK!$H$3:$H$6125=B316,INSTOCK!$I$3:$I$6125))</f>
        <v>200</v>
      </c>
      <c r="I316" s="50" t="str">
        <f>ARRAY_CONSTRAIN(ARRAYFORMULA(SUM(IF([3]!Table13[ID]=B316,[3]!Table13[QTY]))), 1, 1)</f>
        <v>#ERROR!</v>
      </c>
      <c r="J316" s="50" t="str">
        <f>TABLEITEM!$H$3:$H$2749-TABLEITEM!$I$3:$I$2749</f>
        <v>#ERROR!</v>
      </c>
    </row>
    <row r="317" ht="15.75" customHeight="1">
      <c r="A317" s="45"/>
      <c r="B317" s="10" t="s">
        <v>680</v>
      </c>
      <c r="C317" s="26" t="s">
        <v>734</v>
      </c>
      <c r="D317" s="10" t="s">
        <v>7542</v>
      </c>
      <c r="E317" s="48" t="s">
        <v>7535</v>
      </c>
      <c r="F317" s="48" t="s">
        <v>7429</v>
      </c>
      <c r="G317" s="49">
        <f t="array" ref="G317">MAX(IF(INSTOCK!$H$3:$H$6125=B317,INSTOCK!$K$3:$K$6125))</f>
        <v>195</v>
      </c>
      <c r="H317" s="50">
        <f t="array" ref="H317">SUM(IF(INSTOCK!$H$3:$H$6125=B317,INSTOCK!$I$3:$I$6125))</f>
        <v>200</v>
      </c>
      <c r="I317" s="50" t="str">
        <f>ARRAY_CONSTRAIN(ARRAYFORMULA(SUM(IF([3]!Table13[ID]=B317,[3]!Table13[QTY]))), 1, 1)</f>
        <v>#ERROR!</v>
      </c>
      <c r="J317" s="50" t="str">
        <f>TABLEITEM!$H$3:$H$2749-TABLEITEM!$I$3:$I$2749</f>
        <v>#ERROR!</v>
      </c>
    </row>
    <row r="318" ht="15.75" customHeight="1">
      <c r="A318" s="45">
        <v>29.0</v>
      </c>
      <c r="B318" s="10" t="s">
        <v>487</v>
      </c>
      <c r="C318" s="26" t="s">
        <v>734</v>
      </c>
      <c r="D318" s="10" t="s">
        <v>7543</v>
      </c>
      <c r="E318" s="48" t="s">
        <v>7535</v>
      </c>
      <c r="F318" s="48" t="s">
        <v>7429</v>
      </c>
      <c r="G318" s="49">
        <f t="array" ref="G318">MAX(IF(INSTOCK!$H$3:$H$6125=B318,INSTOCK!$K$3:$K$6125))</f>
        <v>15.47</v>
      </c>
      <c r="H318" s="50">
        <f t="array" ref="H318">SUM(IF(INSTOCK!$H$3:$H$6125=B318,INSTOCK!$I$3:$I$6125))</f>
        <v>403</v>
      </c>
      <c r="I318" s="50" t="str">
        <f>ARRAY_CONSTRAIN(ARRAYFORMULA(SUM(IF([3]!Table13[ID]=B318,[3]!Table13[QTY]))), 1, 1)</f>
        <v>#ERROR!</v>
      </c>
      <c r="J318" s="50" t="str">
        <f>TABLEITEM!$H$3:$H$2749-TABLEITEM!$I$3:$I$2749</f>
        <v>#ERROR!</v>
      </c>
    </row>
    <row r="319" ht="15.75" customHeight="1">
      <c r="A319" s="45">
        <v>36.0</v>
      </c>
      <c r="B319" s="10" t="s">
        <v>494</v>
      </c>
      <c r="C319" s="26" t="s">
        <v>734</v>
      </c>
      <c r="D319" s="10" t="s">
        <v>7544</v>
      </c>
      <c r="E319" s="48" t="s">
        <v>7535</v>
      </c>
      <c r="F319" s="48" t="s">
        <v>7429</v>
      </c>
      <c r="G319" s="49">
        <f t="array" ref="G319">MAX(IF(INSTOCK!$H$3:$H$6125=B319,INSTOCK!$K$3:$K$6125))</f>
        <v>15.47</v>
      </c>
      <c r="H319" s="50">
        <f t="array" ref="H319">SUM(IF(INSTOCK!$H$3:$H$6125=B319,INSTOCK!$I$3:$I$6125))</f>
        <v>1048</v>
      </c>
      <c r="I319" s="50" t="str">
        <f>ARRAY_CONSTRAIN(ARRAYFORMULA(SUM(IF([3]!Table13[ID]=B319,[3]!Table13[QTY]))), 1, 1)</f>
        <v>#ERROR!</v>
      </c>
      <c r="J319" s="50" t="str">
        <f>TABLEITEM!$H$3:$H$2749-TABLEITEM!$I$3:$I$2749</f>
        <v>#ERROR!</v>
      </c>
    </row>
    <row r="320" ht="15.75" customHeight="1">
      <c r="A320" s="45">
        <v>33.0</v>
      </c>
      <c r="B320" s="10" t="s">
        <v>491</v>
      </c>
      <c r="C320" s="26" t="s">
        <v>734</v>
      </c>
      <c r="D320" s="10" t="s">
        <v>7545</v>
      </c>
      <c r="E320" s="48" t="s">
        <v>7535</v>
      </c>
      <c r="F320" s="48" t="s">
        <v>7429</v>
      </c>
      <c r="G320" s="49">
        <f t="array" ref="G320">MAX(IF(INSTOCK!$H$3:$H$6125=B320,INSTOCK!$K$3:$K$6125))</f>
        <v>15.47</v>
      </c>
      <c r="H320" s="50">
        <f t="array" ref="H320">SUM(IF(INSTOCK!$H$3:$H$6125=B320,INSTOCK!$I$3:$I$6125))</f>
        <v>927</v>
      </c>
      <c r="I320" s="50" t="str">
        <f>ARRAY_CONSTRAIN(ARRAYFORMULA(SUM(IF([3]!Table13[ID]=B320,[3]!Table13[QTY]))), 1, 1)</f>
        <v>#ERROR!</v>
      </c>
      <c r="J320" s="50" t="str">
        <f>TABLEITEM!$H$3:$H$2749-TABLEITEM!$I$3:$I$2749</f>
        <v>#ERROR!</v>
      </c>
    </row>
    <row r="321" ht="15.75" customHeight="1">
      <c r="A321" s="45">
        <v>35.0</v>
      </c>
      <c r="B321" s="10" t="s">
        <v>493</v>
      </c>
      <c r="C321" s="26" t="s">
        <v>734</v>
      </c>
      <c r="D321" s="10" t="s">
        <v>7546</v>
      </c>
      <c r="E321" s="48" t="s">
        <v>7535</v>
      </c>
      <c r="F321" s="48" t="s">
        <v>7429</v>
      </c>
      <c r="G321" s="49">
        <f t="array" ref="G321">MAX(IF(INSTOCK!$H$3:$H$6125=B321,INSTOCK!$K$3:$K$6125))</f>
        <v>15.47</v>
      </c>
      <c r="H321" s="50">
        <f t="array" ref="H321">SUM(IF(INSTOCK!$H$3:$H$6125=B321,INSTOCK!$I$3:$I$6125))</f>
        <v>449</v>
      </c>
      <c r="I321" s="50" t="str">
        <f>ARRAY_CONSTRAIN(ARRAYFORMULA(SUM(IF([3]!Table13[ID]=B321,[3]!Table13[QTY]))), 1, 1)</f>
        <v>#ERROR!</v>
      </c>
      <c r="J321" s="50" t="str">
        <f>TABLEITEM!$H$3:$H$2749-TABLEITEM!$I$3:$I$2749</f>
        <v>#ERROR!</v>
      </c>
    </row>
    <row r="322" ht="15.75" customHeight="1">
      <c r="A322" s="45">
        <v>30.0</v>
      </c>
      <c r="B322" s="10" t="s">
        <v>488</v>
      </c>
      <c r="C322" s="26" t="s">
        <v>734</v>
      </c>
      <c r="D322" s="10" t="s">
        <v>7547</v>
      </c>
      <c r="E322" s="48" t="s">
        <v>7535</v>
      </c>
      <c r="F322" s="48" t="s">
        <v>7429</v>
      </c>
      <c r="G322" s="49">
        <f t="array" ref="G322">MAX(IF(INSTOCK!$H$3:$H$6125=B322,INSTOCK!$K$3:$K$6125))</f>
        <v>15.47</v>
      </c>
      <c r="H322" s="50">
        <f t="array" ref="H322">SUM(IF(INSTOCK!$H$3:$H$6125=B322,INSTOCK!$I$3:$I$6125))</f>
        <v>516</v>
      </c>
      <c r="I322" s="50" t="str">
        <f>ARRAY_CONSTRAIN(ARRAYFORMULA(SUM(IF([3]!Table13[ID]=B322,[3]!Table13[QTY]))), 1, 1)</f>
        <v>#ERROR!</v>
      </c>
      <c r="J322" s="50" t="str">
        <f>TABLEITEM!$H$3:$H$2749-TABLEITEM!$I$3:$I$2749</f>
        <v>#ERROR!</v>
      </c>
    </row>
    <row r="323" ht="15.75" customHeight="1">
      <c r="A323" s="45">
        <v>32.0</v>
      </c>
      <c r="B323" s="10" t="s">
        <v>490</v>
      </c>
      <c r="C323" s="26" t="s">
        <v>734</v>
      </c>
      <c r="D323" s="10" t="s">
        <v>7548</v>
      </c>
      <c r="E323" s="48" t="s">
        <v>7535</v>
      </c>
      <c r="F323" s="48" t="s">
        <v>7429</v>
      </c>
      <c r="G323" s="49">
        <f t="array" ref="G323">MAX(IF(INSTOCK!$H$3:$H$6125=B323,INSTOCK!$K$3:$K$6125))</f>
        <v>15.47</v>
      </c>
      <c r="H323" s="50">
        <f t="array" ref="H323">SUM(IF(INSTOCK!$H$3:$H$6125=B323,INSTOCK!$I$3:$I$6125))</f>
        <v>2756</v>
      </c>
      <c r="I323" s="50" t="str">
        <f>ARRAY_CONSTRAIN(ARRAYFORMULA(SUM(IF([3]!Table13[ID]=B323,[3]!Table13[QTY]))), 1, 1)</f>
        <v>#ERROR!</v>
      </c>
      <c r="J323" s="50" t="str">
        <f>TABLEITEM!$H$3:$H$2749-TABLEITEM!$I$3:$I$2749</f>
        <v>#ERROR!</v>
      </c>
    </row>
    <row r="324" ht="15.75" customHeight="1">
      <c r="A324" s="45">
        <v>34.0</v>
      </c>
      <c r="B324" s="10" t="s">
        <v>492</v>
      </c>
      <c r="C324" s="26" t="s">
        <v>734</v>
      </c>
      <c r="D324" s="10" t="s">
        <v>7549</v>
      </c>
      <c r="E324" s="48" t="s">
        <v>7535</v>
      </c>
      <c r="F324" s="48" t="s">
        <v>7429</v>
      </c>
      <c r="G324" s="49">
        <f t="array" ref="G324">MAX(IF(INSTOCK!$H$3:$H$6125=B324,INSTOCK!$K$3:$K$6125))</f>
        <v>15.47</v>
      </c>
      <c r="H324" s="50">
        <f t="array" ref="H324">SUM(IF(INSTOCK!$H$3:$H$6125=B324,INSTOCK!$I$3:$I$6125))</f>
        <v>190</v>
      </c>
      <c r="I324" s="50" t="str">
        <f>ARRAY_CONSTRAIN(ARRAYFORMULA(SUM(IF([3]!Table13[ID]=B324,[3]!Table13[QTY]))), 1, 1)</f>
        <v>#ERROR!</v>
      </c>
      <c r="J324" s="50" t="str">
        <f>TABLEITEM!$H$3:$H$2749-TABLEITEM!$I$3:$I$2749</f>
        <v>#ERROR!</v>
      </c>
    </row>
    <row r="325" ht="15.75" customHeight="1">
      <c r="A325" s="45">
        <v>31.0</v>
      </c>
      <c r="B325" s="10" t="s">
        <v>489</v>
      </c>
      <c r="C325" s="26" t="s">
        <v>734</v>
      </c>
      <c r="D325" s="10" t="s">
        <v>7550</v>
      </c>
      <c r="E325" s="48" t="s">
        <v>7535</v>
      </c>
      <c r="F325" s="48" t="s">
        <v>7429</v>
      </c>
      <c r="G325" s="49">
        <f t="array" ref="G325">MAX(IF(INSTOCK!$H$3:$H$6125=B325,INSTOCK!$K$3:$K$6125))</f>
        <v>15.47</v>
      </c>
      <c r="H325" s="50">
        <f t="array" ref="H325">SUM(IF(INSTOCK!$H$3:$H$6125=B325,INSTOCK!$I$3:$I$6125))</f>
        <v>90</v>
      </c>
      <c r="I325" s="50" t="str">
        <f>ARRAY_CONSTRAIN(ARRAYFORMULA(SUM(IF([3]!Table13[ID]=B325,[3]!Table13[QTY]))), 1, 1)</f>
        <v>#ERROR!</v>
      </c>
      <c r="J325" s="50" t="str">
        <f>TABLEITEM!$H$3:$H$2749-TABLEITEM!$I$3:$I$2749</f>
        <v>#ERROR!</v>
      </c>
    </row>
    <row r="326" ht="15.75" customHeight="1">
      <c r="A326" s="45">
        <v>51.0</v>
      </c>
      <c r="B326" s="10" t="s">
        <v>509</v>
      </c>
      <c r="C326" s="26" t="s">
        <v>734</v>
      </c>
      <c r="D326" s="10" t="s">
        <v>7551</v>
      </c>
      <c r="E326" s="48" t="s">
        <v>7552</v>
      </c>
      <c r="F326" s="48" t="s">
        <v>7429</v>
      </c>
      <c r="G326" s="49">
        <f t="array" ref="G326">MAX(IF(INSTOCK!$H$3:$H$6125=B326,INSTOCK!$K$3:$K$6125))</f>
        <v>150</v>
      </c>
      <c r="H326" s="50">
        <f t="array" ref="H326">SUM(IF(INSTOCK!$H$3:$H$6125=B326,INSTOCK!$I$3:$I$6125))</f>
        <v>148</v>
      </c>
      <c r="I326" s="50" t="str">
        <f>ARRAY_CONSTRAIN(ARRAYFORMULA(SUM(IF([3]!Table13[ID]=B326,[3]!Table13[QTY]))), 1, 1)</f>
        <v>#ERROR!</v>
      </c>
      <c r="J326" s="50" t="str">
        <f>TABLEITEM!$H$3:$H$2749-TABLEITEM!$I$3:$I$2749</f>
        <v>#ERROR!</v>
      </c>
    </row>
    <row r="327" ht="15.75" customHeight="1">
      <c r="A327" s="45">
        <v>50.0</v>
      </c>
      <c r="B327" s="10" t="s">
        <v>508</v>
      </c>
      <c r="C327" s="26" t="s">
        <v>734</v>
      </c>
      <c r="D327" s="10" t="s">
        <v>7553</v>
      </c>
      <c r="E327" s="48" t="s">
        <v>7535</v>
      </c>
      <c r="F327" s="48" t="s">
        <v>7429</v>
      </c>
      <c r="G327" s="49">
        <f t="array" ref="G327">MAX(IF(INSTOCK!$H$3:$H$6125=B327,INSTOCK!$K$3:$K$6125))</f>
        <v>93.5</v>
      </c>
      <c r="H327" s="50">
        <f t="array" ref="H327">SUM(IF(INSTOCK!$H$3:$H$6125=B327,INSTOCK!$I$3:$I$6125))</f>
        <v>333</v>
      </c>
      <c r="I327" s="50" t="str">
        <f>ARRAY_CONSTRAIN(ARRAYFORMULA(SUM(IF([3]!Table13[ID]=B327,[3]!Table13[QTY]))), 1, 1)</f>
        <v>#ERROR!</v>
      </c>
      <c r="J327" s="50" t="str">
        <f>TABLEITEM!$H$3:$H$2749-TABLEITEM!$I$3:$I$2749</f>
        <v>#ERROR!</v>
      </c>
    </row>
    <row r="328" ht="15.75" customHeight="1">
      <c r="A328" s="45">
        <v>21.0</v>
      </c>
      <c r="B328" s="10" t="s">
        <v>7554</v>
      </c>
      <c r="C328" s="26" t="s">
        <v>734</v>
      </c>
      <c r="D328" s="10" t="s">
        <v>7555</v>
      </c>
      <c r="E328" s="48" t="s">
        <v>7535</v>
      </c>
      <c r="F328" s="48" t="s">
        <v>7429</v>
      </c>
      <c r="G328" s="49">
        <f t="array" ref="G328">MAX(IF(INSTOCK!$H$3:$H$6125=B328,INSTOCK!$K$3:$K$6125))</f>
        <v>10.46</v>
      </c>
      <c r="H328" s="50">
        <f t="array" ref="H328">SUM(IF(INSTOCK!$H$3:$H$6125=B328,INSTOCK!$I$3:$I$6125))</f>
        <v>10800</v>
      </c>
      <c r="I328" s="50" t="str">
        <f>ARRAY_CONSTRAIN(ARRAYFORMULA(SUM(IF([3]!Table13[ID]=B328,[3]!Table13[QTY]))), 1, 1)</f>
        <v>#ERROR!</v>
      </c>
      <c r="J328" s="50" t="str">
        <f>TABLEITEM!$H$3:$H$2749-TABLEITEM!$I$3:$I$2749</f>
        <v>#ERROR!</v>
      </c>
    </row>
    <row r="329" ht="15.75" customHeight="1">
      <c r="A329" s="45">
        <v>27.0</v>
      </c>
      <c r="B329" s="10" t="s">
        <v>7556</v>
      </c>
      <c r="C329" s="26" t="s">
        <v>734</v>
      </c>
      <c r="D329" s="10" t="s">
        <v>7557</v>
      </c>
      <c r="E329" s="48" t="s">
        <v>7535</v>
      </c>
      <c r="F329" s="48" t="s">
        <v>7429</v>
      </c>
      <c r="G329" s="49">
        <f t="array" ref="G329">MAX(IF(INSTOCK!$H$3:$H$6125=B329,INSTOCK!$K$3:$K$6125))</f>
        <v>10.46</v>
      </c>
      <c r="H329" s="50">
        <f t="array" ref="H329">SUM(IF(INSTOCK!$H$3:$H$6125=B329,INSTOCK!$I$3:$I$6125))</f>
        <v>1326</v>
      </c>
      <c r="I329" s="50" t="str">
        <f>ARRAY_CONSTRAIN(ARRAYFORMULA(SUM(IF([3]!Table13[ID]=B329,[3]!Table13[QTY]))), 1, 1)</f>
        <v>#ERROR!</v>
      </c>
      <c r="J329" s="50" t="str">
        <f>TABLEITEM!$H$3:$H$2749-TABLEITEM!$I$3:$I$2749</f>
        <v>#ERROR!</v>
      </c>
    </row>
    <row r="330" ht="15.75" customHeight="1">
      <c r="A330" s="45">
        <v>26.0</v>
      </c>
      <c r="B330" s="10" t="s">
        <v>7558</v>
      </c>
      <c r="C330" s="26" t="s">
        <v>734</v>
      </c>
      <c r="D330" s="10" t="s">
        <v>7559</v>
      </c>
      <c r="E330" s="48" t="s">
        <v>7535</v>
      </c>
      <c r="F330" s="48" t="s">
        <v>7429</v>
      </c>
      <c r="G330" s="49">
        <f t="array" ref="G330">MAX(IF(INSTOCK!$H$3:$H$6125=B330,INSTOCK!$K$3:$K$6125))</f>
        <v>10.46</v>
      </c>
      <c r="H330" s="50">
        <f t="array" ref="H330">SUM(IF(INSTOCK!$H$3:$H$6125=B330,INSTOCK!$I$3:$I$6125))</f>
        <v>1502</v>
      </c>
      <c r="I330" s="50" t="str">
        <f>ARRAY_CONSTRAIN(ARRAYFORMULA(SUM(IF([3]!Table13[ID]=B330,[3]!Table13[QTY]))), 1, 1)</f>
        <v>#ERROR!</v>
      </c>
      <c r="J330" s="50" t="str">
        <f>TABLEITEM!$H$3:$H$2749-TABLEITEM!$I$3:$I$2749</f>
        <v>#ERROR!</v>
      </c>
    </row>
    <row r="331" ht="15.75" customHeight="1">
      <c r="A331" s="45">
        <v>25.0</v>
      </c>
      <c r="B331" s="10" t="s">
        <v>7560</v>
      </c>
      <c r="C331" s="26" t="s">
        <v>734</v>
      </c>
      <c r="D331" s="10" t="s">
        <v>7561</v>
      </c>
      <c r="E331" s="48" t="s">
        <v>7535</v>
      </c>
      <c r="F331" s="48" t="s">
        <v>7429</v>
      </c>
      <c r="G331" s="49">
        <f t="array" ref="G331">MAX(IF(INSTOCK!$H$3:$H$6125=B331,INSTOCK!$K$3:$K$6125))</f>
        <v>10.46</v>
      </c>
      <c r="H331" s="50">
        <f t="array" ref="H331">SUM(IF(INSTOCK!$H$3:$H$6125=B331,INSTOCK!$I$3:$I$6125))</f>
        <v>1172</v>
      </c>
      <c r="I331" s="50" t="str">
        <f>ARRAY_CONSTRAIN(ARRAYFORMULA(SUM(IF([3]!Table13[ID]=B331,[3]!Table13[QTY]))), 1, 1)</f>
        <v>#ERROR!</v>
      </c>
      <c r="J331" s="50" t="str">
        <f>TABLEITEM!$H$3:$H$2749-TABLEITEM!$I$3:$I$2749</f>
        <v>#ERROR!</v>
      </c>
    </row>
    <row r="332" ht="15.75" customHeight="1">
      <c r="A332" s="45">
        <v>22.0</v>
      </c>
      <c r="B332" s="10" t="s">
        <v>7562</v>
      </c>
      <c r="C332" s="26" t="s">
        <v>734</v>
      </c>
      <c r="D332" s="10" t="s">
        <v>7563</v>
      </c>
      <c r="E332" s="48" t="s">
        <v>7535</v>
      </c>
      <c r="F332" s="48" t="s">
        <v>7429</v>
      </c>
      <c r="G332" s="49">
        <f t="array" ref="G332">MAX(IF(INSTOCK!$H$3:$H$6125=B332,INSTOCK!$K$3:$K$6125))</f>
        <v>10.46</v>
      </c>
      <c r="H332" s="50">
        <f t="array" ref="H332">SUM(IF(INSTOCK!$H$3:$H$6125=B332,INSTOCK!$I$3:$I$6125))</f>
        <v>686</v>
      </c>
      <c r="I332" s="50" t="str">
        <f>ARRAY_CONSTRAIN(ARRAYFORMULA(SUM(IF([3]!Table13[ID]=B332,[3]!Table13[QTY]))), 1, 1)</f>
        <v>#ERROR!</v>
      </c>
      <c r="J332" s="50" t="str">
        <f>TABLEITEM!$H$3:$H$2749-TABLEITEM!$I$3:$I$2749</f>
        <v>#ERROR!</v>
      </c>
    </row>
    <row r="333" ht="15.75" customHeight="1">
      <c r="A333" s="45">
        <v>24.0</v>
      </c>
      <c r="B333" s="10" t="s">
        <v>7564</v>
      </c>
      <c r="C333" s="26" t="s">
        <v>734</v>
      </c>
      <c r="D333" s="10" t="s">
        <v>7565</v>
      </c>
      <c r="E333" s="48" t="s">
        <v>7535</v>
      </c>
      <c r="F333" s="48" t="s">
        <v>7429</v>
      </c>
      <c r="G333" s="49">
        <f t="array" ref="G333">MAX(IF(INSTOCK!$H$3:$H$6125=B333,INSTOCK!$K$3:$K$6125))</f>
        <v>10.46</v>
      </c>
      <c r="H333" s="50">
        <f t="array" ref="H333">SUM(IF(INSTOCK!$H$3:$H$6125=B333,INSTOCK!$I$3:$I$6125))</f>
        <v>4251</v>
      </c>
      <c r="I333" s="50" t="str">
        <f>ARRAY_CONSTRAIN(ARRAYFORMULA(SUM(IF([3]!Table13[ID]=B333,[3]!Table13[QTY]))), 1, 1)</f>
        <v>#ERROR!</v>
      </c>
      <c r="J333" s="50" t="str">
        <f>TABLEITEM!$H$3:$H$2749-TABLEITEM!$I$3:$I$2749</f>
        <v>#ERROR!</v>
      </c>
    </row>
    <row r="334" ht="15.75" customHeight="1">
      <c r="A334" s="45"/>
      <c r="B334" s="10" t="s">
        <v>7566</v>
      </c>
      <c r="C334" s="26" t="s">
        <v>734</v>
      </c>
      <c r="D334" s="10" t="s">
        <v>7567</v>
      </c>
      <c r="E334" s="48"/>
      <c r="F334" s="48" t="s">
        <v>7429</v>
      </c>
      <c r="G334" s="49">
        <f t="array" ref="G334">MAX(IF(INSTOCK!$H$3:$H$6125=B334,INSTOCK!$K$3:$K$6125))</f>
        <v>9.8</v>
      </c>
      <c r="H334" s="50">
        <f t="array" ref="H334">SUM(IF(INSTOCK!$H$3:$H$6125=B334,INSTOCK!$I$3:$I$6125))</f>
        <v>300</v>
      </c>
      <c r="I334" s="50" t="str">
        <f>ARRAY_CONSTRAIN(ARRAYFORMULA(SUM(IF([3]!Table13[ID]=B334,[3]!Table13[QTY]))), 1, 1)</f>
        <v>#ERROR!</v>
      </c>
      <c r="J334" s="50" t="str">
        <f>TABLEITEM!$H$3:$H$2749-TABLEITEM!$I$3:$I$2749</f>
        <v>#ERROR!</v>
      </c>
    </row>
    <row r="335" ht="15.75" customHeight="1">
      <c r="A335" s="45">
        <v>23.0</v>
      </c>
      <c r="B335" s="10" t="s">
        <v>481</v>
      </c>
      <c r="C335" s="26" t="s">
        <v>734</v>
      </c>
      <c r="D335" s="10" t="s">
        <v>7568</v>
      </c>
      <c r="E335" s="48" t="s">
        <v>7535</v>
      </c>
      <c r="F335" s="48" t="s">
        <v>7429</v>
      </c>
      <c r="G335" s="49">
        <f t="array" ref="G335">MAX(IF(INSTOCK!$H$3:$H$6125=B335,INSTOCK!$K$3:$K$6125))</f>
        <v>10.46</v>
      </c>
      <c r="H335" s="50">
        <f t="array" ref="H335">SUM(IF(INSTOCK!$H$3:$H$6125=B335,INSTOCK!$I$3:$I$6125))</f>
        <v>2432</v>
      </c>
      <c r="I335" s="50" t="str">
        <f>ARRAY_CONSTRAIN(ARRAYFORMULA(SUM(IF([3]!Table13[ID]=B335,[3]!Table13[QTY]))), 1, 1)</f>
        <v>#ERROR!</v>
      </c>
      <c r="J335" s="50" t="str">
        <f>TABLEITEM!$H$3:$H$2749-TABLEITEM!$I$3:$I$2749</f>
        <v>#ERROR!</v>
      </c>
    </row>
    <row r="336" ht="15.75" customHeight="1">
      <c r="A336" s="45">
        <v>48.0</v>
      </c>
      <c r="B336" s="10" t="s">
        <v>506</v>
      </c>
      <c r="C336" s="26" t="s">
        <v>734</v>
      </c>
      <c r="D336" s="10" t="s">
        <v>7569</v>
      </c>
      <c r="E336" s="48" t="s">
        <v>1344</v>
      </c>
      <c r="F336" s="48" t="s">
        <v>7429</v>
      </c>
      <c r="G336" s="49">
        <f t="array" ref="G336">MAX(IF(INSTOCK!$H$3:$H$6125=B336,INSTOCK!$K$3:$K$6125))</f>
        <v>76.5</v>
      </c>
      <c r="H336" s="50">
        <f t="array" ref="H336">SUM(IF(INSTOCK!$H$3:$H$6125=B336,INSTOCK!$I$3:$I$6125))</f>
        <v>533</v>
      </c>
      <c r="I336" s="50" t="str">
        <f>ARRAY_CONSTRAIN(ARRAYFORMULA(SUM(IF([3]!Table13[ID]=B336,[3]!Table13[QTY]))), 1, 1)</f>
        <v>#ERROR!</v>
      </c>
      <c r="J336" s="50" t="str">
        <f>TABLEITEM!$H$3:$H$2749-TABLEITEM!$I$3:$I$2749</f>
        <v>#ERROR!</v>
      </c>
    </row>
    <row r="337" ht="15.75" customHeight="1">
      <c r="A337" s="45">
        <v>49.0</v>
      </c>
      <c r="B337" s="10" t="s">
        <v>507</v>
      </c>
      <c r="C337" s="26" t="s">
        <v>734</v>
      </c>
      <c r="D337" s="10" t="s">
        <v>7570</v>
      </c>
      <c r="E337" s="48" t="s">
        <v>1344</v>
      </c>
      <c r="F337" s="48" t="s">
        <v>7429</v>
      </c>
      <c r="G337" s="49">
        <f t="array" ref="G337">MAX(IF(INSTOCK!$H$3:$H$6125=B337,INSTOCK!$K$3:$K$6125))</f>
        <v>85.69</v>
      </c>
      <c r="H337" s="50">
        <f t="array" ref="H337">SUM(IF(INSTOCK!$H$3:$H$6125=B337,INSTOCK!$I$3:$I$6125))</f>
        <v>86</v>
      </c>
      <c r="I337" s="50" t="str">
        <f>ARRAY_CONSTRAIN(ARRAYFORMULA(SUM(IF([3]!Table13[ID]=B337,[3]!Table13[QTY]))), 1, 1)</f>
        <v>#ERROR!</v>
      </c>
      <c r="J337" s="50" t="str">
        <f>TABLEITEM!$H$3:$H$2749-TABLEITEM!$I$3:$I$2749</f>
        <v>#ERROR!</v>
      </c>
    </row>
    <row r="338" ht="15.75" customHeight="1">
      <c r="A338" s="45">
        <v>45.0</v>
      </c>
      <c r="B338" s="10" t="s">
        <v>503</v>
      </c>
      <c r="C338" s="26" t="s">
        <v>734</v>
      </c>
      <c r="D338" s="10" t="s">
        <v>7571</v>
      </c>
      <c r="E338" s="48" t="s">
        <v>7535</v>
      </c>
      <c r="F338" s="48" t="s">
        <v>7429</v>
      </c>
      <c r="G338" s="49">
        <f t="array" ref="G338">MAX(IF(INSTOCK!$H$3:$H$6125=B338,INSTOCK!$K$3:$K$6125))</f>
        <v>39.18</v>
      </c>
      <c r="H338" s="50">
        <f t="array" ref="H338">SUM(IF(INSTOCK!$H$3:$H$6125=B338,INSTOCK!$I$3:$I$6125))</f>
        <v>563</v>
      </c>
      <c r="I338" s="50" t="str">
        <f>ARRAY_CONSTRAIN(ARRAYFORMULA(SUM(IF([3]!Table13[ID]=B338,[3]!Table13[QTY]))), 1, 1)</f>
        <v>#ERROR!</v>
      </c>
      <c r="J338" s="50" t="str">
        <f>TABLEITEM!$H$3:$H$2749-TABLEITEM!$I$3:$I$2749</f>
        <v>#ERROR!</v>
      </c>
    </row>
    <row r="339" ht="15.75" customHeight="1">
      <c r="A339" s="45">
        <v>47.0</v>
      </c>
      <c r="B339" s="10" t="s">
        <v>505</v>
      </c>
      <c r="C339" s="26" t="s">
        <v>734</v>
      </c>
      <c r="D339" s="10" t="s">
        <v>7572</v>
      </c>
      <c r="E339" s="48" t="s">
        <v>1344</v>
      </c>
      <c r="F339" s="48" t="s">
        <v>7429</v>
      </c>
      <c r="G339" s="49">
        <f t="array" ref="G339">MAX(IF(INSTOCK!$H$3:$H$6125=B339,INSTOCK!$K$3:$K$6125))</f>
        <v>59.69</v>
      </c>
      <c r="H339" s="50">
        <f t="array" ref="H339">SUM(IF(INSTOCK!$H$3:$H$6125=B339,INSTOCK!$I$3:$I$6125))</f>
        <v>176</v>
      </c>
      <c r="I339" s="50" t="str">
        <f>ARRAY_CONSTRAIN(ARRAYFORMULA(SUM(IF([3]!Table13[ID]=B339,[3]!Table13[QTY]))), 1, 1)</f>
        <v>#ERROR!</v>
      </c>
      <c r="J339" s="50" t="str">
        <f>TABLEITEM!$H$3:$H$2749-TABLEITEM!$I$3:$I$2749</f>
        <v>#ERROR!</v>
      </c>
    </row>
    <row r="340" ht="15.75" customHeight="1">
      <c r="A340" s="45">
        <v>12.0</v>
      </c>
      <c r="B340" s="10" t="s">
        <v>470</v>
      </c>
      <c r="C340" s="26" t="s">
        <v>734</v>
      </c>
      <c r="D340" s="10" t="s">
        <v>7573</v>
      </c>
      <c r="E340" s="48" t="s">
        <v>7535</v>
      </c>
      <c r="F340" s="48" t="s">
        <v>7429</v>
      </c>
      <c r="G340" s="49">
        <f t="array" ref="G340">MAX(IF(INSTOCK!$H$3:$H$6125=B340,INSTOCK!$K$3:$K$6125))</f>
        <v>6.4</v>
      </c>
      <c r="H340" s="50">
        <f t="array" ref="H340">SUM(IF(INSTOCK!$H$3:$H$6125=B340,INSTOCK!$I$3:$I$6125))</f>
        <v>5653</v>
      </c>
      <c r="I340" s="50" t="str">
        <f>ARRAY_CONSTRAIN(ARRAYFORMULA(SUM(IF([3]!Table13[ID]=B340,[3]!Table13[QTY]))), 1, 1)</f>
        <v>#ERROR!</v>
      </c>
      <c r="J340" s="50" t="str">
        <f>TABLEITEM!$H$3:$H$2749-TABLEITEM!$I$3:$I$2749</f>
        <v>#ERROR!</v>
      </c>
    </row>
    <row r="341" ht="15.75" customHeight="1">
      <c r="A341" s="45">
        <v>18.0</v>
      </c>
      <c r="B341" s="10" t="s">
        <v>476</v>
      </c>
      <c r="C341" s="26" t="s">
        <v>734</v>
      </c>
      <c r="D341" s="10" t="s">
        <v>7574</v>
      </c>
      <c r="E341" s="48" t="s">
        <v>7535</v>
      </c>
      <c r="F341" s="48" t="s">
        <v>7429</v>
      </c>
      <c r="G341" s="49">
        <f t="array" ref="G341">MAX(IF(INSTOCK!$H$3:$H$6125=B341,INSTOCK!$K$3:$K$6125))</f>
        <v>6.4</v>
      </c>
      <c r="H341" s="50">
        <f t="array" ref="H341">SUM(IF(INSTOCK!$H$3:$H$6125=B341,INSTOCK!$I$3:$I$6125))</f>
        <v>2054</v>
      </c>
      <c r="I341" s="50" t="str">
        <f>ARRAY_CONSTRAIN(ARRAYFORMULA(SUM(IF([3]!Table13[ID]=B341,[3]!Table13[QTY]))), 1, 1)</f>
        <v>#ERROR!</v>
      </c>
      <c r="J341" s="50" t="str">
        <f>TABLEITEM!$H$3:$H$2749-TABLEITEM!$I$3:$I$2749</f>
        <v>#ERROR!</v>
      </c>
    </row>
    <row r="342" ht="15.75" customHeight="1">
      <c r="A342" s="45">
        <v>17.0</v>
      </c>
      <c r="B342" s="10" t="s">
        <v>475</v>
      </c>
      <c r="C342" s="26" t="s">
        <v>734</v>
      </c>
      <c r="D342" s="10" t="s">
        <v>7575</v>
      </c>
      <c r="E342" s="48" t="s">
        <v>7535</v>
      </c>
      <c r="F342" s="48" t="s">
        <v>7429</v>
      </c>
      <c r="G342" s="49">
        <f t="array" ref="G342">MAX(IF(INSTOCK!$H$3:$H$6125=B342,INSTOCK!$K$3:$K$6125))</f>
        <v>6.4</v>
      </c>
      <c r="H342" s="50">
        <f t="array" ref="H342">SUM(IF(INSTOCK!$H$3:$H$6125=B342,INSTOCK!$I$3:$I$6125))</f>
        <v>2700</v>
      </c>
      <c r="I342" s="50" t="str">
        <f>ARRAY_CONSTRAIN(ARRAYFORMULA(SUM(IF([3]!Table13[ID]=B342,[3]!Table13[QTY]))), 1, 1)</f>
        <v>#ERROR!</v>
      </c>
      <c r="J342" s="50" t="str">
        <f>TABLEITEM!$H$3:$H$2749-TABLEITEM!$I$3:$I$2749</f>
        <v>#ERROR!</v>
      </c>
    </row>
    <row r="343" ht="15.75" customHeight="1">
      <c r="A343" s="45">
        <v>16.0</v>
      </c>
      <c r="B343" s="10" t="s">
        <v>474</v>
      </c>
      <c r="C343" s="26" t="s">
        <v>734</v>
      </c>
      <c r="D343" s="10" t="s">
        <v>7576</v>
      </c>
      <c r="E343" s="48" t="s">
        <v>7535</v>
      </c>
      <c r="F343" s="48" t="s">
        <v>7429</v>
      </c>
      <c r="G343" s="49">
        <f t="array" ref="G343">MAX(IF(INSTOCK!$H$3:$H$6125=B343,INSTOCK!$K$3:$K$6125))</f>
        <v>6.4</v>
      </c>
      <c r="H343" s="50">
        <f t="array" ref="H343">SUM(IF(INSTOCK!$H$3:$H$6125=B343,INSTOCK!$I$3:$I$6125))</f>
        <v>668</v>
      </c>
      <c r="I343" s="50" t="str">
        <f>ARRAY_CONSTRAIN(ARRAYFORMULA(SUM(IF([3]!Table13[ID]=B343,[3]!Table13[QTY]))), 1, 1)</f>
        <v>#ERROR!</v>
      </c>
      <c r="J343" s="50" t="str">
        <f>TABLEITEM!$H$3:$H$2749-TABLEITEM!$I$3:$I$2749</f>
        <v>#ERROR!</v>
      </c>
    </row>
    <row r="344" ht="15.75" customHeight="1">
      <c r="A344" s="45">
        <v>13.0</v>
      </c>
      <c r="B344" s="10" t="s">
        <v>471</v>
      </c>
      <c r="C344" s="26" t="s">
        <v>734</v>
      </c>
      <c r="D344" s="10" t="s">
        <v>7577</v>
      </c>
      <c r="E344" s="48" t="s">
        <v>7535</v>
      </c>
      <c r="F344" s="48" t="s">
        <v>7429</v>
      </c>
      <c r="G344" s="49">
        <f t="array" ref="G344">MAX(IF(INSTOCK!$H$3:$H$6125=B344,INSTOCK!$K$3:$K$6125))</f>
        <v>6.4</v>
      </c>
      <c r="H344" s="50">
        <f t="array" ref="H344">SUM(IF(INSTOCK!$H$3:$H$6125=B344,INSTOCK!$I$3:$I$6125))</f>
        <v>1614</v>
      </c>
      <c r="I344" s="50" t="str">
        <f>ARRAY_CONSTRAIN(ARRAYFORMULA(SUM(IF([3]!Table13[ID]=B344,[3]!Table13[QTY]))), 1, 1)</f>
        <v>#ERROR!</v>
      </c>
      <c r="J344" s="50" t="str">
        <f>TABLEITEM!$H$3:$H$2749-TABLEITEM!$I$3:$I$2749</f>
        <v>#ERROR!</v>
      </c>
    </row>
    <row r="345" ht="15.75" customHeight="1">
      <c r="A345" s="45">
        <v>15.0</v>
      </c>
      <c r="B345" s="10" t="s">
        <v>473</v>
      </c>
      <c r="C345" s="26" t="s">
        <v>734</v>
      </c>
      <c r="D345" s="10" t="s">
        <v>7578</v>
      </c>
      <c r="E345" s="48" t="s">
        <v>7535</v>
      </c>
      <c r="F345" s="48" t="s">
        <v>7429</v>
      </c>
      <c r="G345" s="49">
        <f t="array" ref="G345">MAX(IF(INSTOCK!$H$3:$H$6125=B345,INSTOCK!$K$3:$K$6125))</f>
        <v>6.4</v>
      </c>
      <c r="H345" s="50">
        <f t="array" ref="H345">SUM(IF(INSTOCK!$H$3:$H$6125=B345,INSTOCK!$I$3:$I$6125))</f>
        <v>1365</v>
      </c>
      <c r="I345" s="50" t="str">
        <f>ARRAY_CONSTRAIN(ARRAYFORMULA(SUM(IF([3]!Table13[ID]=B345,[3]!Table13[QTY]))), 1, 1)</f>
        <v>#ERROR!</v>
      </c>
      <c r="J345" s="50" t="str">
        <f>TABLEITEM!$H$3:$H$2749-TABLEITEM!$I$3:$I$2749</f>
        <v>#ERROR!</v>
      </c>
    </row>
    <row r="346" ht="15.75" customHeight="1">
      <c r="A346" s="45">
        <v>19.0</v>
      </c>
      <c r="B346" s="10" t="s">
        <v>477</v>
      </c>
      <c r="C346" s="26" t="s">
        <v>734</v>
      </c>
      <c r="D346" s="10" t="s">
        <v>7579</v>
      </c>
      <c r="E346" s="48" t="s">
        <v>7535</v>
      </c>
      <c r="F346" s="48" t="s">
        <v>7429</v>
      </c>
      <c r="G346" s="49">
        <f t="array" ref="G346">MAX(IF(INSTOCK!$H$3:$H$6125=B346,INSTOCK!$K$3:$K$6125))</f>
        <v>6.4</v>
      </c>
      <c r="H346" s="50">
        <f t="array" ref="H346">SUM(IF(INSTOCK!$H$3:$H$6125=B346,INSTOCK!$I$3:$I$6125))</f>
        <v>326</v>
      </c>
      <c r="I346" s="50" t="str">
        <f>ARRAY_CONSTRAIN(ARRAYFORMULA(SUM(IF([3]!Table13[ID]=B346,[3]!Table13[QTY]))), 1, 1)</f>
        <v>#ERROR!</v>
      </c>
      <c r="J346" s="50" t="str">
        <f>TABLEITEM!$H$3:$H$2749-TABLEITEM!$I$3:$I$2749</f>
        <v>#ERROR!</v>
      </c>
    </row>
    <row r="347" ht="15.75" customHeight="1">
      <c r="A347" s="45">
        <v>14.0</v>
      </c>
      <c r="B347" s="10" t="s">
        <v>472</v>
      </c>
      <c r="C347" s="26" t="s">
        <v>734</v>
      </c>
      <c r="D347" s="10" t="s">
        <v>7580</v>
      </c>
      <c r="E347" s="48" t="s">
        <v>7535</v>
      </c>
      <c r="F347" s="48" t="s">
        <v>7429</v>
      </c>
      <c r="G347" s="49">
        <f t="array" ref="G347">MAX(IF(INSTOCK!$H$3:$H$6125=B347,INSTOCK!$K$3:$K$6125))</f>
        <v>6.4</v>
      </c>
      <c r="H347" s="50">
        <f t="array" ref="H347">SUM(IF(INSTOCK!$H$3:$H$6125=B347,INSTOCK!$I$3:$I$6125))</f>
        <v>5722</v>
      </c>
      <c r="I347" s="50" t="str">
        <f>ARRAY_CONSTRAIN(ARRAYFORMULA(SUM(IF([3]!Table13[ID]=B347,[3]!Table13[QTY]))), 1, 1)</f>
        <v>#ERROR!</v>
      </c>
      <c r="J347" s="50" t="str">
        <f>TABLEITEM!$H$3:$H$2749-TABLEITEM!$I$3:$I$2749</f>
        <v>#ERROR!</v>
      </c>
    </row>
    <row r="348" ht="15.75" customHeight="1">
      <c r="A348" s="45">
        <v>4.0</v>
      </c>
      <c r="B348" s="10" t="s">
        <v>462</v>
      </c>
      <c r="C348" s="26" t="s">
        <v>734</v>
      </c>
      <c r="D348" s="10" t="s">
        <v>7581</v>
      </c>
      <c r="E348" s="48" t="s">
        <v>7535</v>
      </c>
      <c r="F348" s="48" t="s">
        <v>7429</v>
      </c>
      <c r="G348" s="49">
        <f t="array" ref="G348">MAX(IF(INSTOCK!$H$3:$H$6125=B348,INSTOCK!$K$3:$K$6125))</f>
        <v>5</v>
      </c>
      <c r="H348" s="50">
        <f t="array" ref="H348">SUM(IF(INSTOCK!$H$3:$H$6125=B348,INSTOCK!$I$3:$I$6125))</f>
        <v>30400</v>
      </c>
      <c r="I348" s="50" t="str">
        <f>ARRAY_CONSTRAIN(ARRAYFORMULA(SUM(IF([3]!Table13[ID]=B348,[3]!Table13[QTY]))), 1, 1)</f>
        <v>#ERROR!</v>
      </c>
      <c r="J348" s="50" t="str">
        <f>TABLEITEM!$H$3:$H$2749-TABLEITEM!$I$3:$I$2749</f>
        <v>#ERROR!</v>
      </c>
    </row>
    <row r="349" ht="15.75" customHeight="1">
      <c r="A349" s="45">
        <v>8.0</v>
      </c>
      <c r="B349" s="10" t="s">
        <v>466</v>
      </c>
      <c r="C349" s="26" t="s">
        <v>734</v>
      </c>
      <c r="D349" s="10" t="s">
        <v>7582</v>
      </c>
      <c r="E349" s="48" t="s">
        <v>7535</v>
      </c>
      <c r="F349" s="48" t="s">
        <v>7429</v>
      </c>
      <c r="G349" s="49">
        <f t="array" ref="G349">MAX(IF(INSTOCK!$H$3:$H$6125=B349,INSTOCK!$K$3:$K$6125))</f>
        <v>5</v>
      </c>
      <c r="H349" s="50">
        <f t="array" ref="H349">SUM(IF(INSTOCK!$H$3:$H$6125=B349,INSTOCK!$I$3:$I$6125))</f>
        <v>1637</v>
      </c>
      <c r="I349" s="50" t="str">
        <f>ARRAY_CONSTRAIN(ARRAYFORMULA(SUM(IF([3]!Table13[ID]=B349,[3]!Table13[QTY]))), 1, 1)</f>
        <v>#ERROR!</v>
      </c>
      <c r="J349" s="50" t="str">
        <f>TABLEITEM!$H$3:$H$2749-TABLEITEM!$I$3:$I$2749</f>
        <v>#ERROR!</v>
      </c>
    </row>
    <row r="350" ht="15.75" customHeight="1">
      <c r="A350" s="45">
        <v>9.0</v>
      </c>
      <c r="B350" s="10" t="s">
        <v>467</v>
      </c>
      <c r="C350" s="26" t="s">
        <v>734</v>
      </c>
      <c r="D350" s="10" t="s">
        <v>7583</v>
      </c>
      <c r="E350" s="48" t="s">
        <v>7535</v>
      </c>
      <c r="F350" s="48" t="s">
        <v>7429</v>
      </c>
      <c r="G350" s="49">
        <f t="array" ref="G350">MAX(IF(INSTOCK!$H$3:$H$6125=B350,INSTOCK!$K$3:$K$6125))</f>
        <v>5</v>
      </c>
      <c r="H350" s="50">
        <f t="array" ref="H350">SUM(IF(INSTOCK!$H$3:$H$6125=B350,INSTOCK!$I$3:$I$6125))</f>
        <v>500</v>
      </c>
      <c r="I350" s="50" t="str">
        <f>ARRAY_CONSTRAIN(ARRAYFORMULA(SUM(IF([3]!Table13[ID]=B350,[3]!Table13[QTY]))), 1, 1)</f>
        <v>#ERROR!</v>
      </c>
      <c r="J350" s="50" t="str">
        <f>TABLEITEM!$H$3:$H$2749-TABLEITEM!$I$3:$I$2749</f>
        <v>#ERROR!</v>
      </c>
    </row>
    <row r="351" ht="15.75" customHeight="1">
      <c r="A351" s="45"/>
      <c r="B351" s="10" t="s">
        <v>695</v>
      </c>
      <c r="C351" s="26" t="s">
        <v>734</v>
      </c>
      <c r="D351" s="10" t="s">
        <v>7584</v>
      </c>
      <c r="E351" s="48" t="s">
        <v>7535</v>
      </c>
      <c r="F351" s="48" t="s">
        <v>7429</v>
      </c>
      <c r="G351" s="49">
        <f t="array" ref="G351">MAX(IF(INSTOCK!$H$3:$H$6125=B351,INSTOCK!$K$3:$K$6125))</f>
        <v>5</v>
      </c>
      <c r="H351" s="50">
        <f t="array" ref="H351">SUM(IF(INSTOCK!$H$3:$H$6125=B351,INSTOCK!$I$3:$I$6125))</f>
        <v>5000</v>
      </c>
      <c r="I351" s="50" t="str">
        <f>ARRAY_CONSTRAIN(ARRAYFORMULA(SUM(IF([3]!Table13[ID]=B351,[3]!Table13[QTY]))), 1, 1)</f>
        <v>#ERROR!</v>
      </c>
      <c r="J351" s="50" t="str">
        <f>TABLEITEM!$H$3:$H$2749-TABLEITEM!$I$3:$I$2749</f>
        <v>#ERROR!</v>
      </c>
    </row>
    <row r="352" ht="15.75" customHeight="1">
      <c r="A352" s="45">
        <v>10.0</v>
      </c>
      <c r="B352" s="10" t="s">
        <v>468</v>
      </c>
      <c r="C352" s="26" t="s">
        <v>734</v>
      </c>
      <c r="D352" s="10" t="s">
        <v>7585</v>
      </c>
      <c r="E352" s="48" t="s">
        <v>7535</v>
      </c>
      <c r="F352" s="48" t="s">
        <v>7429</v>
      </c>
      <c r="G352" s="49">
        <f t="array" ref="G352">MAX(IF(INSTOCK!$H$3:$H$6125=B352,INSTOCK!$K$3:$K$6125))</f>
        <v>5</v>
      </c>
      <c r="H352" s="50">
        <f t="array" ref="H352">SUM(IF(INSTOCK!$H$3:$H$6125=B352,INSTOCK!$I$3:$I$6125))</f>
        <v>1600</v>
      </c>
      <c r="I352" s="50" t="str">
        <f>ARRAY_CONSTRAIN(ARRAYFORMULA(SUM(IF([3]!Table13[ID]=B352,[3]!Table13[QTY]))), 1, 1)</f>
        <v>#ERROR!</v>
      </c>
      <c r="J352" s="50" t="str">
        <f>TABLEITEM!$H$3:$H$2749-TABLEITEM!$I$3:$I$2749</f>
        <v>#ERROR!</v>
      </c>
    </row>
    <row r="353" ht="15.75" customHeight="1">
      <c r="A353" s="45">
        <v>5.0</v>
      </c>
      <c r="B353" s="10" t="s">
        <v>463</v>
      </c>
      <c r="C353" s="26" t="s">
        <v>734</v>
      </c>
      <c r="D353" s="10" t="s">
        <v>7586</v>
      </c>
      <c r="E353" s="48" t="s">
        <v>7535</v>
      </c>
      <c r="F353" s="48" t="s">
        <v>7429</v>
      </c>
      <c r="G353" s="49">
        <f t="array" ref="G353">MAX(IF(INSTOCK!$H$3:$H$6125=B353,INSTOCK!$K$3:$K$6125))</f>
        <v>5</v>
      </c>
      <c r="H353" s="50">
        <f t="array" ref="H353">SUM(IF(INSTOCK!$H$3:$H$6125=B353,INSTOCK!$I$3:$I$6125))</f>
        <v>1489</v>
      </c>
      <c r="I353" s="50" t="str">
        <f>ARRAY_CONSTRAIN(ARRAYFORMULA(SUM(IF([3]!Table13[ID]=B353,[3]!Table13[QTY]))), 1, 1)</f>
        <v>#ERROR!</v>
      </c>
      <c r="J353" s="50" t="str">
        <f>TABLEITEM!$H$3:$H$2749-TABLEITEM!$I$3:$I$2749</f>
        <v>#ERROR!</v>
      </c>
    </row>
    <row r="354" ht="15.75" customHeight="1">
      <c r="A354" s="45">
        <v>7.0</v>
      </c>
      <c r="B354" s="10" t="s">
        <v>465</v>
      </c>
      <c r="C354" s="26" t="s">
        <v>734</v>
      </c>
      <c r="D354" s="10" t="s">
        <v>7587</v>
      </c>
      <c r="E354" s="48" t="s">
        <v>7535</v>
      </c>
      <c r="F354" s="48" t="s">
        <v>7429</v>
      </c>
      <c r="G354" s="49">
        <f t="array" ref="G354">MAX(IF(INSTOCK!$H$3:$H$6125=B354,INSTOCK!$K$3:$K$6125))</f>
        <v>39.18</v>
      </c>
      <c r="H354" s="50">
        <f t="array" ref="H354">SUM(IF(INSTOCK!$H$3:$H$6125=B354,INSTOCK!$I$3:$I$6125))</f>
        <v>1011</v>
      </c>
      <c r="I354" s="50" t="str">
        <f>ARRAY_CONSTRAIN(ARRAYFORMULA(SUM(IF([3]!Table13[ID]=B354,[3]!Table13[QTY]))), 1, 1)</f>
        <v>#ERROR!</v>
      </c>
      <c r="J354" s="50" t="str">
        <f>TABLEITEM!$H$3:$H$2749-TABLEITEM!$I$3:$I$2749</f>
        <v>#ERROR!</v>
      </c>
    </row>
    <row r="355" ht="15.75" customHeight="1">
      <c r="A355" s="45">
        <v>11.0</v>
      </c>
      <c r="B355" s="10" t="s">
        <v>469</v>
      </c>
      <c r="C355" s="26" t="s">
        <v>734</v>
      </c>
      <c r="D355" s="10" t="s">
        <v>7588</v>
      </c>
      <c r="E355" s="48" t="s">
        <v>7535</v>
      </c>
      <c r="F355" s="48" t="s">
        <v>7429</v>
      </c>
      <c r="G355" s="49">
        <f t="array" ref="G355">MAX(IF(INSTOCK!$H$3:$H$6125=B355,INSTOCK!$K$3:$K$6125))</f>
        <v>5</v>
      </c>
      <c r="H355" s="50">
        <f t="array" ref="H355">SUM(IF(INSTOCK!$H$3:$H$6125=B355,INSTOCK!$I$3:$I$6125))</f>
        <v>600</v>
      </c>
      <c r="I355" s="50" t="str">
        <f>ARRAY_CONSTRAIN(ARRAYFORMULA(SUM(IF([3]!Table13[ID]=B355,[3]!Table13[QTY]))), 1, 1)</f>
        <v>#ERROR!</v>
      </c>
      <c r="J355" s="50" t="str">
        <f>TABLEITEM!$H$3:$H$2749-TABLEITEM!$I$3:$I$2749</f>
        <v>#ERROR!</v>
      </c>
    </row>
    <row r="356" ht="15.75" customHeight="1">
      <c r="A356" s="45">
        <v>6.0</v>
      </c>
      <c r="B356" s="10" t="s">
        <v>464</v>
      </c>
      <c r="C356" s="26" t="s">
        <v>734</v>
      </c>
      <c r="D356" s="10" t="s">
        <v>7589</v>
      </c>
      <c r="E356" s="48" t="s">
        <v>7535</v>
      </c>
      <c r="F356" s="48" t="s">
        <v>7429</v>
      </c>
      <c r="G356" s="49">
        <f t="array" ref="G356">MAX(IF(INSTOCK!$H$3:$H$6125=B356,INSTOCK!$K$3:$K$6125))</f>
        <v>5</v>
      </c>
      <c r="H356" s="50">
        <f t="array" ref="H356">SUM(IF(INSTOCK!$H$3:$H$6125=B356,INSTOCK!$I$3:$I$6125))</f>
        <v>6297</v>
      </c>
      <c r="I356" s="50" t="str">
        <f>ARRAY_CONSTRAIN(ARRAYFORMULA(SUM(IF([3]!Table13[ID]=B356,[3]!Table13[QTY]))), 1, 1)</f>
        <v>#ERROR!</v>
      </c>
      <c r="J356" s="50" t="str">
        <f>TABLEITEM!$H$3:$H$2749-TABLEITEM!$I$3:$I$2749</f>
        <v>#ERROR!</v>
      </c>
    </row>
    <row r="357" ht="15.75" customHeight="1">
      <c r="A357" s="45"/>
      <c r="B357" s="10" t="s">
        <v>685</v>
      </c>
      <c r="C357" s="26" t="s">
        <v>734</v>
      </c>
      <c r="D357" s="10" t="s">
        <v>7590</v>
      </c>
      <c r="E357" s="48" t="s">
        <v>7535</v>
      </c>
      <c r="F357" s="48" t="s">
        <v>7429</v>
      </c>
      <c r="G357" s="49">
        <f t="array" ref="G357">MAX(IF(INSTOCK!$H$3:$H$6125=B357,INSTOCK!$K$3:$K$6125))</f>
        <v>6</v>
      </c>
      <c r="H357" s="50">
        <f t="array" ref="H357">SUM(IF(INSTOCK!$H$3:$H$6125=B357,INSTOCK!$I$3:$I$6125))</f>
        <v>1100</v>
      </c>
      <c r="I357" s="50" t="str">
        <f>ARRAY_CONSTRAIN(ARRAYFORMULA(SUM(IF([3]!Table13[ID]=B357,[3]!Table13[QTY]))), 1, 1)</f>
        <v>#ERROR!</v>
      </c>
      <c r="J357" s="50" t="str">
        <f>TABLEITEM!$H$3:$H$2749-TABLEITEM!$I$3:$I$2749</f>
        <v>#ERROR!</v>
      </c>
    </row>
    <row r="358" ht="15.75" customHeight="1">
      <c r="A358" s="45"/>
      <c r="B358" s="10" t="s">
        <v>690</v>
      </c>
      <c r="C358" s="26" t="s">
        <v>734</v>
      </c>
      <c r="D358" s="10" t="s">
        <v>7591</v>
      </c>
      <c r="E358" s="48" t="s">
        <v>7535</v>
      </c>
      <c r="F358" s="48" t="s">
        <v>7429</v>
      </c>
      <c r="G358" s="49">
        <f t="array" ref="G358">MAX(IF(INSTOCK!$H$3:$H$6125=B358,INSTOCK!$K$3:$K$6125))</f>
        <v>6</v>
      </c>
      <c r="H358" s="50">
        <f t="array" ref="H358">SUM(IF(INSTOCK!$H$3:$H$6125=B358,INSTOCK!$I$3:$I$6125))</f>
        <v>600</v>
      </c>
      <c r="I358" s="50" t="str">
        <f>ARRAY_CONSTRAIN(ARRAYFORMULA(SUM(IF([3]!Table13[ID]=B358,[3]!Table13[QTY]))), 1, 1)</f>
        <v>#ERROR!</v>
      </c>
      <c r="J358" s="50" t="str">
        <f>TABLEITEM!$H$3:$H$2749-TABLEITEM!$I$3:$I$2749</f>
        <v>#ERROR!</v>
      </c>
    </row>
    <row r="359" ht="15.75" customHeight="1">
      <c r="A359" s="45"/>
      <c r="B359" s="10" t="s">
        <v>688</v>
      </c>
      <c r="C359" s="26" t="s">
        <v>734</v>
      </c>
      <c r="D359" s="10" t="s">
        <v>7592</v>
      </c>
      <c r="E359" s="48" t="s">
        <v>7535</v>
      </c>
      <c r="F359" s="48" t="s">
        <v>7429</v>
      </c>
      <c r="G359" s="49">
        <f t="array" ref="G359">MAX(IF(INSTOCK!$H$3:$H$6125=B359,INSTOCK!$K$3:$K$6125))</f>
        <v>6</v>
      </c>
      <c r="H359" s="50">
        <f t="array" ref="H359">SUM(IF(INSTOCK!$H$3:$H$6125=B359,INSTOCK!$I$3:$I$6125))</f>
        <v>600</v>
      </c>
      <c r="I359" s="50" t="str">
        <f>ARRAY_CONSTRAIN(ARRAYFORMULA(SUM(IF([3]!Table13[ID]=B359,[3]!Table13[QTY]))), 1, 1)</f>
        <v>#ERROR!</v>
      </c>
      <c r="J359" s="50" t="str">
        <f>TABLEITEM!$H$3:$H$2749-TABLEITEM!$I$3:$I$2749</f>
        <v>#ERROR!</v>
      </c>
    </row>
    <row r="360" ht="15.75" customHeight="1">
      <c r="A360" s="45">
        <v>3.0</v>
      </c>
      <c r="B360" s="10" t="s">
        <v>461</v>
      </c>
      <c r="C360" s="26" t="s">
        <v>734</v>
      </c>
      <c r="D360" s="10" t="s">
        <v>7593</v>
      </c>
      <c r="E360" s="48" t="s">
        <v>7535</v>
      </c>
      <c r="F360" s="48" t="s">
        <v>7429</v>
      </c>
      <c r="G360" s="49">
        <f t="array" ref="G360">MAX(IF(INSTOCK!$H$3:$H$6125=B360,INSTOCK!$K$3:$K$6125))</f>
        <v>9.6</v>
      </c>
      <c r="H360" s="50">
        <f t="array" ref="H360">SUM(IF(INSTOCK!$H$3:$H$6125=B360,INSTOCK!$I$3:$I$6125))</f>
        <v>600</v>
      </c>
      <c r="I360" s="50" t="str">
        <f>ARRAY_CONSTRAIN(ARRAYFORMULA(SUM(IF([3]!Table13[ID]=B360,[3]!Table13[QTY]))), 1, 1)</f>
        <v>#ERROR!</v>
      </c>
      <c r="J360" s="50" t="str">
        <f>TABLEITEM!$H$3:$H$2749-TABLEITEM!$I$3:$I$2749</f>
        <v>#ERROR!</v>
      </c>
    </row>
    <row r="361" ht="15.75" customHeight="1">
      <c r="A361" s="45">
        <v>2.0</v>
      </c>
      <c r="B361" s="10" t="s">
        <v>460</v>
      </c>
      <c r="C361" s="26" t="s">
        <v>734</v>
      </c>
      <c r="D361" s="10" t="s">
        <v>7594</v>
      </c>
      <c r="E361" s="48" t="s">
        <v>7535</v>
      </c>
      <c r="F361" s="48" t="s">
        <v>7429</v>
      </c>
      <c r="G361" s="49">
        <f t="array" ref="G361">MAX(IF(INSTOCK!$H$3:$H$6125=B361,INSTOCK!$K$3:$K$6125))</f>
        <v>9.6</v>
      </c>
      <c r="H361" s="50">
        <f t="array" ref="H361">SUM(IF(INSTOCK!$H$3:$H$6125=B361,INSTOCK!$I$3:$I$6125))</f>
        <v>800</v>
      </c>
      <c r="I361" s="50" t="str">
        <f>ARRAY_CONSTRAIN(ARRAYFORMULA(SUM(IF([3]!Table13[ID]=B361,[3]!Table13[QTY]))), 1, 1)</f>
        <v>#ERROR!</v>
      </c>
      <c r="J361" s="50" t="str">
        <f>TABLEITEM!$H$3:$H$2749-TABLEITEM!$I$3:$I$2749</f>
        <v>#ERROR!</v>
      </c>
    </row>
    <row r="362" ht="15.75" customHeight="1">
      <c r="A362" s="45">
        <v>1.0</v>
      </c>
      <c r="B362" s="10" t="s">
        <v>459</v>
      </c>
      <c r="C362" s="26" t="s">
        <v>734</v>
      </c>
      <c r="D362" s="10" t="s">
        <v>7595</v>
      </c>
      <c r="E362" s="48" t="s">
        <v>7535</v>
      </c>
      <c r="F362" s="48" t="s">
        <v>7429</v>
      </c>
      <c r="G362" s="49">
        <f t="array" ref="G362">MAX(IF(INSTOCK!$H$3:$H$6125=B362,INSTOCK!$K$3:$K$6125))</f>
        <v>9.6</v>
      </c>
      <c r="H362" s="50">
        <f t="array" ref="H362">SUM(IF(INSTOCK!$H$3:$H$6125=B362,INSTOCK!$I$3:$I$6125))</f>
        <v>800</v>
      </c>
      <c r="I362" s="50" t="str">
        <f>ARRAY_CONSTRAIN(ARRAYFORMULA(SUM(IF([3]!Table13[ID]=B362,[3]!Table13[QTY]))), 1, 1)</f>
        <v>#ERROR!</v>
      </c>
      <c r="J362" s="50" t="str">
        <f>TABLEITEM!$H$3:$H$2749-TABLEITEM!$I$3:$I$2749</f>
        <v>#ERROR!</v>
      </c>
    </row>
    <row r="363" ht="15.75" customHeight="1">
      <c r="A363" s="45"/>
      <c r="B363" s="10" t="s">
        <v>1574</v>
      </c>
      <c r="C363" s="26"/>
      <c r="D363" s="10" t="s">
        <v>7596</v>
      </c>
      <c r="E363" s="48" t="s">
        <v>1344</v>
      </c>
      <c r="F363" s="48" t="s">
        <v>7429</v>
      </c>
      <c r="G363" s="49">
        <f t="array" ref="G363">MAX(IF(INSTOCK!$H$3:$H$6125=B363,INSTOCK!$K$3:$K$6125))</f>
        <v>26.696</v>
      </c>
      <c r="H363" s="50">
        <f t="array" ref="H363">SUM(IF(INSTOCK!$H$3:$H$6125=B363,INSTOCK!$I$3:$I$6125))</f>
        <v>350</v>
      </c>
      <c r="I363" s="50" t="str">
        <f>ARRAY_CONSTRAIN(ARRAYFORMULA(SUM(IF([3]!Table13[ID]=B363,[3]!Table13[QTY]))), 1, 1)</f>
        <v>#ERROR!</v>
      </c>
      <c r="J363" s="50" t="str">
        <f>TABLEITEM!$H$3:$H$2749-TABLEITEM!$I$3:$I$2749</f>
        <v>#ERROR!</v>
      </c>
    </row>
    <row r="364" ht="15.75" customHeight="1">
      <c r="A364" s="45"/>
      <c r="B364" s="10" t="s">
        <v>1572</v>
      </c>
      <c r="C364" s="26"/>
      <c r="D364" s="10" t="s">
        <v>7597</v>
      </c>
      <c r="E364" s="48" t="s">
        <v>1344</v>
      </c>
      <c r="F364" s="48" t="s">
        <v>7429</v>
      </c>
      <c r="G364" s="49">
        <f t="array" ref="G364">MAX(IF(INSTOCK!$H$3:$H$6125=B364,INSTOCK!$K$3:$K$6125))</f>
        <v>20.633</v>
      </c>
      <c r="H364" s="50">
        <f t="array" ref="H364">SUM(IF(INSTOCK!$H$3:$H$6125=B364,INSTOCK!$I$3:$I$6125))</f>
        <v>200</v>
      </c>
      <c r="I364" s="50" t="str">
        <f>ARRAY_CONSTRAIN(ARRAYFORMULA(SUM(IF([3]!Table13[ID]=B364,[3]!Table13[QTY]))), 1, 1)</f>
        <v>#ERROR!</v>
      </c>
      <c r="J364" s="50" t="str">
        <f>TABLEITEM!$H$3:$H$2749-TABLEITEM!$I$3:$I$2749</f>
        <v>#ERROR!</v>
      </c>
    </row>
    <row r="365" ht="15.75" customHeight="1">
      <c r="A365" s="45"/>
      <c r="B365" s="10" t="s">
        <v>2886</v>
      </c>
      <c r="C365" s="26"/>
      <c r="D365" s="10" t="s">
        <v>7598</v>
      </c>
      <c r="E365" s="48" t="s">
        <v>1344</v>
      </c>
      <c r="F365" s="48" t="s">
        <v>7429</v>
      </c>
      <c r="G365" s="49">
        <f t="array" ref="G365">MAX(IF(INSTOCK!$H$3:$H$6125=B365,INSTOCK!$K$3:$K$6125))</f>
        <v>26.179</v>
      </c>
      <c r="H365" s="50">
        <f t="array" ref="H365">SUM(IF(INSTOCK!$H$3:$H$6125=B365,INSTOCK!$I$3:$I$6125))</f>
        <v>200</v>
      </c>
      <c r="I365" s="50" t="str">
        <f>ARRAY_CONSTRAIN(ARRAYFORMULA(SUM(IF([3]!Table13[ID]=B365,[3]!Table13[QTY]))), 1, 1)</f>
        <v>#ERROR!</v>
      </c>
      <c r="J365" s="50" t="str">
        <f>TABLEITEM!$H$3:$H$2749-TABLEITEM!$I$3:$I$2749</f>
        <v>#ERROR!</v>
      </c>
    </row>
    <row r="366" ht="15.75" customHeight="1">
      <c r="A366" s="45"/>
      <c r="B366" s="10" t="s">
        <v>1443</v>
      </c>
      <c r="C366" s="26"/>
      <c r="D366" s="10" t="s">
        <v>7599</v>
      </c>
      <c r="E366" s="48" t="s">
        <v>1344</v>
      </c>
      <c r="F366" s="48" t="s">
        <v>7429</v>
      </c>
      <c r="G366" s="49">
        <f t="array" ref="G366">MAX(IF(INSTOCK!$H$3:$H$6125=B366,INSTOCK!$K$3:$K$6125))</f>
        <v>12.267</v>
      </c>
      <c r="H366" s="50">
        <f t="array" ref="H366">SUM(IF(INSTOCK!$H$3:$H$6125=B366,INSTOCK!$I$3:$I$6125))</f>
        <v>200</v>
      </c>
      <c r="I366" s="50" t="str">
        <f>ARRAY_CONSTRAIN(ARRAYFORMULA(SUM(IF([3]!Table13[ID]=B366,[3]!Table13[QTY]))), 1, 1)</f>
        <v>#ERROR!</v>
      </c>
      <c r="J366" s="50" t="str">
        <f>TABLEITEM!$H$3:$H$2749-TABLEITEM!$I$3:$I$2749</f>
        <v>#ERROR!</v>
      </c>
    </row>
    <row r="367" ht="15.75" customHeight="1">
      <c r="A367" s="45"/>
      <c r="B367" s="10" t="s">
        <v>1570</v>
      </c>
      <c r="C367" s="26"/>
      <c r="D367" s="10" t="s">
        <v>7600</v>
      </c>
      <c r="E367" s="48" t="s">
        <v>1344</v>
      </c>
      <c r="F367" s="48" t="s">
        <v>7429</v>
      </c>
      <c r="G367" s="49">
        <f t="array" ref="G367">MAX(IF(INSTOCK!$H$3:$H$6125=B367,INSTOCK!$K$3:$K$6125))</f>
        <v>16.262</v>
      </c>
      <c r="H367" s="50">
        <f t="array" ref="H367">SUM(IF(INSTOCK!$H$3:$H$6125=B367,INSTOCK!$I$3:$I$6125))</f>
        <v>100</v>
      </c>
      <c r="I367" s="50" t="str">
        <f>ARRAY_CONSTRAIN(ARRAYFORMULA(SUM(IF([3]!Table13[ID]=B367,[3]!Table13[QTY]))), 1, 1)</f>
        <v>#ERROR!</v>
      </c>
      <c r="J367" s="50" t="str">
        <f>TABLEITEM!$H$3:$H$2749-TABLEITEM!$I$3:$I$2749</f>
        <v>#ERROR!</v>
      </c>
    </row>
    <row r="368" ht="15.75" customHeight="1">
      <c r="A368" s="45"/>
      <c r="B368" s="10" t="s">
        <v>1384</v>
      </c>
      <c r="C368" s="26"/>
      <c r="D368" s="10" t="s">
        <v>7601</v>
      </c>
      <c r="E368" s="48" t="s">
        <v>7602</v>
      </c>
      <c r="F368" s="48" t="s">
        <v>7429</v>
      </c>
      <c r="G368" s="49">
        <f t="array" ref="G368">MAX(IF(INSTOCK!$H$3:$H$6125=B368,INSTOCK!$K$3:$K$6125))</f>
        <v>185.7</v>
      </c>
      <c r="H368" s="50">
        <f t="array" ref="H368">SUM(IF(INSTOCK!$H$3:$H$6125=B368,INSTOCK!$I$3:$I$6125))</f>
        <v>190</v>
      </c>
      <c r="I368" s="50" t="str">
        <f>ARRAY_CONSTRAIN(ARRAYFORMULA(SUM(IF([3]!Table13[ID]=B368,[3]!Table13[QTY]))), 1, 1)</f>
        <v>#ERROR!</v>
      </c>
      <c r="J368" s="50" t="str">
        <f>TABLEITEM!$H$3:$H$2749-TABLEITEM!$I$3:$I$2749</f>
        <v>#ERROR!</v>
      </c>
    </row>
    <row r="369" ht="15.75" customHeight="1">
      <c r="A369" s="45"/>
      <c r="B369" s="10" t="s">
        <v>2338</v>
      </c>
      <c r="C369" s="26"/>
      <c r="D369" s="10" t="s">
        <v>7603</v>
      </c>
      <c r="E369" s="48" t="s">
        <v>1344</v>
      </c>
      <c r="F369" s="48" t="s">
        <v>7429</v>
      </c>
      <c r="G369" s="49">
        <f t="array" ref="G369">MAX(IF(INSTOCK!$H$3:$H$6125=B369,INSTOCK!$K$3:$K$6125))</f>
        <v>48.093</v>
      </c>
      <c r="H369" s="50">
        <f t="array" ref="H369">SUM(IF(INSTOCK!$H$3:$H$6125=B369,INSTOCK!$I$3:$I$6125))</f>
        <v>200</v>
      </c>
      <c r="I369" s="50" t="str">
        <f>ARRAY_CONSTRAIN(ARRAYFORMULA(SUM(IF([3]!Table13[ID]=B369,[3]!Table13[QTY]))), 1, 1)</f>
        <v>#ERROR!</v>
      </c>
      <c r="J369" s="50" t="str">
        <f>TABLEITEM!$H$3:$H$2749-TABLEITEM!$I$3:$I$2749</f>
        <v>#ERROR!</v>
      </c>
    </row>
    <row r="370" ht="15.75" customHeight="1">
      <c r="A370" s="45"/>
      <c r="B370" s="10" t="s">
        <v>1386</v>
      </c>
      <c r="C370" s="26"/>
      <c r="D370" s="10" t="s">
        <v>7604</v>
      </c>
      <c r="E370" s="48" t="s">
        <v>7602</v>
      </c>
      <c r="F370" s="48" t="s">
        <v>7429</v>
      </c>
      <c r="G370" s="49">
        <f t="array" ref="G370">MAX(IF(INSTOCK!$H$3:$H$6125=B370,INSTOCK!$K$3:$K$6125))</f>
        <v>271.1</v>
      </c>
      <c r="H370" s="50">
        <f t="array" ref="H370">SUM(IF(INSTOCK!$H$3:$H$6125=B370,INSTOCK!$I$3:$I$6125))</f>
        <v>150</v>
      </c>
      <c r="I370" s="50" t="str">
        <f>ARRAY_CONSTRAIN(ARRAYFORMULA(SUM(IF([3]!Table13[ID]=B370,[3]!Table13[QTY]))), 1, 1)</f>
        <v>#ERROR!</v>
      </c>
      <c r="J370" s="50" t="str">
        <f>TABLEITEM!$H$3:$H$2749-TABLEITEM!$I$3:$I$2749</f>
        <v>#ERROR!</v>
      </c>
    </row>
    <row r="371" ht="15.75" customHeight="1">
      <c r="A371" s="45"/>
      <c r="B371" s="10" t="s">
        <v>3139</v>
      </c>
      <c r="C371" s="26"/>
      <c r="D371" s="10" t="s">
        <v>7605</v>
      </c>
      <c r="E371" s="48" t="s">
        <v>7606</v>
      </c>
      <c r="F371" s="48" t="s">
        <v>7429</v>
      </c>
      <c r="G371" s="49">
        <f t="array" ref="G371">MAX(IF(INSTOCK!$H$3:$H$6125=B371,INSTOCK!$K$3:$K$6125))</f>
        <v>170.95</v>
      </c>
      <c r="H371" s="50">
        <f t="array" ref="H371">SUM(IF(INSTOCK!$H$3:$H$6125=B371,INSTOCK!$I$3:$I$6125))</f>
        <v>100</v>
      </c>
      <c r="I371" s="50" t="str">
        <f>ARRAY_CONSTRAIN(ARRAYFORMULA(SUM(IF([3]!Table13[ID]=B371,[3]!Table13[QTY]))), 1, 1)</f>
        <v>#ERROR!</v>
      </c>
      <c r="J371" s="50" t="str">
        <f>TABLEITEM!$H$3:$H$2749-TABLEITEM!$I$3:$I$2749</f>
        <v>#ERROR!</v>
      </c>
    </row>
    <row r="372" ht="15.75" customHeight="1">
      <c r="A372" s="45"/>
      <c r="B372" s="10" t="s">
        <v>1447</v>
      </c>
      <c r="C372" s="26"/>
      <c r="D372" s="10" t="s">
        <v>7607</v>
      </c>
      <c r="E372" s="48" t="s">
        <v>1446</v>
      </c>
      <c r="F372" s="48" t="s">
        <v>7429</v>
      </c>
      <c r="G372" s="49">
        <f t="array" ref="G372">MAX(IF(INSTOCK!$H$3:$H$6125=B372,INSTOCK!$K$3:$K$6125))</f>
        <v>174.03</v>
      </c>
      <c r="H372" s="50">
        <f t="array" ref="H372">SUM(IF(INSTOCK!$H$3:$H$6125=B372,INSTOCK!$I$3:$I$6125))</f>
        <v>59</v>
      </c>
      <c r="I372" s="50" t="str">
        <f>ARRAY_CONSTRAIN(ARRAYFORMULA(SUM(IF([3]!Table13[ID]=B372,[3]!Table13[QTY]))), 1, 1)</f>
        <v>#ERROR!</v>
      </c>
      <c r="J372" s="50" t="str">
        <f>TABLEITEM!$H$3:$H$2749-TABLEITEM!$I$3:$I$2749</f>
        <v>#ERROR!</v>
      </c>
    </row>
    <row r="373" ht="15.75" customHeight="1">
      <c r="A373" s="45"/>
      <c r="B373" s="10" t="s">
        <v>3142</v>
      </c>
      <c r="C373" s="26"/>
      <c r="D373" s="10" t="s">
        <v>7608</v>
      </c>
      <c r="E373" s="48" t="s">
        <v>7606</v>
      </c>
      <c r="F373" s="48" t="s">
        <v>7429</v>
      </c>
      <c r="G373" s="49">
        <f t="array" ref="G373">MAX(IF(INSTOCK!$H$3:$H$6125=B373,INSTOCK!$K$3:$K$6125))</f>
        <v>97.1</v>
      </c>
      <c r="H373" s="50">
        <f t="array" ref="H373">SUM(IF(INSTOCK!$H$3:$H$6125=B373,INSTOCK!$I$3:$I$6125))</f>
        <v>200</v>
      </c>
      <c r="I373" s="50" t="str">
        <f>ARRAY_CONSTRAIN(ARRAYFORMULA(SUM(IF([3]!Table13[ID]=B373,[3]!Table13[QTY]))), 1, 1)</f>
        <v>#ERROR!</v>
      </c>
      <c r="J373" s="50" t="str">
        <f>TABLEITEM!$H$3:$H$2749-TABLEITEM!$I$3:$I$2749</f>
        <v>#ERROR!</v>
      </c>
    </row>
    <row r="374" ht="15.75" customHeight="1">
      <c r="A374" s="45"/>
      <c r="B374" s="10" t="s">
        <v>2336</v>
      </c>
      <c r="C374" s="26"/>
      <c r="D374" s="10" t="s">
        <v>7609</v>
      </c>
      <c r="E374" s="48" t="s">
        <v>1344</v>
      </c>
      <c r="F374" s="48" t="s">
        <v>7429</v>
      </c>
      <c r="G374" s="49">
        <f t="array" ref="G374">MAX(IF(INSTOCK!$H$3:$H$6125=B374,INSTOCK!$K$3:$K$6125))</f>
        <v>71.604</v>
      </c>
      <c r="H374" s="50">
        <f t="array" ref="H374">SUM(IF(INSTOCK!$H$3:$H$6125=B374,INSTOCK!$I$3:$I$6125))</f>
        <v>260</v>
      </c>
      <c r="I374" s="50" t="str">
        <f>ARRAY_CONSTRAIN(ARRAYFORMULA(SUM(IF([3]!Table13[ID]=B374,[3]!Table13[QTY]))), 1, 1)</f>
        <v>#ERROR!</v>
      </c>
      <c r="J374" s="50" t="str">
        <f>TABLEITEM!$H$3:$H$2749-TABLEITEM!$I$3:$I$2749</f>
        <v>#ERROR!</v>
      </c>
    </row>
    <row r="375" ht="15.75" customHeight="1">
      <c r="A375" s="45"/>
      <c r="B375" s="10" t="s">
        <v>2902</v>
      </c>
      <c r="C375" s="26"/>
      <c r="D375" s="10" t="s">
        <v>7610</v>
      </c>
      <c r="E375" s="48" t="s">
        <v>1344</v>
      </c>
      <c r="F375" s="48" t="s">
        <v>7429</v>
      </c>
      <c r="G375" s="49">
        <f t="array" ref="G375">MAX(IF(INSTOCK!$H$3:$H$6125=B375,INSTOCK!$K$3:$K$6125))</f>
        <v>245.81</v>
      </c>
      <c r="H375" s="50">
        <f t="array" ref="H375">SUM(IF(INSTOCK!$H$3:$H$6125=B375,INSTOCK!$I$3:$I$6125))</f>
        <v>70</v>
      </c>
      <c r="I375" s="50" t="str">
        <f>ARRAY_CONSTRAIN(ARRAYFORMULA(SUM(IF([3]!Table13[ID]=B375,[3]!Table13[QTY]))), 1, 1)</f>
        <v>#ERROR!</v>
      </c>
      <c r="J375" s="50" t="str">
        <f>TABLEITEM!$H$3:$H$2749-TABLEITEM!$I$3:$I$2749</f>
        <v>#ERROR!</v>
      </c>
    </row>
    <row r="376" ht="15.75" customHeight="1">
      <c r="A376" s="45"/>
      <c r="B376" s="10" t="s">
        <v>1576</v>
      </c>
      <c r="C376" s="26"/>
      <c r="D376" s="10" t="s">
        <v>7611</v>
      </c>
      <c r="E376" s="48" t="s">
        <v>1344</v>
      </c>
      <c r="F376" s="48" t="s">
        <v>7429</v>
      </c>
      <c r="G376" s="49">
        <f t="array" ref="G376">MAX(IF(INSTOCK!$H$3:$H$6125=B376,INSTOCK!$K$3:$K$6125))</f>
        <v>38.07</v>
      </c>
      <c r="H376" s="50">
        <f t="array" ref="H376">SUM(IF(INSTOCK!$H$3:$H$6125=B376,INSTOCK!$I$3:$I$6125))</f>
        <v>400</v>
      </c>
      <c r="I376" s="50" t="str">
        <f>ARRAY_CONSTRAIN(ARRAYFORMULA(SUM(IF([3]!Table13[ID]=B376,[3]!Table13[QTY]))), 1, 1)</f>
        <v>#ERROR!</v>
      </c>
      <c r="J376" s="50" t="str">
        <f>TABLEITEM!$H$3:$H$2749-TABLEITEM!$I$3:$I$2749</f>
        <v>#ERROR!</v>
      </c>
    </row>
    <row r="377" ht="15.75" customHeight="1">
      <c r="A377" s="45"/>
      <c r="B377" s="10" t="s">
        <v>3001</v>
      </c>
      <c r="C377" s="26"/>
      <c r="D377" s="10" t="s">
        <v>7612</v>
      </c>
      <c r="E377" s="48"/>
      <c r="F377" s="48" t="s">
        <v>7173</v>
      </c>
      <c r="G377" s="49">
        <f t="array" ref="G377">MAX(IF(INSTOCK!$H$3:$H$6125=B377,INSTOCK!$K$3:$K$6125))</f>
        <v>80</v>
      </c>
      <c r="H377" s="50">
        <f t="array" ref="H377">SUM(IF(INSTOCK!$H$3:$H$6125=B377,INSTOCK!$I$3:$I$6125))</f>
        <v>1</v>
      </c>
      <c r="I377" s="50" t="str">
        <f>ARRAY_CONSTRAIN(ARRAYFORMULA(SUM(IF([3]!Table13[ID]=B377,[3]!Table13[QTY]))), 1, 1)</f>
        <v>#ERROR!</v>
      </c>
      <c r="J377" s="50" t="str">
        <f>TABLEITEM!$H$3:$H$2749-TABLEITEM!$I$3:$I$2749</f>
        <v>#ERROR!</v>
      </c>
    </row>
    <row r="378" ht="15.75" customHeight="1">
      <c r="A378" s="45"/>
      <c r="B378" s="10" t="s">
        <v>3074</v>
      </c>
      <c r="C378" s="26"/>
      <c r="D378" s="10" t="s">
        <v>7613</v>
      </c>
      <c r="E378" s="48"/>
      <c r="F378" s="48" t="s">
        <v>7173</v>
      </c>
      <c r="G378" s="49">
        <f t="array" ref="G378">MAX(IF(INSTOCK!$H$3:$H$6125=B378,INSTOCK!$K$3:$K$6125))</f>
        <v>500</v>
      </c>
      <c r="H378" s="50">
        <f t="array" ref="H378">SUM(IF(INSTOCK!$H$3:$H$6125=B378,INSTOCK!$I$3:$I$6125))</f>
        <v>1</v>
      </c>
      <c r="I378" s="50" t="str">
        <f>ARRAY_CONSTRAIN(ARRAYFORMULA(SUM(IF([3]!Table13[ID]=B378,[3]!Table13[QTY]))), 1, 1)</f>
        <v>#ERROR!</v>
      </c>
      <c r="J378" s="50" t="str">
        <f>TABLEITEM!$H$3:$H$2749-TABLEITEM!$I$3:$I$2749</f>
        <v>#ERROR!</v>
      </c>
    </row>
    <row r="379" ht="15.75" customHeight="1">
      <c r="A379" s="45"/>
      <c r="B379" s="10" t="s">
        <v>2664</v>
      </c>
      <c r="C379" s="26"/>
      <c r="D379" s="10" t="s">
        <v>7614</v>
      </c>
      <c r="E379" s="48"/>
      <c r="F379" s="48" t="s">
        <v>7173</v>
      </c>
      <c r="G379" s="49">
        <f t="array" ref="G379">MAX(IF(INSTOCK!$H$3:$H$6125=B379,INSTOCK!$K$3:$K$6125))</f>
        <v>2600</v>
      </c>
      <c r="H379" s="50">
        <f t="array" ref="H379">SUM(IF(INSTOCK!$H$3:$H$6125=B379,INSTOCK!$I$3:$I$6125))</f>
        <v>2</v>
      </c>
      <c r="I379" s="50" t="str">
        <f>ARRAY_CONSTRAIN(ARRAYFORMULA(SUM(IF([3]!Table13[ID]=B379,[3]!Table13[QTY]))), 1, 1)</f>
        <v>#ERROR!</v>
      </c>
      <c r="J379" s="50" t="str">
        <f>TABLEITEM!$H$3:$H$2749-TABLEITEM!$I$3:$I$2749</f>
        <v>#ERROR!</v>
      </c>
    </row>
    <row r="380" ht="15.75" customHeight="1">
      <c r="A380" s="45"/>
      <c r="B380" s="10" t="s">
        <v>2012</v>
      </c>
      <c r="C380" s="26"/>
      <c r="D380" s="10" t="s">
        <v>7615</v>
      </c>
      <c r="E380" s="48"/>
      <c r="F380" s="48" t="s">
        <v>7173</v>
      </c>
      <c r="G380" s="49">
        <f t="array" ref="G380">MAX(IF(INSTOCK!$H$3:$H$6125=B380,INSTOCK!$K$3:$K$6125))</f>
        <v>0</v>
      </c>
      <c r="H380" s="50">
        <f t="array" ref="H380">SUM(IF(INSTOCK!$H$3:$H$6125=B380,INSTOCK!$I$3:$I$6125))</f>
        <v>2</v>
      </c>
      <c r="I380" s="50" t="str">
        <f>ARRAY_CONSTRAIN(ARRAYFORMULA(SUM(IF([3]!Table13[ID]=B380,[3]!Table13[QTY]))), 1, 1)</f>
        <v>#ERROR!</v>
      </c>
      <c r="J380" s="50" t="str">
        <f>TABLEITEM!$H$3:$H$2749-TABLEITEM!$I$3:$I$2749</f>
        <v>#ERROR!</v>
      </c>
    </row>
    <row r="381" ht="15.75" customHeight="1">
      <c r="A381" s="45"/>
      <c r="B381" s="10" t="s">
        <v>670</v>
      </c>
      <c r="C381" s="26" t="s">
        <v>734</v>
      </c>
      <c r="D381" s="10" t="s">
        <v>7616</v>
      </c>
      <c r="E381" s="48" t="s">
        <v>7535</v>
      </c>
      <c r="F381" s="48" t="s">
        <v>7429</v>
      </c>
      <c r="G381" s="49">
        <f t="array" ref="G381">MAX(IF(INSTOCK!$H$3:$H$6125=B381,INSTOCK!$K$3:$K$6125))</f>
        <v>25</v>
      </c>
      <c r="H381" s="50">
        <f t="array" ref="H381">SUM(IF(INSTOCK!$H$3:$H$6125=B381,INSTOCK!$I$3:$I$6125))</f>
        <v>1300</v>
      </c>
      <c r="I381" s="50" t="str">
        <f>ARRAY_CONSTRAIN(ARRAYFORMULA(SUM(IF([3]!Table13[ID]=B381,[3]!Table13[QTY]))), 1, 1)</f>
        <v>#ERROR!</v>
      </c>
      <c r="J381" s="50" t="str">
        <f>TABLEITEM!$H$3:$H$2749-TABLEITEM!$I$3:$I$2749</f>
        <v>#ERROR!</v>
      </c>
    </row>
    <row r="382" ht="15.75" customHeight="1">
      <c r="A382" s="45">
        <v>37.0</v>
      </c>
      <c r="B382" s="10" t="s">
        <v>495</v>
      </c>
      <c r="C382" s="26" t="s">
        <v>734</v>
      </c>
      <c r="D382" s="10" t="s">
        <v>7617</v>
      </c>
      <c r="E382" s="48" t="s">
        <v>7535</v>
      </c>
      <c r="F382" s="48" t="s">
        <v>7429</v>
      </c>
      <c r="G382" s="49">
        <f t="array" ref="G382">MAX(IF(INSTOCK!$H$3:$H$6125=B382,INSTOCK!$K$3:$K$6125))</f>
        <v>15.47</v>
      </c>
      <c r="H382" s="50">
        <f t="array" ref="H382">SUM(IF(INSTOCK!$H$3:$H$6125=B382,INSTOCK!$I$3:$I$6125))</f>
        <v>1460</v>
      </c>
      <c r="I382" s="50" t="str">
        <f>ARRAY_CONSTRAIN(ARRAYFORMULA(SUM(IF([3]!Table13[ID]=B382,[3]!Table13[QTY]))), 1, 1)</f>
        <v>#ERROR!</v>
      </c>
      <c r="J382" s="50" t="str">
        <f>TABLEITEM!$H$3:$H$2749-TABLEITEM!$I$3:$I$2749</f>
        <v>#ERROR!</v>
      </c>
    </row>
    <row r="383" ht="15.75" customHeight="1">
      <c r="A383" s="45">
        <v>28.0</v>
      </c>
      <c r="B383" s="10" t="s">
        <v>486</v>
      </c>
      <c r="C383" s="26" t="s">
        <v>734</v>
      </c>
      <c r="D383" s="10" t="s">
        <v>7618</v>
      </c>
      <c r="E383" s="48" t="s">
        <v>7535</v>
      </c>
      <c r="F383" s="48" t="s">
        <v>7429</v>
      </c>
      <c r="G383" s="49">
        <f t="array" ref="G383">MAX(IF(INSTOCK!$H$3:$H$6125=B383,INSTOCK!$K$3:$K$6125))</f>
        <v>10.46</v>
      </c>
      <c r="H383" s="50">
        <f t="array" ref="H383">SUM(IF(INSTOCK!$H$3:$H$6125=B383,INSTOCK!$I$3:$I$6125))</f>
        <v>1395</v>
      </c>
      <c r="I383" s="50" t="str">
        <f>ARRAY_CONSTRAIN(ARRAYFORMULA(SUM(IF([3]!Table13[ID]=B383,[3]!Table13[QTY]))), 1, 1)</f>
        <v>#ERROR!</v>
      </c>
      <c r="J383" s="50" t="str">
        <f>TABLEITEM!$H$3:$H$2749-TABLEITEM!$I$3:$I$2749</f>
        <v>#ERROR!</v>
      </c>
    </row>
    <row r="384" ht="15.75" customHeight="1">
      <c r="A384" s="45">
        <v>46.0</v>
      </c>
      <c r="B384" s="10" t="s">
        <v>504</v>
      </c>
      <c r="C384" s="26" t="s">
        <v>734</v>
      </c>
      <c r="D384" s="10" t="s">
        <v>7619</v>
      </c>
      <c r="E384" s="48" t="s">
        <v>7535</v>
      </c>
      <c r="F384" s="48" t="s">
        <v>7429</v>
      </c>
      <c r="G384" s="49">
        <f t="array" ref="G384">MAX(IF(INSTOCK!$H$3:$H$6125=B384,INSTOCK!$K$3:$K$6125))</f>
        <v>25.93</v>
      </c>
      <c r="H384" s="50">
        <f t="array" ref="H384">SUM(IF(INSTOCK!$H$3:$H$6125=B384,INSTOCK!$I$3:$I$6125))</f>
        <v>200</v>
      </c>
      <c r="I384" s="50" t="str">
        <f>ARRAY_CONSTRAIN(ARRAYFORMULA(SUM(IF([3]!Table13[ID]=B384,[3]!Table13[QTY]))), 1, 1)</f>
        <v>#ERROR!</v>
      </c>
      <c r="J384" s="50" t="str">
        <f>TABLEITEM!$H$3:$H$2749-TABLEITEM!$I$3:$I$2749</f>
        <v>#ERROR!</v>
      </c>
    </row>
    <row r="385" ht="15.75" customHeight="1">
      <c r="A385" s="45">
        <v>20.0</v>
      </c>
      <c r="B385" s="10" t="s">
        <v>478</v>
      </c>
      <c r="C385" s="26" t="s">
        <v>734</v>
      </c>
      <c r="D385" s="10" t="s">
        <v>7620</v>
      </c>
      <c r="E385" s="48" t="s">
        <v>7535</v>
      </c>
      <c r="F385" s="48" t="s">
        <v>7429</v>
      </c>
      <c r="G385" s="49">
        <f t="array" ref="G385">MAX(IF(INSTOCK!$H$3:$H$6125=B385,INSTOCK!$K$3:$K$6125))</f>
        <v>6.4</v>
      </c>
      <c r="H385" s="50">
        <f t="array" ref="H385">SUM(IF(INSTOCK!$H$3:$H$6125=B385,INSTOCK!$I$3:$I$6125))</f>
        <v>283</v>
      </c>
      <c r="I385" s="50" t="str">
        <f>ARRAY_CONSTRAIN(ARRAYFORMULA(SUM(IF([3]!Table13[ID]=B385,[3]!Table13[QTY]))), 1, 1)</f>
        <v>#ERROR!</v>
      </c>
      <c r="J385" s="50" t="str">
        <f>TABLEITEM!$H$3:$H$2749-TABLEITEM!$I$3:$I$2749</f>
        <v>#ERROR!</v>
      </c>
    </row>
    <row r="386" ht="15.75" customHeight="1">
      <c r="A386" s="45">
        <v>60.0</v>
      </c>
      <c r="B386" s="10" t="s">
        <v>518</v>
      </c>
      <c r="C386" s="26" t="s">
        <v>734</v>
      </c>
      <c r="D386" s="10" t="s">
        <v>7621</v>
      </c>
      <c r="E386" s="48" t="s">
        <v>1344</v>
      </c>
      <c r="F386" s="48" t="s">
        <v>7429</v>
      </c>
      <c r="G386" s="49">
        <f t="array" ref="G386">MAX(IF(INSTOCK!$H$3:$H$6125=B386,INSTOCK!$K$3:$K$6125))</f>
        <v>451.5</v>
      </c>
      <c r="H386" s="50">
        <f t="array" ref="H386">SUM(IF(INSTOCK!$H$3:$H$6125=B386,INSTOCK!$I$3:$I$6125))</f>
        <v>189</v>
      </c>
      <c r="I386" s="50" t="str">
        <f>ARRAY_CONSTRAIN(ARRAYFORMULA(SUM(IF([3]!Table13[ID]=B386,[3]!Table13[QTY]))), 1, 1)</f>
        <v>#ERROR!</v>
      </c>
      <c r="J386" s="50" t="str">
        <f>TABLEITEM!$H$3:$H$2749-TABLEITEM!$I$3:$I$2749</f>
        <v>#ERROR!</v>
      </c>
    </row>
    <row r="387" ht="15.75" customHeight="1">
      <c r="A387" s="45">
        <v>59.0</v>
      </c>
      <c r="B387" s="10" t="s">
        <v>517</v>
      </c>
      <c r="C387" s="26" t="s">
        <v>734</v>
      </c>
      <c r="D387" s="10" t="s">
        <v>7622</v>
      </c>
      <c r="E387" s="48" t="s">
        <v>1344</v>
      </c>
      <c r="F387" s="48" t="s">
        <v>7429</v>
      </c>
      <c r="G387" s="49">
        <f t="array" ref="G387">MAX(IF(INSTOCK!$H$3:$H$6125=B387,INSTOCK!$K$3:$K$6125))</f>
        <v>327.7</v>
      </c>
      <c r="H387" s="50">
        <f t="array" ref="H387">SUM(IF(INSTOCK!$H$3:$H$6125=B387,INSTOCK!$I$3:$I$6125))</f>
        <v>134</v>
      </c>
      <c r="I387" s="50" t="str">
        <f>ARRAY_CONSTRAIN(ARRAYFORMULA(SUM(IF([3]!Table13[ID]=B387,[3]!Table13[QTY]))), 1, 1)</f>
        <v>#ERROR!</v>
      </c>
      <c r="J387" s="50" t="str">
        <f>TABLEITEM!$H$3:$H$2749-TABLEITEM!$I$3:$I$2749</f>
        <v>#ERROR!</v>
      </c>
    </row>
    <row r="388" ht="15.75" customHeight="1">
      <c r="A388" s="45">
        <v>53.0</v>
      </c>
      <c r="B388" s="10" t="s">
        <v>511</v>
      </c>
      <c r="C388" s="26" t="s">
        <v>734</v>
      </c>
      <c r="D388" s="10" t="s">
        <v>7623</v>
      </c>
      <c r="E388" s="48" t="s">
        <v>1344</v>
      </c>
      <c r="F388" s="48" t="s">
        <v>7429</v>
      </c>
      <c r="G388" s="49">
        <f t="array" ref="G388">MAX(IF(INSTOCK!$H$3:$H$6125=B388,INSTOCK!$K$3:$K$6125))</f>
        <v>30</v>
      </c>
      <c r="H388" s="50">
        <f t="array" ref="H388">SUM(IF(INSTOCK!$H$3:$H$6125=B388,INSTOCK!$I$3:$I$6125))</f>
        <v>526</v>
      </c>
      <c r="I388" s="50" t="str">
        <f>ARRAY_CONSTRAIN(ARRAYFORMULA(SUM(IF([3]!Table13[ID]=B388,[3]!Table13[QTY]))), 1, 1)</f>
        <v>#ERROR!</v>
      </c>
      <c r="J388" s="50" t="str">
        <f>TABLEITEM!$H$3:$H$2749-TABLEITEM!$I$3:$I$2749</f>
        <v>#ERROR!</v>
      </c>
    </row>
    <row r="389" ht="15.75" customHeight="1">
      <c r="A389" s="45">
        <v>58.0</v>
      </c>
      <c r="B389" s="10" t="s">
        <v>516</v>
      </c>
      <c r="C389" s="26" t="s">
        <v>734</v>
      </c>
      <c r="D389" s="10" t="s">
        <v>7624</v>
      </c>
      <c r="E389" s="48" t="s">
        <v>1344</v>
      </c>
      <c r="F389" s="48" t="s">
        <v>7429</v>
      </c>
      <c r="G389" s="49">
        <f t="array" ref="G389">MAX(IF(INSTOCK!$H$3:$H$6125=B389,INSTOCK!$K$3:$K$6125))</f>
        <v>229.2</v>
      </c>
      <c r="H389" s="50">
        <f t="array" ref="H389">SUM(IF(INSTOCK!$H$3:$H$6125=B389,INSTOCK!$I$3:$I$6125))</f>
        <v>319</v>
      </c>
      <c r="I389" s="50" t="str">
        <f>ARRAY_CONSTRAIN(ARRAYFORMULA(SUM(IF([3]!Table13[ID]=B389,[3]!Table13[QTY]))), 1, 1)</f>
        <v>#ERROR!</v>
      </c>
      <c r="J389" s="50" t="str">
        <f>TABLEITEM!$H$3:$H$2749-TABLEITEM!$I$3:$I$2749</f>
        <v>#ERROR!</v>
      </c>
    </row>
    <row r="390" ht="15.75" customHeight="1">
      <c r="A390" s="45">
        <v>70.0</v>
      </c>
      <c r="B390" s="10" t="s">
        <v>528</v>
      </c>
      <c r="C390" s="26" t="s">
        <v>734</v>
      </c>
      <c r="D390" s="10" t="s">
        <v>7625</v>
      </c>
      <c r="E390" s="48" t="s">
        <v>1344</v>
      </c>
      <c r="F390" s="48" t="s">
        <v>7429</v>
      </c>
      <c r="G390" s="49">
        <f t="array" ref="G390">MAX(IF(INSTOCK!$H$3:$H$6125=B390,INSTOCK!$K$3:$K$6125))</f>
        <v>18.7</v>
      </c>
      <c r="H390" s="50">
        <f t="array" ref="H390">SUM(IF(INSTOCK!$H$3:$H$6125=B390,INSTOCK!$I$3:$I$6125))</f>
        <v>103</v>
      </c>
      <c r="I390" s="50" t="str">
        <f>ARRAY_CONSTRAIN(ARRAYFORMULA(SUM(IF([3]!Table13[ID]=B390,[3]!Table13[QTY]))), 1, 1)</f>
        <v>#ERROR!</v>
      </c>
      <c r="J390" s="50" t="str">
        <f>TABLEITEM!$H$3:$H$2749-TABLEITEM!$I$3:$I$2749</f>
        <v>#ERROR!</v>
      </c>
    </row>
    <row r="391" ht="15.75" customHeight="1">
      <c r="A391" s="45">
        <v>71.0</v>
      </c>
      <c r="B391" s="10" t="s">
        <v>529</v>
      </c>
      <c r="C391" s="26" t="s">
        <v>734</v>
      </c>
      <c r="D391" s="10" t="s">
        <v>7626</v>
      </c>
      <c r="E391" s="48" t="s">
        <v>1344</v>
      </c>
      <c r="F391" s="48" t="s">
        <v>7429</v>
      </c>
      <c r="G391" s="49">
        <f t="array" ref="G391">MAX(IF(INSTOCK!$H$3:$H$6125=B391,INSTOCK!$K$3:$K$6125))</f>
        <v>18.7</v>
      </c>
      <c r="H391" s="50">
        <f t="array" ref="H391">SUM(IF(INSTOCK!$H$3:$H$6125=B391,INSTOCK!$I$3:$I$6125))</f>
        <v>100</v>
      </c>
      <c r="I391" s="50" t="str">
        <f>ARRAY_CONSTRAIN(ARRAYFORMULA(SUM(IF([3]!Table13[ID]=B391,[3]!Table13[QTY]))), 1, 1)</f>
        <v>#ERROR!</v>
      </c>
      <c r="J391" s="50" t="str">
        <f>TABLEITEM!$H$3:$H$2749-TABLEITEM!$I$3:$I$2749</f>
        <v>#ERROR!</v>
      </c>
    </row>
    <row r="392" ht="15.75" customHeight="1">
      <c r="A392" s="45">
        <v>69.0</v>
      </c>
      <c r="B392" s="10" t="s">
        <v>527</v>
      </c>
      <c r="C392" s="26" t="s">
        <v>734</v>
      </c>
      <c r="D392" s="10" t="s">
        <v>7627</v>
      </c>
      <c r="E392" s="48" t="s">
        <v>1344</v>
      </c>
      <c r="F392" s="48" t="s">
        <v>7429</v>
      </c>
      <c r="G392" s="49">
        <f t="array" ref="G392">MAX(IF(INSTOCK!$H$3:$H$6125=B392,INSTOCK!$K$3:$K$6125))</f>
        <v>18.7</v>
      </c>
      <c r="H392" s="50">
        <f t="array" ref="H392">SUM(IF(INSTOCK!$H$3:$H$6125=B392,INSTOCK!$I$3:$I$6125))</f>
        <v>100</v>
      </c>
      <c r="I392" s="50" t="str">
        <f>ARRAY_CONSTRAIN(ARRAYFORMULA(SUM(IF([3]!Table13[ID]=B392,[3]!Table13[QTY]))), 1, 1)</f>
        <v>#ERROR!</v>
      </c>
      <c r="J392" s="50" t="str">
        <f>TABLEITEM!$H$3:$H$2749-TABLEITEM!$I$3:$I$2749</f>
        <v>#ERROR!</v>
      </c>
    </row>
    <row r="393" ht="15.75" customHeight="1">
      <c r="A393" s="45">
        <v>57.0</v>
      </c>
      <c r="B393" s="10" t="s">
        <v>515</v>
      </c>
      <c r="C393" s="26" t="s">
        <v>734</v>
      </c>
      <c r="D393" s="10" t="s">
        <v>7628</v>
      </c>
      <c r="E393" s="48" t="s">
        <v>1344</v>
      </c>
      <c r="F393" s="48" t="s">
        <v>7429</v>
      </c>
      <c r="G393" s="49">
        <f t="array" ref="G393">MAX(IF(INSTOCK!$H$3:$H$6125=B393,INSTOCK!$K$3:$K$6125))</f>
        <v>170.5</v>
      </c>
      <c r="H393" s="50">
        <f t="array" ref="H393">SUM(IF(INSTOCK!$H$3:$H$6125=B393,INSTOCK!$I$3:$I$6125))</f>
        <v>1085</v>
      </c>
      <c r="I393" s="50" t="str">
        <f>ARRAY_CONSTRAIN(ARRAYFORMULA(SUM(IF([3]!Table13[ID]=B393,[3]!Table13[QTY]))), 1, 1)</f>
        <v>#ERROR!</v>
      </c>
      <c r="J393" s="50" t="str">
        <f>TABLEITEM!$H$3:$H$2749-TABLEITEM!$I$3:$I$2749</f>
        <v>#ERROR!</v>
      </c>
    </row>
    <row r="394" ht="15.75" customHeight="1">
      <c r="A394" s="45"/>
      <c r="B394" s="10" t="s">
        <v>1324</v>
      </c>
      <c r="C394" s="26"/>
      <c r="D394" s="10" t="s">
        <v>7629</v>
      </c>
      <c r="E394" s="48" t="s">
        <v>1344</v>
      </c>
      <c r="F394" s="48" t="s">
        <v>7429</v>
      </c>
      <c r="G394" s="49">
        <f t="array" ref="G394">MAX(IF(INSTOCK!$H$3:$H$6125=B394,INSTOCK!$K$3:$K$6125))</f>
        <v>80.135</v>
      </c>
      <c r="H394" s="50">
        <f t="array" ref="H394">SUM(IF(INSTOCK!$H$3:$H$6125=B394,INSTOCK!$I$3:$I$6125))</f>
        <v>100</v>
      </c>
      <c r="I394" s="50" t="str">
        <f>ARRAY_CONSTRAIN(ARRAYFORMULA(SUM(IF([3]!Table13[ID]=B394,[3]!Table13[QTY]))), 1, 1)</f>
        <v>#ERROR!</v>
      </c>
      <c r="J394" s="50" t="str">
        <f>TABLEITEM!$H$3:$H$2749-TABLEITEM!$I$3:$I$2749</f>
        <v>#ERROR!</v>
      </c>
    </row>
    <row r="395" ht="15.75" customHeight="1">
      <c r="A395" s="45">
        <v>56.0</v>
      </c>
      <c r="B395" s="10" t="s">
        <v>514</v>
      </c>
      <c r="C395" s="26" t="s">
        <v>734</v>
      </c>
      <c r="D395" s="10" t="s">
        <v>7630</v>
      </c>
      <c r="E395" s="48" t="s">
        <v>1344</v>
      </c>
      <c r="F395" s="48" t="s">
        <v>7429</v>
      </c>
      <c r="G395" s="49">
        <f t="array" ref="G395">MAX(IF(INSTOCK!$H$3:$H$6125=B395,INSTOCK!$K$3:$K$6125))</f>
        <v>120</v>
      </c>
      <c r="H395" s="50">
        <f t="array" ref="H395">SUM(IF(INSTOCK!$H$3:$H$6125=B395,INSTOCK!$I$3:$I$6125))</f>
        <v>218</v>
      </c>
      <c r="I395" s="50" t="str">
        <f>ARRAY_CONSTRAIN(ARRAYFORMULA(SUM(IF([3]!Table13[ID]=B395,[3]!Table13[QTY]))), 1, 1)</f>
        <v>#ERROR!</v>
      </c>
      <c r="J395" s="50" t="str">
        <f>TABLEITEM!$H$3:$H$2749-TABLEITEM!$I$3:$I$2749</f>
        <v>#ERROR!</v>
      </c>
    </row>
    <row r="396" ht="15.75" customHeight="1">
      <c r="A396" s="45">
        <v>64.0</v>
      </c>
      <c r="B396" s="10" t="s">
        <v>522</v>
      </c>
      <c r="C396" s="26" t="s">
        <v>734</v>
      </c>
      <c r="D396" s="10" t="s">
        <v>7631</v>
      </c>
      <c r="E396" s="48" t="s">
        <v>1344</v>
      </c>
      <c r="F396" s="48" t="s">
        <v>7429</v>
      </c>
      <c r="G396" s="49">
        <f t="array" ref="G396">MAX(IF(INSTOCK!$H$3:$H$6125=B396,INSTOCK!$K$3:$K$6125))</f>
        <v>120</v>
      </c>
      <c r="H396" s="50">
        <f t="array" ref="H396">SUM(IF(INSTOCK!$H$3:$H$6125=B396,INSTOCK!$I$3:$I$6125))</f>
        <v>92</v>
      </c>
      <c r="I396" s="50" t="str">
        <f>ARRAY_CONSTRAIN(ARRAYFORMULA(SUM(IF([3]!Table13[ID]=B396,[3]!Table13[QTY]))), 1, 1)</f>
        <v>#ERROR!</v>
      </c>
      <c r="J396" s="50" t="str">
        <f>TABLEITEM!$H$3:$H$2749-TABLEITEM!$I$3:$I$2749</f>
        <v>#ERROR!</v>
      </c>
    </row>
    <row r="397" ht="15.75" customHeight="1">
      <c r="A397" s="45">
        <v>67.0</v>
      </c>
      <c r="B397" s="10" t="s">
        <v>525</v>
      </c>
      <c r="C397" s="26" t="s">
        <v>734</v>
      </c>
      <c r="D397" s="10" t="s">
        <v>7632</v>
      </c>
      <c r="E397" s="48" t="s">
        <v>1344</v>
      </c>
      <c r="F397" s="48" t="s">
        <v>7429</v>
      </c>
      <c r="G397" s="49">
        <f t="array" ref="G397">MAX(IF(INSTOCK!$H$3:$H$6125=B397,INSTOCK!$K$3:$K$6125))</f>
        <v>12.1</v>
      </c>
      <c r="H397" s="50">
        <f t="array" ref="H397">SUM(IF(INSTOCK!$H$3:$H$6125=B397,INSTOCK!$I$3:$I$6125))</f>
        <v>300</v>
      </c>
      <c r="I397" s="50" t="str">
        <f>ARRAY_CONSTRAIN(ARRAYFORMULA(SUM(IF([3]!Table13[ID]=B397,[3]!Table13[QTY]))), 1, 1)</f>
        <v>#ERROR!</v>
      </c>
      <c r="J397" s="50" t="str">
        <f>TABLEITEM!$H$3:$H$2749-TABLEITEM!$I$3:$I$2749</f>
        <v>#ERROR!</v>
      </c>
    </row>
    <row r="398" ht="15.75" customHeight="1">
      <c r="A398" s="45">
        <v>68.0</v>
      </c>
      <c r="B398" s="10" t="s">
        <v>526</v>
      </c>
      <c r="C398" s="26" t="s">
        <v>734</v>
      </c>
      <c r="D398" s="10" t="s">
        <v>7633</v>
      </c>
      <c r="E398" s="48" t="s">
        <v>1344</v>
      </c>
      <c r="F398" s="48" t="s">
        <v>7429</v>
      </c>
      <c r="G398" s="49">
        <f t="array" ref="G398">MAX(IF(INSTOCK!$H$3:$H$6125=B398,INSTOCK!$K$3:$K$6125))</f>
        <v>12.1</v>
      </c>
      <c r="H398" s="50">
        <f t="array" ref="H398">SUM(IF(INSTOCK!$H$3:$H$6125=B398,INSTOCK!$I$3:$I$6125))</f>
        <v>100</v>
      </c>
      <c r="I398" s="50" t="str">
        <f>ARRAY_CONSTRAIN(ARRAYFORMULA(SUM(IF([3]!Table13[ID]=B398,[3]!Table13[QTY]))), 1, 1)</f>
        <v>#ERROR!</v>
      </c>
      <c r="J398" s="50" t="str">
        <f>TABLEITEM!$H$3:$H$2749-TABLEITEM!$I$3:$I$2749</f>
        <v>#ERROR!</v>
      </c>
    </row>
    <row r="399" ht="15.75" customHeight="1">
      <c r="A399" s="45">
        <v>61.0</v>
      </c>
      <c r="B399" s="10" t="s">
        <v>519</v>
      </c>
      <c r="C399" s="26" t="s">
        <v>734</v>
      </c>
      <c r="D399" s="10" t="s">
        <v>7634</v>
      </c>
      <c r="E399" s="48" t="s">
        <v>1344</v>
      </c>
      <c r="F399" s="48" t="s">
        <v>7429</v>
      </c>
      <c r="G399" s="49">
        <f t="array" ref="G399">MAX(IF(INSTOCK!$H$3:$H$6125=B399,INSTOCK!$K$3:$K$6125))</f>
        <v>879</v>
      </c>
      <c r="H399" s="50">
        <f t="array" ref="H399">SUM(IF(INSTOCK!$H$3:$H$6125=B399,INSTOCK!$I$3:$I$6125))</f>
        <v>36</v>
      </c>
      <c r="I399" s="50" t="str">
        <f>ARRAY_CONSTRAIN(ARRAYFORMULA(SUM(IF([3]!Table13[ID]=B399,[3]!Table13[QTY]))), 1, 1)</f>
        <v>#ERROR!</v>
      </c>
      <c r="J399" s="50" t="str">
        <f>TABLEITEM!$H$3:$H$2749-TABLEITEM!$I$3:$I$2749</f>
        <v>#ERROR!</v>
      </c>
    </row>
    <row r="400" ht="15.75" customHeight="1">
      <c r="A400" s="45">
        <v>55.0</v>
      </c>
      <c r="B400" s="10" t="s">
        <v>513</v>
      </c>
      <c r="C400" s="26" t="s">
        <v>734</v>
      </c>
      <c r="D400" s="10" t="s">
        <v>7635</v>
      </c>
      <c r="E400" s="48" t="s">
        <v>1344</v>
      </c>
      <c r="F400" s="48" t="s">
        <v>7429</v>
      </c>
      <c r="G400" s="49">
        <f t="array" ref="G400">MAX(IF(INSTOCK!$H$3:$H$6125=B400,INSTOCK!$K$3:$K$6125))</f>
        <v>76.5</v>
      </c>
      <c r="H400" s="50">
        <f t="array" ref="H400">SUM(IF(INSTOCK!$H$3:$H$6125=B400,INSTOCK!$I$3:$I$6125))</f>
        <v>2235</v>
      </c>
      <c r="I400" s="50" t="str">
        <f>ARRAY_CONSTRAIN(ARRAYFORMULA(SUM(IF([3]!Table13[ID]=B400,[3]!Table13[QTY]))), 1, 1)</f>
        <v>#ERROR!</v>
      </c>
      <c r="J400" s="50" t="str">
        <f>TABLEITEM!$H$3:$H$2749-TABLEITEM!$I$3:$I$2749</f>
        <v>#ERROR!</v>
      </c>
    </row>
    <row r="401" ht="15.75" customHeight="1">
      <c r="A401" s="45">
        <v>63.0</v>
      </c>
      <c r="B401" s="10" t="s">
        <v>521</v>
      </c>
      <c r="C401" s="26" t="s">
        <v>734</v>
      </c>
      <c r="D401" s="10" t="s">
        <v>7636</v>
      </c>
      <c r="E401" s="48" t="s">
        <v>1344</v>
      </c>
      <c r="F401" s="48" t="s">
        <v>7429</v>
      </c>
      <c r="G401" s="49">
        <f t="array" ref="G401">MAX(IF(INSTOCK!$H$3:$H$6125=B401,INSTOCK!$K$3:$K$6125))</f>
        <v>76.5</v>
      </c>
      <c r="H401" s="50">
        <f t="array" ref="H401">SUM(IF(INSTOCK!$H$3:$H$6125=B401,INSTOCK!$I$3:$I$6125))</f>
        <v>136</v>
      </c>
      <c r="I401" s="50" t="str">
        <f>ARRAY_CONSTRAIN(ARRAYFORMULA(SUM(IF([3]!Table13[ID]=B401,[3]!Table13[QTY]))), 1, 1)</f>
        <v>#ERROR!</v>
      </c>
      <c r="J401" s="50" t="str">
        <f>TABLEITEM!$H$3:$H$2749-TABLEITEM!$I$3:$I$2749</f>
        <v>#ERROR!</v>
      </c>
    </row>
    <row r="402" ht="15.75" customHeight="1">
      <c r="A402" s="45">
        <v>54.0</v>
      </c>
      <c r="B402" s="55" t="s">
        <v>512</v>
      </c>
      <c r="C402" s="26" t="s">
        <v>734</v>
      </c>
      <c r="D402" s="10" t="s">
        <v>7637</v>
      </c>
      <c r="E402" s="48" t="s">
        <v>1344</v>
      </c>
      <c r="F402" s="48" t="s">
        <v>7429</v>
      </c>
      <c r="G402" s="49">
        <f t="array" ref="G402">MAX(IF(INSTOCK!$H$3:$H$6125=B402,INSTOCK!$K$3:$K$6125))</f>
        <v>49.3</v>
      </c>
      <c r="H402" s="50">
        <f t="array" ref="H402">SUM(IF(INSTOCK!$H$3:$H$6125=B402,INSTOCK!$I$3:$I$6125))</f>
        <v>877</v>
      </c>
      <c r="I402" s="50" t="str">
        <f>ARRAY_CONSTRAIN(ARRAYFORMULA(SUM(IF([3]!Table13[ID]=B402,[3]!Table13[QTY]))), 1, 1)</f>
        <v>#ERROR!</v>
      </c>
      <c r="J402" s="50" t="str">
        <f>TABLEITEM!$H$3:$H$2749-TABLEITEM!$I$3:$I$2749</f>
        <v>#ERROR!</v>
      </c>
    </row>
    <row r="403" ht="15.75" customHeight="1">
      <c r="A403" s="45">
        <v>62.0</v>
      </c>
      <c r="B403" s="10" t="s">
        <v>520</v>
      </c>
      <c r="C403" s="26" t="s">
        <v>734</v>
      </c>
      <c r="D403" s="10" t="s">
        <v>7638</v>
      </c>
      <c r="E403" s="48" t="s">
        <v>1344</v>
      </c>
      <c r="F403" s="48" t="s">
        <v>7429</v>
      </c>
      <c r="G403" s="49">
        <f t="array" ref="G403">MAX(IF(INSTOCK!$H$3:$H$6125=B403,INSTOCK!$K$3:$K$6125))</f>
        <v>49.3</v>
      </c>
      <c r="H403" s="50">
        <f t="array" ref="H403">SUM(IF(INSTOCK!$H$3:$H$6125=B403,INSTOCK!$I$3:$I$6125))</f>
        <v>71</v>
      </c>
      <c r="I403" s="50" t="str">
        <f>ARRAY_CONSTRAIN(ARRAYFORMULA(SUM(IF([3]!Table13[ID]=B403,[3]!Table13[QTY]))), 1, 1)</f>
        <v>#ERROR!</v>
      </c>
      <c r="J403" s="50" t="str">
        <f>TABLEITEM!$H$3:$H$2749-TABLEITEM!$I$3:$I$2749</f>
        <v>#ERROR!</v>
      </c>
    </row>
    <row r="404" ht="15.75" customHeight="1">
      <c r="A404" s="45">
        <v>65.0</v>
      </c>
      <c r="B404" s="10" t="s">
        <v>523</v>
      </c>
      <c r="C404" s="26" t="s">
        <v>734</v>
      </c>
      <c r="D404" s="10" t="s">
        <v>7639</v>
      </c>
      <c r="E404" s="48" t="s">
        <v>1344</v>
      </c>
      <c r="F404" s="48" t="s">
        <v>7429</v>
      </c>
      <c r="G404" s="49">
        <f t="array" ref="G404">MAX(IF(INSTOCK!$H$3:$H$6125=B404,INSTOCK!$K$3:$K$6125))</f>
        <v>8.2</v>
      </c>
      <c r="H404" s="50">
        <f t="array" ref="H404">SUM(IF(INSTOCK!$H$3:$H$6125=B404,INSTOCK!$I$3:$I$6125))</f>
        <v>200</v>
      </c>
      <c r="I404" s="50" t="str">
        <f>ARRAY_CONSTRAIN(ARRAYFORMULA(SUM(IF([3]!Table13[ID]=B404,[3]!Table13[QTY]))), 1, 1)</f>
        <v>#ERROR!</v>
      </c>
      <c r="J404" s="50" t="str">
        <f>TABLEITEM!$H$3:$H$2749-TABLEITEM!$I$3:$I$2749</f>
        <v>#ERROR!</v>
      </c>
    </row>
    <row r="405" ht="15.75" customHeight="1">
      <c r="A405" s="45">
        <v>66.0</v>
      </c>
      <c r="B405" s="10" t="s">
        <v>524</v>
      </c>
      <c r="C405" s="26" t="s">
        <v>734</v>
      </c>
      <c r="D405" s="10" t="s">
        <v>7640</v>
      </c>
      <c r="E405" s="48" t="s">
        <v>1344</v>
      </c>
      <c r="F405" s="48" t="s">
        <v>7429</v>
      </c>
      <c r="G405" s="49">
        <f t="array" ref="G405">MAX(IF(INSTOCK!$H$3:$H$6125=B405,INSTOCK!$K$3:$K$6125))</f>
        <v>8.2</v>
      </c>
      <c r="H405" s="50">
        <f t="array" ref="H405">SUM(IF(INSTOCK!$H$3:$H$6125=B405,INSTOCK!$I$3:$I$6125))</f>
        <v>200</v>
      </c>
      <c r="I405" s="50" t="str">
        <f>ARRAY_CONSTRAIN(ARRAYFORMULA(SUM(IF([3]!Table13[ID]=B405,[3]!Table13[QTY]))), 1, 1)</f>
        <v>#ERROR!</v>
      </c>
      <c r="J405" s="50" t="str">
        <f>TABLEITEM!$H$3:$H$2749-TABLEITEM!$I$3:$I$2749</f>
        <v>#ERROR!</v>
      </c>
    </row>
    <row r="406" ht="15.75" customHeight="1">
      <c r="A406" s="45">
        <v>52.0</v>
      </c>
      <c r="B406" s="10" t="s">
        <v>510</v>
      </c>
      <c r="C406" s="26" t="s">
        <v>734</v>
      </c>
      <c r="D406" s="10" t="s">
        <v>735</v>
      </c>
      <c r="E406" s="48" t="s">
        <v>7641</v>
      </c>
      <c r="F406" s="48" t="s">
        <v>7429</v>
      </c>
      <c r="G406" s="49">
        <f t="array" ref="G406">MAX(IF(INSTOCK!$H$3:$H$6125=B406,INSTOCK!$K$3:$K$6125))</f>
        <v>20.9</v>
      </c>
      <c r="H406" s="50">
        <f t="array" ref="H406">SUM(IF(INSTOCK!$H$3:$H$6125=B406,INSTOCK!$I$3:$I$6125))</f>
        <v>846</v>
      </c>
      <c r="I406" s="50" t="str">
        <f>ARRAY_CONSTRAIN(ARRAYFORMULA(SUM(IF([3]!Table13[ID]=B406,[3]!Table13[QTY]))), 1, 1)</f>
        <v>#ERROR!</v>
      </c>
      <c r="J406" s="50" t="str">
        <f>TABLEITEM!$H$3:$H$2749-TABLEITEM!$I$3:$I$2749</f>
        <v>#ERROR!</v>
      </c>
    </row>
    <row r="407" ht="15.75" customHeight="1">
      <c r="A407" s="45"/>
      <c r="B407" s="10" t="s">
        <v>2134</v>
      </c>
      <c r="C407" s="26"/>
      <c r="D407" s="10" t="s">
        <v>7642</v>
      </c>
      <c r="E407" s="48"/>
      <c r="F407" s="48" t="s">
        <v>7173</v>
      </c>
      <c r="G407" s="49">
        <f t="array" ref="G407">MAX(IF(INSTOCK!$H$3:$H$6125=B407,INSTOCK!$K$3:$K$6125))</f>
        <v>1275</v>
      </c>
      <c r="H407" s="50">
        <f t="array" ref="H407">SUM(IF(INSTOCK!$H$3:$H$6125=B407,INSTOCK!$I$3:$I$6125))</f>
        <v>5</v>
      </c>
      <c r="I407" s="50" t="str">
        <f>ARRAY_CONSTRAIN(ARRAYFORMULA(SUM(IF([3]!Table13[ID]=B407,[3]!Table13[QTY]))), 1, 1)</f>
        <v>#ERROR!</v>
      </c>
      <c r="J407" s="50" t="str">
        <f>TABLEITEM!$H$3:$H$2749-TABLEITEM!$I$3:$I$2749</f>
        <v>#ERROR!</v>
      </c>
    </row>
    <row r="408" ht="15.75" customHeight="1">
      <c r="A408" s="45"/>
      <c r="B408" s="10" t="s">
        <v>2010</v>
      </c>
      <c r="C408" s="26"/>
      <c r="D408" s="10" t="s">
        <v>7643</v>
      </c>
      <c r="E408" s="48"/>
      <c r="F408" s="48" t="s">
        <v>7173</v>
      </c>
      <c r="G408" s="49">
        <f t="array" ref="G408">MAX(IF(INSTOCK!$H$3:$H$6125=B408,INSTOCK!$K$3:$K$6125))</f>
        <v>20000</v>
      </c>
      <c r="H408" s="50">
        <f t="array" ref="H408">SUM(IF(INSTOCK!$H$3:$H$6125=B408,INSTOCK!$I$3:$I$6125))</f>
        <v>2</v>
      </c>
      <c r="I408" s="50" t="str">
        <f>ARRAY_CONSTRAIN(ARRAYFORMULA(SUM(IF([3]!Table13[ID]=B408,[3]!Table13[QTY]))), 1, 1)</f>
        <v>#ERROR!</v>
      </c>
      <c r="J408" s="50" t="str">
        <f>TABLEITEM!$H$3:$H$2749-TABLEITEM!$I$3:$I$2749</f>
        <v>#ERROR!</v>
      </c>
    </row>
    <row r="409" ht="15.75" customHeight="1">
      <c r="A409" s="45"/>
      <c r="B409" s="10" t="s">
        <v>2916</v>
      </c>
      <c r="C409" s="26"/>
      <c r="D409" s="10" t="s">
        <v>7644</v>
      </c>
      <c r="E409" s="48" t="s">
        <v>1930</v>
      </c>
      <c r="F409" s="48" t="s">
        <v>7173</v>
      </c>
      <c r="G409" s="49">
        <f t="array" ref="G409">MAX(IF(INSTOCK!$H$3:$H$6125=B409,INSTOCK!$K$3:$K$6125))</f>
        <v>310</v>
      </c>
      <c r="H409" s="50">
        <f t="array" ref="H409">SUM(IF(INSTOCK!$H$3:$H$6125=B409,INSTOCK!$I$3:$I$6125))</f>
        <v>1</v>
      </c>
      <c r="I409" s="50" t="str">
        <f>ARRAY_CONSTRAIN(ARRAYFORMULA(SUM(IF([3]!Table13[ID]=B409,[3]!Table13[QTY]))), 1, 1)</f>
        <v>#ERROR!</v>
      </c>
      <c r="J409" s="50" t="str">
        <f>TABLEITEM!$H$3:$H$2749-TABLEITEM!$I$3:$I$2749</f>
        <v>#ERROR!</v>
      </c>
    </row>
    <row r="410" ht="15.75" customHeight="1">
      <c r="A410" s="45"/>
      <c r="B410" s="10" t="s">
        <v>3083</v>
      </c>
      <c r="C410" s="26"/>
      <c r="D410" s="10" t="s">
        <v>7645</v>
      </c>
      <c r="E410" s="48"/>
      <c r="F410" s="48" t="s">
        <v>7173</v>
      </c>
      <c r="G410" s="49">
        <f t="array" ref="G410">MAX(IF(INSTOCK!$H$3:$H$6125=B410,INSTOCK!$K$3:$K$6125))</f>
        <v>5700</v>
      </c>
      <c r="H410" s="50">
        <f t="array" ref="H410">SUM(IF(INSTOCK!$H$3:$H$6125=B410,INSTOCK!$I$3:$I$6125))</f>
        <v>1</v>
      </c>
      <c r="I410" s="50" t="str">
        <f>ARRAY_CONSTRAIN(ARRAYFORMULA(SUM(IF([3]!Table13[ID]=B410,[3]!Table13[QTY]))), 1, 1)</f>
        <v>#ERROR!</v>
      </c>
      <c r="J410" s="50" t="str">
        <f>TABLEITEM!$H$3:$H$2749-TABLEITEM!$I$3:$I$2749</f>
        <v>#ERROR!</v>
      </c>
    </row>
    <row r="411" ht="15.75" customHeight="1">
      <c r="A411" s="45"/>
      <c r="B411" s="10" t="s">
        <v>2053</v>
      </c>
      <c r="C411" s="26"/>
      <c r="D411" s="10" t="s">
        <v>7646</v>
      </c>
      <c r="E411" s="48" t="s">
        <v>7647</v>
      </c>
      <c r="F411" s="48" t="s">
        <v>7173</v>
      </c>
      <c r="G411" s="49">
        <f t="array" ref="G411">MAX(IF(INSTOCK!$H$3:$H$6125=B411,INSTOCK!$K$3:$K$6125))</f>
        <v>2400</v>
      </c>
      <c r="H411" s="50">
        <f t="array" ref="H411">SUM(IF(INSTOCK!$H$3:$H$6125=B411,INSTOCK!$I$3:$I$6125))</f>
        <v>4</v>
      </c>
      <c r="I411" s="50" t="str">
        <f>ARRAY_CONSTRAIN(ARRAYFORMULA(SUM(IF([3]!Table13[ID]=B411,[3]!Table13[QTY]))), 1, 1)</f>
        <v>#ERROR!</v>
      </c>
      <c r="J411" s="50" t="str">
        <f>TABLEITEM!$H$3:$H$2749-TABLEITEM!$I$3:$I$2749</f>
        <v>#ERROR!</v>
      </c>
    </row>
    <row r="412" ht="15.75" customHeight="1">
      <c r="A412" s="45"/>
      <c r="B412" s="10" t="s">
        <v>2114</v>
      </c>
      <c r="C412" s="26"/>
      <c r="D412" s="10" t="s">
        <v>7648</v>
      </c>
      <c r="E412" s="48"/>
      <c r="F412" s="48" t="s">
        <v>7173</v>
      </c>
      <c r="G412" s="49">
        <f t="array" ref="G412">MAX(IF(INSTOCK!$H$3:$H$6125=B412,INSTOCK!$K$3:$K$6125))</f>
        <v>-145000</v>
      </c>
      <c r="H412" s="50">
        <f t="array" ref="H412">SUM(IF(INSTOCK!$H$3:$H$6125=B412,INSTOCK!$I$3:$I$6125))</f>
        <v>1</v>
      </c>
      <c r="I412" s="50" t="str">
        <f>ARRAY_CONSTRAIN(ARRAYFORMULA(SUM(IF([3]!Table13[ID]=B412,[3]!Table13[QTY]))), 1, 1)</f>
        <v>#ERROR!</v>
      </c>
      <c r="J412" s="50" t="str">
        <f>TABLEITEM!$H$3:$H$2749-TABLEITEM!$I$3:$I$2749</f>
        <v>#ERROR!</v>
      </c>
    </row>
    <row r="413" ht="15.75" customHeight="1">
      <c r="A413" s="45">
        <v>462.0</v>
      </c>
      <c r="B413" s="10" t="s">
        <v>347</v>
      </c>
      <c r="C413" s="26"/>
      <c r="D413" s="10" t="s">
        <v>7649</v>
      </c>
      <c r="E413" s="48" t="s">
        <v>1831</v>
      </c>
      <c r="F413" s="48" t="s">
        <v>7173</v>
      </c>
      <c r="G413" s="49">
        <f t="array" ref="G413">MAX(IF(INSTOCK!$H$3:$H$6125=B413,INSTOCK!$K$3:$K$6125))</f>
        <v>2.5</v>
      </c>
      <c r="H413" s="50">
        <f t="array" ref="H413">SUM(IF(INSTOCK!$H$3:$H$6125=B413,INSTOCK!$I$3:$I$6125))</f>
        <v>0</v>
      </c>
      <c r="I413" s="50" t="str">
        <f>ARRAY_CONSTRAIN(ARRAYFORMULA(SUM(IF([3]!Table13[ID]=B413,[3]!Table13[QTY]))), 1, 1)</f>
        <v>#ERROR!</v>
      </c>
      <c r="J413" s="50" t="str">
        <f>TABLEITEM!$H$3:$H$2749-TABLEITEM!$I$3:$I$2749</f>
        <v>#ERROR!</v>
      </c>
    </row>
    <row r="414" ht="15.75" customHeight="1">
      <c r="A414" s="45">
        <v>461.0</v>
      </c>
      <c r="B414" s="10" t="s">
        <v>346</v>
      </c>
      <c r="C414" s="26"/>
      <c r="D414" s="10" t="s">
        <v>7650</v>
      </c>
      <c r="E414" s="48" t="s">
        <v>1831</v>
      </c>
      <c r="F414" s="48" t="s">
        <v>7173</v>
      </c>
      <c r="G414" s="49">
        <f t="array" ref="G414">MAX(IF(INSTOCK!$H$3:$H$6125=B414,INSTOCK!$K$3:$K$6125))</f>
        <v>2</v>
      </c>
      <c r="H414" s="50">
        <f t="array" ref="H414">SUM(IF(INSTOCK!$H$3:$H$6125=B414,INSTOCK!$I$3:$I$6125))</f>
        <v>0</v>
      </c>
      <c r="I414" s="50" t="str">
        <f>ARRAY_CONSTRAIN(ARRAYFORMULA(SUM(IF([3]!Table13[ID]=B414,[3]!Table13[QTY]))), 1, 1)</f>
        <v>#ERROR!</v>
      </c>
      <c r="J414" s="50" t="str">
        <f>TABLEITEM!$H$3:$H$2749-TABLEITEM!$I$3:$I$2749</f>
        <v>#ERROR!</v>
      </c>
    </row>
    <row r="415" ht="15.75" customHeight="1">
      <c r="A415" s="45">
        <v>463.0</v>
      </c>
      <c r="B415" s="10" t="s">
        <v>348</v>
      </c>
      <c r="C415" s="26"/>
      <c r="D415" s="10" t="s">
        <v>7651</v>
      </c>
      <c r="E415" s="48" t="s">
        <v>1831</v>
      </c>
      <c r="F415" s="48" t="s">
        <v>7173</v>
      </c>
      <c r="G415" s="49">
        <f t="array" ref="G415">MAX(IF(INSTOCK!$H$3:$H$6125=B415,INSTOCK!$K$3:$K$6125))</f>
        <v>3.25</v>
      </c>
      <c r="H415" s="50">
        <f t="array" ref="H415">SUM(IF(INSTOCK!$H$3:$H$6125=B415,INSTOCK!$I$3:$I$6125))</f>
        <v>295</v>
      </c>
      <c r="I415" s="50" t="str">
        <f>ARRAY_CONSTRAIN(ARRAYFORMULA(SUM(IF([3]!Table13[ID]=B415,[3]!Table13[QTY]))), 1, 1)</f>
        <v>#ERROR!</v>
      </c>
      <c r="J415" s="50" t="str">
        <f>TABLEITEM!$H$3:$H$2749-TABLEITEM!$I$3:$I$2749</f>
        <v>#ERROR!</v>
      </c>
    </row>
    <row r="416" ht="15.75" customHeight="1">
      <c r="A416" s="45"/>
      <c r="B416" s="10" t="s">
        <v>7652</v>
      </c>
      <c r="C416" s="26"/>
      <c r="D416" s="10" t="s">
        <v>7653</v>
      </c>
      <c r="E416" s="10" t="s">
        <v>7654</v>
      </c>
      <c r="F416" s="48" t="s">
        <v>7173</v>
      </c>
      <c r="G416" s="49">
        <f t="array" ref="G416">MAX(IF(INSTOCK!$H$3:$H$6125=B416,INSTOCK!$K$3:$K$6125))</f>
        <v>0</v>
      </c>
      <c r="H416" s="50">
        <f t="array" ref="H416">SUM(IF(INSTOCK!$H$3:$H$6125=B416,INSTOCK!$I$3:$I$6125))</f>
        <v>0</v>
      </c>
      <c r="I416" s="50" t="str">
        <f>ARRAY_CONSTRAIN(ARRAYFORMULA(SUM(IF([3]!Table13[ID]=B416,[3]!Table13[QTY]))), 1, 1)</f>
        <v>#ERROR!</v>
      </c>
      <c r="J416" s="50" t="str">
        <f>TABLEITEM!$H$3:$H$2749-TABLEITEM!$I$3:$I$2749</f>
        <v>#ERROR!</v>
      </c>
    </row>
    <row r="417" ht="15.75" customHeight="1">
      <c r="A417" s="45"/>
      <c r="B417" s="10" t="s">
        <v>5835</v>
      </c>
      <c r="C417" s="26"/>
      <c r="D417" s="10" t="s">
        <v>7655</v>
      </c>
      <c r="E417" s="10" t="s">
        <v>7654</v>
      </c>
      <c r="F417" s="48" t="s">
        <v>7173</v>
      </c>
      <c r="G417" s="49">
        <f t="array" ref="G417">MAX(IF(INSTOCK!$H$3:$H$6125=B417,INSTOCK!$K$3:$K$6125))</f>
        <v>1.3</v>
      </c>
      <c r="H417" s="50">
        <f t="array" ref="H417">SUM(IF(INSTOCK!$H$3:$H$6125=B417,INSTOCK!$I$3:$I$6125))</f>
        <v>31260</v>
      </c>
      <c r="I417" s="50" t="str">
        <f>ARRAY_CONSTRAIN(ARRAYFORMULA(SUM(IF([3]!Table13[ID]=B417,[3]!Table13[QTY]))), 1, 1)</f>
        <v>#ERROR!</v>
      </c>
      <c r="J417" s="50" t="str">
        <f>TABLEITEM!$H$3:$H$2749-TABLEITEM!$I$3:$I$2749</f>
        <v>#ERROR!</v>
      </c>
    </row>
    <row r="418" ht="15.75" customHeight="1">
      <c r="A418" s="45"/>
      <c r="B418" s="10" t="s">
        <v>7656</v>
      </c>
      <c r="C418" s="26"/>
      <c r="D418" s="10" t="s">
        <v>7657</v>
      </c>
      <c r="E418" s="10"/>
      <c r="F418" s="48" t="s">
        <v>7173</v>
      </c>
      <c r="G418" s="49">
        <f t="array" ref="G418">MAX(IF(INSTOCK!$H$3:$H$6125=B418,INSTOCK!$K$3:$K$6125))</f>
        <v>0</v>
      </c>
      <c r="H418" s="50">
        <f t="array" ref="H418">SUM(IF(INSTOCK!$H$3:$H$6125=B418,INSTOCK!$I$3:$I$6125))</f>
        <v>0</v>
      </c>
      <c r="I418" s="50" t="str">
        <f>ARRAY_CONSTRAIN(ARRAYFORMULA(SUM(IF([3]!Table13[ID]=B418,[3]!Table13[QTY]))), 1, 1)</f>
        <v>#ERROR!</v>
      </c>
      <c r="J418" s="50" t="str">
        <f>TABLEITEM!$H$3:$H$2749-TABLEITEM!$I$3:$I$2749</f>
        <v>#ERROR!</v>
      </c>
    </row>
    <row r="419" ht="15.75" customHeight="1">
      <c r="A419" s="45"/>
      <c r="B419" s="10" t="s">
        <v>7658</v>
      </c>
      <c r="C419" s="26"/>
      <c r="D419" s="10" t="s">
        <v>7659</v>
      </c>
      <c r="E419" s="10"/>
      <c r="F419" s="48" t="s">
        <v>7173</v>
      </c>
      <c r="G419" s="49">
        <f t="array" ref="G419">MAX(IF(INSTOCK!$H$3:$H$6125=B419,INSTOCK!$K$3:$K$6125))</f>
        <v>0</v>
      </c>
      <c r="H419" s="50">
        <f t="array" ref="H419">SUM(IF(INSTOCK!$H$3:$H$6125=B419,INSTOCK!$I$3:$I$6125))</f>
        <v>0</v>
      </c>
      <c r="I419" s="50" t="str">
        <f>ARRAY_CONSTRAIN(ARRAYFORMULA(SUM(IF([3]!Table13[ID]=B419,[3]!Table13[QTY]))), 1, 1)</f>
        <v>#ERROR!</v>
      </c>
      <c r="J419" s="50" t="str">
        <f>TABLEITEM!$H$3:$H$2749-TABLEITEM!$I$3:$I$2749</f>
        <v>#ERROR!</v>
      </c>
    </row>
    <row r="420" ht="15.75" customHeight="1">
      <c r="A420" s="45"/>
      <c r="B420" s="10" t="s">
        <v>7660</v>
      </c>
      <c r="C420" s="26"/>
      <c r="D420" s="10" t="s">
        <v>7661</v>
      </c>
      <c r="E420" s="10"/>
      <c r="F420" s="48" t="s">
        <v>7173</v>
      </c>
      <c r="G420" s="49">
        <f t="array" ref="G420">MAX(IF(INSTOCK!$H$3:$H$6125=B420,INSTOCK!$K$3:$K$6125))</f>
        <v>0</v>
      </c>
      <c r="H420" s="50">
        <f t="array" ref="H420">SUM(IF(INSTOCK!$H$3:$H$6125=B420,INSTOCK!$I$3:$I$6125))</f>
        <v>0</v>
      </c>
      <c r="I420" s="50" t="str">
        <f>ARRAY_CONSTRAIN(ARRAYFORMULA(SUM(IF([3]!Table13[ID]=B420,[3]!Table13[QTY]))), 1, 1)</f>
        <v>#ERROR!</v>
      </c>
      <c r="J420" s="50" t="str">
        <f>TABLEITEM!$H$3:$H$2749-TABLEITEM!$I$3:$I$2749</f>
        <v>#ERROR!</v>
      </c>
    </row>
    <row r="421" ht="15.75" customHeight="1">
      <c r="A421" s="45"/>
      <c r="B421" s="10" t="s">
        <v>2956</v>
      </c>
      <c r="C421" s="26"/>
      <c r="D421" s="10" t="s">
        <v>7662</v>
      </c>
      <c r="E421" s="48" t="s">
        <v>7294</v>
      </c>
      <c r="F421" s="48" t="s">
        <v>7173</v>
      </c>
      <c r="G421" s="49">
        <f t="array" ref="G421">MAX(IF(INSTOCK!$H$3:$H$6125=B421,INSTOCK!$K$3:$K$6125))</f>
        <v>15</v>
      </c>
      <c r="H421" s="50">
        <f t="array" ref="H421">SUM(IF(INSTOCK!$H$3:$H$6125=B421,INSTOCK!$I$3:$I$6125))</f>
        <v>300</v>
      </c>
      <c r="I421" s="50" t="str">
        <f>ARRAY_CONSTRAIN(ARRAYFORMULA(SUM(IF([3]!Table13[ID]=B421,[3]!Table13[QTY]))), 1, 1)</f>
        <v>#ERROR!</v>
      </c>
      <c r="J421" s="50" t="str">
        <f>TABLEITEM!$H$3:$H$2749-TABLEITEM!$I$3:$I$2749</f>
        <v>#ERROR!</v>
      </c>
    </row>
    <row r="422" ht="15.75" customHeight="1">
      <c r="A422" s="45"/>
      <c r="B422" s="10" t="s">
        <v>2474</v>
      </c>
      <c r="C422" s="26"/>
      <c r="D422" s="10" t="s">
        <v>7663</v>
      </c>
      <c r="E422" s="10" t="s">
        <v>7439</v>
      </c>
      <c r="F422" s="48" t="s">
        <v>7173</v>
      </c>
      <c r="G422" s="49">
        <f t="array" ref="G422">MAX(IF(INSTOCK!$H$3:$H$6125=B422,INSTOCK!$K$3:$K$6125))</f>
        <v>8.4</v>
      </c>
      <c r="H422" s="50">
        <f t="array" ref="H422">SUM(IF(INSTOCK!$H$3:$H$6125=B422,INSTOCK!$I$3:$I$6125))</f>
        <v>395</v>
      </c>
      <c r="I422" s="50" t="str">
        <f>ARRAY_CONSTRAIN(ARRAYFORMULA(SUM(IF([3]!Table13[ID]=B422,[3]!Table13[QTY]))), 1, 1)</f>
        <v>#ERROR!</v>
      </c>
      <c r="J422" s="50" t="str">
        <f>TABLEITEM!$H$3:$H$2749-TABLEITEM!$I$3:$I$2749</f>
        <v>#ERROR!</v>
      </c>
    </row>
    <row r="423" ht="15.75" customHeight="1">
      <c r="A423" s="45"/>
      <c r="B423" s="10" t="s">
        <v>2472</v>
      </c>
      <c r="C423" s="26"/>
      <c r="D423" s="10" t="s">
        <v>7664</v>
      </c>
      <c r="E423" s="10" t="s">
        <v>7439</v>
      </c>
      <c r="F423" s="48" t="s">
        <v>7173</v>
      </c>
      <c r="G423" s="49">
        <f t="array" ref="G423">MAX(IF(INSTOCK!$H$3:$H$6125=B423,INSTOCK!$K$3:$K$6125))</f>
        <v>8.4</v>
      </c>
      <c r="H423" s="50">
        <f t="array" ref="H423">SUM(IF(INSTOCK!$H$3:$H$6125=B423,INSTOCK!$I$3:$I$6125))</f>
        <v>719</v>
      </c>
      <c r="I423" s="50" t="str">
        <f>ARRAY_CONSTRAIN(ARRAYFORMULA(SUM(IF([3]!Table13[ID]=B423,[3]!Table13[QTY]))), 1, 1)</f>
        <v>#ERROR!</v>
      </c>
      <c r="J423" s="50" t="str">
        <f>TABLEITEM!$H$3:$H$2749-TABLEITEM!$I$3:$I$2749</f>
        <v>#ERROR!</v>
      </c>
    </row>
    <row r="424" ht="15.75" customHeight="1">
      <c r="A424" s="45"/>
      <c r="B424" s="10" t="s">
        <v>2471</v>
      </c>
      <c r="C424" s="26"/>
      <c r="D424" s="10" t="s">
        <v>7665</v>
      </c>
      <c r="E424" s="10" t="s">
        <v>7439</v>
      </c>
      <c r="F424" s="48" t="s">
        <v>7173</v>
      </c>
      <c r="G424" s="49">
        <f t="array" ref="G424">MAX(IF(INSTOCK!$H$3:$H$6125=B424,INSTOCK!$K$3:$K$6125))</f>
        <v>8.4</v>
      </c>
      <c r="H424" s="50">
        <f t="array" ref="H424">SUM(IF(INSTOCK!$H$3:$H$6125=B424,INSTOCK!$I$3:$I$6125))</f>
        <v>537</v>
      </c>
      <c r="I424" s="50" t="str">
        <f>ARRAY_CONSTRAIN(ARRAYFORMULA(SUM(IF([3]!Table13[ID]=B424,[3]!Table13[QTY]))), 1, 1)</f>
        <v>#ERROR!</v>
      </c>
      <c r="J424" s="50" t="str">
        <f>TABLEITEM!$H$3:$H$2749-TABLEITEM!$I$3:$I$2749</f>
        <v>#ERROR!</v>
      </c>
    </row>
    <row r="425" ht="15.75" customHeight="1">
      <c r="A425" s="45"/>
      <c r="B425" s="10" t="s">
        <v>2470</v>
      </c>
      <c r="C425" s="26"/>
      <c r="D425" s="10" t="s">
        <v>7666</v>
      </c>
      <c r="E425" s="10" t="s">
        <v>7439</v>
      </c>
      <c r="F425" s="48" t="s">
        <v>7173</v>
      </c>
      <c r="G425" s="49">
        <f t="array" ref="G425">MAX(IF(INSTOCK!$H$3:$H$6125=B425,INSTOCK!$K$3:$K$6125))</f>
        <v>8.4</v>
      </c>
      <c r="H425" s="50">
        <f t="array" ref="H425">SUM(IF(INSTOCK!$H$3:$H$6125=B425,INSTOCK!$I$3:$I$6125))</f>
        <v>132</v>
      </c>
      <c r="I425" s="50" t="str">
        <f>ARRAY_CONSTRAIN(ARRAYFORMULA(SUM(IF([3]!Table13[ID]=B425,[3]!Table13[QTY]))), 1, 1)</f>
        <v>#ERROR!</v>
      </c>
      <c r="J425" s="50" t="str">
        <f>TABLEITEM!$H$3:$H$2749-TABLEITEM!$I$3:$I$2749</f>
        <v>#ERROR!</v>
      </c>
    </row>
    <row r="426" ht="15.75" customHeight="1">
      <c r="A426" s="45"/>
      <c r="B426" s="10" t="s">
        <v>3205</v>
      </c>
      <c r="C426" s="26"/>
      <c r="D426" s="10" t="s">
        <v>7667</v>
      </c>
      <c r="E426" s="10" t="s">
        <v>7439</v>
      </c>
      <c r="F426" s="48" t="s">
        <v>7173</v>
      </c>
      <c r="G426" s="49">
        <f t="array" ref="G426">MAX(IF(INSTOCK!$H$3:$H$6125=B426,INSTOCK!$K$3:$K$6125))</f>
        <v>8.4</v>
      </c>
      <c r="H426" s="50">
        <f t="array" ref="H426">SUM(IF(INSTOCK!$H$3:$H$6125=B426,INSTOCK!$I$3:$I$6125))</f>
        <v>239</v>
      </c>
      <c r="I426" s="50" t="str">
        <f>ARRAY_CONSTRAIN(ARRAYFORMULA(SUM(IF([3]!Table13[ID]=B426,[3]!Table13[QTY]))), 1, 1)</f>
        <v>#ERROR!</v>
      </c>
      <c r="J426" s="50" t="str">
        <f>TABLEITEM!$H$3:$H$2749-TABLEITEM!$I$3:$I$2749</f>
        <v>#ERROR!</v>
      </c>
    </row>
    <row r="427" ht="15.75" customHeight="1">
      <c r="A427" s="45"/>
      <c r="B427" s="10" t="s">
        <v>3204</v>
      </c>
      <c r="C427" s="26"/>
      <c r="D427" s="10" t="s">
        <v>7668</v>
      </c>
      <c r="E427" s="10" t="s">
        <v>7439</v>
      </c>
      <c r="F427" s="48" t="s">
        <v>7173</v>
      </c>
      <c r="G427" s="49">
        <f t="array" ref="G427">MAX(IF(INSTOCK!$H$3:$H$6125=B427,INSTOCK!$K$3:$K$6125))</f>
        <v>8.4</v>
      </c>
      <c r="H427" s="50">
        <f t="array" ref="H427">SUM(IF(INSTOCK!$H$3:$H$6125=B427,INSTOCK!$I$3:$I$6125))</f>
        <v>400</v>
      </c>
      <c r="I427" s="50" t="str">
        <f>ARRAY_CONSTRAIN(ARRAYFORMULA(SUM(IF([3]!Table13[ID]=B427,[3]!Table13[QTY]))), 1, 1)</f>
        <v>#ERROR!</v>
      </c>
      <c r="J427" s="50" t="str">
        <f>TABLEITEM!$H$3:$H$2749-TABLEITEM!$I$3:$I$2749</f>
        <v>#ERROR!</v>
      </c>
    </row>
    <row r="428" ht="15.75" customHeight="1">
      <c r="A428" s="45"/>
      <c r="B428" s="10" t="s">
        <v>2476</v>
      </c>
      <c r="C428" s="26"/>
      <c r="D428" s="10" t="s">
        <v>7669</v>
      </c>
      <c r="E428" s="10" t="s">
        <v>7439</v>
      </c>
      <c r="F428" s="48" t="s">
        <v>7173</v>
      </c>
      <c r="G428" s="49">
        <f t="array" ref="G428">MAX(IF(INSTOCK!$H$3:$H$6125=B428,INSTOCK!$K$3:$K$6125))</f>
        <v>8.4</v>
      </c>
      <c r="H428" s="50">
        <f t="array" ref="H428">SUM(IF(INSTOCK!$H$3:$H$6125=B428,INSTOCK!$I$3:$I$6125))</f>
        <v>156</v>
      </c>
      <c r="I428" s="50" t="str">
        <f>ARRAY_CONSTRAIN(ARRAYFORMULA(SUM(IF([3]!Table13[ID]=B428,[3]!Table13[QTY]))), 1, 1)</f>
        <v>#ERROR!</v>
      </c>
      <c r="J428" s="50" t="str">
        <f>TABLEITEM!$H$3:$H$2749-TABLEITEM!$I$3:$I$2749</f>
        <v>#ERROR!</v>
      </c>
    </row>
    <row r="429" ht="15.75" customHeight="1">
      <c r="A429" s="45"/>
      <c r="B429" s="10" t="s">
        <v>5715</v>
      </c>
      <c r="C429" s="26"/>
      <c r="D429" s="10" t="s">
        <v>7670</v>
      </c>
      <c r="E429" s="10" t="s">
        <v>7439</v>
      </c>
      <c r="F429" s="48" t="s">
        <v>7173</v>
      </c>
      <c r="G429" s="49">
        <f t="array" ref="G429">MAX(IF(INSTOCK!$H$3:$H$6125=B429,INSTOCK!$K$3:$K$6125))</f>
        <v>8.6</v>
      </c>
      <c r="H429" s="50">
        <f t="array" ref="H429">SUM(IF(INSTOCK!$H$3:$H$6125=B429,INSTOCK!$I$3:$I$6125))</f>
        <v>129</v>
      </c>
      <c r="I429" s="50" t="str">
        <f>ARRAY_CONSTRAIN(ARRAYFORMULA(SUM(IF([3]!Table13[ID]=B429,[3]!Table13[QTY]))), 1, 1)</f>
        <v>#ERROR!</v>
      </c>
      <c r="J429" s="50" t="str">
        <f>TABLEITEM!$H$3:$H$2749-TABLEITEM!$I$3:$I$2749</f>
        <v>#ERROR!</v>
      </c>
    </row>
    <row r="430" ht="15.75" customHeight="1">
      <c r="A430" s="45"/>
      <c r="B430" s="10" t="s">
        <v>5714</v>
      </c>
      <c r="C430" s="26"/>
      <c r="D430" s="10" t="s">
        <v>7671</v>
      </c>
      <c r="E430" s="10" t="s">
        <v>7439</v>
      </c>
      <c r="F430" s="48" t="s">
        <v>7173</v>
      </c>
      <c r="G430" s="49">
        <f t="array" ref="G430">MAX(IF(INSTOCK!$H$3:$H$6125=B430,INSTOCK!$K$3:$K$6125))</f>
        <v>8.6</v>
      </c>
      <c r="H430" s="50">
        <f t="array" ref="H430">SUM(IF(INSTOCK!$H$3:$H$6125=B430,INSTOCK!$I$3:$I$6125))</f>
        <v>100</v>
      </c>
      <c r="I430" s="50" t="str">
        <f>ARRAY_CONSTRAIN(ARRAYFORMULA(SUM(IF([3]!Table13[ID]=B430,[3]!Table13[QTY]))), 1, 1)</f>
        <v>#ERROR!</v>
      </c>
      <c r="J430" s="50" t="str">
        <f>TABLEITEM!$H$3:$H$2749-TABLEITEM!$I$3:$I$2749</f>
        <v>#ERROR!</v>
      </c>
    </row>
    <row r="431" ht="15.75" customHeight="1">
      <c r="A431" s="45"/>
      <c r="B431" s="10" t="s">
        <v>2473</v>
      </c>
      <c r="C431" s="26"/>
      <c r="D431" s="10" t="s">
        <v>7672</v>
      </c>
      <c r="E431" s="48"/>
      <c r="F431" s="48" t="s">
        <v>7173</v>
      </c>
      <c r="G431" s="49">
        <f t="array" ref="G431">MAX(IF(INSTOCK!$H$3:$H$6125=B431,INSTOCK!$K$3:$K$6125))</f>
        <v>8.4</v>
      </c>
      <c r="H431" s="50">
        <f t="array" ref="H431">SUM(IF(INSTOCK!$H$3:$H$6125=B431,INSTOCK!$I$3:$I$6125))</f>
        <v>225</v>
      </c>
      <c r="I431" s="50" t="str">
        <f>ARRAY_CONSTRAIN(ARRAYFORMULA(SUM(IF([3]!Table13[ID]=B431,[3]!Table13[QTY]))), 1, 1)</f>
        <v>#ERROR!</v>
      </c>
      <c r="J431" s="50" t="str">
        <f>TABLEITEM!$H$3:$H$2749-TABLEITEM!$I$3:$I$2749</f>
        <v>#ERROR!</v>
      </c>
    </row>
    <row r="432" ht="15.75" customHeight="1">
      <c r="A432" s="45"/>
      <c r="B432" s="10" t="s">
        <v>4853</v>
      </c>
      <c r="C432" s="26"/>
      <c r="D432" s="10" t="s">
        <v>7673</v>
      </c>
      <c r="E432" s="10" t="s">
        <v>7439</v>
      </c>
      <c r="F432" s="48" t="s">
        <v>7173</v>
      </c>
      <c r="G432" s="49">
        <f t="array" ref="G432">MAX(IF(INSTOCK!$H$3:$H$6125=B432,INSTOCK!$K$3:$K$6125))</f>
        <v>8.6</v>
      </c>
      <c r="H432" s="50">
        <f t="array" ref="H432">SUM(IF(INSTOCK!$H$3:$H$6125=B432,INSTOCK!$I$3:$I$6125))</f>
        <v>260</v>
      </c>
      <c r="I432" s="50" t="str">
        <f>ARRAY_CONSTRAIN(ARRAYFORMULA(SUM(IF([3]!Table13[ID]=B432,[3]!Table13[QTY]))), 1, 1)</f>
        <v>#ERROR!</v>
      </c>
      <c r="J432" s="50" t="str">
        <f>TABLEITEM!$H$3:$H$2749-TABLEITEM!$I$3:$I$2749</f>
        <v>#ERROR!</v>
      </c>
    </row>
    <row r="433" ht="15.75" customHeight="1">
      <c r="A433" s="45"/>
      <c r="B433" s="10" t="s">
        <v>2475</v>
      </c>
      <c r="C433" s="26"/>
      <c r="D433" s="10" t="s">
        <v>7674</v>
      </c>
      <c r="E433" s="48"/>
      <c r="F433" s="48" t="s">
        <v>7173</v>
      </c>
      <c r="G433" s="49">
        <f t="array" ref="G433">MAX(IF(INSTOCK!$H$3:$H$6125=B433,INSTOCK!$K$3:$K$6125))</f>
        <v>8.4</v>
      </c>
      <c r="H433" s="50">
        <f t="array" ref="H433">SUM(IF(INSTOCK!$H$3:$H$6125=B433,INSTOCK!$I$3:$I$6125))</f>
        <v>132</v>
      </c>
      <c r="I433" s="50" t="str">
        <f>ARRAY_CONSTRAIN(ARRAYFORMULA(SUM(IF([3]!Table13[ID]=B433,[3]!Table13[QTY]))), 1, 1)</f>
        <v>#ERROR!</v>
      </c>
      <c r="J433" s="50" t="str">
        <f>TABLEITEM!$H$3:$H$2749-TABLEITEM!$I$3:$I$2749</f>
        <v>#ERROR!</v>
      </c>
    </row>
    <row r="434" ht="15.75" customHeight="1">
      <c r="A434" s="45"/>
      <c r="B434" s="10" t="s">
        <v>3203</v>
      </c>
      <c r="C434" s="26"/>
      <c r="D434" s="10" t="s">
        <v>7675</v>
      </c>
      <c r="E434" s="10" t="s">
        <v>7439</v>
      </c>
      <c r="F434" s="48" t="s">
        <v>7173</v>
      </c>
      <c r="G434" s="49">
        <f t="array" ref="G434">MAX(IF(INSTOCK!$H$3:$H$6125=B434,INSTOCK!$K$3:$K$6125))</f>
        <v>8.4</v>
      </c>
      <c r="H434" s="50">
        <f t="array" ref="H434">SUM(IF(INSTOCK!$H$3:$H$6125=B434,INSTOCK!$I$3:$I$6125))</f>
        <v>1523</v>
      </c>
      <c r="I434" s="50" t="str">
        <f>ARRAY_CONSTRAIN(ARRAYFORMULA(SUM(IF([3]!Table13[ID]=B434,[3]!Table13[QTY]))), 1, 1)</f>
        <v>#ERROR!</v>
      </c>
      <c r="J434" s="50" t="str">
        <f>TABLEITEM!$H$3:$H$2749-TABLEITEM!$I$3:$I$2749</f>
        <v>#ERROR!</v>
      </c>
    </row>
    <row r="435" ht="15.75" customHeight="1">
      <c r="A435" s="45"/>
      <c r="B435" s="10" t="s">
        <v>2070</v>
      </c>
      <c r="C435" s="26"/>
      <c r="D435" s="10" t="s">
        <v>7676</v>
      </c>
      <c r="E435" s="48"/>
      <c r="F435" s="48" t="s">
        <v>7173</v>
      </c>
      <c r="G435" s="49">
        <f t="array" ref="G435">MAX(IF(INSTOCK!$H$3:$H$6125=B435,INSTOCK!$K$3:$K$6125))</f>
        <v>462.62</v>
      </c>
      <c r="H435" s="50">
        <f t="array" ref="H435">SUM(IF(INSTOCK!$H$3:$H$6125=B435,INSTOCK!$I$3:$I$6125))</f>
        <v>7</v>
      </c>
      <c r="I435" s="50" t="str">
        <f>ARRAY_CONSTRAIN(ARRAYFORMULA(SUM(IF([3]!Table13[ID]=B435,[3]!Table13[QTY]))), 1, 1)</f>
        <v>#ERROR!</v>
      </c>
      <c r="J435" s="50" t="str">
        <f>TABLEITEM!$H$3:$H$2749-TABLEITEM!$I$3:$I$2749</f>
        <v>#ERROR!</v>
      </c>
    </row>
    <row r="436" ht="15.75" customHeight="1">
      <c r="A436" s="45"/>
      <c r="B436" s="10" t="s">
        <v>2627</v>
      </c>
      <c r="C436" s="26"/>
      <c r="D436" s="10" t="s">
        <v>7677</v>
      </c>
      <c r="E436" s="48"/>
      <c r="F436" s="48" t="s">
        <v>7173</v>
      </c>
      <c r="G436" s="49">
        <f t="array" ref="G436">MAX(IF(INSTOCK!$H$3:$H$6125=B436,INSTOCK!$K$3:$K$6125))</f>
        <v>2.5</v>
      </c>
      <c r="H436" s="50">
        <f t="array" ref="H436">SUM(IF(INSTOCK!$H$3:$H$6125=B436,INSTOCK!$I$3:$I$6125))</f>
        <v>200</v>
      </c>
      <c r="I436" s="50" t="str">
        <f>ARRAY_CONSTRAIN(ARRAYFORMULA(SUM(IF([3]!Table13[ID]=B436,[3]!Table13[QTY]))), 1, 1)</f>
        <v>#ERROR!</v>
      </c>
      <c r="J436" s="50" t="str">
        <f>TABLEITEM!$H$3:$H$2749-TABLEITEM!$I$3:$I$2749</f>
        <v>#ERROR!</v>
      </c>
    </row>
    <row r="437" ht="15.75" customHeight="1">
      <c r="A437" s="45"/>
      <c r="B437" s="10" t="s">
        <v>2657</v>
      </c>
      <c r="C437" s="26"/>
      <c r="D437" s="10" t="s">
        <v>7678</v>
      </c>
      <c r="E437" s="48"/>
      <c r="F437" s="48" t="s">
        <v>7173</v>
      </c>
      <c r="G437" s="49">
        <f t="array" ref="G437">MAX(IF(INSTOCK!$H$3:$H$6125=B437,INSTOCK!$K$3:$K$6125))</f>
        <v>3</v>
      </c>
      <c r="H437" s="50">
        <f t="array" ref="H437">SUM(IF(INSTOCK!$H$3:$H$6125=B437,INSTOCK!$I$3:$I$6125))</f>
        <v>6000</v>
      </c>
      <c r="I437" s="50" t="str">
        <f>ARRAY_CONSTRAIN(ARRAYFORMULA(SUM(IF([3]!Table13[ID]=B437,[3]!Table13[QTY]))), 1, 1)</f>
        <v>#ERROR!</v>
      </c>
      <c r="J437" s="50" t="str">
        <f>TABLEITEM!$H$3:$H$2749-TABLEITEM!$I$3:$I$2749</f>
        <v>#ERROR!</v>
      </c>
    </row>
    <row r="438" ht="15.75" customHeight="1">
      <c r="A438" s="45"/>
      <c r="B438" s="10" t="s">
        <v>2488</v>
      </c>
      <c r="C438" s="26"/>
      <c r="D438" s="10" t="s">
        <v>7679</v>
      </c>
      <c r="E438" s="48"/>
      <c r="F438" s="48" t="s">
        <v>7173</v>
      </c>
      <c r="G438" s="49">
        <f t="array" ref="G438">MAX(IF(INSTOCK!$H$3:$H$6125=B438,INSTOCK!$K$3:$K$6125))</f>
        <v>40</v>
      </c>
      <c r="H438" s="50">
        <f t="array" ref="H438">SUM(IF(INSTOCK!$H$3:$H$6125=B438,INSTOCK!$I$3:$I$6125))</f>
        <v>25</v>
      </c>
      <c r="I438" s="50" t="str">
        <f>ARRAY_CONSTRAIN(ARRAYFORMULA(SUM(IF([3]!Table13[ID]=B438,[3]!Table13[QTY]))), 1, 1)</f>
        <v>#ERROR!</v>
      </c>
      <c r="J438" s="50" t="str">
        <f>TABLEITEM!$H$3:$H$2749-TABLEITEM!$I$3:$I$2749</f>
        <v>#ERROR!</v>
      </c>
    </row>
    <row r="439" ht="15.75" customHeight="1">
      <c r="A439" s="45"/>
      <c r="B439" s="10" t="s">
        <v>2072</v>
      </c>
      <c r="C439" s="26"/>
      <c r="D439" s="10" t="s">
        <v>7680</v>
      </c>
      <c r="E439" s="48"/>
      <c r="F439" s="48" t="s">
        <v>7173</v>
      </c>
      <c r="G439" s="49">
        <f t="array" ref="G439">MAX(IF(INSTOCK!$H$3:$H$6125=B439,INSTOCK!$K$3:$K$6125))</f>
        <v>275.7</v>
      </c>
      <c r="H439" s="50">
        <f t="array" ref="H439">SUM(IF(INSTOCK!$H$3:$H$6125=B439,INSTOCK!$I$3:$I$6125))</f>
        <v>12</v>
      </c>
      <c r="I439" s="50" t="str">
        <f>ARRAY_CONSTRAIN(ARRAYFORMULA(SUM(IF([3]!Table13[ID]=B439,[3]!Table13[QTY]))), 1, 1)</f>
        <v>#ERROR!</v>
      </c>
      <c r="J439" s="50" t="str">
        <f>TABLEITEM!$H$3:$H$2749-TABLEITEM!$I$3:$I$2749</f>
        <v>#ERROR!</v>
      </c>
    </row>
    <row r="440" ht="15.75" customHeight="1">
      <c r="A440" s="45"/>
      <c r="B440" s="10" t="s">
        <v>7681</v>
      </c>
      <c r="C440" s="26"/>
      <c r="D440" s="10" t="s">
        <v>7682</v>
      </c>
      <c r="E440" s="10" t="s">
        <v>2589</v>
      </c>
      <c r="F440" s="48" t="s">
        <v>7173</v>
      </c>
      <c r="G440" s="49">
        <f t="array" ref="G440">MAX(IF(INSTOCK!$H$3:$H$6125=B440,INSTOCK!$K$3:$K$6125))</f>
        <v>0</v>
      </c>
      <c r="H440" s="50">
        <f t="array" ref="H440">SUM(IF(INSTOCK!$H$3:$H$6125=B440,INSTOCK!$I$3:$I$6125))</f>
        <v>0</v>
      </c>
      <c r="I440" s="50" t="str">
        <f>ARRAY_CONSTRAIN(ARRAYFORMULA(SUM(IF([3]!Table13[ID]=B440,[3]!Table13[QTY]))), 1, 1)</f>
        <v>#ERROR!</v>
      </c>
      <c r="J440" s="50" t="str">
        <f>TABLEITEM!$H$3:$H$2749-TABLEITEM!$I$3:$I$2749</f>
        <v>#ERROR!</v>
      </c>
    </row>
    <row r="441" ht="15.75" customHeight="1">
      <c r="A441" s="45"/>
      <c r="B441" s="10" t="s">
        <v>4463</v>
      </c>
      <c r="C441" s="26"/>
      <c r="D441" s="10" t="s">
        <v>7683</v>
      </c>
      <c r="E441" s="10" t="s">
        <v>2589</v>
      </c>
      <c r="F441" s="48" t="s">
        <v>7173</v>
      </c>
      <c r="G441" s="49">
        <f t="array" ref="G441">MAX(IF(INSTOCK!$H$3:$H$6125=B441,INSTOCK!$K$3:$K$6125))</f>
        <v>16</v>
      </c>
      <c r="H441" s="50">
        <f t="array" ref="H441">SUM(IF(INSTOCK!$H$3:$H$6125=B441,INSTOCK!$I$3:$I$6125))</f>
        <v>500</v>
      </c>
      <c r="I441" s="50" t="str">
        <f>ARRAY_CONSTRAIN(ARRAYFORMULA(SUM(IF([3]!Table13[ID]=B441,[3]!Table13[QTY]))), 1, 1)</f>
        <v>#ERROR!</v>
      </c>
      <c r="J441" s="50" t="str">
        <f>TABLEITEM!$H$3:$H$2749-TABLEITEM!$I$3:$I$2749</f>
        <v>#ERROR!</v>
      </c>
    </row>
    <row r="442" ht="15.75" customHeight="1">
      <c r="A442" s="45"/>
      <c r="B442" s="10" t="s">
        <v>7684</v>
      </c>
      <c r="C442" s="26"/>
      <c r="D442" s="10" t="s">
        <v>7685</v>
      </c>
      <c r="E442" s="10" t="s">
        <v>2589</v>
      </c>
      <c r="F442" s="48" t="s">
        <v>7173</v>
      </c>
      <c r="G442" s="49">
        <f t="array" ref="G442">MAX(IF(INSTOCK!$H$3:$H$6125=B442,INSTOCK!$K$3:$K$6125))</f>
        <v>0</v>
      </c>
      <c r="H442" s="50">
        <f t="array" ref="H442">SUM(IF(INSTOCK!$H$3:$H$6125=B442,INSTOCK!$I$3:$I$6125))</f>
        <v>0</v>
      </c>
      <c r="I442" s="50" t="str">
        <f>ARRAY_CONSTRAIN(ARRAYFORMULA(SUM(IF([3]!Table13[ID]=B442,[3]!Table13[QTY]))), 1, 1)</f>
        <v>#ERROR!</v>
      </c>
      <c r="J442" s="50" t="str">
        <f>TABLEITEM!$H$3:$H$2749-TABLEITEM!$I$3:$I$2749</f>
        <v>#ERROR!</v>
      </c>
    </row>
    <row r="443" ht="15.75" customHeight="1">
      <c r="A443" s="45"/>
      <c r="B443" s="10" t="s">
        <v>7686</v>
      </c>
      <c r="C443" s="26"/>
      <c r="D443" s="10" t="s">
        <v>7687</v>
      </c>
      <c r="E443" s="10" t="s">
        <v>2589</v>
      </c>
      <c r="F443" s="48" t="s">
        <v>7173</v>
      </c>
      <c r="G443" s="49">
        <f t="array" ref="G443">MAX(IF(INSTOCK!$H$3:$H$6125=B443,INSTOCK!$K$3:$K$6125))</f>
        <v>0</v>
      </c>
      <c r="H443" s="50">
        <f t="array" ref="H443">SUM(IF(INSTOCK!$H$3:$H$6125=B443,INSTOCK!$I$3:$I$6125))</f>
        <v>0</v>
      </c>
      <c r="I443" s="50" t="str">
        <f>ARRAY_CONSTRAIN(ARRAYFORMULA(SUM(IF([3]!Table13[ID]=B443,[3]!Table13[QTY]))), 1, 1)</f>
        <v>#ERROR!</v>
      </c>
      <c r="J443" s="50" t="str">
        <f>TABLEITEM!$H$3:$H$2749-TABLEITEM!$I$3:$I$2749</f>
        <v>#ERROR!</v>
      </c>
    </row>
    <row r="444" ht="15.75" customHeight="1">
      <c r="A444" s="45"/>
      <c r="B444" s="10" t="s">
        <v>7688</v>
      </c>
      <c r="C444" s="26"/>
      <c r="D444" s="10" t="s">
        <v>7689</v>
      </c>
      <c r="E444" s="10" t="s">
        <v>2589</v>
      </c>
      <c r="F444" s="48" t="s">
        <v>7173</v>
      </c>
      <c r="G444" s="49">
        <f t="array" ref="G444">MAX(IF(INSTOCK!$H$3:$H$6125=B444,INSTOCK!$K$3:$K$6125))</f>
        <v>0</v>
      </c>
      <c r="H444" s="50">
        <f t="array" ref="H444">SUM(IF(INSTOCK!$H$3:$H$6125=B444,INSTOCK!$I$3:$I$6125))</f>
        <v>0</v>
      </c>
      <c r="I444" s="50" t="str">
        <f>ARRAY_CONSTRAIN(ARRAYFORMULA(SUM(IF([3]!Table13[ID]=B444,[3]!Table13[QTY]))), 1, 1)</f>
        <v>#ERROR!</v>
      </c>
      <c r="J444" s="50" t="str">
        <f>TABLEITEM!$H$3:$H$2749-TABLEITEM!$I$3:$I$2749</f>
        <v>#ERROR!</v>
      </c>
    </row>
    <row r="445" ht="15.75" customHeight="1">
      <c r="A445" s="45"/>
      <c r="B445" s="10" t="s">
        <v>7690</v>
      </c>
      <c r="C445" s="26"/>
      <c r="D445" s="10" t="s">
        <v>7691</v>
      </c>
      <c r="E445" s="10" t="s">
        <v>2589</v>
      </c>
      <c r="F445" s="48" t="s">
        <v>7173</v>
      </c>
      <c r="G445" s="49">
        <f t="array" ref="G445">MAX(IF(INSTOCK!$H$3:$H$6125=B445,INSTOCK!$K$3:$K$6125))</f>
        <v>0</v>
      </c>
      <c r="H445" s="50">
        <f t="array" ref="H445">SUM(IF(INSTOCK!$H$3:$H$6125=B445,INSTOCK!$I$3:$I$6125))</f>
        <v>0</v>
      </c>
      <c r="I445" s="50" t="str">
        <f>ARRAY_CONSTRAIN(ARRAYFORMULA(SUM(IF([3]!Table13[ID]=B445,[3]!Table13[QTY]))), 1, 1)</f>
        <v>#ERROR!</v>
      </c>
      <c r="J445" s="50" t="str">
        <f>TABLEITEM!$H$3:$H$2749-TABLEITEM!$I$3:$I$2749</f>
        <v>#ERROR!</v>
      </c>
    </row>
    <row r="446" ht="15.75" customHeight="1">
      <c r="A446" s="45"/>
      <c r="B446" s="10" t="s">
        <v>7692</v>
      </c>
      <c r="C446" s="26"/>
      <c r="D446" s="10" t="s">
        <v>7693</v>
      </c>
      <c r="E446" s="10" t="s">
        <v>2589</v>
      </c>
      <c r="F446" s="48" t="s">
        <v>7173</v>
      </c>
      <c r="G446" s="49">
        <f t="array" ref="G446">MAX(IF(INSTOCK!$H$3:$H$6125=B446,INSTOCK!$K$3:$K$6125))</f>
        <v>0</v>
      </c>
      <c r="H446" s="50">
        <f t="array" ref="H446">SUM(IF(INSTOCK!$H$3:$H$6125=B446,INSTOCK!$I$3:$I$6125))</f>
        <v>0</v>
      </c>
      <c r="I446" s="50" t="str">
        <f>ARRAY_CONSTRAIN(ARRAYFORMULA(SUM(IF([3]!Table13[ID]=B446,[3]!Table13[QTY]))), 1, 1)</f>
        <v>#ERROR!</v>
      </c>
      <c r="J446" s="50" t="str">
        <f>TABLEITEM!$H$3:$H$2749-TABLEITEM!$I$3:$I$2749</f>
        <v>#ERROR!</v>
      </c>
    </row>
    <row r="447" ht="15.75" customHeight="1">
      <c r="A447" s="45"/>
      <c r="B447" s="10" t="s">
        <v>7694</v>
      </c>
      <c r="C447" s="26"/>
      <c r="D447" s="10" t="s">
        <v>7695</v>
      </c>
      <c r="E447" s="10" t="s">
        <v>2589</v>
      </c>
      <c r="F447" s="48" t="s">
        <v>7173</v>
      </c>
      <c r="G447" s="49">
        <f t="array" ref="G447">MAX(IF(INSTOCK!$H$3:$H$6125=B447,INSTOCK!$K$3:$K$6125))</f>
        <v>0</v>
      </c>
      <c r="H447" s="50">
        <f t="array" ref="H447">SUM(IF(INSTOCK!$H$3:$H$6125=B447,INSTOCK!$I$3:$I$6125))</f>
        <v>0</v>
      </c>
      <c r="I447" s="50" t="str">
        <f>ARRAY_CONSTRAIN(ARRAYFORMULA(SUM(IF([3]!Table13[ID]=B447,[3]!Table13[QTY]))), 1, 1)</f>
        <v>#ERROR!</v>
      </c>
      <c r="J447" s="50" t="str">
        <f>TABLEITEM!$H$3:$H$2749-TABLEITEM!$I$3:$I$2749</f>
        <v>#ERROR!</v>
      </c>
    </row>
    <row r="448" ht="15.75" customHeight="1">
      <c r="A448" s="45"/>
      <c r="B448" s="10" t="s">
        <v>7696</v>
      </c>
      <c r="C448" s="26"/>
      <c r="D448" s="10" t="s">
        <v>7697</v>
      </c>
      <c r="E448" s="10" t="s">
        <v>2589</v>
      </c>
      <c r="F448" s="48" t="s">
        <v>7173</v>
      </c>
      <c r="G448" s="49">
        <f t="array" ref="G448">MAX(IF(INSTOCK!$H$3:$H$6125=B448,INSTOCK!$K$3:$K$6125))</f>
        <v>0</v>
      </c>
      <c r="H448" s="50">
        <f t="array" ref="H448">SUM(IF(INSTOCK!$H$3:$H$6125=B448,INSTOCK!$I$3:$I$6125))</f>
        <v>0</v>
      </c>
      <c r="I448" s="50" t="str">
        <f>ARRAY_CONSTRAIN(ARRAYFORMULA(SUM(IF([3]!Table13[ID]=B448,[3]!Table13[QTY]))), 1, 1)</f>
        <v>#ERROR!</v>
      </c>
      <c r="J448" s="50" t="str">
        <f>TABLEITEM!$H$3:$H$2749-TABLEITEM!$I$3:$I$2749</f>
        <v>#ERROR!</v>
      </c>
    </row>
    <row r="449" ht="15.75" customHeight="1">
      <c r="A449" s="45"/>
      <c r="B449" s="10" t="s">
        <v>7698</v>
      </c>
      <c r="C449" s="26"/>
      <c r="D449" s="10" t="s">
        <v>7699</v>
      </c>
      <c r="E449" s="10" t="s">
        <v>2589</v>
      </c>
      <c r="F449" s="48" t="s">
        <v>7173</v>
      </c>
      <c r="G449" s="49">
        <f t="array" ref="G449">MAX(IF(INSTOCK!$H$3:$H$6125=B449,INSTOCK!$K$3:$K$6125))</f>
        <v>3.14</v>
      </c>
      <c r="H449" s="50">
        <f t="array" ref="H449">SUM(IF(INSTOCK!$H$3:$H$6125=B449,INSTOCK!$I$3:$I$6125))</f>
        <v>1000</v>
      </c>
      <c r="I449" s="50" t="str">
        <f>ARRAY_CONSTRAIN(ARRAYFORMULA(SUM(IF([3]!Table13[ID]=B449,[3]!Table13[QTY]))), 1, 1)</f>
        <v>#ERROR!</v>
      </c>
      <c r="J449" s="50" t="str">
        <f>TABLEITEM!$H$3:$H$2749-TABLEITEM!$I$3:$I$2749</f>
        <v>#ERROR!</v>
      </c>
    </row>
    <row r="450" ht="15.75" customHeight="1">
      <c r="A450" s="45"/>
      <c r="B450" s="10" t="s">
        <v>2694</v>
      </c>
      <c r="C450" s="26"/>
      <c r="D450" s="10" t="s">
        <v>7700</v>
      </c>
      <c r="E450" s="48" t="s">
        <v>7701</v>
      </c>
      <c r="F450" s="48" t="s">
        <v>7173</v>
      </c>
      <c r="G450" s="49">
        <f t="array" ref="G450">MAX(IF(INSTOCK!$H$3:$H$6125=B450,INSTOCK!$K$3:$K$6125))</f>
        <v>0.65</v>
      </c>
      <c r="H450" s="50">
        <f t="array" ref="H450">SUM(IF(INSTOCK!$H$3:$H$6125=B450,INSTOCK!$I$3:$I$6125))</f>
        <v>10000</v>
      </c>
      <c r="I450" s="50" t="str">
        <f>ARRAY_CONSTRAIN(ARRAYFORMULA(SUM(IF([3]!Table13[ID]=B450,[3]!Table13[QTY]))), 1, 1)</f>
        <v>#ERROR!</v>
      </c>
      <c r="J450" s="50" t="str">
        <f>TABLEITEM!$H$3:$H$2749-TABLEITEM!$I$3:$I$2749</f>
        <v>#ERROR!</v>
      </c>
    </row>
    <row r="451" ht="15.75" customHeight="1">
      <c r="A451" s="45"/>
      <c r="B451" s="10" t="s">
        <v>2769</v>
      </c>
      <c r="C451" s="26"/>
      <c r="D451" s="10" t="s">
        <v>7702</v>
      </c>
      <c r="E451" s="48" t="s">
        <v>7703</v>
      </c>
      <c r="F451" s="48" t="s">
        <v>7173</v>
      </c>
      <c r="G451" s="49">
        <f t="array" ref="G451">MAX(IF(INSTOCK!$H$3:$H$6125=B451,INSTOCK!$K$3:$K$6125))</f>
        <v>3.65</v>
      </c>
      <c r="H451" s="50">
        <f t="array" ref="H451">SUM(IF(INSTOCK!$H$3:$H$6125=B451,INSTOCK!$I$3:$I$6125))</f>
        <v>10000</v>
      </c>
      <c r="I451" s="50" t="str">
        <f>ARRAY_CONSTRAIN(ARRAYFORMULA(SUM(IF([3]!Table13[ID]=B451,[3]!Table13[QTY]))), 1, 1)</f>
        <v>#ERROR!</v>
      </c>
      <c r="J451" s="50" t="str">
        <f>TABLEITEM!$H$3:$H$2749-TABLEITEM!$I$3:$I$2749</f>
        <v>#ERROR!</v>
      </c>
    </row>
    <row r="452" ht="15.75" customHeight="1">
      <c r="A452" s="45"/>
      <c r="B452" s="10" t="s">
        <v>2413</v>
      </c>
      <c r="C452" s="26"/>
      <c r="D452" s="10" t="s">
        <v>7704</v>
      </c>
      <c r="E452" s="10" t="s">
        <v>2589</v>
      </c>
      <c r="F452" s="48" t="s">
        <v>7173</v>
      </c>
      <c r="G452" s="49">
        <f t="array" ref="G452">MAX(IF(INSTOCK!$H$3:$H$6125=B452,INSTOCK!$K$3:$K$6125))</f>
        <v>6.5</v>
      </c>
      <c r="H452" s="50">
        <f t="array" ref="H452">SUM(IF(INSTOCK!$H$3:$H$6125=B452,INSTOCK!$I$3:$I$6125))</f>
        <v>2000</v>
      </c>
      <c r="I452" s="50" t="str">
        <f>ARRAY_CONSTRAIN(ARRAYFORMULA(SUM(IF([3]!Table13[ID]=B452,[3]!Table13[QTY]))), 1, 1)</f>
        <v>#ERROR!</v>
      </c>
      <c r="J452" s="50" t="str">
        <f>TABLEITEM!$H$3:$H$2749-TABLEITEM!$I$3:$I$2749</f>
        <v>#ERROR!</v>
      </c>
    </row>
    <row r="453" ht="15.75" customHeight="1">
      <c r="A453" s="45"/>
      <c r="B453" s="10" t="s">
        <v>3051</v>
      </c>
      <c r="C453" s="26"/>
      <c r="D453" s="10" t="s">
        <v>7705</v>
      </c>
      <c r="E453" s="48" t="s">
        <v>7654</v>
      </c>
      <c r="F453" s="48" t="s">
        <v>7173</v>
      </c>
      <c r="G453" s="49">
        <f t="array" ref="G453">MAX(IF(INSTOCK!$H$3:$H$6125=B453,INSTOCK!$K$3:$K$6125))</f>
        <v>65</v>
      </c>
      <c r="H453" s="50">
        <f t="array" ref="H453">SUM(IF(INSTOCK!$H$3:$H$6125=B453,INSTOCK!$I$3:$I$6125))</f>
        <v>150</v>
      </c>
      <c r="I453" s="50" t="str">
        <f>ARRAY_CONSTRAIN(ARRAYFORMULA(SUM(IF([3]!Table13[ID]=B453,[3]!Table13[QTY]))), 1, 1)</f>
        <v>#ERROR!</v>
      </c>
      <c r="J453" s="50" t="str">
        <f>TABLEITEM!$H$3:$H$2749-TABLEITEM!$I$3:$I$2749</f>
        <v>#ERROR!</v>
      </c>
    </row>
    <row r="454" ht="15.75" customHeight="1">
      <c r="A454" s="45"/>
      <c r="B454" s="10" t="s">
        <v>3039</v>
      </c>
      <c r="C454" s="26"/>
      <c r="D454" s="10" t="s">
        <v>7706</v>
      </c>
      <c r="E454" s="48"/>
      <c r="F454" s="48" t="s">
        <v>7173</v>
      </c>
      <c r="G454" s="49">
        <f t="array" ref="G454">MAX(IF(INSTOCK!$H$3:$H$6125=B454,INSTOCK!$K$3:$K$6125))</f>
        <v>212</v>
      </c>
      <c r="H454" s="50">
        <f t="array" ref="H454">SUM(IF(INSTOCK!$H$3:$H$6125=B454,INSTOCK!$I$3:$I$6125))</f>
        <v>2</v>
      </c>
      <c r="I454" s="50" t="str">
        <f>ARRAY_CONSTRAIN(ARRAYFORMULA(SUM(IF([3]!Table13[ID]=B454,[3]!Table13[QTY]))), 1, 1)</f>
        <v>#ERROR!</v>
      </c>
      <c r="J454" s="50" t="str">
        <f>TABLEITEM!$H$3:$H$2749-TABLEITEM!$I$3:$I$2749</f>
        <v>#ERROR!</v>
      </c>
    </row>
    <row r="455" ht="15.75" customHeight="1">
      <c r="A455" s="45"/>
      <c r="B455" s="10" t="s">
        <v>4428</v>
      </c>
      <c r="C455" s="26"/>
      <c r="D455" s="10" t="s">
        <v>7707</v>
      </c>
      <c r="E455" s="10" t="s">
        <v>7654</v>
      </c>
      <c r="F455" s="48" t="s">
        <v>7173</v>
      </c>
      <c r="G455" s="49">
        <f t="array" ref="G455">MAX(IF(INSTOCK!$H$3:$H$6125=B455,INSTOCK!$K$3:$K$6125))</f>
        <v>5</v>
      </c>
      <c r="H455" s="50">
        <f t="array" ref="H455">SUM(IF(INSTOCK!$H$3:$H$6125=B455,INSTOCK!$I$3:$I$6125))</f>
        <v>522</v>
      </c>
      <c r="I455" s="50" t="str">
        <f>ARRAY_CONSTRAIN(ARRAYFORMULA(SUM(IF([3]!Table13[ID]=B455,[3]!Table13[QTY]))), 1, 1)</f>
        <v>#ERROR!</v>
      </c>
      <c r="J455" s="50" t="str">
        <f>TABLEITEM!$H$3:$H$2749-TABLEITEM!$I$3:$I$2749</f>
        <v>#ERROR!</v>
      </c>
    </row>
    <row r="456" ht="15.75" customHeight="1">
      <c r="A456" s="45"/>
      <c r="B456" s="10" t="s">
        <v>7708</v>
      </c>
      <c r="C456" s="26"/>
      <c r="D456" s="10" t="s">
        <v>7709</v>
      </c>
      <c r="E456" s="10"/>
      <c r="F456" s="48" t="s">
        <v>7173</v>
      </c>
      <c r="G456" s="49">
        <f t="array" ref="G456">MAX(IF(INSTOCK!$H$3:$H$6125=B456,INSTOCK!$K$3:$K$6125))</f>
        <v>0</v>
      </c>
      <c r="H456" s="50">
        <f t="array" ref="H456">SUM(IF(INSTOCK!$H$3:$H$6125=B456,INSTOCK!$I$3:$I$6125))</f>
        <v>0</v>
      </c>
      <c r="I456" s="50" t="str">
        <f>ARRAY_CONSTRAIN(ARRAYFORMULA(SUM(IF([3]!Table13[ID]=B456,[3]!Table13[QTY]))), 1, 1)</f>
        <v>#ERROR!</v>
      </c>
      <c r="J456" s="50" t="str">
        <f>TABLEITEM!$H$3:$H$2749-TABLEITEM!$I$3:$I$2749</f>
        <v>#ERROR!</v>
      </c>
    </row>
    <row r="457" ht="15.75" customHeight="1">
      <c r="A457" s="45"/>
      <c r="B457" s="10" t="s">
        <v>7710</v>
      </c>
      <c r="C457" s="26"/>
      <c r="D457" s="10" t="s">
        <v>7711</v>
      </c>
      <c r="E457" s="10"/>
      <c r="F457" s="48" t="s">
        <v>7173</v>
      </c>
      <c r="G457" s="49">
        <f t="array" ref="G457">MAX(IF(INSTOCK!$H$3:$H$6125=B457,INSTOCK!$K$3:$K$6125))</f>
        <v>17.5</v>
      </c>
      <c r="H457" s="50">
        <f t="array" ref="H457">SUM(IF(INSTOCK!$H$3:$H$6125=B457,INSTOCK!$I$3:$I$6125))</f>
        <v>512</v>
      </c>
      <c r="I457" s="50" t="str">
        <f>ARRAY_CONSTRAIN(ARRAYFORMULA(SUM(IF([3]!Table13[ID]=B457,[3]!Table13[QTY]))), 1, 1)</f>
        <v>#ERROR!</v>
      </c>
      <c r="J457" s="50" t="str">
        <f>TABLEITEM!$H$3:$H$2749-TABLEITEM!$I$3:$I$2749</f>
        <v>#ERROR!</v>
      </c>
    </row>
    <row r="458" ht="15.75" customHeight="1">
      <c r="A458" s="45"/>
      <c r="B458" s="10" t="s">
        <v>7712</v>
      </c>
      <c r="C458" s="26"/>
      <c r="D458" s="10" t="s">
        <v>7713</v>
      </c>
      <c r="E458" s="10" t="s">
        <v>7654</v>
      </c>
      <c r="F458" s="48" t="s">
        <v>7173</v>
      </c>
      <c r="G458" s="49">
        <f t="array" ref="G458">MAX(IF(INSTOCK!$H$3:$H$6125=B458,INSTOCK!$K$3:$K$6125))</f>
        <v>60</v>
      </c>
      <c r="H458" s="50">
        <f t="array" ref="H458">SUM(IF(INSTOCK!$H$3:$H$6125=B458,INSTOCK!$I$3:$I$6125))</f>
        <v>100</v>
      </c>
      <c r="I458" s="50" t="str">
        <f>ARRAY_CONSTRAIN(ARRAYFORMULA(SUM(IF([3]!Table13[ID]=B458,[3]!Table13[QTY]))), 1, 1)</f>
        <v>#ERROR!</v>
      </c>
      <c r="J458" s="50" t="str">
        <f>TABLEITEM!$H$3:$H$2749-TABLEITEM!$I$3:$I$2749</f>
        <v>#ERROR!</v>
      </c>
    </row>
    <row r="459" ht="15.75" customHeight="1">
      <c r="A459" s="45"/>
      <c r="B459" s="10" t="s">
        <v>7714</v>
      </c>
      <c r="C459" s="26"/>
      <c r="D459" s="10" t="s">
        <v>7715</v>
      </c>
      <c r="E459" s="10" t="s">
        <v>7654</v>
      </c>
      <c r="F459" s="48" t="s">
        <v>7173</v>
      </c>
      <c r="G459" s="49">
        <f t="array" ref="G459">MAX(IF(INSTOCK!$H$3:$H$6125=B459,INSTOCK!$K$3:$K$6125))</f>
        <v>0</v>
      </c>
      <c r="H459" s="50">
        <f t="array" ref="H459">SUM(IF(INSTOCK!$H$3:$H$6125=B459,INSTOCK!$I$3:$I$6125))</f>
        <v>0</v>
      </c>
      <c r="I459" s="50" t="str">
        <f>ARRAY_CONSTRAIN(ARRAYFORMULA(SUM(IF([3]!Table13[ID]=B459,[3]!Table13[QTY]))), 1, 1)</f>
        <v>#ERROR!</v>
      </c>
      <c r="J459" s="50" t="str">
        <f>TABLEITEM!$H$3:$H$2749-TABLEITEM!$I$3:$I$2749</f>
        <v>#ERROR!</v>
      </c>
    </row>
    <row r="460" ht="15.75" customHeight="1">
      <c r="A460" s="45"/>
      <c r="B460" s="10" t="s">
        <v>7716</v>
      </c>
      <c r="C460" s="26"/>
      <c r="D460" s="10" t="s">
        <v>7717</v>
      </c>
      <c r="E460" s="10"/>
      <c r="F460" s="48" t="s">
        <v>7173</v>
      </c>
      <c r="G460" s="49">
        <f t="array" ref="G460">MAX(IF(INSTOCK!$H$3:$H$6125=B460,INSTOCK!$K$3:$K$6125))</f>
        <v>0</v>
      </c>
      <c r="H460" s="50">
        <f t="array" ref="H460">SUM(IF(INSTOCK!$H$3:$H$6125=B460,INSTOCK!$I$3:$I$6125))</f>
        <v>0</v>
      </c>
      <c r="I460" s="50" t="str">
        <f>ARRAY_CONSTRAIN(ARRAYFORMULA(SUM(IF([3]!Table13[ID]=B460,[3]!Table13[QTY]))), 1, 1)</f>
        <v>#ERROR!</v>
      </c>
      <c r="J460" s="50" t="str">
        <f>TABLEITEM!$H$3:$H$2749-TABLEITEM!$I$3:$I$2749</f>
        <v>#ERROR!</v>
      </c>
    </row>
    <row r="461" ht="15.75" customHeight="1">
      <c r="A461" s="45"/>
      <c r="B461" s="10" t="s">
        <v>7718</v>
      </c>
      <c r="C461" s="26"/>
      <c r="D461" s="10" t="s">
        <v>7719</v>
      </c>
      <c r="E461" s="10" t="s">
        <v>7235</v>
      </c>
      <c r="F461" s="48" t="s">
        <v>7173</v>
      </c>
      <c r="G461" s="49">
        <f t="array" ref="G461">MAX(IF(INSTOCK!$H$3:$H$6125=B461,INSTOCK!$K$3:$K$6125))</f>
        <v>0</v>
      </c>
      <c r="H461" s="50">
        <f t="array" ref="H461">SUM(IF(INSTOCK!$H$3:$H$6125=B461,INSTOCK!$I$3:$I$6125))</f>
        <v>0</v>
      </c>
      <c r="I461" s="50" t="str">
        <f>ARRAY_CONSTRAIN(ARRAYFORMULA(SUM(IF([3]!Table13[ID]=B461,[3]!Table13[QTY]))), 1, 1)</f>
        <v>#ERROR!</v>
      </c>
      <c r="J461" s="50" t="str">
        <f>TABLEITEM!$H$3:$H$2749-TABLEITEM!$I$3:$I$2749</f>
        <v>#ERROR!</v>
      </c>
    </row>
    <row r="462" ht="15.75" customHeight="1">
      <c r="A462" s="45"/>
      <c r="B462" s="10" t="s">
        <v>7720</v>
      </c>
      <c r="C462" s="26"/>
      <c r="D462" s="10" t="s">
        <v>7721</v>
      </c>
      <c r="E462" s="10" t="s">
        <v>7235</v>
      </c>
      <c r="F462" s="48" t="s">
        <v>7173</v>
      </c>
      <c r="G462" s="49">
        <f t="array" ref="G462">MAX(IF(INSTOCK!$H$3:$H$6125=B462,INSTOCK!$K$3:$K$6125))</f>
        <v>11</v>
      </c>
      <c r="H462" s="50">
        <f t="array" ref="H462">SUM(IF(INSTOCK!$H$3:$H$6125=B462,INSTOCK!$I$3:$I$6125))</f>
        <v>573</v>
      </c>
      <c r="I462" s="50" t="str">
        <f>ARRAY_CONSTRAIN(ARRAYFORMULA(SUM(IF([3]!Table13[ID]=B462,[3]!Table13[QTY]))), 1, 1)</f>
        <v>#ERROR!</v>
      </c>
      <c r="J462" s="50" t="str">
        <f>TABLEITEM!$H$3:$H$2749-TABLEITEM!$I$3:$I$2749</f>
        <v>#ERROR!</v>
      </c>
    </row>
    <row r="463" ht="15.75" customHeight="1">
      <c r="A463" s="45"/>
      <c r="B463" s="10" t="s">
        <v>7722</v>
      </c>
      <c r="C463" s="26"/>
      <c r="D463" s="10" t="s">
        <v>7723</v>
      </c>
      <c r="E463" s="10" t="s">
        <v>7654</v>
      </c>
      <c r="F463" s="48" t="s">
        <v>7173</v>
      </c>
      <c r="G463" s="49">
        <f t="array" ref="G463">MAX(IF(INSTOCK!$H$3:$H$6125=B463,INSTOCK!$K$3:$K$6125))</f>
        <v>0</v>
      </c>
      <c r="H463" s="50">
        <f t="array" ref="H463">SUM(IF(INSTOCK!$H$3:$H$6125=B463,INSTOCK!$I$3:$I$6125))</f>
        <v>0</v>
      </c>
      <c r="I463" s="50" t="str">
        <f>ARRAY_CONSTRAIN(ARRAYFORMULA(SUM(IF([3]!Table13[ID]=B463,[3]!Table13[QTY]))), 1, 1)</f>
        <v>#ERROR!</v>
      </c>
      <c r="J463" s="50" t="str">
        <f>TABLEITEM!$H$3:$H$2749-TABLEITEM!$I$3:$I$2749</f>
        <v>#ERROR!</v>
      </c>
    </row>
    <row r="464" ht="15.75" customHeight="1">
      <c r="A464" s="45"/>
      <c r="B464" s="10" t="s">
        <v>6452</v>
      </c>
      <c r="C464" s="26"/>
      <c r="D464" s="10" t="s">
        <v>7724</v>
      </c>
      <c r="E464" s="10" t="s">
        <v>7235</v>
      </c>
      <c r="F464" s="48" t="s">
        <v>7173</v>
      </c>
      <c r="G464" s="49">
        <f t="array" ref="G464">MAX(IF(INSTOCK!$H$3:$H$6125=B464,INSTOCK!$K$3:$K$6125))</f>
        <v>12.5</v>
      </c>
      <c r="H464" s="50">
        <f t="array" ref="H464">SUM(IF(INSTOCK!$H$3:$H$6125=B464,INSTOCK!$I$3:$I$6125))</f>
        <v>527</v>
      </c>
      <c r="I464" s="50" t="str">
        <f>ARRAY_CONSTRAIN(ARRAYFORMULA(SUM(IF([3]!Table13[ID]=B464,[3]!Table13[QTY]))), 1, 1)</f>
        <v>#ERROR!</v>
      </c>
      <c r="J464" s="50" t="str">
        <f>TABLEITEM!$H$3:$H$2749-TABLEITEM!$I$3:$I$2749</f>
        <v>#ERROR!</v>
      </c>
    </row>
    <row r="465" ht="15.75" customHeight="1">
      <c r="A465" s="45"/>
      <c r="B465" s="10" t="s">
        <v>7725</v>
      </c>
      <c r="C465" s="26"/>
      <c r="D465" s="10" t="s">
        <v>7726</v>
      </c>
      <c r="E465" s="10"/>
      <c r="F465" s="48" t="s">
        <v>7173</v>
      </c>
      <c r="G465" s="49">
        <f t="array" ref="G465">MAX(IF(INSTOCK!$H$3:$H$6125=B465,INSTOCK!$K$3:$K$6125))</f>
        <v>0</v>
      </c>
      <c r="H465" s="50">
        <f t="array" ref="H465">SUM(IF(INSTOCK!$H$3:$H$6125=B465,INSTOCK!$I$3:$I$6125))</f>
        <v>0</v>
      </c>
      <c r="I465" s="50" t="str">
        <f>ARRAY_CONSTRAIN(ARRAYFORMULA(SUM(IF([3]!Table13[ID]=B465,[3]!Table13[QTY]))), 1, 1)</f>
        <v>#ERROR!</v>
      </c>
      <c r="J465" s="50" t="str">
        <f>TABLEITEM!$H$3:$H$2749-TABLEITEM!$I$3:$I$2749</f>
        <v>#ERROR!</v>
      </c>
    </row>
    <row r="466" ht="15.75" customHeight="1">
      <c r="A466" s="45"/>
      <c r="B466" s="10" t="s">
        <v>7727</v>
      </c>
      <c r="C466" s="26"/>
      <c r="D466" s="10" t="s">
        <v>7728</v>
      </c>
      <c r="E466" s="10" t="s">
        <v>2589</v>
      </c>
      <c r="F466" s="48" t="s">
        <v>7173</v>
      </c>
      <c r="G466" s="49">
        <f t="array" ref="G466">MAX(IF(INSTOCK!$H$3:$H$6125=B466,INSTOCK!$K$3:$K$6125))</f>
        <v>0</v>
      </c>
      <c r="H466" s="50">
        <f t="array" ref="H466">SUM(IF(INSTOCK!$H$3:$H$6125=B466,INSTOCK!$I$3:$I$6125))</f>
        <v>0</v>
      </c>
      <c r="I466" s="50" t="str">
        <f>ARRAY_CONSTRAIN(ARRAYFORMULA(SUM(IF([3]!Table13[ID]=B466,[3]!Table13[QTY]))), 1, 1)</f>
        <v>#ERROR!</v>
      </c>
      <c r="J466" s="50" t="str">
        <f>TABLEITEM!$H$3:$H$2749-TABLEITEM!$I$3:$I$2749</f>
        <v>#ERROR!</v>
      </c>
    </row>
    <row r="467" ht="15.75" customHeight="1">
      <c r="A467" s="45"/>
      <c r="B467" s="10" t="s">
        <v>7729</v>
      </c>
      <c r="C467" s="26"/>
      <c r="D467" s="10" t="s">
        <v>7730</v>
      </c>
      <c r="E467" s="10" t="s">
        <v>2589</v>
      </c>
      <c r="F467" s="48" t="s">
        <v>7173</v>
      </c>
      <c r="G467" s="49">
        <f t="array" ref="G467">MAX(IF(INSTOCK!$H$3:$H$6125=B467,INSTOCK!$K$3:$K$6125))</f>
        <v>6.11</v>
      </c>
      <c r="H467" s="50">
        <f t="array" ref="H467">SUM(IF(INSTOCK!$H$3:$H$6125=B467,INSTOCK!$I$3:$I$6125))</f>
        <v>9600</v>
      </c>
      <c r="I467" s="50" t="str">
        <f>ARRAY_CONSTRAIN(ARRAYFORMULA(SUM(IF([3]!Table13[ID]=B467,[3]!Table13[QTY]))), 1, 1)</f>
        <v>#ERROR!</v>
      </c>
      <c r="J467" s="50" t="str">
        <f>TABLEITEM!$H$3:$H$2749-TABLEITEM!$I$3:$I$2749</f>
        <v>#ERROR!</v>
      </c>
    </row>
    <row r="468" ht="15.75" customHeight="1">
      <c r="A468" s="45"/>
      <c r="B468" s="10" t="s">
        <v>7731</v>
      </c>
      <c r="C468" s="26"/>
      <c r="D468" s="10" t="s">
        <v>7732</v>
      </c>
      <c r="E468" s="10" t="s">
        <v>2589</v>
      </c>
      <c r="F468" s="48" t="s">
        <v>7173</v>
      </c>
      <c r="G468" s="49">
        <f t="array" ref="G468">MAX(IF(INSTOCK!$H$3:$H$6125=B468,INSTOCK!$K$3:$K$6125))</f>
        <v>0</v>
      </c>
      <c r="H468" s="50">
        <f t="array" ref="H468">SUM(IF(INSTOCK!$H$3:$H$6125=B468,INSTOCK!$I$3:$I$6125))</f>
        <v>0</v>
      </c>
      <c r="I468" s="50" t="str">
        <f>ARRAY_CONSTRAIN(ARRAYFORMULA(SUM(IF([3]!Table13[ID]=B468,[3]!Table13[QTY]))), 1, 1)</f>
        <v>#ERROR!</v>
      </c>
      <c r="J468" s="50" t="str">
        <f>TABLEITEM!$H$3:$H$2749-TABLEITEM!$I$3:$I$2749</f>
        <v>#ERROR!</v>
      </c>
    </row>
    <row r="469" ht="15.75" customHeight="1">
      <c r="A469" s="45"/>
      <c r="B469" s="10" t="s">
        <v>7733</v>
      </c>
      <c r="C469" s="26"/>
      <c r="D469" s="10" t="s">
        <v>7734</v>
      </c>
      <c r="E469" s="10" t="s">
        <v>2589</v>
      </c>
      <c r="F469" s="48" t="s">
        <v>7173</v>
      </c>
      <c r="G469" s="49">
        <f t="array" ref="G469">MAX(IF(INSTOCK!$H$3:$H$6125=B469,INSTOCK!$K$3:$K$6125))</f>
        <v>4</v>
      </c>
      <c r="H469" s="50">
        <f t="array" ref="H469">SUM(IF(INSTOCK!$H$3:$H$6125=B469,INSTOCK!$I$3:$I$6125))</f>
        <v>500</v>
      </c>
      <c r="I469" s="50" t="str">
        <f>ARRAY_CONSTRAIN(ARRAYFORMULA(SUM(IF([3]!Table13[ID]=B469,[3]!Table13[QTY]))), 1, 1)</f>
        <v>#ERROR!</v>
      </c>
      <c r="J469" s="50" t="str">
        <f>TABLEITEM!$H$3:$H$2749-TABLEITEM!$I$3:$I$2749</f>
        <v>#ERROR!</v>
      </c>
    </row>
    <row r="470" ht="15.75" customHeight="1">
      <c r="A470" s="45"/>
      <c r="B470" s="10" t="s">
        <v>7735</v>
      </c>
      <c r="C470" s="26"/>
      <c r="D470" s="10" t="s">
        <v>7736</v>
      </c>
      <c r="E470" s="10" t="s">
        <v>2589</v>
      </c>
      <c r="F470" s="48" t="s">
        <v>7173</v>
      </c>
      <c r="G470" s="49">
        <f t="array" ref="G470">MAX(IF(INSTOCK!$H$3:$H$6125=B470,INSTOCK!$K$3:$K$6125))</f>
        <v>0</v>
      </c>
      <c r="H470" s="50">
        <f t="array" ref="H470">SUM(IF(INSTOCK!$H$3:$H$6125=B470,INSTOCK!$I$3:$I$6125))</f>
        <v>0</v>
      </c>
      <c r="I470" s="50" t="str">
        <f>ARRAY_CONSTRAIN(ARRAYFORMULA(SUM(IF([3]!Table13[ID]=B470,[3]!Table13[QTY]))), 1, 1)</f>
        <v>#ERROR!</v>
      </c>
      <c r="J470" s="50" t="str">
        <f>TABLEITEM!$H$3:$H$2749-TABLEITEM!$I$3:$I$2749</f>
        <v>#ERROR!</v>
      </c>
    </row>
    <row r="471" ht="15.75" customHeight="1">
      <c r="A471" s="45"/>
      <c r="B471" s="10" t="s">
        <v>7737</v>
      </c>
      <c r="C471" s="26"/>
      <c r="D471" s="10" t="s">
        <v>7738</v>
      </c>
      <c r="E471" s="10" t="s">
        <v>2589</v>
      </c>
      <c r="F471" s="48" t="s">
        <v>7173</v>
      </c>
      <c r="G471" s="49">
        <f t="array" ref="G471">MAX(IF(INSTOCK!$H$3:$H$6125=B471,INSTOCK!$K$3:$K$6125))</f>
        <v>9.4</v>
      </c>
      <c r="H471" s="50">
        <f t="array" ref="H471">SUM(IF(INSTOCK!$H$3:$H$6125=B471,INSTOCK!$I$3:$I$6125))</f>
        <v>5200</v>
      </c>
      <c r="I471" s="50" t="str">
        <f>ARRAY_CONSTRAIN(ARRAYFORMULA(SUM(IF([3]!Table13[ID]=B471,[3]!Table13[QTY]))), 1, 1)</f>
        <v>#ERROR!</v>
      </c>
      <c r="J471" s="50" t="str">
        <f>TABLEITEM!$H$3:$H$2749-TABLEITEM!$I$3:$I$2749</f>
        <v>#ERROR!</v>
      </c>
    </row>
    <row r="472" ht="15.75" customHeight="1">
      <c r="A472" s="45"/>
      <c r="B472" s="10" t="s">
        <v>7739</v>
      </c>
      <c r="C472" s="26"/>
      <c r="D472" s="10" t="s">
        <v>7740</v>
      </c>
      <c r="E472" s="10" t="s">
        <v>2589</v>
      </c>
      <c r="F472" s="48" t="s">
        <v>7173</v>
      </c>
      <c r="G472" s="49">
        <f t="array" ref="G472">MAX(IF(INSTOCK!$H$3:$H$6125=B472,INSTOCK!$K$3:$K$6125))</f>
        <v>0</v>
      </c>
      <c r="H472" s="50">
        <f t="array" ref="H472">SUM(IF(INSTOCK!$H$3:$H$6125=B472,INSTOCK!$I$3:$I$6125))</f>
        <v>0</v>
      </c>
      <c r="I472" s="50" t="str">
        <f>ARRAY_CONSTRAIN(ARRAYFORMULA(SUM(IF([3]!Table13[ID]=B472,[3]!Table13[QTY]))), 1, 1)</f>
        <v>#ERROR!</v>
      </c>
      <c r="J472" s="50" t="str">
        <f>TABLEITEM!$H$3:$H$2749-TABLEITEM!$I$3:$I$2749</f>
        <v>#ERROR!</v>
      </c>
    </row>
    <row r="473" ht="15.75" customHeight="1">
      <c r="A473" s="45"/>
      <c r="B473" s="10" t="s">
        <v>7741</v>
      </c>
      <c r="C473" s="26"/>
      <c r="D473" s="10" t="s">
        <v>7742</v>
      </c>
      <c r="E473" s="10" t="s">
        <v>2589</v>
      </c>
      <c r="F473" s="48" t="s">
        <v>7173</v>
      </c>
      <c r="G473" s="49">
        <f t="array" ref="G473">MAX(IF(INSTOCK!$H$3:$H$6125=B473,INSTOCK!$K$3:$K$6125))</f>
        <v>2.15</v>
      </c>
      <c r="H473" s="50">
        <f t="array" ref="H473">SUM(IF(INSTOCK!$H$3:$H$6125=B473,INSTOCK!$I$3:$I$6125))</f>
        <v>8500</v>
      </c>
      <c r="I473" s="50" t="str">
        <f>ARRAY_CONSTRAIN(ARRAYFORMULA(SUM(IF([3]!Table13[ID]=B473,[3]!Table13[QTY]))), 1, 1)</f>
        <v>#ERROR!</v>
      </c>
      <c r="J473" s="50" t="str">
        <f>TABLEITEM!$H$3:$H$2749-TABLEITEM!$I$3:$I$2749</f>
        <v>#ERROR!</v>
      </c>
    </row>
    <row r="474" ht="15.75" customHeight="1">
      <c r="A474" s="45"/>
      <c r="B474" s="10" t="s">
        <v>7743</v>
      </c>
      <c r="C474" s="26"/>
      <c r="D474" s="10" t="s">
        <v>7744</v>
      </c>
      <c r="E474" s="10" t="s">
        <v>2589</v>
      </c>
      <c r="F474" s="48" t="s">
        <v>7173</v>
      </c>
      <c r="G474" s="49">
        <f t="array" ref="G474">MAX(IF(INSTOCK!$H$3:$H$6125=B474,INSTOCK!$K$3:$K$6125))</f>
        <v>0</v>
      </c>
      <c r="H474" s="50">
        <f t="array" ref="H474">SUM(IF(INSTOCK!$H$3:$H$6125=B474,INSTOCK!$I$3:$I$6125))</f>
        <v>0</v>
      </c>
      <c r="I474" s="50" t="str">
        <f>ARRAY_CONSTRAIN(ARRAYFORMULA(SUM(IF([3]!Table13[ID]=B474,[3]!Table13[QTY]))), 1, 1)</f>
        <v>#ERROR!</v>
      </c>
      <c r="J474" s="50" t="str">
        <f>TABLEITEM!$H$3:$H$2749-TABLEITEM!$I$3:$I$2749</f>
        <v>#ERROR!</v>
      </c>
    </row>
    <row r="475" ht="15.75" customHeight="1">
      <c r="A475" s="45"/>
      <c r="B475" s="10" t="s">
        <v>7745</v>
      </c>
      <c r="C475" s="26"/>
      <c r="D475" s="10" t="s">
        <v>7746</v>
      </c>
      <c r="E475" s="10" t="s">
        <v>2589</v>
      </c>
      <c r="F475" s="48" t="s">
        <v>7173</v>
      </c>
      <c r="G475" s="49">
        <f t="array" ref="G475">MAX(IF(INSTOCK!$H$3:$H$6125=B475,INSTOCK!$K$3:$K$6125))</f>
        <v>2.13</v>
      </c>
      <c r="H475" s="50">
        <f t="array" ref="H475">SUM(IF(INSTOCK!$H$3:$H$6125=B475,INSTOCK!$I$3:$I$6125))</f>
        <v>500</v>
      </c>
      <c r="I475" s="50" t="str">
        <f>ARRAY_CONSTRAIN(ARRAYFORMULA(SUM(IF([3]!Table13[ID]=B475,[3]!Table13[QTY]))), 1, 1)</f>
        <v>#ERROR!</v>
      </c>
      <c r="J475" s="50" t="str">
        <f>TABLEITEM!$H$3:$H$2749-TABLEITEM!$I$3:$I$2749</f>
        <v>#ERROR!</v>
      </c>
    </row>
    <row r="476" ht="15.75" customHeight="1">
      <c r="A476" s="45"/>
      <c r="B476" s="10" t="s">
        <v>7747</v>
      </c>
      <c r="C476" s="26"/>
      <c r="D476" s="10" t="s">
        <v>7748</v>
      </c>
      <c r="E476" s="10" t="s">
        <v>2589</v>
      </c>
      <c r="F476" s="48" t="s">
        <v>7173</v>
      </c>
      <c r="G476" s="49">
        <f t="array" ref="G476">MAX(IF(INSTOCK!$H$3:$H$6125=B476,INSTOCK!$K$3:$K$6125))</f>
        <v>2</v>
      </c>
      <c r="H476" s="50">
        <f t="array" ref="H476">SUM(IF(INSTOCK!$H$3:$H$6125=B476,INSTOCK!$I$3:$I$6125))</f>
        <v>1000</v>
      </c>
      <c r="I476" s="50" t="str">
        <f>ARRAY_CONSTRAIN(ARRAYFORMULA(SUM(IF([3]!Table13[ID]=B476,[3]!Table13[QTY]))), 1, 1)</f>
        <v>#ERROR!</v>
      </c>
      <c r="J476" s="50" t="str">
        <f>TABLEITEM!$H$3:$H$2749-TABLEITEM!$I$3:$I$2749</f>
        <v>#ERROR!</v>
      </c>
    </row>
    <row r="477" ht="15.75" customHeight="1">
      <c r="A477" s="45"/>
      <c r="B477" s="10" t="s">
        <v>7749</v>
      </c>
      <c r="C477" s="26"/>
      <c r="D477" s="10" t="s">
        <v>7750</v>
      </c>
      <c r="E477" s="10" t="s">
        <v>2589</v>
      </c>
      <c r="F477" s="48" t="s">
        <v>7173</v>
      </c>
      <c r="G477" s="49">
        <f t="array" ref="G477">MAX(IF(INSTOCK!$H$3:$H$6125=B477,INSTOCK!$K$3:$K$6125))</f>
        <v>3.14</v>
      </c>
      <c r="H477" s="50">
        <f t="array" ref="H477">SUM(IF(INSTOCK!$H$3:$H$6125=B477,INSTOCK!$I$3:$I$6125))</f>
        <v>51500</v>
      </c>
      <c r="I477" s="50" t="str">
        <f>ARRAY_CONSTRAIN(ARRAYFORMULA(SUM(IF([3]!Table13[ID]=B477,[3]!Table13[QTY]))), 1, 1)</f>
        <v>#ERROR!</v>
      </c>
      <c r="J477" s="50" t="str">
        <f>TABLEITEM!$H$3:$H$2749-TABLEITEM!$I$3:$I$2749</f>
        <v>#ERROR!</v>
      </c>
    </row>
    <row r="478" ht="15.75" customHeight="1">
      <c r="A478" s="45"/>
      <c r="B478" s="10" t="s">
        <v>2329</v>
      </c>
      <c r="C478" s="26"/>
      <c r="D478" s="10" t="s">
        <v>7751</v>
      </c>
      <c r="E478" s="48" t="s">
        <v>2327</v>
      </c>
      <c r="F478" s="48" t="s">
        <v>7173</v>
      </c>
      <c r="G478" s="49">
        <f t="array" ref="G478">MAX(IF(INSTOCK!$H$3:$H$6125=B478,INSTOCK!$K$3:$K$6125))</f>
        <v>2.7</v>
      </c>
      <c r="H478" s="50">
        <f t="array" ref="H478">SUM(IF(INSTOCK!$H$3:$H$6125=B478,INSTOCK!$I$3:$I$6125))</f>
        <v>1000</v>
      </c>
      <c r="I478" s="50" t="str">
        <f>ARRAY_CONSTRAIN(ARRAYFORMULA(SUM(IF([3]!Table13[ID]=B478,[3]!Table13[QTY]))), 1, 1)</f>
        <v>#ERROR!</v>
      </c>
      <c r="J478" s="50" t="str">
        <f>TABLEITEM!$H$3:$H$2749-TABLEITEM!$I$3:$I$2749</f>
        <v>#ERROR!</v>
      </c>
    </row>
    <row r="479" ht="15.75" customHeight="1">
      <c r="A479" s="45"/>
      <c r="B479" s="10" t="s">
        <v>7752</v>
      </c>
      <c r="C479" s="26"/>
      <c r="D479" s="10" t="s">
        <v>7753</v>
      </c>
      <c r="E479" s="10" t="s">
        <v>2589</v>
      </c>
      <c r="F479" s="48" t="s">
        <v>7173</v>
      </c>
      <c r="G479" s="49">
        <f t="array" ref="G479">MAX(IF(INSTOCK!$H$3:$H$6125=B479,INSTOCK!$K$3:$K$6125))</f>
        <v>1.37</v>
      </c>
      <c r="H479" s="50">
        <f t="array" ref="H479">SUM(IF(INSTOCK!$H$3:$H$6125=B479,INSTOCK!$I$3:$I$6125))</f>
        <v>1000</v>
      </c>
      <c r="I479" s="50" t="str">
        <f>ARRAY_CONSTRAIN(ARRAYFORMULA(SUM(IF([3]!Table13[ID]=B479,[3]!Table13[QTY]))), 1, 1)</f>
        <v>#ERROR!</v>
      </c>
      <c r="J479" s="50" t="str">
        <f>TABLEITEM!$H$3:$H$2749-TABLEITEM!$I$3:$I$2749</f>
        <v>#ERROR!</v>
      </c>
    </row>
    <row r="480" ht="15.75" customHeight="1">
      <c r="A480" s="45"/>
      <c r="B480" s="10" t="s">
        <v>2328</v>
      </c>
      <c r="C480" s="26"/>
      <c r="D480" s="10" t="s">
        <v>7754</v>
      </c>
      <c r="E480" s="10" t="s">
        <v>2589</v>
      </c>
      <c r="F480" s="48" t="s">
        <v>7173</v>
      </c>
      <c r="G480" s="49">
        <f t="array" ref="G480">MAX(IF(INSTOCK!$H$3:$H$6125=B480,INSTOCK!$K$3:$K$6125))</f>
        <v>1.28</v>
      </c>
      <c r="H480" s="50">
        <f t="array" ref="H480">SUM(IF(INSTOCK!$H$3:$H$6125=B480,INSTOCK!$I$3:$I$6125))</f>
        <v>66000</v>
      </c>
      <c r="I480" s="50" t="str">
        <f>ARRAY_CONSTRAIN(ARRAYFORMULA(SUM(IF([3]!Table13[ID]=B480,[3]!Table13[QTY]))), 1, 1)</f>
        <v>#ERROR!</v>
      </c>
      <c r="J480" s="50" t="str">
        <f>TABLEITEM!$H$3:$H$2749-TABLEITEM!$I$3:$I$2749</f>
        <v>#ERROR!</v>
      </c>
    </row>
    <row r="481" ht="15.75" customHeight="1">
      <c r="A481" s="45"/>
      <c r="B481" s="10" t="s">
        <v>7755</v>
      </c>
      <c r="C481" s="26"/>
      <c r="D481" s="10" t="s">
        <v>7756</v>
      </c>
      <c r="E481" s="10" t="s">
        <v>2589</v>
      </c>
      <c r="F481" s="48" t="s">
        <v>7173</v>
      </c>
      <c r="G481" s="49">
        <f t="array" ref="G481">MAX(IF(INSTOCK!$H$3:$H$6125=B481,INSTOCK!$K$3:$K$6125))</f>
        <v>0</v>
      </c>
      <c r="H481" s="50">
        <f t="array" ref="H481">SUM(IF(INSTOCK!$H$3:$H$6125=B481,INSTOCK!$I$3:$I$6125))</f>
        <v>0</v>
      </c>
      <c r="I481" s="50" t="str">
        <f>ARRAY_CONSTRAIN(ARRAYFORMULA(SUM(IF([3]!Table13[ID]=B481,[3]!Table13[QTY]))), 1, 1)</f>
        <v>#ERROR!</v>
      </c>
      <c r="J481" s="50" t="str">
        <f>TABLEITEM!$H$3:$H$2749-TABLEITEM!$I$3:$I$2749</f>
        <v>#ERROR!</v>
      </c>
    </row>
    <row r="482" ht="15.75" customHeight="1">
      <c r="A482" s="45"/>
      <c r="B482" s="10" t="s">
        <v>2934</v>
      </c>
      <c r="C482" s="26"/>
      <c r="D482" s="10" t="s">
        <v>7757</v>
      </c>
      <c r="E482" s="48"/>
      <c r="F482" s="48" t="s">
        <v>7173</v>
      </c>
      <c r="G482" s="49">
        <f t="array" ref="G482">MAX(IF(INSTOCK!$H$3:$H$6125=B482,INSTOCK!$K$3:$K$6125))</f>
        <v>100</v>
      </c>
      <c r="H482" s="50">
        <f t="array" ref="H482">SUM(IF(INSTOCK!$H$3:$H$6125=B482,INSTOCK!$I$3:$I$6125))</f>
        <v>4</v>
      </c>
      <c r="I482" s="50" t="str">
        <f>ARRAY_CONSTRAIN(ARRAYFORMULA(SUM(IF([3]!Table13[ID]=B482,[3]!Table13[QTY]))), 1, 1)</f>
        <v>#ERROR!</v>
      </c>
      <c r="J482" s="50" t="str">
        <f>TABLEITEM!$H$3:$H$2749-TABLEITEM!$I$3:$I$2749</f>
        <v>#ERROR!</v>
      </c>
    </row>
    <row r="483" ht="15.75" customHeight="1">
      <c r="A483" s="45"/>
      <c r="B483" s="10" t="s">
        <v>2555</v>
      </c>
      <c r="C483" s="26"/>
      <c r="D483" s="10" t="s">
        <v>7758</v>
      </c>
      <c r="E483" s="48" t="s">
        <v>1276</v>
      </c>
      <c r="F483" s="48" t="s">
        <v>7173</v>
      </c>
      <c r="G483" s="49">
        <f t="array" ref="G483">MAX(IF(INSTOCK!$H$3:$H$6125=B483,INSTOCK!$K$3:$K$6125))</f>
        <v>700</v>
      </c>
      <c r="H483" s="50">
        <f t="array" ref="H483">SUM(IF(INSTOCK!$H$3:$H$6125=B483,INSTOCK!$I$3:$I$6125))</f>
        <v>49</v>
      </c>
      <c r="I483" s="50" t="str">
        <f>ARRAY_CONSTRAIN(ARRAYFORMULA(SUM(IF([3]!Table13[ID]=B483,[3]!Table13[QTY]))), 1, 1)</f>
        <v>#ERROR!</v>
      </c>
      <c r="J483" s="50" t="str">
        <f>TABLEITEM!$H$3:$H$2749-TABLEITEM!$I$3:$I$2749</f>
        <v>#ERROR!</v>
      </c>
    </row>
    <row r="484" ht="15.75" customHeight="1">
      <c r="A484" s="45"/>
      <c r="B484" s="10" t="s">
        <v>3641</v>
      </c>
      <c r="C484" s="26"/>
      <c r="D484" s="10" t="s">
        <v>7759</v>
      </c>
      <c r="E484" s="48" t="s">
        <v>7760</v>
      </c>
      <c r="F484" s="48" t="s">
        <v>7761</v>
      </c>
      <c r="G484" s="49">
        <f t="array" ref="G484">MAX(IF(INSTOCK!$H$3:$H$6125=B484,INSTOCK!$K$3:$K$6125))</f>
        <v>145</v>
      </c>
      <c r="H484" s="50">
        <f t="array" ref="H484">SUM(IF(INSTOCK!$H$3:$H$6125=B484,INSTOCK!$I$3:$I$6125))</f>
        <v>3</v>
      </c>
      <c r="I484" s="50" t="str">
        <f>ARRAY_CONSTRAIN(ARRAYFORMULA(SUM(IF([3]!Table13[ID]=B484,[3]!Table13[QTY]))), 1, 1)</f>
        <v>#ERROR!</v>
      </c>
      <c r="J484" s="50" t="str">
        <f>TABLEITEM!$H$3:$H$2749-TABLEITEM!$I$3:$I$2749</f>
        <v>#ERROR!</v>
      </c>
    </row>
    <row r="485" ht="15.75" customHeight="1">
      <c r="A485" s="45"/>
      <c r="B485" s="10" t="s">
        <v>3224</v>
      </c>
      <c r="C485" s="26"/>
      <c r="D485" s="10" t="s">
        <v>7762</v>
      </c>
      <c r="E485" s="48"/>
      <c r="F485" s="48" t="s">
        <v>7173</v>
      </c>
      <c r="G485" s="49">
        <f t="array" ref="G485">MAX(IF(INSTOCK!$H$3:$H$6125=B485,INSTOCK!$K$3:$K$6125))</f>
        <v>0.7525</v>
      </c>
      <c r="H485" s="50">
        <f t="array" ref="H485">SUM(IF(INSTOCK!$H$3:$H$6125=B485,INSTOCK!$I$3:$I$6125))</f>
        <v>23500</v>
      </c>
      <c r="I485" s="50" t="str">
        <f>ARRAY_CONSTRAIN(ARRAYFORMULA(SUM(IF([3]!Table13[ID]=B485,[3]!Table13[QTY]))), 1, 1)</f>
        <v>#ERROR!</v>
      </c>
      <c r="J485" s="50" t="str">
        <f>TABLEITEM!$H$3:$H$2749-TABLEITEM!$I$3:$I$2749</f>
        <v>#ERROR!</v>
      </c>
    </row>
    <row r="486" ht="15.75" customHeight="1">
      <c r="A486" s="45"/>
      <c r="B486" s="10" t="s">
        <v>3216</v>
      </c>
      <c r="C486" s="26"/>
      <c r="D486" s="10" t="s">
        <v>7763</v>
      </c>
      <c r="E486" s="48"/>
      <c r="F486" s="48" t="s">
        <v>7173</v>
      </c>
      <c r="G486" s="49">
        <f t="array" ref="G486">MAX(IF(INSTOCK!$H$3:$H$6125=B486,INSTOCK!$K$3:$K$6125))</f>
        <v>12.3</v>
      </c>
      <c r="H486" s="50">
        <f t="array" ref="H486">SUM(IF(INSTOCK!$H$3:$H$6125=B486,INSTOCK!$I$3:$I$6125))</f>
        <v>20</v>
      </c>
      <c r="I486" s="50" t="str">
        <f>ARRAY_CONSTRAIN(ARRAYFORMULA(SUM(IF([3]!Table13[ID]=B486,[3]!Table13[QTY]))), 1, 1)</f>
        <v>#ERROR!</v>
      </c>
      <c r="J486" s="50" t="str">
        <f>TABLEITEM!$H$3:$H$2749-TABLEITEM!$I$3:$I$2749</f>
        <v>#ERROR!</v>
      </c>
    </row>
    <row r="487" ht="15.75" customHeight="1">
      <c r="A487" s="45"/>
      <c r="B487" s="10" t="s">
        <v>7764</v>
      </c>
      <c r="C487" s="26"/>
      <c r="D487" s="10" t="s">
        <v>7765</v>
      </c>
      <c r="E487" s="48" t="s">
        <v>7207</v>
      </c>
      <c r="F487" s="48" t="s">
        <v>7173</v>
      </c>
      <c r="G487" s="49">
        <f t="array" ref="G487">MAX(IF(INSTOCK!$H$3:$H$6125=B487,INSTOCK!$K$3:$K$6125))</f>
        <v>5.1805</v>
      </c>
      <c r="H487" s="50">
        <f t="array" ref="H487">SUM(IF(INSTOCK!$H$3:$H$6125=B487,INSTOCK!$I$3:$I$6125))</f>
        <v>400</v>
      </c>
      <c r="I487" s="50" t="str">
        <f>ARRAY_CONSTRAIN(ARRAYFORMULA(SUM(IF([3]!Table13[ID]=B487,[3]!Table13[QTY]))), 1, 1)</f>
        <v>#ERROR!</v>
      </c>
      <c r="J487" s="50" t="str">
        <f>TABLEITEM!$H$3:$H$2749-TABLEITEM!$I$3:$I$2749</f>
        <v>#ERROR!</v>
      </c>
    </row>
    <row r="488" ht="15.75" customHeight="1">
      <c r="A488" s="45"/>
      <c r="B488" s="10" t="s">
        <v>7766</v>
      </c>
      <c r="C488" s="26"/>
      <c r="D488" s="10" t="s">
        <v>7767</v>
      </c>
      <c r="E488" s="48" t="s">
        <v>7207</v>
      </c>
      <c r="F488" s="48" t="s">
        <v>7173</v>
      </c>
      <c r="G488" s="49">
        <f t="array" ref="G488">MAX(IF(INSTOCK!$H$3:$H$6125=B488,INSTOCK!$K$3:$K$6125))</f>
        <v>0</v>
      </c>
      <c r="H488" s="50">
        <f t="array" ref="H488">SUM(IF(INSTOCK!$H$3:$H$6125=B488,INSTOCK!$I$3:$I$6125))</f>
        <v>0</v>
      </c>
      <c r="I488" s="50" t="str">
        <f>ARRAY_CONSTRAIN(ARRAYFORMULA(SUM(IF([3]!Table13[ID]=B488,[3]!Table13[QTY]))), 1, 1)</f>
        <v>#ERROR!</v>
      </c>
      <c r="J488" s="50" t="str">
        <f>TABLEITEM!$H$3:$H$2749-TABLEITEM!$I$3:$I$2749</f>
        <v>#ERROR!</v>
      </c>
    </row>
    <row r="489" ht="15.75" customHeight="1">
      <c r="A489" s="45"/>
      <c r="B489" s="10" t="s">
        <v>7768</v>
      </c>
      <c r="C489" s="26"/>
      <c r="D489" s="10" t="s">
        <v>7769</v>
      </c>
      <c r="E489" s="10" t="s">
        <v>7654</v>
      </c>
      <c r="F489" s="48" t="s">
        <v>7173</v>
      </c>
      <c r="G489" s="49">
        <f t="array" ref="G489">MAX(IF(INSTOCK!$H$3:$H$6125=B489,INSTOCK!$K$3:$K$6125))</f>
        <v>5.4</v>
      </c>
      <c r="H489" s="50">
        <f t="array" ref="H489">SUM(IF(INSTOCK!$H$3:$H$6125=B489,INSTOCK!$I$3:$I$6125))</f>
        <v>300</v>
      </c>
      <c r="I489" s="50" t="str">
        <f>ARRAY_CONSTRAIN(ARRAYFORMULA(SUM(IF([3]!Table13[ID]=B489,[3]!Table13[QTY]))), 1, 1)</f>
        <v>#ERROR!</v>
      </c>
      <c r="J489" s="50" t="str">
        <f>TABLEITEM!$H$3:$H$2749-TABLEITEM!$I$3:$I$2749</f>
        <v>#ERROR!</v>
      </c>
    </row>
    <row r="490" ht="15.75" customHeight="1">
      <c r="A490" s="45"/>
      <c r="B490" s="10" t="s">
        <v>7770</v>
      </c>
      <c r="C490" s="26"/>
      <c r="D490" s="10" t="s">
        <v>7771</v>
      </c>
      <c r="E490" s="10" t="s">
        <v>7654</v>
      </c>
      <c r="F490" s="48" t="s">
        <v>7173</v>
      </c>
      <c r="G490" s="49">
        <f t="array" ref="G490">MAX(IF(INSTOCK!$H$3:$H$6125=B490,INSTOCK!$K$3:$K$6125))</f>
        <v>0</v>
      </c>
      <c r="H490" s="50">
        <f t="array" ref="H490">SUM(IF(INSTOCK!$H$3:$H$6125=B490,INSTOCK!$I$3:$I$6125))</f>
        <v>0</v>
      </c>
      <c r="I490" s="50" t="str">
        <f>ARRAY_CONSTRAIN(ARRAYFORMULA(SUM(IF([3]!Table13[ID]=B490,[3]!Table13[QTY]))), 1, 1)</f>
        <v>#ERROR!</v>
      </c>
      <c r="J490" s="50" t="str">
        <f>TABLEITEM!$H$3:$H$2749-TABLEITEM!$I$3:$I$2749</f>
        <v>#ERROR!</v>
      </c>
    </row>
    <row r="491" ht="15.75" customHeight="1">
      <c r="A491" s="45"/>
      <c r="B491" s="10" t="s">
        <v>7772</v>
      </c>
      <c r="C491" s="26"/>
      <c r="D491" s="10" t="s">
        <v>7773</v>
      </c>
      <c r="E491" s="48" t="s">
        <v>7207</v>
      </c>
      <c r="F491" s="48" t="s">
        <v>7173</v>
      </c>
      <c r="G491" s="49">
        <f t="array" ref="G491">MAX(IF(INSTOCK!$H$3:$H$6125=B491,INSTOCK!$K$3:$K$6125))</f>
        <v>0</v>
      </c>
      <c r="H491" s="50">
        <f t="array" ref="H491">SUM(IF(INSTOCK!$H$3:$H$6125=B491,INSTOCK!$I$3:$I$6125))</f>
        <v>0</v>
      </c>
      <c r="I491" s="50" t="str">
        <f>ARRAY_CONSTRAIN(ARRAYFORMULA(SUM(IF([3]!Table13[ID]=B491,[3]!Table13[QTY]))), 1, 1)</f>
        <v>#ERROR!</v>
      </c>
      <c r="J491" s="50" t="str">
        <f>TABLEITEM!$H$3:$H$2749-TABLEITEM!$I$3:$I$2749</f>
        <v>#ERROR!</v>
      </c>
    </row>
    <row r="492" ht="15.75" customHeight="1">
      <c r="A492" s="45"/>
      <c r="B492" s="10" t="s">
        <v>7774</v>
      </c>
      <c r="C492" s="26"/>
      <c r="D492" s="10" t="s">
        <v>7775</v>
      </c>
      <c r="E492" s="48" t="s">
        <v>7207</v>
      </c>
      <c r="F492" s="48" t="s">
        <v>7173</v>
      </c>
      <c r="G492" s="49">
        <f t="array" ref="G492">MAX(IF(INSTOCK!$H$3:$H$6125=B492,INSTOCK!$K$3:$K$6125))</f>
        <v>2.6325</v>
      </c>
      <c r="H492" s="50">
        <f t="array" ref="H492">SUM(IF(INSTOCK!$H$3:$H$6125=B492,INSTOCK!$I$3:$I$6125))</f>
        <v>600</v>
      </c>
      <c r="I492" s="50" t="str">
        <f>ARRAY_CONSTRAIN(ARRAYFORMULA(SUM(IF([3]!Table13[ID]=B492,[3]!Table13[QTY]))), 1, 1)</f>
        <v>#ERROR!</v>
      </c>
      <c r="J492" s="50" t="str">
        <f>TABLEITEM!$H$3:$H$2749-TABLEITEM!$I$3:$I$2749</f>
        <v>#ERROR!</v>
      </c>
    </row>
    <row r="493" ht="15.75" customHeight="1">
      <c r="A493" s="45"/>
      <c r="B493" s="10" t="s">
        <v>7776</v>
      </c>
      <c r="C493" s="26"/>
      <c r="D493" s="10" t="s">
        <v>7777</v>
      </c>
      <c r="E493" s="48" t="s">
        <v>7207</v>
      </c>
      <c r="F493" s="48" t="s">
        <v>7173</v>
      </c>
      <c r="G493" s="49">
        <f t="array" ref="G493">MAX(IF(INSTOCK!$H$3:$H$6125=B493,INSTOCK!$K$3:$K$6125))</f>
        <v>2.3985</v>
      </c>
      <c r="H493" s="50">
        <f t="array" ref="H493">SUM(IF(INSTOCK!$H$3:$H$6125=B493,INSTOCK!$I$3:$I$6125))</f>
        <v>500</v>
      </c>
      <c r="I493" s="50" t="str">
        <f>ARRAY_CONSTRAIN(ARRAYFORMULA(SUM(IF([3]!Table13[ID]=B493,[3]!Table13[QTY]))), 1, 1)</f>
        <v>#ERROR!</v>
      </c>
      <c r="J493" s="50" t="str">
        <f>TABLEITEM!$H$3:$H$2749-TABLEITEM!$I$3:$I$2749</f>
        <v>#ERROR!</v>
      </c>
    </row>
    <row r="494" ht="15.75" customHeight="1">
      <c r="A494" s="45"/>
      <c r="B494" s="10" t="s">
        <v>7778</v>
      </c>
      <c r="C494" s="26"/>
      <c r="D494" s="10" t="s">
        <v>7779</v>
      </c>
      <c r="E494" s="48" t="s">
        <v>7207</v>
      </c>
      <c r="F494" s="48" t="s">
        <v>7173</v>
      </c>
      <c r="G494" s="49">
        <f t="array" ref="G494">MAX(IF(INSTOCK!$H$3:$H$6125=B494,INSTOCK!$K$3:$K$6125))</f>
        <v>0</v>
      </c>
      <c r="H494" s="50">
        <f t="array" ref="H494">SUM(IF(INSTOCK!$H$3:$H$6125=B494,INSTOCK!$I$3:$I$6125))</f>
        <v>0</v>
      </c>
      <c r="I494" s="50" t="str">
        <f>ARRAY_CONSTRAIN(ARRAYFORMULA(SUM(IF([3]!Table13[ID]=B494,[3]!Table13[QTY]))), 1, 1)</f>
        <v>#ERROR!</v>
      </c>
      <c r="J494" s="50" t="str">
        <f>TABLEITEM!$H$3:$H$2749-TABLEITEM!$I$3:$I$2749</f>
        <v>#ERROR!</v>
      </c>
    </row>
    <row r="495" ht="15.75" customHeight="1">
      <c r="A495" s="45"/>
      <c r="B495" s="10" t="s">
        <v>7780</v>
      </c>
      <c r="C495" s="26"/>
      <c r="D495" s="10" t="s">
        <v>7781</v>
      </c>
      <c r="E495" s="48" t="s">
        <v>7207</v>
      </c>
      <c r="F495" s="48" t="s">
        <v>7173</v>
      </c>
      <c r="G495" s="49">
        <f t="array" ref="G495">MAX(IF(INSTOCK!$H$3:$H$6125=B495,INSTOCK!$K$3:$K$6125))</f>
        <v>0</v>
      </c>
      <c r="H495" s="50">
        <f t="array" ref="H495">SUM(IF(INSTOCK!$H$3:$H$6125=B495,INSTOCK!$I$3:$I$6125))</f>
        <v>0</v>
      </c>
      <c r="I495" s="50" t="str">
        <f>ARRAY_CONSTRAIN(ARRAYFORMULA(SUM(IF([3]!Table13[ID]=B495,[3]!Table13[QTY]))), 1, 1)</f>
        <v>#ERROR!</v>
      </c>
      <c r="J495" s="50" t="str">
        <f>TABLEITEM!$H$3:$H$2749-TABLEITEM!$I$3:$I$2749</f>
        <v>#ERROR!</v>
      </c>
    </row>
    <row r="496" ht="15.75" customHeight="1">
      <c r="A496" s="45"/>
      <c r="B496" s="10" t="s">
        <v>7782</v>
      </c>
      <c r="C496" s="26"/>
      <c r="D496" s="10" t="s">
        <v>7783</v>
      </c>
      <c r="E496" s="48" t="s">
        <v>7207</v>
      </c>
      <c r="F496" s="48" t="s">
        <v>7173</v>
      </c>
      <c r="G496" s="49">
        <f t="array" ref="G496">MAX(IF(INSTOCK!$H$3:$H$6125=B496,INSTOCK!$K$3:$K$6125))</f>
        <v>0</v>
      </c>
      <c r="H496" s="50">
        <f t="array" ref="H496">SUM(IF(INSTOCK!$H$3:$H$6125=B496,INSTOCK!$I$3:$I$6125))</f>
        <v>0</v>
      </c>
      <c r="I496" s="50" t="str">
        <f>ARRAY_CONSTRAIN(ARRAYFORMULA(SUM(IF([3]!Table13[ID]=B496,[3]!Table13[QTY]))), 1, 1)</f>
        <v>#ERROR!</v>
      </c>
      <c r="J496" s="50" t="str">
        <f>TABLEITEM!$H$3:$H$2749-TABLEITEM!$I$3:$I$2749</f>
        <v>#ERROR!</v>
      </c>
    </row>
    <row r="497" ht="15.75" customHeight="1">
      <c r="A497" s="45"/>
      <c r="B497" s="10" t="s">
        <v>7784</v>
      </c>
      <c r="C497" s="26"/>
      <c r="D497" s="10" t="s">
        <v>7785</v>
      </c>
      <c r="E497" s="48" t="s">
        <v>7207</v>
      </c>
      <c r="F497" s="48" t="s">
        <v>7173</v>
      </c>
      <c r="G497" s="49">
        <f t="array" ref="G497">MAX(IF(INSTOCK!$H$3:$H$6125=B497,INSTOCK!$K$3:$K$6125))</f>
        <v>0</v>
      </c>
      <c r="H497" s="50">
        <f t="array" ref="H497">SUM(IF(INSTOCK!$H$3:$H$6125=B497,INSTOCK!$I$3:$I$6125))</f>
        <v>0</v>
      </c>
      <c r="I497" s="50" t="str">
        <f>ARRAY_CONSTRAIN(ARRAYFORMULA(SUM(IF([3]!Table13[ID]=B497,[3]!Table13[QTY]))), 1, 1)</f>
        <v>#ERROR!</v>
      </c>
      <c r="J497" s="50" t="str">
        <f>TABLEITEM!$H$3:$H$2749-TABLEITEM!$I$3:$I$2749</f>
        <v>#ERROR!</v>
      </c>
    </row>
    <row r="498" ht="15.75" customHeight="1">
      <c r="A498" s="45"/>
      <c r="B498" s="10" t="s">
        <v>7786</v>
      </c>
      <c r="C498" s="26"/>
      <c r="D498" s="10" t="s">
        <v>7787</v>
      </c>
      <c r="E498" s="48" t="s">
        <v>7207</v>
      </c>
      <c r="F498" s="48" t="s">
        <v>7173</v>
      </c>
      <c r="G498" s="49">
        <f t="array" ref="G498">MAX(IF(INSTOCK!$H$3:$H$6125=B498,INSTOCK!$K$3:$K$6125))</f>
        <v>0</v>
      </c>
      <c r="H498" s="50">
        <f t="array" ref="H498">SUM(IF(INSTOCK!$H$3:$H$6125=B498,INSTOCK!$I$3:$I$6125))</f>
        <v>0</v>
      </c>
      <c r="I498" s="50" t="str">
        <f>ARRAY_CONSTRAIN(ARRAYFORMULA(SUM(IF([3]!Table13[ID]=B498,[3]!Table13[QTY]))), 1, 1)</f>
        <v>#ERROR!</v>
      </c>
      <c r="J498" s="50" t="str">
        <f>TABLEITEM!$H$3:$H$2749-TABLEITEM!$I$3:$I$2749</f>
        <v>#ERROR!</v>
      </c>
    </row>
    <row r="499" ht="15.75" customHeight="1">
      <c r="A499" s="45"/>
      <c r="B499" s="10" t="s">
        <v>7788</v>
      </c>
      <c r="C499" s="26"/>
      <c r="D499" s="10" t="s">
        <v>7789</v>
      </c>
      <c r="E499" s="48" t="s">
        <v>7207</v>
      </c>
      <c r="F499" s="48" t="s">
        <v>7173</v>
      </c>
      <c r="G499" s="49">
        <f t="array" ref="G499">MAX(IF(INSTOCK!$H$3:$H$6125=B499,INSTOCK!$K$3:$K$6125))</f>
        <v>0</v>
      </c>
      <c r="H499" s="50">
        <f t="array" ref="H499">SUM(IF(INSTOCK!$H$3:$H$6125=B499,INSTOCK!$I$3:$I$6125))</f>
        <v>0</v>
      </c>
      <c r="I499" s="50" t="str">
        <f>ARRAY_CONSTRAIN(ARRAYFORMULA(SUM(IF([3]!Table13[ID]=B499,[3]!Table13[QTY]))), 1, 1)</f>
        <v>#ERROR!</v>
      </c>
      <c r="J499" s="50" t="str">
        <f>TABLEITEM!$H$3:$H$2749-TABLEITEM!$I$3:$I$2749</f>
        <v>#ERROR!</v>
      </c>
    </row>
    <row r="500" ht="15.75" customHeight="1">
      <c r="A500" s="45"/>
      <c r="B500" s="10" t="s">
        <v>7790</v>
      </c>
      <c r="C500" s="26"/>
      <c r="D500" s="10" t="s">
        <v>7791</v>
      </c>
      <c r="E500" s="48" t="s">
        <v>7207</v>
      </c>
      <c r="F500" s="48" t="s">
        <v>7173</v>
      </c>
      <c r="G500" s="49">
        <f t="array" ref="G500">MAX(IF(INSTOCK!$H$3:$H$6125=B500,INSTOCK!$K$3:$K$6125))</f>
        <v>0</v>
      </c>
      <c r="H500" s="50">
        <f t="array" ref="H500">SUM(IF(INSTOCK!$H$3:$H$6125=B500,INSTOCK!$I$3:$I$6125))</f>
        <v>0</v>
      </c>
      <c r="I500" s="50" t="str">
        <f>ARRAY_CONSTRAIN(ARRAYFORMULA(SUM(IF([3]!Table13[ID]=B500,[3]!Table13[QTY]))), 1, 1)</f>
        <v>#ERROR!</v>
      </c>
      <c r="J500" s="50" t="str">
        <f>TABLEITEM!$H$3:$H$2749-TABLEITEM!$I$3:$I$2749</f>
        <v>#ERROR!</v>
      </c>
    </row>
    <row r="501" ht="15.75" customHeight="1">
      <c r="A501" s="45"/>
      <c r="B501" s="10" t="s">
        <v>7792</v>
      </c>
      <c r="C501" s="26"/>
      <c r="D501" s="10" t="s">
        <v>7793</v>
      </c>
      <c r="E501" s="48" t="s">
        <v>7207</v>
      </c>
      <c r="F501" s="48" t="s">
        <v>7173</v>
      </c>
      <c r="G501" s="49">
        <f t="array" ref="G501">MAX(IF(INSTOCK!$H$3:$H$6125=B501,INSTOCK!$K$3:$K$6125))</f>
        <v>0</v>
      </c>
      <c r="H501" s="50">
        <f t="array" ref="H501">SUM(IF(INSTOCK!$H$3:$H$6125=B501,INSTOCK!$I$3:$I$6125))</f>
        <v>0</v>
      </c>
      <c r="I501" s="50" t="str">
        <f>ARRAY_CONSTRAIN(ARRAYFORMULA(SUM(IF([3]!Table13[ID]=B501,[3]!Table13[QTY]))), 1, 1)</f>
        <v>#ERROR!</v>
      </c>
      <c r="J501" s="50" t="str">
        <f>TABLEITEM!$H$3:$H$2749-TABLEITEM!$I$3:$I$2749</f>
        <v>#ERROR!</v>
      </c>
    </row>
    <row r="502" ht="15.75" customHeight="1">
      <c r="A502" s="45"/>
      <c r="B502" s="10" t="s">
        <v>7794</v>
      </c>
      <c r="C502" s="26"/>
      <c r="D502" s="10" t="s">
        <v>7795</v>
      </c>
      <c r="E502" s="48" t="s">
        <v>7207</v>
      </c>
      <c r="F502" s="48" t="s">
        <v>7173</v>
      </c>
      <c r="G502" s="49">
        <f t="array" ref="G502">MAX(IF(INSTOCK!$H$3:$H$6125=B502,INSTOCK!$K$3:$K$6125))</f>
        <v>0</v>
      </c>
      <c r="H502" s="50">
        <f t="array" ref="H502">SUM(IF(INSTOCK!$H$3:$H$6125=B502,INSTOCK!$I$3:$I$6125))</f>
        <v>0</v>
      </c>
      <c r="I502" s="50" t="str">
        <f>ARRAY_CONSTRAIN(ARRAYFORMULA(SUM(IF([3]!Table13[ID]=B502,[3]!Table13[QTY]))), 1, 1)</f>
        <v>#ERROR!</v>
      </c>
      <c r="J502" s="50" t="str">
        <f>TABLEITEM!$H$3:$H$2749-TABLEITEM!$I$3:$I$2749</f>
        <v>#ERROR!</v>
      </c>
    </row>
    <row r="503" ht="15.75" customHeight="1">
      <c r="A503" s="45"/>
      <c r="B503" s="10" t="s">
        <v>7796</v>
      </c>
      <c r="C503" s="26"/>
      <c r="D503" s="10" t="s">
        <v>7797</v>
      </c>
      <c r="E503" s="10" t="s">
        <v>7654</v>
      </c>
      <c r="F503" s="48" t="s">
        <v>7173</v>
      </c>
      <c r="G503" s="49">
        <f t="array" ref="G503">MAX(IF(INSTOCK!$H$3:$H$6125=B503,INSTOCK!$K$3:$K$6125))</f>
        <v>0</v>
      </c>
      <c r="H503" s="50">
        <f t="array" ref="H503">SUM(IF(INSTOCK!$H$3:$H$6125=B503,INSTOCK!$I$3:$I$6125))</f>
        <v>0</v>
      </c>
      <c r="I503" s="50" t="str">
        <f>ARRAY_CONSTRAIN(ARRAYFORMULA(SUM(IF([3]!Table13[ID]=B503,[3]!Table13[QTY]))), 1, 1)</f>
        <v>#ERROR!</v>
      </c>
      <c r="J503" s="50" t="str">
        <f>TABLEITEM!$H$3:$H$2749-TABLEITEM!$I$3:$I$2749</f>
        <v>#ERROR!</v>
      </c>
    </row>
    <row r="504" ht="15.75" customHeight="1">
      <c r="A504" s="45"/>
      <c r="B504" s="10" t="s">
        <v>7798</v>
      </c>
      <c r="C504" s="26"/>
      <c r="D504" s="10" t="s">
        <v>7799</v>
      </c>
      <c r="E504" s="48" t="s">
        <v>7207</v>
      </c>
      <c r="F504" s="48" t="s">
        <v>7173</v>
      </c>
      <c r="G504" s="49">
        <f t="array" ref="G504">MAX(IF(INSTOCK!$H$3:$H$6125=B504,INSTOCK!$K$3:$K$6125))</f>
        <v>0</v>
      </c>
      <c r="H504" s="50">
        <f t="array" ref="H504">SUM(IF(INSTOCK!$H$3:$H$6125=B504,INSTOCK!$I$3:$I$6125))</f>
        <v>0</v>
      </c>
      <c r="I504" s="50" t="str">
        <f>ARRAY_CONSTRAIN(ARRAYFORMULA(SUM(IF([3]!Table13[ID]=B504,[3]!Table13[QTY]))), 1, 1)</f>
        <v>#ERROR!</v>
      </c>
      <c r="J504" s="50" t="str">
        <f>TABLEITEM!$H$3:$H$2749-TABLEITEM!$I$3:$I$2749</f>
        <v>#ERROR!</v>
      </c>
    </row>
    <row r="505" ht="15.75" customHeight="1">
      <c r="A505" s="45"/>
      <c r="B505" s="10" t="s">
        <v>7800</v>
      </c>
      <c r="C505" s="26"/>
      <c r="D505" s="10" t="s">
        <v>7801</v>
      </c>
      <c r="E505" s="48" t="s">
        <v>7207</v>
      </c>
      <c r="F505" s="48" t="s">
        <v>7173</v>
      </c>
      <c r="G505" s="49">
        <f t="array" ref="G505">MAX(IF(INSTOCK!$H$3:$H$6125=B505,INSTOCK!$K$3:$K$6125))</f>
        <v>0</v>
      </c>
      <c r="H505" s="50">
        <f t="array" ref="H505">SUM(IF(INSTOCK!$H$3:$H$6125=B505,INSTOCK!$I$3:$I$6125))</f>
        <v>0</v>
      </c>
      <c r="I505" s="50" t="str">
        <f>ARRAY_CONSTRAIN(ARRAYFORMULA(SUM(IF([3]!Table13[ID]=B505,[3]!Table13[QTY]))), 1, 1)</f>
        <v>#ERROR!</v>
      </c>
      <c r="J505" s="50" t="str">
        <f>TABLEITEM!$H$3:$H$2749-TABLEITEM!$I$3:$I$2749</f>
        <v>#ERROR!</v>
      </c>
    </row>
    <row r="506" ht="15.75" customHeight="1">
      <c r="A506" s="45"/>
      <c r="B506" s="10" t="s">
        <v>7802</v>
      </c>
      <c r="C506" s="26"/>
      <c r="D506" s="10" t="s">
        <v>7803</v>
      </c>
      <c r="E506" s="10"/>
      <c r="F506" s="48" t="s">
        <v>7173</v>
      </c>
      <c r="G506" s="49">
        <f t="array" ref="G506">MAX(IF(INSTOCK!$H$3:$H$6125=B506,INSTOCK!$K$3:$K$6125))</f>
        <v>0</v>
      </c>
      <c r="H506" s="50">
        <f t="array" ref="H506">SUM(IF(INSTOCK!$H$3:$H$6125=B506,INSTOCK!$I$3:$I$6125))</f>
        <v>0</v>
      </c>
      <c r="I506" s="50" t="str">
        <f>ARRAY_CONSTRAIN(ARRAYFORMULA(SUM(IF([3]!Table13[ID]=B506,[3]!Table13[QTY]))), 1, 1)</f>
        <v>#ERROR!</v>
      </c>
      <c r="J506" s="50" t="str">
        <f>TABLEITEM!$H$3:$H$2749-TABLEITEM!$I$3:$I$2749</f>
        <v>#ERROR!</v>
      </c>
    </row>
    <row r="507" ht="15.75" customHeight="1">
      <c r="A507" s="45"/>
      <c r="B507" s="10" t="s">
        <v>7804</v>
      </c>
      <c r="C507" s="26"/>
      <c r="D507" s="10" t="s">
        <v>7805</v>
      </c>
      <c r="E507" s="48" t="s">
        <v>7207</v>
      </c>
      <c r="F507" s="48" t="s">
        <v>7173</v>
      </c>
      <c r="G507" s="49">
        <f t="array" ref="G507">MAX(IF(INSTOCK!$H$3:$H$6125=B507,INSTOCK!$K$3:$K$6125))</f>
        <v>1.456</v>
      </c>
      <c r="H507" s="50">
        <f t="array" ref="H507">SUM(IF(INSTOCK!$H$3:$H$6125=B507,INSTOCK!$I$3:$I$6125))</f>
        <v>500</v>
      </c>
      <c r="I507" s="50" t="str">
        <f>ARRAY_CONSTRAIN(ARRAYFORMULA(SUM(IF([3]!Table13[ID]=B507,[3]!Table13[QTY]))), 1, 1)</f>
        <v>#ERROR!</v>
      </c>
      <c r="J507" s="50" t="str">
        <f>TABLEITEM!$H$3:$H$2749-TABLEITEM!$I$3:$I$2749</f>
        <v>#ERROR!</v>
      </c>
    </row>
    <row r="508" ht="15.75" customHeight="1">
      <c r="A508" s="45"/>
      <c r="B508" s="10" t="s">
        <v>7806</v>
      </c>
      <c r="C508" s="26"/>
      <c r="D508" s="10" t="s">
        <v>7807</v>
      </c>
      <c r="E508" s="48" t="s">
        <v>7207</v>
      </c>
      <c r="F508" s="48" t="s">
        <v>7173</v>
      </c>
      <c r="G508" s="49">
        <f t="array" ref="G508">MAX(IF(INSTOCK!$H$3:$H$6125=B508,INSTOCK!$K$3:$K$6125))</f>
        <v>1.3325</v>
      </c>
      <c r="H508" s="50">
        <f t="array" ref="H508">SUM(IF(INSTOCK!$H$3:$H$6125=B508,INSTOCK!$I$3:$I$6125))</f>
        <v>1000</v>
      </c>
      <c r="I508" s="50" t="str">
        <f>ARRAY_CONSTRAIN(ARRAYFORMULA(SUM(IF([3]!Table13[ID]=B508,[3]!Table13[QTY]))), 1, 1)</f>
        <v>#ERROR!</v>
      </c>
      <c r="J508" s="50" t="str">
        <f>TABLEITEM!$H$3:$H$2749-TABLEITEM!$I$3:$I$2749</f>
        <v>#ERROR!</v>
      </c>
    </row>
    <row r="509" ht="15.75" customHeight="1">
      <c r="A509" s="45"/>
      <c r="B509" s="10" t="s">
        <v>7808</v>
      </c>
      <c r="C509" s="26"/>
      <c r="D509" s="10" t="s">
        <v>7809</v>
      </c>
      <c r="E509" s="48" t="s">
        <v>7207</v>
      </c>
      <c r="F509" s="48" t="s">
        <v>7173</v>
      </c>
      <c r="G509" s="49">
        <f t="array" ref="G509">MAX(IF(INSTOCK!$H$3:$H$6125=B509,INSTOCK!$K$3:$K$6125))</f>
        <v>1.22</v>
      </c>
      <c r="H509" s="50">
        <f t="array" ref="H509">SUM(IF(INSTOCK!$H$3:$H$6125=B509,INSTOCK!$I$3:$I$6125))</f>
        <v>23000</v>
      </c>
      <c r="I509" s="50" t="str">
        <f>ARRAY_CONSTRAIN(ARRAYFORMULA(SUM(IF([3]!Table13[ID]=B509,[3]!Table13[QTY]))), 1, 1)</f>
        <v>#ERROR!</v>
      </c>
      <c r="J509" s="50" t="str">
        <f>TABLEITEM!$H$3:$H$2749-TABLEITEM!$I$3:$I$2749</f>
        <v>#ERROR!</v>
      </c>
    </row>
    <row r="510" ht="15.75" customHeight="1">
      <c r="A510" s="45"/>
      <c r="B510" s="10" t="s">
        <v>7810</v>
      </c>
      <c r="C510" s="26"/>
      <c r="D510" s="10" t="s">
        <v>7811</v>
      </c>
      <c r="E510" s="48" t="s">
        <v>7207</v>
      </c>
      <c r="F510" s="48" t="s">
        <v>7173</v>
      </c>
      <c r="G510" s="49">
        <f t="array" ref="G510">MAX(IF(INSTOCK!$H$3:$H$6125=B510,INSTOCK!$K$3:$K$6125))</f>
        <v>1.0075</v>
      </c>
      <c r="H510" s="50">
        <f t="array" ref="H510">SUM(IF(INSTOCK!$H$3:$H$6125=B510,INSTOCK!$I$3:$I$6125))</f>
        <v>2000</v>
      </c>
      <c r="I510" s="50" t="str">
        <f>ARRAY_CONSTRAIN(ARRAYFORMULA(SUM(IF([3]!Table13[ID]=B510,[3]!Table13[QTY]))), 1, 1)</f>
        <v>#ERROR!</v>
      </c>
      <c r="J510" s="50" t="str">
        <f>TABLEITEM!$H$3:$H$2749-TABLEITEM!$I$3:$I$2749</f>
        <v>#ERROR!</v>
      </c>
    </row>
    <row r="511" ht="15.75" customHeight="1">
      <c r="A511" s="45"/>
      <c r="B511" s="10" t="s">
        <v>7812</v>
      </c>
      <c r="C511" s="26"/>
      <c r="D511" s="10" t="s">
        <v>7813</v>
      </c>
      <c r="E511" s="48" t="s">
        <v>7207</v>
      </c>
      <c r="F511" s="48" t="s">
        <v>7173</v>
      </c>
      <c r="G511" s="49">
        <f t="array" ref="G511">MAX(IF(INSTOCK!$H$3:$H$6125=B511,INSTOCK!$K$3:$K$6125))</f>
        <v>1.196</v>
      </c>
      <c r="H511" s="50">
        <f t="array" ref="H511">SUM(IF(INSTOCK!$H$3:$H$6125=B511,INSTOCK!$I$3:$I$6125))</f>
        <v>36600</v>
      </c>
      <c r="I511" s="50" t="str">
        <f>ARRAY_CONSTRAIN(ARRAYFORMULA(SUM(IF([3]!Table13[ID]=B511,[3]!Table13[QTY]))), 1, 1)</f>
        <v>#ERROR!</v>
      </c>
      <c r="J511" s="50" t="str">
        <f>TABLEITEM!$H$3:$H$2749-TABLEITEM!$I$3:$I$2749</f>
        <v>#ERROR!</v>
      </c>
    </row>
    <row r="512" ht="15.75" customHeight="1">
      <c r="A512" s="45"/>
      <c r="B512" s="10" t="s">
        <v>7814</v>
      </c>
      <c r="C512" s="26"/>
      <c r="D512" s="10" t="s">
        <v>7815</v>
      </c>
      <c r="E512" s="48" t="s">
        <v>7207</v>
      </c>
      <c r="F512" s="48" t="s">
        <v>7173</v>
      </c>
      <c r="G512" s="49">
        <f t="array" ref="G512">MAX(IF(INSTOCK!$H$3:$H$6125=B512,INSTOCK!$K$3:$K$6125))</f>
        <v>0.86</v>
      </c>
      <c r="H512" s="50">
        <f t="array" ref="H512">SUM(IF(INSTOCK!$H$3:$H$6125=B512,INSTOCK!$I$3:$I$6125))</f>
        <v>173000</v>
      </c>
      <c r="I512" s="50" t="str">
        <f>ARRAY_CONSTRAIN(ARRAYFORMULA(SUM(IF([3]!Table13[ID]=B512,[3]!Table13[QTY]))), 1, 1)</f>
        <v>#ERROR!</v>
      </c>
      <c r="J512" s="50" t="str">
        <f>TABLEITEM!$H$3:$H$2749-TABLEITEM!$I$3:$I$2749</f>
        <v>#ERROR!</v>
      </c>
    </row>
    <row r="513" ht="15.75" customHeight="1">
      <c r="A513" s="45"/>
      <c r="B513" s="10" t="s">
        <v>7816</v>
      </c>
      <c r="C513" s="26"/>
      <c r="D513" s="10" t="s">
        <v>7817</v>
      </c>
      <c r="E513" s="10"/>
      <c r="F513" s="48" t="s">
        <v>7173</v>
      </c>
      <c r="G513" s="49">
        <f t="array" ref="G513">MAX(IF(INSTOCK!$H$3:$H$6125=B513,INSTOCK!$K$3:$K$6125))</f>
        <v>0</v>
      </c>
      <c r="H513" s="50">
        <f t="array" ref="H513">SUM(IF(INSTOCK!$H$3:$H$6125=B513,INSTOCK!$I$3:$I$6125))</f>
        <v>0</v>
      </c>
      <c r="I513" s="50" t="str">
        <f>ARRAY_CONSTRAIN(ARRAYFORMULA(SUM(IF([3]!Table13[ID]=B513,[3]!Table13[QTY]))), 1, 1)</f>
        <v>#ERROR!</v>
      </c>
      <c r="J513" s="50" t="str">
        <f>TABLEITEM!$H$3:$H$2749-TABLEITEM!$I$3:$I$2749</f>
        <v>#ERROR!</v>
      </c>
    </row>
    <row r="514" ht="15.75" customHeight="1">
      <c r="A514" s="45"/>
      <c r="B514" s="10" t="s">
        <v>7818</v>
      </c>
      <c r="C514" s="26"/>
      <c r="D514" s="10" t="s">
        <v>7819</v>
      </c>
      <c r="E514" s="10" t="s">
        <v>7654</v>
      </c>
      <c r="F514" s="48" t="s">
        <v>7173</v>
      </c>
      <c r="G514" s="49">
        <f t="array" ref="G514">MAX(IF(INSTOCK!$H$3:$H$6125=B514,INSTOCK!$K$3:$K$6125))</f>
        <v>0</v>
      </c>
      <c r="H514" s="50">
        <f t="array" ref="H514">SUM(IF(INSTOCK!$H$3:$H$6125=B514,INSTOCK!$I$3:$I$6125))</f>
        <v>0</v>
      </c>
      <c r="I514" s="50" t="str">
        <f>ARRAY_CONSTRAIN(ARRAYFORMULA(SUM(IF([3]!Table13[ID]=B514,[3]!Table13[QTY]))), 1, 1)</f>
        <v>#ERROR!</v>
      </c>
      <c r="J514" s="50" t="str">
        <f>TABLEITEM!$H$3:$H$2749-TABLEITEM!$I$3:$I$2749</f>
        <v>#ERROR!</v>
      </c>
    </row>
    <row r="515" ht="15.75" customHeight="1">
      <c r="A515" s="45"/>
      <c r="B515" s="10" t="s">
        <v>7820</v>
      </c>
      <c r="C515" s="26"/>
      <c r="D515" s="10" t="s">
        <v>7821</v>
      </c>
      <c r="E515" s="48" t="s">
        <v>7207</v>
      </c>
      <c r="F515" s="48" t="s">
        <v>7173</v>
      </c>
      <c r="G515" s="49">
        <f t="array" ref="G515">MAX(IF(INSTOCK!$H$3:$H$6125=B515,INSTOCK!$K$3:$K$6125))</f>
        <v>4.2055</v>
      </c>
      <c r="H515" s="50">
        <f t="array" ref="H515">SUM(IF(INSTOCK!$H$3:$H$6125=B515,INSTOCK!$I$3:$I$6125))</f>
        <v>700</v>
      </c>
      <c r="I515" s="50" t="str">
        <f>ARRAY_CONSTRAIN(ARRAYFORMULA(SUM(IF([3]!Table13[ID]=B515,[3]!Table13[QTY]))), 1, 1)</f>
        <v>#ERROR!</v>
      </c>
      <c r="J515" s="50" t="str">
        <f>TABLEITEM!$H$3:$H$2749-TABLEITEM!$I$3:$I$2749</f>
        <v>#ERROR!</v>
      </c>
    </row>
    <row r="516" ht="15.75" customHeight="1">
      <c r="A516" s="45"/>
      <c r="B516" s="10" t="s">
        <v>7822</v>
      </c>
      <c r="C516" s="26"/>
      <c r="D516" s="10" t="s">
        <v>7823</v>
      </c>
      <c r="E516" s="48" t="s">
        <v>7207</v>
      </c>
      <c r="F516" s="48" t="s">
        <v>7173</v>
      </c>
      <c r="G516" s="49">
        <f t="array" ref="G516">MAX(IF(INSTOCK!$H$3:$H$6125=B516,INSTOCK!$K$3:$K$6125))</f>
        <v>4.2055</v>
      </c>
      <c r="H516" s="50">
        <f t="array" ref="H516">SUM(IF(INSTOCK!$H$3:$H$6125=B516,INSTOCK!$I$3:$I$6125))</f>
        <v>400</v>
      </c>
      <c r="I516" s="50" t="str">
        <f>ARRAY_CONSTRAIN(ARRAYFORMULA(SUM(IF([3]!Table13[ID]=B516,[3]!Table13[QTY]))), 1, 1)</f>
        <v>#ERROR!</v>
      </c>
      <c r="J516" s="50" t="str">
        <f>TABLEITEM!$H$3:$H$2749-TABLEITEM!$I$3:$I$2749</f>
        <v>#ERROR!</v>
      </c>
    </row>
    <row r="517" ht="15.75" customHeight="1">
      <c r="A517" s="45"/>
      <c r="B517" s="10" t="s">
        <v>7824</v>
      </c>
      <c r="C517" s="26"/>
      <c r="D517" s="10" t="s">
        <v>7825</v>
      </c>
      <c r="E517" s="48" t="s">
        <v>7207</v>
      </c>
      <c r="F517" s="48" t="s">
        <v>7173</v>
      </c>
      <c r="G517" s="49">
        <f t="array" ref="G517">MAX(IF(INSTOCK!$H$3:$H$6125=B517,INSTOCK!$K$3:$K$6125))</f>
        <v>3.5555</v>
      </c>
      <c r="H517" s="50">
        <f t="array" ref="H517">SUM(IF(INSTOCK!$H$3:$H$6125=B517,INSTOCK!$I$3:$I$6125))</f>
        <v>300</v>
      </c>
      <c r="I517" s="50" t="str">
        <f>ARRAY_CONSTRAIN(ARRAYFORMULA(SUM(IF([3]!Table13[ID]=B517,[3]!Table13[QTY]))), 1, 1)</f>
        <v>#ERROR!</v>
      </c>
      <c r="J517" s="50" t="str">
        <f>TABLEITEM!$H$3:$H$2749-TABLEITEM!$I$3:$I$2749</f>
        <v>#ERROR!</v>
      </c>
    </row>
    <row r="518" ht="15.75" customHeight="1">
      <c r="A518" s="45"/>
      <c r="B518" s="10" t="s">
        <v>7826</v>
      </c>
      <c r="C518" s="26"/>
      <c r="D518" s="10" t="s">
        <v>7827</v>
      </c>
      <c r="E518" s="48" t="s">
        <v>7207</v>
      </c>
      <c r="F518" s="48" t="s">
        <v>7173</v>
      </c>
      <c r="G518" s="49">
        <f t="array" ref="G518">MAX(IF(INSTOCK!$H$3:$H$6125=B518,INSTOCK!$K$3:$K$6125))</f>
        <v>3.289</v>
      </c>
      <c r="H518" s="50">
        <f t="array" ref="H518">SUM(IF(INSTOCK!$H$3:$H$6125=B518,INSTOCK!$I$3:$I$6125))</f>
        <v>700</v>
      </c>
      <c r="I518" s="50" t="str">
        <f>ARRAY_CONSTRAIN(ARRAYFORMULA(SUM(IF([3]!Table13[ID]=B518,[3]!Table13[QTY]))), 1, 1)</f>
        <v>#ERROR!</v>
      </c>
      <c r="J518" s="50" t="str">
        <f>TABLEITEM!$H$3:$H$2749-TABLEITEM!$I$3:$I$2749</f>
        <v>#ERROR!</v>
      </c>
    </row>
    <row r="519" ht="15.75" customHeight="1">
      <c r="A519" s="45"/>
      <c r="B519" s="10" t="s">
        <v>7828</v>
      </c>
      <c r="C519" s="26"/>
      <c r="D519" s="10" t="s">
        <v>7829</v>
      </c>
      <c r="E519" s="48" t="s">
        <v>7207</v>
      </c>
      <c r="F519" s="48" t="s">
        <v>7173</v>
      </c>
      <c r="G519" s="49">
        <f t="array" ref="G519">MAX(IF(INSTOCK!$H$3:$H$6125=B519,INSTOCK!$K$3:$K$6125))</f>
        <v>2.86</v>
      </c>
      <c r="H519" s="50">
        <f t="array" ref="H519">SUM(IF(INSTOCK!$H$3:$H$6125=B519,INSTOCK!$I$3:$I$6125))</f>
        <v>2300</v>
      </c>
      <c r="I519" s="50" t="str">
        <f>ARRAY_CONSTRAIN(ARRAYFORMULA(SUM(IF([3]!Table13[ID]=B519,[3]!Table13[QTY]))), 1, 1)</f>
        <v>#ERROR!</v>
      </c>
      <c r="J519" s="50" t="str">
        <f>TABLEITEM!$H$3:$H$2749-TABLEITEM!$I$3:$I$2749</f>
        <v>#ERROR!</v>
      </c>
    </row>
    <row r="520" ht="15.75" customHeight="1">
      <c r="A520" s="45"/>
      <c r="B520" s="10" t="s">
        <v>7830</v>
      </c>
      <c r="C520" s="26"/>
      <c r="D520" s="10" t="s">
        <v>7831</v>
      </c>
      <c r="E520" s="48" t="s">
        <v>7207</v>
      </c>
      <c r="F520" s="48" t="s">
        <v>7173</v>
      </c>
      <c r="G520" s="49">
        <f t="array" ref="G520">MAX(IF(INSTOCK!$H$3:$H$6125=B520,INSTOCK!$K$3:$K$6125))</f>
        <v>0</v>
      </c>
      <c r="H520" s="50">
        <f t="array" ref="H520">SUM(IF(INSTOCK!$H$3:$H$6125=B520,INSTOCK!$I$3:$I$6125))</f>
        <v>0</v>
      </c>
      <c r="I520" s="50" t="str">
        <f>ARRAY_CONSTRAIN(ARRAYFORMULA(SUM(IF([3]!Table13[ID]=B520,[3]!Table13[QTY]))), 1, 1)</f>
        <v>#ERROR!</v>
      </c>
      <c r="J520" s="50" t="str">
        <f>TABLEITEM!$H$3:$H$2749-TABLEITEM!$I$3:$I$2749</f>
        <v>#ERROR!</v>
      </c>
    </row>
    <row r="521" ht="15.75" customHeight="1">
      <c r="A521" s="45"/>
      <c r="B521" s="10" t="s">
        <v>7832</v>
      </c>
      <c r="C521" s="26"/>
      <c r="D521" s="10" t="s">
        <v>7833</v>
      </c>
      <c r="E521" s="48" t="s">
        <v>7207</v>
      </c>
      <c r="F521" s="48" t="s">
        <v>7173</v>
      </c>
      <c r="G521" s="49">
        <f t="array" ref="G521">MAX(IF(INSTOCK!$H$3:$H$6125=B521,INSTOCK!$K$3:$K$6125))</f>
        <v>0</v>
      </c>
      <c r="H521" s="50">
        <f t="array" ref="H521">SUM(IF(INSTOCK!$H$3:$H$6125=B521,INSTOCK!$I$3:$I$6125))</f>
        <v>0</v>
      </c>
      <c r="I521" s="50" t="str">
        <f>ARRAY_CONSTRAIN(ARRAYFORMULA(SUM(IF([3]!Table13[ID]=B521,[3]!Table13[QTY]))), 1, 1)</f>
        <v>#ERROR!</v>
      </c>
      <c r="J521" s="50" t="str">
        <f>TABLEITEM!$H$3:$H$2749-TABLEITEM!$I$3:$I$2749</f>
        <v>#ERROR!</v>
      </c>
    </row>
    <row r="522" ht="15.75" customHeight="1">
      <c r="A522" s="45"/>
      <c r="B522" s="10" t="s">
        <v>7834</v>
      </c>
      <c r="C522" s="26"/>
      <c r="D522" s="10" t="s">
        <v>7835</v>
      </c>
      <c r="E522" s="48" t="s">
        <v>7207</v>
      </c>
      <c r="F522" s="48" t="s">
        <v>7173</v>
      </c>
      <c r="G522" s="49">
        <f t="array" ref="G522">MAX(IF(INSTOCK!$H$3:$H$6125=B522,INSTOCK!$K$3:$K$6125))</f>
        <v>2.8145</v>
      </c>
      <c r="H522" s="50">
        <f t="array" ref="H522">SUM(IF(INSTOCK!$H$3:$H$6125=B522,INSTOCK!$I$3:$I$6125))</f>
        <v>300</v>
      </c>
      <c r="I522" s="50" t="str">
        <f>ARRAY_CONSTRAIN(ARRAYFORMULA(SUM(IF([3]!Table13[ID]=B522,[3]!Table13[QTY]))), 1, 1)</f>
        <v>#ERROR!</v>
      </c>
      <c r="J522" s="50" t="str">
        <f>TABLEITEM!$H$3:$H$2749-TABLEITEM!$I$3:$I$2749</f>
        <v>#ERROR!</v>
      </c>
    </row>
    <row r="523" ht="15.75" customHeight="1">
      <c r="A523" s="45"/>
      <c r="B523" s="10" t="s">
        <v>7836</v>
      </c>
      <c r="C523" s="26"/>
      <c r="D523" s="10" t="s">
        <v>7837</v>
      </c>
      <c r="E523" s="10" t="s">
        <v>7654</v>
      </c>
      <c r="F523" s="48" t="s">
        <v>7173</v>
      </c>
      <c r="G523" s="49">
        <f t="array" ref="G523">MAX(IF(INSTOCK!$H$3:$H$6125=B523,INSTOCK!$K$3:$K$6125))</f>
        <v>2.5675</v>
      </c>
      <c r="H523" s="50">
        <f t="array" ref="H523">SUM(IF(INSTOCK!$H$3:$H$6125=B523,INSTOCK!$I$3:$I$6125))</f>
        <v>400</v>
      </c>
      <c r="I523" s="50" t="str">
        <f>ARRAY_CONSTRAIN(ARRAYFORMULA(SUM(IF([3]!Table13[ID]=B523,[3]!Table13[QTY]))), 1, 1)</f>
        <v>#ERROR!</v>
      </c>
      <c r="J523" s="50" t="str">
        <f>TABLEITEM!$H$3:$H$2749-TABLEITEM!$I$3:$I$2749</f>
        <v>#ERROR!</v>
      </c>
    </row>
    <row r="524" ht="15.75" customHeight="1">
      <c r="A524" s="45"/>
      <c r="B524" s="10" t="s">
        <v>7838</v>
      </c>
      <c r="C524" s="26"/>
      <c r="D524" s="10" t="s">
        <v>7839</v>
      </c>
      <c r="E524" s="48" t="s">
        <v>7207</v>
      </c>
      <c r="F524" s="48" t="s">
        <v>7173</v>
      </c>
      <c r="G524" s="49">
        <f t="array" ref="G524">MAX(IF(INSTOCK!$H$3:$H$6125=B524,INSTOCK!$K$3:$K$6125))</f>
        <v>5.25</v>
      </c>
      <c r="H524" s="50">
        <f t="array" ref="H524">SUM(IF(INSTOCK!$H$3:$H$6125=B524,INSTOCK!$I$3:$I$6125))</f>
        <v>200</v>
      </c>
      <c r="I524" s="50" t="str">
        <f>ARRAY_CONSTRAIN(ARRAYFORMULA(SUM(IF([3]!Table13[ID]=B524,[3]!Table13[QTY]))), 1, 1)</f>
        <v>#ERROR!</v>
      </c>
      <c r="J524" s="50" t="str">
        <f>TABLEITEM!$H$3:$H$2749-TABLEITEM!$I$3:$I$2749</f>
        <v>#ERROR!</v>
      </c>
    </row>
    <row r="525" ht="15.75" customHeight="1">
      <c r="A525" s="45"/>
      <c r="B525" s="10" t="s">
        <v>7840</v>
      </c>
      <c r="C525" s="26"/>
      <c r="D525" s="10" t="s">
        <v>7841</v>
      </c>
      <c r="E525" s="48" t="s">
        <v>7207</v>
      </c>
      <c r="F525" s="48" t="s">
        <v>7173</v>
      </c>
      <c r="G525" s="49">
        <f t="array" ref="G525">MAX(IF(INSTOCK!$H$3:$H$6125=B525,INSTOCK!$K$3:$K$6125))</f>
        <v>2.145</v>
      </c>
      <c r="H525" s="50">
        <f t="array" ref="H525">SUM(IF(INSTOCK!$H$3:$H$6125=B525,INSTOCK!$I$3:$I$6125))</f>
        <v>1300</v>
      </c>
      <c r="I525" s="50" t="str">
        <f>ARRAY_CONSTRAIN(ARRAYFORMULA(SUM(IF([3]!Table13[ID]=B525,[3]!Table13[QTY]))), 1, 1)</f>
        <v>#ERROR!</v>
      </c>
      <c r="J525" s="50" t="str">
        <f>TABLEITEM!$H$3:$H$2749-TABLEITEM!$I$3:$I$2749</f>
        <v>#ERROR!</v>
      </c>
    </row>
    <row r="526" ht="15.75" customHeight="1">
      <c r="A526" s="45"/>
      <c r="B526" s="10" t="s">
        <v>7842</v>
      </c>
      <c r="C526" s="26"/>
      <c r="D526" s="10" t="s">
        <v>7843</v>
      </c>
      <c r="E526" s="48" t="s">
        <v>7207</v>
      </c>
      <c r="F526" s="48" t="s">
        <v>7173</v>
      </c>
      <c r="G526" s="49">
        <f t="array" ref="G526">MAX(IF(INSTOCK!$H$3:$H$6125=B526,INSTOCK!$K$3:$K$6125))</f>
        <v>1.846</v>
      </c>
      <c r="H526" s="50">
        <f t="array" ref="H526">SUM(IF(INSTOCK!$H$3:$H$6125=B526,INSTOCK!$I$3:$I$6125))</f>
        <v>1700</v>
      </c>
      <c r="I526" s="50" t="str">
        <f>ARRAY_CONSTRAIN(ARRAYFORMULA(SUM(IF([3]!Table13[ID]=B526,[3]!Table13[QTY]))), 1, 1)</f>
        <v>#ERROR!</v>
      </c>
      <c r="J526" s="50" t="str">
        <f>TABLEITEM!$H$3:$H$2749-TABLEITEM!$I$3:$I$2749</f>
        <v>#ERROR!</v>
      </c>
    </row>
    <row r="527" ht="15.75" customHeight="1">
      <c r="A527" s="45"/>
      <c r="B527" s="10" t="s">
        <v>7844</v>
      </c>
      <c r="C527" s="26"/>
      <c r="D527" s="10" t="s">
        <v>7845</v>
      </c>
      <c r="E527" s="48" t="s">
        <v>7207</v>
      </c>
      <c r="F527" s="48" t="s">
        <v>7173</v>
      </c>
      <c r="G527" s="49">
        <f t="array" ref="G527">MAX(IF(INSTOCK!$H$3:$H$6125=B527,INSTOCK!$K$3:$K$6125))</f>
        <v>1.7</v>
      </c>
      <c r="H527" s="50">
        <f t="array" ref="H527">SUM(IF(INSTOCK!$H$3:$H$6125=B527,INSTOCK!$I$3:$I$6125))</f>
        <v>2300</v>
      </c>
      <c r="I527" s="50" t="str">
        <f>ARRAY_CONSTRAIN(ARRAYFORMULA(SUM(IF([3]!Table13[ID]=B527,[3]!Table13[QTY]))), 1, 1)</f>
        <v>#ERROR!</v>
      </c>
      <c r="J527" s="50" t="str">
        <f>TABLEITEM!$H$3:$H$2749-TABLEITEM!$I$3:$I$2749</f>
        <v>#ERROR!</v>
      </c>
    </row>
    <row r="528" ht="15.75" customHeight="1">
      <c r="A528" s="45"/>
      <c r="B528" s="10" t="s">
        <v>7846</v>
      </c>
      <c r="C528" s="26"/>
      <c r="D528" s="10" t="s">
        <v>7847</v>
      </c>
      <c r="E528" s="48" t="s">
        <v>7207</v>
      </c>
      <c r="F528" s="48" t="s">
        <v>7173</v>
      </c>
      <c r="G528" s="49">
        <f t="array" ref="G528">MAX(IF(INSTOCK!$H$3:$H$6125=B528,INSTOCK!$K$3:$K$6125))</f>
        <v>1.87</v>
      </c>
      <c r="H528" s="50">
        <f t="array" ref="H528">SUM(IF(INSTOCK!$H$3:$H$6125=B528,INSTOCK!$I$3:$I$6125))</f>
        <v>4300</v>
      </c>
      <c r="I528" s="50" t="str">
        <f>ARRAY_CONSTRAIN(ARRAYFORMULA(SUM(IF([3]!Table13[ID]=B528,[3]!Table13[QTY]))), 1, 1)</f>
        <v>#ERROR!</v>
      </c>
      <c r="J528" s="50" t="str">
        <f>TABLEITEM!$H$3:$H$2749-TABLEITEM!$I$3:$I$2749</f>
        <v>#ERROR!</v>
      </c>
    </row>
    <row r="529" ht="15.75" customHeight="1">
      <c r="A529" s="45"/>
      <c r="B529" s="10" t="s">
        <v>7848</v>
      </c>
      <c r="C529" s="26"/>
      <c r="D529" s="10" t="s">
        <v>7849</v>
      </c>
      <c r="E529" s="10" t="s">
        <v>7654</v>
      </c>
      <c r="F529" s="48" t="s">
        <v>7173</v>
      </c>
      <c r="G529" s="49">
        <f t="array" ref="G529">MAX(IF(INSTOCK!$H$3:$H$6125=B529,INSTOCK!$K$3:$K$6125))</f>
        <v>1.416666</v>
      </c>
      <c r="H529" s="50">
        <f t="array" ref="H529">SUM(IF(INSTOCK!$H$3:$H$6125=B529,INSTOCK!$I$3:$I$6125))</f>
        <v>300</v>
      </c>
      <c r="I529" s="50" t="str">
        <f>ARRAY_CONSTRAIN(ARRAYFORMULA(SUM(IF([3]!Table13[ID]=B529,[3]!Table13[QTY]))), 1, 1)</f>
        <v>#ERROR!</v>
      </c>
      <c r="J529" s="50" t="str">
        <f>TABLEITEM!$H$3:$H$2749-TABLEITEM!$I$3:$I$2749</f>
        <v>#ERROR!</v>
      </c>
    </row>
    <row r="530" ht="15.75" customHeight="1">
      <c r="A530" s="45"/>
      <c r="B530" s="10" t="s">
        <v>7850</v>
      </c>
      <c r="C530" s="26"/>
      <c r="D530" s="10" t="s">
        <v>7851</v>
      </c>
      <c r="E530" s="10" t="s">
        <v>7654</v>
      </c>
      <c r="F530" s="48" t="s">
        <v>7173</v>
      </c>
      <c r="G530" s="49">
        <f t="array" ref="G530">MAX(IF(INSTOCK!$H$3:$H$6125=B530,INSTOCK!$K$3:$K$6125))</f>
        <v>1.3975</v>
      </c>
      <c r="H530" s="50">
        <f t="array" ref="H530">SUM(IF(INSTOCK!$H$3:$H$6125=B530,INSTOCK!$I$3:$I$6125))</f>
        <v>300</v>
      </c>
      <c r="I530" s="50" t="str">
        <f>ARRAY_CONSTRAIN(ARRAYFORMULA(SUM(IF([3]!Table13[ID]=B530,[3]!Table13[QTY]))), 1, 1)</f>
        <v>#ERROR!</v>
      </c>
      <c r="J530" s="50" t="str">
        <f>TABLEITEM!$H$3:$H$2749-TABLEITEM!$I$3:$I$2749</f>
        <v>#ERROR!</v>
      </c>
    </row>
    <row r="531" ht="15.75" customHeight="1">
      <c r="A531" s="45"/>
      <c r="B531" s="10" t="s">
        <v>7852</v>
      </c>
      <c r="C531" s="26"/>
      <c r="D531" s="10" t="s">
        <v>7853</v>
      </c>
      <c r="E531" s="48" t="s">
        <v>7207</v>
      </c>
      <c r="F531" s="48" t="s">
        <v>7173</v>
      </c>
      <c r="G531" s="49">
        <f t="array" ref="G531">MAX(IF(INSTOCK!$H$3:$H$6125=B531,INSTOCK!$K$3:$K$6125))</f>
        <v>0</v>
      </c>
      <c r="H531" s="50">
        <f t="array" ref="H531">SUM(IF(INSTOCK!$H$3:$H$6125=B531,INSTOCK!$I$3:$I$6125))</f>
        <v>0</v>
      </c>
      <c r="I531" s="50" t="str">
        <f>ARRAY_CONSTRAIN(ARRAYFORMULA(SUM(IF([3]!Table13[ID]=B531,[3]!Table13[QTY]))), 1, 1)</f>
        <v>#ERROR!</v>
      </c>
      <c r="J531" s="50" t="str">
        <f>TABLEITEM!$H$3:$H$2749-TABLEITEM!$I$3:$I$2749</f>
        <v>#ERROR!</v>
      </c>
    </row>
    <row r="532" ht="15.75" customHeight="1">
      <c r="A532" s="45"/>
      <c r="B532" s="10" t="s">
        <v>7854</v>
      </c>
      <c r="C532" s="26"/>
      <c r="D532" s="10" t="s">
        <v>7855</v>
      </c>
      <c r="E532" s="48" t="s">
        <v>7207</v>
      </c>
      <c r="F532" s="48" t="s">
        <v>7173</v>
      </c>
      <c r="G532" s="49">
        <f t="array" ref="G532">MAX(IF(INSTOCK!$H$3:$H$6125=B532,INSTOCK!$K$3:$K$6125))</f>
        <v>0</v>
      </c>
      <c r="H532" s="50">
        <f t="array" ref="H532">SUM(IF(INSTOCK!$H$3:$H$6125=B532,INSTOCK!$I$3:$I$6125))</f>
        <v>0</v>
      </c>
      <c r="I532" s="50" t="str">
        <f>ARRAY_CONSTRAIN(ARRAYFORMULA(SUM(IF([3]!Table13[ID]=B532,[3]!Table13[QTY]))), 1, 1)</f>
        <v>#ERROR!</v>
      </c>
      <c r="J532" s="50" t="str">
        <f>TABLEITEM!$H$3:$H$2749-TABLEITEM!$I$3:$I$2749</f>
        <v>#ERROR!</v>
      </c>
    </row>
    <row r="533" ht="15.75" customHeight="1">
      <c r="A533" s="45"/>
      <c r="B533" s="10" t="s">
        <v>7856</v>
      </c>
      <c r="C533" s="26"/>
      <c r="D533" s="10" t="s">
        <v>7857</v>
      </c>
      <c r="E533" s="48" t="s">
        <v>7207</v>
      </c>
      <c r="F533" s="48" t="s">
        <v>7173</v>
      </c>
      <c r="G533" s="49">
        <f t="array" ref="G533">MAX(IF(INSTOCK!$H$3:$H$6125=B533,INSTOCK!$K$3:$K$6125))</f>
        <v>0</v>
      </c>
      <c r="H533" s="50">
        <f t="array" ref="H533">SUM(IF(INSTOCK!$H$3:$H$6125=B533,INSTOCK!$I$3:$I$6125))</f>
        <v>0</v>
      </c>
      <c r="I533" s="50" t="str">
        <f>ARRAY_CONSTRAIN(ARRAYFORMULA(SUM(IF([3]!Table13[ID]=B533,[3]!Table13[QTY]))), 1, 1)</f>
        <v>#ERROR!</v>
      </c>
      <c r="J533" s="50" t="str">
        <f>TABLEITEM!$H$3:$H$2749-TABLEITEM!$I$3:$I$2749</f>
        <v>#ERROR!</v>
      </c>
    </row>
    <row r="534" ht="15.75" customHeight="1">
      <c r="A534" s="45"/>
      <c r="B534" s="10" t="s">
        <v>7858</v>
      </c>
      <c r="C534" s="26"/>
      <c r="D534" s="10" t="s">
        <v>7859</v>
      </c>
      <c r="E534" s="10" t="s">
        <v>7654</v>
      </c>
      <c r="F534" s="48" t="s">
        <v>7173</v>
      </c>
      <c r="G534" s="49">
        <f t="array" ref="G534">MAX(IF(INSTOCK!$H$3:$H$6125=B534,INSTOCK!$K$3:$K$6125))</f>
        <v>0</v>
      </c>
      <c r="H534" s="50">
        <f t="array" ref="H534">SUM(IF(INSTOCK!$H$3:$H$6125=B534,INSTOCK!$I$3:$I$6125))</f>
        <v>0</v>
      </c>
      <c r="I534" s="50" t="str">
        <f>ARRAY_CONSTRAIN(ARRAYFORMULA(SUM(IF([3]!Table13[ID]=B534,[3]!Table13[QTY]))), 1, 1)</f>
        <v>#ERROR!</v>
      </c>
      <c r="J534" s="50" t="str">
        <f>TABLEITEM!$H$3:$H$2749-TABLEITEM!$I$3:$I$2749</f>
        <v>#ERROR!</v>
      </c>
    </row>
    <row r="535" ht="15.75" customHeight="1">
      <c r="A535" s="45"/>
      <c r="B535" s="10" t="s">
        <v>7860</v>
      </c>
      <c r="C535" s="26"/>
      <c r="D535" s="10" t="s">
        <v>7861</v>
      </c>
      <c r="E535" s="48" t="s">
        <v>7207</v>
      </c>
      <c r="F535" s="48" t="s">
        <v>7173</v>
      </c>
      <c r="G535" s="49">
        <f t="array" ref="G535">MAX(IF(INSTOCK!$H$3:$H$6125=B535,INSTOCK!$K$3:$K$6125))</f>
        <v>1.5</v>
      </c>
      <c r="H535" s="50">
        <f t="array" ref="H535">SUM(IF(INSTOCK!$H$3:$H$6125=B535,INSTOCK!$I$3:$I$6125))</f>
        <v>5000</v>
      </c>
      <c r="I535" s="50" t="str">
        <f>ARRAY_CONSTRAIN(ARRAYFORMULA(SUM(IF([3]!Table13[ID]=B535,[3]!Table13[QTY]))), 1, 1)</f>
        <v>#ERROR!</v>
      </c>
      <c r="J535" s="50" t="str">
        <f>TABLEITEM!$H$3:$H$2749-TABLEITEM!$I$3:$I$2749</f>
        <v>#ERROR!</v>
      </c>
    </row>
    <row r="536" ht="15.75" customHeight="1">
      <c r="A536" s="45"/>
      <c r="B536" s="10" t="s">
        <v>7862</v>
      </c>
      <c r="C536" s="26"/>
      <c r="D536" s="10" t="s">
        <v>7863</v>
      </c>
      <c r="E536" s="48" t="s">
        <v>7207</v>
      </c>
      <c r="F536" s="48" t="s">
        <v>7173</v>
      </c>
      <c r="G536" s="49">
        <f t="array" ref="G536">MAX(IF(INSTOCK!$H$3:$H$6125=B536,INSTOCK!$K$3:$K$6125))</f>
        <v>0.5785</v>
      </c>
      <c r="H536" s="50">
        <f t="array" ref="H536">SUM(IF(INSTOCK!$H$3:$H$6125=B536,INSTOCK!$I$3:$I$6125))</f>
        <v>500</v>
      </c>
      <c r="I536" s="50" t="str">
        <f>ARRAY_CONSTRAIN(ARRAYFORMULA(SUM(IF([3]!Table13[ID]=B536,[3]!Table13[QTY]))), 1, 1)</f>
        <v>#ERROR!</v>
      </c>
      <c r="J536" s="50" t="str">
        <f>TABLEITEM!$H$3:$H$2749-TABLEITEM!$I$3:$I$2749</f>
        <v>#ERROR!</v>
      </c>
    </row>
    <row r="537" ht="15.75" customHeight="1">
      <c r="A537" s="45"/>
      <c r="B537" s="10" t="s">
        <v>7864</v>
      </c>
      <c r="C537" s="26"/>
      <c r="D537" s="10" t="s">
        <v>7865</v>
      </c>
      <c r="E537" s="48" t="s">
        <v>7207</v>
      </c>
      <c r="F537" s="48" t="s">
        <v>7173</v>
      </c>
      <c r="G537" s="49">
        <f t="array" ref="G537">MAX(IF(INSTOCK!$H$3:$H$6125=B537,INSTOCK!$K$3:$K$6125))</f>
        <v>0.494</v>
      </c>
      <c r="H537" s="50">
        <f t="array" ref="H537">SUM(IF(INSTOCK!$H$3:$H$6125=B537,INSTOCK!$I$3:$I$6125))</f>
        <v>1500</v>
      </c>
      <c r="I537" s="50" t="str">
        <f>ARRAY_CONSTRAIN(ARRAYFORMULA(SUM(IF([3]!Table13[ID]=B537,[3]!Table13[QTY]))), 1, 1)</f>
        <v>#ERROR!</v>
      </c>
      <c r="J537" s="50" t="str">
        <f>TABLEITEM!$H$3:$H$2749-TABLEITEM!$I$3:$I$2749</f>
        <v>#ERROR!</v>
      </c>
    </row>
    <row r="538" ht="15.75" customHeight="1">
      <c r="A538" s="45"/>
      <c r="B538" s="10" t="s">
        <v>7866</v>
      </c>
      <c r="C538" s="26"/>
      <c r="D538" s="10" t="s">
        <v>7867</v>
      </c>
      <c r="E538" s="48" t="s">
        <v>7207</v>
      </c>
      <c r="F538" s="48" t="s">
        <v>7173</v>
      </c>
      <c r="G538" s="49">
        <f t="array" ref="G538">MAX(IF(INSTOCK!$H$3:$H$6125=B538,INSTOCK!$K$3:$K$6125))</f>
        <v>0.429</v>
      </c>
      <c r="H538" s="50">
        <f t="array" ref="H538">SUM(IF(INSTOCK!$H$3:$H$6125=B538,INSTOCK!$I$3:$I$6125))</f>
        <v>8000</v>
      </c>
      <c r="I538" s="50" t="str">
        <f>ARRAY_CONSTRAIN(ARRAYFORMULA(SUM(IF([3]!Table13[ID]=B538,[3]!Table13[QTY]))), 1, 1)</f>
        <v>#ERROR!</v>
      </c>
      <c r="J538" s="50" t="str">
        <f>TABLEITEM!$H$3:$H$2749-TABLEITEM!$I$3:$I$2749</f>
        <v>#ERROR!</v>
      </c>
    </row>
    <row r="539" ht="15.75" customHeight="1">
      <c r="A539" s="45"/>
      <c r="B539" s="10" t="s">
        <v>7868</v>
      </c>
      <c r="C539" s="26"/>
      <c r="D539" s="10" t="s">
        <v>7869</v>
      </c>
      <c r="E539" s="48" t="s">
        <v>7207</v>
      </c>
      <c r="F539" s="48" t="s">
        <v>7173</v>
      </c>
      <c r="G539" s="49">
        <f t="array" ref="G539">MAX(IF(INSTOCK!$H$3:$H$6125=B539,INSTOCK!$K$3:$K$6125))</f>
        <v>1.05</v>
      </c>
      <c r="H539" s="50">
        <f t="array" ref="H539">SUM(IF(INSTOCK!$H$3:$H$6125=B539,INSTOCK!$I$3:$I$6125))</f>
        <v>30000</v>
      </c>
      <c r="I539" s="50" t="str">
        <f>ARRAY_CONSTRAIN(ARRAYFORMULA(SUM(IF([3]!Table13[ID]=B539,[3]!Table13[QTY]))), 1, 1)</f>
        <v>#ERROR!</v>
      </c>
      <c r="J539" s="50" t="str">
        <f>TABLEITEM!$H$3:$H$2749-TABLEITEM!$I$3:$I$2749</f>
        <v>#ERROR!</v>
      </c>
    </row>
    <row r="540" ht="15.75" customHeight="1">
      <c r="A540" s="45"/>
      <c r="B540" s="10" t="s">
        <v>7870</v>
      </c>
      <c r="C540" s="26"/>
      <c r="D540" s="10" t="s">
        <v>7871</v>
      </c>
      <c r="E540" s="48" t="s">
        <v>7207</v>
      </c>
      <c r="F540" s="48" t="s">
        <v>7173</v>
      </c>
      <c r="G540" s="49">
        <f t="array" ref="G540">MAX(IF(INSTOCK!$H$3:$H$6125=B540,INSTOCK!$K$3:$K$6125))</f>
        <v>0.99</v>
      </c>
      <c r="H540" s="50">
        <f t="array" ref="H540">SUM(IF(INSTOCK!$H$3:$H$6125=B540,INSTOCK!$I$3:$I$6125))</f>
        <v>67500</v>
      </c>
      <c r="I540" s="50" t="str">
        <f>ARRAY_CONSTRAIN(ARRAYFORMULA(SUM(IF([3]!Table13[ID]=B540,[3]!Table13[QTY]))), 1, 1)</f>
        <v>#ERROR!</v>
      </c>
      <c r="J540" s="50" t="str">
        <f>TABLEITEM!$H$3:$H$2749-TABLEITEM!$I$3:$I$2749</f>
        <v>#ERROR!</v>
      </c>
    </row>
    <row r="541" ht="15.75" customHeight="1">
      <c r="A541" s="45"/>
      <c r="B541" s="10" t="s">
        <v>7872</v>
      </c>
      <c r="C541" s="26"/>
      <c r="D541" s="10" t="s">
        <v>7873</v>
      </c>
      <c r="E541" s="48" t="s">
        <v>7207</v>
      </c>
      <c r="F541" s="48" t="s">
        <v>7173</v>
      </c>
      <c r="G541" s="49">
        <f t="array" ref="G541">MAX(IF(INSTOCK!$H$3:$H$6125=B541,INSTOCK!$K$3:$K$6125))</f>
        <v>0.55</v>
      </c>
      <c r="H541" s="50">
        <f t="array" ref="H541">SUM(IF(INSTOCK!$H$3:$H$6125=B541,INSTOCK!$I$3:$I$6125))</f>
        <v>1000</v>
      </c>
      <c r="I541" s="50" t="str">
        <f>ARRAY_CONSTRAIN(ARRAYFORMULA(SUM(IF([3]!Table13[ID]=B541,[3]!Table13[QTY]))), 1, 1)</f>
        <v>#ERROR!</v>
      </c>
      <c r="J541" s="50" t="str">
        <f>TABLEITEM!$H$3:$H$2749-TABLEITEM!$I$3:$I$2749</f>
        <v>#ERROR!</v>
      </c>
    </row>
    <row r="542" ht="15.75" customHeight="1">
      <c r="A542" s="45"/>
      <c r="B542" s="10" t="s">
        <v>7874</v>
      </c>
      <c r="C542" s="26"/>
      <c r="D542" s="10" t="s">
        <v>7875</v>
      </c>
      <c r="E542" s="48" t="s">
        <v>7207</v>
      </c>
      <c r="F542" s="48" t="s">
        <v>7173</v>
      </c>
      <c r="G542" s="49">
        <f t="array" ref="G542">MAX(IF(INSTOCK!$H$3:$H$6125=B542,INSTOCK!$K$3:$K$6125))</f>
        <v>1.105</v>
      </c>
      <c r="H542" s="50">
        <f t="array" ref="H542">SUM(IF(INSTOCK!$H$3:$H$6125=B542,INSTOCK!$I$3:$I$6125))</f>
        <v>6000</v>
      </c>
      <c r="I542" s="50" t="str">
        <f>ARRAY_CONSTRAIN(ARRAYFORMULA(SUM(IF([3]!Table13[ID]=B542,[3]!Table13[QTY]))), 1, 1)</f>
        <v>#ERROR!</v>
      </c>
      <c r="J542" s="50" t="str">
        <f>TABLEITEM!$H$3:$H$2749-TABLEITEM!$I$3:$I$2749</f>
        <v>#ERROR!</v>
      </c>
    </row>
    <row r="543" ht="15.75" customHeight="1">
      <c r="A543" s="45"/>
      <c r="B543" s="10" t="s">
        <v>7876</v>
      </c>
      <c r="C543" s="26"/>
      <c r="D543" s="10" t="s">
        <v>7877</v>
      </c>
      <c r="E543" s="48" t="s">
        <v>7207</v>
      </c>
      <c r="F543" s="48" t="s">
        <v>7173</v>
      </c>
      <c r="G543" s="49">
        <f t="array" ref="G543">MAX(IF(INSTOCK!$H$3:$H$6125=B543,INSTOCK!$K$3:$K$6125))</f>
        <v>0.728</v>
      </c>
      <c r="H543" s="50">
        <f t="array" ref="H543">SUM(IF(INSTOCK!$H$3:$H$6125=B543,INSTOCK!$I$3:$I$6125))</f>
        <v>8000</v>
      </c>
      <c r="I543" s="50" t="str">
        <f>ARRAY_CONSTRAIN(ARRAYFORMULA(SUM(IF([3]!Table13[ID]=B543,[3]!Table13[QTY]))), 1, 1)</f>
        <v>#ERROR!</v>
      </c>
      <c r="J543" s="50" t="str">
        <f>TABLEITEM!$H$3:$H$2749-TABLEITEM!$I$3:$I$2749</f>
        <v>#ERROR!</v>
      </c>
    </row>
    <row r="544" ht="15.75" customHeight="1">
      <c r="A544" s="45"/>
      <c r="B544" s="10" t="s">
        <v>7878</v>
      </c>
      <c r="C544" s="26"/>
      <c r="D544" s="10" t="s">
        <v>7879</v>
      </c>
      <c r="E544" s="48" t="s">
        <v>7207</v>
      </c>
      <c r="F544" s="48" t="s">
        <v>7173</v>
      </c>
      <c r="G544" s="49">
        <f t="array" ref="G544">MAX(IF(INSTOCK!$H$3:$H$6125=B544,INSTOCK!$K$3:$K$6125))</f>
        <v>2.73</v>
      </c>
      <c r="H544" s="50">
        <f t="array" ref="H544">SUM(IF(INSTOCK!$H$3:$H$6125=B544,INSTOCK!$I$3:$I$6125))</f>
        <v>21000</v>
      </c>
      <c r="I544" s="50" t="str">
        <f>ARRAY_CONSTRAIN(ARRAYFORMULA(SUM(IF([3]!Table13[ID]=B544,[3]!Table13[QTY]))), 1, 1)</f>
        <v>#ERROR!</v>
      </c>
      <c r="J544" s="50" t="str">
        <f>TABLEITEM!$H$3:$H$2749-TABLEITEM!$I$3:$I$2749</f>
        <v>#ERROR!</v>
      </c>
    </row>
    <row r="545" ht="15.75" customHeight="1">
      <c r="A545" s="45"/>
      <c r="B545" s="10" t="s">
        <v>7880</v>
      </c>
      <c r="C545" s="26"/>
      <c r="D545" s="10" t="s">
        <v>7881</v>
      </c>
      <c r="E545" s="48" t="s">
        <v>7207</v>
      </c>
      <c r="F545" s="48" t="s">
        <v>7173</v>
      </c>
      <c r="G545" s="49">
        <f t="array" ref="G545">MAX(IF(INSTOCK!$H$3:$H$6125=B545,INSTOCK!$K$3:$K$6125))</f>
        <v>2.21</v>
      </c>
      <c r="H545" s="50">
        <f t="array" ref="H545">SUM(IF(INSTOCK!$H$3:$H$6125=B545,INSTOCK!$I$3:$I$6125))</f>
        <v>10300</v>
      </c>
      <c r="I545" s="50" t="str">
        <f>ARRAY_CONSTRAIN(ARRAYFORMULA(SUM(IF([3]!Table13[ID]=B545,[3]!Table13[QTY]))), 1, 1)</f>
        <v>#ERROR!</v>
      </c>
      <c r="J545" s="50" t="str">
        <f>TABLEITEM!$H$3:$H$2749-TABLEITEM!$I$3:$I$2749</f>
        <v>#ERROR!</v>
      </c>
    </row>
    <row r="546" ht="15.75" customHeight="1">
      <c r="A546" s="45"/>
      <c r="B546" s="10" t="s">
        <v>1952</v>
      </c>
      <c r="C546" s="26"/>
      <c r="D546" s="10" t="s">
        <v>7882</v>
      </c>
      <c r="E546" s="48" t="s">
        <v>7415</v>
      </c>
      <c r="F546" s="48" t="s">
        <v>7173</v>
      </c>
      <c r="G546" s="49">
        <f t="array" ref="G546">MAX(IF(INSTOCK!$H$3:$H$6125=B546,INSTOCK!$K$3:$K$6125))</f>
        <v>6</v>
      </c>
      <c r="H546" s="50">
        <f t="array" ref="H546">SUM(IF(INSTOCK!$H$3:$H$6125=B546,INSTOCK!$I$3:$I$6125))</f>
        <v>12</v>
      </c>
      <c r="I546" s="50" t="str">
        <f>ARRAY_CONSTRAIN(ARRAYFORMULA(SUM(IF([3]!Table13[ID]=B546,[3]!Table13[QTY]))), 1, 1)</f>
        <v>#ERROR!</v>
      </c>
      <c r="J546" s="50" t="str">
        <f>TABLEITEM!$H$3:$H$2749-TABLEITEM!$I$3:$I$2749</f>
        <v>#ERROR!</v>
      </c>
    </row>
    <row r="547" ht="15.75" customHeight="1">
      <c r="A547" s="45"/>
      <c r="B547" s="10" t="s">
        <v>2404</v>
      </c>
      <c r="C547" s="26"/>
      <c r="D547" s="10" t="s">
        <v>7883</v>
      </c>
      <c r="E547" s="48" t="s">
        <v>7207</v>
      </c>
      <c r="F547" s="48" t="s">
        <v>7173</v>
      </c>
      <c r="G547" s="49">
        <f t="array" ref="G547">MAX(IF(INSTOCK!$H$3:$H$6125=B547,INSTOCK!$K$3:$K$6125))</f>
        <v>0.378</v>
      </c>
      <c r="H547" s="50">
        <f t="array" ref="H547">SUM(IF(INSTOCK!$H$3:$H$6125=B547,INSTOCK!$I$3:$I$6125))</f>
        <v>2000</v>
      </c>
      <c r="I547" s="50" t="str">
        <f>ARRAY_CONSTRAIN(ARRAYFORMULA(SUM(IF([3]!Table13[ID]=B547,[3]!Table13[QTY]))), 1, 1)</f>
        <v>#ERROR!</v>
      </c>
      <c r="J547" s="50" t="str">
        <f>TABLEITEM!$H$3:$H$2749-TABLEITEM!$I$3:$I$2749</f>
        <v>#ERROR!</v>
      </c>
    </row>
    <row r="548" ht="15.75" customHeight="1">
      <c r="A548" s="45"/>
      <c r="B548" s="10" t="s">
        <v>7884</v>
      </c>
      <c r="C548" s="26"/>
      <c r="D548" s="10" t="s">
        <v>7885</v>
      </c>
      <c r="E548" s="10" t="s">
        <v>7235</v>
      </c>
      <c r="F548" s="48" t="s">
        <v>7173</v>
      </c>
      <c r="G548" s="49">
        <f t="array" ref="G548">MAX(IF(INSTOCK!$H$3:$H$6125=B548,INSTOCK!$K$3:$K$6125))</f>
        <v>0</v>
      </c>
      <c r="H548" s="50">
        <f t="array" ref="H548">SUM(IF(INSTOCK!$H$3:$H$6125=B548,INSTOCK!$I$3:$I$6125))</f>
        <v>0</v>
      </c>
      <c r="I548" s="50" t="str">
        <f>ARRAY_CONSTRAIN(ARRAYFORMULA(SUM(IF([3]!Table13[ID]=B548,[3]!Table13[QTY]))), 1, 1)</f>
        <v>#ERROR!</v>
      </c>
      <c r="J548" s="50" t="str">
        <f>TABLEITEM!$H$3:$H$2749-TABLEITEM!$I$3:$I$2749</f>
        <v>#ERROR!</v>
      </c>
    </row>
    <row r="549" ht="15.75" customHeight="1">
      <c r="A549" s="45"/>
      <c r="B549" s="10" t="s">
        <v>7886</v>
      </c>
      <c r="C549" s="26"/>
      <c r="D549" s="10" t="s">
        <v>7887</v>
      </c>
      <c r="E549" s="10" t="s">
        <v>7235</v>
      </c>
      <c r="F549" s="48" t="s">
        <v>7173</v>
      </c>
      <c r="G549" s="49">
        <f t="array" ref="G549">MAX(IF(INSTOCK!$H$3:$H$6125=B549,INSTOCK!$K$3:$K$6125))</f>
        <v>0.256</v>
      </c>
      <c r="H549" s="50">
        <f t="array" ref="H549">SUM(IF(INSTOCK!$H$3:$H$6125=B549,INSTOCK!$I$3:$I$6125))</f>
        <v>13000</v>
      </c>
      <c r="I549" s="50" t="str">
        <f>ARRAY_CONSTRAIN(ARRAYFORMULA(SUM(IF([3]!Table13[ID]=B549,[3]!Table13[QTY]))), 1, 1)</f>
        <v>#ERROR!</v>
      </c>
      <c r="J549" s="50" t="str">
        <f>TABLEITEM!$H$3:$H$2749-TABLEITEM!$I$3:$I$2749</f>
        <v>#ERROR!</v>
      </c>
    </row>
    <row r="550" ht="15.75" customHeight="1">
      <c r="A550" s="45"/>
      <c r="B550" s="10" t="s">
        <v>7888</v>
      </c>
      <c r="C550" s="26"/>
      <c r="D550" s="10" t="s">
        <v>7889</v>
      </c>
      <c r="E550" s="48" t="s">
        <v>7207</v>
      </c>
      <c r="F550" s="48" t="s">
        <v>7173</v>
      </c>
      <c r="G550" s="49">
        <f t="array" ref="G550">MAX(IF(INSTOCK!$H$3:$H$6125=B550,INSTOCK!$K$3:$K$6125))</f>
        <v>0.96</v>
      </c>
      <c r="H550" s="50">
        <f t="array" ref="H550">SUM(IF(INSTOCK!$H$3:$H$6125=B550,INSTOCK!$I$3:$I$6125))</f>
        <v>35000</v>
      </c>
      <c r="I550" s="50" t="str">
        <f>ARRAY_CONSTRAIN(ARRAYFORMULA(SUM(IF([3]!Table13[ID]=B550,[3]!Table13[QTY]))), 1, 1)</f>
        <v>#ERROR!</v>
      </c>
      <c r="J550" s="50" t="str">
        <f>TABLEITEM!$H$3:$H$2749-TABLEITEM!$I$3:$I$2749</f>
        <v>#ERROR!</v>
      </c>
    </row>
    <row r="551" ht="15.75" customHeight="1">
      <c r="A551" s="45"/>
      <c r="B551" s="10" t="s">
        <v>7890</v>
      </c>
      <c r="C551" s="26"/>
      <c r="D551" s="10" t="s">
        <v>7891</v>
      </c>
      <c r="E551" s="48" t="s">
        <v>7207</v>
      </c>
      <c r="F551" s="48" t="s">
        <v>7173</v>
      </c>
      <c r="G551" s="49">
        <f t="array" ref="G551">MAX(IF(INSTOCK!$H$3:$H$6125=B551,INSTOCK!$K$3:$K$6125))</f>
        <v>0.22</v>
      </c>
      <c r="H551" s="50">
        <f t="array" ref="H551">SUM(IF(INSTOCK!$H$3:$H$6125=B551,INSTOCK!$I$3:$I$6125))</f>
        <v>9000</v>
      </c>
      <c r="I551" s="50" t="str">
        <f>ARRAY_CONSTRAIN(ARRAYFORMULA(SUM(IF([3]!Table13[ID]=B551,[3]!Table13[QTY]))), 1, 1)</f>
        <v>#ERROR!</v>
      </c>
      <c r="J551" s="50" t="str">
        <f>TABLEITEM!$H$3:$H$2749-TABLEITEM!$I$3:$I$2749</f>
        <v>#ERROR!</v>
      </c>
    </row>
    <row r="552" ht="15.75" customHeight="1">
      <c r="A552" s="45"/>
      <c r="B552" s="10" t="s">
        <v>7892</v>
      </c>
      <c r="C552" s="26"/>
      <c r="D552" s="10" t="s">
        <v>7893</v>
      </c>
      <c r="E552" s="48" t="s">
        <v>7207</v>
      </c>
      <c r="F552" s="48" t="s">
        <v>7173</v>
      </c>
      <c r="G552" s="49">
        <f t="array" ref="G552">MAX(IF(INSTOCK!$H$3:$H$6125=B552,INSTOCK!$K$3:$K$6125))</f>
        <v>0.1704</v>
      </c>
      <c r="H552" s="50">
        <f t="array" ref="H552">SUM(IF(INSTOCK!$H$3:$H$6125=B552,INSTOCK!$I$3:$I$6125))</f>
        <v>18000</v>
      </c>
      <c r="I552" s="50" t="str">
        <f>ARRAY_CONSTRAIN(ARRAYFORMULA(SUM(IF([3]!Table13[ID]=B552,[3]!Table13[QTY]))), 1, 1)</f>
        <v>#ERROR!</v>
      </c>
      <c r="J552" s="50" t="str">
        <f>TABLEITEM!$H$3:$H$2749-TABLEITEM!$I$3:$I$2749</f>
        <v>#ERROR!</v>
      </c>
    </row>
    <row r="553" ht="15.75" customHeight="1">
      <c r="A553" s="45"/>
      <c r="B553" s="10" t="s">
        <v>7894</v>
      </c>
      <c r="C553" s="26"/>
      <c r="D553" s="10" t="s">
        <v>7895</v>
      </c>
      <c r="E553" s="48" t="s">
        <v>7207</v>
      </c>
      <c r="F553" s="48" t="s">
        <v>7173</v>
      </c>
      <c r="G553" s="49">
        <f t="array" ref="G553">MAX(IF(INSTOCK!$H$3:$H$6125=B553,INSTOCK!$K$3:$K$6125))</f>
        <v>0.18</v>
      </c>
      <c r="H553" s="50">
        <f t="array" ref="H553">SUM(IF(INSTOCK!$H$3:$H$6125=B553,INSTOCK!$I$3:$I$6125))</f>
        <v>4000</v>
      </c>
      <c r="I553" s="50" t="str">
        <f>ARRAY_CONSTRAIN(ARRAYFORMULA(SUM(IF([3]!Table13[ID]=B553,[3]!Table13[QTY]))), 1, 1)</f>
        <v>#ERROR!</v>
      </c>
      <c r="J553" s="50" t="str">
        <f>TABLEITEM!$H$3:$H$2749-TABLEITEM!$I$3:$I$2749</f>
        <v>#ERROR!</v>
      </c>
    </row>
    <row r="554" ht="15.75" customHeight="1">
      <c r="A554" s="45"/>
      <c r="B554" s="10" t="s">
        <v>7896</v>
      </c>
      <c r="C554" s="26"/>
      <c r="D554" s="10" t="s">
        <v>7897</v>
      </c>
      <c r="E554" s="48" t="s">
        <v>2495</v>
      </c>
      <c r="F554" s="48" t="s">
        <v>7173</v>
      </c>
      <c r="G554" s="49" t="str">
        <f t="array" ref="G554">MAX(IF(INSTOCK!$H$3:$H$6125=#REF!,INSTOCK!$K$3:$K$6125))</f>
        <v>#REF!</v>
      </c>
      <c r="H554" s="50">
        <f t="array" ref="H554">SUM(IF(INSTOCK!$H$3:$H$6125=B554,INSTOCK!$I$3:$I$6125))</f>
        <v>1000</v>
      </c>
      <c r="I554" s="50" t="str">
        <f>ARRAY_CONSTRAIN(ARRAYFORMULA(SUM(IF([3]!Table13[ID]=B554,[3]!Table13[QTY]))), 1, 1)</f>
        <v>#ERROR!</v>
      </c>
      <c r="J554" s="50" t="str">
        <f>TABLEITEM!$H$3:$H$2749-TABLEITEM!$I$3:$I$2749</f>
        <v>#ERROR!</v>
      </c>
    </row>
    <row r="555" ht="15.75" customHeight="1">
      <c r="A555" s="45"/>
      <c r="B555" s="10" t="s">
        <v>7898</v>
      </c>
      <c r="C555" s="26"/>
      <c r="D555" s="10" t="s">
        <v>7899</v>
      </c>
      <c r="E555" s="48" t="s">
        <v>7207</v>
      </c>
      <c r="F555" s="48" t="s">
        <v>7173</v>
      </c>
      <c r="G555" s="49">
        <f t="array" ref="G555">MAX(IF(INSTOCK!$H$3:$H$6125=B555,INSTOCK!$K$3:$K$6125))</f>
        <v>0.13</v>
      </c>
      <c r="H555" s="50">
        <f t="array" ref="H555">SUM(IF(INSTOCK!$H$3:$H$6125=B555,INSTOCK!$I$3:$I$6125))</f>
        <v>26000</v>
      </c>
      <c r="I555" s="50" t="str">
        <f>ARRAY_CONSTRAIN(ARRAYFORMULA(SUM(IF([3]!Table13[ID]=B555,[3]!Table13[QTY]))), 1, 1)</f>
        <v>#ERROR!</v>
      </c>
      <c r="J555" s="50" t="str">
        <f>TABLEITEM!$H$3:$H$2749-TABLEITEM!$I$3:$I$2749</f>
        <v>#ERROR!</v>
      </c>
    </row>
    <row r="556" ht="15.75" customHeight="1">
      <c r="A556" s="45"/>
      <c r="B556" s="10" t="s">
        <v>2751</v>
      </c>
      <c r="C556" s="26"/>
      <c r="D556" s="10" t="s">
        <v>7900</v>
      </c>
      <c r="E556" s="48" t="s">
        <v>7654</v>
      </c>
      <c r="F556" s="48" t="s">
        <v>7173</v>
      </c>
      <c r="G556" s="49">
        <f t="array" ref="G556">MAX(IF(INSTOCK!$H$3:$H$6125=B556,INSTOCK!$K$3:$K$6125))</f>
        <v>13</v>
      </c>
      <c r="H556" s="50">
        <f t="array" ref="H556">SUM(IF(INSTOCK!$H$3:$H$6125=B556,INSTOCK!$I$3:$I$6125))</f>
        <v>994</v>
      </c>
      <c r="I556" s="50" t="str">
        <f>ARRAY_CONSTRAIN(ARRAYFORMULA(SUM(IF([3]!Table13[ID]=B556,[3]!Table13[QTY]))), 1, 1)</f>
        <v>#ERROR!</v>
      </c>
      <c r="J556" s="50" t="str">
        <f>TABLEITEM!$H$3:$H$2749-TABLEITEM!$I$3:$I$2749</f>
        <v>#ERROR!</v>
      </c>
    </row>
    <row r="557" ht="15.75" customHeight="1">
      <c r="A557" s="45"/>
      <c r="B557" s="10" t="s">
        <v>7901</v>
      </c>
      <c r="C557" s="26"/>
      <c r="D557" s="10" t="s">
        <v>7902</v>
      </c>
      <c r="E557" s="10" t="s">
        <v>7235</v>
      </c>
      <c r="F557" s="48" t="s">
        <v>7173</v>
      </c>
      <c r="G557" s="49">
        <f t="array" ref="G557">MAX(IF(INSTOCK!$H$3:$H$6125=B557,INSTOCK!$K$3:$K$6125))</f>
        <v>0</v>
      </c>
      <c r="H557" s="50">
        <f t="array" ref="H557">SUM(IF(INSTOCK!$H$3:$H$6125=B557,INSTOCK!$I$3:$I$6125))</f>
        <v>0</v>
      </c>
      <c r="I557" s="50" t="str">
        <f>ARRAY_CONSTRAIN(ARRAYFORMULA(SUM(IF([3]!Table13[ID]=B557,[3]!Table13[QTY]))), 1, 1)</f>
        <v>#ERROR!</v>
      </c>
      <c r="J557" s="50" t="str">
        <f>TABLEITEM!$H$3:$H$2749-TABLEITEM!$I$3:$I$2749</f>
        <v>#ERROR!</v>
      </c>
    </row>
    <row r="558" ht="15.75" customHeight="1">
      <c r="A558" s="45"/>
      <c r="B558" s="10" t="s">
        <v>7903</v>
      </c>
      <c r="C558" s="26"/>
      <c r="D558" s="10" t="s">
        <v>7904</v>
      </c>
      <c r="E558" s="48" t="s">
        <v>7207</v>
      </c>
      <c r="F558" s="48" t="s">
        <v>7173</v>
      </c>
      <c r="G558" s="49">
        <f t="array" ref="G558">MAX(IF(INSTOCK!$H$3:$H$6125=B558,INSTOCK!$K$3:$K$6125))</f>
        <v>3.25</v>
      </c>
      <c r="H558" s="50">
        <f t="array" ref="H558">SUM(IF(INSTOCK!$H$3:$H$6125=B558,INSTOCK!$I$3:$I$6125))</f>
        <v>500</v>
      </c>
      <c r="I558" s="50" t="str">
        <f>ARRAY_CONSTRAIN(ARRAYFORMULA(SUM(IF([3]!Table13[ID]=B558,[3]!Table13[QTY]))), 1, 1)</f>
        <v>#ERROR!</v>
      </c>
      <c r="J558" s="50" t="str">
        <f>TABLEITEM!$H$3:$H$2749-TABLEITEM!$I$3:$I$2749</f>
        <v>#ERROR!</v>
      </c>
    </row>
    <row r="559" ht="15.75" customHeight="1">
      <c r="A559" s="45"/>
      <c r="B559" s="10" t="s">
        <v>7905</v>
      </c>
      <c r="C559" s="26"/>
      <c r="D559" s="10" t="s">
        <v>7906</v>
      </c>
      <c r="E559" s="48" t="s">
        <v>7207</v>
      </c>
      <c r="F559" s="48" t="s">
        <v>7173</v>
      </c>
      <c r="G559" s="49">
        <f t="array" ref="G559">MAX(IF(INSTOCK!$H$3:$H$6125=B559,INSTOCK!$K$3:$K$6125))</f>
        <v>1.8</v>
      </c>
      <c r="H559" s="50">
        <f t="array" ref="H559">SUM(IF(INSTOCK!$H$3:$H$6125=B559,INSTOCK!$I$3:$I$6125))</f>
        <v>11000</v>
      </c>
      <c r="I559" s="50" t="str">
        <f>ARRAY_CONSTRAIN(ARRAYFORMULA(SUM(IF([3]!Table13[ID]=B559,[3]!Table13[QTY]))), 1, 1)</f>
        <v>#ERROR!</v>
      </c>
      <c r="J559" s="50" t="str">
        <f>TABLEITEM!$H$3:$H$2749-TABLEITEM!$I$3:$I$2749</f>
        <v>#ERROR!</v>
      </c>
    </row>
    <row r="560" ht="15.75" customHeight="1">
      <c r="A560" s="45"/>
      <c r="B560" s="10" t="s">
        <v>3915</v>
      </c>
      <c r="C560" s="26"/>
      <c r="D560" s="10" t="s">
        <v>7907</v>
      </c>
      <c r="E560" s="48" t="s">
        <v>7207</v>
      </c>
      <c r="F560" s="48" t="s">
        <v>7173</v>
      </c>
      <c r="G560" s="49">
        <f t="array" ref="G560">MAX(IF(INSTOCK!$H$3:$H$6125=B560,INSTOCK!$K$3:$K$6125))</f>
        <v>1.05</v>
      </c>
      <c r="H560" s="50">
        <f t="array" ref="H560">SUM(IF(INSTOCK!$H$3:$H$6125=B560,INSTOCK!$I$3:$I$6125))</f>
        <v>95000</v>
      </c>
      <c r="I560" s="50" t="str">
        <f>ARRAY_CONSTRAIN(ARRAYFORMULA(SUM(IF([3]!Table13[ID]=B560,[3]!Table13[QTY]))), 1, 1)</f>
        <v>#ERROR!</v>
      </c>
      <c r="J560" s="50" t="str">
        <f>TABLEITEM!$H$3:$H$2749-TABLEITEM!$I$3:$I$2749</f>
        <v>#ERROR!</v>
      </c>
    </row>
    <row r="561" ht="15.75" customHeight="1">
      <c r="A561" s="45"/>
      <c r="B561" s="10" t="s">
        <v>1856</v>
      </c>
      <c r="C561" s="26"/>
      <c r="D561" s="10" t="s">
        <v>7908</v>
      </c>
      <c r="E561" s="48" t="s">
        <v>7207</v>
      </c>
      <c r="F561" s="48" t="s">
        <v>7173</v>
      </c>
      <c r="G561" s="49">
        <f t="array" ref="G561">MAX(IF(INSTOCK!$H$3:$H$6125=B561,INSTOCK!$K$3:$K$6125))</f>
        <v>0.99</v>
      </c>
      <c r="H561" s="50">
        <f t="array" ref="H561">SUM(IF(INSTOCK!$H$3:$H$6125=B561,INSTOCK!$I$3:$I$6125))</f>
        <v>150000</v>
      </c>
      <c r="I561" s="50" t="str">
        <f>ARRAY_CONSTRAIN(ARRAYFORMULA(SUM(IF([3]!Table13[ID]=B561,[3]!Table13[QTY]))), 1, 1)</f>
        <v>#ERROR!</v>
      </c>
      <c r="J561" s="50" t="str">
        <f>TABLEITEM!$H$3:$H$2749-TABLEITEM!$I$3:$I$2749</f>
        <v>#ERROR!</v>
      </c>
    </row>
    <row r="562" ht="15.75" customHeight="1">
      <c r="A562" s="45"/>
      <c r="B562" s="10" t="s">
        <v>3935</v>
      </c>
      <c r="C562" s="26"/>
      <c r="D562" s="10" t="s">
        <v>7909</v>
      </c>
      <c r="E562" s="48" t="s">
        <v>7207</v>
      </c>
      <c r="F562" s="48" t="s">
        <v>7173</v>
      </c>
      <c r="G562" s="49">
        <f t="array" ref="G562">MAX(IF(INSTOCK!$H$3:$H$6125=B562,INSTOCK!$K$3:$K$6125))</f>
        <v>10.5</v>
      </c>
      <c r="H562" s="50">
        <f t="array" ref="H562">SUM(IF(INSTOCK!$H$3:$H$6125=B562,INSTOCK!$I$3:$I$6125))</f>
        <v>6300</v>
      </c>
      <c r="I562" s="50" t="str">
        <f>ARRAY_CONSTRAIN(ARRAYFORMULA(SUM(IF([3]!Table13[ID]=B562,[3]!Table13[QTY]))), 1, 1)</f>
        <v>#ERROR!</v>
      </c>
      <c r="J562" s="50" t="str">
        <f>TABLEITEM!$H$3:$H$2749-TABLEITEM!$I$3:$I$2749</f>
        <v>#ERROR!</v>
      </c>
    </row>
    <row r="563" ht="15.75" customHeight="1">
      <c r="A563" s="45"/>
      <c r="B563" s="10" t="s">
        <v>1778</v>
      </c>
      <c r="C563" s="26"/>
      <c r="D563" s="10" t="s">
        <v>7910</v>
      </c>
      <c r="E563" s="48" t="s">
        <v>7207</v>
      </c>
      <c r="F563" s="48" t="s">
        <v>7173</v>
      </c>
      <c r="G563" s="49">
        <f t="array" ref="G563">MAX(IF(INSTOCK!$H$3:$H$6125=B563,INSTOCK!$K$3:$K$6125))</f>
        <v>1.85</v>
      </c>
      <c r="H563" s="50">
        <f t="array" ref="H563">SUM(IF(INSTOCK!$H$3:$H$6125=B563,INSTOCK!$I$3:$I$6125))</f>
        <v>5000</v>
      </c>
      <c r="I563" s="50" t="str">
        <f>ARRAY_CONSTRAIN(ARRAYFORMULA(SUM(IF([3]!Table13[ID]=B563,[3]!Table13[QTY]))), 1, 1)</f>
        <v>#ERROR!</v>
      </c>
      <c r="J563" s="50" t="str">
        <f>TABLEITEM!$H$3:$H$2749-TABLEITEM!$I$3:$I$2749</f>
        <v>#ERROR!</v>
      </c>
    </row>
    <row r="564" ht="15.75" customHeight="1">
      <c r="A564" s="45"/>
      <c r="B564" s="10" t="s">
        <v>7911</v>
      </c>
      <c r="C564" s="26"/>
      <c r="D564" s="10" t="s">
        <v>7912</v>
      </c>
      <c r="E564" s="10" t="s">
        <v>7235</v>
      </c>
      <c r="F564" s="48" t="s">
        <v>7173</v>
      </c>
      <c r="G564" s="49">
        <f t="array" ref="G564">MAX(IF(INSTOCK!$H$3:$H$6125=B564,INSTOCK!$K$3:$K$6125))</f>
        <v>0</v>
      </c>
      <c r="H564" s="50">
        <f t="array" ref="H564">SUM(IF(INSTOCK!$H$3:$H$6125=B564,INSTOCK!$I$3:$I$6125))</f>
        <v>0</v>
      </c>
      <c r="I564" s="50" t="str">
        <f>ARRAY_CONSTRAIN(ARRAYFORMULA(SUM(IF([3]!Table13[ID]=B564,[3]!Table13[QTY]))), 1, 1)</f>
        <v>#ERROR!</v>
      </c>
      <c r="J564" s="50" t="str">
        <f>TABLEITEM!$H$3:$H$2749-TABLEITEM!$I$3:$I$2749</f>
        <v>#ERROR!</v>
      </c>
    </row>
    <row r="565" ht="15.75" customHeight="1">
      <c r="A565" s="45"/>
      <c r="B565" s="10" t="s">
        <v>7913</v>
      </c>
      <c r="C565" s="26"/>
      <c r="D565" s="10" t="s">
        <v>7914</v>
      </c>
      <c r="E565" s="10" t="s">
        <v>7235</v>
      </c>
      <c r="F565" s="48" t="s">
        <v>7173</v>
      </c>
      <c r="G565" s="49">
        <f t="array" ref="G565">MAX(IF(INSTOCK!$H$3:$H$6125=B565,INSTOCK!$K$3:$K$6125))</f>
        <v>0</v>
      </c>
      <c r="H565" s="50">
        <f t="array" ref="H565">SUM(IF(INSTOCK!$H$3:$H$6125=B565,INSTOCK!$I$3:$I$6125))</f>
        <v>0</v>
      </c>
      <c r="I565" s="50" t="str">
        <f>ARRAY_CONSTRAIN(ARRAYFORMULA(SUM(IF([3]!Table13[ID]=B565,[3]!Table13[QTY]))), 1, 1)</f>
        <v>#ERROR!</v>
      </c>
      <c r="J565" s="50" t="str">
        <f>TABLEITEM!$H$3:$H$2749-TABLEITEM!$I$3:$I$2749</f>
        <v>#ERROR!</v>
      </c>
    </row>
    <row r="566" ht="15.75" customHeight="1">
      <c r="A566" s="45"/>
      <c r="B566" s="10" t="s">
        <v>7915</v>
      </c>
      <c r="C566" s="26"/>
      <c r="D566" s="10" t="s">
        <v>7916</v>
      </c>
      <c r="E566" s="10" t="s">
        <v>7235</v>
      </c>
      <c r="F566" s="48" t="s">
        <v>7173</v>
      </c>
      <c r="G566" s="49">
        <f t="array" ref="G566">MAX(IF(INSTOCK!$H$3:$H$6125=B566,INSTOCK!$K$3:$K$6125))</f>
        <v>0</v>
      </c>
      <c r="H566" s="50">
        <f t="array" ref="H566">SUM(IF(INSTOCK!$H$3:$H$6125=B566,INSTOCK!$I$3:$I$6125))</f>
        <v>0</v>
      </c>
      <c r="I566" s="50" t="str">
        <f>ARRAY_CONSTRAIN(ARRAYFORMULA(SUM(IF([3]!Table13[ID]=B566,[3]!Table13[QTY]))), 1, 1)</f>
        <v>#ERROR!</v>
      </c>
      <c r="J566" s="50" t="str">
        <f>TABLEITEM!$H$3:$H$2749-TABLEITEM!$I$3:$I$2749</f>
        <v>#ERROR!</v>
      </c>
    </row>
    <row r="567" ht="15.75" customHeight="1">
      <c r="A567" s="45"/>
      <c r="B567" s="18" t="s">
        <v>7917</v>
      </c>
      <c r="C567" s="26"/>
      <c r="D567" s="10" t="s">
        <v>7918</v>
      </c>
      <c r="E567" s="10" t="s">
        <v>7235</v>
      </c>
      <c r="F567" s="48" t="s">
        <v>7173</v>
      </c>
      <c r="G567" s="49">
        <f t="array" ref="G567">MAX(IF(INSTOCK!$H$3:$H$6125=B567,INSTOCK!$K$3:$K$6125))</f>
        <v>0</v>
      </c>
      <c r="H567" s="50">
        <f t="array" ref="H567">SUM(IF(INSTOCK!$H$3:$H$6125=B567,INSTOCK!$I$3:$I$6125))</f>
        <v>0</v>
      </c>
      <c r="I567" s="50" t="str">
        <f>ARRAY_CONSTRAIN(ARRAYFORMULA(SUM(IF([3]!Table13[ID]=B567,[3]!Table13[QTY]))), 1, 1)</f>
        <v>#ERROR!</v>
      </c>
      <c r="J567" s="50" t="str">
        <f>TABLEITEM!$H$3:$H$2749-TABLEITEM!$I$3:$I$2749</f>
        <v>#ERROR!</v>
      </c>
    </row>
    <row r="568" ht="15.75" customHeight="1">
      <c r="A568" s="45"/>
      <c r="B568" s="10" t="s">
        <v>7919</v>
      </c>
      <c r="C568" s="26"/>
      <c r="D568" s="10" t="s">
        <v>7920</v>
      </c>
      <c r="E568" s="10" t="s">
        <v>7235</v>
      </c>
      <c r="F568" s="48" t="s">
        <v>7173</v>
      </c>
      <c r="G568" s="49">
        <f t="array" ref="G568">MAX(IF(INSTOCK!$H$3:$H$6125=B568,INSTOCK!$K$3:$K$6125))</f>
        <v>0</v>
      </c>
      <c r="H568" s="50">
        <f t="array" ref="H568">SUM(IF(INSTOCK!$H$3:$H$6125=B568,INSTOCK!$I$3:$I$6125))</f>
        <v>0</v>
      </c>
      <c r="I568" s="50" t="str">
        <f>ARRAY_CONSTRAIN(ARRAYFORMULA(SUM(IF([3]!Table13[ID]=B568,[3]!Table13[QTY]))), 1, 1)</f>
        <v>#ERROR!</v>
      </c>
      <c r="J568" s="50" t="str">
        <f>TABLEITEM!$H$3:$H$2749-TABLEITEM!$I$3:$I$2749</f>
        <v>#ERROR!</v>
      </c>
    </row>
    <row r="569" ht="15.75" customHeight="1">
      <c r="A569" s="45"/>
      <c r="B569" s="10" t="s">
        <v>7921</v>
      </c>
      <c r="C569" s="26"/>
      <c r="D569" s="10" t="s">
        <v>7922</v>
      </c>
      <c r="E569" s="10" t="s">
        <v>7235</v>
      </c>
      <c r="F569" s="48" t="s">
        <v>7173</v>
      </c>
      <c r="G569" s="49">
        <f t="array" ref="G569">MAX(IF(INSTOCK!$H$3:$H$6125=B569,INSTOCK!$K$3:$K$6125))</f>
        <v>0</v>
      </c>
      <c r="H569" s="50">
        <f t="array" ref="H569">SUM(IF(INSTOCK!$H$3:$H$6125=B569,INSTOCK!$I$3:$I$6125))</f>
        <v>0</v>
      </c>
      <c r="I569" s="50" t="str">
        <f>ARRAY_CONSTRAIN(ARRAYFORMULA(SUM(IF([3]!Table13[ID]=B569,[3]!Table13[QTY]))), 1, 1)</f>
        <v>#ERROR!</v>
      </c>
      <c r="J569" s="50" t="str">
        <f>TABLEITEM!$H$3:$H$2749-TABLEITEM!$I$3:$I$2749</f>
        <v>#ERROR!</v>
      </c>
    </row>
    <row r="570" ht="15.75" customHeight="1">
      <c r="A570" s="45"/>
      <c r="B570" s="10" t="s">
        <v>7923</v>
      </c>
      <c r="C570" s="26"/>
      <c r="D570" s="10" t="s">
        <v>7924</v>
      </c>
      <c r="E570" s="10" t="s">
        <v>7235</v>
      </c>
      <c r="F570" s="48" t="s">
        <v>7173</v>
      </c>
      <c r="G570" s="49">
        <f t="array" ref="G570">MAX(IF(INSTOCK!$H$3:$H$6125=B570,INSTOCK!$K$3:$K$6125))</f>
        <v>0</v>
      </c>
      <c r="H570" s="50">
        <f t="array" ref="H570">SUM(IF(INSTOCK!$H$3:$H$6125=B570,INSTOCK!$I$3:$I$6125))</f>
        <v>0</v>
      </c>
      <c r="I570" s="50" t="str">
        <f>ARRAY_CONSTRAIN(ARRAYFORMULA(SUM(IF([3]!Table13[ID]=B570,[3]!Table13[QTY]))), 1, 1)</f>
        <v>#ERROR!</v>
      </c>
      <c r="J570" s="50" t="str">
        <f>TABLEITEM!$H$3:$H$2749-TABLEITEM!$I$3:$I$2749</f>
        <v>#ERROR!</v>
      </c>
    </row>
    <row r="571" ht="15.75" customHeight="1">
      <c r="A571" s="45"/>
      <c r="B571" s="10" t="s">
        <v>7925</v>
      </c>
      <c r="C571" s="26"/>
      <c r="D571" s="10" t="s">
        <v>7926</v>
      </c>
      <c r="E571" s="10" t="s">
        <v>7235</v>
      </c>
      <c r="F571" s="48" t="s">
        <v>7173</v>
      </c>
      <c r="G571" s="49">
        <f t="array" ref="G571">MAX(IF(INSTOCK!$H$3:$H$6125=B571,INSTOCK!$K$3:$K$6125))</f>
        <v>0.42</v>
      </c>
      <c r="H571" s="50">
        <f t="array" ref="H571">SUM(IF(INSTOCK!$H$3:$H$6125=B571,INSTOCK!$I$3:$I$6125))</f>
        <v>500</v>
      </c>
      <c r="I571" s="50" t="str">
        <f>ARRAY_CONSTRAIN(ARRAYFORMULA(SUM(IF([3]!Table13[ID]=B571,[3]!Table13[QTY]))), 1, 1)</f>
        <v>#ERROR!</v>
      </c>
      <c r="J571" s="50" t="str">
        <f>TABLEITEM!$H$3:$H$2749-TABLEITEM!$I$3:$I$2749</f>
        <v>#ERROR!</v>
      </c>
    </row>
    <row r="572" ht="15.75" customHeight="1">
      <c r="A572" s="45"/>
      <c r="B572" s="18" t="s">
        <v>7927</v>
      </c>
      <c r="C572" s="26"/>
      <c r="D572" s="18" t="s">
        <v>7928</v>
      </c>
      <c r="E572" s="18" t="s">
        <v>7235</v>
      </c>
      <c r="F572" s="48" t="s">
        <v>7173</v>
      </c>
      <c r="G572" s="49">
        <f t="array" ref="G572">MAX(IF(INSTOCK!$H$3:$H$6125=B572,INSTOCK!$K$3:$K$6125))</f>
        <v>1.75</v>
      </c>
      <c r="H572" s="50">
        <f t="array" ref="H572">SUM(IF(INSTOCK!$H$3:$H$6125=B572,INSTOCK!$I$3:$I$6125))</f>
        <v>3000</v>
      </c>
      <c r="I572" s="50" t="str">
        <f>ARRAY_CONSTRAIN(ARRAYFORMULA(SUM(IF([3]!Table13[ID]=B572,[3]!Table13[QTY]))), 1, 1)</f>
        <v>#ERROR!</v>
      </c>
      <c r="J572" s="50" t="str">
        <f>TABLEITEM!$H$3:$H$2749-TABLEITEM!$I$3:$I$2749</f>
        <v>#ERROR!</v>
      </c>
    </row>
    <row r="573" ht="15.75" customHeight="1">
      <c r="A573" s="45"/>
      <c r="B573" s="18" t="s">
        <v>7929</v>
      </c>
      <c r="C573" s="26"/>
      <c r="D573" s="18" t="s">
        <v>7930</v>
      </c>
      <c r="E573" s="10" t="s">
        <v>7235</v>
      </c>
      <c r="F573" s="48" t="s">
        <v>7173</v>
      </c>
      <c r="G573" s="49">
        <f t="array" ref="G573">MAX(IF(INSTOCK!$H$3:$H$6125=B573,INSTOCK!$K$3:$K$6125))</f>
        <v>0</v>
      </c>
      <c r="H573" s="50">
        <f t="array" ref="H573">SUM(IF(INSTOCK!$H$3:$H$6125=B573,INSTOCK!$I$3:$I$6125))</f>
        <v>0</v>
      </c>
      <c r="I573" s="50" t="str">
        <f>ARRAY_CONSTRAIN(ARRAYFORMULA(SUM(IF([3]!Table13[ID]=B573,[3]!Table13[QTY]))), 1, 1)</f>
        <v>#ERROR!</v>
      </c>
      <c r="J573" s="50" t="str">
        <f>TABLEITEM!$H$3:$H$2749-TABLEITEM!$I$3:$I$2749</f>
        <v>#ERROR!</v>
      </c>
    </row>
    <row r="574" ht="15.75" customHeight="1">
      <c r="A574" s="45"/>
      <c r="B574" s="18" t="s">
        <v>7931</v>
      </c>
      <c r="C574" s="26"/>
      <c r="D574" s="18" t="s">
        <v>7932</v>
      </c>
      <c r="E574" s="10" t="s">
        <v>7235</v>
      </c>
      <c r="F574" s="48" t="s">
        <v>7173</v>
      </c>
      <c r="G574" s="49">
        <f t="array" ref="G574">MAX(IF(INSTOCK!$H$3:$H$6125=B574,INSTOCK!$K$3:$K$6125))</f>
        <v>0.294</v>
      </c>
      <c r="H574" s="50">
        <f t="array" ref="H574">SUM(IF(INSTOCK!$H$3:$H$6125=B574,INSTOCK!$I$3:$I$6125))</f>
        <v>500</v>
      </c>
      <c r="I574" s="50" t="str">
        <f>ARRAY_CONSTRAIN(ARRAYFORMULA(SUM(IF([3]!Table13[ID]=B574,[3]!Table13[QTY]))), 1, 1)</f>
        <v>#ERROR!</v>
      </c>
      <c r="J574" s="50" t="str">
        <f>TABLEITEM!$H$3:$H$2749-TABLEITEM!$I$3:$I$2749</f>
        <v>#ERROR!</v>
      </c>
    </row>
    <row r="575" ht="15.75" customHeight="1">
      <c r="A575" s="45"/>
      <c r="B575" s="18" t="s">
        <v>7933</v>
      </c>
      <c r="C575" s="26"/>
      <c r="D575" s="10" t="s">
        <v>7934</v>
      </c>
      <c r="E575" s="48" t="s">
        <v>7207</v>
      </c>
      <c r="F575" s="48" t="s">
        <v>7173</v>
      </c>
      <c r="G575" s="49">
        <f t="array" ref="G575">MAX(IF(INSTOCK!$H$3:$H$6125=B575,INSTOCK!$K$3:$K$6125))</f>
        <v>0</v>
      </c>
      <c r="H575" s="50">
        <f t="array" ref="H575">SUM(IF(INSTOCK!$H$3:$H$6125=B575,INSTOCK!$I$3:$I$6125))</f>
        <v>0</v>
      </c>
      <c r="I575" s="50" t="str">
        <f>ARRAY_CONSTRAIN(ARRAYFORMULA(SUM(IF([3]!Table13[ID]=B575,[3]!Table13[QTY]))), 1, 1)</f>
        <v>#ERROR!</v>
      </c>
      <c r="J575" s="50" t="str">
        <f>TABLEITEM!$H$3:$H$2749-TABLEITEM!$I$3:$I$2749</f>
        <v>#ERROR!</v>
      </c>
    </row>
    <row r="576" ht="15.75" customHeight="1">
      <c r="A576" s="45"/>
      <c r="B576" s="18" t="s">
        <v>7935</v>
      </c>
      <c r="C576" s="26"/>
      <c r="D576" s="10" t="s">
        <v>7936</v>
      </c>
      <c r="E576" s="10" t="s">
        <v>7235</v>
      </c>
      <c r="F576" s="48" t="s">
        <v>7173</v>
      </c>
      <c r="G576" s="49">
        <f t="array" ref="G576">MAX(IF(INSTOCK!$H$3:$H$6125=B576,INSTOCK!$K$3:$K$6125))</f>
        <v>0</v>
      </c>
      <c r="H576" s="50">
        <f t="array" ref="H576">SUM(IF(INSTOCK!$H$3:$H$6125=B576,INSTOCK!$I$3:$I$6125))</f>
        <v>0</v>
      </c>
      <c r="I576" s="50" t="str">
        <f>ARRAY_CONSTRAIN(ARRAYFORMULA(SUM(IF([3]!Table13[ID]=B576,[3]!Table13[QTY]))), 1, 1)</f>
        <v>#ERROR!</v>
      </c>
      <c r="J576" s="50" t="str">
        <f>TABLEITEM!$H$3:$H$2749-TABLEITEM!$I$3:$I$2749</f>
        <v>#ERROR!</v>
      </c>
    </row>
    <row r="577" ht="15.75" customHeight="1">
      <c r="A577" s="45"/>
      <c r="B577" s="10" t="s">
        <v>7937</v>
      </c>
      <c r="C577" s="26"/>
      <c r="D577" s="10" t="s">
        <v>7938</v>
      </c>
      <c r="E577" s="10" t="s">
        <v>7235</v>
      </c>
      <c r="F577" s="48" t="s">
        <v>7173</v>
      </c>
      <c r="G577" s="49">
        <f t="array" ref="G577">MAX(IF(INSTOCK!$H$3:$H$6125=B577,INSTOCK!$K$3:$K$6125))</f>
        <v>0.189</v>
      </c>
      <c r="H577" s="50">
        <f t="array" ref="H577">SUM(IF(INSTOCK!$H$3:$H$6125=B577,INSTOCK!$I$3:$I$6125))</f>
        <v>3000</v>
      </c>
      <c r="I577" s="50" t="str">
        <f>ARRAY_CONSTRAIN(ARRAYFORMULA(SUM(IF([3]!Table13[ID]=B577,[3]!Table13[QTY]))), 1, 1)</f>
        <v>#ERROR!</v>
      </c>
      <c r="J577" s="50" t="str">
        <f>TABLEITEM!$H$3:$H$2749-TABLEITEM!$I$3:$I$2749</f>
        <v>#ERROR!</v>
      </c>
    </row>
    <row r="578" ht="15.75" customHeight="1">
      <c r="A578" s="45"/>
      <c r="B578" s="18" t="s">
        <v>7939</v>
      </c>
      <c r="C578" s="26"/>
      <c r="D578" s="10" t="s">
        <v>7940</v>
      </c>
      <c r="E578" s="10" t="s">
        <v>7235</v>
      </c>
      <c r="F578" s="48" t="s">
        <v>7173</v>
      </c>
      <c r="G578" s="49">
        <f t="array" ref="G578">MAX(IF(INSTOCK!$H$3:$H$6125=B578,INSTOCK!$K$3:$K$6125))</f>
        <v>0</v>
      </c>
      <c r="H578" s="50">
        <f t="array" ref="H578">SUM(IF(INSTOCK!$H$3:$H$6125=B578,INSTOCK!$I$3:$I$6125))</f>
        <v>0</v>
      </c>
      <c r="I578" s="50" t="str">
        <f>ARRAY_CONSTRAIN(ARRAYFORMULA(SUM(IF([3]!Table13[ID]=B578,[3]!Table13[QTY]))), 1, 1)</f>
        <v>#ERROR!</v>
      </c>
      <c r="J578" s="50" t="str">
        <f>TABLEITEM!$H$3:$H$2749-TABLEITEM!$I$3:$I$2749</f>
        <v>#ERROR!</v>
      </c>
    </row>
    <row r="579" ht="15.75" customHeight="1">
      <c r="A579" s="45"/>
      <c r="B579" s="18" t="s">
        <v>7941</v>
      </c>
      <c r="C579" s="26"/>
      <c r="D579" s="10" t="s">
        <v>7942</v>
      </c>
      <c r="E579" s="10" t="s">
        <v>7235</v>
      </c>
      <c r="F579" s="48" t="s">
        <v>7173</v>
      </c>
      <c r="G579" s="49">
        <f t="array" ref="G579">MAX(IF(INSTOCK!$H$3:$H$6125=B579,INSTOCK!$K$3:$K$6125))</f>
        <v>0</v>
      </c>
      <c r="H579" s="50">
        <f t="array" ref="H579">SUM(IF(INSTOCK!$H$3:$H$6125=B579,INSTOCK!$I$3:$I$6125))</f>
        <v>0</v>
      </c>
      <c r="I579" s="50" t="str">
        <f>ARRAY_CONSTRAIN(ARRAYFORMULA(SUM(IF([3]!Table13[ID]=B579,[3]!Table13[QTY]))), 1, 1)</f>
        <v>#ERROR!</v>
      </c>
      <c r="J579" s="50" t="str">
        <f>TABLEITEM!$H$3:$H$2749-TABLEITEM!$I$3:$I$2749</f>
        <v>#ERROR!</v>
      </c>
    </row>
    <row r="580" ht="15.75" customHeight="1">
      <c r="A580" s="45"/>
      <c r="B580" s="18" t="s">
        <v>7943</v>
      </c>
      <c r="C580" s="26"/>
      <c r="D580" s="10" t="s">
        <v>7944</v>
      </c>
      <c r="E580" s="10" t="s">
        <v>7235</v>
      </c>
      <c r="F580" s="48" t="s">
        <v>7173</v>
      </c>
      <c r="G580" s="49">
        <f t="array" ref="G580">MAX(IF(INSTOCK!$H$3:$H$6125=B580,INSTOCK!$K$3:$K$6125))</f>
        <v>0</v>
      </c>
      <c r="H580" s="50">
        <f t="array" ref="H580">SUM(IF(INSTOCK!$H$3:$H$6125=B580,INSTOCK!$I$3:$I$6125))</f>
        <v>0</v>
      </c>
      <c r="I580" s="50" t="str">
        <f>ARRAY_CONSTRAIN(ARRAYFORMULA(SUM(IF([3]!Table13[ID]=B580,[3]!Table13[QTY]))), 1, 1)</f>
        <v>#ERROR!</v>
      </c>
      <c r="J580" s="50" t="str">
        <f>TABLEITEM!$H$3:$H$2749-TABLEITEM!$I$3:$I$2749</f>
        <v>#ERROR!</v>
      </c>
    </row>
    <row r="581" ht="15.75" customHeight="1">
      <c r="A581" s="45"/>
      <c r="B581" s="18" t="s">
        <v>7945</v>
      </c>
      <c r="C581" s="26"/>
      <c r="D581" s="10" t="s">
        <v>7946</v>
      </c>
      <c r="E581" s="10" t="s">
        <v>7235</v>
      </c>
      <c r="F581" s="48" t="s">
        <v>7173</v>
      </c>
      <c r="G581" s="49">
        <f t="array" ref="G581">MAX(IF(INSTOCK!$H$3:$H$6125=B581,INSTOCK!$K$3:$K$6125))</f>
        <v>0</v>
      </c>
      <c r="H581" s="50">
        <f t="array" ref="H581">SUM(IF(INSTOCK!$H$3:$H$6125=B581,INSTOCK!$I$3:$I$6125))</f>
        <v>0</v>
      </c>
      <c r="I581" s="50" t="str">
        <f>ARRAY_CONSTRAIN(ARRAYFORMULA(SUM(IF([3]!Table13[ID]=B581,[3]!Table13[QTY]))), 1, 1)</f>
        <v>#ERROR!</v>
      </c>
      <c r="J581" s="50" t="str">
        <f>TABLEITEM!$H$3:$H$2749-TABLEITEM!$I$3:$I$2749</f>
        <v>#ERROR!</v>
      </c>
    </row>
    <row r="582" ht="15.75" customHeight="1">
      <c r="A582" s="45"/>
      <c r="B582" s="18" t="s">
        <v>7947</v>
      </c>
      <c r="C582" s="26"/>
      <c r="D582" s="10" t="s">
        <v>7948</v>
      </c>
      <c r="E582" s="10" t="s">
        <v>7235</v>
      </c>
      <c r="F582" s="48" t="s">
        <v>7173</v>
      </c>
      <c r="G582" s="49">
        <f t="array" ref="G582">MAX(IF(INSTOCK!$H$3:$H$6125=B582,INSTOCK!$K$3:$K$6125))</f>
        <v>0</v>
      </c>
      <c r="H582" s="50">
        <f t="array" ref="H582">SUM(IF(INSTOCK!$H$3:$H$6125=B582,INSTOCK!$I$3:$I$6125))</f>
        <v>0</v>
      </c>
      <c r="I582" s="50" t="str">
        <f>ARRAY_CONSTRAIN(ARRAYFORMULA(SUM(IF([3]!Table13[ID]=B582,[3]!Table13[QTY]))), 1, 1)</f>
        <v>#ERROR!</v>
      </c>
      <c r="J582" s="50" t="str">
        <f>TABLEITEM!$H$3:$H$2749-TABLEITEM!$I$3:$I$2749</f>
        <v>#ERROR!</v>
      </c>
    </row>
    <row r="583" ht="15.75" customHeight="1">
      <c r="A583" s="45"/>
      <c r="B583" s="18" t="s">
        <v>7949</v>
      </c>
      <c r="C583" s="26"/>
      <c r="D583" s="10" t="s">
        <v>7950</v>
      </c>
      <c r="E583" s="10" t="s">
        <v>7249</v>
      </c>
      <c r="F583" s="48" t="s">
        <v>7173</v>
      </c>
      <c r="G583" s="49">
        <f t="array" ref="G583">MAX(IF(INSTOCK!$H$3:$H$6125=B583,INSTOCK!$K$3:$K$6125))</f>
        <v>0.2688</v>
      </c>
      <c r="H583" s="50">
        <f t="array" ref="H583">SUM(IF(INSTOCK!$H$3:$H$6125=B583,INSTOCK!$I$3:$I$6125))</f>
        <v>500</v>
      </c>
      <c r="I583" s="50" t="str">
        <f>ARRAY_CONSTRAIN(ARRAYFORMULA(SUM(IF([3]!Table13[ID]=B583,[3]!Table13[QTY]))), 1, 1)</f>
        <v>#ERROR!</v>
      </c>
      <c r="J583" s="50" t="str">
        <f>TABLEITEM!$H$3:$H$2749-TABLEITEM!$I$3:$I$2749</f>
        <v>#ERROR!</v>
      </c>
    </row>
    <row r="584" ht="15.75" customHeight="1">
      <c r="A584" s="45"/>
      <c r="B584" s="10" t="s">
        <v>7951</v>
      </c>
      <c r="C584" s="26"/>
      <c r="D584" s="10" t="s">
        <v>7952</v>
      </c>
      <c r="E584" s="48" t="s">
        <v>7207</v>
      </c>
      <c r="F584" s="48" t="s">
        <v>7173</v>
      </c>
      <c r="G584" s="49">
        <f t="array" ref="G584">MAX(IF(INSTOCK!$H$3:$H$6125=B584,INSTOCK!$K$3:$K$6125))</f>
        <v>0</v>
      </c>
      <c r="H584" s="50">
        <f t="array" ref="H584">SUM(IF(INSTOCK!$H$3:$H$6125=B584,INSTOCK!$I$3:$I$6125))</f>
        <v>0</v>
      </c>
      <c r="I584" s="50" t="str">
        <f>ARRAY_CONSTRAIN(ARRAYFORMULA(SUM(IF([3]!Table13[ID]=B584,[3]!Table13[QTY]))), 1, 1)</f>
        <v>#ERROR!</v>
      </c>
      <c r="J584" s="50" t="str">
        <f>TABLEITEM!$H$3:$H$2749-TABLEITEM!$I$3:$I$2749</f>
        <v>#ERROR!</v>
      </c>
    </row>
    <row r="585" ht="15.75" customHeight="1">
      <c r="A585" s="45"/>
      <c r="B585" s="10" t="s">
        <v>7953</v>
      </c>
      <c r="C585" s="26"/>
      <c r="D585" s="10" t="s">
        <v>7954</v>
      </c>
      <c r="E585" s="48" t="s">
        <v>7207</v>
      </c>
      <c r="F585" s="48" t="s">
        <v>7173</v>
      </c>
      <c r="G585" s="49">
        <f t="array" ref="G585">MAX(IF(INSTOCK!$H$3:$H$6125=B585,INSTOCK!$K$3:$K$6125))</f>
        <v>0.275</v>
      </c>
      <c r="H585" s="50">
        <f t="array" ref="H585">SUM(IF(INSTOCK!$H$3:$H$6125=B585,INSTOCK!$I$3:$I$6125))</f>
        <v>1000</v>
      </c>
      <c r="I585" s="50" t="str">
        <f>ARRAY_CONSTRAIN(ARRAYFORMULA(SUM(IF([3]!Table13[ID]=B585,[3]!Table13[QTY]))), 1, 1)</f>
        <v>#ERROR!</v>
      </c>
      <c r="J585" s="50" t="str">
        <f>TABLEITEM!$H$3:$H$2749-TABLEITEM!$I$3:$I$2749</f>
        <v>#ERROR!</v>
      </c>
    </row>
    <row r="586" ht="15.75" customHeight="1">
      <c r="A586" s="45"/>
      <c r="B586" s="18" t="s">
        <v>7955</v>
      </c>
      <c r="C586" s="26"/>
      <c r="D586" s="10" t="s">
        <v>7956</v>
      </c>
      <c r="E586" s="48" t="s">
        <v>7207</v>
      </c>
      <c r="F586" s="48" t="s">
        <v>7173</v>
      </c>
      <c r="G586" s="49">
        <f t="array" ref="G586">MAX(IF(INSTOCK!$H$3:$H$6125=B586,INSTOCK!$K$3:$K$6125))</f>
        <v>0</v>
      </c>
      <c r="H586" s="50">
        <f t="array" ref="H586">SUM(IF(INSTOCK!$H$3:$H$6125=B586,INSTOCK!$I$3:$I$6125))</f>
        <v>0</v>
      </c>
      <c r="I586" s="50" t="str">
        <f>ARRAY_CONSTRAIN(ARRAYFORMULA(SUM(IF([3]!Table13[ID]=B586,[3]!Table13[QTY]))), 1, 1)</f>
        <v>#ERROR!</v>
      </c>
      <c r="J586" s="50" t="str">
        <f>TABLEITEM!$H$3:$H$2749-TABLEITEM!$I$3:$I$2749</f>
        <v>#ERROR!</v>
      </c>
    </row>
    <row r="587" ht="15.75" customHeight="1">
      <c r="A587" s="45"/>
      <c r="B587" s="18" t="s">
        <v>7957</v>
      </c>
      <c r="C587" s="26"/>
      <c r="D587" s="10" t="s">
        <v>7958</v>
      </c>
      <c r="E587" s="48" t="s">
        <v>7207</v>
      </c>
      <c r="F587" s="48" t="s">
        <v>7173</v>
      </c>
      <c r="G587" s="49">
        <f t="array" ref="G587">MAX(IF(INSTOCK!$H$3:$H$6125=B587,INSTOCK!$K$3:$K$6125))</f>
        <v>0.25</v>
      </c>
      <c r="H587" s="50">
        <f t="array" ref="H587">SUM(IF(INSTOCK!$H$3:$H$6125=B587,INSTOCK!$I$3:$I$6125))</f>
        <v>3000</v>
      </c>
      <c r="I587" s="50" t="str">
        <f>ARRAY_CONSTRAIN(ARRAYFORMULA(SUM(IF([3]!Table13[ID]=B587,[3]!Table13[QTY]))), 1, 1)</f>
        <v>#ERROR!</v>
      </c>
      <c r="J587" s="50" t="str">
        <f>TABLEITEM!$H$3:$H$2749-TABLEITEM!$I$3:$I$2749</f>
        <v>#ERROR!</v>
      </c>
    </row>
    <row r="588" ht="15.75" customHeight="1">
      <c r="A588" s="45"/>
      <c r="B588" s="18" t="s">
        <v>7959</v>
      </c>
      <c r="C588" s="26"/>
      <c r="D588" s="10" t="s">
        <v>7960</v>
      </c>
      <c r="E588" s="10" t="s">
        <v>7235</v>
      </c>
      <c r="F588" s="48" t="s">
        <v>7173</v>
      </c>
      <c r="G588" s="49">
        <f t="array" ref="G588">MAX(IF(INSTOCK!$H$3:$H$6125=B588,INSTOCK!$K$3:$K$6125))</f>
        <v>0</v>
      </c>
      <c r="H588" s="50">
        <f t="array" ref="H588">SUM(IF(INSTOCK!$H$3:$H$6125=B588,INSTOCK!$I$3:$I$6125))</f>
        <v>0</v>
      </c>
      <c r="I588" s="50" t="str">
        <f>ARRAY_CONSTRAIN(ARRAYFORMULA(SUM(IF([3]!Table13[ID]=B588,[3]!Table13[QTY]))), 1, 1)</f>
        <v>#ERROR!</v>
      </c>
      <c r="J588" s="50" t="str">
        <f>TABLEITEM!$H$3:$H$2749-TABLEITEM!$I$3:$I$2749</f>
        <v>#ERROR!</v>
      </c>
    </row>
    <row r="589" ht="15.75" customHeight="1">
      <c r="A589" s="45"/>
      <c r="B589" s="18" t="s">
        <v>7961</v>
      </c>
      <c r="C589" s="26"/>
      <c r="D589" s="10" t="s">
        <v>7962</v>
      </c>
      <c r="E589" s="10" t="s">
        <v>7235</v>
      </c>
      <c r="F589" s="48" t="s">
        <v>7173</v>
      </c>
      <c r="G589" s="49">
        <f t="array" ref="G589">MAX(IF(INSTOCK!$H$3:$H$6125=B589,INSTOCK!$K$3:$K$6125))</f>
        <v>0</v>
      </c>
      <c r="H589" s="50">
        <f t="array" ref="H589">SUM(IF(INSTOCK!$H$3:$H$6125=B589,INSTOCK!$I$3:$I$6125))</f>
        <v>0</v>
      </c>
      <c r="I589" s="50" t="str">
        <f>ARRAY_CONSTRAIN(ARRAYFORMULA(SUM(IF([3]!Table13[ID]=B589,[3]!Table13[QTY]))), 1, 1)</f>
        <v>#ERROR!</v>
      </c>
      <c r="J589" s="50" t="str">
        <f>TABLEITEM!$H$3:$H$2749-TABLEITEM!$I$3:$I$2749</f>
        <v>#ERROR!</v>
      </c>
    </row>
    <row r="590" ht="15.75" customHeight="1">
      <c r="A590" s="45"/>
      <c r="B590" s="18" t="s">
        <v>7963</v>
      </c>
      <c r="C590" s="26"/>
      <c r="D590" s="10" t="s">
        <v>7964</v>
      </c>
      <c r="E590" s="10" t="s">
        <v>7235</v>
      </c>
      <c r="F590" s="48" t="s">
        <v>7173</v>
      </c>
      <c r="G590" s="49">
        <f t="array" ref="G590">MAX(IF(INSTOCK!$H$3:$H$6125=B590,INSTOCK!$K$3:$K$6125))</f>
        <v>0</v>
      </c>
      <c r="H590" s="50">
        <f t="array" ref="H590">SUM(IF(INSTOCK!$H$3:$H$6125=B590,INSTOCK!$I$3:$I$6125))</f>
        <v>0</v>
      </c>
      <c r="I590" s="50" t="str">
        <f>ARRAY_CONSTRAIN(ARRAYFORMULA(SUM(IF([3]!Table13[ID]=B590,[3]!Table13[QTY]))), 1, 1)</f>
        <v>#ERROR!</v>
      </c>
      <c r="J590" s="50" t="str">
        <f>TABLEITEM!$H$3:$H$2749-TABLEITEM!$I$3:$I$2749</f>
        <v>#ERROR!</v>
      </c>
    </row>
    <row r="591" ht="15.75" customHeight="1">
      <c r="A591" s="45"/>
      <c r="B591" s="18" t="s">
        <v>7965</v>
      </c>
      <c r="C591" s="26"/>
      <c r="D591" s="10" t="s">
        <v>7966</v>
      </c>
      <c r="E591" s="10" t="s">
        <v>7235</v>
      </c>
      <c r="F591" s="48" t="s">
        <v>7173</v>
      </c>
      <c r="G591" s="49">
        <f t="array" ref="G591">MAX(IF(INSTOCK!$H$3:$H$6125=B591,INSTOCK!$K$3:$K$6125))</f>
        <v>0</v>
      </c>
      <c r="H591" s="50">
        <f t="array" ref="H591">SUM(IF(INSTOCK!$H$3:$H$6125=B591,INSTOCK!$I$3:$I$6125))</f>
        <v>0</v>
      </c>
      <c r="I591" s="50" t="str">
        <f>ARRAY_CONSTRAIN(ARRAYFORMULA(SUM(IF([3]!Table13[ID]=B591,[3]!Table13[QTY]))), 1, 1)</f>
        <v>#ERROR!</v>
      </c>
      <c r="J591" s="50" t="str">
        <f>TABLEITEM!$H$3:$H$2749-TABLEITEM!$I$3:$I$2749</f>
        <v>#ERROR!</v>
      </c>
    </row>
    <row r="592" ht="15.75" customHeight="1">
      <c r="A592" s="45"/>
      <c r="B592" s="18" t="s">
        <v>7967</v>
      </c>
      <c r="C592" s="26"/>
      <c r="D592" s="18" t="s">
        <v>7968</v>
      </c>
      <c r="E592" s="48" t="s">
        <v>7207</v>
      </c>
      <c r="F592" s="48" t="s">
        <v>7173</v>
      </c>
      <c r="G592" s="49">
        <f t="array" ref="G592">MAX(IF(INSTOCK!$H$3:$H$6125=B592,INSTOCK!$K$3:$K$6125))</f>
        <v>0</v>
      </c>
      <c r="H592" s="50">
        <f t="array" ref="H592">SUM(IF(INSTOCK!$H$3:$H$6125=B592,INSTOCK!$I$3:$I$6125))</f>
        <v>0</v>
      </c>
      <c r="I592" s="50" t="str">
        <f>ARRAY_CONSTRAIN(ARRAYFORMULA(SUM(IF([3]!Table13[ID]=B592,[3]!Table13[QTY]))), 1, 1)</f>
        <v>#ERROR!</v>
      </c>
      <c r="J592" s="50" t="str">
        <f>TABLEITEM!$H$3:$H$2749-TABLEITEM!$I$3:$I$2749</f>
        <v>#ERROR!</v>
      </c>
    </row>
    <row r="593" ht="15.75" customHeight="1">
      <c r="A593" s="45"/>
      <c r="B593" s="18" t="s">
        <v>7969</v>
      </c>
      <c r="C593" s="26"/>
      <c r="D593" s="18" t="s">
        <v>7970</v>
      </c>
      <c r="E593" s="18" t="s">
        <v>7235</v>
      </c>
      <c r="F593" s="48" t="s">
        <v>7173</v>
      </c>
      <c r="G593" s="49">
        <f t="array" ref="G593">MAX(IF(INSTOCK!$H$3:$H$6125=B593,INSTOCK!$K$3:$K$6125))</f>
        <v>0</v>
      </c>
      <c r="H593" s="50">
        <f t="array" ref="H593">SUM(IF(INSTOCK!$H$3:$H$6125=B593,INSTOCK!$I$3:$I$6125))</f>
        <v>0</v>
      </c>
      <c r="I593" s="50" t="str">
        <f>ARRAY_CONSTRAIN(ARRAYFORMULA(SUM(IF([3]!Table13[ID]=B593,[3]!Table13[QTY]))), 1, 1)</f>
        <v>#ERROR!</v>
      </c>
      <c r="J593" s="50" t="str">
        <f>TABLEITEM!$H$3:$H$2749-TABLEITEM!$I$3:$I$2749</f>
        <v>#ERROR!</v>
      </c>
    </row>
    <row r="594" ht="15.75" customHeight="1">
      <c r="A594" s="45"/>
      <c r="B594" s="18" t="s">
        <v>7971</v>
      </c>
      <c r="C594" s="26"/>
      <c r="D594" s="18" t="s">
        <v>7972</v>
      </c>
      <c r="E594" s="18" t="s">
        <v>7235</v>
      </c>
      <c r="F594" s="48" t="s">
        <v>7173</v>
      </c>
      <c r="G594" s="49">
        <f t="array" ref="G594">MAX(IF(INSTOCK!$H$3:$H$6125=B594,INSTOCK!$K$3:$K$6125))</f>
        <v>0</v>
      </c>
      <c r="H594" s="50">
        <f t="array" ref="H594">SUM(IF(INSTOCK!$H$3:$H$6125=B594,INSTOCK!$I$3:$I$6125))</f>
        <v>0</v>
      </c>
      <c r="I594" s="50" t="str">
        <f>ARRAY_CONSTRAIN(ARRAYFORMULA(SUM(IF([3]!Table13[ID]=B594,[3]!Table13[QTY]))), 1, 1)</f>
        <v>#ERROR!</v>
      </c>
      <c r="J594" s="50" t="str">
        <f>TABLEITEM!$H$3:$H$2749-TABLEITEM!$I$3:$I$2749</f>
        <v>#ERROR!</v>
      </c>
    </row>
    <row r="595" ht="15.75" customHeight="1">
      <c r="A595" s="45"/>
      <c r="B595" s="18" t="s">
        <v>7973</v>
      </c>
      <c r="C595" s="26"/>
      <c r="D595" s="18" t="s">
        <v>7974</v>
      </c>
      <c r="E595" s="18" t="s">
        <v>7235</v>
      </c>
      <c r="F595" s="48" t="s">
        <v>7173</v>
      </c>
      <c r="G595" s="49">
        <f t="array" ref="G595">MAX(IF(INSTOCK!$H$3:$H$6125=B595,INSTOCK!$K$3:$K$6125))</f>
        <v>1.85</v>
      </c>
      <c r="H595" s="50">
        <f t="array" ref="H595">SUM(IF(INSTOCK!$H$3:$H$6125=B595,INSTOCK!$I$3:$I$6125))</f>
        <v>1000</v>
      </c>
      <c r="I595" s="50" t="str">
        <f>ARRAY_CONSTRAIN(ARRAYFORMULA(SUM(IF([3]!Table13[ID]=B595,[3]!Table13[QTY]))), 1, 1)</f>
        <v>#ERROR!</v>
      </c>
      <c r="J595" s="50" t="str">
        <f>TABLEITEM!$H$3:$H$2749-TABLEITEM!$I$3:$I$2749</f>
        <v>#ERROR!</v>
      </c>
    </row>
    <row r="596" ht="15.75" customHeight="1">
      <c r="A596" s="45"/>
      <c r="B596" s="18" t="s">
        <v>7975</v>
      </c>
      <c r="C596" s="26"/>
      <c r="D596" s="18" t="s">
        <v>7976</v>
      </c>
      <c r="E596" s="18" t="s">
        <v>7235</v>
      </c>
      <c r="F596" s="48" t="s">
        <v>7173</v>
      </c>
      <c r="G596" s="49">
        <f t="array" ref="G596">MAX(IF(INSTOCK!$H$3:$H$6125=B596,INSTOCK!$K$3:$K$6125))</f>
        <v>0</v>
      </c>
      <c r="H596" s="50">
        <f t="array" ref="H596">SUM(IF(INSTOCK!$H$3:$H$6125=B596,INSTOCK!$I$3:$I$6125))</f>
        <v>0</v>
      </c>
      <c r="I596" s="50" t="str">
        <f>ARRAY_CONSTRAIN(ARRAYFORMULA(SUM(IF([3]!Table13[ID]=B596,[3]!Table13[QTY]))), 1, 1)</f>
        <v>#ERROR!</v>
      </c>
      <c r="J596" s="50" t="str">
        <f>TABLEITEM!$H$3:$H$2749-TABLEITEM!$I$3:$I$2749</f>
        <v>#ERROR!</v>
      </c>
    </row>
    <row r="597" ht="15.75" customHeight="1">
      <c r="A597" s="45"/>
      <c r="B597" s="18" t="s">
        <v>7977</v>
      </c>
      <c r="C597" s="26"/>
      <c r="D597" s="18" t="s">
        <v>7978</v>
      </c>
      <c r="E597" s="18" t="s">
        <v>7235</v>
      </c>
      <c r="F597" s="48" t="s">
        <v>7173</v>
      </c>
      <c r="G597" s="49">
        <f t="array" ref="G597">MAX(IF(INSTOCK!$H$3:$H$6125=B597,INSTOCK!$K$3:$K$6125))</f>
        <v>0</v>
      </c>
      <c r="H597" s="50">
        <f t="array" ref="H597">SUM(IF(INSTOCK!$H$3:$H$6125=B597,INSTOCK!$I$3:$I$6125))</f>
        <v>0</v>
      </c>
      <c r="I597" s="50" t="str">
        <f>ARRAY_CONSTRAIN(ARRAYFORMULA(SUM(IF([3]!Table13[ID]=B597,[3]!Table13[QTY]))), 1, 1)</f>
        <v>#ERROR!</v>
      </c>
      <c r="J597" s="50" t="str">
        <f>TABLEITEM!$H$3:$H$2749-TABLEITEM!$I$3:$I$2749</f>
        <v>#ERROR!</v>
      </c>
    </row>
    <row r="598" ht="15.75" customHeight="1">
      <c r="A598" s="45"/>
      <c r="B598" s="18" t="s">
        <v>7979</v>
      </c>
      <c r="C598" s="26"/>
      <c r="D598" s="18" t="s">
        <v>7980</v>
      </c>
      <c r="E598" s="18" t="s">
        <v>7235</v>
      </c>
      <c r="F598" s="48" t="s">
        <v>7173</v>
      </c>
      <c r="G598" s="49">
        <f t="array" ref="G598">MAX(IF(INSTOCK!$H$3:$H$6125=B598,INSTOCK!$K$3:$K$6125))</f>
        <v>0</v>
      </c>
      <c r="H598" s="50">
        <f t="array" ref="H598">SUM(IF(INSTOCK!$H$3:$H$6125=B598,INSTOCK!$I$3:$I$6125))</f>
        <v>0</v>
      </c>
      <c r="I598" s="50" t="str">
        <f>ARRAY_CONSTRAIN(ARRAYFORMULA(SUM(IF([3]!Table13[ID]=B598,[3]!Table13[QTY]))), 1, 1)</f>
        <v>#ERROR!</v>
      </c>
      <c r="J598" s="50" t="str">
        <f>TABLEITEM!$H$3:$H$2749-TABLEITEM!$I$3:$I$2749</f>
        <v>#ERROR!</v>
      </c>
    </row>
    <row r="599" ht="15.75" customHeight="1">
      <c r="A599" s="45"/>
      <c r="B599" s="18" t="s">
        <v>7981</v>
      </c>
      <c r="C599" s="26"/>
      <c r="D599" s="18" t="s">
        <v>7982</v>
      </c>
      <c r="E599" s="56" t="s">
        <v>7207</v>
      </c>
      <c r="F599" s="48" t="s">
        <v>7173</v>
      </c>
      <c r="G599" s="49">
        <f t="array" ref="G599">MAX(IF(INSTOCK!$H$3:$H$6125=B599,INSTOCK!$K$3:$K$6125))</f>
        <v>0.1043</v>
      </c>
      <c r="H599" s="50">
        <f t="array" ref="H599">SUM(IF(INSTOCK!$H$3:$H$6125=B599,INSTOCK!$I$3:$I$6125))</f>
        <v>2000</v>
      </c>
      <c r="I599" s="50" t="str">
        <f>ARRAY_CONSTRAIN(ARRAYFORMULA(SUM(IF([3]!Table13[ID]=B599,[3]!Table13[QTY]))), 1, 1)</f>
        <v>#ERROR!</v>
      </c>
      <c r="J599" s="50" t="str">
        <f>TABLEITEM!$H$3:$H$2749-TABLEITEM!$I$3:$I$2749</f>
        <v>#ERROR!</v>
      </c>
    </row>
    <row r="600" ht="15.75" customHeight="1">
      <c r="A600" s="45"/>
      <c r="B600" s="18" t="s">
        <v>7983</v>
      </c>
      <c r="C600" s="26"/>
      <c r="D600" s="18" t="s">
        <v>7984</v>
      </c>
      <c r="E600" s="48" t="s">
        <v>7207</v>
      </c>
      <c r="F600" s="48" t="s">
        <v>7173</v>
      </c>
      <c r="G600" s="49">
        <f t="array" ref="G600">MAX(IF(INSTOCK!$H$3:$H$6125=B600,INSTOCK!$K$3:$K$6125))</f>
        <v>0.126</v>
      </c>
      <c r="H600" s="50">
        <f t="array" ref="H600">SUM(IF(INSTOCK!$H$3:$H$6125=B600,INSTOCK!$I$3:$I$6125))</f>
        <v>6000</v>
      </c>
      <c r="I600" s="50" t="str">
        <f>ARRAY_CONSTRAIN(ARRAYFORMULA(SUM(IF([3]!Table13[ID]=B600,[3]!Table13[QTY]))), 1, 1)</f>
        <v>#ERROR!</v>
      </c>
      <c r="J600" s="50" t="str">
        <f>TABLEITEM!$H$3:$H$2749-TABLEITEM!$I$3:$I$2749</f>
        <v>#ERROR!</v>
      </c>
    </row>
    <row r="601" ht="15.75" customHeight="1">
      <c r="A601" s="45"/>
      <c r="B601" s="18" t="s">
        <v>7985</v>
      </c>
      <c r="C601" s="26"/>
      <c r="D601" s="18" t="s">
        <v>7986</v>
      </c>
      <c r="E601" s="18" t="s">
        <v>7235</v>
      </c>
      <c r="F601" s="48" t="s">
        <v>7173</v>
      </c>
      <c r="G601" s="49">
        <f t="array" ref="G601">MAX(IF(INSTOCK!$H$3:$H$6125=B601,INSTOCK!$K$3:$K$6125))</f>
        <v>0.092</v>
      </c>
      <c r="H601" s="50">
        <f t="array" ref="H601">SUM(IF(INSTOCK!$H$3:$H$6125=B601,INSTOCK!$I$3:$I$6125))</f>
        <v>2000</v>
      </c>
      <c r="I601" s="50" t="str">
        <f>ARRAY_CONSTRAIN(ARRAYFORMULA(SUM(IF([3]!Table13[ID]=B601,[3]!Table13[QTY]))), 1, 1)</f>
        <v>#ERROR!</v>
      </c>
      <c r="J601" s="50" t="str">
        <f>TABLEITEM!$H$3:$H$2749-TABLEITEM!$I$3:$I$2749</f>
        <v>#ERROR!</v>
      </c>
    </row>
    <row r="602" ht="15.75" customHeight="1">
      <c r="A602" s="45"/>
      <c r="B602" s="18" t="s">
        <v>7987</v>
      </c>
      <c r="C602" s="26"/>
      <c r="D602" s="18" t="s">
        <v>7988</v>
      </c>
      <c r="E602" s="18" t="s">
        <v>7235</v>
      </c>
      <c r="F602" s="48" t="s">
        <v>7173</v>
      </c>
      <c r="G602" s="49">
        <f t="array" ref="G602">MAX(IF(INSTOCK!$H$3:$H$6125=B602,INSTOCK!$K$3:$K$6125))</f>
        <v>0</v>
      </c>
      <c r="H602" s="50">
        <f t="array" ref="H602">SUM(IF(INSTOCK!$H$3:$H$6125=B602,INSTOCK!$I$3:$I$6125))</f>
        <v>0</v>
      </c>
      <c r="I602" s="50" t="str">
        <f>ARRAY_CONSTRAIN(ARRAYFORMULA(SUM(IF([3]!Table13[ID]=B602,[3]!Table13[QTY]))), 1, 1)</f>
        <v>#ERROR!</v>
      </c>
      <c r="J602" s="50" t="str">
        <f>TABLEITEM!$H$3:$H$2749-TABLEITEM!$I$3:$I$2749</f>
        <v>#ERROR!</v>
      </c>
    </row>
    <row r="603" ht="15.75" customHeight="1">
      <c r="A603" s="45"/>
      <c r="B603" s="18" t="s">
        <v>7989</v>
      </c>
      <c r="C603" s="26"/>
      <c r="D603" s="18" t="s">
        <v>7990</v>
      </c>
      <c r="E603" s="18" t="s">
        <v>7235</v>
      </c>
      <c r="F603" s="48" t="s">
        <v>7173</v>
      </c>
      <c r="G603" s="49">
        <f t="array" ref="G603">MAX(IF(INSTOCK!$H$3:$H$6125=B603,INSTOCK!$K$3:$K$6125))</f>
        <v>0.13</v>
      </c>
      <c r="H603" s="50">
        <f t="array" ref="H603">SUM(IF(INSTOCK!$H$3:$H$6125=B603,INSTOCK!$I$3:$I$6125))</f>
        <v>1500</v>
      </c>
      <c r="I603" s="50" t="str">
        <f>ARRAY_CONSTRAIN(ARRAYFORMULA(SUM(IF([3]!Table13[ID]=B603,[3]!Table13[QTY]))), 1, 1)</f>
        <v>#ERROR!</v>
      </c>
      <c r="J603" s="50" t="str">
        <f>TABLEITEM!$H$3:$H$2749-TABLEITEM!$I$3:$I$2749</f>
        <v>#ERROR!</v>
      </c>
    </row>
    <row r="604" ht="15.75" customHeight="1">
      <c r="A604" s="45"/>
      <c r="B604" s="18" t="s">
        <v>7991</v>
      </c>
      <c r="C604" s="26"/>
      <c r="D604" s="18" t="s">
        <v>7992</v>
      </c>
      <c r="E604" s="18" t="s">
        <v>7235</v>
      </c>
      <c r="F604" s="48" t="s">
        <v>7173</v>
      </c>
      <c r="G604" s="49">
        <f t="array" ref="G604">MAX(IF(INSTOCK!$H$3:$H$6125=B604,INSTOCK!$K$3:$K$6125))</f>
        <v>0.12</v>
      </c>
      <c r="H604" s="50">
        <f t="array" ref="H604">SUM(IF(INSTOCK!$H$3:$H$6125=B604,INSTOCK!$I$3:$I$6125))</f>
        <v>13000</v>
      </c>
      <c r="I604" s="50" t="str">
        <f>ARRAY_CONSTRAIN(ARRAYFORMULA(SUM(IF([3]!Table13[ID]=B604,[3]!Table13[QTY]))), 1, 1)</f>
        <v>#ERROR!</v>
      </c>
      <c r="J604" s="50" t="str">
        <f>TABLEITEM!$H$3:$H$2749-TABLEITEM!$I$3:$I$2749</f>
        <v>#ERROR!</v>
      </c>
    </row>
    <row r="605" ht="15.75" customHeight="1">
      <c r="A605" s="45"/>
      <c r="B605" s="18" t="s">
        <v>7993</v>
      </c>
      <c r="C605" s="26"/>
      <c r="D605" s="18" t="s">
        <v>7994</v>
      </c>
      <c r="E605" s="18" t="s">
        <v>7249</v>
      </c>
      <c r="F605" s="48" t="s">
        <v>7173</v>
      </c>
      <c r="G605" s="49">
        <f t="array" ref="G605">MAX(IF(INSTOCK!$H$3:$H$6125=B605,INSTOCK!$K$3:$K$6125))</f>
        <v>2.275</v>
      </c>
      <c r="H605" s="50">
        <f t="array" ref="H605">SUM(IF(INSTOCK!$H$3:$H$6125=B605,INSTOCK!$I$3:$I$6125))</f>
        <v>500</v>
      </c>
      <c r="I605" s="50" t="str">
        <f>ARRAY_CONSTRAIN(ARRAYFORMULA(SUM(IF([3]!Table13[ID]=B605,[3]!Table13[QTY]))), 1, 1)</f>
        <v>#ERROR!</v>
      </c>
      <c r="J605" s="50" t="str">
        <f>TABLEITEM!$H$3:$H$2749-TABLEITEM!$I$3:$I$2749</f>
        <v>#ERROR!</v>
      </c>
    </row>
    <row r="606" ht="15.75" customHeight="1">
      <c r="A606" s="45"/>
      <c r="B606" s="18" t="s">
        <v>7995</v>
      </c>
      <c r="C606" s="26"/>
      <c r="D606" s="18" t="s">
        <v>7996</v>
      </c>
      <c r="E606" s="18" t="s">
        <v>7249</v>
      </c>
      <c r="F606" s="48" t="s">
        <v>7173</v>
      </c>
      <c r="G606" s="49">
        <f t="array" ref="G606">MAX(IF(INSTOCK!$H$3:$H$6125=B606,INSTOCK!$K$3:$K$6125))</f>
        <v>1.855</v>
      </c>
      <c r="H606" s="50">
        <f t="array" ref="H606">SUM(IF(INSTOCK!$H$3:$H$6125=B606,INSTOCK!$I$3:$I$6125))</f>
        <v>1000</v>
      </c>
      <c r="I606" s="50" t="str">
        <f>ARRAY_CONSTRAIN(ARRAYFORMULA(SUM(IF([3]!Table13[ID]=B606,[3]!Table13[QTY]))), 1, 1)</f>
        <v>#ERROR!</v>
      </c>
      <c r="J606" s="50" t="str">
        <f>TABLEITEM!$H$3:$H$2749-TABLEITEM!$I$3:$I$2749</f>
        <v>#ERROR!</v>
      </c>
    </row>
    <row r="607" ht="15.75" customHeight="1">
      <c r="A607" s="45"/>
      <c r="B607" s="18" t="s">
        <v>7997</v>
      </c>
      <c r="C607" s="26"/>
      <c r="D607" s="18" t="s">
        <v>7998</v>
      </c>
      <c r="E607" s="56" t="s">
        <v>7207</v>
      </c>
      <c r="F607" s="48" t="s">
        <v>7173</v>
      </c>
      <c r="G607" s="49">
        <f t="array" ref="G607">MAX(IF(INSTOCK!$H$3:$H$6125=B607,INSTOCK!$K$3:$K$6125))</f>
        <v>1.6275</v>
      </c>
      <c r="H607" s="50">
        <f t="array" ref="H607">SUM(IF(INSTOCK!$H$3:$H$6125=B607,INSTOCK!$I$3:$I$6125))</f>
        <v>1500</v>
      </c>
      <c r="I607" s="50" t="str">
        <f>ARRAY_CONSTRAIN(ARRAYFORMULA(SUM(IF([3]!Table13[ID]=B607,[3]!Table13[QTY]))), 1, 1)</f>
        <v>#ERROR!</v>
      </c>
      <c r="J607" s="50" t="str">
        <f>TABLEITEM!$H$3:$H$2749-TABLEITEM!$I$3:$I$2749</f>
        <v>#ERROR!</v>
      </c>
    </row>
    <row r="608" ht="15.75" customHeight="1">
      <c r="A608" s="45"/>
      <c r="B608" s="18" t="s">
        <v>7999</v>
      </c>
      <c r="C608" s="26"/>
      <c r="D608" s="18" t="s">
        <v>8000</v>
      </c>
      <c r="E608" s="18" t="s">
        <v>7249</v>
      </c>
      <c r="F608" s="48" t="s">
        <v>7173</v>
      </c>
      <c r="G608" s="49">
        <f t="array" ref="G608">MAX(IF(INSTOCK!$H$3:$H$6125=B608,INSTOCK!$K$3:$K$6125))</f>
        <v>0</v>
      </c>
      <c r="H608" s="50">
        <f t="array" ref="H608">SUM(IF(INSTOCK!$H$3:$H$6125=B608,INSTOCK!$I$3:$I$6125))</f>
        <v>0</v>
      </c>
      <c r="I608" s="50" t="str">
        <f>ARRAY_CONSTRAIN(ARRAYFORMULA(SUM(IF([3]!Table13[ID]=B608,[3]!Table13[QTY]))), 1, 1)</f>
        <v>#ERROR!</v>
      </c>
      <c r="J608" s="50" t="str">
        <f>TABLEITEM!$H$3:$H$2749-TABLEITEM!$I$3:$I$2749</f>
        <v>#ERROR!</v>
      </c>
    </row>
    <row r="609" ht="15.75" customHeight="1">
      <c r="A609" s="45"/>
      <c r="B609" s="18" t="s">
        <v>8001</v>
      </c>
      <c r="C609" s="26"/>
      <c r="D609" s="18" t="s">
        <v>8002</v>
      </c>
      <c r="E609" s="18" t="s">
        <v>7249</v>
      </c>
      <c r="F609" s="48" t="s">
        <v>7173</v>
      </c>
      <c r="G609" s="49">
        <f t="array" ref="G609">MAX(IF(INSTOCK!$H$3:$H$6125=B609,INSTOCK!$K$3:$K$6125))</f>
        <v>0</v>
      </c>
      <c r="H609" s="50">
        <f t="array" ref="H609">SUM(IF(INSTOCK!$H$3:$H$6125=B609,INSTOCK!$I$3:$I$6125))</f>
        <v>0</v>
      </c>
      <c r="I609" s="50" t="str">
        <f>ARRAY_CONSTRAIN(ARRAYFORMULA(SUM(IF([3]!Table13[ID]=B609,[3]!Table13[QTY]))), 1, 1)</f>
        <v>#ERROR!</v>
      </c>
      <c r="J609" s="50" t="str">
        <f>TABLEITEM!$H$3:$H$2749-TABLEITEM!$I$3:$I$2749</f>
        <v>#ERROR!</v>
      </c>
    </row>
    <row r="610" ht="15.75" customHeight="1">
      <c r="A610" s="45"/>
      <c r="B610" s="18" t="s">
        <v>8003</v>
      </c>
      <c r="C610" s="26"/>
      <c r="D610" s="18" t="s">
        <v>8004</v>
      </c>
      <c r="E610" s="18" t="s">
        <v>7249</v>
      </c>
      <c r="F610" s="48" t="s">
        <v>7173</v>
      </c>
      <c r="G610" s="49">
        <f t="array" ref="G610">MAX(IF(INSTOCK!$H$3:$H$6125=B610,INSTOCK!$K$3:$K$6125))</f>
        <v>0</v>
      </c>
      <c r="H610" s="50">
        <f t="array" ref="H610">SUM(IF(INSTOCK!$H$3:$H$6125=B610,INSTOCK!$I$3:$I$6125))</f>
        <v>0</v>
      </c>
      <c r="I610" s="50" t="str">
        <f>ARRAY_CONSTRAIN(ARRAYFORMULA(SUM(IF([3]!Table13[ID]=B610,[3]!Table13[QTY]))), 1, 1)</f>
        <v>#ERROR!</v>
      </c>
      <c r="J610" s="50" t="str">
        <f>TABLEITEM!$H$3:$H$2749-TABLEITEM!$I$3:$I$2749</f>
        <v>#ERROR!</v>
      </c>
    </row>
    <row r="611" ht="15.75" customHeight="1">
      <c r="A611" s="45"/>
      <c r="B611" s="18" t="s">
        <v>8005</v>
      </c>
      <c r="C611" s="26"/>
      <c r="D611" s="18" t="s">
        <v>8006</v>
      </c>
      <c r="E611" s="18" t="s">
        <v>7249</v>
      </c>
      <c r="F611" s="48" t="s">
        <v>7173</v>
      </c>
      <c r="G611" s="49">
        <f t="array" ref="G611">MAX(IF(INSTOCK!$H$3:$H$6125=B611,INSTOCK!$K$3:$K$6125))</f>
        <v>0.805</v>
      </c>
      <c r="H611" s="50">
        <f t="array" ref="H611">SUM(IF(INSTOCK!$H$3:$H$6125=B611,INSTOCK!$I$3:$I$6125))</f>
        <v>1000</v>
      </c>
      <c r="I611" s="50" t="str">
        <f>ARRAY_CONSTRAIN(ARRAYFORMULA(SUM(IF([3]!Table13[ID]=B611,[3]!Table13[QTY]))), 1, 1)</f>
        <v>#ERROR!</v>
      </c>
      <c r="J611" s="50" t="str">
        <f>TABLEITEM!$H$3:$H$2749-TABLEITEM!$I$3:$I$2749</f>
        <v>#ERROR!</v>
      </c>
    </row>
    <row r="612" ht="15.75" customHeight="1">
      <c r="A612" s="45"/>
      <c r="B612" s="18" t="s">
        <v>8007</v>
      </c>
      <c r="C612" s="26"/>
      <c r="D612" s="18" t="s">
        <v>8008</v>
      </c>
      <c r="E612" s="56" t="s">
        <v>7207</v>
      </c>
      <c r="F612" s="48" t="s">
        <v>7173</v>
      </c>
      <c r="G612" s="49">
        <f t="array" ref="G612">MAX(IF(INSTOCK!$H$3:$H$6125=B612,INSTOCK!$K$3:$K$6125))</f>
        <v>1.075</v>
      </c>
      <c r="H612" s="50">
        <f t="array" ref="H612">SUM(IF(INSTOCK!$H$3:$H$6125=B612,INSTOCK!$I$3:$I$6125))</f>
        <v>1000</v>
      </c>
      <c r="I612" s="50" t="str">
        <f>ARRAY_CONSTRAIN(ARRAYFORMULA(SUM(IF([3]!Table13[ID]=B612,[3]!Table13[QTY]))), 1, 1)</f>
        <v>#ERROR!</v>
      </c>
      <c r="J612" s="50" t="str">
        <f>TABLEITEM!$H$3:$H$2749-TABLEITEM!$I$3:$I$2749</f>
        <v>#ERROR!</v>
      </c>
    </row>
    <row r="613" ht="15.75" customHeight="1">
      <c r="A613" s="45"/>
      <c r="B613" s="18" t="s">
        <v>8009</v>
      </c>
      <c r="C613" s="26"/>
      <c r="D613" s="18" t="s">
        <v>8010</v>
      </c>
      <c r="E613" s="18" t="s">
        <v>7249</v>
      </c>
      <c r="F613" s="48" t="s">
        <v>7173</v>
      </c>
      <c r="G613" s="49">
        <f t="array" ref="G613">MAX(IF(INSTOCK!$H$3:$H$6125=B613,INSTOCK!$K$3:$K$6125))</f>
        <v>0.665</v>
      </c>
      <c r="H613" s="50">
        <f t="array" ref="H613">SUM(IF(INSTOCK!$H$3:$H$6125=B613,INSTOCK!$I$3:$I$6125))</f>
        <v>500</v>
      </c>
      <c r="I613" s="50" t="str">
        <f>ARRAY_CONSTRAIN(ARRAYFORMULA(SUM(IF([3]!Table13[ID]=B613,[3]!Table13[QTY]))), 1, 1)</f>
        <v>#ERROR!</v>
      </c>
      <c r="J613" s="50" t="str">
        <f>TABLEITEM!$H$3:$H$2749-TABLEITEM!$I$3:$I$2749</f>
        <v>#ERROR!</v>
      </c>
    </row>
    <row r="614" ht="15.75" customHeight="1">
      <c r="A614" s="45"/>
      <c r="B614" s="18" t="s">
        <v>1941</v>
      </c>
      <c r="C614" s="26"/>
      <c r="D614" s="18" t="s">
        <v>8011</v>
      </c>
      <c r="E614" s="56" t="s">
        <v>7213</v>
      </c>
      <c r="F614" s="48" t="s">
        <v>7173</v>
      </c>
      <c r="G614" s="49">
        <f t="array" ref="G614">MAX(IF(INSTOCK!$H$3:$H$6125=B614,INSTOCK!$K$3:$K$6125))</f>
        <v>6</v>
      </c>
      <c r="H614" s="50">
        <f t="array" ref="H614">SUM(IF(INSTOCK!$H$3:$H$6125=B614,INSTOCK!$I$3:$I$6125))</f>
        <v>50</v>
      </c>
      <c r="I614" s="50" t="str">
        <f>ARRAY_CONSTRAIN(ARRAYFORMULA(SUM(IF([3]!Table13[ID]=B614,[3]!Table13[QTY]))), 1, 1)</f>
        <v>#ERROR!</v>
      </c>
      <c r="J614" s="50" t="str">
        <f>TABLEITEM!$H$3:$H$2749-TABLEITEM!$I$3:$I$2749</f>
        <v>#ERROR!</v>
      </c>
    </row>
    <row r="615" ht="15.75" customHeight="1">
      <c r="A615" s="45"/>
      <c r="B615" s="10" t="s">
        <v>8012</v>
      </c>
      <c r="C615" s="26"/>
      <c r="D615" s="10" t="s">
        <v>8013</v>
      </c>
      <c r="E615" s="18" t="s">
        <v>7249</v>
      </c>
      <c r="F615" s="48" t="s">
        <v>7173</v>
      </c>
      <c r="G615" s="49">
        <f t="array" ref="G615">MAX(IF(INSTOCK!$H$3:$H$6125=B615,INSTOCK!$K$3:$K$6125))</f>
        <v>1.84</v>
      </c>
      <c r="H615" s="50">
        <f t="array" ref="H615">SUM(IF(INSTOCK!$H$3:$H$6125=B615,INSTOCK!$I$3:$I$6125))</f>
        <v>500</v>
      </c>
      <c r="I615" s="50" t="str">
        <f>ARRAY_CONSTRAIN(ARRAYFORMULA(SUM(IF([3]!Table13[ID]=B615,[3]!Table13[QTY]))), 1, 1)</f>
        <v>#ERROR!</v>
      </c>
      <c r="J615" s="50" t="str">
        <f>TABLEITEM!$H$3:$H$2749-TABLEITEM!$I$3:$I$2749</f>
        <v>#ERROR!</v>
      </c>
    </row>
    <row r="616" ht="15.75" customHeight="1">
      <c r="A616" s="45"/>
      <c r="B616" s="18" t="s">
        <v>8014</v>
      </c>
      <c r="C616" s="26"/>
      <c r="D616" s="18" t="s">
        <v>8015</v>
      </c>
      <c r="E616" s="56" t="s">
        <v>7207</v>
      </c>
      <c r="F616" s="48" t="s">
        <v>7173</v>
      </c>
      <c r="G616" s="49">
        <f t="array" ref="G616">MAX(IF(INSTOCK!$H$3:$H$6125=B616,INSTOCK!$K$3:$K$6125))</f>
        <v>1.32</v>
      </c>
      <c r="H616" s="50">
        <f t="array" ref="H616">SUM(IF(INSTOCK!$H$3:$H$6125=B616,INSTOCK!$I$3:$I$6125))</f>
        <v>3200</v>
      </c>
      <c r="I616" s="50" t="str">
        <f>ARRAY_CONSTRAIN(ARRAYFORMULA(SUM(IF([3]!Table13[ID]=B616,[3]!Table13[QTY]))), 1, 1)</f>
        <v>#ERROR!</v>
      </c>
      <c r="J616" s="50" t="str">
        <f>TABLEITEM!$H$3:$H$2749-TABLEITEM!$I$3:$I$2749</f>
        <v>#ERROR!</v>
      </c>
    </row>
    <row r="617" ht="15.75" customHeight="1">
      <c r="A617" s="45"/>
      <c r="B617" s="18" t="s">
        <v>8016</v>
      </c>
      <c r="C617" s="26"/>
      <c r="D617" s="18" t="s">
        <v>8017</v>
      </c>
      <c r="E617" s="56" t="s">
        <v>7207</v>
      </c>
      <c r="F617" s="48" t="s">
        <v>7173</v>
      </c>
      <c r="G617" s="49">
        <f t="array" ref="G617">MAX(IF(INSTOCK!$H$3:$H$6125=B617,INSTOCK!$K$3:$K$6125))</f>
        <v>1.16</v>
      </c>
      <c r="H617" s="50">
        <f t="array" ref="H617">SUM(IF(INSTOCK!$H$3:$H$6125=B617,INSTOCK!$I$3:$I$6125))</f>
        <v>2000</v>
      </c>
      <c r="I617" s="50" t="str">
        <f>ARRAY_CONSTRAIN(ARRAYFORMULA(SUM(IF([3]!Table13[ID]=B617,[3]!Table13[QTY]))), 1, 1)</f>
        <v>#ERROR!</v>
      </c>
      <c r="J617" s="50" t="str">
        <f>TABLEITEM!$H$3:$H$2749-TABLEITEM!$I$3:$I$2749</f>
        <v>#ERROR!</v>
      </c>
    </row>
    <row r="618" ht="15.75" customHeight="1">
      <c r="A618" s="45"/>
      <c r="B618" s="10" t="s">
        <v>8018</v>
      </c>
      <c r="C618" s="26"/>
      <c r="D618" s="10" t="s">
        <v>8019</v>
      </c>
      <c r="E618" s="48" t="s">
        <v>7207</v>
      </c>
      <c r="F618" s="48" t="s">
        <v>7173</v>
      </c>
      <c r="G618" s="49">
        <f t="array" ref="G618">MAX(IF(INSTOCK!$H$3:$H$6125=B618,INSTOCK!$K$3:$K$6125))</f>
        <v>0.96</v>
      </c>
      <c r="H618" s="50">
        <f t="array" ref="H618">SUM(IF(INSTOCK!$H$3:$H$6125=B618,INSTOCK!$I$3:$I$6125))</f>
        <v>1000</v>
      </c>
      <c r="I618" s="50" t="str">
        <f>ARRAY_CONSTRAIN(ARRAYFORMULA(SUM(IF([3]!Table13[ID]=B618,[3]!Table13[QTY]))), 1, 1)</f>
        <v>#ERROR!</v>
      </c>
      <c r="J618" s="50" t="str">
        <f>TABLEITEM!$H$3:$H$2749-TABLEITEM!$I$3:$I$2749</f>
        <v>#ERROR!</v>
      </c>
    </row>
    <row r="619" ht="15.75" customHeight="1">
      <c r="A619" s="45"/>
      <c r="B619" s="10" t="s">
        <v>8020</v>
      </c>
      <c r="C619" s="26"/>
      <c r="D619" s="10" t="s">
        <v>8021</v>
      </c>
      <c r="E619" s="10" t="s">
        <v>7249</v>
      </c>
      <c r="F619" s="48" t="s">
        <v>7173</v>
      </c>
      <c r="G619" s="49">
        <f t="array" ref="G619">MAX(IF(INSTOCK!$H$3:$H$6125=B619,INSTOCK!$K$3:$K$6125))</f>
        <v>0</v>
      </c>
      <c r="H619" s="50">
        <f t="array" ref="H619">SUM(IF(INSTOCK!$H$3:$H$6125=B619,INSTOCK!$I$3:$I$6125))</f>
        <v>0</v>
      </c>
      <c r="I619" s="50" t="str">
        <f>ARRAY_CONSTRAIN(ARRAYFORMULA(SUM(IF([3]!Table13[ID]=B619,[3]!Table13[QTY]))), 1, 1)</f>
        <v>#ERROR!</v>
      </c>
      <c r="J619" s="50" t="str">
        <f>TABLEITEM!$H$3:$H$2749-TABLEITEM!$I$3:$I$2749</f>
        <v>#ERROR!</v>
      </c>
    </row>
    <row r="620" ht="15.75" customHeight="1">
      <c r="A620" s="45"/>
      <c r="B620" s="10" t="s">
        <v>8022</v>
      </c>
      <c r="C620" s="26"/>
      <c r="D620" s="10" t="s">
        <v>8023</v>
      </c>
      <c r="E620" s="10" t="s">
        <v>7249</v>
      </c>
      <c r="F620" s="48" t="s">
        <v>7173</v>
      </c>
      <c r="G620" s="49">
        <f t="array" ref="G620">MAX(IF(INSTOCK!$H$3:$H$6125=B620,INSTOCK!$K$3:$K$6125))</f>
        <v>0.72</v>
      </c>
      <c r="H620" s="50">
        <f t="array" ref="H620">SUM(IF(INSTOCK!$H$3:$H$6125=B620,INSTOCK!$I$3:$I$6125))</f>
        <v>2000</v>
      </c>
      <c r="I620" s="50" t="str">
        <f>ARRAY_CONSTRAIN(ARRAYFORMULA(SUM(IF([3]!Table13[ID]=B620,[3]!Table13[QTY]))), 1, 1)</f>
        <v>#ERROR!</v>
      </c>
      <c r="J620" s="50" t="str">
        <f>TABLEITEM!$H$3:$H$2749-TABLEITEM!$I$3:$I$2749</f>
        <v>#ERROR!</v>
      </c>
    </row>
    <row r="621" ht="15.75" customHeight="1">
      <c r="A621" s="45"/>
      <c r="B621" s="10" t="s">
        <v>8024</v>
      </c>
      <c r="C621" s="26"/>
      <c r="D621" s="10" t="s">
        <v>8025</v>
      </c>
      <c r="E621" s="48" t="s">
        <v>7207</v>
      </c>
      <c r="F621" s="48" t="s">
        <v>7173</v>
      </c>
      <c r="G621" s="49">
        <f t="array" ref="G621">MAX(IF(INSTOCK!$H$3:$H$6125=B621,INSTOCK!$K$3:$K$6125))</f>
        <v>0.64</v>
      </c>
      <c r="H621" s="50">
        <f t="array" ref="H621">SUM(IF(INSTOCK!$H$3:$H$6125=B621,INSTOCK!$I$3:$I$6125))</f>
        <v>2000</v>
      </c>
      <c r="I621" s="50" t="str">
        <f>ARRAY_CONSTRAIN(ARRAYFORMULA(SUM(IF([3]!Table13[ID]=B621,[3]!Table13[QTY]))), 1, 1)</f>
        <v>#ERROR!</v>
      </c>
      <c r="J621" s="50" t="str">
        <f>TABLEITEM!$H$3:$H$2749-TABLEITEM!$I$3:$I$2749</f>
        <v>#ERROR!</v>
      </c>
    </row>
    <row r="622" ht="15.75" customHeight="1">
      <c r="A622" s="45"/>
      <c r="B622" s="10" t="s">
        <v>1871</v>
      </c>
      <c r="C622" s="26"/>
      <c r="D622" s="10" t="s">
        <v>8026</v>
      </c>
      <c r="E622" s="48" t="s">
        <v>7207</v>
      </c>
      <c r="F622" s="48" t="s">
        <v>7173</v>
      </c>
      <c r="G622" s="49">
        <f t="array" ref="G622">MAX(IF(INSTOCK!$H$3:$H$6125=B622,INSTOCK!$K$3:$K$6125))</f>
        <v>0.312</v>
      </c>
      <c r="H622" s="50">
        <f t="array" ref="H622">SUM(IF(INSTOCK!$H$3:$H$6125=B622,INSTOCK!$I$3:$I$6125))</f>
        <v>6000</v>
      </c>
      <c r="I622" s="50" t="str">
        <f>ARRAY_CONSTRAIN(ARRAYFORMULA(SUM(IF([3]!Table13[ID]=B622,[3]!Table13[QTY]))), 1, 1)</f>
        <v>#ERROR!</v>
      </c>
      <c r="J622" s="50" t="str">
        <f>TABLEITEM!$H$3:$H$2749-TABLEITEM!$I$3:$I$2749</f>
        <v>#ERROR!</v>
      </c>
    </row>
    <row r="623" ht="15.75" customHeight="1">
      <c r="A623" s="45"/>
      <c r="B623" s="10" t="s">
        <v>8027</v>
      </c>
      <c r="C623" s="26"/>
      <c r="D623" s="10" t="s">
        <v>8028</v>
      </c>
      <c r="E623" s="10" t="s">
        <v>7249</v>
      </c>
      <c r="F623" s="48" t="s">
        <v>7173</v>
      </c>
      <c r="G623" s="49">
        <f t="array" ref="G623">MAX(IF(INSTOCK!$H$3:$H$6125=B623,INSTOCK!$K$3:$K$6125))</f>
        <v>0.352</v>
      </c>
      <c r="H623" s="50">
        <f t="array" ref="H623">SUM(IF(INSTOCK!$H$3:$H$6125=B623,INSTOCK!$I$3:$I$6125))</f>
        <v>2000</v>
      </c>
      <c r="I623" s="50" t="str">
        <f>ARRAY_CONSTRAIN(ARRAYFORMULA(SUM(IF([3]!Table13[ID]=B623,[3]!Table13[QTY]))), 1, 1)</f>
        <v>#ERROR!</v>
      </c>
      <c r="J623" s="50" t="str">
        <f>TABLEITEM!$H$3:$H$2749-TABLEITEM!$I$3:$I$2749</f>
        <v>#ERROR!</v>
      </c>
    </row>
    <row r="624" ht="15.75" customHeight="1">
      <c r="A624" s="45"/>
      <c r="B624" s="10" t="s">
        <v>3801</v>
      </c>
      <c r="C624" s="26"/>
      <c r="D624" s="10" t="s">
        <v>8029</v>
      </c>
      <c r="E624" s="48" t="s">
        <v>7207</v>
      </c>
      <c r="F624" s="48" t="s">
        <v>7173</v>
      </c>
      <c r="G624" s="49">
        <f t="array" ref="G624">MAX(IF(INSTOCK!$H$3:$H$6125=B624,INSTOCK!$K$3:$K$6125))</f>
        <v>0.65</v>
      </c>
      <c r="H624" s="50">
        <f t="array" ref="H624">SUM(IF(INSTOCK!$H$3:$H$6125=B624,INSTOCK!$I$3:$I$6125))</f>
        <v>500</v>
      </c>
      <c r="I624" s="50" t="str">
        <f>ARRAY_CONSTRAIN(ARRAYFORMULA(SUM(IF([3]!Table13[ID]=B624,[3]!Table13[QTY]))), 1, 1)</f>
        <v>#ERROR!</v>
      </c>
      <c r="J624" s="50" t="str">
        <f>TABLEITEM!$H$3:$H$2749-TABLEITEM!$I$3:$I$2749</f>
        <v>#ERROR!</v>
      </c>
    </row>
    <row r="625" ht="15.75" customHeight="1">
      <c r="A625" s="45"/>
      <c r="B625" s="10" t="s">
        <v>8030</v>
      </c>
      <c r="C625" s="26"/>
      <c r="D625" s="10" t="s">
        <v>8031</v>
      </c>
      <c r="E625" s="10" t="s">
        <v>7654</v>
      </c>
      <c r="F625" s="48" t="s">
        <v>7173</v>
      </c>
      <c r="G625" s="49">
        <f t="array" ref="G625">MAX(IF(INSTOCK!$H$3:$H$6125=B625,INSTOCK!$K$3:$K$6125))</f>
        <v>0</v>
      </c>
      <c r="H625" s="50">
        <f t="array" ref="H625">SUM(IF(INSTOCK!$H$3:$H$6125=B625,INSTOCK!$I$3:$I$6125))</f>
        <v>0</v>
      </c>
      <c r="I625" s="50" t="str">
        <f>ARRAY_CONSTRAIN(ARRAYFORMULA(SUM(IF([3]!Table13[ID]=B625,[3]!Table13[QTY]))), 1, 1)</f>
        <v>#ERROR!</v>
      </c>
      <c r="J625" s="50" t="str">
        <f>TABLEITEM!$H$3:$H$2749-TABLEITEM!$I$3:$I$2749</f>
        <v>#ERROR!</v>
      </c>
    </row>
    <row r="626" ht="15.75" customHeight="1">
      <c r="A626" s="45"/>
      <c r="B626" s="10" t="s">
        <v>8032</v>
      </c>
      <c r="C626" s="26"/>
      <c r="D626" s="10" t="s">
        <v>8033</v>
      </c>
      <c r="E626" s="10" t="s">
        <v>7249</v>
      </c>
      <c r="F626" s="48" t="s">
        <v>7173</v>
      </c>
      <c r="G626" s="49">
        <f t="array" ref="G626">MAX(IF(INSTOCK!$H$3:$H$6125=B626,INSTOCK!$K$3:$K$6125))</f>
        <v>0</v>
      </c>
      <c r="H626" s="50">
        <f t="array" ref="H626">SUM(IF(INSTOCK!$H$3:$H$6125=B626,INSTOCK!$I$3:$I$6125))</f>
        <v>0</v>
      </c>
      <c r="I626" s="50" t="str">
        <f>ARRAY_CONSTRAIN(ARRAYFORMULA(SUM(IF([3]!Table13[ID]=B626,[3]!Table13[QTY]))), 1, 1)</f>
        <v>#ERROR!</v>
      </c>
      <c r="J626" s="50" t="str">
        <f>TABLEITEM!$H$3:$H$2749-TABLEITEM!$I$3:$I$2749</f>
        <v>#ERROR!</v>
      </c>
    </row>
    <row r="627" ht="15.75" customHeight="1">
      <c r="A627" s="45"/>
      <c r="B627" s="10" t="s">
        <v>8034</v>
      </c>
      <c r="C627" s="26"/>
      <c r="D627" s="10" t="s">
        <v>8035</v>
      </c>
      <c r="E627" s="48" t="s">
        <v>7207</v>
      </c>
      <c r="F627" s="48" t="s">
        <v>7173</v>
      </c>
      <c r="G627" s="49">
        <f t="array" ref="G627">MAX(IF(INSTOCK!$H$3:$H$6125=B627,INSTOCK!$K$3:$K$6125))</f>
        <v>0</v>
      </c>
      <c r="H627" s="50">
        <f t="array" ref="H627">SUM(IF(INSTOCK!$H$3:$H$6125=B627,INSTOCK!$I$3:$I$6125))</f>
        <v>0</v>
      </c>
      <c r="I627" s="50" t="str">
        <f>ARRAY_CONSTRAIN(ARRAYFORMULA(SUM(IF([3]!Table13[ID]=B627,[3]!Table13[QTY]))), 1, 1)</f>
        <v>#ERROR!</v>
      </c>
      <c r="J627" s="50" t="str">
        <f>TABLEITEM!$H$3:$H$2749-TABLEITEM!$I$3:$I$2749</f>
        <v>#ERROR!</v>
      </c>
    </row>
    <row r="628" ht="15.75" customHeight="1">
      <c r="A628" s="45"/>
      <c r="B628" s="10" t="s">
        <v>8036</v>
      </c>
      <c r="C628" s="26"/>
      <c r="D628" s="10" t="s">
        <v>8037</v>
      </c>
      <c r="E628" s="10" t="s">
        <v>7235</v>
      </c>
      <c r="F628" s="48" t="s">
        <v>7173</v>
      </c>
      <c r="G628" s="49">
        <f t="array" ref="G628">MAX(IF(INSTOCK!$H$3:$H$6125=B628,INSTOCK!$K$3:$K$6125))</f>
        <v>0</v>
      </c>
      <c r="H628" s="50">
        <f t="array" ref="H628">SUM(IF(INSTOCK!$H$3:$H$6125=B628,INSTOCK!$I$3:$I$6125))</f>
        <v>0</v>
      </c>
      <c r="I628" s="50" t="str">
        <f>ARRAY_CONSTRAIN(ARRAYFORMULA(SUM(IF([3]!Table13[ID]=B628,[3]!Table13[QTY]))), 1, 1)</f>
        <v>#ERROR!</v>
      </c>
      <c r="J628" s="50" t="str">
        <f>TABLEITEM!$H$3:$H$2749-TABLEITEM!$I$3:$I$2749</f>
        <v>#ERROR!</v>
      </c>
    </row>
    <row r="629" ht="15.75" customHeight="1">
      <c r="A629" s="45"/>
      <c r="B629" s="10" t="s">
        <v>8038</v>
      </c>
      <c r="C629" s="26"/>
      <c r="D629" s="10" t="s">
        <v>8039</v>
      </c>
      <c r="E629" s="10" t="s">
        <v>7235</v>
      </c>
      <c r="F629" s="48" t="s">
        <v>7173</v>
      </c>
      <c r="G629" s="49">
        <f t="array" ref="G629">MAX(IF(INSTOCK!$H$3:$H$6125=B629,INSTOCK!$K$3:$K$6125))</f>
        <v>0</v>
      </c>
      <c r="H629" s="50">
        <f t="array" ref="H629">SUM(IF(INSTOCK!$H$3:$H$6125=B629,INSTOCK!$I$3:$I$6125))</f>
        <v>0</v>
      </c>
      <c r="I629" s="50" t="str">
        <f>ARRAY_CONSTRAIN(ARRAYFORMULA(SUM(IF([3]!Table13[ID]=B629,[3]!Table13[QTY]))), 1, 1)</f>
        <v>#ERROR!</v>
      </c>
      <c r="J629" s="50" t="str">
        <f>TABLEITEM!$H$3:$H$2749-TABLEITEM!$I$3:$I$2749</f>
        <v>#ERROR!</v>
      </c>
    </row>
    <row r="630" ht="15.75" customHeight="1">
      <c r="A630" s="45"/>
      <c r="B630" s="10" t="s">
        <v>8040</v>
      </c>
      <c r="C630" s="26"/>
      <c r="D630" s="10" t="s">
        <v>8041</v>
      </c>
      <c r="E630" s="48" t="s">
        <v>7207</v>
      </c>
      <c r="F630" s="48" t="s">
        <v>7173</v>
      </c>
      <c r="G630" s="49">
        <f t="array" ref="G630">MAX(IF(INSTOCK!$H$3:$H$6125=B630,INSTOCK!$K$3:$K$6125))</f>
        <v>0.54</v>
      </c>
      <c r="H630" s="50">
        <f t="array" ref="H630">SUM(IF(INSTOCK!$H$3:$H$6125=B630,INSTOCK!$I$3:$I$6125))</f>
        <v>4500</v>
      </c>
      <c r="I630" s="50" t="str">
        <f>ARRAY_CONSTRAIN(ARRAYFORMULA(SUM(IF([3]!Table13[ID]=B630,[3]!Table13[QTY]))), 1, 1)</f>
        <v>#ERROR!</v>
      </c>
      <c r="J630" s="50" t="str">
        <f>TABLEITEM!$H$3:$H$2749-TABLEITEM!$I$3:$I$2749</f>
        <v>#ERROR!</v>
      </c>
    </row>
    <row r="631" ht="15.75" customHeight="1">
      <c r="A631" s="45"/>
      <c r="B631" s="10" t="s">
        <v>8042</v>
      </c>
      <c r="C631" s="26"/>
      <c r="D631" s="10" t="s">
        <v>8043</v>
      </c>
      <c r="E631" s="10" t="s">
        <v>7235</v>
      </c>
      <c r="F631" s="48" t="s">
        <v>7173</v>
      </c>
      <c r="G631" s="49">
        <f t="array" ref="G631">MAX(IF(INSTOCK!$H$3:$H$6125=B631,INSTOCK!$K$3:$K$6125))</f>
        <v>0</v>
      </c>
      <c r="H631" s="50">
        <f t="array" ref="H631">SUM(IF(INSTOCK!$H$3:$H$6125=B631,INSTOCK!$I$3:$I$6125))</f>
        <v>0</v>
      </c>
      <c r="I631" s="50" t="str">
        <f>ARRAY_CONSTRAIN(ARRAYFORMULA(SUM(IF([3]!Table13[ID]=B631,[3]!Table13[QTY]))), 1, 1)</f>
        <v>#ERROR!</v>
      </c>
      <c r="J631" s="50" t="str">
        <f>TABLEITEM!$H$3:$H$2749-TABLEITEM!$I$3:$I$2749</f>
        <v>#ERROR!</v>
      </c>
    </row>
    <row r="632" ht="15.75" customHeight="1">
      <c r="A632" s="45"/>
      <c r="B632" s="10" t="s">
        <v>8044</v>
      </c>
      <c r="C632" s="26"/>
      <c r="D632" s="10" t="s">
        <v>8045</v>
      </c>
      <c r="E632" s="10" t="s">
        <v>7654</v>
      </c>
      <c r="F632" s="48" t="s">
        <v>7173</v>
      </c>
      <c r="G632" s="49">
        <f t="array" ref="G632">MAX(IF(INSTOCK!$H$3:$H$6125=B632,INSTOCK!$K$3:$K$6125))</f>
        <v>0.224</v>
      </c>
      <c r="H632" s="50">
        <f t="array" ref="H632">SUM(IF(INSTOCK!$H$3:$H$6125=B632,INSTOCK!$I$3:$I$6125))</f>
        <v>500</v>
      </c>
      <c r="I632" s="50" t="str">
        <f>ARRAY_CONSTRAIN(ARRAYFORMULA(SUM(IF([3]!Table13[ID]=B632,[3]!Table13[QTY]))), 1, 1)</f>
        <v>#ERROR!</v>
      </c>
      <c r="J632" s="50" t="str">
        <f>TABLEITEM!$H$3:$H$2749-TABLEITEM!$I$3:$I$2749</f>
        <v>#ERROR!</v>
      </c>
    </row>
    <row r="633" ht="15.75" customHeight="1">
      <c r="A633" s="45"/>
      <c r="B633" s="10" t="s">
        <v>8046</v>
      </c>
      <c r="C633" s="26"/>
      <c r="D633" s="10" t="s">
        <v>8047</v>
      </c>
      <c r="E633" s="10" t="s">
        <v>7654</v>
      </c>
      <c r="F633" s="48" t="s">
        <v>7173</v>
      </c>
      <c r="G633" s="49">
        <f t="array" ref="G633">MAX(IF(INSTOCK!$H$3:$H$6125=B633,INSTOCK!$K$3:$K$6125))</f>
        <v>0</v>
      </c>
      <c r="H633" s="50">
        <f t="array" ref="H633">SUM(IF(INSTOCK!$H$3:$H$6125=B633,INSTOCK!$I$3:$I$6125))</f>
        <v>0</v>
      </c>
      <c r="I633" s="50" t="str">
        <f>ARRAY_CONSTRAIN(ARRAYFORMULA(SUM(IF([3]!Table13[ID]=B633,[3]!Table13[QTY]))), 1, 1)</f>
        <v>#ERROR!</v>
      </c>
      <c r="J633" s="50" t="str">
        <f>TABLEITEM!$H$3:$H$2749-TABLEITEM!$I$3:$I$2749</f>
        <v>#ERROR!</v>
      </c>
    </row>
    <row r="634" ht="15.75" customHeight="1">
      <c r="A634" s="45"/>
      <c r="B634" s="10" t="s">
        <v>8048</v>
      </c>
      <c r="C634" s="26"/>
      <c r="D634" s="10" t="s">
        <v>8049</v>
      </c>
      <c r="E634" s="10" t="s">
        <v>7654</v>
      </c>
      <c r="F634" s="48" t="s">
        <v>7173</v>
      </c>
      <c r="G634" s="49">
        <f t="array" ref="G634">MAX(IF(INSTOCK!$H$3:$H$6125=B634,INSTOCK!$K$3:$K$6125))</f>
        <v>0</v>
      </c>
      <c r="H634" s="50">
        <f t="array" ref="H634">SUM(IF(INSTOCK!$H$3:$H$6125=B634,INSTOCK!$I$3:$I$6125))</f>
        <v>0</v>
      </c>
      <c r="I634" s="50" t="str">
        <f>ARRAY_CONSTRAIN(ARRAYFORMULA(SUM(IF([3]!Table13[ID]=B634,[3]!Table13[QTY]))), 1, 1)</f>
        <v>#ERROR!</v>
      </c>
      <c r="J634" s="50" t="str">
        <f>TABLEITEM!$H$3:$H$2749-TABLEITEM!$I$3:$I$2749</f>
        <v>#ERROR!</v>
      </c>
    </row>
    <row r="635" ht="15.75" customHeight="1">
      <c r="A635" s="45"/>
      <c r="B635" s="10" t="s">
        <v>8050</v>
      </c>
      <c r="C635" s="26"/>
      <c r="D635" s="10" t="s">
        <v>8051</v>
      </c>
      <c r="E635" s="10" t="s">
        <v>7235</v>
      </c>
      <c r="F635" s="48" t="s">
        <v>7173</v>
      </c>
      <c r="G635" s="49">
        <f t="array" ref="G635">MAX(IF(INSTOCK!$H$3:$H$6125=B635,INSTOCK!$K$3:$K$6125))</f>
        <v>0</v>
      </c>
      <c r="H635" s="50">
        <f t="array" ref="H635">SUM(IF(INSTOCK!$H$3:$H$6125=B635,INSTOCK!$I$3:$I$6125))</f>
        <v>0</v>
      </c>
      <c r="I635" s="50" t="str">
        <f>ARRAY_CONSTRAIN(ARRAYFORMULA(SUM(IF([3]!Table13[ID]=B635,[3]!Table13[QTY]))), 1, 1)</f>
        <v>#ERROR!</v>
      </c>
      <c r="J635" s="50" t="str">
        <f>TABLEITEM!$H$3:$H$2749-TABLEITEM!$I$3:$I$2749</f>
        <v>#ERROR!</v>
      </c>
    </row>
    <row r="636" ht="15.75" customHeight="1">
      <c r="A636" s="45"/>
      <c r="B636" s="10" t="s">
        <v>8052</v>
      </c>
      <c r="C636" s="26"/>
      <c r="D636" s="10" t="s">
        <v>8053</v>
      </c>
      <c r="E636" s="48" t="s">
        <v>7207</v>
      </c>
      <c r="F636" s="48" t="s">
        <v>7173</v>
      </c>
      <c r="G636" s="49">
        <f t="array" ref="G636">MAX(IF(INSTOCK!$H$3:$H$6125=B636,INSTOCK!$K$3:$K$6125))</f>
        <v>0.13</v>
      </c>
      <c r="H636" s="50">
        <f t="array" ref="H636">SUM(IF(INSTOCK!$H$3:$H$6125=B636,INSTOCK!$I$3:$I$6125))</f>
        <v>5000</v>
      </c>
      <c r="I636" s="50" t="str">
        <f>ARRAY_CONSTRAIN(ARRAYFORMULA(SUM(IF([3]!Table13[ID]=B636,[3]!Table13[QTY]))), 1, 1)</f>
        <v>#ERROR!</v>
      </c>
      <c r="J636" s="50" t="str">
        <f>TABLEITEM!$H$3:$H$2749-TABLEITEM!$I$3:$I$2749</f>
        <v>#ERROR!</v>
      </c>
    </row>
    <row r="637" ht="15.75" customHeight="1">
      <c r="A637" s="45"/>
      <c r="B637" s="10" t="s">
        <v>8054</v>
      </c>
      <c r="C637" s="26"/>
      <c r="D637" s="10" t="s">
        <v>8055</v>
      </c>
      <c r="E637" s="10" t="s">
        <v>7235</v>
      </c>
      <c r="F637" s="48" t="s">
        <v>7173</v>
      </c>
      <c r="G637" s="49">
        <f t="array" ref="G637">MAX(IF(INSTOCK!$H$3:$H$6125=B637,INSTOCK!$K$3:$K$6125))</f>
        <v>0</v>
      </c>
      <c r="H637" s="50">
        <f t="array" ref="H637">SUM(IF(INSTOCK!$H$3:$H$6125=B637,INSTOCK!$I$3:$I$6125))</f>
        <v>0</v>
      </c>
      <c r="I637" s="50" t="str">
        <f>ARRAY_CONSTRAIN(ARRAYFORMULA(SUM(IF([3]!Table13[ID]=B637,[3]!Table13[QTY]))), 1, 1)</f>
        <v>#ERROR!</v>
      </c>
      <c r="J637" s="50" t="str">
        <f>TABLEITEM!$H$3:$H$2749-TABLEITEM!$I$3:$I$2749</f>
        <v>#ERROR!</v>
      </c>
    </row>
    <row r="638" ht="15.75" customHeight="1">
      <c r="A638" s="45"/>
      <c r="B638" s="10" t="s">
        <v>8056</v>
      </c>
      <c r="C638" s="26"/>
      <c r="D638" s="10" t="s">
        <v>8057</v>
      </c>
      <c r="E638" s="10" t="s">
        <v>7235</v>
      </c>
      <c r="F638" s="48" t="s">
        <v>7173</v>
      </c>
      <c r="G638" s="49">
        <f t="array" ref="G638">MAX(IF(INSTOCK!$H$3:$H$6125=B638,INSTOCK!$K$3:$K$6125))</f>
        <v>0.091</v>
      </c>
      <c r="H638" s="50">
        <f t="array" ref="H638">SUM(IF(INSTOCK!$H$3:$H$6125=B638,INSTOCK!$I$3:$I$6125))</f>
        <v>4000</v>
      </c>
      <c r="I638" s="50" t="str">
        <f>ARRAY_CONSTRAIN(ARRAYFORMULA(SUM(IF([3]!Table13[ID]=B638,[3]!Table13[QTY]))), 1, 1)</f>
        <v>#ERROR!</v>
      </c>
      <c r="J638" s="50" t="str">
        <f>TABLEITEM!$H$3:$H$2749-TABLEITEM!$I$3:$I$2749</f>
        <v>#ERROR!</v>
      </c>
    </row>
    <row r="639" ht="15.75" customHeight="1">
      <c r="A639" s="45"/>
      <c r="B639" s="10" t="s">
        <v>8058</v>
      </c>
      <c r="C639" s="26"/>
      <c r="D639" s="10" t="s">
        <v>8059</v>
      </c>
      <c r="E639" s="10" t="s">
        <v>7235</v>
      </c>
      <c r="F639" s="48" t="s">
        <v>7173</v>
      </c>
      <c r="G639" s="49">
        <f t="array" ref="G639">MAX(IF(INSTOCK!$H$3:$H$6125=B639,INSTOCK!$K$3:$K$6125))</f>
        <v>0.1179</v>
      </c>
      <c r="H639" s="50">
        <f t="array" ref="H639">SUM(IF(INSTOCK!$H$3:$H$6125=B639,INSTOCK!$I$3:$I$6125))</f>
        <v>500</v>
      </c>
      <c r="I639" s="50" t="str">
        <f>ARRAY_CONSTRAIN(ARRAYFORMULA(SUM(IF([3]!Table13[ID]=B639,[3]!Table13[QTY]))), 1, 1)</f>
        <v>#ERROR!</v>
      </c>
      <c r="J639" s="50" t="str">
        <f>TABLEITEM!$H$3:$H$2749-TABLEITEM!$I$3:$I$2749</f>
        <v>#ERROR!</v>
      </c>
    </row>
    <row r="640" ht="15.75" customHeight="1">
      <c r="A640" s="45"/>
      <c r="B640" s="10" t="s">
        <v>3807</v>
      </c>
      <c r="C640" s="26"/>
      <c r="D640" s="10" t="s">
        <v>8060</v>
      </c>
      <c r="E640" s="10" t="s">
        <v>8061</v>
      </c>
      <c r="F640" s="48" t="s">
        <v>7173</v>
      </c>
      <c r="G640" s="49">
        <f t="array" ref="G640">MAX(IF(INSTOCK!$H$3:$H$6125=B640,INSTOCK!$K$3:$K$6125))</f>
        <v>2.025</v>
      </c>
      <c r="H640" s="50">
        <f t="array" ref="H640">SUM(IF(INSTOCK!$H$3:$H$6125=B640,INSTOCK!$I$3:$I$6125))</f>
        <v>2000</v>
      </c>
      <c r="I640" s="50" t="str">
        <f>ARRAY_CONSTRAIN(ARRAYFORMULA(SUM(IF([3]!Table13[ID]=B640,[3]!Table13[QTY]))), 1, 1)</f>
        <v>#ERROR!</v>
      </c>
      <c r="J640" s="50" t="str">
        <f>TABLEITEM!$H$3:$H$2749-TABLEITEM!$I$3:$I$2749</f>
        <v>#ERROR!</v>
      </c>
    </row>
    <row r="641" ht="15.75" customHeight="1">
      <c r="A641" s="45"/>
      <c r="B641" s="10" t="s">
        <v>8062</v>
      </c>
      <c r="C641" s="26"/>
      <c r="D641" s="10" t="s">
        <v>8063</v>
      </c>
      <c r="E641" s="10" t="s">
        <v>7654</v>
      </c>
      <c r="F641" s="48" t="s">
        <v>7173</v>
      </c>
      <c r="G641" s="49">
        <f t="array" ref="G641">MAX(IF(INSTOCK!$H$3:$H$6125=B641,INSTOCK!$K$3:$K$6125))</f>
        <v>0</v>
      </c>
      <c r="H641" s="50">
        <f t="array" ref="H641">SUM(IF(INSTOCK!$H$3:$H$6125=B641,INSTOCK!$I$3:$I$6125))</f>
        <v>0</v>
      </c>
      <c r="I641" s="50" t="str">
        <f>ARRAY_CONSTRAIN(ARRAYFORMULA(SUM(IF([3]!Table13[ID]=B641,[3]!Table13[QTY]))), 1, 1)</f>
        <v>#ERROR!</v>
      </c>
      <c r="J641" s="50" t="str">
        <f>TABLEITEM!$H$3:$H$2749-TABLEITEM!$I$3:$I$2749</f>
        <v>#ERROR!</v>
      </c>
    </row>
    <row r="642" ht="15.75" customHeight="1">
      <c r="A642" s="45"/>
      <c r="B642" s="10" t="s">
        <v>8064</v>
      </c>
      <c r="C642" s="26"/>
      <c r="D642" s="10" t="s">
        <v>8065</v>
      </c>
      <c r="E642" s="10" t="s">
        <v>7235</v>
      </c>
      <c r="F642" s="48" t="s">
        <v>7173</v>
      </c>
      <c r="G642" s="49">
        <f t="array" ref="G642">MAX(IF(INSTOCK!$H$3:$H$6125=B642,INSTOCK!$K$3:$K$6125))</f>
        <v>0</v>
      </c>
      <c r="H642" s="50">
        <f t="array" ref="H642">SUM(IF(INSTOCK!$H$3:$H$6125=B642,INSTOCK!$I$3:$I$6125))</f>
        <v>0</v>
      </c>
      <c r="I642" s="50" t="str">
        <f>ARRAY_CONSTRAIN(ARRAYFORMULA(SUM(IF([3]!Table13[ID]=B642,[3]!Table13[QTY]))), 1, 1)</f>
        <v>#ERROR!</v>
      </c>
      <c r="J642" s="50" t="str">
        <f>TABLEITEM!$H$3:$H$2749-TABLEITEM!$I$3:$I$2749</f>
        <v>#ERROR!</v>
      </c>
    </row>
    <row r="643" ht="15.75" customHeight="1">
      <c r="A643" s="45"/>
      <c r="B643" s="10" t="s">
        <v>2998</v>
      </c>
      <c r="C643" s="26"/>
      <c r="D643" s="10" t="s">
        <v>8066</v>
      </c>
      <c r="E643" s="48"/>
      <c r="F643" s="48" t="s">
        <v>7173</v>
      </c>
      <c r="G643" s="49">
        <f t="array" ref="G643">MAX(IF(INSTOCK!$H$3:$H$6125=B643,INSTOCK!$K$3:$K$6125))</f>
        <v>0.69</v>
      </c>
      <c r="H643" s="50">
        <f t="array" ref="H643">SUM(IF(INSTOCK!$H$3:$H$6125=B643,INSTOCK!$I$3:$I$6125))</f>
        <v>6000</v>
      </c>
      <c r="I643" s="50" t="str">
        <f>ARRAY_CONSTRAIN(ARRAYFORMULA(SUM(IF([3]!Table13[ID]=B643,[3]!Table13[QTY]))), 1, 1)</f>
        <v>#ERROR!</v>
      </c>
      <c r="J643" s="50" t="str">
        <f>TABLEITEM!$H$3:$H$2749-TABLEITEM!$I$3:$I$2749</f>
        <v>#ERROR!</v>
      </c>
    </row>
    <row r="644" ht="15.75" customHeight="1">
      <c r="A644" s="45"/>
      <c r="B644" s="10" t="s">
        <v>2877</v>
      </c>
      <c r="C644" s="26"/>
      <c r="D644" s="10" t="s">
        <v>8067</v>
      </c>
      <c r="E644" s="48" t="s">
        <v>7207</v>
      </c>
      <c r="F644" s="48" t="s">
        <v>7173</v>
      </c>
      <c r="G644" s="49">
        <f t="array" ref="G644">MAX(IF(INSTOCK!$H$3:$H$6125=B644,INSTOCK!$K$3:$K$6125))</f>
        <v>0.14</v>
      </c>
      <c r="H644" s="50">
        <f t="array" ref="H644">SUM(IF(INSTOCK!$H$3:$H$6125=B644,INSTOCK!$I$3:$I$6125))</f>
        <v>12500</v>
      </c>
      <c r="I644" s="50" t="str">
        <f>ARRAY_CONSTRAIN(ARRAYFORMULA(SUM(IF([3]!Table13[ID]=B644,[3]!Table13[QTY]))), 1, 1)</f>
        <v>#ERROR!</v>
      </c>
      <c r="J644" s="50" t="str">
        <f>TABLEITEM!$H$3:$H$2749-TABLEITEM!$I$3:$I$2749</f>
        <v>#ERROR!</v>
      </c>
    </row>
    <row r="645" ht="15.75" customHeight="1">
      <c r="A645" s="45"/>
      <c r="B645" s="10" t="s">
        <v>5346</v>
      </c>
      <c r="C645" s="26"/>
      <c r="D645" s="10" t="s">
        <v>8068</v>
      </c>
      <c r="E645" s="10" t="s">
        <v>7654</v>
      </c>
      <c r="F645" s="48" t="s">
        <v>7173</v>
      </c>
      <c r="G645" s="49">
        <f t="array" ref="G645">MAX(IF(INSTOCK!$H$3:$H$6125=B645,INSTOCK!$K$3:$K$6125))</f>
        <v>0.37</v>
      </c>
      <c r="H645" s="50">
        <f t="array" ref="H645">SUM(IF(INSTOCK!$H$3:$H$6125=B645,INSTOCK!$I$3:$I$6125))</f>
        <v>39000</v>
      </c>
      <c r="I645" s="50" t="str">
        <f>ARRAY_CONSTRAIN(ARRAYFORMULA(SUM(IF([3]!Table13[ID]=B645,[3]!Table13[QTY]))), 1, 1)</f>
        <v>#ERROR!</v>
      </c>
      <c r="J645" s="50" t="str">
        <f>TABLEITEM!$H$3:$H$2749-TABLEITEM!$I$3:$I$2749</f>
        <v>#ERROR!</v>
      </c>
    </row>
    <row r="646" ht="15.75" customHeight="1">
      <c r="A646" s="45"/>
      <c r="B646" s="10" t="s">
        <v>3403</v>
      </c>
      <c r="C646" s="26"/>
      <c r="D646" s="10" t="s">
        <v>8069</v>
      </c>
      <c r="E646" s="48"/>
      <c r="F646" s="48" t="s">
        <v>7173</v>
      </c>
      <c r="G646" s="49">
        <f t="array" ref="G646">MAX(IF(INSTOCK!$H$3:$H$6125=B646,INSTOCK!$K$3:$K$6125))</f>
        <v>0.2</v>
      </c>
      <c r="H646" s="50">
        <f t="array" ref="H646">SUM(IF(INSTOCK!$H$3:$H$6125=B646,INSTOCK!$I$3:$I$6125))</f>
        <v>500</v>
      </c>
      <c r="I646" s="50" t="str">
        <f>ARRAY_CONSTRAIN(ARRAYFORMULA(SUM(IF([3]!Table13[ID]=B646,[3]!Table13[QTY]))), 1, 1)</f>
        <v>#ERROR!</v>
      </c>
      <c r="J646" s="50" t="str">
        <f>TABLEITEM!$H$3:$H$2749-TABLEITEM!$I$3:$I$2749</f>
        <v>#ERROR!</v>
      </c>
    </row>
    <row r="647" ht="15.75" customHeight="1">
      <c r="A647" s="45"/>
      <c r="B647" s="10" t="s">
        <v>4468</v>
      </c>
      <c r="C647" s="26"/>
      <c r="D647" s="10" t="s">
        <v>8070</v>
      </c>
      <c r="E647" s="48" t="s">
        <v>7207</v>
      </c>
      <c r="F647" s="48" t="s">
        <v>7173</v>
      </c>
      <c r="G647" s="49">
        <f t="array" ref="G647">MAX(IF(INSTOCK!$H$3:$H$6125=B647,INSTOCK!$K$3:$K$6125))</f>
        <v>0.0571</v>
      </c>
      <c r="H647" s="50">
        <f t="array" ref="H647">SUM(IF(INSTOCK!$H$3:$H$6125=B647,INSTOCK!$I$3:$I$6125))</f>
        <v>4000</v>
      </c>
      <c r="I647" s="50" t="str">
        <f>ARRAY_CONSTRAIN(ARRAYFORMULA(SUM(IF([3]!Table13[ID]=B647,[3]!Table13[QTY]))), 1, 1)</f>
        <v>#ERROR!</v>
      </c>
      <c r="J647" s="50" t="str">
        <f>TABLEITEM!$H$3:$H$2749-TABLEITEM!$I$3:$I$2749</f>
        <v>#ERROR!</v>
      </c>
    </row>
    <row r="648" ht="15.75" customHeight="1">
      <c r="A648" s="45"/>
      <c r="B648" s="10" t="s">
        <v>2831</v>
      </c>
      <c r="C648" s="26"/>
      <c r="D648" s="10" t="s">
        <v>8071</v>
      </c>
      <c r="E648" s="48" t="s">
        <v>8072</v>
      </c>
      <c r="F648" s="48" t="s">
        <v>7173</v>
      </c>
      <c r="G648" s="49">
        <f t="array" ref="G648">MAX(IF(INSTOCK!$H$3:$H$6125=B648,INSTOCK!$K$3:$K$6125))</f>
        <v>38</v>
      </c>
      <c r="H648" s="50">
        <f t="array" ref="H648">SUM(IF(INSTOCK!$H$3:$H$6125=B648,INSTOCK!$I$3:$I$6125))</f>
        <v>96</v>
      </c>
      <c r="I648" s="50" t="str">
        <f>ARRAY_CONSTRAIN(ARRAYFORMULA(SUM(IF([3]!Table13[ID]=B648,[3]!Table13[QTY]))), 1, 1)</f>
        <v>#ERROR!</v>
      </c>
      <c r="J648" s="50" t="str">
        <f>TABLEITEM!$H$3:$H$2749-TABLEITEM!$I$3:$I$2749</f>
        <v>#ERROR!</v>
      </c>
    </row>
    <row r="649" ht="15.75" customHeight="1">
      <c r="A649" s="45"/>
      <c r="B649" s="10" t="s">
        <v>3055</v>
      </c>
      <c r="C649" s="26"/>
      <c r="D649" s="10" t="s">
        <v>8073</v>
      </c>
      <c r="E649" s="48" t="s">
        <v>5103</v>
      </c>
      <c r="F649" s="48" t="s">
        <v>7173</v>
      </c>
      <c r="G649" s="49">
        <f t="array" ref="G649">MAX(IF(INSTOCK!$H$3:$H$6125=B649,INSTOCK!$K$3:$K$6125))</f>
        <v>550</v>
      </c>
      <c r="H649" s="50">
        <f t="array" ref="H649">SUM(IF(INSTOCK!$H$3:$H$6125=B649,INSTOCK!$I$3:$I$6125))</f>
        <v>10</v>
      </c>
      <c r="I649" s="50" t="str">
        <f>ARRAY_CONSTRAIN(ARRAYFORMULA(SUM(IF([3]!Table13[ID]=B649,[3]!Table13[QTY]))), 1, 1)</f>
        <v>#ERROR!</v>
      </c>
      <c r="J649" s="50" t="str">
        <f>TABLEITEM!$H$3:$H$2749-TABLEITEM!$I$3:$I$2749</f>
        <v>#ERROR!</v>
      </c>
    </row>
    <row r="650" ht="15.75" customHeight="1">
      <c r="A650" s="45"/>
      <c r="B650" s="10" t="s">
        <v>2283</v>
      </c>
      <c r="C650" s="26"/>
      <c r="D650" s="10" t="s">
        <v>8074</v>
      </c>
      <c r="E650" s="48"/>
      <c r="F650" s="48" t="s">
        <v>7173</v>
      </c>
      <c r="G650" s="49">
        <f t="array" ref="G650">MAX(IF(INSTOCK!$H$3:$H$6125=B650,INSTOCK!$K$3:$K$6125))</f>
        <v>48</v>
      </c>
      <c r="H650" s="50">
        <f t="array" ref="H650">SUM(IF(INSTOCK!$H$3:$H$6125=B650,INSTOCK!$I$3:$I$6125))</f>
        <v>20</v>
      </c>
      <c r="I650" s="50" t="str">
        <f>ARRAY_CONSTRAIN(ARRAYFORMULA(SUM(IF([3]!Table13[ID]=B650,[3]!Table13[QTY]))), 1, 1)</f>
        <v>#ERROR!</v>
      </c>
      <c r="J650" s="50" t="str">
        <f>TABLEITEM!$H$3:$H$2749-TABLEITEM!$I$3:$I$2749</f>
        <v>#ERROR!</v>
      </c>
    </row>
    <row r="651" ht="15.75" customHeight="1">
      <c r="A651" s="45"/>
      <c r="B651" s="10" t="s">
        <v>1169</v>
      </c>
      <c r="C651" s="26"/>
      <c r="D651" s="10" t="s">
        <v>1170</v>
      </c>
      <c r="E651" s="48" t="s">
        <v>7172</v>
      </c>
      <c r="F651" s="48" t="s">
        <v>7173</v>
      </c>
      <c r="G651" s="49">
        <f t="array" ref="G651">MAX(IF(INSTOCK!$H$3:$H$6125=B651,INSTOCK!$K$3:$K$6125))</f>
        <v>416.13</v>
      </c>
      <c r="H651" s="50">
        <f t="array" ref="H651">SUM(IF(INSTOCK!$H$3:$H$6125=B651,INSTOCK!$I$3:$I$6125))</f>
        <v>10</v>
      </c>
      <c r="I651" s="50" t="str">
        <f>ARRAY_CONSTRAIN(ARRAYFORMULA(SUM(IF([3]!Table13[ID]=B651,[3]!Table13[QTY]))), 1, 1)</f>
        <v>#ERROR!</v>
      </c>
      <c r="J651" s="50" t="str">
        <f>TABLEITEM!$H$3:$H$2749-TABLEITEM!$I$3:$I$2749</f>
        <v>#ERROR!</v>
      </c>
    </row>
    <row r="652" ht="15.75" customHeight="1">
      <c r="A652" s="45"/>
      <c r="B652" s="10" t="s">
        <v>8075</v>
      </c>
      <c r="C652" s="26"/>
      <c r="D652" s="10" t="s">
        <v>8076</v>
      </c>
      <c r="E652" s="48"/>
      <c r="F652" s="48" t="s">
        <v>7173</v>
      </c>
      <c r="G652" s="49">
        <f t="array" ref="G652">MAX(IF(INSTOCK!$H$3:$H$6125=B652,INSTOCK!$K$3:$K$6125))</f>
        <v>0</v>
      </c>
      <c r="H652" s="50">
        <f t="array" ref="H652">SUM(IF(INSTOCK!$H$3:$H$6125=B652,INSTOCK!$I$3:$I$6125))</f>
        <v>0</v>
      </c>
      <c r="I652" s="50" t="str">
        <f>ARRAY_CONSTRAIN(ARRAYFORMULA(SUM(IF([3]!Table13[ID]=B652,[3]!Table13[QTY]))), 1, 1)</f>
        <v>#ERROR!</v>
      </c>
      <c r="J652" s="50" t="str">
        <f>TABLEITEM!$H$3:$H$2749-TABLEITEM!$I$3:$I$2749</f>
        <v>#ERROR!</v>
      </c>
    </row>
    <row r="653" ht="15.75" customHeight="1">
      <c r="A653" s="45"/>
      <c r="B653" s="10" t="s">
        <v>8077</v>
      </c>
      <c r="C653" s="26"/>
      <c r="D653" s="10" t="s">
        <v>8078</v>
      </c>
      <c r="E653" s="48"/>
      <c r="F653" s="48" t="s">
        <v>7173</v>
      </c>
      <c r="G653" s="49">
        <f t="array" ref="G653">MAX(IF(INSTOCK!$H$3:$H$6125=B653,INSTOCK!$K$3:$K$6125))</f>
        <v>0</v>
      </c>
      <c r="H653" s="50">
        <f t="array" ref="H653">SUM(IF(INSTOCK!$H$3:$H$6125=B653,INSTOCK!$I$3:$I$6125))</f>
        <v>0</v>
      </c>
      <c r="I653" s="50" t="str">
        <f>ARRAY_CONSTRAIN(ARRAYFORMULA(SUM(IF([3]!Table13[ID]=B653,[3]!Table13[QTY]))), 1, 1)</f>
        <v>#ERROR!</v>
      </c>
      <c r="J653" s="50" t="str">
        <f>TABLEITEM!$H$3:$H$2749-TABLEITEM!$I$3:$I$2749</f>
        <v>#ERROR!</v>
      </c>
    </row>
    <row r="654" ht="15.75" customHeight="1">
      <c r="A654" s="45"/>
      <c r="B654" s="10" t="s">
        <v>2698</v>
      </c>
      <c r="C654" s="26"/>
      <c r="D654" s="10" t="s">
        <v>8079</v>
      </c>
      <c r="E654" s="48"/>
      <c r="F654" s="48" t="s">
        <v>8080</v>
      </c>
      <c r="G654" s="49">
        <f t="array" ref="G654">MAX(IF(INSTOCK!$H$3:$H$6125=B654,INSTOCK!$K$3:$K$6125))</f>
        <v>580</v>
      </c>
      <c r="H654" s="50">
        <f t="array" ref="H654">SUM(IF(INSTOCK!$H$3:$H$6125=B654,INSTOCK!$I$3:$I$6125))</f>
        <v>1</v>
      </c>
      <c r="I654" s="50" t="str">
        <f>ARRAY_CONSTRAIN(ARRAYFORMULA(SUM(IF([3]!Table13[ID]=B654,[3]!Table13[QTY]))), 1, 1)</f>
        <v>#ERROR!</v>
      </c>
      <c r="J654" s="50" t="str">
        <f>TABLEITEM!$H$3:$H$2749-TABLEITEM!$I$3:$I$2749</f>
        <v>#ERROR!</v>
      </c>
    </row>
    <row r="655" ht="15.75" customHeight="1">
      <c r="A655" s="45"/>
      <c r="B655" s="10" t="s">
        <v>966</v>
      </c>
      <c r="C655" s="26"/>
      <c r="D655" s="10" t="s">
        <v>1052</v>
      </c>
      <c r="E655" s="48" t="s">
        <v>7193</v>
      </c>
      <c r="F655" s="48" t="s">
        <v>7173</v>
      </c>
      <c r="G655" s="49">
        <f t="array" ref="G655">MAX(IF(INSTOCK!$H$3:$H$6125=B655,INSTOCK!$K$3:$K$6125))</f>
        <v>28</v>
      </c>
      <c r="H655" s="50">
        <f t="array" ref="H655">SUM(IF(INSTOCK!$H$3:$H$6125=B655,INSTOCK!$I$3:$I$6125))</f>
        <v>489</v>
      </c>
      <c r="I655" s="50" t="str">
        <f>ARRAY_CONSTRAIN(ARRAYFORMULA(SUM(IF([3]!Table13[ID]=B655,[3]!Table13[QTY]))), 1, 1)</f>
        <v>#ERROR!</v>
      </c>
      <c r="J655" s="50" t="str">
        <f>TABLEITEM!$H$3:$H$2749-TABLEITEM!$I$3:$I$2749</f>
        <v>#ERROR!</v>
      </c>
    </row>
    <row r="656" ht="15.75" customHeight="1">
      <c r="A656" s="45"/>
      <c r="B656" s="10" t="s">
        <v>8081</v>
      </c>
      <c r="C656" s="26" t="s">
        <v>7182</v>
      </c>
      <c r="D656" s="10" t="s">
        <v>8082</v>
      </c>
      <c r="E656" s="48" t="s">
        <v>8083</v>
      </c>
      <c r="F656" s="48" t="s">
        <v>7173</v>
      </c>
      <c r="G656" s="49">
        <f t="array" ref="G656">MAX(IF(INSTOCK!$H$3:$H$6125=B656,INSTOCK!$K$3:$K$6125))</f>
        <v>0</v>
      </c>
      <c r="H656" s="50">
        <f t="array" ref="H656">SUM(IF(INSTOCK!$H$3:$H$6125=B656,INSTOCK!$I$3:$I$6125))</f>
        <v>0</v>
      </c>
      <c r="I656" s="50" t="str">
        <f>ARRAY_CONSTRAIN(ARRAYFORMULA(SUM(IF([3]!Table13[ID]=B656,[3]!Table13[QTY]))), 1, 1)</f>
        <v>#ERROR!</v>
      </c>
      <c r="J656" s="50" t="str">
        <f>TABLEITEM!$H$3:$H$2749-TABLEITEM!$I$3:$I$2749</f>
        <v>#ERROR!</v>
      </c>
    </row>
    <row r="657" ht="15.75" customHeight="1">
      <c r="A657" s="45"/>
      <c r="B657" s="10" t="s">
        <v>8084</v>
      </c>
      <c r="C657" s="26" t="s">
        <v>7182</v>
      </c>
      <c r="D657" s="10" t="s">
        <v>8085</v>
      </c>
      <c r="E657" s="48" t="s">
        <v>8083</v>
      </c>
      <c r="F657" s="48" t="s">
        <v>7173</v>
      </c>
      <c r="G657" s="49">
        <f t="array" ref="G657">MAX(IF(INSTOCK!$H$3:$H$6125=B657,INSTOCK!$K$3:$K$6125))</f>
        <v>0</v>
      </c>
      <c r="H657" s="50">
        <f t="array" ref="H657">SUM(IF(INSTOCK!$H$3:$H$6125=B657,INSTOCK!$I$3:$I$6125))</f>
        <v>0</v>
      </c>
      <c r="I657" s="50" t="str">
        <f>ARRAY_CONSTRAIN(ARRAYFORMULA(SUM(IF([3]!Table13[ID]=B657,[3]!Table13[QTY]))), 1, 1)</f>
        <v>#ERROR!</v>
      </c>
      <c r="J657" s="50" t="str">
        <f>TABLEITEM!$H$3:$H$2749-TABLEITEM!$I$3:$I$2749</f>
        <v>#ERROR!</v>
      </c>
    </row>
    <row r="658" ht="15.75" customHeight="1">
      <c r="A658" s="45">
        <v>576.0</v>
      </c>
      <c r="B658" s="10" t="s">
        <v>600</v>
      </c>
      <c r="C658" s="26" t="s">
        <v>7182</v>
      </c>
      <c r="D658" s="10" t="s">
        <v>8086</v>
      </c>
      <c r="E658" s="48" t="s">
        <v>8087</v>
      </c>
      <c r="F658" s="48" t="s">
        <v>7173</v>
      </c>
      <c r="G658" s="49">
        <f t="array" ref="G658">MAX(IF(INSTOCK!$H$3:$H$6125=B658,INSTOCK!$K$3:$K$6125))</f>
        <v>26</v>
      </c>
      <c r="H658" s="50">
        <f t="array" ref="H658">SUM(IF(INSTOCK!$H$3:$H$6125=B658,INSTOCK!$I$3:$I$6125))</f>
        <v>7395</v>
      </c>
      <c r="I658" s="50" t="str">
        <f>ARRAY_CONSTRAIN(ARRAYFORMULA(SUM(IF([3]!Table13[ID]=B658,[3]!Table13[QTY]))), 1, 1)</f>
        <v>#ERROR!</v>
      </c>
      <c r="J658" s="50" t="str">
        <f>TABLEITEM!$H$3:$H$2749-TABLEITEM!$I$3:$I$2749</f>
        <v>#ERROR!</v>
      </c>
    </row>
    <row r="659" ht="15.75" customHeight="1">
      <c r="A659" s="45">
        <v>575.0</v>
      </c>
      <c r="B659" s="10" t="s">
        <v>599</v>
      </c>
      <c r="C659" s="26" t="s">
        <v>7182</v>
      </c>
      <c r="D659" s="10" t="s">
        <v>8088</v>
      </c>
      <c r="E659" s="48" t="s">
        <v>8087</v>
      </c>
      <c r="F659" s="48" t="s">
        <v>7173</v>
      </c>
      <c r="G659" s="49">
        <f t="array" ref="G659">MAX(IF(INSTOCK!$H$3:$H$6125=B659,INSTOCK!$K$3:$K$6125))</f>
        <v>13</v>
      </c>
      <c r="H659" s="50">
        <f t="array" ref="H659">SUM(IF(INSTOCK!$H$3:$H$6125=B659,INSTOCK!$I$3:$I$6125))</f>
        <v>18950</v>
      </c>
      <c r="I659" s="50" t="str">
        <f>ARRAY_CONSTRAIN(ARRAYFORMULA(SUM(IF([3]!Table13[ID]=B659,[3]!Table13[QTY]))), 1, 1)</f>
        <v>#ERROR!</v>
      </c>
      <c r="J659" s="50" t="str">
        <f>TABLEITEM!$H$3:$H$2749-TABLEITEM!$I$3:$I$2749</f>
        <v>#ERROR!</v>
      </c>
    </row>
    <row r="660" ht="15.75" customHeight="1">
      <c r="A660" s="45">
        <v>574.0</v>
      </c>
      <c r="B660" s="10" t="s">
        <v>598</v>
      </c>
      <c r="C660" s="26" t="s">
        <v>7182</v>
      </c>
      <c r="D660" s="10" t="s">
        <v>8089</v>
      </c>
      <c r="E660" s="48" t="s">
        <v>8087</v>
      </c>
      <c r="F660" s="48" t="s">
        <v>7173</v>
      </c>
      <c r="G660" s="49">
        <f t="array" ref="G660">MAX(IF(INSTOCK!$H$3:$H$6125=B660,INSTOCK!$K$3:$K$6125))</f>
        <v>13</v>
      </c>
      <c r="H660" s="50">
        <f t="array" ref="H660">SUM(IF(INSTOCK!$H$3:$H$6125=B660,INSTOCK!$I$3:$I$6125))</f>
        <v>1</v>
      </c>
      <c r="I660" s="50" t="str">
        <f>ARRAY_CONSTRAIN(ARRAYFORMULA(SUM(IF([3]!Table13[ID]=B660,[3]!Table13[QTY]))), 1, 1)</f>
        <v>#ERROR!</v>
      </c>
      <c r="J660" s="50" t="str">
        <f>TABLEITEM!$H$3:$H$2749-TABLEITEM!$I$3:$I$2749</f>
        <v>#ERROR!</v>
      </c>
    </row>
    <row r="661" ht="15.75" customHeight="1">
      <c r="A661" s="45">
        <v>578.0</v>
      </c>
      <c r="B661" s="10" t="s">
        <v>603</v>
      </c>
      <c r="C661" s="26" t="s">
        <v>7182</v>
      </c>
      <c r="D661" s="10" t="s">
        <v>8090</v>
      </c>
      <c r="E661" s="48"/>
      <c r="F661" s="48" t="s">
        <v>7173</v>
      </c>
      <c r="G661" s="49">
        <f t="array" ref="G661">MAX(IF(INSTOCK!$H$3:$H$6125=B661,INSTOCK!$K$3:$K$6125))</f>
        <v>0</v>
      </c>
      <c r="H661" s="50">
        <f t="array" ref="H661">SUM(IF(INSTOCK!$H$3:$H$6125=B661,INSTOCK!$I$3:$I$6125))</f>
        <v>29</v>
      </c>
      <c r="I661" s="50" t="str">
        <f>ARRAY_CONSTRAIN(ARRAYFORMULA(SUM(IF([3]!Table13[ID]=B661,[3]!Table13[QTY]))), 1, 1)</f>
        <v>#ERROR!</v>
      </c>
      <c r="J661" s="50" t="str">
        <f>TABLEITEM!$H$3:$H$2749-TABLEITEM!$I$3:$I$2749</f>
        <v>#ERROR!</v>
      </c>
    </row>
    <row r="662" ht="15.75" customHeight="1">
      <c r="A662" s="45">
        <v>577.0</v>
      </c>
      <c r="B662" s="10" t="s">
        <v>602</v>
      </c>
      <c r="C662" s="26" t="s">
        <v>7182</v>
      </c>
      <c r="D662" s="10" t="s">
        <v>8091</v>
      </c>
      <c r="E662" s="48"/>
      <c r="F662" s="48" t="s">
        <v>7173</v>
      </c>
      <c r="G662" s="49">
        <f t="array" ref="G662">MAX(IF(INSTOCK!$H$3:$H$6125=B662,INSTOCK!$K$3:$K$6125))</f>
        <v>0</v>
      </c>
      <c r="H662" s="50">
        <f t="array" ref="H662">SUM(IF(INSTOCK!$H$3:$H$6125=B662,INSTOCK!$I$3:$I$6125))</f>
        <v>101</v>
      </c>
      <c r="I662" s="50" t="str">
        <f>ARRAY_CONSTRAIN(ARRAYFORMULA(SUM(IF([3]!Table13[ID]=B662,[3]!Table13[QTY]))), 1, 1)</f>
        <v>#ERROR!</v>
      </c>
      <c r="J662" s="50" t="str">
        <f>TABLEITEM!$H$3:$H$2749-TABLEITEM!$I$3:$I$2749</f>
        <v>#ERROR!</v>
      </c>
    </row>
    <row r="663" ht="15.75" customHeight="1">
      <c r="A663" s="45"/>
      <c r="B663" s="10" t="s">
        <v>883</v>
      </c>
      <c r="C663" s="26"/>
      <c r="D663" s="10" t="s">
        <v>884</v>
      </c>
      <c r="E663" s="48" t="s">
        <v>8092</v>
      </c>
      <c r="F663" s="48" t="s">
        <v>7173</v>
      </c>
      <c r="G663" s="49">
        <f t="array" ref="G663">MAX(IF(INSTOCK!$H$3:$H$6125=B663,INSTOCK!$K$3:$K$6125))</f>
        <v>10</v>
      </c>
      <c r="H663" s="50">
        <f t="array" ref="H663">SUM(IF(INSTOCK!$H$3:$H$6125=B663,INSTOCK!$I$3:$I$6125))</f>
        <v>500</v>
      </c>
      <c r="I663" s="50" t="str">
        <f>ARRAY_CONSTRAIN(ARRAYFORMULA(SUM(IF([3]!Table13[ID]=B663,[3]!Table13[QTY]))), 1, 1)</f>
        <v>#ERROR!</v>
      </c>
      <c r="J663" s="50" t="str">
        <f>TABLEITEM!$H$3:$H$2749-TABLEITEM!$I$3:$I$2749</f>
        <v>#ERROR!</v>
      </c>
    </row>
    <row r="664" ht="15.75" customHeight="1">
      <c r="A664" s="45">
        <v>252.0</v>
      </c>
      <c r="B664" s="10" t="s">
        <v>133</v>
      </c>
      <c r="C664" s="26"/>
      <c r="D664" s="10" t="s">
        <v>8093</v>
      </c>
      <c r="E664" s="48" t="s">
        <v>8092</v>
      </c>
      <c r="F664" s="48" t="s">
        <v>7173</v>
      </c>
      <c r="G664" s="49">
        <f t="array" ref="G664">MAX(IF(INSTOCK!$H$3:$H$6125=B664,INSTOCK!$K$3:$K$6125))</f>
        <v>10</v>
      </c>
      <c r="H664" s="50">
        <f t="array" ref="H664">SUM(IF(INSTOCK!$H$3:$H$6125=B664,INSTOCK!$I$3:$I$6125))</f>
        <v>55</v>
      </c>
      <c r="I664" s="50" t="str">
        <f>ARRAY_CONSTRAIN(ARRAYFORMULA(SUM(IF([3]!Table13[ID]=B664,[3]!Table13[QTY]))), 1, 1)</f>
        <v>#ERROR!</v>
      </c>
      <c r="J664" s="50" t="str">
        <f>TABLEITEM!$H$3:$H$2749-TABLEITEM!$I$3:$I$2749</f>
        <v>#ERROR!</v>
      </c>
    </row>
    <row r="665" ht="15.75" customHeight="1">
      <c r="A665" s="45"/>
      <c r="B665" s="10" t="s">
        <v>1681</v>
      </c>
      <c r="C665" s="26"/>
      <c r="D665" s="10" t="s">
        <v>8094</v>
      </c>
      <c r="E665" s="48" t="s">
        <v>8095</v>
      </c>
      <c r="F665" s="48" t="s">
        <v>7173</v>
      </c>
      <c r="G665" s="49">
        <f t="array" ref="G665">MAX(IF(INSTOCK!$H$3:$H$6125=B665,INSTOCK!$K$3:$K$6125))</f>
        <v>70</v>
      </c>
      <c r="H665" s="50">
        <f t="array" ref="H665">SUM(IF(INSTOCK!$H$3:$H$6125=B665,INSTOCK!$I$3:$I$6125))</f>
        <v>4</v>
      </c>
      <c r="I665" s="50" t="str">
        <f>ARRAY_CONSTRAIN(ARRAYFORMULA(SUM(IF([3]!Table13[ID]=B665,[3]!Table13[QTY]))), 1, 1)</f>
        <v>#ERROR!</v>
      </c>
      <c r="J665" s="50" t="str">
        <f>TABLEITEM!$H$3:$H$2749-TABLEITEM!$I$3:$I$2749</f>
        <v>#ERROR!</v>
      </c>
    </row>
    <row r="666" ht="15.75" customHeight="1">
      <c r="A666" s="45"/>
      <c r="B666" s="10" t="s">
        <v>8096</v>
      </c>
      <c r="C666" s="26"/>
      <c r="D666" s="10" t="s">
        <v>8097</v>
      </c>
      <c r="E666" s="48" t="s">
        <v>7437</v>
      </c>
      <c r="F666" s="48" t="s">
        <v>7173</v>
      </c>
      <c r="G666" s="49">
        <f t="array" ref="G666">MAX(IF(INSTOCK!$H$3:$H$6125=B666,INSTOCK!$K$3:$K$6125))</f>
        <v>0</v>
      </c>
      <c r="H666" s="50">
        <f t="array" ref="H666">SUM(IF(INSTOCK!$H$3:$H$6125=B666,INSTOCK!$I$3:$I$6125))</f>
        <v>0</v>
      </c>
      <c r="I666" s="50" t="str">
        <f>ARRAY_CONSTRAIN(ARRAYFORMULA(SUM(IF([3]!Table13[ID]=B666,[3]!Table13[QTY]))), 1, 1)</f>
        <v>#ERROR!</v>
      </c>
      <c r="J666" s="50" t="str">
        <f>TABLEITEM!$H$3:$H$2749-TABLEITEM!$I$3:$I$2749</f>
        <v>#ERROR!</v>
      </c>
    </row>
    <row r="667" ht="15.75" customHeight="1">
      <c r="A667" s="45"/>
      <c r="B667" s="10" t="s">
        <v>8098</v>
      </c>
      <c r="C667" s="26"/>
      <c r="D667" s="10" t="s">
        <v>8099</v>
      </c>
      <c r="E667" s="48" t="s">
        <v>7437</v>
      </c>
      <c r="F667" s="48" t="s">
        <v>7173</v>
      </c>
      <c r="G667" s="49">
        <f t="array" ref="G667">MAX(IF(INSTOCK!$H$3:$H$6125=B667,INSTOCK!$K$3:$K$6125))</f>
        <v>0</v>
      </c>
      <c r="H667" s="50">
        <f t="array" ref="H667">SUM(IF(INSTOCK!$H$3:$H$6125=B667,INSTOCK!$I$3:$I$6125))</f>
        <v>0</v>
      </c>
      <c r="I667" s="50" t="str">
        <f>ARRAY_CONSTRAIN(ARRAYFORMULA(SUM(IF([3]!Table13[ID]=B667,[3]!Table13[QTY]))), 1, 1)</f>
        <v>#ERROR!</v>
      </c>
      <c r="J667" s="50" t="str">
        <f>TABLEITEM!$H$3:$H$2749-TABLEITEM!$I$3:$I$2749</f>
        <v>#ERROR!</v>
      </c>
    </row>
    <row r="668" ht="15.75" customHeight="1">
      <c r="A668" s="45"/>
      <c r="B668" s="10" t="s">
        <v>891</v>
      </c>
      <c r="C668" s="26"/>
      <c r="D668" s="10" t="s">
        <v>892</v>
      </c>
      <c r="E668" s="48" t="s">
        <v>8092</v>
      </c>
      <c r="F668" s="48" t="s">
        <v>7173</v>
      </c>
      <c r="G668" s="49">
        <f t="array" ref="G668">MAX(IF(INSTOCK!$H$3:$H$6125=B668,INSTOCK!$K$3:$K$6125))</f>
        <v>6</v>
      </c>
      <c r="H668" s="50">
        <f t="array" ref="H668">SUM(IF(INSTOCK!$H$3:$H$6125=B668,INSTOCK!$I$3:$I$6125))</f>
        <v>1000</v>
      </c>
      <c r="I668" s="50" t="str">
        <f>ARRAY_CONSTRAIN(ARRAYFORMULA(SUM(IF([3]!Table13[ID]=B668,[3]!Table13[QTY]))), 1, 1)</f>
        <v>#ERROR!</v>
      </c>
      <c r="J668" s="50" t="str">
        <f>TABLEITEM!$H$3:$H$2749-TABLEITEM!$I$3:$I$2749</f>
        <v>#ERROR!</v>
      </c>
    </row>
    <row r="669" ht="15.75" customHeight="1">
      <c r="A669" s="45">
        <v>111.0</v>
      </c>
      <c r="B669" s="10" t="s">
        <v>570</v>
      </c>
      <c r="C669" s="26" t="s">
        <v>7174</v>
      </c>
      <c r="D669" s="10" t="s">
        <v>8100</v>
      </c>
      <c r="E669" s="48" t="s">
        <v>8101</v>
      </c>
      <c r="F669" s="48" t="s">
        <v>7173</v>
      </c>
      <c r="G669" s="49">
        <f t="array" ref="G669">MAX(IF(INSTOCK!$H$3:$H$6125=B669,INSTOCK!$K$3:$K$6125))</f>
        <v>0</v>
      </c>
      <c r="H669" s="50">
        <f t="array" ref="H669">SUM(IF(INSTOCK!$H$3:$H$6125=B669,INSTOCK!$I$3:$I$6125))</f>
        <v>85</v>
      </c>
      <c r="I669" s="50" t="str">
        <f>ARRAY_CONSTRAIN(ARRAYFORMULA(SUM(IF([3]!Table13[ID]=B669,[3]!Table13[QTY]))), 1, 1)</f>
        <v>#ERROR!</v>
      </c>
      <c r="J669" s="50" t="str">
        <f>TABLEITEM!$H$3:$H$2749-TABLEITEM!$I$3:$I$2749</f>
        <v>#ERROR!</v>
      </c>
    </row>
    <row r="670" ht="15.75" customHeight="1">
      <c r="A670" s="45">
        <v>110.0</v>
      </c>
      <c r="B670" s="10" t="s">
        <v>568</v>
      </c>
      <c r="C670" s="26" t="s">
        <v>7174</v>
      </c>
      <c r="D670" s="10" t="s">
        <v>8102</v>
      </c>
      <c r="E670" s="48" t="s">
        <v>8101</v>
      </c>
      <c r="F670" s="48" t="s">
        <v>7173</v>
      </c>
      <c r="G670" s="49">
        <f t="array" ref="G670">MAX(IF(INSTOCK!$H$3:$H$6125=B670,INSTOCK!$K$3:$K$6125))</f>
        <v>0</v>
      </c>
      <c r="H670" s="50">
        <f t="array" ref="H670">SUM(IF(INSTOCK!$H$3:$H$6125=B670,INSTOCK!$I$3:$I$6125))</f>
        <v>164</v>
      </c>
      <c r="I670" s="50" t="str">
        <f>ARRAY_CONSTRAIN(ARRAYFORMULA(SUM(IF([3]!Table13[ID]=B670,[3]!Table13[QTY]))), 1, 1)</f>
        <v>#ERROR!</v>
      </c>
      <c r="J670" s="50" t="str">
        <f>TABLEITEM!$H$3:$H$2749-TABLEITEM!$I$3:$I$2749</f>
        <v>#ERROR!</v>
      </c>
    </row>
    <row r="671" ht="15.75" customHeight="1">
      <c r="A671" s="45"/>
      <c r="B671" s="10" t="s">
        <v>2163</v>
      </c>
      <c r="C671" s="26"/>
      <c r="D671" s="10" t="s">
        <v>8103</v>
      </c>
      <c r="E671" s="48"/>
      <c r="F671" s="48" t="s">
        <v>7173</v>
      </c>
      <c r="G671" s="49">
        <f t="array" ref="G671">MAX(IF(INSTOCK!$H$3:$H$6125=B671,INSTOCK!$K$3:$K$6125))</f>
        <v>345</v>
      </c>
      <c r="H671" s="50">
        <f t="array" ref="H671">SUM(IF(INSTOCK!$H$3:$H$6125=B671,INSTOCK!$I$3:$I$6125))</f>
        <v>12</v>
      </c>
      <c r="I671" s="50" t="str">
        <f>ARRAY_CONSTRAIN(ARRAYFORMULA(SUM(IF([3]!Table13[ID]=B671,[3]!Table13[QTY]))), 1, 1)</f>
        <v>#ERROR!</v>
      </c>
      <c r="J671" s="50" t="str">
        <f>TABLEITEM!$H$3:$H$2749-TABLEITEM!$I$3:$I$2749</f>
        <v>#ERROR!</v>
      </c>
    </row>
    <row r="672" ht="15.75" customHeight="1">
      <c r="A672" s="45"/>
      <c r="B672" s="10" t="s">
        <v>2164</v>
      </c>
      <c r="C672" s="26"/>
      <c r="D672" s="10" t="s">
        <v>8104</v>
      </c>
      <c r="E672" s="48"/>
      <c r="F672" s="48" t="s">
        <v>7173</v>
      </c>
      <c r="G672" s="49">
        <f t="array" ref="G672">MAX(IF(INSTOCK!$H$3:$H$6125=B672,INSTOCK!$K$3:$K$6125))</f>
        <v>315</v>
      </c>
      <c r="H672" s="50">
        <f t="array" ref="H672">SUM(IF(INSTOCK!$H$3:$H$6125=B672,INSTOCK!$I$3:$I$6125))</f>
        <v>12</v>
      </c>
      <c r="I672" s="50" t="str">
        <f>ARRAY_CONSTRAIN(ARRAYFORMULA(SUM(IF([3]!Table13[ID]=B672,[3]!Table13[QTY]))), 1, 1)</f>
        <v>#ERROR!</v>
      </c>
      <c r="J672" s="50" t="str">
        <f>TABLEITEM!$H$3:$H$2749-TABLEITEM!$I$3:$I$2749</f>
        <v>#ERROR!</v>
      </c>
    </row>
    <row r="673" ht="15.75" customHeight="1">
      <c r="A673" s="45"/>
      <c r="B673" s="10" t="s">
        <v>1924</v>
      </c>
      <c r="C673" s="26"/>
      <c r="D673" s="10" t="s">
        <v>8105</v>
      </c>
      <c r="E673" s="48" t="s">
        <v>8106</v>
      </c>
      <c r="F673" s="48" t="s">
        <v>7173</v>
      </c>
      <c r="G673" s="49">
        <f t="array" ref="G673">MAX(IF(INSTOCK!$H$3:$H$6125=B673,INSTOCK!$K$3:$K$6125))</f>
        <v>157</v>
      </c>
      <c r="H673" s="50">
        <f t="array" ref="H673">SUM(IF(INSTOCK!$H$3:$H$6125=B673,INSTOCK!$I$3:$I$6125))</f>
        <v>44</v>
      </c>
      <c r="I673" s="50" t="str">
        <f>ARRAY_CONSTRAIN(ARRAYFORMULA(SUM(IF([3]!Table13[ID]=B673,[3]!Table13[QTY]))), 1, 1)</f>
        <v>#ERROR!</v>
      </c>
      <c r="J673" s="50" t="str">
        <f>TABLEITEM!$H$3:$H$2749-TABLEITEM!$I$3:$I$2749</f>
        <v>#ERROR!</v>
      </c>
    </row>
    <row r="674" ht="15.75" customHeight="1">
      <c r="A674" s="45"/>
      <c r="B674" s="10" t="s">
        <v>3270</v>
      </c>
      <c r="C674" s="26"/>
      <c r="D674" s="10" t="s">
        <v>8107</v>
      </c>
      <c r="E674" s="48" t="s">
        <v>8106</v>
      </c>
      <c r="F674" s="48" t="s">
        <v>7173</v>
      </c>
      <c r="G674" s="49">
        <f t="array" ref="G674">MAX(IF(INSTOCK!$H$3:$H$6125=B674,INSTOCK!$K$3:$K$6125))</f>
        <v>117</v>
      </c>
      <c r="H674" s="50">
        <f t="array" ref="H674">SUM(IF(INSTOCK!$H$3:$H$6125=B674,INSTOCK!$I$3:$I$6125))</f>
        <v>12</v>
      </c>
      <c r="I674" s="50" t="str">
        <f>ARRAY_CONSTRAIN(ARRAYFORMULA(SUM(IF([3]!Table13[ID]=B674,[3]!Table13[QTY]))), 1, 1)</f>
        <v>#ERROR!</v>
      </c>
      <c r="J674" s="50" t="str">
        <f>TABLEITEM!$H$3:$H$2749-TABLEITEM!$I$3:$I$2749</f>
        <v>#ERROR!</v>
      </c>
    </row>
    <row r="675" ht="15.75" customHeight="1">
      <c r="A675" s="45"/>
      <c r="B675" s="10" t="s">
        <v>3355</v>
      </c>
      <c r="C675" s="26"/>
      <c r="D675" s="10" t="s">
        <v>8108</v>
      </c>
      <c r="E675" s="48"/>
      <c r="F675" s="48" t="s">
        <v>7173</v>
      </c>
      <c r="G675" s="49">
        <f t="array" ref="G675">MAX(IF(INSTOCK!$H$3:$H$6125=B675,INSTOCK!$K$3:$K$6125))</f>
        <v>95</v>
      </c>
      <c r="H675" s="50">
        <f t="array" ref="H675">SUM(IF(INSTOCK!$H$3:$H$6125=B675,INSTOCK!$I$3:$I$6125))</f>
        <v>15</v>
      </c>
      <c r="I675" s="50" t="str">
        <f>ARRAY_CONSTRAIN(ARRAYFORMULA(SUM(IF([3]!Table13[ID]=B675,[3]!Table13[QTY]))), 1, 1)</f>
        <v>#ERROR!</v>
      </c>
      <c r="J675" s="50" t="str">
        <f>TABLEITEM!$H$3:$H$2749-TABLEITEM!$I$3:$I$2749</f>
        <v>#ERROR!</v>
      </c>
    </row>
    <row r="676" ht="15.75" customHeight="1">
      <c r="A676" s="45"/>
      <c r="B676" s="10" t="s">
        <v>3353</v>
      </c>
      <c r="C676" s="26"/>
      <c r="D676" s="10" t="s">
        <v>8109</v>
      </c>
      <c r="E676" s="48"/>
      <c r="F676" s="48" t="s">
        <v>7173</v>
      </c>
      <c r="G676" s="49">
        <f t="array" ref="G676">MAX(IF(INSTOCK!$H$3:$H$6125=B676,INSTOCK!$K$3:$K$6125))</f>
        <v>66.5</v>
      </c>
      <c r="H676" s="50">
        <f t="array" ref="H676">SUM(IF(INSTOCK!$H$3:$H$6125=B676,INSTOCK!$I$3:$I$6125))</f>
        <v>15</v>
      </c>
      <c r="I676" s="50" t="str">
        <f>ARRAY_CONSTRAIN(ARRAYFORMULA(SUM(IF([3]!Table13[ID]=B676,[3]!Table13[QTY]))), 1, 1)</f>
        <v>#ERROR!</v>
      </c>
      <c r="J676" s="50" t="str">
        <f>TABLEITEM!$H$3:$H$2749-TABLEITEM!$I$3:$I$2749</f>
        <v>#ERROR!</v>
      </c>
    </row>
    <row r="677" ht="15.75" customHeight="1">
      <c r="A677" s="45"/>
      <c r="B677" s="10" t="s">
        <v>1547</v>
      </c>
      <c r="C677" s="26"/>
      <c r="D677" s="10" t="s">
        <v>8110</v>
      </c>
      <c r="E677" s="48" t="s">
        <v>1546</v>
      </c>
      <c r="F677" s="48" t="s">
        <v>7173</v>
      </c>
      <c r="G677" s="49">
        <f t="array" ref="G677">MAX(IF(INSTOCK!$H$3:$H$6125=B677,INSTOCK!$K$3:$K$6125))</f>
        <v>490</v>
      </c>
      <c r="H677" s="50">
        <f t="array" ref="H677">SUM(IF(INSTOCK!$H$3:$H$6125=B677,INSTOCK!$I$3:$I$6125))</f>
        <v>100</v>
      </c>
      <c r="I677" s="50" t="str">
        <f>ARRAY_CONSTRAIN(ARRAYFORMULA(SUM(IF([3]!Table13[ID]=B677,[3]!Table13[QTY]))), 1, 1)</f>
        <v>#ERROR!</v>
      </c>
      <c r="J677" s="50" t="str">
        <f>TABLEITEM!$H$3:$H$2749-TABLEITEM!$I$3:$I$2749</f>
        <v>#ERROR!</v>
      </c>
    </row>
    <row r="678" ht="15.75" customHeight="1">
      <c r="A678" s="45"/>
      <c r="B678" s="10" t="s">
        <v>4356</v>
      </c>
      <c r="C678" s="26"/>
      <c r="D678" s="10" t="s">
        <v>8111</v>
      </c>
      <c r="E678" s="48" t="s">
        <v>7760</v>
      </c>
      <c r="F678" s="48" t="s">
        <v>7173</v>
      </c>
      <c r="G678" s="49">
        <f t="array" ref="G678">MAX(IF(INSTOCK!$H$3:$H$6125=B678,INSTOCK!$K$3:$K$6125))</f>
        <v>505</v>
      </c>
      <c r="H678" s="50">
        <f t="array" ref="H678">SUM(IF(INSTOCK!$H$3:$H$6125=B678,INSTOCK!$I$3:$I$6125))</f>
        <v>2</v>
      </c>
      <c r="I678" s="50" t="str">
        <f>ARRAY_CONSTRAIN(ARRAYFORMULA(SUM(IF([3]!Table13[ID]=B678,[3]!Table13[QTY]))), 1, 1)</f>
        <v>#ERROR!</v>
      </c>
      <c r="J678" s="50" t="str">
        <f>TABLEITEM!$H$3:$H$2749-TABLEITEM!$I$3:$I$2749</f>
        <v>#ERROR!</v>
      </c>
    </row>
    <row r="679" ht="15.75" customHeight="1">
      <c r="A679" s="45"/>
      <c r="B679" s="10" t="s">
        <v>3642</v>
      </c>
      <c r="C679" s="26"/>
      <c r="D679" s="10" t="s">
        <v>8112</v>
      </c>
      <c r="E679" s="48" t="s">
        <v>7760</v>
      </c>
      <c r="F679" s="48" t="s">
        <v>7761</v>
      </c>
      <c r="G679" s="49">
        <f t="array" ref="G679">MAX(IF(INSTOCK!$H$3:$H$6125=B679,INSTOCK!$K$3:$K$6125))</f>
        <v>480</v>
      </c>
      <c r="H679" s="50">
        <f t="array" ref="H679">SUM(IF(INSTOCK!$H$3:$H$6125=B679,INSTOCK!$I$3:$I$6125))</f>
        <v>2</v>
      </c>
      <c r="I679" s="50" t="str">
        <f>ARRAY_CONSTRAIN(ARRAYFORMULA(SUM(IF([3]!Table13[ID]=B679,[3]!Table13[QTY]))), 1, 1)</f>
        <v>#ERROR!</v>
      </c>
      <c r="J679" s="50" t="str">
        <f>TABLEITEM!$H$3:$H$2749-TABLEITEM!$I$3:$I$2749</f>
        <v>#ERROR!</v>
      </c>
    </row>
    <row r="680" ht="15.75" customHeight="1">
      <c r="A680" s="45">
        <v>165.0</v>
      </c>
      <c r="B680" s="10" t="s">
        <v>46</v>
      </c>
      <c r="C680" s="26"/>
      <c r="D680" s="10" t="s">
        <v>1041</v>
      </c>
      <c r="E680" s="48" t="s">
        <v>7193</v>
      </c>
      <c r="F680" s="48" t="s">
        <v>7530</v>
      </c>
      <c r="G680" s="49">
        <f t="array" ref="G680">MAX(IF(INSTOCK!$H$3:$H$6125=B680,INSTOCK!$K$3:$K$6125))</f>
        <v>95</v>
      </c>
      <c r="H680" s="50">
        <f t="array" ref="H680">SUM(IF(INSTOCK!$H$3:$H$6125=B680,INSTOCK!$I$3:$I$6125))</f>
        <v>163</v>
      </c>
      <c r="I680" s="50" t="str">
        <f>ARRAY_CONSTRAIN(ARRAYFORMULA(SUM(IF([3]!Table13[ID]=B680,[3]!Table13[QTY]))), 1, 1)</f>
        <v>#ERROR!</v>
      </c>
      <c r="J680" s="50" t="str">
        <f>TABLEITEM!$H$3:$H$2749-TABLEITEM!$I$3:$I$2749</f>
        <v>#ERROR!</v>
      </c>
    </row>
    <row r="681" ht="15.75" customHeight="1">
      <c r="A681" s="45">
        <v>139.0</v>
      </c>
      <c r="B681" s="10" t="s">
        <v>20</v>
      </c>
      <c r="C681" s="26"/>
      <c r="D681" s="10" t="s">
        <v>8113</v>
      </c>
      <c r="E681" s="48" t="s">
        <v>8114</v>
      </c>
      <c r="F681" s="48" t="s">
        <v>7530</v>
      </c>
      <c r="G681" s="49">
        <f t="array" ref="G681">MAX(IF(INSTOCK!$H$3:$H$6125=B681,INSTOCK!$K$3:$K$6125))</f>
        <v>795</v>
      </c>
      <c r="H681" s="50">
        <f t="array" ref="H681">SUM(IF(INSTOCK!$H$3:$H$6125=B681,INSTOCK!$I$3:$I$6125))</f>
        <v>149</v>
      </c>
      <c r="I681" s="50" t="str">
        <f>ARRAY_CONSTRAIN(ARRAYFORMULA(SUM(IF([3]!Table13[ID]=B681,[3]!Table13[QTY]))), 1, 1)</f>
        <v>#ERROR!</v>
      </c>
      <c r="J681" s="50" t="str">
        <f>TABLEITEM!$H$3:$H$2749-TABLEITEM!$I$3:$I$2749</f>
        <v>#ERROR!</v>
      </c>
    </row>
    <row r="682" ht="15.75" customHeight="1">
      <c r="A682" s="45"/>
      <c r="B682" s="10" t="s">
        <v>3010</v>
      </c>
      <c r="C682" s="26"/>
      <c r="D682" s="10" t="s">
        <v>1049</v>
      </c>
      <c r="E682" s="48" t="s">
        <v>7193</v>
      </c>
      <c r="F682" s="48" t="s">
        <v>8115</v>
      </c>
      <c r="G682" s="49">
        <f t="array" ref="G682">MAX(IF(INSTOCK!$H$3:$H$6125=B682,INSTOCK!$K$3:$K$6125))</f>
        <v>280</v>
      </c>
      <c r="H682" s="50">
        <f t="array" ref="H682">SUM(IF(INSTOCK!$H$3:$H$6125=B682,INSTOCK!$I$3:$I$6125))</f>
        <v>2</v>
      </c>
      <c r="I682" s="50" t="str">
        <f>ARRAY_CONSTRAIN(ARRAYFORMULA(SUM(IF([3]!Table13[ID]=B682,[3]!Table13[QTY]))), 1, 1)</f>
        <v>#ERROR!</v>
      </c>
      <c r="J682" s="50" t="str">
        <f>TABLEITEM!$H$3:$H$2749-TABLEITEM!$I$3:$I$2749</f>
        <v>#ERROR!</v>
      </c>
    </row>
    <row r="683" ht="15.75" customHeight="1">
      <c r="A683" s="45"/>
      <c r="B683" s="10" t="s">
        <v>1421</v>
      </c>
      <c r="C683" s="26"/>
      <c r="D683" s="10" t="s">
        <v>8116</v>
      </c>
      <c r="E683" s="48" t="s">
        <v>8117</v>
      </c>
      <c r="F683" s="48" t="s">
        <v>8115</v>
      </c>
      <c r="G683" s="49">
        <f t="array" ref="G683">MAX(IF(INSTOCK!$H$3:$H$6125=B683,INSTOCK!$K$3:$K$6125))</f>
        <v>120</v>
      </c>
      <c r="H683" s="50">
        <f t="array" ref="H683">SUM(IF(INSTOCK!$H$3:$H$6125=B683,INSTOCK!$I$3:$I$6125))</f>
        <v>7</v>
      </c>
      <c r="I683" s="50" t="str">
        <f>ARRAY_CONSTRAIN(ARRAYFORMULA(SUM(IF([3]!Table13[ID]=B683,[3]!Table13[QTY]))), 1, 1)</f>
        <v>#ERROR!</v>
      </c>
      <c r="J683" s="50" t="str">
        <f>TABLEITEM!$H$3:$H$2749-TABLEITEM!$I$3:$I$2749</f>
        <v>#ERROR!</v>
      </c>
    </row>
    <row r="684" ht="15.75" customHeight="1">
      <c r="A684" s="45"/>
      <c r="B684" s="10" t="s">
        <v>2575</v>
      </c>
      <c r="C684" s="26"/>
      <c r="D684" s="10" t="s">
        <v>8118</v>
      </c>
      <c r="E684" s="48" t="s">
        <v>8119</v>
      </c>
      <c r="F684" s="48" t="s">
        <v>7530</v>
      </c>
      <c r="G684" s="49">
        <f t="array" ref="G684">MAX(IF(INSTOCK!$H$3:$H$6125=B684,INSTOCK!$K$3:$K$6125))</f>
        <v>735</v>
      </c>
      <c r="H684" s="50">
        <f t="array" ref="H684">SUM(IF(INSTOCK!$H$3:$H$6125=B684,INSTOCK!$I$3:$I$6125))</f>
        <v>10</v>
      </c>
      <c r="I684" s="50" t="str">
        <f>ARRAY_CONSTRAIN(ARRAYFORMULA(SUM(IF([3]!Table13[ID]=B684,[3]!Table13[QTY]))), 1, 1)</f>
        <v>#ERROR!</v>
      </c>
      <c r="J684" s="50" t="str">
        <f>TABLEITEM!$H$3:$H$2749-TABLEITEM!$I$3:$I$2749</f>
        <v>#ERROR!</v>
      </c>
    </row>
    <row r="685" ht="15.75" customHeight="1">
      <c r="A685" s="45"/>
      <c r="B685" s="10" t="s">
        <v>8120</v>
      </c>
      <c r="C685" s="26"/>
      <c r="D685" s="10" t="s">
        <v>8121</v>
      </c>
      <c r="E685" s="48" t="s">
        <v>1537</v>
      </c>
      <c r="F685" s="48" t="s">
        <v>7173</v>
      </c>
      <c r="G685" s="49">
        <f t="array" ref="G685">MAX(IF(INSTOCK!$H$3:$H$6125=B685,INSTOCK!$K$3:$K$6125))</f>
        <v>0</v>
      </c>
      <c r="H685" s="50">
        <f t="array" ref="H685">SUM(IF(INSTOCK!$H$3:$H$6125=B685,INSTOCK!$I$3:$I$6125))</f>
        <v>0</v>
      </c>
      <c r="I685" s="50" t="str">
        <f>ARRAY_CONSTRAIN(ARRAYFORMULA(SUM(IF([3]!Table13[ID]=B685,[3]!Table13[QTY]))), 1, 1)</f>
        <v>#ERROR!</v>
      </c>
      <c r="J685" s="50" t="str">
        <f>TABLEITEM!$H$3:$H$2749-TABLEITEM!$I$3:$I$2749</f>
        <v>#ERROR!</v>
      </c>
    </row>
    <row r="686" ht="15.75" customHeight="1">
      <c r="A686" s="45"/>
      <c r="B686" s="10" t="s">
        <v>8122</v>
      </c>
      <c r="C686" s="26"/>
      <c r="D686" s="10" t="s">
        <v>8123</v>
      </c>
      <c r="E686" s="10" t="s">
        <v>7249</v>
      </c>
      <c r="F686" s="48" t="s">
        <v>7173</v>
      </c>
      <c r="G686" s="49">
        <f t="array" ref="G686">MAX(IF(INSTOCK!$H$3:$H$6125=B686,INSTOCK!$K$3:$K$6125))</f>
        <v>0</v>
      </c>
      <c r="H686" s="50">
        <f t="array" ref="H686">SUM(IF(INSTOCK!$H$3:$H$6125=B686,INSTOCK!$I$3:$I$6125))</f>
        <v>0</v>
      </c>
      <c r="I686" s="50" t="str">
        <f>ARRAY_CONSTRAIN(ARRAYFORMULA(SUM(IF([3]!Table13[ID]=B686,[3]!Table13[QTY]))), 1, 1)</f>
        <v>#ERROR!</v>
      </c>
      <c r="J686" s="50" t="str">
        <f>TABLEITEM!$H$3:$H$2749-TABLEITEM!$I$3:$I$2749</f>
        <v>#ERROR!</v>
      </c>
    </row>
    <row r="687" ht="15.75" customHeight="1">
      <c r="A687" s="45"/>
      <c r="B687" s="10" t="s">
        <v>1538</v>
      </c>
      <c r="C687" s="26"/>
      <c r="D687" s="10" t="s">
        <v>8124</v>
      </c>
      <c r="E687" s="48" t="s">
        <v>1537</v>
      </c>
      <c r="F687" s="48" t="s">
        <v>7173</v>
      </c>
      <c r="G687" s="49">
        <f t="array" ref="G687">MAX(IF(INSTOCK!$H$3:$H$6125=B687,INSTOCK!$K$3:$K$6125))</f>
        <v>1.55</v>
      </c>
      <c r="H687" s="50">
        <f t="array" ref="H687">SUM(IF(INSTOCK!$H$3:$H$6125=B687,INSTOCK!$I$3:$I$6125))</f>
        <v>40000</v>
      </c>
      <c r="I687" s="50" t="str">
        <f>ARRAY_CONSTRAIN(ARRAYFORMULA(SUM(IF([3]!Table13[ID]=B687,[3]!Table13[QTY]))), 1, 1)</f>
        <v>#ERROR!</v>
      </c>
      <c r="J687" s="50" t="str">
        <f>TABLEITEM!$H$3:$H$2749-TABLEITEM!$I$3:$I$2749</f>
        <v>#ERROR!</v>
      </c>
    </row>
    <row r="688" ht="15.75" customHeight="1">
      <c r="A688" s="45"/>
      <c r="B688" s="10" t="s">
        <v>2510</v>
      </c>
      <c r="C688" s="26"/>
      <c r="D688" s="10" t="s">
        <v>8125</v>
      </c>
      <c r="E688" s="10" t="s">
        <v>7235</v>
      </c>
      <c r="F688" s="48" t="s">
        <v>7173</v>
      </c>
      <c r="G688" s="49">
        <f t="array" ref="G688">MAX(IF(INSTOCK!$H$3:$H$6125=B688,INSTOCK!$K$3:$K$6125))</f>
        <v>1.55</v>
      </c>
      <c r="H688" s="50">
        <f t="array" ref="H688">SUM(IF(INSTOCK!$H$3:$H$6125=B688,INSTOCK!$I$3:$I$6125))</f>
        <v>2000</v>
      </c>
      <c r="I688" s="50" t="str">
        <f>ARRAY_CONSTRAIN(ARRAYFORMULA(SUM(IF([3]!Table13[ID]=B688,[3]!Table13[QTY]))), 1, 1)</f>
        <v>#ERROR!</v>
      </c>
      <c r="J688" s="50" t="str">
        <f>TABLEITEM!$H$3:$H$2749-TABLEITEM!$I$3:$I$2749</f>
        <v>#ERROR!</v>
      </c>
    </row>
    <row r="689" ht="15.75" customHeight="1">
      <c r="A689" s="45"/>
      <c r="B689" s="10" t="s">
        <v>2508</v>
      </c>
      <c r="C689" s="26"/>
      <c r="D689" s="10" t="s">
        <v>8126</v>
      </c>
      <c r="E689" s="10" t="s">
        <v>7249</v>
      </c>
      <c r="F689" s="48" t="s">
        <v>7173</v>
      </c>
      <c r="G689" s="49">
        <f t="array" ref="G689">MAX(IF(INSTOCK!$H$3:$H$6125=B689,INSTOCK!$K$3:$K$6125))</f>
        <v>1.5</v>
      </c>
      <c r="H689" s="50">
        <f t="array" ref="H689">SUM(IF(INSTOCK!$H$3:$H$6125=B689,INSTOCK!$I$3:$I$6125))</f>
        <v>2000</v>
      </c>
      <c r="I689" s="50" t="str">
        <f>ARRAY_CONSTRAIN(ARRAYFORMULA(SUM(IF([3]!Table13[ID]=B689,[3]!Table13[QTY]))), 1, 1)</f>
        <v>#ERROR!</v>
      </c>
      <c r="J689" s="50" t="str">
        <f>TABLEITEM!$H$3:$H$2749-TABLEITEM!$I$3:$I$2749</f>
        <v>#ERROR!</v>
      </c>
    </row>
    <row r="690" ht="15.75" customHeight="1">
      <c r="A690" s="45"/>
      <c r="B690" s="10" t="s">
        <v>3895</v>
      </c>
      <c r="C690" s="26"/>
      <c r="D690" s="10" t="s">
        <v>8127</v>
      </c>
      <c r="E690" s="10" t="s">
        <v>2056</v>
      </c>
      <c r="F690" s="48" t="s">
        <v>7173</v>
      </c>
      <c r="G690" s="49">
        <f t="array" ref="G690">MAX(IF(INSTOCK!$H$3:$H$6125=B690,INSTOCK!$K$3:$K$6125))</f>
        <v>3.3</v>
      </c>
      <c r="H690" s="50">
        <f t="array" ref="H690">SUM(IF(INSTOCK!$H$3:$H$6125=B690,INSTOCK!$I$3:$I$6125))</f>
        <v>4000</v>
      </c>
      <c r="I690" s="50" t="str">
        <f>ARRAY_CONSTRAIN(ARRAYFORMULA(SUM(IF([3]!Table13[ID]=B690,[3]!Table13[QTY]))), 1, 1)</f>
        <v>#ERROR!</v>
      </c>
      <c r="J690" s="50" t="str">
        <f>TABLEITEM!$H$3:$H$2749-TABLEITEM!$I$3:$I$2749</f>
        <v>#ERROR!</v>
      </c>
    </row>
    <row r="691" ht="15.75" customHeight="1">
      <c r="A691" s="45"/>
      <c r="B691" s="10" t="s">
        <v>3263</v>
      </c>
      <c r="C691" s="26"/>
      <c r="D691" s="10" t="s">
        <v>8128</v>
      </c>
      <c r="E691" s="48"/>
      <c r="F691" s="48" t="s">
        <v>8129</v>
      </c>
      <c r="G691" s="49">
        <f t="array" ref="G691">MAX(IF(INSTOCK!$H$3:$H$6125=B691,INSTOCK!$K$3:$K$6125))</f>
        <v>1500</v>
      </c>
      <c r="H691" s="50">
        <f t="array" ref="H691">SUM(IF(INSTOCK!$H$3:$H$6125=B691,INSTOCK!$I$3:$I$6125))</f>
        <v>2</v>
      </c>
      <c r="I691" s="50" t="str">
        <f>ARRAY_CONSTRAIN(ARRAYFORMULA(SUM(IF([3]!Table13[ID]=B691,[3]!Table13[QTY]))), 1, 1)</f>
        <v>#ERROR!</v>
      </c>
      <c r="J691" s="50" t="str">
        <f>TABLEITEM!$H$3:$H$2749-TABLEITEM!$I$3:$I$2749</f>
        <v>#ERROR!</v>
      </c>
    </row>
    <row r="692" ht="15.75" customHeight="1">
      <c r="A692" s="45">
        <v>328.0</v>
      </c>
      <c r="B692" s="10" t="s">
        <v>209</v>
      </c>
      <c r="C692" s="26"/>
      <c r="D692" s="10" t="s">
        <v>8130</v>
      </c>
      <c r="E692" s="48" t="s">
        <v>7172</v>
      </c>
      <c r="F692" s="48" t="s">
        <v>7173</v>
      </c>
      <c r="G692" s="49">
        <f t="array" ref="G692">MAX(IF(INSTOCK!$H$3:$H$6125=B692,INSTOCK!$K$3:$K$6125))</f>
        <v>715</v>
      </c>
      <c r="H692" s="50">
        <f t="array" ref="H692">SUM(IF(INSTOCK!$H$3:$H$6125=B692,INSTOCK!$I$3:$I$6125))</f>
        <v>18</v>
      </c>
      <c r="I692" s="50" t="str">
        <f>ARRAY_CONSTRAIN(ARRAYFORMULA(SUM(IF([3]!Table13[ID]=B692,[3]!Table13[QTY]))), 1, 1)</f>
        <v>#ERROR!</v>
      </c>
      <c r="J692" s="50" t="str">
        <f>TABLEITEM!$H$3:$H$2749-TABLEITEM!$I$3:$I$2749</f>
        <v>#ERROR!</v>
      </c>
    </row>
    <row r="693" ht="15.75" customHeight="1">
      <c r="A693" s="45">
        <v>327.0</v>
      </c>
      <c r="B693" s="10" t="s">
        <v>208</v>
      </c>
      <c r="C693" s="26"/>
      <c r="D693" s="10" t="s">
        <v>1166</v>
      </c>
      <c r="E693" s="48" t="s">
        <v>7172</v>
      </c>
      <c r="F693" s="48" t="s">
        <v>7173</v>
      </c>
      <c r="G693" s="49">
        <f t="array" ref="G693">MAX(IF(INSTOCK!$H$3:$H$6125=B693,INSTOCK!$K$3:$K$6125))</f>
        <v>324</v>
      </c>
      <c r="H693" s="50">
        <f t="array" ref="H693">SUM(IF(INSTOCK!$H$3:$H$6125=B693,INSTOCK!$I$3:$I$6125))</f>
        <v>96</v>
      </c>
      <c r="I693" s="50" t="str">
        <f>ARRAY_CONSTRAIN(ARRAYFORMULA(SUM(IF([3]!Table13[ID]=B693,[3]!Table13[QTY]))), 1, 1)</f>
        <v>#ERROR!</v>
      </c>
      <c r="J693" s="50" t="str">
        <f>TABLEITEM!$H$3:$H$2749-TABLEITEM!$I$3:$I$2749</f>
        <v>#ERROR!</v>
      </c>
    </row>
    <row r="694" ht="15.75" customHeight="1">
      <c r="A694" s="45">
        <v>326.0</v>
      </c>
      <c r="B694" s="10" t="s">
        <v>207</v>
      </c>
      <c r="C694" s="26"/>
      <c r="D694" s="10" t="s">
        <v>768</v>
      </c>
      <c r="E694" s="48" t="s">
        <v>7172</v>
      </c>
      <c r="F694" s="48" t="s">
        <v>7173</v>
      </c>
      <c r="G694" s="49">
        <f t="array" ref="G694">MAX(IF(INSTOCK!$H$3:$H$6125=B694,INSTOCK!$K$3:$K$6125))</f>
        <v>290</v>
      </c>
      <c r="H694" s="50">
        <f t="array" ref="H694">SUM(IF(INSTOCK!$H$3:$H$6125=B694,INSTOCK!$I$3:$I$6125))</f>
        <v>294</v>
      </c>
      <c r="I694" s="50" t="str">
        <f>ARRAY_CONSTRAIN(ARRAYFORMULA(SUM(IF([3]!Table13[ID]=B694,[3]!Table13[QTY]))), 1, 1)</f>
        <v>#ERROR!</v>
      </c>
      <c r="J694" s="50" t="str">
        <f>TABLEITEM!$H$3:$H$2749-TABLEITEM!$I$3:$I$2749</f>
        <v>#ERROR!</v>
      </c>
    </row>
    <row r="695" ht="15.75" customHeight="1">
      <c r="A695" s="45">
        <v>325.0</v>
      </c>
      <c r="B695" s="10" t="s">
        <v>206</v>
      </c>
      <c r="C695" s="26"/>
      <c r="D695" s="10" t="s">
        <v>1150</v>
      </c>
      <c r="E695" s="48" t="s">
        <v>7172</v>
      </c>
      <c r="F695" s="48" t="s">
        <v>7173</v>
      </c>
      <c r="G695" s="49">
        <f t="array" ref="G695">MAX(IF(INSTOCK!$H$3:$H$6125=B695,INSTOCK!$K$3:$K$6125))</f>
        <v>252</v>
      </c>
      <c r="H695" s="50">
        <f t="array" ref="H695">SUM(IF(INSTOCK!$H$3:$H$6125=B695,INSTOCK!$I$3:$I$6125))</f>
        <v>90</v>
      </c>
      <c r="I695" s="50" t="str">
        <f>ARRAY_CONSTRAIN(ARRAYFORMULA(SUM(IF([3]!Table13[ID]=B695,[3]!Table13[QTY]))), 1, 1)</f>
        <v>#ERROR!</v>
      </c>
      <c r="J695" s="50" t="str">
        <f>TABLEITEM!$H$3:$H$2749-TABLEITEM!$I$3:$I$2749</f>
        <v>#ERROR!</v>
      </c>
    </row>
    <row r="696" ht="15.75" customHeight="1">
      <c r="A696" s="45">
        <v>324.0</v>
      </c>
      <c r="B696" s="10" t="s">
        <v>205</v>
      </c>
      <c r="C696" s="26"/>
      <c r="D696" s="10" t="s">
        <v>8131</v>
      </c>
      <c r="E696" s="48" t="s">
        <v>7172</v>
      </c>
      <c r="F696" s="48" t="s">
        <v>7173</v>
      </c>
      <c r="G696" s="49">
        <f t="array" ref="G696">MAX(IF(INSTOCK!$H$3:$H$6125=B696,INSTOCK!$K$3:$K$6125))</f>
        <v>270</v>
      </c>
      <c r="H696" s="50">
        <f t="array" ref="H696">SUM(IF(INSTOCK!$H$3:$H$6125=B696,INSTOCK!$I$3:$I$6125))</f>
        <v>145</v>
      </c>
      <c r="I696" s="50" t="str">
        <f>ARRAY_CONSTRAIN(ARRAYFORMULA(SUM(IF([3]!Table13[ID]=B696,[3]!Table13[QTY]))), 1, 1)</f>
        <v>#ERROR!</v>
      </c>
      <c r="J696" s="50" t="str">
        <f>TABLEITEM!$H$3:$H$2749-TABLEITEM!$I$3:$I$2749</f>
        <v>#ERROR!</v>
      </c>
    </row>
    <row r="697" ht="15.75" customHeight="1">
      <c r="A697" s="45">
        <v>323.0</v>
      </c>
      <c r="B697" s="10" t="s">
        <v>204</v>
      </c>
      <c r="C697" s="26"/>
      <c r="D697" s="10" t="s">
        <v>722</v>
      </c>
      <c r="E697" s="48" t="s">
        <v>7172</v>
      </c>
      <c r="F697" s="48" t="s">
        <v>7173</v>
      </c>
      <c r="G697" s="49">
        <f t="array" ref="G697">MAX(IF(INSTOCK!$H$3:$H$6125=B697,INSTOCK!$K$3:$K$6125))</f>
        <v>176</v>
      </c>
      <c r="H697" s="50">
        <f t="array" ref="H697">SUM(IF(INSTOCK!$H$3:$H$6125=B697,INSTOCK!$I$3:$I$6125))</f>
        <v>423</v>
      </c>
      <c r="I697" s="50" t="str">
        <f>ARRAY_CONSTRAIN(ARRAYFORMULA(SUM(IF([3]!Table13[ID]=B697,[3]!Table13[QTY]))), 1, 1)</f>
        <v>#ERROR!</v>
      </c>
      <c r="J697" s="50" t="str">
        <f>TABLEITEM!$H$3:$H$2749-TABLEITEM!$I$3:$I$2749</f>
        <v>#ERROR!</v>
      </c>
    </row>
    <row r="698" ht="15.75" customHeight="1">
      <c r="A698" s="45">
        <v>322.0</v>
      </c>
      <c r="B698" s="10" t="s">
        <v>203</v>
      </c>
      <c r="C698" s="26"/>
      <c r="D698" s="10" t="s">
        <v>8132</v>
      </c>
      <c r="E698" s="48" t="s">
        <v>7172</v>
      </c>
      <c r="F698" s="48" t="s">
        <v>7173</v>
      </c>
      <c r="G698" s="49">
        <f t="array" ref="G698">MAX(IF(INSTOCK!$H$3:$H$6125=B698,INSTOCK!$K$3:$K$6125))</f>
        <v>160</v>
      </c>
      <c r="H698" s="50">
        <f t="array" ref="H698">SUM(IF(INSTOCK!$H$3:$H$6125=B698,INSTOCK!$I$3:$I$6125))</f>
        <v>90</v>
      </c>
      <c r="I698" s="50" t="str">
        <f>ARRAY_CONSTRAIN(ARRAYFORMULA(SUM(IF([3]!Table13[ID]=B698,[3]!Table13[QTY]))), 1, 1)</f>
        <v>#ERROR!</v>
      </c>
      <c r="J698" s="50" t="str">
        <f>TABLEITEM!$H$3:$H$2749-TABLEITEM!$I$3:$I$2749</f>
        <v>#ERROR!</v>
      </c>
    </row>
    <row r="699" ht="15.75" customHeight="1">
      <c r="A699" s="45">
        <v>321.0</v>
      </c>
      <c r="B699" s="10" t="s">
        <v>202</v>
      </c>
      <c r="C699" s="26"/>
      <c r="D699" s="10" t="s">
        <v>8133</v>
      </c>
      <c r="E699" s="48" t="s">
        <v>7172</v>
      </c>
      <c r="F699" s="48" t="s">
        <v>7173</v>
      </c>
      <c r="G699" s="49">
        <f t="array" ref="G699">MAX(IF(INSTOCK!$H$3:$H$6125=B699,INSTOCK!$K$3:$K$6125))</f>
        <v>160</v>
      </c>
      <c r="H699" s="50">
        <f t="array" ref="H699">SUM(IF(INSTOCK!$H$3:$H$6125=B699,INSTOCK!$I$3:$I$6125))</f>
        <v>144</v>
      </c>
      <c r="I699" s="50" t="str">
        <f>ARRAY_CONSTRAIN(ARRAYFORMULA(SUM(IF([3]!Table13[ID]=B699,[3]!Table13[QTY]))), 1, 1)</f>
        <v>#ERROR!</v>
      </c>
      <c r="J699" s="50" t="str">
        <f>TABLEITEM!$H$3:$H$2749-TABLEITEM!$I$3:$I$2749</f>
        <v>#ERROR!</v>
      </c>
    </row>
    <row r="700" ht="15.75" customHeight="1">
      <c r="A700" s="45">
        <v>320.0</v>
      </c>
      <c r="B700" s="10" t="s">
        <v>201</v>
      </c>
      <c r="C700" s="26"/>
      <c r="D700" s="10" t="s">
        <v>8134</v>
      </c>
      <c r="E700" s="48" t="s">
        <v>7172</v>
      </c>
      <c r="F700" s="48" t="s">
        <v>7173</v>
      </c>
      <c r="G700" s="49">
        <f t="array" ref="G700">MAX(IF(INSTOCK!$H$3:$H$6125=B700,INSTOCK!$K$3:$K$6125))</f>
        <v>128</v>
      </c>
      <c r="H700" s="50">
        <f t="array" ref="H700">SUM(IF(INSTOCK!$H$3:$H$6125=B700,INSTOCK!$I$3:$I$6125))</f>
        <v>90</v>
      </c>
      <c r="I700" s="50" t="str">
        <f>ARRAY_CONSTRAIN(ARRAYFORMULA(SUM(IF([3]!Table13[ID]=B700,[3]!Table13[QTY]))), 1, 1)</f>
        <v>#ERROR!</v>
      </c>
      <c r="J700" s="50" t="str">
        <f>TABLEITEM!$H$3:$H$2749-TABLEITEM!$I$3:$I$2749</f>
        <v>#ERROR!</v>
      </c>
    </row>
    <row r="701" ht="15.75" customHeight="1">
      <c r="A701" s="45">
        <v>329.0</v>
      </c>
      <c r="B701" s="10" t="s">
        <v>210</v>
      </c>
      <c r="C701" s="26"/>
      <c r="D701" s="10" t="s">
        <v>8135</v>
      </c>
      <c r="E701" s="48" t="s">
        <v>7172</v>
      </c>
      <c r="F701" s="48" t="s">
        <v>7173</v>
      </c>
      <c r="G701" s="49">
        <f t="array" ref="G701">MAX(IF(INSTOCK!$H$3:$H$6125=B701,INSTOCK!$K$3:$K$6125))</f>
        <v>1150</v>
      </c>
      <c r="H701" s="50">
        <f t="array" ref="H701">SUM(IF(INSTOCK!$H$3:$H$6125=B701,INSTOCK!$I$3:$I$6125))</f>
        <v>8</v>
      </c>
      <c r="I701" s="50" t="str">
        <f>ARRAY_CONSTRAIN(ARRAYFORMULA(SUM(IF([3]!Table13[ID]=B701,[3]!Table13[QTY]))), 1, 1)</f>
        <v>#ERROR!</v>
      </c>
      <c r="J701" s="50" t="str">
        <f>TABLEITEM!$H$3:$H$2749-TABLEITEM!$I$3:$I$2749</f>
        <v>#ERROR!</v>
      </c>
    </row>
    <row r="702" ht="15.75" customHeight="1">
      <c r="A702" s="45"/>
      <c r="B702" s="10" t="s">
        <v>1308</v>
      </c>
      <c r="C702" s="26"/>
      <c r="D702" s="10" t="s">
        <v>1309</v>
      </c>
      <c r="E702" s="48" t="s">
        <v>1289</v>
      </c>
      <c r="F702" s="48" t="s">
        <v>7173</v>
      </c>
      <c r="G702" s="49">
        <f t="array" ref="G702">MAX(IF(INSTOCK!$H$3:$H$6125=B702,INSTOCK!$K$3:$K$6125))</f>
        <v>72</v>
      </c>
      <c r="H702" s="50">
        <f t="array" ref="H702">SUM(IF(INSTOCK!$H$3:$H$6125=B702,INSTOCK!$I$3:$I$6125))</f>
        <v>40</v>
      </c>
      <c r="I702" s="50" t="str">
        <f>ARRAY_CONSTRAIN(ARRAYFORMULA(SUM(IF([3]!Table13[ID]=B702,[3]!Table13[QTY]))), 1, 1)</f>
        <v>#ERROR!</v>
      </c>
      <c r="J702" s="50" t="str">
        <f>TABLEITEM!$H$3:$H$2749-TABLEITEM!$I$3:$I$2749</f>
        <v>#ERROR!</v>
      </c>
    </row>
    <row r="703" ht="15.75" customHeight="1">
      <c r="A703" s="45">
        <v>330.0</v>
      </c>
      <c r="B703" s="10" t="s">
        <v>211</v>
      </c>
      <c r="C703" s="26"/>
      <c r="D703" s="10" t="s">
        <v>8136</v>
      </c>
      <c r="E703" s="48" t="s">
        <v>2456</v>
      </c>
      <c r="F703" s="48" t="s">
        <v>7173</v>
      </c>
      <c r="G703" s="49">
        <f t="array" ref="G703">MAX(IF(INSTOCK!$H$3:$H$6125=B703,INSTOCK!$K$3:$K$6125))</f>
        <v>117</v>
      </c>
      <c r="H703" s="50">
        <f t="array" ref="H703">SUM(IF(INSTOCK!$H$3:$H$6125=B703,INSTOCK!$I$3:$I$6125))</f>
        <v>442</v>
      </c>
      <c r="I703" s="50" t="str">
        <f>ARRAY_CONSTRAIN(ARRAYFORMULA(SUM(IF([3]!Table13[ID]=B703,[3]!Table13[QTY]))), 1, 1)</f>
        <v>#ERROR!</v>
      </c>
      <c r="J703" s="50" t="str">
        <f>TABLEITEM!$H$3:$H$2749-TABLEITEM!$I$3:$I$2749</f>
        <v>#ERROR!</v>
      </c>
    </row>
    <row r="704" ht="15.75" customHeight="1">
      <c r="A704" s="45"/>
      <c r="B704" s="10" t="s">
        <v>3019</v>
      </c>
      <c r="C704" s="26"/>
      <c r="D704" s="10" t="s">
        <v>8137</v>
      </c>
      <c r="E704" s="48" t="s">
        <v>8138</v>
      </c>
      <c r="F704" s="48" t="s">
        <v>7173</v>
      </c>
      <c r="G704" s="49">
        <f t="array" ref="G704">MAX(IF(INSTOCK!$H$3:$H$6125=B704,INSTOCK!$K$3:$K$6125))</f>
        <v>11000</v>
      </c>
      <c r="H704" s="50">
        <f t="array" ref="H704">SUM(IF(INSTOCK!$H$3:$H$6125=B704,INSTOCK!$I$3:$I$6125))</f>
        <v>4</v>
      </c>
      <c r="I704" s="50" t="str">
        <f>ARRAY_CONSTRAIN(ARRAYFORMULA(SUM(IF([3]!Table13[ID]=B704,[3]!Table13[QTY]))), 1, 1)</f>
        <v>#ERROR!</v>
      </c>
      <c r="J704" s="50" t="str">
        <f>TABLEITEM!$H$3:$H$2749-TABLEITEM!$I$3:$I$2749</f>
        <v>#ERROR!</v>
      </c>
    </row>
    <row r="705" ht="15.75" customHeight="1">
      <c r="A705" s="45"/>
      <c r="B705" s="10" t="s">
        <v>2557</v>
      </c>
      <c r="C705" s="26"/>
      <c r="D705" s="10" t="s">
        <v>8139</v>
      </c>
      <c r="E705" s="48"/>
      <c r="F705" s="48" t="s">
        <v>8140</v>
      </c>
      <c r="G705" s="49">
        <f t="array" ref="G705">MAX(IF(INSTOCK!$H$3:$H$6125=B705,INSTOCK!$K$3:$K$6125))</f>
        <v>560</v>
      </c>
      <c r="H705" s="50">
        <f t="array" ref="H705">SUM(IF(INSTOCK!$H$3:$H$6125=B705,INSTOCK!$I$3:$I$6125))</f>
        <v>86</v>
      </c>
      <c r="I705" s="50" t="str">
        <f>ARRAY_CONSTRAIN(ARRAYFORMULA(SUM(IF([3]!Table13[ID]=B705,[3]!Table13[QTY]))), 1, 1)</f>
        <v>#ERROR!</v>
      </c>
      <c r="J705" s="50" t="str">
        <f>TABLEITEM!$H$3:$H$2749-TABLEITEM!$I$3:$I$2749</f>
        <v>#ERROR!</v>
      </c>
    </row>
    <row r="706" ht="15.75" customHeight="1">
      <c r="A706" s="45"/>
      <c r="B706" s="10" t="s">
        <v>1986</v>
      </c>
      <c r="C706" s="26"/>
      <c r="D706" s="10" t="s">
        <v>8141</v>
      </c>
      <c r="E706" s="48"/>
      <c r="F706" s="48" t="s">
        <v>8140</v>
      </c>
      <c r="G706" s="49">
        <f t="array" ref="G706">MAX(IF(INSTOCK!$H$3:$H$6125=B706,INSTOCK!$K$3:$K$6125))</f>
        <v>560</v>
      </c>
      <c r="H706" s="50">
        <f t="array" ref="H706">SUM(IF(INSTOCK!$H$3:$H$6125=B706,INSTOCK!$I$3:$I$6125))</f>
        <v>41</v>
      </c>
      <c r="I706" s="50" t="str">
        <f>ARRAY_CONSTRAIN(ARRAYFORMULA(SUM(IF([3]!Table13[ID]=B706,[3]!Table13[QTY]))), 1, 1)</f>
        <v>#ERROR!</v>
      </c>
      <c r="J706" s="50" t="str">
        <f>TABLEITEM!$H$3:$H$2749-TABLEITEM!$I$3:$I$2749</f>
        <v>#ERROR!</v>
      </c>
    </row>
    <row r="707" ht="15.75" customHeight="1">
      <c r="A707" s="45"/>
      <c r="B707" s="10" t="s">
        <v>3059</v>
      </c>
      <c r="C707" s="26"/>
      <c r="D707" s="10" t="s">
        <v>8142</v>
      </c>
      <c r="E707" s="48" t="s">
        <v>8143</v>
      </c>
      <c r="F707" s="48" t="s">
        <v>8140</v>
      </c>
      <c r="G707" s="49">
        <f t="array" ref="G707">MAX(IF(INSTOCK!$H$3:$H$6125=B707,INSTOCK!$K$3:$K$6125))</f>
        <v>500</v>
      </c>
      <c r="H707" s="50">
        <f t="array" ref="H707">SUM(IF(INSTOCK!$H$3:$H$6125=B707,INSTOCK!$I$3:$I$6125))</f>
        <v>1</v>
      </c>
      <c r="I707" s="50" t="str">
        <f>ARRAY_CONSTRAIN(ARRAYFORMULA(SUM(IF([3]!Table13[ID]=B707,[3]!Table13[QTY]))), 1, 1)</f>
        <v>#ERROR!</v>
      </c>
      <c r="J707" s="50" t="str">
        <f>TABLEITEM!$H$3:$H$2749-TABLEITEM!$I$3:$I$2749</f>
        <v>#ERROR!</v>
      </c>
    </row>
    <row r="708" ht="15.75" customHeight="1">
      <c r="A708" s="45"/>
      <c r="B708" s="10" t="s">
        <v>2858</v>
      </c>
      <c r="C708" s="26"/>
      <c r="D708" s="10" t="s">
        <v>8144</v>
      </c>
      <c r="E708" s="48"/>
      <c r="F708" s="48" t="s">
        <v>7173</v>
      </c>
      <c r="G708" s="49">
        <f t="array" ref="G708">MAX(IF(INSTOCK!$H$3:$H$6125=B708,INSTOCK!$K$3:$K$6125))</f>
        <v>1200</v>
      </c>
      <c r="H708" s="50">
        <f t="array" ref="H708">SUM(IF(INSTOCK!$H$3:$H$6125=B708,INSTOCK!$I$3:$I$6125))</f>
        <v>2</v>
      </c>
      <c r="I708" s="50" t="str">
        <f>ARRAY_CONSTRAIN(ARRAYFORMULA(SUM(IF([3]!Table13[ID]=B708,[3]!Table13[QTY]))), 1, 1)</f>
        <v>#ERROR!</v>
      </c>
      <c r="J708" s="50" t="str">
        <f>TABLEITEM!$H$3:$H$2749-TABLEITEM!$I$3:$I$2749</f>
        <v>#ERROR!</v>
      </c>
    </row>
    <row r="709" ht="15.75" customHeight="1">
      <c r="A709" s="45"/>
      <c r="B709" s="10" t="s">
        <v>3003</v>
      </c>
      <c r="C709" s="26"/>
      <c r="D709" s="10" t="s">
        <v>8145</v>
      </c>
      <c r="E709" s="48"/>
      <c r="F709" s="48" t="s">
        <v>7173</v>
      </c>
      <c r="G709" s="49">
        <f t="array" ref="G709">MAX(IF(INSTOCK!$H$3:$H$6125=B709,INSTOCK!$K$3:$K$6125))</f>
        <v>20</v>
      </c>
      <c r="H709" s="50">
        <f t="array" ref="H709">SUM(IF(INSTOCK!$H$3:$H$6125=B709,INSTOCK!$I$3:$I$6125))</f>
        <v>26</v>
      </c>
      <c r="I709" s="50" t="str">
        <f>ARRAY_CONSTRAIN(ARRAYFORMULA(SUM(IF([3]!Table13[ID]=B709,[3]!Table13[QTY]))), 1, 1)</f>
        <v>#ERROR!</v>
      </c>
      <c r="J709" s="50" t="str">
        <f>TABLEITEM!$H$3:$H$2749-TABLEITEM!$I$3:$I$2749</f>
        <v>#ERROR!</v>
      </c>
    </row>
    <row r="710" ht="15.75" customHeight="1">
      <c r="A710" s="45"/>
      <c r="B710" s="10" t="s">
        <v>1206</v>
      </c>
      <c r="C710" s="26"/>
      <c r="D710" s="10" t="s">
        <v>1207</v>
      </c>
      <c r="E710" s="48" t="s">
        <v>8146</v>
      </c>
      <c r="F710" s="48" t="s">
        <v>7429</v>
      </c>
      <c r="G710" s="49">
        <f t="array" ref="G710">MAX(IF(INSTOCK!$H$3:$H$6125=B710,INSTOCK!$K$3:$K$6125))</f>
        <v>36</v>
      </c>
      <c r="H710" s="50">
        <f t="array" ref="H710">SUM(IF(INSTOCK!$H$3:$H$6125=B710,INSTOCK!$I$3:$I$6125))</f>
        <v>200</v>
      </c>
      <c r="I710" s="50" t="str">
        <f>ARRAY_CONSTRAIN(ARRAYFORMULA(SUM(IF([3]!Table13[ID]=B710,[3]!Table13[QTY]))), 1, 1)</f>
        <v>#ERROR!</v>
      </c>
      <c r="J710" s="50" t="str">
        <f>TABLEITEM!$H$3:$H$2749-TABLEITEM!$I$3:$I$2749</f>
        <v>#ERROR!</v>
      </c>
    </row>
    <row r="711" ht="15.75" customHeight="1">
      <c r="A711" s="45"/>
      <c r="B711" s="10" t="s">
        <v>1966</v>
      </c>
      <c r="C711" s="26"/>
      <c r="D711" s="10" t="s">
        <v>8147</v>
      </c>
      <c r="E711" s="48"/>
      <c r="F711" s="48" t="s">
        <v>7429</v>
      </c>
      <c r="G711" s="49">
        <f t="array" ref="G711">MAX(IF(INSTOCK!$H$3:$H$6125=B711,INSTOCK!$K$3:$K$6125))</f>
        <v>13</v>
      </c>
      <c r="H711" s="50">
        <f t="array" ref="H711">SUM(IF(INSTOCK!$H$3:$H$6125=B711,INSTOCK!$I$3:$I$6125))</f>
        <v>1600</v>
      </c>
      <c r="I711" s="50" t="str">
        <f>ARRAY_CONSTRAIN(ARRAYFORMULA(SUM(IF([3]!Table13[ID]=B711,[3]!Table13[QTY]))), 1, 1)</f>
        <v>#ERROR!</v>
      </c>
      <c r="J711" s="50" t="str">
        <f>TABLEITEM!$H$3:$H$2749-TABLEITEM!$I$3:$I$2749</f>
        <v>#ERROR!</v>
      </c>
    </row>
    <row r="712" ht="15.75" customHeight="1">
      <c r="A712" s="45">
        <v>149.0</v>
      </c>
      <c r="B712" s="10" t="s">
        <v>30</v>
      </c>
      <c r="C712" s="26"/>
      <c r="D712" s="10" t="s">
        <v>8148</v>
      </c>
      <c r="E712" s="48" t="s">
        <v>8146</v>
      </c>
      <c r="F712" s="48" t="s">
        <v>7429</v>
      </c>
      <c r="G712" s="49">
        <f t="array" ref="G712">MAX(IF(INSTOCK!$H$3:$H$6125=B712,INSTOCK!$K$3:$K$6125))</f>
        <v>33</v>
      </c>
      <c r="H712" s="50">
        <f t="array" ref="H712">SUM(IF(INSTOCK!$H$3:$H$6125=B712,INSTOCK!$I$3:$I$6125))</f>
        <v>116</v>
      </c>
      <c r="I712" s="50" t="str">
        <f>ARRAY_CONSTRAIN(ARRAYFORMULA(SUM(IF([3]!Table13[ID]=B712,[3]!Table13[QTY]))), 1, 1)</f>
        <v>#ERROR!</v>
      </c>
      <c r="J712" s="50" t="str">
        <f>TABLEITEM!$H$3:$H$2749-TABLEITEM!$I$3:$I$2749</f>
        <v>#ERROR!</v>
      </c>
    </row>
    <row r="713" ht="15.75" customHeight="1">
      <c r="A713" s="45">
        <v>147.0</v>
      </c>
      <c r="B713" s="10" t="s">
        <v>28</v>
      </c>
      <c r="C713" s="26"/>
      <c r="D713" s="10" t="s">
        <v>1209</v>
      </c>
      <c r="E713" s="48" t="s">
        <v>729</v>
      </c>
      <c r="F713" s="48" t="s">
        <v>7429</v>
      </c>
      <c r="G713" s="49">
        <f t="array" ref="G713">MAX(IF(INSTOCK!$H$3:$H$6125=B713,INSTOCK!$K$3:$K$6125))</f>
        <v>12</v>
      </c>
      <c r="H713" s="50">
        <f t="array" ref="H713">SUM(IF(INSTOCK!$H$3:$H$6125=B713,INSTOCK!$I$3:$I$6125))</f>
        <v>3700</v>
      </c>
      <c r="I713" s="50" t="str">
        <f>ARRAY_CONSTRAIN(ARRAYFORMULA(SUM(IF([3]!Table13[ID]=B713,[3]!Table13[QTY]))), 1, 1)</f>
        <v>#ERROR!</v>
      </c>
      <c r="J713" s="50" t="str">
        <f>TABLEITEM!$H$3:$H$2749-TABLEITEM!$I$3:$I$2749</f>
        <v>#ERROR!</v>
      </c>
    </row>
    <row r="714" ht="15.75" customHeight="1">
      <c r="A714" s="45">
        <v>148.0</v>
      </c>
      <c r="B714" s="10" t="s">
        <v>29</v>
      </c>
      <c r="C714" s="26"/>
      <c r="D714" s="10" t="s">
        <v>1211</v>
      </c>
      <c r="E714" s="48" t="s">
        <v>729</v>
      </c>
      <c r="F714" s="48" t="s">
        <v>7429</v>
      </c>
      <c r="G714" s="49">
        <f t="array" ref="G714">MAX(IF(INSTOCK!$H$3:$H$6125=B714,INSTOCK!$K$3:$K$6125))</f>
        <v>17</v>
      </c>
      <c r="H714" s="50">
        <f t="array" ref="H714">SUM(IF(INSTOCK!$H$3:$H$6125=B714,INSTOCK!$I$3:$I$6125))</f>
        <v>5000</v>
      </c>
      <c r="I714" s="50" t="str">
        <f>ARRAY_CONSTRAIN(ARRAYFORMULA(SUM(IF([3]!Table13[ID]=B714,[3]!Table13[QTY]))), 1, 1)</f>
        <v>#ERROR!</v>
      </c>
      <c r="J714" s="50" t="str">
        <f>TABLEITEM!$H$3:$H$2749-TABLEITEM!$I$3:$I$2749</f>
        <v>#ERROR!</v>
      </c>
    </row>
    <row r="715" ht="15.75" customHeight="1">
      <c r="A715" s="45">
        <v>146.0</v>
      </c>
      <c r="B715" s="10" t="s">
        <v>27</v>
      </c>
      <c r="C715" s="26"/>
      <c r="D715" s="10" t="s">
        <v>730</v>
      </c>
      <c r="E715" s="48" t="s">
        <v>729</v>
      </c>
      <c r="F715" s="48" t="s">
        <v>7429</v>
      </c>
      <c r="G715" s="49">
        <f t="array" ref="G715">MAX(IF(INSTOCK!$H$3:$H$6125=B715,INSTOCK!$K$3:$K$6125))</f>
        <v>12</v>
      </c>
      <c r="H715" s="50">
        <f t="array" ref="H715">SUM(IF(INSTOCK!$H$3:$H$6125=B715,INSTOCK!$I$3:$I$6125))</f>
        <v>6100</v>
      </c>
      <c r="I715" s="50" t="str">
        <f>ARRAY_CONSTRAIN(ARRAYFORMULA(SUM(IF([3]!Table13[ID]=B715,[3]!Table13[QTY]))), 1, 1)</f>
        <v>#ERROR!</v>
      </c>
      <c r="J715" s="50" t="str">
        <f>TABLEITEM!$H$3:$H$2749-TABLEITEM!$I$3:$I$2749</f>
        <v>#ERROR!</v>
      </c>
    </row>
    <row r="716" ht="15.75" customHeight="1">
      <c r="A716" s="45"/>
      <c r="B716" s="10" t="s">
        <v>3278</v>
      </c>
      <c r="C716" s="26"/>
      <c r="D716" s="10" t="s">
        <v>8149</v>
      </c>
      <c r="E716" s="48"/>
      <c r="F716" s="48" t="s">
        <v>7429</v>
      </c>
      <c r="G716" s="49">
        <f t="array" ref="G716">MAX(IF(INSTOCK!$H$3:$H$6125=B716,INSTOCK!$K$3:$K$6125))</f>
        <v>99.3333</v>
      </c>
      <c r="H716" s="50">
        <f t="array" ref="H716">SUM(IF(INSTOCK!$H$3:$H$6125=B716,INSTOCK!$I$3:$I$6125))</f>
        <v>30</v>
      </c>
      <c r="I716" s="50" t="str">
        <f>ARRAY_CONSTRAIN(ARRAYFORMULA(SUM(IF([3]!Table13[ID]=B716,[3]!Table13[QTY]))), 1, 1)</f>
        <v>#ERROR!</v>
      </c>
      <c r="J716" s="50" t="str">
        <f>TABLEITEM!$H$3:$H$2749-TABLEITEM!$I$3:$I$2749</f>
        <v>#ERROR!</v>
      </c>
    </row>
    <row r="717" ht="15.75" customHeight="1">
      <c r="A717" s="45">
        <v>145.0</v>
      </c>
      <c r="B717" s="10" t="s">
        <v>26</v>
      </c>
      <c r="C717" s="26"/>
      <c r="D717" s="10" t="s">
        <v>732</v>
      </c>
      <c r="E717" s="48" t="s">
        <v>8146</v>
      </c>
      <c r="F717" s="48" t="s">
        <v>7429</v>
      </c>
      <c r="G717" s="49">
        <f t="array" ref="G717">MAX(IF(INSTOCK!$H$3:$H$6125=B717,INSTOCK!$K$3:$K$6125))</f>
        <v>18</v>
      </c>
      <c r="H717" s="50">
        <f t="array" ref="H717">SUM(IF(INSTOCK!$H$3:$H$6125=B717,INSTOCK!$I$3:$I$6125))</f>
        <v>26700</v>
      </c>
      <c r="I717" s="50" t="str">
        <f>ARRAY_CONSTRAIN(ARRAYFORMULA(SUM(IF([3]!Table13[ID]=B717,[3]!Table13[QTY]))), 1, 1)</f>
        <v>#ERROR!</v>
      </c>
      <c r="J717" s="50" t="str">
        <f>TABLEITEM!$H$3:$H$2749-TABLEITEM!$I$3:$I$2749</f>
        <v>#ERROR!</v>
      </c>
    </row>
    <row r="718" ht="15.75" customHeight="1">
      <c r="A718" s="45">
        <v>151.0</v>
      </c>
      <c r="B718" s="10" t="s">
        <v>32</v>
      </c>
      <c r="C718" s="26"/>
      <c r="D718" s="10" t="s">
        <v>8150</v>
      </c>
      <c r="E718" s="48" t="s">
        <v>8146</v>
      </c>
      <c r="F718" s="48" t="s">
        <v>7429</v>
      </c>
      <c r="G718" s="49">
        <f t="array" ref="G718">MAX(IF(INSTOCK!$H$3:$H$6125=B718,INSTOCK!$K$3:$K$6125))</f>
        <v>12</v>
      </c>
      <c r="H718" s="50">
        <f t="array" ref="H718">SUM(IF(INSTOCK!$H$3:$H$6125=B718,INSTOCK!$I$3:$I$6125))</f>
        <v>300</v>
      </c>
      <c r="I718" s="50" t="str">
        <f>ARRAY_CONSTRAIN(ARRAYFORMULA(SUM(IF([3]!Table13[ID]=B718,[3]!Table13[QTY]))), 1, 1)</f>
        <v>#ERROR!</v>
      </c>
      <c r="J718" s="50" t="str">
        <f>TABLEITEM!$H$3:$H$2749-TABLEITEM!$I$3:$I$2749</f>
        <v>#ERROR!</v>
      </c>
    </row>
    <row r="719" ht="15.75" customHeight="1">
      <c r="A719" s="45">
        <v>150.0</v>
      </c>
      <c r="B719" s="10" t="s">
        <v>31</v>
      </c>
      <c r="C719" s="26"/>
      <c r="D719" s="10" t="s">
        <v>8151</v>
      </c>
      <c r="E719" s="48" t="s">
        <v>8146</v>
      </c>
      <c r="F719" s="48" t="s">
        <v>7429</v>
      </c>
      <c r="G719" s="49">
        <f t="array" ref="G719">MAX(IF(INSTOCK!$H$3:$H$6125=B719,INSTOCK!$K$3:$K$6125))</f>
        <v>12</v>
      </c>
      <c r="H719" s="50">
        <f t="array" ref="H719">SUM(IF(INSTOCK!$H$3:$H$6125=B719,INSTOCK!$I$3:$I$6125))</f>
        <v>300</v>
      </c>
      <c r="I719" s="50" t="str">
        <f>ARRAY_CONSTRAIN(ARRAYFORMULA(SUM(IF([3]!Table13[ID]=B719,[3]!Table13[QTY]))), 1, 1)</f>
        <v>#ERROR!</v>
      </c>
      <c r="J719" s="50" t="str">
        <f>TABLEITEM!$H$3:$H$2749-TABLEITEM!$I$3:$I$2749</f>
        <v>#ERROR!</v>
      </c>
    </row>
    <row r="720" ht="15.75" customHeight="1">
      <c r="A720" s="45"/>
      <c r="B720" s="10" t="s">
        <v>2652</v>
      </c>
      <c r="C720" s="26"/>
      <c r="D720" s="10" t="s">
        <v>8152</v>
      </c>
      <c r="E720" s="48" t="s">
        <v>2653</v>
      </c>
      <c r="F720" s="48" t="s">
        <v>7429</v>
      </c>
      <c r="G720" s="49">
        <f t="array" ref="G720">MAX(IF(INSTOCK!$H$3:$H$6125=B720,INSTOCK!$K$3:$K$6125))</f>
        <v>100</v>
      </c>
      <c r="H720" s="50">
        <f t="array" ref="H720">SUM(IF(INSTOCK!$H$3:$H$6125=B720,INSTOCK!$I$3:$I$6125))</f>
        <v>2000</v>
      </c>
      <c r="I720" s="50" t="str">
        <f>ARRAY_CONSTRAIN(ARRAYFORMULA(SUM(IF([3]!Table13[ID]=B720,[3]!Table13[QTY]))), 1, 1)</f>
        <v>#ERROR!</v>
      </c>
      <c r="J720" s="50" t="str">
        <f>TABLEITEM!$H$3:$H$2749-TABLEITEM!$I$3:$I$2749</f>
        <v>#ERROR!</v>
      </c>
    </row>
    <row r="721" ht="15.75" customHeight="1">
      <c r="A721" s="45"/>
      <c r="B721" s="10" t="s">
        <v>1037</v>
      </c>
      <c r="C721" s="26"/>
      <c r="D721" s="10" t="s">
        <v>8153</v>
      </c>
      <c r="E721" s="48" t="s">
        <v>8146</v>
      </c>
      <c r="F721" s="48" t="s">
        <v>7429</v>
      </c>
      <c r="G721" s="49">
        <f t="array" ref="G721">MAX(IF(INSTOCK!$H$3:$H$6125=B721,INSTOCK!$K$3:$K$6125))</f>
        <v>7</v>
      </c>
      <c r="H721" s="50">
        <f t="array" ref="H721">SUM(IF(INSTOCK!$H$3:$H$6125=B721,INSTOCK!$I$3:$I$6125))</f>
        <v>500</v>
      </c>
      <c r="I721" s="50" t="str">
        <f>ARRAY_CONSTRAIN(ARRAYFORMULA(SUM(IF([3]!Table13[ID]=B721,[3]!Table13[QTY]))), 1, 1)</f>
        <v>#ERROR!</v>
      </c>
      <c r="J721" s="50" t="str">
        <f>TABLEITEM!$H$3:$H$2749-TABLEITEM!$I$3:$I$2749</f>
        <v>#ERROR!</v>
      </c>
    </row>
    <row r="722" ht="15.75" customHeight="1">
      <c r="A722" s="45">
        <v>153.0</v>
      </c>
      <c r="B722" s="10" t="s">
        <v>34</v>
      </c>
      <c r="C722" s="26"/>
      <c r="D722" s="10" t="s">
        <v>1195</v>
      </c>
      <c r="E722" s="48" t="s">
        <v>8146</v>
      </c>
      <c r="F722" s="48" t="s">
        <v>7429</v>
      </c>
      <c r="G722" s="49">
        <f t="array" ref="G722">MAX(IF(INSTOCK!$H$3:$H$6125=B722,INSTOCK!$K$3:$K$6125))</f>
        <v>12</v>
      </c>
      <c r="H722" s="50">
        <f t="array" ref="H722">SUM(IF(INSTOCK!$H$3:$H$6125=B722,INSTOCK!$I$3:$I$6125))</f>
        <v>1200</v>
      </c>
      <c r="I722" s="50" t="str">
        <f>ARRAY_CONSTRAIN(ARRAYFORMULA(SUM(IF([3]!Table13[ID]=B722,[3]!Table13[QTY]))), 1, 1)</f>
        <v>#ERROR!</v>
      </c>
      <c r="J722" s="50" t="str">
        <f>TABLEITEM!$H$3:$H$2749-TABLEITEM!$I$3:$I$2749</f>
        <v>#ERROR!</v>
      </c>
    </row>
    <row r="723" ht="15.75" customHeight="1">
      <c r="A723" s="45">
        <v>152.0</v>
      </c>
      <c r="B723" s="10" t="s">
        <v>33</v>
      </c>
      <c r="C723" s="26"/>
      <c r="D723" s="10" t="s">
        <v>8154</v>
      </c>
      <c r="E723" s="48" t="s">
        <v>8146</v>
      </c>
      <c r="F723" s="48" t="s">
        <v>7429</v>
      </c>
      <c r="G723" s="49">
        <f t="array" ref="G723">MAX(IF(INSTOCK!$H$3:$H$6125=B723,INSTOCK!$K$3:$K$6125))</f>
        <v>2</v>
      </c>
      <c r="H723" s="50">
        <f t="array" ref="H723">SUM(IF(INSTOCK!$H$3:$H$6125=B723,INSTOCK!$I$3:$I$6125))</f>
        <v>200</v>
      </c>
      <c r="I723" s="50" t="str">
        <f>ARRAY_CONSTRAIN(ARRAYFORMULA(SUM(IF([3]!Table13[ID]=B723,[3]!Table13[QTY]))), 1, 1)</f>
        <v>#ERROR!</v>
      </c>
      <c r="J723" s="50" t="str">
        <f>TABLEITEM!$H$3:$H$2749-TABLEITEM!$I$3:$I$2749</f>
        <v>#ERROR!</v>
      </c>
    </row>
    <row r="724" ht="15.75" customHeight="1">
      <c r="A724" s="45"/>
      <c r="B724" s="10" t="s">
        <v>726</v>
      </c>
      <c r="C724" s="26"/>
      <c r="D724" s="10" t="s">
        <v>8155</v>
      </c>
      <c r="E724" s="48" t="s">
        <v>8146</v>
      </c>
      <c r="F724" s="48" t="s">
        <v>7429</v>
      </c>
      <c r="G724" s="49">
        <f t="array" ref="G724">MAX(IF(INSTOCK!$H$3:$H$6125=B724,INSTOCK!$K$3:$K$6125))</f>
        <v>10</v>
      </c>
      <c r="H724" s="50">
        <f t="array" ref="H724">SUM(IF(INSTOCK!$H$3:$H$6125=B724,INSTOCK!$I$3:$I$6125))</f>
        <v>7100</v>
      </c>
      <c r="I724" s="50" t="str">
        <f>ARRAY_CONSTRAIN(ARRAYFORMULA(SUM(IF([3]!Table13[ID]=B724,[3]!Table13[QTY]))), 1, 1)</f>
        <v>#ERROR!</v>
      </c>
      <c r="J724" s="50" t="str">
        <f>TABLEITEM!$H$3:$H$2749-TABLEITEM!$I$3:$I$2749</f>
        <v>#ERROR!</v>
      </c>
    </row>
    <row r="725" ht="15.75" customHeight="1">
      <c r="A725" s="45">
        <v>273.0</v>
      </c>
      <c r="B725" s="10" t="s">
        <v>154</v>
      </c>
      <c r="C725" s="26"/>
      <c r="D725" s="10" t="s">
        <v>8156</v>
      </c>
      <c r="E725" s="48" t="s">
        <v>1289</v>
      </c>
      <c r="F725" s="48" t="s">
        <v>7173</v>
      </c>
      <c r="G725" s="49">
        <f t="array" ref="G725">MAX(IF(INSTOCK!$H$3:$H$6125=B725,INSTOCK!$K$3:$K$6125))</f>
        <v>0</v>
      </c>
      <c r="H725" s="50">
        <f t="array" ref="H725">SUM(IF(INSTOCK!$H$3:$H$6125=B725,INSTOCK!$I$3:$I$6125))</f>
        <v>422</v>
      </c>
      <c r="I725" s="50" t="str">
        <f>ARRAY_CONSTRAIN(ARRAYFORMULA(SUM(IF([3]!Table13[ID]=B725,[3]!Table13[QTY]))), 1, 1)</f>
        <v>#ERROR!</v>
      </c>
      <c r="J725" s="50" t="str">
        <f>TABLEITEM!$H$3:$H$2749-TABLEITEM!$I$3:$I$2749</f>
        <v>#ERROR!</v>
      </c>
    </row>
    <row r="726" ht="15.75" customHeight="1">
      <c r="A726" s="45">
        <v>271.0</v>
      </c>
      <c r="B726" s="10" t="s">
        <v>152</v>
      </c>
      <c r="C726" s="26"/>
      <c r="D726" s="10" t="s">
        <v>8157</v>
      </c>
      <c r="E726" s="48" t="s">
        <v>1289</v>
      </c>
      <c r="F726" s="48" t="s">
        <v>7173</v>
      </c>
      <c r="G726" s="49">
        <f t="array" ref="G726">MAX(IF(INSTOCK!$H$3:$H$6125=B726,INSTOCK!$K$3:$K$6125))</f>
        <v>2.5</v>
      </c>
      <c r="H726" s="50">
        <f t="array" ref="H726">SUM(IF(INSTOCK!$H$3:$H$6125=B726,INSTOCK!$I$3:$I$6125))</f>
        <v>1793</v>
      </c>
      <c r="I726" s="50" t="str">
        <f>ARRAY_CONSTRAIN(ARRAYFORMULA(SUM(IF([3]!Table13[ID]=B726,[3]!Table13[QTY]))), 1, 1)</f>
        <v>#ERROR!</v>
      </c>
      <c r="J726" s="50" t="str">
        <f>TABLEITEM!$H$3:$H$2749-TABLEITEM!$I$3:$I$2749</f>
        <v>#ERROR!</v>
      </c>
    </row>
    <row r="727" ht="15.75" customHeight="1">
      <c r="A727" s="45">
        <v>274.0</v>
      </c>
      <c r="B727" s="10" t="s">
        <v>155</v>
      </c>
      <c r="C727" s="26"/>
      <c r="D727" s="10" t="s">
        <v>8158</v>
      </c>
      <c r="E727" s="10"/>
      <c r="F727" s="48" t="s">
        <v>7173</v>
      </c>
      <c r="G727" s="49">
        <f t="array" ref="G727">MAX(IF(INSTOCK!$H$3:$H$6125=B727,INSTOCK!$K$3:$K$6125))</f>
        <v>0</v>
      </c>
      <c r="H727" s="50">
        <f t="array" ref="H727">SUM(IF(INSTOCK!$H$3:$H$6125=B727,INSTOCK!$I$3:$I$6125))</f>
        <v>53</v>
      </c>
      <c r="I727" s="50" t="str">
        <f>ARRAY_CONSTRAIN(ARRAYFORMULA(SUM(IF([3]!Table13[ID]=B727,[3]!Table13[QTY]))), 1, 1)</f>
        <v>#ERROR!</v>
      </c>
      <c r="J727" s="50" t="str">
        <f>TABLEITEM!$H$3:$H$2749-TABLEITEM!$I$3:$I$2749</f>
        <v>#ERROR!</v>
      </c>
    </row>
    <row r="728" ht="15.75" customHeight="1">
      <c r="A728" s="45">
        <v>270.0</v>
      </c>
      <c r="B728" s="10" t="s">
        <v>151</v>
      </c>
      <c r="C728" s="26"/>
      <c r="D728" s="10" t="s">
        <v>8159</v>
      </c>
      <c r="E728" s="48" t="s">
        <v>1289</v>
      </c>
      <c r="F728" s="48" t="s">
        <v>7173</v>
      </c>
      <c r="G728" s="49">
        <f t="array" ref="G728">MAX(IF(INSTOCK!$H$3:$H$6125=B728,INSTOCK!$K$3:$K$6125))</f>
        <v>0</v>
      </c>
      <c r="H728" s="50">
        <f t="array" ref="H728">SUM(IF(INSTOCK!$H$3:$H$6125=B728,INSTOCK!$I$3:$I$6125))</f>
        <v>336</v>
      </c>
      <c r="I728" s="50" t="str">
        <f>ARRAY_CONSTRAIN(ARRAYFORMULA(SUM(IF([3]!Table13[ID]=B728,[3]!Table13[QTY]))), 1, 1)</f>
        <v>#ERROR!</v>
      </c>
      <c r="J728" s="50" t="str">
        <f>TABLEITEM!$H$3:$H$2749-TABLEITEM!$I$3:$I$2749</f>
        <v>#ERROR!</v>
      </c>
    </row>
    <row r="729" ht="15.75" customHeight="1">
      <c r="A729" s="45">
        <v>272.0</v>
      </c>
      <c r="B729" s="10" t="s">
        <v>153</v>
      </c>
      <c r="C729" s="26"/>
      <c r="D729" s="10" t="s">
        <v>8160</v>
      </c>
      <c r="E729" s="48" t="s">
        <v>1289</v>
      </c>
      <c r="F729" s="48" t="s">
        <v>7173</v>
      </c>
      <c r="G729" s="49">
        <f t="array" ref="G729">MAX(IF(INSTOCK!$H$3:$H$6125=B729,INSTOCK!$K$3:$K$6125))</f>
        <v>2.5</v>
      </c>
      <c r="H729" s="50">
        <f t="array" ref="H729">SUM(IF(INSTOCK!$H$3:$H$6125=B729,INSTOCK!$I$3:$I$6125))</f>
        <v>641</v>
      </c>
      <c r="I729" s="50" t="str">
        <f>ARRAY_CONSTRAIN(ARRAYFORMULA(SUM(IF([3]!Table13[ID]=B729,[3]!Table13[QTY]))), 1, 1)</f>
        <v>#ERROR!</v>
      </c>
      <c r="J729" s="50" t="str">
        <f>TABLEITEM!$H$3:$H$2749-TABLEITEM!$I$3:$I$2749</f>
        <v>#ERROR!</v>
      </c>
    </row>
    <row r="730" ht="15.75" customHeight="1">
      <c r="A730" s="45"/>
      <c r="B730" s="10" t="s">
        <v>2861</v>
      </c>
      <c r="C730" s="26"/>
      <c r="D730" s="10" t="s">
        <v>8161</v>
      </c>
      <c r="E730" s="48" t="s">
        <v>2861</v>
      </c>
      <c r="F730" s="48" t="s">
        <v>7522</v>
      </c>
      <c r="G730" s="49">
        <f t="array" ref="G730">MAX(IF(INSTOCK!$H$3:$H$6125=B730,INSTOCK!$K$3:$K$6125))</f>
        <v>850</v>
      </c>
      <c r="H730" s="50">
        <f t="array" ref="H730">SUM(IF(INSTOCK!$H$3:$H$6125=B730,INSTOCK!$I$3:$I$6125))</f>
        <v>6</v>
      </c>
      <c r="I730" s="50" t="str">
        <f>ARRAY_CONSTRAIN(ARRAYFORMULA(SUM(IF([3]!Table13[ID]=B730,[3]!Table13[QTY]))), 1, 1)</f>
        <v>#ERROR!</v>
      </c>
      <c r="J730" s="50" t="str">
        <f>TABLEITEM!$H$3:$H$2749-TABLEITEM!$I$3:$I$2749</f>
        <v>#ERROR!</v>
      </c>
    </row>
    <row r="731" ht="15.75" customHeight="1">
      <c r="A731" s="45"/>
      <c r="B731" s="10" t="s">
        <v>2728</v>
      </c>
      <c r="C731" s="26"/>
      <c r="D731" s="10" t="s">
        <v>8162</v>
      </c>
      <c r="E731" s="48"/>
      <c r="F731" s="48" t="s">
        <v>8163</v>
      </c>
      <c r="G731" s="49">
        <f t="array" ref="G731">MAX(IF(INSTOCK!$H$3:$H$6125=B731,INSTOCK!$K$3:$K$6125))</f>
        <v>1600</v>
      </c>
      <c r="H731" s="50">
        <f t="array" ref="H731">SUM(IF(INSTOCK!$H$3:$H$6125=B731,INSTOCK!$I$3:$I$6125))</f>
        <v>25</v>
      </c>
      <c r="I731" s="50" t="str">
        <f>ARRAY_CONSTRAIN(ARRAYFORMULA(SUM(IF([3]!Table13[ID]=B731,[3]!Table13[QTY]))), 1, 1)</f>
        <v>#ERROR!</v>
      </c>
      <c r="J731" s="50" t="str">
        <f>TABLEITEM!$H$3:$H$2749-TABLEITEM!$I$3:$I$2749</f>
        <v>#ERROR!</v>
      </c>
    </row>
    <row r="732" ht="15.75" customHeight="1">
      <c r="A732" s="45"/>
      <c r="B732" s="10" t="s">
        <v>2950</v>
      </c>
      <c r="C732" s="26"/>
      <c r="D732" s="10" t="s">
        <v>8164</v>
      </c>
      <c r="E732" s="48"/>
      <c r="F732" s="48" t="s">
        <v>7173</v>
      </c>
      <c r="G732" s="49">
        <f t="array" ref="G732">MAX(IF(INSTOCK!$H$3:$H$6125=B732,INSTOCK!$K$3:$K$6125))</f>
        <v>35</v>
      </c>
      <c r="H732" s="50">
        <f t="array" ref="H732">SUM(IF(INSTOCK!$H$3:$H$6125=B732,INSTOCK!$I$3:$I$6125))</f>
        <v>40</v>
      </c>
      <c r="I732" s="50" t="str">
        <f>ARRAY_CONSTRAIN(ARRAYFORMULA(SUM(IF([3]!Table13[ID]=B732,[3]!Table13[QTY]))), 1, 1)</f>
        <v>#ERROR!</v>
      </c>
      <c r="J732" s="50" t="str">
        <f>TABLEITEM!$H$3:$H$2749-TABLEITEM!$I$3:$I$2749</f>
        <v>#ERROR!</v>
      </c>
    </row>
    <row r="733" ht="15.75" customHeight="1">
      <c r="A733" s="45"/>
      <c r="B733" s="10" t="s">
        <v>2152</v>
      </c>
      <c r="C733" s="26"/>
      <c r="D733" s="10" t="s">
        <v>8165</v>
      </c>
      <c r="E733" s="48"/>
      <c r="F733" s="48" t="s">
        <v>7173</v>
      </c>
      <c r="G733" s="49">
        <f t="array" ref="G733">MAX(IF(INSTOCK!$H$3:$H$6125=B733,INSTOCK!$K$3:$K$6125))</f>
        <v>30</v>
      </c>
      <c r="H733" s="50">
        <f t="array" ref="H733">SUM(IF(INSTOCK!$H$3:$H$6125=B733,INSTOCK!$I$3:$I$6125))</f>
        <v>80</v>
      </c>
      <c r="I733" s="50" t="str">
        <f>ARRAY_CONSTRAIN(ARRAYFORMULA(SUM(IF([3]!Table13[ID]=B733,[3]!Table13[QTY]))), 1, 1)</f>
        <v>#ERROR!</v>
      </c>
      <c r="J733" s="50" t="str">
        <f>TABLEITEM!$H$3:$H$2749-TABLEITEM!$I$3:$I$2749</f>
        <v>#ERROR!</v>
      </c>
    </row>
    <row r="734" ht="15.75" customHeight="1">
      <c r="A734" s="45">
        <v>275.0</v>
      </c>
      <c r="B734" s="10" t="s">
        <v>156</v>
      </c>
      <c r="C734" s="26"/>
      <c r="D734" s="10" t="s">
        <v>1306</v>
      </c>
      <c r="E734" s="48" t="s">
        <v>1289</v>
      </c>
      <c r="F734" s="48" t="s">
        <v>7173</v>
      </c>
      <c r="G734" s="49">
        <f t="array" ref="G734">MAX(IF(INSTOCK!$H$3:$H$6125=B734,INSTOCK!$K$3:$K$6125))</f>
        <v>9.6</v>
      </c>
      <c r="H734" s="50">
        <f t="array" ref="H734">SUM(IF(INSTOCK!$H$3:$H$6125=B734,INSTOCK!$I$3:$I$6125))</f>
        <v>234</v>
      </c>
      <c r="I734" s="50" t="str">
        <f>ARRAY_CONSTRAIN(ARRAYFORMULA(SUM(IF([3]!Table13[ID]=B734,[3]!Table13[QTY]))), 1, 1)</f>
        <v>#ERROR!</v>
      </c>
      <c r="J734" s="50" t="str">
        <f>TABLEITEM!$H$3:$H$2749-TABLEITEM!$I$3:$I$2749</f>
        <v>#ERROR!</v>
      </c>
    </row>
    <row r="735" ht="15.75" customHeight="1">
      <c r="A735" s="45"/>
      <c r="B735" s="10" t="s">
        <v>3033</v>
      </c>
      <c r="C735" s="26"/>
      <c r="D735" s="10" t="s">
        <v>8166</v>
      </c>
      <c r="E735" s="48"/>
      <c r="F735" s="48" t="s">
        <v>8080</v>
      </c>
      <c r="G735" s="49">
        <f t="array" ref="G735">MAX(IF(INSTOCK!$H$3:$H$6125=B735,INSTOCK!$K$3:$K$6125))</f>
        <v>115</v>
      </c>
      <c r="H735" s="50">
        <f t="array" ref="H735">SUM(IF(INSTOCK!$H$3:$H$6125=B735,INSTOCK!$I$3:$I$6125))</f>
        <v>8</v>
      </c>
      <c r="I735" s="50" t="str">
        <f>ARRAY_CONSTRAIN(ARRAYFORMULA(SUM(IF([3]!Table13[ID]=B735,[3]!Table13[QTY]))), 1, 1)</f>
        <v>#ERROR!</v>
      </c>
      <c r="J735" s="50" t="str">
        <f>TABLEITEM!$H$3:$H$2749-TABLEITEM!$I$3:$I$2749</f>
        <v>#ERROR!</v>
      </c>
    </row>
    <row r="736" ht="15.75" customHeight="1">
      <c r="A736" s="45">
        <v>251.0</v>
      </c>
      <c r="B736" s="10" t="s">
        <v>132</v>
      </c>
      <c r="C736" s="26"/>
      <c r="D736" s="10" t="s">
        <v>8167</v>
      </c>
      <c r="E736" s="48" t="s">
        <v>7294</v>
      </c>
      <c r="F736" s="48" t="s">
        <v>7173</v>
      </c>
      <c r="G736" s="49">
        <f t="array" ref="G736">MAX(IF(INSTOCK!$H$3:$H$6125=B736,INSTOCK!$K$3:$K$6125))</f>
        <v>20</v>
      </c>
      <c r="H736" s="50">
        <f t="array" ref="H736">SUM(IF(INSTOCK!$H$3:$H$6125=B736,INSTOCK!$I$3:$I$6125))</f>
        <v>314</v>
      </c>
      <c r="I736" s="50" t="str">
        <f>ARRAY_CONSTRAIN(ARRAYFORMULA(SUM(IF([3]!Table13[ID]=B736,[3]!Table13[QTY]))), 1, 1)</f>
        <v>#ERROR!</v>
      </c>
      <c r="J736" s="50" t="str">
        <f>TABLEITEM!$H$3:$H$2749-TABLEITEM!$I$3:$I$2749</f>
        <v>#ERROR!</v>
      </c>
    </row>
    <row r="737" ht="15.75" customHeight="1">
      <c r="A737" s="45">
        <v>255.0</v>
      </c>
      <c r="B737" s="10" t="s">
        <v>136</v>
      </c>
      <c r="C737" s="26"/>
      <c r="D737" s="10" t="s">
        <v>8168</v>
      </c>
      <c r="E737" s="48" t="s">
        <v>7294</v>
      </c>
      <c r="F737" s="48" t="s">
        <v>7173</v>
      </c>
      <c r="G737" s="49">
        <f t="array" ref="G737">MAX(IF(INSTOCK!$H$3:$H$6125=B737,INSTOCK!$K$3:$K$6125))</f>
        <v>23</v>
      </c>
      <c r="H737" s="50">
        <f t="array" ref="H737">SUM(IF(INSTOCK!$H$3:$H$6125=B737,INSTOCK!$I$3:$I$6125))</f>
        <v>197</v>
      </c>
      <c r="I737" s="50" t="str">
        <f>ARRAY_CONSTRAIN(ARRAYFORMULA(SUM(IF([3]!Table13[ID]=B737,[3]!Table13[QTY]))), 1, 1)</f>
        <v>#ERROR!</v>
      </c>
      <c r="J737" s="50" t="str">
        <f>TABLEITEM!$H$3:$H$2749-TABLEITEM!$I$3:$I$2749</f>
        <v>#ERROR!</v>
      </c>
    </row>
    <row r="738" ht="15.75" customHeight="1">
      <c r="A738" s="45">
        <v>250.0</v>
      </c>
      <c r="B738" s="10" t="s">
        <v>131</v>
      </c>
      <c r="C738" s="26"/>
      <c r="D738" s="10" t="s">
        <v>1292</v>
      </c>
      <c r="E738" s="48" t="s">
        <v>1289</v>
      </c>
      <c r="F738" s="48" t="s">
        <v>7173</v>
      </c>
      <c r="G738" s="49">
        <f t="array" ref="G738">MAX(IF(INSTOCK!$H$3:$H$6125=B738,INSTOCK!$K$3:$K$6125))</f>
        <v>45</v>
      </c>
      <c r="H738" s="50">
        <f t="array" ref="H738">SUM(IF(INSTOCK!$H$3:$H$6125=B738,INSTOCK!$I$3:$I$6125))</f>
        <v>4221</v>
      </c>
      <c r="I738" s="50" t="str">
        <f>ARRAY_CONSTRAIN(ARRAYFORMULA(SUM(IF([3]!Table13[ID]=B738,[3]!Table13[QTY]))), 1, 1)</f>
        <v>#ERROR!</v>
      </c>
      <c r="J738" s="50" t="str">
        <f>TABLEITEM!$H$3:$H$2749-TABLEITEM!$I$3:$I$2749</f>
        <v>#ERROR!</v>
      </c>
    </row>
    <row r="739" ht="15.75" customHeight="1">
      <c r="A739" s="45"/>
      <c r="B739" s="10" t="s">
        <v>1035</v>
      </c>
      <c r="C739" s="26"/>
      <c r="D739" s="10" t="s">
        <v>8169</v>
      </c>
      <c r="E739" s="48" t="s">
        <v>8092</v>
      </c>
      <c r="F739" s="48" t="s">
        <v>7173</v>
      </c>
      <c r="G739" s="49">
        <f t="array" ref="G739">MAX(IF(INSTOCK!$H$3:$H$6125=B739,INSTOCK!$K$3:$K$6125))</f>
        <v>63.75</v>
      </c>
      <c r="H739" s="50">
        <f t="array" ref="H739">SUM(IF(INSTOCK!$H$3:$H$6125=B739,INSTOCK!$I$3:$I$6125))</f>
        <v>1250</v>
      </c>
      <c r="I739" s="50" t="str">
        <f>ARRAY_CONSTRAIN(ARRAYFORMULA(SUM(IF([3]!Table13[ID]=B739,[3]!Table13[QTY]))), 1, 1)</f>
        <v>#ERROR!</v>
      </c>
      <c r="J739" s="50" t="str">
        <f>TABLEITEM!$H$3:$H$2749-TABLEITEM!$I$3:$I$2749</f>
        <v>#ERROR!</v>
      </c>
    </row>
    <row r="740" ht="15.75" customHeight="1">
      <c r="A740" s="45"/>
      <c r="B740" s="10" t="s">
        <v>130</v>
      </c>
      <c r="C740" s="26"/>
      <c r="D740" s="10" t="s">
        <v>8170</v>
      </c>
      <c r="E740" s="48" t="s">
        <v>8092</v>
      </c>
      <c r="F740" s="48" t="s">
        <v>7173</v>
      </c>
      <c r="G740" s="49">
        <f t="array" ref="G740">MAX(IF(INSTOCK!$H$3:$H$6125=B740,INSTOCK!$K$3:$K$6125))</f>
        <v>63.75</v>
      </c>
      <c r="H740" s="50">
        <f t="array" ref="H740">SUM(IF(INSTOCK!$H$3:$H$6125=B740,INSTOCK!$I$3:$I$6125))</f>
        <v>760</v>
      </c>
      <c r="I740" s="50" t="str">
        <f>ARRAY_CONSTRAIN(ARRAYFORMULA(SUM(IF([3]!Table13[ID]=B740,[3]!Table13[QTY]))), 1, 1)</f>
        <v>#ERROR!</v>
      </c>
      <c r="J740" s="50" t="str">
        <f>TABLEITEM!$H$3:$H$2749-TABLEITEM!$I$3:$I$2749</f>
        <v>#ERROR!</v>
      </c>
    </row>
    <row r="741" ht="15.75" customHeight="1">
      <c r="A741" s="45"/>
      <c r="B741" s="10" t="s">
        <v>2333</v>
      </c>
      <c r="C741" s="26"/>
      <c r="D741" s="10" t="s">
        <v>8171</v>
      </c>
      <c r="E741" s="48"/>
      <c r="F741" s="48"/>
      <c r="G741" s="49">
        <f t="array" ref="G741">MAX(IF(INSTOCK!$H$3:$H$6125=B741,INSTOCK!$K$3:$K$6125))</f>
        <v>950</v>
      </c>
      <c r="H741" s="50">
        <f t="array" ref="H741">SUM(IF(INSTOCK!$H$3:$H$6125=B741,INSTOCK!$I$3:$I$6125))</f>
        <v>1</v>
      </c>
      <c r="I741" s="50" t="str">
        <f>ARRAY_CONSTRAIN(ARRAYFORMULA(SUM(IF([3]!Table13[ID]=B741,[3]!Table13[QTY]))), 1, 1)</f>
        <v>#ERROR!</v>
      </c>
      <c r="J741" s="50" t="str">
        <f>TABLEITEM!$H$3:$H$2749-TABLEITEM!$I$3:$I$2749</f>
        <v>#ERROR!</v>
      </c>
    </row>
    <row r="742" ht="15.75" customHeight="1">
      <c r="A742" s="45"/>
      <c r="B742" s="10" t="s">
        <v>2141</v>
      </c>
      <c r="C742" s="26"/>
      <c r="D742" s="10" t="s">
        <v>8172</v>
      </c>
      <c r="E742" s="48" t="s">
        <v>8173</v>
      </c>
      <c r="F742" s="48"/>
      <c r="G742" s="49">
        <f t="array" ref="G742">MAX(IF(INSTOCK!$H$3:$H$6125=B742,INSTOCK!$K$3:$K$6125))</f>
        <v>9800</v>
      </c>
      <c r="H742" s="50">
        <f t="array" ref="H742">SUM(IF(INSTOCK!$H$3:$H$6125=B742,INSTOCK!$I$3:$I$6125))</f>
        <v>1</v>
      </c>
      <c r="I742" s="50" t="str">
        <f>ARRAY_CONSTRAIN(ARRAYFORMULA(SUM(IF([3]!Table13[ID]=B742,[3]!Table13[QTY]))), 1, 1)</f>
        <v>#ERROR!</v>
      </c>
      <c r="J742" s="50" t="str">
        <f>TABLEITEM!$H$3:$H$2749-TABLEITEM!$I$3:$I$2749</f>
        <v>#ERROR!</v>
      </c>
    </row>
    <row r="743" ht="15.75" customHeight="1">
      <c r="A743" s="45"/>
      <c r="B743" s="10" t="s">
        <v>2614</v>
      </c>
      <c r="C743" s="26"/>
      <c r="D743" s="10" t="s">
        <v>8174</v>
      </c>
      <c r="E743" s="48" t="s">
        <v>7188</v>
      </c>
      <c r="F743" s="48" t="s">
        <v>7173</v>
      </c>
      <c r="G743" s="49">
        <f t="array" ref="G743">MAX(IF(INSTOCK!$H$3:$H$6125=B683,INSTOCK!$K$3:$K$6125))</f>
        <v>120</v>
      </c>
      <c r="H743" s="50">
        <f t="array" ref="H743">SUM(IF(INSTOCK!$H$3:$H$6125=B743,INSTOCK!$I$3:$I$6125))</f>
        <v>1</v>
      </c>
      <c r="I743" s="50" t="str">
        <f>ARRAY_CONSTRAIN(ARRAYFORMULA(SUM(IF([3]!Table13[ID]=B743,[3]!Table13[QTY]))), 1, 1)</f>
        <v>#ERROR!</v>
      </c>
      <c r="J743" s="50" t="str">
        <f>TABLEITEM!$H$3:$H$2749-TABLEITEM!$I$3:$I$2749</f>
        <v>#ERROR!</v>
      </c>
    </row>
    <row r="744" ht="15.75" customHeight="1">
      <c r="A744" s="45"/>
      <c r="B744" s="10" t="s">
        <v>2699</v>
      </c>
      <c r="C744" s="26"/>
      <c r="D744" s="10" t="s">
        <v>8175</v>
      </c>
      <c r="E744" s="48"/>
      <c r="F744" s="48" t="s">
        <v>8080</v>
      </c>
      <c r="G744" s="49">
        <f t="array" ref="G744">MAX(IF(INSTOCK!$H$3:$H$6125=B744,INSTOCK!$K$3:$K$6125))</f>
        <v>83</v>
      </c>
      <c r="H744" s="50">
        <f t="array" ref="H744">SUM(IF(INSTOCK!$H$3:$H$6125=B744,INSTOCK!$I$3:$I$6125))</f>
        <v>6</v>
      </c>
      <c r="I744" s="50" t="str">
        <f>ARRAY_CONSTRAIN(ARRAYFORMULA(SUM(IF([3]!Table13[ID]=B744,[3]!Table13[QTY]))), 1, 1)</f>
        <v>#ERROR!</v>
      </c>
      <c r="J744" s="50" t="str">
        <f>TABLEITEM!$H$3:$H$2749-TABLEITEM!$I$3:$I$2749</f>
        <v>#ERROR!</v>
      </c>
    </row>
    <row r="745" ht="15.75" customHeight="1">
      <c r="A745" s="45"/>
      <c r="B745" s="10" t="s">
        <v>1789</v>
      </c>
      <c r="C745" s="26"/>
      <c r="D745" s="10" t="s">
        <v>8176</v>
      </c>
      <c r="E745" s="48" t="s">
        <v>7439</v>
      </c>
      <c r="F745" s="48" t="s">
        <v>7173</v>
      </c>
      <c r="G745" s="49">
        <f t="array" ref="G745">MAX(IF(INSTOCK!$H$3:$H$6125=B745,INSTOCK!$K$3:$K$6125))</f>
        <v>2</v>
      </c>
      <c r="H745" s="50">
        <f t="array" ref="H745">SUM(IF(INSTOCK!$H$3:$H$6125=B745,INSTOCK!$I$3:$I$6125))</f>
        <v>997</v>
      </c>
      <c r="I745" s="50" t="str">
        <f>ARRAY_CONSTRAIN(ARRAYFORMULA(SUM(IF([3]!Table13[ID]=B745,[3]!Table13[QTY]))), 1, 1)</f>
        <v>#ERROR!</v>
      </c>
      <c r="J745" s="50" t="str">
        <f>TABLEITEM!$H$3:$H$2749-TABLEITEM!$I$3:$I$2749</f>
        <v>#ERROR!</v>
      </c>
    </row>
    <row r="746" ht="15.75" customHeight="1">
      <c r="A746" s="45"/>
      <c r="B746" s="10" t="s">
        <v>2906</v>
      </c>
      <c r="C746" s="26"/>
      <c r="D746" s="10" t="s">
        <v>8177</v>
      </c>
      <c r="E746" s="48"/>
      <c r="F746" s="48" t="s">
        <v>7173</v>
      </c>
      <c r="G746" s="49">
        <f t="array" ref="G746">MAX(IF(INSTOCK!$H$3:$H$6125=B746,INSTOCK!$K$3:$K$6125))</f>
        <v>10</v>
      </c>
      <c r="H746" s="50">
        <f t="array" ref="H746">SUM(IF(INSTOCK!$H$3:$H$6125=B746,INSTOCK!$I$3:$I$6125))</f>
        <v>120</v>
      </c>
      <c r="I746" s="50" t="str">
        <f>ARRAY_CONSTRAIN(ARRAYFORMULA(SUM(IF([3]!Table13[ID]=B746,[3]!Table13[QTY]))), 1, 1)</f>
        <v>#ERROR!</v>
      </c>
      <c r="J746" s="50" t="str">
        <f>TABLEITEM!$H$3:$H$2749-TABLEITEM!$I$3:$I$2749</f>
        <v>#ERROR!</v>
      </c>
    </row>
    <row r="747" ht="15.75" customHeight="1">
      <c r="A747" s="45"/>
      <c r="B747" s="10" t="s">
        <v>3323</v>
      </c>
      <c r="C747" s="26"/>
      <c r="D747" s="10" t="s">
        <v>8178</v>
      </c>
      <c r="E747" s="48"/>
      <c r="F747" s="48" t="s">
        <v>7173</v>
      </c>
      <c r="G747" s="49">
        <f t="array" ref="G747">MAX(IF(INSTOCK!$H$3:$H$6125=B747,INSTOCK!$K$3:$K$6125))</f>
        <v>150</v>
      </c>
      <c r="H747" s="50">
        <f t="array" ref="H747">SUM(IF(INSTOCK!$H$3:$H$6125=B747,INSTOCK!$I$3:$I$6125))</f>
        <v>10</v>
      </c>
      <c r="I747" s="50" t="str">
        <f>ARRAY_CONSTRAIN(ARRAYFORMULA(SUM(IF([3]!Table13[ID]=B747,[3]!Table13[QTY]))), 1, 1)</f>
        <v>#ERROR!</v>
      </c>
      <c r="J747" s="50" t="str">
        <f>TABLEITEM!$H$3:$H$2749-TABLEITEM!$I$3:$I$2749</f>
        <v>#ERROR!</v>
      </c>
    </row>
    <row r="748" ht="15.75" customHeight="1">
      <c r="A748" s="45"/>
      <c r="B748" s="10" t="s">
        <v>2441</v>
      </c>
      <c r="C748" s="26"/>
      <c r="D748" s="10" t="s">
        <v>8179</v>
      </c>
      <c r="E748" s="48"/>
      <c r="F748" s="48" t="s">
        <v>7761</v>
      </c>
      <c r="G748" s="49">
        <f t="array" ref="G748">MAX(IF(INSTOCK!$H$3:$H$6125=B748,INSTOCK!$K$3:$K$6125))</f>
        <v>90</v>
      </c>
      <c r="H748" s="50">
        <f t="array" ref="H748">SUM(IF(INSTOCK!$H$3:$H$6125=B748,INSTOCK!$I$3:$I$6125))</f>
        <v>5</v>
      </c>
      <c r="I748" s="50" t="str">
        <f>ARRAY_CONSTRAIN(ARRAYFORMULA(SUM(IF([3]!Table13[ID]=B748,[3]!Table13[QTY]))), 1, 1)</f>
        <v>#ERROR!</v>
      </c>
      <c r="J748" s="50" t="str">
        <f>TABLEITEM!$H$3:$H$2749-TABLEITEM!$I$3:$I$2749</f>
        <v>#ERROR!</v>
      </c>
    </row>
    <row r="749" ht="15.75" customHeight="1">
      <c r="A749" s="45"/>
      <c r="B749" s="10" t="s">
        <v>1615</v>
      </c>
      <c r="C749" s="26"/>
      <c r="D749" s="10" t="s">
        <v>8180</v>
      </c>
      <c r="E749" s="48" t="s">
        <v>8181</v>
      </c>
      <c r="F749" s="57" t="s">
        <v>7173</v>
      </c>
      <c r="G749" s="49">
        <f t="array" ref="G749">MAX(IF(INSTOCK!$H$3:$H$6125=B749,INSTOCK!$K$3:$K$6125))</f>
        <v>198</v>
      </c>
      <c r="H749" s="50">
        <f t="array" ref="H749">SUM(IF(INSTOCK!$H$3:$H$6125=B749,INSTOCK!$I$3:$I$6125))</f>
        <v>8</v>
      </c>
      <c r="I749" s="50" t="str">
        <f>ARRAY_CONSTRAIN(ARRAYFORMULA(SUM(IF([3]!Table13[ID]=B749,[3]!Table13[QTY]))), 1, 1)</f>
        <v>#ERROR!</v>
      </c>
      <c r="J749" s="50" t="str">
        <f>TABLEITEM!$H$3:$H$2749-TABLEITEM!$I$3:$I$2749</f>
        <v>#ERROR!</v>
      </c>
    </row>
    <row r="750" ht="15.75" customHeight="1">
      <c r="A750" s="45"/>
      <c r="B750" s="10" t="s">
        <v>3072</v>
      </c>
      <c r="C750" s="26"/>
      <c r="D750" s="10" t="s">
        <v>8182</v>
      </c>
      <c r="E750" s="48"/>
      <c r="F750" s="57" t="s">
        <v>7173</v>
      </c>
      <c r="G750" s="49">
        <f t="array" ref="G750">MAX(IF(INSTOCK!$H$3:$H$6125=B750,INSTOCK!$K$3:$K$6125))</f>
        <v>20</v>
      </c>
      <c r="H750" s="50">
        <f t="array" ref="H750">SUM(IF(INSTOCK!$H$3:$H$6125=B750,INSTOCK!$I$3:$I$6125))</f>
        <v>8</v>
      </c>
      <c r="I750" s="50" t="str">
        <f>ARRAY_CONSTRAIN(ARRAYFORMULA(SUM(IF([3]!Table13[ID]=B750,[3]!Table13[QTY]))), 1, 1)</f>
        <v>#ERROR!</v>
      </c>
      <c r="J750" s="50" t="str">
        <f>TABLEITEM!$H$3:$H$2749-TABLEITEM!$I$3:$I$2749</f>
        <v>#ERROR!</v>
      </c>
    </row>
    <row r="751" ht="15.75" customHeight="1">
      <c r="A751" s="45"/>
      <c r="B751" s="10" t="s">
        <v>3087</v>
      </c>
      <c r="C751" s="26"/>
      <c r="D751" s="10" t="s">
        <v>8183</v>
      </c>
      <c r="E751" s="48"/>
      <c r="F751" s="57" t="s">
        <v>7173</v>
      </c>
      <c r="G751" s="49">
        <f t="array" ref="G751">MAX(IF(INSTOCK!$H$3:$H$6125=B751,INSTOCK!$K$3:$K$6125))</f>
        <v>25</v>
      </c>
      <c r="H751" s="50">
        <f t="array" ref="H751">SUM(IF(INSTOCK!$H$3:$H$6125=B751,INSTOCK!$I$3:$I$6125))</f>
        <v>30</v>
      </c>
      <c r="I751" s="50" t="str">
        <f>ARRAY_CONSTRAIN(ARRAYFORMULA(SUM(IF([3]!Table13[ID]=B751,[3]!Table13[QTY]))), 1, 1)</f>
        <v>#ERROR!</v>
      </c>
      <c r="J751" s="50" t="str">
        <f>TABLEITEM!$H$3:$H$2749-TABLEITEM!$I$3:$I$2749</f>
        <v>#ERROR!</v>
      </c>
    </row>
    <row r="752" ht="15.75" customHeight="1">
      <c r="A752" s="45"/>
      <c r="B752" s="10" t="s">
        <v>1951</v>
      </c>
      <c r="C752" s="26"/>
      <c r="D752" s="10" t="s">
        <v>8184</v>
      </c>
      <c r="E752" s="48"/>
      <c r="F752" s="57" t="s">
        <v>7173</v>
      </c>
      <c r="G752" s="49">
        <f t="array" ref="G752">MAX(IF(INSTOCK!$H$3:$H$6125=B752,INSTOCK!$K$3:$K$6125))</f>
        <v>25</v>
      </c>
      <c r="H752" s="50">
        <f t="array" ref="H752">SUM(IF(INSTOCK!$H$3:$H$6125=B752,INSTOCK!$I$3:$I$6125))</f>
        <v>24</v>
      </c>
      <c r="I752" s="50" t="str">
        <f>ARRAY_CONSTRAIN(ARRAYFORMULA(SUM(IF([3]!Table13[ID]=B752,[3]!Table13[QTY]))), 1, 1)</f>
        <v>#ERROR!</v>
      </c>
      <c r="J752" s="50" t="str">
        <f>TABLEITEM!$H$3:$H$2749-TABLEITEM!$I$3:$I$2749</f>
        <v>#ERROR!</v>
      </c>
    </row>
    <row r="753" ht="15.75" customHeight="1">
      <c r="A753" s="45"/>
      <c r="B753" s="10" t="s">
        <v>1380</v>
      </c>
      <c r="C753" s="26"/>
      <c r="D753" s="10" t="s">
        <v>8185</v>
      </c>
      <c r="E753" s="48" t="s">
        <v>729</v>
      </c>
      <c r="F753" s="48" t="s">
        <v>7173</v>
      </c>
      <c r="G753" s="49">
        <f t="array" ref="G753">MAX(IF(INSTOCK!$H$3:$H$6125=B753,INSTOCK!$K$3:$K$6125))</f>
        <v>450</v>
      </c>
      <c r="H753" s="50">
        <f t="array" ref="H753">SUM(IF(INSTOCK!$H$3:$H$6125=B753,INSTOCK!$I$3:$I$6125))</f>
        <v>50</v>
      </c>
      <c r="I753" s="50" t="str">
        <f>ARRAY_CONSTRAIN(ARRAYFORMULA(SUM(IF([3]!Table13[ID]=B753,[3]!Table13[QTY]))), 1, 1)</f>
        <v>#ERROR!</v>
      </c>
      <c r="J753" s="50" t="str">
        <f>TABLEITEM!$H$3:$H$2749-TABLEITEM!$I$3:$I$2749</f>
        <v>#ERROR!</v>
      </c>
    </row>
    <row r="754" ht="15.75" customHeight="1">
      <c r="A754" s="45"/>
      <c r="B754" s="10" t="s">
        <v>2749</v>
      </c>
      <c r="C754" s="26"/>
      <c r="D754" s="10" t="s">
        <v>8186</v>
      </c>
      <c r="E754" s="48"/>
      <c r="F754" s="48" t="s">
        <v>8187</v>
      </c>
      <c r="G754" s="49">
        <f t="array" ref="G754">MAX(IF(INSTOCK!$H$3:$H$6125=B754,INSTOCK!$K$3:$K$6125))</f>
        <v>800</v>
      </c>
      <c r="H754" s="50">
        <f t="array" ref="H754">SUM(IF(INSTOCK!$H$3:$H$6125=B754,INSTOCK!$I$3:$I$6125))</f>
        <v>1</v>
      </c>
      <c r="I754" s="50" t="str">
        <f>ARRAY_CONSTRAIN(ARRAYFORMULA(SUM(IF([3]!Table13[ID]=B754,[3]!Table13[QTY]))), 1, 1)</f>
        <v>#ERROR!</v>
      </c>
      <c r="J754" s="50" t="str">
        <f>TABLEITEM!$H$3:$H$2749-TABLEITEM!$I$3:$I$2749</f>
        <v>#ERROR!</v>
      </c>
    </row>
    <row r="755" ht="15.75" customHeight="1">
      <c r="A755" s="45"/>
      <c r="B755" s="10" t="s">
        <v>2745</v>
      </c>
      <c r="C755" s="26"/>
      <c r="D755" s="10" t="s">
        <v>8188</v>
      </c>
      <c r="E755" s="48"/>
      <c r="F755" s="48" t="s">
        <v>8187</v>
      </c>
      <c r="G755" s="49">
        <f t="array" ref="G755">MAX(IF(INSTOCK!$H$3:$H$6125=B755,INSTOCK!$K$3:$K$6125))</f>
        <v>800</v>
      </c>
      <c r="H755" s="50">
        <f t="array" ref="H755">SUM(IF(INSTOCK!$H$3:$H$6125=B755,INSTOCK!$I$3:$I$6125))</f>
        <v>2</v>
      </c>
      <c r="I755" s="50" t="str">
        <f>ARRAY_CONSTRAIN(ARRAYFORMULA(SUM(IF([3]!Table13[ID]=B755,[3]!Table13[QTY]))), 1, 1)</f>
        <v>#ERROR!</v>
      </c>
      <c r="J755" s="50" t="str">
        <f>TABLEITEM!$H$3:$H$2749-TABLEITEM!$I$3:$I$2749</f>
        <v>#ERROR!</v>
      </c>
    </row>
    <row r="756" ht="15.75" customHeight="1">
      <c r="A756" s="45"/>
      <c r="B756" s="10" t="s">
        <v>2748</v>
      </c>
      <c r="C756" s="26"/>
      <c r="D756" s="10" t="s">
        <v>8189</v>
      </c>
      <c r="E756" s="48"/>
      <c r="F756" s="48" t="s">
        <v>8187</v>
      </c>
      <c r="G756" s="49">
        <f t="array" ref="G756">MAX(IF(INSTOCK!$H$3:$H$6125=B756,INSTOCK!$K$3:$K$6125))</f>
        <v>650</v>
      </c>
      <c r="H756" s="50">
        <f t="array" ref="H756">SUM(IF(INSTOCK!$H$3:$H$6125=B756,INSTOCK!$I$3:$I$6125))</f>
        <v>1</v>
      </c>
      <c r="I756" s="50" t="str">
        <f>ARRAY_CONSTRAIN(ARRAYFORMULA(SUM(IF([3]!Table13[ID]=B756,[3]!Table13[QTY]))), 1, 1)</f>
        <v>#ERROR!</v>
      </c>
      <c r="J756" s="50" t="str">
        <f>TABLEITEM!$H$3:$H$2749-TABLEITEM!$I$3:$I$2749</f>
        <v>#ERROR!</v>
      </c>
    </row>
    <row r="757" ht="15.75" customHeight="1">
      <c r="A757" s="45"/>
      <c r="B757" s="10" t="s">
        <v>2746</v>
      </c>
      <c r="C757" s="26"/>
      <c r="D757" s="10" t="s">
        <v>8190</v>
      </c>
      <c r="E757" s="48"/>
      <c r="F757" s="48" t="s">
        <v>8187</v>
      </c>
      <c r="G757" s="49">
        <f t="array" ref="G757">MAX(IF(INSTOCK!$H$3:$H$6125=B757,INSTOCK!$K$3:$K$6125))</f>
        <v>600</v>
      </c>
      <c r="H757" s="50">
        <f t="array" ref="H757">SUM(IF(INSTOCK!$H$3:$H$6125=B757,INSTOCK!$I$3:$I$6125))</f>
        <v>1</v>
      </c>
      <c r="I757" s="50" t="str">
        <f>ARRAY_CONSTRAIN(ARRAYFORMULA(SUM(IF([3]!Table13[ID]=B757,[3]!Table13[QTY]))), 1, 1)</f>
        <v>#ERROR!</v>
      </c>
      <c r="J757" s="50" t="str">
        <f>TABLEITEM!$H$3:$H$2749-TABLEITEM!$I$3:$I$2749</f>
        <v>#ERROR!</v>
      </c>
    </row>
    <row r="758" ht="15.75" customHeight="1">
      <c r="A758" s="45"/>
      <c r="B758" s="10" t="s">
        <v>2747</v>
      </c>
      <c r="C758" s="26"/>
      <c r="D758" s="10" t="s">
        <v>8191</v>
      </c>
      <c r="E758" s="48"/>
      <c r="F758" s="48" t="s">
        <v>8187</v>
      </c>
      <c r="G758" s="49">
        <f t="array" ref="G758">MAX(IF(INSTOCK!$H$3:$H$6125=B758,INSTOCK!$K$3:$K$6125))</f>
        <v>500</v>
      </c>
      <c r="H758" s="50">
        <f t="array" ref="H758">SUM(IF(INSTOCK!$H$3:$H$6125=B758,INSTOCK!$I$3:$I$6125))</f>
        <v>1</v>
      </c>
      <c r="I758" s="50" t="str">
        <f>ARRAY_CONSTRAIN(ARRAYFORMULA(SUM(IF([3]!Table13[ID]=B758,[3]!Table13[QTY]))), 1, 1)</f>
        <v>#ERROR!</v>
      </c>
      <c r="J758" s="50" t="str">
        <f>TABLEITEM!$H$3:$H$2749-TABLEITEM!$I$3:$I$2749</f>
        <v>#ERROR!</v>
      </c>
    </row>
    <row r="759" ht="15.75" customHeight="1">
      <c r="A759" s="45"/>
      <c r="B759" s="10" t="s">
        <v>1974</v>
      </c>
      <c r="C759" s="26"/>
      <c r="D759" s="10" t="s">
        <v>8192</v>
      </c>
      <c r="E759" s="48" t="s">
        <v>1975</v>
      </c>
      <c r="F759" s="48" t="s">
        <v>8187</v>
      </c>
      <c r="G759" s="49">
        <f t="array" ref="G759">MAX(IF(INSTOCK!$H$3:$H$6125=B759,INSTOCK!$K$3:$K$6125))</f>
        <v>1900</v>
      </c>
      <c r="H759" s="50">
        <f t="array" ref="H759">SUM(IF(INSTOCK!$H$3:$H$6125=B759,INSTOCK!$I$3:$I$6125))</f>
        <v>2</v>
      </c>
      <c r="I759" s="50" t="str">
        <f>ARRAY_CONSTRAIN(ARRAYFORMULA(SUM(IF([3]!Table13[ID]=B759,[3]!Table13[QTY]))), 1, 1)</f>
        <v>#ERROR!</v>
      </c>
      <c r="J759" s="50" t="str">
        <f>TABLEITEM!$H$3:$H$2749-TABLEITEM!$I$3:$I$2749</f>
        <v>#ERROR!</v>
      </c>
    </row>
    <row r="760" ht="15.75" customHeight="1">
      <c r="A760" s="45"/>
      <c r="B760" s="10" t="s">
        <v>1566</v>
      </c>
      <c r="C760" s="26"/>
      <c r="D760" s="10" t="s">
        <v>8193</v>
      </c>
      <c r="E760" s="48" t="s">
        <v>8194</v>
      </c>
      <c r="F760" s="48" t="s">
        <v>8187</v>
      </c>
      <c r="G760" s="49">
        <f t="array" ref="G760">MAX(IF(INSTOCK!$H$3:$H$6125=B760,INSTOCK!$K$3:$K$6125))</f>
        <v>825</v>
      </c>
      <c r="H760" s="50">
        <f t="array" ref="H760">SUM(IF(INSTOCK!$H$3:$H$6125=B760,INSTOCK!$I$3:$I$6125))</f>
        <v>1</v>
      </c>
      <c r="I760" s="50" t="str">
        <f>ARRAY_CONSTRAIN(ARRAYFORMULA(SUM(IF([3]!Table13[ID]=B760,[3]!Table13[QTY]))), 1, 1)</f>
        <v>#ERROR!</v>
      </c>
      <c r="J760" s="50" t="str">
        <f>TABLEITEM!$H$3:$H$2749-TABLEITEM!$I$3:$I$2749</f>
        <v>#ERROR!</v>
      </c>
    </row>
    <row r="761" ht="15.75" customHeight="1">
      <c r="A761" s="45"/>
      <c r="B761" s="10" t="s">
        <v>2050</v>
      </c>
      <c r="C761" s="26"/>
      <c r="D761" s="10" t="s">
        <v>8195</v>
      </c>
      <c r="E761" s="48" t="s">
        <v>1453</v>
      </c>
      <c r="F761" s="48" t="s">
        <v>7173</v>
      </c>
      <c r="G761" s="49">
        <f t="array" ref="G761">MAX(IF(INSTOCK!$H$3:$H$6125=B761,INSTOCK!$K$3:$K$6125))</f>
        <v>837.9</v>
      </c>
      <c r="H761" s="50">
        <f t="array" ref="H761">SUM(IF(INSTOCK!$H$3:$H$6125=B761,INSTOCK!$I$3:$I$6125))</f>
        <v>34</v>
      </c>
      <c r="I761" s="50" t="str">
        <f>ARRAY_CONSTRAIN(ARRAYFORMULA(SUM(IF([3]!Table13[ID]=B761,[3]!Table13[QTY]))), 1, 1)</f>
        <v>#ERROR!</v>
      </c>
      <c r="J761" s="50" t="str">
        <f>TABLEITEM!$H$3:$H$2749-TABLEITEM!$I$3:$I$2749</f>
        <v>#ERROR!</v>
      </c>
    </row>
    <row r="762" ht="15.75" customHeight="1">
      <c r="A762" s="45"/>
      <c r="B762" s="10" t="s">
        <v>3604</v>
      </c>
      <c r="C762" s="26"/>
      <c r="D762" s="10" t="s">
        <v>8196</v>
      </c>
      <c r="E762" s="48" t="s">
        <v>1453</v>
      </c>
      <c r="F762" s="48" t="s">
        <v>7173</v>
      </c>
      <c r="G762" s="49" t="str">
        <f t="array" ref="G762">MAX(IF(INSTOCK!$H$3:$H$6125=#REF!,INSTOCK!$K$3:$K$6125))</f>
        <v>#REF!</v>
      </c>
      <c r="H762" s="50">
        <f t="array" ref="H762">SUM(IF(INSTOCK!$H$3:$H$6125=B762,INSTOCK!$I$3:$I$6125))</f>
        <v>25</v>
      </c>
      <c r="I762" s="50" t="str">
        <f>ARRAY_CONSTRAIN(ARRAYFORMULA(SUM(IF([3]!Table13[ID]=B762,[3]!Table13[QTY]))), 1, 1)</f>
        <v>#ERROR!</v>
      </c>
      <c r="J762" s="50" t="str">
        <f>TABLEITEM!$H$3:$H$2749-TABLEITEM!$I$3:$I$2749</f>
        <v>#ERROR!</v>
      </c>
    </row>
    <row r="763" ht="15.75" customHeight="1">
      <c r="A763" s="45"/>
      <c r="B763" s="10" t="s">
        <v>8197</v>
      </c>
      <c r="C763" s="26"/>
      <c r="D763" s="10" t="s">
        <v>8198</v>
      </c>
      <c r="E763" s="48" t="s">
        <v>8194</v>
      </c>
      <c r="F763" s="48" t="s">
        <v>7173</v>
      </c>
      <c r="G763" s="49">
        <f t="array" ref="G763">MAX(IF(INSTOCK!$H$3:$H$6125=B763,INSTOCK!$K$3:$K$6125))</f>
        <v>0</v>
      </c>
      <c r="H763" s="50">
        <f t="array" ref="H763">SUM(IF(INSTOCK!$H$3:$H$6125=B763,INSTOCK!$I$3:$I$6125))</f>
        <v>0</v>
      </c>
      <c r="I763" s="50" t="str">
        <f>ARRAY_CONSTRAIN(ARRAYFORMULA(SUM(IF([3]!Table13[ID]=B763,[3]!Table13[QTY]))), 1, 1)</f>
        <v>#ERROR!</v>
      </c>
      <c r="J763" s="50" t="str">
        <f>TABLEITEM!$H$3:$H$2749-TABLEITEM!$I$3:$I$2749</f>
        <v>#ERROR!</v>
      </c>
    </row>
    <row r="764" ht="15.75" customHeight="1">
      <c r="A764" s="45">
        <v>138.0</v>
      </c>
      <c r="B764" s="10" t="s">
        <v>19</v>
      </c>
      <c r="C764" s="26"/>
      <c r="D764" s="10" t="s">
        <v>8199</v>
      </c>
      <c r="E764" s="48" t="s">
        <v>8200</v>
      </c>
      <c r="F764" s="48" t="s">
        <v>7530</v>
      </c>
      <c r="G764" s="49">
        <f t="array" ref="G764">MAX(IF(INSTOCK!$H$3:$H$6125=B764,INSTOCK!$K$3:$K$6125))</f>
        <v>140</v>
      </c>
      <c r="H764" s="50">
        <f t="array" ref="H764">SUM(IF(INSTOCK!$H$3:$H$6125=B764,INSTOCK!$I$3:$I$6125))</f>
        <v>1350</v>
      </c>
      <c r="I764" s="50" t="str">
        <f>ARRAY_CONSTRAIN(ARRAYFORMULA(SUM(IF([3]!Table13[ID]=B764,[3]!Table13[QTY]))), 1, 1)</f>
        <v>#ERROR!</v>
      </c>
      <c r="J764" s="50" t="str">
        <f>TABLEITEM!$H$3:$H$2749-TABLEITEM!$I$3:$I$2749</f>
        <v>#ERROR!</v>
      </c>
    </row>
    <row r="765" ht="15.75" customHeight="1">
      <c r="A765" s="45"/>
      <c r="B765" s="10" t="s">
        <v>3322</v>
      </c>
      <c r="C765" s="26"/>
      <c r="D765" s="10" t="s">
        <v>8201</v>
      </c>
      <c r="E765" s="48"/>
      <c r="F765" s="48" t="s">
        <v>7530</v>
      </c>
      <c r="G765" s="49">
        <f t="array" ref="G765">MAX(IF(INSTOCK!$H$3:$H$6125=B765,INSTOCK!$K$3:$K$6125))</f>
        <v>470</v>
      </c>
      <c r="H765" s="50">
        <f t="array" ref="H765">SUM(IF(INSTOCK!$H$3:$H$6125=B765,INSTOCK!$I$3:$I$6125))</f>
        <v>105</v>
      </c>
      <c r="I765" s="50" t="str">
        <f>ARRAY_CONSTRAIN(ARRAYFORMULA(SUM(IF([3]!Table13[ID]=B765,[3]!Table13[QTY]))), 1, 1)</f>
        <v>#ERROR!</v>
      </c>
      <c r="J765" s="50" t="str">
        <f>TABLEITEM!$H$3:$H$2749-TABLEITEM!$I$3:$I$2749</f>
        <v>#ERROR!</v>
      </c>
    </row>
    <row r="766" ht="15.75" customHeight="1">
      <c r="A766" s="45"/>
      <c r="B766" s="10" t="s">
        <v>2183</v>
      </c>
      <c r="C766" s="26"/>
      <c r="D766" s="10" t="s">
        <v>8202</v>
      </c>
      <c r="E766" s="48" t="s">
        <v>8203</v>
      </c>
      <c r="F766" s="48" t="s">
        <v>7173</v>
      </c>
      <c r="G766" s="49">
        <f t="array" ref="G766">MAX(IF(INSTOCK!$H$3:$H$6125=B766,INSTOCK!$K$3:$K$6125))</f>
        <v>257.6</v>
      </c>
      <c r="H766" s="50">
        <f t="array" ref="H766">SUM(IF(INSTOCK!$H$3:$H$6125=B766,INSTOCK!$I$3:$I$6125))</f>
        <v>10</v>
      </c>
      <c r="I766" s="50" t="str">
        <f>ARRAY_CONSTRAIN(ARRAYFORMULA(SUM(IF([3]!Table13[ID]=B766,[3]!Table13[QTY]))), 1, 1)</f>
        <v>#ERROR!</v>
      </c>
      <c r="J766" s="50" t="str">
        <f>TABLEITEM!$H$3:$H$2749-TABLEITEM!$I$3:$I$2749</f>
        <v>#ERROR!</v>
      </c>
    </row>
    <row r="767" ht="15.75" customHeight="1">
      <c r="A767" s="45"/>
      <c r="B767" s="10" t="s">
        <v>4634</v>
      </c>
      <c r="C767" s="26"/>
      <c r="D767" s="10" t="s">
        <v>8204</v>
      </c>
      <c r="E767" s="48" t="s">
        <v>8203</v>
      </c>
      <c r="F767" s="48" t="s">
        <v>7173</v>
      </c>
      <c r="G767" s="49">
        <f t="array" ref="G767">MAX(IF(INSTOCK!$H$3:$H$6125=B767,INSTOCK!$K$3:$K$6125))</f>
        <v>15</v>
      </c>
      <c r="H767" s="50">
        <f t="array" ref="H767">SUM(IF(INSTOCK!$H$3:$H$6125=B767,INSTOCK!$I$3:$I$6125))</f>
        <v>10</v>
      </c>
      <c r="I767" s="50" t="str">
        <f>ARRAY_CONSTRAIN(ARRAYFORMULA(SUM(IF([3]!Table13[ID]=B767,[3]!Table13[QTY]))), 1, 1)</f>
        <v>#ERROR!</v>
      </c>
      <c r="J767" s="50" t="str">
        <f>TABLEITEM!$H$3:$H$2749-TABLEITEM!$I$3:$I$2749</f>
        <v>#ERROR!</v>
      </c>
    </row>
    <row r="768" ht="15.75" customHeight="1">
      <c r="A768" s="45"/>
      <c r="B768" s="10" t="s">
        <v>2364</v>
      </c>
      <c r="C768" s="26"/>
      <c r="D768" s="10" t="s">
        <v>8205</v>
      </c>
      <c r="E768" s="48" t="s">
        <v>8203</v>
      </c>
      <c r="F768" s="48" t="s">
        <v>7173</v>
      </c>
      <c r="G768" s="49">
        <f t="array" ref="G768">MAX(IF(INSTOCK!$H$3:$H$6125=B768,INSTOCK!$K$3:$K$6125))</f>
        <v>34.92</v>
      </c>
      <c r="H768" s="50">
        <f t="array" ref="H768">SUM(IF(INSTOCK!$H$3:$H$6125=B768,INSTOCK!$I$3:$I$6125))</f>
        <v>116</v>
      </c>
      <c r="I768" s="50" t="str">
        <f>ARRAY_CONSTRAIN(ARRAYFORMULA(SUM(IF([3]!Table13[ID]=B768,[3]!Table13[QTY]))), 1, 1)</f>
        <v>#ERROR!</v>
      </c>
      <c r="J768" s="50" t="str">
        <f>TABLEITEM!$H$3:$H$2749-TABLEITEM!$I$3:$I$2749</f>
        <v>#ERROR!</v>
      </c>
    </row>
    <row r="769" ht="15.75" customHeight="1">
      <c r="A769" s="45"/>
      <c r="B769" s="10" t="s">
        <v>1491</v>
      </c>
      <c r="C769" s="26"/>
      <c r="D769" s="10" t="s">
        <v>8206</v>
      </c>
      <c r="E769" s="48" t="s">
        <v>8203</v>
      </c>
      <c r="F769" s="48" t="s">
        <v>7173</v>
      </c>
      <c r="G769" s="49">
        <f t="array" ref="G769">MAX(IF(INSTOCK!$H$3:$H$6125=B769,INSTOCK!$K$3:$K$6125))</f>
        <v>15.84</v>
      </c>
      <c r="H769" s="50">
        <f t="array" ref="H769">SUM(IF(INSTOCK!$H$3:$H$6125=B769,INSTOCK!$I$3:$I$6125))</f>
        <v>20</v>
      </c>
      <c r="I769" s="50" t="str">
        <f>ARRAY_CONSTRAIN(ARRAYFORMULA(SUM(IF([3]!Table13[ID]=B769,[3]!Table13[QTY]))), 1, 1)</f>
        <v>#ERROR!</v>
      </c>
      <c r="J769" s="50" t="str">
        <f>TABLEITEM!$H$3:$H$2749-TABLEITEM!$I$3:$I$2749</f>
        <v>#ERROR!</v>
      </c>
    </row>
    <row r="770" ht="15.75" customHeight="1">
      <c r="A770" s="45"/>
      <c r="B770" s="10" t="s">
        <v>3189</v>
      </c>
      <c r="C770" s="26"/>
      <c r="D770" s="10" t="s">
        <v>8207</v>
      </c>
      <c r="E770" s="48"/>
      <c r="F770" s="48" t="s">
        <v>8163</v>
      </c>
      <c r="G770" s="49">
        <f t="array" ref="G770">MAX(IF(INSTOCK!$H$3:$H$6125=B770,INSTOCK!$K$3:$K$6125))</f>
        <v>250</v>
      </c>
      <c r="H770" s="50">
        <f t="array" ref="H770">SUM(IF(INSTOCK!$H$3:$H$6125=B770,INSTOCK!$I$3:$I$6125))</f>
        <v>5</v>
      </c>
      <c r="I770" s="50" t="str">
        <f>ARRAY_CONSTRAIN(ARRAYFORMULA(SUM(IF([3]!Table13[ID]=B770,[3]!Table13[QTY]))), 1, 1)</f>
        <v>#ERROR!</v>
      </c>
      <c r="J770" s="50" t="str">
        <f>TABLEITEM!$H$3:$H$2749-TABLEITEM!$I$3:$I$2749</f>
        <v>#ERROR!</v>
      </c>
    </row>
    <row r="771" ht="15.75" customHeight="1">
      <c r="A771" s="45"/>
      <c r="B771" s="10" t="s">
        <v>8208</v>
      </c>
      <c r="C771" s="26"/>
      <c r="D771" s="10" t="s">
        <v>8209</v>
      </c>
      <c r="E771" s="48" t="s">
        <v>7437</v>
      </c>
      <c r="F771" s="48" t="s">
        <v>7173</v>
      </c>
      <c r="G771" s="49">
        <f t="array" ref="G771">MAX(IF(INSTOCK!$H$3:$H$6125=B771,INSTOCK!$K$3:$K$6125))</f>
        <v>0</v>
      </c>
      <c r="H771" s="50">
        <f t="array" ref="H771">SUM(IF(INSTOCK!$H$3:$H$6125=B771,INSTOCK!$I$3:$I$6125))</f>
        <v>0</v>
      </c>
      <c r="I771" s="50" t="str">
        <f>ARRAY_CONSTRAIN(ARRAYFORMULA(SUM(IF([3]!Table13[ID]=B771,[3]!Table13[QTY]))), 1, 1)</f>
        <v>#ERROR!</v>
      </c>
      <c r="J771" s="50" t="str">
        <f>TABLEITEM!$H$3:$H$2749-TABLEITEM!$I$3:$I$2749</f>
        <v>#ERROR!</v>
      </c>
    </row>
    <row r="772" ht="15.75" customHeight="1">
      <c r="A772" s="45"/>
      <c r="B772" s="10" t="s">
        <v>2971</v>
      </c>
      <c r="C772" s="26"/>
      <c r="D772" s="10" t="s">
        <v>8210</v>
      </c>
      <c r="E772" s="48"/>
      <c r="F772" s="48" t="s">
        <v>7173</v>
      </c>
      <c r="G772" s="49">
        <f t="array" ref="G772">MAX(IF(INSTOCK!$H$3:$H$6125=B772,INSTOCK!$K$3:$K$6125))</f>
        <v>488</v>
      </c>
      <c r="H772" s="50">
        <f t="array" ref="H772">SUM(IF(INSTOCK!$H$3:$H$6125=B772,INSTOCK!$I$3:$I$6125))</f>
        <v>146.88</v>
      </c>
      <c r="I772" s="50" t="str">
        <f>ARRAY_CONSTRAIN(ARRAYFORMULA(SUM(IF([3]!Table13[ID]=B772,[3]!Table13[QTY]))), 1, 1)</f>
        <v>#ERROR!</v>
      </c>
      <c r="J772" s="50" t="str">
        <f>TABLEITEM!$H$3:$H$2749-TABLEITEM!$I$3:$I$2749</f>
        <v>#ERROR!</v>
      </c>
    </row>
    <row r="773" ht="15.75" customHeight="1">
      <c r="A773" s="45">
        <v>137.0</v>
      </c>
      <c r="B773" s="10" t="s">
        <v>18</v>
      </c>
      <c r="C773" s="26"/>
      <c r="D773" s="10" t="s">
        <v>740</v>
      </c>
      <c r="E773" s="48" t="s">
        <v>8114</v>
      </c>
      <c r="F773" s="48" t="s">
        <v>7173</v>
      </c>
      <c r="G773" s="49">
        <f t="array" ref="G773">MAX(IF(INSTOCK!$H$3:$H$6125=B773,INSTOCK!$K$3:$K$6125))</f>
        <v>2.5</v>
      </c>
      <c r="H773" s="50">
        <f t="array" ref="H773">SUM(IF(INSTOCK!$H$3:$H$6125=B773,INSTOCK!$I$3:$I$6125))</f>
        <v>1995</v>
      </c>
      <c r="I773" s="50" t="str">
        <f>ARRAY_CONSTRAIN(ARRAYFORMULA(SUM(IF([3]!Table13[ID]=B773,[3]!Table13[QTY]))), 1, 1)</f>
        <v>#ERROR!</v>
      </c>
      <c r="J773" s="50" t="str">
        <f>TABLEITEM!$H$3:$H$2749-TABLEITEM!$I$3:$I$2749</f>
        <v>#ERROR!</v>
      </c>
    </row>
    <row r="774" ht="15.75" customHeight="1">
      <c r="A774" s="45"/>
      <c r="B774" s="10" t="s">
        <v>2677</v>
      </c>
      <c r="C774" s="26"/>
      <c r="D774" s="10" t="s">
        <v>8211</v>
      </c>
      <c r="E774" s="48"/>
      <c r="F774" s="48" t="s">
        <v>7173</v>
      </c>
      <c r="G774" s="49">
        <f t="array" ref="G774">MAX(IF(INSTOCK!$H$3:$H$6125=B774,INSTOCK!$K$3:$K$6125))</f>
        <v>80</v>
      </c>
      <c r="H774" s="50">
        <f t="array" ref="H774">SUM(IF(INSTOCK!$H$3:$H$6125=B774,INSTOCK!$I$3:$I$6125))</f>
        <v>24</v>
      </c>
      <c r="I774" s="50" t="str">
        <f>ARRAY_CONSTRAIN(ARRAYFORMULA(SUM(IF([3]!Table13[ID]=B774,[3]!Table13[QTY]))), 1, 1)</f>
        <v>#ERROR!</v>
      </c>
      <c r="J774" s="50" t="str">
        <f>TABLEITEM!$H$3:$H$2749-TABLEITEM!$I$3:$I$2749</f>
        <v>#ERROR!</v>
      </c>
    </row>
    <row r="775" ht="15.75" customHeight="1">
      <c r="A775" s="45"/>
      <c r="B775" s="10" t="s">
        <v>1680</v>
      </c>
      <c r="C775" s="26"/>
      <c r="D775" s="10" t="s">
        <v>8212</v>
      </c>
      <c r="E775" s="48"/>
      <c r="F775" s="48" t="s">
        <v>7173</v>
      </c>
      <c r="G775" s="49">
        <f t="array" ref="G775">MAX(IF(INSTOCK!$H$3:$H$6125=B775,INSTOCK!$K$3:$K$6125))</f>
        <v>60</v>
      </c>
      <c r="H775" s="50">
        <f t="array" ref="H775">SUM(IF(INSTOCK!$H$3:$H$6125=B775,INSTOCK!$I$3:$I$6125))</f>
        <v>8</v>
      </c>
      <c r="I775" s="50" t="str">
        <f>ARRAY_CONSTRAIN(ARRAYFORMULA(SUM(IF([3]!Table13[ID]=B775,[3]!Table13[QTY]))), 1, 1)</f>
        <v>#ERROR!</v>
      </c>
      <c r="J775" s="50" t="str">
        <f>TABLEITEM!$H$3:$H$2749-TABLEITEM!$I$3:$I$2749</f>
        <v>#ERROR!</v>
      </c>
    </row>
    <row r="776" ht="15.75" customHeight="1">
      <c r="A776" s="45"/>
      <c r="B776" s="10" t="s">
        <v>1548</v>
      </c>
      <c r="C776" s="26"/>
      <c r="D776" s="10" t="s">
        <v>8213</v>
      </c>
      <c r="E776" s="48" t="s">
        <v>1546</v>
      </c>
      <c r="F776" s="48" t="s">
        <v>7173</v>
      </c>
      <c r="G776" s="49">
        <f t="array" ref="G776">MAX(IF(INSTOCK!$H$3:$H$6125=B776,INSTOCK!$K$3:$K$6125))</f>
        <v>150</v>
      </c>
      <c r="H776" s="50">
        <f t="array" ref="H776">SUM(IF(INSTOCK!$H$3:$H$6125=B776,INSTOCK!$I$3:$I$6125))</f>
        <v>2</v>
      </c>
      <c r="I776" s="50" t="str">
        <f>ARRAY_CONSTRAIN(ARRAYFORMULA(SUM(IF([3]!Table13[ID]=B776,[3]!Table13[QTY]))), 1, 1)</f>
        <v>#ERROR!</v>
      </c>
      <c r="J776" s="50" t="str">
        <f>TABLEITEM!$H$3:$H$2749-TABLEITEM!$I$3:$I$2749</f>
        <v>#ERROR!</v>
      </c>
    </row>
    <row r="777" ht="15.75" customHeight="1">
      <c r="A777" s="45"/>
      <c r="B777" s="10" t="s">
        <v>1672</v>
      </c>
      <c r="C777" s="26"/>
      <c r="D777" s="10" t="s">
        <v>8214</v>
      </c>
      <c r="E777" s="48" t="s">
        <v>7647</v>
      </c>
      <c r="F777" s="56" t="s">
        <v>8129</v>
      </c>
      <c r="G777" s="49">
        <f t="array" ref="G777">MAX(IF(INSTOCK!$H$3:$H$6125=B777,INSTOCK!$K$3:$K$6125))</f>
        <v>150</v>
      </c>
      <c r="H777" s="50">
        <f t="array" ref="H777">SUM(IF(INSTOCK!$H$3:$H$6125=B777,INSTOCK!$I$3:$I$6125))</f>
        <v>120</v>
      </c>
      <c r="I777" s="50" t="str">
        <f>ARRAY_CONSTRAIN(ARRAYFORMULA(SUM(IF([3]!Table13[ID]=B777,[3]!Table13[QTY]))), 1, 1)</f>
        <v>#ERROR!</v>
      </c>
      <c r="J777" s="50" t="str">
        <f>TABLEITEM!$H$3:$H$2749-TABLEITEM!$I$3:$I$2749</f>
        <v>#ERROR!</v>
      </c>
    </row>
    <row r="778" ht="15.75" customHeight="1">
      <c r="A778" s="45"/>
      <c r="B778" s="10" t="s">
        <v>2310</v>
      </c>
      <c r="C778" s="26"/>
      <c r="D778" s="10" t="s">
        <v>8215</v>
      </c>
      <c r="E778" s="48" t="s">
        <v>8216</v>
      </c>
      <c r="F778" s="4" t="s">
        <v>7173</v>
      </c>
      <c r="G778" s="49">
        <f t="array" ref="G778">MAX(IF(INSTOCK!$H$3:$H$6125=B778,INSTOCK!$K$3:$K$6125))</f>
        <v>550</v>
      </c>
      <c r="H778" s="50">
        <f t="array" ref="H778">SUM(IF(INSTOCK!$H$3:$H$6125=B778,INSTOCK!$I$3:$I$6125))</f>
        <v>12</v>
      </c>
      <c r="I778" s="50" t="str">
        <f>ARRAY_CONSTRAIN(ARRAYFORMULA(SUM(IF([3]!Table13[ID]=B778,[3]!Table13[QTY]))), 1, 1)</f>
        <v>#ERROR!</v>
      </c>
      <c r="J778" s="50" t="str">
        <f>TABLEITEM!$H$3:$H$2749-TABLEITEM!$I$3:$I$2749</f>
        <v>#ERROR!</v>
      </c>
    </row>
    <row r="779" ht="15.75" customHeight="1">
      <c r="A779" s="45">
        <v>293.0</v>
      </c>
      <c r="B779" s="10" t="s">
        <v>174</v>
      </c>
      <c r="C779" s="26"/>
      <c r="D779" s="10" t="s">
        <v>8217</v>
      </c>
      <c r="E779" s="48" t="s">
        <v>7172</v>
      </c>
      <c r="F779" s="48" t="s">
        <v>7173</v>
      </c>
      <c r="G779" s="49">
        <f t="array" ref="G779">MAX(IF(INSTOCK!$H$3:$H$6125=B779,INSTOCK!$K$3:$K$6125))</f>
        <v>3</v>
      </c>
      <c r="H779" s="50">
        <f t="array" ref="H779">SUM(IF(INSTOCK!$H$3:$H$6125=B779,INSTOCK!$I$3:$I$6125))</f>
        <v>1200</v>
      </c>
      <c r="I779" s="50" t="str">
        <f>ARRAY_CONSTRAIN(ARRAYFORMULA(SUM(IF([3]!Table13[ID]=B779,[3]!Table13[QTY]))), 1, 1)</f>
        <v>#ERROR!</v>
      </c>
      <c r="J779" s="50" t="str">
        <f>TABLEITEM!$H$3:$H$2749-TABLEITEM!$I$3:$I$2749</f>
        <v>#ERROR!</v>
      </c>
    </row>
    <row r="780" ht="15.75" customHeight="1">
      <c r="A780" s="45">
        <v>292.0</v>
      </c>
      <c r="B780" s="10" t="s">
        <v>173</v>
      </c>
      <c r="C780" s="26"/>
      <c r="D780" s="10" t="s">
        <v>1153</v>
      </c>
      <c r="E780" s="48" t="s">
        <v>7172</v>
      </c>
      <c r="F780" s="48" t="s">
        <v>7173</v>
      </c>
      <c r="G780" s="49">
        <f t="array" ref="G780">MAX(IF(INSTOCK!$H$3:$H$6125=B780,INSTOCK!$K$3:$K$6125))</f>
        <v>2</v>
      </c>
      <c r="H780" s="50">
        <f t="array" ref="H780">SUM(IF(INSTOCK!$H$3:$H$6125=B780,INSTOCK!$I$3:$I$6125))</f>
        <v>8700</v>
      </c>
      <c r="I780" s="50" t="str">
        <f>ARRAY_CONSTRAIN(ARRAYFORMULA(SUM(IF([3]!Table13[ID]=B780,[3]!Table13[QTY]))), 1, 1)</f>
        <v>#ERROR!</v>
      </c>
      <c r="J780" s="50" t="str">
        <f>TABLEITEM!$H$3:$H$2749-TABLEITEM!$I$3:$I$2749</f>
        <v>#ERROR!</v>
      </c>
    </row>
    <row r="781" ht="15.75" customHeight="1">
      <c r="A781" s="45">
        <v>294.0</v>
      </c>
      <c r="B781" s="10" t="s">
        <v>175</v>
      </c>
      <c r="C781" s="26"/>
      <c r="D781" s="10" t="s">
        <v>8218</v>
      </c>
      <c r="E781" s="48" t="s">
        <v>7172</v>
      </c>
      <c r="F781" s="48" t="s">
        <v>7173</v>
      </c>
      <c r="G781" s="49">
        <f t="array" ref="G781">MAX(IF(INSTOCK!$H$3:$H$6125=B781,INSTOCK!$K$3:$K$6125))</f>
        <v>1.68</v>
      </c>
      <c r="H781" s="50">
        <f t="array" ref="H781">SUM(IF(INSTOCK!$H$3:$H$6125=B781,INSTOCK!$I$3:$I$6125))</f>
        <v>700</v>
      </c>
      <c r="I781" s="50" t="str">
        <f>ARRAY_CONSTRAIN(ARRAYFORMULA(SUM(IF([3]!Table13[ID]=B781,[3]!Table13[QTY]))), 1, 1)</f>
        <v>#ERROR!</v>
      </c>
      <c r="J781" s="50" t="str">
        <f>TABLEITEM!$H$3:$H$2749-TABLEITEM!$I$3:$I$2749</f>
        <v>#ERROR!</v>
      </c>
    </row>
    <row r="782" ht="15.75" customHeight="1">
      <c r="A782" s="45">
        <v>254.0</v>
      </c>
      <c r="B782" s="10" t="s">
        <v>135</v>
      </c>
      <c r="C782" s="26"/>
      <c r="D782" s="10" t="s">
        <v>8219</v>
      </c>
      <c r="E782" s="48" t="s">
        <v>8092</v>
      </c>
      <c r="F782" s="48" t="s">
        <v>7173</v>
      </c>
      <c r="G782" s="49">
        <f t="array" ref="G782">MAX(IF(INSTOCK!$H$3:$H$6125=B782,INSTOCK!$K$3:$K$6125))</f>
        <v>0</v>
      </c>
      <c r="H782" s="50">
        <f t="array" ref="H782">SUM(IF(INSTOCK!$H$3:$H$6125=B782,INSTOCK!$I$3:$I$6125))</f>
        <v>59</v>
      </c>
      <c r="I782" s="50" t="str">
        <f>ARRAY_CONSTRAIN(ARRAYFORMULA(SUM(IF([3]!Table13[ID]=B782,[3]!Table13[QTY]))), 1, 1)</f>
        <v>#ERROR!</v>
      </c>
      <c r="J782" s="50" t="str">
        <f>TABLEITEM!$H$3:$H$2749-TABLEITEM!$I$3:$I$2749</f>
        <v>#ERROR!</v>
      </c>
    </row>
    <row r="783" ht="15.75" customHeight="1">
      <c r="A783" s="45"/>
      <c r="B783" s="10" t="s">
        <v>3242</v>
      </c>
      <c r="C783" s="26"/>
      <c r="D783" s="10" t="s">
        <v>8220</v>
      </c>
      <c r="E783" s="48" t="s">
        <v>8221</v>
      </c>
      <c r="F783" s="48" t="s">
        <v>7173</v>
      </c>
      <c r="G783" s="49">
        <f t="array" ref="G783">MAX(IF(INSTOCK!$H$3:$H$6125=B783,INSTOCK!$K$3:$K$6125))</f>
        <v>884.8</v>
      </c>
      <c r="H783" s="50">
        <f t="array" ref="H783">SUM(IF(INSTOCK!$H$3:$H$6125=B783,INSTOCK!$I$3:$I$6125))</f>
        <v>4</v>
      </c>
      <c r="I783" s="50" t="str">
        <f>ARRAY_CONSTRAIN(ARRAYFORMULA(SUM(IF([3]!Table13[ID]=B783,[3]!Table13[QTY]))), 1, 1)</f>
        <v>#ERROR!</v>
      </c>
      <c r="J783" s="50" t="str">
        <f>TABLEITEM!$H$3:$H$2749-TABLEITEM!$I$3:$I$2749</f>
        <v>#ERROR!</v>
      </c>
    </row>
    <row r="784" ht="15.75" customHeight="1">
      <c r="A784" s="45"/>
      <c r="B784" s="10" t="s">
        <v>3256</v>
      </c>
      <c r="C784" s="26"/>
      <c r="D784" s="10" t="s">
        <v>8222</v>
      </c>
      <c r="E784" s="48"/>
      <c r="F784" s="48" t="s">
        <v>8080</v>
      </c>
      <c r="G784" s="49">
        <f t="array" ref="G784">MAX(IF(INSTOCK!$H$3:$H$6125=B784,INSTOCK!$K$3:$K$6125))</f>
        <v>9</v>
      </c>
      <c r="H784" s="50">
        <f t="array" ref="H784">SUM(IF(INSTOCK!$H$3:$H$6125=B784,INSTOCK!$I$3:$I$6125))</f>
        <v>6</v>
      </c>
      <c r="I784" s="50" t="str">
        <f>ARRAY_CONSTRAIN(ARRAYFORMULA(SUM(IF([3]!Table13[ID]=B784,[3]!Table13[QTY]))), 1, 1)</f>
        <v>#ERROR!</v>
      </c>
      <c r="J784" s="50" t="str">
        <f>TABLEITEM!$H$3:$H$2749-TABLEITEM!$I$3:$I$2749</f>
        <v>#ERROR!</v>
      </c>
    </row>
    <row r="785" ht="15.75" customHeight="1">
      <c r="A785" s="45"/>
      <c r="B785" s="10" t="s">
        <v>2583</v>
      </c>
      <c r="C785" s="26"/>
      <c r="D785" s="10" t="s">
        <v>8223</v>
      </c>
      <c r="E785" s="48"/>
      <c r="F785" s="48" t="s">
        <v>7173</v>
      </c>
      <c r="G785" s="49">
        <f t="array" ref="G785">MAX(IF(INSTOCK!$H$3:$H$6125=B785,INSTOCK!$K$3:$K$6125))</f>
        <v>2400</v>
      </c>
      <c r="H785" s="50">
        <f t="array" ref="H785">SUM(IF(INSTOCK!$H$3:$H$6125=B785,INSTOCK!$I$3:$I$6125))</f>
        <v>3</v>
      </c>
      <c r="I785" s="50" t="str">
        <f>ARRAY_CONSTRAIN(ARRAYFORMULA(SUM(IF([3]!Table13[ID]=B785,[3]!Table13[QTY]))), 1, 1)</f>
        <v>#ERROR!</v>
      </c>
      <c r="J785" s="50" t="str">
        <f>TABLEITEM!$H$3:$H$2749-TABLEITEM!$I$3:$I$2749</f>
        <v>#ERROR!</v>
      </c>
    </row>
    <row r="786" ht="15.75" customHeight="1">
      <c r="A786" s="45"/>
      <c r="B786" s="10" t="s">
        <v>4681</v>
      </c>
      <c r="C786" s="26"/>
      <c r="D786" s="10" t="s">
        <v>8224</v>
      </c>
      <c r="E786" s="48" t="s">
        <v>7760</v>
      </c>
      <c r="F786" s="48" t="s">
        <v>7173</v>
      </c>
      <c r="G786" s="49">
        <f t="array" ref="G786">MAX(IF(INSTOCK!$H$3:$H$6125=B786,INSTOCK!$K$3:$K$6125))</f>
        <v>50</v>
      </c>
      <c r="H786" s="50">
        <f t="array" ref="H786">SUM(IF(INSTOCK!$H$3:$H$6125=B786,INSTOCK!$I$3:$I$6125))</f>
        <v>6</v>
      </c>
      <c r="I786" s="50" t="str">
        <f>ARRAY_CONSTRAIN(ARRAYFORMULA(SUM(IF([3]!Table13[ID]=B786,[3]!Table13[QTY]))), 1, 1)</f>
        <v>#ERROR!</v>
      </c>
      <c r="J786" s="50" t="str">
        <f>TABLEITEM!$H$3:$H$2749-TABLEITEM!$I$3:$I$2749</f>
        <v>#ERROR!</v>
      </c>
    </row>
    <row r="787" ht="15.75" customHeight="1">
      <c r="A787" s="45"/>
      <c r="B787" s="10" t="s">
        <v>3255</v>
      </c>
      <c r="C787" s="26"/>
      <c r="D787" s="10" t="s">
        <v>8225</v>
      </c>
      <c r="E787" s="48"/>
      <c r="F787" s="48" t="s">
        <v>7173</v>
      </c>
      <c r="G787" s="49">
        <f t="array" ref="G787">MAX(IF(INSTOCK!$H$3:$H$6125=B787,INSTOCK!$K$3:$K$6125))</f>
        <v>150</v>
      </c>
      <c r="H787" s="50">
        <f t="array" ref="H787">SUM(IF(INSTOCK!$H$3:$H$6125=B787,INSTOCK!$I$3:$I$6125))</f>
        <v>1</v>
      </c>
      <c r="I787" s="50" t="str">
        <f>ARRAY_CONSTRAIN(ARRAYFORMULA(SUM(IF([3]!Table13[ID]=B787,[3]!Table13[QTY]))), 1, 1)</f>
        <v>#ERROR!</v>
      </c>
      <c r="J787" s="50" t="str">
        <f>TABLEITEM!$H$3:$H$2749-TABLEITEM!$I$3:$I$2749</f>
        <v>#ERROR!</v>
      </c>
    </row>
    <row r="788" ht="15.75" customHeight="1">
      <c r="A788" s="45"/>
      <c r="B788" s="10" t="s">
        <v>1991</v>
      </c>
      <c r="C788" s="26"/>
      <c r="D788" s="10" t="s">
        <v>8226</v>
      </c>
      <c r="E788" s="48"/>
      <c r="F788" s="48" t="s">
        <v>7173</v>
      </c>
      <c r="G788" s="49">
        <f t="array" ref="G788">MAX(IF(INSTOCK!$H$3:$H$6125=B788,INSTOCK!$K$3:$K$6125))</f>
        <v>8.5</v>
      </c>
      <c r="H788" s="50">
        <f t="array" ref="H788">SUM(IF(INSTOCK!$H$3:$H$6125=B788,INSTOCK!$I$3:$I$6125))</f>
        <v>156</v>
      </c>
      <c r="I788" s="50" t="str">
        <f>ARRAY_CONSTRAIN(ARRAYFORMULA(SUM(IF([3]!Table13[ID]=B788,[3]!Table13[QTY]))), 1, 1)</f>
        <v>#ERROR!</v>
      </c>
      <c r="J788" s="50" t="str">
        <f>TABLEITEM!$H$3:$H$2749-TABLEITEM!$I$3:$I$2749</f>
        <v>#ERROR!</v>
      </c>
    </row>
    <row r="789" ht="15.75" customHeight="1">
      <c r="A789" s="45"/>
      <c r="B789" s="10" t="s">
        <v>4173</v>
      </c>
      <c r="C789" s="26"/>
      <c r="D789" s="10" t="s">
        <v>8227</v>
      </c>
      <c r="E789" s="48" t="s">
        <v>7760</v>
      </c>
      <c r="F789" s="48" t="s">
        <v>7173</v>
      </c>
      <c r="G789" s="49">
        <f t="array" ref="G789">MAX(IF(INSTOCK!$H$3:$H$6125=B789,INSTOCK!$K$3:$K$6125))</f>
        <v>23</v>
      </c>
      <c r="H789" s="50">
        <f t="array" ref="H789">SUM(IF(INSTOCK!$H$3:$H$6125=B789,INSTOCK!$I$3:$I$6125))</f>
        <v>1</v>
      </c>
      <c r="I789" s="50" t="str">
        <f>ARRAY_CONSTRAIN(ARRAYFORMULA(SUM(IF([3]!Table13[ID]=B789,[3]!Table13[QTY]))), 1, 1)</f>
        <v>#ERROR!</v>
      </c>
      <c r="J789" s="50" t="str">
        <f>TABLEITEM!$H$3:$H$2749-TABLEITEM!$I$3:$I$2749</f>
        <v>#ERROR!</v>
      </c>
    </row>
    <row r="790" ht="15.75" customHeight="1">
      <c r="A790" s="45"/>
      <c r="B790" s="10" t="s">
        <v>4524</v>
      </c>
      <c r="C790" s="26"/>
      <c r="D790" s="10" t="s">
        <v>8228</v>
      </c>
      <c r="E790" s="48" t="s">
        <v>7760</v>
      </c>
      <c r="F790" s="48" t="s">
        <v>7173</v>
      </c>
      <c r="G790" s="49">
        <f t="array" ref="G790">MAX(IF(INSTOCK!$H$3:$H$6125=B790,INSTOCK!$K$3:$K$6125))</f>
        <v>39</v>
      </c>
      <c r="H790" s="50">
        <f t="array" ref="H790">SUM(IF(INSTOCK!$H$3:$H$6125=B790,INSTOCK!$I$3:$I$6125))</f>
        <v>5</v>
      </c>
      <c r="I790" s="50" t="str">
        <f>ARRAY_CONSTRAIN(ARRAYFORMULA(SUM(IF([3]!Table13[ID]=B790,[3]!Table13[QTY]))), 1, 1)</f>
        <v>#ERROR!</v>
      </c>
      <c r="J790" s="50" t="str">
        <f>TABLEITEM!$H$3:$H$2749-TABLEITEM!$I$3:$I$2749</f>
        <v>#ERROR!</v>
      </c>
    </row>
    <row r="791" ht="15.75" customHeight="1">
      <c r="A791" s="45"/>
      <c r="B791" s="10" t="s">
        <v>2895</v>
      </c>
      <c r="C791" s="26"/>
      <c r="D791" s="10" t="s">
        <v>8229</v>
      </c>
      <c r="E791" s="48"/>
      <c r="F791" s="48" t="s">
        <v>7173</v>
      </c>
      <c r="G791" s="49">
        <f t="array" ref="G791">MAX(IF(INSTOCK!$H$3:$H$6125=B791,INSTOCK!$K$3:$K$6125))</f>
        <v>22</v>
      </c>
      <c r="H791" s="50">
        <f t="array" ref="H791">SUM(IF(INSTOCK!$H$3:$H$6125=B791,INSTOCK!$I$3:$I$6125))</f>
        <v>6</v>
      </c>
      <c r="I791" s="50" t="str">
        <f>ARRAY_CONSTRAIN(ARRAYFORMULA(SUM(IF([3]!Table13[ID]=B791,[3]!Table13[QTY]))), 1, 1)</f>
        <v>#ERROR!</v>
      </c>
      <c r="J791" s="50" t="str">
        <f>TABLEITEM!$H$3:$H$2749-TABLEITEM!$I$3:$I$2749</f>
        <v>#ERROR!</v>
      </c>
    </row>
    <row r="792" ht="15.75" customHeight="1">
      <c r="A792" s="45"/>
      <c r="B792" s="10" t="s">
        <v>1996</v>
      </c>
      <c r="C792" s="26"/>
      <c r="D792" s="10" t="s">
        <v>8230</v>
      </c>
      <c r="E792" s="48"/>
      <c r="F792" s="48" t="s">
        <v>7173</v>
      </c>
      <c r="G792" s="49">
        <f t="array" ref="G792">MAX(IF(INSTOCK!$H$3:$H$6125=B792,INSTOCK!$K$3:$K$6125))</f>
        <v>14</v>
      </c>
      <c r="H792" s="50">
        <f t="array" ref="H792">SUM(IF(INSTOCK!$H$3:$H$6125=B792,INSTOCK!$I$3:$I$6125))</f>
        <v>6</v>
      </c>
      <c r="I792" s="50" t="str">
        <f>ARRAY_CONSTRAIN(ARRAYFORMULA(SUM(IF([3]!Table13[ID]=B792,[3]!Table13[QTY]))), 1, 1)</f>
        <v>#ERROR!</v>
      </c>
      <c r="J792" s="50" t="str">
        <f>TABLEITEM!$H$3:$H$2749-TABLEITEM!$I$3:$I$2749</f>
        <v>#ERROR!</v>
      </c>
    </row>
    <row r="793" ht="15.75" customHeight="1">
      <c r="A793" s="45"/>
      <c r="B793" s="10" t="s">
        <v>1544</v>
      </c>
      <c r="C793" s="26"/>
      <c r="D793" s="10" t="s">
        <v>8231</v>
      </c>
      <c r="E793" s="48" t="s">
        <v>1545</v>
      </c>
      <c r="F793" s="48" t="s">
        <v>7173</v>
      </c>
      <c r="G793" s="49">
        <f t="array" ref="G793">MAX(IF(INSTOCK!$H$3:$H$6125=B793,INSTOCK!$K$3:$K$6125))</f>
        <v>7500</v>
      </c>
      <c r="H793" s="50">
        <f t="array" ref="H793">SUM(IF(INSTOCK!$H$3:$H$6125=B793,INSTOCK!$I$3:$I$6125))</f>
        <v>1</v>
      </c>
      <c r="I793" s="50" t="str">
        <f>ARRAY_CONSTRAIN(ARRAYFORMULA(SUM(IF([3]!Table13[ID]=B793,[3]!Table13[QTY]))), 1, 1)</f>
        <v>#ERROR!</v>
      </c>
      <c r="J793" s="50" t="str">
        <f>TABLEITEM!$H$3:$H$2749-TABLEITEM!$I$3:$I$2749</f>
        <v>#ERROR!</v>
      </c>
    </row>
    <row r="794" ht="15.75" customHeight="1">
      <c r="A794" s="45"/>
      <c r="B794" s="10" t="s">
        <v>1534</v>
      </c>
      <c r="C794" s="26"/>
      <c r="D794" s="10" t="s">
        <v>8232</v>
      </c>
      <c r="E794" s="48" t="s">
        <v>8203</v>
      </c>
      <c r="F794" s="48" t="s">
        <v>7173</v>
      </c>
      <c r="G794" s="49">
        <f t="array" ref="G794">MAX(IF(INSTOCK!$H$3:$H$6125=B794,INSTOCK!$K$3:$K$6125))</f>
        <v>114.31</v>
      </c>
      <c r="H794" s="50">
        <f t="array" ref="H794">SUM(IF(INSTOCK!$H$3:$H$6125=B794,INSTOCK!$I$3:$I$6125))</f>
        <v>10</v>
      </c>
      <c r="I794" s="50" t="str">
        <f>ARRAY_CONSTRAIN(ARRAYFORMULA(SUM(IF([3]!Table13[ID]=B794,[3]!Table13[QTY]))), 1, 1)</f>
        <v>#ERROR!</v>
      </c>
      <c r="J794" s="50" t="str">
        <f>TABLEITEM!$H$3:$H$2749-TABLEITEM!$I$3:$I$2749</f>
        <v>#ERROR!</v>
      </c>
    </row>
    <row r="795" ht="15.75" customHeight="1">
      <c r="A795" s="45"/>
      <c r="B795" s="10" t="s">
        <v>1739</v>
      </c>
      <c r="C795" s="26"/>
      <c r="D795" s="10" t="s">
        <v>8233</v>
      </c>
      <c r="E795" s="48" t="s">
        <v>8203</v>
      </c>
      <c r="F795" s="48" t="s">
        <v>7173</v>
      </c>
      <c r="G795" s="49">
        <f t="array" ref="G795">MAX(IF(INSTOCK!$H$3:$H$6125=B795,INSTOCK!$K$3:$K$6125))</f>
        <v>190.12</v>
      </c>
      <c r="H795" s="50">
        <f t="array" ref="H795">SUM(IF(INSTOCK!$H$3:$H$6125=B795,INSTOCK!$I$3:$I$6125))</f>
        <v>192</v>
      </c>
      <c r="I795" s="50" t="str">
        <f>ARRAY_CONSTRAIN(ARRAYFORMULA(SUM(IF([3]!Table13[ID]=B795,[3]!Table13[QTY]))), 1, 1)</f>
        <v>#ERROR!</v>
      </c>
      <c r="J795" s="50" t="str">
        <f>TABLEITEM!$H$3:$H$2749-TABLEITEM!$I$3:$I$2749</f>
        <v>#ERROR!</v>
      </c>
    </row>
    <row r="796" ht="15.75" customHeight="1">
      <c r="A796" s="45">
        <v>515.0</v>
      </c>
      <c r="B796" s="10" t="s">
        <v>400</v>
      </c>
      <c r="C796" s="26"/>
      <c r="D796" s="10" t="s">
        <v>8234</v>
      </c>
      <c r="E796" s="48" t="s">
        <v>8235</v>
      </c>
      <c r="F796" s="48" t="s">
        <v>7173</v>
      </c>
      <c r="G796" s="49">
        <f t="array" ref="G796">MAX(IF(INSTOCK!$H$3:$H$6125=B796,INSTOCK!$K$3:$K$6125))</f>
        <v>3.96</v>
      </c>
      <c r="H796" s="50">
        <f t="array" ref="H796">SUM(IF(INSTOCK!$H$3:$H$6125=B796,INSTOCK!$I$3:$I$6125))</f>
        <v>134</v>
      </c>
      <c r="I796" s="50" t="str">
        <f>ARRAY_CONSTRAIN(ARRAYFORMULA(SUM(IF([3]!Table13[ID]=B796,[3]!Table13[QTY]))), 1, 1)</f>
        <v>#ERROR!</v>
      </c>
      <c r="J796" s="50" t="str">
        <f>TABLEITEM!$H$3:$H$2749-TABLEITEM!$I$3:$I$2749</f>
        <v>#ERROR!</v>
      </c>
    </row>
    <row r="797" ht="15.75" customHeight="1">
      <c r="A797" s="45">
        <v>516.0</v>
      </c>
      <c r="B797" s="10" t="s">
        <v>401</v>
      </c>
      <c r="C797" s="26"/>
      <c r="D797" s="10" t="s">
        <v>8236</v>
      </c>
      <c r="E797" s="48" t="s">
        <v>8235</v>
      </c>
      <c r="F797" s="48" t="s">
        <v>7173</v>
      </c>
      <c r="G797" s="49">
        <f t="array" ref="G797">MAX(IF(INSTOCK!$H$3:$H$6125=B797,INSTOCK!$K$3:$K$6125))</f>
        <v>3.96</v>
      </c>
      <c r="H797" s="50">
        <f t="array" ref="H797">SUM(IF(INSTOCK!$H$3:$H$6125=B797,INSTOCK!$I$3:$I$6125))</f>
        <v>63</v>
      </c>
      <c r="I797" s="50" t="str">
        <f>ARRAY_CONSTRAIN(ARRAYFORMULA(SUM(IF([3]!Table13[ID]=B797,[3]!Table13[QTY]))), 1, 1)</f>
        <v>#ERROR!</v>
      </c>
      <c r="J797" s="50" t="str">
        <f>TABLEITEM!$H$3:$H$2749-TABLEITEM!$I$3:$I$2749</f>
        <v>#ERROR!</v>
      </c>
    </row>
    <row r="798" ht="15.75" customHeight="1">
      <c r="A798" s="45">
        <v>514.0</v>
      </c>
      <c r="B798" s="10" t="s">
        <v>399</v>
      </c>
      <c r="C798" s="26"/>
      <c r="D798" s="10" t="s">
        <v>8237</v>
      </c>
      <c r="E798" s="48" t="s">
        <v>8235</v>
      </c>
      <c r="F798" s="48" t="s">
        <v>7173</v>
      </c>
      <c r="G798" s="49">
        <f t="array" ref="G798">MAX(IF(INSTOCK!$H$3:$H$6125=B798,INSTOCK!$K$3:$K$6125))</f>
        <v>3.96</v>
      </c>
      <c r="H798" s="50">
        <f t="array" ref="H798">SUM(IF(INSTOCK!$H$3:$H$6125=B798,INSTOCK!$I$3:$I$6125))</f>
        <v>162</v>
      </c>
      <c r="I798" s="50" t="str">
        <f>ARRAY_CONSTRAIN(ARRAYFORMULA(SUM(IF([3]!Table13[ID]=B798,[3]!Table13[QTY]))), 1, 1)</f>
        <v>#ERROR!</v>
      </c>
      <c r="J798" s="50" t="str">
        <f>TABLEITEM!$H$3:$H$2749-TABLEITEM!$I$3:$I$2749</f>
        <v>#ERROR!</v>
      </c>
    </row>
    <row r="799" ht="15.75" customHeight="1">
      <c r="A799" s="45">
        <v>519.0</v>
      </c>
      <c r="B799" s="10" t="s">
        <v>404</v>
      </c>
      <c r="C799" s="26"/>
      <c r="D799" s="10" t="s">
        <v>8238</v>
      </c>
      <c r="E799" s="48" t="s">
        <v>8235</v>
      </c>
      <c r="F799" s="48" t="s">
        <v>7173</v>
      </c>
      <c r="G799" s="49">
        <f t="array" ref="G799">MAX(IF(INSTOCK!$H$3:$H$6125=B799,INSTOCK!$K$3:$K$6125))</f>
        <v>3.96</v>
      </c>
      <c r="H799" s="50">
        <f t="array" ref="H799">SUM(IF(INSTOCK!$H$3:$H$6125=B799,INSTOCK!$I$3:$I$6125))</f>
        <v>307</v>
      </c>
      <c r="I799" s="50" t="str">
        <f>ARRAY_CONSTRAIN(ARRAYFORMULA(SUM(IF([3]!Table13[ID]=B799,[3]!Table13[QTY]))), 1, 1)</f>
        <v>#ERROR!</v>
      </c>
      <c r="J799" s="50" t="str">
        <f>TABLEITEM!$H$3:$H$2749-TABLEITEM!$I$3:$I$2749</f>
        <v>#ERROR!</v>
      </c>
    </row>
    <row r="800" ht="15.75" customHeight="1">
      <c r="A800" s="45">
        <v>518.0</v>
      </c>
      <c r="B800" s="10" t="s">
        <v>403</v>
      </c>
      <c r="C800" s="26"/>
      <c r="D800" s="10" t="s">
        <v>8239</v>
      </c>
      <c r="E800" s="48" t="s">
        <v>8235</v>
      </c>
      <c r="F800" s="48" t="s">
        <v>7173</v>
      </c>
      <c r="G800" s="49">
        <f t="array" ref="G800">MAX(IF(INSTOCK!$H$3:$H$6125=B800,INSTOCK!$K$3:$K$6125))</f>
        <v>3.96</v>
      </c>
      <c r="H800" s="50">
        <f t="array" ref="H800">SUM(IF(INSTOCK!$H$3:$H$6125=B800,INSTOCK!$I$3:$I$6125))</f>
        <v>87</v>
      </c>
      <c r="I800" s="50" t="str">
        <f>ARRAY_CONSTRAIN(ARRAYFORMULA(SUM(IF([3]!Table13[ID]=B800,[3]!Table13[QTY]))), 1, 1)</f>
        <v>#ERROR!</v>
      </c>
      <c r="J800" s="50" t="str">
        <f>TABLEITEM!$H$3:$H$2749-TABLEITEM!$I$3:$I$2749</f>
        <v>#ERROR!</v>
      </c>
    </row>
    <row r="801" ht="15.75" customHeight="1">
      <c r="A801" s="45">
        <v>517.0</v>
      </c>
      <c r="B801" s="10" t="s">
        <v>402</v>
      </c>
      <c r="C801" s="26"/>
      <c r="D801" s="10" t="s">
        <v>8240</v>
      </c>
      <c r="E801" s="48" t="s">
        <v>8235</v>
      </c>
      <c r="F801" s="48" t="s">
        <v>7173</v>
      </c>
      <c r="G801" s="49">
        <f t="array" ref="G801">MAX(IF(INSTOCK!$H$3:$H$6125=B801,INSTOCK!$K$3:$K$6125))</f>
        <v>3.96</v>
      </c>
      <c r="H801" s="50">
        <f t="array" ref="H801">SUM(IF(INSTOCK!$H$3:$H$6125=B801,INSTOCK!$I$3:$I$6125))</f>
        <v>98</v>
      </c>
      <c r="I801" s="50" t="str">
        <f>ARRAY_CONSTRAIN(ARRAYFORMULA(SUM(IF([3]!Table13[ID]=B801,[3]!Table13[QTY]))), 1, 1)</f>
        <v>#ERROR!</v>
      </c>
      <c r="J801" s="50" t="str">
        <f>TABLEITEM!$H$3:$H$2749-TABLEITEM!$I$3:$I$2749</f>
        <v>#ERROR!</v>
      </c>
    </row>
    <row r="802" ht="15.75" customHeight="1">
      <c r="A802" s="45">
        <v>568.0</v>
      </c>
      <c r="B802" s="10" t="s">
        <v>453</v>
      </c>
      <c r="C802" s="26"/>
      <c r="D802" s="10" t="s">
        <v>8241</v>
      </c>
      <c r="E802" s="48" t="s">
        <v>8235</v>
      </c>
      <c r="F802" s="48" t="s">
        <v>7173</v>
      </c>
      <c r="G802" s="49">
        <f t="array" ref="G802">MAX(IF(INSTOCK!$H$3:$H$6125=B802,INSTOCK!$K$3:$K$6125))</f>
        <v>3.96</v>
      </c>
      <c r="H802" s="50">
        <f t="array" ref="H802">SUM(IF(INSTOCK!$H$3:$H$6125=B802,INSTOCK!$I$3:$I$6125))</f>
        <v>326</v>
      </c>
      <c r="I802" s="50" t="str">
        <f>ARRAY_CONSTRAIN(ARRAYFORMULA(SUM(IF([3]!Table13[ID]=B802,[3]!Table13[QTY]))), 1, 1)</f>
        <v>#ERROR!</v>
      </c>
      <c r="J802" s="50" t="str">
        <f>TABLEITEM!$H$3:$H$2749-TABLEITEM!$I$3:$I$2749</f>
        <v>#ERROR!</v>
      </c>
    </row>
    <row r="803" ht="15.75" customHeight="1">
      <c r="A803" s="45">
        <v>569.0</v>
      </c>
      <c r="B803" s="10" t="s">
        <v>454</v>
      </c>
      <c r="C803" s="26"/>
      <c r="D803" s="10" t="s">
        <v>8242</v>
      </c>
      <c r="E803" s="48" t="s">
        <v>8235</v>
      </c>
      <c r="F803" s="48" t="s">
        <v>7173</v>
      </c>
      <c r="G803" s="49">
        <f t="array" ref="G803">MAX(IF(INSTOCK!$H$3:$H$6125=B803,INSTOCK!$K$3:$K$6125))</f>
        <v>3.96</v>
      </c>
      <c r="H803" s="50">
        <f t="array" ref="H803">SUM(IF(INSTOCK!$H$3:$H$6125=B803,INSTOCK!$I$3:$I$6125))</f>
        <v>324</v>
      </c>
      <c r="I803" s="50" t="str">
        <f>ARRAY_CONSTRAIN(ARRAYFORMULA(SUM(IF([3]!Table13[ID]=B803,[3]!Table13[QTY]))), 1, 1)</f>
        <v>#ERROR!</v>
      </c>
      <c r="J803" s="50" t="str">
        <f>TABLEITEM!$H$3:$H$2749-TABLEITEM!$I$3:$I$2749</f>
        <v>#ERROR!</v>
      </c>
    </row>
    <row r="804" ht="15.75" customHeight="1">
      <c r="A804" s="45">
        <v>485.0</v>
      </c>
      <c r="B804" s="10" t="s">
        <v>370</v>
      </c>
      <c r="C804" s="26"/>
      <c r="D804" s="10" t="s">
        <v>8243</v>
      </c>
      <c r="E804" s="48" t="s">
        <v>8235</v>
      </c>
      <c r="F804" s="48" t="s">
        <v>7173</v>
      </c>
      <c r="G804" s="49">
        <f t="array" ref="G804">MAX(IF(INSTOCK!$H$3:$H$6125=B804,INSTOCK!$K$3:$K$6125))</f>
        <v>0.6</v>
      </c>
      <c r="H804" s="50">
        <f t="array" ref="H804">SUM(IF(INSTOCK!$H$3:$H$6125=B804,INSTOCK!$I$3:$I$6125))</f>
        <v>566</v>
      </c>
      <c r="I804" s="50" t="str">
        <f>ARRAY_CONSTRAIN(ARRAYFORMULA(SUM(IF([3]!Table13[ID]=B804,[3]!Table13[QTY]))), 1, 1)</f>
        <v>#ERROR!</v>
      </c>
      <c r="J804" s="50" t="str">
        <f>TABLEITEM!$H$3:$H$2749-TABLEITEM!$I$3:$I$2749</f>
        <v>#ERROR!</v>
      </c>
    </row>
    <row r="805" ht="15.75" customHeight="1">
      <c r="A805" s="45"/>
      <c r="B805" s="10" t="s">
        <v>1847</v>
      </c>
      <c r="C805" s="26"/>
      <c r="D805" s="10" t="s">
        <v>8244</v>
      </c>
      <c r="E805" s="48" t="s">
        <v>8235</v>
      </c>
      <c r="F805" s="48" t="s">
        <v>7173</v>
      </c>
      <c r="G805" s="49">
        <f t="array" ref="G805">MAX(IF(INSTOCK!$H$3:$H$6125=B805,INSTOCK!$K$3:$K$6125))</f>
        <v>0.36</v>
      </c>
      <c r="H805" s="50">
        <f t="array" ref="H805">SUM(IF(INSTOCK!$H$3:$H$6125=B805,INSTOCK!$I$3:$I$6125))</f>
        <v>600</v>
      </c>
      <c r="I805" s="50" t="str">
        <f>ARRAY_CONSTRAIN(ARRAYFORMULA(SUM(IF([3]!Table13[ID]=B805,[3]!Table13[QTY]))), 1, 1)</f>
        <v>#ERROR!</v>
      </c>
      <c r="J805" s="50" t="str">
        <f>TABLEITEM!$H$3:$H$2749-TABLEITEM!$I$3:$I$2749</f>
        <v>#ERROR!</v>
      </c>
    </row>
    <row r="806" ht="15.75" customHeight="1">
      <c r="A806" s="45">
        <v>486.0</v>
      </c>
      <c r="B806" s="10" t="s">
        <v>371</v>
      </c>
      <c r="C806" s="26"/>
      <c r="D806" s="10" t="s">
        <v>8245</v>
      </c>
      <c r="E806" s="48" t="s">
        <v>8235</v>
      </c>
      <c r="F806" s="48" t="s">
        <v>7173</v>
      </c>
      <c r="G806" s="49">
        <f t="array" ref="G806">MAX(IF(INSTOCK!$H$3:$H$6125=B806,INSTOCK!$K$3:$K$6125))</f>
        <v>0.6</v>
      </c>
      <c r="H806" s="50">
        <f t="array" ref="H806">SUM(IF(INSTOCK!$H$3:$H$6125=B806,INSTOCK!$I$3:$I$6125))</f>
        <v>1228</v>
      </c>
      <c r="I806" s="50" t="str">
        <f>ARRAY_CONSTRAIN(ARRAYFORMULA(SUM(IF([3]!Table13[ID]=B806,[3]!Table13[QTY]))), 1, 1)</f>
        <v>#ERROR!</v>
      </c>
      <c r="J806" s="50" t="str">
        <f>TABLEITEM!$H$3:$H$2749-TABLEITEM!$I$3:$I$2749</f>
        <v>#ERROR!</v>
      </c>
    </row>
    <row r="807" ht="15.75" customHeight="1">
      <c r="A807" s="45"/>
      <c r="B807" s="10" t="s">
        <v>1848</v>
      </c>
      <c r="C807" s="26"/>
      <c r="D807" s="10" t="s">
        <v>8246</v>
      </c>
      <c r="E807" s="48" t="s">
        <v>8235</v>
      </c>
      <c r="F807" s="48" t="s">
        <v>7173</v>
      </c>
      <c r="G807" s="49">
        <f t="array" ref="G807">MAX(IF(INSTOCK!$H$3:$H$6125=B807,INSTOCK!$K$3:$K$6125))</f>
        <v>0.36</v>
      </c>
      <c r="H807" s="50">
        <f t="array" ref="H807">SUM(IF(INSTOCK!$H$3:$H$6125=B807,INSTOCK!$I$3:$I$6125))</f>
        <v>600</v>
      </c>
      <c r="I807" s="50" t="str">
        <f>ARRAY_CONSTRAIN(ARRAYFORMULA(SUM(IF([3]!Table13[ID]=B807,[3]!Table13[QTY]))), 1, 1)</f>
        <v>#ERROR!</v>
      </c>
      <c r="J807" s="50" t="str">
        <f>TABLEITEM!$H$3:$H$2749-TABLEITEM!$I$3:$I$2749</f>
        <v>#ERROR!</v>
      </c>
    </row>
    <row r="808" ht="15.75" customHeight="1">
      <c r="A808" s="45">
        <v>484.0</v>
      </c>
      <c r="B808" s="10" t="s">
        <v>369</v>
      </c>
      <c r="C808" s="26"/>
      <c r="D808" s="10" t="s">
        <v>8247</v>
      </c>
      <c r="E808" s="48" t="s">
        <v>8235</v>
      </c>
      <c r="F808" s="48" t="s">
        <v>7173</v>
      </c>
      <c r="G808" s="49">
        <f t="array" ref="G808">MAX(IF(INSTOCK!$H$3:$H$6125=B808,INSTOCK!$K$3:$K$6125))</f>
        <v>0.6</v>
      </c>
      <c r="H808" s="50">
        <f t="array" ref="H808">SUM(IF(INSTOCK!$H$3:$H$6125=B808,INSTOCK!$I$3:$I$6125))</f>
        <v>411</v>
      </c>
      <c r="I808" s="50" t="str">
        <f>ARRAY_CONSTRAIN(ARRAYFORMULA(SUM(IF([3]!Table13[ID]=B808,[3]!Table13[QTY]))), 1, 1)</f>
        <v>#ERROR!</v>
      </c>
      <c r="J808" s="50" t="str">
        <f>TABLEITEM!$H$3:$H$2749-TABLEITEM!$I$3:$I$2749</f>
        <v>#ERROR!</v>
      </c>
    </row>
    <row r="809" ht="15.75" customHeight="1">
      <c r="A809" s="45">
        <v>489.0</v>
      </c>
      <c r="B809" s="10" t="s">
        <v>374</v>
      </c>
      <c r="C809" s="26"/>
      <c r="D809" s="10" t="s">
        <v>8248</v>
      </c>
      <c r="E809" s="48" t="s">
        <v>8235</v>
      </c>
      <c r="F809" s="48" t="s">
        <v>7173</v>
      </c>
      <c r="G809" s="49">
        <f t="array" ref="G809">MAX(IF(INSTOCK!$H$3:$H$6125=B809,INSTOCK!$K$3:$K$6125))</f>
        <v>0.6</v>
      </c>
      <c r="H809" s="50">
        <f t="array" ref="H809">SUM(IF(INSTOCK!$H$3:$H$6125=B809,INSTOCK!$I$3:$I$6125))</f>
        <v>1096</v>
      </c>
      <c r="I809" s="50" t="str">
        <f>ARRAY_CONSTRAIN(ARRAYFORMULA(SUM(IF([3]!Table13[ID]=B809,[3]!Table13[QTY]))), 1, 1)</f>
        <v>#ERROR!</v>
      </c>
      <c r="J809" s="50" t="str">
        <f>TABLEITEM!$H$3:$H$2749-TABLEITEM!$I$3:$I$2749</f>
        <v>#ERROR!</v>
      </c>
    </row>
    <row r="810" ht="15.75" customHeight="1">
      <c r="A810" s="45">
        <v>488.0</v>
      </c>
      <c r="B810" s="10" t="s">
        <v>373</v>
      </c>
      <c r="C810" s="26"/>
      <c r="D810" s="10" t="s">
        <v>8249</v>
      </c>
      <c r="E810" s="48" t="s">
        <v>8235</v>
      </c>
      <c r="F810" s="48" t="s">
        <v>7173</v>
      </c>
      <c r="G810" s="49">
        <f t="array" ref="G810">MAX(IF(INSTOCK!$H$3:$H$6125=B810,INSTOCK!$K$3:$K$6125))</f>
        <v>0.6</v>
      </c>
      <c r="H810" s="50">
        <f t="array" ref="H810">SUM(IF(INSTOCK!$H$3:$H$6125=B810,INSTOCK!$I$3:$I$6125))</f>
        <v>662</v>
      </c>
      <c r="I810" s="50" t="str">
        <f>ARRAY_CONSTRAIN(ARRAYFORMULA(SUM(IF([3]!Table13[ID]=B810,[3]!Table13[QTY]))), 1, 1)</f>
        <v>#ERROR!</v>
      </c>
      <c r="J810" s="50" t="str">
        <f>TABLEITEM!$H$3:$H$2749-TABLEITEM!$I$3:$I$2749</f>
        <v>#ERROR!</v>
      </c>
    </row>
    <row r="811" ht="15.75" customHeight="1">
      <c r="A811" s="45">
        <v>487.0</v>
      </c>
      <c r="B811" s="10" t="s">
        <v>372</v>
      </c>
      <c r="C811" s="26"/>
      <c r="D811" s="10" t="s">
        <v>8250</v>
      </c>
      <c r="E811" s="48" t="s">
        <v>8235</v>
      </c>
      <c r="F811" s="48" t="s">
        <v>7173</v>
      </c>
      <c r="G811" s="49">
        <f t="array" ref="G811">MAX(IF(INSTOCK!$H$3:$H$6125=B811,INSTOCK!$K$3:$K$6125))</f>
        <v>0.6</v>
      </c>
      <c r="H811" s="50">
        <f t="array" ref="H811">SUM(IF(INSTOCK!$H$3:$H$6125=B811,INSTOCK!$I$3:$I$6125))</f>
        <v>914</v>
      </c>
      <c r="I811" s="50" t="str">
        <f>ARRAY_CONSTRAIN(ARRAYFORMULA(SUM(IF([3]!Table13[ID]=B811,[3]!Table13[QTY]))), 1, 1)</f>
        <v>#ERROR!</v>
      </c>
      <c r="J811" s="50" t="str">
        <f>TABLEITEM!$H$3:$H$2749-TABLEITEM!$I$3:$I$2749</f>
        <v>#ERROR!</v>
      </c>
    </row>
    <row r="812" ht="15.75" customHeight="1">
      <c r="A812" s="45">
        <v>555.0</v>
      </c>
      <c r="B812" s="10" t="s">
        <v>440</v>
      </c>
      <c r="C812" s="26"/>
      <c r="D812" s="10" t="s">
        <v>8251</v>
      </c>
      <c r="E812" s="48" t="s">
        <v>8235</v>
      </c>
      <c r="F812" s="48" t="s">
        <v>7173</v>
      </c>
      <c r="G812" s="49">
        <f t="array" ref="G812">MAX(IF(INSTOCK!$H$3:$H$6125=B812,INSTOCK!$K$3:$K$6125))</f>
        <v>0.6</v>
      </c>
      <c r="H812" s="50">
        <f t="array" ref="H812">SUM(IF(INSTOCK!$H$3:$H$6125=B812,INSTOCK!$I$3:$I$6125))</f>
        <v>274</v>
      </c>
      <c r="I812" s="50" t="str">
        <f>ARRAY_CONSTRAIN(ARRAYFORMULA(SUM(IF([3]!Table13[ID]=B812,[3]!Table13[QTY]))), 1, 1)</f>
        <v>#ERROR!</v>
      </c>
      <c r="J812" s="50" t="str">
        <f>TABLEITEM!$H$3:$H$2749-TABLEITEM!$I$3:$I$2749</f>
        <v>#ERROR!</v>
      </c>
    </row>
    <row r="813" ht="15.75" customHeight="1">
      <c r="A813" s="45">
        <v>553.0</v>
      </c>
      <c r="B813" s="10" t="s">
        <v>438</v>
      </c>
      <c r="C813" s="26"/>
      <c r="D813" s="10" t="s">
        <v>8252</v>
      </c>
      <c r="E813" s="48" t="s">
        <v>8235</v>
      </c>
      <c r="F813" s="48" t="s">
        <v>7173</v>
      </c>
      <c r="G813" s="49">
        <f t="array" ref="G813">MAX(IF(INSTOCK!$H$3:$H$6125=B813,INSTOCK!$K$3:$K$6125))</f>
        <v>0.6</v>
      </c>
      <c r="H813" s="50">
        <f t="array" ref="H813">SUM(IF(INSTOCK!$H$3:$H$6125=B813,INSTOCK!$I$3:$I$6125))</f>
        <v>499</v>
      </c>
      <c r="I813" s="50" t="str">
        <f>ARRAY_CONSTRAIN(ARRAYFORMULA(SUM(IF([3]!Table13[ID]=B813,[3]!Table13[QTY]))), 1, 1)</f>
        <v>#ERROR!</v>
      </c>
      <c r="J813" s="50" t="str">
        <f>TABLEITEM!$H$3:$H$2749-TABLEITEM!$I$3:$I$2749</f>
        <v>#ERROR!</v>
      </c>
    </row>
    <row r="814" ht="15.75" customHeight="1">
      <c r="A814" s="45">
        <v>554.0</v>
      </c>
      <c r="B814" s="10" t="s">
        <v>439</v>
      </c>
      <c r="C814" s="26"/>
      <c r="D814" s="10" t="s">
        <v>8253</v>
      </c>
      <c r="E814" s="48" t="s">
        <v>8235</v>
      </c>
      <c r="F814" s="48" t="s">
        <v>7173</v>
      </c>
      <c r="G814" s="49">
        <f t="array" ref="G814">MAX(IF(INSTOCK!$H$3:$H$6125=B814,INSTOCK!$K$3:$K$6125))</f>
        <v>0.6</v>
      </c>
      <c r="H814" s="50">
        <f t="array" ref="H814">SUM(IF(INSTOCK!$H$3:$H$6125=B814,INSTOCK!$I$3:$I$6125))</f>
        <v>499</v>
      </c>
      <c r="I814" s="50" t="str">
        <f>ARRAY_CONSTRAIN(ARRAYFORMULA(SUM(IF([3]!Table13[ID]=B814,[3]!Table13[QTY]))), 1, 1)</f>
        <v>#ERROR!</v>
      </c>
      <c r="J814" s="50" t="str">
        <f>TABLEITEM!$H$3:$H$2749-TABLEITEM!$I$3:$I$2749</f>
        <v>#ERROR!</v>
      </c>
    </row>
    <row r="815" ht="15.75" customHeight="1">
      <c r="A815" s="45">
        <v>509.0</v>
      </c>
      <c r="B815" s="10" t="s">
        <v>394</v>
      </c>
      <c r="C815" s="26"/>
      <c r="D815" s="10" t="s">
        <v>8254</v>
      </c>
      <c r="E815" s="48" t="s">
        <v>8235</v>
      </c>
      <c r="F815" s="48" t="s">
        <v>7173</v>
      </c>
      <c r="G815" s="49">
        <f t="array" ref="G815">MAX(IF(INSTOCK!$H$3:$H$6125=B815,INSTOCK!$K$3:$K$6125))</f>
        <v>3</v>
      </c>
      <c r="H815" s="50">
        <f t="array" ref="H815">SUM(IF(INSTOCK!$H$3:$H$6125=B815,INSTOCK!$I$3:$I$6125))</f>
        <v>302</v>
      </c>
      <c r="I815" s="50" t="str">
        <f>ARRAY_CONSTRAIN(ARRAYFORMULA(SUM(IF([3]!Table13[ID]=B815,[3]!Table13[QTY]))), 1, 1)</f>
        <v>#ERROR!</v>
      </c>
      <c r="J815" s="50" t="str">
        <f>TABLEITEM!$H$3:$H$2749-TABLEITEM!$I$3:$I$2749</f>
        <v>#ERROR!</v>
      </c>
    </row>
    <row r="816" ht="15.75" customHeight="1">
      <c r="A816" s="45">
        <v>510.0</v>
      </c>
      <c r="B816" s="10" t="s">
        <v>395</v>
      </c>
      <c r="C816" s="26"/>
      <c r="D816" s="10" t="s">
        <v>8255</v>
      </c>
      <c r="E816" s="48" t="s">
        <v>8235</v>
      </c>
      <c r="F816" s="48" t="s">
        <v>7173</v>
      </c>
      <c r="G816" s="49">
        <f t="array" ref="G816">MAX(IF(INSTOCK!$H$3:$H$6125=B816,INSTOCK!$K$3:$K$6125))</f>
        <v>3</v>
      </c>
      <c r="H816" s="50">
        <f t="array" ref="H816">SUM(IF(INSTOCK!$H$3:$H$6125=B816,INSTOCK!$I$3:$I$6125))</f>
        <v>239</v>
      </c>
      <c r="I816" s="50" t="str">
        <f>ARRAY_CONSTRAIN(ARRAYFORMULA(SUM(IF([3]!Table13[ID]=B816,[3]!Table13[QTY]))), 1, 1)</f>
        <v>#ERROR!</v>
      </c>
      <c r="J816" s="50" t="str">
        <f>TABLEITEM!$H$3:$H$2749-TABLEITEM!$I$3:$I$2749</f>
        <v>#ERROR!</v>
      </c>
    </row>
    <row r="817" ht="15.75" customHeight="1">
      <c r="A817" s="45">
        <v>508.0</v>
      </c>
      <c r="B817" s="10" t="s">
        <v>393</v>
      </c>
      <c r="C817" s="26"/>
      <c r="D817" s="10" t="s">
        <v>8256</v>
      </c>
      <c r="E817" s="48" t="s">
        <v>8235</v>
      </c>
      <c r="F817" s="48" t="s">
        <v>7173</v>
      </c>
      <c r="G817" s="49">
        <f t="array" ref="G817">MAX(IF(INSTOCK!$H$3:$H$6125=B817,INSTOCK!$K$3:$K$6125))</f>
        <v>3</v>
      </c>
      <c r="H817" s="50">
        <f t="array" ref="H817">SUM(IF(INSTOCK!$H$3:$H$6125=B817,INSTOCK!$I$3:$I$6125))</f>
        <v>193</v>
      </c>
      <c r="I817" s="50" t="str">
        <f>ARRAY_CONSTRAIN(ARRAYFORMULA(SUM(IF([3]!Table13[ID]=B817,[3]!Table13[QTY]))), 1, 1)</f>
        <v>#ERROR!</v>
      </c>
      <c r="J817" s="50" t="str">
        <f>TABLEITEM!$H$3:$H$2749-TABLEITEM!$I$3:$I$2749</f>
        <v>#ERROR!</v>
      </c>
    </row>
    <row r="818" ht="15.75" customHeight="1">
      <c r="A818" s="45">
        <v>513.0</v>
      </c>
      <c r="B818" s="10" t="s">
        <v>398</v>
      </c>
      <c r="C818" s="26"/>
      <c r="D818" s="10" t="s">
        <v>8257</v>
      </c>
      <c r="E818" s="48" t="s">
        <v>8235</v>
      </c>
      <c r="F818" s="48" t="s">
        <v>7173</v>
      </c>
      <c r="G818" s="49">
        <f t="array" ref="G818">MAX(IF(INSTOCK!$H$3:$H$6125=B818,INSTOCK!$K$3:$K$6125))</f>
        <v>3</v>
      </c>
      <c r="H818" s="50">
        <f t="array" ref="H818">SUM(IF(INSTOCK!$H$3:$H$6125=B818,INSTOCK!$I$3:$I$6125))</f>
        <v>238</v>
      </c>
      <c r="I818" s="50" t="str">
        <f>ARRAY_CONSTRAIN(ARRAYFORMULA(SUM(IF([3]!Table13[ID]=B818,[3]!Table13[QTY]))), 1, 1)</f>
        <v>#ERROR!</v>
      </c>
      <c r="J818" s="50" t="str">
        <f>TABLEITEM!$H$3:$H$2749-TABLEITEM!$I$3:$I$2749</f>
        <v>#ERROR!</v>
      </c>
    </row>
    <row r="819" ht="15.75" customHeight="1">
      <c r="A819" s="45">
        <v>512.0</v>
      </c>
      <c r="B819" s="10" t="s">
        <v>397</v>
      </c>
      <c r="C819" s="26"/>
      <c r="D819" s="10" t="s">
        <v>8258</v>
      </c>
      <c r="E819" s="48" t="s">
        <v>8235</v>
      </c>
      <c r="F819" s="48" t="s">
        <v>7173</v>
      </c>
      <c r="G819" s="49">
        <f t="array" ref="G819">MAX(IF(INSTOCK!$H$3:$H$6125=B819,INSTOCK!$K$3:$K$6125))</f>
        <v>3</v>
      </c>
      <c r="H819" s="50">
        <f t="array" ref="H819">SUM(IF(INSTOCK!$H$3:$H$6125=B819,INSTOCK!$I$3:$I$6125))</f>
        <v>358</v>
      </c>
      <c r="I819" s="50" t="str">
        <f>ARRAY_CONSTRAIN(ARRAYFORMULA(SUM(IF([3]!Table13[ID]=B819,[3]!Table13[QTY]))), 1, 1)</f>
        <v>#ERROR!</v>
      </c>
      <c r="J819" s="50" t="str">
        <f>TABLEITEM!$H$3:$H$2749-TABLEITEM!$I$3:$I$2749</f>
        <v>#ERROR!</v>
      </c>
    </row>
    <row r="820" ht="15.75" customHeight="1">
      <c r="A820" s="45">
        <v>511.0</v>
      </c>
      <c r="B820" s="10" t="s">
        <v>396</v>
      </c>
      <c r="C820" s="26"/>
      <c r="D820" s="10" t="s">
        <v>8259</v>
      </c>
      <c r="E820" s="48" t="s">
        <v>8235</v>
      </c>
      <c r="F820" s="48" t="s">
        <v>7173</v>
      </c>
      <c r="G820" s="49">
        <f t="array" ref="G820">MAX(IF(INSTOCK!$H$3:$H$6125=B820,INSTOCK!$K$3:$K$6125))</f>
        <v>3</v>
      </c>
      <c r="H820" s="50">
        <f t="array" ref="H820">SUM(IF(INSTOCK!$H$3:$H$6125=B820,INSTOCK!$I$3:$I$6125))</f>
        <v>704</v>
      </c>
      <c r="I820" s="50" t="str">
        <f>ARRAY_CONSTRAIN(ARRAYFORMULA(SUM(IF([3]!Table13[ID]=B820,[3]!Table13[QTY]))), 1, 1)</f>
        <v>#ERROR!</v>
      </c>
      <c r="J820" s="50" t="str">
        <f>TABLEITEM!$H$3:$H$2749-TABLEITEM!$I$3:$I$2749</f>
        <v>#ERROR!</v>
      </c>
    </row>
    <row r="821" ht="15.75" customHeight="1">
      <c r="A821" s="45">
        <v>567.0</v>
      </c>
      <c r="B821" s="10" t="s">
        <v>452</v>
      </c>
      <c r="C821" s="26"/>
      <c r="D821" s="10" t="s">
        <v>8260</v>
      </c>
      <c r="E821" s="48" t="s">
        <v>8235</v>
      </c>
      <c r="F821" s="48" t="s">
        <v>7173</v>
      </c>
      <c r="G821" s="49">
        <f t="array" ref="G821">MAX(IF(INSTOCK!$H$3:$H$6125=B821,INSTOCK!$K$3:$K$6125))</f>
        <v>3</v>
      </c>
      <c r="H821" s="50">
        <f t="array" ref="H821">SUM(IF(INSTOCK!$H$3:$H$6125=B821,INSTOCK!$I$3:$I$6125))</f>
        <v>100</v>
      </c>
      <c r="I821" s="50" t="str">
        <f>ARRAY_CONSTRAIN(ARRAYFORMULA(SUM(IF([3]!Table13[ID]=B821,[3]!Table13[QTY]))), 1, 1)</f>
        <v>#ERROR!</v>
      </c>
      <c r="J821" s="50" t="str">
        <f>TABLEITEM!$H$3:$H$2749-TABLEITEM!$I$3:$I$2749</f>
        <v>#ERROR!</v>
      </c>
    </row>
    <row r="822" ht="15.75" customHeight="1">
      <c r="A822" s="45">
        <v>565.0</v>
      </c>
      <c r="B822" s="10" t="s">
        <v>450</v>
      </c>
      <c r="C822" s="26"/>
      <c r="D822" s="10" t="s">
        <v>8261</v>
      </c>
      <c r="E822" s="48" t="s">
        <v>8235</v>
      </c>
      <c r="F822" s="48" t="s">
        <v>7173</v>
      </c>
      <c r="G822" s="49">
        <f t="array" ref="G822">MAX(IF(INSTOCK!$H$3:$H$6125=B822,INSTOCK!$K$3:$K$6125))</f>
        <v>3</v>
      </c>
      <c r="H822" s="50">
        <f t="array" ref="H822">SUM(IF(INSTOCK!$H$3:$H$6125=B822,INSTOCK!$I$3:$I$6125))</f>
        <v>224</v>
      </c>
      <c r="I822" s="50" t="str">
        <f>ARRAY_CONSTRAIN(ARRAYFORMULA(SUM(IF([3]!Table13[ID]=B822,[3]!Table13[QTY]))), 1, 1)</f>
        <v>#ERROR!</v>
      </c>
      <c r="J822" s="50" t="str">
        <f>TABLEITEM!$H$3:$H$2749-TABLEITEM!$I$3:$I$2749</f>
        <v>#ERROR!</v>
      </c>
    </row>
    <row r="823" ht="15.75" customHeight="1">
      <c r="A823" s="45">
        <v>566.0</v>
      </c>
      <c r="B823" s="10" t="s">
        <v>451</v>
      </c>
      <c r="C823" s="26"/>
      <c r="D823" s="10" t="s">
        <v>8262</v>
      </c>
      <c r="E823" s="48" t="s">
        <v>8235</v>
      </c>
      <c r="F823" s="48" t="s">
        <v>7173</v>
      </c>
      <c r="G823" s="49">
        <f t="array" ref="G823">MAX(IF(INSTOCK!$H$3:$H$6125=B823,INSTOCK!$K$3:$K$6125))</f>
        <v>3</v>
      </c>
      <c r="H823" s="50">
        <f t="array" ref="H823">SUM(IF(INSTOCK!$H$3:$H$6125=B823,INSTOCK!$I$3:$I$6125))</f>
        <v>221</v>
      </c>
      <c r="I823" s="50" t="str">
        <f>ARRAY_CONSTRAIN(ARRAYFORMULA(SUM(IF([3]!Table13[ID]=B823,[3]!Table13[QTY]))), 1, 1)</f>
        <v>#ERROR!</v>
      </c>
      <c r="J823" s="50" t="str">
        <f>TABLEITEM!$H$3:$H$2749-TABLEITEM!$I$3:$I$2749</f>
        <v>#ERROR!</v>
      </c>
    </row>
    <row r="824" ht="15.75" customHeight="1">
      <c r="A824" s="45">
        <v>479.0</v>
      </c>
      <c r="B824" s="10" t="s">
        <v>364</v>
      </c>
      <c r="C824" s="26"/>
      <c r="D824" s="10" t="s">
        <v>8263</v>
      </c>
      <c r="E824" s="48" t="s">
        <v>8235</v>
      </c>
      <c r="F824" s="48" t="s">
        <v>7173</v>
      </c>
      <c r="G824" s="49">
        <f t="array" ref="G824">MAX(IF(INSTOCK!$H$3:$H$6125=B824,INSTOCK!$K$3:$K$6125))</f>
        <v>0.48</v>
      </c>
      <c r="H824" s="50">
        <f t="array" ref="H824">SUM(IF(INSTOCK!$H$3:$H$6125=B824,INSTOCK!$I$3:$I$6125))</f>
        <v>500</v>
      </c>
      <c r="I824" s="50" t="str">
        <f>ARRAY_CONSTRAIN(ARRAYFORMULA(SUM(IF([3]!Table13[ID]=B824,[3]!Table13[QTY]))), 1, 1)</f>
        <v>#ERROR!</v>
      </c>
      <c r="J824" s="50" t="str">
        <f>TABLEITEM!$H$3:$H$2749-TABLEITEM!$I$3:$I$2749</f>
        <v>#ERROR!</v>
      </c>
    </row>
    <row r="825" ht="15.75" customHeight="1">
      <c r="A825" s="45"/>
      <c r="B825" s="10" t="s">
        <v>1844</v>
      </c>
      <c r="C825" s="26"/>
      <c r="D825" s="10" t="s">
        <v>8264</v>
      </c>
      <c r="E825" s="48" t="s">
        <v>8235</v>
      </c>
      <c r="F825" s="48" t="s">
        <v>7173</v>
      </c>
      <c r="G825" s="49">
        <f t="array" ref="G825">MAX(IF(INSTOCK!$H$3:$H$6125=B825,INSTOCK!$K$3:$K$6125))</f>
        <v>0.288</v>
      </c>
      <c r="H825" s="50">
        <f t="array" ref="H825">SUM(IF(INSTOCK!$H$3:$H$6125=B825,INSTOCK!$I$3:$I$6125))</f>
        <v>500</v>
      </c>
      <c r="I825" s="50" t="str">
        <f>ARRAY_CONSTRAIN(ARRAYFORMULA(SUM(IF([3]!Table13[ID]=B825,[3]!Table13[QTY]))), 1, 1)</f>
        <v>#ERROR!</v>
      </c>
      <c r="J825" s="50" t="str">
        <f>TABLEITEM!$H$3:$H$2749-TABLEITEM!$I$3:$I$2749</f>
        <v>#ERROR!</v>
      </c>
    </row>
    <row r="826" ht="15.75" customHeight="1">
      <c r="A826" s="45">
        <v>480.0</v>
      </c>
      <c r="B826" s="10" t="s">
        <v>365</v>
      </c>
      <c r="C826" s="26"/>
      <c r="D826" s="10" t="s">
        <v>8265</v>
      </c>
      <c r="E826" s="48" t="s">
        <v>8235</v>
      </c>
      <c r="F826" s="48" t="s">
        <v>7173</v>
      </c>
      <c r="G826" s="49">
        <f t="array" ref="G826">MAX(IF(INSTOCK!$H$3:$H$6125=B826,INSTOCK!$K$3:$K$6125))</f>
        <v>0.48</v>
      </c>
      <c r="H826" s="50">
        <f t="array" ref="H826">SUM(IF(INSTOCK!$H$3:$H$6125=B826,INSTOCK!$I$3:$I$6125))</f>
        <v>881</v>
      </c>
      <c r="I826" s="50" t="str">
        <f>ARRAY_CONSTRAIN(ARRAYFORMULA(SUM(IF([3]!Table13[ID]=B826,[3]!Table13[QTY]))), 1, 1)</f>
        <v>#ERROR!</v>
      </c>
      <c r="J826" s="50" t="str">
        <f>TABLEITEM!$H$3:$H$2749-TABLEITEM!$I$3:$I$2749</f>
        <v>#ERROR!</v>
      </c>
    </row>
    <row r="827" ht="15.75" customHeight="1">
      <c r="A827" s="45"/>
      <c r="B827" s="10" t="s">
        <v>1846</v>
      </c>
      <c r="C827" s="26"/>
      <c r="D827" s="10" t="s">
        <v>8266</v>
      </c>
      <c r="E827" s="48" t="s">
        <v>8235</v>
      </c>
      <c r="F827" s="48" t="s">
        <v>7173</v>
      </c>
      <c r="G827" s="49">
        <f t="array" ref="G827">MAX(IF(INSTOCK!$H$3:$H$6125=B827,INSTOCK!$K$3:$K$6125))</f>
        <v>0.288</v>
      </c>
      <c r="H827" s="50">
        <f t="array" ref="H827">SUM(IF(INSTOCK!$H$3:$H$6125=B827,INSTOCK!$I$3:$I$6125))</f>
        <v>300</v>
      </c>
      <c r="I827" s="50" t="str">
        <f>ARRAY_CONSTRAIN(ARRAYFORMULA(SUM(IF([3]!Table13[ID]=B827,[3]!Table13[QTY]))), 1, 1)</f>
        <v>#ERROR!</v>
      </c>
      <c r="J827" s="50" t="str">
        <f>TABLEITEM!$H$3:$H$2749-TABLEITEM!$I$3:$I$2749</f>
        <v>#ERROR!</v>
      </c>
    </row>
    <row r="828" ht="15.75" customHeight="1">
      <c r="A828" s="45">
        <v>478.0</v>
      </c>
      <c r="B828" s="10" t="s">
        <v>363</v>
      </c>
      <c r="C828" s="26"/>
      <c r="D828" s="10" t="s">
        <v>8267</v>
      </c>
      <c r="E828" s="48" t="s">
        <v>8235</v>
      </c>
      <c r="F828" s="48" t="s">
        <v>7173</v>
      </c>
      <c r="G828" s="49">
        <f t="array" ref="G828">MAX(IF(INSTOCK!$H$3:$H$6125=B828,INSTOCK!$K$3:$K$6125))</f>
        <v>0.48</v>
      </c>
      <c r="H828" s="50">
        <f t="array" ref="H828">SUM(IF(INSTOCK!$H$3:$H$6125=B828,INSTOCK!$I$3:$I$6125))</f>
        <v>492</v>
      </c>
      <c r="I828" s="50" t="str">
        <f>ARRAY_CONSTRAIN(ARRAYFORMULA(SUM(IF([3]!Table13[ID]=B828,[3]!Table13[QTY]))), 1, 1)</f>
        <v>#ERROR!</v>
      </c>
      <c r="J828" s="50" t="str">
        <f>TABLEITEM!$H$3:$H$2749-TABLEITEM!$I$3:$I$2749</f>
        <v>#ERROR!</v>
      </c>
    </row>
    <row r="829" ht="15.75" customHeight="1">
      <c r="A829" s="45">
        <v>483.0</v>
      </c>
      <c r="B829" s="10" t="s">
        <v>368</v>
      </c>
      <c r="C829" s="26"/>
      <c r="D829" s="10" t="s">
        <v>8268</v>
      </c>
      <c r="E829" s="48" t="s">
        <v>8235</v>
      </c>
      <c r="F829" s="48" t="s">
        <v>7173</v>
      </c>
      <c r="G829" s="49">
        <f t="array" ref="G829">MAX(IF(INSTOCK!$H$3:$H$6125=B829,INSTOCK!$K$3:$K$6125))</f>
        <v>0.48</v>
      </c>
      <c r="H829" s="50">
        <f t="array" ref="H829">SUM(IF(INSTOCK!$H$3:$H$6125=B829,INSTOCK!$I$3:$I$6125))</f>
        <v>839</v>
      </c>
      <c r="I829" s="50" t="str">
        <f>ARRAY_CONSTRAIN(ARRAYFORMULA(SUM(IF([3]!Table13[ID]=B829,[3]!Table13[QTY]))), 1, 1)</f>
        <v>#ERROR!</v>
      </c>
      <c r="J829" s="50" t="str">
        <f>TABLEITEM!$H$3:$H$2749-TABLEITEM!$I$3:$I$2749</f>
        <v>#ERROR!</v>
      </c>
    </row>
    <row r="830" ht="15.75" customHeight="1">
      <c r="A830" s="45">
        <v>482.0</v>
      </c>
      <c r="B830" s="10" t="s">
        <v>367</v>
      </c>
      <c r="C830" s="26"/>
      <c r="D830" s="10" t="s">
        <v>8269</v>
      </c>
      <c r="E830" s="48" t="s">
        <v>8235</v>
      </c>
      <c r="F830" s="48" t="s">
        <v>7173</v>
      </c>
      <c r="G830" s="49">
        <f t="array" ref="G830">MAX(IF(INSTOCK!$H$3:$H$6125=B830,INSTOCK!$K$3:$K$6125))</f>
        <v>0.48</v>
      </c>
      <c r="H830" s="50">
        <f t="array" ref="H830">SUM(IF(INSTOCK!$H$3:$H$6125=B830,INSTOCK!$I$3:$I$6125))</f>
        <v>1092</v>
      </c>
      <c r="I830" s="50" t="str">
        <f>ARRAY_CONSTRAIN(ARRAYFORMULA(SUM(IF([3]!Table13[ID]=B830,[3]!Table13[QTY]))), 1, 1)</f>
        <v>#ERROR!</v>
      </c>
      <c r="J830" s="50" t="str">
        <f>TABLEITEM!$H$3:$H$2749-TABLEITEM!$I$3:$I$2749</f>
        <v>#ERROR!</v>
      </c>
    </row>
    <row r="831" ht="15.75" customHeight="1">
      <c r="A831" s="45">
        <v>481.0</v>
      </c>
      <c r="B831" s="10" t="s">
        <v>366</v>
      </c>
      <c r="C831" s="26"/>
      <c r="D831" s="10" t="s">
        <v>8270</v>
      </c>
      <c r="E831" s="48" t="s">
        <v>8235</v>
      </c>
      <c r="F831" s="48" t="s">
        <v>7173</v>
      </c>
      <c r="G831" s="49">
        <f t="array" ref="G831">MAX(IF(INSTOCK!$H$3:$H$6125=B831,INSTOCK!$K$3:$K$6125))</f>
        <v>0.48</v>
      </c>
      <c r="H831" s="50">
        <f t="array" ref="H831">SUM(IF(INSTOCK!$H$3:$H$6125=B831,INSTOCK!$I$3:$I$6125))</f>
        <v>719</v>
      </c>
      <c r="I831" s="50" t="str">
        <f>ARRAY_CONSTRAIN(ARRAYFORMULA(SUM(IF([3]!Table13[ID]=B831,[3]!Table13[QTY]))), 1, 1)</f>
        <v>#ERROR!</v>
      </c>
      <c r="J831" s="50" t="str">
        <f>TABLEITEM!$H$3:$H$2749-TABLEITEM!$I$3:$I$2749</f>
        <v>#ERROR!</v>
      </c>
    </row>
    <row r="832" ht="15.75" customHeight="1">
      <c r="A832" s="45">
        <v>552.0</v>
      </c>
      <c r="B832" s="10" t="s">
        <v>437</v>
      </c>
      <c r="C832" s="26"/>
      <c r="D832" s="10" t="s">
        <v>8271</v>
      </c>
      <c r="E832" s="48" t="s">
        <v>8235</v>
      </c>
      <c r="F832" s="48" t="s">
        <v>7173</v>
      </c>
      <c r="G832" s="49">
        <f t="array" ref="G832">MAX(IF(INSTOCK!$H$3:$H$6125=B832,INSTOCK!$K$3:$K$6125))</f>
        <v>0.48</v>
      </c>
      <c r="H832" s="50">
        <f t="array" ref="H832">SUM(IF(INSTOCK!$H$3:$H$6125=B832,INSTOCK!$I$3:$I$6125))</f>
        <v>179</v>
      </c>
      <c r="I832" s="50" t="str">
        <f>ARRAY_CONSTRAIN(ARRAYFORMULA(SUM(IF([3]!Table13[ID]=B832,[3]!Table13[QTY]))), 1, 1)</f>
        <v>#ERROR!</v>
      </c>
      <c r="J832" s="50" t="str">
        <f>TABLEITEM!$H$3:$H$2749-TABLEITEM!$I$3:$I$2749</f>
        <v>#ERROR!</v>
      </c>
    </row>
    <row r="833" ht="15.75" customHeight="1">
      <c r="A833" s="45">
        <v>550.0</v>
      </c>
      <c r="B833" s="10" t="s">
        <v>435</v>
      </c>
      <c r="C833" s="26"/>
      <c r="D833" s="10" t="s">
        <v>8272</v>
      </c>
      <c r="E833" s="48" t="s">
        <v>8235</v>
      </c>
      <c r="F833" s="48" t="s">
        <v>7173</v>
      </c>
      <c r="G833" s="49">
        <f t="array" ref="G833">MAX(IF(INSTOCK!$H$3:$H$6125=B833,INSTOCK!$K$3:$K$6125))</f>
        <v>0.48</v>
      </c>
      <c r="H833" s="50">
        <f t="array" ref="H833">SUM(IF(INSTOCK!$H$3:$H$6125=B833,INSTOCK!$I$3:$I$6125))</f>
        <v>564</v>
      </c>
      <c r="I833" s="50" t="str">
        <f>ARRAY_CONSTRAIN(ARRAYFORMULA(SUM(IF([3]!Table13[ID]=B833,[3]!Table13[QTY]))), 1, 1)</f>
        <v>#ERROR!</v>
      </c>
      <c r="J833" s="50" t="str">
        <f>TABLEITEM!$H$3:$H$2749-TABLEITEM!$I$3:$I$2749</f>
        <v>#ERROR!</v>
      </c>
    </row>
    <row r="834" ht="15.75" customHeight="1">
      <c r="A834" s="45">
        <v>551.0</v>
      </c>
      <c r="B834" s="10" t="s">
        <v>436</v>
      </c>
      <c r="C834" s="26"/>
      <c r="D834" s="10" t="s">
        <v>8273</v>
      </c>
      <c r="E834" s="48" t="s">
        <v>8235</v>
      </c>
      <c r="F834" s="48" t="s">
        <v>7173</v>
      </c>
      <c r="G834" s="49">
        <f t="array" ref="G834">MAX(IF(INSTOCK!$H$3:$H$6125=B834,INSTOCK!$K$3:$K$6125))</f>
        <v>0.48</v>
      </c>
      <c r="H834" s="50">
        <f t="array" ref="H834">SUM(IF(INSTOCK!$H$3:$H$6125=B834,INSTOCK!$I$3:$I$6125))</f>
        <v>431</v>
      </c>
      <c r="I834" s="50" t="str">
        <f>ARRAY_CONSTRAIN(ARRAYFORMULA(SUM(IF([3]!Table13[ID]=B834,[3]!Table13[QTY]))), 1, 1)</f>
        <v>#ERROR!</v>
      </c>
      <c r="J834" s="50" t="str">
        <f>TABLEITEM!$H$3:$H$2749-TABLEITEM!$I$3:$I$2749</f>
        <v>#ERROR!</v>
      </c>
    </row>
    <row r="835" ht="16.5" customHeight="1">
      <c r="A835" s="45">
        <v>503.0</v>
      </c>
      <c r="B835" s="10" t="s">
        <v>388</v>
      </c>
      <c r="C835" s="26"/>
      <c r="D835" s="10" t="s">
        <v>8274</v>
      </c>
      <c r="E835" s="48" t="s">
        <v>8235</v>
      </c>
      <c r="F835" s="48" t="s">
        <v>7173</v>
      </c>
      <c r="G835" s="49">
        <f t="array" ref="G835">MAX(IF(INSTOCK!$H$3:$H$6125=B835,INSTOCK!$K$3:$K$6125))</f>
        <v>1.92</v>
      </c>
      <c r="H835" s="50">
        <f t="array" ref="H835">SUM(IF(INSTOCK!$H$3:$H$6125=B835,INSTOCK!$I$3:$I$6125))</f>
        <v>419</v>
      </c>
      <c r="I835" s="50" t="str">
        <f>ARRAY_CONSTRAIN(ARRAYFORMULA(SUM(IF([3]!Table13[ID]=B835,[3]!Table13[QTY]))), 1, 1)</f>
        <v>#ERROR!</v>
      </c>
      <c r="J835" s="50" t="str">
        <f>TABLEITEM!$H$3:$H$2749-TABLEITEM!$I$3:$I$2749</f>
        <v>#ERROR!</v>
      </c>
    </row>
    <row r="836" ht="15.75" customHeight="1">
      <c r="A836" s="45">
        <v>504.0</v>
      </c>
      <c r="B836" s="10" t="s">
        <v>389</v>
      </c>
      <c r="C836" s="26"/>
      <c r="D836" s="10" t="s">
        <v>8275</v>
      </c>
      <c r="E836" s="48" t="s">
        <v>8235</v>
      </c>
      <c r="F836" s="48" t="s">
        <v>7173</v>
      </c>
      <c r="G836" s="49">
        <f t="array" ref="G836">MAX(IF(INSTOCK!$H$3:$H$6125=B836,INSTOCK!$K$3:$K$6125))</f>
        <v>1.92</v>
      </c>
      <c r="H836" s="50">
        <f t="array" ref="H836">SUM(IF(INSTOCK!$H$3:$H$6125=B836,INSTOCK!$I$3:$I$6125))</f>
        <v>515</v>
      </c>
      <c r="I836" s="50" t="str">
        <f>ARRAY_CONSTRAIN(ARRAYFORMULA(SUM(IF([3]!Table13[ID]=B836,[3]!Table13[QTY]))), 1, 1)</f>
        <v>#ERROR!</v>
      </c>
      <c r="J836" s="50" t="str">
        <f>TABLEITEM!$H$3:$H$2749-TABLEITEM!$I$3:$I$2749</f>
        <v>#ERROR!</v>
      </c>
    </row>
    <row r="837" ht="15.75" customHeight="1">
      <c r="A837" s="45">
        <v>502.0</v>
      </c>
      <c r="B837" s="10" t="s">
        <v>387</v>
      </c>
      <c r="C837" s="26"/>
      <c r="D837" s="10" t="s">
        <v>8276</v>
      </c>
      <c r="E837" s="48" t="s">
        <v>8235</v>
      </c>
      <c r="F837" s="48" t="s">
        <v>7173</v>
      </c>
      <c r="G837" s="49">
        <f t="array" ref="G837">MAX(IF(INSTOCK!$H$3:$H$6125=B837,INSTOCK!$K$3:$K$6125))</f>
        <v>1.92</v>
      </c>
      <c r="H837" s="50">
        <f t="array" ref="H837">SUM(IF(INSTOCK!$H$3:$H$6125=B837,INSTOCK!$I$3:$I$6125))</f>
        <v>193</v>
      </c>
      <c r="I837" s="50" t="str">
        <f>ARRAY_CONSTRAIN(ARRAYFORMULA(SUM(IF([3]!Table13[ID]=B837,[3]!Table13[QTY]))), 1, 1)</f>
        <v>#ERROR!</v>
      </c>
      <c r="J837" s="50" t="str">
        <f>TABLEITEM!$H$3:$H$2749-TABLEITEM!$I$3:$I$2749</f>
        <v>#ERROR!</v>
      </c>
    </row>
    <row r="838" ht="15.75" customHeight="1">
      <c r="A838" s="45">
        <v>507.0</v>
      </c>
      <c r="B838" s="10" t="s">
        <v>392</v>
      </c>
      <c r="C838" s="26"/>
      <c r="D838" s="10" t="s">
        <v>8277</v>
      </c>
      <c r="E838" s="48" t="s">
        <v>8235</v>
      </c>
      <c r="F838" s="48" t="s">
        <v>7173</v>
      </c>
      <c r="G838" s="49">
        <f t="array" ref="G838">MAX(IF(INSTOCK!$H$3:$H$6125=B838,INSTOCK!$K$3:$K$6125))</f>
        <v>1.92</v>
      </c>
      <c r="H838" s="50">
        <f t="array" ref="H838">SUM(IF(INSTOCK!$H$3:$H$6125=B838,INSTOCK!$I$3:$I$6125))</f>
        <v>608</v>
      </c>
      <c r="I838" s="50" t="str">
        <f>ARRAY_CONSTRAIN(ARRAYFORMULA(SUM(IF([3]!Table13[ID]=B838,[3]!Table13[QTY]))), 1, 1)</f>
        <v>#ERROR!</v>
      </c>
      <c r="J838" s="50" t="str">
        <f>TABLEITEM!$H$3:$H$2749-TABLEITEM!$I$3:$I$2749</f>
        <v>#ERROR!</v>
      </c>
    </row>
    <row r="839" ht="15.75" customHeight="1">
      <c r="A839" s="45">
        <v>506.0</v>
      </c>
      <c r="B839" s="10" t="s">
        <v>391</v>
      </c>
      <c r="C839" s="26"/>
      <c r="D839" s="10" t="s">
        <v>8278</v>
      </c>
      <c r="E839" s="48" t="s">
        <v>8235</v>
      </c>
      <c r="F839" s="48" t="s">
        <v>7173</v>
      </c>
      <c r="G839" s="49">
        <f t="array" ref="G839">MAX(IF(INSTOCK!$H$3:$H$6125=B839,INSTOCK!$K$3:$K$6125))</f>
        <v>1.92</v>
      </c>
      <c r="H839" s="50">
        <f t="array" ref="H839">SUM(IF(INSTOCK!$H$3:$H$6125=B839,INSTOCK!$I$3:$I$6125))</f>
        <v>448</v>
      </c>
      <c r="I839" s="50" t="str">
        <f>ARRAY_CONSTRAIN(ARRAYFORMULA(SUM(IF([3]!Table13[ID]=B839,[3]!Table13[QTY]))), 1, 1)</f>
        <v>#ERROR!</v>
      </c>
      <c r="J839" s="50" t="str">
        <f>TABLEITEM!$H$3:$H$2749-TABLEITEM!$I$3:$I$2749</f>
        <v>#ERROR!</v>
      </c>
    </row>
    <row r="840" ht="15.75" customHeight="1">
      <c r="A840" s="45">
        <v>505.0</v>
      </c>
      <c r="B840" s="10" t="s">
        <v>390</v>
      </c>
      <c r="C840" s="26"/>
      <c r="D840" s="10" t="s">
        <v>8279</v>
      </c>
      <c r="E840" s="48" t="s">
        <v>8235</v>
      </c>
      <c r="F840" s="48" t="s">
        <v>7173</v>
      </c>
      <c r="G840" s="49">
        <f t="array" ref="G840">MAX(IF(INSTOCK!$H$3:$H$6125=B840,INSTOCK!$K$3:$K$6125))</f>
        <v>1.92</v>
      </c>
      <c r="H840" s="50">
        <f t="array" ref="H840">SUM(IF(INSTOCK!$H$3:$H$6125=B840,INSTOCK!$I$3:$I$6125))</f>
        <v>335</v>
      </c>
      <c r="I840" s="50" t="str">
        <f>ARRAY_CONSTRAIN(ARRAYFORMULA(SUM(IF([3]!Table13[ID]=B840,[3]!Table13[QTY]))), 1, 1)</f>
        <v>#ERROR!</v>
      </c>
      <c r="J840" s="50" t="str">
        <f>TABLEITEM!$H$3:$H$2749-TABLEITEM!$I$3:$I$2749</f>
        <v>#ERROR!</v>
      </c>
    </row>
    <row r="841" ht="15.75" customHeight="1">
      <c r="A841" s="45">
        <v>564.0</v>
      </c>
      <c r="B841" s="10" t="s">
        <v>449</v>
      </c>
      <c r="C841" s="26"/>
      <c r="D841" s="10" t="s">
        <v>8280</v>
      </c>
      <c r="E841" s="48" t="s">
        <v>8235</v>
      </c>
      <c r="F841" s="48" t="s">
        <v>7173</v>
      </c>
      <c r="G841" s="49">
        <f t="array" ref="G841">MAX(IF(INSTOCK!$H$3:$H$6125=B841,INSTOCK!$K$3:$K$6125))</f>
        <v>1.92</v>
      </c>
      <c r="H841" s="50">
        <f t="array" ref="H841">SUM(IF(INSTOCK!$H$3:$H$6125=B841,INSTOCK!$I$3:$I$6125))</f>
        <v>300</v>
      </c>
      <c r="I841" s="50" t="str">
        <f>ARRAY_CONSTRAIN(ARRAYFORMULA(SUM(IF([3]!Table13[ID]=B841,[3]!Table13[QTY]))), 1, 1)</f>
        <v>#ERROR!</v>
      </c>
      <c r="J841" s="50" t="str">
        <f>TABLEITEM!$H$3:$H$2749-TABLEITEM!$I$3:$I$2749</f>
        <v>#ERROR!</v>
      </c>
    </row>
    <row r="842" ht="15.75" customHeight="1">
      <c r="A842" s="45">
        <v>562.0</v>
      </c>
      <c r="B842" s="10" t="s">
        <v>447</v>
      </c>
      <c r="C842" s="26"/>
      <c r="D842" s="10" t="s">
        <v>8281</v>
      </c>
      <c r="E842" s="48" t="s">
        <v>8235</v>
      </c>
      <c r="F842" s="48" t="s">
        <v>7173</v>
      </c>
      <c r="G842" s="49">
        <f t="array" ref="G842">MAX(IF(INSTOCK!$H$3:$H$6125=B842,INSTOCK!$K$3:$K$6125))</f>
        <v>1.92</v>
      </c>
      <c r="H842" s="50">
        <f t="array" ref="H842">SUM(IF(INSTOCK!$H$3:$H$6125=B842,INSTOCK!$I$3:$I$6125))</f>
        <v>738</v>
      </c>
      <c r="I842" s="50" t="str">
        <f>ARRAY_CONSTRAIN(ARRAYFORMULA(SUM(IF([3]!Table13[ID]=B842,[3]!Table13[QTY]))), 1, 1)</f>
        <v>#ERROR!</v>
      </c>
      <c r="J842" s="50" t="str">
        <f>TABLEITEM!$H$3:$H$2749-TABLEITEM!$I$3:$I$2749</f>
        <v>#ERROR!</v>
      </c>
    </row>
    <row r="843" ht="15.75" customHeight="1">
      <c r="A843" s="45">
        <v>563.0</v>
      </c>
      <c r="B843" s="10" t="s">
        <v>448</v>
      </c>
      <c r="C843" s="26"/>
      <c r="D843" s="10" t="s">
        <v>8282</v>
      </c>
      <c r="E843" s="48" t="s">
        <v>8235</v>
      </c>
      <c r="F843" s="48" t="s">
        <v>7173</v>
      </c>
      <c r="G843" s="49">
        <f t="array" ref="G843">MAX(IF(INSTOCK!$H$3:$H$6125=B843,INSTOCK!$K$3:$K$6125))</f>
        <v>1.92</v>
      </c>
      <c r="H843" s="50">
        <f t="array" ref="H843">SUM(IF(INSTOCK!$H$3:$H$6125=B843,INSTOCK!$I$3:$I$6125))</f>
        <v>711</v>
      </c>
      <c r="I843" s="50" t="str">
        <f>ARRAY_CONSTRAIN(ARRAYFORMULA(SUM(IF([3]!Table13[ID]=B843,[3]!Table13[QTY]))), 1, 1)</f>
        <v>#ERROR!</v>
      </c>
      <c r="J843" s="50" t="str">
        <f>TABLEITEM!$H$3:$H$2749-TABLEITEM!$I$3:$I$2749</f>
        <v>#ERROR!</v>
      </c>
    </row>
    <row r="844" ht="15.75" customHeight="1">
      <c r="A844" s="45">
        <v>473.0</v>
      </c>
      <c r="B844" s="10" t="s">
        <v>358</v>
      </c>
      <c r="C844" s="26"/>
      <c r="D844" s="10" t="s">
        <v>8283</v>
      </c>
      <c r="E844" s="48" t="s">
        <v>8235</v>
      </c>
      <c r="F844" s="48" t="s">
        <v>7173</v>
      </c>
      <c r="G844" s="49">
        <f t="array" ref="G844">MAX(IF(INSTOCK!$H$3:$H$6125=B844,INSTOCK!$K$3:$K$6125))</f>
        <v>0.42</v>
      </c>
      <c r="H844" s="50">
        <f t="array" ref="H844">SUM(IF(INSTOCK!$H$3:$H$6125=B844,INSTOCK!$I$3:$I$6125))</f>
        <v>534</v>
      </c>
      <c r="I844" s="50" t="str">
        <f>ARRAY_CONSTRAIN(ARRAYFORMULA(SUM(IF([3]!Table13[ID]=B844,[3]!Table13[QTY]))), 1, 1)</f>
        <v>#ERROR!</v>
      </c>
      <c r="J844" s="50" t="str">
        <f>TABLEITEM!$H$3:$H$2749-TABLEITEM!$I$3:$I$2749</f>
        <v>#ERROR!</v>
      </c>
    </row>
    <row r="845" ht="15.75" customHeight="1">
      <c r="A845" s="45">
        <v>474.0</v>
      </c>
      <c r="B845" s="10" t="s">
        <v>359</v>
      </c>
      <c r="C845" s="26"/>
      <c r="D845" s="10" t="s">
        <v>8284</v>
      </c>
      <c r="E845" s="48" t="s">
        <v>8235</v>
      </c>
      <c r="F845" s="48" t="s">
        <v>7173</v>
      </c>
      <c r="G845" s="49">
        <f t="array" ref="G845">MAX(IF(INSTOCK!$H$3:$H$6125=B845,INSTOCK!$K$3:$K$6125))</f>
        <v>0.42</v>
      </c>
      <c r="H845" s="50">
        <f t="array" ref="H845">SUM(IF(INSTOCK!$H$3:$H$6125=B845,INSTOCK!$I$3:$I$6125))</f>
        <v>578</v>
      </c>
      <c r="I845" s="50" t="str">
        <f>ARRAY_CONSTRAIN(ARRAYFORMULA(SUM(IF([3]!Table13[ID]=B845,[3]!Table13[QTY]))), 1, 1)</f>
        <v>#ERROR!</v>
      </c>
      <c r="J845" s="50" t="str">
        <f>TABLEITEM!$H$3:$H$2749-TABLEITEM!$I$3:$I$2749</f>
        <v>#ERROR!</v>
      </c>
    </row>
    <row r="846" ht="15.75" customHeight="1">
      <c r="A846" s="45">
        <v>472.0</v>
      </c>
      <c r="B846" s="10" t="s">
        <v>357</v>
      </c>
      <c r="C846" s="26"/>
      <c r="D846" s="10" t="s">
        <v>8285</v>
      </c>
      <c r="E846" s="48" t="s">
        <v>8235</v>
      </c>
      <c r="F846" s="48" t="s">
        <v>7173</v>
      </c>
      <c r="G846" s="49">
        <f t="array" ref="G846">MAX(IF(INSTOCK!$H$3:$H$6125=B846,INSTOCK!$K$3:$K$6125))</f>
        <v>0.42</v>
      </c>
      <c r="H846" s="50">
        <f t="array" ref="H846">SUM(IF(INSTOCK!$H$3:$H$6125=B846,INSTOCK!$I$3:$I$6125))</f>
        <v>521</v>
      </c>
      <c r="I846" s="50" t="str">
        <f>ARRAY_CONSTRAIN(ARRAYFORMULA(SUM(IF([3]!Table13[ID]=B846,[3]!Table13[QTY]))), 1, 1)</f>
        <v>#ERROR!</v>
      </c>
      <c r="J846" s="50" t="str">
        <f>TABLEITEM!$H$3:$H$2749-TABLEITEM!$I$3:$I$2749</f>
        <v>#ERROR!</v>
      </c>
    </row>
    <row r="847" ht="15.75" customHeight="1">
      <c r="A847" s="45">
        <v>477.0</v>
      </c>
      <c r="B847" s="10" t="s">
        <v>362</v>
      </c>
      <c r="C847" s="26"/>
      <c r="D847" s="10" t="s">
        <v>8286</v>
      </c>
      <c r="E847" s="48" t="s">
        <v>8235</v>
      </c>
      <c r="F847" s="48" t="s">
        <v>7173</v>
      </c>
      <c r="G847" s="49">
        <f t="array" ref="G847">MAX(IF(INSTOCK!$H$3:$H$6125=B847,INSTOCK!$K$3:$K$6125))</f>
        <v>0.42</v>
      </c>
      <c r="H847" s="50">
        <f t="array" ref="H847">SUM(IF(INSTOCK!$H$3:$H$6125=B847,INSTOCK!$I$3:$I$6125))</f>
        <v>799</v>
      </c>
      <c r="I847" s="50" t="str">
        <f>ARRAY_CONSTRAIN(ARRAYFORMULA(SUM(IF([3]!Table13[ID]=B847,[3]!Table13[QTY]))), 1, 1)</f>
        <v>#ERROR!</v>
      </c>
      <c r="J847" s="50" t="str">
        <f>TABLEITEM!$H$3:$H$2749-TABLEITEM!$I$3:$I$2749</f>
        <v>#ERROR!</v>
      </c>
    </row>
    <row r="848" ht="15.75" customHeight="1">
      <c r="A848" s="45">
        <v>476.0</v>
      </c>
      <c r="B848" s="10" t="s">
        <v>361</v>
      </c>
      <c r="C848" s="26"/>
      <c r="D848" s="10" t="s">
        <v>8287</v>
      </c>
      <c r="E848" s="48" t="s">
        <v>8235</v>
      </c>
      <c r="F848" s="48" t="s">
        <v>7173</v>
      </c>
      <c r="G848" s="49">
        <f t="array" ref="G848">MAX(IF(INSTOCK!$H$3:$H$6125=B848,INSTOCK!$K$3:$K$6125))</f>
        <v>0.42</v>
      </c>
      <c r="H848" s="50">
        <f t="array" ref="H848">SUM(IF(INSTOCK!$H$3:$H$6125=B848,INSTOCK!$I$3:$I$6125))</f>
        <v>579</v>
      </c>
      <c r="I848" s="50" t="str">
        <f>ARRAY_CONSTRAIN(ARRAYFORMULA(SUM(IF([3]!Table13[ID]=B848,[3]!Table13[QTY]))), 1, 1)</f>
        <v>#ERROR!</v>
      </c>
      <c r="J848" s="50" t="str">
        <f>TABLEITEM!$H$3:$H$2749-TABLEITEM!$I$3:$I$2749</f>
        <v>#ERROR!</v>
      </c>
    </row>
    <row r="849" ht="15.75" customHeight="1">
      <c r="A849" s="45">
        <v>475.0</v>
      </c>
      <c r="B849" s="10" t="s">
        <v>360</v>
      </c>
      <c r="C849" s="26"/>
      <c r="D849" s="10" t="s">
        <v>8288</v>
      </c>
      <c r="E849" s="48" t="s">
        <v>8235</v>
      </c>
      <c r="F849" s="48" t="s">
        <v>7173</v>
      </c>
      <c r="G849" s="49">
        <f t="array" ref="G849">MAX(IF(INSTOCK!$H$3:$H$6125=B849,INSTOCK!$K$3:$K$6125))</f>
        <v>0.42</v>
      </c>
      <c r="H849" s="50">
        <f t="array" ref="H849">SUM(IF(INSTOCK!$H$3:$H$6125=B849,INSTOCK!$I$3:$I$6125))</f>
        <v>328</v>
      </c>
      <c r="I849" s="50" t="str">
        <f>ARRAY_CONSTRAIN(ARRAYFORMULA(SUM(IF([3]!Table13[ID]=B849,[3]!Table13[QTY]))), 1, 1)</f>
        <v>#ERROR!</v>
      </c>
      <c r="J849" s="50" t="str">
        <f>TABLEITEM!$H$3:$H$2749-TABLEITEM!$I$3:$I$2749</f>
        <v>#ERROR!</v>
      </c>
    </row>
    <row r="850" ht="15.75" customHeight="1">
      <c r="A850" s="45">
        <v>549.0</v>
      </c>
      <c r="B850" s="10" t="s">
        <v>434</v>
      </c>
      <c r="C850" s="26"/>
      <c r="D850" s="10" t="s">
        <v>8289</v>
      </c>
      <c r="E850" s="48" t="s">
        <v>8235</v>
      </c>
      <c r="F850" s="48" t="s">
        <v>7173</v>
      </c>
      <c r="G850" s="49">
        <f t="array" ref="G850">MAX(IF(INSTOCK!$H$3:$H$6125=B850,INSTOCK!$K$3:$K$6125))</f>
        <v>0.42</v>
      </c>
      <c r="H850" s="50">
        <f t="array" ref="H850">SUM(IF(INSTOCK!$H$3:$H$6125=B850,INSTOCK!$I$3:$I$6125))</f>
        <v>532</v>
      </c>
      <c r="I850" s="50" t="str">
        <f>ARRAY_CONSTRAIN(ARRAYFORMULA(SUM(IF([3]!Table13[ID]=B850,[3]!Table13[QTY]))), 1, 1)</f>
        <v>#ERROR!</v>
      </c>
      <c r="J850" s="50" t="str">
        <f>TABLEITEM!$H$3:$H$2749-TABLEITEM!$I$3:$I$2749</f>
        <v>#ERROR!</v>
      </c>
    </row>
    <row r="851" ht="15.75" customHeight="1">
      <c r="A851" s="45">
        <v>547.0</v>
      </c>
      <c r="B851" s="10" t="s">
        <v>432</v>
      </c>
      <c r="C851" s="26"/>
      <c r="D851" s="10" t="s">
        <v>8290</v>
      </c>
      <c r="E851" s="48" t="s">
        <v>8235</v>
      </c>
      <c r="F851" s="48" t="s">
        <v>7173</v>
      </c>
      <c r="G851" s="49">
        <f t="array" ref="G851">MAX(IF(INSTOCK!$H$3:$H$6125=B851,INSTOCK!$K$3:$K$6125))</f>
        <v>0.42</v>
      </c>
      <c r="H851" s="50">
        <f t="array" ref="H851">SUM(IF(INSTOCK!$H$3:$H$6125=B851,INSTOCK!$I$3:$I$6125))</f>
        <v>733</v>
      </c>
      <c r="I851" s="50" t="str">
        <f>ARRAY_CONSTRAIN(ARRAYFORMULA(SUM(IF([3]!Table13[ID]=B851,[3]!Table13[QTY]))), 1, 1)</f>
        <v>#ERROR!</v>
      </c>
      <c r="J851" s="50" t="str">
        <f>TABLEITEM!$H$3:$H$2749-TABLEITEM!$I$3:$I$2749</f>
        <v>#ERROR!</v>
      </c>
    </row>
    <row r="852" ht="15.75" customHeight="1">
      <c r="A852" s="45">
        <v>548.0</v>
      </c>
      <c r="B852" s="10" t="s">
        <v>433</v>
      </c>
      <c r="C852" s="26"/>
      <c r="D852" s="10" t="s">
        <v>8291</v>
      </c>
      <c r="E852" s="48" t="s">
        <v>8235</v>
      </c>
      <c r="F852" s="48" t="s">
        <v>7173</v>
      </c>
      <c r="G852" s="49">
        <f t="array" ref="G852">MAX(IF(INSTOCK!$H$3:$H$6125=B852,INSTOCK!$K$3:$K$6125))</f>
        <v>0.42</v>
      </c>
      <c r="H852" s="50">
        <f t="array" ref="H852">SUM(IF(INSTOCK!$H$3:$H$6125=B852,INSTOCK!$I$3:$I$6125))</f>
        <v>728</v>
      </c>
      <c r="I852" s="50" t="str">
        <f>ARRAY_CONSTRAIN(ARRAYFORMULA(SUM(IF([3]!Table13[ID]=B852,[3]!Table13[QTY]))), 1, 1)</f>
        <v>#ERROR!</v>
      </c>
      <c r="J852" s="50" t="str">
        <f>TABLEITEM!$H$3:$H$2749-TABLEITEM!$I$3:$I$2749</f>
        <v>#ERROR!</v>
      </c>
    </row>
    <row r="853" ht="15.75" customHeight="1">
      <c r="A853" s="45">
        <v>539.0</v>
      </c>
      <c r="B853" s="10" t="s">
        <v>424</v>
      </c>
      <c r="C853" s="26"/>
      <c r="D853" s="10" t="s">
        <v>8292</v>
      </c>
      <c r="E853" s="48" t="s">
        <v>8235</v>
      </c>
      <c r="F853" s="48" t="s">
        <v>7173</v>
      </c>
      <c r="G853" s="49">
        <f t="array" ref="G853">MAX(IF(INSTOCK!$H$3:$H$6125=B853,INSTOCK!$K$3:$K$6125))</f>
        <v>12</v>
      </c>
      <c r="H853" s="50">
        <f t="array" ref="H853">SUM(IF(INSTOCK!$H$3:$H$6125=B853,INSTOCK!$I$3:$I$6125))</f>
        <v>28</v>
      </c>
      <c r="I853" s="50" t="str">
        <f>ARRAY_CONSTRAIN(ARRAYFORMULA(SUM(IF([3]!Table13[ID]=B853,[3]!Table13[QTY]))), 1, 1)</f>
        <v>#ERROR!</v>
      </c>
      <c r="J853" s="50" t="str">
        <f>TABLEITEM!$H$3:$H$2749-TABLEITEM!$I$3:$I$2749</f>
        <v>#ERROR!</v>
      </c>
    </row>
    <row r="854" ht="15.75" customHeight="1">
      <c r="A854" s="45">
        <v>540.0</v>
      </c>
      <c r="B854" s="10" t="s">
        <v>425</v>
      </c>
      <c r="C854" s="26"/>
      <c r="D854" s="10" t="s">
        <v>8293</v>
      </c>
      <c r="E854" s="48" t="s">
        <v>8235</v>
      </c>
      <c r="F854" s="48" t="s">
        <v>7173</v>
      </c>
      <c r="G854" s="49">
        <f t="array" ref="G854">MAX(IF(INSTOCK!$H$3:$H$6125=B854,INSTOCK!$K$3:$K$6125))</f>
        <v>12</v>
      </c>
      <c r="H854" s="50">
        <f t="array" ref="H854">SUM(IF(INSTOCK!$H$3:$H$6125=B854,INSTOCK!$I$3:$I$6125))</f>
        <v>4</v>
      </c>
      <c r="I854" s="50" t="str">
        <f>ARRAY_CONSTRAIN(ARRAYFORMULA(SUM(IF([3]!Table13[ID]=B854,[3]!Table13[QTY]))), 1, 1)</f>
        <v>#ERROR!</v>
      </c>
      <c r="J854" s="50" t="str">
        <f>TABLEITEM!$H$3:$H$2749-TABLEITEM!$I$3:$I$2749</f>
        <v>#ERROR!</v>
      </c>
    </row>
    <row r="855" ht="15.75" customHeight="1">
      <c r="A855" s="45">
        <v>538.0</v>
      </c>
      <c r="B855" s="10" t="s">
        <v>423</v>
      </c>
      <c r="C855" s="26"/>
      <c r="D855" s="10" t="s">
        <v>8294</v>
      </c>
      <c r="E855" s="48" t="s">
        <v>8235</v>
      </c>
      <c r="F855" s="48" t="s">
        <v>7173</v>
      </c>
      <c r="G855" s="49">
        <f t="array" ref="G855">MAX(IF(INSTOCK!$H$3:$H$6125=B855,INSTOCK!$K$3:$K$6125))</f>
        <v>12</v>
      </c>
      <c r="H855" s="50">
        <f t="array" ref="H855">SUM(IF(INSTOCK!$H$3:$H$6125=B855,INSTOCK!$I$3:$I$6125))</f>
        <v>13</v>
      </c>
      <c r="I855" s="50" t="str">
        <f>ARRAY_CONSTRAIN(ARRAYFORMULA(SUM(IF([3]!Table13[ID]=B855,[3]!Table13[QTY]))), 1, 1)</f>
        <v>#ERROR!</v>
      </c>
      <c r="J855" s="50" t="str">
        <f>TABLEITEM!$H$3:$H$2749-TABLEITEM!$I$3:$I$2749</f>
        <v>#ERROR!</v>
      </c>
    </row>
    <row r="856" ht="15.75" customHeight="1">
      <c r="A856" s="45">
        <v>543.0</v>
      </c>
      <c r="B856" s="10" t="s">
        <v>428</v>
      </c>
      <c r="C856" s="26"/>
      <c r="D856" s="10" t="s">
        <v>8295</v>
      </c>
      <c r="E856" s="48" t="s">
        <v>8235</v>
      </c>
      <c r="F856" s="48" t="s">
        <v>7173</v>
      </c>
      <c r="G856" s="49">
        <f t="array" ref="G856">MAX(IF(INSTOCK!$H$3:$H$6125=B856,INSTOCK!$K$3:$K$6125))</f>
        <v>12</v>
      </c>
      <c r="H856" s="50">
        <f t="array" ref="H856">SUM(IF(INSTOCK!$H$3:$H$6125=B856,INSTOCK!$I$3:$I$6125))</f>
        <v>0</v>
      </c>
      <c r="I856" s="50" t="str">
        <f>ARRAY_CONSTRAIN(ARRAYFORMULA(SUM(IF([3]!Table13[ID]=B856,[3]!Table13[QTY]))), 1, 1)</f>
        <v>#ERROR!</v>
      </c>
      <c r="J856" s="50" t="str">
        <f>TABLEITEM!$H$3:$H$2749-TABLEITEM!$I$3:$I$2749</f>
        <v>#ERROR!</v>
      </c>
    </row>
    <row r="857" ht="15.75" customHeight="1">
      <c r="A857" s="45">
        <v>542.0</v>
      </c>
      <c r="B857" s="10" t="s">
        <v>427</v>
      </c>
      <c r="C857" s="26"/>
      <c r="D857" s="10" t="s">
        <v>8296</v>
      </c>
      <c r="E857" s="48" t="s">
        <v>8235</v>
      </c>
      <c r="F857" s="48" t="s">
        <v>7173</v>
      </c>
      <c r="G857" s="49">
        <f t="array" ref="G857">MAX(IF(INSTOCK!$H$3:$H$6125=B857,INSTOCK!$K$3:$K$6125))</f>
        <v>12</v>
      </c>
      <c r="H857" s="50">
        <f t="array" ref="H857">SUM(IF(INSTOCK!$H$3:$H$6125=B857,INSTOCK!$I$3:$I$6125))</f>
        <v>0</v>
      </c>
      <c r="I857" s="50" t="str">
        <f>ARRAY_CONSTRAIN(ARRAYFORMULA(SUM(IF([3]!Table13[ID]=B857,[3]!Table13[QTY]))), 1, 1)</f>
        <v>#ERROR!</v>
      </c>
      <c r="J857" s="50" t="str">
        <f>TABLEITEM!$H$3:$H$2749-TABLEITEM!$I$3:$I$2749</f>
        <v>#ERROR!</v>
      </c>
    </row>
    <row r="858" ht="15.75" customHeight="1">
      <c r="A858" s="45">
        <v>541.0</v>
      </c>
      <c r="B858" s="10" t="s">
        <v>426</v>
      </c>
      <c r="C858" s="26"/>
      <c r="D858" s="10" t="s">
        <v>8297</v>
      </c>
      <c r="E858" s="48" t="s">
        <v>8235</v>
      </c>
      <c r="F858" s="48" t="s">
        <v>7173</v>
      </c>
      <c r="G858" s="49">
        <f t="array" ref="G858">MAX(IF(INSTOCK!$H$3:$H$6125=B858,INSTOCK!$K$3:$K$6125))</f>
        <v>12</v>
      </c>
      <c r="H858" s="50">
        <f t="array" ref="H858">SUM(IF(INSTOCK!$H$3:$H$6125=B858,INSTOCK!$I$3:$I$6125))</f>
        <v>78</v>
      </c>
      <c r="I858" s="50" t="str">
        <f>ARRAY_CONSTRAIN(ARRAYFORMULA(SUM(IF([3]!Table13[ID]=B858,[3]!Table13[QTY]))), 1, 1)</f>
        <v>#ERROR!</v>
      </c>
      <c r="J858" s="50" t="str">
        <f>TABLEITEM!$H$3:$H$2749-TABLEITEM!$I$3:$I$2749</f>
        <v>#ERROR!</v>
      </c>
    </row>
    <row r="859" ht="15.75" customHeight="1">
      <c r="A859" s="45">
        <v>497.0</v>
      </c>
      <c r="B859" s="10" t="s">
        <v>382</v>
      </c>
      <c r="C859" s="26"/>
      <c r="D859" s="10" t="s">
        <v>8298</v>
      </c>
      <c r="E859" s="48" t="s">
        <v>8235</v>
      </c>
      <c r="F859" s="48" t="s">
        <v>7173</v>
      </c>
      <c r="G859" s="49">
        <f t="array" ref="G859">MAX(IF(INSTOCK!$H$3:$H$6125=B859,INSTOCK!$K$3:$K$6125))</f>
        <v>1.56</v>
      </c>
      <c r="H859" s="50">
        <f t="array" ref="H859">SUM(IF(INSTOCK!$H$3:$H$6125=B859,INSTOCK!$I$3:$I$6125))</f>
        <v>607</v>
      </c>
      <c r="I859" s="50" t="str">
        <f>ARRAY_CONSTRAIN(ARRAYFORMULA(SUM(IF([3]!Table13[ID]=B859,[3]!Table13[QTY]))), 1, 1)</f>
        <v>#ERROR!</v>
      </c>
      <c r="J859" s="50" t="str">
        <f>TABLEITEM!$H$3:$H$2749-TABLEITEM!$I$3:$I$2749</f>
        <v>#ERROR!</v>
      </c>
    </row>
    <row r="860" ht="15.75" customHeight="1">
      <c r="A860" s="45">
        <v>501.0</v>
      </c>
      <c r="B860" s="10" t="s">
        <v>386</v>
      </c>
      <c r="C860" s="26"/>
      <c r="D860" s="10" t="s">
        <v>8299</v>
      </c>
      <c r="E860" s="48" t="s">
        <v>8235</v>
      </c>
      <c r="F860" s="48" t="s">
        <v>7173</v>
      </c>
      <c r="G860" s="49">
        <f t="array" ref="G860">MAX(IF(INSTOCK!$H$3:$H$6125=B860,INSTOCK!$K$3:$K$6125))</f>
        <v>1.56</v>
      </c>
      <c r="H860" s="50">
        <f t="array" ref="H860">SUM(IF(INSTOCK!$H$3:$H$6125=B860,INSTOCK!$I$3:$I$6125))</f>
        <v>1136</v>
      </c>
      <c r="I860" s="50" t="str">
        <f>ARRAY_CONSTRAIN(ARRAYFORMULA(SUM(IF([3]!Table13[ID]=B860,[3]!Table13[QTY]))), 1, 1)</f>
        <v>#ERROR!</v>
      </c>
      <c r="J860" s="50" t="str">
        <f>TABLEITEM!$H$3:$H$2749-TABLEITEM!$I$3:$I$2749</f>
        <v>#ERROR!</v>
      </c>
    </row>
    <row r="861" ht="15.75" customHeight="1">
      <c r="A861" s="45">
        <v>500.0</v>
      </c>
      <c r="B861" s="10" t="s">
        <v>385</v>
      </c>
      <c r="C861" s="26"/>
      <c r="D861" s="10" t="s">
        <v>8300</v>
      </c>
      <c r="E861" s="48" t="s">
        <v>8235</v>
      </c>
      <c r="F861" s="48" t="s">
        <v>7173</v>
      </c>
      <c r="G861" s="49">
        <f t="array" ref="G861">MAX(IF(INSTOCK!$H$3:$H$6125=B861,INSTOCK!$K$3:$K$6125))</f>
        <v>1.56</v>
      </c>
      <c r="H861" s="50">
        <f t="array" ref="H861">SUM(IF(INSTOCK!$H$3:$H$6125=B861,INSTOCK!$I$3:$I$6125))</f>
        <v>1151</v>
      </c>
      <c r="I861" s="50" t="str">
        <f>ARRAY_CONSTRAIN(ARRAYFORMULA(SUM(IF([3]!Table13[ID]=B861,[3]!Table13[QTY]))), 1, 1)</f>
        <v>#ERROR!</v>
      </c>
      <c r="J861" s="50" t="str">
        <f>TABLEITEM!$H$3:$H$2749-TABLEITEM!$I$3:$I$2749</f>
        <v>#ERROR!</v>
      </c>
    </row>
    <row r="862" ht="15.75" customHeight="1">
      <c r="A862" s="45">
        <v>499.0</v>
      </c>
      <c r="B862" s="10" t="s">
        <v>384</v>
      </c>
      <c r="C862" s="26"/>
      <c r="D862" s="10" t="s">
        <v>8301</v>
      </c>
      <c r="E862" s="48" t="s">
        <v>8235</v>
      </c>
      <c r="F862" s="48" t="s">
        <v>7173</v>
      </c>
      <c r="G862" s="49">
        <f t="array" ref="G862">MAX(IF(INSTOCK!$H$3:$H$6125=B862,INSTOCK!$K$3:$K$6125))</f>
        <v>1.56</v>
      </c>
      <c r="H862" s="50">
        <f t="array" ref="H862">SUM(IF(INSTOCK!$H$3:$H$6125=B862,INSTOCK!$I$3:$I$6125))</f>
        <v>621</v>
      </c>
      <c r="I862" s="50" t="str">
        <f>ARRAY_CONSTRAIN(ARRAYFORMULA(SUM(IF([3]!Table13[ID]=B862,[3]!Table13[QTY]))), 1, 1)</f>
        <v>#ERROR!</v>
      </c>
      <c r="J862" s="50" t="str">
        <f>TABLEITEM!$H$3:$H$2749-TABLEITEM!$I$3:$I$2749</f>
        <v>#ERROR!</v>
      </c>
    </row>
    <row r="863" ht="15.75" customHeight="1">
      <c r="A863" s="45"/>
      <c r="B863" s="10" t="s">
        <v>1851</v>
      </c>
      <c r="C863" s="26"/>
      <c r="D863" s="10" t="s">
        <v>8302</v>
      </c>
      <c r="E863" s="48" t="s">
        <v>8235</v>
      </c>
      <c r="F863" s="48" t="s">
        <v>7173</v>
      </c>
      <c r="G863" s="49">
        <f t="array" ref="G863">MAX(IF(INSTOCK!$H$3:$H$6125=B863,INSTOCK!$K$3:$K$6125))</f>
        <v>0.936</v>
      </c>
      <c r="H863" s="50">
        <f t="array" ref="H863">SUM(IF(INSTOCK!$H$3:$H$6125=B863,INSTOCK!$I$3:$I$6125))</f>
        <v>700</v>
      </c>
      <c r="I863" s="50" t="str">
        <f>ARRAY_CONSTRAIN(ARRAYFORMULA(SUM(IF([3]!Table13[ID]=B863,[3]!Table13[QTY]))), 1, 1)</f>
        <v>#ERROR!</v>
      </c>
      <c r="J863" s="50" t="str">
        <f>TABLEITEM!$H$3:$H$2749-TABLEITEM!$I$3:$I$2749</f>
        <v>#ERROR!</v>
      </c>
    </row>
    <row r="864" ht="15.75" customHeight="1">
      <c r="A864" s="45">
        <v>498.0</v>
      </c>
      <c r="B864" s="10" t="s">
        <v>383</v>
      </c>
      <c r="C864" s="26"/>
      <c r="D864" s="10" t="s">
        <v>8303</v>
      </c>
      <c r="E864" s="48" t="s">
        <v>8235</v>
      </c>
      <c r="F864" s="48" t="s">
        <v>7173</v>
      </c>
      <c r="G864" s="49">
        <f t="array" ref="G864">MAX(IF(INSTOCK!$H$3:$H$6125=B864,INSTOCK!$K$3:$K$6125))</f>
        <v>1.56</v>
      </c>
      <c r="H864" s="50">
        <f t="array" ref="H864">SUM(IF(INSTOCK!$H$3:$H$6125=B864,INSTOCK!$I$3:$I$6125))</f>
        <v>461</v>
      </c>
      <c r="I864" s="50" t="str">
        <f>ARRAY_CONSTRAIN(ARRAYFORMULA(SUM(IF([3]!Table13[ID]=B864,[3]!Table13[QTY]))), 1, 1)</f>
        <v>#ERROR!</v>
      </c>
      <c r="J864" s="50" t="str">
        <f>TABLEITEM!$H$3:$H$2749-TABLEITEM!$I$3:$I$2749</f>
        <v>#ERROR!</v>
      </c>
    </row>
    <row r="865" ht="15.75" customHeight="1">
      <c r="A865" s="45">
        <v>496.0</v>
      </c>
      <c r="B865" s="10" t="s">
        <v>381</v>
      </c>
      <c r="C865" s="26"/>
      <c r="D865" s="10" t="s">
        <v>8304</v>
      </c>
      <c r="E865" s="48" t="s">
        <v>8235</v>
      </c>
      <c r="F865" s="48" t="s">
        <v>7173</v>
      </c>
      <c r="G865" s="49">
        <f t="array" ref="G865">MAX(IF(INSTOCK!$H$3:$H$6125=B865,INSTOCK!$K$3:$K$6125))</f>
        <v>1.56</v>
      </c>
      <c r="H865" s="50">
        <f t="array" ref="H865">SUM(IF(INSTOCK!$H$3:$H$6125=B865,INSTOCK!$I$3:$I$6125))</f>
        <v>562</v>
      </c>
      <c r="I865" s="50" t="str">
        <f>ARRAY_CONSTRAIN(ARRAYFORMULA(SUM(IF([3]!Table13[ID]=B865,[3]!Table13[QTY]))), 1, 1)</f>
        <v>#ERROR!</v>
      </c>
      <c r="J865" s="50" t="str">
        <f>TABLEITEM!$H$3:$H$2749-TABLEITEM!$I$3:$I$2749</f>
        <v>#ERROR!</v>
      </c>
    </row>
    <row r="866" ht="15.75" customHeight="1">
      <c r="A866" s="45">
        <v>561.0</v>
      </c>
      <c r="B866" s="10" t="s">
        <v>446</v>
      </c>
      <c r="C866" s="26"/>
      <c r="D866" s="10" t="s">
        <v>8305</v>
      </c>
      <c r="E866" s="48" t="s">
        <v>8235</v>
      </c>
      <c r="F866" s="48" t="s">
        <v>7173</v>
      </c>
      <c r="G866" s="49">
        <f t="array" ref="G866">MAX(IF(INSTOCK!$H$3:$H$6125=B866,INSTOCK!$K$3:$K$6125))</f>
        <v>1.56</v>
      </c>
      <c r="H866" s="50">
        <f t="array" ref="H866">SUM(IF(INSTOCK!$H$3:$H$6125=B866,INSTOCK!$I$3:$I$6125))</f>
        <v>276</v>
      </c>
      <c r="I866" s="50" t="str">
        <f>ARRAY_CONSTRAIN(ARRAYFORMULA(SUM(IF([3]!Table13[ID]=B866,[3]!Table13[QTY]))), 1, 1)</f>
        <v>#ERROR!</v>
      </c>
      <c r="J866" s="50" t="str">
        <f>TABLEITEM!$H$3:$H$2749-TABLEITEM!$I$3:$I$2749</f>
        <v>#ERROR!</v>
      </c>
    </row>
    <row r="867" ht="15.75" customHeight="1">
      <c r="A867" s="45">
        <v>559.0</v>
      </c>
      <c r="B867" s="10" t="s">
        <v>444</v>
      </c>
      <c r="C867" s="26"/>
      <c r="D867" s="10" t="s">
        <v>8306</v>
      </c>
      <c r="E867" s="48" t="s">
        <v>8235</v>
      </c>
      <c r="F867" s="48" t="s">
        <v>7173</v>
      </c>
      <c r="G867" s="49">
        <f t="array" ref="G867">MAX(IF(INSTOCK!$H$3:$H$6125=B867,INSTOCK!$K$3:$K$6125))</f>
        <v>1.56</v>
      </c>
      <c r="H867" s="50">
        <f t="array" ref="H867">SUM(IF(INSTOCK!$H$3:$H$6125=B867,INSTOCK!$I$3:$I$6125))</f>
        <v>505</v>
      </c>
      <c r="I867" s="50" t="str">
        <f>ARRAY_CONSTRAIN(ARRAYFORMULA(SUM(IF([3]!Table13[ID]=B867,[3]!Table13[QTY]))), 1, 1)</f>
        <v>#ERROR!</v>
      </c>
      <c r="J867" s="50" t="str">
        <f>TABLEITEM!$H$3:$H$2749-TABLEITEM!$I$3:$I$2749</f>
        <v>#ERROR!</v>
      </c>
    </row>
    <row r="868" ht="15.75" customHeight="1">
      <c r="A868" s="45">
        <v>560.0</v>
      </c>
      <c r="B868" s="10" t="s">
        <v>445</v>
      </c>
      <c r="C868" s="26"/>
      <c r="D868" s="10" t="s">
        <v>8307</v>
      </c>
      <c r="E868" s="48" t="s">
        <v>8235</v>
      </c>
      <c r="F868" s="48" t="s">
        <v>7173</v>
      </c>
      <c r="G868" s="49">
        <f t="array" ref="G868">MAX(IF(INSTOCK!$H$3:$H$6125=B868,INSTOCK!$K$3:$K$6125))</f>
        <v>1.56</v>
      </c>
      <c r="H868" s="50">
        <f t="array" ref="H868">SUM(IF(INSTOCK!$H$3:$H$6125=B868,INSTOCK!$I$3:$I$6125))</f>
        <v>754</v>
      </c>
      <c r="I868" s="50" t="str">
        <f>ARRAY_CONSTRAIN(ARRAYFORMULA(SUM(IF([3]!Table13[ID]=B868,[3]!Table13[QTY]))), 1, 1)</f>
        <v>#ERROR!</v>
      </c>
      <c r="J868" s="50" t="str">
        <f>TABLEITEM!$H$3:$H$2749-TABLEITEM!$I$3:$I$2749</f>
        <v>#ERROR!</v>
      </c>
    </row>
    <row r="869" ht="15.75" customHeight="1">
      <c r="A869" s="45">
        <v>533.0</v>
      </c>
      <c r="B869" s="10" t="s">
        <v>418</v>
      </c>
      <c r="C869" s="26"/>
      <c r="D869" s="10" t="s">
        <v>8308</v>
      </c>
      <c r="E869" s="48" t="s">
        <v>8235</v>
      </c>
      <c r="F869" s="48" t="s">
        <v>7173</v>
      </c>
      <c r="G869" s="49">
        <f t="array" ref="G869">MAX(IF(INSTOCK!$H$3:$H$6125=B869,INSTOCK!$K$3:$K$6125))</f>
        <v>9.6</v>
      </c>
      <c r="H869" s="50">
        <f t="array" ref="H869">SUM(IF(INSTOCK!$H$3:$H$6125=B869,INSTOCK!$I$3:$I$6125))</f>
        <v>34</v>
      </c>
      <c r="I869" s="50" t="str">
        <f>ARRAY_CONSTRAIN(ARRAYFORMULA(SUM(IF([3]!Table13[ID]=B869,[3]!Table13[QTY]))), 1, 1)</f>
        <v>#ERROR!</v>
      </c>
      <c r="J869" s="50" t="str">
        <f>TABLEITEM!$H$3:$H$2749-TABLEITEM!$I$3:$I$2749</f>
        <v>#ERROR!</v>
      </c>
    </row>
    <row r="870" ht="15.75" customHeight="1">
      <c r="A870" s="45">
        <v>534.0</v>
      </c>
      <c r="B870" s="10" t="s">
        <v>419</v>
      </c>
      <c r="C870" s="26"/>
      <c r="D870" s="10" t="s">
        <v>8309</v>
      </c>
      <c r="E870" s="48" t="s">
        <v>8235</v>
      </c>
      <c r="F870" s="48" t="s">
        <v>7173</v>
      </c>
      <c r="G870" s="49">
        <f t="array" ref="G870">MAX(IF(INSTOCK!$H$3:$H$6125=B870,INSTOCK!$K$3:$K$6125))</f>
        <v>9.6</v>
      </c>
      <c r="H870" s="50">
        <f t="array" ref="H870">SUM(IF(INSTOCK!$H$3:$H$6125=B870,INSTOCK!$I$3:$I$6125))</f>
        <v>53</v>
      </c>
      <c r="I870" s="50" t="str">
        <f>ARRAY_CONSTRAIN(ARRAYFORMULA(SUM(IF([3]!Table13[ID]=B870,[3]!Table13[QTY]))), 1, 1)</f>
        <v>#ERROR!</v>
      </c>
      <c r="J870" s="50" t="str">
        <f>TABLEITEM!$H$3:$H$2749-TABLEITEM!$I$3:$I$2749</f>
        <v>#ERROR!</v>
      </c>
    </row>
    <row r="871" ht="15.75" customHeight="1">
      <c r="A871" s="45">
        <v>532.0</v>
      </c>
      <c r="B871" s="10" t="s">
        <v>417</v>
      </c>
      <c r="C871" s="26"/>
      <c r="D871" s="10" t="s">
        <v>8310</v>
      </c>
      <c r="E871" s="48" t="s">
        <v>8235</v>
      </c>
      <c r="F871" s="48" t="s">
        <v>7173</v>
      </c>
      <c r="G871" s="49">
        <f t="array" ref="G871">MAX(IF(INSTOCK!$H$3:$H$6125=B871,INSTOCK!$K$3:$K$6125))</f>
        <v>9.6</v>
      </c>
      <c r="H871" s="50">
        <f t="array" ref="H871">SUM(IF(INSTOCK!$H$3:$H$6125=B871,INSTOCK!$I$3:$I$6125))</f>
        <v>66</v>
      </c>
      <c r="I871" s="50" t="str">
        <f>ARRAY_CONSTRAIN(ARRAYFORMULA(SUM(IF([3]!Table13[ID]=B871,[3]!Table13[QTY]))), 1, 1)</f>
        <v>#ERROR!</v>
      </c>
      <c r="J871" s="50" t="str">
        <f>TABLEITEM!$H$3:$H$2749-TABLEITEM!$I$3:$I$2749</f>
        <v>#ERROR!</v>
      </c>
    </row>
    <row r="872" ht="15.75" customHeight="1">
      <c r="A872" s="45">
        <v>537.0</v>
      </c>
      <c r="B872" s="10" t="s">
        <v>422</v>
      </c>
      <c r="C872" s="26"/>
      <c r="D872" s="10" t="s">
        <v>8311</v>
      </c>
      <c r="E872" s="48" t="s">
        <v>8235</v>
      </c>
      <c r="F872" s="48" t="s">
        <v>7173</v>
      </c>
      <c r="G872" s="49">
        <f t="array" ref="G872">MAX(IF(INSTOCK!$H$3:$H$6125=B872,INSTOCK!$K$3:$K$6125))</f>
        <v>9.6</v>
      </c>
      <c r="H872" s="50">
        <f t="array" ref="H872">SUM(IF(INSTOCK!$H$3:$H$6125=B872,INSTOCK!$I$3:$I$6125))</f>
        <v>16</v>
      </c>
      <c r="I872" s="50" t="str">
        <f>ARRAY_CONSTRAIN(ARRAYFORMULA(SUM(IF([3]!Table13[ID]=B872,[3]!Table13[QTY]))), 1, 1)</f>
        <v>#ERROR!</v>
      </c>
      <c r="J872" s="50" t="str">
        <f>TABLEITEM!$H$3:$H$2749-TABLEITEM!$I$3:$I$2749</f>
        <v>#ERROR!</v>
      </c>
    </row>
    <row r="873" ht="15.75" customHeight="1">
      <c r="A873" s="45">
        <v>536.0</v>
      </c>
      <c r="B873" s="10" t="s">
        <v>421</v>
      </c>
      <c r="C873" s="26"/>
      <c r="D873" s="10" t="s">
        <v>8312</v>
      </c>
      <c r="E873" s="48" t="s">
        <v>8235</v>
      </c>
      <c r="F873" s="48" t="s">
        <v>7173</v>
      </c>
      <c r="G873" s="49">
        <f t="array" ref="G873">MAX(IF(INSTOCK!$H$3:$H$6125=B873,INSTOCK!$K$3:$K$6125))</f>
        <v>9.6</v>
      </c>
      <c r="H873" s="50">
        <f t="array" ref="H873">SUM(IF(INSTOCK!$H$3:$H$6125=B873,INSTOCK!$I$3:$I$6125))</f>
        <v>2</v>
      </c>
      <c r="I873" s="50" t="str">
        <f>ARRAY_CONSTRAIN(ARRAYFORMULA(SUM(IF([3]!Table13[ID]=B873,[3]!Table13[QTY]))), 1, 1)</f>
        <v>#ERROR!</v>
      </c>
      <c r="J873" s="50" t="str">
        <f>TABLEITEM!$H$3:$H$2749-TABLEITEM!$I$3:$I$2749</f>
        <v>#ERROR!</v>
      </c>
    </row>
    <row r="874" ht="15.75" customHeight="1">
      <c r="A874" s="45">
        <v>535.0</v>
      </c>
      <c r="B874" s="10" t="s">
        <v>420</v>
      </c>
      <c r="C874" s="26"/>
      <c r="D874" s="10" t="s">
        <v>8313</v>
      </c>
      <c r="E874" s="48" t="s">
        <v>8235</v>
      </c>
      <c r="F874" s="48" t="s">
        <v>7173</v>
      </c>
      <c r="G874" s="49">
        <f t="array" ref="G874">MAX(IF(INSTOCK!$H$3:$H$6125=B874,INSTOCK!$K$3:$K$6125))</f>
        <v>9.6</v>
      </c>
      <c r="H874" s="50">
        <f t="array" ref="H874">SUM(IF(INSTOCK!$H$3:$H$6125=B874,INSTOCK!$I$3:$I$6125))</f>
        <v>10</v>
      </c>
      <c r="I874" s="50" t="str">
        <f>ARRAY_CONSTRAIN(ARRAYFORMULA(SUM(IF([3]!Table13[ID]=B874,[3]!Table13[QTY]))), 1, 1)</f>
        <v>#ERROR!</v>
      </c>
      <c r="J874" s="50" t="str">
        <f>TABLEITEM!$H$3:$H$2749-TABLEITEM!$I$3:$I$2749</f>
        <v>#ERROR!</v>
      </c>
    </row>
    <row r="875" ht="15.75" customHeight="1">
      <c r="A875" s="45">
        <v>572.0</v>
      </c>
      <c r="B875" s="10" t="s">
        <v>457</v>
      </c>
      <c r="C875" s="26"/>
      <c r="D875" s="10" t="s">
        <v>8314</v>
      </c>
      <c r="E875" s="48" t="s">
        <v>8235</v>
      </c>
      <c r="F875" s="48" t="s">
        <v>7173</v>
      </c>
      <c r="G875" s="49">
        <f t="array" ref="G875">MAX(IF(INSTOCK!$H$3:$H$6125=B875,INSTOCK!$K$3:$K$6125))</f>
        <v>9.6</v>
      </c>
      <c r="H875" s="50">
        <f t="array" ref="H875">SUM(IF(INSTOCK!$H$3:$H$6125=B875,INSTOCK!$I$3:$I$6125))</f>
        <v>16</v>
      </c>
      <c r="I875" s="50" t="str">
        <f>ARRAY_CONSTRAIN(ARRAYFORMULA(SUM(IF([3]!Table13[ID]=B875,[3]!Table13[QTY]))), 1, 1)</f>
        <v>#ERROR!</v>
      </c>
      <c r="J875" s="50" t="str">
        <f>TABLEITEM!$H$3:$H$2749-TABLEITEM!$I$3:$I$2749</f>
        <v>#ERROR!</v>
      </c>
    </row>
    <row r="876" ht="15.75" customHeight="1">
      <c r="A876" s="45">
        <v>573.0</v>
      </c>
      <c r="B876" s="10" t="s">
        <v>458</v>
      </c>
      <c r="C876" s="26"/>
      <c r="D876" s="10" t="s">
        <v>8315</v>
      </c>
      <c r="E876" s="48" t="s">
        <v>8235</v>
      </c>
      <c r="F876" s="48" t="s">
        <v>7173</v>
      </c>
      <c r="G876" s="49">
        <f t="array" ref="G876">MAX(IF(INSTOCK!$H$3:$H$6125=B876,INSTOCK!$K$3:$K$6125))</f>
        <v>9.6</v>
      </c>
      <c r="H876" s="50">
        <f t="array" ref="H876">SUM(IF(INSTOCK!$H$3:$H$6125=B876,INSTOCK!$I$3:$I$6125))</f>
        <v>16</v>
      </c>
      <c r="I876" s="50" t="str">
        <f>ARRAY_CONSTRAIN(ARRAYFORMULA(SUM(IF([3]!Table13[ID]=B876,[3]!Table13[QTY]))), 1, 1)</f>
        <v>#ERROR!</v>
      </c>
      <c r="J876" s="50" t="str">
        <f>TABLEITEM!$H$3:$H$2749-TABLEITEM!$I$3:$I$2749</f>
        <v>#ERROR!</v>
      </c>
    </row>
    <row r="877" ht="15.75" customHeight="1">
      <c r="A877" s="45">
        <v>467.0</v>
      </c>
      <c r="B877" s="10" t="s">
        <v>352</v>
      </c>
      <c r="C877" s="26"/>
      <c r="D877" s="10" t="s">
        <v>8316</v>
      </c>
      <c r="E877" s="48" t="s">
        <v>8235</v>
      </c>
      <c r="F877" s="48" t="s">
        <v>7173</v>
      </c>
      <c r="G877" s="49">
        <f t="array" ref="G877">MAX(IF(INSTOCK!$H$3:$H$6125=B877,INSTOCK!$K$3:$K$6125))</f>
        <v>0.36</v>
      </c>
      <c r="H877" s="50">
        <f t="array" ref="H877">SUM(IF(INSTOCK!$H$3:$H$6125=B877,INSTOCK!$I$3:$I$6125))</f>
        <v>504</v>
      </c>
      <c r="I877" s="50" t="str">
        <f>ARRAY_CONSTRAIN(ARRAYFORMULA(SUM(IF([3]!Table13[ID]=B877,[3]!Table13[QTY]))), 1, 1)</f>
        <v>#ERROR!</v>
      </c>
      <c r="J877" s="50" t="str">
        <f>TABLEITEM!$H$3:$H$2749-TABLEITEM!$I$3:$I$2749</f>
        <v>#ERROR!</v>
      </c>
    </row>
    <row r="878" ht="15.75" customHeight="1">
      <c r="A878" s="45">
        <v>468.0</v>
      </c>
      <c r="B878" s="10" t="s">
        <v>353</v>
      </c>
      <c r="C878" s="26"/>
      <c r="D878" s="10" t="s">
        <v>8317</v>
      </c>
      <c r="E878" s="48" t="s">
        <v>8235</v>
      </c>
      <c r="F878" s="48" t="s">
        <v>7173</v>
      </c>
      <c r="G878" s="49">
        <f t="array" ref="G878">MAX(IF(INSTOCK!$H$3:$H$6125=B878,INSTOCK!$K$3:$K$6125))</f>
        <v>0.36</v>
      </c>
      <c r="H878" s="50">
        <f t="array" ref="H878">SUM(IF(INSTOCK!$H$3:$H$6125=B878,INSTOCK!$I$3:$I$6125))</f>
        <v>572</v>
      </c>
      <c r="I878" s="50" t="str">
        <f>ARRAY_CONSTRAIN(ARRAYFORMULA(SUM(IF([3]!Table13[ID]=B878,[3]!Table13[QTY]))), 1, 1)</f>
        <v>#ERROR!</v>
      </c>
      <c r="J878" s="50" t="str">
        <f>TABLEITEM!$H$3:$H$2749-TABLEITEM!$I$3:$I$2749</f>
        <v>#ERROR!</v>
      </c>
    </row>
    <row r="879" ht="15.75" customHeight="1">
      <c r="A879" s="45">
        <v>466.0</v>
      </c>
      <c r="B879" s="10" t="s">
        <v>351</v>
      </c>
      <c r="C879" s="26"/>
      <c r="D879" s="10" t="s">
        <v>8318</v>
      </c>
      <c r="E879" s="48" t="s">
        <v>8235</v>
      </c>
      <c r="F879" s="48" t="s">
        <v>7173</v>
      </c>
      <c r="G879" s="49">
        <f t="array" ref="G879">MAX(IF(INSTOCK!$H$3:$H$6125=B879,INSTOCK!$K$3:$K$6125))</f>
        <v>0.36</v>
      </c>
      <c r="H879" s="50">
        <f t="array" ref="H879">SUM(IF(INSTOCK!$H$3:$H$6125=B879,INSTOCK!$I$3:$I$6125))</f>
        <v>432</v>
      </c>
      <c r="I879" s="50" t="str">
        <f>ARRAY_CONSTRAIN(ARRAYFORMULA(SUM(IF([3]!Table13[ID]=B879,[3]!Table13[QTY]))), 1, 1)</f>
        <v>#ERROR!</v>
      </c>
      <c r="J879" s="50" t="str">
        <f>TABLEITEM!$H$3:$H$2749-TABLEITEM!$I$3:$I$2749</f>
        <v>#ERROR!</v>
      </c>
    </row>
    <row r="880" ht="15.75" customHeight="1">
      <c r="A880" s="45">
        <v>471.0</v>
      </c>
      <c r="B880" s="10" t="s">
        <v>356</v>
      </c>
      <c r="C880" s="26"/>
      <c r="D880" s="10" t="s">
        <v>8319</v>
      </c>
      <c r="E880" s="48" t="s">
        <v>8235</v>
      </c>
      <c r="F880" s="48" t="s">
        <v>7173</v>
      </c>
      <c r="G880" s="49">
        <f t="array" ref="G880">MAX(IF(INSTOCK!$H$3:$H$6125=B880,INSTOCK!$K$3:$K$6125))</f>
        <v>0.36</v>
      </c>
      <c r="H880" s="50">
        <f t="array" ref="H880">SUM(IF(INSTOCK!$H$3:$H$6125=B880,INSTOCK!$I$3:$I$6125))</f>
        <v>758</v>
      </c>
      <c r="I880" s="50" t="str">
        <f>ARRAY_CONSTRAIN(ARRAYFORMULA(SUM(IF([3]!Table13[ID]=B880,[3]!Table13[QTY]))), 1, 1)</f>
        <v>#ERROR!</v>
      </c>
      <c r="J880" s="50" t="str">
        <f>TABLEITEM!$H$3:$H$2749-TABLEITEM!$I$3:$I$2749</f>
        <v>#ERROR!</v>
      </c>
    </row>
    <row r="881" ht="15.75" customHeight="1">
      <c r="A881" s="45">
        <v>470.0</v>
      </c>
      <c r="B881" s="10" t="s">
        <v>355</v>
      </c>
      <c r="C881" s="26"/>
      <c r="D881" s="10" t="s">
        <v>8320</v>
      </c>
      <c r="E881" s="48" t="s">
        <v>8235</v>
      </c>
      <c r="F881" s="48" t="s">
        <v>7173</v>
      </c>
      <c r="G881" s="49">
        <f t="array" ref="G881">MAX(IF(INSTOCK!$H$3:$H$6125=B881,INSTOCK!$K$3:$K$6125))</f>
        <v>0.36</v>
      </c>
      <c r="H881" s="50">
        <f t="array" ref="H881">SUM(IF(INSTOCK!$H$3:$H$6125=B881,INSTOCK!$I$3:$I$6125))</f>
        <v>1049</v>
      </c>
      <c r="I881" s="50" t="str">
        <f>ARRAY_CONSTRAIN(ARRAYFORMULA(SUM(IF([3]!Table13[ID]=B881,[3]!Table13[QTY]))), 1, 1)</f>
        <v>#ERROR!</v>
      </c>
      <c r="J881" s="50" t="str">
        <f>TABLEITEM!$H$3:$H$2749-TABLEITEM!$I$3:$I$2749</f>
        <v>#ERROR!</v>
      </c>
    </row>
    <row r="882" ht="15.75" customHeight="1">
      <c r="A882" s="45">
        <v>469.0</v>
      </c>
      <c r="B882" s="10" t="s">
        <v>354</v>
      </c>
      <c r="C882" s="26"/>
      <c r="D882" s="10" t="s">
        <v>8321</v>
      </c>
      <c r="E882" s="48" t="s">
        <v>8235</v>
      </c>
      <c r="F882" s="48" t="s">
        <v>7173</v>
      </c>
      <c r="G882" s="49">
        <f t="array" ref="G882">MAX(IF(INSTOCK!$H$3:$H$6125=B882,INSTOCK!$K$3:$K$6125))</f>
        <v>0.36</v>
      </c>
      <c r="H882" s="50">
        <f t="array" ref="H882">SUM(IF(INSTOCK!$H$3:$H$6125=B882,INSTOCK!$I$3:$I$6125))</f>
        <v>490</v>
      </c>
      <c r="I882" s="50" t="str">
        <f>ARRAY_CONSTRAIN(ARRAYFORMULA(SUM(IF([3]!Table13[ID]=B882,[3]!Table13[QTY]))), 1, 1)</f>
        <v>#ERROR!</v>
      </c>
      <c r="J882" s="50" t="str">
        <f>TABLEITEM!$H$3:$H$2749-TABLEITEM!$I$3:$I$2749</f>
        <v>#ERROR!</v>
      </c>
    </row>
    <row r="883" ht="15.75" customHeight="1">
      <c r="A883" s="45">
        <v>546.0</v>
      </c>
      <c r="B883" s="10" t="s">
        <v>431</v>
      </c>
      <c r="C883" s="26"/>
      <c r="D883" s="10" t="s">
        <v>8322</v>
      </c>
      <c r="E883" s="48" t="s">
        <v>8235</v>
      </c>
      <c r="F883" s="48" t="s">
        <v>7173</v>
      </c>
      <c r="G883" s="49">
        <f t="array" ref="G883">MAX(IF(INSTOCK!$H$3:$H$6125=B883,INSTOCK!$K$3:$K$6125))</f>
        <v>0.36</v>
      </c>
      <c r="H883" s="50">
        <f t="array" ref="H883">SUM(IF(INSTOCK!$H$3:$H$6125=B883,INSTOCK!$I$3:$I$6125))</f>
        <v>609</v>
      </c>
      <c r="I883" s="50" t="str">
        <f>ARRAY_CONSTRAIN(ARRAYFORMULA(SUM(IF([3]!Table13[ID]=B883,[3]!Table13[QTY]))), 1, 1)</f>
        <v>#ERROR!</v>
      </c>
      <c r="J883" s="50" t="str">
        <f>TABLEITEM!$H$3:$H$2749-TABLEITEM!$I$3:$I$2749</f>
        <v>#ERROR!</v>
      </c>
    </row>
    <row r="884" ht="15.75" customHeight="1">
      <c r="A884" s="45">
        <v>544.0</v>
      </c>
      <c r="B884" s="10" t="s">
        <v>429</v>
      </c>
      <c r="C884" s="26"/>
      <c r="D884" s="10" t="s">
        <v>8323</v>
      </c>
      <c r="E884" s="48" t="s">
        <v>8235</v>
      </c>
      <c r="F884" s="48" t="s">
        <v>7173</v>
      </c>
      <c r="G884" s="49">
        <f t="array" ref="G884">MAX(IF(INSTOCK!$H$3:$H$6125=B884,INSTOCK!$K$3:$K$6125))</f>
        <v>0.36</v>
      </c>
      <c r="H884" s="50">
        <f t="array" ref="H884">SUM(IF(INSTOCK!$H$3:$H$6125=B884,INSTOCK!$I$3:$I$6125))</f>
        <v>639</v>
      </c>
      <c r="I884" s="50" t="str">
        <f>ARRAY_CONSTRAIN(ARRAYFORMULA(SUM(IF([3]!Table13[ID]=B884,[3]!Table13[QTY]))), 1, 1)</f>
        <v>#ERROR!</v>
      </c>
      <c r="J884" s="50" t="str">
        <f>TABLEITEM!$H$3:$H$2749-TABLEITEM!$I$3:$I$2749</f>
        <v>#ERROR!</v>
      </c>
    </row>
    <row r="885" ht="15.75" customHeight="1">
      <c r="A885" s="45">
        <v>545.0</v>
      </c>
      <c r="B885" s="10" t="s">
        <v>430</v>
      </c>
      <c r="C885" s="26"/>
      <c r="D885" s="10" t="s">
        <v>8324</v>
      </c>
      <c r="E885" s="48" t="s">
        <v>8235</v>
      </c>
      <c r="F885" s="48" t="s">
        <v>7173</v>
      </c>
      <c r="G885" s="49">
        <f t="array" ref="G885">MAX(IF(INSTOCK!$H$3:$H$6125=B885,INSTOCK!$K$3:$K$6125))</f>
        <v>0.36</v>
      </c>
      <c r="H885" s="50">
        <f t="array" ref="H885">SUM(IF(INSTOCK!$H$3:$H$6125=B885,INSTOCK!$I$3:$I$6125))</f>
        <v>703</v>
      </c>
      <c r="I885" s="50" t="str">
        <f>ARRAY_CONSTRAIN(ARRAYFORMULA(SUM(IF([3]!Table13[ID]=B885,[3]!Table13[QTY]))), 1, 1)</f>
        <v>#ERROR!</v>
      </c>
      <c r="J885" s="50" t="str">
        <f>TABLEITEM!$H$3:$H$2749-TABLEITEM!$I$3:$I$2749</f>
        <v>#ERROR!</v>
      </c>
    </row>
    <row r="886" ht="15.75" customHeight="1">
      <c r="A886" s="45">
        <v>527.0</v>
      </c>
      <c r="B886" s="10" t="s">
        <v>412</v>
      </c>
      <c r="C886" s="26"/>
      <c r="D886" s="10" t="s">
        <v>8325</v>
      </c>
      <c r="E886" s="48" t="s">
        <v>8235</v>
      </c>
      <c r="F886" s="48" t="s">
        <v>7173</v>
      </c>
      <c r="G886" s="49">
        <f t="array" ref="G886">MAX(IF(INSTOCK!$H$3:$H$6125=B886,INSTOCK!$K$3:$K$6125))</f>
        <v>7.8</v>
      </c>
      <c r="H886" s="50">
        <f t="array" ref="H886">SUM(IF(INSTOCK!$H$3:$H$6125=B886,INSTOCK!$I$3:$I$6125))</f>
        <v>56</v>
      </c>
      <c r="I886" s="50" t="str">
        <f>ARRAY_CONSTRAIN(ARRAYFORMULA(SUM(IF([3]!Table13[ID]=B886,[3]!Table13[QTY]))), 1, 1)</f>
        <v>#ERROR!</v>
      </c>
      <c r="J886" s="50" t="str">
        <f>TABLEITEM!$H$3:$H$2749-TABLEITEM!$I$3:$I$2749</f>
        <v>#ERROR!</v>
      </c>
    </row>
    <row r="887" ht="15.75" customHeight="1">
      <c r="A887" s="45">
        <v>528.0</v>
      </c>
      <c r="B887" s="10" t="s">
        <v>413</v>
      </c>
      <c r="C887" s="26"/>
      <c r="D887" s="10" t="s">
        <v>8326</v>
      </c>
      <c r="E887" s="48" t="s">
        <v>8235</v>
      </c>
      <c r="F887" s="48" t="s">
        <v>7173</v>
      </c>
      <c r="G887" s="49">
        <f t="array" ref="G887">MAX(IF(INSTOCK!$H$3:$H$6125=B887,INSTOCK!$K$3:$K$6125))</f>
        <v>7.8</v>
      </c>
      <c r="H887" s="50">
        <f t="array" ref="H887">SUM(IF(INSTOCK!$H$3:$H$6125=B887,INSTOCK!$I$3:$I$6125))</f>
        <v>59</v>
      </c>
      <c r="I887" s="50" t="str">
        <f>ARRAY_CONSTRAIN(ARRAYFORMULA(SUM(IF([3]!Table13[ID]=B887,[3]!Table13[QTY]))), 1, 1)</f>
        <v>#ERROR!</v>
      </c>
      <c r="J887" s="50" t="str">
        <f>TABLEITEM!$H$3:$H$2749-TABLEITEM!$I$3:$I$2749</f>
        <v>#ERROR!</v>
      </c>
    </row>
    <row r="888" ht="15.75" customHeight="1">
      <c r="A888" s="45">
        <v>526.0</v>
      </c>
      <c r="B888" s="10" t="s">
        <v>411</v>
      </c>
      <c r="C888" s="26"/>
      <c r="D888" s="10" t="s">
        <v>8327</v>
      </c>
      <c r="E888" s="48" t="s">
        <v>8235</v>
      </c>
      <c r="F888" s="48" t="s">
        <v>7173</v>
      </c>
      <c r="G888" s="49">
        <f t="array" ref="G888">MAX(IF(INSTOCK!$H$3:$H$6125=B888,INSTOCK!$K$3:$K$6125))</f>
        <v>7.8</v>
      </c>
      <c r="H888" s="50">
        <f t="array" ref="H888">SUM(IF(INSTOCK!$H$3:$H$6125=B888,INSTOCK!$I$3:$I$6125))</f>
        <v>39</v>
      </c>
      <c r="I888" s="50" t="str">
        <f>ARRAY_CONSTRAIN(ARRAYFORMULA(SUM(IF([3]!Table13[ID]=B888,[3]!Table13[QTY]))), 1, 1)</f>
        <v>#ERROR!</v>
      </c>
      <c r="J888" s="50" t="str">
        <f>TABLEITEM!$H$3:$H$2749-TABLEITEM!$I$3:$I$2749</f>
        <v>#ERROR!</v>
      </c>
    </row>
    <row r="889" ht="15.75" customHeight="1">
      <c r="A889" s="45">
        <v>531.0</v>
      </c>
      <c r="B889" s="10" t="s">
        <v>416</v>
      </c>
      <c r="C889" s="26"/>
      <c r="D889" s="10" t="s">
        <v>8328</v>
      </c>
      <c r="E889" s="48" t="s">
        <v>8235</v>
      </c>
      <c r="F889" s="48" t="s">
        <v>7173</v>
      </c>
      <c r="G889" s="49">
        <f t="array" ref="G889">MAX(IF(INSTOCK!$H$3:$H$6125=B889,INSTOCK!$K$3:$K$6125))</f>
        <v>7.8</v>
      </c>
      <c r="H889" s="50">
        <f t="array" ref="H889">SUM(IF(INSTOCK!$H$3:$H$6125=B889,INSTOCK!$I$3:$I$6125))</f>
        <v>100</v>
      </c>
      <c r="I889" s="50" t="str">
        <f>ARRAY_CONSTRAIN(ARRAYFORMULA(SUM(IF([3]!Table13[ID]=B889,[3]!Table13[QTY]))), 1, 1)</f>
        <v>#ERROR!</v>
      </c>
      <c r="J889" s="50" t="str">
        <f>TABLEITEM!$H$3:$H$2749-TABLEITEM!$I$3:$I$2749</f>
        <v>#ERROR!</v>
      </c>
    </row>
    <row r="890" ht="15.75" customHeight="1">
      <c r="A890" s="45">
        <v>530.0</v>
      </c>
      <c r="B890" s="10" t="s">
        <v>415</v>
      </c>
      <c r="C890" s="26"/>
      <c r="D890" s="10" t="s">
        <v>8329</v>
      </c>
      <c r="E890" s="48" t="s">
        <v>8235</v>
      </c>
      <c r="F890" s="48" t="s">
        <v>7173</v>
      </c>
      <c r="G890" s="49">
        <f t="array" ref="G890">MAX(IF(INSTOCK!$H$3:$H$6125=B890,INSTOCK!$K$3:$K$6125))</f>
        <v>7.8</v>
      </c>
      <c r="H890" s="50">
        <f t="array" ref="H890">SUM(IF(INSTOCK!$H$3:$H$6125=B890,INSTOCK!$I$3:$I$6125))</f>
        <v>0</v>
      </c>
      <c r="I890" s="50" t="str">
        <f>ARRAY_CONSTRAIN(ARRAYFORMULA(SUM(IF([3]!Table13[ID]=B890,[3]!Table13[QTY]))), 1, 1)</f>
        <v>#ERROR!</v>
      </c>
      <c r="J890" s="50" t="str">
        <f>TABLEITEM!$H$3:$H$2749-TABLEITEM!$I$3:$I$2749</f>
        <v>#ERROR!</v>
      </c>
    </row>
    <row r="891" ht="15.75" customHeight="1">
      <c r="A891" s="45">
        <v>529.0</v>
      </c>
      <c r="B891" s="10" t="s">
        <v>414</v>
      </c>
      <c r="C891" s="26"/>
      <c r="D891" s="10" t="s">
        <v>8330</v>
      </c>
      <c r="E891" s="48" t="s">
        <v>8235</v>
      </c>
      <c r="F891" s="48" t="s">
        <v>7173</v>
      </c>
      <c r="G891" s="49">
        <f t="array" ref="G891">MAX(IF(INSTOCK!$H$3:$H$6125=B891,INSTOCK!$K$3:$K$6125))</f>
        <v>7.8</v>
      </c>
      <c r="H891" s="50">
        <f t="array" ref="H891">SUM(IF(INSTOCK!$H$3:$H$6125=B891,INSTOCK!$I$3:$I$6125))</f>
        <v>73</v>
      </c>
      <c r="I891" s="50" t="str">
        <f>ARRAY_CONSTRAIN(ARRAYFORMULA(SUM(IF([3]!Table13[ID]=B891,[3]!Table13[QTY]))), 1, 1)</f>
        <v>#ERROR!</v>
      </c>
      <c r="J891" s="50" t="str">
        <f>TABLEITEM!$H$3:$H$2749-TABLEITEM!$I$3:$I$2749</f>
        <v>#ERROR!</v>
      </c>
    </row>
    <row r="892" ht="15.75" customHeight="1">
      <c r="A892" s="45">
        <v>491.0</v>
      </c>
      <c r="B892" s="10" t="s">
        <v>376</v>
      </c>
      <c r="C892" s="26"/>
      <c r="D892" s="10" t="s">
        <v>8331</v>
      </c>
      <c r="E892" s="48" t="s">
        <v>8235</v>
      </c>
      <c r="F892" s="48" t="s">
        <v>7173</v>
      </c>
      <c r="G892" s="49">
        <f t="array" ref="G892">MAX(IF(INSTOCK!$H$3:$H$6125=B892,INSTOCK!$K$3:$K$6125))</f>
        <v>0.96</v>
      </c>
      <c r="H892" s="50">
        <f t="array" ref="H892">SUM(IF(INSTOCK!$H$3:$H$6125=B892,INSTOCK!$I$3:$I$6125))</f>
        <v>757</v>
      </c>
      <c r="I892" s="50" t="str">
        <f>ARRAY_CONSTRAIN(ARRAYFORMULA(SUM(IF([3]!Table13[ID]=B892,[3]!Table13[QTY]))), 1, 1)</f>
        <v>#ERROR!</v>
      </c>
      <c r="J892" s="50" t="str">
        <f>TABLEITEM!$H$3:$H$2749-TABLEITEM!$I$3:$I$2749</f>
        <v>#ERROR!</v>
      </c>
    </row>
    <row r="893" ht="15.75" customHeight="1">
      <c r="A893" s="45">
        <v>495.0</v>
      </c>
      <c r="B893" s="10" t="s">
        <v>380</v>
      </c>
      <c r="C893" s="26"/>
      <c r="D893" s="10" t="s">
        <v>8332</v>
      </c>
      <c r="E893" s="48" t="s">
        <v>8235</v>
      </c>
      <c r="F893" s="48" t="s">
        <v>7173</v>
      </c>
      <c r="G893" s="49">
        <f t="array" ref="G893">MAX(IF(INSTOCK!$H$3:$H$6125=B893,INSTOCK!$K$3:$K$6125))</f>
        <v>0.96</v>
      </c>
      <c r="H893" s="50">
        <f t="array" ref="H893">SUM(IF(INSTOCK!$H$3:$H$6125=B893,INSTOCK!$I$3:$I$6125))</f>
        <v>1852</v>
      </c>
      <c r="I893" s="50" t="str">
        <f>ARRAY_CONSTRAIN(ARRAYFORMULA(SUM(IF([3]!Table13[ID]=B893,[3]!Table13[QTY]))), 1, 1)</f>
        <v>#ERROR!</v>
      </c>
      <c r="J893" s="50" t="str">
        <f>TABLEITEM!$H$3:$H$2749-TABLEITEM!$I$3:$I$2749</f>
        <v>#ERROR!</v>
      </c>
    </row>
    <row r="894" ht="15.75" customHeight="1">
      <c r="A894" s="45">
        <v>494.0</v>
      </c>
      <c r="B894" s="10" t="s">
        <v>379</v>
      </c>
      <c r="C894" s="26"/>
      <c r="D894" s="10" t="s">
        <v>8333</v>
      </c>
      <c r="E894" s="48" t="s">
        <v>8235</v>
      </c>
      <c r="F894" s="48" t="s">
        <v>7173</v>
      </c>
      <c r="G894" s="49">
        <f t="array" ref="G894">MAX(IF(INSTOCK!$H$3:$H$6125=B894,INSTOCK!$K$3:$K$6125))</f>
        <v>0.96</v>
      </c>
      <c r="H894" s="50">
        <f t="array" ref="H894">SUM(IF(INSTOCK!$H$3:$H$6125=B894,INSTOCK!$I$3:$I$6125))</f>
        <v>656</v>
      </c>
      <c r="I894" s="50" t="str">
        <f>ARRAY_CONSTRAIN(ARRAYFORMULA(SUM(IF([3]!Table13[ID]=B894,[3]!Table13[QTY]))), 1, 1)</f>
        <v>#ERROR!</v>
      </c>
      <c r="J894" s="50" t="str">
        <f>TABLEITEM!$H$3:$H$2749-TABLEITEM!$I$3:$I$2749</f>
        <v>#ERROR!</v>
      </c>
    </row>
    <row r="895" ht="15.75" customHeight="1">
      <c r="A895" s="45">
        <v>493.0</v>
      </c>
      <c r="B895" s="10" t="s">
        <v>378</v>
      </c>
      <c r="C895" s="26"/>
      <c r="D895" s="10" t="s">
        <v>8334</v>
      </c>
      <c r="E895" s="48" t="s">
        <v>8235</v>
      </c>
      <c r="F895" s="48" t="s">
        <v>7173</v>
      </c>
      <c r="G895" s="49">
        <f t="array" ref="G895">MAX(IF(INSTOCK!$H$3:$H$6125=B895,INSTOCK!$K$3:$K$6125))</f>
        <v>0.96</v>
      </c>
      <c r="H895" s="50">
        <f t="array" ref="H895">SUM(IF(INSTOCK!$H$3:$H$6125=B895,INSTOCK!$I$3:$I$6125))</f>
        <v>281</v>
      </c>
      <c r="I895" s="50" t="str">
        <f>ARRAY_CONSTRAIN(ARRAYFORMULA(SUM(IF([3]!Table13[ID]=B895,[3]!Table13[QTY]))), 1, 1)</f>
        <v>#ERROR!</v>
      </c>
      <c r="J895" s="50" t="str">
        <f>TABLEITEM!$H$3:$H$2749-TABLEITEM!$I$3:$I$2749</f>
        <v>#ERROR!</v>
      </c>
    </row>
    <row r="896" ht="15.75" customHeight="1">
      <c r="A896" s="45"/>
      <c r="B896" s="10" t="s">
        <v>441</v>
      </c>
      <c r="C896" s="26"/>
      <c r="D896" s="10" t="s">
        <v>8335</v>
      </c>
      <c r="E896" s="48" t="s">
        <v>8235</v>
      </c>
      <c r="F896" s="48" t="s">
        <v>7173</v>
      </c>
      <c r="G896" s="49">
        <f t="array" ref="G896">MAX(IF(INSTOCK!$H$3:$H$6125=B896,INSTOCK!$K$3:$K$6125))</f>
        <v>0.96</v>
      </c>
      <c r="H896" s="50">
        <f t="array" ref="H896">SUM(IF(INSTOCK!$H$3:$H$6125=B896,INSTOCK!$I$3:$I$6125))</f>
        <v>1639</v>
      </c>
      <c r="I896" s="50" t="str">
        <f>ARRAY_CONSTRAIN(ARRAYFORMULA(SUM(IF([3]!Table13[ID]=B896,[3]!Table13[QTY]))), 1, 1)</f>
        <v>#ERROR!</v>
      </c>
      <c r="J896" s="50" t="str">
        <f>TABLEITEM!$H$3:$H$2749-TABLEITEM!$I$3:$I$2749</f>
        <v>#ERROR!</v>
      </c>
    </row>
    <row r="897" ht="15.75" customHeight="1">
      <c r="A897" s="45">
        <v>492.0</v>
      </c>
      <c r="B897" s="10" t="s">
        <v>377</v>
      </c>
      <c r="C897" s="26"/>
      <c r="D897" s="10" t="s">
        <v>8336</v>
      </c>
      <c r="E897" s="48" t="s">
        <v>8235</v>
      </c>
      <c r="F897" s="48" t="s">
        <v>7173</v>
      </c>
      <c r="G897" s="49">
        <f t="array" ref="G897">MAX(IF(INSTOCK!$H$3:$H$6125=B897,INSTOCK!$K$3:$K$6125))</f>
        <v>0.96</v>
      </c>
      <c r="H897" s="50">
        <f t="array" ref="H897">SUM(IF(INSTOCK!$H$3:$H$6125=B897,INSTOCK!$I$3:$I$6125))</f>
        <v>1501</v>
      </c>
      <c r="I897" s="50" t="str">
        <f>ARRAY_CONSTRAIN(ARRAYFORMULA(SUM(IF([3]!Table13[ID]=B897,[3]!Table13[QTY]))), 1, 1)</f>
        <v>#ERROR!</v>
      </c>
      <c r="J897" s="50" t="str">
        <f>TABLEITEM!$H$3:$H$2749-TABLEITEM!$I$3:$I$2749</f>
        <v>#ERROR!</v>
      </c>
    </row>
    <row r="898" ht="15.75" customHeight="1">
      <c r="A898" s="45"/>
      <c r="B898" s="10" t="s">
        <v>442</v>
      </c>
      <c r="C898" s="26"/>
      <c r="D898" s="10" t="s">
        <v>8337</v>
      </c>
      <c r="E898" s="48" t="s">
        <v>8235</v>
      </c>
      <c r="F898" s="48" t="s">
        <v>7173</v>
      </c>
      <c r="G898" s="49">
        <f t="array" ref="G898">MAX(IF(INSTOCK!$H$3:$H$6125=B898,INSTOCK!$K$3:$K$6125))</f>
        <v>0.96</v>
      </c>
      <c r="H898" s="50">
        <f t="array" ref="H898">SUM(IF(INSTOCK!$H$3:$H$6125=B898,INSTOCK!$I$3:$I$6125))</f>
        <v>706</v>
      </c>
      <c r="I898" s="50" t="str">
        <f>ARRAY_CONSTRAIN(ARRAYFORMULA(SUM(IF([3]!Table13[ID]=B898,[3]!Table13[QTY]))), 1, 1)</f>
        <v>#ERROR!</v>
      </c>
      <c r="J898" s="50" t="str">
        <f>TABLEITEM!$H$3:$H$2749-TABLEITEM!$I$3:$I$2749</f>
        <v>#ERROR!</v>
      </c>
    </row>
    <row r="899" ht="15.75" customHeight="1">
      <c r="A899" s="45">
        <v>490.0</v>
      </c>
      <c r="B899" s="10" t="s">
        <v>375</v>
      </c>
      <c r="C899" s="26"/>
      <c r="D899" s="10" t="s">
        <v>8338</v>
      </c>
      <c r="E899" s="48" t="s">
        <v>8235</v>
      </c>
      <c r="F899" s="48" t="s">
        <v>7173</v>
      </c>
      <c r="G899" s="49">
        <f t="array" ref="G899">MAX(IF(INSTOCK!$H$3:$H$6125=B899,INSTOCK!$K$3:$K$6125))</f>
        <v>0.96</v>
      </c>
      <c r="H899" s="50">
        <f t="array" ref="H899">SUM(IF(INSTOCK!$H$3:$H$6125=B899,INSTOCK!$I$3:$I$6125))</f>
        <v>957</v>
      </c>
      <c r="I899" s="50" t="str">
        <f>ARRAY_CONSTRAIN(ARRAYFORMULA(SUM(IF([3]!Table13[ID]=B899,[3]!Table13[QTY]))), 1, 1)</f>
        <v>#ERROR!</v>
      </c>
      <c r="J899" s="50" t="str">
        <f>TABLEITEM!$H$3:$H$2749-TABLEITEM!$I$3:$I$2749</f>
        <v>#ERROR!</v>
      </c>
    </row>
    <row r="900" ht="15.75" customHeight="1">
      <c r="A900" s="45">
        <v>558.0</v>
      </c>
      <c r="B900" s="10" t="s">
        <v>443</v>
      </c>
      <c r="C900" s="26"/>
      <c r="D900" s="10" t="s">
        <v>8339</v>
      </c>
      <c r="E900" s="48" t="s">
        <v>8235</v>
      </c>
      <c r="F900" s="48" t="s">
        <v>7173</v>
      </c>
      <c r="G900" s="49">
        <f t="array" ref="G900">MAX(IF(INSTOCK!$H$3:$H$6125=B900,INSTOCK!$K$3:$K$6125))</f>
        <v>0.96</v>
      </c>
      <c r="H900" s="50">
        <f t="array" ref="H900">SUM(IF(INSTOCK!$H$3:$H$6125=B900,INSTOCK!$I$3:$I$6125))</f>
        <v>252</v>
      </c>
      <c r="I900" s="50" t="str">
        <f>ARRAY_CONSTRAIN(ARRAYFORMULA(SUM(IF([3]!Table13[ID]=B900,[3]!Table13[QTY]))), 1, 1)</f>
        <v>#ERROR!</v>
      </c>
      <c r="J900" s="50" t="str">
        <f>TABLEITEM!$H$3:$H$2749-TABLEITEM!$I$3:$I$2749</f>
        <v>#ERROR!</v>
      </c>
    </row>
    <row r="901" ht="15.75" customHeight="1">
      <c r="A901" s="45">
        <v>521.0</v>
      </c>
      <c r="B901" s="10" t="s">
        <v>406</v>
      </c>
      <c r="C901" s="26"/>
      <c r="D901" s="10" t="s">
        <v>8340</v>
      </c>
      <c r="E901" s="48" t="s">
        <v>8235</v>
      </c>
      <c r="F901" s="48" t="s">
        <v>7173</v>
      </c>
      <c r="G901" s="49">
        <f t="array" ref="G901">MAX(IF(INSTOCK!$H$3:$H$6125=B901,INSTOCK!$K$3:$K$6125))</f>
        <v>5.4</v>
      </c>
      <c r="H901" s="50">
        <f t="array" ref="H901">SUM(IF(INSTOCK!$H$3:$H$6125=B901,INSTOCK!$I$3:$I$6125))</f>
        <v>250</v>
      </c>
      <c r="I901" s="50" t="str">
        <f>ARRAY_CONSTRAIN(ARRAYFORMULA(SUM(IF([3]!Table13[ID]=B901,[3]!Table13[QTY]))), 1, 1)</f>
        <v>#ERROR!</v>
      </c>
      <c r="J901" s="50" t="str">
        <f>TABLEITEM!$H$3:$H$2749-TABLEITEM!$I$3:$I$2749</f>
        <v>#ERROR!</v>
      </c>
    </row>
    <row r="902" ht="15.75" customHeight="1">
      <c r="A902" s="45">
        <v>522.0</v>
      </c>
      <c r="B902" s="10" t="s">
        <v>407</v>
      </c>
      <c r="C902" s="26"/>
      <c r="D902" s="10" t="s">
        <v>8341</v>
      </c>
      <c r="E902" s="48" t="s">
        <v>8235</v>
      </c>
      <c r="F902" s="48" t="s">
        <v>7173</v>
      </c>
      <c r="G902" s="49">
        <f t="array" ref="G902">MAX(IF(INSTOCK!$H$3:$H$6125=B902,INSTOCK!$K$3:$K$6125))</f>
        <v>5.4</v>
      </c>
      <c r="H902" s="50">
        <f t="array" ref="H902">SUM(IF(INSTOCK!$H$3:$H$6125=B902,INSTOCK!$I$3:$I$6125))</f>
        <v>61</v>
      </c>
      <c r="I902" s="50" t="str">
        <f>ARRAY_CONSTRAIN(ARRAYFORMULA(SUM(IF([3]!Table13[ID]=B902,[3]!Table13[QTY]))), 1, 1)</f>
        <v>#ERROR!</v>
      </c>
      <c r="J902" s="50" t="str">
        <f>TABLEITEM!$H$3:$H$2749-TABLEITEM!$I$3:$I$2749</f>
        <v>#ERROR!</v>
      </c>
    </row>
    <row r="903" ht="15.75" customHeight="1">
      <c r="A903" s="45">
        <v>520.0</v>
      </c>
      <c r="B903" s="10" t="s">
        <v>405</v>
      </c>
      <c r="C903" s="26"/>
      <c r="D903" s="10" t="s">
        <v>8342</v>
      </c>
      <c r="E903" s="48" t="s">
        <v>8235</v>
      </c>
      <c r="F903" s="48" t="s">
        <v>7173</v>
      </c>
      <c r="G903" s="49">
        <f t="array" ref="G903">MAX(IF(INSTOCK!$H$3:$H$6125=B903,INSTOCK!$K$3:$K$6125))</f>
        <v>5.4</v>
      </c>
      <c r="H903" s="50">
        <f t="array" ref="H903">SUM(IF(INSTOCK!$H$3:$H$6125=B903,INSTOCK!$I$3:$I$6125))</f>
        <v>245</v>
      </c>
      <c r="I903" s="50" t="str">
        <f>ARRAY_CONSTRAIN(ARRAYFORMULA(SUM(IF([3]!Table13[ID]=B903,[3]!Table13[QTY]))), 1, 1)</f>
        <v>#ERROR!</v>
      </c>
      <c r="J903" s="50" t="str">
        <f>TABLEITEM!$H$3:$H$2749-TABLEITEM!$I$3:$I$2749</f>
        <v>#ERROR!</v>
      </c>
    </row>
    <row r="904" ht="15.75" customHeight="1">
      <c r="A904" s="45">
        <v>525.0</v>
      </c>
      <c r="B904" s="10" t="s">
        <v>410</v>
      </c>
      <c r="C904" s="26"/>
      <c r="D904" s="10" t="s">
        <v>8343</v>
      </c>
      <c r="E904" s="48" t="s">
        <v>8235</v>
      </c>
      <c r="F904" s="48" t="s">
        <v>7173</v>
      </c>
      <c r="G904" s="49">
        <f t="array" ref="G904">MAX(IF(INSTOCK!$H$3:$H$6125=B904,INSTOCK!$K$3:$K$6125))</f>
        <v>5.4</v>
      </c>
      <c r="H904" s="50">
        <f t="array" ref="H904">SUM(IF(INSTOCK!$H$3:$H$6125=B904,INSTOCK!$I$3:$I$6125))</f>
        <v>84</v>
      </c>
      <c r="I904" s="50" t="str">
        <f>ARRAY_CONSTRAIN(ARRAYFORMULA(SUM(IF([3]!Table13[ID]=B904,[3]!Table13[QTY]))), 1, 1)</f>
        <v>#ERROR!</v>
      </c>
      <c r="J904" s="50" t="str">
        <f>TABLEITEM!$H$3:$H$2749-TABLEITEM!$I$3:$I$2749</f>
        <v>#ERROR!</v>
      </c>
    </row>
    <row r="905" ht="15.75" customHeight="1">
      <c r="A905" s="45">
        <v>524.0</v>
      </c>
      <c r="B905" s="10" t="s">
        <v>409</v>
      </c>
      <c r="C905" s="26"/>
      <c r="D905" s="10" t="s">
        <v>8344</v>
      </c>
      <c r="E905" s="48" t="s">
        <v>8235</v>
      </c>
      <c r="F905" s="48" t="s">
        <v>7173</v>
      </c>
      <c r="G905" s="49">
        <f t="array" ref="G905">MAX(IF(INSTOCK!$H$3:$H$6125=B905,INSTOCK!$K$3:$K$6125))</f>
        <v>5.4</v>
      </c>
      <c r="H905" s="50">
        <f t="array" ref="H905">SUM(IF(INSTOCK!$H$3:$H$6125=B905,INSTOCK!$I$3:$I$6125))</f>
        <v>37</v>
      </c>
      <c r="I905" s="50" t="str">
        <f>ARRAY_CONSTRAIN(ARRAYFORMULA(SUM(IF([3]!Table13[ID]=B905,[3]!Table13[QTY]))), 1, 1)</f>
        <v>#ERROR!</v>
      </c>
      <c r="J905" s="50" t="str">
        <f>TABLEITEM!$H$3:$H$2749-TABLEITEM!$I$3:$I$2749</f>
        <v>#ERROR!</v>
      </c>
    </row>
    <row r="906" ht="15.75" customHeight="1">
      <c r="A906" s="45">
        <v>523.0</v>
      </c>
      <c r="B906" s="10" t="s">
        <v>408</v>
      </c>
      <c r="C906" s="26"/>
      <c r="D906" s="10" t="s">
        <v>8345</v>
      </c>
      <c r="E906" s="48" t="s">
        <v>8235</v>
      </c>
      <c r="F906" s="48" t="s">
        <v>7173</v>
      </c>
      <c r="G906" s="49">
        <f t="array" ref="G906">MAX(IF(INSTOCK!$H$3:$H$6125=B906,INSTOCK!$K$3:$K$6125))</f>
        <v>5.4</v>
      </c>
      <c r="H906" s="50">
        <f t="array" ref="H906">SUM(IF(INSTOCK!$H$3:$H$6125=B906,INSTOCK!$I$3:$I$6125))</f>
        <v>139</v>
      </c>
      <c r="I906" s="50" t="str">
        <f>ARRAY_CONSTRAIN(ARRAYFORMULA(SUM(IF([3]!Table13[ID]=B906,[3]!Table13[QTY]))), 1, 1)</f>
        <v>#ERROR!</v>
      </c>
      <c r="J906" s="50" t="str">
        <f>TABLEITEM!$H$3:$H$2749-TABLEITEM!$I$3:$I$2749</f>
        <v>#ERROR!</v>
      </c>
    </row>
    <row r="907" ht="15.75" customHeight="1">
      <c r="A907" s="45">
        <v>570.0</v>
      </c>
      <c r="B907" s="10" t="s">
        <v>455</v>
      </c>
      <c r="C907" s="26"/>
      <c r="D907" s="10" t="s">
        <v>8346</v>
      </c>
      <c r="E907" s="48" t="s">
        <v>8235</v>
      </c>
      <c r="F907" s="48" t="s">
        <v>7173</v>
      </c>
      <c r="G907" s="49">
        <f t="array" ref="G907">MAX(IF(INSTOCK!$H$3:$H$6125=B907,INSTOCK!$K$3:$K$6125))</f>
        <v>5.4</v>
      </c>
      <c r="H907" s="50">
        <f t="array" ref="H907">SUM(IF(INSTOCK!$H$3:$H$6125=B907,INSTOCK!$I$3:$I$6125))</f>
        <v>98</v>
      </c>
      <c r="I907" s="50" t="str">
        <f>ARRAY_CONSTRAIN(ARRAYFORMULA(SUM(IF([3]!Table13[ID]=B907,[3]!Table13[QTY]))), 1, 1)</f>
        <v>#ERROR!</v>
      </c>
      <c r="J907" s="50" t="str">
        <f>TABLEITEM!$H$3:$H$2749-TABLEITEM!$I$3:$I$2749</f>
        <v>#ERROR!</v>
      </c>
    </row>
    <row r="908" ht="15.75" customHeight="1">
      <c r="A908" s="45">
        <v>571.0</v>
      </c>
      <c r="B908" s="10" t="s">
        <v>456</v>
      </c>
      <c r="C908" s="26"/>
      <c r="D908" s="10" t="s">
        <v>8347</v>
      </c>
      <c r="E908" s="48" t="s">
        <v>8235</v>
      </c>
      <c r="F908" s="48" t="s">
        <v>7173</v>
      </c>
      <c r="G908" s="49">
        <f t="array" ref="G908">MAX(IF(INSTOCK!$H$3:$H$6125=B908,INSTOCK!$K$3:$K$6125))</f>
        <v>5.4</v>
      </c>
      <c r="H908" s="50">
        <f t="array" ref="H908">SUM(IF(INSTOCK!$H$3:$H$6125=B908,INSTOCK!$I$3:$I$6125))</f>
        <v>98</v>
      </c>
      <c r="I908" s="50" t="str">
        <f>ARRAY_CONSTRAIN(ARRAYFORMULA(SUM(IF([3]!Table13[ID]=B908,[3]!Table13[QTY]))), 1, 1)</f>
        <v>#ERROR!</v>
      </c>
      <c r="J908" s="50" t="str">
        <f>TABLEITEM!$H$3:$H$2749-TABLEITEM!$I$3:$I$2749</f>
        <v>#ERROR!</v>
      </c>
    </row>
    <row r="909" ht="15.75" customHeight="1">
      <c r="A909" s="45"/>
      <c r="B909" s="10" t="s">
        <v>1931</v>
      </c>
      <c r="C909" s="26"/>
      <c r="D909" s="10" t="s">
        <v>8348</v>
      </c>
      <c r="E909" s="48" t="s">
        <v>1930</v>
      </c>
      <c r="F909" s="48" t="s">
        <v>7173</v>
      </c>
      <c r="G909" s="49">
        <f t="array" ref="G909">MAX(IF(INSTOCK!$H$3:$H$6125=B909,INSTOCK!$K$3:$K$6125))</f>
        <v>22</v>
      </c>
      <c r="H909" s="50">
        <f t="array" ref="H909">SUM(IF(INSTOCK!$H$3:$H$6125=B909,INSTOCK!$I$3:$I$6125))</f>
        <v>40</v>
      </c>
      <c r="I909" s="50" t="str">
        <f>ARRAY_CONSTRAIN(ARRAYFORMULA(SUM(IF([3]!Table13[ID]=B909,[3]!Table13[QTY]))), 1, 1)</f>
        <v>#ERROR!</v>
      </c>
      <c r="J909" s="50" t="str">
        <f>TABLEITEM!$H$3:$H$2749-TABLEITEM!$I$3:$I$2749</f>
        <v>#ERROR!</v>
      </c>
    </row>
    <row r="910" ht="15.75" customHeight="1">
      <c r="A910" s="45"/>
      <c r="B910" s="10" t="s">
        <v>1662</v>
      </c>
      <c r="C910" s="26"/>
      <c r="D910" s="10" t="s">
        <v>8349</v>
      </c>
      <c r="E910" s="48" t="s">
        <v>8350</v>
      </c>
      <c r="F910" s="57" t="s">
        <v>7173</v>
      </c>
      <c r="G910" s="49">
        <f t="array" ref="G910">MAX(IF(INSTOCK!$H$3:$H$6125=B910,INSTOCK!$K$3:$K$6125))</f>
        <v>168</v>
      </c>
      <c r="H910" s="50">
        <f t="array" ref="H910">SUM(IF(INSTOCK!$H$3:$H$6125=B910,INSTOCK!$I$3:$I$6125))</f>
        <v>4</v>
      </c>
      <c r="I910" s="50" t="str">
        <f>ARRAY_CONSTRAIN(ARRAYFORMULA(SUM(IF([3]!Table13[ID]=B910,[3]!Table13[QTY]))), 1, 1)</f>
        <v>#ERROR!</v>
      </c>
      <c r="J910" s="50" t="str">
        <f>TABLEITEM!$H$3:$H$2749-TABLEITEM!$I$3:$I$2749</f>
        <v>#ERROR!</v>
      </c>
    </row>
    <row r="911" ht="15.75" customHeight="1">
      <c r="A911" s="45"/>
      <c r="B911" s="10" t="s">
        <v>1661</v>
      </c>
      <c r="C911" s="26"/>
      <c r="D911" s="10" t="s">
        <v>8351</v>
      </c>
      <c r="E911" s="48" t="s">
        <v>8350</v>
      </c>
      <c r="F911" s="57" t="s">
        <v>7173</v>
      </c>
      <c r="G911" s="49">
        <f t="array" ref="G911">MAX(IF(INSTOCK!$H$3:$H$6125=B911,INSTOCK!$K$3:$K$6125))</f>
        <v>139</v>
      </c>
      <c r="H911" s="50">
        <f t="array" ref="H911">SUM(IF(INSTOCK!$H$3:$H$6125=B911,INSTOCK!$I$3:$I$6125))</f>
        <v>7</v>
      </c>
      <c r="I911" s="50" t="str">
        <f>ARRAY_CONSTRAIN(ARRAYFORMULA(SUM(IF([3]!Table13[ID]=B911,[3]!Table13[QTY]))), 1, 1)</f>
        <v>#ERROR!</v>
      </c>
      <c r="J911" s="50" t="str">
        <f>TABLEITEM!$H$3:$H$2749-TABLEITEM!$I$3:$I$2749</f>
        <v>#ERROR!</v>
      </c>
    </row>
    <row r="912" ht="15.75" customHeight="1">
      <c r="A912" s="45"/>
      <c r="B912" s="10" t="s">
        <v>1660</v>
      </c>
      <c r="C912" s="26"/>
      <c r="D912" s="10" t="s">
        <v>8352</v>
      </c>
      <c r="E912" s="48" t="s">
        <v>8350</v>
      </c>
      <c r="F912" s="57" t="s">
        <v>7173</v>
      </c>
      <c r="G912" s="49">
        <f t="array" ref="G912">MAX(IF(INSTOCK!$H$3:$H$6125=B912,INSTOCK!$K$3:$K$6125))</f>
        <v>99</v>
      </c>
      <c r="H912" s="50">
        <f t="array" ref="H912">SUM(IF(INSTOCK!$H$3:$H$6125=B912,INSTOCK!$I$3:$I$6125))</f>
        <v>20</v>
      </c>
      <c r="I912" s="50" t="str">
        <f>ARRAY_CONSTRAIN(ARRAYFORMULA(SUM(IF([3]!Table13[ID]=B912,[3]!Table13[QTY]))), 1, 1)</f>
        <v>#ERROR!</v>
      </c>
      <c r="J912" s="50" t="str">
        <f>TABLEITEM!$H$3:$H$2749-TABLEITEM!$I$3:$I$2749</f>
        <v>#ERROR!</v>
      </c>
    </row>
    <row r="913" ht="15.75" customHeight="1">
      <c r="A913" s="45"/>
      <c r="B913" s="10" t="s">
        <v>1658</v>
      </c>
      <c r="C913" s="26"/>
      <c r="D913" s="10" t="s">
        <v>8353</v>
      </c>
      <c r="E913" s="48" t="s">
        <v>8350</v>
      </c>
      <c r="F913" s="57" t="s">
        <v>7173</v>
      </c>
      <c r="G913" s="49">
        <f t="array" ref="G913">MAX(IF(INSTOCK!$H$3:$H$6125=B913,INSTOCK!$K$3:$K$6125))</f>
        <v>82</v>
      </c>
      <c r="H913" s="50">
        <f t="array" ref="H913">SUM(IF(INSTOCK!$H$3:$H$6125=B913,INSTOCK!$I$3:$I$6125))</f>
        <v>20</v>
      </c>
      <c r="I913" s="50" t="str">
        <f>ARRAY_CONSTRAIN(ARRAYFORMULA(SUM(IF([3]!Table13[ID]=B913,[3]!Table13[QTY]))), 1, 1)</f>
        <v>#ERROR!</v>
      </c>
      <c r="J913" s="50" t="str">
        <f>TABLEITEM!$H$3:$H$2749-TABLEITEM!$I$3:$I$2749</f>
        <v>#ERROR!</v>
      </c>
    </row>
    <row r="914" ht="15.75" customHeight="1">
      <c r="A914" s="45"/>
      <c r="B914" s="10" t="s">
        <v>1664</v>
      </c>
      <c r="C914" s="26"/>
      <c r="D914" s="10" t="s">
        <v>8354</v>
      </c>
      <c r="E914" s="48" t="s">
        <v>8350</v>
      </c>
      <c r="F914" s="57" t="s">
        <v>7173</v>
      </c>
      <c r="G914" s="49">
        <f t="array" ref="G914">MAX(IF(INSTOCK!$H$3:$H$6125=B914,INSTOCK!$K$3:$K$6125))</f>
        <v>206</v>
      </c>
      <c r="H914" s="50">
        <f t="array" ref="H914">SUM(IF(INSTOCK!$H$3:$H$6125=B914,INSTOCK!$I$3:$I$6125))</f>
        <v>5</v>
      </c>
      <c r="I914" s="50" t="str">
        <f>ARRAY_CONSTRAIN(ARRAYFORMULA(SUM(IF([3]!Table13[ID]=B914,[3]!Table13[QTY]))), 1, 1)</f>
        <v>#ERROR!</v>
      </c>
      <c r="J914" s="50" t="str">
        <f>TABLEITEM!$H$3:$H$2749-TABLEITEM!$I$3:$I$2749</f>
        <v>#ERROR!</v>
      </c>
    </row>
    <row r="915" ht="15.75" customHeight="1">
      <c r="A915" s="45"/>
      <c r="B915" s="10" t="s">
        <v>1663</v>
      </c>
      <c r="C915" s="26"/>
      <c r="D915" s="10" t="s">
        <v>8355</v>
      </c>
      <c r="E915" s="48" t="s">
        <v>8350</v>
      </c>
      <c r="F915" s="57" t="s">
        <v>7173</v>
      </c>
      <c r="G915" s="49">
        <f t="array" ref="G915">MAX(IF(INSTOCK!$H$3:$H$6125=B915,INSTOCK!$K$3:$K$6125))</f>
        <v>125</v>
      </c>
      <c r="H915" s="50">
        <f t="array" ref="H915">SUM(IF(INSTOCK!$H$3:$H$6125=B915,INSTOCK!$I$3:$I$6125))</f>
        <v>5</v>
      </c>
      <c r="I915" s="50" t="str">
        <f>ARRAY_CONSTRAIN(ARRAYFORMULA(SUM(IF([3]!Table13[ID]=B915,[3]!Table13[QTY]))), 1, 1)</f>
        <v>#ERROR!</v>
      </c>
      <c r="J915" s="50" t="str">
        <f>TABLEITEM!$H$3:$H$2749-TABLEITEM!$I$3:$I$2749</f>
        <v>#ERROR!</v>
      </c>
    </row>
    <row r="916" ht="15.75" customHeight="1">
      <c r="A916" s="45"/>
      <c r="B916" s="10" t="s">
        <v>1666</v>
      </c>
      <c r="C916" s="26"/>
      <c r="D916" s="10" t="s">
        <v>8356</v>
      </c>
      <c r="E916" s="48"/>
      <c r="F916" s="57" t="s">
        <v>7173</v>
      </c>
      <c r="G916" s="49">
        <f t="array" ref="G916">MAX(IF(INSTOCK!$H$3:$H$6125=B916,INSTOCK!$K$3:$K$6125))</f>
        <v>12</v>
      </c>
      <c r="H916" s="50">
        <f t="array" ref="H916">SUM(IF(INSTOCK!$H$3:$H$6125=B916,INSTOCK!$I$3:$I$6125))</f>
        <v>5</v>
      </c>
      <c r="I916" s="50" t="str">
        <f>ARRAY_CONSTRAIN(ARRAYFORMULA(SUM(IF([3]!Table13[ID]=B916,[3]!Table13[QTY]))), 1, 1)</f>
        <v>#ERROR!</v>
      </c>
      <c r="J916" s="50" t="str">
        <f>TABLEITEM!$H$3:$H$2749-TABLEITEM!$I$3:$I$2749</f>
        <v>#ERROR!</v>
      </c>
    </row>
    <row r="917" ht="15.75" customHeight="1">
      <c r="A917" s="45"/>
      <c r="B917" s="10" t="s">
        <v>1665</v>
      </c>
      <c r="C917" s="26"/>
      <c r="D917" s="10" t="s">
        <v>8357</v>
      </c>
      <c r="E917" s="48" t="s">
        <v>8350</v>
      </c>
      <c r="F917" s="57" t="s">
        <v>8129</v>
      </c>
      <c r="G917" s="49">
        <f t="array" ref="G917">MAX(IF(INSTOCK!$H$3:$H$6125=B917,INSTOCK!$K$3:$K$6125))</f>
        <v>260</v>
      </c>
      <c r="H917" s="50">
        <f t="array" ref="H917">SUM(IF(INSTOCK!$H$3:$H$6125=B917,INSTOCK!$I$3:$I$6125))</f>
        <v>1</v>
      </c>
      <c r="I917" s="50" t="str">
        <f>ARRAY_CONSTRAIN(ARRAYFORMULA(SUM(IF([3]!Table13[ID]=B917,[3]!Table13[QTY]))), 1, 1)</f>
        <v>#ERROR!</v>
      </c>
      <c r="J917" s="50" t="str">
        <f>TABLEITEM!$H$3:$H$2749-TABLEITEM!$I$3:$I$2749</f>
        <v>#ERROR!</v>
      </c>
    </row>
    <row r="918" ht="15.75" customHeight="1">
      <c r="A918" s="45">
        <v>140.0</v>
      </c>
      <c r="B918" s="10" t="s">
        <v>21</v>
      </c>
      <c r="C918" s="26"/>
      <c r="D918" s="10" t="s">
        <v>8358</v>
      </c>
      <c r="E918" s="48" t="s">
        <v>1276</v>
      </c>
      <c r="F918" s="48" t="s">
        <v>7173</v>
      </c>
      <c r="G918" s="49">
        <f t="array" ref="G918">MAX(IF(INSTOCK!$H$3:$H$6125=B918,INSTOCK!$K$3:$K$6125))</f>
        <v>45</v>
      </c>
      <c r="H918" s="50">
        <f t="array" ref="H918">SUM(IF(INSTOCK!$H$3:$H$6125=B918,INSTOCK!$I$3:$I$6125))</f>
        <v>5560</v>
      </c>
      <c r="I918" s="50" t="str">
        <f>ARRAY_CONSTRAIN(ARRAYFORMULA(SUM(IF([3]!Table13[ID]=B918,[3]!Table13[QTY]))), 1, 1)</f>
        <v>#ERROR!</v>
      </c>
      <c r="J918" s="50" t="str">
        <f>TABLEITEM!$H$3:$H$2749-TABLEITEM!$I$3:$I$2749</f>
        <v>#ERROR!</v>
      </c>
    </row>
    <row r="919" ht="15.75" customHeight="1">
      <c r="A919" s="45"/>
      <c r="B919" s="10" t="s">
        <v>1876</v>
      </c>
      <c r="C919" s="26"/>
      <c r="D919" s="10" t="s">
        <v>8359</v>
      </c>
      <c r="E919" s="48" t="s">
        <v>8360</v>
      </c>
      <c r="F919" s="57" t="s">
        <v>7173</v>
      </c>
      <c r="G919" s="49">
        <f t="array" ref="G919">MAX(IF(INSTOCK!$H$3:$H$6125=B919,INSTOCK!$K$3:$K$6125))</f>
        <v>1640</v>
      </c>
      <c r="H919" s="50">
        <f t="array" ref="H919">SUM(IF(INSTOCK!$H$3:$H$6125=B919,INSTOCK!$I$3:$I$6125))</f>
        <v>20</v>
      </c>
      <c r="I919" s="50" t="str">
        <f>ARRAY_CONSTRAIN(ARRAYFORMULA(SUM(IF([3]!Table13[ID]=B919,[3]!Table13[QTY]))), 1, 1)</f>
        <v>#ERROR!</v>
      </c>
      <c r="J919" s="50" t="str">
        <f>TABLEITEM!$H$3:$H$2749-TABLEITEM!$I$3:$I$2749</f>
        <v>#ERROR!</v>
      </c>
    </row>
    <row r="920" ht="15.75" customHeight="1">
      <c r="A920" s="45"/>
      <c r="B920" s="10" t="s">
        <v>2135</v>
      </c>
      <c r="C920" s="26"/>
      <c r="D920" s="10" t="s">
        <v>8361</v>
      </c>
      <c r="E920" s="48" t="s">
        <v>7647</v>
      </c>
      <c r="F920" s="4" t="s">
        <v>8362</v>
      </c>
      <c r="G920" s="49">
        <f t="array" ref="G920">MAX(IF(INSTOCK!$H$3:$H$6125=B920,INSTOCK!$K$3:$K$6125))</f>
        <v>125</v>
      </c>
      <c r="H920" s="50">
        <f t="array" ref="H920">SUM(IF(INSTOCK!$H$3:$H$6125=B920,INSTOCK!$I$3:$I$6125))</f>
        <v>55</v>
      </c>
      <c r="I920" s="50" t="str">
        <f>ARRAY_CONSTRAIN(ARRAYFORMULA(SUM(IF([3]!Table13[ID]=B920,[3]!Table13[QTY]))), 1, 1)</f>
        <v>#ERROR!</v>
      </c>
      <c r="J920" s="50" t="str">
        <f>TABLEITEM!$H$3:$H$2749-TABLEITEM!$I$3:$I$2749</f>
        <v>#ERROR!</v>
      </c>
    </row>
    <row r="921" ht="15.75" customHeight="1">
      <c r="A921" s="45"/>
      <c r="B921" s="10" t="s">
        <v>5387</v>
      </c>
      <c r="C921" s="26"/>
      <c r="D921" s="10" t="s">
        <v>8363</v>
      </c>
      <c r="E921" s="48"/>
      <c r="F921" s="48" t="s">
        <v>7173</v>
      </c>
      <c r="G921" s="49">
        <f t="array" ref="G921">MAX(IF(INSTOCK!$H$3:$H$6125=B921,INSTOCK!$K$3:$K$6125))</f>
        <v>48</v>
      </c>
      <c r="H921" s="50">
        <f t="array" ref="H921">SUM(IF(INSTOCK!$H$3:$H$6125=B921,INSTOCK!$I$3:$I$6125))</f>
        <v>2</v>
      </c>
      <c r="I921" s="50" t="str">
        <f>ARRAY_CONSTRAIN(ARRAYFORMULA(SUM(IF([3]!Table13[ID]=B921,[3]!Table13[QTY]))), 1, 1)</f>
        <v>#ERROR!</v>
      </c>
      <c r="J921" s="50" t="str">
        <f>TABLEITEM!$H$3:$H$2749-TABLEITEM!$I$3:$I$2749</f>
        <v>#ERROR!</v>
      </c>
    </row>
    <row r="922" ht="15.75" customHeight="1">
      <c r="A922" s="45"/>
      <c r="B922" s="10" t="s">
        <v>4787</v>
      </c>
      <c r="C922" s="26"/>
      <c r="D922" s="10" t="s">
        <v>8364</v>
      </c>
      <c r="E922" s="48"/>
      <c r="F922" s="48" t="s">
        <v>7173</v>
      </c>
      <c r="G922" s="49">
        <f t="array" ref="G922">MAX(IF(INSTOCK!$H$3:$H$6125=B922,INSTOCK!$K$3:$K$6125))</f>
        <v>46</v>
      </c>
      <c r="H922" s="50">
        <f t="array" ref="H922">SUM(IF(INSTOCK!$H$3:$H$6125=B922,INSTOCK!$I$3:$I$6125))</f>
        <v>6</v>
      </c>
      <c r="I922" s="50" t="str">
        <f>ARRAY_CONSTRAIN(ARRAYFORMULA(SUM(IF([3]!Table13[ID]=B922,[3]!Table13[QTY]))), 1, 1)</f>
        <v>#ERROR!</v>
      </c>
      <c r="J922" s="50" t="str">
        <f>TABLEITEM!$H$3:$H$2749-TABLEITEM!$I$3:$I$2749</f>
        <v>#ERROR!</v>
      </c>
    </row>
    <row r="923" ht="15.75" customHeight="1">
      <c r="A923" s="45"/>
      <c r="B923" s="10" t="s">
        <v>3161</v>
      </c>
      <c r="C923" s="26"/>
      <c r="D923" s="10" t="s">
        <v>8365</v>
      </c>
      <c r="E923" s="48" t="s">
        <v>8366</v>
      </c>
      <c r="F923" s="4" t="s">
        <v>7173</v>
      </c>
      <c r="G923" s="49">
        <f t="array" ref="G923">MAX(IF(INSTOCK!$H$3:$H$6125=B923,INSTOCK!$K$3:$K$6125))</f>
        <v>100</v>
      </c>
      <c r="H923" s="50">
        <f t="array" ref="H923">SUM(IF(INSTOCK!$H$3:$H$6125=B923,INSTOCK!$I$3:$I$6125))</f>
        <v>800</v>
      </c>
      <c r="I923" s="50" t="str">
        <f>ARRAY_CONSTRAIN(ARRAYFORMULA(SUM(IF([3]!Table13[ID]=B923,[3]!Table13[QTY]))), 1, 1)</f>
        <v>#ERROR!</v>
      </c>
      <c r="J923" s="50" t="str">
        <f>TABLEITEM!$H$3:$H$2749-TABLEITEM!$I$3:$I$2749</f>
        <v>#ERROR!</v>
      </c>
    </row>
    <row r="924" ht="15.75" customHeight="1">
      <c r="A924" s="45">
        <v>154.0</v>
      </c>
      <c r="B924" s="10" t="s">
        <v>35</v>
      </c>
      <c r="C924" s="26"/>
      <c r="D924" s="10" t="s">
        <v>1072</v>
      </c>
      <c r="E924" s="48" t="s">
        <v>1274</v>
      </c>
      <c r="F924" s="48" t="s">
        <v>7173</v>
      </c>
      <c r="G924" s="49">
        <f t="array" ref="G924">MAX(IF(INSTOCK!$H$3:$H$6125=B924,INSTOCK!$K$3:$K$6125))</f>
        <v>85</v>
      </c>
      <c r="H924" s="50">
        <f t="array" ref="H924">SUM(IF(INSTOCK!$H$3:$H$6125=B924,INSTOCK!$I$3:$I$6125))</f>
        <v>163</v>
      </c>
      <c r="I924" s="50" t="str">
        <f>ARRAY_CONSTRAIN(ARRAYFORMULA(SUM(IF([3]!Table13[ID]=B924,[3]!Table13[QTY]))), 1, 1)</f>
        <v>#ERROR!</v>
      </c>
      <c r="J924" s="50" t="str">
        <f>TABLEITEM!$H$3:$H$2749-TABLEITEM!$I$3:$I$2749</f>
        <v>#ERROR!</v>
      </c>
    </row>
    <row r="925" ht="15.75" customHeight="1">
      <c r="A925" s="45">
        <v>141.0</v>
      </c>
      <c r="B925" s="10" t="s">
        <v>22</v>
      </c>
      <c r="C925" s="26"/>
      <c r="D925" s="10" t="s">
        <v>1074</v>
      </c>
      <c r="E925" s="48"/>
      <c r="F925" s="48" t="s">
        <v>7173</v>
      </c>
      <c r="G925" s="49">
        <f t="array" ref="G925">MAX(IF(INSTOCK!$H$3:$H$6125=B925,INSTOCK!$K$3:$K$6125))</f>
        <v>42</v>
      </c>
      <c r="H925" s="50">
        <f t="array" ref="H925">SUM(IF(INSTOCK!$H$3:$H$6125=B925,INSTOCK!$I$3:$I$6125))</f>
        <v>3190</v>
      </c>
      <c r="I925" s="50" t="str">
        <f>ARRAY_CONSTRAIN(ARRAYFORMULA(SUM(IF([3]!Table13[ID]=B925,[3]!Table13[QTY]))), 1, 1)</f>
        <v>#ERROR!</v>
      </c>
      <c r="J925" s="50" t="str">
        <f>TABLEITEM!$H$3:$H$2749-TABLEITEM!$I$3:$I$2749</f>
        <v>#ERROR!</v>
      </c>
    </row>
    <row r="926" ht="15.75" customHeight="1">
      <c r="A926" s="45">
        <v>142.0</v>
      </c>
      <c r="B926" s="10" t="s">
        <v>23</v>
      </c>
      <c r="C926" s="26"/>
      <c r="D926" s="10" t="s">
        <v>1078</v>
      </c>
      <c r="E926" s="48"/>
      <c r="F926" s="48" t="s">
        <v>7173</v>
      </c>
      <c r="G926" s="49">
        <f t="array" ref="G926">MAX(IF(INSTOCK!$H$3:$H$6125=B926,INSTOCK!$K$3:$K$6125))</f>
        <v>38</v>
      </c>
      <c r="H926" s="50">
        <f t="array" ref="H926">SUM(IF(INSTOCK!$H$3:$H$6125=B926,INSTOCK!$I$3:$I$6125))</f>
        <v>210</v>
      </c>
      <c r="I926" s="50" t="str">
        <f>ARRAY_CONSTRAIN(ARRAYFORMULA(SUM(IF([3]!Table13[ID]=B926,[3]!Table13[QTY]))), 1, 1)</f>
        <v>#ERROR!</v>
      </c>
      <c r="J926" s="50" t="str">
        <f>TABLEITEM!$H$3:$H$2749-TABLEITEM!$I$3:$I$2749</f>
        <v>#ERROR!</v>
      </c>
    </row>
    <row r="927" ht="15.75" customHeight="1">
      <c r="A927" s="45"/>
      <c r="B927" s="10" t="s">
        <v>2438</v>
      </c>
      <c r="C927" s="26"/>
      <c r="D927" s="10" t="s">
        <v>8367</v>
      </c>
      <c r="E927" s="48"/>
      <c r="F927" s="48" t="s">
        <v>7173</v>
      </c>
      <c r="G927" s="49">
        <f t="array" ref="G927">MAX(IF(INSTOCK!$H$3:$H$6125=B927,INSTOCK!$K$3:$K$6125))</f>
        <v>50</v>
      </c>
      <c r="H927" s="50">
        <f t="array" ref="H927">SUM(IF(INSTOCK!$H$3:$H$6125=B927,INSTOCK!$I$3:$I$6125))</f>
        <v>24</v>
      </c>
      <c r="I927" s="50" t="str">
        <f>ARRAY_CONSTRAIN(ARRAYFORMULA(SUM(IF([3]!Table13[ID]=B927,[3]!Table13[QTY]))), 1, 1)</f>
        <v>#ERROR!</v>
      </c>
      <c r="J927" s="50" t="str">
        <f>TABLEITEM!$H$3:$H$2749-TABLEITEM!$I$3:$I$2749</f>
        <v>#ERROR!</v>
      </c>
    </row>
    <row r="928" ht="15.75" customHeight="1">
      <c r="A928" s="45"/>
      <c r="B928" s="10" t="s">
        <v>2800</v>
      </c>
      <c r="C928" s="26"/>
      <c r="D928" s="10" t="s">
        <v>8368</v>
      </c>
      <c r="E928" s="48"/>
      <c r="F928" s="48" t="s">
        <v>7173</v>
      </c>
      <c r="G928" s="49">
        <f t="array" ref="G928">MAX(IF(INSTOCK!$H$3:$H$6125=B928,INSTOCK!$K$3:$K$6125))</f>
        <v>2850</v>
      </c>
      <c r="H928" s="50">
        <f t="array" ref="H928">SUM(IF(INSTOCK!$H$3:$H$6125=B928,INSTOCK!$I$3:$I$6125))</f>
        <v>1</v>
      </c>
      <c r="I928" s="50" t="str">
        <f>ARRAY_CONSTRAIN(ARRAYFORMULA(SUM(IF([3]!Table13[ID]=B928,[3]!Table13[QTY]))), 1, 1)</f>
        <v>#ERROR!</v>
      </c>
      <c r="J928" s="50" t="str">
        <f>TABLEITEM!$H$3:$H$2749-TABLEITEM!$I$3:$I$2749</f>
        <v>#ERROR!</v>
      </c>
    </row>
    <row r="929" ht="15.75" customHeight="1">
      <c r="A929" s="45"/>
      <c r="B929" s="10" t="s">
        <v>2801</v>
      </c>
      <c r="C929" s="26"/>
      <c r="D929" s="10" t="s">
        <v>8369</v>
      </c>
      <c r="E929" s="48"/>
      <c r="F929" s="48" t="s">
        <v>7173</v>
      </c>
      <c r="G929" s="49">
        <f t="array" ref="G929">MAX(IF(INSTOCK!$H$3:$H$6125=B929,INSTOCK!$K$3:$K$6125))</f>
        <v>-500</v>
      </c>
      <c r="H929" s="50">
        <f t="array" ref="H929">SUM(IF(INSTOCK!$H$3:$H$6125=B929,INSTOCK!$I$3:$I$6125))</f>
        <v>1</v>
      </c>
      <c r="I929" s="50" t="str">
        <f>ARRAY_CONSTRAIN(ARRAYFORMULA(SUM(IF([3]!Table13[ID]=B929,[3]!Table13[QTY]))), 1, 1)</f>
        <v>#ERROR!</v>
      </c>
      <c r="J929" s="50" t="str">
        <f>TABLEITEM!$H$3:$H$2749-TABLEITEM!$I$3:$I$2749</f>
        <v>#ERROR!</v>
      </c>
    </row>
    <row r="930" ht="15.75" customHeight="1">
      <c r="A930" s="45"/>
      <c r="B930" s="10" t="s">
        <v>3027</v>
      </c>
      <c r="C930" s="26"/>
      <c r="D930" s="10" t="s">
        <v>8370</v>
      </c>
      <c r="E930" s="48"/>
      <c r="F930" s="48" t="s">
        <v>7173</v>
      </c>
      <c r="G930" s="49">
        <f t="array" ref="G930">MAX(IF(INSTOCK!$H$3:$H$6125=B930,INSTOCK!$K$3:$K$6125))</f>
        <v>410</v>
      </c>
      <c r="H930" s="50">
        <f t="array" ref="H930">SUM(IF(INSTOCK!$H$3:$H$6125=B930,INSTOCK!$I$3:$I$6125))</f>
        <v>2</v>
      </c>
      <c r="I930" s="50" t="str">
        <f>ARRAY_CONSTRAIN(ARRAYFORMULA(SUM(IF([3]!Table13[ID]=B930,[3]!Table13[QTY]))), 1, 1)</f>
        <v>#ERROR!</v>
      </c>
      <c r="J930" s="50" t="str">
        <f>TABLEITEM!$H$3:$H$2749-TABLEITEM!$I$3:$I$2749</f>
        <v>#ERROR!</v>
      </c>
    </row>
    <row r="931" ht="15.75" customHeight="1">
      <c r="A931" s="45"/>
      <c r="B931" s="10" t="s">
        <v>3047</v>
      </c>
      <c r="C931" s="26"/>
      <c r="D931" s="10" t="s">
        <v>8371</v>
      </c>
      <c r="E931" s="48"/>
      <c r="F931" s="48" t="s">
        <v>7173</v>
      </c>
      <c r="G931" s="49">
        <f t="array" ref="G931">MAX(IF(INSTOCK!$H$3:$H$6125=B931,INSTOCK!$K$3:$K$6125))</f>
        <v>300</v>
      </c>
      <c r="H931" s="50">
        <f t="array" ref="H931">SUM(IF(INSTOCK!$H$3:$H$6125=B931,INSTOCK!$I$3:$I$6125))</f>
        <v>1</v>
      </c>
      <c r="I931" s="50" t="str">
        <f>ARRAY_CONSTRAIN(ARRAYFORMULA(SUM(IF([3]!Table13[ID]=B931,[3]!Table13[QTY]))), 1, 1)</f>
        <v>#ERROR!</v>
      </c>
      <c r="J931" s="50" t="str">
        <f>TABLEITEM!$H$3:$H$2749-TABLEITEM!$I$3:$I$2749</f>
        <v>#ERROR!</v>
      </c>
    </row>
    <row r="932" ht="15.75" customHeight="1">
      <c r="A932" s="45"/>
      <c r="B932" s="10" t="s">
        <v>2890</v>
      </c>
      <c r="C932" s="26"/>
      <c r="D932" s="10" t="s">
        <v>8372</v>
      </c>
      <c r="E932" s="48" t="s">
        <v>7188</v>
      </c>
      <c r="F932" s="57" t="s">
        <v>7173</v>
      </c>
      <c r="G932" s="49">
        <f t="array" ref="G932">MAX(IF(INSTOCK!$H$3:$H$6125=B932,INSTOCK!$K$3:$K$6125))</f>
        <v>855</v>
      </c>
      <c r="H932" s="50">
        <f t="array" ref="H932">SUM(IF(INSTOCK!$H$3:$H$6125=B932,INSTOCK!$I$3:$I$6125))</f>
        <v>3</v>
      </c>
      <c r="I932" s="50" t="str">
        <f>ARRAY_CONSTRAIN(ARRAYFORMULA(SUM(IF([3]!Table13[ID]=B932,[3]!Table13[QTY]))), 1, 1)</f>
        <v>#ERROR!</v>
      </c>
      <c r="J932" s="50" t="str">
        <f>TABLEITEM!$H$3:$H$2749-TABLEITEM!$I$3:$I$2749</f>
        <v>#ERROR!</v>
      </c>
    </row>
    <row r="933" ht="15.75" customHeight="1">
      <c r="A933" s="45"/>
      <c r="B933" s="10" t="s">
        <v>2888</v>
      </c>
      <c r="C933" s="26"/>
      <c r="D933" s="10" t="s">
        <v>8373</v>
      </c>
      <c r="E933" s="48" t="s">
        <v>7188</v>
      </c>
      <c r="F933" s="57" t="s">
        <v>7173</v>
      </c>
      <c r="G933" s="49">
        <f t="array" ref="G933">MAX(IF(INSTOCK!$H$3:$H$6125=B933,INSTOCK!$K$3:$K$6125))</f>
        <v>1518</v>
      </c>
      <c r="H933" s="50">
        <f t="array" ref="H933">SUM(IF(INSTOCK!$H$3:$H$6125=B933,INSTOCK!$I$3:$I$6125))</f>
        <v>5</v>
      </c>
      <c r="I933" s="50" t="str">
        <f>ARRAY_CONSTRAIN(ARRAYFORMULA(SUM(IF([3]!Table13[ID]=B933,[3]!Table13[QTY]))), 1, 1)</f>
        <v>#ERROR!</v>
      </c>
      <c r="J933" s="50" t="str">
        <f>TABLEITEM!$H$3:$H$2749-TABLEITEM!$I$3:$I$2749</f>
        <v>#ERROR!</v>
      </c>
    </row>
    <row r="934" ht="15.75" customHeight="1">
      <c r="A934" s="45"/>
      <c r="B934" s="10" t="s">
        <v>2813</v>
      </c>
      <c r="C934" s="26"/>
      <c r="D934" s="10" t="s">
        <v>8374</v>
      </c>
      <c r="E934" s="48" t="s">
        <v>7188</v>
      </c>
      <c r="F934" s="57" t="s">
        <v>7173</v>
      </c>
      <c r="G934" s="49">
        <f t="array" ref="G934">MAX(IF(INSTOCK!$H$3:$H$6125=B934,INSTOCK!$K$3:$K$6125))</f>
        <v>855</v>
      </c>
      <c r="H934" s="50">
        <f t="array" ref="H934">SUM(IF(INSTOCK!$H$3:$H$6125=B934,INSTOCK!$I$3:$I$6125))</f>
        <v>4</v>
      </c>
      <c r="I934" s="50" t="str">
        <f>ARRAY_CONSTRAIN(ARRAYFORMULA(SUM(IF([3]!Table13[ID]=B934,[3]!Table13[QTY]))), 1, 1)</f>
        <v>#ERROR!</v>
      </c>
      <c r="J934" s="50" t="str">
        <f>TABLEITEM!$H$3:$H$2749-TABLEITEM!$I$3:$I$2749</f>
        <v>#ERROR!</v>
      </c>
    </row>
    <row r="935" ht="15.75" customHeight="1">
      <c r="A935" s="45"/>
      <c r="B935" s="10" t="s">
        <v>2815</v>
      </c>
      <c r="C935" s="26"/>
      <c r="D935" s="10" t="s">
        <v>8375</v>
      </c>
      <c r="E935" s="48" t="s">
        <v>7188</v>
      </c>
      <c r="F935" s="57" t="s">
        <v>7173</v>
      </c>
      <c r="G935" s="49">
        <f t="array" ref="G935">MAX(IF(INSTOCK!$H$3:$H$6125=B935,INSTOCK!$K$3:$K$6125))</f>
        <v>607.5</v>
      </c>
      <c r="H935" s="50">
        <f t="array" ref="H935">SUM(IF(INSTOCK!$H$3:$H$6125=B935,INSTOCK!$I$3:$I$6125))</f>
        <v>2</v>
      </c>
      <c r="I935" s="50" t="str">
        <f>ARRAY_CONSTRAIN(ARRAYFORMULA(SUM(IF([3]!Table13[ID]=B935,[3]!Table13[QTY]))), 1, 1)</f>
        <v>#ERROR!</v>
      </c>
      <c r="J935" s="50" t="str">
        <f>TABLEITEM!$H$3:$H$2749-TABLEITEM!$I$3:$I$2749</f>
        <v>#ERROR!</v>
      </c>
    </row>
    <row r="936" ht="15.75" customHeight="1">
      <c r="A936" s="45"/>
      <c r="B936" s="10" t="s">
        <v>3316</v>
      </c>
      <c r="C936" s="26"/>
      <c r="D936" s="10" t="s">
        <v>8376</v>
      </c>
      <c r="E936" s="48" t="s">
        <v>7188</v>
      </c>
      <c r="F936" s="57" t="s">
        <v>7173</v>
      </c>
      <c r="G936" s="49">
        <f t="array" ref="G936">MAX(IF(INSTOCK!$H$3:$H$6125=B936,INSTOCK!$K$3:$K$6125))</f>
        <v>874</v>
      </c>
      <c r="H936" s="50">
        <f t="array" ref="H936">SUM(IF(INSTOCK!$H$3:$H$6125=B936,INSTOCK!$I$3:$I$6125))</f>
        <v>5</v>
      </c>
      <c r="I936" s="50" t="str">
        <f>ARRAY_CONSTRAIN(ARRAYFORMULA(SUM(IF([3]!Table13[ID]=B936,[3]!Table13[QTY]))), 1, 1)</f>
        <v>#ERROR!</v>
      </c>
      <c r="J936" s="50" t="str">
        <f>TABLEITEM!$H$3:$H$2749-TABLEITEM!$I$3:$I$2749</f>
        <v>#ERROR!</v>
      </c>
    </row>
    <row r="937" ht="15.75" customHeight="1">
      <c r="A937" s="45"/>
      <c r="B937" s="10" t="s">
        <v>2811</v>
      </c>
      <c r="C937" s="26"/>
      <c r="D937" s="10" t="s">
        <v>8377</v>
      </c>
      <c r="E937" s="48" t="s">
        <v>7188</v>
      </c>
      <c r="F937" s="57" t="s">
        <v>7173</v>
      </c>
      <c r="G937" s="49">
        <f t="array" ref="G937">MAX(IF(INSTOCK!$H$3:$H$6125=B937,INSTOCK!$K$3:$K$6125))</f>
        <v>2925</v>
      </c>
      <c r="H937" s="50">
        <f t="array" ref="H937">SUM(IF(INSTOCK!$H$3:$H$6125=B937,INSTOCK!$I$3:$I$6125))</f>
        <v>1</v>
      </c>
      <c r="I937" s="50" t="str">
        <f>ARRAY_CONSTRAIN(ARRAYFORMULA(SUM(IF([3]!Table13[ID]=B937,[3]!Table13[QTY]))), 1, 1)</f>
        <v>#ERROR!</v>
      </c>
      <c r="J937" s="50" t="str">
        <f>TABLEITEM!$H$3:$H$2749-TABLEITEM!$I$3:$I$2749</f>
        <v>#ERROR!</v>
      </c>
    </row>
    <row r="938" ht="15.75" customHeight="1">
      <c r="A938" s="45"/>
      <c r="B938" s="10" t="s">
        <v>1588</v>
      </c>
      <c r="C938" s="26"/>
      <c r="D938" s="10" t="s">
        <v>8378</v>
      </c>
      <c r="E938" s="48" t="s">
        <v>7188</v>
      </c>
      <c r="F938" s="57" t="s">
        <v>7173</v>
      </c>
      <c r="G938" s="49">
        <f t="array" ref="G938">MAX(IF(INSTOCK!$H$3:$H$6125=B938,INSTOCK!$K$3:$K$6125))</f>
        <v>1881</v>
      </c>
      <c r="H938" s="50">
        <f t="array" ref="H938">SUM(IF(INSTOCK!$H$3:$H$6125=B938,INSTOCK!$I$3:$I$6125))</f>
        <v>3</v>
      </c>
      <c r="I938" s="50" t="str">
        <f>ARRAY_CONSTRAIN(ARRAYFORMULA(SUM(IF([3]!Table13[ID]=B938,[3]!Table13[QTY]))), 1, 1)</f>
        <v>#ERROR!</v>
      </c>
      <c r="J938" s="50" t="str">
        <f>TABLEITEM!$H$3:$H$2749-TABLEITEM!$I$3:$I$2749</f>
        <v>#ERROR!</v>
      </c>
    </row>
    <row r="939" ht="15.75" customHeight="1">
      <c r="A939" s="45"/>
      <c r="B939" s="10" t="s">
        <v>1606</v>
      </c>
      <c r="C939" s="26"/>
      <c r="D939" s="10" t="s">
        <v>8379</v>
      </c>
      <c r="E939" s="48" t="s">
        <v>7188</v>
      </c>
      <c r="F939" s="57" t="s">
        <v>7173</v>
      </c>
      <c r="G939" s="49">
        <f t="array" ref="G939">MAX(IF(INSTOCK!$H$3:$H$6125=B939,INSTOCK!$K$3:$K$6125))</f>
        <v>874</v>
      </c>
      <c r="H939" s="50">
        <f t="array" ref="H939">SUM(IF(INSTOCK!$H$3:$H$6125=B939,INSTOCK!$I$3:$I$6125))</f>
        <v>4</v>
      </c>
      <c r="I939" s="50" t="str">
        <f>ARRAY_CONSTRAIN(ARRAYFORMULA(SUM(IF([3]!Table13[ID]=B939,[3]!Table13[QTY]))), 1, 1)</f>
        <v>#ERROR!</v>
      </c>
      <c r="J939" s="50" t="str">
        <f>TABLEITEM!$H$3:$H$2749-TABLEITEM!$I$3:$I$2749</f>
        <v>#ERROR!</v>
      </c>
    </row>
    <row r="940" ht="15.75" customHeight="1">
      <c r="A940" s="45"/>
      <c r="B940" s="10" t="s">
        <v>1620</v>
      </c>
      <c r="C940" s="26"/>
      <c r="D940" s="10" t="s">
        <v>8380</v>
      </c>
      <c r="E940" s="48" t="s">
        <v>7188</v>
      </c>
      <c r="F940" s="57" t="s">
        <v>7173</v>
      </c>
      <c r="G940" s="49">
        <f t="array" ref="G940">MAX(IF(INSTOCK!$H$3:$H$6125=B940,INSTOCK!$K$3:$K$6125))</f>
        <v>851</v>
      </c>
      <c r="H940" s="50">
        <f t="array" ref="H940">SUM(IF(INSTOCK!$H$3:$H$6125=B940,INSTOCK!$I$3:$I$6125))</f>
        <v>1</v>
      </c>
      <c r="I940" s="50" t="str">
        <f>ARRAY_CONSTRAIN(ARRAYFORMULA(SUM(IF([3]!Table13[ID]=B940,[3]!Table13[QTY]))), 1, 1)</f>
        <v>#ERROR!</v>
      </c>
      <c r="J940" s="50" t="str">
        <f>TABLEITEM!$H$3:$H$2749-TABLEITEM!$I$3:$I$2749</f>
        <v>#ERROR!</v>
      </c>
    </row>
    <row r="941" ht="15.75" customHeight="1">
      <c r="A941" s="45"/>
      <c r="B941" s="10" t="s">
        <v>3232</v>
      </c>
      <c r="C941" s="26"/>
      <c r="D941" s="10" t="s">
        <v>8381</v>
      </c>
      <c r="E941" s="48" t="s">
        <v>7188</v>
      </c>
      <c r="F941" s="57" t="s">
        <v>7173</v>
      </c>
      <c r="G941" s="49">
        <f t="array" ref="G941">MAX(IF(INSTOCK!$H$3:$H$6125=B941,INSTOCK!$K$3:$K$6125))</f>
        <v>666.9</v>
      </c>
      <c r="H941" s="50">
        <f t="array" ref="H941">SUM(IF(INSTOCK!$H$3:$H$6125=B941,INSTOCK!$I$3:$I$6125))</f>
        <v>2</v>
      </c>
      <c r="I941" s="50" t="str">
        <f>ARRAY_CONSTRAIN(ARRAYFORMULA(SUM(IF([3]!Table13[ID]=B941,[3]!Table13[QTY]))), 1, 1)</f>
        <v>#ERROR!</v>
      </c>
      <c r="J941" s="50" t="str">
        <f>TABLEITEM!$H$3:$H$2749-TABLEITEM!$I$3:$I$2749</f>
        <v>#ERROR!</v>
      </c>
    </row>
    <row r="942" ht="15.75" customHeight="1">
      <c r="A942" s="45"/>
      <c r="B942" s="10" t="s">
        <v>1622</v>
      </c>
      <c r="C942" s="26"/>
      <c r="D942" s="10" t="s">
        <v>8382</v>
      </c>
      <c r="E942" s="48" t="s">
        <v>7188</v>
      </c>
      <c r="F942" s="57" t="s">
        <v>7173</v>
      </c>
      <c r="G942" s="49">
        <f t="array" ref="G942">MAX(IF(INSTOCK!$H$3:$H$6125=B942,INSTOCK!$K$3:$K$6125))</f>
        <v>598</v>
      </c>
      <c r="H942" s="50">
        <f t="array" ref="H942">SUM(IF(INSTOCK!$H$3:$H$6125=B942,INSTOCK!$I$3:$I$6125))</f>
        <v>3</v>
      </c>
      <c r="I942" s="50" t="str">
        <f>ARRAY_CONSTRAIN(ARRAYFORMULA(SUM(IF([3]!Table13[ID]=B942,[3]!Table13[QTY]))), 1, 1)</f>
        <v>#ERROR!</v>
      </c>
      <c r="J942" s="50" t="str">
        <f>TABLEITEM!$H$3:$H$2749-TABLEITEM!$I$3:$I$2749</f>
        <v>#ERROR!</v>
      </c>
    </row>
    <row r="943" ht="15.75" customHeight="1">
      <c r="A943" s="45"/>
      <c r="B943" s="10" t="s">
        <v>3234</v>
      </c>
      <c r="C943" s="26"/>
      <c r="D943" s="10" t="s">
        <v>8383</v>
      </c>
      <c r="E943" s="48" t="s">
        <v>7188</v>
      </c>
      <c r="F943" s="57" t="s">
        <v>7173</v>
      </c>
      <c r="G943" s="49">
        <f t="array" ref="G943">MAX(IF(INSTOCK!$H$3:$H$6125=B943,INSTOCK!$K$3:$K$6125))</f>
        <v>666.9</v>
      </c>
      <c r="H943" s="50">
        <f t="array" ref="H943">SUM(IF(INSTOCK!$H$3:$H$6125=B943,INSTOCK!$I$3:$I$6125))</f>
        <v>1</v>
      </c>
      <c r="I943" s="50" t="str">
        <f>ARRAY_CONSTRAIN(ARRAYFORMULA(SUM(IF([3]!Table13[ID]=B943,[3]!Table13[QTY]))), 1, 1)</f>
        <v>#ERROR!</v>
      </c>
      <c r="J943" s="50" t="str">
        <f>TABLEITEM!$H$3:$H$2749-TABLEITEM!$I$3:$I$2749</f>
        <v>#ERROR!</v>
      </c>
    </row>
    <row r="944" ht="15.75" customHeight="1">
      <c r="A944" s="45"/>
      <c r="B944" s="10" t="s">
        <v>3230</v>
      </c>
      <c r="C944" s="26"/>
      <c r="D944" s="10" t="s">
        <v>8384</v>
      </c>
      <c r="E944" s="48" t="s">
        <v>7188</v>
      </c>
      <c r="F944" s="57" t="s">
        <v>7173</v>
      </c>
      <c r="G944" s="49">
        <f t="array" ref="G944">MAX(IF(INSTOCK!$H$3:$H$6125=B944,INSTOCK!$K$3:$K$6125))</f>
        <v>2205.9</v>
      </c>
      <c r="H944" s="50">
        <f t="array" ref="H944">SUM(IF(INSTOCK!$H$3:$H$6125=B944,INSTOCK!$I$3:$I$6125))</f>
        <v>3</v>
      </c>
      <c r="I944" s="50" t="str">
        <f>ARRAY_CONSTRAIN(ARRAYFORMULA(SUM(IF([3]!Table13[ID]=B944,[3]!Table13[QTY]))), 1, 1)</f>
        <v>#ERROR!</v>
      </c>
      <c r="J944" s="50" t="str">
        <f>TABLEITEM!$H$3:$H$2749-TABLEITEM!$I$3:$I$2749</f>
        <v>#ERROR!</v>
      </c>
    </row>
    <row r="945" ht="15.75" customHeight="1">
      <c r="A945" s="45"/>
      <c r="B945" s="10" t="s">
        <v>1602</v>
      </c>
      <c r="C945" s="26"/>
      <c r="D945" s="10" t="s">
        <v>8385</v>
      </c>
      <c r="E945" s="48" t="s">
        <v>7188</v>
      </c>
      <c r="F945" s="57" t="s">
        <v>7173</v>
      </c>
      <c r="G945" s="49">
        <f t="array" ref="G945">MAX(IF(INSTOCK!$H$3:$H$6125=B945,INSTOCK!$K$3:$K$6125))</f>
        <v>1978</v>
      </c>
      <c r="H945" s="50">
        <f t="array" ref="H945">SUM(IF(INSTOCK!$H$3:$H$6125=B945,INSTOCK!$I$3:$I$6125))</f>
        <v>1</v>
      </c>
      <c r="I945" s="50" t="str">
        <f>ARRAY_CONSTRAIN(ARRAYFORMULA(SUM(IF([3]!Table13[ID]=B945,[3]!Table13[QTY]))), 1, 1)</f>
        <v>#ERROR!</v>
      </c>
      <c r="J945" s="50" t="str">
        <f>TABLEITEM!$H$3:$H$2749-TABLEITEM!$I$3:$I$2749</f>
        <v>#ERROR!</v>
      </c>
    </row>
    <row r="946" ht="15.75" customHeight="1">
      <c r="A946" s="45"/>
      <c r="B946" s="10" t="s">
        <v>1604</v>
      </c>
      <c r="C946" s="26"/>
      <c r="D946" s="10" t="s">
        <v>8386</v>
      </c>
      <c r="E946" s="48" t="s">
        <v>7188</v>
      </c>
      <c r="F946" s="57" t="s">
        <v>7173</v>
      </c>
      <c r="G946" s="49">
        <f t="array" ref="G946">MAX(IF(INSTOCK!$H$3:$H$6125=B946,INSTOCK!$K$3:$K$6125))</f>
        <v>1518</v>
      </c>
      <c r="H946" s="50">
        <f t="array" ref="H946">SUM(IF(INSTOCK!$H$3:$H$6125=B946,INSTOCK!$I$3:$I$6125))</f>
        <v>1</v>
      </c>
      <c r="I946" s="50" t="str">
        <f>ARRAY_CONSTRAIN(ARRAYFORMULA(SUM(IF([3]!Table13[ID]=B946,[3]!Table13[QTY]))), 1, 1)</f>
        <v>#ERROR!</v>
      </c>
      <c r="J946" s="50" t="str">
        <f>TABLEITEM!$H$3:$H$2749-TABLEITEM!$I$3:$I$2749</f>
        <v>#ERROR!</v>
      </c>
    </row>
    <row r="947" ht="15.75" customHeight="1">
      <c r="A947" s="45"/>
      <c r="B947" s="10" t="s">
        <v>3408</v>
      </c>
      <c r="C947" s="26"/>
      <c r="D947" s="10" t="s">
        <v>8387</v>
      </c>
      <c r="E947" s="48" t="s">
        <v>1504</v>
      </c>
      <c r="F947" s="57" t="s">
        <v>7173</v>
      </c>
      <c r="G947" s="49">
        <f t="array" ref="G947">MAX(IF(INSTOCK!$H$3:$H$6125=B947,INSTOCK!$K$3:$K$6125))</f>
        <v>1160</v>
      </c>
      <c r="H947" s="50">
        <f t="array" ref="H947">SUM(IF(INSTOCK!$H$3:$H$6125=B947,INSTOCK!$I$3:$I$6125))</f>
        <v>6</v>
      </c>
      <c r="I947" s="50" t="str">
        <f>ARRAY_CONSTRAIN(ARRAYFORMULA(SUM(IF([3]!Table13[ID]=B947,[3]!Table13[QTY]))), 1, 1)</f>
        <v>#ERROR!</v>
      </c>
      <c r="J947" s="50" t="str">
        <f>TABLEITEM!$H$3:$H$2749-TABLEITEM!$I$3:$I$2749</f>
        <v>#ERROR!</v>
      </c>
    </row>
    <row r="948" ht="15.75" customHeight="1">
      <c r="A948" s="45"/>
      <c r="B948" s="10" t="s">
        <v>3405</v>
      </c>
      <c r="C948" s="26"/>
      <c r="D948" s="10" t="s">
        <v>8388</v>
      </c>
      <c r="E948" s="48" t="s">
        <v>1504</v>
      </c>
      <c r="F948" s="57" t="s">
        <v>7173</v>
      </c>
      <c r="G948" s="49">
        <f t="array" ref="G948">MAX(IF(INSTOCK!$H$3:$H$6125=B948,INSTOCK!$K$3:$K$6125))</f>
        <v>1520</v>
      </c>
      <c r="H948" s="50">
        <f t="array" ref="H948">SUM(IF(INSTOCK!$H$3:$H$6125=B948,INSTOCK!$I$3:$I$6125))</f>
        <v>2</v>
      </c>
      <c r="I948" s="50" t="str">
        <f>ARRAY_CONSTRAIN(ARRAYFORMULA(SUM(IF([3]!Table13[ID]=B948,[3]!Table13[QTY]))), 1, 1)</f>
        <v>#ERROR!</v>
      </c>
      <c r="J948" s="50" t="str">
        <f>TABLEITEM!$H$3:$H$2749-TABLEITEM!$I$3:$I$2749</f>
        <v>#ERROR!</v>
      </c>
    </row>
    <row r="949" ht="15.75" customHeight="1">
      <c r="A949" s="45"/>
      <c r="B949" s="10" t="s">
        <v>6737</v>
      </c>
      <c r="C949" s="26"/>
      <c r="D949" s="10" t="s">
        <v>8389</v>
      </c>
      <c r="E949" s="10" t="s">
        <v>8390</v>
      </c>
      <c r="F949" s="48" t="s">
        <v>7173</v>
      </c>
      <c r="G949" s="49">
        <f t="array" ref="G949">MAX(IF(INSTOCK!$H$3:$H$6125=B949,INSTOCK!$K$3:$K$6125))</f>
        <v>38</v>
      </c>
      <c r="H949" s="50">
        <f t="array" ref="H949">SUM(IF(INSTOCK!$H$3:$H$6125=B949,INSTOCK!$I$3:$I$6125))</f>
        <v>500</v>
      </c>
      <c r="I949" s="50" t="str">
        <f>ARRAY_CONSTRAIN(ARRAYFORMULA(SUM(IF([3]!Table13[ID]=B949,[3]!Table13[QTY]))), 1, 1)</f>
        <v>#ERROR!</v>
      </c>
      <c r="J949" s="50" t="str">
        <f>TABLEITEM!$H$3:$H$2749-TABLEITEM!$I$3:$I$2749</f>
        <v>#ERROR!</v>
      </c>
    </row>
    <row r="950" ht="15.75" customHeight="1">
      <c r="A950" s="45"/>
      <c r="B950" s="10" t="s">
        <v>2383</v>
      </c>
      <c r="C950" s="26"/>
      <c r="D950" s="10" t="s">
        <v>8391</v>
      </c>
      <c r="E950" s="10" t="s">
        <v>8390</v>
      </c>
      <c r="F950" s="48" t="s">
        <v>7173</v>
      </c>
      <c r="G950" s="49">
        <f t="array" ref="G950">MAX(IF(INSTOCK!$H$3:$H$6125=B950,INSTOCK!$K$3:$K$6125))</f>
        <v>10.5</v>
      </c>
      <c r="H950" s="50">
        <f t="array" ref="H950">SUM(IF(INSTOCK!$H$3:$H$6125=B950,INSTOCK!$I$3:$I$6125))</f>
        <v>2000</v>
      </c>
      <c r="I950" s="50" t="str">
        <f>ARRAY_CONSTRAIN(ARRAYFORMULA(SUM(IF([3]!Table13[ID]=B950,[3]!Table13[QTY]))), 1, 1)</f>
        <v>#ERROR!</v>
      </c>
      <c r="J950" s="50" t="str">
        <f>TABLEITEM!$H$3:$H$2749-TABLEITEM!$I$3:$I$2749</f>
        <v>#ERROR!</v>
      </c>
    </row>
    <row r="951" ht="15.75" customHeight="1">
      <c r="A951" s="45"/>
      <c r="B951" s="10" t="s">
        <v>8392</v>
      </c>
      <c r="C951" s="26"/>
      <c r="D951" s="10" t="s">
        <v>8393</v>
      </c>
      <c r="E951" s="10" t="s">
        <v>8394</v>
      </c>
      <c r="F951" s="48" t="s">
        <v>7173</v>
      </c>
      <c r="G951" s="49">
        <f t="array" ref="G951">MAX(IF(INSTOCK!$H$3:$H$6125=B951,INSTOCK!$K$3:$K$6125))</f>
        <v>0</v>
      </c>
      <c r="H951" s="50">
        <f t="array" ref="H951">SUM(IF(INSTOCK!$H$3:$H$6125=B951,INSTOCK!$I$3:$I$6125))</f>
        <v>0</v>
      </c>
      <c r="I951" s="50" t="str">
        <f>ARRAY_CONSTRAIN(ARRAYFORMULA(SUM(IF([3]!Table13[ID]=B951,[3]!Table13[QTY]))), 1, 1)</f>
        <v>#ERROR!</v>
      </c>
      <c r="J951" s="50" t="str">
        <f>TABLEITEM!$H$3:$H$2749-TABLEITEM!$I$3:$I$2749</f>
        <v>#ERROR!</v>
      </c>
    </row>
    <row r="952" ht="15.75" customHeight="1">
      <c r="A952" s="45"/>
      <c r="B952" s="10" t="s">
        <v>4335</v>
      </c>
      <c r="C952" s="26"/>
      <c r="D952" s="10" t="s">
        <v>8395</v>
      </c>
      <c r="E952" s="48" t="s">
        <v>7437</v>
      </c>
      <c r="F952" s="48" t="s">
        <v>7173</v>
      </c>
      <c r="G952" s="49">
        <f t="array" ref="G952">MAX(IF(INSTOCK!$H$3:$H$6125=B952,INSTOCK!$K$3:$K$6125))</f>
        <v>2800</v>
      </c>
      <c r="H952" s="50">
        <f t="array" ref="H952">SUM(IF(INSTOCK!$H$3:$H$6125=B952,INSTOCK!$I$3:$I$6125))</f>
        <v>1</v>
      </c>
      <c r="I952" s="50" t="str">
        <f>ARRAY_CONSTRAIN(ARRAYFORMULA(SUM(IF([3]!Table13[ID]=B952,[3]!Table13[QTY]))), 1, 1)</f>
        <v>#ERROR!</v>
      </c>
      <c r="J952" s="50" t="str">
        <f>TABLEITEM!$H$3:$H$2749-TABLEITEM!$I$3:$I$2749</f>
        <v>#ERROR!</v>
      </c>
    </row>
    <row r="953" ht="15.75" customHeight="1">
      <c r="A953" s="45"/>
      <c r="B953" s="10" t="s">
        <v>8396</v>
      </c>
      <c r="C953" s="26"/>
      <c r="D953" s="10" t="s">
        <v>8397</v>
      </c>
      <c r="E953" s="48" t="s">
        <v>7437</v>
      </c>
      <c r="F953" s="48" t="s">
        <v>7173</v>
      </c>
      <c r="G953" s="49">
        <f t="array" ref="G953">MAX(IF(INSTOCK!$H$3:$H$6125=B953,INSTOCK!$K$3:$K$6125))</f>
        <v>0</v>
      </c>
      <c r="H953" s="50">
        <f t="array" ref="H953">SUM(IF(INSTOCK!$H$3:$H$6125=B953,INSTOCK!$I$3:$I$6125))</f>
        <v>0</v>
      </c>
      <c r="I953" s="50" t="str">
        <f>ARRAY_CONSTRAIN(ARRAYFORMULA(SUM(IF([3]!Table13[ID]=B953,[3]!Table13[QTY]))), 1, 1)</f>
        <v>#ERROR!</v>
      </c>
      <c r="J953" s="50" t="str">
        <f>TABLEITEM!$H$3:$H$2749-TABLEITEM!$I$3:$I$2749</f>
        <v>#ERROR!</v>
      </c>
    </row>
    <row r="954" ht="15.75" customHeight="1">
      <c r="A954" s="45"/>
      <c r="B954" s="10" t="s">
        <v>8398</v>
      </c>
      <c r="C954" s="26"/>
      <c r="D954" s="10" t="s">
        <v>8399</v>
      </c>
      <c r="E954" s="48" t="s">
        <v>7437</v>
      </c>
      <c r="F954" s="48" t="s">
        <v>7173</v>
      </c>
      <c r="G954" s="49">
        <f t="array" ref="G954">MAX(IF(INSTOCK!$H$3:$H$6125=B954,INSTOCK!$K$3:$K$6125))</f>
        <v>0</v>
      </c>
      <c r="H954" s="50">
        <f t="array" ref="H954">SUM(IF(INSTOCK!$H$3:$H$6125=B954,INSTOCK!$I$3:$I$6125))</f>
        <v>0</v>
      </c>
      <c r="I954" s="50" t="str">
        <f>ARRAY_CONSTRAIN(ARRAYFORMULA(SUM(IF([3]!Table13[ID]=B954,[3]!Table13[QTY]))), 1, 1)</f>
        <v>#ERROR!</v>
      </c>
      <c r="J954" s="50" t="str">
        <f>TABLEITEM!$H$3:$H$2749-TABLEITEM!$I$3:$I$2749</f>
        <v>#ERROR!</v>
      </c>
    </row>
    <row r="955" ht="15.75" customHeight="1">
      <c r="A955" s="45"/>
      <c r="B955" s="10" t="s">
        <v>8400</v>
      </c>
      <c r="C955" s="26"/>
      <c r="D955" s="10" t="s">
        <v>8401</v>
      </c>
      <c r="E955" s="10" t="s">
        <v>8402</v>
      </c>
      <c r="F955" s="48" t="s">
        <v>7173</v>
      </c>
      <c r="G955" s="49">
        <f t="array" ref="G955">MAX(IF(INSTOCK!$H$3:$H$6125=B955,INSTOCK!$K$3:$K$6125))</f>
        <v>0</v>
      </c>
      <c r="H955" s="50">
        <f t="array" ref="H955">SUM(IF(INSTOCK!$H$3:$H$6125=B955,INSTOCK!$I$3:$I$6125))</f>
        <v>0</v>
      </c>
      <c r="I955" s="50" t="str">
        <f>ARRAY_CONSTRAIN(ARRAYFORMULA(SUM(IF([3]!Table13[ID]=B955,[3]!Table13[QTY]))), 1, 1)</f>
        <v>#ERROR!</v>
      </c>
      <c r="J955" s="50" t="str">
        <f>TABLEITEM!$H$3:$H$2749-TABLEITEM!$I$3:$I$2749</f>
        <v>#ERROR!</v>
      </c>
    </row>
    <row r="956" ht="15.75" customHeight="1">
      <c r="A956" s="45"/>
      <c r="B956" s="10" t="s">
        <v>8403</v>
      </c>
      <c r="C956" s="26"/>
      <c r="D956" s="10" t="s">
        <v>8404</v>
      </c>
      <c r="E956" s="10" t="s">
        <v>8402</v>
      </c>
      <c r="F956" s="48" t="s">
        <v>7173</v>
      </c>
      <c r="G956" s="49">
        <f t="array" ref="G956">MAX(IF(INSTOCK!$H$3:$H$6125=B956,INSTOCK!$K$3:$K$6125))</f>
        <v>0</v>
      </c>
      <c r="H956" s="50">
        <f t="array" ref="H956">SUM(IF(INSTOCK!$H$3:$H$6125=B956,INSTOCK!$I$3:$I$6125))</f>
        <v>0</v>
      </c>
      <c r="I956" s="50" t="str">
        <f>ARRAY_CONSTRAIN(ARRAYFORMULA(SUM(IF([3]!Table13[ID]=B956,[3]!Table13[QTY]))), 1, 1)</f>
        <v>#ERROR!</v>
      </c>
      <c r="J956" s="50" t="str">
        <f>TABLEITEM!$H$3:$H$2749-TABLEITEM!$I$3:$I$2749</f>
        <v>#ERROR!</v>
      </c>
    </row>
    <row r="957" ht="15.75" customHeight="1">
      <c r="A957" s="45"/>
      <c r="B957" s="10" t="s">
        <v>8405</v>
      </c>
      <c r="C957" s="26"/>
      <c r="D957" s="10" t="s">
        <v>8406</v>
      </c>
      <c r="E957" s="48" t="s">
        <v>7437</v>
      </c>
      <c r="F957" s="48" t="s">
        <v>7173</v>
      </c>
      <c r="G957" s="49">
        <f t="array" ref="G957">MAX(IF(INSTOCK!$H$3:$H$6125=B957,INSTOCK!$K$3:$K$6125))</f>
        <v>0</v>
      </c>
      <c r="H957" s="50">
        <f t="array" ref="H957">SUM(IF(INSTOCK!$H$3:$H$6125=B957,INSTOCK!$I$3:$I$6125))</f>
        <v>0</v>
      </c>
      <c r="I957" s="50" t="str">
        <f>ARRAY_CONSTRAIN(ARRAYFORMULA(SUM(IF([3]!Table13[ID]=B957,[3]!Table13[QTY]))), 1, 1)</f>
        <v>#ERROR!</v>
      </c>
      <c r="J957" s="50" t="str">
        <f>TABLEITEM!$H$3:$H$2749-TABLEITEM!$I$3:$I$2749</f>
        <v>#ERROR!</v>
      </c>
    </row>
    <row r="958" ht="15.75" customHeight="1">
      <c r="A958" s="45"/>
      <c r="B958" s="10" t="s">
        <v>8407</v>
      </c>
      <c r="C958" s="26"/>
      <c r="D958" s="10" t="s">
        <v>8408</v>
      </c>
      <c r="E958" s="48" t="s">
        <v>7437</v>
      </c>
      <c r="F958" s="48" t="s">
        <v>7173</v>
      </c>
      <c r="G958" s="49">
        <f t="array" ref="G958">MAX(IF(INSTOCK!$H$3:$H$6125=B958,INSTOCK!$K$3:$K$6125))</f>
        <v>0</v>
      </c>
      <c r="H958" s="50">
        <f t="array" ref="H958">SUM(IF(INSTOCK!$H$3:$H$6125=B958,INSTOCK!$I$3:$I$6125))</f>
        <v>0</v>
      </c>
      <c r="I958" s="50" t="str">
        <f>ARRAY_CONSTRAIN(ARRAYFORMULA(SUM(IF([3]!Table13[ID]=B958,[3]!Table13[QTY]))), 1, 1)</f>
        <v>#ERROR!</v>
      </c>
      <c r="J958" s="50" t="str">
        <f>TABLEITEM!$H$3:$H$2749-TABLEITEM!$I$3:$I$2749</f>
        <v>#ERROR!</v>
      </c>
    </row>
    <row r="959" ht="15.75" customHeight="1">
      <c r="A959" s="45"/>
      <c r="B959" s="10" t="s">
        <v>8409</v>
      </c>
      <c r="C959" s="26"/>
      <c r="D959" s="10" t="s">
        <v>8410</v>
      </c>
      <c r="E959" s="10" t="s">
        <v>8411</v>
      </c>
      <c r="F959" s="48" t="s">
        <v>7173</v>
      </c>
      <c r="G959" s="49">
        <f t="array" ref="G959">MAX(IF(INSTOCK!$H$3:$H$6125=B959,INSTOCK!$K$3:$K$6125))</f>
        <v>0</v>
      </c>
      <c r="H959" s="50">
        <f t="array" ref="H959">SUM(IF(INSTOCK!$H$3:$H$6125=B959,INSTOCK!$I$3:$I$6125))</f>
        <v>0</v>
      </c>
      <c r="I959" s="50" t="str">
        <f>ARRAY_CONSTRAIN(ARRAYFORMULA(SUM(IF([3]!Table13[ID]=B959,[3]!Table13[QTY]))), 1, 1)</f>
        <v>#ERROR!</v>
      </c>
      <c r="J959" s="50" t="str">
        <f>TABLEITEM!$H$3:$H$2749-TABLEITEM!$I$3:$I$2749</f>
        <v>#ERROR!</v>
      </c>
    </row>
    <row r="960" ht="15.75" customHeight="1">
      <c r="A960" s="45"/>
      <c r="B960" s="10" t="s">
        <v>8412</v>
      </c>
      <c r="C960" s="26"/>
      <c r="D960" s="10" t="s">
        <v>8413</v>
      </c>
      <c r="E960" s="10"/>
      <c r="F960" s="48" t="s">
        <v>7173</v>
      </c>
      <c r="G960" s="49">
        <f t="array" ref="G960">MAX(IF(INSTOCK!$H$3:$H$6125=B960,INSTOCK!$K$3:$K$6125))</f>
        <v>0</v>
      </c>
      <c r="H960" s="50">
        <f t="array" ref="H960">SUM(IF(INSTOCK!$H$3:$H$6125=B960,INSTOCK!$I$3:$I$6125))</f>
        <v>0</v>
      </c>
      <c r="I960" s="50" t="str">
        <f>ARRAY_CONSTRAIN(ARRAYFORMULA(SUM(IF([3]!Table13[ID]=B960,[3]!Table13[QTY]))), 1, 1)</f>
        <v>#ERROR!</v>
      </c>
      <c r="J960" s="50" t="str">
        <f>TABLEITEM!$H$3:$H$2749-TABLEITEM!$I$3:$I$2749</f>
        <v>#ERROR!</v>
      </c>
    </row>
    <row r="961" ht="15.75" customHeight="1">
      <c r="A961" s="45"/>
      <c r="B961" s="10" t="s">
        <v>8414</v>
      </c>
      <c r="C961" s="26"/>
      <c r="D961" s="10" t="s">
        <v>8415</v>
      </c>
      <c r="E961" s="10" t="s">
        <v>8402</v>
      </c>
      <c r="F961" s="48" t="s">
        <v>7173</v>
      </c>
      <c r="G961" s="49">
        <f t="array" ref="G961">MAX(IF(INSTOCK!$H$3:$H$6125=B961,INSTOCK!$K$3:$K$6125))</f>
        <v>0</v>
      </c>
      <c r="H961" s="50">
        <f t="array" ref="H961">SUM(IF(INSTOCK!$H$3:$H$6125=B961,INSTOCK!$I$3:$I$6125))</f>
        <v>0</v>
      </c>
      <c r="I961" s="50" t="str">
        <f>ARRAY_CONSTRAIN(ARRAYFORMULA(SUM(IF([3]!Table13[ID]=B961,[3]!Table13[QTY]))), 1, 1)</f>
        <v>#ERROR!</v>
      </c>
      <c r="J961" s="50" t="str">
        <f>TABLEITEM!$H$3:$H$2749-TABLEITEM!$I$3:$I$2749</f>
        <v>#ERROR!</v>
      </c>
    </row>
    <row r="962" ht="15.75" customHeight="1">
      <c r="A962" s="45"/>
      <c r="B962" s="10" t="s">
        <v>3004</v>
      </c>
      <c r="C962" s="26"/>
      <c r="D962" s="10" t="s">
        <v>8416</v>
      </c>
      <c r="E962" s="48"/>
      <c r="F962" s="48" t="s">
        <v>7173</v>
      </c>
      <c r="G962" s="49">
        <f t="array" ref="G962">MAX(IF(INSTOCK!$H$3:$H$6125=B962,INSTOCK!$K$3:$K$6125))</f>
        <v>80</v>
      </c>
      <c r="H962" s="50">
        <f t="array" ref="H962">SUM(IF(INSTOCK!$H$3:$H$6125=B962,INSTOCK!$I$3:$I$6125))</f>
        <v>1</v>
      </c>
      <c r="I962" s="50" t="str">
        <f>ARRAY_CONSTRAIN(ARRAYFORMULA(SUM(IF([3]!Table13[ID]=B962,[3]!Table13[QTY]))), 1, 1)</f>
        <v>#ERROR!</v>
      </c>
      <c r="J962" s="50" t="str">
        <f>TABLEITEM!$H$3:$H$2749-TABLEITEM!$I$3:$I$2749</f>
        <v>#ERROR!</v>
      </c>
    </row>
    <row r="963" ht="15.75" customHeight="1">
      <c r="A963" s="45"/>
      <c r="B963" s="10" t="s">
        <v>4961</v>
      </c>
      <c r="C963" s="26"/>
      <c r="D963" s="10" t="s">
        <v>8417</v>
      </c>
      <c r="E963" s="10" t="s">
        <v>7654</v>
      </c>
      <c r="F963" s="48" t="s">
        <v>7173</v>
      </c>
      <c r="G963" s="49">
        <f t="array" ref="G963">MAX(IF(INSTOCK!$H$3:$H$6125=B963,INSTOCK!$K$3:$K$6125))</f>
        <v>10</v>
      </c>
      <c r="H963" s="50">
        <f t="array" ref="H963">SUM(IF(INSTOCK!$H$3:$H$6125=B963,INSTOCK!$I$3:$I$6125))</f>
        <v>1000</v>
      </c>
      <c r="I963" s="50" t="str">
        <f>ARRAY_CONSTRAIN(ARRAYFORMULA(SUM(IF([3]!Table13[ID]=B963,[3]!Table13[QTY]))), 1, 1)</f>
        <v>#ERROR!</v>
      </c>
      <c r="J963" s="50" t="str">
        <f>TABLEITEM!$H$3:$H$2749-TABLEITEM!$I$3:$I$2749</f>
        <v>#ERROR!</v>
      </c>
    </row>
    <row r="964" ht="15.75" customHeight="1">
      <c r="A964" s="45"/>
      <c r="B964" s="10" t="s">
        <v>2573</v>
      </c>
      <c r="C964" s="26"/>
      <c r="D964" s="10" t="s">
        <v>8418</v>
      </c>
      <c r="E964" s="48"/>
      <c r="F964" s="48" t="s">
        <v>8129</v>
      </c>
      <c r="G964" s="49">
        <f t="array" ref="G964">MAX(IF(INSTOCK!$H$3:$H$6125=B964,INSTOCK!$K$3:$K$6125))</f>
        <v>60</v>
      </c>
      <c r="H964" s="50">
        <f t="array" ref="H964">SUM(IF(INSTOCK!$H$3:$H$6125=B964,INSTOCK!$I$3:$I$6125))</f>
        <v>3</v>
      </c>
      <c r="I964" s="50" t="str">
        <f>ARRAY_CONSTRAIN(ARRAYFORMULA(SUM(IF([3]!Table13[ID]=B964,[3]!Table13[QTY]))), 1, 1)</f>
        <v>#ERROR!</v>
      </c>
      <c r="J964" s="50" t="str">
        <f>TABLEITEM!$H$3:$H$2749-TABLEITEM!$I$3:$I$2749</f>
        <v>#ERROR!</v>
      </c>
    </row>
    <row r="965" ht="15.75" customHeight="1">
      <c r="A965" s="45"/>
      <c r="B965" s="10" t="s">
        <v>8419</v>
      </c>
      <c r="C965" s="26"/>
      <c r="D965" s="10" t="s">
        <v>8420</v>
      </c>
      <c r="E965" s="10" t="s">
        <v>7654</v>
      </c>
      <c r="F965" s="48" t="s">
        <v>7173</v>
      </c>
      <c r="G965" s="49">
        <f t="array" ref="G965">MAX(IF(INSTOCK!$H$3:$H$6125=B965,INSTOCK!$K$3:$K$6125))</f>
        <v>0</v>
      </c>
      <c r="H965" s="50">
        <f t="array" ref="H965">SUM(IF(INSTOCK!$H$3:$H$6125=B965,INSTOCK!$I$3:$I$6125))</f>
        <v>0</v>
      </c>
      <c r="I965" s="50" t="str">
        <f>ARRAY_CONSTRAIN(ARRAYFORMULA(SUM(IF([3]!Table13[ID]=B965,[3]!Table13[QTY]))), 1, 1)</f>
        <v>#ERROR!</v>
      </c>
      <c r="J965" s="50" t="str">
        <f>TABLEITEM!$H$3:$H$2749-TABLEITEM!$I$3:$I$2749</f>
        <v>#ERROR!</v>
      </c>
    </row>
    <row r="966" ht="15.75" customHeight="1">
      <c r="A966" s="45"/>
      <c r="B966" s="10" t="s">
        <v>4429</v>
      </c>
      <c r="C966" s="26"/>
      <c r="D966" s="10" t="s">
        <v>8421</v>
      </c>
      <c r="E966" s="10" t="s">
        <v>7654</v>
      </c>
      <c r="F966" s="48" t="s">
        <v>7173</v>
      </c>
      <c r="G966" s="49">
        <f t="array" ref="G966">MAX(IF(INSTOCK!$H$3:$H$6125=B966,INSTOCK!$K$3:$K$6125))</f>
        <v>10</v>
      </c>
      <c r="H966" s="50">
        <f t="array" ref="H966">SUM(IF(INSTOCK!$H$3:$H$6125=B966,INSTOCK!$I$3:$I$6125))</f>
        <v>1049</v>
      </c>
      <c r="I966" s="50" t="str">
        <f>ARRAY_CONSTRAIN(ARRAYFORMULA(SUM(IF([3]!Table13[ID]=B966,[3]!Table13[QTY]))), 1, 1)</f>
        <v>#ERROR!</v>
      </c>
      <c r="J966" s="50" t="str">
        <f>TABLEITEM!$H$3:$H$2749-TABLEITEM!$I$3:$I$2749</f>
        <v>#ERROR!</v>
      </c>
    </row>
    <row r="967" ht="15.75" customHeight="1">
      <c r="A967" s="45"/>
      <c r="B967" s="10" t="s">
        <v>8422</v>
      </c>
      <c r="C967" s="26"/>
      <c r="D967" s="10" t="s">
        <v>8423</v>
      </c>
      <c r="E967" s="10" t="s">
        <v>8402</v>
      </c>
      <c r="F967" s="48" t="s">
        <v>7173</v>
      </c>
      <c r="G967" s="49">
        <f t="array" ref="G967">MAX(IF(INSTOCK!$H$3:$H$6125=B967,INSTOCK!$K$3:$K$6125))</f>
        <v>0</v>
      </c>
      <c r="H967" s="50">
        <f t="array" ref="H967">SUM(IF(INSTOCK!$H$3:$H$6125=B967,INSTOCK!$I$3:$I$6125))</f>
        <v>0</v>
      </c>
      <c r="I967" s="50" t="str">
        <f>ARRAY_CONSTRAIN(ARRAYFORMULA(SUM(IF([3]!Table13[ID]=B967,[3]!Table13[QTY]))), 1, 1)</f>
        <v>#ERROR!</v>
      </c>
      <c r="J967" s="50" t="str">
        <f>TABLEITEM!$H$3:$H$2749-TABLEITEM!$I$3:$I$2749</f>
        <v>#ERROR!</v>
      </c>
    </row>
    <row r="968" ht="15.75" customHeight="1">
      <c r="A968" s="45"/>
      <c r="B968" s="10" t="s">
        <v>1162</v>
      </c>
      <c r="C968" s="26"/>
      <c r="D968" s="10" t="s">
        <v>1163</v>
      </c>
      <c r="E968" s="48" t="s">
        <v>7172</v>
      </c>
      <c r="F968" s="48" t="s">
        <v>7173</v>
      </c>
      <c r="G968" s="49">
        <f t="array" ref="G968">MAX(IF(INSTOCK!$H$3:$H$6125=B968,INSTOCK!$K$3:$K$6125))</f>
        <v>1.198</v>
      </c>
      <c r="H968" s="50">
        <f t="array" ref="H968">SUM(IF(INSTOCK!$H$3:$H$6125=B968,INSTOCK!$I$3:$I$6125))</f>
        <v>5000</v>
      </c>
      <c r="I968" s="50" t="str">
        <f>ARRAY_CONSTRAIN(ARRAYFORMULA(SUM(IF([3]!Table13[ID]=B968,[3]!Table13[QTY]))), 1, 1)</f>
        <v>#ERROR!</v>
      </c>
      <c r="J968" s="50" t="str">
        <f>TABLEITEM!$H$3:$H$2749-TABLEITEM!$I$3:$I$2749</f>
        <v>#ERROR!</v>
      </c>
    </row>
    <row r="969" ht="15.75" customHeight="1">
      <c r="A969" s="45"/>
      <c r="B969" s="10" t="s">
        <v>2692</v>
      </c>
      <c r="C969" s="26"/>
      <c r="D969" s="10" t="s">
        <v>8424</v>
      </c>
      <c r="E969" s="48"/>
      <c r="F969" s="48" t="s">
        <v>7173</v>
      </c>
      <c r="G969" s="49">
        <f t="array" ref="G969">MAX(IF(INSTOCK!$H$3:$H$6125=B969,INSTOCK!$K$3:$K$6125))</f>
        <v>22</v>
      </c>
      <c r="H969" s="50">
        <f t="array" ref="H969">SUM(IF(INSTOCK!$H$3:$H$6125=B969,INSTOCK!$I$3:$I$6125))</f>
        <v>1800</v>
      </c>
      <c r="I969" s="50" t="str">
        <f>ARRAY_CONSTRAIN(ARRAYFORMULA(SUM(IF([3]!Table13[ID]=B969,[3]!Table13[QTY]))), 1, 1)</f>
        <v>#ERROR!</v>
      </c>
      <c r="J969" s="50" t="str">
        <f>TABLEITEM!$H$3:$H$2749-TABLEITEM!$I$3:$I$2749</f>
        <v>#ERROR!</v>
      </c>
    </row>
    <row r="970" ht="15.75" customHeight="1">
      <c r="A970" s="45"/>
      <c r="B970" s="10" t="s">
        <v>8425</v>
      </c>
      <c r="C970" s="26"/>
      <c r="D970" s="10" t="s">
        <v>8426</v>
      </c>
      <c r="E970" s="10" t="s">
        <v>7439</v>
      </c>
      <c r="F970" s="48" t="s">
        <v>7173</v>
      </c>
      <c r="G970" s="49">
        <f t="array" ref="G970">MAX(IF(INSTOCK!$H$3:$H$6125=B970,INSTOCK!$K$3:$K$6125))</f>
        <v>0</v>
      </c>
      <c r="H970" s="50">
        <f t="array" ref="H970">SUM(IF(INSTOCK!$H$3:$H$6125=B970,INSTOCK!$I$3:$I$6125))</f>
        <v>0</v>
      </c>
      <c r="I970" s="50" t="str">
        <f>ARRAY_CONSTRAIN(ARRAYFORMULA(SUM(IF([3]!Table13[ID]=B970,[3]!Table13[QTY]))), 1, 1)</f>
        <v>#ERROR!</v>
      </c>
      <c r="J970" s="50" t="str">
        <f>TABLEITEM!$H$3:$H$2749-TABLEITEM!$I$3:$I$2749</f>
        <v>#ERROR!</v>
      </c>
    </row>
    <row r="971" ht="15.75" customHeight="1">
      <c r="A971" s="45"/>
      <c r="B971" s="10" t="s">
        <v>8427</v>
      </c>
      <c r="C971" s="26"/>
      <c r="D971" s="10" t="s">
        <v>8428</v>
      </c>
      <c r="E971" s="48" t="s">
        <v>7437</v>
      </c>
      <c r="F971" s="48" t="s">
        <v>7173</v>
      </c>
      <c r="G971" s="49">
        <f t="array" ref="G971">MAX(IF(INSTOCK!$H$3:$H$6125=B971,INSTOCK!$K$3:$K$6125))</f>
        <v>0</v>
      </c>
      <c r="H971" s="50">
        <f t="array" ref="H971">SUM(IF(INSTOCK!$H$3:$H$6125=B971,INSTOCK!$I$3:$I$6125))</f>
        <v>0</v>
      </c>
      <c r="I971" s="50" t="str">
        <f>ARRAY_CONSTRAIN(ARRAYFORMULA(SUM(IF([3]!Table13[ID]=B971,[3]!Table13[QTY]))), 1, 1)</f>
        <v>#ERROR!</v>
      </c>
      <c r="J971" s="50" t="str">
        <f>TABLEITEM!$H$3:$H$2749-TABLEITEM!$I$3:$I$2749</f>
        <v>#ERROR!</v>
      </c>
    </row>
    <row r="972" ht="15.75" customHeight="1">
      <c r="A972" s="45"/>
      <c r="B972" s="10" t="s">
        <v>8429</v>
      </c>
      <c r="C972" s="26"/>
      <c r="D972" s="10" t="s">
        <v>8430</v>
      </c>
      <c r="E972" s="10" t="s">
        <v>7439</v>
      </c>
      <c r="F972" s="48" t="s">
        <v>7173</v>
      </c>
      <c r="G972" s="49">
        <f t="array" ref="G972">MAX(IF(INSTOCK!$H$3:$H$6125=B972,INSTOCK!$K$3:$K$6125))</f>
        <v>0</v>
      </c>
      <c r="H972" s="50">
        <f t="array" ref="H972">SUM(IF(INSTOCK!$H$3:$H$6125=B972,INSTOCK!$I$3:$I$6125))</f>
        <v>0</v>
      </c>
      <c r="I972" s="50" t="str">
        <f>ARRAY_CONSTRAIN(ARRAYFORMULA(SUM(IF([3]!Table13[ID]=B972,[3]!Table13[QTY]))), 1, 1)</f>
        <v>#ERROR!</v>
      </c>
      <c r="J972" s="50" t="str">
        <f>TABLEITEM!$H$3:$H$2749-TABLEITEM!$I$3:$I$2749</f>
        <v>#ERROR!</v>
      </c>
    </row>
    <row r="973" ht="15.75" customHeight="1">
      <c r="A973" s="45"/>
      <c r="B973" s="10" t="s">
        <v>3683</v>
      </c>
      <c r="C973" s="26"/>
      <c r="D973" s="10" t="s">
        <v>8431</v>
      </c>
      <c r="E973" s="10" t="s">
        <v>7439</v>
      </c>
      <c r="F973" s="48" t="s">
        <v>7173</v>
      </c>
      <c r="G973" s="49">
        <f t="array" ref="G973">MAX(IF(INSTOCK!$H$3:$H$6125=B973,INSTOCK!$K$3:$K$6125))</f>
        <v>7.5</v>
      </c>
      <c r="H973" s="50">
        <f t="array" ref="H973">SUM(IF(INSTOCK!$H$3:$H$6125=B973,INSTOCK!$I$3:$I$6125))</f>
        <v>3805</v>
      </c>
      <c r="I973" s="50" t="str">
        <f>ARRAY_CONSTRAIN(ARRAYFORMULA(SUM(IF([3]!Table13[ID]=B973,[3]!Table13[QTY]))), 1, 1)</f>
        <v>#ERROR!</v>
      </c>
      <c r="J973" s="50" t="str">
        <f>TABLEITEM!$H$3:$H$2749-TABLEITEM!$I$3:$I$2749</f>
        <v>#ERROR!</v>
      </c>
    </row>
    <row r="974" ht="15.75" customHeight="1">
      <c r="A974" s="45"/>
      <c r="B974" s="10" t="s">
        <v>8432</v>
      </c>
      <c r="C974" s="26"/>
      <c r="D974" s="10" t="s">
        <v>8433</v>
      </c>
      <c r="E974" s="10" t="s">
        <v>8394</v>
      </c>
      <c r="F974" s="48" t="s">
        <v>7173</v>
      </c>
      <c r="G974" s="49">
        <f t="array" ref="G974">MAX(IF(INSTOCK!$H$3:$H$6125=B974,INSTOCK!$K$3:$K$6125))</f>
        <v>0</v>
      </c>
      <c r="H974" s="50">
        <f t="array" ref="H974">SUM(IF(INSTOCK!$H$3:$H$6125=B974,INSTOCK!$I$3:$I$6125))</f>
        <v>0</v>
      </c>
      <c r="I974" s="50" t="str">
        <f>ARRAY_CONSTRAIN(ARRAYFORMULA(SUM(IF([3]!Table13[ID]=B974,[3]!Table13[QTY]))), 1, 1)</f>
        <v>#ERROR!</v>
      </c>
      <c r="J974" s="50" t="str">
        <f>TABLEITEM!$H$3:$H$2749-TABLEITEM!$I$3:$I$2749</f>
        <v>#ERROR!</v>
      </c>
    </row>
    <row r="975" ht="15.75" customHeight="1">
      <c r="A975" s="45"/>
      <c r="B975" s="10" t="s">
        <v>8434</v>
      </c>
      <c r="C975" s="26"/>
      <c r="D975" s="10" t="s">
        <v>8435</v>
      </c>
      <c r="E975" s="10" t="s">
        <v>7439</v>
      </c>
      <c r="F975" s="48" t="s">
        <v>7173</v>
      </c>
      <c r="G975" s="49">
        <f t="array" ref="G975">MAX(IF(INSTOCK!$H$3:$H$6125=B975,INSTOCK!$K$3:$K$6125))</f>
        <v>0</v>
      </c>
      <c r="H975" s="50">
        <f t="array" ref="H975">SUM(IF(INSTOCK!$H$3:$H$6125=B975,INSTOCK!$I$3:$I$6125))</f>
        <v>0</v>
      </c>
      <c r="I975" s="50" t="str">
        <f>ARRAY_CONSTRAIN(ARRAYFORMULA(SUM(IF([3]!Table13[ID]=B975,[3]!Table13[QTY]))), 1, 1)</f>
        <v>#ERROR!</v>
      </c>
      <c r="J975" s="50" t="str">
        <f>TABLEITEM!$H$3:$H$2749-TABLEITEM!$I$3:$I$2749</f>
        <v>#ERROR!</v>
      </c>
    </row>
    <row r="976" ht="15.75" customHeight="1">
      <c r="A976" s="45"/>
      <c r="B976" s="10" t="s">
        <v>5407</v>
      </c>
      <c r="C976" s="26"/>
      <c r="D976" s="10" t="s">
        <v>8436</v>
      </c>
      <c r="E976" s="10" t="s">
        <v>7439</v>
      </c>
      <c r="F976" s="48" t="s">
        <v>7173</v>
      </c>
      <c r="G976" s="49">
        <f t="array" ref="G976">MAX(IF(INSTOCK!$H$3:$H$6125=B976,INSTOCK!$K$3:$K$6125))</f>
        <v>9.1</v>
      </c>
      <c r="H976" s="50">
        <f t="array" ref="H976">SUM(IF(INSTOCK!$H$3:$H$6125=B976,INSTOCK!$I$3:$I$6125))</f>
        <v>2289</v>
      </c>
      <c r="I976" s="50" t="str">
        <f>ARRAY_CONSTRAIN(ARRAYFORMULA(SUM(IF([3]!Table13[ID]=B976,[3]!Table13[QTY]))), 1, 1)</f>
        <v>#ERROR!</v>
      </c>
      <c r="J976" s="50" t="str">
        <f>TABLEITEM!$H$3:$H$2749-TABLEITEM!$I$3:$I$2749</f>
        <v>#ERROR!</v>
      </c>
    </row>
    <row r="977" ht="15.75" customHeight="1">
      <c r="A977" s="45"/>
      <c r="B977" s="10" t="s">
        <v>4823</v>
      </c>
      <c r="C977" s="26"/>
      <c r="D977" s="10" t="s">
        <v>8437</v>
      </c>
      <c r="E977" s="10" t="s">
        <v>7439</v>
      </c>
      <c r="F977" s="48" t="s">
        <v>7173</v>
      </c>
      <c r="G977" s="49">
        <f t="array" ref="G977">MAX(IF(INSTOCK!$H$3:$H$6125=B977,INSTOCK!$K$3:$K$6125))</f>
        <v>8.9</v>
      </c>
      <c r="H977" s="50">
        <f t="array" ref="H977">SUM(IF(INSTOCK!$H$3:$H$6125=B977,INSTOCK!$I$3:$I$6125))</f>
        <v>2243</v>
      </c>
      <c r="I977" s="50" t="str">
        <f>ARRAY_CONSTRAIN(ARRAYFORMULA(SUM(IF([3]!Table13[ID]=B977,[3]!Table13[QTY]))), 1, 1)</f>
        <v>#ERROR!</v>
      </c>
      <c r="J977" s="50" t="str">
        <f>TABLEITEM!$H$3:$H$2749-TABLEITEM!$I$3:$I$2749</f>
        <v>#ERROR!</v>
      </c>
    </row>
    <row r="978" ht="15.75" customHeight="1">
      <c r="A978" s="45"/>
      <c r="B978" s="10" t="s">
        <v>8438</v>
      </c>
      <c r="C978" s="26"/>
      <c r="D978" s="10" t="s">
        <v>8439</v>
      </c>
      <c r="E978" s="10" t="s">
        <v>8394</v>
      </c>
      <c r="F978" s="48" t="s">
        <v>7173</v>
      </c>
      <c r="G978" s="49">
        <f t="array" ref="G978">MAX(IF(INSTOCK!$H$3:$H$6125=B978,INSTOCK!$K$3:$K$6125))</f>
        <v>0</v>
      </c>
      <c r="H978" s="50">
        <f t="array" ref="H978">SUM(IF(INSTOCK!$H$3:$H$6125=B978,INSTOCK!$I$3:$I$6125))</f>
        <v>0</v>
      </c>
      <c r="I978" s="50" t="str">
        <f>ARRAY_CONSTRAIN(ARRAYFORMULA(SUM(IF([3]!Table13[ID]=B978,[3]!Table13[QTY]))), 1, 1)</f>
        <v>#ERROR!</v>
      </c>
      <c r="J978" s="50" t="str">
        <f>TABLEITEM!$H$3:$H$2749-TABLEITEM!$I$3:$I$2749</f>
        <v>#ERROR!</v>
      </c>
    </row>
    <row r="979" ht="15.75" customHeight="1">
      <c r="A979" s="45"/>
      <c r="B979" s="10" t="s">
        <v>4543</v>
      </c>
      <c r="C979" s="26"/>
      <c r="D979" s="10" t="s">
        <v>8440</v>
      </c>
      <c r="E979" s="10" t="s">
        <v>7439</v>
      </c>
      <c r="F979" s="48" t="s">
        <v>7173</v>
      </c>
      <c r="G979" s="49">
        <f t="array" ref="G979">MAX(IF(INSTOCK!$H$3:$H$6125=B979,INSTOCK!$K$3:$K$6125))</f>
        <v>7.79</v>
      </c>
      <c r="H979" s="50">
        <f t="array" ref="H979">SUM(IF(INSTOCK!$H$3:$H$6125=B979,INSTOCK!$I$3:$I$6125))</f>
        <v>9209</v>
      </c>
      <c r="I979" s="50" t="str">
        <f>ARRAY_CONSTRAIN(ARRAYFORMULA(SUM(IF([3]!Table13[ID]=B979,[3]!Table13[QTY]))), 1, 1)</f>
        <v>#ERROR!</v>
      </c>
      <c r="J979" s="50" t="str">
        <f>TABLEITEM!$H$3:$H$2749-TABLEITEM!$I$3:$I$2749</f>
        <v>#ERROR!</v>
      </c>
    </row>
    <row r="980" ht="15.75" customHeight="1">
      <c r="A980" s="45"/>
      <c r="B980" s="10" t="s">
        <v>2304</v>
      </c>
      <c r="C980" s="26"/>
      <c r="D980" s="10" t="s">
        <v>8441</v>
      </c>
      <c r="E980" s="48" t="s">
        <v>8442</v>
      </c>
      <c r="F980" s="48" t="s">
        <v>7173</v>
      </c>
      <c r="G980" s="49">
        <f t="array" ref="G980">MAX(IF(INSTOCK!$H$3:$H$6125=B980,INSTOCK!$K$3:$K$6125))</f>
        <v>4</v>
      </c>
      <c r="H980" s="50">
        <f t="array" ref="H980">SUM(IF(INSTOCK!$H$3:$H$6125=B980,INSTOCK!$I$3:$I$6125))</f>
        <v>8000</v>
      </c>
      <c r="I980" s="50" t="str">
        <f>ARRAY_CONSTRAIN(ARRAYFORMULA(SUM(IF([3]!Table13[ID]=B980,[3]!Table13[QTY]))), 1, 1)</f>
        <v>#ERROR!</v>
      </c>
      <c r="J980" s="50" t="str">
        <f>TABLEITEM!$H$3:$H$2749-TABLEITEM!$I$3:$I$2749</f>
        <v>#ERROR!</v>
      </c>
    </row>
    <row r="981" ht="15.75" customHeight="1">
      <c r="A981" s="45"/>
      <c r="B981" s="10" t="s">
        <v>2389</v>
      </c>
      <c r="C981" s="26"/>
      <c r="D981" s="10" t="s">
        <v>8443</v>
      </c>
      <c r="E981" s="10" t="s">
        <v>7439</v>
      </c>
      <c r="F981" s="48" t="s">
        <v>7173</v>
      </c>
      <c r="G981" s="49">
        <f t="array" ref="G981">MAX(IF(INSTOCK!$H$3:$H$6125=B981,INSTOCK!$K$3:$K$6125))</f>
        <v>10.3</v>
      </c>
      <c r="H981" s="50">
        <f t="array" ref="H981">SUM(IF(INSTOCK!$H$3:$H$6125=B981,INSTOCK!$I$3:$I$6125))</f>
        <v>3642</v>
      </c>
      <c r="I981" s="50" t="str">
        <f>ARRAY_CONSTRAIN(ARRAYFORMULA(SUM(IF([3]!Table13[ID]=B981,[3]!Table13[QTY]))), 1, 1)</f>
        <v>#ERROR!</v>
      </c>
      <c r="J981" s="50" t="str">
        <f>TABLEITEM!$H$3:$H$2749-TABLEITEM!$I$3:$I$2749</f>
        <v>#ERROR!</v>
      </c>
    </row>
    <row r="982" ht="15.75" customHeight="1">
      <c r="A982" s="45">
        <v>268.0</v>
      </c>
      <c r="B982" s="10" t="s">
        <v>149</v>
      </c>
      <c r="C982" s="26"/>
      <c r="D982" s="10" t="s">
        <v>1295</v>
      </c>
      <c r="E982" s="48" t="s">
        <v>1289</v>
      </c>
      <c r="F982" s="48" t="s">
        <v>7173</v>
      </c>
      <c r="G982" s="49">
        <f t="array" ref="G982">MAX(IF(INSTOCK!$H$3:$H$6125=B982,INSTOCK!$K$3:$K$6125))</f>
        <v>11.2</v>
      </c>
      <c r="H982" s="50">
        <f t="array" ref="H982">SUM(IF(INSTOCK!$H$3:$H$6125=B982,INSTOCK!$I$3:$I$6125))</f>
        <v>669</v>
      </c>
      <c r="I982" s="50" t="str">
        <f>ARRAY_CONSTRAIN(ARRAYFORMULA(SUM(IF([3]!Table13[ID]=B982,[3]!Table13[QTY]))), 1, 1)</f>
        <v>#ERROR!</v>
      </c>
      <c r="J982" s="50" t="str">
        <f>TABLEITEM!$H$3:$H$2749-TABLEITEM!$I$3:$I$2749</f>
        <v>#ERROR!</v>
      </c>
    </row>
    <row r="983" ht="15.75" customHeight="1">
      <c r="A983" s="45">
        <v>269.0</v>
      </c>
      <c r="B983" s="10" t="s">
        <v>150</v>
      </c>
      <c r="C983" s="26"/>
      <c r="D983" s="10" t="s">
        <v>1297</v>
      </c>
      <c r="E983" s="48" t="s">
        <v>1289</v>
      </c>
      <c r="F983" s="48" t="s">
        <v>7173</v>
      </c>
      <c r="G983" s="49">
        <f t="array" ref="G983">MAX(IF(INSTOCK!$H$3:$H$6125=B983,INSTOCK!$K$3:$K$6125))</f>
        <v>12.5</v>
      </c>
      <c r="H983" s="50">
        <f t="array" ref="H983">SUM(IF(INSTOCK!$H$3:$H$6125=B983,INSTOCK!$I$3:$I$6125))</f>
        <v>2597</v>
      </c>
      <c r="I983" s="50" t="str">
        <f>ARRAY_CONSTRAIN(ARRAYFORMULA(SUM(IF([3]!Table13[ID]=B983,[3]!Table13[QTY]))), 1, 1)</f>
        <v>#ERROR!</v>
      </c>
      <c r="J983" s="50" t="str">
        <f>TABLEITEM!$H$3:$H$2749-TABLEITEM!$I$3:$I$2749</f>
        <v>#ERROR!</v>
      </c>
    </row>
    <row r="984" ht="15.75" customHeight="1">
      <c r="A984" s="45">
        <v>582.0</v>
      </c>
      <c r="B984" s="10" t="s">
        <v>629</v>
      </c>
      <c r="C984" s="26" t="s">
        <v>7174</v>
      </c>
      <c r="D984" s="10" t="s">
        <v>8444</v>
      </c>
      <c r="E984" s="48" t="s">
        <v>617</v>
      </c>
      <c r="F984" s="48" t="s">
        <v>7429</v>
      </c>
      <c r="G984" s="49">
        <f t="array" ref="G984">MAX(IF(INSTOCK!$H$3:$H$6125=B984,INSTOCK!$K$3:$K$6125))</f>
        <v>1918.88</v>
      </c>
      <c r="H984" s="50">
        <f t="array" ref="H984">SUM(IF(INSTOCK!$H$3:$H$6125=B984,INSTOCK!$I$3:$I$6125))</f>
        <v>95</v>
      </c>
      <c r="I984" s="50" t="str">
        <f>ARRAY_CONSTRAIN(ARRAYFORMULA(SUM(IF([3]!Table13[ID]=B984,[3]!Table13[QTY]))), 1, 1)</f>
        <v>#ERROR!</v>
      </c>
      <c r="J984" s="50" t="str">
        <f>TABLEITEM!$H$3:$H$2749-TABLEITEM!$I$3:$I$2749</f>
        <v>#ERROR!</v>
      </c>
    </row>
    <row r="985" ht="15.75" customHeight="1">
      <c r="A985" s="45"/>
      <c r="B985" s="10" t="s">
        <v>6724</v>
      </c>
      <c r="C985" s="26" t="s">
        <v>7174</v>
      </c>
      <c r="D985" s="10" t="s">
        <v>8445</v>
      </c>
      <c r="E985" s="48" t="s">
        <v>617</v>
      </c>
      <c r="F985" s="48" t="s">
        <v>7429</v>
      </c>
      <c r="G985" s="49">
        <f t="array" ref="G985">MAX(IF(INSTOCK!$H$3:$H$6125=B985,INSTOCK!$K$3:$K$6125))</f>
        <v>635.1</v>
      </c>
      <c r="H985" s="50">
        <f t="array" ref="H985">SUM(IF(INSTOCK!$H$3:$H$6125=B985,INSTOCK!$I$3:$I$6125))</f>
        <v>25</v>
      </c>
      <c r="I985" s="50" t="str">
        <f>ARRAY_CONSTRAIN(ARRAYFORMULA(SUM(IF([3]!Table13[ID]=B985,[3]!Table13[QTY]))), 1, 1)</f>
        <v>#ERROR!</v>
      </c>
      <c r="J985" s="50" t="str">
        <f>TABLEITEM!$H$3:$H$2749-TABLEITEM!$I$3:$I$2749</f>
        <v>#ERROR!</v>
      </c>
    </row>
    <row r="986" ht="15.75" customHeight="1">
      <c r="A986" s="45">
        <v>105.0</v>
      </c>
      <c r="B986" s="10" t="s">
        <v>563</v>
      </c>
      <c r="C986" s="26" t="s">
        <v>7174</v>
      </c>
      <c r="D986" s="10" t="s">
        <v>8446</v>
      </c>
      <c r="E986" s="48" t="s">
        <v>617</v>
      </c>
      <c r="F986" s="48" t="s">
        <v>7429</v>
      </c>
      <c r="G986" s="49">
        <f t="array" ref="G986">MAX(IF(INSTOCK!$H$3:$H$6125=B986,INSTOCK!$K$3:$K$6125))</f>
        <v>1313.2</v>
      </c>
      <c r="H986" s="50">
        <f t="array" ref="H986">SUM(IF(INSTOCK!$H$3:$H$6125=B986,INSTOCK!$I$3:$I$6125))</f>
        <v>135</v>
      </c>
      <c r="I986" s="50" t="str">
        <f>ARRAY_CONSTRAIN(ARRAYFORMULA(SUM(IF([3]!Table13[ID]=B986,[3]!Table13[QTY]))), 1, 1)</f>
        <v>#ERROR!</v>
      </c>
      <c r="J986" s="50" t="str">
        <f>TABLEITEM!$H$3:$H$2749-TABLEITEM!$I$3:$I$2749</f>
        <v>#ERROR!</v>
      </c>
    </row>
    <row r="987" ht="15.75" customHeight="1">
      <c r="A987" s="45">
        <v>96.0</v>
      </c>
      <c r="B987" s="10" t="s">
        <v>554</v>
      </c>
      <c r="C987" s="26" t="s">
        <v>7174</v>
      </c>
      <c r="D987" s="10" t="s">
        <v>8447</v>
      </c>
      <c r="E987" s="48" t="s">
        <v>617</v>
      </c>
      <c r="F987" s="48" t="s">
        <v>7429</v>
      </c>
      <c r="G987" s="49">
        <f t="array" ref="G987">MAX(IF(INSTOCK!$H$3:$H$6125=B987,INSTOCK!$K$3:$K$6125))</f>
        <v>3478.64</v>
      </c>
      <c r="H987" s="50">
        <f t="array" ref="H987">SUM(IF(INSTOCK!$H$3:$H$6125=B987,INSTOCK!$I$3:$I$6125))</f>
        <v>10</v>
      </c>
      <c r="I987" s="50" t="str">
        <f>ARRAY_CONSTRAIN(ARRAYFORMULA(SUM(IF([3]!Table13[ID]=B987,[3]!Table13[QTY]))), 1, 1)</f>
        <v>#ERROR!</v>
      </c>
      <c r="J987" s="50" t="str">
        <f>TABLEITEM!$H$3:$H$2749-TABLEITEM!$I$3:$I$2749</f>
        <v>#ERROR!</v>
      </c>
    </row>
    <row r="988" ht="15.75" customHeight="1">
      <c r="A988" s="45">
        <v>97.0</v>
      </c>
      <c r="B988" s="10" t="s">
        <v>555</v>
      </c>
      <c r="C988" s="26" t="s">
        <v>7174</v>
      </c>
      <c r="D988" s="10" t="s">
        <v>8448</v>
      </c>
      <c r="E988" s="48" t="s">
        <v>617</v>
      </c>
      <c r="F988" s="48" t="s">
        <v>7429</v>
      </c>
      <c r="G988" s="49">
        <f t="array" ref="G988">MAX(IF(INSTOCK!$H$3:$H$6125=B988,INSTOCK!$K$3:$K$6125))</f>
        <v>4636.4</v>
      </c>
      <c r="H988" s="50">
        <f t="array" ref="H988">SUM(IF(INSTOCK!$H$3:$H$6125=B988,INSTOCK!$I$3:$I$6125))</f>
        <v>5</v>
      </c>
      <c r="I988" s="50" t="str">
        <f>ARRAY_CONSTRAIN(ARRAYFORMULA(SUM(IF([3]!Table13[ID]=B988,[3]!Table13[QTY]))), 1, 1)</f>
        <v>#ERROR!</v>
      </c>
      <c r="J988" s="50" t="str">
        <f>TABLEITEM!$H$3:$H$2749-TABLEITEM!$I$3:$I$2749</f>
        <v>#ERROR!</v>
      </c>
    </row>
    <row r="989" ht="15.75" customHeight="1">
      <c r="A989" s="45">
        <v>104.0</v>
      </c>
      <c r="B989" s="10" t="s">
        <v>562</v>
      </c>
      <c r="C989" s="26" t="s">
        <v>7174</v>
      </c>
      <c r="D989" s="10" t="s">
        <v>8449</v>
      </c>
      <c r="E989" s="48" t="s">
        <v>617</v>
      </c>
      <c r="F989" s="48" t="s">
        <v>7429</v>
      </c>
      <c r="G989" s="49">
        <f t="array" ref="G989">MAX(IF(INSTOCK!$H$3:$H$6125=B989,INSTOCK!$K$3:$K$6125))</f>
        <v>1200.64</v>
      </c>
      <c r="H989" s="50">
        <f t="array" ref="H989">SUM(IF(INSTOCK!$H$3:$H$6125=B989,INSTOCK!$I$3:$I$6125))</f>
        <v>540</v>
      </c>
      <c r="I989" s="50" t="str">
        <f>ARRAY_CONSTRAIN(ARRAYFORMULA(SUM(IF([3]!Table13[ID]=B989,[3]!Table13[QTY]))), 1, 1)</f>
        <v>#ERROR!</v>
      </c>
      <c r="J989" s="50" t="str">
        <f>TABLEITEM!$H$3:$H$2749-TABLEITEM!$I$3:$I$2749</f>
        <v>#ERROR!</v>
      </c>
    </row>
    <row r="990" ht="15.75" customHeight="1">
      <c r="A990" s="45">
        <v>75.0</v>
      </c>
      <c r="B990" s="10" t="s">
        <v>533</v>
      </c>
      <c r="C990" s="26" t="s">
        <v>7174</v>
      </c>
      <c r="D990" s="10" t="s">
        <v>8450</v>
      </c>
      <c r="E990" s="48" t="s">
        <v>617</v>
      </c>
      <c r="F990" s="48" t="s">
        <v>7429</v>
      </c>
      <c r="G990" s="49">
        <f t="array" ref="G990">MAX(IF(INSTOCK!$H$3:$H$6125=B990,INSTOCK!$K$3:$K$6125))</f>
        <v>180.2</v>
      </c>
      <c r="H990" s="50">
        <f t="array" ref="H990">SUM(IF(INSTOCK!$H$3:$H$6125=B990,INSTOCK!$I$3:$I$6125))</f>
        <v>175</v>
      </c>
      <c r="I990" s="50" t="str">
        <f>ARRAY_CONSTRAIN(ARRAYFORMULA(SUM(IF([3]!Table13[ID]=B990,[3]!Table13[QTY]))), 1, 1)</f>
        <v>#ERROR!</v>
      </c>
      <c r="J990" s="50" t="str">
        <f>TABLEITEM!$H$3:$H$2749-TABLEITEM!$I$3:$I$2749</f>
        <v>#ERROR!</v>
      </c>
    </row>
    <row r="991" ht="15.75" customHeight="1">
      <c r="A991" s="45">
        <v>74.0</v>
      </c>
      <c r="B991" s="10" t="s">
        <v>532</v>
      </c>
      <c r="C991" s="26" t="s">
        <v>7174</v>
      </c>
      <c r="D991" s="10" t="s">
        <v>8451</v>
      </c>
      <c r="E991" s="48" t="s">
        <v>617</v>
      </c>
      <c r="F991" s="48" t="s">
        <v>7429</v>
      </c>
      <c r="G991" s="49">
        <f t="array" ref="G991">MAX(IF(INSTOCK!$H$3:$H$6125=B991,INSTOCK!$K$3:$K$6125))</f>
        <v>123.28</v>
      </c>
      <c r="H991" s="50">
        <f t="array" ref="H991">SUM(IF(INSTOCK!$H$3:$H$6125=B991,INSTOCK!$I$3:$I$6125))</f>
        <v>55</v>
      </c>
      <c r="I991" s="50" t="str">
        <f>ARRAY_CONSTRAIN(ARRAYFORMULA(SUM(IF([3]!Table13[ID]=B991,[3]!Table13[QTY]))), 1, 1)</f>
        <v>#ERROR!</v>
      </c>
      <c r="J991" s="50" t="str">
        <f>TABLEITEM!$H$3:$H$2749-TABLEITEM!$I$3:$I$2749</f>
        <v>#ERROR!</v>
      </c>
    </row>
    <row r="992" ht="15.75" customHeight="1">
      <c r="A992" s="45">
        <v>95.0</v>
      </c>
      <c r="B992" s="10" t="s">
        <v>553</v>
      </c>
      <c r="C992" s="26" t="s">
        <v>7174</v>
      </c>
      <c r="D992" s="10" t="s">
        <v>8452</v>
      </c>
      <c r="E992" s="48" t="s">
        <v>617</v>
      </c>
      <c r="F992" s="48" t="s">
        <v>7429</v>
      </c>
      <c r="G992" s="49">
        <f t="array" ref="G992">MAX(IF(INSTOCK!$H$3:$H$6125=B992,INSTOCK!$K$3:$K$6125))</f>
        <v>2899.76</v>
      </c>
      <c r="H992" s="50">
        <f t="array" ref="H992">SUM(IF(INSTOCK!$H$3:$H$6125=B992,INSTOCK!$I$3:$I$6125))</f>
        <v>5</v>
      </c>
      <c r="I992" s="50" t="str">
        <f>ARRAY_CONSTRAIN(ARRAYFORMULA(SUM(IF([3]!Table13[ID]=B992,[3]!Table13[QTY]))), 1, 1)</f>
        <v>#ERROR!</v>
      </c>
      <c r="J992" s="50" t="str">
        <f>TABLEITEM!$H$3:$H$2749-TABLEITEM!$I$3:$I$2749</f>
        <v>#ERROR!</v>
      </c>
    </row>
    <row r="993" ht="15.75" customHeight="1">
      <c r="A993" s="45"/>
      <c r="B993" s="10" t="s">
        <v>3292</v>
      </c>
      <c r="C993" s="26" t="s">
        <v>7174</v>
      </c>
      <c r="D993" s="10" t="s">
        <v>8453</v>
      </c>
      <c r="E993" s="48" t="s">
        <v>617</v>
      </c>
      <c r="F993" s="48" t="s">
        <v>7429</v>
      </c>
      <c r="G993" s="49">
        <f t="array" ref="G993">MAX(IF(INSTOCK!$H$3:$H$6125=B993,INSTOCK!$K$3:$K$6125))</f>
        <v>3431.96</v>
      </c>
      <c r="H993" s="50">
        <f t="array" ref="H993">SUM(IF(INSTOCK!$H$3:$H$6125=B993,INSTOCK!$I$3:$I$6125))</f>
        <v>45</v>
      </c>
      <c r="I993" s="50" t="str">
        <f>ARRAY_CONSTRAIN(ARRAYFORMULA(SUM(IF([3]!Table13[ID]=B993,[3]!Table13[QTY]))), 1, 1)</f>
        <v>#ERROR!</v>
      </c>
      <c r="J993" s="50" t="str">
        <f>TABLEITEM!$H$3:$H$2749-TABLEITEM!$I$3:$I$2749</f>
        <v>#ERROR!</v>
      </c>
    </row>
    <row r="994" ht="15.75" customHeight="1">
      <c r="A994" s="45">
        <v>589.0</v>
      </c>
      <c r="B994" s="10" t="s">
        <v>3451</v>
      </c>
      <c r="C994" s="26" t="s">
        <v>7174</v>
      </c>
      <c r="D994" s="10" t="s">
        <v>8454</v>
      </c>
      <c r="E994" s="48" t="s">
        <v>617</v>
      </c>
      <c r="F994" s="48" t="s">
        <v>7429</v>
      </c>
      <c r="G994" s="49">
        <f t="array" ref="G994">MAX(IF(INSTOCK!$H$3:$H$6125=B994,INSTOCK!$K$3:$K$6125))</f>
        <v>441</v>
      </c>
      <c r="H994" s="50">
        <f t="array" ref="H994">SUM(IF(INSTOCK!$H$3:$H$6125=B994,INSTOCK!$I$3:$I$6125))</f>
        <v>130</v>
      </c>
      <c r="I994" s="50" t="str">
        <f>ARRAY_CONSTRAIN(ARRAYFORMULA(SUM(IF([3]!Table13[ID]=B994,[3]!Table13[QTY]))), 1, 1)</f>
        <v>#ERROR!</v>
      </c>
      <c r="J994" s="50" t="str">
        <f>TABLEITEM!$H$3:$H$2749-TABLEITEM!$I$3:$I$2749</f>
        <v>#ERROR!</v>
      </c>
    </row>
    <row r="995" ht="15.75" customHeight="1">
      <c r="A995" s="45">
        <v>103.0</v>
      </c>
      <c r="B995" s="10" t="s">
        <v>561</v>
      </c>
      <c r="C995" s="26" t="s">
        <v>7174</v>
      </c>
      <c r="D995" s="10" t="s">
        <v>8455</v>
      </c>
      <c r="E995" s="48" t="s">
        <v>617</v>
      </c>
      <c r="F995" s="48" t="s">
        <v>7429</v>
      </c>
      <c r="G995" s="49">
        <f t="array" ref="G995">MAX(IF(INSTOCK!$H$3:$H$6125=B995,INSTOCK!$K$3:$K$6125))</f>
        <v>948.7</v>
      </c>
      <c r="H995" s="50">
        <f t="array" ref="H995">SUM(IF(INSTOCK!$H$3:$H$6125=B995,INSTOCK!$I$3:$I$6125))</f>
        <v>190</v>
      </c>
      <c r="I995" s="50" t="str">
        <f>ARRAY_CONSTRAIN(ARRAYFORMULA(SUM(IF([3]!Table13[ID]=B995,[3]!Table13[QTY]))), 1, 1)</f>
        <v>#ERROR!</v>
      </c>
      <c r="J995" s="50" t="str">
        <f>TABLEITEM!$H$3:$H$2749-TABLEITEM!$I$3:$I$2749</f>
        <v>#ERROR!</v>
      </c>
    </row>
    <row r="996" ht="15.75" customHeight="1">
      <c r="A996" s="45">
        <v>94.0</v>
      </c>
      <c r="B996" s="10" t="s">
        <v>552</v>
      </c>
      <c r="C996" s="26" t="s">
        <v>7174</v>
      </c>
      <c r="D996" s="10" t="s">
        <v>8456</v>
      </c>
      <c r="E996" s="48" t="s">
        <v>617</v>
      </c>
      <c r="F996" s="48" t="s">
        <v>7429</v>
      </c>
      <c r="G996" s="49">
        <f t="array" ref="G996">MAX(IF(INSTOCK!$H$3:$H$6125=B996,INSTOCK!$K$3:$K$6125))</f>
        <v>3092.72</v>
      </c>
      <c r="H996" s="50">
        <f t="array" ref="H996">SUM(IF(INSTOCK!$H$3:$H$6125=B996,INSTOCK!$I$3:$I$6125))</f>
        <v>110</v>
      </c>
      <c r="I996" s="50" t="str">
        <f>ARRAY_CONSTRAIN(ARRAYFORMULA(SUM(IF([3]!Table13[ID]=B996,[3]!Table13[QTY]))), 1, 1)</f>
        <v>#ERROR!</v>
      </c>
      <c r="J996" s="50" t="str">
        <f>TABLEITEM!$H$3:$H$2749-TABLEITEM!$I$3:$I$2749</f>
        <v>#ERROR!</v>
      </c>
    </row>
    <row r="997" ht="15.75" customHeight="1">
      <c r="A997" s="45">
        <v>109.0</v>
      </c>
      <c r="B997" s="10" t="s">
        <v>567</v>
      </c>
      <c r="C997" s="26" t="s">
        <v>7174</v>
      </c>
      <c r="D997" s="10" t="s">
        <v>8457</v>
      </c>
      <c r="E997" s="48" t="s">
        <v>617</v>
      </c>
      <c r="F997" s="48" t="s">
        <v>8163</v>
      </c>
      <c r="G997" s="49">
        <f t="array" ref="G997">MAX(IF(INSTOCK!$H$3:$H$6125=B997,INSTOCK!$K$3:$K$6125))</f>
        <v>30780</v>
      </c>
      <c r="H997" s="50">
        <f t="array" ref="H997">SUM(IF(INSTOCK!$H$3:$H$6125=B997,INSTOCK!$I$3:$I$6125))</f>
        <v>3</v>
      </c>
      <c r="I997" s="50" t="str">
        <f>ARRAY_CONSTRAIN(ARRAYFORMULA(SUM(IF([3]!Table13[ID]=B997,[3]!Table13[QTY]))), 1, 1)</f>
        <v>#ERROR!</v>
      </c>
      <c r="J997" s="50" t="str">
        <f>TABLEITEM!$H$3:$H$2749-TABLEITEM!$I$3:$I$2749</f>
        <v>#ERROR!</v>
      </c>
    </row>
    <row r="998" ht="15.75" customHeight="1">
      <c r="A998" s="45">
        <v>101.0</v>
      </c>
      <c r="B998" s="10" t="s">
        <v>559</v>
      </c>
      <c r="C998" s="26" t="s">
        <v>7174</v>
      </c>
      <c r="D998" s="10" t="s">
        <v>8458</v>
      </c>
      <c r="E998" s="48" t="s">
        <v>617</v>
      </c>
      <c r="F998" s="48" t="s">
        <v>7429</v>
      </c>
      <c r="G998" s="49">
        <f t="array" ref="G998">MAX(IF(INSTOCK!$H$3:$H$6125=B998,INSTOCK!$K$3:$K$6125))</f>
        <v>359.12</v>
      </c>
      <c r="H998" s="50">
        <f t="array" ref="H998">SUM(IF(INSTOCK!$H$3:$H$6125=B998,INSTOCK!$I$3:$I$6125))</f>
        <v>605</v>
      </c>
      <c r="I998" s="50" t="str">
        <f>ARRAY_CONSTRAIN(ARRAYFORMULA(SUM(IF([3]!Table13[ID]=B998,[3]!Table13[QTY]))), 1, 1)</f>
        <v>#ERROR!</v>
      </c>
      <c r="J998" s="50" t="str">
        <f>TABLEITEM!$H$3:$H$2749-TABLEITEM!$I$3:$I$2749</f>
        <v>#ERROR!</v>
      </c>
    </row>
    <row r="999" ht="15.75" customHeight="1">
      <c r="A999" s="45">
        <v>102.0</v>
      </c>
      <c r="B999" s="10" t="s">
        <v>560</v>
      </c>
      <c r="C999" s="26" t="s">
        <v>7174</v>
      </c>
      <c r="D999" s="10" t="s">
        <v>8459</v>
      </c>
      <c r="E999" s="48" t="s">
        <v>617</v>
      </c>
      <c r="F999" s="48" t="s">
        <v>7429</v>
      </c>
      <c r="G999" s="49">
        <f t="array" ref="G999">MAX(IF(INSTOCK!$H$3:$H$6125=B999,INSTOCK!$K$3:$K$6125))</f>
        <v>737</v>
      </c>
      <c r="H999" s="50">
        <f t="array" ref="H999">SUM(IF(INSTOCK!$H$3:$H$6125=B999,INSTOCK!$I$3:$I$6125))</f>
        <v>425</v>
      </c>
      <c r="I999" s="50" t="str">
        <f>ARRAY_CONSTRAIN(ARRAYFORMULA(SUM(IF([3]!Table13[ID]=B999,[3]!Table13[QTY]))), 1, 1)</f>
        <v>#ERROR!</v>
      </c>
      <c r="J999" s="50" t="str">
        <f>TABLEITEM!$H$3:$H$2749-TABLEITEM!$I$3:$I$2749</f>
        <v>#ERROR!</v>
      </c>
    </row>
    <row r="1000" ht="15.75" customHeight="1">
      <c r="A1000" s="45">
        <v>76.0</v>
      </c>
      <c r="B1000" s="10" t="s">
        <v>534</v>
      </c>
      <c r="C1000" s="26" t="s">
        <v>7174</v>
      </c>
      <c r="D1000" s="10" t="s">
        <v>8460</v>
      </c>
      <c r="E1000" s="48" t="s">
        <v>617</v>
      </c>
      <c r="F1000" s="48" t="s">
        <v>7429</v>
      </c>
      <c r="G1000" s="49">
        <f t="array" ref="G1000">MAX(IF(INSTOCK!$H$3:$H$6125=B1000,INSTOCK!$K$3:$K$6125))</f>
        <v>150</v>
      </c>
      <c r="H1000" s="50">
        <f t="array" ref="H1000">SUM(IF(INSTOCK!$H$3:$H$6125=B1000,INSTOCK!$I$3:$I$6125))</f>
        <v>60</v>
      </c>
      <c r="I1000" s="50" t="str">
        <f>ARRAY_CONSTRAIN(ARRAYFORMULA(SUM(IF([3]!Table13[ID]=B1000,[3]!Table13[QTY]))), 1, 1)</f>
        <v>#ERROR!</v>
      </c>
      <c r="J1000" s="50" t="str">
        <f>TABLEITEM!$H$3:$H$2749-TABLEITEM!$I$3:$I$2749</f>
        <v>#ERROR!</v>
      </c>
    </row>
    <row r="1001" ht="15.75" customHeight="1">
      <c r="A1001" s="45">
        <v>77.0</v>
      </c>
      <c r="B1001" s="10" t="s">
        <v>535</v>
      </c>
      <c r="C1001" s="26" t="s">
        <v>7174</v>
      </c>
      <c r="D1001" s="10" t="s">
        <v>8461</v>
      </c>
      <c r="E1001" s="48" t="s">
        <v>617</v>
      </c>
      <c r="F1001" s="48" t="s">
        <v>7429</v>
      </c>
      <c r="G1001" s="49">
        <f t="array" ref="G1001">MAX(IF(INSTOCK!$H$3:$H$6125=B1001,INSTOCK!$K$3:$K$6125))</f>
        <v>294.8</v>
      </c>
      <c r="H1001" s="50">
        <f t="array" ref="H1001">SUM(IF(INSTOCK!$H$3:$H$6125=B1001,INSTOCK!$I$3:$I$6125))</f>
        <v>140</v>
      </c>
      <c r="I1001" s="50" t="str">
        <f>ARRAY_CONSTRAIN(ARRAYFORMULA(SUM(IF([3]!Table13[ID]=B1001,[3]!Table13[QTY]))), 1, 1)</f>
        <v>#ERROR!</v>
      </c>
      <c r="J1001" s="50" t="str">
        <f>TABLEITEM!$H$3:$H$2749-TABLEITEM!$I$3:$I$2749</f>
        <v>#ERROR!</v>
      </c>
    </row>
    <row r="1002" ht="15.75" customHeight="1">
      <c r="A1002" s="45">
        <v>579.0</v>
      </c>
      <c r="B1002" s="10" t="s">
        <v>644</v>
      </c>
      <c r="C1002" s="26" t="s">
        <v>7174</v>
      </c>
      <c r="D1002" s="10" t="s">
        <v>8462</v>
      </c>
      <c r="E1002" s="48" t="s">
        <v>617</v>
      </c>
      <c r="F1002" s="48" t="s">
        <v>7429</v>
      </c>
      <c r="G1002" s="49">
        <f t="array" ref="G1002">MAX(IF(INSTOCK!$H$3:$H$6125=B1002,INSTOCK!$K$3:$K$6125))</f>
        <v>1592.5</v>
      </c>
      <c r="H1002" s="50">
        <f t="array" ref="H1002">SUM(IF(INSTOCK!$H$3:$H$6125=B1002,INSTOCK!$I$3:$I$6125))</f>
        <v>85</v>
      </c>
      <c r="I1002" s="50" t="str">
        <f>ARRAY_CONSTRAIN(ARRAYFORMULA(SUM(IF([3]!Table13[ID]=B1002,[3]!Table13[QTY]))), 1, 1)</f>
        <v>#ERROR!</v>
      </c>
      <c r="J1002" s="50" t="str">
        <f>TABLEITEM!$H$3:$H$2749-TABLEITEM!$I$3:$I$2749</f>
        <v>#ERROR!</v>
      </c>
    </row>
    <row r="1003" ht="15.75" customHeight="1">
      <c r="A1003" s="45">
        <v>583.0</v>
      </c>
      <c r="B1003" s="10" t="s">
        <v>8463</v>
      </c>
      <c r="C1003" s="26" t="s">
        <v>7174</v>
      </c>
      <c r="D1003" s="10" t="s">
        <v>8464</v>
      </c>
      <c r="E1003" s="48" t="s">
        <v>617</v>
      </c>
      <c r="F1003" s="48" t="s">
        <v>7429</v>
      </c>
      <c r="G1003" s="49">
        <f t="array" ref="G1003">MAX(IF(INSTOCK!$H$3:$H$6125=B1003,INSTOCK!$K$3:$K$6125))</f>
        <v>0</v>
      </c>
      <c r="H1003" s="50">
        <f t="array" ref="H1003">SUM(IF(INSTOCK!$H$3:$H$6125=B1003,INSTOCK!$I$3:$I$6125))</f>
        <v>0</v>
      </c>
      <c r="I1003" s="50" t="str">
        <f>ARRAY_CONSTRAIN(ARRAYFORMULA(SUM(IF([3]!Table13[ID]=B1003,[3]!Table13[QTY]))), 1, 1)</f>
        <v>#ERROR!</v>
      </c>
      <c r="J1003" s="50" t="str">
        <f>TABLEITEM!$H$3:$H$2749-TABLEITEM!$I$3:$I$2749</f>
        <v>#ERROR!</v>
      </c>
    </row>
    <row r="1004" ht="15.75" customHeight="1">
      <c r="A1004" s="45">
        <v>93.0</v>
      </c>
      <c r="B1004" s="10" t="s">
        <v>551</v>
      </c>
      <c r="C1004" s="26" t="s">
        <v>7174</v>
      </c>
      <c r="D1004" s="10" t="s">
        <v>8465</v>
      </c>
      <c r="E1004" s="48" t="s">
        <v>617</v>
      </c>
      <c r="F1004" s="48" t="s">
        <v>7429</v>
      </c>
      <c r="G1004" s="49">
        <f t="array" ref="G1004">MAX(IF(INSTOCK!$H$3:$H$6125=B1004,INSTOCK!$K$3:$K$6125))</f>
        <v>2320.88</v>
      </c>
      <c r="H1004" s="50">
        <f t="array" ref="H1004">SUM(IF(INSTOCK!$H$3:$H$6125=B1004,INSTOCK!$I$3:$I$6125))</f>
        <v>55</v>
      </c>
      <c r="I1004" s="50" t="str">
        <f>ARRAY_CONSTRAIN(ARRAYFORMULA(SUM(IF([3]!Table13[ID]=B1004,[3]!Table13[QTY]))), 1, 1)</f>
        <v>#ERROR!</v>
      </c>
      <c r="J1004" s="50" t="str">
        <f>TABLEITEM!$H$3:$H$2749-TABLEITEM!$I$3:$I$2749</f>
        <v>#ERROR!</v>
      </c>
    </row>
    <row r="1005" ht="15.75" customHeight="1">
      <c r="A1005" s="45">
        <v>108.0</v>
      </c>
      <c r="B1005" s="18" t="s">
        <v>566</v>
      </c>
      <c r="C1005" s="26" t="s">
        <v>7174</v>
      </c>
      <c r="D1005" s="10" t="s">
        <v>8466</v>
      </c>
      <c r="E1005" s="48" t="s">
        <v>617</v>
      </c>
      <c r="F1005" s="48" t="s">
        <v>8163</v>
      </c>
      <c r="G1005" s="49">
        <f t="array" ref="G1005">MAX(IF(INSTOCK!$H$3:$H$6125=B1005,INSTOCK!$K$3:$K$6125))</f>
        <v>20368</v>
      </c>
      <c r="H1005" s="50">
        <f t="array" ref="H1005">SUM(IF(INSTOCK!$H$3:$H$6125=B1005,INSTOCK!$I$3:$I$6125))</f>
        <v>9</v>
      </c>
      <c r="I1005" s="50" t="str">
        <f>ARRAY_CONSTRAIN(ARRAYFORMULA(SUM(IF([3]!Table13[ID]=B1005,[3]!Table13[QTY]))), 1, 1)</f>
        <v>#ERROR!</v>
      </c>
      <c r="J1005" s="50" t="str">
        <f>TABLEITEM!$H$3:$H$2749-TABLEITEM!$I$3:$I$2749</f>
        <v>#ERROR!</v>
      </c>
    </row>
    <row r="1006" ht="15.75" customHeight="1">
      <c r="A1006" s="45">
        <v>100.0</v>
      </c>
      <c r="B1006" s="18" t="s">
        <v>558</v>
      </c>
      <c r="C1006" s="26" t="s">
        <v>7174</v>
      </c>
      <c r="D1006" s="10" t="s">
        <v>8467</v>
      </c>
      <c r="E1006" s="56" t="s">
        <v>617</v>
      </c>
      <c r="F1006" s="48" t="s">
        <v>7429</v>
      </c>
      <c r="G1006" s="49">
        <f t="array" ref="G1006">MAX(IF(INSTOCK!$H$3:$H$6125=B1006,INSTOCK!$K$3:$K$6125))</f>
        <v>296.8</v>
      </c>
      <c r="H1006" s="50">
        <f t="array" ref="H1006">SUM(IF(INSTOCK!$H$3:$H$6125=B1006,INSTOCK!$I$3:$I$6125))</f>
        <v>255</v>
      </c>
      <c r="I1006" s="50" t="str">
        <f>ARRAY_CONSTRAIN(ARRAYFORMULA(SUM(IF([3]!Table13[ID]=B1006,[3]!Table13[QTY]))), 1, 1)</f>
        <v>#ERROR!</v>
      </c>
      <c r="J1006" s="50" t="str">
        <f>TABLEITEM!$H$3:$H$2749-TABLEITEM!$I$3:$I$2749</f>
        <v>#ERROR!</v>
      </c>
    </row>
    <row r="1007" ht="15.75" customHeight="1">
      <c r="A1007" s="45">
        <v>99.0</v>
      </c>
      <c r="B1007" s="18" t="s">
        <v>557</v>
      </c>
      <c r="C1007" s="26" t="s">
        <v>7174</v>
      </c>
      <c r="D1007" s="10" t="s">
        <v>8468</v>
      </c>
      <c r="E1007" s="48" t="s">
        <v>617</v>
      </c>
      <c r="F1007" s="48" t="s">
        <v>7429</v>
      </c>
      <c r="G1007" s="49">
        <f t="array" ref="G1007">MAX(IF(INSTOCK!$H$3:$H$6125=B1007,INSTOCK!$K$3:$K$6125))</f>
        <v>182.24</v>
      </c>
      <c r="H1007" s="50">
        <f t="array" ref="H1007">SUM(IF(INSTOCK!$H$3:$H$6125=B1007,INSTOCK!$I$3:$I$6125))</f>
        <v>5</v>
      </c>
      <c r="I1007" s="50" t="str">
        <f>ARRAY_CONSTRAIN(ARRAYFORMULA(SUM(IF([3]!Table13[ID]=B1007,[3]!Table13[QTY]))), 1, 1)</f>
        <v>#ERROR!</v>
      </c>
      <c r="J1007" s="50" t="str">
        <f>TABLEITEM!$H$3:$H$2749-TABLEITEM!$I$3:$I$2749</f>
        <v>#ERROR!</v>
      </c>
    </row>
    <row r="1008" ht="15.75" customHeight="1">
      <c r="A1008" s="45">
        <v>98.0</v>
      </c>
      <c r="B1008" s="18" t="s">
        <v>556</v>
      </c>
      <c r="C1008" s="26" t="s">
        <v>7174</v>
      </c>
      <c r="D1008" s="18" t="s">
        <v>8469</v>
      </c>
      <c r="E1008" s="48" t="s">
        <v>617</v>
      </c>
      <c r="F1008" s="48" t="s">
        <v>7429</v>
      </c>
      <c r="G1008" s="49">
        <f t="array" ref="G1008">MAX(IF(INSTOCK!$H$3:$H$6125=B1008,INSTOCK!$K$3:$K$6125))</f>
        <v>241.2</v>
      </c>
      <c r="H1008" s="50">
        <f t="array" ref="H1008">SUM(IF(INSTOCK!$H$3:$H$6125=B1008,INSTOCK!$I$3:$I$6125))</f>
        <v>1140</v>
      </c>
      <c r="I1008" s="50" t="str">
        <f>ARRAY_CONSTRAIN(ARRAYFORMULA(SUM(IF([3]!Table13[ID]=B1008,[3]!Table13[QTY]))), 1, 1)</f>
        <v>#ERROR!</v>
      </c>
      <c r="J1008" s="50" t="str">
        <f>TABLEITEM!$H$3:$H$2749-TABLEITEM!$I$3:$I$2749</f>
        <v>#ERROR!</v>
      </c>
    </row>
    <row r="1009" ht="15.75" customHeight="1">
      <c r="A1009" s="45">
        <v>581.0</v>
      </c>
      <c r="B1009" s="18" t="s">
        <v>8470</v>
      </c>
      <c r="C1009" s="26" t="s">
        <v>7174</v>
      </c>
      <c r="D1009" s="18" t="s">
        <v>8471</v>
      </c>
      <c r="E1009" s="48" t="s">
        <v>617</v>
      </c>
      <c r="F1009" s="48" t="s">
        <v>7429</v>
      </c>
      <c r="G1009" s="49">
        <f t="array" ref="G1009">MAX(IF(INSTOCK!$H$3:$H$6125=B1009,INSTOCK!$K$3:$K$6125))</f>
        <v>206.67</v>
      </c>
      <c r="H1009" s="50">
        <f t="array" ref="H1009">SUM(IF(INSTOCK!$H$3:$H$6125=B1009,INSTOCK!$I$3:$I$6125))</f>
        <v>18</v>
      </c>
      <c r="I1009" s="50" t="str">
        <f>ARRAY_CONSTRAIN(ARRAYFORMULA(SUM(IF([3]!Table13[ID]=B1009,[3]!Table13[QTY]))), 1, 1)</f>
        <v>#ERROR!</v>
      </c>
      <c r="J1009" s="50" t="str">
        <f>TABLEITEM!$H$3:$H$2749-TABLEITEM!$I$3:$I$2749</f>
        <v>#ERROR!</v>
      </c>
    </row>
    <row r="1010" ht="15.75" customHeight="1">
      <c r="A1010" s="45">
        <v>89.0</v>
      </c>
      <c r="B1010" s="18" t="s">
        <v>547</v>
      </c>
      <c r="C1010" s="26" t="s">
        <v>7174</v>
      </c>
      <c r="D1010" s="18" t="s">
        <v>8472</v>
      </c>
      <c r="E1010" s="48" t="s">
        <v>617</v>
      </c>
      <c r="F1010" s="48" t="s">
        <v>7429</v>
      </c>
      <c r="G1010" s="49">
        <f>MAX(IF(INSTOCK!$H$3:$H$6125=B1010,INSTOCK!$K$3:$K$6125))</f>
        <v>0</v>
      </c>
      <c r="H1010" s="50">
        <f t="array" ref="H1010">SUM(IF(INSTOCK!$H$3:$H$6125=B1010,INSTOCK!$I$3:$I$6125))</f>
        <v>15</v>
      </c>
      <c r="I1010" s="50" t="str">
        <f>ARRAY_CONSTRAIN(ARRAYFORMULA(SUM(IF([3]!Table13[ID]=B1010,[3]!Table13[QTY]))), 1, 1)</f>
        <v>#ERROR!</v>
      </c>
      <c r="J1010" s="50" t="str">
        <f>TABLEITEM!$H$3:$H$2749-TABLEITEM!$I$3:$I$2749</f>
        <v>#ERROR!</v>
      </c>
    </row>
    <row r="1011" ht="15.75" customHeight="1">
      <c r="A1011" s="45">
        <v>87.0</v>
      </c>
      <c r="B1011" s="18" t="s">
        <v>545</v>
      </c>
      <c r="C1011" s="26" t="s">
        <v>7174</v>
      </c>
      <c r="D1011" s="18" t="s">
        <v>8473</v>
      </c>
      <c r="E1011" s="48" t="s">
        <v>617</v>
      </c>
      <c r="F1011" s="48" t="s">
        <v>7429</v>
      </c>
      <c r="G1011" s="49">
        <f t="array" ref="G1011">MAX(IF(INSTOCK!$H$3:$H$6125=B1011,INSTOCK!$K$3:$K$6125))</f>
        <v>777.2</v>
      </c>
      <c r="H1011" s="50">
        <f t="array" ref="H1011">SUM(IF(INSTOCK!$H$3:$H$6125=B1011,INSTOCK!$I$3:$I$6125))</f>
        <v>10</v>
      </c>
      <c r="I1011" s="50" t="str">
        <f>ARRAY_CONSTRAIN(ARRAYFORMULA(SUM(IF([3]!Table13[ID]=B1011,[3]!Table13[QTY]))), 1, 1)</f>
        <v>#ERROR!</v>
      </c>
      <c r="J1011" s="50" t="str">
        <f>TABLEITEM!$H$3:$H$2749-TABLEITEM!$I$3:$I$2749</f>
        <v>#ERROR!</v>
      </c>
    </row>
    <row r="1012" ht="15.75" customHeight="1">
      <c r="A1012" s="45">
        <v>88.0</v>
      </c>
      <c r="B1012" s="18" t="s">
        <v>546</v>
      </c>
      <c r="C1012" s="26" t="s">
        <v>7174</v>
      </c>
      <c r="D1012" s="18" t="s">
        <v>8474</v>
      </c>
      <c r="E1012" s="48" t="s">
        <v>617</v>
      </c>
      <c r="F1012" s="48" t="s">
        <v>7429</v>
      </c>
      <c r="G1012" s="49">
        <f t="array" ref="G1012">MAX(IF(INSTOCK!$H$3:$H$6125=B1012,INSTOCK!$K$3:$K$6125))</f>
        <v>1531.7</v>
      </c>
      <c r="H1012" s="50">
        <f t="array" ref="H1012">SUM(IF(INSTOCK!$H$3:$H$6125=B1012,INSTOCK!$I$3:$I$6125))</f>
        <v>200</v>
      </c>
      <c r="I1012" s="50" t="str">
        <f>ARRAY_CONSTRAIN(ARRAYFORMULA(SUM(IF([3]!Table13[ID]=B1012,[3]!Table13[QTY]))), 1, 1)</f>
        <v>#ERROR!</v>
      </c>
      <c r="J1012" s="50" t="str">
        <f>TABLEITEM!$H$3:$H$2749-TABLEITEM!$I$3:$I$2749</f>
        <v>#ERROR!</v>
      </c>
    </row>
    <row r="1013" ht="15.75" customHeight="1">
      <c r="A1013" s="45">
        <v>91.0</v>
      </c>
      <c r="B1013" s="18" t="s">
        <v>549</v>
      </c>
      <c r="C1013" s="26" t="s">
        <v>7174</v>
      </c>
      <c r="D1013" s="18" t="s">
        <v>8475</v>
      </c>
      <c r="E1013" s="48" t="s">
        <v>617</v>
      </c>
      <c r="F1013" s="48" t="s">
        <v>7429</v>
      </c>
      <c r="G1013" s="49">
        <f t="array" ref="G1013">MAX(IF(INSTOCK!$H$3:$H$6125=B1013,INSTOCK!$K$3:$K$6125))</f>
        <v>1452.56</v>
      </c>
      <c r="H1013" s="50">
        <f t="array" ref="H1013">SUM(IF(INSTOCK!$H$3:$H$6125=B1013,INSTOCK!$I$3:$I$6125))</f>
        <v>5</v>
      </c>
      <c r="I1013" s="50" t="str">
        <f>ARRAY_CONSTRAIN(ARRAYFORMULA(SUM(IF([3]!Table13[ID]=B1013,[3]!Table13[QTY]))), 1, 1)</f>
        <v>#ERROR!</v>
      </c>
      <c r="J1013" s="50" t="str">
        <f>TABLEITEM!$H$3:$H$2749-TABLEITEM!$I$3:$I$2749</f>
        <v>#ERROR!</v>
      </c>
    </row>
    <row r="1014" ht="15.75" customHeight="1">
      <c r="A1014" s="45">
        <v>90.0</v>
      </c>
      <c r="B1014" s="18" t="s">
        <v>548</v>
      </c>
      <c r="C1014" s="26" t="s">
        <v>7174</v>
      </c>
      <c r="D1014" s="18" t="s">
        <v>8476</v>
      </c>
      <c r="E1014" s="48" t="s">
        <v>617</v>
      </c>
      <c r="F1014" s="48" t="s">
        <v>7429</v>
      </c>
      <c r="G1014" s="49">
        <f t="array" ref="G1014">MAX(IF(INSTOCK!$H$3:$H$6125=B1014,INSTOCK!$K$3:$K$6125))</f>
        <v>868.8</v>
      </c>
      <c r="H1014" s="50">
        <f t="array" ref="H1014">SUM(IF(INSTOCK!$H$3:$H$6125=B1014,INSTOCK!$I$3:$I$6125))</f>
        <v>5</v>
      </c>
      <c r="I1014" s="50" t="str">
        <f>ARRAY_CONSTRAIN(ARRAYFORMULA(SUM(IF([3]!Table13[ID]=B1014,[3]!Table13[QTY]))), 1, 1)</f>
        <v>#ERROR!</v>
      </c>
      <c r="J1014" s="50" t="str">
        <f>TABLEITEM!$H$3:$H$2749-TABLEITEM!$I$3:$I$2749</f>
        <v>#ERROR!</v>
      </c>
    </row>
    <row r="1015" ht="15.75" customHeight="1">
      <c r="A1015" s="45">
        <v>92.0</v>
      </c>
      <c r="B1015" s="18" t="s">
        <v>550</v>
      </c>
      <c r="C1015" s="26" t="s">
        <v>7174</v>
      </c>
      <c r="D1015" s="18" t="s">
        <v>8477</v>
      </c>
      <c r="E1015" s="48" t="s">
        <v>617</v>
      </c>
      <c r="F1015" s="48" t="s">
        <v>7429</v>
      </c>
      <c r="G1015" s="49">
        <f t="array" ref="G1015">MAX(IF(INSTOCK!$H$3:$H$6125=B1015,INSTOCK!$K$3:$K$6125))</f>
        <v>1934.96</v>
      </c>
      <c r="H1015" s="50">
        <f t="array" ref="H1015">SUM(IF(INSTOCK!$H$3:$H$6125=B1015,INSTOCK!$I$3:$I$6125))</f>
        <v>5</v>
      </c>
      <c r="I1015" s="50" t="str">
        <f>ARRAY_CONSTRAIN(ARRAYFORMULA(SUM(IF([3]!Table13[ID]=B1015,[3]!Table13[QTY]))), 1, 1)</f>
        <v>#ERROR!</v>
      </c>
      <c r="J1015" s="50" t="str">
        <f>TABLEITEM!$H$3:$H$2749-TABLEITEM!$I$3:$I$2749</f>
        <v>#ERROR!</v>
      </c>
    </row>
    <row r="1016" ht="15.75" customHeight="1">
      <c r="A1016" s="45">
        <v>588.0</v>
      </c>
      <c r="B1016" s="18" t="s">
        <v>1377</v>
      </c>
      <c r="C1016" s="26" t="s">
        <v>7174</v>
      </c>
      <c r="D1016" s="18" t="s">
        <v>8478</v>
      </c>
      <c r="E1016" s="56" t="s">
        <v>617</v>
      </c>
      <c r="F1016" s="48" t="s">
        <v>7429</v>
      </c>
      <c r="G1016" s="49">
        <f t="array" ref="G1016">MAX(IF(INSTOCK!$H$3:$H$6125=B1016,INSTOCK!$K$3:$K$6125))</f>
        <v>101.64</v>
      </c>
      <c r="H1016" s="50">
        <f t="array" ref="H1016">SUM(IF(INSTOCK!$H$3:$H$6125=B1016,INSTOCK!$I$3:$I$6125))</f>
        <v>500</v>
      </c>
      <c r="I1016" s="50" t="str">
        <f>ARRAY_CONSTRAIN(ARRAYFORMULA(SUM(IF([3]!Table13[ID]=B1016,[3]!Table13[QTY]))), 1, 1)</f>
        <v>#ERROR!</v>
      </c>
      <c r="J1016" s="50" t="str">
        <f>TABLEITEM!$H$3:$H$2749-TABLEITEM!$I$3:$I$2749</f>
        <v>#ERROR!</v>
      </c>
    </row>
    <row r="1017" ht="15.75" customHeight="1">
      <c r="A1017" s="45">
        <v>107.0</v>
      </c>
      <c r="B1017" s="18" t="s">
        <v>565</v>
      </c>
      <c r="C1017" s="26" t="s">
        <v>7174</v>
      </c>
      <c r="D1017" s="18" t="s">
        <v>8479</v>
      </c>
      <c r="E1017" s="48" t="s">
        <v>617</v>
      </c>
      <c r="F1017" s="48" t="s">
        <v>7429</v>
      </c>
      <c r="G1017" s="49">
        <f t="array" ref="G1017">MAX(IF(INSTOCK!$H$3:$H$6125=B1017,INSTOCK!$K$3:$K$6125))</f>
        <v>2872.96</v>
      </c>
      <c r="H1017" s="50">
        <f t="array" ref="H1017">SUM(IF(INSTOCK!$H$3:$H$6125=B1017,INSTOCK!$I$3:$I$6125))</f>
        <v>50</v>
      </c>
      <c r="I1017" s="50" t="str">
        <f>ARRAY_CONSTRAIN(ARRAYFORMULA(SUM(IF([3]!Table13[ID]=B1017,[3]!Table13[QTY]))), 1, 1)</f>
        <v>#ERROR!</v>
      </c>
      <c r="J1017" s="50" t="str">
        <f>TABLEITEM!$H$3:$H$2749-TABLEITEM!$I$3:$I$2749</f>
        <v>#ERROR!</v>
      </c>
    </row>
    <row r="1018" ht="15.75" customHeight="1">
      <c r="A1018" s="45">
        <v>584.0</v>
      </c>
      <c r="B1018" s="18" t="s">
        <v>8480</v>
      </c>
      <c r="C1018" s="26" t="s">
        <v>7174</v>
      </c>
      <c r="D1018" s="10" t="s">
        <v>8481</v>
      </c>
      <c r="E1018" s="48" t="s">
        <v>617</v>
      </c>
      <c r="F1018" s="48" t="s">
        <v>7429</v>
      </c>
      <c r="G1018" s="49">
        <f t="array" ref="G1018">MAX(IF(INSTOCK!$H$3:$H$6125=B1018,INSTOCK!$K$3:$K$6125))</f>
        <v>0</v>
      </c>
      <c r="H1018" s="50">
        <f t="array" ref="H1018">SUM(IF(INSTOCK!$H$3:$H$6125=B1018,INSTOCK!$I$3:$I$6125))</f>
        <v>0</v>
      </c>
      <c r="I1018" s="50" t="str">
        <f>ARRAY_CONSTRAIN(ARRAYFORMULA(SUM(IF([3]!Table13[ID]=B1018,[3]!Table13[QTY]))), 1, 1)</f>
        <v>#ERROR!</v>
      </c>
      <c r="J1018" s="50" t="str">
        <f>TABLEITEM!$H$3:$H$2749-TABLEITEM!$I$3:$I$2749</f>
        <v>#ERROR!</v>
      </c>
    </row>
    <row r="1019" ht="15.75" customHeight="1">
      <c r="A1019" s="45">
        <v>106.0</v>
      </c>
      <c r="B1019" s="18" t="s">
        <v>564</v>
      </c>
      <c r="C1019" s="26" t="s">
        <v>7174</v>
      </c>
      <c r="D1019" s="18" t="s">
        <v>8482</v>
      </c>
      <c r="E1019" s="56" t="s">
        <v>617</v>
      </c>
      <c r="F1019" s="48" t="s">
        <v>7429</v>
      </c>
      <c r="G1019" s="49">
        <f t="array" ref="G1019">MAX(IF(INSTOCK!$H$3:$H$6125=B1019,INSTOCK!$K$3:$K$6125))</f>
        <v>2369.1</v>
      </c>
      <c r="H1019" s="50">
        <f t="array" ref="H1019">SUM(IF(INSTOCK!$H$3:$H$6125=B1019,INSTOCK!$I$3:$I$6125))</f>
        <v>280</v>
      </c>
      <c r="I1019" s="50" t="str">
        <f>ARRAY_CONSTRAIN(ARRAYFORMULA(SUM(IF([3]!Table13[ID]=B1019,[3]!Table13[QTY]))), 1, 1)</f>
        <v>#ERROR!</v>
      </c>
      <c r="J1019" s="50" t="str">
        <f>TABLEITEM!$H$3:$H$2749-TABLEITEM!$I$3:$I$2749</f>
        <v>#ERROR!</v>
      </c>
    </row>
    <row r="1020" ht="15.75" customHeight="1">
      <c r="A1020" s="45">
        <v>72.0</v>
      </c>
      <c r="B1020" s="18" t="s">
        <v>530</v>
      </c>
      <c r="C1020" s="26" t="s">
        <v>7174</v>
      </c>
      <c r="D1020" s="18" t="s">
        <v>8483</v>
      </c>
      <c r="E1020" s="56" t="s">
        <v>617</v>
      </c>
      <c r="F1020" s="48" t="s">
        <v>7429</v>
      </c>
      <c r="G1020" s="49">
        <f t="array" ref="G1020">MAX(IF(INSTOCK!$H$3:$H$6125=B1020,INSTOCK!$K$3:$K$6125))</f>
        <v>93.1</v>
      </c>
      <c r="H1020" s="50">
        <f t="array" ref="H1020">SUM(IF(INSTOCK!$H$3:$H$6125=B1020,INSTOCK!$I$3:$I$6125))</f>
        <v>120</v>
      </c>
      <c r="I1020" s="50" t="str">
        <f>ARRAY_CONSTRAIN(ARRAYFORMULA(SUM(IF([3]!Table13[ID]=B1020,[3]!Table13[QTY]))), 1, 1)</f>
        <v>#ERROR!</v>
      </c>
      <c r="J1020" s="50" t="str">
        <f>TABLEITEM!$H$3:$H$2749-TABLEITEM!$I$3:$I$2749</f>
        <v>#ERROR!</v>
      </c>
    </row>
    <row r="1021" ht="15.75" customHeight="1">
      <c r="A1021" s="45">
        <v>73.0</v>
      </c>
      <c r="B1021" s="18" t="s">
        <v>531</v>
      </c>
      <c r="C1021" s="26" t="s">
        <v>7174</v>
      </c>
      <c r="D1021" s="18" t="s">
        <v>8484</v>
      </c>
      <c r="E1021" s="56" t="s">
        <v>617</v>
      </c>
      <c r="F1021" s="48" t="s">
        <v>7429</v>
      </c>
      <c r="G1021" s="49">
        <f t="array" ref="G1021">MAX(IF(INSTOCK!$H$3:$H$6125=B1021,INSTOCK!$K$3:$K$6125))</f>
        <v>198.32</v>
      </c>
      <c r="H1021" s="50">
        <f t="array" ref="H1021">SUM(IF(INSTOCK!$H$3:$H$6125=B1021,INSTOCK!$I$3:$I$6125))</f>
        <v>95</v>
      </c>
      <c r="I1021" s="50" t="str">
        <f>ARRAY_CONSTRAIN(ARRAYFORMULA(SUM(IF([3]!Table13[ID]=B1021,[3]!Table13[QTY]))), 1, 1)</f>
        <v>#ERROR!</v>
      </c>
      <c r="J1021" s="50" t="str">
        <f>TABLEITEM!$H$3:$H$2749-TABLEITEM!$I$3:$I$2749</f>
        <v>#ERROR!</v>
      </c>
    </row>
    <row r="1022" ht="15.75" customHeight="1">
      <c r="A1022" s="45">
        <v>81.0</v>
      </c>
      <c r="B1022" s="18" t="s">
        <v>539</v>
      </c>
      <c r="C1022" s="26" t="s">
        <v>7174</v>
      </c>
      <c r="D1022" s="10" t="s">
        <v>8485</v>
      </c>
      <c r="E1022" s="48" t="s">
        <v>617</v>
      </c>
      <c r="F1022" s="48" t="s">
        <v>7429</v>
      </c>
      <c r="G1022" s="49">
        <f t="array" ref="G1022">MAX(IF(INSTOCK!$H$3:$H$6125=B1022,INSTOCK!$K$3:$K$6125))</f>
        <v>584.24</v>
      </c>
      <c r="H1022" s="50">
        <f t="array" ref="H1022">SUM(IF(INSTOCK!$H$3:$H$6125=B1022,INSTOCK!$I$3:$I$6125))</f>
        <v>90</v>
      </c>
      <c r="I1022" s="50" t="str">
        <f>ARRAY_CONSTRAIN(ARRAYFORMULA(SUM(IF([3]!Table13[ID]=B1022,[3]!Table13[QTY]))), 1, 1)</f>
        <v>#ERROR!</v>
      </c>
      <c r="J1022" s="50" t="str">
        <f>TABLEITEM!$H$3:$H$2749-TABLEITEM!$I$3:$I$2749</f>
        <v>#ERROR!</v>
      </c>
    </row>
    <row r="1023" ht="15.75" customHeight="1">
      <c r="A1023" s="45">
        <v>79.0</v>
      </c>
      <c r="B1023" s="18" t="s">
        <v>537</v>
      </c>
      <c r="C1023" s="26" t="s">
        <v>7174</v>
      </c>
      <c r="D1023" s="18" t="s">
        <v>8486</v>
      </c>
      <c r="E1023" s="48" t="s">
        <v>617</v>
      </c>
      <c r="F1023" s="48" t="s">
        <v>7429</v>
      </c>
      <c r="G1023" s="49">
        <f t="array" ref="G1023">MAX(IF(INSTOCK!$H$3:$H$6125=B1023,INSTOCK!$K$3:$K$6125))</f>
        <v>289.44</v>
      </c>
      <c r="H1023" s="50">
        <f t="array" ref="H1023">SUM(IF(INSTOCK!$H$3:$H$6125=B1023,INSTOCK!$I$3:$I$6125))</f>
        <v>35</v>
      </c>
      <c r="I1023" s="50" t="str">
        <f>ARRAY_CONSTRAIN(ARRAYFORMULA(SUM(IF([3]!Table13[ID]=B1023,[3]!Table13[QTY]))), 1, 1)</f>
        <v>#ERROR!</v>
      </c>
      <c r="J1023" s="50" t="str">
        <f>TABLEITEM!$H$3:$H$2749-TABLEITEM!$I$3:$I$2749</f>
        <v>#ERROR!</v>
      </c>
    </row>
    <row r="1024" ht="15.75" customHeight="1">
      <c r="A1024" s="45">
        <v>78.0</v>
      </c>
      <c r="B1024" s="18" t="s">
        <v>536</v>
      </c>
      <c r="C1024" s="26" t="s">
        <v>7174</v>
      </c>
      <c r="D1024" s="18" t="s">
        <v>8487</v>
      </c>
      <c r="E1024" s="48" t="s">
        <v>617</v>
      </c>
      <c r="F1024" s="48" t="s">
        <v>7429</v>
      </c>
      <c r="G1024" s="49">
        <f t="array" ref="G1024">MAX(IF(INSTOCK!$H$3:$H$6125=B1024,INSTOCK!$K$3:$K$6125))</f>
        <v>196.1</v>
      </c>
      <c r="H1024" s="50">
        <f t="array" ref="H1024">SUM(IF(INSTOCK!$H$3:$H$6125=B1024,INSTOCK!$I$3:$I$6125))</f>
        <v>170</v>
      </c>
      <c r="I1024" s="50" t="str">
        <f>ARRAY_CONSTRAIN(ARRAYFORMULA(SUM(IF([3]!Table13[ID]=B1024,[3]!Table13[QTY]))), 1, 1)</f>
        <v>#ERROR!</v>
      </c>
      <c r="J1024" s="50" t="str">
        <f>TABLEITEM!$H$3:$H$2749-TABLEITEM!$I$3:$I$2749</f>
        <v>#ERROR!</v>
      </c>
    </row>
    <row r="1025" ht="15.75" customHeight="1">
      <c r="A1025" s="45">
        <v>80.0</v>
      </c>
      <c r="B1025" s="10" t="s">
        <v>538</v>
      </c>
      <c r="C1025" s="26" t="s">
        <v>7174</v>
      </c>
      <c r="D1025" s="10" t="s">
        <v>8488</v>
      </c>
      <c r="E1025" s="48" t="s">
        <v>617</v>
      </c>
      <c r="F1025" s="48" t="s">
        <v>7429</v>
      </c>
      <c r="G1025" s="49">
        <f t="array" ref="G1025">MAX(IF(INSTOCK!$H$3:$H$6125=B1025,INSTOCK!$K$3:$K$6125))</f>
        <v>391.28</v>
      </c>
      <c r="H1025" s="50">
        <f t="array" ref="H1025">SUM(IF(INSTOCK!$H$3:$H$6125=B1025,INSTOCK!$I$3:$I$6125))</f>
        <v>10</v>
      </c>
      <c r="I1025" s="50" t="str">
        <f>ARRAY_CONSTRAIN(ARRAYFORMULA(SUM(IF([3]!Table13[ID]=B1025,[3]!Table13[QTY]))), 1, 1)</f>
        <v>#ERROR!</v>
      </c>
      <c r="J1025" s="50" t="str">
        <f>TABLEITEM!$H$3:$H$2749-TABLEITEM!$I$3:$I$2749</f>
        <v>#ERROR!</v>
      </c>
    </row>
    <row r="1026" ht="15.75" customHeight="1">
      <c r="A1026" s="45">
        <v>82.0</v>
      </c>
      <c r="B1026" s="18" t="s">
        <v>540</v>
      </c>
      <c r="C1026" s="26" t="s">
        <v>7174</v>
      </c>
      <c r="D1026" s="18" t="s">
        <v>8489</v>
      </c>
      <c r="E1026" s="48" t="s">
        <v>617</v>
      </c>
      <c r="F1026" s="48" t="s">
        <v>7429</v>
      </c>
      <c r="G1026" s="49">
        <f t="array" ref="G1026">MAX(IF(INSTOCK!$H$3:$H$6125=B1026,INSTOCK!$K$3:$K$6125))</f>
        <v>667</v>
      </c>
      <c r="H1026" s="50">
        <f t="array" ref="H1026">SUM(IF(INSTOCK!$H$3:$H$6125=B1026,INSTOCK!$I$3:$I$6125))</f>
        <v>45</v>
      </c>
      <c r="I1026" s="50" t="str">
        <f>ARRAY_CONSTRAIN(ARRAYFORMULA(SUM(IF([3]!Table13[ID]=B1026,[3]!Table13[QTY]))), 1, 1)</f>
        <v>#ERROR!</v>
      </c>
      <c r="J1026" s="50" t="str">
        <f>TABLEITEM!$H$3:$H$2749-TABLEITEM!$I$3:$I$2749</f>
        <v>#ERROR!</v>
      </c>
    </row>
    <row r="1027" ht="15.75" customHeight="1">
      <c r="A1027" s="45">
        <v>83.0</v>
      </c>
      <c r="B1027" s="18" t="s">
        <v>541</v>
      </c>
      <c r="C1027" s="26" t="s">
        <v>7174</v>
      </c>
      <c r="D1027" s="18" t="s">
        <v>8490</v>
      </c>
      <c r="E1027" s="56" t="s">
        <v>617</v>
      </c>
      <c r="F1027" s="48" t="s">
        <v>7429</v>
      </c>
      <c r="G1027" s="49">
        <f t="array" ref="G1027">MAX(IF(INSTOCK!$H$3:$H$6125=B1027,INSTOCK!$K$3:$K$6125))</f>
        <v>364.48</v>
      </c>
      <c r="H1027" s="50">
        <f t="array" ref="H1027">SUM(IF(INSTOCK!$H$3:$H$6125=B1027,INSTOCK!$I$3:$I$6125))</f>
        <v>5</v>
      </c>
      <c r="I1027" s="50" t="str">
        <f>ARRAY_CONSTRAIN(ARRAYFORMULA(SUM(IF([3]!Table13[ID]=B1027,[3]!Table13[QTY]))), 1, 1)</f>
        <v>#ERROR!</v>
      </c>
      <c r="J1027" s="50" t="str">
        <f>TABLEITEM!$H$3:$H$2749-TABLEITEM!$I$3:$I$2749</f>
        <v>#ERROR!</v>
      </c>
    </row>
    <row r="1028" ht="15.75" customHeight="1">
      <c r="A1028" s="45">
        <v>84.0</v>
      </c>
      <c r="B1028" s="18" t="s">
        <v>542</v>
      </c>
      <c r="C1028" s="26" t="s">
        <v>7174</v>
      </c>
      <c r="D1028" s="18" t="s">
        <v>8491</v>
      </c>
      <c r="E1028" s="56" t="s">
        <v>617</v>
      </c>
      <c r="F1028" s="48" t="s">
        <v>7429</v>
      </c>
      <c r="G1028" s="49">
        <f t="array" ref="G1028">MAX(IF(INSTOCK!$H$3:$H$6125=B1028,INSTOCK!$K$3:$K$6125))</f>
        <v>473.2</v>
      </c>
      <c r="H1028" s="50">
        <f t="array" ref="H1028">SUM(IF(INSTOCK!$H$3:$H$6125=B1028,INSTOCK!$I$3:$I$6125))</f>
        <v>70</v>
      </c>
      <c r="I1028" s="50" t="str">
        <f>ARRAY_CONSTRAIN(ARRAYFORMULA(SUM(IF([3]!Table13[ID]=B1028,[3]!Table13[QTY]))), 1, 1)</f>
        <v>#ERROR!</v>
      </c>
      <c r="J1028" s="50" t="str">
        <f>TABLEITEM!$H$3:$H$2749-TABLEITEM!$I$3:$I$2749</f>
        <v>#ERROR!</v>
      </c>
    </row>
    <row r="1029" ht="15.75" customHeight="1">
      <c r="A1029" s="45">
        <v>580.0</v>
      </c>
      <c r="B1029" s="18" t="s">
        <v>8492</v>
      </c>
      <c r="C1029" s="26" t="s">
        <v>7174</v>
      </c>
      <c r="D1029" s="18" t="s">
        <v>8493</v>
      </c>
      <c r="E1029" s="48" t="s">
        <v>617</v>
      </c>
      <c r="F1029" s="48" t="s">
        <v>7429</v>
      </c>
      <c r="G1029" s="49">
        <f t="array" ref="G1029">MAX(IF(INSTOCK!$H$3:$H$6125=B1029,INSTOCK!$K$3:$K$6125))</f>
        <v>0</v>
      </c>
      <c r="H1029" s="50">
        <f t="array" ref="H1029">SUM(IF(INSTOCK!$H$3:$H$6125=B1029,INSTOCK!$I$3:$I$6125))</f>
        <v>0</v>
      </c>
      <c r="I1029" s="50" t="str">
        <f>ARRAY_CONSTRAIN(ARRAYFORMULA(SUM(IF([3]!Table13[ID]=B1029,[3]!Table13[QTY]))), 1, 1)</f>
        <v>#ERROR!</v>
      </c>
      <c r="J1029" s="50" t="str">
        <f>TABLEITEM!$H$3:$H$2749-TABLEITEM!$I$3:$I$2749</f>
        <v>#ERROR!</v>
      </c>
    </row>
    <row r="1030" ht="15.75" customHeight="1">
      <c r="A1030" s="45">
        <v>85.0</v>
      </c>
      <c r="B1030" s="18" t="s">
        <v>543</v>
      </c>
      <c r="C1030" s="26" t="s">
        <v>7174</v>
      </c>
      <c r="D1030" s="18" t="s">
        <v>8494</v>
      </c>
      <c r="E1030" s="56" t="s">
        <v>617</v>
      </c>
      <c r="F1030" s="48" t="s">
        <v>7429</v>
      </c>
      <c r="G1030" s="49">
        <f t="array" ref="G1030">MAX(IF(INSTOCK!$H$3:$H$6125=B1030,INSTOCK!$K$3:$K$6125))</f>
        <v>435.78</v>
      </c>
      <c r="H1030" s="50">
        <f t="array" ref="H1030">SUM(IF(INSTOCK!$H$3:$H$6125=B1030,INSTOCK!$I$3:$I$6125))</f>
        <v>10</v>
      </c>
      <c r="I1030" s="50" t="str">
        <f>ARRAY_CONSTRAIN(ARRAYFORMULA(SUM(IF([3]!Table13[ID]=B1030,[3]!Table13[QTY]))), 1, 1)</f>
        <v>#ERROR!</v>
      </c>
      <c r="J1030" s="50" t="str">
        <f>TABLEITEM!$H$3:$H$2749-TABLEITEM!$I$3:$I$2749</f>
        <v>#ERROR!</v>
      </c>
    </row>
    <row r="1031" ht="15.75" customHeight="1">
      <c r="A1031" s="45">
        <v>86.0</v>
      </c>
      <c r="B1031" s="18" t="s">
        <v>544</v>
      </c>
      <c r="C1031" s="26" t="s">
        <v>7174</v>
      </c>
      <c r="D1031" s="18" t="s">
        <v>8495</v>
      </c>
      <c r="E1031" s="56" t="s">
        <v>617</v>
      </c>
      <c r="F1031" s="48" t="s">
        <v>7429</v>
      </c>
      <c r="G1031" s="49">
        <f t="array" ref="G1031">MAX(IF(INSTOCK!$H$3:$H$6125=B1031,INSTOCK!$K$3:$K$6125))</f>
        <v>1163.12</v>
      </c>
      <c r="H1031" s="50">
        <f t="array" ref="H1031">SUM(IF(INSTOCK!$H$3:$H$6125=B1031,INSTOCK!$I$3:$I$6125))</f>
        <v>35</v>
      </c>
      <c r="I1031" s="50" t="str">
        <f>ARRAY_CONSTRAIN(ARRAYFORMULA(SUM(IF([3]!Table13[ID]=B1031,[3]!Table13[QTY]))), 1, 1)</f>
        <v>#ERROR!</v>
      </c>
      <c r="J1031" s="50" t="str">
        <f>TABLEITEM!$H$3:$H$2749-TABLEITEM!$I$3:$I$2749</f>
        <v>#ERROR!</v>
      </c>
    </row>
    <row r="1032" ht="15.75" customHeight="1">
      <c r="A1032" s="45">
        <v>120.0</v>
      </c>
      <c r="B1032" s="18" t="s">
        <v>579</v>
      </c>
      <c r="C1032" s="26" t="s">
        <v>7174</v>
      </c>
      <c r="D1032" s="18" t="s">
        <v>8496</v>
      </c>
      <c r="E1032" s="48" t="s">
        <v>8101</v>
      </c>
      <c r="F1032" s="48" t="s">
        <v>7173</v>
      </c>
      <c r="G1032" s="49">
        <f t="array" ref="G1032">MAX(IF(INSTOCK!$H$3:$H$6125=B1032,INSTOCK!$K$3:$K$6125))</f>
        <v>0</v>
      </c>
      <c r="H1032" s="50">
        <f t="array" ref="H1032">SUM(IF(INSTOCK!$H$3:$H$6125=B1032,INSTOCK!$I$3:$I$6125))</f>
        <v>22</v>
      </c>
      <c r="I1032" s="50" t="str">
        <f>ARRAY_CONSTRAIN(ARRAYFORMULA(SUM(IF([3]!Table13[ID]=B1032,[3]!Table13[QTY]))), 1, 1)</f>
        <v>#ERROR!</v>
      </c>
      <c r="J1032" s="50" t="str">
        <f>TABLEITEM!$H$3:$H$2749-TABLEITEM!$I$3:$I$2749</f>
        <v>#ERROR!</v>
      </c>
    </row>
    <row r="1033" ht="15.75" customHeight="1">
      <c r="A1033" s="45">
        <v>121.0</v>
      </c>
      <c r="B1033" s="18" t="s">
        <v>580</v>
      </c>
      <c r="C1033" s="26" t="s">
        <v>7174</v>
      </c>
      <c r="D1033" s="18" t="s">
        <v>8497</v>
      </c>
      <c r="E1033" s="56" t="s">
        <v>8101</v>
      </c>
      <c r="F1033" s="57" t="s">
        <v>7173</v>
      </c>
      <c r="G1033" s="49">
        <f t="array" ref="G1033">MAX(IF(INSTOCK!$H$3:$H$6125=B1033,INSTOCK!$K$3:$K$6125))</f>
        <v>0</v>
      </c>
      <c r="H1033" s="50">
        <f t="array" ref="H1033">SUM(IF(INSTOCK!$H$3:$H$6125=B1033,INSTOCK!$I$3:$I$6125))</f>
        <v>10</v>
      </c>
      <c r="I1033" s="50" t="str">
        <f>ARRAY_CONSTRAIN(ARRAYFORMULA(SUM(IF([3]!Table13[ID]=B1033,[3]!Table13[QTY]))), 1, 1)</f>
        <v>#ERROR!</v>
      </c>
      <c r="J1033" s="50" t="str">
        <f>TABLEITEM!$H$3:$H$2749-TABLEITEM!$I$3:$I$2749</f>
        <v>#ERROR!</v>
      </c>
    </row>
    <row r="1034" ht="15.75" customHeight="1">
      <c r="A1034" s="45">
        <v>116.0</v>
      </c>
      <c r="B1034" s="18" t="s">
        <v>575</v>
      </c>
      <c r="C1034" s="26" t="s">
        <v>7174</v>
      </c>
      <c r="D1034" s="18" t="s">
        <v>8498</v>
      </c>
      <c r="E1034" s="56" t="s">
        <v>8101</v>
      </c>
      <c r="F1034" s="57" t="s">
        <v>7173</v>
      </c>
      <c r="G1034" s="49">
        <f t="array" ref="G1034">MAX(IF(INSTOCK!$H$3:$H$6125=B1034,INSTOCK!$K$3:$K$6125))</f>
        <v>0</v>
      </c>
      <c r="H1034" s="50">
        <f t="array" ref="H1034">SUM(IF(INSTOCK!$H$3:$H$6125=B1034,INSTOCK!$I$3:$I$6125))</f>
        <v>14</v>
      </c>
      <c r="I1034" s="50" t="str">
        <f>ARRAY_CONSTRAIN(ARRAYFORMULA(SUM(IF([3]!Table13[ID]=B1034,[3]!Table13[QTY]))), 1, 1)</f>
        <v>#ERROR!</v>
      </c>
      <c r="J1034" s="50" t="str">
        <f>TABLEITEM!$H$3:$H$2749-TABLEITEM!$I$3:$I$2749</f>
        <v>#ERROR!</v>
      </c>
    </row>
    <row r="1035" ht="15.75" customHeight="1">
      <c r="A1035" s="45">
        <v>117.0</v>
      </c>
      <c r="B1035" s="18" t="s">
        <v>576</v>
      </c>
      <c r="C1035" s="26" t="s">
        <v>7174</v>
      </c>
      <c r="D1035" s="10" t="s">
        <v>8499</v>
      </c>
      <c r="E1035" s="56" t="s">
        <v>8101</v>
      </c>
      <c r="F1035" s="57" t="s">
        <v>7173</v>
      </c>
      <c r="G1035" s="49">
        <f t="array" ref="G1035">MAX(IF(INSTOCK!$H$3:$H$6125=B1035,INSTOCK!$K$3:$K$6125))</f>
        <v>0</v>
      </c>
      <c r="H1035" s="50">
        <f t="array" ref="H1035">SUM(IF(INSTOCK!$H$3:$H$6125=B1035,INSTOCK!$I$3:$I$6125))</f>
        <v>14</v>
      </c>
      <c r="I1035" s="50" t="str">
        <f>ARRAY_CONSTRAIN(ARRAYFORMULA(SUM(IF([3]!Table13[ID]=B1035,[3]!Table13[QTY]))), 1, 1)</f>
        <v>#ERROR!</v>
      </c>
      <c r="J1035" s="50" t="str">
        <f>TABLEITEM!$H$3:$H$2749-TABLEITEM!$I$3:$I$2749</f>
        <v>#ERROR!</v>
      </c>
    </row>
    <row r="1036" ht="15.75" customHeight="1">
      <c r="A1036" s="45">
        <v>118.0</v>
      </c>
      <c r="B1036" s="18" t="s">
        <v>577</v>
      </c>
      <c r="C1036" s="26" t="s">
        <v>7174</v>
      </c>
      <c r="D1036" s="18" t="s">
        <v>8500</v>
      </c>
      <c r="E1036" s="48" t="s">
        <v>8101</v>
      </c>
      <c r="F1036" s="57" t="s">
        <v>7173</v>
      </c>
      <c r="G1036" s="49">
        <f t="array" ref="G1036">MAX(IF(INSTOCK!$H$3:$H$6125=B1036,INSTOCK!$K$3:$K$6125))</f>
        <v>0</v>
      </c>
      <c r="H1036" s="50">
        <f t="array" ref="H1036">SUM(IF(INSTOCK!$H$3:$H$6125=B1036,INSTOCK!$I$3:$I$6125))</f>
        <v>36</v>
      </c>
      <c r="I1036" s="50" t="str">
        <f>ARRAY_CONSTRAIN(ARRAYFORMULA(SUM(IF([3]!Table13[ID]=B1036,[3]!Table13[QTY]))), 1, 1)</f>
        <v>#ERROR!</v>
      </c>
      <c r="J1036" s="50" t="str">
        <f>TABLEITEM!$H$3:$H$2749-TABLEITEM!$I$3:$I$2749</f>
        <v>#ERROR!</v>
      </c>
    </row>
    <row r="1037" ht="15.75" customHeight="1">
      <c r="A1037" s="45">
        <v>119.0</v>
      </c>
      <c r="B1037" s="18" t="s">
        <v>578</v>
      </c>
      <c r="C1037" s="26" t="s">
        <v>7174</v>
      </c>
      <c r="D1037" s="18" t="s">
        <v>8501</v>
      </c>
      <c r="E1037" s="56" t="s">
        <v>8101</v>
      </c>
      <c r="F1037" s="57" t="s">
        <v>7173</v>
      </c>
      <c r="G1037" s="49">
        <f t="array" ref="G1037">MAX(IF(INSTOCK!$H$3:$H$6125=B1037,INSTOCK!$K$3:$K$6125))</f>
        <v>0</v>
      </c>
      <c r="H1037" s="50">
        <f t="array" ref="H1037">SUM(IF(INSTOCK!$H$3:$H$6125=B1037,INSTOCK!$I$3:$I$6125))</f>
        <v>18</v>
      </c>
      <c r="I1037" s="50" t="str">
        <f>ARRAY_CONSTRAIN(ARRAYFORMULA(SUM(IF([3]!Table13[ID]=B1037,[3]!Table13[QTY]))), 1, 1)</f>
        <v>#ERROR!</v>
      </c>
      <c r="J1037" s="50" t="str">
        <f>TABLEITEM!$H$3:$H$2749-TABLEITEM!$I$3:$I$2749</f>
        <v>#ERROR!</v>
      </c>
    </row>
    <row r="1038" ht="15.75" customHeight="1">
      <c r="A1038" s="45">
        <v>122.0</v>
      </c>
      <c r="B1038" s="18" t="s">
        <v>581</v>
      </c>
      <c r="C1038" s="26" t="s">
        <v>7174</v>
      </c>
      <c r="D1038" s="18" t="s">
        <v>8502</v>
      </c>
      <c r="E1038" s="56" t="s">
        <v>8101</v>
      </c>
      <c r="F1038" s="57" t="s">
        <v>7173</v>
      </c>
      <c r="G1038" s="49">
        <f t="array" ref="G1038">MAX(IF(INSTOCK!$H$3:$H$6125=B1038,INSTOCK!$K$3:$K$6125))</f>
        <v>0</v>
      </c>
      <c r="H1038" s="50">
        <f t="array" ref="H1038">SUM(IF(INSTOCK!$H$3:$H$6125=B1038,INSTOCK!$I$3:$I$6125))</f>
        <v>21</v>
      </c>
      <c r="I1038" s="50" t="str">
        <f>ARRAY_CONSTRAIN(ARRAYFORMULA(SUM(IF([3]!Table13[ID]=B1038,[3]!Table13[QTY]))), 1, 1)</f>
        <v>#ERROR!</v>
      </c>
      <c r="J1038" s="50" t="str">
        <f>TABLEITEM!$H$3:$H$2749-TABLEITEM!$I$3:$I$2749</f>
        <v>#ERROR!</v>
      </c>
    </row>
    <row r="1039" ht="15.75" customHeight="1">
      <c r="A1039" s="45">
        <v>123.0</v>
      </c>
      <c r="B1039" s="18" t="s">
        <v>582</v>
      </c>
      <c r="C1039" s="26" t="s">
        <v>7174</v>
      </c>
      <c r="D1039" s="18" t="s">
        <v>8503</v>
      </c>
      <c r="E1039" s="56" t="s">
        <v>8101</v>
      </c>
      <c r="F1039" s="57" t="s">
        <v>7173</v>
      </c>
      <c r="G1039" s="49">
        <f t="array" ref="G1039">MAX(IF(INSTOCK!$H$3:$H$6125=B1039,INSTOCK!$K$3:$K$6125))</f>
        <v>0</v>
      </c>
      <c r="H1039" s="50">
        <f t="array" ref="H1039">SUM(IF(INSTOCK!$H$3:$H$6125=B1039,INSTOCK!$I$3:$I$6125))</f>
        <v>11</v>
      </c>
      <c r="I1039" s="50" t="str">
        <f>ARRAY_CONSTRAIN(ARRAYFORMULA(SUM(IF([3]!Table13[ID]=B1039,[3]!Table13[QTY]))), 1, 1)</f>
        <v>#ERROR!</v>
      </c>
      <c r="J1039" s="50" t="str">
        <f>TABLEITEM!$H$3:$H$2749-TABLEITEM!$I$3:$I$2749</f>
        <v>#ERROR!</v>
      </c>
    </row>
    <row r="1040" ht="15.75" customHeight="1">
      <c r="A1040" s="45">
        <v>114.0</v>
      </c>
      <c r="B1040" s="18" t="s">
        <v>573</v>
      </c>
      <c r="C1040" s="26" t="s">
        <v>7174</v>
      </c>
      <c r="D1040" s="18" t="s">
        <v>8504</v>
      </c>
      <c r="E1040" s="56" t="s">
        <v>8101</v>
      </c>
      <c r="F1040" s="57" t="s">
        <v>7173</v>
      </c>
      <c r="G1040" s="49">
        <f t="array" ref="G1040">MAX(IF(INSTOCK!$H$3:$H$6125=B1040,INSTOCK!$K$3:$K$6125))</f>
        <v>0</v>
      </c>
      <c r="H1040" s="50">
        <f t="array" ref="H1040">SUM(IF(INSTOCK!$H$3:$H$6125=B1040,INSTOCK!$I$3:$I$6125))</f>
        <v>514</v>
      </c>
      <c r="I1040" s="50" t="str">
        <f>ARRAY_CONSTRAIN(ARRAYFORMULA(SUM(IF([3]!Table13[ID]=B1040,[3]!Table13[QTY]))), 1, 1)</f>
        <v>#ERROR!</v>
      </c>
      <c r="J1040" s="50" t="str">
        <f>TABLEITEM!$H$3:$H$2749-TABLEITEM!$I$3:$I$2749</f>
        <v>#ERROR!</v>
      </c>
    </row>
    <row r="1041" ht="15.75" customHeight="1">
      <c r="A1041" s="45">
        <v>115.0</v>
      </c>
      <c r="B1041" s="18" t="s">
        <v>574</v>
      </c>
      <c r="C1041" s="26" t="s">
        <v>7174</v>
      </c>
      <c r="D1041" s="18" t="s">
        <v>8505</v>
      </c>
      <c r="E1041" s="56" t="s">
        <v>8101</v>
      </c>
      <c r="F1041" s="57" t="s">
        <v>7173</v>
      </c>
      <c r="G1041" s="49">
        <f t="array" ref="G1041">MAX(IF(INSTOCK!$H$3:$H$6125=B1041,INSTOCK!$K$3:$K$6125))</f>
        <v>0</v>
      </c>
      <c r="H1041" s="50">
        <f t="array" ref="H1041">SUM(IF(INSTOCK!$H$3:$H$6125=B1041,INSTOCK!$I$3:$I$6125))</f>
        <v>209</v>
      </c>
      <c r="I1041" s="50" t="str">
        <f>ARRAY_CONSTRAIN(ARRAYFORMULA(SUM(IF([3]!Table13[ID]=B1041,[3]!Table13[QTY]))), 1, 1)</f>
        <v>#ERROR!</v>
      </c>
      <c r="J1041" s="50" t="str">
        <f>TABLEITEM!$H$3:$H$2749-TABLEITEM!$I$3:$I$2749</f>
        <v>#ERROR!</v>
      </c>
    </row>
    <row r="1042" ht="15.75" customHeight="1">
      <c r="A1042" s="45">
        <v>112.0</v>
      </c>
      <c r="B1042" s="18" t="s">
        <v>571</v>
      </c>
      <c r="C1042" s="26" t="s">
        <v>7174</v>
      </c>
      <c r="D1042" s="18" t="s">
        <v>8506</v>
      </c>
      <c r="E1042" s="56" t="s">
        <v>8101</v>
      </c>
      <c r="F1042" s="57" t="s">
        <v>7173</v>
      </c>
      <c r="G1042" s="49">
        <f t="array" ref="G1042">MAX(IF(INSTOCK!$H$3:$H$6125=B1042,INSTOCK!$K$3:$K$6125))</f>
        <v>0</v>
      </c>
      <c r="H1042" s="50">
        <f t="array" ref="H1042">SUM(IF(INSTOCK!$H$3:$H$6125=B1042,INSTOCK!$I$3:$I$6125))</f>
        <v>446</v>
      </c>
      <c r="I1042" s="50" t="str">
        <f>ARRAY_CONSTRAIN(ARRAYFORMULA(SUM(IF([3]!Table13[ID]=B1042,[3]!Table13[QTY]))), 1, 1)</f>
        <v>#ERROR!</v>
      </c>
      <c r="J1042" s="50" t="str">
        <f>TABLEITEM!$H$3:$H$2749-TABLEITEM!$I$3:$I$2749</f>
        <v>#ERROR!</v>
      </c>
    </row>
    <row r="1043" ht="15.75" customHeight="1">
      <c r="A1043" s="45">
        <v>113.0</v>
      </c>
      <c r="B1043" s="18" t="s">
        <v>572</v>
      </c>
      <c r="C1043" s="26" t="s">
        <v>7174</v>
      </c>
      <c r="D1043" s="18" t="s">
        <v>8507</v>
      </c>
      <c r="E1043" s="56" t="s">
        <v>8101</v>
      </c>
      <c r="F1043" s="57" t="s">
        <v>7173</v>
      </c>
      <c r="G1043" s="49">
        <f t="array" ref="G1043">MAX(IF(INSTOCK!$H$3:$H$6125=B1043,INSTOCK!$K$3:$K$6125))</f>
        <v>0</v>
      </c>
      <c r="H1043" s="50">
        <f t="array" ref="H1043">SUM(IF(INSTOCK!$H$3:$H$6125=B1043,INSTOCK!$I$3:$I$6125))</f>
        <v>217</v>
      </c>
      <c r="I1043" s="50" t="str">
        <f>ARRAY_CONSTRAIN(ARRAYFORMULA(SUM(IF([3]!Table13[ID]=B1043,[3]!Table13[QTY]))), 1, 1)</f>
        <v>#ERROR!</v>
      </c>
      <c r="J1043" s="50" t="str">
        <f>TABLEITEM!$H$3:$H$2749-TABLEITEM!$I$3:$I$2749</f>
        <v>#ERROR!</v>
      </c>
    </row>
    <row r="1044" ht="15.75" customHeight="1">
      <c r="A1044" s="45"/>
      <c r="B1044" s="18" t="s">
        <v>3249</v>
      </c>
      <c r="C1044" s="26"/>
      <c r="D1044" s="18" t="s">
        <v>8508</v>
      </c>
      <c r="E1044" s="56"/>
      <c r="F1044" s="57" t="s">
        <v>7173</v>
      </c>
      <c r="G1044" s="49">
        <f t="array" ref="G1044">MAX(IF(INSTOCK!$H$3:$H$6125=B1044,INSTOCK!$K$3:$K$6125))</f>
        <v>600</v>
      </c>
      <c r="H1044" s="50">
        <f t="array" ref="H1044">SUM(IF(INSTOCK!$H$3:$H$6125=B1044,INSTOCK!$I$3:$I$6125))</f>
        <v>1</v>
      </c>
      <c r="I1044" s="50" t="str">
        <f>ARRAY_CONSTRAIN(ARRAYFORMULA(SUM(IF([3]!Table13[ID]=B1044,[3]!Table13[QTY]))), 1, 1)</f>
        <v>#ERROR!</v>
      </c>
      <c r="J1044" s="50" t="str">
        <f>TABLEITEM!$H$3:$H$2749-TABLEITEM!$I$3:$I$2749</f>
        <v>#ERROR!</v>
      </c>
    </row>
    <row r="1045" ht="15.75" customHeight="1">
      <c r="A1045" s="45"/>
      <c r="B1045" s="18" t="s">
        <v>1881</v>
      </c>
      <c r="C1045" s="26"/>
      <c r="D1045" s="18" t="s">
        <v>8509</v>
      </c>
      <c r="E1045" s="56"/>
      <c r="F1045" s="57" t="s">
        <v>7173</v>
      </c>
      <c r="G1045" s="49">
        <f t="array" ref="G1045">MAX(IF(INSTOCK!$H$3:$H$6125=B1045,INSTOCK!$K$3:$K$6125))</f>
        <v>8</v>
      </c>
      <c r="H1045" s="50">
        <f t="array" ref="H1045">SUM(IF(INSTOCK!$H$3:$H$6125=B1045,INSTOCK!$I$3:$I$6125))</f>
        <v>58</v>
      </c>
      <c r="I1045" s="50" t="str">
        <f>ARRAY_CONSTRAIN(ARRAYFORMULA(SUM(IF([3]!Table13[ID]=B1045,[3]!Table13[QTY]))), 1, 1)</f>
        <v>#ERROR!</v>
      </c>
      <c r="J1045" s="50" t="str">
        <f>TABLEITEM!$H$3:$H$2749-TABLEITEM!$I$3:$I$2749</f>
        <v>#ERROR!</v>
      </c>
    </row>
    <row r="1046" ht="15.75" customHeight="1">
      <c r="A1046" s="45"/>
      <c r="B1046" s="18" t="s">
        <v>2293</v>
      </c>
      <c r="C1046" s="26"/>
      <c r="D1046" s="18" t="s">
        <v>8510</v>
      </c>
      <c r="E1046" s="56" t="s">
        <v>2295</v>
      </c>
      <c r="F1046" s="48" t="s">
        <v>7173</v>
      </c>
      <c r="G1046" s="49">
        <f t="array" ref="G1046">MAX(IF(INSTOCK!$H$3:$H$6125=B1046,INSTOCK!$K$3:$K$6125))</f>
        <v>7480</v>
      </c>
      <c r="H1046" s="50">
        <f t="array" ref="H1046">SUM(IF(INSTOCK!$H$3:$H$6125=B1046,INSTOCK!$I$3:$I$6125))</f>
        <v>2</v>
      </c>
      <c r="I1046" s="50" t="str">
        <f>ARRAY_CONSTRAIN(ARRAYFORMULA(SUM(IF([3]!Table13[ID]=B1046,[3]!Table13[QTY]))), 1, 1)</f>
        <v>#ERROR!</v>
      </c>
      <c r="J1046" s="50" t="str">
        <f>TABLEITEM!$H$3:$H$2749-TABLEITEM!$I$3:$I$2749</f>
        <v>#ERROR!</v>
      </c>
    </row>
    <row r="1047" ht="15.75" customHeight="1">
      <c r="A1047" s="45"/>
      <c r="B1047" s="18" t="s">
        <v>1543</v>
      </c>
      <c r="C1047" s="26"/>
      <c r="D1047" s="18" t="s">
        <v>8511</v>
      </c>
      <c r="E1047" s="56" t="s">
        <v>8512</v>
      </c>
      <c r="F1047" s="57" t="s">
        <v>7173</v>
      </c>
      <c r="G1047" s="49">
        <f t="array" ref="G1047">MAX(IF(INSTOCK!$H$3:$H$6125=B1047,INSTOCK!$K$3:$K$6125))</f>
        <v>55</v>
      </c>
      <c r="H1047" s="50">
        <f t="array" ref="H1047">SUM(IF(INSTOCK!$H$3:$H$6125=B1047,INSTOCK!$I$3:$I$6125))</f>
        <v>68</v>
      </c>
      <c r="I1047" s="50" t="str">
        <f>ARRAY_CONSTRAIN(ARRAYFORMULA(SUM(IF([3]!Table13[ID]=B1047,[3]!Table13[QTY]))), 1, 1)</f>
        <v>#ERROR!</v>
      </c>
      <c r="J1047" s="50" t="str">
        <f>TABLEITEM!$H$3:$H$2749-TABLEITEM!$I$3:$I$2749</f>
        <v>#ERROR!</v>
      </c>
    </row>
    <row r="1048" ht="15.75" customHeight="1">
      <c r="A1048" s="45"/>
      <c r="B1048" s="18" t="s">
        <v>809</v>
      </c>
      <c r="C1048" s="26"/>
      <c r="D1048" s="18" t="s">
        <v>810</v>
      </c>
      <c r="E1048" s="56" t="s">
        <v>7196</v>
      </c>
      <c r="F1048" s="57" t="s">
        <v>7197</v>
      </c>
      <c r="G1048" s="49">
        <f t="array" ref="G1048">MAX(IF(INSTOCK!$H$3:$H$6125=B1048,INSTOCK!$K$3:$K$6125))</f>
        <v>2700</v>
      </c>
      <c r="H1048" s="50">
        <f t="array" ref="H1048">SUM(IF(INSTOCK!$H$3:$H$6125=B1048,INSTOCK!$I$3:$I$6125))</f>
        <v>95</v>
      </c>
      <c r="I1048" s="50" t="str">
        <f>ARRAY_CONSTRAIN(ARRAYFORMULA(SUM(IF([3]!Table13[ID]=B1048,[3]!Table13[QTY]))), 1, 1)</f>
        <v>#ERROR!</v>
      </c>
      <c r="J1048" s="50" t="str">
        <f>TABLEITEM!$H$3:$H$2749-TABLEITEM!$I$3:$I$2749</f>
        <v>#ERROR!</v>
      </c>
    </row>
    <row r="1049" ht="15.75" customHeight="1">
      <c r="A1049" s="45"/>
      <c r="B1049" s="18" t="s">
        <v>1957</v>
      </c>
      <c r="C1049" s="26"/>
      <c r="D1049" s="18" t="s">
        <v>8513</v>
      </c>
      <c r="E1049" s="56" t="s">
        <v>7196</v>
      </c>
      <c r="F1049" s="57" t="s">
        <v>7173</v>
      </c>
      <c r="G1049" s="49">
        <f t="array" ref="G1049">MAX(IF(INSTOCK!$H$3:$H$6125=B1049,INSTOCK!$K$3:$K$6125))</f>
        <v>180</v>
      </c>
      <c r="H1049" s="50">
        <f t="array" ref="H1049">SUM(IF(INSTOCK!$H$3:$H$6125=B1049,INSTOCK!$I$3:$I$6125))</f>
        <v>3</v>
      </c>
      <c r="I1049" s="50" t="str">
        <f>ARRAY_CONSTRAIN(ARRAYFORMULA(SUM(IF([3]!Table13[ID]=B1049,[3]!Table13[QTY]))), 1, 1)</f>
        <v>#ERROR!</v>
      </c>
      <c r="J1049" s="50" t="str">
        <f>TABLEITEM!$H$3:$H$2749-TABLEITEM!$I$3:$I$2749</f>
        <v>#ERROR!</v>
      </c>
    </row>
    <row r="1050" ht="15.75" customHeight="1">
      <c r="A1050" s="45"/>
      <c r="B1050" s="18" t="s">
        <v>3247</v>
      </c>
      <c r="C1050" s="26"/>
      <c r="D1050" s="18" t="s">
        <v>8514</v>
      </c>
      <c r="E1050" s="56"/>
      <c r="F1050" s="57" t="s">
        <v>7173</v>
      </c>
      <c r="G1050" s="49">
        <f t="array" ref="G1050">MAX(IF(INSTOCK!$H$3:$H$6125=B1050,INSTOCK!$K$3:$K$6125))</f>
        <v>156</v>
      </c>
      <c r="H1050" s="50">
        <f t="array" ref="H1050">SUM(IF(INSTOCK!$H$3:$H$6125=B1050,INSTOCK!$I$3:$I$6125))</f>
        <v>2</v>
      </c>
      <c r="I1050" s="50" t="str">
        <f>ARRAY_CONSTRAIN(ARRAYFORMULA(SUM(IF([3]!Table13[ID]=B1050,[3]!Table13[QTY]))), 1, 1)</f>
        <v>#ERROR!</v>
      </c>
      <c r="J1050" s="50" t="str">
        <f>TABLEITEM!$H$3:$H$2749-TABLEITEM!$I$3:$I$2749</f>
        <v>#ERROR!</v>
      </c>
    </row>
    <row r="1051" ht="15.75" customHeight="1">
      <c r="A1051" s="45">
        <v>160.0</v>
      </c>
      <c r="B1051" s="18" t="s">
        <v>41</v>
      </c>
      <c r="C1051" s="26"/>
      <c r="D1051" s="18" t="s">
        <v>8515</v>
      </c>
      <c r="E1051" s="56" t="s">
        <v>8516</v>
      </c>
      <c r="F1051" s="57" t="s">
        <v>7445</v>
      </c>
      <c r="G1051" s="49">
        <f t="array" ref="G1051">MAX(IF(INSTOCK!$H$3:$H$6125=B1051,INSTOCK!$K$3:$K$6125))</f>
        <v>120</v>
      </c>
      <c r="H1051" s="50">
        <f t="array" ref="H1051">SUM(IF(INSTOCK!$H$3:$H$6125=B1051,INSTOCK!$I$3:$I$6125))</f>
        <v>2</v>
      </c>
      <c r="I1051" s="50" t="str">
        <f>ARRAY_CONSTRAIN(ARRAYFORMULA(SUM(IF([3]!Table13[ID]=B1051,[3]!Table13[QTY]))), 1, 1)</f>
        <v>#ERROR!</v>
      </c>
      <c r="J1051" s="50" t="str">
        <f>TABLEITEM!$H$3:$H$2749-TABLEITEM!$I$3:$I$2749</f>
        <v>#ERROR!</v>
      </c>
    </row>
    <row r="1052" ht="15.75" customHeight="1">
      <c r="A1052" s="45"/>
      <c r="B1052" s="18" t="s">
        <v>2983</v>
      </c>
      <c r="C1052" s="26"/>
      <c r="D1052" s="18" t="s">
        <v>8517</v>
      </c>
      <c r="E1052" s="56"/>
      <c r="F1052" s="57" t="s">
        <v>7445</v>
      </c>
      <c r="G1052" s="49">
        <f t="array" ref="G1052">MAX(IF(INSTOCK!$H$3:$H$6125=B1052,INSTOCK!$K$3:$K$6125))</f>
        <v>27.94</v>
      </c>
      <c r="H1052" s="50">
        <f t="array" ref="H1052">SUM(IF(INSTOCK!$H$3:$H$6125=B1052,INSTOCK!$I$3:$I$6125))</f>
        <v>35.79</v>
      </c>
      <c r="I1052" s="50" t="str">
        <f>ARRAY_CONSTRAIN(ARRAYFORMULA(SUM(IF([3]!Table13[ID]=B1052,[3]!Table13[QTY]))), 1, 1)</f>
        <v>#ERROR!</v>
      </c>
      <c r="J1052" s="50" t="str">
        <f>TABLEITEM!$H$3:$H$2749-TABLEITEM!$I$3:$I$2749</f>
        <v>#ERROR!</v>
      </c>
    </row>
    <row r="1053" ht="15.75" customHeight="1">
      <c r="A1053" s="45"/>
      <c r="B1053" s="18" t="s">
        <v>3198</v>
      </c>
      <c r="C1053" s="26"/>
      <c r="D1053" s="18" t="s">
        <v>8518</v>
      </c>
      <c r="E1053" s="56"/>
      <c r="F1053" s="48" t="s">
        <v>7173</v>
      </c>
      <c r="G1053" s="49">
        <f t="array" ref="G1053">MAX(IF(INSTOCK!$H$3:$H$6125=B1053,INSTOCK!$K$3:$K$6125))</f>
        <v>10</v>
      </c>
      <c r="H1053" s="50">
        <f t="array" ref="H1053">SUM(IF(INSTOCK!$H$3:$H$6125=B1053,INSTOCK!$I$3:$I$6125))</f>
        <v>33</v>
      </c>
      <c r="I1053" s="50" t="str">
        <f>ARRAY_CONSTRAIN(ARRAYFORMULA(SUM(IF([3]!Table13[ID]=B1053,[3]!Table13[QTY]))), 1, 1)</f>
        <v>#ERROR!</v>
      </c>
      <c r="J1053" s="50" t="str">
        <f>TABLEITEM!$H$3:$H$2749-TABLEITEM!$I$3:$I$2749</f>
        <v>#ERROR!</v>
      </c>
    </row>
    <row r="1054" ht="15.75" customHeight="1">
      <c r="A1054" s="45">
        <v>174.0</v>
      </c>
      <c r="B1054" s="18" t="s">
        <v>55</v>
      </c>
      <c r="C1054" s="26"/>
      <c r="D1054" s="18" t="s">
        <v>8519</v>
      </c>
      <c r="E1054" s="56" t="s">
        <v>8520</v>
      </c>
      <c r="F1054" s="57" t="s">
        <v>7173</v>
      </c>
      <c r="G1054" s="49">
        <f t="array" ref="G1054">MAX(IF(INSTOCK!$H$3:$H$6125=B1054,INSTOCK!$K$3:$K$6125))</f>
        <v>35.04</v>
      </c>
      <c r="H1054" s="50">
        <f t="array" ref="H1054">SUM(IF(INSTOCK!$H$3:$H$6125=B1054,INSTOCK!$I$3:$I$6125))</f>
        <v>783</v>
      </c>
      <c r="I1054" s="50" t="str">
        <f>ARRAY_CONSTRAIN(ARRAYFORMULA(SUM(IF([3]!Table13[ID]=B1054,[3]!Table13[QTY]))), 1, 1)</f>
        <v>#ERROR!</v>
      </c>
      <c r="J1054" s="50" t="str">
        <f>TABLEITEM!$H$3:$H$2749-TABLEITEM!$I$3:$I$2749</f>
        <v>#ERROR!</v>
      </c>
    </row>
    <row r="1055" ht="15.75" customHeight="1">
      <c r="A1055" s="45">
        <v>175.0</v>
      </c>
      <c r="B1055" s="18" t="s">
        <v>56</v>
      </c>
      <c r="C1055" s="26"/>
      <c r="D1055" s="18" t="s">
        <v>8521</v>
      </c>
      <c r="E1055" s="56" t="s">
        <v>7606</v>
      </c>
      <c r="F1055" s="57" t="s">
        <v>7173</v>
      </c>
      <c r="G1055" s="49">
        <f t="array" ref="G1055">MAX(IF(INSTOCK!$H$3:$H$6125=B1055,INSTOCK!$K$3:$K$6125))</f>
        <v>10</v>
      </c>
      <c r="H1055" s="50">
        <f t="array" ref="H1055">SUM(IF(INSTOCK!$H$3:$H$6125=B1055,INSTOCK!$I$3:$I$6125))</f>
        <v>63</v>
      </c>
      <c r="I1055" s="50" t="str">
        <f>ARRAY_CONSTRAIN(ARRAYFORMULA(SUM(IF([3]!Table13[ID]=B1055,[3]!Table13[QTY]))), 1, 1)</f>
        <v>#ERROR!</v>
      </c>
      <c r="J1055" s="50" t="str">
        <f>TABLEITEM!$H$3:$H$2749-TABLEITEM!$I$3:$I$2749</f>
        <v>#ERROR!</v>
      </c>
    </row>
    <row r="1056" ht="15.75" customHeight="1">
      <c r="A1056" s="45"/>
      <c r="B1056" s="18" t="s">
        <v>2153</v>
      </c>
      <c r="C1056" s="26"/>
      <c r="D1056" s="18" t="s">
        <v>8522</v>
      </c>
      <c r="E1056" s="56"/>
      <c r="F1056" s="48" t="s">
        <v>7173</v>
      </c>
      <c r="G1056" s="49">
        <f t="array" ref="G1056">MAX(IF(INSTOCK!$H$3:$H$6125=B1056,INSTOCK!$K$3:$K$6125))</f>
        <v>8</v>
      </c>
      <c r="H1056" s="50">
        <f t="array" ref="H1056">SUM(IF(INSTOCK!$H$3:$H$6125=B1056,INSTOCK!$I$3:$I$6125))</f>
        <v>70</v>
      </c>
      <c r="I1056" s="50" t="str">
        <f>ARRAY_CONSTRAIN(ARRAYFORMULA(SUM(IF([3]!Table13[ID]=B1056,[3]!Table13[QTY]))), 1, 1)</f>
        <v>#ERROR!</v>
      </c>
      <c r="J1056" s="50" t="str">
        <f>TABLEITEM!$H$3:$H$2749-TABLEITEM!$I$3:$I$2749</f>
        <v>#ERROR!</v>
      </c>
    </row>
    <row r="1057" ht="15.75" customHeight="1">
      <c r="A1057" s="45">
        <v>176.0</v>
      </c>
      <c r="B1057" s="18" t="s">
        <v>57</v>
      </c>
      <c r="C1057" s="26"/>
      <c r="D1057" s="18" t="s">
        <v>8522</v>
      </c>
      <c r="E1057" s="56" t="s">
        <v>7193</v>
      </c>
      <c r="F1057" s="57" t="s">
        <v>7173</v>
      </c>
      <c r="G1057" s="49">
        <f t="array" ref="G1057">MAX(IF(INSTOCK!$H$3:$H$6125=B1057,INSTOCK!$K$3:$K$6125))</f>
        <v>10</v>
      </c>
      <c r="H1057" s="50">
        <f t="array" ref="H1057">SUM(IF(INSTOCK!$H$3:$H$6125=B1057,INSTOCK!$I$3:$I$6125))</f>
        <v>27</v>
      </c>
      <c r="I1057" s="50" t="str">
        <f>ARRAY_CONSTRAIN(ARRAYFORMULA(SUM(IF([3]!Table13[ID]=B1057,[3]!Table13[QTY]))), 1, 1)</f>
        <v>#ERROR!</v>
      </c>
      <c r="J1057" s="50" t="str">
        <f>TABLEITEM!$H$3:$H$2749-TABLEITEM!$I$3:$I$2749</f>
        <v>#ERROR!</v>
      </c>
    </row>
    <row r="1058" ht="15.75" customHeight="1">
      <c r="A1058" s="45"/>
      <c r="B1058" s="18" t="s">
        <v>1275</v>
      </c>
      <c r="C1058" s="26"/>
      <c r="D1058" s="18" t="s">
        <v>8523</v>
      </c>
      <c r="E1058" s="56" t="s">
        <v>1274</v>
      </c>
      <c r="F1058" s="57" t="s">
        <v>8524</v>
      </c>
      <c r="G1058" s="49">
        <f t="array" ref="G1058">MAX(IF(INSTOCK!$H$3:$H$6125=B1058,INSTOCK!$K$3:$K$6125))</f>
        <v>47</v>
      </c>
      <c r="H1058" s="50">
        <f t="array" ref="H1058">SUM(IF(INSTOCK!$H$3:$H$6125=B1058,INSTOCK!$I$3:$I$6125))</f>
        <v>84</v>
      </c>
      <c r="I1058" s="50" t="str">
        <f>ARRAY_CONSTRAIN(ARRAYFORMULA(SUM(IF([3]!Table13[ID]=B1058,[3]!Table13[QTY]))), 1, 1)</f>
        <v>#ERROR!</v>
      </c>
      <c r="J1058" s="50" t="str">
        <f>TABLEITEM!$H$3:$H$2749-TABLEITEM!$I$3:$I$2749</f>
        <v>#ERROR!</v>
      </c>
    </row>
    <row r="1059" ht="15.75" customHeight="1">
      <c r="A1059" s="45">
        <v>162.0</v>
      </c>
      <c r="B1059" s="18" t="s">
        <v>43</v>
      </c>
      <c r="C1059" s="26"/>
      <c r="D1059" s="18" t="s">
        <v>698</v>
      </c>
      <c r="E1059" s="56" t="s">
        <v>696</v>
      </c>
      <c r="F1059" s="57" t="s">
        <v>8525</v>
      </c>
      <c r="G1059" s="49">
        <f t="array" ref="G1059">MAX(IF(INSTOCK!$H$3:$H$6125=B1059,INSTOCK!$K$3:$K$6125))</f>
        <v>590</v>
      </c>
      <c r="H1059" s="50">
        <f t="array" ref="H1059">SUM(IF(INSTOCK!$H$3:$H$6125=B1059,INSTOCK!$I$3:$I$6125))</f>
        <v>37</v>
      </c>
      <c r="I1059" s="50" t="str">
        <f>ARRAY_CONSTRAIN(ARRAYFORMULA(SUM(IF([3]!Table13[ID]=B1059,[3]!Table13[QTY]))), 1, 1)</f>
        <v>#ERROR!</v>
      </c>
      <c r="J1059" s="50" t="str">
        <f>TABLEITEM!$H$3:$H$2749-TABLEITEM!$I$3:$I$2749</f>
        <v>#ERROR!</v>
      </c>
    </row>
    <row r="1060" ht="15.75" customHeight="1">
      <c r="A1060" s="45"/>
      <c r="B1060" s="18" t="s">
        <v>3341</v>
      </c>
      <c r="C1060" s="26"/>
      <c r="D1060" s="18" t="s">
        <v>8526</v>
      </c>
      <c r="E1060" s="56"/>
      <c r="F1060" s="57" t="s">
        <v>8525</v>
      </c>
      <c r="G1060" s="49">
        <f t="array" ref="G1060">MAX(IF(INSTOCK!$H$3:$H$6125=B1060,INSTOCK!$K$3:$K$6125))</f>
        <v>660</v>
      </c>
      <c r="H1060" s="50">
        <f t="array" ref="H1060">SUM(IF(INSTOCK!$H$3:$H$6125=B1060,INSTOCK!$I$3:$I$6125))</f>
        <v>1</v>
      </c>
      <c r="I1060" s="50" t="str">
        <f>ARRAY_CONSTRAIN(ARRAYFORMULA(SUM(IF([3]!Table13[ID]=B1060,[3]!Table13[QTY]))), 1, 1)</f>
        <v>#ERROR!</v>
      </c>
      <c r="J1060" s="50" t="str">
        <f>TABLEITEM!$H$3:$H$2749-TABLEITEM!$I$3:$I$2749</f>
        <v>#ERROR!</v>
      </c>
    </row>
    <row r="1061" ht="15.75" customHeight="1">
      <c r="A1061" s="45">
        <v>163.0</v>
      </c>
      <c r="B1061" s="18" t="s">
        <v>44</v>
      </c>
      <c r="C1061" s="26"/>
      <c r="D1061" s="18" t="s">
        <v>699</v>
      </c>
      <c r="E1061" s="56" t="s">
        <v>696</v>
      </c>
      <c r="F1061" s="57" t="s">
        <v>8525</v>
      </c>
      <c r="G1061" s="49">
        <f t="array" ref="G1061">MAX(IF(INSTOCK!$H$3:$H$6125=B1061,INSTOCK!$K$3:$K$6125))</f>
        <v>590</v>
      </c>
      <c r="H1061" s="50">
        <f t="array" ref="H1061">SUM(IF(INSTOCK!$H$3:$H$6125=B1061,INSTOCK!$I$3:$I$6125))</f>
        <v>72</v>
      </c>
      <c r="I1061" s="50" t="str">
        <f>ARRAY_CONSTRAIN(ARRAYFORMULA(SUM(IF([3]!Table13[ID]=B1061,[3]!Table13[QTY]))), 1, 1)</f>
        <v>#ERROR!</v>
      </c>
      <c r="J1061" s="50" t="str">
        <f>TABLEITEM!$H$3:$H$2749-TABLEITEM!$I$3:$I$2749</f>
        <v>#ERROR!</v>
      </c>
    </row>
    <row r="1062" ht="15.75" customHeight="1">
      <c r="A1062" s="45">
        <v>336.0</v>
      </c>
      <c r="B1062" s="18" t="s">
        <v>221</v>
      </c>
      <c r="C1062" s="26"/>
      <c r="D1062" s="18" t="s">
        <v>784</v>
      </c>
      <c r="E1062" s="56" t="s">
        <v>7172</v>
      </c>
      <c r="F1062" s="48" t="s">
        <v>7429</v>
      </c>
      <c r="G1062" s="49">
        <f t="array" ref="G1062">MAX(IF(INSTOCK!$H$3:$H$6125=B1062,INSTOCK!$K$3:$K$6125))</f>
        <v>12</v>
      </c>
      <c r="H1062" s="50">
        <f t="array" ref="H1062">SUM(IF(INSTOCK!$H$3:$H$6125=B1062,INSTOCK!$I$3:$I$6125))</f>
        <v>2100</v>
      </c>
      <c r="I1062" s="50" t="str">
        <f>ARRAY_CONSTRAIN(ARRAYFORMULA(SUM(IF([3]!Table13[ID]=B1062,[3]!Table13[QTY]))), 1, 1)</f>
        <v>#ERROR!</v>
      </c>
      <c r="J1062" s="50" t="str">
        <f>TABLEITEM!$H$3:$H$2749-TABLEITEM!$I$3:$I$2749</f>
        <v>#ERROR!</v>
      </c>
    </row>
    <row r="1063" ht="15.75" customHeight="1">
      <c r="A1063" s="45">
        <v>341.0</v>
      </c>
      <c r="B1063" s="18" t="s">
        <v>226</v>
      </c>
      <c r="C1063" s="26"/>
      <c r="D1063" s="18" t="s">
        <v>8527</v>
      </c>
      <c r="E1063" s="56" t="s">
        <v>7172</v>
      </c>
      <c r="F1063" s="48" t="s">
        <v>7429</v>
      </c>
      <c r="G1063" s="49">
        <f t="array" ref="G1063">MAX(IF(INSTOCK!$H$3:$H$6125=B1063,INSTOCK!$K$3:$K$6125))</f>
        <v>28</v>
      </c>
      <c r="H1063" s="50">
        <f t="array" ref="H1063">SUM(IF(INSTOCK!$H$3:$H$6125=B1063,INSTOCK!$I$3:$I$6125))</f>
        <v>150</v>
      </c>
      <c r="I1063" s="50" t="str">
        <f>ARRAY_CONSTRAIN(ARRAYFORMULA(SUM(IF([3]!Table13[ID]=B1063,[3]!Table13[QTY]))), 1, 1)</f>
        <v>#ERROR!</v>
      </c>
      <c r="J1063" s="50" t="str">
        <f>TABLEITEM!$H$3:$H$2749-TABLEITEM!$I$3:$I$2749</f>
        <v>#ERROR!</v>
      </c>
    </row>
    <row r="1064" ht="15.75" customHeight="1">
      <c r="A1064" s="45">
        <v>340.0</v>
      </c>
      <c r="B1064" s="18" t="s">
        <v>225</v>
      </c>
      <c r="C1064" s="26"/>
      <c r="D1064" s="18" t="s">
        <v>1156</v>
      </c>
      <c r="E1064" s="56" t="s">
        <v>7172</v>
      </c>
      <c r="F1064" s="48" t="s">
        <v>7429</v>
      </c>
      <c r="G1064" s="49">
        <f t="array" ref="G1064">MAX(IF(INSTOCK!$H$3:$H$6125=B1064,INSTOCK!$K$3:$K$6125))</f>
        <v>23</v>
      </c>
      <c r="H1064" s="50">
        <f t="array" ref="H1064">SUM(IF(INSTOCK!$H$3:$H$6125=B1064,INSTOCK!$I$3:$I$6125))</f>
        <v>400</v>
      </c>
      <c r="I1064" s="50" t="str">
        <f>ARRAY_CONSTRAIN(ARRAYFORMULA(SUM(IF([3]!Table13[ID]=B1064,[3]!Table13[QTY]))), 1, 1)</f>
        <v>#ERROR!</v>
      </c>
      <c r="J1064" s="50" t="str">
        <f>TABLEITEM!$H$3:$H$2749-TABLEITEM!$I$3:$I$2749</f>
        <v>#ERROR!</v>
      </c>
    </row>
    <row r="1065" ht="15.75" customHeight="1">
      <c r="A1065" s="45">
        <v>339.0</v>
      </c>
      <c r="B1065" s="18" t="s">
        <v>224</v>
      </c>
      <c r="C1065" s="26"/>
      <c r="D1065" s="18" t="s">
        <v>1159</v>
      </c>
      <c r="E1065" s="56" t="s">
        <v>7172</v>
      </c>
      <c r="F1065" s="48" t="s">
        <v>7429</v>
      </c>
      <c r="G1065" s="49">
        <f t="array" ref="G1065">MAX(IF(INSTOCK!$H$3:$H$6125=B1065,INSTOCK!$K$3:$K$6125))</f>
        <v>19</v>
      </c>
      <c r="H1065" s="50">
        <f t="array" ref="H1065">SUM(IF(INSTOCK!$H$3:$H$6125=B1065,INSTOCK!$I$3:$I$6125))</f>
        <v>400</v>
      </c>
      <c r="I1065" s="50" t="str">
        <f>ARRAY_CONSTRAIN(ARRAYFORMULA(SUM(IF([3]!Table13[ID]=B1065,[3]!Table13[QTY]))), 1, 1)</f>
        <v>#ERROR!</v>
      </c>
      <c r="J1065" s="50" t="str">
        <f>TABLEITEM!$H$3:$H$2749-TABLEITEM!$I$3:$I$2749</f>
        <v>#ERROR!</v>
      </c>
    </row>
    <row r="1066" ht="15.75" customHeight="1">
      <c r="A1066" s="45">
        <v>338.0</v>
      </c>
      <c r="B1066" s="18" t="s">
        <v>223</v>
      </c>
      <c r="C1066" s="26"/>
      <c r="D1066" s="18" t="s">
        <v>1141</v>
      </c>
      <c r="E1066" s="56" t="s">
        <v>7172</v>
      </c>
      <c r="F1066" s="48" t="s">
        <v>7429</v>
      </c>
      <c r="G1066" s="49">
        <f t="array" ref="G1066">MAX(IF(INSTOCK!$H$3:$H$6125=B1066,INSTOCK!$K$3:$K$6125))</f>
        <v>18</v>
      </c>
      <c r="H1066" s="50">
        <f t="array" ref="H1066">SUM(IF(INSTOCK!$H$3:$H$6125=B1066,INSTOCK!$I$3:$I$6125))</f>
        <v>700</v>
      </c>
      <c r="I1066" s="50" t="str">
        <f>ARRAY_CONSTRAIN(ARRAYFORMULA(SUM(IF([3]!Table13[ID]=B1066,[3]!Table13[QTY]))), 1, 1)</f>
        <v>#ERROR!</v>
      </c>
      <c r="J1066" s="50" t="str">
        <f>TABLEITEM!$H$3:$H$2749-TABLEITEM!$I$3:$I$2749</f>
        <v>#ERROR!</v>
      </c>
    </row>
    <row r="1067" ht="15.75" customHeight="1">
      <c r="A1067" s="45">
        <v>337.0</v>
      </c>
      <c r="B1067" s="18" t="s">
        <v>222</v>
      </c>
      <c r="C1067" s="26"/>
      <c r="D1067" s="18" t="s">
        <v>1144</v>
      </c>
      <c r="E1067" s="56" t="s">
        <v>7172</v>
      </c>
      <c r="F1067" s="48" t="s">
        <v>7429</v>
      </c>
      <c r="G1067" s="49">
        <f t="array" ref="G1067">MAX(IF(INSTOCK!$H$3:$H$6125=B1067,INSTOCK!$K$3:$K$6125))</f>
        <v>15</v>
      </c>
      <c r="H1067" s="50">
        <f t="array" ref="H1067">SUM(IF(INSTOCK!$H$3:$H$6125=B1067,INSTOCK!$I$3:$I$6125))</f>
        <v>1000</v>
      </c>
      <c r="I1067" s="50" t="str">
        <f>ARRAY_CONSTRAIN(ARRAYFORMULA(SUM(IF([3]!Table13[ID]=B1067,[3]!Table13[QTY]))), 1, 1)</f>
        <v>#ERROR!</v>
      </c>
      <c r="J1067" s="50" t="str">
        <f>TABLEITEM!$H$3:$H$2749-TABLEITEM!$I$3:$I$2749</f>
        <v>#ERROR!</v>
      </c>
    </row>
    <row r="1068" ht="15.75" customHeight="1">
      <c r="A1068" s="45"/>
      <c r="B1068" s="18" t="s">
        <v>2594</v>
      </c>
      <c r="C1068" s="26"/>
      <c r="D1068" s="18" t="s">
        <v>8528</v>
      </c>
      <c r="E1068" s="56"/>
      <c r="F1068" s="48" t="s">
        <v>7173</v>
      </c>
      <c r="G1068" s="49">
        <f t="array" ref="G1068">MAX(IF(INSTOCK!$H$3:$H$6125=B1008,INSTOCK!$K$3:$K$6125))</f>
        <v>241.2</v>
      </c>
      <c r="H1068" s="50">
        <f t="array" ref="H1068">SUM(IF(INSTOCK!$H$3:$H$6125=B1068,INSTOCK!$I$3:$I$6125))</f>
        <v>40</v>
      </c>
      <c r="I1068" s="50" t="str">
        <f>ARRAY_CONSTRAIN(ARRAYFORMULA(SUM(IF([3]!Table13[ID]=B1068,[3]!Table13[QTY]))), 1, 1)</f>
        <v>#ERROR!</v>
      </c>
      <c r="J1068" s="50" t="str">
        <f>TABLEITEM!$H$3:$H$2749-TABLEITEM!$I$3:$I$2749</f>
        <v>#ERROR!</v>
      </c>
    </row>
    <row r="1069" ht="15.75" customHeight="1">
      <c r="A1069" s="45"/>
      <c r="B1069" s="18" t="s">
        <v>4355</v>
      </c>
      <c r="C1069" s="26"/>
      <c r="D1069" s="18" t="s">
        <v>8529</v>
      </c>
      <c r="E1069" s="56" t="s">
        <v>7760</v>
      </c>
      <c r="F1069" s="57" t="s">
        <v>7173</v>
      </c>
      <c r="G1069" s="49">
        <f t="array" ref="G1069">MAX(IF(INSTOCK!$H$3:$H$6125=B1069,INSTOCK!$K$3:$K$6125))</f>
        <v>50</v>
      </c>
      <c r="H1069" s="50">
        <f t="array" ref="H1069">SUM(IF(INSTOCK!$H$3:$H$6125=B1069,INSTOCK!$I$3:$I$6125))</f>
        <v>12</v>
      </c>
      <c r="I1069" s="50" t="str">
        <f>ARRAY_CONSTRAIN(ARRAYFORMULA(SUM(IF([3]!Table13[ID]=B1069,[3]!Table13[QTY]))), 1, 1)</f>
        <v>#ERROR!</v>
      </c>
      <c r="J1069" s="50" t="str">
        <f>TABLEITEM!$H$3:$H$2749-TABLEITEM!$I$3:$I$2749</f>
        <v>#ERROR!</v>
      </c>
    </row>
    <row r="1070" ht="15.75" customHeight="1">
      <c r="A1070" s="45">
        <v>136.0</v>
      </c>
      <c r="B1070" s="18" t="s">
        <v>17</v>
      </c>
      <c r="C1070" s="26"/>
      <c r="D1070" s="18" t="s">
        <v>1129</v>
      </c>
      <c r="E1070" s="56" t="s">
        <v>8530</v>
      </c>
      <c r="F1070" s="57" t="s">
        <v>8140</v>
      </c>
      <c r="G1070" s="49">
        <f t="array" ref="G1070">MAX(IF(INSTOCK!$H$3:$H$6125=B1070,INSTOCK!$K$3:$K$6125))</f>
        <v>41.67</v>
      </c>
      <c r="H1070" s="50">
        <f t="array" ref="H1070">SUM(IF(INSTOCK!$H$3:$H$6125=B1070,INSTOCK!$I$3:$I$6125))</f>
        <v>349</v>
      </c>
      <c r="I1070" s="50" t="str">
        <f>ARRAY_CONSTRAIN(ARRAYFORMULA(SUM(IF([3]!Table13[ID]=B1070,[3]!Table13[QTY]))), 1, 1)</f>
        <v>#ERROR!</v>
      </c>
      <c r="J1070" s="50" t="str">
        <f>TABLEITEM!$H$3:$H$2749-TABLEITEM!$I$3:$I$2749</f>
        <v>#ERROR!</v>
      </c>
    </row>
    <row r="1071" ht="15.75" customHeight="1">
      <c r="A1071" s="45"/>
      <c r="B1071" s="18" t="s">
        <v>3965</v>
      </c>
      <c r="C1071" s="26"/>
      <c r="D1071" s="18" t="s">
        <v>8531</v>
      </c>
      <c r="E1071" s="56"/>
      <c r="F1071" s="57" t="s">
        <v>7173</v>
      </c>
      <c r="G1071" s="49">
        <f t="array" ref="G1071">MAX(IF(INSTOCK!$H$3:$H$6125=B1071,INSTOCK!$K$3:$K$6125))</f>
        <v>50</v>
      </c>
      <c r="H1071" s="50">
        <f t="array" ref="H1071">SUM(IF(INSTOCK!$H$3:$H$6125=B1071,INSTOCK!$I$3:$I$6125))</f>
        <v>11</v>
      </c>
      <c r="I1071" s="50" t="str">
        <f>ARRAY_CONSTRAIN(ARRAYFORMULA(SUM(IF([3]!Table13[ID]=B1071,[3]!Table13[QTY]))), 1, 1)</f>
        <v>#ERROR!</v>
      </c>
      <c r="J1071" s="50" t="str">
        <f>TABLEITEM!$H$3:$H$2749-TABLEITEM!$I$3:$I$2749</f>
        <v>#ERROR!</v>
      </c>
    </row>
    <row r="1072" ht="15.75" customHeight="1">
      <c r="A1072" s="58">
        <v>135.0</v>
      </c>
      <c r="B1072" s="59" t="s">
        <v>16</v>
      </c>
      <c r="C1072" s="21"/>
      <c r="D1072" s="59" t="s">
        <v>738</v>
      </c>
      <c r="E1072" s="60" t="s">
        <v>8114</v>
      </c>
      <c r="F1072" s="57" t="s">
        <v>8140</v>
      </c>
      <c r="G1072" s="61">
        <f t="array" ref="G1072">MAX(IF(INSTOCK!$H$3:$H$6125=B1072,INSTOCK!$K$3:$K$6125))</f>
        <v>4.5834</v>
      </c>
      <c r="H1072" s="50">
        <f t="array" ref="H1072">SUM(IF(INSTOCK!$H$3:$H$6125=B1072,INSTOCK!$I$3:$I$6125))</f>
        <v>6342</v>
      </c>
      <c r="I1072" s="50" t="str">
        <f>ARRAY_CONSTRAIN(ARRAYFORMULA(SUM(IF([3]!Table13[ID]=B1072,[3]!Table13[QTY]))), 1, 1)</f>
        <v>#ERROR!</v>
      </c>
      <c r="J1072" s="21" t="str">
        <f>TABLEITEM!$H$3:$H$2749-TABLEITEM!$I$3:$I$2749</f>
        <v>#ERROR!</v>
      </c>
    </row>
    <row r="1073" ht="15.75" customHeight="1">
      <c r="A1073" s="45"/>
      <c r="B1073" s="10" t="s">
        <v>2972</v>
      </c>
      <c r="C1073" s="26"/>
      <c r="D1073" s="10" t="s">
        <v>8532</v>
      </c>
      <c r="E1073" s="56"/>
      <c r="F1073" s="57" t="s">
        <v>8140</v>
      </c>
      <c r="G1073" s="49">
        <f t="array" ref="G1073">MAX(IF(INSTOCK!$H$3:$H$6125=B1073,INSTOCK!$K$3:$K$6125))</f>
        <v>5</v>
      </c>
      <c r="H1073" s="50">
        <f t="array" ref="H1073">SUM(IF(INSTOCK!$H$3:$H$6125=B1073,INSTOCK!$I$3:$I$6125))</f>
        <v>50</v>
      </c>
      <c r="I1073" s="50" t="str">
        <f>ARRAY_CONSTRAIN(ARRAYFORMULA(SUM(IF([3]!Table13[ID]=B1073,[3]!Table13[QTY]))), 1, 1)</f>
        <v>#ERROR!</v>
      </c>
      <c r="J1073" s="50" t="str">
        <f>TABLEITEM!$H$3:$H$2749-TABLEITEM!$I$3:$I$2749</f>
        <v>#ERROR!</v>
      </c>
    </row>
    <row r="1074" ht="15.75" customHeight="1">
      <c r="A1074" s="45"/>
      <c r="B1074" s="10" t="s">
        <v>4172</v>
      </c>
      <c r="C1074" s="26"/>
      <c r="D1074" s="10" t="s">
        <v>8533</v>
      </c>
      <c r="E1074" s="56" t="s">
        <v>7760</v>
      </c>
      <c r="F1074" s="57" t="s">
        <v>7173</v>
      </c>
      <c r="G1074" s="49">
        <f t="array" ref="G1074">MAX(IF(INSTOCK!$H$3:$H$6125=B1074,INSTOCK!$K$3:$K$6125))</f>
        <v>40</v>
      </c>
      <c r="H1074" s="50">
        <f t="array" ref="H1074">SUM(IF(INSTOCK!$H$3:$H$6125=B1074,INSTOCK!$I$3:$I$6125))</f>
        <v>6</v>
      </c>
      <c r="I1074" s="50" t="str">
        <f>ARRAY_CONSTRAIN(ARRAYFORMULA(SUM(IF([3]!Table13[ID]=B1074,[3]!Table13[QTY]))), 1, 1)</f>
        <v>#ERROR!</v>
      </c>
      <c r="J1074" s="50" t="str">
        <f>TABLEITEM!$H$3:$H$2749-TABLEITEM!$I$3:$I$2749</f>
        <v>#ERROR!</v>
      </c>
    </row>
    <row r="1075" ht="15.75" customHeight="1">
      <c r="A1075" s="45"/>
      <c r="B1075" s="10" t="s">
        <v>7039</v>
      </c>
      <c r="C1075" s="26"/>
      <c r="D1075" s="10" t="s">
        <v>8534</v>
      </c>
      <c r="E1075" s="56"/>
      <c r="F1075" s="57" t="s">
        <v>7173</v>
      </c>
      <c r="G1075" s="49">
        <f t="array" ref="G1075">MAX(IF(INSTOCK!$H$3:$H$6125=B1075,INSTOCK!$K$3:$K$6125))</f>
        <v>2.5</v>
      </c>
      <c r="H1075" s="50">
        <f t="array" ref="H1075">SUM(IF(INSTOCK!$H$3:$H$6125=B1075,INSTOCK!$I$3:$I$6125))</f>
        <v>60</v>
      </c>
      <c r="I1075" s="50" t="str">
        <f>ARRAY_CONSTRAIN(ARRAYFORMULA(SUM(IF([3]!Table13[ID]=B1075,[3]!Table13[QTY]))), 1, 1)</f>
        <v>#ERROR!</v>
      </c>
      <c r="J1075" s="50" t="str">
        <f>TABLEITEM!$H$3:$H$2749-TABLEITEM!$I$3:$I$2749</f>
        <v>#ERROR!</v>
      </c>
    </row>
    <row r="1076" ht="15.75" customHeight="1">
      <c r="A1076" s="45"/>
      <c r="B1076" s="18" t="s">
        <v>2981</v>
      </c>
      <c r="C1076" s="26"/>
      <c r="D1076" s="18" t="s">
        <v>8535</v>
      </c>
      <c r="E1076" s="56"/>
      <c r="F1076" s="48" t="s">
        <v>7173</v>
      </c>
      <c r="G1076" s="49">
        <f t="array" ref="G1076">MAX(IF(INSTOCK!$H$3:$H$6125=B1076,INSTOCK!$K$3:$K$6125))</f>
        <v>2000</v>
      </c>
      <c r="H1076" s="50">
        <f t="array" ref="H1076">SUM(IF(INSTOCK!$H$3:$H$6125=B1076,INSTOCK!$I$3:$I$6125))</f>
        <v>1</v>
      </c>
      <c r="I1076" s="50" t="str">
        <f>ARRAY_CONSTRAIN(ARRAYFORMULA(SUM(IF([3]!Table13[ID]=B1076,[3]!Table13[QTY]))), 1, 1)</f>
        <v>#ERROR!</v>
      </c>
      <c r="J1076" s="50" t="str">
        <f>TABLEITEM!$H$3:$H$2749-TABLEITEM!$I$3:$I$2749</f>
        <v>#ERROR!</v>
      </c>
    </row>
    <row r="1077" ht="15.75" customHeight="1">
      <c r="A1077" s="45"/>
      <c r="B1077" s="18" t="s">
        <v>2086</v>
      </c>
      <c r="C1077" s="26"/>
      <c r="D1077" s="18" t="s">
        <v>8536</v>
      </c>
      <c r="E1077" s="56" t="s">
        <v>7207</v>
      </c>
      <c r="F1077" s="48" t="s">
        <v>7173</v>
      </c>
      <c r="G1077" s="49">
        <f t="array" ref="G1077">MAX(IF(INSTOCK!$H$3:$H$6125=B1077,INSTOCK!$K$3:$K$6125))</f>
        <v>0.6</v>
      </c>
      <c r="H1077" s="50">
        <f t="array" ref="H1077">SUM(IF(INSTOCK!$H$3:$H$6125=B1077,INSTOCK!$I$3:$I$6125))</f>
        <v>38500</v>
      </c>
      <c r="I1077" s="50" t="str">
        <f>ARRAY_CONSTRAIN(ARRAYFORMULA(SUM(IF([3]!Table13[ID]=B1077,[3]!Table13[QTY]))), 1, 1)</f>
        <v>#ERROR!</v>
      </c>
      <c r="J1077" s="50" t="str">
        <f>TABLEITEM!$H$3:$H$2749-TABLEITEM!$I$3:$I$2749</f>
        <v>#ERROR!</v>
      </c>
    </row>
    <row r="1078" ht="15.75" customHeight="1">
      <c r="A1078" s="45"/>
      <c r="B1078" s="18" t="s">
        <v>2104</v>
      </c>
      <c r="C1078" s="26"/>
      <c r="D1078" s="18" t="s">
        <v>8537</v>
      </c>
      <c r="E1078" s="56" t="s">
        <v>7207</v>
      </c>
      <c r="F1078" s="48" t="s">
        <v>7173</v>
      </c>
      <c r="G1078" s="49">
        <f t="array" ref="G1078">MAX(IF(INSTOCK!$H$3:$H$6125=B1078,INSTOCK!$K$3:$K$6125))</f>
        <v>0.27</v>
      </c>
      <c r="H1078" s="50">
        <f t="array" ref="H1078">SUM(IF(INSTOCK!$H$3:$H$6125=B1078,INSTOCK!$I$3:$I$6125))</f>
        <v>58000</v>
      </c>
      <c r="I1078" s="50" t="str">
        <f>ARRAY_CONSTRAIN(ARRAYFORMULA(SUM(IF([3]!Table13[ID]=B1078,[3]!Table13[QTY]))), 1, 1)</f>
        <v>#ERROR!</v>
      </c>
      <c r="J1078" s="50" t="str">
        <f>TABLEITEM!$H$3:$H$2749-TABLEITEM!$I$3:$I$2749</f>
        <v>#ERROR!</v>
      </c>
    </row>
    <row r="1079" ht="15.75" customHeight="1">
      <c r="A1079" s="45"/>
      <c r="B1079" s="18" t="s">
        <v>2084</v>
      </c>
      <c r="C1079" s="26"/>
      <c r="D1079" s="18" t="s">
        <v>8538</v>
      </c>
      <c r="E1079" s="56" t="s">
        <v>7207</v>
      </c>
      <c r="F1079" s="48" t="s">
        <v>7173</v>
      </c>
      <c r="G1079" s="49">
        <f t="array" ref="G1079">MAX(IF(INSTOCK!$H$3:$H$6125=B1079,INSTOCK!$K$3:$K$6125))</f>
        <v>0.24</v>
      </c>
      <c r="H1079" s="50">
        <f t="array" ref="H1079">SUM(IF(INSTOCK!$H$3:$H$6125=B1079,INSTOCK!$I$3:$I$6125))</f>
        <v>63000</v>
      </c>
      <c r="I1079" s="50" t="str">
        <f>ARRAY_CONSTRAIN(ARRAYFORMULA(SUM(IF([3]!Table13[ID]=B1079,[3]!Table13[QTY]))), 1, 1)</f>
        <v>#ERROR!</v>
      </c>
      <c r="J1079" s="50" t="str">
        <f>TABLEITEM!$H$3:$H$2749-TABLEITEM!$I$3:$I$2749</f>
        <v>#ERROR!</v>
      </c>
    </row>
    <row r="1080" ht="15.75" customHeight="1">
      <c r="A1080" s="45"/>
      <c r="B1080" s="18" t="s">
        <v>4210</v>
      </c>
      <c r="C1080" s="26"/>
      <c r="D1080" s="18" t="s">
        <v>8539</v>
      </c>
      <c r="E1080" s="56" t="s">
        <v>1487</v>
      </c>
      <c r="F1080" s="57" t="s">
        <v>7173</v>
      </c>
      <c r="G1080" s="49">
        <f t="array" ref="G1080">MAX(IF(INSTOCK!$H$3:$H$6125=B1080,INSTOCK!$K$3:$K$6125))</f>
        <v>400</v>
      </c>
      <c r="H1080" s="50">
        <f t="array" ref="H1080">SUM(IF(INSTOCK!$H$3:$H$6125=B1080,INSTOCK!$I$3:$I$6125))</f>
        <v>1</v>
      </c>
      <c r="I1080" s="50" t="str">
        <f>ARRAY_CONSTRAIN(ARRAYFORMULA(SUM(IF([3]!Table13[ID]=B1080,[3]!Table13[QTY]))), 1, 1)</f>
        <v>#ERROR!</v>
      </c>
      <c r="J1080" s="50" t="str">
        <f>TABLEITEM!$H$3:$H$2749-TABLEITEM!$I$3:$I$2749</f>
        <v>#ERROR!</v>
      </c>
    </row>
    <row r="1081" ht="15.75" customHeight="1">
      <c r="A1081" s="45"/>
      <c r="B1081" s="18" t="s">
        <v>2026</v>
      </c>
      <c r="C1081" s="26"/>
      <c r="D1081" s="18" t="s">
        <v>8540</v>
      </c>
      <c r="E1081" s="56"/>
      <c r="F1081" s="57" t="s">
        <v>7173</v>
      </c>
      <c r="G1081" s="49">
        <f t="array" ref="G1081">MAX(IF(INSTOCK!$H$3:$H$6125=B1081,INSTOCK!$K$3:$K$6125))</f>
        <v>80</v>
      </c>
      <c r="H1081" s="50">
        <f t="array" ref="H1081">SUM(IF(INSTOCK!$H$3:$H$6125=B1081,INSTOCK!$I$3:$I$6125))</f>
        <v>26</v>
      </c>
      <c r="I1081" s="50" t="str">
        <f>ARRAY_CONSTRAIN(ARRAYFORMULA(SUM(IF([3]!Table13[ID]=B1081,[3]!Table13[QTY]))), 1, 1)</f>
        <v>#ERROR!</v>
      </c>
      <c r="J1081" s="50" t="str">
        <f>TABLEITEM!$H$3:$H$2749-TABLEITEM!$I$3:$I$2749</f>
        <v>#ERROR!</v>
      </c>
    </row>
    <row r="1082" ht="15.75" customHeight="1">
      <c r="A1082" s="45"/>
      <c r="B1082" s="18" t="s">
        <v>2025</v>
      </c>
      <c r="C1082" s="26"/>
      <c r="D1082" s="18" t="s">
        <v>8541</v>
      </c>
      <c r="E1082" s="56"/>
      <c r="F1082" s="57" t="s">
        <v>7173</v>
      </c>
      <c r="G1082" s="49">
        <f t="array" ref="G1082">MAX(IF(INSTOCK!$H$3:$H$6125=B1082,INSTOCK!$K$3:$K$6125))</f>
        <v>70</v>
      </c>
      <c r="H1082" s="50">
        <f t="array" ref="H1082">SUM(IF(INSTOCK!$H$3:$H$6125=B1082,INSTOCK!$I$3:$I$6125))</f>
        <v>70</v>
      </c>
      <c r="I1082" s="50" t="str">
        <f>ARRAY_CONSTRAIN(ARRAYFORMULA(SUM(IF([3]!Table13[ID]=B1082,[3]!Table13[QTY]))), 1, 1)</f>
        <v>#ERROR!</v>
      </c>
      <c r="J1082" s="50" t="str">
        <f>TABLEITEM!$H$3:$H$2749-TABLEITEM!$I$3:$I$2749</f>
        <v>#ERROR!</v>
      </c>
    </row>
    <row r="1083" ht="15.75" customHeight="1">
      <c r="A1083" s="45"/>
      <c r="B1083" s="18" t="s">
        <v>2024</v>
      </c>
      <c r="C1083" s="26"/>
      <c r="D1083" s="18" t="s">
        <v>8542</v>
      </c>
      <c r="E1083" s="56"/>
      <c r="F1083" s="57" t="s">
        <v>7173</v>
      </c>
      <c r="G1083" s="49">
        <f t="array" ref="G1083">MAX(IF(INSTOCK!$H$3:$H$6125=B1083,INSTOCK!$K$3:$K$6125))</f>
        <v>70</v>
      </c>
      <c r="H1083" s="50">
        <f t="array" ref="H1083">SUM(IF(INSTOCK!$H$3:$H$6125=B1083,INSTOCK!$I$3:$I$6125))</f>
        <v>55</v>
      </c>
      <c r="I1083" s="50" t="str">
        <f>ARRAY_CONSTRAIN(ARRAYFORMULA(SUM(IF([3]!Table13[ID]=B1083,[3]!Table13[QTY]))), 1, 1)</f>
        <v>#ERROR!</v>
      </c>
      <c r="J1083" s="50" t="str">
        <f>TABLEITEM!$H$3:$H$2749-TABLEITEM!$I$3:$I$2749</f>
        <v>#ERROR!</v>
      </c>
    </row>
    <row r="1084" ht="15.75" customHeight="1">
      <c r="A1084" s="45"/>
      <c r="B1084" s="18" t="s">
        <v>2023</v>
      </c>
      <c r="C1084" s="26"/>
      <c r="D1084" s="18" t="s">
        <v>8543</v>
      </c>
      <c r="E1084" s="56"/>
      <c r="F1084" s="57" t="s">
        <v>7173</v>
      </c>
      <c r="G1084" s="49">
        <f t="array" ref="G1084">MAX(IF(INSTOCK!$H$3:$H$6125=B1084,INSTOCK!$K$3:$K$6125))</f>
        <v>70</v>
      </c>
      <c r="H1084" s="50">
        <f t="array" ref="H1084">SUM(IF(INSTOCK!$H$3:$H$6125=B1084,INSTOCK!$I$3:$I$6125))</f>
        <v>70</v>
      </c>
      <c r="I1084" s="50" t="str">
        <f>ARRAY_CONSTRAIN(ARRAYFORMULA(SUM(IF([3]!Table13[ID]=B1084,[3]!Table13[QTY]))), 1, 1)</f>
        <v>#ERROR!</v>
      </c>
      <c r="J1084" s="50" t="str">
        <f>TABLEITEM!$H$3:$H$2749-TABLEITEM!$I$3:$I$2749</f>
        <v>#ERROR!</v>
      </c>
    </row>
    <row r="1085" ht="15.75" customHeight="1">
      <c r="A1085" s="45">
        <v>253.0</v>
      </c>
      <c r="B1085" s="18" t="s">
        <v>134</v>
      </c>
      <c r="C1085" s="26"/>
      <c r="D1085" s="18" t="s">
        <v>8544</v>
      </c>
      <c r="E1085" s="56" t="s">
        <v>8101</v>
      </c>
      <c r="F1085" s="57" t="s">
        <v>7173</v>
      </c>
      <c r="G1085" s="49">
        <f t="array" ref="G1085">MAX(IF(INSTOCK!$H$3:$H$6125=B1085,INSTOCK!$K$3:$K$6125))</f>
        <v>0</v>
      </c>
      <c r="H1085" s="50">
        <f t="array" ref="H1085">SUM(IF(INSTOCK!$H$3:$H$6125=B1085,INSTOCK!$I$3:$I$6125))</f>
        <v>1150</v>
      </c>
      <c r="I1085" s="50" t="str">
        <f>ARRAY_CONSTRAIN(ARRAYFORMULA(SUM(IF([3]!Table13[ID]=B1085,[3]!Table13[QTY]))), 1, 1)</f>
        <v>#ERROR!</v>
      </c>
      <c r="J1085" s="50" t="str">
        <f>TABLEITEM!$H$3:$H$2749-TABLEITEM!$I$3:$I$2749</f>
        <v>#ERROR!</v>
      </c>
    </row>
    <row r="1086" ht="15.75" customHeight="1">
      <c r="A1086" s="45"/>
      <c r="B1086" s="10" t="s">
        <v>3413</v>
      </c>
      <c r="C1086" s="26"/>
      <c r="D1086" s="18" t="s">
        <v>8545</v>
      </c>
      <c r="E1086" s="56"/>
      <c r="F1086" s="48" t="s">
        <v>7173</v>
      </c>
      <c r="G1086" s="49">
        <f t="array" ref="G1086">MAX(IF(INSTOCK!$H$3:$H$6125=B1086,INSTOCK!$K$3:$K$6125))</f>
        <v>75</v>
      </c>
      <c r="H1086" s="50">
        <f t="array" ref="H1086">SUM(IF(INSTOCK!$H$3:$H$6125=B1086,INSTOCK!$I$3:$I$6125))</f>
        <v>3</v>
      </c>
      <c r="I1086" s="50" t="str">
        <f>ARRAY_CONSTRAIN(ARRAYFORMULA(SUM(IF([3]!Table13[ID]=B1086,[3]!Table13[QTY]))), 1, 1)</f>
        <v>#ERROR!</v>
      </c>
      <c r="J1086" s="50" t="str">
        <f>TABLEITEM!$H$3:$H$2749-TABLEITEM!$I$3:$I$2749</f>
        <v>#ERROR!</v>
      </c>
    </row>
    <row r="1087" ht="15.75" customHeight="1">
      <c r="A1087" s="45"/>
      <c r="B1087" s="10" t="s">
        <v>3021</v>
      </c>
      <c r="C1087" s="26"/>
      <c r="D1087" s="10" t="s">
        <v>8546</v>
      </c>
      <c r="E1087" s="56" t="s">
        <v>8138</v>
      </c>
      <c r="F1087" s="48" t="s">
        <v>7173</v>
      </c>
      <c r="G1087" s="49">
        <f t="array" ref="G1087">MAX(IF(INSTOCK!$H$3:$H$6125=B1087,INSTOCK!$K$3:$K$6125))</f>
        <v>370</v>
      </c>
      <c r="H1087" s="50">
        <f t="array" ref="H1087">SUM(IF(INSTOCK!$H$3:$H$6125=B1087,INSTOCK!$I$3:$I$6125))</f>
        <v>10</v>
      </c>
      <c r="I1087" s="50" t="str">
        <f>ARRAY_CONSTRAIN(ARRAYFORMULA(SUM(IF([3]!Table13[ID]=B1087,[3]!Table13[QTY]))), 1, 1)</f>
        <v>#ERROR!</v>
      </c>
      <c r="J1087" s="50" t="str">
        <f>TABLEITEM!$H$3:$H$2749-TABLEITEM!$I$3:$I$2749</f>
        <v>#ERROR!</v>
      </c>
    </row>
    <row r="1088" ht="15.75" customHeight="1">
      <c r="A1088" s="45"/>
      <c r="B1088" s="10" t="s">
        <v>2945</v>
      </c>
      <c r="C1088" s="26"/>
      <c r="D1088" s="10" t="s">
        <v>8547</v>
      </c>
      <c r="E1088" s="56" t="s">
        <v>8548</v>
      </c>
      <c r="F1088" s="48" t="s">
        <v>7173</v>
      </c>
      <c r="G1088" s="49">
        <f t="array" ref="G1088">MAX(IF(INSTOCK!$H$3:$H$6125=B1088,INSTOCK!$K$3:$K$6125))</f>
        <v>0.4</v>
      </c>
      <c r="H1088" s="50">
        <f t="array" ref="H1088">SUM(IF(INSTOCK!$H$3:$H$6125=B1088,INSTOCK!$I$3:$I$6125))</f>
        <v>15000</v>
      </c>
      <c r="I1088" s="50" t="str">
        <f>ARRAY_CONSTRAIN(ARRAYFORMULA(SUM(IF([3]!Table13[ID]=B1088,[3]!Table13[QTY]))), 1, 1)</f>
        <v>#ERROR!</v>
      </c>
      <c r="J1088" s="50" t="str">
        <f>TABLEITEM!$H$3:$H$2749-TABLEITEM!$I$3:$I$2749</f>
        <v>#ERROR!</v>
      </c>
    </row>
    <row r="1089" ht="15.75" customHeight="1">
      <c r="A1089" s="45"/>
      <c r="B1089" s="10" t="s">
        <v>2882</v>
      </c>
      <c r="C1089" s="26"/>
      <c r="D1089" s="10" t="s">
        <v>8549</v>
      </c>
      <c r="E1089" s="56" t="s">
        <v>8550</v>
      </c>
      <c r="F1089" s="48" t="s">
        <v>7173</v>
      </c>
      <c r="G1089" s="49">
        <f t="array" ref="G1089">MAX(IF(INSTOCK!$H$3:$H$6125=B1089,INSTOCK!$K$3:$K$6125))</f>
        <v>0.254</v>
      </c>
      <c r="H1089" s="50">
        <f t="array" ref="H1089">SUM(IF(INSTOCK!$H$3:$H$6125=B1089,INSTOCK!$I$3:$I$6125))</f>
        <v>3000</v>
      </c>
      <c r="I1089" s="50" t="str">
        <f>ARRAY_CONSTRAIN(ARRAYFORMULA(SUM(IF([3]!Table13[ID]=B1089,[3]!Table13[QTY]))), 1, 1)</f>
        <v>#ERROR!</v>
      </c>
      <c r="J1089" s="50" t="str">
        <f>TABLEITEM!$H$3:$H$2749-TABLEITEM!$I$3:$I$2749</f>
        <v>#ERROR!</v>
      </c>
    </row>
    <row r="1090" ht="15.75" customHeight="1">
      <c r="A1090" s="45"/>
      <c r="B1090" s="18" t="s">
        <v>3348</v>
      </c>
      <c r="C1090" s="26"/>
      <c r="D1090" s="18" t="s">
        <v>8551</v>
      </c>
      <c r="E1090" s="56"/>
      <c r="F1090" s="48" t="s">
        <v>7173</v>
      </c>
      <c r="G1090" s="49">
        <f t="array" ref="G1090">MAX(IF(INSTOCK!$H$3:$H$6125=B1090,INSTOCK!$K$3:$K$6125))</f>
        <v>0.133</v>
      </c>
      <c r="H1090" s="50">
        <f t="array" ref="H1090">SUM(IF(INSTOCK!$H$3:$H$6125=B1090,INSTOCK!$I$3:$I$6125))</f>
        <v>2000</v>
      </c>
      <c r="I1090" s="50" t="str">
        <f>ARRAY_CONSTRAIN(ARRAYFORMULA(SUM(IF([3]!Table13[ID]=B1090,[3]!Table13[QTY]))), 1, 1)</f>
        <v>#ERROR!</v>
      </c>
      <c r="J1090" s="50" t="str">
        <f>TABLEITEM!$H$3:$H$2749-TABLEITEM!$I$3:$I$2749</f>
        <v>#ERROR!</v>
      </c>
    </row>
    <row r="1091" ht="15.75" customHeight="1">
      <c r="A1091" s="45"/>
      <c r="B1091" s="18" t="s">
        <v>2704</v>
      </c>
      <c r="C1091" s="26"/>
      <c r="D1091" s="18" t="s">
        <v>8552</v>
      </c>
      <c r="E1091" s="56"/>
      <c r="F1091" s="48" t="s">
        <v>7173</v>
      </c>
      <c r="G1091" s="49">
        <f t="array" ref="G1091">MAX(IF(INSTOCK!$H$3:$H$6125=B1091,INSTOCK!$K$3:$K$6125))</f>
        <v>440</v>
      </c>
      <c r="H1091" s="50">
        <f t="array" ref="H1091">SUM(IF(INSTOCK!$H$3:$H$6125=B1091,INSTOCK!$I$3:$I$6125))</f>
        <v>4</v>
      </c>
      <c r="I1091" s="50" t="str">
        <f>ARRAY_CONSTRAIN(ARRAYFORMULA(SUM(IF([3]!Table13[ID]=B1091,[3]!Table13[QTY]))), 1, 1)</f>
        <v>#ERROR!</v>
      </c>
      <c r="J1091" s="50" t="str">
        <f>TABLEITEM!$H$3:$H$2749-TABLEITEM!$I$3:$I$2749</f>
        <v>#ERROR!</v>
      </c>
    </row>
    <row r="1092" ht="15.75" customHeight="1">
      <c r="A1092" s="45"/>
      <c r="B1092" s="10" t="s">
        <v>2894</v>
      </c>
      <c r="C1092" s="26"/>
      <c r="D1092" s="10" t="s">
        <v>8553</v>
      </c>
      <c r="E1092" s="48"/>
      <c r="F1092" s="57" t="s">
        <v>7173</v>
      </c>
      <c r="G1092" s="49">
        <f t="array" ref="G1092">MAX(IF(INSTOCK!$H$3:$H$6125=B1092,INSTOCK!$K$3:$K$6125))</f>
        <v>27</v>
      </c>
      <c r="H1092" s="50">
        <f t="array" ref="H1092">SUM(IF(INSTOCK!$H$3:$H$6125=B1092,INSTOCK!$I$3:$I$6125))</f>
        <v>4</v>
      </c>
      <c r="I1092" s="50" t="str">
        <f>ARRAY_CONSTRAIN(ARRAYFORMULA(SUM(IF([3]!Table13[ID]=B1092,[3]!Table13[QTY]))), 1, 1)</f>
        <v>#ERROR!</v>
      </c>
      <c r="J1092" s="50" t="str">
        <f>TABLEITEM!$H$3:$H$2749-TABLEITEM!$I$3:$I$2749</f>
        <v>#ERROR!</v>
      </c>
    </row>
    <row r="1093" ht="15.75" customHeight="1">
      <c r="A1093" s="45"/>
      <c r="B1093" s="10" t="s">
        <v>2439</v>
      </c>
      <c r="C1093" s="26"/>
      <c r="D1093" s="10" t="s">
        <v>8554</v>
      </c>
      <c r="E1093" s="48"/>
      <c r="F1093" s="57" t="s">
        <v>7173</v>
      </c>
      <c r="G1093" s="49">
        <f t="array" ref="G1093">MAX(IF(INSTOCK!$H$3:$H$6125=B1093,INSTOCK!$K$3:$K$6125))</f>
        <v>29</v>
      </c>
      <c r="H1093" s="50">
        <f t="array" ref="H1093">SUM(IF(INSTOCK!$H$3:$H$6125=B1093,INSTOCK!$I$3:$I$6125))</f>
        <v>29</v>
      </c>
      <c r="I1093" s="50" t="str">
        <f>ARRAY_CONSTRAIN(ARRAYFORMULA(SUM(IF([3]!Table13[ID]=B1093,[3]!Table13[QTY]))), 1, 1)</f>
        <v>#ERROR!</v>
      </c>
      <c r="J1093" s="50" t="str">
        <f>TABLEITEM!$H$3:$H$2749-TABLEITEM!$I$3:$I$2749</f>
        <v>#ERROR!</v>
      </c>
    </row>
    <row r="1094" ht="15.75" customHeight="1">
      <c r="A1094" s="45"/>
      <c r="B1094" s="18" t="s">
        <v>1618</v>
      </c>
      <c r="C1094" s="26"/>
      <c r="D1094" s="10" t="s">
        <v>8555</v>
      </c>
      <c r="E1094" s="48" t="s">
        <v>8556</v>
      </c>
      <c r="F1094" s="57" t="s">
        <v>7173</v>
      </c>
      <c r="G1094" s="49">
        <f t="array" ref="G1094">MAX(IF(INSTOCK!$H$3:$H$6125=B1094,INSTOCK!$K$3:$K$6125))</f>
        <v>160</v>
      </c>
      <c r="H1094" s="50">
        <f t="array" ref="H1094">SUM(IF(INSTOCK!$H$3:$H$6125=B1094,INSTOCK!$I$3:$I$6125))</f>
        <v>180</v>
      </c>
      <c r="I1094" s="50" t="str">
        <f>ARRAY_CONSTRAIN(ARRAYFORMULA(SUM(IF([3]!Table13[ID]=B1094,[3]!Table13[QTY]))), 1, 1)</f>
        <v>#ERROR!</v>
      </c>
      <c r="J1094" s="50" t="str">
        <f>TABLEITEM!$H$3:$H$2749-TABLEITEM!$I$3:$I$2749</f>
        <v>#ERROR!</v>
      </c>
    </row>
    <row r="1095" ht="15.75" customHeight="1">
      <c r="A1095" s="45"/>
      <c r="B1095" s="18" t="s">
        <v>3114</v>
      </c>
      <c r="C1095" s="26"/>
      <c r="D1095" s="18" t="s">
        <v>8557</v>
      </c>
      <c r="E1095" s="56"/>
      <c r="F1095" s="48" t="s">
        <v>7173</v>
      </c>
      <c r="G1095" s="49">
        <f t="array" ref="G1095">MAX(IF(INSTOCK!$H$3:$H$6125=B1095,INSTOCK!$K$3:$K$6125))</f>
        <v>4000</v>
      </c>
      <c r="H1095" s="50">
        <f t="array" ref="H1095">SUM(IF(INSTOCK!$H$3:$H$6125=B1095,INSTOCK!$I$3:$I$6125))</f>
        <v>1</v>
      </c>
      <c r="I1095" s="50" t="str">
        <f>ARRAY_CONSTRAIN(ARRAYFORMULA(SUM(IF([3]!Table13[ID]=B1095,[3]!Table13[QTY]))), 1, 1)</f>
        <v>#ERROR!</v>
      </c>
      <c r="J1095" s="50" t="str">
        <f>TABLEITEM!$H$3:$H$2749-TABLEITEM!$I$3:$I$2749</f>
        <v>#ERROR!</v>
      </c>
    </row>
    <row r="1096" ht="15.75" customHeight="1">
      <c r="A1096" s="45"/>
      <c r="B1096" s="18" t="s">
        <v>1995</v>
      </c>
      <c r="C1096" s="26"/>
      <c r="D1096" s="18" t="s">
        <v>8558</v>
      </c>
      <c r="E1096" s="56"/>
      <c r="F1096" s="57" t="s">
        <v>7173</v>
      </c>
      <c r="G1096" s="49">
        <f t="array" ref="G1096">MAX(IF(INSTOCK!$H$3:$H$6125=B1096,INSTOCK!$K$3:$K$6125))</f>
        <v>37</v>
      </c>
      <c r="H1096" s="50">
        <f t="array" ref="H1096">SUM(IF(INSTOCK!$H$3:$H$6125=B1096,INSTOCK!$I$3:$I$6125))</f>
        <v>11</v>
      </c>
      <c r="I1096" s="50" t="str">
        <f>ARRAY_CONSTRAIN(ARRAYFORMULA(SUM(IF([3]!Table13[ID]=B1096,[3]!Table13[QTY]))), 1, 1)</f>
        <v>#ERROR!</v>
      </c>
      <c r="J1096" s="50" t="str">
        <f>TABLEITEM!$H$3:$H$2749-TABLEITEM!$I$3:$I$2749</f>
        <v>#ERROR!</v>
      </c>
    </row>
    <row r="1097" ht="15.75" customHeight="1">
      <c r="A1097" s="45"/>
      <c r="B1097" s="10" t="s">
        <v>2586</v>
      </c>
      <c r="C1097" s="26"/>
      <c r="D1097" s="10" t="s">
        <v>8559</v>
      </c>
      <c r="E1097" s="56" t="s">
        <v>8560</v>
      </c>
      <c r="F1097" s="57" t="s">
        <v>7173</v>
      </c>
      <c r="G1097" s="49">
        <f t="array" ref="G1097">MAX(IF(INSTOCK!$H$3:$H$6125=B1097,INSTOCK!$K$3:$K$6125))</f>
        <v>125.93</v>
      </c>
      <c r="H1097" s="50">
        <f t="array" ref="H1097">SUM(IF(INSTOCK!$H$3:$H$6125=B1097,INSTOCK!$I$3:$I$6125))</f>
        <v>15</v>
      </c>
      <c r="I1097" s="50" t="str">
        <f>ARRAY_CONSTRAIN(ARRAYFORMULA(SUM(IF([3]!Table13[ID]=B1097,[3]!Table13[QTY]))), 1, 1)</f>
        <v>#ERROR!</v>
      </c>
      <c r="J1097" s="50" t="str">
        <f>TABLEITEM!$H$3:$H$2749-TABLEITEM!$I$3:$I$2749</f>
        <v>#ERROR!</v>
      </c>
    </row>
    <row r="1098" ht="15.75" customHeight="1">
      <c r="A1098" s="45"/>
      <c r="B1098" s="10" t="s">
        <v>2585</v>
      </c>
      <c r="C1098" s="26"/>
      <c r="D1098" s="10" t="s">
        <v>8561</v>
      </c>
      <c r="E1098" s="56" t="s">
        <v>8560</v>
      </c>
      <c r="F1098" s="57" t="s">
        <v>7173</v>
      </c>
      <c r="G1098" s="49">
        <f t="array" ref="G1098">MAX(IF(INSTOCK!$H$3:$H$6125=B1098,INSTOCK!$K$3:$K$6125))</f>
        <v>33.86</v>
      </c>
      <c r="H1098" s="50">
        <f t="array" ref="H1098">SUM(IF(INSTOCK!$H$3:$H$6125=B1098,INSTOCK!$I$3:$I$6125))</f>
        <v>120</v>
      </c>
      <c r="I1098" s="50" t="str">
        <f>ARRAY_CONSTRAIN(ARRAYFORMULA(SUM(IF([3]!Table13[ID]=B1098,[3]!Table13[QTY]))), 1, 1)</f>
        <v>#ERROR!</v>
      </c>
      <c r="J1098" s="50" t="str">
        <f>TABLEITEM!$H$3:$H$2749-TABLEITEM!$I$3:$I$2749</f>
        <v>#ERROR!</v>
      </c>
    </row>
    <row r="1099" ht="15.75" customHeight="1">
      <c r="A1099" s="45"/>
      <c r="B1099" s="10" t="s">
        <v>2588</v>
      </c>
      <c r="C1099" s="26"/>
      <c r="D1099" s="10" t="s">
        <v>8562</v>
      </c>
      <c r="E1099" s="56" t="s">
        <v>8560</v>
      </c>
      <c r="F1099" s="57" t="s">
        <v>7173</v>
      </c>
      <c r="G1099" s="49">
        <f t="array" ref="G1099">MAX(IF(INSTOCK!$H$3:$H$6125=B1014,INSTOCK!$K$3:$K$6125))</f>
        <v>868.8</v>
      </c>
      <c r="H1099" s="50">
        <f t="array" ref="H1099">SUM(IF(INSTOCK!$H$3:$H$6125=B1099,INSTOCK!$I$3:$I$6125))</f>
        <v>7</v>
      </c>
      <c r="I1099" s="50" t="str">
        <f>ARRAY_CONSTRAIN(ARRAYFORMULA(SUM(IF([3]!Table13[ID]=B1099,[3]!Table13[QTY]))), 1, 1)</f>
        <v>#ERROR!</v>
      </c>
      <c r="J1099" s="50" t="str">
        <f>TABLEITEM!$H$3:$H$2749-TABLEITEM!$I$3:$I$2749</f>
        <v>#ERROR!</v>
      </c>
    </row>
    <row r="1100" ht="15.75" customHeight="1">
      <c r="A1100" s="45"/>
      <c r="B1100" s="18" t="s">
        <v>2587</v>
      </c>
      <c r="C1100" s="26"/>
      <c r="D1100" s="18" t="s">
        <v>8563</v>
      </c>
      <c r="E1100" s="56" t="s">
        <v>8560</v>
      </c>
      <c r="F1100" s="57" t="s">
        <v>7173</v>
      </c>
      <c r="G1100" s="49">
        <f t="array" ref="G1100">MAX(IF(INSTOCK!$H$3:$H$6125=B1100,INSTOCK!$K$3:$K$6125))</f>
        <v>162.16</v>
      </c>
      <c r="H1100" s="50">
        <f t="array" ref="H1100">SUM(IF(INSTOCK!$H$3:$H$6125=B1100,INSTOCK!$I$3:$I$6125))</f>
        <v>35</v>
      </c>
      <c r="I1100" s="50" t="str">
        <f>ARRAY_CONSTRAIN(ARRAYFORMULA(SUM(IF([3]!Table13[ID]=B1100,[3]!Table13[QTY]))), 1, 1)</f>
        <v>#ERROR!</v>
      </c>
      <c r="J1100" s="50" t="str">
        <f>TABLEITEM!$H$3:$H$2749-TABLEITEM!$I$3:$I$2749</f>
        <v>#ERROR!</v>
      </c>
    </row>
    <row r="1101" ht="15.75" customHeight="1">
      <c r="A1101" s="45"/>
      <c r="B1101" s="10" t="s">
        <v>2454</v>
      </c>
      <c r="C1101" s="26"/>
      <c r="D1101" s="10" t="s">
        <v>8564</v>
      </c>
      <c r="E1101" s="56" t="s">
        <v>8560</v>
      </c>
      <c r="F1101" s="57" t="s">
        <v>7173</v>
      </c>
      <c r="G1101" s="49">
        <f t="array" ref="G1101">MAX(IF(INSTOCK!$H$3:$H$6125=B1101,INSTOCK!$K$3:$K$6125))</f>
        <v>47.52</v>
      </c>
      <c r="H1101" s="50">
        <f t="array" ref="H1101">SUM(IF(INSTOCK!$H$3:$H$6125=B1101,INSTOCK!$I$3:$I$6125))</f>
        <v>70</v>
      </c>
      <c r="I1101" s="50" t="str">
        <f>ARRAY_CONSTRAIN(ARRAYFORMULA(SUM(IF([3]!Table13[ID]=B1101,[3]!Table13[QTY]))), 1, 1)</f>
        <v>#ERROR!</v>
      </c>
      <c r="J1101" s="50" t="str">
        <f>TABLEITEM!$H$3:$H$2749-TABLEITEM!$I$3:$I$2749</f>
        <v>#ERROR!</v>
      </c>
    </row>
    <row r="1102" ht="15.75" customHeight="1">
      <c r="A1102" s="45"/>
      <c r="B1102" s="18" t="s">
        <v>2905</v>
      </c>
      <c r="C1102" s="26"/>
      <c r="D1102" s="18" t="s">
        <v>8565</v>
      </c>
      <c r="E1102" s="56" t="s">
        <v>8560</v>
      </c>
      <c r="F1102" s="57" t="s">
        <v>7173</v>
      </c>
      <c r="G1102" s="49">
        <f t="array" ref="G1102">MAX(IF(INSTOCK!$H$3:$H$6125=B1102,INSTOCK!$K$3:$K$6125))</f>
        <v>38</v>
      </c>
      <c r="H1102" s="50">
        <f t="array" ref="H1102">SUM(IF(INSTOCK!$H$3:$H$6125=B1102,INSTOCK!$I$3:$I$6125))</f>
        <v>265</v>
      </c>
      <c r="I1102" s="50" t="str">
        <f>ARRAY_CONSTRAIN(ARRAYFORMULA(SUM(IF([3]!Table13[ID]=B1102,[3]!Table13[QTY]))), 1, 1)</f>
        <v>#ERROR!</v>
      </c>
      <c r="J1102" s="50" t="str">
        <f>TABLEITEM!$H$3:$H$2749-TABLEITEM!$I$3:$I$2749</f>
        <v>#ERROR!</v>
      </c>
    </row>
    <row r="1103" ht="15.75" customHeight="1">
      <c r="A1103" s="45"/>
      <c r="B1103" s="18" t="s">
        <v>3002</v>
      </c>
      <c r="C1103" s="26"/>
      <c r="D1103" s="18" t="s">
        <v>8566</v>
      </c>
      <c r="E1103" s="56"/>
      <c r="F1103" s="57" t="s">
        <v>7173</v>
      </c>
      <c r="G1103" s="49">
        <f t="array" ref="G1103">MAX(IF(INSTOCK!$H$3:$H$6125=B1103,INSTOCK!$K$3:$K$6125))</f>
        <v>25</v>
      </c>
      <c r="H1103" s="50">
        <f t="array" ref="H1103">SUM(IF(INSTOCK!$H$3:$H$6125=B1103,INSTOCK!$I$3:$I$6125))</f>
        <v>1</v>
      </c>
      <c r="I1103" s="50" t="str">
        <f>ARRAY_CONSTRAIN(ARRAYFORMULA(SUM(IF([3]!Table13[ID]=B1103,[3]!Table13[QTY]))), 1, 1)</f>
        <v>#ERROR!</v>
      </c>
      <c r="J1103" s="50" t="str">
        <f>TABLEITEM!$H$3:$H$2749-TABLEITEM!$I$3:$I$2749</f>
        <v>#ERROR!</v>
      </c>
    </row>
    <row r="1104" ht="15.75" customHeight="1">
      <c r="A1104" s="45"/>
      <c r="B1104" s="10" t="s">
        <v>3346</v>
      </c>
      <c r="C1104" s="26"/>
      <c r="D1104" s="10" t="s">
        <v>8567</v>
      </c>
      <c r="E1104" s="56" t="s">
        <v>8568</v>
      </c>
      <c r="F1104" s="57" t="s">
        <v>7173</v>
      </c>
      <c r="G1104" s="49">
        <f t="array" ref="G1104">MAX(IF(INSTOCK!$H$3:$H$6125=B1104,INSTOCK!$K$3:$K$6125))</f>
        <v>71</v>
      </c>
      <c r="H1104" s="50">
        <f t="array" ref="H1104">SUM(IF(INSTOCK!$H$3:$H$6125=B1104,INSTOCK!$I$3:$I$6125))</f>
        <v>10</v>
      </c>
      <c r="I1104" s="50" t="str">
        <f>ARRAY_CONSTRAIN(ARRAYFORMULA(SUM(IF([3]!Table13[ID]=B1104,[3]!Table13[QTY]))), 1, 1)</f>
        <v>#ERROR!</v>
      </c>
      <c r="J1104" s="50" t="str">
        <f>TABLEITEM!$H$3:$H$2749-TABLEITEM!$I$3:$I$2749</f>
        <v>#ERROR!</v>
      </c>
    </row>
    <row r="1105" ht="15.75" customHeight="1">
      <c r="A1105" s="45"/>
      <c r="B1105" s="18" t="s">
        <v>3345</v>
      </c>
      <c r="C1105" s="26"/>
      <c r="D1105" s="10" t="s">
        <v>8569</v>
      </c>
      <c r="E1105" s="56" t="s">
        <v>8568</v>
      </c>
      <c r="F1105" s="57" t="s">
        <v>7173</v>
      </c>
      <c r="G1105" s="49">
        <f t="array" ref="G1105">MAX(IF(INSTOCK!$H$3:$H$6125=B1105,INSTOCK!$K$3:$K$6125))</f>
        <v>32</v>
      </c>
      <c r="H1105" s="50">
        <f t="array" ref="H1105">SUM(IF(INSTOCK!$H$3:$H$6125=B1105,INSTOCK!$I$3:$I$6125))</f>
        <v>20</v>
      </c>
      <c r="I1105" s="50" t="str">
        <f>ARRAY_CONSTRAIN(ARRAYFORMULA(SUM(IF([3]!Table13[ID]=B1105,[3]!Table13[QTY]))), 1, 1)</f>
        <v>#ERROR!</v>
      </c>
      <c r="J1105" s="50" t="str">
        <f>TABLEITEM!$H$3:$H$2749-TABLEITEM!$I$3:$I$2749</f>
        <v>#ERROR!</v>
      </c>
    </row>
    <row r="1106" ht="15.75" customHeight="1">
      <c r="A1106" s="45"/>
      <c r="B1106" s="18" t="s">
        <v>4848</v>
      </c>
      <c r="C1106" s="26"/>
      <c r="D1106" s="18" t="s">
        <v>8570</v>
      </c>
      <c r="E1106" s="56"/>
      <c r="F1106" s="57" t="s">
        <v>7173</v>
      </c>
      <c r="G1106" s="49">
        <f t="array" ref="G1106">MAX(IF(INSTOCK!$H$3:$H$6125=B1106,INSTOCK!$K$3:$K$6125))</f>
        <v>420</v>
      </c>
      <c r="H1106" s="50">
        <f t="array" ref="H1106">SUM(IF(INSTOCK!$H$3:$H$6125=B1106,INSTOCK!$I$3:$I$6125))</f>
        <v>4</v>
      </c>
      <c r="I1106" s="50" t="str">
        <f>ARRAY_CONSTRAIN(ARRAYFORMULA(SUM(IF([3]!Table13[ID]=B1106,[3]!Table13[QTY]))), 1, 1)</f>
        <v>#ERROR!</v>
      </c>
      <c r="J1106" s="50" t="str">
        <f>TABLEITEM!$H$3:$H$2749-TABLEITEM!$I$3:$I$2749</f>
        <v>#ERROR!</v>
      </c>
    </row>
    <row r="1107" ht="15.75" customHeight="1">
      <c r="A1107" s="45"/>
      <c r="B1107" s="10" t="s">
        <v>2547</v>
      </c>
      <c r="C1107" s="26"/>
      <c r="D1107" s="10" t="s">
        <v>8571</v>
      </c>
      <c r="E1107" s="48" t="s">
        <v>8572</v>
      </c>
      <c r="F1107" s="57" t="s">
        <v>7173</v>
      </c>
      <c r="G1107" s="49">
        <f t="array" ref="G1107">MAX(IF(INSTOCK!$H$3:$H$6125=B1107,INSTOCK!$K$3:$K$6125))</f>
        <v>405</v>
      </c>
      <c r="H1107" s="50">
        <f t="array" ref="H1107">SUM(IF(INSTOCK!$H$3:$H$6125=B1107,INSTOCK!$I$3:$I$6125))</f>
        <v>8</v>
      </c>
      <c r="I1107" s="50" t="str">
        <f>ARRAY_CONSTRAIN(ARRAYFORMULA(SUM(IF([3]!Table13[ID]=B1107,[3]!Table13[QTY]))), 1, 1)</f>
        <v>#ERROR!</v>
      </c>
      <c r="J1107" s="50" t="str">
        <f>TABLEITEM!$H$3:$H$2749-TABLEITEM!$I$3:$I$2749</f>
        <v>#ERROR!</v>
      </c>
    </row>
    <row r="1108" ht="15.75" customHeight="1">
      <c r="A1108" s="45">
        <v>178.0</v>
      </c>
      <c r="B1108" s="10" t="s">
        <v>59</v>
      </c>
      <c r="C1108" s="26"/>
      <c r="D1108" s="10" t="s">
        <v>8573</v>
      </c>
      <c r="E1108" s="48" t="s">
        <v>59</v>
      </c>
      <c r="F1108" s="57" t="s">
        <v>7173</v>
      </c>
      <c r="G1108" s="49">
        <f t="array" ref="G1108">MAX(IF(INSTOCK!$H$3:$H$6125=B1108,INSTOCK!$K$3:$K$6125))</f>
        <v>105</v>
      </c>
      <c r="H1108" s="50">
        <f t="array" ref="H1108">SUM(IF(INSTOCK!$H$3:$H$6125=B1108,INSTOCK!$I$3:$I$6125))</f>
        <v>56</v>
      </c>
      <c r="I1108" s="50" t="str">
        <f>ARRAY_CONSTRAIN(ARRAYFORMULA(SUM(IF([3]!Table13[ID]=B1108,[3]!Table13[QTY]))), 1, 1)</f>
        <v>#ERROR!</v>
      </c>
      <c r="J1108" s="50" t="str">
        <f>TABLEITEM!$H$3:$H$2749-TABLEITEM!$I$3:$I$2749</f>
        <v>#ERROR!</v>
      </c>
    </row>
    <row r="1109" ht="15.75" customHeight="1">
      <c r="A1109" s="45"/>
      <c r="B1109" s="10" t="s">
        <v>2282</v>
      </c>
      <c r="C1109" s="26"/>
      <c r="D1109" s="10" t="s">
        <v>8574</v>
      </c>
      <c r="E1109" s="48"/>
      <c r="F1109" s="48" t="s">
        <v>7173</v>
      </c>
      <c r="G1109" s="49">
        <f t="array" ref="G1109">MAX(IF(INSTOCK!$H$3:$H$6125=B1109,INSTOCK!$K$3:$K$6125))</f>
        <v>650</v>
      </c>
      <c r="H1109" s="50">
        <f t="array" ref="H1109">SUM(IF(INSTOCK!$H$3:$H$6125=B1109,INSTOCK!$I$3:$I$6125))</f>
        <v>190.5</v>
      </c>
      <c r="I1109" s="50" t="str">
        <f>ARRAY_CONSTRAIN(ARRAYFORMULA(SUM(IF([3]!Table13[ID]=B1109,[3]!Table13[QTY]))), 1, 1)</f>
        <v>#ERROR!</v>
      </c>
      <c r="J1109" s="50" t="str">
        <f>TABLEITEM!$H$3:$H$2749-TABLEITEM!$I$3:$I$2749</f>
        <v>#ERROR!</v>
      </c>
    </row>
    <row r="1110" ht="15.75" customHeight="1">
      <c r="A1110" s="45">
        <v>156.0</v>
      </c>
      <c r="B1110" s="10" t="s">
        <v>37</v>
      </c>
      <c r="C1110" s="26"/>
      <c r="D1110" s="10" t="s">
        <v>697</v>
      </c>
      <c r="E1110" s="48" t="s">
        <v>8575</v>
      </c>
      <c r="F1110" s="57" t="s">
        <v>7173</v>
      </c>
      <c r="G1110" s="49">
        <f t="array" ref="G1110">MAX(IF(INSTOCK!$H$3:$H$6125=B1110,INSTOCK!$K$3:$K$6125))</f>
        <v>145</v>
      </c>
      <c r="H1110" s="50">
        <f t="array" ref="H1110">SUM(IF(INSTOCK!$H$3:$H$6125=B1110,INSTOCK!$I$3:$I$6125))</f>
        <v>116</v>
      </c>
      <c r="I1110" s="50" t="str">
        <f>ARRAY_CONSTRAIN(ARRAYFORMULA(SUM(IF([3]!Table13[ID]=B1110,[3]!Table13[QTY]))), 1, 1)</f>
        <v>#ERROR!</v>
      </c>
      <c r="J1110" s="50" t="str">
        <f>TABLEITEM!$H$3:$H$2749-TABLEITEM!$I$3:$I$2749</f>
        <v>#ERROR!</v>
      </c>
    </row>
    <row r="1111" ht="15.75" customHeight="1">
      <c r="A1111" s="45">
        <v>155.0</v>
      </c>
      <c r="B1111" s="10" t="s">
        <v>36</v>
      </c>
      <c r="C1111" s="26"/>
      <c r="D1111" s="10" t="s">
        <v>8576</v>
      </c>
      <c r="E1111" s="48" t="s">
        <v>8575</v>
      </c>
      <c r="F1111" s="57" t="s">
        <v>7173</v>
      </c>
      <c r="G1111" s="49">
        <f t="array" ref="G1111">MAX(IF(INSTOCK!$H$3:$H$6125=B1111,INSTOCK!$K$3:$K$6125))</f>
        <v>145</v>
      </c>
      <c r="H1111" s="50">
        <f t="array" ref="H1111">SUM(IF(INSTOCK!$H$3:$H$6125=B1111,INSTOCK!$I$3:$I$6125))</f>
        <v>1</v>
      </c>
      <c r="I1111" s="50" t="str">
        <f>ARRAY_CONSTRAIN(ARRAYFORMULA(SUM(IF([3]!Table13[ID]=B1111,[3]!Table13[QTY]))), 1, 1)</f>
        <v>#ERROR!</v>
      </c>
      <c r="J1111" s="50" t="str">
        <f>TABLEITEM!$H$3:$H$2749-TABLEITEM!$I$3:$I$2749</f>
        <v>#ERROR!</v>
      </c>
    </row>
    <row r="1112" ht="15.75" customHeight="1">
      <c r="A1112" s="45"/>
      <c r="B1112" s="10" t="s">
        <v>7038</v>
      </c>
      <c r="C1112" s="26"/>
      <c r="D1112" s="10" t="s">
        <v>8577</v>
      </c>
      <c r="E1112" s="48"/>
      <c r="F1112" s="57" t="s">
        <v>7173</v>
      </c>
      <c r="G1112" s="49">
        <f t="array" ref="G1112">MAX(IF(INSTOCK!$H$3:$H$6125=B1112,INSTOCK!$K$3:$K$6125))</f>
        <v>13</v>
      </c>
      <c r="H1112" s="50">
        <f t="array" ref="H1112">SUM(IF(INSTOCK!$H$3:$H$6125=B1112,INSTOCK!$I$3:$I$6125))</f>
        <v>10</v>
      </c>
      <c r="I1112" s="50" t="str">
        <f>ARRAY_CONSTRAIN(ARRAYFORMULA(SUM(IF([3]!Table13[ID]=B1112,[3]!Table13[QTY]))), 1, 1)</f>
        <v>#ERROR!</v>
      </c>
      <c r="J1112" s="50" t="str">
        <f>TABLEITEM!$H$3:$H$2749-TABLEITEM!$I$3:$I$2749</f>
        <v>#ERROR!</v>
      </c>
    </row>
    <row r="1113" ht="15.75" customHeight="1">
      <c r="A1113" s="45">
        <v>305.0</v>
      </c>
      <c r="B1113" s="10" t="s">
        <v>186</v>
      </c>
      <c r="C1113" s="26"/>
      <c r="D1113" s="10" t="s">
        <v>8578</v>
      </c>
      <c r="E1113" s="48" t="s">
        <v>8579</v>
      </c>
      <c r="F1113" s="57" t="s">
        <v>7173</v>
      </c>
      <c r="G1113" s="49">
        <f t="array" ref="G1113">MAX(IF(INSTOCK!$H$3:$H$6125=B1113,INSTOCK!$K$3:$K$6125))</f>
        <v>8</v>
      </c>
      <c r="H1113" s="50">
        <f t="array" ref="H1113">SUM(IF(INSTOCK!$H$3:$H$6125=B1113,INSTOCK!$I$3:$I$6125))</f>
        <v>2909</v>
      </c>
      <c r="I1113" s="50" t="str">
        <f>ARRAY_CONSTRAIN(ARRAYFORMULA(SUM(IF([3]!Table13[ID]=B1113,[3]!Table13[QTY]))), 1, 1)</f>
        <v>#ERROR!</v>
      </c>
      <c r="J1113" s="50" t="str">
        <f>TABLEITEM!$H$3:$H$2749-TABLEITEM!$I$3:$I$2749</f>
        <v>#ERROR!</v>
      </c>
    </row>
    <row r="1114" ht="15.75" customHeight="1">
      <c r="A1114" s="45"/>
      <c r="B1114" s="10" t="s">
        <v>3312</v>
      </c>
      <c r="C1114" s="26"/>
      <c r="D1114" s="10" t="s">
        <v>8580</v>
      </c>
      <c r="E1114" s="48" t="s">
        <v>1289</v>
      </c>
      <c r="F1114" s="57" t="s">
        <v>7173</v>
      </c>
      <c r="G1114" s="49">
        <f t="array" ref="G1114">MAX(IF(INSTOCK!$H$3:$H$6125=B1114,INSTOCK!$K$3:$K$6125))</f>
        <v>120</v>
      </c>
      <c r="H1114" s="50">
        <f t="array" ref="H1114">SUM(IF(INSTOCK!$H$3:$H$6125=B1114,INSTOCK!$I$3:$I$6125))</f>
        <v>6</v>
      </c>
      <c r="I1114" s="50" t="str">
        <f>ARRAY_CONSTRAIN(ARRAYFORMULA(SUM(IF([3]!Table13[ID]=B1114,[3]!Table13[QTY]))), 1, 1)</f>
        <v>#ERROR!</v>
      </c>
      <c r="J1114" s="50" t="str">
        <f>TABLEITEM!$H$3:$H$2749-TABLEITEM!$I$3:$I$2749</f>
        <v>#ERROR!</v>
      </c>
    </row>
    <row r="1115" ht="15.75" customHeight="1">
      <c r="A1115" s="45"/>
      <c r="B1115" s="10" t="s">
        <v>3088</v>
      </c>
      <c r="C1115" s="26"/>
      <c r="D1115" s="10" t="s">
        <v>8581</v>
      </c>
      <c r="E1115" s="48"/>
      <c r="F1115" s="48" t="s">
        <v>7173</v>
      </c>
      <c r="G1115" s="49">
        <f t="array" ref="G1115">MAX(IF(INSTOCK!$H$3:$H$6125=B1115,INSTOCK!$K$3:$K$6125))</f>
        <v>16</v>
      </c>
      <c r="H1115" s="50">
        <f t="array" ref="H1115">SUM(IF(INSTOCK!$H$3:$H$6125=B1115,INSTOCK!$I$3:$I$6125))</f>
        <v>3</v>
      </c>
      <c r="I1115" s="50" t="str">
        <f>ARRAY_CONSTRAIN(ARRAYFORMULA(SUM(IF([3]!Table13[ID]=B1115,[3]!Table13[QTY]))), 1, 1)</f>
        <v>#ERROR!</v>
      </c>
      <c r="J1115" s="50" t="str">
        <f>TABLEITEM!$H$3:$H$2749-TABLEITEM!$I$3:$I$2749</f>
        <v>#ERROR!</v>
      </c>
    </row>
    <row r="1116" ht="15.75" customHeight="1">
      <c r="A1116" s="45"/>
      <c r="B1116" s="18" t="s">
        <v>3006</v>
      </c>
      <c r="C1116" s="26"/>
      <c r="D1116" s="18" t="s">
        <v>8582</v>
      </c>
      <c r="E1116" s="48"/>
      <c r="F1116" s="48" t="s">
        <v>7173</v>
      </c>
      <c r="G1116" s="49">
        <f t="array" ref="G1116">MAX(IF(INSTOCK!$H$3:$H$6125=B1116,INSTOCK!$K$3:$K$6125))</f>
        <v>25</v>
      </c>
      <c r="H1116" s="50">
        <f t="array" ref="H1116">SUM(IF(INSTOCK!$H$3:$H$6125=B1116,INSTOCK!$I$3:$I$6125))</f>
        <v>11</v>
      </c>
      <c r="I1116" s="50" t="str">
        <f>ARRAY_CONSTRAIN(ARRAYFORMULA(SUM(IF([3]!Table13[ID]=B1116,[3]!Table13[QTY]))), 1, 1)</f>
        <v>#ERROR!</v>
      </c>
      <c r="J1116" s="50" t="str">
        <f>TABLEITEM!$H$3:$H$2749-TABLEITEM!$I$3:$I$2749</f>
        <v>#ERROR!</v>
      </c>
    </row>
    <row r="1117" ht="15.75" customHeight="1">
      <c r="A1117" s="45"/>
      <c r="B1117" s="18" t="s">
        <v>8583</v>
      </c>
      <c r="C1117" s="26"/>
      <c r="D1117" s="18" t="s">
        <v>2166</v>
      </c>
      <c r="E1117" s="18" t="s">
        <v>7439</v>
      </c>
      <c r="F1117" s="57" t="s">
        <v>7173</v>
      </c>
      <c r="G1117" s="49">
        <f t="array" ref="G1117">MAX(IF(INSTOCK!$H$3:$H$6125=B1117,INSTOCK!$K$3:$K$6125))</f>
        <v>0</v>
      </c>
      <c r="H1117" s="50">
        <f t="array" ref="H1117">SUM(IF(INSTOCK!$H$3:$H$6125=B1117,INSTOCK!$I$3:$I$6125))</f>
        <v>0</v>
      </c>
      <c r="I1117" s="50" t="str">
        <f>ARRAY_CONSTRAIN(ARRAYFORMULA(SUM(IF([3]!Table13[ID]=B1117,[3]!Table13[QTY]))), 1, 1)</f>
        <v>#ERROR!</v>
      </c>
      <c r="J1117" s="50" t="str">
        <f>TABLEITEM!$H$3:$H$2749-TABLEITEM!$I$3:$I$2749</f>
        <v>#ERROR!</v>
      </c>
    </row>
    <row r="1118" ht="15.75" customHeight="1">
      <c r="A1118" s="45"/>
      <c r="B1118" s="10" t="s">
        <v>1656</v>
      </c>
      <c r="C1118" s="26"/>
      <c r="D1118" s="10" t="s">
        <v>8584</v>
      </c>
      <c r="E1118" s="48" t="s">
        <v>1657</v>
      </c>
      <c r="F1118" s="57" t="s">
        <v>8129</v>
      </c>
      <c r="G1118" s="49">
        <f t="array" ref="G1118">MAX(IF(INSTOCK!$H$3:$H$6125=B1118,INSTOCK!$K$3:$K$6125))</f>
        <v>2150</v>
      </c>
      <c r="H1118" s="50">
        <f t="array" ref="H1118">SUM(IF(INSTOCK!$H$3:$H$6125=B1118,INSTOCK!$I$3:$I$6125))</f>
        <v>1</v>
      </c>
      <c r="I1118" s="50" t="str">
        <f>ARRAY_CONSTRAIN(ARRAYFORMULA(SUM(IF([3]!Table13[ID]=B1118,[3]!Table13[QTY]))), 1, 1)</f>
        <v>#ERROR!</v>
      </c>
      <c r="J1118" s="50" t="str">
        <f>TABLEITEM!$H$3:$H$2749-TABLEITEM!$I$3:$I$2749</f>
        <v>#ERROR!</v>
      </c>
    </row>
    <row r="1119" ht="15.75" customHeight="1">
      <c r="A1119" s="45"/>
      <c r="B1119" s="10" t="s">
        <v>2466</v>
      </c>
      <c r="C1119" s="26"/>
      <c r="D1119" s="10" t="s">
        <v>8585</v>
      </c>
      <c r="E1119" s="48"/>
      <c r="F1119" s="48" t="s">
        <v>8187</v>
      </c>
      <c r="G1119" s="49">
        <f t="array" ref="G1119">MAX(IF(INSTOCK!$H$3:$H$6125=B1119,INSTOCK!$K$3:$K$6125))</f>
        <v>3800</v>
      </c>
      <c r="H1119" s="50">
        <f t="array" ref="H1119">SUM(IF(INSTOCK!$H$3:$H$6125=B1119,INSTOCK!$I$3:$I$6125))</f>
        <v>3</v>
      </c>
      <c r="I1119" s="50" t="str">
        <f>ARRAY_CONSTRAIN(ARRAYFORMULA(SUM(IF([3]!Table13[ID]=B1119,[3]!Table13[QTY]))), 1, 1)</f>
        <v>#ERROR!</v>
      </c>
      <c r="J1119" s="50" t="str">
        <f>TABLEITEM!$H$3:$H$2749-TABLEITEM!$I$3:$I$2749</f>
        <v>#ERROR!</v>
      </c>
    </row>
    <row r="1120" ht="15.75" customHeight="1">
      <c r="A1120" s="45"/>
      <c r="B1120" s="18" t="s">
        <v>2942</v>
      </c>
      <c r="C1120" s="26"/>
      <c r="D1120" s="18" t="s">
        <v>8586</v>
      </c>
      <c r="E1120" s="48" t="s">
        <v>8587</v>
      </c>
      <c r="F1120" s="48" t="s">
        <v>8187</v>
      </c>
      <c r="G1120" s="49">
        <f t="array" ref="G1120">MAX(IF(INSTOCK!$H$3:$H$6125=B1120,INSTOCK!$K$3:$K$6125))</f>
        <v>1600000</v>
      </c>
      <c r="H1120" s="50">
        <f t="array" ref="H1120">SUM(IF(INSTOCK!$H$3:$H$6125=B1120,INSTOCK!$I$3:$I$6125))</f>
        <v>1</v>
      </c>
      <c r="I1120" s="50" t="str">
        <f>ARRAY_CONSTRAIN(ARRAYFORMULA(SUM(IF([3]!Table13[ID]=B1120,[3]!Table13[QTY]))), 1, 1)</f>
        <v>#ERROR!</v>
      </c>
      <c r="J1120" s="50" t="str">
        <f>TABLEITEM!$H$3:$H$2749-TABLEITEM!$I$3:$I$2749</f>
        <v>#ERROR!</v>
      </c>
    </row>
    <row r="1121" ht="15.75" customHeight="1">
      <c r="A1121" s="45"/>
      <c r="B1121" s="18" t="s">
        <v>8588</v>
      </c>
      <c r="C1121" s="26"/>
      <c r="D1121" s="18" t="s">
        <v>8589</v>
      </c>
      <c r="E1121" s="48" t="s">
        <v>8590</v>
      </c>
      <c r="F1121" s="57" t="s">
        <v>7173</v>
      </c>
      <c r="G1121" s="49">
        <f t="array" ref="G1121">MAX(IF(INSTOCK!$H$3:$H$6125=B1121,INSTOCK!$K$3:$K$6125))</f>
        <v>0</v>
      </c>
      <c r="H1121" s="50">
        <f t="array" ref="H1121">SUM(IF(INSTOCK!$H$3:$H$6125=B1121,INSTOCK!$I$3:$I$6125))</f>
        <v>0</v>
      </c>
      <c r="I1121" s="50" t="str">
        <f>ARRAY_CONSTRAIN(ARRAYFORMULA(SUM(IF([3]!Table13[ID]=B1121,[3]!Table13[QTY]))), 1, 1)</f>
        <v>#ERROR!</v>
      </c>
      <c r="J1121" s="50" t="str">
        <f>TABLEITEM!$H$3:$H$2749-TABLEITEM!$I$3:$I$2749</f>
        <v>#ERROR!</v>
      </c>
    </row>
    <row r="1122" ht="15.75" customHeight="1">
      <c r="A1122" s="45"/>
      <c r="B1122" s="10" t="s">
        <v>8591</v>
      </c>
      <c r="C1122" s="26"/>
      <c r="D1122" s="10" t="s">
        <v>8592</v>
      </c>
      <c r="E1122" s="48" t="s">
        <v>7437</v>
      </c>
      <c r="F1122" s="57" t="s">
        <v>7173</v>
      </c>
      <c r="G1122" s="49">
        <f t="array" ref="G1122">MAX(IF(INSTOCK!$H$3:$H$6125=B1122,INSTOCK!$K$3:$K$6125))</f>
        <v>0</v>
      </c>
      <c r="H1122" s="50">
        <f t="array" ref="H1122">SUM(IF(INSTOCK!$H$3:$H$6125=B1122,INSTOCK!$I$3:$I$6125))</f>
        <v>0</v>
      </c>
      <c r="I1122" s="50" t="str">
        <f>ARRAY_CONSTRAIN(ARRAYFORMULA(SUM(IF([3]!Table13[ID]=B1122,[3]!Table13[QTY]))), 1, 1)</f>
        <v>#ERROR!</v>
      </c>
      <c r="J1122" s="50" t="str">
        <f>TABLEITEM!$H$3:$H$2749-TABLEITEM!$I$3:$I$2749</f>
        <v>#ERROR!</v>
      </c>
    </row>
    <row r="1123" ht="15.75" customHeight="1">
      <c r="A1123" s="45"/>
      <c r="B1123" s="10" t="s">
        <v>8593</v>
      </c>
      <c r="C1123" s="26"/>
      <c r="D1123" s="10" t="s">
        <v>8594</v>
      </c>
      <c r="E1123" s="48" t="s">
        <v>7437</v>
      </c>
      <c r="F1123" s="57" t="s">
        <v>7173</v>
      </c>
      <c r="G1123" s="49">
        <f t="array" ref="G1123">MAX(IF(INSTOCK!$H$3:$H$6125=B1123,INSTOCK!$K$3:$K$6125))</f>
        <v>0</v>
      </c>
      <c r="H1123" s="50">
        <f t="array" ref="H1123">SUM(IF(INSTOCK!$H$3:$H$6125=B1123,INSTOCK!$I$3:$I$6125))</f>
        <v>0</v>
      </c>
      <c r="I1123" s="50" t="str">
        <f>ARRAY_CONSTRAIN(ARRAYFORMULA(SUM(IF([3]!Table13[ID]=B1123,[3]!Table13[QTY]))), 1, 1)</f>
        <v>#ERROR!</v>
      </c>
      <c r="J1123" s="50" t="str">
        <f>TABLEITEM!$H$3:$H$2749-TABLEITEM!$I$3:$I$2749</f>
        <v>#ERROR!</v>
      </c>
    </row>
    <row r="1124" ht="15.75" customHeight="1">
      <c r="A1124" s="45"/>
      <c r="B1124" s="10" t="s">
        <v>8595</v>
      </c>
      <c r="C1124" s="26"/>
      <c r="D1124" s="10" t="s">
        <v>8596</v>
      </c>
      <c r="E1124" s="48" t="s">
        <v>7437</v>
      </c>
      <c r="F1124" s="57" t="s">
        <v>7173</v>
      </c>
      <c r="G1124" s="49">
        <f t="array" ref="G1124">MAX(IF(INSTOCK!$H$3:$H$6125=B1124,INSTOCK!$K$3:$K$6125))</f>
        <v>0</v>
      </c>
      <c r="H1124" s="50">
        <f t="array" ref="H1124">SUM(IF(INSTOCK!$H$3:$H$6125=B1124,INSTOCK!$I$3:$I$6125))</f>
        <v>0</v>
      </c>
      <c r="I1124" s="50" t="str">
        <f>ARRAY_CONSTRAIN(ARRAYFORMULA(SUM(IF([3]!Table13[ID]=B1124,[3]!Table13[QTY]))), 1, 1)</f>
        <v>#ERROR!</v>
      </c>
      <c r="J1124" s="50" t="str">
        <f>TABLEITEM!$H$3:$H$2749-TABLEITEM!$I$3:$I$2749</f>
        <v>#ERROR!</v>
      </c>
    </row>
    <row r="1125" ht="15.75" customHeight="1">
      <c r="A1125" s="45"/>
      <c r="B1125" s="10" t="s">
        <v>8597</v>
      </c>
      <c r="C1125" s="26"/>
      <c r="D1125" s="10" t="s">
        <v>8598</v>
      </c>
      <c r="E1125" s="48" t="s">
        <v>7437</v>
      </c>
      <c r="F1125" s="57" t="s">
        <v>7173</v>
      </c>
      <c r="G1125" s="49">
        <f t="array" ref="G1125">MAX(IF(INSTOCK!$H$3:$H$6125=B1125,INSTOCK!$K$3:$K$6125))</f>
        <v>0</v>
      </c>
      <c r="H1125" s="50">
        <f t="array" ref="H1125">SUM(IF(INSTOCK!$H$3:$H$6125=B1125,INSTOCK!$I$3:$I$6125))</f>
        <v>0</v>
      </c>
      <c r="I1125" s="50" t="str">
        <f>ARRAY_CONSTRAIN(ARRAYFORMULA(SUM(IF([3]!Table13[ID]=B1125,[3]!Table13[QTY]))), 1, 1)</f>
        <v>#ERROR!</v>
      </c>
      <c r="J1125" s="50" t="str">
        <f>TABLEITEM!$H$3:$H$2749-TABLEITEM!$I$3:$I$2749</f>
        <v>#ERROR!</v>
      </c>
    </row>
    <row r="1126" ht="15.75" customHeight="1">
      <c r="A1126" s="45"/>
      <c r="B1126" s="10" t="s">
        <v>8599</v>
      </c>
      <c r="C1126" s="26"/>
      <c r="D1126" s="10" t="s">
        <v>8600</v>
      </c>
      <c r="E1126" s="48" t="s">
        <v>7437</v>
      </c>
      <c r="F1126" s="57" t="s">
        <v>7173</v>
      </c>
      <c r="G1126" s="49">
        <f t="array" ref="G1126">MAX(IF(INSTOCK!$H$3:$H$6125=B1126,INSTOCK!$K$3:$K$6125))</f>
        <v>0</v>
      </c>
      <c r="H1126" s="50">
        <f t="array" ref="H1126">SUM(IF(INSTOCK!$H$3:$H$6125=B1126,INSTOCK!$I$3:$I$6125))</f>
        <v>0</v>
      </c>
      <c r="I1126" s="50" t="str">
        <f>ARRAY_CONSTRAIN(ARRAYFORMULA(SUM(IF([3]!Table13[ID]=B1126,[3]!Table13[QTY]))), 1, 1)</f>
        <v>#ERROR!</v>
      </c>
      <c r="J1126" s="50" t="str">
        <f>TABLEITEM!$H$3:$H$2749-TABLEITEM!$I$3:$I$2749</f>
        <v>#ERROR!</v>
      </c>
    </row>
    <row r="1127" ht="15.75" customHeight="1">
      <c r="A1127" s="45"/>
      <c r="B1127" s="10" t="s">
        <v>8601</v>
      </c>
      <c r="C1127" s="26"/>
      <c r="D1127" s="10" t="s">
        <v>8602</v>
      </c>
      <c r="E1127" s="48" t="s">
        <v>7437</v>
      </c>
      <c r="F1127" s="57" t="s">
        <v>7173</v>
      </c>
      <c r="G1127" s="49">
        <f t="array" ref="G1127">MAX(IF(INSTOCK!$H$3:$H$6125=B1127,INSTOCK!$K$3:$K$6125))</f>
        <v>0</v>
      </c>
      <c r="H1127" s="50">
        <f t="array" ref="H1127">SUM(IF(INSTOCK!$H$3:$H$6125=B1127,INSTOCK!$I$3:$I$6125))</f>
        <v>0</v>
      </c>
      <c r="I1127" s="50" t="str">
        <f>ARRAY_CONSTRAIN(ARRAYFORMULA(SUM(IF([3]!Table13[ID]=B1127,[3]!Table13[QTY]))), 1, 1)</f>
        <v>#ERROR!</v>
      </c>
      <c r="J1127" s="50" t="str">
        <f>TABLEITEM!$H$3:$H$2749-TABLEITEM!$I$3:$I$2749</f>
        <v>#ERROR!</v>
      </c>
    </row>
    <row r="1128" ht="15.75" customHeight="1">
      <c r="A1128" s="45"/>
      <c r="B1128" s="10" t="s">
        <v>8603</v>
      </c>
      <c r="C1128" s="26"/>
      <c r="D1128" s="10" t="s">
        <v>8604</v>
      </c>
      <c r="E1128" s="48" t="s">
        <v>7437</v>
      </c>
      <c r="F1128" s="57" t="s">
        <v>7173</v>
      </c>
      <c r="G1128" s="49">
        <f t="array" ref="G1128">MAX(IF(INSTOCK!$H$3:$H$6125=B1128,INSTOCK!$K$3:$K$6125))</f>
        <v>0</v>
      </c>
      <c r="H1128" s="50">
        <f t="array" ref="H1128">SUM(IF(INSTOCK!$H$3:$H$6125=B1128,INSTOCK!$I$3:$I$6125))</f>
        <v>0</v>
      </c>
      <c r="I1128" s="50" t="str">
        <f>ARRAY_CONSTRAIN(ARRAYFORMULA(SUM(IF([3]!Table13[ID]=B1128,[3]!Table13[QTY]))), 1, 1)</f>
        <v>#ERROR!</v>
      </c>
      <c r="J1128" s="50" t="str">
        <f>TABLEITEM!$H$3:$H$2749-TABLEITEM!$I$3:$I$2749</f>
        <v>#ERROR!</v>
      </c>
    </row>
    <row r="1129" ht="15.75" customHeight="1">
      <c r="A1129" s="45"/>
      <c r="B1129" s="18" t="s">
        <v>8605</v>
      </c>
      <c r="C1129" s="26"/>
      <c r="D1129" s="18" t="s">
        <v>8606</v>
      </c>
      <c r="E1129" s="56" t="s">
        <v>7437</v>
      </c>
      <c r="F1129" s="57" t="s">
        <v>7173</v>
      </c>
      <c r="G1129" s="49">
        <f t="array" ref="G1129">MAX(IF(INSTOCK!$H$3:$H$6125=B1129,INSTOCK!$K$3:$K$6125))</f>
        <v>0</v>
      </c>
      <c r="H1129" s="50">
        <f t="array" ref="H1129">SUM(IF(INSTOCK!$H$3:$H$6125=B1129,INSTOCK!$I$3:$I$6125))</f>
        <v>0</v>
      </c>
      <c r="I1129" s="50" t="str">
        <f>ARRAY_CONSTRAIN(ARRAYFORMULA(SUM(IF([3]!Table13[ID]=B1129,[3]!Table13[QTY]))), 1, 1)</f>
        <v>#ERROR!</v>
      </c>
      <c r="J1129" s="50" t="str">
        <f>TABLEITEM!$H$3:$H$2749-TABLEITEM!$I$3:$I$2749</f>
        <v>#ERROR!</v>
      </c>
    </row>
    <row r="1130" ht="15.75" customHeight="1">
      <c r="A1130" s="45"/>
      <c r="B1130" s="18" t="s">
        <v>8607</v>
      </c>
      <c r="C1130" s="26"/>
      <c r="D1130" s="18" t="s">
        <v>8608</v>
      </c>
      <c r="E1130" s="56" t="s">
        <v>7437</v>
      </c>
      <c r="F1130" s="57" t="s">
        <v>7173</v>
      </c>
      <c r="G1130" s="49">
        <f t="array" ref="G1130">MAX(IF(INSTOCK!$H$3:$H$6125=B1130,INSTOCK!$K$3:$K$6125))</f>
        <v>0</v>
      </c>
      <c r="H1130" s="50">
        <f t="array" ref="H1130">SUM(IF(INSTOCK!$H$3:$H$6125=B1130,INSTOCK!$I$3:$I$6125))</f>
        <v>0</v>
      </c>
      <c r="I1130" s="50" t="str">
        <f>ARRAY_CONSTRAIN(ARRAYFORMULA(SUM(IF([3]!Table13[ID]=B1130,[3]!Table13[QTY]))), 1, 1)</f>
        <v>#ERROR!</v>
      </c>
      <c r="J1130" s="50" t="str">
        <f>TABLEITEM!$H$3:$H$2749-TABLEITEM!$I$3:$I$2749</f>
        <v>#ERROR!</v>
      </c>
    </row>
    <row r="1131" ht="15.75" customHeight="1">
      <c r="A1131" s="45"/>
      <c r="B1131" s="18" t="s">
        <v>8609</v>
      </c>
      <c r="C1131" s="26"/>
      <c r="D1131" s="18" t="s">
        <v>8610</v>
      </c>
      <c r="E1131" s="56" t="s">
        <v>7437</v>
      </c>
      <c r="F1131" s="57" t="s">
        <v>7173</v>
      </c>
      <c r="G1131" s="49">
        <f t="array" ref="G1131">MAX(IF(INSTOCK!$H$3:$H$6125=B1131,INSTOCK!$K$3:$K$6125))</f>
        <v>0</v>
      </c>
      <c r="H1131" s="50">
        <f t="array" ref="H1131">SUM(IF(INSTOCK!$H$3:$H$6125=B1131,INSTOCK!$I$3:$I$6125))</f>
        <v>0</v>
      </c>
      <c r="I1131" s="50" t="str">
        <f>ARRAY_CONSTRAIN(ARRAYFORMULA(SUM(IF([3]!Table13[ID]=B1131,[3]!Table13[QTY]))), 1, 1)</f>
        <v>#ERROR!</v>
      </c>
      <c r="J1131" s="50" t="str">
        <f>TABLEITEM!$H$3:$H$2749-TABLEITEM!$I$3:$I$2749</f>
        <v>#ERROR!</v>
      </c>
    </row>
    <row r="1132" ht="15.75" customHeight="1">
      <c r="A1132" s="45"/>
      <c r="B1132" s="18" t="s">
        <v>8611</v>
      </c>
      <c r="C1132" s="26"/>
      <c r="D1132" s="18" t="s">
        <v>8612</v>
      </c>
      <c r="E1132" s="56" t="s">
        <v>7437</v>
      </c>
      <c r="F1132" s="57" t="s">
        <v>7173</v>
      </c>
      <c r="G1132" s="49">
        <f t="array" ref="G1132">MAX(IF(INSTOCK!$H$3:$H$6125=B1132,INSTOCK!$K$3:$K$6125))</f>
        <v>0</v>
      </c>
      <c r="H1132" s="50">
        <f t="array" ref="H1132">SUM(IF(INSTOCK!$H$3:$H$6125=B1132,INSTOCK!$I$3:$I$6125))</f>
        <v>0</v>
      </c>
      <c r="I1132" s="50" t="str">
        <f>ARRAY_CONSTRAIN(ARRAYFORMULA(SUM(IF([3]!Table13[ID]=B1132,[3]!Table13[QTY]))), 1, 1)</f>
        <v>#ERROR!</v>
      </c>
      <c r="J1132" s="50" t="str">
        <f>TABLEITEM!$H$3:$H$2749-TABLEITEM!$I$3:$I$2749</f>
        <v>#ERROR!</v>
      </c>
    </row>
    <row r="1133" ht="15.75" customHeight="1">
      <c r="A1133" s="45"/>
      <c r="B1133" s="18" t="s">
        <v>1551</v>
      </c>
      <c r="C1133" s="26"/>
      <c r="D1133" s="18" t="s">
        <v>8613</v>
      </c>
      <c r="E1133" s="56"/>
      <c r="F1133" s="57" t="s">
        <v>7173</v>
      </c>
      <c r="G1133" s="49">
        <f t="array" ref="G1133">MAX(IF(INSTOCK!$H$3:$H$6125=B1133,INSTOCK!$K$3:$K$6125))</f>
        <v>9</v>
      </c>
      <c r="H1133" s="50">
        <f t="array" ref="H1133">SUM(IF(INSTOCK!$H$3:$H$6125=B1133,INSTOCK!$I$3:$I$6125))</f>
        <v>20</v>
      </c>
      <c r="I1133" s="50" t="str">
        <f>ARRAY_CONSTRAIN(ARRAYFORMULA(SUM(IF([3]!Table13[ID]=B1133,[3]!Table13[QTY]))), 1, 1)</f>
        <v>#ERROR!</v>
      </c>
      <c r="J1133" s="50" t="str">
        <f>TABLEITEM!$H$3:$H$2749-TABLEITEM!$I$3:$I$2749</f>
        <v>#ERROR!</v>
      </c>
    </row>
    <row r="1134" ht="15.75" customHeight="1">
      <c r="A1134" s="45"/>
      <c r="B1134" s="18" t="s">
        <v>1550</v>
      </c>
      <c r="C1134" s="26"/>
      <c r="D1134" s="18" t="s">
        <v>8614</v>
      </c>
      <c r="E1134" s="56"/>
      <c r="F1134" s="57" t="s">
        <v>7173</v>
      </c>
      <c r="G1134" s="49">
        <f t="array" ref="G1134">MAX(IF(INSTOCK!$H$3:$H$6125=B1134,INSTOCK!$K$3:$K$6125))</f>
        <v>6</v>
      </c>
      <c r="H1134" s="50">
        <f t="array" ref="H1134">SUM(IF(INSTOCK!$H$3:$H$6125=B1134,INSTOCK!$I$3:$I$6125))</f>
        <v>20</v>
      </c>
      <c r="I1134" s="50" t="str">
        <f>ARRAY_CONSTRAIN(ARRAYFORMULA(SUM(IF([3]!Table13[ID]=B1134,[3]!Table13[QTY]))), 1, 1)</f>
        <v>#ERROR!</v>
      </c>
      <c r="J1134" s="50" t="str">
        <f>TABLEITEM!$H$3:$H$2749-TABLEITEM!$I$3:$I$2749</f>
        <v>#ERROR!</v>
      </c>
    </row>
    <row r="1135" ht="15.75" customHeight="1">
      <c r="A1135" s="45"/>
      <c r="B1135" s="10" t="s">
        <v>2927</v>
      </c>
      <c r="C1135" s="26"/>
      <c r="D1135" s="10" t="s">
        <v>8615</v>
      </c>
      <c r="E1135" s="48"/>
      <c r="F1135" s="48" t="s">
        <v>7173</v>
      </c>
      <c r="G1135" s="49">
        <f t="array" ref="G1135">MAX(IF(INSTOCK!$H$3:$H$6125=B1135,INSTOCK!$K$3:$K$6125))</f>
        <v>580</v>
      </c>
      <c r="H1135" s="50">
        <f t="array" ref="H1135">SUM(IF(INSTOCK!$H$3:$H$6125=B1135,INSTOCK!$I$3:$I$6125))</f>
        <v>40</v>
      </c>
      <c r="I1135" s="50" t="str">
        <f>ARRAY_CONSTRAIN(ARRAYFORMULA(SUM(IF([3]!Table13[ID]=B1135,[3]!Table13[QTY]))), 1, 1)</f>
        <v>#ERROR!</v>
      </c>
      <c r="J1135" s="50" t="str">
        <f>TABLEITEM!$H$3:$H$2749-TABLEITEM!$I$3:$I$2749</f>
        <v>#ERROR!</v>
      </c>
    </row>
    <row r="1136" ht="15.75" customHeight="1">
      <c r="A1136" s="45"/>
      <c r="B1136" s="18" t="s">
        <v>2529</v>
      </c>
      <c r="C1136" s="26"/>
      <c r="D1136" s="10" t="s">
        <v>8616</v>
      </c>
      <c r="E1136" s="48"/>
      <c r="F1136" s="57" t="s">
        <v>7189</v>
      </c>
      <c r="G1136" s="49">
        <f t="array" ref="G1136">MAX(IF(INSTOCK!$H$3:$H$6125=B1136,INSTOCK!$K$3:$K$6125))</f>
        <v>20600</v>
      </c>
      <c r="H1136" s="50">
        <f t="array" ref="H1136">SUM(IF(INSTOCK!$H$3:$H$6125=B1136,INSTOCK!$I$3:$I$6125))</f>
        <v>19867</v>
      </c>
      <c r="I1136" s="50" t="str">
        <f>ARRAY_CONSTRAIN(ARRAYFORMULA(SUM(IF([3]!Table13[ID]=B1136,[3]!Table13[QTY]))), 1, 1)</f>
        <v>#ERROR!</v>
      </c>
      <c r="J1136" s="50" t="str">
        <f>TABLEITEM!$H$3:$H$2749-TABLEITEM!$I$3:$I$2749</f>
        <v>#ERROR!</v>
      </c>
    </row>
    <row r="1137" ht="15.75" customHeight="1">
      <c r="A1137" s="45"/>
      <c r="B1137" s="18" t="s">
        <v>3159</v>
      </c>
      <c r="C1137" s="26"/>
      <c r="D1137" s="18" t="s">
        <v>8617</v>
      </c>
      <c r="E1137" s="56" t="s">
        <v>8618</v>
      </c>
      <c r="F1137" s="57" t="s">
        <v>7173</v>
      </c>
      <c r="G1137" s="49">
        <f t="array" ref="G1137">MAX(IF(INSTOCK!$H$3:$H$6125=B1137,INSTOCK!$K$3:$K$6125))</f>
        <v>500</v>
      </c>
      <c r="H1137" s="50">
        <f t="array" ref="H1137">SUM(IF(INSTOCK!$H$3:$H$6125=B1137,INSTOCK!$I$3:$I$6125))</f>
        <v>2</v>
      </c>
      <c r="I1137" s="50" t="str">
        <f>ARRAY_CONSTRAIN(ARRAYFORMULA(SUM(IF([3]!Table13[ID]=B1137,[3]!Table13[QTY]))), 1, 1)</f>
        <v>#ERROR!</v>
      </c>
      <c r="J1137" s="50" t="str">
        <f>TABLEITEM!$H$3:$H$2749-TABLEITEM!$I$3:$I$2749</f>
        <v>#ERROR!</v>
      </c>
    </row>
    <row r="1138" ht="15.75" customHeight="1">
      <c r="A1138" s="45"/>
      <c r="B1138" s="10" t="s">
        <v>2837</v>
      </c>
      <c r="C1138" s="26"/>
      <c r="D1138" s="10" t="s">
        <v>8619</v>
      </c>
      <c r="E1138" s="48" t="s">
        <v>7185</v>
      </c>
      <c r="F1138" s="57" t="s">
        <v>7173</v>
      </c>
      <c r="G1138" s="49">
        <f t="array" ref="G1138">MAX(IF(INSTOCK!$H$3:$H$6125=B1138,INSTOCK!$K$3:$K$6125))</f>
        <v>408</v>
      </c>
      <c r="H1138" s="50">
        <f t="array" ref="H1138">SUM(IF(INSTOCK!$H$3:$H$6125=B1138,INSTOCK!$I$3:$I$6125))</f>
        <v>2</v>
      </c>
      <c r="I1138" s="50" t="str">
        <f>ARRAY_CONSTRAIN(ARRAYFORMULA(SUM(IF([3]!Table13[ID]=B1138,[3]!Table13[QTY]))), 1, 1)</f>
        <v>#ERROR!</v>
      </c>
      <c r="J1138" s="50" t="str">
        <f>TABLEITEM!$H$3:$H$2749-TABLEITEM!$I$3:$I$2749</f>
        <v>#ERROR!</v>
      </c>
    </row>
    <row r="1139" ht="15.75" customHeight="1">
      <c r="A1139" s="45"/>
      <c r="B1139" s="10" t="s">
        <v>3968</v>
      </c>
      <c r="C1139" s="26"/>
      <c r="D1139" s="10" t="s">
        <v>8620</v>
      </c>
      <c r="E1139" s="48"/>
      <c r="F1139" s="57" t="s">
        <v>7173</v>
      </c>
      <c r="G1139" s="49">
        <f t="array" ref="G1139">MAX(IF(INSTOCK!$H$3:$H$6125=B1139,INSTOCK!$K$3:$K$6125))</f>
        <v>56</v>
      </c>
      <c r="H1139" s="50">
        <f t="array" ref="H1139">SUM(IF(INSTOCK!$H$3:$H$6125=B1139,INSTOCK!$I$3:$I$6125))</f>
        <v>18</v>
      </c>
      <c r="I1139" s="50" t="str">
        <f>ARRAY_CONSTRAIN(ARRAYFORMULA(SUM(IF([3]!Table13[ID]=B1139,[3]!Table13[QTY]))), 1, 1)</f>
        <v>#ERROR!</v>
      </c>
      <c r="J1139" s="50" t="str">
        <f>TABLEITEM!$H$3:$H$2749-TABLEITEM!$I$3:$I$2749</f>
        <v>#ERROR!</v>
      </c>
    </row>
    <row r="1140" ht="15.75" customHeight="1">
      <c r="A1140" s="45"/>
      <c r="B1140" s="10" t="s">
        <v>2922</v>
      </c>
      <c r="C1140" s="26"/>
      <c r="D1140" s="10" t="s">
        <v>8621</v>
      </c>
      <c r="E1140" s="48"/>
      <c r="F1140" s="57" t="s">
        <v>7173</v>
      </c>
      <c r="G1140" s="49">
        <f t="array" ref="G1140">MAX(IF(INSTOCK!$H$3:$H$6125=B1140,INSTOCK!$K$3:$K$6125))</f>
        <v>10000</v>
      </c>
      <c r="H1140" s="50">
        <f t="array" ref="H1140">SUM(IF(INSTOCK!$H$3:$H$6125=B1140,INSTOCK!$I$3:$I$6125))</f>
        <v>1</v>
      </c>
      <c r="I1140" s="50" t="str">
        <f>ARRAY_CONSTRAIN(ARRAYFORMULA(SUM(IF([3]!Table13[ID]=B1140,[3]!Table13[QTY]))), 1, 1)</f>
        <v>#ERROR!</v>
      </c>
      <c r="J1140" s="50" t="str">
        <f>TABLEITEM!$H$3:$H$2749-TABLEITEM!$I$3:$I$2749</f>
        <v>#ERROR!</v>
      </c>
    </row>
    <row r="1141" ht="15.75" customHeight="1">
      <c r="A1141" s="45"/>
      <c r="B1141" s="10" t="s">
        <v>2151</v>
      </c>
      <c r="C1141" s="26"/>
      <c r="D1141" s="10" t="s">
        <v>8622</v>
      </c>
      <c r="E1141" s="48" t="s">
        <v>7647</v>
      </c>
      <c r="F1141" s="57" t="s">
        <v>7173</v>
      </c>
      <c r="G1141" s="49">
        <f t="array" ref="G1141">MAX(IF(INSTOCK!$H$3:$H$6125=B1141,INSTOCK!$K$3:$K$6125))</f>
        <v>1600</v>
      </c>
      <c r="H1141" s="50">
        <f t="array" ref="H1141">SUM(IF(INSTOCK!$H$3:$H$6125=B1141,INSTOCK!$I$3:$I$6125))</f>
        <v>11</v>
      </c>
      <c r="I1141" s="50" t="str">
        <f>ARRAY_CONSTRAIN(ARRAYFORMULA(SUM(IF([3]!Table13[ID]=B1141,[3]!Table13[QTY]))), 1, 1)</f>
        <v>#ERROR!</v>
      </c>
      <c r="J1141" s="50" t="str">
        <f>TABLEITEM!$H$3:$H$2749-TABLEITEM!$I$3:$I$2749</f>
        <v>#ERROR!</v>
      </c>
    </row>
    <row r="1142" ht="15.75" customHeight="1">
      <c r="A1142" s="45"/>
      <c r="B1142" s="18" t="s">
        <v>3056</v>
      </c>
      <c r="C1142" s="26"/>
      <c r="D1142" s="18" t="s">
        <v>8623</v>
      </c>
      <c r="E1142" s="48" t="s">
        <v>5103</v>
      </c>
      <c r="F1142" s="48" t="s">
        <v>7173</v>
      </c>
      <c r="G1142" s="49">
        <f t="array" ref="G1142">MAX(IF(INSTOCK!$H$3:$H$6125=B1142,INSTOCK!$K$3:$K$6125))</f>
        <v>1650</v>
      </c>
      <c r="H1142" s="50">
        <f t="array" ref="H1142">SUM(IF(INSTOCK!$H$3:$H$6125=B1142,INSTOCK!$I$3:$I$6125))</f>
        <v>3</v>
      </c>
      <c r="I1142" s="50" t="str">
        <f>ARRAY_CONSTRAIN(ARRAYFORMULA(SUM(IF([3]!Table13[ID]=B1142,[3]!Table13[QTY]))), 1, 1)</f>
        <v>#ERROR!</v>
      </c>
      <c r="J1142" s="50" t="str">
        <f>TABLEITEM!$H$3:$H$2749-TABLEITEM!$I$3:$I$2749</f>
        <v>#ERROR!</v>
      </c>
    </row>
    <row r="1143" ht="15.75" customHeight="1">
      <c r="A1143" s="45"/>
      <c r="B1143" s="10" t="s">
        <v>4054</v>
      </c>
      <c r="C1143" s="26"/>
      <c r="D1143" s="10" t="s">
        <v>8624</v>
      </c>
      <c r="E1143" s="48" t="s">
        <v>8625</v>
      </c>
      <c r="F1143" s="57" t="s">
        <v>7173</v>
      </c>
      <c r="G1143" s="49">
        <f t="array" ref="G1143">MAX(IF(INSTOCK!$H$3:$H$6125=B1143,INSTOCK!$K$3:$K$6125))</f>
        <v>420.56</v>
      </c>
      <c r="H1143" s="50">
        <f t="array" ref="H1143">SUM(IF(INSTOCK!$H$3:$H$6125=B1143,INSTOCK!$I$3:$I$6125))</f>
        <v>6</v>
      </c>
      <c r="I1143" s="50" t="str">
        <f>ARRAY_CONSTRAIN(ARRAYFORMULA(SUM(IF([3]!Table13[ID]=B1143,[3]!Table13[QTY]))), 1, 1)</f>
        <v>#ERROR!</v>
      </c>
      <c r="J1143" s="50" t="str">
        <f>TABLEITEM!$H$3:$H$2749-TABLEITEM!$I$3:$I$2749</f>
        <v>#ERROR!</v>
      </c>
    </row>
    <row r="1144" ht="15.75" customHeight="1">
      <c r="A1144" s="45"/>
      <c r="B1144" s="18" t="s">
        <v>2553</v>
      </c>
      <c r="C1144" s="26"/>
      <c r="D1144" s="18" t="s">
        <v>8626</v>
      </c>
      <c r="E1144" s="56" t="s">
        <v>8627</v>
      </c>
      <c r="F1144" s="57" t="s">
        <v>7173</v>
      </c>
      <c r="G1144" s="49">
        <f t="array" ref="G1144">MAX(IF(INSTOCK!$H$3:$H$6125=B1144,INSTOCK!$K$3:$K$6125))</f>
        <v>7566</v>
      </c>
      <c r="H1144" s="50">
        <f t="array" ref="H1144">SUM(IF(INSTOCK!$H$3:$H$6125=B1144,INSTOCK!$I$3:$I$6125))</f>
        <v>1</v>
      </c>
      <c r="I1144" s="50" t="str">
        <f>ARRAY_CONSTRAIN(ARRAYFORMULA(SUM(IF([3]!Table13[ID]=B1144,[3]!Table13[QTY]))), 1, 1)</f>
        <v>#ERROR!</v>
      </c>
      <c r="J1144" s="50" t="str">
        <f>TABLEITEM!$H$3:$H$2749-TABLEITEM!$I$3:$I$2749</f>
        <v>#ERROR!</v>
      </c>
    </row>
    <row r="1145" ht="15.75" customHeight="1">
      <c r="A1145" s="45"/>
      <c r="B1145" s="18" t="s">
        <v>2356</v>
      </c>
      <c r="C1145" s="26"/>
      <c r="D1145" s="18" t="s">
        <v>8628</v>
      </c>
      <c r="E1145" s="56" t="s">
        <v>8629</v>
      </c>
      <c r="F1145" s="57" t="s">
        <v>7189</v>
      </c>
      <c r="G1145" s="49" t="str">
        <f t="array" ref="G1145">MAX(IF(INSTOCK!$H$3:$H$6125=#REF!,INSTOCK!$K$3:$K$6125))</f>
        <v>#REF!</v>
      </c>
      <c r="H1145" s="50">
        <f t="array" ref="H1145">SUM(IF(INSTOCK!$H$3:$H$6125=B1145,INSTOCK!$I$3:$I$6125))</f>
        <v>2</v>
      </c>
      <c r="I1145" s="50" t="str">
        <f>ARRAY_CONSTRAIN(ARRAYFORMULA(SUM(IF([3]!Table13[ID]=B1145,[3]!Table13[QTY]))), 1, 1)</f>
        <v>#ERROR!</v>
      </c>
      <c r="J1145" s="50" t="str">
        <f>TABLEITEM!$H$3:$H$2749-TABLEITEM!$I$3:$I$2749</f>
        <v>#ERROR!</v>
      </c>
    </row>
    <row r="1146" ht="15.75" customHeight="1">
      <c r="A1146" s="45"/>
      <c r="B1146" s="10" t="s">
        <v>995</v>
      </c>
      <c r="C1146" s="26"/>
      <c r="D1146" s="18" t="s">
        <v>996</v>
      </c>
      <c r="E1146" s="56" t="s">
        <v>8629</v>
      </c>
      <c r="F1146" s="57" t="s">
        <v>7189</v>
      </c>
      <c r="G1146" s="49">
        <f t="array" ref="G1146">MAX(IF(INSTOCK!$H$3:$H$6125=B1146,INSTOCK!$K$3:$K$6125))</f>
        <v>21</v>
      </c>
      <c r="H1146" s="50">
        <f t="array" ref="H1146">SUM(IF(INSTOCK!$H$3:$H$6125=B1146,INSTOCK!$I$3:$I$6125))</f>
        <v>380</v>
      </c>
      <c r="I1146" s="50" t="str">
        <f>ARRAY_CONSTRAIN(ARRAYFORMULA(SUM(IF([3]!Table13[ID]=B1146,[3]!Table13[QTY]))), 1, 1)</f>
        <v>#ERROR!</v>
      </c>
      <c r="J1146" s="50" t="str">
        <f>TABLEITEM!$H$3:$H$2749-TABLEITEM!$I$3:$I$2749</f>
        <v>#ERROR!</v>
      </c>
    </row>
    <row r="1147" ht="15.75" customHeight="1">
      <c r="A1147" s="45"/>
      <c r="B1147" s="18" t="s">
        <v>986</v>
      </c>
      <c r="C1147" s="26"/>
      <c r="D1147" s="18" t="s">
        <v>987</v>
      </c>
      <c r="E1147" s="56" t="s">
        <v>8629</v>
      </c>
      <c r="F1147" s="57" t="s">
        <v>7189</v>
      </c>
      <c r="G1147" s="49">
        <f t="array" ref="G1147">MAX(IF(INSTOCK!$H$3:$H$6125=B1147,INSTOCK!$K$3:$K$6125))</f>
        <v>41</v>
      </c>
      <c r="H1147" s="50">
        <f t="array" ref="H1147">SUM(IF(INSTOCK!$H$3:$H$6125=B1147,INSTOCK!$I$3:$I$6125))</f>
        <v>5040</v>
      </c>
      <c r="I1147" s="50" t="str">
        <f>ARRAY_CONSTRAIN(ARRAYFORMULA(SUM(IF([3]!Table13[ID]=B1147,[3]!Table13[QTY]))), 1, 1)</f>
        <v>#ERROR!</v>
      </c>
      <c r="J1147" s="50" t="str">
        <f>TABLEITEM!$H$3:$H$2749-TABLEITEM!$I$3:$I$2749</f>
        <v>#ERROR!</v>
      </c>
    </row>
    <row r="1148" ht="15.75" customHeight="1">
      <c r="A1148" s="45"/>
      <c r="B1148" s="18" t="s">
        <v>991</v>
      </c>
      <c r="C1148" s="26"/>
      <c r="D1148" s="18" t="s">
        <v>992</v>
      </c>
      <c r="E1148" s="56" t="s">
        <v>8629</v>
      </c>
      <c r="F1148" s="57" t="s">
        <v>7189</v>
      </c>
      <c r="G1148" s="49">
        <f t="array" ref="G1148">MAX(IF(INSTOCK!$H$3:$H$6125=B1148,INSTOCK!$K$3:$K$6125))</f>
        <v>18</v>
      </c>
      <c r="H1148" s="50">
        <f t="array" ref="H1148">SUM(IF(INSTOCK!$H$3:$H$6125=B1148,INSTOCK!$I$3:$I$6125))</f>
        <v>920</v>
      </c>
      <c r="I1148" s="50" t="str">
        <f>ARRAY_CONSTRAIN(ARRAYFORMULA(SUM(IF([3]!Table13[ID]=B1148,[3]!Table13[QTY]))), 1, 1)</f>
        <v>#ERROR!</v>
      </c>
      <c r="J1148" s="50" t="str">
        <f>TABLEITEM!$H$3:$H$2749-TABLEITEM!$I$3:$I$2749</f>
        <v>#ERROR!</v>
      </c>
    </row>
    <row r="1149" ht="15.75" customHeight="1">
      <c r="A1149" s="45"/>
      <c r="B1149" s="10" t="s">
        <v>983</v>
      </c>
      <c r="C1149" s="26"/>
      <c r="D1149" s="10" t="s">
        <v>984</v>
      </c>
      <c r="E1149" s="48" t="s">
        <v>8629</v>
      </c>
      <c r="F1149" s="57" t="s">
        <v>7189</v>
      </c>
      <c r="G1149" s="49">
        <f t="array" ref="G1149">MAX(IF(INSTOCK!$H$3:$H$6125=B1149,INSTOCK!$K$3:$K$6125))</f>
        <v>37</v>
      </c>
      <c r="H1149" s="50">
        <f t="array" ref="H1149">SUM(IF(INSTOCK!$H$3:$H$6125=B1149,INSTOCK!$I$3:$I$6125))</f>
        <v>3440</v>
      </c>
      <c r="I1149" s="50" t="str">
        <f>ARRAY_CONSTRAIN(ARRAYFORMULA(SUM(IF([3]!Table13[ID]=B1149,[3]!Table13[QTY]))), 1, 1)</f>
        <v>#ERROR!</v>
      </c>
      <c r="J1149" s="50" t="str">
        <f>TABLEITEM!$H$3:$H$2749-TABLEITEM!$I$3:$I$2749</f>
        <v>#ERROR!</v>
      </c>
    </row>
    <row r="1150" ht="15.75" customHeight="1">
      <c r="A1150" s="45">
        <v>283.0</v>
      </c>
      <c r="B1150" s="10" t="s">
        <v>164</v>
      </c>
      <c r="C1150" s="26"/>
      <c r="D1150" s="10" t="s">
        <v>8630</v>
      </c>
      <c r="E1150" s="48" t="s">
        <v>7172</v>
      </c>
      <c r="F1150" s="57" t="s">
        <v>7173</v>
      </c>
      <c r="G1150" s="49">
        <f t="array" ref="G1150">MAX(IF(INSTOCK!$H$3:$H$6125=B1150,INSTOCK!$K$3:$K$6125))</f>
        <v>0.79</v>
      </c>
      <c r="H1150" s="50">
        <f t="array" ref="H1150">SUM(IF(INSTOCK!$H$3:$H$6125=B1150,INSTOCK!$I$3:$I$6125))</f>
        <v>20600</v>
      </c>
      <c r="I1150" s="50" t="str">
        <f>ARRAY_CONSTRAIN(ARRAYFORMULA(SUM(IF([3]!Table13[ID]=B1150,[3]!Table13[QTY]))), 1, 1)</f>
        <v>#ERROR!</v>
      </c>
      <c r="J1150" s="50" t="str">
        <f>TABLEITEM!$H$3:$H$2749-TABLEITEM!$I$3:$I$2749</f>
        <v>#ERROR!</v>
      </c>
    </row>
    <row r="1151" ht="15.75" customHeight="1">
      <c r="A1151" s="45">
        <v>282.0</v>
      </c>
      <c r="B1151" s="10" t="s">
        <v>163</v>
      </c>
      <c r="C1151" s="26"/>
      <c r="D1151" s="10" t="s">
        <v>8631</v>
      </c>
      <c r="E1151" s="48" t="s">
        <v>7172</v>
      </c>
      <c r="F1151" s="57" t="s">
        <v>7173</v>
      </c>
      <c r="G1151" s="49">
        <f t="array" ref="G1151">MAX(IF(INSTOCK!$H$3:$H$6125=B1151,INSTOCK!$K$3:$K$6125))</f>
        <v>0.69</v>
      </c>
      <c r="H1151" s="50">
        <f t="array" ref="H1151">SUM(IF(INSTOCK!$H$3:$H$6125=B1151,INSTOCK!$I$3:$I$6125))</f>
        <v>4700</v>
      </c>
      <c r="I1151" s="50" t="str">
        <f>ARRAY_CONSTRAIN(ARRAYFORMULA(SUM(IF([3]!Table13[ID]=B1151,[3]!Table13[QTY]))), 1, 1)</f>
        <v>#ERROR!</v>
      </c>
      <c r="J1151" s="50" t="str">
        <f>TABLEITEM!$H$3:$H$2749-TABLEITEM!$I$3:$I$2749</f>
        <v>#ERROR!</v>
      </c>
    </row>
    <row r="1152" ht="15.75" customHeight="1">
      <c r="A1152" s="45">
        <v>281.0</v>
      </c>
      <c r="B1152" s="10" t="s">
        <v>162</v>
      </c>
      <c r="C1152" s="26"/>
      <c r="D1152" s="10" t="s">
        <v>8632</v>
      </c>
      <c r="E1152" s="48" t="s">
        <v>7172</v>
      </c>
      <c r="F1152" s="57" t="s">
        <v>7173</v>
      </c>
      <c r="G1152" s="49">
        <f t="array" ref="G1152">MAX(IF(INSTOCK!$H$3:$H$6125=B1152,INSTOCK!$K$3:$K$6125))</f>
        <v>0.45</v>
      </c>
      <c r="H1152" s="50">
        <f t="array" ref="H1152">SUM(IF(INSTOCK!$H$3:$H$6125=B1152,INSTOCK!$I$3:$I$6125))</f>
        <v>2300</v>
      </c>
      <c r="I1152" s="50" t="str">
        <f>ARRAY_CONSTRAIN(ARRAYFORMULA(SUM(IF([3]!Table13[ID]=B1152,[3]!Table13[QTY]))), 1, 1)</f>
        <v>#ERROR!</v>
      </c>
      <c r="J1152" s="50" t="str">
        <f>TABLEITEM!$H$3:$H$2749-TABLEITEM!$I$3:$I$2749</f>
        <v>#ERROR!</v>
      </c>
    </row>
    <row r="1153" ht="15.75" customHeight="1">
      <c r="A1153" s="45">
        <v>280.0</v>
      </c>
      <c r="B1153" s="10" t="s">
        <v>161</v>
      </c>
      <c r="C1153" s="26"/>
      <c r="D1153" s="10" t="s">
        <v>8633</v>
      </c>
      <c r="E1153" s="48" t="s">
        <v>7172</v>
      </c>
      <c r="F1153" s="57" t="s">
        <v>7173</v>
      </c>
      <c r="G1153" s="49">
        <f t="array" ref="G1153">MAX(IF(INSTOCK!$H$3:$H$6125=B1153,INSTOCK!$K$3:$K$6125))</f>
        <v>0.45</v>
      </c>
      <c r="H1153" s="50">
        <f t="array" ref="H1153">SUM(IF(INSTOCK!$H$3:$H$6125=B1153,INSTOCK!$I$3:$I$6125))</f>
        <v>1300</v>
      </c>
      <c r="I1153" s="50" t="str">
        <f>ARRAY_CONSTRAIN(ARRAYFORMULA(SUM(IF([3]!Table13[ID]=B1153,[3]!Table13[QTY]))), 1, 1)</f>
        <v>#ERROR!</v>
      </c>
      <c r="J1153" s="50" t="str">
        <f>TABLEITEM!$H$3:$H$2749-TABLEITEM!$I$3:$I$2749</f>
        <v>#ERROR!</v>
      </c>
    </row>
    <row r="1154" ht="15.75" customHeight="1">
      <c r="A1154" s="45">
        <v>279.0</v>
      </c>
      <c r="B1154" s="10" t="s">
        <v>160</v>
      </c>
      <c r="C1154" s="26"/>
      <c r="D1154" s="10" t="s">
        <v>8634</v>
      </c>
      <c r="E1154" s="48" t="s">
        <v>7172</v>
      </c>
      <c r="F1154" s="57" t="s">
        <v>7173</v>
      </c>
      <c r="G1154" s="49">
        <f t="array" ref="G1154">MAX(IF(INSTOCK!$H$3:$H$6125=B1154,INSTOCK!$K$3:$K$6125))</f>
        <v>1.08</v>
      </c>
      <c r="H1154" s="50">
        <f t="array" ref="H1154">SUM(IF(INSTOCK!$H$3:$H$6125=B1154,INSTOCK!$I$3:$I$6125))</f>
        <v>13100</v>
      </c>
      <c r="I1154" s="50" t="str">
        <f>ARRAY_CONSTRAIN(ARRAYFORMULA(SUM(IF([3]!Table13[ID]=B1154,[3]!Table13[QTY]))), 1, 1)</f>
        <v>#ERROR!</v>
      </c>
      <c r="J1154" s="50" t="str">
        <f>TABLEITEM!$H$3:$H$2749-TABLEITEM!$I$3:$I$2749</f>
        <v>#ERROR!</v>
      </c>
    </row>
    <row r="1155" ht="15.75" customHeight="1">
      <c r="A1155" s="45">
        <v>278.0</v>
      </c>
      <c r="B1155" s="18" t="s">
        <v>159</v>
      </c>
      <c r="C1155" s="26"/>
      <c r="D1155" s="18" t="s">
        <v>1137</v>
      </c>
      <c r="E1155" s="48" t="s">
        <v>7172</v>
      </c>
      <c r="F1155" s="57" t="s">
        <v>7173</v>
      </c>
      <c r="G1155" s="49">
        <f t="array" ref="G1155">MAX(IF(INSTOCK!$H$3:$H$6125=B1155,INSTOCK!$K$3:$K$6125))</f>
        <v>1.0476</v>
      </c>
      <c r="H1155" s="50">
        <f t="array" ref="H1155">SUM(IF(INSTOCK!$H$3:$H$6125=B1155,INSTOCK!$I$3:$I$6125))</f>
        <v>40200</v>
      </c>
      <c r="I1155" s="50" t="str">
        <f>ARRAY_CONSTRAIN(ARRAYFORMULA(SUM(IF([3]!Table13[ID]=B1155,[3]!Table13[QTY]))), 1, 1)</f>
        <v>#ERROR!</v>
      </c>
      <c r="J1155" s="50" t="str">
        <f>TABLEITEM!$H$3:$H$2749-TABLEITEM!$I$3:$I$2749</f>
        <v>#ERROR!</v>
      </c>
    </row>
    <row r="1156" ht="15.75" customHeight="1">
      <c r="A1156" s="45">
        <v>285.0</v>
      </c>
      <c r="B1156" s="18" t="s">
        <v>166</v>
      </c>
      <c r="C1156" s="26"/>
      <c r="D1156" s="18" t="s">
        <v>1139</v>
      </c>
      <c r="E1156" s="56" t="s">
        <v>7172</v>
      </c>
      <c r="F1156" s="57" t="s">
        <v>7173</v>
      </c>
      <c r="G1156" s="49">
        <f t="array" ref="G1156">MAX(IF(INSTOCK!$H$3:$H$6125=B1156,INSTOCK!$K$3:$K$6125))</f>
        <v>1.7</v>
      </c>
      <c r="H1156" s="50">
        <f t="array" ref="H1156">SUM(IF(INSTOCK!$H$3:$H$6125=B1156,INSTOCK!$I$3:$I$6125))</f>
        <v>5700</v>
      </c>
      <c r="I1156" s="50" t="str">
        <f>ARRAY_CONSTRAIN(ARRAYFORMULA(SUM(IF([3]!Table13[ID]=B1156,[3]!Table13[QTY]))), 1, 1)</f>
        <v>#ERROR!</v>
      </c>
      <c r="J1156" s="50" t="str">
        <f>TABLEITEM!$H$3:$H$2749-TABLEITEM!$I$3:$I$2749</f>
        <v>#ERROR!</v>
      </c>
    </row>
    <row r="1157" ht="15.75" customHeight="1">
      <c r="A1157" s="45">
        <v>284.0</v>
      </c>
      <c r="B1157" s="18" t="s">
        <v>165</v>
      </c>
      <c r="C1157" s="26"/>
      <c r="D1157" s="18" t="s">
        <v>8635</v>
      </c>
      <c r="E1157" s="56" t="s">
        <v>7172</v>
      </c>
      <c r="F1157" s="57" t="s">
        <v>7173</v>
      </c>
      <c r="G1157" s="49">
        <f t="array" ref="G1157">MAX(IF(INSTOCK!$H$3:$H$6125=B1157,INSTOCK!$K$3:$K$6125))</f>
        <v>1.48</v>
      </c>
      <c r="H1157" s="50">
        <f t="array" ref="H1157">SUM(IF(INSTOCK!$H$3:$H$6125=B1157,INSTOCK!$I$3:$I$6125))</f>
        <v>3200</v>
      </c>
      <c r="I1157" s="50" t="str">
        <f>ARRAY_CONSTRAIN(ARRAYFORMULA(SUM(IF([3]!Table13[ID]=B1157,[3]!Table13[QTY]))), 1, 1)</f>
        <v>#ERROR!</v>
      </c>
      <c r="J1157" s="50" t="str">
        <f>TABLEITEM!$H$3:$H$2749-TABLEITEM!$I$3:$I$2749</f>
        <v>#ERROR!</v>
      </c>
    </row>
    <row r="1158" ht="15.75" customHeight="1">
      <c r="A1158" s="45"/>
      <c r="B1158" s="18" t="s">
        <v>8636</v>
      </c>
      <c r="C1158" s="26"/>
      <c r="D1158" s="18" t="s">
        <v>8637</v>
      </c>
      <c r="E1158" s="56" t="s">
        <v>1446</v>
      </c>
      <c r="F1158" s="57" t="s">
        <v>7173</v>
      </c>
      <c r="G1158" s="49">
        <f t="array" ref="G1158">MAX(IF(INSTOCK!$H$3:$H$6125=B1158,INSTOCK!$K$3:$K$6125))</f>
        <v>0</v>
      </c>
      <c r="H1158" s="50">
        <f t="array" ref="H1158">SUM(IF(INSTOCK!$H$3:$H$6125=B1158,INSTOCK!$I$3:$I$6125))</f>
        <v>0</v>
      </c>
      <c r="I1158" s="50" t="str">
        <f>ARRAY_CONSTRAIN(ARRAYFORMULA(SUM(IF([3]!Table13[ID]=B1158,[3]!Table13[QTY]))), 1, 1)</f>
        <v>#ERROR!</v>
      </c>
      <c r="J1158" s="50" t="str">
        <f>TABLEITEM!$H$3:$H$2749-TABLEITEM!$I$3:$I$2749</f>
        <v>#ERROR!</v>
      </c>
    </row>
    <row r="1159" ht="15.75" customHeight="1">
      <c r="A1159" s="45"/>
      <c r="B1159" s="10" t="s">
        <v>8638</v>
      </c>
      <c r="C1159" s="26"/>
      <c r="D1159" s="10" t="s">
        <v>8639</v>
      </c>
      <c r="E1159" s="56" t="s">
        <v>1446</v>
      </c>
      <c r="F1159" s="57" t="s">
        <v>7173</v>
      </c>
      <c r="G1159" s="49">
        <f t="array" ref="G1159">MAX(IF(INSTOCK!$H$3:$H$6125=B1159,INSTOCK!$K$3:$K$6125))</f>
        <v>0</v>
      </c>
      <c r="H1159" s="50">
        <f t="array" ref="H1159">SUM(IF(INSTOCK!$H$3:$H$6125=B1159,INSTOCK!$I$3:$I$6125))</f>
        <v>0</v>
      </c>
      <c r="I1159" s="50" t="str">
        <f>ARRAY_CONSTRAIN(ARRAYFORMULA(SUM(IF([3]!Table13[ID]=B1159,[3]!Table13[QTY]))), 1, 1)</f>
        <v>#ERROR!</v>
      </c>
      <c r="J1159" s="50" t="str">
        <f>TABLEITEM!$H$3:$H$2749-TABLEITEM!$I$3:$I$2749</f>
        <v>#ERROR!</v>
      </c>
    </row>
    <row r="1160" ht="15.75" customHeight="1">
      <c r="A1160" s="45"/>
      <c r="B1160" s="10" t="s">
        <v>1133</v>
      </c>
      <c r="C1160" s="26"/>
      <c r="D1160" s="10" t="s">
        <v>1134</v>
      </c>
      <c r="E1160" s="56" t="s">
        <v>8640</v>
      </c>
      <c r="F1160" s="57" t="s">
        <v>7173</v>
      </c>
      <c r="G1160" s="49">
        <f t="array" ref="G1160">MAX(IF(INSTOCK!$H$3:$H$6125=B1160,INSTOCK!$K$3:$K$6125))</f>
        <v>13.8</v>
      </c>
      <c r="H1160" s="50">
        <f t="array" ref="H1160">SUM(IF(INSTOCK!$H$3:$H$6125=B1160,INSTOCK!$I$3:$I$6125))</f>
        <v>30</v>
      </c>
      <c r="I1160" s="50" t="str">
        <f>ARRAY_CONSTRAIN(ARRAYFORMULA(SUM(IF([3]!Table13[ID]=B1160,[3]!Table13[QTY]))), 1, 1)</f>
        <v>#ERROR!</v>
      </c>
      <c r="J1160" s="50" t="str">
        <f>TABLEITEM!$H$3:$H$2749-TABLEITEM!$I$3:$I$2749</f>
        <v>#ERROR!</v>
      </c>
    </row>
    <row r="1161" ht="15.75" customHeight="1">
      <c r="A1161" s="45">
        <v>300.0</v>
      </c>
      <c r="B1161" s="10" t="s">
        <v>181</v>
      </c>
      <c r="C1161" s="26"/>
      <c r="D1161" s="10" t="s">
        <v>8641</v>
      </c>
      <c r="E1161" s="56" t="s">
        <v>8642</v>
      </c>
      <c r="F1161" s="57" t="s">
        <v>7173</v>
      </c>
      <c r="G1161" s="49">
        <f t="array" ref="G1161">MAX(IF(INSTOCK!$H$3:$H$6125=B1161,INSTOCK!$K$3:$K$6125))</f>
        <v>24</v>
      </c>
      <c r="H1161" s="50">
        <f t="array" ref="H1161">SUM(IF(INSTOCK!$H$3:$H$6125=B1161,INSTOCK!$I$3:$I$6125))</f>
        <v>30</v>
      </c>
      <c r="I1161" s="50" t="str">
        <f>ARRAY_CONSTRAIN(ARRAYFORMULA(SUM(IF([3]!Table13[ID]=B1161,[3]!Table13[QTY]))), 1, 1)</f>
        <v>#ERROR!</v>
      </c>
      <c r="J1161" s="50" t="str">
        <f>TABLEITEM!$H$3:$H$2749-TABLEITEM!$I$3:$I$2749</f>
        <v>#ERROR!</v>
      </c>
    </row>
    <row r="1162" ht="15.75" customHeight="1">
      <c r="A1162" s="45">
        <v>299.0</v>
      </c>
      <c r="B1162" s="18" t="s">
        <v>180</v>
      </c>
      <c r="C1162" s="26"/>
      <c r="D1162" s="18" t="s">
        <v>1131</v>
      </c>
      <c r="E1162" s="56" t="s">
        <v>8642</v>
      </c>
      <c r="F1162" s="57" t="s">
        <v>7173</v>
      </c>
      <c r="G1162" s="49">
        <f t="array" ref="G1162">MAX(IF(INSTOCK!$H$3:$H$6125=B1162,INSTOCK!$K$3:$K$6125))</f>
        <v>21.1</v>
      </c>
      <c r="H1162" s="50">
        <f t="array" ref="H1162">SUM(IF(INSTOCK!$H$3:$H$6125=B1162,INSTOCK!$I$3:$I$6125))</f>
        <v>53</v>
      </c>
      <c r="I1162" s="50" t="str">
        <f>ARRAY_CONSTRAIN(ARRAYFORMULA(SUM(IF([3]!Table13[ID]=B1162,[3]!Table13[QTY]))), 1, 1)</f>
        <v>#ERROR!</v>
      </c>
      <c r="J1162" s="50" t="str">
        <f>TABLEITEM!$H$3:$H$2749-TABLEITEM!$I$3:$I$2749</f>
        <v>#ERROR!</v>
      </c>
    </row>
    <row r="1163" ht="15.75" customHeight="1">
      <c r="A1163" s="45">
        <v>298.0</v>
      </c>
      <c r="B1163" s="10" t="s">
        <v>179</v>
      </c>
      <c r="C1163" s="26"/>
      <c r="D1163" s="10" t="s">
        <v>8643</v>
      </c>
      <c r="E1163" s="56" t="s">
        <v>8642</v>
      </c>
      <c r="F1163" s="57" t="s">
        <v>7173</v>
      </c>
      <c r="G1163" s="49">
        <f t="array" ref="G1163">MAX(IF(INSTOCK!$H$3:$H$6125=B1163,INSTOCK!$K$3:$K$6125))</f>
        <v>13.5</v>
      </c>
      <c r="H1163" s="50">
        <f t="array" ref="H1163">SUM(IF(INSTOCK!$H$3:$H$6125=B1163,INSTOCK!$I$3:$I$6125))</f>
        <v>13</v>
      </c>
      <c r="I1163" s="50" t="str">
        <f>ARRAY_CONSTRAIN(ARRAYFORMULA(SUM(IF([3]!Table13[ID]=B1163,[3]!Table13[QTY]))), 1, 1)</f>
        <v>#ERROR!</v>
      </c>
      <c r="J1163" s="50" t="str">
        <f>TABLEITEM!$H$3:$H$2749-TABLEITEM!$I$3:$I$2749</f>
        <v>#ERROR!</v>
      </c>
    </row>
    <row r="1164" ht="15.75" customHeight="1">
      <c r="A1164" s="45">
        <v>297.0</v>
      </c>
      <c r="B1164" s="10" t="s">
        <v>178</v>
      </c>
      <c r="C1164" s="26"/>
      <c r="D1164" s="10" t="s">
        <v>8644</v>
      </c>
      <c r="E1164" s="56" t="s">
        <v>8642</v>
      </c>
      <c r="F1164" s="57" t="s">
        <v>7173</v>
      </c>
      <c r="G1164" s="49">
        <f t="array" ref="G1164">MAX(IF(INSTOCK!$H$3:$H$6125=B1164,INSTOCK!$K$3:$K$6125))</f>
        <v>12.5</v>
      </c>
      <c r="H1164" s="50">
        <f t="array" ref="H1164">SUM(IF(INSTOCK!$H$3:$H$6125=B1164,INSTOCK!$I$3:$I$6125))</f>
        <v>61</v>
      </c>
      <c r="I1164" s="50" t="str">
        <f>ARRAY_CONSTRAIN(ARRAYFORMULA(SUM(IF([3]!Table13[ID]=B1164,[3]!Table13[QTY]))), 1, 1)</f>
        <v>#ERROR!</v>
      </c>
      <c r="J1164" s="50" t="str">
        <f>TABLEITEM!$H$3:$H$2749-TABLEITEM!$I$3:$I$2749</f>
        <v>#ERROR!</v>
      </c>
    </row>
    <row r="1165" ht="15.75" customHeight="1">
      <c r="A1165" s="45"/>
      <c r="B1165" s="10" t="s">
        <v>6451</v>
      </c>
      <c r="C1165" s="26"/>
      <c r="D1165" s="10" t="s">
        <v>8645</v>
      </c>
      <c r="E1165" s="18" t="s">
        <v>7249</v>
      </c>
      <c r="F1165" s="57" t="s">
        <v>7173</v>
      </c>
      <c r="G1165" s="49">
        <f t="array" ref="G1165">MAX(IF(INSTOCK!$H$3:$H$6125=B1165,INSTOCK!$K$3:$K$6125))</f>
        <v>3.5</v>
      </c>
      <c r="H1165" s="50">
        <f t="array" ref="H1165">SUM(IF(INSTOCK!$H$3:$H$6125=B1165,INSTOCK!$I$3:$I$6125))</f>
        <v>500</v>
      </c>
      <c r="I1165" s="50" t="str">
        <f>ARRAY_CONSTRAIN(ARRAYFORMULA(SUM(IF([3]!Table13[ID]=B1165,[3]!Table13[QTY]))), 1, 1)</f>
        <v>#ERROR!</v>
      </c>
      <c r="J1165" s="50" t="str">
        <f>TABLEITEM!$H$3:$H$2749-TABLEITEM!$I$3:$I$2749</f>
        <v>#ERROR!</v>
      </c>
    </row>
    <row r="1166" ht="15.75" customHeight="1">
      <c r="A1166" s="45"/>
      <c r="B1166" s="10" t="s">
        <v>1627</v>
      </c>
      <c r="C1166" s="26"/>
      <c r="D1166" s="10" t="s">
        <v>8646</v>
      </c>
      <c r="E1166" s="56" t="s">
        <v>8647</v>
      </c>
      <c r="F1166" s="57" t="s">
        <v>7173</v>
      </c>
      <c r="G1166" s="49">
        <f t="array" ref="G1166">MAX(IF(INSTOCK!$H$3:$H$6125=B1166,INSTOCK!$K$3:$K$6125))</f>
        <v>650</v>
      </c>
      <c r="H1166" s="50">
        <f t="array" ref="H1166">SUM(IF(INSTOCK!$H$3:$H$6125=B1166,INSTOCK!$I$3:$I$6125))</f>
        <v>5</v>
      </c>
      <c r="I1166" s="50" t="str">
        <f>ARRAY_CONSTRAIN(ARRAYFORMULA(SUM(IF([3]!Table13[ID]=B1166,[3]!Table13[QTY]))), 1, 1)</f>
        <v>#ERROR!</v>
      </c>
      <c r="J1166" s="50" t="str">
        <f>TABLEITEM!$H$3:$H$2749-TABLEITEM!$I$3:$I$2749</f>
        <v>#ERROR!</v>
      </c>
    </row>
    <row r="1167" ht="15.75" customHeight="1">
      <c r="A1167" s="45"/>
      <c r="B1167" s="10" t="s">
        <v>3196</v>
      </c>
      <c r="C1167" s="26"/>
      <c r="D1167" s="10" t="s">
        <v>8648</v>
      </c>
      <c r="E1167" s="56" t="s">
        <v>8649</v>
      </c>
      <c r="F1167" s="48" t="s">
        <v>7173</v>
      </c>
      <c r="G1167" s="49">
        <f t="array" ref="G1167">MAX(IF(INSTOCK!$H$3:$H$6125=B1167,INSTOCK!$K$3:$K$6125))</f>
        <v>250</v>
      </c>
      <c r="H1167" s="50">
        <f t="array" ref="H1167">SUM(IF(INSTOCK!$H$3:$H$6125=B1167,INSTOCK!$I$3:$I$6125))</f>
        <v>1</v>
      </c>
      <c r="I1167" s="50" t="str">
        <f>ARRAY_CONSTRAIN(ARRAYFORMULA(SUM(IF([3]!Table13[ID]=B1167,[3]!Table13[QTY]))), 1, 1)</f>
        <v>#ERROR!</v>
      </c>
      <c r="J1167" s="50" t="str">
        <f>TABLEITEM!$H$3:$H$2749-TABLEITEM!$I$3:$I$2749</f>
        <v>#ERROR!</v>
      </c>
    </row>
    <row r="1168" ht="15.75" customHeight="1">
      <c r="A1168" s="45"/>
      <c r="B1168" s="10" t="s">
        <v>3362</v>
      </c>
      <c r="C1168" s="26"/>
      <c r="D1168" s="10" t="s">
        <v>8650</v>
      </c>
      <c r="E1168" s="56"/>
      <c r="F1168" s="57" t="s">
        <v>8651</v>
      </c>
      <c r="G1168" s="49">
        <f t="array" ref="G1168">MAX(IF(INSTOCK!$H$3:$H$6125=B1149,INSTOCK!$K$3:$K$6125))</f>
        <v>37</v>
      </c>
      <c r="H1168" s="50">
        <f t="array" ref="H1168">SUM(IF(INSTOCK!$H$3:$H$6125=B1168,INSTOCK!$I$3:$I$6125))</f>
        <v>2</v>
      </c>
      <c r="I1168" s="50" t="str">
        <f>ARRAY_CONSTRAIN(ARRAYFORMULA(SUM(IF([3]!Table13[ID]=B1168,[3]!Table13[QTY]))), 1, 1)</f>
        <v>#ERROR!</v>
      </c>
      <c r="J1168" s="50" t="str">
        <f>TABLEITEM!$H$3:$H$2749-TABLEITEM!$I$3:$I$2749</f>
        <v>#ERROR!</v>
      </c>
    </row>
    <row r="1169" ht="15.75" customHeight="1">
      <c r="A1169" s="45"/>
      <c r="B1169" s="10" t="s">
        <v>2920</v>
      </c>
      <c r="C1169" s="26"/>
      <c r="D1169" s="10" t="s">
        <v>8652</v>
      </c>
      <c r="E1169" s="56"/>
      <c r="F1169" s="57" t="s">
        <v>8651</v>
      </c>
      <c r="G1169" s="49">
        <f t="array" ref="G1169">MAX(IF(INSTOCK!$H$3:$H$6125=B1169,INSTOCK!$K$3:$K$6125))</f>
        <v>1500</v>
      </c>
      <c r="H1169" s="50">
        <f t="array" ref="H1169">SUM(IF(INSTOCK!$H$3:$H$6125=B1169,INSTOCK!$I$3:$I$6125))</f>
        <v>1</v>
      </c>
      <c r="I1169" s="50" t="str">
        <f>ARRAY_CONSTRAIN(ARRAYFORMULA(SUM(IF([3]!Table13[ID]=B1169,[3]!Table13[QTY]))), 1, 1)</f>
        <v>#ERROR!</v>
      </c>
      <c r="J1169" s="50" t="str">
        <f>TABLEITEM!$H$3:$H$2749-TABLEITEM!$I$3:$I$2749</f>
        <v>#ERROR!</v>
      </c>
    </row>
    <row r="1170" ht="15.75" customHeight="1">
      <c r="A1170" s="45"/>
      <c r="B1170" s="18" t="s">
        <v>818</v>
      </c>
      <c r="C1170" s="26"/>
      <c r="D1170" s="18" t="s">
        <v>819</v>
      </c>
      <c r="E1170" s="56" t="s">
        <v>7196</v>
      </c>
      <c r="F1170" s="57" t="s">
        <v>7197</v>
      </c>
      <c r="G1170" s="49">
        <f t="array" ref="G1170">MAX(IF(INSTOCK!$H$3:$H$6125=B1170,INSTOCK!$K$3:$K$6125))</f>
        <v>300</v>
      </c>
      <c r="H1170" s="50">
        <f t="array" ref="H1170">SUM(IF(INSTOCK!$H$3:$H$6125=B1170,INSTOCK!$I$3:$I$6125))</f>
        <v>536</v>
      </c>
      <c r="I1170" s="50" t="str">
        <f>ARRAY_CONSTRAIN(ARRAYFORMULA(SUM(IF([3]!Table13[ID]=B1170,[3]!Table13[QTY]))), 1, 1)</f>
        <v>#ERROR!</v>
      </c>
      <c r="J1170" s="50" t="str">
        <f>TABLEITEM!$H$3:$H$2749-TABLEITEM!$I$3:$I$2749</f>
        <v>#ERROR!</v>
      </c>
    </row>
    <row r="1171" ht="15.75" customHeight="1">
      <c r="A1171" s="45"/>
      <c r="B1171" s="18" t="s">
        <v>3046</v>
      </c>
      <c r="C1171" s="26"/>
      <c r="D1171" s="18" t="s">
        <v>8653</v>
      </c>
      <c r="E1171" s="56"/>
      <c r="F1171" s="57" t="s">
        <v>8651</v>
      </c>
      <c r="G1171" s="49">
        <f t="array" ref="G1171">MAX(IF(INSTOCK!$H$3:$H$6125=B1171,INSTOCK!$K$3:$K$6125))</f>
        <v>30</v>
      </c>
      <c r="H1171" s="50">
        <f t="array" ref="H1171">SUM(IF(INSTOCK!$H$3:$H$6125=B1171,INSTOCK!$I$3:$I$6125))</f>
        <v>1</v>
      </c>
      <c r="I1171" s="50" t="str">
        <f>ARRAY_CONSTRAIN(ARRAYFORMULA(SUM(IF([3]!Table13[ID]=B1171,[3]!Table13[QTY]))), 1, 1)</f>
        <v>#ERROR!</v>
      </c>
      <c r="J1171" s="50" t="str">
        <f>TABLEITEM!$H$3:$H$2749-TABLEITEM!$I$3:$I$2749</f>
        <v>#ERROR!</v>
      </c>
    </row>
    <row r="1172" ht="15.75" customHeight="1">
      <c r="A1172" s="45"/>
      <c r="B1172" s="10" t="s">
        <v>2702</v>
      </c>
      <c r="C1172" s="26"/>
      <c r="D1172" s="10" t="s">
        <v>8654</v>
      </c>
      <c r="E1172" s="48" t="s">
        <v>2701</v>
      </c>
      <c r="F1172" s="57" t="s">
        <v>8651</v>
      </c>
      <c r="G1172" s="49">
        <f t="array" ref="G1172">MAX(IF(INSTOCK!$H$3:$H$6125=B1172,INSTOCK!$K$3:$K$6125))</f>
        <v>8200</v>
      </c>
      <c r="H1172" s="50">
        <f t="array" ref="H1172">SUM(IF(INSTOCK!$H$3:$H$6125=B1172,INSTOCK!$I$3:$I$6125))</f>
        <v>1</v>
      </c>
      <c r="I1172" s="50" t="str">
        <f>ARRAY_CONSTRAIN(ARRAYFORMULA(SUM(IF([3]!Table13[ID]=B1172,[3]!Table13[QTY]))), 1, 1)</f>
        <v>#ERROR!</v>
      </c>
      <c r="J1172" s="50" t="str">
        <f>TABLEITEM!$H$3:$H$2749-TABLEITEM!$I$3:$I$2749</f>
        <v>#ERROR!</v>
      </c>
    </row>
    <row r="1173" ht="15.75" customHeight="1">
      <c r="A1173" s="45"/>
      <c r="B1173" s="18" t="s">
        <v>2978</v>
      </c>
      <c r="C1173" s="26"/>
      <c r="D1173" s="10" t="s">
        <v>8655</v>
      </c>
      <c r="E1173" s="48"/>
      <c r="F1173" s="57" t="s">
        <v>8651</v>
      </c>
      <c r="G1173" s="49">
        <f t="array" ref="G1173">MAX(IF(INSTOCK!$H$3:$H$6125=B1173,INSTOCK!$K$3:$K$6125))</f>
        <v>476</v>
      </c>
      <c r="H1173" s="50">
        <f t="array" ref="H1173">SUM(IF(INSTOCK!$H$3:$H$6125=B1173,INSTOCK!$I$3:$I$6125))</f>
        <v>1.3</v>
      </c>
      <c r="I1173" s="50" t="str">
        <f>ARRAY_CONSTRAIN(ARRAYFORMULA(SUM(IF([3]!Table13[ID]=B1173,[3]!Table13[QTY]))), 1, 1)</f>
        <v>#ERROR!</v>
      </c>
      <c r="J1173" s="50" t="str">
        <f>TABLEITEM!$H$3:$H$2749-TABLEITEM!$I$3:$I$2749</f>
        <v>#ERROR!</v>
      </c>
    </row>
    <row r="1174" ht="15.75" customHeight="1">
      <c r="A1174" s="45"/>
      <c r="B1174" s="18" t="s">
        <v>2924</v>
      </c>
      <c r="C1174" s="26"/>
      <c r="D1174" s="10" t="s">
        <v>8656</v>
      </c>
      <c r="E1174" s="48"/>
      <c r="F1174" s="57" t="s">
        <v>8651</v>
      </c>
      <c r="G1174" s="49">
        <f t="array" ref="G1174">MAX(IF(INSTOCK!$H$3:$H$6125=B1174,INSTOCK!$K$3:$K$6125))</f>
        <v>2000</v>
      </c>
      <c r="H1174" s="50">
        <f t="array" ref="H1174">SUM(IF(INSTOCK!$H$3:$H$6125=B1174,INSTOCK!$I$3:$I$6125))</f>
        <v>1</v>
      </c>
      <c r="I1174" s="50" t="str">
        <f>ARRAY_CONSTRAIN(ARRAYFORMULA(SUM(IF([3]!Table13[ID]=B1174,[3]!Table13[QTY]))), 1, 1)</f>
        <v>#ERROR!</v>
      </c>
      <c r="J1174" s="50" t="str">
        <f>TABLEITEM!$H$3:$H$2749-TABLEITEM!$I$3:$I$2749</f>
        <v>#ERROR!</v>
      </c>
    </row>
    <row r="1175" ht="15.75" customHeight="1">
      <c r="A1175" s="45"/>
      <c r="B1175" s="10" t="s">
        <v>3328</v>
      </c>
      <c r="C1175" s="26"/>
      <c r="D1175" s="10" t="s">
        <v>8657</v>
      </c>
      <c r="E1175" s="48" t="s">
        <v>1975</v>
      </c>
      <c r="F1175" s="57" t="s">
        <v>8651</v>
      </c>
      <c r="G1175" s="49">
        <f t="array" ref="G1175">MAX(IF(INSTOCK!$H$3:$H$6125=B1175,INSTOCK!$K$3:$K$6125))</f>
        <v>212.5</v>
      </c>
      <c r="H1175" s="50">
        <f t="array" ref="H1175">SUM(IF(INSTOCK!$H$3:$H$6125=B1175,INSTOCK!$I$3:$I$6125))</f>
        <v>2</v>
      </c>
      <c r="I1175" s="50" t="str">
        <f>ARRAY_CONSTRAIN(ARRAYFORMULA(SUM(IF([3]!Table13[ID]=B1175,[3]!Table13[QTY]))), 1, 1)</f>
        <v>#ERROR!</v>
      </c>
      <c r="J1175" s="50" t="str">
        <f>TABLEITEM!$H$3:$H$2749-TABLEITEM!$I$3:$I$2749</f>
        <v>#ERROR!</v>
      </c>
    </row>
    <row r="1176" ht="15.75" customHeight="1">
      <c r="A1176" s="45"/>
      <c r="B1176" s="18" t="s">
        <v>3030</v>
      </c>
      <c r="C1176" s="26"/>
      <c r="D1176" s="10" t="s">
        <v>8658</v>
      </c>
      <c r="E1176" s="48" t="s">
        <v>3029</v>
      </c>
      <c r="F1176" s="57" t="s">
        <v>8651</v>
      </c>
      <c r="G1176" s="49">
        <f t="array" ref="G1176">MAX(IF(INSTOCK!$H$3:$H$6125=B1176,INSTOCK!$K$3:$K$6125))</f>
        <v>8472.2</v>
      </c>
      <c r="H1176" s="50">
        <f t="array" ref="H1176">SUM(IF(INSTOCK!$H$3:$H$6125=B1176,INSTOCK!$I$3:$I$6125))</f>
        <v>191.86</v>
      </c>
      <c r="I1176" s="50" t="str">
        <f>ARRAY_CONSTRAIN(ARRAYFORMULA(SUM(IF([3]!Table13[ID]=B1176,[3]!Table13[QTY]))), 1, 1)</f>
        <v>#ERROR!</v>
      </c>
      <c r="J1176" s="50" t="str">
        <f>TABLEITEM!$H$3:$H$2749-TABLEITEM!$I$3:$I$2749</f>
        <v>#ERROR!</v>
      </c>
    </row>
    <row r="1177" ht="15.75" customHeight="1">
      <c r="A1177" s="45"/>
      <c r="B1177" s="18" t="s">
        <v>2636</v>
      </c>
      <c r="C1177" s="26"/>
      <c r="D1177" s="18" t="s">
        <v>8659</v>
      </c>
      <c r="E1177" s="56"/>
      <c r="F1177" s="57" t="s">
        <v>8651</v>
      </c>
      <c r="G1177" s="49">
        <f t="array" ref="G1177">MAX(IF(INSTOCK!$H$3:$H$6125=B1177,INSTOCK!$K$3:$K$6125))</f>
        <v>20</v>
      </c>
      <c r="H1177" s="50">
        <f t="array" ref="H1177">SUM(IF(INSTOCK!$H$3:$H$6125=B1177,INSTOCK!$I$3:$I$6125))</f>
        <v>5334.45</v>
      </c>
      <c r="I1177" s="50" t="str">
        <f>ARRAY_CONSTRAIN(ARRAYFORMULA(SUM(IF([3]!Table13[ID]=B1177,[3]!Table13[QTY]))), 1, 1)</f>
        <v>#ERROR!</v>
      </c>
      <c r="J1177" s="50" t="str">
        <f>TABLEITEM!$H$3:$H$2749-TABLEITEM!$I$3:$I$2749</f>
        <v>#ERROR!</v>
      </c>
    </row>
    <row r="1178" ht="15.75" customHeight="1">
      <c r="A1178" s="45"/>
      <c r="B1178" s="18" t="s">
        <v>2707</v>
      </c>
      <c r="C1178" s="26"/>
      <c r="D1178" s="18" t="s">
        <v>8660</v>
      </c>
      <c r="E1178" s="56" t="s">
        <v>8366</v>
      </c>
      <c r="F1178" s="57" t="s">
        <v>7173</v>
      </c>
      <c r="G1178" s="49">
        <f t="array" ref="G1178">MAX(IF(INSTOCK!$H$3:$H$6125=B1178,INSTOCK!$K$3:$K$6125))</f>
        <v>90</v>
      </c>
      <c r="H1178" s="50">
        <f t="array" ref="H1178">SUM(IF(INSTOCK!$H$3:$H$6125=B1178,INSTOCK!$I$3:$I$6125))</f>
        <v>5</v>
      </c>
      <c r="I1178" s="50" t="str">
        <f>ARRAY_CONSTRAIN(ARRAYFORMULA(SUM(IF([3]!Table13[ID]=B1178,[3]!Table13[QTY]))), 1, 1)</f>
        <v>#ERROR!</v>
      </c>
      <c r="J1178" s="50" t="str">
        <f>TABLEITEM!$H$3:$H$2749-TABLEITEM!$I$3:$I$2749</f>
        <v>#ERROR!</v>
      </c>
    </row>
    <row r="1179" ht="15.75" customHeight="1">
      <c r="A1179" s="45"/>
      <c r="B1179" s="18" t="s">
        <v>3177</v>
      </c>
      <c r="C1179" s="26"/>
      <c r="D1179" s="18" t="s">
        <v>8661</v>
      </c>
      <c r="E1179" s="56"/>
      <c r="F1179" s="57" t="s">
        <v>7173</v>
      </c>
      <c r="G1179" s="49">
        <f t="array" ref="G1179">MAX(IF(INSTOCK!$H$3:$H$6125=B1179,INSTOCK!$K$3:$K$6125))</f>
        <v>2270.1</v>
      </c>
      <c r="H1179" s="50">
        <f t="array" ref="H1179">SUM(IF(INSTOCK!$H$3:$H$6125=B1179,INSTOCK!$I$3:$I$6125))</f>
        <v>17.5</v>
      </c>
      <c r="I1179" s="50" t="str">
        <f>ARRAY_CONSTRAIN(ARRAYFORMULA(SUM(IF([3]!Table13[ID]=B1179,[3]!Table13[QTY]))), 1, 1)</f>
        <v>#ERROR!</v>
      </c>
      <c r="J1179" s="50" t="str">
        <f>TABLEITEM!$H$3:$H$2749-TABLEITEM!$I$3:$I$2749</f>
        <v>#ERROR!</v>
      </c>
    </row>
    <row r="1180" ht="15.75" customHeight="1">
      <c r="A1180" s="45"/>
      <c r="B1180" s="18" t="s">
        <v>4726</v>
      </c>
      <c r="C1180" s="26"/>
      <c r="D1180" s="18" t="s">
        <v>8662</v>
      </c>
      <c r="E1180" s="56"/>
      <c r="F1180" s="57" t="s">
        <v>7173</v>
      </c>
      <c r="G1180" s="49">
        <f t="array" ref="G1180">MAX(IF(INSTOCK!$H$3:$H$6125=B1180,INSTOCK!$K$3:$K$6125))</f>
        <v>261.68</v>
      </c>
      <c r="H1180" s="50">
        <f t="array" ref="H1180">SUM(IF(INSTOCK!$H$3:$H$6125=B1180,INSTOCK!$I$3:$I$6125))</f>
        <v>2</v>
      </c>
      <c r="I1180" s="50" t="str">
        <f>ARRAY_CONSTRAIN(ARRAYFORMULA(SUM(IF([3]!Table13[ID]=B1180,[3]!Table13[QTY]))), 1, 1)</f>
        <v>#ERROR!</v>
      </c>
      <c r="J1180" s="50" t="str">
        <f>TABLEITEM!$H$3:$H$2749-TABLEITEM!$I$3:$I$2749</f>
        <v>#ERROR!</v>
      </c>
    </row>
    <row r="1181" ht="15.75" customHeight="1">
      <c r="A1181" s="45"/>
      <c r="B1181" s="10" t="s">
        <v>2064</v>
      </c>
      <c r="C1181" s="26"/>
      <c r="D1181" s="10" t="s">
        <v>8663</v>
      </c>
      <c r="E1181" s="48"/>
      <c r="F1181" s="48" t="s">
        <v>7173</v>
      </c>
      <c r="G1181" s="49">
        <f t="array" ref="G1181">MAX(IF(INSTOCK!$H$3:$H$6125=B1181,INSTOCK!$K$3:$K$6125))</f>
        <v>10</v>
      </c>
      <c r="H1181" s="50">
        <f t="array" ref="H1181">SUM(IF(INSTOCK!$H$3:$H$6125=B1181,INSTOCK!$I$3:$I$6125))</f>
        <v>2</v>
      </c>
      <c r="I1181" s="50" t="str">
        <f>ARRAY_CONSTRAIN(ARRAYFORMULA(SUM(IF([3]!Table13[ID]=B1181,[3]!Table13[QTY]))), 1, 1)</f>
        <v>#ERROR!</v>
      </c>
      <c r="J1181" s="50" t="str">
        <f>TABLEITEM!$H$3:$H$2749-TABLEITEM!$I$3:$I$2749</f>
        <v>#ERROR!</v>
      </c>
    </row>
    <row r="1182" ht="15.75" customHeight="1">
      <c r="A1182" s="45"/>
      <c r="B1182" s="10" t="s">
        <v>8664</v>
      </c>
      <c r="C1182" s="26"/>
      <c r="D1182" s="10" t="s">
        <v>8665</v>
      </c>
      <c r="E1182" s="48" t="s">
        <v>7437</v>
      </c>
      <c r="F1182" s="57" t="s">
        <v>7173</v>
      </c>
      <c r="G1182" s="49">
        <f t="array" ref="G1182">MAX(IF(INSTOCK!$H$3:$H$6125=B1182,INSTOCK!$K$3:$K$6125))</f>
        <v>0</v>
      </c>
      <c r="H1182" s="50">
        <f t="array" ref="H1182">SUM(IF(INSTOCK!$H$3:$H$6125=B1182,INSTOCK!$I$3:$I$6125))</f>
        <v>0</v>
      </c>
      <c r="I1182" s="50" t="str">
        <f>ARRAY_CONSTRAIN(ARRAYFORMULA(SUM(IF([3]!Table13[ID]=B1182,[3]!Table13[QTY]))), 1, 1)</f>
        <v>#ERROR!</v>
      </c>
      <c r="J1182" s="50" t="str">
        <f>TABLEITEM!$H$3:$H$2749-TABLEITEM!$I$3:$I$2749</f>
        <v>#ERROR!</v>
      </c>
    </row>
    <row r="1183" ht="15.75" customHeight="1">
      <c r="A1183" s="45"/>
      <c r="B1183" s="10" t="s">
        <v>8666</v>
      </c>
      <c r="C1183" s="26"/>
      <c r="D1183" s="10" t="s">
        <v>8667</v>
      </c>
      <c r="E1183" s="48" t="s">
        <v>7437</v>
      </c>
      <c r="F1183" s="57" t="s">
        <v>7173</v>
      </c>
      <c r="G1183" s="49">
        <f t="array" ref="G1183">MAX(IF(INSTOCK!$H$3:$H$6125=B1183,INSTOCK!$K$3:$K$6125))</f>
        <v>0</v>
      </c>
      <c r="H1183" s="50">
        <f t="array" ref="H1183">SUM(IF(INSTOCK!$H$3:$H$6125=B1183,INSTOCK!$I$3:$I$6125))</f>
        <v>0</v>
      </c>
      <c r="I1183" s="50" t="str">
        <f>ARRAY_CONSTRAIN(ARRAYFORMULA(SUM(IF([3]!Table13[ID]=B1183,[3]!Table13[QTY]))), 1, 1)</f>
        <v>#ERROR!</v>
      </c>
      <c r="J1183" s="50" t="str">
        <f>TABLEITEM!$H$3:$H$2749-TABLEITEM!$I$3:$I$2749</f>
        <v>#ERROR!</v>
      </c>
    </row>
    <row r="1184" ht="15.75" customHeight="1">
      <c r="A1184" s="45"/>
      <c r="B1184" s="10" t="s">
        <v>8668</v>
      </c>
      <c r="C1184" s="26"/>
      <c r="D1184" s="10" t="s">
        <v>8669</v>
      </c>
      <c r="E1184" s="48" t="s">
        <v>7437</v>
      </c>
      <c r="F1184" s="57" t="s">
        <v>7173</v>
      </c>
      <c r="G1184" s="49">
        <f t="array" ref="G1184">MAX(IF(INSTOCK!$H$3:$H$6125=B1184,INSTOCK!$K$3:$K$6125))</f>
        <v>0</v>
      </c>
      <c r="H1184" s="50">
        <f t="array" ref="H1184">SUM(IF(INSTOCK!$H$3:$H$6125=B1184,INSTOCK!$I$3:$I$6125))</f>
        <v>0</v>
      </c>
      <c r="I1184" s="50" t="str">
        <f>ARRAY_CONSTRAIN(ARRAYFORMULA(SUM(IF([3]!Table13[ID]=B1184,[3]!Table13[QTY]))), 1, 1)</f>
        <v>#ERROR!</v>
      </c>
      <c r="J1184" s="50" t="str">
        <f>TABLEITEM!$H$3:$H$2749-TABLEITEM!$I$3:$I$2749</f>
        <v>#ERROR!</v>
      </c>
    </row>
    <row r="1185" ht="15.75" customHeight="1">
      <c r="A1185" s="45"/>
      <c r="B1185" s="18" t="s">
        <v>8670</v>
      </c>
      <c r="C1185" s="26"/>
      <c r="D1185" s="18" t="s">
        <v>8671</v>
      </c>
      <c r="E1185" s="48" t="s">
        <v>7437</v>
      </c>
      <c r="F1185" s="57" t="s">
        <v>7173</v>
      </c>
      <c r="G1185" s="49">
        <f t="array" ref="G1185">MAX(IF(INSTOCK!$H$3:$H$6125=B1185,INSTOCK!$K$3:$K$6125))</f>
        <v>0</v>
      </c>
      <c r="H1185" s="50">
        <f t="array" ref="H1185">SUM(IF(INSTOCK!$H$3:$H$6125=B1185,INSTOCK!$I$3:$I$6125))</f>
        <v>0</v>
      </c>
      <c r="I1185" s="50" t="str">
        <f>ARRAY_CONSTRAIN(ARRAYFORMULA(SUM(IF([3]!Table13[ID]=B1185,[3]!Table13[QTY]))), 1, 1)</f>
        <v>#ERROR!</v>
      </c>
      <c r="J1185" s="50" t="str">
        <f>TABLEITEM!$H$3:$H$2749-TABLEITEM!$I$3:$I$2749</f>
        <v>#ERROR!</v>
      </c>
    </row>
    <row r="1186" ht="15.75" customHeight="1">
      <c r="A1186" s="45"/>
      <c r="B1186" s="18" t="s">
        <v>8672</v>
      </c>
      <c r="C1186" s="26"/>
      <c r="D1186" s="18" t="s">
        <v>8673</v>
      </c>
      <c r="E1186" s="48" t="s">
        <v>7437</v>
      </c>
      <c r="F1186" s="57" t="s">
        <v>7173</v>
      </c>
      <c r="G1186" s="49">
        <f t="array" ref="G1186">MAX(IF(INSTOCK!$H$3:$H$6125=B1186,INSTOCK!$K$3:$K$6125))</f>
        <v>0</v>
      </c>
      <c r="H1186" s="50">
        <f t="array" ref="H1186">SUM(IF(INSTOCK!$H$3:$H$6125=B1186,INSTOCK!$I$3:$I$6125))</f>
        <v>0</v>
      </c>
      <c r="I1186" s="50" t="str">
        <f>ARRAY_CONSTRAIN(ARRAYFORMULA(SUM(IF([3]!Table13[ID]=B1186,[3]!Table13[QTY]))), 1, 1)</f>
        <v>#ERROR!</v>
      </c>
      <c r="J1186" s="50" t="str">
        <f>TABLEITEM!$H$3:$H$2749-TABLEITEM!$I$3:$I$2749</f>
        <v>#ERROR!</v>
      </c>
    </row>
    <row r="1187" ht="15.75" customHeight="1">
      <c r="A1187" s="45"/>
      <c r="B1187" s="10" t="s">
        <v>2011</v>
      </c>
      <c r="C1187" s="26"/>
      <c r="D1187" s="10" t="s">
        <v>8674</v>
      </c>
      <c r="E1187" s="48"/>
      <c r="F1187" s="57" t="s">
        <v>7173</v>
      </c>
      <c r="G1187" s="49">
        <f t="array" ref="G1187">MAX(IF(INSTOCK!$H$3:$H$6125=B1187,INSTOCK!$K$3:$K$6125))</f>
        <v>0</v>
      </c>
      <c r="H1187" s="50">
        <f t="array" ref="H1187">SUM(IF(INSTOCK!$H$3:$H$6125=B1187,INSTOCK!$I$3:$I$6125))</f>
        <v>2</v>
      </c>
      <c r="I1187" s="50" t="str">
        <f>ARRAY_CONSTRAIN(ARRAYFORMULA(SUM(IF([3]!Table13[ID]=B1187,[3]!Table13[QTY]))), 1, 1)</f>
        <v>#ERROR!</v>
      </c>
      <c r="J1187" s="50" t="str">
        <f>TABLEITEM!$H$3:$H$2749-TABLEITEM!$I$3:$I$2749</f>
        <v>#ERROR!</v>
      </c>
    </row>
    <row r="1188" ht="15.75" customHeight="1">
      <c r="A1188" s="45"/>
      <c r="B1188" s="18" t="s">
        <v>8675</v>
      </c>
      <c r="C1188" s="26"/>
      <c r="D1188" s="10" t="s">
        <v>8676</v>
      </c>
      <c r="E1188" s="48" t="s">
        <v>7437</v>
      </c>
      <c r="F1188" s="57" t="s">
        <v>7173</v>
      </c>
      <c r="G1188" s="49">
        <f t="array" ref="G1188">MAX(IF(INSTOCK!$H$3:$H$6125=B1188,INSTOCK!$K$3:$K$6125))</f>
        <v>0</v>
      </c>
      <c r="H1188" s="50">
        <f t="array" ref="H1188">SUM(IF(INSTOCK!$H$3:$H$6125=B1188,INSTOCK!$I$3:$I$6125))</f>
        <v>0</v>
      </c>
      <c r="I1188" s="50" t="str">
        <f>ARRAY_CONSTRAIN(ARRAYFORMULA(SUM(IF([3]!Table13[ID]=B1188,[3]!Table13[QTY]))), 1, 1)</f>
        <v>#ERROR!</v>
      </c>
      <c r="J1188" s="50" t="str">
        <f>TABLEITEM!$H$3:$H$2749-TABLEITEM!$I$3:$I$2749</f>
        <v>#ERROR!</v>
      </c>
    </row>
    <row r="1189" ht="15.75" customHeight="1">
      <c r="A1189" s="45"/>
      <c r="B1189" s="10" t="s">
        <v>1527</v>
      </c>
      <c r="C1189" s="26"/>
      <c r="D1189" s="10" t="s">
        <v>8677</v>
      </c>
      <c r="E1189" s="48" t="s">
        <v>8678</v>
      </c>
      <c r="F1189" s="57" t="s">
        <v>7173</v>
      </c>
      <c r="G1189" s="49">
        <f t="array" ref="G1189">MAX(IF(INSTOCK!$H$3:$H$6125=B1189,INSTOCK!$K$3:$K$6125))</f>
        <v>14</v>
      </c>
      <c r="H1189" s="50">
        <f t="array" ref="H1189">SUM(IF(INSTOCK!$H$3:$H$6125=B1189,INSTOCK!$I$3:$I$6125))</f>
        <v>100</v>
      </c>
      <c r="I1189" s="50" t="str">
        <f>ARRAY_CONSTRAIN(ARRAYFORMULA(SUM(IF([3]!Table13[ID]=B1189,[3]!Table13[QTY]))), 1, 1)</f>
        <v>#ERROR!</v>
      </c>
      <c r="J1189" s="50" t="str">
        <f>TABLEITEM!$H$3:$H$2749-TABLEITEM!$I$3:$I$2749</f>
        <v>#ERROR!</v>
      </c>
    </row>
    <row r="1190" ht="15.75" customHeight="1">
      <c r="A1190" s="45"/>
      <c r="B1190" s="10" t="s">
        <v>2205</v>
      </c>
      <c r="C1190" s="26"/>
      <c r="D1190" s="10" t="s">
        <v>8679</v>
      </c>
      <c r="E1190" s="48"/>
      <c r="F1190" s="57" t="s">
        <v>7173</v>
      </c>
      <c r="G1190" s="49">
        <f t="array" ref="G1190">MAX(IF(INSTOCK!$H$3:$H$6125=B1190,INSTOCK!$K$3:$K$6125))</f>
        <v>15</v>
      </c>
      <c r="H1190" s="50">
        <f t="array" ref="H1190">SUM(IF(INSTOCK!$H$3:$H$6125=B1190,INSTOCK!$I$3:$I$6125))</f>
        <v>5</v>
      </c>
      <c r="I1190" s="50" t="str">
        <f>ARRAY_CONSTRAIN(ARRAYFORMULA(SUM(IF([3]!Table13[ID]=B1190,[3]!Table13[QTY]))), 1, 1)</f>
        <v>#ERROR!</v>
      </c>
      <c r="J1190" s="50" t="str">
        <f>TABLEITEM!$H$3:$H$2749-TABLEITEM!$I$3:$I$2749</f>
        <v>#ERROR!</v>
      </c>
    </row>
    <row r="1191" ht="15.75" customHeight="1">
      <c r="A1191" s="45"/>
      <c r="B1191" s="18" t="s">
        <v>3153</v>
      </c>
      <c r="C1191" s="26"/>
      <c r="D1191" s="18" t="s">
        <v>8680</v>
      </c>
      <c r="E1191" s="48"/>
      <c r="F1191" s="57" t="s">
        <v>7173</v>
      </c>
      <c r="G1191" s="49">
        <f t="array" ref="G1191">MAX(IF(INSTOCK!$H$3:$H$6125=B1191,INSTOCK!$K$3:$K$6125))</f>
        <v>216.82</v>
      </c>
      <c r="H1191" s="50">
        <f t="array" ref="H1191">SUM(IF(INSTOCK!$H$3:$H$6125=B1191,INSTOCK!$I$3:$I$6125))</f>
        <v>8</v>
      </c>
      <c r="I1191" s="50" t="str">
        <f>ARRAY_CONSTRAIN(ARRAYFORMULA(SUM(IF([3]!Table13[ID]=B1191,[3]!Table13[QTY]))), 1, 1)</f>
        <v>#ERROR!</v>
      </c>
      <c r="J1191" s="50" t="str">
        <f>TABLEITEM!$H$3:$H$2749-TABLEITEM!$I$3:$I$2749</f>
        <v>#ERROR!</v>
      </c>
    </row>
    <row r="1192" ht="15.75" customHeight="1">
      <c r="A1192" s="45"/>
      <c r="B1192" s="18" t="s">
        <v>3020</v>
      </c>
      <c r="C1192" s="26"/>
      <c r="D1192" s="18" t="s">
        <v>8681</v>
      </c>
      <c r="E1192" s="56" t="s">
        <v>8138</v>
      </c>
      <c r="F1192" s="57" t="s">
        <v>7173</v>
      </c>
      <c r="G1192" s="49">
        <f t="array" ref="G1192">MAX(IF(INSTOCK!$H$3:$H$6125=B1192,INSTOCK!$K$3:$K$6125))</f>
        <v>610</v>
      </c>
      <c r="H1192" s="50">
        <f t="array" ref="H1192">SUM(IF(INSTOCK!$H$3:$H$6125=B1192,INSTOCK!$I$3:$I$6125))</f>
        <v>4</v>
      </c>
      <c r="I1192" s="50" t="str">
        <f>ARRAY_CONSTRAIN(ARRAYFORMULA(SUM(IF([3]!Table13[ID]=B1192,[3]!Table13[QTY]))), 1, 1)</f>
        <v>#ERROR!</v>
      </c>
      <c r="J1192" s="50" t="str">
        <f>TABLEITEM!$H$3:$H$2749-TABLEITEM!$I$3:$I$2749</f>
        <v>#ERROR!</v>
      </c>
    </row>
    <row r="1193" ht="15.75" customHeight="1">
      <c r="A1193" s="45"/>
      <c r="B1193" s="10" t="s">
        <v>2577</v>
      </c>
      <c r="C1193" s="26"/>
      <c r="D1193" s="10" t="s">
        <v>8682</v>
      </c>
      <c r="E1193" s="48"/>
      <c r="F1193" s="57" t="s">
        <v>7173</v>
      </c>
      <c r="G1193" s="49">
        <f t="array" ref="G1193">MAX(IF(INSTOCK!$H$3:$H$6125=B1193,INSTOCK!$K$3:$K$6125))</f>
        <v>90</v>
      </c>
      <c r="H1193" s="50">
        <f t="array" ref="H1193">SUM(IF(INSTOCK!$H$3:$H$6125=B1193,INSTOCK!$I$3:$I$6125))</f>
        <v>25</v>
      </c>
      <c r="I1193" s="50" t="str">
        <f>ARRAY_CONSTRAIN(ARRAYFORMULA(SUM(IF([3]!Table13[ID]=B1193,[3]!Table13[QTY]))), 1, 1)</f>
        <v>#ERROR!</v>
      </c>
      <c r="J1193" s="50" t="str">
        <f>TABLEITEM!$H$3:$H$2749-TABLEITEM!$I$3:$I$2749</f>
        <v>#ERROR!</v>
      </c>
    </row>
    <row r="1194" ht="15.75" customHeight="1">
      <c r="A1194" s="45"/>
      <c r="B1194" s="18" t="s">
        <v>2708</v>
      </c>
      <c r="C1194" s="26"/>
      <c r="D1194" s="18" t="s">
        <v>8683</v>
      </c>
      <c r="E1194" s="48" t="s">
        <v>8366</v>
      </c>
      <c r="F1194" s="57" t="s">
        <v>7173</v>
      </c>
      <c r="G1194" s="49">
        <f t="array" ref="G1194">MAX(IF(INSTOCK!$H$3:$H$6125=B1194,INSTOCK!$K$3:$K$6125))</f>
        <v>40</v>
      </c>
      <c r="H1194" s="50">
        <f t="array" ref="H1194">SUM(IF(INSTOCK!$H$3:$H$6125=B1194,INSTOCK!$I$3:$I$6125))</f>
        <v>5</v>
      </c>
      <c r="I1194" s="50" t="str">
        <f>ARRAY_CONSTRAIN(ARRAYFORMULA(SUM(IF([3]!Table13[ID]=B1194,[3]!Table13[QTY]))), 1, 1)</f>
        <v>#ERROR!</v>
      </c>
      <c r="J1194" s="50" t="str">
        <f>TABLEITEM!$H$3:$H$2749-TABLEITEM!$I$3:$I$2749</f>
        <v>#ERROR!</v>
      </c>
    </row>
    <row r="1195" ht="15.75" customHeight="1">
      <c r="A1195" s="45"/>
      <c r="B1195" s="10" t="s">
        <v>3245</v>
      </c>
      <c r="C1195" s="26"/>
      <c r="D1195" s="10" t="s">
        <v>8684</v>
      </c>
      <c r="E1195" s="48"/>
      <c r="F1195" s="57" t="s">
        <v>7173</v>
      </c>
      <c r="G1195" s="49">
        <f t="array" ref="G1195">MAX(IF(INSTOCK!$H$3:$H$6125=B1195,INSTOCK!$K$3:$K$6125))</f>
        <v>145</v>
      </c>
      <c r="H1195" s="50">
        <f t="array" ref="H1195">SUM(IF(INSTOCK!$H$3:$H$6125=B1195,INSTOCK!$I$3:$I$6125))</f>
        <v>2</v>
      </c>
      <c r="I1195" s="50" t="str">
        <f>ARRAY_CONSTRAIN(ARRAYFORMULA(SUM(IF([3]!Table13[ID]=B1195,[3]!Table13[QTY]))), 1, 1)</f>
        <v>#ERROR!</v>
      </c>
      <c r="J1195" s="50" t="str">
        <f>TABLEITEM!$H$3:$H$2749-TABLEITEM!$I$3:$I$2749</f>
        <v>#ERROR!</v>
      </c>
    </row>
    <row r="1196" ht="15.75" customHeight="1">
      <c r="A1196" s="45"/>
      <c r="B1196" s="10" t="s">
        <v>3251</v>
      </c>
      <c r="C1196" s="26"/>
      <c r="D1196" s="10" t="s">
        <v>8685</v>
      </c>
      <c r="E1196" s="48"/>
      <c r="F1196" s="57" t="s">
        <v>7173</v>
      </c>
      <c r="G1196" s="49">
        <f t="array" ref="G1196">MAX(IF(INSTOCK!$H$3:$H$6125=B1196,INSTOCK!$K$3:$K$6125))</f>
        <v>228</v>
      </c>
      <c r="H1196" s="50">
        <f t="array" ref="H1196">SUM(IF(INSTOCK!$H$3:$H$6125=B1196,INSTOCK!$I$3:$I$6125))</f>
        <v>1</v>
      </c>
      <c r="I1196" s="50" t="str">
        <f>ARRAY_CONSTRAIN(ARRAYFORMULA(SUM(IF([3]!Table13[ID]=B1196,[3]!Table13[QTY]))), 1, 1)</f>
        <v>#ERROR!</v>
      </c>
      <c r="J1196" s="50" t="str">
        <f>TABLEITEM!$H$3:$H$2749-TABLEITEM!$I$3:$I$2749</f>
        <v>#ERROR!</v>
      </c>
    </row>
    <row r="1197" ht="15.75" customHeight="1">
      <c r="A1197" s="45"/>
      <c r="B1197" s="18" t="s">
        <v>803</v>
      </c>
      <c r="C1197" s="26"/>
      <c r="D1197" s="18" t="s">
        <v>864</v>
      </c>
      <c r="E1197" s="48"/>
      <c r="F1197" s="57" t="s">
        <v>8686</v>
      </c>
      <c r="G1197" s="49">
        <f t="array" ref="G1197">MAX(IF(INSTOCK!$H$3:$H$6125=B1197,INSTOCK!$K$3:$K$6125))</f>
        <v>1140.19</v>
      </c>
      <c r="H1197" s="50">
        <f t="array" ref="H1197">SUM(IF(INSTOCK!$H$3:$H$6125=B1197,INSTOCK!$I$3:$I$6125))</f>
        <v>1066</v>
      </c>
      <c r="I1197" s="50" t="str">
        <f>ARRAY_CONSTRAIN(ARRAYFORMULA(SUM(IF([3]!Table13[ID]=B1197,[3]!Table13[QTY]))), 1, 1)</f>
        <v>#ERROR!</v>
      </c>
      <c r="J1197" s="50" t="str">
        <f>TABLEITEM!$H$3:$H$2749-TABLEITEM!$I$3:$I$2749</f>
        <v>#ERROR!</v>
      </c>
    </row>
    <row r="1198" ht="15.75" customHeight="1">
      <c r="A1198" s="45">
        <v>263.0</v>
      </c>
      <c r="B1198" s="10" t="s">
        <v>144</v>
      </c>
      <c r="C1198" s="26"/>
      <c r="D1198" s="10" t="s">
        <v>8687</v>
      </c>
      <c r="E1198" s="48" t="s">
        <v>6400</v>
      </c>
      <c r="F1198" s="57" t="s">
        <v>7173</v>
      </c>
      <c r="G1198" s="49">
        <f t="array" ref="G1198">MAX(IF(INSTOCK!$H$3:$H$6125=B1198,INSTOCK!$K$3:$K$6125))</f>
        <v>128</v>
      </c>
      <c r="H1198" s="50">
        <f t="array" ref="H1198">SUM(IF(INSTOCK!$H$3:$H$6125=B1198,INSTOCK!$I$3:$I$6125))</f>
        <v>150</v>
      </c>
      <c r="I1198" s="50" t="str">
        <f>ARRAY_CONSTRAIN(ARRAYFORMULA(SUM(IF([3]!Table13[ID]=B1198,[3]!Table13[QTY]))), 1, 1)</f>
        <v>#ERROR!</v>
      </c>
      <c r="J1198" s="50" t="str">
        <f>TABLEITEM!$H$3:$H$2749-TABLEITEM!$I$3:$I$2749</f>
        <v>#ERROR!</v>
      </c>
    </row>
    <row r="1199" ht="15.75" customHeight="1">
      <c r="A1199" s="45">
        <v>247.0</v>
      </c>
      <c r="B1199" s="18" t="s">
        <v>128</v>
      </c>
      <c r="C1199" s="26"/>
      <c r="D1199" s="10" t="s">
        <v>8688</v>
      </c>
      <c r="E1199" s="48" t="s">
        <v>1289</v>
      </c>
      <c r="F1199" s="57" t="s">
        <v>7173</v>
      </c>
      <c r="G1199" s="49">
        <f t="array" ref="G1199">MAX(IF(INSTOCK!$H$3:$H$6125=B1199,INSTOCK!$K$3:$K$6125))</f>
        <v>0</v>
      </c>
      <c r="H1199" s="50">
        <f t="array" ref="H1199">SUM(IF(INSTOCK!$H$3:$H$6125=B1199,INSTOCK!$I$3:$I$6125))</f>
        <v>204</v>
      </c>
      <c r="I1199" s="50" t="str">
        <f>ARRAY_CONSTRAIN(ARRAYFORMULA(SUM(IF([3]!Table13[ID]=B1199,[3]!Table13[QTY]))), 1, 1)</f>
        <v>#ERROR!</v>
      </c>
      <c r="J1199" s="50" t="str">
        <f>TABLEITEM!$H$3:$H$2749-TABLEITEM!$I$3:$I$2749</f>
        <v>#ERROR!</v>
      </c>
    </row>
    <row r="1200" ht="15.75" customHeight="1">
      <c r="A1200" s="45">
        <v>246.0</v>
      </c>
      <c r="B1200" s="18" t="s">
        <v>127</v>
      </c>
      <c r="C1200" s="26"/>
      <c r="D1200" s="18" t="s">
        <v>8689</v>
      </c>
      <c r="E1200" s="48" t="s">
        <v>1289</v>
      </c>
      <c r="F1200" s="57" t="s">
        <v>7173</v>
      </c>
      <c r="G1200" s="49">
        <f t="array" ref="G1200">MAX(IF(INSTOCK!$H$3:$H$6125=B1200,INSTOCK!$K$3:$K$6125))</f>
        <v>19</v>
      </c>
      <c r="H1200" s="50">
        <f t="array" ref="H1200">SUM(IF(INSTOCK!$H$3:$H$6125=B1200,INSTOCK!$I$3:$I$6125))</f>
        <v>338</v>
      </c>
      <c r="I1200" s="50" t="str">
        <f>ARRAY_CONSTRAIN(ARRAYFORMULA(SUM(IF([3]!Table13[ID]=B1200,[3]!Table13[QTY]))), 1, 1)</f>
        <v>#ERROR!</v>
      </c>
      <c r="J1200" s="50" t="str">
        <f>TABLEITEM!$H$3:$H$2749-TABLEITEM!$I$3:$I$2749</f>
        <v>#ERROR!</v>
      </c>
    </row>
    <row r="1201" ht="15.75" customHeight="1">
      <c r="A1201" s="45">
        <v>262.0</v>
      </c>
      <c r="B1201" s="18" t="s">
        <v>143</v>
      </c>
      <c r="C1201" s="26"/>
      <c r="D1201" s="18" t="s">
        <v>8690</v>
      </c>
      <c r="E1201" s="56" t="s">
        <v>6400</v>
      </c>
      <c r="F1201" s="57" t="s">
        <v>7173</v>
      </c>
      <c r="G1201" s="49">
        <f t="array" ref="G1201">MAX(IF(INSTOCK!$H$3:$H$6125=B1201,INSTOCK!$K$3:$K$6125))</f>
        <v>59</v>
      </c>
      <c r="H1201" s="50">
        <f t="array" ref="H1201">SUM(IF(INSTOCK!$H$3:$H$6125=B1201,INSTOCK!$I$3:$I$6125))</f>
        <v>988</v>
      </c>
      <c r="I1201" s="50" t="str">
        <f>ARRAY_CONSTRAIN(ARRAYFORMULA(SUM(IF([3]!Table13[ID]=B1201,[3]!Table13[QTY]))), 1, 1)</f>
        <v>#ERROR!</v>
      </c>
      <c r="J1201" s="50" t="str">
        <f>TABLEITEM!$H$3:$H$2749-TABLEITEM!$I$3:$I$2749</f>
        <v>#ERROR!</v>
      </c>
    </row>
    <row r="1202" ht="15.75" customHeight="1">
      <c r="A1202" s="45"/>
      <c r="B1202" s="18" t="s">
        <v>799</v>
      </c>
      <c r="C1202" s="26"/>
      <c r="D1202" s="18" t="s">
        <v>896</v>
      </c>
      <c r="E1202" s="56" t="s">
        <v>8092</v>
      </c>
      <c r="F1202" s="57" t="s">
        <v>7173</v>
      </c>
      <c r="G1202" s="49">
        <f t="array" ref="G1202">MAX(IF(INSTOCK!$H$3:$H$6125=B1202,INSTOCK!$K$3:$K$6125))</f>
        <v>30</v>
      </c>
      <c r="H1202" s="50">
        <f t="array" ref="H1202">SUM(IF(INSTOCK!$H$3:$H$6125=B1202,INSTOCK!$I$3:$I$6125))</f>
        <v>400</v>
      </c>
      <c r="I1202" s="50" t="str">
        <f>ARRAY_CONSTRAIN(ARRAYFORMULA(SUM(IF([3]!Table13[ID]=B1202,[3]!Table13[QTY]))), 1, 1)</f>
        <v>#ERROR!</v>
      </c>
      <c r="J1202" s="50" t="str">
        <f>TABLEITEM!$H$3:$H$2749-TABLEITEM!$I$3:$I$2749</f>
        <v>#ERROR!</v>
      </c>
    </row>
    <row r="1203" ht="15.75" customHeight="1">
      <c r="A1203" s="45">
        <v>240.0</v>
      </c>
      <c r="B1203" s="18" t="s">
        <v>121</v>
      </c>
      <c r="C1203" s="26"/>
      <c r="D1203" s="18" t="s">
        <v>895</v>
      </c>
      <c r="E1203" s="56" t="s">
        <v>8092</v>
      </c>
      <c r="F1203" s="57" t="s">
        <v>7173</v>
      </c>
      <c r="G1203" s="49">
        <f t="array" ref="G1203">MAX(IF(INSTOCK!$H$3:$H$6125=B1203,INSTOCK!$K$3:$K$6125))</f>
        <v>23</v>
      </c>
      <c r="H1203" s="50">
        <f t="array" ref="H1203">SUM(IF(INSTOCK!$H$3:$H$6125=B1203,INSTOCK!$I$3:$I$6125))</f>
        <v>614</v>
      </c>
      <c r="I1203" s="50" t="str">
        <f>ARRAY_CONSTRAIN(ARRAYFORMULA(SUM(IF([3]!Table13[ID]=B1203,[3]!Table13[QTY]))), 1, 1)</f>
        <v>#ERROR!</v>
      </c>
      <c r="J1203" s="50" t="str">
        <f>TABLEITEM!$H$3:$H$2749-TABLEITEM!$I$3:$I$2749</f>
        <v>#ERROR!</v>
      </c>
    </row>
    <row r="1204" ht="15.75" customHeight="1">
      <c r="A1204" s="45">
        <v>241.0</v>
      </c>
      <c r="B1204" s="18" t="s">
        <v>122</v>
      </c>
      <c r="C1204" s="26"/>
      <c r="D1204" s="18" t="s">
        <v>8691</v>
      </c>
      <c r="E1204" s="56" t="s">
        <v>8092</v>
      </c>
      <c r="F1204" s="57" t="s">
        <v>7173</v>
      </c>
      <c r="G1204" s="49">
        <f t="array" ref="G1204">MAX(IF(INSTOCK!$H$3:$H$6125=B1204,INSTOCK!$K$3:$K$6125))</f>
        <v>31</v>
      </c>
      <c r="H1204" s="50">
        <f t="array" ref="H1204">SUM(IF(INSTOCK!$H$3:$H$6125=B1204,INSTOCK!$I$3:$I$6125))</f>
        <v>115</v>
      </c>
      <c r="I1204" s="50" t="str">
        <f>ARRAY_CONSTRAIN(ARRAYFORMULA(SUM(IF([3]!Table13[ID]=B1204,[3]!Table13[QTY]))), 1, 1)</f>
        <v>#ERROR!</v>
      </c>
      <c r="J1204" s="50" t="str">
        <f>TABLEITEM!$H$3:$H$2749-TABLEITEM!$I$3:$I$2749</f>
        <v>#ERROR!</v>
      </c>
    </row>
    <row r="1205" ht="15.75" customHeight="1">
      <c r="A1205" s="45">
        <v>232.0</v>
      </c>
      <c r="B1205" s="10" t="s">
        <v>113</v>
      </c>
      <c r="C1205" s="26"/>
      <c r="D1205" s="18" t="s">
        <v>8692</v>
      </c>
      <c r="E1205" s="56" t="s">
        <v>8092</v>
      </c>
      <c r="F1205" s="57" t="s">
        <v>7173</v>
      </c>
      <c r="G1205" s="49">
        <f t="array" ref="G1205">MAX(IF(INSTOCK!$H$3:$H$6125=B1205,INSTOCK!$K$3:$K$6125))</f>
        <v>100</v>
      </c>
      <c r="H1205" s="50">
        <f t="array" ref="H1205">SUM(IF(INSTOCK!$H$3:$H$6125=B1205,INSTOCK!$I$3:$I$6125))</f>
        <v>35</v>
      </c>
      <c r="I1205" s="50" t="str">
        <f>ARRAY_CONSTRAIN(ARRAYFORMULA(SUM(IF([3]!Table13[ID]=B1205,[3]!Table13[QTY]))), 1, 1)</f>
        <v>#ERROR!</v>
      </c>
      <c r="J1205" s="50" t="str">
        <f>TABLEITEM!$H$3:$H$2749-TABLEITEM!$I$3:$I$2749</f>
        <v>#ERROR!</v>
      </c>
    </row>
    <row r="1206" ht="15.75" customHeight="1">
      <c r="A1206" s="45">
        <v>237.0</v>
      </c>
      <c r="B1206" s="10" t="s">
        <v>118</v>
      </c>
      <c r="C1206" s="26"/>
      <c r="D1206" s="18" t="s">
        <v>8693</v>
      </c>
      <c r="E1206" s="56" t="s">
        <v>8092</v>
      </c>
      <c r="F1206" s="57" t="s">
        <v>7173</v>
      </c>
      <c r="G1206" s="49">
        <f t="array" ref="G1206">MAX(IF(INSTOCK!$H$3:$H$6125=B1206,INSTOCK!$K$3:$K$6125))</f>
        <v>70</v>
      </c>
      <c r="H1206" s="50">
        <f t="array" ref="H1206">SUM(IF(INSTOCK!$H$3:$H$6125=B1206,INSTOCK!$I$3:$I$6125))</f>
        <v>150</v>
      </c>
      <c r="I1206" s="50" t="str">
        <f>ARRAY_CONSTRAIN(ARRAYFORMULA(SUM(IF([3]!Table13[ID]=B1206,[3]!Table13[QTY]))), 1, 1)</f>
        <v>#ERROR!</v>
      </c>
      <c r="J1206" s="50" t="str">
        <f>TABLEITEM!$H$3:$H$2749-TABLEITEM!$I$3:$I$2749</f>
        <v>#ERROR!</v>
      </c>
    </row>
    <row r="1207" ht="15.75" customHeight="1">
      <c r="A1207" s="45">
        <v>238.0</v>
      </c>
      <c r="B1207" s="18" t="s">
        <v>119</v>
      </c>
      <c r="C1207" s="26"/>
      <c r="D1207" s="18" t="s">
        <v>1190</v>
      </c>
      <c r="E1207" s="56" t="s">
        <v>957</v>
      </c>
      <c r="F1207" s="57" t="s">
        <v>7173</v>
      </c>
      <c r="G1207" s="49">
        <f t="array" ref="G1207">MAX(IF(INSTOCK!$H$3:$H$6125=B1207,INSTOCK!$K$3:$K$6125))</f>
        <v>110</v>
      </c>
      <c r="H1207" s="50">
        <f t="array" ref="H1207">SUM(IF(INSTOCK!$H$3:$H$6125=B1207,INSTOCK!$I$3:$I$6125))</f>
        <v>2161</v>
      </c>
      <c r="I1207" s="50" t="str">
        <f>ARRAY_CONSTRAIN(ARRAYFORMULA(SUM(IF([3]!Table13[ID]=B1207,[3]!Table13[QTY]))), 1, 1)</f>
        <v>#ERROR!</v>
      </c>
      <c r="J1207" s="50" t="str">
        <f>TABLEITEM!$H$3:$H$2749-TABLEITEM!$I$3:$I$2749</f>
        <v>#ERROR!</v>
      </c>
    </row>
    <row r="1208" ht="15.75" customHeight="1">
      <c r="A1208" s="45">
        <v>261.0</v>
      </c>
      <c r="B1208" s="10" t="s">
        <v>142</v>
      </c>
      <c r="C1208" s="26"/>
      <c r="D1208" s="18" t="s">
        <v>8694</v>
      </c>
      <c r="E1208" s="56" t="s">
        <v>6400</v>
      </c>
      <c r="F1208" s="57" t="s">
        <v>7173</v>
      </c>
      <c r="G1208" s="49">
        <f t="array" ref="G1208">MAX(IF(INSTOCK!$H$3:$H$6125=B1208,INSTOCK!$K$3:$K$6125))</f>
        <v>2300</v>
      </c>
      <c r="H1208" s="50">
        <f t="array" ref="H1208">SUM(IF(INSTOCK!$H$3:$H$6125=B1208,INSTOCK!$I$3:$I$6125))</f>
        <v>1</v>
      </c>
      <c r="I1208" s="50" t="str">
        <f>ARRAY_CONSTRAIN(ARRAYFORMULA(SUM(IF([3]!Table13[ID]=B1208,[3]!Table13[QTY]))), 1, 1)</f>
        <v>#ERROR!</v>
      </c>
      <c r="J1208" s="50" t="str">
        <f>TABLEITEM!$H$3:$H$2749-TABLEITEM!$I$3:$I$2749</f>
        <v>#ERROR!</v>
      </c>
    </row>
    <row r="1209" ht="15.75" customHeight="1">
      <c r="A1209" s="45">
        <v>233.0</v>
      </c>
      <c r="B1209" s="18" t="s">
        <v>114</v>
      </c>
      <c r="C1209" s="26"/>
      <c r="D1209" s="18" t="s">
        <v>8695</v>
      </c>
      <c r="E1209" s="56" t="s">
        <v>8092</v>
      </c>
      <c r="F1209" s="57" t="s">
        <v>7173</v>
      </c>
      <c r="G1209" s="49">
        <f t="array" ref="G1209">MAX(IF(INSTOCK!$H$3:$H$6125=B1209,INSTOCK!$K$3:$K$6125))</f>
        <v>100</v>
      </c>
      <c r="H1209" s="50">
        <f t="array" ref="H1209">SUM(IF(INSTOCK!$H$3:$H$6125=B1209,INSTOCK!$I$3:$I$6125))</f>
        <v>30</v>
      </c>
      <c r="I1209" s="50" t="str">
        <f>ARRAY_CONSTRAIN(ARRAYFORMULA(SUM(IF([3]!Table13[ID]=B1209,[3]!Table13[QTY]))), 1, 1)</f>
        <v>#ERROR!</v>
      </c>
      <c r="J1209" s="50" t="str">
        <f>TABLEITEM!$H$3:$H$2749-TABLEITEM!$I$3:$I$2749</f>
        <v>#ERROR!</v>
      </c>
    </row>
    <row r="1210" ht="15.75" customHeight="1">
      <c r="A1210" s="45">
        <v>239.0</v>
      </c>
      <c r="B1210" s="18" t="s">
        <v>120</v>
      </c>
      <c r="C1210" s="26"/>
      <c r="D1210" s="18" t="s">
        <v>878</v>
      </c>
      <c r="E1210" s="48" t="s">
        <v>8092</v>
      </c>
      <c r="F1210" s="57" t="s">
        <v>7173</v>
      </c>
      <c r="G1210" s="49">
        <f t="array" ref="G1210">MAX(IF(INSTOCK!$H$3:$H$6125=B1210,INSTOCK!$K$3:$K$6125))</f>
        <v>45</v>
      </c>
      <c r="H1210" s="50">
        <f t="array" ref="H1210">SUM(IF(INSTOCK!$H$3:$H$6125=B1210,INSTOCK!$I$3:$I$6125))</f>
        <v>603</v>
      </c>
      <c r="I1210" s="50" t="str">
        <f>ARRAY_CONSTRAIN(ARRAYFORMULA(SUM(IF([3]!Table13[ID]=B1210,[3]!Table13[QTY]))), 1, 1)</f>
        <v>#ERROR!</v>
      </c>
      <c r="J1210" s="50" t="str">
        <f>TABLEITEM!$H$3:$H$2749-TABLEITEM!$I$3:$I$2749</f>
        <v>#ERROR!</v>
      </c>
    </row>
    <row r="1211" ht="15.75" customHeight="1">
      <c r="A1211" s="45">
        <v>231.0</v>
      </c>
      <c r="B1211" s="10" t="s">
        <v>112</v>
      </c>
      <c r="C1211" s="26"/>
      <c r="D1211" s="10" t="s">
        <v>8696</v>
      </c>
      <c r="E1211" s="48" t="s">
        <v>8092</v>
      </c>
      <c r="F1211" s="57" t="s">
        <v>7173</v>
      </c>
      <c r="G1211" s="49">
        <f t="array" ref="G1211">MAX(IF(INSTOCK!$H$3:$H$6125=B1211,INSTOCK!$K$3:$K$6125))</f>
        <v>30</v>
      </c>
      <c r="H1211" s="50">
        <f t="array" ref="H1211">SUM(IF(INSTOCK!$H$3:$H$6125=B1211,INSTOCK!$I$3:$I$6125))</f>
        <v>476</v>
      </c>
      <c r="I1211" s="50" t="str">
        <f>ARRAY_CONSTRAIN(ARRAYFORMULA(SUM(IF([3]!Table13[ID]=B1211,[3]!Table13[QTY]))), 1, 1)</f>
        <v>#ERROR!</v>
      </c>
      <c r="J1211" s="50" t="str">
        <f>TABLEITEM!$H$3:$H$2749-TABLEITEM!$I$3:$I$2749</f>
        <v>#ERROR!</v>
      </c>
    </row>
    <row r="1212" ht="15.75" customHeight="1">
      <c r="A1212" s="45">
        <v>235.0</v>
      </c>
      <c r="B1212" s="10" t="s">
        <v>116</v>
      </c>
      <c r="C1212" s="26"/>
      <c r="D1212" s="10" t="s">
        <v>881</v>
      </c>
      <c r="E1212" s="48" t="s">
        <v>8092</v>
      </c>
      <c r="F1212" s="57" t="s">
        <v>7173</v>
      </c>
      <c r="G1212" s="49">
        <f t="array" ref="G1212">MAX(IF(INSTOCK!$H$3:$H$6125=B1212,INSTOCK!$K$3:$K$6125))</f>
        <v>23</v>
      </c>
      <c r="H1212" s="50">
        <f t="array" ref="H1212">SUM(IF(INSTOCK!$H$3:$H$6125=B1212,INSTOCK!$I$3:$I$6125))</f>
        <v>11854</v>
      </c>
      <c r="I1212" s="50" t="str">
        <f>ARRAY_CONSTRAIN(ARRAYFORMULA(SUM(IF([3]!Table13[ID]=B1212,[3]!Table13[QTY]))), 1, 1)</f>
        <v>#ERROR!</v>
      </c>
      <c r="J1212" s="50" t="str">
        <f>TABLEITEM!$H$3:$H$2749-TABLEITEM!$I$3:$I$2749</f>
        <v>#ERROR!</v>
      </c>
    </row>
    <row r="1213" ht="15.75" customHeight="1">
      <c r="A1213" s="45">
        <v>234.0</v>
      </c>
      <c r="B1213" s="10" t="s">
        <v>115</v>
      </c>
      <c r="C1213" s="26"/>
      <c r="D1213" s="10" t="s">
        <v>8697</v>
      </c>
      <c r="E1213" s="48" t="s">
        <v>8092</v>
      </c>
      <c r="F1213" s="57" t="s">
        <v>7173</v>
      </c>
      <c r="G1213" s="49">
        <f t="array" ref="G1213">MAX(IF(INSTOCK!$H$3:$H$6125=B1213,INSTOCK!$K$3:$K$6125))</f>
        <v>23</v>
      </c>
      <c r="H1213" s="50">
        <f t="array" ref="H1213">SUM(IF(INSTOCK!$H$3:$H$6125=B1213,INSTOCK!$I$3:$I$6125))</f>
        <v>4158</v>
      </c>
      <c r="I1213" s="50" t="str">
        <f>ARRAY_CONSTRAIN(ARRAYFORMULA(SUM(IF([3]!Table13[ID]=B1213,[3]!Table13[QTY]))), 1, 1)</f>
        <v>#ERROR!</v>
      </c>
      <c r="J1213" s="50" t="str">
        <f>TABLEITEM!$H$3:$H$2749-TABLEITEM!$I$3:$I$2749</f>
        <v>#ERROR!</v>
      </c>
    </row>
    <row r="1214" ht="15.75" customHeight="1">
      <c r="A1214" s="45">
        <v>236.0</v>
      </c>
      <c r="B1214" s="18" t="s">
        <v>117</v>
      </c>
      <c r="C1214" s="26"/>
      <c r="D1214" s="18" t="s">
        <v>888</v>
      </c>
      <c r="E1214" s="48" t="s">
        <v>8092</v>
      </c>
      <c r="F1214" s="57" t="s">
        <v>7173</v>
      </c>
      <c r="G1214" s="49">
        <f t="array" ref="G1214">MAX(IF(INSTOCK!$H$3:$H$6125=B1214,INSTOCK!$K$3:$K$6125))</f>
        <v>30</v>
      </c>
      <c r="H1214" s="50">
        <f t="array" ref="H1214">SUM(IF(INSTOCK!$H$3:$H$6125=B1214,INSTOCK!$I$3:$I$6125))</f>
        <v>389</v>
      </c>
      <c r="I1214" s="50" t="str">
        <f>ARRAY_CONSTRAIN(ARRAYFORMULA(SUM(IF([3]!Table13[ID]=B1214,[3]!Table13[QTY]))), 1, 1)</f>
        <v>#ERROR!</v>
      </c>
      <c r="J1214" s="50" t="str">
        <f>TABLEITEM!$H$3:$H$2749-TABLEITEM!$I$3:$I$2749</f>
        <v>#ERROR!</v>
      </c>
    </row>
    <row r="1215" ht="15.75" customHeight="1">
      <c r="A1215" s="45">
        <v>243.0</v>
      </c>
      <c r="B1215" s="18" t="s">
        <v>124</v>
      </c>
      <c r="C1215" s="26"/>
      <c r="D1215" s="18" t="s">
        <v>8698</v>
      </c>
      <c r="E1215" s="56" t="s">
        <v>7294</v>
      </c>
      <c r="F1215" s="57" t="s">
        <v>7173</v>
      </c>
      <c r="G1215" s="49">
        <f t="array" ref="G1215">MAX(IF(INSTOCK!$H$3:$H$6125=B1215,INSTOCK!$K$3:$K$6125))</f>
        <v>190</v>
      </c>
      <c r="H1215" s="50">
        <f t="array" ref="H1215">SUM(IF(INSTOCK!$H$3:$H$6125=B1215,INSTOCK!$I$3:$I$6125))</f>
        <v>1889</v>
      </c>
      <c r="I1215" s="50" t="str">
        <f>ARRAY_CONSTRAIN(ARRAYFORMULA(SUM(IF([3]!Table13[ID]=B1215,[3]!Table13[QTY]))), 1, 1)</f>
        <v>#ERROR!</v>
      </c>
      <c r="J1215" s="50" t="str">
        <f>TABLEITEM!$H$3:$H$2749-TABLEITEM!$I$3:$I$2749</f>
        <v>#ERROR!</v>
      </c>
    </row>
    <row r="1216" ht="15.75" customHeight="1">
      <c r="A1216" s="45">
        <v>244.0</v>
      </c>
      <c r="B1216" s="18" t="s">
        <v>125</v>
      </c>
      <c r="C1216" s="26"/>
      <c r="D1216" s="18" t="s">
        <v>8699</v>
      </c>
      <c r="E1216" s="48" t="s">
        <v>7294</v>
      </c>
      <c r="F1216" s="57" t="s">
        <v>7173</v>
      </c>
      <c r="G1216" s="49">
        <f t="array" ref="G1216">MAX(IF(INSTOCK!$H$3:$H$6125=B1216,INSTOCK!$K$3:$K$6125))</f>
        <v>170</v>
      </c>
      <c r="H1216" s="50">
        <f t="array" ref="H1216">SUM(IF(INSTOCK!$H$3:$H$6125=B1216,INSTOCK!$I$3:$I$6125))</f>
        <v>80</v>
      </c>
      <c r="I1216" s="50" t="str">
        <f>ARRAY_CONSTRAIN(ARRAYFORMULA(SUM(IF([3]!Table13[ID]=B1216,[3]!Table13[QTY]))), 1, 1)</f>
        <v>#ERROR!</v>
      </c>
      <c r="J1216" s="50" t="str">
        <f>TABLEITEM!$H$3:$H$2749-TABLEITEM!$I$3:$I$2749</f>
        <v>#ERROR!</v>
      </c>
    </row>
    <row r="1217" ht="15.75" customHeight="1">
      <c r="A1217" s="45">
        <v>242.0</v>
      </c>
      <c r="B1217" s="18" t="s">
        <v>123</v>
      </c>
      <c r="C1217" s="26"/>
      <c r="D1217" s="18" t="s">
        <v>8700</v>
      </c>
      <c r="E1217" s="56" t="s">
        <v>8092</v>
      </c>
      <c r="F1217" s="57" t="s">
        <v>7173</v>
      </c>
      <c r="G1217" s="49">
        <f t="array" ref="G1217">MAX(IF(INSTOCK!$H$3:$H$6125=B1217,INSTOCK!$K$3:$K$6125))</f>
        <v>180</v>
      </c>
      <c r="H1217" s="50">
        <f t="array" ref="H1217">SUM(IF(INSTOCK!$H$3:$H$6125=B1217,INSTOCK!$I$3:$I$6125))</f>
        <v>12</v>
      </c>
      <c r="I1217" s="50" t="str">
        <f>ARRAY_CONSTRAIN(ARRAYFORMULA(SUM(IF([3]!Table13[ID]=B1217,[3]!Table13[QTY]))), 1, 1)</f>
        <v>#ERROR!</v>
      </c>
      <c r="J1217" s="50" t="str">
        <f>TABLEITEM!$H$3:$H$2749-TABLEITEM!$I$3:$I$2749</f>
        <v>#ERROR!</v>
      </c>
    </row>
    <row r="1218" ht="15.75" customHeight="1">
      <c r="A1218" s="45">
        <v>245.0</v>
      </c>
      <c r="B1218" s="18" t="s">
        <v>126</v>
      </c>
      <c r="C1218" s="26"/>
      <c r="D1218" s="10" t="s">
        <v>1011</v>
      </c>
      <c r="E1218" s="48" t="s">
        <v>7294</v>
      </c>
      <c r="F1218" s="57" t="s">
        <v>7173</v>
      </c>
      <c r="G1218" s="49">
        <f t="array" ref="G1218">MAX(IF(INSTOCK!$H$3:$H$6125=B1218,INSTOCK!$K$3:$K$6125))</f>
        <v>200</v>
      </c>
      <c r="H1218" s="50">
        <f t="array" ref="H1218">SUM(IF(INSTOCK!$H$3:$H$6125=B1218,INSTOCK!$I$3:$I$6125))</f>
        <v>810</v>
      </c>
      <c r="I1218" s="50" t="str">
        <f>ARRAY_CONSTRAIN(ARRAYFORMULA(SUM(IF([3]!Table13[ID]=B1218,[3]!Table13[QTY]))), 1, 1)</f>
        <v>#ERROR!</v>
      </c>
      <c r="J1218" s="50" t="str">
        <f>TABLEITEM!$H$3:$H$2749-TABLEITEM!$I$3:$I$2749</f>
        <v>#ERROR!</v>
      </c>
    </row>
    <row r="1219" ht="15.75" customHeight="1">
      <c r="A1219" s="45">
        <v>259.0</v>
      </c>
      <c r="B1219" s="18" t="s">
        <v>140</v>
      </c>
      <c r="C1219" s="26"/>
      <c r="D1219" s="10" t="s">
        <v>8701</v>
      </c>
      <c r="E1219" s="48" t="s">
        <v>6400</v>
      </c>
      <c r="F1219" s="57" t="s">
        <v>7173</v>
      </c>
      <c r="G1219" s="49">
        <f t="array" ref="G1219">MAX(IF(INSTOCK!$H$3:$H$6125=B1219,INSTOCK!$K$3:$K$6125))</f>
        <v>630</v>
      </c>
      <c r="H1219" s="50">
        <f t="array" ref="H1219">SUM(IF(INSTOCK!$H$3:$H$6125=B1219,INSTOCK!$I$3:$I$6125))</f>
        <v>0</v>
      </c>
      <c r="I1219" s="50" t="str">
        <f>ARRAY_CONSTRAIN(ARRAYFORMULA(SUM(IF([3]!Table13[ID]=B1219,[3]!Table13[QTY]))), 1, 1)</f>
        <v>#ERROR!</v>
      </c>
      <c r="J1219" s="50" t="str">
        <f>TABLEITEM!$H$3:$H$2749-TABLEITEM!$I$3:$I$2749</f>
        <v>#ERROR!</v>
      </c>
    </row>
    <row r="1220" ht="15.75" customHeight="1">
      <c r="A1220" s="45"/>
      <c r="B1220" s="10" t="s">
        <v>1203</v>
      </c>
      <c r="C1220" s="26"/>
      <c r="D1220" s="10" t="s">
        <v>8702</v>
      </c>
      <c r="E1220" s="48" t="s">
        <v>6400</v>
      </c>
      <c r="F1220" s="57" t="s">
        <v>7173</v>
      </c>
      <c r="G1220" s="49">
        <f t="array" ref="G1220">MAX(IF(INSTOCK!$H$3:$H$6125=B1220,INSTOCK!$K$3:$K$6125))</f>
        <v>952</v>
      </c>
      <c r="H1220" s="50">
        <f t="array" ref="H1220">SUM(IF(INSTOCK!$H$3:$H$6125=B1220,INSTOCK!$I$3:$I$6125))</f>
        <v>10</v>
      </c>
      <c r="I1220" s="50" t="str">
        <f>ARRAY_CONSTRAIN(ARRAYFORMULA(SUM(IF([3]!Table13[ID]=B1220,[3]!Table13[QTY]))), 1, 1)</f>
        <v>#ERROR!</v>
      </c>
      <c r="J1220" s="50" t="str">
        <f>TABLEITEM!$H$3:$H$2749-TABLEITEM!$I$3:$I$2749</f>
        <v>#ERROR!</v>
      </c>
    </row>
    <row r="1221" ht="15.75" customHeight="1">
      <c r="A1221" s="45">
        <v>277.0</v>
      </c>
      <c r="B1221" s="18" t="s">
        <v>158</v>
      </c>
      <c r="C1221" s="26"/>
      <c r="D1221" s="10" t="s">
        <v>8703</v>
      </c>
      <c r="E1221" s="48" t="s">
        <v>6400</v>
      </c>
      <c r="F1221" s="57" t="s">
        <v>7173</v>
      </c>
      <c r="G1221" s="49">
        <f t="array" ref="G1221">MAX(IF(INSTOCK!$H$3:$H$6125=B1221,INSTOCK!$K$3:$K$6125))</f>
        <v>662</v>
      </c>
      <c r="H1221" s="50">
        <f t="array" ref="H1221">SUM(IF(INSTOCK!$H$3:$H$6125=B1221,INSTOCK!$I$3:$I$6125))</f>
        <v>40</v>
      </c>
      <c r="I1221" s="50" t="str">
        <f>ARRAY_CONSTRAIN(ARRAYFORMULA(SUM(IF([3]!Table13[ID]=B1221,[3]!Table13[QTY]))), 1, 1)</f>
        <v>#ERROR!</v>
      </c>
      <c r="J1221" s="50" t="str">
        <f>TABLEITEM!$H$3:$H$2749-TABLEITEM!$I$3:$I$2749</f>
        <v>#ERROR!</v>
      </c>
    </row>
    <row r="1222" ht="15.75" customHeight="1">
      <c r="A1222" s="45">
        <v>276.0</v>
      </c>
      <c r="B1222" s="18" t="s">
        <v>157</v>
      </c>
      <c r="C1222" s="26"/>
      <c r="D1222" s="18" t="s">
        <v>8704</v>
      </c>
      <c r="E1222" s="56" t="s">
        <v>6400</v>
      </c>
      <c r="F1222" s="57" t="s">
        <v>7173</v>
      </c>
      <c r="G1222" s="49">
        <f t="array" ref="G1222">MAX(IF(INSTOCK!$H$3:$H$6125=B1222,INSTOCK!$K$3:$K$6125))</f>
        <v>622</v>
      </c>
      <c r="H1222" s="50">
        <f t="array" ref="H1222">SUM(IF(INSTOCK!$H$3:$H$6125=B1222,INSTOCK!$I$3:$I$6125))</f>
        <v>20</v>
      </c>
      <c r="I1222" s="50" t="str">
        <f>ARRAY_CONSTRAIN(ARRAYFORMULA(SUM(IF([3]!Table13[ID]=B1222,[3]!Table13[QTY]))), 1, 1)</f>
        <v>#ERROR!</v>
      </c>
      <c r="J1222" s="50" t="str">
        <f>TABLEITEM!$H$3:$H$2749-TABLEITEM!$I$3:$I$2749</f>
        <v>#ERROR!</v>
      </c>
    </row>
    <row r="1223" ht="15.75" customHeight="1">
      <c r="A1223" s="45">
        <v>260.0</v>
      </c>
      <c r="B1223" s="18" t="s">
        <v>141</v>
      </c>
      <c r="C1223" s="26"/>
      <c r="D1223" s="18" t="s">
        <v>8705</v>
      </c>
      <c r="E1223" s="56" t="s">
        <v>6400</v>
      </c>
      <c r="F1223" s="57" t="s">
        <v>7173</v>
      </c>
      <c r="G1223" s="49">
        <f t="array" ref="G1223">MAX(IF(INSTOCK!$H$3:$H$6125=B1223,INSTOCK!$K$3:$K$6125))</f>
        <v>420</v>
      </c>
      <c r="H1223" s="50">
        <f t="array" ref="H1223">SUM(IF(INSTOCK!$H$3:$H$6125=B1223,INSTOCK!$I$3:$I$6125))</f>
        <v>771</v>
      </c>
      <c r="I1223" s="50" t="str">
        <f>ARRAY_CONSTRAIN(ARRAYFORMULA(SUM(IF([3]!Table13[ID]=B1223,[3]!Table13[QTY]))), 1, 1)</f>
        <v>#ERROR!</v>
      </c>
      <c r="J1223" s="50" t="str">
        <f>TABLEITEM!$H$3:$H$2749-TABLEITEM!$I$3:$I$2749</f>
        <v>#ERROR!</v>
      </c>
    </row>
    <row r="1224" ht="15.75" customHeight="1">
      <c r="A1224" s="45">
        <v>258.0</v>
      </c>
      <c r="B1224" s="10" t="s">
        <v>139</v>
      </c>
      <c r="C1224" s="26"/>
      <c r="D1224" s="10" t="s">
        <v>8706</v>
      </c>
      <c r="E1224" s="48" t="s">
        <v>6400</v>
      </c>
      <c r="F1224" s="57" t="s">
        <v>7173</v>
      </c>
      <c r="G1224" s="49">
        <f t="array" ref="G1224">MAX(IF(INSTOCK!$H$3:$H$6125=B1224,INSTOCK!$K$3:$K$6125))</f>
        <v>870</v>
      </c>
      <c r="H1224" s="50">
        <f t="array" ref="H1224">SUM(IF(INSTOCK!$H$3:$H$6125=B1224,INSTOCK!$I$3:$I$6125))</f>
        <v>683</v>
      </c>
      <c r="I1224" s="50" t="str">
        <f>ARRAY_CONSTRAIN(ARRAYFORMULA(SUM(IF([3]!Table13[ID]=B1224,[3]!Table13[QTY]))), 1, 1)</f>
        <v>#ERROR!</v>
      </c>
      <c r="J1224" s="50" t="str">
        <f>TABLEITEM!$H$3:$H$2749-TABLEITEM!$I$3:$I$2749</f>
        <v>#ERROR!</v>
      </c>
    </row>
    <row r="1225" ht="15.75" customHeight="1">
      <c r="A1225" s="45">
        <v>249.0</v>
      </c>
      <c r="B1225" s="10" t="s">
        <v>2502</v>
      </c>
      <c r="C1225" s="26"/>
      <c r="D1225" s="10" t="s">
        <v>8707</v>
      </c>
      <c r="E1225" s="48" t="s">
        <v>8092</v>
      </c>
      <c r="F1225" s="57" t="s">
        <v>7173</v>
      </c>
      <c r="G1225" s="49">
        <f t="array" ref="G1225">MAX(IF(INSTOCK!$H$3:$H$6125=B1225,INSTOCK!$K$3:$K$6125))</f>
        <v>67.5</v>
      </c>
      <c r="H1225" s="50">
        <f t="array" ref="H1225">SUM(IF(INSTOCK!$H$3:$H$6125=B1225,INSTOCK!$I$3:$I$6125))</f>
        <v>1000</v>
      </c>
      <c r="I1225" s="50" t="str">
        <f>ARRAY_CONSTRAIN(ARRAYFORMULA(SUM(IF([3]!Table13[ID]=B1225,[3]!Table13[QTY]))), 1, 1)</f>
        <v>#ERROR!</v>
      </c>
      <c r="J1225" s="50" t="str">
        <f>TABLEITEM!$H$3:$H$2749-TABLEITEM!$I$3:$I$2749</f>
        <v>#ERROR!</v>
      </c>
    </row>
    <row r="1226" ht="15.75" customHeight="1">
      <c r="A1226" s="45"/>
      <c r="B1226" s="18" t="s">
        <v>8708</v>
      </c>
      <c r="C1226" s="26"/>
      <c r="D1226" s="10" t="s">
        <v>8709</v>
      </c>
      <c r="E1226" s="48" t="s">
        <v>8092</v>
      </c>
      <c r="F1226" s="57" t="s">
        <v>7173</v>
      </c>
      <c r="G1226" s="49">
        <f t="array" ref="G1226">MAX(IF(INSTOCK!$H$3:$H$6125=B1226,INSTOCK!$K$3:$K$6125))</f>
        <v>67.5</v>
      </c>
      <c r="H1226" s="50">
        <f t="array" ref="H1226">SUM(IF(INSTOCK!$H$3:$H$6125=B1226,INSTOCK!$I$3:$I$6125))</f>
        <v>500</v>
      </c>
      <c r="I1226" s="50" t="str">
        <f>ARRAY_CONSTRAIN(ARRAYFORMULA(SUM(IF([3]!Table13[ID]=B1226,[3]!Table13[QTY]))), 1, 1)</f>
        <v>#ERROR!</v>
      </c>
      <c r="J1226" s="50" t="str">
        <f>TABLEITEM!$H$3:$H$2749-TABLEITEM!$I$3:$I$2749</f>
        <v>#ERROR!</v>
      </c>
    </row>
    <row r="1227" ht="15.75" customHeight="1">
      <c r="A1227" s="45">
        <v>179.0</v>
      </c>
      <c r="B1227" s="10" t="s">
        <v>60</v>
      </c>
      <c r="C1227" s="26"/>
      <c r="D1227" s="10" t="s">
        <v>8710</v>
      </c>
      <c r="E1227" s="48" t="s">
        <v>8711</v>
      </c>
      <c r="F1227" s="57" t="s">
        <v>7173</v>
      </c>
      <c r="G1227" s="49">
        <f t="array" ref="G1227">MAX(IF(INSTOCK!$H$3:$H$6125=B1227,INSTOCK!$K$3:$K$6125))</f>
        <v>72</v>
      </c>
      <c r="H1227" s="50">
        <f t="array" ref="H1227">SUM(IF(INSTOCK!$H$3:$H$6125=B1227,INSTOCK!$I$3:$I$6125))</f>
        <v>29</v>
      </c>
      <c r="I1227" s="50" t="str">
        <f>ARRAY_CONSTRAIN(ARRAYFORMULA(SUM(IF([3]!Table13[ID]=B1227,[3]!Table13[QTY]))), 1, 1)</f>
        <v>#ERROR!</v>
      </c>
      <c r="J1227" s="50" t="str">
        <f>TABLEITEM!$H$3:$H$2749-TABLEITEM!$I$3:$I$2749</f>
        <v>#ERROR!</v>
      </c>
    </row>
    <row r="1228" ht="15.75" customHeight="1">
      <c r="A1228" s="45"/>
      <c r="B1228" s="18" t="s">
        <v>2071</v>
      </c>
      <c r="C1228" s="26"/>
      <c r="D1228" s="18" t="s">
        <v>8712</v>
      </c>
      <c r="E1228" s="56"/>
      <c r="F1228" s="57" t="s">
        <v>8140</v>
      </c>
      <c r="G1228" s="49">
        <f t="array" ref="G1228">MAX(IF(INSTOCK!$H$3:$H$6125=B1228,INSTOCK!$K$3:$K$6125))</f>
        <v>42.06</v>
      </c>
      <c r="H1228" s="50">
        <f t="array" ref="H1228">SUM(IF(INSTOCK!$H$3:$H$6125=B1228,INSTOCK!$I$3:$I$6125))</f>
        <v>1</v>
      </c>
      <c r="I1228" s="50" t="str">
        <f>ARRAY_CONSTRAIN(ARRAYFORMULA(SUM(IF([3]!Table13[ID]=B1228,[3]!Table13[QTY]))), 1, 1)</f>
        <v>#ERROR!</v>
      </c>
      <c r="J1228" s="50" t="str">
        <f>TABLEITEM!$H$3:$H$2749-TABLEITEM!$I$3:$I$2749</f>
        <v>#ERROR!</v>
      </c>
    </row>
    <row r="1229" ht="15.75" customHeight="1">
      <c r="A1229" s="45"/>
      <c r="B1229" s="10" t="s">
        <v>1565</v>
      </c>
      <c r="C1229" s="26"/>
      <c r="D1229" s="10" t="s">
        <v>8713</v>
      </c>
      <c r="E1229" s="48" t="s">
        <v>1564</v>
      </c>
      <c r="F1229" s="57" t="s">
        <v>7173</v>
      </c>
      <c r="G1229" s="49">
        <f t="array" ref="G1229">MAX(IF(INSTOCK!$H$3:$H$6125=B1229,INSTOCK!$K$3:$K$6125))</f>
        <v>18</v>
      </c>
      <c r="H1229" s="50">
        <f t="array" ref="H1229">SUM(IF(INSTOCK!$H$3:$H$6125=B1229,INSTOCK!$I$3:$I$6125))</f>
        <v>100</v>
      </c>
      <c r="I1229" s="50" t="str">
        <f>ARRAY_CONSTRAIN(ARRAYFORMULA(SUM(IF([3]!Table13[ID]=B1229,[3]!Table13[QTY]))), 1, 1)</f>
        <v>#ERROR!</v>
      </c>
      <c r="J1229" s="50" t="str">
        <f>TABLEITEM!$H$3:$H$2749-TABLEITEM!$I$3:$I$2749</f>
        <v>#ERROR!</v>
      </c>
    </row>
    <row r="1230" ht="15.75" customHeight="1">
      <c r="A1230" s="45"/>
      <c r="B1230" s="10" t="s">
        <v>2761</v>
      </c>
      <c r="C1230" s="26"/>
      <c r="D1230" s="10" t="s">
        <v>8714</v>
      </c>
      <c r="E1230" s="48" t="s">
        <v>8715</v>
      </c>
      <c r="F1230" s="57" t="s">
        <v>7173</v>
      </c>
      <c r="G1230" s="49">
        <f t="array" ref="G1230">MAX(IF(INSTOCK!$H$3:$H$6125=B1230,INSTOCK!$K$3:$K$6125))</f>
        <v>18</v>
      </c>
      <c r="H1230" s="50">
        <f t="array" ref="H1230">SUM(IF(INSTOCK!$H$3:$H$6125=B1230,INSTOCK!$I$3:$I$6125))</f>
        <v>1300</v>
      </c>
      <c r="I1230" s="50" t="str">
        <f>ARRAY_CONSTRAIN(ARRAYFORMULA(SUM(IF([3]!Table13[ID]=B1230,[3]!Table13[QTY]))), 1, 1)</f>
        <v>#ERROR!</v>
      </c>
      <c r="J1230" s="50" t="str">
        <f>TABLEITEM!$H$3:$H$2749-TABLEITEM!$I$3:$I$2749</f>
        <v>#ERROR!</v>
      </c>
    </row>
    <row r="1231" ht="15.75" customHeight="1">
      <c r="A1231" s="45"/>
      <c r="B1231" s="10" t="s">
        <v>2781</v>
      </c>
      <c r="C1231" s="26" t="s">
        <v>2039</v>
      </c>
      <c r="D1231" s="10" t="s">
        <v>8716</v>
      </c>
      <c r="E1231" s="48" t="s">
        <v>8717</v>
      </c>
      <c r="F1231" s="48" t="s">
        <v>7173</v>
      </c>
      <c r="G1231" s="49">
        <f t="array" ref="G1231">MAX(IF(INSTOCK!$H$3:$H$6125=B1231,INSTOCK!$K$3:$K$6125))</f>
        <v>3500</v>
      </c>
      <c r="H1231" s="50">
        <f t="array" ref="H1231">SUM(IF(INSTOCK!$H$3:$H$6125=B1231,INSTOCK!$I$3:$I$6125))</f>
        <v>2</v>
      </c>
      <c r="I1231" s="50" t="str">
        <f>ARRAY_CONSTRAIN(ARRAYFORMULA(SUM(IF([3]!Table13[ID]=B1231,[3]!Table13[QTY]))), 1, 1)</f>
        <v>#ERROR!</v>
      </c>
      <c r="J1231" s="50" t="str">
        <f>TABLEITEM!$H$3:$H$2749-TABLEITEM!$I$3:$I$2749</f>
        <v>#ERROR!</v>
      </c>
    </row>
    <row r="1232" ht="15.75" customHeight="1">
      <c r="A1232" s="45"/>
      <c r="B1232" s="18" t="s">
        <v>2354</v>
      </c>
      <c r="C1232" s="26"/>
      <c r="D1232" s="18" t="s">
        <v>8718</v>
      </c>
      <c r="E1232" s="56" t="s">
        <v>1289</v>
      </c>
      <c r="F1232" s="48" t="s">
        <v>7173</v>
      </c>
      <c r="G1232" s="49" t="str">
        <f t="array" ref="G1232">MAX(IF(INSTOCK!$H$3:$H$6125=#REF!,INSTOCK!$K$3:$K$6125))</f>
        <v>#REF!</v>
      </c>
      <c r="H1232" s="50">
        <f t="array" ref="H1232">SUM(IF(INSTOCK!$H$3:$H$6125=B1232,INSTOCK!$I$3:$I$6125))</f>
        <v>900</v>
      </c>
      <c r="I1232" s="50" t="str">
        <f>ARRAY_CONSTRAIN(ARRAYFORMULA(SUM(IF([3]!Table13[ID]=B1232,[3]!Table13[QTY]))), 1, 1)</f>
        <v>#ERROR!</v>
      </c>
      <c r="J1232" s="50" t="str">
        <f>TABLEITEM!$H$3:$H$2749-TABLEITEM!$I$3:$I$2749</f>
        <v>#ERROR!</v>
      </c>
    </row>
    <row r="1233" ht="15.75" customHeight="1">
      <c r="A1233" s="45"/>
      <c r="B1233" s="18" t="s">
        <v>2879</v>
      </c>
      <c r="C1233" s="26"/>
      <c r="D1233" s="10" t="s">
        <v>8719</v>
      </c>
      <c r="E1233" s="56"/>
      <c r="F1233" s="48" t="s">
        <v>7173</v>
      </c>
      <c r="G1233" s="49">
        <f t="array" ref="G1233">MAX(IF(INSTOCK!$H$3:$H$6125=B1233,INSTOCK!$K$3:$K$6125))</f>
        <v>9</v>
      </c>
      <c r="H1233" s="50">
        <f t="array" ref="H1233">SUM(IF(INSTOCK!$H$3:$H$6125=B1233,INSTOCK!$I$3:$I$6125))</f>
        <v>504</v>
      </c>
      <c r="I1233" s="50" t="str">
        <f>ARRAY_CONSTRAIN(ARRAYFORMULA(SUM(IF([3]!Table13[ID]=B1233,[3]!Table13[QTY]))), 1, 1)</f>
        <v>#ERROR!</v>
      </c>
      <c r="J1233" s="50" t="str">
        <f>TABLEITEM!$H$3:$H$2749-TABLEITEM!$I$3:$I$2749</f>
        <v>#ERROR!</v>
      </c>
    </row>
    <row r="1234" ht="15.75" customHeight="1">
      <c r="A1234" s="45"/>
      <c r="B1234" s="10" t="s">
        <v>3146</v>
      </c>
      <c r="C1234" s="26"/>
      <c r="D1234" s="10" t="s">
        <v>8720</v>
      </c>
      <c r="E1234" s="56" t="s">
        <v>3146</v>
      </c>
      <c r="F1234" s="48" t="s">
        <v>7173</v>
      </c>
      <c r="G1234" s="49">
        <f t="array" ref="G1234">MAX(IF(INSTOCK!$H$3:$H$6125=B1234,INSTOCK!$K$3:$K$6125))</f>
        <v>250</v>
      </c>
      <c r="H1234" s="50">
        <f t="array" ref="H1234">SUM(IF(INSTOCK!$H$3:$H$6125=B1234,INSTOCK!$I$3:$I$6125))</f>
        <v>2</v>
      </c>
      <c r="I1234" s="50" t="str">
        <f>ARRAY_CONSTRAIN(ARRAYFORMULA(SUM(IF([3]!Table13[ID]=B1234,[3]!Table13[QTY]))), 1, 1)</f>
        <v>#ERROR!</v>
      </c>
      <c r="J1234" s="50" t="str">
        <f>TABLEITEM!$H$3:$H$2749-TABLEITEM!$I$3:$I$2749</f>
        <v>#ERROR!</v>
      </c>
    </row>
    <row r="1235" ht="15.75" customHeight="1">
      <c r="A1235" s="45"/>
      <c r="B1235" s="10" t="s">
        <v>2484</v>
      </c>
      <c r="C1235" s="26"/>
      <c r="D1235" s="10" t="s">
        <v>8721</v>
      </c>
      <c r="E1235" s="56"/>
      <c r="F1235" s="48" t="s">
        <v>7173</v>
      </c>
      <c r="G1235" s="49">
        <f t="array" ref="G1235">MAX(IF(INSTOCK!$H$3:$H$6125=B1235,INSTOCK!$K$3:$K$6125))</f>
        <v>0</v>
      </c>
      <c r="H1235" s="50">
        <f t="array" ref="H1235">SUM(IF(INSTOCK!$H$3:$H$6125=B1235,INSTOCK!$I$3:$I$6125))</f>
        <v>0</v>
      </c>
      <c r="I1235" s="50" t="str">
        <f>ARRAY_CONSTRAIN(ARRAYFORMULA(SUM(IF([3]!Table13[ID]=B1235,[3]!Table13[QTY]))), 1, 1)</f>
        <v>#ERROR!</v>
      </c>
      <c r="J1235" s="50" t="str">
        <f>TABLEITEM!$H$3:$H$2749-TABLEITEM!$I$3:$I$2749</f>
        <v>#ERROR!</v>
      </c>
    </row>
    <row r="1236" ht="15.75" customHeight="1">
      <c r="A1236" s="45"/>
      <c r="B1236" s="10" t="s">
        <v>1947</v>
      </c>
      <c r="C1236" s="26"/>
      <c r="D1236" s="10" t="s">
        <v>8722</v>
      </c>
      <c r="E1236" s="56" t="s">
        <v>8723</v>
      </c>
      <c r="F1236" s="57" t="s">
        <v>7189</v>
      </c>
      <c r="G1236" s="49">
        <f t="array" ref="G1236">MAX(IF(INSTOCK!$H$3:$H$6125=B1236,INSTOCK!$K$3:$K$6125))</f>
        <v>756</v>
      </c>
      <c r="H1236" s="50">
        <f t="array" ref="H1236">SUM(IF(INSTOCK!$H$3:$H$6125=B1236,INSTOCK!$I$3:$I$6125))</f>
        <v>497</v>
      </c>
      <c r="I1236" s="50" t="str">
        <f>ARRAY_CONSTRAIN(ARRAYFORMULA(SUM(IF([3]!Table13[ID]=B1236,[3]!Table13[QTY]))), 1, 1)</f>
        <v>#ERROR!</v>
      </c>
      <c r="J1236" s="50" t="str">
        <f>TABLEITEM!$H$3:$H$2749-TABLEITEM!$I$3:$I$2749</f>
        <v>#ERROR!</v>
      </c>
    </row>
    <row r="1237" ht="15.75" customHeight="1">
      <c r="A1237" s="45"/>
      <c r="B1237" s="10" t="s">
        <v>1176</v>
      </c>
      <c r="C1237" s="26"/>
      <c r="D1237" s="10" t="s">
        <v>1177</v>
      </c>
      <c r="E1237" s="48" t="s">
        <v>8724</v>
      </c>
      <c r="F1237" s="57" t="s">
        <v>7173</v>
      </c>
      <c r="G1237" s="49">
        <f t="array" ref="G1237">MAX(IF(INSTOCK!$H$3:$H$6125=B1237,INSTOCK!$K$3:$K$6125))</f>
        <v>5</v>
      </c>
      <c r="H1237" s="50">
        <f t="array" ref="H1237">SUM(IF(INSTOCK!$H$3:$H$6125=B1237,INSTOCK!$I$3:$I$6125))</f>
        <v>2800</v>
      </c>
      <c r="I1237" s="50" t="str">
        <f>ARRAY_CONSTRAIN(ARRAYFORMULA(SUM(IF([3]!Table13[ID]=B1237,[3]!Table13[QTY]))), 1, 1)</f>
        <v>#ERROR!</v>
      </c>
      <c r="J1237" s="50" t="str">
        <f>TABLEITEM!$H$3:$H$2749-TABLEITEM!$I$3:$I$2749</f>
        <v>#ERROR!</v>
      </c>
    </row>
    <row r="1238" ht="15.75" customHeight="1">
      <c r="A1238" s="45">
        <v>143.0</v>
      </c>
      <c r="B1238" s="10" t="s">
        <v>24</v>
      </c>
      <c r="C1238" s="26"/>
      <c r="D1238" s="10" t="s">
        <v>1174</v>
      </c>
      <c r="E1238" s="48" t="s">
        <v>8724</v>
      </c>
      <c r="F1238" s="57" t="s">
        <v>7173</v>
      </c>
      <c r="G1238" s="49">
        <f t="array" ref="G1238">MAX(IF(INSTOCK!$H$3:$H$6125=B1238,INSTOCK!$K$3:$K$6125))</f>
        <v>4.5</v>
      </c>
      <c r="H1238" s="50">
        <f t="array" ref="H1238">SUM(IF(INSTOCK!$H$3:$H$6125=B1238,INSTOCK!$I$3:$I$6125))</f>
        <v>13900</v>
      </c>
      <c r="I1238" s="50" t="str">
        <f>ARRAY_CONSTRAIN(ARRAYFORMULA(SUM(IF([3]!Table13[ID]=B1238,[3]!Table13[QTY]))), 1, 1)</f>
        <v>#ERROR!</v>
      </c>
      <c r="J1238" s="50" t="str">
        <f>TABLEITEM!$H$3:$H$2749-TABLEITEM!$I$3:$I$2749</f>
        <v>#ERROR!</v>
      </c>
    </row>
    <row r="1239" ht="15.75" customHeight="1">
      <c r="A1239" s="45"/>
      <c r="B1239" s="10" t="s">
        <v>2710</v>
      </c>
      <c r="C1239" s="26"/>
      <c r="D1239" s="10" t="s">
        <v>8725</v>
      </c>
      <c r="E1239" s="48" t="s">
        <v>8726</v>
      </c>
      <c r="F1239" s="57" t="s">
        <v>8163</v>
      </c>
      <c r="G1239" s="49">
        <f t="array" ref="G1239">MAX(IF(INSTOCK!$H$3:$H$6125=B1239,INSTOCK!$K$3:$K$6125))</f>
        <v>12</v>
      </c>
      <c r="H1239" s="50">
        <f t="array" ref="H1239">SUM(IF(INSTOCK!$H$3:$H$6125=B1239,INSTOCK!$I$3:$I$6125))</f>
        <v>40</v>
      </c>
      <c r="I1239" s="50" t="str">
        <f>ARRAY_CONSTRAIN(ARRAYFORMULA(SUM(IF([3]!Table13[ID]=B1239,[3]!Table13[QTY]))), 1, 1)</f>
        <v>#ERROR!</v>
      </c>
      <c r="J1239" s="50" t="str">
        <f>TABLEITEM!$H$3:$H$2749-TABLEITEM!$I$3:$I$2749</f>
        <v>#ERROR!</v>
      </c>
    </row>
    <row r="1240" ht="15.75" customHeight="1">
      <c r="A1240" s="45"/>
      <c r="B1240" s="10" t="s">
        <v>1994</v>
      </c>
      <c r="C1240" s="26"/>
      <c r="D1240" s="10" t="s">
        <v>8727</v>
      </c>
      <c r="E1240" s="48"/>
      <c r="F1240" s="57" t="s">
        <v>8728</v>
      </c>
      <c r="G1240" s="49">
        <f t="array" ref="G1240">MAX(IF(INSTOCK!$H$3:$H$6125=B1240,INSTOCK!$K$3:$K$6125))</f>
        <v>145</v>
      </c>
      <c r="H1240" s="50">
        <f t="array" ref="H1240">SUM(IF(INSTOCK!$H$3:$H$6125=B1240,INSTOCK!$I$3:$I$6125))</f>
        <v>1</v>
      </c>
      <c r="I1240" s="50" t="str">
        <f>ARRAY_CONSTRAIN(ARRAYFORMULA(SUM(IF([3]!Table13[ID]=B1240,[3]!Table13[QTY]))), 1, 1)</f>
        <v>#ERROR!</v>
      </c>
      <c r="J1240" s="50" t="str">
        <f>TABLEITEM!$H$3:$H$2749-TABLEITEM!$I$3:$I$2749</f>
        <v>#ERROR!</v>
      </c>
    </row>
    <row r="1241" ht="15.75" customHeight="1">
      <c r="A1241" s="45"/>
      <c r="B1241" s="10" t="s">
        <v>2896</v>
      </c>
      <c r="C1241" s="26"/>
      <c r="D1241" s="10" t="s">
        <v>8729</v>
      </c>
      <c r="E1241" s="48"/>
      <c r="F1241" s="57" t="s">
        <v>7173</v>
      </c>
      <c r="G1241" s="49">
        <f t="array" ref="G1241">MAX(IF(INSTOCK!$H$3:$H$6125=B1241,INSTOCK!$K$3:$K$6125))</f>
        <v>50</v>
      </c>
      <c r="H1241" s="50">
        <f t="array" ref="H1241">SUM(IF(INSTOCK!$H$3:$H$6125=B1241,INSTOCK!$I$3:$I$6125))</f>
        <v>5</v>
      </c>
      <c r="I1241" s="50" t="str">
        <f>ARRAY_CONSTRAIN(ARRAYFORMULA(SUM(IF([3]!Table13[ID]=B1241,[3]!Table13[QTY]))), 1, 1)</f>
        <v>#ERROR!</v>
      </c>
      <c r="J1241" s="50" t="str">
        <f>TABLEITEM!$H$3:$H$2749-TABLEITEM!$I$3:$I$2749</f>
        <v>#ERROR!</v>
      </c>
    </row>
    <row r="1242" ht="15.75" customHeight="1">
      <c r="A1242" s="45"/>
      <c r="B1242" s="10" t="s">
        <v>6313</v>
      </c>
      <c r="C1242" s="26"/>
      <c r="D1242" s="10" t="s">
        <v>8730</v>
      </c>
      <c r="E1242" s="48"/>
      <c r="F1242" s="57" t="s">
        <v>7173</v>
      </c>
      <c r="G1242" s="49">
        <f t="array" ref="G1242">MAX(IF(INSTOCK!$H$3:$H$6125=B1242,INSTOCK!$K$3:$K$6125))</f>
        <v>45</v>
      </c>
      <c r="H1242" s="50">
        <f t="array" ref="H1242">SUM(IF(INSTOCK!$H$3:$H$6125=B1242,INSTOCK!$I$3:$I$6125))</f>
        <v>1</v>
      </c>
      <c r="I1242" s="50" t="str">
        <f>ARRAY_CONSTRAIN(ARRAYFORMULA(SUM(IF([3]!Table13[ID]=B1242,[3]!Table13[QTY]))), 1, 1)</f>
        <v>#ERROR!</v>
      </c>
      <c r="J1242" s="50" t="str">
        <f>TABLEITEM!$H$3:$H$2749-TABLEITEM!$I$3:$I$2749</f>
        <v>#ERROR!</v>
      </c>
    </row>
    <row r="1243" ht="15.75" customHeight="1">
      <c r="A1243" s="45"/>
      <c r="B1243" s="10" t="s">
        <v>2739</v>
      </c>
      <c r="C1243" s="26"/>
      <c r="D1243" s="10" t="s">
        <v>8731</v>
      </c>
      <c r="E1243" s="48"/>
      <c r="F1243" s="57" t="s">
        <v>7189</v>
      </c>
      <c r="G1243" s="49">
        <f t="array" ref="G1243">MAX(IF(INSTOCK!$H$3:$H$6125=B1243,INSTOCK!$K$3:$K$6125))</f>
        <v>12</v>
      </c>
      <c r="H1243" s="50">
        <f t="array" ref="H1243">SUM(IF(INSTOCK!$H$3:$H$6125=B1243,INSTOCK!$I$3:$I$6125))</f>
        <v>1426</v>
      </c>
      <c r="I1243" s="50" t="str">
        <f>ARRAY_CONSTRAIN(ARRAYFORMULA(SUM(IF([3]!Table13[ID]=B1243,[3]!Table13[QTY]))), 1, 1)</f>
        <v>#ERROR!</v>
      </c>
      <c r="J1243" s="50" t="str">
        <f>TABLEITEM!$H$3:$H$2749-TABLEITEM!$I$3:$I$2749</f>
        <v>#ERROR!</v>
      </c>
    </row>
    <row r="1244" ht="15.75" customHeight="1">
      <c r="A1244" s="45"/>
      <c r="B1244" s="10" t="s">
        <v>2440</v>
      </c>
      <c r="C1244" s="26"/>
      <c r="D1244" s="10" t="s">
        <v>8732</v>
      </c>
      <c r="E1244" s="48"/>
      <c r="F1244" s="57" t="s">
        <v>7173</v>
      </c>
      <c r="G1244" s="49">
        <f t="array" ref="G1244">MAX(IF(INSTOCK!$H$3:$H$6125=B1244,INSTOCK!$K$3:$K$6125))</f>
        <v>9.25</v>
      </c>
      <c r="H1244" s="50">
        <f t="array" ref="H1244">SUM(IF(INSTOCK!$H$3:$H$6125=B1244,INSTOCK!$I$3:$I$6125))</f>
        <v>14</v>
      </c>
      <c r="I1244" s="50" t="str">
        <f>ARRAY_CONSTRAIN(ARRAYFORMULA(SUM(IF([3]!Table13[ID]=B1244,[3]!Table13[QTY]))), 1, 1)</f>
        <v>#ERROR!</v>
      </c>
      <c r="J1244" s="50" t="str">
        <f>TABLEITEM!$H$3:$H$2749-TABLEITEM!$I$3:$I$2749</f>
        <v>#ERROR!</v>
      </c>
    </row>
    <row r="1245" ht="15.75" customHeight="1">
      <c r="A1245" s="45"/>
      <c r="B1245" s="10" t="s">
        <v>3416</v>
      </c>
      <c r="C1245" s="26"/>
      <c r="D1245" s="10" t="s">
        <v>8733</v>
      </c>
      <c r="E1245" s="48" t="s">
        <v>8734</v>
      </c>
      <c r="F1245" s="57" t="s">
        <v>7173</v>
      </c>
      <c r="G1245" s="49">
        <f t="array" ref="G1245">MAX(IF(INSTOCK!$H$3:$H$6125=B1245,INSTOCK!$K$3:$K$6125))</f>
        <v>4</v>
      </c>
      <c r="H1245" s="50">
        <f t="array" ref="H1245">SUM(IF(INSTOCK!$H$3:$H$6125=B1245,INSTOCK!$I$3:$I$6125))</f>
        <v>120</v>
      </c>
      <c r="I1245" s="50" t="str">
        <f>ARRAY_CONSTRAIN(ARRAYFORMULA(SUM(IF([3]!Table13[ID]=B1245,[3]!Table13[QTY]))), 1, 1)</f>
        <v>#ERROR!</v>
      </c>
      <c r="J1245" s="50" t="str">
        <f>TABLEITEM!$H$3:$H$2749-TABLEITEM!$I$3:$I$2749</f>
        <v>#ERROR!</v>
      </c>
    </row>
    <row r="1246" ht="15.75" customHeight="1">
      <c r="A1246" s="45"/>
      <c r="B1246" s="10" t="s">
        <v>3967</v>
      </c>
      <c r="C1246" s="26"/>
      <c r="D1246" s="10" t="s">
        <v>8735</v>
      </c>
      <c r="E1246" s="48"/>
      <c r="F1246" s="57" t="s">
        <v>7173</v>
      </c>
      <c r="G1246" s="49">
        <f t="array" ref="G1246">MAX(IF(INSTOCK!$H$3:$H$6125=B1246,INSTOCK!$K$3:$K$6125))</f>
        <v>125</v>
      </c>
      <c r="H1246" s="50">
        <f t="array" ref="H1246">SUM(IF(INSTOCK!$H$3:$H$6125=B1246,INSTOCK!$I$3:$I$6125))</f>
        <v>3</v>
      </c>
      <c r="I1246" s="50" t="str">
        <f>ARRAY_CONSTRAIN(ARRAYFORMULA(SUM(IF([3]!Table13[ID]=B1246,[3]!Table13[QTY]))), 1, 1)</f>
        <v>#ERROR!</v>
      </c>
      <c r="J1246" s="50" t="str">
        <f>TABLEITEM!$H$3:$H$2749-TABLEITEM!$I$3:$I$2749</f>
        <v>#ERROR!</v>
      </c>
    </row>
    <row r="1247" ht="15.75" customHeight="1">
      <c r="A1247" s="45"/>
      <c r="B1247" s="10" t="s">
        <v>2730</v>
      </c>
      <c r="C1247" s="26"/>
      <c r="D1247" s="10" t="s">
        <v>8736</v>
      </c>
      <c r="E1247" s="48" t="s">
        <v>1927</v>
      </c>
      <c r="F1247" s="57" t="s">
        <v>7173</v>
      </c>
      <c r="G1247" s="49">
        <f t="array" ref="G1247">MAX(IF(INSTOCK!$H$3:$H$6125=B1247,INSTOCK!$K$3:$K$6125))</f>
        <v>46</v>
      </c>
      <c r="H1247" s="50">
        <f t="array" ref="H1247">SUM(IF(INSTOCK!$H$3:$H$6125=B1247,INSTOCK!$I$3:$I$6125))</f>
        <v>240</v>
      </c>
      <c r="I1247" s="50" t="str">
        <f>ARRAY_CONSTRAIN(ARRAYFORMULA(SUM(IF([3]!Table13[ID]=B1247,[3]!Table13[QTY]))), 1, 1)</f>
        <v>#ERROR!</v>
      </c>
      <c r="J1247" s="50" t="str">
        <f>TABLEITEM!$H$3:$H$2749-TABLEITEM!$I$3:$I$2749</f>
        <v>#ERROR!</v>
      </c>
    </row>
    <row r="1248" ht="15.75" customHeight="1">
      <c r="A1248" s="45"/>
      <c r="B1248" s="10" t="s">
        <v>2729</v>
      </c>
      <c r="C1248" s="26"/>
      <c r="D1248" s="10" t="s">
        <v>8737</v>
      </c>
      <c r="E1248" s="48" t="s">
        <v>1927</v>
      </c>
      <c r="F1248" s="57" t="s">
        <v>7173</v>
      </c>
      <c r="G1248" s="49">
        <f t="array" ref="G1248">MAX(IF(INSTOCK!$H$3:$H$6125=B1248,INSTOCK!$K$3:$K$6125))</f>
        <v>24</v>
      </c>
      <c r="H1248" s="50">
        <f t="array" ref="H1248">SUM(IF(INSTOCK!$H$3:$H$6125=B1248,INSTOCK!$I$3:$I$6125))</f>
        <v>180</v>
      </c>
      <c r="I1248" s="50" t="str">
        <f>ARRAY_CONSTRAIN(ARRAYFORMULA(SUM(IF([3]!Table13[ID]=B1248,[3]!Table13[QTY]))), 1, 1)</f>
        <v>#ERROR!</v>
      </c>
      <c r="J1248" s="50" t="str">
        <f>TABLEITEM!$H$3:$H$2749-TABLEITEM!$I$3:$I$2749</f>
        <v>#ERROR!</v>
      </c>
    </row>
    <row r="1249" ht="15.75" customHeight="1">
      <c r="A1249" s="45">
        <v>170.0</v>
      </c>
      <c r="B1249" s="18" t="s">
        <v>51</v>
      </c>
      <c r="C1249" s="26"/>
      <c r="D1249" s="18" t="s">
        <v>8738</v>
      </c>
      <c r="E1249" s="56" t="s">
        <v>8627</v>
      </c>
      <c r="F1249" s="57" t="s">
        <v>7173</v>
      </c>
      <c r="G1249" s="49">
        <f t="array" ref="G1249">MAX(IF(INSTOCK!$H$3:$H$6125=B1249,INSTOCK!$K$3:$K$6125))</f>
        <v>18</v>
      </c>
      <c r="H1249" s="50">
        <f t="array" ref="H1249">SUM(IF(INSTOCK!$H$3:$H$6125=B1249,INSTOCK!$I$3:$I$6125))</f>
        <v>185</v>
      </c>
      <c r="I1249" s="50" t="str">
        <f>ARRAY_CONSTRAIN(ARRAYFORMULA(SUM(IF([3]!Table13[ID]=B1249,[3]!Table13[QTY]))), 1, 1)</f>
        <v>#ERROR!</v>
      </c>
      <c r="J1249" s="50" t="str">
        <f>TABLEITEM!$H$3:$H$2749-TABLEITEM!$I$3:$I$2749</f>
        <v>#ERROR!</v>
      </c>
    </row>
    <row r="1250" ht="15.75" customHeight="1">
      <c r="A1250" s="45">
        <v>168.0</v>
      </c>
      <c r="B1250" s="10" t="s">
        <v>49</v>
      </c>
      <c r="C1250" s="26"/>
      <c r="D1250" s="10" t="s">
        <v>8739</v>
      </c>
      <c r="E1250" s="48" t="s">
        <v>8740</v>
      </c>
      <c r="F1250" s="57" t="s">
        <v>7173</v>
      </c>
      <c r="G1250" s="49">
        <f t="array" ref="G1250">MAX(IF(INSTOCK!$H$3:$H$6125=B1250,INSTOCK!$K$3:$K$6125))</f>
        <v>123</v>
      </c>
      <c r="H1250" s="50">
        <f t="array" ref="H1250">SUM(IF(INSTOCK!$H$3:$H$6125=B1250,INSTOCK!$I$3:$I$6125))</f>
        <v>80</v>
      </c>
      <c r="I1250" s="50" t="str">
        <f>ARRAY_CONSTRAIN(ARRAYFORMULA(SUM(IF([3]!Table13[ID]=B1250,[3]!Table13[QTY]))), 1, 1)</f>
        <v>#ERROR!</v>
      </c>
      <c r="J1250" s="50" t="str">
        <f>TABLEITEM!$H$3:$H$2749-TABLEITEM!$I$3:$I$2749</f>
        <v>#ERROR!</v>
      </c>
    </row>
    <row r="1251" ht="15.75" customHeight="1">
      <c r="A1251" s="45">
        <v>173.0</v>
      </c>
      <c r="B1251" s="10" t="s">
        <v>54</v>
      </c>
      <c r="C1251" s="26"/>
      <c r="D1251" s="10" t="s">
        <v>8741</v>
      </c>
      <c r="E1251" s="48"/>
      <c r="F1251" s="57" t="s">
        <v>7173</v>
      </c>
      <c r="G1251" s="49">
        <f t="array" ref="G1251">MAX(IF(INSTOCK!$H$3:$H$6125=B1251,INSTOCK!$K$3:$K$6125))</f>
        <v>0</v>
      </c>
      <c r="H1251" s="50">
        <f t="array" ref="H1251">SUM(IF(INSTOCK!$H$3:$H$6125=B1251,INSTOCK!$I$3:$I$6125))</f>
        <v>80</v>
      </c>
      <c r="I1251" s="50" t="str">
        <f>ARRAY_CONSTRAIN(ARRAYFORMULA(SUM(IF([3]!Table13[ID]=B1251,[3]!Table13[QTY]))), 1, 1)</f>
        <v>#ERROR!</v>
      </c>
      <c r="J1251" s="50" t="str">
        <f>TABLEITEM!$H$3:$H$2749-TABLEITEM!$I$3:$I$2749</f>
        <v>#ERROR!</v>
      </c>
    </row>
    <row r="1252" ht="15.75" customHeight="1">
      <c r="A1252" s="45">
        <v>166.0</v>
      </c>
      <c r="B1252" s="10" t="s">
        <v>47</v>
      </c>
      <c r="C1252" s="26"/>
      <c r="D1252" s="10" t="s">
        <v>8742</v>
      </c>
      <c r="E1252" s="48"/>
      <c r="F1252" s="57" t="s">
        <v>7173</v>
      </c>
      <c r="G1252" s="49">
        <f t="array" ref="G1252">MAX(IF(INSTOCK!$H$3:$H$6125=B1252,INSTOCK!$K$3:$K$6125))</f>
        <v>13</v>
      </c>
      <c r="H1252" s="50">
        <f t="array" ref="H1252">SUM(IF(INSTOCK!$H$3:$H$6125=B1252,INSTOCK!$I$3:$I$6125))</f>
        <v>38</v>
      </c>
      <c r="I1252" s="50" t="str">
        <f>ARRAY_CONSTRAIN(ARRAYFORMULA(SUM(IF([3]!Table13[ID]=B1252,[3]!Table13[QTY]))), 1, 1)</f>
        <v>#ERROR!</v>
      </c>
      <c r="J1252" s="50" t="str">
        <f>TABLEITEM!$H$3:$H$2749-TABLEITEM!$I$3:$I$2749</f>
        <v>#ERROR!</v>
      </c>
    </row>
    <row r="1253" ht="15.75" customHeight="1">
      <c r="A1253" s="45">
        <v>167.0</v>
      </c>
      <c r="B1253" s="10" t="s">
        <v>48</v>
      </c>
      <c r="C1253" s="26"/>
      <c r="D1253" s="10" t="s">
        <v>8743</v>
      </c>
      <c r="E1253" s="48" t="s">
        <v>8740</v>
      </c>
      <c r="F1253" s="57" t="s">
        <v>7173</v>
      </c>
      <c r="G1253" s="49">
        <f t="array" ref="G1253">MAX(IF(INSTOCK!$H$3:$H$6125=B1253,INSTOCK!$K$3:$K$6125))</f>
        <v>5.5</v>
      </c>
      <c r="H1253" s="50">
        <f t="array" ref="H1253">SUM(IF(INSTOCK!$H$3:$H$6125=B1253,INSTOCK!$I$3:$I$6125))</f>
        <v>13</v>
      </c>
      <c r="I1253" s="50" t="str">
        <f>ARRAY_CONSTRAIN(ARRAYFORMULA(SUM(IF([3]!Table13[ID]=B1253,[3]!Table13[QTY]))), 1, 1)</f>
        <v>#ERROR!</v>
      </c>
      <c r="J1253" s="50" t="str">
        <f>TABLEITEM!$H$3:$H$2749-TABLEITEM!$I$3:$I$2749</f>
        <v>#ERROR!</v>
      </c>
    </row>
    <row r="1254" ht="15.75" customHeight="1">
      <c r="A1254" s="45">
        <v>169.0</v>
      </c>
      <c r="B1254" s="10" t="s">
        <v>50</v>
      </c>
      <c r="C1254" s="26"/>
      <c r="D1254" s="10" t="s">
        <v>8744</v>
      </c>
      <c r="E1254" s="48" t="s">
        <v>8740</v>
      </c>
      <c r="F1254" s="57" t="s">
        <v>7173</v>
      </c>
      <c r="G1254" s="49">
        <f t="array" ref="G1254">MAX(IF(INSTOCK!$H$3:$H$6125=B1254,INSTOCK!$K$3:$K$6125))</f>
        <v>159.9</v>
      </c>
      <c r="H1254" s="50">
        <f t="array" ref="H1254">SUM(IF(INSTOCK!$H$3:$H$6125=B1254,INSTOCK!$I$3:$I$6125))</f>
        <v>133</v>
      </c>
      <c r="I1254" s="50" t="str">
        <f>ARRAY_CONSTRAIN(ARRAYFORMULA(SUM(IF([3]!Table13[ID]=B1254,[3]!Table13[QTY]))), 1, 1)</f>
        <v>#ERROR!</v>
      </c>
      <c r="J1254" s="50" t="str">
        <f>TABLEITEM!$H$3:$H$2749-TABLEITEM!$I$3:$I$2749</f>
        <v>#ERROR!</v>
      </c>
    </row>
    <row r="1255" ht="15.75" customHeight="1">
      <c r="A1255" s="45">
        <v>172.0</v>
      </c>
      <c r="B1255" s="10" t="s">
        <v>53</v>
      </c>
      <c r="C1255" s="26"/>
      <c r="D1255" s="10" t="s">
        <v>8745</v>
      </c>
      <c r="E1255" s="48"/>
      <c r="F1255" s="57" t="s">
        <v>7173</v>
      </c>
      <c r="G1255" s="49">
        <f t="array" ref="G1255">MAX(IF(INSTOCK!$H$3:$H$6125=B1255,INSTOCK!$K$3:$K$6125))</f>
        <v>47</v>
      </c>
      <c r="H1255" s="50">
        <f t="array" ref="H1255">SUM(IF(INSTOCK!$H$3:$H$6125=B1255,INSTOCK!$I$3:$I$6125))</f>
        <v>84</v>
      </c>
      <c r="I1255" s="50" t="str">
        <f>ARRAY_CONSTRAIN(ARRAYFORMULA(SUM(IF([3]!Table13[ID]=B1255,[3]!Table13[QTY]))), 1, 1)</f>
        <v>#ERROR!</v>
      </c>
      <c r="J1255" s="50" t="str">
        <f>TABLEITEM!$H$3:$H$2749-TABLEITEM!$I$3:$I$2749</f>
        <v>#ERROR!</v>
      </c>
    </row>
    <row r="1256" ht="15.75" customHeight="1">
      <c r="A1256" s="45">
        <v>171.0</v>
      </c>
      <c r="B1256" s="10" t="s">
        <v>52</v>
      </c>
      <c r="C1256" s="26"/>
      <c r="D1256" s="10" t="s">
        <v>8746</v>
      </c>
      <c r="E1256" s="48"/>
      <c r="F1256" s="57" t="s">
        <v>7173</v>
      </c>
      <c r="G1256" s="49">
        <f t="array" ref="G1256">MAX(IF(INSTOCK!$H$3:$H$6125=B1256,INSTOCK!$K$3:$K$6125))</f>
        <v>26</v>
      </c>
      <c r="H1256" s="50">
        <f t="array" ref="H1256">SUM(IF(INSTOCK!$H$3:$H$6125=B1256,INSTOCK!$I$3:$I$6125))</f>
        <v>16</v>
      </c>
      <c r="I1256" s="50" t="str">
        <f>ARRAY_CONSTRAIN(ARRAYFORMULA(SUM(IF([3]!Table13[ID]=B1256,[3]!Table13[QTY]))), 1, 1)</f>
        <v>#ERROR!</v>
      </c>
      <c r="J1256" s="50" t="str">
        <f>TABLEITEM!$H$3:$H$2749-TABLEITEM!$I$3:$I$2749</f>
        <v>#ERROR!</v>
      </c>
    </row>
    <row r="1257" ht="15.75" customHeight="1">
      <c r="A1257" s="45">
        <v>157.0</v>
      </c>
      <c r="B1257" s="10" t="s">
        <v>38</v>
      </c>
      <c r="C1257" s="26"/>
      <c r="D1257" s="10" t="s">
        <v>1042</v>
      </c>
      <c r="E1257" s="48" t="s">
        <v>7193</v>
      </c>
      <c r="F1257" s="57" t="s">
        <v>7173</v>
      </c>
      <c r="G1257" s="49">
        <f t="array" ref="G1257">MAX(IF(INSTOCK!$H$3:$H$6125=B1257,INSTOCK!$K$3:$K$6125))</f>
        <v>2</v>
      </c>
      <c r="H1257" s="50">
        <f t="array" ref="H1257">SUM(IF(INSTOCK!$H$3:$H$6125=B1257,INSTOCK!$I$3:$I$6125))</f>
        <v>1141</v>
      </c>
      <c r="I1257" s="50" t="str">
        <f>ARRAY_CONSTRAIN(ARRAYFORMULA(SUM(IF([3]!Table13[ID]=B1257,[3]!Table13[QTY]))), 1, 1)</f>
        <v>#ERROR!</v>
      </c>
      <c r="J1257" s="50" t="str">
        <f>TABLEITEM!$H$3:$H$2749-TABLEITEM!$I$3:$I$2749</f>
        <v>#ERROR!</v>
      </c>
    </row>
    <row r="1258" ht="15.75" customHeight="1">
      <c r="A1258" s="45">
        <v>159.0</v>
      </c>
      <c r="B1258" s="10" t="s">
        <v>40</v>
      </c>
      <c r="C1258" s="26"/>
      <c r="D1258" s="10" t="s">
        <v>8747</v>
      </c>
      <c r="E1258" s="48" t="s">
        <v>7193</v>
      </c>
      <c r="F1258" s="57" t="s">
        <v>7173</v>
      </c>
      <c r="G1258" s="49">
        <f t="array" ref="G1258">MAX(IF(INSTOCK!$H$3:$H$6125=B1258,INSTOCK!$K$3:$K$6125))</f>
        <v>8</v>
      </c>
      <c r="H1258" s="50">
        <f t="array" ref="H1258">SUM(IF(INSTOCK!$H$3:$H$6125=B1258,INSTOCK!$I$3:$I$6125))</f>
        <v>63</v>
      </c>
      <c r="I1258" s="50" t="str">
        <f>ARRAY_CONSTRAIN(ARRAYFORMULA(SUM(IF([3]!Table13[ID]=B1258,[3]!Table13[QTY]))), 1, 1)</f>
        <v>#ERROR!</v>
      </c>
      <c r="J1258" s="50" t="str">
        <f>TABLEITEM!$H$3:$H$2749-TABLEITEM!$I$3:$I$2749</f>
        <v>#ERROR!</v>
      </c>
    </row>
    <row r="1259" ht="15.75" customHeight="1">
      <c r="A1259" s="45">
        <v>158.0</v>
      </c>
      <c r="B1259" s="10" t="s">
        <v>39</v>
      </c>
      <c r="C1259" s="26"/>
      <c r="D1259" s="10" t="s">
        <v>8748</v>
      </c>
      <c r="E1259" s="48" t="s">
        <v>7193</v>
      </c>
      <c r="F1259" s="57" t="s">
        <v>7173</v>
      </c>
      <c r="G1259" s="49">
        <f t="array" ref="G1259">MAX(IF(INSTOCK!$H$3:$H$6125=B1259,INSTOCK!$K$3:$K$6125))</f>
        <v>8</v>
      </c>
      <c r="H1259" s="50">
        <f t="array" ref="H1259">SUM(IF(INSTOCK!$H$3:$H$6125=B1259,INSTOCK!$I$3:$I$6125))</f>
        <v>54</v>
      </c>
      <c r="I1259" s="50" t="str">
        <f>ARRAY_CONSTRAIN(ARRAYFORMULA(SUM(IF([3]!Table13[ID]=B1259,[3]!Table13[QTY]))), 1, 1)</f>
        <v>#ERROR!</v>
      </c>
      <c r="J1259" s="50" t="str">
        <f>TABLEITEM!$H$3:$H$2749-TABLEITEM!$I$3:$I$2749</f>
        <v>#ERROR!</v>
      </c>
    </row>
    <row r="1260" ht="15.75" customHeight="1">
      <c r="A1260" s="45"/>
      <c r="B1260" s="10" t="s">
        <v>3193</v>
      </c>
      <c r="C1260" s="26"/>
      <c r="D1260" s="10" t="s">
        <v>8749</v>
      </c>
      <c r="E1260" s="48" t="s">
        <v>8360</v>
      </c>
      <c r="F1260" s="48" t="s">
        <v>7173</v>
      </c>
      <c r="G1260" s="49">
        <f t="array" ref="G1260">MAX(IF(INSTOCK!$H$3:$H$6125=B1260,INSTOCK!$K$3:$K$6125))</f>
        <v>15750</v>
      </c>
      <c r="H1260" s="50">
        <f t="array" ref="H1260">SUM(IF(INSTOCK!$H$3:$H$6125=B1260,INSTOCK!$I$3:$I$6125))</f>
        <v>1</v>
      </c>
      <c r="I1260" s="50" t="str">
        <f>ARRAY_CONSTRAIN(ARRAYFORMULA(SUM(IF([3]!Table13[ID]=B1260,[3]!Table13[QTY]))), 1, 1)</f>
        <v>#ERROR!</v>
      </c>
      <c r="J1260" s="50" t="str">
        <f>TABLEITEM!$H$3:$H$2749-TABLEITEM!$I$3:$I$2749</f>
        <v>#ERROR!</v>
      </c>
    </row>
    <row r="1261" ht="15.75" customHeight="1">
      <c r="A1261" s="45"/>
      <c r="B1261" s="10" t="s">
        <v>1809</v>
      </c>
      <c r="C1261" s="26"/>
      <c r="D1261" s="10" t="s">
        <v>8750</v>
      </c>
      <c r="E1261" s="48" t="s">
        <v>1504</v>
      </c>
      <c r="F1261" s="57" t="s">
        <v>7173</v>
      </c>
      <c r="G1261" s="49">
        <f t="array" ref="G1261">MAX(IF(INSTOCK!$H$3:$H$6125=B1261,INSTOCK!$K$3:$K$6125))</f>
        <v>2218.72</v>
      </c>
      <c r="H1261" s="50">
        <f t="array" ref="H1261">SUM(IF(INSTOCK!$H$3:$H$6125=B1261,INSTOCK!$I$3:$I$6125))</f>
        <v>2</v>
      </c>
      <c r="I1261" s="50" t="str">
        <f>ARRAY_CONSTRAIN(ARRAYFORMULA(SUM(IF([3]!Table13[ID]=B1261,[3]!Table13[QTY]))), 1, 1)</f>
        <v>#ERROR!</v>
      </c>
      <c r="J1261" s="50" t="str">
        <f>TABLEITEM!$H$3:$H$2749-TABLEITEM!$I$3:$I$2749</f>
        <v>#ERROR!</v>
      </c>
    </row>
    <row r="1262" ht="15.75" customHeight="1">
      <c r="A1262" s="45"/>
      <c r="B1262" s="10" t="s">
        <v>1507</v>
      </c>
      <c r="C1262" s="26"/>
      <c r="D1262" s="10" t="s">
        <v>8751</v>
      </c>
      <c r="E1262" s="48" t="s">
        <v>1504</v>
      </c>
      <c r="F1262" s="57" t="s">
        <v>7173</v>
      </c>
      <c r="G1262" s="49">
        <f t="array" ref="G1262">MAX(IF(INSTOCK!$H$3:$H$6125=B1262,INSTOCK!$K$3:$K$6125))</f>
        <v>1580</v>
      </c>
      <c r="H1262" s="50">
        <f t="array" ref="H1262">SUM(IF(INSTOCK!$H$3:$H$6125=B1262,INSTOCK!$I$3:$I$6125))</f>
        <v>1</v>
      </c>
      <c r="I1262" s="50" t="str">
        <f>ARRAY_CONSTRAIN(ARRAYFORMULA(SUM(IF([3]!Table13[ID]=B1262,[3]!Table13[QTY]))), 1, 1)</f>
        <v>#ERROR!</v>
      </c>
      <c r="J1262" s="50" t="str">
        <f>TABLEITEM!$H$3:$H$2749-TABLEITEM!$I$3:$I$2749</f>
        <v>#ERROR!</v>
      </c>
    </row>
    <row r="1263" ht="15.75" customHeight="1">
      <c r="A1263" s="45"/>
      <c r="B1263" s="10" t="s">
        <v>1867</v>
      </c>
      <c r="C1263" s="26"/>
      <c r="D1263" s="10" t="s">
        <v>1867</v>
      </c>
      <c r="E1263" s="48" t="s">
        <v>8752</v>
      </c>
      <c r="F1263" s="57" t="s">
        <v>8651</v>
      </c>
      <c r="G1263" s="49">
        <f t="array" ref="G1263">MAX(IF(INSTOCK!$H$3:$H$6125=B1263,INSTOCK!$K$3:$K$6125))</f>
        <v>5500</v>
      </c>
      <c r="H1263" s="50">
        <f t="array" ref="H1263">SUM(IF(INSTOCK!$H$3:$H$6125=B1263,INSTOCK!$I$3:$I$6125))</f>
        <v>3</v>
      </c>
      <c r="I1263" s="50" t="str">
        <f>ARRAY_CONSTRAIN(ARRAYFORMULA(SUM(IF([3]!Table13[ID]=B1263,[3]!Table13[QTY]))), 1, 1)</f>
        <v>#ERROR!</v>
      </c>
      <c r="J1263" s="50" t="str">
        <f>TABLEITEM!$H$3:$H$2749-TABLEITEM!$I$3:$I$2749</f>
        <v>#ERROR!</v>
      </c>
    </row>
    <row r="1264" ht="15.75" customHeight="1">
      <c r="A1264" s="45"/>
      <c r="B1264" s="10" t="s">
        <v>2226</v>
      </c>
      <c r="C1264" s="26"/>
      <c r="D1264" s="10" t="s">
        <v>8753</v>
      </c>
      <c r="E1264" s="48"/>
      <c r="F1264" s="57"/>
      <c r="G1264" s="49">
        <f t="array" ref="G1264">MAX(IF(INSTOCK!$H$3:$H$6125=B1264,INSTOCK!$K$3:$K$6125))</f>
        <v>2250</v>
      </c>
      <c r="H1264" s="50">
        <f t="array" ref="H1264">SUM(IF(INSTOCK!$H$3:$H$6125=B1264,INSTOCK!$I$3:$I$6125))</f>
        <v>1</v>
      </c>
      <c r="I1264" s="50" t="str">
        <f>ARRAY_CONSTRAIN(ARRAYFORMULA(SUM(IF([3]!Table13[ID]=B1264,[3]!Table13[QTY]))), 1, 1)</f>
        <v>#ERROR!</v>
      </c>
      <c r="J1264" s="50" t="str">
        <f>TABLEITEM!$H$3:$H$2749-TABLEITEM!$I$3:$I$2749</f>
        <v>#ERROR!</v>
      </c>
    </row>
    <row r="1265" ht="15.75" customHeight="1">
      <c r="A1265" s="45"/>
      <c r="B1265" s="10" t="s">
        <v>1817</v>
      </c>
      <c r="C1265" s="26"/>
      <c r="D1265" s="10" t="s">
        <v>8754</v>
      </c>
      <c r="E1265" s="48" t="s">
        <v>8755</v>
      </c>
      <c r="F1265" s="57" t="s">
        <v>7173</v>
      </c>
      <c r="G1265" s="49">
        <f t="array" ref="G1265">MAX(IF(INSTOCK!$H$3:$H$6125=B1265,INSTOCK!$K$3:$K$6125))</f>
        <v>399</v>
      </c>
      <c r="H1265" s="50">
        <f t="array" ref="H1265">SUM(IF(INSTOCK!$H$3:$H$6125=B1265,INSTOCK!$I$3:$I$6125))</f>
        <v>10</v>
      </c>
      <c r="I1265" s="50" t="str">
        <f>ARRAY_CONSTRAIN(ARRAYFORMULA(SUM(IF([3]!Table13[ID]=B1265,[3]!Table13[QTY]))), 1, 1)</f>
        <v>#ERROR!</v>
      </c>
      <c r="J1265" s="50" t="str">
        <f>TABLEITEM!$H$3:$H$2749-TABLEITEM!$I$3:$I$2749</f>
        <v>#ERROR!</v>
      </c>
    </row>
    <row r="1266" ht="15.75" customHeight="1">
      <c r="A1266" s="45"/>
      <c r="B1266" s="10" t="s">
        <v>2794</v>
      </c>
      <c r="C1266" s="26"/>
      <c r="D1266" s="10" t="s">
        <v>8756</v>
      </c>
      <c r="E1266" s="48" t="s">
        <v>8757</v>
      </c>
      <c r="F1266" s="57" t="s">
        <v>7173</v>
      </c>
      <c r="G1266" s="49">
        <f t="array" ref="G1266">MAX(IF(INSTOCK!$H$3:$H$6125=B1266,INSTOCK!$K$3:$K$6125))</f>
        <v>180</v>
      </c>
      <c r="H1266" s="50">
        <f t="array" ref="H1266">SUM(IF(INSTOCK!$H$3:$H$6125=B1266,INSTOCK!$I$3:$I$6125))</f>
        <v>3</v>
      </c>
      <c r="I1266" s="50" t="str">
        <f>ARRAY_CONSTRAIN(ARRAYFORMULA(SUM(IF([3]!Table13[ID]=B1266,[3]!Table13[QTY]))), 1, 1)</f>
        <v>#ERROR!</v>
      </c>
      <c r="J1266" s="50" t="str">
        <f>TABLEITEM!$H$3:$H$2749-TABLEITEM!$I$3:$I$2749</f>
        <v>#ERROR!</v>
      </c>
    </row>
    <row r="1267" ht="15.75" customHeight="1">
      <c r="A1267" s="45"/>
      <c r="B1267" s="10" t="s">
        <v>3315</v>
      </c>
      <c r="C1267" s="26"/>
      <c r="D1267" s="18" t="s">
        <v>8758</v>
      </c>
      <c r="E1267" s="56" t="s">
        <v>3313</v>
      </c>
      <c r="F1267" s="57" t="s">
        <v>7173</v>
      </c>
      <c r="G1267" s="49">
        <f t="array" ref="G1267">MAX(IF(INSTOCK!$H$3:$H$6125=B1267,INSTOCK!$K$3:$K$6125))</f>
        <v>180</v>
      </c>
      <c r="H1267" s="50">
        <f t="array" ref="H1267">SUM(IF(INSTOCK!$H$3:$H$6125=B1267,INSTOCK!$I$3:$I$6125))</f>
        <v>1</v>
      </c>
      <c r="I1267" s="50" t="str">
        <f>ARRAY_CONSTRAIN(ARRAYFORMULA(SUM(IF([3]!Table13[ID]=B1267,[3]!Table13[QTY]))), 1, 1)</f>
        <v>#ERROR!</v>
      </c>
      <c r="J1267" s="50" t="str">
        <f>TABLEITEM!$H$3:$H$2749-TABLEITEM!$I$3:$I$2749</f>
        <v>#ERROR!</v>
      </c>
    </row>
    <row r="1268" ht="15.75" customHeight="1">
      <c r="A1268" s="45"/>
      <c r="B1268" s="10" t="s">
        <v>6444</v>
      </c>
      <c r="C1268" s="26"/>
      <c r="D1268" s="18" t="s">
        <v>8759</v>
      </c>
      <c r="E1268" s="48" t="s">
        <v>1819</v>
      </c>
      <c r="F1268" s="57" t="s">
        <v>7173</v>
      </c>
      <c r="G1268" s="49">
        <f t="array" ref="G1268">MAX(IF(INSTOCK!$H$3:$H$6125=B1268,INSTOCK!$K$3:$K$6125))</f>
        <v>420</v>
      </c>
      <c r="H1268" s="50">
        <f t="array" ref="H1268">SUM(IF(INSTOCK!$H$3:$H$6125=B1268,INSTOCK!$I$3:$I$6125))</f>
        <v>1</v>
      </c>
      <c r="I1268" s="50" t="str">
        <f>ARRAY_CONSTRAIN(ARRAYFORMULA(SUM(IF([3]!Table13[ID]=B1268,[3]!Table13[QTY]))), 1, 1)</f>
        <v>#ERROR!</v>
      </c>
      <c r="J1268" s="50" t="str">
        <f>TABLEITEM!$H$3:$H$2749-TABLEITEM!$I$3:$I$2749</f>
        <v>#ERROR!</v>
      </c>
    </row>
    <row r="1269" ht="15.75" customHeight="1">
      <c r="A1269" s="45"/>
      <c r="B1269" s="10" t="s">
        <v>2850</v>
      </c>
      <c r="C1269" s="26"/>
      <c r="D1269" s="18" t="s">
        <v>8760</v>
      </c>
      <c r="E1269" s="48" t="s">
        <v>8360</v>
      </c>
      <c r="F1269" s="48" t="s">
        <v>7173</v>
      </c>
      <c r="G1269" s="49">
        <f t="array" ref="G1269">MAX(IF(INSTOCK!$H$3:$H$6125=B1269,INSTOCK!$K$3:$K$6125))</f>
        <v>13120</v>
      </c>
      <c r="H1269" s="50">
        <f t="array" ref="H1269">SUM(IF(INSTOCK!$H$3:$H$6125=B1269,INSTOCK!$I$3:$I$6125))</f>
        <v>2</v>
      </c>
      <c r="I1269" s="50" t="str">
        <f>ARRAY_CONSTRAIN(ARRAYFORMULA(SUM(IF([3]!Table13[ID]=B1269,[3]!Table13[QTY]))), 1, 1)</f>
        <v>#ERROR!</v>
      </c>
      <c r="J1269" s="50" t="str">
        <f>TABLEITEM!$H$3:$H$2749-TABLEITEM!$I$3:$I$2749</f>
        <v>#ERROR!</v>
      </c>
    </row>
    <row r="1270" ht="15.75" customHeight="1">
      <c r="A1270" s="45"/>
      <c r="B1270" s="10" t="s">
        <v>2218</v>
      </c>
      <c r="C1270" s="26"/>
      <c r="D1270" s="18" t="s">
        <v>8761</v>
      </c>
      <c r="E1270" s="48"/>
      <c r="F1270" s="48" t="s">
        <v>7173</v>
      </c>
      <c r="G1270" s="49">
        <f t="array" ref="G1270">MAX(IF(INSTOCK!$H$3:$H$6125=B1270,INSTOCK!$K$3:$K$6125))</f>
        <v>630</v>
      </c>
      <c r="H1270" s="50">
        <f t="array" ref="H1270">SUM(IF(INSTOCK!$H$3:$H$6125=B1270,INSTOCK!$I$3:$I$6125))</f>
        <v>2</v>
      </c>
      <c r="I1270" s="50" t="str">
        <f>ARRAY_CONSTRAIN(ARRAYFORMULA(SUM(IF([3]!Table13[ID]=B1270,[3]!Table13[QTY]))), 1, 1)</f>
        <v>#ERROR!</v>
      </c>
      <c r="J1270" s="50" t="str">
        <f>TABLEITEM!$H$3:$H$2749-TABLEITEM!$I$3:$I$2749</f>
        <v>#ERROR!</v>
      </c>
    </row>
    <row r="1271" ht="15.75" customHeight="1">
      <c r="A1271" s="45"/>
      <c r="B1271" s="10" t="s">
        <v>1655</v>
      </c>
      <c r="C1271" s="26"/>
      <c r="D1271" s="18" t="s">
        <v>8762</v>
      </c>
      <c r="E1271" s="48" t="s">
        <v>1487</v>
      </c>
      <c r="F1271" s="57" t="s">
        <v>7173</v>
      </c>
      <c r="G1271" s="49">
        <f t="array" ref="G1271">MAX(IF(INSTOCK!$H$3:$H$6125=B1271,INSTOCK!$K$3:$K$6125))</f>
        <v>1029.1</v>
      </c>
      <c r="H1271" s="50">
        <f t="array" ref="H1271">SUM(IF(INSTOCK!$H$3:$H$6125=B1271,INSTOCK!$I$3:$I$6125))</f>
        <v>5</v>
      </c>
      <c r="I1271" s="50" t="str">
        <f>ARRAY_CONSTRAIN(ARRAYFORMULA(SUM(IF([3]!Table13[ID]=B1271,[3]!Table13[QTY]))), 1, 1)</f>
        <v>#ERROR!</v>
      </c>
      <c r="J1271" s="50" t="str">
        <f>TABLEITEM!$H$3:$H$2749-TABLEITEM!$I$3:$I$2749</f>
        <v>#ERROR!</v>
      </c>
    </row>
    <row r="1272" ht="15.75" customHeight="1">
      <c r="A1272" s="45"/>
      <c r="B1272" s="10" t="s">
        <v>3410</v>
      </c>
      <c r="C1272" s="26"/>
      <c r="D1272" s="10" t="s">
        <v>8763</v>
      </c>
      <c r="E1272" s="48" t="s">
        <v>1504</v>
      </c>
      <c r="F1272" s="57" t="s">
        <v>7173</v>
      </c>
      <c r="G1272" s="49">
        <f t="array" ref="G1272">MAX(IF(INSTOCK!$H$3:$H$6125=B1272,INSTOCK!$K$3:$K$6125))</f>
        <v>1360</v>
      </c>
      <c r="H1272" s="50">
        <f t="array" ref="H1272">SUM(IF(INSTOCK!$H$3:$H$6125=B1272,INSTOCK!$I$3:$I$6125))</f>
        <v>3</v>
      </c>
      <c r="I1272" s="50" t="str">
        <f>ARRAY_CONSTRAIN(ARRAYFORMULA(SUM(IF([3]!Table13[ID]=B1272,[3]!Table13[QTY]))), 1, 1)</f>
        <v>#ERROR!</v>
      </c>
      <c r="J1272" s="50" t="str">
        <f>TABLEITEM!$H$3:$H$2749-TABLEITEM!$I$3:$I$2749</f>
        <v>#ERROR!</v>
      </c>
    </row>
    <row r="1273" ht="15.75" customHeight="1">
      <c r="A1273" s="45"/>
      <c r="B1273" s="10" t="s">
        <v>8764</v>
      </c>
      <c r="C1273" s="26"/>
      <c r="D1273" s="10" t="s">
        <v>8764</v>
      </c>
      <c r="E1273" s="48"/>
      <c r="F1273" s="57" t="s">
        <v>7530</v>
      </c>
      <c r="G1273" s="49">
        <f t="array" ref="G1273">MAX(IF(INSTOCK!$H$3:$H$6125=B1273,INSTOCK!$K$3:$K$6125))</f>
        <v>0</v>
      </c>
      <c r="H1273" s="50">
        <f t="array" ref="H1273">SUM(IF(INSTOCK!$H$3:$H$6125=B1273,INSTOCK!$I$3:$I$6125))</f>
        <v>0</v>
      </c>
      <c r="I1273" s="50" t="str">
        <f>ARRAY_CONSTRAIN(ARRAYFORMULA(SUM(IF([3]!Table13[ID]=B1273,[3]!Table13[QTY]))), 1, 1)</f>
        <v>#ERROR!</v>
      </c>
      <c r="J1273" s="50" t="str">
        <f>TABLEITEM!$H$3:$H$2749-TABLEITEM!$I$3:$I$2749</f>
        <v>#ERROR!</v>
      </c>
    </row>
    <row r="1274" ht="15.75" customHeight="1">
      <c r="A1274" s="45"/>
      <c r="B1274" s="18" t="s">
        <v>3199</v>
      </c>
      <c r="C1274" s="26"/>
      <c r="D1274" s="18" t="s">
        <v>8765</v>
      </c>
      <c r="E1274" s="48" t="s">
        <v>8360</v>
      </c>
      <c r="F1274" s="48" t="s">
        <v>7173</v>
      </c>
      <c r="G1274" s="49">
        <f t="array" ref="G1274">MAX(IF(INSTOCK!$H$3:$H$6125=B1274,INSTOCK!$K$3:$K$6125))</f>
        <v>1462.5</v>
      </c>
      <c r="H1274" s="50">
        <f t="array" ref="H1274">SUM(IF(INSTOCK!$H$3:$H$6125=B1274,INSTOCK!$I$3:$I$6125))</f>
        <v>2</v>
      </c>
      <c r="I1274" s="50" t="str">
        <f>ARRAY_CONSTRAIN(ARRAYFORMULA(SUM(IF([3]!Table13[ID]=B1274,[3]!Table13[QTY]))), 1, 1)</f>
        <v>#ERROR!</v>
      </c>
      <c r="J1274" s="50" t="str">
        <f>TABLEITEM!$H$3:$H$2749-TABLEITEM!$I$3:$I$2749</f>
        <v>#ERROR!</v>
      </c>
    </row>
    <row r="1275" ht="15.75" customHeight="1">
      <c r="A1275" s="45">
        <v>335.0</v>
      </c>
      <c r="B1275" s="10" t="s">
        <v>219</v>
      </c>
      <c r="C1275" s="26"/>
      <c r="D1275" s="10" t="s">
        <v>8766</v>
      </c>
      <c r="E1275" s="48" t="s">
        <v>8767</v>
      </c>
      <c r="F1275" s="48" t="s">
        <v>7429</v>
      </c>
      <c r="G1275" s="49">
        <f t="array" ref="G1275">MAX(IF(INSTOCK!$H$3:$H$6125=B1275,INSTOCK!$K$3:$K$6125))</f>
        <v>1053</v>
      </c>
      <c r="H1275" s="50">
        <f t="array" ref="H1275">SUM(IF(INSTOCK!$H$3:$H$6125=B1275,INSTOCK!$I$3:$I$6125))</f>
        <v>202</v>
      </c>
      <c r="I1275" s="50" t="str">
        <f>ARRAY_CONSTRAIN(ARRAYFORMULA(SUM(IF([3]!Table13[ID]=B1275,[3]!Table13[QTY]))), 1, 1)</f>
        <v>#ERROR!</v>
      </c>
      <c r="J1275" s="50" t="str">
        <f>TABLEITEM!$H$3:$H$2749-TABLEITEM!$I$3:$I$2749</f>
        <v>#ERROR!</v>
      </c>
    </row>
    <row r="1276" ht="15.75" customHeight="1">
      <c r="A1276" s="45">
        <v>334.0</v>
      </c>
      <c r="B1276" s="10" t="s">
        <v>217</v>
      </c>
      <c r="C1276" s="26"/>
      <c r="D1276" s="10" t="s">
        <v>8768</v>
      </c>
      <c r="E1276" s="48" t="s">
        <v>8767</v>
      </c>
      <c r="F1276" s="48" t="s">
        <v>7429</v>
      </c>
      <c r="G1276" s="49">
        <f t="array" ref="G1276">MAX(IF(INSTOCK!$H$3:$H$6125=B1276,INSTOCK!$K$3:$K$6125))</f>
        <v>1386</v>
      </c>
      <c r="H1276" s="50">
        <f t="array" ref="H1276">SUM(IF(INSTOCK!$H$3:$H$6125=B1276,INSTOCK!$I$3:$I$6125))</f>
        <v>404</v>
      </c>
      <c r="I1276" s="50" t="str">
        <f>ARRAY_CONSTRAIN(ARRAYFORMULA(SUM(IF([3]!Table13[ID]=B1276,[3]!Table13[QTY]))), 1, 1)</f>
        <v>#ERROR!</v>
      </c>
      <c r="J1276" s="50" t="str">
        <f>TABLEITEM!$H$3:$H$2749-TABLEITEM!$I$3:$I$2749</f>
        <v>#ERROR!</v>
      </c>
    </row>
    <row r="1277" ht="15.75" customHeight="1">
      <c r="A1277" s="45">
        <v>332.0</v>
      </c>
      <c r="B1277" s="10" t="s">
        <v>213</v>
      </c>
      <c r="C1277" s="26"/>
      <c r="D1277" s="10" t="s">
        <v>8769</v>
      </c>
      <c r="E1277" s="48" t="s">
        <v>8767</v>
      </c>
      <c r="F1277" s="48" t="s">
        <v>7429</v>
      </c>
      <c r="G1277" s="49">
        <f t="array" ref="G1277">MAX(IF(INSTOCK!$H$3:$H$6125=B1277,INSTOCK!$K$3:$K$6125))</f>
        <v>999</v>
      </c>
      <c r="H1277" s="50">
        <f t="array" ref="H1277">SUM(IF(INSTOCK!$H$3:$H$6125=B1277,INSTOCK!$I$3:$I$6125))</f>
        <v>1204</v>
      </c>
      <c r="I1277" s="50" t="str">
        <f>ARRAY_CONSTRAIN(ARRAYFORMULA(SUM(IF([3]!Table13[ID]=B1277,[3]!Table13[QTY]))), 1, 1)</f>
        <v>#ERROR!</v>
      </c>
      <c r="J1277" s="50" t="str">
        <f>TABLEITEM!$H$3:$H$2749-TABLEITEM!$I$3:$I$2749</f>
        <v>#ERROR!</v>
      </c>
    </row>
    <row r="1278" ht="15.75" customHeight="1">
      <c r="A1278" s="45">
        <v>331.0</v>
      </c>
      <c r="B1278" s="10" t="s">
        <v>212</v>
      </c>
      <c r="C1278" s="26"/>
      <c r="D1278" s="10" t="s">
        <v>8770</v>
      </c>
      <c r="E1278" s="48" t="s">
        <v>8767</v>
      </c>
      <c r="F1278" s="48" t="s">
        <v>7429</v>
      </c>
      <c r="G1278" s="49">
        <f t="array" ref="G1278">MAX(IF(INSTOCK!$H$3:$H$6125=B1278,INSTOCK!$K$3:$K$6125))</f>
        <v>0</v>
      </c>
      <c r="H1278" s="50">
        <f t="array" ref="H1278">SUM(IF(INSTOCK!$H$3:$H$6125=B1278,INSTOCK!$I$3:$I$6125))</f>
        <v>0</v>
      </c>
      <c r="I1278" s="50" t="str">
        <f>ARRAY_CONSTRAIN(ARRAYFORMULA(SUM(IF([3]!Table13[ID]=B1278,[3]!Table13[QTY]))), 1, 1)</f>
        <v>#ERROR!</v>
      </c>
      <c r="J1278" s="50" t="str">
        <f>TABLEITEM!$H$3:$H$2749-TABLEITEM!$I$3:$I$2749</f>
        <v>#ERROR!</v>
      </c>
    </row>
    <row r="1279" ht="15.75" customHeight="1">
      <c r="A1279" s="45">
        <v>333.0</v>
      </c>
      <c r="B1279" s="10" t="s">
        <v>215</v>
      </c>
      <c r="C1279" s="26"/>
      <c r="D1279" s="10" t="s">
        <v>8771</v>
      </c>
      <c r="E1279" s="48" t="s">
        <v>8767</v>
      </c>
      <c r="F1279" s="48" t="s">
        <v>7429</v>
      </c>
      <c r="G1279" s="49">
        <f t="array" ref="G1279">MAX(IF(INSTOCK!$H$3:$H$6125=B1279,INSTOCK!$K$3:$K$6125))</f>
        <v>5.9175</v>
      </c>
      <c r="H1279" s="50">
        <f t="array" ref="H1279">SUM(IF(INSTOCK!$H$3:$H$6125=B1279,INSTOCK!$I$3:$I$6125))</f>
        <v>1200</v>
      </c>
      <c r="I1279" s="50" t="str">
        <f>ARRAY_CONSTRAIN(ARRAYFORMULA(SUM(IF([3]!Table13[ID]=B1279,[3]!Table13[QTY]))), 1, 1)</f>
        <v>#ERROR!</v>
      </c>
      <c r="J1279" s="50" t="str">
        <f>TABLEITEM!$H$3:$H$2749-TABLEITEM!$I$3:$I$2749</f>
        <v>#ERROR!</v>
      </c>
    </row>
    <row r="1280" ht="15.75" customHeight="1">
      <c r="A1280" s="45"/>
      <c r="B1280" s="10" t="s">
        <v>2224</v>
      </c>
      <c r="C1280" s="26"/>
      <c r="D1280" s="10" t="s">
        <v>8772</v>
      </c>
      <c r="E1280" s="48"/>
      <c r="F1280" s="57"/>
      <c r="G1280" s="49">
        <f t="array" ref="G1280">MAX(IF(INSTOCK!$H$3:$H$6125=B1280,INSTOCK!$K$3:$K$6125))</f>
        <v>1800</v>
      </c>
      <c r="H1280" s="50">
        <f t="array" ref="H1280">SUM(IF(INSTOCK!$H$3:$H$6125=B1280,INSTOCK!$I$3:$I$6125))</f>
        <v>1</v>
      </c>
      <c r="I1280" s="50" t="str">
        <f>ARRAY_CONSTRAIN(ARRAYFORMULA(SUM(IF([3]!Table13[ID]=B1280,[3]!Table13[QTY]))), 1, 1)</f>
        <v>#ERROR!</v>
      </c>
      <c r="J1280" s="50" t="str">
        <f>TABLEITEM!$H$3:$H$2749-TABLEITEM!$I$3:$I$2749</f>
        <v>#ERROR!</v>
      </c>
    </row>
    <row r="1281" ht="15.75" customHeight="1">
      <c r="A1281" s="45"/>
      <c r="B1281" s="10" t="s">
        <v>3210</v>
      </c>
      <c r="C1281" s="26"/>
      <c r="D1281" s="10" t="s">
        <v>8773</v>
      </c>
      <c r="E1281" s="48" t="s">
        <v>8360</v>
      </c>
      <c r="F1281" s="57" t="s">
        <v>8651</v>
      </c>
      <c r="G1281" s="49">
        <f t="array" ref="G1281">MAX(IF(INSTOCK!$H$3:$H$6125=B1281,INSTOCK!$K$3:$K$6125))</f>
        <v>800</v>
      </c>
      <c r="H1281" s="50">
        <f t="array" ref="H1281">SUM(IF(INSTOCK!$H$3:$H$6125=B1281,INSTOCK!$I$3:$I$6125))</f>
        <v>6</v>
      </c>
      <c r="I1281" s="50" t="str">
        <f>ARRAY_CONSTRAIN(ARRAYFORMULA(SUM(IF([3]!Table13[ID]=B1281,[3]!Table13[QTY]))), 1, 1)</f>
        <v>#ERROR!</v>
      </c>
      <c r="J1281" s="50" t="str">
        <f>TABLEITEM!$H$3:$H$2749-TABLEITEM!$I$3:$I$2749</f>
        <v>#ERROR!</v>
      </c>
    </row>
    <row r="1282" ht="15.75" customHeight="1">
      <c r="A1282" s="45"/>
      <c r="B1282" s="10" t="s">
        <v>2220</v>
      </c>
      <c r="C1282" s="26"/>
      <c r="D1282" s="10" t="s">
        <v>8774</v>
      </c>
      <c r="E1282" s="48"/>
      <c r="F1282" s="57" t="s">
        <v>7173</v>
      </c>
      <c r="G1282" s="49">
        <f t="array" ref="G1282">MAX(IF(INSTOCK!$H$3:$H$6125=B1282,INSTOCK!$K$3:$K$6125))</f>
        <v>1080</v>
      </c>
      <c r="H1282" s="50">
        <f t="array" ref="H1282">SUM(IF(INSTOCK!$H$3:$H$6125=B1282,INSTOCK!$I$3:$I$6125))</f>
        <v>2</v>
      </c>
      <c r="I1282" s="50" t="str">
        <f>ARRAY_CONSTRAIN(ARRAYFORMULA(SUM(IF([3]!Table13[ID]=B1282,[3]!Table13[QTY]))), 1, 1)</f>
        <v>#ERROR!</v>
      </c>
      <c r="J1282" s="50" t="str">
        <f>TABLEITEM!$H$3:$H$2749-TABLEITEM!$I$3:$I$2749</f>
        <v>#ERROR!</v>
      </c>
    </row>
    <row r="1283" ht="15.75" customHeight="1">
      <c r="A1283" s="45"/>
      <c r="B1283" s="10" t="s">
        <v>2673</v>
      </c>
      <c r="C1283" s="26"/>
      <c r="D1283" s="10" t="s">
        <v>8775</v>
      </c>
      <c r="E1283" s="48" t="s">
        <v>8776</v>
      </c>
      <c r="F1283" s="57" t="s">
        <v>7173</v>
      </c>
      <c r="G1283" s="49">
        <f t="array" ref="G1283">MAX(IF(INSTOCK!$H$3:$H$6125=B1283,INSTOCK!$K$3:$K$6125))</f>
        <v>144</v>
      </c>
      <c r="H1283" s="50">
        <f t="array" ref="H1283">SUM(IF(INSTOCK!$H$3:$H$6125=B1283,INSTOCK!$I$3:$I$6125))</f>
        <v>16</v>
      </c>
      <c r="I1283" s="50" t="str">
        <f>ARRAY_CONSTRAIN(ARRAYFORMULA(SUM(IF([3]!Table13[ID]=B1283,[3]!Table13[QTY]))), 1, 1)</f>
        <v>#ERROR!</v>
      </c>
      <c r="J1283" s="50" t="str">
        <f>TABLEITEM!$H$3:$H$2749-TABLEITEM!$I$3:$I$2749</f>
        <v>#ERROR!</v>
      </c>
    </row>
    <row r="1284" ht="15.75" customHeight="1">
      <c r="A1284" s="45"/>
      <c r="B1284" s="10" t="s">
        <v>2674</v>
      </c>
      <c r="C1284" s="26"/>
      <c r="D1284" s="10" t="s">
        <v>8777</v>
      </c>
      <c r="E1284" s="48" t="s">
        <v>8776</v>
      </c>
      <c r="F1284" s="57" t="s">
        <v>7173</v>
      </c>
      <c r="G1284" s="49">
        <f t="array" ref="G1284">MAX(IF(INSTOCK!$H$3:$H$6125=B1284,INSTOCK!$K$3:$K$6125))</f>
        <v>207</v>
      </c>
      <c r="H1284" s="50">
        <f t="array" ref="H1284">SUM(IF(INSTOCK!$H$3:$H$6125=B1284,INSTOCK!$I$3:$I$6125))</f>
        <v>16</v>
      </c>
      <c r="I1284" s="50" t="str">
        <f>ARRAY_CONSTRAIN(ARRAYFORMULA(SUM(IF([3]!Table13[ID]=B1284,[3]!Table13[QTY]))), 1, 1)</f>
        <v>#ERROR!</v>
      </c>
      <c r="J1284" s="50" t="str">
        <f>TABLEITEM!$H$3:$H$2749-TABLEITEM!$I$3:$I$2749</f>
        <v>#ERROR!</v>
      </c>
    </row>
    <row r="1285" ht="15.75" customHeight="1">
      <c r="A1285" s="45"/>
      <c r="B1285" s="10" t="s">
        <v>2194</v>
      </c>
      <c r="C1285" s="26"/>
      <c r="D1285" s="10" t="s">
        <v>8778</v>
      </c>
      <c r="E1285" s="48" t="s">
        <v>2196</v>
      </c>
      <c r="F1285" s="57" t="s">
        <v>7173</v>
      </c>
      <c r="G1285" s="49">
        <f t="array" ref="G1285">MAX(IF(INSTOCK!$H$3:$H$6125=B1285,INSTOCK!$K$3:$K$6125))</f>
        <v>1665</v>
      </c>
      <c r="H1285" s="50">
        <f t="array" ref="H1285">SUM(IF(INSTOCK!$H$3:$H$6125=B1285,INSTOCK!$I$3:$I$6125))</f>
        <v>4</v>
      </c>
      <c r="I1285" s="50" t="str">
        <f>ARRAY_CONSTRAIN(ARRAYFORMULA(SUM(IF([3]!Table13[ID]=B1285,[3]!Table13[QTY]))), 1, 1)</f>
        <v>#ERROR!</v>
      </c>
      <c r="J1285" s="50" t="str">
        <f>TABLEITEM!$H$3:$H$2749-TABLEITEM!$I$3:$I$2749</f>
        <v>#ERROR!</v>
      </c>
    </row>
    <row r="1286" ht="15.75" customHeight="1">
      <c r="A1286" s="45"/>
      <c r="B1286" s="10" t="s">
        <v>1729</v>
      </c>
      <c r="C1286" s="26"/>
      <c r="D1286" s="10" t="s">
        <v>8779</v>
      </c>
      <c r="E1286" s="48" t="s">
        <v>2231</v>
      </c>
      <c r="F1286" s="57" t="s">
        <v>7173</v>
      </c>
      <c r="G1286" s="49">
        <f t="array" ref="G1286">MAX(IF(INSTOCK!$H$3:$H$6125=B1286,INSTOCK!$K$3:$K$6125))</f>
        <v>3488.8</v>
      </c>
      <c r="H1286" s="50">
        <f t="array" ref="H1286">SUM(IF(INSTOCK!$H$3:$H$6125=B1286,INSTOCK!$I$3:$I$6125))</f>
        <v>5</v>
      </c>
      <c r="I1286" s="50" t="str">
        <f>ARRAY_CONSTRAIN(ARRAYFORMULA(SUM(IF([3]!Table13[ID]=B1286,[3]!Table13[QTY]))), 1, 1)</f>
        <v>#ERROR!</v>
      </c>
      <c r="J1286" s="50" t="str">
        <f>TABLEITEM!$H$3:$H$2749-TABLEITEM!$I$3:$I$2749</f>
        <v>#ERROR!</v>
      </c>
    </row>
    <row r="1287" ht="15.75" customHeight="1">
      <c r="A1287" s="45"/>
      <c r="B1287" s="10" t="s">
        <v>1833</v>
      </c>
      <c r="C1287" s="26"/>
      <c r="D1287" s="10" t="s">
        <v>8780</v>
      </c>
      <c r="E1287" s="48" t="s">
        <v>2231</v>
      </c>
      <c r="F1287" s="57" t="s">
        <v>7173</v>
      </c>
      <c r="G1287" s="49">
        <f t="array" ref="G1287">MAX(IF(INSTOCK!$H$3:$H$6125=B1287,INSTOCK!$K$3:$K$6125))</f>
        <v>620</v>
      </c>
      <c r="H1287" s="50">
        <f t="array" ref="H1287">SUM(IF(INSTOCK!$H$3:$H$6125=B1287,INSTOCK!$I$3:$I$6125))</f>
        <v>18</v>
      </c>
      <c r="I1287" s="50" t="str">
        <f>ARRAY_CONSTRAIN(ARRAYFORMULA(SUM(IF([3]!Table13[ID]=B1287,[3]!Table13[QTY]))), 1, 1)</f>
        <v>#ERROR!</v>
      </c>
      <c r="J1287" s="50" t="str">
        <f>TABLEITEM!$H$3:$H$2749-TABLEITEM!$I$3:$I$2749</f>
        <v>#ERROR!</v>
      </c>
    </row>
    <row r="1288" ht="15.75" customHeight="1">
      <c r="A1288" s="45"/>
      <c r="B1288" s="10" t="s">
        <v>1764</v>
      </c>
      <c r="C1288" s="26"/>
      <c r="D1288" s="10" t="s">
        <v>8781</v>
      </c>
      <c r="E1288" s="48"/>
      <c r="F1288" s="57" t="s">
        <v>7173</v>
      </c>
      <c r="G1288" s="49">
        <f t="array" ref="G1288">MAX(IF(INSTOCK!$H$3:$H$6125=B1288,INSTOCK!$K$3:$K$6125))</f>
        <v>416</v>
      </c>
      <c r="H1288" s="50">
        <f t="array" ref="H1288">SUM(IF(INSTOCK!$H$3:$H$6125=B1288,INSTOCK!$I$3:$I$6125))</f>
        <v>24</v>
      </c>
      <c r="I1288" s="50" t="str">
        <f>ARRAY_CONSTRAIN(ARRAYFORMULA(SUM(IF([3]!Table13[ID]=B1288,[3]!Table13[QTY]))), 1, 1)</f>
        <v>#ERROR!</v>
      </c>
      <c r="J1288" s="50" t="str">
        <f>TABLEITEM!$H$3:$H$2749-TABLEITEM!$I$3:$I$2749</f>
        <v>#ERROR!</v>
      </c>
    </row>
    <row r="1289" ht="15.75" customHeight="1">
      <c r="A1289" s="45"/>
      <c r="B1289" s="10" t="s">
        <v>3213</v>
      </c>
      <c r="C1289" s="26"/>
      <c r="D1289" s="10" t="s">
        <v>8782</v>
      </c>
      <c r="E1289" s="48" t="s">
        <v>1487</v>
      </c>
      <c r="F1289" s="57" t="s">
        <v>7173</v>
      </c>
      <c r="G1289" s="49">
        <f t="array" ref="G1289">MAX(IF(INSTOCK!$H$3:$H$6125=B1289,INSTOCK!$K$3:$K$6125))</f>
        <v>541.2</v>
      </c>
      <c r="H1289" s="50">
        <f t="array" ref="H1289">SUM(IF(INSTOCK!$H$3:$H$6125=B1289,INSTOCK!$I$3:$I$6125))</f>
        <v>6</v>
      </c>
      <c r="I1289" s="50" t="str">
        <f>ARRAY_CONSTRAIN(ARRAYFORMULA(SUM(IF([3]!Table13[ID]=B1289,[3]!Table13[QTY]))), 1, 1)</f>
        <v>#ERROR!</v>
      </c>
      <c r="J1289" s="50" t="str">
        <f>TABLEITEM!$H$3:$H$2749-TABLEITEM!$I$3:$I$2749</f>
        <v>#ERROR!</v>
      </c>
    </row>
    <row r="1290" ht="15.75" customHeight="1">
      <c r="A1290" s="45"/>
      <c r="B1290" s="10" t="s">
        <v>3096</v>
      </c>
      <c r="C1290" s="26"/>
      <c r="D1290" s="10" t="s">
        <v>8783</v>
      </c>
      <c r="E1290" s="48" t="s">
        <v>1487</v>
      </c>
      <c r="F1290" s="57" t="s">
        <v>7173</v>
      </c>
      <c r="G1290" s="49">
        <f t="array" ref="G1290">MAX(IF(INSTOCK!$H$3:$H$6125=B1290,INSTOCK!$K$3:$K$6125))</f>
        <v>1346.4</v>
      </c>
      <c r="H1290" s="50">
        <f t="array" ref="H1290">SUM(IF(INSTOCK!$H$3:$H$6125=B1290,INSTOCK!$I$3:$I$6125))</f>
        <v>2</v>
      </c>
      <c r="I1290" s="50" t="str">
        <f>ARRAY_CONSTRAIN(ARRAYFORMULA(SUM(IF([3]!Table13[ID]=B1290,[3]!Table13[QTY]))), 1, 1)</f>
        <v>#ERROR!</v>
      </c>
      <c r="J1290" s="50" t="str">
        <f>TABLEITEM!$H$3:$H$2749-TABLEITEM!$I$3:$I$2749</f>
        <v>#ERROR!</v>
      </c>
    </row>
    <row r="1291" ht="15.75" customHeight="1">
      <c r="A1291" s="45"/>
      <c r="B1291" s="10" t="s">
        <v>3095</v>
      </c>
      <c r="C1291" s="26"/>
      <c r="D1291" s="10" t="s">
        <v>8784</v>
      </c>
      <c r="E1291" s="48" t="s">
        <v>1487</v>
      </c>
      <c r="F1291" s="57" t="s">
        <v>7173</v>
      </c>
      <c r="G1291" s="49">
        <f t="array" ref="G1291">MAX(IF(INSTOCK!$H$3:$H$6125=B1291,INSTOCK!$K$3:$K$6125))</f>
        <v>2244</v>
      </c>
      <c r="H1291" s="50">
        <f t="array" ref="H1291">SUM(IF(INSTOCK!$H$3:$H$6125=B1291,INSTOCK!$I$3:$I$6125))</f>
        <v>6</v>
      </c>
      <c r="I1291" s="50" t="str">
        <f>ARRAY_CONSTRAIN(ARRAYFORMULA(SUM(IF([3]!Table13[ID]=B1291,[3]!Table13[QTY]))), 1, 1)</f>
        <v>#ERROR!</v>
      </c>
      <c r="J1291" s="50" t="str">
        <f>TABLEITEM!$H$3:$H$2749-TABLEITEM!$I$3:$I$2749</f>
        <v>#ERROR!</v>
      </c>
    </row>
    <row r="1292" ht="15.75" customHeight="1">
      <c r="A1292" s="45"/>
      <c r="B1292" s="10" t="s">
        <v>3110</v>
      </c>
      <c r="C1292" s="26"/>
      <c r="D1292" s="10" t="s">
        <v>8785</v>
      </c>
      <c r="E1292" s="48" t="s">
        <v>1487</v>
      </c>
      <c r="F1292" s="57" t="s">
        <v>7173</v>
      </c>
      <c r="G1292" s="49">
        <f t="array" ref="G1292">MAX(IF(INSTOCK!$H$3:$H$6125=B1292,INSTOCK!$K$3:$K$6125))</f>
        <v>1056</v>
      </c>
      <c r="H1292" s="50">
        <f t="array" ref="H1292">SUM(IF(INSTOCK!$H$3:$H$6125=B1292,INSTOCK!$I$3:$I$6125))</f>
        <v>3</v>
      </c>
      <c r="I1292" s="50" t="str">
        <f>ARRAY_CONSTRAIN(ARRAYFORMULA(SUM(IF([3]!Table13[ID]=B1292,[3]!Table13[QTY]))), 1, 1)</f>
        <v>#ERROR!</v>
      </c>
      <c r="J1292" s="50" t="str">
        <f>TABLEITEM!$H$3:$H$2749-TABLEITEM!$I$3:$I$2749</f>
        <v>#ERROR!</v>
      </c>
    </row>
    <row r="1293" ht="15.75" customHeight="1">
      <c r="A1293" s="45">
        <v>312.0</v>
      </c>
      <c r="B1293" s="10" t="s">
        <v>193</v>
      </c>
      <c r="C1293" s="26"/>
      <c r="D1293" s="10" t="s">
        <v>8786</v>
      </c>
      <c r="E1293" s="48" t="s">
        <v>8787</v>
      </c>
      <c r="F1293" s="57" t="s">
        <v>7173</v>
      </c>
      <c r="G1293" s="49">
        <f t="array" ref="G1293">MAX(IF(INSTOCK!$H$3:$H$6125=B1293,INSTOCK!$K$3:$K$6125))</f>
        <v>35</v>
      </c>
      <c r="H1293" s="50">
        <f t="array" ref="H1293">SUM(IF(INSTOCK!$H$3:$H$6125=B1293,INSTOCK!$I$3:$I$6125))</f>
        <v>346</v>
      </c>
      <c r="I1293" s="50" t="str">
        <f>ARRAY_CONSTRAIN(ARRAYFORMULA(SUM(IF([3]!Table13[ID]=B1293,[3]!Table13[QTY]))), 1, 1)</f>
        <v>#ERROR!</v>
      </c>
      <c r="J1293" s="50" t="str">
        <f>TABLEITEM!$H$3:$H$2749-TABLEITEM!$I$3:$I$2749</f>
        <v>#ERROR!</v>
      </c>
    </row>
    <row r="1294" ht="15.75" customHeight="1">
      <c r="A1294" s="45">
        <v>310.0</v>
      </c>
      <c r="B1294" s="10" t="s">
        <v>191</v>
      </c>
      <c r="C1294" s="26"/>
      <c r="D1294" s="10" t="s">
        <v>8788</v>
      </c>
      <c r="E1294" s="48" t="s">
        <v>8787</v>
      </c>
      <c r="F1294" s="57" t="s">
        <v>7173</v>
      </c>
      <c r="G1294" s="49">
        <f t="array" ref="G1294">MAX(IF(INSTOCK!$H$3:$H$6125=B1294,INSTOCK!$K$3:$K$6125))</f>
        <v>20</v>
      </c>
      <c r="H1294" s="50">
        <f t="array" ref="H1294">SUM(IF(INSTOCK!$H$3:$H$6125=B1294,INSTOCK!$I$3:$I$6125))</f>
        <v>936</v>
      </c>
      <c r="I1294" s="50" t="str">
        <f>ARRAY_CONSTRAIN(ARRAYFORMULA(SUM(IF([3]!Table13[ID]=B1294,[3]!Table13[QTY]))), 1, 1)</f>
        <v>#ERROR!</v>
      </c>
      <c r="J1294" s="50" t="str">
        <f>TABLEITEM!$H$3:$H$2749-TABLEITEM!$I$3:$I$2749</f>
        <v>#ERROR!</v>
      </c>
    </row>
    <row r="1295" ht="15.75" customHeight="1">
      <c r="A1295" s="45">
        <v>318.0</v>
      </c>
      <c r="B1295" s="10" t="s">
        <v>199</v>
      </c>
      <c r="C1295" s="26"/>
      <c r="D1295" s="10" t="s">
        <v>8789</v>
      </c>
      <c r="E1295" s="48" t="s">
        <v>8787</v>
      </c>
      <c r="F1295" s="57" t="s">
        <v>7173</v>
      </c>
      <c r="G1295" s="49">
        <f t="array" ref="G1295">MAX(IF(INSTOCK!$H$3:$H$6125=B1295,INSTOCK!$K$3:$K$6125))</f>
        <v>177.31</v>
      </c>
      <c r="H1295" s="50">
        <f t="array" ref="H1295">SUM(IF(INSTOCK!$H$3:$H$6125=B1295,INSTOCK!$I$3:$I$6125))</f>
        <v>27</v>
      </c>
      <c r="I1295" s="50" t="str">
        <f>ARRAY_CONSTRAIN(ARRAYFORMULA(SUM(IF([3]!Table13[ID]=B1295,[3]!Table13[QTY]))), 1, 1)</f>
        <v>#ERROR!</v>
      </c>
      <c r="J1295" s="50" t="str">
        <f>TABLEITEM!$H$3:$H$2749-TABLEITEM!$I$3:$I$2749</f>
        <v>#ERROR!</v>
      </c>
    </row>
    <row r="1296" ht="15.75" customHeight="1">
      <c r="A1296" s="45">
        <v>309.0</v>
      </c>
      <c r="B1296" s="10" t="s">
        <v>190</v>
      </c>
      <c r="C1296" s="26"/>
      <c r="D1296" s="10" t="s">
        <v>8790</v>
      </c>
      <c r="E1296" s="48" t="s">
        <v>8787</v>
      </c>
      <c r="F1296" s="57" t="s">
        <v>7173</v>
      </c>
      <c r="G1296" s="49">
        <f t="array" ref="G1296">MAX(IF(INSTOCK!$H$3:$H$6125=B1296,INSTOCK!$K$3:$K$6125))</f>
        <v>11.5</v>
      </c>
      <c r="H1296" s="50">
        <f t="array" ref="H1296">SUM(IF(INSTOCK!$H$3:$H$6125=B1296,INSTOCK!$I$3:$I$6125))</f>
        <v>3030</v>
      </c>
      <c r="I1296" s="50" t="str">
        <f>ARRAY_CONSTRAIN(ARRAYFORMULA(SUM(IF([3]!Table13[ID]=B1296,[3]!Table13[QTY]))), 1, 1)</f>
        <v>#ERROR!</v>
      </c>
      <c r="J1296" s="50" t="str">
        <f>TABLEITEM!$H$3:$H$2749-TABLEITEM!$I$3:$I$2749</f>
        <v>#ERROR!</v>
      </c>
    </row>
    <row r="1297" ht="15.75" customHeight="1">
      <c r="A1297" s="45">
        <v>316.0</v>
      </c>
      <c r="B1297" s="10" t="s">
        <v>197</v>
      </c>
      <c r="C1297" s="26"/>
      <c r="D1297" s="10" t="s">
        <v>8791</v>
      </c>
      <c r="E1297" s="48" t="s">
        <v>8787</v>
      </c>
      <c r="F1297" s="57" t="s">
        <v>7173</v>
      </c>
      <c r="G1297" s="49">
        <f t="array" ref="G1297">MAX(IF(INSTOCK!$H$3:$H$6125=B1297,INSTOCK!$K$3:$K$6125))</f>
        <v>105</v>
      </c>
      <c r="H1297" s="50">
        <f t="array" ref="H1297">SUM(IF(INSTOCK!$H$3:$H$6125=B1297,INSTOCK!$I$3:$I$6125))</f>
        <v>25</v>
      </c>
      <c r="I1297" s="50" t="str">
        <f>ARRAY_CONSTRAIN(ARRAYFORMULA(SUM(IF([3]!Table13[ID]=B1297,[3]!Table13[QTY]))), 1, 1)</f>
        <v>#ERROR!</v>
      </c>
      <c r="J1297" s="50" t="str">
        <f>TABLEITEM!$H$3:$H$2749-TABLEITEM!$I$3:$I$2749</f>
        <v>#ERROR!</v>
      </c>
    </row>
    <row r="1298" ht="15.75" customHeight="1">
      <c r="A1298" s="45">
        <v>314.0</v>
      </c>
      <c r="B1298" s="10" t="s">
        <v>195</v>
      </c>
      <c r="C1298" s="26"/>
      <c r="D1298" s="10" t="s">
        <v>8792</v>
      </c>
      <c r="E1298" s="48" t="s">
        <v>8787</v>
      </c>
      <c r="F1298" s="57" t="s">
        <v>7173</v>
      </c>
      <c r="G1298" s="49">
        <f t="array" ref="G1298">MAX(IF(INSTOCK!$H$3:$H$6125=B1298,INSTOCK!$K$3:$K$6125))</f>
        <v>75</v>
      </c>
      <c r="H1298" s="50">
        <f t="array" ref="H1298">SUM(IF(INSTOCK!$H$3:$H$6125=B1298,INSTOCK!$I$3:$I$6125))</f>
        <v>357</v>
      </c>
      <c r="I1298" s="50" t="str">
        <f>ARRAY_CONSTRAIN(ARRAYFORMULA(SUM(IF([3]!Table13[ID]=B1298,[3]!Table13[QTY]))), 1, 1)</f>
        <v>#ERROR!</v>
      </c>
      <c r="J1298" s="50" t="str">
        <f>TABLEITEM!$H$3:$H$2749-TABLEITEM!$I$3:$I$2749</f>
        <v>#ERROR!</v>
      </c>
    </row>
    <row r="1299" ht="15.75" customHeight="1">
      <c r="A1299" s="45">
        <v>307.0</v>
      </c>
      <c r="B1299" s="10" t="s">
        <v>188</v>
      </c>
      <c r="C1299" s="26"/>
      <c r="D1299" s="10" t="s">
        <v>8793</v>
      </c>
      <c r="E1299" s="48" t="s">
        <v>8787</v>
      </c>
      <c r="F1299" s="57" t="s">
        <v>7173</v>
      </c>
      <c r="G1299" s="49">
        <f t="array" ref="G1299">MAX(IF(INSTOCK!$H$3:$H$6125=B1299,INSTOCK!$K$3:$K$6125))</f>
        <v>9</v>
      </c>
      <c r="H1299" s="50">
        <f t="array" ref="H1299">SUM(IF(INSTOCK!$H$3:$H$6125=B1299,INSTOCK!$I$3:$I$6125))</f>
        <v>14207</v>
      </c>
      <c r="I1299" s="50" t="str">
        <f>ARRAY_CONSTRAIN(ARRAYFORMULA(SUM(IF([3]!Table13[ID]=B1299,[3]!Table13[QTY]))), 1, 1)</f>
        <v>#ERROR!</v>
      </c>
      <c r="J1299" s="50" t="str">
        <f>TABLEITEM!$H$3:$H$2749-TABLEITEM!$I$3:$I$2749</f>
        <v>#ERROR!</v>
      </c>
    </row>
    <row r="1300" ht="15.75" customHeight="1">
      <c r="A1300" s="45"/>
      <c r="B1300" s="10" t="s">
        <v>2372</v>
      </c>
      <c r="C1300" s="26"/>
      <c r="D1300" s="10" t="s">
        <v>8794</v>
      </c>
      <c r="E1300" s="48" t="s">
        <v>8203</v>
      </c>
      <c r="F1300" s="57" t="s">
        <v>7173</v>
      </c>
      <c r="G1300" s="49">
        <f t="array" ref="G1300">MAX(IF(INSTOCK!$H$3:$H$6125=B1300,INSTOCK!$K$3:$K$6125))</f>
        <v>27.968</v>
      </c>
      <c r="H1300" s="50">
        <f t="array" ref="H1300">SUM(IF(INSTOCK!$H$3:$H$6125=B1300,INSTOCK!$I$3:$I$6125))</f>
        <v>10</v>
      </c>
      <c r="I1300" s="50" t="str">
        <f>ARRAY_CONSTRAIN(ARRAYFORMULA(SUM(IF([3]!Table13[ID]=B1300,[3]!Table13[QTY]))), 1, 1)</f>
        <v>#ERROR!</v>
      </c>
      <c r="J1300" s="50" t="str">
        <f>TABLEITEM!$H$3:$H$2749-TABLEITEM!$I$3:$I$2749</f>
        <v>#ERROR!</v>
      </c>
    </row>
    <row r="1301" ht="15.75" customHeight="1">
      <c r="A1301" s="45"/>
      <c r="B1301" s="10" t="s">
        <v>1066</v>
      </c>
      <c r="C1301" s="26"/>
      <c r="D1301" s="10" t="s">
        <v>1067</v>
      </c>
      <c r="E1301" s="48" t="s">
        <v>7076</v>
      </c>
      <c r="F1301" s="57" t="s">
        <v>8129</v>
      </c>
      <c r="G1301" s="49">
        <f t="array" ref="G1301">MAX(IF(INSTOCK!$H$3:$H$6125=B1301,INSTOCK!$K$3:$K$6125))</f>
        <v>380</v>
      </c>
      <c r="H1301" s="50">
        <f t="array" ref="H1301">SUM(IF(INSTOCK!$H$3:$H$6125=B1301,INSTOCK!$I$3:$I$6125))</f>
        <v>15</v>
      </c>
      <c r="I1301" s="50" t="str">
        <f>ARRAY_CONSTRAIN(ARRAYFORMULA(SUM(IF([3]!Table13[ID]=B1301,[3]!Table13[QTY]))), 1, 1)</f>
        <v>#ERROR!</v>
      </c>
      <c r="J1301" s="50" t="str">
        <f>TABLEITEM!$H$3:$H$2749-TABLEITEM!$I$3:$I$2749</f>
        <v>#ERROR!</v>
      </c>
    </row>
    <row r="1302" ht="15.75" customHeight="1">
      <c r="A1302" s="45"/>
      <c r="B1302" s="10" t="s">
        <v>1963</v>
      </c>
      <c r="C1302" s="26"/>
      <c r="D1302" s="10" t="s">
        <v>8795</v>
      </c>
      <c r="E1302" s="48" t="s">
        <v>1964</v>
      </c>
      <c r="F1302" s="57" t="s">
        <v>7173</v>
      </c>
      <c r="G1302" s="49">
        <f t="array" ref="G1302">MAX(IF(INSTOCK!$H$3:$H$6125=B1302,INSTOCK!$K$3:$K$6125))</f>
        <v>4200</v>
      </c>
      <c r="H1302" s="50">
        <f t="array" ref="H1302">SUM(IF(INSTOCK!$H$3:$H$6125=B1302,INSTOCK!$I$3:$I$6125))</f>
        <v>7</v>
      </c>
      <c r="I1302" s="50" t="str">
        <f>ARRAY_CONSTRAIN(ARRAYFORMULA(SUM(IF([3]!Table13[ID]=B1302,[3]!Table13[QTY]))), 1, 1)</f>
        <v>#ERROR!</v>
      </c>
      <c r="J1302" s="50" t="str">
        <f>TABLEITEM!$H$3:$H$2749-TABLEITEM!$I$3:$I$2749</f>
        <v>#ERROR!</v>
      </c>
    </row>
    <row r="1303" ht="15.75" customHeight="1">
      <c r="A1303" s="45"/>
      <c r="B1303" s="10" t="s">
        <v>1878</v>
      </c>
      <c r="C1303" s="26"/>
      <c r="D1303" s="10" t="s">
        <v>8796</v>
      </c>
      <c r="E1303" s="48" t="s">
        <v>1504</v>
      </c>
      <c r="F1303" s="57" t="s">
        <v>7173</v>
      </c>
      <c r="G1303" s="49">
        <f t="array" ref="G1303">MAX(IF(INSTOCK!$H$3:$H$6125=B1303,INSTOCK!$K$3:$K$6125))</f>
        <v>22809.5</v>
      </c>
      <c r="H1303" s="50">
        <f t="array" ref="H1303">SUM(IF(INSTOCK!$H$3:$H$6125=B1303,INSTOCK!$I$3:$I$6125))</f>
        <v>4</v>
      </c>
      <c r="I1303" s="50" t="str">
        <f>ARRAY_CONSTRAIN(ARRAYFORMULA(SUM(IF([3]!Table13[ID]=B1303,[3]!Table13[QTY]))), 1, 1)</f>
        <v>#ERROR!</v>
      </c>
      <c r="J1303" s="50" t="str">
        <f>TABLEITEM!$H$3:$H$2749-TABLEITEM!$I$3:$I$2749</f>
        <v>#ERROR!</v>
      </c>
    </row>
    <row r="1304" ht="15.75" customHeight="1">
      <c r="A1304" s="45"/>
      <c r="B1304" s="10" t="s">
        <v>1497</v>
      </c>
      <c r="C1304" s="26"/>
      <c r="D1304" s="10" t="s">
        <v>8797</v>
      </c>
      <c r="E1304" s="48" t="s">
        <v>1498</v>
      </c>
      <c r="F1304" s="57" t="s">
        <v>7173</v>
      </c>
      <c r="G1304" s="49">
        <f t="array" ref="G1304">MAX(IF(INSTOCK!$H$3:$H$6125=B1304,INSTOCK!$K$3:$K$6125))</f>
        <v>8254</v>
      </c>
      <c r="H1304" s="50">
        <f t="array" ref="H1304">SUM(IF(INSTOCK!$H$3:$H$6125=B1304,INSTOCK!$I$3:$I$6125))</f>
        <v>1</v>
      </c>
      <c r="I1304" s="50" t="str">
        <f>ARRAY_CONSTRAIN(ARRAYFORMULA(SUM(IF([3]!Table13[ID]=B1304,[3]!Table13[QTY]))), 1, 1)</f>
        <v>#ERROR!</v>
      </c>
      <c r="J1304" s="50" t="str">
        <f>TABLEITEM!$H$3:$H$2749-TABLEITEM!$I$3:$I$2749</f>
        <v>#ERROR!</v>
      </c>
    </row>
    <row r="1305" ht="15.75" customHeight="1">
      <c r="A1305" s="45">
        <v>124.0</v>
      </c>
      <c r="B1305" s="10" t="s">
        <v>584</v>
      </c>
      <c r="C1305" s="26" t="s">
        <v>7182</v>
      </c>
      <c r="D1305" s="10" t="s">
        <v>8798</v>
      </c>
      <c r="E1305" s="48" t="s">
        <v>8087</v>
      </c>
      <c r="F1305" s="57" t="s">
        <v>7173</v>
      </c>
      <c r="G1305" s="49">
        <f t="array" ref="G1305">MAX(IF(INSTOCK!$H$3:$H$6125=B1305,INSTOCK!$K$3:$K$6125))</f>
        <v>113.75</v>
      </c>
      <c r="H1305" s="50">
        <f t="array" ref="H1305">SUM(IF(INSTOCK!$H$3:$H$6125=B1305,INSTOCK!$I$3:$I$6125))</f>
        <v>3736</v>
      </c>
      <c r="I1305" s="50" t="str">
        <f>ARRAY_CONSTRAIN(ARRAYFORMULA(SUM(IF([3]!Table13[ID]=B1305,[3]!Table13[QTY]))), 1, 1)</f>
        <v>#ERROR!</v>
      </c>
      <c r="J1305" s="50" t="str">
        <f>TABLEITEM!$H$3:$H$2749-TABLEITEM!$I$3:$I$2749</f>
        <v>#ERROR!</v>
      </c>
    </row>
    <row r="1306" ht="15.75" customHeight="1">
      <c r="A1306" s="45">
        <v>126.0</v>
      </c>
      <c r="B1306" s="10" t="s">
        <v>587</v>
      </c>
      <c r="C1306" s="26" t="s">
        <v>7182</v>
      </c>
      <c r="D1306" s="10" t="s">
        <v>8799</v>
      </c>
      <c r="E1306" s="48" t="s">
        <v>8087</v>
      </c>
      <c r="F1306" s="57" t="s">
        <v>7173</v>
      </c>
      <c r="G1306" s="49">
        <f t="array" ref="G1306">MAX(IF(INSTOCK!$H$3:$H$6125=B1306,INSTOCK!$K$3:$K$6125))</f>
        <v>113.75</v>
      </c>
      <c r="H1306" s="50">
        <f t="array" ref="H1306">SUM(IF(INSTOCK!$H$3:$H$6125=B1306,INSTOCK!$I$3:$I$6125))</f>
        <v>431</v>
      </c>
      <c r="I1306" s="50" t="str">
        <f>ARRAY_CONSTRAIN(ARRAYFORMULA(SUM(IF([3]!Table13[ID]=B1306,[3]!Table13[QTY]))), 1, 1)</f>
        <v>#ERROR!</v>
      </c>
      <c r="J1306" s="50" t="str">
        <f>TABLEITEM!$H$3:$H$2749-TABLEITEM!$I$3:$I$2749</f>
        <v>#ERROR!</v>
      </c>
    </row>
    <row r="1307" ht="15.75" customHeight="1">
      <c r="A1307" s="45">
        <v>125.0</v>
      </c>
      <c r="B1307" s="10" t="s">
        <v>586</v>
      </c>
      <c r="C1307" s="26" t="s">
        <v>7182</v>
      </c>
      <c r="D1307" s="10" t="s">
        <v>8800</v>
      </c>
      <c r="E1307" s="48" t="s">
        <v>8087</v>
      </c>
      <c r="F1307" s="57" t="s">
        <v>7173</v>
      </c>
      <c r="G1307" s="49">
        <f t="array" ref="G1307">MAX(IF(INSTOCK!$H$3:$H$6125=B1307,INSTOCK!$K$3:$K$6125))</f>
        <v>113.75</v>
      </c>
      <c r="H1307" s="50">
        <f t="array" ref="H1307">SUM(IF(INSTOCK!$H$3:$H$6125=B1307,INSTOCK!$I$3:$I$6125))</f>
        <v>861</v>
      </c>
      <c r="I1307" s="50" t="str">
        <f>ARRAY_CONSTRAIN(ARRAYFORMULA(SUM(IF([3]!Table13[ID]=B1307,[3]!Table13[QTY]))), 1, 1)</f>
        <v>#ERROR!</v>
      </c>
      <c r="J1307" s="50" t="str">
        <f>TABLEITEM!$H$3:$H$2749-TABLEITEM!$I$3:$I$2749</f>
        <v>#ERROR!</v>
      </c>
    </row>
    <row r="1308" ht="15.75" customHeight="1">
      <c r="A1308" s="45">
        <v>127.0</v>
      </c>
      <c r="B1308" s="10" t="s">
        <v>588</v>
      </c>
      <c r="C1308" s="26" t="s">
        <v>7182</v>
      </c>
      <c r="D1308" s="10" t="s">
        <v>8801</v>
      </c>
      <c r="E1308" s="48" t="s">
        <v>8087</v>
      </c>
      <c r="F1308" s="57" t="s">
        <v>7173</v>
      </c>
      <c r="G1308" s="49">
        <f t="array" ref="G1308">MAX(IF(INSTOCK!$H$3:$H$6125=B1308,INSTOCK!$K$3:$K$6125))</f>
        <v>188.5</v>
      </c>
      <c r="H1308" s="50">
        <f t="array" ref="H1308">SUM(IF(INSTOCK!$H$3:$H$6125=B1308,INSTOCK!$I$3:$I$6125))</f>
        <v>1670</v>
      </c>
      <c r="I1308" s="50" t="str">
        <f>ARRAY_CONSTRAIN(ARRAYFORMULA(SUM(IF([3]!Table13[ID]=B1308,[3]!Table13[QTY]))), 1, 1)</f>
        <v>#ERROR!</v>
      </c>
      <c r="J1308" s="50" t="str">
        <f>TABLEITEM!$H$3:$H$2749-TABLEITEM!$I$3:$I$2749</f>
        <v>#ERROR!</v>
      </c>
    </row>
    <row r="1309" ht="15.75" customHeight="1">
      <c r="A1309" s="45">
        <v>131.0</v>
      </c>
      <c r="B1309" s="10" t="s">
        <v>594</v>
      </c>
      <c r="C1309" s="26" t="s">
        <v>7182</v>
      </c>
      <c r="D1309" s="10" t="s">
        <v>8802</v>
      </c>
      <c r="E1309" s="48" t="s">
        <v>8087</v>
      </c>
      <c r="F1309" s="57" t="s">
        <v>7173</v>
      </c>
      <c r="G1309" s="49">
        <f t="array" ref="G1309">MAX(IF(INSTOCK!$H$3:$H$6125=B1309,INSTOCK!$K$3:$K$6125))</f>
        <v>370.5</v>
      </c>
      <c r="H1309" s="50">
        <f t="array" ref="H1309">SUM(IF(INSTOCK!$H$3:$H$6125=B1309,INSTOCK!$I$3:$I$6125))</f>
        <v>437</v>
      </c>
      <c r="I1309" s="50" t="str">
        <f>ARRAY_CONSTRAIN(ARRAYFORMULA(SUM(IF([3]!Table13[ID]=B1309,[3]!Table13[QTY]))), 1, 1)</f>
        <v>#ERROR!</v>
      </c>
      <c r="J1309" s="50" t="str">
        <f>TABLEITEM!$H$3:$H$2749-TABLEITEM!$I$3:$I$2749</f>
        <v>#ERROR!</v>
      </c>
    </row>
    <row r="1310" ht="15.75" customHeight="1">
      <c r="A1310" s="45">
        <v>129.0</v>
      </c>
      <c r="B1310" s="10" t="s">
        <v>591</v>
      </c>
      <c r="C1310" s="26" t="s">
        <v>7182</v>
      </c>
      <c r="D1310" s="10" t="s">
        <v>8803</v>
      </c>
      <c r="E1310" s="48" t="s">
        <v>8087</v>
      </c>
      <c r="F1310" s="57" t="s">
        <v>7173</v>
      </c>
      <c r="G1310" s="49">
        <f t="array" ref="G1310">MAX(IF(INSTOCK!$H$3:$H$6125=B1310,INSTOCK!$K$3:$K$6125))</f>
        <v>188.5</v>
      </c>
      <c r="H1310" s="50">
        <f t="array" ref="H1310">SUM(IF(INSTOCK!$H$3:$H$6125=B1310,INSTOCK!$I$3:$I$6125))</f>
        <v>474</v>
      </c>
      <c r="I1310" s="50" t="str">
        <f>ARRAY_CONSTRAIN(ARRAYFORMULA(SUM(IF([3]!Table13[ID]=B1310,[3]!Table13[QTY]))), 1, 1)</f>
        <v>#ERROR!</v>
      </c>
      <c r="J1310" s="50" t="str">
        <f>TABLEITEM!$H$3:$H$2749-TABLEITEM!$I$3:$I$2749</f>
        <v>#ERROR!</v>
      </c>
    </row>
    <row r="1311" ht="15.75" customHeight="1">
      <c r="A1311" s="45">
        <v>586.0</v>
      </c>
      <c r="B1311" s="10" t="s">
        <v>658</v>
      </c>
      <c r="C1311" s="26" t="s">
        <v>7182</v>
      </c>
      <c r="D1311" s="10" t="s">
        <v>8804</v>
      </c>
      <c r="E1311" s="48" t="s">
        <v>8087</v>
      </c>
      <c r="F1311" s="57" t="s">
        <v>7173</v>
      </c>
      <c r="G1311" s="49">
        <f t="array" ref="G1311">MAX(IF(INSTOCK!$H$3:$H$6125=B1311,INSTOCK!$K$3:$K$6125))</f>
        <v>97.5</v>
      </c>
      <c r="H1311" s="50">
        <f t="array" ref="H1311">SUM(IF(INSTOCK!$H$3:$H$6125=B1311,INSTOCK!$I$3:$I$6125))</f>
        <v>100</v>
      </c>
      <c r="I1311" s="50" t="str">
        <f>ARRAY_CONSTRAIN(ARRAYFORMULA(SUM(IF([3]!Table13[ID]=B1311,[3]!Table13[QTY]))), 1, 1)</f>
        <v>#ERROR!</v>
      </c>
      <c r="J1311" s="50" t="str">
        <f>TABLEITEM!$H$3:$H$2749-TABLEITEM!$I$3:$I$2749</f>
        <v>#ERROR!</v>
      </c>
    </row>
    <row r="1312" ht="15.75" customHeight="1">
      <c r="A1312" s="45">
        <v>130.0</v>
      </c>
      <c r="B1312" s="10" t="s">
        <v>592</v>
      </c>
      <c r="C1312" s="26" t="s">
        <v>7182</v>
      </c>
      <c r="D1312" s="10" t="s">
        <v>8805</v>
      </c>
      <c r="E1312" s="48" t="s">
        <v>8087</v>
      </c>
      <c r="F1312" s="57" t="s">
        <v>7173</v>
      </c>
      <c r="G1312" s="49">
        <f t="array" ref="G1312">MAX(IF(INSTOCK!$H$3:$H$6125=B1312,INSTOCK!$K$3:$K$6125))</f>
        <v>370.5</v>
      </c>
      <c r="H1312" s="50">
        <f t="array" ref="H1312">SUM(IF(INSTOCK!$H$3:$H$6125=B1312,INSTOCK!$I$3:$I$6125))</f>
        <v>1298</v>
      </c>
      <c r="I1312" s="50" t="str">
        <f>ARRAY_CONSTRAIN(ARRAYFORMULA(SUM(IF([3]!Table13[ID]=B1312,[3]!Table13[QTY]))), 1, 1)</f>
        <v>#ERROR!</v>
      </c>
      <c r="J1312" s="50" t="str">
        <f>TABLEITEM!$H$3:$H$2749-TABLEITEM!$I$3:$I$2749</f>
        <v>#ERROR!</v>
      </c>
    </row>
    <row r="1313" ht="15.75" customHeight="1">
      <c r="A1313" s="45">
        <v>128.0</v>
      </c>
      <c r="B1313" s="10" t="s">
        <v>590</v>
      </c>
      <c r="C1313" s="26" t="s">
        <v>7182</v>
      </c>
      <c r="D1313" s="10" t="s">
        <v>8806</v>
      </c>
      <c r="E1313" s="48" t="s">
        <v>8087</v>
      </c>
      <c r="F1313" s="57" t="s">
        <v>7173</v>
      </c>
      <c r="G1313" s="49">
        <f t="array" ref="G1313">MAX(IF(INSTOCK!$H$3:$H$6125=B1313,INSTOCK!$K$3:$K$6125))</f>
        <v>188.5</v>
      </c>
      <c r="H1313" s="50">
        <f t="array" ref="H1313">SUM(IF(INSTOCK!$H$3:$H$6125=B1313,INSTOCK!$I$3:$I$6125))</f>
        <v>3018</v>
      </c>
      <c r="I1313" s="50" t="str">
        <f>ARRAY_CONSTRAIN(ARRAYFORMULA(SUM(IF([3]!Table13[ID]=B1313,[3]!Table13[QTY]))), 1, 1)</f>
        <v>#ERROR!</v>
      </c>
      <c r="J1313" s="50" t="str">
        <f>TABLEITEM!$H$3:$H$2749-TABLEITEM!$I$3:$I$2749</f>
        <v>#ERROR!</v>
      </c>
    </row>
    <row r="1314" ht="15.75" customHeight="1">
      <c r="A1314" s="45">
        <v>585.0</v>
      </c>
      <c r="B1314" s="10" t="s">
        <v>656</v>
      </c>
      <c r="C1314" s="26" t="s">
        <v>7182</v>
      </c>
      <c r="D1314" s="10" t="s">
        <v>8807</v>
      </c>
      <c r="E1314" s="48" t="s">
        <v>8087</v>
      </c>
      <c r="F1314" s="57" t="s">
        <v>7173</v>
      </c>
      <c r="G1314" s="49">
        <f t="array" ref="G1314">MAX(IF(INSTOCK!$H$3:$H$6125=B1314,INSTOCK!$K$3:$K$6125))</f>
        <v>97.5</v>
      </c>
      <c r="H1314" s="50">
        <f t="array" ref="H1314">SUM(IF(INSTOCK!$H$3:$H$6125=B1314,INSTOCK!$I$3:$I$6125))</f>
        <v>100</v>
      </c>
      <c r="I1314" s="50" t="str">
        <f>ARRAY_CONSTRAIN(ARRAYFORMULA(SUM(IF([3]!Table13[ID]=B1314,[3]!Table13[QTY]))), 1, 1)</f>
        <v>#ERROR!</v>
      </c>
      <c r="J1314" s="50" t="str">
        <f>TABLEITEM!$H$3:$H$2749-TABLEITEM!$I$3:$I$2749</f>
        <v>#ERROR!</v>
      </c>
    </row>
    <row r="1315" ht="15.75" customHeight="1">
      <c r="A1315" s="45"/>
      <c r="B1315" s="10" t="s">
        <v>2112</v>
      </c>
      <c r="C1315" s="26"/>
      <c r="D1315" s="10" t="s">
        <v>8808</v>
      </c>
      <c r="E1315" s="48"/>
      <c r="F1315" s="57" t="s">
        <v>7173</v>
      </c>
      <c r="G1315" s="49">
        <f t="array" ref="G1315">MAX(IF(INSTOCK!$H$3:$H$6125=B1315,INSTOCK!$K$3:$K$6125))</f>
        <v>255000</v>
      </c>
      <c r="H1315" s="50">
        <f t="array" ref="H1315">SUM(IF(INSTOCK!$H$3:$H$6125=B1315,INSTOCK!$I$3:$I$6125))</f>
        <v>1</v>
      </c>
      <c r="I1315" s="50" t="str">
        <f>ARRAY_CONSTRAIN(ARRAYFORMULA(SUM(IF([3]!Table13[ID]=B1315,[3]!Table13[QTY]))), 1, 1)</f>
        <v>#ERROR!</v>
      </c>
      <c r="J1315" s="50" t="str">
        <f>TABLEITEM!$H$3:$H$2749-TABLEITEM!$I$3:$I$2749</f>
        <v>#ERROR!</v>
      </c>
    </row>
    <row r="1316" ht="15.75" customHeight="1">
      <c r="A1316" s="45"/>
      <c r="B1316" s="10" t="s">
        <v>2113</v>
      </c>
      <c r="C1316" s="26"/>
      <c r="D1316" s="10" t="s">
        <v>8808</v>
      </c>
      <c r="E1316" s="48"/>
      <c r="F1316" s="57" t="s">
        <v>7173</v>
      </c>
      <c r="G1316" s="49">
        <f t="array" ref="G1316">MAX(IF(INSTOCK!$H$3:$H$6125=B1316,INSTOCK!$K$3:$K$6125))</f>
        <v>180000</v>
      </c>
      <c r="H1316" s="50">
        <f t="array" ref="H1316">SUM(IF(INSTOCK!$H$3:$H$6125=B1316,INSTOCK!$I$3:$I$6125))</f>
        <v>1</v>
      </c>
      <c r="I1316" s="50" t="str">
        <f>ARRAY_CONSTRAIN(ARRAYFORMULA(SUM(IF([3]!Table13[ID]=B1316,[3]!Table13[QTY]))), 1, 1)</f>
        <v>#ERROR!</v>
      </c>
      <c r="J1316" s="50" t="str">
        <f>TABLEITEM!$H$3:$H$2749-TABLEITEM!$I$3:$I$2749</f>
        <v>#ERROR!</v>
      </c>
    </row>
    <row r="1317" ht="15.75" customHeight="1">
      <c r="A1317" s="45"/>
      <c r="B1317" s="10" t="s">
        <v>3319</v>
      </c>
      <c r="C1317" s="26"/>
      <c r="D1317" s="10" t="s">
        <v>8809</v>
      </c>
      <c r="E1317" s="48" t="s">
        <v>2589</v>
      </c>
      <c r="F1317" s="48" t="s">
        <v>7173</v>
      </c>
      <c r="G1317" s="49">
        <f t="array" ref="G1317">MAX(IF(INSTOCK!$H$3:$H$6125=B1317,INSTOCK!$K$3:$K$6125))</f>
        <v>480</v>
      </c>
      <c r="H1317" s="50">
        <f t="array" ref="H1317">SUM(IF(INSTOCK!$H$3:$H$6125=B1317,INSTOCK!$I$3:$I$6125))</f>
        <v>9</v>
      </c>
      <c r="I1317" s="50" t="str">
        <f>ARRAY_CONSTRAIN(ARRAYFORMULA(SUM(IF([3]!Table13[ID]=B1317,[3]!Table13[QTY]))), 1, 1)</f>
        <v>#ERROR!</v>
      </c>
      <c r="J1317" s="50" t="str">
        <f>TABLEITEM!$H$3:$H$2749-TABLEITEM!$I$3:$I$2749</f>
        <v>#ERROR!</v>
      </c>
    </row>
    <row r="1318" ht="15.75" customHeight="1">
      <c r="A1318" s="45"/>
      <c r="B1318" s="10" t="s">
        <v>3320</v>
      </c>
      <c r="C1318" s="26"/>
      <c r="D1318" s="10" t="s">
        <v>8810</v>
      </c>
      <c r="E1318" s="48" t="s">
        <v>2589</v>
      </c>
      <c r="F1318" s="48" t="s">
        <v>7173</v>
      </c>
      <c r="G1318" s="49">
        <f t="array" ref="G1318">MAX(IF(INSTOCK!$H$3:$H$6125=B1318,INSTOCK!$K$3:$K$6125))</f>
        <v>480</v>
      </c>
      <c r="H1318" s="50">
        <f t="array" ref="H1318">SUM(IF(INSTOCK!$H$3:$H$6125=B1318,INSTOCK!$I$3:$I$6125))</f>
        <v>3</v>
      </c>
      <c r="I1318" s="50" t="str">
        <f>ARRAY_CONSTRAIN(ARRAYFORMULA(SUM(IF([3]!Table13[ID]=B1318,[3]!Table13[QTY]))), 1, 1)</f>
        <v>#ERROR!</v>
      </c>
      <c r="J1318" s="50" t="str">
        <f>TABLEITEM!$H$3:$H$2749-TABLEITEM!$I$3:$I$2749</f>
        <v>#ERROR!</v>
      </c>
    </row>
    <row r="1319" ht="15.75" customHeight="1">
      <c r="A1319" s="45">
        <v>319.0</v>
      </c>
      <c r="B1319" s="10" t="s">
        <v>200</v>
      </c>
      <c r="C1319" s="26"/>
      <c r="D1319" s="10" t="s">
        <v>8811</v>
      </c>
      <c r="E1319" s="48" t="s">
        <v>8787</v>
      </c>
      <c r="F1319" s="57" t="s">
        <v>7173</v>
      </c>
      <c r="G1319" s="49">
        <f t="array" ref="G1319">MAX(IF(INSTOCK!$H$3:$H$6125=B1319,INSTOCK!$K$3:$K$6125))</f>
        <v>16</v>
      </c>
      <c r="H1319" s="50">
        <f t="array" ref="H1319">SUM(IF(INSTOCK!$H$3:$H$6125=B1319,INSTOCK!$I$3:$I$6125))</f>
        <v>3050</v>
      </c>
      <c r="I1319" s="50" t="str">
        <f>ARRAY_CONSTRAIN(ARRAYFORMULA(SUM(IF([3]!Table13[ID]=B1319,[3]!Table13[QTY]))), 1, 1)</f>
        <v>#ERROR!</v>
      </c>
      <c r="J1319" s="50" t="str">
        <f>TABLEITEM!$H$3:$H$2749-TABLEITEM!$I$3:$I$2749</f>
        <v>#ERROR!</v>
      </c>
    </row>
    <row r="1320" ht="15.75" customHeight="1">
      <c r="A1320" s="45"/>
      <c r="B1320" s="10" t="s">
        <v>3097</v>
      </c>
      <c r="C1320" s="26"/>
      <c r="D1320" s="10" t="s">
        <v>8812</v>
      </c>
      <c r="E1320" s="48" t="s">
        <v>1487</v>
      </c>
      <c r="F1320" s="57" t="s">
        <v>7173</v>
      </c>
      <c r="G1320" s="49">
        <f t="array" ref="G1320">MAX(IF(INSTOCK!$H$3:$H$6125=B1320,INSTOCK!$K$3:$K$6125))</f>
        <v>1320</v>
      </c>
      <c r="H1320" s="50">
        <f t="array" ref="H1320">SUM(IF(INSTOCK!$H$3:$H$6125=B1320,INSTOCK!$I$3:$I$6125))</f>
        <v>1</v>
      </c>
      <c r="I1320" s="50" t="str">
        <f>ARRAY_CONSTRAIN(ARRAYFORMULA(SUM(IF([3]!Table13[ID]=B1320,[3]!Table13[QTY]))), 1, 1)</f>
        <v>#ERROR!</v>
      </c>
      <c r="J1320" s="50" t="str">
        <f>TABLEITEM!$H$3:$H$2749-TABLEITEM!$I$3:$I$2749</f>
        <v>#ERROR!</v>
      </c>
    </row>
    <row r="1321" ht="15.75" customHeight="1">
      <c r="A1321" s="45"/>
      <c r="B1321" s="10" t="s">
        <v>1713</v>
      </c>
      <c r="C1321" s="26"/>
      <c r="D1321" s="10" t="s">
        <v>8813</v>
      </c>
      <c r="E1321" s="48"/>
      <c r="F1321" s="57" t="s">
        <v>7173</v>
      </c>
      <c r="G1321" s="49">
        <f t="array" ref="G1321">MAX(IF(INSTOCK!$H$3:$H$6125=B1321,INSTOCK!$K$3:$K$6125))</f>
        <v>1695</v>
      </c>
      <c r="H1321" s="50">
        <f t="array" ref="H1321">SUM(IF(INSTOCK!$H$3:$H$6125=B1321,INSTOCK!$I$3:$I$6125))</f>
        <v>3</v>
      </c>
      <c r="I1321" s="50" t="str">
        <f>ARRAY_CONSTRAIN(ARRAYFORMULA(SUM(IF([3]!Table13[ID]=B1321,[3]!Table13[QTY]))), 1, 1)</f>
        <v>#ERROR!</v>
      </c>
      <c r="J1321" s="50" t="str">
        <f>TABLEITEM!$H$3:$H$2749-TABLEITEM!$I$3:$I$2749</f>
        <v>#ERROR!</v>
      </c>
    </row>
    <row r="1322" ht="15.75" customHeight="1">
      <c r="A1322" s="45"/>
      <c r="B1322" s="10" t="s">
        <v>1785</v>
      </c>
      <c r="C1322" s="26"/>
      <c r="D1322" s="10" t="s">
        <v>8814</v>
      </c>
      <c r="E1322" s="48"/>
      <c r="F1322" s="57" t="s">
        <v>7173</v>
      </c>
      <c r="G1322" s="49">
        <f t="array" ref="G1322">MAX(IF(INSTOCK!$H$3:$H$6125=B1322,INSTOCK!$K$3:$K$6125))</f>
        <v>995</v>
      </c>
      <c r="H1322" s="50">
        <f t="array" ref="H1322">SUM(IF(INSTOCK!$H$3:$H$6125=B1322,INSTOCK!$I$3:$I$6125))</f>
        <v>8</v>
      </c>
      <c r="I1322" s="50" t="str">
        <f>ARRAY_CONSTRAIN(ARRAYFORMULA(SUM(IF([3]!Table13[ID]=B1322,[3]!Table13[QTY]))), 1, 1)</f>
        <v>#ERROR!</v>
      </c>
      <c r="J1322" s="50" t="str">
        <f>TABLEITEM!$H$3:$H$2749-TABLEITEM!$I$3:$I$2749</f>
        <v>#ERROR!</v>
      </c>
    </row>
    <row r="1323" ht="15.75" customHeight="1">
      <c r="A1323" s="45"/>
      <c r="B1323" s="10" t="s">
        <v>59</v>
      </c>
      <c r="C1323" s="26"/>
      <c r="D1323" s="10" t="s">
        <v>59</v>
      </c>
      <c r="E1323" s="48"/>
      <c r="F1323" s="57" t="s">
        <v>7445</v>
      </c>
      <c r="G1323" s="49">
        <f t="array" ref="G1323">MAX(IF(INSTOCK!$H$3:$H$6125=B1323,INSTOCK!$K$3:$K$6125))</f>
        <v>105</v>
      </c>
      <c r="H1323" s="50">
        <f t="array" ref="H1323">SUM(IF(INSTOCK!$H$3:$H$6125=B1323,INSTOCK!$I$3:$I$6125))</f>
        <v>56</v>
      </c>
      <c r="I1323" s="50" t="str">
        <f>ARRAY_CONSTRAIN(ARRAYFORMULA(SUM(IF([3]!Table13[ID]=B1323,[3]!Table13[QTY]))), 1, 1)</f>
        <v>#ERROR!</v>
      </c>
      <c r="J1323" s="50" t="str">
        <f>TABLEITEM!$H$3:$H$2749-TABLEITEM!$I$3:$I$2749</f>
        <v>#ERROR!</v>
      </c>
    </row>
    <row r="1324" ht="15.75" customHeight="1">
      <c r="A1324" s="45"/>
      <c r="B1324" s="10" t="s">
        <v>1733</v>
      </c>
      <c r="C1324" s="26"/>
      <c r="D1324" s="10" t="s">
        <v>8815</v>
      </c>
      <c r="E1324" s="48" t="s">
        <v>2231</v>
      </c>
      <c r="F1324" s="57" t="s">
        <v>7173</v>
      </c>
      <c r="G1324" s="49">
        <f t="array" ref="G1324">MAX(IF(INSTOCK!$H$3:$H$6125=B1324,INSTOCK!$K$3:$K$6125))</f>
        <v>73.5</v>
      </c>
      <c r="H1324" s="50">
        <f t="array" ref="H1324">SUM(IF(INSTOCK!$H$3:$H$6125=B1324,INSTOCK!$I$3:$I$6125))</f>
        <v>10</v>
      </c>
      <c r="I1324" s="50" t="str">
        <f>ARRAY_CONSTRAIN(ARRAYFORMULA(SUM(IF([3]!Table13[ID]=B1324,[3]!Table13[QTY]))), 1, 1)</f>
        <v>#ERROR!</v>
      </c>
      <c r="J1324" s="50" t="str">
        <f>TABLEITEM!$H$3:$H$2749-TABLEITEM!$I$3:$I$2749</f>
        <v>#ERROR!</v>
      </c>
    </row>
    <row r="1325" ht="15.75" customHeight="1">
      <c r="A1325" s="45"/>
      <c r="B1325" s="10" t="s">
        <v>1832</v>
      </c>
      <c r="C1325" s="26"/>
      <c r="D1325" s="10" t="s">
        <v>8816</v>
      </c>
      <c r="E1325" s="48" t="s">
        <v>2231</v>
      </c>
      <c r="F1325" s="57" t="s">
        <v>7173</v>
      </c>
      <c r="G1325" s="49">
        <f t="array" ref="G1325">MAX(IF(INSTOCK!$H$3:$H$6125=B1325,INSTOCK!$K$3:$K$6125))</f>
        <v>107.8</v>
      </c>
      <c r="H1325" s="50">
        <f t="array" ref="H1325">SUM(IF(INSTOCK!$H$3:$H$6125=B1325,INSTOCK!$I$3:$I$6125))</f>
        <v>308</v>
      </c>
      <c r="I1325" s="50" t="str">
        <f>ARRAY_CONSTRAIN(ARRAYFORMULA(SUM(IF([3]!Table13[ID]=B1325,[3]!Table13[QTY]))), 1, 1)</f>
        <v>#ERROR!</v>
      </c>
      <c r="J1325" s="50" t="str">
        <f>TABLEITEM!$H$3:$H$2749-TABLEITEM!$I$3:$I$2749</f>
        <v>#ERROR!</v>
      </c>
    </row>
    <row r="1326" ht="15.75" customHeight="1">
      <c r="A1326" s="45"/>
      <c r="B1326" s="10" t="s">
        <v>1555</v>
      </c>
      <c r="C1326" s="26"/>
      <c r="D1326" s="10" t="s">
        <v>8817</v>
      </c>
      <c r="E1326" s="48" t="s">
        <v>2231</v>
      </c>
      <c r="F1326" s="57" t="s">
        <v>7173</v>
      </c>
      <c r="G1326" s="49">
        <f t="array" ref="G1326">MAX(IF(INSTOCK!$H$3:$H$6125=B1326,INSTOCK!$K$3:$K$6125))</f>
        <v>42</v>
      </c>
      <c r="H1326" s="50">
        <f t="array" ref="H1326">SUM(IF(INSTOCK!$H$3:$H$6125=B1326,INSTOCK!$I$3:$I$6125))</f>
        <v>230</v>
      </c>
      <c r="I1326" s="50" t="str">
        <f>ARRAY_CONSTRAIN(ARRAYFORMULA(SUM(IF([3]!Table13[ID]=B1326,[3]!Table13[QTY]))), 1, 1)</f>
        <v>#ERROR!</v>
      </c>
      <c r="J1326" s="50" t="str">
        <f>TABLEITEM!$H$3:$H$2749-TABLEITEM!$I$3:$I$2749</f>
        <v>#ERROR!</v>
      </c>
    </row>
    <row r="1327" ht="15.75" customHeight="1">
      <c r="A1327" s="45"/>
      <c r="B1327" s="10" t="s">
        <v>2179</v>
      </c>
      <c r="C1327" s="26"/>
      <c r="D1327" s="10" t="s">
        <v>8818</v>
      </c>
      <c r="E1327" s="48" t="s">
        <v>2231</v>
      </c>
      <c r="F1327" s="57" t="s">
        <v>7173</v>
      </c>
      <c r="G1327" s="49">
        <f t="array" ref="G1327">MAX(IF(INSTOCK!$H$3:$H$6125=B1327,INSTOCK!$K$3:$K$6125))</f>
        <v>156.8</v>
      </c>
      <c r="H1327" s="50">
        <f t="array" ref="H1327">SUM(IF(INSTOCK!$H$3:$H$6125=B1327,INSTOCK!$I$3:$I$6125))</f>
        <v>31</v>
      </c>
      <c r="I1327" s="50" t="str">
        <f>ARRAY_CONSTRAIN(ARRAYFORMULA(SUM(IF([3]!Table13[ID]=B1327,[3]!Table13[QTY]))), 1, 1)</f>
        <v>#ERROR!</v>
      </c>
      <c r="J1327" s="50" t="str">
        <f>TABLEITEM!$H$3:$H$2749-TABLEITEM!$I$3:$I$2749</f>
        <v>#ERROR!</v>
      </c>
    </row>
    <row r="1328" ht="15.75" customHeight="1">
      <c r="A1328" s="45"/>
      <c r="B1328" s="10" t="s">
        <v>1834</v>
      </c>
      <c r="C1328" s="26"/>
      <c r="D1328" s="10" t="s">
        <v>8819</v>
      </c>
      <c r="E1328" s="48" t="s">
        <v>2231</v>
      </c>
      <c r="F1328" s="57" t="s">
        <v>7173</v>
      </c>
      <c r="G1328" s="49">
        <f t="array" ref="G1328">MAX(IF(INSTOCK!$H$3:$H$6125=B1328,INSTOCK!$K$3:$K$6125))</f>
        <v>57.82</v>
      </c>
      <c r="H1328" s="50">
        <f t="array" ref="H1328">SUM(IF(INSTOCK!$H$3:$H$6125=B1328,INSTOCK!$I$3:$I$6125))</f>
        <v>98</v>
      </c>
      <c r="I1328" s="50" t="str">
        <f>ARRAY_CONSTRAIN(ARRAYFORMULA(SUM(IF([3]!Table13[ID]=B1328,[3]!Table13[QTY]))), 1, 1)</f>
        <v>#ERROR!</v>
      </c>
      <c r="J1328" s="50" t="str">
        <f>TABLEITEM!$H$3:$H$2749-TABLEITEM!$I$3:$I$2749</f>
        <v>#ERROR!</v>
      </c>
    </row>
    <row r="1329" ht="15.75" customHeight="1">
      <c r="A1329" s="45"/>
      <c r="B1329" s="10" t="s">
        <v>1737</v>
      </c>
      <c r="C1329" s="26"/>
      <c r="D1329" s="10" t="s">
        <v>8820</v>
      </c>
      <c r="E1329" s="48" t="s">
        <v>2231</v>
      </c>
      <c r="F1329" s="57" t="s">
        <v>7173</v>
      </c>
      <c r="G1329" s="49">
        <f t="array" ref="G1329">MAX(IF(INSTOCK!$H$3:$H$6125=B1329,INSTOCK!$K$3:$K$6125))</f>
        <v>163.66</v>
      </c>
      <c r="H1329" s="50">
        <f t="array" ref="H1329">SUM(IF(INSTOCK!$H$3:$H$6125=B1329,INSTOCK!$I$3:$I$6125))</f>
        <v>80</v>
      </c>
      <c r="I1329" s="50" t="str">
        <f>ARRAY_CONSTRAIN(ARRAYFORMULA(SUM(IF([3]!Table13[ID]=B1329,[3]!Table13[QTY]))), 1, 1)</f>
        <v>#ERROR!</v>
      </c>
      <c r="J1329" s="50" t="str">
        <f>TABLEITEM!$H$3:$H$2749-TABLEITEM!$I$3:$I$2749</f>
        <v>#ERROR!</v>
      </c>
    </row>
    <row r="1330" ht="15.75" customHeight="1">
      <c r="A1330" s="45"/>
      <c r="B1330" s="10" t="s">
        <v>1556</v>
      </c>
      <c r="C1330" s="26"/>
      <c r="D1330" s="10" t="s">
        <v>8821</v>
      </c>
      <c r="E1330" s="48" t="s">
        <v>2231</v>
      </c>
      <c r="F1330" s="57" t="s">
        <v>7173</v>
      </c>
      <c r="G1330" s="49">
        <f t="array" ref="G1330">MAX(IF(INSTOCK!$H$3:$H$6125=B1330,INSTOCK!$K$3:$K$6125))</f>
        <v>185</v>
      </c>
      <c r="H1330" s="50">
        <f t="array" ref="H1330">SUM(IF(INSTOCK!$H$3:$H$6125=B1330,INSTOCK!$I$3:$I$6125))</f>
        <v>9</v>
      </c>
      <c r="I1330" s="50" t="str">
        <f>ARRAY_CONSTRAIN(ARRAYFORMULA(SUM(IF([3]!Table13[ID]=B1330,[3]!Table13[QTY]))), 1, 1)</f>
        <v>#ERROR!</v>
      </c>
      <c r="J1330" s="50" t="str">
        <f>TABLEITEM!$H$3:$H$2749-TABLEITEM!$I$3:$I$2749</f>
        <v>#ERROR!</v>
      </c>
    </row>
    <row r="1331" ht="15.75" customHeight="1">
      <c r="A1331" s="45"/>
      <c r="B1331" s="10" t="s">
        <v>2682</v>
      </c>
      <c r="C1331" s="26"/>
      <c r="D1331" s="10" t="s">
        <v>8822</v>
      </c>
      <c r="E1331" s="48" t="s">
        <v>8360</v>
      </c>
      <c r="F1331" s="48" t="s">
        <v>7173</v>
      </c>
      <c r="G1331" s="49">
        <f t="array" ref="G1331">MAX(IF(INSTOCK!$H$3:$H$6125=B1331,INSTOCK!$K$3:$K$6125))</f>
        <v>460</v>
      </c>
      <c r="H1331" s="50">
        <f t="array" ref="H1331">SUM(IF(INSTOCK!$H$3:$H$6125=B1331,INSTOCK!$I$3:$I$6125))</f>
        <v>10</v>
      </c>
      <c r="I1331" s="50" t="str">
        <f>ARRAY_CONSTRAIN(ARRAYFORMULA(SUM(IF([3]!Table13[ID]=B1331,[3]!Table13[QTY]))), 1, 1)</f>
        <v>#ERROR!</v>
      </c>
      <c r="J1331" s="50" t="str">
        <f>TABLEITEM!$H$3:$H$2749-TABLEITEM!$I$3:$I$2749</f>
        <v>#ERROR!</v>
      </c>
    </row>
    <row r="1332" ht="15.75" customHeight="1">
      <c r="A1332" s="45"/>
      <c r="B1332" s="10" t="s">
        <v>1743</v>
      </c>
      <c r="C1332" s="26"/>
      <c r="D1332" s="10" t="s">
        <v>8823</v>
      </c>
      <c r="E1332" s="48" t="s">
        <v>1487</v>
      </c>
      <c r="F1332" s="57" t="s">
        <v>7173</v>
      </c>
      <c r="G1332" s="49">
        <f t="array" ref="G1332">MAX(IF(INSTOCK!$H$3:$H$6125=B1332,INSTOCK!$K$3:$K$6125))</f>
        <v>70.4</v>
      </c>
      <c r="H1332" s="50">
        <f t="array" ref="H1332">SUM(IF(INSTOCK!$H$3:$H$6125=B1332,INSTOCK!$I$3:$I$6125))</f>
        <v>81</v>
      </c>
      <c r="I1332" s="50" t="str">
        <f>ARRAY_CONSTRAIN(ARRAYFORMULA(SUM(IF([3]!Table13[ID]=B1332,[3]!Table13[QTY]))), 1, 1)</f>
        <v>#ERROR!</v>
      </c>
      <c r="J1332" s="50" t="str">
        <f>TABLEITEM!$H$3:$H$2749-TABLEITEM!$I$3:$I$2749</f>
        <v>#ERROR!</v>
      </c>
    </row>
    <row r="1333" ht="15.75" customHeight="1">
      <c r="A1333" s="45"/>
      <c r="B1333" s="10" t="s">
        <v>3049</v>
      </c>
      <c r="C1333" s="26"/>
      <c r="D1333" s="10" t="s">
        <v>8824</v>
      </c>
      <c r="E1333" s="48"/>
      <c r="F1333" s="57"/>
      <c r="G1333" s="49">
        <f t="array" ref="G1333">MAX(IF(INSTOCK!$H$3:$H$6125=B1333,INSTOCK!$K$3:$K$6125))</f>
        <v>30</v>
      </c>
      <c r="H1333" s="50">
        <f t="array" ref="H1333">SUM(IF(INSTOCK!$H$3:$H$6125=B1333,INSTOCK!$I$3:$I$6125))</f>
        <v>50</v>
      </c>
      <c r="I1333" s="50" t="str">
        <f>ARRAY_CONSTRAIN(ARRAYFORMULA(SUM(IF([3]!Table13[ID]=B1333,[3]!Table13[QTY]))), 1, 1)</f>
        <v>#ERROR!</v>
      </c>
      <c r="J1333" s="50" t="str">
        <f>TABLEITEM!$H$3:$H$2749-TABLEITEM!$I$3:$I$2749</f>
        <v>#ERROR!</v>
      </c>
    </row>
    <row r="1334" ht="15.75" customHeight="1">
      <c r="A1334" s="45"/>
      <c r="B1334" s="10" t="s">
        <v>1771</v>
      </c>
      <c r="C1334" s="26"/>
      <c r="D1334" s="10" t="s">
        <v>8825</v>
      </c>
      <c r="E1334" s="48" t="s">
        <v>1504</v>
      </c>
      <c r="F1334" s="57" t="s">
        <v>7173</v>
      </c>
      <c r="G1334" s="49">
        <f t="array" ref="G1334">MAX(IF(INSTOCK!$H$3:$H$6125=B1334,INSTOCK!$K$3:$K$6125))</f>
        <v>850.5</v>
      </c>
      <c r="H1334" s="50">
        <f t="array" ref="H1334">SUM(IF(INSTOCK!$H$3:$H$6125=B1334,INSTOCK!$I$3:$I$6125))</f>
        <v>13</v>
      </c>
      <c r="I1334" s="50" t="str">
        <f>ARRAY_CONSTRAIN(ARRAYFORMULA(SUM(IF([3]!Table13[ID]=B1334,[3]!Table13[QTY]))), 1, 1)</f>
        <v>#ERROR!</v>
      </c>
      <c r="J1334" s="50" t="str">
        <f>TABLEITEM!$H$3:$H$2749-TABLEITEM!$I$3:$I$2749</f>
        <v>#ERROR!</v>
      </c>
    </row>
    <row r="1335" ht="15.75" customHeight="1">
      <c r="A1335" s="45"/>
      <c r="B1335" s="10" t="s">
        <v>1868</v>
      </c>
      <c r="C1335" s="26"/>
      <c r="D1335" s="10" t="s">
        <v>8826</v>
      </c>
      <c r="E1335" s="48" t="s">
        <v>8752</v>
      </c>
      <c r="F1335" s="57" t="s">
        <v>8651</v>
      </c>
      <c r="G1335" s="49">
        <f t="array" ref="G1335">MAX(IF(INSTOCK!$H$3:$H$6125=B1335,INSTOCK!$K$3:$K$6125))</f>
        <v>42384</v>
      </c>
      <c r="H1335" s="50">
        <f t="array" ref="H1335">SUM(IF(INSTOCK!$H$3:$H$6125=B1335,INSTOCK!$I$3:$I$6125))</f>
        <v>3</v>
      </c>
      <c r="I1335" s="50" t="str">
        <f>ARRAY_CONSTRAIN(ARRAYFORMULA(SUM(IF([3]!Table13[ID]=B1335,[3]!Table13[QTY]))), 1, 1)</f>
        <v>#ERROR!</v>
      </c>
      <c r="J1335" s="50" t="str">
        <f>TABLEITEM!$H$3:$H$2749-TABLEITEM!$I$3:$I$2749</f>
        <v>#ERROR!</v>
      </c>
    </row>
    <row r="1336" ht="15.75" customHeight="1">
      <c r="A1336" s="45"/>
      <c r="B1336" s="10" t="s">
        <v>2149</v>
      </c>
      <c r="C1336" s="26"/>
      <c r="D1336" s="10" t="s">
        <v>8827</v>
      </c>
      <c r="E1336" s="48"/>
      <c r="F1336" s="57" t="s">
        <v>8651</v>
      </c>
      <c r="G1336" s="49">
        <f t="array" ref="G1336">MAX(IF(INSTOCK!$H$3:$H$6125=B1336,INSTOCK!$K$3:$K$6125))</f>
        <v>1800</v>
      </c>
      <c r="H1336" s="50">
        <f t="array" ref="H1336">SUM(IF(INSTOCK!$H$3:$H$6125=B1336,INSTOCK!$I$3:$I$6125))</f>
        <v>1</v>
      </c>
      <c r="I1336" s="50" t="str">
        <f>ARRAY_CONSTRAIN(ARRAYFORMULA(SUM(IF([3]!Table13[ID]=B1336,[3]!Table13[QTY]))), 1, 1)</f>
        <v>#ERROR!</v>
      </c>
      <c r="J1336" s="50" t="str">
        <f>TABLEITEM!$H$3:$H$2749-TABLEITEM!$I$3:$I$2749</f>
        <v>#ERROR!</v>
      </c>
    </row>
    <row r="1337" ht="15.75" customHeight="1">
      <c r="A1337" s="45"/>
      <c r="B1337" s="10" t="s">
        <v>2461</v>
      </c>
      <c r="C1337" s="26"/>
      <c r="D1337" s="10" t="s">
        <v>2461</v>
      </c>
      <c r="E1337" s="48" t="s">
        <v>2460</v>
      </c>
      <c r="F1337" s="57" t="s">
        <v>8651</v>
      </c>
      <c r="G1337" s="49">
        <f t="array" ref="G1337">MAX(IF(INSTOCK!$H$3:$H$6125=B1337,INSTOCK!$K$3:$K$6125))</f>
        <v>800</v>
      </c>
      <c r="H1337" s="50">
        <f t="array" ref="H1337">SUM(IF(INSTOCK!$H$3:$H$6125=B1337,INSTOCK!$I$3:$I$6125))</f>
        <v>1</v>
      </c>
      <c r="I1337" s="50" t="str">
        <f>ARRAY_CONSTRAIN(ARRAYFORMULA(SUM(IF([3]!Table13[ID]=B1337,[3]!Table13[QTY]))), 1, 1)</f>
        <v>#ERROR!</v>
      </c>
      <c r="J1337" s="50" t="str">
        <f>TABLEITEM!$H$3:$H$2749-TABLEITEM!$I$3:$I$2749</f>
        <v>#ERROR!</v>
      </c>
    </row>
    <row r="1338" ht="15.75" customHeight="1">
      <c r="A1338" s="45"/>
      <c r="B1338" s="10" t="s">
        <v>3209</v>
      </c>
      <c r="C1338" s="26"/>
      <c r="D1338" s="10" t="s">
        <v>8828</v>
      </c>
      <c r="E1338" s="48" t="s">
        <v>8360</v>
      </c>
      <c r="F1338" s="57" t="s">
        <v>8651</v>
      </c>
      <c r="G1338" s="49">
        <f t="array" ref="G1338">MAX(IF(INSTOCK!$H$3:$H$6125=B1338,INSTOCK!$K$3:$K$6125))</f>
        <v>4860</v>
      </c>
      <c r="H1338" s="50">
        <f t="array" ref="H1338">SUM(IF(INSTOCK!$H$3:$H$6125=B1338,INSTOCK!$I$3:$I$6125))</f>
        <v>7</v>
      </c>
      <c r="I1338" s="50" t="str">
        <f>ARRAY_CONSTRAIN(ARRAYFORMULA(SUM(IF([3]!Table13[ID]=B1338,[3]!Table13[QTY]))), 1, 1)</f>
        <v>#ERROR!</v>
      </c>
      <c r="J1338" s="50" t="str">
        <f>TABLEITEM!$H$3:$H$2749-TABLEITEM!$I$3:$I$2749</f>
        <v>#ERROR!</v>
      </c>
    </row>
    <row r="1339" ht="15.75" customHeight="1">
      <c r="A1339" s="45"/>
      <c r="B1339" s="10" t="s">
        <v>2742</v>
      </c>
      <c r="C1339" s="26"/>
      <c r="D1339" s="10" t="s">
        <v>8829</v>
      </c>
      <c r="E1339" s="48"/>
      <c r="F1339" s="48" t="s">
        <v>7173</v>
      </c>
      <c r="G1339" s="49">
        <f t="array" ref="G1339">MAX(IF(INSTOCK!$H$3:$H$6125=B1339,INSTOCK!$K$3:$K$6125))</f>
        <v>250000</v>
      </c>
      <c r="H1339" s="50">
        <f t="array" ref="H1339">SUM(IF(INSTOCK!$H$3:$H$6125=B1339,INSTOCK!$I$3:$I$6125))</f>
        <v>1</v>
      </c>
      <c r="I1339" s="50" t="str">
        <f>ARRAY_CONSTRAIN(ARRAYFORMULA(SUM(IF([3]!Table13[ID]=B1339,[3]!Table13[QTY]))), 1, 1)</f>
        <v>#ERROR!</v>
      </c>
      <c r="J1339" s="50" t="str">
        <f>TABLEITEM!$H$3:$H$2749-TABLEITEM!$I$3:$I$2749</f>
        <v>#ERROR!</v>
      </c>
    </row>
    <row r="1340" ht="15.75" customHeight="1">
      <c r="A1340" s="45"/>
      <c r="B1340" s="10" t="s">
        <v>2191</v>
      </c>
      <c r="C1340" s="26"/>
      <c r="D1340" s="10" t="s">
        <v>8830</v>
      </c>
      <c r="E1340" s="48" t="s">
        <v>1487</v>
      </c>
      <c r="F1340" s="57" t="s">
        <v>7173</v>
      </c>
      <c r="G1340" s="49">
        <f t="array" ref="G1340">MAX(IF(INSTOCK!$H$3:$H$6125=B1340,INSTOCK!$K$3:$K$6125))</f>
        <v>108.65</v>
      </c>
      <c r="H1340" s="50">
        <f t="array" ref="H1340">SUM(IF(INSTOCK!$H$3:$H$6125=B1340,INSTOCK!$I$3:$I$6125))</f>
        <v>64</v>
      </c>
      <c r="I1340" s="50" t="str">
        <f>ARRAY_CONSTRAIN(ARRAYFORMULA(SUM(IF([3]!Table13[ID]=B1340,[3]!Table13[QTY]))), 1, 1)</f>
        <v>#ERROR!</v>
      </c>
      <c r="J1340" s="50" t="str">
        <f>TABLEITEM!$H$3:$H$2749-TABLEITEM!$I$3:$I$2749</f>
        <v>#ERROR!</v>
      </c>
    </row>
    <row r="1341" ht="15.75" customHeight="1">
      <c r="A1341" s="45"/>
      <c r="B1341" s="10" t="s">
        <v>2190</v>
      </c>
      <c r="C1341" s="26"/>
      <c r="D1341" s="10" t="s">
        <v>8831</v>
      </c>
      <c r="E1341" s="48" t="s">
        <v>1487</v>
      </c>
      <c r="F1341" s="57" t="s">
        <v>7173</v>
      </c>
      <c r="G1341" s="49">
        <f t="array" ref="G1341">MAX(IF(INSTOCK!$H$3:$H$6125=B1341,INSTOCK!$K$3:$K$6125))</f>
        <v>112.2</v>
      </c>
      <c r="H1341" s="50">
        <f t="array" ref="H1341">SUM(IF(INSTOCK!$H$3:$H$6125=B1341,INSTOCK!$I$3:$I$6125))</f>
        <v>60</v>
      </c>
      <c r="I1341" s="50" t="str">
        <f>ARRAY_CONSTRAIN(ARRAYFORMULA(SUM(IF([3]!Table13[ID]=B1341,[3]!Table13[QTY]))), 1, 1)</f>
        <v>#ERROR!</v>
      </c>
      <c r="J1341" s="50" t="str">
        <f>TABLEITEM!$H$3:$H$2749-TABLEITEM!$I$3:$I$2749</f>
        <v>#ERROR!</v>
      </c>
    </row>
    <row r="1342" ht="15.75" customHeight="1">
      <c r="A1342" s="45"/>
      <c r="B1342" s="10" t="s">
        <v>2159</v>
      </c>
      <c r="C1342" s="26"/>
      <c r="D1342" s="10" t="s">
        <v>8832</v>
      </c>
      <c r="E1342" s="48" t="s">
        <v>1487</v>
      </c>
      <c r="F1342" s="57" t="s">
        <v>7173</v>
      </c>
      <c r="G1342" s="49">
        <f t="array" ref="G1342">MAX(IF(INSTOCK!$H$3:$H$6125=B1342,INSTOCK!$K$3:$K$6125))</f>
        <v>292.6</v>
      </c>
      <c r="H1342" s="50">
        <f t="array" ref="H1342">SUM(IF(INSTOCK!$H$3:$H$6125=B1342,INSTOCK!$I$3:$I$6125))</f>
        <v>9</v>
      </c>
      <c r="I1342" s="50" t="str">
        <f>ARRAY_CONSTRAIN(ARRAYFORMULA(SUM(IF([3]!Table13[ID]=B1342,[3]!Table13[QTY]))), 1, 1)</f>
        <v>#ERROR!</v>
      </c>
      <c r="J1342" s="50" t="str">
        <f>TABLEITEM!$H$3:$H$2749-TABLEITEM!$I$3:$I$2749</f>
        <v>#ERROR!</v>
      </c>
    </row>
    <row r="1343" ht="15.75" customHeight="1">
      <c r="A1343" s="45"/>
      <c r="B1343" s="10" t="s">
        <v>4354</v>
      </c>
      <c r="C1343" s="26"/>
      <c r="D1343" s="10" t="s">
        <v>8833</v>
      </c>
      <c r="E1343" s="48" t="s">
        <v>7760</v>
      </c>
      <c r="F1343" s="57" t="s">
        <v>7173</v>
      </c>
      <c r="G1343" s="49">
        <f t="array" ref="G1343">MAX(IF(INSTOCK!$H$3:$H$6125=B1343,INSTOCK!$K$3:$K$6125))</f>
        <v>57</v>
      </c>
      <c r="H1343" s="50">
        <f t="array" ref="H1343">SUM(IF(INSTOCK!$H$3:$H$6125=B1343,INSTOCK!$I$3:$I$6125))</f>
        <v>1</v>
      </c>
      <c r="I1343" s="50" t="str">
        <f>ARRAY_CONSTRAIN(ARRAYFORMULA(SUM(IF([3]!Table13[ID]=B1343,[3]!Table13[QTY]))), 1, 1)</f>
        <v>#ERROR!</v>
      </c>
      <c r="J1343" s="50" t="str">
        <f>TABLEITEM!$H$3:$H$2749-TABLEITEM!$I$3:$I$2749</f>
        <v>#ERROR!</v>
      </c>
    </row>
    <row r="1344" ht="15.75" customHeight="1">
      <c r="A1344" s="45"/>
      <c r="B1344" s="10" t="s">
        <v>3268</v>
      </c>
      <c r="C1344" s="26"/>
      <c r="D1344" s="10" t="s">
        <v>8834</v>
      </c>
      <c r="E1344" s="48" t="s">
        <v>8835</v>
      </c>
      <c r="F1344" s="48" t="s">
        <v>7173</v>
      </c>
      <c r="G1344" s="49">
        <f t="array" ref="G1344">MAX(IF(INSTOCK!$H$3:$H$6125=B1344,INSTOCK!$K$3:$K$6125))</f>
        <v>240</v>
      </c>
      <c r="H1344" s="50">
        <f t="array" ref="H1344">SUM(IF(INSTOCK!$H$3:$H$6125=B1344,INSTOCK!$I$3:$I$6125))</f>
        <v>2</v>
      </c>
      <c r="I1344" s="50" t="str">
        <f>ARRAY_CONSTRAIN(ARRAYFORMULA(SUM(IF([3]!Table13[ID]=B1344,[3]!Table13[QTY]))), 1, 1)</f>
        <v>#ERROR!</v>
      </c>
      <c r="J1344" s="50" t="str">
        <f>TABLEITEM!$H$3:$H$2749-TABLEITEM!$I$3:$I$2749</f>
        <v>#ERROR!</v>
      </c>
    </row>
    <row r="1345" ht="15.75" customHeight="1">
      <c r="A1345" s="45"/>
      <c r="B1345" s="10" t="s">
        <v>2631</v>
      </c>
      <c r="C1345" s="26"/>
      <c r="D1345" s="10" t="s">
        <v>8836</v>
      </c>
      <c r="E1345" s="48"/>
      <c r="F1345" s="57" t="s">
        <v>7173</v>
      </c>
      <c r="G1345" s="49">
        <f t="array" ref="G1345">MAX(IF(INSTOCK!$H$3:$H$6125=B1345,INSTOCK!$K$3:$K$6125))</f>
        <v>783.5</v>
      </c>
      <c r="H1345" s="50">
        <f t="array" ref="H1345">SUM(IF(INSTOCK!$H$3:$H$6125=B1345,INSTOCK!$I$3:$I$6125))</f>
        <v>2</v>
      </c>
      <c r="I1345" s="50" t="str">
        <f>ARRAY_CONSTRAIN(ARRAYFORMULA(SUM(IF([3]!Table13[ID]=B1345,[3]!Table13[QTY]))), 1, 1)</f>
        <v>#ERROR!</v>
      </c>
      <c r="J1345" s="50" t="str">
        <f>TABLEITEM!$H$3:$H$2749-TABLEITEM!$I$3:$I$2749</f>
        <v>#ERROR!</v>
      </c>
    </row>
    <row r="1346" ht="15.75" customHeight="1">
      <c r="A1346" s="45"/>
      <c r="B1346" s="10" t="s">
        <v>2520</v>
      </c>
      <c r="C1346" s="26"/>
      <c r="D1346" s="10" t="s">
        <v>8837</v>
      </c>
      <c r="E1346" s="48" t="s">
        <v>1504</v>
      </c>
      <c r="F1346" s="57" t="s">
        <v>7173</v>
      </c>
      <c r="G1346" s="49">
        <f t="array" ref="G1346">MAX(IF(INSTOCK!$H$3:$H$6125=B1346,INSTOCK!$K$3:$K$6125))</f>
        <v>67000</v>
      </c>
      <c r="H1346" s="50">
        <f t="array" ref="H1346">SUM(IF(INSTOCK!$H$3:$H$6125=B1346,INSTOCK!$I$3:$I$6125))</f>
        <v>1</v>
      </c>
      <c r="I1346" s="50" t="str">
        <f>ARRAY_CONSTRAIN(ARRAYFORMULA(SUM(IF([3]!Table13[ID]=B1346,[3]!Table13[QTY]))), 1, 1)</f>
        <v>#ERROR!</v>
      </c>
      <c r="J1346" s="50" t="str">
        <f>TABLEITEM!$H$3:$H$2749-TABLEITEM!$I$3:$I$2749</f>
        <v>#ERROR!</v>
      </c>
    </row>
    <row r="1347" ht="15.75" customHeight="1">
      <c r="A1347" s="45"/>
      <c r="B1347" s="10" t="s">
        <v>2057</v>
      </c>
      <c r="C1347" s="26"/>
      <c r="D1347" s="10" t="s">
        <v>8838</v>
      </c>
      <c r="E1347" s="48" t="s">
        <v>8839</v>
      </c>
      <c r="F1347" s="57" t="s">
        <v>7173</v>
      </c>
      <c r="G1347" s="49">
        <f t="array" ref="G1347">MAX(IF(INSTOCK!$H$3:$H$6125=B1347,INSTOCK!$K$3:$K$6125))</f>
        <v>66150</v>
      </c>
      <c r="H1347" s="50">
        <f t="array" ref="H1347">SUM(IF(INSTOCK!$H$3:$H$6125=B1347,INSTOCK!$I$3:$I$6125))</f>
        <v>1</v>
      </c>
      <c r="I1347" s="50" t="str">
        <f>ARRAY_CONSTRAIN(ARRAYFORMULA(SUM(IF([3]!Table13[ID]=B1347,[3]!Table13[QTY]))), 1, 1)</f>
        <v>#ERROR!</v>
      </c>
      <c r="J1347" s="50" t="str">
        <f>TABLEITEM!$H$3:$H$2749-TABLEITEM!$I$3:$I$2749</f>
        <v>#ERROR!</v>
      </c>
    </row>
    <row r="1348" ht="15.75" customHeight="1">
      <c r="A1348" s="45"/>
      <c r="B1348" s="10" t="s">
        <v>2059</v>
      </c>
      <c r="C1348" s="26"/>
      <c r="D1348" s="10" t="s">
        <v>8840</v>
      </c>
      <c r="E1348" s="48" t="s">
        <v>8839</v>
      </c>
      <c r="F1348" s="57" t="s">
        <v>7173</v>
      </c>
      <c r="G1348" s="49">
        <f t="array" ref="G1348">MAX(IF(INSTOCK!$H$3:$H$6125=B1348,INSTOCK!$K$3:$K$6125))</f>
        <v>0</v>
      </c>
      <c r="H1348" s="50">
        <f t="array" ref="H1348">SUM(IF(INSTOCK!$H$3:$H$6125=B1348,INSTOCK!$I$3:$I$6125))</f>
        <v>1</v>
      </c>
      <c r="I1348" s="50" t="str">
        <f>ARRAY_CONSTRAIN(ARRAYFORMULA(SUM(IF([3]!Table13[ID]=B1348,[3]!Table13[QTY]))), 1, 1)</f>
        <v>#ERROR!</v>
      </c>
      <c r="J1348" s="50" t="str">
        <f>TABLEITEM!$H$3:$H$2749-TABLEITEM!$I$3:$I$2749</f>
        <v>#ERROR!</v>
      </c>
    </row>
    <row r="1349" ht="15.75" customHeight="1">
      <c r="A1349" s="45"/>
      <c r="B1349" s="10" t="s">
        <v>2058</v>
      </c>
      <c r="C1349" s="26"/>
      <c r="D1349" s="10" t="s">
        <v>8841</v>
      </c>
      <c r="E1349" s="48" t="s">
        <v>8839</v>
      </c>
      <c r="F1349" s="57" t="s">
        <v>7173</v>
      </c>
      <c r="G1349" s="49">
        <f t="array" ref="G1349">MAX(IF(INSTOCK!$H$3:$H$6125=B1349,INSTOCK!$K$3:$K$6125))</f>
        <v>400</v>
      </c>
      <c r="H1349" s="50">
        <f t="array" ref="H1349">SUM(IF(INSTOCK!$H$3:$H$6125=B1349,INSTOCK!$I$3:$I$6125))</f>
        <v>3</v>
      </c>
      <c r="I1349" s="50" t="str">
        <f>ARRAY_CONSTRAIN(ARRAYFORMULA(SUM(IF([3]!Table13[ID]=B1349,[3]!Table13[QTY]))), 1, 1)</f>
        <v>#ERROR!</v>
      </c>
      <c r="J1349" s="50" t="str">
        <f>TABLEITEM!$H$3:$H$2749-TABLEITEM!$I$3:$I$2749</f>
        <v>#ERROR!</v>
      </c>
    </row>
    <row r="1350" ht="15.75" customHeight="1">
      <c r="A1350" s="45"/>
      <c r="B1350" s="10" t="s">
        <v>2061</v>
      </c>
      <c r="C1350" s="26"/>
      <c r="D1350" s="10" t="s">
        <v>8842</v>
      </c>
      <c r="E1350" s="48" t="s">
        <v>8839</v>
      </c>
      <c r="F1350" s="57" t="s">
        <v>7173</v>
      </c>
      <c r="G1350" s="49">
        <f t="array" ref="G1350">MAX(IF(INSTOCK!$H$3:$H$6125=B1350,INSTOCK!$K$3:$K$6125))</f>
        <v>0</v>
      </c>
      <c r="H1350" s="50">
        <f t="array" ref="H1350">SUM(IF(INSTOCK!$H$3:$H$6125=B1350,INSTOCK!$I$3:$I$6125))</f>
        <v>1</v>
      </c>
      <c r="I1350" s="50" t="str">
        <f>ARRAY_CONSTRAIN(ARRAYFORMULA(SUM(IF([3]!Table13[ID]=B1350,[3]!Table13[QTY]))), 1, 1)</f>
        <v>#ERROR!</v>
      </c>
      <c r="J1350" s="50" t="str">
        <f>TABLEITEM!$H$3:$H$2749-TABLEITEM!$I$3:$I$2749</f>
        <v>#ERROR!</v>
      </c>
    </row>
    <row r="1351" ht="15.75" customHeight="1">
      <c r="A1351" s="45"/>
      <c r="B1351" s="10" t="s">
        <v>2060</v>
      </c>
      <c r="C1351" s="26"/>
      <c r="D1351" s="10" t="s">
        <v>8843</v>
      </c>
      <c r="E1351" s="48" t="s">
        <v>8839</v>
      </c>
      <c r="F1351" s="57" t="s">
        <v>7173</v>
      </c>
      <c r="G1351" s="49">
        <f t="array" ref="G1351">MAX(IF(INSTOCK!$H$3:$H$6125=B1351,INSTOCK!$K$3:$K$6125))</f>
        <v>0</v>
      </c>
      <c r="H1351" s="50">
        <f t="array" ref="H1351">SUM(IF(INSTOCK!$H$3:$H$6125=B1351,INSTOCK!$I$3:$I$6125))</f>
        <v>1</v>
      </c>
      <c r="I1351" s="50" t="str">
        <f>ARRAY_CONSTRAIN(ARRAYFORMULA(SUM(IF([3]!Table13[ID]=B1351,[3]!Table13[QTY]))), 1, 1)</f>
        <v>#ERROR!</v>
      </c>
      <c r="J1351" s="50" t="str">
        <f>TABLEITEM!$H$3:$H$2749-TABLEITEM!$I$3:$I$2749</f>
        <v>#ERROR!</v>
      </c>
    </row>
    <row r="1352" ht="15.75" customHeight="1">
      <c r="A1352" s="45"/>
      <c r="B1352" s="10" t="s">
        <v>2717</v>
      </c>
      <c r="C1352" s="26"/>
      <c r="D1352" s="10" t="s">
        <v>8844</v>
      </c>
      <c r="E1352" s="48" t="s">
        <v>7166</v>
      </c>
      <c r="F1352" s="57" t="s">
        <v>7429</v>
      </c>
      <c r="G1352" s="49">
        <f t="array" ref="G1352">MAX(IF(INSTOCK!$H$3:$H$6125=B1352,INSTOCK!$K$3:$K$6125))</f>
        <v>247.55</v>
      </c>
      <c r="H1352" s="50">
        <f t="array" ref="H1352">SUM(IF(INSTOCK!$H$3:$H$6125=B1352,INSTOCK!$I$3:$I$6125))</f>
        <v>88</v>
      </c>
      <c r="I1352" s="50" t="str">
        <f>ARRAY_CONSTRAIN(ARRAYFORMULA(SUM(IF([3]!Table13[ID]=B1352,[3]!Table13[QTY]))), 1, 1)</f>
        <v>#ERROR!</v>
      </c>
      <c r="J1352" s="50" t="str">
        <f>TABLEITEM!$H$3:$H$2749-TABLEITEM!$I$3:$I$2749</f>
        <v>#ERROR!</v>
      </c>
    </row>
    <row r="1353" ht="15.75" customHeight="1">
      <c r="A1353" s="45"/>
      <c r="B1353" s="10" t="s">
        <v>5143</v>
      </c>
      <c r="C1353" s="26"/>
      <c r="D1353" s="10" t="s">
        <v>8845</v>
      </c>
      <c r="E1353" s="48" t="s">
        <v>2231</v>
      </c>
      <c r="F1353" s="57" t="s">
        <v>7173</v>
      </c>
      <c r="G1353" s="49">
        <f t="array" ref="G1353">MAX(IF(INSTOCK!$H$3:$H$6125=B1353,INSTOCK!$K$3:$K$6125))</f>
        <v>135</v>
      </c>
      <c r="H1353" s="50">
        <f t="array" ref="H1353">SUM(IF(INSTOCK!$H$3:$H$6125=B1353,INSTOCK!$I$3:$I$6125))</f>
        <v>39</v>
      </c>
      <c r="I1353" s="50" t="str">
        <f>ARRAY_CONSTRAIN(ARRAYFORMULA(SUM(IF([3]!Table13[ID]=B1353,[3]!Table13[QTY]))), 1, 1)</f>
        <v>#ERROR!</v>
      </c>
      <c r="J1353" s="50" t="str">
        <f>TABLEITEM!$H$3:$H$2749-TABLEITEM!$I$3:$I$2749</f>
        <v>#ERROR!</v>
      </c>
    </row>
    <row r="1354" ht="15.75" customHeight="1">
      <c r="A1354" s="45"/>
      <c r="B1354" s="10" t="s">
        <v>1728</v>
      </c>
      <c r="C1354" s="26"/>
      <c r="D1354" s="10" t="s">
        <v>8846</v>
      </c>
      <c r="E1354" s="48" t="s">
        <v>2231</v>
      </c>
      <c r="F1354" s="57" t="s">
        <v>7173</v>
      </c>
      <c r="G1354" s="49">
        <f t="array" ref="G1354">MAX(IF(INSTOCK!$H$3:$H$6125=B1354,INSTOCK!$K$3:$K$6125))</f>
        <v>135</v>
      </c>
      <c r="H1354" s="50">
        <f t="array" ref="H1354">SUM(IF(INSTOCK!$H$3:$H$6125=B1354,INSTOCK!$I$3:$I$6125))</f>
        <v>194</v>
      </c>
      <c r="I1354" s="50" t="str">
        <f>ARRAY_CONSTRAIN(ARRAYFORMULA(SUM(IF([3]!Table13[ID]=B1354,[3]!Table13[QTY]))), 1, 1)</f>
        <v>#ERROR!</v>
      </c>
      <c r="J1354" s="50" t="str">
        <f>TABLEITEM!$H$3:$H$2749-TABLEITEM!$I$3:$I$2749</f>
        <v>#ERROR!</v>
      </c>
    </row>
    <row r="1355" ht="15.75" customHeight="1">
      <c r="A1355" s="45"/>
      <c r="B1355" s="10" t="s">
        <v>1554</v>
      </c>
      <c r="C1355" s="26"/>
      <c r="D1355" s="10" t="s">
        <v>8847</v>
      </c>
      <c r="E1355" s="48" t="s">
        <v>2231</v>
      </c>
      <c r="F1355" s="57" t="s">
        <v>7173</v>
      </c>
      <c r="G1355" s="49">
        <f t="array" ref="G1355">MAX(IF(INSTOCK!$H$3:$H$6125=B1355,INSTOCK!$K$3:$K$6125))</f>
        <v>106</v>
      </c>
      <c r="H1355" s="50">
        <f t="array" ref="H1355">SUM(IF(INSTOCK!$H$3:$H$6125=B1355,INSTOCK!$I$3:$I$6125))</f>
        <v>136</v>
      </c>
      <c r="I1355" s="50" t="str">
        <f>ARRAY_CONSTRAIN(ARRAYFORMULA(SUM(IF([3]!Table13[ID]=B1355,[3]!Table13[QTY]))), 1, 1)</f>
        <v>#ERROR!</v>
      </c>
      <c r="J1355" s="50" t="str">
        <f>TABLEITEM!$H$3:$H$2749-TABLEITEM!$I$3:$I$2749</f>
        <v>#ERROR!</v>
      </c>
    </row>
    <row r="1356" ht="15.75" customHeight="1">
      <c r="A1356" s="45"/>
      <c r="B1356" s="10" t="s">
        <v>2181</v>
      </c>
      <c r="C1356" s="26"/>
      <c r="D1356" s="10" t="s">
        <v>8848</v>
      </c>
      <c r="E1356" s="48" t="s">
        <v>2231</v>
      </c>
      <c r="F1356" s="57" t="s">
        <v>7173</v>
      </c>
      <c r="G1356" s="49">
        <f t="array" ref="G1356">MAX(IF(INSTOCK!$H$3:$H$6125=B1356,INSTOCK!$K$3:$K$6125))</f>
        <v>117</v>
      </c>
      <c r="H1356" s="50">
        <f t="array" ref="H1356">SUM(IF(INSTOCK!$H$3:$H$6125=B1356,INSTOCK!$I$3:$I$6125))</f>
        <v>40</v>
      </c>
      <c r="I1356" s="50" t="str">
        <f>ARRAY_CONSTRAIN(ARRAYFORMULA(SUM(IF([3]!Table13[ID]=B1356,[3]!Table13[QTY]))), 1, 1)</f>
        <v>#ERROR!</v>
      </c>
      <c r="J1356" s="50" t="str">
        <f>TABLEITEM!$H$3:$H$2749-TABLEITEM!$I$3:$I$2749</f>
        <v>#ERROR!</v>
      </c>
    </row>
    <row r="1357" ht="15.75" customHeight="1">
      <c r="A1357" s="45"/>
      <c r="B1357" s="10" t="s">
        <v>2177</v>
      </c>
      <c r="C1357" s="26"/>
      <c r="D1357" s="10" t="s">
        <v>8849</v>
      </c>
      <c r="E1357" s="48" t="s">
        <v>2231</v>
      </c>
      <c r="F1357" s="57" t="s">
        <v>7173</v>
      </c>
      <c r="G1357" s="49">
        <f t="array" ref="G1357">MAX(IF(INSTOCK!$H$3:$H$6125=B1357,INSTOCK!$K$3:$K$6125))</f>
        <v>308.7</v>
      </c>
      <c r="H1357" s="50">
        <f t="array" ref="H1357">SUM(IF(INSTOCK!$H$3:$H$6125=B1357,INSTOCK!$I$3:$I$6125))</f>
        <v>31</v>
      </c>
      <c r="I1357" s="50" t="str">
        <f>ARRAY_CONSTRAIN(ARRAYFORMULA(SUM(IF([3]!Table13[ID]=B1357,[3]!Table13[QTY]))), 1, 1)</f>
        <v>#ERROR!</v>
      </c>
      <c r="J1357" s="50" t="str">
        <f>TABLEITEM!$H$3:$H$2749-TABLEITEM!$I$3:$I$2749</f>
        <v>#ERROR!</v>
      </c>
    </row>
    <row r="1358" ht="15.75" customHeight="1">
      <c r="A1358" s="45"/>
      <c r="B1358" s="18" t="s">
        <v>1552</v>
      </c>
      <c r="C1358" s="26"/>
      <c r="D1358" s="18" t="s">
        <v>8850</v>
      </c>
      <c r="E1358" s="48" t="s">
        <v>2231</v>
      </c>
      <c r="F1358" s="57" t="s">
        <v>7173</v>
      </c>
      <c r="G1358" s="49">
        <f t="array" ref="G1358">MAX(IF(INSTOCK!$H$3:$H$6125=B1358,INSTOCK!$K$3:$K$6125))</f>
        <v>1690</v>
      </c>
      <c r="H1358" s="50">
        <f t="array" ref="H1358">SUM(IF(INSTOCK!$H$3:$H$6125=B1358,INSTOCK!$I$3:$I$6125))</f>
        <v>9</v>
      </c>
      <c r="I1358" s="50" t="str">
        <f>ARRAY_CONSTRAIN(ARRAYFORMULA(SUM(IF([3]!Table13[ID]=B1358,[3]!Table13[QTY]))), 1, 1)</f>
        <v>#ERROR!</v>
      </c>
      <c r="J1358" s="50" t="str">
        <f>TABLEITEM!$H$3:$H$2749-TABLEITEM!$I$3:$I$2749</f>
        <v>#ERROR!</v>
      </c>
    </row>
    <row r="1359" ht="15.75" customHeight="1">
      <c r="A1359" s="45"/>
      <c r="B1359" s="10" t="s">
        <v>1735</v>
      </c>
      <c r="C1359" s="26"/>
      <c r="D1359" s="10" t="s">
        <v>8851</v>
      </c>
      <c r="E1359" s="48" t="s">
        <v>2231</v>
      </c>
      <c r="F1359" s="57" t="s">
        <v>7173</v>
      </c>
      <c r="G1359" s="49">
        <f t="array" ref="G1359">MAX(IF(INSTOCK!$H$3:$H$6125=B1359,INSTOCK!$K$3:$K$6125))</f>
        <v>301.84</v>
      </c>
      <c r="H1359" s="50">
        <f t="array" ref="H1359">SUM(IF(INSTOCK!$H$3:$H$6125=B1359,INSTOCK!$I$3:$I$6125))</f>
        <v>80</v>
      </c>
      <c r="I1359" s="50" t="str">
        <f>ARRAY_CONSTRAIN(ARRAYFORMULA(SUM(IF([3]!Table13[ID]=B1359,[3]!Table13[QTY]))), 1, 1)</f>
        <v>#ERROR!</v>
      </c>
      <c r="J1359" s="50" t="str">
        <f>TABLEITEM!$H$3:$H$2749-TABLEITEM!$I$3:$I$2749</f>
        <v>#ERROR!</v>
      </c>
    </row>
    <row r="1360" ht="15.75" customHeight="1">
      <c r="A1360" s="45"/>
      <c r="B1360" s="10" t="s">
        <v>1648</v>
      </c>
      <c r="C1360" s="26"/>
      <c r="D1360" s="10" t="s">
        <v>8852</v>
      </c>
      <c r="E1360" s="48" t="s">
        <v>1504</v>
      </c>
      <c r="F1360" s="57" t="s">
        <v>7173</v>
      </c>
      <c r="G1360" s="49">
        <f t="array" ref="G1360">MAX(IF(INSTOCK!$H$3:$H$6125=B1360,INSTOCK!$K$3:$K$6125))</f>
        <v>2200</v>
      </c>
      <c r="H1360" s="50">
        <f t="array" ref="H1360">SUM(IF(INSTOCK!$H$3:$H$6125=B1360,INSTOCK!$I$3:$I$6125))</f>
        <v>1</v>
      </c>
      <c r="I1360" s="50" t="str">
        <f>ARRAY_CONSTRAIN(ARRAYFORMULA(SUM(IF([3]!Table13[ID]=B1360,[3]!Table13[QTY]))), 1, 1)</f>
        <v>#ERROR!</v>
      </c>
      <c r="J1360" s="50" t="str">
        <f>TABLEITEM!$H$3:$H$2749-TABLEITEM!$I$3:$I$2749</f>
        <v>#ERROR!</v>
      </c>
    </row>
    <row r="1361" ht="15.75" customHeight="1">
      <c r="A1361" s="45"/>
      <c r="B1361" s="10"/>
      <c r="C1361" s="26"/>
      <c r="D1361" s="10"/>
      <c r="E1361" s="48"/>
      <c r="F1361" s="57"/>
      <c r="G1361" s="49"/>
      <c r="H1361" s="50"/>
      <c r="I1361" s="50"/>
      <c r="J1361" s="50"/>
    </row>
    <row r="1362" ht="15.75" customHeight="1">
      <c r="A1362" s="45"/>
      <c r="B1362" s="10" t="s">
        <v>3107</v>
      </c>
      <c r="C1362" s="26"/>
      <c r="D1362" s="10" t="s">
        <v>8853</v>
      </c>
      <c r="E1362" s="48" t="s">
        <v>1487</v>
      </c>
      <c r="F1362" s="57" t="s">
        <v>7173</v>
      </c>
      <c r="G1362" s="49">
        <f t="array" ref="G1362">MAX(IF(INSTOCK!$H$3:$H$6125=B1362,INSTOCK!$K$3:$K$6125))</f>
        <v>1095</v>
      </c>
      <c r="H1362" s="50">
        <f t="array" ref="H1362">SUM(IF(INSTOCK!$H$3:$H$6125=B1362,INSTOCK!$I$3:$I$6125))</f>
        <v>3</v>
      </c>
      <c r="I1362" s="50" t="str">
        <f>ARRAY_CONSTRAIN(ARRAYFORMULA(SUM(IF([3]!Table13[ID]=B1362,[3]!Table13[QTY]))), 1, 1)</f>
        <v>#ERROR!</v>
      </c>
      <c r="J1362" s="50" t="str">
        <f>TABLEITEM!$H$3:$H$2749-TABLEITEM!$I$3:$I$2749</f>
        <v>#ERROR!</v>
      </c>
    </row>
    <row r="1363" ht="15.75" customHeight="1">
      <c r="A1363" s="45"/>
      <c r="B1363" s="10" t="s">
        <v>3109</v>
      </c>
      <c r="C1363" s="26"/>
      <c r="D1363" s="10" t="s">
        <v>8854</v>
      </c>
      <c r="E1363" s="48" t="s">
        <v>1487</v>
      </c>
      <c r="F1363" s="57" t="s">
        <v>7173</v>
      </c>
      <c r="G1363" s="49">
        <f t="array" ref="G1363">MAX(IF(INSTOCK!$H$3:$H$6125=B1363,INSTOCK!$K$3:$K$6125))</f>
        <v>995.4</v>
      </c>
      <c r="H1363" s="50">
        <f t="array" ref="H1363">SUM(IF(INSTOCK!$H$3:$H$6125=B1363,INSTOCK!$I$3:$I$6125))</f>
        <v>1</v>
      </c>
      <c r="I1363" s="50" t="str">
        <f>ARRAY_CONSTRAIN(ARRAYFORMULA(SUM(IF([3]!Table13[ID]=B1363,[3]!Table13[QTY]))), 1, 1)</f>
        <v>#ERROR!</v>
      </c>
      <c r="J1363" s="50" t="str">
        <f>TABLEITEM!$H$3:$H$2749-TABLEITEM!$I$3:$I$2749</f>
        <v>#ERROR!</v>
      </c>
    </row>
    <row r="1364" ht="15.75" customHeight="1">
      <c r="A1364" s="45"/>
      <c r="B1364" s="10" t="s">
        <v>3108</v>
      </c>
      <c r="C1364" s="26"/>
      <c r="D1364" s="10" t="s">
        <v>8855</v>
      </c>
      <c r="E1364" s="48" t="s">
        <v>1487</v>
      </c>
      <c r="F1364" s="57" t="s">
        <v>7173</v>
      </c>
      <c r="G1364" s="49">
        <f t="array" ref="G1364">MAX(IF(INSTOCK!$H$3:$H$6125=B1364,INSTOCK!$K$3:$K$6125))</f>
        <v>94.5</v>
      </c>
      <c r="H1364" s="50">
        <f t="array" ref="H1364">SUM(IF(INSTOCK!$H$3:$H$6125=B1364,INSTOCK!$I$3:$I$6125))</f>
        <v>13</v>
      </c>
      <c r="I1364" s="50" t="str">
        <f>ARRAY_CONSTRAIN(ARRAYFORMULA(SUM(IF([3]!Table13[ID]=B1364,[3]!Table13[QTY]))), 1, 1)</f>
        <v>#ERROR!</v>
      </c>
      <c r="J1364" s="50" t="str">
        <f>TABLEITEM!$H$3:$H$2749-TABLEITEM!$I$3:$I$2749</f>
        <v>#ERROR!</v>
      </c>
    </row>
    <row r="1365" ht="15.75" customHeight="1">
      <c r="A1365" s="45"/>
      <c r="B1365" s="10" t="s">
        <v>1689</v>
      </c>
      <c r="C1365" s="26"/>
      <c r="D1365" s="10" t="s">
        <v>8856</v>
      </c>
      <c r="E1365" s="48" t="s">
        <v>1487</v>
      </c>
      <c r="F1365" s="57" t="s">
        <v>7173</v>
      </c>
      <c r="G1365" s="49">
        <f t="array" ref="G1365">MAX(IF(INSTOCK!$H$3:$H$6125=B1365,INSTOCK!$K$3:$K$6125))</f>
        <v>318.2</v>
      </c>
      <c r="H1365" s="50">
        <f t="array" ref="H1365">SUM(IF(INSTOCK!$H$3:$H$6125=B1365,INSTOCK!$I$3:$I$6125))</f>
        <v>1</v>
      </c>
      <c r="I1365" s="50" t="str">
        <f>ARRAY_CONSTRAIN(ARRAYFORMULA(SUM(IF([3]!Table13[ID]=B1365,[3]!Table13[QTY]))), 1, 1)</f>
        <v>#ERROR!</v>
      </c>
      <c r="J1365" s="50" t="str">
        <f>TABLEITEM!$H$3:$H$2749-TABLEITEM!$I$3:$I$2749</f>
        <v>#ERROR!</v>
      </c>
    </row>
    <row r="1366" ht="15.75" customHeight="1">
      <c r="A1366" s="45"/>
      <c r="B1366" s="10" t="s">
        <v>1756</v>
      </c>
      <c r="C1366" s="26"/>
      <c r="D1366" s="10" t="s">
        <v>8857</v>
      </c>
      <c r="E1366" s="48" t="s">
        <v>1487</v>
      </c>
      <c r="F1366" s="57" t="s">
        <v>7173</v>
      </c>
      <c r="G1366" s="49">
        <f t="array" ref="G1366">MAX(IF(INSTOCK!$H$3:$H$6125=B1366,INSTOCK!$K$3:$K$6125))</f>
        <v>303.4</v>
      </c>
      <c r="H1366" s="50">
        <f t="array" ref="H1366">SUM(IF(INSTOCK!$H$3:$H$6125=B1366,INSTOCK!$I$3:$I$6125))</f>
        <v>14</v>
      </c>
      <c r="I1366" s="50" t="str">
        <f>ARRAY_CONSTRAIN(ARRAYFORMULA(SUM(IF([3]!Table13[ID]=B1366,[3]!Table13[QTY]))), 1, 1)</f>
        <v>#ERROR!</v>
      </c>
      <c r="J1366" s="50" t="str">
        <f>TABLEITEM!$H$3:$H$2749-TABLEITEM!$I$3:$I$2749</f>
        <v>#ERROR!</v>
      </c>
    </row>
    <row r="1367" ht="15.75" customHeight="1">
      <c r="A1367" s="45"/>
      <c r="B1367" s="10" t="s">
        <v>1746</v>
      </c>
      <c r="C1367" s="26"/>
      <c r="D1367" s="10" t="s">
        <v>8858</v>
      </c>
      <c r="E1367" s="48" t="s">
        <v>1487</v>
      </c>
      <c r="F1367" s="57" t="s">
        <v>7173</v>
      </c>
      <c r="G1367" s="49">
        <f t="array" ref="G1367">MAX(IF(INSTOCK!$H$3:$H$6125=B1367,INSTOCK!$K$3:$K$6125))</f>
        <v>57.2</v>
      </c>
      <c r="H1367" s="50">
        <f t="array" ref="H1367">SUM(IF(INSTOCK!$H$3:$H$6125=B1367,INSTOCK!$I$3:$I$6125))</f>
        <v>7</v>
      </c>
      <c r="I1367" s="50" t="str">
        <f>ARRAY_CONSTRAIN(ARRAYFORMULA(SUM(IF([3]!Table13[ID]=B1367,[3]!Table13[QTY]))), 1, 1)</f>
        <v>#ERROR!</v>
      </c>
      <c r="J1367" s="50" t="str">
        <f>TABLEITEM!$H$3:$H$2749-TABLEITEM!$I$3:$I$2749</f>
        <v>#ERROR!</v>
      </c>
    </row>
    <row r="1368" ht="15.75" customHeight="1">
      <c r="A1368" s="45"/>
      <c r="B1368" s="10" t="s">
        <v>1745</v>
      </c>
      <c r="C1368" s="26"/>
      <c r="D1368" s="10" t="s">
        <v>8859</v>
      </c>
      <c r="E1368" s="48" t="s">
        <v>1487</v>
      </c>
      <c r="F1368" s="57" t="s">
        <v>7173</v>
      </c>
      <c r="G1368" s="49">
        <f t="array" ref="G1368">MAX(IF(INSTOCK!$H$3:$H$6125=B1368,INSTOCK!$K$3:$K$6125))</f>
        <v>127.1</v>
      </c>
      <c r="H1368" s="50">
        <f t="array" ref="H1368">SUM(IF(INSTOCK!$H$3:$H$6125=B1368,INSTOCK!$I$3:$I$6125))</f>
        <v>5</v>
      </c>
      <c r="I1368" s="50" t="str">
        <f>ARRAY_CONSTRAIN(ARRAYFORMULA(SUM(IF([3]!Table13[ID]=B1368,[3]!Table13[QTY]))), 1, 1)</f>
        <v>#ERROR!</v>
      </c>
      <c r="J1368" s="50" t="str">
        <f>TABLEITEM!$H$3:$H$2749-TABLEITEM!$I$3:$I$2749</f>
        <v>#ERROR!</v>
      </c>
    </row>
    <row r="1369" ht="15.75" customHeight="1">
      <c r="A1369" s="45"/>
      <c r="B1369" s="10" t="s">
        <v>1747</v>
      </c>
      <c r="C1369" s="26"/>
      <c r="D1369" s="10" t="s">
        <v>8860</v>
      </c>
      <c r="E1369" s="48" t="s">
        <v>1487</v>
      </c>
      <c r="F1369" s="57" t="s">
        <v>7173</v>
      </c>
      <c r="G1369" s="49">
        <f t="array" ref="G1369">MAX(IF(INSTOCK!$H$3:$H$6125=B1369,INSTOCK!$K$3:$K$6125))</f>
        <v>586.3</v>
      </c>
      <c r="H1369" s="50">
        <f t="array" ref="H1369">SUM(IF(INSTOCK!$H$3:$H$6125=B1369,INSTOCK!$I$3:$I$6125))</f>
        <v>5</v>
      </c>
      <c r="I1369" s="50" t="str">
        <f>ARRAY_CONSTRAIN(ARRAYFORMULA(SUM(IF([3]!Table13[ID]=B1369,[3]!Table13[QTY]))), 1, 1)</f>
        <v>#ERROR!</v>
      </c>
      <c r="J1369" s="50" t="str">
        <f>TABLEITEM!$H$3:$H$2749-TABLEITEM!$I$3:$I$2749</f>
        <v>#ERROR!</v>
      </c>
    </row>
    <row r="1370" ht="15.75" customHeight="1">
      <c r="A1370" s="45"/>
      <c r="B1370" s="10" t="s">
        <v>1744</v>
      </c>
      <c r="C1370" s="26"/>
      <c r="D1370" s="10" t="s">
        <v>8861</v>
      </c>
      <c r="E1370" s="48" t="s">
        <v>1487</v>
      </c>
      <c r="F1370" s="57" t="s">
        <v>7173</v>
      </c>
      <c r="G1370" s="49">
        <f t="array" ref="G1370">MAX(IF(INSTOCK!$H$3:$H$6125=B1370,INSTOCK!$K$3:$K$6125))</f>
        <v>180.4</v>
      </c>
      <c r="H1370" s="50">
        <f t="array" ref="H1370">SUM(IF(INSTOCK!$H$3:$H$6125=B1370,INSTOCK!$I$3:$I$6125))</f>
        <v>35</v>
      </c>
      <c r="I1370" s="50" t="str">
        <f>ARRAY_CONSTRAIN(ARRAYFORMULA(SUM(IF([3]!Table13[ID]=B1370,[3]!Table13[QTY]))), 1, 1)</f>
        <v>#ERROR!</v>
      </c>
      <c r="J1370" s="50" t="str">
        <f>TABLEITEM!$H$3:$H$2749-TABLEITEM!$I$3:$I$2749</f>
        <v>#ERROR!</v>
      </c>
    </row>
    <row r="1371" ht="15.75" customHeight="1">
      <c r="A1371" s="45"/>
      <c r="B1371" s="10" t="s">
        <v>4448</v>
      </c>
      <c r="C1371" s="26"/>
      <c r="D1371" s="10" t="s">
        <v>8862</v>
      </c>
      <c r="E1371" s="48" t="s">
        <v>1487</v>
      </c>
      <c r="F1371" s="57" t="s">
        <v>7173</v>
      </c>
      <c r="G1371" s="49">
        <f t="array" ref="G1371">MAX(IF(INSTOCK!$H$3:$H$6125=B1371,INSTOCK!$K$3:$K$6125))</f>
        <v>76.54</v>
      </c>
      <c r="H1371" s="50">
        <f t="array" ref="H1371">SUM(IF(INSTOCK!$H$3:$H$6125=B1371,INSTOCK!$I$3:$I$6125))</f>
        <v>120</v>
      </c>
      <c r="I1371" s="50" t="str">
        <f>ARRAY_CONSTRAIN(ARRAYFORMULA(SUM(IF([3]!Table13[ID]=B1371,[3]!Table13[QTY]))), 1, 1)</f>
        <v>#ERROR!</v>
      </c>
      <c r="J1371" s="50" t="str">
        <f>TABLEITEM!$H$3:$H$2749-TABLEITEM!$I$3:$I$2749</f>
        <v>#ERROR!</v>
      </c>
    </row>
    <row r="1372" ht="15.75" customHeight="1">
      <c r="A1372" s="45"/>
      <c r="B1372" s="10" t="s">
        <v>4446</v>
      </c>
      <c r="C1372" s="26"/>
      <c r="D1372" s="10" t="s">
        <v>8863</v>
      </c>
      <c r="E1372" s="48" t="s">
        <v>1487</v>
      </c>
      <c r="F1372" s="57" t="s">
        <v>7173</v>
      </c>
      <c r="G1372" s="49">
        <f t="array" ref="G1372">MAX(IF(INSTOCK!$H$3:$H$6125=B1372,INSTOCK!$K$3:$K$6125))</f>
        <v>76.54</v>
      </c>
      <c r="H1372" s="50">
        <f t="array" ref="H1372">SUM(IF(INSTOCK!$H$3:$H$6125=B1372,INSTOCK!$I$3:$I$6125))</f>
        <v>120</v>
      </c>
      <c r="I1372" s="50" t="str">
        <f>ARRAY_CONSTRAIN(ARRAYFORMULA(SUM(IF([3]!Table13[ID]=B1372,[3]!Table13[QTY]))), 1, 1)</f>
        <v>#ERROR!</v>
      </c>
      <c r="J1372" s="50" t="str">
        <f>TABLEITEM!$H$3:$H$2749-TABLEITEM!$I$3:$I$2749</f>
        <v>#ERROR!</v>
      </c>
    </row>
    <row r="1373" ht="15.75" customHeight="1">
      <c r="A1373" s="45"/>
      <c r="B1373" s="10" t="s">
        <v>1064</v>
      </c>
      <c r="C1373" s="26"/>
      <c r="D1373" s="10" t="s">
        <v>1065</v>
      </c>
      <c r="E1373" s="48" t="s">
        <v>7076</v>
      </c>
      <c r="F1373" s="48" t="s">
        <v>8129</v>
      </c>
      <c r="G1373" s="49">
        <f t="array" ref="G1373">MAX(IF(INSTOCK!$H$3:$H$6125=B1373,INSTOCK!$K$3:$K$6125))</f>
        <v>380</v>
      </c>
      <c r="H1373" s="50">
        <f t="array" ref="H1373">SUM(IF(INSTOCK!$H$3:$H$6125=B1373,INSTOCK!$I$3:$I$6125))</f>
        <v>5</v>
      </c>
      <c r="I1373" s="50" t="str">
        <f>ARRAY_CONSTRAIN(ARRAYFORMULA(SUM(IF([3]!Table13[ID]=B1373,[3]!Table13[QTY]))), 1, 1)</f>
        <v>#ERROR!</v>
      </c>
      <c r="J1373" s="50" t="str">
        <f>TABLEITEM!$H$3:$H$2749-TABLEITEM!$I$3:$I$2749</f>
        <v>#ERROR!</v>
      </c>
    </row>
    <row r="1374" ht="15.75" customHeight="1">
      <c r="A1374" s="45"/>
      <c r="B1374" s="10" t="s">
        <v>1866</v>
      </c>
      <c r="C1374" s="26"/>
      <c r="D1374" s="10" t="s">
        <v>8864</v>
      </c>
      <c r="E1374" s="48" t="s">
        <v>8752</v>
      </c>
      <c r="F1374" s="57" t="s">
        <v>8865</v>
      </c>
      <c r="G1374" s="49">
        <f t="array" ref="G1374">MAX(IF(INSTOCK!$H$3:$H$6125=B1374,INSTOCK!$K$3:$K$6125))</f>
        <v>18000</v>
      </c>
      <c r="H1374" s="50">
        <f t="array" ref="H1374">SUM(IF(INSTOCK!$H$3:$H$6125=B1374,INSTOCK!$I$3:$I$6125))</f>
        <v>13</v>
      </c>
      <c r="I1374" s="50" t="str">
        <f>ARRAY_CONSTRAIN(ARRAYFORMULA(SUM(IF([3]!Table13[ID]=B1374,[3]!Table13[QTY]))), 1, 1)</f>
        <v>#ERROR!</v>
      </c>
      <c r="J1374" s="50" t="str">
        <f>TABLEITEM!$H$3:$H$2749-TABLEITEM!$I$3:$I$2749</f>
        <v>#ERROR!</v>
      </c>
    </row>
    <row r="1375" ht="15.75" customHeight="1">
      <c r="A1375" s="45"/>
      <c r="B1375" s="10" t="s">
        <v>1865</v>
      </c>
      <c r="C1375" s="26"/>
      <c r="D1375" s="10" t="s">
        <v>8866</v>
      </c>
      <c r="E1375" s="48" t="s">
        <v>8752</v>
      </c>
      <c r="F1375" s="57" t="s">
        <v>8865</v>
      </c>
      <c r="G1375" s="49">
        <f t="array" ref="G1375">MAX(IF(INSTOCK!$H$3:$H$6125=B1375,INSTOCK!$K$3:$K$6125))</f>
        <v>9375</v>
      </c>
      <c r="H1375" s="50">
        <f t="array" ref="H1375">SUM(IF(INSTOCK!$H$3:$H$6125=B1375,INSTOCK!$I$3:$I$6125))</f>
        <v>26</v>
      </c>
      <c r="I1375" s="50" t="str">
        <f>ARRAY_CONSTRAIN(ARRAYFORMULA(SUM(IF([3]!Table13[ID]=B1375,[3]!Table13[QTY]))), 1, 1)</f>
        <v>#ERROR!</v>
      </c>
      <c r="J1375" s="50" t="str">
        <f>TABLEITEM!$H$3:$H$2749-TABLEITEM!$I$3:$I$2749</f>
        <v>#ERROR!</v>
      </c>
    </row>
    <row r="1376" ht="15.75" customHeight="1">
      <c r="A1376" s="45"/>
      <c r="B1376" s="10" t="s">
        <v>1480</v>
      </c>
      <c r="C1376" s="26"/>
      <c r="D1376" s="10" t="s">
        <v>8867</v>
      </c>
      <c r="E1376" s="48" t="s">
        <v>1481</v>
      </c>
      <c r="F1376" s="57" t="s">
        <v>7173</v>
      </c>
      <c r="G1376" s="49">
        <f t="array" ref="G1376">MAX(IF(INSTOCK!$H$3:$H$6125=B1376,INSTOCK!$K$3:$K$6125))</f>
        <v>284</v>
      </c>
      <c r="H1376" s="50">
        <f t="array" ref="H1376">SUM(IF(INSTOCK!$H$3:$H$6125=B1376,INSTOCK!$I$3:$I$6125))</f>
        <v>3</v>
      </c>
      <c r="I1376" s="50" t="str">
        <f>ARRAY_CONSTRAIN(ARRAYFORMULA(SUM(IF([3]!Table13[ID]=B1376,[3]!Table13[QTY]))), 1, 1)</f>
        <v>#ERROR!</v>
      </c>
      <c r="J1376" s="50" t="str">
        <f>TABLEITEM!$H$3:$H$2749-TABLEITEM!$I$3:$I$2749</f>
        <v>#ERROR!</v>
      </c>
    </row>
    <row r="1377" ht="15.75" customHeight="1">
      <c r="A1377" s="45"/>
      <c r="B1377" s="10" t="s">
        <v>1726</v>
      </c>
      <c r="C1377" s="26"/>
      <c r="D1377" s="10" t="s">
        <v>8868</v>
      </c>
      <c r="E1377" s="48" t="s">
        <v>2231</v>
      </c>
      <c r="F1377" s="57" t="s">
        <v>7173</v>
      </c>
      <c r="G1377" s="49">
        <f t="array" ref="G1377">MAX(IF(INSTOCK!$H$3:$H$6125=B1377,INSTOCK!$K$3:$K$6125))</f>
        <v>3312.4</v>
      </c>
      <c r="H1377" s="50">
        <f t="array" ref="H1377">SUM(IF(INSTOCK!$H$3:$H$6125=B1377,INSTOCK!$I$3:$I$6125))</f>
        <v>9</v>
      </c>
      <c r="I1377" s="50" t="str">
        <f>ARRAY_CONSTRAIN(ARRAYFORMULA(SUM(IF([3]!Table13[ID]=B1377,[3]!Table13[QTY]))), 1, 1)</f>
        <v>#ERROR!</v>
      </c>
      <c r="J1377" s="50" t="str">
        <f>TABLEITEM!$H$3:$H$2749-TABLEITEM!$I$3:$I$2749</f>
        <v>#ERROR!</v>
      </c>
    </row>
    <row r="1378" ht="15.75" customHeight="1">
      <c r="A1378" s="45"/>
      <c r="B1378" s="10" t="s">
        <v>2436</v>
      </c>
      <c r="C1378" s="26"/>
      <c r="D1378" s="10" t="s">
        <v>8869</v>
      </c>
      <c r="E1378" s="48" t="s">
        <v>8181</v>
      </c>
      <c r="F1378" s="57" t="s">
        <v>7173</v>
      </c>
      <c r="G1378" s="49">
        <f t="array" ref="G1378">MAX(IF(INSTOCK!$H$3:$H$6125=B1378,INSTOCK!$K$3:$K$6125))</f>
        <v>146.25</v>
      </c>
      <c r="H1378" s="50">
        <f t="array" ref="H1378">SUM(IF(INSTOCK!$H$3:$H$6125=B1378,INSTOCK!$I$3:$I$6125))</f>
        <v>1</v>
      </c>
      <c r="I1378" s="50" t="str">
        <f>ARRAY_CONSTRAIN(ARRAYFORMULA(SUM(IF([3]!Table13[ID]=B1378,[3]!Table13[QTY]))), 1, 1)</f>
        <v>#ERROR!</v>
      </c>
      <c r="J1378" s="50" t="str">
        <f>TABLEITEM!$H$3:$H$2749-TABLEITEM!$I$3:$I$2749</f>
        <v>#ERROR!</v>
      </c>
    </row>
    <row r="1379" ht="15.75" customHeight="1">
      <c r="A1379" s="45"/>
      <c r="B1379" s="10" t="s">
        <v>1900</v>
      </c>
      <c r="C1379" s="26"/>
      <c r="D1379" s="10" t="s">
        <v>8870</v>
      </c>
      <c r="E1379" s="48" t="s">
        <v>8181</v>
      </c>
      <c r="F1379" s="57" t="s">
        <v>7173</v>
      </c>
      <c r="G1379" s="49">
        <f t="array" ref="G1379">MAX(IF(INSTOCK!$H$3:$H$6125=B1379,INSTOCK!$K$3:$K$6125))</f>
        <v>945</v>
      </c>
      <c r="H1379" s="50">
        <f t="array" ref="H1379">SUM(IF(INSTOCK!$H$3:$H$6125=B1379,INSTOCK!$I$3:$I$6125))</f>
        <v>15</v>
      </c>
      <c r="I1379" s="50" t="str">
        <f>ARRAY_CONSTRAIN(ARRAYFORMULA(SUM(IF([3]!Table13[ID]=B1379,[3]!Table13[QTY]))), 1, 1)</f>
        <v>#ERROR!</v>
      </c>
      <c r="J1379" s="50" t="str">
        <f>TABLEITEM!$H$3:$H$2749-TABLEITEM!$I$3:$I$2749</f>
        <v>#ERROR!</v>
      </c>
    </row>
    <row r="1380" ht="15.75" customHeight="1">
      <c r="A1380" s="45"/>
      <c r="B1380" s="10" t="s">
        <v>1517</v>
      </c>
      <c r="C1380" s="26"/>
      <c r="D1380" s="10" t="s">
        <v>8871</v>
      </c>
      <c r="E1380" s="48" t="s">
        <v>8181</v>
      </c>
      <c r="F1380" s="57" t="s">
        <v>7173</v>
      </c>
      <c r="G1380" s="49">
        <f t="array" ref="G1380">MAX(IF(INSTOCK!$H$3:$H$6125=B1380,INSTOCK!$K$3:$K$6125))</f>
        <v>146.25</v>
      </c>
      <c r="H1380" s="50">
        <f t="array" ref="H1380">SUM(IF(INSTOCK!$H$3:$H$6125=B1380,INSTOCK!$I$3:$I$6125))</f>
        <v>3</v>
      </c>
      <c r="I1380" s="50" t="str">
        <f>ARRAY_CONSTRAIN(ARRAYFORMULA(SUM(IF([3]!Table13[ID]=B1380,[3]!Table13[QTY]))), 1, 1)</f>
        <v>#ERROR!</v>
      </c>
      <c r="J1380" s="50" t="str">
        <f>TABLEITEM!$H$3:$H$2749-TABLEITEM!$I$3:$I$2749</f>
        <v>#ERROR!</v>
      </c>
    </row>
    <row r="1381" ht="15.75" customHeight="1">
      <c r="A1381" s="45"/>
      <c r="B1381" s="10" t="s">
        <v>1519</v>
      </c>
      <c r="C1381" s="26"/>
      <c r="D1381" s="10" t="s">
        <v>8872</v>
      </c>
      <c r="E1381" s="48" t="s">
        <v>8181</v>
      </c>
      <c r="F1381" s="57" t="s">
        <v>7173</v>
      </c>
      <c r="G1381" s="49">
        <f t="array" ref="G1381">MAX(IF(INSTOCK!$H$3:$H$6125=B1381,INSTOCK!$K$3:$K$6125))</f>
        <v>103.5</v>
      </c>
      <c r="H1381" s="50">
        <f t="array" ref="H1381">SUM(IF(INSTOCK!$H$3:$H$6125=B1381,INSTOCK!$I$3:$I$6125))</f>
        <v>4</v>
      </c>
      <c r="I1381" s="50" t="str">
        <f>ARRAY_CONSTRAIN(ARRAYFORMULA(SUM(IF([3]!Table13[ID]=B1381,[3]!Table13[QTY]))), 1, 1)</f>
        <v>#ERROR!</v>
      </c>
      <c r="J1381" s="50" t="str">
        <f>TABLEITEM!$H$3:$H$2749-TABLEITEM!$I$3:$I$2749</f>
        <v>#ERROR!</v>
      </c>
    </row>
    <row r="1382" ht="15.75" customHeight="1">
      <c r="A1382" s="45"/>
      <c r="B1382" s="10" t="s">
        <v>2755</v>
      </c>
      <c r="C1382" s="26"/>
      <c r="D1382" s="10" t="s">
        <v>8873</v>
      </c>
      <c r="E1382" s="48" t="s">
        <v>1487</v>
      </c>
      <c r="F1382" s="57" t="s">
        <v>7173</v>
      </c>
      <c r="G1382" s="49">
        <f t="array" ref="G1382">MAX(IF(INSTOCK!$H$3:$H$6125=B1382,INSTOCK!$K$3:$K$6125))</f>
        <v>3685</v>
      </c>
      <c r="H1382" s="50">
        <f t="array" ref="H1382">SUM(IF(INSTOCK!$H$3:$H$6125=B1382,INSTOCK!$I$3:$I$6125))</f>
        <v>21</v>
      </c>
      <c r="I1382" s="50" t="str">
        <f>ARRAY_CONSTRAIN(ARRAYFORMULA(SUM(IF([3]!Table13[ID]=B1382,[3]!Table13[QTY]))), 1, 1)</f>
        <v>#ERROR!</v>
      </c>
      <c r="J1382" s="50" t="str">
        <f>TABLEITEM!$H$3:$H$2749-TABLEITEM!$I$3:$I$2749</f>
        <v>#ERROR!</v>
      </c>
    </row>
    <row r="1383" ht="15.75" customHeight="1">
      <c r="A1383" s="45"/>
      <c r="B1383" s="10" t="s">
        <v>3191</v>
      </c>
      <c r="C1383" s="26"/>
      <c r="D1383" s="10" t="s">
        <v>8874</v>
      </c>
      <c r="E1383" s="48" t="s">
        <v>8360</v>
      </c>
      <c r="F1383" s="48" t="s">
        <v>7173</v>
      </c>
      <c r="G1383" s="49">
        <f t="array" ref="G1383">MAX(IF(INSTOCK!$H$3:$H$6125=B1383,INSTOCK!$K$3:$K$6125))</f>
        <v>33570</v>
      </c>
      <c r="H1383" s="50">
        <f t="array" ref="H1383">SUM(IF(INSTOCK!$H$3:$H$6125=B1383,INSTOCK!$I$3:$I$6125))</f>
        <v>1</v>
      </c>
      <c r="I1383" s="50" t="str">
        <f>ARRAY_CONSTRAIN(ARRAYFORMULA(SUM(IF([3]!Table13[ID]=B1383,[3]!Table13[QTY]))), 1, 1)</f>
        <v>#ERROR!</v>
      </c>
      <c r="J1383" s="50" t="str">
        <f>TABLEITEM!$H$3:$H$2749-TABLEITEM!$I$3:$I$2749</f>
        <v>#ERROR!</v>
      </c>
    </row>
    <row r="1384" ht="15.75" customHeight="1">
      <c r="A1384" s="45"/>
      <c r="B1384" s="18" t="s">
        <v>2157</v>
      </c>
      <c r="C1384" s="26"/>
      <c r="D1384" s="18" t="s">
        <v>8875</v>
      </c>
      <c r="E1384" s="48" t="s">
        <v>1487</v>
      </c>
      <c r="F1384" s="57" t="s">
        <v>7173</v>
      </c>
      <c r="G1384" s="49">
        <f t="array" ref="G1384">MAX(IF(INSTOCK!$H$3:$H$6125=B1384,INSTOCK!$K$3:$K$6125))</f>
        <v>85.8</v>
      </c>
      <c r="H1384" s="50">
        <f t="array" ref="H1384">SUM(IF(INSTOCK!$H$3:$H$6125=B1384,INSTOCK!$I$3:$I$6125))</f>
        <v>270</v>
      </c>
      <c r="I1384" s="50" t="str">
        <f>ARRAY_CONSTRAIN(ARRAYFORMULA(SUM(IF([3]!Table13[ID]=B1384,[3]!Table13[QTY]))), 1, 1)</f>
        <v>#ERROR!</v>
      </c>
      <c r="J1384" s="50" t="str">
        <f>TABLEITEM!$H$3:$H$2749-TABLEITEM!$I$3:$I$2749</f>
        <v>#ERROR!</v>
      </c>
    </row>
    <row r="1385" ht="15.75" customHeight="1">
      <c r="A1385" s="45"/>
      <c r="B1385" s="18" t="s">
        <v>4320</v>
      </c>
      <c r="C1385" s="26"/>
      <c r="D1385" s="18" t="s">
        <v>8876</v>
      </c>
      <c r="E1385" s="56" t="s">
        <v>1487</v>
      </c>
      <c r="F1385" s="57" t="s">
        <v>7173</v>
      </c>
      <c r="G1385" s="49">
        <f t="array" ref="G1385">MAX(IF(INSTOCK!$H$3:$H$6125=B1385,INSTOCK!$K$3:$K$6125))</f>
        <v>83.85</v>
      </c>
      <c r="H1385" s="50">
        <f t="array" ref="H1385">SUM(IF(INSTOCK!$H$3:$H$6125=B1385,INSTOCK!$I$3:$I$6125))</f>
        <v>90</v>
      </c>
      <c r="I1385" s="50" t="str">
        <f>ARRAY_CONSTRAIN(ARRAYFORMULA(SUM(IF([3]!Table13[ID]=B1385,[3]!Table13[QTY]))), 1, 1)</f>
        <v>#ERROR!</v>
      </c>
      <c r="J1385" s="50" t="str">
        <f>TABLEITEM!$H$3:$H$2749-TABLEITEM!$I$3:$I$2749</f>
        <v>#ERROR!</v>
      </c>
    </row>
    <row r="1386" ht="15.75" customHeight="1">
      <c r="A1386" s="45"/>
      <c r="B1386" s="18" t="s">
        <v>2004</v>
      </c>
      <c r="C1386" s="26"/>
      <c r="D1386" s="18" t="s">
        <v>8877</v>
      </c>
      <c r="E1386" s="56" t="s">
        <v>1487</v>
      </c>
      <c r="F1386" s="57" t="s">
        <v>7173</v>
      </c>
      <c r="G1386" s="49">
        <f t="array" ref="G1386">MAX(IF(INSTOCK!$H$3:$H$6125=B1386,INSTOCK!$K$3:$K$6125))</f>
        <v>85.8</v>
      </c>
      <c r="H1386" s="50">
        <f t="array" ref="H1386">SUM(IF(INSTOCK!$H$3:$H$6125=B1386,INSTOCK!$I$3:$I$6125))</f>
        <v>270</v>
      </c>
      <c r="I1386" s="50" t="str">
        <f>ARRAY_CONSTRAIN(ARRAYFORMULA(SUM(IF([3]!Table13[ID]=B1386,[3]!Table13[QTY]))), 1, 1)</f>
        <v>#ERROR!</v>
      </c>
      <c r="J1386" s="50" t="str">
        <f>TABLEITEM!$H$3:$H$2749-TABLEITEM!$I$3:$I$2749</f>
        <v>#ERROR!</v>
      </c>
    </row>
    <row r="1387" ht="15.75" customHeight="1">
      <c r="A1387" s="45"/>
      <c r="B1387" s="18" t="s">
        <v>2006</v>
      </c>
      <c r="C1387" s="26"/>
      <c r="D1387" s="18" t="s">
        <v>8878</v>
      </c>
      <c r="E1387" s="56" t="s">
        <v>1487</v>
      </c>
      <c r="F1387" s="57" t="s">
        <v>7173</v>
      </c>
      <c r="G1387" s="49">
        <f t="array" ref="G1387">MAX(IF(INSTOCK!$H$3:$H$6125=B1387,INSTOCK!$K$3:$K$6125))</f>
        <v>85.8</v>
      </c>
      <c r="H1387" s="50">
        <f t="array" ref="H1387">SUM(IF(INSTOCK!$H$3:$H$6125=B1387,INSTOCK!$I$3:$I$6125))</f>
        <v>260</v>
      </c>
      <c r="I1387" s="50" t="str">
        <f>ARRAY_CONSTRAIN(ARRAYFORMULA(SUM(IF([3]!Table13[ID]=B1387,[3]!Table13[QTY]))), 1, 1)</f>
        <v>#ERROR!</v>
      </c>
      <c r="J1387" s="50" t="str">
        <f>TABLEITEM!$H$3:$H$2749-TABLEITEM!$I$3:$I$2749</f>
        <v>#ERROR!</v>
      </c>
    </row>
    <row r="1388" ht="15.75" customHeight="1">
      <c r="A1388" s="45"/>
      <c r="B1388" s="10" t="s">
        <v>2005</v>
      </c>
      <c r="C1388" s="26"/>
      <c r="D1388" s="10" t="s">
        <v>8879</v>
      </c>
      <c r="E1388" s="48" t="s">
        <v>1487</v>
      </c>
      <c r="F1388" s="57" t="s">
        <v>7173</v>
      </c>
      <c r="G1388" s="49">
        <f t="array" ref="G1388">MAX(IF(INSTOCK!$H$3:$H$6125=B1388,INSTOCK!$K$3:$K$6125))</f>
        <v>85.8</v>
      </c>
      <c r="H1388" s="50">
        <f t="array" ref="H1388">SUM(IF(INSTOCK!$H$3:$H$6125=B1388,INSTOCK!$I$3:$I$6125))</f>
        <v>100</v>
      </c>
      <c r="I1388" s="50" t="str">
        <f>ARRAY_CONSTRAIN(ARRAYFORMULA(SUM(IF([3]!Table13[ID]=B1388,[3]!Table13[QTY]))), 1, 1)</f>
        <v>#ERROR!</v>
      </c>
      <c r="J1388" s="50" t="str">
        <f>TABLEITEM!$H$3:$H$2749-TABLEITEM!$I$3:$I$2749</f>
        <v>#ERROR!</v>
      </c>
    </row>
    <row r="1389" ht="15.75" customHeight="1">
      <c r="A1389" s="45"/>
      <c r="B1389" s="10" t="s">
        <v>1909</v>
      </c>
      <c r="C1389" s="26"/>
      <c r="D1389" s="10" t="s">
        <v>8880</v>
      </c>
      <c r="E1389" s="48" t="s">
        <v>1907</v>
      </c>
      <c r="F1389" s="57" t="s">
        <v>7173</v>
      </c>
      <c r="G1389" s="49">
        <f t="array" ref="G1389">MAX(IF(INSTOCK!$H$3:$H$6125=B1389,INSTOCK!$K$3:$K$6125))</f>
        <v>441</v>
      </c>
      <c r="H1389" s="50">
        <f t="array" ref="H1389">SUM(IF(INSTOCK!$H$3:$H$6125=B1389,INSTOCK!$I$3:$I$6125))</f>
        <v>5</v>
      </c>
      <c r="I1389" s="50" t="str">
        <f>ARRAY_CONSTRAIN(ARRAYFORMULA(SUM(IF([3]!Table13[ID]=B1389,[3]!Table13[QTY]))), 1, 1)</f>
        <v>#ERROR!</v>
      </c>
      <c r="J1389" s="50" t="str">
        <f>TABLEITEM!$H$3:$H$2749-TABLEITEM!$I$3:$I$2749</f>
        <v>#ERROR!</v>
      </c>
    </row>
    <row r="1390" ht="15.75" customHeight="1">
      <c r="A1390" s="45"/>
      <c r="B1390" s="10" t="s">
        <v>1911</v>
      </c>
      <c r="C1390" s="26"/>
      <c r="D1390" s="10" t="s">
        <v>8881</v>
      </c>
      <c r="E1390" s="48" t="s">
        <v>1907</v>
      </c>
      <c r="F1390" s="57" t="s">
        <v>7173</v>
      </c>
      <c r="G1390" s="49">
        <f t="array" ref="G1390">MAX(IF(INSTOCK!$H$3:$H$6125=B1390,INSTOCK!$K$3:$K$6125))</f>
        <v>595</v>
      </c>
      <c r="H1390" s="50">
        <f t="array" ref="H1390">SUM(IF(INSTOCK!$H$3:$H$6125=B1390,INSTOCK!$I$3:$I$6125))</f>
        <v>5</v>
      </c>
      <c r="I1390" s="50" t="str">
        <f>ARRAY_CONSTRAIN(ARRAYFORMULA(SUM(IF([3]!Table13[ID]=B1390,[3]!Table13[QTY]))), 1, 1)</f>
        <v>#ERROR!</v>
      </c>
      <c r="J1390" s="50" t="str">
        <f>TABLEITEM!$H$3:$H$2749-TABLEITEM!$I$3:$I$2749</f>
        <v>#ERROR!</v>
      </c>
    </row>
    <row r="1391" ht="15.75" customHeight="1">
      <c r="A1391" s="45"/>
      <c r="B1391" s="10" t="s">
        <v>1905</v>
      </c>
      <c r="C1391" s="26"/>
      <c r="D1391" s="10" t="s">
        <v>8882</v>
      </c>
      <c r="E1391" s="48" t="s">
        <v>1907</v>
      </c>
      <c r="F1391" s="57" t="s">
        <v>7173</v>
      </c>
      <c r="G1391" s="49">
        <f t="array" ref="G1391">MAX(IF(INSTOCK!$H$3:$H$6125=B1391,INSTOCK!$K$3:$K$6125))</f>
        <v>441</v>
      </c>
      <c r="H1391" s="50">
        <f t="array" ref="H1391">SUM(IF(INSTOCK!$H$3:$H$6125=B1391,INSTOCK!$I$3:$I$6125))</f>
        <v>5</v>
      </c>
      <c r="I1391" s="50" t="str">
        <f>ARRAY_CONSTRAIN(ARRAYFORMULA(SUM(IF([3]!Table13[ID]=B1391,[3]!Table13[QTY]))), 1, 1)</f>
        <v>#ERROR!</v>
      </c>
      <c r="J1391" s="50" t="str">
        <f>TABLEITEM!$H$3:$H$2749-TABLEITEM!$I$3:$I$2749</f>
        <v>#ERROR!</v>
      </c>
    </row>
    <row r="1392" ht="15.75" customHeight="1">
      <c r="A1392" s="45"/>
      <c r="B1392" s="10" t="s">
        <v>1748</v>
      </c>
      <c r="C1392" s="26"/>
      <c r="D1392" s="10" t="s">
        <v>8883</v>
      </c>
      <c r="E1392" s="48" t="s">
        <v>1487</v>
      </c>
      <c r="F1392" s="57" t="s">
        <v>7173</v>
      </c>
      <c r="G1392" s="49">
        <f t="array" ref="G1392">MAX(IF(INSTOCK!$H$3:$H$6125=B1392,INSTOCK!$K$3:$K$6125))</f>
        <v>233.7</v>
      </c>
      <c r="H1392" s="50">
        <f t="array" ref="H1392">SUM(IF(INSTOCK!$H$3:$H$6125=B1392,INSTOCK!$I$3:$I$6125))</f>
        <v>5</v>
      </c>
      <c r="I1392" s="50" t="str">
        <f>ARRAY_CONSTRAIN(ARRAYFORMULA(SUM(IF([3]!Table13[ID]=B1392,[3]!Table13[QTY]))), 1, 1)</f>
        <v>#ERROR!</v>
      </c>
      <c r="J1392" s="50" t="str">
        <f>TABLEITEM!$H$3:$H$2749-TABLEITEM!$I$3:$I$2749</f>
        <v>#ERROR!</v>
      </c>
    </row>
    <row r="1393" ht="15.75" customHeight="1">
      <c r="A1393" s="45"/>
      <c r="B1393" s="10" t="s">
        <v>1750</v>
      </c>
      <c r="C1393" s="26"/>
      <c r="D1393" s="10" t="s">
        <v>8884</v>
      </c>
      <c r="E1393" s="48" t="s">
        <v>1487</v>
      </c>
      <c r="F1393" s="57" t="s">
        <v>7173</v>
      </c>
      <c r="G1393" s="49">
        <f t="array" ref="G1393">MAX(IF(INSTOCK!$H$3:$H$6125=B1393,INSTOCK!$K$3:$K$6125))</f>
        <v>233.7</v>
      </c>
      <c r="H1393" s="50">
        <f t="array" ref="H1393">SUM(IF(INSTOCK!$H$3:$H$6125=B1393,INSTOCK!$I$3:$I$6125))</f>
        <v>5</v>
      </c>
      <c r="I1393" s="50" t="str">
        <f>ARRAY_CONSTRAIN(ARRAYFORMULA(SUM(IF([3]!Table13[ID]=B1393,[3]!Table13[QTY]))), 1, 1)</f>
        <v>#ERROR!</v>
      </c>
      <c r="J1393" s="50" t="str">
        <f>TABLEITEM!$H$3:$H$2749-TABLEITEM!$I$3:$I$2749</f>
        <v>#ERROR!</v>
      </c>
    </row>
    <row r="1394" ht="15.75" customHeight="1">
      <c r="A1394" s="45"/>
      <c r="B1394" s="10" t="s">
        <v>1749</v>
      </c>
      <c r="C1394" s="26"/>
      <c r="D1394" s="10" t="s">
        <v>8885</v>
      </c>
      <c r="E1394" s="48" t="s">
        <v>1487</v>
      </c>
      <c r="F1394" s="57" t="s">
        <v>7173</v>
      </c>
      <c r="G1394" s="49">
        <f t="array" ref="G1394">MAX(IF(INSTOCK!$H$3:$H$6125=B1394,INSTOCK!$K$3:$K$6125))</f>
        <v>233.7</v>
      </c>
      <c r="H1394" s="50">
        <f t="array" ref="H1394">SUM(IF(INSTOCK!$H$3:$H$6125=B1394,INSTOCK!$I$3:$I$6125))</f>
        <v>15</v>
      </c>
      <c r="I1394" s="50" t="str">
        <f>ARRAY_CONSTRAIN(ARRAYFORMULA(SUM(IF([3]!Table13[ID]=B1394,[3]!Table13[QTY]))), 1, 1)</f>
        <v>#ERROR!</v>
      </c>
      <c r="J1394" s="50" t="str">
        <f>TABLEITEM!$H$3:$H$2749-TABLEITEM!$I$3:$I$2749</f>
        <v>#ERROR!</v>
      </c>
    </row>
    <row r="1395" ht="15.75" customHeight="1">
      <c r="A1395" s="45"/>
      <c r="B1395" s="10" t="s">
        <v>1822</v>
      </c>
      <c r="C1395" s="26"/>
      <c r="D1395" s="10" t="s">
        <v>8886</v>
      </c>
      <c r="E1395" s="48" t="s">
        <v>1504</v>
      </c>
      <c r="F1395" s="57" t="s">
        <v>7173</v>
      </c>
      <c r="G1395" s="49">
        <f t="array" ref="G1395">MAX(IF(INSTOCK!$H$3:$H$6125=B1395,INSTOCK!$K$3:$K$6125))</f>
        <v>4072.5</v>
      </c>
      <c r="H1395" s="50">
        <f t="array" ref="H1395">SUM(IF(INSTOCK!$H$3:$H$6125=B1395,INSTOCK!$I$3:$I$6125))</f>
        <v>4</v>
      </c>
      <c r="I1395" s="50" t="str">
        <f>ARRAY_CONSTRAIN(ARRAYFORMULA(SUM(IF([3]!Table13[ID]=B1395,[3]!Table13[QTY]))), 1, 1)</f>
        <v>#ERROR!</v>
      </c>
      <c r="J1395" s="50" t="str">
        <f>TABLEITEM!$H$3:$H$2749-TABLEITEM!$I$3:$I$2749</f>
        <v>#ERROR!</v>
      </c>
    </row>
    <row r="1396" ht="15.75" customHeight="1">
      <c r="A1396" s="45"/>
      <c r="B1396" s="10" t="s">
        <v>3400</v>
      </c>
      <c r="C1396" s="26"/>
      <c r="D1396" s="10" t="s">
        <v>8887</v>
      </c>
      <c r="E1396" s="48" t="s">
        <v>1504</v>
      </c>
      <c r="F1396" s="57" t="s">
        <v>7173</v>
      </c>
      <c r="G1396" s="49">
        <f t="array" ref="G1396">MAX(IF(INSTOCK!$H$3:$H$6125=B1396,INSTOCK!$K$3:$K$6125))</f>
        <v>3136.5</v>
      </c>
      <c r="H1396" s="50">
        <f t="array" ref="H1396">SUM(IF(INSTOCK!$H$3:$H$6125=B1396,INSTOCK!$I$3:$I$6125))</f>
        <v>0</v>
      </c>
      <c r="I1396" s="50" t="str">
        <f>ARRAY_CONSTRAIN(ARRAYFORMULA(SUM(IF([3]!Table13[ID]=B1396,[3]!Table13[QTY]))), 1, 1)</f>
        <v>#ERROR!</v>
      </c>
      <c r="J1396" s="50" t="str">
        <f>TABLEITEM!$H$3:$H$2749-TABLEITEM!$I$3:$I$2749</f>
        <v>#ERROR!</v>
      </c>
    </row>
    <row r="1397" ht="15.75" customHeight="1">
      <c r="A1397" s="45"/>
      <c r="B1397" s="10" t="s">
        <v>2546</v>
      </c>
      <c r="C1397" s="26"/>
      <c r="D1397" s="10" t="s">
        <v>8888</v>
      </c>
      <c r="E1397" s="48"/>
      <c r="F1397" s="57" t="s">
        <v>7173</v>
      </c>
      <c r="G1397" s="49">
        <f t="array" ref="G1397">MAX(IF(INSTOCK!$H$3:$H$6125=B1397,INSTOCK!$K$3:$K$6125))</f>
        <v>1100</v>
      </c>
      <c r="H1397" s="50">
        <f t="array" ref="H1397">SUM(IF(INSTOCK!$H$3:$H$6125=B1397,INSTOCK!$I$3:$I$6125))</f>
        <v>9</v>
      </c>
      <c r="I1397" s="50" t="str">
        <f>ARRAY_CONSTRAIN(ARRAYFORMULA(SUM(IF([3]!Table13[ID]=B1397,[3]!Table13[QTY]))), 1, 1)</f>
        <v>#ERROR!</v>
      </c>
      <c r="J1397" s="50" t="str">
        <f>TABLEITEM!$H$3:$H$2749-TABLEITEM!$I$3:$I$2749</f>
        <v>#ERROR!</v>
      </c>
    </row>
    <row r="1398" ht="15.75" customHeight="1">
      <c r="A1398" s="45"/>
      <c r="B1398" s="10" t="s">
        <v>1303</v>
      </c>
      <c r="C1398" s="26"/>
      <c r="D1398" s="10" t="s">
        <v>1304</v>
      </c>
      <c r="E1398" s="48" t="s">
        <v>1289</v>
      </c>
      <c r="F1398" s="57" t="s">
        <v>7173</v>
      </c>
      <c r="G1398" s="49">
        <f t="array" ref="G1398">MAX(IF(INSTOCK!$H$3:$H$6125=B1398,INSTOCK!$K$3:$K$6125))</f>
        <v>9</v>
      </c>
      <c r="H1398" s="50">
        <f t="array" ref="H1398">SUM(IF(INSTOCK!$H$3:$H$6125=B1398,INSTOCK!$I$3:$I$6125))</f>
        <v>300</v>
      </c>
      <c r="I1398" s="50" t="str">
        <f>ARRAY_CONSTRAIN(ARRAYFORMULA(SUM(IF([3]!Table13[ID]=B1398,[3]!Table13[QTY]))), 1, 1)</f>
        <v>#ERROR!</v>
      </c>
      <c r="J1398" s="50" t="str">
        <f>TABLEITEM!$H$3:$H$2749-TABLEITEM!$I$3:$I$2749</f>
        <v>#ERROR!</v>
      </c>
    </row>
    <row r="1399" ht="15.75" customHeight="1">
      <c r="A1399" s="45"/>
      <c r="B1399" s="18" t="s">
        <v>2259</v>
      </c>
      <c r="C1399" s="26"/>
      <c r="D1399" s="18" t="s">
        <v>8889</v>
      </c>
      <c r="E1399" s="56" t="s">
        <v>1504</v>
      </c>
      <c r="F1399" s="57" t="s">
        <v>7173</v>
      </c>
      <c r="G1399" s="49">
        <f t="array" ref="G1399">MAX(IF(INSTOCK!$H$3:$H$6125=B1399,INSTOCK!$K$3:$K$6125))</f>
        <v>418.95</v>
      </c>
      <c r="H1399" s="50">
        <f t="array" ref="H1399">SUM(IF(INSTOCK!$H$3:$H$6125=B1399,INSTOCK!$I$3:$I$6125))</f>
        <v>2</v>
      </c>
      <c r="I1399" s="50" t="str">
        <f>ARRAY_CONSTRAIN(ARRAYFORMULA(SUM(IF([3]!Table13[ID]=B1399,[3]!Table13[QTY]))), 1, 1)</f>
        <v>#ERROR!</v>
      </c>
      <c r="J1399" s="50" t="str">
        <f>TABLEITEM!$H$3:$H$2749-TABLEITEM!$I$3:$I$2749</f>
        <v>#ERROR!</v>
      </c>
    </row>
    <row r="1400" ht="15.75" customHeight="1">
      <c r="A1400" s="45"/>
      <c r="B1400" s="10" t="s">
        <v>2258</v>
      </c>
      <c r="C1400" s="26"/>
      <c r="D1400" s="10" t="s">
        <v>8890</v>
      </c>
      <c r="E1400" s="48" t="s">
        <v>1504</v>
      </c>
      <c r="F1400" s="57" t="s">
        <v>7173</v>
      </c>
      <c r="G1400" s="49">
        <f t="array" ref="G1400">MAX(IF(INSTOCK!$H$3:$H$6125=B1400,INSTOCK!$K$3:$K$6125))</f>
        <v>418.95</v>
      </c>
      <c r="H1400" s="50">
        <f t="array" ref="H1400">SUM(IF(INSTOCK!$H$3:$H$6125=B1400,INSTOCK!$I$3:$I$6125))</f>
        <v>15</v>
      </c>
      <c r="I1400" s="50" t="str">
        <f>ARRAY_CONSTRAIN(ARRAYFORMULA(SUM(IF([3]!Table13[ID]=B1400,[3]!Table13[QTY]))), 1, 1)</f>
        <v>#ERROR!</v>
      </c>
      <c r="J1400" s="50" t="str">
        <f>TABLEITEM!$H$3:$H$2749-TABLEITEM!$I$3:$I$2749</f>
        <v>#ERROR!</v>
      </c>
    </row>
    <row r="1401" ht="15.75" customHeight="1">
      <c r="A1401" s="45"/>
      <c r="B1401" s="10" t="s">
        <v>2248</v>
      </c>
      <c r="C1401" s="26"/>
      <c r="D1401" s="10" t="s">
        <v>8891</v>
      </c>
      <c r="E1401" s="48" t="s">
        <v>1504</v>
      </c>
      <c r="F1401" s="57" t="s">
        <v>7173</v>
      </c>
      <c r="G1401" s="49">
        <f t="array" ref="G1401">MAX(IF(INSTOCK!$H$3:$H$6125=B1401,INSTOCK!$K$3:$K$6125))</f>
        <v>465.975</v>
      </c>
      <c r="H1401" s="50">
        <f t="array" ref="H1401">SUM(IF(INSTOCK!$H$3:$H$6125=B1401,INSTOCK!$I$3:$I$6125))</f>
        <v>4</v>
      </c>
      <c r="I1401" s="50" t="str">
        <f>ARRAY_CONSTRAIN(ARRAYFORMULA(SUM(IF([3]!Table13[ID]=B1401,[3]!Table13[QTY]))), 1, 1)</f>
        <v>#ERROR!</v>
      </c>
      <c r="J1401" s="50" t="str">
        <f>TABLEITEM!$H$3:$H$2749-TABLEITEM!$I$3:$I$2749</f>
        <v>#ERROR!</v>
      </c>
    </row>
    <row r="1402" ht="15.75" customHeight="1">
      <c r="A1402" s="45"/>
      <c r="B1402" s="10" t="s">
        <v>2256</v>
      </c>
      <c r="C1402" s="26"/>
      <c r="D1402" s="10" t="s">
        <v>8892</v>
      </c>
      <c r="E1402" s="48" t="s">
        <v>1504</v>
      </c>
      <c r="F1402" s="57" t="s">
        <v>7173</v>
      </c>
      <c r="G1402" s="49">
        <f t="array" ref="G1402">MAX(IF(INSTOCK!$H$3:$H$6125=B1402,INSTOCK!$K$3:$K$6125))</f>
        <v>418.95</v>
      </c>
      <c r="H1402" s="50">
        <f t="array" ref="H1402">SUM(IF(INSTOCK!$H$3:$H$6125=B1402,INSTOCK!$I$3:$I$6125))</f>
        <v>1</v>
      </c>
      <c r="I1402" s="50" t="str">
        <f>ARRAY_CONSTRAIN(ARRAYFORMULA(SUM(IF([3]!Table13[ID]=B1402,[3]!Table13[QTY]))), 1, 1)</f>
        <v>#ERROR!</v>
      </c>
      <c r="J1402" s="50" t="str">
        <f>TABLEITEM!$H$3:$H$2749-TABLEITEM!$I$3:$I$2749</f>
        <v>#ERROR!</v>
      </c>
    </row>
    <row r="1403" ht="15.75" customHeight="1">
      <c r="A1403" s="45"/>
      <c r="B1403" s="10" t="s">
        <v>2262</v>
      </c>
      <c r="C1403" s="26"/>
      <c r="D1403" s="10" t="s">
        <v>8893</v>
      </c>
      <c r="E1403" s="48" t="s">
        <v>1504</v>
      </c>
      <c r="F1403" s="57" t="s">
        <v>7173</v>
      </c>
      <c r="G1403" s="49">
        <f t="array" ref="G1403">MAX(IF(INSTOCK!$H$3:$H$6125=B1403,INSTOCK!$K$3:$K$6125))</f>
        <v>427.77</v>
      </c>
      <c r="H1403" s="50">
        <f t="array" ref="H1403">SUM(IF(INSTOCK!$H$3:$H$6125=B1403,INSTOCK!$I$3:$I$6125))</f>
        <v>1</v>
      </c>
      <c r="I1403" s="50" t="str">
        <f>ARRAY_CONSTRAIN(ARRAYFORMULA(SUM(IF([3]!Table13[ID]=B1403,[3]!Table13[QTY]))), 1, 1)</f>
        <v>#ERROR!</v>
      </c>
      <c r="J1403" s="50" t="str">
        <f>TABLEITEM!$H$3:$H$2749-TABLEITEM!$I$3:$I$2749</f>
        <v>#ERROR!</v>
      </c>
    </row>
    <row r="1404" ht="15.75" customHeight="1">
      <c r="A1404" s="45"/>
      <c r="B1404" s="10" t="s">
        <v>2158</v>
      </c>
      <c r="C1404" s="26"/>
      <c r="D1404" s="10" t="s">
        <v>8894</v>
      </c>
      <c r="E1404" s="48" t="s">
        <v>1487</v>
      </c>
      <c r="F1404" s="57" t="s">
        <v>7173</v>
      </c>
      <c r="G1404" s="49">
        <f t="array" ref="G1404">MAX(IF(INSTOCK!$H$3:$H$6125=B1404,INSTOCK!$K$3:$K$6125))</f>
        <v>541.2</v>
      </c>
      <c r="H1404" s="50">
        <f t="array" ref="H1404">SUM(IF(INSTOCK!$H$3:$H$6125=B1404,INSTOCK!$I$3:$I$6125))</f>
        <v>7</v>
      </c>
      <c r="I1404" s="50" t="str">
        <f>ARRAY_CONSTRAIN(ARRAYFORMULA(SUM(IF([3]!Table13[ID]=B1404,[3]!Table13[QTY]))), 1, 1)</f>
        <v>#ERROR!</v>
      </c>
      <c r="J1404" s="50" t="str">
        <f>TABLEITEM!$H$3:$H$2749-TABLEITEM!$I$3:$I$2749</f>
        <v>#ERROR!</v>
      </c>
    </row>
    <row r="1405" ht="15.75" customHeight="1">
      <c r="A1405" s="45"/>
      <c r="B1405" s="10" t="s">
        <v>2990</v>
      </c>
      <c r="C1405" s="26"/>
      <c r="D1405" s="10" t="s">
        <v>8895</v>
      </c>
      <c r="E1405" s="48" t="s">
        <v>8896</v>
      </c>
      <c r="F1405" s="57" t="s">
        <v>7173</v>
      </c>
      <c r="G1405" s="49">
        <f t="array" ref="G1405">MAX(IF(INSTOCK!$H$3:$H$6125=B1405,INSTOCK!$K$3:$K$6125))</f>
        <v>24</v>
      </c>
      <c r="H1405" s="50">
        <f t="array" ref="H1405">SUM(IF(INSTOCK!$H$3:$H$6125=B1405,INSTOCK!$I$3:$I$6125))</f>
        <v>12</v>
      </c>
      <c r="I1405" s="50" t="str">
        <f>ARRAY_CONSTRAIN(ARRAYFORMULA(SUM(IF([3]!Table13[ID]=B1405,[3]!Table13[QTY]))), 1, 1)</f>
        <v>#ERROR!</v>
      </c>
      <c r="J1405" s="50" t="str">
        <f>TABLEITEM!$H$3:$H$2749-TABLEITEM!$I$3:$I$2749</f>
        <v>#ERROR!</v>
      </c>
    </row>
    <row r="1406" ht="15.75" customHeight="1">
      <c r="A1406" s="45"/>
      <c r="B1406" s="10" t="s">
        <v>2130</v>
      </c>
      <c r="C1406" s="26"/>
      <c r="D1406" s="10" t="s">
        <v>8897</v>
      </c>
      <c r="E1406" s="48" t="s">
        <v>1487</v>
      </c>
      <c r="F1406" s="57" t="s">
        <v>7173</v>
      </c>
      <c r="G1406" s="49">
        <f t="array" ref="G1406">MAX(IF(INSTOCK!$H$3:$H$6125=B1406,INSTOCK!$K$3:$K$6125))</f>
        <v>9512</v>
      </c>
      <c r="H1406" s="50">
        <f t="array" ref="H1406">SUM(IF(INSTOCK!$H$3:$H$6125=B1406,INSTOCK!$I$3:$I$6125))</f>
        <v>1</v>
      </c>
      <c r="I1406" s="50" t="str">
        <f>ARRAY_CONSTRAIN(ARRAYFORMULA(SUM(IF([3]!Table13[ID]=B1406,[3]!Table13[QTY]))), 1, 1)</f>
        <v>#ERROR!</v>
      </c>
      <c r="J1406" s="50" t="str">
        <f>TABLEITEM!$H$3:$H$2749-TABLEITEM!$I$3:$I$2749</f>
        <v>#ERROR!</v>
      </c>
    </row>
    <row r="1407" ht="15.75" customHeight="1">
      <c r="A1407" s="45"/>
      <c r="B1407" s="10" t="s">
        <v>2988</v>
      </c>
      <c r="C1407" s="26"/>
      <c r="D1407" s="10" t="s">
        <v>8898</v>
      </c>
      <c r="E1407" s="48" t="s">
        <v>8896</v>
      </c>
      <c r="F1407" s="57" t="s">
        <v>7173</v>
      </c>
      <c r="G1407" s="49">
        <f t="array" ref="G1407">MAX(IF(INSTOCK!$H$3:$H$6125=B1407,INSTOCK!$K$3:$K$6125))</f>
        <v>1350</v>
      </c>
      <c r="H1407" s="50">
        <f t="array" ref="H1407">SUM(IF(INSTOCK!$H$3:$H$6125=B1407,INSTOCK!$I$3:$I$6125))</f>
        <v>2</v>
      </c>
      <c r="I1407" s="50" t="str">
        <f>ARRAY_CONSTRAIN(ARRAYFORMULA(SUM(IF([3]!Table13[ID]=B1407,[3]!Table13[QTY]))), 1, 1)</f>
        <v>#ERROR!</v>
      </c>
      <c r="J1407" s="50" t="str">
        <f>TABLEITEM!$H$3:$H$2749-TABLEITEM!$I$3:$I$2749</f>
        <v>#ERROR!</v>
      </c>
    </row>
    <row r="1408" ht="15.75" customHeight="1">
      <c r="A1408" s="45"/>
      <c r="B1408" s="10" t="s">
        <v>2989</v>
      </c>
      <c r="C1408" s="26"/>
      <c r="D1408" s="10" t="s">
        <v>8899</v>
      </c>
      <c r="E1408" s="48" t="s">
        <v>8896</v>
      </c>
      <c r="F1408" s="57" t="s">
        <v>7173</v>
      </c>
      <c r="G1408" s="49">
        <f t="array" ref="G1408">MAX(IF(INSTOCK!$H$3:$H$6125=B1408,INSTOCK!$K$3:$K$6125))</f>
        <v>66</v>
      </c>
      <c r="H1408" s="50">
        <f t="array" ref="H1408">SUM(IF(INSTOCK!$H$3:$H$6125=B1408,INSTOCK!$I$3:$I$6125))</f>
        <v>1</v>
      </c>
      <c r="I1408" s="50" t="str">
        <f>ARRAY_CONSTRAIN(ARRAYFORMULA(SUM(IF([3]!Table13[ID]=B1408,[3]!Table13[QTY]))), 1, 1)</f>
        <v>#ERROR!</v>
      </c>
      <c r="J1408" s="50" t="str">
        <f>TABLEITEM!$H$3:$H$2749-TABLEITEM!$I$3:$I$2749</f>
        <v>#ERROR!</v>
      </c>
    </row>
    <row r="1409" ht="15.75" customHeight="1">
      <c r="A1409" s="45"/>
      <c r="B1409" s="10" t="s">
        <v>2848</v>
      </c>
      <c r="C1409" s="26"/>
      <c r="D1409" s="10" t="s">
        <v>8900</v>
      </c>
      <c r="E1409" s="48" t="s">
        <v>8360</v>
      </c>
      <c r="F1409" s="48" t="s">
        <v>7173</v>
      </c>
      <c r="G1409" s="49">
        <f t="array" ref="G1409">MAX(IF(INSTOCK!$H$3:$H$6125=B1409,INSTOCK!$K$3:$K$6125))</f>
        <v>38960</v>
      </c>
      <c r="H1409" s="50">
        <f t="array" ref="H1409">SUM(IF(INSTOCK!$H$3:$H$6125=B1409,INSTOCK!$I$3:$I$6125))</f>
        <v>1</v>
      </c>
      <c r="I1409" s="50" t="str">
        <f>ARRAY_CONSTRAIN(ARRAYFORMULA(SUM(IF([3]!Table13[ID]=B1409,[3]!Table13[QTY]))), 1, 1)</f>
        <v>#ERROR!</v>
      </c>
      <c r="J1409" s="50" t="str">
        <f>TABLEITEM!$H$3:$H$2749-TABLEITEM!$I$3:$I$2749</f>
        <v>#ERROR!</v>
      </c>
    </row>
    <row r="1410" ht="15.75" customHeight="1">
      <c r="A1410" s="45"/>
      <c r="B1410" s="10" t="s">
        <v>2299</v>
      </c>
      <c r="C1410" s="26"/>
      <c r="D1410" s="10" t="s">
        <v>8901</v>
      </c>
      <c r="E1410" s="48" t="s">
        <v>8902</v>
      </c>
      <c r="F1410" s="48" t="s">
        <v>7173</v>
      </c>
      <c r="G1410" s="49">
        <f t="array" ref="G1410">MAX(IF(INSTOCK!$H$3:$H$6125=B1410,INSTOCK!$K$3:$K$6125))</f>
        <v>3880</v>
      </c>
      <c r="H1410" s="50">
        <f t="array" ref="H1410">SUM(IF(INSTOCK!$H$3:$H$6125=B1410,INSTOCK!$I$3:$I$6125))</f>
        <v>1</v>
      </c>
      <c r="I1410" s="50" t="str">
        <f>ARRAY_CONSTRAIN(ARRAYFORMULA(SUM(IF([3]!Table13[ID]=B1410,[3]!Table13[QTY]))), 1, 1)</f>
        <v>#ERROR!</v>
      </c>
      <c r="J1410" s="50" t="str">
        <f>TABLEITEM!$H$3:$H$2749-TABLEITEM!$I$3:$I$2749</f>
        <v>#ERROR!</v>
      </c>
    </row>
    <row r="1411" ht="15.75" customHeight="1">
      <c r="A1411" s="45"/>
      <c r="B1411" s="10" t="s">
        <v>1562</v>
      </c>
      <c r="C1411" s="26"/>
      <c r="D1411" s="10" t="s">
        <v>8903</v>
      </c>
      <c r="E1411" s="48" t="s">
        <v>1487</v>
      </c>
      <c r="F1411" s="57" t="s">
        <v>7173</v>
      </c>
      <c r="G1411" s="49">
        <f t="array" ref="G1411">MAX(IF(INSTOCK!$H$3:$H$6125=B1411,INSTOCK!$K$3:$K$6125))</f>
        <v>1251.6</v>
      </c>
      <c r="H1411" s="50">
        <f t="array" ref="H1411">SUM(IF(INSTOCK!$H$3:$H$6125=B1411,INSTOCK!$I$3:$I$6125))</f>
        <v>4</v>
      </c>
      <c r="I1411" s="50" t="str">
        <f>ARRAY_CONSTRAIN(ARRAYFORMULA(SUM(IF([3]!Table13[ID]=B1411,[3]!Table13[QTY]))), 1, 1)</f>
        <v>#ERROR!</v>
      </c>
      <c r="J1411" s="50" t="str">
        <f>TABLEITEM!$H$3:$H$2749-TABLEITEM!$I$3:$I$2749</f>
        <v>#ERROR!</v>
      </c>
    </row>
    <row r="1412" ht="15.75" customHeight="1">
      <c r="A1412" s="45"/>
      <c r="B1412" s="10" t="s">
        <v>1561</v>
      </c>
      <c r="C1412" s="26"/>
      <c r="D1412" s="10" t="s">
        <v>8904</v>
      </c>
      <c r="E1412" s="48" t="s">
        <v>1487</v>
      </c>
      <c r="F1412" s="57" t="s">
        <v>7173</v>
      </c>
      <c r="G1412" s="49">
        <f t="array" ref="G1412">MAX(IF(INSTOCK!$H$3:$H$6125=B1412,INSTOCK!$K$3:$K$6125))</f>
        <v>1125.6</v>
      </c>
      <c r="H1412" s="50">
        <f t="array" ref="H1412">SUM(IF(INSTOCK!$H$3:$H$6125=B1412,INSTOCK!$I$3:$I$6125))</f>
        <v>13</v>
      </c>
      <c r="I1412" s="50" t="str">
        <f>ARRAY_CONSTRAIN(ARRAYFORMULA(SUM(IF([3]!Table13[ID]=B1412,[3]!Table13[QTY]))), 1, 1)</f>
        <v>#ERROR!</v>
      </c>
      <c r="J1412" s="50" t="str">
        <f>TABLEITEM!$H$3:$H$2749-TABLEITEM!$I$3:$I$2749</f>
        <v>#ERROR!</v>
      </c>
    </row>
    <row r="1413" ht="15.75" customHeight="1">
      <c r="A1413" s="45"/>
      <c r="B1413" s="10" t="s">
        <v>2386</v>
      </c>
      <c r="C1413" s="26"/>
      <c r="D1413" s="10" t="s">
        <v>8905</v>
      </c>
      <c r="E1413" s="48" t="s">
        <v>1487</v>
      </c>
      <c r="F1413" s="57" t="s">
        <v>7173</v>
      </c>
      <c r="G1413" s="49">
        <f t="array" ref="G1413">MAX(IF(INSTOCK!$H$3:$H$6125=B1413,INSTOCK!$K$3:$K$6125))</f>
        <v>1098.8</v>
      </c>
      <c r="H1413" s="50">
        <f t="array" ref="H1413">SUM(IF(INSTOCK!$H$3:$H$6125=B1413,INSTOCK!$I$3:$I$6125))</f>
        <v>2</v>
      </c>
      <c r="I1413" s="50" t="str">
        <f>ARRAY_CONSTRAIN(ARRAYFORMULA(SUM(IF([3]!Table13[ID]=B1413,[3]!Table13[QTY]))), 1, 1)</f>
        <v>#ERROR!</v>
      </c>
      <c r="J1413" s="50" t="str">
        <f>TABLEITEM!$H$3:$H$2749-TABLEITEM!$I$3:$I$2749</f>
        <v>#ERROR!</v>
      </c>
    </row>
    <row r="1414" ht="15.75" customHeight="1">
      <c r="A1414" s="45"/>
      <c r="B1414" s="10" t="s">
        <v>1752</v>
      </c>
      <c r="C1414" s="26"/>
      <c r="D1414" s="10" t="s">
        <v>8906</v>
      </c>
      <c r="E1414" s="48" t="s">
        <v>1487</v>
      </c>
      <c r="F1414" s="57" t="s">
        <v>7173</v>
      </c>
      <c r="G1414" s="49">
        <f t="array" ref="G1414">MAX(IF(INSTOCK!$H$3:$H$6125=B1414,INSTOCK!$K$3:$K$6125))</f>
        <v>1201.3</v>
      </c>
      <c r="H1414" s="50">
        <f t="array" ref="H1414">SUM(IF(INSTOCK!$H$3:$H$6125=B1414,INSTOCK!$I$3:$I$6125))</f>
        <v>5</v>
      </c>
      <c r="I1414" s="50" t="str">
        <f>ARRAY_CONSTRAIN(ARRAYFORMULA(SUM(IF([3]!Table13[ID]=B1414,[3]!Table13[QTY]))), 1, 1)</f>
        <v>#ERROR!</v>
      </c>
      <c r="J1414" s="50" t="str">
        <f>TABLEITEM!$H$3:$H$2749-TABLEITEM!$I$3:$I$2749</f>
        <v>#ERROR!</v>
      </c>
    </row>
    <row r="1415" ht="15.75" customHeight="1">
      <c r="A1415" s="45"/>
      <c r="B1415" s="10" t="s">
        <v>1751</v>
      </c>
      <c r="C1415" s="26"/>
      <c r="D1415" s="10" t="s">
        <v>8907</v>
      </c>
      <c r="E1415" s="48" t="s">
        <v>1487</v>
      </c>
      <c r="F1415" s="57" t="s">
        <v>7173</v>
      </c>
      <c r="G1415" s="49">
        <f t="array" ref="G1415">MAX(IF(INSTOCK!$H$3:$H$6125=B1415,INSTOCK!$K$3:$K$6125))</f>
        <v>1201.3</v>
      </c>
      <c r="H1415" s="50">
        <f t="array" ref="H1415">SUM(IF(INSTOCK!$H$3:$H$6125=B1415,INSTOCK!$I$3:$I$6125))</f>
        <v>8</v>
      </c>
      <c r="I1415" s="50" t="str">
        <f>ARRAY_CONSTRAIN(ARRAYFORMULA(SUM(IF([3]!Table13[ID]=B1415,[3]!Table13[QTY]))), 1, 1)</f>
        <v>#ERROR!</v>
      </c>
      <c r="J1415" s="50" t="str">
        <f>TABLEITEM!$H$3:$H$2749-TABLEITEM!$I$3:$I$2749</f>
        <v>#ERROR!</v>
      </c>
    </row>
    <row r="1416" ht="15.75" customHeight="1">
      <c r="A1416" s="45"/>
      <c r="B1416" s="10" t="s">
        <v>2139</v>
      </c>
      <c r="C1416" s="26"/>
      <c r="D1416" s="10" t="s">
        <v>8908</v>
      </c>
      <c r="E1416" s="48" t="s">
        <v>8909</v>
      </c>
      <c r="F1416" s="57" t="s">
        <v>8686</v>
      </c>
      <c r="G1416" s="49">
        <f t="array" ref="G1416">MAX(IF(INSTOCK!$H$3:$H$6125=B1416,INSTOCK!$K$3:$K$6125))</f>
        <v>1630</v>
      </c>
      <c r="H1416" s="50">
        <f t="array" ref="H1416">SUM(IF(INSTOCK!$H$3:$H$6125=B1416,INSTOCK!$I$3:$I$6125))</f>
        <v>4</v>
      </c>
      <c r="I1416" s="50" t="str">
        <f>ARRAY_CONSTRAIN(ARRAYFORMULA(SUM(IF([3]!Table13[ID]=B1416,[3]!Table13[QTY]))), 1, 1)</f>
        <v>#ERROR!</v>
      </c>
      <c r="J1416" s="50" t="str">
        <f>TABLEITEM!$H$3:$H$2749-TABLEITEM!$I$3:$I$2749</f>
        <v>#ERROR!</v>
      </c>
    </row>
    <row r="1417" ht="15.75" customHeight="1">
      <c r="A1417" s="45"/>
      <c r="B1417" s="10" t="s">
        <v>2369</v>
      </c>
      <c r="C1417" s="26"/>
      <c r="D1417" s="10" t="s">
        <v>8910</v>
      </c>
      <c r="E1417" s="48" t="s">
        <v>8909</v>
      </c>
      <c r="F1417" s="57" t="s">
        <v>8686</v>
      </c>
      <c r="G1417" s="49">
        <f t="array" ref="G1417">MAX(IF(INSTOCK!$H$3:$H$6125=B1417,INSTOCK!$K$3:$K$6125))</f>
        <v>1730</v>
      </c>
      <c r="H1417" s="50">
        <f t="array" ref="H1417">SUM(IF(INSTOCK!$H$3:$H$6125=B1417,INSTOCK!$I$3:$I$6125))</f>
        <v>7</v>
      </c>
      <c r="I1417" s="50" t="str">
        <f>ARRAY_CONSTRAIN(ARRAYFORMULA(SUM(IF([3]!Table13[ID]=B1417,[3]!Table13[QTY]))), 1, 1)</f>
        <v>#ERROR!</v>
      </c>
      <c r="J1417" s="50" t="str">
        <f>TABLEITEM!$H$3:$H$2749-TABLEITEM!$I$3:$I$2749</f>
        <v>#ERROR!</v>
      </c>
    </row>
    <row r="1418" ht="15.75" customHeight="1">
      <c r="A1418" s="45"/>
      <c r="B1418" s="10" t="s">
        <v>2724</v>
      </c>
      <c r="C1418" s="26"/>
      <c r="D1418" s="10" t="s">
        <v>8911</v>
      </c>
      <c r="E1418" s="48" t="s">
        <v>8724</v>
      </c>
      <c r="F1418" s="48" t="s">
        <v>7173</v>
      </c>
      <c r="G1418" s="49">
        <f t="array" ref="G1418">MAX(IF(INSTOCK!$H$3:$H$6125=B1418,INSTOCK!$K$3:$K$6125))</f>
        <v>9500</v>
      </c>
      <c r="H1418" s="50">
        <f t="array" ref="H1418">SUM(IF(INSTOCK!$H$3:$H$6125=B1418,INSTOCK!$I$3:$I$6125))</f>
        <v>1</v>
      </c>
      <c r="I1418" s="50" t="str">
        <f>ARRAY_CONSTRAIN(ARRAYFORMULA(SUM(IF([3]!Table13[ID]=B1418,[3]!Table13[QTY]))), 1, 1)</f>
        <v>#ERROR!</v>
      </c>
      <c r="J1418" s="50" t="str">
        <f>TABLEITEM!$H$3:$H$2749-TABLEITEM!$I$3:$I$2749</f>
        <v>#ERROR!</v>
      </c>
    </row>
    <row r="1419" ht="15.75" customHeight="1">
      <c r="A1419" s="45"/>
      <c r="B1419" s="10" t="s">
        <v>1839</v>
      </c>
      <c r="C1419" s="26"/>
      <c r="D1419" s="10" t="s">
        <v>8912</v>
      </c>
      <c r="E1419" s="48" t="s">
        <v>1487</v>
      </c>
      <c r="F1419" s="57" t="s">
        <v>7173</v>
      </c>
      <c r="G1419" s="49">
        <f t="array" ref="G1419">MAX(IF(INSTOCK!$H$3:$H$6125=B1419,INSTOCK!$K$3:$K$6125))</f>
        <v>90.2</v>
      </c>
      <c r="H1419" s="50">
        <f t="array" ref="H1419">SUM(IF(INSTOCK!$H$3:$H$6125=B1419,INSTOCK!$I$3:$I$6125))</f>
        <v>74</v>
      </c>
      <c r="I1419" s="50" t="str">
        <f>ARRAY_CONSTRAIN(ARRAYFORMULA(SUM(IF([3]!Table13[ID]=B1419,[3]!Table13[QTY]))), 1, 1)</f>
        <v>#ERROR!</v>
      </c>
      <c r="J1419" s="50" t="str">
        <f>TABLEITEM!$H$3:$H$2749-TABLEITEM!$I$3:$I$2749</f>
        <v>#ERROR!</v>
      </c>
    </row>
    <row r="1420" ht="15.75" customHeight="1">
      <c r="A1420" s="45"/>
      <c r="B1420" s="10" t="s">
        <v>1838</v>
      </c>
      <c r="C1420" s="26"/>
      <c r="D1420" s="10" t="s">
        <v>8913</v>
      </c>
      <c r="E1420" s="48" t="s">
        <v>1487</v>
      </c>
      <c r="F1420" s="57" t="s">
        <v>7173</v>
      </c>
      <c r="G1420" s="49">
        <f t="array" ref="G1420">MAX(IF(INSTOCK!$H$3:$H$6125=B1420,INSTOCK!$K$3:$K$6125))</f>
        <v>78.66</v>
      </c>
      <c r="H1420" s="50">
        <f t="array" ref="H1420">SUM(IF(INSTOCK!$H$3:$H$6125=B1420,INSTOCK!$I$3:$I$6125))</f>
        <v>45</v>
      </c>
      <c r="I1420" s="50" t="str">
        <f>ARRAY_CONSTRAIN(ARRAYFORMULA(SUM(IF([3]!Table13[ID]=B1420,[3]!Table13[QTY]))), 1, 1)</f>
        <v>#ERROR!</v>
      </c>
      <c r="J1420" s="50" t="str">
        <f>TABLEITEM!$H$3:$H$2749-TABLEITEM!$I$3:$I$2749</f>
        <v>#ERROR!</v>
      </c>
    </row>
    <row r="1421" ht="15.75" customHeight="1">
      <c r="A1421" s="45"/>
      <c r="B1421" s="10" t="s">
        <v>2043</v>
      </c>
      <c r="C1421" s="26"/>
      <c r="D1421" s="10" t="s">
        <v>8914</v>
      </c>
      <c r="E1421" s="48" t="s">
        <v>2231</v>
      </c>
      <c r="F1421" s="57" t="s">
        <v>7173</v>
      </c>
      <c r="G1421" s="49">
        <f t="array" ref="G1421">MAX(IF(INSTOCK!$H$3:$H$6125=B1421,INSTOCK!$K$3:$K$6125))</f>
        <v>255.78</v>
      </c>
      <c r="H1421" s="50">
        <f t="array" ref="H1421">SUM(IF(INSTOCK!$H$3:$H$6125=B1421,INSTOCK!$I$3:$I$6125))</f>
        <v>3</v>
      </c>
      <c r="I1421" s="50" t="str">
        <f>ARRAY_CONSTRAIN(ARRAYFORMULA(SUM(IF([3]!Table13[ID]=B1421,[3]!Table13[QTY]))), 1, 1)</f>
        <v>#ERROR!</v>
      </c>
      <c r="J1421" s="50" t="str">
        <f>TABLEITEM!$H$3:$H$2749-TABLEITEM!$I$3:$I$2749</f>
        <v>#ERROR!</v>
      </c>
    </row>
    <row r="1422" ht="15.75" customHeight="1">
      <c r="A1422" s="45"/>
      <c r="B1422" s="10" t="s">
        <v>1928</v>
      </c>
      <c r="C1422" s="26"/>
      <c r="D1422" s="10" t="s">
        <v>8915</v>
      </c>
      <c r="E1422" s="48" t="s">
        <v>1930</v>
      </c>
      <c r="F1422" s="57" t="s">
        <v>7173</v>
      </c>
      <c r="G1422" s="49">
        <f t="array" ref="G1422">MAX(IF(INSTOCK!$H$3:$H$6125=B1422,INSTOCK!$K$3:$K$6125))</f>
        <v>168</v>
      </c>
      <c r="H1422" s="50">
        <f t="array" ref="H1422">SUM(IF(INSTOCK!$H$3:$H$6125=B1422,INSTOCK!$I$3:$I$6125))</f>
        <v>10</v>
      </c>
      <c r="I1422" s="50" t="str">
        <f>ARRAY_CONSTRAIN(ARRAYFORMULA(SUM(IF([3]!Table13[ID]=B1422,[3]!Table13[QTY]))), 1, 1)</f>
        <v>#ERROR!</v>
      </c>
      <c r="J1422" s="50" t="str">
        <f>TABLEITEM!$H$3:$H$2749-TABLEITEM!$I$3:$I$2749</f>
        <v>#ERROR!</v>
      </c>
    </row>
    <row r="1423" ht="15.75" customHeight="1">
      <c r="A1423" s="45"/>
      <c r="B1423" s="10" t="s">
        <v>3106</v>
      </c>
      <c r="C1423" s="26"/>
      <c r="D1423" s="10" t="s">
        <v>8916</v>
      </c>
      <c r="E1423" s="48" t="s">
        <v>1487</v>
      </c>
      <c r="F1423" s="57" t="s">
        <v>7173</v>
      </c>
      <c r="G1423" s="49">
        <f t="array" ref="G1423">MAX(IF(INSTOCK!$H$3:$H$6125=B1423,INSTOCK!$K$3:$K$6125))</f>
        <v>2318</v>
      </c>
      <c r="H1423" s="50">
        <f t="array" ref="H1423">SUM(IF(INSTOCK!$H$3:$H$6125=B1423,INSTOCK!$I$3:$I$6125))</f>
        <v>1</v>
      </c>
      <c r="I1423" s="50" t="str">
        <f>ARRAY_CONSTRAIN(ARRAYFORMULA(SUM(IF([3]!Table13[ID]=B1423,[3]!Table13[QTY]))), 1, 1)</f>
        <v>#ERROR!</v>
      </c>
      <c r="J1423" s="50" t="str">
        <f>TABLEITEM!$H$3:$H$2749-TABLEITEM!$I$3:$I$2749</f>
        <v>#ERROR!</v>
      </c>
    </row>
    <row r="1424" ht="15.75" customHeight="1">
      <c r="A1424" s="45"/>
      <c r="B1424" s="10" t="s">
        <v>3094</v>
      </c>
      <c r="C1424" s="26"/>
      <c r="D1424" s="10" t="s">
        <v>8917</v>
      </c>
      <c r="E1424" s="48" t="s">
        <v>1487</v>
      </c>
      <c r="F1424" s="57" t="s">
        <v>7173</v>
      </c>
      <c r="G1424" s="49">
        <f t="array" ref="G1424">MAX(IF(INSTOCK!$H$3:$H$6125=B1424,INSTOCK!$K$3:$K$6125))</f>
        <v>1064</v>
      </c>
      <c r="H1424" s="50">
        <f t="array" ref="H1424">SUM(IF(INSTOCK!$H$3:$H$6125=B1424,INSTOCK!$I$3:$I$6125))</f>
        <v>2</v>
      </c>
      <c r="I1424" s="50" t="str">
        <f>ARRAY_CONSTRAIN(ARRAYFORMULA(SUM(IF([3]!Table13[ID]=B1424,[3]!Table13[QTY]))), 1, 1)</f>
        <v>#ERROR!</v>
      </c>
      <c r="J1424" s="50" t="str">
        <f>TABLEITEM!$H$3:$H$2749-TABLEITEM!$I$3:$I$2749</f>
        <v>#ERROR!</v>
      </c>
    </row>
    <row r="1425" ht="15.75" customHeight="1">
      <c r="A1425" s="45"/>
      <c r="B1425" s="10" t="s">
        <v>2236</v>
      </c>
      <c r="C1425" s="26"/>
      <c r="D1425" s="10" t="s">
        <v>8918</v>
      </c>
      <c r="E1425" s="48" t="s">
        <v>1504</v>
      </c>
      <c r="F1425" s="57" t="s">
        <v>7173</v>
      </c>
      <c r="G1425" s="49">
        <f t="array" ref="G1425">MAX(IF(INSTOCK!$H$3:$H$6125=B1425,INSTOCK!$K$3:$K$6125))</f>
        <v>18954</v>
      </c>
      <c r="H1425" s="50">
        <f t="array" ref="H1425">SUM(IF(INSTOCK!$H$3:$H$6125=B1425,INSTOCK!$I$3:$I$6125))</f>
        <v>2</v>
      </c>
      <c r="I1425" s="50" t="str">
        <f>ARRAY_CONSTRAIN(ARRAYFORMULA(SUM(IF([3]!Table13[ID]=B1425,[3]!Table13[QTY]))), 1, 1)</f>
        <v>#ERROR!</v>
      </c>
      <c r="J1425" s="50" t="str">
        <f>TABLEITEM!$H$3:$H$2749-TABLEITEM!$I$3:$I$2749</f>
        <v>#ERROR!</v>
      </c>
    </row>
    <row r="1426" ht="15.75" customHeight="1">
      <c r="A1426" s="45"/>
      <c r="B1426" s="10" t="s">
        <v>1509</v>
      </c>
      <c r="C1426" s="26"/>
      <c r="D1426" s="10" t="s">
        <v>8919</v>
      </c>
      <c r="E1426" s="48" t="s">
        <v>1504</v>
      </c>
      <c r="F1426" s="57" t="s">
        <v>7173</v>
      </c>
      <c r="G1426" s="49">
        <f t="array" ref="G1426">MAX(IF(INSTOCK!$H$3:$H$6125=B1426,INSTOCK!$K$3:$K$6125))</f>
        <v>1160</v>
      </c>
      <c r="H1426" s="50">
        <f t="array" ref="H1426">SUM(IF(INSTOCK!$H$3:$H$6125=B1426,INSTOCK!$I$3:$I$6125))</f>
        <v>5</v>
      </c>
      <c r="I1426" s="50" t="str">
        <f>ARRAY_CONSTRAIN(ARRAYFORMULA(SUM(IF([3]!Table13[ID]=B1426,[3]!Table13[QTY]))), 1, 1)</f>
        <v>#ERROR!</v>
      </c>
      <c r="J1426" s="50" t="str">
        <f>TABLEITEM!$H$3:$H$2749-TABLEITEM!$I$3:$I$2749</f>
        <v>#ERROR!</v>
      </c>
    </row>
    <row r="1427" ht="15.75" customHeight="1">
      <c r="A1427" s="45"/>
      <c r="B1427" s="10" t="s">
        <v>1970</v>
      </c>
      <c r="C1427" s="26"/>
      <c r="D1427" s="10" t="s">
        <v>8920</v>
      </c>
      <c r="E1427" s="48" t="s">
        <v>1487</v>
      </c>
      <c r="F1427" s="57" t="s">
        <v>7173</v>
      </c>
      <c r="G1427" s="49">
        <f t="array" ref="G1427">MAX(IF(INSTOCK!$H$3:$H$6125=B1427,INSTOCK!$K$3:$K$6125))</f>
        <v>4054.9</v>
      </c>
      <c r="H1427" s="50">
        <f t="array" ref="H1427">SUM(IF(INSTOCK!$H$3:$H$6125=B1427,INSTOCK!$I$3:$I$6125))</f>
        <v>1</v>
      </c>
      <c r="I1427" s="50" t="str">
        <f>ARRAY_CONSTRAIN(ARRAYFORMULA(SUM(IF([3]!Table13[ID]=B1427,[3]!Table13[QTY]))), 1, 1)</f>
        <v>#ERROR!</v>
      </c>
      <c r="J1427" s="50" t="str">
        <f>TABLEITEM!$H$3:$H$2749-TABLEITEM!$I$3:$I$2749</f>
        <v>#ERROR!</v>
      </c>
    </row>
    <row r="1428" ht="15.75" customHeight="1">
      <c r="A1428" s="45"/>
      <c r="B1428" s="10" t="s">
        <v>2962</v>
      </c>
      <c r="C1428" s="26"/>
      <c r="D1428" s="10" t="s">
        <v>8921</v>
      </c>
      <c r="E1428" s="48" t="s">
        <v>1487</v>
      </c>
      <c r="F1428" s="57" t="s">
        <v>7173</v>
      </c>
      <c r="G1428" s="49">
        <f t="array" ref="G1428">MAX(IF(INSTOCK!$H$3:$H$6125=B1428,INSTOCK!$K$3:$K$6125))</f>
        <v>2119.7</v>
      </c>
      <c r="H1428" s="50">
        <f t="array" ref="H1428">SUM(IF(INSTOCK!$H$3:$H$6125=B1428,INSTOCK!$I$3:$I$6125))</f>
        <v>1</v>
      </c>
      <c r="I1428" s="50" t="str">
        <f>ARRAY_CONSTRAIN(ARRAYFORMULA(SUM(IF([3]!Table13[ID]=B1428,[3]!Table13[QTY]))), 1, 1)</f>
        <v>#ERROR!</v>
      </c>
      <c r="J1428" s="50" t="str">
        <f>TABLEITEM!$H$3:$H$2749-TABLEITEM!$I$3:$I$2749</f>
        <v>#ERROR!</v>
      </c>
    </row>
    <row r="1429" ht="15.75" customHeight="1">
      <c r="A1429" s="45"/>
      <c r="B1429" s="10" t="s">
        <v>2967</v>
      </c>
      <c r="C1429" s="26"/>
      <c r="D1429" s="10" t="s">
        <v>8922</v>
      </c>
      <c r="E1429" s="48" t="s">
        <v>1487</v>
      </c>
      <c r="F1429" s="57" t="s">
        <v>7173</v>
      </c>
      <c r="G1429" s="49">
        <f t="array" ref="G1429">MAX(IF(INSTOCK!$H$3:$H$6125=B1429,INSTOCK!$K$3:$K$6125))</f>
        <v>2160.7</v>
      </c>
      <c r="H1429" s="50">
        <f t="array" ref="H1429">SUM(IF(INSTOCK!$H$3:$H$6125=B1429,INSTOCK!$I$3:$I$6125))</f>
        <v>10</v>
      </c>
      <c r="I1429" s="50" t="str">
        <f>ARRAY_CONSTRAIN(ARRAYFORMULA(SUM(IF([3]!Table13[ID]=B1429,[3]!Table13[QTY]))), 1, 1)</f>
        <v>#ERROR!</v>
      </c>
      <c r="J1429" s="50" t="str">
        <f>TABLEITEM!$H$3:$H$2749-TABLEITEM!$I$3:$I$2749</f>
        <v>#ERROR!</v>
      </c>
    </row>
    <row r="1430" ht="15.75" customHeight="1">
      <c r="A1430" s="45"/>
      <c r="B1430" s="10" t="s">
        <v>2963</v>
      </c>
      <c r="C1430" s="26"/>
      <c r="D1430" s="10" t="s">
        <v>8923</v>
      </c>
      <c r="E1430" s="48" t="s">
        <v>1487</v>
      </c>
      <c r="F1430" s="57" t="s">
        <v>7173</v>
      </c>
      <c r="G1430" s="49">
        <f t="array" ref="G1430">MAX(IF(INSTOCK!$H$3:$H$6125=B1430,INSTOCK!$K$3:$K$6125))</f>
        <v>1320</v>
      </c>
      <c r="H1430" s="50">
        <f t="array" ref="H1430">SUM(IF(INSTOCK!$H$3:$H$6125=B1430,INSTOCK!$I$3:$I$6125))</f>
        <v>11</v>
      </c>
      <c r="I1430" s="50" t="str">
        <f>ARRAY_CONSTRAIN(ARRAYFORMULA(SUM(IF([3]!Table13[ID]=B1430,[3]!Table13[QTY]))), 1, 1)</f>
        <v>#ERROR!</v>
      </c>
      <c r="J1430" s="50" t="str">
        <f>TABLEITEM!$H$3:$H$2749-TABLEITEM!$I$3:$I$2749</f>
        <v>#ERROR!</v>
      </c>
    </row>
    <row r="1431" ht="15.75" customHeight="1">
      <c r="A1431" s="45"/>
      <c r="B1431" s="10" t="s">
        <v>2964</v>
      </c>
      <c r="C1431" s="26"/>
      <c r="D1431" s="10" t="s">
        <v>8924</v>
      </c>
      <c r="E1431" s="48" t="s">
        <v>1487</v>
      </c>
      <c r="F1431" s="57" t="s">
        <v>7173</v>
      </c>
      <c r="G1431" s="49">
        <f t="array" ref="G1431">MAX(IF(INSTOCK!$H$3:$H$6125=B1431,INSTOCK!$K$3:$K$6125))</f>
        <v>1320</v>
      </c>
      <c r="H1431" s="50">
        <f t="array" ref="H1431">SUM(IF(INSTOCK!$H$3:$H$6125=B1431,INSTOCK!$I$3:$I$6125))</f>
        <v>13</v>
      </c>
      <c r="I1431" s="50" t="str">
        <f>ARRAY_CONSTRAIN(ARRAYFORMULA(SUM(IF([3]!Table13[ID]=B1431,[3]!Table13[QTY]))), 1, 1)</f>
        <v>#ERROR!</v>
      </c>
      <c r="J1431" s="50" t="str">
        <f>TABLEITEM!$H$3:$H$2749-TABLEITEM!$I$3:$I$2749</f>
        <v>#ERROR!</v>
      </c>
    </row>
    <row r="1432" ht="15.75" customHeight="1">
      <c r="A1432" s="45"/>
      <c r="B1432" s="10" t="s">
        <v>2965</v>
      </c>
      <c r="C1432" s="26"/>
      <c r="D1432" s="10" t="s">
        <v>8925</v>
      </c>
      <c r="E1432" s="48" t="s">
        <v>1487</v>
      </c>
      <c r="F1432" s="57" t="s">
        <v>7173</v>
      </c>
      <c r="G1432" s="49">
        <f t="array" ref="G1432">MAX(IF(INSTOCK!$H$3:$H$6125=B1432,INSTOCK!$K$3:$K$6125))</f>
        <v>1279.2</v>
      </c>
      <c r="H1432" s="50">
        <f t="array" ref="H1432">SUM(IF(INSTOCK!$H$3:$H$6125=B1432,INSTOCK!$I$3:$I$6125))</f>
        <v>26</v>
      </c>
      <c r="I1432" s="50" t="str">
        <f>ARRAY_CONSTRAIN(ARRAYFORMULA(SUM(IF([3]!Table13[ID]=B1432,[3]!Table13[QTY]))), 1, 1)</f>
        <v>#ERROR!</v>
      </c>
      <c r="J1432" s="50" t="str">
        <f>TABLEITEM!$H$3:$H$2749-TABLEITEM!$I$3:$I$2749</f>
        <v>#ERROR!</v>
      </c>
    </row>
    <row r="1433" ht="15.75" customHeight="1">
      <c r="A1433" s="45"/>
      <c r="B1433" s="10" t="s">
        <v>2966</v>
      </c>
      <c r="C1433" s="26"/>
      <c r="D1433" s="10" t="s">
        <v>8926</v>
      </c>
      <c r="E1433" s="48" t="s">
        <v>1487</v>
      </c>
      <c r="F1433" s="57" t="s">
        <v>7173</v>
      </c>
      <c r="G1433" s="49">
        <f t="array" ref="G1433">MAX(IF(INSTOCK!$H$3:$H$6125=B1433,INSTOCK!$K$3:$K$6125))</f>
        <v>1254.6</v>
      </c>
      <c r="H1433" s="50">
        <f t="array" ref="H1433">SUM(IF(INSTOCK!$H$3:$H$6125=B1433,INSTOCK!$I$3:$I$6125))</f>
        <v>5</v>
      </c>
      <c r="I1433" s="50" t="str">
        <f>ARRAY_CONSTRAIN(ARRAYFORMULA(SUM(IF([3]!Table13[ID]=B1433,[3]!Table13[QTY]))), 1, 1)</f>
        <v>#ERROR!</v>
      </c>
      <c r="J1433" s="50" t="str">
        <f>TABLEITEM!$H$3:$H$2749-TABLEITEM!$I$3:$I$2749</f>
        <v>#ERROR!</v>
      </c>
    </row>
    <row r="1434" ht="15.75" customHeight="1">
      <c r="A1434" s="45"/>
      <c r="B1434" s="10" t="s">
        <v>2866</v>
      </c>
      <c r="C1434" s="26"/>
      <c r="D1434" s="10" t="s">
        <v>8927</v>
      </c>
      <c r="E1434" s="48" t="s">
        <v>1487</v>
      </c>
      <c r="F1434" s="57" t="s">
        <v>7173</v>
      </c>
      <c r="G1434" s="49">
        <f t="array" ref="G1434">MAX(IF(INSTOCK!$H$3:$H$6125=B1434,INSTOCK!$K$3:$K$6125))</f>
        <v>6336</v>
      </c>
      <c r="H1434" s="50">
        <f t="array" ref="H1434">SUM(IF(INSTOCK!$H$3:$H$6125=B1434,INSTOCK!$I$3:$I$6125))</f>
        <v>6</v>
      </c>
      <c r="I1434" s="50" t="str">
        <f>ARRAY_CONSTRAIN(ARRAYFORMULA(SUM(IF([3]!Table13[ID]=B1434,[3]!Table13[QTY]))), 1, 1)</f>
        <v>#ERROR!</v>
      </c>
      <c r="J1434" s="50" t="str">
        <f>TABLEITEM!$H$3:$H$2749-TABLEITEM!$I$3:$I$2749</f>
        <v>#ERROR!</v>
      </c>
    </row>
    <row r="1435" ht="15.75" customHeight="1">
      <c r="A1435" s="45"/>
      <c r="B1435" s="10" t="s">
        <v>3132</v>
      </c>
      <c r="C1435" s="26"/>
      <c r="D1435" s="10" t="s">
        <v>8928</v>
      </c>
      <c r="E1435" s="48" t="s">
        <v>1487</v>
      </c>
      <c r="F1435" s="57" t="s">
        <v>7173</v>
      </c>
      <c r="G1435" s="49">
        <f t="array" ref="G1435">MAX(IF(INSTOCK!$H$3:$H$6125=B1435,INSTOCK!$K$3:$K$6125))</f>
        <v>1260</v>
      </c>
      <c r="H1435" s="50">
        <f t="array" ref="H1435">SUM(IF(INSTOCK!$H$3:$H$6125=B1435,INSTOCK!$I$3:$I$6125))</f>
        <v>7</v>
      </c>
      <c r="I1435" s="50" t="str">
        <f>ARRAY_CONSTRAIN(ARRAYFORMULA(SUM(IF([3]!Table13[ID]=B1435,[3]!Table13[QTY]))), 1, 1)</f>
        <v>#ERROR!</v>
      </c>
      <c r="J1435" s="50" t="str">
        <f>TABLEITEM!$H$3:$H$2749-TABLEITEM!$I$3:$I$2749</f>
        <v>#ERROR!</v>
      </c>
    </row>
    <row r="1436" ht="15.75" customHeight="1">
      <c r="A1436" s="45"/>
      <c r="B1436" s="10" t="s">
        <v>1706</v>
      </c>
      <c r="C1436" s="26"/>
      <c r="D1436" s="10" t="s">
        <v>8929</v>
      </c>
      <c r="E1436" s="48" t="s">
        <v>1504</v>
      </c>
      <c r="F1436" s="57" t="s">
        <v>7173</v>
      </c>
      <c r="G1436" s="49">
        <f t="array" ref="G1436">MAX(IF(INSTOCK!$H$3:$H$6125=B1436,INSTOCK!$K$3:$K$6125))</f>
        <v>2200</v>
      </c>
      <c r="H1436" s="50">
        <f t="array" ref="H1436">SUM(IF(INSTOCK!$H$3:$H$6125=B1436,INSTOCK!$I$3:$I$6125))</f>
        <v>2</v>
      </c>
      <c r="I1436" s="50" t="str">
        <f>ARRAY_CONSTRAIN(ARRAYFORMULA(SUM(IF([3]!Table13[ID]=B1436,[3]!Table13[QTY]))), 1, 1)</f>
        <v>#ERROR!</v>
      </c>
      <c r="J1436" s="50" t="str">
        <f>TABLEITEM!$H$3:$H$2749-TABLEITEM!$I$3:$I$2749</f>
        <v>#ERROR!</v>
      </c>
    </row>
    <row r="1437" ht="15.75" customHeight="1">
      <c r="A1437" s="45"/>
      <c r="B1437" s="10" t="s">
        <v>1717</v>
      </c>
      <c r="C1437" s="26"/>
      <c r="D1437" s="10" t="s">
        <v>8930</v>
      </c>
      <c r="E1437" s="48" t="s">
        <v>1504</v>
      </c>
      <c r="F1437" s="57" t="s">
        <v>7173</v>
      </c>
      <c r="G1437" s="49">
        <f t="array" ref="G1437">MAX(IF(INSTOCK!$H$3:$H$6125=B1437,INSTOCK!$K$3:$K$6125))</f>
        <v>1200</v>
      </c>
      <c r="H1437" s="50">
        <f t="array" ref="H1437">SUM(IF(INSTOCK!$H$3:$H$6125=B1437,INSTOCK!$I$3:$I$6125))</f>
        <v>46</v>
      </c>
      <c r="I1437" s="50" t="str">
        <f>ARRAY_CONSTRAIN(ARRAYFORMULA(SUM(IF([3]!Table13[ID]=B1437,[3]!Table13[QTY]))), 1, 1)</f>
        <v>#ERROR!</v>
      </c>
      <c r="J1437" s="50" t="str">
        <f>TABLEITEM!$H$3:$H$2749-TABLEITEM!$I$3:$I$2749</f>
        <v>#ERROR!</v>
      </c>
    </row>
    <row r="1438" ht="15.75" customHeight="1">
      <c r="A1438" s="45"/>
      <c r="B1438" s="10" t="s">
        <v>1769</v>
      </c>
      <c r="C1438" s="26"/>
      <c r="D1438" s="10" t="s">
        <v>8931</v>
      </c>
      <c r="E1438" s="48" t="s">
        <v>1504</v>
      </c>
      <c r="F1438" s="57" t="s">
        <v>7173</v>
      </c>
      <c r="G1438" s="49">
        <f t="array" ref="G1438">MAX(IF(INSTOCK!$H$3:$H$6125=B1438,INSTOCK!$K$3:$K$6125))</f>
        <v>1200</v>
      </c>
      <c r="H1438" s="50">
        <f t="array" ref="H1438">SUM(IF(INSTOCK!$H$3:$H$6125=B1438,INSTOCK!$I$3:$I$6125))</f>
        <v>38</v>
      </c>
      <c r="I1438" s="50" t="str">
        <f>ARRAY_CONSTRAIN(ARRAYFORMULA(SUM(IF([3]!Table13[ID]=B1438,[3]!Table13[QTY]))), 1, 1)</f>
        <v>#ERROR!</v>
      </c>
      <c r="J1438" s="50" t="str">
        <f>TABLEITEM!$H$3:$H$2749-TABLEITEM!$I$3:$I$2749</f>
        <v>#ERROR!</v>
      </c>
    </row>
    <row r="1439" ht="15.75" customHeight="1">
      <c r="A1439" s="45"/>
      <c r="B1439" s="10" t="s">
        <v>1768</v>
      </c>
      <c r="C1439" s="26"/>
      <c r="D1439" s="18" t="s">
        <v>8932</v>
      </c>
      <c r="E1439" s="56" t="s">
        <v>1504</v>
      </c>
      <c r="F1439" s="57" t="s">
        <v>7173</v>
      </c>
      <c r="G1439" s="49">
        <f t="array" ref="G1439">MAX(IF(INSTOCK!$H$3:$H$6125=B1439,INSTOCK!$K$3:$K$6125))</f>
        <v>1200</v>
      </c>
      <c r="H1439" s="50">
        <f t="array" ref="H1439">SUM(IF(INSTOCK!$H$3:$H$6125=B1439,INSTOCK!$I$3:$I$6125))</f>
        <v>85</v>
      </c>
      <c r="I1439" s="50" t="str">
        <f>ARRAY_CONSTRAIN(ARRAYFORMULA(SUM(IF([3]!Table13[ID]=B1439,[3]!Table13[QTY]))), 1, 1)</f>
        <v>#ERROR!</v>
      </c>
      <c r="J1439" s="50" t="str">
        <f>TABLEITEM!$H$3:$H$2749-TABLEITEM!$I$3:$I$2749</f>
        <v>#ERROR!</v>
      </c>
    </row>
    <row r="1440" ht="15.75" customHeight="1">
      <c r="A1440" s="45"/>
      <c r="B1440" s="10" t="s">
        <v>1770</v>
      </c>
      <c r="C1440" s="26"/>
      <c r="D1440" s="18" t="s">
        <v>8933</v>
      </c>
      <c r="E1440" s="56" t="s">
        <v>1504</v>
      </c>
      <c r="F1440" s="57" t="s">
        <v>7173</v>
      </c>
      <c r="G1440" s="49">
        <f t="array" ref="G1440">MAX(IF(INSTOCK!$H$3:$H$6125=B1440,INSTOCK!$K$3:$K$6125))</f>
        <v>1200</v>
      </c>
      <c r="H1440" s="50">
        <f t="array" ref="H1440">SUM(IF(INSTOCK!$H$3:$H$6125=B1440,INSTOCK!$I$3:$I$6125))</f>
        <v>12</v>
      </c>
      <c r="I1440" s="50" t="str">
        <f>ARRAY_CONSTRAIN(ARRAYFORMULA(SUM(IF([3]!Table13[ID]=B1440,[3]!Table13[QTY]))), 1, 1)</f>
        <v>#ERROR!</v>
      </c>
      <c r="J1440" s="50" t="str">
        <f>TABLEITEM!$H$3:$H$2749-TABLEITEM!$I$3:$I$2749</f>
        <v>#ERROR!</v>
      </c>
    </row>
    <row r="1441" ht="15.75" customHeight="1">
      <c r="A1441" s="45"/>
      <c r="B1441" s="10" t="s">
        <v>2571</v>
      </c>
      <c r="C1441" s="26"/>
      <c r="D1441" s="18" t="s">
        <v>8934</v>
      </c>
      <c r="E1441" s="56" t="s">
        <v>1487</v>
      </c>
      <c r="F1441" s="57" t="s">
        <v>7173</v>
      </c>
      <c r="G1441" s="49">
        <f t="array" ref="G1441">MAX(IF(INSTOCK!$H$3:$H$6125=B1441,INSTOCK!$K$3:$K$6125))</f>
        <v>2723.4</v>
      </c>
      <c r="H1441" s="50">
        <f t="array" ref="H1441">SUM(IF(INSTOCK!$H$3:$H$6125=B1441,INSTOCK!$I$3:$I$6125))</f>
        <v>2</v>
      </c>
      <c r="I1441" s="50" t="str">
        <f>ARRAY_CONSTRAIN(ARRAYFORMULA(SUM(IF([3]!Table13[ID]=B1441,[3]!Table13[QTY]))), 1, 1)</f>
        <v>#ERROR!</v>
      </c>
      <c r="J1441" s="50" t="str">
        <f>TABLEITEM!$H$3:$H$2749-TABLEITEM!$I$3:$I$2749</f>
        <v>#ERROR!</v>
      </c>
    </row>
    <row r="1442" ht="15.75" customHeight="1">
      <c r="A1442" s="45"/>
      <c r="B1442" s="10" t="s">
        <v>2567</v>
      </c>
      <c r="C1442" s="26"/>
      <c r="D1442" s="18" t="s">
        <v>8935</v>
      </c>
      <c r="E1442" s="56" t="s">
        <v>1487</v>
      </c>
      <c r="F1442" s="57" t="s">
        <v>7173</v>
      </c>
      <c r="G1442" s="49">
        <f t="array" ref="G1442">MAX(IF(INSTOCK!$H$3:$H$6125=B1442,INSTOCK!$K$3:$K$6125))</f>
        <v>2869</v>
      </c>
      <c r="H1442" s="50">
        <f t="array" ref="H1442">SUM(IF(INSTOCK!$H$3:$H$6125=B1442,INSTOCK!$I$3:$I$6125))</f>
        <v>5</v>
      </c>
      <c r="I1442" s="50" t="str">
        <f>ARRAY_CONSTRAIN(ARRAYFORMULA(SUM(IF([3]!Table13[ID]=B1442,[3]!Table13[QTY]))), 1, 1)</f>
        <v>#ERROR!</v>
      </c>
      <c r="J1442" s="50" t="str">
        <f>TABLEITEM!$H$3:$H$2749-TABLEITEM!$I$3:$I$2749</f>
        <v>#ERROR!</v>
      </c>
    </row>
    <row r="1443" ht="15.75" customHeight="1">
      <c r="A1443" s="45"/>
      <c r="B1443" s="10" t="s">
        <v>2569</v>
      </c>
      <c r="C1443" s="26"/>
      <c r="D1443" s="18" t="s">
        <v>8936</v>
      </c>
      <c r="E1443" s="56" t="s">
        <v>1487</v>
      </c>
      <c r="F1443" s="57" t="s">
        <v>7173</v>
      </c>
      <c r="G1443" s="49">
        <f t="array" ref="G1443">MAX(IF(INSTOCK!$H$3:$H$6125=B1443,INSTOCK!$K$3:$K$6125))</f>
        <v>1837.5</v>
      </c>
      <c r="H1443" s="50">
        <f t="array" ref="H1443">SUM(IF(INSTOCK!$H$3:$H$6125=B1443,INSTOCK!$I$3:$I$6125))</f>
        <v>2</v>
      </c>
      <c r="I1443" s="50" t="str">
        <f>ARRAY_CONSTRAIN(ARRAYFORMULA(SUM(IF([3]!Table13[ID]=B1443,[3]!Table13[QTY]))), 1, 1)</f>
        <v>#ERROR!</v>
      </c>
      <c r="J1443" s="50" t="str">
        <f>TABLEITEM!$H$3:$H$2749-TABLEITEM!$I$3:$I$2749</f>
        <v>#ERROR!</v>
      </c>
    </row>
    <row r="1444" ht="15.75" customHeight="1">
      <c r="A1444" s="45"/>
      <c r="B1444" s="10" t="s">
        <v>1977</v>
      </c>
      <c r="C1444" s="26"/>
      <c r="D1444" s="10" t="s">
        <v>8937</v>
      </c>
      <c r="E1444" s="48" t="s">
        <v>1504</v>
      </c>
      <c r="F1444" s="57" t="s">
        <v>7173</v>
      </c>
      <c r="G1444" s="49">
        <f t="array" ref="G1444">MAX(IF(INSTOCK!$H$3:$H$6125=B1444,INSTOCK!$K$3:$K$6125))</f>
        <v>1420</v>
      </c>
      <c r="H1444" s="50">
        <f t="array" ref="H1444">SUM(IF(INSTOCK!$H$3:$H$6125=B1444,INSTOCK!$I$3:$I$6125))</f>
        <v>10</v>
      </c>
      <c r="I1444" s="50" t="str">
        <f>ARRAY_CONSTRAIN(ARRAYFORMULA(SUM(IF([3]!Table13[ID]=B1444,[3]!Table13[QTY]))), 1, 1)</f>
        <v>#ERROR!</v>
      </c>
      <c r="J1444" s="50" t="str">
        <f>TABLEITEM!$H$3:$H$2749-TABLEITEM!$I$3:$I$2749</f>
        <v>#ERROR!</v>
      </c>
    </row>
    <row r="1445" ht="15.75" customHeight="1">
      <c r="A1445" s="45"/>
      <c r="B1445" s="10" t="s">
        <v>1979</v>
      </c>
      <c r="C1445" s="26"/>
      <c r="D1445" s="10" t="s">
        <v>8938</v>
      </c>
      <c r="E1445" s="48" t="s">
        <v>1504</v>
      </c>
      <c r="F1445" s="57" t="s">
        <v>7173</v>
      </c>
      <c r="G1445" s="49">
        <f t="array" ref="G1445">MAX(IF(INSTOCK!$H$3:$H$6125=B1445,INSTOCK!$K$3:$K$6125))</f>
        <v>1020</v>
      </c>
      <c r="H1445" s="50">
        <f t="array" ref="H1445">SUM(IF(INSTOCK!$H$3:$H$6125=B1445,INSTOCK!$I$3:$I$6125))</f>
        <v>18</v>
      </c>
      <c r="I1445" s="50" t="str">
        <f>ARRAY_CONSTRAIN(ARRAYFORMULA(SUM(IF([3]!Table13[ID]=B1445,[3]!Table13[QTY]))), 1, 1)</f>
        <v>#ERROR!</v>
      </c>
      <c r="J1445" s="50" t="str">
        <f>TABLEITEM!$H$3:$H$2749-TABLEITEM!$I$3:$I$2749</f>
        <v>#ERROR!</v>
      </c>
    </row>
    <row r="1446" ht="15.75" customHeight="1">
      <c r="A1446" s="45"/>
      <c r="B1446" s="10" t="s">
        <v>1793</v>
      </c>
      <c r="C1446" s="26"/>
      <c r="D1446" s="10" t="s">
        <v>8939</v>
      </c>
      <c r="E1446" s="48" t="s">
        <v>1504</v>
      </c>
      <c r="F1446" s="57" t="s">
        <v>7173</v>
      </c>
      <c r="G1446" s="49">
        <f t="array" ref="G1446">MAX(IF(INSTOCK!$H$3:$H$6125=B1446,INSTOCK!$K$3:$K$6125))</f>
        <v>652</v>
      </c>
      <c r="H1446" s="50">
        <f t="array" ref="H1446">SUM(IF(INSTOCK!$H$3:$H$6125=B1446,INSTOCK!$I$3:$I$6125))</f>
        <v>2</v>
      </c>
      <c r="I1446" s="50" t="str">
        <f>ARRAY_CONSTRAIN(ARRAYFORMULA(SUM(IF([3]!Table13[ID]=B1446,[3]!Table13[QTY]))), 1, 1)</f>
        <v>#ERROR!</v>
      </c>
      <c r="J1446" s="50" t="str">
        <f>TABLEITEM!$H$3:$H$2749-TABLEITEM!$I$3:$I$2749</f>
        <v>#ERROR!</v>
      </c>
    </row>
    <row r="1447" ht="15.75" customHeight="1">
      <c r="A1447" s="45"/>
      <c r="B1447" s="10" t="s">
        <v>1806</v>
      </c>
      <c r="C1447" s="26"/>
      <c r="D1447" s="18" t="s">
        <v>8940</v>
      </c>
      <c r="E1447" s="56" t="s">
        <v>1504</v>
      </c>
      <c r="F1447" s="57" t="s">
        <v>7173</v>
      </c>
      <c r="G1447" s="49">
        <f t="array" ref="G1447">MAX(IF(INSTOCK!$H$3:$H$6125=B1447,INSTOCK!$K$3:$K$6125))</f>
        <v>150</v>
      </c>
      <c r="H1447" s="50">
        <f t="array" ref="H1447">SUM(IF(INSTOCK!$H$3:$H$6125=B1447,INSTOCK!$I$3:$I$6125))</f>
        <v>1</v>
      </c>
      <c r="I1447" s="50" t="str">
        <f>ARRAY_CONSTRAIN(ARRAYFORMULA(SUM(IF([3]!Table13[ID]=B1447,[3]!Table13[QTY]))), 1, 1)</f>
        <v>#ERROR!</v>
      </c>
      <c r="J1447" s="50" t="str">
        <f>TABLEITEM!$H$3:$H$2749-TABLEITEM!$I$3:$I$2749</f>
        <v>#ERROR!</v>
      </c>
    </row>
    <row r="1448" ht="15.75" customHeight="1">
      <c r="A1448" s="45"/>
      <c r="B1448" s="10" t="s">
        <v>1597</v>
      </c>
      <c r="C1448" s="26"/>
      <c r="D1448" s="18" t="s">
        <v>8941</v>
      </c>
      <c r="E1448" s="56" t="s">
        <v>1504</v>
      </c>
      <c r="F1448" s="57" t="s">
        <v>7173</v>
      </c>
      <c r="G1448" s="49">
        <f t="array" ref="G1448">MAX(IF(INSTOCK!$H$3:$H$6125=B1448,INSTOCK!$K$3:$K$6125))</f>
        <v>74</v>
      </c>
      <c r="H1448" s="50">
        <f t="array" ref="H1448">SUM(IF(INSTOCK!$H$3:$H$6125=B1448,INSTOCK!$I$3:$I$6125))</f>
        <v>86</v>
      </c>
      <c r="I1448" s="50" t="str">
        <f>ARRAY_CONSTRAIN(ARRAYFORMULA(SUM(IF([3]!Table13[ID]=B1448,[3]!Table13[QTY]))), 1, 1)</f>
        <v>#ERROR!</v>
      </c>
      <c r="J1448" s="50" t="str">
        <f>TABLEITEM!$H$3:$H$2749-TABLEITEM!$I$3:$I$2749</f>
        <v>#ERROR!</v>
      </c>
    </row>
    <row r="1449" ht="15.75" customHeight="1">
      <c r="A1449" s="45"/>
      <c r="B1449" s="10" t="s">
        <v>1804</v>
      </c>
      <c r="C1449" s="26"/>
      <c r="D1449" s="10" t="s">
        <v>8942</v>
      </c>
      <c r="E1449" s="48" t="s">
        <v>1504</v>
      </c>
      <c r="F1449" s="57" t="s">
        <v>7173</v>
      </c>
      <c r="G1449" s="49">
        <f t="array" ref="G1449">MAX(IF(INSTOCK!$H$3:$H$6125=B1449,INSTOCK!$K$3:$K$6125))</f>
        <v>150</v>
      </c>
      <c r="H1449" s="50">
        <f t="array" ref="H1449">SUM(IF(INSTOCK!$H$3:$H$6125=B1449,INSTOCK!$I$3:$I$6125))</f>
        <v>2</v>
      </c>
      <c r="I1449" s="50" t="str">
        <f>ARRAY_CONSTRAIN(ARRAYFORMULA(SUM(IF([3]!Table13[ID]=B1449,[3]!Table13[QTY]))), 1, 1)</f>
        <v>#ERROR!</v>
      </c>
      <c r="J1449" s="50" t="str">
        <f>TABLEITEM!$H$3:$H$2749-TABLEITEM!$I$3:$I$2749</f>
        <v>#ERROR!</v>
      </c>
    </row>
    <row r="1450" ht="15.75" customHeight="1">
      <c r="A1450" s="45"/>
      <c r="B1450" s="10" t="s">
        <v>1803</v>
      </c>
      <c r="C1450" s="26"/>
      <c r="D1450" s="10" t="s">
        <v>8943</v>
      </c>
      <c r="E1450" s="48" t="s">
        <v>1504</v>
      </c>
      <c r="F1450" s="57" t="s">
        <v>7173</v>
      </c>
      <c r="G1450" s="49">
        <f t="array" ref="G1450">MAX(IF(INSTOCK!$H$3:$H$6125=B1450,INSTOCK!$K$3:$K$6125))</f>
        <v>74</v>
      </c>
      <c r="H1450" s="50">
        <f t="array" ref="H1450">SUM(IF(INSTOCK!$H$3:$H$6125=B1450,INSTOCK!$I$3:$I$6125))</f>
        <v>114</v>
      </c>
      <c r="I1450" s="50" t="str">
        <f>ARRAY_CONSTRAIN(ARRAYFORMULA(SUM(IF([3]!Table13[ID]=B1450,[3]!Table13[QTY]))), 1, 1)</f>
        <v>#ERROR!</v>
      </c>
      <c r="J1450" s="50" t="str">
        <f>TABLEITEM!$H$3:$H$2749-TABLEITEM!$I$3:$I$2749</f>
        <v>#ERROR!</v>
      </c>
    </row>
    <row r="1451" ht="15.75" customHeight="1">
      <c r="A1451" s="45"/>
      <c r="B1451" s="10" t="s">
        <v>1795</v>
      </c>
      <c r="C1451" s="26"/>
      <c r="D1451" s="10" t="s">
        <v>8944</v>
      </c>
      <c r="E1451" s="48" t="s">
        <v>1504</v>
      </c>
      <c r="F1451" s="57" t="s">
        <v>7173</v>
      </c>
      <c r="G1451" s="49">
        <f t="array" ref="G1451">MAX(IF(INSTOCK!$H$3:$H$6125=B1451,INSTOCK!$K$3:$K$6125))</f>
        <v>74</v>
      </c>
      <c r="H1451" s="50">
        <f t="array" ref="H1451">SUM(IF(INSTOCK!$H$3:$H$6125=B1451,INSTOCK!$I$3:$I$6125))</f>
        <v>253</v>
      </c>
      <c r="I1451" s="50" t="str">
        <f>ARRAY_CONSTRAIN(ARRAYFORMULA(SUM(IF([3]!Table13[ID]=B1451,[3]!Table13[QTY]))), 1, 1)</f>
        <v>#ERROR!</v>
      </c>
      <c r="J1451" s="50" t="str">
        <f>TABLEITEM!$H$3:$H$2749-TABLEITEM!$I$3:$I$2749</f>
        <v>#ERROR!</v>
      </c>
    </row>
    <row r="1452" ht="15.75" customHeight="1">
      <c r="A1452" s="45"/>
      <c r="B1452" s="10" t="s">
        <v>1795</v>
      </c>
      <c r="C1452" s="26"/>
      <c r="D1452" s="10" t="s">
        <v>8944</v>
      </c>
      <c r="E1452" s="48" t="s">
        <v>1504</v>
      </c>
      <c r="F1452" s="57" t="s">
        <v>7173</v>
      </c>
      <c r="G1452" s="49">
        <f t="array" ref="G1452">MAX(IF(INSTOCK!$H$3:$H$6125=B1452,INSTOCK!$K$3:$K$6125))</f>
        <v>74</v>
      </c>
      <c r="H1452" s="50">
        <f t="array" ref="H1452">SUM(IF(INSTOCK!$H$3:$H$6125=B1452,INSTOCK!$I$3:$I$6125))</f>
        <v>253</v>
      </c>
      <c r="I1452" s="50" t="str">
        <f>ARRAY_CONSTRAIN(ARRAYFORMULA(SUM(IF([3]!Table13[ID]=B1452,[3]!Table13[QTY]))), 1, 1)</f>
        <v>#ERROR!</v>
      </c>
      <c r="J1452" s="50" t="str">
        <f>TABLEITEM!$H$3:$H$2749-TABLEITEM!$I$3:$I$2749</f>
        <v>#ERROR!</v>
      </c>
    </row>
    <row r="1453" ht="15.75" customHeight="1">
      <c r="A1453" s="45"/>
      <c r="B1453" s="18" t="s">
        <v>1798</v>
      </c>
      <c r="C1453" s="26"/>
      <c r="D1453" s="10" t="s">
        <v>8945</v>
      </c>
      <c r="E1453" s="48" t="s">
        <v>1504</v>
      </c>
      <c r="F1453" s="57" t="s">
        <v>7173</v>
      </c>
      <c r="G1453" s="49">
        <f t="array" ref="G1453">MAX(IF(INSTOCK!$H$3:$H$6125=B1453,INSTOCK!$K$3:$K$6125))</f>
        <v>74</v>
      </c>
      <c r="H1453" s="50">
        <f t="array" ref="H1453">SUM(IF(INSTOCK!$H$3:$H$6125=B1453,INSTOCK!$I$3:$I$6125))</f>
        <v>254</v>
      </c>
      <c r="I1453" s="50" t="str">
        <f>ARRAY_CONSTRAIN(ARRAYFORMULA(SUM(IF([3]!Table13[ID]=B1453,[3]!Table13[QTY]))), 1, 1)</f>
        <v>#ERROR!</v>
      </c>
      <c r="J1453" s="50" t="str">
        <f>TABLEITEM!$H$3:$H$2749-TABLEITEM!$I$3:$I$2749</f>
        <v>#ERROR!</v>
      </c>
    </row>
    <row r="1454" ht="15.75" customHeight="1">
      <c r="A1454" s="45"/>
      <c r="B1454" s="10" t="s">
        <v>2264</v>
      </c>
      <c r="C1454" s="26"/>
      <c r="D1454" s="10" t="s">
        <v>8946</v>
      </c>
      <c r="E1454" s="48" t="s">
        <v>1504</v>
      </c>
      <c r="F1454" s="57" t="s">
        <v>7173</v>
      </c>
      <c r="G1454" s="49">
        <f t="array" ref="G1454">MAX(IF(INSTOCK!$H$3:$H$6125=B1454,INSTOCK!$K$3:$K$6125))</f>
        <v>1260</v>
      </c>
      <c r="H1454" s="50">
        <f t="array" ref="H1454">SUM(IF(INSTOCK!$H$3:$H$6125=B1454,INSTOCK!$I$3:$I$6125))</f>
        <v>4</v>
      </c>
      <c r="I1454" s="50" t="str">
        <f>ARRAY_CONSTRAIN(ARRAYFORMULA(SUM(IF([3]!Table13[ID]=B1454,[3]!Table13[QTY]))), 1, 1)</f>
        <v>#ERROR!</v>
      </c>
      <c r="J1454" s="50" t="str">
        <f>TABLEITEM!$H$3:$H$2749-TABLEITEM!$I$3:$I$2749</f>
        <v>#ERROR!</v>
      </c>
    </row>
    <row r="1455" ht="15.75" customHeight="1">
      <c r="A1455" s="45"/>
      <c r="B1455" s="10" t="s">
        <v>2824</v>
      </c>
      <c r="C1455" s="26"/>
      <c r="D1455" s="10" t="s">
        <v>8947</v>
      </c>
      <c r="E1455" s="48" t="s">
        <v>1487</v>
      </c>
      <c r="F1455" s="57" t="s">
        <v>7173</v>
      </c>
      <c r="G1455" s="49">
        <f t="array" ref="G1455">MAX(IF(INSTOCK!$H$3:$H$6125=B1455,INSTOCK!$K$3:$K$6125))</f>
        <v>805</v>
      </c>
      <c r="H1455" s="50">
        <f t="array" ref="H1455">SUM(IF(INSTOCK!$H$3:$H$6125=B1455,INSTOCK!$I$3:$I$6125))</f>
        <v>8</v>
      </c>
      <c r="I1455" s="50" t="str">
        <f>ARRAY_CONSTRAIN(ARRAYFORMULA(SUM(IF([3]!Table13[ID]=B1455,[3]!Table13[QTY]))), 1, 1)</f>
        <v>#ERROR!</v>
      </c>
      <c r="J1455" s="50" t="str">
        <f>TABLEITEM!$H$3:$H$2749-TABLEITEM!$I$3:$I$2749</f>
        <v>#ERROR!</v>
      </c>
    </row>
    <row r="1456" ht="15.75" customHeight="1">
      <c r="A1456" s="45"/>
      <c r="B1456" s="10" t="s">
        <v>2826</v>
      </c>
      <c r="C1456" s="26"/>
      <c r="D1456" s="10" t="s">
        <v>8948</v>
      </c>
      <c r="E1456" s="48" t="s">
        <v>1487</v>
      </c>
      <c r="F1456" s="57" t="s">
        <v>7173</v>
      </c>
      <c r="G1456" s="49">
        <f t="array" ref="G1456">MAX(IF(INSTOCK!$H$3:$H$6125=B1456,INSTOCK!$K$3:$K$6125))</f>
        <v>345.6</v>
      </c>
      <c r="H1456" s="50">
        <f t="array" ref="H1456">SUM(IF(INSTOCK!$H$3:$H$6125=B1456,INSTOCK!$I$3:$I$6125))</f>
        <v>5</v>
      </c>
      <c r="I1456" s="50" t="str">
        <f>ARRAY_CONSTRAIN(ARRAYFORMULA(SUM(IF([3]!Table13[ID]=B1456,[3]!Table13[QTY]))), 1, 1)</f>
        <v>#ERROR!</v>
      </c>
      <c r="J1456" s="50" t="str">
        <f>TABLEITEM!$H$3:$H$2749-TABLEITEM!$I$3:$I$2749</f>
        <v>#ERROR!</v>
      </c>
    </row>
    <row r="1457" ht="15.75" customHeight="1">
      <c r="A1457" s="45"/>
      <c r="B1457" s="10" t="s">
        <v>2822</v>
      </c>
      <c r="C1457" s="26"/>
      <c r="D1457" s="10" t="s">
        <v>8949</v>
      </c>
      <c r="E1457" s="48" t="s">
        <v>1487</v>
      </c>
      <c r="F1457" s="57" t="s">
        <v>7173</v>
      </c>
      <c r="G1457" s="49">
        <f t="array" ref="G1457">MAX(IF(INSTOCK!$H$3:$H$6125=B1457,INSTOCK!$K$3:$K$6125))</f>
        <v>134.4</v>
      </c>
      <c r="H1457" s="50">
        <f t="array" ref="H1457">SUM(IF(INSTOCK!$H$3:$H$6125=B1457,INSTOCK!$I$3:$I$6125))</f>
        <v>4</v>
      </c>
      <c r="I1457" s="50" t="str">
        <f>ARRAY_CONSTRAIN(ARRAYFORMULA(SUM(IF([3]!Table13[ID]=B1457,[3]!Table13[QTY]))), 1, 1)</f>
        <v>#ERROR!</v>
      </c>
      <c r="J1457" s="50" t="str">
        <f>TABLEITEM!$H$3:$H$2749-TABLEITEM!$I$3:$I$2749</f>
        <v>#ERROR!</v>
      </c>
    </row>
    <row r="1458" ht="15.75" customHeight="1">
      <c r="A1458" s="45"/>
      <c r="B1458" s="10" t="s">
        <v>2821</v>
      </c>
      <c r="C1458" s="26"/>
      <c r="D1458" s="10" t="s">
        <v>8950</v>
      </c>
      <c r="E1458" s="48" t="s">
        <v>1487</v>
      </c>
      <c r="F1458" s="57" t="s">
        <v>7173</v>
      </c>
      <c r="G1458" s="49">
        <f t="array" ref="G1458">MAX(IF(INSTOCK!$H$3:$H$6125=B1458,INSTOCK!$K$3:$K$6125))</f>
        <v>139.68</v>
      </c>
      <c r="H1458" s="50">
        <f t="array" ref="H1458">SUM(IF(INSTOCK!$H$3:$H$6125=B1458,INSTOCK!$I$3:$I$6125))</f>
        <v>12</v>
      </c>
      <c r="I1458" s="50" t="str">
        <f>ARRAY_CONSTRAIN(ARRAYFORMULA(SUM(IF([3]!Table13[ID]=B1458,[3]!Table13[QTY]))), 1, 1)</f>
        <v>#ERROR!</v>
      </c>
      <c r="J1458" s="50" t="str">
        <f>TABLEITEM!$H$3:$H$2749-TABLEITEM!$I$3:$I$2749</f>
        <v>#ERROR!</v>
      </c>
    </row>
    <row r="1459" ht="15.75" customHeight="1">
      <c r="A1459" s="45"/>
      <c r="B1459" s="18" t="s">
        <v>2820</v>
      </c>
      <c r="C1459" s="26"/>
      <c r="D1459" s="18" t="s">
        <v>8951</v>
      </c>
      <c r="E1459" s="56" t="s">
        <v>1487</v>
      </c>
      <c r="F1459" s="57" t="s">
        <v>7173</v>
      </c>
      <c r="G1459" s="49">
        <f t="array" ref="G1459">MAX(IF(INSTOCK!$H$3:$H$6125=B1459,INSTOCK!$K$3:$K$6125))</f>
        <v>140</v>
      </c>
      <c r="H1459" s="50">
        <f t="array" ref="H1459">SUM(IF(INSTOCK!$H$3:$H$6125=B1459,INSTOCK!$I$3:$I$6125))</f>
        <v>28</v>
      </c>
      <c r="I1459" s="50" t="str">
        <f>ARRAY_CONSTRAIN(ARRAYFORMULA(SUM(IF([3]!Table13[ID]=B1459,[3]!Table13[QTY]))), 1, 1)</f>
        <v>#ERROR!</v>
      </c>
      <c r="J1459" s="50" t="str">
        <f>TABLEITEM!$H$3:$H$2749-TABLEITEM!$I$3:$I$2749</f>
        <v>#ERROR!</v>
      </c>
    </row>
    <row r="1460" ht="15.75" customHeight="1">
      <c r="A1460" s="45"/>
      <c r="B1460" s="10" t="s">
        <v>2818</v>
      </c>
      <c r="C1460" s="26"/>
      <c r="D1460" s="10" t="s">
        <v>8952</v>
      </c>
      <c r="E1460" s="48" t="s">
        <v>1487</v>
      </c>
      <c r="F1460" s="57" t="s">
        <v>7173</v>
      </c>
      <c r="G1460" s="49">
        <f t="array" ref="G1460">MAX(IF(INSTOCK!$H$3:$H$6125=B1460,INSTOCK!$K$3:$K$6125))</f>
        <v>139.68</v>
      </c>
      <c r="H1460" s="50">
        <f t="array" ref="H1460">SUM(IF(INSTOCK!$H$3:$H$6125=B1460,INSTOCK!$I$3:$I$6125))</f>
        <v>8</v>
      </c>
      <c r="I1460" s="50" t="str">
        <f>ARRAY_CONSTRAIN(ARRAYFORMULA(SUM(IF([3]!Table13[ID]=B1460,[3]!Table13[QTY]))), 1, 1)</f>
        <v>#ERROR!</v>
      </c>
      <c r="J1460" s="50" t="str">
        <f>TABLEITEM!$H$3:$H$2749-TABLEITEM!$I$3:$I$2749</f>
        <v>#ERROR!</v>
      </c>
    </row>
    <row r="1461" ht="15.75" customHeight="1">
      <c r="A1461" s="45"/>
      <c r="B1461" s="10" t="s">
        <v>1490</v>
      </c>
      <c r="C1461" s="26"/>
      <c r="D1461" s="10" t="s">
        <v>8953</v>
      </c>
      <c r="E1461" s="48" t="s">
        <v>1487</v>
      </c>
      <c r="F1461" s="57" t="s">
        <v>7173</v>
      </c>
      <c r="G1461" s="49">
        <f t="array" ref="G1461">MAX(IF(INSTOCK!$H$3:$H$6125=B1461,INSTOCK!$K$3:$K$6125))</f>
        <v>1213.8</v>
      </c>
      <c r="H1461" s="50">
        <f t="array" ref="H1461">SUM(IF(INSTOCK!$H$3:$H$6125=B1461,INSTOCK!$I$3:$I$6125))</f>
        <v>1</v>
      </c>
      <c r="I1461" s="50" t="str">
        <f>ARRAY_CONSTRAIN(ARRAYFORMULA(SUM(IF([3]!Table13[ID]=B1461,[3]!Table13[QTY]))), 1, 1)</f>
        <v>#ERROR!</v>
      </c>
      <c r="J1461" s="50" t="str">
        <f>TABLEITEM!$H$3:$H$2749-TABLEITEM!$I$3:$I$2749</f>
        <v>#ERROR!</v>
      </c>
    </row>
    <row r="1462" ht="15.75" customHeight="1">
      <c r="A1462" s="45"/>
      <c r="B1462" s="10" t="s">
        <v>2242</v>
      </c>
      <c r="C1462" s="26"/>
      <c r="D1462" s="10" t="s">
        <v>8954</v>
      </c>
      <c r="E1462" s="48" t="s">
        <v>1504</v>
      </c>
      <c r="F1462" s="57" t="s">
        <v>7173</v>
      </c>
      <c r="G1462" s="49">
        <f t="array" ref="G1462">MAX(IF(INSTOCK!$H$3:$H$6125=B1462,INSTOCK!$K$3:$K$6125))</f>
        <v>860</v>
      </c>
      <c r="H1462" s="50">
        <f t="array" ref="H1462">SUM(IF(INSTOCK!$H$3:$H$6125=B1462,INSTOCK!$I$3:$I$6125))</f>
        <v>17</v>
      </c>
      <c r="I1462" s="50" t="str">
        <f>ARRAY_CONSTRAIN(ARRAYFORMULA(SUM(IF([3]!Table13[ID]=B1462,[3]!Table13[QTY]))), 1, 1)</f>
        <v>#ERROR!</v>
      </c>
      <c r="J1462" s="50" t="str">
        <f>TABLEITEM!$H$3:$H$2749-TABLEITEM!$I$3:$I$2749</f>
        <v>#ERROR!</v>
      </c>
    </row>
    <row r="1463" ht="15.75" customHeight="1">
      <c r="A1463" s="45"/>
      <c r="B1463" s="10" t="s">
        <v>2034</v>
      </c>
      <c r="C1463" s="26"/>
      <c r="D1463" s="10" t="s">
        <v>8955</v>
      </c>
      <c r="E1463" s="48" t="s">
        <v>1504</v>
      </c>
      <c r="F1463" s="57" t="s">
        <v>7173</v>
      </c>
      <c r="G1463" s="49">
        <f t="array" ref="G1463">MAX(IF(INSTOCK!$H$3:$H$6125=B1463,INSTOCK!$K$3:$K$6125))</f>
        <v>286</v>
      </c>
      <c r="H1463" s="50">
        <f t="array" ref="H1463">SUM(IF(INSTOCK!$H$3:$H$6125=B1463,INSTOCK!$I$3:$I$6125))</f>
        <v>7</v>
      </c>
      <c r="I1463" s="50" t="str">
        <f>ARRAY_CONSTRAIN(ARRAYFORMULA(SUM(IF([3]!Table13[ID]=B1463,[3]!Table13[QTY]))), 1, 1)</f>
        <v>#ERROR!</v>
      </c>
      <c r="J1463" s="50" t="str">
        <f>TABLEITEM!$H$3:$H$2749-TABLEITEM!$I$3:$I$2749</f>
        <v>#ERROR!</v>
      </c>
    </row>
    <row r="1464" ht="15.75" customHeight="1">
      <c r="A1464" s="45"/>
      <c r="B1464" s="10" t="s">
        <v>1824</v>
      </c>
      <c r="C1464" s="26"/>
      <c r="D1464" s="10" t="s">
        <v>8956</v>
      </c>
      <c r="E1464" s="48" t="s">
        <v>1504</v>
      </c>
      <c r="F1464" s="57" t="s">
        <v>7173</v>
      </c>
      <c r="G1464" s="49">
        <f t="array" ref="G1464">MAX(IF(INSTOCK!$H$3:$H$6125=B1464,INSTOCK!$K$3:$K$6125))</f>
        <v>321.75</v>
      </c>
      <c r="H1464" s="50">
        <f t="array" ref="H1464">SUM(IF(INSTOCK!$H$3:$H$6125=B1464,INSTOCK!$I$3:$I$6125))</f>
        <v>19</v>
      </c>
      <c r="I1464" s="50" t="str">
        <f>ARRAY_CONSTRAIN(ARRAYFORMULA(SUM(IF([3]!Table13[ID]=B1464,[3]!Table13[QTY]))), 1, 1)</f>
        <v>#ERROR!</v>
      </c>
      <c r="J1464" s="50" t="str">
        <f>TABLEITEM!$H$3:$H$2749-TABLEITEM!$I$3:$I$2749</f>
        <v>#ERROR!</v>
      </c>
    </row>
    <row r="1465" ht="15.75" customHeight="1">
      <c r="A1465" s="45"/>
      <c r="B1465" s="10" t="s">
        <v>2241</v>
      </c>
      <c r="C1465" s="26"/>
      <c r="D1465" s="10" t="s">
        <v>8957</v>
      </c>
      <c r="E1465" s="48"/>
      <c r="F1465" s="57" t="s">
        <v>7173</v>
      </c>
      <c r="G1465" s="49">
        <f t="array" ref="G1465">MAX(IF(INSTOCK!$H$3:$H$6125=B1465,INSTOCK!$K$3:$K$6125))</f>
        <v>321.75</v>
      </c>
      <c r="H1465" s="50">
        <f t="array" ref="H1465">SUM(IF(INSTOCK!$H$3:$H$6125=B1465,INSTOCK!$I$3:$I$6125))</f>
        <v>45</v>
      </c>
      <c r="I1465" s="50" t="str">
        <f>ARRAY_CONSTRAIN(ARRAYFORMULA(SUM(IF([3]!Table13[ID]=B1465,[3]!Table13[QTY]))), 1, 1)</f>
        <v>#ERROR!</v>
      </c>
      <c r="J1465" s="50" t="str">
        <f>TABLEITEM!$H$3:$H$2749-TABLEITEM!$I$3:$I$2749</f>
        <v>#ERROR!</v>
      </c>
    </row>
    <row r="1466" ht="15.75" customHeight="1">
      <c r="A1466" s="45"/>
      <c r="B1466" s="10" t="s">
        <v>1486</v>
      </c>
      <c r="C1466" s="26"/>
      <c r="D1466" s="10" t="s">
        <v>8958</v>
      </c>
      <c r="E1466" s="48" t="s">
        <v>1487</v>
      </c>
      <c r="F1466" s="57" t="s">
        <v>7173</v>
      </c>
      <c r="G1466" s="49">
        <f t="array" ref="G1466">MAX(IF(INSTOCK!$H$3:$H$6125=B1466,INSTOCK!$K$3:$K$6125))</f>
        <v>214.2</v>
      </c>
      <c r="H1466" s="50">
        <f t="array" ref="H1466">SUM(IF(INSTOCK!$H$3:$H$6125=B1466,INSTOCK!$I$3:$I$6125))</f>
        <v>6</v>
      </c>
      <c r="I1466" s="50" t="str">
        <f>ARRAY_CONSTRAIN(ARRAYFORMULA(SUM(IF([3]!Table13[ID]=B1466,[3]!Table13[QTY]))), 1, 1)</f>
        <v>#ERROR!</v>
      </c>
      <c r="J1466" s="50" t="str">
        <f>TABLEITEM!$H$3:$H$2749-TABLEITEM!$I$3:$I$2749</f>
        <v>#ERROR!</v>
      </c>
    </row>
    <row r="1467" ht="15.75" customHeight="1">
      <c r="A1467" s="45"/>
      <c r="B1467" s="10" t="s">
        <v>1488</v>
      </c>
      <c r="C1467" s="26"/>
      <c r="D1467" s="10" t="s">
        <v>8959</v>
      </c>
      <c r="E1467" s="48" t="s">
        <v>1487</v>
      </c>
      <c r="F1467" s="57" t="s">
        <v>7173</v>
      </c>
      <c r="G1467" s="49">
        <f t="array" ref="G1467">MAX(IF(INSTOCK!$H$3:$H$6125=B1467,INSTOCK!$K$3:$K$6125))</f>
        <v>94.5</v>
      </c>
      <c r="H1467" s="50">
        <f t="array" ref="H1467">SUM(IF(INSTOCK!$H$3:$H$6125=B1467,INSTOCK!$I$3:$I$6125))</f>
        <v>3</v>
      </c>
      <c r="I1467" s="50" t="str">
        <f>ARRAY_CONSTRAIN(ARRAYFORMULA(SUM(IF([3]!Table13[ID]=B1467,[3]!Table13[QTY]))), 1, 1)</f>
        <v>#ERROR!</v>
      </c>
      <c r="J1467" s="50" t="str">
        <f>TABLEITEM!$H$3:$H$2749-TABLEITEM!$I$3:$I$2749</f>
        <v>#ERROR!</v>
      </c>
    </row>
    <row r="1468" ht="15.75" customHeight="1">
      <c r="A1468" s="45"/>
      <c r="B1468" s="10" t="s">
        <v>1489</v>
      </c>
      <c r="C1468" s="26"/>
      <c r="D1468" s="10" t="s">
        <v>8960</v>
      </c>
      <c r="E1468" s="48" t="s">
        <v>1487</v>
      </c>
      <c r="F1468" s="57" t="s">
        <v>7173</v>
      </c>
      <c r="G1468" s="49">
        <f t="array" ref="G1468">MAX(IF(INSTOCK!$H$3:$H$6125=B1468,INSTOCK!$K$3:$K$6125))</f>
        <v>94.5</v>
      </c>
      <c r="H1468" s="50">
        <f t="array" ref="H1468">SUM(IF(INSTOCK!$H$3:$H$6125=B1468,INSTOCK!$I$3:$I$6125))</f>
        <v>10</v>
      </c>
      <c r="I1468" s="50" t="str">
        <f>ARRAY_CONSTRAIN(ARRAYFORMULA(SUM(IF([3]!Table13[ID]=B1468,[3]!Table13[QTY]))), 1, 1)</f>
        <v>#ERROR!</v>
      </c>
      <c r="J1468" s="50" t="str">
        <f>TABLEITEM!$H$3:$H$2749-TABLEITEM!$I$3:$I$2749</f>
        <v>#ERROR!</v>
      </c>
    </row>
    <row r="1469" ht="15.75" customHeight="1">
      <c r="A1469" s="45"/>
      <c r="B1469" s="10" t="s">
        <v>2853</v>
      </c>
      <c r="C1469" s="26"/>
      <c r="D1469" s="10" t="s">
        <v>8961</v>
      </c>
      <c r="E1469" s="48" t="s">
        <v>8962</v>
      </c>
      <c r="F1469" s="48" t="s">
        <v>7173</v>
      </c>
      <c r="G1469" s="49">
        <f t="array" ref="G1469">MAX(IF(INSTOCK!$H$3:$H$6125=B1469,INSTOCK!$K$3:$K$6125))</f>
        <v>261.25</v>
      </c>
      <c r="H1469" s="50">
        <f t="array" ref="H1469">SUM(IF(INSTOCK!$H$3:$H$6125=B1469,INSTOCK!$I$3:$I$6125))</f>
        <v>10</v>
      </c>
      <c r="I1469" s="50" t="str">
        <f>ARRAY_CONSTRAIN(ARRAYFORMULA(SUM(IF([3]!Table13[ID]=B1469,[3]!Table13[QTY]))), 1, 1)</f>
        <v>#ERROR!</v>
      </c>
      <c r="J1469" s="50" t="str">
        <f>TABLEITEM!$H$3:$H$2749-TABLEITEM!$I$3:$I$2749</f>
        <v>#ERROR!</v>
      </c>
    </row>
    <row r="1470" ht="15.75" customHeight="1">
      <c r="A1470" s="45"/>
      <c r="B1470" s="10" t="s">
        <v>2252</v>
      </c>
      <c r="C1470" s="26"/>
      <c r="D1470" s="10" t="s">
        <v>8963</v>
      </c>
      <c r="E1470" s="48" t="s">
        <v>1504</v>
      </c>
      <c r="F1470" s="57" t="s">
        <v>7173</v>
      </c>
      <c r="G1470" s="49">
        <f t="array" ref="G1470">MAX(IF(INSTOCK!$H$3:$H$6125=B1470,INSTOCK!$K$3:$K$6125))</f>
        <v>555.75</v>
      </c>
      <c r="H1470" s="50">
        <f t="array" ref="H1470">SUM(IF(INSTOCK!$H$3:$H$6125=B1470,INSTOCK!$I$3:$I$6125))</f>
        <v>12</v>
      </c>
      <c r="I1470" s="50" t="str">
        <f>ARRAY_CONSTRAIN(ARRAYFORMULA(SUM(IF([3]!Table13[ID]=B1470,[3]!Table13[QTY]))), 1, 1)</f>
        <v>#ERROR!</v>
      </c>
      <c r="J1470" s="50" t="str">
        <f>TABLEITEM!$H$3:$H$2749-TABLEITEM!$I$3:$I$2749</f>
        <v>#ERROR!</v>
      </c>
    </row>
    <row r="1471" ht="15.75" customHeight="1">
      <c r="A1471" s="45"/>
      <c r="B1471" s="10" t="s">
        <v>3105</v>
      </c>
      <c r="C1471" s="26"/>
      <c r="D1471" s="10" t="s">
        <v>8964</v>
      </c>
      <c r="E1471" s="48" t="s">
        <v>1487</v>
      </c>
      <c r="F1471" s="57" t="s">
        <v>7173</v>
      </c>
      <c r="G1471" s="49">
        <f t="array" ref="G1471">MAX(IF(INSTOCK!$H$3:$H$6125=B1471,INSTOCK!$K$3:$K$6125))</f>
        <v>4032</v>
      </c>
      <c r="H1471" s="50">
        <f t="array" ref="H1471">SUM(IF(INSTOCK!$H$3:$H$6125=B1471,INSTOCK!$I$3:$I$6125))</f>
        <v>1</v>
      </c>
      <c r="I1471" s="50" t="str">
        <f>ARRAY_CONSTRAIN(ARRAYFORMULA(SUM(IF([3]!Table13[ID]=B1471,[3]!Table13[QTY]))), 1, 1)</f>
        <v>#ERROR!</v>
      </c>
      <c r="J1471" s="50" t="str">
        <f>TABLEITEM!$H$3:$H$2749-TABLEITEM!$I$3:$I$2749</f>
        <v>#ERROR!</v>
      </c>
    </row>
    <row r="1472" ht="15.75" customHeight="1">
      <c r="A1472" s="45"/>
      <c r="B1472" s="10" t="s">
        <v>2530</v>
      </c>
      <c r="C1472" s="26"/>
      <c r="D1472" s="10" t="s">
        <v>8965</v>
      </c>
      <c r="E1472" s="48" t="s">
        <v>2231</v>
      </c>
      <c r="F1472" s="57" t="s">
        <v>7173</v>
      </c>
      <c r="G1472" s="49">
        <f t="array" ref="G1472">MAX(IF(INSTOCK!$H$3:$H$6125=B1472,INSTOCK!$K$3:$K$6125))</f>
        <v>780</v>
      </c>
      <c r="H1472" s="50">
        <f t="array" ref="H1472">SUM(IF(INSTOCK!$H$3:$H$6125=B1472,INSTOCK!$I$3:$I$6125))</f>
        <v>1</v>
      </c>
      <c r="I1472" s="50" t="str">
        <f>ARRAY_CONSTRAIN(ARRAYFORMULA(SUM(IF([3]!Table13[ID]=B1472,[3]!Table13[QTY]))), 1, 1)</f>
        <v>#ERROR!</v>
      </c>
      <c r="J1472" s="50" t="str">
        <f>TABLEITEM!$H$3:$H$2749-TABLEITEM!$I$3:$I$2749</f>
        <v>#ERROR!</v>
      </c>
    </row>
    <row r="1473" ht="15.75" customHeight="1">
      <c r="A1473" s="45">
        <v>267.0</v>
      </c>
      <c r="B1473" s="10" t="s">
        <v>148</v>
      </c>
      <c r="C1473" s="26"/>
      <c r="D1473" s="10" t="s">
        <v>8966</v>
      </c>
      <c r="E1473" s="48" t="s">
        <v>7294</v>
      </c>
      <c r="F1473" s="57" t="s">
        <v>7173</v>
      </c>
      <c r="G1473" s="49">
        <f t="array" ref="G1473">MAX(IF(INSTOCK!$H$3:$H$6125=B1473,INSTOCK!$K$3:$K$6125))</f>
        <v>33</v>
      </c>
      <c r="H1473" s="50">
        <f t="array" ref="H1473">SUM(IF(INSTOCK!$H$3:$H$6125=B1473,INSTOCK!$I$3:$I$6125))</f>
        <v>1611</v>
      </c>
      <c r="I1473" s="50" t="str">
        <f>ARRAY_CONSTRAIN(ARRAYFORMULA(SUM(IF([3]!Table13[ID]=B1473,[3]!Table13[QTY]))), 1, 1)</f>
        <v>#ERROR!</v>
      </c>
      <c r="J1473" s="50" t="str">
        <f>TABLEITEM!$H$3:$H$2749-TABLEITEM!$I$3:$I$2749</f>
        <v>#ERROR!</v>
      </c>
    </row>
    <row r="1474" ht="15.75" customHeight="1">
      <c r="A1474" s="45">
        <v>266.0</v>
      </c>
      <c r="B1474" s="10" t="s">
        <v>147</v>
      </c>
      <c r="C1474" s="26"/>
      <c r="D1474" s="10" t="s">
        <v>8967</v>
      </c>
      <c r="E1474" s="48" t="s">
        <v>7294</v>
      </c>
      <c r="F1474" s="57" t="s">
        <v>7173</v>
      </c>
      <c r="G1474" s="49">
        <f t="array" ref="G1474">MAX(IF(INSTOCK!$H$3:$H$6125=B1474,INSTOCK!$K$3:$K$6125))</f>
        <v>35</v>
      </c>
      <c r="H1474" s="50">
        <f t="array" ref="H1474">SUM(IF(INSTOCK!$H$3:$H$6125=B1474,INSTOCK!$I$3:$I$6125))</f>
        <v>299</v>
      </c>
      <c r="I1474" s="50" t="str">
        <f>ARRAY_CONSTRAIN(ARRAYFORMULA(SUM(IF([3]!Table13[ID]=B1474,[3]!Table13[QTY]))), 1, 1)</f>
        <v>#ERROR!</v>
      </c>
      <c r="J1474" s="50" t="str">
        <f>TABLEITEM!$H$3:$H$2749-TABLEITEM!$I$3:$I$2749</f>
        <v>#ERROR!</v>
      </c>
    </row>
    <row r="1475" ht="15.75" customHeight="1">
      <c r="A1475" s="45"/>
      <c r="B1475" s="10" t="s">
        <v>1758</v>
      </c>
      <c r="C1475" s="26"/>
      <c r="D1475" s="10" t="s">
        <v>8968</v>
      </c>
      <c r="E1475" s="48" t="s">
        <v>1487</v>
      </c>
      <c r="F1475" s="57" t="s">
        <v>7173</v>
      </c>
      <c r="G1475" s="49">
        <f t="array" ref="G1475">MAX(IF(INSTOCK!$H$3:$H$6125=B1475,INSTOCK!$K$3:$K$6125))</f>
        <v>471.5</v>
      </c>
      <c r="H1475" s="50">
        <f t="array" ref="H1475">SUM(IF(INSTOCK!$H$3:$H$6125=B1475,INSTOCK!$I$3:$I$6125))</f>
        <v>5</v>
      </c>
      <c r="I1475" s="50" t="str">
        <f>ARRAY_CONSTRAIN(ARRAYFORMULA(SUM(IF([3]!Table13[ID]=B1475,[3]!Table13[QTY]))), 1, 1)</f>
        <v>#ERROR!</v>
      </c>
      <c r="J1475" s="50" t="str">
        <f>TABLEITEM!$H$3:$H$2749-TABLEITEM!$I$3:$I$2749</f>
        <v>#ERROR!</v>
      </c>
    </row>
    <row r="1476" ht="15.75" customHeight="1">
      <c r="A1476" s="45"/>
      <c r="B1476" s="10" t="s">
        <v>1853</v>
      </c>
      <c r="C1476" s="26"/>
      <c r="D1476" s="10" t="s">
        <v>8969</v>
      </c>
      <c r="E1476" s="48" t="s">
        <v>1487</v>
      </c>
      <c r="F1476" s="57" t="s">
        <v>7173</v>
      </c>
      <c r="G1476" s="49">
        <f t="array" ref="G1476">MAX(IF(INSTOCK!$H$3:$H$6125=B1476,INSTOCK!$K$3:$K$6125))</f>
        <v>561.7</v>
      </c>
      <c r="H1476" s="50">
        <f t="array" ref="H1476">SUM(IF(INSTOCK!$H$3:$H$6125=B1476,INSTOCK!$I$3:$I$6125))</f>
        <v>20</v>
      </c>
      <c r="I1476" s="50" t="str">
        <f>ARRAY_CONSTRAIN(ARRAYFORMULA(SUM(IF([3]!Table13[ID]=B1476,[3]!Table13[QTY]))), 1, 1)</f>
        <v>#ERROR!</v>
      </c>
      <c r="J1476" s="50" t="str">
        <f>TABLEITEM!$H$3:$H$2749-TABLEITEM!$I$3:$I$2749</f>
        <v>#ERROR!</v>
      </c>
    </row>
    <row r="1477" ht="15.75" customHeight="1">
      <c r="A1477" s="45"/>
      <c r="B1477" s="10" t="s">
        <v>1841</v>
      </c>
      <c r="C1477" s="26"/>
      <c r="D1477" s="10" t="s">
        <v>8970</v>
      </c>
      <c r="E1477" s="48" t="s">
        <v>1487</v>
      </c>
      <c r="F1477" s="57" t="s">
        <v>7173</v>
      </c>
      <c r="G1477" s="49">
        <f t="array" ref="G1477">MAX(IF(INSTOCK!$H$3:$H$6125=B1477,INSTOCK!$K$3:$K$6125))</f>
        <v>561.7</v>
      </c>
      <c r="H1477" s="50">
        <f t="array" ref="H1477">SUM(IF(INSTOCK!$H$3:$H$6125=B1477,INSTOCK!$I$3:$I$6125))</f>
        <v>20</v>
      </c>
      <c r="I1477" s="50" t="str">
        <f>ARRAY_CONSTRAIN(ARRAYFORMULA(SUM(IF([3]!Table13[ID]=B1477,[3]!Table13[QTY]))), 1, 1)</f>
        <v>#ERROR!</v>
      </c>
      <c r="J1477" s="50" t="str">
        <f>TABLEITEM!$H$3:$H$2749-TABLEITEM!$I$3:$I$2749</f>
        <v>#ERROR!</v>
      </c>
    </row>
    <row r="1478" ht="15.75" customHeight="1">
      <c r="A1478" s="45"/>
      <c r="B1478" s="10" t="s">
        <v>1918</v>
      </c>
      <c r="C1478" s="26"/>
      <c r="D1478" s="10" t="s">
        <v>8971</v>
      </c>
      <c r="E1478" s="48" t="s">
        <v>1487</v>
      </c>
      <c r="F1478" s="57" t="s">
        <v>7173</v>
      </c>
      <c r="G1478" s="49">
        <f t="array" ref="G1478">MAX(IF(INSTOCK!$H$3:$H$6125=B1478,INSTOCK!$K$3:$K$6125))</f>
        <v>4715</v>
      </c>
      <c r="H1478" s="50">
        <f t="array" ref="H1478">SUM(IF(INSTOCK!$H$3:$H$6125=B1478,INSTOCK!$I$3:$I$6125))</f>
        <v>1</v>
      </c>
      <c r="I1478" s="50" t="str">
        <f>ARRAY_CONSTRAIN(ARRAYFORMULA(SUM(IF([3]!Table13[ID]=B1478,[3]!Table13[QTY]))), 1, 1)</f>
        <v>#ERROR!</v>
      </c>
      <c r="J1478" s="50" t="str">
        <f>TABLEITEM!$H$3:$H$2749-TABLEITEM!$I$3:$I$2749</f>
        <v>#ERROR!</v>
      </c>
    </row>
    <row r="1479" ht="15.75" customHeight="1">
      <c r="A1479" s="45"/>
      <c r="B1479" s="10" t="s">
        <v>2222</v>
      </c>
      <c r="C1479" s="26"/>
      <c r="D1479" s="10" t="s">
        <v>8972</v>
      </c>
      <c r="E1479" s="48"/>
      <c r="F1479" s="57" t="s">
        <v>7173</v>
      </c>
      <c r="G1479" s="49">
        <f t="array" ref="G1479">MAX(IF(INSTOCK!$H$3:$H$6125=B1479,INSTOCK!$K$3:$K$6125))</f>
        <v>2250</v>
      </c>
      <c r="H1479" s="50">
        <f t="array" ref="H1479">SUM(IF(INSTOCK!$H$3:$H$6125=B1479,INSTOCK!$I$3:$I$6125))</f>
        <v>1</v>
      </c>
      <c r="I1479" s="50" t="str">
        <f>ARRAY_CONSTRAIN(ARRAYFORMULA(SUM(IF([3]!Table13[ID]=B1479,[3]!Table13[QTY]))), 1, 1)</f>
        <v>#ERROR!</v>
      </c>
      <c r="J1479" s="50" t="str">
        <f>TABLEITEM!$H$3:$H$2749-TABLEITEM!$I$3:$I$2749</f>
        <v>#ERROR!</v>
      </c>
    </row>
    <row r="1480" ht="15.75" customHeight="1">
      <c r="A1480" s="45">
        <v>587.0</v>
      </c>
      <c r="B1480" s="10" t="s">
        <v>2344</v>
      </c>
      <c r="C1480" s="26" t="s">
        <v>7182</v>
      </c>
      <c r="D1480" s="10" t="s">
        <v>8973</v>
      </c>
      <c r="E1480" s="48" t="s">
        <v>8087</v>
      </c>
      <c r="F1480" s="57" t="s">
        <v>7173</v>
      </c>
      <c r="G1480" s="49">
        <f t="array" ref="G1480">MAX(IF(INSTOCK!$H$3:$H$6125=B1480,INSTOCK!$K$3:$K$6125))</f>
        <v>162.5</v>
      </c>
      <c r="H1480" s="50">
        <f t="array" ref="H1480">SUM(IF(INSTOCK!$H$3:$H$6125=B1480,INSTOCK!$I$3:$I$6125))</f>
        <v>300</v>
      </c>
      <c r="I1480" s="50" t="str">
        <f>ARRAY_CONSTRAIN(ARRAYFORMULA(SUM(IF([3]!Table13[ID]=B1480,[3]!Table13[QTY]))), 1, 1)</f>
        <v>#ERROR!</v>
      </c>
      <c r="J1480" s="50" t="str">
        <f>TABLEITEM!$H$3:$H$2749-TABLEITEM!$I$3:$I$2749</f>
        <v>#ERROR!</v>
      </c>
    </row>
    <row r="1481" ht="15.75" customHeight="1">
      <c r="A1481" s="45"/>
      <c r="B1481" s="10" t="s">
        <v>2462</v>
      </c>
      <c r="C1481" s="26"/>
      <c r="D1481" s="10" t="s">
        <v>8974</v>
      </c>
      <c r="E1481" s="48" t="s">
        <v>2460</v>
      </c>
      <c r="F1481" s="57" t="s">
        <v>7173</v>
      </c>
      <c r="G1481" s="49">
        <f t="array" ref="G1481">MAX(IF(INSTOCK!$H$3:$H$6125=B1481,INSTOCK!$K$3:$K$6125))</f>
        <v>2500</v>
      </c>
      <c r="H1481" s="50">
        <f t="array" ref="H1481">SUM(IF(INSTOCK!$H$3:$H$6125=B1481,INSTOCK!$I$3:$I$6125))</f>
        <v>2</v>
      </c>
      <c r="I1481" s="50" t="str">
        <f>ARRAY_CONSTRAIN(ARRAYFORMULA(SUM(IF([3]!Table13[ID]=B1481,[3]!Table13[QTY]))), 1, 1)</f>
        <v>#ERROR!</v>
      </c>
      <c r="J1481" s="50" t="str">
        <f>TABLEITEM!$H$3:$H$2749-TABLEITEM!$I$3:$I$2749</f>
        <v>#ERROR!</v>
      </c>
    </row>
    <row r="1482" ht="15.75" customHeight="1">
      <c r="A1482" s="45"/>
      <c r="B1482" s="10" t="s">
        <v>2733</v>
      </c>
      <c r="C1482" s="26"/>
      <c r="D1482" s="10" t="s">
        <v>8975</v>
      </c>
      <c r="E1482" s="48" t="s">
        <v>8896</v>
      </c>
      <c r="F1482" s="57" t="s">
        <v>7173</v>
      </c>
      <c r="G1482" s="49">
        <f t="array" ref="G1482">MAX(IF(INSTOCK!$H$3:$H$6125=B1482,INSTOCK!$K$3:$K$6125))</f>
        <v>372</v>
      </c>
      <c r="H1482" s="50">
        <f t="array" ref="H1482">SUM(IF(INSTOCK!$H$3:$H$6125=B1482,INSTOCK!$I$3:$I$6125))</f>
        <v>13</v>
      </c>
      <c r="I1482" s="50" t="str">
        <f>ARRAY_CONSTRAIN(ARRAYFORMULA(SUM(IF([3]!Table13[ID]=B1482,[3]!Table13[QTY]))), 1, 1)</f>
        <v>#ERROR!</v>
      </c>
      <c r="J1482" s="50" t="str">
        <f>TABLEITEM!$H$3:$H$2749-TABLEITEM!$I$3:$I$2749</f>
        <v>#ERROR!</v>
      </c>
    </row>
    <row r="1483" ht="15.75" customHeight="1">
      <c r="A1483" s="45"/>
      <c r="B1483" s="10" t="s">
        <v>1652</v>
      </c>
      <c r="C1483" s="26"/>
      <c r="D1483" s="10" t="s">
        <v>8976</v>
      </c>
      <c r="E1483" s="48" t="s">
        <v>1487</v>
      </c>
      <c r="F1483" s="57" t="s">
        <v>7173</v>
      </c>
      <c r="G1483" s="49">
        <f t="array" ref="G1483">MAX(IF(INSTOCK!$H$3:$H$6125=B1483,INSTOCK!$K$3:$K$6125))</f>
        <v>345.6</v>
      </c>
      <c r="H1483" s="50">
        <f t="array" ref="H1483">SUM(IF(INSTOCK!$H$3:$H$6125=B1483,INSTOCK!$I$3:$I$6125))</f>
        <v>7</v>
      </c>
      <c r="I1483" s="50" t="str">
        <f>ARRAY_CONSTRAIN(ARRAYFORMULA(SUM(IF([3]!Table13[ID]=B1483,[3]!Table13[QTY]))), 1, 1)</f>
        <v>#ERROR!</v>
      </c>
      <c r="J1483" s="50" t="str">
        <f>TABLEITEM!$H$3:$H$2749-TABLEITEM!$I$3:$I$2749</f>
        <v>#ERROR!</v>
      </c>
    </row>
    <row r="1484" ht="15.75" customHeight="1">
      <c r="A1484" s="45"/>
      <c r="B1484" s="10" t="s">
        <v>2603</v>
      </c>
      <c r="C1484" s="26"/>
      <c r="D1484" s="10" t="s">
        <v>8977</v>
      </c>
      <c r="E1484" s="48" t="s">
        <v>1487</v>
      </c>
      <c r="F1484" s="57" t="s">
        <v>7173</v>
      </c>
      <c r="G1484" s="49">
        <f t="array" ref="G1484">MAX(IF(INSTOCK!$H$3:$H$6125=B1424,INSTOCK!$K$3:$K$6125))</f>
        <v>1064</v>
      </c>
      <c r="H1484" s="50">
        <f t="array" ref="H1484">SUM(IF(INSTOCK!$H$3:$H$6125=B1484,INSTOCK!$I$3:$I$6125))</f>
        <v>3</v>
      </c>
      <c r="I1484" s="50" t="str">
        <f>ARRAY_CONSTRAIN(ARRAYFORMULA(SUM(IF([3]!Table13[ID]=B1484,[3]!Table13[QTY]))), 1, 1)</f>
        <v>#ERROR!</v>
      </c>
      <c r="J1484" s="50" t="str">
        <f>TABLEITEM!$H$3:$H$2749-TABLEITEM!$I$3:$I$2749</f>
        <v>#ERROR!</v>
      </c>
    </row>
    <row r="1485" ht="15.75" customHeight="1">
      <c r="A1485" s="45"/>
      <c r="B1485" s="10" t="s">
        <v>1651</v>
      </c>
      <c r="C1485" s="26"/>
      <c r="D1485" s="10" t="s">
        <v>8978</v>
      </c>
      <c r="E1485" s="48" t="s">
        <v>1487</v>
      </c>
      <c r="F1485" s="57" t="s">
        <v>7173</v>
      </c>
      <c r="G1485" s="49">
        <f t="array" ref="G1485">MAX(IF(INSTOCK!$H$3:$H$6125=B1485,INSTOCK!$K$3:$K$6125))</f>
        <v>625</v>
      </c>
      <c r="H1485" s="50">
        <f t="array" ref="H1485">SUM(IF(INSTOCK!$H$3:$H$6125=B1485,INSTOCK!$I$3:$I$6125))</f>
        <v>5</v>
      </c>
      <c r="I1485" s="50" t="str">
        <f>ARRAY_CONSTRAIN(ARRAYFORMULA(SUM(IF([3]!Table13[ID]=B1485,[3]!Table13[QTY]))), 1, 1)</f>
        <v>#ERROR!</v>
      </c>
      <c r="J1485" s="50" t="str">
        <f>TABLEITEM!$H$3:$H$2749-TABLEITEM!$I$3:$I$2749</f>
        <v>#ERROR!</v>
      </c>
    </row>
    <row r="1486" ht="15.75" customHeight="1">
      <c r="A1486" s="45"/>
      <c r="B1486" s="10" t="s">
        <v>3207</v>
      </c>
      <c r="C1486" s="26"/>
      <c r="D1486" s="10" t="s">
        <v>8979</v>
      </c>
      <c r="E1486" s="48" t="s">
        <v>8360</v>
      </c>
      <c r="F1486" s="48" t="s">
        <v>7173</v>
      </c>
      <c r="G1486" s="49">
        <f t="array" ref="G1486">MAX(IF(INSTOCK!$H$3:$H$6125=B1486,INSTOCK!$K$3:$K$6125))</f>
        <v>67</v>
      </c>
      <c r="H1486" s="50">
        <f t="array" ref="H1486">SUM(IF(INSTOCK!$H$3:$H$6125=B1486,INSTOCK!$I$3:$I$6125))</f>
        <v>10</v>
      </c>
      <c r="I1486" s="50" t="str">
        <f>ARRAY_CONSTRAIN(ARRAYFORMULA(SUM(IF([3]!Table13[ID]=B1486,[3]!Table13[QTY]))), 1, 1)</f>
        <v>#ERROR!</v>
      </c>
      <c r="J1486" s="50" t="str">
        <f>TABLEITEM!$H$3:$H$2749-TABLEITEM!$I$3:$I$2749</f>
        <v>#ERROR!</v>
      </c>
    </row>
    <row r="1487" ht="15.75" customHeight="1">
      <c r="A1487" s="45"/>
      <c r="B1487" s="10" t="s">
        <v>3077</v>
      </c>
      <c r="C1487" s="26"/>
      <c r="D1487" s="10" t="s">
        <v>8980</v>
      </c>
      <c r="E1487" s="48" t="s">
        <v>8981</v>
      </c>
      <c r="F1487" s="48" t="s">
        <v>7173</v>
      </c>
      <c r="G1487" s="49">
        <f t="array" ref="G1487">MAX(IF(INSTOCK!$H$3:$H$6125=B1487,INSTOCK!$K$3:$K$6125))</f>
        <v>150</v>
      </c>
      <c r="H1487" s="50">
        <f t="array" ref="H1487">SUM(IF(INSTOCK!$H$3:$H$6125=B1487,INSTOCK!$I$3:$I$6125))</f>
        <v>10</v>
      </c>
      <c r="I1487" s="50" t="str">
        <f>ARRAY_CONSTRAIN(ARRAYFORMULA(SUM(IF([3]!Table13[ID]=B1487,[3]!Table13[QTY]))), 1, 1)</f>
        <v>#ERROR!</v>
      </c>
      <c r="J1487" s="50" t="str">
        <f>TABLEITEM!$H$3:$H$2749-TABLEITEM!$I$3:$I$2749</f>
        <v>#ERROR!</v>
      </c>
    </row>
    <row r="1488" ht="15.75" customHeight="1">
      <c r="A1488" s="45">
        <v>265.0</v>
      </c>
      <c r="B1488" s="10" t="s">
        <v>146</v>
      </c>
      <c r="C1488" s="26"/>
      <c r="D1488" s="10" t="s">
        <v>8982</v>
      </c>
      <c r="E1488" s="48" t="s">
        <v>8092</v>
      </c>
      <c r="F1488" s="57" t="s">
        <v>7173</v>
      </c>
      <c r="G1488" s="49">
        <f t="array" ref="G1488">MAX(IF(INSTOCK!$H$3:$H$6125=B1488,INSTOCK!$K$3:$K$6125))</f>
        <v>22</v>
      </c>
      <c r="H1488" s="50">
        <f t="array" ref="H1488">SUM(IF(INSTOCK!$H$3:$H$6125=B1488,INSTOCK!$I$3:$I$6125))</f>
        <v>160</v>
      </c>
      <c r="I1488" s="50" t="str">
        <f>ARRAY_CONSTRAIN(ARRAYFORMULA(SUM(IF([3]!Table13[ID]=B1488,[3]!Table13[QTY]))), 1, 1)</f>
        <v>#ERROR!</v>
      </c>
      <c r="J1488" s="50" t="str">
        <f>TABLEITEM!$H$3:$H$2749-TABLEITEM!$I$3:$I$2749</f>
        <v>#ERROR!</v>
      </c>
    </row>
    <row r="1489" ht="15.75" customHeight="1">
      <c r="A1489" s="45">
        <v>264.0</v>
      </c>
      <c r="B1489" s="10" t="s">
        <v>145</v>
      </c>
      <c r="C1489" s="26"/>
      <c r="D1489" s="10" t="s">
        <v>8983</v>
      </c>
      <c r="E1489" s="48" t="s">
        <v>8092</v>
      </c>
      <c r="F1489" s="57" t="s">
        <v>7173</v>
      </c>
      <c r="G1489" s="49">
        <f t="array" ref="G1489">MAX(IF(INSTOCK!$H$3:$H$6125=B1489,INSTOCK!$K$3:$K$6125))</f>
        <v>22</v>
      </c>
      <c r="H1489" s="50">
        <f t="array" ref="H1489">SUM(IF(INSTOCK!$H$3:$H$6125=B1489,INSTOCK!$I$3:$I$6125))</f>
        <v>27</v>
      </c>
      <c r="I1489" s="50" t="str">
        <f>ARRAY_CONSTRAIN(ARRAYFORMULA(SUM(IF([3]!Table13[ID]=B1489,[3]!Table13[QTY]))), 1, 1)</f>
        <v>#ERROR!</v>
      </c>
      <c r="J1489" s="50" t="str">
        <f>TABLEITEM!$H$3:$H$2749-TABLEITEM!$I$3:$I$2749</f>
        <v>#ERROR!</v>
      </c>
    </row>
    <row r="1490" ht="15.75" customHeight="1">
      <c r="A1490" s="45"/>
      <c r="B1490" s="10" t="s">
        <v>8984</v>
      </c>
      <c r="C1490" s="26"/>
      <c r="D1490" s="10" t="s">
        <v>8985</v>
      </c>
      <c r="E1490" s="10" t="s">
        <v>950</v>
      </c>
      <c r="F1490" s="57" t="s">
        <v>7429</v>
      </c>
      <c r="G1490" s="49">
        <f t="array" ref="G1490">MAX(IF(INSTOCK!$H$3:$H$6125=B1490,INSTOCK!$K$3:$K$6125))</f>
        <v>0</v>
      </c>
      <c r="H1490" s="50">
        <f t="array" ref="H1490">SUM(IF(INSTOCK!$H$3:$H$6125=B1490,INSTOCK!$I$3:$I$6125))</f>
        <v>0</v>
      </c>
      <c r="I1490" s="50" t="str">
        <f>ARRAY_CONSTRAIN(ARRAYFORMULA(SUM(IF([3]!Table13[ID]=B1490,[3]!Table13[QTY]))), 1, 1)</f>
        <v>#ERROR!</v>
      </c>
      <c r="J1490" s="50" t="str">
        <f>TABLEITEM!$H$3:$H$2749-TABLEITEM!$I$3:$I$2749</f>
        <v>#ERROR!</v>
      </c>
    </row>
    <row r="1491" ht="15.75" customHeight="1">
      <c r="A1491" s="45"/>
      <c r="B1491" s="18" t="s">
        <v>8986</v>
      </c>
      <c r="C1491" s="26"/>
      <c r="D1491" s="18" t="s">
        <v>8987</v>
      </c>
      <c r="E1491" s="10" t="s">
        <v>950</v>
      </c>
      <c r="F1491" s="57" t="s">
        <v>7429</v>
      </c>
      <c r="G1491" s="49">
        <f t="array" ref="G1491">MAX(IF(INSTOCK!$H$3:$H$6125=B1491,INSTOCK!$K$3:$K$6125))</f>
        <v>0</v>
      </c>
      <c r="H1491" s="50">
        <f t="array" ref="H1491">SUM(IF(INSTOCK!$H$3:$H$6125=B1491,INSTOCK!$I$3:$I$6125))</f>
        <v>0</v>
      </c>
      <c r="I1491" s="50" t="str">
        <f>ARRAY_CONSTRAIN(ARRAYFORMULA(SUM(IF([3]!Table13[ID]=B1491,[3]!Table13[QTY]))), 1, 1)</f>
        <v>#ERROR!</v>
      </c>
      <c r="J1491" s="50" t="str">
        <f>TABLEITEM!$H$3:$H$2749-TABLEITEM!$I$3:$I$2749</f>
        <v>#ERROR!</v>
      </c>
    </row>
    <row r="1492" ht="15.75" customHeight="1">
      <c r="A1492" s="45"/>
      <c r="B1492" s="10" t="s">
        <v>8988</v>
      </c>
      <c r="C1492" s="26"/>
      <c r="D1492" s="18" t="s">
        <v>8989</v>
      </c>
      <c r="E1492" s="10" t="s">
        <v>950</v>
      </c>
      <c r="F1492" s="57" t="s">
        <v>7429</v>
      </c>
      <c r="G1492" s="49">
        <f t="array" ref="G1492">MAX(IF(INSTOCK!$H$3:$H$6125=B1492,INSTOCK!$K$3:$K$6125))</f>
        <v>0</v>
      </c>
      <c r="H1492" s="50">
        <f t="array" ref="H1492">SUM(IF(INSTOCK!$H$3:$H$6125=B1492,INSTOCK!$I$3:$I$6125))</f>
        <v>0</v>
      </c>
      <c r="I1492" s="50" t="str">
        <f>ARRAY_CONSTRAIN(ARRAYFORMULA(SUM(IF([3]!Table13[ID]=B1492,[3]!Table13[QTY]))), 1, 1)</f>
        <v>#ERROR!</v>
      </c>
      <c r="J1492" s="50" t="str">
        <f>TABLEITEM!$H$3:$H$2749-TABLEITEM!$I$3:$I$2749</f>
        <v>#ERROR!</v>
      </c>
    </row>
    <row r="1493" ht="15.75" customHeight="1">
      <c r="A1493" s="45"/>
      <c r="B1493" s="10" t="s">
        <v>8990</v>
      </c>
      <c r="C1493" s="26"/>
      <c r="D1493" s="10" t="s">
        <v>8991</v>
      </c>
      <c r="E1493" s="10" t="s">
        <v>950</v>
      </c>
      <c r="F1493" s="57" t="s">
        <v>7429</v>
      </c>
      <c r="G1493" s="49">
        <f t="array" ref="G1493">MAX(IF(INSTOCK!$H$3:$H$6125=B1493,INSTOCK!$K$3:$K$6125))</f>
        <v>0</v>
      </c>
      <c r="H1493" s="50">
        <f t="array" ref="H1493">SUM(IF(INSTOCK!$H$3:$H$6125=B1493,INSTOCK!$I$3:$I$6125))</f>
        <v>0</v>
      </c>
      <c r="I1493" s="50" t="str">
        <f>ARRAY_CONSTRAIN(ARRAYFORMULA(SUM(IF([3]!Table13[ID]=B1493,[3]!Table13[QTY]))), 1, 1)</f>
        <v>#ERROR!</v>
      </c>
      <c r="J1493" s="50" t="str">
        <f>TABLEITEM!$H$3:$H$2749-TABLEITEM!$I$3:$I$2749</f>
        <v>#ERROR!</v>
      </c>
    </row>
    <row r="1494" ht="15.75" customHeight="1">
      <c r="A1494" s="45"/>
      <c r="B1494" s="10" t="s">
        <v>8992</v>
      </c>
      <c r="C1494" s="26"/>
      <c r="D1494" s="10" t="s">
        <v>8993</v>
      </c>
      <c r="E1494" s="10" t="s">
        <v>950</v>
      </c>
      <c r="F1494" s="57" t="s">
        <v>7429</v>
      </c>
      <c r="G1494" s="49">
        <f t="array" ref="G1494">MAX(IF(INSTOCK!$H$3:$H$6125=B1494,INSTOCK!$K$3:$K$6125))</f>
        <v>0</v>
      </c>
      <c r="H1494" s="50">
        <f t="array" ref="H1494">SUM(IF(INSTOCK!$H$3:$H$6125=B1494,INSTOCK!$I$3:$I$6125))</f>
        <v>0</v>
      </c>
      <c r="I1494" s="50" t="str">
        <f>ARRAY_CONSTRAIN(ARRAYFORMULA(SUM(IF([3]!Table13[ID]=B1494,[3]!Table13[QTY]))), 1, 1)</f>
        <v>#ERROR!</v>
      </c>
      <c r="J1494" s="50" t="str">
        <f>TABLEITEM!$H$3:$H$2749-TABLEITEM!$I$3:$I$2749</f>
        <v>#ERROR!</v>
      </c>
    </row>
    <row r="1495" ht="15.75" customHeight="1">
      <c r="A1495" s="45"/>
      <c r="B1495" s="10" t="s">
        <v>8994</v>
      </c>
      <c r="C1495" s="26"/>
      <c r="D1495" s="10" t="s">
        <v>8995</v>
      </c>
      <c r="E1495" s="10" t="s">
        <v>950</v>
      </c>
      <c r="F1495" s="57" t="s">
        <v>7429</v>
      </c>
      <c r="G1495" s="49">
        <f t="array" ref="G1495">MAX(IF(INSTOCK!$H$3:$H$6125=B1495,INSTOCK!$K$3:$K$6125))</f>
        <v>0</v>
      </c>
      <c r="H1495" s="50">
        <f t="array" ref="H1495">SUM(IF(INSTOCK!$H$3:$H$6125=B1495,INSTOCK!$I$3:$I$6125))</f>
        <v>0</v>
      </c>
      <c r="I1495" s="50" t="str">
        <f>ARRAY_CONSTRAIN(ARRAYFORMULA(SUM(IF([3]!Table13[ID]=B1495,[3]!Table13[QTY]))), 1, 1)</f>
        <v>#ERROR!</v>
      </c>
      <c r="J1495" s="50" t="str">
        <f>TABLEITEM!$H$3:$H$2749-TABLEITEM!$I$3:$I$2749</f>
        <v>#ERROR!</v>
      </c>
    </row>
    <row r="1496" ht="15.75" customHeight="1">
      <c r="A1496" s="45"/>
      <c r="B1496" s="10" t="s">
        <v>8996</v>
      </c>
      <c r="C1496" s="26"/>
      <c r="D1496" s="10" t="s">
        <v>8997</v>
      </c>
      <c r="E1496" s="10" t="s">
        <v>950</v>
      </c>
      <c r="F1496" s="57" t="s">
        <v>7429</v>
      </c>
      <c r="G1496" s="49">
        <f t="array" ref="G1496">MAX(IF(INSTOCK!$H$3:$H$6125=B1496,INSTOCK!$K$3:$K$6125))</f>
        <v>0</v>
      </c>
      <c r="H1496" s="50">
        <f t="array" ref="H1496">SUM(IF(INSTOCK!$H$3:$H$6125=B1496,INSTOCK!$I$3:$I$6125))</f>
        <v>0</v>
      </c>
      <c r="I1496" s="50" t="str">
        <f>ARRAY_CONSTRAIN(ARRAYFORMULA(SUM(IF([3]!Table13[ID]=B1496,[3]!Table13[QTY]))), 1, 1)</f>
        <v>#ERROR!</v>
      </c>
      <c r="J1496" s="50" t="str">
        <f>TABLEITEM!$H$3:$H$2749-TABLEITEM!$I$3:$I$2749</f>
        <v>#ERROR!</v>
      </c>
    </row>
    <row r="1497" ht="15.75" customHeight="1">
      <c r="A1497" s="45"/>
      <c r="B1497" s="10" t="s">
        <v>8998</v>
      </c>
      <c r="C1497" s="26"/>
      <c r="D1497" s="10" t="s">
        <v>8999</v>
      </c>
      <c r="E1497" s="10" t="s">
        <v>950</v>
      </c>
      <c r="F1497" s="57" t="s">
        <v>7429</v>
      </c>
      <c r="G1497" s="49">
        <f t="array" ref="G1497">MAX(IF(INSTOCK!$H$3:$H$6125=B1497,INSTOCK!$K$3:$K$6125))</f>
        <v>0</v>
      </c>
      <c r="H1497" s="50">
        <f t="array" ref="H1497">SUM(IF(INSTOCK!$H$3:$H$6125=B1497,INSTOCK!$I$3:$I$6125))</f>
        <v>0</v>
      </c>
      <c r="I1497" s="50" t="str">
        <f>ARRAY_CONSTRAIN(ARRAYFORMULA(SUM(IF([3]!Table13[ID]=B1497,[3]!Table13[QTY]))), 1, 1)</f>
        <v>#ERROR!</v>
      </c>
      <c r="J1497" s="50" t="str">
        <f>TABLEITEM!$H$3:$H$2749-TABLEITEM!$I$3:$I$2749</f>
        <v>#ERROR!</v>
      </c>
    </row>
    <row r="1498" ht="15.75" customHeight="1">
      <c r="A1498" s="45"/>
      <c r="B1498" s="10" t="s">
        <v>9000</v>
      </c>
      <c r="C1498" s="26"/>
      <c r="D1498" s="10" t="s">
        <v>9001</v>
      </c>
      <c r="E1498" s="10" t="s">
        <v>950</v>
      </c>
      <c r="F1498" s="57" t="s">
        <v>7429</v>
      </c>
      <c r="G1498" s="49">
        <f t="array" ref="G1498">MAX(IF(INSTOCK!$H$3:$H$6125=B1498,INSTOCK!$K$3:$K$6125))</f>
        <v>0</v>
      </c>
      <c r="H1498" s="50">
        <f t="array" ref="H1498">SUM(IF(INSTOCK!$H$3:$H$6125=B1498,INSTOCK!$I$3:$I$6125))</f>
        <v>0</v>
      </c>
      <c r="I1498" s="50" t="str">
        <f>ARRAY_CONSTRAIN(ARRAYFORMULA(SUM(IF([3]!Table13[ID]=B1498,[3]!Table13[QTY]))), 1, 1)</f>
        <v>#ERROR!</v>
      </c>
      <c r="J1498" s="50" t="str">
        <f>TABLEITEM!$H$3:$H$2749-TABLEITEM!$I$3:$I$2749</f>
        <v>#ERROR!</v>
      </c>
    </row>
    <row r="1499" ht="15.75" customHeight="1">
      <c r="A1499" s="45"/>
      <c r="B1499" s="10" t="s">
        <v>9002</v>
      </c>
      <c r="C1499" s="26"/>
      <c r="D1499" s="10" t="s">
        <v>9003</v>
      </c>
      <c r="E1499" s="10" t="s">
        <v>950</v>
      </c>
      <c r="F1499" s="57" t="s">
        <v>7429</v>
      </c>
      <c r="G1499" s="49">
        <f t="array" ref="G1499">MAX(IF(INSTOCK!$H$3:$H$6125=B1499,INSTOCK!$K$3:$K$6125))</f>
        <v>0</v>
      </c>
      <c r="H1499" s="50">
        <f t="array" ref="H1499">SUM(IF(INSTOCK!$H$3:$H$6125=B1499,INSTOCK!$I$3:$I$6125))</f>
        <v>0</v>
      </c>
      <c r="I1499" s="50" t="str">
        <f>ARRAY_CONSTRAIN(ARRAYFORMULA(SUM(IF([3]!Table13[ID]=B1499,[3]!Table13[QTY]))), 1, 1)</f>
        <v>#ERROR!</v>
      </c>
      <c r="J1499" s="50" t="str">
        <f>TABLEITEM!$H$3:$H$2749-TABLEITEM!$I$3:$I$2749</f>
        <v>#ERROR!</v>
      </c>
    </row>
    <row r="1500" ht="15.75" customHeight="1">
      <c r="A1500" s="45"/>
      <c r="B1500" s="10" t="s">
        <v>9004</v>
      </c>
      <c r="C1500" s="26"/>
      <c r="D1500" s="10" t="s">
        <v>9005</v>
      </c>
      <c r="E1500" s="10" t="s">
        <v>950</v>
      </c>
      <c r="F1500" s="57" t="s">
        <v>7429</v>
      </c>
      <c r="G1500" s="49">
        <f t="array" ref="G1500">MAX(IF(INSTOCK!$H$3:$H$6125=B1500,INSTOCK!$K$3:$K$6125))</f>
        <v>0</v>
      </c>
      <c r="H1500" s="50">
        <f t="array" ref="H1500">SUM(IF(INSTOCK!$H$3:$H$6125=B1500,INSTOCK!$I$3:$I$6125))</f>
        <v>0</v>
      </c>
      <c r="I1500" s="50" t="str">
        <f>ARRAY_CONSTRAIN(ARRAYFORMULA(SUM(IF([3]!Table13[ID]=B1500,[3]!Table13[QTY]))), 1, 1)</f>
        <v>#ERROR!</v>
      </c>
      <c r="J1500" s="50" t="str">
        <f>TABLEITEM!$H$3:$H$2749-TABLEITEM!$I$3:$I$2749</f>
        <v>#ERROR!</v>
      </c>
    </row>
    <row r="1501" ht="15.75" customHeight="1">
      <c r="A1501" s="45"/>
      <c r="B1501" s="10" t="s">
        <v>9006</v>
      </c>
      <c r="C1501" s="26"/>
      <c r="D1501" s="10" t="s">
        <v>9007</v>
      </c>
      <c r="E1501" s="10" t="s">
        <v>950</v>
      </c>
      <c r="F1501" s="57" t="s">
        <v>7429</v>
      </c>
      <c r="G1501" s="49">
        <f t="array" ref="G1501">MAX(IF(INSTOCK!$H$3:$H$6125=B1501,INSTOCK!$K$3:$K$6125))</f>
        <v>0</v>
      </c>
      <c r="H1501" s="50">
        <f t="array" ref="H1501">SUM(IF(INSTOCK!$H$3:$H$6125=B1501,INSTOCK!$I$3:$I$6125))</f>
        <v>0</v>
      </c>
      <c r="I1501" s="50" t="str">
        <f>ARRAY_CONSTRAIN(ARRAYFORMULA(SUM(IF([3]!Table13[ID]=B1501,[3]!Table13[QTY]))), 1, 1)</f>
        <v>#ERROR!</v>
      </c>
      <c r="J1501" s="50" t="str">
        <f>TABLEITEM!$H$3:$H$2749-TABLEITEM!$I$3:$I$2749</f>
        <v>#ERROR!</v>
      </c>
    </row>
    <row r="1502" ht="15.75" customHeight="1">
      <c r="A1502" s="45"/>
      <c r="B1502" s="10" t="s">
        <v>1107</v>
      </c>
      <c r="C1502" s="26"/>
      <c r="D1502" s="10" t="s">
        <v>1108</v>
      </c>
      <c r="E1502" s="10" t="s">
        <v>950</v>
      </c>
      <c r="F1502" s="57" t="s">
        <v>7429</v>
      </c>
      <c r="G1502" s="49">
        <f t="array" ref="G1502">MAX(IF(INSTOCK!$H$3:$H$6125=B1502,INSTOCK!$K$3:$K$6125))</f>
        <v>77.75</v>
      </c>
      <c r="H1502" s="50">
        <f t="array" ref="H1502">SUM(IF(INSTOCK!$H$3:$H$6125=B1502,INSTOCK!$I$3:$I$6125))</f>
        <v>50</v>
      </c>
      <c r="I1502" s="50" t="str">
        <f>ARRAY_CONSTRAIN(ARRAYFORMULA(SUM(IF([3]!Table13[ID]=B1502,[3]!Table13[QTY]))), 1, 1)</f>
        <v>#ERROR!</v>
      </c>
      <c r="J1502" s="50" t="str">
        <f>TABLEITEM!$H$3:$H$2749-TABLEITEM!$I$3:$I$2749</f>
        <v>#ERROR!</v>
      </c>
    </row>
    <row r="1503" ht="15.75" customHeight="1">
      <c r="A1503" s="45"/>
      <c r="B1503" s="10" t="s">
        <v>1109</v>
      </c>
      <c r="C1503" s="26"/>
      <c r="D1503" s="10" t="s">
        <v>1110</v>
      </c>
      <c r="E1503" s="10" t="s">
        <v>950</v>
      </c>
      <c r="F1503" s="57" t="s">
        <v>7429</v>
      </c>
      <c r="G1503" s="49">
        <f t="array" ref="G1503">MAX(IF(INSTOCK!$H$3:$H$6125=B1503,INSTOCK!$K$3:$K$6125))</f>
        <v>77.75</v>
      </c>
      <c r="H1503" s="50">
        <f t="array" ref="H1503">SUM(IF(INSTOCK!$H$3:$H$6125=B1503,INSTOCK!$I$3:$I$6125))</f>
        <v>25</v>
      </c>
      <c r="I1503" s="50" t="str">
        <f>ARRAY_CONSTRAIN(ARRAYFORMULA(SUM(IF([3]!Table13[ID]=B1503,[3]!Table13[QTY]))), 1, 1)</f>
        <v>#ERROR!</v>
      </c>
      <c r="J1503" s="50" t="str">
        <f>TABLEITEM!$H$3:$H$2749-TABLEITEM!$I$3:$I$2749</f>
        <v>#ERROR!</v>
      </c>
    </row>
    <row r="1504" ht="15.75" customHeight="1">
      <c r="A1504" s="45"/>
      <c r="B1504" s="10" t="s">
        <v>1105</v>
      </c>
      <c r="C1504" s="26"/>
      <c r="D1504" s="10" t="s">
        <v>1106</v>
      </c>
      <c r="E1504" s="10" t="s">
        <v>950</v>
      </c>
      <c r="F1504" s="57" t="s">
        <v>7429</v>
      </c>
      <c r="G1504" s="49">
        <f t="array" ref="G1504">MAX(IF(INSTOCK!$H$3:$H$6125=B1504,INSTOCK!$K$3:$K$6125))</f>
        <v>77.75</v>
      </c>
      <c r="H1504" s="50">
        <f t="array" ref="H1504">SUM(IF(INSTOCK!$H$3:$H$6125=B1504,INSTOCK!$I$3:$I$6125))</f>
        <v>25</v>
      </c>
      <c r="I1504" s="50" t="str">
        <f>ARRAY_CONSTRAIN(ARRAYFORMULA(SUM(IF([3]!Table13[ID]=B1504,[3]!Table13[QTY]))), 1, 1)</f>
        <v>#ERROR!</v>
      </c>
      <c r="J1504" s="50" t="str">
        <f>TABLEITEM!$H$3:$H$2749-TABLEITEM!$I$3:$I$2749</f>
        <v>#ERROR!</v>
      </c>
    </row>
    <row r="1505" ht="15.75" customHeight="1">
      <c r="A1505" s="45"/>
      <c r="B1505" s="10" t="s">
        <v>9008</v>
      </c>
      <c r="C1505" s="26"/>
      <c r="D1505" s="10" t="s">
        <v>9009</v>
      </c>
      <c r="E1505" s="10" t="s">
        <v>950</v>
      </c>
      <c r="F1505" s="57" t="s">
        <v>7429</v>
      </c>
      <c r="G1505" s="49">
        <f t="array" ref="G1505">MAX(IF(INSTOCK!$H$3:$H$6125=B1505,INSTOCK!$K$3:$K$6125))</f>
        <v>0</v>
      </c>
      <c r="H1505" s="50">
        <f t="array" ref="H1505">SUM(IF(INSTOCK!$H$3:$H$6125=B1505,INSTOCK!$I$3:$I$6125))</f>
        <v>0</v>
      </c>
      <c r="I1505" s="50" t="str">
        <f>ARRAY_CONSTRAIN(ARRAYFORMULA(SUM(IF([3]!Table13[ID]=B1505,[3]!Table13[QTY]))), 1, 1)</f>
        <v>#ERROR!</v>
      </c>
      <c r="J1505" s="50" t="str">
        <f>TABLEITEM!$H$3:$H$2749-TABLEITEM!$I$3:$I$2749</f>
        <v>#ERROR!</v>
      </c>
    </row>
    <row r="1506" ht="15.75" customHeight="1">
      <c r="A1506" s="45"/>
      <c r="B1506" s="10" t="s">
        <v>9010</v>
      </c>
      <c r="C1506" s="26"/>
      <c r="D1506" s="10" t="s">
        <v>9011</v>
      </c>
      <c r="E1506" s="10" t="s">
        <v>950</v>
      </c>
      <c r="F1506" s="57" t="s">
        <v>7429</v>
      </c>
      <c r="G1506" s="49">
        <f t="array" ref="G1506">MAX(IF(INSTOCK!$H$3:$H$6125=B1506,INSTOCK!$K$3:$K$6125))</f>
        <v>0</v>
      </c>
      <c r="H1506" s="50">
        <f t="array" ref="H1506">SUM(IF(INSTOCK!$H$3:$H$6125=B1506,INSTOCK!$I$3:$I$6125))</f>
        <v>0</v>
      </c>
      <c r="I1506" s="50" t="str">
        <f>ARRAY_CONSTRAIN(ARRAYFORMULA(SUM(IF([3]!Table13[ID]=B1506,[3]!Table13[QTY]))), 1, 1)</f>
        <v>#ERROR!</v>
      </c>
      <c r="J1506" s="50" t="str">
        <f>TABLEITEM!$H$3:$H$2749-TABLEITEM!$I$3:$I$2749</f>
        <v>#ERROR!</v>
      </c>
    </row>
    <row r="1507" ht="15.75" customHeight="1">
      <c r="A1507" s="45"/>
      <c r="B1507" s="10" t="s">
        <v>1125</v>
      </c>
      <c r="C1507" s="26"/>
      <c r="D1507" s="10" t="s">
        <v>1126</v>
      </c>
      <c r="E1507" s="10" t="s">
        <v>950</v>
      </c>
      <c r="F1507" s="48" t="s">
        <v>7429</v>
      </c>
      <c r="G1507" s="49">
        <f t="array" ref="G1507">MAX(IF(INSTOCK!$H$3:$H$6125=B1507,INSTOCK!$K$3:$K$6125))</f>
        <v>403.74</v>
      </c>
      <c r="H1507" s="50">
        <f t="array" ref="H1507">SUM(IF(INSTOCK!$H$3:$H$6125=B1507,INSTOCK!$I$3:$I$6125))</f>
        <v>25</v>
      </c>
      <c r="I1507" s="50" t="str">
        <f>ARRAY_CONSTRAIN(ARRAYFORMULA(SUM(IF([3]!Table13[ID]=B1507,[3]!Table13[QTY]))), 1, 1)</f>
        <v>#ERROR!</v>
      </c>
      <c r="J1507" s="50" t="str">
        <f>TABLEITEM!$H$3:$H$2749-TABLEITEM!$I$3:$I$2749</f>
        <v>#ERROR!</v>
      </c>
    </row>
    <row r="1508" ht="15.75" customHeight="1">
      <c r="A1508" s="45"/>
      <c r="B1508" s="10" t="s">
        <v>9012</v>
      </c>
      <c r="C1508" s="26"/>
      <c r="D1508" s="10" t="s">
        <v>9013</v>
      </c>
      <c r="E1508" s="10" t="s">
        <v>950</v>
      </c>
      <c r="F1508" s="57" t="s">
        <v>7429</v>
      </c>
      <c r="G1508" s="49">
        <f t="array" ref="G1508">MAX(IF(INSTOCK!$H$3:$H$6125=B1508,INSTOCK!$K$3:$K$6125))</f>
        <v>0</v>
      </c>
      <c r="H1508" s="50">
        <f t="array" ref="H1508">SUM(IF(INSTOCK!$H$3:$H$6125=B1508,INSTOCK!$I$3:$I$6125))</f>
        <v>0</v>
      </c>
      <c r="I1508" s="50" t="str">
        <f>ARRAY_CONSTRAIN(ARRAYFORMULA(SUM(IF([3]!Table13[ID]=B1508,[3]!Table13[QTY]))), 1, 1)</f>
        <v>#ERROR!</v>
      </c>
      <c r="J1508" s="50" t="str">
        <f>TABLEITEM!$H$3:$H$2749-TABLEITEM!$I$3:$I$2749</f>
        <v>#ERROR!</v>
      </c>
    </row>
    <row r="1509" ht="15.75" customHeight="1">
      <c r="A1509" s="45"/>
      <c r="B1509" s="10" t="s">
        <v>9014</v>
      </c>
      <c r="C1509" s="26"/>
      <c r="D1509" s="10" t="s">
        <v>9015</v>
      </c>
      <c r="E1509" s="10" t="s">
        <v>950</v>
      </c>
      <c r="F1509" s="57" t="s">
        <v>7429</v>
      </c>
      <c r="G1509" s="49">
        <f t="array" ref="G1509">MAX(IF(INSTOCK!$H$3:$H$6125=B1509,INSTOCK!$K$3:$K$6125))</f>
        <v>0</v>
      </c>
      <c r="H1509" s="50">
        <f t="array" ref="H1509">SUM(IF(INSTOCK!$H$3:$H$6125=B1509,INSTOCK!$I$3:$I$6125))</f>
        <v>0</v>
      </c>
      <c r="I1509" s="50" t="str">
        <f>ARRAY_CONSTRAIN(ARRAYFORMULA(SUM(IF([3]!Table13[ID]=B1509,[3]!Table13[QTY]))), 1, 1)</f>
        <v>#ERROR!</v>
      </c>
      <c r="J1509" s="50" t="str">
        <f>TABLEITEM!$H$3:$H$2749-TABLEITEM!$I$3:$I$2749</f>
        <v>#ERROR!</v>
      </c>
    </row>
    <row r="1510" ht="15.75" customHeight="1">
      <c r="A1510" s="45"/>
      <c r="B1510" s="10" t="s">
        <v>9016</v>
      </c>
      <c r="C1510" s="26"/>
      <c r="D1510" s="10" t="s">
        <v>9017</v>
      </c>
      <c r="E1510" s="10" t="s">
        <v>950</v>
      </c>
      <c r="F1510" s="57" t="s">
        <v>7429</v>
      </c>
      <c r="G1510" s="49">
        <f t="array" ref="G1510">MAX(IF(INSTOCK!$H$3:$H$6125=B1510,INSTOCK!$K$3:$K$6125))</f>
        <v>0</v>
      </c>
      <c r="H1510" s="50">
        <f t="array" ref="H1510">SUM(IF(INSTOCK!$H$3:$H$6125=B1510,INSTOCK!$I$3:$I$6125))</f>
        <v>0</v>
      </c>
      <c r="I1510" s="50" t="str">
        <f>ARRAY_CONSTRAIN(ARRAYFORMULA(SUM(IF([3]!Table13[ID]=B1510,[3]!Table13[QTY]))), 1, 1)</f>
        <v>#ERROR!</v>
      </c>
      <c r="J1510" s="50" t="str">
        <f>TABLEITEM!$H$3:$H$2749-TABLEITEM!$I$3:$I$2749</f>
        <v>#ERROR!</v>
      </c>
    </row>
    <row r="1511" ht="15.75" customHeight="1">
      <c r="A1511" s="45"/>
      <c r="B1511" s="10" t="s">
        <v>9018</v>
      </c>
      <c r="C1511" s="26"/>
      <c r="D1511" s="10" t="s">
        <v>9019</v>
      </c>
      <c r="E1511" s="10" t="s">
        <v>950</v>
      </c>
      <c r="F1511" s="57" t="s">
        <v>7429</v>
      </c>
      <c r="G1511" s="49">
        <f t="array" ref="G1511">MAX(IF(INSTOCK!$H$3:$H$6125=B1511,INSTOCK!$K$3:$K$6125))</f>
        <v>0</v>
      </c>
      <c r="H1511" s="50">
        <f t="array" ref="H1511">SUM(IF(INSTOCK!$H$3:$H$6125=B1511,INSTOCK!$I$3:$I$6125))</f>
        <v>0</v>
      </c>
      <c r="I1511" s="50" t="str">
        <f>ARRAY_CONSTRAIN(ARRAYFORMULA(SUM(IF([3]!Table13[ID]=B1511,[3]!Table13[QTY]))), 1, 1)</f>
        <v>#ERROR!</v>
      </c>
      <c r="J1511" s="50" t="str">
        <f>TABLEITEM!$H$3:$H$2749-TABLEITEM!$I$3:$I$2749</f>
        <v>#ERROR!</v>
      </c>
    </row>
    <row r="1512" ht="15.75" customHeight="1">
      <c r="A1512" s="45"/>
      <c r="B1512" s="10" t="s">
        <v>9020</v>
      </c>
      <c r="C1512" s="26"/>
      <c r="D1512" s="10" t="s">
        <v>9021</v>
      </c>
      <c r="E1512" s="10" t="s">
        <v>950</v>
      </c>
      <c r="F1512" s="57" t="s">
        <v>7429</v>
      </c>
      <c r="G1512" s="49">
        <f t="array" ref="G1512">MAX(IF(INSTOCK!$H$3:$H$6125=B1512,INSTOCK!$K$3:$K$6125))</f>
        <v>0</v>
      </c>
      <c r="H1512" s="50">
        <f t="array" ref="H1512">SUM(IF(INSTOCK!$H$3:$H$6125=B1512,INSTOCK!$I$3:$I$6125))</f>
        <v>0</v>
      </c>
      <c r="I1512" s="50" t="str">
        <f>ARRAY_CONSTRAIN(ARRAYFORMULA(SUM(IF([3]!Table13[ID]=B1512,[3]!Table13[QTY]))), 1, 1)</f>
        <v>#ERROR!</v>
      </c>
      <c r="J1512" s="50" t="str">
        <f>TABLEITEM!$H$3:$H$2749-TABLEITEM!$I$3:$I$2749</f>
        <v>#ERROR!</v>
      </c>
    </row>
    <row r="1513" ht="15.75" customHeight="1">
      <c r="A1513" s="45"/>
      <c r="B1513" s="10" t="s">
        <v>5924</v>
      </c>
      <c r="C1513" s="26"/>
      <c r="D1513" s="10" t="s">
        <v>9022</v>
      </c>
      <c r="E1513" s="10" t="s">
        <v>950</v>
      </c>
      <c r="F1513" s="57" t="s">
        <v>7429</v>
      </c>
      <c r="G1513" s="49">
        <f t="array" ref="G1513">MAX(IF(INSTOCK!$H$3:$H$6125=B1513,INSTOCK!$K$3:$K$6125))</f>
        <v>52</v>
      </c>
      <c r="H1513" s="50">
        <f t="array" ref="H1513">SUM(IF(INSTOCK!$H$3:$H$6125=B1513,INSTOCK!$I$3:$I$6125))</f>
        <v>50</v>
      </c>
      <c r="I1513" s="50" t="str">
        <f>ARRAY_CONSTRAIN(ARRAYFORMULA(SUM(IF([3]!Table13[ID]=B1513,[3]!Table13[QTY]))), 1, 1)</f>
        <v>#ERROR!</v>
      </c>
      <c r="J1513" s="50" t="str">
        <f>TABLEITEM!$H$3:$H$2749-TABLEITEM!$I$3:$I$2749</f>
        <v>#ERROR!</v>
      </c>
    </row>
    <row r="1514" ht="15.75" customHeight="1">
      <c r="A1514" s="45"/>
      <c r="B1514" s="10" t="s">
        <v>5923</v>
      </c>
      <c r="C1514" s="26"/>
      <c r="D1514" s="10" t="s">
        <v>9023</v>
      </c>
      <c r="E1514" s="10" t="s">
        <v>950</v>
      </c>
      <c r="F1514" s="57" t="s">
        <v>7429</v>
      </c>
      <c r="G1514" s="49">
        <f t="array" ref="G1514">MAX(IF(INSTOCK!$H$3:$H$6125=B1514,INSTOCK!$K$3:$K$6125))</f>
        <v>52</v>
      </c>
      <c r="H1514" s="50">
        <f t="array" ref="H1514">SUM(IF(INSTOCK!$H$3:$H$6125=B1514,INSTOCK!$I$3:$I$6125))</f>
        <v>50</v>
      </c>
      <c r="I1514" s="50" t="str">
        <f>ARRAY_CONSTRAIN(ARRAYFORMULA(SUM(IF([3]!Table13[ID]=B1514,[3]!Table13[QTY]))), 1, 1)</f>
        <v>#ERROR!</v>
      </c>
      <c r="J1514" s="50" t="str">
        <f>TABLEITEM!$H$3:$H$2749-TABLEITEM!$I$3:$I$2749</f>
        <v>#ERROR!</v>
      </c>
    </row>
    <row r="1515" ht="15.75" customHeight="1">
      <c r="A1515" s="45"/>
      <c r="B1515" s="10" t="s">
        <v>1122</v>
      </c>
      <c r="C1515" s="26"/>
      <c r="D1515" s="10" t="s">
        <v>1123</v>
      </c>
      <c r="E1515" s="10" t="s">
        <v>950</v>
      </c>
      <c r="F1515" s="48" t="s">
        <v>7429</v>
      </c>
      <c r="G1515" s="49">
        <f t="array" ref="G1515">MAX(IF(INSTOCK!$H$3:$H$6125=B1515,INSTOCK!$K$3:$K$6125))</f>
        <v>354.86</v>
      </c>
      <c r="H1515" s="50">
        <f t="array" ref="H1515">SUM(IF(INSTOCK!$H$3:$H$6125=B1515,INSTOCK!$I$3:$I$6125))</f>
        <v>25</v>
      </c>
      <c r="I1515" s="50" t="str">
        <f>ARRAY_CONSTRAIN(ARRAYFORMULA(SUM(IF([3]!Table13[ID]=B1515,[3]!Table13[QTY]))), 1, 1)</f>
        <v>#ERROR!</v>
      </c>
      <c r="J1515" s="50" t="str">
        <f>TABLEITEM!$H$3:$H$2749-TABLEITEM!$I$3:$I$2749</f>
        <v>#ERROR!</v>
      </c>
    </row>
    <row r="1516" ht="15.75" customHeight="1">
      <c r="A1516" s="45"/>
      <c r="B1516" s="10" t="s">
        <v>9024</v>
      </c>
      <c r="C1516" s="26"/>
      <c r="D1516" s="10" t="s">
        <v>9025</v>
      </c>
      <c r="E1516" s="10" t="s">
        <v>950</v>
      </c>
      <c r="F1516" s="57" t="s">
        <v>7429</v>
      </c>
      <c r="G1516" s="49">
        <f t="array" ref="G1516">MAX(IF(INSTOCK!$H$3:$H$6125=B1516,INSTOCK!$K$3:$K$6125))</f>
        <v>0</v>
      </c>
      <c r="H1516" s="50">
        <f t="array" ref="H1516">SUM(IF(INSTOCK!$H$3:$H$6125=B1516,INSTOCK!$I$3:$I$6125))</f>
        <v>0</v>
      </c>
      <c r="I1516" s="50" t="str">
        <f>ARRAY_CONSTRAIN(ARRAYFORMULA(SUM(IF([3]!Table13[ID]=B1516,[3]!Table13[QTY]))), 1, 1)</f>
        <v>#ERROR!</v>
      </c>
      <c r="J1516" s="50" t="str">
        <f>TABLEITEM!$H$3:$H$2749-TABLEITEM!$I$3:$I$2749</f>
        <v>#ERROR!</v>
      </c>
    </row>
    <row r="1517" ht="15.75" customHeight="1">
      <c r="A1517" s="45"/>
      <c r="B1517" s="10" t="s">
        <v>952</v>
      </c>
      <c r="C1517" s="26"/>
      <c r="D1517" s="10" t="s">
        <v>9026</v>
      </c>
      <c r="E1517" s="10" t="s">
        <v>950</v>
      </c>
      <c r="F1517" s="57" t="s">
        <v>7429</v>
      </c>
      <c r="G1517" s="49">
        <f t="array" ref="G1517">MAX(IF(INSTOCK!$H$3:$H$6125=B1517,INSTOCK!$K$3:$K$6125))</f>
        <v>32</v>
      </c>
      <c r="H1517" s="50">
        <f t="array" ref="H1517">SUM(IF(INSTOCK!$H$3:$H$6125=B1517,INSTOCK!$I$3:$I$6125))</f>
        <v>50</v>
      </c>
      <c r="I1517" s="50" t="str">
        <f>ARRAY_CONSTRAIN(ARRAYFORMULA(SUM(IF([3]!Table13[ID]=B1517,[3]!Table13[QTY]))), 1, 1)</f>
        <v>#ERROR!</v>
      </c>
      <c r="J1517" s="50" t="str">
        <f>TABLEITEM!$H$3:$H$2749-TABLEITEM!$I$3:$I$2749</f>
        <v>#ERROR!</v>
      </c>
    </row>
    <row r="1518" ht="15.75" customHeight="1">
      <c r="A1518" s="45"/>
      <c r="B1518" s="10" t="s">
        <v>953</v>
      </c>
      <c r="C1518" s="26"/>
      <c r="D1518" s="10" t="s">
        <v>9027</v>
      </c>
      <c r="E1518" s="10" t="s">
        <v>950</v>
      </c>
      <c r="F1518" s="57" t="s">
        <v>7429</v>
      </c>
      <c r="G1518" s="49">
        <f t="array" ref="G1518">MAX(IF(INSTOCK!$H$3:$H$6125=B1518,INSTOCK!$K$3:$K$6125))</f>
        <v>32</v>
      </c>
      <c r="H1518" s="50">
        <f t="array" ref="H1518">SUM(IF(INSTOCK!$H$3:$H$6125=B1518,INSTOCK!$I$3:$I$6125))</f>
        <v>50</v>
      </c>
      <c r="I1518" s="50" t="str">
        <f>ARRAY_CONSTRAIN(ARRAYFORMULA(SUM(IF([3]!Table13[ID]=B1518,[3]!Table13[QTY]))), 1, 1)</f>
        <v>#ERROR!</v>
      </c>
      <c r="J1518" s="50" t="str">
        <f>TABLEITEM!$H$3:$H$2749-TABLEITEM!$I$3:$I$2749</f>
        <v>#ERROR!</v>
      </c>
    </row>
    <row r="1519" ht="15.75" customHeight="1">
      <c r="A1519" s="45"/>
      <c r="B1519" s="10" t="s">
        <v>951</v>
      </c>
      <c r="C1519" s="26"/>
      <c r="D1519" s="10" t="s">
        <v>9028</v>
      </c>
      <c r="E1519" s="10" t="s">
        <v>950</v>
      </c>
      <c r="F1519" s="57" t="s">
        <v>7429</v>
      </c>
      <c r="G1519" s="49">
        <f t="array" ref="G1519">MAX(IF(INSTOCK!$H$3:$H$6125=B1519,INSTOCK!$K$3:$K$6125))</f>
        <v>32</v>
      </c>
      <c r="H1519" s="50">
        <f t="array" ref="H1519">SUM(IF(INSTOCK!$H$3:$H$6125=B1519,INSTOCK!$I$3:$I$6125))</f>
        <v>50</v>
      </c>
      <c r="I1519" s="50" t="str">
        <f>ARRAY_CONSTRAIN(ARRAYFORMULA(SUM(IF([3]!Table13[ID]=B1519,[3]!Table13[QTY]))), 1, 1)</f>
        <v>#ERROR!</v>
      </c>
      <c r="J1519" s="50" t="str">
        <f>TABLEITEM!$H$3:$H$2749-TABLEITEM!$I$3:$I$2749</f>
        <v>#ERROR!</v>
      </c>
    </row>
    <row r="1520" ht="15.75" customHeight="1">
      <c r="A1520" s="45"/>
      <c r="B1520" s="10" t="s">
        <v>9029</v>
      </c>
      <c r="C1520" s="26"/>
      <c r="D1520" s="10" t="s">
        <v>9030</v>
      </c>
      <c r="E1520" s="10" t="s">
        <v>950</v>
      </c>
      <c r="F1520" s="57" t="s">
        <v>7429</v>
      </c>
      <c r="G1520" s="49">
        <f t="array" ref="G1520">MAX(IF(INSTOCK!$H$3:$H$6125=B1520,INSTOCK!$K$3:$K$6125))</f>
        <v>0</v>
      </c>
      <c r="H1520" s="50">
        <f t="array" ref="H1520">SUM(IF(INSTOCK!$H$3:$H$6125=B1520,INSTOCK!$I$3:$I$6125))</f>
        <v>0</v>
      </c>
      <c r="I1520" s="50" t="str">
        <f>ARRAY_CONSTRAIN(ARRAYFORMULA(SUM(IF([3]!Table13[ID]=B1520,[3]!Table13[QTY]))), 1, 1)</f>
        <v>#ERROR!</v>
      </c>
      <c r="J1520" s="50" t="str">
        <f>TABLEITEM!$H$3:$H$2749-TABLEITEM!$I$3:$I$2749</f>
        <v>#ERROR!</v>
      </c>
    </row>
    <row r="1521" ht="15.75" customHeight="1">
      <c r="A1521" s="45"/>
      <c r="B1521" s="10" t="s">
        <v>9031</v>
      </c>
      <c r="C1521" s="26"/>
      <c r="D1521" s="10" t="s">
        <v>9032</v>
      </c>
      <c r="E1521" s="10" t="s">
        <v>950</v>
      </c>
      <c r="F1521" s="57" t="s">
        <v>7429</v>
      </c>
      <c r="G1521" s="49">
        <f t="array" ref="G1521">MAX(IF(INSTOCK!$H$3:$H$6125=B1521,INSTOCK!$K$3:$K$6125))</f>
        <v>0</v>
      </c>
      <c r="H1521" s="50">
        <f t="array" ref="H1521">SUM(IF(INSTOCK!$H$3:$H$6125=B1521,INSTOCK!$I$3:$I$6125))</f>
        <v>0</v>
      </c>
      <c r="I1521" s="50" t="str">
        <f>ARRAY_CONSTRAIN(ARRAYFORMULA(SUM(IF([3]!Table13[ID]=B1521,[3]!Table13[QTY]))), 1, 1)</f>
        <v>#ERROR!</v>
      </c>
      <c r="J1521" s="50" t="str">
        <f>TABLEITEM!$H$3:$H$2749-TABLEITEM!$I$3:$I$2749</f>
        <v>#ERROR!</v>
      </c>
    </row>
    <row r="1522" ht="15.75" customHeight="1">
      <c r="A1522" s="45"/>
      <c r="B1522" s="10" t="s">
        <v>9033</v>
      </c>
      <c r="C1522" s="26"/>
      <c r="D1522" s="10" t="s">
        <v>9034</v>
      </c>
      <c r="E1522" s="10" t="s">
        <v>950</v>
      </c>
      <c r="F1522" s="57" t="s">
        <v>7429</v>
      </c>
      <c r="G1522" s="49">
        <f t="array" ref="G1522">MAX(IF(INSTOCK!$H$3:$H$6125=B1522,INSTOCK!$K$3:$K$6125))</f>
        <v>0</v>
      </c>
      <c r="H1522" s="50">
        <f t="array" ref="H1522">SUM(IF(INSTOCK!$H$3:$H$6125=B1522,INSTOCK!$I$3:$I$6125))</f>
        <v>0</v>
      </c>
      <c r="I1522" s="50" t="str">
        <f>ARRAY_CONSTRAIN(ARRAYFORMULA(SUM(IF([3]!Table13[ID]=B1522,[3]!Table13[QTY]))), 1, 1)</f>
        <v>#ERROR!</v>
      </c>
      <c r="J1522" s="50" t="str">
        <f>TABLEITEM!$H$3:$H$2749-TABLEITEM!$I$3:$I$2749</f>
        <v>#ERROR!</v>
      </c>
    </row>
    <row r="1523" ht="15.75" customHeight="1">
      <c r="A1523" s="45"/>
      <c r="B1523" s="10" t="s">
        <v>5598</v>
      </c>
      <c r="C1523" s="26"/>
      <c r="D1523" s="10" t="s">
        <v>9035</v>
      </c>
      <c r="E1523" s="10" t="s">
        <v>950</v>
      </c>
      <c r="F1523" s="57" t="s">
        <v>7429</v>
      </c>
      <c r="G1523" s="49">
        <f t="array" ref="G1523">MAX(IF(INSTOCK!$H$3:$H$6125=B1523,INSTOCK!$K$3:$K$6125))</f>
        <v>24.95</v>
      </c>
      <c r="H1523" s="50">
        <f t="array" ref="H1523">SUM(IF(INSTOCK!$H$3:$H$6125=B1523,INSTOCK!$I$3:$I$6125))</f>
        <v>100</v>
      </c>
      <c r="I1523" s="50" t="str">
        <f>ARRAY_CONSTRAIN(ARRAYFORMULA(SUM(IF([3]!Table13[ID]=B1523,[3]!Table13[QTY]))), 1, 1)</f>
        <v>#ERROR!</v>
      </c>
      <c r="J1523" s="50" t="str">
        <f>TABLEITEM!$H$3:$H$2749-TABLEITEM!$I$3:$I$2749</f>
        <v>#ERROR!</v>
      </c>
    </row>
    <row r="1524" ht="15.75" customHeight="1">
      <c r="A1524" s="45"/>
      <c r="B1524" s="10" t="s">
        <v>9036</v>
      </c>
      <c r="C1524" s="26"/>
      <c r="D1524" s="10" t="s">
        <v>9037</v>
      </c>
      <c r="E1524" s="10" t="s">
        <v>950</v>
      </c>
      <c r="F1524" s="57" t="s">
        <v>7429</v>
      </c>
      <c r="G1524" s="49">
        <f t="array" ref="G1524">MAX(IF(INSTOCK!$H$3:$H$6125=B1524,INSTOCK!$K$3:$K$6125))</f>
        <v>0</v>
      </c>
      <c r="H1524" s="50">
        <f t="array" ref="H1524">SUM(IF(INSTOCK!$H$3:$H$6125=B1524,INSTOCK!$I$3:$I$6125))</f>
        <v>0</v>
      </c>
      <c r="I1524" s="50" t="str">
        <f>ARRAY_CONSTRAIN(ARRAYFORMULA(SUM(IF([3]!Table13[ID]=B1524,[3]!Table13[QTY]))), 1, 1)</f>
        <v>#ERROR!</v>
      </c>
      <c r="J1524" s="50" t="str">
        <f>TABLEITEM!$H$3:$H$2749-TABLEITEM!$I$3:$I$2749</f>
        <v>#ERROR!</v>
      </c>
    </row>
    <row r="1525" ht="15.75" customHeight="1">
      <c r="A1525" s="45"/>
      <c r="B1525" s="10" t="s">
        <v>5599</v>
      </c>
      <c r="C1525" s="26"/>
      <c r="D1525" s="10" t="s">
        <v>9038</v>
      </c>
      <c r="E1525" s="10" t="s">
        <v>950</v>
      </c>
      <c r="F1525" s="57" t="s">
        <v>7429</v>
      </c>
      <c r="G1525" s="49">
        <f t="array" ref="G1525">MAX(IF(INSTOCK!$H$3:$H$6125=B1525,INSTOCK!$K$3:$K$6125))</f>
        <v>24.95</v>
      </c>
      <c r="H1525" s="50">
        <f t="array" ref="H1525">SUM(IF(INSTOCK!$H$3:$H$6125=B1525,INSTOCK!$I$3:$I$6125))</f>
        <v>100</v>
      </c>
      <c r="I1525" s="50" t="str">
        <f>ARRAY_CONSTRAIN(ARRAYFORMULA(SUM(IF([3]!Table13[ID]=B1525,[3]!Table13[QTY]))), 1, 1)</f>
        <v>#ERROR!</v>
      </c>
      <c r="J1525" s="50" t="str">
        <f>TABLEITEM!$H$3:$H$2749-TABLEITEM!$I$3:$I$2749</f>
        <v>#ERROR!</v>
      </c>
    </row>
    <row r="1526" ht="15.75" customHeight="1">
      <c r="A1526" s="45"/>
      <c r="B1526" s="10" t="s">
        <v>9039</v>
      </c>
      <c r="C1526" s="26"/>
      <c r="D1526" s="10" t="s">
        <v>9040</v>
      </c>
      <c r="E1526" s="10" t="s">
        <v>950</v>
      </c>
      <c r="F1526" s="57" t="s">
        <v>7429</v>
      </c>
      <c r="G1526" s="49">
        <f t="array" ref="G1526">MAX(IF(INSTOCK!$H$3:$H$6125=B1526,INSTOCK!$K$3:$K$6125))</f>
        <v>0</v>
      </c>
      <c r="H1526" s="50">
        <f t="array" ref="H1526">SUM(IF(INSTOCK!$H$3:$H$6125=B1526,INSTOCK!$I$3:$I$6125))</f>
        <v>0</v>
      </c>
      <c r="I1526" s="50" t="str">
        <f>ARRAY_CONSTRAIN(ARRAYFORMULA(SUM(IF([3]!Table13[ID]=B1526,[3]!Table13[QTY]))), 1, 1)</f>
        <v>#ERROR!</v>
      </c>
      <c r="J1526" s="50" t="str">
        <f>TABLEITEM!$H$3:$H$2749-TABLEITEM!$I$3:$I$2749</f>
        <v>#ERROR!</v>
      </c>
    </row>
    <row r="1527" ht="15.75" customHeight="1">
      <c r="A1527" s="45"/>
      <c r="B1527" s="10" t="s">
        <v>5870</v>
      </c>
      <c r="C1527" s="26"/>
      <c r="D1527" s="10" t="s">
        <v>9041</v>
      </c>
      <c r="E1527" s="10" t="s">
        <v>950</v>
      </c>
      <c r="F1527" s="57" t="s">
        <v>7429</v>
      </c>
      <c r="G1527" s="49">
        <f t="array" ref="G1527">MAX(IF(INSTOCK!$H$3:$H$6125=B1527,INSTOCK!$K$3:$K$6125))</f>
        <v>24.95</v>
      </c>
      <c r="H1527" s="50">
        <f t="array" ref="H1527">SUM(IF(INSTOCK!$H$3:$H$6125=B1527,INSTOCK!$I$3:$I$6125))</f>
        <v>100</v>
      </c>
      <c r="I1527" s="50" t="str">
        <f>ARRAY_CONSTRAIN(ARRAYFORMULA(SUM(IF([3]!Table13[ID]=B1527,[3]!Table13[QTY]))), 1, 1)</f>
        <v>#ERROR!</v>
      </c>
      <c r="J1527" s="50" t="str">
        <f>TABLEITEM!$H$3:$H$2749-TABLEITEM!$I$3:$I$2749</f>
        <v>#ERROR!</v>
      </c>
    </row>
    <row r="1528" ht="15.75" customHeight="1">
      <c r="A1528" s="45"/>
      <c r="B1528" s="10" t="s">
        <v>9042</v>
      </c>
      <c r="C1528" s="26"/>
      <c r="D1528" s="10" t="s">
        <v>9043</v>
      </c>
      <c r="E1528" s="10" t="s">
        <v>950</v>
      </c>
      <c r="F1528" s="57" t="s">
        <v>7429</v>
      </c>
      <c r="G1528" s="49">
        <f t="array" ref="G1528">MAX(IF(INSTOCK!$H$3:$H$6125=B1528,INSTOCK!$K$3:$K$6125))</f>
        <v>0</v>
      </c>
      <c r="H1528" s="50">
        <f t="array" ref="H1528">SUM(IF(INSTOCK!$H$3:$H$6125=B1528,INSTOCK!$I$3:$I$6125))</f>
        <v>0</v>
      </c>
      <c r="I1528" s="50" t="str">
        <f>ARRAY_CONSTRAIN(ARRAYFORMULA(SUM(IF([3]!Table13[ID]=B1528,[3]!Table13[QTY]))), 1, 1)</f>
        <v>#ERROR!</v>
      </c>
      <c r="J1528" s="50" t="str">
        <f>TABLEITEM!$H$3:$H$2749-TABLEITEM!$I$3:$I$2749</f>
        <v>#ERROR!</v>
      </c>
    </row>
    <row r="1529" ht="15.75" customHeight="1">
      <c r="A1529" s="45"/>
      <c r="B1529" s="10" t="s">
        <v>9044</v>
      </c>
      <c r="C1529" s="26"/>
      <c r="D1529" s="10" t="s">
        <v>9045</v>
      </c>
      <c r="E1529" s="10" t="s">
        <v>950</v>
      </c>
      <c r="F1529" s="57" t="s">
        <v>7429</v>
      </c>
      <c r="G1529" s="49">
        <f t="array" ref="G1529">MAX(IF(INSTOCK!$H$3:$H$6125=B1529,INSTOCK!$K$3:$K$6125))</f>
        <v>0</v>
      </c>
      <c r="H1529" s="50">
        <f t="array" ref="H1529">SUM(IF(INSTOCK!$H$3:$H$6125=B1529,INSTOCK!$I$3:$I$6125))</f>
        <v>0</v>
      </c>
      <c r="I1529" s="50" t="str">
        <f>ARRAY_CONSTRAIN(ARRAYFORMULA(SUM(IF([3]!Table13[ID]=B1529,[3]!Table13[QTY]))), 1, 1)</f>
        <v>#ERROR!</v>
      </c>
      <c r="J1529" s="50" t="str">
        <f>TABLEITEM!$H$3:$H$2749-TABLEITEM!$I$3:$I$2749</f>
        <v>#ERROR!</v>
      </c>
    </row>
    <row r="1530" ht="15.75" customHeight="1">
      <c r="A1530" s="45"/>
      <c r="B1530" s="10" t="s">
        <v>5596</v>
      </c>
      <c r="C1530" s="26"/>
      <c r="D1530" s="10" t="s">
        <v>9046</v>
      </c>
      <c r="E1530" s="10" t="s">
        <v>950</v>
      </c>
      <c r="F1530" s="57" t="s">
        <v>7429</v>
      </c>
      <c r="G1530" s="49">
        <f t="array" ref="G1530">MAX(IF(INSTOCK!$H$3:$H$6125=B1530,INSTOCK!$K$3:$K$6125))</f>
        <v>20.65</v>
      </c>
      <c r="H1530" s="50">
        <f t="array" ref="H1530">SUM(IF(INSTOCK!$H$3:$H$6125=B1530,INSTOCK!$I$3:$I$6125))</f>
        <v>100</v>
      </c>
      <c r="I1530" s="50" t="str">
        <f>ARRAY_CONSTRAIN(ARRAYFORMULA(SUM(IF([3]!Table13[ID]=B1530,[3]!Table13[QTY]))), 1, 1)</f>
        <v>#ERROR!</v>
      </c>
      <c r="J1530" s="50" t="str">
        <f>TABLEITEM!$H$3:$H$2749-TABLEITEM!$I$3:$I$2749</f>
        <v>#ERROR!</v>
      </c>
    </row>
    <row r="1531" ht="15.75" customHeight="1">
      <c r="A1531" s="45"/>
      <c r="B1531" s="10" t="s">
        <v>9047</v>
      </c>
      <c r="C1531" s="26"/>
      <c r="D1531" s="10" t="s">
        <v>9048</v>
      </c>
      <c r="E1531" s="10" t="s">
        <v>950</v>
      </c>
      <c r="F1531" s="57" t="s">
        <v>7429</v>
      </c>
      <c r="G1531" s="49">
        <f t="array" ref="G1531">MAX(IF(INSTOCK!$H$3:$H$6125=B1531,INSTOCK!$K$3:$K$6125))</f>
        <v>0</v>
      </c>
      <c r="H1531" s="50">
        <f t="array" ref="H1531">SUM(IF(INSTOCK!$H$3:$H$6125=B1531,INSTOCK!$I$3:$I$6125))</f>
        <v>0</v>
      </c>
      <c r="I1531" s="50" t="str">
        <f>ARRAY_CONSTRAIN(ARRAYFORMULA(SUM(IF([3]!Table13[ID]=B1531,[3]!Table13[QTY]))), 1, 1)</f>
        <v>#ERROR!</v>
      </c>
      <c r="J1531" s="50" t="str">
        <f>TABLEITEM!$H$3:$H$2749-TABLEITEM!$I$3:$I$2749</f>
        <v>#ERROR!</v>
      </c>
    </row>
    <row r="1532" ht="15.75" customHeight="1">
      <c r="A1532" s="45"/>
      <c r="B1532" s="10" t="s">
        <v>5597</v>
      </c>
      <c r="C1532" s="26"/>
      <c r="D1532" s="10" t="s">
        <v>9049</v>
      </c>
      <c r="E1532" s="10" t="s">
        <v>950</v>
      </c>
      <c r="F1532" s="57" t="s">
        <v>7429</v>
      </c>
      <c r="G1532" s="49">
        <f t="array" ref="G1532">MAX(IF(INSTOCK!$H$3:$H$6125=B1532,INSTOCK!$K$3:$K$6125))</f>
        <v>20.65</v>
      </c>
      <c r="H1532" s="50">
        <f t="array" ref="H1532">SUM(IF(INSTOCK!$H$3:$H$6125=B1532,INSTOCK!$I$3:$I$6125))</f>
        <v>100</v>
      </c>
      <c r="I1532" s="50" t="str">
        <f>ARRAY_CONSTRAIN(ARRAYFORMULA(SUM(IF([3]!Table13[ID]=B1532,[3]!Table13[QTY]))), 1, 1)</f>
        <v>#ERROR!</v>
      </c>
      <c r="J1532" s="50" t="str">
        <f>TABLEITEM!$H$3:$H$2749-TABLEITEM!$I$3:$I$2749</f>
        <v>#ERROR!</v>
      </c>
    </row>
    <row r="1533" ht="15.75" customHeight="1">
      <c r="A1533" s="45"/>
      <c r="B1533" s="10" t="s">
        <v>9050</v>
      </c>
      <c r="C1533" s="26"/>
      <c r="D1533" s="10" t="s">
        <v>9051</v>
      </c>
      <c r="E1533" s="10" t="s">
        <v>950</v>
      </c>
      <c r="F1533" s="57" t="s">
        <v>7429</v>
      </c>
      <c r="G1533" s="49">
        <f t="array" ref="G1533">MAX(IF(INSTOCK!$H$3:$H$6125=B1533,INSTOCK!$K$3:$K$6125))</f>
        <v>0</v>
      </c>
      <c r="H1533" s="50">
        <f t="array" ref="H1533">SUM(IF(INSTOCK!$H$3:$H$6125=B1533,INSTOCK!$I$3:$I$6125))</f>
        <v>0</v>
      </c>
      <c r="I1533" s="50" t="str">
        <f>ARRAY_CONSTRAIN(ARRAYFORMULA(SUM(IF([3]!Table13[ID]=B1533,[3]!Table13[QTY]))), 1, 1)</f>
        <v>#ERROR!</v>
      </c>
      <c r="J1533" s="50" t="str">
        <f>TABLEITEM!$H$3:$H$2749-TABLEITEM!$I$3:$I$2749</f>
        <v>#ERROR!</v>
      </c>
    </row>
    <row r="1534" ht="15.75" customHeight="1">
      <c r="A1534" s="45"/>
      <c r="B1534" s="10" t="s">
        <v>9052</v>
      </c>
      <c r="C1534" s="26"/>
      <c r="D1534" s="10" t="s">
        <v>9053</v>
      </c>
      <c r="E1534" s="10" t="s">
        <v>950</v>
      </c>
      <c r="F1534" s="57" t="s">
        <v>7429</v>
      </c>
      <c r="G1534" s="49">
        <f t="array" ref="G1534">MAX(IF(INSTOCK!$H$3:$H$6125=B1534,INSTOCK!$K$3:$K$6125))</f>
        <v>0</v>
      </c>
      <c r="H1534" s="50">
        <f t="array" ref="H1534">SUM(IF(INSTOCK!$H$3:$H$6125=B1534,INSTOCK!$I$3:$I$6125))</f>
        <v>0</v>
      </c>
      <c r="I1534" s="50" t="str">
        <f>ARRAY_CONSTRAIN(ARRAYFORMULA(SUM(IF([3]!Table13[ID]=B1534,[3]!Table13[QTY]))), 1, 1)</f>
        <v>#ERROR!</v>
      </c>
      <c r="J1534" s="50" t="str">
        <f>TABLEITEM!$H$3:$H$2749-TABLEITEM!$I$3:$I$2749</f>
        <v>#ERROR!</v>
      </c>
    </row>
    <row r="1535" ht="15.75" customHeight="1">
      <c r="A1535" s="45"/>
      <c r="B1535" s="10" t="s">
        <v>9054</v>
      </c>
      <c r="C1535" s="26"/>
      <c r="D1535" s="10" t="s">
        <v>9055</v>
      </c>
      <c r="E1535" s="10" t="s">
        <v>950</v>
      </c>
      <c r="F1535" s="57" t="s">
        <v>7429</v>
      </c>
      <c r="G1535" s="49">
        <f t="array" ref="G1535">MAX(IF(INSTOCK!$H$3:$H$6125=B1535,INSTOCK!$K$3:$K$6125))</f>
        <v>0</v>
      </c>
      <c r="H1535" s="50">
        <f t="array" ref="H1535">SUM(IF(INSTOCK!$H$3:$H$6125=B1535,INSTOCK!$I$3:$I$6125))</f>
        <v>0</v>
      </c>
      <c r="I1535" s="50" t="str">
        <f>ARRAY_CONSTRAIN(ARRAYFORMULA(SUM(IF([3]!Table13[ID]=B1535,[3]!Table13[QTY]))), 1, 1)</f>
        <v>#ERROR!</v>
      </c>
      <c r="J1535" s="50" t="str">
        <f>TABLEITEM!$H$3:$H$2749-TABLEITEM!$I$3:$I$2749</f>
        <v>#ERROR!</v>
      </c>
    </row>
    <row r="1536" ht="15.75" customHeight="1">
      <c r="A1536" s="45"/>
      <c r="B1536" s="10" t="s">
        <v>6933</v>
      </c>
      <c r="C1536" s="26"/>
      <c r="D1536" s="10" t="s">
        <v>9056</v>
      </c>
      <c r="E1536" s="10" t="s">
        <v>950</v>
      </c>
      <c r="F1536" s="57" t="s">
        <v>7429</v>
      </c>
      <c r="G1536" s="49">
        <f t="array" ref="G1536">MAX(IF(INSTOCK!$H$3:$H$6125=B1536,INSTOCK!$K$3:$K$6125))</f>
        <v>12.5</v>
      </c>
      <c r="H1536" s="50">
        <f t="array" ref="H1536">SUM(IF(INSTOCK!$H$3:$H$6125=B1536,INSTOCK!$I$3:$I$6125))</f>
        <v>100</v>
      </c>
      <c r="I1536" s="50" t="str">
        <f>ARRAY_CONSTRAIN(ARRAYFORMULA(SUM(IF([3]!Table13[ID]=B1536,[3]!Table13[QTY]))), 1, 1)</f>
        <v>#ERROR!</v>
      </c>
      <c r="J1536" s="50" t="str">
        <f>TABLEITEM!$H$3:$H$2749-TABLEITEM!$I$3:$I$2749</f>
        <v>#ERROR!</v>
      </c>
    </row>
    <row r="1537" ht="15.75" customHeight="1">
      <c r="A1537" s="45"/>
      <c r="B1537" s="10" t="s">
        <v>6932</v>
      </c>
      <c r="C1537" s="26"/>
      <c r="D1537" s="10" t="s">
        <v>9057</v>
      </c>
      <c r="E1537" s="10" t="s">
        <v>950</v>
      </c>
      <c r="F1537" s="57" t="s">
        <v>7429</v>
      </c>
      <c r="G1537" s="49">
        <f t="array" ref="G1537">MAX(IF(INSTOCK!$H$3:$H$6125=B1537,INSTOCK!$K$3:$K$6125))</f>
        <v>12.5</v>
      </c>
      <c r="H1537" s="50">
        <f t="array" ref="H1537">SUM(IF(INSTOCK!$H$3:$H$6125=B1537,INSTOCK!$I$3:$I$6125))</f>
        <v>100</v>
      </c>
      <c r="I1537" s="50" t="str">
        <f>ARRAY_CONSTRAIN(ARRAYFORMULA(SUM(IF([3]!Table13[ID]=B1537,[3]!Table13[QTY]))), 1, 1)</f>
        <v>#ERROR!</v>
      </c>
      <c r="J1537" s="50" t="str">
        <f>TABLEITEM!$H$3:$H$2749-TABLEITEM!$I$3:$I$2749</f>
        <v>#ERROR!</v>
      </c>
    </row>
    <row r="1538" ht="15.75" customHeight="1">
      <c r="A1538" s="45"/>
      <c r="B1538" s="10" t="s">
        <v>1116</v>
      </c>
      <c r="C1538" s="26"/>
      <c r="D1538" s="10" t="s">
        <v>1117</v>
      </c>
      <c r="E1538" s="10" t="s">
        <v>950</v>
      </c>
      <c r="F1538" s="57" t="s">
        <v>7429</v>
      </c>
      <c r="G1538" s="49">
        <f t="array" ref="G1538">MAX(IF(INSTOCK!$H$3:$H$6125=B1538,INSTOCK!$K$3:$K$6125))</f>
        <v>8.5</v>
      </c>
      <c r="H1538" s="50">
        <f t="array" ref="H1538">SUM(IF(INSTOCK!$H$3:$H$6125=B1538,INSTOCK!$I$3:$I$6125))</f>
        <v>200</v>
      </c>
      <c r="I1538" s="50" t="str">
        <f>ARRAY_CONSTRAIN(ARRAYFORMULA(SUM(IF([3]!Table13[ID]=B1538,[3]!Table13[QTY]))), 1, 1)</f>
        <v>#ERROR!</v>
      </c>
      <c r="J1538" s="50" t="str">
        <f>TABLEITEM!$H$3:$H$2749-TABLEITEM!$I$3:$I$2749</f>
        <v>#ERROR!</v>
      </c>
    </row>
    <row r="1539" ht="15.75" customHeight="1">
      <c r="A1539" s="45"/>
      <c r="B1539" s="10" t="s">
        <v>1112</v>
      </c>
      <c r="C1539" s="26"/>
      <c r="D1539" s="10" t="s">
        <v>1113</v>
      </c>
      <c r="E1539" s="10" t="s">
        <v>950</v>
      </c>
      <c r="F1539" s="57" t="s">
        <v>7429</v>
      </c>
      <c r="G1539" s="49">
        <f t="array" ref="G1539">MAX(IF(INSTOCK!$H$3:$H$6125=B1539,INSTOCK!$K$3:$K$6125))</f>
        <v>8.5</v>
      </c>
      <c r="H1539" s="50">
        <f t="array" ref="H1539">SUM(IF(INSTOCK!$H$3:$H$6125=B1539,INSTOCK!$I$3:$I$6125))</f>
        <v>200</v>
      </c>
      <c r="I1539" s="50" t="str">
        <f>ARRAY_CONSTRAIN(ARRAYFORMULA(SUM(IF([3]!Table13[ID]=B1539,[3]!Table13[QTY]))), 1, 1)</f>
        <v>#ERROR!</v>
      </c>
      <c r="J1539" s="50" t="str">
        <f>TABLEITEM!$H$3:$H$2749-TABLEITEM!$I$3:$I$2749</f>
        <v>#ERROR!</v>
      </c>
    </row>
    <row r="1540" ht="15.75" customHeight="1">
      <c r="A1540" s="45"/>
      <c r="B1540" s="10" t="s">
        <v>1114</v>
      </c>
      <c r="C1540" s="26"/>
      <c r="D1540" s="10" t="s">
        <v>1115</v>
      </c>
      <c r="E1540" s="10" t="s">
        <v>950</v>
      </c>
      <c r="F1540" s="57" t="s">
        <v>7429</v>
      </c>
      <c r="G1540" s="49">
        <f t="array" ref="G1540">MAX(IF(INSTOCK!$H$3:$H$6125=B1540,INSTOCK!$K$3:$K$6125))</f>
        <v>8.5</v>
      </c>
      <c r="H1540" s="50">
        <f t="array" ref="H1540">SUM(IF(INSTOCK!$H$3:$H$6125=B1540,INSTOCK!$I$3:$I$6125))</f>
        <v>200</v>
      </c>
      <c r="I1540" s="50" t="str">
        <f>ARRAY_CONSTRAIN(ARRAYFORMULA(SUM(IF([3]!Table13[ID]=B1540,[3]!Table13[QTY]))), 1, 1)</f>
        <v>#ERROR!</v>
      </c>
      <c r="J1540" s="50" t="str">
        <f>TABLEITEM!$H$3:$H$2749-TABLEITEM!$I$3:$I$2749</f>
        <v>#ERROR!</v>
      </c>
    </row>
    <row r="1541" ht="15.75" customHeight="1">
      <c r="A1541" s="45"/>
      <c r="B1541" s="10" t="s">
        <v>1118</v>
      </c>
      <c r="C1541" s="26"/>
      <c r="D1541" s="10" t="s">
        <v>1119</v>
      </c>
      <c r="E1541" s="10" t="s">
        <v>950</v>
      </c>
      <c r="F1541" s="57" t="s">
        <v>7429</v>
      </c>
      <c r="G1541" s="49">
        <f t="array" ref="G1541">MAX(IF(INSTOCK!$H$3:$H$6125=B1541,INSTOCK!$K$3:$K$6125))</f>
        <v>16.52</v>
      </c>
      <c r="H1541" s="50">
        <f t="array" ref="H1541">SUM(IF(INSTOCK!$H$3:$H$6125=B1541,INSTOCK!$I$3:$I$6125))</f>
        <v>200</v>
      </c>
      <c r="I1541" s="50" t="str">
        <f>ARRAY_CONSTRAIN(ARRAYFORMULA(SUM(IF([3]!Table13[ID]=B1541,[3]!Table13[QTY]))), 1, 1)</f>
        <v>#ERROR!</v>
      </c>
      <c r="J1541" s="50" t="str">
        <f>TABLEITEM!$H$3:$H$2749-TABLEITEM!$I$3:$I$2749</f>
        <v>#ERROR!</v>
      </c>
    </row>
    <row r="1542" ht="15.75" customHeight="1">
      <c r="A1542" s="45"/>
      <c r="B1542" s="10" t="s">
        <v>5921</v>
      </c>
      <c r="C1542" s="26"/>
      <c r="D1542" s="10" t="s">
        <v>9058</v>
      </c>
      <c r="E1542" s="10" t="s">
        <v>950</v>
      </c>
      <c r="F1542" s="57" t="s">
        <v>7429</v>
      </c>
      <c r="G1542" s="49">
        <f t="array" ref="G1542">MAX(IF(INSTOCK!$H$3:$H$6125=B1542,INSTOCK!$K$3:$K$6125))</f>
        <v>8.5</v>
      </c>
      <c r="H1542" s="50">
        <f t="array" ref="H1542">SUM(IF(INSTOCK!$H$3:$H$6125=B1542,INSTOCK!$I$3:$I$6125))</f>
        <v>100</v>
      </c>
      <c r="I1542" s="50" t="str">
        <f>ARRAY_CONSTRAIN(ARRAYFORMULA(SUM(IF([3]!Table13[ID]=B1542,[3]!Table13[QTY]))), 1, 1)</f>
        <v>#ERROR!</v>
      </c>
      <c r="J1542" s="50" t="str">
        <f>TABLEITEM!$H$3:$H$2749-TABLEITEM!$I$3:$I$2749</f>
        <v>#ERROR!</v>
      </c>
    </row>
    <row r="1543" ht="15.75" customHeight="1">
      <c r="A1543" s="45"/>
      <c r="B1543" s="10" t="s">
        <v>9059</v>
      </c>
      <c r="C1543" s="26"/>
      <c r="D1543" s="10" t="s">
        <v>9060</v>
      </c>
      <c r="E1543" s="10" t="s">
        <v>950</v>
      </c>
      <c r="F1543" s="57" t="s">
        <v>7429</v>
      </c>
      <c r="G1543" s="49">
        <f t="array" ref="G1543">MAX(IF(INSTOCK!$H$3:$H$6125=B1543,INSTOCK!$K$3:$K$6125))</f>
        <v>0</v>
      </c>
      <c r="H1543" s="50">
        <f t="array" ref="H1543">SUM(IF(INSTOCK!$H$3:$H$6125=B1543,INSTOCK!$I$3:$I$6125))</f>
        <v>0</v>
      </c>
      <c r="I1543" s="50" t="str">
        <f>ARRAY_CONSTRAIN(ARRAYFORMULA(SUM(IF([3]!Table13[ID]=B1543,[3]!Table13[QTY]))), 1, 1)</f>
        <v>#ERROR!</v>
      </c>
      <c r="J1543" s="50" t="str">
        <f>TABLEITEM!$H$3:$H$2749-TABLEITEM!$I$3:$I$2749</f>
        <v>#ERROR!</v>
      </c>
    </row>
    <row r="1544" ht="15.75" customHeight="1">
      <c r="A1544" s="45"/>
      <c r="B1544" s="10" t="s">
        <v>9061</v>
      </c>
      <c r="C1544" s="26"/>
      <c r="D1544" s="10" t="s">
        <v>9062</v>
      </c>
      <c r="E1544" s="10" t="s">
        <v>950</v>
      </c>
      <c r="F1544" s="57" t="s">
        <v>7429</v>
      </c>
      <c r="G1544" s="49">
        <f t="array" ref="G1544">MAX(IF(INSTOCK!$H$3:$H$6125=B1544,INSTOCK!$K$3:$K$6125))</f>
        <v>0</v>
      </c>
      <c r="H1544" s="50">
        <f t="array" ref="H1544">SUM(IF(INSTOCK!$H$3:$H$6125=B1544,INSTOCK!$I$3:$I$6125))</f>
        <v>0</v>
      </c>
      <c r="I1544" s="50" t="str">
        <f>ARRAY_CONSTRAIN(ARRAYFORMULA(SUM(IF([3]!Table13[ID]=B1544,[3]!Table13[QTY]))), 1, 1)</f>
        <v>#ERROR!</v>
      </c>
      <c r="J1544" s="50" t="str">
        <f>TABLEITEM!$H$3:$H$2749-TABLEITEM!$I$3:$I$2749</f>
        <v>#ERROR!</v>
      </c>
    </row>
    <row r="1545" ht="15.75" customHeight="1">
      <c r="A1545" s="45"/>
      <c r="B1545" s="10" t="s">
        <v>9063</v>
      </c>
      <c r="C1545" s="26"/>
      <c r="D1545" s="10" t="s">
        <v>9064</v>
      </c>
      <c r="E1545" s="10" t="s">
        <v>950</v>
      </c>
      <c r="F1545" s="57" t="s">
        <v>7429</v>
      </c>
      <c r="G1545" s="49">
        <f t="array" ref="G1545">MAX(IF(INSTOCK!$H$3:$H$6125=B1545,INSTOCK!$K$3:$K$6125))</f>
        <v>0</v>
      </c>
      <c r="H1545" s="50">
        <f t="array" ref="H1545">SUM(IF(INSTOCK!$H$3:$H$6125=B1545,INSTOCK!$I$3:$I$6125))</f>
        <v>0</v>
      </c>
      <c r="I1545" s="50" t="str">
        <f>ARRAY_CONSTRAIN(ARRAYFORMULA(SUM(IF([3]!Table13[ID]=B1545,[3]!Table13[QTY]))), 1, 1)</f>
        <v>#ERROR!</v>
      </c>
      <c r="J1545" s="50" t="str">
        <f>TABLEITEM!$H$3:$H$2749-TABLEITEM!$I$3:$I$2749</f>
        <v>#ERROR!</v>
      </c>
    </row>
    <row r="1546" ht="15.75" customHeight="1">
      <c r="A1546" s="45"/>
      <c r="B1546" s="10" t="s">
        <v>9065</v>
      </c>
      <c r="C1546" s="26"/>
      <c r="D1546" s="10" t="s">
        <v>9066</v>
      </c>
      <c r="E1546" s="10" t="s">
        <v>950</v>
      </c>
      <c r="F1546" s="57" t="s">
        <v>7429</v>
      </c>
      <c r="G1546" s="49">
        <f t="array" ref="G1546">MAX(IF(INSTOCK!$H$3:$H$6125=B1546,INSTOCK!$K$3:$K$6125))</f>
        <v>0</v>
      </c>
      <c r="H1546" s="50">
        <f t="array" ref="H1546">SUM(IF(INSTOCK!$H$3:$H$6125=B1546,INSTOCK!$I$3:$I$6125))</f>
        <v>0</v>
      </c>
      <c r="I1546" s="50" t="str">
        <f>ARRAY_CONSTRAIN(ARRAYFORMULA(SUM(IF([3]!Table13[ID]=B1546,[3]!Table13[QTY]))), 1, 1)</f>
        <v>#ERROR!</v>
      </c>
      <c r="J1546" s="50" t="str">
        <f>TABLEITEM!$H$3:$H$2749-TABLEITEM!$I$3:$I$2749</f>
        <v>#ERROR!</v>
      </c>
    </row>
    <row r="1547" ht="15.75" customHeight="1">
      <c r="A1547" s="45"/>
      <c r="B1547" s="10" t="s">
        <v>9067</v>
      </c>
      <c r="C1547" s="26"/>
      <c r="D1547" s="10" t="s">
        <v>9068</v>
      </c>
      <c r="E1547" s="10" t="s">
        <v>950</v>
      </c>
      <c r="F1547" s="57" t="s">
        <v>7429</v>
      </c>
      <c r="G1547" s="49">
        <f t="array" ref="G1547">MAX(IF(INSTOCK!$H$3:$H$6125=B1547,INSTOCK!$K$3:$K$6125))</f>
        <v>0</v>
      </c>
      <c r="H1547" s="50">
        <f t="array" ref="H1547">SUM(IF(INSTOCK!$H$3:$H$6125=B1547,INSTOCK!$I$3:$I$6125))</f>
        <v>0</v>
      </c>
      <c r="I1547" s="50" t="str">
        <f>ARRAY_CONSTRAIN(ARRAYFORMULA(SUM(IF([3]!Table13[ID]=B1547,[3]!Table13[QTY]))), 1, 1)</f>
        <v>#ERROR!</v>
      </c>
      <c r="J1547" s="50" t="str">
        <f>TABLEITEM!$H$3:$H$2749-TABLEITEM!$I$3:$I$2749</f>
        <v>#ERROR!</v>
      </c>
    </row>
    <row r="1548" ht="15.75" customHeight="1">
      <c r="A1548" s="45"/>
      <c r="B1548" s="18" t="s">
        <v>9069</v>
      </c>
      <c r="C1548" s="26"/>
      <c r="D1548" s="10" t="s">
        <v>9070</v>
      </c>
      <c r="E1548" s="10" t="s">
        <v>950</v>
      </c>
      <c r="F1548" s="57" t="s">
        <v>7429</v>
      </c>
      <c r="G1548" s="49">
        <f t="array" ref="G1548">MAX(IF(INSTOCK!$H$3:$H$6125=B1548,INSTOCK!$K$3:$K$6125))</f>
        <v>0</v>
      </c>
      <c r="H1548" s="50">
        <f t="array" ref="H1548">SUM(IF(INSTOCK!$H$3:$H$6125=B1548,INSTOCK!$I$3:$I$6125))</f>
        <v>0</v>
      </c>
      <c r="I1548" s="50" t="str">
        <f>ARRAY_CONSTRAIN(ARRAYFORMULA(SUM(IF([3]!Table13[ID]=B1548,[3]!Table13[QTY]))), 1, 1)</f>
        <v>#ERROR!</v>
      </c>
      <c r="J1548" s="50" t="str">
        <f>TABLEITEM!$H$3:$H$2749-TABLEITEM!$I$3:$I$2749</f>
        <v>#ERROR!</v>
      </c>
    </row>
    <row r="1549" ht="15.75" customHeight="1">
      <c r="A1549" s="45"/>
      <c r="B1549" s="10" t="s">
        <v>9071</v>
      </c>
      <c r="C1549" s="26"/>
      <c r="D1549" s="10" t="s">
        <v>9072</v>
      </c>
      <c r="E1549" s="10" t="s">
        <v>950</v>
      </c>
      <c r="F1549" s="57" t="s">
        <v>7429</v>
      </c>
      <c r="G1549" s="49">
        <f t="array" ref="G1549">MAX(IF(INSTOCK!$H$3:$H$6125=B1549,INSTOCK!$K$3:$K$6125))</f>
        <v>0</v>
      </c>
      <c r="H1549" s="50">
        <f t="array" ref="H1549">SUM(IF(INSTOCK!$H$3:$H$6125=B1549,INSTOCK!$I$3:$I$6125))</f>
        <v>0</v>
      </c>
      <c r="I1549" s="50" t="str">
        <f>ARRAY_CONSTRAIN(ARRAYFORMULA(SUM(IF([3]!Table13[ID]=B1549,[3]!Table13[QTY]))), 1, 1)</f>
        <v>#ERROR!</v>
      </c>
      <c r="J1549" s="50" t="str">
        <f>TABLEITEM!$H$3:$H$2749-TABLEITEM!$I$3:$I$2749</f>
        <v>#ERROR!</v>
      </c>
    </row>
    <row r="1550" ht="15.75" customHeight="1">
      <c r="A1550" s="45"/>
      <c r="B1550" s="10" t="s">
        <v>9073</v>
      </c>
      <c r="C1550" s="26"/>
      <c r="D1550" s="10" t="s">
        <v>9074</v>
      </c>
      <c r="E1550" s="10" t="s">
        <v>950</v>
      </c>
      <c r="F1550" s="57" t="s">
        <v>7429</v>
      </c>
      <c r="G1550" s="49">
        <f t="array" ref="G1550">MAX(IF(INSTOCK!$H$3:$H$6125=B1550,INSTOCK!$K$3:$K$6125))</f>
        <v>0</v>
      </c>
      <c r="H1550" s="50">
        <f t="array" ref="H1550">SUM(IF(INSTOCK!$H$3:$H$6125=B1550,INSTOCK!$I$3:$I$6125))</f>
        <v>0</v>
      </c>
      <c r="I1550" s="50" t="str">
        <f>ARRAY_CONSTRAIN(ARRAYFORMULA(SUM(IF([3]!Table13[ID]=B1550,[3]!Table13[QTY]))), 1, 1)</f>
        <v>#ERROR!</v>
      </c>
      <c r="J1550" s="50" t="str">
        <f>TABLEITEM!$H$3:$H$2749-TABLEITEM!$I$3:$I$2749</f>
        <v>#ERROR!</v>
      </c>
    </row>
    <row r="1551" ht="15.75" customHeight="1">
      <c r="A1551" s="45"/>
      <c r="B1551" s="10" t="s">
        <v>3371</v>
      </c>
      <c r="C1551" s="26"/>
      <c r="D1551" s="10" t="s">
        <v>9075</v>
      </c>
      <c r="E1551" s="10" t="s">
        <v>950</v>
      </c>
      <c r="F1551" s="57" t="s">
        <v>7429</v>
      </c>
      <c r="G1551" s="49">
        <f t="array" ref="G1551">MAX(IF(INSTOCK!$H$3:$H$6125=B1551,INSTOCK!$K$3:$K$6125))</f>
        <v>354.86</v>
      </c>
      <c r="H1551" s="50">
        <f t="array" ref="H1551">SUM(IF(INSTOCK!$H$3:$H$6125=B1551,INSTOCK!$I$3:$I$6125))</f>
        <v>75</v>
      </c>
      <c r="I1551" s="50" t="str">
        <f>ARRAY_CONSTRAIN(ARRAYFORMULA(SUM(IF([3]!Table13[ID]=B1551,[3]!Table13[QTY]))), 1, 1)</f>
        <v>#ERROR!</v>
      </c>
      <c r="J1551" s="50" t="str">
        <f>TABLEITEM!$H$3:$H$2749-TABLEITEM!$I$3:$I$2749</f>
        <v>#ERROR!</v>
      </c>
    </row>
    <row r="1552" ht="15.75" customHeight="1">
      <c r="A1552" s="45"/>
      <c r="B1552" s="10" t="s">
        <v>1584</v>
      </c>
      <c r="C1552" s="26"/>
      <c r="D1552" s="10" t="s">
        <v>9076</v>
      </c>
      <c r="E1552" s="48" t="s">
        <v>1487</v>
      </c>
      <c r="F1552" s="57" t="s">
        <v>7173</v>
      </c>
      <c r="G1552" s="49">
        <f t="array" ref="G1552">MAX(IF(INSTOCK!$H$3:$H$6125=B1552,INSTOCK!$K$3:$K$6125))</f>
        <v>134.2</v>
      </c>
      <c r="H1552" s="50">
        <f t="array" ref="H1552">SUM(IF(INSTOCK!$H$3:$H$6125=B1552,INSTOCK!$I$3:$I$6125))</f>
        <v>141</v>
      </c>
      <c r="I1552" s="50" t="str">
        <f>ARRAY_CONSTRAIN(ARRAYFORMULA(SUM(IF([3]!Table13[ID]=B1552,[3]!Table13[QTY]))), 1, 1)</f>
        <v>#ERROR!</v>
      </c>
      <c r="J1552" s="50" t="str">
        <f>TABLEITEM!$H$3:$H$2749-TABLEITEM!$I$3:$I$2749</f>
        <v>#ERROR!</v>
      </c>
    </row>
    <row r="1553" ht="15.75" customHeight="1">
      <c r="A1553" s="45"/>
      <c r="B1553" s="10" t="s">
        <v>1742</v>
      </c>
      <c r="C1553" s="26"/>
      <c r="D1553" s="10" t="s">
        <v>9077</v>
      </c>
      <c r="E1553" s="48" t="s">
        <v>1487</v>
      </c>
      <c r="F1553" s="57" t="s">
        <v>7173</v>
      </c>
      <c r="G1553" s="49">
        <f t="array" ref="G1553">MAX(IF(INSTOCK!$H$3:$H$6125=B1553,INSTOCK!$K$3:$K$6125))</f>
        <v>127.1</v>
      </c>
      <c r="H1553" s="50">
        <f t="array" ref="H1553">SUM(IF(INSTOCK!$H$3:$H$6125=B1553,INSTOCK!$I$3:$I$6125))</f>
        <v>47</v>
      </c>
      <c r="I1553" s="50" t="str">
        <f>ARRAY_CONSTRAIN(ARRAYFORMULA(SUM(IF([3]!Table13[ID]=B1553,[3]!Table13[QTY]))), 1, 1)</f>
        <v>#ERROR!</v>
      </c>
      <c r="J1553" s="50" t="str">
        <f>TABLEITEM!$H$3:$H$2749-TABLEITEM!$I$3:$I$2749</f>
        <v>#ERROR!</v>
      </c>
    </row>
    <row r="1554" ht="15.75" customHeight="1">
      <c r="A1554" s="45"/>
      <c r="B1554" s="10" t="s">
        <v>1583</v>
      </c>
      <c r="C1554" s="26"/>
      <c r="D1554" s="10" t="s">
        <v>9078</v>
      </c>
      <c r="E1554" s="48" t="s">
        <v>1487</v>
      </c>
      <c r="F1554" s="57" t="s">
        <v>7173</v>
      </c>
      <c r="G1554" s="49">
        <f t="array" ref="G1554">MAX(IF(INSTOCK!$H$3:$H$6125=B1554,INSTOCK!$K$3:$K$6125))</f>
        <v>156.2</v>
      </c>
      <c r="H1554" s="50">
        <f t="array" ref="H1554">SUM(IF(INSTOCK!$H$3:$H$6125=B1554,INSTOCK!$I$3:$I$6125))</f>
        <v>71</v>
      </c>
      <c r="I1554" s="50" t="str">
        <f>ARRAY_CONSTRAIN(ARRAYFORMULA(SUM(IF([3]!Table13[ID]=B1554,[3]!Table13[QTY]))), 1, 1)</f>
        <v>#ERROR!</v>
      </c>
      <c r="J1554" s="50" t="str">
        <f>TABLEITEM!$H$3:$H$2749-TABLEITEM!$I$3:$I$2749</f>
        <v>#ERROR!</v>
      </c>
    </row>
    <row r="1555" ht="15.75" customHeight="1">
      <c r="A1555" s="45"/>
      <c r="B1555" s="10" t="s">
        <v>1582</v>
      </c>
      <c r="C1555" s="26"/>
      <c r="D1555" s="10" t="s">
        <v>9079</v>
      </c>
      <c r="E1555" s="48" t="s">
        <v>1487</v>
      </c>
      <c r="F1555" s="57" t="s">
        <v>7173</v>
      </c>
      <c r="G1555" s="49">
        <f t="array" ref="G1555">MAX(IF(INSTOCK!$H$3:$H$6125=B1555,INSTOCK!$K$3:$K$6125))</f>
        <v>156.2</v>
      </c>
      <c r="H1555" s="50">
        <f t="array" ref="H1555">SUM(IF(INSTOCK!$H$3:$H$6125=B1555,INSTOCK!$I$3:$I$6125))</f>
        <v>47</v>
      </c>
      <c r="I1555" s="50" t="str">
        <f>ARRAY_CONSTRAIN(ARRAYFORMULA(SUM(IF([3]!Table13[ID]=B1555,[3]!Table13[QTY]))), 1, 1)</f>
        <v>#ERROR!</v>
      </c>
      <c r="J1555" s="50" t="str">
        <f>TABLEITEM!$H$3:$H$2749-TABLEITEM!$I$3:$I$2749</f>
        <v>#ERROR!</v>
      </c>
    </row>
    <row r="1556" ht="15.75" customHeight="1">
      <c r="A1556" s="45"/>
      <c r="B1556" s="10" t="s">
        <v>1581</v>
      </c>
      <c r="C1556" s="26"/>
      <c r="D1556" s="10" t="s">
        <v>9080</v>
      </c>
      <c r="E1556" s="48" t="s">
        <v>1487</v>
      </c>
      <c r="F1556" s="57" t="s">
        <v>7173</v>
      </c>
      <c r="G1556" s="49">
        <f t="array" ref="G1556">MAX(IF(INSTOCK!$H$3:$H$6125=B1556,INSTOCK!$K$3:$K$6125))</f>
        <v>446.6</v>
      </c>
      <c r="H1556" s="50">
        <f t="array" ref="H1556">SUM(IF(INSTOCK!$H$3:$H$6125=B1556,INSTOCK!$I$3:$I$6125))</f>
        <v>15</v>
      </c>
      <c r="I1556" s="50" t="str">
        <f>ARRAY_CONSTRAIN(ARRAYFORMULA(SUM(IF([3]!Table13[ID]=B1556,[3]!Table13[QTY]))), 1, 1)</f>
        <v>#ERROR!</v>
      </c>
      <c r="J1556" s="50" t="str">
        <f>TABLEITEM!$H$3:$H$2749-TABLEITEM!$I$3:$I$2749</f>
        <v>#ERROR!</v>
      </c>
    </row>
    <row r="1557" ht="15.75" customHeight="1">
      <c r="A1557" s="45"/>
      <c r="B1557" s="10" t="s">
        <v>1613</v>
      </c>
      <c r="C1557" s="26"/>
      <c r="D1557" s="10" t="s">
        <v>9081</v>
      </c>
      <c r="E1557" s="48" t="s">
        <v>1487</v>
      </c>
      <c r="F1557" s="57" t="s">
        <v>7173</v>
      </c>
      <c r="G1557" s="49">
        <f t="array" ref="G1557">MAX(IF(INSTOCK!$H$3:$H$6125=B1557,INSTOCK!$K$3:$K$6125))</f>
        <v>434.6</v>
      </c>
      <c r="H1557" s="50">
        <f t="array" ref="H1557">SUM(IF(INSTOCK!$H$3:$H$6125=B1557,INSTOCK!$I$3:$I$6125))</f>
        <v>1</v>
      </c>
      <c r="I1557" s="50" t="str">
        <f>ARRAY_CONSTRAIN(ARRAYFORMULA(SUM(IF([3]!Table13[ID]=B1557,[3]!Table13[QTY]))), 1, 1)</f>
        <v>#ERROR!</v>
      </c>
      <c r="J1557" s="50" t="str">
        <f>TABLEITEM!$H$3:$H$2749-TABLEITEM!$I$3:$I$2749</f>
        <v>#ERROR!</v>
      </c>
    </row>
    <row r="1558" ht="15.75" customHeight="1">
      <c r="A1558" s="45"/>
      <c r="B1558" s="10" t="s">
        <v>2200</v>
      </c>
      <c r="C1558" s="26"/>
      <c r="D1558" s="10" t="s">
        <v>9082</v>
      </c>
      <c r="E1558" s="48" t="s">
        <v>1487</v>
      </c>
      <c r="F1558" s="57" t="s">
        <v>7173</v>
      </c>
      <c r="G1558" s="49">
        <f t="array" ref="G1558">MAX(IF(INSTOCK!$H$3:$H$6125=B1558,INSTOCK!$K$3:$K$6125))</f>
        <v>338.8</v>
      </c>
      <c r="H1558" s="50">
        <f t="array" ref="H1558">SUM(IF(INSTOCK!$H$3:$H$6125=B1558,INSTOCK!$I$3:$I$6125))</f>
        <v>36</v>
      </c>
      <c r="I1558" s="50" t="str">
        <f>ARRAY_CONSTRAIN(ARRAYFORMULA(SUM(IF([3]!Table13[ID]=B1558,[3]!Table13[QTY]))), 1, 1)</f>
        <v>#ERROR!</v>
      </c>
      <c r="J1558" s="50" t="str">
        <f>TABLEITEM!$H$3:$H$2749-TABLEITEM!$I$3:$I$2749</f>
        <v>#ERROR!</v>
      </c>
    </row>
    <row r="1559" ht="15.75" customHeight="1">
      <c r="A1559" s="45"/>
      <c r="B1559" s="10" t="s">
        <v>1560</v>
      </c>
      <c r="C1559" s="26"/>
      <c r="D1559" s="10" t="s">
        <v>9083</v>
      </c>
      <c r="E1559" s="48" t="s">
        <v>1487</v>
      </c>
      <c r="F1559" s="57" t="s">
        <v>7173</v>
      </c>
      <c r="G1559" s="49">
        <f t="array" ref="G1559">MAX(IF(INSTOCK!$H$3:$H$6125=B1559,INSTOCK!$K$3:$K$6125))</f>
        <v>331.8</v>
      </c>
      <c r="H1559" s="50">
        <f t="array" ref="H1559">SUM(IF(INSTOCK!$H$3:$H$6125=B1559,INSTOCK!$I$3:$I$6125))</f>
        <v>20</v>
      </c>
      <c r="I1559" s="50" t="str">
        <f>ARRAY_CONSTRAIN(ARRAYFORMULA(SUM(IF([3]!Table13[ID]=B1559,[3]!Table13[QTY]))), 1, 1)</f>
        <v>#ERROR!</v>
      </c>
      <c r="J1559" s="50" t="str">
        <f>TABLEITEM!$H$3:$H$2749-TABLEITEM!$I$3:$I$2749</f>
        <v>#ERROR!</v>
      </c>
    </row>
    <row r="1560" ht="15.75" customHeight="1">
      <c r="A1560" s="45"/>
      <c r="B1560" s="10" t="s">
        <v>2199</v>
      </c>
      <c r="C1560" s="26"/>
      <c r="D1560" s="10" t="s">
        <v>9084</v>
      </c>
      <c r="E1560" s="48" t="s">
        <v>1487</v>
      </c>
      <c r="F1560" s="57" t="s">
        <v>7173</v>
      </c>
      <c r="G1560" s="49">
        <f t="array" ref="G1560">MAX(IF(INSTOCK!$H$3:$H$6125=B1560,INSTOCK!$K$3:$K$6125))</f>
        <v>1332.5</v>
      </c>
      <c r="H1560" s="50">
        <f t="array" ref="H1560">SUM(IF(INSTOCK!$H$3:$H$6125=B1560,INSTOCK!$I$3:$I$6125))</f>
        <v>2</v>
      </c>
      <c r="I1560" s="50" t="str">
        <f>ARRAY_CONSTRAIN(ARRAYFORMULA(SUM(IF([3]!Table13[ID]=B1560,[3]!Table13[QTY]))), 1, 1)</f>
        <v>#ERROR!</v>
      </c>
      <c r="J1560" s="50" t="str">
        <f>TABLEITEM!$H$3:$H$2749-TABLEITEM!$I$3:$I$2749</f>
        <v>#ERROR!</v>
      </c>
    </row>
    <row r="1561" ht="15.75" customHeight="1">
      <c r="A1561" s="45"/>
      <c r="B1561" s="10" t="s">
        <v>2937</v>
      </c>
      <c r="C1561" s="26"/>
      <c r="D1561" s="10" t="s">
        <v>9085</v>
      </c>
      <c r="E1561" s="48" t="s">
        <v>2679</v>
      </c>
      <c r="F1561" s="57" t="s">
        <v>8163</v>
      </c>
      <c r="G1561" s="49">
        <f t="array" ref="G1561">MAX(IF(INSTOCK!$H$3:$H$6125=B1561,INSTOCK!$K$3:$K$6125))</f>
        <v>1350</v>
      </c>
      <c r="H1561" s="50">
        <f t="array" ref="H1561">SUM(IF(INSTOCK!$H$3:$H$6125=B1561,INSTOCK!$I$3:$I$6125))</f>
        <v>3</v>
      </c>
      <c r="I1561" s="50" t="str">
        <f>ARRAY_CONSTRAIN(ARRAYFORMULA(SUM(IF([3]!Table13[ID]=B1561,[3]!Table13[QTY]))), 1, 1)</f>
        <v>#ERROR!</v>
      </c>
      <c r="J1561" s="50" t="str">
        <f>TABLEITEM!$H$3:$H$2749-TABLEITEM!$I$3:$I$2749</f>
        <v>#ERROR!</v>
      </c>
    </row>
    <row r="1562" ht="15.75" customHeight="1">
      <c r="A1562" s="45"/>
      <c r="B1562" s="10" t="s">
        <v>3171</v>
      </c>
      <c r="C1562" s="26"/>
      <c r="D1562" s="10" t="s">
        <v>9086</v>
      </c>
      <c r="E1562" s="48"/>
      <c r="F1562" s="57" t="s">
        <v>8163</v>
      </c>
      <c r="G1562" s="49">
        <f t="array" ref="G1562">MAX(IF(INSTOCK!$H$3:$H$6125=B1562,INSTOCK!$K$3:$K$6125))</f>
        <v>1480</v>
      </c>
      <c r="H1562" s="50">
        <f t="array" ref="H1562">SUM(IF(INSTOCK!$H$3:$H$6125=B1562,INSTOCK!$I$3:$I$6125))</f>
        <v>10</v>
      </c>
      <c r="I1562" s="50" t="str">
        <f>ARRAY_CONSTRAIN(ARRAYFORMULA(SUM(IF([3]!Table13[ID]=B1562,[3]!Table13[QTY]))), 1, 1)</f>
        <v>#ERROR!</v>
      </c>
      <c r="J1562" s="50" t="str">
        <f>TABLEITEM!$H$3:$H$2749-TABLEITEM!$I$3:$I$2749</f>
        <v>#ERROR!</v>
      </c>
    </row>
    <row r="1563" ht="15.75" customHeight="1">
      <c r="A1563" s="45"/>
      <c r="B1563" s="10" t="s">
        <v>2680</v>
      </c>
      <c r="C1563" s="26"/>
      <c r="D1563" s="10" t="s">
        <v>9087</v>
      </c>
      <c r="E1563" s="48"/>
      <c r="F1563" s="57" t="s">
        <v>8163</v>
      </c>
      <c r="G1563" s="49">
        <f t="array" ref="G1563">MAX(IF(INSTOCK!$H$3:$H$6125=B1563,INSTOCK!$K$3:$K$6125))</f>
        <v>2350</v>
      </c>
      <c r="H1563" s="50">
        <f t="array" ref="H1563">SUM(IF(INSTOCK!$H$3:$H$6125=B1563,INSTOCK!$I$3:$I$6125))</f>
        <v>40</v>
      </c>
      <c r="I1563" s="50" t="str">
        <f>ARRAY_CONSTRAIN(ARRAYFORMULA(SUM(IF([3]!Table13[ID]=B1563,[3]!Table13[QTY]))), 1, 1)</f>
        <v>#ERROR!</v>
      </c>
      <c r="J1563" s="50" t="str">
        <f>TABLEITEM!$H$3:$H$2749-TABLEITEM!$I$3:$I$2749</f>
        <v>#ERROR!</v>
      </c>
    </row>
    <row r="1564" ht="15.75" customHeight="1">
      <c r="A1564" s="45"/>
      <c r="B1564" s="10" t="s">
        <v>2485</v>
      </c>
      <c r="C1564" s="26"/>
      <c r="D1564" s="10" t="s">
        <v>9088</v>
      </c>
      <c r="E1564" s="48"/>
      <c r="F1564" s="57"/>
      <c r="G1564" s="49">
        <f t="array" ref="G1564">MAX(IF(INSTOCK!$H$3:$H$6125=B1564,INSTOCK!$K$3:$K$6125))</f>
        <v>0</v>
      </c>
      <c r="H1564" s="50">
        <f t="array" ref="H1564">SUM(IF(INSTOCK!$H$3:$H$6125=B1564,INSTOCK!$I$3:$I$6125))</f>
        <v>0</v>
      </c>
      <c r="I1564" s="50" t="str">
        <f>ARRAY_CONSTRAIN(ARRAYFORMULA(SUM(IF([3]!Table13[ID]=B1564,[3]!Table13[QTY]))), 1, 1)</f>
        <v>#ERROR!</v>
      </c>
      <c r="J1564" s="50" t="str">
        <f>TABLEITEM!$H$3:$H$2749-TABLEITEM!$I$3:$I$2749</f>
        <v>#ERROR!</v>
      </c>
    </row>
    <row r="1565" ht="15.75" customHeight="1">
      <c r="A1565" s="45"/>
      <c r="B1565" s="10" t="s">
        <v>1505</v>
      </c>
      <c r="C1565" s="26"/>
      <c r="D1565" s="10" t="s">
        <v>9089</v>
      </c>
      <c r="E1565" s="48" t="s">
        <v>1504</v>
      </c>
      <c r="F1565" s="57" t="s">
        <v>7173</v>
      </c>
      <c r="G1565" s="49">
        <f t="array" ref="G1565">MAX(IF(INSTOCK!$H$3:$H$6125=B1565,INSTOCK!$K$3:$K$6125))</f>
        <v>974.7</v>
      </c>
      <c r="H1565" s="50">
        <f t="array" ref="H1565">SUM(IF(INSTOCK!$H$3:$H$6125=B1565,INSTOCK!$I$3:$I$6125))</f>
        <v>2</v>
      </c>
      <c r="I1565" s="50" t="str">
        <f>ARRAY_CONSTRAIN(ARRAYFORMULA(SUM(IF([3]!Table13[ID]=B1565,[3]!Table13[QTY]))), 1, 1)</f>
        <v>#ERROR!</v>
      </c>
      <c r="J1565" s="50" t="str">
        <f>TABLEITEM!$H$3:$H$2749-TABLEITEM!$I$3:$I$2749</f>
        <v>#ERROR!</v>
      </c>
    </row>
    <row r="1566" ht="15.75" customHeight="1">
      <c r="A1566" s="45"/>
      <c r="B1566" s="10" t="s">
        <v>2622</v>
      </c>
      <c r="C1566" s="26"/>
      <c r="D1566" s="10" t="s">
        <v>9090</v>
      </c>
      <c r="E1566" s="48" t="s">
        <v>9091</v>
      </c>
      <c r="F1566" s="57" t="s">
        <v>7173</v>
      </c>
      <c r="G1566" s="49">
        <f t="array" ref="G1566">MAX(IF(INSTOCK!$H$3:$H$6125=B1566,INSTOCK!$K$3:$K$6125))</f>
        <v>65</v>
      </c>
      <c r="H1566" s="50">
        <f t="array" ref="H1566">SUM(IF(INSTOCK!$H$3:$H$6125=B1566,INSTOCK!$I$3:$I$6125))</f>
        <v>18</v>
      </c>
      <c r="I1566" s="50" t="str">
        <f>ARRAY_CONSTRAIN(ARRAYFORMULA(SUM(IF([3]!Table13[ID]=B1566,[3]!Table13[QTY]))), 1, 1)</f>
        <v>#ERROR!</v>
      </c>
      <c r="J1566" s="50" t="str">
        <f>TABLEITEM!$H$3:$H$2749-TABLEITEM!$I$3:$I$2749</f>
        <v>#ERROR!</v>
      </c>
    </row>
    <row r="1567" ht="15.75" customHeight="1">
      <c r="A1567" s="45"/>
      <c r="B1567" s="10" t="s">
        <v>1502</v>
      </c>
      <c r="C1567" s="26"/>
      <c r="D1567" s="10" t="s">
        <v>9092</v>
      </c>
      <c r="E1567" s="48" t="s">
        <v>1504</v>
      </c>
      <c r="F1567" s="57" t="s">
        <v>7173</v>
      </c>
      <c r="G1567" s="49">
        <f t="array" ref="G1567">MAX(IF(INSTOCK!$H$3:$H$6125=B1567,INSTOCK!$K$3:$K$6125))</f>
        <v>266.76</v>
      </c>
      <c r="H1567" s="50">
        <f t="array" ref="H1567">SUM(IF(INSTOCK!$H$3:$H$6125=B1567,INSTOCK!$I$3:$I$6125))</f>
        <v>3</v>
      </c>
      <c r="I1567" s="50" t="str">
        <f>ARRAY_CONSTRAIN(ARRAYFORMULA(SUM(IF([3]!Table13[ID]=B1567,[3]!Table13[QTY]))), 1, 1)</f>
        <v>#ERROR!</v>
      </c>
      <c r="J1567" s="50" t="str">
        <f>TABLEITEM!$H$3:$H$2749-TABLEITEM!$I$3:$I$2749</f>
        <v>#ERROR!</v>
      </c>
    </row>
    <row r="1568" ht="15.75" customHeight="1">
      <c r="A1568" s="45"/>
      <c r="B1568" s="10" t="s">
        <v>1895</v>
      </c>
      <c r="C1568" s="26"/>
      <c r="D1568" s="10" t="s">
        <v>9093</v>
      </c>
      <c r="E1568" s="48" t="s">
        <v>1504</v>
      </c>
      <c r="F1568" s="57" t="s">
        <v>7173</v>
      </c>
      <c r="G1568" s="49">
        <f t="array" ref="G1568">MAX(IF(INSTOCK!$H$3:$H$6125=B1568,INSTOCK!$K$3:$K$6125))</f>
        <v>70</v>
      </c>
      <c r="H1568" s="50">
        <f t="array" ref="H1568">SUM(IF(INSTOCK!$H$3:$H$6125=B1568,INSTOCK!$I$3:$I$6125))</f>
        <v>80</v>
      </c>
      <c r="I1568" s="50" t="str">
        <f>ARRAY_CONSTRAIN(ARRAYFORMULA(SUM(IF([3]!Table13[ID]=B1568,[3]!Table13[QTY]))), 1, 1)</f>
        <v>#ERROR!</v>
      </c>
      <c r="J1568" s="50" t="str">
        <f>TABLEITEM!$H$3:$H$2749-TABLEITEM!$I$3:$I$2749</f>
        <v>#ERROR!</v>
      </c>
    </row>
    <row r="1569" ht="15.75" customHeight="1">
      <c r="A1569" s="45"/>
      <c r="B1569" s="10" t="s">
        <v>1894</v>
      </c>
      <c r="C1569" s="26"/>
      <c r="D1569" s="10" t="s">
        <v>9094</v>
      </c>
      <c r="E1569" s="48" t="s">
        <v>1504</v>
      </c>
      <c r="F1569" s="57" t="s">
        <v>7173</v>
      </c>
      <c r="G1569" s="49">
        <f t="array" ref="G1569">MAX(IF(INSTOCK!$H$3:$H$6125=B1569,INSTOCK!$K$3:$K$6125))</f>
        <v>70</v>
      </c>
      <c r="H1569" s="50">
        <f t="array" ref="H1569">SUM(IF(INSTOCK!$H$3:$H$6125=B1569,INSTOCK!$I$3:$I$6125))</f>
        <v>520</v>
      </c>
      <c r="I1569" s="50" t="str">
        <f>ARRAY_CONSTRAIN(ARRAYFORMULA(SUM(IF([3]!Table13[ID]=B1569,[3]!Table13[QTY]))), 1, 1)</f>
        <v>#ERROR!</v>
      </c>
      <c r="J1569" s="50" t="str">
        <f>TABLEITEM!$H$3:$H$2749-TABLEITEM!$I$3:$I$2749</f>
        <v>#ERROR!</v>
      </c>
    </row>
    <row r="1570" ht="15.75" customHeight="1">
      <c r="A1570" s="45"/>
      <c r="B1570" s="10" t="s">
        <v>2620</v>
      </c>
      <c r="C1570" s="26"/>
      <c r="D1570" s="10" t="s">
        <v>9095</v>
      </c>
      <c r="E1570" s="48" t="s">
        <v>9091</v>
      </c>
      <c r="F1570" s="57" t="s">
        <v>7173</v>
      </c>
      <c r="G1570" s="49">
        <f t="array" ref="G1570">MAX(IF(INSTOCK!$H$3:$H$6125=B1570,INSTOCK!$K$3:$K$6125))</f>
        <v>500</v>
      </c>
      <c r="H1570" s="50">
        <f t="array" ref="H1570">SUM(IF(INSTOCK!$H$3:$H$6125=B1570,INSTOCK!$I$3:$I$6125))</f>
        <v>6</v>
      </c>
      <c r="I1570" s="50" t="str">
        <f>ARRAY_CONSTRAIN(ARRAYFORMULA(SUM(IF([3]!Table13[ID]=B1570,[3]!Table13[QTY]))), 1, 1)</f>
        <v>#ERROR!</v>
      </c>
      <c r="J1570" s="50" t="str">
        <f>TABLEITEM!$H$3:$H$2749-TABLEITEM!$I$3:$I$2749</f>
        <v>#ERROR!</v>
      </c>
    </row>
    <row r="1571" ht="15.75" customHeight="1">
      <c r="A1571" s="45"/>
      <c r="B1571" s="10" t="s">
        <v>1796</v>
      </c>
      <c r="C1571" s="26"/>
      <c r="D1571" s="10" t="s">
        <v>9096</v>
      </c>
      <c r="E1571" s="48" t="s">
        <v>1504</v>
      </c>
      <c r="F1571" s="57" t="s">
        <v>7173</v>
      </c>
      <c r="G1571" s="49">
        <f t="array" ref="G1571">MAX(IF(INSTOCK!$H$3:$H$6125=B1571,INSTOCK!$K$3:$K$6125))</f>
        <v>2230</v>
      </c>
      <c r="H1571" s="50">
        <f t="array" ref="H1571">SUM(IF(INSTOCK!$H$3:$H$6125=B1571,INSTOCK!$I$3:$I$6125))</f>
        <v>1</v>
      </c>
      <c r="I1571" s="50" t="str">
        <f>ARRAY_CONSTRAIN(ARRAYFORMULA(SUM(IF([3]!Table13[ID]=B1571,[3]!Table13[QTY]))), 1, 1)</f>
        <v>#ERROR!</v>
      </c>
      <c r="J1571" s="50" t="str">
        <f>TABLEITEM!$H$3:$H$2749-TABLEITEM!$I$3:$I$2749</f>
        <v>#ERROR!</v>
      </c>
    </row>
    <row r="1572" ht="15.75" customHeight="1">
      <c r="A1572" s="45"/>
      <c r="B1572" s="10" t="s">
        <v>2986</v>
      </c>
      <c r="C1572" s="26"/>
      <c r="D1572" s="10" t="s">
        <v>9097</v>
      </c>
      <c r="E1572" s="48" t="s">
        <v>8896</v>
      </c>
      <c r="F1572" s="57" t="s">
        <v>7173</v>
      </c>
      <c r="G1572" s="49">
        <f t="array" ref="G1572">MAX(IF(INSTOCK!$H$3:$H$6125=B1572,INSTOCK!$K$3:$K$6125))</f>
        <v>2730</v>
      </c>
      <c r="H1572" s="50">
        <f t="array" ref="H1572">SUM(IF(INSTOCK!$H$3:$H$6125=B1572,INSTOCK!$I$3:$I$6125))</f>
        <v>2</v>
      </c>
      <c r="I1572" s="50" t="str">
        <f>ARRAY_CONSTRAIN(ARRAYFORMULA(SUM(IF([3]!Table13[ID]=B1572,[3]!Table13[QTY]))), 1, 1)</f>
        <v>#ERROR!</v>
      </c>
      <c r="J1572" s="50" t="str">
        <f>TABLEITEM!$H$3:$H$2749-TABLEITEM!$I$3:$I$2749</f>
        <v>#ERROR!</v>
      </c>
    </row>
    <row r="1573" ht="15.75" customHeight="1">
      <c r="A1573" s="45">
        <v>589.0</v>
      </c>
      <c r="B1573" s="10" t="s">
        <v>2346</v>
      </c>
      <c r="C1573" s="26" t="s">
        <v>7182</v>
      </c>
      <c r="D1573" s="10" t="s">
        <v>9098</v>
      </c>
      <c r="E1573" s="48" t="s">
        <v>8087</v>
      </c>
      <c r="F1573" s="57" t="s">
        <v>7173</v>
      </c>
      <c r="G1573" s="49">
        <f t="array" ref="G1573">MAX(IF(INSTOCK!$H$3:$H$6125=B1573,INSTOCK!$K$3:$K$6125))</f>
        <v>178.75</v>
      </c>
      <c r="H1573" s="50">
        <f t="array" ref="H1573">SUM(IF(INSTOCK!$H$3:$H$6125=B1573,INSTOCK!$I$3:$I$6125))</f>
        <v>150</v>
      </c>
      <c r="I1573" s="50" t="str">
        <f>ARRAY_CONSTRAIN(ARRAYFORMULA(SUM(IF([3]!Table13[ID]=B1573,[3]!Table13[QTY]))), 1, 1)</f>
        <v>#ERROR!</v>
      </c>
      <c r="J1573" s="50" t="str">
        <f>TABLEITEM!$H$3:$H$2749-TABLEITEM!$I$3:$I$2749</f>
        <v>#ERROR!</v>
      </c>
    </row>
    <row r="1574" ht="15.75" customHeight="1">
      <c r="A1574" s="45">
        <v>134.0</v>
      </c>
      <c r="B1574" s="10" t="s">
        <v>597</v>
      </c>
      <c r="C1574" s="26" t="s">
        <v>7182</v>
      </c>
      <c r="D1574" s="10" t="s">
        <v>9099</v>
      </c>
      <c r="E1574" s="48" t="s">
        <v>8087</v>
      </c>
      <c r="F1574" s="57" t="s">
        <v>7173</v>
      </c>
      <c r="G1574" s="49">
        <f t="array" ref="G1574">MAX(IF(INSTOCK!$H$3:$H$6125=B1574,INSTOCK!$K$3:$K$6125))</f>
        <v>0</v>
      </c>
      <c r="H1574" s="50">
        <f t="array" ref="H1574">SUM(IF(INSTOCK!$H$3:$H$6125=B1574,INSTOCK!$I$3:$I$6125))</f>
        <v>20</v>
      </c>
      <c r="I1574" s="50" t="str">
        <f>ARRAY_CONSTRAIN(ARRAYFORMULA(SUM(IF([3]!Table13[ID]=B1574,[3]!Table13[QTY]))), 1, 1)</f>
        <v>#ERROR!</v>
      </c>
      <c r="J1574" s="50" t="str">
        <f>TABLEITEM!$H$3:$H$2749-TABLEITEM!$I$3:$I$2749</f>
        <v>#ERROR!</v>
      </c>
    </row>
    <row r="1575" ht="15.75" customHeight="1">
      <c r="A1575" s="45">
        <v>133.0</v>
      </c>
      <c r="B1575" s="10" t="s">
        <v>596</v>
      </c>
      <c r="C1575" s="26" t="s">
        <v>7182</v>
      </c>
      <c r="D1575" s="10" t="s">
        <v>9100</v>
      </c>
      <c r="E1575" s="48" t="s">
        <v>8087</v>
      </c>
      <c r="F1575" s="57" t="s">
        <v>7173</v>
      </c>
      <c r="G1575" s="49">
        <f t="array" ref="G1575">MAX(IF(INSTOCK!$H$3:$H$6125=B1575,INSTOCK!$K$3:$K$6125))</f>
        <v>1600.625</v>
      </c>
      <c r="H1575" s="50">
        <f t="array" ref="H1575">SUM(IF(INSTOCK!$H$3:$H$6125=B1575,INSTOCK!$I$3:$I$6125))</f>
        <v>34</v>
      </c>
      <c r="I1575" s="50" t="str">
        <f>ARRAY_CONSTRAIN(ARRAYFORMULA(SUM(IF([3]!Table13[ID]=B1575,[3]!Table13[QTY]))), 1, 1)</f>
        <v>#ERROR!</v>
      </c>
      <c r="J1575" s="50" t="str">
        <f>TABLEITEM!$H$3:$H$2749-TABLEITEM!$I$3:$I$2749</f>
        <v>#ERROR!</v>
      </c>
    </row>
    <row r="1576" ht="15.75" customHeight="1">
      <c r="A1576" s="45">
        <v>132.0</v>
      </c>
      <c r="B1576" s="10" t="s">
        <v>595</v>
      </c>
      <c r="C1576" s="26" t="s">
        <v>7182</v>
      </c>
      <c r="D1576" s="10" t="s">
        <v>9101</v>
      </c>
      <c r="E1576" s="48" t="s">
        <v>8087</v>
      </c>
      <c r="F1576" s="57" t="s">
        <v>7173</v>
      </c>
      <c r="G1576" s="49">
        <f t="array" ref="G1576">MAX(IF(INSTOCK!$H$3:$H$6125=B1576,INSTOCK!$K$3:$K$6125))</f>
        <v>0</v>
      </c>
      <c r="H1576" s="50">
        <f t="array" ref="H1576">SUM(IF(INSTOCK!$H$3:$H$6125=B1576,INSTOCK!$I$3:$I$6125))</f>
        <v>36</v>
      </c>
      <c r="I1576" s="50" t="str">
        <f>ARRAY_CONSTRAIN(ARRAYFORMULA(SUM(IF([3]!Table13[ID]=B1576,[3]!Table13[QTY]))), 1, 1)</f>
        <v>#ERROR!</v>
      </c>
      <c r="J1576" s="50" t="str">
        <f>TABLEITEM!$H$3:$H$2749-TABLEITEM!$I$3:$I$2749</f>
        <v>#ERROR!</v>
      </c>
    </row>
    <row r="1577" ht="15.75" customHeight="1">
      <c r="A1577" s="45"/>
      <c r="B1577" s="10" t="s">
        <v>1456</v>
      </c>
      <c r="C1577" s="26"/>
      <c r="D1577" s="10" t="s">
        <v>9102</v>
      </c>
      <c r="E1577" s="48" t="s">
        <v>1453</v>
      </c>
      <c r="F1577" s="57" t="s">
        <v>7173</v>
      </c>
      <c r="G1577" s="49">
        <f t="array" ref="G1577">MAX(IF(INSTOCK!$H$3:$H$6125=B1577,INSTOCK!$K$3:$K$6125))</f>
        <v>532</v>
      </c>
      <c r="H1577" s="50">
        <f t="array" ref="H1577">SUM(IF(INSTOCK!$H$3:$H$6125=B1577,INSTOCK!$I$3:$I$6125))</f>
        <v>20</v>
      </c>
      <c r="I1577" s="50" t="str">
        <f>ARRAY_CONSTRAIN(ARRAYFORMULA(SUM(IF([3]!Table13[ID]=B1577,[3]!Table13[QTY]))), 1, 1)</f>
        <v>#ERROR!</v>
      </c>
      <c r="J1577" s="50" t="str">
        <f>TABLEITEM!$H$3:$H$2749-TABLEITEM!$I$3:$I$2749</f>
        <v>#ERROR!</v>
      </c>
    </row>
    <row r="1578" ht="15.75" customHeight="1">
      <c r="A1578" s="45"/>
      <c r="B1578" s="10" t="s">
        <v>2145</v>
      </c>
      <c r="C1578" s="26"/>
      <c r="D1578" s="10" t="s">
        <v>9103</v>
      </c>
      <c r="E1578" s="48" t="s">
        <v>9104</v>
      </c>
      <c r="F1578" s="57" t="s">
        <v>7173</v>
      </c>
      <c r="G1578" s="49">
        <f t="array" ref="G1578">MAX(IF(INSTOCK!$H$3:$H$6125=B1578,INSTOCK!$K$3:$K$6125))</f>
        <v>127.375</v>
      </c>
      <c r="H1578" s="50">
        <f t="array" ref="H1578">SUM(IF(INSTOCK!$H$3:$H$6125=B1578,INSTOCK!$I$3:$I$6125))</f>
        <v>24</v>
      </c>
      <c r="I1578" s="50" t="str">
        <f>ARRAY_CONSTRAIN(ARRAYFORMULA(SUM(IF([3]!Table13[ID]=B1578,[3]!Table13[QTY]))), 1, 1)</f>
        <v>#ERROR!</v>
      </c>
      <c r="J1578" s="50" t="str">
        <f>TABLEITEM!$H$3:$H$2749-TABLEITEM!$I$3:$I$2749</f>
        <v>#ERROR!</v>
      </c>
    </row>
    <row r="1579" ht="15.75" customHeight="1">
      <c r="A1579" s="45"/>
      <c r="B1579" s="10" t="s">
        <v>2987</v>
      </c>
      <c r="C1579" s="26"/>
      <c r="D1579" s="10" t="s">
        <v>9105</v>
      </c>
      <c r="E1579" s="48" t="s">
        <v>8896</v>
      </c>
      <c r="F1579" s="57" t="s">
        <v>7173</v>
      </c>
      <c r="G1579" s="49">
        <f t="array" ref="G1579">MAX(IF(INSTOCK!$H$3:$H$6125=B1579,INSTOCK!$K$3:$K$6125))</f>
        <v>246</v>
      </c>
      <c r="H1579" s="50">
        <f t="array" ref="H1579">SUM(IF(INSTOCK!$H$3:$H$6125=B1579,INSTOCK!$I$3:$I$6125))</f>
        <v>4</v>
      </c>
      <c r="I1579" s="50" t="str">
        <f>ARRAY_CONSTRAIN(ARRAYFORMULA(SUM(IF([3]!Table13[ID]=B1579,[3]!Table13[QTY]))), 1, 1)</f>
        <v>#ERROR!</v>
      </c>
      <c r="J1579" s="50" t="str">
        <f>TABLEITEM!$H$3:$H$2749-TABLEITEM!$I$3:$I$2749</f>
        <v>#ERROR!</v>
      </c>
    </row>
    <row r="1580" ht="15.75" customHeight="1">
      <c r="A1580" s="45"/>
      <c r="B1580" s="10" t="s">
        <v>9106</v>
      </c>
      <c r="C1580" s="26"/>
      <c r="D1580" s="10" t="s">
        <v>9107</v>
      </c>
      <c r="E1580" s="48" t="s">
        <v>6400</v>
      </c>
      <c r="F1580" s="57" t="s">
        <v>7173</v>
      </c>
      <c r="G1580" s="49">
        <f t="array" ref="G1580">MAX(IF(INSTOCK!$H$3:$H$6125=B1580,INSTOCK!$K$3:$K$6125))</f>
        <v>0</v>
      </c>
      <c r="H1580" s="50">
        <f t="array" ref="H1580">SUM(IF(INSTOCK!$H$3:$H$6125=B1580,INSTOCK!$I$3:$I$6125))</f>
        <v>0</v>
      </c>
      <c r="I1580" s="50" t="str">
        <f>ARRAY_CONSTRAIN(ARRAYFORMULA(SUM(IF([3]!Table13[ID]=B1580,[3]!Table13[QTY]))), 1, 1)</f>
        <v>#ERROR!</v>
      </c>
      <c r="J1580" s="50" t="str">
        <f>TABLEITEM!$H$3:$H$2749-TABLEITEM!$I$3:$I$2749</f>
        <v>#ERROR!</v>
      </c>
    </row>
    <row r="1581" ht="15.75" customHeight="1">
      <c r="A1581" s="45"/>
      <c r="B1581" s="10" t="s">
        <v>4245</v>
      </c>
      <c r="C1581" s="26"/>
      <c r="D1581" s="10" t="s">
        <v>9108</v>
      </c>
      <c r="E1581" s="48" t="s">
        <v>6400</v>
      </c>
      <c r="F1581" s="57" t="s">
        <v>7173</v>
      </c>
      <c r="G1581" s="49">
        <f t="array" ref="G1581">MAX(IF(INSTOCK!$H$3:$H$6125=B1581,INSTOCK!$K$3:$K$6125))</f>
        <v>65</v>
      </c>
      <c r="H1581" s="50">
        <f t="array" ref="H1581">SUM(IF(INSTOCK!$H$3:$H$6125=B1581,INSTOCK!$I$3:$I$6125))</f>
        <v>100</v>
      </c>
      <c r="I1581" s="50" t="str">
        <f>ARRAY_CONSTRAIN(ARRAYFORMULA(SUM(IF([3]!Table13[ID]=B1581,[3]!Table13[QTY]))), 1, 1)</f>
        <v>#ERROR!</v>
      </c>
      <c r="J1581" s="50" t="str">
        <f>TABLEITEM!$H$3:$H$2749-TABLEITEM!$I$3:$I$2749</f>
        <v>#ERROR!</v>
      </c>
    </row>
    <row r="1582" ht="15.75" customHeight="1">
      <c r="A1582" s="45">
        <v>313.0</v>
      </c>
      <c r="B1582" s="10" t="s">
        <v>194</v>
      </c>
      <c r="C1582" s="26"/>
      <c r="D1582" s="10" t="s">
        <v>9109</v>
      </c>
      <c r="E1582" s="48" t="s">
        <v>8787</v>
      </c>
      <c r="F1582" s="57" t="s">
        <v>7173</v>
      </c>
      <c r="G1582" s="49">
        <f t="array" ref="G1582">MAX(IF(INSTOCK!$H$3:$H$6125=B1582,INSTOCK!$K$3:$K$6125))</f>
        <v>8.8</v>
      </c>
      <c r="H1582" s="50">
        <f t="array" ref="H1582">SUM(IF(INSTOCK!$H$3:$H$6125=B1582,INSTOCK!$I$3:$I$6125))</f>
        <v>123</v>
      </c>
      <c r="I1582" s="50" t="str">
        <f>ARRAY_CONSTRAIN(ARRAYFORMULA(SUM(IF([3]!Table13[ID]=B1582,[3]!Table13[QTY]))), 1, 1)</f>
        <v>#ERROR!</v>
      </c>
      <c r="J1582" s="50" t="str">
        <f>TABLEITEM!$H$3:$H$2749-TABLEITEM!$I$3:$I$2749</f>
        <v>#ERROR!</v>
      </c>
    </row>
    <row r="1583" ht="15.75" customHeight="1">
      <c r="A1583" s="45">
        <v>311.0</v>
      </c>
      <c r="B1583" s="10" t="s">
        <v>192</v>
      </c>
      <c r="C1583" s="26"/>
      <c r="D1583" s="18" t="s">
        <v>9110</v>
      </c>
      <c r="E1583" s="56" t="s">
        <v>8787</v>
      </c>
      <c r="F1583" s="57" t="s">
        <v>7173</v>
      </c>
      <c r="G1583" s="49">
        <f t="array" ref="G1583">MAX(IF(INSTOCK!$H$3:$H$6125=B1583,INSTOCK!$K$3:$K$6125))</f>
        <v>6.86</v>
      </c>
      <c r="H1583" s="50">
        <f t="array" ref="H1583">SUM(IF(INSTOCK!$H$3:$H$6125=B1583,INSTOCK!$I$3:$I$6125))</f>
        <v>246</v>
      </c>
      <c r="I1583" s="50" t="str">
        <f>ARRAY_CONSTRAIN(ARRAYFORMULA(SUM(IF([3]!Table13[ID]=B1583,[3]!Table13[QTY]))), 1, 1)</f>
        <v>#ERROR!</v>
      </c>
      <c r="J1583" s="50" t="str">
        <f>TABLEITEM!$H$3:$H$2749-TABLEITEM!$I$3:$I$2749</f>
        <v>#ERROR!</v>
      </c>
    </row>
    <row r="1584" ht="15.75" customHeight="1">
      <c r="A1584" s="45">
        <v>317.0</v>
      </c>
      <c r="B1584" s="10" t="s">
        <v>198</v>
      </c>
      <c r="C1584" s="26"/>
      <c r="D1584" s="10" t="s">
        <v>9111</v>
      </c>
      <c r="E1584" s="48" t="s">
        <v>8787</v>
      </c>
      <c r="F1584" s="57" t="s">
        <v>7173</v>
      </c>
      <c r="G1584" s="49">
        <f t="array" ref="G1584">MAX(IF(INSTOCK!$H$3:$H$6125=B1584,INSTOCK!$K$3:$K$6125))</f>
        <v>20.02</v>
      </c>
      <c r="H1584" s="50">
        <f t="array" ref="H1584">SUM(IF(INSTOCK!$H$3:$H$6125=B1584,INSTOCK!$I$3:$I$6125))</f>
        <v>13</v>
      </c>
      <c r="I1584" s="50" t="str">
        <f>ARRAY_CONSTRAIN(ARRAYFORMULA(SUM(IF([3]!Table13[ID]=B1584,[3]!Table13[QTY]))), 1, 1)</f>
        <v>#ERROR!</v>
      </c>
      <c r="J1584" s="50" t="str">
        <f>TABLEITEM!$H$3:$H$2749-TABLEITEM!$I$3:$I$2749</f>
        <v>#ERROR!</v>
      </c>
    </row>
    <row r="1585" ht="15.75" customHeight="1">
      <c r="A1585" s="45">
        <v>315.0</v>
      </c>
      <c r="B1585" s="10" t="s">
        <v>196</v>
      </c>
      <c r="C1585" s="26"/>
      <c r="D1585" s="10" t="s">
        <v>9112</v>
      </c>
      <c r="E1585" s="48" t="s">
        <v>8787</v>
      </c>
      <c r="F1585" s="57" t="s">
        <v>7173</v>
      </c>
      <c r="G1585" s="49">
        <f t="array" ref="G1585">MAX(IF(INSTOCK!$H$3:$H$6125=B1585,INSTOCK!$K$3:$K$6125))</f>
        <v>12</v>
      </c>
      <c r="H1585" s="50">
        <f t="array" ref="H1585">SUM(IF(INSTOCK!$H$3:$H$6125=B1585,INSTOCK!$I$3:$I$6125))</f>
        <v>83</v>
      </c>
      <c r="I1585" s="50" t="str">
        <f>ARRAY_CONSTRAIN(ARRAYFORMULA(SUM(IF([3]!Table13[ID]=B1585,[3]!Table13[QTY]))), 1, 1)</f>
        <v>#ERROR!</v>
      </c>
      <c r="J1585" s="50" t="str">
        <f>TABLEITEM!$H$3:$H$2749-TABLEITEM!$I$3:$I$2749</f>
        <v>#ERROR!</v>
      </c>
    </row>
    <row r="1586" ht="15.75" customHeight="1">
      <c r="A1586" s="45">
        <v>308.0</v>
      </c>
      <c r="B1586" s="18" t="s">
        <v>189</v>
      </c>
      <c r="C1586" s="26"/>
      <c r="D1586" s="18" t="s">
        <v>9113</v>
      </c>
      <c r="E1586" s="56" t="s">
        <v>8787</v>
      </c>
      <c r="F1586" s="57" t="s">
        <v>7173</v>
      </c>
      <c r="G1586" s="49">
        <f t="array" ref="G1586">MAX(IF(INSTOCK!$H$3:$H$6125=B1586,INSTOCK!$K$3:$K$6125))</f>
        <v>5</v>
      </c>
      <c r="H1586" s="50">
        <f t="array" ref="H1586">SUM(IF(INSTOCK!$H$3:$H$6125=B1586,INSTOCK!$I$3:$I$6125))</f>
        <v>2886</v>
      </c>
      <c r="I1586" s="50" t="str">
        <f>ARRAY_CONSTRAIN(ARRAYFORMULA(SUM(IF([3]!Table13[ID]=B1586,[3]!Table13[QTY]))), 1, 1)</f>
        <v>#ERROR!</v>
      </c>
      <c r="J1586" s="50" t="str">
        <f>TABLEITEM!$H$3:$H$2749-TABLEITEM!$I$3:$I$2749</f>
        <v>#ERROR!</v>
      </c>
    </row>
    <row r="1587" ht="15.75" customHeight="1">
      <c r="A1587" s="45"/>
      <c r="B1587" s="10" t="s">
        <v>2250</v>
      </c>
      <c r="C1587" s="26"/>
      <c r="D1587" s="10" t="s">
        <v>9114</v>
      </c>
      <c r="E1587" s="48" t="s">
        <v>1504</v>
      </c>
      <c r="F1587" s="57" t="s">
        <v>7173</v>
      </c>
      <c r="G1587" s="49">
        <f t="array" ref="G1587">MAX(IF(INSTOCK!$H$3:$H$6125=B1587,INSTOCK!$K$3:$K$6125))</f>
        <v>1111.5</v>
      </c>
      <c r="H1587" s="50">
        <f t="array" ref="H1587">SUM(IF(INSTOCK!$H$3:$H$6125=B1587,INSTOCK!$I$3:$I$6125))</f>
        <v>12</v>
      </c>
      <c r="I1587" s="50" t="str">
        <f>ARRAY_CONSTRAIN(ARRAYFORMULA(SUM(IF([3]!Table13[ID]=B1587,[3]!Table13[QTY]))), 1, 1)</f>
        <v>#ERROR!</v>
      </c>
      <c r="J1587" s="50" t="str">
        <f>TABLEITEM!$H$3:$H$2749-TABLEITEM!$I$3:$I$2749</f>
        <v>#ERROR!</v>
      </c>
    </row>
    <row r="1588" ht="15.75" customHeight="1">
      <c r="A1588" s="45"/>
      <c r="B1588" s="18" t="s">
        <v>2531</v>
      </c>
      <c r="C1588" s="26"/>
      <c r="D1588" s="18" t="s">
        <v>9115</v>
      </c>
      <c r="E1588" s="56" t="s">
        <v>2231</v>
      </c>
      <c r="F1588" s="57" t="s">
        <v>7173</v>
      </c>
      <c r="G1588" s="49">
        <f t="array" ref="G1588">MAX(IF(INSTOCK!$H$3:$H$6125=B1588,INSTOCK!$K$3:$K$6125))</f>
        <v>65.66</v>
      </c>
      <c r="H1588" s="50">
        <f t="array" ref="H1588">SUM(IF(INSTOCK!$H$3:$H$6125=B1588,INSTOCK!$I$3:$I$6125))</f>
        <v>3</v>
      </c>
      <c r="I1588" s="50" t="str">
        <f>ARRAY_CONSTRAIN(ARRAYFORMULA(SUM(IF([3]!Table13[ID]=B1588,[3]!Table13[QTY]))), 1, 1)</f>
        <v>#ERROR!</v>
      </c>
      <c r="J1588" s="50" t="str">
        <f>TABLEITEM!$H$3:$H$2749-TABLEITEM!$I$3:$I$2749</f>
        <v>#ERROR!</v>
      </c>
    </row>
    <row r="1589" ht="15.75" customHeight="1">
      <c r="A1589" s="45"/>
      <c r="B1589" s="18" t="s">
        <v>2533</v>
      </c>
      <c r="C1589" s="26"/>
      <c r="D1589" s="18" t="s">
        <v>9116</v>
      </c>
      <c r="E1589" s="56" t="s">
        <v>2231</v>
      </c>
      <c r="F1589" s="57" t="s">
        <v>7173</v>
      </c>
      <c r="G1589" s="49">
        <f t="array" ref="G1589">MAX(IF(INSTOCK!$H$3:$H$6125=B1589,INSTOCK!$K$3:$K$6125))</f>
        <v>333.2</v>
      </c>
      <c r="H1589" s="50">
        <f t="array" ref="H1589">SUM(IF(INSTOCK!$H$3:$H$6125=B1589,INSTOCK!$I$3:$I$6125))</f>
        <v>1</v>
      </c>
      <c r="I1589" s="50" t="str">
        <f>ARRAY_CONSTRAIN(ARRAYFORMULA(SUM(IF([3]!Table13[ID]=B1589,[3]!Table13[QTY]))), 1, 1)</f>
        <v>#ERROR!</v>
      </c>
      <c r="J1589" s="50" t="str">
        <f>TABLEITEM!$H$3:$H$2749-TABLEITEM!$I$3:$I$2749</f>
        <v>#ERROR!</v>
      </c>
    </row>
    <row r="1590" ht="15.75" customHeight="1">
      <c r="A1590" s="45">
        <v>248.0</v>
      </c>
      <c r="B1590" s="10" t="s">
        <v>129</v>
      </c>
      <c r="C1590" s="26"/>
      <c r="D1590" s="10" t="s">
        <v>1015</v>
      </c>
      <c r="E1590" s="48" t="s">
        <v>7294</v>
      </c>
      <c r="F1590" s="57" t="s">
        <v>7173</v>
      </c>
      <c r="G1590" s="49">
        <f t="array" ref="G1590">MAX(IF(INSTOCK!$H$3:$H$6125=B1590,INSTOCK!$K$3:$K$6125))</f>
        <v>90</v>
      </c>
      <c r="H1590" s="50">
        <f t="array" ref="H1590">SUM(IF(INSTOCK!$H$3:$H$6125=B1590,INSTOCK!$I$3:$I$6125))</f>
        <v>905</v>
      </c>
      <c r="I1590" s="50" t="str">
        <f>ARRAY_CONSTRAIN(ARRAYFORMULA(SUM(IF([3]!Table13[ID]=B1590,[3]!Table13[QTY]))), 1, 1)</f>
        <v>#ERROR!</v>
      </c>
      <c r="J1590" s="50" t="str">
        <f>TABLEITEM!$H$3:$H$2749-TABLEITEM!$I$3:$I$2749</f>
        <v>#ERROR!</v>
      </c>
    </row>
    <row r="1591" ht="15.75" customHeight="1">
      <c r="A1591" s="45"/>
      <c r="B1591" s="18" t="s">
        <v>1711</v>
      </c>
      <c r="C1591" s="26"/>
      <c r="D1591" s="18" t="s">
        <v>9117</v>
      </c>
      <c r="E1591" s="56"/>
      <c r="F1591" s="57" t="s">
        <v>7173</v>
      </c>
      <c r="G1591" s="49">
        <f t="array" ref="G1591">MAX(IF(INSTOCK!$H$3:$H$6125=B1591,INSTOCK!$K$3:$K$6125))</f>
        <v>2625</v>
      </c>
      <c r="H1591" s="50">
        <f t="array" ref="H1591">SUM(IF(INSTOCK!$H$3:$H$6125=B1591,INSTOCK!$I$3:$I$6125))</f>
        <v>12</v>
      </c>
      <c r="I1591" s="50" t="str">
        <f>ARRAY_CONSTRAIN(ARRAYFORMULA(SUM(IF([3]!Table13[ID]=B1591,[3]!Table13[QTY]))), 1, 1)</f>
        <v>#ERROR!</v>
      </c>
      <c r="J1591" s="50" t="str">
        <f>TABLEITEM!$H$3:$H$2749-TABLEITEM!$I$3:$I$2749</f>
        <v>#ERROR!</v>
      </c>
    </row>
    <row r="1592" ht="15.75" customHeight="1">
      <c r="A1592" s="45"/>
      <c r="B1592" s="18" t="s">
        <v>2959</v>
      </c>
      <c r="C1592" s="26"/>
      <c r="D1592" s="18" t="s">
        <v>9118</v>
      </c>
      <c r="E1592" s="56" t="s">
        <v>9119</v>
      </c>
      <c r="F1592" s="57" t="s">
        <v>7173</v>
      </c>
      <c r="G1592" s="49">
        <f t="array" ref="G1592">MAX(IF(INSTOCK!$H$3:$H$6125=B1592,INSTOCK!$K$3:$K$6125))</f>
        <v>9540</v>
      </c>
      <c r="H1592" s="50">
        <f t="array" ref="H1592">SUM(IF(INSTOCK!$H$3:$H$6125=B1592,INSTOCK!$I$3:$I$6125))</f>
        <v>2</v>
      </c>
      <c r="I1592" s="50" t="str">
        <f>ARRAY_CONSTRAIN(ARRAYFORMULA(SUM(IF([3]!Table13[ID]=B1592,[3]!Table13[QTY]))), 1, 1)</f>
        <v>#ERROR!</v>
      </c>
      <c r="J1592" s="50" t="str">
        <f>TABLEITEM!$H$3:$H$2749-TABLEITEM!$I$3:$I$2749</f>
        <v>#ERROR!</v>
      </c>
    </row>
    <row r="1593" ht="15.75" customHeight="1">
      <c r="A1593" s="45"/>
      <c r="B1593" s="18" t="s">
        <v>1781</v>
      </c>
      <c r="C1593" s="26"/>
      <c r="D1593" s="18" t="s">
        <v>9120</v>
      </c>
      <c r="E1593" s="56" t="s">
        <v>9121</v>
      </c>
      <c r="F1593" s="57" t="s">
        <v>7173</v>
      </c>
      <c r="G1593" s="49">
        <f t="array" ref="G1593">MAX(IF(INSTOCK!$H$3:$H$6125=B1593,INSTOCK!$K$3:$K$6125))</f>
        <v>4700</v>
      </c>
      <c r="H1593" s="50">
        <f t="array" ref="H1593">SUM(IF(INSTOCK!$H$3:$H$6125=B1593,INSTOCK!$I$3:$I$6125))</f>
        <v>2</v>
      </c>
      <c r="I1593" s="50" t="str">
        <f>ARRAY_CONSTRAIN(ARRAYFORMULA(SUM(IF([3]!Table13[ID]=B1593,[3]!Table13[QTY]))), 1, 1)</f>
        <v>#ERROR!</v>
      </c>
      <c r="J1593" s="50" t="str">
        <f>TABLEITEM!$H$3:$H$2749-TABLEITEM!$I$3:$I$2749</f>
        <v>#ERROR!</v>
      </c>
    </row>
    <row r="1594" ht="15.75" customHeight="1">
      <c r="A1594" s="45"/>
      <c r="B1594" s="10" t="s">
        <v>3208</v>
      </c>
      <c r="C1594" s="26"/>
      <c r="D1594" s="10" t="s">
        <v>9122</v>
      </c>
      <c r="E1594" s="48" t="s">
        <v>8360</v>
      </c>
      <c r="F1594" s="48" t="s">
        <v>7173</v>
      </c>
      <c r="G1594" s="49">
        <f t="array" ref="G1594">MAX(IF(INSTOCK!$H$3:$H$6125=B1594,INSTOCK!$K$3:$K$6125))</f>
        <v>630</v>
      </c>
      <c r="H1594" s="50">
        <f t="array" ref="H1594">SUM(IF(INSTOCK!$H$3:$H$6125=B1594,INSTOCK!$I$3:$I$6125))</f>
        <v>19</v>
      </c>
      <c r="I1594" s="50" t="str">
        <f>ARRAY_CONSTRAIN(ARRAYFORMULA(SUM(IF([3]!Table13[ID]=B1594,[3]!Table13[QTY]))), 1, 1)</f>
        <v>#ERROR!</v>
      </c>
      <c r="J1594" s="50" t="str">
        <f>TABLEITEM!$H$3:$H$2749-TABLEITEM!$I$3:$I$2749</f>
        <v>#ERROR!</v>
      </c>
    </row>
    <row r="1595" ht="15.75" customHeight="1">
      <c r="A1595" s="45"/>
      <c r="B1595" s="10" t="s">
        <v>1685</v>
      </c>
      <c r="C1595" s="26"/>
      <c r="D1595" s="10" t="s">
        <v>9123</v>
      </c>
      <c r="E1595" s="48" t="s">
        <v>9124</v>
      </c>
      <c r="F1595" s="48" t="s">
        <v>7173</v>
      </c>
      <c r="G1595" s="49">
        <f t="array" ref="G1595">MAX(IF(INSTOCK!$H$3:$H$6125=B1595,INSTOCK!$K$3:$K$6125))</f>
        <v>9603</v>
      </c>
      <c r="H1595" s="50">
        <f t="array" ref="H1595">SUM(IF(INSTOCK!$H$3:$H$6125=B1595,INSTOCK!$I$3:$I$6125))</f>
        <v>5</v>
      </c>
      <c r="I1595" s="50" t="str">
        <f>ARRAY_CONSTRAIN(ARRAYFORMULA(SUM(IF([3]!Table13[ID]=B1595,[3]!Table13[QTY]))), 1, 1)</f>
        <v>#ERROR!</v>
      </c>
      <c r="J1595" s="50" t="str">
        <f>TABLEITEM!$H$3:$H$2749-TABLEITEM!$I$3:$I$2749</f>
        <v>#ERROR!</v>
      </c>
    </row>
    <row r="1596" ht="15.75" customHeight="1">
      <c r="A1596" s="45"/>
      <c r="B1596" s="18" t="s">
        <v>1687</v>
      </c>
      <c r="C1596" s="26"/>
      <c r="D1596" s="18" t="s">
        <v>9125</v>
      </c>
      <c r="E1596" s="56" t="s">
        <v>9124</v>
      </c>
      <c r="F1596" s="48" t="s">
        <v>7173</v>
      </c>
      <c r="G1596" s="49">
        <f t="array" ref="G1596">MAX(IF(INSTOCK!$H$3:$H$6125=B1596,INSTOCK!$K$3:$K$6125))</f>
        <v>4656</v>
      </c>
      <c r="H1596" s="50">
        <f t="array" ref="H1596">SUM(IF(INSTOCK!$H$3:$H$6125=B1596,INSTOCK!$I$3:$I$6125))</f>
        <v>5</v>
      </c>
      <c r="I1596" s="50" t="str">
        <f>ARRAY_CONSTRAIN(ARRAYFORMULA(SUM(IF([3]!Table13[ID]=B1596,[3]!Table13[QTY]))), 1, 1)</f>
        <v>#ERROR!</v>
      </c>
      <c r="J1596" s="50" t="str">
        <f>TABLEITEM!$H$3:$H$2749-TABLEITEM!$I$3:$I$2749</f>
        <v>#ERROR!</v>
      </c>
    </row>
    <row r="1597" ht="15.75" customHeight="1">
      <c r="A1597" s="45"/>
      <c r="B1597" s="18" t="s">
        <v>2019</v>
      </c>
      <c r="C1597" s="26"/>
      <c r="D1597" s="18" t="s">
        <v>9126</v>
      </c>
      <c r="E1597" s="56" t="s">
        <v>1487</v>
      </c>
      <c r="F1597" s="57" t="s">
        <v>7173</v>
      </c>
      <c r="G1597" s="49">
        <f t="array" ref="G1597">MAX(IF(INSTOCK!$H$3:$H$6125=B1597,INSTOCK!$K$3:$K$6125))</f>
        <v>1459.6</v>
      </c>
      <c r="H1597" s="50">
        <f t="array" ref="H1597">SUM(IF(INSTOCK!$H$3:$H$6125=B1597,INSTOCK!$I$3:$I$6125))</f>
        <v>1</v>
      </c>
      <c r="I1597" s="50" t="str">
        <f>ARRAY_CONSTRAIN(ARRAYFORMULA(SUM(IF([3]!Table13[ID]=B1597,[3]!Table13[QTY]))), 1, 1)</f>
        <v>#ERROR!</v>
      </c>
      <c r="J1597" s="50" t="str">
        <f>TABLEITEM!$H$3:$H$2749-TABLEITEM!$I$3:$I$2749</f>
        <v>#ERROR!</v>
      </c>
    </row>
    <row r="1598" ht="15.75" customHeight="1">
      <c r="A1598" s="45"/>
      <c r="B1598" s="18" t="s">
        <v>3124</v>
      </c>
      <c r="C1598" s="26"/>
      <c r="D1598" s="18" t="s">
        <v>9127</v>
      </c>
      <c r="E1598" s="56" t="s">
        <v>1601</v>
      </c>
      <c r="F1598" s="57" t="s">
        <v>7173</v>
      </c>
      <c r="G1598" s="49">
        <f t="array" ref="G1598">MAX(IF(INSTOCK!$H$3:$H$6125=B1598,INSTOCK!$K$3:$K$6125))</f>
        <v>174.56333</v>
      </c>
      <c r="H1598" s="50">
        <f t="array" ref="H1598">SUM(IF(INSTOCK!$H$3:$H$6125=B1598,INSTOCK!$I$3:$I$6125))</f>
        <v>6</v>
      </c>
      <c r="I1598" s="50" t="str">
        <f>ARRAY_CONSTRAIN(ARRAYFORMULA(SUM(IF([3]!Table13[ID]=B1598,[3]!Table13[QTY]))), 1, 1)</f>
        <v>#ERROR!</v>
      </c>
      <c r="J1598" s="50" t="str">
        <f>TABLEITEM!$H$3:$H$2749-TABLEITEM!$I$3:$I$2749</f>
        <v>#ERROR!</v>
      </c>
    </row>
    <row r="1599" ht="15.75" customHeight="1">
      <c r="A1599" s="45"/>
      <c r="B1599" s="18" t="s">
        <v>2791</v>
      </c>
      <c r="C1599" s="26"/>
      <c r="D1599" s="18" t="s">
        <v>9128</v>
      </c>
      <c r="E1599" s="56" t="s">
        <v>1601</v>
      </c>
      <c r="F1599" s="57" t="s">
        <v>7173</v>
      </c>
      <c r="G1599" s="49">
        <f t="array" ref="G1599">MAX(IF(INSTOCK!$H$3:$H$6125=B1599,INSTOCK!$K$3:$K$6125))</f>
        <v>121.125</v>
      </c>
      <c r="H1599" s="50">
        <f t="array" ref="H1599">SUM(IF(INSTOCK!$H$3:$H$6125=B1599,INSTOCK!$I$3:$I$6125))</f>
        <v>21</v>
      </c>
      <c r="I1599" s="50" t="str">
        <f>ARRAY_CONSTRAIN(ARRAYFORMULA(SUM(IF([3]!Table13[ID]=B1599,[3]!Table13[QTY]))), 1, 1)</f>
        <v>#ERROR!</v>
      </c>
      <c r="J1599" s="50" t="str">
        <f>TABLEITEM!$H$3:$H$2749-TABLEITEM!$I$3:$I$2749</f>
        <v>#ERROR!</v>
      </c>
    </row>
    <row r="1600" ht="15.75" customHeight="1">
      <c r="A1600" s="45"/>
      <c r="B1600" s="18" t="s">
        <v>2289</v>
      </c>
      <c r="C1600" s="26"/>
      <c r="D1600" s="18" t="s">
        <v>9129</v>
      </c>
      <c r="E1600" s="56" t="s">
        <v>8642</v>
      </c>
      <c r="F1600" s="57" t="s">
        <v>7173</v>
      </c>
      <c r="G1600" s="49">
        <f t="array" ref="G1600">MAX(IF(INSTOCK!$H$3:$H$6125=B1600,INSTOCK!$K$3:$K$6125))</f>
        <v>121.1233</v>
      </c>
      <c r="H1600" s="50">
        <f t="array" ref="H1600">SUM(IF(INSTOCK!$H$3:$H$6125=B1600,INSTOCK!$I$3:$I$6125))</f>
        <v>3</v>
      </c>
      <c r="I1600" s="50" t="str">
        <f>ARRAY_CONSTRAIN(ARRAYFORMULA(SUM(IF([3]!Table13[ID]=B1600,[3]!Table13[QTY]))), 1, 1)</f>
        <v>#ERROR!</v>
      </c>
      <c r="J1600" s="50" t="str">
        <f>TABLEITEM!$H$3:$H$2749-TABLEITEM!$I$3:$I$2749</f>
        <v>#ERROR!</v>
      </c>
    </row>
    <row r="1601" ht="15.75" customHeight="1">
      <c r="A1601" s="45"/>
      <c r="B1601" s="10" t="s">
        <v>3393</v>
      </c>
      <c r="C1601" s="26"/>
      <c r="D1601" s="10" t="s">
        <v>9130</v>
      </c>
      <c r="E1601" s="48" t="s">
        <v>1601</v>
      </c>
      <c r="F1601" s="57" t="s">
        <v>7173</v>
      </c>
      <c r="G1601" s="49">
        <f t="array" ref="G1601">MAX(IF(INSTOCK!$H$3:$H$6125=B1601,INSTOCK!$K$3:$K$6125))</f>
        <v>940.5</v>
      </c>
      <c r="H1601" s="50">
        <f t="array" ref="H1601">SUM(IF(INSTOCK!$H$3:$H$6125=B1601,INSTOCK!$I$3:$I$6125))</f>
        <v>4</v>
      </c>
      <c r="I1601" s="50" t="str">
        <f>ARRAY_CONSTRAIN(ARRAYFORMULA(SUM(IF([3]!Table13[ID]=B1601,[3]!Table13[QTY]))), 1, 1)</f>
        <v>#ERROR!</v>
      </c>
      <c r="J1601" s="50" t="str">
        <f>TABLEITEM!$H$3:$H$2749-TABLEITEM!$I$3:$I$2749</f>
        <v>#ERROR!</v>
      </c>
    </row>
    <row r="1602" ht="15.75" customHeight="1">
      <c r="A1602" s="45"/>
      <c r="B1602" s="18" t="s">
        <v>1981</v>
      </c>
      <c r="C1602" s="26"/>
      <c r="D1602" s="18" t="s">
        <v>9131</v>
      </c>
      <c r="E1602" s="56" t="s">
        <v>1601</v>
      </c>
      <c r="F1602" s="57" t="s">
        <v>7173</v>
      </c>
      <c r="G1602" s="49">
        <f t="array" ref="G1602">MAX(IF(INSTOCK!$H$3:$H$6125=B1602,INSTOCK!$K$3:$K$6125))</f>
        <v>121.125</v>
      </c>
      <c r="H1602" s="50">
        <f t="array" ref="H1602">SUM(IF(INSTOCK!$H$3:$H$6125=B1602,INSTOCK!$I$3:$I$6125))</f>
        <v>11</v>
      </c>
      <c r="I1602" s="50" t="str">
        <f>ARRAY_CONSTRAIN(ARRAYFORMULA(SUM(IF([3]!Table13[ID]=B1602,[3]!Table13[QTY]))), 1, 1)</f>
        <v>#ERROR!</v>
      </c>
      <c r="J1602" s="50" t="str">
        <f>TABLEITEM!$H$3:$H$2749-TABLEITEM!$I$3:$I$2749</f>
        <v>#ERROR!</v>
      </c>
    </row>
    <row r="1603" ht="15.75" customHeight="1">
      <c r="A1603" s="45"/>
      <c r="B1603" s="10" t="s">
        <v>3130</v>
      </c>
      <c r="C1603" s="26"/>
      <c r="D1603" s="10" t="s">
        <v>9132</v>
      </c>
      <c r="E1603" s="48" t="s">
        <v>1601</v>
      </c>
      <c r="F1603" s="57" t="s">
        <v>7173</v>
      </c>
      <c r="G1603" s="49">
        <f t="array" ref="G1603">MAX(IF(INSTOCK!$H$3:$H$6125=B1603,INSTOCK!$K$3:$K$6125))</f>
        <v>121.125</v>
      </c>
      <c r="H1603" s="50">
        <f t="array" ref="H1603">SUM(IF(INSTOCK!$H$3:$H$6125=B1603,INSTOCK!$I$3:$I$6125))</f>
        <v>15</v>
      </c>
      <c r="I1603" s="50" t="str">
        <f>ARRAY_CONSTRAIN(ARRAYFORMULA(SUM(IF([3]!Table13[ID]=B1603,[3]!Table13[QTY]))), 1, 1)</f>
        <v>#ERROR!</v>
      </c>
      <c r="J1603" s="50" t="str">
        <f>TABLEITEM!$H$3:$H$2749-TABLEITEM!$I$3:$I$2749</f>
        <v>#ERROR!</v>
      </c>
    </row>
    <row r="1604" ht="15.75" customHeight="1">
      <c r="A1604" s="45"/>
      <c r="B1604" s="10" t="s">
        <v>2290</v>
      </c>
      <c r="C1604" s="26"/>
      <c r="D1604" s="10" t="s">
        <v>9133</v>
      </c>
      <c r="E1604" s="56" t="s">
        <v>8642</v>
      </c>
      <c r="F1604" s="57" t="s">
        <v>7173</v>
      </c>
      <c r="G1604" s="49">
        <f t="array" ref="G1604">MAX(IF(INSTOCK!$H$3:$H$6125=B1604,INSTOCK!$K$3:$K$6125))</f>
        <v>121.125</v>
      </c>
      <c r="H1604" s="50">
        <f t="array" ref="H1604">SUM(IF(INSTOCK!$H$3:$H$6125=B1604,INSTOCK!$I$3:$I$6125))</f>
        <v>6</v>
      </c>
      <c r="I1604" s="50" t="str">
        <f>ARRAY_CONSTRAIN(ARRAYFORMULA(SUM(IF([3]!Table13[ID]=B1604,[3]!Table13[QTY]))), 1, 1)</f>
        <v>#ERROR!</v>
      </c>
      <c r="J1604" s="50" t="str">
        <f>TABLEITEM!$H$3:$H$2749-TABLEITEM!$I$3:$I$2749</f>
        <v>#ERROR!</v>
      </c>
    </row>
    <row r="1605" ht="15.75" customHeight="1">
      <c r="A1605" s="45"/>
      <c r="B1605" s="18" t="s">
        <v>2286</v>
      </c>
      <c r="C1605" s="26"/>
      <c r="D1605" s="18" t="s">
        <v>9134</v>
      </c>
      <c r="E1605" s="56" t="s">
        <v>8642</v>
      </c>
      <c r="F1605" s="57" t="s">
        <v>7173</v>
      </c>
      <c r="G1605" s="49">
        <f t="array" ref="G1605">MAX(IF(INSTOCK!$H$3:$H$6125=B1605,INSTOCK!$K$3:$K$6125))</f>
        <v>420.375</v>
      </c>
      <c r="H1605" s="50">
        <f t="array" ref="H1605">SUM(IF(INSTOCK!$H$3:$H$6125=B1605,INSTOCK!$I$3:$I$6125))</f>
        <v>6</v>
      </c>
      <c r="I1605" s="50" t="str">
        <f>ARRAY_CONSTRAIN(ARRAYFORMULA(SUM(IF([3]!Table13[ID]=B1605,[3]!Table13[QTY]))), 1, 1)</f>
        <v>#ERROR!</v>
      </c>
      <c r="J1605" s="50" t="str">
        <f>TABLEITEM!$H$3:$H$2749-TABLEITEM!$I$3:$I$2749</f>
        <v>#ERROR!</v>
      </c>
    </row>
    <row r="1606" ht="15.75" customHeight="1">
      <c r="A1606" s="45"/>
      <c r="B1606" s="10" t="s">
        <v>1599</v>
      </c>
      <c r="C1606" s="26"/>
      <c r="D1606" s="10" t="s">
        <v>9135</v>
      </c>
      <c r="E1606" s="48" t="s">
        <v>1601</v>
      </c>
      <c r="F1606" s="57" t="s">
        <v>7173</v>
      </c>
      <c r="G1606" s="49">
        <f t="array" ref="G1606">MAX(IF(INSTOCK!$H$3:$H$6125=B1606,INSTOCK!$K$3:$K$6125))</f>
        <v>306.375</v>
      </c>
      <c r="H1606" s="50">
        <f t="array" ref="H1606">SUM(IF(INSTOCK!$H$3:$H$6125=B1606,INSTOCK!$I$3:$I$6125))</f>
        <v>6</v>
      </c>
      <c r="I1606" s="50" t="str">
        <f>ARRAY_CONSTRAIN(ARRAYFORMULA(SUM(IF([3]!Table13[ID]=B1606,[3]!Table13[QTY]))), 1, 1)</f>
        <v>#ERROR!</v>
      </c>
      <c r="J1606" s="50" t="str">
        <f>TABLEITEM!$H$3:$H$2749-TABLEITEM!$I$3:$I$2749</f>
        <v>#ERROR!</v>
      </c>
    </row>
    <row r="1607" ht="15.75" customHeight="1">
      <c r="A1607" s="45"/>
      <c r="B1607" s="18" t="s">
        <v>2550</v>
      </c>
      <c r="C1607" s="26"/>
      <c r="D1607" s="18" t="s">
        <v>9136</v>
      </c>
      <c r="E1607" s="56" t="s">
        <v>1601</v>
      </c>
      <c r="F1607" s="57" t="s">
        <v>7173</v>
      </c>
      <c r="G1607" s="49">
        <f t="array" ref="G1607">MAX(IF(INSTOCK!$H$3:$H$6125=B1607,INSTOCK!$K$3:$K$6125))</f>
        <v>121.12333</v>
      </c>
      <c r="H1607" s="50">
        <f t="array" ref="H1607">SUM(IF(INSTOCK!$H$3:$H$6125=B1607,INSTOCK!$I$3:$I$6125))</f>
        <v>12</v>
      </c>
      <c r="I1607" s="50" t="str">
        <f>ARRAY_CONSTRAIN(ARRAYFORMULA(SUM(IF([3]!Table13[ID]=B1607,[3]!Table13[QTY]))), 1, 1)</f>
        <v>#ERROR!</v>
      </c>
      <c r="J1607" s="50" t="str">
        <f>TABLEITEM!$H$3:$H$2749-TABLEITEM!$I$3:$I$2749</f>
        <v>#ERROR!</v>
      </c>
    </row>
    <row r="1608" ht="15.75" customHeight="1">
      <c r="A1608" s="45"/>
      <c r="B1608" s="18" t="s">
        <v>5278</v>
      </c>
      <c r="C1608" s="26"/>
      <c r="D1608" s="18" t="s">
        <v>9137</v>
      </c>
      <c r="E1608" s="56" t="s">
        <v>9138</v>
      </c>
      <c r="F1608" s="57" t="s">
        <v>7173</v>
      </c>
      <c r="G1608" s="49">
        <f t="array" ref="G1608">MAX(IF(INSTOCK!$H$3:$H$6125=B1608,INSTOCK!$K$3:$K$6125))</f>
        <v>931.5</v>
      </c>
      <c r="H1608" s="50">
        <f t="array" ref="H1608">SUM(IF(INSTOCK!$H$3:$H$6125=B1608,INSTOCK!$I$3:$I$6125))</f>
        <v>7</v>
      </c>
      <c r="I1608" s="50" t="str">
        <f>ARRAY_CONSTRAIN(ARRAYFORMULA(SUM(IF([3]!Table13[ID]=B1608,[3]!Table13[QTY]))), 1, 1)</f>
        <v>#ERROR!</v>
      </c>
      <c r="J1608" s="50" t="str">
        <f>TABLEITEM!$H$3:$H$2749-TABLEITEM!$I$3:$I$2749</f>
        <v>#ERROR!</v>
      </c>
    </row>
    <row r="1609" ht="15.75" customHeight="1">
      <c r="A1609" s="45"/>
      <c r="B1609" s="10" t="s">
        <v>3116</v>
      </c>
      <c r="C1609" s="26"/>
      <c r="D1609" s="10" t="s">
        <v>9139</v>
      </c>
      <c r="E1609" s="48" t="s">
        <v>1601</v>
      </c>
      <c r="F1609" s="57" t="s">
        <v>7173</v>
      </c>
      <c r="G1609" s="49">
        <f t="array" ref="G1609">MAX(IF(INSTOCK!$H$3:$H$6125=B1609,INSTOCK!$K$3:$K$6125))</f>
        <v>121.13</v>
      </c>
      <c r="H1609" s="50">
        <f t="array" ref="H1609">SUM(IF(INSTOCK!$H$3:$H$6125=B1609,INSTOCK!$I$3:$I$6125))</f>
        <v>31</v>
      </c>
      <c r="I1609" s="50" t="str">
        <f>ARRAY_CONSTRAIN(ARRAYFORMULA(SUM(IF([3]!Table13[ID]=B1609,[3]!Table13[QTY]))), 1, 1)</f>
        <v>#ERROR!</v>
      </c>
      <c r="J1609" s="50" t="str">
        <f>TABLEITEM!$H$3:$H$2749-TABLEITEM!$I$3:$I$2749</f>
        <v>#ERROR!</v>
      </c>
    </row>
    <row r="1610" ht="15.75" customHeight="1">
      <c r="A1610" s="45"/>
      <c r="B1610" s="10" t="s">
        <v>1897</v>
      </c>
      <c r="C1610" s="26"/>
      <c r="D1610" s="10" t="s">
        <v>9140</v>
      </c>
      <c r="E1610" s="48" t="s">
        <v>1601</v>
      </c>
      <c r="F1610" s="57" t="s">
        <v>7173</v>
      </c>
      <c r="G1610" s="49">
        <f t="array" ref="G1610">MAX(IF(INSTOCK!$H$3:$H$6125=B1610,INSTOCK!$K$3:$K$6125))</f>
        <v>121.125</v>
      </c>
      <c r="H1610" s="50">
        <f t="array" ref="H1610">SUM(IF(INSTOCK!$H$3:$H$6125=B1610,INSTOCK!$I$3:$I$6125))</f>
        <v>18</v>
      </c>
      <c r="I1610" s="50" t="str">
        <f>ARRAY_CONSTRAIN(ARRAYFORMULA(SUM(IF([3]!Table13[ID]=B1610,[3]!Table13[QTY]))), 1, 1)</f>
        <v>#ERROR!</v>
      </c>
      <c r="J1610" s="50" t="str">
        <f>TABLEITEM!$H$3:$H$2749-TABLEITEM!$I$3:$I$2749</f>
        <v>#ERROR!</v>
      </c>
    </row>
    <row r="1611" ht="15.75" customHeight="1">
      <c r="A1611" s="45"/>
      <c r="B1611" s="18" t="s">
        <v>2054</v>
      </c>
      <c r="C1611" s="26"/>
      <c r="D1611" s="18" t="s">
        <v>9141</v>
      </c>
      <c r="E1611" s="48"/>
      <c r="F1611" s="57" t="s">
        <v>7173</v>
      </c>
      <c r="G1611" s="49">
        <f t="array" ref="G1611">MAX(IF(INSTOCK!$H$3:$H$6125=B1611,INSTOCK!$K$3:$K$6125))</f>
        <v>330</v>
      </c>
      <c r="H1611" s="50">
        <f t="array" ref="H1611">SUM(IF(INSTOCK!$H$3:$H$6125=B1611,INSTOCK!$I$3:$I$6125))</f>
        <v>3</v>
      </c>
      <c r="I1611" s="50" t="str">
        <f>ARRAY_CONSTRAIN(ARRAYFORMULA(SUM(IF([3]!Table13[ID]=B1611,[3]!Table13[QTY]))), 1, 1)</f>
        <v>#ERROR!</v>
      </c>
      <c r="J1611" s="50" t="str">
        <f>TABLEITEM!$H$3:$H$2749-TABLEITEM!$I$3:$I$2749</f>
        <v>#ERROR!</v>
      </c>
    </row>
    <row r="1612" ht="15.75" customHeight="1">
      <c r="A1612" s="45"/>
      <c r="B1612" s="10" t="s">
        <v>1513</v>
      </c>
      <c r="C1612" s="26"/>
      <c r="D1612" s="10" t="s">
        <v>9142</v>
      </c>
      <c r="E1612" s="56" t="s">
        <v>9138</v>
      </c>
      <c r="F1612" s="57" t="s">
        <v>7173</v>
      </c>
      <c r="G1612" s="49">
        <f t="array" ref="G1612">MAX(IF(INSTOCK!$H$3:$H$6125=B1612,INSTOCK!$K$3:$K$6125))</f>
        <v>648</v>
      </c>
      <c r="H1612" s="50">
        <f t="array" ref="H1612">SUM(IF(INSTOCK!$H$3:$H$6125=B1612,INSTOCK!$I$3:$I$6125))</f>
        <v>3</v>
      </c>
      <c r="I1612" s="50" t="str">
        <f>ARRAY_CONSTRAIN(ARRAYFORMULA(SUM(IF([3]!Table13[ID]=B1612,[3]!Table13[QTY]))), 1, 1)</f>
        <v>#ERROR!</v>
      </c>
      <c r="J1612" s="50" t="str">
        <f>TABLEITEM!$H$3:$H$2749-TABLEITEM!$I$3:$I$2749</f>
        <v>#ERROR!</v>
      </c>
    </row>
    <row r="1613" ht="15.75" customHeight="1">
      <c r="A1613" s="45">
        <v>256.0</v>
      </c>
      <c r="B1613" s="18" t="s">
        <v>137</v>
      </c>
      <c r="C1613" s="26"/>
      <c r="D1613" s="10" t="s">
        <v>9143</v>
      </c>
      <c r="E1613" s="48" t="s">
        <v>9144</v>
      </c>
      <c r="F1613" s="57" t="s">
        <v>7173</v>
      </c>
      <c r="G1613" s="49">
        <f t="array" ref="G1613">MAX(IF(INSTOCK!$H$3:$H$6125=B1613,INSTOCK!$K$3:$K$6125))</f>
        <v>3.5</v>
      </c>
      <c r="H1613" s="50">
        <f t="array" ref="H1613">SUM(IF(INSTOCK!$H$3:$H$6125=B1613,INSTOCK!$I$3:$I$6125))</f>
        <v>2983</v>
      </c>
      <c r="I1613" s="50" t="str">
        <f>ARRAY_CONSTRAIN(ARRAYFORMULA(SUM(IF([3]!Table13[ID]=B1613,[3]!Table13[QTY]))), 1, 1)</f>
        <v>#ERROR!</v>
      </c>
      <c r="J1613" s="50" t="str">
        <f>TABLEITEM!$H$3:$H$2749-TABLEITEM!$I$3:$I$2749</f>
        <v>#ERROR!</v>
      </c>
    </row>
    <row r="1614" ht="15.75" customHeight="1">
      <c r="A1614" s="45">
        <v>257.0</v>
      </c>
      <c r="B1614" s="10" t="s">
        <v>138</v>
      </c>
      <c r="C1614" s="26"/>
      <c r="D1614" s="10" t="s">
        <v>9145</v>
      </c>
      <c r="E1614" s="48" t="s">
        <v>9144</v>
      </c>
      <c r="F1614" s="57" t="s">
        <v>7173</v>
      </c>
      <c r="G1614" s="49">
        <f t="array" ref="G1614">MAX(IF(INSTOCK!$H$3:$H$6125=B1614,INSTOCK!$K$3:$K$6125))</f>
        <v>3.5</v>
      </c>
      <c r="H1614" s="50">
        <f t="array" ref="H1614">SUM(IF(INSTOCK!$H$3:$H$6125=B1614,INSTOCK!$I$3:$I$6125))</f>
        <v>1869</v>
      </c>
      <c r="I1614" s="50" t="str">
        <f>ARRAY_CONSTRAIN(ARRAYFORMULA(SUM(IF([3]!Table13[ID]=B1614,[3]!Table13[QTY]))), 1, 1)</f>
        <v>#ERROR!</v>
      </c>
      <c r="J1614" s="50" t="str">
        <f>TABLEITEM!$H$3:$H$2749-TABLEITEM!$I$3:$I$2749</f>
        <v>#ERROR!</v>
      </c>
    </row>
    <row r="1615" ht="15.75" customHeight="1">
      <c r="A1615" s="45"/>
      <c r="B1615" s="18" t="s">
        <v>2175</v>
      </c>
      <c r="C1615" s="26"/>
      <c r="D1615" s="18" t="s">
        <v>9146</v>
      </c>
      <c r="E1615" s="56" t="s">
        <v>2231</v>
      </c>
      <c r="F1615" s="57" t="s">
        <v>7173</v>
      </c>
      <c r="G1615" s="49">
        <f t="array" ref="G1615">MAX(IF(INSTOCK!$H$3:$H$6125=B1615,INSTOCK!$K$3:$K$6125))</f>
        <v>1225</v>
      </c>
      <c r="H1615" s="50">
        <f t="array" ref="H1615">SUM(IF(INSTOCK!$H$3:$H$6125=B1615,INSTOCK!$I$3:$I$6125))</f>
        <v>8</v>
      </c>
      <c r="I1615" s="50" t="str">
        <f>ARRAY_CONSTRAIN(ARRAYFORMULA(SUM(IF([3]!Table13[ID]=B1615,[3]!Table13[QTY]))), 1, 1)</f>
        <v>#ERROR!</v>
      </c>
      <c r="J1615" s="50" t="str">
        <f>TABLEITEM!$H$3:$H$2749-TABLEITEM!$I$3:$I$2749</f>
        <v>#ERROR!</v>
      </c>
    </row>
    <row r="1616" ht="15.75" customHeight="1">
      <c r="A1616" s="45"/>
      <c r="B1616" s="18" t="s">
        <v>1731</v>
      </c>
      <c r="C1616" s="26"/>
      <c r="D1616" s="18" t="s">
        <v>9147</v>
      </c>
      <c r="E1616" s="56" t="s">
        <v>2231</v>
      </c>
      <c r="F1616" s="57" t="s">
        <v>7173</v>
      </c>
      <c r="G1616" s="49">
        <f t="array" ref="G1616">MAX(IF(INSTOCK!$H$3:$H$6125=B1616,INSTOCK!$K$3:$K$6125))</f>
        <v>5390</v>
      </c>
      <c r="H1616" s="50">
        <f t="array" ref="H1616">SUM(IF(INSTOCK!$H$3:$H$6125=B1616,INSTOCK!$I$3:$I$6125))</f>
        <v>5</v>
      </c>
      <c r="I1616" s="50" t="str">
        <f>ARRAY_CONSTRAIN(ARRAYFORMULA(SUM(IF([3]!Table13[ID]=B1616,[3]!Table13[QTY]))), 1, 1)</f>
        <v>#ERROR!</v>
      </c>
      <c r="J1616" s="50" t="str">
        <f>TABLEITEM!$H$3:$H$2749-TABLEITEM!$I$3:$I$2749</f>
        <v>#ERROR!</v>
      </c>
    </row>
    <row r="1617" ht="15.75" customHeight="1">
      <c r="A1617" s="45">
        <v>349.0</v>
      </c>
      <c r="B1617" s="18" t="s">
        <v>234</v>
      </c>
      <c r="C1617" s="26"/>
      <c r="D1617" s="18" t="s">
        <v>9148</v>
      </c>
      <c r="E1617" s="56" t="s">
        <v>1831</v>
      </c>
      <c r="F1617" s="57" t="s">
        <v>7173</v>
      </c>
      <c r="G1617" s="49">
        <f t="array" ref="G1617">MAX(IF(INSTOCK!$H$3:$H$6125=B1617,INSTOCK!$K$3:$K$6125))</f>
        <v>3</v>
      </c>
      <c r="H1617" s="50">
        <f t="array" ref="H1617">SUM(IF(INSTOCK!$H$3:$H$6125=B1617,INSTOCK!$I$3:$I$6125))</f>
        <v>0</v>
      </c>
      <c r="I1617" s="50" t="str">
        <f>ARRAY_CONSTRAIN(ARRAYFORMULA(SUM(IF([3]!Table13[ID]=B1617,[3]!Table13[QTY]))), 1, 1)</f>
        <v>#ERROR!</v>
      </c>
      <c r="J1617" s="50" t="str">
        <f>TABLEITEM!$H$3:$H$2749-TABLEITEM!$I$3:$I$2749</f>
        <v>#ERROR!</v>
      </c>
    </row>
    <row r="1618" ht="15.75" customHeight="1">
      <c r="A1618" s="45">
        <v>350.0</v>
      </c>
      <c r="B1618" s="18" t="s">
        <v>235</v>
      </c>
      <c r="C1618" s="26"/>
      <c r="D1618" s="18" t="s">
        <v>9149</v>
      </c>
      <c r="E1618" s="56" t="s">
        <v>1831</v>
      </c>
      <c r="F1618" s="57" t="s">
        <v>7173</v>
      </c>
      <c r="G1618" s="49">
        <f t="array" ref="G1618">MAX(IF(INSTOCK!$H$3:$H$6125=B1618,INSTOCK!$K$3:$K$6125))</f>
        <v>3</v>
      </c>
      <c r="H1618" s="50">
        <f t="array" ref="H1618">SUM(IF(INSTOCK!$H$3:$H$6125=B1618,INSTOCK!$I$3:$I$6125))</f>
        <v>1815</v>
      </c>
      <c r="I1618" s="50" t="str">
        <f>ARRAY_CONSTRAIN(ARRAYFORMULA(SUM(IF([3]!Table13[ID]=B1618,[3]!Table13[QTY]))), 1, 1)</f>
        <v>#ERROR!</v>
      </c>
      <c r="J1618" s="50" t="str">
        <f>TABLEITEM!$H$3:$H$2749-TABLEITEM!$I$3:$I$2749</f>
        <v>#ERROR!</v>
      </c>
    </row>
    <row r="1619" ht="15.75" customHeight="1">
      <c r="A1619" s="45">
        <v>356.0</v>
      </c>
      <c r="B1619" s="18" t="s">
        <v>241</v>
      </c>
      <c r="C1619" s="26"/>
      <c r="D1619" s="18" t="s">
        <v>9150</v>
      </c>
      <c r="E1619" s="56" t="s">
        <v>1831</v>
      </c>
      <c r="F1619" s="57" t="s">
        <v>7173</v>
      </c>
      <c r="G1619" s="49">
        <f t="array" ref="G1619">MAX(IF(INSTOCK!$H$3:$H$6125=B1619,INSTOCK!$K$3:$K$6125))</f>
        <v>25</v>
      </c>
      <c r="H1619" s="50">
        <f t="array" ref="H1619">SUM(IF(INSTOCK!$H$3:$H$6125=B1619,INSTOCK!$I$3:$I$6125))</f>
        <v>0</v>
      </c>
      <c r="I1619" s="50" t="str">
        <f>ARRAY_CONSTRAIN(ARRAYFORMULA(SUM(IF([3]!Table13[ID]=B1619,[3]!Table13[QTY]))), 1, 1)</f>
        <v>#ERROR!</v>
      </c>
      <c r="J1619" s="50" t="str">
        <f>TABLEITEM!$H$3:$H$2749-TABLEITEM!$I$3:$I$2749</f>
        <v>#ERROR!</v>
      </c>
    </row>
    <row r="1620" ht="15.75" customHeight="1">
      <c r="A1620" s="45">
        <v>348.0</v>
      </c>
      <c r="B1620" s="18" t="s">
        <v>233</v>
      </c>
      <c r="C1620" s="26"/>
      <c r="D1620" s="18" t="s">
        <v>9151</v>
      </c>
      <c r="E1620" s="56" t="s">
        <v>1831</v>
      </c>
      <c r="F1620" s="57" t="s">
        <v>7173</v>
      </c>
      <c r="G1620" s="49">
        <f t="array" ref="G1620">MAX(IF(INSTOCK!$H$3:$H$6125=B1620,INSTOCK!$K$3:$K$6125))</f>
        <v>3</v>
      </c>
      <c r="H1620" s="50">
        <f t="array" ref="H1620">SUM(IF(INSTOCK!$H$3:$H$6125=B1620,INSTOCK!$I$3:$I$6125))</f>
        <v>1732</v>
      </c>
      <c r="I1620" s="50" t="str">
        <f>ARRAY_CONSTRAIN(ARRAYFORMULA(SUM(IF([3]!Table13[ID]=B1620,[3]!Table13[QTY]))), 1, 1)</f>
        <v>#ERROR!</v>
      </c>
      <c r="J1620" s="50" t="str">
        <f>TABLEITEM!$H$3:$H$2749-TABLEITEM!$I$3:$I$2749</f>
        <v>#ERROR!</v>
      </c>
    </row>
    <row r="1621" ht="15.75" customHeight="1">
      <c r="A1621" s="45">
        <v>355.0</v>
      </c>
      <c r="B1621" s="10" t="s">
        <v>240</v>
      </c>
      <c r="C1621" s="26"/>
      <c r="D1621" s="18" t="s">
        <v>9152</v>
      </c>
      <c r="E1621" s="56" t="s">
        <v>1831</v>
      </c>
      <c r="F1621" s="57" t="s">
        <v>7173</v>
      </c>
      <c r="G1621" s="49">
        <f t="array" ref="G1621">MAX(IF(INSTOCK!$H$3:$H$6125=B1621,INSTOCK!$K$3:$K$6125))</f>
        <v>17</v>
      </c>
      <c r="H1621" s="50">
        <f t="array" ref="H1621">SUM(IF(INSTOCK!$H$3:$H$6125=B1621,INSTOCK!$I$3:$I$6125))</f>
        <v>625</v>
      </c>
      <c r="I1621" s="50" t="str">
        <f>ARRAY_CONSTRAIN(ARRAYFORMULA(SUM(IF([3]!Table13[ID]=B1621,[3]!Table13[QTY]))), 1, 1)</f>
        <v>#ERROR!</v>
      </c>
      <c r="J1621" s="50" t="str">
        <f>TABLEITEM!$H$3:$H$2749-TABLEITEM!$I$3:$I$2749</f>
        <v>#ERROR!</v>
      </c>
    </row>
    <row r="1622" ht="15.75" customHeight="1">
      <c r="A1622" s="45">
        <v>347.0</v>
      </c>
      <c r="B1622" s="18" t="s">
        <v>232</v>
      </c>
      <c r="C1622" s="26"/>
      <c r="D1622" s="18" t="s">
        <v>9153</v>
      </c>
      <c r="E1622" s="56" t="s">
        <v>1831</v>
      </c>
      <c r="F1622" s="57" t="s">
        <v>7173</v>
      </c>
      <c r="G1622" s="49">
        <f t="array" ref="G1622">MAX(IF(INSTOCK!$H$3:$H$6125=B1622,INSTOCK!$K$3:$K$6125))</f>
        <v>1.65</v>
      </c>
      <c r="H1622" s="50">
        <f t="array" ref="H1622">SUM(IF(INSTOCK!$H$3:$H$6125=B1622,INSTOCK!$I$3:$I$6125))</f>
        <v>1814</v>
      </c>
      <c r="I1622" s="50" t="str">
        <f>ARRAY_CONSTRAIN(ARRAYFORMULA(SUM(IF([3]!Table13[ID]=B1622,[3]!Table13[QTY]))), 1, 1)</f>
        <v>#ERROR!</v>
      </c>
      <c r="J1622" s="50" t="str">
        <f>TABLEITEM!$H$3:$H$2749-TABLEITEM!$I$3:$I$2749</f>
        <v>#ERROR!</v>
      </c>
    </row>
    <row r="1623" ht="15.75" customHeight="1">
      <c r="A1623" s="45">
        <v>354.0</v>
      </c>
      <c r="B1623" s="10" t="s">
        <v>239</v>
      </c>
      <c r="C1623" s="26"/>
      <c r="D1623" s="10" t="s">
        <v>9154</v>
      </c>
      <c r="E1623" s="48" t="s">
        <v>1831</v>
      </c>
      <c r="F1623" s="57" t="s">
        <v>7173</v>
      </c>
      <c r="G1623" s="49">
        <f t="array" ref="G1623">MAX(IF(INSTOCK!$H$3:$H$6125=B1623,INSTOCK!$K$3:$K$6125))</f>
        <v>8</v>
      </c>
      <c r="H1623" s="50">
        <f t="array" ref="H1623">SUM(IF(INSTOCK!$H$3:$H$6125=B1623,INSTOCK!$I$3:$I$6125))</f>
        <v>817</v>
      </c>
      <c r="I1623" s="50" t="str">
        <f>ARRAY_CONSTRAIN(ARRAYFORMULA(SUM(IF([3]!Table13[ID]=B1623,[3]!Table13[QTY]))), 1, 1)</f>
        <v>#ERROR!</v>
      </c>
      <c r="J1623" s="50" t="str">
        <f>TABLEITEM!$H$3:$H$2749-TABLEITEM!$I$3:$I$2749</f>
        <v>#ERROR!</v>
      </c>
    </row>
    <row r="1624" ht="15.75" customHeight="1">
      <c r="A1624" s="45">
        <v>353.0</v>
      </c>
      <c r="B1624" s="18" t="s">
        <v>238</v>
      </c>
      <c r="C1624" s="26"/>
      <c r="D1624" s="18" t="s">
        <v>9155</v>
      </c>
      <c r="E1624" s="56" t="s">
        <v>1831</v>
      </c>
      <c r="F1624" s="57" t="s">
        <v>7173</v>
      </c>
      <c r="G1624" s="49">
        <f t="array" ref="G1624">MAX(IF(INSTOCK!$H$3:$H$6125=B1624,INSTOCK!$K$3:$K$6125))</f>
        <v>8</v>
      </c>
      <c r="H1624" s="50">
        <f t="array" ref="H1624">SUM(IF(INSTOCK!$H$3:$H$6125=B1624,INSTOCK!$I$3:$I$6125))</f>
        <v>121</v>
      </c>
      <c r="I1624" s="50" t="str">
        <f>ARRAY_CONSTRAIN(ARRAYFORMULA(SUM(IF([3]!Table13[ID]=B1624,[3]!Table13[QTY]))), 1, 1)</f>
        <v>#ERROR!</v>
      </c>
      <c r="J1624" s="50" t="str">
        <f>TABLEITEM!$H$3:$H$2749-TABLEITEM!$I$3:$I$2749</f>
        <v>#ERROR!</v>
      </c>
    </row>
    <row r="1625" ht="15.75" customHeight="1">
      <c r="A1625" s="45">
        <v>352.0</v>
      </c>
      <c r="B1625" s="18" t="s">
        <v>237</v>
      </c>
      <c r="C1625" s="26"/>
      <c r="D1625" s="18" t="s">
        <v>9156</v>
      </c>
      <c r="E1625" s="56" t="s">
        <v>1831</v>
      </c>
      <c r="F1625" s="57" t="s">
        <v>7173</v>
      </c>
      <c r="G1625" s="49">
        <f t="array" ref="G1625">MAX(IF(INSTOCK!$H$3:$H$6125=B1625,INSTOCK!$K$3:$K$6125))</f>
        <v>3.75</v>
      </c>
      <c r="H1625" s="50">
        <f t="array" ref="H1625">SUM(IF(INSTOCK!$H$3:$H$6125=B1625,INSTOCK!$I$3:$I$6125))</f>
        <v>1075</v>
      </c>
      <c r="I1625" s="50" t="str">
        <f>ARRAY_CONSTRAIN(ARRAYFORMULA(SUM(IF([3]!Table13[ID]=B1625,[3]!Table13[QTY]))), 1, 1)</f>
        <v>#ERROR!</v>
      </c>
      <c r="J1625" s="50" t="str">
        <f>TABLEITEM!$H$3:$H$2749-TABLEITEM!$I$3:$I$2749</f>
        <v>#ERROR!</v>
      </c>
    </row>
    <row r="1626" ht="15.75" customHeight="1">
      <c r="A1626" s="45">
        <v>351.0</v>
      </c>
      <c r="B1626" s="10" t="s">
        <v>236</v>
      </c>
      <c r="C1626" s="26"/>
      <c r="D1626" s="10" t="s">
        <v>9157</v>
      </c>
      <c r="E1626" s="48" t="s">
        <v>1831</v>
      </c>
      <c r="F1626" s="57" t="s">
        <v>7173</v>
      </c>
      <c r="G1626" s="49">
        <f t="array" ref="G1626">MAX(IF(INSTOCK!$H$3:$H$6125=B1626,INSTOCK!$K$3:$K$6125))</f>
        <v>3.75</v>
      </c>
      <c r="H1626" s="50">
        <f t="array" ref="H1626">SUM(IF(INSTOCK!$H$3:$H$6125=B1626,INSTOCK!$I$3:$I$6125))</f>
        <v>890</v>
      </c>
      <c r="I1626" s="50" t="str">
        <f>ARRAY_CONSTRAIN(ARRAYFORMULA(SUM(IF([3]!Table13[ID]=B1626,[3]!Table13[QTY]))), 1, 1)</f>
        <v>#ERROR!</v>
      </c>
      <c r="J1626" s="50" t="str">
        <f>TABLEITEM!$H$3:$H$2749-TABLEITEM!$I$3:$I$2749</f>
        <v>#ERROR!</v>
      </c>
    </row>
    <row r="1627" ht="15.75" customHeight="1">
      <c r="A1627" s="45">
        <v>346.0</v>
      </c>
      <c r="B1627" s="18" t="s">
        <v>231</v>
      </c>
      <c r="C1627" s="26"/>
      <c r="D1627" s="18" t="s">
        <v>9158</v>
      </c>
      <c r="E1627" s="56" t="s">
        <v>1831</v>
      </c>
      <c r="F1627" s="57" t="s">
        <v>7173</v>
      </c>
      <c r="G1627" s="49">
        <f t="array" ref="G1627">MAX(IF(INSTOCK!$H$3:$H$6125=B1627,INSTOCK!$K$3:$K$6125))</f>
        <v>1.65</v>
      </c>
      <c r="H1627" s="50">
        <f t="array" ref="H1627">SUM(IF(INSTOCK!$H$3:$H$6125=B1627,INSTOCK!$I$3:$I$6125))</f>
        <v>3508</v>
      </c>
      <c r="I1627" s="50" t="str">
        <f>ARRAY_CONSTRAIN(ARRAYFORMULA(SUM(IF([3]!Table13[ID]=B1627,[3]!Table13[QTY]))), 1, 1)</f>
        <v>#ERROR!</v>
      </c>
      <c r="J1627" s="50" t="str">
        <f>TABLEITEM!$H$3:$H$2749-TABLEITEM!$I$3:$I$2749</f>
        <v>#ERROR!</v>
      </c>
    </row>
    <row r="1628" ht="15.75" customHeight="1">
      <c r="A1628" s="45">
        <v>344.0</v>
      </c>
      <c r="B1628" s="18" t="s">
        <v>229</v>
      </c>
      <c r="C1628" s="26"/>
      <c r="D1628" s="18" t="s">
        <v>9159</v>
      </c>
      <c r="E1628" s="56" t="s">
        <v>1831</v>
      </c>
      <c r="F1628" s="57" t="s">
        <v>7173</v>
      </c>
      <c r="G1628" s="49">
        <f t="array" ref="G1628">MAX(IF(INSTOCK!$H$3:$H$6125=B1628,INSTOCK!$K$3:$K$6125))</f>
        <v>1.65</v>
      </c>
      <c r="H1628" s="50">
        <f t="array" ref="H1628">SUM(IF(INSTOCK!$H$3:$H$6125=B1628,INSTOCK!$I$3:$I$6125))</f>
        <v>0</v>
      </c>
      <c r="I1628" s="50" t="str">
        <f>ARRAY_CONSTRAIN(ARRAYFORMULA(SUM(IF([3]!Table13[ID]=B1628,[3]!Table13[QTY]))), 1, 1)</f>
        <v>#ERROR!</v>
      </c>
      <c r="J1628" s="50" t="str">
        <f>TABLEITEM!$H$3:$H$2749-TABLEITEM!$I$3:$I$2749</f>
        <v>#ERROR!</v>
      </c>
    </row>
    <row r="1629" ht="15.75" customHeight="1">
      <c r="A1629" s="45">
        <v>345.0</v>
      </c>
      <c r="B1629" s="18" t="s">
        <v>230</v>
      </c>
      <c r="C1629" s="26"/>
      <c r="D1629" s="10" t="s">
        <v>9160</v>
      </c>
      <c r="E1629" s="56" t="s">
        <v>1831</v>
      </c>
      <c r="F1629" s="57" t="s">
        <v>7173</v>
      </c>
      <c r="G1629" s="49">
        <f t="array" ref="G1629">MAX(IF(INSTOCK!$H$3:$H$6125=B1629,INSTOCK!$K$3:$K$6125))</f>
        <v>1.65</v>
      </c>
      <c r="H1629" s="50">
        <f t="array" ref="H1629">SUM(IF(INSTOCK!$H$3:$H$6125=B1629,INSTOCK!$I$3:$I$6125))</f>
        <v>3700</v>
      </c>
      <c r="I1629" s="50" t="str">
        <f>ARRAY_CONSTRAIN(ARRAYFORMULA(SUM(IF([3]!Table13[ID]=B1629,[3]!Table13[QTY]))), 1, 1)</f>
        <v>#ERROR!</v>
      </c>
      <c r="J1629" s="50" t="str">
        <f>TABLEITEM!$H$3:$H$2749-TABLEITEM!$I$3:$I$2749</f>
        <v>#ERROR!</v>
      </c>
    </row>
    <row r="1630" ht="15.75" customHeight="1">
      <c r="A1630" s="45">
        <v>342.0</v>
      </c>
      <c r="B1630" s="18" t="s">
        <v>227</v>
      </c>
      <c r="C1630" s="26"/>
      <c r="D1630" s="18" t="s">
        <v>9161</v>
      </c>
      <c r="E1630" s="56" t="s">
        <v>1831</v>
      </c>
      <c r="F1630" s="57" t="s">
        <v>7173</v>
      </c>
      <c r="G1630" s="49">
        <f t="array" ref="G1630">MAX(IF(INSTOCK!$H$3:$H$6125=B1630,INSTOCK!$K$3:$K$6125))</f>
        <v>1.65</v>
      </c>
      <c r="H1630" s="50">
        <f t="array" ref="H1630">SUM(IF(INSTOCK!$H$3:$H$6125=B1630,INSTOCK!$I$3:$I$6125))</f>
        <v>3200</v>
      </c>
      <c r="I1630" s="50" t="str">
        <f>ARRAY_CONSTRAIN(ARRAYFORMULA(SUM(IF([3]!Table13[ID]=B1630,[3]!Table13[QTY]))), 1, 1)</f>
        <v>#ERROR!</v>
      </c>
      <c r="J1630" s="50" t="str">
        <f>TABLEITEM!$H$3:$H$2749-TABLEITEM!$I$3:$I$2749</f>
        <v>#ERROR!</v>
      </c>
    </row>
    <row r="1631" ht="15.75" customHeight="1">
      <c r="A1631" s="45">
        <v>343.0</v>
      </c>
      <c r="B1631" s="18" t="s">
        <v>228</v>
      </c>
      <c r="C1631" s="26"/>
      <c r="D1631" s="18" t="s">
        <v>9162</v>
      </c>
      <c r="E1631" s="56" t="s">
        <v>1831</v>
      </c>
      <c r="F1631" s="57" t="s">
        <v>7173</v>
      </c>
      <c r="G1631" s="49">
        <f t="array" ref="G1631">MAX(IF(INSTOCK!$H$3:$H$6125=B1631,INSTOCK!$K$3:$K$6125))</f>
        <v>1.65</v>
      </c>
      <c r="H1631" s="50">
        <f t="array" ref="H1631">SUM(IF(INSTOCK!$H$3:$H$6125=B1631,INSTOCK!$I$3:$I$6125))</f>
        <v>1000</v>
      </c>
      <c r="I1631" s="50" t="str">
        <f>ARRAY_CONSTRAIN(ARRAYFORMULA(SUM(IF([3]!Table13[ID]=B1631,[3]!Table13[QTY]))), 1, 1)</f>
        <v>#ERROR!</v>
      </c>
      <c r="J1631" s="50" t="str">
        <f>TABLEITEM!$H$3:$H$2749-TABLEITEM!$I$3:$I$2749</f>
        <v>#ERROR!</v>
      </c>
    </row>
    <row r="1632" ht="15.75" customHeight="1">
      <c r="A1632" s="45"/>
      <c r="B1632" s="10" t="s">
        <v>1917</v>
      </c>
      <c r="C1632" s="26"/>
      <c r="D1632" s="10" t="s">
        <v>9163</v>
      </c>
      <c r="E1632" s="48" t="s">
        <v>1487</v>
      </c>
      <c r="F1632" s="57" t="s">
        <v>7173</v>
      </c>
      <c r="G1632" s="49">
        <f t="array" ref="G1632">MAX(IF(INSTOCK!$H$3:$H$6125=B1632,INSTOCK!$K$3:$K$6125))</f>
        <v>23493</v>
      </c>
      <c r="H1632" s="50">
        <f t="array" ref="H1632">SUM(IF(INSTOCK!$H$3:$H$6125=B1632,INSTOCK!$I$3:$I$6125))</f>
        <v>1</v>
      </c>
      <c r="I1632" s="50" t="str">
        <f>ARRAY_CONSTRAIN(ARRAYFORMULA(SUM(IF([3]!Table13[ID]=B1632,[3]!Table13[QTY]))), 1, 1)</f>
        <v>#ERROR!</v>
      </c>
      <c r="J1632" s="50" t="str">
        <f>TABLEITEM!$H$3:$H$2749-TABLEITEM!$I$3:$I$2749</f>
        <v>#ERROR!</v>
      </c>
    </row>
    <row r="1633" ht="15.75" customHeight="1">
      <c r="A1633" s="45"/>
      <c r="B1633" s="18" t="s">
        <v>2132</v>
      </c>
      <c r="C1633" s="26"/>
      <c r="D1633" s="18" t="s">
        <v>9164</v>
      </c>
      <c r="E1633" s="48" t="s">
        <v>1487</v>
      </c>
      <c r="F1633" s="57" t="s">
        <v>7173</v>
      </c>
      <c r="G1633" s="49">
        <f t="array" ref="G1633">MAX(IF(INSTOCK!$H$3:$H$6125=B1633,INSTOCK!$K$3:$K$6125))</f>
        <v>28208</v>
      </c>
      <c r="H1633" s="50">
        <f t="array" ref="H1633">SUM(IF(INSTOCK!$H$3:$H$6125=B1633,INSTOCK!$I$3:$I$6125))</f>
        <v>1</v>
      </c>
      <c r="I1633" s="50" t="str">
        <f>ARRAY_CONSTRAIN(ARRAYFORMULA(SUM(IF([3]!Table13[ID]=B1633,[3]!Table13[QTY]))), 1, 1)</f>
        <v>#ERROR!</v>
      </c>
      <c r="J1633" s="50" t="str">
        <f>TABLEITEM!$H$3:$H$2749-TABLEITEM!$I$3:$I$2749</f>
        <v>#ERROR!</v>
      </c>
    </row>
    <row r="1634" ht="15.75" customHeight="1">
      <c r="A1634" s="45"/>
      <c r="B1634" s="18" t="s">
        <v>2246</v>
      </c>
      <c r="C1634" s="26"/>
      <c r="D1634" s="18" t="s">
        <v>9165</v>
      </c>
      <c r="E1634" s="56" t="s">
        <v>1504</v>
      </c>
      <c r="F1634" s="57" t="s">
        <v>7173</v>
      </c>
      <c r="G1634" s="49">
        <f t="array" ref="G1634">MAX(IF(INSTOCK!$H$3:$H$6125=B1634,INSTOCK!$K$3:$K$6125))</f>
        <v>382.6</v>
      </c>
      <c r="H1634" s="50">
        <f t="array" ref="H1634">SUM(IF(INSTOCK!$H$3:$H$6125=B1634,INSTOCK!$I$3:$I$6125))</f>
        <v>10</v>
      </c>
      <c r="I1634" s="50" t="str">
        <f>ARRAY_CONSTRAIN(ARRAYFORMULA(SUM(IF([3]!Table13[ID]=B1634,[3]!Table13[QTY]))), 1, 1)</f>
        <v>#ERROR!</v>
      </c>
      <c r="J1634" s="50" t="str">
        <f>TABLEITEM!$H$3:$H$2749-TABLEITEM!$I$3:$I$2749</f>
        <v>#ERROR!</v>
      </c>
    </row>
    <row r="1635" ht="15.75" customHeight="1">
      <c r="A1635" s="45"/>
      <c r="B1635" s="18" t="s">
        <v>2244</v>
      </c>
      <c r="C1635" s="26"/>
      <c r="D1635" s="18" t="s">
        <v>9166</v>
      </c>
      <c r="E1635" s="56" t="s">
        <v>1504</v>
      </c>
      <c r="F1635" s="57" t="s">
        <v>7173</v>
      </c>
      <c r="G1635" s="49">
        <f t="array" ref="G1635">MAX(IF(INSTOCK!$H$3:$H$6125=B1635,INSTOCK!$K$3:$K$6125))</f>
        <v>314.2156</v>
      </c>
      <c r="H1635" s="50">
        <f t="array" ref="H1635">SUM(IF(INSTOCK!$H$3:$H$6125=B1635,INSTOCK!$I$3:$I$6125))</f>
        <v>48</v>
      </c>
      <c r="I1635" s="50" t="str">
        <f>ARRAY_CONSTRAIN(ARRAYFORMULA(SUM(IF([3]!Table13[ID]=B1635,[3]!Table13[QTY]))), 1, 1)</f>
        <v>#ERROR!</v>
      </c>
      <c r="J1635" s="50" t="str">
        <f>TABLEITEM!$H$3:$H$2749-TABLEITEM!$I$3:$I$2749</f>
        <v>#ERROR!</v>
      </c>
    </row>
    <row r="1636" ht="15.75" customHeight="1">
      <c r="A1636" s="45"/>
      <c r="B1636" s="18" t="s">
        <v>1559</v>
      </c>
      <c r="C1636" s="26"/>
      <c r="D1636" s="18" t="s">
        <v>9167</v>
      </c>
      <c r="E1636" s="56" t="s">
        <v>1487</v>
      </c>
      <c r="F1636" s="57" t="s">
        <v>7173</v>
      </c>
      <c r="G1636" s="49">
        <f t="array" ref="G1636">MAX(IF(INSTOCK!$H$3:$H$6125=B1636,INSTOCK!$K$3:$K$6125))</f>
        <v>1148.4</v>
      </c>
      <c r="H1636" s="50">
        <f t="array" ref="H1636">SUM(IF(INSTOCK!$H$3:$H$6125=B1636,INSTOCK!$I$3:$I$6125))</f>
        <v>9</v>
      </c>
      <c r="I1636" s="50" t="str">
        <f>ARRAY_CONSTRAIN(ARRAYFORMULA(SUM(IF([3]!Table13[ID]=B1636,[3]!Table13[QTY]))), 1, 1)</f>
        <v>#ERROR!</v>
      </c>
      <c r="J1636" s="50" t="str">
        <f>TABLEITEM!$H$3:$H$2749-TABLEITEM!$I$3:$I$2749</f>
        <v>#ERROR!</v>
      </c>
    </row>
    <row r="1637" ht="15.75" customHeight="1">
      <c r="A1637" s="45"/>
      <c r="B1637" s="10" t="s">
        <v>1558</v>
      </c>
      <c r="C1637" s="26"/>
      <c r="D1637" s="10" t="s">
        <v>9168</v>
      </c>
      <c r="E1637" s="56" t="s">
        <v>1487</v>
      </c>
      <c r="F1637" s="57" t="s">
        <v>7173</v>
      </c>
      <c r="G1637" s="49">
        <f t="array" ref="G1637">MAX(IF(INSTOCK!$H$3:$H$6125=B1637,INSTOCK!$K$3:$K$6125))</f>
        <v>387.2</v>
      </c>
      <c r="H1637" s="50">
        <f t="array" ref="H1637">SUM(IF(INSTOCK!$H$3:$H$6125=B1637,INSTOCK!$I$3:$I$6125))</f>
        <v>51</v>
      </c>
      <c r="I1637" s="50" t="str">
        <f>ARRAY_CONSTRAIN(ARRAYFORMULA(SUM(IF([3]!Table13[ID]=B1637,[3]!Table13[QTY]))), 1, 1)</f>
        <v>#ERROR!</v>
      </c>
      <c r="J1637" s="50" t="str">
        <f>TABLEITEM!$H$3:$H$2749-TABLEITEM!$I$3:$I$2749</f>
        <v>#ERROR!</v>
      </c>
    </row>
    <row r="1638" ht="15.75" customHeight="1">
      <c r="A1638" s="45"/>
      <c r="B1638" s="10" t="s">
        <v>1653</v>
      </c>
      <c r="C1638" s="26"/>
      <c r="D1638" s="10" t="s">
        <v>9169</v>
      </c>
      <c r="E1638" s="56" t="s">
        <v>1487</v>
      </c>
      <c r="F1638" s="57" t="s">
        <v>7173</v>
      </c>
      <c r="G1638" s="49">
        <f t="array" ref="G1638">MAX(IF(INSTOCK!$H$3:$H$6125=B1638,INSTOCK!$K$3:$K$6125))</f>
        <v>494.5</v>
      </c>
      <c r="H1638" s="50">
        <f t="array" ref="H1638">SUM(IF(INSTOCK!$H$3:$H$6125=B1638,INSTOCK!$I$3:$I$6125))</f>
        <v>28</v>
      </c>
      <c r="I1638" s="50" t="str">
        <f>ARRAY_CONSTRAIN(ARRAYFORMULA(SUM(IF([3]!Table13[ID]=B1638,[3]!Table13[QTY]))), 1, 1)</f>
        <v>#ERROR!</v>
      </c>
      <c r="J1638" s="50" t="str">
        <f>TABLEITEM!$H$3:$H$2749-TABLEITEM!$I$3:$I$2749</f>
        <v>#ERROR!</v>
      </c>
    </row>
    <row r="1639" ht="15.75" customHeight="1">
      <c r="A1639" s="45"/>
      <c r="B1639" s="10" t="s">
        <v>1811</v>
      </c>
      <c r="C1639" s="26"/>
      <c r="D1639" s="10" t="s">
        <v>9170</v>
      </c>
      <c r="E1639" s="56" t="s">
        <v>1504</v>
      </c>
      <c r="F1639" s="57" t="s">
        <v>7173</v>
      </c>
      <c r="G1639" s="49">
        <f t="array" ref="G1639">MAX(IF(INSTOCK!$H$3:$H$6125=B1639,INSTOCK!$K$3:$K$6125))</f>
        <v>1204</v>
      </c>
      <c r="H1639" s="50">
        <f t="array" ref="H1639">SUM(IF(INSTOCK!$H$3:$H$6125=B1639,INSTOCK!$I$3:$I$6125))</f>
        <v>3</v>
      </c>
      <c r="I1639" s="50" t="str">
        <f>ARRAY_CONSTRAIN(ARRAYFORMULA(SUM(IF([3]!Table13[ID]=B1639,[3]!Table13[QTY]))), 1, 1)</f>
        <v>#ERROR!</v>
      </c>
      <c r="J1639" s="50" t="str">
        <f>TABLEITEM!$H$3:$H$2749-TABLEITEM!$I$3:$I$2749</f>
        <v>#ERROR!</v>
      </c>
    </row>
    <row r="1640" ht="15.75" customHeight="1">
      <c r="A1640" s="45"/>
      <c r="B1640" s="18" t="s">
        <v>1801</v>
      </c>
      <c r="C1640" s="26"/>
      <c r="D1640" s="18" t="s">
        <v>9171</v>
      </c>
      <c r="E1640" s="56" t="s">
        <v>1504</v>
      </c>
      <c r="F1640" s="57" t="s">
        <v>7173</v>
      </c>
      <c r="G1640" s="49">
        <f t="array" ref="G1640">MAX(IF(INSTOCK!$H$3:$H$6125=B1640,INSTOCK!$K$3:$K$6125))</f>
        <v>578</v>
      </c>
      <c r="H1640" s="50">
        <f t="array" ref="H1640">SUM(IF(INSTOCK!$H$3:$H$6125=B1640,INSTOCK!$I$3:$I$6125))</f>
        <v>30</v>
      </c>
      <c r="I1640" s="50" t="str">
        <f>ARRAY_CONSTRAIN(ARRAYFORMULA(SUM(IF([3]!Table13[ID]=B1640,[3]!Table13[QTY]))), 1, 1)</f>
        <v>#ERROR!</v>
      </c>
      <c r="J1640" s="50" t="str">
        <f>TABLEITEM!$H$3:$H$2749-TABLEITEM!$I$3:$I$2749</f>
        <v>#ERROR!</v>
      </c>
    </row>
    <row r="1641" ht="15.75" customHeight="1">
      <c r="A1641" s="45"/>
      <c r="B1641" s="18" t="s">
        <v>1721</v>
      </c>
      <c r="C1641" s="26"/>
      <c r="D1641" s="18" t="s">
        <v>9172</v>
      </c>
      <c r="E1641" s="56" t="s">
        <v>1504</v>
      </c>
      <c r="F1641" s="57" t="s">
        <v>7173</v>
      </c>
      <c r="G1641" s="49">
        <f t="array" ref="G1641">MAX(IF(INSTOCK!$H$3:$H$6125=B1641,INSTOCK!$K$3:$K$6125))</f>
        <v>478</v>
      </c>
      <c r="H1641" s="50">
        <f t="array" ref="H1641">SUM(IF(INSTOCK!$H$3:$H$6125=B1641,INSTOCK!$I$3:$I$6125))</f>
        <v>56</v>
      </c>
      <c r="I1641" s="50" t="str">
        <f>ARRAY_CONSTRAIN(ARRAYFORMULA(SUM(IF([3]!Table13[ID]=B1641,[3]!Table13[QTY]))), 1, 1)</f>
        <v>#ERROR!</v>
      </c>
      <c r="J1641" s="50" t="str">
        <f>TABLEITEM!$H$3:$H$2749-TABLEITEM!$I$3:$I$2749</f>
        <v>#ERROR!</v>
      </c>
    </row>
    <row r="1642" ht="15.75" customHeight="1">
      <c r="A1642" s="45"/>
      <c r="B1642" s="18" t="s">
        <v>2828</v>
      </c>
      <c r="C1642" s="26"/>
      <c r="D1642" s="18" t="s">
        <v>9173</v>
      </c>
      <c r="E1642" s="56" t="s">
        <v>1487</v>
      </c>
      <c r="F1642" s="57" t="s">
        <v>7173</v>
      </c>
      <c r="G1642" s="49">
        <f t="array" ref="G1642">MAX(IF(INSTOCK!$H$3:$H$6125=B1642,INSTOCK!$K$3:$K$6125))</f>
        <v>250</v>
      </c>
      <c r="H1642" s="50">
        <f t="array" ref="H1642">SUM(IF(INSTOCK!$H$3:$H$6125=B1642,INSTOCK!$I$3:$I$6125))</f>
        <v>6</v>
      </c>
      <c r="I1642" s="50" t="str">
        <f>ARRAY_CONSTRAIN(ARRAYFORMULA(SUM(IF([3]!Table13[ID]=B1642,[3]!Table13[QTY]))), 1, 1)</f>
        <v>#ERROR!</v>
      </c>
      <c r="J1642" s="50" t="str">
        <f>TABLEITEM!$H$3:$H$2749-TABLEITEM!$I$3:$I$2749</f>
        <v>#ERROR!</v>
      </c>
    </row>
    <row r="1643" ht="15.75" customHeight="1">
      <c r="A1643" s="45"/>
      <c r="B1643" s="18" t="s">
        <v>2407</v>
      </c>
      <c r="C1643" s="26"/>
      <c r="D1643" s="18" t="s">
        <v>9174</v>
      </c>
      <c r="E1643" s="56" t="s">
        <v>1487</v>
      </c>
      <c r="F1643" s="57" t="s">
        <v>7173</v>
      </c>
      <c r="G1643" s="49">
        <f t="array" ref="G1643">MAX(IF(INSTOCK!$H$3:$H$6125=B1643,INSTOCK!$K$3:$K$6125))</f>
        <v>1092</v>
      </c>
      <c r="H1643" s="50">
        <f t="array" ref="H1643">SUM(IF(INSTOCK!$H$3:$H$6125=B1643,INSTOCK!$I$3:$I$6125))</f>
        <v>1</v>
      </c>
      <c r="I1643" s="50" t="str">
        <f>ARRAY_CONSTRAIN(ARRAYFORMULA(SUM(IF([3]!Table13[ID]=B1643,[3]!Table13[QTY]))), 1, 1)</f>
        <v>#ERROR!</v>
      </c>
      <c r="J1643" s="50" t="str">
        <f>TABLEITEM!$H$3:$H$2749-TABLEITEM!$I$3:$I$2749</f>
        <v>#ERROR!</v>
      </c>
    </row>
    <row r="1644" ht="15.75" customHeight="1">
      <c r="A1644" s="45"/>
      <c r="B1644" s="10" t="s">
        <v>2687</v>
      </c>
      <c r="C1644" s="26"/>
      <c r="D1644" s="10" t="s">
        <v>9175</v>
      </c>
      <c r="E1644" s="48"/>
      <c r="F1644" s="48" t="s">
        <v>7173</v>
      </c>
      <c r="G1644" s="49">
        <f t="array" ref="G1644">MAX(IF(INSTOCK!$H$3:$H$6125=B1644,INSTOCK!$K$3:$K$6125))</f>
        <v>690</v>
      </c>
      <c r="H1644" s="50">
        <f t="array" ref="H1644">SUM(IF(INSTOCK!$H$3:$H$6125=B1644,INSTOCK!$I$3:$I$6125))</f>
        <v>3</v>
      </c>
      <c r="I1644" s="50" t="str">
        <f>ARRAY_CONSTRAIN(ARRAYFORMULA(SUM(IF([3]!Table13[ID]=B1644,[3]!Table13[QTY]))), 1, 1)</f>
        <v>#ERROR!</v>
      </c>
      <c r="J1644" s="50" t="str">
        <f>TABLEITEM!$H$3:$H$2749-TABLEITEM!$I$3:$I$2749</f>
        <v>#ERROR!</v>
      </c>
    </row>
    <row r="1645" ht="15.75" customHeight="1">
      <c r="A1645" s="45"/>
      <c r="B1645" s="10" t="s">
        <v>1608</v>
      </c>
      <c r="C1645" s="26"/>
      <c r="D1645" s="10" t="s">
        <v>9176</v>
      </c>
      <c r="E1645" s="48" t="s">
        <v>7188</v>
      </c>
      <c r="F1645" s="57" t="s">
        <v>7173</v>
      </c>
      <c r="G1645" s="49">
        <f t="array" ref="G1645">MAX(IF(INSTOCK!$H$3:$H$6125=B1645,INSTOCK!$K$3:$K$6125))</f>
        <v>490.2</v>
      </c>
      <c r="H1645" s="50">
        <f t="array" ref="H1645">SUM(IF(INSTOCK!$H$3:$H$6125=B1645,INSTOCK!$I$3:$I$6125))</f>
        <v>51</v>
      </c>
      <c r="I1645" s="50" t="str">
        <f>ARRAY_CONSTRAIN(ARRAYFORMULA(SUM(IF([3]!Table13[ID]=B1645,[3]!Table13[QTY]))), 1, 1)</f>
        <v>#ERROR!</v>
      </c>
      <c r="J1645" s="50" t="str">
        <f>TABLEITEM!$H$3:$H$2749-TABLEITEM!$I$3:$I$2749</f>
        <v>#ERROR!</v>
      </c>
    </row>
    <row r="1646" ht="15.75" customHeight="1">
      <c r="A1646" s="45"/>
      <c r="B1646" s="10" t="s">
        <v>1703</v>
      </c>
      <c r="C1646" s="26"/>
      <c r="D1646" s="10" t="s">
        <v>9177</v>
      </c>
      <c r="E1646" s="48" t="s">
        <v>1504</v>
      </c>
      <c r="F1646" s="57" t="s">
        <v>7173</v>
      </c>
      <c r="G1646" s="49">
        <f t="array" ref="G1646">MAX(IF(INSTOCK!$H$3:$H$6125=B1646,INSTOCK!$K$3:$K$6125))</f>
        <v>2649.6</v>
      </c>
      <c r="H1646" s="50">
        <f t="array" ref="H1646">SUM(IF(INSTOCK!$H$3:$H$6125=B1646,INSTOCK!$I$3:$I$6125))</f>
        <v>7</v>
      </c>
      <c r="I1646" s="50" t="str">
        <f>ARRAY_CONSTRAIN(ARRAYFORMULA(SUM(IF([3]!Table13[ID]=B1646,[3]!Table13[QTY]))), 1, 1)</f>
        <v>#ERROR!</v>
      </c>
      <c r="J1646" s="50" t="str">
        <f>TABLEITEM!$H$3:$H$2749-TABLEITEM!$I$3:$I$2749</f>
        <v>#ERROR!</v>
      </c>
    </row>
    <row r="1647" ht="15.75" customHeight="1">
      <c r="A1647" s="45"/>
      <c r="B1647" s="18" t="s">
        <v>1697</v>
      </c>
      <c r="C1647" s="26"/>
      <c r="D1647" s="18" t="s">
        <v>9178</v>
      </c>
      <c r="E1647" s="48" t="s">
        <v>1504</v>
      </c>
      <c r="F1647" s="57" t="s">
        <v>7173</v>
      </c>
      <c r="G1647" s="49">
        <f t="array" ref="G1647">MAX(IF(INSTOCK!$H$3:$H$6125=B1647,INSTOCK!$K$3:$K$6125))</f>
        <v>1810.56</v>
      </c>
      <c r="H1647" s="50">
        <f t="array" ref="H1647">SUM(IF(INSTOCK!$H$3:$H$6125=B1647,INSTOCK!$I$3:$I$6125))</f>
        <v>7</v>
      </c>
      <c r="I1647" s="50" t="str">
        <f>ARRAY_CONSTRAIN(ARRAYFORMULA(SUM(IF([3]!Table13[ID]=B1647,[3]!Table13[QTY]))), 1, 1)</f>
        <v>#ERROR!</v>
      </c>
      <c r="J1647" s="50" t="str">
        <f>TABLEITEM!$H$3:$H$2749-TABLEITEM!$I$3:$I$2749</f>
        <v>#ERROR!</v>
      </c>
    </row>
    <row r="1648" ht="15.75" customHeight="1">
      <c r="A1648" s="45"/>
      <c r="B1648" s="18" t="s">
        <v>1700</v>
      </c>
      <c r="C1648" s="26"/>
      <c r="D1648" s="18" t="s">
        <v>9179</v>
      </c>
      <c r="E1648" s="56" t="s">
        <v>1504</v>
      </c>
      <c r="F1648" s="57" t="s">
        <v>7173</v>
      </c>
      <c r="G1648" s="49">
        <f t="array" ref="G1648">MAX(IF(INSTOCK!$H$3:$H$6125=B1648,INSTOCK!$K$3:$K$6125))</f>
        <v>1766.4</v>
      </c>
      <c r="H1648" s="50">
        <f t="array" ref="H1648">SUM(IF(INSTOCK!$H$3:$H$6125=B1648,INSTOCK!$I$3:$I$6125))</f>
        <v>2</v>
      </c>
      <c r="I1648" s="50" t="str">
        <f>ARRAY_CONSTRAIN(ARRAYFORMULA(SUM(IF([3]!Table13[ID]=B1648,[3]!Table13[QTY]))), 1, 1)</f>
        <v>#ERROR!</v>
      </c>
      <c r="J1648" s="50" t="str">
        <f>TABLEITEM!$H$3:$H$2749-TABLEITEM!$I$3:$I$2749</f>
        <v>#ERROR!</v>
      </c>
    </row>
    <row r="1649" ht="15.75" customHeight="1">
      <c r="A1649" s="45"/>
      <c r="B1649" s="10" t="s">
        <v>1694</v>
      </c>
      <c r="C1649" s="26"/>
      <c r="D1649" s="10" t="s">
        <v>9180</v>
      </c>
      <c r="E1649" s="48" t="s">
        <v>1504</v>
      </c>
      <c r="F1649" s="57" t="s">
        <v>7173</v>
      </c>
      <c r="G1649" s="49">
        <f t="array" ref="G1649">MAX(IF(INSTOCK!$H$3:$H$6125=B1649,INSTOCK!$K$3:$K$6125))</f>
        <v>1117.2482</v>
      </c>
      <c r="H1649" s="50">
        <f t="array" ref="H1649">SUM(IF(INSTOCK!$H$3:$H$6125=B1649,INSTOCK!$I$3:$I$6125))</f>
        <v>102</v>
      </c>
      <c r="I1649" s="50" t="str">
        <f>ARRAY_CONSTRAIN(ARRAYFORMULA(SUM(IF([3]!Table13[ID]=B1649,[3]!Table13[QTY]))), 1, 1)</f>
        <v>#ERROR!</v>
      </c>
      <c r="J1649" s="50" t="str">
        <f>TABLEITEM!$H$3:$H$2749-TABLEITEM!$I$3:$I$2749</f>
        <v>#ERROR!</v>
      </c>
    </row>
    <row r="1650" ht="15.75" customHeight="1">
      <c r="A1650" s="45"/>
      <c r="B1650" s="10" t="s">
        <v>1591</v>
      </c>
      <c r="C1650" s="26"/>
      <c r="D1650" s="10" t="s">
        <v>9181</v>
      </c>
      <c r="E1650" s="48" t="s">
        <v>9182</v>
      </c>
      <c r="F1650" s="57" t="s">
        <v>7173</v>
      </c>
      <c r="G1650" s="49">
        <f t="array" ref="G1650">MAX(IF(INSTOCK!$H$3:$H$6125=B1650,INSTOCK!$K$3:$K$6125))</f>
        <v>880</v>
      </c>
      <c r="H1650" s="50">
        <f t="array" ref="H1650">SUM(IF(INSTOCK!$H$3:$H$6125=B1650,INSTOCK!$I$3:$I$6125))</f>
        <v>2</v>
      </c>
      <c r="I1650" s="50" t="str">
        <f>ARRAY_CONSTRAIN(ARRAYFORMULA(SUM(IF([3]!Table13[ID]=B1650,[3]!Table13[QTY]))), 1, 1)</f>
        <v>#ERROR!</v>
      </c>
      <c r="J1650" s="50" t="str">
        <f>TABLEITEM!$H$3:$H$2749-TABLEITEM!$I$3:$I$2749</f>
        <v>#ERROR!</v>
      </c>
    </row>
    <row r="1651" ht="15.75" customHeight="1">
      <c r="A1651" s="45"/>
      <c r="B1651" s="10" t="s">
        <v>1593</v>
      </c>
      <c r="C1651" s="26"/>
      <c r="D1651" s="10" t="s">
        <v>9183</v>
      </c>
      <c r="E1651" s="48" t="s">
        <v>9182</v>
      </c>
      <c r="F1651" s="57" t="s">
        <v>7173</v>
      </c>
      <c r="G1651" s="49">
        <f t="array" ref="G1651">MAX(IF(INSTOCK!$H$3:$H$6125=B1651,INSTOCK!$K$3:$K$6125))</f>
        <v>880</v>
      </c>
      <c r="H1651" s="50">
        <f t="array" ref="H1651">SUM(IF(INSTOCK!$H$3:$H$6125=B1651,INSTOCK!$I$3:$I$6125))</f>
        <v>3</v>
      </c>
      <c r="I1651" s="50" t="str">
        <f>ARRAY_CONSTRAIN(ARRAYFORMULA(SUM(IF([3]!Table13[ID]=B1651,[3]!Table13[QTY]))), 1, 1)</f>
        <v>#ERROR!</v>
      </c>
      <c r="J1651" s="50" t="str">
        <f>TABLEITEM!$H$3:$H$2749-TABLEITEM!$I$3:$I$2749</f>
        <v>#ERROR!</v>
      </c>
    </row>
    <row r="1652" ht="15.75" customHeight="1">
      <c r="A1652" s="45"/>
      <c r="B1652" s="18" t="s">
        <v>1592</v>
      </c>
      <c r="C1652" s="26"/>
      <c r="D1652" s="18" t="s">
        <v>9184</v>
      </c>
      <c r="E1652" s="56" t="s">
        <v>9182</v>
      </c>
      <c r="F1652" s="57" t="s">
        <v>7173</v>
      </c>
      <c r="G1652" s="49">
        <f t="array" ref="G1652">MAX(IF(INSTOCK!$H$3:$H$6125=B1652,INSTOCK!$K$3:$K$6125))</f>
        <v>880</v>
      </c>
      <c r="H1652" s="50">
        <f t="array" ref="H1652">SUM(IF(INSTOCK!$H$3:$H$6125=B1652,INSTOCK!$I$3:$I$6125))</f>
        <v>1</v>
      </c>
      <c r="I1652" s="50" t="str">
        <f>ARRAY_CONSTRAIN(ARRAYFORMULA(SUM(IF([3]!Table13[ID]=B1652,[3]!Table13[QTY]))), 1, 1)</f>
        <v>#ERROR!</v>
      </c>
      <c r="J1652" s="50" t="str">
        <f>TABLEITEM!$H$3:$H$2749-TABLEITEM!$I$3:$I$2749</f>
        <v>#ERROR!</v>
      </c>
    </row>
    <row r="1653" ht="15.75" customHeight="1">
      <c r="A1653" s="45"/>
      <c r="B1653" s="10" t="s">
        <v>3060</v>
      </c>
      <c r="C1653" s="26"/>
      <c r="D1653" s="10" t="s">
        <v>9185</v>
      </c>
      <c r="E1653" s="48" t="s">
        <v>8360</v>
      </c>
      <c r="F1653" s="57"/>
      <c r="G1653" s="49">
        <f t="array" ref="G1653">MAX(IF(INSTOCK!$H$3:$H$6125=B1653,INSTOCK!$K$3:$K$6125))</f>
        <v>1672.5</v>
      </c>
      <c r="H1653" s="50">
        <f t="array" ref="H1653">SUM(IF(INSTOCK!$H$3:$H$6125=B1653,INSTOCK!$I$3:$I$6125))</f>
        <v>4</v>
      </c>
      <c r="I1653" s="50" t="str">
        <f>ARRAY_CONSTRAIN(ARRAYFORMULA(SUM(IF([3]!Table13[ID]=B1653,[3]!Table13[QTY]))), 1, 1)</f>
        <v>#ERROR!</v>
      </c>
      <c r="J1653" s="50" t="str">
        <f>TABLEITEM!$H$3:$H$2749-TABLEITEM!$I$3:$I$2749</f>
        <v>#ERROR!</v>
      </c>
    </row>
    <row r="1654" ht="15.75" customHeight="1">
      <c r="A1654" s="45"/>
      <c r="B1654" s="10" t="s">
        <v>2254</v>
      </c>
      <c r="C1654" s="26"/>
      <c r="D1654" s="10" t="s">
        <v>9186</v>
      </c>
      <c r="E1654" s="48" t="s">
        <v>1504</v>
      </c>
      <c r="F1654" s="57" t="s">
        <v>7173</v>
      </c>
      <c r="G1654" s="49">
        <f t="array" ref="G1654">MAX(IF(INSTOCK!$H$3:$H$6125=B1654,INSTOCK!$K$3:$K$6125))</f>
        <v>175</v>
      </c>
      <c r="H1654" s="50">
        <f t="array" ref="H1654">SUM(IF(INSTOCK!$H$3:$H$6125=B1654,INSTOCK!$I$3:$I$6125))</f>
        <v>31</v>
      </c>
      <c r="I1654" s="50" t="str">
        <f>ARRAY_CONSTRAIN(ARRAYFORMULA(SUM(IF([3]!Table13[ID]=B1654,[3]!Table13[QTY]))), 1, 1)</f>
        <v>#ERROR!</v>
      </c>
      <c r="J1654" s="50" t="str">
        <f>TABLEITEM!$H$3:$H$2749-TABLEITEM!$I$3:$I$2749</f>
        <v>#ERROR!</v>
      </c>
    </row>
    <row r="1655" ht="15.75" customHeight="1">
      <c r="A1655" s="45"/>
      <c r="B1655" s="18" t="s">
        <v>2518</v>
      </c>
      <c r="C1655" s="26"/>
      <c r="D1655" s="18" t="s">
        <v>9187</v>
      </c>
      <c r="E1655" s="56" t="s">
        <v>6400</v>
      </c>
      <c r="F1655" s="57" t="s">
        <v>7173</v>
      </c>
      <c r="G1655" s="49">
        <f t="array" ref="G1655">MAX(IF(INSTOCK!$H$3:$H$6125=B1655,INSTOCK!$K$3:$K$6125))</f>
        <v>9</v>
      </c>
      <c r="H1655" s="50">
        <f t="array" ref="H1655">SUM(IF(INSTOCK!$H$3:$H$6125=B1655,INSTOCK!$I$3:$I$6125))</f>
        <v>1200</v>
      </c>
      <c r="I1655" s="50" t="str">
        <f>ARRAY_CONSTRAIN(ARRAYFORMULA(SUM(IF([3]!Table13[ID]=B1655,[3]!Table13[QTY]))), 1, 1)</f>
        <v>#ERROR!</v>
      </c>
      <c r="J1655" s="50" t="str">
        <f>TABLEITEM!$H$3:$H$2749-TABLEITEM!$I$3:$I$2749</f>
        <v>#ERROR!</v>
      </c>
    </row>
    <row r="1656" ht="15.75" customHeight="1">
      <c r="A1656" s="45"/>
      <c r="B1656" s="18" t="s">
        <v>2611</v>
      </c>
      <c r="C1656" s="26"/>
      <c r="D1656" s="18" t="s">
        <v>9188</v>
      </c>
      <c r="E1656" s="56" t="s">
        <v>1487</v>
      </c>
      <c r="F1656" s="57" t="s">
        <v>7173</v>
      </c>
      <c r="G1656" s="49">
        <f t="array" ref="G1656">MAX(IF(INSTOCK!$H$3:$H$6125=B1596,INSTOCK!$K$3:$K$6125))</f>
        <v>4656</v>
      </c>
      <c r="H1656" s="50">
        <f t="array" ref="H1656">SUM(IF(INSTOCK!$H$3:$H$6125=B1656,INSTOCK!$I$3:$I$6125))</f>
        <v>3</v>
      </c>
      <c r="I1656" s="50" t="str">
        <f>ARRAY_CONSTRAIN(ARRAYFORMULA(SUM(IF([3]!Table13[ID]=B1656,[3]!Table13[QTY]))), 1, 1)</f>
        <v>#ERROR!</v>
      </c>
      <c r="J1656" s="50" t="str">
        <f>TABLEITEM!$H$3:$H$2749-TABLEITEM!$I$3:$I$2749</f>
        <v>#ERROR!</v>
      </c>
    </row>
    <row r="1657" ht="15.75" customHeight="1">
      <c r="A1657" s="45"/>
      <c r="B1657" s="10" t="s">
        <v>2483</v>
      </c>
      <c r="C1657" s="26"/>
      <c r="D1657" s="10" t="s">
        <v>9189</v>
      </c>
      <c r="E1657" s="48"/>
      <c r="F1657" s="57"/>
      <c r="G1657" s="49">
        <f t="array" ref="G1657">MAX(IF(INSTOCK!$H$3:$H$6125=B1657,INSTOCK!$K$3:$K$6125))</f>
        <v>0</v>
      </c>
      <c r="H1657" s="50">
        <f t="array" ref="H1657">SUM(IF(INSTOCK!$H$3:$H$6125=B1657,INSTOCK!$I$3:$I$6125))</f>
        <v>0</v>
      </c>
      <c r="I1657" s="50" t="str">
        <f>ARRAY_CONSTRAIN(ARRAYFORMULA(SUM(IF([3]!Table13[ID]=B1657,[3]!Table13[QTY]))), 1, 1)</f>
        <v>#ERROR!</v>
      </c>
      <c r="J1657" s="50" t="str">
        <f>TABLEITEM!$H$3:$H$2749-TABLEITEM!$I$3:$I$2749</f>
        <v>#ERROR!</v>
      </c>
    </row>
    <row r="1658" ht="15.75" customHeight="1">
      <c r="A1658" s="45"/>
      <c r="B1658" s="10" t="s">
        <v>2481</v>
      </c>
      <c r="C1658" s="26"/>
      <c r="D1658" s="18" t="s">
        <v>9190</v>
      </c>
      <c r="E1658" s="48"/>
      <c r="F1658" s="57" t="s">
        <v>7173</v>
      </c>
      <c r="G1658" s="49">
        <f t="array" ref="G1658">MAX(IF(INSTOCK!$H$3:$H$6125=B1658,INSTOCK!$K$3:$K$6125))</f>
        <v>0</v>
      </c>
      <c r="H1658" s="50">
        <f t="array" ref="H1658">SUM(IF(INSTOCK!$H$3:$H$6125=B1658,INSTOCK!$I$3:$I$6125))</f>
        <v>0</v>
      </c>
      <c r="I1658" s="50" t="str">
        <f>ARRAY_CONSTRAIN(ARRAYFORMULA(SUM(IF([3]!Table13[ID]=B1658,[3]!Table13[QTY]))), 1, 1)</f>
        <v>#ERROR!</v>
      </c>
      <c r="J1658" s="50" t="str">
        <f>TABLEITEM!$H$3:$H$2749-TABLEITEM!$I$3:$I$2749</f>
        <v>#ERROR!</v>
      </c>
    </row>
    <row r="1659" ht="15.75" customHeight="1">
      <c r="A1659" s="45"/>
      <c r="B1659" s="10" t="s">
        <v>2480</v>
      </c>
      <c r="C1659" s="26"/>
      <c r="D1659" s="10" t="s">
        <v>9191</v>
      </c>
      <c r="E1659" s="48"/>
      <c r="F1659" s="57" t="s">
        <v>7173</v>
      </c>
      <c r="G1659" s="49">
        <f t="array" ref="G1659">MAX(IF(INSTOCK!$H$3:$H$6125=B1659,INSTOCK!$K$3:$K$6125))</f>
        <v>17747.66</v>
      </c>
      <c r="H1659" s="50">
        <f t="array" ref="H1659">SUM(IF(INSTOCK!$H$3:$H$6125=B1659,INSTOCK!$I$3:$I$6125))</f>
        <v>1</v>
      </c>
      <c r="I1659" s="50" t="str">
        <f>ARRAY_CONSTRAIN(ARRAYFORMULA(SUM(IF([3]!Table13[ID]=B1659,[3]!Table13[QTY]))), 1, 1)</f>
        <v>#ERROR!</v>
      </c>
      <c r="J1659" s="50" t="str">
        <f>TABLEITEM!$H$3:$H$2749-TABLEITEM!$I$3:$I$2749</f>
        <v>#ERROR!</v>
      </c>
    </row>
    <row r="1660" ht="15.75" customHeight="1">
      <c r="A1660" s="45"/>
      <c r="B1660" s="18" t="s">
        <v>2001</v>
      </c>
      <c r="C1660" s="26"/>
      <c r="D1660" s="18" t="s">
        <v>9192</v>
      </c>
      <c r="E1660" s="56" t="s">
        <v>7188</v>
      </c>
      <c r="F1660" s="57" t="s">
        <v>7173</v>
      </c>
      <c r="G1660" s="49">
        <f t="array" ref="G1660">MAX(IF(INSTOCK!$H$3:$H$6125=B1660,INSTOCK!$K$3:$K$6125))</f>
        <v>8096</v>
      </c>
      <c r="H1660" s="50">
        <f t="array" ref="H1660">SUM(IF(INSTOCK!$H$3:$H$6125=B1660,INSTOCK!$I$3:$I$6125))</f>
        <v>4</v>
      </c>
      <c r="I1660" s="50" t="str">
        <f>ARRAY_CONSTRAIN(ARRAYFORMULA(SUM(IF([3]!Table13[ID]=B1660,[3]!Table13[QTY]))), 1, 1)</f>
        <v>#ERROR!</v>
      </c>
      <c r="J1660" s="50" t="str">
        <f>TABLEITEM!$H$3:$H$2749-TABLEITEM!$I$3:$I$2749</f>
        <v>#ERROR!</v>
      </c>
    </row>
    <row r="1661" ht="15.75" customHeight="1">
      <c r="A1661" s="45"/>
      <c r="B1661" s="10" t="s">
        <v>2000</v>
      </c>
      <c r="C1661" s="26"/>
      <c r="D1661" s="10" t="s">
        <v>9193</v>
      </c>
      <c r="E1661" s="48" t="s">
        <v>7188</v>
      </c>
      <c r="F1661" s="57" t="s">
        <v>7173</v>
      </c>
      <c r="G1661" s="49">
        <f t="array" ref="G1661">MAX(IF(INSTOCK!$H$3:$H$6125=B1661,INSTOCK!$K$3:$K$6125))</f>
        <v>1978</v>
      </c>
      <c r="H1661" s="50">
        <f t="array" ref="H1661">SUM(IF(INSTOCK!$H$3:$H$6125=B1661,INSTOCK!$I$3:$I$6125))</f>
        <v>16</v>
      </c>
      <c r="I1661" s="50" t="str">
        <f>ARRAY_CONSTRAIN(ARRAYFORMULA(SUM(IF([3]!Table13[ID]=B1661,[3]!Table13[QTY]))), 1, 1)</f>
        <v>#ERROR!</v>
      </c>
      <c r="J1661" s="50" t="str">
        <f>TABLEITEM!$H$3:$H$2749-TABLEITEM!$I$3:$I$2749</f>
        <v>#ERROR!</v>
      </c>
    </row>
    <row r="1662" ht="15.75" customHeight="1">
      <c r="A1662" s="45"/>
      <c r="B1662" s="10" t="s">
        <v>9194</v>
      </c>
      <c r="C1662" s="26"/>
      <c r="D1662" s="10" t="s">
        <v>9195</v>
      </c>
      <c r="E1662" s="48" t="s">
        <v>7437</v>
      </c>
      <c r="F1662" s="57" t="s">
        <v>7173</v>
      </c>
      <c r="G1662" s="49">
        <f t="array" ref="G1662">MAX(IF(INSTOCK!$H$3:$H$6125=B1662,INSTOCK!$K$3:$K$6125))</f>
        <v>0</v>
      </c>
      <c r="H1662" s="50">
        <f t="array" ref="H1662">SUM(IF(INSTOCK!$H$3:$H$6125=B1662,INSTOCK!$I$3:$I$6125))</f>
        <v>0</v>
      </c>
      <c r="I1662" s="50" t="str">
        <f>ARRAY_CONSTRAIN(ARRAYFORMULA(SUM(IF([3]!Table13[ID]=B1662,[3]!Table13[QTY]))), 1, 1)</f>
        <v>#ERROR!</v>
      </c>
      <c r="J1662" s="50" t="str">
        <f>TABLEITEM!$H$3:$H$2749-TABLEITEM!$I$3:$I$2749</f>
        <v>#ERROR!</v>
      </c>
    </row>
    <row r="1663" ht="15.75" customHeight="1">
      <c r="A1663" s="45"/>
      <c r="B1663" s="10" t="s">
        <v>2408</v>
      </c>
      <c r="C1663" s="26"/>
      <c r="D1663" s="10" t="s">
        <v>9196</v>
      </c>
      <c r="E1663" s="48" t="s">
        <v>1487</v>
      </c>
      <c r="F1663" s="57" t="s">
        <v>7173</v>
      </c>
      <c r="G1663" s="49">
        <f t="array" ref="G1663">MAX(IF(INSTOCK!$H$3:$H$6125=B1663,INSTOCK!$K$3:$K$6125))</f>
        <v>580</v>
      </c>
      <c r="H1663" s="50">
        <f t="array" ref="H1663">SUM(IF(INSTOCK!$H$3:$H$6125=B1663,INSTOCK!$I$3:$I$6125))</f>
        <v>1</v>
      </c>
      <c r="I1663" s="50" t="str">
        <f>ARRAY_CONSTRAIN(ARRAYFORMULA(SUM(IF([3]!Table13[ID]=B1663,[3]!Table13[QTY]))), 1, 1)</f>
        <v>#ERROR!</v>
      </c>
      <c r="J1663" s="50" t="str">
        <f>TABLEITEM!$H$3:$H$2749-TABLEITEM!$I$3:$I$2749</f>
        <v>#ERROR!</v>
      </c>
    </row>
    <row r="1664" ht="15.75" customHeight="1">
      <c r="A1664" s="45"/>
      <c r="B1664" s="10" t="s">
        <v>2410</v>
      </c>
      <c r="C1664" s="26"/>
      <c r="D1664" s="10" t="s">
        <v>9197</v>
      </c>
      <c r="E1664" s="48" t="s">
        <v>1487</v>
      </c>
      <c r="F1664" s="57" t="s">
        <v>7173</v>
      </c>
      <c r="G1664" s="49">
        <f t="array" ref="G1664">MAX(IF(INSTOCK!$H$3:$H$6125=B1664,INSTOCK!$K$3:$K$6125))</f>
        <v>90</v>
      </c>
      <c r="H1664" s="50">
        <f t="array" ref="H1664">SUM(IF(INSTOCK!$H$3:$H$6125=B1664,INSTOCK!$I$3:$I$6125))</f>
        <v>1</v>
      </c>
      <c r="I1664" s="50" t="str">
        <f>ARRAY_CONSTRAIN(ARRAYFORMULA(SUM(IF([3]!Table13[ID]=B1664,[3]!Table13[QTY]))), 1, 1)</f>
        <v>#ERROR!</v>
      </c>
      <c r="J1664" s="50" t="str">
        <f>TABLEITEM!$H$3:$H$2749-TABLEITEM!$I$3:$I$2749</f>
        <v>#ERROR!</v>
      </c>
    </row>
    <row r="1665" ht="15.75" customHeight="1">
      <c r="A1665" s="45"/>
      <c r="B1665" s="10" t="s">
        <v>2409</v>
      </c>
      <c r="C1665" s="26"/>
      <c r="D1665" s="10" t="s">
        <v>9198</v>
      </c>
      <c r="E1665" s="48" t="s">
        <v>1487</v>
      </c>
      <c r="F1665" s="57" t="s">
        <v>7173</v>
      </c>
      <c r="G1665" s="49">
        <f t="array" ref="G1665">MAX(IF(INSTOCK!$H$3:$H$6125=B1665,INSTOCK!$K$3:$K$6125))</f>
        <v>90</v>
      </c>
      <c r="H1665" s="50">
        <f t="array" ref="H1665">SUM(IF(INSTOCK!$H$3:$H$6125=B1665,INSTOCK!$I$3:$I$6125))</f>
        <v>4</v>
      </c>
      <c r="I1665" s="50" t="str">
        <f>ARRAY_CONSTRAIN(ARRAYFORMULA(SUM(IF([3]!Table13[ID]=B1665,[3]!Table13[QTY]))), 1, 1)</f>
        <v>#ERROR!</v>
      </c>
      <c r="J1665" s="50" t="str">
        <f>TABLEITEM!$H$3:$H$2749-TABLEITEM!$I$3:$I$2749</f>
        <v>#ERROR!</v>
      </c>
    </row>
    <row r="1666" ht="15.75" customHeight="1">
      <c r="A1666" s="45"/>
      <c r="B1666" s="10" t="s">
        <v>1753</v>
      </c>
      <c r="C1666" s="26"/>
      <c r="D1666" s="18" t="s">
        <v>9199</v>
      </c>
      <c r="E1666" s="56" t="s">
        <v>1487</v>
      </c>
      <c r="F1666" s="57" t="s">
        <v>7173</v>
      </c>
      <c r="G1666" s="49">
        <f t="array" ref="G1666">MAX(IF(INSTOCK!$H$3:$H$6125=B1666,INSTOCK!$K$3:$K$6125))</f>
        <v>252.15</v>
      </c>
      <c r="H1666" s="50">
        <f t="array" ref="H1666">SUM(IF(INSTOCK!$H$3:$H$6125=B1666,INSTOCK!$I$3:$I$6125))</f>
        <v>7</v>
      </c>
      <c r="I1666" s="50" t="str">
        <f>ARRAY_CONSTRAIN(ARRAYFORMULA(SUM(IF([3]!Table13[ID]=B1666,[3]!Table13[QTY]))), 1, 1)</f>
        <v>#ERROR!</v>
      </c>
      <c r="J1666" s="50" t="str">
        <f>TABLEITEM!$H$3:$H$2749-TABLEITEM!$I$3:$I$2749</f>
        <v>#ERROR!</v>
      </c>
    </row>
    <row r="1667" ht="15.75" customHeight="1">
      <c r="A1667" s="45"/>
      <c r="B1667" s="10" t="s">
        <v>2324</v>
      </c>
      <c r="C1667" s="26"/>
      <c r="D1667" s="10" t="s">
        <v>9200</v>
      </c>
      <c r="E1667" s="48" t="s">
        <v>1487</v>
      </c>
      <c r="F1667" s="57" t="s">
        <v>7173</v>
      </c>
      <c r="G1667" s="49">
        <f t="array" ref="G1667">MAX(IF(INSTOCK!$H$3:$H$6125=B1667,INSTOCK!$K$3:$K$6125))</f>
        <v>446.9</v>
      </c>
      <c r="H1667" s="50">
        <f t="array" ref="H1667">SUM(IF(INSTOCK!$H$3:$H$6125=B1667,INSTOCK!$I$3:$I$6125))</f>
        <v>2</v>
      </c>
      <c r="I1667" s="50" t="str">
        <f>ARRAY_CONSTRAIN(ARRAYFORMULA(SUM(IF([3]!Table13[ID]=B1667,[3]!Table13[QTY]))), 1, 1)</f>
        <v>#ERROR!</v>
      </c>
      <c r="J1667" s="50" t="str">
        <f>TABLEITEM!$H$3:$H$2749-TABLEITEM!$I$3:$I$2749</f>
        <v>#ERROR!</v>
      </c>
    </row>
    <row r="1668" ht="15.75" customHeight="1">
      <c r="A1668" s="45"/>
      <c r="B1668" s="10" t="s">
        <v>2689</v>
      </c>
      <c r="C1668" s="26"/>
      <c r="D1668" s="10" t="s">
        <v>9201</v>
      </c>
      <c r="E1668" s="48"/>
      <c r="F1668" s="57" t="s">
        <v>8129</v>
      </c>
      <c r="G1668" s="49">
        <f t="array" ref="G1668">MAX(IF(INSTOCK!$H$3:$H$6125=B1668,INSTOCK!$K$3:$K$6125))</f>
        <v>8000</v>
      </c>
      <c r="H1668" s="50">
        <f t="array" ref="H1668">SUM(IF(INSTOCK!$H$3:$H$6125=B1668,INSTOCK!$I$3:$I$6125))</f>
        <v>8</v>
      </c>
      <c r="I1668" s="50" t="str">
        <f>ARRAY_CONSTRAIN(ARRAYFORMULA(SUM(IF([3]!Table13[ID]=B1668,[3]!Table13[QTY]))), 1, 1)</f>
        <v>#ERROR!</v>
      </c>
      <c r="J1668" s="50" t="str">
        <f>TABLEITEM!$H$3:$H$2749-TABLEITEM!$I$3:$I$2749</f>
        <v>#ERROR!</v>
      </c>
    </row>
    <row r="1669" ht="15.75" customHeight="1">
      <c r="A1669" s="45"/>
      <c r="B1669" s="10" t="s">
        <v>2564</v>
      </c>
      <c r="C1669" s="26"/>
      <c r="D1669" s="10" t="s">
        <v>2564</v>
      </c>
      <c r="E1669" s="48" t="s">
        <v>9202</v>
      </c>
      <c r="F1669" s="57" t="s">
        <v>7173</v>
      </c>
      <c r="G1669" s="49">
        <f t="array" ref="G1669">MAX(IF(INSTOCK!$H$3:$H$6125=B1669,INSTOCK!$K$3:$K$6125))</f>
        <v>250</v>
      </c>
      <c r="H1669" s="50">
        <f t="array" ref="H1669">SUM(IF(INSTOCK!$H$3:$H$6125=B1669,INSTOCK!$I$3:$I$6125))</f>
        <v>4</v>
      </c>
      <c r="I1669" s="50" t="str">
        <f>ARRAY_CONSTRAIN(ARRAYFORMULA(SUM(IF([3]!Table13[ID]=B1669,[3]!Table13[QTY]))), 1, 1)</f>
        <v>#ERROR!</v>
      </c>
      <c r="J1669" s="50" t="str">
        <f>TABLEITEM!$H$3:$H$2749-TABLEITEM!$I$3:$I$2749</f>
        <v>#ERROR!</v>
      </c>
    </row>
    <row r="1670" ht="15.75" customHeight="1">
      <c r="A1670" s="45"/>
      <c r="B1670" s="10" t="s">
        <v>2210</v>
      </c>
      <c r="C1670" s="26"/>
      <c r="D1670" s="10" t="s">
        <v>9203</v>
      </c>
      <c r="E1670" s="48"/>
      <c r="F1670" s="57" t="s">
        <v>7173</v>
      </c>
      <c r="G1670" s="49">
        <f t="array" ref="G1670">MAX(IF(INSTOCK!$H$3:$H$6125=B1670,INSTOCK!$K$3:$K$6125))</f>
        <v>8700</v>
      </c>
      <c r="H1670" s="50">
        <f t="array" ref="H1670">SUM(IF(INSTOCK!$H$3:$H$6125=B1670,INSTOCK!$I$3:$I$6125))</f>
        <v>1</v>
      </c>
      <c r="I1670" s="50" t="str">
        <f>ARRAY_CONSTRAIN(ARRAYFORMULA(SUM(IF([3]!Table13[ID]=B1670,[3]!Table13[QTY]))), 1, 1)</f>
        <v>#ERROR!</v>
      </c>
      <c r="J1670" s="50" t="str">
        <f>TABLEITEM!$H$3:$H$2749-TABLEITEM!$I$3:$I$2749</f>
        <v>#ERROR!</v>
      </c>
    </row>
    <row r="1671" ht="15.75" customHeight="1">
      <c r="A1671" s="45"/>
      <c r="B1671" s="10" t="s">
        <v>2209</v>
      </c>
      <c r="C1671" s="26"/>
      <c r="D1671" s="10" t="s">
        <v>9204</v>
      </c>
      <c r="E1671" s="48"/>
      <c r="F1671" s="57" t="s">
        <v>7173</v>
      </c>
      <c r="G1671" s="49">
        <f t="array" ref="G1671">MAX(IF(INSTOCK!$H$3:$H$6125=B1671,INSTOCK!$K$3:$K$6125))</f>
        <v>9600</v>
      </c>
      <c r="H1671" s="50">
        <f t="array" ref="H1671">SUM(IF(INSTOCK!$H$3:$H$6125=B1671,INSTOCK!$I$3:$I$6125))</f>
        <v>1</v>
      </c>
      <c r="I1671" s="50" t="str">
        <f>ARRAY_CONSTRAIN(ARRAYFORMULA(SUM(IF([3]!Table13[ID]=B1671,[3]!Table13[QTY]))), 1, 1)</f>
        <v>#ERROR!</v>
      </c>
      <c r="J1671" s="50" t="str">
        <f>TABLEITEM!$H$3:$H$2749-TABLEITEM!$I$3:$I$2749</f>
        <v>#ERROR!</v>
      </c>
    </row>
    <row r="1672" ht="15.75" customHeight="1">
      <c r="A1672" s="45"/>
      <c r="B1672" s="10" t="s">
        <v>9205</v>
      </c>
      <c r="C1672" s="26"/>
      <c r="D1672" s="10" t="s">
        <v>9206</v>
      </c>
      <c r="E1672" s="48" t="s">
        <v>8755</v>
      </c>
      <c r="F1672" s="57" t="s">
        <v>7173</v>
      </c>
      <c r="G1672" s="49">
        <f t="array" ref="G1672">MAX(IF(INSTOCK!$H$3:$H$6125=B1672,INSTOCK!$K$3:$K$6125))</f>
        <v>0</v>
      </c>
      <c r="H1672" s="50">
        <f t="array" ref="H1672">SUM(IF(INSTOCK!$H$3:$H$6125=B1672,INSTOCK!$I$3:$I$6125))</f>
        <v>0</v>
      </c>
      <c r="I1672" s="50" t="str">
        <f>ARRAY_CONSTRAIN(ARRAYFORMULA(SUM(IF([3]!Table13[ID]=B1672,[3]!Table13[QTY]))), 1, 1)</f>
        <v>#ERROR!</v>
      </c>
      <c r="J1672" s="50" t="str">
        <f>TABLEITEM!$H$3:$H$2749-TABLEITEM!$I$3:$I$2749</f>
        <v>#ERROR!</v>
      </c>
    </row>
    <row r="1673" ht="15.75" customHeight="1">
      <c r="A1673" s="45"/>
      <c r="B1673" s="10" t="s">
        <v>3314</v>
      </c>
      <c r="C1673" s="26"/>
      <c r="D1673" s="10" t="s">
        <v>9207</v>
      </c>
      <c r="E1673" s="48" t="s">
        <v>3313</v>
      </c>
      <c r="F1673" s="57" t="s">
        <v>7173</v>
      </c>
      <c r="G1673" s="49">
        <f t="array" ref="G1673">MAX(IF(INSTOCK!$H$3:$H$6125=B1673,INSTOCK!$K$3:$K$6125))</f>
        <v>160</v>
      </c>
      <c r="H1673" s="50">
        <f t="array" ref="H1673">SUM(IF(INSTOCK!$H$3:$H$6125=B1673,INSTOCK!$I$3:$I$6125))</f>
        <v>1</v>
      </c>
      <c r="I1673" s="50" t="str">
        <f>ARRAY_CONSTRAIN(ARRAYFORMULA(SUM(IF([3]!Table13[ID]=B1673,[3]!Table13[QTY]))), 1, 1)</f>
        <v>#ERROR!</v>
      </c>
      <c r="J1673" s="50" t="str">
        <f>TABLEITEM!$H$3:$H$2749-TABLEITEM!$I$3:$I$2749</f>
        <v>#ERROR!</v>
      </c>
    </row>
    <row r="1674" ht="15.75" customHeight="1">
      <c r="A1674" s="45"/>
      <c r="B1674" s="10" t="s">
        <v>2792</v>
      </c>
      <c r="C1674" s="26"/>
      <c r="D1674" s="10" t="s">
        <v>9208</v>
      </c>
      <c r="E1674" s="48" t="s">
        <v>8757</v>
      </c>
      <c r="F1674" s="57" t="s">
        <v>7173</v>
      </c>
      <c r="G1674" s="49">
        <f t="array" ref="G1674">MAX(IF(INSTOCK!$H$3:$H$6125=B1674,INSTOCK!$K$3:$K$6125))</f>
        <v>160</v>
      </c>
      <c r="H1674" s="50">
        <f t="array" ref="H1674">SUM(IF(INSTOCK!$H$3:$H$6125=B1674,INSTOCK!$I$3:$I$6125))</f>
        <v>3</v>
      </c>
      <c r="I1674" s="50" t="str">
        <f>ARRAY_CONSTRAIN(ARRAYFORMULA(SUM(IF([3]!Table13[ID]=B1674,[3]!Table13[QTY]))), 1, 1)</f>
        <v>#ERROR!</v>
      </c>
      <c r="J1674" s="50" t="str">
        <f>TABLEITEM!$H$3:$H$2749-TABLEITEM!$I$3:$I$2749</f>
        <v>#ERROR!</v>
      </c>
    </row>
    <row r="1675" ht="15.75" customHeight="1">
      <c r="A1675" s="45"/>
      <c r="B1675" s="26" t="s">
        <v>2213</v>
      </c>
      <c r="C1675" s="26"/>
      <c r="D1675" s="10" t="s">
        <v>9209</v>
      </c>
      <c r="E1675" s="48"/>
      <c r="F1675" s="57" t="s">
        <v>7173</v>
      </c>
      <c r="G1675" s="49">
        <f t="array" ref="G1675">MAX(IF(INSTOCK!$H$3:$H$6125=B1675,INSTOCK!$K$3:$K$6125))</f>
        <v>450</v>
      </c>
      <c r="H1675" s="50">
        <f t="array" ref="H1675">SUM(IF(INSTOCK!$H$3:$H$6125=B1675,INSTOCK!$I$3:$I$6125))</f>
        <v>2</v>
      </c>
      <c r="I1675" s="50" t="str">
        <f>ARRAY_CONSTRAIN(ARRAYFORMULA(SUM(IF([3]!Table13[ID]=B1675,[3]!Table13[QTY]))), 1, 1)</f>
        <v>#ERROR!</v>
      </c>
      <c r="J1675" s="50" t="str">
        <f>TABLEITEM!$H$3:$H$2749-TABLEITEM!$I$3:$I$2749</f>
        <v>#ERROR!</v>
      </c>
    </row>
    <row r="1676" ht="15.75" customHeight="1">
      <c r="A1676" s="45"/>
      <c r="B1676" s="10" t="s">
        <v>2214</v>
      </c>
      <c r="C1676" s="26"/>
      <c r="D1676" s="10" t="s">
        <v>9210</v>
      </c>
      <c r="E1676" s="48"/>
      <c r="F1676" s="57" t="s">
        <v>7173</v>
      </c>
      <c r="G1676" s="49">
        <f t="array" ref="G1676">MAX(IF(INSTOCK!$H$3:$H$6125=B1676,INSTOCK!$K$3:$K$6125))</f>
        <v>450</v>
      </c>
      <c r="H1676" s="50">
        <f t="array" ref="H1676">SUM(IF(INSTOCK!$H$3:$H$6125=B1676,INSTOCK!$I$3:$I$6125))</f>
        <v>2</v>
      </c>
      <c r="I1676" s="50" t="str">
        <f>ARRAY_CONSTRAIN(ARRAYFORMULA(SUM(IF([3]!Table13[ID]=B1676,[3]!Table13[QTY]))), 1, 1)</f>
        <v>#ERROR!</v>
      </c>
      <c r="J1676" s="50" t="str">
        <f>TABLEITEM!$H$3:$H$2749-TABLEITEM!$I$3:$I$2749</f>
        <v>#ERROR!</v>
      </c>
    </row>
    <row r="1677" ht="15.75" customHeight="1">
      <c r="A1677" s="45"/>
      <c r="B1677" s="10" t="s">
        <v>2212</v>
      </c>
      <c r="C1677" s="26"/>
      <c r="D1677" s="10" t="s">
        <v>9211</v>
      </c>
      <c r="E1677" s="48"/>
      <c r="F1677" s="57" t="s">
        <v>7173</v>
      </c>
      <c r="G1677" s="49">
        <f t="array" ref="G1677">MAX(IF(INSTOCK!$H$3:$H$6125=B1677,INSTOCK!$K$3:$K$6125))</f>
        <v>4200</v>
      </c>
      <c r="H1677" s="50">
        <f t="array" ref="H1677">SUM(IF(INSTOCK!$H$3:$H$6125=B1677,INSTOCK!$I$3:$I$6125))</f>
        <v>1</v>
      </c>
      <c r="I1677" s="50" t="str">
        <f>ARRAY_CONSTRAIN(ARRAYFORMULA(SUM(IF([3]!Table13[ID]=B1677,[3]!Table13[QTY]))), 1, 1)</f>
        <v>#ERROR!</v>
      </c>
      <c r="J1677" s="50" t="str">
        <f>TABLEITEM!$H$3:$H$2749-TABLEITEM!$I$3:$I$2749</f>
        <v>#ERROR!</v>
      </c>
    </row>
    <row r="1678" ht="15.75" customHeight="1">
      <c r="A1678" s="45"/>
      <c r="B1678" s="10" t="s">
        <v>2211</v>
      </c>
      <c r="C1678" s="26"/>
      <c r="D1678" s="18" t="s">
        <v>9212</v>
      </c>
      <c r="E1678" s="56"/>
      <c r="F1678" s="57" t="s">
        <v>7173</v>
      </c>
      <c r="G1678" s="49">
        <f t="array" ref="G1678">MAX(IF(INSTOCK!$H$3:$H$6125=B1678,INSTOCK!$K$3:$K$6125))</f>
        <v>6300</v>
      </c>
      <c r="H1678" s="50">
        <f t="array" ref="H1678">SUM(IF(INSTOCK!$H$3:$H$6125=B1678,INSTOCK!$I$3:$I$6125))</f>
        <v>2</v>
      </c>
      <c r="I1678" s="50" t="str">
        <f>ARRAY_CONSTRAIN(ARRAYFORMULA(SUM(IF([3]!Table13[ID]=B1678,[3]!Table13[QTY]))), 1, 1)</f>
        <v>#ERROR!</v>
      </c>
      <c r="J1678" s="50" t="str">
        <f>TABLEITEM!$H$3:$H$2749-TABLEITEM!$I$3:$I$2749</f>
        <v>#ERROR!</v>
      </c>
    </row>
    <row r="1679" ht="15.75" customHeight="1">
      <c r="A1679" s="45"/>
      <c r="B1679" s="10" t="s">
        <v>1640</v>
      </c>
      <c r="C1679" s="26"/>
      <c r="D1679" s="18" t="s">
        <v>9213</v>
      </c>
      <c r="E1679" s="56" t="s">
        <v>1504</v>
      </c>
      <c r="F1679" s="57" t="s">
        <v>7173</v>
      </c>
      <c r="G1679" s="49">
        <f t="array" ref="G1679">MAX(IF(INSTOCK!$H$3:$H$6125=B1679,INSTOCK!$K$3:$K$6125))</f>
        <v>0</v>
      </c>
      <c r="H1679" s="50">
        <f t="array" ref="H1679">SUM(IF(INSTOCK!$H$3:$H$6125=B1679,INSTOCK!$I$3:$I$6125))</f>
        <v>22</v>
      </c>
      <c r="I1679" s="50" t="str">
        <f>ARRAY_CONSTRAIN(ARRAYFORMULA(SUM(IF([3]!Table13[ID]=B1679,[3]!Table13[QTY]))), 1, 1)</f>
        <v>#ERROR!</v>
      </c>
      <c r="J1679" s="50" t="str">
        <f>TABLEITEM!$H$3:$H$2749-TABLEITEM!$I$3:$I$2749</f>
        <v>#ERROR!</v>
      </c>
    </row>
    <row r="1680" ht="15.75" customHeight="1">
      <c r="A1680" s="45"/>
      <c r="B1680" s="10" t="s">
        <v>1638</v>
      </c>
      <c r="C1680" s="26"/>
      <c r="D1680" s="10" t="s">
        <v>9214</v>
      </c>
      <c r="E1680" s="48" t="s">
        <v>1504</v>
      </c>
      <c r="F1680" s="57" t="s">
        <v>7173</v>
      </c>
      <c r="G1680" s="49">
        <f t="array" ref="G1680">MAX(IF(INSTOCK!$H$3:$H$6125=B1680,INSTOCK!$K$3:$K$6125))</f>
        <v>20000</v>
      </c>
      <c r="H1680" s="50">
        <f t="array" ref="H1680">SUM(IF(INSTOCK!$H$3:$H$6125=B1680,INSTOCK!$I$3:$I$6125))</f>
        <v>5</v>
      </c>
      <c r="I1680" s="50" t="str">
        <f>ARRAY_CONSTRAIN(ARRAYFORMULA(SUM(IF([3]!Table13[ID]=B1680,[3]!Table13[QTY]))), 1, 1)</f>
        <v>#ERROR!</v>
      </c>
      <c r="J1680" s="50" t="str">
        <f>TABLEITEM!$H$3:$H$2749-TABLEITEM!$I$3:$I$2749</f>
        <v>#ERROR!</v>
      </c>
    </row>
    <row r="1681" ht="15.75" customHeight="1">
      <c r="A1681" s="45"/>
      <c r="B1681" s="18" t="s">
        <v>1637</v>
      </c>
      <c r="C1681" s="26"/>
      <c r="D1681" s="18" t="s">
        <v>9215</v>
      </c>
      <c r="E1681" s="56" t="s">
        <v>1504</v>
      </c>
      <c r="F1681" s="57" t="s">
        <v>7173</v>
      </c>
      <c r="G1681" s="49">
        <f t="array" ref="G1681">MAX(IF(INSTOCK!$H$3:$H$6125=B1681,INSTOCK!$K$3:$K$6125))</f>
        <v>15500</v>
      </c>
      <c r="H1681" s="50">
        <f t="array" ref="H1681">SUM(IF(INSTOCK!$H$3:$H$6125=B1681,INSTOCK!$I$3:$I$6125))</f>
        <v>1</v>
      </c>
      <c r="I1681" s="50" t="str">
        <f>ARRAY_CONSTRAIN(ARRAYFORMULA(SUM(IF([3]!Table13[ID]=B1681,[3]!Table13[QTY]))), 1, 1)</f>
        <v>#ERROR!</v>
      </c>
      <c r="J1681" s="50" t="str">
        <f>TABLEITEM!$H$3:$H$2749-TABLEITEM!$I$3:$I$2749</f>
        <v>#ERROR!</v>
      </c>
    </row>
    <row r="1682" ht="15.75" customHeight="1">
      <c r="A1682" s="45"/>
      <c r="B1682" s="18" t="s">
        <v>1636</v>
      </c>
      <c r="C1682" s="26"/>
      <c r="D1682" s="18" t="s">
        <v>9216</v>
      </c>
      <c r="E1682" s="56" t="s">
        <v>1504</v>
      </c>
      <c r="F1682" s="57" t="s">
        <v>7173</v>
      </c>
      <c r="G1682" s="49">
        <f t="array" ref="G1682">MAX(IF(INSTOCK!$H$3:$H$6125=B1682,INSTOCK!$K$3:$K$6125))</f>
        <v>13350</v>
      </c>
      <c r="H1682" s="50">
        <f t="array" ref="H1682">SUM(IF(INSTOCK!$H$3:$H$6125=B1682,INSTOCK!$I$3:$I$6125))</f>
        <v>3</v>
      </c>
      <c r="I1682" s="50" t="str">
        <f>ARRAY_CONSTRAIN(ARRAYFORMULA(SUM(IF([3]!Table13[ID]=B1682,[3]!Table13[QTY]))), 1, 1)</f>
        <v>#ERROR!</v>
      </c>
      <c r="J1682" s="50" t="str">
        <f>TABLEITEM!$H$3:$H$2749-TABLEITEM!$I$3:$I$2749</f>
        <v>#ERROR!</v>
      </c>
    </row>
    <row r="1683" ht="15.75" customHeight="1">
      <c r="A1683" s="45"/>
      <c r="B1683" s="10" t="s">
        <v>1639</v>
      </c>
      <c r="C1683" s="26"/>
      <c r="D1683" s="10" t="s">
        <v>9217</v>
      </c>
      <c r="E1683" s="48" t="s">
        <v>1504</v>
      </c>
      <c r="F1683" s="57" t="s">
        <v>7173</v>
      </c>
      <c r="G1683" s="49">
        <f t="array" ref="G1683">MAX(IF(INSTOCK!$H$3:$H$6125=B1683,INSTOCK!$K$3:$K$6125))</f>
        <v>10700</v>
      </c>
      <c r="H1683" s="50">
        <f t="array" ref="H1683">SUM(IF(INSTOCK!$H$3:$H$6125=B1683,INSTOCK!$I$3:$I$6125))</f>
        <v>1</v>
      </c>
      <c r="I1683" s="50" t="str">
        <f>ARRAY_CONSTRAIN(ARRAYFORMULA(SUM(IF([3]!Table13[ID]=B1683,[3]!Table13[QTY]))), 1, 1)</f>
        <v>#ERROR!</v>
      </c>
      <c r="J1683" s="50" t="str">
        <f>TABLEITEM!$H$3:$H$2749-TABLEITEM!$I$3:$I$2749</f>
        <v>#ERROR!</v>
      </c>
    </row>
    <row r="1684" ht="15.75" customHeight="1">
      <c r="A1684" s="45"/>
      <c r="B1684" s="10" t="s">
        <v>1635</v>
      </c>
      <c r="C1684" s="26"/>
      <c r="D1684" s="18" t="s">
        <v>9218</v>
      </c>
      <c r="E1684" s="56" t="s">
        <v>1504</v>
      </c>
      <c r="F1684" s="57" t="s">
        <v>7173</v>
      </c>
      <c r="G1684" s="49">
        <f t="array" ref="G1684">MAX(IF(INSTOCK!$H$3:$H$6125=B1684,INSTOCK!$K$3:$K$6125))</f>
        <v>9600</v>
      </c>
      <c r="H1684" s="50">
        <f t="array" ref="H1684">SUM(IF(INSTOCK!$H$3:$H$6125=B1684,INSTOCK!$I$3:$I$6125))</f>
        <v>4</v>
      </c>
      <c r="I1684" s="50" t="str">
        <f>ARRAY_CONSTRAIN(ARRAYFORMULA(SUM(IF([3]!Table13[ID]=B1684,[3]!Table13[QTY]))), 1, 1)</f>
        <v>#ERROR!</v>
      </c>
      <c r="J1684" s="50" t="str">
        <f>TABLEITEM!$H$3:$H$2749-TABLEITEM!$I$3:$I$2749</f>
        <v>#ERROR!</v>
      </c>
    </row>
    <row r="1685" ht="15.75" customHeight="1">
      <c r="A1685" s="45"/>
      <c r="B1685" s="18" t="s">
        <v>1634</v>
      </c>
      <c r="C1685" s="26"/>
      <c r="D1685" s="18" t="s">
        <v>9219</v>
      </c>
      <c r="E1685" s="56" t="s">
        <v>1504</v>
      </c>
      <c r="F1685" s="57" t="s">
        <v>7173</v>
      </c>
      <c r="G1685" s="49">
        <f t="array" ref="G1685">MAX(IF(INSTOCK!$H$3:$H$6125=B1685,INSTOCK!$K$3:$K$6125))</f>
        <v>8600</v>
      </c>
      <c r="H1685" s="50">
        <f t="array" ref="H1685">SUM(IF(INSTOCK!$H$3:$H$6125=B1685,INSTOCK!$I$3:$I$6125))</f>
        <v>1</v>
      </c>
      <c r="I1685" s="50" t="str">
        <f>ARRAY_CONSTRAIN(ARRAYFORMULA(SUM(IF([3]!Table13[ID]=B1685,[3]!Table13[QTY]))), 1, 1)</f>
        <v>#ERROR!</v>
      </c>
      <c r="J1685" s="50" t="str">
        <f>TABLEITEM!$H$3:$H$2749-TABLEITEM!$I$3:$I$2749</f>
        <v>#ERROR!</v>
      </c>
    </row>
    <row r="1686" ht="15.75" customHeight="1">
      <c r="A1686" s="45"/>
      <c r="B1686" s="10" t="s">
        <v>1633</v>
      </c>
      <c r="C1686" s="26"/>
      <c r="D1686" s="10" t="s">
        <v>9220</v>
      </c>
      <c r="E1686" s="48" t="s">
        <v>1504</v>
      </c>
      <c r="F1686" s="57" t="s">
        <v>7173</v>
      </c>
      <c r="G1686" s="49">
        <f t="array" ref="G1686">MAX(IF(INSTOCK!$H$3:$H$6125=B1686,INSTOCK!$K$3:$K$6125))</f>
        <v>8000</v>
      </c>
      <c r="H1686" s="50">
        <f t="array" ref="H1686">SUM(IF(INSTOCK!$H$3:$H$6125=B1686,INSTOCK!$I$3:$I$6125))</f>
        <v>2</v>
      </c>
      <c r="I1686" s="50" t="str">
        <f>ARRAY_CONSTRAIN(ARRAYFORMULA(SUM(IF([3]!Table13[ID]=B1686,[3]!Table13[QTY]))), 1, 1)</f>
        <v>#ERROR!</v>
      </c>
      <c r="J1686" s="50" t="str">
        <f>TABLEITEM!$H$3:$H$2749-TABLEITEM!$I$3:$I$2749</f>
        <v>#ERROR!</v>
      </c>
    </row>
    <row r="1687" ht="15.75" customHeight="1">
      <c r="A1687" s="45"/>
      <c r="B1687" s="10" t="s">
        <v>1632</v>
      </c>
      <c r="C1687" s="26"/>
      <c r="D1687" s="10" t="s">
        <v>9221</v>
      </c>
      <c r="E1687" s="48" t="s">
        <v>1504</v>
      </c>
      <c r="F1687" s="57" t="s">
        <v>7173</v>
      </c>
      <c r="G1687" s="49">
        <f t="array" ref="G1687">MAX(IF(INSTOCK!$H$3:$H$6125=B1687,INSTOCK!$K$3:$K$6125))</f>
        <v>6000</v>
      </c>
      <c r="H1687" s="50">
        <f t="array" ref="H1687">SUM(IF(INSTOCK!$H$3:$H$6125=B1687,INSTOCK!$I$3:$I$6125))</f>
        <v>5</v>
      </c>
      <c r="I1687" s="50" t="str">
        <f>ARRAY_CONSTRAIN(ARRAYFORMULA(SUM(IF([3]!Table13[ID]=B1687,[3]!Table13[QTY]))), 1, 1)</f>
        <v>#ERROR!</v>
      </c>
      <c r="J1687" s="50" t="str">
        <f>TABLEITEM!$H$3:$H$2749-TABLEITEM!$I$3:$I$2749</f>
        <v>#ERROR!</v>
      </c>
    </row>
    <row r="1688" ht="15.75" customHeight="1">
      <c r="A1688" s="45"/>
      <c r="B1688" s="18" t="s">
        <v>1641</v>
      </c>
      <c r="C1688" s="26"/>
      <c r="D1688" s="18" t="s">
        <v>9222</v>
      </c>
      <c r="E1688" s="48" t="s">
        <v>1504</v>
      </c>
      <c r="F1688" s="57" t="s">
        <v>7173</v>
      </c>
      <c r="G1688" s="49">
        <f t="array" ref="G1688">MAX(IF(INSTOCK!$H$3:$H$6125=B1688,INSTOCK!$K$3:$K$6125))</f>
        <v>0</v>
      </c>
      <c r="H1688" s="50">
        <f t="array" ref="H1688">SUM(IF(INSTOCK!$H$3:$H$6125=B1688,INSTOCK!$I$3:$I$6125))</f>
        <v>5</v>
      </c>
      <c r="I1688" s="50" t="str">
        <f>ARRAY_CONSTRAIN(ARRAYFORMULA(SUM(IF([3]!Table13[ID]=B1688,[3]!Table13[QTY]))), 1, 1)</f>
        <v>#ERROR!</v>
      </c>
      <c r="J1688" s="50" t="str">
        <f>TABLEITEM!$H$3:$H$2749-TABLEITEM!$I$3:$I$2749</f>
        <v>#ERROR!</v>
      </c>
    </row>
    <row r="1689" ht="15.75" customHeight="1">
      <c r="A1689" s="45"/>
      <c r="B1689" s="18" t="s">
        <v>831</v>
      </c>
      <c r="C1689" s="26"/>
      <c r="D1689" s="18" t="s">
        <v>832</v>
      </c>
      <c r="E1689" s="56" t="s">
        <v>7196</v>
      </c>
      <c r="F1689" s="57" t="s">
        <v>7197</v>
      </c>
      <c r="G1689" s="49">
        <f t="array" ref="G1689">MAX(IF(INSTOCK!$H$3:$H$6125=B1689,INSTOCK!$K$3:$K$6125))</f>
        <v>7700</v>
      </c>
      <c r="H1689" s="50">
        <f t="array" ref="H1689">SUM(IF(INSTOCK!$H$3:$H$6125=B1689,INSTOCK!$I$3:$I$6125))</f>
        <v>11</v>
      </c>
      <c r="I1689" s="50" t="str">
        <f>ARRAY_CONSTRAIN(ARRAYFORMULA(SUM(IF([3]!Table13[ID]=B1689,[3]!Table13[QTY]))), 1, 1)</f>
        <v>#ERROR!</v>
      </c>
      <c r="J1689" s="50" t="str">
        <f>TABLEITEM!$H$3:$H$2749-TABLEITEM!$I$3:$I$2749</f>
        <v>#ERROR!</v>
      </c>
    </row>
    <row r="1690" ht="15.75" customHeight="1">
      <c r="A1690" s="45"/>
      <c r="B1690" s="10" t="s">
        <v>2846</v>
      </c>
      <c r="C1690" s="26"/>
      <c r="D1690" s="10" t="s">
        <v>9223</v>
      </c>
      <c r="E1690" s="48" t="s">
        <v>8360</v>
      </c>
      <c r="F1690" s="48" t="s">
        <v>7173</v>
      </c>
      <c r="G1690" s="49">
        <f t="array" ref="G1690">MAX(IF(INSTOCK!$H$3:$H$6125=B1690,INSTOCK!$K$3:$K$6125))</f>
        <v>20480</v>
      </c>
      <c r="H1690" s="50">
        <f t="array" ref="H1690">SUM(IF(INSTOCK!$H$3:$H$6125=B1690,INSTOCK!$I$3:$I$6125))</f>
        <v>1</v>
      </c>
      <c r="I1690" s="50" t="str">
        <f>ARRAY_CONSTRAIN(ARRAYFORMULA(SUM(IF([3]!Table13[ID]=B1690,[3]!Table13[QTY]))), 1, 1)</f>
        <v>#ERROR!</v>
      </c>
      <c r="J1690" s="50" t="str">
        <f>TABLEITEM!$H$3:$H$2749-TABLEITEM!$I$3:$I$2749</f>
        <v>#ERROR!</v>
      </c>
    </row>
    <row r="1691" ht="15.75" customHeight="1">
      <c r="A1691" s="45"/>
      <c r="B1691" s="10" t="s">
        <v>824</v>
      </c>
      <c r="C1691" s="26"/>
      <c r="D1691" s="10" t="s">
        <v>825</v>
      </c>
      <c r="E1691" s="48" t="s">
        <v>7196</v>
      </c>
      <c r="F1691" s="57" t="s">
        <v>7197</v>
      </c>
      <c r="G1691" s="49">
        <f t="array" ref="G1691">MAX(IF(INSTOCK!$H$3:$H$6125=B1691,INSTOCK!$K$3:$K$6125))</f>
        <v>600</v>
      </c>
      <c r="H1691" s="50">
        <f t="array" ref="H1691">SUM(IF(INSTOCK!$H$3:$H$6125=B1691,INSTOCK!$I$3:$I$6125))</f>
        <v>25</v>
      </c>
      <c r="I1691" s="50" t="str">
        <f>ARRAY_CONSTRAIN(ARRAYFORMULA(SUM(IF([3]!Table13[ID]=B1691,[3]!Table13[QTY]))), 1, 1)</f>
        <v>#ERROR!</v>
      </c>
      <c r="J1691" s="50" t="str">
        <f>TABLEITEM!$H$3:$H$2749-TABLEITEM!$I$3:$I$2749</f>
        <v>#ERROR!</v>
      </c>
    </row>
    <row r="1692" ht="15.75" customHeight="1">
      <c r="A1692" s="45"/>
      <c r="B1692" s="10" t="s">
        <v>2892</v>
      </c>
      <c r="C1692" s="26"/>
      <c r="D1692" s="10" t="s">
        <v>9224</v>
      </c>
      <c r="E1692" s="48"/>
      <c r="F1692" s="57" t="s">
        <v>7761</v>
      </c>
      <c r="G1692" s="49">
        <f t="array" ref="G1692">MAX(IF(INSTOCK!$H$3:$H$6125=B1692,INSTOCK!$K$3:$K$6125))</f>
        <v>100</v>
      </c>
      <c r="H1692" s="50">
        <f t="array" ref="H1692">SUM(IF(INSTOCK!$H$3:$H$6125=B1692,INSTOCK!$I$3:$I$6125))</f>
        <v>5</v>
      </c>
      <c r="I1692" s="50" t="str">
        <f>ARRAY_CONSTRAIN(ARRAYFORMULA(SUM(IF([3]!Table13[ID]=B1692,[3]!Table13[QTY]))), 1, 1)</f>
        <v>#ERROR!</v>
      </c>
      <c r="J1692" s="50" t="str">
        <f>TABLEITEM!$H$3:$H$2749-TABLEITEM!$I$3:$I$2749</f>
        <v>#ERROR!</v>
      </c>
    </row>
    <row r="1693" ht="15.75" customHeight="1">
      <c r="A1693" s="45"/>
      <c r="B1693" s="10" t="s">
        <v>3423</v>
      </c>
      <c r="C1693" s="26"/>
      <c r="D1693" s="18" t="s">
        <v>9225</v>
      </c>
      <c r="E1693" s="56"/>
      <c r="F1693" s="57" t="s">
        <v>7173</v>
      </c>
      <c r="G1693" s="49">
        <f t="array" ref="G1693">MAX(IF(INSTOCK!$H$3:$H$6125=B1693,INSTOCK!$K$3:$K$6125))</f>
        <v>440</v>
      </c>
      <c r="H1693" s="50">
        <f t="array" ref="H1693">SUM(IF(INSTOCK!$H$3:$H$6125=B1693,INSTOCK!$I$3:$I$6125))</f>
        <v>20</v>
      </c>
      <c r="I1693" s="50" t="str">
        <f>ARRAY_CONSTRAIN(ARRAYFORMULA(SUM(IF([3]!Table13[ID]=B1693,[3]!Table13[QTY]))), 1, 1)</f>
        <v>#ERROR!</v>
      </c>
      <c r="J1693" s="50" t="str">
        <f>TABLEITEM!$H$3:$H$2749-TABLEITEM!$I$3:$I$2749</f>
        <v>#ERROR!</v>
      </c>
    </row>
    <row r="1694" ht="15.75" customHeight="1">
      <c r="A1694" s="45"/>
      <c r="B1694" s="10" t="s">
        <v>3424</v>
      </c>
      <c r="C1694" s="26"/>
      <c r="D1694" s="18" t="s">
        <v>9226</v>
      </c>
      <c r="E1694" s="48"/>
      <c r="F1694" s="57" t="s">
        <v>7173</v>
      </c>
      <c r="G1694" s="49">
        <f t="array" ref="G1694">MAX(IF(INSTOCK!$H$3:$H$6125=B1694,INSTOCK!$K$3:$K$6125))</f>
        <v>480</v>
      </c>
      <c r="H1694" s="50">
        <f t="array" ref="H1694">SUM(IF(INSTOCK!$H$3:$H$6125=B1694,INSTOCK!$I$3:$I$6125))</f>
        <v>20</v>
      </c>
      <c r="I1694" s="50" t="str">
        <f>ARRAY_CONSTRAIN(ARRAYFORMULA(SUM(IF([3]!Table13[ID]=B1694,[3]!Table13[QTY]))), 1, 1)</f>
        <v>#ERROR!</v>
      </c>
      <c r="J1694" s="50" t="str">
        <f>TABLEITEM!$H$3:$H$2749-TABLEITEM!$I$3:$I$2749</f>
        <v>#ERROR!</v>
      </c>
    </row>
    <row r="1695" ht="15.75" customHeight="1">
      <c r="A1695" s="45"/>
      <c r="B1695" s="10" t="s">
        <v>2893</v>
      </c>
      <c r="C1695" s="26"/>
      <c r="D1695" s="10" t="s">
        <v>9227</v>
      </c>
      <c r="E1695" s="48"/>
      <c r="F1695" s="57" t="s">
        <v>7761</v>
      </c>
      <c r="G1695" s="49">
        <f t="array" ref="G1695">MAX(IF(INSTOCK!$H$3:$H$6125=B1695,INSTOCK!$K$3:$K$6125))</f>
        <v>100</v>
      </c>
      <c r="H1695" s="50">
        <f t="array" ref="H1695">SUM(IF(INSTOCK!$H$3:$H$6125=B1695,INSTOCK!$I$3:$I$6125))</f>
        <v>1</v>
      </c>
      <c r="I1695" s="50" t="str">
        <f>ARRAY_CONSTRAIN(ARRAYFORMULA(SUM(IF([3]!Table13[ID]=B1695,[3]!Table13[QTY]))), 1, 1)</f>
        <v>#ERROR!</v>
      </c>
      <c r="J1695" s="50" t="str">
        <f>TABLEITEM!$H$3:$H$2749-TABLEITEM!$I$3:$I$2749</f>
        <v>#ERROR!</v>
      </c>
    </row>
    <row r="1696" ht="15.75" customHeight="1">
      <c r="A1696" s="45"/>
      <c r="B1696" s="18" t="s">
        <v>3966</v>
      </c>
      <c r="C1696" s="26"/>
      <c r="D1696" s="18" t="s">
        <v>9228</v>
      </c>
      <c r="E1696" s="56"/>
      <c r="F1696" s="57" t="s">
        <v>7173</v>
      </c>
      <c r="G1696" s="49">
        <f t="array" ref="G1696">MAX(IF(INSTOCK!$H$3:$H$6125=B1696,INSTOCK!$K$3:$K$6125))</f>
        <v>19</v>
      </c>
      <c r="H1696" s="50">
        <f t="array" ref="H1696">SUM(IF(INSTOCK!$H$3:$H$6125=B1696,INSTOCK!$I$3:$I$6125))</f>
        <v>11</v>
      </c>
      <c r="I1696" s="50" t="str">
        <f>ARRAY_CONSTRAIN(ARRAYFORMULA(SUM(IF([3]!Table13[ID]=B1696,[3]!Table13[QTY]))), 1, 1)</f>
        <v>#ERROR!</v>
      </c>
      <c r="J1696" s="50" t="str">
        <f>TABLEITEM!$H$3:$H$2749-TABLEITEM!$I$3:$I$2749</f>
        <v>#ERROR!</v>
      </c>
    </row>
    <row r="1697" ht="15.75" customHeight="1">
      <c r="A1697" s="45"/>
      <c r="B1697" s="18" t="s">
        <v>3434</v>
      </c>
      <c r="C1697" s="26"/>
      <c r="D1697" s="18" t="s">
        <v>9229</v>
      </c>
      <c r="E1697" s="56"/>
      <c r="F1697" s="48" t="s">
        <v>7173</v>
      </c>
      <c r="G1697" s="49">
        <f t="array" ref="G1697">MAX(IF(INSTOCK!$H$3:$H$6125=B1697,INSTOCK!$K$3:$K$6125))</f>
        <v>400</v>
      </c>
      <c r="H1697" s="50">
        <f t="array" ref="H1697">SUM(IF(INSTOCK!$H$3:$H$6125=B1697,INSTOCK!$I$3:$I$6125))</f>
        <v>134</v>
      </c>
      <c r="I1697" s="50" t="str">
        <f>ARRAY_CONSTRAIN(ARRAYFORMULA(SUM(IF([3]!Table13[ID]=B1697,[3]!Table13[QTY]))), 1, 1)</f>
        <v>#ERROR!</v>
      </c>
      <c r="J1697" s="50" t="str">
        <f>TABLEITEM!$H$3:$H$2749-TABLEITEM!$I$3:$I$2749</f>
        <v>#ERROR!</v>
      </c>
    </row>
    <row r="1698" ht="15.75" customHeight="1">
      <c r="A1698" s="45"/>
      <c r="B1698" s="10" t="s">
        <v>3439</v>
      </c>
      <c r="C1698" s="26"/>
      <c r="D1698" s="10" t="s">
        <v>9230</v>
      </c>
      <c r="E1698" s="48"/>
      <c r="F1698" s="48" t="s">
        <v>7173</v>
      </c>
      <c r="G1698" s="49">
        <f t="array" ref="G1698">MAX(IF(INSTOCK!$H$3:$H$6125=B1698,INSTOCK!$K$3:$K$6125))</f>
        <v>1700</v>
      </c>
      <c r="H1698" s="50">
        <f t="array" ref="H1698">SUM(IF(INSTOCK!$H$3:$H$6125=B1698,INSTOCK!$I$3:$I$6125))</f>
        <v>1</v>
      </c>
      <c r="I1698" s="50" t="str">
        <f>ARRAY_CONSTRAIN(ARRAYFORMULA(SUM(IF([3]!Table13[ID]=B1698,[3]!Table13[QTY]))), 1, 1)</f>
        <v>#ERROR!</v>
      </c>
      <c r="J1698" s="50" t="str">
        <f>TABLEITEM!$H$3:$H$2749-TABLEITEM!$I$3:$I$2749</f>
        <v>#ERROR!</v>
      </c>
    </row>
    <row r="1699" ht="15.75" customHeight="1">
      <c r="A1699" s="45"/>
      <c r="B1699" s="18" t="s">
        <v>3441</v>
      </c>
      <c r="C1699" s="26"/>
      <c r="D1699" s="18" t="s">
        <v>9231</v>
      </c>
      <c r="E1699" s="56" t="s">
        <v>9232</v>
      </c>
      <c r="F1699" s="48" t="s">
        <v>7173</v>
      </c>
      <c r="G1699" s="49">
        <f t="array" ref="G1699">MAX(IF(INSTOCK!$H$3:$H$6125=B1699,INSTOCK!$K$3:$K$6125))</f>
        <v>250</v>
      </c>
      <c r="H1699" s="50">
        <f t="array" ref="H1699">SUM(IF(INSTOCK!$H$3:$H$6125=B1699,INSTOCK!$I$3:$I$6125))</f>
        <v>1</v>
      </c>
      <c r="I1699" s="50" t="str">
        <f>ARRAY_CONSTRAIN(ARRAYFORMULA(SUM(IF([3]!Table13[ID]=B1699,[3]!Table13[QTY]))), 1, 1)</f>
        <v>#ERROR!</v>
      </c>
      <c r="J1699" s="50" t="str">
        <f>TABLEITEM!$H$3:$H$2749-TABLEITEM!$I$3:$I$2749</f>
        <v>#ERROR!</v>
      </c>
    </row>
    <row r="1700" ht="15.75" customHeight="1">
      <c r="A1700" s="45"/>
      <c r="B1700" s="18" t="s">
        <v>3447</v>
      </c>
      <c r="C1700" s="26"/>
      <c r="D1700" s="18" t="s">
        <v>9233</v>
      </c>
      <c r="E1700" s="56" t="s">
        <v>9234</v>
      </c>
      <c r="F1700" s="57" t="s">
        <v>7173</v>
      </c>
      <c r="G1700" s="49">
        <f t="array" ref="G1700">MAX(IF(INSTOCK!$H$3:$H$6125=B1700,INSTOCK!$K$3:$K$6125))</f>
        <v>10900</v>
      </c>
      <c r="H1700" s="50">
        <f t="array" ref="H1700">SUM(IF(INSTOCK!$H$3:$H$6125=B1700,INSTOCK!$I$3:$I$6125))</f>
        <v>2</v>
      </c>
      <c r="I1700" s="50" t="str">
        <f>ARRAY_CONSTRAIN(ARRAYFORMULA(SUM(IF([3]!Table13[ID]=B1700,[3]!Table13[QTY]))), 1, 1)</f>
        <v>#ERROR!</v>
      </c>
      <c r="J1700" s="50" t="str">
        <f>TABLEITEM!$H$3:$H$2749-TABLEITEM!$I$3:$I$2749</f>
        <v>#ERROR!</v>
      </c>
    </row>
    <row r="1701" ht="15.75" customHeight="1">
      <c r="A1701" s="45"/>
      <c r="B1701" s="10" t="s">
        <v>3466</v>
      </c>
      <c r="C1701" s="26"/>
      <c r="D1701" s="10" t="s">
        <v>9235</v>
      </c>
      <c r="E1701" s="48"/>
      <c r="F1701" s="57" t="s">
        <v>7173</v>
      </c>
      <c r="G1701" s="49">
        <f t="array" ref="G1701">MAX(IF(INSTOCK!$H$3:$H$6125=B1701,INSTOCK!$K$3:$K$6125))</f>
        <v>22.5</v>
      </c>
      <c r="H1701" s="50">
        <f t="array" ref="H1701">SUM(IF(INSTOCK!$H$3:$H$6125=B1701,INSTOCK!$I$3:$I$6125))</f>
        <v>20</v>
      </c>
      <c r="I1701" s="50" t="str">
        <f>ARRAY_CONSTRAIN(ARRAYFORMULA(SUM(IF([3]!Table13[ID]=B1701,[3]!Table13[QTY]))), 1, 1)</f>
        <v>#ERROR!</v>
      </c>
      <c r="J1701" s="50" t="str">
        <f>TABLEITEM!$H$3:$H$2749-TABLEITEM!$I$3:$I$2749</f>
        <v>#ERROR!</v>
      </c>
    </row>
    <row r="1702" ht="15.75" customHeight="1">
      <c r="A1702" s="45"/>
      <c r="B1702" s="18" t="s">
        <v>3467</v>
      </c>
      <c r="C1702" s="26"/>
      <c r="D1702" s="10" t="s">
        <v>9236</v>
      </c>
      <c r="E1702" s="56"/>
      <c r="F1702" s="57" t="s">
        <v>7173</v>
      </c>
      <c r="G1702" s="49">
        <f t="array" ref="G1702">MAX(IF(INSTOCK!$H$3:$H$6125=B1702,INSTOCK!$K$3:$K$6125))</f>
        <v>22.5</v>
      </c>
      <c r="H1702" s="50">
        <f t="array" ref="H1702">SUM(IF(INSTOCK!$H$3:$H$6125=B1702,INSTOCK!$I$3:$I$6125))</f>
        <v>20</v>
      </c>
      <c r="I1702" s="50" t="str">
        <f>ARRAY_CONSTRAIN(ARRAYFORMULA(SUM(IF([3]!Table13[ID]=B1702,[3]!Table13[QTY]))), 1, 1)</f>
        <v>#ERROR!</v>
      </c>
      <c r="J1702" s="50" t="str">
        <f>TABLEITEM!$H$3:$H$2749-TABLEITEM!$I$3:$I$2749</f>
        <v>#ERROR!</v>
      </c>
    </row>
    <row r="1703" ht="15.75" customHeight="1">
      <c r="A1703" s="45"/>
      <c r="B1703" s="18" t="s">
        <v>3475</v>
      </c>
      <c r="C1703" s="26"/>
      <c r="D1703" s="18" t="s">
        <v>9237</v>
      </c>
      <c r="E1703" s="56" t="s">
        <v>9238</v>
      </c>
      <c r="F1703" s="57" t="s">
        <v>7445</v>
      </c>
      <c r="G1703" s="49">
        <f t="array" ref="G1703">MAX(IF(INSTOCK!$H$3:$H$6125=B1703,INSTOCK!$K$3:$K$6125))</f>
        <v>300</v>
      </c>
      <c r="H1703" s="50">
        <f t="array" ref="H1703">SUM(IF(INSTOCK!$H$3:$H$6125=B1703,INSTOCK!$I$3:$I$6125))</f>
        <v>24</v>
      </c>
      <c r="I1703" s="50" t="str">
        <f>ARRAY_CONSTRAIN(ARRAYFORMULA(SUM(IF([3]!Table13[ID]=B1703,[3]!Table13[QTY]))), 1, 1)</f>
        <v>#ERROR!</v>
      </c>
      <c r="J1703" s="50" t="str">
        <f>TABLEITEM!$H$3:$H$2749-TABLEITEM!$I$3:$I$2749</f>
        <v>#ERROR!</v>
      </c>
    </row>
    <row r="1704" ht="15.75" customHeight="1">
      <c r="A1704" s="45"/>
      <c r="B1704" s="10" t="s">
        <v>3479</v>
      </c>
      <c r="C1704" s="26"/>
      <c r="D1704" s="10" t="s">
        <v>9239</v>
      </c>
      <c r="E1704" s="48" t="s">
        <v>8627</v>
      </c>
      <c r="F1704" s="57" t="s">
        <v>7173</v>
      </c>
      <c r="G1704" s="49">
        <f t="array" ref="G1704">MAX(IF(INSTOCK!$H$3:$H$6125=B1704,INSTOCK!$K$3:$K$6125))</f>
        <v>124</v>
      </c>
      <c r="H1704" s="50">
        <f t="array" ref="H1704">SUM(IF(INSTOCK!$H$3:$H$6125=B1704,INSTOCK!$I$3:$I$6125))</f>
        <v>10</v>
      </c>
      <c r="I1704" s="50" t="str">
        <f>ARRAY_CONSTRAIN(ARRAYFORMULA(SUM(IF([3]!Table13[ID]=B1704,[3]!Table13[QTY]))), 1, 1)</f>
        <v>#ERROR!</v>
      </c>
      <c r="J1704" s="50" t="str">
        <f>TABLEITEM!$H$3:$H$2749-TABLEITEM!$I$3:$I$2749</f>
        <v>#ERROR!</v>
      </c>
    </row>
    <row r="1705" ht="15.75" customHeight="1">
      <c r="A1705" s="45"/>
      <c r="B1705" s="18" t="s">
        <v>3481</v>
      </c>
      <c r="C1705" s="26"/>
      <c r="D1705" s="10" t="s">
        <v>9240</v>
      </c>
      <c r="E1705" s="56" t="s">
        <v>8627</v>
      </c>
      <c r="F1705" s="57" t="s">
        <v>7173</v>
      </c>
      <c r="G1705" s="49">
        <f t="array" ref="G1705">MAX(IF(INSTOCK!$H$3:$H$6125=B1705,INSTOCK!$K$3:$K$6125))</f>
        <v>252</v>
      </c>
      <c r="H1705" s="50">
        <f t="array" ref="H1705">SUM(IF(INSTOCK!$H$3:$H$6125=B1705,INSTOCK!$I$3:$I$6125))</f>
        <v>10</v>
      </c>
      <c r="I1705" s="50" t="str">
        <f>ARRAY_CONSTRAIN(ARRAYFORMULA(SUM(IF([3]!Table13[ID]=B1705,[3]!Table13[QTY]))), 1, 1)</f>
        <v>#ERROR!</v>
      </c>
      <c r="J1705" s="50" t="str">
        <f>TABLEITEM!$H$3:$H$2749-TABLEITEM!$I$3:$I$2749</f>
        <v>#ERROR!</v>
      </c>
    </row>
    <row r="1706" ht="15.75" customHeight="1">
      <c r="A1706" s="45"/>
      <c r="B1706" s="10" t="s">
        <v>3485</v>
      </c>
      <c r="C1706" s="26"/>
      <c r="D1706" s="10" t="s">
        <v>9241</v>
      </c>
      <c r="E1706" s="48" t="s">
        <v>1487</v>
      </c>
      <c r="F1706" s="57" t="s">
        <v>7173</v>
      </c>
      <c r="G1706" s="49">
        <f t="array" ref="G1706">MAX(IF(INSTOCK!$H$3:$H$6125=B1706,INSTOCK!$K$3:$K$6125))</f>
        <v>471</v>
      </c>
      <c r="H1706" s="50">
        <f t="array" ref="H1706">SUM(IF(INSTOCK!$H$3:$H$6125=B1706,INSTOCK!$I$3:$I$6125))</f>
        <v>2</v>
      </c>
      <c r="I1706" s="50" t="str">
        <f>ARRAY_CONSTRAIN(ARRAYFORMULA(SUM(IF([3]!Table13[ID]=B1706,[3]!Table13[QTY]))), 1, 1)</f>
        <v>#ERROR!</v>
      </c>
      <c r="J1706" s="50" t="str">
        <f>TABLEITEM!$H$3:$H$2749-TABLEITEM!$I$3:$I$2749</f>
        <v>#ERROR!</v>
      </c>
    </row>
    <row r="1707" ht="15.75" customHeight="1">
      <c r="A1707" s="45"/>
      <c r="B1707" s="10" t="s">
        <v>3487</v>
      </c>
      <c r="C1707" s="26"/>
      <c r="D1707" s="10" t="s">
        <v>9242</v>
      </c>
      <c r="E1707" s="48" t="s">
        <v>1487</v>
      </c>
      <c r="F1707" s="57" t="s">
        <v>7173</v>
      </c>
      <c r="G1707" s="49">
        <f t="array" ref="G1707">MAX(IF(INSTOCK!$H$3:$H$6125=B1707,INSTOCK!$K$3:$K$6125))</f>
        <v>471</v>
      </c>
      <c r="H1707" s="50">
        <f t="array" ref="H1707">SUM(IF(INSTOCK!$H$3:$H$6125=B1707,INSTOCK!$I$3:$I$6125))</f>
        <v>2</v>
      </c>
      <c r="I1707" s="50" t="str">
        <f>ARRAY_CONSTRAIN(ARRAYFORMULA(SUM(IF([3]!Table13[ID]=B1707,[3]!Table13[QTY]))), 1, 1)</f>
        <v>#ERROR!</v>
      </c>
      <c r="J1707" s="50" t="str">
        <f>TABLEITEM!$H$3:$H$2749-TABLEITEM!$I$3:$I$2749</f>
        <v>#ERROR!</v>
      </c>
    </row>
    <row r="1708" ht="15.75" customHeight="1">
      <c r="A1708" s="45"/>
      <c r="B1708" s="18" t="s">
        <v>3488</v>
      </c>
      <c r="C1708" s="26"/>
      <c r="D1708" s="18" t="s">
        <v>9243</v>
      </c>
      <c r="E1708" s="48" t="s">
        <v>1487</v>
      </c>
      <c r="F1708" s="57" t="s">
        <v>7173</v>
      </c>
      <c r="G1708" s="49">
        <f t="array" ref="G1708">MAX(IF(INSTOCK!$H$3:$H$6125=B1708,INSTOCK!$K$3:$K$6125))</f>
        <v>553.5</v>
      </c>
      <c r="H1708" s="50">
        <f t="array" ref="H1708">SUM(IF(INSTOCK!$H$3:$H$6125=B1708,INSTOCK!$I$3:$I$6125))</f>
        <v>1</v>
      </c>
      <c r="I1708" s="50" t="str">
        <f>ARRAY_CONSTRAIN(ARRAYFORMULA(SUM(IF([3]!Table13[ID]=B1708,[3]!Table13[QTY]))), 1, 1)</f>
        <v>#ERROR!</v>
      </c>
      <c r="J1708" s="50" t="str">
        <f>TABLEITEM!$H$3:$H$2749-TABLEITEM!$I$3:$I$2749</f>
        <v>#ERROR!</v>
      </c>
    </row>
    <row r="1709" ht="15.75" customHeight="1">
      <c r="A1709" s="45"/>
      <c r="B1709" s="10" t="s">
        <v>3499</v>
      </c>
      <c r="C1709" s="26"/>
      <c r="D1709" s="10" t="s">
        <v>9244</v>
      </c>
      <c r="E1709" s="48" t="s">
        <v>1487</v>
      </c>
      <c r="F1709" s="57" t="s">
        <v>7173</v>
      </c>
      <c r="G1709" s="49">
        <f t="array" ref="G1709">MAX(IF(INSTOCK!$H$3:$H$6125=B1709,INSTOCK!$K$3:$K$6125))</f>
        <v>973.1</v>
      </c>
      <c r="H1709" s="50">
        <f t="array" ref="H1709">SUM(IF(INSTOCK!$H$3:$H$6125=B1709,INSTOCK!$I$3:$I$6125))</f>
        <v>1</v>
      </c>
      <c r="I1709" s="50" t="str">
        <f>ARRAY_CONSTRAIN(ARRAYFORMULA(SUM(IF([3]!Table13[ID]=B1709,[3]!Table13[QTY]))), 1, 1)</f>
        <v>#ERROR!</v>
      </c>
      <c r="J1709" s="50" t="str">
        <f>TABLEITEM!$H$3:$H$2749-TABLEITEM!$I$3:$I$2749</f>
        <v>#ERROR!</v>
      </c>
    </row>
    <row r="1710" ht="15.75" customHeight="1">
      <c r="A1710" s="45"/>
      <c r="B1710" s="10" t="s">
        <v>3500</v>
      </c>
      <c r="C1710" s="26"/>
      <c r="D1710" s="10" t="s">
        <v>9245</v>
      </c>
      <c r="E1710" s="48" t="s">
        <v>1487</v>
      </c>
      <c r="F1710" s="57" t="s">
        <v>7173</v>
      </c>
      <c r="G1710" s="49">
        <f t="array" ref="G1710">MAX(IF(INSTOCK!$H$3:$H$6125=B1710,INSTOCK!$K$3:$K$6125))</f>
        <v>345.6</v>
      </c>
      <c r="H1710" s="50">
        <f t="array" ref="H1710">SUM(IF(INSTOCK!$H$3:$H$6125=B1710,INSTOCK!$I$3:$I$6125))</f>
        <v>4</v>
      </c>
      <c r="I1710" s="50" t="str">
        <f>ARRAY_CONSTRAIN(ARRAYFORMULA(SUM(IF([3]!Table13[ID]=B1710,[3]!Table13[QTY]))), 1, 1)</f>
        <v>#ERROR!</v>
      </c>
      <c r="J1710" s="50" t="str">
        <f>TABLEITEM!$H$3:$H$2749-TABLEITEM!$I$3:$I$2749</f>
        <v>#ERROR!</v>
      </c>
    </row>
    <row r="1711" ht="15.75" customHeight="1">
      <c r="A1711" s="45"/>
      <c r="B1711" s="10" t="s">
        <v>3501</v>
      </c>
      <c r="C1711" s="26"/>
      <c r="D1711" s="10" t="s">
        <v>9246</v>
      </c>
      <c r="E1711" s="48" t="s">
        <v>1487</v>
      </c>
      <c r="F1711" s="57" t="s">
        <v>7173</v>
      </c>
      <c r="G1711" s="49">
        <f t="array" ref="G1711">MAX(IF(INSTOCK!$H$3:$H$6125=B1711,INSTOCK!$K$3:$K$6125))</f>
        <v>307.5</v>
      </c>
      <c r="H1711" s="50">
        <f t="array" ref="H1711">SUM(IF(INSTOCK!$H$3:$H$6125=B1711,INSTOCK!$I$3:$I$6125))</f>
        <v>6</v>
      </c>
      <c r="I1711" s="50" t="str">
        <f>ARRAY_CONSTRAIN(ARRAYFORMULA(SUM(IF([3]!Table13[ID]=B1711,[3]!Table13[QTY]))), 1, 1)</f>
        <v>#ERROR!</v>
      </c>
      <c r="J1711" s="50" t="str">
        <f>TABLEITEM!$H$3:$H$2749-TABLEITEM!$I$3:$I$2749</f>
        <v>#ERROR!</v>
      </c>
    </row>
    <row r="1712" ht="15.75" customHeight="1">
      <c r="A1712" s="45"/>
      <c r="B1712" s="18" t="s">
        <v>3502</v>
      </c>
      <c r="C1712" s="26"/>
      <c r="D1712" s="18" t="s">
        <v>9247</v>
      </c>
      <c r="E1712" s="48" t="s">
        <v>1487</v>
      </c>
      <c r="F1712" s="57" t="s">
        <v>7173</v>
      </c>
      <c r="G1712" s="49">
        <f t="array" ref="G1712">MAX(IF(INSTOCK!$H$3:$H$6125=B1712,INSTOCK!$K$3:$K$6125))</f>
        <v>217.3</v>
      </c>
      <c r="H1712" s="50">
        <f t="array" ref="H1712">SUM(IF(INSTOCK!$H$3:$H$6125=B1712,INSTOCK!$I$3:$I$6125))</f>
        <v>2</v>
      </c>
      <c r="I1712" s="50" t="str">
        <f>ARRAY_CONSTRAIN(ARRAYFORMULA(SUM(IF([3]!Table13[ID]=B1712,[3]!Table13[QTY]))), 1, 1)</f>
        <v>#ERROR!</v>
      </c>
      <c r="J1712" s="50" t="str">
        <f>TABLEITEM!$H$3:$H$2749-TABLEITEM!$I$3:$I$2749</f>
        <v>#ERROR!</v>
      </c>
    </row>
    <row r="1713" ht="15.75" customHeight="1">
      <c r="A1713" s="45"/>
      <c r="B1713" s="10" t="s">
        <v>3503</v>
      </c>
      <c r="C1713" s="26"/>
      <c r="D1713" s="10" t="s">
        <v>9248</v>
      </c>
      <c r="E1713" s="48" t="s">
        <v>1487</v>
      </c>
      <c r="F1713" s="57" t="s">
        <v>7173</v>
      </c>
      <c r="G1713" s="49">
        <f t="array" ref="G1713">MAX(IF(INSTOCK!$H$3:$H$6125=B1713,INSTOCK!$K$3:$K$6125))</f>
        <v>610.6</v>
      </c>
      <c r="H1713" s="50">
        <f t="array" ref="H1713">SUM(IF(INSTOCK!$H$3:$H$6125=B1713,INSTOCK!$I$3:$I$6125))</f>
        <v>23</v>
      </c>
      <c r="I1713" s="50" t="str">
        <f>ARRAY_CONSTRAIN(ARRAYFORMULA(SUM(IF([3]!Table13[ID]=B1713,[3]!Table13[QTY]))), 1, 1)</f>
        <v>#ERROR!</v>
      </c>
      <c r="J1713" s="50" t="str">
        <f>TABLEITEM!$H$3:$H$2749-TABLEITEM!$I$3:$I$2749</f>
        <v>#ERROR!</v>
      </c>
    </row>
    <row r="1714" ht="15.75" customHeight="1">
      <c r="A1714" s="45"/>
      <c r="B1714" s="18" t="s">
        <v>3504</v>
      </c>
      <c r="C1714" s="26"/>
      <c r="D1714" s="18" t="s">
        <v>9249</v>
      </c>
      <c r="E1714" s="48" t="s">
        <v>1487</v>
      </c>
      <c r="F1714" s="57" t="s">
        <v>7173</v>
      </c>
      <c r="G1714" s="49">
        <f t="array" ref="G1714">MAX(IF(INSTOCK!$H$3:$H$6125=B1714,INSTOCK!$K$3:$K$6125))</f>
        <v>53.3</v>
      </c>
      <c r="H1714" s="50">
        <f t="array" ref="H1714">SUM(IF(INSTOCK!$H$3:$H$6125=B1714,INSTOCK!$I$3:$I$6125))</f>
        <v>1</v>
      </c>
      <c r="I1714" s="50" t="str">
        <f>ARRAY_CONSTRAIN(ARRAYFORMULA(SUM(IF([3]!Table13[ID]=B1714,[3]!Table13[QTY]))), 1, 1)</f>
        <v>#ERROR!</v>
      </c>
      <c r="J1714" s="50" t="str">
        <f>TABLEITEM!$H$3:$H$2749-TABLEITEM!$I$3:$I$2749</f>
        <v>#ERROR!</v>
      </c>
    </row>
    <row r="1715" ht="15.75" customHeight="1">
      <c r="A1715" s="45"/>
      <c r="B1715" s="10" t="s">
        <v>3505</v>
      </c>
      <c r="C1715" s="26"/>
      <c r="D1715" s="10" t="s">
        <v>9250</v>
      </c>
      <c r="E1715" s="48" t="s">
        <v>1487</v>
      </c>
      <c r="F1715" s="57" t="s">
        <v>7173</v>
      </c>
      <c r="G1715" s="49">
        <f t="array" ref="G1715">MAX(IF(INSTOCK!$H$3:$H$6125=B1715,INSTOCK!$K$3:$K$6125))</f>
        <v>184.5</v>
      </c>
      <c r="H1715" s="50">
        <f t="array" ref="H1715">SUM(IF(INSTOCK!$H$3:$H$6125=B1715,INSTOCK!$I$3:$I$6125))</f>
        <v>23</v>
      </c>
      <c r="I1715" s="50" t="str">
        <f>ARRAY_CONSTRAIN(ARRAYFORMULA(SUM(IF([3]!Table13[ID]=B1715,[3]!Table13[QTY]))), 1, 1)</f>
        <v>#ERROR!</v>
      </c>
      <c r="J1715" s="50" t="str">
        <f>TABLEITEM!$H$3:$H$2749-TABLEITEM!$I$3:$I$2749</f>
        <v>#ERROR!</v>
      </c>
    </row>
    <row r="1716" ht="15.75" customHeight="1">
      <c r="A1716" s="45"/>
      <c r="B1716" s="10" t="s">
        <v>3506</v>
      </c>
      <c r="C1716" s="26"/>
      <c r="D1716" s="10" t="s">
        <v>9251</v>
      </c>
      <c r="E1716" s="48" t="s">
        <v>1487</v>
      </c>
      <c r="F1716" s="57" t="s">
        <v>7173</v>
      </c>
      <c r="G1716" s="49">
        <f t="array" ref="G1716">MAX(IF(INSTOCK!$H$3:$H$6125=B1716,INSTOCK!$K$3:$K$6125))</f>
        <v>184.5</v>
      </c>
      <c r="H1716" s="50">
        <f t="array" ref="H1716">SUM(IF(INSTOCK!$H$3:$H$6125=B1716,INSTOCK!$I$3:$I$6125))</f>
        <v>8</v>
      </c>
      <c r="I1716" s="50" t="str">
        <f>ARRAY_CONSTRAIN(ARRAYFORMULA(SUM(IF([3]!Table13[ID]=B1716,[3]!Table13[QTY]))), 1, 1)</f>
        <v>#ERROR!</v>
      </c>
      <c r="J1716" s="50" t="str">
        <f>TABLEITEM!$H$3:$H$2749-TABLEITEM!$I$3:$I$2749</f>
        <v>#ERROR!</v>
      </c>
    </row>
    <row r="1717" ht="15.75" customHeight="1">
      <c r="A1717" s="45"/>
      <c r="B1717" s="10" t="s">
        <v>3507</v>
      </c>
      <c r="C1717" s="26"/>
      <c r="D1717" s="10" t="s">
        <v>9252</v>
      </c>
      <c r="E1717" s="48" t="s">
        <v>1487</v>
      </c>
      <c r="F1717" s="57" t="s">
        <v>7173</v>
      </c>
      <c r="G1717" s="49">
        <f t="array" ref="G1717">MAX(IF(INSTOCK!$H$3:$H$6125=B1717,INSTOCK!$K$3:$K$6125))</f>
        <v>184.5</v>
      </c>
      <c r="H1717" s="50">
        <f t="array" ref="H1717">SUM(IF(INSTOCK!$H$3:$H$6125=B1717,INSTOCK!$I$3:$I$6125))</f>
        <v>1</v>
      </c>
      <c r="I1717" s="50" t="str">
        <f>ARRAY_CONSTRAIN(ARRAYFORMULA(SUM(IF([3]!Table13[ID]=B1717,[3]!Table13[QTY]))), 1, 1)</f>
        <v>#ERROR!</v>
      </c>
      <c r="J1717" s="50" t="str">
        <f>TABLEITEM!$H$3:$H$2749-TABLEITEM!$I$3:$I$2749</f>
        <v>#ERROR!</v>
      </c>
    </row>
    <row r="1718" ht="15.75" customHeight="1">
      <c r="A1718" s="45"/>
      <c r="B1718" s="18" t="s">
        <v>3508</v>
      </c>
      <c r="C1718" s="26"/>
      <c r="D1718" s="10" t="s">
        <v>9253</v>
      </c>
      <c r="E1718" s="48" t="s">
        <v>1487</v>
      </c>
      <c r="F1718" s="57" t="s">
        <v>7173</v>
      </c>
      <c r="G1718" s="49">
        <f t="array" ref="G1718">MAX(IF(INSTOCK!$H$3:$H$6125=B1718,INSTOCK!$K$3:$K$6125))</f>
        <v>184.5</v>
      </c>
      <c r="H1718" s="50">
        <f t="array" ref="H1718">SUM(IF(INSTOCK!$H$3:$H$6125=B1718,INSTOCK!$I$3:$I$6125))</f>
        <v>7</v>
      </c>
      <c r="I1718" s="50" t="str">
        <f>ARRAY_CONSTRAIN(ARRAYFORMULA(SUM(IF([3]!Table13[ID]=B1718,[3]!Table13[QTY]))), 1, 1)</f>
        <v>#ERROR!</v>
      </c>
      <c r="J1718" s="50" t="str">
        <f>TABLEITEM!$H$3:$H$2749-TABLEITEM!$I$3:$I$2749</f>
        <v>#ERROR!</v>
      </c>
    </row>
    <row r="1719" ht="15.75" customHeight="1">
      <c r="A1719" s="45"/>
      <c r="B1719" s="18" t="s">
        <v>3496</v>
      </c>
      <c r="C1719" s="26"/>
      <c r="D1719" s="18" t="s">
        <v>9254</v>
      </c>
      <c r="E1719" s="56"/>
      <c r="F1719" s="57"/>
      <c r="G1719" s="49">
        <f t="array" ref="G1719">MAX(IF(INSTOCK!$H$3:$H$6125=B1719,INSTOCK!$K$3:$K$6125))</f>
        <v>6000</v>
      </c>
      <c r="H1719" s="50">
        <f t="array" ref="H1719">SUM(IF(INSTOCK!$H$3:$H$6125=B1719,INSTOCK!$I$3:$I$6125))</f>
        <v>7</v>
      </c>
      <c r="I1719" s="50" t="str">
        <f>ARRAY_CONSTRAIN(ARRAYFORMULA(SUM(IF([3]!Table13[ID]=B1719,[3]!Table13[QTY]))), 1, 1)</f>
        <v>#ERROR!</v>
      </c>
      <c r="J1719" s="50" t="str">
        <f>TABLEITEM!$H$3:$H$2749-TABLEITEM!$I$3:$I$2749</f>
        <v>#ERROR!</v>
      </c>
    </row>
    <row r="1720" ht="15.75" customHeight="1">
      <c r="A1720" s="45"/>
      <c r="B1720" s="10" t="s">
        <v>3510</v>
      </c>
      <c r="C1720" s="26"/>
      <c r="D1720" s="10" t="s">
        <v>9255</v>
      </c>
      <c r="E1720" s="48" t="s">
        <v>9256</v>
      </c>
      <c r="F1720" s="57" t="s">
        <v>7173</v>
      </c>
      <c r="G1720" s="49">
        <f t="array" ref="G1720">MAX(IF(INSTOCK!$H$3:$H$6125=B1720,INSTOCK!$K$3:$K$6125))</f>
        <v>140</v>
      </c>
      <c r="H1720" s="50">
        <f t="array" ref="H1720">SUM(IF(INSTOCK!$H$3:$H$6125=B1720,INSTOCK!$I$3:$I$6125))</f>
        <v>21</v>
      </c>
      <c r="I1720" s="50" t="str">
        <f>ARRAY_CONSTRAIN(ARRAYFORMULA(SUM(IF([3]!Table13[ID]=B1720,[3]!Table13[QTY]))), 1, 1)</f>
        <v>#ERROR!</v>
      </c>
      <c r="J1720" s="50" t="str">
        <f>TABLEITEM!$H$3:$H$2749-TABLEITEM!$I$3:$I$2749</f>
        <v>#ERROR!</v>
      </c>
    </row>
    <row r="1721" ht="15.75" customHeight="1">
      <c r="A1721" s="45"/>
      <c r="B1721" s="18" t="s">
        <v>3511</v>
      </c>
      <c r="C1721" s="26"/>
      <c r="D1721" s="18" t="s">
        <v>9257</v>
      </c>
      <c r="E1721" s="56" t="s">
        <v>9258</v>
      </c>
      <c r="F1721" s="57" t="s">
        <v>7173</v>
      </c>
      <c r="G1721" s="49">
        <f t="array" ref="G1721">MAX(IF(INSTOCK!$H$3:$H$6125=B1721,INSTOCK!$K$3:$K$6125))</f>
        <v>55</v>
      </c>
      <c r="H1721" s="50">
        <f t="array" ref="H1721">SUM(IF(INSTOCK!$H$3:$H$6125=B1721,INSTOCK!$I$3:$I$6125))</f>
        <v>1</v>
      </c>
      <c r="I1721" s="50" t="str">
        <f>ARRAY_CONSTRAIN(ARRAYFORMULA(SUM(IF([3]!Table13[ID]=B1721,[3]!Table13[QTY]))), 1, 1)</f>
        <v>#ERROR!</v>
      </c>
      <c r="J1721" s="50" t="str">
        <f>TABLEITEM!$H$3:$H$2749-TABLEITEM!$I$3:$I$2749</f>
        <v>#ERROR!</v>
      </c>
    </row>
    <row r="1722" ht="15.75" customHeight="1">
      <c r="A1722" s="45"/>
      <c r="B1722" s="10" t="s">
        <v>3514</v>
      </c>
      <c r="C1722" s="26"/>
      <c r="D1722" s="10" t="s">
        <v>9259</v>
      </c>
      <c r="E1722" s="48" t="s">
        <v>9260</v>
      </c>
      <c r="F1722" s="48" t="s">
        <v>7173</v>
      </c>
      <c r="G1722" s="49">
        <f t="array" ref="G1722">MAX(IF(INSTOCK!$H$3:$H$6125=B1722,INSTOCK!$K$3:$K$6125))</f>
        <v>780</v>
      </c>
      <c r="H1722" s="50">
        <f t="array" ref="H1722">SUM(IF(INSTOCK!$H$3:$H$6125=B1722,INSTOCK!$I$3:$I$6125))</f>
        <v>1</v>
      </c>
      <c r="I1722" s="50" t="str">
        <f>ARRAY_CONSTRAIN(ARRAYFORMULA(SUM(IF([3]!Table13[ID]=B1722,[3]!Table13[QTY]))), 1, 1)</f>
        <v>#ERROR!</v>
      </c>
      <c r="J1722" s="50" t="str">
        <f>TABLEITEM!$H$3:$H$2749-TABLEITEM!$I$3:$I$2749</f>
        <v>#ERROR!</v>
      </c>
    </row>
    <row r="1723" ht="15.75" customHeight="1">
      <c r="A1723" s="45"/>
      <c r="B1723" s="10" t="s">
        <v>3515</v>
      </c>
      <c r="C1723" s="26"/>
      <c r="D1723" s="10" t="s">
        <v>9261</v>
      </c>
      <c r="E1723" s="48" t="s">
        <v>9260</v>
      </c>
      <c r="F1723" s="48" t="s">
        <v>7173</v>
      </c>
      <c r="G1723" s="49">
        <f t="array" ref="G1723">MAX(IF(INSTOCK!$H$3:$H$6125=B1723,INSTOCK!$K$3:$K$6125))</f>
        <v>450</v>
      </c>
      <c r="H1723" s="50">
        <f t="array" ref="H1723">SUM(IF(INSTOCK!$H$3:$H$6125=B1723,INSTOCK!$I$3:$I$6125))</f>
        <v>1</v>
      </c>
      <c r="I1723" s="50" t="str">
        <f>ARRAY_CONSTRAIN(ARRAYFORMULA(SUM(IF([3]!Table13[ID]=B1723,[3]!Table13[QTY]))), 1, 1)</f>
        <v>#ERROR!</v>
      </c>
      <c r="J1723" s="50" t="str">
        <f>TABLEITEM!$H$3:$H$2749-TABLEITEM!$I$3:$I$2749</f>
        <v>#ERROR!</v>
      </c>
    </row>
    <row r="1724" ht="15.75" customHeight="1">
      <c r="A1724" s="45"/>
      <c r="B1724" s="18" t="s">
        <v>3516</v>
      </c>
      <c r="C1724" s="26"/>
      <c r="D1724" s="18" t="s">
        <v>9262</v>
      </c>
      <c r="E1724" s="48" t="s">
        <v>9260</v>
      </c>
      <c r="F1724" s="48" t="s">
        <v>7173</v>
      </c>
      <c r="G1724" s="49">
        <f t="array" ref="G1724">MAX(IF(INSTOCK!$H$3:$H$6125=B1724,INSTOCK!$K$3:$K$6125))</f>
        <v>2000</v>
      </c>
      <c r="H1724" s="50">
        <f t="array" ref="H1724">SUM(IF(INSTOCK!$H$3:$H$6125=B1724,INSTOCK!$I$3:$I$6125))</f>
        <v>1</v>
      </c>
      <c r="I1724" s="50" t="str">
        <f>ARRAY_CONSTRAIN(ARRAYFORMULA(SUM(IF([3]!Table13[ID]=B1724,[3]!Table13[QTY]))), 1, 1)</f>
        <v>#ERROR!</v>
      </c>
      <c r="J1724" s="50" t="str">
        <f>TABLEITEM!$H$3:$H$2749-TABLEITEM!$I$3:$I$2749</f>
        <v>#ERROR!</v>
      </c>
    </row>
    <row r="1725" ht="15.75" customHeight="1">
      <c r="A1725" s="45"/>
      <c r="B1725" s="18" t="s">
        <v>3525</v>
      </c>
      <c r="C1725" s="26"/>
      <c r="D1725" s="18" t="s">
        <v>9263</v>
      </c>
      <c r="E1725" s="56" t="s">
        <v>1258</v>
      </c>
      <c r="F1725" s="48" t="s">
        <v>7189</v>
      </c>
      <c r="G1725" s="49">
        <f t="array" ref="G1725">MAX(IF(INSTOCK!$H$3:$H$6125=B1725,INSTOCK!$K$3:$K$6125))</f>
        <v>1165</v>
      </c>
      <c r="H1725" s="50">
        <f t="array" ref="H1725">SUM(IF(INSTOCK!$H$3:$H$6125=B1725,INSTOCK!$I$3:$I$6125))</f>
        <v>105</v>
      </c>
      <c r="I1725" s="50" t="str">
        <f>ARRAY_CONSTRAIN(ARRAYFORMULA(SUM(IF([3]!Table13[ID]=B1725,[3]!Table13[QTY]))), 1, 1)</f>
        <v>#ERROR!</v>
      </c>
      <c r="J1725" s="50" t="str">
        <f>TABLEITEM!$H$3:$H$2749-TABLEITEM!$I$3:$I$2749</f>
        <v>#ERROR!</v>
      </c>
    </row>
    <row r="1726" ht="15.75" customHeight="1">
      <c r="A1726" s="45"/>
      <c r="B1726" s="18" t="s">
        <v>3527</v>
      </c>
      <c r="C1726" s="26"/>
      <c r="D1726" s="18" t="s">
        <v>9264</v>
      </c>
      <c r="E1726" s="56" t="s">
        <v>1487</v>
      </c>
      <c r="F1726" s="57" t="s">
        <v>7173</v>
      </c>
      <c r="G1726" s="49">
        <f t="array" ref="G1726">MAX(IF(INSTOCK!$H$3:$H$6125=B1726,INSTOCK!$K$3:$K$6125))</f>
        <v>184.5</v>
      </c>
      <c r="H1726" s="50">
        <f t="array" ref="H1726">SUM(IF(INSTOCK!$H$3:$H$6125=B1726,INSTOCK!$I$3:$I$6125))</f>
        <v>5</v>
      </c>
      <c r="I1726" s="50" t="str">
        <f>ARRAY_CONSTRAIN(ARRAYFORMULA(SUM(IF([3]!Table13[ID]=B1726,[3]!Table13[QTY]))), 1, 1)</f>
        <v>#ERROR!</v>
      </c>
      <c r="J1726" s="50" t="str">
        <f>TABLEITEM!$H$3:$H$2749-TABLEITEM!$I$3:$I$2749</f>
        <v>#ERROR!</v>
      </c>
    </row>
    <row r="1727" ht="15.75" customHeight="1">
      <c r="A1727" s="45"/>
      <c r="B1727" s="18" t="s">
        <v>3532</v>
      </c>
      <c r="C1727" s="26"/>
      <c r="D1727" s="18" t="s">
        <v>9265</v>
      </c>
      <c r="E1727" s="56" t="s">
        <v>9266</v>
      </c>
      <c r="F1727" s="57" t="s">
        <v>7173</v>
      </c>
      <c r="G1727" s="49">
        <f t="array" ref="G1727">MAX(IF(INSTOCK!$H$3:$H$6125=B1727,INSTOCK!$K$3:$K$6125))</f>
        <v>4500</v>
      </c>
      <c r="H1727" s="50">
        <f t="array" ref="H1727">SUM(IF(INSTOCK!$H$3:$H$6125=B1727,INSTOCK!$I$3:$I$6125))</f>
        <v>1</v>
      </c>
      <c r="I1727" s="50" t="str">
        <f>ARRAY_CONSTRAIN(ARRAYFORMULA(SUM(IF([3]!Table13[ID]=B1727,[3]!Table13[QTY]))), 1, 1)</f>
        <v>#ERROR!</v>
      </c>
      <c r="J1727" s="50" t="str">
        <f>TABLEITEM!$H$3:$H$2749-TABLEITEM!$I$3:$I$2749</f>
        <v>#ERROR!</v>
      </c>
    </row>
    <row r="1728" ht="15.75" customHeight="1">
      <c r="A1728" s="45"/>
      <c r="B1728" s="18" t="s">
        <v>3535</v>
      </c>
      <c r="C1728" s="26"/>
      <c r="D1728" s="18" t="s">
        <v>9267</v>
      </c>
      <c r="E1728" s="56" t="s">
        <v>7654</v>
      </c>
      <c r="F1728" s="57" t="s">
        <v>7173</v>
      </c>
      <c r="G1728" s="49">
        <f t="array" ref="G1728">MAX(IF(INSTOCK!$H$3:$H$6125=B1728,INSTOCK!$K$3:$K$6125))</f>
        <v>17.5</v>
      </c>
      <c r="H1728" s="50">
        <f t="array" ref="H1728">SUM(IF(INSTOCK!$H$3:$H$6125=B1728,INSTOCK!$I$3:$I$6125))</f>
        <v>512</v>
      </c>
      <c r="I1728" s="50" t="str">
        <f>ARRAY_CONSTRAIN(ARRAYFORMULA(SUM(IF([3]!Table13[ID]=B1728,[3]!Table13[QTY]))), 1, 1)</f>
        <v>#ERROR!</v>
      </c>
      <c r="J1728" s="50" t="str">
        <f>TABLEITEM!$H$3:$H$2749-TABLEITEM!$I$3:$I$2749</f>
        <v>#ERROR!</v>
      </c>
    </row>
    <row r="1729" ht="15.75" customHeight="1">
      <c r="A1729" s="45"/>
      <c r="B1729" s="10" t="s">
        <v>3537</v>
      </c>
      <c r="C1729" s="26"/>
      <c r="D1729" s="10" t="s">
        <v>9268</v>
      </c>
      <c r="E1729" s="48"/>
      <c r="F1729" s="57" t="s">
        <v>7173</v>
      </c>
      <c r="G1729" s="49">
        <f t="array" ref="G1729">MAX(IF(INSTOCK!$H$3:$H$6125=B1729,INSTOCK!$K$3:$K$6125))</f>
        <v>200</v>
      </c>
      <c r="H1729" s="50">
        <f t="array" ref="H1729">SUM(IF(INSTOCK!$H$3:$H$6125=B1729,INSTOCK!$I$3:$I$6125))</f>
        <v>1</v>
      </c>
      <c r="I1729" s="50" t="str">
        <f>ARRAY_CONSTRAIN(ARRAYFORMULA(SUM(IF([3]!Table13[ID]=B1729,[3]!Table13[QTY]))), 1, 1)</f>
        <v>#ERROR!</v>
      </c>
      <c r="J1729" s="50" t="str">
        <f>TABLEITEM!$H$3:$H$2749-TABLEITEM!$I$3:$I$2749</f>
        <v>#ERROR!</v>
      </c>
    </row>
    <row r="1730" ht="15.75" customHeight="1">
      <c r="A1730" s="45"/>
      <c r="B1730" s="18" t="s">
        <v>3538</v>
      </c>
      <c r="C1730" s="26"/>
      <c r="D1730" s="18" t="s">
        <v>9269</v>
      </c>
      <c r="E1730" s="56"/>
      <c r="F1730" s="57" t="s">
        <v>8651</v>
      </c>
      <c r="G1730" s="49">
        <f t="array" ref="G1730">MAX(IF(INSTOCK!$H$3:$H$6125=B1730,INSTOCK!$K$3:$K$6125))</f>
        <v>1500</v>
      </c>
      <c r="H1730" s="50">
        <f t="array" ref="H1730">SUM(IF(INSTOCK!$H$3:$H$6125=B1730,INSTOCK!$I$3:$I$6125))</f>
        <v>1</v>
      </c>
      <c r="I1730" s="50" t="str">
        <f>ARRAY_CONSTRAIN(ARRAYFORMULA(SUM(IF([3]!Table13[ID]=B1730,[3]!Table13[QTY]))), 1, 1)</f>
        <v>#ERROR!</v>
      </c>
      <c r="J1730" s="50" t="str">
        <f>TABLEITEM!$H$3:$H$2749-TABLEITEM!$I$3:$I$2749</f>
        <v>#ERROR!</v>
      </c>
    </row>
    <row r="1731" ht="15.75" customHeight="1">
      <c r="A1731" s="45"/>
      <c r="B1731" s="18" t="s">
        <v>3542</v>
      </c>
      <c r="C1731" s="26"/>
      <c r="D1731" s="18" t="s">
        <v>9270</v>
      </c>
      <c r="E1731" s="56" t="s">
        <v>1504</v>
      </c>
      <c r="F1731" s="57" t="s">
        <v>7173</v>
      </c>
      <c r="G1731" s="49">
        <f t="array" ref="G1731">MAX(IF(INSTOCK!$H$3:$H$6125=B1731,INSTOCK!$K$3:$K$6125))</f>
        <v>11337.3</v>
      </c>
      <c r="H1731" s="50">
        <f t="array" ref="H1731">SUM(IF(INSTOCK!$H$3:$H$6125=B1731,INSTOCK!$I$3:$I$6125))</f>
        <v>1</v>
      </c>
      <c r="I1731" s="50" t="str">
        <f>ARRAY_CONSTRAIN(ARRAYFORMULA(SUM(IF([3]!Table13[ID]=B1731,[3]!Table13[QTY]))), 1, 1)</f>
        <v>#ERROR!</v>
      </c>
      <c r="J1731" s="50" t="str">
        <f>TABLEITEM!$H$3:$H$2749-TABLEITEM!$I$3:$I$2749</f>
        <v>#ERROR!</v>
      </c>
    </row>
    <row r="1732" ht="15.75" customHeight="1">
      <c r="A1732" s="45"/>
      <c r="B1732" s="10" t="s">
        <v>3546</v>
      </c>
      <c r="C1732" s="26"/>
      <c r="D1732" s="10" t="s">
        <v>9271</v>
      </c>
      <c r="E1732" s="48" t="s">
        <v>8360</v>
      </c>
      <c r="F1732" s="48" t="s">
        <v>7173</v>
      </c>
      <c r="G1732" s="49">
        <f t="array" ref="G1732">MAX(IF(INSTOCK!$H$3:$H$6125=B1732,INSTOCK!$K$3:$K$6125))</f>
        <v>200</v>
      </c>
      <c r="H1732" s="50">
        <f t="array" ref="H1732">SUM(IF(INSTOCK!$H$3:$H$6125=B1732,INSTOCK!$I$3:$I$6125))</f>
        <v>2</v>
      </c>
      <c r="I1732" s="50" t="str">
        <f>ARRAY_CONSTRAIN(ARRAYFORMULA(SUM(IF([3]!Table13[ID]=B1732,[3]!Table13[QTY]))), 1, 1)</f>
        <v>#ERROR!</v>
      </c>
      <c r="J1732" s="50" t="str">
        <f>TABLEITEM!$H$3:$H$2749-TABLEITEM!$I$3:$I$2749</f>
        <v>#ERROR!</v>
      </c>
    </row>
    <row r="1733" ht="15.75" customHeight="1">
      <c r="A1733" s="45"/>
      <c r="B1733" s="10" t="s">
        <v>3548</v>
      </c>
      <c r="C1733" s="26"/>
      <c r="D1733" s="18" t="s">
        <v>9272</v>
      </c>
      <c r="E1733" s="56" t="s">
        <v>1487</v>
      </c>
      <c r="F1733" s="57" t="s">
        <v>7173</v>
      </c>
      <c r="G1733" s="49">
        <f t="array" ref="G1733">MAX(IF(INSTOCK!$H$3:$H$6125=B1733,INSTOCK!$K$3:$K$6125))</f>
        <v>528.9</v>
      </c>
      <c r="H1733" s="50">
        <f t="array" ref="H1733">SUM(IF(INSTOCK!$H$3:$H$6125=B1733,INSTOCK!$I$3:$I$6125))</f>
        <v>2</v>
      </c>
      <c r="I1733" s="50" t="str">
        <f>ARRAY_CONSTRAIN(ARRAYFORMULA(SUM(IF([3]!Table13[ID]=B1733,[3]!Table13[QTY]))), 1, 1)</f>
        <v>#ERROR!</v>
      </c>
      <c r="J1733" s="50" t="str">
        <f>TABLEITEM!$H$3:$H$2749-TABLEITEM!$I$3:$I$2749</f>
        <v>#ERROR!</v>
      </c>
    </row>
    <row r="1734" ht="15.75" customHeight="1">
      <c r="A1734" s="45"/>
      <c r="B1734" s="18" t="s">
        <v>3550</v>
      </c>
      <c r="C1734" s="26"/>
      <c r="D1734" s="18" t="s">
        <v>9273</v>
      </c>
      <c r="E1734" s="56" t="s">
        <v>1487</v>
      </c>
      <c r="F1734" s="57" t="s">
        <v>7173</v>
      </c>
      <c r="G1734" s="49">
        <f t="array" ref="G1734">MAX(IF(INSTOCK!$H$3:$H$6125=B1734,INSTOCK!$K$3:$K$6125))</f>
        <v>455.8</v>
      </c>
      <c r="H1734" s="50">
        <f t="array" ref="H1734">SUM(IF(INSTOCK!$H$3:$H$6125=B1734,INSTOCK!$I$3:$I$6125))</f>
        <v>1</v>
      </c>
      <c r="I1734" s="50" t="str">
        <f>ARRAY_CONSTRAIN(ARRAYFORMULA(SUM(IF([3]!Table13[ID]=B1734,[3]!Table13[QTY]))), 1, 1)</f>
        <v>#ERROR!</v>
      </c>
      <c r="J1734" s="50" t="str">
        <f>TABLEITEM!$H$3:$H$2749-TABLEITEM!$I$3:$I$2749</f>
        <v>#ERROR!</v>
      </c>
    </row>
    <row r="1735" ht="15.75" customHeight="1">
      <c r="A1735" s="45"/>
      <c r="B1735" s="18" t="s">
        <v>3557</v>
      </c>
      <c r="C1735" s="26"/>
      <c r="D1735" s="18" t="s">
        <v>9274</v>
      </c>
      <c r="E1735" s="56" t="s">
        <v>2231</v>
      </c>
      <c r="F1735" s="57" t="s">
        <v>7173</v>
      </c>
      <c r="G1735" s="49">
        <f t="array" ref="G1735">MAX(IF(INSTOCK!$H$3:$H$6125=B1735,INSTOCK!$K$3:$K$6125))</f>
        <v>134</v>
      </c>
      <c r="H1735" s="50">
        <f t="array" ref="H1735">SUM(IF(INSTOCK!$H$3:$H$6125=B1735,INSTOCK!$I$3:$I$6125))</f>
        <v>5</v>
      </c>
      <c r="I1735" s="50" t="str">
        <f>ARRAY_CONSTRAIN(ARRAYFORMULA(SUM(IF([3]!Table13[ID]=B1735,[3]!Table13[QTY]))), 1, 1)</f>
        <v>#ERROR!</v>
      </c>
      <c r="J1735" s="50" t="str">
        <f>TABLEITEM!$H$3:$H$2749-TABLEITEM!$I$3:$I$2749</f>
        <v>#ERROR!</v>
      </c>
    </row>
    <row r="1736" ht="15.75" customHeight="1">
      <c r="A1736" s="45"/>
      <c r="B1736" s="18" t="s">
        <v>3569</v>
      </c>
      <c r="C1736" s="26"/>
      <c r="D1736" s="18" t="s">
        <v>9275</v>
      </c>
      <c r="E1736" s="56"/>
      <c r="F1736" s="48" t="s">
        <v>7173</v>
      </c>
      <c r="G1736" s="49">
        <f t="array" ref="G1736">MAX(IF(INSTOCK!$H$3:$H$6125=B1736,INSTOCK!$K$3:$K$6125))</f>
        <v>400</v>
      </c>
      <c r="H1736" s="50">
        <f t="array" ref="H1736">SUM(IF(INSTOCK!$H$3:$H$6125=B1736,INSTOCK!$I$3:$I$6125))</f>
        <v>1</v>
      </c>
      <c r="I1736" s="50" t="str">
        <f>ARRAY_CONSTRAIN(ARRAYFORMULA(SUM(IF([3]!Table13[ID]=B1736,[3]!Table13[QTY]))), 1, 1)</f>
        <v>#ERROR!</v>
      </c>
      <c r="J1736" s="50" t="str">
        <f>TABLEITEM!$H$3:$H$2749-TABLEITEM!$I$3:$I$2749</f>
        <v>#ERROR!</v>
      </c>
    </row>
    <row r="1737" ht="15.75" customHeight="1">
      <c r="A1737" s="45"/>
      <c r="B1737" s="18" t="s">
        <v>3560</v>
      </c>
      <c r="C1737" s="26"/>
      <c r="D1737" s="18" t="s">
        <v>9276</v>
      </c>
      <c r="E1737" s="56" t="s">
        <v>1504</v>
      </c>
      <c r="F1737" s="57" t="s">
        <v>7173</v>
      </c>
      <c r="G1737" s="49">
        <f t="array" ref="G1737">MAX(IF(INSTOCK!$H$3:$H$6125=B1737,INSTOCK!$K$3:$K$6125))</f>
        <v>65</v>
      </c>
      <c r="H1737" s="50">
        <f t="array" ref="H1737">SUM(IF(INSTOCK!$H$3:$H$6125=B1737,INSTOCK!$I$3:$I$6125))</f>
        <v>100</v>
      </c>
      <c r="I1737" s="50" t="str">
        <f>ARRAY_CONSTRAIN(ARRAYFORMULA(SUM(IF([3]!Table13[ID]=B1737,[3]!Table13[QTY]))), 1, 1)</f>
        <v>#ERROR!</v>
      </c>
      <c r="J1737" s="50" t="str">
        <f>TABLEITEM!$H$3:$H$2749-TABLEITEM!$I$3:$I$2749</f>
        <v>#ERROR!</v>
      </c>
    </row>
    <row r="1738" ht="15.75" customHeight="1">
      <c r="A1738" s="45"/>
      <c r="B1738" s="18" t="s">
        <v>3576</v>
      </c>
      <c r="C1738" s="26"/>
      <c r="D1738" s="18" t="s">
        <v>9277</v>
      </c>
      <c r="E1738" s="56" t="s">
        <v>9278</v>
      </c>
      <c r="F1738" s="48" t="s">
        <v>9279</v>
      </c>
      <c r="G1738" s="49">
        <f t="array" ref="G1738">MAX(IF(INSTOCK!$H$3:$H$6125=B1738,INSTOCK!$K$3:$K$6125))</f>
        <v>50</v>
      </c>
      <c r="H1738" s="50">
        <f t="array" ref="H1738">SUM(IF(INSTOCK!$H$3:$H$6125=B1738,INSTOCK!$I$3:$I$6125))</f>
        <v>70</v>
      </c>
      <c r="I1738" s="50" t="str">
        <f>ARRAY_CONSTRAIN(ARRAYFORMULA(SUM(IF([3]!Table13[ID]=B1738,[3]!Table13[QTY]))), 1, 1)</f>
        <v>#ERROR!</v>
      </c>
      <c r="J1738" s="50" t="str">
        <f>TABLEITEM!$H$3:$H$2749-TABLEITEM!$I$3:$I$2749</f>
        <v>#ERROR!</v>
      </c>
    </row>
    <row r="1739" ht="15.75" customHeight="1">
      <c r="A1739" s="45"/>
      <c r="B1739" s="18" t="s">
        <v>3598</v>
      </c>
      <c r="C1739" s="26" t="s">
        <v>7174</v>
      </c>
      <c r="D1739" s="18" t="s">
        <v>9280</v>
      </c>
      <c r="E1739" s="56" t="s">
        <v>617</v>
      </c>
      <c r="F1739" s="57" t="s">
        <v>7429</v>
      </c>
      <c r="G1739" s="49">
        <f t="array" ref="G1739">MAX(IF(INSTOCK!$H$3:$H$6125=B1739,INSTOCK!$K$3:$K$6125))</f>
        <v>548.8</v>
      </c>
      <c r="H1739" s="50">
        <f t="array" ref="H1739">SUM(IF(INSTOCK!$H$3:$H$6125=B1739,INSTOCK!$I$3:$I$6125))</f>
        <v>50</v>
      </c>
      <c r="I1739" s="50" t="str">
        <f>ARRAY_CONSTRAIN(ARRAYFORMULA(SUM(IF([3]!Table13[ID]=B1739,[3]!Table13[QTY]))), 1, 1)</f>
        <v>#ERROR!</v>
      </c>
      <c r="J1739" s="50" t="str">
        <f>TABLEITEM!$H$3:$H$2749-TABLEITEM!$I$3:$I$2749</f>
        <v>#ERROR!</v>
      </c>
    </row>
    <row r="1740" ht="15.75" customHeight="1">
      <c r="A1740" s="45"/>
      <c r="B1740" s="18" t="s">
        <v>3578</v>
      </c>
      <c r="C1740" s="26"/>
      <c r="D1740" s="18" t="s">
        <v>9281</v>
      </c>
      <c r="E1740" s="56" t="s">
        <v>1504</v>
      </c>
      <c r="F1740" s="57" t="s">
        <v>7173</v>
      </c>
      <c r="G1740" s="49">
        <f t="array" ref="G1740">MAX(IF(INSTOCK!$H$3:$H$6125=B1740,INSTOCK!$K$3:$K$6125))</f>
        <v>3310.75</v>
      </c>
      <c r="H1740" s="50">
        <f t="array" ref="H1740">SUM(IF(INSTOCK!$H$3:$H$6125=B1740,INSTOCK!$I$3:$I$6125))</f>
        <v>4</v>
      </c>
      <c r="I1740" s="50" t="str">
        <f>ARRAY_CONSTRAIN(ARRAYFORMULA(SUM(IF([3]!Table13[ID]=B1740,[3]!Table13[QTY]))), 1, 1)</f>
        <v>#ERROR!</v>
      </c>
      <c r="J1740" s="50" t="str">
        <f>TABLEITEM!$H$3:$H$2749-TABLEITEM!$I$3:$I$2749</f>
        <v>#ERROR!</v>
      </c>
    </row>
    <row r="1741" ht="15.75" customHeight="1">
      <c r="A1741" s="45"/>
      <c r="B1741" s="18" t="s">
        <v>3584</v>
      </c>
      <c r="C1741" s="26"/>
      <c r="D1741" s="18" t="s">
        <v>9282</v>
      </c>
      <c r="E1741" s="56"/>
      <c r="F1741" s="48" t="s">
        <v>7173</v>
      </c>
      <c r="G1741" s="49">
        <f t="array" ref="G1741">MAX(IF(INSTOCK!$H$3:$H$6125=B1741,INSTOCK!$K$3:$K$6125))</f>
        <v>200</v>
      </c>
      <c r="H1741" s="50">
        <f t="array" ref="H1741">SUM(IF(INSTOCK!$H$3:$H$6125=B1741,INSTOCK!$I$3:$I$6125))</f>
        <v>32</v>
      </c>
      <c r="I1741" s="50" t="str">
        <f>ARRAY_CONSTRAIN(ARRAYFORMULA(SUM(IF([3]!Table13[ID]=B1741,[3]!Table13[QTY]))), 1, 1)</f>
        <v>#ERROR!</v>
      </c>
      <c r="J1741" s="50" t="str">
        <f>TABLEITEM!$H$3:$H$2749-TABLEITEM!$I$3:$I$2749</f>
        <v>#ERROR!</v>
      </c>
    </row>
    <row r="1742" ht="15.75" customHeight="1">
      <c r="A1742" s="45"/>
      <c r="B1742" s="10" t="s">
        <v>3586</v>
      </c>
      <c r="C1742" s="26"/>
      <c r="D1742" s="10" t="s">
        <v>9283</v>
      </c>
      <c r="E1742" s="48" t="s">
        <v>9284</v>
      </c>
      <c r="F1742" s="48" t="s">
        <v>7173</v>
      </c>
      <c r="G1742" s="49">
        <f t="array" ref="G1742">MAX(IF(INSTOCK!$H$3:$H$6125=B1742,INSTOCK!$K$3:$K$6125))</f>
        <v>130</v>
      </c>
      <c r="H1742" s="50">
        <f t="array" ref="H1742">SUM(IF(INSTOCK!$H$3:$H$6125=B1742,INSTOCK!$I$3:$I$6125))</f>
        <v>1</v>
      </c>
      <c r="I1742" s="50" t="str">
        <f>ARRAY_CONSTRAIN(ARRAYFORMULA(SUM(IF([3]!Table13[ID]=B1742,[3]!Table13[QTY]))), 1, 1)</f>
        <v>#ERROR!</v>
      </c>
      <c r="J1742" s="50" t="str">
        <f>TABLEITEM!$H$3:$H$2749-TABLEITEM!$I$3:$I$2749</f>
        <v>#ERROR!</v>
      </c>
    </row>
    <row r="1743" ht="15.75" customHeight="1">
      <c r="A1743" s="45"/>
      <c r="B1743" s="18" t="s">
        <v>3587</v>
      </c>
      <c r="C1743" s="26"/>
      <c r="D1743" s="18" t="s">
        <v>9285</v>
      </c>
      <c r="E1743" s="56" t="s">
        <v>9284</v>
      </c>
      <c r="F1743" s="48" t="s">
        <v>7173</v>
      </c>
      <c r="G1743" s="49">
        <f t="array" ref="G1743">MAX(IF(INSTOCK!$H$3:$H$6125=B1743,INSTOCK!$K$3:$K$6125))</f>
        <v>130</v>
      </c>
      <c r="H1743" s="50">
        <f t="array" ref="H1743">SUM(IF(INSTOCK!$H$3:$H$6125=B1743,INSTOCK!$I$3:$I$6125))</f>
        <v>1</v>
      </c>
      <c r="I1743" s="50" t="str">
        <f>ARRAY_CONSTRAIN(ARRAYFORMULA(SUM(IF([3]!Table13[ID]=B1743,[3]!Table13[QTY]))), 1, 1)</f>
        <v>#ERROR!</v>
      </c>
      <c r="J1743" s="50" t="str">
        <f>TABLEITEM!$H$3:$H$2749-TABLEITEM!$I$3:$I$2749</f>
        <v>#ERROR!</v>
      </c>
    </row>
    <row r="1744" ht="15.75" customHeight="1">
      <c r="A1744" s="45"/>
      <c r="B1744" s="18" t="s">
        <v>3606</v>
      </c>
      <c r="C1744" s="26"/>
      <c r="D1744" s="18" t="s">
        <v>9286</v>
      </c>
      <c r="E1744" s="56" t="s">
        <v>1453</v>
      </c>
      <c r="F1744" s="57" t="s">
        <v>7173</v>
      </c>
      <c r="G1744" s="49">
        <f t="array" ref="G1744">MAX(IF(INSTOCK!$H$3:$H$6125=B1744,INSTOCK!$K$3:$K$6125))</f>
        <v>139.65</v>
      </c>
      <c r="H1744" s="50">
        <f t="array" ref="H1744">SUM(IF(INSTOCK!$H$3:$H$6125=B1744,INSTOCK!$I$3:$I$6125))</f>
        <v>20</v>
      </c>
      <c r="I1744" s="50" t="str">
        <f>ARRAY_CONSTRAIN(ARRAYFORMULA(SUM(IF([3]!Table13[ID]=B1744,[3]!Table13[QTY]))), 1, 1)</f>
        <v>#ERROR!</v>
      </c>
      <c r="J1744" s="50" t="str">
        <f>TABLEITEM!$H$3:$H$2749-TABLEITEM!$I$3:$I$2749</f>
        <v>#ERROR!</v>
      </c>
    </row>
    <row r="1745" ht="15.75" customHeight="1">
      <c r="A1745" s="45"/>
      <c r="B1745" s="10" t="s">
        <v>3609</v>
      </c>
      <c r="C1745" s="26"/>
      <c r="D1745" s="10" t="s">
        <v>9287</v>
      </c>
      <c r="E1745" s="48"/>
      <c r="F1745" s="48" t="s">
        <v>7173</v>
      </c>
      <c r="G1745" s="49">
        <f t="array" ref="G1745">MAX(IF(INSTOCK!$H$3:$H$6125=B1745,INSTOCK!$K$3:$K$6125))</f>
        <v>80</v>
      </c>
      <c r="H1745" s="50">
        <f t="array" ref="H1745">SUM(IF(INSTOCK!$H$3:$H$6125=B1745,INSTOCK!$I$3:$I$6125))</f>
        <v>10</v>
      </c>
      <c r="I1745" s="50" t="str">
        <f>ARRAY_CONSTRAIN(ARRAYFORMULA(SUM(IF([3]!Table13[ID]=B1745,[3]!Table13[QTY]))), 1, 1)</f>
        <v>#ERROR!</v>
      </c>
      <c r="J1745" s="50" t="str">
        <f>TABLEITEM!$H$3:$H$2749-TABLEITEM!$I$3:$I$2749</f>
        <v>#ERROR!</v>
      </c>
    </row>
    <row r="1746" ht="15.75" customHeight="1">
      <c r="A1746" s="45"/>
      <c r="B1746" s="10" t="s">
        <v>3610</v>
      </c>
      <c r="C1746" s="26"/>
      <c r="D1746" s="10" t="s">
        <v>9288</v>
      </c>
      <c r="E1746" s="48"/>
      <c r="F1746" s="48" t="s">
        <v>7173</v>
      </c>
      <c r="G1746" s="49">
        <f t="array" ref="G1746">MAX(IF(INSTOCK!$H$3:$H$6125=B1746,INSTOCK!$K$3:$K$6125))</f>
        <v>18</v>
      </c>
      <c r="H1746" s="50">
        <f t="array" ref="H1746">SUM(IF(INSTOCK!$H$3:$H$6125=B1746,INSTOCK!$I$3:$I$6125))</f>
        <v>20</v>
      </c>
      <c r="I1746" s="50" t="str">
        <f>ARRAY_CONSTRAIN(ARRAYFORMULA(SUM(IF([3]!Table13[ID]=B1746,[3]!Table13[QTY]))), 1, 1)</f>
        <v>#ERROR!</v>
      </c>
      <c r="J1746" s="50" t="str">
        <f>TABLEITEM!$H$3:$H$2749-TABLEITEM!$I$3:$I$2749</f>
        <v>#ERROR!</v>
      </c>
    </row>
    <row r="1747" ht="15.75" customHeight="1">
      <c r="A1747" s="45"/>
      <c r="B1747" s="18" t="s">
        <v>3611</v>
      </c>
      <c r="C1747" s="26"/>
      <c r="D1747" s="18" t="s">
        <v>9289</v>
      </c>
      <c r="E1747" s="56"/>
      <c r="F1747" s="48" t="s">
        <v>7173</v>
      </c>
      <c r="G1747" s="49">
        <f t="array" ref="G1747">MAX(IF(INSTOCK!$H$3:$H$6125=B1747,INSTOCK!$K$3:$K$6125))</f>
        <v>26</v>
      </c>
      <c r="H1747" s="50">
        <f t="array" ref="H1747">SUM(IF(INSTOCK!$H$3:$H$6125=B1747,INSTOCK!$I$3:$I$6125))</f>
        <v>10</v>
      </c>
      <c r="I1747" s="50" t="str">
        <f>ARRAY_CONSTRAIN(ARRAYFORMULA(SUM(IF([3]!Table13[ID]=B1747,[3]!Table13[QTY]))), 1, 1)</f>
        <v>#ERROR!</v>
      </c>
      <c r="J1747" s="50" t="str">
        <f>TABLEITEM!$H$3:$H$2749-TABLEITEM!$I$3:$I$2749</f>
        <v>#ERROR!</v>
      </c>
    </row>
    <row r="1748" ht="15.75" customHeight="1">
      <c r="A1748" s="45"/>
      <c r="B1748" s="10" t="s">
        <v>3615</v>
      </c>
      <c r="C1748" s="26"/>
      <c r="D1748" s="10" t="s">
        <v>9290</v>
      </c>
      <c r="E1748" s="48" t="s">
        <v>1504</v>
      </c>
      <c r="F1748" s="57" t="s">
        <v>7173</v>
      </c>
      <c r="G1748" s="49">
        <f t="array" ref="G1748">MAX(IF(INSTOCK!$H$3:$H$6125=B1748,INSTOCK!$K$3:$K$6125))</f>
        <v>14952.6</v>
      </c>
      <c r="H1748" s="50">
        <f t="array" ref="H1748">SUM(IF(INSTOCK!$H$3:$H$6125=B1748,INSTOCK!$I$3:$I$6125))</f>
        <v>1</v>
      </c>
      <c r="I1748" s="50" t="str">
        <f>ARRAY_CONSTRAIN(ARRAYFORMULA(SUM(IF([3]!Table13[ID]=B1748,[3]!Table13[QTY]))), 1, 1)</f>
        <v>#ERROR!</v>
      </c>
      <c r="J1748" s="50" t="str">
        <f>TABLEITEM!$H$3:$H$2749-TABLEITEM!$I$3:$I$2749</f>
        <v>#ERROR!</v>
      </c>
    </row>
    <row r="1749" ht="15.75" customHeight="1">
      <c r="A1749" s="45"/>
      <c r="B1749" s="10" t="s">
        <v>3617</v>
      </c>
      <c r="C1749" s="26"/>
      <c r="D1749" s="10" t="s">
        <v>9291</v>
      </c>
      <c r="E1749" s="48" t="s">
        <v>1504</v>
      </c>
      <c r="F1749" s="57" t="s">
        <v>7173</v>
      </c>
      <c r="G1749" s="49">
        <f t="array" ref="G1749">MAX(IF(INSTOCK!$H$3:$H$6125=B1749,INSTOCK!$K$3:$K$6125))</f>
        <v>0</v>
      </c>
      <c r="H1749" s="50">
        <f t="array" ref="H1749">SUM(IF(INSTOCK!$H$3:$H$6125=B1749,INSTOCK!$I$3:$I$6125))</f>
        <v>1</v>
      </c>
      <c r="I1749" s="50" t="str">
        <f>ARRAY_CONSTRAIN(ARRAYFORMULA(SUM(IF([3]!Table13[ID]=B1749,[3]!Table13[QTY]))), 1, 1)</f>
        <v>#ERROR!</v>
      </c>
      <c r="J1749" s="50" t="str">
        <f>TABLEITEM!$H$3:$H$2749-TABLEITEM!$I$3:$I$2749</f>
        <v>#ERROR!</v>
      </c>
    </row>
    <row r="1750" ht="15.75" customHeight="1">
      <c r="A1750" s="45"/>
      <c r="B1750" s="18" t="s">
        <v>3618</v>
      </c>
      <c r="C1750" s="26"/>
      <c r="D1750" s="18" t="s">
        <v>9292</v>
      </c>
      <c r="E1750" s="56" t="s">
        <v>1504</v>
      </c>
      <c r="F1750" s="57" t="s">
        <v>7173</v>
      </c>
      <c r="G1750" s="49">
        <f t="array" ref="G1750">MAX(IF(INSTOCK!$H$3:$H$6125=B1750,INSTOCK!$K$3:$K$6125))</f>
        <v>1263.6</v>
      </c>
      <c r="H1750" s="50">
        <f t="array" ref="H1750">SUM(IF(INSTOCK!$H$3:$H$6125=B1750,INSTOCK!$I$3:$I$6125))</f>
        <v>4</v>
      </c>
      <c r="I1750" s="50" t="str">
        <f>ARRAY_CONSTRAIN(ARRAYFORMULA(SUM(IF([3]!Table13[ID]=B1750,[3]!Table13[QTY]))), 1, 1)</f>
        <v>#ERROR!</v>
      </c>
      <c r="J1750" s="50" t="str">
        <f>TABLEITEM!$H$3:$H$2749-TABLEITEM!$I$3:$I$2749</f>
        <v>#ERROR!</v>
      </c>
    </row>
    <row r="1751" ht="15.75" customHeight="1">
      <c r="A1751" s="45"/>
      <c r="B1751" s="18" t="s">
        <v>3622</v>
      </c>
      <c r="C1751" s="26"/>
      <c r="D1751" s="18" t="s">
        <v>9293</v>
      </c>
      <c r="E1751" s="56"/>
      <c r="F1751" s="57" t="s">
        <v>7189</v>
      </c>
      <c r="G1751" s="49">
        <f t="array" ref="G1751">MAX(IF(INSTOCK!$H$3:$H$6125=B1751,INSTOCK!$K$3:$K$6125))</f>
        <v>50</v>
      </c>
      <c r="H1751" s="50">
        <f t="array" ref="H1751">SUM(IF(INSTOCK!$H$3:$H$6125=B1751,INSTOCK!$I$3:$I$6125))</f>
        <v>30</v>
      </c>
      <c r="I1751" s="50" t="str">
        <f>ARRAY_CONSTRAIN(ARRAYFORMULA(SUM(IF([3]!Table13[ID]=B1751,[3]!Table13[QTY]))), 1, 1)</f>
        <v>#ERROR!</v>
      </c>
      <c r="J1751" s="50" t="str">
        <f>TABLEITEM!$H$3:$H$2749-TABLEITEM!$I$3:$I$2749</f>
        <v>#ERROR!</v>
      </c>
    </row>
    <row r="1752" ht="15.75" customHeight="1">
      <c r="A1752" s="45"/>
      <c r="B1752" s="18" t="s">
        <v>3631</v>
      </c>
      <c r="C1752" s="26"/>
      <c r="D1752" s="18" t="s">
        <v>9294</v>
      </c>
      <c r="E1752" s="56" t="s">
        <v>9295</v>
      </c>
      <c r="F1752" s="57" t="s">
        <v>7173</v>
      </c>
      <c r="G1752" s="49">
        <f t="array" ref="G1752">MAX(IF(INSTOCK!$H$3:$H$6125=B1752,INSTOCK!$K$3:$K$6125))</f>
        <v>7312</v>
      </c>
      <c r="H1752" s="50">
        <f t="array" ref="H1752">SUM(IF(INSTOCK!$H$3:$H$6125=B1752,INSTOCK!$I$3:$I$6125))</f>
        <v>1</v>
      </c>
      <c r="I1752" s="50" t="str">
        <f>ARRAY_CONSTRAIN(ARRAYFORMULA(SUM(IF([3]!Table13[ID]=B1752,[3]!Table13[QTY]))), 1, 1)</f>
        <v>#ERROR!</v>
      </c>
      <c r="J1752" s="50" t="str">
        <f>TABLEITEM!$H$3:$H$2749-TABLEITEM!$I$3:$I$2749</f>
        <v>#ERROR!</v>
      </c>
    </row>
    <row r="1753" ht="15.75" customHeight="1">
      <c r="A1753" s="45"/>
      <c r="B1753" s="18" t="s">
        <v>3639</v>
      </c>
      <c r="C1753" s="26"/>
      <c r="D1753" s="18" t="s">
        <v>9296</v>
      </c>
      <c r="E1753" s="56"/>
      <c r="F1753" s="57" t="s">
        <v>7173</v>
      </c>
      <c r="G1753" s="49">
        <f t="array" ref="G1753">MAX(IF(INSTOCK!$H$3:$H$6125=B1753,INSTOCK!$K$3:$K$6125))</f>
        <v>4650</v>
      </c>
      <c r="H1753" s="50">
        <f t="array" ref="H1753">SUM(IF(INSTOCK!$H$3:$H$6125=B1753,INSTOCK!$I$3:$I$6125))</f>
        <v>1</v>
      </c>
      <c r="I1753" s="50" t="str">
        <f>ARRAY_CONSTRAIN(ARRAYFORMULA(SUM(IF([3]!Table13[ID]=B1753,[3]!Table13[QTY]))), 1, 1)</f>
        <v>#ERROR!</v>
      </c>
      <c r="J1753" s="50" t="str">
        <f>TABLEITEM!$H$3:$H$2749-TABLEITEM!$I$3:$I$2749</f>
        <v>#ERROR!</v>
      </c>
    </row>
    <row r="1754" ht="15.75" customHeight="1">
      <c r="A1754" s="45"/>
      <c r="B1754" s="10" t="s">
        <v>4174</v>
      </c>
      <c r="C1754" s="26"/>
      <c r="D1754" s="10" t="s">
        <v>9297</v>
      </c>
      <c r="E1754" s="48" t="s">
        <v>7760</v>
      </c>
      <c r="F1754" s="57" t="s">
        <v>7173</v>
      </c>
      <c r="G1754" s="49">
        <f t="array" ref="G1754">MAX(IF(INSTOCK!$H$3:$H$6125=B1754,INSTOCK!$K$3:$K$6125))</f>
        <v>25</v>
      </c>
      <c r="H1754" s="50">
        <f t="array" ref="H1754">SUM(IF(INSTOCK!$H$3:$H$6125=B1754,INSTOCK!$I$3:$I$6125))</f>
        <v>2</v>
      </c>
      <c r="I1754" s="50" t="str">
        <f>ARRAY_CONSTRAIN(ARRAYFORMULA(SUM(IF([3]!Table13[ID]=B1754,[3]!Table13[QTY]))), 1, 1)</f>
        <v>#ERROR!</v>
      </c>
      <c r="J1754" s="50" t="str">
        <f>TABLEITEM!$H$3:$H$2749-TABLEITEM!$I$3:$I$2749</f>
        <v>#ERROR!</v>
      </c>
    </row>
    <row r="1755" ht="15.75" customHeight="1">
      <c r="A1755" s="45"/>
      <c r="B1755" s="18" t="s">
        <v>3417</v>
      </c>
      <c r="C1755" s="26"/>
      <c r="D1755" s="18" t="s">
        <v>9298</v>
      </c>
      <c r="E1755" s="48" t="s">
        <v>8734</v>
      </c>
      <c r="F1755" s="57" t="s">
        <v>7173</v>
      </c>
      <c r="G1755" s="49">
        <f t="array" ref="G1755">MAX(IF(INSTOCK!$H$3:$H$6125=B1755,INSTOCK!$K$3:$K$6125))</f>
        <v>31</v>
      </c>
      <c r="H1755" s="50">
        <f t="array" ref="H1755">SUM(IF(INSTOCK!$H$3:$H$6125=B1755,INSTOCK!$I$3:$I$6125))</f>
        <v>6</v>
      </c>
      <c r="I1755" s="50" t="str">
        <f>ARRAY_CONSTRAIN(ARRAYFORMULA(SUM(IF([3]!Table13[ID]=B1755,[3]!Table13[QTY]))), 1, 1)</f>
        <v>#ERROR!</v>
      </c>
      <c r="J1755" s="50" t="str">
        <f>TABLEITEM!$H$3:$H$2749-TABLEITEM!$I$3:$I$2749</f>
        <v>#ERROR!</v>
      </c>
    </row>
    <row r="1756" ht="15.75" customHeight="1">
      <c r="A1756" s="45"/>
      <c r="B1756" s="10" t="s">
        <v>3658</v>
      </c>
      <c r="C1756" s="26"/>
      <c r="D1756" s="10" t="s">
        <v>9299</v>
      </c>
      <c r="E1756" s="56"/>
      <c r="F1756" s="57" t="s">
        <v>7173</v>
      </c>
      <c r="G1756" s="49">
        <f t="array" ref="G1756">MAX(IF(INSTOCK!$H$3:$H$6125=B1756,INSTOCK!$K$3:$K$6125))</f>
        <v>40</v>
      </c>
      <c r="H1756" s="50">
        <f t="array" ref="H1756">SUM(IF(INSTOCK!$H$3:$H$6125=B1756,INSTOCK!$I$3:$I$6125))</f>
        <v>20</v>
      </c>
      <c r="I1756" s="50" t="str">
        <f>ARRAY_CONSTRAIN(ARRAYFORMULA(SUM(IF([3]!Table13[ID]=B1756,[3]!Table13[QTY]))), 1, 1)</f>
        <v>#ERROR!</v>
      </c>
      <c r="J1756" s="50" t="str">
        <f>TABLEITEM!$H$3:$H$2749-TABLEITEM!$I$3:$I$2749</f>
        <v>#ERROR!</v>
      </c>
    </row>
    <row r="1757" ht="15.75" customHeight="1">
      <c r="A1757" s="45"/>
      <c r="B1757" s="10" t="s">
        <v>3663</v>
      </c>
      <c r="C1757" s="26"/>
      <c r="D1757" s="10" t="s">
        <v>9300</v>
      </c>
      <c r="E1757" s="56" t="s">
        <v>9301</v>
      </c>
      <c r="F1757" s="48" t="s">
        <v>7189</v>
      </c>
      <c r="G1757" s="49">
        <f t="array" ref="G1757">MAX(IF(INSTOCK!$H$3:$H$6125=B1757,INSTOCK!$K$3:$K$6125))</f>
        <v>140</v>
      </c>
      <c r="H1757" s="50">
        <f t="array" ref="H1757">SUM(IF(INSTOCK!$H$3:$H$6125=B1757,INSTOCK!$I$3:$I$6125))</f>
        <v>40</v>
      </c>
      <c r="I1757" s="50" t="str">
        <f>ARRAY_CONSTRAIN(ARRAYFORMULA(SUM(IF([3]!Table13[ID]=B1757,[3]!Table13[QTY]))), 1, 1)</f>
        <v>#ERROR!</v>
      </c>
      <c r="J1757" s="50" t="str">
        <f>TABLEITEM!$H$3:$H$2749-TABLEITEM!$I$3:$I$2749</f>
        <v>#ERROR!</v>
      </c>
    </row>
    <row r="1758" ht="15.75" customHeight="1">
      <c r="A1758" s="45"/>
      <c r="B1758" s="10" t="s">
        <v>3669</v>
      </c>
      <c r="C1758" s="26"/>
      <c r="D1758" s="10" t="s">
        <v>9302</v>
      </c>
      <c r="E1758" s="56" t="s">
        <v>9303</v>
      </c>
      <c r="F1758" s="57" t="s">
        <v>7460</v>
      </c>
      <c r="G1758" s="49">
        <f t="array" ref="G1758">MAX(IF(INSTOCK!$H$3:$H$6125=B1758,INSTOCK!$K$3:$K$6125))</f>
        <v>1300</v>
      </c>
      <c r="H1758" s="50">
        <f t="array" ref="H1758">SUM(IF(INSTOCK!$H$3:$H$6125=B1758,INSTOCK!$I$3:$I$6125))</f>
        <v>6</v>
      </c>
      <c r="I1758" s="50" t="str">
        <f>ARRAY_CONSTRAIN(ARRAYFORMULA(SUM(IF([3]!Table13[ID]=B1758,[3]!Table13[QTY]))), 1, 1)</f>
        <v>#ERROR!</v>
      </c>
      <c r="J1758" s="50" t="str">
        <f>TABLEITEM!$H$3:$H$2749-TABLEITEM!$I$3:$I$2749</f>
        <v>#ERROR!</v>
      </c>
    </row>
    <row r="1759" ht="15.75" customHeight="1">
      <c r="A1759" s="45"/>
      <c r="B1759" s="10" t="s">
        <v>3670</v>
      </c>
      <c r="C1759" s="26"/>
      <c r="D1759" s="18" t="s">
        <v>9304</v>
      </c>
      <c r="E1759" s="56" t="s">
        <v>9303</v>
      </c>
      <c r="F1759" s="57" t="s">
        <v>8525</v>
      </c>
      <c r="G1759" s="49">
        <f t="array" ref="G1759">MAX(IF(INSTOCK!$H$3:$H$6125=B1759,INSTOCK!$K$3:$K$6125))</f>
        <v>460</v>
      </c>
      <c r="H1759" s="50">
        <f t="array" ref="H1759">SUM(IF(INSTOCK!$H$3:$H$6125=B1759,INSTOCK!$I$3:$I$6125))</f>
        <v>5</v>
      </c>
      <c r="I1759" s="50" t="str">
        <f>ARRAY_CONSTRAIN(ARRAYFORMULA(SUM(IF([3]!Table13[ID]=B1759,[3]!Table13[QTY]))), 1, 1)</f>
        <v>#ERROR!</v>
      </c>
      <c r="J1759" s="50" t="str">
        <f>TABLEITEM!$H$3:$H$2749-TABLEITEM!$I$3:$I$2749</f>
        <v>#ERROR!</v>
      </c>
    </row>
    <row r="1760" ht="15.75" customHeight="1">
      <c r="A1760" s="45"/>
      <c r="B1760" s="18" t="s">
        <v>3677</v>
      </c>
      <c r="C1760" s="26"/>
      <c r="D1760" s="18" t="s">
        <v>9305</v>
      </c>
      <c r="E1760" s="56"/>
      <c r="F1760" s="57" t="s">
        <v>7173</v>
      </c>
      <c r="G1760" s="49">
        <f t="array" ref="G1760">MAX(IF(INSTOCK!$H$3:$H$6125=B1760,INSTOCK!$K$3:$K$6125))</f>
        <v>810</v>
      </c>
      <c r="H1760" s="50">
        <f t="array" ref="H1760">SUM(IF(INSTOCK!$H$3:$H$6125=B1760,INSTOCK!$I$3:$I$6125))</f>
        <v>6</v>
      </c>
      <c r="I1760" s="50" t="str">
        <f>ARRAY_CONSTRAIN(ARRAYFORMULA(SUM(IF([3]!Table13[ID]=B1760,[3]!Table13[QTY]))), 1, 1)</f>
        <v>#ERROR!</v>
      </c>
      <c r="J1760" s="50" t="str">
        <f>TABLEITEM!$H$3:$H$2749-TABLEITEM!$I$3:$I$2749</f>
        <v>#ERROR!</v>
      </c>
    </row>
    <row r="1761" ht="15.75" customHeight="1">
      <c r="A1761" s="45"/>
      <c r="B1761" s="18" t="s">
        <v>3681</v>
      </c>
      <c r="C1761" s="26"/>
      <c r="D1761" s="18" t="s">
        <v>9306</v>
      </c>
      <c r="E1761" s="56"/>
      <c r="F1761" s="57" t="s">
        <v>8686</v>
      </c>
      <c r="G1761" s="49">
        <f t="array" ref="G1761">MAX(IF(INSTOCK!$H$3:$H$6125=B1761,INSTOCK!$K$3:$K$6125))</f>
        <v>2500</v>
      </c>
      <c r="H1761" s="50">
        <f t="array" ref="H1761">SUM(IF(INSTOCK!$H$3:$H$6125=B1761,INSTOCK!$I$3:$I$6125))</f>
        <v>1</v>
      </c>
      <c r="I1761" s="50" t="str">
        <f>ARRAY_CONSTRAIN(ARRAYFORMULA(SUM(IF([3]!Table13[ID]=B1761,[3]!Table13[QTY]))), 1, 1)</f>
        <v>#ERROR!</v>
      </c>
      <c r="J1761" s="50" t="str">
        <f>TABLEITEM!$H$3:$H$2749-TABLEITEM!$I$3:$I$2749</f>
        <v>#ERROR!</v>
      </c>
    </row>
    <row r="1762" ht="15.75" customHeight="1">
      <c r="A1762" s="45"/>
      <c r="B1762" s="18" t="s">
        <v>1454</v>
      </c>
      <c r="C1762" s="26"/>
      <c r="D1762" s="4" t="s">
        <v>9307</v>
      </c>
      <c r="E1762" s="56"/>
      <c r="F1762" s="48" t="s">
        <v>7173</v>
      </c>
      <c r="G1762" s="49">
        <f t="array" ref="G1762">MAX(IF(INSTOCK!$H$3:$H$6125=B1762,INSTOCK!$K$3:$K$6125))</f>
        <v>1463</v>
      </c>
      <c r="H1762" s="50">
        <f t="array" ref="H1762">SUM(IF(INSTOCK!$H$3:$H$6125=B1762,INSTOCK!$I$3:$I$6125))</f>
        <v>2</v>
      </c>
      <c r="I1762" s="50" t="str">
        <f>ARRAY_CONSTRAIN(ARRAYFORMULA(SUM(IF([3]!Table13[ID]=B1762,[3]!Table13[QTY]))), 1, 1)</f>
        <v>#ERROR!</v>
      </c>
      <c r="J1762" s="50" t="str">
        <f>TABLEITEM!$H$3:$H$2749-TABLEITEM!$I$3:$I$2749</f>
        <v>#ERROR!</v>
      </c>
    </row>
    <row r="1763" ht="15.75" customHeight="1">
      <c r="A1763" s="45"/>
      <c r="B1763" s="10" t="s">
        <v>3685</v>
      </c>
      <c r="C1763" s="26"/>
      <c r="D1763" s="18" t="s">
        <v>9308</v>
      </c>
      <c r="E1763" s="56" t="s">
        <v>2231</v>
      </c>
      <c r="F1763" s="57" t="s">
        <v>7173</v>
      </c>
      <c r="G1763" s="49">
        <f t="array" ref="G1763">MAX(IF(INSTOCK!$H$3:$H$6125=B1763,INSTOCK!$K$3:$K$6125))</f>
        <v>805.56</v>
      </c>
      <c r="H1763" s="50">
        <f t="array" ref="H1763">SUM(IF(INSTOCK!$H$3:$H$6125=B1763,INSTOCK!$I$3:$I$6125))</f>
        <v>3</v>
      </c>
      <c r="I1763" s="50" t="str">
        <f>ARRAY_CONSTRAIN(ARRAYFORMULA(SUM(IF([3]!Table13[ID]=B1763,[3]!Table13[QTY]))), 1, 1)</f>
        <v>#ERROR!</v>
      </c>
      <c r="J1763" s="50" t="str">
        <f>TABLEITEM!$H$3:$H$2749-TABLEITEM!$I$3:$I$2749</f>
        <v>#ERROR!</v>
      </c>
    </row>
    <row r="1764" ht="15.75" customHeight="1">
      <c r="A1764" s="45"/>
      <c r="B1764" s="10" t="s">
        <v>3418</v>
      </c>
      <c r="C1764" s="26"/>
      <c r="D1764" s="10" t="s">
        <v>9309</v>
      </c>
      <c r="E1764" s="48"/>
      <c r="F1764" s="57" t="s">
        <v>7173</v>
      </c>
      <c r="G1764" s="49">
        <f t="array" ref="G1764">MAX(IF(INSTOCK!$H$3:$H$6125=B1764,INSTOCK!$K$3:$K$6125))</f>
        <v>100</v>
      </c>
      <c r="H1764" s="50">
        <f t="array" ref="H1764">SUM(IF(INSTOCK!$H$3:$H$6125=B1764,INSTOCK!$I$3:$I$6125))</f>
        <v>1</v>
      </c>
      <c r="I1764" s="50" t="str">
        <f>ARRAY_CONSTRAIN(ARRAYFORMULA(SUM(IF([3]!Table13[ID]=B1764,[3]!Table13[QTY]))), 1, 1)</f>
        <v>#ERROR!</v>
      </c>
      <c r="J1764" s="50" t="str">
        <f>TABLEITEM!$H$3:$H$2749-TABLEITEM!$I$3:$I$2749</f>
        <v>#ERROR!</v>
      </c>
    </row>
    <row r="1765" ht="15.75" customHeight="1">
      <c r="A1765" s="45"/>
      <c r="B1765" s="18" t="s">
        <v>5780</v>
      </c>
      <c r="C1765" s="26"/>
      <c r="D1765" s="18" t="s">
        <v>9310</v>
      </c>
      <c r="E1765" s="56"/>
      <c r="F1765" s="57" t="s">
        <v>7173</v>
      </c>
      <c r="G1765" s="49">
        <f t="array" ref="G1765">MAX(IF(INSTOCK!$H$3:$H$6125=B1765,INSTOCK!$K$3:$K$6125))</f>
        <v>11</v>
      </c>
      <c r="H1765" s="50">
        <f t="array" ref="H1765">SUM(IF(INSTOCK!$H$3:$H$6125=B1765,INSTOCK!$I$3:$I$6125))</f>
        <v>20</v>
      </c>
      <c r="I1765" s="50" t="str">
        <f>ARRAY_CONSTRAIN(ARRAYFORMULA(SUM(IF([3]!Table13[ID]=B1765,[3]!Table13[QTY]))), 1, 1)</f>
        <v>#ERROR!</v>
      </c>
      <c r="J1765" s="50" t="str">
        <f>TABLEITEM!$H$3:$H$2749-TABLEITEM!$I$3:$I$2749</f>
        <v>#ERROR!</v>
      </c>
    </row>
    <row r="1766" ht="15.75" customHeight="1">
      <c r="A1766" s="45"/>
      <c r="B1766" s="18" t="s">
        <v>3691</v>
      </c>
      <c r="C1766" s="26"/>
      <c r="D1766" s="18" t="s">
        <v>9311</v>
      </c>
      <c r="E1766" s="56" t="s">
        <v>9312</v>
      </c>
      <c r="F1766" s="57" t="s">
        <v>7173</v>
      </c>
      <c r="G1766" s="49">
        <f t="array" ref="G1766">MAX(IF(INSTOCK!$H$3:$H$6125=B1766,INSTOCK!$K$3:$K$6125))</f>
        <v>2300</v>
      </c>
      <c r="H1766" s="50">
        <f t="array" ref="H1766">SUM(IF(INSTOCK!$H$3:$H$6125=B1766,INSTOCK!$I$3:$I$6125))</f>
        <v>2</v>
      </c>
      <c r="I1766" s="50" t="str">
        <f>ARRAY_CONSTRAIN(ARRAYFORMULA(SUM(IF([3]!Table13[ID]=B1766,[3]!Table13[QTY]))), 1, 1)</f>
        <v>#ERROR!</v>
      </c>
      <c r="J1766" s="50" t="str">
        <f>TABLEITEM!$H$3:$H$2749-TABLEITEM!$I$3:$I$2749</f>
        <v>#ERROR!</v>
      </c>
    </row>
    <row r="1767" ht="15.75" customHeight="1">
      <c r="A1767" s="45"/>
      <c r="B1767" s="18" t="s">
        <v>3696</v>
      </c>
      <c r="C1767" s="26"/>
      <c r="D1767" s="18" t="s">
        <v>9313</v>
      </c>
      <c r="E1767" s="56" t="s">
        <v>9301</v>
      </c>
      <c r="F1767" s="48" t="s">
        <v>7189</v>
      </c>
      <c r="G1767" s="49">
        <f t="array" ref="G1767">MAX(IF(INSTOCK!$H$3:$H$6125=B1767,INSTOCK!$K$3:$K$6125))</f>
        <v>130</v>
      </c>
      <c r="H1767" s="50">
        <f t="array" ref="H1767">SUM(IF(INSTOCK!$H$3:$H$6125=B1767,INSTOCK!$I$3:$I$6125))</f>
        <v>20</v>
      </c>
      <c r="I1767" s="50" t="str">
        <f>ARRAY_CONSTRAIN(ARRAYFORMULA(SUM(IF([3]!Table13[ID]=B1767,[3]!Table13[QTY]))), 1, 1)</f>
        <v>#ERROR!</v>
      </c>
      <c r="J1767" s="50" t="str">
        <f>TABLEITEM!$H$3:$H$2749-TABLEITEM!$I$3:$I$2749</f>
        <v>#ERROR!</v>
      </c>
    </row>
    <row r="1768" ht="15.75" customHeight="1">
      <c r="A1768" s="45"/>
      <c r="B1768" s="18" t="s">
        <v>3715</v>
      </c>
      <c r="C1768" s="26"/>
      <c r="D1768" s="18" t="s">
        <v>9314</v>
      </c>
      <c r="E1768" s="56" t="s">
        <v>1487</v>
      </c>
      <c r="F1768" s="57" t="s">
        <v>7173</v>
      </c>
      <c r="G1768" s="49">
        <f t="array" ref="G1768">MAX(IF(INSTOCK!$H$3:$H$6125=B1768,INSTOCK!$K$3:$K$6125))</f>
        <v>528.9</v>
      </c>
      <c r="H1768" s="50">
        <f t="array" ref="H1768">SUM(IF(INSTOCK!$H$3:$H$6125=B1768,INSTOCK!$I$3:$I$6125))</f>
        <v>12</v>
      </c>
      <c r="I1768" s="50" t="str">
        <f>ARRAY_CONSTRAIN(ARRAYFORMULA(SUM(IF([3]!Table13[ID]=B1768,[3]!Table13[QTY]))), 1, 1)</f>
        <v>#ERROR!</v>
      </c>
      <c r="J1768" s="50" t="str">
        <f>TABLEITEM!$H$3:$H$2749-TABLEITEM!$I$3:$I$2749</f>
        <v>#ERROR!</v>
      </c>
    </row>
    <row r="1769" ht="15.75" customHeight="1">
      <c r="A1769" s="45"/>
      <c r="B1769" s="18" t="s">
        <v>3718</v>
      </c>
      <c r="C1769" s="26"/>
      <c r="D1769" s="18" t="s">
        <v>9315</v>
      </c>
      <c r="E1769" s="56" t="s">
        <v>1487</v>
      </c>
      <c r="F1769" s="57" t="s">
        <v>7173</v>
      </c>
      <c r="G1769" s="49">
        <f t="array" ref="G1769">MAX(IF(INSTOCK!$H$3:$H$6125=B1769,INSTOCK!$K$3:$K$6125))</f>
        <v>147.6</v>
      </c>
      <c r="H1769" s="50">
        <f t="array" ref="H1769">SUM(IF(INSTOCK!$H$3:$H$6125=B1769,INSTOCK!$I$3:$I$6125))</f>
        <v>1</v>
      </c>
      <c r="I1769" s="50" t="str">
        <f>ARRAY_CONSTRAIN(ARRAYFORMULA(SUM(IF([3]!Table13[ID]=B1769,[3]!Table13[QTY]))), 1, 1)</f>
        <v>#ERROR!</v>
      </c>
      <c r="J1769" s="50" t="str">
        <f>TABLEITEM!$H$3:$H$2749-TABLEITEM!$I$3:$I$2749</f>
        <v>#ERROR!</v>
      </c>
    </row>
    <row r="1770" ht="15.75" customHeight="1">
      <c r="A1770" s="45"/>
      <c r="B1770" s="18" t="s">
        <v>3721</v>
      </c>
      <c r="C1770" s="26"/>
      <c r="D1770" s="18" t="s">
        <v>9316</v>
      </c>
      <c r="E1770" s="56" t="s">
        <v>1487</v>
      </c>
      <c r="F1770" s="57" t="s">
        <v>7173</v>
      </c>
      <c r="G1770" s="49">
        <f t="array" ref="G1770">MAX(IF(INSTOCK!$H$3:$H$6125=B1770,INSTOCK!$K$3:$K$6125))</f>
        <v>70.4</v>
      </c>
      <c r="H1770" s="50">
        <f t="array" ref="H1770">SUM(IF(INSTOCK!$H$3:$H$6125=B1770,INSTOCK!$I$3:$I$6125))</f>
        <v>22</v>
      </c>
      <c r="I1770" s="50" t="str">
        <f>ARRAY_CONSTRAIN(ARRAYFORMULA(SUM(IF([3]!Table13[ID]=B1770,[3]!Table13[QTY]))), 1, 1)</f>
        <v>#ERROR!</v>
      </c>
      <c r="J1770" s="50" t="str">
        <f>TABLEITEM!$H$3:$H$2749-TABLEITEM!$I$3:$I$2749</f>
        <v>#ERROR!</v>
      </c>
    </row>
    <row r="1771" ht="15.75" customHeight="1">
      <c r="A1771" s="45"/>
      <c r="B1771" s="18" t="s">
        <v>3725</v>
      </c>
      <c r="C1771" s="26"/>
      <c r="D1771" s="18" t="s">
        <v>9317</v>
      </c>
      <c r="E1771" s="56" t="s">
        <v>8575</v>
      </c>
      <c r="F1771" s="57" t="s">
        <v>7194</v>
      </c>
      <c r="G1771" s="49">
        <f t="array" ref="G1771">MAX(IF(INSTOCK!$H$3:$H$6125=B1771,INSTOCK!$K$3:$K$6125))</f>
        <v>179</v>
      </c>
      <c r="H1771" s="50">
        <f t="array" ref="H1771">SUM(IF(INSTOCK!$H$3:$H$6125=B1771,INSTOCK!$I$3:$I$6125))</f>
        <v>20</v>
      </c>
      <c r="I1771" s="50" t="str">
        <f>ARRAY_CONSTRAIN(ARRAYFORMULA(SUM(IF([3]!Table13[ID]=B1771,[3]!Table13[QTY]))), 1, 1)</f>
        <v>#ERROR!</v>
      </c>
      <c r="J1771" s="50" t="str">
        <f>TABLEITEM!$H$3:$H$2749-TABLEITEM!$I$3:$I$2749</f>
        <v>#ERROR!</v>
      </c>
    </row>
    <row r="1772" ht="15.75" customHeight="1">
      <c r="A1772" s="45"/>
      <c r="B1772" s="10" t="s">
        <v>3728</v>
      </c>
      <c r="C1772" s="26"/>
      <c r="D1772" s="10" t="s">
        <v>9318</v>
      </c>
      <c r="E1772" s="48"/>
      <c r="F1772" s="57" t="s">
        <v>7173</v>
      </c>
      <c r="G1772" s="49">
        <f t="array" ref="G1772">MAX(IF(INSTOCK!$H$3:$H$6125=B1772,INSTOCK!$K$3:$K$6125))</f>
        <v>6</v>
      </c>
      <c r="H1772" s="50">
        <f t="array" ref="H1772">SUM(IF(INSTOCK!$H$3:$H$6125=B1772,INSTOCK!$I$3:$I$6125))</f>
        <v>3</v>
      </c>
      <c r="I1772" s="50" t="str">
        <f>ARRAY_CONSTRAIN(ARRAYFORMULA(SUM(IF([3]!Table13[ID]=B1772,[3]!Table13[QTY]))), 1, 1)</f>
        <v>#ERROR!</v>
      </c>
      <c r="J1772" s="50" t="str">
        <f>TABLEITEM!$H$3:$H$2749-TABLEITEM!$I$3:$I$2749</f>
        <v>#ERROR!</v>
      </c>
    </row>
    <row r="1773" ht="15.75" customHeight="1">
      <c r="A1773" s="45"/>
      <c r="B1773" s="10" t="s">
        <v>3729</v>
      </c>
      <c r="C1773" s="26"/>
      <c r="D1773" s="10" t="s">
        <v>9319</v>
      </c>
      <c r="E1773" s="48"/>
      <c r="F1773" s="57" t="s">
        <v>7173</v>
      </c>
      <c r="G1773" s="49">
        <f t="array" ref="G1773">MAX(IF(INSTOCK!$H$3:$H$6125=B1773,INSTOCK!$K$3:$K$6125))</f>
        <v>12</v>
      </c>
      <c r="H1773" s="50">
        <f t="array" ref="H1773">SUM(IF(INSTOCK!$H$3:$H$6125=B1773,INSTOCK!$I$3:$I$6125))</f>
        <v>38</v>
      </c>
      <c r="I1773" s="50" t="str">
        <f>ARRAY_CONSTRAIN(ARRAYFORMULA(SUM(IF([3]!Table13[ID]=B1773,[3]!Table13[QTY]))), 1, 1)</f>
        <v>#ERROR!</v>
      </c>
      <c r="J1773" s="50" t="str">
        <f>TABLEITEM!$H$3:$H$2749-TABLEITEM!$I$3:$I$2749</f>
        <v>#ERROR!</v>
      </c>
    </row>
    <row r="1774" ht="15.75" customHeight="1">
      <c r="A1774" s="45"/>
      <c r="B1774" s="10" t="s">
        <v>3730</v>
      </c>
      <c r="C1774" s="26"/>
      <c r="D1774" s="10" t="s">
        <v>9320</v>
      </c>
      <c r="E1774" s="48"/>
      <c r="F1774" s="57" t="s">
        <v>7173</v>
      </c>
      <c r="G1774" s="49">
        <f t="array" ref="G1774">MAX(IF(INSTOCK!$H$3:$H$6125=B1774,INSTOCK!$K$3:$K$6125))</f>
        <v>9</v>
      </c>
      <c r="H1774" s="50">
        <f t="array" ref="H1774">SUM(IF(INSTOCK!$H$3:$H$6125=B1774,INSTOCK!$I$3:$I$6125))</f>
        <v>2</v>
      </c>
      <c r="I1774" s="50" t="str">
        <f>ARRAY_CONSTRAIN(ARRAYFORMULA(SUM(IF([3]!Table13[ID]=B1774,[3]!Table13[QTY]))), 1, 1)</f>
        <v>#ERROR!</v>
      </c>
      <c r="J1774" s="50" t="str">
        <f>TABLEITEM!$H$3:$H$2749-TABLEITEM!$I$3:$I$2749</f>
        <v>#ERROR!</v>
      </c>
    </row>
    <row r="1775" ht="15.75" customHeight="1">
      <c r="A1775" s="45"/>
      <c r="B1775" s="10" t="s">
        <v>3731</v>
      </c>
      <c r="C1775" s="26"/>
      <c r="D1775" s="10" t="s">
        <v>9321</v>
      </c>
      <c r="E1775" s="48"/>
      <c r="F1775" s="57" t="s">
        <v>9322</v>
      </c>
      <c r="G1775" s="49">
        <f t="array" ref="G1775">MAX(IF(INSTOCK!$H$3:$H$6125=B1775,INSTOCK!$K$3:$K$6125))</f>
        <v>100</v>
      </c>
      <c r="H1775" s="50">
        <f t="array" ref="H1775">SUM(IF(INSTOCK!$H$3:$H$6125=B1775,INSTOCK!$I$3:$I$6125))</f>
        <v>8</v>
      </c>
      <c r="I1775" s="50" t="str">
        <f>ARRAY_CONSTRAIN(ARRAYFORMULA(SUM(IF([3]!Table13[ID]=B1775,[3]!Table13[QTY]))), 1, 1)</f>
        <v>#ERROR!</v>
      </c>
      <c r="J1775" s="50" t="str">
        <f>TABLEITEM!$H$3:$H$2749-TABLEITEM!$I$3:$I$2749</f>
        <v>#ERROR!</v>
      </c>
    </row>
    <row r="1776" ht="15.75" customHeight="1">
      <c r="A1776" s="45"/>
      <c r="B1776" s="10" t="s">
        <v>3732</v>
      </c>
      <c r="C1776" s="26"/>
      <c r="D1776" s="10" t="s">
        <v>9323</v>
      </c>
      <c r="E1776" s="48"/>
      <c r="F1776" s="57" t="s">
        <v>7173</v>
      </c>
      <c r="G1776" s="49">
        <f t="array" ref="G1776">MAX(IF(INSTOCK!$H$3:$H$6125=B1776,INSTOCK!$K$3:$K$6125))</f>
        <v>6</v>
      </c>
      <c r="H1776" s="50">
        <f t="array" ref="H1776">SUM(IF(INSTOCK!$H$3:$H$6125=B1776,INSTOCK!$I$3:$I$6125))</f>
        <v>5</v>
      </c>
      <c r="I1776" s="50" t="str">
        <f>ARRAY_CONSTRAIN(ARRAYFORMULA(SUM(IF([3]!Table13[ID]=B1776,[3]!Table13[QTY]))), 1, 1)</f>
        <v>#ERROR!</v>
      </c>
      <c r="J1776" s="50" t="str">
        <f>TABLEITEM!$H$3:$H$2749-TABLEITEM!$I$3:$I$2749</f>
        <v>#ERROR!</v>
      </c>
    </row>
    <row r="1777" ht="15.75" customHeight="1">
      <c r="A1777" s="45"/>
      <c r="B1777" s="10" t="s">
        <v>3733</v>
      </c>
      <c r="C1777" s="26"/>
      <c r="D1777" s="10" t="s">
        <v>9324</v>
      </c>
      <c r="E1777" s="48"/>
      <c r="F1777" s="57" t="s">
        <v>7173</v>
      </c>
      <c r="G1777" s="49">
        <f t="array" ref="G1777">MAX(IF(INSTOCK!$H$3:$H$6125=B1777,INSTOCK!$K$3:$K$6125))</f>
        <v>3</v>
      </c>
      <c r="H1777" s="50">
        <f t="array" ref="H1777">SUM(IF(INSTOCK!$H$3:$H$6125=B1777,INSTOCK!$I$3:$I$6125))</f>
        <v>12</v>
      </c>
      <c r="I1777" s="50" t="str">
        <f>ARRAY_CONSTRAIN(ARRAYFORMULA(SUM(IF([3]!Table13[ID]=B1777,[3]!Table13[QTY]))), 1, 1)</f>
        <v>#ERROR!</v>
      </c>
      <c r="J1777" s="50" t="str">
        <f>TABLEITEM!$H$3:$H$2749-TABLEITEM!$I$3:$I$2749</f>
        <v>#ERROR!</v>
      </c>
    </row>
    <row r="1778" ht="15.75" customHeight="1">
      <c r="A1778" s="45"/>
      <c r="B1778" s="10" t="s">
        <v>3734</v>
      </c>
      <c r="C1778" s="26"/>
      <c r="D1778" s="10" t="s">
        <v>9325</v>
      </c>
      <c r="E1778" s="48"/>
      <c r="F1778" s="57" t="s">
        <v>7173</v>
      </c>
      <c r="G1778" s="49">
        <f t="array" ref="G1778">MAX(IF(INSTOCK!$H$3:$H$6125=B1778,INSTOCK!$K$3:$K$6125))</f>
        <v>3</v>
      </c>
      <c r="H1778" s="50">
        <f t="array" ref="H1778">SUM(IF(INSTOCK!$H$3:$H$6125=B1778,INSTOCK!$I$3:$I$6125))</f>
        <v>6</v>
      </c>
      <c r="I1778" s="50" t="str">
        <f>ARRAY_CONSTRAIN(ARRAYFORMULA(SUM(IF([3]!Table13[ID]=B1778,[3]!Table13[QTY]))), 1, 1)</f>
        <v>#ERROR!</v>
      </c>
      <c r="J1778" s="50" t="str">
        <f>TABLEITEM!$H$3:$H$2749-TABLEITEM!$I$3:$I$2749</f>
        <v>#ERROR!</v>
      </c>
    </row>
    <row r="1779" ht="15.75" customHeight="1">
      <c r="A1779" s="45"/>
      <c r="B1779" s="18" t="s">
        <v>3735</v>
      </c>
      <c r="C1779" s="26"/>
      <c r="D1779" s="18" t="s">
        <v>9326</v>
      </c>
      <c r="E1779" s="56"/>
      <c r="F1779" s="57" t="s">
        <v>7445</v>
      </c>
      <c r="G1779" s="49">
        <f t="array" ref="G1779">MAX(IF(INSTOCK!$H$3:$H$6125=B1779,INSTOCK!$K$3:$K$6125))</f>
        <v>130</v>
      </c>
      <c r="H1779" s="50">
        <f t="array" ref="H1779">SUM(IF(INSTOCK!$H$3:$H$6125=B1779,INSTOCK!$I$3:$I$6125))</f>
        <v>3</v>
      </c>
      <c r="I1779" s="50" t="str">
        <f>ARRAY_CONSTRAIN(ARRAYFORMULA(SUM(IF([3]!Table13[ID]=B1779,[3]!Table13[QTY]))), 1, 1)</f>
        <v>#ERROR!</v>
      </c>
      <c r="J1779" s="50" t="str">
        <f>TABLEITEM!$H$3:$H$2749-TABLEITEM!$I$3:$I$2749</f>
        <v>#ERROR!</v>
      </c>
    </row>
    <row r="1780" ht="15.75" customHeight="1">
      <c r="A1780" s="45"/>
      <c r="B1780" s="18" t="s">
        <v>3739</v>
      </c>
      <c r="C1780" s="26"/>
      <c r="D1780" s="18" t="s">
        <v>9327</v>
      </c>
      <c r="E1780" s="56"/>
      <c r="F1780" s="57" t="s">
        <v>7189</v>
      </c>
      <c r="G1780" s="49">
        <f t="array" ref="G1780">MAX(IF(INSTOCK!$H$3:$H$6125=B1780,INSTOCK!$K$3:$K$6125))</f>
        <v>180</v>
      </c>
      <c r="H1780" s="50">
        <f t="array" ref="H1780">SUM(IF(INSTOCK!$H$3:$H$6125=B1780,INSTOCK!$I$3:$I$6125))</f>
        <v>2</v>
      </c>
      <c r="I1780" s="50" t="str">
        <f>ARRAY_CONSTRAIN(ARRAYFORMULA(SUM(IF([3]!Table13[ID]=B1780,[3]!Table13[QTY]))), 1, 1)</f>
        <v>#ERROR!</v>
      </c>
      <c r="J1780" s="50" t="str">
        <f>TABLEITEM!$H$3:$H$2749-TABLEITEM!$I$3:$I$2749</f>
        <v>#ERROR!</v>
      </c>
    </row>
    <row r="1781" ht="15.75" customHeight="1">
      <c r="A1781" s="45"/>
      <c r="B1781" s="18" t="s">
        <v>3745</v>
      </c>
      <c r="C1781" s="26"/>
      <c r="D1781" s="18" t="s">
        <v>9328</v>
      </c>
      <c r="E1781" s="56"/>
      <c r="F1781" s="57" t="s">
        <v>7173</v>
      </c>
      <c r="G1781" s="49">
        <f t="array" ref="G1781">MAX(IF(INSTOCK!$H$3:$H$6125=B1781,INSTOCK!$K$3:$K$6125))</f>
        <v>832.5</v>
      </c>
      <c r="H1781" s="50">
        <f t="array" ref="H1781">SUM(IF(INSTOCK!$H$3:$H$6125=B1781,INSTOCK!$I$3:$I$6125))</f>
        <v>2</v>
      </c>
      <c r="I1781" s="50" t="str">
        <f>ARRAY_CONSTRAIN(ARRAYFORMULA(SUM(IF([3]!Table13[ID]=B1781,[3]!Table13[QTY]))), 1, 1)</f>
        <v>#ERROR!</v>
      </c>
      <c r="J1781" s="50" t="str">
        <f>TABLEITEM!$H$3:$H$2749-TABLEITEM!$I$3:$I$2749</f>
        <v>#ERROR!</v>
      </c>
    </row>
    <row r="1782" ht="15.75" customHeight="1">
      <c r="A1782" s="45"/>
      <c r="B1782" s="10" t="s">
        <v>3746</v>
      </c>
      <c r="C1782" s="26"/>
      <c r="D1782" s="18" t="s">
        <v>9329</v>
      </c>
      <c r="E1782" s="56" t="s">
        <v>2231</v>
      </c>
      <c r="F1782" s="57" t="s">
        <v>7173</v>
      </c>
      <c r="G1782" s="49">
        <f t="array" ref="G1782">MAX(IF(INSTOCK!$H$3:$H$6125=B1782,INSTOCK!$K$3:$K$6125))</f>
        <v>1695.4</v>
      </c>
      <c r="H1782" s="50">
        <f t="array" ref="H1782">SUM(IF(INSTOCK!$H$3:$H$6125=B1782,INSTOCK!$I$3:$I$6125))</f>
        <v>7</v>
      </c>
      <c r="I1782" s="50" t="str">
        <f>ARRAY_CONSTRAIN(ARRAYFORMULA(SUM(IF([3]!Table13[ID]=B1782,[3]!Table13[QTY]))), 1, 1)</f>
        <v>#ERROR!</v>
      </c>
      <c r="J1782" s="50" t="str">
        <f>TABLEITEM!$H$3:$H$2749-TABLEITEM!$I$3:$I$2749</f>
        <v>#ERROR!</v>
      </c>
    </row>
    <row r="1783" ht="15.75" customHeight="1">
      <c r="A1783" s="45"/>
      <c r="B1783" s="18" t="s">
        <v>3756</v>
      </c>
      <c r="C1783" s="26"/>
      <c r="D1783" s="18" t="s">
        <v>9330</v>
      </c>
      <c r="E1783" s="56" t="s">
        <v>9331</v>
      </c>
      <c r="F1783" s="57" t="s">
        <v>8651</v>
      </c>
      <c r="G1783" s="49">
        <f t="array" ref="G1783">MAX(IF(INSTOCK!$H$3:$H$6125=B1783,INSTOCK!$K$3:$K$6125))</f>
        <v>11000</v>
      </c>
      <c r="H1783" s="50">
        <f t="array" ref="H1783">SUM(IF(INSTOCK!$H$3:$H$6125=B1783,INSTOCK!$I$3:$I$6125))</f>
        <v>1</v>
      </c>
      <c r="I1783" s="50" t="str">
        <f>ARRAY_CONSTRAIN(ARRAYFORMULA(SUM(IF([3]!Table13[ID]=B1783,[3]!Table13[QTY]))), 1, 1)</f>
        <v>#ERROR!</v>
      </c>
      <c r="J1783" s="50" t="str">
        <f>TABLEITEM!$H$3:$H$2749-TABLEITEM!$I$3:$I$2749</f>
        <v>#ERROR!</v>
      </c>
    </row>
    <row r="1784" ht="15.75" customHeight="1">
      <c r="A1784" s="45"/>
      <c r="B1784" s="18" t="s">
        <v>3760</v>
      </c>
      <c r="C1784" s="26"/>
      <c r="D1784" s="18" t="s">
        <v>9332</v>
      </c>
      <c r="E1784" s="56" t="s">
        <v>9333</v>
      </c>
      <c r="F1784" s="57"/>
      <c r="G1784" s="49">
        <f t="array" ref="G1784">MAX(IF(INSTOCK!$H$3:$H$6125=B1784,INSTOCK!$K$3:$K$6125))</f>
        <v>240</v>
      </c>
      <c r="H1784" s="50">
        <f t="array" ref="H1784">SUM(IF(INSTOCK!$H$3:$H$6125=B1784,INSTOCK!$I$3:$I$6125))</f>
        <v>4</v>
      </c>
      <c r="I1784" s="50" t="str">
        <f>ARRAY_CONSTRAIN(ARRAYFORMULA(SUM(IF([3]!Table13[ID]=B1784,[3]!Table13[QTY]))), 1, 1)</f>
        <v>#ERROR!</v>
      </c>
      <c r="J1784" s="50" t="str">
        <f>TABLEITEM!$H$3:$H$2749-TABLEITEM!$I$3:$I$2749</f>
        <v>#ERROR!</v>
      </c>
    </row>
    <row r="1785" ht="15.75" customHeight="1">
      <c r="A1785" s="45"/>
      <c r="B1785" s="18" t="s">
        <v>3762</v>
      </c>
      <c r="C1785" s="26"/>
      <c r="D1785" s="18" t="s">
        <v>9334</v>
      </c>
      <c r="E1785" s="56"/>
      <c r="F1785" s="57" t="s">
        <v>7173</v>
      </c>
      <c r="G1785" s="49">
        <f t="array" ref="G1785">MAX(IF(INSTOCK!$H$3:$H$6125=B1785,INSTOCK!$K$3:$K$6125))</f>
        <v>42.06</v>
      </c>
      <c r="H1785" s="50">
        <f t="array" ref="H1785">SUM(IF(INSTOCK!$H$3:$H$6125=B1785,INSTOCK!$I$3:$I$6125))</f>
        <v>20</v>
      </c>
      <c r="I1785" s="50" t="str">
        <f>ARRAY_CONSTRAIN(ARRAYFORMULA(SUM(IF([3]!Table13[ID]=B1785,[3]!Table13[QTY]))), 1, 1)</f>
        <v>#ERROR!</v>
      </c>
      <c r="J1785" s="50" t="str">
        <f>TABLEITEM!$H$3:$H$2749-TABLEITEM!$I$3:$I$2749</f>
        <v>#ERROR!</v>
      </c>
    </row>
    <row r="1786" ht="15.75" customHeight="1">
      <c r="A1786" s="45"/>
      <c r="B1786" s="10" t="s">
        <v>3765</v>
      </c>
      <c r="C1786" s="26"/>
      <c r="D1786" s="10" t="s">
        <v>9335</v>
      </c>
      <c r="E1786" s="48" t="s">
        <v>2589</v>
      </c>
      <c r="F1786" s="48" t="s">
        <v>7173</v>
      </c>
      <c r="G1786" s="49">
        <f t="array" ref="G1786">MAX(IF(INSTOCK!$H$3:$H$6125=B1786,INSTOCK!$K$3:$K$6125))</f>
        <v>2450</v>
      </c>
      <c r="H1786" s="50">
        <f t="array" ref="H1786">SUM(IF(INSTOCK!$H$3:$H$6125=B1786,INSTOCK!$I$3:$I$6125))</f>
        <v>1</v>
      </c>
      <c r="I1786" s="50" t="str">
        <f>ARRAY_CONSTRAIN(ARRAYFORMULA(SUM(IF([3]!Table13[ID]=B1786,[3]!Table13[QTY]))), 1, 1)</f>
        <v>#ERROR!</v>
      </c>
      <c r="J1786" s="50" t="str">
        <f>TABLEITEM!$H$3:$H$2749-TABLEITEM!$I$3:$I$2749</f>
        <v>#ERROR!</v>
      </c>
    </row>
    <row r="1787" ht="15.75" customHeight="1">
      <c r="A1787" s="45"/>
      <c r="B1787" s="10" t="s">
        <v>3766</v>
      </c>
      <c r="C1787" s="26"/>
      <c r="D1787" s="10" t="s">
        <v>9336</v>
      </c>
      <c r="E1787" s="48" t="s">
        <v>2589</v>
      </c>
      <c r="F1787" s="48" t="s">
        <v>7173</v>
      </c>
      <c r="G1787" s="49">
        <f t="array" ref="G1787">MAX(IF(INSTOCK!$H$3:$H$6125=B1787,INSTOCK!$K$3:$K$6125))</f>
        <v>40</v>
      </c>
      <c r="H1787" s="50">
        <f t="array" ref="H1787">SUM(IF(INSTOCK!$H$3:$H$6125=B1787,INSTOCK!$I$3:$I$6125))</f>
        <v>1</v>
      </c>
      <c r="I1787" s="50" t="str">
        <f>ARRAY_CONSTRAIN(ARRAYFORMULA(SUM(IF([3]!Table13[ID]=B1787,[3]!Table13[QTY]))), 1, 1)</f>
        <v>#ERROR!</v>
      </c>
      <c r="J1787" s="50" t="str">
        <f>TABLEITEM!$H$3:$H$2749-TABLEITEM!$I$3:$I$2749</f>
        <v>#ERROR!</v>
      </c>
    </row>
    <row r="1788" ht="15.75" customHeight="1">
      <c r="A1788" s="45"/>
      <c r="B1788" s="18" t="s">
        <v>3767</v>
      </c>
      <c r="C1788" s="26"/>
      <c r="D1788" s="18" t="s">
        <v>9337</v>
      </c>
      <c r="E1788" s="56" t="s">
        <v>2589</v>
      </c>
      <c r="F1788" s="48" t="s">
        <v>7173</v>
      </c>
      <c r="G1788" s="49">
        <f t="array" ref="G1788">MAX(IF(INSTOCK!$H$3:$H$6125=B1788,INSTOCK!$K$3:$K$6125))</f>
        <v>80</v>
      </c>
      <c r="H1788" s="50">
        <f t="array" ref="H1788">SUM(IF(INSTOCK!$H$3:$H$6125=B1788,INSTOCK!$I$3:$I$6125))</f>
        <v>1</v>
      </c>
      <c r="I1788" s="50" t="str">
        <f>ARRAY_CONSTRAIN(ARRAYFORMULA(SUM(IF([3]!Table13[ID]=B1788,[3]!Table13[QTY]))), 1, 1)</f>
        <v>#ERROR!</v>
      </c>
      <c r="J1788" s="50" t="str">
        <f>TABLEITEM!$H$3:$H$2749-TABLEITEM!$I$3:$I$2749</f>
        <v>#ERROR!</v>
      </c>
    </row>
    <row r="1789" ht="15.75" customHeight="1">
      <c r="A1789" s="45"/>
      <c r="B1789" s="10" t="s">
        <v>3773</v>
      </c>
      <c r="C1789" s="26"/>
      <c r="D1789" s="10" t="s">
        <v>9338</v>
      </c>
      <c r="E1789" s="48" t="s">
        <v>1481</v>
      </c>
      <c r="F1789" s="57" t="s">
        <v>7173</v>
      </c>
      <c r="G1789" s="49">
        <f t="array" ref="G1789">MAX(IF(INSTOCK!$H$3:$H$6125=B1789,INSTOCK!$K$3:$K$6125))</f>
        <v>11</v>
      </c>
      <c r="H1789" s="50">
        <f t="array" ref="H1789">SUM(IF(INSTOCK!$H$3:$H$6125=B1789,INSTOCK!$I$3:$I$6125))</f>
        <v>1080</v>
      </c>
      <c r="I1789" s="50" t="str">
        <f>ARRAY_CONSTRAIN(ARRAYFORMULA(SUM(IF([3]!Table13[ID]=B1789,[3]!Table13[QTY]))), 1, 1)</f>
        <v>#ERROR!</v>
      </c>
      <c r="J1789" s="50" t="str">
        <f>TABLEITEM!$H$3:$H$2749-TABLEITEM!$I$3:$I$2749</f>
        <v>#ERROR!</v>
      </c>
    </row>
    <row r="1790" ht="15.75" customHeight="1">
      <c r="A1790" s="45"/>
      <c r="B1790" s="18" t="s">
        <v>3774</v>
      </c>
      <c r="C1790" s="26"/>
      <c r="D1790" s="18" t="s">
        <v>9339</v>
      </c>
      <c r="E1790" s="48" t="s">
        <v>1481</v>
      </c>
      <c r="F1790" s="57" t="s">
        <v>7173</v>
      </c>
      <c r="G1790" s="49">
        <f t="array" ref="G1790">MAX(IF(INSTOCK!$H$3:$H$6125=B1790,INSTOCK!$K$3:$K$6125))</f>
        <v>15.58</v>
      </c>
      <c r="H1790" s="50">
        <f t="array" ref="H1790">SUM(IF(INSTOCK!$H$3:$H$6125=B1790,INSTOCK!$I$3:$I$6125))</f>
        <v>145</v>
      </c>
      <c r="I1790" s="50" t="str">
        <f>ARRAY_CONSTRAIN(ARRAYFORMULA(SUM(IF([3]!Table13[ID]=B1790,[3]!Table13[QTY]))), 1, 1)</f>
        <v>#ERROR!</v>
      </c>
      <c r="J1790" s="50" t="str">
        <f>TABLEITEM!$H$3:$H$2749-TABLEITEM!$I$3:$I$2749</f>
        <v>#ERROR!</v>
      </c>
    </row>
    <row r="1791" ht="15.75" customHeight="1">
      <c r="A1791" s="45"/>
      <c r="B1791" s="10" t="s">
        <v>3778</v>
      </c>
      <c r="C1791" s="26"/>
      <c r="D1791" s="10" t="s">
        <v>9340</v>
      </c>
      <c r="E1791" s="48"/>
      <c r="F1791" s="57"/>
      <c r="G1791" s="49">
        <f t="array" ref="G1791">MAX(IF(INSTOCK!$H$3:$H$6125=B1791,INSTOCK!$K$3:$K$6125))</f>
        <v>75</v>
      </c>
      <c r="H1791" s="50">
        <f t="array" ref="H1791">SUM(IF(INSTOCK!$H$3:$H$6125=B1791,INSTOCK!$I$3:$I$6125))</f>
        <v>50</v>
      </c>
      <c r="I1791" s="50" t="str">
        <f>ARRAY_CONSTRAIN(ARRAYFORMULA(SUM(IF([3]!Table13[ID]=B1791,[3]!Table13[QTY]))), 1, 1)</f>
        <v>#ERROR!</v>
      </c>
      <c r="J1791" s="50" t="str">
        <f>TABLEITEM!$H$3:$H$2749-TABLEITEM!$I$3:$I$2749</f>
        <v>#ERROR!</v>
      </c>
    </row>
    <row r="1792" ht="15.75" customHeight="1">
      <c r="A1792" s="45"/>
      <c r="B1792" s="18" t="s">
        <v>3784</v>
      </c>
      <c r="C1792" s="26"/>
      <c r="D1792" s="18" t="s">
        <v>9341</v>
      </c>
      <c r="E1792" s="56" t="s">
        <v>1564</v>
      </c>
      <c r="F1792" s="57" t="s">
        <v>7173</v>
      </c>
      <c r="G1792" s="49">
        <f t="array" ref="G1792">MAX(IF(INSTOCK!$H$3:$H$6125=B1792,INSTOCK!$K$3:$K$6125))</f>
        <v>32</v>
      </c>
      <c r="H1792" s="50">
        <f t="array" ref="H1792">SUM(IF(INSTOCK!$H$3:$H$6125=B1792,INSTOCK!$I$3:$I$6125))</f>
        <v>1000</v>
      </c>
      <c r="I1792" s="50" t="str">
        <f>ARRAY_CONSTRAIN(ARRAYFORMULA(SUM(IF([3]!Table13[ID]=B1792,[3]!Table13[QTY]))), 1, 1)</f>
        <v>#ERROR!</v>
      </c>
      <c r="J1792" s="50" t="str">
        <f>TABLEITEM!$H$3:$H$2749-TABLEITEM!$I$3:$I$2749</f>
        <v>#ERROR!</v>
      </c>
    </row>
    <row r="1793" ht="15.75" customHeight="1">
      <c r="A1793" s="45"/>
      <c r="B1793" s="18" t="s">
        <v>3791</v>
      </c>
      <c r="C1793" s="26"/>
      <c r="D1793" s="18" t="s">
        <v>9342</v>
      </c>
      <c r="E1793" s="56" t="s">
        <v>1276</v>
      </c>
      <c r="F1793" s="57"/>
      <c r="G1793" s="49">
        <f t="array" ref="G1793">MAX(IF(INSTOCK!$H$3:$H$6125=B1793,INSTOCK!$K$3:$K$6125))</f>
        <v>180</v>
      </c>
      <c r="H1793" s="50">
        <f t="array" ref="H1793">SUM(IF(INSTOCK!$H$3:$H$6125=B1793,INSTOCK!$I$3:$I$6125))</f>
        <v>3</v>
      </c>
      <c r="I1793" s="50" t="str">
        <f>ARRAY_CONSTRAIN(ARRAYFORMULA(SUM(IF([3]!Table13[ID]=B1793,[3]!Table13[QTY]))), 1, 1)</f>
        <v>#ERROR!</v>
      </c>
      <c r="J1793" s="50" t="str">
        <f>TABLEITEM!$H$3:$H$2749-TABLEITEM!$I$3:$I$2749</f>
        <v>#ERROR!</v>
      </c>
    </row>
    <row r="1794" ht="15.75" customHeight="1">
      <c r="A1794" s="45"/>
      <c r="B1794" s="18" t="s">
        <v>3798</v>
      </c>
      <c r="C1794" s="26"/>
      <c r="D1794" s="18" t="s">
        <v>9343</v>
      </c>
      <c r="E1794" s="56"/>
      <c r="F1794" s="57" t="s">
        <v>7173</v>
      </c>
      <c r="G1794" s="49">
        <f t="array" ref="G1794">MAX(IF(INSTOCK!$H$3:$H$6125=B1794,INSTOCK!$K$3:$K$6125))</f>
        <v>1040</v>
      </c>
      <c r="H1794" s="50">
        <f t="array" ref="H1794">SUM(IF(INSTOCK!$H$3:$H$6125=B1794,INSTOCK!$I$3:$I$6125))</f>
        <v>4</v>
      </c>
      <c r="I1794" s="50" t="str">
        <f>ARRAY_CONSTRAIN(ARRAYFORMULA(SUM(IF([3]!Table13[ID]=B1794,[3]!Table13[QTY]))), 1, 1)</f>
        <v>#ERROR!</v>
      </c>
      <c r="J1794" s="50" t="str">
        <f>TABLEITEM!$H$3:$H$2749-TABLEITEM!$I$3:$I$2749</f>
        <v>#ERROR!</v>
      </c>
    </row>
    <row r="1795" ht="15.75" customHeight="1">
      <c r="A1795" s="45"/>
      <c r="B1795" s="10" t="s">
        <v>3810</v>
      </c>
      <c r="C1795" s="26"/>
      <c r="D1795" s="10" t="s">
        <v>9344</v>
      </c>
      <c r="E1795" s="48" t="s">
        <v>1289</v>
      </c>
      <c r="F1795" s="57"/>
      <c r="G1795" s="49">
        <f t="array" ref="G1795">MAX(IF(INSTOCK!$H$3:$H$6125=B1795,INSTOCK!$K$3:$K$6125))</f>
        <v>250</v>
      </c>
      <c r="H1795" s="50">
        <f t="array" ref="H1795">SUM(IF(INSTOCK!$H$3:$H$6125=B1795,INSTOCK!$I$3:$I$6125))</f>
        <v>2</v>
      </c>
      <c r="I1795" s="50" t="str">
        <f>ARRAY_CONSTRAIN(ARRAYFORMULA(SUM(IF([3]!Table13[ID]=B1795,[3]!Table13[QTY]))), 1, 1)</f>
        <v>#ERROR!</v>
      </c>
      <c r="J1795" s="50" t="str">
        <f>TABLEITEM!$H$3:$H$2749-TABLEITEM!$I$3:$I$2749</f>
        <v>#ERROR!</v>
      </c>
    </row>
    <row r="1796" ht="15.75" customHeight="1">
      <c r="A1796" s="45"/>
      <c r="B1796" s="10" t="s">
        <v>3811</v>
      </c>
      <c r="C1796" s="26"/>
      <c r="D1796" s="10" t="s">
        <v>9345</v>
      </c>
      <c r="E1796" s="48" t="s">
        <v>1289</v>
      </c>
      <c r="F1796" s="57"/>
      <c r="G1796" s="49">
        <f t="array" ref="G1796">MAX(IF(INSTOCK!$H$3:$H$6125=B1796,INSTOCK!$K$3:$K$6125))</f>
        <v>320</v>
      </c>
      <c r="H1796" s="50">
        <f t="array" ref="H1796">SUM(IF(INSTOCK!$H$3:$H$6125=B1796,INSTOCK!$I$3:$I$6125))</f>
        <v>2</v>
      </c>
      <c r="I1796" s="50" t="str">
        <f>ARRAY_CONSTRAIN(ARRAYFORMULA(SUM(IF([3]!Table13[ID]=B1796,[3]!Table13[QTY]))), 1, 1)</f>
        <v>#ERROR!</v>
      </c>
      <c r="J1796" s="50" t="str">
        <f>TABLEITEM!$H$3:$H$2749-TABLEITEM!$I$3:$I$2749</f>
        <v>#ERROR!</v>
      </c>
    </row>
    <row r="1797" ht="15.75" customHeight="1">
      <c r="A1797" s="45"/>
      <c r="B1797" s="18" t="s">
        <v>3812</v>
      </c>
      <c r="C1797" s="26"/>
      <c r="D1797" s="18" t="s">
        <v>9346</v>
      </c>
      <c r="E1797" s="48" t="s">
        <v>1289</v>
      </c>
      <c r="F1797" s="57"/>
      <c r="G1797" s="49">
        <f t="array" ref="G1797">MAX(IF(INSTOCK!$H$3:$H$6125=B1797,INSTOCK!$K$3:$K$6125))</f>
        <v>600</v>
      </c>
      <c r="H1797" s="50">
        <f t="array" ref="H1797">SUM(IF(INSTOCK!$H$3:$H$6125=B1797,INSTOCK!$I$3:$I$6125))</f>
        <v>2</v>
      </c>
      <c r="I1797" s="50" t="str">
        <f>ARRAY_CONSTRAIN(ARRAYFORMULA(SUM(IF([3]!Table13[ID]=B1797,[3]!Table13[QTY]))), 1, 1)</f>
        <v>#ERROR!</v>
      </c>
      <c r="J1797" s="50" t="str">
        <f>TABLEITEM!$H$3:$H$2749-TABLEITEM!$I$3:$I$2749</f>
        <v>#ERROR!</v>
      </c>
    </row>
    <row r="1798" ht="15.75" customHeight="1">
      <c r="A1798" s="45"/>
      <c r="B1798" s="18" t="s">
        <v>707</v>
      </c>
      <c r="C1798" s="26"/>
      <c r="D1798" s="18" t="s">
        <v>708</v>
      </c>
      <c r="E1798" s="56" t="s">
        <v>9301</v>
      </c>
      <c r="F1798" s="48" t="s">
        <v>7189</v>
      </c>
      <c r="G1798" s="49">
        <f t="array" ref="G1798">MAX(IF(INSTOCK!$H$3:$H$6125=B1798,INSTOCK!$K$3:$K$6125))</f>
        <v>180</v>
      </c>
      <c r="H1798" s="50">
        <f t="array" ref="H1798">SUM(IF(INSTOCK!$H$3:$H$6125=B1798,INSTOCK!$I$3:$I$6125))</f>
        <v>100</v>
      </c>
      <c r="I1798" s="50" t="str">
        <f>ARRAY_CONSTRAIN(ARRAYFORMULA(SUM(IF([3]!Table13[ID]=B1798,[3]!Table13[QTY]))), 1, 1)</f>
        <v>#ERROR!</v>
      </c>
      <c r="J1798" s="50" t="str">
        <f>TABLEITEM!$H$3:$H$2749-TABLEITEM!$I$3:$I$2749</f>
        <v>#ERROR!</v>
      </c>
    </row>
    <row r="1799" ht="15.75" customHeight="1">
      <c r="A1799" s="45"/>
      <c r="B1799" s="18" t="s">
        <v>3823</v>
      </c>
      <c r="C1799" s="26"/>
      <c r="D1799" s="18" t="s">
        <v>9347</v>
      </c>
      <c r="E1799" s="56" t="s">
        <v>8587</v>
      </c>
      <c r="F1799" s="57"/>
      <c r="G1799" s="49">
        <f t="array" ref="G1799">MAX(IF(INSTOCK!$H$3:$H$6125=B1799,INSTOCK!$K$3:$K$6125))</f>
        <v>2300000</v>
      </c>
      <c r="H1799" s="50">
        <f t="array" ref="H1799">SUM(IF(INSTOCK!$H$3:$H$6125=B1799,INSTOCK!$I$3:$I$6125))</f>
        <v>1</v>
      </c>
      <c r="I1799" s="50" t="str">
        <f>ARRAY_CONSTRAIN(ARRAYFORMULA(SUM(IF([3]!Table13[ID]=B1799,[3]!Table13[QTY]))), 1, 1)</f>
        <v>#ERROR!</v>
      </c>
      <c r="J1799" s="50" t="str">
        <f>TABLEITEM!$H$3:$H$2749-TABLEITEM!$I$3:$I$2749</f>
        <v>#ERROR!</v>
      </c>
    </row>
    <row r="1800" ht="15.75" customHeight="1">
      <c r="A1800" s="45"/>
      <c r="B1800" s="10" t="s">
        <v>3846</v>
      </c>
      <c r="C1800" s="26"/>
      <c r="D1800" s="18" t="s">
        <v>9348</v>
      </c>
      <c r="E1800" s="56" t="s">
        <v>1504</v>
      </c>
      <c r="F1800" s="57" t="s">
        <v>7173</v>
      </c>
      <c r="G1800" s="49">
        <f t="array" ref="G1800">MAX(IF(INSTOCK!$H$3:$H$6125=B1800,INSTOCK!$K$3:$K$6125))</f>
        <v>2274.75</v>
      </c>
      <c r="H1800" s="50">
        <f t="array" ref="H1800">SUM(IF(INSTOCK!$H$3:$H$6125=B1800,INSTOCK!$I$3:$I$6125))</f>
        <v>1</v>
      </c>
      <c r="I1800" s="50" t="str">
        <f>ARRAY_CONSTRAIN(ARRAYFORMULA(SUM(IF([3]!Table13[ID]=B1800,[3]!Table13[QTY]))), 1, 1)</f>
        <v>#ERROR!</v>
      </c>
      <c r="J1800" s="50" t="str">
        <f>TABLEITEM!$H$3:$H$2749-TABLEITEM!$I$3:$I$2749</f>
        <v>#ERROR!</v>
      </c>
    </row>
    <row r="1801" ht="15.75" customHeight="1">
      <c r="A1801" s="45"/>
      <c r="B1801" s="18" t="s">
        <v>3831</v>
      </c>
      <c r="C1801" s="26"/>
      <c r="D1801" s="18" t="s">
        <v>9349</v>
      </c>
      <c r="E1801" s="56" t="s">
        <v>8181</v>
      </c>
      <c r="F1801" s="57" t="s">
        <v>7173</v>
      </c>
      <c r="G1801" s="49">
        <f t="array" ref="G1801">MAX(IF(INSTOCK!$H$3:$H$6125=B1801,INSTOCK!$K$3:$K$6125))</f>
        <v>306</v>
      </c>
      <c r="H1801" s="50">
        <f t="array" ref="H1801">SUM(IF(INSTOCK!$H$3:$H$6125=B1801,INSTOCK!$I$3:$I$6125))</f>
        <v>8</v>
      </c>
      <c r="I1801" s="50" t="str">
        <f>ARRAY_CONSTRAIN(ARRAYFORMULA(SUM(IF([3]!Table13[ID]=B1801,[3]!Table13[QTY]))), 1, 1)</f>
        <v>#ERROR!</v>
      </c>
      <c r="J1801" s="50" t="str">
        <f>TABLEITEM!$H$3:$H$2749-TABLEITEM!$I$3:$I$2749</f>
        <v>#ERROR!</v>
      </c>
    </row>
    <row r="1802" ht="15.75" customHeight="1">
      <c r="A1802" s="45"/>
      <c r="B1802" s="10" t="s">
        <v>3835</v>
      </c>
      <c r="C1802" s="26"/>
      <c r="D1802" s="10" t="s">
        <v>9350</v>
      </c>
      <c r="E1802" s="48" t="s">
        <v>1601</v>
      </c>
      <c r="F1802" s="57" t="s">
        <v>7173</v>
      </c>
      <c r="G1802" s="49">
        <f t="array" ref="G1802">MAX(IF(INSTOCK!$H$3:$H$6125=B1802,INSTOCK!$K$3:$K$6125))</f>
        <v>121.13</v>
      </c>
      <c r="H1802" s="50">
        <f t="array" ref="H1802">SUM(IF(INSTOCK!$H$3:$H$6125=B1802,INSTOCK!$I$3:$I$6125))</f>
        <v>5</v>
      </c>
      <c r="I1802" s="50" t="str">
        <f>ARRAY_CONSTRAIN(ARRAYFORMULA(SUM(IF([3]!Table13[ID]=B1802,[3]!Table13[QTY]))), 1, 1)</f>
        <v>#ERROR!</v>
      </c>
      <c r="J1802" s="50" t="str">
        <f>TABLEITEM!$H$3:$H$2749-TABLEITEM!$I$3:$I$2749</f>
        <v>#ERROR!</v>
      </c>
    </row>
    <row r="1803" ht="15.75" customHeight="1">
      <c r="A1803" s="45"/>
      <c r="B1803" s="18" t="s">
        <v>3836</v>
      </c>
      <c r="C1803" s="26"/>
      <c r="D1803" s="18" t="s">
        <v>9351</v>
      </c>
      <c r="E1803" s="56"/>
      <c r="F1803" s="57"/>
      <c r="G1803" s="49">
        <f t="array" ref="G1803">MAX(IF(INSTOCK!$H$3:$H$6125=B1803,INSTOCK!$K$3:$K$6125))</f>
        <v>3.25</v>
      </c>
      <c r="H1803" s="50">
        <f t="array" ref="H1803">SUM(IF(INSTOCK!$H$3:$H$6125=B1803,INSTOCK!$I$3:$I$6125))</f>
        <v>100</v>
      </c>
      <c r="I1803" s="50" t="str">
        <f>ARRAY_CONSTRAIN(ARRAYFORMULA(SUM(IF([3]!Table13[ID]=B1803,[3]!Table13[QTY]))), 1, 1)</f>
        <v>#ERROR!</v>
      </c>
      <c r="J1803" s="50" t="str">
        <f>TABLEITEM!$H$3:$H$2749-TABLEITEM!$I$3:$I$2749</f>
        <v>#ERROR!</v>
      </c>
    </row>
    <row r="1804" ht="15.75" customHeight="1">
      <c r="A1804" s="45"/>
      <c r="B1804" s="18" t="s">
        <v>3849</v>
      </c>
      <c r="C1804" s="26"/>
      <c r="D1804" s="18" t="s">
        <v>9352</v>
      </c>
      <c r="E1804" s="56" t="s">
        <v>1504</v>
      </c>
      <c r="F1804" s="57" t="s">
        <v>7173</v>
      </c>
      <c r="G1804" s="49">
        <f t="array" ref="G1804">MAX(IF(INSTOCK!$H$3:$H$6125=B1804,INSTOCK!$K$3:$K$6125))</f>
        <v>8736</v>
      </c>
      <c r="H1804" s="50">
        <f t="array" ref="H1804">SUM(IF(INSTOCK!$H$3:$H$6125=B1804,INSTOCK!$I$3:$I$6125))</f>
        <v>1</v>
      </c>
      <c r="I1804" s="50" t="str">
        <f>ARRAY_CONSTRAIN(ARRAYFORMULA(SUM(IF([3]!Table13[ID]=B1804,[3]!Table13[QTY]))), 1, 1)</f>
        <v>#ERROR!</v>
      </c>
      <c r="J1804" s="50" t="str">
        <f>TABLEITEM!$H$3:$H$2749-TABLEITEM!$I$3:$I$2749</f>
        <v>#ERROR!</v>
      </c>
    </row>
    <row r="1805" ht="15.75" customHeight="1">
      <c r="A1805" s="45"/>
      <c r="B1805" s="10" t="s">
        <v>3851</v>
      </c>
      <c r="C1805" s="26"/>
      <c r="D1805" s="10" t="s">
        <v>9353</v>
      </c>
      <c r="E1805" s="56" t="s">
        <v>1504</v>
      </c>
      <c r="F1805" s="57" t="s">
        <v>7173</v>
      </c>
      <c r="G1805" s="49">
        <f t="array" ref="G1805">MAX(IF(INSTOCK!$H$3:$H$6125=B1805,INSTOCK!$K$3:$K$6125))</f>
        <v>286</v>
      </c>
      <c r="H1805" s="50">
        <f t="array" ref="H1805">SUM(IF(INSTOCK!$H$3:$H$6125=B1805,INSTOCK!$I$3:$I$6125))</f>
        <v>22</v>
      </c>
      <c r="I1805" s="50" t="str">
        <f>ARRAY_CONSTRAIN(ARRAYFORMULA(SUM(IF([3]!Table13[ID]=B1805,[3]!Table13[QTY]))), 1, 1)</f>
        <v>#ERROR!</v>
      </c>
      <c r="J1805" s="50" t="str">
        <f>TABLEITEM!$H$3:$H$2749-TABLEITEM!$I$3:$I$2749</f>
        <v>#ERROR!</v>
      </c>
    </row>
    <row r="1806" ht="15.75" customHeight="1">
      <c r="A1806" s="45"/>
      <c r="B1806" s="10" t="s">
        <v>3852</v>
      </c>
      <c r="C1806" s="26"/>
      <c r="D1806" s="10" t="s">
        <v>9354</v>
      </c>
      <c r="E1806" s="56" t="s">
        <v>1504</v>
      </c>
      <c r="F1806" s="57" t="s">
        <v>7173</v>
      </c>
      <c r="G1806" s="49">
        <f t="array" ref="G1806">MAX(IF(INSTOCK!$H$3:$H$6125=B1806,INSTOCK!$K$3:$K$6125))</f>
        <v>286</v>
      </c>
      <c r="H1806" s="50">
        <f t="array" ref="H1806">SUM(IF(INSTOCK!$H$3:$H$6125=B1806,INSTOCK!$I$3:$I$6125))</f>
        <v>13</v>
      </c>
      <c r="I1806" s="50" t="str">
        <f>ARRAY_CONSTRAIN(ARRAYFORMULA(SUM(IF([3]!Table13[ID]=B1806,[3]!Table13[QTY]))), 1, 1)</f>
        <v>#ERROR!</v>
      </c>
      <c r="J1806" s="50" t="str">
        <f>TABLEITEM!$H$3:$H$2749-TABLEITEM!$I$3:$I$2749</f>
        <v>#ERROR!</v>
      </c>
    </row>
    <row r="1807" ht="15.75" customHeight="1">
      <c r="A1807" s="45"/>
      <c r="B1807" s="18" t="s">
        <v>3853</v>
      </c>
      <c r="C1807" s="26"/>
      <c r="D1807" s="10" t="s">
        <v>9355</v>
      </c>
      <c r="E1807" s="56" t="s">
        <v>1504</v>
      </c>
      <c r="F1807" s="57" t="s">
        <v>7173</v>
      </c>
      <c r="G1807" s="49">
        <f t="array" ref="G1807">MAX(IF(INSTOCK!$H$3:$H$6125=B1807,INSTOCK!$K$3:$K$6125))</f>
        <v>480</v>
      </c>
      <c r="H1807" s="50">
        <f t="array" ref="H1807">SUM(IF(INSTOCK!$H$3:$H$6125=B1807,INSTOCK!$I$3:$I$6125))</f>
        <v>2</v>
      </c>
      <c r="I1807" s="50" t="str">
        <f>ARRAY_CONSTRAIN(ARRAYFORMULA(SUM(IF([3]!Table13[ID]=B1807,[3]!Table13[QTY]))), 1, 1)</f>
        <v>#ERROR!</v>
      </c>
      <c r="J1807" s="50" t="str">
        <f>TABLEITEM!$H$3:$H$2749-TABLEITEM!$I$3:$I$2749</f>
        <v>#ERROR!</v>
      </c>
    </row>
    <row r="1808" ht="15.75" customHeight="1">
      <c r="A1808" s="45"/>
      <c r="B1808" s="18" t="s">
        <v>3857</v>
      </c>
      <c r="C1808" s="26"/>
      <c r="D1808" s="18" t="s">
        <v>9356</v>
      </c>
      <c r="E1808" s="56" t="s">
        <v>9357</v>
      </c>
      <c r="F1808" s="57"/>
      <c r="G1808" s="49">
        <f t="array" ref="G1808">MAX(IF(INSTOCK!$H$3:$H$6125=B1808,INSTOCK!$K$3:$K$6125))</f>
        <v>100</v>
      </c>
      <c r="H1808" s="50">
        <f t="array" ref="H1808">SUM(IF(INSTOCK!$H$3:$H$6125=B1808,INSTOCK!$I$3:$I$6125))</f>
        <v>12</v>
      </c>
      <c r="I1808" s="50" t="str">
        <f>ARRAY_CONSTRAIN(ARRAYFORMULA(SUM(IF([3]!Table13[ID]=B1808,[3]!Table13[QTY]))), 1, 1)</f>
        <v>#ERROR!</v>
      </c>
      <c r="J1808" s="50" t="str">
        <f>TABLEITEM!$H$3:$H$2749-TABLEITEM!$I$3:$I$2749</f>
        <v>#ERROR!</v>
      </c>
    </row>
    <row r="1809" ht="15.75" customHeight="1">
      <c r="A1809" s="45"/>
      <c r="B1809" s="18" t="s">
        <v>3865</v>
      </c>
      <c r="C1809" s="26"/>
      <c r="D1809" s="18" t="s">
        <v>9358</v>
      </c>
      <c r="E1809" s="56" t="s">
        <v>1601</v>
      </c>
      <c r="F1809" s="57" t="s">
        <v>7173</v>
      </c>
      <c r="G1809" s="49">
        <f t="array" ref="G1809">MAX(IF(INSTOCK!$H$3:$H$6125=B1809,INSTOCK!$K$3:$K$6125))</f>
        <v>277.873333</v>
      </c>
      <c r="H1809" s="50">
        <f t="array" ref="H1809">SUM(IF(INSTOCK!$H$3:$H$6125=B1809,INSTOCK!$I$3:$I$6125))</f>
        <v>3</v>
      </c>
      <c r="I1809" s="50" t="str">
        <f>ARRAY_CONSTRAIN(ARRAYFORMULA(SUM(IF([3]!Table13[ID]=B1809,[3]!Table13[QTY]))), 1, 1)</f>
        <v>#ERROR!</v>
      </c>
      <c r="J1809" s="50" t="str">
        <f>TABLEITEM!$H$3:$H$2749-TABLEITEM!$I$3:$I$2749</f>
        <v>#ERROR!</v>
      </c>
    </row>
    <row r="1810" ht="15.75" customHeight="1">
      <c r="A1810" s="45"/>
      <c r="B1810" s="18" t="s">
        <v>3870</v>
      </c>
      <c r="C1810" s="26"/>
      <c r="D1810" s="18" t="s">
        <v>9359</v>
      </c>
      <c r="E1810" s="56" t="s">
        <v>9360</v>
      </c>
      <c r="F1810" s="57" t="s">
        <v>7173</v>
      </c>
      <c r="G1810" s="49">
        <f t="array" ref="G1810">MAX(IF(INSTOCK!$H$3:$H$6125=B1810,INSTOCK!$K$3:$K$6125))</f>
        <v>930</v>
      </c>
      <c r="H1810" s="50">
        <f t="array" ref="H1810">SUM(IF(INSTOCK!$H$3:$H$6125=B1810,INSTOCK!$I$3:$I$6125))</f>
        <v>1</v>
      </c>
      <c r="I1810" s="50" t="str">
        <f>ARRAY_CONSTRAIN(ARRAYFORMULA(SUM(IF([3]!Table13[ID]=B1810,[3]!Table13[QTY]))), 1, 1)</f>
        <v>#ERROR!</v>
      </c>
      <c r="J1810" s="50" t="str">
        <f>TABLEITEM!$H$3:$H$2749-TABLEITEM!$I$3:$I$2749</f>
        <v>#ERROR!</v>
      </c>
    </row>
    <row r="1811" ht="15.75" customHeight="1">
      <c r="A1811" s="45"/>
      <c r="B1811" s="10" t="s">
        <v>3873</v>
      </c>
      <c r="C1811" s="26"/>
      <c r="D1811" s="10" t="s">
        <v>9361</v>
      </c>
      <c r="E1811" s="48" t="s">
        <v>9362</v>
      </c>
      <c r="F1811" s="57" t="s">
        <v>7173</v>
      </c>
      <c r="G1811" s="49">
        <f t="array" ref="G1811">MAX(IF(INSTOCK!$H$3:$H$6125=B1811,INSTOCK!$K$3:$K$6125))</f>
        <v>4950</v>
      </c>
      <c r="H1811" s="50">
        <f t="array" ref="H1811">SUM(IF(INSTOCK!$H$3:$H$6125=B1811,INSTOCK!$I$3:$I$6125))</f>
        <v>1</v>
      </c>
      <c r="I1811" s="50" t="str">
        <f>ARRAY_CONSTRAIN(ARRAYFORMULA(SUM(IF([3]!Table13[ID]=B1811,[3]!Table13[QTY]))), 1, 1)</f>
        <v>#ERROR!</v>
      </c>
      <c r="J1811" s="50" t="str">
        <f>TABLEITEM!$H$3:$H$2749-TABLEITEM!$I$3:$I$2749</f>
        <v>#ERROR!</v>
      </c>
    </row>
    <row r="1812" ht="15.75" customHeight="1">
      <c r="A1812" s="45"/>
      <c r="B1812" s="18" t="s">
        <v>3874</v>
      </c>
      <c r="C1812" s="26"/>
      <c r="D1812" s="18" t="s">
        <v>9363</v>
      </c>
      <c r="E1812" s="56" t="s">
        <v>9364</v>
      </c>
      <c r="F1812" s="57" t="s">
        <v>7173</v>
      </c>
      <c r="G1812" s="49">
        <f t="array" ref="G1812">MAX(IF(INSTOCK!$H$3:$H$6125=B1812,INSTOCK!$K$3:$K$6125))</f>
        <v>9400</v>
      </c>
      <c r="H1812" s="50">
        <f t="array" ref="H1812">SUM(IF(INSTOCK!$H$3:$H$6125=B1812,INSTOCK!$I$3:$I$6125))</f>
        <v>2</v>
      </c>
      <c r="I1812" s="50" t="str">
        <f>ARRAY_CONSTRAIN(ARRAYFORMULA(SUM(IF([3]!Table13[ID]=B1812,[3]!Table13[QTY]))), 1, 1)</f>
        <v>#ERROR!</v>
      </c>
      <c r="J1812" s="50" t="str">
        <f>TABLEITEM!$H$3:$H$2749-TABLEITEM!$I$3:$I$2749</f>
        <v>#ERROR!</v>
      </c>
    </row>
    <row r="1813" ht="15.75" customHeight="1">
      <c r="A1813" s="45"/>
      <c r="B1813" s="18" t="s">
        <v>3876</v>
      </c>
      <c r="C1813" s="26"/>
      <c r="D1813" s="18" t="s">
        <v>9365</v>
      </c>
      <c r="E1813" s="56" t="s">
        <v>1504</v>
      </c>
      <c r="F1813" s="57" t="s">
        <v>7173</v>
      </c>
      <c r="G1813" s="49">
        <f t="array" ref="G1813">MAX(IF(INSTOCK!$H$3:$H$6125=B1813,INSTOCK!$K$3:$K$6125))</f>
        <v>1032.75</v>
      </c>
      <c r="H1813" s="50">
        <f t="array" ref="H1813">SUM(IF(INSTOCK!$H$3:$H$6125=B1813,INSTOCK!$I$3:$I$6125))</f>
        <v>1</v>
      </c>
      <c r="I1813" s="50" t="str">
        <f>ARRAY_CONSTRAIN(ARRAYFORMULA(SUM(IF([3]!Table13[ID]=B1813,[3]!Table13[QTY]))), 1, 1)</f>
        <v>#ERROR!</v>
      </c>
      <c r="J1813" s="50" t="str">
        <f>TABLEITEM!$H$3:$H$2749-TABLEITEM!$I$3:$I$2749</f>
        <v>#ERROR!</v>
      </c>
    </row>
    <row r="1814" ht="15.75" customHeight="1">
      <c r="A1814" s="45"/>
      <c r="B1814" s="18" t="s">
        <v>3879</v>
      </c>
      <c r="C1814" s="26"/>
      <c r="D1814" s="18" t="s">
        <v>9366</v>
      </c>
      <c r="E1814" s="56" t="s">
        <v>1504</v>
      </c>
      <c r="F1814" s="57" t="s">
        <v>7173</v>
      </c>
      <c r="G1814" s="49">
        <f t="array" ref="G1814">MAX(IF(INSTOCK!$H$3:$H$6125=B1814,INSTOCK!$K$3:$K$6125))</f>
        <v>1178.1</v>
      </c>
      <c r="H1814" s="50">
        <f t="array" ref="H1814">SUM(IF(INSTOCK!$H$3:$H$6125=B1814,INSTOCK!$I$3:$I$6125))</f>
        <v>22</v>
      </c>
      <c r="I1814" s="50" t="str">
        <f>ARRAY_CONSTRAIN(ARRAYFORMULA(SUM(IF([3]!Table13[ID]=B1814,[3]!Table13[QTY]))), 1, 1)</f>
        <v>#ERROR!</v>
      </c>
      <c r="J1814" s="50" t="str">
        <f>TABLEITEM!$H$3:$H$2749-TABLEITEM!$I$3:$I$2749</f>
        <v>#ERROR!</v>
      </c>
    </row>
    <row r="1815" ht="15.75" customHeight="1">
      <c r="A1815" s="45"/>
      <c r="B1815" s="10" t="s">
        <v>3882</v>
      </c>
      <c r="C1815" s="26"/>
      <c r="D1815" s="10" t="s">
        <v>9367</v>
      </c>
      <c r="E1815" s="48" t="s">
        <v>8787</v>
      </c>
      <c r="F1815" s="57" t="s">
        <v>7173</v>
      </c>
      <c r="G1815" s="49">
        <f t="array" ref="G1815">MAX(IF(INSTOCK!$H$3:$H$6125=B1815,INSTOCK!$K$3:$K$6125))</f>
        <v>400</v>
      </c>
      <c r="H1815" s="50">
        <f t="array" ref="H1815">SUM(IF(INSTOCK!$H$3:$H$6125=B1815,INSTOCK!$I$3:$I$6125))</f>
        <v>3</v>
      </c>
      <c r="I1815" s="50" t="str">
        <f>ARRAY_CONSTRAIN(ARRAYFORMULA(SUM(IF([3]!Table13[ID]=B1815,[3]!Table13[QTY]))), 1, 1)</f>
        <v>#ERROR!</v>
      </c>
      <c r="J1815" s="50" t="str">
        <f>TABLEITEM!$H$3:$H$2749-TABLEITEM!$I$3:$I$2749</f>
        <v>#ERROR!</v>
      </c>
    </row>
    <row r="1816" ht="15.75" customHeight="1">
      <c r="A1816" s="45"/>
      <c r="B1816" s="18" t="s">
        <v>3883</v>
      </c>
      <c r="C1816" s="26"/>
      <c r="D1816" s="18" t="s">
        <v>9368</v>
      </c>
      <c r="E1816" s="48" t="s">
        <v>8787</v>
      </c>
      <c r="F1816" s="57" t="s">
        <v>7173</v>
      </c>
      <c r="G1816" s="49">
        <f t="array" ref="G1816">MAX(IF(INSTOCK!$H$3:$H$6125=B1816,INSTOCK!$K$3:$K$6125))</f>
        <v>360</v>
      </c>
      <c r="H1816" s="50">
        <f t="array" ref="H1816">SUM(IF(INSTOCK!$H$3:$H$6125=B1816,INSTOCK!$I$3:$I$6125))</f>
        <v>2</v>
      </c>
      <c r="I1816" s="50" t="str">
        <f>ARRAY_CONSTRAIN(ARRAYFORMULA(SUM(IF([3]!Table13[ID]=B1816,[3]!Table13[QTY]))), 1, 1)</f>
        <v>#ERROR!</v>
      </c>
      <c r="J1816" s="50" t="str">
        <f>TABLEITEM!$H$3:$H$2749-TABLEITEM!$I$3:$I$2749</f>
        <v>#ERROR!</v>
      </c>
    </row>
    <row r="1817" ht="15.75" customHeight="1">
      <c r="A1817" s="45"/>
      <c r="B1817" s="18" t="s">
        <v>3887</v>
      </c>
      <c r="C1817" s="26"/>
      <c r="D1817" s="18" t="s">
        <v>9369</v>
      </c>
      <c r="E1817" s="56"/>
      <c r="F1817" s="57" t="s">
        <v>7173</v>
      </c>
      <c r="G1817" s="49">
        <f t="array" ref="G1817">MAX(IF(INSTOCK!$H$3:$H$6125=B1817,INSTOCK!$K$3:$K$6125))</f>
        <v>20</v>
      </c>
      <c r="H1817" s="50">
        <f t="array" ref="H1817">SUM(IF(INSTOCK!$H$3:$H$6125=B1817,INSTOCK!$I$3:$I$6125))</f>
        <v>400</v>
      </c>
      <c r="I1817" s="50" t="str">
        <f>ARRAY_CONSTRAIN(ARRAYFORMULA(SUM(IF([3]!Table13[ID]=B1817,[3]!Table13[QTY]))), 1, 1)</f>
        <v>#ERROR!</v>
      </c>
      <c r="J1817" s="50" t="str">
        <f>TABLEITEM!$H$3:$H$2749-TABLEITEM!$I$3:$I$2749</f>
        <v>#ERROR!</v>
      </c>
    </row>
    <row r="1818" ht="15.75" customHeight="1">
      <c r="A1818" s="45"/>
      <c r="B1818" s="18" t="s">
        <v>3893</v>
      </c>
      <c r="C1818" s="26"/>
      <c r="D1818" s="18" t="s">
        <v>9370</v>
      </c>
      <c r="E1818" s="56"/>
      <c r="F1818" s="57" t="s">
        <v>7173</v>
      </c>
      <c r="G1818" s="49">
        <f t="array" ref="G1818">MAX(IF(INSTOCK!$H$3:$H$6125=B1818,INSTOCK!$K$3:$K$6125))</f>
        <v>120</v>
      </c>
      <c r="H1818" s="50">
        <f t="array" ref="H1818">SUM(IF(INSTOCK!$H$3:$H$6125=B1818,INSTOCK!$I$3:$I$6125))</f>
        <v>16</v>
      </c>
      <c r="I1818" s="50" t="str">
        <f>ARRAY_CONSTRAIN(ARRAYFORMULA(SUM(IF([3]!Table13[ID]=B1818,[3]!Table13[QTY]))), 1, 1)</f>
        <v>#ERROR!</v>
      </c>
      <c r="J1818" s="50" t="str">
        <f>TABLEITEM!$H$3:$H$2749-TABLEITEM!$I$3:$I$2749</f>
        <v>#ERROR!</v>
      </c>
    </row>
    <row r="1819" ht="15.75" customHeight="1">
      <c r="A1819" s="45"/>
      <c r="B1819" s="18" t="s">
        <v>3903</v>
      </c>
      <c r="C1819" s="26"/>
      <c r="D1819" s="18" t="s">
        <v>9371</v>
      </c>
      <c r="E1819" s="56" t="s">
        <v>1487</v>
      </c>
      <c r="F1819" s="57" t="s">
        <v>7173</v>
      </c>
      <c r="G1819" s="49">
        <f t="array" ref="G1819">MAX(IF(INSTOCK!$H$3:$H$6125=B1819,INSTOCK!$K$3:$K$6125))</f>
        <v>1656</v>
      </c>
      <c r="H1819" s="50">
        <f t="array" ref="H1819">SUM(IF(INSTOCK!$H$3:$H$6125=B1819,INSTOCK!$I$3:$I$6125))</f>
        <v>1</v>
      </c>
      <c r="I1819" s="50" t="str">
        <f>ARRAY_CONSTRAIN(ARRAYFORMULA(SUM(IF([3]!Table13[ID]=B1819,[3]!Table13[QTY]))), 1, 1)</f>
        <v>#ERROR!</v>
      </c>
      <c r="J1819" s="50" t="str">
        <f>TABLEITEM!$H$3:$H$2749-TABLEITEM!$I$3:$I$2749</f>
        <v>#ERROR!</v>
      </c>
    </row>
    <row r="1820" ht="15.75" customHeight="1">
      <c r="A1820" s="45"/>
      <c r="B1820" s="18" t="s">
        <v>3920</v>
      </c>
      <c r="C1820" s="26"/>
      <c r="D1820" s="18" t="s">
        <v>9372</v>
      </c>
      <c r="E1820" s="56"/>
      <c r="F1820" s="48" t="s">
        <v>8187</v>
      </c>
      <c r="G1820" s="49">
        <f t="array" ref="G1820">MAX(IF(INSTOCK!$H$3:$H$6125=B1820,INSTOCK!$K$3:$K$6125))</f>
        <v>500</v>
      </c>
      <c r="H1820" s="50">
        <f t="array" ref="H1820">SUM(IF(INSTOCK!$H$3:$H$6125=B1820,INSTOCK!$I$3:$I$6125))</f>
        <v>70</v>
      </c>
      <c r="I1820" s="50" t="str">
        <f>ARRAY_CONSTRAIN(ARRAYFORMULA(SUM(IF([3]!Table13[ID]=B1820,[3]!Table13[QTY]))), 1, 1)</f>
        <v>#ERROR!</v>
      </c>
      <c r="J1820" s="50" t="str">
        <f>TABLEITEM!$H$3:$H$2749-TABLEITEM!$I$3:$I$2749</f>
        <v>#ERROR!</v>
      </c>
    </row>
    <row r="1821" ht="15.75" customHeight="1">
      <c r="A1821" s="45"/>
      <c r="B1821" s="18" t="s">
        <v>3922</v>
      </c>
      <c r="C1821" s="26"/>
      <c r="D1821" s="18" t="s">
        <v>9373</v>
      </c>
      <c r="E1821" s="56" t="s">
        <v>1601</v>
      </c>
      <c r="F1821" s="57" t="s">
        <v>7173</v>
      </c>
      <c r="G1821" s="49">
        <f t="array" ref="G1821">MAX(IF(INSTOCK!$H$3:$H$6125=B1821,INSTOCK!$K$3:$K$6125))</f>
        <v>121.12333</v>
      </c>
      <c r="H1821" s="50">
        <f t="array" ref="H1821">SUM(IF(INSTOCK!$H$3:$H$6125=B1821,INSTOCK!$I$3:$I$6125))</f>
        <v>18</v>
      </c>
      <c r="I1821" s="50" t="str">
        <f>ARRAY_CONSTRAIN(ARRAYFORMULA(SUM(IF([3]!Table13[ID]=B1821,[3]!Table13[QTY]))), 1, 1)</f>
        <v>#ERROR!</v>
      </c>
      <c r="J1821" s="50" t="str">
        <f>TABLEITEM!$H$3:$H$2749-TABLEITEM!$I$3:$I$2749</f>
        <v>#ERROR!</v>
      </c>
    </row>
    <row r="1822" ht="15.75" customHeight="1">
      <c r="A1822" s="45"/>
      <c r="B1822" s="18" t="s">
        <v>3924</v>
      </c>
      <c r="C1822" s="26"/>
      <c r="D1822" s="18" t="s">
        <v>9374</v>
      </c>
      <c r="E1822" s="56" t="s">
        <v>1504</v>
      </c>
      <c r="F1822" s="57" t="s">
        <v>7173</v>
      </c>
      <c r="G1822" s="49">
        <f t="array" ref="G1822">MAX(IF(INSTOCK!$H$3:$H$6125=B1822,INSTOCK!$K$3:$K$6125))</f>
        <v>1420</v>
      </c>
      <c r="H1822" s="50">
        <f t="array" ref="H1822">SUM(IF(INSTOCK!$H$3:$H$6125=B1822,INSTOCK!$I$3:$I$6125))</f>
        <v>6</v>
      </c>
      <c r="I1822" s="50" t="str">
        <f>ARRAY_CONSTRAIN(ARRAYFORMULA(SUM(IF([3]!Table13[ID]=B1822,[3]!Table13[QTY]))), 1, 1)</f>
        <v>#ERROR!</v>
      </c>
      <c r="J1822" s="50" t="str">
        <f>TABLEITEM!$H$3:$H$2749-TABLEITEM!$I$3:$I$2749</f>
        <v>#ERROR!</v>
      </c>
    </row>
    <row r="1823" ht="15.75" customHeight="1">
      <c r="A1823" s="45"/>
      <c r="B1823" s="10" t="s">
        <v>3929</v>
      </c>
      <c r="C1823" s="26"/>
      <c r="D1823" s="10" t="s">
        <v>9375</v>
      </c>
      <c r="E1823" s="56" t="s">
        <v>1504</v>
      </c>
      <c r="F1823" s="57" t="s">
        <v>7173</v>
      </c>
      <c r="G1823" s="49">
        <f t="array" ref="G1823">MAX(IF(INSTOCK!$H$3:$H$6125=B1823,INSTOCK!$K$3:$K$6125))</f>
        <v>1420</v>
      </c>
      <c r="H1823" s="50">
        <f t="array" ref="H1823">SUM(IF(INSTOCK!$H$3:$H$6125=B1823,INSTOCK!$I$3:$I$6125))</f>
        <v>1</v>
      </c>
      <c r="I1823" s="50" t="str">
        <f>ARRAY_CONSTRAIN(ARRAYFORMULA(SUM(IF([3]!Table13[ID]=B1823,[3]!Table13[QTY]))), 1, 1)</f>
        <v>#ERROR!</v>
      </c>
      <c r="J1823" s="50" t="str">
        <f>TABLEITEM!$H$3:$H$2749-TABLEITEM!$I$3:$I$2749</f>
        <v>#ERROR!</v>
      </c>
    </row>
    <row r="1824" ht="15.75" customHeight="1">
      <c r="A1824" s="45"/>
      <c r="B1824" s="18" t="s">
        <v>3930</v>
      </c>
      <c r="C1824" s="26"/>
      <c r="D1824" s="10" t="s">
        <v>9376</v>
      </c>
      <c r="E1824" s="56" t="s">
        <v>1504</v>
      </c>
      <c r="F1824" s="57" t="s">
        <v>7173</v>
      </c>
      <c r="G1824" s="49">
        <f t="array" ref="G1824">MAX(IF(INSTOCK!$H$3:$H$6125=B1824,INSTOCK!$K$3:$K$6125))</f>
        <v>1420</v>
      </c>
      <c r="H1824" s="50">
        <f t="array" ref="H1824">SUM(IF(INSTOCK!$H$3:$H$6125=B1824,INSTOCK!$I$3:$I$6125))</f>
        <v>1</v>
      </c>
      <c r="I1824" s="50" t="str">
        <f>ARRAY_CONSTRAIN(ARRAYFORMULA(SUM(IF([3]!Table13[ID]=B1824,[3]!Table13[QTY]))), 1, 1)</f>
        <v>#ERROR!</v>
      </c>
      <c r="J1824" s="50" t="str">
        <f>TABLEITEM!$H$3:$H$2749-TABLEITEM!$I$3:$I$2749</f>
        <v>#ERROR!</v>
      </c>
    </row>
    <row r="1825" ht="15.75" customHeight="1">
      <c r="A1825" s="45"/>
      <c r="B1825" s="18" t="s">
        <v>3933</v>
      </c>
      <c r="C1825" s="26"/>
      <c r="D1825" s="18" t="s">
        <v>9377</v>
      </c>
      <c r="E1825" s="56" t="s">
        <v>1504</v>
      </c>
      <c r="F1825" s="57" t="s">
        <v>7173</v>
      </c>
      <c r="G1825" s="49">
        <f t="array" ref="G1825">MAX(IF(INSTOCK!$H$3:$H$6125=B1825,INSTOCK!$K$3:$K$6125))</f>
        <v>96</v>
      </c>
      <c r="H1825" s="50">
        <f t="array" ref="H1825">SUM(IF(INSTOCK!$H$3:$H$6125=B1825,INSTOCK!$I$3:$I$6125))</f>
        <v>12</v>
      </c>
      <c r="I1825" s="50" t="str">
        <f>ARRAY_CONSTRAIN(ARRAYFORMULA(SUM(IF([3]!Table13[ID]=B1825,[3]!Table13[QTY]))), 1, 1)</f>
        <v>#ERROR!</v>
      </c>
      <c r="J1825" s="50" t="str">
        <f>TABLEITEM!$H$3:$H$2749-TABLEITEM!$I$3:$I$2749</f>
        <v>#ERROR!</v>
      </c>
    </row>
    <row r="1826" ht="15.75" customHeight="1">
      <c r="A1826" s="45"/>
      <c r="B1826" s="18" t="s">
        <v>3945</v>
      </c>
      <c r="C1826" s="26"/>
      <c r="D1826" s="18" t="s">
        <v>9378</v>
      </c>
      <c r="E1826" s="56" t="s">
        <v>9379</v>
      </c>
      <c r="F1826" s="57" t="s">
        <v>7173</v>
      </c>
      <c r="G1826" s="49">
        <f t="array" ref="G1826">MAX(IF(INSTOCK!$H$3:$H$6125=B1826,INSTOCK!$K$3:$K$6125))</f>
        <v>2310</v>
      </c>
      <c r="H1826" s="50">
        <f t="array" ref="H1826">SUM(IF(INSTOCK!$H$3:$H$6125=B1826,INSTOCK!$I$3:$I$6125))</f>
        <v>1</v>
      </c>
      <c r="I1826" s="50" t="str">
        <f>ARRAY_CONSTRAIN(ARRAYFORMULA(SUM(IF([3]!Table13[ID]=B1826,[3]!Table13[QTY]))), 1, 1)</f>
        <v>#ERROR!</v>
      </c>
      <c r="J1826" s="50" t="str">
        <f>TABLEITEM!$H$3:$H$2749-TABLEITEM!$I$3:$I$2749</f>
        <v>#ERROR!</v>
      </c>
    </row>
    <row r="1827" ht="15.75" customHeight="1">
      <c r="A1827" s="45"/>
      <c r="B1827" s="18" t="s">
        <v>3947</v>
      </c>
      <c r="C1827" s="26"/>
      <c r="D1827" s="18" t="s">
        <v>9380</v>
      </c>
      <c r="E1827" s="56" t="s">
        <v>9379</v>
      </c>
      <c r="F1827" s="57" t="s">
        <v>8651</v>
      </c>
      <c r="G1827" s="49">
        <f t="array" ref="G1827">MAX(IF(INSTOCK!$H$3:$H$6125=B1827,INSTOCK!$K$3:$K$6125))</f>
        <v>77.25</v>
      </c>
      <c r="H1827" s="50">
        <f t="array" ref="H1827">SUM(IF(INSTOCK!$H$3:$H$6125=B1827,INSTOCK!$I$3:$I$6125))</f>
        <v>1</v>
      </c>
      <c r="I1827" s="50" t="str">
        <f>ARRAY_CONSTRAIN(ARRAYFORMULA(SUM(IF([3]!Table13[ID]=B1827,[3]!Table13[QTY]))), 1, 1)</f>
        <v>#ERROR!</v>
      </c>
      <c r="J1827" s="50" t="str">
        <f>TABLEITEM!$H$3:$H$2749-TABLEITEM!$I$3:$I$2749</f>
        <v>#ERROR!</v>
      </c>
    </row>
    <row r="1828" ht="15.75" customHeight="1">
      <c r="A1828" s="45"/>
      <c r="B1828" s="10" t="s">
        <v>3950</v>
      </c>
      <c r="C1828" s="26"/>
      <c r="D1828" s="10" t="s">
        <v>9381</v>
      </c>
      <c r="E1828" s="56" t="s">
        <v>9379</v>
      </c>
      <c r="F1828" s="48" t="s">
        <v>7173</v>
      </c>
      <c r="G1828" s="49">
        <f t="array" ref="G1828">MAX(IF(INSTOCK!$H$3:$H$6125=B1828,INSTOCK!$K$3:$K$6125))</f>
        <v>3590</v>
      </c>
      <c r="H1828" s="50">
        <f t="array" ref="H1828">SUM(IF(INSTOCK!$H$3:$H$6125=B1828,INSTOCK!$I$3:$I$6125))</f>
        <v>1</v>
      </c>
      <c r="I1828" s="50" t="str">
        <f>ARRAY_CONSTRAIN(ARRAYFORMULA(SUM(IF([3]!Table13[ID]=B1828,[3]!Table13[QTY]))), 1, 1)</f>
        <v>#ERROR!</v>
      </c>
      <c r="J1828" s="50" t="str">
        <f>TABLEITEM!$H$3:$H$2749-TABLEITEM!$I$3:$I$2749</f>
        <v>#ERROR!</v>
      </c>
    </row>
    <row r="1829" ht="15.75" customHeight="1">
      <c r="A1829" s="45"/>
      <c r="B1829" s="10" t="s">
        <v>3952</v>
      </c>
      <c r="C1829" s="26"/>
      <c r="D1829" s="10" t="s">
        <v>9382</v>
      </c>
      <c r="E1829" s="56" t="s">
        <v>9379</v>
      </c>
      <c r="F1829" s="48" t="s">
        <v>7173</v>
      </c>
      <c r="G1829" s="49">
        <f t="array" ref="G1829">MAX(IF(INSTOCK!$H$3:$H$6125=B1829,INSTOCK!$K$3:$K$6125))</f>
        <v>1545</v>
      </c>
      <c r="H1829" s="50">
        <f t="array" ref="H1829">SUM(IF(INSTOCK!$H$3:$H$6125=B1829,INSTOCK!$I$3:$I$6125))</f>
        <v>2</v>
      </c>
      <c r="I1829" s="50" t="str">
        <f>ARRAY_CONSTRAIN(ARRAYFORMULA(SUM(IF([3]!Table13[ID]=B1829,[3]!Table13[QTY]))), 1, 1)</f>
        <v>#ERROR!</v>
      </c>
      <c r="J1829" s="50" t="str">
        <f>TABLEITEM!$H$3:$H$2749-TABLEITEM!$I$3:$I$2749</f>
        <v>#ERROR!</v>
      </c>
    </row>
    <row r="1830" ht="15.75" customHeight="1">
      <c r="A1830" s="45"/>
      <c r="B1830" s="10" t="s">
        <v>3953</v>
      </c>
      <c r="C1830" s="26"/>
      <c r="D1830" s="10" t="s">
        <v>9383</v>
      </c>
      <c r="E1830" s="56" t="s">
        <v>9379</v>
      </c>
      <c r="F1830" s="48" t="s">
        <v>7173</v>
      </c>
      <c r="G1830" s="49">
        <f t="array" ref="G1830">MAX(IF(INSTOCK!$H$3:$H$6125=B1830,INSTOCK!$K$3:$K$6125))</f>
        <v>7040</v>
      </c>
      <c r="H1830" s="50">
        <f t="array" ref="H1830">SUM(IF(INSTOCK!$H$3:$H$6125=B1830,INSTOCK!$I$3:$I$6125))</f>
        <v>1</v>
      </c>
      <c r="I1830" s="50" t="str">
        <f>ARRAY_CONSTRAIN(ARRAYFORMULA(SUM(IF([3]!Table13[ID]=B1830,[3]!Table13[QTY]))), 1, 1)</f>
        <v>#ERROR!</v>
      </c>
      <c r="J1830" s="50" t="str">
        <f>TABLEITEM!$H$3:$H$2749-TABLEITEM!$I$3:$I$2749</f>
        <v>#ERROR!</v>
      </c>
    </row>
    <row r="1831" ht="15.75" customHeight="1">
      <c r="A1831" s="45"/>
      <c r="B1831" s="18" t="s">
        <v>3954</v>
      </c>
      <c r="C1831" s="26"/>
      <c r="D1831" s="18" t="s">
        <v>9384</v>
      </c>
      <c r="E1831" s="56" t="s">
        <v>9379</v>
      </c>
      <c r="F1831" s="48" t="s">
        <v>7173</v>
      </c>
      <c r="G1831" s="49">
        <f t="array" ref="G1831">MAX(IF(INSTOCK!$H$3:$H$6125=B1831,INSTOCK!$K$3:$K$6125))</f>
        <v>27980</v>
      </c>
      <c r="H1831" s="50">
        <f t="array" ref="H1831">SUM(IF(INSTOCK!$H$3:$H$6125=B1831,INSTOCK!$I$3:$I$6125))</f>
        <v>1</v>
      </c>
      <c r="I1831" s="50" t="str">
        <f>ARRAY_CONSTRAIN(ARRAYFORMULA(SUM(IF([3]!Table13[ID]=B1831,[3]!Table13[QTY]))), 1, 1)</f>
        <v>#ERROR!</v>
      </c>
      <c r="J1831" s="50" t="str">
        <f>TABLEITEM!$H$3:$H$2749-TABLEITEM!$I$3:$I$2749</f>
        <v>#ERROR!</v>
      </c>
    </row>
    <row r="1832" ht="15.75" customHeight="1">
      <c r="A1832" s="45"/>
      <c r="B1832" s="18" t="s">
        <v>3957</v>
      </c>
      <c r="C1832" s="26"/>
      <c r="D1832" s="18" t="s">
        <v>9385</v>
      </c>
      <c r="E1832" s="56" t="s">
        <v>9379</v>
      </c>
      <c r="F1832" s="48" t="s">
        <v>7173</v>
      </c>
      <c r="G1832" s="49">
        <f t="array" ref="G1832">MAX(IF(INSTOCK!$H$3:$H$6125=B1832,INSTOCK!$K$3:$K$6125))</f>
        <v>19000</v>
      </c>
      <c r="H1832" s="50">
        <f t="array" ref="H1832">SUM(IF(INSTOCK!$H$3:$H$6125=B1832,INSTOCK!$I$3:$I$6125))</f>
        <v>2</v>
      </c>
      <c r="I1832" s="50" t="str">
        <f>ARRAY_CONSTRAIN(ARRAYFORMULA(SUM(IF([3]!Table13[ID]=B1832,[3]!Table13[QTY]))), 1, 1)</f>
        <v>#ERROR!</v>
      </c>
      <c r="J1832" s="50" t="str">
        <f>TABLEITEM!$H$3:$H$2749-TABLEITEM!$I$3:$I$2749</f>
        <v>#ERROR!</v>
      </c>
    </row>
    <row r="1833" ht="15.75" customHeight="1">
      <c r="A1833" s="45"/>
      <c r="B1833" s="18" t="s">
        <v>3960</v>
      </c>
      <c r="C1833" s="26"/>
      <c r="D1833" s="18" t="s">
        <v>9386</v>
      </c>
      <c r="E1833" s="56" t="s">
        <v>8575</v>
      </c>
      <c r="F1833" s="57" t="s">
        <v>7194</v>
      </c>
      <c r="G1833" s="49">
        <f t="array" ref="G1833">MAX(IF(INSTOCK!$H$3:$H$6125=B1833,INSTOCK!$K$3:$K$6125))</f>
        <v>619.83</v>
      </c>
      <c r="H1833" s="50">
        <f t="array" ref="H1833">SUM(IF(INSTOCK!$H$3:$H$6125=B1833,INSTOCK!$I$3:$I$6125))</f>
        <v>1</v>
      </c>
      <c r="I1833" s="50" t="str">
        <f>ARRAY_CONSTRAIN(ARRAYFORMULA(SUM(IF([3]!Table13[ID]=B1833,[3]!Table13[QTY]))), 1, 1)</f>
        <v>#ERROR!</v>
      </c>
      <c r="J1833" s="50" t="str">
        <f>TABLEITEM!$H$3:$H$2749-TABLEITEM!$I$3:$I$2749</f>
        <v>#ERROR!</v>
      </c>
    </row>
    <row r="1834" ht="15.75" customHeight="1">
      <c r="A1834" s="45"/>
      <c r="B1834" s="18" t="s">
        <v>3963</v>
      </c>
      <c r="C1834" s="26"/>
      <c r="D1834" s="18" t="s">
        <v>9387</v>
      </c>
      <c r="E1834" s="56"/>
      <c r="F1834" s="48" t="s">
        <v>7173</v>
      </c>
      <c r="G1834" s="49">
        <f t="array" ref="G1834">MAX(IF(INSTOCK!$H$3:$H$6125=B1834,INSTOCK!$K$3:$K$6125))</f>
        <v>7.75</v>
      </c>
      <c r="H1834" s="50">
        <f t="array" ref="H1834">SUM(IF(INSTOCK!$H$3:$H$6125=B1834,INSTOCK!$I$3:$I$6125))</f>
        <v>250</v>
      </c>
      <c r="I1834" s="50" t="str">
        <f>ARRAY_CONSTRAIN(ARRAYFORMULA(SUM(IF([3]!Table13[ID]=B1834,[3]!Table13[QTY]))), 1, 1)</f>
        <v>#ERROR!</v>
      </c>
      <c r="J1834" s="50" t="str">
        <f>TABLEITEM!$H$3:$H$2749-TABLEITEM!$I$3:$I$2749</f>
        <v>#ERROR!</v>
      </c>
    </row>
    <row r="1835" ht="15.75" customHeight="1">
      <c r="A1835" s="45"/>
      <c r="B1835" s="10" t="s">
        <v>3254</v>
      </c>
      <c r="C1835" s="26"/>
      <c r="D1835" s="10" t="s">
        <v>9388</v>
      </c>
      <c r="E1835" s="48"/>
      <c r="F1835" s="57" t="s">
        <v>7173</v>
      </c>
      <c r="G1835" s="49">
        <f t="array" ref="G1835">MAX(IF(INSTOCK!$H$3:$H$6125=B1835,INSTOCK!$K$3:$K$6125))</f>
        <v>330</v>
      </c>
      <c r="H1835" s="50">
        <f t="array" ref="H1835">SUM(IF(INSTOCK!$H$3:$H$6125=B1835,INSTOCK!$I$3:$I$6125))</f>
        <v>2</v>
      </c>
      <c r="I1835" s="50" t="str">
        <f>ARRAY_CONSTRAIN(ARRAYFORMULA(SUM(IF([3]!Table13[ID]=B1835,[3]!Table13[QTY]))), 1, 1)</f>
        <v>#ERROR!</v>
      </c>
      <c r="J1835" s="50" t="str">
        <f>TABLEITEM!$H$3:$H$2749-TABLEITEM!$I$3:$I$2749</f>
        <v>#ERROR!</v>
      </c>
    </row>
    <row r="1836" ht="15.75" customHeight="1">
      <c r="A1836" s="45"/>
      <c r="B1836" s="10" t="s">
        <v>6312</v>
      </c>
      <c r="C1836" s="26"/>
      <c r="D1836" s="10" t="s">
        <v>9389</v>
      </c>
      <c r="E1836" s="48" t="s">
        <v>9390</v>
      </c>
      <c r="F1836" s="57" t="s">
        <v>7173</v>
      </c>
      <c r="G1836" s="49">
        <f t="array" ref="G1836">MAX(IF(INSTOCK!$H$3:$H$6125=B1836,INSTOCK!$K$3:$K$6125))</f>
        <v>385</v>
      </c>
      <c r="H1836" s="50">
        <f t="array" ref="H1836">SUM(IF(INSTOCK!$H$3:$H$6125=B1836,INSTOCK!$I$3:$I$6125))</f>
        <v>1</v>
      </c>
      <c r="I1836" s="50" t="str">
        <f>ARRAY_CONSTRAIN(ARRAYFORMULA(SUM(IF([3]!Table13[ID]=B1836,[3]!Table13[QTY]))), 1, 1)</f>
        <v>#ERROR!</v>
      </c>
      <c r="J1836" s="50" t="str">
        <f>TABLEITEM!$H$3:$H$2749-TABLEITEM!$I$3:$I$2749</f>
        <v>#ERROR!</v>
      </c>
    </row>
    <row r="1837" ht="15.75" customHeight="1">
      <c r="A1837" s="45"/>
      <c r="B1837" s="10" t="s">
        <v>4171</v>
      </c>
      <c r="C1837" s="26"/>
      <c r="D1837" s="10" t="s">
        <v>9391</v>
      </c>
      <c r="E1837" s="48" t="s">
        <v>7760</v>
      </c>
      <c r="F1837" s="57" t="s">
        <v>7173</v>
      </c>
      <c r="G1837" s="49">
        <f t="array" ref="G1837">MAX(IF(INSTOCK!$H$3:$H$6125=B1837,INSTOCK!$K$3:$K$6125))</f>
        <v>140</v>
      </c>
      <c r="H1837" s="50">
        <f t="array" ref="H1837">SUM(IF(INSTOCK!$H$3:$H$6125=B1837,INSTOCK!$I$3:$I$6125))</f>
        <v>11</v>
      </c>
      <c r="I1837" s="50" t="str">
        <f>ARRAY_CONSTRAIN(ARRAYFORMULA(SUM(IF([3]!Table13[ID]=B1837,[3]!Table13[QTY]))), 1, 1)</f>
        <v>#ERROR!</v>
      </c>
      <c r="J1837" s="50" t="str">
        <f>TABLEITEM!$H$3:$H$2749-TABLEITEM!$I$3:$I$2749</f>
        <v>#ERROR!</v>
      </c>
    </row>
    <row r="1838" ht="15.75" customHeight="1">
      <c r="A1838" s="45"/>
      <c r="B1838" s="18" t="s">
        <v>1993</v>
      </c>
      <c r="C1838" s="26"/>
      <c r="D1838" s="18" t="s">
        <v>9392</v>
      </c>
      <c r="E1838" s="56"/>
      <c r="F1838" s="57" t="s">
        <v>8080</v>
      </c>
      <c r="G1838" s="49">
        <f t="array" ref="G1838">MAX(IF(INSTOCK!$H$3:$H$6125=B1838,INSTOCK!$K$3:$K$6125))</f>
        <v>120</v>
      </c>
      <c r="H1838" s="50">
        <f t="array" ref="H1838">SUM(IF(INSTOCK!$H$3:$H$6125=B1838,INSTOCK!$I$3:$I$6125))</f>
        <v>5</v>
      </c>
      <c r="I1838" s="50" t="str">
        <f>ARRAY_CONSTRAIN(ARRAYFORMULA(SUM(IF([3]!Table13[ID]=B1838,[3]!Table13[QTY]))), 1, 1)</f>
        <v>#ERROR!</v>
      </c>
      <c r="J1838" s="50" t="str">
        <f>TABLEITEM!$H$3:$H$2749-TABLEITEM!$I$3:$I$2749</f>
        <v>#ERROR!</v>
      </c>
    </row>
    <row r="1839" ht="15.75" customHeight="1">
      <c r="A1839" s="45"/>
      <c r="B1839" s="18" t="s">
        <v>1992</v>
      </c>
      <c r="C1839" s="26"/>
      <c r="D1839" s="18" t="s">
        <v>9393</v>
      </c>
      <c r="E1839" s="56"/>
      <c r="F1839" s="57" t="s">
        <v>8080</v>
      </c>
      <c r="G1839" s="49">
        <f t="array" ref="G1839">MAX(IF(INSTOCK!$H$3:$H$6125=B1839,INSTOCK!$K$3:$K$6125))</f>
        <v>119</v>
      </c>
      <c r="H1839" s="50">
        <f t="array" ref="H1839">SUM(IF(INSTOCK!$H$3:$H$6125=B1839,INSTOCK!$I$3:$I$6125))</f>
        <v>20</v>
      </c>
      <c r="I1839" s="50" t="str">
        <f>ARRAY_CONSTRAIN(ARRAYFORMULA(SUM(IF([3]!Table13[ID]=B1839,[3]!Table13[QTY]))), 1, 1)</f>
        <v>#ERROR!</v>
      </c>
      <c r="J1839" s="50" t="str">
        <f>TABLEITEM!$H$3:$H$2749-TABLEITEM!$I$3:$I$2749</f>
        <v>#ERROR!</v>
      </c>
    </row>
    <row r="1840" ht="15.75" customHeight="1">
      <c r="A1840" s="45"/>
      <c r="B1840" s="10" t="s">
        <v>3419</v>
      </c>
      <c r="C1840" s="26"/>
      <c r="D1840" s="10" t="s">
        <v>9394</v>
      </c>
      <c r="E1840" s="48" t="s">
        <v>8203</v>
      </c>
      <c r="F1840" s="57" t="s">
        <v>7761</v>
      </c>
      <c r="G1840" s="49">
        <f t="array" ref="G1840">MAX(IF(INSTOCK!$H$3:$H$6125=B1840,INSTOCK!$K$3:$K$6125))</f>
        <v>119</v>
      </c>
      <c r="H1840" s="50">
        <f t="array" ref="H1840">SUM(IF(INSTOCK!$H$3:$H$6125=B1840,INSTOCK!$I$3:$I$6125))</f>
        <v>5</v>
      </c>
      <c r="I1840" s="50" t="str">
        <f>ARRAY_CONSTRAIN(ARRAYFORMULA(SUM(IF([3]!Table13[ID]=B1840,[3]!Table13[QTY]))), 1, 1)</f>
        <v>#ERROR!</v>
      </c>
      <c r="J1840" s="50" t="str">
        <f>TABLEITEM!$H$3:$H$2749-TABLEITEM!$I$3:$I$2749</f>
        <v>#ERROR!</v>
      </c>
    </row>
    <row r="1841" ht="15.75" customHeight="1">
      <c r="A1841" s="45"/>
      <c r="B1841" s="18" t="s">
        <v>4055</v>
      </c>
      <c r="C1841" s="26"/>
      <c r="D1841" s="18" t="s">
        <v>9395</v>
      </c>
      <c r="E1841" s="56"/>
      <c r="F1841" s="57" t="s">
        <v>7173</v>
      </c>
      <c r="G1841" s="49">
        <f t="array" ref="G1841">MAX(IF(INSTOCK!$H$3:$H$6125=B1841,INSTOCK!$K$3:$K$6125))</f>
        <v>126.17</v>
      </c>
      <c r="H1841" s="50">
        <f t="array" ref="H1841">SUM(IF(INSTOCK!$H$3:$H$6125=B1841,INSTOCK!$I$3:$I$6125))</f>
        <v>1</v>
      </c>
      <c r="I1841" s="50" t="str">
        <f>ARRAY_CONSTRAIN(ARRAYFORMULA(SUM(IF([3]!Table13[ID]=B1841,[3]!Table13[QTY]))), 1, 1)</f>
        <v>#ERROR!</v>
      </c>
      <c r="J1841" s="50" t="str">
        <f>TABLEITEM!$H$3:$H$2749-TABLEITEM!$I$3:$I$2749</f>
        <v>#ERROR!</v>
      </c>
    </row>
    <row r="1842" ht="15.75" customHeight="1">
      <c r="A1842" s="45"/>
      <c r="B1842" s="18" t="s">
        <v>3979</v>
      </c>
      <c r="C1842" s="26"/>
      <c r="D1842" s="18" t="s">
        <v>9396</v>
      </c>
      <c r="E1842" s="56" t="s">
        <v>9397</v>
      </c>
      <c r="F1842" s="57" t="s">
        <v>7173</v>
      </c>
      <c r="G1842" s="49">
        <f t="array" ref="G1842">MAX(IF(INSTOCK!$H$3:$H$6125=B1842,INSTOCK!$K$3:$K$6125))</f>
        <v>1130</v>
      </c>
      <c r="H1842" s="50">
        <f t="array" ref="H1842">SUM(IF(INSTOCK!$H$3:$H$6125=B1842,INSTOCK!$I$3:$I$6125))</f>
        <v>5</v>
      </c>
      <c r="I1842" s="50" t="str">
        <f>ARRAY_CONSTRAIN(ARRAYFORMULA(SUM(IF([3]!Table13[ID]=B1842,[3]!Table13[QTY]))), 1, 1)</f>
        <v>#ERROR!</v>
      </c>
      <c r="J1842" s="50" t="str">
        <f>TABLEITEM!$H$3:$H$2749-TABLEITEM!$I$3:$I$2749</f>
        <v>#ERROR!</v>
      </c>
    </row>
    <row r="1843" ht="15.75" customHeight="1">
      <c r="A1843" s="45"/>
      <c r="B1843" s="10" t="s">
        <v>3983</v>
      </c>
      <c r="C1843" s="26"/>
      <c r="D1843" s="10" t="s">
        <v>9398</v>
      </c>
      <c r="E1843" s="48" t="s">
        <v>743</v>
      </c>
      <c r="F1843" s="48" t="s">
        <v>7189</v>
      </c>
      <c r="G1843" s="49">
        <f t="array" ref="G1843">MAX(IF(INSTOCK!$H$3:$H$6125=B1843,INSTOCK!$K$3:$K$6125))</f>
        <v>1300</v>
      </c>
      <c r="H1843" s="50">
        <f t="array" ref="H1843">SUM(IF(INSTOCK!$H$3:$H$6125=B1843,INSTOCK!$I$3:$I$6125))</f>
        <v>3</v>
      </c>
      <c r="I1843" s="50" t="str">
        <f>ARRAY_CONSTRAIN(ARRAYFORMULA(SUM(IF([3]!Table13[ID]=B1843,[3]!Table13[QTY]))), 1, 1)</f>
        <v>#ERROR!</v>
      </c>
      <c r="J1843" s="50" t="str">
        <f>TABLEITEM!$H$3:$H$2749-TABLEITEM!$I$3:$I$2749</f>
        <v>#ERROR!</v>
      </c>
    </row>
    <row r="1844" ht="15.75" customHeight="1">
      <c r="A1844" s="45"/>
      <c r="B1844" s="18" t="s">
        <v>3985</v>
      </c>
      <c r="C1844" s="26"/>
      <c r="D1844" s="18" t="s">
        <v>9399</v>
      </c>
      <c r="E1844" s="56" t="s">
        <v>743</v>
      </c>
      <c r="F1844" s="48" t="s">
        <v>7189</v>
      </c>
      <c r="G1844" s="49">
        <f t="array" ref="G1844">MAX(IF(INSTOCK!$H$3:$H$6125=B1844,INSTOCK!$K$3:$K$6125))</f>
        <v>460</v>
      </c>
      <c r="H1844" s="50">
        <f t="array" ref="H1844">SUM(IF(INSTOCK!$H$3:$H$6125=B1844,INSTOCK!$I$3:$I$6125))</f>
        <v>3</v>
      </c>
      <c r="I1844" s="50" t="str">
        <f>ARRAY_CONSTRAIN(ARRAYFORMULA(SUM(IF([3]!Table13[ID]=B1844,[3]!Table13[QTY]))), 1, 1)</f>
        <v>#ERROR!</v>
      </c>
      <c r="J1844" s="50" t="str">
        <f>TABLEITEM!$H$3:$H$2749-TABLEITEM!$I$3:$I$2749</f>
        <v>#ERROR!</v>
      </c>
    </row>
    <row r="1845" ht="15.75" customHeight="1">
      <c r="A1845" s="45"/>
      <c r="B1845" s="10" t="s">
        <v>3987</v>
      </c>
      <c r="C1845" s="26"/>
      <c r="D1845" s="10" t="s">
        <v>9400</v>
      </c>
      <c r="E1845" s="48" t="s">
        <v>9260</v>
      </c>
      <c r="F1845" s="48" t="s">
        <v>7173</v>
      </c>
      <c r="G1845" s="49">
        <f t="array" ref="G1845">MAX(IF(INSTOCK!$H$3:$H$6125=B1845,INSTOCK!$K$3:$K$6125))</f>
        <v>1200</v>
      </c>
      <c r="H1845" s="50">
        <f t="array" ref="H1845">SUM(IF(INSTOCK!$H$3:$H$6125=B1845,INSTOCK!$I$3:$I$6125))</f>
        <v>3</v>
      </c>
      <c r="I1845" s="50" t="str">
        <f>ARRAY_CONSTRAIN(ARRAYFORMULA(SUM(IF([3]!Table13[ID]=B1845,[3]!Table13[QTY]))), 1, 1)</f>
        <v>#ERROR!</v>
      </c>
      <c r="J1845" s="50" t="str">
        <f>TABLEITEM!$H$3:$H$2749-TABLEITEM!$I$3:$I$2749</f>
        <v>#ERROR!</v>
      </c>
    </row>
    <row r="1846" ht="15.75" customHeight="1">
      <c r="A1846" s="45"/>
      <c r="B1846" s="18" t="s">
        <v>3988</v>
      </c>
      <c r="C1846" s="26"/>
      <c r="D1846" s="18" t="s">
        <v>9401</v>
      </c>
      <c r="E1846" s="56" t="s">
        <v>9260</v>
      </c>
      <c r="F1846" s="48" t="s">
        <v>7173</v>
      </c>
      <c r="G1846" s="49">
        <f t="array" ref="G1846">MAX(IF(INSTOCK!$H$3:$H$6125=B1846,INSTOCK!$K$3:$K$6125))</f>
        <v>520</v>
      </c>
      <c r="H1846" s="50">
        <f t="array" ref="H1846">SUM(IF(INSTOCK!$H$3:$H$6125=B1846,INSTOCK!$I$3:$I$6125))</f>
        <v>2</v>
      </c>
      <c r="I1846" s="50" t="str">
        <f>ARRAY_CONSTRAIN(ARRAYFORMULA(SUM(IF([3]!Table13[ID]=B1846,[3]!Table13[QTY]))), 1, 1)</f>
        <v>#ERROR!</v>
      </c>
      <c r="J1846" s="50" t="str">
        <f>TABLEITEM!$H$3:$H$2749-TABLEITEM!$I$3:$I$2749</f>
        <v>#ERROR!</v>
      </c>
    </row>
    <row r="1847" ht="15.75" customHeight="1">
      <c r="A1847" s="45"/>
      <c r="B1847" s="18" t="s">
        <v>3995</v>
      </c>
      <c r="C1847" s="26"/>
      <c r="D1847" s="18" t="s">
        <v>9402</v>
      </c>
      <c r="E1847" s="56" t="s">
        <v>9301</v>
      </c>
      <c r="F1847" s="48" t="s">
        <v>7189</v>
      </c>
      <c r="G1847" s="49">
        <f t="array" ref="G1847">MAX(IF(INSTOCK!$H$3:$H$6125=B1847,INSTOCK!$K$3:$K$6125))</f>
        <v>135</v>
      </c>
      <c r="H1847" s="50">
        <f t="array" ref="H1847">SUM(IF(INSTOCK!$H$3:$H$6125=B1847,INSTOCK!$I$3:$I$6125))</f>
        <v>20</v>
      </c>
      <c r="I1847" s="50" t="str">
        <f>ARRAY_CONSTRAIN(ARRAYFORMULA(SUM(IF([3]!Table13[ID]=B1847,[3]!Table13[QTY]))), 1, 1)</f>
        <v>#ERROR!</v>
      </c>
      <c r="J1847" s="50" t="str">
        <f>TABLEITEM!$H$3:$H$2749-TABLEITEM!$I$3:$I$2749</f>
        <v>#ERROR!</v>
      </c>
    </row>
    <row r="1848" ht="15.75" customHeight="1">
      <c r="A1848" s="45"/>
      <c r="B1848" s="18" t="s">
        <v>4000</v>
      </c>
      <c r="C1848" s="26"/>
      <c r="D1848" s="18" t="s">
        <v>9403</v>
      </c>
      <c r="E1848" s="56"/>
      <c r="F1848" s="57" t="s">
        <v>7173</v>
      </c>
      <c r="G1848" s="49">
        <f t="array" ref="G1848">MAX(IF(INSTOCK!$H$3:$H$6125=B1848,INSTOCK!$K$3:$K$6125))</f>
        <v>1.1</v>
      </c>
      <c r="H1848" s="50">
        <f t="array" ref="H1848">SUM(IF(INSTOCK!$H$3:$H$6125=B1848,INSTOCK!$I$3:$I$6125))</f>
        <v>200</v>
      </c>
      <c r="I1848" s="50" t="str">
        <f>ARRAY_CONSTRAIN(ARRAYFORMULA(SUM(IF([3]!Table13[ID]=B1848,[3]!Table13[QTY]))), 1, 1)</f>
        <v>#ERROR!</v>
      </c>
      <c r="J1848" s="50" t="str">
        <f>TABLEITEM!$H$3:$H$2749-TABLEITEM!$I$3:$I$2749</f>
        <v>#ERROR!</v>
      </c>
    </row>
    <row r="1849" ht="15.75" customHeight="1">
      <c r="A1849" s="45"/>
      <c r="B1849" s="18" t="s">
        <v>4003</v>
      </c>
      <c r="C1849" s="26"/>
      <c r="D1849" s="18" t="s">
        <v>9404</v>
      </c>
      <c r="E1849" s="56" t="s">
        <v>1487</v>
      </c>
      <c r="F1849" s="57" t="s">
        <v>7173</v>
      </c>
      <c r="G1849" s="49">
        <f t="array" ref="G1849">MAX(IF(INSTOCK!$H$3:$H$6125=B1849,INSTOCK!$K$3:$K$6125))</f>
        <v>99.4</v>
      </c>
      <c r="H1849" s="50">
        <f t="array" ref="H1849">SUM(IF(INSTOCK!$H$3:$H$6125=B1849,INSTOCK!$I$3:$I$6125))</f>
        <v>2</v>
      </c>
      <c r="I1849" s="50" t="str">
        <f>ARRAY_CONSTRAIN(ARRAYFORMULA(SUM(IF([3]!Table13[ID]=B1849,[3]!Table13[QTY]))), 1, 1)</f>
        <v>#ERROR!</v>
      </c>
      <c r="J1849" s="50" t="str">
        <f>TABLEITEM!$H$3:$H$2749-TABLEITEM!$I$3:$I$2749</f>
        <v>#ERROR!</v>
      </c>
    </row>
    <row r="1850" ht="15.75" customHeight="1">
      <c r="A1850" s="45"/>
      <c r="B1850" s="10" t="s">
        <v>4009</v>
      </c>
      <c r="C1850" s="26"/>
      <c r="D1850" s="10" t="s">
        <v>9405</v>
      </c>
      <c r="E1850" s="56" t="s">
        <v>1487</v>
      </c>
      <c r="F1850" s="57" t="s">
        <v>7173</v>
      </c>
      <c r="G1850" s="49">
        <f t="array" ref="G1850">MAX(IF(INSTOCK!$H$3:$H$6125=B1850,INSTOCK!$K$3:$K$6125))</f>
        <v>1279.2</v>
      </c>
      <c r="H1850" s="50">
        <f t="array" ref="H1850">SUM(IF(INSTOCK!$H$3:$H$6125=B1850,INSTOCK!$I$3:$I$6125))</f>
        <v>8</v>
      </c>
      <c r="I1850" s="50" t="str">
        <f>ARRAY_CONSTRAIN(ARRAYFORMULA(SUM(IF([3]!Table13[ID]=B1850,[3]!Table13[QTY]))), 1, 1)</f>
        <v>#ERROR!</v>
      </c>
      <c r="J1850" s="50" t="str">
        <f>TABLEITEM!$H$3:$H$2749-TABLEITEM!$I$3:$I$2749</f>
        <v>#ERROR!</v>
      </c>
    </row>
    <row r="1851" ht="15.75" customHeight="1">
      <c r="A1851" s="45"/>
      <c r="B1851" s="18" t="s">
        <v>4010</v>
      </c>
      <c r="C1851" s="26"/>
      <c r="D1851" s="18" t="s">
        <v>9406</v>
      </c>
      <c r="E1851" s="56" t="s">
        <v>1487</v>
      </c>
      <c r="F1851" s="57" t="s">
        <v>7173</v>
      </c>
      <c r="G1851" s="49">
        <f t="array" ref="G1851">MAX(IF(INSTOCK!$H$3:$H$6125=B1851,INSTOCK!$K$3:$K$6125))</f>
        <v>1118</v>
      </c>
      <c r="H1851" s="50">
        <f t="array" ref="H1851">SUM(IF(INSTOCK!$H$3:$H$6125=B1851,INSTOCK!$I$3:$I$6125))</f>
        <v>4</v>
      </c>
      <c r="I1851" s="50" t="str">
        <f>ARRAY_CONSTRAIN(ARRAYFORMULA(SUM(IF([3]!Table13[ID]=B1851,[3]!Table13[QTY]))), 1, 1)</f>
        <v>#ERROR!</v>
      </c>
      <c r="J1851" s="50" t="str">
        <f>TABLEITEM!$H$3:$H$2749-TABLEITEM!$I$3:$I$2749</f>
        <v>#ERROR!</v>
      </c>
    </row>
    <row r="1852" ht="15.75" customHeight="1">
      <c r="A1852" s="45"/>
      <c r="B1852" s="10" t="s">
        <v>4013</v>
      </c>
      <c r="C1852" s="26"/>
      <c r="D1852" s="10" t="s">
        <v>9407</v>
      </c>
      <c r="E1852" s="56" t="s">
        <v>1487</v>
      </c>
      <c r="F1852" s="57" t="s">
        <v>7173</v>
      </c>
      <c r="G1852" s="49">
        <f t="array" ref="G1852">MAX(IF(INSTOCK!$H$3:$H$6125=B1852,INSTOCK!$K$3:$K$6125))</f>
        <v>4522</v>
      </c>
      <c r="H1852" s="50">
        <f t="array" ref="H1852">SUM(IF(INSTOCK!$H$3:$H$6125=B1852,INSTOCK!$I$3:$I$6125))</f>
        <v>1</v>
      </c>
      <c r="I1852" s="50" t="str">
        <f>ARRAY_CONSTRAIN(ARRAYFORMULA(SUM(IF([3]!Table13[ID]=B1852,[3]!Table13[QTY]))), 1, 1)</f>
        <v>#ERROR!</v>
      </c>
      <c r="J1852" s="50" t="str">
        <f>TABLEITEM!$H$3:$H$2749-TABLEITEM!$I$3:$I$2749</f>
        <v>#ERROR!</v>
      </c>
    </row>
    <row r="1853" ht="15.75" customHeight="1">
      <c r="A1853" s="45"/>
      <c r="B1853" s="10" t="s">
        <v>4014</v>
      </c>
      <c r="C1853" s="26"/>
      <c r="D1853" s="10" t="s">
        <v>9408</v>
      </c>
      <c r="E1853" s="56" t="s">
        <v>1487</v>
      </c>
      <c r="F1853" s="57" t="s">
        <v>7173</v>
      </c>
      <c r="G1853" s="49">
        <f t="array" ref="G1853">MAX(IF(INSTOCK!$H$3:$H$6125=B1853,INSTOCK!$K$3:$K$6125))</f>
        <v>1732.8</v>
      </c>
      <c r="H1853" s="50">
        <f t="array" ref="H1853">SUM(IF(INSTOCK!$H$3:$H$6125=B1853,INSTOCK!$I$3:$I$6125))</f>
        <v>4</v>
      </c>
      <c r="I1853" s="50" t="str">
        <f>ARRAY_CONSTRAIN(ARRAYFORMULA(SUM(IF([3]!Table13[ID]=B1853,[3]!Table13[QTY]))), 1, 1)</f>
        <v>#ERROR!</v>
      </c>
      <c r="J1853" s="50" t="str">
        <f>TABLEITEM!$H$3:$H$2749-TABLEITEM!$I$3:$I$2749</f>
        <v>#ERROR!</v>
      </c>
    </row>
    <row r="1854" ht="15.75" customHeight="1">
      <c r="A1854" s="45"/>
      <c r="B1854" s="10" t="s">
        <v>4015</v>
      </c>
      <c r="C1854" s="26"/>
      <c r="D1854" s="10" t="s">
        <v>9409</v>
      </c>
      <c r="E1854" s="56" t="s">
        <v>1487</v>
      </c>
      <c r="F1854" s="57" t="s">
        <v>7173</v>
      </c>
      <c r="G1854" s="49">
        <f t="array" ref="G1854">MAX(IF(INSTOCK!$H$3:$H$6125=B1854,INSTOCK!$K$3:$K$6125))</f>
        <v>2014</v>
      </c>
      <c r="H1854" s="50">
        <f t="array" ref="H1854">SUM(IF(INSTOCK!$H$3:$H$6125=B1854,INSTOCK!$I$3:$I$6125))</f>
        <v>1</v>
      </c>
      <c r="I1854" s="50" t="str">
        <f>ARRAY_CONSTRAIN(ARRAYFORMULA(SUM(IF([3]!Table13[ID]=B1854,[3]!Table13[QTY]))), 1, 1)</f>
        <v>#ERROR!</v>
      </c>
      <c r="J1854" s="50" t="str">
        <f>TABLEITEM!$H$3:$H$2749-TABLEITEM!$I$3:$I$2749</f>
        <v>#ERROR!</v>
      </c>
    </row>
    <row r="1855" ht="15.75" customHeight="1">
      <c r="A1855" s="45"/>
      <c r="B1855" s="18" t="s">
        <v>4016</v>
      </c>
      <c r="C1855" s="26"/>
      <c r="D1855" s="10" t="s">
        <v>9410</v>
      </c>
      <c r="E1855" s="56" t="s">
        <v>1487</v>
      </c>
      <c r="F1855" s="57" t="s">
        <v>7173</v>
      </c>
      <c r="G1855" s="49">
        <f t="array" ref="G1855">MAX(IF(INSTOCK!$H$3:$H$6125=B1855,INSTOCK!$K$3:$K$6125))</f>
        <v>3043.8</v>
      </c>
      <c r="H1855" s="50">
        <f t="array" ref="H1855">SUM(IF(INSTOCK!$H$3:$H$6125=B1855,INSTOCK!$I$3:$I$6125))</f>
        <v>1</v>
      </c>
      <c r="I1855" s="50" t="str">
        <f>ARRAY_CONSTRAIN(ARRAYFORMULA(SUM(IF([3]!Table13[ID]=B1855,[3]!Table13[QTY]))), 1, 1)</f>
        <v>#ERROR!</v>
      </c>
      <c r="J1855" s="50" t="str">
        <f>TABLEITEM!$H$3:$H$2749-TABLEITEM!$I$3:$I$2749</f>
        <v>#ERROR!</v>
      </c>
    </row>
    <row r="1856" ht="15.75" customHeight="1">
      <c r="A1856" s="45"/>
      <c r="B1856" s="18" t="s">
        <v>4020</v>
      </c>
      <c r="C1856" s="26"/>
      <c r="D1856" s="18" t="s">
        <v>9411</v>
      </c>
      <c r="E1856" s="56"/>
      <c r="F1856" s="57" t="s">
        <v>7173</v>
      </c>
      <c r="G1856" s="49">
        <f t="array" ref="G1856">MAX(IF(INSTOCK!$H$3:$H$6125=B1856,INSTOCK!$K$3:$K$6125))</f>
        <v>320</v>
      </c>
      <c r="H1856" s="50">
        <f t="array" ref="H1856">SUM(IF(INSTOCK!$H$3:$H$6125=B1856,INSTOCK!$I$3:$I$6125))</f>
        <v>4</v>
      </c>
      <c r="I1856" s="50" t="str">
        <f>ARRAY_CONSTRAIN(ARRAYFORMULA(SUM(IF([3]!Table13[ID]=B1856,[3]!Table13[QTY]))), 1, 1)</f>
        <v>#ERROR!</v>
      </c>
      <c r="J1856" s="50" t="str">
        <f>TABLEITEM!$H$3:$H$2749-TABLEITEM!$I$3:$I$2749</f>
        <v>#ERROR!</v>
      </c>
    </row>
    <row r="1857" ht="15.75" customHeight="1">
      <c r="A1857" s="45"/>
      <c r="B1857" s="10" t="s">
        <v>4022</v>
      </c>
      <c r="C1857" s="26"/>
      <c r="D1857" s="10" t="s">
        <v>9412</v>
      </c>
      <c r="E1857" s="48" t="s">
        <v>8350</v>
      </c>
      <c r="F1857" s="57" t="s">
        <v>7173</v>
      </c>
      <c r="G1857" s="49">
        <f t="array" ref="G1857">MAX(IF(INSTOCK!$H$3:$H$6125=B1857,INSTOCK!$K$3:$K$6125))</f>
        <v>55</v>
      </c>
      <c r="H1857" s="50">
        <f t="array" ref="H1857">SUM(IF(INSTOCK!$H$3:$H$6125=B1857,INSTOCK!$I$3:$I$6125))</f>
        <v>1</v>
      </c>
      <c r="I1857" s="50" t="str">
        <f>ARRAY_CONSTRAIN(ARRAYFORMULA(SUM(IF([3]!Table13[ID]=B1857,[3]!Table13[QTY]))), 1, 1)</f>
        <v>#ERROR!</v>
      </c>
      <c r="J1857" s="50" t="str">
        <f>TABLEITEM!$H$3:$H$2749-TABLEITEM!$I$3:$I$2749</f>
        <v>#ERROR!</v>
      </c>
    </row>
    <row r="1858" ht="15.75" customHeight="1">
      <c r="A1858" s="45"/>
      <c r="B1858" s="10" t="s">
        <v>4023</v>
      </c>
      <c r="C1858" s="26"/>
      <c r="D1858" s="10" t="s">
        <v>9413</v>
      </c>
      <c r="E1858" s="48" t="s">
        <v>9414</v>
      </c>
      <c r="F1858" s="57" t="s">
        <v>7173</v>
      </c>
      <c r="G1858" s="49">
        <f t="array" ref="G1858">MAX(IF(INSTOCK!$H$3:$H$6125=B1858,INSTOCK!$K$3:$K$6125))</f>
        <v>94</v>
      </c>
      <c r="H1858" s="50">
        <f t="array" ref="H1858">SUM(IF(INSTOCK!$H$3:$H$6125=B1858,INSTOCK!$I$3:$I$6125))</f>
        <v>1</v>
      </c>
      <c r="I1858" s="50" t="str">
        <f>ARRAY_CONSTRAIN(ARRAYFORMULA(SUM(IF([3]!Table13[ID]=B1858,[3]!Table13[QTY]))), 1, 1)</f>
        <v>#ERROR!</v>
      </c>
      <c r="J1858" s="50" t="str">
        <f>TABLEITEM!$H$3:$H$2749-TABLEITEM!$I$3:$I$2749</f>
        <v>#ERROR!</v>
      </c>
    </row>
    <row r="1859" ht="15.75" customHeight="1">
      <c r="A1859" s="45"/>
      <c r="B1859" s="10" t="s">
        <v>4024</v>
      </c>
      <c r="C1859" s="26"/>
      <c r="D1859" s="10" t="s">
        <v>9415</v>
      </c>
      <c r="E1859" s="48" t="s">
        <v>9414</v>
      </c>
      <c r="F1859" s="57" t="s">
        <v>7173</v>
      </c>
      <c r="G1859" s="49">
        <f t="array" ref="G1859">MAX(IF(INSTOCK!$H$3:$H$6125=B1859,INSTOCK!$K$3:$K$6125))</f>
        <v>92</v>
      </c>
      <c r="H1859" s="50">
        <f t="array" ref="H1859">SUM(IF(INSTOCK!$H$3:$H$6125=B1859,INSTOCK!$I$3:$I$6125))</f>
        <v>1</v>
      </c>
      <c r="I1859" s="50" t="str">
        <f>ARRAY_CONSTRAIN(ARRAYFORMULA(SUM(IF([3]!Table13[ID]=B1859,[3]!Table13[QTY]))), 1, 1)</f>
        <v>#ERROR!</v>
      </c>
      <c r="J1859" s="50" t="str">
        <f>TABLEITEM!$H$3:$H$2749-TABLEITEM!$I$3:$I$2749</f>
        <v>#ERROR!</v>
      </c>
    </row>
    <row r="1860" ht="15.75" customHeight="1">
      <c r="A1860" s="45"/>
      <c r="B1860" s="10" t="s">
        <v>4025</v>
      </c>
      <c r="C1860" s="26"/>
      <c r="D1860" s="10" t="s">
        <v>9416</v>
      </c>
      <c r="E1860" s="48"/>
      <c r="F1860" s="57" t="s">
        <v>7173</v>
      </c>
      <c r="G1860" s="49">
        <f t="array" ref="G1860">MAX(IF(INSTOCK!$H$3:$H$6125=B1860,INSTOCK!$K$3:$K$6125))</f>
        <v>18</v>
      </c>
      <c r="H1860" s="50">
        <f t="array" ref="H1860">SUM(IF(INSTOCK!$H$3:$H$6125=B1860,INSTOCK!$I$3:$I$6125))</f>
        <v>4</v>
      </c>
      <c r="I1860" s="50" t="str">
        <f>ARRAY_CONSTRAIN(ARRAYFORMULA(SUM(IF([3]!Table13[ID]=B1860,[3]!Table13[QTY]))), 1, 1)</f>
        <v>#ERROR!</v>
      </c>
      <c r="J1860" s="50" t="str">
        <f>TABLEITEM!$H$3:$H$2749-TABLEITEM!$I$3:$I$2749</f>
        <v>#ERROR!</v>
      </c>
    </row>
    <row r="1861" ht="15.75" customHeight="1">
      <c r="A1861" s="45"/>
      <c r="B1861" s="18" t="s">
        <v>4026</v>
      </c>
      <c r="C1861" s="26"/>
      <c r="D1861" s="10" t="s">
        <v>9417</v>
      </c>
      <c r="E1861" s="56"/>
      <c r="F1861" s="57" t="s">
        <v>7173</v>
      </c>
      <c r="G1861" s="49">
        <f t="array" ref="G1861">MAX(IF(INSTOCK!$H$3:$H$6125=B1861,INSTOCK!$K$3:$K$6125))</f>
        <v>30</v>
      </c>
      <c r="H1861" s="50">
        <f t="array" ref="H1861">SUM(IF(INSTOCK!$H$3:$H$6125=B1861,INSTOCK!$I$3:$I$6125))</f>
        <v>4</v>
      </c>
      <c r="I1861" s="50" t="str">
        <f>ARRAY_CONSTRAIN(ARRAYFORMULA(SUM(IF([3]!Table13[ID]=B1861,[3]!Table13[QTY]))), 1, 1)</f>
        <v>#ERROR!</v>
      </c>
      <c r="J1861" s="50" t="str">
        <f>TABLEITEM!$H$3:$H$2749-TABLEITEM!$I$3:$I$2749</f>
        <v>#ERROR!</v>
      </c>
    </row>
    <row r="1862" ht="15.75" customHeight="1">
      <c r="A1862" s="45"/>
      <c r="B1862" s="18" t="s">
        <v>4031</v>
      </c>
      <c r="C1862" s="26"/>
      <c r="D1862" s="18" t="s">
        <v>9418</v>
      </c>
      <c r="E1862" s="56" t="s">
        <v>9419</v>
      </c>
      <c r="F1862" s="57" t="s">
        <v>7173</v>
      </c>
      <c r="G1862" s="49">
        <f t="array" ref="G1862">MAX(IF(INSTOCK!$H$3:$H$6125=B1862,INSTOCK!$K$3:$K$6125))</f>
        <v>10</v>
      </c>
      <c r="H1862" s="50">
        <f t="array" ref="H1862">SUM(IF(INSTOCK!$H$3:$H$6125=B1862,INSTOCK!$I$3:$I$6125))</f>
        <v>20</v>
      </c>
      <c r="I1862" s="50" t="str">
        <f>ARRAY_CONSTRAIN(ARRAYFORMULA(SUM(IF([3]!Table13[ID]=B1862,[3]!Table13[QTY]))), 1, 1)</f>
        <v>#ERROR!</v>
      </c>
      <c r="J1862" s="50" t="str">
        <f>TABLEITEM!$H$3:$H$2749-TABLEITEM!$I$3:$I$2749</f>
        <v>#ERROR!</v>
      </c>
    </row>
    <row r="1863" ht="15.75" customHeight="1">
      <c r="A1863" s="45"/>
      <c r="B1863" s="18" t="s">
        <v>4033</v>
      </c>
      <c r="C1863" s="26"/>
      <c r="D1863" s="18" t="s">
        <v>9420</v>
      </c>
      <c r="E1863" s="56" t="s">
        <v>8560</v>
      </c>
      <c r="F1863" s="57" t="s">
        <v>7173</v>
      </c>
      <c r="G1863" s="49">
        <f t="array" ref="G1863">MAX(IF(INSTOCK!$H$3:$H$6125=B1863,INSTOCK!$K$3:$K$6125))</f>
        <v>77.81</v>
      </c>
      <c r="H1863" s="50">
        <f t="array" ref="H1863">SUM(IF(INSTOCK!$H$3:$H$6125=B1863,INSTOCK!$I$3:$I$6125))</f>
        <v>20</v>
      </c>
      <c r="I1863" s="50" t="str">
        <f>ARRAY_CONSTRAIN(ARRAYFORMULA(SUM(IF([3]!Table13[ID]=B1863,[3]!Table13[QTY]))), 1, 1)</f>
        <v>#ERROR!</v>
      </c>
      <c r="J1863" s="50" t="str">
        <f>TABLEITEM!$H$3:$H$2749-TABLEITEM!$I$3:$I$2749</f>
        <v>#ERROR!</v>
      </c>
    </row>
    <row r="1864" ht="15.75" customHeight="1">
      <c r="A1864" s="45"/>
      <c r="B1864" s="18" t="s">
        <v>4034</v>
      </c>
      <c r="C1864" s="26"/>
      <c r="D1864" s="18" t="s">
        <v>9421</v>
      </c>
      <c r="E1864" s="56" t="s">
        <v>8560</v>
      </c>
      <c r="F1864" s="57" t="s">
        <v>7173</v>
      </c>
      <c r="G1864" s="49">
        <f t="array" ref="G1864">MAX(IF(INSTOCK!$H$3:$H$6125=B1864,INSTOCK!$K$3:$K$6125))</f>
        <v>244.13</v>
      </c>
      <c r="H1864" s="50">
        <f t="array" ref="H1864">SUM(IF(INSTOCK!$H$3:$H$6125=B1864,INSTOCK!$I$3:$I$6125))</f>
        <v>5</v>
      </c>
      <c r="I1864" s="50" t="str">
        <f>ARRAY_CONSTRAIN(ARRAYFORMULA(SUM(IF([3]!Table13[ID]=B1864,[3]!Table13[QTY]))), 1, 1)</f>
        <v>#ERROR!</v>
      </c>
      <c r="J1864" s="50" t="str">
        <f>TABLEITEM!$H$3:$H$2749-TABLEITEM!$I$3:$I$2749</f>
        <v>#ERROR!</v>
      </c>
    </row>
    <row r="1865" ht="15.75" customHeight="1">
      <c r="A1865" s="45"/>
      <c r="B1865" s="10" t="s">
        <v>4036</v>
      </c>
      <c r="C1865" s="26"/>
      <c r="D1865" s="10" t="s">
        <v>9422</v>
      </c>
      <c r="E1865" s="48" t="s">
        <v>1504</v>
      </c>
      <c r="F1865" s="57" t="s">
        <v>7173</v>
      </c>
      <c r="G1865" s="49">
        <f t="array" ref="G1865">MAX(IF(INSTOCK!$H$3:$H$6125=B1865,INSTOCK!$K$3:$K$6125))</f>
        <v>112.5</v>
      </c>
      <c r="H1865" s="50">
        <f t="array" ref="H1865">SUM(IF(INSTOCK!$H$3:$H$6125=B1865,INSTOCK!$I$3:$I$6125))</f>
        <v>1</v>
      </c>
      <c r="I1865" s="50" t="str">
        <f>ARRAY_CONSTRAIN(ARRAYFORMULA(SUM(IF([3]!Table13[ID]=B1865,[3]!Table13[QTY]))), 1, 1)</f>
        <v>#ERROR!</v>
      </c>
      <c r="J1865" s="50" t="str">
        <f>TABLEITEM!$H$3:$H$2749-TABLEITEM!$I$3:$I$2749</f>
        <v>#ERROR!</v>
      </c>
    </row>
    <row r="1866" ht="15.75" customHeight="1">
      <c r="A1866" s="45"/>
      <c r="B1866" s="10" t="s">
        <v>4038</v>
      </c>
      <c r="C1866" s="26"/>
      <c r="D1866" s="10" t="s">
        <v>9423</v>
      </c>
      <c r="E1866" s="48" t="s">
        <v>1504</v>
      </c>
      <c r="F1866" s="57" t="s">
        <v>7173</v>
      </c>
      <c r="G1866" s="49">
        <f t="array" ref="G1866">MAX(IF(INSTOCK!$H$3:$H$6125=B1866,INSTOCK!$K$3:$K$6125))</f>
        <v>81.9</v>
      </c>
      <c r="H1866" s="50">
        <f t="array" ref="H1866">SUM(IF(INSTOCK!$H$3:$H$6125=B1866,INSTOCK!$I$3:$I$6125))</f>
        <v>1</v>
      </c>
      <c r="I1866" s="50" t="str">
        <f>ARRAY_CONSTRAIN(ARRAYFORMULA(SUM(IF([3]!Table13[ID]=B1866,[3]!Table13[QTY]))), 1, 1)</f>
        <v>#ERROR!</v>
      </c>
      <c r="J1866" s="50" t="str">
        <f>TABLEITEM!$H$3:$H$2749-TABLEITEM!$I$3:$I$2749</f>
        <v>#ERROR!</v>
      </c>
    </row>
    <row r="1867" ht="15.75" customHeight="1">
      <c r="A1867" s="45"/>
      <c r="B1867" s="10" t="s">
        <v>4040</v>
      </c>
      <c r="C1867" s="26"/>
      <c r="D1867" s="10" t="s">
        <v>9424</v>
      </c>
      <c r="E1867" s="48" t="s">
        <v>1504</v>
      </c>
      <c r="F1867" s="57" t="s">
        <v>7173</v>
      </c>
      <c r="G1867" s="49">
        <f t="array" ref="G1867">MAX(IF(INSTOCK!$H$3:$H$6125=B1867,INSTOCK!$K$3:$K$6125))</f>
        <v>81.9</v>
      </c>
      <c r="H1867" s="50">
        <f t="array" ref="H1867">SUM(IF(INSTOCK!$H$3:$H$6125=B1867,INSTOCK!$I$3:$I$6125))</f>
        <v>1</v>
      </c>
      <c r="I1867" s="50" t="str">
        <f>ARRAY_CONSTRAIN(ARRAYFORMULA(SUM(IF([3]!Table13[ID]=B1867,[3]!Table13[QTY]))), 1, 1)</f>
        <v>#ERROR!</v>
      </c>
      <c r="J1867" s="50" t="str">
        <f>TABLEITEM!$H$3:$H$2749-TABLEITEM!$I$3:$I$2749</f>
        <v>#ERROR!</v>
      </c>
    </row>
    <row r="1868" ht="15.75" customHeight="1">
      <c r="A1868" s="45"/>
      <c r="B1868" s="18" t="s">
        <v>4041</v>
      </c>
      <c r="C1868" s="26"/>
      <c r="D1868" s="10" t="s">
        <v>9425</v>
      </c>
      <c r="E1868" s="48" t="s">
        <v>1504</v>
      </c>
      <c r="F1868" s="57" t="s">
        <v>7173</v>
      </c>
      <c r="G1868" s="49">
        <f t="array" ref="G1868">MAX(IF(INSTOCK!$H$3:$H$6125=B1868,INSTOCK!$K$3:$K$6125))</f>
        <v>81.9</v>
      </c>
      <c r="H1868" s="50">
        <f t="array" ref="H1868">SUM(IF(INSTOCK!$H$3:$H$6125=B1868,INSTOCK!$I$3:$I$6125))</f>
        <v>1</v>
      </c>
      <c r="I1868" s="50" t="str">
        <f>ARRAY_CONSTRAIN(ARRAYFORMULA(SUM(IF([3]!Table13[ID]=B1868,[3]!Table13[QTY]))), 1, 1)</f>
        <v>#ERROR!</v>
      </c>
      <c r="J1868" s="50" t="str">
        <f>TABLEITEM!$H$3:$H$2749-TABLEITEM!$I$3:$I$2749</f>
        <v>#ERROR!</v>
      </c>
    </row>
    <row r="1869" ht="15.75" customHeight="1">
      <c r="A1869" s="45"/>
      <c r="B1869" s="10" t="s">
        <v>4375</v>
      </c>
      <c r="C1869" s="26"/>
      <c r="D1869" s="10" t="s">
        <v>9426</v>
      </c>
      <c r="E1869" s="48"/>
      <c r="F1869" s="57" t="s">
        <v>7173</v>
      </c>
      <c r="G1869" s="49">
        <f t="array" ref="G1869">MAX(IF(INSTOCK!$H$3:$H$6125=B1869,INSTOCK!$K$3:$K$6125))</f>
        <v>102.8</v>
      </c>
      <c r="H1869" s="50">
        <f t="array" ref="H1869">SUM(IF(INSTOCK!$H$3:$H$6125=B1869,INSTOCK!$I$3:$I$6125))</f>
        <v>2</v>
      </c>
      <c r="I1869" s="50" t="str">
        <f>ARRAY_CONSTRAIN(ARRAYFORMULA(SUM(IF([3]!Table13[ID]=B1869,[3]!Table13[QTY]))), 1, 1)</f>
        <v>#ERROR!</v>
      </c>
      <c r="J1869" s="50" t="str">
        <f>TABLEITEM!$H$3:$H$2749-TABLEITEM!$I$3:$I$2749</f>
        <v>#ERROR!</v>
      </c>
    </row>
    <row r="1870" ht="15.75" customHeight="1">
      <c r="A1870" s="45"/>
      <c r="B1870" s="10" t="s">
        <v>3971</v>
      </c>
      <c r="C1870" s="26"/>
      <c r="D1870" s="10" t="s">
        <v>9427</v>
      </c>
      <c r="E1870" s="48"/>
      <c r="F1870" s="57" t="s">
        <v>7173</v>
      </c>
      <c r="G1870" s="49">
        <f t="array" ref="G1870">MAX(IF(INSTOCK!$H$3:$H$6125=B1870,INSTOCK!$K$3:$K$6125))</f>
        <v>126.17</v>
      </c>
      <c r="H1870" s="50">
        <f t="array" ref="H1870">SUM(IF(INSTOCK!$H$3:$H$6125=B1870,INSTOCK!$I$3:$I$6125))</f>
        <v>1</v>
      </c>
      <c r="I1870" s="50" t="str">
        <f>ARRAY_CONSTRAIN(ARRAYFORMULA(SUM(IF([3]!Table13[ID]=B1870,[3]!Table13[QTY]))), 1, 1)</f>
        <v>#ERROR!</v>
      </c>
      <c r="J1870" s="50" t="str">
        <f>TABLEITEM!$H$3:$H$2749-TABLEITEM!$I$3:$I$2749</f>
        <v>#ERROR!</v>
      </c>
    </row>
    <row r="1871" ht="15.75" customHeight="1">
      <c r="A1871" s="45"/>
      <c r="B1871" s="18" t="s">
        <v>4060</v>
      </c>
      <c r="C1871" s="26"/>
      <c r="D1871" s="18" t="s">
        <v>9428</v>
      </c>
      <c r="E1871" s="56" t="s">
        <v>9429</v>
      </c>
      <c r="F1871" s="57" t="s">
        <v>7173</v>
      </c>
      <c r="G1871" s="49">
        <f t="array" ref="G1871">MAX(IF(INSTOCK!$H$3:$H$6125=B1871,INSTOCK!$K$3:$K$6125))</f>
        <v>499</v>
      </c>
      <c r="H1871" s="50">
        <f t="array" ref="H1871">SUM(IF(INSTOCK!$H$3:$H$6125=B1871,INSTOCK!$I$3:$I$6125))</f>
        <v>3</v>
      </c>
      <c r="I1871" s="50" t="str">
        <f>ARRAY_CONSTRAIN(ARRAYFORMULA(SUM(IF([3]!Table13[ID]=B1871,[3]!Table13[QTY]))), 1, 1)</f>
        <v>#ERROR!</v>
      </c>
      <c r="J1871" s="50" t="str">
        <f>TABLEITEM!$H$3:$H$2749-TABLEITEM!$I$3:$I$2749</f>
        <v>#ERROR!</v>
      </c>
    </row>
    <row r="1872" ht="15.75" customHeight="1">
      <c r="A1872" s="45"/>
      <c r="B1872" s="10" t="s">
        <v>4064</v>
      </c>
      <c r="C1872" s="26"/>
      <c r="D1872" s="10" t="s">
        <v>9430</v>
      </c>
      <c r="E1872" s="48"/>
      <c r="F1872" s="57" t="s">
        <v>7173</v>
      </c>
      <c r="G1872" s="49">
        <f t="array" ref="G1872">MAX(IF(INSTOCK!$H$3:$H$6125=B1872,INSTOCK!$K$3:$K$6125))</f>
        <v>140</v>
      </c>
      <c r="H1872" s="50">
        <f t="array" ref="H1872">SUM(IF(INSTOCK!$H$3:$H$6125=B1872,INSTOCK!$I$3:$I$6125))</f>
        <v>1</v>
      </c>
      <c r="I1872" s="50" t="str">
        <f>ARRAY_CONSTRAIN(ARRAYFORMULA(SUM(IF([3]!Table13[ID]=B1872,[3]!Table13[QTY]))), 1, 1)</f>
        <v>#ERROR!</v>
      </c>
      <c r="J1872" s="50" t="str">
        <f>TABLEITEM!$H$3:$H$2749-TABLEITEM!$I$3:$I$2749</f>
        <v>#ERROR!</v>
      </c>
    </row>
    <row r="1873" ht="15.75" customHeight="1">
      <c r="A1873" s="45"/>
      <c r="B1873" s="10" t="s">
        <v>4065</v>
      </c>
      <c r="C1873" s="26"/>
      <c r="D1873" s="10" t="s">
        <v>9431</v>
      </c>
      <c r="E1873" s="48"/>
      <c r="F1873" s="57" t="s">
        <v>7173</v>
      </c>
      <c r="G1873" s="49">
        <f t="array" ref="G1873">MAX(IF(INSTOCK!$H$3:$H$6125=B1873,INSTOCK!$K$3:$K$6125))</f>
        <v>4</v>
      </c>
      <c r="H1873" s="50">
        <f t="array" ref="H1873">SUM(IF(INSTOCK!$H$3:$H$6125=B1873,INSTOCK!$I$3:$I$6125))</f>
        <v>2</v>
      </c>
      <c r="I1873" s="50" t="str">
        <f>ARRAY_CONSTRAIN(ARRAYFORMULA(SUM(IF([3]!Table13[ID]=B1873,[3]!Table13[QTY]))), 1, 1)</f>
        <v>#ERROR!</v>
      </c>
      <c r="J1873" s="50" t="str">
        <f>TABLEITEM!$H$3:$H$2749-TABLEITEM!$I$3:$I$2749</f>
        <v>#ERROR!</v>
      </c>
    </row>
    <row r="1874" ht="15.75" customHeight="1">
      <c r="A1874" s="45"/>
      <c r="B1874" s="18" t="s">
        <v>4066</v>
      </c>
      <c r="C1874" s="26"/>
      <c r="D1874" s="18" t="s">
        <v>9432</v>
      </c>
      <c r="E1874" s="56"/>
      <c r="F1874" s="57" t="s">
        <v>7173</v>
      </c>
      <c r="G1874" s="49">
        <f t="array" ref="G1874">MAX(IF(INSTOCK!$H$3:$H$6125=B1874,INSTOCK!$K$3:$K$6125))</f>
        <v>3</v>
      </c>
      <c r="H1874" s="50">
        <f t="array" ref="H1874">SUM(IF(INSTOCK!$H$3:$H$6125=B1874,INSTOCK!$I$3:$I$6125))</f>
        <v>4</v>
      </c>
      <c r="I1874" s="50" t="str">
        <f>ARRAY_CONSTRAIN(ARRAYFORMULA(SUM(IF([3]!Table13[ID]=B1874,[3]!Table13[QTY]))), 1, 1)</f>
        <v>#ERROR!</v>
      </c>
      <c r="J1874" s="50" t="str">
        <f>TABLEITEM!$H$3:$H$2749-TABLEITEM!$I$3:$I$2749</f>
        <v>#ERROR!</v>
      </c>
    </row>
    <row r="1875" ht="15.75" customHeight="1">
      <c r="A1875" s="45"/>
      <c r="B1875" s="18" t="s">
        <v>4070</v>
      </c>
      <c r="C1875" s="26"/>
      <c r="D1875" s="18" t="s">
        <v>9433</v>
      </c>
      <c r="E1875" s="56" t="s">
        <v>9434</v>
      </c>
      <c r="F1875" s="57" t="s">
        <v>7173</v>
      </c>
      <c r="G1875" s="49">
        <f t="array" ref="G1875">MAX(IF(INSTOCK!$H$3:$H$6125=B1875,INSTOCK!$K$3:$K$6125))</f>
        <v>488.775</v>
      </c>
      <c r="H1875" s="50">
        <f t="array" ref="H1875">SUM(IF(INSTOCK!$H$3:$H$6125=B1875,INSTOCK!$I$3:$I$6125))</f>
        <v>4</v>
      </c>
      <c r="I1875" s="50" t="str">
        <f>ARRAY_CONSTRAIN(ARRAYFORMULA(SUM(IF([3]!Table13[ID]=B1875,[3]!Table13[QTY]))), 1, 1)</f>
        <v>#ERROR!</v>
      </c>
      <c r="J1875" s="50" t="str">
        <f>TABLEITEM!$H$3:$H$2749-TABLEITEM!$I$3:$I$2749</f>
        <v>#ERROR!</v>
      </c>
    </row>
    <row r="1876" ht="15.75" customHeight="1">
      <c r="A1876" s="45"/>
      <c r="B1876" s="18" t="s">
        <v>4075</v>
      </c>
      <c r="C1876" s="26"/>
      <c r="D1876" s="18" t="s">
        <v>9435</v>
      </c>
      <c r="E1876" s="56" t="s">
        <v>8839</v>
      </c>
      <c r="F1876" s="57" t="s">
        <v>7173</v>
      </c>
      <c r="G1876" s="49">
        <f t="array" ref="G1876">MAX(IF(INSTOCK!$H$3:$H$6125=B1876,INSTOCK!$K$3:$K$6125))</f>
        <v>1100</v>
      </c>
      <c r="H1876" s="50">
        <f t="array" ref="H1876">SUM(IF(INSTOCK!$H$3:$H$6125=B1876,INSTOCK!$I$3:$I$6125))</f>
        <v>1</v>
      </c>
      <c r="I1876" s="50" t="str">
        <f>ARRAY_CONSTRAIN(ARRAYFORMULA(SUM(IF([3]!Table13[ID]=B1876,[3]!Table13[QTY]))), 1, 1)</f>
        <v>#ERROR!</v>
      </c>
      <c r="J1876" s="50" t="str">
        <f>TABLEITEM!$H$3:$H$2749-TABLEITEM!$I$3:$I$2749</f>
        <v>#ERROR!</v>
      </c>
    </row>
    <row r="1877" ht="15.75" customHeight="1">
      <c r="A1877" s="45"/>
      <c r="B1877" s="18" t="s">
        <v>4079</v>
      </c>
      <c r="C1877" s="26"/>
      <c r="D1877" s="18" t="s">
        <v>9436</v>
      </c>
      <c r="E1877" s="56" t="s">
        <v>8587</v>
      </c>
      <c r="F1877" s="57" t="s">
        <v>7173</v>
      </c>
      <c r="G1877" s="49">
        <f t="array" ref="G1877">MAX(IF(INSTOCK!$H$3:$H$6125=B1877,INSTOCK!$K$3:$K$6125))</f>
        <v>450</v>
      </c>
      <c r="H1877" s="50">
        <f t="array" ref="H1877">SUM(IF(INSTOCK!$H$3:$H$6125=B1877,INSTOCK!$I$3:$I$6125))</f>
        <v>3</v>
      </c>
      <c r="I1877" s="50" t="str">
        <f>ARRAY_CONSTRAIN(ARRAYFORMULA(SUM(IF([3]!Table13[ID]=B1877,[3]!Table13[QTY]))), 1, 1)</f>
        <v>#ERROR!</v>
      </c>
      <c r="J1877" s="50" t="str">
        <f>TABLEITEM!$H$3:$H$2749-TABLEITEM!$I$3:$I$2749</f>
        <v>#ERROR!</v>
      </c>
    </row>
    <row r="1878" ht="15.75" customHeight="1">
      <c r="A1878" s="45"/>
      <c r="B1878" s="18" t="s">
        <v>4083</v>
      </c>
      <c r="C1878" s="26"/>
      <c r="D1878" s="18" t="s">
        <v>9437</v>
      </c>
      <c r="E1878" s="56" t="s">
        <v>1504</v>
      </c>
      <c r="F1878" s="57" t="s">
        <v>7173</v>
      </c>
      <c r="G1878" s="49">
        <f t="array" ref="G1878">MAX(IF(INSTOCK!$H$3:$H$6125=B1878,INSTOCK!$K$3:$K$6125))</f>
        <v>480</v>
      </c>
      <c r="H1878" s="50">
        <f t="array" ref="H1878">SUM(IF(INSTOCK!$H$3:$H$6125=B1878,INSTOCK!$I$3:$I$6125))</f>
        <v>1</v>
      </c>
      <c r="I1878" s="50" t="str">
        <f>ARRAY_CONSTRAIN(ARRAYFORMULA(SUM(IF([3]!Table13[ID]=B1878,[3]!Table13[QTY]))), 1, 1)</f>
        <v>#ERROR!</v>
      </c>
      <c r="J1878" s="50" t="str">
        <f>TABLEITEM!$H$3:$H$2749-TABLEITEM!$I$3:$I$2749</f>
        <v>#ERROR!</v>
      </c>
    </row>
    <row r="1879" ht="15.75" customHeight="1">
      <c r="A1879" s="45"/>
      <c r="B1879" s="10" t="s">
        <v>4090</v>
      </c>
      <c r="C1879" s="26"/>
      <c r="D1879" s="10" t="s">
        <v>9438</v>
      </c>
      <c r="E1879" s="48" t="s">
        <v>1487</v>
      </c>
      <c r="F1879" s="57" t="s">
        <v>7173</v>
      </c>
      <c r="G1879" s="49">
        <f t="array" ref="G1879">MAX(IF(INSTOCK!$H$3:$H$6125=B1879,INSTOCK!$K$3:$K$6125))</f>
        <v>140.8</v>
      </c>
      <c r="H1879" s="50">
        <f t="array" ref="H1879">SUM(IF(INSTOCK!$H$3:$H$6125=B1879,INSTOCK!$I$3:$I$6125))</f>
        <v>5</v>
      </c>
      <c r="I1879" s="50" t="str">
        <f>ARRAY_CONSTRAIN(ARRAYFORMULA(SUM(IF([3]!Table13[ID]=B1879,[3]!Table13[QTY]))), 1, 1)</f>
        <v>#ERROR!</v>
      </c>
      <c r="J1879" s="50" t="str">
        <f>TABLEITEM!$H$3:$H$2749-TABLEITEM!$I$3:$I$2749</f>
        <v>#ERROR!</v>
      </c>
    </row>
    <row r="1880" ht="15.75" customHeight="1">
      <c r="A1880" s="45"/>
      <c r="B1880" s="10" t="s">
        <v>4091</v>
      </c>
      <c r="C1880" s="26"/>
      <c r="D1880" s="10" t="s">
        <v>9439</v>
      </c>
      <c r="E1880" s="48" t="s">
        <v>1487</v>
      </c>
      <c r="F1880" s="57" t="s">
        <v>7173</v>
      </c>
      <c r="G1880" s="49">
        <f t="array" ref="G1880">MAX(IF(INSTOCK!$H$3:$H$6125=B1880,INSTOCK!$K$3:$K$6125))</f>
        <v>140.8</v>
      </c>
      <c r="H1880" s="50">
        <f t="array" ref="H1880">SUM(IF(INSTOCK!$H$3:$H$6125=B1880,INSTOCK!$I$3:$I$6125))</f>
        <v>5</v>
      </c>
      <c r="I1880" s="50" t="str">
        <f>ARRAY_CONSTRAIN(ARRAYFORMULA(SUM(IF([3]!Table13[ID]=B1880,[3]!Table13[QTY]))), 1, 1)</f>
        <v>#ERROR!</v>
      </c>
      <c r="J1880" s="50" t="str">
        <f>TABLEITEM!$H$3:$H$2749-TABLEITEM!$I$3:$I$2749</f>
        <v>#ERROR!</v>
      </c>
    </row>
    <row r="1881" ht="15.75" customHeight="1">
      <c r="A1881" s="45"/>
      <c r="B1881" s="10" t="s">
        <v>4092</v>
      </c>
      <c r="C1881" s="26"/>
      <c r="D1881" s="10" t="s">
        <v>9440</v>
      </c>
      <c r="E1881" s="48" t="s">
        <v>1487</v>
      </c>
      <c r="F1881" s="57" t="s">
        <v>7173</v>
      </c>
      <c r="G1881" s="49">
        <f t="array" ref="G1881">MAX(IF(INSTOCK!$H$3:$H$6125=B1881,INSTOCK!$K$3:$K$6125))</f>
        <v>475.2</v>
      </c>
      <c r="H1881" s="50">
        <f t="array" ref="H1881">SUM(IF(INSTOCK!$H$3:$H$6125=B1881,INSTOCK!$I$3:$I$6125))</f>
        <v>1</v>
      </c>
      <c r="I1881" s="50" t="str">
        <f>ARRAY_CONSTRAIN(ARRAYFORMULA(SUM(IF([3]!Table13[ID]=B1881,[3]!Table13[QTY]))), 1, 1)</f>
        <v>#ERROR!</v>
      </c>
      <c r="J1881" s="50" t="str">
        <f>TABLEITEM!$H$3:$H$2749-TABLEITEM!$I$3:$I$2749</f>
        <v>#ERROR!</v>
      </c>
    </row>
    <row r="1882" ht="15.75" customHeight="1">
      <c r="A1882" s="45"/>
      <c r="B1882" s="10" t="s">
        <v>4093</v>
      </c>
      <c r="C1882" s="26"/>
      <c r="D1882" s="10" t="s">
        <v>9441</v>
      </c>
      <c r="E1882" s="48" t="s">
        <v>1487</v>
      </c>
      <c r="F1882" s="57" t="s">
        <v>7173</v>
      </c>
      <c r="G1882" s="49">
        <f t="array" ref="G1882">MAX(IF(INSTOCK!$H$3:$H$6125=B1882,INSTOCK!$K$3:$K$6125))</f>
        <v>334.4</v>
      </c>
      <c r="H1882" s="50">
        <f t="array" ref="H1882">SUM(IF(INSTOCK!$H$3:$H$6125=B1882,INSTOCK!$I$3:$I$6125))</f>
        <v>1</v>
      </c>
      <c r="I1882" s="50" t="str">
        <f>ARRAY_CONSTRAIN(ARRAYFORMULA(SUM(IF([3]!Table13[ID]=B1882,[3]!Table13[QTY]))), 1, 1)</f>
        <v>#ERROR!</v>
      </c>
      <c r="J1882" s="50" t="str">
        <f>TABLEITEM!$H$3:$H$2749-TABLEITEM!$I$3:$I$2749</f>
        <v>#ERROR!</v>
      </c>
    </row>
    <row r="1883" ht="15.75" customHeight="1">
      <c r="A1883" s="45"/>
      <c r="B1883" s="10" t="s">
        <v>4104</v>
      </c>
      <c r="C1883" s="26"/>
      <c r="D1883" s="10" t="s">
        <v>4516</v>
      </c>
      <c r="E1883" s="48" t="s">
        <v>8981</v>
      </c>
      <c r="F1883" s="57" t="s">
        <v>7173</v>
      </c>
      <c r="G1883" s="49">
        <f t="array" ref="G1883">MAX(IF(INSTOCK!$H$3:$H$6125=B1883,INSTOCK!$K$3:$K$6125))</f>
        <v>120</v>
      </c>
      <c r="H1883" s="50">
        <f t="array" ref="H1883">SUM(IF(INSTOCK!$H$3:$H$6125=B1883,INSTOCK!$I$3:$I$6125))</f>
        <v>20</v>
      </c>
      <c r="I1883" s="50" t="str">
        <f>ARRAY_CONSTRAIN(ARRAYFORMULA(SUM(IF([3]!Table13[ID]=B1883,[3]!Table13[QTY]))), 1, 1)</f>
        <v>#ERROR!</v>
      </c>
      <c r="J1883" s="50" t="str">
        <f>TABLEITEM!$H$3:$H$2749-TABLEITEM!$I$3:$I$2749</f>
        <v>#ERROR!</v>
      </c>
    </row>
    <row r="1884" ht="15.75" customHeight="1">
      <c r="A1884" s="45"/>
      <c r="B1884" s="10" t="s">
        <v>4113</v>
      </c>
      <c r="C1884" s="26"/>
      <c r="D1884" s="10" t="s">
        <v>9442</v>
      </c>
      <c r="E1884" s="48"/>
      <c r="F1884" s="57" t="s">
        <v>7173</v>
      </c>
      <c r="G1884" s="49">
        <f t="array" ref="G1884">MAX(IF(INSTOCK!$H$3:$H$6125=B1884,INSTOCK!$K$3:$K$6125))</f>
        <v>35</v>
      </c>
      <c r="H1884" s="50">
        <f t="array" ref="H1884">SUM(IF(INSTOCK!$H$3:$H$6125=B1884,INSTOCK!$I$3:$I$6125))</f>
        <v>260</v>
      </c>
      <c r="I1884" s="50" t="str">
        <f>ARRAY_CONSTRAIN(ARRAYFORMULA(SUM(IF([3]!Table13[ID]=B1884,[3]!Table13[QTY]))), 1, 1)</f>
        <v>#ERROR!</v>
      </c>
      <c r="J1884" s="50" t="str">
        <f>TABLEITEM!$H$3:$H$2749-TABLEITEM!$I$3:$I$2749</f>
        <v>#ERROR!</v>
      </c>
    </row>
    <row r="1885" ht="15.75" customHeight="1">
      <c r="A1885" s="45"/>
      <c r="B1885" s="10" t="s">
        <v>4125</v>
      </c>
      <c r="C1885" s="26"/>
      <c r="D1885" s="10" t="s">
        <v>9443</v>
      </c>
      <c r="E1885" s="48" t="s">
        <v>6400</v>
      </c>
      <c r="F1885" s="57" t="s">
        <v>7173</v>
      </c>
      <c r="G1885" s="49">
        <f t="array" ref="G1885">MAX(IF(INSTOCK!$H$3:$H$6125=B1885,INSTOCK!$K$3:$K$6125))</f>
        <v>1490</v>
      </c>
      <c r="H1885" s="50">
        <f t="array" ref="H1885">SUM(IF(INSTOCK!$H$3:$H$6125=B1885,INSTOCK!$I$3:$I$6125))</f>
        <v>15</v>
      </c>
      <c r="I1885" s="50" t="str">
        <f>ARRAY_CONSTRAIN(ARRAYFORMULA(SUM(IF([3]!Table13[ID]=B1885,[3]!Table13[QTY]))), 1, 1)</f>
        <v>#ERROR!</v>
      </c>
      <c r="J1885" s="50" t="str">
        <f>TABLEITEM!$H$3:$H$2749-TABLEITEM!$I$3:$I$2749</f>
        <v>#ERROR!</v>
      </c>
    </row>
    <row r="1886" ht="15.75" customHeight="1">
      <c r="A1886" s="45"/>
      <c r="B1886" s="10" t="s">
        <v>4132</v>
      </c>
      <c r="C1886" s="26"/>
      <c r="D1886" s="10" t="s">
        <v>9444</v>
      </c>
      <c r="E1886" s="48" t="s">
        <v>9445</v>
      </c>
      <c r="F1886" s="57" t="s">
        <v>7173</v>
      </c>
      <c r="G1886" s="49">
        <f t="array" ref="G1886">MAX(IF(INSTOCK!$H$3:$H$6125=B1886,INSTOCK!$K$3:$K$6125))</f>
        <v>1800</v>
      </c>
      <c r="H1886" s="50">
        <f t="array" ref="H1886">SUM(IF(INSTOCK!$H$3:$H$6125=B1886,INSTOCK!$I$3:$I$6125))</f>
        <v>6</v>
      </c>
      <c r="I1886" s="50" t="str">
        <f>ARRAY_CONSTRAIN(ARRAYFORMULA(SUM(IF([3]!Table13[ID]=B1886,[3]!Table13[QTY]))), 1, 1)</f>
        <v>#ERROR!</v>
      </c>
      <c r="J1886" s="50" t="str">
        <f>TABLEITEM!$H$3:$H$2749-TABLEITEM!$I$3:$I$2749</f>
        <v>#ERROR!</v>
      </c>
    </row>
    <row r="1887" ht="15.75" customHeight="1">
      <c r="A1887" s="45"/>
      <c r="B1887" s="10" t="s">
        <v>4133</v>
      </c>
      <c r="C1887" s="26"/>
      <c r="D1887" s="10" t="s">
        <v>9446</v>
      </c>
      <c r="E1887" s="48"/>
      <c r="F1887" s="57" t="s">
        <v>7173</v>
      </c>
      <c r="G1887" s="49">
        <f t="array" ref="G1887">MAX(IF(INSTOCK!$H$3:$H$6125=B1887,INSTOCK!$K$3:$K$6125))</f>
        <v>120</v>
      </c>
      <c r="H1887" s="50">
        <f t="array" ref="H1887">SUM(IF(INSTOCK!$H$3:$H$6125=B1887,INSTOCK!$I$3:$I$6125))</f>
        <v>6</v>
      </c>
      <c r="I1887" s="50" t="str">
        <f>ARRAY_CONSTRAIN(ARRAYFORMULA(SUM(IF([3]!Table13[ID]=B1887,[3]!Table13[QTY]))), 1, 1)</f>
        <v>#ERROR!</v>
      </c>
      <c r="J1887" s="50" t="str">
        <f>TABLEITEM!$H$3:$H$2749-TABLEITEM!$I$3:$I$2749</f>
        <v>#ERROR!</v>
      </c>
    </row>
    <row r="1888" ht="15.75" customHeight="1">
      <c r="A1888" s="45"/>
      <c r="B1888" s="10" t="s">
        <v>4149</v>
      </c>
      <c r="C1888" s="26"/>
      <c r="D1888" s="10" t="s">
        <v>9447</v>
      </c>
      <c r="E1888" s="48"/>
      <c r="F1888" s="57" t="s">
        <v>7173</v>
      </c>
      <c r="G1888" s="49">
        <f t="array" ref="G1888">MAX(IF(INSTOCK!$H$3:$H$6125=B1888,INSTOCK!$K$3:$K$6125))</f>
        <v>16245</v>
      </c>
      <c r="H1888" s="50">
        <f t="array" ref="H1888">SUM(IF(INSTOCK!$H$3:$H$6125=B1888,INSTOCK!$I$3:$I$6125))</f>
        <v>1</v>
      </c>
      <c r="I1888" s="50" t="str">
        <f>ARRAY_CONSTRAIN(ARRAYFORMULA(SUM(IF([3]!Table13[ID]=B1888,[3]!Table13[QTY]))), 1, 1)</f>
        <v>#ERROR!</v>
      </c>
      <c r="J1888" s="50" t="str">
        <f>TABLEITEM!$H$3:$H$2749-TABLEITEM!$I$3:$I$2749</f>
        <v>#ERROR!</v>
      </c>
    </row>
    <row r="1889" ht="15.75" customHeight="1">
      <c r="A1889" s="45"/>
      <c r="B1889" s="10" t="s">
        <v>4150</v>
      </c>
      <c r="C1889" s="26"/>
      <c r="D1889" s="10" t="s">
        <v>9448</v>
      </c>
      <c r="E1889" s="48"/>
      <c r="F1889" s="57" t="s">
        <v>7173</v>
      </c>
      <c r="G1889" s="49">
        <f t="array" ref="G1889">MAX(IF(INSTOCK!$H$3:$H$6125=B1889,INSTOCK!$K$3:$K$6125))</f>
        <v>1580</v>
      </c>
      <c r="H1889" s="50">
        <f t="array" ref="H1889">SUM(IF(INSTOCK!$H$3:$H$6125=B1889,INSTOCK!$I$3:$I$6125))</f>
        <v>2</v>
      </c>
      <c r="I1889" s="50" t="str">
        <f>ARRAY_CONSTRAIN(ARRAYFORMULA(SUM(IF([3]!Table13[ID]=B1889,[3]!Table13[QTY]))), 1, 1)</f>
        <v>#ERROR!</v>
      </c>
      <c r="J1889" s="50" t="str">
        <f>TABLEITEM!$H$3:$H$2749-TABLEITEM!$I$3:$I$2749</f>
        <v>#ERROR!</v>
      </c>
    </row>
    <row r="1890" ht="15.75" customHeight="1">
      <c r="A1890" s="45"/>
      <c r="B1890" s="10" t="s">
        <v>4155</v>
      </c>
      <c r="C1890" s="26"/>
      <c r="D1890" s="10" t="s">
        <v>9449</v>
      </c>
      <c r="E1890" s="48"/>
      <c r="F1890" s="57" t="s">
        <v>7173</v>
      </c>
      <c r="G1890" s="49">
        <f t="array" ref="G1890">MAX(IF(INSTOCK!$H$3:$H$6125=B1890,INSTOCK!$K$3:$K$6125))</f>
        <v>3374.4</v>
      </c>
      <c r="H1890" s="50">
        <f t="array" ref="H1890">SUM(IF(INSTOCK!$H$3:$H$6125=B1890,INSTOCK!$I$3:$I$6125))</f>
        <v>1</v>
      </c>
      <c r="I1890" s="50" t="str">
        <f>ARRAY_CONSTRAIN(ARRAYFORMULA(SUM(IF([3]!Table13[ID]=B1890,[3]!Table13[QTY]))), 1, 1)</f>
        <v>#ERROR!</v>
      </c>
      <c r="J1890" s="50" t="str">
        <f>TABLEITEM!$H$3:$H$2749-TABLEITEM!$I$3:$I$2749</f>
        <v>#ERROR!</v>
      </c>
    </row>
    <row r="1891" ht="15.75" customHeight="1">
      <c r="A1891" s="45"/>
      <c r="B1891" s="10" t="s">
        <v>4156</v>
      </c>
      <c r="C1891" s="26"/>
      <c r="D1891" s="10" t="s">
        <v>9450</v>
      </c>
      <c r="E1891" s="48" t="s">
        <v>9451</v>
      </c>
      <c r="F1891" s="57" t="s">
        <v>7173</v>
      </c>
      <c r="G1891" s="49">
        <f t="array" ref="G1891">MAX(IF(INSTOCK!$H$3:$H$6125=B1891,INSTOCK!$K$3:$K$6125))</f>
        <v>1558</v>
      </c>
      <c r="H1891" s="50">
        <f t="array" ref="H1891">SUM(IF(INSTOCK!$H$3:$H$6125=B1891,INSTOCK!$I$3:$I$6125))</f>
        <v>4</v>
      </c>
      <c r="I1891" s="50" t="str">
        <f>ARRAY_CONSTRAIN(ARRAYFORMULA(SUM(IF([3]!Table13[ID]=B1891,[3]!Table13[QTY]))), 1, 1)</f>
        <v>#ERROR!</v>
      </c>
      <c r="J1891" s="50" t="str">
        <f>TABLEITEM!$H$3:$H$2749-TABLEITEM!$I$3:$I$2749</f>
        <v>#ERROR!</v>
      </c>
    </row>
    <row r="1892" ht="15.75" customHeight="1">
      <c r="A1892" s="45"/>
      <c r="B1892" s="10" t="s">
        <v>4157</v>
      </c>
      <c r="C1892" s="26"/>
      <c r="D1892" s="10" t="s">
        <v>9452</v>
      </c>
      <c r="E1892" s="48" t="s">
        <v>9451</v>
      </c>
      <c r="F1892" s="57" t="s">
        <v>7173</v>
      </c>
      <c r="G1892" s="49">
        <f t="array" ref="G1892">MAX(IF(INSTOCK!$H$3:$H$6125=B1892,INSTOCK!$K$3:$K$6125))</f>
        <v>1558</v>
      </c>
      <c r="H1892" s="50">
        <f t="array" ref="H1892">SUM(IF(INSTOCK!$H$3:$H$6125=B1892,INSTOCK!$I$3:$I$6125))</f>
        <v>2</v>
      </c>
      <c r="I1892" s="50" t="str">
        <f>ARRAY_CONSTRAIN(ARRAYFORMULA(SUM(IF([3]!Table13[ID]=B1892,[3]!Table13[QTY]))), 1, 1)</f>
        <v>#ERROR!</v>
      </c>
      <c r="J1892" s="50" t="str">
        <f>TABLEITEM!$H$3:$H$2749-TABLEITEM!$I$3:$I$2749</f>
        <v>#ERROR!</v>
      </c>
    </row>
    <row r="1893" ht="15.75" customHeight="1">
      <c r="A1893" s="45"/>
      <c r="B1893" s="10" t="s">
        <v>4158</v>
      </c>
      <c r="C1893" s="26"/>
      <c r="D1893" s="10" t="s">
        <v>9453</v>
      </c>
      <c r="E1893" s="48" t="s">
        <v>9451</v>
      </c>
      <c r="F1893" s="57" t="s">
        <v>7173</v>
      </c>
      <c r="G1893" s="49">
        <f t="array" ref="G1893">MAX(IF(INSTOCK!$H$3:$H$6125=B1893,INSTOCK!$K$3:$K$6125))</f>
        <v>1178</v>
      </c>
      <c r="H1893" s="50">
        <f t="array" ref="H1893">SUM(IF(INSTOCK!$H$3:$H$6125=B1893,INSTOCK!$I$3:$I$6125))</f>
        <v>1</v>
      </c>
      <c r="I1893" s="50" t="str">
        <f>ARRAY_CONSTRAIN(ARRAYFORMULA(SUM(IF([3]!Table13[ID]=B1893,[3]!Table13[QTY]))), 1, 1)</f>
        <v>#ERROR!</v>
      </c>
      <c r="J1893" s="50" t="str">
        <f>TABLEITEM!$H$3:$H$2749-TABLEITEM!$I$3:$I$2749</f>
        <v>#ERROR!</v>
      </c>
    </row>
    <row r="1894" ht="15.75" customHeight="1">
      <c r="A1894" s="45"/>
      <c r="B1894" s="18" t="s">
        <v>4159</v>
      </c>
      <c r="C1894" s="26"/>
      <c r="D1894" s="18" t="s">
        <v>9454</v>
      </c>
      <c r="E1894" s="56" t="s">
        <v>9451</v>
      </c>
      <c r="F1894" s="57" t="s">
        <v>7173</v>
      </c>
      <c r="G1894" s="49">
        <f t="array" ref="G1894">MAX(IF(INSTOCK!$H$3:$H$6125=B1894,INSTOCK!$K$3:$K$6125))</f>
        <v>1178</v>
      </c>
      <c r="H1894" s="50">
        <f t="array" ref="H1894">SUM(IF(INSTOCK!$H$3:$H$6125=B1894,INSTOCK!$I$3:$I$6125))</f>
        <v>5</v>
      </c>
      <c r="I1894" s="50" t="str">
        <f>ARRAY_CONSTRAIN(ARRAYFORMULA(SUM(IF([3]!Table13[ID]=B1894,[3]!Table13[QTY]))), 1, 1)</f>
        <v>#ERROR!</v>
      </c>
      <c r="J1894" s="50" t="str">
        <f>TABLEITEM!$H$3:$H$2749-TABLEITEM!$I$3:$I$2749</f>
        <v>#ERROR!</v>
      </c>
    </row>
    <row r="1895" ht="15.75" customHeight="1">
      <c r="A1895" s="45"/>
      <c r="B1895" s="10" t="s">
        <v>4168</v>
      </c>
      <c r="C1895" s="26"/>
      <c r="D1895" s="10" t="s">
        <v>9455</v>
      </c>
      <c r="E1895" s="48" t="s">
        <v>9456</v>
      </c>
      <c r="F1895" s="57" t="s">
        <v>7173</v>
      </c>
      <c r="G1895" s="49">
        <f t="array" ref="G1895">MAX(IF(INSTOCK!$H$3:$H$6125=B1895,INSTOCK!$K$3:$K$6125))</f>
        <v>2800</v>
      </c>
      <c r="H1895" s="50">
        <f t="array" ref="H1895">SUM(IF(INSTOCK!$H$3:$H$6125=B1895,INSTOCK!$I$3:$I$6125))</f>
        <v>2</v>
      </c>
      <c r="I1895" s="50" t="str">
        <f>ARRAY_CONSTRAIN(ARRAYFORMULA(SUM(IF([3]!Table13[ID]=B1895,[3]!Table13[QTY]))), 1, 1)</f>
        <v>#ERROR!</v>
      </c>
      <c r="J1895" s="50" t="str">
        <f>TABLEITEM!$H$3:$H$2749-TABLEITEM!$I$3:$I$2749</f>
        <v>#ERROR!</v>
      </c>
    </row>
    <row r="1896" ht="15.75" customHeight="1">
      <c r="A1896" s="45"/>
      <c r="B1896" s="18" t="s">
        <v>4169</v>
      </c>
      <c r="C1896" s="26"/>
      <c r="D1896" s="18" t="s">
        <v>9457</v>
      </c>
      <c r="E1896" s="56" t="s">
        <v>9456</v>
      </c>
      <c r="F1896" s="57" t="s">
        <v>7173</v>
      </c>
      <c r="G1896" s="49">
        <f t="array" ref="G1896">MAX(IF(INSTOCK!$H$3:$H$6125=B1896,INSTOCK!$K$3:$K$6125))</f>
        <v>500</v>
      </c>
      <c r="H1896" s="50">
        <f t="array" ref="H1896">SUM(IF(INSTOCK!$H$3:$H$6125=B1896,INSTOCK!$I$3:$I$6125))</f>
        <v>2</v>
      </c>
      <c r="I1896" s="50" t="str">
        <f>ARRAY_CONSTRAIN(ARRAYFORMULA(SUM(IF([3]!Table13[ID]=B1896,[3]!Table13[QTY]))), 1, 1)</f>
        <v>#ERROR!</v>
      </c>
      <c r="J1896" s="50" t="str">
        <f>TABLEITEM!$H$3:$H$2749-TABLEITEM!$I$3:$I$2749</f>
        <v>#ERROR!</v>
      </c>
    </row>
    <row r="1897" ht="15.75" customHeight="1">
      <c r="A1897" s="45"/>
      <c r="B1897" s="18" t="s">
        <v>6221</v>
      </c>
      <c r="C1897" s="26"/>
      <c r="D1897" s="18" t="s">
        <v>9458</v>
      </c>
      <c r="E1897" s="56" t="s">
        <v>9459</v>
      </c>
      <c r="F1897" s="57" t="s">
        <v>7173</v>
      </c>
      <c r="G1897" s="49">
        <f t="array" ref="G1897">MAX(IF(INSTOCK!$H$3:$H$6125=B1897,INSTOCK!$K$3:$K$6125))</f>
        <v>23.36</v>
      </c>
      <c r="H1897" s="50">
        <f t="array" ref="H1897">SUM(IF(INSTOCK!$H$3:$H$6125=B1897,INSTOCK!$I$3:$I$6125))</f>
        <v>5</v>
      </c>
      <c r="I1897" s="50" t="str">
        <f>ARRAY_CONSTRAIN(ARRAYFORMULA(SUM(IF([3]!Table13[ID]=B1897,[3]!Table13[QTY]))), 1, 1)</f>
        <v>#ERROR!</v>
      </c>
      <c r="J1897" s="50" t="str">
        <f>TABLEITEM!$H$3:$H$2749-TABLEITEM!$I$3:$I$2749</f>
        <v>#ERROR!</v>
      </c>
    </row>
    <row r="1898" ht="15.75" customHeight="1">
      <c r="A1898" s="45"/>
      <c r="B1898" s="18" t="s">
        <v>6220</v>
      </c>
      <c r="C1898" s="26"/>
      <c r="D1898" s="18" t="s">
        <v>9460</v>
      </c>
      <c r="E1898" s="56" t="s">
        <v>9459</v>
      </c>
      <c r="F1898" s="57" t="s">
        <v>7173</v>
      </c>
      <c r="G1898" s="49">
        <f t="array" ref="G1898">MAX(IF(INSTOCK!$H$3:$H$6125=B1898,INSTOCK!$K$3:$K$6125))</f>
        <v>23.36</v>
      </c>
      <c r="H1898" s="50">
        <f t="array" ref="H1898">SUM(IF(INSTOCK!$H$3:$H$6125=B1898,INSTOCK!$I$3:$I$6125))</f>
        <v>5</v>
      </c>
      <c r="I1898" s="50" t="str">
        <f>ARRAY_CONSTRAIN(ARRAYFORMULA(SUM(IF([3]!Table13[ID]=B1898,[3]!Table13[QTY]))), 1, 1)</f>
        <v>#ERROR!</v>
      </c>
      <c r="J1898" s="50" t="str">
        <f>TABLEITEM!$H$3:$H$2749-TABLEITEM!$I$3:$I$2749</f>
        <v>#ERROR!</v>
      </c>
    </row>
    <row r="1899" ht="15.75" customHeight="1">
      <c r="A1899" s="45"/>
      <c r="B1899" s="10" t="s">
        <v>4964</v>
      </c>
      <c r="C1899" s="26"/>
      <c r="D1899" s="10" t="s">
        <v>9461</v>
      </c>
      <c r="E1899" s="56"/>
      <c r="F1899" s="57" t="s">
        <v>7173</v>
      </c>
      <c r="G1899" s="49">
        <f t="array" ref="G1899">MAX(IF(INSTOCK!$H$3:$H$6125=B1899,INSTOCK!$K$3:$K$6125))</f>
        <v>25.23</v>
      </c>
      <c r="H1899" s="50">
        <f t="array" ref="H1899">SUM(IF(INSTOCK!$H$3:$H$6125=B1899,INSTOCK!$I$3:$I$6125))</f>
        <v>6</v>
      </c>
      <c r="I1899" s="50" t="str">
        <f>ARRAY_CONSTRAIN(ARRAYFORMULA(SUM(IF([3]!Table13[ID]=B1899,[3]!Table13[QTY]))), 1, 1)</f>
        <v>#ERROR!</v>
      </c>
      <c r="J1899" s="50" t="str">
        <f>TABLEITEM!$H$3:$H$2749-TABLEITEM!$I$3:$I$2749</f>
        <v>#ERROR!</v>
      </c>
    </row>
    <row r="1900" ht="15.75" customHeight="1">
      <c r="A1900" s="45"/>
      <c r="B1900" s="18" t="s">
        <v>4963</v>
      </c>
      <c r="C1900" s="26"/>
      <c r="D1900" s="18" t="s">
        <v>9462</v>
      </c>
      <c r="E1900" s="56"/>
      <c r="F1900" s="57" t="s">
        <v>7173</v>
      </c>
      <c r="G1900" s="49">
        <f t="array" ref="G1900">MAX(IF(INSTOCK!$H$3:$H$6125=B1900,INSTOCK!$K$3:$K$6125))</f>
        <v>25.23</v>
      </c>
      <c r="H1900" s="50">
        <f t="array" ref="H1900">SUM(IF(INSTOCK!$H$3:$H$6125=B1900,INSTOCK!$I$3:$I$6125))</f>
        <v>6</v>
      </c>
      <c r="I1900" s="50" t="str">
        <f>ARRAY_CONSTRAIN(ARRAYFORMULA(SUM(IF([3]!Table13[ID]=B1900,[3]!Table13[QTY]))), 1, 1)</f>
        <v>#ERROR!</v>
      </c>
      <c r="J1900" s="50" t="str">
        <f>TABLEITEM!$H$3:$H$2749-TABLEITEM!$I$3:$I$2749</f>
        <v>#ERROR!</v>
      </c>
    </row>
    <row r="1901" ht="15.75" customHeight="1">
      <c r="A1901" s="45"/>
      <c r="B1901" s="18" t="s">
        <v>4177</v>
      </c>
      <c r="C1901" s="26"/>
      <c r="D1901" s="18" t="s">
        <v>9463</v>
      </c>
      <c r="E1901" s="56"/>
      <c r="F1901" s="57" t="s">
        <v>7173</v>
      </c>
      <c r="G1901" s="49">
        <f t="array" ref="G1901">MAX(IF(INSTOCK!$H$3:$H$6125=B1901,INSTOCK!$K$3:$K$6125))</f>
        <v>12</v>
      </c>
      <c r="H1901" s="50">
        <f t="array" ref="H1901">SUM(IF(INSTOCK!$H$3:$H$6125=B1901,INSTOCK!$I$3:$I$6125))</f>
        <v>10</v>
      </c>
      <c r="I1901" s="50" t="str">
        <f>ARRAY_CONSTRAIN(ARRAYFORMULA(SUM(IF([3]!Table13[ID]=B1901,[3]!Table13[QTY]))), 1, 1)</f>
        <v>#ERROR!</v>
      </c>
      <c r="J1901" s="50" t="str">
        <f>TABLEITEM!$H$3:$H$2749-TABLEITEM!$I$3:$I$2749</f>
        <v>#ERROR!</v>
      </c>
    </row>
    <row r="1902" ht="15.75" customHeight="1">
      <c r="A1902" s="45"/>
      <c r="B1902" s="10" t="s">
        <v>4182</v>
      </c>
      <c r="C1902" s="26"/>
      <c r="D1902" s="10" t="s">
        <v>9464</v>
      </c>
      <c r="E1902" s="48"/>
      <c r="F1902" s="57" t="s">
        <v>7173</v>
      </c>
      <c r="G1902" s="49">
        <f t="array" ref="G1902">MAX(IF(INSTOCK!$H$3:$H$6125=B1902,INSTOCK!$K$3:$K$6125))</f>
        <v>540</v>
      </c>
      <c r="H1902" s="50">
        <f t="array" ref="H1902">SUM(IF(INSTOCK!$H$3:$H$6125=B1902,INSTOCK!$I$3:$I$6125))</f>
        <v>3</v>
      </c>
      <c r="I1902" s="50" t="str">
        <f>ARRAY_CONSTRAIN(ARRAYFORMULA(SUM(IF([3]!Table13[ID]=B1902,[3]!Table13[QTY]))), 1, 1)</f>
        <v>#ERROR!</v>
      </c>
      <c r="J1902" s="50" t="str">
        <f>TABLEITEM!$H$3:$H$2749-TABLEITEM!$I$3:$I$2749</f>
        <v>#ERROR!</v>
      </c>
    </row>
    <row r="1903" ht="15.75" customHeight="1">
      <c r="A1903" s="45"/>
      <c r="B1903" s="10" t="s">
        <v>4183</v>
      </c>
      <c r="C1903" s="26"/>
      <c r="D1903" s="10" t="s">
        <v>9465</v>
      </c>
      <c r="E1903" s="48"/>
      <c r="F1903" s="57" t="s">
        <v>7173</v>
      </c>
      <c r="G1903" s="49">
        <f t="array" ref="G1903">MAX(IF(INSTOCK!$H$3:$H$6125=B1903,INSTOCK!$K$3:$K$6125))</f>
        <v>160</v>
      </c>
      <c r="H1903" s="50">
        <f t="array" ref="H1903">SUM(IF(INSTOCK!$H$3:$H$6125=B1903,INSTOCK!$I$3:$I$6125))</f>
        <v>3</v>
      </c>
      <c r="I1903" s="50" t="str">
        <f>ARRAY_CONSTRAIN(ARRAYFORMULA(SUM(IF([3]!Table13[ID]=B1903,[3]!Table13[QTY]))), 1, 1)</f>
        <v>#ERROR!</v>
      </c>
      <c r="J1903" s="50" t="str">
        <f>TABLEITEM!$H$3:$H$2749-TABLEITEM!$I$3:$I$2749</f>
        <v>#ERROR!</v>
      </c>
    </row>
    <row r="1904" ht="15.75" customHeight="1">
      <c r="A1904" s="45"/>
      <c r="B1904" s="10" t="s">
        <v>4184</v>
      </c>
      <c r="C1904" s="26"/>
      <c r="D1904" s="10" t="s">
        <v>9466</v>
      </c>
      <c r="E1904" s="48"/>
      <c r="F1904" s="57" t="s">
        <v>7173</v>
      </c>
      <c r="G1904" s="49">
        <f t="array" ref="G1904">MAX(IF(INSTOCK!$H$3:$H$6125=B1904,INSTOCK!$K$3:$K$6125))</f>
        <v>150</v>
      </c>
      <c r="H1904" s="50">
        <f t="array" ref="H1904">SUM(IF(INSTOCK!$H$3:$H$6125=B1904,INSTOCK!$I$3:$I$6125))</f>
        <v>3</v>
      </c>
      <c r="I1904" s="50" t="str">
        <f>ARRAY_CONSTRAIN(ARRAYFORMULA(SUM(IF([3]!Table13[ID]=B1904,[3]!Table13[QTY]))), 1, 1)</f>
        <v>#ERROR!</v>
      </c>
      <c r="J1904" s="50" t="str">
        <f>TABLEITEM!$H$3:$H$2749-TABLEITEM!$I$3:$I$2749</f>
        <v>#ERROR!</v>
      </c>
    </row>
    <row r="1905" ht="15.75" customHeight="1">
      <c r="A1905" s="45"/>
      <c r="B1905" s="10" t="s">
        <v>4185</v>
      </c>
      <c r="C1905" s="26"/>
      <c r="D1905" s="10" t="s">
        <v>9467</v>
      </c>
      <c r="E1905" s="48"/>
      <c r="F1905" s="57" t="s">
        <v>7173</v>
      </c>
      <c r="G1905" s="49">
        <f t="array" ref="G1905">MAX(IF(INSTOCK!$H$3:$H$6125=B1905,INSTOCK!$K$3:$K$6125))</f>
        <v>562</v>
      </c>
      <c r="H1905" s="50">
        <f t="array" ref="H1905">SUM(IF(INSTOCK!$H$3:$H$6125=B1905,INSTOCK!$I$3:$I$6125))</f>
        <v>5</v>
      </c>
      <c r="I1905" s="50" t="str">
        <f>ARRAY_CONSTRAIN(ARRAYFORMULA(SUM(IF([3]!Table13[ID]=B1905,[3]!Table13[QTY]))), 1, 1)</f>
        <v>#ERROR!</v>
      </c>
      <c r="J1905" s="50" t="str">
        <f>TABLEITEM!$H$3:$H$2749-TABLEITEM!$I$3:$I$2749</f>
        <v>#ERROR!</v>
      </c>
    </row>
    <row r="1906" ht="15.75" customHeight="1">
      <c r="A1906" s="45"/>
      <c r="B1906" s="10" t="s">
        <v>4186</v>
      </c>
      <c r="C1906" s="26"/>
      <c r="D1906" s="10" t="s">
        <v>9468</v>
      </c>
      <c r="E1906" s="48"/>
      <c r="F1906" s="57" t="s">
        <v>7173</v>
      </c>
      <c r="G1906" s="49">
        <f t="array" ref="G1906">MAX(IF(INSTOCK!$H$3:$H$6125=B1906,INSTOCK!$K$3:$K$6125))</f>
        <v>610</v>
      </c>
      <c r="H1906" s="50">
        <f t="array" ref="H1906">SUM(IF(INSTOCK!$H$3:$H$6125=B1906,INSTOCK!$I$3:$I$6125))</f>
        <v>3</v>
      </c>
      <c r="I1906" s="50" t="str">
        <f>ARRAY_CONSTRAIN(ARRAYFORMULA(SUM(IF([3]!Table13[ID]=B1906,[3]!Table13[QTY]))), 1, 1)</f>
        <v>#ERROR!</v>
      </c>
      <c r="J1906" s="50" t="str">
        <f>TABLEITEM!$H$3:$H$2749-TABLEITEM!$I$3:$I$2749</f>
        <v>#ERROR!</v>
      </c>
    </row>
    <row r="1907" ht="15.75" customHeight="1">
      <c r="A1907" s="45"/>
      <c r="B1907" s="10" t="s">
        <v>4187</v>
      </c>
      <c r="C1907" s="26"/>
      <c r="D1907" s="10" t="s">
        <v>9469</v>
      </c>
      <c r="E1907" s="48"/>
      <c r="F1907" s="57" t="s">
        <v>7173</v>
      </c>
      <c r="G1907" s="49">
        <f t="array" ref="G1907">MAX(IF(INSTOCK!$H$3:$H$6125=B1907,INSTOCK!$K$3:$K$6125))</f>
        <v>233</v>
      </c>
      <c r="H1907" s="50">
        <f t="array" ref="H1907">SUM(IF(INSTOCK!$H$3:$H$6125=B1907,INSTOCK!$I$3:$I$6125))</f>
        <v>5</v>
      </c>
      <c r="I1907" s="50" t="str">
        <f>ARRAY_CONSTRAIN(ARRAYFORMULA(SUM(IF([3]!Table13[ID]=B1907,[3]!Table13[QTY]))), 1, 1)</f>
        <v>#ERROR!</v>
      </c>
      <c r="J1907" s="50" t="str">
        <f>TABLEITEM!$H$3:$H$2749-TABLEITEM!$I$3:$I$2749</f>
        <v>#ERROR!</v>
      </c>
    </row>
    <row r="1908" ht="15.75" customHeight="1">
      <c r="A1908" s="45"/>
      <c r="B1908" s="10" t="s">
        <v>4188</v>
      </c>
      <c r="C1908" s="26"/>
      <c r="D1908" s="10" t="s">
        <v>9470</v>
      </c>
      <c r="E1908" s="48"/>
      <c r="F1908" s="57" t="s">
        <v>7173</v>
      </c>
      <c r="G1908" s="49">
        <f t="array" ref="G1908">MAX(IF(INSTOCK!$H$3:$H$6125=B1908,INSTOCK!$K$3:$K$6125))</f>
        <v>1645</v>
      </c>
      <c r="H1908" s="50">
        <f t="array" ref="H1908">SUM(IF(INSTOCK!$H$3:$H$6125=B1908,INSTOCK!$I$3:$I$6125))</f>
        <v>1</v>
      </c>
      <c r="I1908" s="50" t="str">
        <f>ARRAY_CONSTRAIN(ARRAYFORMULA(SUM(IF([3]!Table13[ID]=B1908,[3]!Table13[QTY]))), 1, 1)</f>
        <v>#ERROR!</v>
      </c>
      <c r="J1908" s="50" t="str">
        <f>TABLEITEM!$H$3:$H$2749-TABLEITEM!$I$3:$I$2749</f>
        <v>#ERROR!</v>
      </c>
    </row>
    <row r="1909" ht="15.75" customHeight="1">
      <c r="A1909" s="45"/>
      <c r="B1909" s="18" t="s">
        <v>4189</v>
      </c>
      <c r="C1909" s="26"/>
      <c r="D1909" s="18" t="s">
        <v>9471</v>
      </c>
      <c r="E1909" s="56"/>
      <c r="F1909" s="57" t="s">
        <v>7173</v>
      </c>
      <c r="G1909" s="49">
        <f t="array" ref="G1909">MAX(IF(INSTOCK!$H$3:$H$6125=B1909,INSTOCK!$K$3:$K$6125))</f>
        <v>0</v>
      </c>
      <c r="H1909" s="50">
        <f t="array" ref="H1909">SUM(IF(INSTOCK!$H$3:$H$6125=B1909,INSTOCK!$I$3:$I$6125))</f>
        <v>120</v>
      </c>
      <c r="I1909" s="50" t="str">
        <f>ARRAY_CONSTRAIN(ARRAYFORMULA(SUM(IF([3]!Table13[ID]=B1909,[3]!Table13[QTY]))), 1, 1)</f>
        <v>#ERROR!</v>
      </c>
      <c r="J1909" s="50" t="str">
        <f>TABLEITEM!$H$3:$H$2749-TABLEITEM!$I$3:$I$2749</f>
        <v>#ERROR!</v>
      </c>
    </row>
    <row r="1910" ht="15.75" customHeight="1">
      <c r="A1910" s="45"/>
      <c r="B1910" s="18" t="s">
        <v>4195</v>
      </c>
      <c r="C1910" s="26"/>
      <c r="D1910" s="18" t="s">
        <v>9472</v>
      </c>
      <c r="E1910" s="56" t="s">
        <v>9473</v>
      </c>
      <c r="F1910" s="57" t="s">
        <v>7173</v>
      </c>
      <c r="G1910" s="49">
        <f t="array" ref="G1910">MAX(IF(INSTOCK!$H$3:$H$6125=B1910,INSTOCK!$K$3:$K$6125))</f>
        <v>20</v>
      </c>
      <c r="H1910" s="50">
        <f t="array" ref="H1910">SUM(IF(INSTOCK!$H$3:$H$6125=B1910,INSTOCK!$I$3:$I$6125))</f>
        <v>100</v>
      </c>
      <c r="I1910" s="50" t="str">
        <f>ARRAY_CONSTRAIN(ARRAYFORMULA(SUM(IF([3]!Table13[ID]=B1910,[3]!Table13[QTY]))), 1, 1)</f>
        <v>#ERROR!</v>
      </c>
      <c r="J1910" s="50" t="str">
        <f>TABLEITEM!$H$3:$H$2749-TABLEITEM!$I$3:$I$2749</f>
        <v>#ERROR!</v>
      </c>
    </row>
    <row r="1911" ht="15.75" customHeight="1">
      <c r="A1911" s="45"/>
      <c r="B1911" s="10" t="s">
        <v>4198</v>
      </c>
      <c r="C1911" s="26"/>
      <c r="D1911" s="10" t="s">
        <v>9474</v>
      </c>
      <c r="E1911" s="48" t="s">
        <v>1504</v>
      </c>
      <c r="F1911" s="57" t="s">
        <v>7173</v>
      </c>
      <c r="G1911" s="49">
        <f t="array" ref="G1911">MAX(IF(INSTOCK!$H$3:$H$6125=B1911,INSTOCK!$K$3:$K$6125))</f>
        <v>1200</v>
      </c>
      <c r="H1911" s="50">
        <f t="array" ref="H1911">SUM(IF(INSTOCK!$H$3:$H$6125=B1911,INSTOCK!$I$3:$I$6125))</f>
        <v>1</v>
      </c>
      <c r="I1911" s="50" t="str">
        <f>ARRAY_CONSTRAIN(ARRAYFORMULA(SUM(IF([3]!Table13[ID]=B1911,[3]!Table13[QTY]))), 1, 1)</f>
        <v>#ERROR!</v>
      </c>
      <c r="J1911" s="50" t="str">
        <f>TABLEITEM!$H$3:$H$2749-TABLEITEM!$I$3:$I$2749</f>
        <v>#ERROR!</v>
      </c>
    </row>
    <row r="1912" ht="15.75" customHeight="1">
      <c r="A1912" s="45"/>
      <c r="B1912" s="10" t="s">
        <v>4199</v>
      </c>
      <c r="C1912" s="26"/>
      <c r="D1912" s="10" t="s">
        <v>9475</v>
      </c>
      <c r="E1912" s="48" t="s">
        <v>1504</v>
      </c>
      <c r="F1912" s="57" t="s">
        <v>7173</v>
      </c>
      <c r="G1912" s="49">
        <f t="array" ref="G1912">MAX(IF(INSTOCK!$H$3:$H$6125=B1912,INSTOCK!$K$3:$K$6125))</f>
        <v>1560</v>
      </c>
      <c r="H1912" s="50">
        <f t="array" ref="H1912">SUM(IF(INSTOCK!$H$3:$H$6125=B1912,INSTOCK!$I$3:$I$6125))</f>
        <v>2</v>
      </c>
      <c r="I1912" s="50" t="str">
        <f>ARRAY_CONSTRAIN(ARRAYFORMULA(SUM(IF([3]!Table13[ID]=B1912,[3]!Table13[QTY]))), 1, 1)</f>
        <v>#ERROR!</v>
      </c>
      <c r="J1912" s="50" t="str">
        <f>TABLEITEM!$H$3:$H$2749-TABLEITEM!$I$3:$I$2749</f>
        <v>#ERROR!</v>
      </c>
    </row>
    <row r="1913" ht="15.75" customHeight="1">
      <c r="A1913" s="45"/>
      <c r="B1913" s="10" t="s">
        <v>4201</v>
      </c>
      <c r="C1913" s="26"/>
      <c r="D1913" s="10" t="s">
        <v>9476</v>
      </c>
      <c r="E1913" s="48" t="s">
        <v>1504</v>
      </c>
      <c r="F1913" s="57" t="s">
        <v>7173</v>
      </c>
      <c r="G1913" s="49">
        <f t="array" ref="G1913">MAX(IF(INSTOCK!$H$3:$H$6125=B1913,INSTOCK!$K$3:$K$6125))</f>
        <v>2000</v>
      </c>
      <c r="H1913" s="50">
        <f t="array" ref="H1913">SUM(IF(INSTOCK!$H$3:$H$6125=B1913,INSTOCK!$I$3:$I$6125))</f>
        <v>2</v>
      </c>
      <c r="I1913" s="50" t="str">
        <f>ARRAY_CONSTRAIN(ARRAYFORMULA(SUM(IF([3]!Table13[ID]=B1913,[3]!Table13[QTY]))), 1, 1)</f>
        <v>#ERROR!</v>
      </c>
      <c r="J1913" s="50" t="str">
        <f>TABLEITEM!$H$3:$H$2749-TABLEITEM!$I$3:$I$2749</f>
        <v>#ERROR!</v>
      </c>
    </row>
    <row r="1914" ht="15.75" customHeight="1">
      <c r="A1914" s="45"/>
      <c r="B1914" s="10" t="s">
        <v>4203</v>
      </c>
      <c r="C1914" s="26"/>
      <c r="D1914" s="10" t="s">
        <v>9477</v>
      </c>
      <c r="E1914" s="48" t="s">
        <v>1504</v>
      </c>
      <c r="F1914" s="57" t="s">
        <v>7173</v>
      </c>
      <c r="G1914" s="49">
        <f t="array" ref="G1914">MAX(IF(INSTOCK!$H$3:$H$6125=B1914,INSTOCK!$K$3:$K$6125))</f>
        <v>6600</v>
      </c>
      <c r="H1914" s="50">
        <f t="array" ref="H1914">SUM(IF(INSTOCK!$H$3:$H$6125=B1914,INSTOCK!$I$3:$I$6125))</f>
        <v>1</v>
      </c>
      <c r="I1914" s="50" t="str">
        <f>ARRAY_CONSTRAIN(ARRAYFORMULA(SUM(IF([3]!Table13[ID]=B1914,[3]!Table13[QTY]))), 1, 1)</f>
        <v>#ERROR!</v>
      </c>
      <c r="J1914" s="50" t="str">
        <f>TABLEITEM!$H$3:$H$2749-TABLEITEM!$I$3:$I$2749</f>
        <v>#ERROR!</v>
      </c>
    </row>
    <row r="1915" ht="15.75" customHeight="1">
      <c r="A1915" s="45"/>
      <c r="B1915" s="18" t="s">
        <v>4205</v>
      </c>
      <c r="C1915" s="26"/>
      <c r="D1915" s="18" t="s">
        <v>9478</v>
      </c>
      <c r="E1915" s="48" t="s">
        <v>1504</v>
      </c>
      <c r="F1915" s="57" t="s">
        <v>7173</v>
      </c>
      <c r="G1915" s="49">
        <f t="array" ref="G1915">MAX(IF(INSTOCK!$H$3:$H$6125=B1915,INSTOCK!$K$3:$K$6125))</f>
        <v>6000</v>
      </c>
      <c r="H1915" s="50">
        <f t="array" ref="H1915">SUM(IF(INSTOCK!$H$3:$H$6125=B1915,INSTOCK!$I$3:$I$6125))</f>
        <v>2</v>
      </c>
      <c r="I1915" s="50" t="str">
        <f>ARRAY_CONSTRAIN(ARRAYFORMULA(SUM(IF([3]!Table13[ID]=B1915,[3]!Table13[QTY]))), 1, 1)</f>
        <v>#ERROR!</v>
      </c>
      <c r="J1915" s="50" t="str">
        <f>TABLEITEM!$H$3:$H$2749-TABLEITEM!$I$3:$I$2749</f>
        <v>#ERROR!</v>
      </c>
    </row>
    <row r="1916" ht="15.75" customHeight="1">
      <c r="A1916" s="45"/>
      <c r="B1916" s="18" t="s">
        <v>4208</v>
      </c>
      <c r="C1916" s="26"/>
      <c r="D1916" s="18" t="s">
        <v>9479</v>
      </c>
      <c r="E1916" s="56"/>
      <c r="F1916" s="57" t="s">
        <v>7173</v>
      </c>
      <c r="G1916" s="49">
        <f t="array" ref="G1916">MAX(IF(INSTOCK!$H$3:$H$6125=B1916,INSTOCK!$K$3:$K$6125))</f>
        <v>20</v>
      </c>
      <c r="H1916" s="50">
        <f t="array" ref="H1916">SUM(IF(INSTOCK!$H$3:$H$6125=B1916,INSTOCK!$I$3:$I$6125))</f>
        <v>16</v>
      </c>
      <c r="I1916" s="50" t="str">
        <f>ARRAY_CONSTRAIN(ARRAYFORMULA(SUM(IF([3]!Table13[ID]=B1916,[3]!Table13[QTY]))), 1, 1)</f>
        <v>#ERROR!</v>
      </c>
      <c r="J1916" s="50" t="str">
        <f>TABLEITEM!$H$3:$H$2749-TABLEITEM!$I$3:$I$2749</f>
        <v>#ERROR!</v>
      </c>
    </row>
    <row r="1917" ht="15.75" customHeight="1">
      <c r="A1917" s="45"/>
      <c r="B1917" s="18" t="s">
        <v>9480</v>
      </c>
      <c r="C1917" s="26"/>
      <c r="D1917" s="18" t="s">
        <v>9481</v>
      </c>
      <c r="E1917" s="56"/>
      <c r="F1917" s="57" t="s">
        <v>7173</v>
      </c>
      <c r="G1917" s="49">
        <f t="array" ref="G1917">MAX(IF(INSTOCK!$H$3:$H$6125=B1917,INSTOCK!$K$3:$K$6125))</f>
        <v>0</v>
      </c>
      <c r="H1917" s="50">
        <f t="array" ref="H1917">SUM(IF(INSTOCK!$H$3:$H$6125=B1917,INSTOCK!$I$3:$I$6125))</f>
        <v>0</v>
      </c>
      <c r="I1917" s="50" t="str">
        <f>ARRAY_CONSTRAIN(ARRAYFORMULA(SUM(IF([3]!Table13[ID]=B1917,[3]!Table13[QTY]))), 1, 1)</f>
        <v>#ERROR!</v>
      </c>
      <c r="J1917" s="50" t="str">
        <f>TABLEITEM!$H$3:$H$2749-TABLEITEM!$I$3:$I$2749</f>
        <v>#ERROR!</v>
      </c>
    </row>
    <row r="1918" ht="15.75" customHeight="1">
      <c r="A1918" s="45"/>
      <c r="B1918" s="18" t="s">
        <v>4212</v>
      </c>
      <c r="C1918" s="26"/>
      <c r="D1918" s="18" t="s">
        <v>9482</v>
      </c>
      <c r="E1918" s="56" t="s">
        <v>1487</v>
      </c>
      <c r="F1918" s="57" t="s">
        <v>7173</v>
      </c>
      <c r="G1918" s="49">
        <f t="array" ref="G1918">MAX(IF(INSTOCK!$H$3:$H$6125=B1918,INSTOCK!$K$3:$K$6125))</f>
        <v>1425.6</v>
      </c>
      <c r="H1918" s="50">
        <f t="array" ref="H1918">SUM(IF(INSTOCK!$H$3:$H$6125=B1918,INSTOCK!$I$3:$I$6125))</f>
        <v>2</v>
      </c>
      <c r="I1918" s="50" t="str">
        <f>ARRAY_CONSTRAIN(ARRAYFORMULA(SUM(IF([3]!Table13[ID]=B1918,[3]!Table13[QTY]))), 1, 1)</f>
        <v>#ERROR!</v>
      </c>
      <c r="J1918" s="50" t="str">
        <f>TABLEITEM!$H$3:$H$2749-TABLEITEM!$I$3:$I$2749</f>
        <v>#ERROR!</v>
      </c>
    </row>
    <row r="1919" ht="15.75" customHeight="1">
      <c r="A1919" s="45"/>
      <c r="B1919" s="18" t="s">
        <v>4216</v>
      </c>
      <c r="C1919" s="26"/>
      <c r="D1919" s="18" t="s">
        <v>9483</v>
      </c>
      <c r="E1919" s="56" t="s">
        <v>1601</v>
      </c>
      <c r="F1919" s="57" t="s">
        <v>7173</v>
      </c>
      <c r="G1919" s="49">
        <f t="array" ref="G1919">MAX(IF(INSTOCK!$H$3:$H$6125=B1919,INSTOCK!$K$3:$K$6125))</f>
        <v>174.5633</v>
      </c>
      <c r="H1919" s="50">
        <f t="array" ref="H1919">SUM(IF(INSTOCK!$H$3:$H$6125=B1919,INSTOCK!$I$3:$I$6125))</f>
        <v>6</v>
      </c>
      <c r="I1919" s="50" t="str">
        <f>ARRAY_CONSTRAIN(ARRAYFORMULA(SUM(IF([3]!Table13[ID]=B1919,[3]!Table13[QTY]))), 1, 1)</f>
        <v>#ERROR!</v>
      </c>
      <c r="J1919" s="50" t="str">
        <f>TABLEITEM!$H$3:$H$2749-TABLEITEM!$I$3:$I$2749</f>
        <v>#ERROR!</v>
      </c>
    </row>
    <row r="1920" ht="15.75" customHeight="1">
      <c r="A1920" s="45"/>
      <c r="B1920" s="18" t="s">
        <v>4221</v>
      </c>
      <c r="C1920" s="26"/>
      <c r="D1920" s="18" t="s">
        <v>9484</v>
      </c>
      <c r="E1920" s="56"/>
      <c r="F1920" s="57" t="s">
        <v>7173</v>
      </c>
      <c r="G1920" s="49">
        <f t="array" ref="G1920">MAX(IF(INSTOCK!$H$3:$H$6125=B1920,INSTOCK!$K$3:$K$6125))</f>
        <v>0.38</v>
      </c>
      <c r="H1920" s="50">
        <f t="array" ref="H1920">SUM(IF(INSTOCK!$H$3:$H$6125=B1920,INSTOCK!$I$3:$I$6125))</f>
        <v>5000</v>
      </c>
      <c r="I1920" s="50" t="str">
        <f>ARRAY_CONSTRAIN(ARRAYFORMULA(SUM(IF([3]!Table13[ID]=B1920,[3]!Table13[QTY]))), 1, 1)</f>
        <v>#ERROR!</v>
      </c>
      <c r="J1920" s="50" t="str">
        <f>TABLEITEM!$H$3:$H$2749-TABLEITEM!$I$3:$I$2749</f>
        <v>#ERROR!</v>
      </c>
    </row>
    <row r="1921" ht="15.75" customHeight="1">
      <c r="A1921" s="45"/>
      <c r="B1921" s="10" t="s">
        <v>4223</v>
      </c>
      <c r="C1921" s="26"/>
      <c r="D1921" s="18" t="s">
        <v>9485</v>
      </c>
      <c r="E1921" s="56" t="s">
        <v>1819</v>
      </c>
      <c r="F1921" s="57" t="s">
        <v>7173</v>
      </c>
      <c r="G1921" s="49">
        <f t="array" ref="G1921">MAX(IF(INSTOCK!$H$3:$H$6125=B1921,INSTOCK!$K$3:$K$6125))</f>
        <v>48</v>
      </c>
      <c r="H1921" s="50">
        <f t="array" ref="H1921">SUM(IF(INSTOCK!$H$3:$H$6125=B1921,INSTOCK!$I$3:$I$6125))</f>
        <v>1</v>
      </c>
      <c r="I1921" s="50" t="str">
        <f>ARRAY_CONSTRAIN(ARRAYFORMULA(SUM(IF([3]!Table13[ID]=B1921,[3]!Table13[QTY]))), 1, 1)</f>
        <v>#ERROR!</v>
      </c>
      <c r="J1921" s="50" t="str">
        <f>TABLEITEM!$H$3:$H$2749-TABLEITEM!$I$3:$I$2749</f>
        <v>#ERROR!</v>
      </c>
    </row>
    <row r="1922" ht="15.75" customHeight="1">
      <c r="A1922" s="45"/>
      <c r="B1922" s="10" t="s">
        <v>4225</v>
      </c>
      <c r="C1922" s="26"/>
      <c r="D1922" s="10" t="s">
        <v>9486</v>
      </c>
      <c r="E1922" s="56" t="s">
        <v>1819</v>
      </c>
      <c r="F1922" s="57" t="s">
        <v>7173</v>
      </c>
      <c r="G1922" s="49">
        <f t="array" ref="G1922">MAX(IF(INSTOCK!$H$3:$H$6125=B1922,INSTOCK!$K$3:$K$6125))</f>
        <v>2160</v>
      </c>
      <c r="H1922" s="50">
        <f t="array" ref="H1922">SUM(IF(INSTOCK!$H$3:$H$6125=B1922,INSTOCK!$I$3:$I$6125))</f>
        <v>1</v>
      </c>
      <c r="I1922" s="50" t="str">
        <f>ARRAY_CONSTRAIN(ARRAYFORMULA(SUM(IF([3]!Table13[ID]=B1922,[3]!Table13[QTY]))), 1, 1)</f>
        <v>#ERROR!</v>
      </c>
      <c r="J1922" s="50" t="str">
        <f>TABLEITEM!$H$3:$H$2749-TABLEITEM!$I$3:$I$2749</f>
        <v>#ERROR!</v>
      </c>
    </row>
    <row r="1923" ht="15.75" customHeight="1">
      <c r="A1923" s="45"/>
      <c r="B1923" s="10" t="s">
        <v>4227</v>
      </c>
      <c r="C1923" s="26"/>
      <c r="D1923" s="10" t="s">
        <v>9487</v>
      </c>
      <c r="E1923" s="56" t="s">
        <v>1819</v>
      </c>
      <c r="F1923" s="57" t="s">
        <v>7173</v>
      </c>
      <c r="G1923" s="49">
        <f t="array" ref="G1923">MAX(IF(INSTOCK!$H$3:$H$6125=B1923,INSTOCK!$K$3:$K$6125))</f>
        <v>2160</v>
      </c>
      <c r="H1923" s="50">
        <f t="array" ref="H1923">SUM(IF(INSTOCK!$H$3:$H$6125=B1923,INSTOCK!$I$3:$I$6125))</f>
        <v>1</v>
      </c>
      <c r="I1923" s="50" t="str">
        <f>ARRAY_CONSTRAIN(ARRAYFORMULA(SUM(IF([3]!Table13[ID]=B1923,[3]!Table13[QTY]))), 1, 1)</f>
        <v>#ERROR!</v>
      </c>
      <c r="J1923" s="50" t="str">
        <f>TABLEITEM!$H$3:$H$2749-TABLEITEM!$I$3:$I$2749</f>
        <v>#ERROR!</v>
      </c>
    </row>
    <row r="1924" ht="15.75" customHeight="1">
      <c r="A1924" s="45"/>
      <c r="B1924" s="18" t="s">
        <v>4228</v>
      </c>
      <c r="C1924" s="26"/>
      <c r="D1924" s="18" t="s">
        <v>9488</v>
      </c>
      <c r="E1924" s="56" t="s">
        <v>1819</v>
      </c>
      <c r="F1924" s="57" t="s">
        <v>7173</v>
      </c>
      <c r="G1924" s="49">
        <f t="array" ref="G1924">MAX(IF(INSTOCK!$H$3:$H$6125=B1924,INSTOCK!$K$3:$K$6125))</f>
        <v>1440</v>
      </c>
      <c r="H1924" s="50">
        <f t="array" ref="H1924">SUM(IF(INSTOCK!$H$3:$H$6125=B1924,INSTOCK!$I$3:$I$6125))</f>
        <v>1</v>
      </c>
      <c r="I1924" s="50" t="str">
        <f>ARRAY_CONSTRAIN(ARRAYFORMULA(SUM(IF([3]!Table13[ID]=B1924,[3]!Table13[QTY]))), 1, 1)</f>
        <v>#ERROR!</v>
      </c>
      <c r="J1924" s="50" t="str">
        <f>TABLEITEM!$H$3:$H$2749-TABLEITEM!$I$3:$I$2749</f>
        <v>#ERROR!</v>
      </c>
    </row>
    <row r="1925" ht="15.75" customHeight="1">
      <c r="A1925" s="45"/>
      <c r="B1925" s="10" t="s">
        <v>4233</v>
      </c>
      <c r="C1925" s="26"/>
      <c r="D1925" s="18" t="s">
        <v>9489</v>
      </c>
      <c r="E1925" s="56" t="s">
        <v>7188</v>
      </c>
      <c r="F1925" s="57" t="s">
        <v>7173</v>
      </c>
      <c r="G1925" s="49">
        <f t="array" ref="G1925">MAX(IF(INSTOCK!$H$3:$H$6125=B1925,INSTOCK!$K$3:$K$6125))</f>
        <v>5386.5</v>
      </c>
      <c r="H1925" s="50">
        <f t="array" ref="H1925">SUM(IF(INSTOCK!$H$3:$H$6125=B1925,INSTOCK!$I$3:$I$6125))</f>
        <v>1</v>
      </c>
      <c r="I1925" s="50" t="str">
        <f>ARRAY_CONSTRAIN(ARRAYFORMULA(SUM(IF([3]!Table13[ID]=B1925,[3]!Table13[QTY]))), 1, 1)</f>
        <v>#ERROR!</v>
      </c>
      <c r="J1925" s="50" t="str">
        <f>TABLEITEM!$H$3:$H$2749-TABLEITEM!$I$3:$I$2749</f>
        <v>#ERROR!</v>
      </c>
    </row>
    <row r="1926" ht="15.75" customHeight="1">
      <c r="A1926" s="45"/>
      <c r="B1926" s="18" t="s">
        <v>4237</v>
      </c>
      <c r="C1926" s="26"/>
      <c r="D1926" s="18" t="s">
        <v>9490</v>
      </c>
      <c r="E1926" s="56" t="s">
        <v>1504</v>
      </c>
      <c r="F1926" s="57" t="s">
        <v>7173</v>
      </c>
      <c r="G1926" s="49">
        <f t="array" ref="G1926">MAX(IF(INSTOCK!$H$3:$H$6125=B1926,INSTOCK!$K$3:$K$6125))</f>
        <v>1320</v>
      </c>
      <c r="H1926" s="50">
        <f t="array" ref="H1926">SUM(IF(INSTOCK!$H$3:$H$6125=B1926,INSTOCK!$I$3:$I$6125))</f>
        <v>1</v>
      </c>
      <c r="I1926" s="50" t="str">
        <f>ARRAY_CONSTRAIN(ARRAYFORMULA(SUM(IF([3]!Table13[ID]=B1926,[3]!Table13[QTY]))), 1, 1)</f>
        <v>#ERROR!</v>
      </c>
      <c r="J1926" s="50" t="str">
        <f>TABLEITEM!$H$3:$H$2749-TABLEITEM!$I$3:$I$2749</f>
        <v>#ERROR!</v>
      </c>
    </row>
    <row r="1927" ht="15.75" customHeight="1">
      <c r="A1927" s="45"/>
      <c r="B1927" s="10" t="s">
        <v>4240</v>
      </c>
      <c r="C1927" s="26"/>
      <c r="D1927" s="10" t="s">
        <v>9491</v>
      </c>
      <c r="E1927" s="48" t="s">
        <v>9492</v>
      </c>
      <c r="F1927" s="57" t="s">
        <v>7173</v>
      </c>
      <c r="G1927" s="49">
        <f t="array" ref="G1927">MAX(IF(INSTOCK!$H$3:$H$6125=B1927,INSTOCK!$K$3:$K$6125))</f>
        <v>120</v>
      </c>
      <c r="H1927" s="50">
        <f t="array" ref="H1927">SUM(IF(INSTOCK!$H$3:$H$6125=B1927,INSTOCK!$I$3:$I$6125))</f>
        <v>36</v>
      </c>
      <c r="I1927" s="50" t="str">
        <f>ARRAY_CONSTRAIN(ARRAYFORMULA(SUM(IF([3]!Table13[ID]=B1927,[3]!Table13[QTY]))), 1, 1)</f>
        <v>#ERROR!</v>
      </c>
      <c r="J1927" s="50" t="str">
        <f>TABLEITEM!$H$3:$H$2749-TABLEITEM!$I$3:$I$2749</f>
        <v>#ERROR!</v>
      </c>
    </row>
    <row r="1928" ht="15.75" customHeight="1">
      <c r="A1928" s="45"/>
      <c r="B1928" s="18" t="s">
        <v>4242</v>
      </c>
      <c r="C1928" s="26"/>
      <c r="D1928" s="18" t="s">
        <v>9493</v>
      </c>
      <c r="E1928" s="48" t="s">
        <v>9492</v>
      </c>
      <c r="F1928" s="57" t="s">
        <v>7173</v>
      </c>
      <c r="G1928" s="49">
        <f t="array" ref="G1928">MAX(IF(INSTOCK!$H$3:$H$6125=B1928,INSTOCK!$K$3:$K$6125))</f>
        <v>500</v>
      </c>
      <c r="H1928" s="50">
        <f t="array" ref="H1928">SUM(IF(INSTOCK!$H$3:$H$6125=B1928,INSTOCK!$I$3:$I$6125))</f>
        <v>45</v>
      </c>
      <c r="I1928" s="50" t="str">
        <f>ARRAY_CONSTRAIN(ARRAYFORMULA(SUM(IF([3]!Table13[ID]=B1928,[3]!Table13[QTY]))), 1, 1)</f>
        <v>#ERROR!</v>
      </c>
      <c r="J1928" s="50" t="str">
        <f>TABLEITEM!$H$3:$H$2749-TABLEITEM!$I$3:$I$2749</f>
        <v>#ERROR!</v>
      </c>
    </row>
    <row r="1929" ht="15.75" customHeight="1">
      <c r="A1929" s="45"/>
      <c r="B1929" s="10" t="s">
        <v>4261</v>
      </c>
      <c r="C1929" s="26"/>
      <c r="D1929" s="18" t="s">
        <v>9494</v>
      </c>
      <c r="E1929" s="56" t="s">
        <v>9495</v>
      </c>
      <c r="F1929" s="57" t="s">
        <v>7173</v>
      </c>
      <c r="G1929" s="49">
        <f t="array" ref="G1929">MAX(IF(INSTOCK!$H$3:$H$6125=B1929,INSTOCK!$K$3:$K$6125))</f>
        <v>21000</v>
      </c>
      <c r="H1929" s="50">
        <f t="array" ref="H1929">SUM(IF(INSTOCK!$H$3:$H$6125=B1929,INSTOCK!$I$3:$I$6125))</f>
        <v>6</v>
      </c>
      <c r="I1929" s="50" t="str">
        <f>ARRAY_CONSTRAIN(ARRAYFORMULA(SUM(IF([3]!Table13[ID]=B1929,[3]!Table13[QTY]))), 1, 1)</f>
        <v>#ERROR!</v>
      </c>
      <c r="J1929" s="50" t="str">
        <f>TABLEITEM!$H$3:$H$2749-TABLEITEM!$I$3:$I$2749</f>
        <v>#ERROR!</v>
      </c>
    </row>
    <row r="1930" ht="15.75" customHeight="1">
      <c r="A1930" s="45"/>
      <c r="B1930" s="18" t="s">
        <v>4266</v>
      </c>
      <c r="C1930" s="26"/>
      <c r="D1930" s="18" t="s">
        <v>9496</v>
      </c>
      <c r="E1930" s="56" t="s">
        <v>9497</v>
      </c>
      <c r="F1930" s="57" t="s">
        <v>7173</v>
      </c>
      <c r="G1930" s="49">
        <f t="array" ref="G1930">MAX(IF(INSTOCK!$H$3:$H$6125=B1930,INSTOCK!$K$3:$K$6125))</f>
        <v>1400</v>
      </c>
      <c r="H1930" s="50">
        <f t="array" ref="H1930">SUM(IF(INSTOCK!$H$3:$H$6125=B1930,INSTOCK!$I$3:$I$6125))</f>
        <v>10</v>
      </c>
      <c r="I1930" s="50" t="str">
        <f>ARRAY_CONSTRAIN(ARRAYFORMULA(SUM(IF([3]!Table13[ID]=B1930,[3]!Table13[QTY]))), 1, 1)</f>
        <v>#ERROR!</v>
      </c>
      <c r="J1930" s="50" t="str">
        <f>TABLEITEM!$H$3:$H$2749-TABLEITEM!$I$3:$I$2749</f>
        <v>#ERROR!</v>
      </c>
    </row>
    <row r="1931" ht="15.75" customHeight="1">
      <c r="A1931" s="45"/>
      <c r="B1931" s="10" t="s">
        <v>4271</v>
      </c>
      <c r="C1931" s="26"/>
      <c r="D1931" s="18" t="s">
        <v>9498</v>
      </c>
      <c r="E1931" s="56" t="s">
        <v>8649</v>
      </c>
      <c r="F1931" s="57" t="s">
        <v>7173</v>
      </c>
      <c r="G1931" s="49">
        <f t="array" ref="G1931">MAX(IF(INSTOCK!$H$3:$H$6125=B1931,INSTOCK!$K$3:$K$6125))</f>
        <v>100</v>
      </c>
      <c r="H1931" s="50">
        <f t="array" ref="H1931">SUM(IF(INSTOCK!$H$3:$H$6125=B1931,INSTOCK!$I$3:$I$6125))</f>
        <v>2</v>
      </c>
      <c r="I1931" s="50" t="str">
        <f>ARRAY_CONSTRAIN(ARRAYFORMULA(SUM(IF([3]!Table13[ID]=B1931,[3]!Table13[QTY]))), 1, 1)</f>
        <v>#ERROR!</v>
      </c>
      <c r="J1931" s="50" t="str">
        <f>TABLEITEM!$H$3:$H$2749-TABLEITEM!$I$3:$I$2749</f>
        <v>#ERROR!</v>
      </c>
    </row>
    <row r="1932" ht="15.75" customHeight="1">
      <c r="A1932" s="45"/>
      <c r="B1932" s="10" t="s">
        <v>4272</v>
      </c>
      <c r="C1932" s="26"/>
      <c r="D1932" s="10" t="s">
        <v>9499</v>
      </c>
      <c r="E1932" s="48" t="s">
        <v>8203</v>
      </c>
      <c r="F1932" s="57" t="s">
        <v>7173</v>
      </c>
      <c r="G1932" s="49">
        <f t="array" ref="G1932">MAX(IF(INSTOCK!$H$3:$H$6125=B1932,INSTOCK!$K$3:$K$6125))</f>
        <v>41.904</v>
      </c>
      <c r="H1932" s="50">
        <f t="array" ref="H1932">SUM(IF(INSTOCK!$H$3:$H$6125=B1932,INSTOCK!$I$3:$I$6125))</f>
        <v>162</v>
      </c>
      <c r="I1932" s="50" t="str">
        <f>ARRAY_CONSTRAIN(ARRAYFORMULA(SUM(IF([3]!Table13[ID]=B1932,[3]!Table13[QTY]))), 1, 1)</f>
        <v>#ERROR!</v>
      </c>
      <c r="J1932" s="50" t="str">
        <f>TABLEITEM!$H$3:$H$2749-TABLEITEM!$I$3:$I$2749</f>
        <v>#ERROR!</v>
      </c>
    </row>
    <row r="1933" ht="15.75" customHeight="1">
      <c r="A1933" s="45"/>
      <c r="B1933" s="18" t="s">
        <v>4274</v>
      </c>
      <c r="C1933" s="26"/>
      <c r="D1933" s="18" t="s">
        <v>9500</v>
      </c>
      <c r="E1933" s="48" t="s">
        <v>8203</v>
      </c>
      <c r="F1933" s="57" t="s">
        <v>7173</v>
      </c>
      <c r="G1933" s="49">
        <f t="array" ref="G1933">MAX(IF(INSTOCK!$H$3:$H$6125=B1933,INSTOCK!$K$3:$K$6125))</f>
        <v>102.6</v>
      </c>
      <c r="H1933" s="50">
        <f t="array" ref="H1933">SUM(IF(INSTOCK!$H$3:$H$6125=B1933,INSTOCK!$I$3:$I$6125))</f>
        <v>102</v>
      </c>
      <c r="I1933" s="50" t="str">
        <f>ARRAY_CONSTRAIN(ARRAYFORMULA(SUM(IF([3]!Table13[ID]=B1933,[3]!Table13[QTY]))), 1, 1)</f>
        <v>#ERROR!</v>
      </c>
      <c r="J1933" s="50" t="str">
        <f>TABLEITEM!$H$3:$H$2749-TABLEITEM!$I$3:$I$2749</f>
        <v>#ERROR!</v>
      </c>
    </row>
    <row r="1934" ht="15.75" customHeight="1">
      <c r="A1934" s="45"/>
      <c r="B1934" s="10" t="s">
        <v>4277</v>
      </c>
      <c r="C1934" s="26"/>
      <c r="D1934" s="10" t="s">
        <v>9501</v>
      </c>
      <c r="E1934" s="48" t="s">
        <v>8203</v>
      </c>
      <c r="F1934" s="57" t="s">
        <v>7173</v>
      </c>
      <c r="G1934" s="49">
        <f t="array" ref="G1934">MAX(IF(INSTOCK!$H$3:$H$6125=B1934,INSTOCK!$K$3:$K$6125))</f>
        <v>171</v>
      </c>
      <c r="H1934" s="50">
        <f t="array" ref="H1934">SUM(IF(INSTOCK!$H$3:$H$6125=B1934,INSTOCK!$I$3:$I$6125))</f>
        <v>44</v>
      </c>
      <c r="I1934" s="50" t="str">
        <f>ARRAY_CONSTRAIN(ARRAYFORMULA(SUM(IF([3]!Table13[ID]=B1934,[3]!Table13[QTY]))), 1, 1)</f>
        <v>#ERROR!</v>
      </c>
      <c r="J1934" s="50" t="str">
        <f>TABLEITEM!$H$3:$H$2749-TABLEITEM!$I$3:$I$2749</f>
        <v>#ERROR!</v>
      </c>
    </row>
    <row r="1935" ht="15.75" customHeight="1">
      <c r="A1935" s="45"/>
      <c r="B1935" s="18" t="s">
        <v>4279</v>
      </c>
      <c r="C1935" s="26"/>
      <c r="D1935" s="18" t="s">
        <v>9502</v>
      </c>
      <c r="E1935" s="48" t="s">
        <v>8203</v>
      </c>
      <c r="F1935" s="57" t="s">
        <v>7173</v>
      </c>
      <c r="G1935" s="49">
        <f t="array" ref="G1935">MAX(IF(INSTOCK!$H$3:$H$6125=B1935,INSTOCK!$K$3:$K$6125))</f>
        <v>288.8</v>
      </c>
      <c r="H1935" s="50">
        <f t="array" ref="H1935">SUM(IF(INSTOCK!$H$3:$H$6125=B1935,INSTOCK!$I$3:$I$6125))</f>
        <v>42</v>
      </c>
      <c r="I1935" s="50" t="str">
        <f>ARRAY_CONSTRAIN(ARRAYFORMULA(SUM(IF([3]!Table13[ID]=B1935,[3]!Table13[QTY]))), 1, 1)</f>
        <v>#ERROR!</v>
      </c>
      <c r="J1935" s="50" t="str">
        <f>TABLEITEM!$H$3:$H$2749-TABLEITEM!$I$3:$I$2749</f>
        <v>#ERROR!</v>
      </c>
    </row>
    <row r="1936" ht="15.75" customHeight="1">
      <c r="A1936" s="45"/>
      <c r="B1936" s="10" t="s">
        <v>4282</v>
      </c>
      <c r="C1936" s="26"/>
      <c r="D1936" s="10" t="s">
        <v>9503</v>
      </c>
      <c r="E1936" s="48" t="s">
        <v>8203</v>
      </c>
      <c r="F1936" s="57" t="s">
        <v>7173</v>
      </c>
      <c r="G1936" s="49">
        <f t="array" ref="G1936">MAX(IF(INSTOCK!$H$3:$H$6125=B1936,INSTOCK!$K$3:$K$6125))</f>
        <v>34.2</v>
      </c>
      <c r="H1936" s="50">
        <f t="array" ref="H1936">SUM(IF(INSTOCK!$H$3:$H$6125=B1936,INSTOCK!$I$3:$I$6125))</f>
        <v>236</v>
      </c>
      <c r="I1936" s="50" t="str">
        <f>ARRAY_CONSTRAIN(ARRAYFORMULA(SUM(IF([3]!Table13[ID]=B1936,[3]!Table13[QTY]))), 1, 1)</f>
        <v>#ERROR!</v>
      </c>
      <c r="J1936" s="50" t="str">
        <f>TABLEITEM!$H$3:$H$2749-TABLEITEM!$I$3:$I$2749</f>
        <v>#ERROR!</v>
      </c>
    </row>
    <row r="1937" ht="15.75" customHeight="1">
      <c r="A1937" s="45"/>
      <c r="B1937" s="10" t="s">
        <v>4283</v>
      </c>
      <c r="C1937" s="26"/>
      <c r="D1937" s="10" t="s">
        <v>9504</v>
      </c>
      <c r="E1937" s="48" t="s">
        <v>8203</v>
      </c>
      <c r="F1937" s="57" t="s">
        <v>7173</v>
      </c>
      <c r="G1937" s="49">
        <f t="array" ref="G1937">MAX(IF(INSTOCK!$H$3:$H$6125=B1937,INSTOCK!$K$3:$K$6125))</f>
        <v>34.1991</v>
      </c>
      <c r="H1937" s="50">
        <f t="array" ref="H1937">SUM(IF(INSTOCK!$H$3:$H$6125=B1937,INSTOCK!$I$3:$I$6125))</f>
        <v>336</v>
      </c>
      <c r="I1937" s="50" t="str">
        <f>ARRAY_CONSTRAIN(ARRAYFORMULA(SUM(IF([3]!Table13[ID]=B1937,[3]!Table13[QTY]))), 1, 1)</f>
        <v>#ERROR!</v>
      </c>
      <c r="J1937" s="50" t="str">
        <f>TABLEITEM!$H$3:$H$2749-TABLEITEM!$I$3:$I$2749</f>
        <v>#ERROR!</v>
      </c>
    </row>
    <row r="1938" ht="15.75" customHeight="1">
      <c r="A1938" s="45"/>
      <c r="B1938" s="10" t="s">
        <v>4284</v>
      </c>
      <c r="C1938" s="26"/>
      <c r="D1938" s="10" t="s">
        <v>9505</v>
      </c>
      <c r="E1938" s="48" t="s">
        <v>8203</v>
      </c>
      <c r="F1938" s="57" t="s">
        <v>7173</v>
      </c>
      <c r="G1938" s="49">
        <f t="array" ref="G1938">MAX(IF(INSTOCK!$H$3:$H$6125=B1938,INSTOCK!$K$3:$K$6125))</f>
        <v>45.6</v>
      </c>
      <c r="H1938" s="50">
        <f t="array" ref="H1938">SUM(IF(INSTOCK!$H$3:$H$6125=B1938,INSTOCK!$I$3:$I$6125))</f>
        <v>205</v>
      </c>
      <c r="I1938" s="50" t="str">
        <f>ARRAY_CONSTRAIN(ARRAYFORMULA(SUM(IF([3]!Table13[ID]=B1938,[3]!Table13[QTY]))), 1, 1)</f>
        <v>#ERROR!</v>
      </c>
      <c r="J1938" s="50" t="str">
        <f>TABLEITEM!$H$3:$H$2749-TABLEITEM!$I$3:$I$2749</f>
        <v>#ERROR!</v>
      </c>
    </row>
    <row r="1939" ht="15.75" customHeight="1">
      <c r="A1939" s="45"/>
      <c r="B1939" s="10" t="s">
        <v>4286</v>
      </c>
      <c r="C1939" s="26"/>
      <c r="D1939" s="10" t="s">
        <v>9506</v>
      </c>
      <c r="E1939" s="48" t="s">
        <v>8203</v>
      </c>
      <c r="F1939" s="57" t="s">
        <v>7173</v>
      </c>
      <c r="G1939" s="49">
        <f t="array" ref="G1939">MAX(IF(INSTOCK!$H$3:$H$6125=B1939,INSTOCK!$K$3:$K$6125))</f>
        <v>68.4</v>
      </c>
      <c r="H1939" s="50">
        <f t="array" ref="H1939">SUM(IF(INSTOCK!$H$3:$H$6125=B1939,INSTOCK!$I$3:$I$6125))</f>
        <v>176</v>
      </c>
      <c r="I1939" s="50" t="str">
        <f>ARRAY_CONSTRAIN(ARRAYFORMULA(SUM(IF([3]!Table13[ID]=B1939,[3]!Table13[QTY]))), 1, 1)</f>
        <v>#ERROR!</v>
      </c>
      <c r="J1939" s="50" t="str">
        <f>TABLEITEM!$H$3:$H$2749-TABLEITEM!$I$3:$I$2749</f>
        <v>#ERROR!</v>
      </c>
    </row>
    <row r="1940" ht="15.75" customHeight="1">
      <c r="A1940" s="45"/>
      <c r="B1940" s="10" t="s">
        <v>4282</v>
      </c>
      <c r="C1940" s="26"/>
      <c r="D1940" s="10" t="s">
        <v>9507</v>
      </c>
      <c r="E1940" s="48" t="s">
        <v>8203</v>
      </c>
      <c r="F1940" s="57" t="s">
        <v>7173</v>
      </c>
      <c r="G1940" s="49">
        <f t="array" ref="G1940">MAX(IF(INSTOCK!$H$3:$H$6125=B1940,INSTOCK!$K$3:$K$6125))</f>
        <v>34.2</v>
      </c>
      <c r="H1940" s="50">
        <f t="array" ref="H1940">SUM(IF(INSTOCK!$H$3:$H$6125=B1940,INSTOCK!$I$3:$I$6125))</f>
        <v>236</v>
      </c>
      <c r="I1940" s="50" t="str">
        <f>ARRAY_CONSTRAIN(ARRAYFORMULA(SUM(IF([3]!Table13[ID]=B1940,[3]!Table13[QTY]))), 1, 1)</f>
        <v>#ERROR!</v>
      </c>
      <c r="J1940" s="50" t="str">
        <f>TABLEITEM!$H$3:$H$2749-TABLEITEM!$I$3:$I$2749</f>
        <v>#ERROR!</v>
      </c>
    </row>
    <row r="1941" ht="15.75" customHeight="1">
      <c r="A1941" s="45"/>
      <c r="B1941" s="18" t="s">
        <v>4288</v>
      </c>
      <c r="C1941" s="26"/>
      <c r="D1941" s="18" t="s">
        <v>9508</v>
      </c>
      <c r="E1941" s="48" t="s">
        <v>8203</v>
      </c>
      <c r="F1941" s="57" t="s">
        <v>7173</v>
      </c>
      <c r="G1941" s="49">
        <f t="array" ref="G1941">MAX(IF(INSTOCK!$H$3:$H$6125=B1941,INSTOCK!$K$3:$K$6125))</f>
        <v>205.2</v>
      </c>
      <c r="H1941" s="50">
        <f t="array" ref="H1941">SUM(IF(INSTOCK!$H$3:$H$6125=B1941,INSTOCK!$I$3:$I$6125))</f>
        <v>39</v>
      </c>
      <c r="I1941" s="50" t="str">
        <f>ARRAY_CONSTRAIN(ARRAYFORMULA(SUM(IF([3]!Table13[ID]=B1941,[3]!Table13[QTY]))), 1, 1)</f>
        <v>#ERROR!</v>
      </c>
      <c r="J1941" s="50" t="str">
        <f>TABLEITEM!$H$3:$H$2749-TABLEITEM!$I$3:$I$2749</f>
        <v>#ERROR!</v>
      </c>
    </row>
    <row r="1942" ht="15.75" customHeight="1">
      <c r="A1942" s="45"/>
      <c r="B1942" s="10" t="s">
        <v>4294</v>
      </c>
      <c r="C1942" s="26"/>
      <c r="D1942" s="10" t="s">
        <v>9509</v>
      </c>
      <c r="E1942" s="48" t="s">
        <v>9510</v>
      </c>
      <c r="F1942" s="57" t="s">
        <v>7173</v>
      </c>
      <c r="G1942" s="49">
        <f t="array" ref="G1942">MAX(IF(INSTOCK!$H$3:$H$6125=B1942,INSTOCK!$K$3:$K$6125))</f>
        <v>10271.25</v>
      </c>
      <c r="H1942" s="50">
        <f t="array" ref="H1942">SUM(IF(INSTOCK!$H$3:$H$6125=B1942,INSTOCK!$I$3:$I$6125))</f>
        <v>1</v>
      </c>
      <c r="I1942" s="50" t="str">
        <f>ARRAY_CONSTRAIN(ARRAYFORMULA(SUM(IF([3]!Table13[ID]=B1942,[3]!Table13[QTY]))), 1, 1)</f>
        <v>#ERROR!</v>
      </c>
      <c r="J1942" s="50" t="str">
        <f>TABLEITEM!$H$3:$H$2749-TABLEITEM!$I$3:$I$2749</f>
        <v>#ERROR!</v>
      </c>
    </row>
    <row r="1943" ht="15.75" customHeight="1">
      <c r="A1943" s="45"/>
      <c r="B1943" s="18" t="s">
        <v>4298</v>
      </c>
      <c r="C1943" s="26"/>
      <c r="D1943" s="18" t="s">
        <v>9511</v>
      </c>
      <c r="E1943" s="56" t="s">
        <v>2196</v>
      </c>
      <c r="F1943" s="57" t="s">
        <v>7173</v>
      </c>
      <c r="G1943" s="49">
        <f t="array" ref="G1943">MAX(IF(INSTOCK!$H$3:$H$6125=B1943,INSTOCK!$K$3:$K$6125))</f>
        <v>1260</v>
      </c>
      <c r="H1943" s="50">
        <f t="array" ref="H1943">SUM(IF(INSTOCK!$H$3:$H$6125=B1943,INSTOCK!$I$3:$I$6125))</f>
        <v>4</v>
      </c>
      <c r="I1943" s="50" t="str">
        <f>ARRAY_CONSTRAIN(ARRAYFORMULA(SUM(IF([3]!Table13[ID]=B1943,[3]!Table13[QTY]))), 1, 1)</f>
        <v>#ERROR!</v>
      </c>
      <c r="J1943" s="50" t="str">
        <f>TABLEITEM!$H$3:$H$2749-TABLEITEM!$I$3:$I$2749</f>
        <v>#ERROR!</v>
      </c>
    </row>
    <row r="1944" ht="15.75" customHeight="1">
      <c r="A1944" s="45"/>
      <c r="B1944" s="10" t="s">
        <v>4301</v>
      </c>
      <c r="C1944" s="26"/>
      <c r="D1944" s="10" t="s">
        <v>9512</v>
      </c>
      <c r="E1944" s="48" t="s">
        <v>1504</v>
      </c>
      <c r="F1944" s="57" t="s">
        <v>7173</v>
      </c>
      <c r="G1944" s="49">
        <f t="array" ref="G1944">MAX(IF(INSTOCK!$H$3:$H$6125=B1944,INSTOCK!$K$3:$K$6125))</f>
        <v>1460</v>
      </c>
      <c r="H1944" s="50">
        <f t="array" ref="H1944">SUM(IF(INSTOCK!$H$3:$H$6125=B1944,INSTOCK!$I$3:$I$6125))</f>
        <v>1</v>
      </c>
      <c r="I1944" s="50" t="str">
        <f>ARRAY_CONSTRAIN(ARRAYFORMULA(SUM(IF([3]!Table13[ID]=B1944,[3]!Table13[QTY]))), 1, 1)</f>
        <v>#ERROR!</v>
      </c>
      <c r="J1944" s="50" t="str">
        <f>TABLEITEM!$H$3:$H$2749-TABLEITEM!$I$3:$I$2749</f>
        <v>#ERROR!</v>
      </c>
    </row>
    <row r="1945" ht="15.75" customHeight="1">
      <c r="A1945" s="45"/>
      <c r="B1945" s="10" t="s">
        <v>4303</v>
      </c>
      <c r="C1945" s="26"/>
      <c r="D1945" s="10" t="s">
        <v>9513</v>
      </c>
      <c r="E1945" s="48" t="s">
        <v>1504</v>
      </c>
      <c r="F1945" s="57" t="s">
        <v>7173</v>
      </c>
      <c r="G1945" s="49">
        <f t="array" ref="G1945">MAX(IF(INSTOCK!$H$3:$H$6125=B1945,INSTOCK!$K$3:$K$6125))</f>
        <v>1460</v>
      </c>
      <c r="H1945" s="50">
        <f t="array" ref="H1945">SUM(IF(INSTOCK!$H$3:$H$6125=B1945,INSTOCK!$I$3:$I$6125))</f>
        <v>14</v>
      </c>
      <c r="I1945" s="50" t="str">
        <f>ARRAY_CONSTRAIN(ARRAYFORMULA(SUM(IF([3]!Table13[ID]=B1945,[3]!Table13[QTY]))), 1, 1)</f>
        <v>#ERROR!</v>
      </c>
      <c r="J1945" s="50" t="str">
        <f>TABLEITEM!$H$3:$H$2749-TABLEITEM!$I$3:$I$2749</f>
        <v>#ERROR!</v>
      </c>
    </row>
    <row r="1946" ht="15.75" customHeight="1">
      <c r="A1946" s="45"/>
      <c r="B1946" s="10" t="s">
        <v>4304</v>
      </c>
      <c r="C1946" s="26"/>
      <c r="D1946" s="10" t="s">
        <v>9514</v>
      </c>
      <c r="E1946" s="48" t="s">
        <v>1504</v>
      </c>
      <c r="F1946" s="57" t="s">
        <v>7173</v>
      </c>
      <c r="G1946" s="49">
        <f t="array" ref="G1946">MAX(IF(INSTOCK!$H$3:$H$6125=B1946,INSTOCK!$K$3:$K$6125))</f>
        <v>321.75</v>
      </c>
      <c r="H1946" s="50">
        <f t="array" ref="H1946">SUM(IF(INSTOCK!$H$3:$H$6125=B1946,INSTOCK!$I$3:$I$6125))</f>
        <v>21</v>
      </c>
      <c r="I1946" s="50" t="str">
        <f>ARRAY_CONSTRAIN(ARRAYFORMULA(SUM(IF([3]!Table13[ID]=B1946,[3]!Table13[QTY]))), 1, 1)</f>
        <v>#ERROR!</v>
      </c>
      <c r="J1946" s="50" t="str">
        <f>TABLEITEM!$H$3:$H$2749-TABLEITEM!$I$3:$I$2749</f>
        <v>#ERROR!</v>
      </c>
    </row>
    <row r="1947" ht="15.75" customHeight="1">
      <c r="A1947" s="45"/>
      <c r="B1947" s="10" t="s">
        <v>4306</v>
      </c>
      <c r="C1947" s="26"/>
      <c r="D1947" s="10" t="s">
        <v>9515</v>
      </c>
      <c r="E1947" s="48" t="s">
        <v>1504</v>
      </c>
      <c r="F1947" s="57" t="s">
        <v>7173</v>
      </c>
      <c r="G1947" s="49">
        <f t="array" ref="G1947">MAX(IF(INSTOCK!$H$3:$H$6125=B1947,INSTOCK!$K$3:$K$6125))</f>
        <v>1460</v>
      </c>
      <c r="H1947" s="50">
        <f t="array" ref="H1947">SUM(IF(INSTOCK!$H$3:$H$6125=B1947,INSTOCK!$I$3:$I$6125))</f>
        <v>1</v>
      </c>
      <c r="I1947" s="50" t="str">
        <f>ARRAY_CONSTRAIN(ARRAYFORMULA(SUM(IF([3]!Table13[ID]=B1947,[3]!Table13[QTY]))), 1, 1)</f>
        <v>#ERROR!</v>
      </c>
      <c r="J1947" s="50" t="str">
        <f>TABLEITEM!$H$3:$H$2749-TABLEITEM!$I$3:$I$2749</f>
        <v>#ERROR!</v>
      </c>
    </row>
    <row r="1948" ht="15.75" customHeight="1">
      <c r="A1948" s="45"/>
      <c r="B1948" s="10" t="s">
        <v>4307</v>
      </c>
      <c r="C1948" s="26"/>
      <c r="D1948" s="10" t="s">
        <v>9516</v>
      </c>
      <c r="E1948" s="48" t="s">
        <v>1504</v>
      </c>
      <c r="F1948" s="57" t="s">
        <v>7173</v>
      </c>
      <c r="G1948" s="49">
        <f t="array" ref="G1948">MAX(IF(INSTOCK!$H$3:$H$6125=B1948,INSTOCK!$K$3:$K$6125))</f>
        <v>860</v>
      </c>
      <c r="H1948" s="50">
        <f t="array" ref="H1948">SUM(IF(INSTOCK!$H$3:$H$6125=B1948,INSTOCK!$I$3:$I$6125))</f>
        <v>6</v>
      </c>
      <c r="I1948" s="50" t="str">
        <f>ARRAY_CONSTRAIN(ARRAYFORMULA(SUM(IF([3]!Table13[ID]=B1948,[3]!Table13[QTY]))), 1, 1)</f>
        <v>#ERROR!</v>
      </c>
      <c r="J1948" s="50" t="str">
        <f>TABLEITEM!$H$3:$H$2749-TABLEITEM!$I$3:$I$2749</f>
        <v>#ERROR!</v>
      </c>
    </row>
    <row r="1949" ht="15.75" customHeight="1">
      <c r="A1949" s="45"/>
      <c r="B1949" s="10" t="s">
        <v>4308</v>
      </c>
      <c r="C1949" s="26"/>
      <c r="D1949" s="10" t="s">
        <v>9517</v>
      </c>
      <c r="E1949" s="48" t="s">
        <v>1504</v>
      </c>
      <c r="F1949" s="57" t="s">
        <v>7173</v>
      </c>
      <c r="G1949" s="49">
        <f t="array" ref="G1949">MAX(IF(INSTOCK!$H$3:$H$6125=B1949,INSTOCK!$K$3:$K$6125))</f>
        <v>860</v>
      </c>
      <c r="H1949" s="50">
        <f t="array" ref="H1949">SUM(IF(INSTOCK!$H$3:$H$6125=B1949,INSTOCK!$I$3:$I$6125))</f>
        <v>1</v>
      </c>
      <c r="I1949" s="50" t="str">
        <f>ARRAY_CONSTRAIN(ARRAYFORMULA(SUM(IF([3]!Table13[ID]=B1949,[3]!Table13[QTY]))), 1, 1)</f>
        <v>#ERROR!</v>
      </c>
      <c r="J1949" s="50" t="str">
        <f>TABLEITEM!$H$3:$H$2749-TABLEITEM!$I$3:$I$2749</f>
        <v>#ERROR!</v>
      </c>
    </row>
    <row r="1950" ht="15.75" customHeight="1">
      <c r="A1950" s="45"/>
      <c r="B1950" s="18" t="s">
        <v>4309</v>
      </c>
      <c r="C1950" s="26"/>
      <c r="D1950" s="10" t="s">
        <v>9518</v>
      </c>
      <c r="E1950" s="48" t="s">
        <v>1504</v>
      </c>
      <c r="F1950" s="57" t="s">
        <v>7173</v>
      </c>
      <c r="G1950" s="49">
        <f t="array" ref="G1950">MAX(IF(INSTOCK!$H$3:$H$6125=B1950,INSTOCK!$K$3:$K$6125))</f>
        <v>860</v>
      </c>
      <c r="H1950" s="50">
        <f t="array" ref="H1950">SUM(IF(INSTOCK!$H$3:$H$6125=B1950,INSTOCK!$I$3:$I$6125))</f>
        <v>1</v>
      </c>
      <c r="I1950" s="50" t="str">
        <f>ARRAY_CONSTRAIN(ARRAYFORMULA(SUM(IF([3]!Table13[ID]=B1950,[3]!Table13[QTY]))), 1, 1)</f>
        <v>#ERROR!</v>
      </c>
      <c r="J1950" s="50" t="str">
        <f>TABLEITEM!$H$3:$H$2749-TABLEITEM!$I$3:$I$2749</f>
        <v>#ERROR!</v>
      </c>
    </row>
    <row r="1951" ht="15.75" customHeight="1">
      <c r="A1951" s="45"/>
      <c r="B1951" s="18" t="s">
        <v>4310</v>
      </c>
      <c r="C1951" s="26"/>
      <c r="D1951" s="10" t="s">
        <v>9519</v>
      </c>
      <c r="E1951" s="48" t="s">
        <v>1504</v>
      </c>
      <c r="F1951" s="57" t="s">
        <v>7173</v>
      </c>
      <c r="G1951" s="49">
        <f t="array" ref="G1951">MAX(IF(INSTOCK!$H$3:$H$6125=B1951,INSTOCK!$K$3:$K$6125))</f>
        <v>1420</v>
      </c>
      <c r="H1951" s="50">
        <f t="array" ref="H1951">SUM(IF(INSTOCK!$H$3:$H$6125=B1951,INSTOCK!$I$3:$I$6125))</f>
        <v>2</v>
      </c>
      <c r="I1951" s="50" t="str">
        <f>ARRAY_CONSTRAIN(ARRAYFORMULA(SUM(IF([3]!Table13[ID]=B1951,[3]!Table13[QTY]))), 1, 1)</f>
        <v>#ERROR!</v>
      </c>
      <c r="J1951" s="50" t="str">
        <f>TABLEITEM!$H$3:$H$2749-TABLEITEM!$I$3:$I$2749</f>
        <v>#ERROR!</v>
      </c>
    </row>
    <row r="1952" ht="15.75" customHeight="1">
      <c r="A1952" s="45"/>
      <c r="B1952" s="10" t="s">
        <v>4314</v>
      </c>
      <c r="C1952" s="26"/>
      <c r="D1952" s="10" t="s">
        <v>9520</v>
      </c>
      <c r="E1952" s="48"/>
      <c r="F1952" s="57" t="s">
        <v>7173</v>
      </c>
      <c r="G1952" s="49">
        <f t="array" ref="G1952">MAX(IF(INSTOCK!$H$3:$H$6125=B1952,INSTOCK!$K$3:$K$6125))</f>
        <v>129</v>
      </c>
      <c r="H1952" s="50">
        <f t="array" ref="H1952">SUM(IF(INSTOCK!$H$3:$H$6125=B1952,INSTOCK!$I$3:$I$6125))</f>
        <v>45</v>
      </c>
      <c r="I1952" s="50" t="str">
        <f>ARRAY_CONSTRAIN(ARRAYFORMULA(SUM(IF([3]!Table13[ID]=B1952,[3]!Table13[QTY]))), 1, 1)</f>
        <v>#ERROR!</v>
      </c>
      <c r="J1952" s="50" t="str">
        <f>TABLEITEM!$H$3:$H$2749-TABLEITEM!$I$3:$I$2749</f>
        <v>#ERROR!</v>
      </c>
    </row>
    <row r="1953" ht="15.75" customHeight="1">
      <c r="A1953" s="45"/>
      <c r="B1953" s="10" t="s">
        <v>4316</v>
      </c>
      <c r="C1953" s="26"/>
      <c r="D1953" s="10" t="s">
        <v>9521</v>
      </c>
      <c r="E1953" s="48"/>
      <c r="F1953" s="57" t="s">
        <v>7173</v>
      </c>
      <c r="G1953" s="49">
        <f t="array" ref="G1953">MAX(IF(INSTOCK!$H$3:$H$6125=B1953,INSTOCK!$K$3:$K$6125))</f>
        <v>3.8</v>
      </c>
      <c r="H1953" s="50">
        <f t="array" ref="H1953">SUM(IF(INSTOCK!$H$3:$H$6125=B1953,INSTOCK!$I$3:$I$6125))</f>
        <v>69</v>
      </c>
      <c r="I1953" s="50" t="str">
        <f>ARRAY_CONSTRAIN(ARRAYFORMULA(SUM(IF([3]!Table13[ID]=B1953,[3]!Table13[QTY]))), 1, 1)</f>
        <v>#ERROR!</v>
      </c>
      <c r="J1953" s="50" t="str">
        <f>TABLEITEM!$H$3:$H$2749-TABLEITEM!$I$3:$I$2749</f>
        <v>#ERROR!</v>
      </c>
    </row>
    <row r="1954" ht="15.75" customHeight="1">
      <c r="A1954" s="45"/>
      <c r="B1954" s="10" t="s">
        <v>4317</v>
      </c>
      <c r="C1954" s="26"/>
      <c r="D1954" s="10" t="s">
        <v>9522</v>
      </c>
      <c r="E1954" s="48"/>
      <c r="F1954" s="57" t="s">
        <v>7173</v>
      </c>
      <c r="G1954" s="49">
        <f t="array" ref="G1954">MAX(IF(INSTOCK!$H$3:$H$6125=B1954,INSTOCK!$K$3:$K$6125))</f>
        <v>3.6</v>
      </c>
      <c r="H1954" s="50">
        <f t="array" ref="H1954">SUM(IF(INSTOCK!$H$3:$H$6125=B1954,INSTOCK!$I$3:$I$6125))</f>
        <v>57</v>
      </c>
      <c r="I1954" s="50" t="str">
        <f>ARRAY_CONSTRAIN(ARRAYFORMULA(SUM(IF([3]!Table13[ID]=B1954,[3]!Table13[QTY]))), 1, 1)</f>
        <v>#ERROR!</v>
      </c>
      <c r="J1954" s="50" t="str">
        <f>TABLEITEM!$H$3:$H$2749-TABLEITEM!$I$3:$I$2749</f>
        <v>#ERROR!</v>
      </c>
    </row>
    <row r="1955" ht="15.75" customHeight="1">
      <c r="A1955" s="45"/>
      <c r="B1955" s="18" t="s">
        <v>4318</v>
      </c>
      <c r="C1955" s="26"/>
      <c r="D1955" s="18" t="s">
        <v>9523</v>
      </c>
      <c r="E1955" s="56"/>
      <c r="F1955" s="57" t="s">
        <v>7173</v>
      </c>
      <c r="G1955" s="49">
        <f t="array" ref="G1955">MAX(IF(INSTOCK!$H$3:$H$6125=B1955,INSTOCK!$K$3:$K$6125))</f>
        <v>7.6</v>
      </c>
      <c r="H1955" s="50">
        <f t="array" ref="H1955">SUM(IF(INSTOCK!$H$3:$H$6125=B1955,INSTOCK!$I$3:$I$6125))</f>
        <v>2063</v>
      </c>
      <c r="I1955" s="50" t="str">
        <f>ARRAY_CONSTRAIN(ARRAYFORMULA(SUM(IF([3]!Table13[ID]=B1955,[3]!Table13[QTY]))), 1, 1)</f>
        <v>#ERROR!</v>
      </c>
      <c r="J1955" s="50" t="str">
        <f>TABLEITEM!$H$3:$H$2749-TABLEITEM!$I$3:$I$2749</f>
        <v>#ERROR!</v>
      </c>
    </row>
    <row r="1956" ht="15.75" customHeight="1">
      <c r="A1956" s="45"/>
      <c r="B1956" s="18" t="s">
        <v>4322</v>
      </c>
      <c r="C1956" s="26"/>
      <c r="D1956" s="18" t="s">
        <v>9524</v>
      </c>
      <c r="E1956" s="56"/>
      <c r="F1956" s="57" t="s">
        <v>7173</v>
      </c>
      <c r="G1956" s="49">
        <f t="array" ref="G1956">MAX(IF(INSTOCK!$H$3:$H$6125=B1956,INSTOCK!$K$3:$K$6125))</f>
        <v>5.25</v>
      </c>
      <c r="H1956" s="50">
        <f t="array" ref="H1956">SUM(IF(INSTOCK!$H$3:$H$6125=B1956,INSTOCK!$I$3:$I$6125))</f>
        <v>400</v>
      </c>
      <c r="I1956" s="50" t="str">
        <f>ARRAY_CONSTRAIN(ARRAYFORMULA(SUM(IF([3]!Table13[ID]=B1956,[3]!Table13[QTY]))), 1, 1)</f>
        <v>#ERROR!</v>
      </c>
      <c r="J1956" s="50" t="str">
        <f>TABLEITEM!$H$3:$H$2749-TABLEITEM!$I$3:$I$2749</f>
        <v>#ERROR!</v>
      </c>
    </row>
    <row r="1957" ht="15.75" customHeight="1">
      <c r="A1957" s="45"/>
      <c r="B1957" s="10" t="s">
        <v>4326</v>
      </c>
      <c r="C1957" s="26"/>
      <c r="D1957" s="10" t="s">
        <v>9525</v>
      </c>
      <c r="E1957" s="48"/>
      <c r="F1957" s="57" t="s">
        <v>7173</v>
      </c>
      <c r="G1957" s="49">
        <f t="array" ref="G1957">MAX(IF(INSTOCK!$H$3:$H$6125=B1957,INSTOCK!$K$3:$K$6125))</f>
        <v>33</v>
      </c>
      <c r="H1957" s="50">
        <f t="array" ref="H1957">SUM(IF(INSTOCK!$H$3:$H$6125=B1957,INSTOCK!$I$3:$I$6125))</f>
        <v>10</v>
      </c>
      <c r="I1957" s="50" t="str">
        <f>ARRAY_CONSTRAIN(ARRAYFORMULA(SUM(IF([3]!Table13[ID]=B1957,[3]!Table13[QTY]))), 1, 1)</f>
        <v>#ERROR!</v>
      </c>
      <c r="J1957" s="50" t="str">
        <f>TABLEITEM!$H$3:$H$2749-TABLEITEM!$I$3:$I$2749</f>
        <v>#ERROR!</v>
      </c>
    </row>
    <row r="1958" ht="15.75" customHeight="1">
      <c r="A1958" s="45"/>
      <c r="B1958" s="10" t="s">
        <v>4327</v>
      </c>
      <c r="C1958" s="26"/>
      <c r="D1958" s="10" t="s">
        <v>9526</v>
      </c>
      <c r="E1958" s="48"/>
      <c r="F1958" s="57" t="s">
        <v>7173</v>
      </c>
      <c r="G1958" s="49">
        <f t="array" ref="G1958">MAX(IF(INSTOCK!$H$3:$H$6125=B1958,INSTOCK!$K$3:$K$6125))</f>
        <v>140</v>
      </c>
      <c r="H1958" s="50">
        <f t="array" ref="H1958">SUM(IF(INSTOCK!$H$3:$H$6125=B1958,INSTOCK!$I$3:$I$6125))</f>
        <v>1</v>
      </c>
      <c r="I1958" s="50" t="str">
        <f>ARRAY_CONSTRAIN(ARRAYFORMULA(SUM(IF([3]!Table13[ID]=B1958,[3]!Table13[QTY]))), 1, 1)</f>
        <v>#ERROR!</v>
      </c>
      <c r="J1958" s="50" t="str">
        <f>TABLEITEM!$H$3:$H$2749-TABLEITEM!$I$3:$I$2749</f>
        <v>#ERROR!</v>
      </c>
    </row>
    <row r="1959" ht="15.75" customHeight="1">
      <c r="A1959" s="45"/>
      <c r="B1959" s="18" t="s">
        <v>4328</v>
      </c>
      <c r="C1959" s="26"/>
      <c r="D1959" s="18" t="s">
        <v>9527</v>
      </c>
      <c r="E1959" s="56"/>
      <c r="F1959" s="57" t="s">
        <v>7173</v>
      </c>
      <c r="G1959" s="49">
        <f t="array" ref="G1959">MAX(IF(INSTOCK!$H$3:$H$6125=B1959,INSTOCK!$K$3:$K$6125))</f>
        <v>160</v>
      </c>
      <c r="H1959" s="50">
        <f t="array" ref="H1959">SUM(IF(INSTOCK!$H$3:$H$6125=B1959,INSTOCK!$I$3:$I$6125))</f>
        <v>1</v>
      </c>
      <c r="I1959" s="50" t="str">
        <f>ARRAY_CONSTRAIN(ARRAYFORMULA(SUM(IF([3]!Table13[ID]=B1959,[3]!Table13[QTY]))), 1, 1)</f>
        <v>#ERROR!</v>
      </c>
      <c r="J1959" s="50" t="str">
        <f>TABLEITEM!$H$3:$H$2749-TABLEITEM!$I$3:$I$2749</f>
        <v>#ERROR!</v>
      </c>
    </row>
    <row r="1960" ht="15.75" customHeight="1">
      <c r="A1960" s="45"/>
      <c r="B1960" s="18" t="s">
        <v>4333</v>
      </c>
      <c r="C1960" s="26"/>
      <c r="D1960" s="18" t="s">
        <v>9528</v>
      </c>
      <c r="E1960" s="56" t="s">
        <v>8106</v>
      </c>
      <c r="F1960" s="57" t="s">
        <v>7173</v>
      </c>
      <c r="G1960" s="49">
        <f t="array" ref="G1960">MAX(IF(INSTOCK!$H$3:$H$6125=B1960,INSTOCK!$K$3:$K$6125))</f>
        <v>310</v>
      </c>
      <c r="H1960" s="50">
        <f t="array" ref="H1960">SUM(IF(INSTOCK!$H$3:$H$6125=B1960,INSTOCK!$I$3:$I$6125))</f>
        <v>20</v>
      </c>
      <c r="I1960" s="50" t="str">
        <f>ARRAY_CONSTRAIN(ARRAYFORMULA(SUM(IF([3]!Table13[ID]=B1960,[3]!Table13[QTY]))), 1, 1)</f>
        <v>#ERROR!</v>
      </c>
      <c r="J1960" s="50" t="str">
        <f>TABLEITEM!$H$3:$H$2749-TABLEITEM!$I$3:$I$2749</f>
        <v>#ERROR!</v>
      </c>
    </row>
    <row r="1961" ht="15.75" customHeight="1">
      <c r="A1961" s="45"/>
      <c r="B1961" s="10" t="s">
        <v>4336</v>
      </c>
      <c r="C1961" s="26"/>
      <c r="D1961" s="10" t="s">
        <v>9529</v>
      </c>
      <c r="E1961" s="48" t="s">
        <v>2231</v>
      </c>
      <c r="F1961" s="57" t="s">
        <v>7173</v>
      </c>
      <c r="G1961" s="49">
        <f t="array" ref="G1961">MAX(IF(INSTOCK!$H$3:$H$6125=B1961,INSTOCK!$K$3:$K$6125))</f>
        <v>328.1229</v>
      </c>
      <c r="H1961" s="50">
        <f t="array" ref="H1961">SUM(IF(INSTOCK!$H$3:$H$6125=B1961,INSTOCK!$I$3:$I$6125))</f>
        <v>9</v>
      </c>
      <c r="I1961" s="50" t="str">
        <f>ARRAY_CONSTRAIN(ARRAYFORMULA(SUM(IF([3]!Table13[ID]=B1961,[3]!Table13[QTY]))), 1, 1)</f>
        <v>#ERROR!</v>
      </c>
      <c r="J1961" s="50" t="str">
        <f>TABLEITEM!$H$3:$H$2749-TABLEITEM!$I$3:$I$2749</f>
        <v>#ERROR!</v>
      </c>
    </row>
    <row r="1962" ht="15.75" customHeight="1">
      <c r="A1962" s="45"/>
      <c r="B1962" s="18" t="s">
        <v>4338</v>
      </c>
      <c r="C1962" s="26"/>
      <c r="D1962" s="18" t="s">
        <v>9530</v>
      </c>
      <c r="E1962" s="56" t="s">
        <v>1930</v>
      </c>
      <c r="F1962" s="57" t="s">
        <v>7173</v>
      </c>
      <c r="G1962" s="49">
        <f t="array" ref="G1962">MAX(IF(INSTOCK!$H$3:$H$6125=B1962,INSTOCK!$K$3:$K$6125))</f>
        <v>114</v>
      </c>
      <c r="H1962" s="50">
        <f t="array" ref="H1962">SUM(IF(INSTOCK!$H$3:$H$6125=B1962,INSTOCK!$I$3:$I$6125))</f>
        <v>30</v>
      </c>
      <c r="I1962" s="50" t="str">
        <f>ARRAY_CONSTRAIN(ARRAYFORMULA(SUM(IF([3]!Table13[ID]=B1962,[3]!Table13[QTY]))), 1, 1)</f>
        <v>#ERROR!</v>
      </c>
      <c r="J1962" s="50" t="str">
        <f>TABLEITEM!$H$3:$H$2749-TABLEITEM!$I$3:$I$2749</f>
        <v>#ERROR!</v>
      </c>
    </row>
    <row r="1963" ht="15.75" customHeight="1">
      <c r="A1963" s="45"/>
      <c r="B1963" s="18" t="s">
        <v>4342</v>
      </c>
      <c r="C1963" s="26"/>
      <c r="D1963" s="18" t="s">
        <v>9531</v>
      </c>
      <c r="E1963" s="56" t="s">
        <v>1487</v>
      </c>
      <c r="F1963" s="57" t="s">
        <v>7173</v>
      </c>
      <c r="G1963" s="49">
        <f t="array" ref="G1963">MAX(IF(INSTOCK!$H$3:$H$6125=B1963,INSTOCK!$K$3:$K$6125))</f>
        <v>330</v>
      </c>
      <c r="H1963" s="50">
        <f t="array" ref="H1963">SUM(IF(INSTOCK!$H$3:$H$6125=B1963,INSTOCK!$I$3:$I$6125))</f>
        <v>38</v>
      </c>
      <c r="I1963" s="50" t="str">
        <f>ARRAY_CONSTRAIN(ARRAYFORMULA(SUM(IF([3]!Table13[ID]=B1963,[3]!Table13[QTY]))), 1, 1)</f>
        <v>#ERROR!</v>
      </c>
      <c r="J1963" s="50" t="str">
        <f>TABLEITEM!$H$3:$H$2749-TABLEITEM!$I$3:$I$2749</f>
        <v>#ERROR!</v>
      </c>
    </row>
    <row r="1964" ht="15.75" customHeight="1">
      <c r="A1964" s="45"/>
      <c r="B1964" s="18" t="s">
        <v>4347</v>
      </c>
      <c r="C1964" s="26"/>
      <c r="D1964" s="18" t="s">
        <v>9532</v>
      </c>
      <c r="E1964" s="56"/>
      <c r="F1964" s="57" t="s">
        <v>7173</v>
      </c>
      <c r="G1964" s="49">
        <f t="array" ref="G1964">MAX(IF(INSTOCK!$H$3:$H$6125=B1964,INSTOCK!$K$3:$K$6125))</f>
        <v>2</v>
      </c>
      <c r="H1964" s="50">
        <f t="array" ref="H1964">SUM(IF(INSTOCK!$H$3:$H$6125=B1964,INSTOCK!$I$3:$I$6125))</f>
        <v>6</v>
      </c>
      <c r="I1964" s="50" t="str">
        <f>ARRAY_CONSTRAIN(ARRAYFORMULA(SUM(IF([3]!Table13[ID]=B1964,[3]!Table13[QTY]))), 1, 1)</f>
        <v>#ERROR!</v>
      </c>
      <c r="J1964" s="50" t="str">
        <f>TABLEITEM!$H$3:$H$2749-TABLEITEM!$I$3:$I$2749</f>
        <v>#ERROR!</v>
      </c>
    </row>
    <row r="1965" ht="15.75" customHeight="1">
      <c r="A1965" s="45"/>
      <c r="B1965" s="18" t="s">
        <v>4350</v>
      </c>
      <c r="C1965" s="26"/>
      <c r="D1965" s="18" t="s">
        <v>9533</v>
      </c>
      <c r="E1965" s="56"/>
      <c r="F1965" s="57" t="s">
        <v>7173</v>
      </c>
      <c r="G1965" s="49">
        <f t="array" ref="G1965">MAX(IF(INSTOCK!$H$3:$H$6125=B1965,INSTOCK!$K$3:$K$6125))</f>
        <v>140</v>
      </c>
      <c r="H1965" s="50">
        <f t="array" ref="H1965">SUM(IF(INSTOCK!$H$3:$H$6125=B1965,INSTOCK!$I$3:$I$6125))</f>
        <v>1</v>
      </c>
      <c r="I1965" s="50" t="str">
        <f>ARRAY_CONSTRAIN(ARRAYFORMULA(SUM(IF([3]!Table13[ID]=B1965,[3]!Table13[QTY]))), 1, 1)</f>
        <v>#ERROR!</v>
      </c>
      <c r="J1965" s="50" t="str">
        <f>TABLEITEM!$H$3:$H$2749-TABLEITEM!$I$3:$I$2749</f>
        <v>#ERROR!</v>
      </c>
    </row>
    <row r="1966" ht="15.75" customHeight="1">
      <c r="A1966" s="45"/>
      <c r="B1966" s="10" t="s">
        <v>4965</v>
      </c>
      <c r="C1966" s="26"/>
      <c r="D1966" s="10" t="s">
        <v>9534</v>
      </c>
      <c r="E1966" s="48"/>
      <c r="F1966" s="57" t="s">
        <v>7173</v>
      </c>
      <c r="G1966" s="49">
        <f t="array" ref="G1966">MAX(IF(INSTOCK!$H$3:$H$6125=B1966,INSTOCK!$K$3:$K$6125))</f>
        <v>25.23</v>
      </c>
      <c r="H1966" s="50">
        <f t="array" ref="H1966">SUM(IF(INSTOCK!$H$3:$H$6125=B1966,INSTOCK!$I$3:$I$6125))</f>
        <v>4</v>
      </c>
      <c r="I1966" s="50" t="str">
        <f>ARRAY_CONSTRAIN(ARRAYFORMULA(SUM(IF([3]!Table13[ID]=B1966,[3]!Table13[QTY]))), 1, 1)</f>
        <v>#ERROR!</v>
      </c>
      <c r="J1966" s="50" t="str">
        <f>TABLEITEM!$H$3:$H$2749-TABLEITEM!$I$3:$I$2749</f>
        <v>#ERROR!</v>
      </c>
    </row>
    <row r="1967" ht="15.75" customHeight="1">
      <c r="A1967" s="45"/>
      <c r="B1967" s="10" t="s">
        <v>6576</v>
      </c>
      <c r="C1967" s="26"/>
      <c r="D1967" s="10" t="s">
        <v>9535</v>
      </c>
      <c r="E1967" s="48"/>
      <c r="F1967" s="57" t="s">
        <v>7173</v>
      </c>
      <c r="G1967" s="49">
        <f t="array" ref="G1967">MAX(IF(INSTOCK!$H$3:$H$6125=B1967,INSTOCK!$K$3:$K$6125))</f>
        <v>73.83</v>
      </c>
      <c r="H1967" s="50">
        <f t="array" ref="H1967">SUM(IF(INSTOCK!$H$3:$H$6125=B1967,INSTOCK!$I$3:$I$6125))</f>
        <v>5</v>
      </c>
      <c r="I1967" s="50" t="str">
        <f>ARRAY_CONSTRAIN(ARRAYFORMULA(SUM(IF([3]!Table13[ID]=B1967,[3]!Table13[QTY]))), 1, 1)</f>
        <v>#ERROR!</v>
      </c>
      <c r="J1967" s="50" t="str">
        <f>TABLEITEM!$H$3:$H$2749-TABLEITEM!$I$3:$I$2749</f>
        <v>#ERROR!</v>
      </c>
    </row>
    <row r="1968" ht="15.75" customHeight="1">
      <c r="A1968" s="45"/>
      <c r="B1968" s="10" t="s">
        <v>6577</v>
      </c>
      <c r="C1968" s="26"/>
      <c r="D1968" s="10" t="s">
        <v>9536</v>
      </c>
      <c r="E1968" s="48"/>
      <c r="F1968" s="57" t="s">
        <v>7173</v>
      </c>
      <c r="G1968" s="49">
        <f t="array" ref="G1968">MAX(IF(INSTOCK!$H$3:$H$6125=B1968,INSTOCK!$K$3:$K$6125))</f>
        <v>73.83</v>
      </c>
      <c r="H1968" s="50">
        <f t="array" ref="H1968">SUM(IF(INSTOCK!$H$3:$H$6125=B1968,INSTOCK!$I$3:$I$6125))</f>
        <v>5</v>
      </c>
      <c r="I1968" s="50" t="str">
        <f>ARRAY_CONSTRAIN(ARRAYFORMULA(SUM(IF([3]!Table13[ID]=B1968,[3]!Table13[QTY]))), 1, 1)</f>
        <v>#ERROR!</v>
      </c>
      <c r="J1968" s="50" t="str">
        <f>TABLEITEM!$H$3:$H$2749-TABLEITEM!$I$3:$I$2749</f>
        <v>#ERROR!</v>
      </c>
    </row>
    <row r="1969" ht="15.75" customHeight="1">
      <c r="A1969" s="45"/>
      <c r="B1969" s="10" t="s">
        <v>4359</v>
      </c>
      <c r="C1969" s="26"/>
      <c r="D1969" s="18" t="s">
        <v>9537</v>
      </c>
      <c r="E1969" s="56" t="s">
        <v>9538</v>
      </c>
      <c r="F1969" s="57" t="s">
        <v>7173</v>
      </c>
      <c r="G1969" s="49">
        <f t="array" ref="G1969">MAX(IF(INSTOCK!$H$3:$H$6125=B1969,INSTOCK!$K$3:$K$6125))</f>
        <v>100</v>
      </c>
      <c r="H1969" s="50">
        <f t="array" ref="H1969">SUM(IF(INSTOCK!$H$3:$H$6125=B1969,INSTOCK!$I$3:$I$6125))</f>
        <v>10</v>
      </c>
      <c r="I1969" s="50" t="str">
        <f>ARRAY_CONSTRAIN(ARRAYFORMULA(SUM(IF([3]!Table13[ID]=B1969,[3]!Table13[QTY]))), 1, 1)</f>
        <v>#ERROR!</v>
      </c>
      <c r="J1969" s="50" t="str">
        <f>TABLEITEM!$H$3:$H$2749-TABLEITEM!$I$3:$I$2749</f>
        <v>#ERROR!</v>
      </c>
    </row>
    <row r="1970" ht="15.75" customHeight="1">
      <c r="A1970" s="45"/>
      <c r="B1970" s="10" t="s">
        <v>4362</v>
      </c>
      <c r="C1970" s="26"/>
      <c r="D1970" s="10" t="s">
        <v>9539</v>
      </c>
      <c r="E1970" s="48" t="s">
        <v>1487</v>
      </c>
      <c r="F1970" s="57" t="s">
        <v>7173</v>
      </c>
      <c r="G1970" s="49">
        <f t="array" ref="G1970">MAX(IF(INSTOCK!$H$3:$H$6125=B1970,INSTOCK!$K$3:$K$6125))</f>
        <v>2085.6</v>
      </c>
      <c r="H1970" s="50">
        <f t="array" ref="H1970">SUM(IF(INSTOCK!$H$3:$H$6125=B1970,INSTOCK!$I$3:$I$6125))</f>
        <v>3</v>
      </c>
      <c r="I1970" s="50" t="str">
        <f>ARRAY_CONSTRAIN(ARRAYFORMULA(SUM(IF([3]!Table13[ID]=B1970,[3]!Table13[QTY]))), 1, 1)</f>
        <v>#ERROR!</v>
      </c>
      <c r="J1970" s="50" t="str">
        <f>TABLEITEM!$H$3:$H$2749-TABLEITEM!$I$3:$I$2749</f>
        <v>#ERROR!</v>
      </c>
    </row>
    <row r="1971" ht="15.75" customHeight="1">
      <c r="A1971" s="45"/>
      <c r="B1971" s="18" t="s">
        <v>4363</v>
      </c>
      <c r="C1971" s="26"/>
      <c r="D1971" s="10" t="s">
        <v>9540</v>
      </c>
      <c r="E1971" s="56" t="s">
        <v>1487</v>
      </c>
      <c r="F1971" s="57" t="s">
        <v>7173</v>
      </c>
      <c r="G1971" s="49">
        <f t="array" ref="G1971">MAX(IF(INSTOCK!$H$3:$H$6125=B1971,INSTOCK!$K$3:$K$6125))</f>
        <v>6846.4</v>
      </c>
      <c r="H1971" s="50">
        <f t="array" ref="H1971">SUM(IF(INSTOCK!$H$3:$H$6125=B1971,INSTOCK!$I$3:$I$6125))</f>
        <v>1</v>
      </c>
      <c r="I1971" s="50" t="str">
        <f>ARRAY_CONSTRAIN(ARRAYFORMULA(SUM(IF([3]!Table13[ID]=B1971,[3]!Table13[QTY]))), 1, 1)</f>
        <v>#ERROR!</v>
      </c>
      <c r="J1971" s="50" t="str">
        <f>TABLEITEM!$H$3:$H$2749-TABLEITEM!$I$3:$I$2749</f>
        <v>#ERROR!</v>
      </c>
    </row>
    <row r="1972" ht="15.75" customHeight="1">
      <c r="A1972" s="45"/>
      <c r="B1972" s="10" t="s">
        <v>4369</v>
      </c>
      <c r="C1972" s="26"/>
      <c r="D1972" s="10" t="s">
        <v>9541</v>
      </c>
      <c r="E1972" s="48" t="s">
        <v>1601</v>
      </c>
      <c r="F1972" s="57" t="s">
        <v>7173</v>
      </c>
      <c r="G1972" s="49">
        <f t="array" ref="G1972">MAX(IF(INSTOCK!$H$3:$H$6125=B1972,INSTOCK!$K$3:$K$6125))</f>
        <v>300</v>
      </c>
      <c r="H1972" s="50">
        <f t="array" ref="H1972">SUM(IF(INSTOCK!$H$3:$H$6125=B1972,INSTOCK!$I$3:$I$6125))</f>
        <v>3</v>
      </c>
      <c r="I1972" s="50" t="str">
        <f>ARRAY_CONSTRAIN(ARRAYFORMULA(SUM(IF([3]!Table13[ID]=B1972,[3]!Table13[QTY]))), 1, 1)</f>
        <v>#ERROR!</v>
      </c>
      <c r="J1972" s="50" t="str">
        <f>TABLEITEM!$H$3:$H$2749-TABLEITEM!$I$3:$I$2749</f>
        <v>#ERROR!</v>
      </c>
    </row>
    <row r="1973" ht="15.75" customHeight="1">
      <c r="A1973" s="45"/>
      <c r="B1973" s="18" t="s">
        <v>4371</v>
      </c>
      <c r="C1973" s="26"/>
      <c r="D1973" s="18" t="s">
        <v>9542</v>
      </c>
      <c r="E1973" s="56" t="s">
        <v>1601</v>
      </c>
      <c r="F1973" s="57" t="s">
        <v>7173</v>
      </c>
      <c r="G1973" s="49">
        <f t="array" ref="G1973">MAX(IF(INSTOCK!$H$3:$H$6125=B1973,INSTOCK!$K$3:$K$6125))</f>
        <v>312</v>
      </c>
      <c r="H1973" s="50">
        <f t="array" ref="H1973">SUM(IF(INSTOCK!$H$3:$H$6125=B1973,INSTOCK!$I$3:$I$6125))</f>
        <v>3</v>
      </c>
      <c r="I1973" s="50" t="str">
        <f>ARRAY_CONSTRAIN(ARRAYFORMULA(SUM(IF([3]!Table13[ID]=B1973,[3]!Table13[QTY]))), 1, 1)</f>
        <v>#ERROR!</v>
      </c>
      <c r="J1973" s="50" t="str">
        <f>TABLEITEM!$H$3:$H$2749-TABLEITEM!$I$3:$I$2749</f>
        <v>#ERROR!</v>
      </c>
    </row>
    <row r="1974" ht="15.75" customHeight="1">
      <c r="A1974" s="45"/>
      <c r="B1974" s="10" t="s">
        <v>3426</v>
      </c>
      <c r="C1974" s="26"/>
      <c r="D1974" s="10" t="s">
        <v>9543</v>
      </c>
      <c r="E1974" s="48"/>
      <c r="F1974" s="57" t="s">
        <v>7173</v>
      </c>
      <c r="G1974" s="49">
        <f t="array" ref="G1974">MAX(IF(INSTOCK!$H$3:$H$6125=B1974,INSTOCK!$K$3:$K$6125))</f>
        <v>560.75</v>
      </c>
      <c r="H1974" s="50">
        <f t="array" ref="H1974">SUM(IF(INSTOCK!$H$3:$H$6125=B1974,INSTOCK!$I$3:$I$6125))</f>
        <v>1</v>
      </c>
      <c r="I1974" s="50" t="str">
        <f>ARRAY_CONSTRAIN(ARRAYFORMULA(SUM(IF([3]!Table13[ID]=B1974,[3]!Table13[QTY]))), 1, 1)</f>
        <v>#ERROR!</v>
      </c>
      <c r="J1974" s="50" t="str">
        <f>TABLEITEM!$H$3:$H$2749-TABLEITEM!$I$3:$I$2749</f>
        <v>#ERROR!</v>
      </c>
    </row>
    <row r="1975" ht="15.75" customHeight="1">
      <c r="A1975" s="45"/>
      <c r="B1975" s="18" t="s">
        <v>2900</v>
      </c>
      <c r="C1975" s="26"/>
      <c r="D1975" s="18" t="s">
        <v>9544</v>
      </c>
      <c r="E1975" s="56"/>
      <c r="F1975" s="57" t="s">
        <v>7173</v>
      </c>
      <c r="G1975" s="49">
        <f t="array" ref="G1975">MAX(IF(INSTOCK!$H$3:$H$6125=B1975,INSTOCK!$K$3:$K$6125))</f>
        <v>158.88</v>
      </c>
      <c r="H1975" s="50">
        <f t="array" ref="H1975">SUM(IF(INSTOCK!$H$3:$H$6125=B1975,INSTOCK!$I$3:$I$6125))</f>
        <v>4</v>
      </c>
      <c r="I1975" s="50" t="str">
        <f>ARRAY_CONSTRAIN(ARRAYFORMULA(SUM(IF([3]!Table13[ID]=B1975,[3]!Table13[QTY]))), 1, 1)</f>
        <v>#ERROR!</v>
      </c>
      <c r="J1975" s="50" t="str">
        <f>TABLEITEM!$H$3:$H$2749-TABLEITEM!$I$3:$I$2749</f>
        <v>#ERROR!</v>
      </c>
    </row>
    <row r="1976" ht="15.75" customHeight="1">
      <c r="A1976" s="45"/>
      <c r="B1976" s="18" t="s">
        <v>2015</v>
      </c>
      <c r="C1976" s="26"/>
      <c r="D1976" s="10" t="s">
        <v>9545</v>
      </c>
      <c r="E1976" s="56"/>
      <c r="F1976" s="57" t="s">
        <v>7173</v>
      </c>
      <c r="G1976" s="49">
        <f t="array" ref="G1976">MAX(IF(INSTOCK!$H$3:$H$6125=B1976,INSTOCK!$K$3:$K$6125))</f>
        <v>88.79</v>
      </c>
      <c r="H1976" s="50">
        <f t="array" ref="H1976">SUM(IF(INSTOCK!$H$3:$H$6125=B1976,INSTOCK!$I$3:$I$6125))</f>
        <v>6</v>
      </c>
      <c r="I1976" s="50" t="str">
        <f>ARRAY_CONSTRAIN(ARRAYFORMULA(SUM(IF([3]!Table13[ID]=B1976,[3]!Table13[QTY]))), 1, 1)</f>
        <v>#ERROR!</v>
      </c>
      <c r="J1976" s="50" t="str">
        <f>TABLEITEM!$H$3:$H$2749-TABLEITEM!$I$3:$I$2749</f>
        <v>#ERROR!</v>
      </c>
    </row>
    <row r="1977" ht="15.75" customHeight="1">
      <c r="A1977" s="45"/>
      <c r="B1977" s="10" t="s">
        <v>4381</v>
      </c>
      <c r="C1977" s="26"/>
      <c r="D1977" s="10" t="s">
        <v>9546</v>
      </c>
      <c r="E1977" s="48"/>
      <c r="F1977" s="57" t="s">
        <v>7173</v>
      </c>
      <c r="G1977" s="49">
        <f t="array" ref="G1977">MAX(IF(INSTOCK!$H$3:$H$6125=B1977,INSTOCK!$K$3:$K$6125))</f>
        <v>50</v>
      </c>
      <c r="H1977" s="50">
        <f t="array" ref="H1977">SUM(IF(INSTOCK!$H$3:$H$6125=B1977,INSTOCK!$I$3:$I$6125))</f>
        <v>1</v>
      </c>
      <c r="I1977" s="50" t="str">
        <f>ARRAY_CONSTRAIN(ARRAYFORMULA(SUM(IF([3]!Table13[ID]=B1977,[3]!Table13[QTY]))), 1, 1)</f>
        <v>#ERROR!</v>
      </c>
      <c r="J1977" s="50" t="str">
        <f>TABLEITEM!$H$3:$H$2749-TABLEITEM!$I$3:$I$2749</f>
        <v>#ERROR!</v>
      </c>
    </row>
    <row r="1978" ht="15.75" customHeight="1">
      <c r="A1978" s="45"/>
      <c r="B1978" s="10" t="s">
        <v>4382</v>
      </c>
      <c r="C1978" s="26"/>
      <c r="D1978" s="10" t="s">
        <v>9547</v>
      </c>
      <c r="E1978" s="48"/>
      <c r="F1978" s="57" t="s">
        <v>7445</v>
      </c>
      <c r="G1978" s="49">
        <f t="array" ref="G1978">MAX(IF(INSTOCK!$H$3:$H$6125=B1978,INSTOCK!$K$3:$K$6125))</f>
        <v>75</v>
      </c>
      <c r="H1978" s="50">
        <f t="array" ref="H1978">SUM(IF(INSTOCK!$H$3:$H$6125=B1978,INSTOCK!$I$3:$I$6125))</f>
        <v>1</v>
      </c>
      <c r="I1978" s="50" t="str">
        <f>ARRAY_CONSTRAIN(ARRAYFORMULA(SUM(IF([3]!Table13[ID]=B1978,[3]!Table13[QTY]))), 1, 1)</f>
        <v>#ERROR!</v>
      </c>
      <c r="J1978" s="50" t="str">
        <f>TABLEITEM!$H$3:$H$2749-TABLEITEM!$I$3:$I$2749</f>
        <v>#ERROR!</v>
      </c>
    </row>
    <row r="1979" ht="15.75" customHeight="1">
      <c r="A1979" s="45"/>
      <c r="B1979" s="18" t="s">
        <v>4383</v>
      </c>
      <c r="C1979" s="26"/>
      <c r="D1979" s="18" t="s">
        <v>9548</v>
      </c>
      <c r="E1979" s="56"/>
      <c r="F1979" s="57" t="s">
        <v>7173</v>
      </c>
      <c r="G1979" s="49">
        <f t="array" ref="G1979">MAX(IF(INSTOCK!$H$3:$H$6125=B1979,INSTOCK!$K$3:$K$6125))</f>
        <v>3</v>
      </c>
      <c r="H1979" s="50">
        <f t="array" ref="H1979">SUM(IF(INSTOCK!$H$3:$H$6125=B1979,INSTOCK!$I$3:$I$6125))</f>
        <v>3</v>
      </c>
      <c r="I1979" s="50" t="str">
        <f>ARRAY_CONSTRAIN(ARRAYFORMULA(SUM(IF([3]!Table13[ID]=B1979,[3]!Table13[QTY]))), 1, 1)</f>
        <v>#ERROR!</v>
      </c>
      <c r="J1979" s="50" t="str">
        <f>TABLEITEM!$H$3:$H$2749-TABLEITEM!$I$3:$I$2749</f>
        <v>#ERROR!</v>
      </c>
    </row>
    <row r="1980" ht="15.75" customHeight="1">
      <c r="A1980" s="45"/>
      <c r="B1980" s="18" t="s">
        <v>4385</v>
      </c>
      <c r="C1980" s="26"/>
      <c r="D1980" s="18" t="s">
        <v>9549</v>
      </c>
      <c r="E1980" s="56" t="s">
        <v>7188</v>
      </c>
      <c r="F1980" s="57" t="s">
        <v>7173</v>
      </c>
      <c r="G1980" s="49">
        <f t="array" ref="G1980">MAX(IF(INSTOCK!$H$3:$H$6125=B1980,INSTOCK!$K$3:$K$6125))</f>
        <v>893</v>
      </c>
      <c r="H1980" s="50">
        <f t="array" ref="H1980">SUM(IF(INSTOCK!$H$3:$H$6125=B1980,INSTOCK!$I$3:$I$6125))</f>
        <v>7</v>
      </c>
      <c r="I1980" s="50" t="str">
        <f>ARRAY_CONSTRAIN(ARRAYFORMULA(SUM(IF([3]!Table13[ID]=B1980,[3]!Table13[QTY]))), 1, 1)</f>
        <v>#ERROR!</v>
      </c>
      <c r="J1980" s="50" t="str">
        <f>TABLEITEM!$H$3:$H$2749-TABLEITEM!$I$3:$I$2749</f>
        <v>#ERROR!</v>
      </c>
    </row>
    <row r="1981" ht="15.75" customHeight="1">
      <c r="A1981" s="45"/>
      <c r="B1981" s="18" t="s">
        <v>4390</v>
      </c>
      <c r="C1981" s="26"/>
      <c r="D1981" s="18" t="s">
        <v>9550</v>
      </c>
      <c r="E1981" s="56" t="s">
        <v>9551</v>
      </c>
      <c r="F1981" s="57" t="s">
        <v>7173</v>
      </c>
      <c r="G1981" s="49">
        <f t="array" ref="G1981">MAX(IF(INSTOCK!$H$3:$H$6125=B1981,INSTOCK!$K$3:$K$6125))</f>
        <v>3045</v>
      </c>
      <c r="H1981" s="50">
        <f t="array" ref="H1981">SUM(IF(INSTOCK!$H$3:$H$6125=B1981,INSTOCK!$I$3:$I$6125))</f>
        <v>9</v>
      </c>
      <c r="I1981" s="50" t="str">
        <f>ARRAY_CONSTRAIN(ARRAYFORMULA(SUM(IF([3]!Table13[ID]=B1981,[3]!Table13[QTY]))), 1, 1)</f>
        <v>#ERROR!</v>
      </c>
      <c r="J1981" s="50" t="str">
        <f>TABLEITEM!$H$3:$H$2749-TABLEITEM!$I$3:$I$2749</f>
        <v>#ERROR!</v>
      </c>
    </row>
    <row r="1982" ht="15.75" customHeight="1">
      <c r="A1982" s="45"/>
      <c r="B1982" s="18" t="s">
        <v>4399</v>
      </c>
      <c r="C1982" s="26"/>
      <c r="D1982" s="18" t="s">
        <v>9552</v>
      </c>
      <c r="E1982" s="56" t="s">
        <v>9301</v>
      </c>
      <c r="F1982" s="48" t="s">
        <v>7189</v>
      </c>
      <c r="G1982" s="49">
        <f t="array" ref="G1982">MAX(IF(INSTOCK!$H$3:$H$6125=B1982,INSTOCK!$K$3:$K$6125))</f>
        <v>120</v>
      </c>
      <c r="H1982" s="50">
        <f t="array" ref="H1982">SUM(IF(INSTOCK!$H$3:$H$6125=B1982,INSTOCK!$I$3:$I$6125))</f>
        <v>20</v>
      </c>
      <c r="I1982" s="50" t="str">
        <f>ARRAY_CONSTRAIN(ARRAYFORMULA(SUM(IF([3]!Table13[ID]=B1982,[3]!Table13[QTY]))), 1, 1)</f>
        <v>#ERROR!</v>
      </c>
      <c r="J1982" s="50" t="str">
        <f>TABLEITEM!$H$3:$H$2749-TABLEITEM!$I$3:$I$2749</f>
        <v>#ERROR!</v>
      </c>
    </row>
    <row r="1983" ht="15.75" customHeight="1">
      <c r="A1983" s="45"/>
      <c r="B1983" s="10" t="s">
        <v>4405</v>
      </c>
      <c r="C1983" s="26"/>
      <c r="D1983" s="10" t="s">
        <v>9553</v>
      </c>
      <c r="E1983" s="48"/>
      <c r="F1983" s="57" t="s">
        <v>7173</v>
      </c>
      <c r="G1983" s="49">
        <f t="array" ref="G1983">MAX(IF(INSTOCK!$H$3:$H$6125=B1983,INSTOCK!$K$3:$K$6125))</f>
        <v>459</v>
      </c>
      <c r="H1983" s="50">
        <f t="array" ref="H1983">SUM(IF(INSTOCK!$H$3:$H$6125=B1983,INSTOCK!$I$3:$I$6125))</f>
        <v>1</v>
      </c>
      <c r="I1983" s="50" t="str">
        <f>ARRAY_CONSTRAIN(ARRAYFORMULA(SUM(IF([3]!Table13[ID]=B1983,[3]!Table13[QTY]))), 1, 1)</f>
        <v>#ERROR!</v>
      </c>
      <c r="J1983" s="50" t="str">
        <f>TABLEITEM!$H$3:$H$2749-TABLEITEM!$I$3:$I$2749</f>
        <v>#ERROR!</v>
      </c>
    </row>
    <row r="1984" ht="15.75" customHeight="1">
      <c r="A1984" s="45"/>
      <c r="B1984" s="10" t="s">
        <v>4406</v>
      </c>
      <c r="C1984" s="26"/>
      <c r="D1984" s="10" t="s">
        <v>9554</v>
      </c>
      <c r="E1984" s="48"/>
      <c r="F1984" s="57" t="s">
        <v>7173</v>
      </c>
      <c r="G1984" s="49">
        <f t="array" ref="G1984">MAX(IF(INSTOCK!$H$3:$H$6125=B1984,INSTOCK!$K$3:$K$6125))</f>
        <v>663</v>
      </c>
      <c r="H1984" s="50">
        <f t="array" ref="H1984">SUM(IF(INSTOCK!$H$3:$H$6125=B1984,INSTOCK!$I$3:$I$6125))</f>
        <v>1</v>
      </c>
      <c r="I1984" s="50" t="str">
        <f>ARRAY_CONSTRAIN(ARRAYFORMULA(SUM(IF([3]!Table13[ID]=B1984,[3]!Table13[QTY]))), 1, 1)</f>
        <v>#ERROR!</v>
      </c>
      <c r="J1984" s="50" t="str">
        <f>TABLEITEM!$H$3:$H$2749-TABLEITEM!$I$3:$I$2749</f>
        <v>#ERROR!</v>
      </c>
    </row>
    <row r="1985" ht="15.75" customHeight="1">
      <c r="A1985" s="45"/>
      <c r="B1985" s="10" t="s">
        <v>4407</v>
      </c>
      <c r="C1985" s="26"/>
      <c r="D1985" s="10" t="s">
        <v>9555</v>
      </c>
      <c r="E1985" s="48"/>
      <c r="F1985" s="57" t="s">
        <v>7173</v>
      </c>
      <c r="G1985" s="49">
        <f t="array" ref="G1985">MAX(IF(INSTOCK!$H$3:$H$6125=B1985,INSTOCK!$K$3:$K$6125))</f>
        <v>45</v>
      </c>
      <c r="H1985" s="50">
        <f t="array" ref="H1985">SUM(IF(INSTOCK!$H$3:$H$6125=B1985,INSTOCK!$I$3:$I$6125))</f>
        <v>8</v>
      </c>
      <c r="I1985" s="50" t="str">
        <f>ARRAY_CONSTRAIN(ARRAYFORMULA(SUM(IF([3]!Table13[ID]=B1985,[3]!Table13[QTY]))), 1, 1)</f>
        <v>#ERROR!</v>
      </c>
      <c r="J1985" s="50" t="str">
        <f>TABLEITEM!$H$3:$H$2749-TABLEITEM!$I$3:$I$2749</f>
        <v>#ERROR!</v>
      </c>
    </row>
    <row r="1986" ht="15.75" customHeight="1">
      <c r="A1986" s="45"/>
      <c r="B1986" s="18" t="s">
        <v>4408</v>
      </c>
      <c r="C1986" s="26"/>
      <c r="D1986" s="18" t="s">
        <v>9556</v>
      </c>
      <c r="E1986" s="56"/>
      <c r="F1986" s="57" t="s">
        <v>7173</v>
      </c>
      <c r="G1986" s="49">
        <f t="array" ref="G1986">MAX(IF(INSTOCK!$H$3:$H$6125=B1986,INSTOCK!$K$3:$K$6125))</f>
        <v>35</v>
      </c>
      <c r="H1986" s="50">
        <f t="array" ref="H1986">SUM(IF(INSTOCK!$H$3:$H$6125=B1986,INSTOCK!$I$3:$I$6125))</f>
        <v>4</v>
      </c>
      <c r="I1986" s="50" t="str">
        <f>ARRAY_CONSTRAIN(ARRAYFORMULA(SUM(IF([3]!Table13[ID]=B1986,[3]!Table13[QTY]))), 1, 1)</f>
        <v>#ERROR!</v>
      </c>
      <c r="J1986" s="50" t="str">
        <f>TABLEITEM!$H$3:$H$2749-TABLEITEM!$I$3:$I$2749</f>
        <v>#ERROR!</v>
      </c>
    </row>
    <row r="1987" ht="15.75" customHeight="1">
      <c r="A1987" s="45"/>
      <c r="B1987" s="18" t="s">
        <v>4411</v>
      </c>
      <c r="C1987" s="26"/>
      <c r="D1987" s="18" t="s">
        <v>9557</v>
      </c>
      <c r="E1987" s="56" t="s">
        <v>1487</v>
      </c>
      <c r="F1987" s="57" t="s">
        <v>7173</v>
      </c>
      <c r="G1987" s="49">
        <f t="array" ref="G1987">MAX(IF(INSTOCK!$H$3:$H$6125=B1987,INSTOCK!$K$3:$K$6125))</f>
        <v>43.12</v>
      </c>
      <c r="H1987" s="50">
        <f t="array" ref="H1987">SUM(IF(INSTOCK!$H$3:$H$6125=B1987,INSTOCK!$I$3:$I$6125))</f>
        <v>1</v>
      </c>
      <c r="I1987" s="50" t="str">
        <f>ARRAY_CONSTRAIN(ARRAYFORMULA(SUM(IF([3]!Table13[ID]=B1987,[3]!Table13[QTY]))), 1, 1)</f>
        <v>#ERROR!</v>
      </c>
      <c r="J1987" s="50" t="str">
        <f>TABLEITEM!$H$3:$H$2749-TABLEITEM!$I$3:$I$2749</f>
        <v>#ERROR!</v>
      </c>
    </row>
    <row r="1988" ht="15.75" customHeight="1">
      <c r="A1988" s="45"/>
      <c r="B1988" s="10" t="s">
        <v>4412</v>
      </c>
      <c r="C1988" s="26"/>
      <c r="D1988" s="10" t="s">
        <v>9558</v>
      </c>
      <c r="E1988" s="48" t="s">
        <v>7188</v>
      </c>
      <c r="F1988" s="57" t="s">
        <v>7173</v>
      </c>
      <c r="G1988" s="49">
        <f t="array" ref="G1988">MAX(IF(INSTOCK!$H$3:$H$6125=B1988,INSTOCK!$K$3:$K$6125))</f>
        <v>1551</v>
      </c>
      <c r="H1988" s="50">
        <f t="array" ref="H1988">SUM(IF(INSTOCK!$H$3:$H$6125=B1988,INSTOCK!$I$3:$I$6125))</f>
        <v>2</v>
      </c>
      <c r="I1988" s="50" t="str">
        <f>ARRAY_CONSTRAIN(ARRAYFORMULA(SUM(IF([3]!Table13[ID]=B1988,[3]!Table13[QTY]))), 1, 1)</f>
        <v>#ERROR!</v>
      </c>
      <c r="J1988" s="50" t="str">
        <f>TABLEITEM!$H$3:$H$2749-TABLEITEM!$I$3:$I$2749</f>
        <v>#ERROR!</v>
      </c>
    </row>
    <row r="1989" ht="15.75" customHeight="1">
      <c r="A1989" s="45"/>
      <c r="B1989" s="10" t="s">
        <v>4414</v>
      </c>
      <c r="C1989" s="26"/>
      <c r="D1989" s="10" t="s">
        <v>9559</v>
      </c>
      <c r="E1989" s="48" t="s">
        <v>7188</v>
      </c>
      <c r="F1989" s="57" t="s">
        <v>7173</v>
      </c>
      <c r="G1989" s="49">
        <f t="array" ref="G1989">MAX(IF(INSTOCK!$H$3:$H$6125=B1989,INSTOCK!$K$3:$K$6125))</f>
        <v>893</v>
      </c>
      <c r="H1989" s="50">
        <f t="array" ref="H1989">SUM(IF(INSTOCK!$H$3:$H$6125=B1989,INSTOCK!$I$3:$I$6125))</f>
        <v>2</v>
      </c>
      <c r="I1989" s="50" t="str">
        <f>ARRAY_CONSTRAIN(ARRAYFORMULA(SUM(IF([3]!Table13[ID]=B1989,[3]!Table13[QTY]))), 1, 1)</f>
        <v>#ERROR!</v>
      </c>
      <c r="J1989" s="50" t="str">
        <f>TABLEITEM!$H$3:$H$2749-TABLEITEM!$I$3:$I$2749</f>
        <v>#ERROR!</v>
      </c>
    </row>
    <row r="1990" ht="15.75" customHeight="1">
      <c r="A1990" s="45"/>
      <c r="B1990" s="18" t="s">
        <v>4415</v>
      </c>
      <c r="C1990" s="26"/>
      <c r="D1990" s="10" t="s">
        <v>9560</v>
      </c>
      <c r="E1990" s="48" t="s">
        <v>7188</v>
      </c>
      <c r="F1990" s="57" t="s">
        <v>7173</v>
      </c>
      <c r="G1990" s="49">
        <f t="array" ref="G1990">MAX(IF(INSTOCK!$H$3:$H$6125=B1990,INSTOCK!$K$3:$K$6125))</f>
        <v>893</v>
      </c>
      <c r="H1990" s="50">
        <f t="array" ref="H1990">SUM(IF(INSTOCK!$H$3:$H$6125=B1990,INSTOCK!$I$3:$I$6125))</f>
        <v>1</v>
      </c>
      <c r="I1990" s="50" t="str">
        <f>ARRAY_CONSTRAIN(ARRAYFORMULA(SUM(IF([3]!Table13[ID]=B1990,[3]!Table13[QTY]))), 1, 1)</f>
        <v>#ERROR!</v>
      </c>
      <c r="J1990" s="50" t="str">
        <f>TABLEITEM!$H$3:$H$2749-TABLEITEM!$I$3:$I$2749</f>
        <v>#ERROR!</v>
      </c>
    </row>
    <row r="1991" ht="15.75" customHeight="1">
      <c r="A1991" s="45"/>
      <c r="B1991" s="10" t="s">
        <v>4420</v>
      </c>
      <c r="C1991" s="26"/>
      <c r="D1991" s="10" t="s">
        <v>9561</v>
      </c>
      <c r="E1991" s="48"/>
      <c r="F1991" s="57" t="s">
        <v>7173</v>
      </c>
      <c r="G1991" s="49">
        <f t="array" ref="G1991">MAX(IF(INSTOCK!$H$3:$H$6125=B1991,INSTOCK!$K$3:$K$6125))</f>
        <v>265</v>
      </c>
      <c r="H1991" s="50">
        <f t="array" ref="H1991">SUM(IF(INSTOCK!$H$3:$H$6125=B1991,INSTOCK!$I$3:$I$6125))</f>
        <v>2</v>
      </c>
      <c r="I1991" s="50" t="str">
        <f>ARRAY_CONSTRAIN(ARRAYFORMULA(SUM(IF([3]!Table13[ID]=B1991,[3]!Table13[QTY]))), 1, 1)</f>
        <v>#ERROR!</v>
      </c>
      <c r="J1991" s="50" t="str">
        <f>TABLEITEM!$H$3:$H$2749-TABLEITEM!$I$3:$I$2749</f>
        <v>#ERROR!</v>
      </c>
    </row>
    <row r="1992" ht="15.75" customHeight="1">
      <c r="A1992" s="45"/>
      <c r="B1992" s="18" t="s">
        <v>4421</v>
      </c>
      <c r="C1992" s="26"/>
      <c r="D1992" s="18" t="s">
        <v>9562</v>
      </c>
      <c r="E1992" s="56"/>
      <c r="F1992" s="57" t="s">
        <v>7173</v>
      </c>
      <c r="G1992" s="49">
        <f t="array" ref="G1992">MAX(IF(INSTOCK!$H$3:$H$6125=B1992,INSTOCK!$K$3:$K$6125))</f>
        <v>165</v>
      </c>
      <c r="H1992" s="50">
        <f t="array" ref="H1992">SUM(IF(INSTOCK!$H$3:$H$6125=B1992,INSTOCK!$I$3:$I$6125))</f>
        <v>2</v>
      </c>
      <c r="I1992" s="50" t="str">
        <f>ARRAY_CONSTRAIN(ARRAYFORMULA(SUM(IF([3]!Table13[ID]=B1992,[3]!Table13[QTY]))), 1, 1)</f>
        <v>#ERROR!</v>
      </c>
      <c r="J1992" s="50" t="str">
        <f>TABLEITEM!$H$3:$H$2749-TABLEITEM!$I$3:$I$2749</f>
        <v>#ERROR!</v>
      </c>
    </row>
    <row r="1993" ht="15.75" customHeight="1">
      <c r="A1993" s="45"/>
      <c r="B1993" s="18" t="s">
        <v>4424</v>
      </c>
      <c r="C1993" s="26"/>
      <c r="D1993" s="18" t="s">
        <v>9563</v>
      </c>
      <c r="E1993" s="48" t="s">
        <v>8194</v>
      </c>
      <c r="F1993" s="57" t="s">
        <v>7173</v>
      </c>
      <c r="G1993" s="49">
        <f t="array" ref="G1993">MAX(IF(INSTOCK!$H$3:$H$6125=B1993,INSTOCK!$K$3:$K$6125))</f>
        <v>360</v>
      </c>
      <c r="H1993" s="50">
        <f t="array" ref="H1993">SUM(IF(INSTOCK!$H$3:$H$6125=B1993,INSTOCK!$I$3:$I$6125))</f>
        <v>14</v>
      </c>
      <c r="I1993" s="50" t="str">
        <f>ARRAY_CONSTRAIN(ARRAYFORMULA(SUM(IF([3]!Table13[ID]=B1993,[3]!Table13[QTY]))), 1, 1)</f>
        <v>#ERROR!</v>
      </c>
      <c r="J1993" s="50" t="str">
        <f>TABLEITEM!$H$3:$H$2749-TABLEITEM!$I$3:$I$2749</f>
        <v>#ERROR!</v>
      </c>
    </row>
    <row r="1994" ht="15.75" customHeight="1">
      <c r="A1994" s="45"/>
      <c r="B1994" s="18" t="s">
        <v>4433</v>
      </c>
      <c r="C1994" s="26"/>
      <c r="D1994" s="18" t="s">
        <v>4433</v>
      </c>
      <c r="E1994" s="56"/>
      <c r="F1994" s="57" t="s">
        <v>7173</v>
      </c>
      <c r="G1994" s="49">
        <f t="array" ref="G1994">MAX(IF(INSTOCK!$H$3:$H$6125=B1994,INSTOCK!$K$3:$K$6125))</f>
        <v>25</v>
      </c>
      <c r="H1994" s="50">
        <f t="array" ref="H1994">SUM(IF(INSTOCK!$H$3:$H$6125=B1994,INSTOCK!$I$3:$I$6125))</f>
        <v>10</v>
      </c>
      <c r="I1994" s="50" t="str">
        <f>ARRAY_CONSTRAIN(ARRAYFORMULA(SUM(IF([3]!Table13[ID]=B1994,[3]!Table13[QTY]))), 1, 1)</f>
        <v>#ERROR!</v>
      </c>
      <c r="J1994" s="50" t="str">
        <f>TABLEITEM!$H$3:$H$2749-TABLEITEM!$I$3:$I$2749</f>
        <v>#ERROR!</v>
      </c>
    </row>
    <row r="1995" ht="15.75" customHeight="1">
      <c r="A1995" s="45"/>
      <c r="B1995" s="18" t="s">
        <v>5373</v>
      </c>
      <c r="C1995" s="26"/>
      <c r="D1995" s="18" t="s">
        <v>9564</v>
      </c>
      <c r="E1995" s="56"/>
      <c r="F1995" s="57" t="s">
        <v>7173</v>
      </c>
      <c r="G1995" s="49">
        <f t="array" ref="G1995">MAX(IF(INSTOCK!$H$3:$H$6125=B1995,INSTOCK!$K$3:$K$6125))</f>
        <v>23.36</v>
      </c>
      <c r="H1995" s="50">
        <f t="array" ref="H1995">SUM(IF(INSTOCK!$H$3:$H$6125=B1995,INSTOCK!$I$3:$I$6125))</f>
        <v>2</v>
      </c>
      <c r="I1995" s="50" t="str">
        <f>ARRAY_CONSTRAIN(ARRAYFORMULA(SUM(IF([3]!Table13[ID]=B1995,[3]!Table13[QTY]))), 1, 1)</f>
        <v>#ERROR!</v>
      </c>
      <c r="J1995" s="50" t="str">
        <f>TABLEITEM!$H$3:$H$2749-TABLEITEM!$I$3:$I$2749</f>
        <v>#ERROR!</v>
      </c>
    </row>
    <row r="1996" ht="15.75" customHeight="1">
      <c r="A1996" s="45"/>
      <c r="B1996" s="10" t="s">
        <v>4455</v>
      </c>
      <c r="C1996" s="26"/>
      <c r="D1996" s="10" t="s">
        <v>9565</v>
      </c>
      <c r="E1996" s="48" t="s">
        <v>1504</v>
      </c>
      <c r="F1996" s="57" t="s">
        <v>7173</v>
      </c>
      <c r="G1996" s="49">
        <f t="array" ref="G1996">MAX(IF(INSTOCK!$H$3:$H$6125=B1996,INSTOCK!$K$3:$K$6125))</f>
        <v>108000</v>
      </c>
      <c r="H1996" s="50">
        <f t="array" ref="H1996">SUM(IF(INSTOCK!$H$3:$H$6125=B1996,INSTOCK!$I$3:$I$6125))</f>
        <v>1</v>
      </c>
      <c r="I1996" s="50" t="str">
        <f>ARRAY_CONSTRAIN(ARRAYFORMULA(SUM(IF([3]!Table13[ID]=B1996,[3]!Table13[QTY]))), 1, 1)</f>
        <v>#ERROR!</v>
      </c>
      <c r="J1996" s="50" t="str">
        <f>TABLEITEM!$H$3:$H$2749-TABLEITEM!$I$3:$I$2749</f>
        <v>#ERROR!</v>
      </c>
    </row>
    <row r="1997" ht="15.75" customHeight="1">
      <c r="A1997" s="45"/>
      <c r="B1997" s="18" t="s">
        <v>4456</v>
      </c>
      <c r="C1997" s="26"/>
      <c r="D1997" s="18" t="s">
        <v>9566</v>
      </c>
      <c r="E1997" s="56" t="s">
        <v>1504</v>
      </c>
      <c r="F1997" s="57" t="s">
        <v>7173</v>
      </c>
      <c r="G1997" s="49">
        <f t="array" ref="G1997">MAX(IF(INSTOCK!$H$3:$H$6125=B1997,INSTOCK!$K$3:$K$6125))</f>
        <v>5000</v>
      </c>
      <c r="H1997" s="50">
        <f t="array" ref="H1997">SUM(IF(INSTOCK!$H$3:$H$6125=B1997,INSTOCK!$I$3:$I$6125))</f>
        <v>3</v>
      </c>
      <c r="I1997" s="50" t="str">
        <f>ARRAY_CONSTRAIN(ARRAYFORMULA(SUM(IF([3]!Table13[ID]=B1997,[3]!Table13[QTY]))), 1, 1)</f>
        <v>#ERROR!</v>
      </c>
      <c r="J1997" s="50" t="str">
        <f>TABLEITEM!$H$3:$H$2749-TABLEITEM!$I$3:$I$2749</f>
        <v>#ERROR!</v>
      </c>
    </row>
    <row r="1998" ht="15.75" customHeight="1">
      <c r="A1998" s="45"/>
      <c r="B1998" s="10" t="s">
        <v>4459</v>
      </c>
      <c r="C1998" s="26"/>
      <c r="D1998" s="10" t="s">
        <v>9567</v>
      </c>
      <c r="E1998" s="48" t="s">
        <v>8106</v>
      </c>
      <c r="F1998" s="57" t="s">
        <v>7173</v>
      </c>
      <c r="G1998" s="49">
        <f t="array" ref="G1998">MAX(IF(INSTOCK!$H$3:$H$6125=B1998,INSTOCK!$K$3:$K$6125))</f>
        <v>395</v>
      </c>
      <c r="H1998" s="50">
        <f t="array" ref="H1998">SUM(IF(INSTOCK!$H$3:$H$6125=B1998,INSTOCK!$I$3:$I$6125))</f>
        <v>2</v>
      </c>
      <c r="I1998" s="50" t="str">
        <f>ARRAY_CONSTRAIN(ARRAYFORMULA(SUM(IF([3]!Table13[ID]=B1998,[3]!Table13[QTY]))), 1, 1)</f>
        <v>#ERROR!</v>
      </c>
      <c r="J1998" s="50" t="str">
        <f>TABLEITEM!$H$3:$H$2749-TABLEITEM!$I$3:$I$2749</f>
        <v>#ERROR!</v>
      </c>
    </row>
    <row r="1999" ht="15.75" customHeight="1">
      <c r="A1999" s="45"/>
      <c r="B1999" s="18" t="s">
        <v>4460</v>
      </c>
      <c r="C1999" s="26"/>
      <c r="D1999" s="10" t="s">
        <v>9568</v>
      </c>
      <c r="E1999" s="56" t="s">
        <v>8106</v>
      </c>
      <c r="F1999" s="57" t="s">
        <v>7173</v>
      </c>
      <c r="G1999" s="49">
        <f t="array" ref="G1999">MAX(IF(INSTOCK!$H$3:$H$6125=B1999,INSTOCK!$K$3:$K$6125))</f>
        <v>295</v>
      </c>
      <c r="H1999" s="50">
        <f t="array" ref="H1999">SUM(IF(INSTOCK!$H$3:$H$6125=B1999,INSTOCK!$I$3:$I$6125))</f>
        <v>2</v>
      </c>
      <c r="I1999" s="50" t="str">
        <f>ARRAY_CONSTRAIN(ARRAYFORMULA(SUM(IF([3]!Table13[ID]=B1999,[3]!Table13[QTY]))), 1, 1)</f>
        <v>#ERROR!</v>
      </c>
      <c r="J1999" s="50" t="str">
        <f>TABLEITEM!$H$3:$H$2749-TABLEITEM!$I$3:$I$2749</f>
        <v>#ERROR!</v>
      </c>
    </row>
    <row r="2000" ht="15.75" customHeight="1">
      <c r="A2000" s="45"/>
      <c r="B2000" s="18" t="s">
        <v>4478</v>
      </c>
      <c r="C2000" s="26"/>
      <c r="D2000" s="18" t="s">
        <v>9569</v>
      </c>
      <c r="E2000" s="56" t="s">
        <v>8360</v>
      </c>
      <c r="F2000" s="48" t="s">
        <v>7173</v>
      </c>
      <c r="G2000" s="49">
        <f t="array" ref="G2000">MAX(IF(INSTOCK!$H$3:$H$6125=B2000,INSTOCK!$K$3:$K$6125))</f>
        <v>41520</v>
      </c>
      <c r="H2000" s="50">
        <f t="array" ref="H2000">SUM(IF(INSTOCK!$H$3:$H$6125=B2000,INSTOCK!$I$3:$I$6125))</f>
        <v>1</v>
      </c>
      <c r="I2000" s="50" t="str">
        <f>ARRAY_CONSTRAIN(ARRAYFORMULA(SUM(IF([3]!Table13[ID]=B2000,[3]!Table13[QTY]))), 1, 1)</f>
        <v>#ERROR!</v>
      </c>
      <c r="J2000" s="50" t="str">
        <f>TABLEITEM!$H$3:$H$2749-TABLEITEM!$I$3:$I$2749</f>
        <v>#ERROR!</v>
      </c>
    </row>
    <row r="2001" ht="15.75" customHeight="1">
      <c r="A2001" s="45"/>
      <c r="B2001" s="18" t="s">
        <v>4485</v>
      </c>
      <c r="C2001" s="26"/>
      <c r="D2001" s="18" t="s">
        <v>9570</v>
      </c>
      <c r="E2001" s="56" t="s">
        <v>9571</v>
      </c>
      <c r="F2001" s="57" t="s">
        <v>7173</v>
      </c>
      <c r="G2001" s="49">
        <f t="array" ref="G2001">MAX(IF(INSTOCK!$H$3:$H$6125=B2001,INSTOCK!$K$3:$K$6125))</f>
        <v>540</v>
      </c>
      <c r="H2001" s="50">
        <f t="array" ref="H2001">SUM(IF(INSTOCK!$H$3:$H$6125=B2001,INSTOCK!$I$3:$I$6125))</f>
        <v>2</v>
      </c>
      <c r="I2001" s="50" t="str">
        <f>ARRAY_CONSTRAIN(ARRAYFORMULA(SUM(IF([3]!Table13[ID]=B2001,[3]!Table13[QTY]))), 1, 1)</f>
        <v>#ERROR!</v>
      </c>
      <c r="J2001" s="50" t="str">
        <f>TABLEITEM!$H$3:$H$2749-TABLEITEM!$I$3:$I$2749</f>
        <v>#ERROR!</v>
      </c>
    </row>
    <row r="2002" ht="15.75" customHeight="1">
      <c r="A2002" s="45"/>
      <c r="B2002" s="18" t="s">
        <v>4500</v>
      </c>
      <c r="C2002" s="26"/>
      <c r="D2002" s="18" t="s">
        <v>9572</v>
      </c>
      <c r="E2002" s="56" t="s">
        <v>9573</v>
      </c>
      <c r="F2002" s="57" t="s">
        <v>7173</v>
      </c>
      <c r="G2002" s="49">
        <f t="array" ref="G2002">MAX(IF(INSTOCK!$H$3:$H$6125=B2002,INSTOCK!$K$3:$K$6125))</f>
        <v>2500</v>
      </c>
      <c r="H2002" s="50">
        <f t="array" ref="H2002">SUM(IF(INSTOCK!$H$3:$H$6125=B2002,INSTOCK!$I$3:$I$6125))</f>
        <v>1</v>
      </c>
      <c r="I2002" s="50" t="str">
        <f>ARRAY_CONSTRAIN(ARRAYFORMULA(SUM(IF([3]!Table13[ID]=B2002,[3]!Table13[QTY]))), 1, 1)</f>
        <v>#ERROR!</v>
      </c>
      <c r="J2002" s="50" t="str">
        <f>TABLEITEM!$H$3:$H$2749-TABLEITEM!$I$3:$I$2749</f>
        <v>#ERROR!</v>
      </c>
    </row>
    <row r="2003" ht="15.75" customHeight="1">
      <c r="A2003" s="45"/>
      <c r="B2003" s="10" t="s">
        <v>4502</v>
      </c>
      <c r="C2003" s="26"/>
      <c r="D2003" s="10" t="s">
        <v>9574</v>
      </c>
      <c r="E2003" s="48" t="s">
        <v>9575</v>
      </c>
      <c r="F2003" s="57" t="s">
        <v>7173</v>
      </c>
      <c r="G2003" s="49">
        <f t="array" ref="G2003">MAX(IF(INSTOCK!$H$3:$H$6125=B2003,INSTOCK!$K$3:$K$6125))</f>
        <v>32</v>
      </c>
      <c r="H2003" s="50">
        <f t="array" ref="H2003">SUM(IF(INSTOCK!$H$3:$H$6125=B2003,INSTOCK!$I$3:$I$6125))</f>
        <v>25</v>
      </c>
      <c r="I2003" s="50" t="str">
        <f>ARRAY_CONSTRAIN(ARRAYFORMULA(SUM(IF([3]!Table13[ID]=B2003,[3]!Table13[QTY]))), 1, 1)</f>
        <v>#ERROR!</v>
      </c>
      <c r="J2003" s="50" t="str">
        <f>TABLEITEM!$H$3:$H$2749-TABLEITEM!$I$3:$I$2749</f>
        <v>#ERROR!</v>
      </c>
    </row>
    <row r="2004" ht="15.75" customHeight="1">
      <c r="A2004" s="45"/>
      <c r="B2004" s="10" t="s">
        <v>4503</v>
      </c>
      <c r="C2004" s="26"/>
      <c r="D2004" s="10" t="s">
        <v>9576</v>
      </c>
      <c r="E2004" s="48"/>
      <c r="F2004" s="57" t="s">
        <v>7173</v>
      </c>
      <c r="G2004" s="49">
        <f t="array" ref="G2004">MAX(IF(INSTOCK!$H$3:$H$6125=B2004,INSTOCK!$K$3:$K$6125))</f>
        <v>130</v>
      </c>
      <c r="H2004" s="50">
        <f t="array" ref="H2004">SUM(IF(INSTOCK!$H$3:$H$6125=B2004,INSTOCK!$I$3:$I$6125))</f>
        <v>10</v>
      </c>
      <c r="I2004" s="50" t="str">
        <f>ARRAY_CONSTRAIN(ARRAYFORMULA(SUM(IF([3]!Table13[ID]=B2004,[3]!Table13[QTY]))), 1, 1)</f>
        <v>#ERROR!</v>
      </c>
      <c r="J2004" s="50" t="str">
        <f>TABLEITEM!$H$3:$H$2749-TABLEITEM!$I$3:$I$2749</f>
        <v>#ERROR!</v>
      </c>
    </row>
    <row r="2005" ht="15.75" customHeight="1">
      <c r="A2005" s="45"/>
      <c r="B2005" s="18" t="s">
        <v>4504</v>
      </c>
      <c r="C2005" s="26"/>
      <c r="D2005" s="18" t="s">
        <v>9577</v>
      </c>
      <c r="E2005" s="56"/>
      <c r="F2005" s="57" t="s">
        <v>7173</v>
      </c>
      <c r="G2005" s="49">
        <f t="array" ref="G2005">MAX(IF(INSTOCK!$H$3:$H$6125=B2005,INSTOCK!$K$3:$K$6125))</f>
        <v>100</v>
      </c>
      <c r="H2005" s="50">
        <f t="array" ref="H2005">SUM(IF(INSTOCK!$H$3:$H$6125=B2005,INSTOCK!$I$3:$I$6125))</f>
        <v>20</v>
      </c>
      <c r="I2005" s="50" t="str">
        <f>ARRAY_CONSTRAIN(ARRAYFORMULA(SUM(IF([3]!Table13[ID]=B2005,[3]!Table13[QTY]))), 1, 1)</f>
        <v>#ERROR!</v>
      </c>
      <c r="J2005" s="50" t="str">
        <f>TABLEITEM!$H$3:$H$2749-TABLEITEM!$I$3:$I$2749</f>
        <v>#ERROR!</v>
      </c>
    </row>
    <row r="2006" ht="15.75" customHeight="1">
      <c r="A2006" s="45"/>
      <c r="B2006" s="18" t="s">
        <v>4506</v>
      </c>
      <c r="C2006" s="26"/>
      <c r="D2006" s="18" t="s">
        <v>9578</v>
      </c>
      <c r="E2006" s="56"/>
      <c r="F2006" s="57" t="s">
        <v>7173</v>
      </c>
      <c r="G2006" s="49">
        <f t="array" ref="G2006">MAX(IF(INSTOCK!$H$3:$H$6125=B2006,INSTOCK!$K$3:$K$6125))</f>
        <v>17.82</v>
      </c>
      <c r="H2006" s="50">
        <f t="array" ref="H2006">SUM(IF(INSTOCK!$H$3:$H$6125=B2006,INSTOCK!$I$3:$I$6125))</f>
        <v>6</v>
      </c>
      <c r="I2006" s="50" t="str">
        <f>ARRAY_CONSTRAIN(ARRAYFORMULA(SUM(IF([3]!Table13[ID]=B2006,[3]!Table13[QTY]))), 1, 1)</f>
        <v>#ERROR!</v>
      </c>
      <c r="J2006" s="50" t="str">
        <f>TABLEITEM!$H$3:$H$2749-TABLEITEM!$I$3:$I$2749</f>
        <v>#ERROR!</v>
      </c>
    </row>
    <row r="2007" ht="15.75" customHeight="1">
      <c r="A2007" s="45"/>
      <c r="B2007" s="18" t="s">
        <v>4512</v>
      </c>
      <c r="C2007" s="26"/>
      <c r="D2007" s="18" t="s">
        <v>9579</v>
      </c>
      <c r="E2007" s="56" t="s">
        <v>7469</v>
      </c>
      <c r="F2007" s="48" t="s">
        <v>7189</v>
      </c>
      <c r="G2007" s="49">
        <f t="array" ref="G2007">MAX(IF(INSTOCK!$H$3:$H$6125=B2007,INSTOCK!$K$3:$K$6125))</f>
        <v>161.5</v>
      </c>
      <c r="H2007" s="50">
        <f t="array" ref="H2007">SUM(IF(INSTOCK!$H$3:$H$6125=B2007,INSTOCK!$I$3:$I$6125))</f>
        <v>20</v>
      </c>
      <c r="I2007" s="50" t="str">
        <f>ARRAY_CONSTRAIN(ARRAYFORMULA(SUM(IF([3]!Table13[ID]=B2007,[3]!Table13[QTY]))), 1, 1)</f>
        <v>#ERROR!</v>
      </c>
      <c r="J2007" s="50" t="str">
        <f>TABLEITEM!$H$3:$H$2749-TABLEITEM!$I$3:$I$2749</f>
        <v>#ERROR!</v>
      </c>
    </row>
    <row r="2008" ht="15.75" customHeight="1">
      <c r="A2008" s="45"/>
      <c r="B2008" s="18" t="s">
        <v>4516</v>
      </c>
      <c r="C2008" s="26"/>
      <c r="D2008" s="18" t="s">
        <v>9580</v>
      </c>
      <c r="E2008" s="56" t="s">
        <v>8981</v>
      </c>
      <c r="F2008" s="57" t="s">
        <v>7173</v>
      </c>
      <c r="G2008" s="49">
        <f t="array" ref="G2008">MAX(IF(INSTOCK!$H$3:$H$6125=B2008,INSTOCK!$K$3:$K$6125))</f>
        <v>12.5</v>
      </c>
      <c r="H2008" s="50">
        <f t="array" ref="H2008">SUM(IF(INSTOCK!$H$3:$H$6125=B2008,INSTOCK!$I$3:$I$6125))</f>
        <v>83</v>
      </c>
      <c r="I2008" s="50" t="str">
        <f>ARRAY_CONSTRAIN(ARRAYFORMULA(SUM(IF([3]!Table13[ID]=B2008,[3]!Table13[QTY]))), 1, 1)</f>
        <v>#ERROR!</v>
      </c>
      <c r="J2008" s="50" t="str">
        <f>TABLEITEM!$H$3:$H$2749-TABLEITEM!$I$3:$I$2749</f>
        <v>#ERROR!</v>
      </c>
    </row>
    <row r="2009" ht="15.75" customHeight="1">
      <c r="A2009" s="45"/>
      <c r="B2009" s="10" t="s">
        <v>4518</v>
      </c>
      <c r="C2009" s="26"/>
      <c r="D2009" s="10" t="s">
        <v>9581</v>
      </c>
      <c r="E2009" s="48" t="s">
        <v>1504</v>
      </c>
      <c r="F2009" s="57" t="s">
        <v>7173</v>
      </c>
      <c r="G2009" s="49">
        <f t="array" ref="G2009">MAX(IF(INSTOCK!$H$3:$H$6125=B2009,INSTOCK!$K$3:$K$6125))</f>
        <v>10725</v>
      </c>
      <c r="H2009" s="50">
        <f t="array" ref="H2009">SUM(IF(INSTOCK!$H$3:$H$6125=B2009,INSTOCK!$I$3:$I$6125))</f>
        <v>1</v>
      </c>
      <c r="I2009" s="50" t="str">
        <f>ARRAY_CONSTRAIN(ARRAYFORMULA(SUM(IF([3]!Table13[ID]=B2009,[3]!Table13[QTY]))), 1, 1)</f>
        <v>#ERROR!</v>
      </c>
      <c r="J2009" s="50" t="str">
        <f>TABLEITEM!$H$3:$H$2749-TABLEITEM!$I$3:$I$2749</f>
        <v>#ERROR!</v>
      </c>
    </row>
    <row r="2010" ht="15.75" customHeight="1">
      <c r="A2010" s="45"/>
      <c r="B2010" s="18" t="s">
        <v>4520</v>
      </c>
      <c r="C2010" s="26"/>
      <c r="D2010" s="18" t="s">
        <v>9582</v>
      </c>
      <c r="E2010" s="56" t="s">
        <v>1504</v>
      </c>
      <c r="F2010" s="57" t="s">
        <v>7173</v>
      </c>
      <c r="G2010" s="49">
        <f t="array" ref="G2010">MAX(IF(INSTOCK!$H$3:$H$6125=B2010,INSTOCK!$K$3:$K$6125))</f>
        <v>1384.5</v>
      </c>
      <c r="H2010" s="50">
        <f t="array" ref="H2010">SUM(IF(INSTOCK!$H$3:$H$6125=B2010,INSTOCK!$I$3:$I$6125))</f>
        <v>8</v>
      </c>
      <c r="I2010" s="50" t="str">
        <f>ARRAY_CONSTRAIN(ARRAYFORMULA(SUM(IF([3]!Table13[ID]=B2010,[3]!Table13[QTY]))), 1, 1)</f>
        <v>#ERROR!</v>
      </c>
      <c r="J2010" s="50" t="str">
        <f>TABLEITEM!$H$3:$H$2749-TABLEITEM!$I$3:$I$2749</f>
        <v>#ERROR!</v>
      </c>
    </row>
    <row r="2011" ht="15.75" customHeight="1">
      <c r="A2011" s="45"/>
      <c r="B2011" s="10" t="s">
        <v>4442</v>
      </c>
      <c r="C2011" s="26"/>
      <c r="D2011" s="10" t="s">
        <v>9583</v>
      </c>
      <c r="E2011" s="48" t="s">
        <v>9124</v>
      </c>
      <c r="F2011" s="57" t="s">
        <v>7173</v>
      </c>
      <c r="G2011" s="49">
        <f t="array" ref="G2011">MAX(IF(INSTOCK!$H$3:$H$6125=B2011,INSTOCK!$K$3:$K$6125))</f>
        <v>126.17</v>
      </c>
      <c r="H2011" s="50">
        <f t="array" ref="H2011">SUM(IF(INSTOCK!$H$3:$H$6125=B2011,INSTOCK!$I$3:$I$6125))</f>
        <v>15</v>
      </c>
      <c r="I2011" s="50" t="str">
        <f>ARRAY_CONSTRAIN(ARRAYFORMULA(SUM(IF([3]!Table13[ID]=B2011,[3]!Table13[QTY]))), 1, 1)</f>
        <v>#ERROR!</v>
      </c>
      <c r="J2011" s="50" t="str">
        <f>TABLEITEM!$H$3:$H$2749-TABLEITEM!$I$3:$I$2749</f>
        <v>#ERROR!</v>
      </c>
    </row>
    <row r="2012" ht="15.75" customHeight="1">
      <c r="A2012" s="45"/>
      <c r="B2012" s="10" t="s">
        <v>4374</v>
      </c>
      <c r="C2012" s="26"/>
      <c r="D2012" s="10" t="s">
        <v>9584</v>
      </c>
      <c r="E2012" s="48"/>
      <c r="F2012" s="57" t="s">
        <v>7173</v>
      </c>
      <c r="G2012" s="49">
        <f t="array" ref="G2012">MAX(IF(INSTOCK!$H$3:$H$6125=B2012,INSTOCK!$K$3:$K$6125))</f>
        <v>133.64</v>
      </c>
      <c r="H2012" s="50">
        <f t="array" ref="H2012">SUM(IF(INSTOCK!$H$3:$H$6125=B2012,INSTOCK!$I$3:$I$6125))</f>
        <v>4</v>
      </c>
      <c r="I2012" s="50" t="str">
        <f>ARRAY_CONSTRAIN(ARRAYFORMULA(SUM(IF([3]!Table13[ID]=B2012,[3]!Table13[QTY]))), 1, 1)</f>
        <v>#ERROR!</v>
      </c>
      <c r="J2012" s="50" t="str">
        <f>TABLEITEM!$H$3:$H$2749-TABLEITEM!$I$3:$I$2749</f>
        <v>#ERROR!</v>
      </c>
    </row>
    <row r="2013" ht="15.75" customHeight="1">
      <c r="A2013" s="45"/>
      <c r="B2013" s="10" t="s">
        <v>6177</v>
      </c>
      <c r="C2013" s="26"/>
      <c r="D2013" s="10" t="s">
        <v>9585</v>
      </c>
      <c r="E2013" s="48" t="s">
        <v>9586</v>
      </c>
      <c r="F2013" s="57" t="s">
        <v>7173</v>
      </c>
      <c r="G2013" s="49">
        <f t="array" ref="G2013">MAX(IF(INSTOCK!$H$3:$H$6125=B2013,INSTOCK!$K$3:$K$6125))</f>
        <v>271.03</v>
      </c>
      <c r="H2013" s="50">
        <f t="array" ref="H2013">SUM(IF(INSTOCK!$H$3:$H$6125=B2013,INSTOCK!$I$3:$I$6125))</f>
        <v>10</v>
      </c>
      <c r="I2013" s="50" t="str">
        <f>ARRAY_CONSTRAIN(ARRAYFORMULA(SUM(IF([3]!Table13[ID]=B2013,[3]!Table13[QTY]))), 1, 1)</f>
        <v>#ERROR!</v>
      </c>
      <c r="J2013" s="50" t="str">
        <f>TABLEITEM!$H$3:$H$2749-TABLEITEM!$I$3:$I$2749</f>
        <v>#ERROR!</v>
      </c>
    </row>
    <row r="2014" ht="15.75" customHeight="1">
      <c r="A2014" s="45"/>
      <c r="B2014" s="10" t="s">
        <v>4546</v>
      </c>
      <c r="C2014" s="26"/>
      <c r="D2014" s="10" t="s">
        <v>9587</v>
      </c>
      <c r="E2014" s="48" t="s">
        <v>9588</v>
      </c>
      <c r="F2014" s="57" t="s">
        <v>7173</v>
      </c>
      <c r="G2014" s="49">
        <f t="array" ref="G2014">MAX(IF(INSTOCK!$H$3:$H$6125=B2014,INSTOCK!$K$3:$K$6125))</f>
        <v>52000</v>
      </c>
      <c r="H2014" s="50">
        <f t="array" ref="H2014">SUM(IF(INSTOCK!$H$3:$H$6125=B2014,INSTOCK!$I$3:$I$6125))</f>
        <v>1</v>
      </c>
      <c r="I2014" s="50" t="str">
        <f>ARRAY_CONSTRAIN(ARRAYFORMULA(SUM(IF([3]!Table13[ID]=B2014,[3]!Table13[QTY]))), 1, 1)</f>
        <v>#ERROR!</v>
      </c>
      <c r="J2014" s="50" t="str">
        <f>TABLEITEM!$H$3:$H$2749-TABLEITEM!$I$3:$I$2749</f>
        <v>#ERROR!</v>
      </c>
    </row>
    <row r="2015" ht="15.75" customHeight="1">
      <c r="A2015" s="45"/>
      <c r="B2015" s="10" t="s">
        <v>4551</v>
      </c>
      <c r="C2015" s="26"/>
      <c r="D2015" s="10" t="s">
        <v>9589</v>
      </c>
      <c r="E2015" s="48"/>
      <c r="F2015" s="57" t="s">
        <v>7173</v>
      </c>
      <c r="G2015" s="49">
        <f t="array" ref="G2015">MAX(IF(INSTOCK!$H$3:$H$6125=B2015,INSTOCK!$K$3:$K$6125))</f>
        <v>209</v>
      </c>
      <c r="H2015" s="50">
        <f t="array" ref="H2015">SUM(IF(INSTOCK!$H$3:$H$6125=B2015,INSTOCK!$I$3:$I$6125))</f>
        <v>12</v>
      </c>
      <c r="I2015" s="50" t="str">
        <f>ARRAY_CONSTRAIN(ARRAYFORMULA(SUM(IF([3]!Table13[ID]=B2015,[3]!Table13[QTY]))), 1, 1)</f>
        <v>#ERROR!</v>
      </c>
      <c r="J2015" s="50" t="str">
        <f>TABLEITEM!$H$3:$H$2749-TABLEITEM!$I$3:$I$2749</f>
        <v>#ERROR!</v>
      </c>
    </row>
    <row r="2016" ht="15.75" customHeight="1">
      <c r="A2016" s="45"/>
      <c r="B2016" s="10" t="s">
        <v>4560</v>
      </c>
      <c r="C2016" s="26"/>
      <c r="D2016" s="10" t="s">
        <v>9590</v>
      </c>
      <c r="E2016" s="48" t="s">
        <v>1975</v>
      </c>
      <c r="F2016" s="57" t="s">
        <v>7173</v>
      </c>
      <c r="G2016" s="49">
        <f t="array" ref="G2016">MAX(IF(INSTOCK!$H$3:$H$6125=B2016,INSTOCK!$K$3:$K$6125))</f>
        <v>18.69</v>
      </c>
      <c r="H2016" s="50">
        <f t="array" ref="H2016">SUM(IF(INSTOCK!$H$3:$H$6125=B2016,INSTOCK!$I$3:$I$6125))</f>
        <v>10</v>
      </c>
      <c r="I2016" s="50" t="str">
        <f>ARRAY_CONSTRAIN(ARRAYFORMULA(SUM(IF([3]!Table13[ID]=B2016,[3]!Table13[QTY]))), 1, 1)</f>
        <v>#ERROR!</v>
      </c>
      <c r="J2016" s="50" t="str">
        <f>TABLEITEM!$H$3:$H$2749-TABLEITEM!$I$3:$I$2749</f>
        <v>#ERROR!</v>
      </c>
    </row>
    <row r="2017" ht="15.75" customHeight="1">
      <c r="A2017" s="45"/>
      <c r="B2017" s="10" t="s">
        <v>4563</v>
      </c>
      <c r="C2017" s="26"/>
      <c r="D2017" s="10" t="s">
        <v>9591</v>
      </c>
      <c r="E2017" s="48"/>
      <c r="F2017" s="57" t="s">
        <v>7173</v>
      </c>
      <c r="G2017" s="49">
        <f t="array" ref="G2017">MAX(IF(INSTOCK!$H$3:$H$6125=B2017,INSTOCK!$K$3:$K$6125))</f>
        <v>200</v>
      </c>
      <c r="H2017" s="50">
        <f t="array" ref="H2017">SUM(IF(INSTOCK!$H$3:$H$6125=B2017,INSTOCK!$I$3:$I$6125))</f>
        <v>1</v>
      </c>
      <c r="I2017" s="50" t="str">
        <f>ARRAY_CONSTRAIN(ARRAYFORMULA(SUM(IF([3]!Table13[ID]=B2017,[3]!Table13[QTY]))), 1, 1)</f>
        <v>#ERROR!</v>
      </c>
      <c r="J2017" s="50" t="str">
        <f>TABLEITEM!$H$3:$H$2749-TABLEITEM!$I$3:$I$2749</f>
        <v>#ERROR!</v>
      </c>
    </row>
    <row r="2018" ht="15.75" customHeight="1">
      <c r="A2018" s="45"/>
      <c r="B2018" s="10" t="s">
        <v>4565</v>
      </c>
      <c r="C2018" s="26"/>
      <c r="D2018" s="10" t="s">
        <v>9592</v>
      </c>
      <c r="E2018" s="48" t="s">
        <v>9593</v>
      </c>
      <c r="F2018" s="57" t="s">
        <v>7173</v>
      </c>
      <c r="G2018" s="49">
        <f t="array" ref="G2018">MAX(IF(INSTOCK!$H$3:$H$6125=B2018,INSTOCK!$K$3:$K$6125))</f>
        <v>170</v>
      </c>
      <c r="H2018" s="50">
        <f t="array" ref="H2018">SUM(IF(INSTOCK!$H$3:$H$6125=B2018,INSTOCK!$I$3:$I$6125))</f>
        <v>24</v>
      </c>
      <c r="I2018" s="50" t="str">
        <f>ARRAY_CONSTRAIN(ARRAYFORMULA(SUM(IF([3]!Table13[ID]=B2018,[3]!Table13[QTY]))), 1, 1)</f>
        <v>#ERROR!</v>
      </c>
      <c r="J2018" s="50" t="str">
        <f>TABLEITEM!$H$3:$H$2749-TABLEITEM!$I$3:$I$2749</f>
        <v>#ERROR!</v>
      </c>
    </row>
    <row r="2019" ht="15.75" customHeight="1">
      <c r="A2019" s="45"/>
      <c r="B2019" s="10" t="s">
        <v>4570</v>
      </c>
      <c r="C2019" s="26"/>
      <c r="D2019" s="10" t="s">
        <v>9145</v>
      </c>
      <c r="E2019" s="48"/>
      <c r="F2019" s="57" t="s">
        <v>7173</v>
      </c>
      <c r="G2019" s="49">
        <f t="array" ref="G2019">MAX(IF(INSTOCK!$H$3:$H$6125=B2019,INSTOCK!$K$3:$K$6125))</f>
        <v>3.5</v>
      </c>
      <c r="H2019" s="50">
        <f t="array" ref="H2019">SUM(IF(INSTOCK!$H$3:$H$6125=B2019,INSTOCK!$I$3:$I$6125))</f>
        <v>5000</v>
      </c>
      <c r="I2019" s="50" t="str">
        <f>ARRAY_CONSTRAIN(ARRAYFORMULA(SUM(IF([3]!Table13[ID]=B2019,[3]!Table13[QTY]))), 1, 1)</f>
        <v>#ERROR!</v>
      </c>
      <c r="J2019" s="50" t="str">
        <f>TABLEITEM!$H$3:$H$2749-TABLEITEM!$I$3:$I$2749</f>
        <v>#ERROR!</v>
      </c>
    </row>
    <row r="2020" ht="15.75" customHeight="1">
      <c r="A2020" s="45"/>
      <c r="B2020" s="10" t="s">
        <v>4572</v>
      </c>
      <c r="C2020" s="26"/>
      <c r="D2020" s="10" t="s">
        <v>9594</v>
      </c>
      <c r="E2020" s="48"/>
      <c r="F2020" s="57" t="s">
        <v>7173</v>
      </c>
      <c r="G2020" s="49">
        <f t="array" ref="G2020">MAX(IF(INSTOCK!$H$3:$H$6125=B2020,INSTOCK!$K$3:$K$6125))</f>
        <v>180</v>
      </c>
      <c r="H2020" s="50">
        <f t="array" ref="H2020">SUM(IF(INSTOCK!$H$3:$H$6125=B2020,INSTOCK!$I$3:$I$6125))</f>
        <v>9</v>
      </c>
      <c r="I2020" s="50" t="str">
        <f>ARRAY_CONSTRAIN(ARRAYFORMULA(SUM(IF([3]!Table13[ID]=B2020,[3]!Table13[QTY]))), 1, 1)</f>
        <v>#ERROR!</v>
      </c>
      <c r="J2020" s="50" t="str">
        <f>TABLEITEM!$H$3:$H$2749-TABLEITEM!$I$3:$I$2749</f>
        <v>#ERROR!</v>
      </c>
    </row>
    <row r="2021" ht="15.75" customHeight="1">
      <c r="A2021" s="45"/>
      <c r="B2021" s="10" t="s">
        <v>4574</v>
      </c>
      <c r="C2021" s="26"/>
      <c r="D2021" s="10" t="s">
        <v>9595</v>
      </c>
      <c r="E2021" s="48" t="s">
        <v>9234</v>
      </c>
      <c r="F2021" s="57" t="s">
        <v>7173</v>
      </c>
      <c r="G2021" s="49">
        <f t="array" ref="G2021">MAX(IF(INSTOCK!$H$3:$H$6125=B2021,INSTOCK!$K$3:$K$6125))</f>
        <v>7000</v>
      </c>
      <c r="H2021" s="50">
        <f t="array" ref="H2021">SUM(IF(INSTOCK!$H$3:$H$6125=B2021,INSTOCK!$I$3:$I$6125))</f>
        <v>2</v>
      </c>
      <c r="I2021" s="50" t="str">
        <f>ARRAY_CONSTRAIN(ARRAYFORMULA(SUM(IF([3]!Table13[ID]=B2021,[3]!Table13[QTY]))), 1, 1)</f>
        <v>#ERROR!</v>
      </c>
      <c r="J2021" s="50" t="str">
        <f>TABLEITEM!$H$3:$H$2749-TABLEITEM!$I$3:$I$2749</f>
        <v>#ERROR!</v>
      </c>
    </row>
    <row r="2022" ht="15.75" customHeight="1">
      <c r="A2022" s="45"/>
      <c r="B2022" s="10" t="s">
        <v>4576</v>
      </c>
      <c r="C2022" s="26"/>
      <c r="D2022" s="10" t="s">
        <v>9596</v>
      </c>
      <c r="E2022" s="48" t="s">
        <v>1487</v>
      </c>
      <c r="F2022" s="57" t="s">
        <v>7173</v>
      </c>
      <c r="G2022" s="49">
        <f t="array" ref="G2022">MAX(IF(INSTOCK!$H$3:$H$6125=B2022,INSTOCK!$K$3:$K$6125))</f>
        <v>6392</v>
      </c>
      <c r="H2022" s="50">
        <f t="array" ref="H2022">SUM(IF(INSTOCK!$H$3:$H$6125=B2022,INSTOCK!$I$3:$I$6125))</f>
        <v>1</v>
      </c>
      <c r="I2022" s="50" t="str">
        <f>ARRAY_CONSTRAIN(ARRAYFORMULA(SUM(IF([3]!Table13[ID]=B2022,[3]!Table13[QTY]))), 1, 1)</f>
        <v>#ERROR!</v>
      </c>
      <c r="J2022" s="50" t="str">
        <f>TABLEITEM!$H$3:$H$2749-TABLEITEM!$I$3:$I$2749</f>
        <v>#ERROR!</v>
      </c>
    </row>
    <row r="2023" ht="15.75" customHeight="1">
      <c r="A2023" s="45"/>
      <c r="B2023" s="10" t="s">
        <v>4583</v>
      </c>
      <c r="C2023" s="26"/>
      <c r="D2023" s="10" t="s">
        <v>9597</v>
      </c>
      <c r="E2023" s="48" t="s">
        <v>9598</v>
      </c>
      <c r="F2023" s="48" t="s">
        <v>8140</v>
      </c>
      <c r="G2023" s="49">
        <f t="array" ref="G2023">MAX(IF(INSTOCK!$H$3:$H$6125=B2023,INSTOCK!$K$3:$K$6125))</f>
        <v>500</v>
      </c>
      <c r="H2023" s="50">
        <f t="array" ref="H2023">SUM(IF(INSTOCK!$H$3:$H$6125=B2023,INSTOCK!$I$3:$I$6125))</f>
        <v>5</v>
      </c>
      <c r="I2023" s="50" t="str">
        <f>ARRAY_CONSTRAIN(ARRAYFORMULA(SUM(IF([3]!Table13[ID]=B2023,[3]!Table13[QTY]))), 1, 1)</f>
        <v>#ERROR!</v>
      </c>
      <c r="J2023" s="50" t="str">
        <f>TABLEITEM!$H$3:$H$2749-TABLEITEM!$I$3:$I$2749</f>
        <v>#ERROR!</v>
      </c>
    </row>
    <row r="2024" ht="15.75" customHeight="1">
      <c r="A2024" s="45"/>
      <c r="B2024" s="10" t="s">
        <v>4585</v>
      </c>
      <c r="C2024" s="26"/>
      <c r="D2024" s="10" t="s">
        <v>9599</v>
      </c>
      <c r="E2024" s="48" t="s">
        <v>8787</v>
      </c>
      <c r="F2024" s="57" t="s">
        <v>7173</v>
      </c>
      <c r="G2024" s="49">
        <f t="array" ref="G2024">MAX(IF(INSTOCK!$H$3:$H$6125=B2024,INSTOCK!$K$3:$K$6125))</f>
        <v>190</v>
      </c>
      <c r="H2024" s="50">
        <f t="array" ref="H2024">SUM(IF(INSTOCK!$H$3:$H$6125=B2024,INSTOCK!$I$3:$I$6125))</f>
        <v>100</v>
      </c>
      <c r="I2024" s="50" t="str">
        <f>ARRAY_CONSTRAIN(ARRAYFORMULA(SUM(IF([3]!Table13[ID]=B2024,[3]!Table13[QTY]))), 1, 1)</f>
        <v>#ERROR!</v>
      </c>
      <c r="J2024" s="50" t="str">
        <f>TABLEITEM!$H$3:$H$2749-TABLEITEM!$I$3:$I$2749</f>
        <v>#ERROR!</v>
      </c>
    </row>
    <row r="2025" ht="15.75" customHeight="1">
      <c r="A2025" s="45"/>
      <c r="B2025" s="18" t="s">
        <v>4587</v>
      </c>
      <c r="C2025" s="26"/>
      <c r="D2025" s="18" t="s">
        <v>9600</v>
      </c>
      <c r="E2025" s="56"/>
      <c r="F2025" s="57" t="s">
        <v>7173</v>
      </c>
      <c r="G2025" s="49">
        <f t="array" ref="G2025">MAX(IF(INSTOCK!$H$3:$H$6125=B2025,INSTOCK!$K$3:$K$6125))</f>
        <v>112</v>
      </c>
      <c r="H2025" s="50">
        <f t="array" ref="H2025">SUM(IF(INSTOCK!$H$3:$H$6125=B2025,INSTOCK!$I$3:$I$6125))</f>
        <v>2</v>
      </c>
      <c r="I2025" s="50" t="str">
        <f>ARRAY_CONSTRAIN(ARRAYFORMULA(SUM(IF([3]!Table13[ID]=B2025,[3]!Table13[QTY]))), 1, 1)</f>
        <v>#ERROR!</v>
      </c>
      <c r="J2025" s="50" t="str">
        <f>TABLEITEM!$H$3:$H$2749-TABLEITEM!$I$3:$I$2749</f>
        <v>#ERROR!</v>
      </c>
    </row>
    <row r="2026" ht="15.75" customHeight="1">
      <c r="A2026" s="45"/>
      <c r="B2026" s="18" t="s">
        <v>4595</v>
      </c>
      <c r="C2026" s="26"/>
      <c r="D2026" s="18" t="s">
        <v>9601</v>
      </c>
      <c r="E2026" s="56"/>
      <c r="F2026" s="57" t="s">
        <v>7173</v>
      </c>
      <c r="G2026" s="49">
        <f t="array" ref="G2026">MAX(IF(INSTOCK!$H$3:$H$6125=B2026,INSTOCK!$K$3:$K$6125))</f>
        <v>4</v>
      </c>
      <c r="H2026" s="50">
        <f t="array" ref="H2026">SUM(IF(INSTOCK!$H$3:$H$6125=B2026,INSTOCK!$I$3:$I$6125))</f>
        <v>4</v>
      </c>
      <c r="I2026" s="50" t="str">
        <f>ARRAY_CONSTRAIN(ARRAYFORMULA(SUM(IF([3]!Table13[ID]=B2026,[3]!Table13[QTY]))), 1, 1)</f>
        <v>#ERROR!</v>
      </c>
      <c r="J2026" s="50" t="str">
        <f>TABLEITEM!$H$3:$H$2749-TABLEITEM!$I$3:$I$2749</f>
        <v>#ERROR!</v>
      </c>
    </row>
    <row r="2027" ht="15.75" customHeight="1">
      <c r="A2027" s="45"/>
      <c r="B2027" s="18" t="s">
        <v>4601</v>
      </c>
      <c r="C2027" s="26"/>
      <c r="D2027" s="18" t="s">
        <v>9602</v>
      </c>
      <c r="E2027" s="56" t="s">
        <v>9603</v>
      </c>
      <c r="F2027" s="57" t="s">
        <v>7173</v>
      </c>
      <c r="G2027" s="49">
        <f t="array" ref="G2027">MAX(IF(INSTOCK!$H$3:$H$6125=B2027,INSTOCK!$K$3:$K$6125))</f>
        <v>127.4</v>
      </c>
      <c r="H2027" s="50">
        <f t="array" ref="H2027">SUM(IF(INSTOCK!$H$3:$H$6125=B2027,INSTOCK!$I$3:$I$6125))</f>
        <v>292</v>
      </c>
      <c r="I2027" s="50" t="str">
        <f>ARRAY_CONSTRAIN(ARRAYFORMULA(SUM(IF([3]!Table13[ID]=B2027,[3]!Table13[QTY]))), 1, 1)</f>
        <v>#ERROR!</v>
      </c>
      <c r="J2027" s="50" t="str">
        <f>TABLEITEM!$H$3:$H$2749-TABLEITEM!$I$3:$I$2749</f>
        <v>#ERROR!</v>
      </c>
    </row>
    <row r="2028" ht="15.75" customHeight="1">
      <c r="A2028" s="45"/>
      <c r="B2028" s="10" t="s">
        <v>4602</v>
      </c>
      <c r="C2028" s="26"/>
      <c r="D2028" s="10" t="s">
        <v>9604</v>
      </c>
      <c r="E2028" s="48" t="s">
        <v>8235</v>
      </c>
      <c r="F2028" s="57" t="s">
        <v>7173</v>
      </c>
      <c r="G2028" s="49">
        <f t="array" ref="G2028">MAX(IF(INSTOCK!$H$3:$H$6125=B2028,INSTOCK!$K$3:$K$6125))</f>
        <v>0.288</v>
      </c>
      <c r="H2028" s="50">
        <f t="array" ref="H2028">SUM(IF(INSTOCK!$H$3:$H$6125=B2028,INSTOCK!$I$3:$I$6125))</f>
        <v>200</v>
      </c>
      <c r="I2028" s="50" t="str">
        <f>ARRAY_CONSTRAIN(ARRAYFORMULA(SUM(IF([3]!Table13[ID]=B2028,[3]!Table13[QTY]))), 1, 1)</f>
        <v>#ERROR!</v>
      </c>
      <c r="J2028" s="50" t="str">
        <f>TABLEITEM!$H$3:$H$2749-TABLEITEM!$I$3:$I$2749</f>
        <v>#ERROR!</v>
      </c>
    </row>
    <row r="2029" ht="15.75" customHeight="1">
      <c r="A2029" s="45"/>
      <c r="B2029" s="10" t="s">
        <v>4603</v>
      </c>
      <c r="C2029" s="26"/>
      <c r="D2029" s="10" t="s">
        <v>9605</v>
      </c>
      <c r="E2029" s="48" t="s">
        <v>8235</v>
      </c>
      <c r="F2029" s="57" t="s">
        <v>7173</v>
      </c>
      <c r="G2029" s="49">
        <f t="array" ref="G2029">MAX(IF(INSTOCK!$H$3:$H$6125=B2029,INSTOCK!$K$3:$K$6125))</f>
        <v>0.288</v>
      </c>
      <c r="H2029" s="50">
        <f t="array" ref="H2029">SUM(IF(INSTOCK!$H$3:$H$6125=B2029,INSTOCK!$I$3:$I$6125))</f>
        <v>300</v>
      </c>
      <c r="I2029" s="50" t="str">
        <f>ARRAY_CONSTRAIN(ARRAYFORMULA(SUM(IF([3]!Table13[ID]=B2029,[3]!Table13[QTY]))), 1, 1)</f>
        <v>#ERROR!</v>
      </c>
      <c r="J2029" s="50" t="str">
        <f>TABLEITEM!$H$3:$H$2749-TABLEITEM!$I$3:$I$2749</f>
        <v>#ERROR!</v>
      </c>
    </row>
    <row r="2030" ht="15.75" customHeight="1">
      <c r="A2030" s="45"/>
      <c r="B2030" s="10" t="s">
        <v>4604</v>
      </c>
      <c r="C2030" s="26"/>
      <c r="D2030" s="10" t="s">
        <v>9606</v>
      </c>
      <c r="E2030" s="48" t="s">
        <v>8235</v>
      </c>
      <c r="F2030" s="57" t="s">
        <v>7173</v>
      </c>
      <c r="G2030" s="49">
        <f t="array" ref="G2030">MAX(IF(INSTOCK!$H$3:$H$6125=B2030,INSTOCK!$K$3:$K$6125))</f>
        <v>0.288</v>
      </c>
      <c r="H2030" s="50">
        <f t="array" ref="H2030">SUM(IF(INSTOCK!$H$3:$H$6125=B2030,INSTOCK!$I$3:$I$6125))</f>
        <v>200</v>
      </c>
      <c r="I2030" s="50" t="str">
        <f>ARRAY_CONSTRAIN(ARRAYFORMULA(SUM(IF([3]!Table13[ID]=B2030,[3]!Table13[QTY]))), 1, 1)</f>
        <v>#ERROR!</v>
      </c>
      <c r="J2030" s="50" t="str">
        <f>TABLEITEM!$H$3:$H$2749-TABLEITEM!$I$3:$I$2749</f>
        <v>#ERROR!</v>
      </c>
    </row>
    <row r="2031" ht="15.75" customHeight="1">
      <c r="A2031" s="45"/>
      <c r="B2031" s="18" t="s">
        <v>4605</v>
      </c>
      <c r="C2031" s="26"/>
      <c r="D2031" s="18" t="s">
        <v>9607</v>
      </c>
      <c r="E2031" s="56" t="s">
        <v>7287</v>
      </c>
      <c r="F2031" s="57" t="s">
        <v>7173</v>
      </c>
      <c r="G2031" s="49">
        <f t="array" ref="G2031">MAX(IF(INSTOCK!$H$3:$H$6125=B2031,INSTOCK!$K$3:$K$6125))</f>
        <v>11.97</v>
      </c>
      <c r="H2031" s="50">
        <f t="array" ref="H2031">SUM(IF(INSTOCK!$H$3:$H$6125=B2031,INSTOCK!$I$3:$I$6125))</f>
        <v>200</v>
      </c>
      <c r="I2031" s="50" t="str">
        <f>ARRAY_CONSTRAIN(ARRAYFORMULA(SUM(IF([3]!Table13[ID]=B2031,[3]!Table13[QTY]))), 1, 1)</f>
        <v>#ERROR!</v>
      </c>
      <c r="J2031" s="50" t="str">
        <f>TABLEITEM!$H$3:$H$2749-TABLEITEM!$I$3:$I$2749</f>
        <v>#ERROR!</v>
      </c>
    </row>
    <row r="2032" ht="15.75" customHeight="1">
      <c r="A2032" s="45"/>
      <c r="B2032" s="18" t="s">
        <v>4621</v>
      </c>
      <c r="C2032" s="26"/>
      <c r="D2032" s="18" t="s">
        <v>9608</v>
      </c>
      <c r="E2032" s="56" t="s">
        <v>9609</v>
      </c>
      <c r="F2032" s="57" t="s">
        <v>7173</v>
      </c>
      <c r="G2032" s="49">
        <f t="array" ref="G2032">MAX(IF(INSTOCK!$H$3:$H$6125=B2032,INSTOCK!$K$3:$K$6125))</f>
        <v>5670</v>
      </c>
      <c r="H2032" s="50">
        <f t="array" ref="H2032">SUM(IF(INSTOCK!$H$3:$H$6125=B2032,INSTOCK!$I$3:$I$6125))</f>
        <v>1</v>
      </c>
      <c r="I2032" s="50" t="str">
        <f>ARRAY_CONSTRAIN(ARRAYFORMULA(SUM(IF([3]!Table13[ID]=B2032,[3]!Table13[QTY]))), 1, 1)</f>
        <v>#ERROR!</v>
      </c>
      <c r="J2032" s="50" t="str">
        <f>TABLEITEM!$H$3:$H$2749-TABLEITEM!$I$3:$I$2749</f>
        <v>#ERROR!</v>
      </c>
    </row>
    <row r="2033" ht="15.75" customHeight="1">
      <c r="A2033" s="45"/>
      <c r="B2033" s="10" t="s">
        <v>4625</v>
      </c>
      <c r="C2033" s="26"/>
      <c r="D2033" s="10" t="s">
        <v>9610</v>
      </c>
      <c r="E2033" s="48"/>
      <c r="F2033" s="57" t="s">
        <v>7173</v>
      </c>
      <c r="G2033" s="49">
        <f t="array" ref="G2033">MAX(IF(INSTOCK!$H$3:$H$6125=B2033,INSTOCK!$K$3:$K$6125))</f>
        <v>40</v>
      </c>
      <c r="H2033" s="50">
        <f t="array" ref="H2033">SUM(IF(INSTOCK!$H$3:$H$6125=B2033,INSTOCK!$I$3:$I$6125))</f>
        <v>4</v>
      </c>
      <c r="I2033" s="50" t="str">
        <f>ARRAY_CONSTRAIN(ARRAYFORMULA(SUM(IF([3]!Table13[ID]=B2033,[3]!Table13[QTY]))), 1, 1)</f>
        <v>#ERROR!</v>
      </c>
      <c r="J2033" s="50" t="str">
        <f>TABLEITEM!$H$3:$H$2749-TABLEITEM!$I$3:$I$2749</f>
        <v>#ERROR!</v>
      </c>
    </row>
    <row r="2034" ht="15.75" customHeight="1">
      <c r="A2034" s="45"/>
      <c r="B2034" s="18" t="s">
        <v>4626</v>
      </c>
      <c r="C2034" s="26"/>
      <c r="D2034" s="18" t="s">
        <v>9611</v>
      </c>
      <c r="E2034" s="56"/>
      <c r="F2034" s="57" t="s">
        <v>7173</v>
      </c>
      <c r="G2034" s="49">
        <f t="array" ref="G2034">MAX(IF(INSTOCK!$H$3:$H$6125=B2034,INSTOCK!$K$3:$K$6125))</f>
        <v>113</v>
      </c>
      <c r="H2034" s="50">
        <f t="array" ref="H2034">SUM(IF(INSTOCK!$H$3:$H$6125=B2034,INSTOCK!$I$3:$I$6125))</f>
        <v>2</v>
      </c>
      <c r="I2034" s="50" t="str">
        <f>ARRAY_CONSTRAIN(ARRAYFORMULA(SUM(IF([3]!Table13[ID]=B2034,[3]!Table13[QTY]))), 1, 1)</f>
        <v>#ERROR!</v>
      </c>
      <c r="J2034" s="50" t="str">
        <f>TABLEITEM!$H$3:$H$2749-TABLEITEM!$I$3:$I$2749</f>
        <v>#ERROR!</v>
      </c>
    </row>
    <row r="2035" ht="15.75" customHeight="1">
      <c r="A2035" s="45"/>
      <c r="B2035" s="18" t="s">
        <v>4628</v>
      </c>
      <c r="C2035" s="26"/>
      <c r="D2035" s="18" t="s">
        <v>9612</v>
      </c>
      <c r="E2035" s="56" t="s">
        <v>1975</v>
      </c>
      <c r="F2035" s="57" t="s">
        <v>7173</v>
      </c>
      <c r="G2035" s="49">
        <f t="array" ref="G2035">MAX(IF(INSTOCK!$H$3:$H$6125=B2035,INSTOCK!$K$3:$K$6125))</f>
        <v>1550</v>
      </c>
      <c r="H2035" s="50">
        <f t="array" ref="H2035">SUM(IF(INSTOCK!$H$3:$H$6125=B2035,INSTOCK!$I$3:$I$6125))</f>
        <v>1</v>
      </c>
      <c r="I2035" s="50" t="str">
        <f>ARRAY_CONSTRAIN(ARRAYFORMULA(SUM(IF([3]!Table13[ID]=B2035,[3]!Table13[QTY]))), 1, 1)</f>
        <v>#ERROR!</v>
      </c>
      <c r="J2035" s="50" t="str">
        <f>TABLEITEM!$H$3:$H$2749-TABLEITEM!$I$3:$I$2749</f>
        <v>#ERROR!</v>
      </c>
    </row>
    <row r="2036" ht="15.75" customHeight="1">
      <c r="A2036" s="45"/>
      <c r="B2036" s="18" t="s">
        <v>4632</v>
      </c>
      <c r="C2036" s="26"/>
      <c r="D2036" s="18" t="s">
        <v>9613</v>
      </c>
      <c r="E2036" s="56"/>
      <c r="F2036" s="57" t="s">
        <v>7173</v>
      </c>
      <c r="G2036" s="49">
        <f t="array" ref="G2036">MAX(IF(INSTOCK!$H$3:$H$6125=B2036,INSTOCK!$K$3:$K$6125))</f>
        <v>110</v>
      </c>
      <c r="H2036" s="50">
        <f t="array" ref="H2036">SUM(IF(INSTOCK!$H$3:$H$6125=B2036,INSTOCK!$I$3:$I$6125))</f>
        <v>17</v>
      </c>
      <c r="I2036" s="50" t="str">
        <f>ARRAY_CONSTRAIN(ARRAYFORMULA(SUM(IF([3]!Table13[ID]=B2036,[3]!Table13[QTY]))), 1, 1)</f>
        <v>#ERROR!</v>
      </c>
      <c r="J2036" s="50" t="str">
        <f>TABLEITEM!$H$3:$H$2749-TABLEITEM!$I$3:$I$2749</f>
        <v>#ERROR!</v>
      </c>
    </row>
    <row r="2037" ht="15.75" customHeight="1">
      <c r="A2037" s="45"/>
      <c r="B2037" s="18" t="s">
        <v>4636</v>
      </c>
      <c r="C2037" s="26"/>
      <c r="D2037" s="18" t="s">
        <v>9614</v>
      </c>
      <c r="E2037" s="56" t="s">
        <v>1504</v>
      </c>
      <c r="F2037" s="57" t="s">
        <v>7173</v>
      </c>
      <c r="G2037" s="49">
        <f t="array" ref="G2037">MAX(IF(INSTOCK!$H$3:$H$6125=B2037,INSTOCK!$K$3:$K$6125))</f>
        <v>5000</v>
      </c>
      <c r="H2037" s="50">
        <f t="array" ref="H2037">SUM(IF(INSTOCK!$H$3:$H$6125=B2037,INSTOCK!$I$3:$I$6125))</f>
        <v>2</v>
      </c>
      <c r="I2037" s="50" t="str">
        <f>ARRAY_CONSTRAIN(ARRAYFORMULA(SUM(IF([3]!Table13[ID]=B2037,[3]!Table13[QTY]))), 1, 1)</f>
        <v>#ERROR!</v>
      </c>
      <c r="J2037" s="50" t="str">
        <f>TABLEITEM!$H$3:$H$2749-TABLEITEM!$I$3:$I$2749</f>
        <v>#ERROR!</v>
      </c>
    </row>
    <row r="2038" ht="15.75" customHeight="1">
      <c r="A2038" s="45"/>
      <c r="B2038" s="10" t="s">
        <v>4641</v>
      </c>
      <c r="C2038" s="26"/>
      <c r="D2038" s="10" t="s">
        <v>9615</v>
      </c>
      <c r="E2038" s="48" t="s">
        <v>9616</v>
      </c>
      <c r="F2038" s="57" t="s">
        <v>7173</v>
      </c>
      <c r="G2038" s="49">
        <f t="array" ref="G2038">MAX(IF(INSTOCK!$H$3:$H$6125=B2038,INSTOCK!$K$3:$K$6125))</f>
        <v>2990</v>
      </c>
      <c r="H2038" s="50">
        <f t="array" ref="H2038">SUM(IF(INSTOCK!$H$3:$H$6125=B2038,INSTOCK!$I$3:$I$6125))</f>
        <v>2</v>
      </c>
      <c r="I2038" s="50" t="str">
        <f>ARRAY_CONSTRAIN(ARRAYFORMULA(SUM(IF([3]!Table13[ID]=B2038,[3]!Table13[QTY]))), 1, 1)</f>
        <v>#ERROR!</v>
      </c>
      <c r="J2038" s="50" t="str">
        <f>TABLEITEM!$H$3:$H$2749-TABLEITEM!$I$3:$I$2749</f>
        <v>#ERROR!</v>
      </c>
    </row>
    <row r="2039" ht="15.75" customHeight="1">
      <c r="A2039" s="45"/>
      <c r="B2039" s="18" t="s">
        <v>4642</v>
      </c>
      <c r="C2039" s="26"/>
      <c r="D2039" s="18" t="s">
        <v>9617</v>
      </c>
      <c r="E2039" s="56" t="s">
        <v>9616</v>
      </c>
      <c r="F2039" s="57" t="s">
        <v>7173</v>
      </c>
      <c r="G2039" s="49">
        <f t="array" ref="G2039">MAX(IF(INSTOCK!$H$3:$H$6125=B2039,INSTOCK!$K$3:$K$6125))</f>
        <v>8</v>
      </c>
      <c r="H2039" s="50">
        <f t="array" ref="H2039">SUM(IF(INSTOCK!$H$3:$H$6125=B2039,INSTOCK!$I$3:$I$6125))</f>
        <v>100</v>
      </c>
      <c r="I2039" s="50" t="str">
        <f>ARRAY_CONSTRAIN(ARRAYFORMULA(SUM(IF([3]!Table13[ID]=B2039,[3]!Table13[QTY]))), 1, 1)</f>
        <v>#ERROR!</v>
      </c>
      <c r="J2039" s="50" t="str">
        <f>TABLEITEM!$H$3:$H$2749-TABLEITEM!$I$3:$I$2749</f>
        <v>#ERROR!</v>
      </c>
    </row>
    <row r="2040" ht="15.75" customHeight="1">
      <c r="A2040" s="45"/>
      <c r="B2040" s="18" t="s">
        <v>4645</v>
      </c>
      <c r="C2040" s="26"/>
      <c r="D2040" s="18" t="s">
        <v>9618</v>
      </c>
      <c r="E2040" s="56"/>
      <c r="F2040" s="57" t="s">
        <v>7173</v>
      </c>
      <c r="G2040" s="49">
        <f t="array" ref="G2040">MAX(IF(INSTOCK!$H$3:$H$6125=B2040,INSTOCK!$K$3:$K$6125))</f>
        <v>175</v>
      </c>
      <c r="H2040" s="50">
        <f t="array" ref="H2040">SUM(IF(INSTOCK!$H$3:$H$6125=B2040,INSTOCK!$I$3:$I$6125))</f>
        <v>1</v>
      </c>
      <c r="I2040" s="50" t="str">
        <f>ARRAY_CONSTRAIN(ARRAYFORMULA(SUM(IF([3]!Table13[ID]=B2040,[3]!Table13[QTY]))), 1, 1)</f>
        <v>#ERROR!</v>
      </c>
      <c r="J2040" s="50" t="str">
        <f>TABLEITEM!$H$3:$H$2749-TABLEITEM!$I$3:$I$2749</f>
        <v>#ERROR!</v>
      </c>
    </row>
    <row r="2041" ht="15.75" customHeight="1">
      <c r="A2041" s="45"/>
      <c r="B2041" s="18" t="s">
        <v>4648</v>
      </c>
      <c r="C2041" s="26"/>
      <c r="D2041" s="18" t="s">
        <v>9619</v>
      </c>
      <c r="E2041" s="56"/>
      <c r="F2041" s="57" t="s">
        <v>7173</v>
      </c>
      <c r="G2041" s="49">
        <f t="array" ref="G2041">MAX(IF(INSTOCK!$H$3:$H$6125=B2041,INSTOCK!$K$3:$K$6125))</f>
        <v>3</v>
      </c>
      <c r="H2041" s="50">
        <f t="array" ref="H2041">SUM(IF(INSTOCK!$H$3:$H$6125=B2041,INSTOCK!$I$3:$I$6125))</f>
        <v>150</v>
      </c>
      <c r="I2041" s="50" t="str">
        <f>ARRAY_CONSTRAIN(ARRAYFORMULA(SUM(IF([3]!Table13[ID]=B2041,[3]!Table13[QTY]))), 1, 1)</f>
        <v>#ERROR!</v>
      </c>
      <c r="J2041" s="50" t="str">
        <f>TABLEITEM!$H$3:$H$2749-TABLEITEM!$I$3:$I$2749</f>
        <v>#ERROR!</v>
      </c>
    </row>
    <row r="2042" ht="15.75" customHeight="1">
      <c r="A2042" s="45"/>
      <c r="B2042" s="10" t="s">
        <v>4655</v>
      </c>
      <c r="C2042" s="26"/>
      <c r="D2042" s="10" t="s">
        <v>9620</v>
      </c>
      <c r="E2042" s="48" t="s">
        <v>1481</v>
      </c>
      <c r="F2042" s="57" t="s">
        <v>7173</v>
      </c>
      <c r="G2042" s="49">
        <f t="array" ref="G2042">MAX(IF(INSTOCK!$H$3:$H$6125=B2042,INSTOCK!$K$3:$K$6125))</f>
        <v>284</v>
      </c>
      <c r="H2042" s="50">
        <f t="array" ref="H2042">SUM(IF(INSTOCK!$H$3:$H$6125=B2042,INSTOCK!$I$3:$I$6125))</f>
        <v>10</v>
      </c>
      <c r="I2042" s="50" t="str">
        <f>ARRAY_CONSTRAIN(ARRAYFORMULA(SUM(IF([3]!Table13[ID]=B2042,[3]!Table13[QTY]))), 1, 1)</f>
        <v>#ERROR!</v>
      </c>
      <c r="J2042" s="50" t="str">
        <f>TABLEITEM!$H$3:$H$2749-TABLEITEM!$I$3:$I$2749</f>
        <v>#ERROR!</v>
      </c>
    </row>
    <row r="2043" ht="15.75" customHeight="1">
      <c r="A2043" s="45"/>
      <c r="B2043" s="18" t="s">
        <v>4656</v>
      </c>
      <c r="C2043" s="26"/>
      <c r="D2043" s="18" t="s">
        <v>9621</v>
      </c>
      <c r="E2043" s="48" t="s">
        <v>1481</v>
      </c>
      <c r="F2043" s="57" t="s">
        <v>7173</v>
      </c>
      <c r="G2043" s="49">
        <f t="array" ref="G2043">MAX(IF(INSTOCK!$H$3:$H$6125=B2043,INSTOCK!$K$3:$K$6125))</f>
        <v>12</v>
      </c>
      <c r="H2043" s="50">
        <f t="array" ref="H2043">SUM(IF(INSTOCK!$H$3:$H$6125=B2043,INSTOCK!$I$3:$I$6125))</f>
        <v>5</v>
      </c>
      <c r="I2043" s="50" t="str">
        <f>ARRAY_CONSTRAIN(ARRAYFORMULA(SUM(IF([3]!Table13[ID]=B2043,[3]!Table13[QTY]))), 1, 1)</f>
        <v>#ERROR!</v>
      </c>
      <c r="J2043" s="50" t="str">
        <f>TABLEITEM!$H$3:$H$2749-TABLEITEM!$I$3:$I$2749</f>
        <v>#ERROR!</v>
      </c>
    </row>
    <row r="2044" ht="15.75" customHeight="1">
      <c r="A2044" s="45"/>
      <c r="B2044" s="18" t="s">
        <v>4659</v>
      </c>
      <c r="C2044" s="26"/>
      <c r="D2044" s="18" t="s">
        <v>9622</v>
      </c>
      <c r="E2044" s="56" t="s">
        <v>7439</v>
      </c>
      <c r="F2044" s="57" t="s">
        <v>7173</v>
      </c>
      <c r="G2044" s="49">
        <f t="array" ref="G2044">MAX(IF(INSTOCK!$H$3:$H$6125=B2044,INSTOCK!$K$3:$K$6125))</f>
        <v>10.3</v>
      </c>
      <c r="H2044" s="50">
        <f t="array" ref="H2044">SUM(IF(INSTOCK!$H$3:$H$6125=B2044,INSTOCK!$I$3:$I$6125))</f>
        <v>4000</v>
      </c>
      <c r="I2044" s="50" t="str">
        <f>ARRAY_CONSTRAIN(ARRAYFORMULA(SUM(IF([3]!Table13[ID]=B2044,[3]!Table13[QTY]))), 1, 1)</f>
        <v>#ERROR!</v>
      </c>
      <c r="J2044" s="50" t="str">
        <f>TABLEITEM!$H$3:$H$2749-TABLEITEM!$I$3:$I$2749</f>
        <v>#ERROR!</v>
      </c>
    </row>
    <row r="2045" ht="15.75" customHeight="1">
      <c r="A2045" s="45"/>
      <c r="B2045" s="18" t="s">
        <v>4661</v>
      </c>
      <c r="C2045" s="26"/>
      <c r="D2045" s="18" t="s">
        <v>9623</v>
      </c>
      <c r="E2045" s="56"/>
      <c r="F2045" s="57" t="s">
        <v>7173</v>
      </c>
      <c r="G2045" s="49">
        <f t="array" ref="G2045">MAX(IF(INSTOCK!$H$3:$H$6125=B2045,INSTOCK!$K$3:$K$6125))</f>
        <v>2642.25</v>
      </c>
      <c r="H2045" s="50">
        <f t="array" ref="H2045">SUM(IF(INSTOCK!$H$3:$H$6125=B2045,INSTOCK!$I$3:$I$6125))</f>
        <v>1</v>
      </c>
      <c r="I2045" s="50" t="str">
        <f>ARRAY_CONSTRAIN(ARRAYFORMULA(SUM(IF([3]!Table13[ID]=B2045,[3]!Table13[QTY]))), 1, 1)</f>
        <v>#ERROR!</v>
      </c>
      <c r="J2045" s="50" t="str">
        <f>TABLEITEM!$H$3:$H$2749-TABLEITEM!$I$3:$I$2749</f>
        <v>#ERROR!</v>
      </c>
    </row>
    <row r="2046" ht="15.75" customHeight="1">
      <c r="A2046" s="45"/>
      <c r="B2046" s="18" t="s">
        <v>4665</v>
      </c>
      <c r="C2046" s="26"/>
      <c r="D2046" s="18" t="s">
        <v>9624</v>
      </c>
      <c r="E2046" s="56"/>
      <c r="F2046" s="57" t="s">
        <v>7173</v>
      </c>
      <c r="G2046" s="49">
        <f t="array" ref="G2046">MAX(IF(INSTOCK!$H$3:$H$6125=B2046,INSTOCK!$K$3:$K$6125))</f>
        <v>550</v>
      </c>
      <c r="H2046" s="50">
        <f t="array" ref="H2046">SUM(IF(INSTOCK!$H$3:$H$6125=B2046,INSTOCK!$I$3:$I$6125))</f>
        <v>1</v>
      </c>
      <c r="I2046" s="50" t="str">
        <f>ARRAY_CONSTRAIN(ARRAYFORMULA(SUM(IF([3]!Table13[ID]=B2046,[3]!Table13[QTY]))), 1, 1)</f>
        <v>#ERROR!</v>
      </c>
      <c r="J2046" s="50" t="str">
        <f>TABLEITEM!$H$3:$H$2749-TABLEITEM!$I$3:$I$2749</f>
        <v>#ERROR!</v>
      </c>
    </row>
    <row r="2047" ht="15.75" customHeight="1">
      <c r="A2047" s="45"/>
      <c r="B2047" s="18" t="s">
        <v>4671</v>
      </c>
      <c r="C2047" s="26"/>
      <c r="D2047" s="18" t="s">
        <v>9625</v>
      </c>
      <c r="E2047" s="56" t="s">
        <v>9234</v>
      </c>
      <c r="F2047" s="57" t="s">
        <v>7173</v>
      </c>
      <c r="G2047" s="49">
        <f t="array" ref="G2047">MAX(IF(INSTOCK!$H$3:$H$6125=B2047,INSTOCK!$K$3:$K$6125))</f>
        <v>7000</v>
      </c>
      <c r="H2047" s="50">
        <f t="array" ref="H2047">SUM(IF(INSTOCK!$H$3:$H$6125=B2047,INSTOCK!$I$3:$I$6125))</f>
        <v>5</v>
      </c>
      <c r="I2047" s="50" t="str">
        <f>ARRAY_CONSTRAIN(ARRAYFORMULA(SUM(IF([3]!Table13[ID]=B2047,[3]!Table13[QTY]))), 1, 1)</f>
        <v>#ERROR!</v>
      </c>
      <c r="J2047" s="50" t="str">
        <f>TABLEITEM!$H$3:$H$2749-TABLEITEM!$I$3:$I$2749</f>
        <v>#ERROR!</v>
      </c>
    </row>
    <row r="2048" ht="15.75" customHeight="1">
      <c r="A2048" s="45"/>
      <c r="B2048" s="10" t="s">
        <v>4675</v>
      </c>
      <c r="C2048" s="26"/>
      <c r="D2048" s="10" t="s">
        <v>9626</v>
      </c>
      <c r="E2048" s="48"/>
      <c r="F2048" s="57" t="s">
        <v>7173</v>
      </c>
      <c r="G2048" s="49">
        <f t="array" ref="G2048">MAX(IF(INSTOCK!$H$3:$H$6125=B2048,INSTOCK!$K$3:$K$6125))</f>
        <v>115</v>
      </c>
      <c r="H2048" s="50">
        <f t="array" ref="H2048">SUM(IF(INSTOCK!$H$3:$H$6125=B2048,INSTOCK!$I$3:$I$6125))</f>
        <v>1</v>
      </c>
      <c r="I2048" s="50" t="str">
        <f>ARRAY_CONSTRAIN(ARRAYFORMULA(SUM(IF([3]!Table13[ID]=B2048,[3]!Table13[QTY]))), 1, 1)</f>
        <v>#ERROR!</v>
      </c>
      <c r="J2048" s="50" t="str">
        <f>TABLEITEM!$H$3:$H$2749-TABLEITEM!$I$3:$I$2749</f>
        <v>#ERROR!</v>
      </c>
    </row>
    <row r="2049" ht="15.75" customHeight="1">
      <c r="A2049" s="45"/>
      <c r="B2049" s="18" t="s">
        <v>4676</v>
      </c>
      <c r="C2049" s="26"/>
      <c r="D2049" s="18" t="s">
        <v>9627</v>
      </c>
      <c r="E2049" s="56"/>
      <c r="F2049" s="57" t="s">
        <v>7173</v>
      </c>
      <c r="G2049" s="49">
        <f t="array" ref="G2049">MAX(IF(INSTOCK!$H$3:$H$6125=B2049,INSTOCK!$K$3:$K$6125))</f>
        <v>6</v>
      </c>
      <c r="H2049" s="50">
        <f t="array" ref="H2049">SUM(IF(INSTOCK!$H$3:$H$6125=B2049,INSTOCK!$I$3:$I$6125))</f>
        <v>1</v>
      </c>
      <c r="I2049" s="50" t="str">
        <f>ARRAY_CONSTRAIN(ARRAYFORMULA(SUM(IF([3]!Table13[ID]=B2049,[3]!Table13[QTY]))), 1, 1)</f>
        <v>#ERROR!</v>
      </c>
      <c r="J2049" s="50" t="str">
        <f>TABLEITEM!$H$3:$H$2749-TABLEITEM!$I$3:$I$2749</f>
        <v>#ERROR!</v>
      </c>
    </row>
    <row r="2050" ht="15.75" customHeight="1">
      <c r="A2050" s="45"/>
      <c r="B2050" s="10" t="s">
        <v>4678</v>
      </c>
      <c r="C2050" s="26"/>
      <c r="D2050" s="10" t="s">
        <v>9628</v>
      </c>
      <c r="E2050" s="48" t="s">
        <v>1481</v>
      </c>
      <c r="F2050" s="57" t="s">
        <v>7173</v>
      </c>
      <c r="G2050" s="49">
        <f t="array" ref="G2050">MAX(IF(INSTOCK!$H$3:$H$6125=B2050,INSTOCK!$K$3:$K$6125))</f>
        <v>3330</v>
      </c>
      <c r="H2050" s="50">
        <f t="array" ref="H2050">SUM(IF(INSTOCK!$H$3:$H$6125=B2050,INSTOCK!$I$3:$I$6125))</f>
        <v>2</v>
      </c>
      <c r="I2050" s="50" t="str">
        <f>ARRAY_CONSTRAIN(ARRAYFORMULA(SUM(IF([3]!Table13[ID]=B2050,[3]!Table13[QTY]))), 1, 1)</f>
        <v>#ERROR!</v>
      </c>
      <c r="J2050" s="50" t="str">
        <f>TABLEITEM!$H$3:$H$2749-TABLEITEM!$I$3:$I$2749</f>
        <v>#ERROR!</v>
      </c>
    </row>
    <row r="2051" ht="15.75" customHeight="1">
      <c r="A2051" s="45"/>
      <c r="B2051" s="18" t="s">
        <v>4679</v>
      </c>
      <c r="C2051" s="26"/>
      <c r="D2051" s="18" t="s">
        <v>9629</v>
      </c>
      <c r="E2051" s="56" t="s">
        <v>1481</v>
      </c>
      <c r="F2051" s="57" t="s">
        <v>7173</v>
      </c>
      <c r="G2051" s="49">
        <f t="array" ref="G2051">MAX(IF(INSTOCK!$H$3:$H$6125=B2051,INSTOCK!$K$3:$K$6125))</f>
        <v>58</v>
      </c>
      <c r="H2051" s="50">
        <f t="array" ref="H2051">SUM(IF(INSTOCK!$H$3:$H$6125=B2051,INSTOCK!$I$3:$I$6125))</f>
        <v>24</v>
      </c>
      <c r="I2051" s="50" t="str">
        <f>ARRAY_CONSTRAIN(ARRAYFORMULA(SUM(IF([3]!Table13[ID]=B2051,[3]!Table13[QTY]))), 1, 1)</f>
        <v>#ERROR!</v>
      </c>
      <c r="J2051" s="50" t="str">
        <f>TABLEITEM!$H$3:$H$2749-TABLEITEM!$I$3:$I$2749</f>
        <v>#ERROR!</v>
      </c>
    </row>
    <row r="2052" ht="15.75" customHeight="1">
      <c r="A2052" s="45"/>
      <c r="B2052" s="18" t="s">
        <v>2016</v>
      </c>
      <c r="C2052" s="26"/>
      <c r="D2052" s="18" t="s">
        <v>9630</v>
      </c>
      <c r="E2052" s="56"/>
      <c r="F2052" s="57" t="s">
        <v>7173</v>
      </c>
      <c r="G2052" s="49">
        <f t="array" ref="G2052">MAX(IF(INSTOCK!$H$3:$H$6125=B2052,INSTOCK!$K$3:$K$6125))</f>
        <v>271.03</v>
      </c>
      <c r="H2052" s="50">
        <f t="array" ref="H2052">SUM(IF(INSTOCK!$H$3:$H$6125=B2052,INSTOCK!$I$3:$I$6125))</f>
        <v>15</v>
      </c>
      <c r="I2052" s="50" t="str">
        <f>ARRAY_CONSTRAIN(ARRAYFORMULA(SUM(IF([3]!Table13[ID]=B2052,[3]!Table13[QTY]))), 1, 1)</f>
        <v>#ERROR!</v>
      </c>
      <c r="J2052" s="50" t="str">
        <f>TABLEITEM!$H$3:$H$2749-TABLEITEM!$I$3:$I$2749</f>
        <v>#ERROR!</v>
      </c>
    </row>
    <row r="2053" ht="15.75" customHeight="1">
      <c r="A2053" s="45"/>
      <c r="B2053" s="18" t="s">
        <v>4687</v>
      </c>
      <c r="C2053" s="26"/>
      <c r="D2053" s="18" t="s">
        <v>9631</v>
      </c>
      <c r="E2053" s="56"/>
      <c r="F2053" s="57" t="s">
        <v>7173</v>
      </c>
      <c r="G2053" s="49">
        <f t="array" ref="G2053">MAX(IF(INSTOCK!$H$3:$H$6125=B2053,INSTOCK!$K$3:$K$6125))</f>
        <v>0.5</v>
      </c>
      <c r="H2053" s="50">
        <f t="array" ref="H2053">SUM(IF(INSTOCK!$H$3:$H$6125=B2053,INSTOCK!$I$3:$I$6125))</f>
        <v>10000</v>
      </c>
      <c r="I2053" s="50" t="str">
        <f>ARRAY_CONSTRAIN(ARRAYFORMULA(SUM(IF([3]!Table13[ID]=B2053,[3]!Table13[QTY]))), 1, 1)</f>
        <v>#ERROR!</v>
      </c>
      <c r="J2053" s="50" t="str">
        <f>TABLEITEM!$H$3:$H$2749-TABLEITEM!$I$3:$I$2749</f>
        <v>#ERROR!</v>
      </c>
    </row>
    <row r="2054" ht="15.75" customHeight="1">
      <c r="A2054" s="45"/>
      <c r="B2054" s="18" t="s">
        <v>4693</v>
      </c>
      <c r="C2054" s="26"/>
      <c r="D2054" s="18" t="s">
        <v>9632</v>
      </c>
      <c r="E2054" s="56" t="s">
        <v>1487</v>
      </c>
      <c r="F2054" s="57" t="s">
        <v>7173</v>
      </c>
      <c r="G2054" s="49">
        <f t="array" ref="G2054">MAX(IF(INSTOCK!$H$3:$H$6125=B2054,INSTOCK!$K$3:$K$6125))</f>
        <v>1535.6</v>
      </c>
      <c r="H2054" s="50">
        <f t="array" ref="H2054">SUM(IF(INSTOCK!$H$3:$H$6125=B2054,INSTOCK!$I$3:$I$6125))</f>
        <v>14</v>
      </c>
      <c r="I2054" s="50" t="str">
        <f>ARRAY_CONSTRAIN(ARRAYFORMULA(SUM(IF([3]!Table13[ID]=B2054,[3]!Table13[QTY]))), 1, 1)</f>
        <v>#ERROR!</v>
      </c>
      <c r="J2054" s="50" t="str">
        <f>TABLEITEM!$H$3:$H$2749-TABLEITEM!$I$3:$I$2749</f>
        <v>#ERROR!</v>
      </c>
    </row>
    <row r="2055" ht="15.75" customHeight="1">
      <c r="A2055" s="45"/>
      <c r="B2055" s="18" t="s">
        <v>4695</v>
      </c>
      <c r="C2055" s="26"/>
      <c r="D2055" s="18" t="s">
        <v>9633</v>
      </c>
      <c r="E2055" s="56" t="s">
        <v>1481</v>
      </c>
      <c r="F2055" s="57" t="s">
        <v>7173</v>
      </c>
      <c r="G2055" s="49">
        <f t="array" ref="G2055">MAX(IF(INSTOCK!$H$3:$H$6125=B2055,INSTOCK!$K$3:$K$6125))</f>
        <v>121</v>
      </c>
      <c r="H2055" s="50">
        <f t="array" ref="H2055">SUM(IF(INSTOCK!$H$3:$H$6125=B2055,INSTOCK!$I$3:$I$6125))</f>
        <v>197</v>
      </c>
      <c r="I2055" s="50" t="str">
        <f>ARRAY_CONSTRAIN(ARRAYFORMULA(SUM(IF([3]!Table13[ID]=B2055,[3]!Table13[QTY]))), 1, 1)</f>
        <v>#ERROR!</v>
      </c>
      <c r="J2055" s="50" t="str">
        <f>TABLEITEM!$H$3:$H$2749-TABLEITEM!$I$3:$I$2749</f>
        <v>#ERROR!</v>
      </c>
    </row>
    <row r="2056" ht="15.75" customHeight="1">
      <c r="A2056" s="45"/>
      <c r="B2056" s="18" t="s">
        <v>4696</v>
      </c>
      <c r="C2056" s="26"/>
      <c r="D2056" s="18" t="s">
        <v>9634</v>
      </c>
      <c r="E2056" s="56" t="s">
        <v>9635</v>
      </c>
      <c r="F2056" s="57" t="s">
        <v>7173</v>
      </c>
      <c r="G2056" s="49">
        <f t="array" ref="G2056">MAX(IF(INSTOCK!$H$3:$H$6125=B2056,INSTOCK!$K$3:$K$6125))</f>
        <v>38</v>
      </c>
      <c r="H2056" s="50">
        <f t="array" ref="H2056">SUM(IF(INSTOCK!$H$3:$H$6125=B2056,INSTOCK!$I$3:$I$6125))</f>
        <v>500</v>
      </c>
      <c r="I2056" s="50" t="str">
        <f>ARRAY_CONSTRAIN(ARRAYFORMULA(SUM(IF([3]!Table13[ID]=B2056,[3]!Table13[QTY]))), 1, 1)</f>
        <v>#ERROR!</v>
      </c>
      <c r="J2056" s="50" t="str">
        <f>TABLEITEM!$H$3:$H$2749-TABLEITEM!$I$3:$I$2749</f>
        <v>#ERROR!</v>
      </c>
    </row>
    <row r="2057" ht="15.75" customHeight="1">
      <c r="A2057" s="45"/>
      <c r="B2057" s="18" t="s">
        <v>4699</v>
      </c>
      <c r="C2057" s="26"/>
      <c r="D2057" s="18" t="s">
        <v>9636</v>
      </c>
      <c r="E2057" s="56" t="s">
        <v>9637</v>
      </c>
      <c r="F2057" s="57" t="s">
        <v>7173</v>
      </c>
      <c r="G2057" s="49">
        <f t="array" ref="G2057">MAX(IF(INSTOCK!$H$3:$H$6125=B2057,INSTOCK!$K$3:$K$6125))</f>
        <v>40</v>
      </c>
      <c r="H2057" s="50">
        <f t="array" ref="H2057">SUM(IF(INSTOCK!$H$3:$H$6125=B2057,INSTOCK!$I$3:$I$6125))</f>
        <v>30</v>
      </c>
      <c r="I2057" s="50" t="str">
        <f>ARRAY_CONSTRAIN(ARRAYFORMULA(SUM(IF([3]!Table13[ID]=B2057,[3]!Table13[QTY]))), 1, 1)</f>
        <v>#ERROR!</v>
      </c>
      <c r="J2057" s="50" t="str">
        <f>TABLEITEM!$H$3:$H$2749-TABLEITEM!$I$3:$I$2749</f>
        <v>#ERROR!</v>
      </c>
    </row>
    <row r="2058" ht="15.75" customHeight="1">
      <c r="A2058" s="45"/>
      <c r="B2058" s="10"/>
      <c r="C2058" s="26"/>
      <c r="D2058" s="18"/>
      <c r="E2058" s="56" t="s">
        <v>2589</v>
      </c>
      <c r="F2058" s="57" t="s">
        <v>7173</v>
      </c>
      <c r="G2058" s="49">
        <f t="array" ref="G2058">MAX(IF(INSTOCK!$H$3:$H$6125=B2058,INSTOCK!$K$3:$K$6125))</f>
        <v>0</v>
      </c>
      <c r="H2058" s="50">
        <f t="array" ref="H2058">SUM(IF(INSTOCK!$H$3:$H$6125=B2058,INSTOCK!$I$3:$I$6125))</f>
        <v>0</v>
      </c>
      <c r="I2058" s="50" t="str">
        <f>ARRAY_CONSTRAIN(ARRAYFORMULA(SUM(IF([3]!Table13[ID]=B2058,[3]!Table13[QTY]))), 1, 1)</f>
        <v>#ERROR!</v>
      </c>
      <c r="J2058" s="50" t="str">
        <f>TABLEITEM!$H$3:$H$2749-TABLEITEM!$I$3:$I$2749</f>
        <v>#ERROR!</v>
      </c>
    </row>
    <row r="2059" ht="15.75" customHeight="1">
      <c r="A2059" s="45"/>
      <c r="B2059" s="10" t="s">
        <v>4712</v>
      </c>
      <c r="C2059" s="26"/>
      <c r="D2059" s="18" t="s">
        <v>9638</v>
      </c>
      <c r="E2059" s="56" t="s">
        <v>1487</v>
      </c>
      <c r="F2059" s="57" t="s">
        <v>7173</v>
      </c>
      <c r="G2059" s="49">
        <f t="array" ref="G2059">MAX(IF(INSTOCK!$H$3:$H$6125=B2059,INSTOCK!$K$3:$K$6125))</f>
        <v>94.5</v>
      </c>
      <c r="H2059" s="50">
        <f t="array" ref="H2059">SUM(IF(INSTOCK!$H$3:$H$6125=B2059,INSTOCK!$I$3:$I$6125))</f>
        <v>13</v>
      </c>
      <c r="I2059" s="50" t="str">
        <f>ARRAY_CONSTRAIN(ARRAYFORMULA(SUM(IF([3]!Table13[ID]=B2059,[3]!Table13[QTY]))), 1, 1)</f>
        <v>#ERROR!</v>
      </c>
      <c r="J2059" s="50" t="str">
        <f>TABLEITEM!$H$3:$H$2749-TABLEITEM!$I$3:$I$2749</f>
        <v>#ERROR!</v>
      </c>
    </row>
    <row r="2060" ht="15.75" customHeight="1">
      <c r="A2060" s="45"/>
      <c r="B2060" s="10" t="s">
        <v>4713</v>
      </c>
      <c r="C2060" s="26"/>
      <c r="D2060" s="10" t="s">
        <v>9639</v>
      </c>
      <c r="E2060" s="56" t="s">
        <v>1487</v>
      </c>
      <c r="F2060" s="57" t="s">
        <v>7173</v>
      </c>
      <c r="G2060" s="49">
        <f t="array" ref="G2060">MAX(IF(INSTOCK!$H$3:$H$6125=B2060,INSTOCK!$K$3:$K$6125))</f>
        <v>1095</v>
      </c>
      <c r="H2060" s="50">
        <f t="array" ref="H2060">SUM(IF(INSTOCK!$H$3:$H$6125=B2060,INSTOCK!$I$3:$I$6125))</f>
        <v>2</v>
      </c>
      <c r="I2060" s="50" t="str">
        <f>ARRAY_CONSTRAIN(ARRAYFORMULA(SUM(IF([3]!Table13[ID]=B2060,[3]!Table13[QTY]))), 1, 1)</f>
        <v>#ERROR!</v>
      </c>
      <c r="J2060" s="50" t="str">
        <f>TABLEITEM!$H$3:$H$2749-TABLEITEM!$I$3:$I$2749</f>
        <v>#ERROR!</v>
      </c>
    </row>
    <row r="2061" ht="15.75" customHeight="1">
      <c r="A2061" s="45"/>
      <c r="B2061" s="10" t="s">
        <v>4714</v>
      </c>
      <c r="C2061" s="26"/>
      <c r="D2061" s="10" t="s">
        <v>9640</v>
      </c>
      <c r="E2061" s="56" t="s">
        <v>1487</v>
      </c>
      <c r="F2061" s="57" t="s">
        <v>7173</v>
      </c>
      <c r="G2061" s="49">
        <f t="array" ref="G2061">MAX(IF(INSTOCK!$H$3:$H$6125=B2061,INSTOCK!$K$3:$K$6125))</f>
        <v>1095</v>
      </c>
      <c r="H2061" s="50">
        <f t="array" ref="H2061">SUM(IF(INSTOCK!$H$3:$H$6125=B2061,INSTOCK!$I$3:$I$6125))</f>
        <v>1</v>
      </c>
      <c r="I2061" s="50" t="str">
        <f>ARRAY_CONSTRAIN(ARRAYFORMULA(SUM(IF([3]!Table13[ID]=B2061,[3]!Table13[QTY]))), 1, 1)</f>
        <v>#ERROR!</v>
      </c>
      <c r="J2061" s="50" t="str">
        <f>TABLEITEM!$H$3:$H$2749-TABLEITEM!$I$3:$I$2749</f>
        <v>#ERROR!</v>
      </c>
    </row>
    <row r="2062" ht="15.75" customHeight="1">
      <c r="A2062" s="45"/>
      <c r="B2062" s="10" t="s">
        <v>4715</v>
      </c>
      <c r="C2062" s="26"/>
      <c r="D2062" s="10" t="s">
        <v>9641</v>
      </c>
      <c r="E2062" s="56" t="s">
        <v>1487</v>
      </c>
      <c r="F2062" s="57" t="s">
        <v>7173</v>
      </c>
      <c r="G2062" s="49">
        <f t="array" ref="G2062">MAX(IF(INSTOCK!$H$3:$H$6125=B2062,INSTOCK!$K$3:$K$6125))</f>
        <v>1386</v>
      </c>
      <c r="H2062" s="50">
        <f t="array" ref="H2062">SUM(IF(INSTOCK!$H$3:$H$6125=B2062,INSTOCK!$I$3:$I$6125))</f>
        <v>1</v>
      </c>
      <c r="I2062" s="50" t="str">
        <f>ARRAY_CONSTRAIN(ARRAYFORMULA(SUM(IF([3]!Table13[ID]=B2062,[3]!Table13[QTY]))), 1, 1)</f>
        <v>#ERROR!</v>
      </c>
      <c r="J2062" s="50" t="str">
        <f>TABLEITEM!$H$3:$H$2749-TABLEITEM!$I$3:$I$2749</f>
        <v>#ERROR!</v>
      </c>
    </row>
    <row r="2063" ht="15.75" customHeight="1">
      <c r="A2063" s="45"/>
      <c r="B2063" s="10" t="s">
        <v>4716</v>
      </c>
      <c r="C2063" s="26"/>
      <c r="D2063" s="10" t="s">
        <v>9642</v>
      </c>
      <c r="E2063" s="56" t="s">
        <v>1487</v>
      </c>
      <c r="F2063" s="57" t="s">
        <v>7173</v>
      </c>
      <c r="G2063" s="49">
        <f t="array" ref="G2063">MAX(IF(INSTOCK!$H$3:$H$6125=B2063,INSTOCK!$K$3:$K$6125))</f>
        <v>4830</v>
      </c>
      <c r="H2063" s="50">
        <f t="array" ref="H2063">SUM(IF(INSTOCK!$H$3:$H$6125=B2063,INSTOCK!$I$3:$I$6125))</f>
        <v>1</v>
      </c>
      <c r="I2063" s="50" t="str">
        <f>ARRAY_CONSTRAIN(ARRAYFORMULA(SUM(IF([3]!Table13[ID]=B2063,[3]!Table13[QTY]))), 1, 1)</f>
        <v>#ERROR!</v>
      </c>
      <c r="J2063" s="50" t="str">
        <f>TABLEITEM!$H$3:$H$2749-TABLEITEM!$I$3:$I$2749</f>
        <v>#ERROR!</v>
      </c>
    </row>
    <row r="2064" ht="15.75" customHeight="1">
      <c r="A2064" s="45"/>
      <c r="B2064" s="18" t="s">
        <v>4717</v>
      </c>
      <c r="C2064" s="26"/>
      <c r="D2064" s="18" t="s">
        <v>9643</v>
      </c>
      <c r="E2064" s="56" t="s">
        <v>1487</v>
      </c>
      <c r="F2064" s="57" t="s">
        <v>7173</v>
      </c>
      <c r="G2064" s="49">
        <f t="array" ref="G2064">MAX(IF(INSTOCK!$H$3:$H$6125=B2064,INSTOCK!$K$3:$K$6125))</f>
        <v>2356</v>
      </c>
      <c r="H2064" s="50">
        <f t="array" ref="H2064">SUM(IF(INSTOCK!$H$3:$H$6125=B2064,INSTOCK!$I$3:$I$6125))</f>
        <v>1</v>
      </c>
      <c r="I2064" s="50" t="str">
        <f>ARRAY_CONSTRAIN(ARRAYFORMULA(SUM(IF([3]!Table13[ID]=B2064,[3]!Table13[QTY]))), 1, 1)</f>
        <v>#ERROR!</v>
      </c>
      <c r="J2064" s="50" t="str">
        <f>TABLEITEM!$H$3:$H$2749-TABLEITEM!$I$3:$I$2749</f>
        <v>#ERROR!</v>
      </c>
    </row>
    <row r="2065" ht="15.75" customHeight="1">
      <c r="A2065" s="45"/>
      <c r="B2065" s="18" t="s">
        <v>4720</v>
      </c>
      <c r="C2065" s="26"/>
      <c r="D2065" s="18" t="s">
        <v>9644</v>
      </c>
      <c r="E2065" s="56" t="s">
        <v>1289</v>
      </c>
      <c r="F2065" s="57" t="s">
        <v>7173</v>
      </c>
      <c r="G2065" s="49">
        <f t="array" ref="G2065">MAX(IF(INSTOCK!$H$3:$H$6125=B2065,INSTOCK!$K$3:$K$6125))</f>
        <v>35</v>
      </c>
      <c r="H2065" s="50">
        <f t="array" ref="H2065">SUM(IF(INSTOCK!$H$3:$H$6125=B2065,INSTOCK!$I$3:$I$6125))</f>
        <v>2</v>
      </c>
      <c r="I2065" s="50" t="str">
        <f>ARRAY_CONSTRAIN(ARRAYFORMULA(SUM(IF([3]!Table13[ID]=B2065,[3]!Table13[QTY]))), 1, 1)</f>
        <v>#ERROR!</v>
      </c>
      <c r="J2065" s="50" t="str">
        <f>TABLEITEM!$H$3:$H$2749-TABLEITEM!$I$3:$I$2749</f>
        <v>#ERROR!</v>
      </c>
    </row>
    <row r="2066" ht="15.75" customHeight="1">
      <c r="A2066" s="45"/>
      <c r="B2066" s="10" t="s">
        <v>3688</v>
      </c>
      <c r="C2066" s="26"/>
      <c r="D2066" s="10" t="s">
        <v>9645</v>
      </c>
      <c r="E2066" s="48"/>
      <c r="F2066" s="57" t="s">
        <v>7173</v>
      </c>
      <c r="G2066" s="49">
        <f t="array" ref="G2066">MAX(IF(INSTOCK!$H$3:$H$6125=B2066,INSTOCK!$K$3:$K$6125))</f>
        <v>214.95</v>
      </c>
      <c r="H2066" s="50">
        <f t="array" ref="H2066">SUM(IF(INSTOCK!$H$3:$H$6125=B2066,INSTOCK!$I$3:$I$6125))</f>
        <v>1</v>
      </c>
      <c r="I2066" s="50" t="str">
        <f>ARRAY_CONSTRAIN(ARRAYFORMULA(SUM(IF([3]!Table13[ID]=B2066,[3]!Table13[QTY]))), 1, 1)</f>
        <v>#ERROR!</v>
      </c>
      <c r="J2066" s="50" t="str">
        <f>TABLEITEM!$H$3:$H$2749-TABLEITEM!$I$3:$I$2749</f>
        <v>#ERROR!</v>
      </c>
    </row>
    <row r="2067" ht="15.75" customHeight="1">
      <c r="A2067" s="45"/>
      <c r="B2067" s="18" t="s">
        <v>3063</v>
      </c>
      <c r="C2067" s="26"/>
      <c r="D2067" s="18" t="s">
        <v>9646</v>
      </c>
      <c r="E2067" s="56"/>
      <c r="F2067" s="57" t="s">
        <v>7173</v>
      </c>
      <c r="G2067" s="49">
        <f t="array" ref="G2067">MAX(IF(INSTOCK!$H$3:$H$6125=B2067,INSTOCK!$K$3:$K$6125))</f>
        <v>1028.04</v>
      </c>
      <c r="H2067" s="50">
        <f t="array" ref="H2067">SUM(IF(INSTOCK!$H$3:$H$6125=B2067,INSTOCK!$I$3:$I$6125))</f>
        <v>1</v>
      </c>
      <c r="I2067" s="50" t="str">
        <f>ARRAY_CONSTRAIN(ARRAYFORMULA(SUM(IF([3]!Table13[ID]=B2067,[3]!Table13[QTY]))), 1, 1)</f>
        <v>#ERROR!</v>
      </c>
      <c r="J2067" s="50" t="str">
        <f>TABLEITEM!$H$3:$H$2749-TABLEITEM!$I$3:$I$2749</f>
        <v>#ERROR!</v>
      </c>
    </row>
    <row r="2068" ht="15.75" customHeight="1">
      <c r="A2068" s="45"/>
      <c r="B2068" s="10" t="s">
        <v>4741</v>
      </c>
      <c r="C2068" s="26"/>
      <c r="D2068" s="10" t="s">
        <v>9647</v>
      </c>
      <c r="E2068" s="48" t="s">
        <v>9648</v>
      </c>
      <c r="F2068" s="57" t="s">
        <v>7173</v>
      </c>
      <c r="G2068" s="49">
        <f t="array" ref="G2068">MAX(IF(INSTOCK!$H$3:$H$6125=B2068,INSTOCK!$K$3:$K$6125))</f>
        <v>75</v>
      </c>
      <c r="H2068" s="50">
        <f t="array" ref="H2068">SUM(IF(INSTOCK!$H$3:$H$6125=B2068,INSTOCK!$I$3:$I$6125))</f>
        <v>1</v>
      </c>
      <c r="I2068" s="50" t="str">
        <f>ARRAY_CONSTRAIN(ARRAYFORMULA(SUM(IF([3]!Table13[ID]=B2068,[3]!Table13[QTY]))), 1, 1)</f>
        <v>#ERROR!</v>
      </c>
      <c r="J2068" s="50" t="str">
        <f>TABLEITEM!$H$3:$H$2749-TABLEITEM!$I$3:$I$2749</f>
        <v>#ERROR!</v>
      </c>
    </row>
    <row r="2069" ht="15.75" customHeight="1">
      <c r="A2069" s="45"/>
      <c r="B2069" s="18" t="s">
        <v>4742</v>
      </c>
      <c r="C2069" s="26"/>
      <c r="D2069" s="18" t="s">
        <v>9649</v>
      </c>
      <c r="E2069" s="56" t="s">
        <v>9648</v>
      </c>
      <c r="F2069" s="57" t="s">
        <v>7173</v>
      </c>
      <c r="G2069" s="49">
        <f t="array" ref="G2069">MAX(IF(INSTOCK!$H$3:$H$6125=B2069,INSTOCK!$K$3:$K$6125))</f>
        <v>180</v>
      </c>
      <c r="H2069" s="50">
        <f t="array" ref="H2069">SUM(IF(INSTOCK!$H$3:$H$6125=B2069,INSTOCK!$I$3:$I$6125))</f>
        <v>1</v>
      </c>
      <c r="I2069" s="50" t="str">
        <f>ARRAY_CONSTRAIN(ARRAYFORMULA(SUM(IF([3]!Table13[ID]=B2069,[3]!Table13[QTY]))), 1, 1)</f>
        <v>#ERROR!</v>
      </c>
      <c r="J2069" s="50" t="str">
        <f>TABLEITEM!$H$3:$H$2749-TABLEITEM!$I$3:$I$2749</f>
        <v>#ERROR!</v>
      </c>
    </row>
    <row r="2070" ht="15.75" customHeight="1">
      <c r="A2070" s="45"/>
      <c r="B2070" s="18" t="s">
        <v>4748</v>
      </c>
      <c r="C2070" s="26"/>
      <c r="D2070" s="18" t="s">
        <v>9650</v>
      </c>
      <c r="E2070" s="56"/>
      <c r="F2070" s="57" t="s">
        <v>7173</v>
      </c>
      <c r="G2070" s="49">
        <f t="array" ref="G2070">MAX(IF(INSTOCK!$H$3:$H$6125=B2070,INSTOCK!$K$3:$K$6125))</f>
        <v>5.6</v>
      </c>
      <c r="H2070" s="50">
        <f t="array" ref="H2070">SUM(IF(INSTOCK!$H$3:$H$6125=B2070,INSTOCK!$I$3:$I$6125))</f>
        <v>70</v>
      </c>
      <c r="I2070" s="50" t="str">
        <f>ARRAY_CONSTRAIN(ARRAYFORMULA(SUM(IF([3]!Table13[ID]=B2070,[3]!Table13[QTY]))), 1, 1)</f>
        <v>#ERROR!</v>
      </c>
      <c r="J2070" s="50" t="str">
        <f>TABLEITEM!$H$3:$H$2749-TABLEITEM!$I$3:$I$2749</f>
        <v>#ERROR!</v>
      </c>
    </row>
    <row r="2071" ht="15.75" customHeight="1">
      <c r="A2071" s="45"/>
      <c r="B2071" s="10" t="s">
        <v>4753</v>
      </c>
      <c r="C2071" s="26"/>
      <c r="D2071" s="10" t="s">
        <v>9651</v>
      </c>
      <c r="E2071" s="48"/>
      <c r="F2071" s="57" t="s">
        <v>7173</v>
      </c>
      <c r="G2071" s="49">
        <f t="array" ref="G2071">MAX(IF(INSTOCK!$H$3:$H$6125=B2071,INSTOCK!$K$3:$K$6125))</f>
        <v>37</v>
      </c>
      <c r="H2071" s="50">
        <f t="array" ref="H2071">SUM(IF(INSTOCK!$H$3:$H$6125=B2071,INSTOCK!$I$3:$I$6125))</f>
        <v>1</v>
      </c>
      <c r="I2071" s="50" t="str">
        <f>ARRAY_CONSTRAIN(ARRAYFORMULA(SUM(IF([3]!Table13[ID]=B2071,[3]!Table13[QTY]))), 1, 1)</f>
        <v>#ERROR!</v>
      </c>
      <c r="J2071" s="50" t="str">
        <f>TABLEITEM!$H$3:$H$2749-TABLEITEM!$I$3:$I$2749</f>
        <v>#ERROR!</v>
      </c>
    </row>
    <row r="2072" ht="15.75" customHeight="1">
      <c r="A2072" s="45"/>
      <c r="B2072" s="10" t="s">
        <v>4754</v>
      </c>
      <c r="C2072" s="26"/>
      <c r="D2072" s="10" t="s">
        <v>9652</v>
      </c>
      <c r="E2072" s="48"/>
      <c r="F2072" s="57" t="s">
        <v>7173</v>
      </c>
      <c r="G2072" s="49">
        <f t="array" ref="G2072">MAX(IF(INSTOCK!$H$3:$H$6125=B2072,INSTOCK!$K$3:$K$6125))</f>
        <v>7.56</v>
      </c>
      <c r="H2072" s="50">
        <f t="array" ref="H2072">SUM(IF(INSTOCK!$H$3:$H$6125=B2072,INSTOCK!$I$3:$I$6125))</f>
        <v>12</v>
      </c>
      <c r="I2072" s="50" t="str">
        <f>ARRAY_CONSTRAIN(ARRAYFORMULA(SUM(IF([3]!Table13[ID]=B2072,[3]!Table13[QTY]))), 1, 1)</f>
        <v>#ERROR!</v>
      </c>
      <c r="J2072" s="50" t="str">
        <f>TABLEITEM!$H$3:$H$2749-TABLEITEM!$I$3:$I$2749</f>
        <v>#ERROR!</v>
      </c>
    </row>
    <row r="2073" ht="15.75" customHeight="1">
      <c r="A2073" s="45"/>
      <c r="B2073" s="18" t="s">
        <v>4756</v>
      </c>
      <c r="C2073" s="26"/>
      <c r="D2073" s="18" t="s">
        <v>9653</v>
      </c>
      <c r="E2073" s="56"/>
      <c r="F2073" s="57" t="s">
        <v>7173</v>
      </c>
      <c r="G2073" s="49">
        <f t="array" ref="G2073">MAX(IF(INSTOCK!$H$3:$H$6125=B2073,INSTOCK!$K$3:$K$6125))</f>
        <v>9.9</v>
      </c>
      <c r="H2073" s="50">
        <f t="array" ref="H2073">SUM(IF(INSTOCK!$H$3:$H$6125=B2073,INSTOCK!$I$3:$I$6125))</f>
        <v>24</v>
      </c>
      <c r="I2073" s="50" t="str">
        <f>ARRAY_CONSTRAIN(ARRAYFORMULA(SUM(IF([3]!Table13[ID]=B2073,[3]!Table13[QTY]))), 1, 1)</f>
        <v>#ERROR!</v>
      </c>
      <c r="J2073" s="50" t="str">
        <f>TABLEITEM!$H$3:$H$2749-TABLEITEM!$I$3:$I$2749</f>
        <v>#ERROR!</v>
      </c>
    </row>
    <row r="2074" ht="15.75" customHeight="1">
      <c r="A2074" s="45"/>
      <c r="B2074" s="18" t="s">
        <v>4760</v>
      </c>
      <c r="C2074" s="26"/>
      <c r="D2074" s="18" t="s">
        <v>9654</v>
      </c>
      <c r="E2074" s="56" t="s">
        <v>1274</v>
      </c>
      <c r="F2074" s="57" t="s">
        <v>8524</v>
      </c>
      <c r="G2074" s="49">
        <f t="array" ref="G2074">MAX(IF(INSTOCK!$H$3:$H$6125=B2074,INSTOCK!$K$3:$K$6125))</f>
        <v>26</v>
      </c>
      <c r="H2074" s="50">
        <f t="array" ref="H2074">SUM(IF(INSTOCK!$H$3:$H$6125=B2074,INSTOCK!$I$3:$I$6125))</f>
        <v>144</v>
      </c>
      <c r="I2074" s="50" t="str">
        <f>ARRAY_CONSTRAIN(ARRAYFORMULA(SUM(IF([3]!Table13[ID]=B2074,[3]!Table13[QTY]))), 1, 1)</f>
        <v>#ERROR!</v>
      </c>
      <c r="J2074" s="50" t="str">
        <f>TABLEITEM!$H$3:$H$2749-TABLEITEM!$I$3:$I$2749</f>
        <v>#ERROR!</v>
      </c>
    </row>
    <row r="2075" ht="15.75" customHeight="1">
      <c r="A2075" s="45"/>
      <c r="B2075" s="18" t="s">
        <v>4762</v>
      </c>
      <c r="C2075" s="26"/>
      <c r="D2075" s="18" t="s">
        <v>9655</v>
      </c>
      <c r="E2075" s="56" t="s">
        <v>8360</v>
      </c>
      <c r="F2075" s="57" t="s">
        <v>8651</v>
      </c>
      <c r="G2075" s="49">
        <f t="array" ref="G2075">MAX(IF(INSTOCK!$H$3:$H$6125=B2075,INSTOCK!$K$3:$K$6125))</f>
        <v>39100</v>
      </c>
      <c r="H2075" s="50">
        <f t="array" ref="H2075">SUM(IF(INSTOCK!$H$3:$H$6125=B2075,INSTOCK!$I$3:$I$6125))</f>
        <v>1</v>
      </c>
      <c r="I2075" s="50" t="str">
        <f>ARRAY_CONSTRAIN(ARRAYFORMULA(SUM(IF([3]!Table13[ID]=B2075,[3]!Table13[QTY]))), 1, 1)</f>
        <v>#ERROR!</v>
      </c>
      <c r="J2075" s="50" t="str">
        <f>TABLEITEM!$H$3:$H$2749-TABLEITEM!$I$3:$I$2749</f>
        <v>#ERROR!</v>
      </c>
    </row>
    <row r="2076" ht="15.75" customHeight="1">
      <c r="A2076" s="45"/>
      <c r="B2076" s="18" t="s">
        <v>4767</v>
      </c>
      <c r="C2076" s="26"/>
      <c r="D2076" s="18" t="s">
        <v>9656</v>
      </c>
      <c r="E2076" s="56"/>
      <c r="F2076" s="57" t="s">
        <v>7173</v>
      </c>
      <c r="G2076" s="49">
        <f t="array" ref="G2076">MAX(IF(INSTOCK!$H$3:$H$6125=B2076,INSTOCK!$K$3:$K$6125))</f>
        <v>90</v>
      </c>
      <c r="H2076" s="50">
        <f t="array" ref="H2076">SUM(IF(INSTOCK!$H$3:$H$6125=B2076,INSTOCK!$I$3:$I$6125))</f>
        <v>6</v>
      </c>
      <c r="I2076" s="50" t="str">
        <f>ARRAY_CONSTRAIN(ARRAYFORMULA(SUM(IF([3]!Table13[ID]=B2076,[3]!Table13[QTY]))), 1, 1)</f>
        <v>#ERROR!</v>
      </c>
      <c r="J2076" s="50" t="str">
        <f>TABLEITEM!$H$3:$H$2749-TABLEITEM!$I$3:$I$2749</f>
        <v>#ERROR!</v>
      </c>
    </row>
    <row r="2077" ht="15.75" customHeight="1">
      <c r="A2077" s="45"/>
      <c r="B2077" s="18" t="s">
        <v>4770</v>
      </c>
      <c r="C2077" s="26"/>
      <c r="D2077" s="18" t="s">
        <v>9657</v>
      </c>
      <c r="E2077" s="56" t="s">
        <v>8678</v>
      </c>
      <c r="F2077" s="57" t="s">
        <v>7173</v>
      </c>
      <c r="G2077" s="49">
        <f t="array" ref="G2077">MAX(IF(INSTOCK!$H$3:$H$6125=B2077,INSTOCK!$K$3:$K$6125))</f>
        <v>155</v>
      </c>
      <c r="H2077" s="50">
        <f t="array" ref="H2077">SUM(IF(INSTOCK!$H$3:$H$6125=B2077,INSTOCK!$I$3:$I$6125))</f>
        <v>2</v>
      </c>
      <c r="I2077" s="50" t="str">
        <f>ARRAY_CONSTRAIN(ARRAYFORMULA(SUM(IF([3]!Table13[ID]=B2077,[3]!Table13[QTY]))), 1, 1)</f>
        <v>#ERROR!</v>
      </c>
      <c r="J2077" s="50" t="str">
        <f>TABLEITEM!$H$3:$H$2749-TABLEITEM!$I$3:$I$2749</f>
        <v>#ERROR!</v>
      </c>
    </row>
    <row r="2078" ht="15.75" customHeight="1">
      <c r="A2078" s="45"/>
      <c r="B2078" s="18" t="s">
        <v>4772</v>
      </c>
      <c r="C2078" s="26"/>
      <c r="D2078" s="18" t="s">
        <v>9658</v>
      </c>
      <c r="E2078" s="56" t="s">
        <v>1481</v>
      </c>
      <c r="F2078" s="57" t="s">
        <v>7173</v>
      </c>
      <c r="G2078" s="49">
        <f t="array" ref="G2078">MAX(IF(INSTOCK!$H$3:$H$6125=B2078,INSTOCK!$K$3:$K$6125))</f>
        <v>17</v>
      </c>
      <c r="H2078" s="50">
        <f t="array" ref="H2078">SUM(IF(INSTOCK!$H$3:$H$6125=B2078,INSTOCK!$I$3:$I$6125))</f>
        <v>130</v>
      </c>
      <c r="I2078" s="50" t="str">
        <f>ARRAY_CONSTRAIN(ARRAYFORMULA(SUM(IF([3]!Table13[ID]=B2078,[3]!Table13[QTY]))), 1, 1)</f>
        <v>#ERROR!</v>
      </c>
      <c r="J2078" s="50" t="str">
        <f>TABLEITEM!$H$3:$H$2749-TABLEITEM!$I$3:$I$2749</f>
        <v>#ERROR!</v>
      </c>
    </row>
    <row r="2079" ht="15.75" customHeight="1">
      <c r="A2079" s="45"/>
      <c r="B2079" s="10" t="s">
        <v>4773</v>
      </c>
      <c r="C2079" s="26"/>
      <c r="D2079" s="10" t="s">
        <v>9659</v>
      </c>
      <c r="E2079" s="56" t="s">
        <v>1481</v>
      </c>
      <c r="F2079" s="57" t="s">
        <v>7173</v>
      </c>
      <c r="G2079" s="49">
        <f t="array" ref="G2079">MAX(IF(INSTOCK!$H$3:$H$6125=B2079,INSTOCK!$K$3:$K$6125))</f>
        <v>4905</v>
      </c>
      <c r="H2079" s="50">
        <f t="array" ref="H2079">SUM(IF(INSTOCK!$H$3:$H$6125=B2079,INSTOCK!$I$3:$I$6125))</f>
        <v>1</v>
      </c>
      <c r="I2079" s="50" t="str">
        <f>ARRAY_CONSTRAIN(ARRAYFORMULA(SUM(IF([3]!Table13[ID]=B2079,[3]!Table13[QTY]))), 1, 1)</f>
        <v>#ERROR!</v>
      </c>
      <c r="J2079" s="50" t="str">
        <f>TABLEITEM!$H$3:$H$2749-TABLEITEM!$I$3:$I$2749</f>
        <v>#ERROR!</v>
      </c>
    </row>
    <row r="2080" ht="15.75" customHeight="1">
      <c r="A2080" s="45"/>
      <c r="B2080" s="10" t="s">
        <v>4774</v>
      </c>
      <c r="C2080" s="26"/>
      <c r="D2080" s="10" t="s">
        <v>9660</v>
      </c>
      <c r="E2080" s="56" t="s">
        <v>1481</v>
      </c>
      <c r="F2080" s="57" t="s">
        <v>7173</v>
      </c>
      <c r="G2080" s="49">
        <f t="array" ref="G2080">MAX(IF(INSTOCK!$H$3:$H$6125=B2080,INSTOCK!$K$3:$K$6125))</f>
        <v>24</v>
      </c>
      <c r="H2080" s="50">
        <f t="array" ref="H2080">SUM(IF(INSTOCK!$H$3:$H$6125=B2080,INSTOCK!$I$3:$I$6125))</f>
        <v>360</v>
      </c>
      <c r="I2080" s="50" t="str">
        <f>ARRAY_CONSTRAIN(ARRAYFORMULA(SUM(IF([3]!Table13[ID]=B2080,[3]!Table13[QTY]))), 1, 1)</f>
        <v>#ERROR!</v>
      </c>
      <c r="J2080" s="50" t="str">
        <f>TABLEITEM!$H$3:$H$2749-TABLEITEM!$I$3:$I$2749</f>
        <v>#ERROR!</v>
      </c>
    </row>
    <row r="2081" ht="15.75" customHeight="1">
      <c r="A2081" s="45"/>
      <c r="B2081" s="10" t="s">
        <v>4775</v>
      </c>
      <c r="C2081" s="26"/>
      <c r="D2081" s="10" t="s">
        <v>9661</v>
      </c>
      <c r="E2081" s="56" t="s">
        <v>1481</v>
      </c>
      <c r="F2081" s="57" t="s">
        <v>7173</v>
      </c>
      <c r="G2081" s="49">
        <f t="array" ref="G2081">MAX(IF(INSTOCK!$H$3:$H$6125=B2081,INSTOCK!$K$3:$K$6125))</f>
        <v>116</v>
      </c>
      <c r="H2081" s="50">
        <f t="array" ref="H2081">SUM(IF(INSTOCK!$H$3:$H$6125=B2081,INSTOCK!$I$3:$I$6125))</f>
        <v>130</v>
      </c>
      <c r="I2081" s="50" t="str">
        <f>ARRAY_CONSTRAIN(ARRAYFORMULA(SUM(IF([3]!Table13[ID]=B2081,[3]!Table13[QTY]))), 1, 1)</f>
        <v>#ERROR!</v>
      </c>
      <c r="J2081" s="50" t="str">
        <f>TABLEITEM!$H$3:$H$2749-TABLEITEM!$I$3:$I$2749</f>
        <v>#ERROR!</v>
      </c>
    </row>
    <row r="2082" ht="15.75" customHeight="1">
      <c r="A2082" s="45"/>
      <c r="B2082" s="18" t="s">
        <v>4776</v>
      </c>
      <c r="C2082" s="26"/>
      <c r="D2082" s="18" t="s">
        <v>9662</v>
      </c>
      <c r="E2082" s="56" t="s">
        <v>1481</v>
      </c>
      <c r="F2082" s="57" t="s">
        <v>7173</v>
      </c>
      <c r="G2082" s="49">
        <f t="array" ref="G2082">MAX(IF(INSTOCK!$H$3:$H$6125=B2082,INSTOCK!$K$3:$K$6125))</f>
        <v>228</v>
      </c>
      <c r="H2082" s="50">
        <f t="array" ref="H2082">SUM(IF(INSTOCK!$H$3:$H$6125=B2082,INSTOCK!$I$3:$I$6125))</f>
        <v>177</v>
      </c>
      <c r="I2082" s="50" t="str">
        <f>ARRAY_CONSTRAIN(ARRAYFORMULA(SUM(IF([3]!Table13[ID]=B2082,[3]!Table13[QTY]))), 1, 1)</f>
        <v>#ERROR!</v>
      </c>
      <c r="J2082" s="50" t="str">
        <f>TABLEITEM!$H$3:$H$2749-TABLEITEM!$I$3:$I$2749</f>
        <v>#ERROR!</v>
      </c>
    </row>
    <row r="2083" ht="15.75" customHeight="1">
      <c r="A2083" s="45"/>
      <c r="B2083" s="10" t="s">
        <v>4777</v>
      </c>
      <c r="C2083" s="26"/>
      <c r="D2083" s="10" t="s">
        <v>9663</v>
      </c>
      <c r="E2083" s="56"/>
      <c r="F2083" s="57" t="s">
        <v>7173</v>
      </c>
      <c r="G2083" s="49">
        <f t="array" ref="G2083">MAX(IF(INSTOCK!$H$3:$H$6125=B2083,INSTOCK!$K$3:$K$6125))</f>
        <v>4300</v>
      </c>
      <c r="H2083" s="50">
        <f t="array" ref="H2083">SUM(IF(INSTOCK!$H$3:$H$6125=B2083,INSTOCK!$I$3:$I$6125))</f>
        <v>1</v>
      </c>
      <c r="I2083" s="50" t="str">
        <f>ARRAY_CONSTRAIN(ARRAYFORMULA(SUM(IF([3]!Table13[ID]=B2083,[3]!Table13[QTY]))), 1, 1)</f>
        <v>#ERROR!</v>
      </c>
      <c r="J2083" s="50" t="str">
        <f>TABLEITEM!$H$3:$H$2749-TABLEITEM!$I$3:$I$2749</f>
        <v>#ERROR!</v>
      </c>
    </row>
    <row r="2084" ht="15.75" customHeight="1">
      <c r="A2084" s="45"/>
      <c r="B2084" s="18" t="s">
        <v>4778</v>
      </c>
      <c r="C2084" s="26"/>
      <c r="D2084" s="18" t="s">
        <v>9664</v>
      </c>
      <c r="E2084" s="56"/>
      <c r="F2084" s="57" t="s">
        <v>7173</v>
      </c>
      <c r="G2084" s="49">
        <f t="array" ref="G2084">MAX(IF(INSTOCK!$H$3:$H$6125=B2084,INSTOCK!$K$3:$K$6125))</f>
        <v>3000</v>
      </c>
      <c r="H2084" s="50">
        <f t="array" ref="H2084">SUM(IF(INSTOCK!$H$3:$H$6125=B2084,INSTOCK!$I$3:$I$6125))</f>
        <v>1</v>
      </c>
      <c r="I2084" s="50" t="str">
        <f>ARRAY_CONSTRAIN(ARRAYFORMULA(SUM(IF([3]!Table13[ID]=B2084,[3]!Table13[QTY]))), 1, 1)</f>
        <v>#ERROR!</v>
      </c>
      <c r="J2084" s="50" t="str">
        <f>TABLEITEM!$H$3:$H$2749-TABLEITEM!$I$3:$I$2749</f>
        <v>#ERROR!</v>
      </c>
    </row>
    <row r="2085" ht="15.75" customHeight="1">
      <c r="A2085" s="45"/>
      <c r="B2085" s="18" t="s">
        <v>4779</v>
      </c>
      <c r="C2085" s="26"/>
      <c r="D2085" s="18" t="s">
        <v>9665</v>
      </c>
      <c r="E2085" s="56" t="s">
        <v>8203</v>
      </c>
      <c r="F2085" s="57" t="s">
        <v>7173</v>
      </c>
      <c r="G2085" s="49">
        <f t="array" ref="G2085">MAX(IF(INSTOCK!$H$3:$H$6125=B2085,INSTOCK!$K$3:$K$6125))</f>
        <v>15.84</v>
      </c>
      <c r="H2085" s="50">
        <f t="array" ref="H2085">SUM(IF(INSTOCK!$H$3:$H$6125=B2085,INSTOCK!$I$3:$I$6125))</f>
        <v>10</v>
      </c>
      <c r="I2085" s="50" t="str">
        <f>ARRAY_CONSTRAIN(ARRAYFORMULA(SUM(IF([3]!Table13[ID]=B2085,[3]!Table13[QTY]))), 1, 1)</f>
        <v>#ERROR!</v>
      </c>
      <c r="J2085" s="50" t="str">
        <f>TABLEITEM!$H$3:$H$2749-TABLEITEM!$I$3:$I$2749</f>
        <v>#ERROR!</v>
      </c>
    </row>
    <row r="2086" ht="15.75" customHeight="1">
      <c r="A2086" s="45"/>
      <c r="B2086" s="18" t="s">
        <v>4783</v>
      </c>
      <c r="C2086" s="26"/>
      <c r="D2086" s="18" t="s">
        <v>9666</v>
      </c>
      <c r="E2086" s="56" t="s">
        <v>1964</v>
      </c>
      <c r="F2086" s="57" t="s">
        <v>7173</v>
      </c>
      <c r="G2086" s="49">
        <f t="array" ref="G2086">MAX(IF(INSTOCK!$H$3:$H$6125=B2086,INSTOCK!$K$3:$K$6125))</f>
        <v>5810</v>
      </c>
      <c r="H2086" s="50">
        <f t="array" ref="H2086">SUM(IF(INSTOCK!$H$3:$H$6125=B2086,INSTOCK!$I$3:$I$6125))</f>
        <v>1</v>
      </c>
      <c r="I2086" s="50" t="str">
        <f>ARRAY_CONSTRAIN(ARRAYFORMULA(SUM(IF([3]!Table13[ID]=B2086,[3]!Table13[QTY]))), 1, 1)</f>
        <v>#ERROR!</v>
      </c>
      <c r="J2086" s="50" t="str">
        <f>TABLEITEM!$H$3:$H$2749-TABLEITEM!$I$3:$I$2749</f>
        <v>#ERROR!</v>
      </c>
    </row>
    <row r="2087" ht="15.75" customHeight="1">
      <c r="A2087" s="45"/>
      <c r="B2087" s="18" t="s">
        <v>3023</v>
      </c>
      <c r="C2087" s="26"/>
      <c r="D2087" s="18" t="s">
        <v>9667</v>
      </c>
      <c r="E2087" s="56"/>
      <c r="F2087" s="57" t="s">
        <v>7173</v>
      </c>
      <c r="G2087" s="49">
        <f t="array" ref="G2087">MAX(IF(INSTOCK!$H$3:$H$6125=B2087,INSTOCK!$K$3:$K$6125))</f>
        <v>261.68</v>
      </c>
      <c r="H2087" s="50">
        <f t="array" ref="H2087">SUM(IF(INSTOCK!$H$3:$H$6125=B2087,INSTOCK!$I$3:$I$6125))</f>
        <v>1</v>
      </c>
      <c r="I2087" s="50" t="str">
        <f>ARRAY_CONSTRAIN(ARRAYFORMULA(SUM(IF([3]!Table13[ID]=B2087,[3]!Table13[QTY]))), 1, 1)</f>
        <v>#ERROR!</v>
      </c>
      <c r="J2087" s="50" t="str">
        <f>TABLEITEM!$H$3:$H$2749-TABLEITEM!$I$3:$I$2749</f>
        <v>#ERROR!</v>
      </c>
    </row>
    <row r="2088" ht="15.75" customHeight="1">
      <c r="A2088" s="45"/>
      <c r="B2088" s="18" t="s">
        <v>4789</v>
      </c>
      <c r="C2088" s="26"/>
      <c r="D2088" s="18" t="s">
        <v>9668</v>
      </c>
      <c r="E2088" s="56" t="s">
        <v>9429</v>
      </c>
      <c r="F2088" s="57" t="s">
        <v>7173</v>
      </c>
      <c r="G2088" s="49">
        <f t="array" ref="G2088">MAX(IF(INSTOCK!$H$3:$H$6125=B2088,INSTOCK!$K$3:$K$6125))</f>
        <v>530</v>
      </c>
      <c r="H2088" s="50">
        <f t="array" ref="H2088">SUM(IF(INSTOCK!$H$3:$H$6125=B2088,INSTOCK!$I$3:$I$6125))</f>
        <v>2</v>
      </c>
      <c r="I2088" s="50" t="str">
        <f>ARRAY_CONSTRAIN(ARRAYFORMULA(SUM(IF([3]!Table13[ID]=B2088,[3]!Table13[QTY]))), 1, 1)</f>
        <v>#ERROR!</v>
      </c>
      <c r="J2088" s="50" t="str">
        <f>TABLEITEM!$H$3:$H$2749-TABLEITEM!$I$3:$I$2749</f>
        <v>#ERROR!</v>
      </c>
    </row>
    <row r="2089" ht="15.75" customHeight="1">
      <c r="A2089" s="45"/>
      <c r="B2089" s="18" t="s">
        <v>4795</v>
      </c>
      <c r="C2089" s="26"/>
      <c r="D2089" s="18" t="s">
        <v>9669</v>
      </c>
      <c r="E2089" s="56"/>
      <c r="F2089" s="57" t="s">
        <v>7173</v>
      </c>
      <c r="G2089" s="49">
        <f t="array" ref="G2089">MAX(IF(INSTOCK!$H$3:$H$6125=B2089,INSTOCK!$K$3:$K$6125))</f>
        <v>250</v>
      </c>
      <c r="H2089" s="50">
        <f t="array" ref="H2089">SUM(IF(INSTOCK!$H$3:$H$6125=B2089,INSTOCK!$I$3:$I$6125))</f>
        <v>1</v>
      </c>
      <c r="I2089" s="50" t="str">
        <f>ARRAY_CONSTRAIN(ARRAYFORMULA(SUM(IF([3]!Table13[ID]=B2089,[3]!Table13[QTY]))), 1, 1)</f>
        <v>#ERROR!</v>
      </c>
      <c r="J2089" s="50" t="str">
        <f>TABLEITEM!$H$3:$H$2749-TABLEITEM!$I$3:$I$2749</f>
        <v>#ERROR!</v>
      </c>
    </row>
    <row r="2090" ht="15.75" customHeight="1">
      <c r="A2090" s="45"/>
      <c r="B2090" s="18" t="s">
        <v>4801</v>
      </c>
      <c r="C2090" s="26"/>
      <c r="D2090" s="18" t="s">
        <v>9670</v>
      </c>
      <c r="E2090" s="56" t="s">
        <v>1975</v>
      </c>
      <c r="F2090" s="57" t="s">
        <v>7173</v>
      </c>
      <c r="G2090" s="49">
        <f t="array" ref="G2090">MAX(IF(INSTOCK!$H$3:$H$6125=B2090,INSTOCK!$K$3:$K$6125))</f>
        <v>214.95</v>
      </c>
      <c r="H2090" s="50">
        <f t="array" ref="H2090">SUM(IF(INSTOCK!$H$3:$H$6125=B2090,INSTOCK!$I$3:$I$6125))</f>
        <v>5</v>
      </c>
      <c r="I2090" s="50" t="str">
        <f>ARRAY_CONSTRAIN(ARRAYFORMULA(SUM(IF([3]!Table13[ID]=B2090,[3]!Table13[QTY]))), 1, 1)</f>
        <v>#ERROR!</v>
      </c>
      <c r="J2090" s="50" t="str">
        <f>TABLEITEM!$H$3:$H$2749-TABLEITEM!$I$3:$I$2749</f>
        <v>#ERROR!</v>
      </c>
    </row>
    <row r="2091" ht="15.75" customHeight="1">
      <c r="A2091" s="45"/>
      <c r="B2091" s="18" t="s">
        <v>4803</v>
      </c>
      <c r="C2091" s="26"/>
      <c r="D2091" s="10" t="s">
        <v>4803</v>
      </c>
      <c r="E2091" s="56"/>
      <c r="F2091" s="57" t="s">
        <v>7173</v>
      </c>
      <c r="G2091" s="49">
        <f t="array" ref="G2091">MAX(IF(INSTOCK!$H$3:$H$6125=B2091,INSTOCK!$K$3:$K$6125))</f>
        <v>500</v>
      </c>
      <c r="H2091" s="50">
        <f t="array" ref="H2091">SUM(IF(INSTOCK!$H$3:$H$6125=B2091,INSTOCK!$I$3:$I$6125))</f>
        <v>2</v>
      </c>
      <c r="I2091" s="50" t="str">
        <f>ARRAY_CONSTRAIN(ARRAYFORMULA(SUM(IF([3]!Table13[ID]=B2091,[3]!Table13[QTY]))), 1, 1)</f>
        <v>#ERROR!</v>
      </c>
      <c r="J2091" s="50" t="str">
        <f>TABLEITEM!$H$3:$H$2749-TABLEITEM!$I$3:$I$2749</f>
        <v>#ERROR!</v>
      </c>
    </row>
    <row r="2092" ht="15.75" customHeight="1">
      <c r="A2092" s="45"/>
      <c r="B2092" s="18" t="s">
        <v>4805</v>
      </c>
      <c r="C2092" s="26"/>
      <c r="D2092" s="18" t="s">
        <v>9671</v>
      </c>
      <c r="E2092" s="56"/>
      <c r="F2092" s="57" t="s">
        <v>7173</v>
      </c>
      <c r="G2092" s="49">
        <f t="array" ref="G2092">MAX(IF(INSTOCK!$H$3:$H$6125=B2092,INSTOCK!$K$3:$K$6125))</f>
        <v>2200</v>
      </c>
      <c r="H2092" s="50">
        <f t="array" ref="H2092">SUM(IF(INSTOCK!$H$3:$H$6125=B2092,INSTOCK!$I$3:$I$6125))</f>
        <v>1</v>
      </c>
      <c r="I2092" s="50" t="str">
        <f>ARRAY_CONSTRAIN(ARRAYFORMULA(SUM(IF([3]!Table13[ID]=B2092,[3]!Table13[QTY]))), 1, 1)</f>
        <v>#ERROR!</v>
      </c>
      <c r="J2092" s="50" t="str">
        <f>TABLEITEM!$H$3:$H$2749-TABLEITEM!$I$3:$I$2749</f>
        <v>#ERROR!</v>
      </c>
    </row>
    <row r="2093" ht="15.75" customHeight="1">
      <c r="A2093" s="45"/>
      <c r="B2093" s="18" t="s">
        <v>4809</v>
      </c>
      <c r="C2093" s="26"/>
      <c r="D2093" s="18" t="s">
        <v>9672</v>
      </c>
      <c r="E2093" s="56"/>
      <c r="F2093" s="57" t="s">
        <v>7173</v>
      </c>
      <c r="G2093" s="49">
        <f t="array" ref="G2093">MAX(IF(INSTOCK!$H$3:$H$6125=B2093,INSTOCK!$K$3:$K$6125))</f>
        <v>3000</v>
      </c>
      <c r="H2093" s="50">
        <f t="array" ref="H2093">SUM(IF(INSTOCK!$H$3:$H$6125=B2093,INSTOCK!$I$3:$I$6125))</f>
        <v>1</v>
      </c>
      <c r="I2093" s="50" t="str">
        <f>ARRAY_CONSTRAIN(ARRAYFORMULA(SUM(IF([3]!Table13[ID]=B2093,[3]!Table13[QTY]))), 1, 1)</f>
        <v>#ERROR!</v>
      </c>
      <c r="J2093" s="50" t="str">
        <f>TABLEITEM!$H$3:$H$2749-TABLEITEM!$I$3:$I$2749</f>
        <v>#ERROR!</v>
      </c>
    </row>
    <row r="2094" ht="15.75" customHeight="1">
      <c r="A2094" s="45"/>
      <c r="B2094" s="10" t="s">
        <v>4812</v>
      </c>
      <c r="C2094" s="26"/>
      <c r="D2094" s="10" t="s">
        <v>9673</v>
      </c>
      <c r="E2094" s="56"/>
      <c r="F2094" s="57" t="s">
        <v>7173</v>
      </c>
      <c r="G2094" s="49">
        <f t="array" ref="G2094">MAX(IF(INSTOCK!$H$3:$H$6125=B2094,INSTOCK!$K$3:$K$6125))</f>
        <v>6500</v>
      </c>
      <c r="H2094" s="50">
        <f t="array" ref="H2094">SUM(IF(INSTOCK!$H$3:$H$6125=B2094,INSTOCK!$I$3:$I$6125))</f>
        <v>1</v>
      </c>
      <c r="I2094" s="50" t="str">
        <f>ARRAY_CONSTRAIN(ARRAYFORMULA(SUM(IF([3]!Table13[ID]=B2094,[3]!Table13[QTY]))), 1, 1)</f>
        <v>#ERROR!</v>
      </c>
      <c r="J2094" s="50" t="str">
        <f>TABLEITEM!$H$3:$H$2749-TABLEITEM!$I$3:$I$2749</f>
        <v>#ERROR!</v>
      </c>
    </row>
    <row r="2095" ht="15.75" customHeight="1">
      <c r="A2095" s="45"/>
      <c r="B2095" s="18" t="s">
        <v>4813</v>
      </c>
      <c r="C2095" s="26"/>
      <c r="D2095" s="18" t="s">
        <v>9674</v>
      </c>
      <c r="E2095" s="56"/>
      <c r="F2095" s="57" t="s">
        <v>7173</v>
      </c>
      <c r="G2095" s="49">
        <f t="array" ref="G2095">MAX(IF(INSTOCK!$H$3:$H$6125=B2095,INSTOCK!$K$3:$K$6125))</f>
        <v>1000</v>
      </c>
      <c r="H2095" s="50">
        <f t="array" ref="H2095">SUM(IF(INSTOCK!$H$3:$H$6125=B2095,INSTOCK!$I$3:$I$6125))</f>
        <v>8</v>
      </c>
      <c r="I2095" s="50" t="str">
        <f>ARRAY_CONSTRAIN(ARRAYFORMULA(SUM(IF([3]!Table13[ID]=B2095,[3]!Table13[QTY]))), 1, 1)</f>
        <v>#ERROR!</v>
      </c>
      <c r="J2095" s="50" t="str">
        <f>TABLEITEM!$H$3:$H$2749-TABLEITEM!$I$3:$I$2749</f>
        <v>#ERROR!</v>
      </c>
    </row>
    <row r="2096" ht="15.75" customHeight="1">
      <c r="A2096" s="45"/>
      <c r="B2096" s="18" t="s">
        <v>4815</v>
      </c>
      <c r="C2096" s="26"/>
      <c r="D2096" s="18" t="s">
        <v>9675</v>
      </c>
      <c r="E2096" s="56"/>
      <c r="F2096" s="57" t="s">
        <v>7189</v>
      </c>
      <c r="G2096" s="49">
        <f t="array" ref="G2096">MAX(IF(INSTOCK!$H$3:$H$6125=B2096,INSTOCK!$K$3:$K$6125))</f>
        <v>12</v>
      </c>
      <c r="H2096" s="50">
        <f t="array" ref="H2096">SUM(IF(INSTOCK!$H$3:$H$6125=B2096,INSTOCK!$I$3:$I$6125))</f>
        <v>33</v>
      </c>
      <c r="I2096" s="50" t="str">
        <f>ARRAY_CONSTRAIN(ARRAYFORMULA(SUM(IF([3]!Table13[ID]=B2096,[3]!Table13[QTY]))), 1, 1)</f>
        <v>#ERROR!</v>
      </c>
      <c r="J2096" s="50" t="str">
        <f>TABLEITEM!$H$3:$H$2749-TABLEITEM!$I$3:$I$2749</f>
        <v>#ERROR!</v>
      </c>
    </row>
    <row r="2097" ht="15.75" customHeight="1">
      <c r="A2097" s="45"/>
      <c r="B2097" s="18" t="s">
        <v>4817</v>
      </c>
      <c r="C2097" s="26"/>
      <c r="D2097" s="18" t="s">
        <v>9676</v>
      </c>
      <c r="E2097" s="56"/>
      <c r="F2097" s="57" t="s">
        <v>7173</v>
      </c>
      <c r="G2097" s="49">
        <f t="array" ref="G2097">MAX(IF(INSTOCK!$H$3:$H$6125=B2097,INSTOCK!$K$3:$K$6125))</f>
        <v>300</v>
      </c>
      <c r="H2097" s="50">
        <f t="array" ref="H2097">SUM(IF(INSTOCK!$H$3:$H$6125=B2097,INSTOCK!$I$3:$I$6125))</f>
        <v>4</v>
      </c>
      <c r="I2097" s="50" t="str">
        <f>ARRAY_CONSTRAIN(ARRAYFORMULA(SUM(IF([3]!Table13[ID]=B2097,[3]!Table13[QTY]))), 1, 1)</f>
        <v>#ERROR!</v>
      </c>
      <c r="J2097" s="50" t="str">
        <f>TABLEITEM!$H$3:$H$2749-TABLEITEM!$I$3:$I$2749</f>
        <v>#ERROR!</v>
      </c>
    </row>
    <row r="2098" ht="15.75" customHeight="1">
      <c r="A2098" s="45"/>
      <c r="B2098" s="18" t="s">
        <v>4819</v>
      </c>
      <c r="C2098" s="26"/>
      <c r="D2098" s="18" t="s">
        <v>9677</v>
      </c>
      <c r="E2098" s="56"/>
      <c r="F2098" s="57" t="s">
        <v>7173</v>
      </c>
      <c r="G2098" s="49">
        <f t="array" ref="G2098">MAX(IF(INSTOCK!$H$3:$H$6125=B2098,INSTOCK!$K$3:$K$6125))</f>
        <v>0.5</v>
      </c>
      <c r="H2098" s="50">
        <f t="array" ref="H2098">SUM(IF(INSTOCK!$H$3:$H$6125=B2098,INSTOCK!$I$3:$I$6125))</f>
        <v>10000</v>
      </c>
      <c r="I2098" s="50" t="str">
        <f>ARRAY_CONSTRAIN(ARRAYFORMULA(SUM(IF([3]!Table13[ID]=B2098,[3]!Table13[QTY]))), 1, 1)</f>
        <v>#ERROR!</v>
      </c>
      <c r="J2098" s="50" t="str">
        <f>TABLEITEM!$H$3:$H$2749-TABLEITEM!$I$3:$I$2749</f>
        <v>#ERROR!</v>
      </c>
    </row>
    <row r="2099" ht="15.75" customHeight="1">
      <c r="A2099" s="45"/>
      <c r="B2099" s="10" t="s">
        <v>4838</v>
      </c>
      <c r="C2099" s="26"/>
      <c r="D2099" s="10" t="s">
        <v>9678</v>
      </c>
      <c r="E2099" s="56"/>
      <c r="F2099" s="57" t="s">
        <v>7173</v>
      </c>
      <c r="G2099" s="49">
        <f t="array" ref="G2099">MAX(IF(INSTOCK!$H$3:$H$6125=B2099,INSTOCK!$K$3:$K$6125))</f>
        <v>100</v>
      </c>
      <c r="H2099" s="50">
        <f t="array" ref="H2099">SUM(IF(INSTOCK!$H$3:$H$6125=B2099,INSTOCK!$I$3:$I$6125))</f>
        <v>4.3</v>
      </c>
      <c r="I2099" s="50" t="str">
        <f>ARRAY_CONSTRAIN(ARRAYFORMULA(SUM(IF([3]!Table13[ID]=B2099,[3]!Table13[QTY]))), 1, 1)</f>
        <v>#ERROR!</v>
      </c>
      <c r="J2099" s="50" t="str">
        <f>TABLEITEM!$H$3:$H$2749-TABLEITEM!$I$3:$I$2749</f>
        <v>#ERROR!</v>
      </c>
    </row>
    <row r="2100" ht="15.75" customHeight="1">
      <c r="A2100" s="45"/>
      <c r="B2100" s="18" t="s">
        <v>4839</v>
      </c>
      <c r="C2100" s="26"/>
      <c r="D2100" s="18" t="s">
        <v>9679</v>
      </c>
      <c r="E2100" s="56"/>
      <c r="F2100" s="57" t="s">
        <v>7173</v>
      </c>
      <c r="G2100" s="49">
        <f t="array" ref="G2100">MAX(IF(INSTOCK!$H$3:$H$6125=B2100,INSTOCK!$K$3:$K$6125))</f>
        <v>8</v>
      </c>
      <c r="H2100" s="50">
        <f t="array" ref="H2100">SUM(IF(INSTOCK!$H$3:$H$6125=B2100,INSTOCK!$I$3:$I$6125))</f>
        <v>1</v>
      </c>
      <c r="I2100" s="50" t="str">
        <f>ARRAY_CONSTRAIN(ARRAYFORMULA(SUM(IF([3]!Table13[ID]=B2100,[3]!Table13[QTY]))), 1, 1)</f>
        <v>#ERROR!</v>
      </c>
      <c r="J2100" s="50" t="str">
        <f>TABLEITEM!$H$3:$H$2749-TABLEITEM!$I$3:$I$2749</f>
        <v>#ERROR!</v>
      </c>
    </row>
    <row r="2101" ht="15.75" customHeight="1">
      <c r="A2101" s="45"/>
      <c r="B2101" s="18" t="s">
        <v>4842</v>
      </c>
      <c r="C2101" s="26"/>
      <c r="D2101" s="18" t="s">
        <v>9680</v>
      </c>
      <c r="E2101" s="56"/>
      <c r="F2101" s="57" t="s">
        <v>7173</v>
      </c>
      <c r="G2101" s="49">
        <f t="array" ref="G2101">MAX(IF(INSTOCK!$H$3:$H$6125=B2101,INSTOCK!$K$3:$K$6125))</f>
        <v>3850</v>
      </c>
      <c r="H2101" s="50">
        <f t="array" ref="H2101">SUM(IF(INSTOCK!$H$3:$H$6125=B2101,INSTOCK!$I$3:$I$6125))</f>
        <v>1</v>
      </c>
      <c r="I2101" s="50" t="str">
        <f>ARRAY_CONSTRAIN(ARRAYFORMULA(SUM(IF([3]!Table13[ID]=B2101,[3]!Table13[QTY]))), 1, 1)</f>
        <v>#ERROR!</v>
      </c>
      <c r="J2101" s="50" t="str">
        <f>TABLEITEM!$H$3:$H$2749-TABLEITEM!$I$3:$I$2749</f>
        <v>#ERROR!</v>
      </c>
    </row>
    <row r="2102" ht="15.75" customHeight="1">
      <c r="A2102" s="45"/>
      <c r="B2102" s="18" t="s">
        <v>4845</v>
      </c>
      <c r="C2102" s="26"/>
      <c r="D2102" s="18" t="s">
        <v>9681</v>
      </c>
      <c r="E2102" s="56"/>
      <c r="F2102" s="57" t="s">
        <v>7173</v>
      </c>
      <c r="G2102" s="49">
        <f t="array" ref="G2102">MAX(IF(INSTOCK!$H$3:$H$6125=B2102,INSTOCK!$K$3:$K$6125))</f>
        <v>11.5</v>
      </c>
      <c r="H2102" s="50">
        <f t="array" ref="H2102">SUM(IF(INSTOCK!$H$3:$H$6125=B2102,INSTOCK!$I$3:$I$6125))</f>
        <v>12</v>
      </c>
      <c r="I2102" s="50" t="str">
        <f>ARRAY_CONSTRAIN(ARRAYFORMULA(SUM(IF([3]!Table13[ID]=B2102,[3]!Table13[QTY]))), 1, 1)</f>
        <v>#ERROR!</v>
      </c>
      <c r="J2102" s="50" t="str">
        <f>TABLEITEM!$H$3:$H$2749-TABLEITEM!$I$3:$I$2749</f>
        <v>#ERROR!</v>
      </c>
    </row>
    <row r="2103" ht="15.75" customHeight="1">
      <c r="A2103" s="45"/>
      <c r="B2103" s="18" t="s">
        <v>2607</v>
      </c>
      <c r="C2103" s="26"/>
      <c r="D2103" s="18" t="s">
        <v>9682</v>
      </c>
      <c r="E2103" s="18" t="s">
        <v>9683</v>
      </c>
      <c r="F2103" s="57" t="s">
        <v>7173</v>
      </c>
      <c r="G2103" s="49">
        <f t="array" ref="G2103">MAX(IF(INSTOCK!$H$3:$H$6125=B2103,INSTOCK!$K$3:$K$6125))</f>
        <v>85</v>
      </c>
      <c r="H2103" s="50">
        <f t="array" ref="H2103">SUM(IF(INSTOCK!$H$3:$H$6125=B2103,INSTOCK!$I$3:$I$6125))</f>
        <v>303</v>
      </c>
      <c r="I2103" s="50" t="str">
        <f>ARRAY_CONSTRAIN(ARRAYFORMULA(SUM(IF([3]!Table13[ID]=B2103,[3]!Table13[QTY]))), 1, 1)</f>
        <v>#ERROR!</v>
      </c>
      <c r="J2103" s="50" t="str">
        <f>TABLEITEM!$H$3:$H$2749-TABLEITEM!$I$3:$I$2749</f>
        <v>#ERROR!</v>
      </c>
    </row>
    <row r="2104" ht="15.75" customHeight="1">
      <c r="A2104" s="45"/>
      <c r="B2104" s="18" t="s">
        <v>4857</v>
      </c>
      <c r="C2104" s="26"/>
      <c r="D2104" s="18" t="s">
        <v>9684</v>
      </c>
      <c r="E2104" s="56"/>
      <c r="F2104" s="57" t="s">
        <v>7173</v>
      </c>
      <c r="G2104" s="49">
        <f t="array" ref="G2104">MAX(IF(INSTOCK!$H$3:$H$6125=B2104,INSTOCK!$K$3:$K$6125))</f>
        <v>500</v>
      </c>
      <c r="H2104" s="50">
        <f t="array" ref="H2104">SUM(IF(INSTOCK!$H$3:$H$6125=B2104,INSTOCK!$I$3:$I$6125))</f>
        <v>6</v>
      </c>
      <c r="I2104" s="50" t="str">
        <f>ARRAY_CONSTRAIN(ARRAYFORMULA(SUM(IF([3]!Table13[ID]=B2104,[3]!Table13[QTY]))), 1, 1)</f>
        <v>#ERROR!</v>
      </c>
      <c r="J2104" s="50" t="str">
        <f>TABLEITEM!$H$3:$H$2749-TABLEITEM!$I$3:$I$2749</f>
        <v>#ERROR!</v>
      </c>
    </row>
    <row r="2105" ht="15.75" customHeight="1">
      <c r="A2105" s="45"/>
      <c r="B2105" s="10" t="s">
        <v>4861</v>
      </c>
      <c r="C2105" s="26"/>
      <c r="D2105" s="10" t="s">
        <v>9685</v>
      </c>
      <c r="E2105" s="56"/>
      <c r="F2105" s="57" t="s">
        <v>7173</v>
      </c>
      <c r="G2105" s="49">
        <f t="array" ref="G2105">MAX(IF(INSTOCK!$H$3:$H$6125=B2105,INSTOCK!$K$3:$K$6125))</f>
        <v>13</v>
      </c>
      <c r="H2105" s="50">
        <f t="array" ref="H2105">SUM(IF(INSTOCK!$H$3:$H$6125=B2105,INSTOCK!$I$3:$I$6125))</f>
        <v>32</v>
      </c>
      <c r="I2105" s="50" t="str">
        <f>ARRAY_CONSTRAIN(ARRAYFORMULA(SUM(IF([3]!Table13[ID]=B2105,[3]!Table13[QTY]))), 1, 1)</f>
        <v>#ERROR!</v>
      </c>
      <c r="J2105" s="50" t="str">
        <f>TABLEITEM!$H$3:$H$2749-TABLEITEM!$I$3:$I$2749</f>
        <v>#ERROR!</v>
      </c>
    </row>
    <row r="2106" ht="15.75" customHeight="1">
      <c r="A2106" s="45"/>
      <c r="B2106" s="18" t="s">
        <v>4862</v>
      </c>
      <c r="C2106" s="26"/>
      <c r="D2106" s="18" t="s">
        <v>9686</v>
      </c>
      <c r="E2106" s="56"/>
      <c r="F2106" s="57" t="s">
        <v>7173</v>
      </c>
      <c r="G2106" s="49">
        <f t="array" ref="G2106">MAX(IF(INSTOCK!$H$3:$H$6125=B2106,INSTOCK!$K$3:$K$6125))</f>
        <v>6</v>
      </c>
      <c r="H2106" s="50">
        <f t="array" ref="H2106">SUM(IF(INSTOCK!$H$3:$H$6125=B2106,INSTOCK!$I$3:$I$6125))</f>
        <v>32</v>
      </c>
      <c r="I2106" s="50" t="str">
        <f>ARRAY_CONSTRAIN(ARRAYFORMULA(SUM(IF([3]!Table13[ID]=B2106,[3]!Table13[QTY]))), 1, 1)</f>
        <v>#ERROR!</v>
      </c>
      <c r="J2106" s="50" t="str">
        <f>TABLEITEM!$H$3:$H$2749-TABLEITEM!$I$3:$I$2749</f>
        <v>#ERROR!</v>
      </c>
    </row>
    <row r="2107" ht="15.75" customHeight="1">
      <c r="A2107" s="45"/>
      <c r="B2107" s="18" t="s">
        <v>4865</v>
      </c>
      <c r="C2107" s="26"/>
      <c r="D2107" s="18" t="s">
        <v>9687</v>
      </c>
      <c r="E2107" s="56"/>
      <c r="F2107" s="57" t="s">
        <v>7173</v>
      </c>
      <c r="G2107" s="49">
        <f t="array" ref="G2107">MAX(IF(INSTOCK!$H$3:$H$6125=B2107,INSTOCK!$K$3:$K$6125))</f>
        <v>450</v>
      </c>
      <c r="H2107" s="50">
        <f t="array" ref="H2107">SUM(IF(INSTOCK!$H$3:$H$6125=B2107,INSTOCK!$I$3:$I$6125))</f>
        <v>2</v>
      </c>
      <c r="I2107" s="50" t="str">
        <f>ARRAY_CONSTRAIN(ARRAYFORMULA(SUM(IF([3]!Table13[ID]=B2107,[3]!Table13[QTY]))), 1, 1)</f>
        <v>#ERROR!</v>
      </c>
      <c r="J2107" s="50" t="str">
        <f>TABLEITEM!$H$3:$H$2749-TABLEITEM!$I$3:$I$2749</f>
        <v>#ERROR!</v>
      </c>
    </row>
    <row r="2108" ht="15.75" customHeight="1">
      <c r="A2108" s="45"/>
      <c r="B2108" s="10" t="s">
        <v>4868</v>
      </c>
      <c r="C2108" s="26"/>
      <c r="D2108" s="10" t="s">
        <v>9688</v>
      </c>
      <c r="E2108" s="56" t="s">
        <v>7188</v>
      </c>
      <c r="F2108" s="57" t="s">
        <v>7173</v>
      </c>
      <c r="G2108" s="49">
        <f t="array" ref="G2108">MAX(IF(INSTOCK!$H$3:$H$6125=B2108,INSTOCK!$K$3:$K$6125))</f>
        <v>7750</v>
      </c>
      <c r="H2108" s="50">
        <f t="array" ref="H2108">SUM(IF(INSTOCK!$H$3:$H$6125=B2108,INSTOCK!$I$3:$I$6125))</f>
        <v>1</v>
      </c>
      <c r="I2108" s="50" t="str">
        <f>ARRAY_CONSTRAIN(ARRAYFORMULA(SUM(IF([3]!Table13[ID]=B2108,[3]!Table13[QTY]))), 1, 1)</f>
        <v>#ERROR!</v>
      </c>
      <c r="J2108" s="50" t="str">
        <f>TABLEITEM!$H$3:$H$2749-TABLEITEM!$I$3:$I$2749</f>
        <v>#ERROR!</v>
      </c>
    </row>
    <row r="2109" ht="15.75" customHeight="1">
      <c r="A2109" s="45"/>
      <c r="B2109" s="10" t="s">
        <v>4870</v>
      </c>
      <c r="C2109" s="26"/>
      <c r="D2109" s="10" t="s">
        <v>9689</v>
      </c>
      <c r="E2109" s="56" t="s">
        <v>7188</v>
      </c>
      <c r="F2109" s="57" t="s">
        <v>7173</v>
      </c>
      <c r="G2109" s="49">
        <f t="array" ref="G2109">MAX(IF(INSTOCK!$H$3:$H$6125=B2109,INSTOCK!$K$3:$K$6125))</f>
        <v>4790</v>
      </c>
      <c r="H2109" s="50">
        <f t="array" ref="H2109">SUM(IF(INSTOCK!$H$3:$H$6125=B2109,INSTOCK!$I$3:$I$6125))</f>
        <v>6</v>
      </c>
      <c r="I2109" s="50" t="str">
        <f>ARRAY_CONSTRAIN(ARRAYFORMULA(SUM(IF([3]!Table13[ID]=B2109,[3]!Table13[QTY]))), 1, 1)</f>
        <v>#ERROR!</v>
      </c>
      <c r="J2109" s="50" t="str">
        <f>TABLEITEM!$H$3:$H$2749-TABLEITEM!$I$3:$I$2749</f>
        <v>#ERROR!</v>
      </c>
    </row>
    <row r="2110" ht="15.75" customHeight="1">
      <c r="A2110" s="45"/>
      <c r="B2110" s="10" t="s">
        <v>4872</v>
      </c>
      <c r="C2110" s="26"/>
      <c r="D2110" s="10" t="s">
        <v>9690</v>
      </c>
      <c r="E2110" s="56" t="s">
        <v>7188</v>
      </c>
      <c r="F2110" s="57" t="s">
        <v>7173</v>
      </c>
      <c r="G2110" s="49">
        <f t="array" ref="G2110">MAX(IF(INSTOCK!$H$3:$H$6125=B2110,INSTOCK!$K$3:$K$6125))</f>
        <v>3250</v>
      </c>
      <c r="H2110" s="50">
        <f t="array" ref="H2110">SUM(IF(INSTOCK!$H$3:$H$6125=B2110,INSTOCK!$I$3:$I$6125))</f>
        <v>4</v>
      </c>
      <c r="I2110" s="50" t="str">
        <f>ARRAY_CONSTRAIN(ARRAYFORMULA(SUM(IF([3]!Table13[ID]=B2110,[3]!Table13[QTY]))), 1, 1)</f>
        <v>#ERROR!</v>
      </c>
      <c r="J2110" s="50" t="str">
        <f>TABLEITEM!$H$3:$H$2749-TABLEITEM!$I$3:$I$2749</f>
        <v>#ERROR!</v>
      </c>
    </row>
    <row r="2111" ht="15.75" customHeight="1">
      <c r="A2111" s="45"/>
      <c r="B2111" s="10" t="s">
        <v>4873</v>
      </c>
      <c r="C2111" s="26"/>
      <c r="D2111" s="10" t="s">
        <v>8386</v>
      </c>
      <c r="E2111" s="56" t="s">
        <v>7188</v>
      </c>
      <c r="F2111" s="57" t="s">
        <v>7173</v>
      </c>
      <c r="G2111" s="49">
        <f t="array" ref="G2111">MAX(IF(INSTOCK!$H$3:$H$6125=B2111,INSTOCK!$K$3:$K$6125))</f>
        <v>1650</v>
      </c>
      <c r="H2111" s="50">
        <f t="array" ref="H2111">SUM(IF(INSTOCK!$H$3:$H$6125=B2111,INSTOCK!$I$3:$I$6125))</f>
        <v>4</v>
      </c>
      <c r="I2111" s="50" t="str">
        <f>ARRAY_CONSTRAIN(ARRAYFORMULA(SUM(IF([3]!Table13[ID]=B2111,[3]!Table13[QTY]))), 1, 1)</f>
        <v>#ERROR!</v>
      </c>
      <c r="J2111" s="50" t="str">
        <f>TABLEITEM!$H$3:$H$2749-TABLEITEM!$I$3:$I$2749</f>
        <v>#ERROR!</v>
      </c>
    </row>
    <row r="2112" ht="15.75" customHeight="1">
      <c r="A2112" s="45"/>
      <c r="B2112" s="18" t="s">
        <v>4875</v>
      </c>
      <c r="C2112" s="26"/>
      <c r="D2112" s="18" t="s">
        <v>9691</v>
      </c>
      <c r="E2112" s="56" t="s">
        <v>7188</v>
      </c>
      <c r="F2112" s="57" t="s">
        <v>7173</v>
      </c>
      <c r="G2112" s="49">
        <f t="array" ref="G2112">MAX(IF(INSTOCK!$H$3:$H$6125=B2112,INSTOCK!$K$3:$K$6125))</f>
        <v>1100</v>
      </c>
      <c r="H2112" s="50">
        <f t="array" ref="H2112">SUM(IF(INSTOCK!$H$3:$H$6125=B2112,INSTOCK!$I$3:$I$6125))</f>
        <v>4</v>
      </c>
      <c r="I2112" s="50" t="str">
        <f>ARRAY_CONSTRAIN(ARRAYFORMULA(SUM(IF([3]!Table13[ID]=B2112,[3]!Table13[QTY]))), 1, 1)</f>
        <v>#ERROR!</v>
      </c>
      <c r="J2112" s="50" t="str">
        <f>TABLEITEM!$H$3:$H$2749-TABLEITEM!$I$3:$I$2749</f>
        <v>#ERROR!</v>
      </c>
    </row>
    <row r="2113" ht="15.75" customHeight="1">
      <c r="A2113" s="45"/>
      <c r="B2113" s="10" t="s">
        <v>4880</v>
      </c>
      <c r="C2113" s="26"/>
      <c r="D2113" s="18" t="s">
        <v>9692</v>
      </c>
      <c r="E2113" s="56" t="s">
        <v>1487</v>
      </c>
      <c r="F2113" s="57" t="s">
        <v>7173</v>
      </c>
      <c r="G2113" s="49">
        <f t="array" ref="G2113">MAX(IF(INSTOCK!$H$3:$H$6125=B2113,INSTOCK!$K$3:$K$6125))</f>
        <v>14432</v>
      </c>
      <c r="H2113" s="50">
        <f t="array" ref="H2113">SUM(IF(INSTOCK!$H$3:$H$6125=B2113,INSTOCK!$I$3:$I$6125))</f>
        <v>1</v>
      </c>
      <c r="I2113" s="50" t="str">
        <f>ARRAY_CONSTRAIN(ARRAYFORMULA(SUM(IF([3]!Table13[ID]=B2113,[3]!Table13[QTY]))), 1, 1)</f>
        <v>#ERROR!</v>
      </c>
      <c r="J2113" s="50" t="str">
        <f>TABLEITEM!$H$3:$H$2749-TABLEITEM!$I$3:$I$2749</f>
        <v>#ERROR!</v>
      </c>
    </row>
    <row r="2114" ht="15.75" customHeight="1">
      <c r="A2114" s="45"/>
      <c r="B2114" s="18" t="s">
        <v>4882</v>
      </c>
      <c r="C2114" s="26"/>
      <c r="D2114" s="18" t="s">
        <v>9693</v>
      </c>
      <c r="E2114" s="56"/>
      <c r="F2114" s="57" t="s">
        <v>7173</v>
      </c>
      <c r="G2114" s="49">
        <f t="array" ref="G2114">MAX(IF(INSTOCK!$H$3:$H$6125=B2114,INSTOCK!$K$3:$K$6125))</f>
        <v>949</v>
      </c>
      <c r="H2114" s="50">
        <f t="array" ref="H2114">SUM(IF(INSTOCK!$H$3:$H$6125=B2114,INSTOCK!$I$3:$I$6125))</f>
        <v>6</v>
      </c>
      <c r="I2114" s="50" t="str">
        <f>ARRAY_CONSTRAIN(ARRAYFORMULA(SUM(IF([3]!Table13[ID]=B2114,[3]!Table13[QTY]))), 1, 1)</f>
        <v>#ERROR!</v>
      </c>
      <c r="J2114" s="50" t="str">
        <f>TABLEITEM!$H$3:$H$2749-TABLEITEM!$I$3:$I$2749</f>
        <v>#ERROR!</v>
      </c>
    </row>
    <row r="2115" ht="15.75" customHeight="1">
      <c r="A2115" s="45"/>
      <c r="B2115" s="18" t="s">
        <v>4883</v>
      </c>
      <c r="C2115" s="26"/>
      <c r="D2115" s="18" t="s">
        <v>9694</v>
      </c>
      <c r="E2115" s="56"/>
      <c r="F2115" s="57" t="s">
        <v>7173</v>
      </c>
      <c r="G2115" s="49">
        <f t="array" ref="G2115">MAX(IF(INSTOCK!$H$3:$H$6125=B2115,INSTOCK!$K$3:$K$6125))</f>
        <v>3700</v>
      </c>
      <c r="H2115" s="50">
        <f t="array" ref="H2115">SUM(IF(INSTOCK!$H$3:$H$6125=B2115,INSTOCK!$I$3:$I$6125))</f>
        <v>1</v>
      </c>
      <c r="I2115" s="50" t="str">
        <f>ARRAY_CONSTRAIN(ARRAYFORMULA(SUM(IF([3]!Table13[ID]=B2115,[3]!Table13[QTY]))), 1, 1)</f>
        <v>#ERROR!</v>
      </c>
      <c r="J2115" s="50" t="str">
        <f>TABLEITEM!$H$3:$H$2749-TABLEITEM!$I$3:$I$2749</f>
        <v>#ERROR!</v>
      </c>
    </row>
    <row r="2116" ht="15.75" customHeight="1">
      <c r="A2116" s="45"/>
      <c r="B2116" s="10" t="s">
        <v>4884</v>
      </c>
      <c r="C2116" s="26"/>
      <c r="D2116" s="10" t="s">
        <v>9695</v>
      </c>
      <c r="E2116" s="56"/>
      <c r="F2116" s="57" t="s">
        <v>7173</v>
      </c>
      <c r="G2116" s="49">
        <f t="array" ref="G2116">MAX(IF(INSTOCK!$H$3:$H$6125=B2116,INSTOCK!$K$3:$K$6125))</f>
        <v>90</v>
      </c>
      <c r="H2116" s="50">
        <f t="array" ref="H2116">SUM(IF(INSTOCK!$H$3:$H$6125=B2116,INSTOCK!$I$3:$I$6125))</f>
        <v>2</v>
      </c>
      <c r="I2116" s="50" t="str">
        <f>ARRAY_CONSTRAIN(ARRAYFORMULA(SUM(IF([3]!Table13[ID]=B2116,[3]!Table13[QTY]))), 1, 1)</f>
        <v>#ERROR!</v>
      </c>
      <c r="J2116" s="50" t="str">
        <f>TABLEITEM!$H$3:$H$2749-TABLEITEM!$I$3:$I$2749</f>
        <v>#ERROR!</v>
      </c>
    </row>
    <row r="2117" ht="15.75" customHeight="1">
      <c r="A2117" s="45"/>
      <c r="B2117" s="18" t="s">
        <v>4885</v>
      </c>
      <c r="C2117" s="26"/>
      <c r="D2117" s="18" t="s">
        <v>9696</v>
      </c>
      <c r="E2117" s="56"/>
      <c r="F2117" s="57" t="s">
        <v>7173</v>
      </c>
      <c r="G2117" s="49">
        <f t="array" ref="G2117">MAX(IF(INSTOCK!$H$3:$H$6125=B2117,INSTOCK!$K$3:$K$6125))</f>
        <v>299</v>
      </c>
      <c r="H2117" s="50">
        <f t="array" ref="H2117">SUM(IF(INSTOCK!$H$3:$H$6125=B2117,INSTOCK!$I$3:$I$6125))</f>
        <v>4</v>
      </c>
      <c r="I2117" s="50" t="str">
        <f>ARRAY_CONSTRAIN(ARRAYFORMULA(SUM(IF([3]!Table13[ID]=B2117,[3]!Table13[QTY]))), 1, 1)</f>
        <v>#ERROR!</v>
      </c>
      <c r="J2117" s="50" t="str">
        <f>TABLEITEM!$H$3:$H$2749-TABLEITEM!$I$3:$I$2749</f>
        <v>#ERROR!</v>
      </c>
    </row>
    <row r="2118" ht="15.75" customHeight="1">
      <c r="A2118" s="45"/>
      <c r="B2118" s="18" t="s">
        <v>4889</v>
      </c>
      <c r="C2118" s="26"/>
      <c r="D2118" s="18" t="s">
        <v>9697</v>
      </c>
      <c r="E2118" s="56"/>
      <c r="F2118" s="57" t="s">
        <v>7173</v>
      </c>
      <c r="G2118" s="49">
        <f t="array" ref="G2118">MAX(IF(INSTOCK!$H$3:$H$6125=B2118,INSTOCK!$K$3:$K$6125))</f>
        <v>200</v>
      </c>
      <c r="H2118" s="50">
        <f t="array" ref="H2118">SUM(IF(INSTOCK!$H$3:$H$6125=B2118,INSTOCK!$I$3:$I$6125))</f>
        <v>6</v>
      </c>
      <c r="I2118" s="50" t="str">
        <f>ARRAY_CONSTRAIN(ARRAYFORMULA(SUM(IF([3]!Table13[ID]=B2118,[3]!Table13[QTY]))), 1, 1)</f>
        <v>#ERROR!</v>
      </c>
      <c r="J2118" s="50" t="str">
        <f>TABLEITEM!$H$3:$H$2749-TABLEITEM!$I$3:$I$2749</f>
        <v>#ERROR!</v>
      </c>
    </row>
    <row r="2119" ht="15.75" customHeight="1">
      <c r="A2119" s="45"/>
      <c r="B2119" s="18" t="s">
        <v>4893</v>
      </c>
      <c r="C2119" s="26"/>
      <c r="D2119" s="18" t="s">
        <v>9698</v>
      </c>
      <c r="E2119" s="56"/>
      <c r="F2119" s="57" t="s">
        <v>7173</v>
      </c>
      <c r="G2119" s="49">
        <f t="array" ref="G2119">MAX(IF(INSTOCK!$H$3:$H$6125=B2119,INSTOCK!$K$3:$K$6125))</f>
        <v>35</v>
      </c>
      <c r="H2119" s="50">
        <f t="array" ref="H2119">SUM(IF(INSTOCK!$H$3:$H$6125=B2119,INSTOCK!$I$3:$I$6125))</f>
        <v>10</v>
      </c>
      <c r="I2119" s="50" t="str">
        <f>ARRAY_CONSTRAIN(ARRAYFORMULA(SUM(IF([3]!Table13[ID]=B2119,[3]!Table13[QTY]))), 1, 1)</f>
        <v>#ERROR!</v>
      </c>
      <c r="J2119" s="50" t="str">
        <f>TABLEITEM!$H$3:$H$2749-TABLEITEM!$I$3:$I$2749</f>
        <v>#ERROR!</v>
      </c>
    </row>
    <row r="2120" ht="15.75" customHeight="1">
      <c r="A2120" s="45"/>
      <c r="B2120" s="18" t="s">
        <v>4910</v>
      </c>
      <c r="C2120" s="26"/>
      <c r="D2120" s="18" t="s">
        <v>9699</v>
      </c>
      <c r="E2120" s="56"/>
      <c r="F2120" s="57" t="s">
        <v>7173</v>
      </c>
      <c r="G2120" s="49">
        <f t="array" ref="G2120">MAX(IF(INSTOCK!$H$3:$H$6125=B2120,INSTOCK!$K$3:$K$6125))</f>
        <v>320</v>
      </c>
      <c r="H2120" s="50">
        <f t="array" ref="H2120">SUM(IF(INSTOCK!$H$3:$H$6125=B2120,INSTOCK!$I$3:$I$6125))</f>
        <v>5</v>
      </c>
      <c r="I2120" s="50" t="str">
        <f>ARRAY_CONSTRAIN(ARRAYFORMULA(SUM(IF([3]!Table13[ID]=B2120,[3]!Table13[QTY]))), 1, 1)</f>
        <v>#ERROR!</v>
      </c>
      <c r="J2120" s="50" t="str">
        <f>TABLEITEM!$H$3:$H$2749-TABLEITEM!$I$3:$I$2749</f>
        <v>#ERROR!</v>
      </c>
    </row>
    <row r="2121" ht="15.75" customHeight="1">
      <c r="A2121" s="45"/>
      <c r="B2121" s="18" t="s">
        <v>4924</v>
      </c>
      <c r="C2121" s="26"/>
      <c r="D2121" s="18" t="s">
        <v>9700</v>
      </c>
      <c r="E2121" s="56"/>
      <c r="F2121" s="57" t="s">
        <v>7173</v>
      </c>
      <c r="G2121" s="49">
        <f t="array" ref="G2121">MAX(IF(INSTOCK!$H$3:$H$6125=B2121,INSTOCK!$K$3:$K$6125))</f>
        <v>7990</v>
      </c>
      <c r="H2121" s="50">
        <f t="array" ref="H2121">SUM(IF(INSTOCK!$H$3:$H$6125=B2121,INSTOCK!$I$3:$I$6125))</f>
        <v>1</v>
      </c>
      <c r="I2121" s="50" t="str">
        <f>ARRAY_CONSTRAIN(ARRAYFORMULA(SUM(IF([3]!Table13[ID]=B2121,[3]!Table13[QTY]))), 1, 1)</f>
        <v>#ERROR!</v>
      </c>
      <c r="J2121" s="50" t="str">
        <f>TABLEITEM!$H$3:$H$2749-TABLEITEM!$I$3:$I$2749</f>
        <v>#ERROR!</v>
      </c>
    </row>
    <row r="2122" ht="15.75" customHeight="1">
      <c r="A2122" s="45"/>
      <c r="B2122" s="18" t="s">
        <v>4929</v>
      </c>
      <c r="C2122" s="26"/>
      <c r="D2122" s="18" t="s">
        <v>9701</v>
      </c>
      <c r="E2122" s="56"/>
      <c r="F2122" s="57" t="s">
        <v>7173</v>
      </c>
      <c r="G2122" s="49">
        <f t="array" ref="G2122">MAX(IF(INSTOCK!$H$3:$H$6125=B2122,INSTOCK!$K$3:$K$6125))</f>
        <v>16500</v>
      </c>
      <c r="H2122" s="50">
        <f t="array" ref="H2122">SUM(IF(INSTOCK!$H$3:$H$6125=B2122,INSTOCK!$I$3:$I$6125))</f>
        <v>1</v>
      </c>
      <c r="I2122" s="50" t="str">
        <f>ARRAY_CONSTRAIN(ARRAYFORMULA(SUM(IF([3]!Table13[ID]=B2122,[3]!Table13[QTY]))), 1, 1)</f>
        <v>#ERROR!</v>
      </c>
      <c r="J2122" s="50" t="str">
        <f>TABLEITEM!$H$3:$H$2749-TABLEITEM!$I$3:$I$2749</f>
        <v>#ERROR!</v>
      </c>
    </row>
    <row r="2123" ht="15.75" customHeight="1">
      <c r="A2123" s="45"/>
      <c r="B2123" s="10" t="s">
        <v>4934</v>
      </c>
      <c r="C2123" s="26"/>
      <c r="D2123" s="10" t="s">
        <v>9702</v>
      </c>
      <c r="E2123" s="56"/>
      <c r="F2123" s="57" t="s">
        <v>7173</v>
      </c>
      <c r="G2123" s="49">
        <f t="array" ref="G2123">MAX(IF(INSTOCK!$H$3:$H$6125=B2123,INSTOCK!$K$3:$K$6125))</f>
        <v>143</v>
      </c>
      <c r="H2123" s="50">
        <f t="array" ref="H2123">SUM(IF(INSTOCK!$H$3:$H$6125=B2123,INSTOCK!$I$3:$I$6125))</f>
        <v>2</v>
      </c>
      <c r="I2123" s="50" t="str">
        <f>ARRAY_CONSTRAIN(ARRAYFORMULA(SUM(IF([3]!Table13[ID]=B2123,[3]!Table13[QTY]))), 1, 1)</f>
        <v>#ERROR!</v>
      </c>
      <c r="J2123" s="50" t="str">
        <f>TABLEITEM!$H$3:$H$2749-TABLEITEM!$I$3:$I$2749</f>
        <v>#ERROR!</v>
      </c>
    </row>
    <row r="2124" ht="15.75" customHeight="1">
      <c r="A2124" s="45"/>
      <c r="B2124" s="10" t="s">
        <v>4936</v>
      </c>
      <c r="C2124" s="26"/>
      <c r="D2124" s="10" t="s">
        <v>9703</v>
      </c>
      <c r="E2124" s="56"/>
      <c r="F2124" s="57" t="s">
        <v>7173</v>
      </c>
      <c r="G2124" s="49">
        <f t="array" ref="G2124">MAX(IF(INSTOCK!$H$3:$H$6125=B2124,INSTOCK!$K$3:$K$6125))</f>
        <v>292.5</v>
      </c>
      <c r="H2124" s="50">
        <f t="array" ref="H2124">SUM(IF(INSTOCK!$H$3:$H$6125=B2124,INSTOCK!$I$3:$I$6125))</f>
        <v>2</v>
      </c>
      <c r="I2124" s="50" t="str">
        <f>ARRAY_CONSTRAIN(ARRAYFORMULA(SUM(IF([3]!Table13[ID]=B2124,[3]!Table13[QTY]))), 1, 1)</f>
        <v>#ERROR!</v>
      </c>
      <c r="J2124" s="50" t="str">
        <f>TABLEITEM!$H$3:$H$2749-TABLEITEM!$I$3:$I$2749</f>
        <v>#ERROR!</v>
      </c>
    </row>
    <row r="2125" ht="15.75" customHeight="1">
      <c r="A2125" s="45"/>
      <c r="B2125" s="18" t="s">
        <v>4938</v>
      </c>
      <c r="C2125" s="26"/>
      <c r="D2125" s="18" t="s">
        <v>9704</v>
      </c>
      <c r="E2125" s="56"/>
      <c r="F2125" s="57" t="s">
        <v>7173</v>
      </c>
      <c r="G2125" s="49">
        <f t="array" ref="G2125">MAX(IF(INSTOCK!$H$3:$H$6125=B2125,INSTOCK!$K$3:$K$6125))</f>
        <v>260</v>
      </c>
      <c r="H2125" s="50">
        <f t="array" ref="H2125">SUM(IF(INSTOCK!$H$3:$H$6125=B2125,INSTOCK!$I$3:$I$6125))</f>
        <v>2</v>
      </c>
      <c r="I2125" s="50" t="str">
        <f>ARRAY_CONSTRAIN(ARRAYFORMULA(SUM(IF([3]!Table13[ID]=B2125,[3]!Table13[QTY]))), 1, 1)</f>
        <v>#ERROR!</v>
      </c>
      <c r="J2125" s="50" t="str">
        <f>TABLEITEM!$H$3:$H$2749-TABLEITEM!$I$3:$I$2749</f>
        <v>#ERROR!</v>
      </c>
    </row>
    <row r="2126" ht="15.75" customHeight="1">
      <c r="A2126" s="45"/>
      <c r="B2126" s="10" t="s">
        <v>4941</v>
      </c>
      <c r="C2126" s="26"/>
      <c r="D2126" s="10" t="s">
        <v>9705</v>
      </c>
      <c r="E2126" s="56"/>
      <c r="F2126" s="57" t="s">
        <v>7173</v>
      </c>
      <c r="G2126" s="49">
        <f t="array" ref="G2126">MAX(IF(INSTOCK!$H$3:$H$6125=B2126,INSTOCK!$K$3:$K$6125))</f>
        <v>10600</v>
      </c>
      <c r="H2126" s="50">
        <f t="array" ref="H2126">SUM(IF(INSTOCK!$H$3:$H$6125=B2126,INSTOCK!$I$3:$I$6125))</f>
        <v>3</v>
      </c>
      <c r="I2126" s="50" t="str">
        <f>ARRAY_CONSTRAIN(ARRAYFORMULA(SUM(IF([3]!Table13[ID]=B2126,[3]!Table13[QTY]))), 1, 1)</f>
        <v>#ERROR!</v>
      </c>
      <c r="J2126" s="50" t="str">
        <f>TABLEITEM!$H$3:$H$2749-TABLEITEM!$I$3:$I$2749</f>
        <v>#ERROR!</v>
      </c>
    </row>
    <row r="2127" ht="15.75" customHeight="1">
      <c r="A2127" s="45"/>
      <c r="B2127" s="10" t="s">
        <v>4942</v>
      </c>
      <c r="C2127" s="26"/>
      <c r="D2127" s="10" t="s">
        <v>9706</v>
      </c>
      <c r="E2127" s="56"/>
      <c r="F2127" s="57" t="s">
        <v>7173</v>
      </c>
      <c r="G2127" s="49">
        <f t="array" ref="G2127">MAX(IF(INSTOCK!$H$3:$H$6125=B2127,INSTOCK!$K$3:$K$6125))</f>
        <v>650</v>
      </c>
      <c r="H2127" s="50">
        <f t="array" ref="H2127">SUM(IF(INSTOCK!$H$3:$H$6125=B2127,INSTOCK!$I$3:$I$6125))</f>
        <v>6</v>
      </c>
      <c r="I2127" s="50" t="str">
        <f>ARRAY_CONSTRAIN(ARRAYFORMULA(SUM(IF([3]!Table13[ID]=B2127,[3]!Table13[QTY]))), 1, 1)</f>
        <v>#ERROR!</v>
      </c>
      <c r="J2127" s="50" t="str">
        <f>TABLEITEM!$H$3:$H$2749-TABLEITEM!$I$3:$I$2749</f>
        <v>#ERROR!</v>
      </c>
    </row>
    <row r="2128" ht="15.75" customHeight="1">
      <c r="A2128" s="45"/>
      <c r="B2128" s="18" t="s">
        <v>4943</v>
      </c>
      <c r="C2128" s="26"/>
      <c r="D2128" s="18" t="s">
        <v>9707</v>
      </c>
      <c r="E2128" s="56"/>
      <c r="F2128" s="57" t="s">
        <v>7173</v>
      </c>
      <c r="G2128" s="49">
        <f t="array" ref="G2128">MAX(IF(INSTOCK!$H$3:$H$6125=B2128,INSTOCK!$K$3:$K$6125))</f>
        <v>137.5</v>
      </c>
      <c r="H2128" s="50">
        <f t="array" ref="H2128">SUM(IF(INSTOCK!$H$3:$H$6125=B2128,INSTOCK!$I$3:$I$6125))</f>
        <v>24</v>
      </c>
      <c r="I2128" s="50" t="str">
        <f>ARRAY_CONSTRAIN(ARRAYFORMULA(SUM(IF([3]!Table13[ID]=B2128,[3]!Table13[QTY]))), 1, 1)</f>
        <v>#ERROR!</v>
      </c>
      <c r="J2128" s="50" t="str">
        <f>TABLEITEM!$H$3:$H$2749-TABLEITEM!$I$3:$I$2749</f>
        <v>#ERROR!</v>
      </c>
    </row>
    <row r="2129" ht="15.75" customHeight="1">
      <c r="A2129" s="45"/>
      <c r="B2129" s="18" t="s">
        <v>4951</v>
      </c>
      <c r="C2129" s="26"/>
      <c r="D2129" s="18" t="s">
        <v>9708</v>
      </c>
      <c r="E2129" s="56" t="s">
        <v>9709</v>
      </c>
      <c r="F2129" s="57" t="s">
        <v>7173</v>
      </c>
      <c r="G2129" s="49">
        <f t="array" ref="G2129">MAX(IF(INSTOCK!$H$3:$H$6125=B2129,INSTOCK!$K$3:$K$6125))</f>
        <v>223.6667</v>
      </c>
      <c r="H2129" s="50">
        <f t="array" ref="H2129">SUM(IF(INSTOCK!$H$3:$H$6125=B2129,INSTOCK!$I$3:$I$6125))</f>
        <v>6</v>
      </c>
      <c r="I2129" s="50" t="str">
        <f>ARRAY_CONSTRAIN(ARRAYFORMULA(SUM(IF([3]!Table13[ID]=B2129,[3]!Table13[QTY]))), 1, 1)</f>
        <v>#ERROR!</v>
      </c>
      <c r="J2129" s="50" t="str">
        <f>TABLEITEM!$H$3:$H$2749-TABLEITEM!$I$3:$I$2749</f>
        <v>#ERROR!</v>
      </c>
    </row>
    <row r="2130" ht="15.75" customHeight="1">
      <c r="A2130" s="45"/>
      <c r="B2130" s="18" t="s">
        <v>5450</v>
      </c>
      <c r="C2130" s="26"/>
      <c r="D2130" s="18" t="s">
        <v>9710</v>
      </c>
      <c r="E2130" s="56"/>
      <c r="F2130" s="57" t="s">
        <v>7173</v>
      </c>
      <c r="G2130" s="49">
        <f t="array" ref="G2130">MAX(IF(INSTOCK!$H$3:$H$6125=B2130,INSTOCK!$K$3:$K$6125))</f>
        <v>1570.09</v>
      </c>
      <c r="H2130" s="50">
        <f t="array" ref="H2130">SUM(IF(INSTOCK!$H$3:$H$6125=B2130,INSTOCK!$I$3:$I$6125))</f>
        <v>1</v>
      </c>
      <c r="I2130" s="50" t="str">
        <f>ARRAY_CONSTRAIN(ARRAYFORMULA(SUM(IF([3]!Table13[ID]=B2130,[3]!Table13[QTY]))), 1, 1)</f>
        <v>#ERROR!</v>
      </c>
      <c r="J2130" s="50" t="str">
        <f>TABLEITEM!$H$3:$H$2749-TABLEITEM!$I$3:$I$2749</f>
        <v>#ERROR!</v>
      </c>
    </row>
    <row r="2131" ht="15.75" customHeight="1">
      <c r="A2131" s="45"/>
      <c r="B2131" s="18" t="s">
        <v>4955</v>
      </c>
      <c r="C2131" s="26"/>
      <c r="D2131" s="18" t="s">
        <v>9711</v>
      </c>
      <c r="E2131" s="56"/>
      <c r="F2131" s="48" t="s">
        <v>7173</v>
      </c>
      <c r="G2131" s="49">
        <f t="array" ref="G2131">MAX(IF(INSTOCK!$H$3:$H$6125=B2131,INSTOCK!$K$3:$K$6125))</f>
        <v>890</v>
      </c>
      <c r="H2131" s="50">
        <f t="array" ref="H2131">SUM(IF(INSTOCK!$H$3:$H$6125=B2131,INSTOCK!$I$3:$I$6125))</f>
        <v>1</v>
      </c>
      <c r="I2131" s="50" t="str">
        <f>ARRAY_CONSTRAIN(ARRAYFORMULA(SUM(IF([3]!Table13[ID]=B2131,[3]!Table13[QTY]))), 1, 1)</f>
        <v>#ERROR!</v>
      </c>
      <c r="J2131" s="50" t="str">
        <f>TABLEITEM!$H$3:$H$2749-TABLEITEM!$I$3:$I$2749</f>
        <v>#ERROR!</v>
      </c>
    </row>
    <row r="2132" ht="15.75" customHeight="1">
      <c r="A2132" s="45"/>
      <c r="B2132" s="10" t="s">
        <v>4957</v>
      </c>
      <c r="C2132" s="26"/>
      <c r="D2132" s="10" t="s">
        <v>9712</v>
      </c>
      <c r="E2132" s="56"/>
      <c r="F2132" s="57" t="s">
        <v>7173</v>
      </c>
      <c r="G2132" s="49">
        <f t="array" ref="G2132">MAX(IF(INSTOCK!$H$3:$H$6125=B2132,INSTOCK!$K$3:$K$6125))</f>
        <v>57</v>
      </c>
      <c r="H2132" s="50">
        <f t="array" ref="H2132">SUM(IF(INSTOCK!$H$3:$H$6125=B2132,INSTOCK!$I$3:$I$6125))</f>
        <v>2</v>
      </c>
      <c r="I2132" s="50" t="str">
        <f>ARRAY_CONSTRAIN(ARRAYFORMULA(SUM(IF([3]!Table13[ID]=B2132,[3]!Table13[QTY]))), 1, 1)</f>
        <v>#ERROR!</v>
      </c>
      <c r="J2132" s="50" t="str">
        <f>TABLEITEM!$H$3:$H$2749-TABLEITEM!$I$3:$I$2749</f>
        <v>#ERROR!</v>
      </c>
    </row>
    <row r="2133" ht="15.75" customHeight="1">
      <c r="A2133" s="45"/>
      <c r="B2133" s="18" t="s">
        <v>4958</v>
      </c>
      <c r="C2133" s="26"/>
      <c r="D2133" s="18" t="s">
        <v>9713</v>
      </c>
      <c r="E2133" s="56"/>
      <c r="F2133" s="57" t="s">
        <v>7173</v>
      </c>
      <c r="G2133" s="49">
        <f t="array" ref="G2133">MAX(IF(INSTOCK!$H$3:$H$6125=B2133,INSTOCK!$K$3:$K$6125))</f>
        <v>40</v>
      </c>
      <c r="H2133" s="50">
        <f t="array" ref="H2133">SUM(IF(INSTOCK!$H$3:$H$6125=B2133,INSTOCK!$I$3:$I$6125))</f>
        <v>4</v>
      </c>
      <c r="I2133" s="50" t="str">
        <f>ARRAY_CONSTRAIN(ARRAYFORMULA(SUM(IF([3]!Table13[ID]=B2133,[3]!Table13[QTY]))), 1, 1)</f>
        <v>#ERROR!</v>
      </c>
      <c r="J2133" s="50" t="str">
        <f>TABLEITEM!$H$3:$H$2749-TABLEITEM!$I$3:$I$2749</f>
        <v>#ERROR!</v>
      </c>
    </row>
    <row r="2134" ht="15.75" customHeight="1">
      <c r="A2134" s="45"/>
      <c r="B2134" s="10" t="s">
        <v>5374</v>
      </c>
      <c r="C2134" s="26"/>
      <c r="D2134" s="10" t="s">
        <v>9714</v>
      </c>
      <c r="E2134" s="56"/>
      <c r="F2134" s="57" t="s">
        <v>7173</v>
      </c>
      <c r="G2134" s="49">
        <f t="array" ref="G2134">MAX(IF(INSTOCK!$H$3:$H$6125=B2134,INSTOCK!$K$3:$K$6125))</f>
        <v>2485.98</v>
      </c>
      <c r="H2134" s="50">
        <f t="array" ref="H2134">SUM(IF(INSTOCK!$H$3:$H$6125=B2134,INSTOCK!$I$3:$I$6125))</f>
        <v>2</v>
      </c>
      <c r="I2134" s="50" t="str">
        <f>ARRAY_CONSTRAIN(ARRAYFORMULA(SUM(IF([3]!Table13[ID]=B2134,[3]!Table13[QTY]))), 1, 1)</f>
        <v>#ERROR!</v>
      </c>
      <c r="J2134" s="50" t="str">
        <f>TABLEITEM!$H$3:$H$2749-TABLEITEM!$I$3:$I$2749</f>
        <v>#ERROR!</v>
      </c>
    </row>
    <row r="2135" ht="15.75" customHeight="1">
      <c r="A2135" s="45"/>
      <c r="B2135" s="10" t="s">
        <v>3064</v>
      </c>
      <c r="C2135" s="26"/>
      <c r="D2135" s="10" t="s">
        <v>9715</v>
      </c>
      <c r="E2135" s="56"/>
      <c r="F2135" s="57" t="s">
        <v>7173</v>
      </c>
      <c r="G2135" s="49">
        <f t="array" ref="G2135">MAX(IF(INSTOCK!$H$3:$H$6125=B2135,INSTOCK!$K$3:$K$6125))</f>
        <v>1859.81</v>
      </c>
      <c r="H2135" s="50">
        <f t="array" ref="H2135">SUM(IF(INSTOCK!$H$3:$H$6125=B2135,INSTOCK!$I$3:$I$6125))</f>
        <v>1</v>
      </c>
      <c r="I2135" s="50" t="str">
        <f>ARRAY_CONSTRAIN(ARRAYFORMULA(SUM(IF([3]!Table13[ID]=B2135,[3]!Table13[QTY]))), 1, 1)</f>
        <v>#ERROR!</v>
      </c>
      <c r="J2135" s="50" t="str">
        <f>TABLEITEM!$H$3:$H$2749-TABLEITEM!$I$3:$I$2749</f>
        <v>#ERROR!</v>
      </c>
    </row>
    <row r="2136" ht="15.75" customHeight="1">
      <c r="A2136" s="45"/>
      <c r="B2136" s="18" t="s">
        <v>5344</v>
      </c>
      <c r="C2136" s="26"/>
      <c r="D2136" s="10" t="s">
        <v>9716</v>
      </c>
      <c r="E2136" s="56"/>
      <c r="F2136" s="57" t="s">
        <v>7173</v>
      </c>
      <c r="G2136" s="49">
        <f t="array" ref="G2136">MAX(IF(INSTOCK!$H$3:$H$6125=B2136,INSTOCK!$K$3:$K$6125))</f>
        <v>328.04</v>
      </c>
      <c r="H2136" s="50">
        <f t="array" ref="H2136">SUM(IF(INSTOCK!$H$3:$H$6125=B2136,INSTOCK!$I$3:$I$6125))</f>
        <v>1</v>
      </c>
      <c r="I2136" s="50" t="str">
        <f>ARRAY_CONSTRAIN(ARRAYFORMULA(SUM(IF([3]!Table13[ID]=B2136,[3]!Table13[QTY]))), 1, 1)</f>
        <v>#ERROR!</v>
      </c>
      <c r="J2136" s="50" t="str">
        <f>TABLEITEM!$H$3:$H$2749-TABLEITEM!$I$3:$I$2749</f>
        <v>#ERROR!</v>
      </c>
    </row>
    <row r="2137" ht="15.75" customHeight="1">
      <c r="A2137" s="45"/>
      <c r="B2137" s="10" t="s">
        <v>4972</v>
      </c>
      <c r="C2137" s="26"/>
      <c r="D2137" s="10" t="s">
        <v>9717</v>
      </c>
      <c r="E2137" s="56"/>
      <c r="F2137" s="57" t="s">
        <v>7173</v>
      </c>
      <c r="G2137" s="49">
        <f t="array" ref="G2137">MAX(IF(INSTOCK!$H$3:$H$6125=B2137,INSTOCK!$K$3:$K$6125))</f>
        <v>230</v>
      </c>
      <c r="H2137" s="50">
        <f t="array" ref="H2137">SUM(IF(INSTOCK!$H$3:$H$6125=B2137,INSTOCK!$I$3:$I$6125))</f>
        <v>12</v>
      </c>
      <c r="I2137" s="50" t="str">
        <f>ARRAY_CONSTRAIN(ARRAYFORMULA(SUM(IF([3]!Table13[ID]=B2137,[3]!Table13[QTY]))), 1, 1)</f>
        <v>#ERROR!</v>
      </c>
      <c r="J2137" s="50" t="str">
        <f>TABLEITEM!$H$3:$H$2749-TABLEITEM!$I$3:$I$2749</f>
        <v>#ERROR!</v>
      </c>
    </row>
    <row r="2138" ht="15.75" customHeight="1">
      <c r="A2138" s="45"/>
      <c r="B2138" s="18" t="s">
        <v>4973</v>
      </c>
      <c r="C2138" s="26"/>
      <c r="D2138" s="18" t="s">
        <v>9718</v>
      </c>
      <c r="E2138" s="56"/>
      <c r="F2138" s="57" t="s">
        <v>7173</v>
      </c>
      <c r="G2138" s="49">
        <f t="array" ref="G2138">MAX(IF(INSTOCK!$H$3:$H$6125=B2138,INSTOCK!$K$3:$K$6125))</f>
        <v>45</v>
      </c>
      <c r="H2138" s="50">
        <f t="array" ref="H2138">SUM(IF(INSTOCK!$H$3:$H$6125=B2138,INSTOCK!$I$3:$I$6125))</f>
        <v>2</v>
      </c>
      <c r="I2138" s="50" t="str">
        <f>ARRAY_CONSTRAIN(ARRAYFORMULA(SUM(IF([3]!Table13[ID]=B2138,[3]!Table13[QTY]))), 1, 1)</f>
        <v>#ERROR!</v>
      </c>
      <c r="J2138" s="50" t="str">
        <f>TABLEITEM!$H$3:$H$2749-TABLEITEM!$I$3:$I$2749</f>
        <v>#ERROR!</v>
      </c>
    </row>
    <row r="2139" ht="15.75" customHeight="1">
      <c r="A2139" s="45"/>
      <c r="B2139" s="18" t="s">
        <v>4976</v>
      </c>
      <c r="C2139" s="26"/>
      <c r="D2139" s="18" t="s">
        <v>9719</v>
      </c>
      <c r="E2139" s="56"/>
      <c r="F2139" s="57" t="s">
        <v>8651</v>
      </c>
      <c r="G2139" s="49">
        <f t="array" ref="G2139">MAX(IF(INSTOCK!$H$3:$H$6125=B2139,INSTOCK!$K$3:$K$6125))</f>
        <v>1000</v>
      </c>
      <c r="H2139" s="50">
        <f t="array" ref="H2139">SUM(IF(INSTOCK!$H$3:$H$6125=B2139,INSTOCK!$I$3:$I$6125))</f>
        <v>1</v>
      </c>
      <c r="I2139" s="50" t="str">
        <f>ARRAY_CONSTRAIN(ARRAYFORMULA(SUM(IF([3]!Table13[ID]=B2139,[3]!Table13[QTY]))), 1, 1)</f>
        <v>#ERROR!</v>
      </c>
      <c r="J2139" s="50" t="str">
        <f>TABLEITEM!$H$3:$H$2749-TABLEITEM!$I$3:$I$2749</f>
        <v>#ERROR!</v>
      </c>
    </row>
    <row r="2140" ht="15.75" customHeight="1">
      <c r="A2140" s="45"/>
      <c r="B2140" s="10" t="s">
        <v>4979</v>
      </c>
      <c r="C2140" s="26"/>
      <c r="D2140" s="10" t="s">
        <v>9720</v>
      </c>
      <c r="E2140" s="56" t="s">
        <v>1487</v>
      </c>
      <c r="F2140" s="57" t="s">
        <v>7173</v>
      </c>
      <c r="G2140" s="49">
        <f t="array" ref="G2140">MAX(IF(INSTOCK!$H$3:$H$6125=B2140,INSTOCK!$K$3:$K$6125))</f>
        <v>369.6</v>
      </c>
      <c r="H2140" s="50">
        <f t="array" ref="H2140">SUM(IF(INSTOCK!$H$3:$H$6125=B2140,INSTOCK!$I$3:$I$6125))</f>
        <v>4</v>
      </c>
      <c r="I2140" s="50" t="str">
        <f>ARRAY_CONSTRAIN(ARRAYFORMULA(SUM(IF([3]!Table13[ID]=B2140,[3]!Table13[QTY]))), 1, 1)</f>
        <v>#ERROR!</v>
      </c>
      <c r="J2140" s="50" t="str">
        <f>TABLEITEM!$H$3:$H$2749-TABLEITEM!$I$3:$I$2749</f>
        <v>#ERROR!</v>
      </c>
    </row>
    <row r="2141" ht="15.75" customHeight="1">
      <c r="A2141" s="45"/>
      <c r="B2141" s="10" t="s">
        <v>4980</v>
      </c>
      <c r="C2141" s="26"/>
      <c r="D2141" s="10" t="s">
        <v>9721</v>
      </c>
      <c r="E2141" s="56" t="s">
        <v>1487</v>
      </c>
      <c r="F2141" s="57" t="s">
        <v>7173</v>
      </c>
      <c r="G2141" s="49">
        <f t="array" ref="G2141">MAX(IF(INSTOCK!$H$3:$H$6125=B2141,INSTOCK!$K$3:$K$6125))</f>
        <v>3259.2</v>
      </c>
      <c r="H2141" s="50">
        <f t="array" ref="H2141">SUM(IF(INSTOCK!$H$3:$H$6125=B2141,INSTOCK!$I$3:$I$6125))</f>
        <v>2</v>
      </c>
      <c r="I2141" s="50" t="str">
        <f>ARRAY_CONSTRAIN(ARRAYFORMULA(SUM(IF([3]!Table13[ID]=B2141,[3]!Table13[QTY]))), 1, 1)</f>
        <v>#ERROR!</v>
      </c>
      <c r="J2141" s="50" t="str">
        <f>TABLEITEM!$H$3:$H$2749-TABLEITEM!$I$3:$I$2749</f>
        <v>#ERROR!</v>
      </c>
    </row>
    <row r="2142" ht="15.75" customHeight="1">
      <c r="A2142" s="45"/>
      <c r="B2142" s="18" t="s">
        <v>4982</v>
      </c>
      <c r="C2142" s="26"/>
      <c r="D2142" s="18" t="s">
        <v>9722</v>
      </c>
      <c r="E2142" s="56" t="s">
        <v>1487</v>
      </c>
      <c r="F2142" s="57" t="s">
        <v>7173</v>
      </c>
      <c r="G2142" s="49">
        <f t="array" ref="G2142">MAX(IF(INSTOCK!$H$3:$H$6125=B2142,INSTOCK!$K$3:$K$6125))</f>
        <v>1096.2</v>
      </c>
      <c r="H2142" s="50">
        <f t="array" ref="H2142">SUM(IF(INSTOCK!$H$3:$H$6125=B2142,INSTOCK!$I$3:$I$6125))</f>
        <v>2</v>
      </c>
      <c r="I2142" s="50" t="str">
        <f>ARRAY_CONSTRAIN(ARRAYFORMULA(SUM(IF([3]!Table13[ID]=B2142,[3]!Table13[QTY]))), 1, 1)</f>
        <v>#ERROR!</v>
      </c>
      <c r="J2142" s="50" t="str">
        <f>TABLEITEM!$H$3:$H$2749-TABLEITEM!$I$3:$I$2749</f>
        <v>#ERROR!</v>
      </c>
    </row>
    <row r="2143" ht="15.75" customHeight="1">
      <c r="A2143" s="45"/>
      <c r="B2143" s="18" t="s">
        <v>4990</v>
      </c>
      <c r="C2143" s="26"/>
      <c r="D2143" s="18" t="s">
        <v>9723</v>
      </c>
      <c r="E2143" s="56"/>
      <c r="F2143" s="57" t="s">
        <v>8651</v>
      </c>
      <c r="G2143" s="49">
        <f t="array" ref="G2143">MAX(IF(INSTOCK!$H$3:$H$6125=B2143,INSTOCK!$K$3:$K$6125))</f>
        <v>21000</v>
      </c>
      <c r="H2143" s="50">
        <f t="array" ref="H2143">SUM(IF(INSTOCK!$H$3:$H$6125=B2143,INSTOCK!$I$3:$I$6125))</f>
        <v>1</v>
      </c>
      <c r="I2143" s="50" t="str">
        <f>ARRAY_CONSTRAIN(ARRAYFORMULA(SUM(IF([3]!Table13[ID]=B2143,[3]!Table13[QTY]))), 1, 1)</f>
        <v>#ERROR!</v>
      </c>
      <c r="J2143" s="50" t="str">
        <f>TABLEITEM!$H$3:$H$2749-TABLEITEM!$I$3:$I$2749</f>
        <v>#ERROR!</v>
      </c>
    </row>
    <row r="2144" ht="15.75" customHeight="1">
      <c r="A2144" s="45"/>
      <c r="B2144" s="10" t="s">
        <v>4993</v>
      </c>
      <c r="C2144" s="26"/>
      <c r="D2144" s="10" t="s">
        <v>9724</v>
      </c>
      <c r="E2144" s="56"/>
      <c r="F2144" s="57" t="s">
        <v>7173</v>
      </c>
      <c r="G2144" s="49">
        <f t="array" ref="G2144">MAX(IF(INSTOCK!$H$3:$H$6125=B2144,INSTOCK!$K$3:$K$6125))</f>
        <v>4200</v>
      </c>
      <c r="H2144" s="50">
        <f t="array" ref="H2144">SUM(IF(INSTOCK!$H$3:$H$6125=B2144,INSTOCK!$I$3:$I$6125))</f>
        <v>2</v>
      </c>
      <c r="I2144" s="50" t="str">
        <f>ARRAY_CONSTRAIN(ARRAYFORMULA(SUM(IF([3]!Table13[ID]=B2144,[3]!Table13[QTY]))), 1, 1)</f>
        <v>#ERROR!</v>
      </c>
      <c r="J2144" s="50" t="str">
        <f>TABLEITEM!$H$3:$H$2749-TABLEITEM!$I$3:$I$2749</f>
        <v>#ERROR!</v>
      </c>
    </row>
    <row r="2145" ht="15.75" customHeight="1">
      <c r="A2145" s="45"/>
      <c r="B2145" s="10" t="s">
        <v>4994</v>
      </c>
      <c r="C2145" s="26"/>
      <c r="D2145" s="10" t="s">
        <v>9725</v>
      </c>
      <c r="E2145" s="56"/>
      <c r="F2145" s="57" t="s">
        <v>7173</v>
      </c>
      <c r="G2145" s="49">
        <f t="array" ref="G2145">MAX(IF(INSTOCK!$H$3:$H$6125=B2145,INSTOCK!$K$3:$K$6125))</f>
        <v>4800</v>
      </c>
      <c r="H2145" s="50">
        <f t="array" ref="H2145">SUM(IF(INSTOCK!$H$3:$H$6125=B2145,INSTOCK!$I$3:$I$6125))</f>
        <v>2</v>
      </c>
      <c r="I2145" s="50" t="str">
        <f>ARRAY_CONSTRAIN(ARRAYFORMULA(SUM(IF([3]!Table13[ID]=B2145,[3]!Table13[QTY]))), 1, 1)</f>
        <v>#ERROR!</v>
      </c>
      <c r="J2145" s="50" t="str">
        <f>TABLEITEM!$H$3:$H$2749-TABLEITEM!$I$3:$I$2749</f>
        <v>#ERROR!</v>
      </c>
    </row>
    <row r="2146" ht="15.75" customHeight="1">
      <c r="A2146" s="45"/>
      <c r="B2146" s="10" t="s">
        <v>4995</v>
      </c>
      <c r="C2146" s="26"/>
      <c r="D2146" s="10" t="s">
        <v>9726</v>
      </c>
      <c r="E2146" s="56"/>
      <c r="F2146" s="57" t="s">
        <v>7173</v>
      </c>
      <c r="G2146" s="49">
        <f t="array" ref="G2146">MAX(IF(INSTOCK!$H$3:$H$6125=B2146,INSTOCK!$K$3:$K$6125))</f>
        <v>4900</v>
      </c>
      <c r="H2146" s="50">
        <f t="array" ref="H2146">SUM(IF(INSTOCK!$H$3:$H$6125=B2146,INSTOCK!$I$3:$I$6125))</f>
        <v>6</v>
      </c>
      <c r="I2146" s="50" t="str">
        <f>ARRAY_CONSTRAIN(ARRAYFORMULA(SUM(IF([3]!Table13[ID]=B2146,[3]!Table13[QTY]))), 1, 1)</f>
        <v>#ERROR!</v>
      </c>
      <c r="J2146" s="50" t="str">
        <f>TABLEITEM!$H$3:$H$2749-TABLEITEM!$I$3:$I$2749</f>
        <v>#ERROR!</v>
      </c>
    </row>
    <row r="2147" ht="15.75" customHeight="1">
      <c r="A2147" s="45"/>
      <c r="B2147" s="10" t="s">
        <v>4996</v>
      </c>
      <c r="C2147" s="26"/>
      <c r="D2147" s="10" t="s">
        <v>9727</v>
      </c>
      <c r="E2147" s="56"/>
      <c r="F2147" s="57" t="s">
        <v>7173</v>
      </c>
      <c r="G2147" s="49">
        <f t="array" ref="G2147">MAX(IF(INSTOCK!$H$3:$H$6125=B2147,INSTOCK!$K$3:$K$6125))</f>
        <v>5200</v>
      </c>
      <c r="H2147" s="50">
        <f t="array" ref="H2147">SUM(IF(INSTOCK!$H$3:$H$6125=B2147,INSTOCK!$I$3:$I$6125))</f>
        <v>1</v>
      </c>
      <c r="I2147" s="50" t="str">
        <f>ARRAY_CONSTRAIN(ARRAYFORMULA(SUM(IF([3]!Table13[ID]=B2147,[3]!Table13[QTY]))), 1, 1)</f>
        <v>#ERROR!</v>
      </c>
      <c r="J2147" s="50" t="str">
        <f>TABLEITEM!$H$3:$H$2749-TABLEITEM!$I$3:$I$2749</f>
        <v>#ERROR!</v>
      </c>
    </row>
    <row r="2148" ht="15.75" customHeight="1">
      <c r="A2148" s="45"/>
      <c r="B2148" s="18" t="s">
        <v>4997</v>
      </c>
      <c r="C2148" s="26"/>
      <c r="D2148" s="18" t="s">
        <v>9728</v>
      </c>
      <c r="E2148" s="56"/>
      <c r="F2148" s="57" t="s">
        <v>7173</v>
      </c>
      <c r="G2148" s="49">
        <f t="array" ref="G2148">MAX(IF(INSTOCK!$H$3:$H$6125=B2148,INSTOCK!$K$3:$K$6125))</f>
        <v>4300</v>
      </c>
      <c r="H2148" s="50">
        <f t="array" ref="H2148">SUM(IF(INSTOCK!$H$3:$H$6125=B2148,INSTOCK!$I$3:$I$6125))</f>
        <v>5</v>
      </c>
      <c r="I2148" s="50" t="str">
        <f>ARRAY_CONSTRAIN(ARRAYFORMULA(SUM(IF([3]!Table13[ID]=B2148,[3]!Table13[QTY]))), 1, 1)</f>
        <v>#ERROR!</v>
      </c>
      <c r="J2148" s="50" t="str">
        <f>TABLEITEM!$H$3:$H$2749-TABLEITEM!$I$3:$I$2749</f>
        <v>#ERROR!</v>
      </c>
    </row>
    <row r="2149" ht="15.75" customHeight="1">
      <c r="A2149" s="45"/>
      <c r="B2149" s="10" t="s">
        <v>5005</v>
      </c>
      <c r="C2149" s="26"/>
      <c r="D2149" s="10" t="s">
        <v>9729</v>
      </c>
      <c r="E2149" s="56"/>
      <c r="F2149" s="57" t="s">
        <v>7173</v>
      </c>
      <c r="G2149" s="49">
        <f t="array" ref="G2149">MAX(IF(INSTOCK!$H$3:$H$6125=B2149,INSTOCK!$K$3:$K$6125))</f>
        <v>20</v>
      </c>
      <c r="H2149" s="50">
        <f t="array" ref="H2149">SUM(IF(INSTOCK!$H$3:$H$6125=B2149,INSTOCK!$I$3:$I$6125))</f>
        <v>20</v>
      </c>
      <c r="I2149" s="50" t="str">
        <f>ARRAY_CONSTRAIN(ARRAYFORMULA(SUM(IF([3]!Table13[ID]=B2149,[3]!Table13[QTY]))), 1, 1)</f>
        <v>#ERROR!</v>
      </c>
      <c r="J2149" s="50" t="str">
        <f>TABLEITEM!$H$3:$H$2749-TABLEITEM!$I$3:$I$2749</f>
        <v>#ERROR!</v>
      </c>
    </row>
    <row r="2150" ht="15.75" customHeight="1">
      <c r="A2150" s="45"/>
      <c r="B2150" s="10" t="s">
        <v>5006</v>
      </c>
      <c r="C2150" s="26"/>
      <c r="D2150" s="10" t="s">
        <v>9730</v>
      </c>
      <c r="E2150" s="56"/>
      <c r="F2150" s="57" t="s">
        <v>7173</v>
      </c>
      <c r="G2150" s="49">
        <f t="array" ref="G2150">MAX(IF(INSTOCK!$H$3:$H$6125=B2150,INSTOCK!$K$3:$K$6125))</f>
        <v>50</v>
      </c>
      <c r="H2150" s="50">
        <f t="array" ref="H2150">SUM(IF(INSTOCK!$H$3:$H$6125=B2150,INSTOCK!$I$3:$I$6125))</f>
        <v>40</v>
      </c>
      <c r="I2150" s="50" t="str">
        <f>ARRAY_CONSTRAIN(ARRAYFORMULA(SUM(IF([3]!Table13[ID]=B2150,[3]!Table13[QTY]))), 1, 1)</f>
        <v>#ERROR!</v>
      </c>
      <c r="J2150" s="50" t="str">
        <f>TABLEITEM!$H$3:$H$2749-TABLEITEM!$I$3:$I$2749</f>
        <v>#ERROR!</v>
      </c>
    </row>
    <row r="2151" ht="15.75" customHeight="1">
      <c r="A2151" s="45"/>
      <c r="B2151" s="10" t="s">
        <v>5007</v>
      </c>
      <c r="C2151" s="26"/>
      <c r="D2151" s="10" t="s">
        <v>9731</v>
      </c>
      <c r="E2151" s="56"/>
      <c r="F2151" s="57" t="s">
        <v>7173</v>
      </c>
      <c r="G2151" s="49">
        <f t="array" ref="G2151">MAX(IF(INSTOCK!$H$3:$H$6125=B2151,INSTOCK!$K$3:$K$6125))</f>
        <v>20</v>
      </c>
      <c r="H2151" s="50">
        <f t="array" ref="H2151">SUM(IF(INSTOCK!$H$3:$H$6125=B2151,INSTOCK!$I$3:$I$6125))</f>
        <v>3</v>
      </c>
      <c r="I2151" s="50" t="str">
        <f>ARRAY_CONSTRAIN(ARRAYFORMULA(SUM(IF([3]!Table13[ID]=B2151,[3]!Table13[QTY]))), 1, 1)</f>
        <v>#ERROR!</v>
      </c>
      <c r="J2151" s="50" t="str">
        <f>TABLEITEM!$H$3:$H$2749-TABLEITEM!$I$3:$I$2749</f>
        <v>#ERROR!</v>
      </c>
    </row>
    <row r="2152" ht="15.75" customHeight="1">
      <c r="A2152" s="45"/>
      <c r="B2152" s="18" t="s">
        <v>5008</v>
      </c>
      <c r="C2152" s="26"/>
      <c r="D2152" s="18" t="s">
        <v>9732</v>
      </c>
      <c r="E2152" s="56"/>
      <c r="F2152" s="57" t="s">
        <v>7173</v>
      </c>
      <c r="G2152" s="49">
        <f t="array" ref="G2152">MAX(IF(INSTOCK!$H$3:$H$6125=B2152,INSTOCK!$K$3:$K$6125))</f>
        <v>60</v>
      </c>
      <c r="H2152" s="50">
        <f t="array" ref="H2152">SUM(IF(INSTOCK!$H$3:$H$6125=B2152,INSTOCK!$I$3:$I$6125))</f>
        <v>40</v>
      </c>
      <c r="I2152" s="50" t="str">
        <f>ARRAY_CONSTRAIN(ARRAYFORMULA(SUM(IF([3]!Table13[ID]=B2152,[3]!Table13[QTY]))), 1, 1)</f>
        <v>#ERROR!</v>
      </c>
      <c r="J2152" s="50" t="str">
        <f>TABLEITEM!$H$3:$H$2749-TABLEITEM!$I$3:$I$2749</f>
        <v>#ERROR!</v>
      </c>
    </row>
    <row r="2153" ht="15.75" customHeight="1">
      <c r="A2153" s="45"/>
      <c r="B2153" s="10" t="s">
        <v>5012</v>
      </c>
      <c r="C2153" s="26"/>
      <c r="D2153" s="10" t="s">
        <v>9733</v>
      </c>
      <c r="E2153" s="56"/>
      <c r="F2153" s="57" t="s">
        <v>7173</v>
      </c>
      <c r="G2153" s="49">
        <f t="array" ref="G2153">MAX(IF(INSTOCK!$H$3:$H$6125=B2153,INSTOCK!$K$3:$K$6125))</f>
        <v>1.7875</v>
      </c>
      <c r="H2153" s="50">
        <f t="array" ref="H2153">SUM(IF(INSTOCK!$H$3:$H$6125=B2153,INSTOCK!$I$3:$I$6125))</f>
        <v>100</v>
      </c>
      <c r="I2153" s="50" t="str">
        <f>ARRAY_CONSTRAIN(ARRAYFORMULA(SUM(IF([3]!Table13[ID]=B2153,[3]!Table13[QTY]))), 1, 1)</f>
        <v>#ERROR!</v>
      </c>
      <c r="J2153" s="50" t="str">
        <f>TABLEITEM!$H$3:$H$2749-TABLEITEM!$I$3:$I$2749</f>
        <v>#ERROR!</v>
      </c>
    </row>
    <row r="2154" ht="15.75" customHeight="1">
      <c r="A2154" s="45"/>
      <c r="B2154" s="10" t="s">
        <v>5013</v>
      </c>
      <c r="C2154" s="26"/>
      <c r="D2154" s="10" t="s">
        <v>9734</v>
      </c>
      <c r="E2154" s="56"/>
      <c r="F2154" s="57" t="s">
        <v>7173</v>
      </c>
      <c r="G2154" s="49">
        <f t="array" ref="G2154">MAX(IF(INSTOCK!$H$3:$H$6125=B2154,INSTOCK!$K$3:$K$6125))</f>
        <v>8.7</v>
      </c>
      <c r="H2154" s="50">
        <f t="array" ref="H2154">SUM(IF(INSTOCK!$H$3:$H$6125=B2154,INSTOCK!$I$3:$I$6125))</f>
        <v>30</v>
      </c>
      <c r="I2154" s="50" t="str">
        <f>ARRAY_CONSTRAIN(ARRAYFORMULA(SUM(IF([3]!Table13[ID]=B2154,[3]!Table13[QTY]))), 1, 1)</f>
        <v>#ERROR!</v>
      </c>
      <c r="J2154" s="50" t="str">
        <f>TABLEITEM!$H$3:$H$2749-TABLEITEM!$I$3:$I$2749</f>
        <v>#ERROR!</v>
      </c>
    </row>
    <row r="2155" ht="15.75" customHeight="1">
      <c r="A2155" s="45"/>
      <c r="B2155" s="18" t="s">
        <v>5014</v>
      </c>
      <c r="C2155" s="26"/>
      <c r="D2155" s="18" t="s">
        <v>9735</v>
      </c>
      <c r="E2155" s="56"/>
      <c r="F2155" s="57" t="s">
        <v>7173</v>
      </c>
      <c r="G2155" s="49">
        <f t="array" ref="G2155">MAX(IF(INSTOCK!$H$3:$H$6125=B2155,INSTOCK!$K$3:$K$6125))</f>
        <v>1.65</v>
      </c>
      <c r="H2155" s="50">
        <f t="array" ref="H2155">SUM(IF(INSTOCK!$H$3:$H$6125=B2155,INSTOCK!$I$3:$I$6125))</f>
        <v>200</v>
      </c>
      <c r="I2155" s="50" t="str">
        <f>ARRAY_CONSTRAIN(ARRAYFORMULA(SUM(IF([3]!Table13[ID]=B2155,[3]!Table13[QTY]))), 1, 1)</f>
        <v>#ERROR!</v>
      </c>
      <c r="J2155" s="50" t="str">
        <f>TABLEITEM!$H$3:$H$2749-TABLEITEM!$I$3:$I$2749</f>
        <v>#ERROR!</v>
      </c>
    </row>
    <row r="2156" ht="15.75" customHeight="1">
      <c r="A2156" s="45"/>
      <c r="B2156" s="18" t="s">
        <v>5020</v>
      </c>
      <c r="C2156" s="26"/>
      <c r="D2156" s="18" t="s">
        <v>9736</v>
      </c>
      <c r="E2156" s="56"/>
      <c r="F2156" s="57" t="s">
        <v>8651</v>
      </c>
      <c r="G2156" s="49">
        <f t="array" ref="G2156">MAX(IF(INSTOCK!$H$3:$H$6125=B2156,INSTOCK!$K$3:$K$6125))</f>
        <v>1500</v>
      </c>
      <c r="H2156" s="50">
        <f t="array" ref="H2156">SUM(IF(INSTOCK!$H$3:$H$6125=B2156,INSTOCK!$I$3:$I$6125))</f>
        <v>1</v>
      </c>
      <c r="I2156" s="50" t="str">
        <f>ARRAY_CONSTRAIN(ARRAYFORMULA(SUM(IF([3]!Table13[ID]=B2156,[3]!Table13[QTY]))), 1, 1)</f>
        <v>#ERROR!</v>
      </c>
      <c r="J2156" s="50" t="str">
        <f>TABLEITEM!$H$3:$H$2749-TABLEITEM!$I$3:$I$2749</f>
        <v>#ERROR!</v>
      </c>
    </row>
    <row r="2157" ht="15.75" customHeight="1">
      <c r="A2157" s="45"/>
      <c r="B2157" s="18" t="s">
        <v>5024</v>
      </c>
      <c r="C2157" s="26"/>
      <c r="D2157" s="18" t="s">
        <v>9737</v>
      </c>
      <c r="E2157" s="56"/>
      <c r="F2157" s="57" t="s">
        <v>7173</v>
      </c>
      <c r="G2157" s="49">
        <f t="array" ref="G2157">MAX(IF(INSTOCK!$H$3:$H$6125=B2157,INSTOCK!$K$3:$K$6125))</f>
        <v>360</v>
      </c>
      <c r="H2157" s="50">
        <f t="array" ref="H2157">SUM(IF(INSTOCK!$H$3:$H$6125=B2157,INSTOCK!$I$3:$I$6125))</f>
        <v>2</v>
      </c>
      <c r="I2157" s="50" t="str">
        <f>ARRAY_CONSTRAIN(ARRAYFORMULA(SUM(IF([3]!Table13[ID]=B2157,[3]!Table13[QTY]))), 1, 1)</f>
        <v>#ERROR!</v>
      </c>
      <c r="J2157" s="50" t="str">
        <f>TABLEITEM!$H$3:$H$2749-TABLEITEM!$I$3:$I$2749</f>
        <v>#ERROR!</v>
      </c>
    </row>
    <row r="2158" ht="15.75" customHeight="1">
      <c r="A2158" s="45"/>
      <c r="B2158" s="10" t="s">
        <v>5028</v>
      </c>
      <c r="C2158" s="26"/>
      <c r="D2158" s="10" t="s">
        <v>9738</v>
      </c>
      <c r="E2158" s="56"/>
      <c r="F2158" s="57" t="s">
        <v>7173</v>
      </c>
      <c r="G2158" s="49">
        <f t="array" ref="G2158">MAX(IF(INSTOCK!$H$3:$H$6125=B2158,INSTOCK!$K$3:$K$6125))</f>
        <v>16000</v>
      </c>
      <c r="H2158" s="50">
        <f t="array" ref="H2158">SUM(IF(INSTOCK!$H$3:$H$6125=B2158,INSTOCK!$I$3:$I$6125))</f>
        <v>1</v>
      </c>
      <c r="I2158" s="50" t="str">
        <f>ARRAY_CONSTRAIN(ARRAYFORMULA(SUM(IF([3]!Table13[ID]=B2158,[3]!Table13[QTY]))), 1, 1)</f>
        <v>#ERROR!</v>
      </c>
      <c r="J2158" s="50" t="str">
        <f>TABLEITEM!$H$3:$H$2749-TABLEITEM!$I$3:$I$2749</f>
        <v>#ERROR!</v>
      </c>
    </row>
    <row r="2159" ht="15.75" customHeight="1">
      <c r="A2159" s="45"/>
      <c r="B2159" s="10" t="s">
        <v>5029</v>
      </c>
      <c r="C2159" s="26"/>
      <c r="D2159" s="10" t="s">
        <v>9739</v>
      </c>
      <c r="E2159" s="56"/>
      <c r="F2159" s="57" t="s">
        <v>7173</v>
      </c>
      <c r="G2159" s="49">
        <f t="array" ref="G2159">MAX(IF(INSTOCK!$H$3:$H$6125=B2159,INSTOCK!$K$3:$K$6125))</f>
        <v>6000</v>
      </c>
      <c r="H2159" s="50">
        <f t="array" ref="H2159">SUM(IF(INSTOCK!$H$3:$H$6125=B2159,INSTOCK!$I$3:$I$6125))</f>
        <v>1</v>
      </c>
      <c r="I2159" s="50" t="str">
        <f>ARRAY_CONSTRAIN(ARRAYFORMULA(SUM(IF([3]!Table13[ID]=B2159,[3]!Table13[QTY]))), 1, 1)</f>
        <v>#ERROR!</v>
      </c>
      <c r="J2159" s="50" t="str">
        <f>TABLEITEM!$H$3:$H$2749-TABLEITEM!$I$3:$I$2749</f>
        <v>#ERROR!</v>
      </c>
    </row>
    <row r="2160" ht="15.75" customHeight="1">
      <c r="A2160" s="45"/>
      <c r="B2160" s="10" t="s">
        <v>5030</v>
      </c>
      <c r="C2160" s="26"/>
      <c r="D2160" s="10" t="s">
        <v>9740</v>
      </c>
      <c r="E2160" s="56"/>
      <c r="F2160" s="57" t="s">
        <v>7173</v>
      </c>
      <c r="G2160" s="49">
        <f t="array" ref="G2160">MAX(IF(INSTOCK!$H$3:$H$6125=B2160,INSTOCK!$K$3:$K$6125))</f>
        <v>4000</v>
      </c>
      <c r="H2160" s="50">
        <f t="array" ref="H2160">SUM(IF(INSTOCK!$H$3:$H$6125=B2160,INSTOCK!$I$3:$I$6125))</f>
        <v>1</v>
      </c>
      <c r="I2160" s="50" t="str">
        <f>ARRAY_CONSTRAIN(ARRAYFORMULA(SUM(IF([3]!Table13[ID]=B2160,[3]!Table13[QTY]))), 1, 1)</f>
        <v>#ERROR!</v>
      </c>
      <c r="J2160" s="50" t="str">
        <f>TABLEITEM!$H$3:$H$2749-TABLEITEM!$I$3:$I$2749</f>
        <v>#ERROR!</v>
      </c>
    </row>
    <row r="2161" ht="15.75" customHeight="1">
      <c r="A2161" s="45"/>
      <c r="B2161" s="10" t="s">
        <v>5031</v>
      </c>
      <c r="C2161" s="26"/>
      <c r="D2161" s="10" t="s">
        <v>9741</v>
      </c>
      <c r="E2161" s="56"/>
      <c r="F2161" s="57" t="s">
        <v>7173</v>
      </c>
      <c r="G2161" s="49">
        <f t="array" ref="G2161">MAX(IF(INSTOCK!$H$3:$H$6125=B2161,INSTOCK!$K$3:$K$6125))</f>
        <v>8500</v>
      </c>
      <c r="H2161" s="50">
        <f t="array" ref="H2161">SUM(IF(INSTOCK!$H$3:$H$6125=B2161,INSTOCK!$I$3:$I$6125))</f>
        <v>1</v>
      </c>
      <c r="I2161" s="50" t="str">
        <f>ARRAY_CONSTRAIN(ARRAYFORMULA(SUM(IF([3]!Table13[ID]=B2161,[3]!Table13[QTY]))), 1, 1)</f>
        <v>#ERROR!</v>
      </c>
      <c r="J2161" s="50" t="str">
        <f>TABLEITEM!$H$3:$H$2749-TABLEITEM!$I$3:$I$2749</f>
        <v>#ERROR!</v>
      </c>
    </row>
    <row r="2162" ht="15.75" customHeight="1">
      <c r="A2162" s="45"/>
      <c r="B2162" s="10" t="s">
        <v>5032</v>
      </c>
      <c r="C2162" s="26"/>
      <c r="D2162" s="10" t="s">
        <v>9742</v>
      </c>
      <c r="E2162" s="56"/>
      <c r="F2162" s="57" t="s">
        <v>7173</v>
      </c>
      <c r="G2162" s="49">
        <f t="array" ref="G2162">MAX(IF(INSTOCK!$H$3:$H$6125=B2162,INSTOCK!$K$3:$K$6125))</f>
        <v>320</v>
      </c>
      <c r="H2162" s="50">
        <f t="array" ref="H2162">SUM(IF(INSTOCK!$H$3:$H$6125=B2162,INSTOCK!$I$3:$I$6125))</f>
        <v>1</v>
      </c>
      <c r="I2162" s="50" t="str">
        <f>ARRAY_CONSTRAIN(ARRAYFORMULA(SUM(IF([3]!Table13[ID]=B2162,[3]!Table13[QTY]))), 1, 1)</f>
        <v>#ERROR!</v>
      </c>
      <c r="J2162" s="50" t="str">
        <f>TABLEITEM!$H$3:$H$2749-TABLEITEM!$I$3:$I$2749</f>
        <v>#ERROR!</v>
      </c>
    </row>
    <row r="2163" ht="15.75" customHeight="1">
      <c r="A2163" s="45"/>
      <c r="B2163" s="10" t="s">
        <v>5033</v>
      </c>
      <c r="C2163" s="26"/>
      <c r="D2163" s="10" t="s">
        <v>9743</v>
      </c>
      <c r="E2163" s="56"/>
      <c r="F2163" s="57" t="s">
        <v>7173</v>
      </c>
      <c r="G2163" s="49">
        <f t="array" ref="G2163">MAX(IF(INSTOCK!$H$3:$H$6125=B2163,INSTOCK!$K$3:$K$6125))</f>
        <v>5000</v>
      </c>
      <c r="H2163" s="50">
        <f t="array" ref="H2163">SUM(IF(INSTOCK!$H$3:$H$6125=B2163,INSTOCK!$I$3:$I$6125))</f>
        <v>1</v>
      </c>
      <c r="I2163" s="50" t="str">
        <f>ARRAY_CONSTRAIN(ARRAYFORMULA(SUM(IF([3]!Table13[ID]=B2163,[3]!Table13[QTY]))), 1, 1)</f>
        <v>#ERROR!</v>
      </c>
      <c r="J2163" s="50" t="str">
        <f>TABLEITEM!$H$3:$H$2749-TABLEITEM!$I$3:$I$2749</f>
        <v>#ERROR!</v>
      </c>
    </row>
    <row r="2164" ht="15.75" customHeight="1">
      <c r="A2164" s="45"/>
      <c r="B2164" s="10" t="s">
        <v>5034</v>
      </c>
      <c r="C2164" s="26"/>
      <c r="D2164" s="10" t="s">
        <v>9744</v>
      </c>
      <c r="E2164" s="56"/>
      <c r="F2164" s="57" t="s">
        <v>7173</v>
      </c>
      <c r="G2164" s="49">
        <f t="array" ref="G2164">MAX(IF(INSTOCK!$H$3:$H$6125=B2164,INSTOCK!$K$3:$K$6125))</f>
        <v>3800</v>
      </c>
      <c r="H2164" s="50">
        <f t="array" ref="H2164">SUM(IF(INSTOCK!$H$3:$H$6125=B2164,INSTOCK!$I$3:$I$6125))</f>
        <v>1</v>
      </c>
      <c r="I2164" s="50" t="str">
        <f>ARRAY_CONSTRAIN(ARRAYFORMULA(SUM(IF([3]!Table13[ID]=B2164,[3]!Table13[QTY]))), 1, 1)</f>
        <v>#ERROR!</v>
      </c>
      <c r="J2164" s="50" t="str">
        <f>TABLEITEM!$H$3:$H$2749-TABLEITEM!$I$3:$I$2749</f>
        <v>#ERROR!</v>
      </c>
    </row>
    <row r="2165" ht="15.75" customHeight="1">
      <c r="A2165" s="45"/>
      <c r="B2165" s="18" t="s">
        <v>5035</v>
      </c>
      <c r="C2165" s="26"/>
      <c r="D2165" s="10" t="s">
        <v>9745</v>
      </c>
      <c r="E2165" s="56"/>
      <c r="F2165" s="57" t="s">
        <v>7173</v>
      </c>
      <c r="G2165" s="49">
        <f t="array" ref="G2165">MAX(IF(INSTOCK!$H$3:$H$6125=B2165,INSTOCK!$K$3:$K$6125))</f>
        <v>3800</v>
      </c>
      <c r="H2165" s="50">
        <f t="array" ref="H2165">SUM(IF(INSTOCK!$H$3:$H$6125=B2165,INSTOCK!$I$3:$I$6125))</f>
        <v>1</v>
      </c>
      <c r="I2165" s="50" t="str">
        <f>ARRAY_CONSTRAIN(ARRAYFORMULA(SUM(IF([3]!Table13[ID]=B2165,[3]!Table13[QTY]))), 1, 1)</f>
        <v>#ERROR!</v>
      </c>
      <c r="J2165" s="50" t="str">
        <f>TABLEITEM!$H$3:$H$2749-TABLEITEM!$I$3:$I$2749</f>
        <v>#ERROR!</v>
      </c>
    </row>
    <row r="2166" ht="15.75" customHeight="1">
      <c r="A2166" s="45"/>
      <c r="B2166" s="18" t="s">
        <v>5038</v>
      </c>
      <c r="C2166" s="26"/>
      <c r="D2166" s="18" t="s">
        <v>9746</v>
      </c>
      <c r="E2166" s="56"/>
      <c r="F2166" s="57" t="s">
        <v>7173</v>
      </c>
      <c r="G2166" s="49">
        <f t="array" ref="G2166">MAX(IF(INSTOCK!$H$3:$H$6125=B2166,INSTOCK!$K$3:$K$6125))</f>
        <v>190</v>
      </c>
      <c r="H2166" s="50">
        <f t="array" ref="H2166">SUM(IF(INSTOCK!$H$3:$H$6125=B2166,INSTOCK!$I$3:$I$6125))</f>
        <v>3</v>
      </c>
      <c r="I2166" s="50" t="str">
        <f>ARRAY_CONSTRAIN(ARRAYFORMULA(SUM(IF([3]!Table13[ID]=B2166,[3]!Table13[QTY]))), 1, 1)</f>
        <v>#ERROR!</v>
      </c>
      <c r="J2166" s="50" t="str">
        <f>TABLEITEM!$H$3:$H$2749-TABLEITEM!$I$3:$I$2749</f>
        <v>#ERROR!</v>
      </c>
    </row>
    <row r="2167" ht="15.75" customHeight="1">
      <c r="A2167" s="45"/>
      <c r="B2167" s="18" t="s">
        <v>5044</v>
      </c>
      <c r="C2167" s="26"/>
      <c r="D2167" s="18" t="s">
        <v>9747</v>
      </c>
      <c r="E2167" s="56"/>
      <c r="F2167" s="57" t="s">
        <v>7173</v>
      </c>
      <c r="G2167" s="49">
        <f t="array" ref="G2167">MAX(IF(INSTOCK!$H$3:$H$6125=B2167,INSTOCK!$K$3:$K$6125))</f>
        <v>7800</v>
      </c>
      <c r="H2167" s="50">
        <f t="array" ref="H2167">SUM(IF(INSTOCK!$H$3:$H$6125=B2167,INSTOCK!$I$3:$I$6125))</f>
        <v>1</v>
      </c>
      <c r="I2167" s="50" t="str">
        <f>ARRAY_CONSTRAIN(ARRAYFORMULA(SUM(IF([3]!Table13[ID]=B2167,[3]!Table13[QTY]))), 1, 1)</f>
        <v>#ERROR!</v>
      </c>
      <c r="J2167" s="50" t="str">
        <f>TABLEITEM!$H$3:$H$2749-TABLEITEM!$I$3:$I$2749</f>
        <v>#ERROR!</v>
      </c>
    </row>
    <row r="2168" ht="15.75" customHeight="1">
      <c r="A2168" s="45"/>
      <c r="B2168" s="18" t="s">
        <v>5045</v>
      </c>
      <c r="C2168" s="26"/>
      <c r="D2168" s="18" t="s">
        <v>9748</v>
      </c>
      <c r="E2168" s="56"/>
      <c r="F2168" s="57" t="s">
        <v>7173</v>
      </c>
      <c r="G2168" s="49">
        <f t="array" ref="G2168">MAX(IF(INSTOCK!$H$3:$H$6125=B2168,INSTOCK!$K$3:$K$6125))</f>
        <v>410</v>
      </c>
      <c r="H2168" s="50">
        <f t="array" ref="H2168">SUM(IF(INSTOCK!$H$3:$H$6125=B2168,INSTOCK!$I$3:$I$6125))</f>
        <v>1</v>
      </c>
      <c r="I2168" s="50" t="str">
        <f>ARRAY_CONSTRAIN(ARRAYFORMULA(SUM(IF([3]!Table13[ID]=B2168,[3]!Table13[QTY]))), 1, 1)</f>
        <v>#ERROR!</v>
      </c>
      <c r="J2168" s="50" t="str">
        <f>TABLEITEM!$H$3:$H$2749-TABLEITEM!$I$3:$I$2749</f>
        <v>#ERROR!</v>
      </c>
    </row>
    <row r="2169" ht="15.75" customHeight="1">
      <c r="A2169" s="45"/>
      <c r="B2169" s="10" t="s">
        <v>5050</v>
      </c>
      <c r="C2169" s="26"/>
      <c r="D2169" s="10" t="s">
        <v>9749</v>
      </c>
      <c r="E2169" s="56"/>
      <c r="F2169" s="57" t="s">
        <v>7173</v>
      </c>
      <c r="G2169" s="49">
        <f t="array" ref="G2169">MAX(IF(INSTOCK!$H$3:$H$6125=B2169,INSTOCK!$K$3:$K$6125))</f>
        <v>424</v>
      </c>
      <c r="H2169" s="50">
        <f t="array" ref="H2169">SUM(IF(INSTOCK!$H$3:$H$6125=B2169,INSTOCK!$I$3:$I$6125))</f>
        <v>2</v>
      </c>
      <c r="I2169" s="50" t="str">
        <f>ARRAY_CONSTRAIN(ARRAYFORMULA(SUM(IF([3]!Table13[ID]=B2169,[3]!Table13[QTY]))), 1, 1)</f>
        <v>#ERROR!</v>
      </c>
      <c r="J2169" s="50" t="str">
        <f>TABLEITEM!$H$3:$H$2749-TABLEITEM!$I$3:$I$2749</f>
        <v>#ERROR!</v>
      </c>
    </row>
    <row r="2170" ht="15.75" customHeight="1">
      <c r="A2170" s="45"/>
      <c r="B2170" s="18" t="s">
        <v>5051</v>
      </c>
      <c r="C2170" s="26"/>
      <c r="D2170" s="18" t="s">
        <v>9750</v>
      </c>
      <c r="E2170" s="56"/>
      <c r="F2170" s="57" t="s">
        <v>7173</v>
      </c>
      <c r="G2170" s="49">
        <f t="array" ref="G2170">MAX(IF(INSTOCK!$H$3:$H$6125=B2170,INSTOCK!$K$3:$K$6125))</f>
        <v>2320</v>
      </c>
      <c r="H2170" s="50">
        <f t="array" ref="H2170">SUM(IF(INSTOCK!$H$3:$H$6125=B2170,INSTOCK!$I$3:$I$6125))</f>
        <v>2</v>
      </c>
      <c r="I2170" s="50" t="str">
        <f>ARRAY_CONSTRAIN(ARRAYFORMULA(SUM(IF([3]!Table13[ID]=B2170,[3]!Table13[QTY]))), 1, 1)</f>
        <v>#ERROR!</v>
      </c>
      <c r="J2170" s="50" t="str">
        <f>TABLEITEM!$H$3:$H$2749-TABLEITEM!$I$3:$I$2749</f>
        <v>#ERROR!</v>
      </c>
    </row>
    <row r="2171" ht="15.75" customHeight="1">
      <c r="A2171" s="45"/>
      <c r="B2171" s="10" t="s">
        <v>5058</v>
      </c>
      <c r="C2171" s="26"/>
      <c r="D2171" s="10" t="s">
        <v>9751</v>
      </c>
      <c r="E2171" s="56"/>
      <c r="F2171" s="57" t="s">
        <v>7173</v>
      </c>
      <c r="G2171" s="49">
        <f t="array" ref="G2171">MAX(IF(INSTOCK!$H$3:$H$6125=B2171,INSTOCK!$K$3:$K$6125))</f>
        <v>225</v>
      </c>
      <c r="H2171" s="50">
        <f t="array" ref="H2171">SUM(IF(INSTOCK!$H$3:$H$6125=B2171,INSTOCK!$I$3:$I$6125))</f>
        <v>20</v>
      </c>
      <c r="I2171" s="50" t="str">
        <f>ARRAY_CONSTRAIN(ARRAYFORMULA(SUM(IF([3]!Table13[ID]=B2171,[3]!Table13[QTY]))), 1, 1)</f>
        <v>#ERROR!</v>
      </c>
      <c r="J2171" s="50" t="str">
        <f>TABLEITEM!$H$3:$H$2749-TABLEITEM!$I$3:$I$2749</f>
        <v>#ERROR!</v>
      </c>
    </row>
    <row r="2172" ht="15.75" customHeight="1">
      <c r="A2172" s="45"/>
      <c r="B2172" s="18" t="s">
        <v>5060</v>
      </c>
      <c r="C2172" s="26"/>
      <c r="D2172" s="10" t="s">
        <v>9752</v>
      </c>
      <c r="E2172" s="56"/>
      <c r="F2172" s="57" t="s">
        <v>7173</v>
      </c>
      <c r="G2172" s="49">
        <f t="array" ref="G2172">MAX(IF(INSTOCK!$H$3:$H$6125=B2172,INSTOCK!$K$3:$K$6125))</f>
        <v>225</v>
      </c>
      <c r="H2172" s="50">
        <f t="array" ref="H2172">SUM(IF(INSTOCK!$H$3:$H$6125=B2172,INSTOCK!$I$3:$I$6125))</f>
        <v>20</v>
      </c>
      <c r="I2172" s="50" t="str">
        <f>ARRAY_CONSTRAIN(ARRAYFORMULA(SUM(IF([3]!Table13[ID]=B2172,[3]!Table13[QTY]))), 1, 1)</f>
        <v>#ERROR!</v>
      </c>
      <c r="J2172" s="50" t="str">
        <f>TABLEITEM!$H$3:$H$2749-TABLEITEM!$I$3:$I$2749</f>
        <v>#ERROR!</v>
      </c>
    </row>
    <row r="2173" ht="15.75" customHeight="1">
      <c r="A2173" s="45"/>
      <c r="B2173" s="18" t="s">
        <v>5065</v>
      </c>
      <c r="C2173" s="26"/>
      <c r="D2173" s="18" t="s">
        <v>9753</v>
      </c>
      <c r="E2173" s="56"/>
      <c r="F2173" s="57" t="s">
        <v>7173</v>
      </c>
      <c r="G2173" s="49">
        <f t="array" ref="G2173">MAX(IF(INSTOCK!$H$3:$H$6125=B2173,INSTOCK!$K$3:$K$6125))</f>
        <v>390</v>
      </c>
      <c r="H2173" s="50">
        <f t="array" ref="H2173">SUM(IF(INSTOCK!$H$3:$H$6125=B2173,INSTOCK!$I$3:$I$6125))</f>
        <v>2</v>
      </c>
      <c r="I2173" s="50" t="str">
        <f>ARRAY_CONSTRAIN(ARRAYFORMULA(SUM(IF([3]!Table13[ID]=B2173,[3]!Table13[QTY]))), 1, 1)</f>
        <v>#ERROR!</v>
      </c>
      <c r="J2173" s="50" t="str">
        <f>TABLEITEM!$H$3:$H$2749-TABLEITEM!$I$3:$I$2749</f>
        <v>#ERROR!</v>
      </c>
    </row>
    <row r="2174" ht="15.75" customHeight="1">
      <c r="A2174" s="45"/>
      <c r="B2174" s="18" t="s">
        <v>5070</v>
      </c>
      <c r="C2174" s="26"/>
      <c r="D2174" s="18" t="s">
        <v>9754</v>
      </c>
      <c r="E2174" s="56"/>
      <c r="F2174" s="57" t="s">
        <v>7173</v>
      </c>
      <c r="G2174" s="49">
        <f t="array" ref="G2174">MAX(IF(INSTOCK!$H$3:$H$6125=B2174,INSTOCK!$K$3:$K$6125))</f>
        <v>2750</v>
      </c>
      <c r="H2174" s="50">
        <f t="array" ref="H2174">SUM(IF(INSTOCK!$H$3:$H$6125=B2174,INSTOCK!$I$3:$I$6125))</f>
        <v>1</v>
      </c>
      <c r="I2174" s="50" t="str">
        <f>ARRAY_CONSTRAIN(ARRAYFORMULA(SUM(IF([3]!Table13[ID]=B2174,[3]!Table13[QTY]))), 1, 1)</f>
        <v>#ERROR!</v>
      </c>
      <c r="J2174" s="50" t="str">
        <f>TABLEITEM!$H$3:$H$2749-TABLEITEM!$I$3:$I$2749</f>
        <v>#ERROR!</v>
      </c>
    </row>
    <row r="2175" ht="15.75" customHeight="1">
      <c r="A2175" s="45"/>
      <c r="B2175" s="18" t="s">
        <v>5085</v>
      </c>
      <c r="C2175" s="26"/>
      <c r="D2175" s="18" t="s">
        <v>9755</v>
      </c>
      <c r="E2175" s="56"/>
      <c r="F2175" s="57" t="s">
        <v>7173</v>
      </c>
      <c r="G2175" s="49">
        <f t="array" ref="G2175">MAX(IF(INSTOCK!$H$3:$H$6125=B2175,INSTOCK!$K$3:$K$6125))</f>
        <v>28</v>
      </c>
      <c r="H2175" s="50">
        <f t="array" ref="H2175">SUM(IF(INSTOCK!$H$3:$H$6125=B2175,INSTOCK!$I$3:$I$6125))</f>
        <v>112</v>
      </c>
      <c r="I2175" s="50" t="str">
        <f>ARRAY_CONSTRAIN(ARRAYFORMULA(SUM(IF([3]!Table13[ID]=B2175,[3]!Table13[QTY]))), 1, 1)</f>
        <v>#ERROR!</v>
      </c>
      <c r="J2175" s="50" t="str">
        <f>TABLEITEM!$H$3:$H$2749-TABLEITEM!$I$3:$I$2749</f>
        <v>#ERROR!</v>
      </c>
    </row>
    <row r="2176" ht="15.75" customHeight="1">
      <c r="A2176" s="45"/>
      <c r="B2176" s="18" t="s">
        <v>5087</v>
      </c>
      <c r="C2176" s="26"/>
      <c r="D2176" s="18" t="s">
        <v>9756</v>
      </c>
      <c r="E2176" s="56"/>
      <c r="F2176" s="57" t="s">
        <v>7173</v>
      </c>
      <c r="G2176" s="49">
        <f t="array" ref="G2176">MAX(IF(INSTOCK!$H$3:$H$6125=B2176,INSTOCK!$K$3:$K$6125))</f>
        <v>70</v>
      </c>
      <c r="H2176" s="50">
        <f t="array" ref="H2176">SUM(IF(INSTOCK!$H$3:$H$6125=B2176,INSTOCK!$I$3:$I$6125))</f>
        <v>4</v>
      </c>
      <c r="I2176" s="50" t="str">
        <f>ARRAY_CONSTRAIN(ARRAYFORMULA(SUM(IF([3]!Table13[ID]=B2176,[3]!Table13[QTY]))), 1, 1)</f>
        <v>#ERROR!</v>
      </c>
      <c r="J2176" s="50" t="str">
        <f>TABLEITEM!$H$3:$H$2749-TABLEITEM!$I$3:$I$2749</f>
        <v>#ERROR!</v>
      </c>
    </row>
    <row r="2177" ht="15.75" customHeight="1">
      <c r="A2177" s="45"/>
      <c r="B2177" s="10" t="s">
        <v>5089</v>
      </c>
      <c r="C2177" s="26"/>
      <c r="D2177" s="18" t="s">
        <v>9757</v>
      </c>
      <c r="E2177" s="56"/>
      <c r="F2177" s="57" t="s">
        <v>7173</v>
      </c>
      <c r="G2177" s="49">
        <f t="array" ref="G2177">MAX(IF(INSTOCK!$H$3:$H$6125=B2177,INSTOCK!$K$3:$K$6125))</f>
        <v>120</v>
      </c>
      <c r="H2177" s="50">
        <f t="array" ref="H2177">SUM(IF(INSTOCK!$H$3:$H$6125=B2177,INSTOCK!$I$3:$I$6125))</f>
        <v>1</v>
      </c>
      <c r="I2177" s="50" t="str">
        <f>ARRAY_CONSTRAIN(ARRAYFORMULA(SUM(IF([3]!Table13[ID]=B2177,[3]!Table13[QTY]))), 1, 1)</f>
        <v>#ERROR!</v>
      </c>
      <c r="J2177" s="50" t="str">
        <f>TABLEITEM!$H$3:$H$2749-TABLEITEM!$I$3:$I$2749</f>
        <v>#ERROR!</v>
      </c>
    </row>
    <row r="2178" ht="15.75" customHeight="1">
      <c r="A2178" s="45"/>
      <c r="B2178" s="18" t="s">
        <v>5093</v>
      </c>
      <c r="C2178" s="26"/>
      <c r="D2178" s="18" t="s">
        <v>9758</v>
      </c>
      <c r="E2178" s="56"/>
      <c r="F2178" s="57" t="s">
        <v>7173</v>
      </c>
      <c r="G2178" s="49">
        <f t="array" ref="G2178">MAX(IF(INSTOCK!$H$3:$H$6125=B2178,INSTOCK!$K$3:$K$6125))</f>
        <v>25</v>
      </c>
      <c r="H2178" s="50">
        <f t="array" ref="H2178">SUM(IF(INSTOCK!$H$3:$H$6125=B2178,INSTOCK!$I$3:$I$6125))</f>
        <v>3</v>
      </c>
      <c r="I2178" s="50" t="str">
        <f>ARRAY_CONSTRAIN(ARRAYFORMULA(SUM(IF([3]!Table13[ID]=B2178,[3]!Table13[QTY]))), 1, 1)</f>
        <v>#ERROR!</v>
      </c>
      <c r="J2178" s="50" t="str">
        <f>TABLEITEM!$H$3:$H$2749-TABLEITEM!$I$3:$I$2749</f>
        <v>#ERROR!</v>
      </c>
    </row>
    <row r="2179" ht="15.75" customHeight="1">
      <c r="A2179" s="45"/>
      <c r="B2179" s="18" t="s">
        <v>5092</v>
      </c>
      <c r="C2179" s="26"/>
      <c r="D2179" s="18" t="s">
        <v>9759</v>
      </c>
      <c r="E2179" s="56"/>
      <c r="F2179" s="57" t="s">
        <v>7173</v>
      </c>
      <c r="G2179" s="49">
        <f t="array" ref="G2179">MAX(IF(INSTOCK!$H$3:$H$6125=B2179,INSTOCK!$K$3:$K$6125))</f>
        <v>50</v>
      </c>
      <c r="H2179" s="50">
        <f t="array" ref="H2179">SUM(IF(INSTOCK!$H$3:$H$6125=B2179,INSTOCK!$I$3:$I$6125))</f>
        <v>1</v>
      </c>
      <c r="I2179" s="50" t="str">
        <f>ARRAY_CONSTRAIN(ARRAYFORMULA(SUM(IF([3]!Table13[ID]=B2179,[3]!Table13[QTY]))), 1, 1)</f>
        <v>#ERROR!</v>
      </c>
      <c r="J2179" s="50" t="str">
        <f>TABLEITEM!$H$3:$H$2749-TABLEITEM!$I$3:$I$2749</f>
        <v>#ERROR!</v>
      </c>
    </row>
    <row r="2180" ht="15.75" customHeight="1">
      <c r="A2180" s="45"/>
      <c r="B2180" s="18" t="s">
        <v>5096</v>
      </c>
      <c r="C2180" s="26"/>
      <c r="D2180" s="18" t="s">
        <v>9760</v>
      </c>
      <c r="E2180" s="56"/>
      <c r="F2180" s="57" t="s">
        <v>7173</v>
      </c>
      <c r="G2180" s="49">
        <f t="array" ref="G2180">MAX(IF(INSTOCK!$H$3:$H$6125=B2180,INSTOCK!$K$3:$K$6125))</f>
        <v>630</v>
      </c>
      <c r="H2180" s="50">
        <f t="array" ref="H2180">SUM(IF(INSTOCK!$H$3:$H$6125=B2180,INSTOCK!$I$3:$I$6125))</f>
        <v>2</v>
      </c>
      <c r="I2180" s="50" t="str">
        <f>ARRAY_CONSTRAIN(ARRAYFORMULA(SUM(IF([3]!Table13[ID]=B2180,[3]!Table13[QTY]))), 1, 1)</f>
        <v>#ERROR!</v>
      </c>
      <c r="J2180" s="50" t="str">
        <f>TABLEITEM!$H$3:$H$2749-TABLEITEM!$I$3:$I$2749</f>
        <v>#ERROR!</v>
      </c>
    </row>
    <row r="2181" ht="15.75" customHeight="1">
      <c r="A2181" s="45"/>
      <c r="B2181" s="18" t="s">
        <v>5098</v>
      </c>
      <c r="C2181" s="26"/>
      <c r="D2181" s="18" t="s">
        <v>9761</v>
      </c>
      <c r="E2181" s="56"/>
      <c r="F2181" s="48" t="s">
        <v>7173</v>
      </c>
      <c r="G2181" s="49">
        <f t="array" ref="G2181">MAX(IF(INSTOCK!$H$3:$H$6125=B2181,INSTOCK!$K$3:$K$6125))</f>
        <v>1883.2</v>
      </c>
      <c r="H2181" s="50">
        <f t="array" ref="H2181">SUM(IF(INSTOCK!$H$3:$H$6125=B2181,INSTOCK!$I$3:$I$6125))</f>
        <v>1</v>
      </c>
      <c r="I2181" s="50" t="str">
        <f>ARRAY_CONSTRAIN(ARRAYFORMULA(SUM(IF([3]!Table13[ID]=B2181,[3]!Table13[QTY]))), 1, 1)</f>
        <v>#ERROR!</v>
      </c>
      <c r="J2181" s="50" t="str">
        <f>TABLEITEM!$H$3:$H$2749-TABLEITEM!$I$3:$I$2749</f>
        <v>#ERROR!</v>
      </c>
    </row>
    <row r="2182" ht="15.75" customHeight="1">
      <c r="A2182" s="45"/>
      <c r="B2182" s="18" t="s">
        <v>5100</v>
      </c>
      <c r="C2182" s="26"/>
      <c r="D2182" s="18" t="s">
        <v>9762</v>
      </c>
      <c r="E2182" s="56"/>
      <c r="F2182" s="57" t="s">
        <v>7173</v>
      </c>
      <c r="G2182" s="49">
        <f t="array" ref="G2182">MAX(IF(INSTOCK!$H$3:$H$6125=B2182,INSTOCK!$K$3:$K$6125))</f>
        <v>2894</v>
      </c>
      <c r="H2182" s="50">
        <f t="array" ref="H2182">SUM(IF(INSTOCK!$H$3:$H$6125=B2182,INSTOCK!$I$3:$I$6125))</f>
        <v>2</v>
      </c>
      <c r="I2182" s="50" t="str">
        <f>ARRAY_CONSTRAIN(ARRAYFORMULA(SUM(IF([3]!Table13[ID]=B2182,[3]!Table13[QTY]))), 1, 1)</f>
        <v>#ERROR!</v>
      </c>
      <c r="J2182" s="50" t="str">
        <f>TABLEITEM!$H$3:$H$2749-TABLEITEM!$I$3:$I$2749</f>
        <v>#ERROR!</v>
      </c>
    </row>
    <row r="2183" ht="15.75" customHeight="1">
      <c r="A2183" s="45"/>
      <c r="B2183" s="10" t="s">
        <v>5104</v>
      </c>
      <c r="C2183" s="26"/>
      <c r="D2183" s="10" t="s">
        <v>9763</v>
      </c>
      <c r="E2183" s="56"/>
      <c r="F2183" s="57" t="s">
        <v>7173</v>
      </c>
      <c r="G2183" s="49">
        <f t="array" ref="G2183">MAX(IF(INSTOCK!$H$3:$H$6125=B2183,INSTOCK!$K$3:$K$6125))</f>
        <v>4800</v>
      </c>
      <c r="H2183" s="50">
        <f t="array" ref="H2183">SUM(IF(INSTOCK!$H$3:$H$6125=B2183,INSTOCK!$I$3:$I$6125))</f>
        <v>1</v>
      </c>
      <c r="I2183" s="50" t="str">
        <f>ARRAY_CONSTRAIN(ARRAYFORMULA(SUM(IF([3]!Table13[ID]=B2183,[3]!Table13[QTY]))), 1, 1)</f>
        <v>#ERROR!</v>
      </c>
      <c r="J2183" s="50" t="str">
        <f>TABLEITEM!$H$3:$H$2749-TABLEITEM!$I$3:$I$2749</f>
        <v>#ERROR!</v>
      </c>
    </row>
    <row r="2184" ht="15.75" customHeight="1">
      <c r="A2184" s="45"/>
      <c r="B2184" s="18" t="s">
        <v>5105</v>
      </c>
      <c r="C2184" s="26"/>
      <c r="D2184" s="18" t="s">
        <v>9764</v>
      </c>
      <c r="E2184" s="56"/>
      <c r="F2184" s="57" t="s">
        <v>7173</v>
      </c>
      <c r="G2184" s="49">
        <f t="array" ref="G2184">MAX(IF(INSTOCK!$H$3:$H$6125=B2184,INSTOCK!$K$3:$K$6125))</f>
        <v>790</v>
      </c>
      <c r="H2184" s="50">
        <f t="array" ref="H2184">SUM(IF(INSTOCK!$H$3:$H$6125=B2184,INSTOCK!$I$3:$I$6125))</f>
        <v>3</v>
      </c>
      <c r="I2184" s="50" t="str">
        <f>ARRAY_CONSTRAIN(ARRAYFORMULA(SUM(IF([3]!Table13[ID]=B2184,[3]!Table13[QTY]))), 1, 1)</f>
        <v>#ERROR!</v>
      </c>
      <c r="J2184" s="50" t="str">
        <f>TABLEITEM!$H$3:$H$2749-TABLEITEM!$I$3:$I$2749</f>
        <v>#ERROR!</v>
      </c>
    </row>
    <row r="2185" ht="15.75" customHeight="1">
      <c r="A2185" s="45"/>
      <c r="B2185" s="18" t="s">
        <v>5109</v>
      </c>
      <c r="C2185" s="26"/>
      <c r="D2185" s="18" t="s">
        <v>9765</v>
      </c>
      <c r="E2185" s="56"/>
      <c r="F2185" s="57" t="s">
        <v>7173</v>
      </c>
      <c r="G2185" s="49">
        <f t="array" ref="G2185">MAX(IF(INSTOCK!$H$3:$H$6125=B2185,INSTOCK!$K$3:$K$6125))</f>
        <v>598.13</v>
      </c>
      <c r="H2185" s="50">
        <f t="array" ref="H2185">SUM(IF(INSTOCK!$H$3:$H$6125=B2185,INSTOCK!$I$3:$I$6125))</f>
        <v>1</v>
      </c>
      <c r="I2185" s="50" t="str">
        <f>ARRAY_CONSTRAIN(ARRAYFORMULA(SUM(IF([3]!Table13[ID]=B2185,[3]!Table13[QTY]))), 1, 1)</f>
        <v>#ERROR!</v>
      </c>
      <c r="J2185" s="50" t="str">
        <f>TABLEITEM!$H$3:$H$2749-TABLEITEM!$I$3:$I$2749</f>
        <v>#ERROR!</v>
      </c>
    </row>
    <row r="2186" ht="15.75" customHeight="1">
      <c r="A2186" s="45"/>
      <c r="B2186" s="18" t="s">
        <v>5111</v>
      </c>
      <c r="C2186" s="26"/>
      <c r="D2186" s="18" t="s">
        <v>9766</v>
      </c>
      <c r="E2186" s="56"/>
      <c r="F2186" s="57" t="s">
        <v>7173</v>
      </c>
      <c r="G2186" s="49">
        <f t="array" ref="G2186">MAX(IF(INSTOCK!$H$3:$H$6125=B2186,INSTOCK!$K$3:$K$6125))</f>
        <v>9000</v>
      </c>
      <c r="H2186" s="50">
        <f t="array" ref="H2186">SUM(IF(INSTOCK!$H$3:$H$6125=B2186,INSTOCK!$I$3:$I$6125))</f>
        <v>1</v>
      </c>
      <c r="I2186" s="50" t="str">
        <f>ARRAY_CONSTRAIN(ARRAYFORMULA(SUM(IF([3]!Table13[ID]=B2186,[3]!Table13[QTY]))), 1, 1)</f>
        <v>#ERROR!</v>
      </c>
      <c r="J2186" s="50" t="str">
        <f>TABLEITEM!$H$3:$H$2749-TABLEITEM!$I$3:$I$2749</f>
        <v>#ERROR!</v>
      </c>
    </row>
    <row r="2187" ht="15.75" customHeight="1">
      <c r="A2187" s="45"/>
      <c r="B2187" s="18" t="s">
        <v>5113</v>
      </c>
      <c r="C2187" s="26"/>
      <c r="D2187" s="18" t="s">
        <v>9767</v>
      </c>
      <c r="E2187" s="56"/>
      <c r="F2187" s="57" t="s">
        <v>7173</v>
      </c>
      <c r="G2187" s="49">
        <f t="array" ref="G2187">MAX(IF(INSTOCK!$H$3:$H$6125=B2187,INSTOCK!$K$3:$K$6125))</f>
        <v>0</v>
      </c>
      <c r="H2187" s="50">
        <f t="array" ref="H2187">SUM(IF(INSTOCK!$H$3:$H$6125=B2187,INSTOCK!$I$3:$I$6125))</f>
        <v>1</v>
      </c>
      <c r="I2187" s="50" t="str">
        <f>ARRAY_CONSTRAIN(ARRAYFORMULA(SUM(IF([3]!Table13[ID]=B2187,[3]!Table13[QTY]))), 1, 1)</f>
        <v>#ERROR!</v>
      </c>
      <c r="J2187" s="50" t="str">
        <f>TABLEITEM!$H$3:$H$2749-TABLEITEM!$I$3:$I$2749</f>
        <v>#ERROR!</v>
      </c>
    </row>
    <row r="2188" ht="15.75" customHeight="1">
      <c r="A2188" s="45"/>
      <c r="B2188" s="18" t="s">
        <v>5117</v>
      </c>
      <c r="C2188" s="26"/>
      <c r="D2188" s="18" t="s">
        <v>9768</v>
      </c>
      <c r="E2188" s="56"/>
      <c r="F2188" s="57" t="s">
        <v>7173</v>
      </c>
      <c r="G2188" s="49">
        <f t="array" ref="G2188">MAX(IF(INSTOCK!$H$3:$H$6125=B2188,INSTOCK!$K$3:$K$6125))</f>
        <v>9900</v>
      </c>
      <c r="H2188" s="50">
        <f t="array" ref="H2188">SUM(IF(INSTOCK!$H$3:$H$6125=B2188,INSTOCK!$I$3:$I$6125))</f>
        <v>1</v>
      </c>
      <c r="I2188" s="50" t="str">
        <f>ARRAY_CONSTRAIN(ARRAYFORMULA(SUM(IF([3]!Table13[ID]=B2188,[3]!Table13[QTY]))), 1, 1)</f>
        <v>#ERROR!</v>
      </c>
      <c r="J2188" s="50" t="str">
        <f>TABLEITEM!$H$3:$H$2749-TABLEITEM!$I$3:$I$2749</f>
        <v>#ERROR!</v>
      </c>
    </row>
    <row r="2189" ht="15.75" customHeight="1">
      <c r="A2189" s="45"/>
      <c r="B2189" s="10" t="s">
        <v>5120</v>
      </c>
      <c r="C2189" s="26"/>
      <c r="D2189" s="10" t="s">
        <v>9769</v>
      </c>
      <c r="E2189" s="56"/>
      <c r="F2189" s="57" t="s">
        <v>7173</v>
      </c>
      <c r="G2189" s="49">
        <f t="array" ref="G2189">MAX(IF(INSTOCK!$H$3:$H$6125=B2189,INSTOCK!$K$3:$K$6125))</f>
        <v>1579.2</v>
      </c>
      <c r="H2189" s="50">
        <f t="array" ref="H2189">SUM(IF(INSTOCK!$H$3:$H$6125=B2189,INSTOCK!$I$3:$I$6125))</f>
        <v>3</v>
      </c>
      <c r="I2189" s="50" t="str">
        <f>ARRAY_CONSTRAIN(ARRAYFORMULA(SUM(IF([3]!Table13[ID]=B2189,[3]!Table13[QTY]))), 1, 1)</f>
        <v>#ERROR!</v>
      </c>
      <c r="J2189" s="50" t="str">
        <f>TABLEITEM!$H$3:$H$2749-TABLEITEM!$I$3:$I$2749</f>
        <v>#ERROR!</v>
      </c>
    </row>
    <row r="2190" ht="15.75" customHeight="1">
      <c r="A2190" s="45"/>
      <c r="B2190" s="18" t="s">
        <v>5121</v>
      </c>
      <c r="C2190" s="26"/>
      <c r="D2190" s="10" t="s">
        <v>9770</v>
      </c>
      <c r="E2190" s="56"/>
      <c r="F2190" s="57" t="s">
        <v>7173</v>
      </c>
      <c r="G2190" s="49">
        <f t="array" ref="G2190">MAX(IF(INSTOCK!$H$3:$H$6125=B2190,INSTOCK!$K$3:$K$6125))</f>
        <v>1260</v>
      </c>
      <c r="H2190" s="50">
        <f t="array" ref="H2190">SUM(IF(INSTOCK!$H$3:$H$6125=B2190,INSTOCK!$I$3:$I$6125))</f>
        <v>4</v>
      </c>
      <c r="I2190" s="50" t="str">
        <f>ARRAY_CONSTRAIN(ARRAYFORMULA(SUM(IF([3]!Table13[ID]=B2190,[3]!Table13[QTY]))), 1, 1)</f>
        <v>#ERROR!</v>
      </c>
      <c r="J2190" s="50" t="str">
        <f>TABLEITEM!$H$3:$H$2749-TABLEITEM!$I$3:$I$2749</f>
        <v>#ERROR!</v>
      </c>
    </row>
    <row r="2191" ht="15.75" customHeight="1">
      <c r="A2191" s="45"/>
      <c r="B2191" s="18" t="s">
        <v>5122</v>
      </c>
      <c r="C2191" s="26"/>
      <c r="D2191" s="18" t="s">
        <v>9771</v>
      </c>
      <c r="E2191" s="56"/>
      <c r="F2191" s="57" t="s">
        <v>7173</v>
      </c>
      <c r="G2191" s="49">
        <f t="array" ref="G2191">MAX(IF(INSTOCK!$H$3:$H$6125=B2191,INSTOCK!$K$3:$K$6125))</f>
        <v>874</v>
      </c>
      <c r="H2191" s="50">
        <f t="array" ref="H2191">SUM(IF(INSTOCK!$H$3:$H$6125=B2191,INSTOCK!$I$3:$I$6125))</f>
        <v>6</v>
      </c>
      <c r="I2191" s="50" t="str">
        <f>ARRAY_CONSTRAIN(ARRAYFORMULA(SUM(IF([3]!Table13[ID]=B2191,[3]!Table13[QTY]))), 1, 1)</f>
        <v>#ERROR!</v>
      </c>
      <c r="J2191" s="50" t="str">
        <f>TABLEITEM!$H$3:$H$2749-TABLEITEM!$I$3:$I$2749</f>
        <v>#ERROR!</v>
      </c>
    </row>
    <row r="2192" ht="15.75" customHeight="1">
      <c r="A2192" s="45"/>
      <c r="B2192" s="18" t="s">
        <v>5126</v>
      </c>
      <c r="C2192" s="26"/>
      <c r="D2192" s="18" t="s">
        <v>9772</v>
      </c>
      <c r="E2192" s="56"/>
      <c r="F2192" s="57" t="s">
        <v>7173</v>
      </c>
      <c r="G2192" s="49">
        <f t="array" ref="G2192">MAX(IF(INSTOCK!$H$3:$H$6125=B2192,INSTOCK!$K$3:$K$6125))</f>
        <v>19000</v>
      </c>
      <c r="H2192" s="50">
        <f t="array" ref="H2192">SUM(IF(INSTOCK!$H$3:$H$6125=B2192,INSTOCK!$I$3:$I$6125))</f>
        <v>3</v>
      </c>
      <c r="I2192" s="50" t="str">
        <f>ARRAY_CONSTRAIN(ARRAYFORMULA(SUM(IF([3]!Table13[ID]=B2192,[3]!Table13[QTY]))), 1, 1)</f>
        <v>#ERROR!</v>
      </c>
      <c r="J2192" s="50" t="str">
        <f>TABLEITEM!$H$3:$H$2749-TABLEITEM!$I$3:$I$2749</f>
        <v>#ERROR!</v>
      </c>
    </row>
    <row r="2193" ht="15.75" customHeight="1">
      <c r="A2193" s="45"/>
      <c r="B2193" s="18" t="s">
        <v>5130</v>
      </c>
      <c r="C2193" s="26"/>
      <c r="D2193" s="18" t="s">
        <v>9773</v>
      </c>
      <c r="E2193" s="56"/>
      <c r="F2193" s="57" t="s">
        <v>7173</v>
      </c>
      <c r="G2193" s="49">
        <f t="array" ref="G2193">MAX(IF(INSTOCK!$H$3:$H$6125=B2193,INSTOCK!$K$3:$K$6125))</f>
        <v>255</v>
      </c>
      <c r="H2193" s="50">
        <f t="array" ref="H2193">SUM(IF(INSTOCK!$H$3:$H$6125=B2193,INSTOCK!$I$3:$I$6125))</f>
        <v>1</v>
      </c>
      <c r="I2193" s="50" t="str">
        <f>ARRAY_CONSTRAIN(ARRAYFORMULA(SUM(IF([3]!Table13[ID]=B2193,[3]!Table13[QTY]))), 1, 1)</f>
        <v>#ERROR!</v>
      </c>
      <c r="J2193" s="50" t="str">
        <f>TABLEITEM!$H$3:$H$2749-TABLEITEM!$I$3:$I$2749</f>
        <v>#ERROR!</v>
      </c>
    </row>
    <row r="2194" ht="15.75" customHeight="1">
      <c r="A2194" s="45"/>
      <c r="B2194" s="10" t="s">
        <v>5134</v>
      </c>
      <c r="C2194" s="26"/>
      <c r="D2194" s="18" t="s">
        <v>9774</v>
      </c>
      <c r="E2194" s="56"/>
      <c r="F2194" s="57" t="s">
        <v>7173</v>
      </c>
      <c r="G2194" s="49">
        <f t="array" ref="G2194">MAX(IF(INSTOCK!$H$3:$H$6125=B2194,INSTOCK!$K$3:$K$6125))</f>
        <v>331.1</v>
      </c>
      <c r="H2194" s="50">
        <f t="array" ref="H2194">SUM(IF(INSTOCK!$H$3:$H$6125=B2194,INSTOCK!$I$3:$I$6125))</f>
        <v>5</v>
      </c>
      <c r="I2194" s="50" t="str">
        <f>ARRAY_CONSTRAIN(ARRAYFORMULA(SUM(IF([3]!Table13[ID]=B2194,[3]!Table13[QTY]))), 1, 1)</f>
        <v>#ERROR!</v>
      </c>
      <c r="J2194" s="50" t="str">
        <f>TABLEITEM!$H$3:$H$2749-TABLEITEM!$I$3:$I$2749</f>
        <v>#ERROR!</v>
      </c>
    </row>
    <row r="2195" ht="15.75" customHeight="1">
      <c r="A2195" s="45"/>
      <c r="B2195" s="18" t="s">
        <v>5137</v>
      </c>
      <c r="C2195" s="26"/>
      <c r="D2195" s="18" t="s">
        <v>9775</v>
      </c>
      <c r="E2195" s="56"/>
      <c r="F2195" s="57" t="s">
        <v>7173</v>
      </c>
      <c r="G2195" s="49">
        <f t="array" ref="G2195">MAX(IF(INSTOCK!$H$3:$H$6125=B2195,INSTOCK!$K$3:$K$6125))</f>
        <v>695</v>
      </c>
      <c r="H2195" s="50">
        <f t="array" ref="H2195">SUM(IF(INSTOCK!$H$3:$H$6125=B2195,INSTOCK!$I$3:$I$6125))</f>
        <v>15</v>
      </c>
      <c r="I2195" s="50" t="str">
        <f>ARRAY_CONSTRAIN(ARRAYFORMULA(SUM(IF([3]!Table13[ID]=B2195,[3]!Table13[QTY]))), 1, 1)</f>
        <v>#ERROR!</v>
      </c>
      <c r="J2195" s="50" t="str">
        <f>TABLEITEM!$H$3:$H$2749-TABLEITEM!$I$3:$I$2749</f>
        <v>#ERROR!</v>
      </c>
    </row>
    <row r="2196" ht="15.75" customHeight="1">
      <c r="A2196" s="45"/>
      <c r="B2196" s="18" t="s">
        <v>5140</v>
      </c>
      <c r="C2196" s="26"/>
      <c r="D2196" s="18" t="s">
        <v>9776</v>
      </c>
      <c r="E2196" s="56"/>
      <c r="F2196" s="57" t="s">
        <v>7173</v>
      </c>
      <c r="G2196" s="49">
        <f t="array" ref="G2196">MAX(IF(INSTOCK!$H$3:$H$6125=B2196,INSTOCK!$K$3:$K$6125))</f>
        <v>627.3</v>
      </c>
      <c r="H2196" s="50">
        <f t="array" ref="H2196">SUM(IF(INSTOCK!$H$3:$H$6125=B2196,INSTOCK!$I$3:$I$6125))</f>
        <v>6</v>
      </c>
      <c r="I2196" s="50" t="str">
        <f>ARRAY_CONSTRAIN(ARRAYFORMULA(SUM(IF([3]!Table13[ID]=B2196,[3]!Table13[QTY]))), 1, 1)</f>
        <v>#ERROR!</v>
      </c>
      <c r="J2196" s="50" t="str">
        <f>TABLEITEM!$H$3:$H$2749-TABLEITEM!$I$3:$I$2749</f>
        <v>#ERROR!</v>
      </c>
    </row>
    <row r="2197" ht="15.75" customHeight="1">
      <c r="A2197" s="45"/>
      <c r="B2197" s="18" t="s">
        <v>5142</v>
      </c>
      <c r="C2197" s="26"/>
      <c r="D2197" s="18" t="s">
        <v>9777</v>
      </c>
      <c r="E2197" s="56" t="s">
        <v>1601</v>
      </c>
      <c r="F2197" s="57" t="s">
        <v>7173</v>
      </c>
      <c r="G2197" s="49">
        <f t="array" ref="G2197">MAX(IF(INSTOCK!$H$3:$H$6125=B2197,INSTOCK!$K$3:$K$6125))</f>
        <v>174.5633</v>
      </c>
      <c r="H2197" s="50">
        <f t="array" ref="H2197">SUM(IF(INSTOCK!$H$3:$H$6125=B2197,INSTOCK!$I$3:$I$6125))</f>
        <v>7</v>
      </c>
      <c r="I2197" s="50" t="str">
        <f>ARRAY_CONSTRAIN(ARRAYFORMULA(SUM(IF([3]!Table13[ID]=B2197,[3]!Table13[QTY]))), 1, 1)</f>
        <v>#ERROR!</v>
      </c>
      <c r="J2197" s="50" t="str">
        <f>TABLEITEM!$H$3:$H$2749-TABLEITEM!$I$3:$I$2749</f>
        <v>#ERROR!</v>
      </c>
    </row>
    <row r="2198" ht="15.75" customHeight="1">
      <c r="A2198" s="45"/>
      <c r="B2198" s="18" t="s">
        <v>5144</v>
      </c>
      <c r="C2198" s="26"/>
      <c r="D2198" s="18" t="s">
        <v>9778</v>
      </c>
      <c r="E2198" s="56"/>
      <c r="F2198" s="57" t="s">
        <v>7173</v>
      </c>
      <c r="G2198" s="49">
        <f t="array" ref="G2198">MAX(IF(INSTOCK!$H$3:$H$6125=B2198,INSTOCK!$K$3:$K$6125))</f>
        <v>105</v>
      </c>
      <c r="H2198" s="50">
        <f t="array" ref="H2198">SUM(IF(INSTOCK!$H$3:$H$6125=B2198,INSTOCK!$I$3:$I$6125))</f>
        <v>30</v>
      </c>
      <c r="I2198" s="50" t="str">
        <f>ARRAY_CONSTRAIN(ARRAYFORMULA(SUM(IF([3]!Table13[ID]=B2198,[3]!Table13[QTY]))), 1, 1)</f>
        <v>#ERROR!</v>
      </c>
      <c r="J2198" s="50" t="str">
        <f>TABLEITEM!$H$3:$H$2749-TABLEITEM!$I$3:$I$2749</f>
        <v>#ERROR!</v>
      </c>
    </row>
    <row r="2199" ht="15.75" customHeight="1">
      <c r="A2199" s="45"/>
      <c r="B2199" s="10" t="s">
        <v>5147</v>
      </c>
      <c r="C2199" s="26"/>
      <c r="D2199" s="10" t="s">
        <v>9779</v>
      </c>
      <c r="E2199" s="56" t="s">
        <v>9780</v>
      </c>
      <c r="F2199" s="57" t="s">
        <v>7173</v>
      </c>
      <c r="G2199" s="49">
        <f t="array" ref="G2199">MAX(IF(INSTOCK!$H$3:$H$6125=B2199,INSTOCK!$K$3:$K$6125))</f>
        <v>21000</v>
      </c>
      <c r="H2199" s="50">
        <f t="array" ref="H2199">SUM(IF(INSTOCK!$H$3:$H$6125=B2199,INSTOCK!$I$3:$I$6125))</f>
        <v>2</v>
      </c>
      <c r="I2199" s="50" t="str">
        <f>ARRAY_CONSTRAIN(ARRAYFORMULA(SUM(IF([3]!Table13[ID]=B2199,[3]!Table13[QTY]))), 1, 1)</f>
        <v>#ERROR!</v>
      </c>
      <c r="J2199" s="50" t="str">
        <f>TABLEITEM!$H$3:$H$2749-TABLEITEM!$I$3:$I$2749</f>
        <v>#ERROR!</v>
      </c>
    </row>
    <row r="2200" ht="15.75" customHeight="1">
      <c r="A2200" s="45"/>
      <c r="B2200" s="10" t="s">
        <v>5148</v>
      </c>
      <c r="C2200" s="26"/>
      <c r="D2200" s="10" t="s">
        <v>9781</v>
      </c>
      <c r="E2200" s="56" t="s">
        <v>9780</v>
      </c>
      <c r="F2200" s="57" t="s">
        <v>7173</v>
      </c>
      <c r="G2200" s="49">
        <f t="array" ref="G2200">MAX(IF(INSTOCK!$H$3:$H$6125=B2200,INSTOCK!$K$3:$K$6125))</f>
        <v>12500</v>
      </c>
      <c r="H2200" s="50">
        <f t="array" ref="H2200">SUM(IF(INSTOCK!$H$3:$H$6125=B2200,INSTOCK!$I$3:$I$6125))</f>
        <v>1</v>
      </c>
      <c r="I2200" s="50" t="str">
        <f>ARRAY_CONSTRAIN(ARRAYFORMULA(SUM(IF([3]!Table13[ID]=B2200,[3]!Table13[QTY]))), 1, 1)</f>
        <v>#ERROR!</v>
      </c>
      <c r="J2200" s="50" t="str">
        <f>TABLEITEM!$H$3:$H$2749-TABLEITEM!$I$3:$I$2749</f>
        <v>#ERROR!</v>
      </c>
    </row>
    <row r="2201" ht="15.75" customHeight="1">
      <c r="A2201" s="45"/>
      <c r="B2201" s="10" t="s">
        <v>5149</v>
      </c>
      <c r="C2201" s="26"/>
      <c r="D2201" s="10" t="s">
        <v>9782</v>
      </c>
      <c r="E2201" s="56" t="s">
        <v>9780</v>
      </c>
      <c r="F2201" s="57" t="s">
        <v>7173</v>
      </c>
      <c r="G2201" s="49">
        <f t="array" ref="G2201">MAX(IF(INSTOCK!$H$3:$H$6125=B2201,INSTOCK!$K$3:$K$6125))</f>
        <v>27500</v>
      </c>
      <c r="H2201" s="50">
        <f t="array" ref="H2201">SUM(IF(INSTOCK!$H$3:$H$6125=B2201,INSTOCK!$I$3:$I$6125))</f>
        <v>1</v>
      </c>
      <c r="I2201" s="50" t="str">
        <f>ARRAY_CONSTRAIN(ARRAYFORMULA(SUM(IF([3]!Table13[ID]=B2201,[3]!Table13[QTY]))), 1, 1)</f>
        <v>#ERROR!</v>
      </c>
      <c r="J2201" s="50" t="str">
        <f>TABLEITEM!$H$3:$H$2749-TABLEITEM!$I$3:$I$2749</f>
        <v>#ERROR!</v>
      </c>
    </row>
    <row r="2202" ht="15.75" customHeight="1">
      <c r="A2202" s="45"/>
      <c r="B2202" s="18" t="s">
        <v>5150</v>
      </c>
      <c r="C2202" s="26"/>
      <c r="D2202" s="18" t="s">
        <v>9783</v>
      </c>
      <c r="E2202" s="56" t="s">
        <v>9780</v>
      </c>
      <c r="F2202" s="57" t="s">
        <v>7173</v>
      </c>
      <c r="G2202" s="49">
        <f t="array" ref="G2202">MAX(IF(INSTOCK!$H$3:$H$6125=B2202,INSTOCK!$K$3:$K$6125))</f>
        <v>16000</v>
      </c>
      <c r="H2202" s="50">
        <f t="array" ref="H2202">SUM(IF(INSTOCK!$H$3:$H$6125=B2202,INSTOCK!$I$3:$I$6125))</f>
        <v>3</v>
      </c>
      <c r="I2202" s="50" t="str">
        <f>ARRAY_CONSTRAIN(ARRAYFORMULA(SUM(IF([3]!Table13[ID]=B2202,[3]!Table13[QTY]))), 1, 1)</f>
        <v>#ERROR!</v>
      </c>
      <c r="J2202" s="50" t="str">
        <f>TABLEITEM!$H$3:$H$2749-TABLEITEM!$I$3:$I$2749</f>
        <v>#ERROR!</v>
      </c>
    </row>
    <row r="2203" ht="15.75" customHeight="1">
      <c r="A2203" s="45"/>
      <c r="B2203" s="10" t="s">
        <v>5152</v>
      </c>
      <c r="C2203" s="26"/>
      <c r="D2203" s="10" t="s">
        <v>9784</v>
      </c>
      <c r="E2203" s="56" t="s">
        <v>9785</v>
      </c>
      <c r="F2203" s="57" t="s">
        <v>7173</v>
      </c>
      <c r="G2203" s="49">
        <f t="array" ref="G2203">MAX(IF(INSTOCK!$H$3:$H$6125=B2203,INSTOCK!$K$3:$K$6125))</f>
        <v>6000</v>
      </c>
      <c r="H2203" s="50">
        <f t="array" ref="H2203">SUM(IF(INSTOCK!$H$3:$H$6125=B2203,INSTOCK!$I$3:$I$6125))</f>
        <v>22</v>
      </c>
      <c r="I2203" s="50" t="str">
        <f>ARRAY_CONSTRAIN(ARRAYFORMULA(SUM(IF([3]!Table13[ID]=B2203,[3]!Table13[QTY]))), 1, 1)</f>
        <v>#ERROR!</v>
      </c>
      <c r="J2203" s="50" t="str">
        <f>TABLEITEM!$H$3:$H$2749-TABLEITEM!$I$3:$I$2749</f>
        <v>#ERROR!</v>
      </c>
    </row>
    <row r="2204" ht="15.75" customHeight="1">
      <c r="A2204" s="45"/>
      <c r="B2204" s="10" t="s">
        <v>5153</v>
      </c>
      <c r="C2204" s="26"/>
      <c r="D2204" s="10" t="s">
        <v>9786</v>
      </c>
      <c r="E2204" s="56" t="s">
        <v>9785</v>
      </c>
      <c r="F2204" s="57" t="s">
        <v>7173</v>
      </c>
      <c r="G2204" s="49">
        <f t="array" ref="G2204">MAX(IF(INSTOCK!$H$3:$H$6125=B2204,INSTOCK!$K$3:$K$6125))</f>
        <v>7500</v>
      </c>
      <c r="H2204" s="50">
        <f t="array" ref="H2204">SUM(IF(INSTOCK!$H$3:$H$6125=B2204,INSTOCK!$I$3:$I$6125))</f>
        <v>1</v>
      </c>
      <c r="I2204" s="50" t="str">
        <f>ARRAY_CONSTRAIN(ARRAYFORMULA(SUM(IF([3]!Table13[ID]=B2204,[3]!Table13[QTY]))), 1, 1)</f>
        <v>#ERROR!</v>
      </c>
      <c r="J2204" s="50" t="str">
        <f>TABLEITEM!$H$3:$H$2749-TABLEITEM!$I$3:$I$2749</f>
        <v>#ERROR!</v>
      </c>
    </row>
    <row r="2205" ht="15.75" customHeight="1">
      <c r="A2205" s="45"/>
      <c r="B2205" s="10" t="s">
        <v>5154</v>
      </c>
      <c r="C2205" s="26"/>
      <c r="D2205" s="10" t="s">
        <v>9787</v>
      </c>
      <c r="E2205" s="56" t="s">
        <v>9785</v>
      </c>
      <c r="F2205" s="57" t="s">
        <v>7173</v>
      </c>
      <c r="G2205" s="49">
        <f t="array" ref="G2205">MAX(IF(INSTOCK!$H$3:$H$6125=B2205,INSTOCK!$K$3:$K$6125))</f>
        <v>13500</v>
      </c>
      <c r="H2205" s="50">
        <f t="array" ref="H2205">SUM(IF(INSTOCK!$H$3:$H$6125=B2205,INSTOCK!$I$3:$I$6125))</f>
        <v>9</v>
      </c>
      <c r="I2205" s="50" t="str">
        <f>ARRAY_CONSTRAIN(ARRAYFORMULA(SUM(IF([3]!Table13[ID]=B2205,[3]!Table13[QTY]))), 1, 1)</f>
        <v>#ERROR!</v>
      </c>
      <c r="J2205" s="50" t="str">
        <f>TABLEITEM!$H$3:$H$2749-TABLEITEM!$I$3:$I$2749</f>
        <v>#ERROR!</v>
      </c>
    </row>
    <row r="2206" ht="15.75" customHeight="1">
      <c r="A2206" s="45"/>
      <c r="B2206" s="10" t="s">
        <v>5155</v>
      </c>
      <c r="C2206" s="26"/>
      <c r="D2206" s="10" t="s">
        <v>9788</v>
      </c>
      <c r="E2206" s="56" t="s">
        <v>9785</v>
      </c>
      <c r="F2206" s="57" t="s">
        <v>7173</v>
      </c>
      <c r="G2206" s="49">
        <f t="array" ref="G2206">MAX(IF(INSTOCK!$H$3:$H$6125=B2206,INSTOCK!$K$3:$K$6125))</f>
        <v>8700</v>
      </c>
      <c r="H2206" s="50">
        <f t="array" ref="H2206">SUM(IF(INSTOCK!$H$3:$H$6125=B2206,INSTOCK!$I$3:$I$6125))</f>
        <v>22</v>
      </c>
      <c r="I2206" s="50" t="str">
        <f>ARRAY_CONSTRAIN(ARRAYFORMULA(SUM(IF([3]!Table13[ID]=B2206,[3]!Table13[QTY]))), 1, 1)</f>
        <v>#ERROR!</v>
      </c>
      <c r="J2206" s="50" t="str">
        <f>TABLEITEM!$H$3:$H$2749-TABLEITEM!$I$3:$I$2749</f>
        <v>#ERROR!</v>
      </c>
    </row>
    <row r="2207" ht="15.75" customHeight="1">
      <c r="A2207" s="45"/>
      <c r="B2207" s="10" t="s">
        <v>5156</v>
      </c>
      <c r="C2207" s="26"/>
      <c r="D2207" s="10" t="s">
        <v>9789</v>
      </c>
      <c r="E2207" s="56" t="s">
        <v>9785</v>
      </c>
      <c r="F2207" s="57" t="s">
        <v>7173</v>
      </c>
      <c r="G2207" s="49">
        <f t="array" ref="G2207">MAX(IF(INSTOCK!$H$3:$H$6125=B2207,INSTOCK!$K$3:$K$6125))</f>
        <v>18000</v>
      </c>
      <c r="H2207" s="50">
        <f t="array" ref="H2207">SUM(IF(INSTOCK!$H$3:$H$6125=B2207,INSTOCK!$I$3:$I$6125))</f>
        <v>10</v>
      </c>
      <c r="I2207" s="50" t="str">
        <f>ARRAY_CONSTRAIN(ARRAYFORMULA(SUM(IF([3]!Table13[ID]=B2207,[3]!Table13[QTY]))), 1, 1)</f>
        <v>#ERROR!</v>
      </c>
      <c r="J2207" s="50" t="str">
        <f>TABLEITEM!$H$3:$H$2749-TABLEITEM!$I$3:$I$2749</f>
        <v>#ERROR!</v>
      </c>
    </row>
    <row r="2208" ht="15.75" customHeight="1">
      <c r="A2208" s="45"/>
      <c r="B2208" s="10" t="s">
        <v>5156</v>
      </c>
      <c r="C2208" s="26"/>
      <c r="D2208" s="10" t="s">
        <v>9790</v>
      </c>
      <c r="E2208" s="56" t="s">
        <v>9785</v>
      </c>
      <c r="F2208" s="57" t="s">
        <v>7173</v>
      </c>
      <c r="G2208" s="49">
        <f t="array" ref="G2208">MAX(IF(INSTOCK!$H$3:$H$6125=B2208,INSTOCK!$K$3:$K$6125))</f>
        <v>18000</v>
      </c>
      <c r="H2208" s="50">
        <f t="array" ref="H2208">SUM(IF(INSTOCK!$H$3:$H$6125=B2208,INSTOCK!$I$3:$I$6125))</f>
        <v>10</v>
      </c>
      <c r="I2208" s="50" t="str">
        <f>ARRAY_CONSTRAIN(ARRAYFORMULA(SUM(IF([3]!Table13[ID]=B2208,[3]!Table13[QTY]))), 1, 1)</f>
        <v>#ERROR!</v>
      </c>
      <c r="J2208" s="50" t="str">
        <f>TABLEITEM!$H$3:$H$2749-TABLEITEM!$I$3:$I$2749</f>
        <v>#ERROR!</v>
      </c>
    </row>
    <row r="2209" ht="15.75" customHeight="1">
      <c r="A2209" s="45"/>
      <c r="B2209" s="18" t="s">
        <v>5157</v>
      </c>
      <c r="C2209" s="26"/>
      <c r="D2209" s="18" t="s">
        <v>9791</v>
      </c>
      <c r="E2209" s="56" t="s">
        <v>9785</v>
      </c>
      <c r="F2209" s="57" t="s">
        <v>7173</v>
      </c>
      <c r="G2209" s="49">
        <f t="array" ref="G2209">MAX(IF(INSTOCK!$H$3:$H$6125=B2209,INSTOCK!$K$3:$K$6125))</f>
        <v>11800</v>
      </c>
      <c r="H2209" s="50">
        <f t="array" ref="H2209">SUM(IF(INSTOCK!$H$3:$H$6125=B2209,INSTOCK!$I$3:$I$6125))</f>
        <v>4</v>
      </c>
      <c r="I2209" s="50" t="str">
        <f>ARRAY_CONSTRAIN(ARRAYFORMULA(SUM(IF([3]!Table13[ID]=B2209,[3]!Table13[QTY]))), 1, 1)</f>
        <v>#ERROR!</v>
      </c>
      <c r="J2209" s="50" t="str">
        <f>TABLEITEM!$H$3:$H$2749-TABLEITEM!$I$3:$I$2749</f>
        <v>#ERROR!</v>
      </c>
    </row>
    <row r="2210" ht="15.75" customHeight="1">
      <c r="A2210" s="45"/>
      <c r="B2210" s="10" t="s">
        <v>5159</v>
      </c>
      <c r="C2210" s="26"/>
      <c r="D2210" s="10" t="s">
        <v>9792</v>
      </c>
      <c r="E2210" s="56" t="s">
        <v>9785</v>
      </c>
      <c r="F2210" s="57" t="s">
        <v>7173</v>
      </c>
      <c r="G2210" s="49">
        <f t="array" ref="G2210">MAX(IF(INSTOCK!$H$3:$H$6125=B2210,INSTOCK!$K$3:$K$6125))</f>
        <v>1100</v>
      </c>
      <c r="H2210" s="50">
        <f t="array" ref="H2210">SUM(IF(INSTOCK!$H$3:$H$6125=B2210,INSTOCK!$I$3:$I$6125))</f>
        <v>22</v>
      </c>
      <c r="I2210" s="50" t="str">
        <f>ARRAY_CONSTRAIN(ARRAYFORMULA(SUM(IF([3]!Table13[ID]=B2210,[3]!Table13[QTY]))), 1, 1)</f>
        <v>#ERROR!</v>
      </c>
      <c r="J2210" s="50" t="str">
        <f>TABLEITEM!$H$3:$H$2749-TABLEITEM!$I$3:$I$2749</f>
        <v>#ERROR!</v>
      </c>
    </row>
    <row r="2211" ht="15.75" customHeight="1">
      <c r="A2211" s="45"/>
      <c r="B2211" s="10" t="s">
        <v>5160</v>
      </c>
      <c r="C2211" s="26"/>
      <c r="D2211" s="10" t="s">
        <v>9793</v>
      </c>
      <c r="E2211" s="56" t="s">
        <v>9785</v>
      </c>
      <c r="F2211" s="57" t="s">
        <v>7173</v>
      </c>
      <c r="G2211" s="49">
        <f t="array" ref="G2211">MAX(IF(INSTOCK!$H$3:$H$6125=B2211,INSTOCK!$K$3:$K$6125))</f>
        <v>1518</v>
      </c>
      <c r="H2211" s="50">
        <f t="array" ref="H2211">SUM(IF(INSTOCK!$H$3:$H$6125=B2211,INSTOCK!$I$3:$I$6125))</f>
        <v>1</v>
      </c>
      <c r="I2211" s="50" t="str">
        <f>ARRAY_CONSTRAIN(ARRAYFORMULA(SUM(IF([3]!Table13[ID]=B2211,[3]!Table13[QTY]))), 1, 1)</f>
        <v>#ERROR!</v>
      </c>
      <c r="J2211" s="50" t="str">
        <f>TABLEITEM!$H$3:$H$2749-TABLEITEM!$I$3:$I$2749</f>
        <v>#ERROR!</v>
      </c>
    </row>
    <row r="2212" ht="15.75" customHeight="1">
      <c r="A2212" s="45"/>
      <c r="B2212" s="18" t="s">
        <v>5161</v>
      </c>
      <c r="C2212" s="26"/>
      <c r="D2212" s="10" t="s">
        <v>9794</v>
      </c>
      <c r="E2212" s="56" t="s">
        <v>9785</v>
      </c>
      <c r="F2212" s="57" t="s">
        <v>7173</v>
      </c>
      <c r="G2212" s="49">
        <f t="array" ref="G2212">MAX(IF(INSTOCK!$H$3:$H$6125=B2212,INSTOCK!$K$3:$K$6125))</f>
        <v>3358</v>
      </c>
      <c r="H2212" s="50">
        <f t="array" ref="H2212">SUM(IF(INSTOCK!$H$3:$H$6125=B2212,INSTOCK!$I$3:$I$6125))</f>
        <v>9</v>
      </c>
      <c r="I2212" s="50" t="str">
        <f>ARRAY_CONSTRAIN(ARRAYFORMULA(SUM(IF([3]!Table13[ID]=B2212,[3]!Table13[QTY]))), 1, 1)</f>
        <v>#ERROR!</v>
      </c>
      <c r="J2212" s="50" t="str">
        <f>TABLEITEM!$H$3:$H$2749-TABLEITEM!$I$3:$I$2749</f>
        <v>#ERROR!</v>
      </c>
    </row>
    <row r="2213" ht="15.75" customHeight="1">
      <c r="A2213" s="45"/>
      <c r="B2213" s="10" t="s">
        <v>5165</v>
      </c>
      <c r="C2213" s="26"/>
      <c r="D2213" s="10" t="s">
        <v>9795</v>
      </c>
      <c r="E2213" s="56" t="s">
        <v>1487</v>
      </c>
      <c r="F2213" s="57" t="s">
        <v>7173</v>
      </c>
      <c r="G2213" s="49">
        <f t="array" ref="G2213">MAX(IF(INSTOCK!$H$3:$H$6125=B2213,INSTOCK!$K$3:$K$6125))</f>
        <v>3718.7</v>
      </c>
      <c r="H2213" s="50">
        <f t="array" ref="H2213">SUM(IF(INSTOCK!$H$3:$H$6125=B2213,INSTOCK!$I$3:$I$6125))</f>
        <v>3</v>
      </c>
      <c r="I2213" s="50" t="str">
        <f>ARRAY_CONSTRAIN(ARRAYFORMULA(SUM(IF([3]!Table13[ID]=B2213,[3]!Table13[QTY]))), 1, 1)</f>
        <v>#ERROR!</v>
      </c>
      <c r="J2213" s="50" t="str">
        <f>TABLEITEM!$H$3:$H$2749-TABLEITEM!$I$3:$I$2749</f>
        <v>#ERROR!</v>
      </c>
    </row>
    <row r="2214" ht="15.75" customHeight="1">
      <c r="A2214" s="45"/>
      <c r="B2214" s="10" t="s">
        <v>5166</v>
      </c>
      <c r="C2214" s="26"/>
      <c r="D2214" s="10" t="s">
        <v>9796</v>
      </c>
      <c r="E2214" s="56" t="s">
        <v>1487</v>
      </c>
      <c r="F2214" s="57" t="s">
        <v>7173</v>
      </c>
      <c r="G2214" s="49">
        <f t="array" ref="G2214">MAX(IF(INSTOCK!$H$3:$H$6125=B2214,INSTOCK!$K$3:$K$6125))</f>
        <v>3222.6</v>
      </c>
      <c r="H2214" s="50">
        <f t="array" ref="H2214">SUM(IF(INSTOCK!$H$3:$H$6125=B2214,INSTOCK!$I$3:$I$6125))</f>
        <v>10</v>
      </c>
      <c r="I2214" s="50" t="str">
        <f>ARRAY_CONSTRAIN(ARRAYFORMULA(SUM(IF([3]!Table13[ID]=B2214,[3]!Table13[QTY]))), 1, 1)</f>
        <v>#ERROR!</v>
      </c>
      <c r="J2214" s="50" t="str">
        <f>TABLEITEM!$H$3:$H$2749-TABLEITEM!$I$3:$I$2749</f>
        <v>#ERROR!</v>
      </c>
    </row>
    <row r="2215" ht="15.75" customHeight="1">
      <c r="A2215" s="45"/>
      <c r="B2215" s="10" t="s">
        <v>5167</v>
      </c>
      <c r="C2215" s="26"/>
      <c r="D2215" s="10" t="s">
        <v>9797</v>
      </c>
      <c r="E2215" s="56" t="s">
        <v>1487</v>
      </c>
      <c r="F2215" s="57" t="s">
        <v>7173</v>
      </c>
      <c r="G2215" s="49">
        <f t="array" ref="G2215">MAX(IF(INSTOCK!$H$3:$H$6125=B2215,INSTOCK!$K$3:$K$6125))</f>
        <v>2091</v>
      </c>
      <c r="H2215" s="50">
        <f t="array" ref="H2215">SUM(IF(INSTOCK!$H$3:$H$6125=B2215,INSTOCK!$I$3:$I$6125))</f>
        <v>4</v>
      </c>
      <c r="I2215" s="50" t="str">
        <f>ARRAY_CONSTRAIN(ARRAYFORMULA(SUM(IF([3]!Table13[ID]=B2215,[3]!Table13[QTY]))), 1, 1)</f>
        <v>#ERROR!</v>
      </c>
      <c r="J2215" s="50" t="str">
        <f>TABLEITEM!$H$3:$H$2749-TABLEITEM!$I$3:$I$2749</f>
        <v>#ERROR!</v>
      </c>
    </row>
    <row r="2216" ht="15.75" customHeight="1">
      <c r="A2216" s="45"/>
      <c r="B2216" s="10" t="s">
        <v>5168</v>
      </c>
      <c r="C2216" s="26"/>
      <c r="D2216" s="10" t="s">
        <v>9798</v>
      </c>
      <c r="E2216" s="56" t="s">
        <v>1487</v>
      </c>
      <c r="F2216" s="57" t="s">
        <v>7173</v>
      </c>
      <c r="G2216" s="49">
        <f t="array" ref="G2216">MAX(IF(INSTOCK!$H$3:$H$6125=B2216,INSTOCK!$K$3:$K$6125))</f>
        <v>2091</v>
      </c>
      <c r="H2216" s="50">
        <f t="array" ref="H2216">SUM(IF(INSTOCK!$H$3:$H$6125=B2216,INSTOCK!$I$3:$I$6125))</f>
        <v>6</v>
      </c>
      <c r="I2216" s="50" t="str">
        <f>ARRAY_CONSTRAIN(ARRAYFORMULA(SUM(IF([3]!Table13[ID]=B2216,[3]!Table13[QTY]))), 1, 1)</f>
        <v>#ERROR!</v>
      </c>
      <c r="J2216" s="50" t="str">
        <f>TABLEITEM!$H$3:$H$2749-TABLEITEM!$I$3:$I$2749</f>
        <v>#ERROR!</v>
      </c>
    </row>
    <row r="2217" ht="15.75" customHeight="1">
      <c r="A2217" s="45"/>
      <c r="B2217" s="10" t="s">
        <v>5169</v>
      </c>
      <c r="C2217" s="26"/>
      <c r="D2217" s="10" t="s">
        <v>9799</v>
      </c>
      <c r="E2217" s="56" t="s">
        <v>1487</v>
      </c>
      <c r="F2217" s="57" t="s">
        <v>7173</v>
      </c>
      <c r="G2217" s="49">
        <f t="array" ref="G2217">MAX(IF(INSTOCK!$H$3:$H$6125=B2217,INSTOCK!$K$3:$K$6125))</f>
        <v>2091</v>
      </c>
      <c r="H2217" s="50">
        <f t="array" ref="H2217">SUM(IF(INSTOCK!$H$3:$H$6125=B2217,INSTOCK!$I$3:$I$6125))</f>
        <v>3</v>
      </c>
      <c r="I2217" s="50" t="str">
        <f>ARRAY_CONSTRAIN(ARRAYFORMULA(SUM(IF([3]!Table13[ID]=B2217,[3]!Table13[QTY]))), 1, 1)</f>
        <v>#ERROR!</v>
      </c>
      <c r="J2217" s="50" t="str">
        <f>TABLEITEM!$H$3:$H$2749-TABLEITEM!$I$3:$I$2749</f>
        <v>#ERROR!</v>
      </c>
    </row>
    <row r="2218" ht="15.75" customHeight="1">
      <c r="A2218" s="45"/>
      <c r="B2218" s="10" t="s">
        <v>5170</v>
      </c>
      <c r="C2218" s="26"/>
      <c r="D2218" s="10" t="s">
        <v>9800</v>
      </c>
      <c r="E2218" s="56" t="s">
        <v>1487</v>
      </c>
      <c r="F2218" s="57" t="s">
        <v>7173</v>
      </c>
      <c r="G2218" s="49">
        <f t="array" ref="G2218">MAX(IF(INSTOCK!$H$3:$H$6125=B2218,INSTOCK!$K$3:$K$6125))</f>
        <v>2091</v>
      </c>
      <c r="H2218" s="50">
        <f t="array" ref="H2218">SUM(IF(INSTOCK!$H$3:$H$6125=B2218,INSTOCK!$I$3:$I$6125))</f>
        <v>1</v>
      </c>
      <c r="I2218" s="50" t="str">
        <f>ARRAY_CONSTRAIN(ARRAYFORMULA(SUM(IF([3]!Table13[ID]=B2218,[3]!Table13[QTY]))), 1, 1)</f>
        <v>#ERROR!</v>
      </c>
      <c r="J2218" s="50" t="str">
        <f>TABLEITEM!$H$3:$H$2749-TABLEITEM!$I$3:$I$2749</f>
        <v>#ERROR!</v>
      </c>
    </row>
    <row r="2219" ht="15.75" customHeight="1">
      <c r="A2219" s="45"/>
      <c r="B2219" s="10" t="s">
        <v>5171</v>
      </c>
      <c r="C2219" s="26"/>
      <c r="D2219" s="10" t="s">
        <v>9801</v>
      </c>
      <c r="E2219" s="56" t="s">
        <v>1487</v>
      </c>
      <c r="F2219" s="57" t="s">
        <v>7173</v>
      </c>
      <c r="G2219" s="49">
        <f t="array" ref="G2219">MAX(IF(INSTOCK!$H$3:$H$6125=B2219,INSTOCK!$K$3:$K$6125))</f>
        <v>2091</v>
      </c>
      <c r="H2219" s="50">
        <f t="array" ref="H2219">SUM(IF(INSTOCK!$H$3:$H$6125=B2219,INSTOCK!$I$3:$I$6125))</f>
        <v>12</v>
      </c>
      <c r="I2219" s="50" t="str">
        <f>ARRAY_CONSTRAIN(ARRAYFORMULA(SUM(IF([3]!Table13[ID]=B2219,[3]!Table13[QTY]))), 1, 1)</f>
        <v>#ERROR!</v>
      </c>
      <c r="J2219" s="50" t="str">
        <f>TABLEITEM!$H$3:$H$2749-TABLEITEM!$I$3:$I$2749</f>
        <v>#ERROR!</v>
      </c>
    </row>
    <row r="2220" ht="15.75" customHeight="1">
      <c r="A2220" s="45"/>
      <c r="B2220" s="10" t="s">
        <v>5172</v>
      </c>
      <c r="C2220" s="26"/>
      <c r="D2220" s="10" t="s">
        <v>9802</v>
      </c>
      <c r="E2220" s="56" t="s">
        <v>1487</v>
      </c>
      <c r="F2220" s="57" t="s">
        <v>7173</v>
      </c>
      <c r="G2220" s="49">
        <f t="array" ref="G2220">MAX(IF(INSTOCK!$H$3:$H$6125=B2220,INSTOCK!$K$3:$K$6125))</f>
        <v>2091</v>
      </c>
      <c r="H2220" s="50">
        <f t="array" ref="H2220">SUM(IF(INSTOCK!$H$3:$H$6125=B2220,INSTOCK!$I$3:$I$6125))</f>
        <v>4</v>
      </c>
      <c r="I2220" s="50" t="str">
        <f>ARRAY_CONSTRAIN(ARRAYFORMULA(SUM(IF([3]!Table13[ID]=B2220,[3]!Table13[QTY]))), 1, 1)</f>
        <v>#ERROR!</v>
      </c>
      <c r="J2220" s="50" t="str">
        <f>TABLEITEM!$H$3:$H$2749-TABLEITEM!$I$3:$I$2749</f>
        <v>#ERROR!</v>
      </c>
    </row>
    <row r="2221" ht="15.75" customHeight="1">
      <c r="A2221" s="45"/>
      <c r="B2221" s="10" t="s">
        <v>5173</v>
      </c>
      <c r="C2221" s="26"/>
      <c r="D2221" s="10" t="s">
        <v>9803</v>
      </c>
      <c r="E2221" s="56" t="s">
        <v>1487</v>
      </c>
      <c r="F2221" s="57" t="s">
        <v>7173</v>
      </c>
      <c r="G2221" s="49">
        <f t="array" ref="G2221">MAX(IF(INSTOCK!$H$3:$H$6125=B2221,INSTOCK!$K$3:$K$6125))</f>
        <v>3128.3</v>
      </c>
      <c r="H2221" s="50">
        <f t="array" ref="H2221">SUM(IF(INSTOCK!$H$3:$H$6125=B2221,INSTOCK!$I$3:$I$6125))</f>
        <v>1</v>
      </c>
      <c r="I2221" s="50" t="str">
        <f>ARRAY_CONSTRAIN(ARRAYFORMULA(SUM(IF([3]!Table13[ID]=B2221,[3]!Table13[QTY]))), 1, 1)</f>
        <v>#ERROR!</v>
      </c>
      <c r="J2221" s="50" t="str">
        <f>TABLEITEM!$H$3:$H$2749-TABLEITEM!$I$3:$I$2749</f>
        <v>#ERROR!</v>
      </c>
    </row>
    <row r="2222" ht="15.75" customHeight="1">
      <c r="A2222" s="45"/>
      <c r="B2222" s="10" t="s">
        <v>5174</v>
      </c>
      <c r="C2222" s="26"/>
      <c r="D2222" s="10" t="s">
        <v>9804</v>
      </c>
      <c r="E2222" s="56" t="s">
        <v>1487</v>
      </c>
      <c r="F2222" s="57" t="s">
        <v>7173</v>
      </c>
      <c r="G2222" s="49">
        <f t="array" ref="G2222">MAX(IF(INSTOCK!$H$3:$H$6125=B2222,INSTOCK!$K$3:$K$6125))</f>
        <v>3718.7</v>
      </c>
      <c r="H2222" s="50">
        <f t="array" ref="H2222">SUM(IF(INSTOCK!$H$3:$H$6125=B2222,INSTOCK!$I$3:$I$6125))</f>
        <v>1</v>
      </c>
      <c r="I2222" s="50" t="str">
        <f>ARRAY_CONSTRAIN(ARRAYFORMULA(SUM(IF([3]!Table13[ID]=B2222,[3]!Table13[QTY]))), 1, 1)</f>
        <v>#ERROR!</v>
      </c>
      <c r="J2222" s="50" t="str">
        <f>TABLEITEM!$H$3:$H$2749-TABLEITEM!$I$3:$I$2749</f>
        <v>#ERROR!</v>
      </c>
    </row>
    <row r="2223" ht="15.75" customHeight="1">
      <c r="A2223" s="45"/>
      <c r="B2223" s="10" t="s">
        <v>5175</v>
      </c>
      <c r="C2223" s="26"/>
      <c r="D2223" s="10" t="s">
        <v>9805</v>
      </c>
      <c r="E2223" s="56" t="s">
        <v>1487</v>
      </c>
      <c r="F2223" s="57" t="s">
        <v>7173</v>
      </c>
      <c r="G2223" s="49">
        <f t="array" ref="G2223">MAX(IF(INSTOCK!$H$3:$H$6125=B2223,INSTOCK!$K$3:$K$6125))</f>
        <v>73472</v>
      </c>
      <c r="H2223" s="50">
        <f t="array" ref="H2223">SUM(IF(INSTOCK!$H$3:$H$6125=B2223,INSTOCK!$I$3:$I$6125))</f>
        <v>1</v>
      </c>
      <c r="I2223" s="50" t="str">
        <f>ARRAY_CONSTRAIN(ARRAYFORMULA(SUM(IF([3]!Table13[ID]=B2223,[3]!Table13[QTY]))), 1, 1)</f>
        <v>#ERROR!</v>
      </c>
      <c r="J2223" s="50" t="str">
        <f>TABLEITEM!$H$3:$H$2749-TABLEITEM!$I$3:$I$2749</f>
        <v>#ERROR!</v>
      </c>
    </row>
    <row r="2224" ht="15.75" customHeight="1">
      <c r="A2224" s="45"/>
      <c r="B2224" s="10">
        <v>33662.0</v>
      </c>
      <c r="C2224" s="26"/>
      <c r="D2224" s="10" t="s">
        <v>9806</v>
      </c>
      <c r="E2224" s="56" t="s">
        <v>1487</v>
      </c>
      <c r="F2224" s="57" t="s">
        <v>7173</v>
      </c>
      <c r="G2224" s="49">
        <f t="array" ref="G2224">MAX(IF(INSTOCK!$H$3:$H$6125=B2224,INSTOCK!$K$3:$K$6125))</f>
        <v>1980.3</v>
      </c>
      <c r="H2224" s="50">
        <f t="array" ref="H2224">SUM(IF(INSTOCK!$H$3:$H$6125=B2224,INSTOCK!$I$3:$I$6125))</f>
        <v>3</v>
      </c>
      <c r="I2224" s="50" t="str">
        <f>ARRAY_CONSTRAIN(ARRAYFORMULA(SUM(IF([3]!Table13[ID]=B2224,[3]!Table13[QTY]))), 1, 1)</f>
        <v>#ERROR!</v>
      </c>
      <c r="J2224" s="50" t="str">
        <f>TABLEITEM!$H$3:$H$2749-TABLEITEM!$I$3:$I$2749</f>
        <v>#ERROR!</v>
      </c>
    </row>
    <row r="2225" ht="15.75" customHeight="1">
      <c r="A2225" s="45"/>
      <c r="B2225" s="10">
        <v>47074.0</v>
      </c>
      <c r="C2225" s="26"/>
      <c r="D2225" s="10" t="s">
        <v>9807</v>
      </c>
      <c r="E2225" s="56" t="s">
        <v>1487</v>
      </c>
      <c r="F2225" s="57" t="s">
        <v>7173</v>
      </c>
      <c r="G2225" s="49">
        <f t="array" ref="G2225">MAX(IF(INSTOCK!$H$3:$H$6125=B2225,INSTOCK!$K$3:$K$6125))</f>
        <v>381.3</v>
      </c>
      <c r="H2225" s="50">
        <f t="array" ref="H2225">SUM(IF(INSTOCK!$H$3:$H$6125=B2225,INSTOCK!$I$3:$I$6125))</f>
        <v>4</v>
      </c>
      <c r="I2225" s="50" t="str">
        <f>ARRAY_CONSTRAIN(ARRAYFORMULA(SUM(IF([3]!Table13[ID]=B2225,[3]!Table13[QTY]))), 1, 1)</f>
        <v>#ERROR!</v>
      </c>
      <c r="J2225" s="50" t="str">
        <f>TABLEITEM!$H$3:$H$2749-TABLEITEM!$I$3:$I$2749</f>
        <v>#ERROR!</v>
      </c>
    </row>
    <row r="2226" ht="15.75" customHeight="1">
      <c r="A2226" s="45"/>
      <c r="B2226" s="10" t="s">
        <v>5176</v>
      </c>
      <c r="C2226" s="26"/>
      <c r="D2226" s="10" t="s">
        <v>9808</v>
      </c>
      <c r="E2226" s="56" t="s">
        <v>1487</v>
      </c>
      <c r="F2226" s="57" t="s">
        <v>7173</v>
      </c>
      <c r="G2226" s="49">
        <f t="array" ref="G2226">MAX(IF(INSTOCK!$H$3:$H$6125=B2226,INSTOCK!$K$3:$K$6125))</f>
        <v>82000</v>
      </c>
      <c r="H2226" s="50">
        <f t="array" ref="H2226">SUM(IF(INSTOCK!$H$3:$H$6125=B2226,INSTOCK!$I$3:$I$6125))</f>
        <v>2</v>
      </c>
      <c r="I2226" s="50" t="str">
        <f>ARRAY_CONSTRAIN(ARRAYFORMULA(SUM(IF([3]!Table13[ID]=B2226,[3]!Table13[QTY]))), 1, 1)</f>
        <v>#ERROR!</v>
      </c>
      <c r="J2226" s="50" t="str">
        <f>TABLEITEM!$H$3:$H$2749-TABLEITEM!$I$3:$I$2749</f>
        <v>#ERROR!</v>
      </c>
    </row>
    <row r="2227" ht="15.75" customHeight="1">
      <c r="A2227" s="45"/>
      <c r="B2227" s="18" t="s">
        <v>5177</v>
      </c>
      <c r="C2227" s="26"/>
      <c r="D2227" s="18" t="s">
        <v>9809</v>
      </c>
      <c r="E2227" s="56" t="s">
        <v>1487</v>
      </c>
      <c r="F2227" s="57" t="s">
        <v>7173</v>
      </c>
      <c r="G2227" s="49">
        <f t="array" ref="G2227">MAX(IF(INSTOCK!$H$3:$H$6125=B2227,INSTOCK!$K$3:$K$6125))</f>
        <v>31684.8</v>
      </c>
      <c r="H2227" s="50">
        <f t="array" ref="H2227">SUM(IF(INSTOCK!$H$3:$H$6125=B2227,INSTOCK!$I$3:$I$6125))</f>
        <v>1</v>
      </c>
      <c r="I2227" s="50" t="str">
        <f>ARRAY_CONSTRAIN(ARRAYFORMULA(SUM(IF([3]!Table13[ID]=B2227,[3]!Table13[QTY]))), 1, 1)</f>
        <v>#ERROR!</v>
      </c>
      <c r="J2227" s="50" t="str">
        <f>TABLEITEM!$H$3:$H$2749-TABLEITEM!$I$3:$I$2749</f>
        <v>#ERROR!</v>
      </c>
    </row>
    <row r="2228" ht="15.75" customHeight="1">
      <c r="A2228" s="45"/>
      <c r="B2228" s="10" t="s">
        <v>5180</v>
      </c>
      <c r="C2228" s="26"/>
      <c r="D2228" s="10" t="s">
        <v>9810</v>
      </c>
      <c r="E2228" s="56" t="s">
        <v>1487</v>
      </c>
      <c r="F2228" s="57" t="s">
        <v>7173</v>
      </c>
      <c r="G2228" s="49">
        <f t="array" ref="G2228">MAX(IF(INSTOCK!$H$3:$H$6125=B2228,INSTOCK!$K$3:$K$6125))</f>
        <v>8820</v>
      </c>
      <c r="H2228" s="50">
        <f t="array" ref="H2228">SUM(IF(INSTOCK!$H$3:$H$6125=B2228,INSTOCK!$I$3:$I$6125))</f>
        <v>1</v>
      </c>
      <c r="I2228" s="50" t="str">
        <f>ARRAY_CONSTRAIN(ARRAYFORMULA(SUM(IF([3]!Table13[ID]=B2228,[3]!Table13[QTY]))), 1, 1)</f>
        <v>#ERROR!</v>
      </c>
      <c r="J2228" s="50" t="str">
        <f>TABLEITEM!$H$3:$H$2749-TABLEITEM!$I$3:$I$2749</f>
        <v>#ERROR!</v>
      </c>
    </row>
    <row r="2229" ht="15.75" customHeight="1">
      <c r="A2229" s="45"/>
      <c r="B2229" s="10">
        <v>29450.0</v>
      </c>
      <c r="C2229" s="26"/>
      <c r="D2229" s="10" t="s">
        <v>9811</v>
      </c>
      <c r="E2229" s="56" t="s">
        <v>1487</v>
      </c>
      <c r="F2229" s="57" t="s">
        <v>7173</v>
      </c>
      <c r="G2229" s="49">
        <f t="array" ref="G2229">MAX(IF(INSTOCK!$H$3:$H$6125=B2229,INSTOCK!$K$3:$K$6125))</f>
        <v>436.8</v>
      </c>
      <c r="H2229" s="50">
        <f t="array" ref="H2229">SUM(IF(INSTOCK!$H$3:$H$6125=B2229,INSTOCK!$I$3:$I$6125))</f>
        <v>1</v>
      </c>
      <c r="I2229" s="50" t="str">
        <f>ARRAY_CONSTRAIN(ARRAYFORMULA(SUM(IF([3]!Table13[ID]=B2229,[3]!Table13[QTY]))), 1, 1)</f>
        <v>#ERROR!</v>
      </c>
      <c r="J2229" s="50" t="str">
        <f>TABLEITEM!$H$3:$H$2749-TABLEITEM!$I$3:$I$2749</f>
        <v>#ERROR!</v>
      </c>
    </row>
    <row r="2230" ht="15.75" customHeight="1">
      <c r="A2230" s="45"/>
      <c r="B2230" s="10" t="s">
        <v>5181</v>
      </c>
      <c r="C2230" s="26"/>
      <c r="D2230" s="10" t="s">
        <v>9812</v>
      </c>
      <c r="E2230" s="56" t="s">
        <v>1487</v>
      </c>
      <c r="F2230" s="57" t="s">
        <v>7173</v>
      </c>
      <c r="G2230" s="49">
        <f t="array" ref="G2230">MAX(IF(INSTOCK!$H$3:$H$6125=B2230,INSTOCK!$K$3:$K$6125))</f>
        <v>105</v>
      </c>
      <c r="H2230" s="50">
        <f t="array" ref="H2230">SUM(IF(INSTOCK!$H$3:$H$6125=B2230,INSTOCK!$I$3:$I$6125))</f>
        <v>16</v>
      </c>
      <c r="I2230" s="50" t="str">
        <f>ARRAY_CONSTRAIN(ARRAYFORMULA(SUM(IF([3]!Table13[ID]=B2230,[3]!Table13[QTY]))), 1, 1)</f>
        <v>#ERROR!</v>
      </c>
      <c r="J2230" s="50" t="str">
        <f>TABLEITEM!$H$3:$H$2749-TABLEITEM!$I$3:$I$2749</f>
        <v>#ERROR!</v>
      </c>
    </row>
    <row r="2231" ht="15.75" customHeight="1">
      <c r="A2231" s="45"/>
      <c r="B2231" s="10" t="s">
        <v>5182</v>
      </c>
      <c r="C2231" s="26"/>
      <c r="D2231" s="10" t="s">
        <v>9813</v>
      </c>
      <c r="E2231" s="56" t="s">
        <v>1487</v>
      </c>
      <c r="F2231" s="57" t="s">
        <v>7173</v>
      </c>
      <c r="G2231" s="49">
        <f t="array" ref="G2231">MAX(IF(INSTOCK!$H$3:$H$6125=B2231,INSTOCK!$K$3:$K$6125))</f>
        <v>110.7</v>
      </c>
      <c r="H2231" s="50">
        <f t="array" ref="H2231">SUM(IF(INSTOCK!$H$3:$H$6125=B2231,INSTOCK!$I$3:$I$6125))</f>
        <v>15</v>
      </c>
      <c r="I2231" s="50" t="str">
        <f>ARRAY_CONSTRAIN(ARRAYFORMULA(SUM(IF([3]!Table13[ID]=B2231,[3]!Table13[QTY]))), 1, 1)</f>
        <v>#ERROR!</v>
      </c>
      <c r="J2231" s="50" t="str">
        <f>TABLEITEM!$H$3:$H$2749-TABLEITEM!$I$3:$I$2749</f>
        <v>#ERROR!</v>
      </c>
    </row>
    <row r="2232" ht="15.75" customHeight="1">
      <c r="A2232" s="45"/>
      <c r="B2232" s="10" t="s">
        <v>5183</v>
      </c>
      <c r="C2232" s="26"/>
      <c r="D2232" s="10" t="s">
        <v>9814</v>
      </c>
      <c r="E2232" s="56" t="s">
        <v>1487</v>
      </c>
      <c r="F2232" s="57" t="s">
        <v>7173</v>
      </c>
      <c r="G2232" s="49">
        <f t="array" ref="G2232">MAX(IF(INSTOCK!$H$3:$H$6125=B2232,INSTOCK!$K$3:$K$6125))</f>
        <v>105</v>
      </c>
      <c r="H2232" s="50">
        <f t="array" ref="H2232">SUM(IF(INSTOCK!$H$3:$H$6125=B2232,INSTOCK!$I$3:$I$6125))</f>
        <v>15</v>
      </c>
      <c r="I2232" s="50" t="str">
        <f>ARRAY_CONSTRAIN(ARRAYFORMULA(SUM(IF([3]!Table13[ID]=B2232,[3]!Table13[QTY]))), 1, 1)</f>
        <v>#ERROR!</v>
      </c>
      <c r="J2232" s="50" t="str">
        <f>TABLEITEM!$H$3:$H$2749-TABLEITEM!$I$3:$I$2749</f>
        <v>#ERROR!</v>
      </c>
    </row>
    <row r="2233" ht="15.75" customHeight="1">
      <c r="A2233" s="45"/>
      <c r="B2233" s="18" t="s">
        <v>5184</v>
      </c>
      <c r="C2233" s="26"/>
      <c r="D2233" s="10" t="s">
        <v>9815</v>
      </c>
      <c r="E2233" s="56" t="s">
        <v>1487</v>
      </c>
      <c r="F2233" s="57" t="s">
        <v>7173</v>
      </c>
      <c r="G2233" s="49">
        <f t="array" ref="G2233">MAX(IF(INSTOCK!$H$3:$H$6125=B2233,INSTOCK!$K$3:$K$6125))</f>
        <v>105</v>
      </c>
      <c r="H2233" s="50">
        <f t="array" ref="H2233">SUM(IF(INSTOCK!$H$3:$H$6125=B2233,INSTOCK!$I$3:$I$6125))</f>
        <v>1</v>
      </c>
      <c r="I2233" s="50" t="str">
        <f>ARRAY_CONSTRAIN(ARRAYFORMULA(SUM(IF([3]!Table13[ID]=B2233,[3]!Table13[QTY]))), 1, 1)</f>
        <v>#ERROR!</v>
      </c>
      <c r="J2233" s="50" t="str">
        <f>TABLEITEM!$H$3:$H$2749-TABLEITEM!$I$3:$I$2749</f>
        <v>#ERROR!</v>
      </c>
    </row>
    <row r="2234" ht="15.75" customHeight="1">
      <c r="A2234" s="45"/>
      <c r="B2234" s="18" t="s">
        <v>5185</v>
      </c>
      <c r="C2234" s="26"/>
      <c r="D2234" s="18" t="s">
        <v>9816</v>
      </c>
      <c r="E2234" s="56" t="s">
        <v>1487</v>
      </c>
      <c r="F2234" s="57" t="s">
        <v>7173</v>
      </c>
      <c r="G2234" s="49">
        <f t="array" ref="G2234">MAX(IF(INSTOCK!$H$3:$H$6125=B2234,INSTOCK!$K$3:$K$6125))</f>
        <v>1026</v>
      </c>
      <c r="H2234" s="50">
        <f t="array" ref="H2234">SUM(IF(INSTOCK!$H$3:$H$6125=B2234,INSTOCK!$I$3:$I$6125))</f>
        <v>3</v>
      </c>
      <c r="I2234" s="50" t="str">
        <f>ARRAY_CONSTRAIN(ARRAYFORMULA(SUM(IF([3]!Table13[ID]=B2234,[3]!Table13[QTY]))), 1, 1)</f>
        <v>#ERROR!</v>
      </c>
      <c r="J2234" s="50" t="str">
        <f>TABLEITEM!$H$3:$H$2749-TABLEITEM!$I$3:$I$2749</f>
        <v>#ERROR!</v>
      </c>
    </row>
    <row r="2235" ht="15.75" customHeight="1">
      <c r="A2235" s="45"/>
      <c r="B2235" s="18" t="s">
        <v>5186</v>
      </c>
      <c r="C2235" s="26"/>
      <c r="D2235" s="18" t="s">
        <v>9817</v>
      </c>
      <c r="E2235" s="56" t="s">
        <v>1487</v>
      </c>
      <c r="F2235" s="57" t="s">
        <v>7173</v>
      </c>
      <c r="G2235" s="49">
        <f t="array" ref="G2235">MAX(IF(INSTOCK!$H$3:$H$6125=B2235,INSTOCK!$K$3:$K$6125))</f>
        <v>168.1</v>
      </c>
      <c r="H2235" s="50">
        <f t="array" ref="H2235">SUM(IF(INSTOCK!$H$3:$H$6125=B2235,INSTOCK!$I$3:$I$6125))</f>
        <v>54</v>
      </c>
      <c r="I2235" s="50" t="str">
        <f>ARRAY_CONSTRAIN(ARRAYFORMULA(SUM(IF([3]!Table13[ID]=B2235,[3]!Table13[QTY]))), 1, 1)</f>
        <v>#ERROR!</v>
      </c>
      <c r="J2235" s="50" t="str">
        <f>TABLEITEM!$H$3:$H$2749-TABLEITEM!$I$3:$I$2749</f>
        <v>#ERROR!</v>
      </c>
    </row>
    <row r="2236" ht="15.75" customHeight="1">
      <c r="A2236" s="45"/>
      <c r="B2236" s="18" t="s">
        <v>5187</v>
      </c>
      <c r="C2236" s="26"/>
      <c r="D2236" s="18" t="s">
        <v>9818</v>
      </c>
      <c r="E2236" s="56" t="s">
        <v>1487</v>
      </c>
      <c r="F2236" s="57" t="s">
        <v>7173</v>
      </c>
      <c r="G2236" s="49">
        <f t="array" ref="G2236">MAX(IF(INSTOCK!$H$3:$H$6125=B2236,INSTOCK!$K$3:$K$6125))</f>
        <v>751.8</v>
      </c>
      <c r="H2236" s="50">
        <f t="array" ref="H2236">SUM(IF(INSTOCK!$H$3:$H$6125=B2236,INSTOCK!$I$3:$I$6125))</f>
        <v>6</v>
      </c>
      <c r="I2236" s="50" t="str">
        <f>ARRAY_CONSTRAIN(ARRAYFORMULA(SUM(IF([3]!Table13[ID]=B2236,[3]!Table13[QTY]))), 1, 1)</f>
        <v>#ERROR!</v>
      </c>
      <c r="J2236" s="50" t="str">
        <f>TABLEITEM!$H$3:$H$2749-TABLEITEM!$I$3:$I$2749</f>
        <v>#ERROR!</v>
      </c>
    </row>
    <row r="2237" ht="15.75" customHeight="1">
      <c r="A2237" s="45"/>
      <c r="B2237" s="10" t="s">
        <v>5188</v>
      </c>
      <c r="C2237" s="26"/>
      <c r="D2237" s="18" t="s">
        <v>9819</v>
      </c>
      <c r="E2237" s="56" t="s">
        <v>1487</v>
      </c>
      <c r="F2237" s="57" t="s">
        <v>7173</v>
      </c>
      <c r="G2237" s="49">
        <f t="array" ref="G2237">MAX(IF(INSTOCK!$H$3:$H$6125=B2237,INSTOCK!$K$3:$K$6125))</f>
        <v>176.4</v>
      </c>
      <c r="H2237" s="50">
        <f t="array" ref="H2237">SUM(IF(INSTOCK!$H$3:$H$6125=B2237,INSTOCK!$I$3:$I$6125))</f>
        <v>4</v>
      </c>
      <c r="I2237" s="50" t="str">
        <f>ARRAY_CONSTRAIN(ARRAYFORMULA(SUM(IF([3]!Table13[ID]=B2237,[3]!Table13[QTY]))), 1, 1)</f>
        <v>#ERROR!</v>
      </c>
      <c r="J2237" s="50" t="str">
        <f>TABLEITEM!$H$3:$H$2749-TABLEITEM!$I$3:$I$2749</f>
        <v>#ERROR!</v>
      </c>
    </row>
    <row r="2238" ht="15.75" customHeight="1">
      <c r="A2238" s="45"/>
      <c r="B2238" s="18" t="s">
        <v>5189</v>
      </c>
      <c r="C2238" s="26"/>
      <c r="D2238" s="18" t="s">
        <v>9820</v>
      </c>
      <c r="E2238" s="56" t="s">
        <v>1487</v>
      </c>
      <c r="F2238" s="57" t="s">
        <v>7173</v>
      </c>
      <c r="G2238" s="49">
        <f t="array" ref="G2238">MAX(IF(INSTOCK!$H$3:$H$6125=B2238,INSTOCK!$K$3:$K$6125))</f>
        <v>140</v>
      </c>
      <c r="H2238" s="50">
        <f t="array" ref="H2238">SUM(IF(INSTOCK!$H$3:$H$6125=B2238,INSTOCK!$I$3:$I$6125))</f>
        <v>4</v>
      </c>
      <c r="I2238" s="50" t="str">
        <f>ARRAY_CONSTRAIN(ARRAYFORMULA(SUM(IF([3]!Table13[ID]=B2238,[3]!Table13[QTY]))), 1, 1)</f>
        <v>#ERROR!</v>
      </c>
      <c r="J2238" s="50" t="str">
        <f>TABLEITEM!$H$3:$H$2749-TABLEITEM!$I$3:$I$2749</f>
        <v>#ERROR!</v>
      </c>
    </row>
    <row r="2239" ht="15.75" customHeight="1">
      <c r="A2239" s="45"/>
      <c r="B2239" s="10" t="s">
        <v>5190</v>
      </c>
      <c r="C2239" s="26"/>
      <c r="D2239" s="10" t="s">
        <v>9821</v>
      </c>
      <c r="E2239" s="56"/>
      <c r="F2239" s="57" t="s">
        <v>7173</v>
      </c>
      <c r="G2239" s="49">
        <f t="array" ref="G2239">MAX(IF(INSTOCK!$H$3:$H$6125=B2239,INSTOCK!$K$3:$K$6125))</f>
        <v>1400</v>
      </c>
      <c r="H2239" s="50">
        <f t="array" ref="H2239">SUM(IF(INSTOCK!$H$3:$H$6125=B2239,INSTOCK!$I$3:$I$6125))</f>
        <v>2</v>
      </c>
      <c r="I2239" s="50" t="str">
        <f>ARRAY_CONSTRAIN(ARRAYFORMULA(SUM(IF([3]!Table13[ID]=B2239,[3]!Table13[QTY]))), 1, 1)</f>
        <v>#ERROR!</v>
      </c>
      <c r="J2239" s="50" t="str">
        <f>TABLEITEM!$H$3:$H$2749-TABLEITEM!$I$3:$I$2749</f>
        <v>#ERROR!</v>
      </c>
    </row>
    <row r="2240" ht="15.75" customHeight="1">
      <c r="A2240" s="45"/>
      <c r="B2240" s="18" t="s">
        <v>5191</v>
      </c>
      <c r="C2240" s="26"/>
      <c r="D2240" s="18" t="s">
        <v>9822</v>
      </c>
      <c r="E2240" s="56"/>
      <c r="F2240" s="57" t="s">
        <v>7173</v>
      </c>
      <c r="G2240" s="49">
        <f t="array" ref="G2240">MAX(IF(INSTOCK!$H$3:$H$6125=B2240,INSTOCK!$K$3:$K$6125))</f>
        <v>1800</v>
      </c>
      <c r="H2240" s="50">
        <f t="array" ref="H2240">SUM(IF(INSTOCK!$H$3:$H$6125=B2240,INSTOCK!$I$3:$I$6125))</f>
        <v>1</v>
      </c>
      <c r="I2240" s="50" t="str">
        <f>ARRAY_CONSTRAIN(ARRAYFORMULA(SUM(IF([3]!Table13[ID]=B2240,[3]!Table13[QTY]))), 1, 1)</f>
        <v>#ERROR!</v>
      </c>
      <c r="J2240" s="50" t="str">
        <f>TABLEITEM!$H$3:$H$2749-TABLEITEM!$I$3:$I$2749</f>
        <v>#ERROR!</v>
      </c>
    </row>
    <row r="2241" ht="15.75" customHeight="1">
      <c r="A2241" s="62"/>
      <c r="B2241" s="18" t="s">
        <v>9823</v>
      </c>
      <c r="C2241" s="26" t="s">
        <v>734</v>
      </c>
      <c r="D2241" s="18" t="s">
        <v>9824</v>
      </c>
      <c r="E2241" s="56"/>
      <c r="F2241" s="57" t="s">
        <v>7173</v>
      </c>
      <c r="G2241" s="49">
        <f t="array" ref="G2241">MAX(IF(INSTOCK!$H$3:$H$6125=B2241,INSTOCK!$K$3:$K$6125))</f>
        <v>289.11</v>
      </c>
      <c r="H2241" s="50">
        <f t="array" ref="H2241">SUM(IF(INSTOCK!$H$3:$H$6125=B2241,INSTOCK!$I$3:$I$6125))</f>
        <v>50</v>
      </c>
      <c r="I2241" s="50" t="str">
        <f>ARRAY_CONSTRAIN(ARRAYFORMULA(SUM(IF([3]!Table13[ID]=B2241,[3]!Table13[QTY]))), 1, 1)</f>
        <v>#ERROR!</v>
      </c>
      <c r="J2241" s="50" t="str">
        <f>TABLEITEM!$H$3:$H$2749-TABLEITEM!$I$3:$I$2749</f>
        <v>#ERROR!</v>
      </c>
    </row>
    <row r="2242" ht="15.75" customHeight="1">
      <c r="A2242" s="45"/>
      <c r="B2242" s="10" t="s">
        <v>5194</v>
      </c>
      <c r="C2242" s="26"/>
      <c r="D2242" s="10" t="s">
        <v>9825</v>
      </c>
      <c r="E2242" s="56"/>
      <c r="F2242" s="57" t="s">
        <v>7173</v>
      </c>
      <c r="G2242" s="49">
        <f t="array" ref="G2242">MAX(IF(INSTOCK!$H$3:$H$6125=B2242,INSTOCK!$K$3:$K$6125))</f>
        <v>12800</v>
      </c>
      <c r="H2242" s="50">
        <f t="array" ref="H2242">SUM(IF(INSTOCK!$H$3:$H$6125=B2242,INSTOCK!$I$3:$I$6125))</f>
        <v>3</v>
      </c>
      <c r="I2242" s="50" t="str">
        <f>ARRAY_CONSTRAIN(ARRAYFORMULA(SUM(IF([3]!Table13[ID]=B2242,[3]!Table13[QTY]))), 1, 1)</f>
        <v>#ERROR!</v>
      </c>
      <c r="J2242" s="50" t="str">
        <f>TABLEITEM!$H$3:$H$2749-TABLEITEM!$I$3:$I$2749</f>
        <v>#ERROR!</v>
      </c>
    </row>
    <row r="2243" ht="15.75" customHeight="1">
      <c r="A2243" s="45"/>
      <c r="B2243" s="18" t="s">
        <v>5195</v>
      </c>
      <c r="C2243" s="26"/>
      <c r="D2243" s="10" t="s">
        <v>9826</v>
      </c>
      <c r="E2243" s="56"/>
      <c r="F2243" s="57" t="s">
        <v>7173</v>
      </c>
      <c r="G2243" s="49">
        <f t="array" ref="G2243">MAX(IF(INSTOCK!$H$3:$H$6125=B2243,INSTOCK!$K$3:$K$6125))</f>
        <v>14700</v>
      </c>
      <c r="H2243" s="50">
        <f t="array" ref="H2243">SUM(IF(INSTOCK!$H$3:$H$6125=B2243,INSTOCK!$I$3:$I$6125))</f>
        <v>2</v>
      </c>
      <c r="I2243" s="50" t="str">
        <f>ARRAY_CONSTRAIN(ARRAYFORMULA(SUM(IF([3]!Table13[ID]=B2243,[3]!Table13[QTY]))), 1, 1)</f>
        <v>#ERROR!</v>
      </c>
      <c r="J2243" s="50" t="str">
        <f>TABLEITEM!$H$3:$H$2749-TABLEITEM!$I$3:$I$2749</f>
        <v>#ERROR!</v>
      </c>
    </row>
    <row r="2244" ht="15.75" customHeight="1">
      <c r="A2244" s="45"/>
      <c r="B2244" s="18" t="s">
        <v>5198</v>
      </c>
      <c r="C2244" s="26"/>
      <c r="D2244" s="18" t="s">
        <v>9827</v>
      </c>
      <c r="E2244" s="56"/>
      <c r="F2244" s="57" t="s">
        <v>7173</v>
      </c>
      <c r="G2244" s="49">
        <f t="array" ref="G2244">MAX(IF(INSTOCK!$H$3:$H$6125=B2244,INSTOCK!$K$3:$K$6125))</f>
        <v>170</v>
      </c>
      <c r="H2244" s="50">
        <f t="array" ref="H2244">SUM(IF(INSTOCK!$H$3:$H$6125=B2244,INSTOCK!$I$3:$I$6125))</f>
        <v>1</v>
      </c>
      <c r="I2244" s="50" t="str">
        <f>ARRAY_CONSTRAIN(ARRAYFORMULA(SUM(IF([3]!Table13[ID]=B2244,[3]!Table13[QTY]))), 1, 1)</f>
        <v>#ERROR!</v>
      </c>
      <c r="J2244" s="50" t="str">
        <f>TABLEITEM!$H$3:$H$2749-TABLEITEM!$I$3:$I$2749</f>
        <v>#ERROR!</v>
      </c>
    </row>
    <row r="2245" ht="15.75" customHeight="1">
      <c r="A2245" s="45"/>
      <c r="B2245" s="10" t="s">
        <v>5200</v>
      </c>
      <c r="C2245" s="26"/>
      <c r="D2245" s="10" t="s">
        <v>9828</v>
      </c>
      <c r="E2245" s="56" t="s">
        <v>9648</v>
      </c>
      <c r="F2245" s="57" t="s">
        <v>7173</v>
      </c>
      <c r="G2245" s="49">
        <f t="array" ref="G2245">MAX(IF(INSTOCK!$H$3:$H$6125=B2245,INSTOCK!$K$3:$K$6125))</f>
        <v>10</v>
      </c>
      <c r="H2245" s="50">
        <f t="array" ref="H2245">SUM(IF(INSTOCK!$H$3:$H$6125=B2245,INSTOCK!$I$3:$I$6125))</f>
        <v>10</v>
      </c>
      <c r="I2245" s="50" t="str">
        <f>ARRAY_CONSTRAIN(ARRAYFORMULA(SUM(IF([3]!Table13[ID]=B2245,[3]!Table13[QTY]))), 1, 1)</f>
        <v>#ERROR!</v>
      </c>
      <c r="J2245" s="50" t="str">
        <f>TABLEITEM!$H$3:$H$2749-TABLEITEM!$I$3:$I$2749</f>
        <v>#ERROR!</v>
      </c>
    </row>
    <row r="2246" ht="15.75" customHeight="1">
      <c r="A2246" s="45"/>
      <c r="B2246" s="10" t="s">
        <v>5201</v>
      </c>
      <c r="C2246" s="26"/>
      <c r="D2246" s="10" t="s">
        <v>9829</v>
      </c>
      <c r="E2246" s="56" t="s">
        <v>9648</v>
      </c>
      <c r="F2246" s="57" t="s">
        <v>7173</v>
      </c>
      <c r="G2246" s="49">
        <f t="array" ref="G2246">MAX(IF(INSTOCK!$H$3:$H$6125=B2246,INSTOCK!$K$3:$K$6125))</f>
        <v>12</v>
      </c>
      <c r="H2246" s="50">
        <f t="array" ref="H2246">SUM(IF(INSTOCK!$H$3:$H$6125=B2246,INSTOCK!$I$3:$I$6125))</f>
        <v>10</v>
      </c>
      <c r="I2246" s="50" t="str">
        <f>ARRAY_CONSTRAIN(ARRAYFORMULA(SUM(IF([3]!Table13[ID]=B2246,[3]!Table13[QTY]))), 1, 1)</f>
        <v>#ERROR!</v>
      </c>
      <c r="J2246" s="50" t="str">
        <f>TABLEITEM!$H$3:$H$2749-TABLEITEM!$I$3:$I$2749</f>
        <v>#ERROR!</v>
      </c>
    </row>
    <row r="2247" ht="15.75" customHeight="1">
      <c r="A2247" s="45"/>
      <c r="B2247" s="10" t="s">
        <v>5202</v>
      </c>
      <c r="C2247" s="26"/>
      <c r="D2247" s="10" t="s">
        <v>9830</v>
      </c>
      <c r="E2247" s="56" t="s">
        <v>9648</v>
      </c>
      <c r="F2247" s="57" t="s">
        <v>7173</v>
      </c>
      <c r="G2247" s="49">
        <f t="array" ref="G2247">MAX(IF(INSTOCK!$H$3:$H$6125=B2247,INSTOCK!$K$3:$K$6125))</f>
        <v>23</v>
      </c>
      <c r="H2247" s="50">
        <f t="array" ref="H2247">SUM(IF(INSTOCK!$H$3:$H$6125=B2247,INSTOCK!$I$3:$I$6125))</f>
        <v>1</v>
      </c>
      <c r="I2247" s="50" t="str">
        <f>ARRAY_CONSTRAIN(ARRAYFORMULA(SUM(IF([3]!Table13[ID]=B2247,[3]!Table13[QTY]))), 1, 1)</f>
        <v>#ERROR!</v>
      </c>
      <c r="J2247" s="50" t="str">
        <f>TABLEITEM!$H$3:$H$2749-TABLEITEM!$I$3:$I$2749</f>
        <v>#ERROR!</v>
      </c>
    </row>
    <row r="2248" ht="15.75" customHeight="1">
      <c r="A2248" s="45"/>
      <c r="B2248" s="10" t="s">
        <v>5203</v>
      </c>
      <c r="C2248" s="26"/>
      <c r="D2248" s="10" t="s">
        <v>9831</v>
      </c>
      <c r="E2248" s="56" t="s">
        <v>9648</v>
      </c>
      <c r="F2248" s="57" t="s">
        <v>7173</v>
      </c>
      <c r="G2248" s="49">
        <f t="array" ref="G2248">MAX(IF(INSTOCK!$H$3:$H$6125=B2248,INSTOCK!$K$3:$K$6125))</f>
        <v>35</v>
      </c>
      <c r="H2248" s="50">
        <f t="array" ref="H2248">SUM(IF(INSTOCK!$H$3:$H$6125=B2248,INSTOCK!$I$3:$I$6125))</f>
        <v>2</v>
      </c>
      <c r="I2248" s="50" t="str">
        <f>ARRAY_CONSTRAIN(ARRAYFORMULA(SUM(IF([3]!Table13[ID]=B2248,[3]!Table13[QTY]))), 1, 1)</f>
        <v>#ERROR!</v>
      </c>
      <c r="J2248" s="50" t="str">
        <f>TABLEITEM!$H$3:$H$2749-TABLEITEM!$I$3:$I$2749</f>
        <v>#ERROR!</v>
      </c>
    </row>
    <row r="2249" ht="15.75" customHeight="1">
      <c r="A2249" s="45"/>
      <c r="B2249" s="18" t="s">
        <v>5204</v>
      </c>
      <c r="C2249" s="26"/>
      <c r="D2249" s="10" t="s">
        <v>9832</v>
      </c>
      <c r="E2249" s="56" t="s">
        <v>9648</v>
      </c>
      <c r="F2249" s="57" t="s">
        <v>7173</v>
      </c>
      <c r="G2249" s="49">
        <f t="array" ref="G2249">MAX(IF(INSTOCK!$H$3:$H$6125=B2249,INSTOCK!$K$3:$K$6125))</f>
        <v>40</v>
      </c>
      <c r="H2249" s="50">
        <f t="array" ref="H2249">SUM(IF(INSTOCK!$H$3:$H$6125=B2249,INSTOCK!$I$3:$I$6125))</f>
        <v>10</v>
      </c>
      <c r="I2249" s="50" t="str">
        <f>ARRAY_CONSTRAIN(ARRAYFORMULA(SUM(IF([3]!Table13[ID]=B2249,[3]!Table13[QTY]))), 1, 1)</f>
        <v>#ERROR!</v>
      </c>
      <c r="J2249" s="50" t="str">
        <f>TABLEITEM!$H$3:$H$2749-TABLEITEM!$I$3:$I$2749</f>
        <v>#ERROR!</v>
      </c>
    </row>
    <row r="2250" ht="15.75" customHeight="1">
      <c r="A2250" s="45"/>
      <c r="B2250" s="18" t="s">
        <v>5207</v>
      </c>
      <c r="C2250" s="26"/>
      <c r="D2250" s="18" t="s">
        <v>9833</v>
      </c>
      <c r="E2250" s="56"/>
      <c r="F2250" s="57" t="s">
        <v>7173</v>
      </c>
      <c r="G2250" s="49">
        <f t="array" ref="G2250">MAX(IF(INSTOCK!$H$3:$H$6125=B2250,INSTOCK!$K$3:$K$6125))</f>
        <v>100</v>
      </c>
      <c r="H2250" s="50">
        <f t="array" ref="H2250">SUM(IF(INSTOCK!$H$3:$H$6125=B2250,INSTOCK!$I$3:$I$6125))</f>
        <v>10</v>
      </c>
      <c r="I2250" s="50" t="str">
        <f>ARRAY_CONSTRAIN(ARRAYFORMULA(SUM(IF([3]!Table13[ID]=B2250,[3]!Table13[QTY]))), 1, 1)</f>
        <v>#ERROR!</v>
      </c>
      <c r="J2250" s="50" t="str">
        <f>TABLEITEM!$H$3:$H$2749-TABLEITEM!$I$3:$I$2749</f>
        <v>#ERROR!</v>
      </c>
    </row>
    <row r="2251" ht="15.75" customHeight="1">
      <c r="A2251" s="45"/>
      <c r="B2251" s="18" t="s">
        <v>5209</v>
      </c>
      <c r="C2251" s="26"/>
      <c r="D2251" s="18" t="s">
        <v>9834</v>
      </c>
      <c r="E2251" s="56"/>
      <c r="F2251" s="57" t="s">
        <v>7173</v>
      </c>
      <c r="G2251" s="49">
        <f t="array" ref="G2251">MAX(IF(INSTOCK!$H$3:$H$6125=B2251,INSTOCK!$K$3:$K$6125))</f>
        <v>180.6</v>
      </c>
      <c r="H2251" s="50">
        <f t="array" ref="H2251">SUM(IF(INSTOCK!$H$3:$H$6125=B2251,INSTOCK!$I$3:$I$6125))</f>
        <v>3</v>
      </c>
      <c r="I2251" s="50" t="str">
        <f>ARRAY_CONSTRAIN(ARRAYFORMULA(SUM(IF([3]!Table13[ID]=B2251,[3]!Table13[QTY]))), 1, 1)</f>
        <v>#ERROR!</v>
      </c>
      <c r="J2251" s="50" t="str">
        <f>TABLEITEM!$H$3:$H$2749-TABLEITEM!$I$3:$I$2749</f>
        <v>#ERROR!</v>
      </c>
    </row>
    <row r="2252" ht="15.75" customHeight="1">
      <c r="A2252" s="45"/>
      <c r="B2252" s="18" t="s">
        <v>5216</v>
      </c>
      <c r="C2252" s="26"/>
      <c r="D2252" s="18" t="s">
        <v>9835</v>
      </c>
      <c r="E2252" s="56" t="s">
        <v>9836</v>
      </c>
      <c r="F2252" s="57" t="s">
        <v>7173</v>
      </c>
      <c r="G2252" s="49">
        <f t="array" ref="G2252">MAX(IF(INSTOCK!$H$3:$H$6125=B2252,INSTOCK!$K$3:$K$6125))</f>
        <v>2600</v>
      </c>
      <c r="H2252" s="50">
        <f t="array" ref="H2252">SUM(IF(INSTOCK!$H$3:$H$6125=B2252,INSTOCK!$I$3:$I$6125))</f>
        <v>1</v>
      </c>
      <c r="I2252" s="50" t="str">
        <f>ARRAY_CONSTRAIN(ARRAYFORMULA(SUM(IF([3]!Table13[ID]=B2252,[3]!Table13[QTY]))), 1, 1)</f>
        <v>#ERROR!</v>
      </c>
      <c r="J2252" s="50" t="str">
        <f>TABLEITEM!$H$3:$H$2749-TABLEITEM!$I$3:$I$2749</f>
        <v>#ERROR!</v>
      </c>
    </row>
    <row r="2253" ht="15.75" customHeight="1">
      <c r="A2253" s="45"/>
      <c r="B2253" s="18" t="s">
        <v>5220</v>
      </c>
      <c r="C2253" s="26"/>
      <c r="D2253" s="18" t="s">
        <v>9837</v>
      </c>
      <c r="E2253" s="56"/>
      <c r="F2253" s="57" t="s">
        <v>7173</v>
      </c>
      <c r="G2253" s="49">
        <f t="array" ref="G2253">MAX(IF(INSTOCK!$H$3:$H$6125=B2253,INSTOCK!$K$3:$K$6125))</f>
        <v>32.71</v>
      </c>
      <c r="H2253" s="50">
        <f t="array" ref="H2253">SUM(IF(INSTOCK!$H$3:$H$6125=B2253,INSTOCK!$I$3:$I$6125))</f>
        <v>3</v>
      </c>
      <c r="I2253" s="50" t="str">
        <f>ARRAY_CONSTRAIN(ARRAYFORMULA(SUM(IF([3]!Table13[ID]=B2253,[3]!Table13[QTY]))), 1, 1)</f>
        <v>#ERROR!</v>
      </c>
      <c r="J2253" s="50" t="str">
        <f>TABLEITEM!$H$3:$H$2749-TABLEITEM!$I$3:$I$2749</f>
        <v>#ERROR!</v>
      </c>
    </row>
    <row r="2254" ht="15.75" customHeight="1">
      <c r="A2254" s="45"/>
      <c r="B2254" s="18" t="s">
        <v>5223</v>
      </c>
      <c r="C2254" s="26"/>
      <c r="D2254" s="18" t="s">
        <v>9838</v>
      </c>
      <c r="E2254" s="56"/>
      <c r="F2254" s="57" t="s">
        <v>7173</v>
      </c>
      <c r="G2254" s="49">
        <f t="array" ref="G2254">MAX(IF(INSTOCK!$H$3:$H$6125=B2254,INSTOCK!$K$3:$K$6125))</f>
        <v>8820</v>
      </c>
      <c r="H2254" s="50">
        <f t="array" ref="H2254">SUM(IF(INSTOCK!$H$3:$H$6125=B2254,INSTOCK!$I$3:$I$6125))</f>
        <v>1</v>
      </c>
      <c r="I2254" s="50" t="str">
        <f>ARRAY_CONSTRAIN(ARRAYFORMULA(SUM(IF([3]!Table13[ID]=B2254,[3]!Table13[QTY]))), 1, 1)</f>
        <v>#ERROR!</v>
      </c>
      <c r="J2254" s="50" t="str">
        <f>TABLEITEM!$H$3:$H$2749-TABLEITEM!$I$3:$I$2749</f>
        <v>#ERROR!</v>
      </c>
    </row>
    <row r="2255" ht="15.75" customHeight="1">
      <c r="A2255" s="45"/>
      <c r="B2255" s="18" t="s">
        <v>5224</v>
      </c>
      <c r="C2255" s="26"/>
      <c r="D2255" s="18" t="s">
        <v>9839</v>
      </c>
      <c r="E2255" s="56" t="s">
        <v>1487</v>
      </c>
      <c r="F2255" s="57" t="s">
        <v>7173</v>
      </c>
      <c r="G2255" s="49">
        <f t="array" ref="G2255">MAX(IF(INSTOCK!$H$3:$H$6125=B2255,INSTOCK!$K$3:$K$6125))</f>
        <v>942.4</v>
      </c>
      <c r="H2255" s="50">
        <f t="array" ref="H2255">SUM(IF(INSTOCK!$H$3:$H$6125=B2255,INSTOCK!$I$3:$I$6125))</f>
        <v>2</v>
      </c>
      <c r="I2255" s="50" t="str">
        <f>ARRAY_CONSTRAIN(ARRAYFORMULA(SUM(IF([3]!Table13[ID]=B2255,[3]!Table13[QTY]))), 1, 1)</f>
        <v>#ERROR!</v>
      </c>
      <c r="J2255" s="50" t="str">
        <f>TABLEITEM!$H$3:$H$2749-TABLEITEM!$I$3:$I$2749</f>
        <v>#ERROR!</v>
      </c>
    </row>
    <row r="2256" ht="15.75" customHeight="1">
      <c r="A2256" s="45"/>
      <c r="B2256" s="18" t="s">
        <v>5225</v>
      </c>
      <c r="C2256" s="26"/>
      <c r="D2256" s="18" t="s">
        <v>9840</v>
      </c>
      <c r="E2256" s="56" t="s">
        <v>1487</v>
      </c>
      <c r="F2256" s="57" t="s">
        <v>7173</v>
      </c>
      <c r="G2256" s="49">
        <f t="array" ref="G2256">MAX(IF(INSTOCK!$H$3:$H$6125=B2256,INSTOCK!$K$3:$K$6125))</f>
        <v>9717</v>
      </c>
      <c r="H2256" s="50">
        <f t="array" ref="H2256">SUM(IF(INSTOCK!$H$3:$H$6125=B2256,INSTOCK!$I$3:$I$6125))</f>
        <v>4</v>
      </c>
      <c r="I2256" s="50" t="str">
        <f>ARRAY_CONSTRAIN(ARRAYFORMULA(SUM(IF([3]!Table13[ID]=B2256,[3]!Table13[QTY]))), 1, 1)</f>
        <v>#ERROR!</v>
      </c>
      <c r="J2256" s="50" t="str">
        <f>TABLEITEM!$H$3:$H$2749-TABLEITEM!$I$3:$I$2749</f>
        <v>#ERROR!</v>
      </c>
    </row>
    <row r="2257" ht="15.75" customHeight="1">
      <c r="A2257" s="45"/>
      <c r="B2257" s="18" t="s">
        <v>5231</v>
      </c>
      <c r="C2257" s="26"/>
      <c r="D2257" s="18" t="s">
        <v>9841</v>
      </c>
      <c r="E2257" s="56" t="s">
        <v>1487</v>
      </c>
      <c r="F2257" s="57" t="s">
        <v>7173</v>
      </c>
      <c r="G2257" s="49">
        <f t="array" ref="G2257">MAX(IF(INSTOCK!$H$3:$H$6125=B2257,INSTOCK!$K$3:$K$6125))</f>
        <v>1881</v>
      </c>
      <c r="H2257" s="50">
        <f t="array" ref="H2257">SUM(IF(INSTOCK!$H$3:$H$6125=B2257,INSTOCK!$I$3:$I$6125))</f>
        <v>8</v>
      </c>
      <c r="I2257" s="50" t="str">
        <f>ARRAY_CONSTRAIN(ARRAYFORMULA(SUM(IF([3]!Table13[ID]=B2257,[3]!Table13[QTY]))), 1, 1)</f>
        <v>#ERROR!</v>
      </c>
      <c r="J2257" s="50" t="str">
        <f>TABLEITEM!$H$3:$H$2749-TABLEITEM!$I$3:$I$2749</f>
        <v>#ERROR!</v>
      </c>
    </row>
    <row r="2258" ht="15.75" customHeight="1">
      <c r="A2258" s="45"/>
      <c r="B2258" s="18" t="s">
        <v>5233</v>
      </c>
      <c r="C2258" s="26"/>
      <c r="D2258" s="18" t="s">
        <v>9842</v>
      </c>
      <c r="E2258" s="56" t="s">
        <v>1487</v>
      </c>
      <c r="F2258" s="57" t="s">
        <v>7173</v>
      </c>
      <c r="G2258" s="49">
        <f t="array" ref="G2258">MAX(IF(INSTOCK!$H$3:$H$6125=B2258,INSTOCK!$K$3:$K$6125))</f>
        <v>123</v>
      </c>
      <c r="H2258" s="50">
        <f t="array" ref="H2258">SUM(IF(INSTOCK!$H$3:$H$6125=B2258,INSTOCK!$I$3:$I$6125))</f>
        <v>50</v>
      </c>
      <c r="I2258" s="50" t="str">
        <f>ARRAY_CONSTRAIN(ARRAYFORMULA(SUM(IF([3]!Table13[ID]=B2258,[3]!Table13[QTY]))), 1, 1)</f>
        <v>#ERROR!</v>
      </c>
      <c r="J2258" s="50" t="str">
        <f>TABLEITEM!$H$3:$H$2749-TABLEITEM!$I$3:$I$2749</f>
        <v>#ERROR!</v>
      </c>
    </row>
    <row r="2259" ht="15.75" customHeight="1">
      <c r="A2259" s="45"/>
      <c r="B2259" s="18" t="s">
        <v>5235</v>
      </c>
      <c r="C2259" s="26"/>
      <c r="D2259" s="18" t="s">
        <v>9843</v>
      </c>
      <c r="E2259" s="56" t="s">
        <v>1487</v>
      </c>
      <c r="F2259" s="57" t="s">
        <v>7173</v>
      </c>
      <c r="G2259" s="49">
        <f t="array" ref="G2259">MAX(IF(INSTOCK!$H$3:$H$6125=B2259,INSTOCK!$K$3:$K$6125))</f>
        <v>225</v>
      </c>
      <c r="H2259" s="50">
        <f t="array" ref="H2259">SUM(IF(INSTOCK!$H$3:$H$6125=B2259,INSTOCK!$I$3:$I$6125))</f>
        <v>20</v>
      </c>
      <c r="I2259" s="50" t="str">
        <f>ARRAY_CONSTRAIN(ARRAYFORMULA(SUM(IF([3]!Table13[ID]=B2259,[3]!Table13[QTY]))), 1, 1)</f>
        <v>#ERROR!</v>
      </c>
      <c r="J2259" s="50" t="str">
        <f>TABLEITEM!$H$3:$H$2749-TABLEITEM!$I$3:$I$2749</f>
        <v>#ERROR!</v>
      </c>
    </row>
    <row r="2260" ht="15.75" customHeight="1">
      <c r="A2260" s="45"/>
      <c r="B2260" s="18" t="s">
        <v>5236</v>
      </c>
      <c r="C2260" s="26"/>
      <c r="D2260" s="18" t="s">
        <v>9844</v>
      </c>
      <c r="E2260" s="56" t="s">
        <v>1487</v>
      </c>
      <c r="F2260" s="57" t="s">
        <v>7173</v>
      </c>
      <c r="G2260" s="49">
        <f t="array" ref="G2260">MAX(IF(INSTOCK!$H$3:$H$6125=B2260,INSTOCK!$K$3:$K$6125))</f>
        <v>1225</v>
      </c>
      <c r="H2260" s="50">
        <f t="array" ref="H2260">SUM(IF(INSTOCK!$H$3:$H$6125=B2260,INSTOCK!$I$3:$I$6125))</f>
        <v>6</v>
      </c>
      <c r="I2260" s="50" t="str">
        <f>ARRAY_CONSTRAIN(ARRAYFORMULA(SUM(IF([3]!Table13[ID]=B2260,[3]!Table13[QTY]))), 1, 1)</f>
        <v>#ERROR!</v>
      </c>
      <c r="J2260" s="50" t="str">
        <f>TABLEITEM!$H$3:$H$2749-TABLEITEM!$I$3:$I$2749</f>
        <v>#ERROR!</v>
      </c>
    </row>
    <row r="2261" ht="15.75" customHeight="1">
      <c r="A2261" s="45"/>
      <c r="B2261" s="18" t="s">
        <v>5237</v>
      </c>
      <c r="C2261" s="26"/>
      <c r="D2261" s="18" t="s">
        <v>9845</v>
      </c>
      <c r="E2261" s="56" t="s">
        <v>1487</v>
      </c>
      <c r="F2261" s="57" t="s">
        <v>7173</v>
      </c>
      <c r="G2261" s="49">
        <f t="array" ref="G2261">MAX(IF(INSTOCK!$H$3:$H$6125=B2261,INSTOCK!$K$3:$K$6125))</f>
        <v>240</v>
      </c>
      <c r="H2261" s="50">
        <f t="array" ref="H2261">SUM(IF(INSTOCK!$H$3:$H$6125=B2261,INSTOCK!$I$3:$I$6125))</f>
        <v>5</v>
      </c>
      <c r="I2261" s="50" t="str">
        <f>ARRAY_CONSTRAIN(ARRAYFORMULA(SUM(IF([3]!Table13[ID]=B2261,[3]!Table13[QTY]))), 1, 1)</f>
        <v>#ERROR!</v>
      </c>
      <c r="J2261" s="50" t="str">
        <f>TABLEITEM!$H$3:$H$2749-TABLEITEM!$I$3:$I$2749</f>
        <v>#ERROR!</v>
      </c>
    </row>
    <row r="2262" ht="15.75" customHeight="1">
      <c r="A2262" s="45"/>
      <c r="B2262" s="18" t="s">
        <v>5241</v>
      </c>
      <c r="C2262" s="26"/>
      <c r="D2262" s="18" t="s">
        <v>9846</v>
      </c>
      <c r="E2262" s="56" t="s">
        <v>1487</v>
      </c>
      <c r="F2262" s="57" t="s">
        <v>7173</v>
      </c>
      <c r="G2262" s="49">
        <f t="array" ref="G2262">MAX(IF(INSTOCK!$H$3:$H$6125=B2262,INSTOCK!$K$3:$K$6125))</f>
        <v>1201.2</v>
      </c>
      <c r="H2262" s="50">
        <f t="array" ref="H2262">SUM(IF(INSTOCK!$H$3:$H$6125=B2262,INSTOCK!$I$3:$I$6125))</f>
        <v>1</v>
      </c>
      <c r="I2262" s="50" t="str">
        <f>ARRAY_CONSTRAIN(ARRAYFORMULA(SUM(IF([3]!Table13[ID]=B2262,[3]!Table13[QTY]))), 1, 1)</f>
        <v>#ERROR!</v>
      </c>
      <c r="J2262" s="50" t="str">
        <f>TABLEITEM!$H$3:$H$2749-TABLEITEM!$I$3:$I$2749</f>
        <v>#ERROR!</v>
      </c>
    </row>
    <row r="2263" ht="15.75" customHeight="1">
      <c r="A2263" s="45"/>
      <c r="B2263" s="18" t="s">
        <v>5249</v>
      </c>
      <c r="C2263" s="26"/>
      <c r="D2263" s="18" t="s">
        <v>9847</v>
      </c>
      <c r="E2263" s="56" t="s">
        <v>9848</v>
      </c>
      <c r="F2263" s="57" t="s">
        <v>7173</v>
      </c>
      <c r="G2263" s="49">
        <f t="array" ref="G2263">MAX(IF(INSTOCK!$H$3:$H$6125=B2263,INSTOCK!$K$3:$K$6125))</f>
        <v>975</v>
      </c>
      <c r="H2263" s="50">
        <f t="array" ref="H2263">SUM(IF(INSTOCK!$H$3:$H$6125=B2263,INSTOCK!$I$3:$I$6125))</f>
        <v>3</v>
      </c>
      <c r="I2263" s="50" t="str">
        <f>ARRAY_CONSTRAIN(ARRAYFORMULA(SUM(IF([3]!Table13[ID]=B2263,[3]!Table13[QTY]))), 1, 1)</f>
        <v>#ERROR!</v>
      </c>
      <c r="J2263" s="50" t="str">
        <f>TABLEITEM!$H$3:$H$2749-TABLEITEM!$I$3:$I$2749</f>
        <v>#ERROR!</v>
      </c>
    </row>
    <row r="2264" ht="15.75" customHeight="1">
      <c r="A2264" s="45"/>
      <c r="B2264" s="18" t="s">
        <v>5255</v>
      </c>
      <c r="C2264" s="26"/>
      <c r="D2264" s="18" t="s">
        <v>9849</v>
      </c>
      <c r="E2264" s="56"/>
      <c r="F2264" s="57" t="s">
        <v>7173</v>
      </c>
      <c r="G2264" s="49">
        <f t="array" ref="G2264">MAX(IF(INSTOCK!$H$3:$H$6125=B2264,INSTOCK!$K$3:$K$6125))</f>
        <v>78</v>
      </c>
      <c r="H2264" s="50">
        <f t="array" ref="H2264">SUM(IF(INSTOCK!$H$3:$H$6125=B2264,INSTOCK!$I$3:$I$6125))</f>
        <v>6</v>
      </c>
      <c r="I2264" s="50" t="str">
        <f>ARRAY_CONSTRAIN(ARRAYFORMULA(SUM(IF([3]!Table13[ID]=B2264,[3]!Table13[QTY]))), 1, 1)</f>
        <v>#ERROR!</v>
      </c>
      <c r="J2264" s="50" t="str">
        <f>TABLEITEM!$H$3:$H$2749-TABLEITEM!$I$3:$I$2749</f>
        <v>#ERROR!</v>
      </c>
    </row>
    <row r="2265" ht="15.75" customHeight="1">
      <c r="A2265" s="45"/>
      <c r="B2265" s="18" t="s">
        <v>5256</v>
      </c>
      <c r="C2265" s="26"/>
      <c r="D2265" s="18" t="s">
        <v>9850</v>
      </c>
      <c r="E2265" s="56"/>
      <c r="F2265" s="57" t="s">
        <v>7173</v>
      </c>
      <c r="G2265" s="49">
        <f t="array" ref="G2265">MAX(IF(INSTOCK!$H$3:$H$6125=B2265,INSTOCK!$K$3:$K$6125))</f>
        <v>220</v>
      </c>
      <c r="H2265" s="50">
        <f t="array" ref="H2265">SUM(IF(INSTOCK!$H$3:$H$6125=B2265,INSTOCK!$I$3:$I$6125))</f>
        <v>2</v>
      </c>
      <c r="I2265" s="50" t="str">
        <f>ARRAY_CONSTRAIN(ARRAYFORMULA(SUM(IF([3]!Table13[ID]=B2265,[3]!Table13[QTY]))), 1, 1)</f>
        <v>#ERROR!</v>
      </c>
      <c r="J2265" s="50" t="str">
        <f>TABLEITEM!$H$3:$H$2749-TABLEITEM!$I$3:$I$2749</f>
        <v>#ERROR!</v>
      </c>
    </row>
    <row r="2266" ht="15.75" customHeight="1">
      <c r="A2266" s="45"/>
      <c r="B2266" s="10" t="s">
        <v>5259</v>
      </c>
      <c r="C2266" s="26"/>
      <c r="D2266" s="10" t="s">
        <v>9851</v>
      </c>
      <c r="E2266" s="56"/>
      <c r="F2266" s="48" t="s">
        <v>7173</v>
      </c>
      <c r="G2266" s="49">
        <f t="array" ref="G2266">MAX(IF(INSTOCK!$H$3:$H$6125=B2266,INSTOCK!$K$3:$K$6125))</f>
        <v>3200</v>
      </c>
      <c r="H2266" s="50">
        <f t="array" ref="H2266">SUM(IF(INSTOCK!$H$3:$H$6125=B2266,INSTOCK!$I$3:$I$6125))</f>
        <v>3</v>
      </c>
      <c r="I2266" s="50" t="str">
        <f>ARRAY_CONSTRAIN(ARRAYFORMULA(SUM(IF([3]!Table13[ID]=B2266,[3]!Table13[QTY]))), 1, 1)</f>
        <v>#ERROR!</v>
      </c>
      <c r="J2266" s="50" t="str">
        <f>TABLEITEM!$H$3:$H$2749-TABLEITEM!$I$3:$I$2749</f>
        <v>#ERROR!</v>
      </c>
    </row>
    <row r="2267" ht="15.75" customHeight="1">
      <c r="A2267" s="45"/>
      <c r="B2267" s="10" t="s">
        <v>5260</v>
      </c>
      <c r="C2267" s="26"/>
      <c r="D2267" s="10" t="s">
        <v>9852</v>
      </c>
      <c r="E2267" s="56"/>
      <c r="F2267" s="48" t="s">
        <v>7173</v>
      </c>
      <c r="G2267" s="49">
        <f t="array" ref="G2267">MAX(IF(INSTOCK!$H$3:$H$6125=B2267,INSTOCK!$K$3:$K$6125))</f>
        <v>1200</v>
      </c>
      <c r="H2267" s="50">
        <f t="array" ref="H2267">SUM(IF(INSTOCK!$H$3:$H$6125=B2267,INSTOCK!$I$3:$I$6125))</f>
        <v>1</v>
      </c>
      <c r="I2267" s="50" t="str">
        <f>ARRAY_CONSTRAIN(ARRAYFORMULA(SUM(IF([3]!Table13[ID]=B2267,[3]!Table13[QTY]))), 1, 1)</f>
        <v>#ERROR!</v>
      </c>
      <c r="J2267" s="50" t="str">
        <f>TABLEITEM!$H$3:$H$2749-TABLEITEM!$I$3:$I$2749</f>
        <v>#ERROR!</v>
      </c>
    </row>
    <row r="2268" ht="15.75" customHeight="1">
      <c r="A2268" s="45"/>
      <c r="B2268" s="18" t="s">
        <v>5261</v>
      </c>
      <c r="C2268" s="26"/>
      <c r="D2268" s="18" t="s">
        <v>9853</v>
      </c>
      <c r="E2268" s="56"/>
      <c r="F2268" s="48" t="s">
        <v>7173</v>
      </c>
      <c r="G2268" s="49">
        <f t="array" ref="G2268">MAX(IF(INSTOCK!$H$3:$H$6125=B2268,INSTOCK!$K$3:$K$6125))</f>
        <v>500</v>
      </c>
      <c r="H2268" s="50">
        <f t="array" ref="H2268">SUM(IF(INSTOCK!$H$3:$H$6125=B2268,INSTOCK!$I$3:$I$6125))</f>
        <v>1</v>
      </c>
      <c r="I2268" s="50" t="str">
        <f>ARRAY_CONSTRAIN(ARRAYFORMULA(SUM(IF([3]!Table13[ID]=B2268,[3]!Table13[QTY]))), 1, 1)</f>
        <v>#ERROR!</v>
      </c>
      <c r="J2268" s="50" t="str">
        <f>TABLEITEM!$H$3:$H$2749-TABLEITEM!$I$3:$I$2749</f>
        <v>#ERROR!</v>
      </c>
    </row>
    <row r="2269" ht="15.75" customHeight="1">
      <c r="A2269" s="45"/>
      <c r="B2269" s="10" t="s">
        <v>5264</v>
      </c>
      <c r="C2269" s="26"/>
      <c r="D2269" s="10" t="s">
        <v>9854</v>
      </c>
      <c r="E2269" s="56"/>
      <c r="F2269" s="57" t="s">
        <v>7173</v>
      </c>
      <c r="G2269" s="49">
        <f t="array" ref="G2269">MAX(IF(INSTOCK!$H$3:$H$6125=B2269,INSTOCK!$K$3:$K$6125))</f>
        <v>54</v>
      </c>
      <c r="H2269" s="50">
        <f t="array" ref="H2269">SUM(IF(INSTOCK!$H$3:$H$6125=B2269,INSTOCK!$I$3:$I$6125))</f>
        <v>40</v>
      </c>
      <c r="I2269" s="50" t="str">
        <f>ARRAY_CONSTRAIN(ARRAYFORMULA(SUM(IF([3]!Table13[ID]=B2269,[3]!Table13[QTY]))), 1, 1)</f>
        <v>#ERROR!</v>
      </c>
      <c r="J2269" s="50" t="str">
        <f>TABLEITEM!$H$3:$H$2749-TABLEITEM!$I$3:$I$2749</f>
        <v>#ERROR!</v>
      </c>
    </row>
    <row r="2270" ht="15.75" customHeight="1">
      <c r="A2270" s="45"/>
      <c r="B2270" s="18" t="s">
        <v>5265</v>
      </c>
      <c r="C2270" s="26"/>
      <c r="D2270" s="18" t="s">
        <v>9855</v>
      </c>
      <c r="E2270" s="56"/>
      <c r="F2270" s="57" t="s">
        <v>7173</v>
      </c>
      <c r="G2270" s="49">
        <f t="array" ref="G2270">MAX(IF(INSTOCK!$H$3:$H$6125=B2270,INSTOCK!$K$3:$K$6125))</f>
        <v>81</v>
      </c>
      <c r="H2270" s="50">
        <f t="array" ref="H2270">SUM(IF(INSTOCK!$H$3:$H$6125=B2270,INSTOCK!$I$3:$I$6125))</f>
        <v>20</v>
      </c>
      <c r="I2270" s="50" t="str">
        <f>ARRAY_CONSTRAIN(ARRAYFORMULA(SUM(IF([3]!Table13[ID]=B2270,[3]!Table13[QTY]))), 1, 1)</f>
        <v>#ERROR!</v>
      </c>
      <c r="J2270" s="50" t="str">
        <f>TABLEITEM!$H$3:$H$2749-TABLEITEM!$I$3:$I$2749</f>
        <v>#ERROR!</v>
      </c>
    </row>
    <row r="2271" ht="15.75" customHeight="1">
      <c r="A2271" s="45"/>
      <c r="B2271" s="18" t="s">
        <v>4652</v>
      </c>
      <c r="C2271" s="26"/>
      <c r="D2271" s="18" t="s">
        <v>9856</v>
      </c>
      <c r="E2271" s="56" t="s">
        <v>1601</v>
      </c>
      <c r="F2271" s="57" t="s">
        <v>7173</v>
      </c>
      <c r="G2271" s="49">
        <f t="array" ref="G2271">MAX(IF(INSTOCK!$H$3:$H$6125=B2271,INSTOCK!$K$3:$K$6125))</f>
        <v>235.125</v>
      </c>
      <c r="H2271" s="50">
        <f t="array" ref="H2271">SUM(IF(INSTOCK!$H$3:$H$6125=B2271,INSTOCK!$I$3:$I$6125))</f>
        <v>15</v>
      </c>
      <c r="I2271" s="50" t="str">
        <f>ARRAY_CONSTRAIN(ARRAYFORMULA(SUM(IF([3]!Table13[ID]=B2271,[3]!Table13[QTY]))), 1, 1)</f>
        <v>#ERROR!</v>
      </c>
      <c r="J2271" s="50" t="str">
        <f>TABLEITEM!$H$3:$H$2749-TABLEITEM!$I$3:$I$2749</f>
        <v>#ERROR!</v>
      </c>
    </row>
    <row r="2272" ht="15.75" customHeight="1">
      <c r="A2272" s="45"/>
      <c r="B2272" s="18" t="s">
        <v>5276</v>
      </c>
      <c r="C2272" s="26"/>
      <c r="D2272" s="18" t="s">
        <v>9857</v>
      </c>
      <c r="E2272" s="56" t="s">
        <v>9138</v>
      </c>
      <c r="F2272" s="57" t="s">
        <v>7173</v>
      </c>
      <c r="G2272" s="49">
        <f t="array" ref="G2272">MAX(IF(INSTOCK!$H$3:$H$6125=B2272,INSTOCK!$K$3:$K$6125))</f>
        <v>1316.25</v>
      </c>
      <c r="H2272" s="50">
        <f t="array" ref="H2272">SUM(IF(INSTOCK!$H$3:$H$6125=B2272,INSTOCK!$I$3:$I$6125))</f>
        <v>12</v>
      </c>
      <c r="I2272" s="50" t="str">
        <f>ARRAY_CONSTRAIN(ARRAYFORMULA(SUM(IF([3]!Table13[ID]=B2272,[3]!Table13[QTY]))), 1, 1)</f>
        <v>#ERROR!</v>
      </c>
      <c r="J2272" s="50" t="str">
        <f>TABLEITEM!$H$3:$H$2749-TABLEITEM!$I$3:$I$2749</f>
        <v>#ERROR!</v>
      </c>
    </row>
    <row r="2273" ht="15.75" customHeight="1">
      <c r="A2273" s="45"/>
      <c r="B2273" s="18" t="s">
        <v>5280</v>
      </c>
      <c r="C2273" s="26"/>
      <c r="D2273" s="18" t="s">
        <v>9858</v>
      </c>
      <c r="E2273" s="56" t="s">
        <v>9138</v>
      </c>
      <c r="F2273" s="57" t="s">
        <v>7173</v>
      </c>
      <c r="G2273" s="49">
        <f t="array" ref="G2273">MAX(IF(INSTOCK!$H$3:$H$6125=B2273,INSTOCK!$K$3:$K$6125))</f>
        <v>931.5</v>
      </c>
      <c r="H2273" s="50">
        <f t="array" ref="H2273">SUM(IF(INSTOCK!$H$3:$H$6125=B2273,INSTOCK!$I$3:$I$6125))</f>
        <v>12</v>
      </c>
      <c r="I2273" s="50" t="str">
        <f>ARRAY_CONSTRAIN(ARRAYFORMULA(SUM(IF([3]!Table13[ID]=B2273,[3]!Table13[QTY]))), 1, 1)</f>
        <v>#ERROR!</v>
      </c>
      <c r="J2273" s="50" t="str">
        <f>TABLEITEM!$H$3:$H$2749-TABLEITEM!$I$3:$I$2749</f>
        <v>#ERROR!</v>
      </c>
    </row>
    <row r="2274" ht="15.75" customHeight="1">
      <c r="A2274" s="45"/>
      <c r="B2274" s="18" t="s">
        <v>5283</v>
      </c>
      <c r="C2274" s="26"/>
      <c r="D2274" s="18" t="s">
        <v>9859</v>
      </c>
      <c r="E2274" s="56" t="s">
        <v>1504</v>
      </c>
      <c r="F2274" s="57" t="s">
        <v>7173</v>
      </c>
      <c r="G2274" s="49">
        <f t="array" ref="G2274">MAX(IF(INSTOCK!$H$3:$H$6125=B2274,INSTOCK!$K$3:$K$6125))</f>
        <v>1170</v>
      </c>
      <c r="H2274" s="50">
        <f t="array" ref="H2274">SUM(IF(INSTOCK!$H$3:$H$6125=B2274,INSTOCK!$I$3:$I$6125))</f>
        <v>8</v>
      </c>
      <c r="I2274" s="50" t="str">
        <f>ARRAY_CONSTRAIN(ARRAYFORMULA(SUM(IF([3]!Table13[ID]=B2274,[3]!Table13[QTY]))), 1, 1)</f>
        <v>#ERROR!</v>
      </c>
      <c r="J2274" s="50" t="str">
        <f>TABLEITEM!$H$3:$H$2749-TABLEITEM!$I$3:$I$2749</f>
        <v>#ERROR!</v>
      </c>
    </row>
    <row r="2275" ht="15.75" customHeight="1">
      <c r="A2275" s="45"/>
      <c r="B2275" s="10" t="s">
        <v>5285</v>
      </c>
      <c r="C2275" s="26"/>
      <c r="D2275" s="10" t="s">
        <v>9860</v>
      </c>
      <c r="E2275" s="56" t="s">
        <v>1504</v>
      </c>
      <c r="F2275" s="57" t="s">
        <v>7173</v>
      </c>
      <c r="G2275" s="49">
        <f t="array" ref="G2275">MAX(IF(INSTOCK!$H$3:$H$6125=B2275,INSTOCK!$K$3:$K$6125))</f>
        <v>406.7</v>
      </c>
      <c r="H2275" s="50">
        <f t="array" ref="H2275">SUM(IF(INSTOCK!$H$3:$H$6125=B2275,INSTOCK!$I$3:$I$6125))</f>
        <v>6</v>
      </c>
      <c r="I2275" s="50" t="str">
        <f>ARRAY_CONSTRAIN(ARRAYFORMULA(SUM(IF([3]!Table13[ID]=B2275,[3]!Table13[QTY]))), 1, 1)</f>
        <v>#ERROR!</v>
      </c>
      <c r="J2275" s="50" t="str">
        <f>TABLEITEM!$H$3:$H$2749-TABLEITEM!$I$3:$I$2749</f>
        <v>#ERROR!</v>
      </c>
    </row>
    <row r="2276" ht="15.75" customHeight="1">
      <c r="A2276" s="45"/>
      <c r="B2276" s="18" t="s">
        <v>5287</v>
      </c>
      <c r="C2276" s="26"/>
      <c r="D2276" s="10" t="s">
        <v>9861</v>
      </c>
      <c r="E2276" s="56" t="s">
        <v>1504</v>
      </c>
      <c r="F2276" s="57" t="s">
        <v>7173</v>
      </c>
      <c r="G2276" s="49">
        <f t="array" ref="G2276">MAX(IF(INSTOCK!$H$3:$H$6125=B2276,INSTOCK!$K$3:$K$6125))</f>
        <v>406.7</v>
      </c>
      <c r="H2276" s="50">
        <f t="array" ref="H2276">SUM(IF(INSTOCK!$H$3:$H$6125=B2276,INSTOCK!$I$3:$I$6125))</f>
        <v>2</v>
      </c>
      <c r="I2276" s="50" t="str">
        <f>ARRAY_CONSTRAIN(ARRAYFORMULA(SUM(IF([3]!Table13[ID]=B2276,[3]!Table13[QTY]))), 1, 1)</f>
        <v>#ERROR!</v>
      </c>
      <c r="J2276" s="50" t="str">
        <f>TABLEITEM!$H$3:$H$2749-TABLEITEM!$I$3:$I$2749</f>
        <v>#ERROR!</v>
      </c>
    </row>
    <row r="2277" ht="15.75" customHeight="1">
      <c r="A2277" s="45"/>
      <c r="B2277" s="18" t="s">
        <v>5289</v>
      </c>
      <c r="C2277" s="26"/>
      <c r="D2277" s="18" t="s">
        <v>9862</v>
      </c>
      <c r="E2277" s="56" t="s">
        <v>1504</v>
      </c>
      <c r="F2277" s="57" t="s">
        <v>7173</v>
      </c>
      <c r="G2277" s="49">
        <f t="array" ref="G2277">MAX(IF(INSTOCK!$H$3:$H$6125=B2277,INSTOCK!$K$3:$K$6125))</f>
        <v>253.15</v>
      </c>
      <c r="H2277" s="50">
        <f t="array" ref="H2277">SUM(IF(INSTOCK!$H$3:$H$6125=B2277,INSTOCK!$I$3:$I$6125))</f>
        <v>8</v>
      </c>
      <c r="I2277" s="50" t="str">
        <f>ARRAY_CONSTRAIN(ARRAYFORMULA(SUM(IF([3]!Table13[ID]=B2277,[3]!Table13[QTY]))), 1, 1)</f>
        <v>#ERROR!</v>
      </c>
      <c r="J2277" s="50" t="str">
        <f>TABLEITEM!$H$3:$H$2749-TABLEITEM!$I$3:$I$2749</f>
        <v>#ERROR!</v>
      </c>
    </row>
    <row r="2278" ht="15.75" customHeight="1">
      <c r="A2278" s="45"/>
      <c r="B2278" s="18" t="s">
        <v>5295</v>
      </c>
      <c r="C2278" s="26"/>
      <c r="D2278" s="18" t="s">
        <v>9863</v>
      </c>
      <c r="E2278" s="56"/>
      <c r="F2278" s="57" t="s">
        <v>7173</v>
      </c>
      <c r="G2278" s="49">
        <f t="array" ref="G2278">MAX(IF(INSTOCK!$H$3:$H$6125=B2278,INSTOCK!$K$3:$K$6125))</f>
        <v>20</v>
      </c>
      <c r="H2278" s="50">
        <f t="array" ref="H2278">SUM(IF(INSTOCK!$H$3:$H$6125=B2278,INSTOCK!$I$3:$I$6125))</f>
        <v>1</v>
      </c>
      <c r="I2278" s="50" t="str">
        <f>ARRAY_CONSTRAIN(ARRAYFORMULA(SUM(IF([3]!Table13[ID]=B2278,[3]!Table13[QTY]))), 1, 1)</f>
        <v>#ERROR!</v>
      </c>
      <c r="J2278" s="50" t="str">
        <f>TABLEITEM!$H$3:$H$2749-TABLEITEM!$I$3:$I$2749</f>
        <v>#ERROR!</v>
      </c>
    </row>
    <row r="2279" ht="15.75" customHeight="1">
      <c r="A2279" s="45"/>
      <c r="B2279" s="10" t="s">
        <v>5296</v>
      </c>
      <c r="C2279" s="26"/>
      <c r="D2279" s="10" t="s">
        <v>9864</v>
      </c>
      <c r="E2279" s="56" t="s">
        <v>8560</v>
      </c>
      <c r="F2279" s="57" t="s">
        <v>7173</v>
      </c>
      <c r="G2279" s="49">
        <f t="array" ref="G2279">MAX(IF(INSTOCK!$H$3:$H$6125=B2279,INSTOCK!$K$3:$K$6125))</f>
        <v>115</v>
      </c>
      <c r="H2279" s="50">
        <f t="array" ref="H2279">SUM(IF(INSTOCK!$H$3:$H$6125=B2279,INSTOCK!$I$3:$I$6125))</f>
        <v>2</v>
      </c>
      <c r="I2279" s="50" t="str">
        <f>ARRAY_CONSTRAIN(ARRAYFORMULA(SUM(IF([3]!Table13[ID]=B2279,[3]!Table13[QTY]))), 1, 1)</f>
        <v>#ERROR!</v>
      </c>
      <c r="J2279" s="50" t="str">
        <f>TABLEITEM!$H$3:$H$2749-TABLEITEM!$I$3:$I$2749</f>
        <v>#ERROR!</v>
      </c>
    </row>
    <row r="2280" ht="15.75" customHeight="1">
      <c r="A2280" s="45"/>
      <c r="B2280" s="18" t="s">
        <v>5297</v>
      </c>
      <c r="C2280" s="26"/>
      <c r="D2280" s="18" t="s">
        <v>9865</v>
      </c>
      <c r="E2280" s="56"/>
      <c r="F2280" s="57" t="s">
        <v>7173</v>
      </c>
      <c r="G2280" s="49">
        <f t="array" ref="G2280">MAX(IF(INSTOCK!$H$3:$H$6125=B2280,INSTOCK!$K$3:$K$6125))</f>
        <v>36</v>
      </c>
      <c r="H2280" s="50">
        <f t="array" ref="H2280">SUM(IF(INSTOCK!$H$3:$H$6125=B2280,INSTOCK!$I$3:$I$6125))</f>
        <v>5</v>
      </c>
      <c r="I2280" s="50" t="str">
        <f>ARRAY_CONSTRAIN(ARRAYFORMULA(SUM(IF([3]!Table13[ID]=B2280,[3]!Table13[QTY]))), 1, 1)</f>
        <v>#ERROR!</v>
      </c>
      <c r="J2280" s="50" t="str">
        <f>TABLEITEM!$H$3:$H$2749-TABLEITEM!$I$3:$I$2749</f>
        <v>#ERROR!</v>
      </c>
    </row>
    <row r="2281" ht="15.75" customHeight="1">
      <c r="A2281" s="45"/>
      <c r="B2281" s="18" t="s">
        <v>5298</v>
      </c>
      <c r="C2281" s="26"/>
      <c r="D2281" s="18" t="s">
        <v>9866</v>
      </c>
      <c r="E2281" s="56" t="s">
        <v>7188</v>
      </c>
      <c r="F2281" s="57" t="s">
        <v>7173</v>
      </c>
      <c r="G2281" s="49">
        <f t="array" ref="G2281">MAX(IF(INSTOCK!$H$3:$H$6125=B2281,INSTOCK!$K$3:$K$6125))</f>
        <v>1518</v>
      </c>
      <c r="H2281" s="50">
        <f t="array" ref="H2281">SUM(IF(INSTOCK!$H$3:$H$6125=B2281,INSTOCK!$I$3:$I$6125))</f>
        <v>3</v>
      </c>
      <c r="I2281" s="50" t="str">
        <f>ARRAY_CONSTRAIN(ARRAYFORMULA(SUM(IF([3]!Table13[ID]=B2281,[3]!Table13[QTY]))), 1, 1)</f>
        <v>#ERROR!</v>
      </c>
      <c r="J2281" s="50" t="str">
        <f>TABLEITEM!$H$3:$H$2749-TABLEITEM!$I$3:$I$2749</f>
        <v>#ERROR!</v>
      </c>
    </row>
    <row r="2282" ht="15.75" customHeight="1">
      <c r="A2282" s="45"/>
      <c r="B2282" s="18" t="s">
        <v>5308</v>
      </c>
      <c r="C2282" s="26"/>
      <c r="D2282" s="18" t="s">
        <v>9867</v>
      </c>
      <c r="E2282" s="56" t="s">
        <v>2196</v>
      </c>
      <c r="F2282" s="57" t="s">
        <v>7173</v>
      </c>
      <c r="G2282" s="49">
        <f t="array" ref="G2282">MAX(IF(INSTOCK!$H$3:$H$6125=B2282,INSTOCK!$K$3:$K$6125))</f>
        <v>1665</v>
      </c>
      <c r="H2282" s="50">
        <f t="array" ref="H2282">SUM(IF(INSTOCK!$H$3:$H$6125=B2282,INSTOCK!$I$3:$I$6125))</f>
        <v>9</v>
      </c>
      <c r="I2282" s="50" t="str">
        <f>ARRAY_CONSTRAIN(ARRAYFORMULA(SUM(IF([3]!Table13[ID]=B2282,[3]!Table13[QTY]))), 1, 1)</f>
        <v>#ERROR!</v>
      </c>
      <c r="J2282" s="50" t="str">
        <f>TABLEITEM!$H$3:$H$2749-TABLEITEM!$I$3:$I$2749</f>
        <v>#ERROR!</v>
      </c>
    </row>
    <row r="2283" ht="15.75" customHeight="1">
      <c r="A2283" s="45"/>
      <c r="B2283" s="10" t="s">
        <v>5312</v>
      </c>
      <c r="C2283" s="26"/>
      <c r="D2283" s="10" t="s">
        <v>9868</v>
      </c>
      <c r="E2283" s="56" t="s">
        <v>1907</v>
      </c>
      <c r="F2283" s="57" t="s">
        <v>7173</v>
      </c>
      <c r="G2283" s="49">
        <f t="array" ref="G2283">MAX(IF(INSTOCK!$H$3:$H$6125=B2283,INSTOCK!$K$3:$K$6125))</f>
        <v>381.5</v>
      </c>
      <c r="H2283" s="50">
        <f t="array" ref="H2283">SUM(IF(INSTOCK!$H$3:$H$6125=B2283,INSTOCK!$I$3:$I$6125))</f>
        <v>5</v>
      </c>
      <c r="I2283" s="50" t="str">
        <f>ARRAY_CONSTRAIN(ARRAYFORMULA(SUM(IF([3]!Table13[ID]=B2283,[3]!Table13[QTY]))), 1, 1)</f>
        <v>#ERROR!</v>
      </c>
      <c r="J2283" s="50" t="str">
        <f>TABLEITEM!$H$3:$H$2749-TABLEITEM!$I$3:$I$2749</f>
        <v>#ERROR!</v>
      </c>
    </row>
    <row r="2284" ht="15.75" customHeight="1">
      <c r="A2284" s="45"/>
      <c r="B2284" s="10" t="s">
        <v>5313</v>
      </c>
      <c r="C2284" s="26"/>
      <c r="D2284" s="10" t="s">
        <v>9869</v>
      </c>
      <c r="E2284" s="56" t="s">
        <v>1907</v>
      </c>
      <c r="F2284" s="57" t="s">
        <v>7173</v>
      </c>
      <c r="G2284" s="49">
        <f t="array" ref="G2284">MAX(IF(INSTOCK!$H$3:$H$6125=B2284,INSTOCK!$K$3:$K$6125))</f>
        <v>381.5</v>
      </c>
      <c r="H2284" s="50">
        <f t="array" ref="H2284">SUM(IF(INSTOCK!$H$3:$H$6125=B2284,INSTOCK!$I$3:$I$6125))</f>
        <v>2</v>
      </c>
      <c r="I2284" s="50" t="str">
        <f>ARRAY_CONSTRAIN(ARRAYFORMULA(SUM(IF([3]!Table13[ID]=B2284,[3]!Table13[QTY]))), 1, 1)</f>
        <v>#ERROR!</v>
      </c>
      <c r="J2284" s="50" t="str">
        <f>TABLEITEM!$H$3:$H$2749-TABLEITEM!$I$3:$I$2749</f>
        <v>#ERROR!</v>
      </c>
    </row>
    <row r="2285" ht="15.75" customHeight="1">
      <c r="A2285" s="45"/>
      <c r="B2285" s="10" t="s">
        <v>5314</v>
      </c>
      <c r="C2285" s="26"/>
      <c r="D2285" s="10" t="s">
        <v>9870</v>
      </c>
      <c r="E2285" s="56" t="s">
        <v>1907</v>
      </c>
      <c r="F2285" s="57" t="s">
        <v>7173</v>
      </c>
      <c r="G2285" s="49">
        <f t="array" ref="G2285">MAX(IF(INSTOCK!$H$3:$H$6125=B2285,INSTOCK!$K$3:$K$6125))</f>
        <v>381.5</v>
      </c>
      <c r="H2285" s="50">
        <f t="array" ref="H2285">SUM(IF(INSTOCK!$H$3:$H$6125=B2285,INSTOCK!$I$3:$I$6125))</f>
        <v>6</v>
      </c>
      <c r="I2285" s="50" t="str">
        <f>ARRAY_CONSTRAIN(ARRAYFORMULA(SUM(IF([3]!Table13[ID]=B2285,[3]!Table13[QTY]))), 1, 1)</f>
        <v>#ERROR!</v>
      </c>
      <c r="J2285" s="50" t="str">
        <f>TABLEITEM!$H$3:$H$2749-TABLEITEM!$I$3:$I$2749</f>
        <v>#ERROR!</v>
      </c>
    </row>
    <row r="2286" ht="15.75" customHeight="1">
      <c r="A2286" s="45"/>
      <c r="B2286" s="10" t="s">
        <v>5315</v>
      </c>
      <c r="C2286" s="26"/>
      <c r="D2286" s="10" t="s">
        <v>9871</v>
      </c>
      <c r="E2286" s="56" t="s">
        <v>1907</v>
      </c>
      <c r="F2286" s="57" t="s">
        <v>7173</v>
      </c>
      <c r="G2286" s="49">
        <f t="array" ref="G2286">MAX(IF(INSTOCK!$H$3:$H$6125=B2286,INSTOCK!$K$3:$K$6125))</f>
        <v>479.5</v>
      </c>
      <c r="H2286" s="50">
        <f t="array" ref="H2286">SUM(IF(INSTOCK!$H$3:$H$6125=B2286,INSTOCK!$I$3:$I$6125))</f>
        <v>3</v>
      </c>
      <c r="I2286" s="50" t="str">
        <f>ARRAY_CONSTRAIN(ARRAYFORMULA(SUM(IF([3]!Table13[ID]=B2286,[3]!Table13[QTY]))), 1, 1)</f>
        <v>#ERROR!</v>
      </c>
      <c r="J2286" s="50" t="str">
        <f>TABLEITEM!$H$3:$H$2749-TABLEITEM!$I$3:$I$2749</f>
        <v>#ERROR!</v>
      </c>
    </row>
    <row r="2287" ht="15.75" customHeight="1">
      <c r="A2287" s="45"/>
      <c r="B2287" s="10" t="s">
        <v>5316</v>
      </c>
      <c r="C2287" s="26"/>
      <c r="D2287" s="10" t="s">
        <v>9872</v>
      </c>
      <c r="E2287" s="56" t="s">
        <v>1907</v>
      </c>
      <c r="F2287" s="57" t="s">
        <v>7173</v>
      </c>
      <c r="G2287" s="49">
        <f t="array" ref="G2287">MAX(IF(INSTOCK!$H$3:$H$6125=B2287,INSTOCK!$K$3:$K$6125))</f>
        <v>381.5</v>
      </c>
      <c r="H2287" s="50">
        <f t="array" ref="H2287">SUM(IF(INSTOCK!$H$3:$H$6125=B2287,INSTOCK!$I$3:$I$6125))</f>
        <v>1</v>
      </c>
      <c r="I2287" s="50" t="str">
        <f>ARRAY_CONSTRAIN(ARRAYFORMULA(SUM(IF([3]!Table13[ID]=B2287,[3]!Table13[QTY]))), 1, 1)</f>
        <v>#ERROR!</v>
      </c>
      <c r="J2287" s="50" t="str">
        <f>TABLEITEM!$H$3:$H$2749-TABLEITEM!$I$3:$I$2749</f>
        <v>#ERROR!</v>
      </c>
    </row>
    <row r="2288" ht="15.75" customHeight="1">
      <c r="A2288" s="45"/>
      <c r="B2288" s="10" t="s">
        <v>5317</v>
      </c>
      <c r="C2288" s="26"/>
      <c r="D2288" s="10" t="s">
        <v>9873</v>
      </c>
      <c r="E2288" s="56" t="s">
        <v>1907</v>
      </c>
      <c r="F2288" s="57" t="s">
        <v>7173</v>
      </c>
      <c r="G2288" s="49">
        <f t="array" ref="G2288">MAX(IF(INSTOCK!$H$3:$H$6125=B2288,INSTOCK!$K$3:$K$6125))</f>
        <v>108.5</v>
      </c>
      <c r="H2288" s="50">
        <f t="array" ref="H2288">SUM(IF(INSTOCK!$H$3:$H$6125=B2288,INSTOCK!$I$3:$I$6125))</f>
        <v>2</v>
      </c>
      <c r="I2288" s="50" t="str">
        <f>ARRAY_CONSTRAIN(ARRAYFORMULA(SUM(IF([3]!Table13[ID]=B2288,[3]!Table13[QTY]))), 1, 1)</f>
        <v>#ERROR!</v>
      </c>
      <c r="J2288" s="50" t="str">
        <f>TABLEITEM!$H$3:$H$2749-TABLEITEM!$I$3:$I$2749</f>
        <v>#ERROR!</v>
      </c>
    </row>
    <row r="2289" ht="15.75" customHeight="1">
      <c r="A2289" s="45"/>
      <c r="B2289" s="10" t="s">
        <v>5319</v>
      </c>
      <c r="C2289" s="26"/>
      <c r="D2289" s="10" t="s">
        <v>9874</v>
      </c>
      <c r="E2289" s="56" t="s">
        <v>1907</v>
      </c>
      <c r="F2289" s="57" t="s">
        <v>7173</v>
      </c>
      <c r="G2289" s="49">
        <f t="array" ref="G2289">MAX(IF(INSTOCK!$H$3:$H$6125=B2289,INSTOCK!$K$3:$K$6125))</f>
        <v>332.5</v>
      </c>
      <c r="H2289" s="50">
        <f t="array" ref="H2289">SUM(IF(INSTOCK!$H$3:$H$6125=B2289,INSTOCK!$I$3:$I$6125))</f>
        <v>1</v>
      </c>
      <c r="I2289" s="50" t="str">
        <f>ARRAY_CONSTRAIN(ARRAYFORMULA(SUM(IF([3]!Table13[ID]=B2289,[3]!Table13[QTY]))), 1, 1)</f>
        <v>#ERROR!</v>
      </c>
      <c r="J2289" s="50" t="str">
        <f>TABLEITEM!$H$3:$H$2749-TABLEITEM!$I$3:$I$2749</f>
        <v>#ERROR!</v>
      </c>
    </row>
    <row r="2290" ht="15.75" customHeight="1">
      <c r="A2290" s="45"/>
      <c r="B2290" s="18" t="s">
        <v>5321</v>
      </c>
      <c r="C2290" s="26"/>
      <c r="D2290" s="18" t="s">
        <v>9875</v>
      </c>
      <c r="E2290" s="56" t="s">
        <v>1907</v>
      </c>
      <c r="F2290" s="57" t="s">
        <v>7173</v>
      </c>
      <c r="G2290" s="49">
        <f t="array" ref="G2290">MAX(IF(INSTOCK!$H$3:$H$6125=B2290,INSTOCK!$K$3:$K$6125))</f>
        <v>241.5</v>
      </c>
      <c r="H2290" s="50">
        <f t="array" ref="H2290">SUM(IF(INSTOCK!$H$3:$H$6125=B2290,INSTOCK!$I$3:$I$6125))</f>
        <v>2</v>
      </c>
      <c r="I2290" s="50" t="str">
        <f>ARRAY_CONSTRAIN(ARRAYFORMULA(SUM(IF([3]!Table13[ID]=B2290,[3]!Table13[QTY]))), 1, 1)</f>
        <v>#ERROR!</v>
      </c>
      <c r="J2290" s="50" t="str">
        <f>TABLEITEM!$H$3:$H$2749-TABLEITEM!$I$3:$I$2749</f>
        <v>#ERROR!</v>
      </c>
    </row>
    <row r="2291" ht="15.75" customHeight="1">
      <c r="A2291" s="45"/>
      <c r="B2291" s="18" t="s">
        <v>5337</v>
      </c>
      <c r="C2291" s="26"/>
      <c r="D2291" s="18" t="s">
        <v>9876</v>
      </c>
      <c r="E2291" s="56" t="s">
        <v>1504</v>
      </c>
      <c r="F2291" s="57" t="s">
        <v>7173</v>
      </c>
      <c r="G2291" s="49">
        <f t="array" ref="G2291">MAX(IF(INSTOCK!$H$3:$H$6125=B2291,INSTOCK!$K$3:$K$6125))</f>
        <v>12</v>
      </c>
      <c r="H2291" s="50">
        <f t="array" ref="H2291">SUM(IF(INSTOCK!$H$3:$H$6125=B2291,INSTOCK!$I$3:$I$6125))</f>
        <v>20</v>
      </c>
      <c r="I2291" s="50" t="str">
        <f>ARRAY_CONSTRAIN(ARRAYFORMULA(SUM(IF([3]!Table13[ID]=B2291,[3]!Table13[QTY]))), 1, 1)</f>
        <v>#ERROR!</v>
      </c>
      <c r="J2291" s="50" t="str">
        <f>TABLEITEM!$H$3:$H$2749-TABLEITEM!$I$3:$I$2749</f>
        <v>#ERROR!</v>
      </c>
    </row>
    <row r="2292" ht="15.75" customHeight="1">
      <c r="A2292" s="45"/>
      <c r="B2292" s="18" t="s">
        <v>5342</v>
      </c>
      <c r="C2292" s="26"/>
      <c r="D2292" s="18" t="s">
        <v>9877</v>
      </c>
      <c r="E2292" s="56"/>
      <c r="F2292" s="57" t="s">
        <v>7173</v>
      </c>
      <c r="G2292" s="49">
        <f t="array" ref="G2292">MAX(IF(INSTOCK!$H$3:$H$6125=B2292,INSTOCK!$K$3:$K$6125))</f>
        <v>3750</v>
      </c>
      <c r="H2292" s="50">
        <f t="array" ref="H2292">SUM(IF(INSTOCK!$H$3:$H$6125=B2292,INSTOCK!$I$3:$I$6125))</f>
        <v>4</v>
      </c>
      <c r="I2292" s="50" t="str">
        <f>ARRAY_CONSTRAIN(ARRAYFORMULA(SUM(IF([3]!Table13[ID]=B2292,[3]!Table13[QTY]))), 1, 1)</f>
        <v>#ERROR!</v>
      </c>
      <c r="J2292" s="50" t="str">
        <f>TABLEITEM!$H$3:$H$2749-TABLEITEM!$I$3:$I$2749</f>
        <v>#ERROR!</v>
      </c>
    </row>
    <row r="2293" ht="15.75" customHeight="1">
      <c r="A2293" s="45"/>
      <c r="B2293" s="18" t="s">
        <v>3427</v>
      </c>
      <c r="C2293" s="26"/>
      <c r="D2293" s="18" t="s">
        <v>9878</v>
      </c>
      <c r="E2293" s="56"/>
      <c r="F2293" s="57" t="s">
        <v>9879</v>
      </c>
      <c r="G2293" s="49">
        <f t="array" ref="G2293">MAX(IF(INSTOCK!$H$3:$H$6125=B2293,INSTOCK!$K$3:$K$6125))</f>
        <v>104.67</v>
      </c>
      <c r="H2293" s="50">
        <f t="array" ref="H2293">SUM(IF(INSTOCK!$H$3:$H$6125=B2293,INSTOCK!$I$3:$I$6125))</f>
        <v>2</v>
      </c>
      <c r="I2293" s="50" t="str">
        <f>ARRAY_CONSTRAIN(ARRAYFORMULA(SUM(IF([3]!Table13[ID]=B2293,[3]!Table13[QTY]))), 1, 1)</f>
        <v>#ERROR!</v>
      </c>
      <c r="J2293" s="50" t="str">
        <f>TABLEITEM!$H$3:$H$2749-TABLEITEM!$I$3:$I$2749</f>
        <v>#ERROR!</v>
      </c>
    </row>
    <row r="2294" ht="15.75" customHeight="1">
      <c r="A2294" s="45"/>
      <c r="B2294" s="18" t="s">
        <v>5353</v>
      </c>
      <c r="C2294" s="26"/>
      <c r="D2294" s="18" t="s">
        <v>9880</v>
      </c>
      <c r="E2294" s="56" t="s">
        <v>9429</v>
      </c>
      <c r="F2294" s="57" t="s">
        <v>7173</v>
      </c>
      <c r="G2294" s="49">
        <f t="array" ref="G2294">MAX(IF(INSTOCK!$H$3:$H$6125=B2294,INSTOCK!$K$3:$K$6125))</f>
        <v>560</v>
      </c>
      <c r="H2294" s="50">
        <f t="array" ref="H2294">SUM(IF(INSTOCK!$H$3:$H$6125=B2294,INSTOCK!$I$3:$I$6125))</f>
        <v>7</v>
      </c>
      <c r="I2294" s="50" t="str">
        <f>ARRAY_CONSTRAIN(ARRAYFORMULA(SUM(IF([3]!Table13[ID]=B2294,[3]!Table13[QTY]))), 1, 1)</f>
        <v>#ERROR!</v>
      </c>
      <c r="J2294" s="50" t="str">
        <f>TABLEITEM!$H$3:$H$2749-TABLEITEM!$I$3:$I$2749</f>
        <v>#ERROR!</v>
      </c>
    </row>
    <row r="2295" ht="15.75" customHeight="1">
      <c r="A2295" s="45"/>
      <c r="B2295" s="18" t="s">
        <v>5355</v>
      </c>
      <c r="C2295" s="26"/>
      <c r="D2295" s="18" t="s">
        <v>9881</v>
      </c>
      <c r="E2295" s="56"/>
      <c r="F2295" s="57" t="s">
        <v>7445</v>
      </c>
      <c r="G2295" s="49">
        <f t="array" ref="G2295">MAX(IF(INSTOCK!$H$3:$H$6125=B2295,INSTOCK!$K$3:$K$6125))</f>
        <v>38</v>
      </c>
      <c r="H2295" s="50">
        <f t="array" ref="H2295">SUM(IF(INSTOCK!$H$3:$H$6125=B2295,INSTOCK!$I$3:$I$6125))</f>
        <v>1</v>
      </c>
      <c r="I2295" s="50" t="str">
        <f>ARRAY_CONSTRAIN(ARRAYFORMULA(SUM(IF([3]!Table13[ID]=B2295,[3]!Table13[QTY]))), 1, 1)</f>
        <v>#ERROR!</v>
      </c>
      <c r="J2295" s="50" t="str">
        <f>TABLEITEM!$H$3:$H$2749-TABLEITEM!$I$3:$I$2749</f>
        <v>#ERROR!</v>
      </c>
    </row>
    <row r="2296" ht="15.75" customHeight="1">
      <c r="A2296" s="45"/>
      <c r="B2296" s="18" t="s">
        <v>5359</v>
      </c>
      <c r="C2296" s="26"/>
      <c r="D2296" s="18" t="s">
        <v>8836</v>
      </c>
      <c r="E2296" s="56"/>
      <c r="F2296" s="57" t="s">
        <v>7173</v>
      </c>
      <c r="G2296" s="49">
        <f t="array" ref="G2296">MAX(IF(INSTOCK!$H$3:$H$6125=B2296,INSTOCK!$K$3:$K$6125))</f>
        <v>783.75</v>
      </c>
      <c r="H2296" s="50">
        <f t="array" ref="H2296">SUM(IF(INSTOCK!$H$3:$H$6125=B2296,INSTOCK!$I$3:$I$6125))</f>
        <v>2</v>
      </c>
      <c r="I2296" s="50" t="str">
        <f>ARRAY_CONSTRAIN(ARRAYFORMULA(SUM(IF([3]!Table13[ID]=B2296,[3]!Table13[QTY]))), 1, 1)</f>
        <v>#ERROR!</v>
      </c>
      <c r="J2296" s="50" t="str">
        <f>TABLEITEM!$H$3:$H$2749-TABLEITEM!$I$3:$I$2749</f>
        <v>#ERROR!</v>
      </c>
    </row>
    <row r="2297" ht="15.75" customHeight="1">
      <c r="A2297" s="45"/>
      <c r="B2297" s="18" t="s">
        <v>5363</v>
      </c>
      <c r="C2297" s="26"/>
      <c r="D2297" s="18" t="s">
        <v>9882</v>
      </c>
      <c r="E2297" s="56"/>
      <c r="F2297" s="57" t="s">
        <v>7173</v>
      </c>
      <c r="G2297" s="49">
        <f t="array" ref="G2297">MAX(IF(INSTOCK!$H$3:$H$6125=B2297,INSTOCK!$K$3:$K$6125))</f>
        <v>35</v>
      </c>
      <c r="H2297" s="50">
        <f t="array" ref="H2297">SUM(IF(INSTOCK!$H$3:$H$6125=B2297,INSTOCK!$I$3:$I$6125))</f>
        <v>5</v>
      </c>
      <c r="I2297" s="50" t="str">
        <f>ARRAY_CONSTRAIN(ARRAYFORMULA(SUM(IF([3]!Table13[ID]=B2297,[3]!Table13[QTY]))), 1, 1)</f>
        <v>#ERROR!</v>
      </c>
      <c r="J2297" s="50" t="str">
        <f>TABLEITEM!$H$3:$H$2749-TABLEITEM!$I$3:$I$2749</f>
        <v>#ERROR!</v>
      </c>
    </row>
    <row r="2298" ht="15.75" customHeight="1">
      <c r="A2298" s="45"/>
      <c r="B2298" s="18" t="s">
        <v>5367</v>
      </c>
      <c r="C2298" s="26"/>
      <c r="D2298" s="18" t="s">
        <v>9883</v>
      </c>
      <c r="E2298" s="56"/>
      <c r="F2298" s="57" t="s">
        <v>7173</v>
      </c>
      <c r="G2298" s="49">
        <f t="array" ref="G2298">MAX(IF(INSTOCK!$H$3:$H$6125=B2298,INSTOCK!$K$3:$K$6125))</f>
        <v>2</v>
      </c>
      <c r="H2298" s="50">
        <f t="array" ref="H2298">SUM(IF(INSTOCK!$H$3:$H$6125=B2298,INSTOCK!$I$3:$I$6125))</f>
        <v>1000</v>
      </c>
      <c r="I2298" s="50" t="str">
        <f>ARRAY_CONSTRAIN(ARRAYFORMULA(SUM(IF([3]!Table13[ID]=B2298,[3]!Table13[QTY]))), 1, 1)</f>
        <v>#ERROR!</v>
      </c>
      <c r="J2298" s="50" t="str">
        <f>TABLEITEM!$H$3:$H$2749-TABLEITEM!$I$3:$I$2749</f>
        <v>#ERROR!</v>
      </c>
    </row>
    <row r="2299" ht="15.75" customHeight="1">
      <c r="A2299" s="45"/>
      <c r="B2299" s="18" t="s">
        <v>5370</v>
      </c>
      <c r="C2299" s="26"/>
      <c r="D2299" s="18" t="s">
        <v>9884</v>
      </c>
      <c r="E2299" s="56"/>
      <c r="F2299" s="57" t="s">
        <v>7173</v>
      </c>
      <c r="G2299" s="49">
        <f t="array" ref="G2299">MAX(IF(INSTOCK!$H$3:$H$6125=B2299,INSTOCK!$K$3:$K$6125))</f>
        <v>145</v>
      </c>
      <c r="H2299" s="50">
        <f t="array" ref="H2299">SUM(IF(INSTOCK!$H$3:$H$6125=B2299,INSTOCK!$I$3:$I$6125))</f>
        <v>4</v>
      </c>
      <c r="I2299" s="50" t="str">
        <f>ARRAY_CONSTRAIN(ARRAYFORMULA(SUM(IF([3]!Table13[ID]=B2299,[3]!Table13[QTY]))), 1, 1)</f>
        <v>#ERROR!</v>
      </c>
      <c r="J2299" s="50" t="str">
        <f>TABLEITEM!$H$3:$H$2749-TABLEITEM!$I$3:$I$2749</f>
        <v>#ERROR!</v>
      </c>
    </row>
    <row r="2300" ht="15.75" customHeight="1">
      <c r="A2300" s="45"/>
      <c r="B2300" s="10" t="s">
        <v>2684</v>
      </c>
      <c r="C2300" s="26"/>
      <c r="D2300" s="10" t="s">
        <v>9885</v>
      </c>
      <c r="E2300" s="56"/>
      <c r="F2300" s="57" t="s">
        <v>7173</v>
      </c>
      <c r="G2300" s="49">
        <f t="array" ref="G2300">MAX(IF(INSTOCK!$H$3:$H$6125=B2300,INSTOCK!$K$3:$K$6125))</f>
        <v>107.48</v>
      </c>
      <c r="H2300" s="50">
        <f t="array" ref="H2300">SUM(IF(INSTOCK!$H$3:$H$6125=B2300,INSTOCK!$I$3:$I$6125))</f>
        <v>5</v>
      </c>
      <c r="I2300" s="50" t="str">
        <f>ARRAY_CONSTRAIN(ARRAYFORMULA(SUM(IF([3]!Table13[ID]=B2300,[3]!Table13[QTY]))), 1, 1)</f>
        <v>#ERROR!</v>
      </c>
      <c r="J2300" s="50" t="str">
        <f>TABLEITEM!$H$3:$H$2749-TABLEITEM!$I$3:$I$2749</f>
        <v>#ERROR!</v>
      </c>
    </row>
    <row r="2301" ht="15.75" customHeight="1">
      <c r="A2301" s="45"/>
      <c r="B2301" s="18" t="s">
        <v>4954</v>
      </c>
      <c r="C2301" s="26"/>
      <c r="D2301" s="18" t="s">
        <v>9886</v>
      </c>
      <c r="E2301" s="56"/>
      <c r="F2301" s="57" t="s">
        <v>7173</v>
      </c>
      <c r="G2301" s="49">
        <f t="array" ref="G2301">MAX(IF(INSTOCK!$H$3:$H$6125=B2301,INSTOCK!$K$3:$K$6125))</f>
        <v>462.62</v>
      </c>
      <c r="H2301" s="50">
        <f t="array" ref="H2301">SUM(IF(INSTOCK!$H$3:$H$6125=B2301,INSTOCK!$I$3:$I$6125))</f>
        <v>2</v>
      </c>
      <c r="I2301" s="50" t="str">
        <f>ARRAY_CONSTRAIN(ARRAYFORMULA(SUM(IF([3]!Table13[ID]=B2301,[3]!Table13[QTY]))), 1, 1)</f>
        <v>#ERROR!</v>
      </c>
      <c r="J2301" s="50" t="str">
        <f>TABLEITEM!$H$3:$H$2749-TABLEITEM!$I$3:$I$2749</f>
        <v>#ERROR!</v>
      </c>
    </row>
    <row r="2302" ht="15.75" customHeight="1">
      <c r="A2302" s="45"/>
      <c r="B2302" s="18" t="s">
        <v>3065</v>
      </c>
      <c r="C2302" s="26"/>
      <c r="D2302" s="18" t="s">
        <v>9887</v>
      </c>
      <c r="E2302" s="56"/>
      <c r="F2302" s="57" t="s">
        <v>8080</v>
      </c>
      <c r="G2302" s="49">
        <f t="array" ref="G2302">MAX(IF(INSTOCK!$H$3:$H$6125=B2302,INSTOCK!$K$3:$K$6125))</f>
        <v>570.09</v>
      </c>
      <c r="H2302" s="50">
        <f t="array" ref="H2302">SUM(IF(INSTOCK!$H$3:$H$6125=B2302,INSTOCK!$I$3:$I$6125))</f>
        <v>2</v>
      </c>
      <c r="I2302" s="50" t="str">
        <f>ARRAY_CONSTRAIN(ARRAYFORMULA(SUM(IF([3]!Table13[ID]=B2302,[3]!Table13[QTY]))), 1, 1)</f>
        <v>#ERROR!</v>
      </c>
      <c r="J2302" s="50" t="str">
        <f>TABLEITEM!$H$3:$H$2749-TABLEITEM!$I$3:$I$2749</f>
        <v>#ERROR!</v>
      </c>
    </row>
    <row r="2303" ht="15.75" customHeight="1">
      <c r="A2303" s="45"/>
      <c r="B2303" s="18" t="s">
        <v>5376</v>
      </c>
      <c r="C2303" s="26"/>
      <c r="D2303" s="10" t="s">
        <v>5376</v>
      </c>
      <c r="E2303" s="56"/>
      <c r="F2303" s="57" t="s">
        <v>7173</v>
      </c>
      <c r="G2303" s="49">
        <f t="array" ref="G2303">MAX(IF(INSTOCK!$H$3:$H$6125=B2303,INSTOCK!$K$3:$K$6125))</f>
        <v>4000</v>
      </c>
      <c r="H2303" s="50">
        <f t="array" ref="H2303">SUM(IF(INSTOCK!$H$3:$H$6125=B2303,INSTOCK!$I$3:$I$6125))</f>
        <v>1</v>
      </c>
      <c r="I2303" s="50" t="str">
        <f>ARRAY_CONSTRAIN(ARRAYFORMULA(SUM(IF([3]!Table13[ID]=B2303,[3]!Table13[QTY]))), 1, 1)</f>
        <v>#ERROR!</v>
      </c>
      <c r="J2303" s="50" t="str">
        <f>TABLEITEM!$H$3:$H$2749-TABLEITEM!$I$3:$I$2749</f>
        <v>#ERROR!</v>
      </c>
    </row>
    <row r="2304" ht="15.75" customHeight="1">
      <c r="A2304" s="45"/>
      <c r="B2304" s="18" t="s">
        <v>3970</v>
      </c>
      <c r="C2304" s="26"/>
      <c r="D2304" s="10" t="s">
        <v>9888</v>
      </c>
      <c r="E2304" s="56"/>
      <c r="F2304" s="57" t="s">
        <v>7173</v>
      </c>
      <c r="G2304" s="49">
        <f t="array" ref="G2304">MAX(IF(INSTOCK!$H$3:$H$6125=B2304,INSTOCK!$K$3:$K$6125))</f>
        <v>140.19</v>
      </c>
      <c r="H2304" s="50">
        <f t="array" ref="H2304">SUM(IF(INSTOCK!$H$3:$H$6125=B2304,INSTOCK!$I$3:$I$6125))</f>
        <v>1</v>
      </c>
      <c r="I2304" s="50" t="str">
        <f>ARRAY_CONSTRAIN(ARRAYFORMULA(SUM(IF([3]!Table13[ID]=B2304,[3]!Table13[QTY]))), 1, 1)</f>
        <v>#ERROR!</v>
      </c>
      <c r="J2304" s="50" t="str">
        <f>TABLEITEM!$H$3:$H$2749-TABLEITEM!$I$3:$I$2749</f>
        <v>#ERROR!</v>
      </c>
    </row>
    <row r="2305" ht="15.75" customHeight="1">
      <c r="A2305" s="45"/>
      <c r="B2305" s="10" t="s">
        <v>5392</v>
      </c>
      <c r="C2305" s="26"/>
      <c r="D2305" s="10" t="s">
        <v>5392</v>
      </c>
      <c r="E2305" s="56"/>
      <c r="F2305" s="57" t="s">
        <v>7173</v>
      </c>
      <c r="G2305" s="49">
        <f t="array" ref="G2305">MAX(IF(INSTOCK!$H$3:$H$6125=B2305,INSTOCK!$K$3:$K$6125))</f>
        <v>120</v>
      </c>
      <c r="H2305" s="50">
        <f t="array" ref="H2305">SUM(IF(INSTOCK!$H$3:$H$6125=B2305,INSTOCK!$I$3:$I$6125))</f>
        <v>9</v>
      </c>
      <c r="I2305" s="50" t="str">
        <f>ARRAY_CONSTRAIN(ARRAYFORMULA(SUM(IF([3]!Table13[ID]=B2305,[3]!Table13[QTY]))), 1, 1)</f>
        <v>#ERROR!</v>
      </c>
      <c r="J2305" s="50" t="str">
        <f>TABLEITEM!$H$3:$H$2749-TABLEITEM!$I$3:$I$2749</f>
        <v>#ERROR!</v>
      </c>
    </row>
    <row r="2306" ht="15.75" customHeight="1">
      <c r="A2306" s="45"/>
      <c r="B2306" s="18" t="s">
        <v>5395</v>
      </c>
      <c r="C2306" s="26"/>
      <c r="D2306" s="18" t="s">
        <v>9889</v>
      </c>
      <c r="E2306" s="56"/>
      <c r="F2306" s="57" t="s">
        <v>7173</v>
      </c>
      <c r="G2306" s="49">
        <f t="array" ref="G2306">MAX(IF(INSTOCK!$H$3:$H$6125=B2306,INSTOCK!$K$3:$K$6125))</f>
        <v>30</v>
      </c>
      <c r="H2306" s="50">
        <f t="array" ref="H2306">SUM(IF(INSTOCK!$H$3:$H$6125=B2306,INSTOCK!$I$3:$I$6125))</f>
        <v>12</v>
      </c>
      <c r="I2306" s="50" t="str">
        <f>ARRAY_CONSTRAIN(ARRAYFORMULA(SUM(IF([3]!Table13[ID]=B2306,[3]!Table13[QTY]))), 1, 1)</f>
        <v>#ERROR!</v>
      </c>
      <c r="J2306" s="50" t="str">
        <f>TABLEITEM!$H$3:$H$2749-TABLEITEM!$I$3:$I$2749</f>
        <v>#ERROR!</v>
      </c>
    </row>
    <row r="2307" ht="15.75" customHeight="1">
      <c r="A2307" s="45"/>
      <c r="B2307" s="18" t="s">
        <v>5404</v>
      </c>
      <c r="C2307" s="26"/>
      <c r="D2307" s="18" t="s">
        <v>9890</v>
      </c>
      <c r="E2307" s="56"/>
      <c r="F2307" s="57" t="s">
        <v>7173</v>
      </c>
      <c r="G2307" s="49">
        <f t="array" ref="G2307">MAX(IF(INSTOCK!$H$3:$H$6125=B2307,INSTOCK!$K$3:$K$6125))</f>
        <v>4</v>
      </c>
      <c r="H2307" s="50">
        <f t="array" ref="H2307">SUM(IF(INSTOCK!$H$3:$H$6125=B2307,INSTOCK!$I$3:$I$6125))</f>
        <v>4000</v>
      </c>
      <c r="I2307" s="50" t="str">
        <f>ARRAY_CONSTRAIN(ARRAYFORMULA(SUM(IF([3]!Table13[ID]=B2307,[3]!Table13[QTY]))), 1, 1)</f>
        <v>#ERROR!</v>
      </c>
      <c r="J2307" s="50" t="str">
        <f>TABLEITEM!$H$3:$H$2749-TABLEITEM!$I$3:$I$2749</f>
        <v>#ERROR!</v>
      </c>
    </row>
    <row r="2308" ht="15.75" customHeight="1">
      <c r="A2308" s="45"/>
      <c r="B2308" s="10" t="s">
        <v>5409</v>
      </c>
      <c r="C2308" s="26"/>
      <c r="D2308" s="10" t="s">
        <v>9891</v>
      </c>
      <c r="E2308" s="56"/>
      <c r="F2308" s="57" t="s">
        <v>7173</v>
      </c>
      <c r="G2308" s="49">
        <f t="array" ref="G2308">MAX(IF(INSTOCK!$H$3:$H$6125=B2308,INSTOCK!$K$3:$K$6125))</f>
        <v>90</v>
      </c>
      <c r="H2308" s="50">
        <f t="array" ref="H2308">SUM(IF(INSTOCK!$H$3:$H$6125=B2308,INSTOCK!$I$3:$I$6125))</f>
        <v>5</v>
      </c>
      <c r="I2308" s="50" t="str">
        <f>ARRAY_CONSTRAIN(ARRAYFORMULA(SUM(IF([3]!Table13[ID]=B2308,[3]!Table13[QTY]))), 1, 1)</f>
        <v>#ERROR!</v>
      </c>
      <c r="J2308" s="50" t="str">
        <f>TABLEITEM!$H$3:$H$2749-TABLEITEM!$I$3:$I$2749</f>
        <v>#ERROR!</v>
      </c>
    </row>
    <row r="2309" ht="15.75" customHeight="1">
      <c r="A2309" s="45"/>
      <c r="B2309" s="18" t="s">
        <v>5410</v>
      </c>
      <c r="C2309" s="26"/>
      <c r="D2309" s="18" t="s">
        <v>9892</v>
      </c>
      <c r="E2309" s="56"/>
      <c r="F2309" s="57" t="s">
        <v>7173</v>
      </c>
      <c r="G2309" s="49">
        <f t="array" ref="G2309">MAX(IF(INSTOCK!$H$3:$H$6125=B2309,INSTOCK!$K$3:$K$6125))</f>
        <v>125</v>
      </c>
      <c r="H2309" s="50">
        <f t="array" ref="H2309">SUM(IF(INSTOCK!$H$3:$H$6125=B2309,INSTOCK!$I$3:$I$6125))</f>
        <v>5</v>
      </c>
      <c r="I2309" s="50" t="str">
        <f>ARRAY_CONSTRAIN(ARRAYFORMULA(SUM(IF([3]!Table13[ID]=B2309,[3]!Table13[QTY]))), 1, 1)</f>
        <v>#ERROR!</v>
      </c>
      <c r="J2309" s="50" t="str">
        <f>TABLEITEM!$H$3:$H$2749-TABLEITEM!$I$3:$I$2749</f>
        <v>#ERROR!</v>
      </c>
    </row>
    <row r="2310" ht="15.75" customHeight="1">
      <c r="A2310" s="45"/>
      <c r="B2310" s="18" t="s">
        <v>5411</v>
      </c>
      <c r="C2310" s="26"/>
      <c r="D2310" s="18" t="s">
        <v>9893</v>
      </c>
      <c r="E2310" s="56"/>
      <c r="F2310" s="57" t="s">
        <v>7173</v>
      </c>
      <c r="G2310" s="49">
        <f t="array" ref="G2310">MAX(IF(INSTOCK!$H$3:$H$6125=B2310,INSTOCK!$K$3:$K$6125))</f>
        <v>4</v>
      </c>
      <c r="H2310" s="50">
        <f t="array" ref="H2310">SUM(IF(INSTOCK!$H$3:$H$6125=B2310,INSTOCK!$I$3:$I$6125))</f>
        <v>520</v>
      </c>
      <c r="I2310" s="50" t="str">
        <f>ARRAY_CONSTRAIN(ARRAYFORMULA(SUM(IF([3]!Table13[ID]=B2310,[3]!Table13[QTY]))), 1, 1)</f>
        <v>#ERROR!</v>
      </c>
      <c r="J2310" s="50" t="str">
        <f>TABLEITEM!$H$3:$H$2749-TABLEITEM!$I$3:$I$2749</f>
        <v>#ERROR!</v>
      </c>
    </row>
    <row r="2311" ht="15.75" customHeight="1">
      <c r="A2311" s="45"/>
      <c r="B2311" s="10" t="s">
        <v>5415</v>
      </c>
      <c r="C2311" s="26"/>
      <c r="D2311" s="10" t="s">
        <v>9894</v>
      </c>
      <c r="E2311" s="56"/>
      <c r="F2311" s="57" t="s">
        <v>7173</v>
      </c>
      <c r="G2311" s="49">
        <f t="array" ref="G2311">MAX(IF(INSTOCK!$H$3:$H$6125=B2311,INSTOCK!$K$3:$K$6125))</f>
        <v>540</v>
      </c>
      <c r="H2311" s="50">
        <f t="array" ref="H2311">SUM(IF(INSTOCK!$H$3:$H$6125=B2311,INSTOCK!$I$3:$I$6125))</f>
        <v>2</v>
      </c>
      <c r="I2311" s="50" t="str">
        <f>ARRAY_CONSTRAIN(ARRAYFORMULA(SUM(IF([3]!Table13[ID]=B2311,[3]!Table13[QTY]))), 1, 1)</f>
        <v>#ERROR!</v>
      </c>
      <c r="J2311" s="50" t="str">
        <f>TABLEITEM!$H$3:$H$2749-TABLEITEM!$I$3:$I$2749</f>
        <v>#ERROR!</v>
      </c>
    </row>
    <row r="2312" ht="15.75" customHeight="1">
      <c r="A2312" s="45"/>
      <c r="B2312" s="18" t="s">
        <v>5416</v>
      </c>
      <c r="C2312" s="26"/>
      <c r="D2312" s="10" t="s">
        <v>9895</v>
      </c>
      <c r="E2312" s="56"/>
      <c r="F2312" s="57" t="s">
        <v>7173</v>
      </c>
      <c r="G2312" s="49">
        <f t="array" ref="G2312">MAX(IF(INSTOCK!$H$3:$H$6125=B2312,INSTOCK!$K$3:$K$6125))</f>
        <v>600</v>
      </c>
      <c r="H2312" s="50">
        <f t="array" ref="H2312">SUM(IF(INSTOCK!$H$3:$H$6125=B2312,INSTOCK!$I$3:$I$6125))</f>
        <v>2</v>
      </c>
      <c r="I2312" s="50" t="str">
        <f>ARRAY_CONSTRAIN(ARRAYFORMULA(SUM(IF([3]!Table13[ID]=B2312,[3]!Table13[QTY]))), 1, 1)</f>
        <v>#ERROR!</v>
      </c>
      <c r="J2312" s="50" t="str">
        <f>TABLEITEM!$H$3:$H$2749-TABLEITEM!$I$3:$I$2749</f>
        <v>#ERROR!</v>
      </c>
    </row>
    <row r="2313" ht="15.75" customHeight="1">
      <c r="A2313" s="45"/>
      <c r="B2313" s="18" t="s">
        <v>5421</v>
      </c>
      <c r="C2313" s="26"/>
      <c r="D2313" s="18" t="s">
        <v>9896</v>
      </c>
      <c r="E2313" s="56"/>
      <c r="F2313" s="57" t="s">
        <v>7173</v>
      </c>
      <c r="G2313" s="49">
        <f t="array" ref="G2313">MAX(IF(INSTOCK!$H$3:$H$6125=B2313,INSTOCK!$K$3:$K$6125))</f>
        <v>16195</v>
      </c>
      <c r="H2313" s="50">
        <f t="array" ref="H2313">SUM(IF(INSTOCK!$H$3:$H$6125=B2313,INSTOCK!$I$3:$I$6125))</f>
        <v>2</v>
      </c>
      <c r="I2313" s="50" t="str">
        <f>ARRAY_CONSTRAIN(ARRAYFORMULA(SUM(IF([3]!Table13[ID]=B2313,[3]!Table13[QTY]))), 1, 1)</f>
        <v>#ERROR!</v>
      </c>
      <c r="J2313" s="50" t="str">
        <f>TABLEITEM!$H$3:$H$2749-TABLEITEM!$I$3:$I$2749</f>
        <v>#ERROR!</v>
      </c>
    </row>
    <row r="2314" ht="15.75" customHeight="1">
      <c r="A2314" s="45"/>
      <c r="B2314" s="10" t="s">
        <v>9897</v>
      </c>
      <c r="C2314" s="26"/>
      <c r="D2314" s="10" t="s">
        <v>9898</v>
      </c>
      <c r="E2314" s="56"/>
      <c r="F2314" s="57" t="s">
        <v>7173</v>
      </c>
      <c r="G2314" s="49">
        <f t="array" ref="G2314">MAX(IF(INSTOCK!$H$3:$H$6125=B2314,INSTOCK!$K$3:$K$6125))</f>
        <v>0</v>
      </c>
      <c r="H2314" s="50">
        <f t="array" ref="H2314">SUM(IF(INSTOCK!$H$3:$H$6125=B2314,INSTOCK!$I$3:$I$6125))</f>
        <v>0</v>
      </c>
      <c r="I2314" s="50" t="str">
        <f>ARRAY_CONSTRAIN(ARRAYFORMULA(SUM(IF([3]!Table13[ID]=B2314,[3]!Table13[QTY]))), 1, 1)</f>
        <v>#ERROR!</v>
      </c>
      <c r="J2314" s="50" t="str">
        <f>TABLEITEM!$H$3:$H$2749-TABLEITEM!$I$3:$I$2749</f>
        <v>#ERROR!</v>
      </c>
    </row>
    <row r="2315" ht="15.75" customHeight="1">
      <c r="A2315" s="45"/>
      <c r="B2315" s="10" t="s">
        <v>9899</v>
      </c>
      <c r="C2315" s="26"/>
      <c r="D2315" s="10" t="s">
        <v>9900</v>
      </c>
      <c r="E2315" s="56"/>
      <c r="F2315" s="57" t="s">
        <v>7173</v>
      </c>
      <c r="G2315" s="49">
        <f t="array" ref="G2315">MAX(IF(INSTOCK!$H$3:$H$6125=B2315,INSTOCK!$K$3:$K$6125))</f>
        <v>0</v>
      </c>
      <c r="H2315" s="50">
        <f t="array" ref="H2315">SUM(IF(INSTOCK!$H$3:$H$6125=B2315,INSTOCK!$I$3:$I$6125))</f>
        <v>0</v>
      </c>
      <c r="I2315" s="50" t="str">
        <f>ARRAY_CONSTRAIN(ARRAYFORMULA(SUM(IF([3]!Table13[ID]=B2315,[3]!Table13[QTY]))), 1, 1)</f>
        <v>#ERROR!</v>
      </c>
      <c r="J2315" s="50" t="str">
        <f>TABLEITEM!$H$3:$H$2749-TABLEITEM!$I$3:$I$2749</f>
        <v>#ERROR!</v>
      </c>
    </row>
    <row r="2316" ht="15.75" customHeight="1">
      <c r="A2316" s="45"/>
      <c r="B2316" s="10" t="s">
        <v>9901</v>
      </c>
      <c r="C2316" s="26"/>
      <c r="D2316" s="10" t="s">
        <v>9902</v>
      </c>
      <c r="E2316" s="56"/>
      <c r="F2316" s="57" t="s">
        <v>7173</v>
      </c>
      <c r="G2316" s="49">
        <f t="array" ref="G2316">MAX(IF(INSTOCK!$H$3:$H$6125=B2316,INSTOCK!$K$3:$K$6125))</f>
        <v>0</v>
      </c>
      <c r="H2316" s="50">
        <f t="array" ref="H2316">SUM(IF(INSTOCK!$H$3:$H$6125=B2316,INSTOCK!$I$3:$I$6125))</f>
        <v>0</v>
      </c>
      <c r="I2316" s="50" t="str">
        <f>ARRAY_CONSTRAIN(ARRAYFORMULA(SUM(IF([3]!Table13[ID]=B2316,[3]!Table13[QTY]))), 1, 1)</f>
        <v>#ERROR!</v>
      </c>
      <c r="J2316" s="50" t="str">
        <f>TABLEITEM!$H$3:$H$2749-TABLEITEM!$I$3:$I$2749</f>
        <v>#ERROR!</v>
      </c>
    </row>
    <row r="2317" ht="15.75" customHeight="1">
      <c r="A2317" s="45"/>
      <c r="B2317" s="18" t="s">
        <v>9903</v>
      </c>
      <c r="C2317" s="26"/>
      <c r="D2317" s="18" t="s">
        <v>9904</v>
      </c>
      <c r="E2317" s="56"/>
      <c r="F2317" s="57" t="s">
        <v>7173</v>
      </c>
      <c r="G2317" s="49">
        <f t="array" ref="G2317">MAX(IF(INSTOCK!$H$3:$H$6125=B2317,INSTOCK!$K$3:$K$6125))</f>
        <v>0</v>
      </c>
      <c r="H2317" s="50">
        <f t="array" ref="H2317">SUM(IF(INSTOCK!$H$3:$H$6125=B2317,INSTOCK!$I$3:$I$6125))</f>
        <v>0</v>
      </c>
      <c r="I2317" s="50" t="str">
        <f>ARRAY_CONSTRAIN(ARRAYFORMULA(SUM(IF([3]!Table13[ID]=B2317,[3]!Table13[QTY]))), 1, 1)</f>
        <v>#ERROR!</v>
      </c>
      <c r="J2317" s="50" t="str">
        <f>TABLEITEM!$H$3:$H$2749-TABLEITEM!$I$3:$I$2749</f>
        <v>#ERROR!</v>
      </c>
    </row>
    <row r="2318" ht="15.75" customHeight="1">
      <c r="A2318" s="45"/>
      <c r="B2318" s="18" t="s">
        <v>5430</v>
      </c>
      <c r="C2318" s="26"/>
      <c r="D2318" s="18" t="s">
        <v>9905</v>
      </c>
      <c r="E2318" s="56"/>
      <c r="F2318" s="57" t="s">
        <v>7173</v>
      </c>
      <c r="G2318" s="49">
        <f t="array" ref="G2318">MAX(IF(INSTOCK!$H$3:$H$6125=B2318,INSTOCK!$K$3:$K$6125))</f>
        <v>6000</v>
      </c>
      <c r="H2318" s="50">
        <f t="array" ref="H2318">SUM(IF(INSTOCK!$H$3:$H$6125=B2318,INSTOCK!$I$3:$I$6125))</f>
        <v>1</v>
      </c>
      <c r="I2318" s="50" t="str">
        <f>ARRAY_CONSTRAIN(ARRAYFORMULA(SUM(IF([3]!Table13[ID]=B2318,[3]!Table13[QTY]))), 1, 1)</f>
        <v>#ERROR!</v>
      </c>
      <c r="J2318" s="50" t="str">
        <f>TABLEITEM!$H$3:$H$2749-TABLEITEM!$I$3:$I$2749</f>
        <v>#ERROR!</v>
      </c>
    </row>
    <row r="2319" ht="15.75" customHeight="1">
      <c r="A2319" s="45"/>
      <c r="B2319" s="18" t="s">
        <v>5434</v>
      </c>
      <c r="C2319" s="26"/>
      <c r="D2319" s="18" t="s">
        <v>9906</v>
      </c>
      <c r="E2319" s="56"/>
      <c r="F2319" s="48" t="s">
        <v>7173</v>
      </c>
      <c r="G2319" s="49">
        <f t="array" ref="G2319">MAX(IF(INSTOCK!$H$3:$H$6125=B2319,INSTOCK!$K$3:$K$6125))</f>
        <v>520</v>
      </c>
      <c r="H2319" s="50">
        <f t="array" ref="H2319">SUM(IF(INSTOCK!$H$3:$H$6125=B2319,INSTOCK!$I$3:$I$6125))</f>
        <v>4</v>
      </c>
      <c r="I2319" s="50" t="str">
        <f>ARRAY_CONSTRAIN(ARRAYFORMULA(SUM(IF([3]!Table13[ID]=B2319,[3]!Table13[QTY]))), 1, 1)</f>
        <v>#ERROR!</v>
      </c>
      <c r="J2319" s="50" t="str">
        <f>TABLEITEM!$H$3:$H$2749-TABLEITEM!$I$3:$I$2749</f>
        <v>#ERROR!</v>
      </c>
    </row>
    <row r="2320" ht="15.75" customHeight="1">
      <c r="A2320" s="45"/>
      <c r="B2320" s="10" t="s">
        <v>5438</v>
      </c>
      <c r="C2320" s="26"/>
      <c r="D2320" s="10" t="s">
        <v>9907</v>
      </c>
      <c r="E2320" s="56"/>
      <c r="F2320" s="57" t="s">
        <v>7173</v>
      </c>
      <c r="G2320" s="49">
        <f t="array" ref="G2320">MAX(IF(INSTOCK!$H$3:$H$6125=B2320,INSTOCK!$K$3:$K$6125))</f>
        <v>12.348</v>
      </c>
      <c r="H2320" s="50">
        <f t="array" ref="H2320">SUM(IF(INSTOCK!$H$3:$H$6125=B2320,INSTOCK!$I$3:$I$6125))</f>
        <v>400</v>
      </c>
      <c r="I2320" s="50" t="str">
        <f>ARRAY_CONSTRAIN(ARRAYFORMULA(SUM(IF([3]!Table13[ID]=B2320,[3]!Table13[QTY]))), 1, 1)</f>
        <v>#ERROR!</v>
      </c>
      <c r="J2320" s="50" t="str">
        <f>TABLEITEM!$H$3:$H$2749-TABLEITEM!$I$3:$I$2749</f>
        <v>#ERROR!</v>
      </c>
    </row>
    <row r="2321" ht="15.75" customHeight="1">
      <c r="A2321" s="45"/>
      <c r="B2321" s="10" t="s">
        <v>5440</v>
      </c>
      <c r="C2321" s="26"/>
      <c r="D2321" s="10" t="s">
        <v>9908</v>
      </c>
      <c r="E2321" s="56"/>
      <c r="F2321" s="57" t="s">
        <v>7173</v>
      </c>
      <c r="G2321" s="49">
        <f t="array" ref="G2321">MAX(IF(INSTOCK!$H$3:$H$6125=B2321,INSTOCK!$K$3:$K$6125))</f>
        <v>12.348</v>
      </c>
      <c r="H2321" s="50">
        <f t="array" ref="H2321">SUM(IF(INSTOCK!$H$3:$H$6125=B2321,INSTOCK!$I$3:$I$6125))</f>
        <v>200</v>
      </c>
      <c r="I2321" s="50" t="str">
        <f>ARRAY_CONSTRAIN(ARRAYFORMULA(SUM(IF([3]!Table13[ID]=B2321,[3]!Table13[QTY]))), 1, 1)</f>
        <v>#ERROR!</v>
      </c>
      <c r="J2321" s="50" t="str">
        <f>TABLEITEM!$H$3:$H$2749-TABLEITEM!$I$3:$I$2749</f>
        <v>#ERROR!</v>
      </c>
    </row>
    <row r="2322" ht="15.75" customHeight="1">
      <c r="A2322" s="45"/>
      <c r="B2322" s="18" t="s">
        <v>5441</v>
      </c>
      <c r="C2322" s="26"/>
      <c r="D2322" s="10" t="s">
        <v>9909</v>
      </c>
      <c r="E2322" s="56"/>
      <c r="F2322" s="57" t="s">
        <v>7173</v>
      </c>
      <c r="G2322" s="49">
        <f t="array" ref="G2322">MAX(IF(INSTOCK!$H$3:$H$6125=B2322,INSTOCK!$K$3:$K$6125))</f>
        <v>30.87</v>
      </c>
      <c r="H2322" s="50">
        <f t="array" ref="H2322">SUM(IF(INSTOCK!$H$3:$H$6125=B2322,INSTOCK!$I$3:$I$6125))</f>
        <v>240</v>
      </c>
      <c r="I2322" s="50" t="str">
        <f>ARRAY_CONSTRAIN(ARRAYFORMULA(SUM(IF([3]!Table13[ID]=B2322,[3]!Table13[QTY]))), 1, 1)</f>
        <v>#ERROR!</v>
      </c>
      <c r="J2322" s="50" t="str">
        <f>TABLEITEM!$H$3:$H$2749-TABLEITEM!$I$3:$I$2749</f>
        <v>#ERROR!</v>
      </c>
    </row>
    <row r="2323" ht="15.75" customHeight="1">
      <c r="A2323" s="45"/>
      <c r="B2323" s="18" t="s">
        <v>5447</v>
      </c>
      <c r="C2323" s="26"/>
      <c r="D2323" s="18" t="s">
        <v>9910</v>
      </c>
      <c r="E2323" s="56"/>
      <c r="F2323" s="57" t="s">
        <v>7173</v>
      </c>
      <c r="G2323" s="49">
        <f t="array" ref="G2323">MAX(IF(INSTOCK!$H$3:$H$6125=B2323,INSTOCK!$K$3:$K$6125))</f>
        <v>20</v>
      </c>
      <c r="H2323" s="50">
        <f t="array" ref="H2323">SUM(IF(INSTOCK!$H$3:$H$6125=B2323,INSTOCK!$I$3:$I$6125))</f>
        <v>5</v>
      </c>
      <c r="I2323" s="50" t="str">
        <f>ARRAY_CONSTRAIN(ARRAYFORMULA(SUM(IF([3]!Table13[ID]=B2323,[3]!Table13[QTY]))), 1, 1)</f>
        <v>#ERROR!</v>
      </c>
      <c r="J2323" s="50" t="str">
        <f>TABLEITEM!$H$3:$H$2749-TABLEITEM!$I$3:$I$2749</f>
        <v>#ERROR!</v>
      </c>
    </row>
    <row r="2324" ht="15.75" customHeight="1">
      <c r="A2324" s="45"/>
      <c r="B2324" s="18" t="s">
        <v>4528</v>
      </c>
      <c r="C2324" s="26"/>
      <c r="D2324" s="18" t="s">
        <v>9911</v>
      </c>
      <c r="E2324" s="56" t="s">
        <v>9495</v>
      </c>
      <c r="F2324" s="57" t="s">
        <v>7173</v>
      </c>
      <c r="G2324" s="49">
        <f t="array" ref="G2324">MAX(IF(INSTOCK!$H$3:$H$6125=B2324,INSTOCK!$K$3:$K$6125))</f>
        <v>70.09</v>
      </c>
      <c r="H2324" s="50">
        <f t="array" ref="H2324">SUM(IF(INSTOCK!$H$3:$H$6125=B2324,INSTOCK!$I$3:$I$6125))</f>
        <v>1</v>
      </c>
      <c r="I2324" s="50" t="str">
        <f>ARRAY_CONSTRAIN(ARRAYFORMULA(SUM(IF([3]!Table13[ID]=B2324,[3]!Table13[QTY]))), 1, 1)</f>
        <v>#ERROR!</v>
      </c>
      <c r="J2324" s="50" t="str">
        <f>TABLEITEM!$H$3:$H$2749-TABLEITEM!$I$3:$I$2749</f>
        <v>#ERROR!</v>
      </c>
    </row>
    <row r="2325" ht="15.75" customHeight="1">
      <c r="A2325" s="45"/>
      <c r="B2325" s="18" t="s">
        <v>5453</v>
      </c>
      <c r="C2325" s="26"/>
      <c r="D2325" s="18" t="s">
        <v>9912</v>
      </c>
      <c r="E2325" s="56"/>
      <c r="F2325" s="57" t="s">
        <v>7173</v>
      </c>
      <c r="G2325" s="49">
        <f t="array" ref="G2325">MAX(IF(INSTOCK!$H$3:$H$6125=B2325,INSTOCK!$K$3:$K$6125))</f>
        <v>1568</v>
      </c>
      <c r="H2325" s="50">
        <f t="array" ref="H2325">SUM(IF(INSTOCK!$H$3:$H$6125=B2325,INSTOCK!$I$3:$I$6125))</f>
        <v>31</v>
      </c>
      <c r="I2325" s="50" t="str">
        <f>ARRAY_CONSTRAIN(ARRAYFORMULA(SUM(IF([3]!Table13[ID]=B2325,[3]!Table13[QTY]))), 1, 1)</f>
        <v>#ERROR!</v>
      </c>
      <c r="J2325" s="50" t="str">
        <f>TABLEITEM!$H$3:$H$2749-TABLEITEM!$I$3:$I$2749</f>
        <v>#ERROR!</v>
      </c>
    </row>
    <row r="2326" ht="15.75" customHeight="1">
      <c r="A2326" s="45"/>
      <c r="B2326" s="18" t="s">
        <v>5457</v>
      </c>
      <c r="C2326" s="26"/>
      <c r="D2326" s="18" t="s">
        <v>9913</v>
      </c>
      <c r="E2326" s="56"/>
      <c r="F2326" s="57" t="s">
        <v>7173</v>
      </c>
      <c r="G2326" s="49">
        <f t="array" ref="G2326">MAX(IF(INSTOCK!$H$3:$H$6125=B2326,INSTOCK!$K$3:$K$6125))</f>
        <v>1272</v>
      </c>
      <c r="H2326" s="50">
        <f t="array" ref="H2326">SUM(IF(INSTOCK!$H$3:$H$6125=B2326,INSTOCK!$I$3:$I$6125))</f>
        <v>1</v>
      </c>
      <c r="I2326" s="50" t="str">
        <f>ARRAY_CONSTRAIN(ARRAYFORMULA(SUM(IF([3]!Table13[ID]=B2326,[3]!Table13[QTY]))), 1, 1)</f>
        <v>#ERROR!</v>
      </c>
      <c r="J2326" s="50" t="str">
        <f>TABLEITEM!$H$3:$H$2749-TABLEITEM!$I$3:$I$2749</f>
        <v>#ERROR!</v>
      </c>
    </row>
    <row r="2327" ht="15.75" customHeight="1">
      <c r="A2327" s="45"/>
      <c r="B2327" s="10" t="s">
        <v>5459</v>
      </c>
      <c r="C2327" s="26"/>
      <c r="D2327" s="10" t="s">
        <v>9914</v>
      </c>
      <c r="E2327" s="56" t="s">
        <v>9915</v>
      </c>
      <c r="F2327" s="57" t="s">
        <v>7173</v>
      </c>
      <c r="G2327" s="49">
        <f t="array" ref="G2327">MAX(IF(INSTOCK!$H$3:$H$6125=B2327,INSTOCK!$K$3:$K$6125))</f>
        <v>545.3</v>
      </c>
      <c r="H2327" s="50">
        <f t="array" ref="H2327">SUM(IF(INSTOCK!$H$3:$H$6125=B2327,INSTOCK!$I$3:$I$6125))</f>
        <v>26</v>
      </c>
      <c r="I2327" s="50" t="str">
        <f>ARRAY_CONSTRAIN(ARRAYFORMULA(SUM(IF([3]!Table13[ID]=B2327,[3]!Table13[QTY]))), 1, 1)</f>
        <v>#ERROR!</v>
      </c>
      <c r="J2327" s="50" t="str">
        <f>TABLEITEM!$H$3:$H$2749-TABLEITEM!$I$3:$I$2749</f>
        <v>#ERROR!</v>
      </c>
    </row>
    <row r="2328" ht="15.75" customHeight="1">
      <c r="A2328" s="45"/>
      <c r="B2328" s="18" t="s">
        <v>5461</v>
      </c>
      <c r="C2328" s="26"/>
      <c r="D2328" s="18" t="s">
        <v>9916</v>
      </c>
      <c r="E2328" s="56" t="s">
        <v>9915</v>
      </c>
      <c r="F2328" s="57" t="s">
        <v>7173</v>
      </c>
      <c r="G2328" s="49">
        <f t="array" ref="G2328">MAX(IF(INSTOCK!$H$3:$H$6125=B2328,INSTOCK!$K$3:$K$6125))</f>
        <v>100</v>
      </c>
      <c r="H2328" s="50">
        <f t="array" ref="H2328">SUM(IF(INSTOCK!$H$3:$H$6125=B2328,INSTOCK!$I$3:$I$6125))</f>
        <v>26</v>
      </c>
      <c r="I2328" s="50" t="str">
        <f>ARRAY_CONSTRAIN(ARRAYFORMULA(SUM(IF([3]!Table13[ID]=B2328,[3]!Table13[QTY]))), 1, 1)</f>
        <v>#ERROR!</v>
      </c>
      <c r="J2328" s="50" t="str">
        <f>TABLEITEM!$H$3:$H$2749-TABLEITEM!$I$3:$I$2749</f>
        <v>#ERROR!</v>
      </c>
    </row>
    <row r="2329" ht="15.75" customHeight="1">
      <c r="A2329" s="45"/>
      <c r="B2329" s="10" t="s">
        <v>5466</v>
      </c>
      <c r="C2329" s="26"/>
      <c r="D2329" s="18" t="s">
        <v>9917</v>
      </c>
      <c r="E2329" s="56"/>
      <c r="F2329" s="57" t="s">
        <v>7173</v>
      </c>
      <c r="G2329" s="49">
        <f t="array" ref="G2329">MAX(IF(INSTOCK!$H$3:$H$6125=B2329,INSTOCK!$K$3:$K$6125))</f>
        <v>12500</v>
      </c>
      <c r="H2329" s="50">
        <f t="array" ref="H2329">SUM(IF(INSTOCK!$H$3:$H$6125=B2329,INSTOCK!$I$3:$I$6125))</f>
        <v>3</v>
      </c>
      <c r="I2329" s="50" t="str">
        <f>ARRAY_CONSTRAIN(ARRAYFORMULA(SUM(IF([3]!Table13[ID]=B2329,[3]!Table13[QTY]))), 1, 1)</f>
        <v>#ERROR!</v>
      </c>
      <c r="J2329" s="50" t="str">
        <f>TABLEITEM!$H$3:$H$2749-TABLEITEM!$I$3:$I$2749</f>
        <v>#ERROR!</v>
      </c>
    </row>
    <row r="2330" ht="15.75" customHeight="1">
      <c r="A2330" s="45"/>
      <c r="B2330" s="10" t="s">
        <v>5469</v>
      </c>
      <c r="C2330" s="26"/>
      <c r="D2330" s="10" t="s">
        <v>9918</v>
      </c>
      <c r="E2330" s="56"/>
      <c r="F2330" s="57" t="s">
        <v>7173</v>
      </c>
      <c r="G2330" s="49">
        <f t="array" ref="G2330">MAX(IF(INSTOCK!$H$3:$H$6125=B2330,INSTOCK!$K$3:$K$6125))</f>
        <v>70</v>
      </c>
      <c r="H2330" s="50">
        <f t="array" ref="H2330">SUM(IF(INSTOCK!$H$3:$H$6125=B2330,INSTOCK!$I$3:$I$6125))</f>
        <v>1.5</v>
      </c>
      <c r="I2330" s="50" t="str">
        <f>ARRAY_CONSTRAIN(ARRAYFORMULA(SUM(IF([3]!Table13[ID]=B2330,[3]!Table13[QTY]))), 1, 1)</f>
        <v>#ERROR!</v>
      </c>
      <c r="J2330" s="50" t="str">
        <f>TABLEITEM!$H$3:$H$2749-TABLEITEM!$I$3:$I$2749</f>
        <v>#ERROR!</v>
      </c>
    </row>
    <row r="2331" ht="15.75" customHeight="1">
      <c r="A2331" s="45"/>
      <c r="B2331" s="10" t="s">
        <v>5470</v>
      </c>
      <c r="C2331" s="26"/>
      <c r="D2331" s="10" t="s">
        <v>9919</v>
      </c>
      <c r="E2331" s="56"/>
      <c r="F2331" s="57" t="s">
        <v>7173</v>
      </c>
      <c r="G2331" s="49">
        <f t="array" ref="G2331">MAX(IF(INSTOCK!$H$3:$H$6125=B2331,INSTOCK!$K$3:$K$6125))</f>
        <v>22</v>
      </c>
      <c r="H2331" s="50">
        <f t="array" ref="H2331">SUM(IF(INSTOCK!$H$3:$H$6125=B2331,INSTOCK!$I$3:$I$6125))</f>
        <v>2</v>
      </c>
      <c r="I2331" s="50" t="str">
        <f>ARRAY_CONSTRAIN(ARRAYFORMULA(SUM(IF([3]!Table13[ID]=B2331,[3]!Table13[QTY]))), 1, 1)</f>
        <v>#ERROR!</v>
      </c>
      <c r="J2331" s="50" t="str">
        <f>TABLEITEM!$H$3:$H$2749-TABLEITEM!$I$3:$I$2749</f>
        <v>#ERROR!</v>
      </c>
    </row>
    <row r="2332" ht="15.75" customHeight="1">
      <c r="A2332" s="45"/>
      <c r="B2332" s="18" t="s">
        <v>5471</v>
      </c>
      <c r="C2332" s="26"/>
      <c r="D2332" s="18" t="s">
        <v>9920</v>
      </c>
      <c r="E2332" s="56"/>
      <c r="F2332" s="57" t="s">
        <v>7173</v>
      </c>
      <c r="G2332" s="49">
        <f t="array" ref="G2332">MAX(IF(INSTOCK!$H$3:$H$6125=B2332,INSTOCK!$K$3:$K$6125))</f>
        <v>70</v>
      </c>
      <c r="H2332" s="50">
        <f t="array" ref="H2332">SUM(IF(INSTOCK!$H$3:$H$6125=B2332,INSTOCK!$I$3:$I$6125))</f>
        <v>20</v>
      </c>
      <c r="I2332" s="50" t="str">
        <f>ARRAY_CONSTRAIN(ARRAYFORMULA(SUM(IF([3]!Table13[ID]=B2332,[3]!Table13[QTY]))), 1, 1)</f>
        <v>#ERROR!</v>
      </c>
      <c r="J2332" s="50" t="str">
        <f>TABLEITEM!$H$3:$H$2749-TABLEITEM!$I$3:$I$2749</f>
        <v>#ERROR!</v>
      </c>
    </row>
    <row r="2333" ht="15.75" customHeight="1">
      <c r="A2333" s="45"/>
      <c r="B2333" s="10" t="s">
        <v>5474</v>
      </c>
      <c r="C2333" s="26"/>
      <c r="D2333" s="10" t="s">
        <v>9921</v>
      </c>
      <c r="E2333" s="56"/>
      <c r="F2333" s="57" t="s">
        <v>7173</v>
      </c>
      <c r="G2333" s="49">
        <f t="array" ref="G2333">MAX(IF(INSTOCK!$H$3:$H$6125=B2333,INSTOCK!$K$3:$K$6125))</f>
        <v>275</v>
      </c>
      <c r="H2333" s="50">
        <f t="array" ref="H2333">SUM(IF(INSTOCK!$H$3:$H$6125=B2333,INSTOCK!$I$3:$I$6125))</f>
        <v>40</v>
      </c>
      <c r="I2333" s="50" t="str">
        <f>ARRAY_CONSTRAIN(ARRAYFORMULA(SUM(IF([3]!Table13[ID]=B2333,[3]!Table13[QTY]))), 1, 1)</f>
        <v>#ERROR!</v>
      </c>
      <c r="J2333" s="50" t="str">
        <f>TABLEITEM!$H$3:$H$2749-TABLEITEM!$I$3:$I$2749</f>
        <v>#ERROR!</v>
      </c>
    </row>
    <row r="2334" ht="15.75" customHeight="1">
      <c r="A2334" s="45"/>
      <c r="B2334" s="18" t="s">
        <v>5475</v>
      </c>
      <c r="C2334" s="26"/>
      <c r="D2334" s="10" t="s">
        <v>9922</v>
      </c>
      <c r="E2334" s="56"/>
      <c r="F2334" s="57" t="s">
        <v>7173</v>
      </c>
      <c r="G2334" s="49">
        <f t="array" ref="G2334">MAX(IF(INSTOCK!$H$3:$H$6125=B2334,INSTOCK!$K$3:$K$6125))</f>
        <v>275</v>
      </c>
      <c r="H2334" s="50">
        <f t="array" ref="H2334">SUM(IF(INSTOCK!$H$3:$H$6125=B2334,INSTOCK!$I$3:$I$6125))</f>
        <v>4</v>
      </c>
      <c r="I2334" s="50" t="str">
        <f>ARRAY_CONSTRAIN(ARRAYFORMULA(SUM(IF([3]!Table13[ID]=B2334,[3]!Table13[QTY]))), 1, 1)</f>
        <v>#ERROR!</v>
      </c>
      <c r="J2334" s="50" t="str">
        <f>TABLEITEM!$H$3:$H$2749-TABLEITEM!$I$3:$I$2749</f>
        <v>#ERROR!</v>
      </c>
    </row>
    <row r="2335" ht="15.75" customHeight="1">
      <c r="A2335" s="45"/>
      <c r="B2335" s="18" t="s">
        <v>5480</v>
      </c>
      <c r="C2335" s="26"/>
      <c r="D2335" s="18" t="s">
        <v>9923</v>
      </c>
      <c r="E2335" s="56" t="s">
        <v>8560</v>
      </c>
      <c r="F2335" s="57" t="s">
        <v>7173</v>
      </c>
      <c r="G2335" s="49">
        <f t="array" ref="G2335">MAX(IF(INSTOCK!$H$3:$H$6125=B2335,INSTOCK!$K$3:$K$6125))</f>
        <v>53.46</v>
      </c>
      <c r="H2335" s="50">
        <f t="array" ref="H2335">SUM(IF(INSTOCK!$H$3:$H$6125=B2335,INSTOCK!$I$3:$I$6125))</f>
        <v>10</v>
      </c>
      <c r="I2335" s="50" t="str">
        <f>ARRAY_CONSTRAIN(ARRAYFORMULA(SUM(IF([3]!Table13[ID]=B2335,[3]!Table13[QTY]))), 1, 1)</f>
        <v>#ERROR!</v>
      </c>
      <c r="J2335" s="50" t="str">
        <f>TABLEITEM!$H$3:$H$2749-TABLEITEM!$I$3:$I$2749</f>
        <v>#ERROR!</v>
      </c>
    </row>
    <row r="2336" ht="15.75" customHeight="1">
      <c r="A2336" s="45"/>
      <c r="B2336" s="18" t="s">
        <v>5483</v>
      </c>
      <c r="C2336" s="26"/>
      <c r="D2336" s="18" t="s">
        <v>9924</v>
      </c>
      <c r="E2336" s="56"/>
      <c r="F2336" s="48" t="s">
        <v>7189</v>
      </c>
      <c r="G2336" s="49">
        <f t="array" ref="G2336">MAX(IF(INSTOCK!$H$3:$H$6125=B2336,INSTOCK!$K$3:$K$6125))</f>
        <v>140</v>
      </c>
      <c r="H2336" s="50">
        <f t="array" ref="H2336">SUM(IF(INSTOCK!$H$3:$H$6125=B2336,INSTOCK!$I$3:$I$6125))</f>
        <v>436.1</v>
      </c>
      <c r="I2336" s="50" t="str">
        <f>ARRAY_CONSTRAIN(ARRAYFORMULA(SUM(IF([3]!Table13[ID]=B2336,[3]!Table13[QTY]))), 1, 1)</f>
        <v>#ERROR!</v>
      </c>
      <c r="J2336" s="50" t="str">
        <f>TABLEITEM!$H$3:$H$2749-TABLEITEM!$I$3:$I$2749</f>
        <v>#ERROR!</v>
      </c>
    </row>
    <row r="2337" ht="15.75" customHeight="1">
      <c r="A2337" s="45"/>
      <c r="B2337" s="18" t="s">
        <v>5490</v>
      </c>
      <c r="C2337" s="26"/>
      <c r="D2337" s="18" t="s">
        <v>9925</v>
      </c>
      <c r="E2337" s="56"/>
      <c r="F2337" s="57" t="s">
        <v>7173</v>
      </c>
      <c r="G2337" s="49">
        <f t="array" ref="G2337">MAX(IF(INSTOCK!$H$3:$H$6125=B2337,INSTOCK!$K$3:$K$6125))</f>
        <v>2106</v>
      </c>
      <c r="H2337" s="50">
        <f t="array" ref="H2337">SUM(IF(INSTOCK!$H$3:$H$6125=B2337,INSTOCK!$I$3:$I$6125))</f>
        <v>2</v>
      </c>
      <c r="I2337" s="50" t="str">
        <f>ARRAY_CONSTRAIN(ARRAYFORMULA(SUM(IF([3]!Table13[ID]=B2337,[3]!Table13[QTY]))), 1, 1)</f>
        <v>#ERROR!</v>
      </c>
      <c r="J2337" s="50" t="str">
        <f>TABLEITEM!$H$3:$H$2749-TABLEITEM!$I$3:$I$2749</f>
        <v>#ERROR!</v>
      </c>
    </row>
    <row r="2338" ht="15.75" customHeight="1">
      <c r="A2338" s="45"/>
      <c r="B2338" s="18" t="s">
        <v>5493</v>
      </c>
      <c r="C2338" s="26"/>
      <c r="D2338" s="18" t="s">
        <v>9926</v>
      </c>
      <c r="E2338" s="56"/>
      <c r="F2338" s="57" t="s">
        <v>7173</v>
      </c>
      <c r="G2338" s="49">
        <f t="array" ref="G2338">MAX(IF(INSTOCK!$H$3:$H$6125=B2338,INSTOCK!$K$3:$K$6125))</f>
        <v>994.5</v>
      </c>
      <c r="H2338" s="50">
        <f t="array" ref="H2338">SUM(IF(INSTOCK!$H$3:$H$6125=B2338,INSTOCK!$I$3:$I$6125))</f>
        <v>7</v>
      </c>
      <c r="I2338" s="50" t="str">
        <f>ARRAY_CONSTRAIN(ARRAYFORMULA(SUM(IF([3]!Table13[ID]=B2338,[3]!Table13[QTY]))), 1, 1)</f>
        <v>#ERROR!</v>
      </c>
      <c r="J2338" s="50" t="str">
        <f>TABLEITEM!$H$3:$H$2749-TABLEITEM!$I$3:$I$2749</f>
        <v>#ERROR!</v>
      </c>
    </row>
    <row r="2339" ht="15.75" customHeight="1">
      <c r="A2339" s="45"/>
      <c r="B2339" s="18" t="s">
        <v>5499</v>
      </c>
      <c r="C2339" s="26"/>
      <c r="D2339" s="18" t="s">
        <v>9927</v>
      </c>
      <c r="E2339" s="56" t="s">
        <v>8181</v>
      </c>
      <c r="F2339" s="57" t="s">
        <v>7173</v>
      </c>
      <c r="G2339" s="49">
        <f t="array" ref="G2339">MAX(IF(INSTOCK!$H$3:$H$6125=B2339,INSTOCK!$K$3:$K$6125))</f>
        <v>810</v>
      </c>
      <c r="H2339" s="50">
        <f t="array" ref="H2339">SUM(IF(INSTOCK!$H$3:$H$6125=B2339,INSTOCK!$I$3:$I$6125))</f>
        <v>2</v>
      </c>
      <c r="I2339" s="50" t="str">
        <f>ARRAY_CONSTRAIN(ARRAYFORMULA(SUM(IF([3]!Table13[ID]=B2339,[3]!Table13[QTY]))), 1, 1)</f>
        <v>#ERROR!</v>
      </c>
      <c r="J2339" s="50" t="str">
        <f>TABLEITEM!$H$3:$H$2749-TABLEITEM!$I$3:$I$2749</f>
        <v>#ERROR!</v>
      </c>
    </row>
    <row r="2340" ht="15.75" customHeight="1">
      <c r="A2340" s="45"/>
      <c r="B2340" s="18" t="s">
        <v>5505</v>
      </c>
      <c r="C2340" s="26"/>
      <c r="D2340" s="18" t="s">
        <v>9928</v>
      </c>
      <c r="E2340" s="56"/>
      <c r="F2340" s="48" t="s">
        <v>7189</v>
      </c>
      <c r="G2340" s="49">
        <f t="array" ref="G2340">MAX(IF(INSTOCK!$H$3:$H$6125=B2340,INSTOCK!$K$3:$K$6125))</f>
        <v>145</v>
      </c>
      <c r="H2340" s="50">
        <f t="array" ref="H2340">SUM(IF(INSTOCK!$H$3:$H$6125=B2340,INSTOCK!$I$3:$I$6125))</f>
        <v>20</v>
      </c>
      <c r="I2340" s="50" t="str">
        <f>ARRAY_CONSTRAIN(ARRAYFORMULA(SUM(IF([3]!Table13[ID]=B2340,[3]!Table13[QTY]))), 1, 1)</f>
        <v>#ERROR!</v>
      </c>
      <c r="J2340" s="50" t="str">
        <f>TABLEITEM!$H$3:$H$2749-TABLEITEM!$I$3:$I$2749</f>
        <v>#ERROR!</v>
      </c>
    </row>
    <row r="2341" ht="15.75" customHeight="1">
      <c r="A2341" s="45"/>
      <c r="B2341" s="18" t="s">
        <v>5509</v>
      </c>
      <c r="C2341" s="26"/>
      <c r="D2341" s="18" t="s">
        <v>9929</v>
      </c>
      <c r="E2341" s="56"/>
      <c r="F2341" s="57" t="s">
        <v>7173</v>
      </c>
      <c r="G2341" s="49">
        <f t="array" ref="G2341">MAX(IF(INSTOCK!$H$3:$H$6125=B2341,INSTOCK!$K$3:$K$6125))</f>
        <v>688.5</v>
      </c>
      <c r="H2341" s="50">
        <f t="array" ref="H2341">SUM(IF(INSTOCK!$H$3:$H$6125=B2341,INSTOCK!$I$3:$I$6125))</f>
        <v>8</v>
      </c>
      <c r="I2341" s="50" t="str">
        <f>ARRAY_CONSTRAIN(ARRAYFORMULA(SUM(IF([3]!Table13[ID]=B2341,[3]!Table13[QTY]))), 1, 1)</f>
        <v>#ERROR!</v>
      </c>
      <c r="J2341" s="50" t="str">
        <f>TABLEITEM!$H$3:$H$2749-TABLEITEM!$I$3:$I$2749</f>
        <v>#ERROR!</v>
      </c>
    </row>
    <row r="2342" ht="15.75" customHeight="1">
      <c r="A2342" s="45"/>
      <c r="B2342" s="10" t="s">
        <v>5516</v>
      </c>
      <c r="C2342" s="26"/>
      <c r="D2342" s="10" t="s">
        <v>9930</v>
      </c>
      <c r="E2342" s="56"/>
      <c r="F2342" s="57" t="s">
        <v>7173</v>
      </c>
      <c r="G2342" s="49">
        <f t="array" ref="G2342">MAX(IF(INSTOCK!$H$3:$H$6125=B2342,INSTOCK!$K$3:$K$6125))</f>
        <v>860</v>
      </c>
      <c r="H2342" s="50">
        <f t="array" ref="H2342">SUM(IF(INSTOCK!$H$3:$H$6125=B2342,INSTOCK!$I$3:$I$6125))</f>
        <v>1</v>
      </c>
      <c r="I2342" s="50" t="str">
        <f>ARRAY_CONSTRAIN(ARRAYFORMULA(SUM(IF([3]!Table13[ID]=B2342,[3]!Table13[QTY]))), 1, 1)</f>
        <v>#ERROR!</v>
      </c>
      <c r="J2342" s="50" t="str">
        <f>TABLEITEM!$H$3:$H$2749-TABLEITEM!$I$3:$I$2749</f>
        <v>#ERROR!</v>
      </c>
    </row>
    <row r="2343" ht="15.75" customHeight="1">
      <c r="A2343" s="45"/>
      <c r="B2343" s="10" t="s">
        <v>5517</v>
      </c>
      <c r="C2343" s="26"/>
      <c r="D2343" s="10" t="s">
        <v>9931</v>
      </c>
      <c r="E2343" s="56" t="s">
        <v>1504</v>
      </c>
      <c r="F2343" s="57" t="s">
        <v>7173</v>
      </c>
      <c r="G2343" s="49">
        <f t="array" ref="G2343">MAX(IF(INSTOCK!$H$3:$H$6125=B2343,INSTOCK!$K$3:$K$6125))</f>
        <v>1010</v>
      </c>
      <c r="H2343" s="50">
        <f t="array" ref="H2343">SUM(IF(INSTOCK!$H$3:$H$6125=B2343,INSTOCK!$I$3:$I$6125))</f>
        <v>2</v>
      </c>
      <c r="I2343" s="50" t="str">
        <f>ARRAY_CONSTRAIN(ARRAYFORMULA(SUM(IF([3]!Table13[ID]=B2343,[3]!Table13[QTY]))), 1, 1)</f>
        <v>#ERROR!</v>
      </c>
      <c r="J2343" s="50" t="str">
        <f>TABLEITEM!$H$3:$H$2749-TABLEITEM!$I$3:$I$2749</f>
        <v>#ERROR!</v>
      </c>
    </row>
    <row r="2344" ht="15.75" customHeight="1">
      <c r="A2344" s="45"/>
      <c r="B2344" s="18" t="s">
        <v>5519</v>
      </c>
      <c r="C2344" s="26"/>
      <c r="D2344" s="18" t="s">
        <v>9932</v>
      </c>
      <c r="E2344" s="56" t="s">
        <v>1504</v>
      </c>
      <c r="F2344" s="57" t="s">
        <v>7173</v>
      </c>
      <c r="G2344" s="49">
        <f t="array" ref="G2344">MAX(IF(INSTOCK!$H$3:$H$6125=B2344,INSTOCK!$K$3:$K$6125))</f>
        <v>1040</v>
      </c>
      <c r="H2344" s="50">
        <f t="array" ref="H2344">SUM(IF(INSTOCK!$H$3:$H$6125=B2344,INSTOCK!$I$3:$I$6125))</f>
        <v>10</v>
      </c>
      <c r="I2344" s="50" t="str">
        <f>ARRAY_CONSTRAIN(ARRAYFORMULA(SUM(IF([3]!Table13[ID]=B2344,[3]!Table13[QTY]))), 1, 1)</f>
        <v>#ERROR!</v>
      </c>
      <c r="J2344" s="50" t="str">
        <f>TABLEITEM!$H$3:$H$2749-TABLEITEM!$I$3:$I$2749</f>
        <v>#ERROR!</v>
      </c>
    </row>
    <row r="2345" ht="15.75" customHeight="1">
      <c r="A2345" s="45"/>
      <c r="B2345" s="10" t="s">
        <v>5521</v>
      </c>
      <c r="C2345" s="26"/>
      <c r="D2345" s="10" t="s">
        <v>9933</v>
      </c>
      <c r="E2345" s="56" t="s">
        <v>1504</v>
      </c>
      <c r="F2345" s="57" t="s">
        <v>7173</v>
      </c>
      <c r="G2345" s="49">
        <f t="array" ref="G2345">MAX(IF(INSTOCK!$H$3:$H$6125=B2345,INSTOCK!$K$3:$K$6125))</f>
        <v>3600</v>
      </c>
      <c r="H2345" s="50">
        <f t="array" ref="H2345">SUM(IF(INSTOCK!$H$3:$H$6125=B2345,INSTOCK!$I$3:$I$6125))</f>
        <v>1</v>
      </c>
      <c r="I2345" s="50" t="str">
        <f>ARRAY_CONSTRAIN(ARRAYFORMULA(SUM(IF([3]!Table13[ID]=B2345,[3]!Table13[QTY]))), 1, 1)</f>
        <v>#ERROR!</v>
      </c>
      <c r="J2345" s="50" t="str">
        <f>TABLEITEM!$H$3:$H$2749-TABLEITEM!$I$3:$I$2749</f>
        <v>#ERROR!</v>
      </c>
    </row>
    <row r="2346" ht="15.75" customHeight="1">
      <c r="A2346" s="45"/>
      <c r="B2346" s="10" t="s">
        <v>5523</v>
      </c>
      <c r="C2346" s="26"/>
      <c r="D2346" s="10" t="s">
        <v>9934</v>
      </c>
      <c r="E2346" s="56" t="s">
        <v>1504</v>
      </c>
      <c r="F2346" s="57" t="s">
        <v>7173</v>
      </c>
      <c r="G2346" s="49">
        <f t="array" ref="G2346">MAX(IF(INSTOCK!$H$3:$H$6125=B2346,INSTOCK!$K$3:$K$6125))</f>
        <v>1120</v>
      </c>
      <c r="H2346" s="50">
        <f t="array" ref="H2346">SUM(IF(INSTOCK!$H$3:$H$6125=B2346,INSTOCK!$I$3:$I$6125))</f>
        <v>1</v>
      </c>
      <c r="I2346" s="50" t="str">
        <f>ARRAY_CONSTRAIN(ARRAYFORMULA(SUM(IF([3]!Table13[ID]=B2346,[3]!Table13[QTY]))), 1, 1)</f>
        <v>#ERROR!</v>
      </c>
      <c r="J2346" s="50" t="str">
        <f>TABLEITEM!$H$3:$H$2749-TABLEITEM!$I$3:$I$2749</f>
        <v>#ERROR!</v>
      </c>
    </row>
    <row r="2347" ht="15.75" customHeight="1">
      <c r="A2347" s="45"/>
      <c r="B2347" s="18" t="s">
        <v>5525</v>
      </c>
      <c r="C2347" s="26"/>
      <c r="D2347" s="18" t="s">
        <v>9935</v>
      </c>
      <c r="E2347" s="56" t="s">
        <v>1504</v>
      </c>
      <c r="F2347" s="57" t="s">
        <v>7173</v>
      </c>
      <c r="G2347" s="49">
        <f t="array" ref="G2347">MAX(IF(INSTOCK!$H$3:$H$6125=B2347,INSTOCK!$K$3:$K$6125))</f>
        <v>6250</v>
      </c>
      <c r="H2347" s="50">
        <f t="array" ref="H2347">SUM(IF(INSTOCK!$H$3:$H$6125=B2347,INSTOCK!$I$3:$I$6125))</f>
        <v>1</v>
      </c>
      <c r="I2347" s="50" t="str">
        <f>ARRAY_CONSTRAIN(ARRAYFORMULA(SUM(IF([3]!Table13[ID]=B2347,[3]!Table13[QTY]))), 1, 1)</f>
        <v>#ERROR!</v>
      </c>
      <c r="J2347" s="50" t="str">
        <f>TABLEITEM!$H$3:$H$2749-TABLEITEM!$I$3:$I$2749</f>
        <v>#ERROR!</v>
      </c>
    </row>
    <row r="2348" ht="15.75" customHeight="1">
      <c r="A2348" s="45"/>
      <c r="B2348" s="10" t="s">
        <v>5533</v>
      </c>
      <c r="C2348" s="26"/>
      <c r="D2348" s="18" t="s">
        <v>9936</v>
      </c>
      <c r="E2348" s="56"/>
      <c r="F2348" s="57" t="s">
        <v>7173</v>
      </c>
      <c r="G2348" s="49">
        <f t="array" ref="G2348">MAX(IF(INSTOCK!$H$3:$H$6125=B2348,INSTOCK!$K$3:$K$6125))</f>
        <v>4700</v>
      </c>
      <c r="H2348" s="50">
        <f t="array" ref="H2348">SUM(IF(INSTOCK!$H$3:$H$6125=B2348,INSTOCK!$I$3:$I$6125))</f>
        <v>2</v>
      </c>
      <c r="I2348" s="50" t="str">
        <f>ARRAY_CONSTRAIN(ARRAYFORMULA(SUM(IF([3]!Table13[ID]=B2348,[3]!Table13[QTY]))), 1, 1)</f>
        <v>#ERROR!</v>
      </c>
      <c r="J2348" s="50" t="str">
        <f>TABLEITEM!$H$3:$H$2749-TABLEITEM!$I$3:$I$2749</f>
        <v>#ERROR!</v>
      </c>
    </row>
    <row r="2349" ht="15.75" customHeight="1">
      <c r="A2349" s="45"/>
      <c r="B2349" s="18" t="s">
        <v>5548</v>
      </c>
      <c r="C2349" s="26"/>
      <c r="D2349" s="18" t="s">
        <v>9937</v>
      </c>
      <c r="E2349" s="56"/>
      <c r="F2349" s="57" t="s">
        <v>7173</v>
      </c>
      <c r="G2349" s="49">
        <f t="array" ref="G2349">MAX(IF(INSTOCK!$H$3:$H$6125=B2349,INSTOCK!$K$3:$K$6125))</f>
        <v>1590</v>
      </c>
      <c r="H2349" s="50">
        <f t="array" ref="H2349">SUM(IF(INSTOCK!$H$3:$H$6125=B2349,INSTOCK!$I$3:$I$6125))</f>
        <v>1</v>
      </c>
      <c r="I2349" s="50" t="str">
        <f>ARRAY_CONSTRAIN(ARRAYFORMULA(SUM(IF([3]!Table13[ID]=B2349,[3]!Table13[QTY]))), 1, 1)</f>
        <v>#ERROR!</v>
      </c>
      <c r="J2349" s="50" t="str">
        <f>TABLEITEM!$H$3:$H$2749-TABLEITEM!$I$3:$I$2749</f>
        <v>#ERROR!</v>
      </c>
    </row>
    <row r="2350" ht="15.75" customHeight="1">
      <c r="A2350" s="45"/>
      <c r="B2350" s="18" t="s">
        <v>5556</v>
      </c>
      <c r="C2350" s="26"/>
      <c r="D2350" s="18" t="s">
        <v>9938</v>
      </c>
      <c r="E2350" s="56"/>
      <c r="F2350" s="57" t="s">
        <v>7173</v>
      </c>
      <c r="G2350" s="49">
        <f t="array" ref="G2350">MAX(IF(INSTOCK!$H$3:$H$6125=B2350,INSTOCK!$K$3:$K$6125))</f>
        <v>1176</v>
      </c>
      <c r="H2350" s="50">
        <f t="array" ref="H2350">SUM(IF(INSTOCK!$H$3:$H$6125=B2350,INSTOCK!$I$3:$I$6125))</f>
        <v>4</v>
      </c>
      <c r="I2350" s="50" t="str">
        <f>ARRAY_CONSTRAIN(ARRAYFORMULA(SUM(IF([3]!Table13[ID]=B2350,[3]!Table13[QTY]))), 1, 1)</f>
        <v>#ERROR!</v>
      </c>
      <c r="J2350" s="50" t="str">
        <f>TABLEITEM!$H$3:$H$2749-TABLEITEM!$I$3:$I$2749</f>
        <v>#ERROR!</v>
      </c>
    </row>
    <row r="2351" ht="15.75" customHeight="1">
      <c r="A2351" s="45"/>
      <c r="B2351" s="18" t="s">
        <v>5560</v>
      </c>
      <c r="C2351" s="26"/>
      <c r="D2351" s="18" t="s">
        <v>9939</v>
      </c>
      <c r="E2351" s="56"/>
      <c r="F2351" s="57" t="s">
        <v>7173</v>
      </c>
      <c r="G2351" s="49">
        <f t="array" ref="G2351">MAX(IF(INSTOCK!$H$3:$H$6125=B2351,INSTOCK!$K$3:$K$6125))</f>
        <v>3911.625</v>
      </c>
      <c r="H2351" s="50">
        <f t="array" ref="H2351">SUM(IF(INSTOCK!$H$3:$H$6125=B2351,INSTOCK!$I$3:$I$6125))</f>
        <v>3</v>
      </c>
      <c r="I2351" s="50" t="str">
        <f>ARRAY_CONSTRAIN(ARRAYFORMULA(SUM(IF([3]!Table13[ID]=B2351,[3]!Table13[QTY]))), 1, 1)</f>
        <v>#ERROR!</v>
      </c>
      <c r="J2351" s="50" t="str">
        <f>TABLEITEM!$H$3:$H$2749-TABLEITEM!$I$3:$I$2749</f>
        <v>#ERROR!</v>
      </c>
    </row>
    <row r="2352" ht="15.75" customHeight="1">
      <c r="A2352" s="45"/>
      <c r="B2352" s="18" t="s">
        <v>5569</v>
      </c>
      <c r="C2352" s="26"/>
      <c r="D2352" s="18" t="s">
        <v>9940</v>
      </c>
      <c r="E2352" s="56"/>
      <c r="F2352" s="57" t="s">
        <v>7173</v>
      </c>
      <c r="G2352" s="49">
        <f t="array" ref="G2352">MAX(IF(INSTOCK!$H$3:$H$6125=B2352,INSTOCK!$K$3:$K$6125))</f>
        <v>3.3</v>
      </c>
      <c r="H2352" s="50">
        <f t="array" ref="H2352">SUM(IF(INSTOCK!$H$3:$H$6125=B2352,INSTOCK!$I$3:$I$6125))</f>
        <v>1500</v>
      </c>
      <c r="I2352" s="50" t="str">
        <f>ARRAY_CONSTRAIN(ARRAYFORMULA(SUM(IF([3]!Table13[ID]=B2352,[3]!Table13[QTY]))), 1, 1)</f>
        <v>#ERROR!</v>
      </c>
      <c r="J2352" s="50" t="str">
        <f>TABLEITEM!$H$3:$H$2749-TABLEITEM!$I$3:$I$2749</f>
        <v>#ERROR!</v>
      </c>
    </row>
    <row r="2353" ht="15.75" customHeight="1">
      <c r="A2353" s="45"/>
      <c r="B2353" s="18" t="s">
        <v>5572</v>
      </c>
      <c r="C2353" s="26"/>
      <c r="D2353" s="18" t="s">
        <v>9941</v>
      </c>
      <c r="E2353" s="56"/>
      <c r="F2353" s="57" t="s">
        <v>7173</v>
      </c>
      <c r="G2353" s="49">
        <f t="array" ref="G2353">MAX(IF(INSTOCK!$H$3:$H$6125=B2353,INSTOCK!$K$3:$K$6125))</f>
        <v>60</v>
      </c>
      <c r="H2353" s="50">
        <f t="array" ref="H2353">SUM(IF(INSTOCK!$H$3:$H$6125=B2353,INSTOCK!$I$3:$I$6125))</f>
        <v>2</v>
      </c>
      <c r="I2353" s="50" t="str">
        <f>ARRAY_CONSTRAIN(ARRAYFORMULA(SUM(IF([3]!Table13[ID]=B2353,[3]!Table13[QTY]))), 1, 1)</f>
        <v>#ERROR!</v>
      </c>
      <c r="J2353" s="50" t="str">
        <f>TABLEITEM!$H$3:$H$2749-TABLEITEM!$I$3:$I$2749</f>
        <v>#ERROR!</v>
      </c>
    </row>
    <row r="2354" ht="15.75" customHeight="1">
      <c r="A2354" s="45"/>
      <c r="B2354" s="10" t="s">
        <v>5574</v>
      </c>
      <c r="C2354" s="26"/>
      <c r="D2354" s="10" t="s">
        <v>9942</v>
      </c>
      <c r="E2354" s="56"/>
      <c r="F2354" s="57" t="s">
        <v>7173</v>
      </c>
      <c r="G2354" s="49">
        <f t="array" ref="G2354">MAX(IF(INSTOCK!$H$3:$H$6125=B2354,INSTOCK!$K$3:$K$6125))</f>
        <v>5800</v>
      </c>
      <c r="H2354" s="50">
        <f t="array" ref="H2354">SUM(IF(INSTOCK!$H$3:$H$6125=B2354,INSTOCK!$I$3:$I$6125))</f>
        <v>1</v>
      </c>
      <c r="I2354" s="50" t="str">
        <f>ARRAY_CONSTRAIN(ARRAYFORMULA(SUM(IF([3]!Table13[ID]=B2354,[3]!Table13[QTY]))), 1, 1)</f>
        <v>#ERROR!</v>
      </c>
      <c r="J2354" s="50" t="str">
        <f>TABLEITEM!$H$3:$H$2749-TABLEITEM!$I$3:$I$2749</f>
        <v>#ERROR!</v>
      </c>
    </row>
    <row r="2355" ht="15.75" customHeight="1">
      <c r="A2355" s="45"/>
      <c r="B2355" s="10" t="s">
        <v>5575</v>
      </c>
      <c r="C2355" s="26"/>
      <c r="D2355" s="10" t="s">
        <v>9943</v>
      </c>
      <c r="E2355" s="56"/>
      <c r="F2355" s="57" t="s">
        <v>7173</v>
      </c>
      <c r="G2355" s="49">
        <f t="array" ref="G2355">MAX(IF(INSTOCK!$H$3:$H$6125=B2355,INSTOCK!$K$3:$K$6125))</f>
        <v>1250</v>
      </c>
      <c r="H2355" s="50">
        <f t="array" ref="H2355">SUM(IF(INSTOCK!$H$3:$H$6125=B2355,INSTOCK!$I$3:$I$6125))</f>
        <v>1</v>
      </c>
      <c r="I2355" s="50" t="str">
        <f>ARRAY_CONSTRAIN(ARRAYFORMULA(SUM(IF([3]!Table13[ID]=B2355,[3]!Table13[QTY]))), 1, 1)</f>
        <v>#ERROR!</v>
      </c>
      <c r="J2355" s="50" t="str">
        <f>TABLEITEM!$H$3:$H$2749-TABLEITEM!$I$3:$I$2749</f>
        <v>#ERROR!</v>
      </c>
    </row>
    <row r="2356" ht="15.75" customHeight="1">
      <c r="A2356" s="45"/>
      <c r="B2356" s="18" t="s">
        <v>5576</v>
      </c>
      <c r="C2356" s="26"/>
      <c r="D2356" s="18" t="s">
        <v>9944</v>
      </c>
      <c r="E2356" s="56"/>
      <c r="F2356" s="57" t="s">
        <v>7173</v>
      </c>
      <c r="G2356" s="49">
        <f t="array" ref="G2356">MAX(IF(INSTOCK!$H$3:$H$6125=B2356,INSTOCK!$K$3:$K$6125))</f>
        <v>3200</v>
      </c>
      <c r="H2356" s="50">
        <f t="array" ref="H2356">SUM(IF(INSTOCK!$H$3:$H$6125=B2356,INSTOCK!$I$3:$I$6125))</f>
        <v>2</v>
      </c>
      <c r="I2356" s="50" t="str">
        <f>ARRAY_CONSTRAIN(ARRAYFORMULA(SUM(IF([3]!Table13[ID]=B2356,[3]!Table13[QTY]))), 1, 1)</f>
        <v>#ERROR!</v>
      </c>
      <c r="J2356" s="50" t="str">
        <f>TABLEITEM!$H$3:$H$2749-TABLEITEM!$I$3:$I$2749</f>
        <v>#ERROR!</v>
      </c>
    </row>
    <row r="2357" ht="15.75" customHeight="1">
      <c r="A2357" s="45"/>
      <c r="B2357" s="18" t="s">
        <v>5578</v>
      </c>
      <c r="C2357" s="26"/>
      <c r="D2357" s="18" t="s">
        <v>9945</v>
      </c>
      <c r="E2357" s="56"/>
      <c r="F2357" s="57" t="s">
        <v>7173</v>
      </c>
      <c r="G2357" s="49">
        <f t="array" ref="G2357">MAX(IF(INSTOCK!$H$3:$H$6125=B2357,INSTOCK!$K$3:$K$6125))</f>
        <v>25</v>
      </c>
      <c r="H2357" s="50">
        <f t="array" ref="H2357">SUM(IF(INSTOCK!$H$3:$H$6125=B2357,INSTOCK!$I$3:$I$6125))</f>
        <v>10</v>
      </c>
      <c r="I2357" s="50" t="str">
        <f>ARRAY_CONSTRAIN(ARRAYFORMULA(SUM(IF([3]!Table13[ID]=B2357,[3]!Table13[QTY]))), 1, 1)</f>
        <v>#ERROR!</v>
      </c>
      <c r="J2357" s="50" t="str">
        <f>TABLEITEM!$H$3:$H$2749-TABLEITEM!$I$3:$I$2749</f>
        <v>#ERROR!</v>
      </c>
    </row>
    <row r="2358" ht="15.75" customHeight="1">
      <c r="A2358" s="45"/>
      <c r="B2358" s="10" t="s">
        <v>5588</v>
      </c>
      <c r="C2358" s="26"/>
      <c r="D2358" s="10" t="s">
        <v>9946</v>
      </c>
      <c r="E2358" s="56" t="s">
        <v>9492</v>
      </c>
      <c r="F2358" s="57" t="s">
        <v>7173</v>
      </c>
      <c r="G2358" s="49">
        <f t="array" ref="G2358">MAX(IF(INSTOCK!$H$3:$H$6125=B2358,INSTOCK!$K$3:$K$6125))</f>
        <v>100</v>
      </c>
      <c r="H2358" s="50">
        <f t="array" ref="H2358">SUM(IF(INSTOCK!$H$3:$H$6125=B2358,INSTOCK!$I$3:$I$6125))</f>
        <v>48</v>
      </c>
      <c r="I2358" s="50" t="str">
        <f>ARRAY_CONSTRAIN(ARRAYFORMULA(SUM(IF([3]!Table13[ID]=B2358,[3]!Table13[QTY]))), 1, 1)</f>
        <v>#ERROR!</v>
      </c>
      <c r="J2358" s="50" t="str">
        <f>TABLEITEM!$H$3:$H$2749-TABLEITEM!$I$3:$I$2749</f>
        <v>#ERROR!</v>
      </c>
    </row>
    <row r="2359" ht="15.75" customHeight="1">
      <c r="A2359" s="45"/>
      <c r="B2359" s="10" t="s">
        <v>5589</v>
      </c>
      <c r="C2359" s="26"/>
      <c r="D2359" s="10" t="s">
        <v>9947</v>
      </c>
      <c r="E2359" s="56" t="s">
        <v>9492</v>
      </c>
      <c r="F2359" s="57" t="s">
        <v>7173</v>
      </c>
      <c r="G2359" s="49">
        <f t="array" ref="G2359">MAX(IF(INSTOCK!$H$3:$H$6125=B2359,INSTOCK!$K$3:$K$6125))</f>
        <v>100</v>
      </c>
      <c r="H2359" s="50">
        <f t="array" ref="H2359">SUM(IF(INSTOCK!$H$3:$H$6125=B2359,INSTOCK!$I$3:$I$6125))</f>
        <v>3</v>
      </c>
      <c r="I2359" s="50" t="str">
        <f>ARRAY_CONSTRAIN(ARRAYFORMULA(SUM(IF([3]!Table13[ID]=B2359,[3]!Table13[QTY]))), 1, 1)</f>
        <v>#ERROR!</v>
      </c>
      <c r="J2359" s="50" t="str">
        <f>TABLEITEM!$H$3:$H$2749-TABLEITEM!$I$3:$I$2749</f>
        <v>#ERROR!</v>
      </c>
    </row>
    <row r="2360" ht="15.75" customHeight="1">
      <c r="A2360" s="45"/>
      <c r="B2360" s="18" t="s">
        <v>5590</v>
      </c>
      <c r="C2360" s="26"/>
      <c r="D2360" s="10" t="s">
        <v>9948</v>
      </c>
      <c r="E2360" s="56" t="s">
        <v>9492</v>
      </c>
      <c r="F2360" s="57" t="s">
        <v>7173</v>
      </c>
      <c r="G2360" s="49">
        <f t="array" ref="G2360">MAX(IF(INSTOCK!$H$3:$H$6125=B2360,INSTOCK!$K$3:$K$6125))</f>
        <v>120</v>
      </c>
      <c r="H2360" s="50">
        <f t="array" ref="H2360">SUM(IF(INSTOCK!$H$3:$H$6125=B2360,INSTOCK!$I$3:$I$6125))</f>
        <v>27</v>
      </c>
      <c r="I2360" s="50" t="str">
        <f>ARRAY_CONSTRAIN(ARRAYFORMULA(SUM(IF([3]!Table13[ID]=B2360,[3]!Table13[QTY]))), 1, 1)</f>
        <v>#ERROR!</v>
      </c>
      <c r="J2360" s="50" t="str">
        <f>TABLEITEM!$H$3:$H$2749-TABLEITEM!$I$3:$I$2749</f>
        <v>#ERROR!</v>
      </c>
    </row>
    <row r="2361" ht="15.75" customHeight="1">
      <c r="A2361" s="45"/>
      <c r="B2361" s="18" t="s">
        <v>5606</v>
      </c>
      <c r="C2361" s="26"/>
      <c r="D2361" s="18" t="s">
        <v>9949</v>
      </c>
      <c r="E2361" s="56"/>
      <c r="F2361" s="57" t="s">
        <v>7173</v>
      </c>
      <c r="G2361" s="49">
        <f t="array" ref="G2361">MAX(IF(INSTOCK!$H$3:$H$6125=B2361,INSTOCK!$K$3:$K$6125))</f>
        <v>3158.88</v>
      </c>
      <c r="H2361" s="50">
        <f t="array" ref="H2361">SUM(IF(INSTOCK!$H$3:$H$6125=B2361,INSTOCK!$I$3:$I$6125))</f>
        <v>1</v>
      </c>
      <c r="I2361" s="50" t="str">
        <f>ARRAY_CONSTRAIN(ARRAYFORMULA(SUM(IF([3]!Table13[ID]=B2361,[3]!Table13[QTY]))), 1, 1)</f>
        <v>#ERROR!</v>
      </c>
      <c r="J2361" s="50" t="str">
        <f>TABLEITEM!$H$3:$H$2749-TABLEITEM!$I$3:$I$2749</f>
        <v>#ERROR!</v>
      </c>
    </row>
    <row r="2362" ht="15.75" customHeight="1">
      <c r="A2362" s="45"/>
      <c r="B2362" s="18" t="s">
        <v>5607</v>
      </c>
      <c r="C2362" s="26"/>
      <c r="D2362" s="18" t="s">
        <v>9950</v>
      </c>
      <c r="E2362" s="56" t="s">
        <v>1601</v>
      </c>
      <c r="F2362" s="57" t="s">
        <v>7173</v>
      </c>
      <c r="G2362" s="49">
        <f t="array" ref="G2362">MAX(IF(INSTOCK!$H$3:$H$6125=B2362,INSTOCK!$K$3:$K$6125))</f>
        <v>420.375</v>
      </c>
      <c r="H2362" s="50">
        <f t="array" ref="H2362">SUM(IF(INSTOCK!$H$3:$H$6125=B2362,INSTOCK!$I$3:$I$6125))</f>
        <v>7</v>
      </c>
      <c r="I2362" s="50" t="str">
        <f>ARRAY_CONSTRAIN(ARRAYFORMULA(SUM(IF([3]!Table13[ID]=B2362,[3]!Table13[QTY]))), 1, 1)</f>
        <v>#ERROR!</v>
      </c>
      <c r="J2362" s="50" t="str">
        <f>TABLEITEM!$H$3:$H$2749-TABLEITEM!$I$3:$I$2749</f>
        <v>#ERROR!</v>
      </c>
    </row>
    <row r="2363" ht="15.75" customHeight="1">
      <c r="A2363" s="45"/>
      <c r="B2363" s="18" t="s">
        <v>5608</v>
      </c>
      <c r="C2363" s="26"/>
      <c r="D2363" s="18" t="s">
        <v>9951</v>
      </c>
      <c r="E2363" s="56" t="s">
        <v>9397</v>
      </c>
      <c r="F2363" s="57" t="s">
        <v>7173</v>
      </c>
      <c r="G2363" s="49">
        <f t="array" ref="G2363">MAX(IF(INSTOCK!$H$3:$H$6125=B2363,INSTOCK!$K$3:$K$6125))</f>
        <v>1130</v>
      </c>
      <c r="H2363" s="50">
        <f t="array" ref="H2363">SUM(IF(INSTOCK!$H$3:$H$6125=B2363,INSTOCK!$I$3:$I$6125))</f>
        <v>1</v>
      </c>
      <c r="I2363" s="50" t="str">
        <f>ARRAY_CONSTRAIN(ARRAYFORMULA(SUM(IF([3]!Table13[ID]=B2363,[3]!Table13[QTY]))), 1, 1)</f>
        <v>#ERROR!</v>
      </c>
      <c r="J2363" s="50" t="str">
        <f>TABLEITEM!$H$3:$H$2749-TABLEITEM!$I$3:$I$2749</f>
        <v>#ERROR!</v>
      </c>
    </row>
    <row r="2364" ht="15.75" customHeight="1">
      <c r="A2364" s="45"/>
      <c r="B2364" s="18" t="s">
        <v>5613</v>
      </c>
      <c r="C2364" s="26"/>
      <c r="D2364" s="18" t="s">
        <v>9952</v>
      </c>
      <c r="E2364" s="56"/>
      <c r="F2364" s="57" t="s">
        <v>7173</v>
      </c>
      <c r="G2364" s="49">
        <f t="array" ref="G2364">MAX(IF(INSTOCK!$H$3:$H$6125=B2364,INSTOCK!$K$3:$K$6125))</f>
        <v>380</v>
      </c>
      <c r="H2364" s="50">
        <f t="array" ref="H2364">SUM(IF(INSTOCK!$H$3:$H$6125=B2364,INSTOCK!$I$3:$I$6125))</f>
        <v>1</v>
      </c>
      <c r="I2364" s="50" t="str">
        <f>ARRAY_CONSTRAIN(ARRAYFORMULA(SUM(IF([3]!Table13[ID]=B2364,[3]!Table13[QTY]))), 1, 1)</f>
        <v>#ERROR!</v>
      </c>
      <c r="J2364" s="50" t="str">
        <f>TABLEITEM!$H$3:$H$2749-TABLEITEM!$I$3:$I$2749</f>
        <v>#ERROR!</v>
      </c>
    </row>
    <row r="2365" ht="15.75" customHeight="1">
      <c r="A2365" s="45"/>
      <c r="B2365" s="18" t="s">
        <v>5614</v>
      </c>
      <c r="C2365" s="26"/>
      <c r="D2365" s="18" t="s">
        <v>9953</v>
      </c>
      <c r="E2365" s="56"/>
      <c r="F2365" s="57" t="s">
        <v>7173</v>
      </c>
      <c r="G2365" s="49">
        <f t="array" ref="G2365">MAX(IF(INSTOCK!$H$3:$H$6125=B2365,INSTOCK!$K$3:$K$6125))</f>
        <v>3</v>
      </c>
      <c r="H2365" s="50">
        <f t="array" ref="H2365">SUM(IF(INSTOCK!$H$3:$H$6125=B2365,INSTOCK!$I$3:$I$6125))</f>
        <v>10</v>
      </c>
      <c r="I2365" s="50" t="str">
        <f>ARRAY_CONSTRAIN(ARRAYFORMULA(SUM(IF([3]!Table13[ID]=B2365,[3]!Table13[QTY]))), 1, 1)</f>
        <v>#ERROR!</v>
      </c>
      <c r="J2365" s="50" t="str">
        <f>TABLEITEM!$H$3:$H$2749-TABLEITEM!$I$3:$I$2749</f>
        <v>#ERROR!</v>
      </c>
    </row>
    <row r="2366" ht="15.75" customHeight="1">
      <c r="A2366" s="45"/>
      <c r="B2366" s="18" t="s">
        <v>5624</v>
      </c>
      <c r="C2366" s="26"/>
      <c r="D2366" s="18" t="s">
        <v>9954</v>
      </c>
      <c r="E2366" s="56" t="s">
        <v>1504</v>
      </c>
      <c r="F2366" s="57" t="s">
        <v>7173</v>
      </c>
      <c r="G2366" s="49">
        <f t="array" ref="G2366">MAX(IF(INSTOCK!$H$3:$H$6125=B2366,INSTOCK!$K$3:$K$6125))</f>
        <v>900</v>
      </c>
      <c r="H2366" s="50">
        <f t="array" ref="H2366">SUM(IF(INSTOCK!$H$3:$H$6125=B2366,INSTOCK!$I$3:$I$6125))</f>
        <v>1</v>
      </c>
      <c r="I2366" s="50" t="str">
        <f>ARRAY_CONSTRAIN(ARRAYFORMULA(SUM(IF([3]!Table13[ID]=B2366,[3]!Table13[QTY]))), 1, 1)</f>
        <v>#ERROR!</v>
      </c>
      <c r="J2366" s="50" t="str">
        <f>TABLEITEM!$H$3:$H$2749-TABLEITEM!$I$3:$I$2749</f>
        <v>#ERROR!</v>
      </c>
    </row>
    <row r="2367" ht="15.75" customHeight="1">
      <c r="A2367" s="45"/>
      <c r="B2367" s="10" t="s">
        <v>5632</v>
      </c>
      <c r="C2367" s="26"/>
      <c r="D2367" s="10" t="s">
        <v>9955</v>
      </c>
      <c r="E2367" s="56" t="s">
        <v>1504</v>
      </c>
      <c r="F2367" s="57" t="s">
        <v>7173</v>
      </c>
      <c r="G2367" s="49">
        <f t="array" ref="G2367">MAX(IF(INSTOCK!$H$3:$H$6125=B2367,INSTOCK!$K$3:$K$6125))</f>
        <v>37315.2</v>
      </c>
      <c r="H2367" s="50">
        <f t="array" ref="H2367">SUM(IF(INSTOCK!$H$3:$H$6125=B2367,INSTOCK!$I$3:$I$6125))</f>
        <v>2</v>
      </c>
      <c r="I2367" s="50" t="str">
        <f>ARRAY_CONSTRAIN(ARRAYFORMULA(SUM(IF([3]!Table13[ID]=B2367,[3]!Table13[QTY]))), 1, 1)</f>
        <v>#ERROR!</v>
      </c>
      <c r="J2367" s="50" t="str">
        <f>TABLEITEM!$H$3:$H$2749-TABLEITEM!$I$3:$I$2749</f>
        <v>#ERROR!</v>
      </c>
    </row>
    <row r="2368" ht="15.75" customHeight="1">
      <c r="A2368" s="45"/>
      <c r="B2368" s="10" t="s">
        <v>5634</v>
      </c>
      <c r="C2368" s="26"/>
      <c r="D2368" s="10" t="s">
        <v>9956</v>
      </c>
      <c r="E2368" s="56" t="s">
        <v>1504</v>
      </c>
      <c r="F2368" s="57" t="s">
        <v>7173</v>
      </c>
      <c r="G2368" s="49">
        <f t="array" ref="G2368">MAX(IF(INSTOCK!$H$3:$H$6125=B2368,INSTOCK!$K$3:$K$6125))</f>
        <v>2028</v>
      </c>
      <c r="H2368" s="50">
        <f t="array" ref="H2368">SUM(IF(INSTOCK!$H$3:$H$6125=B2368,INSTOCK!$I$3:$I$6125))</f>
        <v>2</v>
      </c>
      <c r="I2368" s="50" t="str">
        <f>ARRAY_CONSTRAIN(ARRAYFORMULA(SUM(IF([3]!Table13[ID]=B2368,[3]!Table13[QTY]))), 1, 1)</f>
        <v>#ERROR!</v>
      </c>
      <c r="J2368" s="50" t="str">
        <f>TABLEITEM!$H$3:$H$2749-TABLEITEM!$I$3:$I$2749</f>
        <v>#ERROR!</v>
      </c>
    </row>
    <row r="2369" ht="15.75" customHeight="1">
      <c r="A2369" s="45"/>
      <c r="B2369" s="10" t="s">
        <v>5636</v>
      </c>
      <c r="C2369" s="26"/>
      <c r="D2369" s="10" t="s">
        <v>9957</v>
      </c>
      <c r="E2369" s="56" t="s">
        <v>1504</v>
      </c>
      <c r="F2369" s="57" t="s">
        <v>7173</v>
      </c>
      <c r="G2369" s="49">
        <f t="array" ref="G2369">MAX(IF(INSTOCK!$H$3:$H$6125=B2369,INSTOCK!$K$3:$K$6125))</f>
        <v>5432.7</v>
      </c>
      <c r="H2369" s="50">
        <f t="array" ref="H2369">SUM(IF(INSTOCK!$H$3:$H$6125=B2369,INSTOCK!$I$3:$I$6125))</f>
        <v>1</v>
      </c>
      <c r="I2369" s="50" t="str">
        <f>ARRAY_CONSTRAIN(ARRAYFORMULA(SUM(IF([3]!Table13[ID]=B2369,[3]!Table13[QTY]))), 1, 1)</f>
        <v>#ERROR!</v>
      </c>
      <c r="J2369" s="50" t="str">
        <f>TABLEITEM!$H$3:$H$2749-TABLEITEM!$I$3:$I$2749</f>
        <v>#ERROR!</v>
      </c>
    </row>
    <row r="2370" ht="15.75" customHeight="1">
      <c r="A2370" s="45"/>
      <c r="B2370" s="10" t="s">
        <v>5638</v>
      </c>
      <c r="C2370" s="26"/>
      <c r="D2370" s="10" t="s">
        <v>9958</v>
      </c>
      <c r="E2370" s="56" t="s">
        <v>1504</v>
      </c>
      <c r="F2370" s="57" t="s">
        <v>7173</v>
      </c>
      <c r="G2370" s="49">
        <f t="array" ref="G2370">MAX(IF(INSTOCK!$H$3:$H$6125=B2370,INSTOCK!$K$3:$K$6125))</f>
        <v>2145</v>
      </c>
      <c r="H2370" s="50">
        <f t="array" ref="H2370">SUM(IF(INSTOCK!$H$3:$H$6125=B2370,INSTOCK!$I$3:$I$6125))</f>
        <v>2</v>
      </c>
      <c r="I2370" s="50" t="str">
        <f>ARRAY_CONSTRAIN(ARRAYFORMULA(SUM(IF([3]!Table13[ID]=B2370,[3]!Table13[QTY]))), 1, 1)</f>
        <v>#ERROR!</v>
      </c>
      <c r="J2370" s="50" t="str">
        <f>TABLEITEM!$H$3:$H$2749-TABLEITEM!$I$3:$I$2749</f>
        <v>#ERROR!</v>
      </c>
    </row>
    <row r="2371" ht="15.75" customHeight="1">
      <c r="A2371" s="45"/>
      <c r="B2371" s="18" t="s">
        <v>5640</v>
      </c>
      <c r="C2371" s="26"/>
      <c r="D2371" s="10" t="s">
        <v>9959</v>
      </c>
      <c r="E2371" s="56" t="s">
        <v>1504</v>
      </c>
      <c r="F2371" s="57" t="s">
        <v>7173</v>
      </c>
      <c r="G2371" s="49">
        <f t="array" ref="G2371">MAX(IF(INSTOCK!$H$3:$H$6125=B2371,INSTOCK!$K$3:$K$6125))</f>
        <v>2145</v>
      </c>
      <c r="H2371" s="50">
        <f t="array" ref="H2371">SUM(IF(INSTOCK!$H$3:$H$6125=B2371,INSTOCK!$I$3:$I$6125))</f>
        <v>3</v>
      </c>
      <c r="I2371" s="50" t="str">
        <f>ARRAY_CONSTRAIN(ARRAYFORMULA(SUM(IF([3]!Table13[ID]=B2371,[3]!Table13[QTY]))), 1, 1)</f>
        <v>#ERROR!</v>
      </c>
      <c r="J2371" s="50" t="str">
        <f>TABLEITEM!$H$3:$H$2749-TABLEITEM!$I$3:$I$2749</f>
        <v>#ERROR!</v>
      </c>
    </row>
    <row r="2372" ht="15.75" customHeight="1">
      <c r="A2372" s="45"/>
      <c r="B2372" s="18" t="s">
        <v>5641</v>
      </c>
      <c r="C2372" s="26"/>
      <c r="D2372" s="10" t="s">
        <v>9960</v>
      </c>
      <c r="E2372" s="56" t="s">
        <v>1504</v>
      </c>
      <c r="F2372" s="57" t="s">
        <v>7173</v>
      </c>
      <c r="G2372" s="49">
        <f t="array" ref="G2372">MAX(IF(INSTOCK!$H$3:$H$6125=B2372,INSTOCK!$K$3:$K$6125))</f>
        <v>5850</v>
      </c>
      <c r="H2372" s="50">
        <f t="array" ref="H2372">SUM(IF(INSTOCK!$H$3:$H$6125=B2372,INSTOCK!$I$3:$I$6125))</f>
        <v>2</v>
      </c>
      <c r="I2372" s="50" t="str">
        <f>ARRAY_CONSTRAIN(ARRAYFORMULA(SUM(IF([3]!Table13[ID]=B2372,[3]!Table13[QTY]))), 1, 1)</f>
        <v>#ERROR!</v>
      </c>
      <c r="J2372" s="50" t="str">
        <f>TABLEITEM!$H$3:$H$2749-TABLEITEM!$I$3:$I$2749</f>
        <v>#ERROR!</v>
      </c>
    </row>
    <row r="2373" ht="15.75" customHeight="1">
      <c r="A2373" s="45"/>
      <c r="B2373" s="10" t="s">
        <v>5644</v>
      </c>
      <c r="C2373" s="26"/>
      <c r="D2373" s="10" t="s">
        <v>9961</v>
      </c>
      <c r="E2373" s="56" t="s">
        <v>1504</v>
      </c>
      <c r="F2373" s="57" t="s">
        <v>7173</v>
      </c>
      <c r="G2373" s="49">
        <f t="array" ref="G2373">MAX(IF(INSTOCK!$H$3:$H$6125=B2373,INSTOCK!$K$3:$K$6125))</f>
        <v>7624.5</v>
      </c>
      <c r="H2373" s="50">
        <f t="array" ref="H2373">SUM(IF(INSTOCK!$H$3:$H$6125=B2373,INSTOCK!$I$3:$I$6125))</f>
        <v>1</v>
      </c>
      <c r="I2373" s="50" t="str">
        <f>ARRAY_CONSTRAIN(ARRAYFORMULA(SUM(IF([3]!Table13[ID]=B2373,[3]!Table13[QTY]))), 1, 1)</f>
        <v>#ERROR!</v>
      </c>
      <c r="J2373" s="50" t="str">
        <f>TABLEITEM!$H$3:$H$2749-TABLEITEM!$I$3:$I$2749</f>
        <v>#ERROR!</v>
      </c>
    </row>
    <row r="2374" ht="15.75" customHeight="1">
      <c r="A2374" s="45"/>
      <c r="B2374" s="18" t="s">
        <v>5646</v>
      </c>
      <c r="C2374" s="26"/>
      <c r="D2374" s="18" t="s">
        <v>9962</v>
      </c>
      <c r="E2374" s="56" t="s">
        <v>1504</v>
      </c>
      <c r="F2374" s="57" t="s">
        <v>7173</v>
      </c>
      <c r="G2374" s="49">
        <f t="array" ref="G2374">MAX(IF(INSTOCK!$H$3:$H$6125=B2374,INSTOCK!$K$3:$K$6125))</f>
        <v>16426.8</v>
      </c>
      <c r="H2374" s="50">
        <f t="array" ref="H2374">SUM(IF(INSTOCK!$H$3:$H$6125=B2374,INSTOCK!$I$3:$I$6125))</f>
        <v>2</v>
      </c>
      <c r="I2374" s="50" t="str">
        <f>ARRAY_CONSTRAIN(ARRAYFORMULA(SUM(IF([3]!Table13[ID]=B2374,[3]!Table13[QTY]))), 1, 1)</f>
        <v>#ERROR!</v>
      </c>
      <c r="J2374" s="50" t="str">
        <f>TABLEITEM!$H$3:$H$2749-TABLEITEM!$I$3:$I$2749</f>
        <v>#ERROR!</v>
      </c>
    </row>
    <row r="2375" ht="15.75" customHeight="1">
      <c r="A2375" s="45"/>
      <c r="B2375" s="10" t="s">
        <v>5650</v>
      </c>
      <c r="C2375" s="26"/>
      <c r="D2375" s="10" t="s">
        <v>9963</v>
      </c>
      <c r="E2375" s="56" t="s">
        <v>1504</v>
      </c>
      <c r="F2375" s="57" t="s">
        <v>7173</v>
      </c>
      <c r="G2375" s="49">
        <f t="array" ref="G2375">MAX(IF(INSTOCK!$H$3:$H$6125=B2375,INSTOCK!$K$3:$K$6125))</f>
        <v>59670</v>
      </c>
      <c r="H2375" s="50">
        <f t="array" ref="H2375">SUM(IF(INSTOCK!$H$3:$H$6125=B2375,INSTOCK!$I$3:$I$6125))</f>
        <v>2</v>
      </c>
      <c r="I2375" s="50" t="str">
        <f>ARRAY_CONSTRAIN(ARRAYFORMULA(SUM(IF([3]!Table13[ID]=B2375,[3]!Table13[QTY]))), 1, 1)</f>
        <v>#ERROR!</v>
      </c>
      <c r="J2375" s="50" t="str">
        <f>TABLEITEM!$H$3:$H$2749-TABLEITEM!$I$3:$I$2749</f>
        <v>#ERROR!</v>
      </c>
    </row>
    <row r="2376" ht="15.75" customHeight="1">
      <c r="A2376" s="45"/>
      <c r="B2376" s="10" t="s">
        <v>5652</v>
      </c>
      <c r="C2376" s="26"/>
      <c r="D2376" s="10" t="s">
        <v>9964</v>
      </c>
      <c r="E2376" s="56" t="s">
        <v>1504</v>
      </c>
      <c r="F2376" s="57" t="s">
        <v>7173</v>
      </c>
      <c r="G2376" s="49">
        <f t="array" ref="G2376">MAX(IF(INSTOCK!$H$3:$H$6125=B2376,INSTOCK!$K$3:$K$6125))</f>
        <v>13533</v>
      </c>
      <c r="H2376" s="50">
        <f t="array" ref="H2376">SUM(IF(INSTOCK!$H$3:$H$6125=B2376,INSTOCK!$I$3:$I$6125))</f>
        <v>3</v>
      </c>
      <c r="I2376" s="50" t="str">
        <f>ARRAY_CONSTRAIN(ARRAYFORMULA(SUM(IF([3]!Table13[ID]=B2376,[3]!Table13[QTY]))), 1, 1)</f>
        <v>#ERROR!</v>
      </c>
      <c r="J2376" s="50" t="str">
        <f>TABLEITEM!$H$3:$H$2749-TABLEITEM!$I$3:$I$2749</f>
        <v>#ERROR!</v>
      </c>
    </row>
    <row r="2377" ht="15.75" customHeight="1">
      <c r="A2377" s="45"/>
      <c r="B2377" s="18" t="s">
        <v>5654</v>
      </c>
      <c r="C2377" s="26"/>
      <c r="D2377" s="18" t="s">
        <v>9965</v>
      </c>
      <c r="E2377" s="56" t="s">
        <v>1504</v>
      </c>
      <c r="F2377" s="57" t="s">
        <v>7173</v>
      </c>
      <c r="G2377" s="49">
        <f t="array" ref="G2377">MAX(IF(INSTOCK!$H$3:$H$6125=B2377,INSTOCK!$K$3:$K$6125))</f>
        <v>2145</v>
      </c>
      <c r="H2377" s="50">
        <f t="array" ref="H2377">SUM(IF(INSTOCK!$H$3:$H$6125=B2377,INSTOCK!$I$3:$I$6125))</f>
        <v>2</v>
      </c>
      <c r="I2377" s="50" t="str">
        <f>ARRAY_CONSTRAIN(ARRAYFORMULA(SUM(IF([3]!Table13[ID]=B2377,[3]!Table13[QTY]))), 1, 1)</f>
        <v>#ERROR!</v>
      </c>
      <c r="J2377" s="50" t="str">
        <f>TABLEITEM!$H$3:$H$2749-TABLEITEM!$I$3:$I$2749</f>
        <v>#ERROR!</v>
      </c>
    </row>
    <row r="2378" ht="15.75" customHeight="1">
      <c r="A2378" s="45"/>
      <c r="B2378" s="18" t="s">
        <v>5655</v>
      </c>
      <c r="C2378" s="26"/>
      <c r="D2378" s="18" t="s">
        <v>9966</v>
      </c>
      <c r="E2378" s="56" t="s">
        <v>1504</v>
      </c>
      <c r="F2378" s="57" t="s">
        <v>7173</v>
      </c>
      <c r="G2378" s="49">
        <f t="array" ref="G2378">MAX(IF(INSTOCK!$H$3:$H$6125=B2378,INSTOCK!$K$3:$K$6125))</f>
        <v>78000</v>
      </c>
      <c r="H2378" s="50">
        <f t="array" ref="H2378">SUM(IF(INSTOCK!$H$3:$H$6125=B2378,INSTOCK!$I$3:$I$6125))</f>
        <v>1</v>
      </c>
      <c r="I2378" s="50" t="str">
        <f>ARRAY_CONSTRAIN(ARRAYFORMULA(SUM(IF([3]!Table13[ID]=B2378,[3]!Table13[QTY]))), 1, 1)</f>
        <v>#ERROR!</v>
      </c>
      <c r="J2378" s="50" t="str">
        <f>TABLEITEM!$H$3:$H$2749-TABLEITEM!$I$3:$I$2749</f>
        <v>#ERROR!</v>
      </c>
    </row>
    <row r="2379" ht="15.75" customHeight="1">
      <c r="A2379" s="45"/>
      <c r="B2379" s="10" t="s">
        <v>5657</v>
      </c>
      <c r="C2379" s="26"/>
      <c r="D2379" s="10" t="s">
        <v>9967</v>
      </c>
      <c r="E2379" s="56" t="s">
        <v>1504</v>
      </c>
      <c r="F2379" s="57" t="s">
        <v>7173</v>
      </c>
      <c r="G2379" s="49">
        <f t="array" ref="G2379">MAX(IF(INSTOCK!$H$3:$H$6125=B2379,INSTOCK!$K$3:$K$6125))</f>
        <v>25566.8</v>
      </c>
      <c r="H2379" s="50">
        <f t="array" ref="H2379">SUM(IF(INSTOCK!$H$3:$H$6125=B2379,INSTOCK!$I$3:$I$6125))</f>
        <v>2</v>
      </c>
      <c r="I2379" s="50" t="str">
        <f>ARRAY_CONSTRAIN(ARRAYFORMULA(SUM(IF([3]!Table13[ID]=B2379,[3]!Table13[QTY]))), 1, 1)</f>
        <v>#ERROR!</v>
      </c>
      <c r="J2379" s="50" t="str">
        <f>TABLEITEM!$H$3:$H$2749-TABLEITEM!$I$3:$I$2749</f>
        <v>#ERROR!</v>
      </c>
    </row>
    <row r="2380" ht="15.75" customHeight="1">
      <c r="A2380" s="45"/>
      <c r="B2380" s="18" t="s">
        <v>5659</v>
      </c>
      <c r="C2380" s="26"/>
      <c r="D2380" s="18" t="s">
        <v>9968</v>
      </c>
      <c r="E2380" s="56" t="s">
        <v>9495</v>
      </c>
      <c r="F2380" s="57" t="s">
        <v>7173</v>
      </c>
      <c r="G2380" s="49">
        <f t="array" ref="G2380">MAX(IF(INSTOCK!$H$3:$H$6125=B2380,INSTOCK!$K$3:$K$6125))</f>
        <v>28080</v>
      </c>
      <c r="H2380" s="50">
        <f t="array" ref="H2380">SUM(IF(INSTOCK!$H$3:$H$6125=B2380,INSTOCK!$I$3:$I$6125))</f>
        <v>1</v>
      </c>
      <c r="I2380" s="50" t="str">
        <f>ARRAY_CONSTRAIN(ARRAYFORMULA(SUM(IF([3]!Table13[ID]=B2380,[3]!Table13[QTY]))), 1, 1)</f>
        <v>#ERROR!</v>
      </c>
      <c r="J2380" s="50" t="str">
        <f>TABLEITEM!$H$3:$H$2749-TABLEITEM!$I$3:$I$2749</f>
        <v>#ERROR!</v>
      </c>
    </row>
    <row r="2381" ht="15.75" customHeight="1">
      <c r="A2381" s="45"/>
      <c r="B2381" s="18" t="s">
        <v>5661</v>
      </c>
      <c r="C2381" s="26"/>
      <c r="D2381" s="18" t="s">
        <v>9969</v>
      </c>
      <c r="E2381" s="56" t="s">
        <v>1487</v>
      </c>
      <c r="F2381" s="57" t="s">
        <v>7173</v>
      </c>
      <c r="G2381" s="49">
        <f t="array" ref="G2381">MAX(IF(INSTOCK!$H$3:$H$6125=B2381,INSTOCK!$K$3:$K$6125))</f>
        <v>6314</v>
      </c>
      <c r="H2381" s="50">
        <f t="array" ref="H2381">SUM(IF(INSTOCK!$H$3:$H$6125=B2381,INSTOCK!$I$3:$I$6125))</f>
        <v>2</v>
      </c>
      <c r="I2381" s="50" t="str">
        <f>ARRAY_CONSTRAIN(ARRAYFORMULA(SUM(IF([3]!Table13[ID]=B2381,[3]!Table13[QTY]))), 1, 1)</f>
        <v>#ERROR!</v>
      </c>
      <c r="J2381" s="50" t="str">
        <f>TABLEITEM!$H$3:$H$2749-TABLEITEM!$I$3:$I$2749</f>
        <v>#ERROR!</v>
      </c>
    </row>
    <row r="2382" ht="15.75" customHeight="1">
      <c r="A2382" s="45"/>
      <c r="B2382" s="10" t="s">
        <v>5662</v>
      </c>
      <c r="C2382" s="26"/>
      <c r="D2382" s="10" t="s">
        <v>9970</v>
      </c>
      <c r="E2382" s="56" t="s">
        <v>1487</v>
      </c>
      <c r="F2382" s="57" t="s">
        <v>7173</v>
      </c>
      <c r="G2382" s="49">
        <f t="array" ref="G2382">MAX(IF(INSTOCK!$H$3:$H$6125=B2382,INSTOCK!$K$3:$K$6125))</f>
        <v>1992.6</v>
      </c>
      <c r="H2382" s="50">
        <f t="array" ref="H2382">SUM(IF(INSTOCK!$H$3:$H$6125=B2382,INSTOCK!$I$3:$I$6125))</f>
        <v>1</v>
      </c>
      <c r="I2382" s="50" t="str">
        <f>ARRAY_CONSTRAIN(ARRAYFORMULA(SUM(IF([3]!Table13[ID]=B2382,[3]!Table13[QTY]))), 1, 1)</f>
        <v>#ERROR!</v>
      </c>
      <c r="J2382" s="50" t="str">
        <f>TABLEITEM!$H$3:$H$2749-TABLEITEM!$I$3:$I$2749</f>
        <v>#ERROR!</v>
      </c>
    </row>
    <row r="2383" ht="15.75" customHeight="1">
      <c r="A2383" s="45"/>
      <c r="B2383" s="18" t="s">
        <v>5663</v>
      </c>
      <c r="C2383" s="26"/>
      <c r="D2383" s="18" t="s">
        <v>9971</v>
      </c>
      <c r="E2383" s="56" t="s">
        <v>1487</v>
      </c>
      <c r="F2383" s="57" t="s">
        <v>7173</v>
      </c>
      <c r="G2383" s="49">
        <f t="array" ref="G2383">MAX(IF(INSTOCK!$H$3:$H$6125=B2383,INSTOCK!$K$3:$K$6125))</f>
        <v>3353.8</v>
      </c>
      <c r="H2383" s="50">
        <f t="array" ref="H2383">SUM(IF(INSTOCK!$H$3:$H$6125=B2383,INSTOCK!$I$3:$I$6125))</f>
        <v>1</v>
      </c>
      <c r="I2383" s="50" t="str">
        <f>ARRAY_CONSTRAIN(ARRAYFORMULA(SUM(IF([3]!Table13[ID]=B2383,[3]!Table13[QTY]))), 1, 1)</f>
        <v>#ERROR!</v>
      </c>
      <c r="J2383" s="50" t="str">
        <f>TABLEITEM!$H$3:$H$2749-TABLEITEM!$I$3:$I$2749</f>
        <v>#ERROR!</v>
      </c>
    </row>
    <row r="2384" ht="15.75" customHeight="1">
      <c r="A2384" s="45"/>
      <c r="B2384" s="18" t="s">
        <v>5664</v>
      </c>
      <c r="C2384" s="26"/>
      <c r="D2384" s="18" t="s">
        <v>9972</v>
      </c>
      <c r="E2384" s="56" t="s">
        <v>1487</v>
      </c>
      <c r="F2384" s="57" t="s">
        <v>7173</v>
      </c>
      <c r="G2384" s="49">
        <f t="array" ref="G2384">MAX(IF(INSTOCK!$H$3:$H$6125=B2384,INSTOCK!$K$3:$K$6125))</f>
        <v>1980.3</v>
      </c>
      <c r="H2384" s="50">
        <f t="array" ref="H2384">SUM(IF(INSTOCK!$H$3:$H$6125=B2384,INSTOCK!$I$3:$I$6125))</f>
        <v>1</v>
      </c>
      <c r="I2384" s="50" t="str">
        <f>ARRAY_CONSTRAIN(ARRAYFORMULA(SUM(IF([3]!Table13[ID]=B2384,[3]!Table13[QTY]))), 1, 1)</f>
        <v>#ERROR!</v>
      </c>
      <c r="J2384" s="50" t="str">
        <f>TABLEITEM!$H$3:$H$2749-TABLEITEM!$I$3:$I$2749</f>
        <v>#ERROR!</v>
      </c>
    </row>
    <row r="2385" ht="15.75" customHeight="1">
      <c r="A2385" s="45"/>
      <c r="B2385" s="18" t="s">
        <v>5665</v>
      </c>
      <c r="C2385" s="26"/>
      <c r="D2385" s="18" t="s">
        <v>9973</v>
      </c>
      <c r="E2385" s="56" t="s">
        <v>1487</v>
      </c>
      <c r="F2385" s="57" t="s">
        <v>7173</v>
      </c>
      <c r="G2385" s="49">
        <f t="array" ref="G2385">MAX(IF(INSTOCK!$H$3:$H$6125=B2385,INSTOCK!$K$3:$K$6125))</f>
        <v>1459.6</v>
      </c>
      <c r="H2385" s="50">
        <f t="array" ref="H2385">SUM(IF(INSTOCK!$H$3:$H$6125=B2385,INSTOCK!$I$3:$I$6125))</f>
        <v>4</v>
      </c>
      <c r="I2385" s="50" t="str">
        <f>ARRAY_CONSTRAIN(ARRAYFORMULA(SUM(IF([3]!Table13[ID]=B2385,[3]!Table13[QTY]))), 1, 1)</f>
        <v>#ERROR!</v>
      </c>
      <c r="J2385" s="50" t="str">
        <f>TABLEITEM!$H$3:$H$2749-TABLEITEM!$I$3:$I$2749</f>
        <v>#ERROR!</v>
      </c>
    </row>
    <row r="2386" ht="15.75" customHeight="1">
      <c r="A2386" s="45"/>
      <c r="B2386" s="10" t="s">
        <v>5666</v>
      </c>
      <c r="C2386" s="26"/>
      <c r="D2386" s="10" t="s">
        <v>9974</v>
      </c>
      <c r="E2386" s="56" t="s">
        <v>1487</v>
      </c>
      <c r="F2386" s="57" t="s">
        <v>7173</v>
      </c>
      <c r="G2386" s="49">
        <f t="array" ref="G2386">MAX(IF(INSTOCK!$H$3:$H$6125=B2386,INSTOCK!$K$3:$K$6125))</f>
        <v>2960.2</v>
      </c>
      <c r="H2386" s="50">
        <f t="array" ref="H2386">SUM(IF(INSTOCK!$H$3:$H$6125=B2386,INSTOCK!$I$3:$I$6125))</f>
        <v>3</v>
      </c>
      <c r="I2386" s="50" t="str">
        <f>ARRAY_CONSTRAIN(ARRAYFORMULA(SUM(IF([3]!Table13[ID]=B2386,[3]!Table13[QTY]))), 1, 1)</f>
        <v>#ERROR!</v>
      </c>
      <c r="J2386" s="50" t="str">
        <f>TABLEITEM!$H$3:$H$2749-TABLEITEM!$I$3:$I$2749</f>
        <v>#ERROR!</v>
      </c>
    </row>
    <row r="2387" ht="15.75" customHeight="1">
      <c r="A2387" s="45"/>
      <c r="B2387" s="10" t="s">
        <v>5667</v>
      </c>
      <c r="C2387" s="26"/>
      <c r="D2387" s="10" t="s">
        <v>9975</v>
      </c>
      <c r="E2387" s="56" t="s">
        <v>1487</v>
      </c>
      <c r="F2387" s="57" t="s">
        <v>7173</v>
      </c>
      <c r="G2387" s="49">
        <f t="array" ref="G2387">MAX(IF(INSTOCK!$H$3:$H$6125=B2387,INSTOCK!$K$3:$K$6125))</f>
        <v>2960.2</v>
      </c>
      <c r="H2387" s="50">
        <f t="array" ref="H2387">SUM(IF(INSTOCK!$H$3:$H$6125=B2387,INSTOCK!$I$3:$I$6125))</f>
        <v>1</v>
      </c>
      <c r="I2387" s="50" t="str">
        <f>ARRAY_CONSTRAIN(ARRAYFORMULA(SUM(IF([3]!Table13[ID]=B2387,[3]!Table13[QTY]))), 1, 1)</f>
        <v>#ERROR!</v>
      </c>
      <c r="J2387" s="50" t="str">
        <f>TABLEITEM!$H$3:$H$2749-TABLEITEM!$I$3:$I$2749</f>
        <v>#ERROR!</v>
      </c>
    </row>
    <row r="2388" ht="15.75" customHeight="1">
      <c r="A2388" s="45"/>
      <c r="B2388" s="10" t="s">
        <v>5668</v>
      </c>
      <c r="C2388" s="26"/>
      <c r="D2388" s="10" t="s">
        <v>9976</v>
      </c>
      <c r="E2388" s="56" t="s">
        <v>1487</v>
      </c>
      <c r="F2388" s="57" t="s">
        <v>7173</v>
      </c>
      <c r="G2388" s="49">
        <f t="array" ref="G2388">MAX(IF(INSTOCK!$H$3:$H$6125=B2388,INSTOCK!$K$3:$K$6125))</f>
        <v>14175</v>
      </c>
      <c r="H2388" s="50">
        <f t="array" ref="H2388">SUM(IF(INSTOCK!$H$3:$H$6125=B2388,INSTOCK!$I$3:$I$6125))</f>
        <v>1</v>
      </c>
      <c r="I2388" s="50" t="str">
        <f>ARRAY_CONSTRAIN(ARRAYFORMULA(SUM(IF([3]!Table13[ID]=B2388,[3]!Table13[QTY]))), 1, 1)</f>
        <v>#ERROR!</v>
      </c>
      <c r="J2388" s="50" t="str">
        <f>TABLEITEM!$H$3:$H$2749-TABLEITEM!$I$3:$I$2749</f>
        <v>#ERROR!</v>
      </c>
    </row>
    <row r="2389" ht="15.75" customHeight="1">
      <c r="A2389" s="45"/>
      <c r="B2389" s="10" t="s">
        <v>5669</v>
      </c>
      <c r="C2389" s="26"/>
      <c r="D2389" s="10" t="s">
        <v>9977</v>
      </c>
      <c r="E2389" s="56"/>
      <c r="F2389" s="57" t="s">
        <v>7173</v>
      </c>
      <c r="G2389" s="49">
        <f t="array" ref="G2389">MAX(IF(INSTOCK!$H$3:$H$6125=B2389,INSTOCK!$K$3:$K$6125))</f>
        <v>5935.5</v>
      </c>
      <c r="H2389" s="50">
        <f t="array" ref="H2389">SUM(IF(INSTOCK!$H$3:$H$6125=B2389,INSTOCK!$I$3:$I$6125))</f>
        <v>6</v>
      </c>
      <c r="I2389" s="50" t="str">
        <f>ARRAY_CONSTRAIN(ARRAYFORMULA(SUM(IF([3]!Table13[ID]=B2389,[3]!Table13[QTY]))), 1, 1)</f>
        <v>#ERROR!</v>
      </c>
      <c r="J2389" s="50" t="str">
        <f>TABLEITEM!$H$3:$H$2749-TABLEITEM!$I$3:$I$2749</f>
        <v>#ERROR!</v>
      </c>
    </row>
    <row r="2390" ht="15.75" customHeight="1">
      <c r="A2390" s="45"/>
      <c r="B2390" s="10" t="s">
        <v>5670</v>
      </c>
      <c r="C2390" s="26"/>
      <c r="D2390" s="10" t="s">
        <v>9978</v>
      </c>
      <c r="E2390" s="56"/>
      <c r="F2390" s="57" t="s">
        <v>7173</v>
      </c>
      <c r="G2390" s="49">
        <f t="array" ref="G2390">MAX(IF(INSTOCK!$H$3:$H$6125=B2390,INSTOCK!$K$3:$K$6125))</f>
        <v>2562.5</v>
      </c>
      <c r="H2390" s="50">
        <f t="array" ref="H2390">SUM(IF(INSTOCK!$H$3:$H$6125=B2390,INSTOCK!$I$3:$I$6125))</f>
        <v>6</v>
      </c>
      <c r="I2390" s="50" t="str">
        <f>ARRAY_CONSTRAIN(ARRAYFORMULA(SUM(IF([3]!Table13[ID]=B2390,[3]!Table13[QTY]))), 1, 1)</f>
        <v>#ERROR!</v>
      </c>
      <c r="J2390" s="50" t="str">
        <f>TABLEITEM!$H$3:$H$2749-TABLEITEM!$I$3:$I$2749</f>
        <v>#ERROR!</v>
      </c>
    </row>
    <row r="2391" ht="15.75" customHeight="1">
      <c r="A2391" s="45"/>
      <c r="B2391" s="18" t="s">
        <v>5671</v>
      </c>
      <c r="C2391" s="26"/>
      <c r="D2391" s="18" t="s">
        <v>9979</v>
      </c>
      <c r="E2391" s="56"/>
      <c r="F2391" s="57" t="s">
        <v>7173</v>
      </c>
      <c r="G2391" s="49">
        <f t="array" ref="G2391">MAX(IF(INSTOCK!$H$3:$H$6125=B2391,INSTOCK!$K$3:$K$6125))</f>
        <v>9270</v>
      </c>
      <c r="H2391" s="50">
        <f t="array" ref="H2391">SUM(IF(INSTOCK!$H$3:$H$6125=B2391,INSTOCK!$I$3:$I$6125))</f>
        <v>1</v>
      </c>
      <c r="I2391" s="50" t="str">
        <f>ARRAY_CONSTRAIN(ARRAYFORMULA(SUM(IF([3]!Table13[ID]=B2391,[3]!Table13[QTY]))), 1, 1)</f>
        <v>#ERROR!</v>
      </c>
      <c r="J2391" s="50" t="str">
        <f>TABLEITEM!$H$3:$H$2749-TABLEITEM!$I$3:$I$2749</f>
        <v>#ERROR!</v>
      </c>
    </row>
    <row r="2392" ht="15.75" customHeight="1">
      <c r="A2392" s="45"/>
      <c r="B2392" s="18" t="s">
        <v>5679</v>
      </c>
      <c r="C2392" s="26"/>
      <c r="D2392" s="18" t="s">
        <v>9980</v>
      </c>
      <c r="E2392" s="56"/>
      <c r="F2392" s="57" t="s">
        <v>7173</v>
      </c>
      <c r="G2392" s="49">
        <f t="array" ref="G2392">MAX(IF(INSTOCK!$H$3:$H$6125=B2392,INSTOCK!$K$3:$K$6125))</f>
        <v>2025</v>
      </c>
      <c r="H2392" s="50">
        <f t="array" ref="H2392">SUM(IF(INSTOCK!$H$3:$H$6125=B2392,INSTOCK!$I$3:$I$6125))</f>
        <v>3</v>
      </c>
      <c r="I2392" s="50" t="str">
        <f>ARRAY_CONSTRAIN(ARRAYFORMULA(SUM(IF([3]!Table13[ID]=B2392,[3]!Table13[QTY]))), 1, 1)</f>
        <v>#ERROR!</v>
      </c>
      <c r="J2392" s="50" t="str">
        <f>TABLEITEM!$H$3:$H$2749-TABLEITEM!$I$3:$I$2749</f>
        <v>#ERROR!</v>
      </c>
    </row>
    <row r="2393" ht="15.75" customHeight="1">
      <c r="A2393" s="45"/>
      <c r="B2393" s="18" t="s">
        <v>5682</v>
      </c>
      <c r="C2393" s="26"/>
      <c r="D2393" s="18" t="s">
        <v>9981</v>
      </c>
      <c r="E2393" s="56"/>
      <c r="F2393" s="57" t="s">
        <v>7173</v>
      </c>
      <c r="G2393" s="49">
        <f t="array" ref="G2393">MAX(IF(INSTOCK!$H$3:$H$6125=B2393,INSTOCK!$K$3:$K$6125))</f>
        <v>648</v>
      </c>
      <c r="H2393" s="50">
        <f t="array" ref="H2393">SUM(IF(INSTOCK!$H$3:$H$6125=B2393,INSTOCK!$I$3:$I$6125))</f>
        <v>4</v>
      </c>
      <c r="I2393" s="50" t="str">
        <f>ARRAY_CONSTRAIN(ARRAYFORMULA(SUM(IF([3]!Table13[ID]=B2393,[3]!Table13[QTY]))), 1, 1)</f>
        <v>#ERROR!</v>
      </c>
      <c r="J2393" s="50" t="str">
        <f>TABLEITEM!$H$3:$H$2749-TABLEITEM!$I$3:$I$2749</f>
        <v>#ERROR!</v>
      </c>
    </row>
    <row r="2394" ht="15.75" customHeight="1">
      <c r="A2394" s="45"/>
      <c r="B2394" s="18" t="s">
        <v>5686</v>
      </c>
      <c r="C2394" s="26"/>
      <c r="D2394" s="18" t="s">
        <v>9982</v>
      </c>
      <c r="E2394" s="56" t="s">
        <v>1504</v>
      </c>
      <c r="F2394" s="57" t="s">
        <v>7173</v>
      </c>
      <c r="G2394" s="49">
        <f t="array" ref="G2394">MAX(IF(INSTOCK!$H$3:$H$6125=B2394,INSTOCK!$K$3:$K$6125))</f>
        <v>2886</v>
      </c>
      <c r="H2394" s="50">
        <f t="array" ref="H2394">SUM(IF(INSTOCK!$H$3:$H$6125=B2394,INSTOCK!$I$3:$I$6125))</f>
        <v>1</v>
      </c>
      <c r="I2394" s="50" t="str">
        <f>ARRAY_CONSTRAIN(ARRAYFORMULA(SUM(IF([3]!Table13[ID]=B2394,[3]!Table13[QTY]))), 1, 1)</f>
        <v>#ERROR!</v>
      </c>
      <c r="J2394" s="50" t="str">
        <f>TABLEITEM!$H$3:$H$2749-TABLEITEM!$I$3:$I$2749</f>
        <v>#ERROR!</v>
      </c>
    </row>
    <row r="2395" ht="15.75" customHeight="1">
      <c r="A2395" s="45"/>
      <c r="B2395" s="18" t="s">
        <v>5689</v>
      </c>
      <c r="C2395" s="26"/>
      <c r="D2395" s="18" t="s">
        <v>9983</v>
      </c>
      <c r="E2395" s="56" t="s">
        <v>1504</v>
      </c>
      <c r="F2395" s="57" t="s">
        <v>7173</v>
      </c>
      <c r="G2395" s="49">
        <f t="array" ref="G2395">MAX(IF(INSTOCK!$H$3:$H$6125=B2395,INSTOCK!$K$3:$K$6125))</f>
        <v>1170</v>
      </c>
      <c r="H2395" s="50">
        <f t="array" ref="H2395">SUM(IF(INSTOCK!$H$3:$H$6125=B2395,INSTOCK!$I$3:$I$6125))</f>
        <v>1</v>
      </c>
      <c r="I2395" s="50" t="str">
        <f>ARRAY_CONSTRAIN(ARRAYFORMULA(SUM(IF([3]!Table13[ID]=B2395,[3]!Table13[QTY]))), 1, 1)</f>
        <v>#ERROR!</v>
      </c>
      <c r="J2395" s="50" t="str">
        <f>TABLEITEM!$H$3:$H$2749-TABLEITEM!$I$3:$I$2749</f>
        <v>#ERROR!</v>
      </c>
    </row>
    <row r="2396" ht="15.75" customHeight="1">
      <c r="A2396" s="45"/>
      <c r="B2396" s="18" t="s">
        <v>5690</v>
      </c>
      <c r="C2396" s="26"/>
      <c r="D2396" s="18" t="s">
        <v>9984</v>
      </c>
      <c r="E2396" s="56" t="s">
        <v>1504</v>
      </c>
      <c r="F2396" s="57" t="s">
        <v>7173</v>
      </c>
      <c r="G2396" s="49">
        <f t="array" ref="G2396">MAX(IF(INSTOCK!$H$3:$H$6125=B2396,INSTOCK!$K$3:$K$6125))</f>
        <v>1761.3</v>
      </c>
      <c r="H2396" s="50">
        <f t="array" ref="H2396">SUM(IF(INSTOCK!$H$3:$H$6125=B2396,INSTOCK!$I$3:$I$6125))</f>
        <v>1</v>
      </c>
      <c r="I2396" s="50" t="str">
        <f>ARRAY_CONSTRAIN(ARRAYFORMULA(SUM(IF([3]!Table13[ID]=B2396,[3]!Table13[QTY]))), 1, 1)</f>
        <v>#ERROR!</v>
      </c>
      <c r="J2396" s="50" t="str">
        <f>TABLEITEM!$H$3:$H$2749-TABLEITEM!$I$3:$I$2749</f>
        <v>#ERROR!</v>
      </c>
    </row>
    <row r="2397" ht="15.75" customHeight="1">
      <c r="A2397" s="45"/>
      <c r="B2397" s="18" t="s">
        <v>5693</v>
      </c>
      <c r="C2397" s="26"/>
      <c r="D2397" s="18" t="s">
        <v>9985</v>
      </c>
      <c r="E2397" s="56" t="s">
        <v>1504</v>
      </c>
      <c r="F2397" s="57" t="s">
        <v>7173</v>
      </c>
      <c r="G2397" s="49">
        <f t="array" ref="G2397">MAX(IF(INSTOCK!$H$3:$H$6125=B2397,INSTOCK!$K$3:$K$6125))</f>
        <v>8435.7</v>
      </c>
      <c r="H2397" s="50">
        <f t="array" ref="H2397">SUM(IF(INSTOCK!$H$3:$H$6125=B2397,INSTOCK!$I$3:$I$6125))</f>
        <v>1</v>
      </c>
      <c r="I2397" s="50" t="str">
        <f>ARRAY_CONSTRAIN(ARRAYFORMULA(SUM(IF([3]!Table13[ID]=B2397,[3]!Table13[QTY]))), 1, 1)</f>
        <v>#ERROR!</v>
      </c>
      <c r="J2397" s="50" t="str">
        <f>TABLEITEM!$H$3:$H$2749-TABLEITEM!$I$3:$I$2749</f>
        <v>#ERROR!</v>
      </c>
    </row>
    <row r="2398" ht="15.75" customHeight="1">
      <c r="A2398" s="45"/>
      <c r="B2398" s="18" t="s">
        <v>5700</v>
      </c>
      <c r="C2398" s="26"/>
      <c r="D2398" s="18" t="s">
        <v>9986</v>
      </c>
      <c r="E2398" s="56" t="s">
        <v>1504</v>
      </c>
      <c r="F2398" s="57" t="s">
        <v>7173</v>
      </c>
      <c r="G2398" s="49">
        <f t="array" ref="G2398">MAX(IF(INSTOCK!$H$3:$H$6125=B2398,INSTOCK!$K$3:$K$6125))</f>
        <v>500</v>
      </c>
      <c r="H2398" s="50">
        <f t="array" ref="H2398">SUM(IF(INSTOCK!$H$3:$H$6125=B2398,INSTOCK!$I$3:$I$6125))</f>
        <v>3</v>
      </c>
      <c r="I2398" s="50" t="str">
        <f>ARRAY_CONSTRAIN(ARRAYFORMULA(SUM(IF([3]!Table13[ID]=B2398,[3]!Table13[QTY]))), 1, 1)</f>
        <v>#ERROR!</v>
      </c>
      <c r="J2398" s="50" t="str">
        <f>TABLEITEM!$H$3:$H$2749-TABLEITEM!$I$3:$I$2749</f>
        <v>#ERROR!</v>
      </c>
    </row>
    <row r="2399" ht="15.75" customHeight="1">
      <c r="A2399" s="45"/>
      <c r="B2399" s="10" t="s">
        <v>5706</v>
      </c>
      <c r="C2399" s="26"/>
      <c r="D2399" s="10" t="s">
        <v>9987</v>
      </c>
      <c r="E2399" s="56" t="s">
        <v>1504</v>
      </c>
      <c r="F2399" s="57" t="s">
        <v>7173</v>
      </c>
      <c r="G2399" s="49">
        <f t="array" ref="G2399">MAX(IF(INSTOCK!$H$3:$H$6125=B2399,INSTOCK!$K$3:$K$6125))</f>
        <v>2106</v>
      </c>
      <c r="H2399" s="50">
        <f t="array" ref="H2399">SUM(IF(INSTOCK!$H$3:$H$6125=B2399,INSTOCK!$I$3:$I$6125))</f>
        <v>5</v>
      </c>
      <c r="I2399" s="50" t="str">
        <f>ARRAY_CONSTRAIN(ARRAYFORMULA(SUM(IF([3]!Table13[ID]=B2399,[3]!Table13[QTY]))), 1, 1)</f>
        <v>#ERROR!</v>
      </c>
      <c r="J2399" s="50" t="str">
        <f>TABLEITEM!$H$3:$H$2749-TABLEITEM!$I$3:$I$2749</f>
        <v>#ERROR!</v>
      </c>
    </row>
    <row r="2400" ht="15.75" customHeight="1">
      <c r="A2400" s="45"/>
      <c r="B2400" s="10" t="s">
        <v>5707</v>
      </c>
      <c r="C2400" s="26"/>
      <c r="D2400" s="10" t="s">
        <v>9988</v>
      </c>
      <c r="E2400" s="56" t="s">
        <v>1504</v>
      </c>
      <c r="F2400" s="57" t="s">
        <v>7173</v>
      </c>
      <c r="G2400" s="49">
        <f t="array" ref="G2400">MAX(IF(INSTOCK!$H$3:$H$6125=B2400,INSTOCK!$K$3:$K$6125))</f>
        <v>1131</v>
      </c>
      <c r="H2400" s="50">
        <f t="array" ref="H2400">SUM(IF(INSTOCK!$H$3:$H$6125=B2400,INSTOCK!$I$3:$I$6125))</f>
        <v>5</v>
      </c>
      <c r="I2400" s="50" t="str">
        <f>ARRAY_CONSTRAIN(ARRAYFORMULA(SUM(IF([3]!Table13[ID]=B2400,[3]!Table13[QTY]))), 1, 1)</f>
        <v>#ERROR!</v>
      </c>
      <c r="J2400" s="50" t="str">
        <f>TABLEITEM!$H$3:$H$2749-TABLEITEM!$I$3:$I$2749</f>
        <v>#ERROR!</v>
      </c>
    </row>
    <row r="2401" ht="15.75" customHeight="1">
      <c r="A2401" s="45"/>
      <c r="B2401" s="18" t="s">
        <v>5709</v>
      </c>
      <c r="C2401" s="26"/>
      <c r="D2401" s="10" t="s">
        <v>9989</v>
      </c>
      <c r="E2401" s="56" t="s">
        <v>1504</v>
      </c>
      <c r="F2401" s="57" t="s">
        <v>7173</v>
      </c>
      <c r="G2401" s="49">
        <f t="array" ref="G2401">MAX(IF(INSTOCK!$H$3:$H$6125=B2401,INSTOCK!$K$3:$K$6125))</f>
        <v>1131</v>
      </c>
      <c r="H2401" s="50">
        <f t="array" ref="H2401">SUM(IF(INSTOCK!$H$3:$H$6125=B2401,INSTOCK!$I$3:$I$6125))</f>
        <v>5</v>
      </c>
      <c r="I2401" s="50" t="str">
        <f>ARRAY_CONSTRAIN(ARRAYFORMULA(SUM(IF([3]!Table13[ID]=B2401,[3]!Table13[QTY]))), 1, 1)</f>
        <v>#ERROR!</v>
      </c>
      <c r="J2401" s="50" t="str">
        <f>TABLEITEM!$H$3:$H$2749-TABLEITEM!$I$3:$I$2749</f>
        <v>#ERROR!</v>
      </c>
    </row>
    <row r="2402" ht="15.75" customHeight="1">
      <c r="A2402" s="45"/>
      <c r="B2402" s="18" t="s">
        <v>5711</v>
      </c>
      <c r="C2402" s="26"/>
      <c r="D2402" s="18" t="s">
        <v>9990</v>
      </c>
      <c r="E2402" s="56" t="s">
        <v>8181</v>
      </c>
      <c r="F2402" s="57" t="s">
        <v>7173</v>
      </c>
      <c r="G2402" s="49">
        <f t="array" ref="G2402">MAX(IF(INSTOCK!$H$3:$H$6125=B2402,INSTOCK!$K$3:$K$6125))</f>
        <v>258.75</v>
      </c>
      <c r="H2402" s="50">
        <f t="array" ref="H2402">SUM(IF(INSTOCK!$H$3:$H$6125=B2402,INSTOCK!$I$3:$I$6125))</f>
        <v>5</v>
      </c>
      <c r="I2402" s="50" t="str">
        <f>ARRAY_CONSTRAIN(ARRAYFORMULA(SUM(IF([3]!Table13[ID]=B2402,[3]!Table13[QTY]))), 1, 1)</f>
        <v>#ERROR!</v>
      </c>
      <c r="J2402" s="50" t="str">
        <f>TABLEITEM!$H$3:$H$2749-TABLEITEM!$I$3:$I$2749</f>
        <v>#ERROR!</v>
      </c>
    </row>
    <row r="2403" ht="15.75" customHeight="1">
      <c r="A2403" s="45"/>
      <c r="B2403" s="10" t="s">
        <v>5730</v>
      </c>
      <c r="C2403" s="26"/>
      <c r="D2403" s="10" t="s">
        <v>9991</v>
      </c>
      <c r="E2403" s="56" t="s">
        <v>1504</v>
      </c>
      <c r="F2403" s="57" t="s">
        <v>7173</v>
      </c>
      <c r="G2403" s="49">
        <f t="array" ref="G2403">MAX(IF(INSTOCK!$H$3:$H$6125=B2403,INSTOCK!$K$3:$K$6125))</f>
        <v>1034</v>
      </c>
      <c r="H2403" s="50">
        <f t="array" ref="H2403">SUM(IF(INSTOCK!$H$3:$H$6125=B2403,INSTOCK!$I$3:$I$6125))</f>
        <v>4</v>
      </c>
      <c r="I2403" s="50" t="str">
        <f>ARRAY_CONSTRAIN(ARRAYFORMULA(SUM(IF([3]!Table13[ID]=B2403,[3]!Table13[QTY]))), 1, 1)</f>
        <v>#ERROR!</v>
      </c>
      <c r="J2403" s="50" t="str">
        <f>TABLEITEM!$H$3:$H$2749-TABLEITEM!$I$3:$I$2749</f>
        <v>#ERROR!</v>
      </c>
    </row>
    <row r="2404" ht="15.75" customHeight="1">
      <c r="A2404" s="45"/>
      <c r="B2404" s="18" t="s">
        <v>5732</v>
      </c>
      <c r="C2404" s="26"/>
      <c r="D2404" s="18" t="s">
        <v>9992</v>
      </c>
      <c r="E2404" s="56" t="s">
        <v>1504</v>
      </c>
      <c r="F2404" s="57" t="s">
        <v>7173</v>
      </c>
      <c r="G2404" s="49">
        <f t="array" ref="G2404">MAX(IF(INSTOCK!$H$3:$H$6125=B2404,INSTOCK!$K$3:$K$6125))</f>
        <v>2013</v>
      </c>
      <c r="H2404" s="50">
        <f t="array" ref="H2404">SUM(IF(INSTOCK!$H$3:$H$6125=B2404,INSTOCK!$I$3:$I$6125))</f>
        <v>16</v>
      </c>
      <c r="I2404" s="50" t="str">
        <f>ARRAY_CONSTRAIN(ARRAYFORMULA(SUM(IF([3]!Table13[ID]=B2404,[3]!Table13[QTY]))), 1, 1)</f>
        <v>#ERROR!</v>
      </c>
      <c r="J2404" s="50" t="str">
        <f>TABLEITEM!$H$3:$H$2749-TABLEITEM!$I$3:$I$2749</f>
        <v>#ERROR!</v>
      </c>
    </row>
    <row r="2405" ht="15.75" customHeight="1">
      <c r="A2405" s="45"/>
      <c r="B2405" s="18" t="s">
        <v>5734</v>
      </c>
      <c r="C2405" s="26"/>
      <c r="D2405" s="18" t="s">
        <v>9993</v>
      </c>
      <c r="E2405" s="56" t="s">
        <v>9709</v>
      </c>
      <c r="F2405" s="57" t="s">
        <v>7173</v>
      </c>
      <c r="G2405" s="49">
        <f t="array" ref="G2405">MAX(IF(INSTOCK!$H$3:$H$6125=B2405,INSTOCK!$K$3:$K$6125))</f>
        <v>223.8272</v>
      </c>
      <c r="H2405" s="50">
        <f t="array" ref="H2405">SUM(IF(INSTOCK!$H$3:$H$6125=B2405,INSTOCK!$I$3:$I$6125))</f>
        <v>18</v>
      </c>
      <c r="I2405" s="50" t="str">
        <f>ARRAY_CONSTRAIN(ARRAYFORMULA(SUM(IF([3]!Table13[ID]=B2405,[3]!Table13[QTY]))), 1, 1)</f>
        <v>#ERROR!</v>
      </c>
      <c r="J2405" s="50" t="str">
        <f>TABLEITEM!$H$3:$H$2749-TABLEITEM!$I$3:$I$2749</f>
        <v>#ERROR!</v>
      </c>
    </row>
    <row r="2406" ht="15.75" customHeight="1">
      <c r="A2406" s="45"/>
      <c r="B2406" s="18" t="s">
        <v>5741</v>
      </c>
      <c r="C2406" s="26"/>
      <c r="D2406" s="18" t="s">
        <v>9994</v>
      </c>
      <c r="E2406" s="56"/>
      <c r="F2406" s="57" t="s">
        <v>7173</v>
      </c>
      <c r="G2406" s="49">
        <f t="array" ref="G2406">MAX(IF(INSTOCK!$H$3:$H$6125=B2406,INSTOCK!$K$3:$K$6125))</f>
        <v>7000</v>
      </c>
      <c r="H2406" s="50">
        <f t="array" ref="H2406">SUM(IF(INSTOCK!$H$3:$H$6125=B2406,INSTOCK!$I$3:$I$6125))</f>
        <v>4</v>
      </c>
      <c r="I2406" s="50" t="str">
        <f>ARRAY_CONSTRAIN(ARRAYFORMULA(SUM(IF([3]!Table13[ID]=B2406,[3]!Table13[QTY]))), 1, 1)</f>
        <v>#ERROR!</v>
      </c>
      <c r="J2406" s="50" t="str">
        <f>TABLEITEM!$H$3:$H$2749-TABLEITEM!$I$3:$I$2749</f>
        <v>#ERROR!</v>
      </c>
    </row>
    <row r="2407" ht="15.75" customHeight="1">
      <c r="A2407" s="45"/>
      <c r="B2407" s="18" t="s">
        <v>5743</v>
      </c>
      <c r="C2407" s="26"/>
      <c r="D2407" s="18" t="s">
        <v>9995</v>
      </c>
      <c r="E2407" s="56"/>
      <c r="F2407" s="57" t="s">
        <v>7173</v>
      </c>
      <c r="G2407" s="49">
        <f t="array" ref="G2407">MAX(IF(INSTOCK!$H$3:$H$6125=B2407,INSTOCK!$K$3:$K$6125))</f>
        <v>409.82</v>
      </c>
      <c r="H2407" s="50">
        <f t="array" ref="H2407">SUM(IF(INSTOCK!$H$3:$H$6125=B2407,INSTOCK!$I$3:$I$6125))</f>
        <v>1</v>
      </c>
      <c r="I2407" s="50" t="str">
        <f>ARRAY_CONSTRAIN(ARRAYFORMULA(SUM(IF([3]!Table13[ID]=B2407,[3]!Table13[QTY]))), 1, 1)</f>
        <v>#ERROR!</v>
      </c>
      <c r="J2407" s="50" t="str">
        <f>TABLEITEM!$H$3:$H$2749-TABLEITEM!$I$3:$I$2749</f>
        <v>#ERROR!</v>
      </c>
    </row>
    <row r="2408" ht="15.75" customHeight="1">
      <c r="A2408" s="45"/>
      <c r="B2408" s="18" t="s">
        <v>5752</v>
      </c>
      <c r="C2408" s="26"/>
      <c r="D2408" s="18" t="s">
        <v>9996</v>
      </c>
      <c r="E2408" s="56"/>
      <c r="F2408" s="57" t="s">
        <v>7173</v>
      </c>
      <c r="G2408" s="49">
        <f t="array" ref="G2408">MAX(IF(INSTOCK!$H$3:$H$6125=B2408,INSTOCK!$K$3:$K$6125))</f>
        <v>2925</v>
      </c>
      <c r="H2408" s="50">
        <f t="array" ref="H2408">SUM(IF(INSTOCK!$H$3:$H$6125=B2408,INSTOCK!$I$3:$I$6125))</f>
        <v>4</v>
      </c>
      <c r="I2408" s="50" t="str">
        <f>ARRAY_CONSTRAIN(ARRAYFORMULA(SUM(IF([3]!Table13[ID]=B2408,[3]!Table13[QTY]))), 1, 1)</f>
        <v>#ERROR!</v>
      </c>
      <c r="J2408" s="50" t="str">
        <f>TABLEITEM!$H$3:$H$2749-TABLEITEM!$I$3:$I$2749</f>
        <v>#ERROR!</v>
      </c>
    </row>
    <row r="2409" ht="15.75" customHeight="1">
      <c r="A2409" s="45"/>
      <c r="B2409" s="10" t="s">
        <v>5756</v>
      </c>
      <c r="C2409" s="26"/>
      <c r="D2409" s="10" t="s">
        <v>9997</v>
      </c>
      <c r="E2409" s="56"/>
      <c r="F2409" s="57" t="s">
        <v>7173</v>
      </c>
      <c r="G2409" s="49">
        <f t="array" ref="G2409">MAX(IF(INSTOCK!$H$3:$H$6125=B2409,INSTOCK!$K$3:$K$6125))</f>
        <v>25</v>
      </c>
      <c r="H2409" s="50">
        <f t="array" ref="H2409">SUM(IF(INSTOCK!$H$3:$H$6125=B2409,INSTOCK!$I$3:$I$6125))</f>
        <v>9</v>
      </c>
      <c r="I2409" s="50" t="str">
        <f>ARRAY_CONSTRAIN(ARRAYFORMULA(SUM(IF([3]!Table13[ID]=B2409,[3]!Table13[QTY]))), 1, 1)</f>
        <v>#ERROR!</v>
      </c>
      <c r="J2409" s="50" t="str">
        <f>TABLEITEM!$H$3:$H$2749-TABLEITEM!$I$3:$I$2749</f>
        <v>#ERROR!</v>
      </c>
    </row>
    <row r="2410" ht="15.75" customHeight="1">
      <c r="A2410" s="45"/>
      <c r="B2410" s="10" t="s">
        <v>5757</v>
      </c>
      <c r="C2410" s="26"/>
      <c r="D2410" s="10" t="s">
        <v>9998</v>
      </c>
      <c r="E2410" s="56"/>
      <c r="F2410" s="57" t="s">
        <v>7173</v>
      </c>
      <c r="G2410" s="49">
        <f t="array" ref="G2410">MAX(IF(INSTOCK!$H$3:$H$6125=B2410,INSTOCK!$K$3:$K$6125))</f>
        <v>2</v>
      </c>
      <c r="H2410" s="50">
        <f t="array" ref="H2410">SUM(IF(INSTOCK!$H$3:$H$6125=B2410,INSTOCK!$I$3:$I$6125))</f>
        <v>25</v>
      </c>
      <c r="I2410" s="50" t="str">
        <f>ARRAY_CONSTRAIN(ARRAYFORMULA(SUM(IF([3]!Table13[ID]=B2410,[3]!Table13[QTY]))), 1, 1)</f>
        <v>#ERROR!</v>
      </c>
      <c r="J2410" s="50" t="str">
        <f>TABLEITEM!$H$3:$H$2749-TABLEITEM!$I$3:$I$2749</f>
        <v>#ERROR!</v>
      </c>
    </row>
    <row r="2411" ht="15.75" customHeight="1">
      <c r="A2411" s="45"/>
      <c r="B2411" s="10" t="s">
        <v>5758</v>
      </c>
      <c r="C2411" s="26"/>
      <c r="D2411" s="10" t="s">
        <v>9999</v>
      </c>
      <c r="E2411" s="56"/>
      <c r="F2411" s="57" t="s">
        <v>7173</v>
      </c>
      <c r="G2411" s="49">
        <f t="array" ref="G2411">MAX(IF(INSTOCK!$H$3:$H$6125=B2411,INSTOCK!$K$3:$K$6125))</f>
        <v>4</v>
      </c>
      <c r="H2411" s="50">
        <f t="array" ref="H2411">SUM(IF(INSTOCK!$H$3:$H$6125=B2411,INSTOCK!$I$3:$I$6125))</f>
        <v>6</v>
      </c>
      <c r="I2411" s="50" t="str">
        <f>ARRAY_CONSTRAIN(ARRAYFORMULA(SUM(IF([3]!Table13[ID]=B2411,[3]!Table13[QTY]))), 1, 1)</f>
        <v>#ERROR!</v>
      </c>
      <c r="J2411" s="50" t="str">
        <f>TABLEITEM!$H$3:$H$2749-TABLEITEM!$I$3:$I$2749</f>
        <v>#ERROR!</v>
      </c>
    </row>
    <row r="2412" ht="15.75" customHeight="1">
      <c r="A2412" s="45"/>
      <c r="B2412" s="18" t="s">
        <v>5759</v>
      </c>
      <c r="C2412" s="26"/>
      <c r="D2412" s="18" t="s">
        <v>10000</v>
      </c>
      <c r="E2412" s="56"/>
      <c r="F2412" s="57" t="s">
        <v>7173</v>
      </c>
      <c r="G2412" s="49">
        <f t="array" ref="G2412">MAX(IF(INSTOCK!$H$3:$H$6125=B2412,INSTOCK!$K$3:$K$6125))</f>
        <v>3</v>
      </c>
      <c r="H2412" s="50">
        <f t="array" ref="H2412">SUM(IF(INSTOCK!$H$3:$H$6125=B2412,INSTOCK!$I$3:$I$6125))</f>
        <v>6</v>
      </c>
      <c r="I2412" s="50" t="str">
        <f>ARRAY_CONSTRAIN(ARRAYFORMULA(SUM(IF([3]!Table13[ID]=B2412,[3]!Table13[QTY]))), 1, 1)</f>
        <v>#ERROR!</v>
      </c>
      <c r="J2412" s="50" t="str">
        <f>TABLEITEM!$H$3:$H$2749-TABLEITEM!$I$3:$I$2749</f>
        <v>#ERROR!</v>
      </c>
    </row>
    <row r="2413" ht="15.75" customHeight="1">
      <c r="A2413" s="45"/>
      <c r="B2413" s="10" t="s">
        <v>5762</v>
      </c>
      <c r="C2413" s="26"/>
      <c r="D2413" s="10" t="s">
        <v>10001</v>
      </c>
      <c r="E2413" s="56"/>
      <c r="F2413" s="57" t="s">
        <v>7173</v>
      </c>
      <c r="G2413" s="49">
        <f t="array" ref="G2413">MAX(IF(INSTOCK!$H$3:$H$6125=B2413,INSTOCK!$K$3:$K$6125))</f>
        <v>7</v>
      </c>
      <c r="H2413" s="50">
        <f t="array" ref="H2413">SUM(IF(INSTOCK!$H$3:$H$6125=B2413,INSTOCK!$I$3:$I$6125))</f>
        <v>10</v>
      </c>
      <c r="I2413" s="50" t="str">
        <f>ARRAY_CONSTRAIN(ARRAYFORMULA(SUM(IF([3]!Table13[ID]=B2413,[3]!Table13[QTY]))), 1, 1)</f>
        <v>#ERROR!</v>
      </c>
      <c r="J2413" s="50" t="str">
        <f>TABLEITEM!$H$3:$H$2749-TABLEITEM!$I$3:$I$2749</f>
        <v>#ERROR!</v>
      </c>
    </row>
    <row r="2414" ht="15.75" customHeight="1">
      <c r="A2414" s="45"/>
      <c r="B2414" s="18" t="s">
        <v>5763</v>
      </c>
      <c r="C2414" s="26"/>
      <c r="D2414" s="18" t="s">
        <v>10002</v>
      </c>
      <c r="E2414" s="56"/>
      <c r="F2414" s="57" t="s">
        <v>7173</v>
      </c>
      <c r="G2414" s="49">
        <f t="array" ref="G2414">MAX(IF(INSTOCK!$H$3:$H$6125=B2414,INSTOCK!$K$3:$K$6125))</f>
        <v>13</v>
      </c>
      <c r="H2414" s="50">
        <f t="array" ref="H2414">SUM(IF(INSTOCK!$H$3:$H$6125=B2414,INSTOCK!$I$3:$I$6125))</f>
        <v>15</v>
      </c>
      <c r="I2414" s="50" t="str">
        <f>ARRAY_CONSTRAIN(ARRAYFORMULA(SUM(IF([3]!Table13[ID]=B2414,[3]!Table13[QTY]))), 1, 1)</f>
        <v>#ERROR!</v>
      </c>
      <c r="J2414" s="50" t="str">
        <f>TABLEITEM!$H$3:$H$2749-TABLEITEM!$I$3:$I$2749</f>
        <v>#ERROR!</v>
      </c>
    </row>
    <row r="2415" ht="15.75" customHeight="1">
      <c r="A2415" s="45"/>
      <c r="B2415" s="18" t="s">
        <v>5764</v>
      </c>
      <c r="C2415" s="26"/>
      <c r="D2415" s="18" t="s">
        <v>10003</v>
      </c>
      <c r="E2415" s="56"/>
      <c r="F2415" s="57" t="s">
        <v>7173</v>
      </c>
      <c r="G2415" s="49">
        <f t="array" ref="G2415">MAX(IF(INSTOCK!$H$3:$H$6125=B2415,INSTOCK!$K$3:$K$6125))</f>
        <v>6</v>
      </c>
      <c r="H2415" s="50">
        <f t="array" ref="H2415">SUM(IF(INSTOCK!$H$3:$H$6125=B2415,INSTOCK!$I$3:$I$6125))</f>
        <v>56</v>
      </c>
      <c r="I2415" s="50" t="str">
        <f>ARRAY_CONSTRAIN(ARRAYFORMULA(SUM(IF([3]!Table13[ID]=B2415,[3]!Table13[QTY]))), 1, 1)</f>
        <v>#ERROR!</v>
      </c>
      <c r="J2415" s="50" t="str">
        <f>TABLEITEM!$H$3:$H$2749-TABLEITEM!$I$3:$I$2749</f>
        <v>#ERROR!</v>
      </c>
    </row>
    <row r="2416" ht="15.75" customHeight="1">
      <c r="A2416" s="45"/>
      <c r="B2416" s="10" t="s">
        <v>5767</v>
      </c>
      <c r="C2416" s="26"/>
      <c r="D2416" s="10" t="s">
        <v>10004</v>
      </c>
      <c r="E2416" s="56"/>
      <c r="F2416" s="57" t="s">
        <v>7173</v>
      </c>
      <c r="G2416" s="49">
        <f t="array" ref="G2416">MAX(IF(INSTOCK!$H$3:$H$6125=B2416,INSTOCK!$K$3:$K$6125))</f>
        <v>14</v>
      </c>
      <c r="H2416" s="50">
        <f t="array" ref="H2416">SUM(IF(INSTOCK!$H$3:$H$6125=B2416,INSTOCK!$I$3:$I$6125))</f>
        <v>15</v>
      </c>
      <c r="I2416" s="50" t="str">
        <f>ARRAY_CONSTRAIN(ARRAYFORMULA(SUM(IF([3]!Table13[ID]=B2416,[3]!Table13[QTY]))), 1, 1)</f>
        <v>#ERROR!</v>
      </c>
      <c r="J2416" s="50" t="str">
        <f>TABLEITEM!$H$3:$H$2749-TABLEITEM!$I$3:$I$2749</f>
        <v>#ERROR!</v>
      </c>
    </row>
    <row r="2417" ht="15.75" customHeight="1">
      <c r="A2417" s="45"/>
      <c r="B2417" s="10" t="s">
        <v>5768</v>
      </c>
      <c r="C2417" s="26"/>
      <c r="D2417" s="10" t="s">
        <v>10005</v>
      </c>
      <c r="E2417" s="56"/>
      <c r="F2417" s="57" t="s">
        <v>7173</v>
      </c>
      <c r="G2417" s="49">
        <f t="array" ref="G2417">MAX(IF(INSTOCK!$H$3:$H$6125=B2417,INSTOCK!$K$3:$K$6125))</f>
        <v>22</v>
      </c>
      <c r="H2417" s="50">
        <f t="array" ref="H2417">SUM(IF(INSTOCK!$H$3:$H$6125=B2417,INSTOCK!$I$3:$I$6125))</f>
        <v>1</v>
      </c>
      <c r="I2417" s="50" t="str">
        <f>ARRAY_CONSTRAIN(ARRAYFORMULA(SUM(IF([3]!Table13[ID]=B2417,[3]!Table13[QTY]))), 1, 1)</f>
        <v>#ERROR!</v>
      </c>
      <c r="J2417" s="50" t="str">
        <f>TABLEITEM!$H$3:$H$2749-TABLEITEM!$I$3:$I$2749</f>
        <v>#ERROR!</v>
      </c>
    </row>
    <row r="2418" ht="15.75" customHeight="1">
      <c r="A2418" s="45"/>
      <c r="B2418" s="10" t="s">
        <v>5769</v>
      </c>
      <c r="C2418" s="26"/>
      <c r="D2418" s="10" t="s">
        <v>10006</v>
      </c>
      <c r="E2418" s="56"/>
      <c r="F2418" s="57" t="s">
        <v>7173</v>
      </c>
      <c r="G2418" s="49">
        <f t="array" ref="G2418">MAX(IF(INSTOCK!$H$3:$H$6125=B2418,INSTOCK!$K$3:$K$6125))</f>
        <v>3</v>
      </c>
      <c r="H2418" s="50">
        <f t="array" ref="H2418">SUM(IF(INSTOCK!$H$3:$H$6125=B2418,INSTOCK!$I$3:$I$6125))</f>
        <v>24</v>
      </c>
      <c r="I2418" s="50" t="str">
        <f>ARRAY_CONSTRAIN(ARRAYFORMULA(SUM(IF([3]!Table13[ID]=B2418,[3]!Table13[QTY]))), 1, 1)</f>
        <v>#ERROR!</v>
      </c>
      <c r="J2418" s="50" t="str">
        <f>TABLEITEM!$H$3:$H$2749-TABLEITEM!$I$3:$I$2749</f>
        <v>#ERROR!</v>
      </c>
    </row>
    <row r="2419" ht="15.75" customHeight="1">
      <c r="A2419" s="45"/>
      <c r="B2419" s="18" t="s">
        <v>5770</v>
      </c>
      <c r="C2419" s="26"/>
      <c r="D2419" s="18" t="s">
        <v>10007</v>
      </c>
      <c r="E2419" s="56"/>
      <c r="F2419" s="57" t="s">
        <v>7173</v>
      </c>
      <c r="G2419" s="49">
        <f t="array" ref="G2419">MAX(IF(INSTOCK!$H$3:$H$6125=B2419,INSTOCK!$K$3:$K$6125))</f>
        <v>50</v>
      </c>
      <c r="H2419" s="50">
        <f t="array" ref="H2419">SUM(IF(INSTOCK!$H$3:$H$6125=B2419,INSTOCK!$I$3:$I$6125))</f>
        <v>3</v>
      </c>
      <c r="I2419" s="50" t="str">
        <f>ARRAY_CONSTRAIN(ARRAYFORMULA(SUM(IF([3]!Table13[ID]=B2419,[3]!Table13[QTY]))), 1, 1)</f>
        <v>#ERROR!</v>
      </c>
      <c r="J2419" s="50" t="str">
        <f>TABLEITEM!$H$3:$H$2749-TABLEITEM!$I$3:$I$2749</f>
        <v>#ERROR!</v>
      </c>
    </row>
    <row r="2420" ht="15.75" customHeight="1">
      <c r="A2420" s="45"/>
      <c r="B2420" s="18" t="s">
        <v>5772</v>
      </c>
      <c r="C2420" s="26"/>
      <c r="D2420" s="18" t="s">
        <v>10008</v>
      </c>
      <c r="E2420" s="56"/>
      <c r="F2420" s="57" t="s">
        <v>7173</v>
      </c>
      <c r="G2420" s="49">
        <f t="array" ref="G2420">MAX(IF(INSTOCK!$H$3:$H$6125=B2420,INSTOCK!$K$3:$K$6125))</f>
        <v>5</v>
      </c>
      <c r="H2420" s="50">
        <f t="array" ref="H2420">SUM(IF(INSTOCK!$H$3:$H$6125=B2420,INSTOCK!$I$3:$I$6125))</f>
        <v>3</v>
      </c>
      <c r="I2420" s="50" t="str">
        <f>ARRAY_CONSTRAIN(ARRAYFORMULA(SUM(IF([3]!Table13[ID]=B2420,[3]!Table13[QTY]))), 1, 1)</f>
        <v>#ERROR!</v>
      </c>
      <c r="J2420" s="50" t="str">
        <f>TABLEITEM!$H$3:$H$2749-TABLEITEM!$I$3:$I$2749</f>
        <v>#ERROR!</v>
      </c>
    </row>
    <row r="2421" ht="15.75" customHeight="1">
      <c r="A2421" s="45"/>
      <c r="B2421" s="18" t="s">
        <v>5773</v>
      </c>
      <c r="C2421" s="26"/>
      <c r="D2421" s="18" t="s">
        <v>10009</v>
      </c>
      <c r="E2421" s="56"/>
      <c r="F2421" s="57" t="s">
        <v>7173</v>
      </c>
      <c r="G2421" s="49">
        <f t="array" ref="G2421">MAX(IF(INSTOCK!$H$3:$H$6125=B2421,INSTOCK!$K$3:$K$6125))</f>
        <v>4</v>
      </c>
      <c r="H2421" s="50">
        <f t="array" ref="H2421">SUM(IF(INSTOCK!$H$3:$H$6125=B2421,INSTOCK!$I$3:$I$6125))</f>
        <v>8</v>
      </c>
      <c r="I2421" s="50" t="str">
        <f>ARRAY_CONSTRAIN(ARRAYFORMULA(SUM(IF([3]!Table13[ID]=B2421,[3]!Table13[QTY]))), 1, 1)</f>
        <v>#ERROR!</v>
      </c>
      <c r="J2421" s="50" t="str">
        <f>TABLEITEM!$H$3:$H$2749-TABLEITEM!$I$3:$I$2749</f>
        <v>#ERROR!</v>
      </c>
    </row>
    <row r="2422" ht="15.75" customHeight="1">
      <c r="A2422" s="45"/>
      <c r="B2422" s="18" t="s">
        <v>5774</v>
      </c>
      <c r="C2422" s="26"/>
      <c r="D2422" s="18" t="s">
        <v>10010</v>
      </c>
      <c r="E2422" s="56"/>
      <c r="F2422" s="57" t="s">
        <v>7173</v>
      </c>
      <c r="G2422" s="49">
        <f t="array" ref="G2422">MAX(IF(INSTOCK!$H$3:$H$6125=B2422,INSTOCK!$K$3:$K$6125))</f>
        <v>4</v>
      </c>
      <c r="H2422" s="50">
        <f t="array" ref="H2422">SUM(IF(INSTOCK!$H$3:$H$6125=B2422,INSTOCK!$I$3:$I$6125))</f>
        <v>20</v>
      </c>
      <c r="I2422" s="50" t="str">
        <f>ARRAY_CONSTRAIN(ARRAYFORMULA(SUM(IF([3]!Table13[ID]=B2422,[3]!Table13[QTY]))), 1, 1)</f>
        <v>#ERROR!</v>
      </c>
      <c r="J2422" s="50" t="str">
        <f>TABLEITEM!$H$3:$H$2749-TABLEITEM!$I$3:$I$2749</f>
        <v>#ERROR!</v>
      </c>
    </row>
    <row r="2423" ht="15.75" customHeight="1">
      <c r="A2423" s="45"/>
      <c r="B2423" s="18" t="s">
        <v>3972</v>
      </c>
      <c r="C2423" s="26"/>
      <c r="D2423" s="18" t="s">
        <v>10011</v>
      </c>
      <c r="E2423" s="56"/>
      <c r="F2423" s="57" t="s">
        <v>7173</v>
      </c>
      <c r="G2423" s="49">
        <f t="array" ref="G2423">MAX(IF(INSTOCK!$H$3:$H$6125=B2423,INSTOCK!$K$3:$K$6125))</f>
        <v>63.55</v>
      </c>
      <c r="H2423" s="50">
        <f t="array" ref="H2423">SUM(IF(INSTOCK!$H$3:$H$6125=B2423,INSTOCK!$I$3:$I$6125))</f>
        <v>1</v>
      </c>
      <c r="I2423" s="50" t="str">
        <f>ARRAY_CONSTRAIN(ARRAYFORMULA(SUM(IF([3]!Table13[ID]=B2423,[3]!Table13[QTY]))), 1, 1)</f>
        <v>#ERROR!</v>
      </c>
      <c r="J2423" s="50" t="str">
        <f>TABLEITEM!$H$3:$H$2749-TABLEITEM!$I$3:$I$2749</f>
        <v>#ERROR!</v>
      </c>
    </row>
    <row r="2424" ht="15.75" customHeight="1">
      <c r="A2424" s="45"/>
      <c r="B2424" s="18" t="s">
        <v>5790</v>
      </c>
      <c r="C2424" s="26"/>
      <c r="D2424" s="18" t="s">
        <v>10012</v>
      </c>
      <c r="E2424" s="56"/>
      <c r="F2424" s="57" t="s">
        <v>8686</v>
      </c>
      <c r="G2424" s="49">
        <f t="array" ref="G2424">MAX(IF(INSTOCK!$H$3:$H$6125=B2424,INSTOCK!$K$3:$K$6125))</f>
        <v>336.45</v>
      </c>
      <c r="H2424" s="50">
        <f t="array" ref="H2424">SUM(IF(INSTOCK!$H$3:$H$6125=B2424,INSTOCK!$I$3:$I$6125))</f>
        <v>1</v>
      </c>
      <c r="I2424" s="50" t="str">
        <f>ARRAY_CONSTRAIN(ARRAYFORMULA(SUM(IF([3]!Table13[ID]=B2424,[3]!Table13[QTY]))), 1, 1)</f>
        <v>#ERROR!</v>
      </c>
      <c r="J2424" s="50" t="str">
        <f>TABLEITEM!$H$3:$H$2749-TABLEITEM!$I$3:$I$2749</f>
        <v>#ERROR!</v>
      </c>
    </row>
    <row r="2425" ht="15.75" customHeight="1">
      <c r="A2425" s="45"/>
      <c r="B2425" s="18" t="s">
        <v>5793</v>
      </c>
      <c r="C2425" s="26"/>
      <c r="D2425" s="18" t="s">
        <v>10013</v>
      </c>
      <c r="E2425" s="56"/>
      <c r="F2425" s="57" t="s">
        <v>7173</v>
      </c>
      <c r="G2425" s="49">
        <f t="array" ref="G2425">MAX(IF(INSTOCK!$H$3:$H$6125=B2425,INSTOCK!$K$3:$K$6125))</f>
        <v>180</v>
      </c>
      <c r="H2425" s="50">
        <f t="array" ref="H2425">SUM(IF(INSTOCK!$H$3:$H$6125=B2425,INSTOCK!$I$3:$I$6125))</f>
        <v>10</v>
      </c>
      <c r="I2425" s="50" t="str">
        <f>ARRAY_CONSTRAIN(ARRAYFORMULA(SUM(IF([3]!Table13[ID]=B2425,[3]!Table13[QTY]))), 1, 1)</f>
        <v>#ERROR!</v>
      </c>
      <c r="J2425" s="50" t="str">
        <f>TABLEITEM!$H$3:$H$2749-TABLEITEM!$I$3:$I$2749</f>
        <v>#ERROR!</v>
      </c>
    </row>
    <row r="2426" ht="15.75" customHeight="1">
      <c r="A2426" s="45"/>
      <c r="B2426" s="18" t="s">
        <v>5794</v>
      </c>
      <c r="C2426" s="26"/>
      <c r="D2426" s="18" t="s">
        <v>10014</v>
      </c>
      <c r="E2426" s="56"/>
      <c r="F2426" s="57" t="s">
        <v>9322</v>
      </c>
      <c r="G2426" s="49">
        <f t="array" ref="G2426">MAX(IF(INSTOCK!$H$3:$H$6125=B2426,INSTOCK!$K$3:$K$6125))</f>
        <v>76</v>
      </c>
      <c r="H2426" s="50">
        <f t="array" ref="H2426">SUM(IF(INSTOCK!$H$3:$H$6125=B2426,INSTOCK!$I$3:$I$6125))</f>
        <v>4</v>
      </c>
      <c r="I2426" s="50" t="str">
        <f>ARRAY_CONSTRAIN(ARRAYFORMULA(SUM(IF([3]!Table13[ID]=B2426,[3]!Table13[QTY]))), 1, 1)</f>
        <v>#ERROR!</v>
      </c>
      <c r="J2426" s="50" t="str">
        <f>TABLEITEM!$H$3:$H$2749-TABLEITEM!$I$3:$I$2749</f>
        <v>#ERROR!</v>
      </c>
    </row>
    <row r="2427" ht="15.75" customHeight="1">
      <c r="A2427" s="45"/>
      <c r="B2427" s="18" t="s">
        <v>5796</v>
      </c>
      <c r="C2427" s="26"/>
      <c r="D2427" s="18" t="s">
        <v>10015</v>
      </c>
      <c r="E2427" s="56"/>
      <c r="F2427" s="57" t="s">
        <v>9322</v>
      </c>
      <c r="G2427" s="49">
        <f t="array" ref="G2427">MAX(IF(INSTOCK!$H$3:$H$6125=B2427,INSTOCK!$K$3:$K$6125))</f>
        <v>64</v>
      </c>
      <c r="H2427" s="50">
        <f t="array" ref="H2427">SUM(IF(INSTOCK!$H$3:$H$6125=B2427,INSTOCK!$I$3:$I$6125))</f>
        <v>1</v>
      </c>
      <c r="I2427" s="50" t="str">
        <f>ARRAY_CONSTRAIN(ARRAYFORMULA(SUM(IF([3]!Table13[ID]=B2427,[3]!Table13[QTY]))), 1, 1)</f>
        <v>#ERROR!</v>
      </c>
      <c r="J2427" s="50" t="str">
        <f>TABLEITEM!$H$3:$H$2749-TABLEITEM!$I$3:$I$2749</f>
        <v>#ERROR!</v>
      </c>
    </row>
    <row r="2428" ht="15.75" customHeight="1">
      <c r="A2428" s="45"/>
      <c r="B2428" s="10" t="s">
        <v>5797</v>
      </c>
      <c r="C2428" s="26"/>
      <c r="D2428" s="10" t="s">
        <v>10016</v>
      </c>
      <c r="E2428" s="56"/>
      <c r="F2428" s="57" t="s">
        <v>7173</v>
      </c>
      <c r="G2428" s="49">
        <f t="array" ref="G2428">MAX(IF(INSTOCK!$H$3:$H$6125=B2428,INSTOCK!$K$3:$K$6125))</f>
        <v>3.5</v>
      </c>
      <c r="H2428" s="50">
        <f t="array" ref="H2428">SUM(IF(INSTOCK!$H$3:$H$6125=B2428,INSTOCK!$I$3:$I$6125))</f>
        <v>4</v>
      </c>
      <c r="I2428" s="50" t="str">
        <f>ARRAY_CONSTRAIN(ARRAYFORMULA(SUM(IF([3]!Table13[ID]=B2428,[3]!Table13[QTY]))), 1, 1)</f>
        <v>#ERROR!</v>
      </c>
      <c r="J2428" s="50" t="str">
        <f>TABLEITEM!$H$3:$H$2749-TABLEITEM!$I$3:$I$2749</f>
        <v>#ERROR!</v>
      </c>
    </row>
    <row r="2429" ht="15.75" customHeight="1">
      <c r="A2429" s="45"/>
      <c r="B2429" s="18" t="s">
        <v>5798</v>
      </c>
      <c r="C2429" s="26"/>
      <c r="D2429" s="18" t="s">
        <v>10017</v>
      </c>
      <c r="E2429" s="56"/>
      <c r="F2429" s="57" t="s">
        <v>7173</v>
      </c>
      <c r="G2429" s="49">
        <f t="array" ref="G2429">MAX(IF(INSTOCK!$H$3:$H$6125=B2429,INSTOCK!$K$3:$K$6125))</f>
        <v>6.5</v>
      </c>
      <c r="H2429" s="50">
        <f t="array" ref="H2429">SUM(IF(INSTOCK!$H$3:$H$6125=B2429,INSTOCK!$I$3:$I$6125))</f>
        <v>2</v>
      </c>
      <c r="I2429" s="50" t="str">
        <f>ARRAY_CONSTRAIN(ARRAYFORMULA(SUM(IF([3]!Table13[ID]=B2429,[3]!Table13[QTY]))), 1, 1)</f>
        <v>#ERROR!</v>
      </c>
      <c r="J2429" s="50" t="str">
        <f>TABLEITEM!$H$3:$H$2749-TABLEITEM!$I$3:$I$2749</f>
        <v>#ERROR!</v>
      </c>
    </row>
    <row r="2430" ht="15.75" customHeight="1">
      <c r="A2430" s="45"/>
      <c r="B2430" s="18" t="s">
        <v>5812</v>
      </c>
      <c r="C2430" s="26"/>
      <c r="D2430" s="18" t="s">
        <v>10018</v>
      </c>
      <c r="E2430" s="56"/>
      <c r="F2430" s="57" t="s">
        <v>9322</v>
      </c>
      <c r="G2430" s="49">
        <f t="array" ref="G2430">MAX(IF(INSTOCK!$H$3:$H$6125=B2430,INSTOCK!$K$3:$K$6125))</f>
        <v>61</v>
      </c>
      <c r="H2430" s="50">
        <f t="array" ref="H2430">SUM(IF(INSTOCK!$H$3:$H$6125=B2430,INSTOCK!$I$3:$I$6125))</f>
        <v>2</v>
      </c>
      <c r="I2430" s="50" t="str">
        <f>ARRAY_CONSTRAIN(ARRAYFORMULA(SUM(IF([3]!Table13[ID]=B2430,[3]!Table13[QTY]))), 1, 1)</f>
        <v>#ERROR!</v>
      </c>
      <c r="J2430" s="50" t="str">
        <f>TABLEITEM!$H$3:$H$2749-TABLEITEM!$I$3:$I$2749</f>
        <v>#ERROR!</v>
      </c>
    </row>
    <row r="2431" ht="15.75" customHeight="1">
      <c r="A2431" s="45"/>
      <c r="B2431" s="18" t="s">
        <v>5816</v>
      </c>
      <c r="C2431" s="26"/>
      <c r="D2431" s="18" t="s">
        <v>10019</v>
      </c>
      <c r="E2431" s="56"/>
      <c r="F2431" s="57" t="s">
        <v>7173</v>
      </c>
      <c r="G2431" s="49">
        <f t="array" ref="G2431">MAX(IF(INSTOCK!$H$3:$H$6125=B2431,INSTOCK!$K$3:$K$6125))</f>
        <v>4</v>
      </c>
      <c r="H2431" s="50">
        <f t="array" ref="H2431">SUM(IF(INSTOCK!$H$3:$H$6125=B2431,INSTOCK!$I$3:$I$6125))</f>
        <v>12</v>
      </c>
      <c r="I2431" s="50" t="str">
        <f>ARRAY_CONSTRAIN(ARRAYFORMULA(SUM(IF([3]!Table13[ID]=B2431,[3]!Table13[QTY]))), 1, 1)</f>
        <v>#ERROR!</v>
      </c>
      <c r="J2431" s="50" t="str">
        <f>TABLEITEM!$H$3:$H$2749-TABLEITEM!$I$3:$I$2749</f>
        <v>#ERROR!</v>
      </c>
    </row>
    <row r="2432" ht="15.75" customHeight="1">
      <c r="A2432" s="45"/>
      <c r="B2432" s="18" t="s">
        <v>5827</v>
      </c>
      <c r="C2432" s="26"/>
      <c r="D2432" s="18" t="s">
        <v>10020</v>
      </c>
      <c r="E2432" s="56"/>
      <c r="F2432" s="57" t="s">
        <v>7173</v>
      </c>
      <c r="G2432" s="49">
        <f t="array" ref="G2432">MAX(IF(INSTOCK!$H$3:$H$6125=B2432,INSTOCK!$K$3:$K$6125))</f>
        <v>9540</v>
      </c>
      <c r="H2432" s="50">
        <f t="array" ref="H2432">SUM(IF(INSTOCK!$H$3:$H$6125=B2432,INSTOCK!$I$3:$I$6125))</f>
        <v>1</v>
      </c>
      <c r="I2432" s="50" t="str">
        <f>ARRAY_CONSTRAIN(ARRAYFORMULA(SUM(IF([3]!Table13[ID]=B2432,[3]!Table13[QTY]))), 1, 1)</f>
        <v>#ERROR!</v>
      </c>
      <c r="J2432" s="50" t="str">
        <f>TABLEITEM!$H$3:$H$2749-TABLEITEM!$I$3:$I$2749</f>
        <v>#ERROR!</v>
      </c>
    </row>
    <row r="2433" ht="15.75" customHeight="1">
      <c r="A2433" s="45"/>
      <c r="B2433" s="10" t="s">
        <v>5839</v>
      </c>
      <c r="C2433" s="26"/>
      <c r="D2433" s="10" t="s">
        <v>10021</v>
      </c>
      <c r="E2433" s="56"/>
      <c r="F2433" s="57" t="s">
        <v>7173</v>
      </c>
      <c r="G2433" s="49">
        <f t="array" ref="G2433">MAX(IF(INSTOCK!$H$3:$H$6125=B2433,INSTOCK!$K$3:$K$6125))</f>
        <v>275</v>
      </c>
      <c r="H2433" s="50">
        <f t="array" ref="H2433">SUM(IF(INSTOCK!$H$3:$H$6125=B2433,INSTOCK!$I$3:$I$6125))</f>
        <v>2</v>
      </c>
      <c r="I2433" s="50" t="str">
        <f>ARRAY_CONSTRAIN(ARRAYFORMULA(SUM(IF([3]!Table13[ID]=B2433,[3]!Table13[QTY]))), 1, 1)</f>
        <v>#ERROR!</v>
      </c>
      <c r="J2433" s="50" t="str">
        <f>TABLEITEM!$H$3:$H$2749-TABLEITEM!$I$3:$I$2749</f>
        <v>#ERROR!</v>
      </c>
    </row>
    <row r="2434" ht="15.75" customHeight="1">
      <c r="A2434" s="45"/>
      <c r="B2434" s="18" t="s">
        <v>5840</v>
      </c>
      <c r="C2434" s="26"/>
      <c r="D2434" s="10" t="s">
        <v>10022</v>
      </c>
      <c r="E2434" s="56"/>
      <c r="F2434" s="57" t="s">
        <v>7173</v>
      </c>
      <c r="G2434" s="49">
        <f t="array" ref="G2434">MAX(IF(INSTOCK!$H$3:$H$6125=B2434,INSTOCK!$K$3:$K$6125))</f>
        <v>330</v>
      </c>
      <c r="H2434" s="50">
        <f t="array" ref="H2434">SUM(IF(INSTOCK!$H$3:$H$6125=B2434,INSTOCK!$I$3:$I$6125))</f>
        <v>2</v>
      </c>
      <c r="I2434" s="50" t="str">
        <f>ARRAY_CONSTRAIN(ARRAYFORMULA(SUM(IF([3]!Table13[ID]=B2434,[3]!Table13[QTY]))), 1, 1)</f>
        <v>#ERROR!</v>
      </c>
      <c r="J2434" s="50" t="str">
        <f>TABLEITEM!$H$3:$H$2749-TABLEITEM!$I$3:$I$2749</f>
        <v>#ERROR!</v>
      </c>
    </row>
    <row r="2435" ht="15.75" customHeight="1">
      <c r="A2435" s="45"/>
      <c r="B2435" s="10" t="s">
        <v>5843</v>
      </c>
      <c r="C2435" s="26"/>
      <c r="D2435" s="10" t="s">
        <v>10023</v>
      </c>
      <c r="E2435" s="56"/>
      <c r="F2435" s="57" t="s">
        <v>7173</v>
      </c>
      <c r="G2435" s="49">
        <f t="array" ref="G2435">MAX(IF(INSTOCK!$H$3:$H$6125=B2435,INSTOCK!$K$3:$K$6125))</f>
        <v>330</v>
      </c>
      <c r="H2435" s="50">
        <f t="array" ref="H2435">SUM(IF(INSTOCK!$H$3:$H$6125=B2435,INSTOCK!$I$3:$I$6125))</f>
        <v>2</v>
      </c>
      <c r="I2435" s="50" t="str">
        <f>ARRAY_CONSTRAIN(ARRAYFORMULA(SUM(IF([3]!Table13[ID]=B2435,[3]!Table13[QTY]))), 1, 1)</f>
        <v>#ERROR!</v>
      </c>
      <c r="J2435" s="50" t="str">
        <f>TABLEITEM!$H$3:$H$2749-TABLEITEM!$I$3:$I$2749</f>
        <v>#ERROR!</v>
      </c>
    </row>
    <row r="2436" ht="15.75" customHeight="1">
      <c r="A2436" s="45"/>
      <c r="B2436" s="18" t="s">
        <v>5844</v>
      </c>
      <c r="C2436" s="26"/>
      <c r="D2436" s="10" t="s">
        <v>10024</v>
      </c>
      <c r="E2436" s="56"/>
      <c r="F2436" s="57" t="s">
        <v>7173</v>
      </c>
      <c r="G2436" s="49">
        <f t="array" ref="G2436">MAX(IF(INSTOCK!$H$3:$H$6125=B2436,INSTOCK!$K$3:$K$6125))</f>
        <v>275</v>
      </c>
      <c r="H2436" s="50">
        <f t="array" ref="H2436">SUM(IF(INSTOCK!$H$3:$H$6125=B2436,INSTOCK!$I$3:$I$6125))</f>
        <v>6</v>
      </c>
      <c r="I2436" s="50" t="str">
        <f>ARRAY_CONSTRAIN(ARRAYFORMULA(SUM(IF([3]!Table13[ID]=B2436,[3]!Table13[QTY]))), 1, 1)</f>
        <v>#ERROR!</v>
      </c>
      <c r="J2436" s="50" t="str">
        <f>TABLEITEM!$H$3:$H$2749-TABLEITEM!$I$3:$I$2749</f>
        <v>#ERROR!</v>
      </c>
    </row>
    <row r="2437" ht="15.75" customHeight="1">
      <c r="A2437" s="45"/>
      <c r="B2437" s="18" t="s">
        <v>5847</v>
      </c>
      <c r="C2437" s="26"/>
      <c r="D2437" s="18" t="s">
        <v>10025</v>
      </c>
      <c r="E2437" s="56"/>
      <c r="F2437" s="57" t="s">
        <v>7173</v>
      </c>
      <c r="G2437" s="49">
        <f t="array" ref="G2437">MAX(IF(INSTOCK!$H$3:$H$6125=B2437,INSTOCK!$K$3:$K$6125))</f>
        <v>121.1234</v>
      </c>
      <c r="H2437" s="50">
        <f t="array" ref="H2437">SUM(IF(INSTOCK!$H$3:$H$6125=B2437,INSTOCK!$I$3:$I$6125))</f>
        <v>34</v>
      </c>
      <c r="I2437" s="50" t="str">
        <f>ARRAY_CONSTRAIN(ARRAYFORMULA(SUM(IF([3]!Table13[ID]=B2437,[3]!Table13[QTY]))), 1, 1)</f>
        <v>#ERROR!</v>
      </c>
      <c r="J2437" s="50" t="str">
        <f>TABLEITEM!$H$3:$H$2749-TABLEITEM!$I$3:$I$2749</f>
        <v>#ERROR!</v>
      </c>
    </row>
    <row r="2438" ht="15.75" customHeight="1">
      <c r="A2438" s="45"/>
      <c r="B2438" s="18" t="s">
        <v>5853</v>
      </c>
      <c r="C2438" s="26"/>
      <c r="D2438" s="18" t="s">
        <v>10026</v>
      </c>
      <c r="E2438" s="56"/>
      <c r="F2438" s="57" t="s">
        <v>7173</v>
      </c>
      <c r="G2438" s="49">
        <f t="array" ref="G2438">MAX(IF(INSTOCK!$H$3:$H$6125=B2438,INSTOCK!$K$3:$K$6125))</f>
        <v>35</v>
      </c>
      <c r="H2438" s="50">
        <f t="array" ref="H2438">SUM(IF(INSTOCK!$H$3:$H$6125=B2438,INSTOCK!$I$3:$I$6125))</f>
        <v>10</v>
      </c>
      <c r="I2438" s="50" t="str">
        <f>ARRAY_CONSTRAIN(ARRAYFORMULA(SUM(IF([3]!Table13[ID]=B2438,[3]!Table13[QTY]))), 1, 1)</f>
        <v>#ERROR!</v>
      </c>
      <c r="J2438" s="50" t="str">
        <f>TABLEITEM!$H$3:$H$2749-TABLEITEM!$I$3:$I$2749</f>
        <v>#ERROR!</v>
      </c>
    </row>
    <row r="2439" ht="15.75" customHeight="1">
      <c r="A2439" s="45"/>
      <c r="B2439" s="10" t="s">
        <v>5862</v>
      </c>
      <c r="C2439" s="26"/>
      <c r="D2439" s="10" t="s">
        <v>10027</v>
      </c>
      <c r="E2439" s="56"/>
      <c r="F2439" s="57" t="s">
        <v>7173</v>
      </c>
      <c r="G2439" s="49">
        <f t="array" ref="G2439">MAX(IF(INSTOCK!$H$3:$H$6125=B2439,INSTOCK!$K$3:$K$6125))</f>
        <v>468</v>
      </c>
      <c r="H2439" s="50">
        <f t="array" ref="H2439">SUM(IF(INSTOCK!$H$3:$H$6125=B2439,INSTOCK!$I$3:$I$6125))</f>
        <v>15</v>
      </c>
      <c r="I2439" s="50" t="str">
        <f>ARRAY_CONSTRAIN(ARRAYFORMULA(SUM(IF([3]!Table13[ID]=B2439,[3]!Table13[QTY]))), 1, 1)</f>
        <v>#ERROR!</v>
      </c>
      <c r="J2439" s="50" t="str">
        <f>TABLEITEM!$H$3:$H$2749-TABLEITEM!$I$3:$I$2749</f>
        <v>#ERROR!</v>
      </c>
    </row>
    <row r="2440" ht="15.75" customHeight="1">
      <c r="A2440" s="45"/>
      <c r="B2440" s="18" t="s">
        <v>5864</v>
      </c>
      <c r="C2440" s="26"/>
      <c r="D2440" s="18" t="s">
        <v>10028</v>
      </c>
      <c r="E2440" s="56"/>
      <c r="F2440" s="57" t="s">
        <v>7173</v>
      </c>
      <c r="G2440" s="49">
        <f t="array" ref="G2440">MAX(IF(INSTOCK!$H$3:$H$6125=B2440,INSTOCK!$K$3:$K$6125))</f>
        <v>488</v>
      </c>
      <c r="H2440" s="50">
        <f t="array" ref="H2440">SUM(IF(INSTOCK!$H$3:$H$6125=B2440,INSTOCK!$I$3:$I$6125))</f>
        <v>15</v>
      </c>
      <c r="I2440" s="50" t="str">
        <f>ARRAY_CONSTRAIN(ARRAYFORMULA(SUM(IF([3]!Table13[ID]=B2440,[3]!Table13[QTY]))), 1, 1)</f>
        <v>#ERROR!</v>
      </c>
      <c r="J2440" s="50" t="str">
        <f>TABLEITEM!$H$3:$H$2749-TABLEITEM!$I$3:$I$2749</f>
        <v>#ERROR!</v>
      </c>
    </row>
    <row r="2441" ht="15.75" customHeight="1">
      <c r="A2441" s="45"/>
      <c r="B2441" s="18" t="s">
        <v>5875</v>
      </c>
      <c r="C2441" s="26"/>
      <c r="D2441" s="18" t="s">
        <v>10029</v>
      </c>
      <c r="E2441" s="56"/>
      <c r="F2441" s="57" t="s">
        <v>7173</v>
      </c>
      <c r="G2441" s="49">
        <f t="array" ref="G2441">MAX(IF(INSTOCK!$H$3:$H$6125=B2441,INSTOCK!$K$3:$K$6125))</f>
        <v>52</v>
      </c>
      <c r="H2441" s="50">
        <f t="array" ref="H2441">SUM(IF(INSTOCK!$H$3:$H$6125=B2441,INSTOCK!$I$3:$I$6125))</f>
        <v>40</v>
      </c>
      <c r="I2441" s="50" t="str">
        <f>ARRAY_CONSTRAIN(ARRAYFORMULA(SUM(IF([3]!Table13[ID]=B2441,[3]!Table13[QTY]))), 1, 1)</f>
        <v>#ERROR!</v>
      </c>
      <c r="J2441" s="50" t="str">
        <f>TABLEITEM!$H$3:$H$2749-TABLEITEM!$I$3:$I$2749</f>
        <v>#ERROR!</v>
      </c>
    </row>
    <row r="2442" ht="15.75" customHeight="1">
      <c r="A2442" s="45"/>
      <c r="B2442" s="18" t="s">
        <v>5879</v>
      </c>
      <c r="C2442" s="26"/>
      <c r="D2442" s="18" t="s">
        <v>10030</v>
      </c>
      <c r="E2442" s="56"/>
      <c r="F2442" s="57" t="s">
        <v>7173</v>
      </c>
      <c r="G2442" s="49">
        <f t="array" ref="G2442">MAX(IF(INSTOCK!$H$3:$H$6125=B2442,INSTOCK!$K$3:$K$6125))</f>
        <v>110</v>
      </c>
      <c r="H2442" s="50">
        <f t="array" ref="H2442">SUM(IF(INSTOCK!$H$3:$H$6125=B2442,INSTOCK!$I$3:$I$6125))</f>
        <v>2</v>
      </c>
      <c r="I2442" s="50" t="str">
        <f>ARRAY_CONSTRAIN(ARRAYFORMULA(SUM(IF([3]!Table13[ID]=B2442,[3]!Table13[QTY]))), 1, 1)</f>
        <v>#ERROR!</v>
      </c>
      <c r="J2442" s="50" t="str">
        <f>TABLEITEM!$H$3:$H$2749-TABLEITEM!$I$3:$I$2749</f>
        <v>#ERROR!</v>
      </c>
    </row>
    <row r="2443" ht="15.75" customHeight="1">
      <c r="A2443" s="45"/>
      <c r="B2443" s="18" t="s">
        <v>5895</v>
      </c>
      <c r="C2443" s="26"/>
      <c r="D2443" s="18" t="s">
        <v>10031</v>
      </c>
      <c r="E2443" s="56"/>
      <c r="F2443" s="57" t="s">
        <v>7173</v>
      </c>
      <c r="G2443" s="49">
        <f t="array" ref="G2443">MAX(IF(INSTOCK!$H$3:$H$6125=B2443,INSTOCK!$K$3:$K$6125))</f>
        <v>100</v>
      </c>
      <c r="H2443" s="50">
        <f t="array" ref="H2443">SUM(IF(INSTOCK!$H$3:$H$6125=B2443,INSTOCK!$I$3:$I$6125))</f>
        <v>15</v>
      </c>
      <c r="I2443" s="50" t="str">
        <f>ARRAY_CONSTRAIN(ARRAYFORMULA(SUM(IF([3]!Table13[ID]=B2443,[3]!Table13[QTY]))), 1, 1)</f>
        <v>#ERROR!</v>
      </c>
      <c r="J2443" s="50" t="str">
        <f>TABLEITEM!$H$3:$H$2749-TABLEITEM!$I$3:$I$2749</f>
        <v>#ERROR!</v>
      </c>
    </row>
    <row r="2444" ht="15.75" customHeight="1">
      <c r="A2444" s="45"/>
      <c r="B2444" s="18" t="s">
        <v>5898</v>
      </c>
      <c r="C2444" s="26"/>
      <c r="D2444" s="18" t="s">
        <v>10032</v>
      </c>
      <c r="E2444" s="56"/>
      <c r="F2444" s="57" t="s">
        <v>8651</v>
      </c>
      <c r="G2444" s="49">
        <f t="array" ref="G2444">MAX(IF(INSTOCK!$H$3:$H$6125=B2444,INSTOCK!$K$3:$K$6125))</f>
        <v>8114.9</v>
      </c>
      <c r="H2444" s="50">
        <f t="array" ref="H2444">SUM(IF(INSTOCK!$H$3:$H$6125=B2444,INSTOCK!$I$3:$I$6125))</f>
        <v>1</v>
      </c>
      <c r="I2444" s="50" t="str">
        <f>ARRAY_CONSTRAIN(ARRAYFORMULA(SUM(IF([3]!Table13[ID]=B2444,[3]!Table13[QTY]))), 1, 1)</f>
        <v>#ERROR!</v>
      </c>
      <c r="J2444" s="50" t="str">
        <f>TABLEITEM!$H$3:$H$2749-TABLEITEM!$I$3:$I$2749</f>
        <v>#ERROR!</v>
      </c>
    </row>
    <row r="2445" ht="15.75" customHeight="1">
      <c r="A2445" s="45"/>
      <c r="B2445" s="18" t="s">
        <v>5905</v>
      </c>
      <c r="C2445" s="26"/>
      <c r="D2445" s="18" t="s">
        <v>10033</v>
      </c>
      <c r="E2445" s="56"/>
      <c r="F2445" s="57" t="s">
        <v>7173</v>
      </c>
      <c r="G2445" s="49">
        <f t="array" ref="G2445">MAX(IF(INSTOCK!$H$3:$H$6125=B2445,INSTOCK!$K$3:$K$6125))</f>
        <v>586.3</v>
      </c>
      <c r="H2445" s="50">
        <f t="array" ref="H2445">SUM(IF(INSTOCK!$H$3:$H$6125=B2445,INSTOCK!$I$3:$I$6125))</f>
        <v>1</v>
      </c>
      <c r="I2445" s="50" t="str">
        <f>ARRAY_CONSTRAIN(ARRAYFORMULA(SUM(IF([3]!Table13[ID]=B2445,[3]!Table13[QTY]))), 1, 1)</f>
        <v>#ERROR!</v>
      </c>
      <c r="J2445" s="50" t="str">
        <f>TABLEITEM!$H$3:$H$2749-TABLEITEM!$I$3:$I$2749</f>
        <v>#ERROR!</v>
      </c>
    </row>
    <row r="2446" ht="15.75" customHeight="1">
      <c r="A2446" s="45"/>
      <c r="B2446" s="18" t="s">
        <v>5908</v>
      </c>
      <c r="C2446" s="26"/>
      <c r="D2446" s="18" t="s">
        <v>10034</v>
      </c>
      <c r="E2446" s="56"/>
      <c r="F2446" s="57" t="s">
        <v>7173</v>
      </c>
      <c r="G2446" s="49">
        <f t="array" ref="G2446">MAX(IF(INSTOCK!$H$3:$H$6125=B2446,INSTOCK!$K$3:$K$6125))</f>
        <v>720</v>
      </c>
      <c r="H2446" s="50">
        <f t="array" ref="H2446">SUM(IF(INSTOCK!$H$3:$H$6125=B2446,INSTOCK!$I$3:$I$6125))</f>
        <v>2</v>
      </c>
      <c r="I2446" s="50" t="str">
        <f>ARRAY_CONSTRAIN(ARRAYFORMULA(SUM(IF([3]!Table13[ID]=B2446,[3]!Table13[QTY]))), 1, 1)</f>
        <v>#ERROR!</v>
      </c>
      <c r="J2446" s="50" t="str">
        <f>TABLEITEM!$H$3:$H$2749-TABLEITEM!$I$3:$I$2749</f>
        <v>#ERROR!</v>
      </c>
    </row>
    <row r="2447" ht="15.75" customHeight="1">
      <c r="A2447" s="45"/>
      <c r="B2447" s="18" t="s">
        <v>5914</v>
      </c>
      <c r="C2447" s="26"/>
      <c r="D2447" s="18" t="s">
        <v>10035</v>
      </c>
      <c r="E2447" s="56"/>
      <c r="F2447" s="57" t="s">
        <v>7173</v>
      </c>
      <c r="G2447" s="49">
        <f t="array" ref="G2447">MAX(IF(INSTOCK!$H$3:$H$6125=B2447,INSTOCK!$K$3:$K$6125))</f>
        <v>303.4</v>
      </c>
      <c r="H2447" s="50">
        <f t="array" ref="H2447">SUM(IF(INSTOCK!$H$3:$H$6125=B2447,INSTOCK!$I$3:$I$6125))</f>
        <v>12</v>
      </c>
      <c r="I2447" s="50" t="str">
        <f>ARRAY_CONSTRAIN(ARRAYFORMULA(SUM(IF([3]!Table13[ID]=B2447,[3]!Table13[QTY]))), 1, 1)</f>
        <v>#ERROR!</v>
      </c>
      <c r="J2447" s="50" t="str">
        <f>TABLEITEM!$H$3:$H$2749-TABLEITEM!$I$3:$I$2749</f>
        <v>#ERROR!</v>
      </c>
    </row>
    <row r="2448" ht="15.75" customHeight="1">
      <c r="A2448" s="45"/>
      <c r="B2448" s="10" t="s">
        <v>5926</v>
      </c>
      <c r="C2448" s="26"/>
      <c r="D2448" s="10" t="s">
        <v>10036</v>
      </c>
      <c r="E2448" s="56"/>
      <c r="F2448" s="57" t="s">
        <v>7173</v>
      </c>
      <c r="G2448" s="49">
        <f t="array" ref="G2448">MAX(IF(INSTOCK!$H$3:$H$6125=B2448,INSTOCK!$K$3:$K$6125))</f>
        <v>540</v>
      </c>
      <c r="H2448" s="50">
        <f t="array" ref="H2448">SUM(IF(INSTOCK!$H$3:$H$6125=B2448,INSTOCK!$I$3:$I$6125))</f>
        <v>13</v>
      </c>
      <c r="I2448" s="50" t="str">
        <f>ARRAY_CONSTRAIN(ARRAYFORMULA(SUM(IF([3]!Table13[ID]=B2448,[3]!Table13[QTY]))), 1, 1)</f>
        <v>#ERROR!</v>
      </c>
      <c r="J2448" s="50" t="str">
        <f>TABLEITEM!$H$3:$H$2749-TABLEITEM!$I$3:$I$2749</f>
        <v>#ERROR!</v>
      </c>
    </row>
    <row r="2449" ht="15.75" customHeight="1">
      <c r="A2449" s="45"/>
      <c r="B2449" s="18" t="s">
        <v>5928</v>
      </c>
      <c r="C2449" s="26"/>
      <c r="D2449" s="10" t="s">
        <v>10037</v>
      </c>
      <c r="E2449" s="56"/>
      <c r="F2449" s="57" t="s">
        <v>7173</v>
      </c>
      <c r="G2449" s="49">
        <f t="array" ref="G2449">MAX(IF(INSTOCK!$H$3:$H$6125=B2449,INSTOCK!$K$3:$K$6125))</f>
        <v>640</v>
      </c>
      <c r="H2449" s="50">
        <f t="array" ref="H2449">SUM(IF(INSTOCK!$H$3:$H$6125=B2449,INSTOCK!$I$3:$I$6125))</f>
        <v>7</v>
      </c>
      <c r="I2449" s="50" t="str">
        <f>ARRAY_CONSTRAIN(ARRAYFORMULA(SUM(IF([3]!Table13[ID]=B2449,[3]!Table13[QTY]))), 1, 1)</f>
        <v>#ERROR!</v>
      </c>
      <c r="J2449" s="50" t="str">
        <f>TABLEITEM!$H$3:$H$2749-TABLEITEM!$I$3:$I$2749</f>
        <v>#ERROR!</v>
      </c>
    </row>
    <row r="2450" ht="15.75" customHeight="1">
      <c r="A2450" s="45"/>
      <c r="B2450" s="10" t="s">
        <v>5933</v>
      </c>
      <c r="C2450" s="26"/>
      <c r="D2450" s="10" t="s">
        <v>10038</v>
      </c>
      <c r="E2450" s="56"/>
      <c r="F2450" s="57" t="s">
        <v>7173</v>
      </c>
      <c r="G2450" s="49">
        <f t="array" ref="G2450">MAX(IF(INSTOCK!$H$3:$H$6125=B2450,INSTOCK!$K$3:$K$6125))</f>
        <v>90</v>
      </c>
      <c r="H2450" s="50">
        <f t="array" ref="H2450">SUM(IF(INSTOCK!$H$3:$H$6125=B2450,INSTOCK!$I$3:$I$6125))</f>
        <v>15</v>
      </c>
      <c r="I2450" s="50" t="str">
        <f>ARRAY_CONSTRAIN(ARRAYFORMULA(SUM(IF([3]!Table13[ID]=B2450,[3]!Table13[QTY]))), 1, 1)</f>
        <v>#ERROR!</v>
      </c>
      <c r="J2450" s="50" t="str">
        <f>TABLEITEM!$H$3:$H$2749-TABLEITEM!$I$3:$I$2749</f>
        <v>#ERROR!</v>
      </c>
    </row>
    <row r="2451" ht="15.75" customHeight="1">
      <c r="A2451" s="45"/>
      <c r="B2451" s="18" t="s">
        <v>5935</v>
      </c>
      <c r="C2451" s="26"/>
      <c r="D2451" s="18" t="s">
        <v>10039</v>
      </c>
      <c r="E2451" s="56"/>
      <c r="F2451" s="57" t="s">
        <v>7173</v>
      </c>
      <c r="G2451" s="49">
        <f t="array" ref="G2451">MAX(IF(INSTOCK!$H$3:$H$6125=B2451,INSTOCK!$K$3:$K$6125))</f>
        <v>225</v>
      </c>
      <c r="H2451" s="50">
        <f t="array" ref="H2451">SUM(IF(INSTOCK!$H$3:$H$6125=B2451,INSTOCK!$I$3:$I$6125))</f>
        <v>1</v>
      </c>
      <c r="I2451" s="50" t="str">
        <f>ARRAY_CONSTRAIN(ARRAYFORMULA(SUM(IF([3]!Table13[ID]=B2451,[3]!Table13[QTY]))), 1, 1)</f>
        <v>#ERROR!</v>
      </c>
      <c r="J2451" s="50" t="str">
        <f>TABLEITEM!$H$3:$H$2749-TABLEITEM!$I$3:$I$2749</f>
        <v>#ERROR!</v>
      </c>
    </row>
    <row r="2452" ht="15.75" customHeight="1">
      <c r="A2452" s="45"/>
      <c r="B2452" s="10" t="s">
        <v>5940</v>
      </c>
      <c r="C2452" s="26"/>
      <c r="D2452" s="10" t="s">
        <v>10040</v>
      </c>
      <c r="E2452" s="56"/>
      <c r="F2452" s="57" t="s">
        <v>7173</v>
      </c>
      <c r="G2452" s="49">
        <f t="array" ref="G2452">MAX(IF(INSTOCK!$H$3:$H$6125=B2452,INSTOCK!$K$3:$K$6125))</f>
        <v>1790</v>
      </c>
      <c r="H2452" s="50">
        <f t="array" ref="H2452">SUM(IF(INSTOCK!$H$3:$H$6125=B2452,INSTOCK!$I$3:$I$6125))</f>
        <v>1</v>
      </c>
      <c r="I2452" s="50" t="str">
        <f>ARRAY_CONSTRAIN(ARRAYFORMULA(SUM(IF([3]!Table13[ID]=B2452,[3]!Table13[QTY]))), 1, 1)</f>
        <v>#ERROR!</v>
      </c>
      <c r="J2452" s="50" t="str">
        <f>TABLEITEM!$H$3:$H$2749-TABLEITEM!$I$3:$I$2749</f>
        <v>#ERROR!</v>
      </c>
    </row>
    <row r="2453" ht="15.75" customHeight="1">
      <c r="A2453" s="45"/>
      <c r="B2453" s="18" t="s">
        <v>5942</v>
      </c>
      <c r="C2453" s="26"/>
      <c r="D2453" s="18" t="s">
        <v>10041</v>
      </c>
      <c r="E2453" s="56"/>
      <c r="F2453" s="57" t="s">
        <v>7173</v>
      </c>
      <c r="G2453" s="49">
        <f t="array" ref="G2453">MAX(IF(INSTOCK!$H$3:$H$6125=B2453,INSTOCK!$K$3:$K$6125))</f>
        <v>1944.53</v>
      </c>
      <c r="H2453" s="50">
        <f t="array" ref="H2453">SUM(IF(INSTOCK!$H$3:$H$6125=B2453,INSTOCK!$I$3:$I$6125))</f>
        <v>1</v>
      </c>
      <c r="I2453" s="50" t="str">
        <f>ARRAY_CONSTRAIN(ARRAYFORMULA(SUM(IF([3]!Table13[ID]=B2453,[3]!Table13[QTY]))), 1, 1)</f>
        <v>#ERROR!</v>
      </c>
      <c r="J2453" s="50" t="str">
        <f>TABLEITEM!$H$3:$H$2749-TABLEITEM!$I$3:$I$2749</f>
        <v>#ERROR!</v>
      </c>
    </row>
    <row r="2454" ht="15.75" customHeight="1">
      <c r="A2454" s="45"/>
      <c r="B2454" s="18" t="s">
        <v>5945</v>
      </c>
      <c r="C2454" s="26"/>
      <c r="D2454" s="18" t="s">
        <v>10042</v>
      </c>
      <c r="E2454" s="56"/>
      <c r="F2454" s="57" t="s">
        <v>7173</v>
      </c>
      <c r="G2454" s="49">
        <f t="array" ref="G2454">MAX(IF(INSTOCK!$H$3:$H$6125=B2454,INSTOCK!$K$3:$K$6125))</f>
        <v>4406.68</v>
      </c>
      <c r="H2454" s="50">
        <f t="array" ref="H2454">SUM(IF(INSTOCK!$H$3:$H$6125=B2454,INSTOCK!$I$3:$I$6125))</f>
        <v>1</v>
      </c>
      <c r="I2454" s="50" t="str">
        <f>ARRAY_CONSTRAIN(ARRAYFORMULA(SUM(IF([3]!Table13[ID]=B2454,[3]!Table13[QTY]))), 1, 1)</f>
        <v>#ERROR!</v>
      </c>
      <c r="J2454" s="50" t="str">
        <f>TABLEITEM!$H$3:$H$2749-TABLEITEM!$I$3:$I$2749</f>
        <v>#ERROR!</v>
      </c>
    </row>
    <row r="2455" ht="15.75" customHeight="1">
      <c r="A2455" s="45"/>
      <c r="B2455" s="10" t="s">
        <v>5953</v>
      </c>
      <c r="C2455" s="26"/>
      <c r="D2455" s="18" t="s">
        <v>10043</v>
      </c>
      <c r="E2455" s="56"/>
      <c r="F2455" s="57" t="s">
        <v>7173</v>
      </c>
      <c r="G2455" s="49">
        <f t="array" ref="G2455">MAX(IF(INSTOCK!$H$3:$H$6125=B2455,INSTOCK!$K$3:$K$6125))</f>
        <v>14500</v>
      </c>
      <c r="H2455" s="50">
        <f t="array" ref="H2455">SUM(IF(INSTOCK!$H$3:$H$6125=B2455,INSTOCK!$I$3:$I$6125))</f>
        <v>1</v>
      </c>
      <c r="I2455" s="50" t="str">
        <f>ARRAY_CONSTRAIN(ARRAYFORMULA(SUM(IF([3]!Table13[ID]=B2455,[3]!Table13[QTY]))), 1, 1)</f>
        <v>#ERROR!</v>
      </c>
      <c r="J2455" s="50" t="str">
        <f>TABLEITEM!$H$3:$H$2749-TABLEITEM!$I$3:$I$2749</f>
        <v>#ERROR!</v>
      </c>
    </row>
    <row r="2456" ht="15.75" customHeight="1">
      <c r="A2456" s="45"/>
      <c r="B2456" s="10" t="s">
        <v>5954</v>
      </c>
      <c r="C2456" s="26"/>
      <c r="D2456" s="10" t="s">
        <v>10044</v>
      </c>
      <c r="E2456" s="56"/>
      <c r="F2456" s="57" t="s">
        <v>7173</v>
      </c>
      <c r="G2456" s="49">
        <f t="array" ref="G2456">MAX(IF(INSTOCK!$H$3:$H$6125=B2456,INSTOCK!$K$3:$K$6125))</f>
        <v>1350</v>
      </c>
      <c r="H2456" s="50">
        <f t="array" ref="H2456">SUM(IF(INSTOCK!$H$3:$H$6125=B2456,INSTOCK!$I$3:$I$6125))</f>
        <v>1</v>
      </c>
      <c r="I2456" s="50" t="str">
        <f>ARRAY_CONSTRAIN(ARRAYFORMULA(SUM(IF([3]!Table13[ID]=B2456,[3]!Table13[QTY]))), 1, 1)</f>
        <v>#ERROR!</v>
      </c>
      <c r="J2456" s="50" t="str">
        <f>TABLEITEM!$H$3:$H$2749-TABLEITEM!$I$3:$I$2749</f>
        <v>#ERROR!</v>
      </c>
    </row>
    <row r="2457" ht="15.75" customHeight="1">
      <c r="A2457" s="45"/>
      <c r="B2457" s="18" t="s">
        <v>5956</v>
      </c>
      <c r="C2457" s="26"/>
      <c r="D2457" s="18" t="s">
        <v>10045</v>
      </c>
      <c r="E2457" s="56"/>
      <c r="F2457" s="57" t="s">
        <v>7173</v>
      </c>
      <c r="G2457" s="49">
        <f t="array" ref="G2457">MAX(IF(INSTOCK!$H$3:$H$6125=B2457,INSTOCK!$K$3:$K$6125))</f>
        <v>320</v>
      </c>
      <c r="H2457" s="50">
        <f t="array" ref="H2457">SUM(IF(INSTOCK!$H$3:$H$6125=B2457,INSTOCK!$I$3:$I$6125))</f>
        <v>4</v>
      </c>
      <c r="I2457" s="50" t="str">
        <f>ARRAY_CONSTRAIN(ARRAYFORMULA(SUM(IF([3]!Table13[ID]=B2457,[3]!Table13[QTY]))), 1, 1)</f>
        <v>#ERROR!</v>
      </c>
      <c r="J2457" s="50" t="str">
        <f>TABLEITEM!$H$3:$H$2749-TABLEITEM!$I$3:$I$2749</f>
        <v>#ERROR!</v>
      </c>
    </row>
    <row r="2458" ht="15.75" customHeight="1">
      <c r="A2458" s="45"/>
      <c r="B2458" s="18" t="s">
        <v>5963</v>
      </c>
      <c r="C2458" s="26"/>
      <c r="D2458" s="18" t="s">
        <v>5963</v>
      </c>
      <c r="E2458" s="56" t="s">
        <v>1487</v>
      </c>
      <c r="F2458" s="57" t="s">
        <v>7173</v>
      </c>
      <c r="G2458" s="49">
        <f t="array" ref="G2458">MAX(IF(INSTOCK!$H$3:$H$6125=B2458,INSTOCK!$K$3:$K$6125))</f>
        <v>1040</v>
      </c>
      <c r="H2458" s="50">
        <f t="array" ref="H2458">SUM(IF(INSTOCK!$H$3:$H$6125=B2458,INSTOCK!$I$3:$I$6125))</f>
        <v>20</v>
      </c>
      <c r="I2458" s="50" t="str">
        <f>ARRAY_CONSTRAIN(ARRAYFORMULA(SUM(IF([3]!Table13[ID]=B2458,[3]!Table13[QTY]))), 1, 1)</f>
        <v>#ERROR!</v>
      </c>
      <c r="J2458" s="50" t="str">
        <f>TABLEITEM!$H$3:$H$2749-TABLEITEM!$I$3:$I$2749</f>
        <v>#ERROR!</v>
      </c>
    </row>
    <row r="2459" ht="15.75" customHeight="1">
      <c r="A2459" s="45"/>
      <c r="B2459" s="10" t="s">
        <v>5970</v>
      </c>
      <c r="C2459" s="26"/>
      <c r="D2459" s="10" t="s">
        <v>10046</v>
      </c>
      <c r="E2459" s="56" t="s">
        <v>1487</v>
      </c>
      <c r="F2459" s="57" t="s">
        <v>7173</v>
      </c>
      <c r="G2459" s="49">
        <f t="array" ref="G2459">MAX(IF(INSTOCK!$H$3:$H$6125=B2459,INSTOCK!$K$3:$K$6125))</f>
        <v>547.2</v>
      </c>
      <c r="H2459" s="50">
        <f t="array" ref="H2459">SUM(IF(INSTOCK!$H$3:$H$6125=B2459,INSTOCK!$I$3:$I$6125))</f>
        <v>3</v>
      </c>
      <c r="I2459" s="50" t="str">
        <f>ARRAY_CONSTRAIN(ARRAYFORMULA(SUM(IF([3]!Table13[ID]=B2459,[3]!Table13[QTY]))), 1, 1)</f>
        <v>#ERROR!</v>
      </c>
      <c r="J2459" s="50" t="str">
        <f>TABLEITEM!$H$3:$H$2749-TABLEITEM!$I$3:$I$2749</f>
        <v>#ERROR!</v>
      </c>
    </row>
    <row r="2460" ht="15.75" customHeight="1">
      <c r="A2460" s="45"/>
      <c r="B2460" s="10" t="s">
        <v>5972</v>
      </c>
      <c r="C2460" s="26"/>
      <c r="D2460" s="10" t="s">
        <v>10047</v>
      </c>
      <c r="E2460" s="56" t="s">
        <v>1487</v>
      </c>
      <c r="F2460" s="57" t="s">
        <v>7173</v>
      </c>
      <c r="G2460" s="49">
        <f t="array" ref="G2460">MAX(IF(INSTOCK!$H$3:$H$6125=B2460,INSTOCK!$K$3:$K$6125))</f>
        <v>984</v>
      </c>
      <c r="H2460" s="50">
        <f t="array" ref="H2460">SUM(IF(INSTOCK!$H$3:$H$6125=B2460,INSTOCK!$I$3:$I$6125))</f>
        <v>1</v>
      </c>
      <c r="I2460" s="50" t="str">
        <f>ARRAY_CONSTRAIN(ARRAYFORMULA(SUM(IF([3]!Table13[ID]=B2460,[3]!Table13[QTY]))), 1, 1)</f>
        <v>#ERROR!</v>
      </c>
      <c r="J2460" s="50" t="str">
        <f>TABLEITEM!$H$3:$H$2749-TABLEITEM!$I$3:$I$2749</f>
        <v>#ERROR!</v>
      </c>
    </row>
    <row r="2461" ht="15.75" customHeight="1">
      <c r="A2461" s="45"/>
      <c r="B2461" s="18" t="s">
        <v>5974</v>
      </c>
      <c r="C2461" s="26"/>
      <c r="D2461" s="10" t="s">
        <v>10048</v>
      </c>
      <c r="E2461" s="56" t="s">
        <v>1487</v>
      </c>
      <c r="F2461" s="57" t="s">
        <v>7173</v>
      </c>
      <c r="G2461" s="49">
        <f t="array" ref="G2461">MAX(IF(INSTOCK!$H$3:$H$6125=B2461,INSTOCK!$K$3:$K$6125))</f>
        <v>806.4</v>
      </c>
      <c r="H2461" s="50">
        <f t="array" ref="H2461">SUM(IF(INSTOCK!$H$3:$H$6125=B2461,INSTOCK!$I$3:$I$6125))</f>
        <v>2</v>
      </c>
      <c r="I2461" s="50" t="str">
        <f>ARRAY_CONSTRAIN(ARRAYFORMULA(SUM(IF([3]!Table13[ID]=B2461,[3]!Table13[QTY]))), 1, 1)</f>
        <v>#ERROR!</v>
      </c>
      <c r="J2461" s="50" t="str">
        <f>TABLEITEM!$H$3:$H$2749-TABLEITEM!$I$3:$I$2749</f>
        <v>#ERROR!</v>
      </c>
    </row>
    <row r="2462" ht="15.75" customHeight="1">
      <c r="A2462" s="45"/>
      <c r="B2462" s="18" t="s">
        <v>5975</v>
      </c>
      <c r="C2462" s="26"/>
      <c r="D2462" s="18" t="s">
        <v>10049</v>
      </c>
      <c r="E2462" s="56" t="s">
        <v>1487</v>
      </c>
      <c r="F2462" s="57" t="s">
        <v>7173</v>
      </c>
      <c r="G2462" s="49">
        <f t="array" ref="G2462">MAX(IF(INSTOCK!$H$3:$H$6125=B2462,INSTOCK!$K$3:$K$6125))</f>
        <v>926.4</v>
      </c>
      <c r="H2462" s="50">
        <f t="array" ref="H2462">SUM(IF(INSTOCK!$H$3:$H$6125=B2462,INSTOCK!$I$3:$I$6125))</f>
        <v>1</v>
      </c>
      <c r="I2462" s="50" t="str">
        <f>ARRAY_CONSTRAIN(ARRAYFORMULA(SUM(IF([3]!Table13[ID]=B2462,[3]!Table13[QTY]))), 1, 1)</f>
        <v>#ERROR!</v>
      </c>
      <c r="J2462" s="50" t="str">
        <f>TABLEITEM!$H$3:$H$2749-TABLEITEM!$I$3:$I$2749</f>
        <v>#ERROR!</v>
      </c>
    </row>
    <row r="2463" ht="15.75" customHeight="1">
      <c r="A2463" s="45"/>
      <c r="B2463" s="18" t="s">
        <v>5984</v>
      </c>
      <c r="C2463" s="26"/>
      <c r="D2463" s="18" t="s">
        <v>10050</v>
      </c>
      <c r="E2463" s="56" t="s">
        <v>1487</v>
      </c>
      <c r="F2463" s="57" t="s">
        <v>7173</v>
      </c>
      <c r="G2463" s="49">
        <f t="array" ref="G2463">MAX(IF(INSTOCK!$H$3:$H$6125=B2463,INSTOCK!$K$3:$K$6125))</f>
        <v>160</v>
      </c>
      <c r="H2463" s="50">
        <f t="array" ref="H2463">SUM(IF(INSTOCK!$H$3:$H$6125=B2463,INSTOCK!$I$3:$I$6125))</f>
        <v>14</v>
      </c>
      <c r="I2463" s="50" t="str">
        <f>ARRAY_CONSTRAIN(ARRAYFORMULA(SUM(IF([3]!Table13[ID]=B2463,[3]!Table13[QTY]))), 1, 1)</f>
        <v>#ERROR!</v>
      </c>
      <c r="J2463" s="50" t="str">
        <f>TABLEITEM!$H$3:$H$2749-TABLEITEM!$I$3:$I$2749</f>
        <v>#ERROR!</v>
      </c>
    </row>
    <row r="2464" ht="15.75" customHeight="1">
      <c r="A2464" s="45"/>
      <c r="B2464" s="18" t="s">
        <v>5990</v>
      </c>
      <c r="C2464" s="26"/>
      <c r="D2464" s="18" t="s">
        <v>10051</v>
      </c>
      <c r="E2464" s="56"/>
      <c r="F2464" s="57" t="s">
        <v>7173</v>
      </c>
      <c r="G2464" s="49">
        <f t="array" ref="G2464">MAX(IF(INSTOCK!$H$3:$H$6125=B2464,INSTOCK!$K$3:$K$6125))</f>
        <v>36</v>
      </c>
      <c r="H2464" s="50">
        <f t="array" ref="H2464">SUM(IF(INSTOCK!$H$3:$H$6125=B2464,INSTOCK!$I$3:$I$6125))</f>
        <v>10</v>
      </c>
      <c r="I2464" s="50" t="str">
        <f>ARRAY_CONSTRAIN(ARRAYFORMULA(SUM(IF([3]!Table13[ID]=B2464,[3]!Table13[QTY]))), 1, 1)</f>
        <v>#ERROR!</v>
      </c>
      <c r="J2464" s="50" t="str">
        <f>TABLEITEM!$H$3:$H$2749-TABLEITEM!$I$3:$I$2749</f>
        <v>#ERROR!</v>
      </c>
    </row>
    <row r="2465" ht="15.75" customHeight="1">
      <c r="A2465" s="45"/>
      <c r="B2465" s="18" t="s">
        <v>5995</v>
      </c>
      <c r="C2465" s="26"/>
      <c r="D2465" s="18" t="s">
        <v>10052</v>
      </c>
      <c r="E2465" s="56"/>
      <c r="F2465" s="57" t="s">
        <v>7173</v>
      </c>
      <c r="G2465" s="49">
        <f t="array" ref="G2465">MAX(IF(INSTOCK!$H$3:$H$6125=B2465,INSTOCK!$K$3:$K$6125))</f>
        <v>28</v>
      </c>
      <c r="H2465" s="50">
        <f t="array" ref="H2465">SUM(IF(INSTOCK!$H$3:$H$6125=B2465,INSTOCK!$I$3:$I$6125))</f>
        <v>5</v>
      </c>
      <c r="I2465" s="50" t="str">
        <f>ARRAY_CONSTRAIN(ARRAYFORMULA(SUM(IF([3]!Table13[ID]=B2465,[3]!Table13[QTY]))), 1, 1)</f>
        <v>#ERROR!</v>
      </c>
      <c r="J2465" s="50" t="str">
        <f>TABLEITEM!$H$3:$H$2749-TABLEITEM!$I$3:$I$2749</f>
        <v>#ERROR!</v>
      </c>
    </row>
    <row r="2466" ht="15.75" customHeight="1">
      <c r="A2466" s="45"/>
      <c r="B2466" s="18" t="s">
        <v>6005</v>
      </c>
      <c r="C2466" s="26"/>
      <c r="D2466" s="18" t="s">
        <v>10053</v>
      </c>
      <c r="E2466" s="56"/>
      <c r="F2466" s="57" t="s">
        <v>7173</v>
      </c>
      <c r="G2466" s="49">
        <f t="array" ref="G2466">MAX(IF(INSTOCK!$H$3:$H$6125=B2466,INSTOCK!$K$3:$K$6125))</f>
        <v>85</v>
      </c>
      <c r="H2466" s="50">
        <f t="array" ref="H2466">SUM(IF(INSTOCK!$H$3:$H$6125=B2466,INSTOCK!$I$3:$I$6125))</f>
        <v>20</v>
      </c>
      <c r="I2466" s="50" t="str">
        <f>ARRAY_CONSTRAIN(ARRAYFORMULA(SUM(IF([3]!Table13[ID]=B2466,[3]!Table13[QTY]))), 1, 1)</f>
        <v>#ERROR!</v>
      </c>
      <c r="J2466" s="50" t="str">
        <f>TABLEITEM!$H$3:$H$2749-TABLEITEM!$I$3:$I$2749</f>
        <v>#ERROR!</v>
      </c>
    </row>
    <row r="2467" ht="15.75" customHeight="1">
      <c r="A2467" s="45"/>
      <c r="B2467" s="18" t="s">
        <v>6008</v>
      </c>
      <c r="C2467" s="26"/>
      <c r="D2467" s="18" t="s">
        <v>10054</v>
      </c>
      <c r="E2467" s="56"/>
      <c r="F2467" s="57" t="s">
        <v>7173</v>
      </c>
      <c r="G2467" s="49">
        <f t="array" ref="G2467">MAX(IF(INSTOCK!$H$3:$H$6125=B2467,INSTOCK!$K$3:$K$6125))</f>
        <v>0.6</v>
      </c>
      <c r="H2467" s="50">
        <f t="array" ref="H2467">SUM(IF(INSTOCK!$H$3:$H$6125=B2467,INSTOCK!$I$3:$I$6125))</f>
        <v>1000</v>
      </c>
      <c r="I2467" s="50" t="str">
        <f>ARRAY_CONSTRAIN(ARRAYFORMULA(SUM(IF([3]!Table13[ID]=B2467,[3]!Table13[QTY]))), 1, 1)</f>
        <v>#ERROR!</v>
      </c>
      <c r="J2467" s="50" t="str">
        <f>TABLEITEM!$H$3:$H$2749-TABLEITEM!$I$3:$I$2749</f>
        <v>#ERROR!</v>
      </c>
    </row>
    <row r="2468" ht="15.75" customHeight="1">
      <c r="A2468" s="45"/>
      <c r="B2468" s="18" t="s">
        <v>6017</v>
      </c>
      <c r="C2468" s="26"/>
      <c r="D2468" s="18" t="s">
        <v>10050</v>
      </c>
      <c r="E2468" s="56"/>
      <c r="F2468" s="57" t="s">
        <v>7173</v>
      </c>
      <c r="G2468" s="49">
        <f t="array" ref="G2468">MAX(IF(INSTOCK!$H$3:$H$6125=B2468,INSTOCK!$K$3:$K$6125))</f>
        <v>270</v>
      </c>
      <c r="H2468" s="50">
        <f t="array" ref="H2468">SUM(IF(INSTOCK!$H$3:$H$6125=B2468,INSTOCK!$I$3:$I$6125))</f>
        <v>3</v>
      </c>
      <c r="I2468" s="50" t="str">
        <f>ARRAY_CONSTRAIN(ARRAYFORMULA(SUM(IF([3]!Table13[ID]=B2468,[3]!Table13[QTY]))), 1, 1)</f>
        <v>#ERROR!</v>
      </c>
      <c r="J2468" s="50" t="str">
        <f>TABLEITEM!$H$3:$H$2749-TABLEITEM!$I$3:$I$2749</f>
        <v>#ERROR!</v>
      </c>
    </row>
    <row r="2469" ht="15.75" customHeight="1">
      <c r="A2469" s="45"/>
      <c r="B2469" s="18" t="s">
        <v>6023</v>
      </c>
      <c r="C2469" s="26"/>
      <c r="D2469" s="18" t="s">
        <v>10055</v>
      </c>
      <c r="E2469" s="56"/>
      <c r="F2469" s="57" t="s">
        <v>7173</v>
      </c>
      <c r="G2469" s="49">
        <f t="array" ref="G2469">MAX(IF(INSTOCK!$H$3:$H$6125=B2469,INSTOCK!$K$3:$K$6125))</f>
        <v>90</v>
      </c>
      <c r="H2469" s="50">
        <f t="array" ref="H2469">SUM(IF(INSTOCK!$H$3:$H$6125=B2469,INSTOCK!$I$3:$I$6125))</f>
        <v>5</v>
      </c>
      <c r="I2469" s="50" t="str">
        <f>ARRAY_CONSTRAIN(ARRAYFORMULA(SUM(IF([3]!Table13[ID]=B2469,[3]!Table13[QTY]))), 1, 1)</f>
        <v>#ERROR!</v>
      </c>
      <c r="J2469" s="50" t="str">
        <f>TABLEITEM!$H$3:$H$2749-TABLEITEM!$I$3:$I$2749</f>
        <v>#ERROR!</v>
      </c>
    </row>
    <row r="2470" ht="15.75" customHeight="1">
      <c r="A2470" s="45"/>
      <c r="B2470" s="18" t="s">
        <v>6026</v>
      </c>
      <c r="C2470" s="26"/>
      <c r="D2470" s="18" t="s">
        <v>10056</v>
      </c>
      <c r="E2470" s="56"/>
      <c r="F2470" s="57" t="s">
        <v>7173</v>
      </c>
      <c r="G2470" s="49">
        <f t="array" ref="G2470">MAX(IF(INSTOCK!$H$3:$H$6125=B2470,INSTOCK!$K$3:$K$6125))</f>
        <v>1932</v>
      </c>
      <c r="H2470" s="50">
        <f t="array" ref="H2470">SUM(IF(INSTOCK!$H$3:$H$6125=B2470,INSTOCK!$I$3:$I$6125))</f>
        <v>5</v>
      </c>
      <c r="I2470" s="50" t="str">
        <f>ARRAY_CONSTRAIN(ARRAYFORMULA(SUM(IF([3]!Table13[ID]=B2470,[3]!Table13[QTY]))), 1, 1)</f>
        <v>#ERROR!</v>
      </c>
      <c r="J2470" s="50" t="str">
        <f>TABLEITEM!$H$3:$H$2749-TABLEITEM!$I$3:$I$2749</f>
        <v>#ERROR!</v>
      </c>
    </row>
    <row r="2471" ht="15.75" customHeight="1">
      <c r="A2471" s="45"/>
      <c r="B2471" s="18" t="s">
        <v>6030</v>
      </c>
      <c r="C2471" s="26"/>
      <c r="D2471" s="18" t="s">
        <v>10057</v>
      </c>
      <c r="E2471" s="56"/>
      <c r="F2471" s="57" t="s">
        <v>7173</v>
      </c>
      <c r="G2471" s="49">
        <f t="array" ref="G2471">MAX(IF(INSTOCK!$H$3:$H$6125=B2471,INSTOCK!$K$3:$K$6125))</f>
        <v>320.16</v>
      </c>
      <c r="H2471" s="50">
        <f t="array" ref="H2471">SUM(IF(INSTOCK!$H$3:$H$6125=B2471,INSTOCK!$I$3:$I$6125))</f>
        <v>12</v>
      </c>
      <c r="I2471" s="50" t="str">
        <f>ARRAY_CONSTRAIN(ARRAYFORMULA(SUM(IF([3]!Table13[ID]=B2471,[3]!Table13[QTY]))), 1, 1)</f>
        <v>#ERROR!</v>
      </c>
      <c r="J2471" s="50" t="str">
        <f>TABLEITEM!$H$3:$H$2749-TABLEITEM!$I$3:$I$2749</f>
        <v>#ERROR!</v>
      </c>
    </row>
    <row r="2472" ht="15.75" customHeight="1">
      <c r="A2472" s="45"/>
      <c r="B2472" s="18" t="s">
        <v>6035</v>
      </c>
      <c r="C2472" s="26"/>
      <c r="D2472" s="18" t="s">
        <v>10058</v>
      </c>
      <c r="E2472" s="56"/>
      <c r="F2472" s="57" t="s">
        <v>7173</v>
      </c>
      <c r="G2472" s="49">
        <f t="array" ref="G2472">MAX(IF(INSTOCK!$H$3:$H$6125=B2472,INSTOCK!$K$3:$K$6125))</f>
        <v>105</v>
      </c>
      <c r="H2472" s="50">
        <f t="array" ref="H2472">SUM(IF(INSTOCK!$H$3:$H$6125=B2472,INSTOCK!$I$3:$I$6125))</f>
        <v>528.31</v>
      </c>
      <c r="I2472" s="50" t="str">
        <f>ARRAY_CONSTRAIN(ARRAYFORMULA(SUM(IF([3]!Table13[ID]=B2472,[3]!Table13[QTY]))), 1, 1)</f>
        <v>#ERROR!</v>
      </c>
      <c r="J2472" s="50" t="str">
        <f>TABLEITEM!$H$3:$H$2749-TABLEITEM!$I$3:$I$2749</f>
        <v>#ERROR!</v>
      </c>
    </row>
    <row r="2473" ht="15.75" customHeight="1">
      <c r="A2473" s="45"/>
      <c r="B2473" s="18" t="s">
        <v>6045</v>
      </c>
      <c r="C2473" s="26"/>
      <c r="D2473" s="18" t="s">
        <v>10059</v>
      </c>
      <c r="E2473" s="56" t="s">
        <v>7188</v>
      </c>
      <c r="F2473" s="57" t="s">
        <v>7173</v>
      </c>
      <c r="G2473" s="49">
        <f t="array" ref="G2473">MAX(IF(INSTOCK!$H$3:$H$6125=B2473,INSTOCK!$K$3:$K$6125))</f>
        <v>2990</v>
      </c>
      <c r="H2473" s="50">
        <f t="array" ref="H2473">SUM(IF(INSTOCK!$H$3:$H$6125=B2473,INSTOCK!$I$3:$I$6125))</f>
        <v>1</v>
      </c>
      <c r="I2473" s="50" t="str">
        <f>ARRAY_CONSTRAIN(ARRAYFORMULA(SUM(IF([3]!Table13[ID]=B2473,[3]!Table13[QTY]))), 1, 1)</f>
        <v>#ERROR!</v>
      </c>
      <c r="J2473" s="50" t="str">
        <f>TABLEITEM!$H$3:$H$2749-TABLEITEM!$I$3:$I$2749</f>
        <v>#ERROR!</v>
      </c>
    </row>
    <row r="2474" ht="15.75" customHeight="1">
      <c r="A2474" s="45"/>
      <c r="B2474" s="18" t="s">
        <v>6050</v>
      </c>
      <c r="C2474" s="26"/>
      <c r="D2474" s="10" t="s">
        <v>9869</v>
      </c>
      <c r="E2474" s="56" t="s">
        <v>1907</v>
      </c>
      <c r="F2474" s="57" t="s">
        <v>7173</v>
      </c>
      <c r="G2474" s="49">
        <f t="array" ref="G2474">MAX(IF(INSTOCK!$H$3:$H$6125=B2474,INSTOCK!$K$3:$K$6125))</f>
        <v>381.5</v>
      </c>
      <c r="H2474" s="50">
        <f t="array" ref="H2474">SUM(IF(INSTOCK!$H$3:$H$6125=B2474,INSTOCK!$I$3:$I$6125))</f>
        <v>2</v>
      </c>
      <c r="I2474" s="50" t="str">
        <f>ARRAY_CONSTRAIN(ARRAYFORMULA(SUM(IF([3]!Table13[ID]=B2474,[3]!Table13[QTY]))), 1, 1)</f>
        <v>#ERROR!</v>
      </c>
      <c r="J2474" s="50" t="str">
        <f>TABLEITEM!$H$3:$H$2749-TABLEITEM!$I$3:$I$2749</f>
        <v>#ERROR!</v>
      </c>
    </row>
    <row r="2475" ht="15.75" customHeight="1">
      <c r="A2475" s="45"/>
      <c r="B2475" s="18">
        <v>5.75060055E9</v>
      </c>
      <c r="C2475" s="26"/>
      <c r="D2475" s="18" t="s">
        <v>10060</v>
      </c>
      <c r="E2475" s="56" t="s">
        <v>1481</v>
      </c>
      <c r="F2475" s="57" t="s">
        <v>7173</v>
      </c>
      <c r="G2475" s="49">
        <f t="array" ref="G2475">MAX(IF(INSTOCK!$H$3:$H$6125=B2475,INSTOCK!$K$3:$K$6125))</f>
        <v>28</v>
      </c>
      <c r="H2475" s="50">
        <f t="array" ref="H2475">SUM(IF(INSTOCK!$H$3:$H$6125=B2475,INSTOCK!$I$3:$I$6125))</f>
        <v>20</v>
      </c>
      <c r="I2475" s="50" t="str">
        <f>ARRAY_CONSTRAIN(ARRAYFORMULA(SUM(IF([3]!Table13[ID]=B2475,[3]!Table13[QTY]))), 1, 1)</f>
        <v>#ERROR!</v>
      </c>
      <c r="J2475" s="50" t="str">
        <f>TABLEITEM!$H$3:$H$2749-TABLEITEM!$I$3:$I$2749</f>
        <v>#ERROR!</v>
      </c>
    </row>
    <row r="2476" ht="15.75" customHeight="1">
      <c r="A2476" s="45"/>
      <c r="B2476" s="18">
        <v>5.75069055E9</v>
      </c>
      <c r="C2476" s="26"/>
      <c r="D2476" s="18" t="s">
        <v>10061</v>
      </c>
      <c r="E2476" s="56" t="s">
        <v>1481</v>
      </c>
      <c r="F2476" s="57" t="s">
        <v>7173</v>
      </c>
      <c r="G2476" s="49">
        <f t="array" ref="G2476">MAX(IF(INSTOCK!$H$3:$H$6125=B2476,INSTOCK!$K$3:$K$6125))</f>
        <v>77.85</v>
      </c>
      <c r="H2476" s="50">
        <f t="array" ref="H2476">SUM(IF(INSTOCK!$H$3:$H$6125=B2476,INSTOCK!$I$3:$I$6125))</f>
        <v>5</v>
      </c>
      <c r="I2476" s="50" t="str">
        <f>ARRAY_CONSTRAIN(ARRAYFORMULA(SUM(IF([3]!Table13[ID]=B2476,[3]!Table13[QTY]))), 1, 1)</f>
        <v>#ERROR!</v>
      </c>
      <c r="J2476" s="50" t="str">
        <f>TABLEITEM!$H$3:$H$2749-TABLEITEM!$I$3:$I$2749</f>
        <v>#ERROR!</v>
      </c>
    </row>
    <row r="2477" ht="15.75" customHeight="1">
      <c r="A2477" s="45"/>
      <c r="B2477" s="18">
        <v>5.75040055E9</v>
      </c>
      <c r="C2477" s="26"/>
      <c r="D2477" s="18" t="s">
        <v>10062</v>
      </c>
      <c r="E2477" s="56" t="s">
        <v>1481</v>
      </c>
      <c r="F2477" s="57" t="s">
        <v>7173</v>
      </c>
      <c r="G2477" s="49">
        <f t="array" ref="G2477">MAX(IF(INSTOCK!$H$3:$H$6125=B2477,INSTOCK!$K$3:$K$6125))</f>
        <v>65.7</v>
      </c>
      <c r="H2477" s="50">
        <f t="array" ref="H2477">SUM(IF(INSTOCK!$H$3:$H$6125=B2477,INSTOCK!$I$3:$I$6125))</f>
        <v>62</v>
      </c>
      <c r="I2477" s="50" t="str">
        <f>ARRAY_CONSTRAIN(ARRAYFORMULA(SUM(IF([3]!Table13[ID]=B2477,[3]!Table13[QTY]))), 1, 1)</f>
        <v>#ERROR!</v>
      </c>
      <c r="J2477" s="50" t="str">
        <f>TABLEITEM!$H$3:$H$2749-TABLEITEM!$I$3:$I$2749</f>
        <v>#ERROR!</v>
      </c>
    </row>
    <row r="2478" ht="15.75" customHeight="1">
      <c r="A2478" s="45"/>
      <c r="B2478" s="18" t="s">
        <v>6012</v>
      </c>
      <c r="C2478" s="26"/>
      <c r="D2478" s="18" t="s">
        <v>10063</v>
      </c>
      <c r="E2478" s="56" t="s">
        <v>1481</v>
      </c>
      <c r="F2478" s="57" t="s">
        <v>7173</v>
      </c>
      <c r="G2478" s="49">
        <f t="array" ref="G2478">MAX(IF(INSTOCK!$H$3:$H$6125=B2478,INSTOCK!$K$3:$K$6125))</f>
        <v>68.85</v>
      </c>
      <c r="H2478" s="50">
        <f t="array" ref="H2478">SUM(IF(INSTOCK!$H$3:$H$6125=B2478,INSTOCK!$I$3:$I$6125))</f>
        <v>23</v>
      </c>
      <c r="I2478" s="50" t="str">
        <f>ARRAY_CONSTRAIN(ARRAYFORMULA(SUM(IF([3]!Table13[ID]=B2478,[3]!Table13[QTY]))), 1, 1)</f>
        <v>#ERROR!</v>
      </c>
      <c r="J2478" s="50" t="str">
        <f>TABLEITEM!$H$3:$H$2749-TABLEITEM!$I$3:$I$2749</f>
        <v>#ERROR!</v>
      </c>
    </row>
    <row r="2479" ht="15.75" customHeight="1">
      <c r="A2479" s="45"/>
      <c r="B2479" s="18">
        <v>7.3110155E8</v>
      </c>
      <c r="C2479" s="26"/>
      <c r="D2479" s="18" t="s">
        <v>10064</v>
      </c>
      <c r="E2479" s="56" t="s">
        <v>1481</v>
      </c>
      <c r="F2479" s="57" t="s">
        <v>7173</v>
      </c>
      <c r="G2479" s="49">
        <f t="array" ref="G2479">MAX(IF(INSTOCK!$H$3:$H$6125=B2479,INSTOCK!$K$3:$K$6125))</f>
        <v>7.65</v>
      </c>
      <c r="H2479" s="50">
        <f t="array" ref="H2479">SUM(IF(INSTOCK!$H$3:$H$6125=B2479,INSTOCK!$I$3:$I$6125))</f>
        <v>140</v>
      </c>
      <c r="I2479" s="50" t="str">
        <f>ARRAY_CONSTRAIN(ARRAYFORMULA(SUM(IF([3]!Table13[ID]=B2479,[3]!Table13[QTY]))), 1, 1)</f>
        <v>#ERROR!</v>
      </c>
      <c r="J2479" s="50" t="str">
        <f>TABLEITEM!$H$3:$H$2749-TABLEITEM!$I$3:$I$2749</f>
        <v>#ERROR!</v>
      </c>
    </row>
    <row r="2480" ht="15.75" customHeight="1">
      <c r="A2480" s="45"/>
      <c r="B2480" s="18">
        <v>5.75049055E9</v>
      </c>
      <c r="C2480" s="26"/>
      <c r="D2480" s="18" t="s">
        <v>10065</v>
      </c>
      <c r="E2480" s="56" t="s">
        <v>1481</v>
      </c>
      <c r="F2480" s="57" t="s">
        <v>7173</v>
      </c>
      <c r="G2480" s="49">
        <f t="array" ref="G2480">MAX(IF(INSTOCK!$H$3:$H$6125=B2480,INSTOCK!$K$3:$K$6125))</f>
        <v>61.65</v>
      </c>
      <c r="H2480" s="50">
        <f t="array" ref="H2480">SUM(IF(INSTOCK!$H$3:$H$6125=B2480,INSTOCK!$I$3:$I$6125))</f>
        <v>20</v>
      </c>
      <c r="I2480" s="50" t="str">
        <f>ARRAY_CONSTRAIN(ARRAYFORMULA(SUM(IF([3]!Table13[ID]=B2480,[3]!Table13[QTY]))), 1, 1)</f>
        <v>#ERROR!</v>
      </c>
      <c r="J2480" s="50" t="str">
        <f>TABLEITEM!$H$3:$H$2749-TABLEITEM!$I$3:$I$2749</f>
        <v>#ERROR!</v>
      </c>
    </row>
    <row r="2481" ht="15.75" customHeight="1">
      <c r="A2481" s="45"/>
      <c r="B2481" s="18" t="s">
        <v>6055</v>
      </c>
      <c r="C2481" s="26"/>
      <c r="D2481" s="18" t="s">
        <v>10066</v>
      </c>
      <c r="E2481" s="56" t="s">
        <v>7647</v>
      </c>
      <c r="F2481" s="57" t="s">
        <v>7173</v>
      </c>
      <c r="G2481" s="49">
        <f t="array" ref="G2481">MAX(IF(INSTOCK!$H$3:$H$6125=B2481,INSTOCK!$K$3:$K$6125))</f>
        <v>7300</v>
      </c>
      <c r="H2481" s="50">
        <f t="array" ref="H2481">SUM(IF(INSTOCK!$H$3:$H$6125=B2481,INSTOCK!$I$3:$I$6125))</f>
        <v>1</v>
      </c>
      <c r="I2481" s="50" t="str">
        <f>ARRAY_CONSTRAIN(ARRAYFORMULA(SUM(IF([3]!Table13[ID]=B2481,[3]!Table13[QTY]))), 1, 1)</f>
        <v>#ERROR!</v>
      </c>
      <c r="J2481" s="50" t="str">
        <f>TABLEITEM!$H$3:$H$2749-TABLEITEM!$I$3:$I$2749</f>
        <v>#ERROR!</v>
      </c>
    </row>
    <row r="2482" ht="15.75" customHeight="1">
      <c r="A2482" s="45"/>
      <c r="B2482" s="18" t="s">
        <v>6058</v>
      </c>
      <c r="C2482" s="26"/>
      <c r="D2482" s="18" t="s">
        <v>10067</v>
      </c>
      <c r="E2482" s="56" t="s">
        <v>9138</v>
      </c>
      <c r="F2482" s="57" t="s">
        <v>7173</v>
      </c>
      <c r="G2482" s="49">
        <f t="array" ref="G2482">MAX(IF(INSTOCK!$H$3:$H$6125=B2482,INSTOCK!$K$3:$K$6125))</f>
        <v>648</v>
      </c>
      <c r="H2482" s="50">
        <f t="array" ref="H2482">SUM(IF(INSTOCK!$H$3:$H$6125=B2482,INSTOCK!$I$3:$I$6125))</f>
        <v>6</v>
      </c>
      <c r="I2482" s="50" t="str">
        <f>ARRAY_CONSTRAIN(ARRAYFORMULA(SUM(IF([3]!Table13[ID]=B2482,[3]!Table13[QTY]))), 1, 1)</f>
        <v>#ERROR!</v>
      </c>
      <c r="J2482" s="50" t="str">
        <f>TABLEITEM!$H$3:$H$2749-TABLEITEM!$I$3:$I$2749</f>
        <v>#ERROR!</v>
      </c>
    </row>
    <row r="2483" ht="15.75" customHeight="1">
      <c r="A2483" s="45"/>
      <c r="B2483" s="18" t="s">
        <v>6061</v>
      </c>
      <c r="C2483" s="26"/>
      <c r="D2483" s="18" t="s">
        <v>10068</v>
      </c>
      <c r="E2483" s="56"/>
      <c r="F2483" s="57" t="s">
        <v>7173</v>
      </c>
      <c r="G2483" s="49">
        <f t="array" ref="G2483">MAX(IF(INSTOCK!$H$3:$H$6125=B2483,INSTOCK!$K$3:$K$6125))</f>
        <v>45</v>
      </c>
      <c r="H2483" s="50">
        <f t="array" ref="H2483">SUM(IF(INSTOCK!$H$3:$H$6125=B2483,INSTOCK!$I$3:$I$6125))</f>
        <v>6</v>
      </c>
      <c r="I2483" s="50" t="str">
        <f>ARRAY_CONSTRAIN(ARRAYFORMULA(SUM(IF([3]!Table13[ID]=B2483,[3]!Table13[QTY]))), 1, 1)</f>
        <v>#ERROR!</v>
      </c>
      <c r="J2483" s="50" t="str">
        <f>TABLEITEM!$H$3:$H$2749-TABLEITEM!$I$3:$I$2749</f>
        <v>#ERROR!</v>
      </c>
    </row>
    <row r="2484" ht="15.75" customHeight="1">
      <c r="A2484" s="45"/>
      <c r="B2484" s="10" t="s">
        <v>6066</v>
      </c>
      <c r="C2484" s="26"/>
      <c r="D2484" s="10" t="s">
        <v>10069</v>
      </c>
      <c r="E2484" s="48" t="s">
        <v>2231</v>
      </c>
      <c r="F2484" s="57" t="s">
        <v>7173</v>
      </c>
      <c r="G2484" s="49">
        <f t="array" ref="G2484">MAX(IF(INSTOCK!$H$3:$H$6125=B2484,INSTOCK!$K$3:$K$6125))</f>
        <v>540</v>
      </c>
      <c r="H2484" s="50">
        <f t="array" ref="H2484">SUM(IF(INSTOCK!$H$3:$H$6125=B2484,INSTOCK!$I$3:$I$6125))</f>
        <v>1</v>
      </c>
      <c r="I2484" s="50" t="str">
        <f>ARRAY_CONSTRAIN(ARRAYFORMULA(SUM(IF([3]!Table13[ID]=B2484,[3]!Table13[QTY]))), 1, 1)</f>
        <v>#ERROR!</v>
      </c>
      <c r="J2484" s="50" t="str">
        <f>TABLEITEM!$H$3:$H$2749-TABLEITEM!$I$3:$I$2749</f>
        <v>#ERROR!</v>
      </c>
    </row>
    <row r="2485" ht="15.75" customHeight="1">
      <c r="A2485" s="45"/>
      <c r="B2485" s="10" t="s">
        <v>6063</v>
      </c>
      <c r="C2485" s="26"/>
      <c r="D2485" s="18" t="s">
        <v>10070</v>
      </c>
      <c r="E2485" s="56" t="s">
        <v>2231</v>
      </c>
      <c r="F2485" s="57" t="s">
        <v>7173</v>
      </c>
      <c r="G2485" s="49">
        <f t="array" ref="G2485">MAX(IF(INSTOCK!$H$3:$H$6125=B2485,INSTOCK!$K$3:$K$6125))</f>
        <v>184.24</v>
      </c>
      <c r="H2485" s="50">
        <f t="array" ref="H2485">SUM(IF(INSTOCK!$H$3:$H$6125=B2485,INSTOCK!$I$3:$I$6125))</f>
        <v>10</v>
      </c>
      <c r="I2485" s="50" t="str">
        <f>ARRAY_CONSTRAIN(ARRAYFORMULA(SUM(IF([3]!Table13[ID]=B2485,[3]!Table13[QTY]))), 1, 1)</f>
        <v>#ERROR!</v>
      </c>
      <c r="J2485" s="50" t="str">
        <f>TABLEITEM!$H$3:$H$2749-TABLEITEM!$I$3:$I$2749</f>
        <v>#ERROR!</v>
      </c>
    </row>
    <row r="2486" ht="15.75" customHeight="1">
      <c r="A2486" s="45"/>
      <c r="B2486" s="18" t="s">
        <v>6070</v>
      </c>
      <c r="C2486" s="26"/>
      <c r="D2486" s="18" t="s">
        <v>10071</v>
      </c>
      <c r="E2486" s="56" t="s">
        <v>2231</v>
      </c>
      <c r="F2486" s="57" t="s">
        <v>7173</v>
      </c>
      <c r="G2486" s="49">
        <f t="array" ref="G2486">MAX(IF(INSTOCK!$H$3:$H$6125=B2486,INSTOCK!$K$3:$K$6125))</f>
        <v>11832</v>
      </c>
      <c r="H2486" s="50">
        <f t="array" ref="H2486">SUM(IF(INSTOCK!$H$3:$H$6125=B2486,INSTOCK!$I$3:$I$6125))</f>
        <v>5</v>
      </c>
      <c r="I2486" s="50" t="str">
        <f>ARRAY_CONSTRAIN(ARRAYFORMULA(SUM(IF([3]!Table13[ID]=B2486,[3]!Table13[QTY]))), 1, 1)</f>
        <v>#ERROR!</v>
      </c>
      <c r="J2486" s="50" t="str">
        <f>TABLEITEM!$H$3:$H$2749-TABLEITEM!$I$3:$I$2749</f>
        <v>#ERROR!</v>
      </c>
    </row>
    <row r="2487" ht="15.75" customHeight="1">
      <c r="A2487" s="45"/>
      <c r="B2487" s="10" t="s">
        <v>6071</v>
      </c>
      <c r="C2487" s="26"/>
      <c r="D2487" s="10" t="s">
        <v>10072</v>
      </c>
      <c r="E2487" s="48" t="s">
        <v>7188</v>
      </c>
      <c r="F2487" s="57" t="s">
        <v>7173</v>
      </c>
      <c r="G2487" s="49">
        <f t="array" ref="G2487">MAX(IF(INSTOCK!$H$3:$H$6125=B2487,INSTOCK!$K$3:$K$6125))</f>
        <v>8096</v>
      </c>
      <c r="H2487" s="50">
        <f t="array" ref="H2487">SUM(IF(INSTOCK!$H$3:$H$6125=B2487,INSTOCK!$I$3:$I$6125))</f>
        <v>1</v>
      </c>
      <c r="I2487" s="50" t="str">
        <f>ARRAY_CONSTRAIN(ARRAYFORMULA(SUM(IF([3]!Table13[ID]=B2487,[3]!Table13[QTY]))), 1, 1)</f>
        <v>#ERROR!</v>
      </c>
      <c r="J2487" s="50" t="str">
        <f>TABLEITEM!$H$3:$H$2749-TABLEITEM!$I$3:$I$2749</f>
        <v>#ERROR!</v>
      </c>
    </row>
    <row r="2488" ht="15.75" customHeight="1">
      <c r="A2488" s="45"/>
      <c r="B2488" s="18" t="s">
        <v>6072</v>
      </c>
      <c r="C2488" s="26"/>
      <c r="D2488" s="18" t="s">
        <v>10073</v>
      </c>
      <c r="E2488" s="48" t="s">
        <v>7188</v>
      </c>
      <c r="F2488" s="57" t="s">
        <v>7173</v>
      </c>
      <c r="G2488" s="49">
        <f t="array" ref="G2488">MAX(IF(INSTOCK!$H$3:$H$6125=B2488,INSTOCK!$K$3:$K$6125))</f>
        <v>1978</v>
      </c>
      <c r="H2488" s="50">
        <f t="array" ref="H2488">SUM(IF(INSTOCK!$H$3:$H$6125=B2488,INSTOCK!$I$3:$I$6125))</f>
        <v>5</v>
      </c>
      <c r="I2488" s="50" t="str">
        <f>ARRAY_CONSTRAIN(ARRAYFORMULA(SUM(IF([3]!Table13[ID]=B2488,[3]!Table13[QTY]))), 1, 1)</f>
        <v>#ERROR!</v>
      </c>
      <c r="J2488" s="50" t="str">
        <f>TABLEITEM!$H$3:$H$2749-TABLEITEM!$I$3:$I$2749</f>
        <v>#ERROR!</v>
      </c>
    </row>
    <row r="2489" ht="15.75" customHeight="1">
      <c r="A2489" s="45"/>
      <c r="B2489" s="10" t="s">
        <v>6073</v>
      </c>
      <c r="C2489" s="26"/>
      <c r="D2489" s="10" t="s">
        <v>10074</v>
      </c>
      <c r="E2489" s="48" t="s">
        <v>10075</v>
      </c>
      <c r="F2489" s="57" t="s">
        <v>7173</v>
      </c>
      <c r="G2489" s="49">
        <f t="array" ref="G2489">MAX(IF(INSTOCK!$H$3:$H$6125=B2489,INSTOCK!$K$3:$K$6125))</f>
        <v>4390</v>
      </c>
      <c r="H2489" s="50">
        <f t="array" ref="H2489">SUM(IF(INSTOCK!$H$3:$H$6125=B2489,INSTOCK!$I$3:$I$6125))</f>
        <v>1</v>
      </c>
      <c r="I2489" s="50" t="str">
        <f>ARRAY_CONSTRAIN(ARRAYFORMULA(SUM(IF([3]!Table13[ID]=B2489,[3]!Table13[QTY]))), 1, 1)</f>
        <v>#ERROR!</v>
      </c>
      <c r="J2489" s="50" t="str">
        <f>TABLEITEM!$H$3:$H$2749-TABLEITEM!$I$3:$I$2749</f>
        <v>#ERROR!</v>
      </c>
    </row>
    <row r="2490" ht="15.75" customHeight="1">
      <c r="A2490" s="45"/>
      <c r="B2490" s="18" t="s">
        <v>6074</v>
      </c>
      <c r="C2490" s="26"/>
      <c r="D2490" s="18" t="s">
        <v>10076</v>
      </c>
      <c r="E2490" s="56"/>
      <c r="F2490" s="57" t="s">
        <v>7173</v>
      </c>
      <c r="G2490" s="49">
        <f t="array" ref="G2490">MAX(IF(INSTOCK!$H$3:$H$6125=B2490,INSTOCK!$K$3:$K$6125))</f>
        <v>229</v>
      </c>
      <c r="H2490" s="50">
        <f t="array" ref="H2490">SUM(IF(INSTOCK!$H$3:$H$6125=B2490,INSTOCK!$I$3:$I$6125))</f>
        <v>1</v>
      </c>
      <c r="I2490" s="50" t="str">
        <f>ARRAY_CONSTRAIN(ARRAYFORMULA(SUM(IF([3]!Table13[ID]=B2490,[3]!Table13[QTY]))), 1, 1)</f>
        <v>#ERROR!</v>
      </c>
      <c r="J2490" s="50" t="str">
        <f>TABLEITEM!$H$3:$H$2749-TABLEITEM!$I$3:$I$2749</f>
        <v>#ERROR!</v>
      </c>
    </row>
    <row r="2491" ht="15.75" customHeight="1">
      <c r="A2491" s="45"/>
      <c r="B2491" s="18" t="s">
        <v>6075</v>
      </c>
      <c r="C2491" s="26"/>
      <c r="D2491" s="18" t="s">
        <v>10077</v>
      </c>
      <c r="E2491" s="56"/>
      <c r="F2491" s="57" t="s">
        <v>7173</v>
      </c>
      <c r="G2491" s="49">
        <f t="array" ref="G2491">MAX(IF(INSTOCK!$H$3:$H$6125=B2491,INSTOCK!$K$3:$K$6125))</f>
        <v>115</v>
      </c>
      <c r="H2491" s="50">
        <f t="array" ref="H2491">SUM(IF(INSTOCK!$H$3:$H$6125=B2491,INSTOCK!$I$3:$I$6125))</f>
        <v>5</v>
      </c>
      <c r="I2491" s="50" t="str">
        <f>ARRAY_CONSTRAIN(ARRAYFORMULA(SUM(IF([3]!Table13[ID]=B2491,[3]!Table13[QTY]))), 1, 1)</f>
        <v>#ERROR!</v>
      </c>
      <c r="J2491" s="50" t="str">
        <f>TABLEITEM!$H$3:$H$2749-TABLEITEM!$I$3:$I$2749</f>
        <v>#ERROR!</v>
      </c>
    </row>
    <row r="2492" ht="15.75" customHeight="1">
      <c r="A2492" s="45"/>
      <c r="B2492" s="18" t="s">
        <v>6082</v>
      </c>
      <c r="C2492" s="26"/>
      <c r="D2492" s="18" t="s">
        <v>10078</v>
      </c>
      <c r="E2492" s="56"/>
      <c r="F2492" s="57" t="s">
        <v>7173</v>
      </c>
      <c r="G2492" s="49">
        <f t="array" ref="G2492">MAX(IF(INSTOCK!$H$3:$H$6125=B2492,INSTOCK!$K$3:$K$6125))</f>
        <v>50</v>
      </c>
      <c r="H2492" s="50">
        <f t="array" ref="H2492">SUM(IF(INSTOCK!$H$3:$H$6125=B2492,INSTOCK!$I$3:$I$6125))</f>
        <v>1</v>
      </c>
      <c r="I2492" s="50" t="str">
        <f>ARRAY_CONSTRAIN(ARRAYFORMULA(SUM(IF([3]!Table13[ID]=B2492,[3]!Table13[QTY]))), 1, 1)</f>
        <v>#ERROR!</v>
      </c>
      <c r="J2492" s="50" t="str">
        <f>TABLEITEM!$H$3:$H$2749-TABLEITEM!$I$3:$I$2749</f>
        <v>#ERROR!</v>
      </c>
    </row>
    <row r="2493" ht="15.75" customHeight="1">
      <c r="A2493" s="45"/>
      <c r="B2493" s="18" t="s">
        <v>6094</v>
      </c>
      <c r="C2493" s="26"/>
      <c r="D2493" s="18" t="s">
        <v>10079</v>
      </c>
      <c r="E2493" s="56"/>
      <c r="F2493" s="57" t="s">
        <v>7173</v>
      </c>
      <c r="G2493" s="49">
        <f t="array" ref="G2493">MAX(IF(INSTOCK!$H$3:$H$6125=B2493,INSTOCK!$K$3:$K$6125))</f>
        <v>120</v>
      </c>
      <c r="H2493" s="50">
        <f t="array" ref="H2493">SUM(IF(INSTOCK!$H$3:$H$6125=B2493,INSTOCK!$I$3:$I$6125))</f>
        <v>16</v>
      </c>
      <c r="I2493" s="50" t="str">
        <f>ARRAY_CONSTRAIN(ARRAYFORMULA(SUM(IF([3]!Table13[ID]=B2493,[3]!Table13[QTY]))), 1, 1)</f>
        <v>#ERROR!</v>
      </c>
      <c r="J2493" s="50" t="str">
        <f>TABLEITEM!$H$3:$H$2749-TABLEITEM!$I$3:$I$2749</f>
        <v>#ERROR!</v>
      </c>
    </row>
    <row r="2494" ht="15.75" customHeight="1">
      <c r="A2494" s="45"/>
      <c r="B2494" s="18" t="s">
        <v>6095</v>
      </c>
      <c r="C2494" s="26"/>
      <c r="D2494" s="18" t="s">
        <v>10080</v>
      </c>
      <c r="E2494" s="56" t="s">
        <v>10081</v>
      </c>
      <c r="F2494" s="57" t="s">
        <v>7173</v>
      </c>
      <c r="G2494" s="49">
        <f t="array" ref="G2494">MAX(IF(INSTOCK!$H$3:$H$6125=B2494,INSTOCK!$K$3:$K$6125))</f>
        <v>95</v>
      </c>
      <c r="H2494" s="50">
        <f t="array" ref="H2494">SUM(IF(INSTOCK!$H$3:$H$6125=B2494,INSTOCK!$I$3:$I$6125))</f>
        <v>14</v>
      </c>
      <c r="I2494" s="50" t="str">
        <f>ARRAY_CONSTRAIN(ARRAYFORMULA(SUM(IF([3]!Table13[ID]=B2494,[3]!Table13[QTY]))), 1, 1)</f>
        <v>#ERROR!</v>
      </c>
      <c r="J2494" s="50" t="str">
        <f>TABLEITEM!$H$3:$H$2749-TABLEITEM!$I$3:$I$2749</f>
        <v>#ERROR!</v>
      </c>
    </row>
    <row r="2495" ht="15.75" customHeight="1">
      <c r="A2495" s="45"/>
      <c r="B2495" s="10" t="s">
        <v>6098</v>
      </c>
      <c r="C2495" s="26"/>
      <c r="D2495" s="10" t="s">
        <v>10082</v>
      </c>
      <c r="E2495" s="48" t="s">
        <v>9637</v>
      </c>
      <c r="F2495" s="57" t="s">
        <v>8651</v>
      </c>
      <c r="G2495" s="49">
        <f t="array" ref="G2495">MAX(IF(INSTOCK!$H$3:$H$6125=B2495,INSTOCK!$K$3:$K$6125))</f>
        <v>1000</v>
      </c>
      <c r="H2495" s="50">
        <f t="array" ref="H2495">SUM(IF(INSTOCK!$H$3:$H$6125=B2495,INSTOCK!$I$3:$I$6125))</f>
        <v>1</v>
      </c>
      <c r="I2495" s="50" t="str">
        <f>ARRAY_CONSTRAIN(ARRAYFORMULA(SUM(IF([3]!Table13[ID]=B2495,[3]!Table13[QTY]))), 1, 1)</f>
        <v>#ERROR!</v>
      </c>
      <c r="J2495" s="50" t="str">
        <f>TABLEITEM!$H$3:$H$2749-TABLEITEM!$I$3:$I$2749</f>
        <v>#ERROR!</v>
      </c>
    </row>
    <row r="2496" ht="15.75" customHeight="1">
      <c r="A2496" s="45"/>
      <c r="B2496" s="10" t="s">
        <v>6099</v>
      </c>
      <c r="C2496" s="26"/>
      <c r="D2496" s="10" t="s">
        <v>10083</v>
      </c>
      <c r="E2496" s="48" t="s">
        <v>9637</v>
      </c>
      <c r="F2496" s="57" t="s">
        <v>8651</v>
      </c>
      <c r="G2496" s="49">
        <f t="array" ref="G2496">MAX(IF(INSTOCK!$H$3:$H$6125=B2496,INSTOCK!$K$3:$K$6125))</f>
        <v>1200</v>
      </c>
      <c r="H2496" s="50">
        <f t="array" ref="H2496">SUM(IF(INSTOCK!$H$3:$H$6125=B2496,INSTOCK!$I$3:$I$6125))</f>
        <v>1</v>
      </c>
      <c r="I2496" s="50" t="str">
        <f>ARRAY_CONSTRAIN(ARRAYFORMULA(SUM(IF([3]!Table13[ID]=B2496,[3]!Table13[QTY]))), 1, 1)</f>
        <v>#ERROR!</v>
      </c>
      <c r="J2496" s="50" t="str">
        <f>TABLEITEM!$H$3:$H$2749-TABLEITEM!$I$3:$I$2749</f>
        <v>#ERROR!</v>
      </c>
    </row>
    <row r="2497" ht="15.75" customHeight="1">
      <c r="A2497" s="45"/>
      <c r="B2497" s="10" t="s">
        <v>6100</v>
      </c>
      <c r="C2497" s="26"/>
      <c r="D2497" s="10" t="s">
        <v>10084</v>
      </c>
      <c r="E2497" s="48" t="s">
        <v>9637</v>
      </c>
      <c r="F2497" s="57" t="s">
        <v>7173</v>
      </c>
      <c r="G2497" s="49">
        <f t="array" ref="G2497">MAX(IF(INSTOCK!$H$3:$H$6125=B2497,INSTOCK!$K$3:$K$6125))</f>
        <v>520</v>
      </c>
      <c r="H2497" s="50">
        <f t="array" ref="H2497">SUM(IF(INSTOCK!$H$3:$H$6125=B2497,INSTOCK!$I$3:$I$6125))</f>
        <v>1</v>
      </c>
      <c r="I2497" s="50" t="str">
        <f>ARRAY_CONSTRAIN(ARRAYFORMULA(SUM(IF([3]!Table13[ID]=B2497,[3]!Table13[QTY]))), 1, 1)</f>
        <v>#ERROR!</v>
      </c>
      <c r="J2497" s="50" t="str">
        <f>TABLEITEM!$H$3:$H$2749-TABLEITEM!$I$3:$I$2749</f>
        <v>#ERROR!</v>
      </c>
    </row>
    <row r="2498" ht="15.75" customHeight="1">
      <c r="A2498" s="45"/>
      <c r="B2498" s="10" t="s">
        <v>6101</v>
      </c>
      <c r="C2498" s="26"/>
      <c r="D2498" s="10" t="s">
        <v>10085</v>
      </c>
      <c r="E2498" s="48" t="s">
        <v>9637</v>
      </c>
      <c r="F2498" s="57" t="s">
        <v>7173</v>
      </c>
      <c r="G2498" s="49">
        <f t="array" ref="G2498">MAX(IF(INSTOCK!$H$3:$H$6125=B2498,INSTOCK!$K$3:$K$6125))</f>
        <v>370</v>
      </c>
      <c r="H2498" s="50">
        <f t="array" ref="H2498">SUM(IF(INSTOCK!$H$3:$H$6125=B2498,INSTOCK!$I$3:$I$6125))</f>
        <v>1</v>
      </c>
      <c r="I2498" s="50" t="str">
        <f>ARRAY_CONSTRAIN(ARRAYFORMULA(SUM(IF([3]!Table13[ID]=B2498,[3]!Table13[QTY]))), 1, 1)</f>
        <v>#ERROR!</v>
      </c>
      <c r="J2498" s="50" t="str">
        <f>TABLEITEM!$H$3:$H$2749-TABLEITEM!$I$3:$I$2749</f>
        <v>#ERROR!</v>
      </c>
    </row>
    <row r="2499" ht="15.75" customHeight="1">
      <c r="A2499" s="45"/>
      <c r="B2499" s="18" t="s">
        <v>6102</v>
      </c>
      <c r="C2499" s="26"/>
      <c r="D2499" s="10" t="s">
        <v>10086</v>
      </c>
      <c r="E2499" s="48" t="s">
        <v>9637</v>
      </c>
      <c r="F2499" s="57" t="s">
        <v>7173</v>
      </c>
      <c r="G2499" s="49">
        <f t="array" ref="G2499">MAX(IF(INSTOCK!$H$3:$H$6125=B2499,INSTOCK!$K$3:$K$6125))</f>
        <v>550</v>
      </c>
      <c r="H2499" s="50">
        <f t="array" ref="H2499">SUM(IF(INSTOCK!$H$3:$H$6125=B2499,INSTOCK!$I$3:$I$6125))</f>
        <v>1</v>
      </c>
      <c r="I2499" s="50" t="str">
        <f>ARRAY_CONSTRAIN(ARRAYFORMULA(SUM(IF([3]!Table13[ID]=B2499,[3]!Table13[QTY]))), 1, 1)</f>
        <v>#ERROR!</v>
      </c>
      <c r="J2499" s="50" t="str">
        <f>TABLEITEM!$H$3:$H$2749-TABLEITEM!$I$3:$I$2749</f>
        <v>#ERROR!</v>
      </c>
    </row>
    <row r="2500" ht="15.75" customHeight="1">
      <c r="A2500" s="45"/>
      <c r="B2500" s="10" t="s">
        <v>6105</v>
      </c>
      <c r="C2500" s="26"/>
      <c r="D2500" s="10" t="s">
        <v>10087</v>
      </c>
      <c r="E2500" s="48" t="s">
        <v>9637</v>
      </c>
      <c r="F2500" s="57" t="s">
        <v>7173</v>
      </c>
      <c r="G2500" s="49">
        <f t="array" ref="G2500">MAX(IF(INSTOCK!$H$3:$H$6125=B2500,INSTOCK!$K$3:$K$6125))</f>
        <v>80</v>
      </c>
      <c r="H2500" s="50">
        <f t="array" ref="H2500">SUM(IF(INSTOCK!$H$3:$H$6125=B2500,INSTOCK!$I$3:$I$6125))</f>
        <v>3</v>
      </c>
      <c r="I2500" s="50" t="str">
        <f>ARRAY_CONSTRAIN(ARRAYFORMULA(SUM(IF([3]!Table13[ID]=B2500,[3]!Table13[QTY]))), 1, 1)</f>
        <v>#ERROR!</v>
      </c>
      <c r="J2500" s="50" t="str">
        <f>TABLEITEM!$H$3:$H$2749-TABLEITEM!$I$3:$I$2749</f>
        <v>#ERROR!</v>
      </c>
    </row>
    <row r="2501" ht="15.75" customHeight="1">
      <c r="A2501" s="45"/>
      <c r="B2501" s="18" t="s">
        <v>6106</v>
      </c>
      <c r="C2501" s="26"/>
      <c r="D2501" s="18" t="s">
        <v>10088</v>
      </c>
      <c r="E2501" s="48" t="s">
        <v>9637</v>
      </c>
      <c r="F2501" s="57" t="s">
        <v>7173</v>
      </c>
      <c r="G2501" s="49">
        <f t="array" ref="G2501">MAX(IF(INSTOCK!$H$3:$H$6125=B2501,INSTOCK!$K$3:$K$6125))</f>
        <v>110</v>
      </c>
      <c r="H2501" s="50">
        <f t="array" ref="H2501">SUM(IF(INSTOCK!$H$3:$H$6125=B2501,INSTOCK!$I$3:$I$6125))</f>
        <v>3</v>
      </c>
      <c r="I2501" s="50" t="str">
        <f>ARRAY_CONSTRAIN(ARRAYFORMULA(SUM(IF([3]!Table13[ID]=B2501,[3]!Table13[QTY]))), 1, 1)</f>
        <v>#ERROR!</v>
      </c>
      <c r="J2501" s="50" t="str">
        <f>TABLEITEM!$H$3:$H$2749-TABLEITEM!$I$3:$I$2749</f>
        <v>#ERROR!</v>
      </c>
    </row>
    <row r="2502" ht="15.75" customHeight="1">
      <c r="A2502" s="45"/>
      <c r="B2502" s="18" t="s">
        <v>6107</v>
      </c>
      <c r="C2502" s="26"/>
      <c r="D2502" s="18" t="s">
        <v>10089</v>
      </c>
      <c r="E2502" s="56" t="s">
        <v>10090</v>
      </c>
      <c r="F2502" s="57" t="s">
        <v>9322</v>
      </c>
      <c r="G2502" s="49">
        <f t="array" ref="G2502">MAX(IF(INSTOCK!$H$3:$H$6125=B2502,INSTOCK!$K$3:$K$6125))</f>
        <v>48</v>
      </c>
      <c r="H2502" s="50">
        <f t="array" ref="H2502">SUM(IF(INSTOCK!$H$3:$H$6125=B2502,INSTOCK!$I$3:$I$6125))</f>
        <v>2</v>
      </c>
      <c r="I2502" s="50" t="str">
        <f>ARRAY_CONSTRAIN(ARRAYFORMULA(SUM(IF([3]!Table13[ID]=B2502,[3]!Table13[QTY]))), 1, 1)</f>
        <v>#ERROR!</v>
      </c>
      <c r="J2502" s="50" t="str">
        <f>TABLEITEM!$H$3:$H$2749-TABLEITEM!$I$3:$I$2749</f>
        <v>#ERROR!</v>
      </c>
    </row>
    <row r="2503" ht="15.75" customHeight="1">
      <c r="A2503" s="45"/>
      <c r="B2503" s="10" t="s">
        <v>6108</v>
      </c>
      <c r="C2503" s="26"/>
      <c r="D2503" s="10" t="s">
        <v>10091</v>
      </c>
      <c r="E2503" s="48"/>
      <c r="F2503" s="57" t="s">
        <v>7173</v>
      </c>
      <c r="G2503" s="49">
        <f t="array" ref="G2503">MAX(IF(INSTOCK!$H$3:$H$6125=B2503,INSTOCK!$K$3:$K$6125))</f>
        <v>10</v>
      </c>
      <c r="H2503" s="50">
        <f t="array" ref="H2503">SUM(IF(INSTOCK!$H$3:$H$6125=B2503,INSTOCK!$I$3:$I$6125))</f>
        <v>2</v>
      </c>
      <c r="I2503" s="50" t="str">
        <f>ARRAY_CONSTRAIN(ARRAYFORMULA(SUM(IF([3]!Table13[ID]=B2503,[3]!Table13[QTY]))), 1, 1)</f>
        <v>#ERROR!</v>
      </c>
      <c r="J2503" s="50" t="str">
        <f>TABLEITEM!$H$3:$H$2749-TABLEITEM!$I$3:$I$2749</f>
        <v>#ERROR!</v>
      </c>
    </row>
    <row r="2504" ht="15.75" customHeight="1">
      <c r="A2504" s="45"/>
      <c r="B2504" s="10" t="s">
        <v>6109</v>
      </c>
      <c r="C2504" s="26"/>
      <c r="D2504" s="10" t="s">
        <v>10092</v>
      </c>
      <c r="E2504" s="48"/>
      <c r="F2504" s="57" t="s">
        <v>7173</v>
      </c>
      <c r="G2504" s="49">
        <f t="array" ref="G2504">MAX(IF(INSTOCK!$H$3:$H$6125=B2504,INSTOCK!$K$3:$K$6125))</f>
        <v>8</v>
      </c>
      <c r="H2504" s="50">
        <f t="array" ref="H2504">SUM(IF(INSTOCK!$H$3:$H$6125=B2504,INSTOCK!$I$3:$I$6125))</f>
        <v>5</v>
      </c>
      <c r="I2504" s="50" t="str">
        <f>ARRAY_CONSTRAIN(ARRAYFORMULA(SUM(IF([3]!Table13[ID]=B2504,[3]!Table13[QTY]))), 1, 1)</f>
        <v>#ERROR!</v>
      </c>
      <c r="J2504" s="50" t="str">
        <f>TABLEITEM!$H$3:$H$2749-TABLEITEM!$I$3:$I$2749</f>
        <v>#ERROR!</v>
      </c>
    </row>
    <row r="2505" ht="15.75" customHeight="1">
      <c r="A2505" s="45"/>
      <c r="B2505" s="10" t="s">
        <v>6110</v>
      </c>
      <c r="C2505" s="26"/>
      <c r="D2505" s="10" t="s">
        <v>10093</v>
      </c>
      <c r="E2505" s="48"/>
      <c r="F2505" s="57" t="s">
        <v>7173</v>
      </c>
      <c r="G2505" s="49">
        <f t="array" ref="G2505">MAX(IF(INSTOCK!$H$3:$H$6125=B2505,INSTOCK!$K$3:$K$6125))</f>
        <v>77</v>
      </c>
      <c r="H2505" s="50">
        <f t="array" ref="H2505">SUM(IF(INSTOCK!$H$3:$H$6125=B2505,INSTOCK!$I$3:$I$6125))</f>
        <v>1</v>
      </c>
      <c r="I2505" s="50" t="str">
        <f>ARRAY_CONSTRAIN(ARRAYFORMULA(SUM(IF([3]!Table13[ID]=B2505,[3]!Table13[QTY]))), 1, 1)</f>
        <v>#ERROR!</v>
      </c>
      <c r="J2505" s="50" t="str">
        <f>TABLEITEM!$H$3:$H$2749-TABLEITEM!$I$3:$I$2749</f>
        <v>#ERROR!</v>
      </c>
    </row>
    <row r="2506" ht="15.75" customHeight="1">
      <c r="A2506" s="45"/>
      <c r="B2506" s="18" t="s">
        <v>6111</v>
      </c>
      <c r="C2506" s="26"/>
      <c r="D2506" s="18" t="s">
        <v>10094</v>
      </c>
      <c r="E2506" s="56"/>
      <c r="F2506" s="57" t="s">
        <v>7173</v>
      </c>
      <c r="G2506" s="49">
        <f t="array" ref="G2506">MAX(IF(INSTOCK!$H$3:$H$6125=B2506,INSTOCK!$K$3:$K$6125))</f>
        <v>85</v>
      </c>
      <c r="H2506" s="50">
        <f t="array" ref="H2506">SUM(IF(INSTOCK!$H$3:$H$6125=B2506,INSTOCK!$I$3:$I$6125))</f>
        <v>1</v>
      </c>
      <c r="I2506" s="50" t="str">
        <f>ARRAY_CONSTRAIN(ARRAYFORMULA(SUM(IF([3]!Table13[ID]=B2506,[3]!Table13[QTY]))), 1, 1)</f>
        <v>#ERROR!</v>
      </c>
      <c r="J2506" s="50" t="str">
        <f>TABLEITEM!$H$3:$H$2749-TABLEITEM!$I$3:$I$2749</f>
        <v>#ERROR!</v>
      </c>
    </row>
    <row r="2507" ht="15.75" customHeight="1">
      <c r="A2507" s="45"/>
      <c r="B2507" s="18" t="s">
        <v>6123</v>
      </c>
      <c r="C2507" s="26"/>
      <c r="D2507" s="18" t="s">
        <v>10095</v>
      </c>
      <c r="E2507" s="56" t="s">
        <v>617</v>
      </c>
      <c r="F2507" s="57" t="s">
        <v>7173</v>
      </c>
      <c r="G2507" s="49">
        <f t="array" ref="G2507">MAX(IF(INSTOCK!$H$3:$H$6125=B2507,INSTOCK!$K$3:$K$6125))</f>
        <v>126.9</v>
      </c>
      <c r="H2507" s="50">
        <f t="array" ref="H2507">SUM(IF(INSTOCK!$H$3:$H$6125=B2507,INSTOCK!$I$3:$I$6125))</f>
        <v>50</v>
      </c>
      <c r="I2507" s="50" t="str">
        <f>ARRAY_CONSTRAIN(ARRAYFORMULA(SUM(IF([3]!Table13[ID]=B2507,[3]!Table13[QTY]))), 1, 1)</f>
        <v>#ERROR!</v>
      </c>
      <c r="J2507" s="50" t="str">
        <f>TABLEITEM!$H$3:$H$2749-TABLEITEM!$I$3:$I$2749</f>
        <v>#ERROR!</v>
      </c>
    </row>
    <row r="2508" ht="15.75" customHeight="1">
      <c r="A2508" s="45"/>
      <c r="B2508" s="10" t="s">
        <v>6141</v>
      </c>
      <c r="C2508" s="26"/>
      <c r="D2508" s="10" t="s">
        <v>10096</v>
      </c>
      <c r="E2508" s="48" t="s">
        <v>9312</v>
      </c>
      <c r="F2508" s="57" t="s">
        <v>7173</v>
      </c>
      <c r="G2508" s="49">
        <f t="array" ref="G2508">MAX(IF(INSTOCK!$H$3:$H$6125=B2508,INSTOCK!$K$3:$K$6125))</f>
        <v>20490</v>
      </c>
      <c r="H2508" s="50">
        <f t="array" ref="H2508">SUM(IF(INSTOCK!$H$3:$H$6125=B2508,INSTOCK!$I$3:$I$6125))</f>
        <v>2</v>
      </c>
      <c r="I2508" s="50" t="str">
        <f>ARRAY_CONSTRAIN(ARRAYFORMULA(SUM(IF([3]!Table13[ID]=B2508,[3]!Table13[QTY]))), 1, 1)</f>
        <v>#ERROR!</v>
      </c>
      <c r="J2508" s="50" t="str">
        <f>TABLEITEM!$H$3:$H$2749-TABLEITEM!$I$3:$I$2749</f>
        <v>#ERROR!</v>
      </c>
    </row>
    <row r="2509" ht="15.75" customHeight="1">
      <c r="A2509" s="45"/>
      <c r="B2509" s="18" t="s">
        <v>6146</v>
      </c>
      <c r="C2509" s="26"/>
      <c r="D2509" s="18" t="s">
        <v>10097</v>
      </c>
      <c r="E2509" s="56" t="s">
        <v>2231</v>
      </c>
      <c r="F2509" s="57" t="s">
        <v>7173</v>
      </c>
      <c r="G2509" s="49">
        <f t="array" ref="G2509">MAX(IF(INSTOCK!$H$3:$H$6125=B2509,INSTOCK!$K$3:$K$6125))</f>
        <v>87.22</v>
      </c>
      <c r="H2509" s="50">
        <f t="array" ref="H2509">SUM(IF(INSTOCK!$H$3:$H$6125=B2509,INSTOCK!$I$3:$I$6125))</f>
        <v>1</v>
      </c>
      <c r="I2509" s="50" t="str">
        <f>ARRAY_CONSTRAIN(ARRAYFORMULA(SUM(IF([3]!Table13[ID]=B2509,[3]!Table13[QTY]))), 1, 1)</f>
        <v>#ERROR!</v>
      </c>
      <c r="J2509" s="50" t="str">
        <f>TABLEITEM!$H$3:$H$2749-TABLEITEM!$I$3:$I$2749</f>
        <v>#ERROR!</v>
      </c>
    </row>
    <row r="2510" ht="15.75" customHeight="1">
      <c r="A2510" s="45"/>
      <c r="B2510" s="18" t="s">
        <v>6149</v>
      </c>
      <c r="C2510" s="26"/>
      <c r="D2510" s="18" t="s">
        <v>10098</v>
      </c>
      <c r="E2510" s="56" t="s">
        <v>7188</v>
      </c>
      <c r="F2510" s="57" t="s">
        <v>7173</v>
      </c>
      <c r="G2510" s="49">
        <f t="array" ref="G2510">MAX(IF(INSTOCK!$H$3:$H$6125=B2510,INSTOCK!$K$3:$K$6125))</f>
        <v>990</v>
      </c>
      <c r="H2510" s="50">
        <f t="array" ref="H2510">SUM(IF(INSTOCK!$H$3:$H$6125=B2510,INSTOCK!$I$3:$I$6125))</f>
        <v>2</v>
      </c>
      <c r="I2510" s="50" t="str">
        <f>ARRAY_CONSTRAIN(ARRAYFORMULA(SUM(IF([3]!Table13[ID]=B2510,[3]!Table13[QTY]))), 1, 1)</f>
        <v>#ERROR!</v>
      </c>
      <c r="J2510" s="50" t="str">
        <f>TABLEITEM!$H$3:$H$2749-TABLEITEM!$I$3:$I$2749</f>
        <v>#ERROR!</v>
      </c>
    </row>
    <row r="2511" ht="15.75" customHeight="1">
      <c r="A2511" s="45"/>
      <c r="B2511" s="18" t="s">
        <v>6152</v>
      </c>
      <c r="C2511" s="26"/>
      <c r="D2511" s="10" t="s">
        <v>10099</v>
      </c>
      <c r="E2511" s="56"/>
      <c r="F2511" s="57" t="s">
        <v>7173</v>
      </c>
      <c r="G2511" s="49">
        <f t="array" ref="G2511">MAX(IF(INSTOCK!$H$3:$H$6125=B2511,INSTOCK!$K$3:$K$6125))</f>
        <v>440</v>
      </c>
      <c r="H2511" s="50">
        <f t="array" ref="H2511">SUM(IF(INSTOCK!$H$3:$H$6125=B2511,INSTOCK!$I$3:$I$6125))</f>
        <v>8</v>
      </c>
      <c r="I2511" s="50" t="str">
        <f>ARRAY_CONSTRAIN(ARRAYFORMULA(SUM(IF([3]!Table13[ID]=B2511,[3]!Table13[QTY]))), 1, 1)</f>
        <v>#ERROR!</v>
      </c>
      <c r="J2511" s="50" t="str">
        <f>TABLEITEM!$H$3:$H$2749-TABLEITEM!$I$3:$I$2749</f>
        <v>#ERROR!</v>
      </c>
    </row>
    <row r="2512" ht="15.75" customHeight="1">
      <c r="A2512" s="45"/>
      <c r="B2512" s="18" t="s">
        <v>6154</v>
      </c>
      <c r="C2512" s="26"/>
      <c r="D2512" s="18" t="s">
        <v>10100</v>
      </c>
      <c r="E2512" s="56"/>
      <c r="F2512" s="57" t="s">
        <v>7173</v>
      </c>
      <c r="G2512" s="49">
        <f t="array" ref="G2512">MAX(IF(INSTOCK!$H$3:$H$6125=B2512,INSTOCK!$K$3:$K$6125))</f>
        <v>175</v>
      </c>
      <c r="H2512" s="50">
        <f t="array" ref="H2512">SUM(IF(INSTOCK!$H$3:$H$6125=B2512,INSTOCK!$I$3:$I$6125))</f>
        <v>2</v>
      </c>
      <c r="I2512" s="50" t="str">
        <f>ARRAY_CONSTRAIN(ARRAYFORMULA(SUM(IF([3]!Table13[ID]=B2512,[3]!Table13[QTY]))), 1, 1)</f>
        <v>#ERROR!</v>
      </c>
      <c r="J2512" s="50" t="str">
        <f>TABLEITEM!$H$3:$H$2749-TABLEITEM!$I$3:$I$2749</f>
        <v>#ERROR!</v>
      </c>
    </row>
    <row r="2513" ht="15.75" customHeight="1">
      <c r="A2513" s="45"/>
      <c r="B2513" s="18" t="s">
        <v>6156</v>
      </c>
      <c r="C2513" s="26"/>
      <c r="D2513" s="10" t="s">
        <v>6156</v>
      </c>
      <c r="E2513" s="56"/>
      <c r="F2513" s="57" t="s">
        <v>7173</v>
      </c>
      <c r="G2513" s="49">
        <f t="array" ref="G2513">MAX(IF(INSTOCK!$H$3:$H$6125=B2513,INSTOCK!$K$3:$K$6125))</f>
        <v>800</v>
      </c>
      <c r="H2513" s="50">
        <f t="array" ref="H2513">SUM(IF(INSTOCK!$H$3:$H$6125=B2513,INSTOCK!$I$3:$I$6125))</f>
        <v>1</v>
      </c>
      <c r="I2513" s="50" t="str">
        <f>ARRAY_CONSTRAIN(ARRAYFORMULA(SUM(IF([3]!Table13[ID]=B2513,[3]!Table13[QTY]))), 1, 1)</f>
        <v>#ERROR!</v>
      </c>
      <c r="J2513" s="50" t="str">
        <f>TABLEITEM!$H$3:$H$2749-TABLEITEM!$I$3:$I$2749</f>
        <v>#ERROR!</v>
      </c>
    </row>
    <row r="2514" ht="15.75" customHeight="1">
      <c r="A2514" s="45"/>
      <c r="B2514" s="10" t="s">
        <v>6174</v>
      </c>
      <c r="C2514" s="26"/>
      <c r="D2514" s="10" t="s">
        <v>10101</v>
      </c>
      <c r="E2514" s="48" t="s">
        <v>7188</v>
      </c>
      <c r="F2514" s="57" t="s">
        <v>7173</v>
      </c>
      <c r="G2514" s="49">
        <f t="array" ref="G2514">MAX(IF(INSTOCK!$H$3:$H$6125=B2514,INSTOCK!$K$3:$K$6125))</f>
        <v>15840</v>
      </c>
      <c r="H2514" s="50">
        <f t="array" ref="H2514">SUM(IF(INSTOCK!$H$3:$H$6125=B2514,INSTOCK!$I$3:$I$6125))</f>
        <v>1</v>
      </c>
      <c r="I2514" s="50" t="str">
        <f>ARRAY_CONSTRAIN(ARRAYFORMULA(SUM(IF([3]!Table13[ID]=B2514,[3]!Table13[QTY]))), 1, 1)</f>
        <v>#ERROR!</v>
      </c>
      <c r="J2514" s="50" t="str">
        <f>TABLEITEM!$H$3:$H$2749-TABLEITEM!$I$3:$I$2749</f>
        <v>#ERROR!</v>
      </c>
    </row>
    <row r="2515" ht="15.75" customHeight="1">
      <c r="A2515" s="45"/>
      <c r="B2515" s="18" t="s">
        <v>6175</v>
      </c>
      <c r="C2515" s="26"/>
      <c r="D2515" s="18" t="s">
        <v>10102</v>
      </c>
      <c r="E2515" s="56" t="s">
        <v>7188</v>
      </c>
      <c r="F2515" s="57" t="s">
        <v>7173</v>
      </c>
      <c r="G2515" s="49">
        <f t="array" ref="G2515">MAX(IF(INSTOCK!$H$3:$H$6125=B2515,INSTOCK!$K$3:$K$6125))</f>
        <v>20546.44</v>
      </c>
      <c r="H2515" s="50">
        <f t="array" ref="H2515">SUM(IF(INSTOCK!$H$3:$H$6125=B2515,INSTOCK!$I$3:$I$6125))</f>
        <v>1</v>
      </c>
      <c r="I2515" s="50" t="str">
        <f>ARRAY_CONSTRAIN(ARRAYFORMULA(SUM(IF([3]!Table13[ID]=B2515,[3]!Table13[QTY]))), 1, 1)</f>
        <v>#ERROR!</v>
      </c>
      <c r="J2515" s="50" t="str">
        <f>TABLEITEM!$H$3:$H$2749-TABLEITEM!$I$3:$I$2749</f>
        <v>#ERROR!</v>
      </c>
    </row>
    <row r="2516" ht="15.75" customHeight="1">
      <c r="A2516" s="45"/>
      <c r="B2516" s="10" t="s">
        <v>2899</v>
      </c>
      <c r="C2516" s="26"/>
      <c r="D2516" s="10" t="s">
        <v>10103</v>
      </c>
      <c r="E2516" s="48" t="s">
        <v>10104</v>
      </c>
      <c r="F2516" s="57" t="s">
        <v>8080</v>
      </c>
      <c r="G2516" s="49">
        <f t="array" ref="G2516">MAX(IF(INSTOCK!$H$3:$H$6125=B2516,INSTOCK!$K$3:$K$6125))</f>
        <v>518.69</v>
      </c>
      <c r="H2516" s="50">
        <f t="array" ref="H2516">SUM(IF(INSTOCK!$H$3:$H$6125=B2516,INSTOCK!$I$3:$I$6125))</f>
        <v>58</v>
      </c>
      <c r="I2516" s="50" t="str">
        <f>ARRAY_CONSTRAIN(ARRAYFORMULA(SUM(IF([3]!Table13[ID]=B2516,[3]!Table13[QTY]))), 1, 1)</f>
        <v>#ERROR!</v>
      </c>
      <c r="J2516" s="50" t="str">
        <f>TABLEITEM!$H$3:$H$2749-TABLEITEM!$I$3:$I$2749</f>
        <v>#ERROR!</v>
      </c>
    </row>
    <row r="2517" ht="15.75" customHeight="1">
      <c r="A2517" s="45"/>
      <c r="B2517" s="10" t="s">
        <v>2898</v>
      </c>
      <c r="C2517" s="26"/>
      <c r="D2517" s="10" t="s">
        <v>10105</v>
      </c>
      <c r="E2517" s="48" t="s">
        <v>10104</v>
      </c>
      <c r="F2517" s="57" t="s">
        <v>8080</v>
      </c>
      <c r="G2517" s="49">
        <f t="array" ref="G2517">MAX(IF(INSTOCK!$H$3:$H$6125=B2517,INSTOCK!$K$3:$K$6125))</f>
        <v>238.32</v>
      </c>
      <c r="H2517" s="50">
        <f t="array" ref="H2517">SUM(IF(INSTOCK!$H$3:$H$6125=B2517,INSTOCK!$I$3:$I$6125))</f>
        <v>3</v>
      </c>
      <c r="I2517" s="50" t="str">
        <f>ARRAY_CONSTRAIN(ARRAYFORMULA(SUM(IF([3]!Table13[ID]=B2517,[3]!Table13[QTY]))), 1, 1)</f>
        <v>#ERROR!</v>
      </c>
      <c r="J2517" s="50" t="str">
        <f>TABLEITEM!$H$3:$H$2749-TABLEITEM!$I$3:$I$2749</f>
        <v>#ERROR!</v>
      </c>
    </row>
    <row r="2518" ht="15.75" customHeight="1">
      <c r="A2518" s="45"/>
      <c r="B2518" s="18" t="s">
        <v>6578</v>
      </c>
      <c r="C2518" s="26"/>
      <c r="D2518" s="18" t="s">
        <v>10106</v>
      </c>
      <c r="E2518" s="48"/>
      <c r="F2518" s="57" t="s">
        <v>7173</v>
      </c>
      <c r="G2518" s="49">
        <f t="array" ref="G2518">MAX(IF(INSTOCK!$H$3:$H$6125=B2518,INSTOCK!$K$3:$K$6125))</f>
        <v>182.24</v>
      </c>
      <c r="H2518" s="50">
        <f t="array" ref="H2518">SUM(IF(INSTOCK!$H$3:$H$6125=B2518,INSTOCK!$I$3:$I$6125))</f>
        <v>1</v>
      </c>
      <c r="I2518" s="50" t="str">
        <f>ARRAY_CONSTRAIN(ARRAYFORMULA(SUM(IF([3]!Table13[ID]=B2518,[3]!Table13[QTY]))), 1, 1)</f>
        <v>#ERROR!</v>
      </c>
      <c r="J2518" s="50" t="str">
        <f>TABLEITEM!$H$3:$H$2749-TABLEITEM!$I$3:$I$2749</f>
        <v>#ERROR!</v>
      </c>
    </row>
    <row r="2519" ht="15.75" customHeight="1">
      <c r="A2519" s="45"/>
      <c r="B2519" s="10" t="s">
        <v>6181</v>
      </c>
      <c r="C2519" s="26"/>
      <c r="D2519" s="10" t="s">
        <v>10107</v>
      </c>
      <c r="E2519" s="48" t="s">
        <v>10108</v>
      </c>
      <c r="F2519" s="57" t="s">
        <v>7173</v>
      </c>
      <c r="G2519" s="49">
        <f t="array" ref="G2519">MAX(IF(INSTOCK!$H$3:$H$6125=B2519,INSTOCK!$K$3:$K$6125))</f>
        <v>5672.9</v>
      </c>
      <c r="H2519" s="50">
        <f t="array" ref="H2519">SUM(IF(INSTOCK!$H$3:$H$6125=B2519,INSTOCK!$I$3:$I$6125))</f>
        <v>1</v>
      </c>
      <c r="I2519" s="50" t="str">
        <f>ARRAY_CONSTRAIN(ARRAYFORMULA(SUM(IF([3]!Table13[ID]=B2519,[3]!Table13[QTY]))), 1, 1)</f>
        <v>#ERROR!</v>
      </c>
      <c r="J2519" s="50" t="str">
        <f>TABLEITEM!$H$3:$H$2749-TABLEITEM!$I$3:$I$2749</f>
        <v>#ERROR!</v>
      </c>
    </row>
    <row r="2520" ht="15.75" customHeight="1">
      <c r="A2520" s="45"/>
      <c r="B2520" s="10" t="s">
        <v>6182</v>
      </c>
      <c r="C2520" s="26"/>
      <c r="D2520" s="10" t="s">
        <v>10109</v>
      </c>
      <c r="E2520" s="48" t="s">
        <v>10108</v>
      </c>
      <c r="F2520" s="57" t="s">
        <v>7173</v>
      </c>
      <c r="G2520" s="49">
        <f t="array" ref="G2520">MAX(IF(INSTOCK!$H$3:$H$6125=B2520,INSTOCK!$K$3:$K$6125))</f>
        <v>2682.24</v>
      </c>
      <c r="H2520" s="50">
        <f t="array" ref="H2520">SUM(IF(INSTOCK!$H$3:$H$6125=B2520,INSTOCK!$I$3:$I$6125))</f>
        <v>1</v>
      </c>
      <c r="I2520" s="50" t="str">
        <f>ARRAY_CONSTRAIN(ARRAYFORMULA(SUM(IF([3]!Table13[ID]=B2520,[3]!Table13[QTY]))), 1, 1)</f>
        <v>#ERROR!</v>
      </c>
      <c r="J2520" s="50" t="str">
        <f>TABLEITEM!$H$3:$H$2749-TABLEITEM!$I$3:$I$2749</f>
        <v>#ERROR!</v>
      </c>
    </row>
    <row r="2521" ht="15.75" customHeight="1">
      <c r="A2521" s="45"/>
      <c r="B2521" s="18" t="s">
        <v>6183</v>
      </c>
      <c r="C2521" s="26"/>
      <c r="D2521" s="18" t="s">
        <v>10110</v>
      </c>
      <c r="E2521" s="56" t="s">
        <v>10108</v>
      </c>
      <c r="F2521" s="57" t="s">
        <v>7173</v>
      </c>
      <c r="G2521" s="49">
        <f t="array" ref="G2521">MAX(IF(INSTOCK!$H$3:$H$6125=B2521,INSTOCK!$K$3:$K$6125))</f>
        <v>1018.69</v>
      </c>
      <c r="H2521" s="50">
        <f t="array" ref="H2521">SUM(IF(INSTOCK!$H$3:$H$6125=B2521,INSTOCK!$I$3:$I$6125))</f>
        <v>1</v>
      </c>
      <c r="I2521" s="50" t="str">
        <f>ARRAY_CONSTRAIN(ARRAYFORMULA(SUM(IF([3]!Table13[ID]=B2521,[3]!Table13[QTY]))), 1, 1)</f>
        <v>#ERROR!</v>
      </c>
      <c r="J2521" s="50" t="str">
        <f>TABLEITEM!$H$3:$H$2749-TABLEITEM!$I$3:$I$2749</f>
        <v>#ERROR!</v>
      </c>
    </row>
    <row r="2522" ht="15.75" customHeight="1">
      <c r="A2522" s="45"/>
      <c r="B2522" s="10" t="s">
        <v>6186</v>
      </c>
      <c r="C2522" s="26"/>
      <c r="D2522" s="10" t="s">
        <v>10111</v>
      </c>
      <c r="E2522" s="48" t="s">
        <v>7188</v>
      </c>
      <c r="F2522" s="57" t="s">
        <v>7173</v>
      </c>
      <c r="G2522" s="49">
        <f t="array" ref="G2522">MAX(IF(INSTOCK!$H$3:$H$6125=B2522,INSTOCK!$K$3:$K$6125))</f>
        <v>310</v>
      </c>
      <c r="H2522" s="50">
        <f t="array" ref="H2522">SUM(IF(INSTOCK!$H$3:$H$6125=B2522,INSTOCK!$I$3:$I$6125))</f>
        <v>1</v>
      </c>
      <c r="I2522" s="50" t="str">
        <f>ARRAY_CONSTRAIN(ARRAYFORMULA(SUM(IF([3]!Table13[ID]=B2522,[3]!Table13[QTY]))), 1, 1)</f>
        <v>#ERROR!</v>
      </c>
      <c r="J2522" s="50" t="str">
        <f>TABLEITEM!$H$3:$H$2749-TABLEITEM!$I$3:$I$2749</f>
        <v>#ERROR!</v>
      </c>
    </row>
    <row r="2523" ht="15.75" customHeight="1">
      <c r="A2523" s="45"/>
      <c r="B2523" s="10" t="s">
        <v>6187</v>
      </c>
      <c r="C2523" s="26"/>
      <c r="D2523" s="10" t="s">
        <v>10112</v>
      </c>
      <c r="E2523" s="48" t="s">
        <v>7188</v>
      </c>
      <c r="F2523" s="57" t="s">
        <v>7173</v>
      </c>
      <c r="G2523" s="49">
        <f t="array" ref="G2523">MAX(IF(INSTOCK!$H$3:$H$6125=B2523,INSTOCK!$K$3:$K$6125))</f>
        <v>310</v>
      </c>
      <c r="H2523" s="50">
        <f t="array" ref="H2523">SUM(IF(INSTOCK!$H$3:$H$6125=B2523,INSTOCK!$I$3:$I$6125))</f>
        <v>1</v>
      </c>
      <c r="I2523" s="50" t="str">
        <f>ARRAY_CONSTRAIN(ARRAYFORMULA(SUM(IF([3]!Table13[ID]=B2523,[3]!Table13[QTY]))), 1, 1)</f>
        <v>#ERROR!</v>
      </c>
      <c r="J2523" s="50" t="str">
        <f>TABLEITEM!$H$3:$H$2749-TABLEITEM!$I$3:$I$2749</f>
        <v>#ERROR!</v>
      </c>
    </row>
    <row r="2524" ht="15.75" customHeight="1">
      <c r="A2524" s="45"/>
      <c r="B2524" s="10" t="s">
        <v>6188</v>
      </c>
      <c r="C2524" s="26"/>
      <c r="D2524" s="10" t="s">
        <v>10113</v>
      </c>
      <c r="E2524" s="48" t="s">
        <v>7188</v>
      </c>
      <c r="F2524" s="57" t="s">
        <v>7173</v>
      </c>
      <c r="G2524" s="49">
        <f t="array" ref="G2524">MAX(IF(INSTOCK!$H$3:$H$6125=B2524,INSTOCK!$K$3:$K$6125))</f>
        <v>525</v>
      </c>
      <c r="H2524" s="50">
        <f t="array" ref="H2524">SUM(IF(INSTOCK!$H$3:$H$6125=B2524,INSTOCK!$I$3:$I$6125))</f>
        <v>1</v>
      </c>
      <c r="I2524" s="50" t="str">
        <f>ARRAY_CONSTRAIN(ARRAYFORMULA(SUM(IF([3]!Table13[ID]=B2524,[3]!Table13[QTY]))), 1, 1)</f>
        <v>#ERROR!</v>
      </c>
      <c r="J2524" s="50" t="str">
        <f>TABLEITEM!$H$3:$H$2749-TABLEITEM!$I$3:$I$2749</f>
        <v>#ERROR!</v>
      </c>
    </row>
    <row r="2525" ht="15.75" customHeight="1">
      <c r="A2525" s="45"/>
      <c r="B2525" s="10" t="s">
        <v>6190</v>
      </c>
      <c r="C2525" s="26"/>
      <c r="D2525" s="10" t="s">
        <v>10114</v>
      </c>
      <c r="E2525" s="48" t="s">
        <v>7188</v>
      </c>
      <c r="F2525" s="57" t="s">
        <v>7173</v>
      </c>
      <c r="G2525" s="49">
        <f t="array" ref="G2525">MAX(IF(INSTOCK!$H$3:$H$6125=B2525,INSTOCK!$K$3:$K$6125))</f>
        <v>525</v>
      </c>
      <c r="H2525" s="50">
        <f t="array" ref="H2525">SUM(IF(INSTOCK!$H$3:$H$6125=B2525,INSTOCK!$I$3:$I$6125))</f>
        <v>4</v>
      </c>
      <c r="I2525" s="50" t="str">
        <f>ARRAY_CONSTRAIN(ARRAYFORMULA(SUM(IF([3]!Table13[ID]=B2525,[3]!Table13[QTY]))), 1, 1)</f>
        <v>#ERROR!</v>
      </c>
      <c r="J2525" s="50" t="str">
        <f>TABLEITEM!$H$3:$H$2749-TABLEITEM!$I$3:$I$2749</f>
        <v>#ERROR!</v>
      </c>
    </row>
    <row r="2526" ht="15.75" customHeight="1">
      <c r="A2526" s="45"/>
      <c r="B2526" s="10" t="s">
        <v>6191</v>
      </c>
      <c r="C2526" s="26"/>
      <c r="D2526" s="10" t="s">
        <v>10115</v>
      </c>
      <c r="E2526" s="48" t="s">
        <v>7188</v>
      </c>
      <c r="F2526" s="57" t="s">
        <v>7173</v>
      </c>
      <c r="G2526" s="49">
        <f t="array" ref="G2526">MAX(IF(INSTOCK!$H$3:$H$6125=B2526,INSTOCK!$K$3:$K$6125))</f>
        <v>1111.5</v>
      </c>
      <c r="H2526" s="50">
        <f t="array" ref="H2526">SUM(IF(INSTOCK!$H$3:$H$6125=B2526,INSTOCK!$I$3:$I$6125))</f>
        <v>1</v>
      </c>
      <c r="I2526" s="50" t="str">
        <f>ARRAY_CONSTRAIN(ARRAYFORMULA(SUM(IF([3]!Table13[ID]=B2526,[3]!Table13[QTY]))), 1, 1)</f>
        <v>#ERROR!</v>
      </c>
      <c r="J2526" s="50" t="str">
        <f>TABLEITEM!$H$3:$H$2749-TABLEITEM!$I$3:$I$2749</f>
        <v>#ERROR!</v>
      </c>
    </row>
    <row r="2527" ht="15.75" customHeight="1">
      <c r="A2527" s="45"/>
      <c r="B2527" s="18" t="s">
        <v>6193</v>
      </c>
      <c r="C2527" s="26"/>
      <c r="D2527" s="18" t="s">
        <v>10116</v>
      </c>
      <c r="E2527" s="48" t="s">
        <v>7188</v>
      </c>
      <c r="F2527" s="57" t="s">
        <v>7173</v>
      </c>
      <c r="G2527" s="49">
        <f t="array" ref="G2527">MAX(IF(INSTOCK!$H$3:$H$6125=B2527,INSTOCK!$K$3:$K$6125))</f>
        <v>1111.5</v>
      </c>
      <c r="H2527" s="50">
        <f t="array" ref="H2527">SUM(IF(INSTOCK!$H$3:$H$6125=B2527,INSTOCK!$I$3:$I$6125))</f>
        <v>3</v>
      </c>
      <c r="I2527" s="50" t="str">
        <f>ARRAY_CONSTRAIN(ARRAYFORMULA(SUM(IF([3]!Table13[ID]=B2527,[3]!Table13[QTY]))), 1, 1)</f>
        <v>#ERROR!</v>
      </c>
      <c r="J2527" s="50" t="str">
        <f>TABLEITEM!$H$3:$H$2749-TABLEITEM!$I$3:$I$2749</f>
        <v>#ERROR!</v>
      </c>
    </row>
    <row r="2528" ht="15.75" customHeight="1">
      <c r="A2528" s="45"/>
      <c r="B2528" s="10" t="s">
        <v>6195</v>
      </c>
      <c r="C2528" s="26"/>
      <c r="D2528" s="10" t="s">
        <v>10117</v>
      </c>
      <c r="E2528" s="48" t="s">
        <v>9510</v>
      </c>
      <c r="F2528" s="57" t="s">
        <v>7173</v>
      </c>
      <c r="G2528" s="49">
        <f t="array" ref="G2528">MAX(IF(INSTOCK!$H$3:$H$6125=B2528,INSTOCK!$K$3:$K$6125))</f>
        <v>275</v>
      </c>
      <c r="H2528" s="50">
        <f t="array" ref="H2528">SUM(IF(INSTOCK!$H$3:$H$6125=B2528,INSTOCK!$I$3:$I$6125))</f>
        <v>2</v>
      </c>
      <c r="I2528" s="50" t="str">
        <f>ARRAY_CONSTRAIN(ARRAYFORMULA(SUM(IF([3]!Table13[ID]=B2528,[3]!Table13[QTY]))), 1, 1)</f>
        <v>#ERROR!</v>
      </c>
      <c r="J2528" s="50" t="str">
        <f>TABLEITEM!$H$3:$H$2749-TABLEITEM!$I$3:$I$2749</f>
        <v>#ERROR!</v>
      </c>
    </row>
    <row r="2529" ht="15.75" customHeight="1">
      <c r="A2529" s="45"/>
      <c r="B2529" s="10" t="s">
        <v>6196</v>
      </c>
      <c r="C2529" s="26"/>
      <c r="D2529" s="10" t="s">
        <v>10118</v>
      </c>
      <c r="E2529" s="48" t="s">
        <v>9510</v>
      </c>
      <c r="F2529" s="57" t="s">
        <v>7173</v>
      </c>
      <c r="G2529" s="49">
        <f t="array" ref="G2529">MAX(IF(INSTOCK!$H$3:$H$6125=B2529,INSTOCK!$K$3:$K$6125))</f>
        <v>275</v>
      </c>
      <c r="H2529" s="50">
        <f t="array" ref="H2529">SUM(IF(INSTOCK!$H$3:$H$6125=B2529,INSTOCK!$I$3:$I$6125))</f>
        <v>1</v>
      </c>
      <c r="I2529" s="50" t="str">
        <f>ARRAY_CONSTRAIN(ARRAYFORMULA(SUM(IF([3]!Table13[ID]=B2529,[3]!Table13[QTY]))), 1, 1)</f>
        <v>#ERROR!</v>
      </c>
      <c r="J2529" s="50" t="str">
        <f>TABLEITEM!$H$3:$H$2749-TABLEITEM!$I$3:$I$2749</f>
        <v>#ERROR!</v>
      </c>
    </row>
    <row r="2530" ht="15.75" customHeight="1">
      <c r="A2530" s="45"/>
      <c r="B2530" s="10" t="s">
        <v>6197</v>
      </c>
      <c r="C2530" s="26"/>
      <c r="D2530" s="10" t="s">
        <v>10119</v>
      </c>
      <c r="E2530" s="48" t="s">
        <v>9510</v>
      </c>
      <c r="F2530" s="57" t="s">
        <v>7173</v>
      </c>
      <c r="G2530" s="49">
        <f t="array" ref="G2530">MAX(IF(INSTOCK!$H$3:$H$6125=B2530,INSTOCK!$K$3:$K$6125))</f>
        <v>165</v>
      </c>
      <c r="H2530" s="50">
        <f t="array" ref="H2530">SUM(IF(INSTOCK!$H$3:$H$6125=B2530,INSTOCK!$I$3:$I$6125))</f>
        <v>2</v>
      </c>
      <c r="I2530" s="50" t="str">
        <f>ARRAY_CONSTRAIN(ARRAYFORMULA(SUM(IF([3]!Table13[ID]=B2530,[3]!Table13[QTY]))), 1, 1)</f>
        <v>#ERROR!</v>
      </c>
      <c r="J2530" s="50" t="str">
        <f>TABLEITEM!$H$3:$H$2749-TABLEITEM!$I$3:$I$2749</f>
        <v>#ERROR!</v>
      </c>
    </row>
    <row r="2531" ht="15.75" customHeight="1">
      <c r="A2531" s="45"/>
      <c r="B2531" s="10" t="s">
        <v>6198</v>
      </c>
      <c r="C2531" s="26"/>
      <c r="D2531" s="10" t="s">
        <v>10120</v>
      </c>
      <c r="E2531" s="48" t="s">
        <v>9510</v>
      </c>
      <c r="F2531" s="57" t="s">
        <v>7173</v>
      </c>
      <c r="G2531" s="49">
        <f t="array" ref="G2531">MAX(IF(INSTOCK!$H$3:$H$6125=B2531,INSTOCK!$K$3:$K$6125))</f>
        <v>165</v>
      </c>
      <c r="H2531" s="50">
        <f t="array" ref="H2531">SUM(IF(INSTOCK!$H$3:$H$6125=B2531,INSTOCK!$I$3:$I$6125))</f>
        <v>2</v>
      </c>
      <c r="I2531" s="50" t="str">
        <f>ARRAY_CONSTRAIN(ARRAYFORMULA(SUM(IF([3]!Table13[ID]=B2531,[3]!Table13[QTY]))), 1, 1)</f>
        <v>#ERROR!</v>
      </c>
      <c r="J2531" s="50" t="str">
        <f>TABLEITEM!$H$3:$H$2749-TABLEITEM!$I$3:$I$2749</f>
        <v>#ERROR!</v>
      </c>
    </row>
    <row r="2532" ht="15.75" customHeight="1">
      <c r="A2532" s="45"/>
      <c r="B2532" s="18" t="s">
        <v>6199</v>
      </c>
      <c r="C2532" s="26"/>
      <c r="D2532" s="10" t="s">
        <v>10121</v>
      </c>
      <c r="E2532" s="48" t="s">
        <v>9510</v>
      </c>
      <c r="F2532" s="57" t="s">
        <v>7173</v>
      </c>
      <c r="G2532" s="49">
        <f t="array" ref="G2532">MAX(IF(INSTOCK!$H$3:$H$6125=B2532,INSTOCK!$K$3:$K$6125))</f>
        <v>535</v>
      </c>
      <c r="H2532" s="50">
        <f t="array" ref="H2532">SUM(IF(INSTOCK!$H$3:$H$6125=B2532,INSTOCK!$I$3:$I$6125))</f>
        <v>2</v>
      </c>
      <c r="I2532" s="50" t="str">
        <f>ARRAY_CONSTRAIN(ARRAYFORMULA(SUM(IF([3]!Table13[ID]=B2532,[3]!Table13[QTY]))), 1, 1)</f>
        <v>#ERROR!</v>
      </c>
      <c r="J2532" s="50" t="str">
        <f>TABLEITEM!$H$3:$H$2749-TABLEITEM!$I$3:$I$2749</f>
        <v>#ERROR!</v>
      </c>
    </row>
    <row r="2533" ht="15.75" customHeight="1">
      <c r="A2533" s="45"/>
      <c r="B2533" s="18" t="s">
        <v>6203</v>
      </c>
      <c r="C2533" s="26"/>
      <c r="D2533" s="18" t="s">
        <v>10122</v>
      </c>
      <c r="E2533" s="56" t="s">
        <v>1504</v>
      </c>
      <c r="F2533" s="57" t="s">
        <v>7173</v>
      </c>
      <c r="G2533" s="49">
        <f t="array" ref="G2533">MAX(IF(INSTOCK!$H$3:$H$6125=B2533,INSTOCK!$K$3:$K$6125))</f>
        <v>1176</v>
      </c>
      <c r="H2533" s="50">
        <f t="array" ref="H2533">SUM(IF(INSTOCK!$H$3:$H$6125=B2533,INSTOCK!$I$3:$I$6125))</f>
        <v>2</v>
      </c>
      <c r="I2533" s="50" t="str">
        <f>ARRAY_CONSTRAIN(ARRAYFORMULA(SUM(IF([3]!Table13[ID]=B2533,[3]!Table13[QTY]))), 1, 1)</f>
        <v>#ERROR!</v>
      </c>
      <c r="J2533" s="50" t="str">
        <f>TABLEITEM!$H$3:$H$2749-TABLEITEM!$I$3:$I$2749</f>
        <v>#ERROR!</v>
      </c>
    </row>
    <row r="2534" ht="15.75" customHeight="1">
      <c r="A2534" s="45"/>
      <c r="B2534" s="10" t="s">
        <v>6214</v>
      </c>
      <c r="C2534" s="26"/>
      <c r="D2534" s="10" t="s">
        <v>10123</v>
      </c>
      <c r="E2534" s="48" t="s">
        <v>10124</v>
      </c>
      <c r="F2534" s="57" t="s">
        <v>7173</v>
      </c>
      <c r="G2534" s="49">
        <f t="array" ref="G2534">MAX(IF(INSTOCK!$H$3:$H$6125=B2534,INSTOCK!$K$3:$K$6125))</f>
        <v>213.75</v>
      </c>
      <c r="H2534" s="50">
        <f t="array" ref="H2534">SUM(IF(INSTOCK!$H$3:$H$6125=B2534,INSTOCK!$I$3:$I$6125))</f>
        <v>3</v>
      </c>
      <c r="I2534" s="50" t="str">
        <f>ARRAY_CONSTRAIN(ARRAYFORMULA(SUM(IF([3]!Table13[ID]=B2534,[3]!Table13[QTY]))), 1, 1)</f>
        <v>#ERROR!</v>
      </c>
      <c r="J2534" s="50" t="str">
        <f>TABLEITEM!$H$3:$H$2749-TABLEITEM!$I$3:$I$2749</f>
        <v>#ERROR!</v>
      </c>
    </row>
    <row r="2535" ht="15.75" customHeight="1">
      <c r="A2535" s="45"/>
      <c r="B2535" s="18" t="s">
        <v>6216</v>
      </c>
      <c r="C2535" s="26"/>
      <c r="D2535" s="18" t="s">
        <v>10125</v>
      </c>
      <c r="E2535" s="56" t="s">
        <v>10124</v>
      </c>
      <c r="F2535" s="57" t="s">
        <v>7173</v>
      </c>
      <c r="G2535" s="49">
        <f t="array" ref="G2535">MAX(IF(INSTOCK!$H$3:$H$6125=B2535,INSTOCK!$K$3:$K$6125))</f>
        <v>10.83</v>
      </c>
      <c r="H2535" s="50">
        <f t="array" ref="H2535">SUM(IF(INSTOCK!$H$3:$H$6125=B2535,INSTOCK!$I$3:$I$6125))</f>
        <v>4</v>
      </c>
      <c r="I2535" s="50" t="str">
        <f>ARRAY_CONSTRAIN(ARRAYFORMULA(SUM(IF([3]!Table13[ID]=B2535,[3]!Table13[QTY]))), 1, 1)</f>
        <v>#ERROR!</v>
      </c>
      <c r="J2535" s="50" t="str">
        <f>TABLEITEM!$H$3:$H$2749-TABLEITEM!$I$3:$I$2749</f>
        <v>#ERROR!</v>
      </c>
    </row>
    <row r="2536" ht="15.75" customHeight="1">
      <c r="A2536" s="45"/>
      <c r="B2536" s="18" t="s">
        <v>6218</v>
      </c>
      <c r="C2536" s="26"/>
      <c r="D2536" s="18" t="s">
        <v>10126</v>
      </c>
      <c r="E2536" s="56" t="s">
        <v>7423</v>
      </c>
      <c r="F2536" s="57" t="s">
        <v>7173</v>
      </c>
      <c r="G2536" s="49">
        <f t="array" ref="G2536">MAX(IF(INSTOCK!$H$3:$H$6125=B2536,INSTOCK!$K$3:$K$6125))</f>
        <v>2800</v>
      </c>
      <c r="H2536" s="50">
        <f t="array" ref="H2536">SUM(IF(INSTOCK!$H$3:$H$6125=B2536,INSTOCK!$I$3:$I$6125))</f>
        <v>1</v>
      </c>
      <c r="I2536" s="50" t="str">
        <f>ARRAY_CONSTRAIN(ARRAYFORMULA(SUM(IF([3]!Table13[ID]=B2536,[3]!Table13[QTY]))), 1, 1)</f>
        <v>#ERROR!</v>
      </c>
      <c r="J2536" s="50" t="str">
        <f>TABLEITEM!$H$3:$H$2749-TABLEITEM!$I$3:$I$2749</f>
        <v>#ERROR!</v>
      </c>
    </row>
    <row r="2537" ht="15.75" customHeight="1">
      <c r="A2537" s="45"/>
      <c r="B2537" s="10" t="s">
        <v>5375</v>
      </c>
      <c r="C2537" s="26"/>
      <c r="D2537" s="10" t="s">
        <v>10127</v>
      </c>
      <c r="E2537" s="48"/>
      <c r="F2537" s="57" t="s">
        <v>7173</v>
      </c>
      <c r="G2537" s="49">
        <f t="array" ref="G2537">MAX(IF(INSTOCK!$H$3:$H$6125=B2537,INSTOCK!$K$3:$K$6125))</f>
        <v>42.06</v>
      </c>
      <c r="H2537" s="50">
        <f t="array" ref="H2537">SUM(IF(INSTOCK!$H$3:$H$6125=B2537,INSTOCK!$I$3:$I$6125))</f>
        <v>7</v>
      </c>
      <c r="I2537" s="50" t="str">
        <f>ARRAY_CONSTRAIN(ARRAYFORMULA(SUM(IF([3]!Table13[ID]=B2537,[3]!Table13[QTY]))), 1, 1)</f>
        <v>#ERROR!</v>
      </c>
      <c r="J2537" s="50" t="str">
        <f>TABLEITEM!$H$3:$H$2749-TABLEITEM!$I$3:$I$2749</f>
        <v>#ERROR!</v>
      </c>
    </row>
    <row r="2538" ht="15.75" customHeight="1">
      <c r="A2538" s="45"/>
      <c r="B2538" s="10" t="s">
        <v>4527</v>
      </c>
      <c r="C2538" s="26"/>
      <c r="D2538" s="10" t="s">
        <v>10128</v>
      </c>
      <c r="E2538" s="48"/>
      <c r="F2538" s="57" t="s">
        <v>7173</v>
      </c>
      <c r="G2538" s="49">
        <f t="array" ref="G2538">MAX(IF(INSTOCK!$H$3:$H$6125=B2538,INSTOCK!$K$3:$K$6125))</f>
        <v>266.36</v>
      </c>
      <c r="H2538" s="50">
        <f t="array" ref="H2538">SUM(IF(INSTOCK!$H$3:$H$6125=B2538,INSTOCK!$I$3:$I$6125))</f>
        <v>1</v>
      </c>
      <c r="I2538" s="50" t="str">
        <f>ARRAY_CONSTRAIN(ARRAYFORMULA(SUM(IF([3]!Table13[ID]=B2538,[3]!Table13[QTY]))), 1, 1)</f>
        <v>#ERROR!</v>
      </c>
      <c r="J2538" s="50" t="str">
        <f>TABLEITEM!$H$3:$H$2749-TABLEITEM!$I$3:$I$2749</f>
        <v>#ERROR!</v>
      </c>
    </row>
    <row r="2539" ht="15.75" customHeight="1">
      <c r="A2539" s="45"/>
      <c r="B2539" s="10" t="s">
        <v>6222</v>
      </c>
      <c r="C2539" s="26"/>
      <c r="D2539" s="10" t="s">
        <v>10129</v>
      </c>
      <c r="E2539" s="48" t="s">
        <v>10130</v>
      </c>
      <c r="F2539" s="57" t="s">
        <v>7173</v>
      </c>
      <c r="G2539" s="49">
        <f t="array" ref="G2539">MAX(IF(INSTOCK!$H$3:$H$6125=B2539,INSTOCK!$K$3:$K$6125))</f>
        <v>37.38</v>
      </c>
      <c r="H2539" s="50">
        <f t="array" ref="H2539">SUM(IF(INSTOCK!$H$3:$H$6125=B2539,INSTOCK!$I$3:$I$6125))</f>
        <v>1</v>
      </c>
      <c r="I2539" s="50" t="str">
        <f>ARRAY_CONSTRAIN(ARRAYFORMULA(SUM(IF([3]!Table13[ID]=B2539,[3]!Table13[QTY]))), 1, 1)</f>
        <v>#ERROR!</v>
      </c>
      <c r="J2539" s="50" t="str">
        <f>TABLEITEM!$H$3:$H$2749-TABLEITEM!$I$3:$I$2749</f>
        <v>#ERROR!</v>
      </c>
    </row>
    <row r="2540" ht="15.75" customHeight="1">
      <c r="A2540" s="45"/>
      <c r="B2540" s="10" t="s">
        <v>6230</v>
      </c>
      <c r="C2540" s="26"/>
      <c r="D2540" s="10" t="s">
        <v>10131</v>
      </c>
      <c r="E2540" s="48" t="s">
        <v>10132</v>
      </c>
      <c r="F2540" s="57" t="s">
        <v>7173</v>
      </c>
      <c r="G2540" s="49">
        <f t="array" ref="G2540">MAX(IF(INSTOCK!$H$3:$H$6125=B2540,INSTOCK!$K$3:$K$6125))</f>
        <v>875.5</v>
      </c>
      <c r="H2540" s="50">
        <f t="array" ref="H2540">SUM(IF(INSTOCK!$H$3:$H$6125=B2540,INSTOCK!$I$3:$I$6125))</f>
        <v>15</v>
      </c>
      <c r="I2540" s="50" t="str">
        <f>ARRAY_CONSTRAIN(ARRAYFORMULA(SUM(IF([3]!Table13[ID]=B2540,[3]!Table13[QTY]))), 1, 1)</f>
        <v>#ERROR!</v>
      </c>
      <c r="J2540" s="50" t="str">
        <f>TABLEITEM!$H$3:$H$2749-TABLEITEM!$I$3:$I$2749</f>
        <v>#ERROR!</v>
      </c>
    </row>
    <row r="2541" ht="15.75" customHeight="1">
      <c r="A2541" s="45"/>
      <c r="B2541" s="18" t="s">
        <v>6238</v>
      </c>
      <c r="C2541" s="26"/>
      <c r="D2541" s="18" t="s">
        <v>10133</v>
      </c>
      <c r="E2541" s="56" t="s">
        <v>743</v>
      </c>
      <c r="F2541" s="48" t="s">
        <v>7189</v>
      </c>
      <c r="G2541" s="49">
        <f t="array" ref="G2541">MAX(IF(INSTOCK!$H$3:$H$6125=B2541,INSTOCK!$K$3:$K$6125))</f>
        <v>125</v>
      </c>
      <c r="H2541" s="50">
        <f t="array" ref="H2541">SUM(IF(INSTOCK!$H$3:$H$6125=B2541,INSTOCK!$I$3:$I$6125))</f>
        <v>20</v>
      </c>
      <c r="I2541" s="50" t="str">
        <f>ARRAY_CONSTRAIN(ARRAYFORMULA(SUM(IF([3]!Table13[ID]=B2541,[3]!Table13[QTY]))), 1, 1)</f>
        <v>#ERROR!</v>
      </c>
      <c r="J2541" s="50" t="str">
        <f>TABLEITEM!$H$3:$H$2749-TABLEITEM!$I$3:$I$2749</f>
        <v>#ERROR!</v>
      </c>
    </row>
    <row r="2542" ht="15.75" customHeight="1">
      <c r="A2542" s="45"/>
      <c r="B2542" s="10" t="s">
        <v>6240</v>
      </c>
      <c r="C2542" s="26"/>
      <c r="D2542" s="10" t="s">
        <v>10134</v>
      </c>
      <c r="E2542" s="48" t="s">
        <v>8587</v>
      </c>
      <c r="F2542" s="57" t="s">
        <v>7173</v>
      </c>
      <c r="G2542" s="49">
        <f t="array" ref="G2542">MAX(IF(INSTOCK!$H$3:$H$6125=B2542,INSTOCK!$K$3:$K$6125))</f>
        <v>3750</v>
      </c>
      <c r="H2542" s="50">
        <f t="array" ref="H2542">SUM(IF(INSTOCK!$H$3:$H$6125=B2542,INSTOCK!$I$3:$I$6125))</f>
        <v>1</v>
      </c>
      <c r="I2542" s="50" t="str">
        <f>ARRAY_CONSTRAIN(ARRAYFORMULA(SUM(IF([3]!Table13[ID]=B2542,[3]!Table13[QTY]))), 1, 1)</f>
        <v>#ERROR!</v>
      </c>
      <c r="J2542" s="50" t="str">
        <f>TABLEITEM!$H$3:$H$2749-TABLEITEM!$I$3:$I$2749</f>
        <v>#ERROR!</v>
      </c>
    </row>
    <row r="2543" ht="15.75" customHeight="1">
      <c r="A2543" s="45"/>
      <c r="B2543" s="10" t="s">
        <v>6241</v>
      </c>
      <c r="C2543" s="26"/>
      <c r="D2543" s="10" t="s">
        <v>10135</v>
      </c>
      <c r="E2543" s="48" t="s">
        <v>8587</v>
      </c>
      <c r="F2543" s="57" t="s">
        <v>7173</v>
      </c>
      <c r="G2543" s="49">
        <f t="array" ref="G2543">MAX(IF(INSTOCK!$H$3:$H$6125=B2543,INSTOCK!$K$3:$K$6125))</f>
        <v>3750</v>
      </c>
      <c r="H2543" s="50">
        <f t="array" ref="H2543">SUM(IF(INSTOCK!$H$3:$H$6125=B2543,INSTOCK!$I$3:$I$6125))</f>
        <v>1</v>
      </c>
      <c r="I2543" s="50" t="str">
        <f>ARRAY_CONSTRAIN(ARRAYFORMULA(SUM(IF([3]!Table13[ID]=B2543,[3]!Table13[QTY]))), 1, 1)</f>
        <v>#ERROR!</v>
      </c>
      <c r="J2543" s="50" t="str">
        <f>TABLEITEM!$H$3:$H$2749-TABLEITEM!$I$3:$I$2749</f>
        <v>#ERROR!</v>
      </c>
    </row>
    <row r="2544" ht="15.75" customHeight="1">
      <c r="A2544" s="45"/>
      <c r="B2544" s="10" t="s">
        <v>6242</v>
      </c>
      <c r="C2544" s="26"/>
      <c r="D2544" s="10" t="s">
        <v>10136</v>
      </c>
      <c r="E2544" s="48" t="s">
        <v>8587</v>
      </c>
      <c r="F2544" s="57" t="s">
        <v>7173</v>
      </c>
      <c r="G2544" s="49">
        <f t="array" ref="G2544">MAX(IF(INSTOCK!$H$3:$H$6125=B2544,INSTOCK!$K$3:$K$6125))</f>
        <v>3750</v>
      </c>
      <c r="H2544" s="50">
        <f t="array" ref="H2544">SUM(IF(INSTOCK!$H$3:$H$6125=B2544,INSTOCK!$I$3:$I$6125))</f>
        <v>1</v>
      </c>
      <c r="I2544" s="50" t="str">
        <f>ARRAY_CONSTRAIN(ARRAYFORMULA(SUM(IF([3]!Table13[ID]=B2544,[3]!Table13[QTY]))), 1, 1)</f>
        <v>#ERROR!</v>
      </c>
      <c r="J2544" s="50" t="str">
        <f>TABLEITEM!$H$3:$H$2749-TABLEITEM!$I$3:$I$2749</f>
        <v>#ERROR!</v>
      </c>
    </row>
    <row r="2545" ht="15.75" customHeight="1">
      <c r="A2545" s="45"/>
      <c r="B2545" s="18" t="s">
        <v>6243</v>
      </c>
      <c r="C2545" s="26"/>
      <c r="D2545" s="18" t="s">
        <v>10137</v>
      </c>
      <c r="E2545" s="48" t="s">
        <v>8587</v>
      </c>
      <c r="F2545" s="57" t="s">
        <v>7173</v>
      </c>
      <c r="G2545" s="49">
        <f t="array" ref="G2545">MAX(IF(INSTOCK!$H$3:$H$6125=B2545,INSTOCK!$K$3:$K$6125))</f>
        <v>2500</v>
      </c>
      <c r="H2545" s="50">
        <f t="array" ref="H2545">SUM(IF(INSTOCK!$H$3:$H$6125=B2545,INSTOCK!$I$3:$I$6125))</f>
        <v>1</v>
      </c>
      <c r="I2545" s="50" t="str">
        <f>ARRAY_CONSTRAIN(ARRAYFORMULA(SUM(IF([3]!Table13[ID]=B2545,[3]!Table13[QTY]))), 1, 1)</f>
        <v>#ERROR!</v>
      </c>
      <c r="J2545" s="50" t="str">
        <f>TABLEITEM!$H$3:$H$2749-TABLEITEM!$I$3:$I$2749</f>
        <v>#ERROR!</v>
      </c>
    </row>
    <row r="2546" ht="15.75" customHeight="1">
      <c r="A2546" s="45"/>
      <c r="B2546" s="10" t="s">
        <v>6253</v>
      </c>
      <c r="C2546" s="26"/>
      <c r="D2546" s="10" t="s">
        <v>10138</v>
      </c>
      <c r="E2546" s="48" t="s">
        <v>10139</v>
      </c>
      <c r="F2546" s="57" t="s">
        <v>7173</v>
      </c>
      <c r="G2546" s="49">
        <f t="array" ref="G2546">MAX(IF(INSTOCK!$H$3:$H$6125=B2546,INSTOCK!$K$3:$K$6125))</f>
        <v>31.5</v>
      </c>
      <c r="H2546" s="50">
        <f t="array" ref="H2546">SUM(IF(INSTOCK!$H$3:$H$6125=B2546,INSTOCK!$I$3:$I$6125))</f>
        <v>50</v>
      </c>
      <c r="I2546" s="50" t="str">
        <f>ARRAY_CONSTRAIN(ARRAYFORMULA(SUM(IF([3]!Table13[ID]=B2546,[3]!Table13[QTY]))), 1, 1)</f>
        <v>#ERROR!</v>
      </c>
      <c r="J2546" s="50" t="str">
        <f>TABLEITEM!$H$3:$H$2749-TABLEITEM!$I$3:$I$2749</f>
        <v>#ERROR!</v>
      </c>
    </row>
    <row r="2547" ht="15.75" customHeight="1">
      <c r="A2547" s="45"/>
      <c r="B2547" s="10" t="s">
        <v>6255</v>
      </c>
      <c r="C2547" s="26"/>
      <c r="D2547" s="10" t="s">
        <v>10140</v>
      </c>
      <c r="E2547" s="48" t="s">
        <v>10139</v>
      </c>
      <c r="F2547" s="57" t="s">
        <v>7173</v>
      </c>
      <c r="G2547" s="49">
        <f t="array" ref="G2547">MAX(IF(INSTOCK!$H$3:$H$6125=B2547,INSTOCK!$K$3:$K$6125))</f>
        <v>63</v>
      </c>
      <c r="H2547" s="50">
        <f t="array" ref="H2547">SUM(IF(INSTOCK!$H$3:$H$6125=B2547,INSTOCK!$I$3:$I$6125))</f>
        <v>20</v>
      </c>
      <c r="I2547" s="50" t="str">
        <f>ARRAY_CONSTRAIN(ARRAYFORMULA(SUM(IF([3]!Table13[ID]=B2547,[3]!Table13[QTY]))), 1, 1)</f>
        <v>#ERROR!</v>
      </c>
      <c r="J2547" s="50" t="str">
        <f>TABLEITEM!$H$3:$H$2749-TABLEITEM!$I$3:$I$2749</f>
        <v>#ERROR!</v>
      </c>
    </row>
    <row r="2548" ht="15.75" customHeight="1">
      <c r="A2548" s="45"/>
      <c r="B2548" s="10" t="s">
        <v>6257</v>
      </c>
      <c r="C2548" s="26"/>
      <c r="D2548" s="10" t="s">
        <v>10141</v>
      </c>
      <c r="E2548" s="48" t="s">
        <v>10139</v>
      </c>
      <c r="F2548" s="57" t="s">
        <v>7173</v>
      </c>
      <c r="G2548" s="49">
        <f t="array" ref="G2548">MAX(IF(INSTOCK!$H$3:$H$6125=B2548,INSTOCK!$K$3:$K$6125))</f>
        <v>98</v>
      </c>
      <c r="H2548" s="50">
        <f t="array" ref="H2548">SUM(IF(INSTOCK!$H$3:$H$6125=B2548,INSTOCK!$I$3:$I$6125))</f>
        <v>20</v>
      </c>
      <c r="I2548" s="50" t="str">
        <f>ARRAY_CONSTRAIN(ARRAYFORMULA(SUM(IF([3]!Table13[ID]=B2548,[3]!Table13[QTY]))), 1, 1)</f>
        <v>#ERROR!</v>
      </c>
      <c r="J2548" s="50" t="str">
        <f>TABLEITEM!$H$3:$H$2749-TABLEITEM!$I$3:$I$2749</f>
        <v>#ERROR!</v>
      </c>
    </row>
    <row r="2549" ht="15.75" customHeight="1">
      <c r="A2549" s="45"/>
      <c r="B2549" s="18" t="s">
        <v>6259</v>
      </c>
      <c r="C2549" s="26"/>
      <c r="D2549" s="10" t="s">
        <v>10142</v>
      </c>
      <c r="E2549" s="48" t="s">
        <v>10139</v>
      </c>
      <c r="F2549" s="57" t="s">
        <v>7173</v>
      </c>
      <c r="G2549" s="49">
        <f t="array" ref="G2549">MAX(IF(INSTOCK!$H$3:$H$6125=B2549,INSTOCK!$K$3:$K$6125))</f>
        <v>196</v>
      </c>
      <c r="H2549" s="50">
        <f t="array" ref="H2549">SUM(IF(INSTOCK!$H$3:$H$6125=B2549,INSTOCK!$I$3:$I$6125))</f>
        <v>10</v>
      </c>
      <c r="I2549" s="50" t="str">
        <f>ARRAY_CONSTRAIN(ARRAYFORMULA(SUM(IF([3]!Table13[ID]=B2549,[3]!Table13[QTY]))), 1, 1)</f>
        <v>#ERROR!</v>
      </c>
      <c r="J2549" s="50" t="str">
        <f>TABLEITEM!$H$3:$H$2749-TABLEITEM!$I$3:$I$2749</f>
        <v>#ERROR!</v>
      </c>
    </row>
    <row r="2550" ht="15.75" customHeight="1">
      <c r="A2550" s="45"/>
      <c r="B2550" s="18" t="s">
        <v>6263</v>
      </c>
      <c r="C2550" s="26"/>
      <c r="D2550" s="18" t="s">
        <v>10143</v>
      </c>
      <c r="E2550" s="56" t="s">
        <v>9510</v>
      </c>
      <c r="F2550" s="57" t="s">
        <v>7173</v>
      </c>
      <c r="G2550" s="49">
        <f t="array" ref="G2550">MAX(IF(INSTOCK!$H$3:$H$6125=B2550,INSTOCK!$K$3:$K$6125))</f>
        <v>8600</v>
      </c>
      <c r="H2550" s="50">
        <f t="array" ref="H2550">SUM(IF(INSTOCK!$H$3:$H$6125=B2550,INSTOCK!$I$3:$I$6125))</f>
        <v>2</v>
      </c>
      <c r="I2550" s="50" t="str">
        <f>ARRAY_CONSTRAIN(ARRAYFORMULA(SUM(IF([3]!Table13[ID]=B2550,[3]!Table13[QTY]))), 1, 1)</f>
        <v>#ERROR!</v>
      </c>
      <c r="J2550" s="50" t="str">
        <f>TABLEITEM!$H$3:$H$2749-TABLEITEM!$I$3:$I$2749</f>
        <v>#ERROR!</v>
      </c>
    </row>
    <row r="2551" ht="15.75" customHeight="1">
      <c r="A2551" s="45"/>
      <c r="B2551" s="18" t="s">
        <v>6266</v>
      </c>
      <c r="C2551" s="26"/>
      <c r="D2551" s="18" t="s">
        <v>10144</v>
      </c>
      <c r="E2551" s="56" t="s">
        <v>10145</v>
      </c>
      <c r="F2551" s="57" t="s">
        <v>7173</v>
      </c>
      <c r="G2551" s="49">
        <f t="array" ref="G2551">MAX(IF(INSTOCK!$H$3:$H$6125=B2551,INSTOCK!$K$3:$K$6125))</f>
        <v>50</v>
      </c>
      <c r="H2551" s="50">
        <f t="array" ref="H2551">SUM(IF(INSTOCK!$H$3:$H$6125=B2551,INSTOCK!$I$3:$I$6125))</f>
        <v>16</v>
      </c>
      <c r="I2551" s="50" t="str">
        <f>ARRAY_CONSTRAIN(ARRAYFORMULA(SUM(IF([3]!Table13[ID]=B2551,[3]!Table13[QTY]))), 1, 1)</f>
        <v>#ERROR!</v>
      </c>
      <c r="J2551" s="50" t="str">
        <f>TABLEITEM!$H$3:$H$2749-TABLEITEM!$I$3:$I$2749</f>
        <v>#ERROR!</v>
      </c>
    </row>
    <row r="2552" ht="15.75" customHeight="1">
      <c r="A2552" s="45"/>
      <c r="B2552" s="18" t="s">
        <v>6275</v>
      </c>
      <c r="C2552" s="26"/>
      <c r="D2552" s="18" t="s">
        <v>10146</v>
      </c>
      <c r="E2552" s="56" t="s">
        <v>10147</v>
      </c>
      <c r="F2552" s="57" t="s">
        <v>7173</v>
      </c>
      <c r="G2552" s="49">
        <f t="array" ref="G2552">MAX(IF(INSTOCK!$H$3:$H$6125=B2552,INSTOCK!$K$3:$K$6125))</f>
        <v>382.5</v>
      </c>
      <c r="H2552" s="50">
        <f t="array" ref="H2552">SUM(IF(INSTOCK!$H$3:$H$6125=B2552,INSTOCK!$I$3:$I$6125))</f>
        <v>3</v>
      </c>
      <c r="I2552" s="50" t="str">
        <f>ARRAY_CONSTRAIN(ARRAYFORMULA(SUM(IF([3]!Table13[ID]=B2552,[3]!Table13[QTY]))), 1, 1)</f>
        <v>#ERROR!</v>
      </c>
      <c r="J2552" s="50" t="str">
        <f>TABLEITEM!$H$3:$H$2749-TABLEITEM!$I$3:$I$2749</f>
        <v>#ERROR!</v>
      </c>
    </row>
    <row r="2553" ht="15.75" customHeight="1">
      <c r="A2553" s="45"/>
      <c r="B2553" s="10" t="s">
        <v>6279</v>
      </c>
      <c r="C2553" s="26"/>
      <c r="D2553" s="10" t="s">
        <v>10148</v>
      </c>
      <c r="E2553" s="48" t="s">
        <v>1487</v>
      </c>
      <c r="F2553" s="57" t="s">
        <v>7173</v>
      </c>
      <c r="G2553" s="49">
        <f t="array" ref="G2553">MAX(IF(INSTOCK!$H$3:$H$6125=B2553,INSTOCK!$K$3:$K$6125))</f>
        <v>110.7</v>
      </c>
      <c r="H2553" s="50">
        <f t="array" ref="H2553">SUM(IF(INSTOCK!$H$3:$H$6125=B2553,INSTOCK!$I$3:$I$6125))</f>
        <v>1</v>
      </c>
      <c r="I2553" s="50" t="str">
        <f>ARRAY_CONSTRAIN(ARRAYFORMULA(SUM(IF([3]!Table13[ID]=B2553,[3]!Table13[QTY]))), 1, 1)</f>
        <v>#ERROR!</v>
      </c>
      <c r="J2553" s="50" t="str">
        <f>TABLEITEM!$H$3:$H$2749-TABLEITEM!$I$3:$I$2749</f>
        <v>#ERROR!</v>
      </c>
    </row>
    <row r="2554" ht="15.75" customHeight="1">
      <c r="A2554" s="45"/>
      <c r="B2554" s="18" t="s">
        <v>6280</v>
      </c>
      <c r="C2554" s="26"/>
      <c r="D2554" s="18" t="s">
        <v>10149</v>
      </c>
      <c r="E2554" s="56" t="s">
        <v>1487</v>
      </c>
      <c r="F2554" s="57" t="s">
        <v>7173</v>
      </c>
      <c r="G2554" s="49">
        <f t="array" ref="G2554">MAX(IF(INSTOCK!$H$3:$H$6125=B2554,INSTOCK!$K$3:$K$6125))</f>
        <v>217.3</v>
      </c>
      <c r="H2554" s="50">
        <f t="array" ref="H2554">SUM(IF(INSTOCK!$H$3:$H$6125=B2554,INSTOCK!$I$3:$I$6125))</f>
        <v>1</v>
      </c>
      <c r="I2554" s="50" t="str">
        <f>ARRAY_CONSTRAIN(ARRAYFORMULA(SUM(IF([3]!Table13[ID]=B2554,[3]!Table13[QTY]))), 1, 1)</f>
        <v>#ERROR!</v>
      </c>
      <c r="J2554" s="50" t="str">
        <f>TABLEITEM!$H$3:$H$2749-TABLEITEM!$I$3:$I$2749</f>
        <v>#ERROR!</v>
      </c>
    </row>
    <row r="2555" ht="15.75" customHeight="1">
      <c r="A2555" s="45"/>
      <c r="B2555" s="10" t="s">
        <v>6284</v>
      </c>
      <c r="C2555" s="26"/>
      <c r="D2555" s="10" t="s">
        <v>10150</v>
      </c>
      <c r="E2555" s="56" t="s">
        <v>1487</v>
      </c>
      <c r="F2555" s="57" t="s">
        <v>7173</v>
      </c>
      <c r="G2555" s="49">
        <f t="array" ref="G2555">MAX(IF(INSTOCK!$H$3:$H$6125=B2555,INSTOCK!$K$3:$K$6125))</f>
        <v>135.3</v>
      </c>
      <c r="H2555" s="50">
        <f t="array" ref="H2555">SUM(IF(INSTOCK!$H$3:$H$6125=B2555,INSTOCK!$I$3:$I$6125))</f>
        <v>3</v>
      </c>
      <c r="I2555" s="50" t="str">
        <f>ARRAY_CONSTRAIN(ARRAYFORMULA(SUM(IF([3]!Table13[ID]=B2555,[3]!Table13[QTY]))), 1, 1)</f>
        <v>#ERROR!</v>
      </c>
      <c r="J2555" s="50" t="str">
        <f>TABLEITEM!$H$3:$H$2749-TABLEITEM!$I$3:$I$2749</f>
        <v>#ERROR!</v>
      </c>
    </row>
    <row r="2556" ht="15.75" customHeight="1">
      <c r="A2556" s="45"/>
      <c r="B2556" s="10" t="s">
        <v>6285</v>
      </c>
      <c r="C2556" s="26"/>
      <c r="D2556" s="10" t="s">
        <v>10151</v>
      </c>
      <c r="E2556" s="56" t="s">
        <v>1487</v>
      </c>
      <c r="F2556" s="57" t="s">
        <v>7173</v>
      </c>
      <c r="G2556" s="49">
        <f t="array" ref="G2556">MAX(IF(INSTOCK!$H$3:$H$6125=B2556,INSTOCK!$K$3:$K$6125))</f>
        <v>135.3</v>
      </c>
      <c r="H2556" s="50">
        <f t="array" ref="H2556">SUM(IF(INSTOCK!$H$3:$H$6125=B2556,INSTOCK!$I$3:$I$6125))</f>
        <v>3</v>
      </c>
      <c r="I2556" s="50" t="str">
        <f>ARRAY_CONSTRAIN(ARRAYFORMULA(SUM(IF([3]!Table13[ID]=B2556,[3]!Table13[QTY]))), 1, 1)</f>
        <v>#ERROR!</v>
      </c>
      <c r="J2556" s="50" t="str">
        <f>TABLEITEM!$H$3:$H$2749-TABLEITEM!$I$3:$I$2749</f>
        <v>#ERROR!</v>
      </c>
    </row>
    <row r="2557" ht="15.75" customHeight="1">
      <c r="A2557" s="45"/>
      <c r="B2557" s="10" t="s">
        <v>6286</v>
      </c>
      <c r="C2557" s="26"/>
      <c r="D2557" s="10" t="s">
        <v>10152</v>
      </c>
      <c r="E2557" s="56" t="s">
        <v>1487</v>
      </c>
      <c r="F2557" s="57" t="s">
        <v>7173</v>
      </c>
      <c r="G2557" s="49">
        <f t="array" ref="G2557">MAX(IF(INSTOCK!$H$3:$H$6125=B2557,INSTOCK!$K$3:$K$6125))</f>
        <v>303.4</v>
      </c>
      <c r="H2557" s="50">
        <f t="array" ref="H2557">SUM(IF(INSTOCK!$H$3:$H$6125=B2557,INSTOCK!$I$3:$I$6125))</f>
        <v>3</v>
      </c>
      <c r="I2557" s="50" t="str">
        <f>ARRAY_CONSTRAIN(ARRAYFORMULA(SUM(IF([3]!Table13[ID]=B2557,[3]!Table13[QTY]))), 1, 1)</f>
        <v>#ERROR!</v>
      </c>
      <c r="J2557" s="50" t="str">
        <f>TABLEITEM!$H$3:$H$2749-TABLEITEM!$I$3:$I$2749</f>
        <v>#ERROR!</v>
      </c>
    </row>
    <row r="2558" ht="15.75" customHeight="1">
      <c r="A2558" s="45"/>
      <c r="B2558" s="18" t="s">
        <v>6287</v>
      </c>
      <c r="C2558" s="26"/>
      <c r="D2558" s="18" t="s">
        <v>10153</v>
      </c>
      <c r="E2558" s="56" t="s">
        <v>1487</v>
      </c>
      <c r="F2558" s="57" t="s">
        <v>7173</v>
      </c>
      <c r="G2558" s="49">
        <f t="array" ref="G2558">MAX(IF(INSTOCK!$H$3:$H$6125=B2558,INSTOCK!$K$3:$K$6125))</f>
        <v>225.5</v>
      </c>
      <c r="H2558" s="50">
        <f t="array" ref="H2558">SUM(IF(INSTOCK!$H$3:$H$6125=B2558,INSTOCK!$I$3:$I$6125))</f>
        <v>4</v>
      </c>
      <c r="I2558" s="50" t="str">
        <f>ARRAY_CONSTRAIN(ARRAYFORMULA(SUM(IF([3]!Table13[ID]=B2558,[3]!Table13[QTY]))), 1, 1)</f>
        <v>#ERROR!</v>
      </c>
      <c r="J2558" s="50" t="str">
        <f>TABLEITEM!$H$3:$H$2749-TABLEITEM!$I$3:$I$2749</f>
        <v>#ERROR!</v>
      </c>
    </row>
    <row r="2559" ht="15.75" customHeight="1">
      <c r="A2559" s="45"/>
      <c r="B2559" s="10" t="s">
        <v>6291</v>
      </c>
      <c r="C2559" s="26"/>
      <c r="D2559" s="10" t="s">
        <v>10154</v>
      </c>
      <c r="E2559" s="48" t="s">
        <v>7641</v>
      </c>
      <c r="F2559" s="57" t="s">
        <v>7173</v>
      </c>
      <c r="G2559" s="49">
        <f t="array" ref="G2559">MAX(IF(INSTOCK!$H$3:$H$6125=B2559,INSTOCK!$K$3:$K$6125))</f>
        <v>82</v>
      </c>
      <c r="H2559" s="50">
        <f t="array" ref="H2559">SUM(IF(INSTOCK!$H$3:$H$6125=B2559,INSTOCK!$I$3:$I$6125))</f>
        <v>50</v>
      </c>
      <c r="I2559" s="50" t="str">
        <f>ARRAY_CONSTRAIN(ARRAYFORMULA(SUM(IF([3]!Table13[ID]=B2559,[3]!Table13[QTY]))), 1, 1)</f>
        <v>#ERROR!</v>
      </c>
      <c r="J2559" s="50" t="str">
        <f>TABLEITEM!$H$3:$H$2749-TABLEITEM!$I$3:$I$2749</f>
        <v>#ERROR!</v>
      </c>
    </row>
    <row r="2560" ht="15.75" customHeight="1">
      <c r="A2560" s="45"/>
      <c r="B2560" s="10" t="s">
        <v>6292</v>
      </c>
      <c r="C2560" s="26"/>
      <c r="D2560" s="10" t="s">
        <v>10155</v>
      </c>
      <c r="E2560" s="48" t="s">
        <v>7641</v>
      </c>
      <c r="F2560" s="57" t="s">
        <v>7173</v>
      </c>
      <c r="G2560" s="49">
        <f t="array" ref="G2560">MAX(IF(INSTOCK!$H$3:$H$6125=B2560,INSTOCK!$K$3:$K$6125))</f>
        <v>68</v>
      </c>
      <c r="H2560" s="50">
        <f t="array" ref="H2560">SUM(IF(INSTOCK!$H$3:$H$6125=B2560,INSTOCK!$I$3:$I$6125))</f>
        <v>30</v>
      </c>
      <c r="I2560" s="50" t="str">
        <f>ARRAY_CONSTRAIN(ARRAYFORMULA(SUM(IF([3]!Table13[ID]=B2560,[3]!Table13[QTY]))), 1, 1)</f>
        <v>#ERROR!</v>
      </c>
      <c r="J2560" s="50" t="str">
        <f>TABLEITEM!$H$3:$H$2749-TABLEITEM!$I$3:$I$2749</f>
        <v>#ERROR!</v>
      </c>
    </row>
    <row r="2561" ht="15.75" customHeight="1">
      <c r="A2561" s="45"/>
      <c r="B2561" s="18" t="s">
        <v>6295</v>
      </c>
      <c r="C2561" s="26"/>
      <c r="D2561" s="18" t="s">
        <v>10156</v>
      </c>
      <c r="E2561" s="56" t="s">
        <v>1504</v>
      </c>
      <c r="F2561" s="57" t="s">
        <v>7173</v>
      </c>
      <c r="G2561" s="49">
        <f t="array" ref="G2561">MAX(IF(INSTOCK!$H$3:$H$6125=B2561,INSTOCK!$K$3:$K$6125))</f>
        <v>188.1</v>
      </c>
      <c r="H2561" s="50">
        <f t="array" ref="H2561">SUM(IF(INSTOCK!$H$3:$H$6125=B2561,INSTOCK!$I$3:$I$6125))</f>
        <v>7</v>
      </c>
      <c r="I2561" s="50" t="str">
        <f>ARRAY_CONSTRAIN(ARRAYFORMULA(SUM(IF([3]!Table13[ID]=B2561,[3]!Table13[QTY]))), 1, 1)</f>
        <v>#ERROR!</v>
      </c>
      <c r="J2561" s="50" t="str">
        <f>TABLEITEM!$H$3:$H$2749-TABLEITEM!$I$3:$I$2749</f>
        <v>#ERROR!</v>
      </c>
    </row>
    <row r="2562" ht="15.75" customHeight="1">
      <c r="A2562" s="45"/>
      <c r="B2562" s="10" t="s">
        <v>6298</v>
      </c>
      <c r="C2562" s="26"/>
      <c r="D2562" s="10" t="s">
        <v>10157</v>
      </c>
      <c r="E2562" s="56" t="s">
        <v>1504</v>
      </c>
      <c r="F2562" s="57" t="s">
        <v>7173</v>
      </c>
      <c r="G2562" s="49">
        <f t="array" ref="G2562">MAX(IF(INSTOCK!$H$3:$H$6125=B2562,INSTOCK!$K$3:$K$6125))</f>
        <v>2570</v>
      </c>
      <c r="H2562" s="50">
        <f t="array" ref="H2562">SUM(IF(INSTOCK!$H$3:$H$6125=B2562,INSTOCK!$I$3:$I$6125))</f>
        <v>1</v>
      </c>
      <c r="I2562" s="50" t="str">
        <f>ARRAY_CONSTRAIN(ARRAYFORMULA(SUM(IF([3]!Table13[ID]=B2562,[3]!Table13[QTY]))), 1, 1)</f>
        <v>#ERROR!</v>
      </c>
      <c r="J2562" s="50" t="str">
        <f>TABLEITEM!$H$3:$H$2749-TABLEITEM!$I$3:$I$2749</f>
        <v>#ERROR!</v>
      </c>
    </row>
    <row r="2563" ht="15.75" customHeight="1">
      <c r="A2563" s="45"/>
      <c r="B2563" s="10" t="s">
        <v>6299</v>
      </c>
      <c r="C2563" s="26"/>
      <c r="D2563" s="10" t="s">
        <v>10158</v>
      </c>
      <c r="E2563" s="56" t="s">
        <v>1504</v>
      </c>
      <c r="F2563" s="57" t="s">
        <v>7173</v>
      </c>
      <c r="G2563" s="49">
        <f t="array" ref="G2563">MAX(IF(INSTOCK!$H$3:$H$6125=B2563,INSTOCK!$K$3:$K$6125))</f>
        <v>951.57</v>
      </c>
      <c r="H2563" s="50">
        <f t="array" ref="H2563">SUM(IF(INSTOCK!$H$3:$H$6125=B2563,INSTOCK!$I$3:$I$6125))</f>
        <v>1</v>
      </c>
      <c r="I2563" s="50" t="str">
        <f>ARRAY_CONSTRAIN(ARRAYFORMULA(SUM(IF([3]!Table13[ID]=B2563,[3]!Table13[QTY]))), 1, 1)</f>
        <v>#ERROR!</v>
      </c>
      <c r="J2563" s="50" t="str">
        <f>TABLEITEM!$H$3:$H$2749-TABLEITEM!$I$3:$I$2749</f>
        <v>#ERROR!</v>
      </c>
    </row>
    <row r="2564" ht="15.75" customHeight="1">
      <c r="A2564" s="45"/>
      <c r="B2564" s="18" t="s">
        <v>6301</v>
      </c>
      <c r="C2564" s="26"/>
      <c r="D2564" s="18" t="s">
        <v>10159</v>
      </c>
      <c r="E2564" s="56" t="s">
        <v>1504</v>
      </c>
      <c r="F2564" s="57" t="s">
        <v>7173</v>
      </c>
      <c r="G2564" s="49">
        <f t="array" ref="G2564">MAX(IF(INSTOCK!$H$3:$H$6125=B2564,INSTOCK!$K$3:$K$6125))</f>
        <v>229.16</v>
      </c>
      <c r="H2564" s="50">
        <f t="array" ref="H2564">SUM(IF(INSTOCK!$H$3:$H$6125=B2564,INSTOCK!$I$3:$I$6125))</f>
        <v>1</v>
      </c>
      <c r="I2564" s="50" t="str">
        <f>ARRAY_CONSTRAIN(ARRAYFORMULA(SUM(IF([3]!Table13[ID]=B2564,[3]!Table13[QTY]))), 1, 1)</f>
        <v>#ERROR!</v>
      </c>
      <c r="J2564" s="50" t="str">
        <f>TABLEITEM!$H$3:$H$2749-TABLEITEM!$I$3:$I$2749</f>
        <v>#ERROR!</v>
      </c>
    </row>
    <row r="2565" ht="15.75" customHeight="1">
      <c r="A2565" s="45"/>
      <c r="B2565" s="10" t="s">
        <v>6305</v>
      </c>
      <c r="C2565" s="26"/>
      <c r="D2565" s="10" t="s">
        <v>10160</v>
      </c>
      <c r="E2565" s="48" t="s">
        <v>1487</v>
      </c>
      <c r="F2565" s="57" t="s">
        <v>7173</v>
      </c>
      <c r="G2565" s="49">
        <f t="array" ref="G2565">MAX(IF(INSTOCK!$H$3:$H$6125=B2565,INSTOCK!$K$3:$K$6125))</f>
        <v>110.7</v>
      </c>
      <c r="H2565" s="50">
        <f t="array" ref="H2565">SUM(IF(INSTOCK!$H$3:$H$6125=B2565,INSTOCK!$I$3:$I$6125))</f>
        <v>1</v>
      </c>
      <c r="I2565" s="50" t="str">
        <f>ARRAY_CONSTRAIN(ARRAYFORMULA(SUM(IF([3]!Table13[ID]=B2565,[3]!Table13[QTY]))), 1, 1)</f>
        <v>#ERROR!</v>
      </c>
      <c r="J2565" s="50" t="str">
        <f>TABLEITEM!$H$3:$H$2749-TABLEITEM!$I$3:$I$2749</f>
        <v>#ERROR!</v>
      </c>
    </row>
    <row r="2566" ht="15.75" customHeight="1">
      <c r="A2566" s="45"/>
      <c r="B2566" s="10" t="s">
        <v>6307</v>
      </c>
      <c r="C2566" s="26"/>
      <c r="D2566" s="10" t="s">
        <v>10161</v>
      </c>
      <c r="E2566" s="48" t="s">
        <v>1487</v>
      </c>
      <c r="F2566" s="57" t="s">
        <v>7173</v>
      </c>
      <c r="G2566" s="49">
        <f t="array" ref="G2566">MAX(IF(INSTOCK!$H$3:$H$6125=B2566,INSTOCK!$K$3:$K$6125))</f>
        <v>110.7</v>
      </c>
      <c r="H2566" s="50">
        <f t="array" ref="H2566">SUM(IF(INSTOCK!$H$3:$H$6125=B2566,INSTOCK!$I$3:$I$6125))</f>
        <v>2</v>
      </c>
      <c r="I2566" s="50" t="str">
        <f>ARRAY_CONSTRAIN(ARRAYFORMULA(SUM(IF([3]!Table13[ID]=B2566,[3]!Table13[QTY]))), 1, 1)</f>
        <v>#ERROR!</v>
      </c>
      <c r="J2566" s="50" t="str">
        <f>TABLEITEM!$H$3:$H$2749-TABLEITEM!$I$3:$I$2749</f>
        <v>#ERROR!</v>
      </c>
    </row>
    <row r="2567" ht="15.75" customHeight="1">
      <c r="A2567" s="45"/>
      <c r="B2567" s="10" t="s">
        <v>6308</v>
      </c>
      <c r="C2567" s="26"/>
      <c r="D2567" s="10" t="s">
        <v>10162</v>
      </c>
      <c r="E2567" s="48" t="s">
        <v>1487</v>
      </c>
      <c r="F2567" s="57" t="s">
        <v>7173</v>
      </c>
      <c r="G2567" s="49">
        <f t="array" ref="G2567">MAX(IF(INSTOCK!$H$3:$H$6125=B2567,INSTOCK!$K$3:$K$6125))</f>
        <v>110.7</v>
      </c>
      <c r="H2567" s="50">
        <f t="array" ref="H2567">SUM(IF(INSTOCK!$H$3:$H$6125=B2567,INSTOCK!$I$3:$I$6125))</f>
        <v>2</v>
      </c>
      <c r="I2567" s="50" t="str">
        <f>ARRAY_CONSTRAIN(ARRAYFORMULA(SUM(IF([3]!Table13[ID]=B2567,[3]!Table13[QTY]))), 1, 1)</f>
        <v>#ERROR!</v>
      </c>
      <c r="J2567" s="50" t="str">
        <f>TABLEITEM!$H$3:$H$2749-TABLEITEM!$I$3:$I$2749</f>
        <v>#ERROR!</v>
      </c>
    </row>
    <row r="2568" ht="15.75" customHeight="1">
      <c r="A2568" s="45"/>
      <c r="B2568" s="18" t="s">
        <v>6309</v>
      </c>
      <c r="C2568" s="26"/>
      <c r="D2568" s="10" t="s">
        <v>10163</v>
      </c>
      <c r="E2568" s="48" t="s">
        <v>1487</v>
      </c>
      <c r="F2568" s="57" t="s">
        <v>7173</v>
      </c>
      <c r="G2568" s="49">
        <f t="array" ref="G2568">MAX(IF(INSTOCK!$H$3:$H$6125=B2568,INSTOCK!$K$3:$K$6125))</f>
        <v>110.7</v>
      </c>
      <c r="H2568" s="50">
        <f t="array" ref="H2568">SUM(IF(INSTOCK!$H$3:$H$6125=B2568,INSTOCK!$I$3:$I$6125))</f>
        <v>2</v>
      </c>
      <c r="I2568" s="50" t="str">
        <f>ARRAY_CONSTRAIN(ARRAYFORMULA(SUM(IF([3]!Table13[ID]=B2568,[3]!Table13[QTY]))), 1, 1)</f>
        <v>#ERROR!</v>
      </c>
      <c r="J2568" s="50" t="str">
        <f>TABLEITEM!$H$3:$H$2749-TABLEITEM!$I$3:$I$2749</f>
        <v>#ERROR!</v>
      </c>
    </row>
    <row r="2569" ht="15.75" customHeight="1">
      <c r="A2569" s="45"/>
      <c r="B2569" s="10" t="s">
        <v>4727</v>
      </c>
      <c r="C2569" s="26"/>
      <c r="D2569" s="10" t="s">
        <v>10164</v>
      </c>
      <c r="E2569" s="48"/>
      <c r="F2569" s="57" t="s">
        <v>7173</v>
      </c>
      <c r="G2569" s="49">
        <f t="array" ref="G2569">MAX(IF(INSTOCK!$H$3:$H$6125=B2569,INSTOCK!$K$3:$K$6125))</f>
        <v>387.85</v>
      </c>
      <c r="H2569" s="50">
        <f t="array" ref="H2569">SUM(IF(INSTOCK!$H$3:$H$6125=B2569,INSTOCK!$I$3:$I$6125))</f>
        <v>1</v>
      </c>
      <c r="I2569" s="50" t="str">
        <f>ARRAY_CONSTRAIN(ARRAYFORMULA(SUM(IF([3]!Table13[ID]=B2569,[3]!Table13[QTY]))), 1, 1)</f>
        <v>#ERROR!</v>
      </c>
      <c r="J2569" s="50" t="str">
        <f>TABLEITEM!$H$3:$H$2749-TABLEITEM!$I$3:$I$2749</f>
        <v>#ERROR!</v>
      </c>
    </row>
    <row r="2570" ht="15.75" customHeight="1">
      <c r="A2570" s="45"/>
      <c r="B2570" s="18" t="s">
        <v>6178</v>
      </c>
      <c r="C2570" s="26"/>
      <c r="D2570" s="18" t="s">
        <v>10165</v>
      </c>
      <c r="E2570" s="56" t="s">
        <v>10166</v>
      </c>
      <c r="F2570" s="57" t="s">
        <v>7173</v>
      </c>
      <c r="G2570" s="49">
        <f t="array" ref="G2570">MAX(IF(INSTOCK!$H$3:$H$6125=B2570,INSTOCK!$K$3:$K$6125))</f>
        <v>551.4</v>
      </c>
      <c r="H2570" s="50">
        <f t="array" ref="H2570">SUM(IF(INSTOCK!$H$3:$H$6125=B2570,INSTOCK!$I$3:$I$6125))</f>
        <v>2</v>
      </c>
      <c r="I2570" s="50" t="str">
        <f>ARRAY_CONSTRAIN(ARRAYFORMULA(SUM(IF([3]!Table13[ID]=B2570,[3]!Table13[QTY]))), 1, 1)</f>
        <v>#ERROR!</v>
      </c>
      <c r="J2570" s="50" t="str">
        <f>TABLEITEM!$H$3:$H$2749-TABLEITEM!$I$3:$I$2749</f>
        <v>#ERROR!</v>
      </c>
    </row>
    <row r="2571" ht="15.75" customHeight="1">
      <c r="A2571" s="45"/>
      <c r="B2571" s="10" t="s">
        <v>6316</v>
      </c>
      <c r="C2571" s="26"/>
      <c r="D2571" s="10" t="s">
        <v>10167</v>
      </c>
      <c r="E2571" s="48" t="s">
        <v>8235</v>
      </c>
      <c r="F2571" s="57" t="s">
        <v>7173</v>
      </c>
      <c r="G2571" s="49">
        <f t="array" ref="G2571">MAX(IF(INSTOCK!$H$3:$H$6125=B2571,INSTOCK!$K$3:$K$6125))</f>
        <v>3.6</v>
      </c>
      <c r="H2571" s="50">
        <f t="array" ref="H2571">SUM(IF(INSTOCK!$H$3:$H$6125=B2571,INSTOCK!$I$3:$I$6125))</f>
        <v>25</v>
      </c>
      <c r="I2571" s="50" t="str">
        <f>ARRAY_CONSTRAIN(ARRAYFORMULA(SUM(IF([3]!Table13[ID]=B2571,[3]!Table13[QTY]))), 1, 1)</f>
        <v>#ERROR!</v>
      </c>
      <c r="J2571" s="50" t="str">
        <f>TABLEITEM!$H$3:$H$2749-TABLEITEM!$I$3:$I$2749</f>
        <v>#ERROR!</v>
      </c>
    </row>
    <row r="2572" ht="15.75" customHeight="1">
      <c r="A2572" s="45"/>
      <c r="B2572" s="10" t="s">
        <v>6318</v>
      </c>
      <c r="C2572" s="26"/>
      <c r="D2572" s="10" t="s">
        <v>10168</v>
      </c>
      <c r="E2572" s="48" t="s">
        <v>8235</v>
      </c>
      <c r="F2572" s="57" t="s">
        <v>7173</v>
      </c>
      <c r="G2572" s="49">
        <f t="array" ref="G2572">MAX(IF(INSTOCK!$H$3:$H$6125=B2572,INSTOCK!$K$3:$K$6125))</f>
        <v>3.6</v>
      </c>
      <c r="H2572" s="50">
        <f t="array" ref="H2572">SUM(IF(INSTOCK!$H$3:$H$6125=B2572,INSTOCK!$I$3:$I$6125))</f>
        <v>25</v>
      </c>
      <c r="I2572" s="50" t="str">
        <f>ARRAY_CONSTRAIN(ARRAYFORMULA(SUM(IF([3]!Table13[ID]=B2572,[3]!Table13[QTY]))), 1, 1)</f>
        <v>#ERROR!</v>
      </c>
      <c r="J2572" s="50" t="str">
        <f>TABLEITEM!$H$3:$H$2749-TABLEITEM!$I$3:$I$2749</f>
        <v>#ERROR!</v>
      </c>
    </row>
    <row r="2573" ht="15.75" customHeight="1">
      <c r="A2573" s="45"/>
      <c r="B2573" s="18" t="s">
        <v>6319</v>
      </c>
      <c r="C2573" s="26"/>
      <c r="D2573" s="10" t="s">
        <v>10169</v>
      </c>
      <c r="E2573" s="48" t="s">
        <v>8235</v>
      </c>
      <c r="F2573" s="57" t="s">
        <v>7173</v>
      </c>
      <c r="G2573" s="49">
        <f t="array" ref="G2573">MAX(IF(INSTOCK!$H$3:$H$6125=B2573,INSTOCK!$K$3:$K$6125))</f>
        <v>3.6</v>
      </c>
      <c r="H2573" s="50">
        <f t="array" ref="H2573">SUM(IF(INSTOCK!$H$3:$H$6125=B2573,INSTOCK!$I$3:$I$6125))</f>
        <v>25</v>
      </c>
      <c r="I2573" s="50" t="str">
        <f>ARRAY_CONSTRAIN(ARRAYFORMULA(SUM(IF([3]!Table13[ID]=B2573,[3]!Table13[QTY]))), 1, 1)</f>
        <v>#ERROR!</v>
      </c>
      <c r="J2573" s="50" t="str">
        <f>TABLEITEM!$H$3:$H$2749-TABLEITEM!$I$3:$I$2749</f>
        <v>#ERROR!</v>
      </c>
    </row>
    <row r="2574" ht="15.75" customHeight="1">
      <c r="A2574" s="45"/>
      <c r="B2574" s="10" t="s">
        <v>6321</v>
      </c>
      <c r="C2574" s="26"/>
      <c r="D2574" s="10" t="s">
        <v>10170</v>
      </c>
      <c r="E2574" s="48"/>
      <c r="F2574" s="57" t="s">
        <v>7173</v>
      </c>
      <c r="G2574" s="49">
        <f t="array" ref="G2574">MAX(IF(INSTOCK!$H$3:$H$6125=B2574,INSTOCK!$K$3:$K$6125))</f>
        <v>40.5</v>
      </c>
      <c r="H2574" s="50">
        <f t="array" ref="H2574">SUM(IF(INSTOCK!$H$3:$H$6125=B2574,INSTOCK!$I$3:$I$6125))</f>
        <v>50</v>
      </c>
      <c r="I2574" s="50" t="str">
        <f>ARRAY_CONSTRAIN(ARRAYFORMULA(SUM(IF([3]!Table13[ID]=B2574,[3]!Table13[QTY]))), 1, 1)</f>
        <v>#ERROR!</v>
      </c>
      <c r="J2574" s="50" t="str">
        <f>TABLEITEM!$H$3:$H$2749-TABLEITEM!$I$3:$I$2749</f>
        <v>#ERROR!</v>
      </c>
    </row>
    <row r="2575" ht="15.75" customHeight="1">
      <c r="A2575" s="45"/>
      <c r="B2575" s="18" t="s">
        <v>6323</v>
      </c>
      <c r="C2575" s="26"/>
      <c r="D2575" s="18" t="s">
        <v>10171</v>
      </c>
      <c r="E2575" s="56"/>
      <c r="F2575" s="57" t="s">
        <v>7173</v>
      </c>
      <c r="G2575" s="49">
        <f t="array" ref="G2575">MAX(IF(INSTOCK!$H$3:$H$6125=B2575,INSTOCK!$K$3:$K$6125))</f>
        <v>54</v>
      </c>
      <c r="H2575" s="50">
        <f t="array" ref="H2575">SUM(IF(INSTOCK!$H$3:$H$6125=B2575,INSTOCK!$I$3:$I$6125))</f>
        <v>20</v>
      </c>
      <c r="I2575" s="50" t="str">
        <f>ARRAY_CONSTRAIN(ARRAYFORMULA(SUM(IF([3]!Table13[ID]=B2575,[3]!Table13[QTY]))), 1, 1)</f>
        <v>#ERROR!</v>
      </c>
      <c r="J2575" s="50" t="str">
        <f>TABLEITEM!$H$3:$H$2749-TABLEITEM!$I$3:$I$2749</f>
        <v>#ERROR!</v>
      </c>
    </row>
    <row r="2576" ht="15.75" customHeight="1">
      <c r="A2576" s="45"/>
      <c r="B2576" s="10" t="s">
        <v>6328</v>
      </c>
      <c r="C2576" s="26"/>
      <c r="D2576" s="10" t="s">
        <v>10172</v>
      </c>
      <c r="E2576" s="48" t="s">
        <v>10173</v>
      </c>
      <c r="F2576" s="57" t="s">
        <v>7173</v>
      </c>
      <c r="G2576" s="49">
        <f t="array" ref="G2576">MAX(IF(INSTOCK!$H$3:$H$6125=B2576,INSTOCK!$K$3:$K$6125))</f>
        <v>936</v>
      </c>
      <c r="H2576" s="50">
        <f t="array" ref="H2576">SUM(IF(INSTOCK!$H$3:$H$6125=B2576,INSTOCK!$I$3:$I$6125))</f>
        <v>1</v>
      </c>
      <c r="I2576" s="50" t="str">
        <f>ARRAY_CONSTRAIN(ARRAYFORMULA(SUM(IF([3]!Table13[ID]=B2576,[3]!Table13[QTY]))), 1, 1)</f>
        <v>#ERROR!</v>
      </c>
      <c r="J2576" s="50" t="str">
        <f>TABLEITEM!$H$3:$H$2749-TABLEITEM!$I$3:$I$2749</f>
        <v>#ERROR!</v>
      </c>
    </row>
    <row r="2577" ht="15.75" customHeight="1">
      <c r="A2577" s="45"/>
      <c r="B2577" s="10" t="s">
        <v>6329</v>
      </c>
      <c r="C2577" s="26"/>
      <c r="D2577" s="10" t="s">
        <v>10174</v>
      </c>
      <c r="E2577" s="48" t="s">
        <v>10173</v>
      </c>
      <c r="F2577" s="57" t="s">
        <v>7173</v>
      </c>
      <c r="G2577" s="49">
        <f t="array" ref="G2577">MAX(IF(INSTOCK!$H$3:$H$6125=B2577,INSTOCK!$K$3:$K$6125))</f>
        <v>79</v>
      </c>
      <c r="H2577" s="50">
        <f t="array" ref="H2577">SUM(IF(INSTOCK!$H$3:$H$6125=B2577,INSTOCK!$I$3:$I$6125))</f>
        <v>4</v>
      </c>
      <c r="I2577" s="50" t="str">
        <f>ARRAY_CONSTRAIN(ARRAYFORMULA(SUM(IF([3]!Table13[ID]=B2577,[3]!Table13[QTY]))), 1, 1)</f>
        <v>#ERROR!</v>
      </c>
      <c r="J2577" s="50" t="str">
        <f>TABLEITEM!$H$3:$H$2749-TABLEITEM!$I$3:$I$2749</f>
        <v>#ERROR!</v>
      </c>
    </row>
    <row r="2578" ht="15.75" customHeight="1">
      <c r="A2578" s="45"/>
      <c r="B2578" s="10" t="s">
        <v>6330</v>
      </c>
      <c r="C2578" s="26"/>
      <c r="D2578" s="10" t="s">
        <v>10175</v>
      </c>
      <c r="E2578" s="48" t="s">
        <v>10173</v>
      </c>
      <c r="F2578" s="57" t="s">
        <v>7173</v>
      </c>
      <c r="G2578" s="49">
        <f t="array" ref="G2578">MAX(IF(INSTOCK!$H$3:$H$6125=B2578,INSTOCK!$K$3:$K$6125))</f>
        <v>79</v>
      </c>
      <c r="H2578" s="50">
        <f t="array" ref="H2578">SUM(IF(INSTOCK!$H$3:$H$6125=B2578,INSTOCK!$I$3:$I$6125))</f>
        <v>4</v>
      </c>
      <c r="I2578" s="50" t="str">
        <f>ARRAY_CONSTRAIN(ARRAYFORMULA(SUM(IF([3]!Table13[ID]=B2578,[3]!Table13[QTY]))), 1, 1)</f>
        <v>#ERROR!</v>
      </c>
      <c r="J2578" s="50" t="str">
        <f>TABLEITEM!$H$3:$H$2749-TABLEITEM!$I$3:$I$2749</f>
        <v>#ERROR!</v>
      </c>
    </row>
    <row r="2579" ht="15.75" customHeight="1">
      <c r="A2579" s="45"/>
      <c r="B2579" s="10" t="s">
        <v>6331</v>
      </c>
      <c r="C2579" s="26"/>
      <c r="D2579" s="10" t="s">
        <v>10176</v>
      </c>
      <c r="E2579" s="48" t="s">
        <v>10173</v>
      </c>
      <c r="F2579" s="57" t="s">
        <v>7173</v>
      </c>
      <c r="G2579" s="49">
        <f t="array" ref="G2579">MAX(IF(INSTOCK!$H$3:$H$6125=B2579,INSTOCK!$K$3:$K$6125))</f>
        <v>1605</v>
      </c>
      <c r="H2579" s="50">
        <f t="array" ref="H2579">SUM(IF(INSTOCK!$H$3:$H$6125=B2579,INSTOCK!$I$3:$I$6125))</f>
        <v>2</v>
      </c>
      <c r="I2579" s="50" t="str">
        <f>ARRAY_CONSTRAIN(ARRAYFORMULA(SUM(IF([3]!Table13[ID]=B2579,[3]!Table13[QTY]))), 1, 1)</f>
        <v>#ERROR!</v>
      </c>
      <c r="J2579" s="50" t="str">
        <f>TABLEITEM!$H$3:$H$2749-TABLEITEM!$I$3:$I$2749</f>
        <v>#ERROR!</v>
      </c>
    </row>
    <row r="2580" ht="15.75" customHeight="1">
      <c r="A2580" s="45"/>
      <c r="B2580" s="18" t="s">
        <v>6332</v>
      </c>
      <c r="C2580" s="26"/>
      <c r="D2580" s="18" t="s">
        <v>10177</v>
      </c>
      <c r="E2580" s="48" t="s">
        <v>10173</v>
      </c>
      <c r="F2580" s="57" t="s">
        <v>7173</v>
      </c>
      <c r="G2580" s="49">
        <f t="array" ref="G2580">MAX(IF(INSTOCK!$H$3:$H$6125=B2580,INSTOCK!$K$3:$K$6125))</f>
        <v>405</v>
      </c>
      <c r="H2580" s="50">
        <f t="array" ref="H2580">SUM(IF(INSTOCK!$H$3:$H$6125=B2580,INSTOCK!$I$3:$I$6125))</f>
        <v>2</v>
      </c>
      <c r="I2580" s="50" t="str">
        <f>ARRAY_CONSTRAIN(ARRAYFORMULA(SUM(IF([3]!Table13[ID]=B2580,[3]!Table13[QTY]))), 1, 1)</f>
        <v>#ERROR!</v>
      </c>
      <c r="J2580" s="50" t="str">
        <f>TABLEITEM!$H$3:$H$2749-TABLEITEM!$I$3:$I$2749</f>
        <v>#ERROR!</v>
      </c>
    </row>
    <row r="2581" ht="15.75" customHeight="1">
      <c r="A2581" s="45"/>
      <c r="B2581" s="10" t="s">
        <v>6333</v>
      </c>
      <c r="C2581" s="26"/>
      <c r="D2581" s="10" t="s">
        <v>10178</v>
      </c>
      <c r="E2581" s="48" t="s">
        <v>1831</v>
      </c>
      <c r="F2581" s="57" t="s">
        <v>7173</v>
      </c>
      <c r="G2581" s="49">
        <f t="array" ref="G2581">MAX(IF(INSTOCK!$H$3:$H$6125=B2581,INSTOCK!$K$3:$K$6125))</f>
        <v>56</v>
      </c>
      <c r="H2581" s="50">
        <f t="array" ref="H2581">SUM(IF(INSTOCK!$H$3:$H$6125=B2581,INSTOCK!$I$3:$I$6125))</f>
        <v>50</v>
      </c>
      <c r="I2581" s="50" t="str">
        <f>ARRAY_CONSTRAIN(ARRAYFORMULA(SUM(IF([3]!Table13[ID]=B2581,[3]!Table13[QTY]))), 1, 1)</f>
        <v>#ERROR!</v>
      </c>
      <c r="J2581" s="50" t="str">
        <f>TABLEITEM!$H$3:$H$2749-TABLEITEM!$I$3:$I$2749</f>
        <v>#ERROR!</v>
      </c>
    </row>
    <row r="2582" ht="15.75" customHeight="1">
      <c r="A2582" s="45"/>
      <c r="B2582" s="18" t="s">
        <v>6335</v>
      </c>
      <c r="C2582" s="26"/>
      <c r="D2582" s="18" t="s">
        <v>10179</v>
      </c>
      <c r="E2582" s="48" t="s">
        <v>1831</v>
      </c>
      <c r="F2582" s="57" t="s">
        <v>7173</v>
      </c>
      <c r="G2582" s="49">
        <f t="array" ref="G2582">MAX(IF(INSTOCK!$H$3:$H$6125=B2582,INSTOCK!$K$3:$K$6125))</f>
        <v>56</v>
      </c>
      <c r="H2582" s="50">
        <f t="array" ref="H2582">SUM(IF(INSTOCK!$H$3:$H$6125=B2582,INSTOCK!$I$3:$I$6125))</f>
        <v>50</v>
      </c>
      <c r="I2582" s="50" t="str">
        <f>ARRAY_CONSTRAIN(ARRAYFORMULA(SUM(IF([3]!Table13[ID]=B2582,[3]!Table13[QTY]))), 1, 1)</f>
        <v>#ERROR!</v>
      </c>
      <c r="J2582" s="50" t="str">
        <f>TABLEITEM!$H$3:$H$2749-TABLEITEM!$I$3:$I$2749</f>
        <v>#ERROR!</v>
      </c>
    </row>
    <row r="2583" ht="15.75" customHeight="1">
      <c r="A2583" s="45"/>
      <c r="B2583" s="18" t="s">
        <v>6343</v>
      </c>
      <c r="C2583" s="26"/>
      <c r="D2583" s="18" t="s">
        <v>10180</v>
      </c>
      <c r="E2583" s="56" t="s">
        <v>1504</v>
      </c>
      <c r="F2583" s="57" t="s">
        <v>7173</v>
      </c>
      <c r="G2583" s="49">
        <f t="array" ref="G2583">MAX(IF(INSTOCK!$H$3:$H$6125=B2583,INSTOCK!$K$3:$K$6125))</f>
        <v>215</v>
      </c>
      <c r="H2583" s="50">
        <f t="array" ref="H2583">SUM(IF(INSTOCK!$H$3:$H$6125=B2583,INSTOCK!$I$3:$I$6125))</f>
        <v>3</v>
      </c>
      <c r="I2583" s="50" t="str">
        <f>ARRAY_CONSTRAIN(ARRAYFORMULA(SUM(IF([3]!Table13[ID]=B2583,[3]!Table13[QTY]))), 1, 1)</f>
        <v>#ERROR!</v>
      </c>
      <c r="J2583" s="50" t="str">
        <f>TABLEITEM!$H$3:$H$2749-TABLEITEM!$I$3:$I$2749</f>
        <v>#ERROR!</v>
      </c>
    </row>
    <row r="2584" ht="15.75" customHeight="1">
      <c r="A2584" s="45"/>
      <c r="B2584" s="18" t="s">
        <v>6346</v>
      </c>
      <c r="C2584" s="26"/>
      <c r="D2584" s="18" t="s">
        <v>10181</v>
      </c>
      <c r="E2584" s="56" t="s">
        <v>1487</v>
      </c>
      <c r="F2584" s="57" t="s">
        <v>7173</v>
      </c>
      <c r="G2584" s="49">
        <f t="array" ref="G2584">MAX(IF(INSTOCK!$H$3:$H$6125=B2584,INSTOCK!$K$3:$K$6125))</f>
        <v>1340</v>
      </c>
      <c r="H2584" s="50">
        <f t="array" ref="H2584">SUM(IF(INSTOCK!$H$3:$H$6125=B2584,INSTOCK!$I$3:$I$6125))</f>
        <v>4</v>
      </c>
      <c r="I2584" s="50" t="str">
        <f>ARRAY_CONSTRAIN(ARRAYFORMULA(SUM(IF([3]!Table13[ID]=B2584,[3]!Table13[QTY]))), 1, 1)</f>
        <v>#ERROR!</v>
      </c>
      <c r="J2584" s="50" t="str">
        <f>TABLEITEM!$H$3:$H$2749-TABLEITEM!$I$3:$I$2749</f>
        <v>#ERROR!</v>
      </c>
    </row>
    <row r="2585" ht="15.75" customHeight="1">
      <c r="A2585" s="45"/>
      <c r="B2585" s="18" t="s">
        <v>6349</v>
      </c>
      <c r="C2585" s="26"/>
      <c r="D2585" s="18" t="s">
        <v>10182</v>
      </c>
      <c r="E2585" s="56" t="s">
        <v>10183</v>
      </c>
      <c r="F2585" s="57" t="s">
        <v>7173</v>
      </c>
      <c r="G2585" s="49">
        <f t="array" ref="G2585">MAX(IF(INSTOCK!$H$3:$H$6125=B2585,INSTOCK!$K$3:$K$6125))</f>
        <v>289</v>
      </c>
      <c r="H2585" s="50">
        <f t="array" ref="H2585">SUM(IF(INSTOCK!$H$3:$H$6125=B2585,INSTOCK!$I$3:$I$6125))</f>
        <v>1</v>
      </c>
      <c r="I2585" s="50" t="str">
        <f>ARRAY_CONSTRAIN(ARRAYFORMULA(SUM(IF([3]!Table13[ID]=B2585,[3]!Table13[QTY]))), 1, 1)</f>
        <v>#ERROR!</v>
      </c>
      <c r="J2585" s="50" t="str">
        <f>TABLEITEM!$H$3:$H$2749-TABLEITEM!$I$3:$I$2749</f>
        <v>#ERROR!</v>
      </c>
    </row>
    <row r="2586" ht="15.75" customHeight="1">
      <c r="A2586" s="45"/>
      <c r="B2586" s="18" t="s">
        <v>6358</v>
      </c>
      <c r="C2586" s="26"/>
      <c r="D2586" s="18" t="s">
        <v>10184</v>
      </c>
      <c r="E2586" s="56" t="s">
        <v>3313</v>
      </c>
      <c r="F2586" s="57" t="s">
        <v>7173</v>
      </c>
      <c r="G2586" s="49">
        <f t="array" ref="G2586">MAX(IF(INSTOCK!$H$3:$H$6125=B2586,INSTOCK!$K$3:$K$6125))</f>
        <v>225</v>
      </c>
      <c r="H2586" s="50">
        <f t="array" ref="H2586">SUM(IF(INSTOCK!$H$3:$H$6125=B2586,INSTOCK!$I$3:$I$6125))</f>
        <v>1</v>
      </c>
      <c r="I2586" s="50" t="str">
        <f>ARRAY_CONSTRAIN(ARRAYFORMULA(SUM(IF([3]!Table13[ID]=B2586,[3]!Table13[QTY]))), 1, 1)</f>
        <v>#ERROR!</v>
      </c>
      <c r="J2586" s="50" t="str">
        <f>TABLEITEM!$H$3:$H$2749-TABLEITEM!$I$3:$I$2749</f>
        <v>#ERROR!</v>
      </c>
    </row>
    <row r="2587" ht="15.75" customHeight="1">
      <c r="A2587" s="45"/>
      <c r="B2587" s="10" t="s">
        <v>6362</v>
      </c>
      <c r="C2587" s="26"/>
      <c r="D2587" s="10" t="s">
        <v>10185</v>
      </c>
      <c r="E2587" s="48" t="s">
        <v>7188</v>
      </c>
      <c r="F2587" s="57" t="s">
        <v>7173</v>
      </c>
      <c r="G2587" s="49">
        <f t="array" ref="G2587">MAX(IF(INSTOCK!$H$3:$H$6125=B2587,INSTOCK!$K$3:$K$6125))</f>
        <v>1500</v>
      </c>
      <c r="H2587" s="50">
        <f t="array" ref="H2587">SUM(IF(INSTOCK!$H$3:$H$6125=B2587,INSTOCK!$I$3:$I$6125))</f>
        <v>1</v>
      </c>
      <c r="I2587" s="50" t="str">
        <f>ARRAY_CONSTRAIN(ARRAYFORMULA(SUM(IF([3]!Table13[ID]=B2587,[3]!Table13[QTY]))), 1, 1)</f>
        <v>#ERROR!</v>
      </c>
      <c r="J2587" s="50" t="str">
        <f>TABLEITEM!$H$3:$H$2749-TABLEITEM!$I$3:$I$2749</f>
        <v>#ERROR!</v>
      </c>
    </row>
    <row r="2588" ht="15.75" customHeight="1">
      <c r="A2588" s="45"/>
      <c r="B2588" s="10" t="s">
        <v>6363</v>
      </c>
      <c r="C2588" s="26"/>
      <c r="D2588" s="10" t="s">
        <v>10186</v>
      </c>
      <c r="E2588" s="48" t="s">
        <v>7188</v>
      </c>
      <c r="F2588" s="57" t="s">
        <v>7173</v>
      </c>
      <c r="G2588" s="49">
        <f t="array" ref="G2588">MAX(IF(INSTOCK!$H$3:$H$6125=B2588,INSTOCK!$K$3:$K$6125))</f>
        <v>4015</v>
      </c>
      <c r="H2588" s="50">
        <f t="array" ref="H2588">SUM(IF(INSTOCK!$H$3:$H$6125=B2588,INSTOCK!$I$3:$I$6125))</f>
        <v>1</v>
      </c>
      <c r="I2588" s="50" t="str">
        <f>ARRAY_CONSTRAIN(ARRAYFORMULA(SUM(IF([3]!Table13[ID]=B2588,[3]!Table13[QTY]))), 1, 1)</f>
        <v>#ERROR!</v>
      </c>
      <c r="J2588" s="50" t="str">
        <f>TABLEITEM!$H$3:$H$2749-TABLEITEM!$I$3:$I$2749</f>
        <v>#ERROR!</v>
      </c>
    </row>
    <row r="2589" ht="15.75" customHeight="1">
      <c r="A2589" s="45"/>
      <c r="B2589" s="18" t="s">
        <v>6364</v>
      </c>
      <c r="C2589" s="26"/>
      <c r="D2589" s="10" t="s">
        <v>10187</v>
      </c>
      <c r="E2589" s="48" t="s">
        <v>7188</v>
      </c>
      <c r="F2589" s="57" t="s">
        <v>7173</v>
      </c>
      <c r="G2589" s="49">
        <f t="array" ref="G2589">MAX(IF(INSTOCK!$H$3:$H$6125=B2589,INSTOCK!$K$3:$K$6125))</f>
        <v>4070</v>
      </c>
      <c r="H2589" s="50">
        <f t="array" ref="H2589">SUM(IF(INSTOCK!$H$3:$H$6125=B2589,INSTOCK!$I$3:$I$6125))</f>
        <v>1</v>
      </c>
      <c r="I2589" s="50" t="str">
        <f>ARRAY_CONSTRAIN(ARRAYFORMULA(SUM(IF([3]!Table13[ID]=B2589,[3]!Table13[QTY]))), 1, 1)</f>
        <v>#ERROR!</v>
      </c>
      <c r="J2589" s="50" t="str">
        <f>TABLEITEM!$H$3:$H$2749-TABLEITEM!$I$3:$I$2749</f>
        <v>#ERROR!</v>
      </c>
    </row>
    <row r="2590" ht="15.75" customHeight="1">
      <c r="A2590" s="45"/>
      <c r="B2590" s="18" t="s">
        <v>6377</v>
      </c>
      <c r="C2590" s="26"/>
      <c r="D2590" s="18" t="s">
        <v>10188</v>
      </c>
      <c r="E2590" s="56" t="s">
        <v>10189</v>
      </c>
      <c r="F2590" s="57" t="s">
        <v>7173</v>
      </c>
      <c r="G2590" s="49">
        <f t="array" ref="G2590">MAX(IF(INSTOCK!$H$3:$H$6125=B2590,INSTOCK!$K$3:$K$6125))</f>
        <v>3040</v>
      </c>
      <c r="H2590" s="50">
        <f t="array" ref="H2590">SUM(IF(INSTOCK!$H$3:$H$6125=B2590,INSTOCK!$I$3:$I$6125))</f>
        <v>1</v>
      </c>
      <c r="I2590" s="50" t="str">
        <f>ARRAY_CONSTRAIN(ARRAYFORMULA(SUM(IF([3]!Table13[ID]=B2590,[3]!Table13[QTY]))), 1, 1)</f>
        <v>#ERROR!</v>
      </c>
      <c r="J2590" s="50" t="str">
        <f>TABLEITEM!$H$3:$H$2749-TABLEITEM!$I$3:$I$2749</f>
        <v>#ERROR!</v>
      </c>
    </row>
    <row r="2591" ht="15.75" customHeight="1">
      <c r="A2591" s="45"/>
      <c r="B2591" s="18" t="s">
        <v>6389</v>
      </c>
      <c r="C2591" s="26"/>
      <c r="D2591" s="18" t="s">
        <v>10190</v>
      </c>
      <c r="E2591" s="56" t="s">
        <v>10191</v>
      </c>
      <c r="F2591" s="57" t="s">
        <v>7173</v>
      </c>
      <c r="G2591" s="49">
        <f t="array" ref="G2591">MAX(IF(INSTOCK!$H$3:$H$6125=B2591,INSTOCK!$K$3:$K$6125))</f>
        <v>2990</v>
      </c>
      <c r="H2591" s="50">
        <f t="array" ref="H2591">SUM(IF(INSTOCK!$H$3:$H$6125=B2591,INSTOCK!$I$3:$I$6125))</f>
        <v>1</v>
      </c>
      <c r="I2591" s="50" t="str">
        <f>ARRAY_CONSTRAIN(ARRAYFORMULA(SUM(IF([3]!Table13[ID]=B2591,[3]!Table13[QTY]))), 1, 1)</f>
        <v>#ERROR!</v>
      </c>
      <c r="J2591" s="50" t="str">
        <f>TABLEITEM!$H$3:$H$2749-TABLEITEM!$I$3:$I$2749</f>
        <v>#ERROR!</v>
      </c>
    </row>
    <row r="2592" ht="15.75" customHeight="1">
      <c r="A2592" s="45"/>
      <c r="B2592" s="18" t="s">
        <v>6394</v>
      </c>
      <c r="C2592" s="26"/>
      <c r="D2592" s="18" t="s">
        <v>10192</v>
      </c>
      <c r="E2592" s="56"/>
      <c r="F2592" s="57" t="s">
        <v>7173</v>
      </c>
      <c r="G2592" s="49">
        <f t="array" ref="G2592">MAX(IF(INSTOCK!$H$3:$H$6125=B2592,INSTOCK!$K$3:$K$6125))</f>
        <v>5.83</v>
      </c>
      <c r="H2592" s="50">
        <f t="array" ref="H2592">SUM(IF(INSTOCK!$H$3:$H$6125=B2592,INSTOCK!$I$3:$I$6125))</f>
        <v>150</v>
      </c>
      <c r="I2592" s="50" t="str">
        <f>ARRAY_CONSTRAIN(ARRAYFORMULA(SUM(IF([3]!Table13[ID]=B2592,[3]!Table13[QTY]))), 1, 1)</f>
        <v>#ERROR!</v>
      </c>
      <c r="J2592" s="50" t="str">
        <f>TABLEITEM!$H$3:$H$2749-TABLEITEM!$I$3:$I$2749</f>
        <v>#ERROR!</v>
      </c>
    </row>
    <row r="2593" ht="15.75" customHeight="1">
      <c r="A2593" s="45"/>
      <c r="B2593" s="10" t="s">
        <v>6403</v>
      </c>
      <c r="C2593" s="26"/>
      <c r="D2593" s="10" t="s">
        <v>10193</v>
      </c>
      <c r="E2593" s="48" t="s">
        <v>10194</v>
      </c>
      <c r="F2593" s="57" t="s">
        <v>10195</v>
      </c>
      <c r="G2593" s="49">
        <f t="array" ref="G2593">MAX(IF(INSTOCK!$H$3:$H$6125=B2593,INSTOCK!$K$3:$K$6125))</f>
        <v>381.6</v>
      </c>
      <c r="H2593" s="50">
        <f t="array" ref="H2593">SUM(IF(INSTOCK!$H$3:$H$6125=B2593,INSTOCK!$I$3:$I$6125))</f>
        <v>7</v>
      </c>
      <c r="I2593" s="50" t="str">
        <f>ARRAY_CONSTRAIN(ARRAYFORMULA(SUM(IF([3]!Table13[ID]=B2593,[3]!Table13[QTY]))), 1, 1)</f>
        <v>#ERROR!</v>
      </c>
      <c r="J2593" s="50" t="str">
        <f>TABLEITEM!$H$3:$H$2749-TABLEITEM!$I$3:$I$2749</f>
        <v>#ERROR!</v>
      </c>
    </row>
    <row r="2594" ht="15.75" customHeight="1">
      <c r="A2594" s="45"/>
      <c r="B2594" s="18" t="s">
        <v>6405</v>
      </c>
      <c r="C2594" s="26"/>
      <c r="D2594" s="18" t="s">
        <v>10196</v>
      </c>
      <c r="E2594" s="56" t="s">
        <v>10194</v>
      </c>
      <c r="F2594" s="57" t="s">
        <v>7173</v>
      </c>
      <c r="G2594" s="49">
        <f t="array" ref="G2594">MAX(IF(INSTOCK!$H$3:$H$6125=B2594,INSTOCK!$K$3:$K$6125))</f>
        <v>100.8</v>
      </c>
      <c r="H2594" s="50">
        <f t="array" ref="H2594">SUM(IF(INSTOCK!$H$3:$H$6125=B2594,INSTOCK!$I$3:$I$6125))</f>
        <v>7</v>
      </c>
      <c r="I2594" s="50" t="str">
        <f>ARRAY_CONSTRAIN(ARRAYFORMULA(SUM(IF([3]!Table13[ID]=B2594,[3]!Table13[QTY]))), 1, 1)</f>
        <v>#ERROR!</v>
      </c>
      <c r="J2594" s="50" t="str">
        <f>TABLEITEM!$H$3:$H$2749-TABLEITEM!$I$3:$I$2749</f>
        <v>#ERROR!</v>
      </c>
    </row>
    <row r="2595" ht="15.75" customHeight="1">
      <c r="A2595" s="45"/>
      <c r="B2595" s="18" t="s">
        <v>6411</v>
      </c>
      <c r="C2595" s="26"/>
      <c r="D2595" s="18" t="s">
        <v>10197</v>
      </c>
      <c r="E2595" s="56" t="s">
        <v>7606</v>
      </c>
      <c r="F2595" s="57" t="s">
        <v>7173</v>
      </c>
      <c r="G2595" s="49">
        <f t="array" ref="G2595">MAX(IF(INSTOCK!$H$3:$H$6125=B2595,INSTOCK!$K$3:$K$6125))</f>
        <v>255.75</v>
      </c>
      <c r="H2595" s="50">
        <f t="array" ref="H2595">SUM(IF(INSTOCK!$H$3:$H$6125=B2595,INSTOCK!$I$3:$I$6125))</f>
        <v>10</v>
      </c>
      <c r="I2595" s="50" t="str">
        <f>ARRAY_CONSTRAIN(ARRAYFORMULA(SUM(IF([3]!Table13[ID]=B2595,[3]!Table13[QTY]))), 1, 1)</f>
        <v>#ERROR!</v>
      </c>
      <c r="J2595" s="50" t="str">
        <f>TABLEITEM!$H$3:$H$2749-TABLEITEM!$I$3:$I$2749</f>
        <v>#ERROR!</v>
      </c>
    </row>
    <row r="2596" ht="15.75" customHeight="1">
      <c r="A2596" s="45"/>
      <c r="B2596" s="18" t="s">
        <v>6419</v>
      </c>
      <c r="C2596" s="26"/>
      <c r="D2596" s="18" t="s">
        <v>10198</v>
      </c>
      <c r="E2596" s="56" t="s">
        <v>7606</v>
      </c>
      <c r="F2596" s="57" t="s">
        <v>7173</v>
      </c>
      <c r="G2596" s="49">
        <f t="array" ref="G2596">MAX(IF(INSTOCK!$H$3:$H$6125=B2596,INSTOCK!$K$3:$K$6125))</f>
        <v>519.6</v>
      </c>
      <c r="H2596" s="50">
        <f t="array" ref="H2596">SUM(IF(INSTOCK!$H$3:$H$6125=B2596,INSTOCK!$I$3:$I$6125))</f>
        <v>12</v>
      </c>
      <c r="I2596" s="50" t="str">
        <f>ARRAY_CONSTRAIN(ARRAYFORMULA(SUM(IF([3]!Table13[ID]=B2596,[3]!Table13[QTY]))), 1, 1)</f>
        <v>#ERROR!</v>
      </c>
      <c r="J2596" s="50" t="str">
        <f>TABLEITEM!$H$3:$H$2749-TABLEITEM!$I$3:$I$2749</f>
        <v>#ERROR!</v>
      </c>
    </row>
    <row r="2597" ht="15.75" customHeight="1">
      <c r="A2597" s="45"/>
      <c r="B2597" s="18" t="s">
        <v>6427</v>
      </c>
      <c r="C2597" s="26"/>
      <c r="D2597" s="18" t="s">
        <v>10199</v>
      </c>
      <c r="E2597" s="56" t="s">
        <v>8627</v>
      </c>
      <c r="F2597" s="57" t="s">
        <v>7173</v>
      </c>
      <c r="G2597" s="49">
        <f t="array" ref="G2597">MAX(IF(INSTOCK!$H$3:$H$6125=B2597,INSTOCK!$K$3:$K$6125))</f>
        <v>160</v>
      </c>
      <c r="H2597" s="50">
        <f t="array" ref="H2597">SUM(IF(INSTOCK!$H$3:$H$6125=B2597,INSTOCK!$I$3:$I$6125))</f>
        <v>15</v>
      </c>
      <c r="I2597" s="50" t="str">
        <f>ARRAY_CONSTRAIN(ARRAYFORMULA(SUM(IF([3]!Table13[ID]=B2597,[3]!Table13[QTY]))), 1, 1)</f>
        <v>#ERROR!</v>
      </c>
      <c r="J2597" s="50" t="str">
        <f>TABLEITEM!$H$3:$H$2749-TABLEITEM!$I$3:$I$2749</f>
        <v>#ERROR!</v>
      </c>
    </row>
    <row r="2598" ht="15.75" customHeight="1">
      <c r="A2598" s="45"/>
      <c r="B2598" s="10" t="s">
        <v>6431</v>
      </c>
      <c r="C2598" s="26"/>
      <c r="D2598" s="10" t="s">
        <v>10200</v>
      </c>
      <c r="E2598" s="48" t="s">
        <v>6115</v>
      </c>
      <c r="F2598" s="57" t="s">
        <v>7173</v>
      </c>
      <c r="G2598" s="49">
        <f t="array" ref="G2598">MAX(IF(INSTOCK!$H$3:$H$6125=B2598,INSTOCK!$K$3:$K$6125))</f>
        <v>1000</v>
      </c>
      <c r="H2598" s="50">
        <f t="array" ref="H2598">SUM(IF(INSTOCK!$H$3:$H$6125=B2598,INSTOCK!$I$3:$I$6125))</f>
        <v>4</v>
      </c>
      <c r="I2598" s="50" t="str">
        <f>ARRAY_CONSTRAIN(ARRAYFORMULA(SUM(IF([3]!Table13[ID]=B2598,[3]!Table13[QTY]))), 1, 1)</f>
        <v>#ERROR!</v>
      </c>
      <c r="J2598" s="50" t="str">
        <f>TABLEITEM!$H$3:$H$2749-TABLEITEM!$I$3:$I$2749</f>
        <v>#ERROR!</v>
      </c>
    </row>
    <row r="2599" ht="15.75" customHeight="1">
      <c r="A2599" s="45"/>
      <c r="B2599" s="18" t="s">
        <v>6432</v>
      </c>
      <c r="C2599" s="26"/>
      <c r="D2599" s="10" t="s">
        <v>10201</v>
      </c>
      <c r="E2599" s="48" t="s">
        <v>6115</v>
      </c>
      <c r="F2599" s="57" t="s">
        <v>7173</v>
      </c>
      <c r="G2599" s="49">
        <f t="array" ref="G2599">MAX(IF(INSTOCK!$H$3:$H$6125=B2599,INSTOCK!$K$3:$K$6125))</f>
        <v>1000</v>
      </c>
      <c r="H2599" s="50">
        <f t="array" ref="H2599">SUM(IF(INSTOCK!$H$3:$H$6125=B2599,INSTOCK!$I$3:$I$6125))</f>
        <v>4</v>
      </c>
      <c r="I2599" s="50" t="str">
        <f>ARRAY_CONSTRAIN(ARRAYFORMULA(SUM(IF([3]!Table13[ID]=B2599,[3]!Table13[QTY]))), 1, 1)</f>
        <v>#ERROR!</v>
      </c>
      <c r="J2599" s="50" t="str">
        <f>TABLEITEM!$H$3:$H$2749-TABLEITEM!$I$3:$I$2749</f>
        <v>#ERROR!</v>
      </c>
    </row>
    <row r="2600" ht="15.75" customHeight="1">
      <c r="A2600" s="45"/>
      <c r="B2600" s="10" t="s">
        <v>6455</v>
      </c>
      <c r="C2600" s="26"/>
      <c r="D2600" s="18" t="s">
        <v>10202</v>
      </c>
      <c r="E2600" s="56" t="s">
        <v>1487</v>
      </c>
      <c r="F2600" s="57" t="s">
        <v>7173</v>
      </c>
      <c r="G2600" s="49">
        <f t="array" ref="G2600">MAX(IF(INSTOCK!$H$3:$H$6125=B2600,INSTOCK!$K$3:$K$6125))</f>
        <v>3866.3</v>
      </c>
      <c r="H2600" s="50">
        <f t="array" ref="H2600">SUM(IF(INSTOCK!$H$3:$H$6125=B2600,INSTOCK!$I$3:$I$6125))</f>
        <v>1</v>
      </c>
      <c r="I2600" s="50" t="str">
        <f>ARRAY_CONSTRAIN(ARRAYFORMULA(SUM(IF([3]!Table13[ID]=B2600,[3]!Table13[QTY]))), 1, 1)</f>
        <v>#ERROR!</v>
      </c>
      <c r="J2600" s="50" t="str">
        <f>TABLEITEM!$H$3:$H$2749-TABLEITEM!$I$3:$I$2749</f>
        <v>#ERROR!</v>
      </c>
    </row>
    <row r="2601" ht="15.75" customHeight="1">
      <c r="A2601" s="45"/>
      <c r="B2601" s="10" t="s">
        <v>6456</v>
      </c>
      <c r="C2601" s="26"/>
      <c r="D2601" s="10" t="s">
        <v>10203</v>
      </c>
      <c r="E2601" s="56" t="s">
        <v>1487</v>
      </c>
      <c r="F2601" s="57" t="s">
        <v>7173</v>
      </c>
      <c r="G2601" s="49">
        <f t="array" ref="G2601">MAX(IF(INSTOCK!$H$3:$H$6125=B2601,INSTOCK!$K$3:$K$6125))</f>
        <v>1853.2</v>
      </c>
      <c r="H2601" s="50">
        <f t="array" ref="H2601">SUM(IF(INSTOCK!$H$3:$H$6125=B2601,INSTOCK!$I$3:$I$6125))</f>
        <v>3</v>
      </c>
      <c r="I2601" s="50" t="str">
        <f>ARRAY_CONSTRAIN(ARRAYFORMULA(SUM(IF([3]!Table13[ID]=B2601,[3]!Table13[QTY]))), 1, 1)</f>
        <v>#ERROR!</v>
      </c>
      <c r="J2601" s="50" t="str">
        <f>TABLEITEM!$H$3:$H$2749-TABLEITEM!$I$3:$I$2749</f>
        <v>#ERROR!</v>
      </c>
    </row>
    <row r="2602" ht="15.75" customHeight="1">
      <c r="A2602" s="45"/>
      <c r="B2602" s="10" t="s">
        <v>6457</v>
      </c>
      <c r="C2602" s="26"/>
      <c r="D2602" s="10" t="s">
        <v>10204</v>
      </c>
      <c r="E2602" s="56" t="s">
        <v>1487</v>
      </c>
      <c r="F2602" s="57" t="s">
        <v>7173</v>
      </c>
      <c r="G2602" s="49">
        <f t="array" ref="G2602">MAX(IF(INSTOCK!$H$3:$H$6125=B2602,INSTOCK!$K$3:$K$6125))</f>
        <v>35383</v>
      </c>
      <c r="H2602" s="50">
        <f t="array" ref="H2602">SUM(IF(INSTOCK!$H$3:$H$6125=B2602,INSTOCK!$I$3:$I$6125))</f>
        <v>1</v>
      </c>
      <c r="I2602" s="50" t="str">
        <f>ARRAY_CONSTRAIN(ARRAYFORMULA(SUM(IF([3]!Table13[ID]=B2602,[3]!Table13[QTY]))), 1, 1)</f>
        <v>#ERROR!</v>
      </c>
      <c r="J2602" s="50" t="str">
        <f>TABLEITEM!$H$3:$H$2749-TABLEITEM!$I$3:$I$2749</f>
        <v>#ERROR!</v>
      </c>
    </row>
    <row r="2603" ht="15.75" customHeight="1">
      <c r="A2603" s="45"/>
      <c r="B2603" s="10" t="s">
        <v>6458</v>
      </c>
      <c r="C2603" s="26"/>
      <c r="D2603" s="10" t="s">
        <v>10205</v>
      </c>
      <c r="E2603" s="56" t="s">
        <v>1487</v>
      </c>
      <c r="F2603" s="57" t="s">
        <v>7173</v>
      </c>
      <c r="G2603" s="49">
        <f t="array" ref="G2603">MAX(IF(INSTOCK!$H$3:$H$6125=B2603,INSTOCK!$K$3:$K$6125))</f>
        <v>1328.4</v>
      </c>
      <c r="H2603" s="50">
        <f t="array" ref="H2603">SUM(IF(INSTOCK!$H$3:$H$6125=B2603,INSTOCK!$I$3:$I$6125))</f>
        <v>1</v>
      </c>
      <c r="I2603" s="50" t="str">
        <f>ARRAY_CONSTRAIN(ARRAYFORMULA(SUM(IF([3]!Table13[ID]=B2603,[3]!Table13[QTY]))), 1, 1)</f>
        <v>#ERROR!</v>
      </c>
      <c r="J2603" s="50" t="str">
        <f>TABLEITEM!$H$3:$H$2749-TABLEITEM!$I$3:$I$2749</f>
        <v>#ERROR!</v>
      </c>
    </row>
    <row r="2604" ht="15.75" customHeight="1">
      <c r="A2604" s="45"/>
      <c r="B2604" s="10" t="s">
        <v>6461</v>
      </c>
      <c r="C2604" s="26"/>
      <c r="D2604" s="10" t="s">
        <v>10206</v>
      </c>
      <c r="E2604" s="48" t="s">
        <v>1504</v>
      </c>
      <c r="F2604" s="57" t="s">
        <v>7173</v>
      </c>
      <c r="G2604" s="49">
        <f t="array" ref="G2604">MAX(IF(INSTOCK!$H$3:$H$6125=B2604,INSTOCK!$K$3:$K$6125))</f>
        <v>1460</v>
      </c>
      <c r="H2604" s="50">
        <f t="array" ref="H2604">SUM(IF(INSTOCK!$H$3:$H$6125=B2604,INSTOCK!$I$3:$I$6125))</f>
        <v>1</v>
      </c>
      <c r="I2604" s="50" t="str">
        <f>ARRAY_CONSTRAIN(ARRAYFORMULA(SUM(IF([3]!Table13[ID]=B2604,[3]!Table13[QTY]))), 1, 1)</f>
        <v>#ERROR!</v>
      </c>
      <c r="J2604" s="50" t="str">
        <f>TABLEITEM!$H$3:$H$2749-TABLEITEM!$I$3:$I$2749</f>
        <v>#ERROR!</v>
      </c>
    </row>
    <row r="2605" ht="15.75" customHeight="1">
      <c r="A2605" s="45"/>
      <c r="B2605" s="18" t="s">
        <v>6462</v>
      </c>
      <c r="C2605" s="26"/>
      <c r="D2605" s="18" t="s">
        <v>10207</v>
      </c>
      <c r="E2605" s="56" t="s">
        <v>1504</v>
      </c>
      <c r="F2605" s="57" t="s">
        <v>7173</v>
      </c>
      <c r="G2605" s="49">
        <f t="array" ref="G2605">MAX(IF(INSTOCK!$H$3:$H$6125=B2605,INSTOCK!$K$3:$K$6125))</f>
        <v>936</v>
      </c>
      <c r="H2605" s="50">
        <f t="array" ref="H2605">SUM(IF(INSTOCK!$H$3:$H$6125=B2605,INSTOCK!$I$3:$I$6125))</f>
        <v>1</v>
      </c>
      <c r="I2605" s="50" t="str">
        <f>ARRAY_CONSTRAIN(ARRAYFORMULA(SUM(IF([3]!Table13[ID]=B2605,[3]!Table13[QTY]))), 1, 1)</f>
        <v>#ERROR!</v>
      </c>
      <c r="J2605" s="50" t="str">
        <f>TABLEITEM!$H$3:$H$2749-TABLEITEM!$I$3:$I$2749</f>
        <v>#ERROR!</v>
      </c>
    </row>
    <row r="2606" ht="15.75" customHeight="1">
      <c r="A2606" s="45"/>
      <c r="B2606" s="18" t="s">
        <v>6465</v>
      </c>
      <c r="C2606" s="26"/>
      <c r="D2606" s="18" t="s">
        <v>10208</v>
      </c>
      <c r="E2606" s="56" t="s">
        <v>9312</v>
      </c>
      <c r="F2606" s="57" t="s">
        <v>7173</v>
      </c>
      <c r="G2606" s="49">
        <f t="array" ref="G2606">MAX(IF(INSTOCK!$H$3:$H$6125=B2606,INSTOCK!$K$3:$K$6125))</f>
        <v>6900</v>
      </c>
      <c r="H2606" s="50">
        <f t="array" ref="H2606">SUM(IF(INSTOCK!$H$3:$H$6125=B2606,INSTOCK!$I$3:$I$6125))</f>
        <v>3</v>
      </c>
      <c r="I2606" s="50" t="str">
        <f>ARRAY_CONSTRAIN(ARRAYFORMULA(SUM(IF([3]!Table13[ID]=B2606,[3]!Table13[QTY]))), 1, 1)</f>
        <v>#ERROR!</v>
      </c>
      <c r="J2606" s="50" t="str">
        <f>TABLEITEM!$H$3:$H$2749-TABLEITEM!$I$3:$I$2749</f>
        <v>#ERROR!</v>
      </c>
    </row>
    <row r="2607" ht="15.75" customHeight="1">
      <c r="A2607" s="45"/>
      <c r="B2607" s="10" t="s">
        <v>6467</v>
      </c>
      <c r="C2607" s="26"/>
      <c r="D2607" s="10" t="s">
        <v>10209</v>
      </c>
      <c r="E2607" s="48"/>
      <c r="F2607" s="57" t="s">
        <v>7173</v>
      </c>
      <c r="G2607" s="49">
        <f t="array" ref="G2607">MAX(IF(INSTOCK!$H$3:$H$6125=B2607,INSTOCK!$K$3:$K$6125))</f>
        <v>75</v>
      </c>
      <c r="H2607" s="50">
        <f t="array" ref="H2607">SUM(IF(INSTOCK!$H$3:$H$6125=B2607,INSTOCK!$I$3:$I$6125))</f>
        <v>3</v>
      </c>
      <c r="I2607" s="50" t="str">
        <f>ARRAY_CONSTRAIN(ARRAYFORMULA(SUM(IF([3]!Table13[ID]=B2607,[3]!Table13[QTY]))), 1, 1)</f>
        <v>#ERROR!</v>
      </c>
      <c r="J2607" s="50" t="str">
        <f>TABLEITEM!$H$3:$H$2749-TABLEITEM!$I$3:$I$2749</f>
        <v>#ERROR!</v>
      </c>
    </row>
    <row r="2608" ht="15.75" customHeight="1">
      <c r="A2608" s="45"/>
      <c r="B2608" s="10" t="s">
        <v>6468</v>
      </c>
      <c r="C2608" s="26"/>
      <c r="D2608" s="10" t="s">
        <v>10210</v>
      </c>
      <c r="E2608" s="48"/>
      <c r="F2608" s="57" t="s">
        <v>7173</v>
      </c>
      <c r="G2608" s="49">
        <f t="array" ref="G2608">MAX(IF(INSTOCK!$H$3:$H$6125=B2608,INSTOCK!$K$3:$K$6125))</f>
        <v>12</v>
      </c>
      <c r="H2608" s="50">
        <f t="array" ref="H2608">SUM(IF(INSTOCK!$H$3:$H$6125=B2608,INSTOCK!$I$3:$I$6125))</f>
        <v>3</v>
      </c>
      <c r="I2608" s="50" t="str">
        <f>ARRAY_CONSTRAIN(ARRAYFORMULA(SUM(IF([3]!Table13[ID]=B2608,[3]!Table13[QTY]))), 1, 1)</f>
        <v>#ERROR!</v>
      </c>
      <c r="J2608" s="50" t="str">
        <f>TABLEITEM!$H$3:$H$2749-TABLEITEM!$I$3:$I$2749</f>
        <v>#ERROR!</v>
      </c>
    </row>
    <row r="2609" ht="15.75" customHeight="1">
      <c r="A2609" s="45"/>
      <c r="B2609" s="18" t="s">
        <v>6469</v>
      </c>
      <c r="C2609" s="26"/>
      <c r="D2609" s="18" t="s">
        <v>10211</v>
      </c>
      <c r="E2609" s="56"/>
      <c r="F2609" s="57" t="s">
        <v>7173</v>
      </c>
      <c r="G2609" s="49">
        <f t="array" ref="G2609">MAX(IF(INSTOCK!$H$3:$H$6125=B2609,INSTOCK!$K$3:$K$6125))</f>
        <v>48</v>
      </c>
      <c r="H2609" s="50">
        <f t="array" ref="H2609">SUM(IF(INSTOCK!$H$3:$H$6125=B2609,INSTOCK!$I$3:$I$6125))</f>
        <v>3</v>
      </c>
      <c r="I2609" s="50" t="str">
        <f>ARRAY_CONSTRAIN(ARRAYFORMULA(SUM(IF([3]!Table13[ID]=B2609,[3]!Table13[QTY]))), 1, 1)</f>
        <v>#ERROR!</v>
      </c>
      <c r="J2609" s="50" t="str">
        <f>TABLEITEM!$H$3:$H$2749-TABLEITEM!$I$3:$I$2749</f>
        <v>#ERROR!</v>
      </c>
    </row>
    <row r="2610" ht="15.75" customHeight="1">
      <c r="A2610" s="45"/>
      <c r="B2610" s="18" t="s">
        <v>6482</v>
      </c>
      <c r="C2610" s="26"/>
      <c r="D2610" s="18" t="s">
        <v>10212</v>
      </c>
      <c r="E2610" s="56" t="s">
        <v>9124</v>
      </c>
      <c r="F2610" s="57" t="s">
        <v>7173</v>
      </c>
      <c r="G2610" s="49">
        <f t="array" ref="G2610">MAX(IF(INSTOCK!$H$3:$H$6125=B2610,INSTOCK!$K$3:$K$6125))</f>
        <v>900</v>
      </c>
      <c r="H2610" s="50">
        <f t="array" ref="H2610">SUM(IF(INSTOCK!$H$3:$H$6125=B2610,INSTOCK!$I$3:$I$6125))</f>
        <v>2</v>
      </c>
      <c r="I2610" s="50" t="str">
        <f>ARRAY_CONSTRAIN(ARRAYFORMULA(SUM(IF([3]!Table13[ID]=B2610,[3]!Table13[QTY]))), 1, 1)</f>
        <v>#ERROR!</v>
      </c>
      <c r="J2610" s="50" t="str">
        <f>TABLEITEM!$H$3:$H$2749-TABLEITEM!$I$3:$I$2749</f>
        <v>#ERROR!</v>
      </c>
    </row>
    <row r="2611" ht="15.75" customHeight="1">
      <c r="A2611" s="45"/>
      <c r="B2611" s="18" t="s">
        <v>6489</v>
      </c>
      <c r="C2611" s="26"/>
      <c r="D2611" s="18" t="s">
        <v>10213</v>
      </c>
      <c r="E2611" s="56"/>
      <c r="F2611" s="57" t="s">
        <v>7173</v>
      </c>
      <c r="G2611" s="49">
        <f t="array" ref="G2611">MAX(IF(INSTOCK!$H$3:$H$6125=B2611,INSTOCK!$K$3:$K$6125))</f>
        <v>18</v>
      </c>
      <c r="H2611" s="50">
        <f t="array" ref="H2611">SUM(IF(INSTOCK!$H$3:$H$6125=B2611,INSTOCK!$I$3:$I$6125))</f>
        <v>15</v>
      </c>
      <c r="I2611" s="50" t="str">
        <f>ARRAY_CONSTRAIN(ARRAYFORMULA(SUM(IF([3]!Table13[ID]=B2611,[3]!Table13[QTY]))), 1, 1)</f>
        <v>#ERROR!</v>
      </c>
      <c r="J2611" s="50" t="str">
        <f>TABLEITEM!$H$3:$H$2749-TABLEITEM!$I$3:$I$2749</f>
        <v>#ERROR!</v>
      </c>
    </row>
    <row r="2612" ht="15.75" customHeight="1">
      <c r="A2612" s="45"/>
      <c r="B2612" s="18" t="s">
        <v>6494</v>
      </c>
      <c r="C2612" s="26"/>
      <c r="D2612" s="18" t="s">
        <v>10214</v>
      </c>
      <c r="E2612" s="56" t="s">
        <v>7188</v>
      </c>
      <c r="F2612" s="57" t="s">
        <v>7173</v>
      </c>
      <c r="G2612" s="49">
        <f t="array" ref="G2612">MAX(IF(INSTOCK!$H$3:$H$6125=B2612,INSTOCK!$K$3:$K$6125))</f>
        <v>2500</v>
      </c>
      <c r="H2612" s="50">
        <f t="array" ref="H2612">SUM(IF(INSTOCK!$H$3:$H$6125=B2612,INSTOCK!$I$3:$I$6125))</f>
        <v>1</v>
      </c>
      <c r="I2612" s="50" t="str">
        <f>ARRAY_CONSTRAIN(ARRAYFORMULA(SUM(IF([3]!Table13[ID]=B2612,[3]!Table13[QTY]))), 1, 1)</f>
        <v>#ERROR!</v>
      </c>
      <c r="J2612" s="50" t="str">
        <f>TABLEITEM!$H$3:$H$2749-TABLEITEM!$I$3:$I$2749</f>
        <v>#ERROR!</v>
      </c>
    </row>
    <row r="2613" ht="15.75" customHeight="1">
      <c r="A2613" s="45"/>
      <c r="B2613" s="18" t="s">
        <v>1850</v>
      </c>
      <c r="C2613" s="26"/>
      <c r="D2613" s="18" t="s">
        <v>10215</v>
      </c>
      <c r="E2613" s="56" t="s">
        <v>8235</v>
      </c>
      <c r="F2613" s="57" t="s">
        <v>7173</v>
      </c>
      <c r="G2613" s="49">
        <f t="array" ref="G2613">MAX(IF(INSTOCK!$H$3:$H$6125=B2613,INSTOCK!$K$3:$K$6125))</f>
        <v>0.576</v>
      </c>
      <c r="H2613" s="50">
        <f t="array" ref="H2613">SUM(IF(INSTOCK!$H$3:$H$6125=B2613,INSTOCK!$I$3:$I$6125))</f>
        <v>900</v>
      </c>
      <c r="I2613" s="50" t="str">
        <f>ARRAY_CONSTRAIN(ARRAYFORMULA(SUM(IF([3]!Table13[ID]=B2613,[3]!Table13[QTY]))), 1, 1)</f>
        <v>#ERROR!</v>
      </c>
      <c r="J2613" s="50" t="str">
        <f>TABLEITEM!$H$3:$H$2749-TABLEITEM!$I$3:$I$2749</f>
        <v>#ERROR!</v>
      </c>
    </row>
    <row r="2614" ht="15.75" customHeight="1">
      <c r="A2614" s="45"/>
      <c r="B2614" s="10" t="s">
        <v>4296</v>
      </c>
      <c r="C2614" s="26"/>
      <c r="D2614" s="10" t="s">
        <v>9868</v>
      </c>
      <c r="E2614" s="56" t="s">
        <v>1907</v>
      </c>
      <c r="F2614" s="57" t="s">
        <v>7173</v>
      </c>
      <c r="G2614" s="49">
        <f t="array" ref="G2614">MAX(IF(INSTOCK!$H$3:$H$6125=B2614,INSTOCK!$K$3:$K$6125))</f>
        <v>381.5</v>
      </c>
      <c r="H2614" s="50">
        <f t="array" ref="H2614">SUM(IF(INSTOCK!$H$3:$H$6125=B2614,INSTOCK!$I$3:$I$6125))</f>
        <v>3</v>
      </c>
      <c r="I2614" s="50" t="str">
        <f>ARRAY_CONSTRAIN(ARRAYFORMULA(SUM(IF([3]!Table13[ID]=B2614,[3]!Table13[QTY]))), 1, 1)</f>
        <v>#ERROR!</v>
      </c>
      <c r="J2614" s="50" t="str">
        <f>TABLEITEM!$H$3:$H$2749-TABLEITEM!$I$3:$I$2749</f>
        <v>#ERROR!</v>
      </c>
    </row>
    <row r="2615" ht="15.75" customHeight="1">
      <c r="A2615" s="45"/>
      <c r="B2615" s="18" t="s">
        <v>6516</v>
      </c>
      <c r="C2615" s="26"/>
      <c r="D2615" s="18" t="s">
        <v>10216</v>
      </c>
      <c r="E2615" s="56" t="s">
        <v>10217</v>
      </c>
      <c r="F2615" s="57" t="s">
        <v>8651</v>
      </c>
      <c r="G2615" s="49">
        <f t="array" ref="G2615">MAX(IF(INSTOCK!$H$3:$H$6125=B2615,INSTOCK!$K$3:$K$6125))</f>
        <v>8200</v>
      </c>
      <c r="H2615" s="50">
        <f t="array" ref="H2615">SUM(IF(INSTOCK!$H$3:$H$6125=B2615,INSTOCK!$I$3:$I$6125))</f>
        <v>2</v>
      </c>
      <c r="I2615" s="50" t="str">
        <f>ARRAY_CONSTRAIN(ARRAYFORMULA(SUM(IF([3]!Table13[ID]=B2615,[3]!Table13[QTY]))), 1, 1)</f>
        <v>#ERROR!</v>
      </c>
      <c r="J2615" s="50" t="str">
        <f>TABLEITEM!$H$3:$H$2749-TABLEITEM!$I$3:$I$2749</f>
        <v>#ERROR!</v>
      </c>
    </row>
    <row r="2616" ht="15.75" customHeight="1">
      <c r="A2616" s="45"/>
      <c r="B2616" s="18" t="s">
        <v>6519</v>
      </c>
      <c r="C2616" s="26"/>
      <c r="D2616" s="18" t="s">
        <v>10218</v>
      </c>
      <c r="E2616" s="56" t="s">
        <v>10219</v>
      </c>
      <c r="F2616" s="57" t="s">
        <v>7173</v>
      </c>
      <c r="G2616" s="49">
        <f t="array" ref="G2616">MAX(IF(INSTOCK!$H$3:$H$6125=B2616,INSTOCK!$K$3:$K$6125))</f>
        <v>39000</v>
      </c>
      <c r="H2616" s="50">
        <f t="array" ref="H2616">SUM(IF(INSTOCK!$H$3:$H$6125=B2616,INSTOCK!$I$3:$I$6125))</f>
        <v>1</v>
      </c>
      <c r="I2616" s="50" t="str">
        <f>ARRAY_CONSTRAIN(ARRAYFORMULA(SUM(IF([3]!Table13[ID]=B2616,[3]!Table13[QTY]))), 1, 1)</f>
        <v>#ERROR!</v>
      </c>
      <c r="J2616" s="50" t="str">
        <f>TABLEITEM!$H$3:$H$2749-TABLEITEM!$I$3:$I$2749</f>
        <v>#ERROR!</v>
      </c>
    </row>
    <row r="2617" ht="15.75" customHeight="1">
      <c r="A2617" s="45"/>
      <c r="B2617" s="18" t="s">
        <v>6522</v>
      </c>
      <c r="C2617" s="26"/>
      <c r="D2617" s="18" t="s">
        <v>10220</v>
      </c>
      <c r="E2617" s="56" t="s">
        <v>2231</v>
      </c>
      <c r="F2617" s="57" t="s">
        <v>7173</v>
      </c>
      <c r="G2617" s="49">
        <f t="array" ref="G2617">MAX(IF(INSTOCK!$H$3:$H$6125=B2617,INSTOCK!$K$3:$K$6125))</f>
        <v>2293.2</v>
      </c>
      <c r="H2617" s="50">
        <f t="array" ref="H2617">SUM(IF(INSTOCK!$H$3:$H$6125=B2617,INSTOCK!$I$3:$I$6125))</f>
        <v>1</v>
      </c>
      <c r="I2617" s="50" t="str">
        <f>ARRAY_CONSTRAIN(ARRAYFORMULA(SUM(IF([3]!Table13[ID]=B2617,[3]!Table13[QTY]))), 1, 1)</f>
        <v>#ERROR!</v>
      </c>
      <c r="J2617" s="50" t="str">
        <f>TABLEITEM!$H$3:$H$2749-TABLEITEM!$I$3:$I$2749</f>
        <v>#ERROR!</v>
      </c>
    </row>
    <row r="2618" ht="15.75" customHeight="1">
      <c r="A2618" s="45"/>
      <c r="B2618" s="18" t="s">
        <v>6531</v>
      </c>
      <c r="C2618" s="26"/>
      <c r="D2618" s="18" t="s">
        <v>10221</v>
      </c>
      <c r="E2618" s="56"/>
      <c r="F2618" s="57" t="s">
        <v>7173</v>
      </c>
      <c r="G2618" s="49">
        <f t="array" ref="G2618">MAX(IF(INSTOCK!$H$3:$H$6125=B2618,INSTOCK!$K$3:$K$6125))</f>
        <v>30</v>
      </c>
      <c r="H2618" s="50">
        <f t="array" ref="H2618">SUM(IF(INSTOCK!$H$3:$H$6125=B2618,INSTOCK!$I$3:$I$6125))</f>
        <v>48</v>
      </c>
      <c r="I2618" s="50" t="str">
        <f>ARRAY_CONSTRAIN(ARRAYFORMULA(SUM(IF([3]!Table13[ID]=B2618,[3]!Table13[QTY]))), 1, 1)</f>
        <v>#ERROR!</v>
      </c>
      <c r="J2618" s="50" t="str">
        <f>TABLEITEM!$H$3:$H$2749-TABLEITEM!$I$3:$I$2749</f>
        <v>#ERROR!</v>
      </c>
    </row>
    <row r="2619" ht="15.75" customHeight="1">
      <c r="A2619" s="45"/>
      <c r="B2619" s="18" t="s">
        <v>6534</v>
      </c>
      <c r="C2619" s="26"/>
      <c r="D2619" s="18" t="s">
        <v>10222</v>
      </c>
      <c r="E2619" s="56" t="s">
        <v>1504</v>
      </c>
      <c r="F2619" s="57" t="s">
        <v>7173</v>
      </c>
      <c r="G2619" s="49">
        <f t="array" ref="G2619">MAX(IF(INSTOCK!$H$3:$H$6125=B2619,INSTOCK!$K$3:$K$6125))</f>
        <v>1420</v>
      </c>
      <c r="H2619" s="50">
        <f t="array" ref="H2619">SUM(IF(INSTOCK!$H$3:$H$6125=B2619,INSTOCK!$I$3:$I$6125))</f>
        <v>5</v>
      </c>
      <c r="I2619" s="50" t="str">
        <f>ARRAY_CONSTRAIN(ARRAYFORMULA(SUM(IF([3]!Table13[ID]=B2619,[3]!Table13[QTY]))), 1, 1)</f>
        <v>#ERROR!</v>
      </c>
      <c r="J2619" s="50" t="str">
        <f>TABLEITEM!$H$3:$H$2749-TABLEITEM!$I$3:$I$2749</f>
        <v>#ERROR!</v>
      </c>
    </row>
    <row r="2620" ht="15.75" customHeight="1">
      <c r="A2620" s="45"/>
      <c r="B2620" s="10" t="s">
        <v>6536</v>
      </c>
      <c r="C2620" s="26"/>
      <c r="D2620" s="18" t="s">
        <v>10223</v>
      </c>
      <c r="E2620" s="56" t="s">
        <v>1504</v>
      </c>
      <c r="F2620" s="57" t="s">
        <v>7173</v>
      </c>
      <c r="G2620" s="49">
        <f t="array" ref="G2620">MAX(IF(INSTOCK!$H$3:$H$6125=B2620,INSTOCK!$K$3:$K$6125))</f>
        <v>2960</v>
      </c>
      <c r="H2620" s="50">
        <f t="array" ref="H2620">SUM(IF(INSTOCK!$H$3:$H$6125=B2620,INSTOCK!$I$3:$I$6125))</f>
        <v>1</v>
      </c>
      <c r="I2620" s="50" t="str">
        <f>ARRAY_CONSTRAIN(ARRAYFORMULA(SUM(IF([3]!Table13[ID]=B2620,[3]!Table13[QTY]))), 1, 1)</f>
        <v>#ERROR!</v>
      </c>
      <c r="J2620" s="50" t="str">
        <f>TABLEITEM!$H$3:$H$2749-TABLEITEM!$I$3:$I$2749</f>
        <v>#ERROR!</v>
      </c>
    </row>
    <row r="2621" ht="15.75" customHeight="1">
      <c r="A2621" s="45"/>
      <c r="B2621" s="10" t="s">
        <v>6538</v>
      </c>
      <c r="C2621" s="26"/>
      <c r="D2621" s="18" t="s">
        <v>10224</v>
      </c>
      <c r="E2621" s="56" t="s">
        <v>1504</v>
      </c>
      <c r="F2621" s="57" t="s">
        <v>7173</v>
      </c>
      <c r="G2621" s="49">
        <f t="array" ref="G2621">MAX(IF(INSTOCK!$H$3:$H$6125=B2621,INSTOCK!$K$3:$K$6125))</f>
        <v>2760</v>
      </c>
      <c r="H2621" s="50">
        <f t="array" ref="H2621">SUM(IF(INSTOCK!$H$3:$H$6125=B2621,INSTOCK!$I$3:$I$6125))</f>
        <v>1</v>
      </c>
      <c r="I2621" s="50" t="str">
        <f>ARRAY_CONSTRAIN(ARRAYFORMULA(SUM(IF([3]!Table13[ID]=B2621,[3]!Table13[QTY]))), 1, 1)</f>
        <v>#ERROR!</v>
      </c>
      <c r="J2621" s="50" t="str">
        <f>TABLEITEM!$H$3:$H$2749-TABLEITEM!$I$3:$I$2749</f>
        <v>#ERROR!</v>
      </c>
    </row>
    <row r="2622" ht="15.75" customHeight="1">
      <c r="A2622" s="45"/>
      <c r="B2622" s="18" t="s">
        <v>6540</v>
      </c>
      <c r="C2622" s="26"/>
      <c r="D2622" s="18" t="s">
        <v>10225</v>
      </c>
      <c r="E2622" s="56" t="s">
        <v>1504</v>
      </c>
      <c r="F2622" s="57" t="s">
        <v>7173</v>
      </c>
      <c r="G2622" s="49">
        <f t="array" ref="G2622">MAX(IF(INSTOCK!$H$3:$H$6125=B2622,INSTOCK!$K$3:$K$6125))</f>
        <v>1420</v>
      </c>
      <c r="H2622" s="50">
        <f t="array" ref="H2622">SUM(IF(INSTOCK!$H$3:$H$6125=B2622,INSTOCK!$I$3:$I$6125))</f>
        <v>1</v>
      </c>
      <c r="I2622" s="50" t="str">
        <f>ARRAY_CONSTRAIN(ARRAYFORMULA(SUM(IF([3]!Table13[ID]=B2622,[3]!Table13[QTY]))), 1, 1)</f>
        <v>#ERROR!</v>
      </c>
      <c r="J2622" s="50" t="str">
        <f>TABLEITEM!$H$3:$H$2749-TABLEITEM!$I$3:$I$2749</f>
        <v>#ERROR!</v>
      </c>
    </row>
    <row r="2623" ht="15.75" customHeight="1">
      <c r="A2623" s="45"/>
      <c r="B2623" s="18" t="s">
        <v>6546</v>
      </c>
      <c r="C2623" s="26"/>
      <c r="D2623" s="18" t="s">
        <v>10226</v>
      </c>
      <c r="E2623" s="56"/>
      <c r="F2623" s="57" t="s">
        <v>7173</v>
      </c>
      <c r="G2623" s="49">
        <f t="array" ref="G2623">MAX(IF(INSTOCK!$H$3:$H$6125=B2623,INSTOCK!$K$3:$K$6125))</f>
        <v>22</v>
      </c>
      <c r="H2623" s="50">
        <f t="array" ref="H2623">SUM(IF(INSTOCK!$H$3:$H$6125=B2623,INSTOCK!$I$3:$I$6125))</f>
        <v>4</v>
      </c>
      <c r="I2623" s="50" t="str">
        <f>ARRAY_CONSTRAIN(ARRAYFORMULA(SUM(IF([3]!Table13[ID]=B2623,[3]!Table13[QTY]))), 1, 1)</f>
        <v>#ERROR!</v>
      </c>
      <c r="J2623" s="50" t="str">
        <f>TABLEITEM!$H$3:$H$2749-TABLEITEM!$I$3:$I$2749</f>
        <v>#ERROR!</v>
      </c>
    </row>
    <row r="2624" ht="15.75" customHeight="1">
      <c r="A2624" s="45"/>
      <c r="B2624" s="18" t="s">
        <v>6563</v>
      </c>
      <c r="C2624" s="26"/>
      <c r="D2624" s="18" t="s">
        <v>10227</v>
      </c>
      <c r="E2624" s="56" t="s">
        <v>8724</v>
      </c>
      <c r="F2624" s="57" t="s">
        <v>7173</v>
      </c>
      <c r="G2624" s="49">
        <f t="array" ref="G2624">MAX(IF(INSTOCK!$H$3:$H$6125=B2624,INSTOCK!$K$3:$K$6125))</f>
        <v>5</v>
      </c>
      <c r="H2624" s="50">
        <f t="array" ref="H2624">SUM(IF(INSTOCK!$H$3:$H$6125=B2624,INSTOCK!$I$3:$I$6125))</f>
        <v>400</v>
      </c>
      <c r="I2624" s="50" t="str">
        <f>ARRAY_CONSTRAIN(ARRAYFORMULA(SUM(IF([3]!Table13[ID]=B2624,[3]!Table13[QTY]))), 1, 1)</f>
        <v>#ERROR!</v>
      </c>
      <c r="J2624" s="50" t="str">
        <f>TABLEITEM!$H$3:$H$2749-TABLEITEM!$I$3:$I$2749</f>
        <v>#ERROR!</v>
      </c>
    </row>
    <row r="2625" ht="15.75" customHeight="1">
      <c r="A2625" s="45"/>
      <c r="B2625" s="10" t="s">
        <v>6179</v>
      </c>
      <c r="C2625" s="26"/>
      <c r="D2625" s="10" t="s">
        <v>10228</v>
      </c>
      <c r="E2625" s="48" t="s">
        <v>10166</v>
      </c>
      <c r="F2625" s="57" t="s">
        <v>7173</v>
      </c>
      <c r="G2625" s="49">
        <f t="array" ref="G2625">MAX(IF(INSTOCK!$H$3:$H$6125=B2625,INSTOCK!$K$3:$K$6125))</f>
        <v>607.48</v>
      </c>
      <c r="H2625" s="50">
        <f t="array" ref="H2625">SUM(IF(INSTOCK!$H$3:$H$6125=B2625,INSTOCK!$I$3:$I$6125))</f>
        <v>1</v>
      </c>
      <c r="I2625" s="50" t="str">
        <f>ARRAY_CONSTRAIN(ARRAYFORMULA(SUM(IF([3]!Table13[ID]=B2625,[3]!Table13[QTY]))), 1, 1)</f>
        <v>#ERROR!</v>
      </c>
      <c r="J2625" s="50" t="str">
        <f>TABLEITEM!$H$3:$H$2749-TABLEITEM!$I$3:$I$2749</f>
        <v>#ERROR!</v>
      </c>
    </row>
    <row r="2626" ht="15.75" customHeight="1">
      <c r="A2626" s="45"/>
      <c r="B2626" s="18" t="s">
        <v>4376</v>
      </c>
      <c r="C2626" s="26"/>
      <c r="D2626" s="10" t="s">
        <v>10229</v>
      </c>
      <c r="E2626" s="56"/>
      <c r="F2626" s="57" t="s">
        <v>7173</v>
      </c>
      <c r="G2626" s="49">
        <f t="array" ref="G2626">MAX(IF(INSTOCK!$H$3:$H$6125=B2626,INSTOCK!$K$3:$K$6125))</f>
        <v>0</v>
      </c>
      <c r="H2626" s="50">
        <f t="array" ref="H2626">SUM(IF(INSTOCK!$H$3:$H$6125=B2626,INSTOCK!$I$3:$I$6125))</f>
        <v>1</v>
      </c>
      <c r="I2626" s="50" t="str">
        <f>ARRAY_CONSTRAIN(ARRAYFORMULA(SUM(IF([3]!Table13[ID]=B2626,[3]!Table13[QTY]))), 1, 1)</f>
        <v>#ERROR!</v>
      </c>
      <c r="J2626" s="50" t="str">
        <f>TABLEITEM!$H$3:$H$2749-TABLEITEM!$I$3:$I$2749</f>
        <v>#ERROR!</v>
      </c>
    </row>
    <row r="2627" ht="15.75" customHeight="1">
      <c r="A2627" s="45"/>
      <c r="B2627" s="18" t="s">
        <v>3024</v>
      </c>
      <c r="C2627" s="26"/>
      <c r="D2627" s="18" t="s">
        <v>10230</v>
      </c>
      <c r="E2627" s="56"/>
      <c r="F2627" s="57" t="s">
        <v>7173</v>
      </c>
      <c r="G2627" s="49">
        <f t="array" ref="G2627">MAX(IF(INSTOCK!$H$3:$H$6125=B2627,INSTOCK!$K$3:$K$6125))</f>
        <v>0</v>
      </c>
      <c r="H2627" s="50">
        <f t="array" ref="H2627">SUM(IF(INSTOCK!$H$3:$H$6125=B2627,INSTOCK!$I$3:$I$6125))</f>
        <v>6</v>
      </c>
      <c r="I2627" s="50" t="str">
        <f>ARRAY_CONSTRAIN(ARRAYFORMULA(SUM(IF([3]!Table13[ID]=B2627,[3]!Table13[QTY]))), 1, 1)</f>
        <v>#ERROR!</v>
      </c>
      <c r="J2627" s="50" t="str">
        <f>TABLEITEM!$H$3:$H$2749-TABLEITEM!$I$3:$I$2749</f>
        <v>#ERROR!</v>
      </c>
    </row>
    <row r="2628" ht="15.75" customHeight="1">
      <c r="A2628" s="45"/>
      <c r="B2628" s="18" t="s">
        <v>6583</v>
      </c>
      <c r="C2628" s="26"/>
      <c r="D2628" s="18" t="s">
        <v>10231</v>
      </c>
      <c r="E2628" s="56" t="s">
        <v>10232</v>
      </c>
      <c r="F2628" s="57" t="s">
        <v>7173</v>
      </c>
      <c r="G2628" s="49">
        <f t="array" ref="G2628">MAX(IF(INSTOCK!$H$3:$H$6125=B2628,INSTOCK!$K$3:$K$6125))</f>
        <v>2000</v>
      </c>
      <c r="H2628" s="50">
        <f t="array" ref="H2628">SUM(IF(INSTOCK!$H$3:$H$6125=B2628,INSTOCK!$I$3:$I$6125))</f>
        <v>7</v>
      </c>
      <c r="I2628" s="50" t="str">
        <f>ARRAY_CONSTRAIN(ARRAYFORMULA(SUM(IF([3]!Table13[ID]=B2628,[3]!Table13[QTY]))), 1, 1)</f>
        <v>#ERROR!</v>
      </c>
      <c r="J2628" s="50" t="str">
        <f>TABLEITEM!$H$3:$H$2749-TABLEITEM!$I$3:$I$2749</f>
        <v>#ERROR!</v>
      </c>
    </row>
    <row r="2629" ht="15.75" customHeight="1">
      <c r="A2629" s="45"/>
      <c r="B2629" s="10" t="s">
        <v>6592</v>
      </c>
      <c r="C2629" s="26"/>
      <c r="D2629" s="10" t="s">
        <v>10233</v>
      </c>
      <c r="E2629" s="48" t="s">
        <v>2589</v>
      </c>
      <c r="F2629" s="57" t="s">
        <v>7173</v>
      </c>
      <c r="G2629" s="49">
        <f t="array" ref="G2629">MAX(IF(INSTOCK!$H$3:$H$6125=B2629,INSTOCK!$K$3:$K$6125))</f>
        <v>2700</v>
      </c>
      <c r="H2629" s="50">
        <f t="array" ref="H2629">SUM(IF(INSTOCK!$H$3:$H$6125=B2629,INSTOCK!$I$3:$I$6125))</f>
        <v>1</v>
      </c>
      <c r="I2629" s="50" t="str">
        <f>ARRAY_CONSTRAIN(ARRAYFORMULA(SUM(IF([3]!Table13[ID]=B2629,[3]!Table13[QTY]))), 1, 1)</f>
        <v>#ERROR!</v>
      </c>
      <c r="J2629" s="50" t="str">
        <f>TABLEITEM!$H$3:$H$2749-TABLEITEM!$I$3:$I$2749</f>
        <v>#ERROR!</v>
      </c>
    </row>
    <row r="2630" ht="15.75" customHeight="1">
      <c r="A2630" s="45"/>
      <c r="B2630" s="10" t="s">
        <v>6593</v>
      </c>
      <c r="C2630" s="26"/>
      <c r="D2630" s="10" t="s">
        <v>10234</v>
      </c>
      <c r="E2630" s="48" t="s">
        <v>2589</v>
      </c>
      <c r="F2630" s="57" t="s">
        <v>7173</v>
      </c>
      <c r="G2630" s="49">
        <f t="array" ref="G2630">MAX(IF(INSTOCK!$H$3:$H$6125=B2630,INSTOCK!$K$3:$K$6125))</f>
        <v>110</v>
      </c>
      <c r="H2630" s="50">
        <f t="array" ref="H2630">SUM(IF(INSTOCK!$H$3:$H$6125=B2630,INSTOCK!$I$3:$I$6125))</f>
        <v>1</v>
      </c>
      <c r="I2630" s="50" t="str">
        <f>ARRAY_CONSTRAIN(ARRAYFORMULA(SUM(IF([3]!Table13[ID]=B2630,[3]!Table13[QTY]))), 1, 1)</f>
        <v>#ERROR!</v>
      </c>
      <c r="J2630" s="50" t="str">
        <f>TABLEITEM!$H$3:$H$2749-TABLEITEM!$I$3:$I$2749</f>
        <v>#ERROR!</v>
      </c>
    </row>
    <row r="2631" ht="15.75" customHeight="1">
      <c r="A2631" s="45"/>
      <c r="B2631" s="10" t="s">
        <v>6594</v>
      </c>
      <c r="C2631" s="26"/>
      <c r="D2631" s="18" t="s">
        <v>10235</v>
      </c>
      <c r="E2631" s="56" t="s">
        <v>2589</v>
      </c>
      <c r="F2631" s="57" t="s">
        <v>8651</v>
      </c>
      <c r="G2631" s="49">
        <f t="array" ref="G2631">MAX(IF(INSTOCK!$H$3:$H$6125=B2631,INSTOCK!$K$3:$K$6125))</f>
        <v>800</v>
      </c>
      <c r="H2631" s="50">
        <f t="array" ref="H2631">SUM(IF(INSTOCK!$H$3:$H$6125=B2631,INSTOCK!$I$3:$I$6125))</f>
        <v>2</v>
      </c>
      <c r="I2631" s="50" t="str">
        <f>ARRAY_CONSTRAIN(ARRAYFORMULA(SUM(IF([3]!Table13[ID]=B2631,[3]!Table13[QTY]))), 1, 1)</f>
        <v>#ERROR!</v>
      </c>
      <c r="J2631" s="50" t="str">
        <f>TABLEITEM!$H$3:$H$2749-TABLEITEM!$I$3:$I$2749</f>
        <v>#ERROR!</v>
      </c>
    </row>
    <row r="2632" ht="15.75" customHeight="1">
      <c r="A2632" s="45"/>
      <c r="B2632" s="18"/>
      <c r="C2632" s="26"/>
      <c r="D2632" s="18"/>
      <c r="E2632" s="56"/>
      <c r="F2632" s="57"/>
      <c r="G2632" s="49"/>
      <c r="H2632" s="50"/>
      <c r="I2632" s="50"/>
      <c r="J2632" s="50"/>
    </row>
    <row r="2633" ht="15.75" customHeight="1">
      <c r="A2633" s="45"/>
      <c r="B2633" s="18" t="s">
        <v>6600</v>
      </c>
      <c r="C2633" s="26"/>
      <c r="D2633" s="18" t="s">
        <v>10236</v>
      </c>
      <c r="E2633" s="56" t="s">
        <v>8587</v>
      </c>
      <c r="F2633" s="57" t="s">
        <v>7173</v>
      </c>
      <c r="G2633" s="49">
        <f t="array" ref="G2633">MAX(IF(INSTOCK!$H$3:$H$6125=B2633,INSTOCK!$K$3:$K$6125))</f>
        <v>3500</v>
      </c>
      <c r="H2633" s="50">
        <f t="array" ref="H2633">SUM(IF(INSTOCK!$H$3:$H$6125=B2633,INSTOCK!$I$3:$I$6125))</f>
        <v>2</v>
      </c>
      <c r="I2633" s="50" t="str">
        <f>ARRAY_CONSTRAIN(ARRAYFORMULA(SUM(IF([3]!Table13[ID]=B2633,[3]!Table13[QTY]))), 1, 1)</f>
        <v>#ERROR!</v>
      </c>
      <c r="J2633" s="50" t="str">
        <f>TABLEITEM!$H$3:$H$2749-TABLEITEM!$I$3:$I$2749</f>
        <v>#ERROR!</v>
      </c>
    </row>
    <row r="2634" ht="15.75" customHeight="1">
      <c r="A2634" s="45"/>
      <c r="B2634" s="18" t="s">
        <v>6603</v>
      </c>
      <c r="C2634" s="26"/>
      <c r="D2634" s="18" t="s">
        <v>10237</v>
      </c>
      <c r="E2634" s="56"/>
      <c r="F2634" s="57" t="s">
        <v>7530</v>
      </c>
      <c r="G2634" s="49">
        <f t="array" ref="G2634">MAX(IF(INSTOCK!$H$3:$H$6125=B2634,INSTOCK!$K$3:$K$6125))</f>
        <v>160</v>
      </c>
      <c r="H2634" s="50">
        <f t="array" ref="H2634">SUM(IF(INSTOCK!$H$3:$H$6125=B2634,INSTOCK!$I$3:$I$6125))</f>
        <v>5</v>
      </c>
      <c r="I2634" s="50" t="str">
        <f>ARRAY_CONSTRAIN(ARRAYFORMULA(SUM(IF([3]!Table13[ID]=B2634,[3]!Table13[QTY]))), 1, 1)</f>
        <v>#ERROR!</v>
      </c>
      <c r="J2634" s="50" t="str">
        <f>TABLEITEM!$H$3:$H$2749-TABLEITEM!$I$3:$I$2749</f>
        <v>#ERROR!</v>
      </c>
    </row>
    <row r="2635" ht="15.75" customHeight="1">
      <c r="A2635" s="45"/>
      <c r="B2635" s="10" t="s">
        <v>6606</v>
      </c>
      <c r="C2635" s="26"/>
      <c r="D2635" s="10" t="s">
        <v>10238</v>
      </c>
      <c r="E2635" s="48" t="s">
        <v>1487</v>
      </c>
      <c r="F2635" s="57" t="s">
        <v>7173</v>
      </c>
      <c r="G2635" s="49">
        <f t="array" ref="G2635">MAX(IF(INSTOCK!$H$3:$H$6125=B2635,INSTOCK!$K$3:$K$6125))</f>
        <v>1961</v>
      </c>
      <c r="H2635" s="50">
        <f t="array" ref="H2635">SUM(IF(INSTOCK!$H$3:$H$6125=B2635,INSTOCK!$I$3:$I$6125))</f>
        <v>4</v>
      </c>
      <c r="I2635" s="50" t="str">
        <f>ARRAY_CONSTRAIN(ARRAYFORMULA(SUM(IF([3]!Table13[ID]=B2635,[3]!Table13[QTY]))), 1, 1)</f>
        <v>#ERROR!</v>
      </c>
      <c r="J2635" s="50" t="str">
        <f>TABLEITEM!$H$3:$H$2749-TABLEITEM!$I$3:$I$2749</f>
        <v>#ERROR!</v>
      </c>
    </row>
    <row r="2636" ht="15.75" customHeight="1">
      <c r="A2636" s="45"/>
      <c r="B2636" s="10" t="s">
        <v>6607</v>
      </c>
      <c r="C2636" s="26"/>
      <c r="D2636" s="10" t="s">
        <v>10239</v>
      </c>
      <c r="E2636" s="48" t="s">
        <v>1487</v>
      </c>
      <c r="F2636" s="57" t="s">
        <v>7173</v>
      </c>
      <c r="G2636" s="49">
        <f t="array" ref="G2636">MAX(IF(INSTOCK!$H$3:$H$6125=B2636,INSTOCK!$K$3:$K$6125))</f>
        <v>1924</v>
      </c>
      <c r="H2636" s="50">
        <f t="array" ref="H2636">SUM(IF(INSTOCK!$H$3:$H$6125=B2636,INSTOCK!$I$3:$I$6125))</f>
        <v>2</v>
      </c>
      <c r="I2636" s="50" t="str">
        <f>ARRAY_CONSTRAIN(ARRAYFORMULA(SUM(IF([3]!Table13[ID]=B2636,[3]!Table13[QTY]))), 1, 1)</f>
        <v>#ERROR!</v>
      </c>
      <c r="J2636" s="50" t="str">
        <f>TABLEITEM!$H$3:$H$2749-TABLEITEM!$I$3:$I$2749</f>
        <v>#ERROR!</v>
      </c>
    </row>
    <row r="2637" ht="15.75" customHeight="1">
      <c r="A2637" s="45"/>
      <c r="B2637" s="10" t="s">
        <v>6608</v>
      </c>
      <c r="C2637" s="26"/>
      <c r="D2637" s="10" t="s">
        <v>10240</v>
      </c>
      <c r="E2637" s="48" t="s">
        <v>1487</v>
      </c>
      <c r="F2637" s="57" t="s">
        <v>7173</v>
      </c>
      <c r="G2637" s="49">
        <f t="array" ref="G2637">MAX(IF(INSTOCK!$H$3:$H$6125=B2637,INSTOCK!$K$3:$K$6125))</f>
        <v>973.1</v>
      </c>
      <c r="H2637" s="50">
        <f t="array" ref="H2637">SUM(IF(INSTOCK!$H$3:$H$6125=B2637,INSTOCK!$I$3:$I$6125))</f>
        <v>2</v>
      </c>
      <c r="I2637" s="50" t="str">
        <f>ARRAY_CONSTRAIN(ARRAYFORMULA(SUM(IF([3]!Table13[ID]=B2637,[3]!Table13[QTY]))), 1, 1)</f>
        <v>#ERROR!</v>
      </c>
      <c r="J2637" s="50" t="str">
        <f>TABLEITEM!$H$3:$H$2749-TABLEITEM!$I$3:$I$2749</f>
        <v>#ERROR!</v>
      </c>
    </row>
    <row r="2638" ht="15.75" customHeight="1">
      <c r="A2638" s="45"/>
      <c r="B2638" s="10" t="s">
        <v>6609</v>
      </c>
      <c r="C2638" s="26"/>
      <c r="D2638" s="18" t="s">
        <v>10241</v>
      </c>
      <c r="E2638" s="48" t="s">
        <v>1487</v>
      </c>
      <c r="F2638" s="57" t="s">
        <v>7173</v>
      </c>
      <c r="G2638" s="49">
        <f t="array" ref="G2638">MAX(IF(INSTOCK!$H$3:$H$6125=B2638,INSTOCK!$K$3:$K$6125))</f>
        <v>973.1</v>
      </c>
      <c r="H2638" s="50">
        <f t="array" ref="H2638">SUM(IF(INSTOCK!$H$3:$H$6125=B2638,INSTOCK!$I$3:$I$6125))</f>
        <v>2</v>
      </c>
      <c r="I2638" s="50" t="str">
        <f>ARRAY_CONSTRAIN(ARRAYFORMULA(SUM(IF([3]!Table13[ID]=B2638,[3]!Table13[QTY]))), 1, 1)</f>
        <v>#ERROR!</v>
      </c>
      <c r="J2638" s="50" t="str">
        <f>TABLEITEM!$H$3:$H$2749-TABLEITEM!$I$3:$I$2749</f>
        <v>#ERROR!</v>
      </c>
    </row>
    <row r="2639" ht="15.75" customHeight="1">
      <c r="A2639" s="45"/>
      <c r="B2639" s="18" t="s">
        <v>6614</v>
      </c>
      <c r="C2639" s="26"/>
      <c r="D2639" s="18" t="s">
        <v>9408</v>
      </c>
      <c r="E2639" s="48" t="s">
        <v>1487</v>
      </c>
      <c r="F2639" s="57" t="s">
        <v>7173</v>
      </c>
      <c r="G2639" s="49">
        <f t="array" ref="G2639">MAX(IF(INSTOCK!$H$3:$H$6125=B2639,INSTOCK!$K$3:$K$6125))</f>
        <v>1118.6</v>
      </c>
      <c r="H2639" s="50">
        <f t="array" ref="H2639">SUM(IF(INSTOCK!$H$3:$H$6125=B2639,INSTOCK!$I$3:$I$6125))</f>
        <v>1</v>
      </c>
      <c r="I2639" s="50" t="str">
        <f>ARRAY_CONSTRAIN(ARRAYFORMULA(SUM(IF([3]!Table13[ID]=B2639,[3]!Table13[QTY]))), 1, 1)</f>
        <v>#ERROR!</v>
      </c>
      <c r="J2639" s="50" t="str">
        <f>TABLEITEM!$H$3:$H$2749-TABLEITEM!$I$3:$I$2749</f>
        <v>#ERROR!</v>
      </c>
    </row>
    <row r="2640" ht="15.75" customHeight="1">
      <c r="A2640" s="45"/>
      <c r="B2640" s="18" t="s">
        <v>10242</v>
      </c>
      <c r="C2640" s="26"/>
      <c r="D2640" s="18" t="s">
        <v>10243</v>
      </c>
      <c r="E2640" s="56" t="s">
        <v>7249</v>
      </c>
      <c r="F2640" s="57" t="s">
        <v>7173</v>
      </c>
      <c r="G2640" s="49">
        <f t="array" ref="G2640">MAX(IF(INSTOCK!$H$3:$H$6125=B2640,INSTOCK!$K$3:$K$6125))</f>
        <v>0</v>
      </c>
      <c r="H2640" s="50">
        <f t="array" ref="H2640">SUM(IF(INSTOCK!$H$3:$H$6125=B2640,INSTOCK!$I$3:$I$6125))</f>
        <v>0</v>
      </c>
      <c r="I2640" s="50" t="str">
        <f>ARRAY_CONSTRAIN(ARRAYFORMULA(SUM(IF([3]!Table13[ID]=B2640,[3]!Table13[QTY]))), 1, 1)</f>
        <v>#ERROR!</v>
      </c>
      <c r="J2640" s="50" t="str">
        <f>TABLEITEM!$H$3:$H$2749-TABLEITEM!$I$3:$I$2749</f>
        <v>#ERROR!</v>
      </c>
    </row>
    <row r="2641" ht="15.75" customHeight="1">
      <c r="A2641" s="45"/>
      <c r="B2641" s="18" t="s">
        <v>6634</v>
      </c>
      <c r="C2641" s="26"/>
      <c r="D2641" s="18" t="s">
        <v>10244</v>
      </c>
      <c r="E2641" s="56" t="s">
        <v>2231</v>
      </c>
      <c r="F2641" s="57" t="s">
        <v>7173</v>
      </c>
      <c r="G2641" s="49">
        <f t="array" ref="G2641">MAX(IF(INSTOCK!$H$3:$H$6125=B2641,INSTOCK!$K$3:$K$6125))</f>
        <v>115</v>
      </c>
      <c r="H2641" s="50">
        <f t="array" ref="H2641">SUM(IF(INSTOCK!$H$3:$H$6125=B2641,INSTOCK!$I$3:$I$6125))</f>
        <v>10</v>
      </c>
      <c r="I2641" s="50" t="str">
        <f>ARRAY_CONSTRAIN(ARRAYFORMULA(SUM(IF([3]!Table13[ID]=B2641,[3]!Table13[QTY]))), 1, 1)</f>
        <v>#ERROR!</v>
      </c>
      <c r="J2641" s="50" t="str">
        <f>TABLEITEM!$H$3:$H$2749-TABLEITEM!$I$3:$I$2749</f>
        <v>#ERROR!</v>
      </c>
    </row>
    <row r="2642" ht="15.75" customHeight="1">
      <c r="A2642" s="45"/>
      <c r="B2642" s="18" t="s">
        <v>6641</v>
      </c>
      <c r="C2642" s="26"/>
      <c r="D2642" s="18" t="s">
        <v>10245</v>
      </c>
      <c r="E2642" s="56" t="s">
        <v>7606</v>
      </c>
      <c r="F2642" s="57" t="s">
        <v>7429</v>
      </c>
      <c r="G2642" s="49">
        <f t="array" ref="G2642">MAX(IF(INSTOCK!$H$3:$H$6125=B2642,INSTOCK!$K$3:$K$6125))</f>
        <v>147</v>
      </c>
      <c r="H2642" s="50">
        <f t="array" ref="H2642">SUM(IF(INSTOCK!$H$3:$H$6125=B2642,INSTOCK!$I$3:$I$6125))</f>
        <v>60</v>
      </c>
      <c r="I2642" s="50" t="str">
        <f>ARRAY_CONSTRAIN(ARRAYFORMULA(SUM(IF([3]!Table13[ID]=B2642,[3]!Table13[QTY]))), 1, 1)</f>
        <v>#ERROR!</v>
      </c>
      <c r="J2642" s="50" t="str">
        <f>TABLEITEM!$H$3:$H$2749-TABLEITEM!$I$3:$I$2749</f>
        <v>#ERROR!</v>
      </c>
    </row>
    <row r="2643" ht="15.75" customHeight="1">
      <c r="A2643" s="45"/>
      <c r="B2643" s="18" t="s">
        <v>6649</v>
      </c>
      <c r="C2643" s="26"/>
      <c r="D2643" s="18" t="s">
        <v>10246</v>
      </c>
      <c r="E2643" s="56" t="s">
        <v>6648</v>
      </c>
      <c r="F2643" s="57" t="s">
        <v>7173</v>
      </c>
      <c r="G2643" s="49">
        <f t="array" ref="G2643">MAX(IF(INSTOCK!$H$3:$H$6125=B2643,INSTOCK!$K$3:$K$6125))</f>
        <v>21472.4</v>
      </c>
      <c r="H2643" s="50">
        <f t="array" ref="H2643">SUM(IF(INSTOCK!$H$3:$H$6125=B2643,INSTOCK!$I$3:$I$6125))</f>
        <v>1</v>
      </c>
      <c r="I2643" s="50" t="str">
        <f>ARRAY_CONSTRAIN(ARRAYFORMULA(SUM(IF([3]!Table13[ID]=B2643,[3]!Table13[QTY]))), 1, 1)</f>
        <v>#ERROR!</v>
      </c>
      <c r="J2643" s="50" t="str">
        <f>TABLEITEM!$H$3:$H$2749-TABLEITEM!$I$3:$I$2749</f>
        <v>#ERROR!</v>
      </c>
    </row>
    <row r="2644" ht="15.75" customHeight="1">
      <c r="A2644" s="45"/>
      <c r="B2644" s="18" t="s">
        <v>6660</v>
      </c>
      <c r="C2644" s="26"/>
      <c r="D2644" s="18" t="s">
        <v>10247</v>
      </c>
      <c r="E2644" s="56" t="s">
        <v>7469</v>
      </c>
      <c r="F2644" s="48" t="s">
        <v>7189</v>
      </c>
      <c r="G2644" s="49">
        <f t="array" ref="G2644">MAX(IF(INSTOCK!$H$3:$H$6125=B2644,INSTOCK!$K$3:$K$6125))</f>
        <v>199.5</v>
      </c>
      <c r="H2644" s="50">
        <f t="array" ref="H2644">SUM(IF(INSTOCK!$H$3:$H$6125=B2644,INSTOCK!$I$3:$I$6125))</f>
        <v>260</v>
      </c>
      <c r="I2644" s="50" t="str">
        <f>ARRAY_CONSTRAIN(ARRAYFORMULA(SUM(IF([3]!Table13[ID]=B2644,[3]!Table13[QTY]))), 1, 1)</f>
        <v>#ERROR!</v>
      </c>
      <c r="J2644" s="50" t="str">
        <f>TABLEITEM!$H$3:$H$2749-TABLEITEM!$I$3:$I$2749</f>
        <v>#ERROR!</v>
      </c>
    </row>
    <row r="2645" ht="15.75" customHeight="1">
      <c r="A2645" s="45"/>
      <c r="B2645" s="10" t="s">
        <v>6681</v>
      </c>
      <c r="C2645" s="26"/>
      <c r="D2645" s="10" t="s">
        <v>10248</v>
      </c>
      <c r="E2645" s="48"/>
      <c r="F2645" s="57" t="s">
        <v>7173</v>
      </c>
      <c r="G2645" s="49">
        <f t="array" ref="G2645">MAX(IF(INSTOCK!$H$3:$H$6125=B2645,INSTOCK!$K$3:$K$6125))</f>
        <v>28</v>
      </c>
      <c r="H2645" s="50">
        <f t="array" ref="H2645">SUM(IF(INSTOCK!$H$3:$H$6125=B2645,INSTOCK!$I$3:$I$6125))</f>
        <v>4</v>
      </c>
      <c r="I2645" s="50" t="str">
        <f>ARRAY_CONSTRAIN(ARRAYFORMULA(SUM(IF([3]!Table13[ID]=B2645,[3]!Table13[QTY]))), 1, 1)</f>
        <v>#ERROR!</v>
      </c>
      <c r="J2645" s="50" t="str">
        <f>TABLEITEM!$H$3:$H$2749-TABLEITEM!$I$3:$I$2749</f>
        <v>#ERROR!</v>
      </c>
    </row>
    <row r="2646" ht="15.75" customHeight="1">
      <c r="A2646" s="45"/>
      <c r="B2646" s="18" t="s">
        <v>6682</v>
      </c>
      <c r="C2646" s="26"/>
      <c r="D2646" s="18" t="s">
        <v>10249</v>
      </c>
      <c r="E2646" s="56"/>
      <c r="F2646" s="57" t="s">
        <v>7173</v>
      </c>
      <c r="G2646" s="49">
        <f t="array" ref="G2646">MAX(IF(INSTOCK!$H$3:$H$6125=B2646,INSTOCK!$K$3:$K$6125))</f>
        <v>15</v>
      </c>
      <c r="H2646" s="50">
        <f t="array" ref="H2646">SUM(IF(INSTOCK!$H$3:$H$6125=B2646,INSTOCK!$I$3:$I$6125))</f>
        <v>7</v>
      </c>
      <c r="I2646" s="50" t="str">
        <f>ARRAY_CONSTRAIN(ARRAYFORMULA(SUM(IF([3]!Table13[ID]=B2646,[3]!Table13[QTY]))), 1, 1)</f>
        <v>#ERROR!</v>
      </c>
      <c r="J2646" s="50" t="str">
        <f>TABLEITEM!$H$3:$H$2749-TABLEITEM!$I$3:$I$2749</f>
        <v>#ERROR!</v>
      </c>
    </row>
    <row r="2647" ht="15.75" customHeight="1">
      <c r="A2647" s="45"/>
      <c r="B2647" s="10" t="s">
        <v>6685</v>
      </c>
      <c r="C2647" s="26"/>
      <c r="D2647" s="10" t="s">
        <v>10250</v>
      </c>
      <c r="E2647" s="48"/>
      <c r="F2647" s="57" t="s">
        <v>10251</v>
      </c>
      <c r="G2647" s="49">
        <f t="array" ref="G2647">MAX(IF(INSTOCK!$H$3:$H$6125=B2647,INSTOCK!$K$3:$K$6125))</f>
        <v>20000</v>
      </c>
      <c r="H2647" s="50">
        <f t="array" ref="H2647">SUM(IF(INSTOCK!$H$3:$H$6125=B2647,INSTOCK!$I$3:$I$6125))</f>
        <v>1</v>
      </c>
      <c r="I2647" s="50" t="str">
        <f>ARRAY_CONSTRAIN(ARRAYFORMULA(SUM(IF([3]!Table13[ID]=B2647,[3]!Table13[QTY]))), 1, 1)</f>
        <v>#ERROR!</v>
      </c>
      <c r="J2647" s="50" t="str">
        <f>TABLEITEM!$H$3:$H$2749-TABLEITEM!$I$3:$I$2749</f>
        <v>#ERROR!</v>
      </c>
    </row>
    <row r="2648" ht="15.75" customHeight="1">
      <c r="A2648" s="45"/>
      <c r="B2648" s="10" t="s">
        <v>6686</v>
      </c>
      <c r="C2648" s="26"/>
      <c r="D2648" s="10" t="s">
        <v>10252</v>
      </c>
      <c r="E2648" s="48"/>
      <c r="F2648" s="57" t="s">
        <v>10251</v>
      </c>
      <c r="G2648" s="49">
        <f t="array" ref="G2648">MAX(IF(INSTOCK!$H$3:$H$6125=B2648,INSTOCK!$K$3:$K$6125))</f>
        <v>13600</v>
      </c>
      <c r="H2648" s="50">
        <f t="array" ref="H2648">SUM(IF(INSTOCK!$H$3:$H$6125=B2648,INSTOCK!$I$3:$I$6125))</f>
        <v>1</v>
      </c>
      <c r="I2648" s="50" t="str">
        <f>ARRAY_CONSTRAIN(ARRAYFORMULA(SUM(IF([3]!Table13[ID]=B2648,[3]!Table13[QTY]))), 1, 1)</f>
        <v>#ERROR!</v>
      </c>
      <c r="J2648" s="50" t="str">
        <f>TABLEITEM!$H$3:$H$2749-TABLEITEM!$I$3:$I$2749</f>
        <v>#ERROR!</v>
      </c>
    </row>
    <row r="2649" ht="15.75" customHeight="1">
      <c r="A2649" s="45"/>
      <c r="B2649" s="10" t="s">
        <v>6687</v>
      </c>
      <c r="C2649" s="26"/>
      <c r="D2649" s="10" t="s">
        <v>10253</v>
      </c>
      <c r="E2649" s="48"/>
      <c r="F2649" s="57" t="s">
        <v>10251</v>
      </c>
      <c r="G2649" s="49">
        <f t="array" ref="G2649">MAX(IF(INSTOCK!$H$3:$H$6125=B2649,INSTOCK!$K$3:$K$6125))</f>
        <v>13600</v>
      </c>
      <c r="H2649" s="50">
        <f t="array" ref="H2649">SUM(IF(INSTOCK!$H$3:$H$6125=B2649,INSTOCK!$I$3:$I$6125))</f>
        <v>1</v>
      </c>
      <c r="I2649" s="50" t="str">
        <f>ARRAY_CONSTRAIN(ARRAYFORMULA(SUM(IF([3]!Table13[ID]=B2649,[3]!Table13[QTY]))), 1, 1)</f>
        <v>#ERROR!</v>
      </c>
      <c r="J2649" s="50" t="str">
        <f>TABLEITEM!$H$3:$H$2749-TABLEITEM!$I$3:$I$2749</f>
        <v>#ERROR!</v>
      </c>
    </row>
    <row r="2650" ht="15.75" customHeight="1">
      <c r="A2650" s="45"/>
      <c r="B2650" s="10" t="s">
        <v>6688</v>
      </c>
      <c r="C2650" s="26"/>
      <c r="D2650" s="10" t="s">
        <v>10254</v>
      </c>
      <c r="E2650" s="48"/>
      <c r="F2650" s="57" t="s">
        <v>10251</v>
      </c>
      <c r="G2650" s="49">
        <f t="array" ref="G2650">MAX(IF(INSTOCK!$H$3:$H$6125=B2650,INSTOCK!$K$3:$K$6125))</f>
        <v>13600</v>
      </c>
      <c r="H2650" s="50">
        <f t="array" ref="H2650">SUM(IF(INSTOCK!$H$3:$H$6125=B2650,INSTOCK!$I$3:$I$6125))</f>
        <v>1</v>
      </c>
      <c r="I2650" s="50" t="str">
        <f>ARRAY_CONSTRAIN(ARRAYFORMULA(SUM(IF([3]!Table13[ID]=B2650,[3]!Table13[QTY]))), 1, 1)</f>
        <v>#ERROR!</v>
      </c>
      <c r="J2650" s="50" t="str">
        <f>TABLEITEM!$H$3:$H$2749-TABLEITEM!$I$3:$I$2749</f>
        <v>#ERROR!</v>
      </c>
    </row>
    <row r="2651" ht="15.75" customHeight="1">
      <c r="A2651" s="45"/>
      <c r="B2651" s="18" t="s">
        <v>6689</v>
      </c>
      <c r="C2651" s="26"/>
      <c r="D2651" s="10" t="s">
        <v>10255</v>
      </c>
      <c r="E2651" s="56"/>
      <c r="F2651" s="57" t="s">
        <v>10251</v>
      </c>
      <c r="G2651" s="49">
        <f t="array" ref="G2651">MAX(IF(INSTOCK!$H$3:$H$6125=B2651,INSTOCK!$K$3:$K$6125))</f>
        <v>13600</v>
      </c>
      <c r="H2651" s="50">
        <f t="array" ref="H2651">SUM(IF(INSTOCK!$H$3:$H$6125=B2651,INSTOCK!$I$3:$I$6125))</f>
        <v>1</v>
      </c>
      <c r="I2651" s="50" t="str">
        <f>ARRAY_CONSTRAIN(ARRAYFORMULA(SUM(IF([3]!Table13[ID]=B2651,[3]!Table13[QTY]))), 1, 1)</f>
        <v>#ERROR!</v>
      </c>
      <c r="J2651" s="50" t="str">
        <f>TABLEITEM!$H$3:$H$2749-TABLEITEM!$I$3:$I$2749</f>
        <v>#ERROR!</v>
      </c>
    </row>
    <row r="2652" ht="15.75" customHeight="1">
      <c r="A2652" s="45"/>
      <c r="B2652" s="18" t="s">
        <v>6695</v>
      </c>
      <c r="C2652" s="26"/>
      <c r="D2652" s="18" t="s">
        <v>10256</v>
      </c>
      <c r="E2652" s="56"/>
      <c r="F2652" s="57" t="s">
        <v>7173</v>
      </c>
      <c r="G2652" s="49">
        <f t="array" ref="G2652">MAX(IF(INSTOCK!$H$3:$H$6125=B2652,INSTOCK!$K$3:$K$6125))</f>
        <v>180</v>
      </c>
      <c r="H2652" s="50">
        <f t="array" ref="H2652">SUM(IF(INSTOCK!$H$3:$H$6125=B2652,INSTOCK!$I$3:$I$6125))</f>
        <v>2</v>
      </c>
      <c r="I2652" s="50" t="str">
        <f>ARRAY_CONSTRAIN(ARRAYFORMULA(SUM(IF([3]!Table13[ID]=B2652,[3]!Table13[QTY]))), 1, 1)</f>
        <v>#ERROR!</v>
      </c>
      <c r="J2652" s="50" t="str">
        <f>TABLEITEM!$H$3:$H$2749-TABLEITEM!$I$3:$I$2749</f>
        <v>#ERROR!</v>
      </c>
    </row>
    <row r="2653" ht="15.75" customHeight="1">
      <c r="A2653" s="45"/>
      <c r="B2653" s="18" t="s">
        <v>5592</v>
      </c>
      <c r="C2653" s="26"/>
      <c r="D2653" s="18" t="s">
        <v>10257</v>
      </c>
      <c r="E2653" s="56" t="s">
        <v>9434</v>
      </c>
      <c r="F2653" s="57" t="s">
        <v>7173</v>
      </c>
      <c r="G2653" s="49">
        <f t="array" ref="G2653">MAX(IF(INSTOCK!$H$3:$H$6125=B2653,INSTOCK!$K$3:$K$6125))</f>
        <v>605.5</v>
      </c>
      <c r="H2653" s="50">
        <f t="array" ref="H2653">SUM(IF(INSTOCK!$H$3:$H$6125=B2653,INSTOCK!$I$3:$I$6125))</f>
        <v>2</v>
      </c>
      <c r="I2653" s="50" t="str">
        <f>ARRAY_CONSTRAIN(ARRAYFORMULA(SUM(IF([3]!Table13[ID]=B2653,[3]!Table13[QTY]))), 1, 1)</f>
        <v>#ERROR!</v>
      </c>
      <c r="J2653" s="50" t="str">
        <f>TABLEITEM!$H$3:$H$2749-TABLEITEM!$I$3:$I$2749</f>
        <v>#ERROR!</v>
      </c>
    </row>
    <row r="2654" ht="15.75" hidden="1" customHeight="1">
      <c r="A2654" s="45"/>
      <c r="B2654" s="10" t="s">
        <v>6734</v>
      </c>
      <c r="C2654" s="26"/>
      <c r="D2654" s="4" t="s">
        <v>10258</v>
      </c>
      <c r="E2654" s="56"/>
      <c r="F2654" s="57" t="s">
        <v>7173</v>
      </c>
      <c r="G2654" s="49">
        <f t="array" ref="G2654">MAX(IF(INSTOCK!$H$3:$H$6125=B2654,INSTOCK!$K$3:$K$6125))</f>
        <v>906</v>
      </c>
      <c r="H2654" s="50">
        <f t="array" ref="H2654">SUM(IF(INSTOCK!$H$3:$H$6125=B2654,INSTOCK!$I$3:$I$6125))</f>
        <v>1</v>
      </c>
      <c r="I2654" s="50" t="str">
        <f>ARRAY_CONSTRAIN(ARRAYFORMULA(SUM(IF([3]!Table13[ID]=B2654,[3]!Table13[QTY]))), 1, 1)</f>
        <v>#ERROR!</v>
      </c>
      <c r="J2654" s="50" t="str">
        <f>TABLEITEM!$H$3:$H$2749-TABLEITEM!$I$3:$I$2749</f>
        <v>#ERROR!</v>
      </c>
    </row>
    <row r="2655" ht="15.75" hidden="1" customHeight="1">
      <c r="A2655" s="45"/>
      <c r="B2655" s="10" t="s">
        <v>6740</v>
      </c>
      <c r="C2655" s="26"/>
      <c r="D2655" s="10" t="s">
        <v>10259</v>
      </c>
      <c r="E2655" s="48" t="s">
        <v>2288</v>
      </c>
      <c r="F2655" s="57" t="s">
        <v>7173</v>
      </c>
      <c r="G2655" s="49">
        <f t="array" ref="G2655">MAX(IF(INSTOCK!$H$3:$H$6125=B2655,INSTOCK!$K$3:$K$6125))</f>
        <v>15</v>
      </c>
      <c r="H2655" s="50">
        <f t="array" ref="H2655">SUM(IF(INSTOCK!$H$3:$H$6125=B2655,INSTOCK!$I$3:$I$6125))</f>
        <v>6</v>
      </c>
      <c r="I2655" s="50" t="str">
        <f>ARRAY_CONSTRAIN(ARRAYFORMULA(SUM(IF([3]!Table13[ID]=B2655,[3]!Table13[QTY]))), 1, 1)</f>
        <v>#ERROR!</v>
      </c>
      <c r="J2655" s="50" t="str">
        <f>TABLEITEM!$H$3:$H$2749-TABLEITEM!$I$3:$I$2749</f>
        <v>#ERROR!</v>
      </c>
    </row>
    <row r="2656" ht="15.75" hidden="1" customHeight="1">
      <c r="A2656" s="45"/>
      <c r="B2656" s="18" t="s">
        <v>6742</v>
      </c>
      <c r="C2656" s="26"/>
      <c r="D2656" s="10" t="s">
        <v>10260</v>
      </c>
      <c r="E2656" s="48" t="s">
        <v>2288</v>
      </c>
      <c r="F2656" s="57" t="s">
        <v>7173</v>
      </c>
      <c r="G2656" s="49">
        <f t="array" ref="G2656">MAX(IF(INSTOCK!$H$3:$H$6125=B2656,INSTOCK!$K$3:$K$6125))</f>
        <v>50</v>
      </c>
      <c r="H2656" s="50">
        <f t="array" ref="H2656">SUM(IF(INSTOCK!$H$3:$H$6125=B2656,INSTOCK!$I$3:$I$6125))</f>
        <v>6</v>
      </c>
      <c r="I2656" s="50" t="str">
        <f>ARRAY_CONSTRAIN(ARRAYFORMULA(SUM(IF([3]!Table13[ID]=B2656,[3]!Table13[QTY]))), 1, 1)</f>
        <v>#ERROR!</v>
      </c>
      <c r="J2656" s="50" t="str">
        <f>TABLEITEM!$H$3:$H$2749-TABLEITEM!$I$3:$I$2749</f>
        <v>#ERROR!</v>
      </c>
    </row>
    <row r="2657" ht="15.75" hidden="1" customHeight="1">
      <c r="A2657" s="45"/>
      <c r="B2657" s="18" t="s">
        <v>10261</v>
      </c>
      <c r="C2657" s="26"/>
      <c r="D2657" s="18" t="s">
        <v>10262</v>
      </c>
      <c r="E2657" s="56" t="s">
        <v>7606</v>
      </c>
      <c r="F2657" s="57" t="s">
        <v>7429</v>
      </c>
      <c r="G2657" s="49">
        <f t="array" ref="G2657">MAX(IF(INSTOCK!$H$3:$H$6125=B2657,INSTOCK!$K$3:$K$6125))</f>
        <v>0</v>
      </c>
      <c r="H2657" s="50">
        <f t="array" ref="H2657">SUM(IF(INSTOCK!$H$3:$H$6125=B2657,INSTOCK!$I$3:$I$6125))</f>
        <v>0</v>
      </c>
      <c r="I2657" s="50" t="str">
        <f>ARRAY_CONSTRAIN(ARRAYFORMULA(SUM(IF([3]!Table13[ID]=B2657,[3]!Table13[QTY]))), 1, 1)</f>
        <v>#ERROR!</v>
      </c>
      <c r="J2657" s="50" t="str">
        <f>TABLEITEM!$H$3:$H$2749-TABLEITEM!$I$3:$I$2749</f>
        <v>#ERROR!</v>
      </c>
    </row>
    <row r="2658" ht="15.75" hidden="1" customHeight="1">
      <c r="A2658" s="45"/>
      <c r="B2658" s="18" t="s">
        <v>6750</v>
      </c>
      <c r="C2658" s="26"/>
      <c r="D2658" s="18" t="s">
        <v>10263</v>
      </c>
      <c r="E2658" s="56" t="s">
        <v>10264</v>
      </c>
      <c r="F2658" s="57" t="s">
        <v>7173</v>
      </c>
      <c r="G2658" s="49">
        <f t="array" ref="G2658">MAX(IF(INSTOCK!$H$3:$H$6125=B2658,INSTOCK!$K$3:$K$6125))</f>
        <v>490</v>
      </c>
      <c r="H2658" s="50">
        <f t="array" ref="H2658">SUM(IF(INSTOCK!$H$3:$H$6125=B2658,INSTOCK!$I$3:$I$6125))</f>
        <v>1</v>
      </c>
      <c r="I2658" s="50" t="str">
        <f>ARRAY_CONSTRAIN(ARRAYFORMULA(SUM(IF([3]!Table13[ID]=B2658,[3]!Table13[QTY]))), 1, 1)</f>
        <v>#ERROR!</v>
      </c>
      <c r="J2658" s="50" t="str">
        <f>TABLEITEM!$H$3:$H$2749-TABLEITEM!$I$3:$I$2749</f>
        <v>#ERROR!</v>
      </c>
    </row>
    <row r="2659" ht="15.75" hidden="1" customHeight="1">
      <c r="A2659" s="45"/>
      <c r="B2659" s="18" t="s">
        <v>6753</v>
      </c>
      <c r="C2659" s="26"/>
      <c r="D2659" s="18" t="s">
        <v>10265</v>
      </c>
      <c r="E2659" s="56" t="s">
        <v>10217</v>
      </c>
      <c r="F2659" s="57" t="s">
        <v>7429</v>
      </c>
      <c r="G2659" s="49">
        <f t="array" ref="G2659">MAX(IF(INSTOCK!$H$3:$H$6125=B2659,INSTOCK!$K$3:$K$6125))</f>
        <v>400</v>
      </c>
      <c r="H2659" s="50">
        <f t="array" ref="H2659">SUM(IF(INSTOCK!$H$3:$H$6125=B2659,INSTOCK!$I$3:$I$6125))</f>
        <v>43</v>
      </c>
      <c r="I2659" s="50" t="str">
        <f>ARRAY_CONSTRAIN(ARRAYFORMULA(SUM(IF([3]!Table13[ID]=B2659,[3]!Table13[QTY]))), 1, 1)</f>
        <v>#ERROR!</v>
      </c>
      <c r="J2659" s="50" t="str">
        <f>TABLEITEM!$H$3:$H$2749-TABLEITEM!$I$3:$I$2749</f>
        <v>#ERROR!</v>
      </c>
    </row>
    <row r="2660" ht="15.75" hidden="1" customHeight="1">
      <c r="A2660" s="45"/>
      <c r="B2660" s="18" t="s">
        <v>6758</v>
      </c>
      <c r="C2660" s="26"/>
      <c r="D2660" s="18" t="s">
        <v>10266</v>
      </c>
      <c r="E2660" s="56"/>
      <c r="F2660" s="57" t="s">
        <v>7173</v>
      </c>
      <c r="G2660" s="49">
        <f t="array" ref="G2660">MAX(IF(INSTOCK!$H$3:$H$6125=B2660,INSTOCK!$K$3:$K$6125))</f>
        <v>90</v>
      </c>
      <c r="H2660" s="50">
        <f t="array" ref="H2660">SUM(IF(INSTOCK!$H$3:$H$6125=B2660,INSTOCK!$I$3:$I$6125))</f>
        <v>2</v>
      </c>
      <c r="I2660" s="50" t="str">
        <f>ARRAY_CONSTRAIN(ARRAYFORMULA(SUM(IF([3]!Table13[ID]=B2660,[3]!Table13[QTY]))), 1, 1)</f>
        <v>#ERROR!</v>
      </c>
      <c r="J2660" s="50" t="str">
        <f>TABLEITEM!$H$3:$H$2749-TABLEITEM!$I$3:$I$2749</f>
        <v>#ERROR!</v>
      </c>
    </row>
    <row r="2661" ht="15.75" hidden="1" customHeight="1">
      <c r="A2661" s="45"/>
      <c r="B2661" s="18" t="s">
        <v>6769</v>
      </c>
      <c r="C2661" s="26"/>
      <c r="D2661" s="18" t="s">
        <v>10267</v>
      </c>
      <c r="E2661" s="56"/>
      <c r="F2661" s="57" t="s">
        <v>7173</v>
      </c>
      <c r="G2661" s="49">
        <f t="array" ref="G2661">MAX(IF(INSTOCK!$H$3:$H$6125=B2661,INSTOCK!$K$3:$K$6125))</f>
        <v>110</v>
      </c>
      <c r="H2661" s="50">
        <f t="array" ref="H2661">SUM(IF(INSTOCK!$H$3:$H$6125=B2661,INSTOCK!$I$3:$I$6125))</f>
        <v>1</v>
      </c>
      <c r="I2661" s="50" t="str">
        <f>ARRAY_CONSTRAIN(ARRAYFORMULA(SUM(IF([3]!Table13[ID]=B2661,[3]!Table13[QTY]))), 1, 1)</f>
        <v>#ERROR!</v>
      </c>
      <c r="J2661" s="50" t="str">
        <f>TABLEITEM!$H$3:$H$2749-TABLEITEM!$I$3:$I$2749</f>
        <v>#ERROR!</v>
      </c>
    </row>
    <row r="2662" ht="15.75" hidden="1" customHeight="1">
      <c r="A2662" s="45"/>
      <c r="B2662" s="18" t="s">
        <v>6772</v>
      </c>
      <c r="C2662" s="26"/>
      <c r="D2662" s="18" t="s">
        <v>10268</v>
      </c>
      <c r="E2662" s="56"/>
      <c r="F2662" s="57" t="s">
        <v>7173</v>
      </c>
      <c r="G2662" s="49">
        <f t="array" ref="G2662">MAX(IF(INSTOCK!$H$3:$H$6125=B2662,INSTOCK!$K$3:$K$6125))</f>
        <v>2.15</v>
      </c>
      <c r="H2662" s="50">
        <f t="array" ref="H2662">SUM(IF(INSTOCK!$H$3:$H$6125=B2662,INSTOCK!$I$3:$I$6125))</f>
        <v>100</v>
      </c>
      <c r="I2662" s="50" t="str">
        <f>ARRAY_CONSTRAIN(ARRAYFORMULA(SUM(IF([3]!Table13[ID]=B2662,[3]!Table13[QTY]))), 1, 1)</f>
        <v>#ERROR!</v>
      </c>
      <c r="J2662" s="50" t="str">
        <f>TABLEITEM!$H$3:$H$2749-TABLEITEM!$I$3:$I$2749</f>
        <v>#ERROR!</v>
      </c>
    </row>
    <row r="2663" ht="15.75" hidden="1" customHeight="1">
      <c r="A2663" s="45"/>
      <c r="B2663" s="18" t="s">
        <v>10269</v>
      </c>
      <c r="C2663" s="26"/>
      <c r="D2663" s="18" t="s">
        <v>10270</v>
      </c>
      <c r="E2663" s="56" t="s">
        <v>1545</v>
      </c>
      <c r="F2663" s="57" t="s">
        <v>7429</v>
      </c>
      <c r="G2663" s="49">
        <f t="array" ref="G2663">MAX(IF(INSTOCK!$H$3:$H$6125=B2663,INSTOCK!$K$3:$K$6125))</f>
        <v>0</v>
      </c>
      <c r="H2663" s="50">
        <f t="array" ref="H2663">SUM(IF(INSTOCK!$H$3:$H$6125=B2663,INSTOCK!$I$3:$I$6125))</f>
        <v>0</v>
      </c>
      <c r="I2663" s="50" t="str">
        <f>ARRAY_CONSTRAIN(ARRAYFORMULA(SUM(IF([3]!Table13[ID]=B2663,[3]!Table13[QTY]))), 1, 1)</f>
        <v>#ERROR!</v>
      </c>
      <c r="J2663" s="50" t="str">
        <f>TABLEITEM!$H$3:$H$2749-TABLEITEM!$I$3:$I$2749</f>
        <v>#ERROR!</v>
      </c>
    </row>
    <row r="2664" ht="15.75" hidden="1" customHeight="1">
      <c r="A2664" s="45"/>
      <c r="B2664" s="18" t="s">
        <v>6777</v>
      </c>
      <c r="C2664" s="26"/>
      <c r="D2664" s="18" t="s">
        <v>10271</v>
      </c>
      <c r="E2664" s="56" t="s">
        <v>10272</v>
      </c>
      <c r="F2664" s="57" t="s">
        <v>7173</v>
      </c>
      <c r="G2664" s="49">
        <f t="array" ref="G2664">MAX(IF(INSTOCK!$H$3:$H$6125=B2664,INSTOCK!$K$3:$K$6125))</f>
        <v>100000</v>
      </c>
      <c r="H2664" s="50">
        <f t="array" ref="H2664">SUM(IF(INSTOCK!$H$3:$H$6125=B2664,INSTOCK!$I$3:$I$6125))</f>
        <v>1</v>
      </c>
      <c r="I2664" s="50" t="str">
        <f>ARRAY_CONSTRAIN(ARRAYFORMULA(SUM(IF([3]!Table13[ID]=B2664,[3]!Table13[QTY]))), 1, 1)</f>
        <v>#ERROR!</v>
      </c>
      <c r="J2664" s="50" t="str">
        <f>TABLEITEM!$H$3:$H$2749-TABLEITEM!$I$3:$I$2749</f>
        <v>#ERROR!</v>
      </c>
    </row>
    <row r="2665" ht="15.75" hidden="1" customHeight="1">
      <c r="A2665" s="45"/>
      <c r="B2665" s="18" t="s">
        <v>6811</v>
      </c>
      <c r="C2665" s="26"/>
      <c r="D2665" s="10" t="s">
        <v>10273</v>
      </c>
      <c r="E2665" s="48" t="s">
        <v>7294</v>
      </c>
      <c r="F2665" s="57" t="s">
        <v>7173</v>
      </c>
      <c r="G2665" s="49">
        <f t="array" ref="G2665">MAX(IF(INSTOCK!$H$3:$H$6125=B2665,INSTOCK!$K$3:$K$6125))</f>
        <v>90</v>
      </c>
      <c r="H2665" s="50">
        <f t="array" ref="H2665">SUM(IF(INSTOCK!$H$3:$H$6125=B2665,INSTOCK!$I$3:$I$6125))</f>
        <v>100</v>
      </c>
      <c r="I2665" s="50" t="str">
        <f>ARRAY_CONSTRAIN(ARRAYFORMULA(SUM(IF([3]!Table13[ID]=B2665,[3]!Table13[QTY]))), 1, 1)</f>
        <v>#ERROR!</v>
      </c>
      <c r="J2665" s="50" t="str">
        <f>TABLEITEM!$H$3:$H$2749-TABLEITEM!$I$3:$I$2749</f>
        <v>#ERROR!</v>
      </c>
    </row>
    <row r="2666" ht="15.75" hidden="1" customHeight="1">
      <c r="A2666" s="45"/>
      <c r="B2666" s="18" t="s">
        <v>6788</v>
      </c>
      <c r="C2666" s="26"/>
      <c r="D2666" s="18" t="s">
        <v>10274</v>
      </c>
      <c r="E2666" s="56" t="s">
        <v>10275</v>
      </c>
      <c r="F2666" s="57" t="s">
        <v>8651</v>
      </c>
      <c r="G2666" s="49">
        <f t="array" ref="G2666">MAX(IF(INSTOCK!$H$3:$H$6125=B2666,INSTOCK!$K$3:$K$6125))</f>
        <v>10000</v>
      </c>
      <c r="H2666" s="50">
        <f t="array" ref="H2666">SUM(IF(INSTOCK!$H$3:$H$6125=B2666,INSTOCK!$I$3:$I$6125))</f>
        <v>1</v>
      </c>
      <c r="I2666" s="50" t="str">
        <f>ARRAY_CONSTRAIN(ARRAYFORMULA(SUM(IF([3]!Table13[ID]=B2666,[3]!Table13[QTY]))), 1, 1)</f>
        <v>#ERROR!</v>
      </c>
      <c r="J2666" s="50" t="str">
        <f>TABLEITEM!$H$3:$H$2749-TABLEITEM!$I$3:$I$2749</f>
        <v>#ERROR!</v>
      </c>
    </row>
    <row r="2667" ht="15.75" hidden="1" customHeight="1">
      <c r="A2667" s="45"/>
      <c r="B2667" s="18" t="s">
        <v>6789</v>
      </c>
      <c r="C2667" s="26"/>
      <c r="D2667" s="18" t="s">
        <v>10276</v>
      </c>
      <c r="E2667" s="56" t="s">
        <v>10275</v>
      </c>
      <c r="F2667" s="57" t="s">
        <v>8651</v>
      </c>
      <c r="G2667" s="49">
        <f t="array" ref="G2667">MAX(IF(INSTOCK!$H$3:$H$6125=B2667,INSTOCK!$K$3:$K$6125))</f>
        <v>0</v>
      </c>
      <c r="H2667" s="50">
        <f t="array" ref="H2667">SUM(IF(INSTOCK!$H$3:$H$6125=B2667,INSTOCK!$I$3:$I$6125))</f>
        <v>1</v>
      </c>
      <c r="I2667" s="50" t="str">
        <f>ARRAY_CONSTRAIN(ARRAYFORMULA(SUM(IF([3]!Table13[ID]=B2667,[3]!Table13[QTY]))), 1, 1)</f>
        <v>#ERROR!</v>
      </c>
      <c r="J2667" s="50" t="str">
        <f>TABLEITEM!$H$3:$H$2749-TABLEITEM!$I$3:$I$2749</f>
        <v>#ERROR!</v>
      </c>
    </row>
    <row r="2668" ht="15.75" hidden="1" customHeight="1">
      <c r="A2668" s="45"/>
      <c r="B2668" s="18" t="s">
        <v>6793</v>
      </c>
      <c r="C2668" s="26"/>
      <c r="D2668" s="18" t="s">
        <v>10277</v>
      </c>
      <c r="E2668" s="56"/>
      <c r="F2668" s="57" t="s">
        <v>7173</v>
      </c>
      <c r="G2668" s="49">
        <f t="array" ref="G2668">MAX(IF(INSTOCK!$H$3:$H$6125=B2668,INSTOCK!$K$3:$K$6125))</f>
        <v>20000</v>
      </c>
      <c r="H2668" s="50">
        <f t="array" ref="H2668">SUM(IF(INSTOCK!$H$3:$H$6125=B2668,INSTOCK!$I$3:$I$6125))</f>
        <v>1</v>
      </c>
      <c r="I2668" s="50" t="str">
        <f>ARRAY_CONSTRAIN(ARRAYFORMULA(SUM(IF([3]!Table13[ID]=B2668,[3]!Table13[QTY]))), 1, 1)</f>
        <v>#ERROR!</v>
      </c>
      <c r="J2668" s="50" t="str">
        <f>TABLEITEM!$H$3:$H$2749-TABLEITEM!$I$3:$I$2749</f>
        <v>#ERROR!</v>
      </c>
    </row>
    <row r="2669" ht="15.75" hidden="1" customHeight="1">
      <c r="A2669" s="45"/>
      <c r="B2669" s="18" t="s">
        <v>257</v>
      </c>
      <c r="C2669" s="26"/>
      <c r="D2669" s="18" t="s">
        <v>10278</v>
      </c>
      <c r="E2669" s="56"/>
      <c r="F2669" s="57" t="s">
        <v>7173</v>
      </c>
      <c r="G2669" s="49">
        <f t="array" ref="G2669">MAX(IF(INSTOCK!$H$3:$H$6125=B2669,INSTOCK!$K$3:$K$6125))</f>
        <v>0.9</v>
      </c>
      <c r="H2669" s="50">
        <f t="array" ref="H2669">SUM(IF(INSTOCK!$H$3:$H$6125=B2669,INSTOCK!$I$3:$I$6125))</f>
        <v>1500</v>
      </c>
      <c r="I2669" s="50" t="str">
        <f>ARRAY_CONSTRAIN(ARRAYFORMULA(SUM(IF([3]!Table13[ID]=B2669,[3]!Table13[QTY]))), 1, 1)</f>
        <v>#ERROR!</v>
      </c>
      <c r="J2669" s="50" t="str">
        <f>TABLEITEM!$H$3:$H$2749-TABLEITEM!$I$3:$I$2749</f>
        <v>#ERROR!</v>
      </c>
    </row>
    <row r="2670" ht="15.75" hidden="1" customHeight="1">
      <c r="A2670" s="45"/>
      <c r="B2670" s="18" t="s">
        <v>6797</v>
      </c>
      <c r="C2670" s="26"/>
      <c r="D2670" s="18" t="s">
        <v>10279</v>
      </c>
      <c r="E2670" s="56" t="s">
        <v>9683</v>
      </c>
      <c r="F2670" s="57" t="s">
        <v>7173</v>
      </c>
      <c r="G2670" s="49">
        <f t="array" ref="G2670">MAX(IF(INSTOCK!$H$3:$H$6125=B2670,INSTOCK!$K$3:$K$6125))</f>
        <v>180</v>
      </c>
      <c r="H2670" s="50">
        <f t="array" ref="H2670">SUM(IF(INSTOCK!$H$3:$H$6125=B2670,INSTOCK!$I$3:$I$6125))</f>
        <v>3</v>
      </c>
      <c r="I2670" s="50" t="str">
        <f>ARRAY_CONSTRAIN(ARRAYFORMULA(SUM(IF([3]!Table13[ID]=B2670,[3]!Table13[QTY]))), 1, 1)</f>
        <v>#ERROR!</v>
      </c>
      <c r="J2670" s="50" t="str">
        <f>TABLEITEM!$H$3:$H$2749-TABLEITEM!$I$3:$I$2749</f>
        <v>#ERROR!</v>
      </c>
    </row>
    <row r="2671" ht="15.75" hidden="1" customHeight="1">
      <c r="A2671" s="45"/>
      <c r="B2671" s="18" t="s">
        <v>6800</v>
      </c>
      <c r="C2671" s="26"/>
      <c r="D2671" s="18" t="s">
        <v>10280</v>
      </c>
      <c r="E2671" s="56" t="s">
        <v>7188</v>
      </c>
      <c r="F2671" s="57" t="s">
        <v>7173</v>
      </c>
      <c r="G2671" s="49">
        <f t="array" ref="G2671">MAX(IF(INSTOCK!$H$3:$H$6125=B2671,INSTOCK!$K$3:$K$6125))</f>
        <v>4140</v>
      </c>
      <c r="H2671" s="50">
        <f t="array" ref="H2671">SUM(IF(INSTOCK!$H$3:$H$6125=B2671,INSTOCK!$I$3:$I$6125))</f>
        <v>2</v>
      </c>
      <c r="I2671" s="50" t="str">
        <f>ARRAY_CONSTRAIN(ARRAYFORMULA(SUM(IF([3]!Table13[ID]=B2671,[3]!Table13[QTY]))), 1, 1)</f>
        <v>#ERROR!</v>
      </c>
      <c r="J2671" s="50" t="str">
        <f>TABLEITEM!$H$3:$H$2749-TABLEITEM!$I$3:$I$2749</f>
        <v>#ERROR!</v>
      </c>
    </row>
    <row r="2672" ht="15.75" hidden="1" customHeight="1">
      <c r="A2672" s="45"/>
      <c r="B2672" s="10" t="s">
        <v>6803</v>
      </c>
      <c r="C2672" s="26"/>
      <c r="D2672" s="18" t="s">
        <v>10281</v>
      </c>
      <c r="E2672" s="56" t="s">
        <v>7188</v>
      </c>
      <c r="F2672" s="57" t="s">
        <v>7173</v>
      </c>
      <c r="G2672" s="49">
        <f t="array" ref="G2672">MAX(IF(INSTOCK!$H$3:$H$6125=B2672,INSTOCK!$K$3:$K$6125))</f>
        <v>1935</v>
      </c>
      <c r="H2672" s="50">
        <f t="array" ref="H2672">SUM(IF(INSTOCK!$H$3:$H$6125=B2672,INSTOCK!$I$3:$I$6125))</f>
        <v>1</v>
      </c>
      <c r="I2672" s="50" t="str">
        <f>ARRAY_CONSTRAIN(ARRAYFORMULA(SUM(IF([3]!Table13[ID]=B2672,[3]!Table13[QTY]))), 1, 1)</f>
        <v>#ERROR!</v>
      </c>
      <c r="J2672" s="50" t="str">
        <f>TABLEITEM!$H$3:$H$2749-TABLEITEM!$I$3:$I$2749</f>
        <v>#ERROR!</v>
      </c>
    </row>
    <row r="2673" ht="15.75" hidden="1" customHeight="1">
      <c r="A2673" s="45"/>
      <c r="B2673" s="10" t="s">
        <v>6804</v>
      </c>
      <c r="C2673" s="26"/>
      <c r="D2673" s="18" t="s">
        <v>10282</v>
      </c>
      <c r="E2673" s="56" t="s">
        <v>7188</v>
      </c>
      <c r="F2673" s="57" t="s">
        <v>7173</v>
      </c>
      <c r="G2673" s="49">
        <f t="array" ref="G2673">MAX(IF(INSTOCK!$H$3:$H$6125=B2673,INSTOCK!$K$3:$K$6125))</f>
        <v>1935</v>
      </c>
      <c r="H2673" s="50">
        <f t="array" ref="H2673">SUM(IF(INSTOCK!$H$3:$H$6125=B2673,INSTOCK!$I$3:$I$6125))</f>
        <v>1</v>
      </c>
      <c r="I2673" s="50" t="str">
        <f>ARRAY_CONSTRAIN(ARRAYFORMULA(SUM(IF([3]!Table13[ID]=B2673,[3]!Table13[QTY]))), 1, 1)</f>
        <v>#ERROR!</v>
      </c>
      <c r="J2673" s="50" t="str">
        <f>TABLEITEM!$H$3:$H$2749-TABLEITEM!$I$3:$I$2749</f>
        <v>#ERROR!</v>
      </c>
    </row>
    <row r="2674" ht="15.75" hidden="1" customHeight="1">
      <c r="A2674" s="45"/>
      <c r="B2674" s="10" t="s">
        <v>6805</v>
      </c>
      <c r="C2674" s="26"/>
      <c r="D2674" s="18" t="s">
        <v>10283</v>
      </c>
      <c r="E2674" s="56" t="s">
        <v>7188</v>
      </c>
      <c r="F2674" s="57" t="s">
        <v>7173</v>
      </c>
      <c r="G2674" s="49">
        <f t="array" ref="G2674">MAX(IF(INSTOCK!$H$3:$H$6125=B2674,INSTOCK!$K$3:$K$6125))</f>
        <v>1935</v>
      </c>
      <c r="H2674" s="50">
        <f t="array" ref="H2674">SUM(IF(INSTOCK!$H$3:$H$6125=B2674,INSTOCK!$I$3:$I$6125))</f>
        <v>3</v>
      </c>
      <c r="I2674" s="50" t="str">
        <f>ARRAY_CONSTRAIN(ARRAYFORMULA(SUM(IF([3]!Table13[ID]=B2674,[3]!Table13[QTY]))), 1, 1)</f>
        <v>#ERROR!</v>
      </c>
      <c r="J2674" s="50" t="str">
        <f>TABLEITEM!$H$3:$H$2749-TABLEITEM!$I$3:$I$2749</f>
        <v>#ERROR!</v>
      </c>
    </row>
    <row r="2675" ht="15.75" hidden="1" customHeight="1">
      <c r="A2675" s="45"/>
      <c r="B2675" s="18" t="s">
        <v>6806</v>
      </c>
      <c r="C2675" s="26"/>
      <c r="D2675" s="18" t="s">
        <v>10284</v>
      </c>
      <c r="E2675" s="56" t="s">
        <v>7188</v>
      </c>
      <c r="F2675" s="57" t="s">
        <v>7173</v>
      </c>
      <c r="G2675" s="49">
        <f t="array" ref="G2675">MAX(IF(INSTOCK!$H$3:$H$6125=B2675,INSTOCK!$K$3:$K$6125))</f>
        <v>1111.5</v>
      </c>
      <c r="H2675" s="50">
        <f t="array" ref="H2675">SUM(IF(INSTOCK!$H$3:$H$6125=B2675,INSTOCK!$I$3:$I$6125))</f>
        <v>1</v>
      </c>
      <c r="I2675" s="50" t="str">
        <f>ARRAY_CONSTRAIN(ARRAYFORMULA(SUM(IF([3]!Table13[ID]=B2675,[3]!Table13[QTY]))), 1, 1)</f>
        <v>#ERROR!</v>
      </c>
      <c r="J2675" s="50" t="str">
        <f>TABLEITEM!$H$3:$H$2749-TABLEITEM!$I$3:$I$2749</f>
        <v>#ERROR!</v>
      </c>
    </row>
    <row r="2676" ht="15.75" hidden="1" customHeight="1">
      <c r="A2676" s="45"/>
      <c r="B2676" s="18" t="s">
        <v>6865</v>
      </c>
      <c r="C2676" s="26"/>
      <c r="D2676" s="18" t="s">
        <v>10285</v>
      </c>
      <c r="E2676" s="56"/>
      <c r="F2676" s="57" t="s">
        <v>7173</v>
      </c>
      <c r="G2676" s="49">
        <f t="array" ref="G2676">MAX(IF(INSTOCK!$H$3:$H$6125=B2676,INSTOCK!$K$3:$K$6125))</f>
        <v>0.66</v>
      </c>
      <c r="H2676" s="50">
        <f t="array" ref="H2676">SUM(IF(INSTOCK!$H$3:$H$6125=B2676,INSTOCK!$I$3:$I$6125))</f>
        <v>500</v>
      </c>
      <c r="I2676" s="50" t="str">
        <f>ARRAY_CONSTRAIN(ARRAYFORMULA(SUM(IF([3]!Table13[ID]=B2676,[3]!Table13[QTY]))), 1, 1)</f>
        <v>#ERROR!</v>
      </c>
      <c r="J2676" s="50" t="str">
        <f>TABLEITEM!$H$3:$H$2749-TABLEITEM!$I$3:$I$2749</f>
        <v>#ERROR!</v>
      </c>
    </row>
    <row r="2677" ht="15.75" hidden="1" customHeight="1">
      <c r="A2677" s="45"/>
      <c r="B2677" s="18" t="s">
        <v>6827</v>
      </c>
      <c r="C2677" s="26"/>
      <c r="D2677" s="18" t="s">
        <v>10286</v>
      </c>
      <c r="E2677" s="56"/>
      <c r="F2677" s="57" t="s">
        <v>7173</v>
      </c>
      <c r="G2677" s="49">
        <f t="array" ref="G2677">MAX(IF(INSTOCK!$H$3:$H$6125=B2677,INSTOCK!$K$3:$K$6125))</f>
        <v>600</v>
      </c>
      <c r="H2677" s="50">
        <f t="array" ref="H2677">SUM(IF(INSTOCK!$H$3:$H$6125=B2677,INSTOCK!$I$3:$I$6125))</f>
        <v>3</v>
      </c>
      <c r="I2677" s="50" t="str">
        <f>ARRAY_CONSTRAIN(ARRAYFORMULA(SUM(IF([3]!Table13[ID]=B2677,[3]!Table13[QTY]))), 1, 1)</f>
        <v>#ERROR!</v>
      </c>
      <c r="J2677" s="50" t="str">
        <f>TABLEITEM!$H$3:$H$2749-TABLEITEM!$I$3:$I$2749</f>
        <v>#ERROR!</v>
      </c>
    </row>
    <row r="2678" ht="15.75" hidden="1" customHeight="1">
      <c r="A2678" s="45"/>
      <c r="B2678" s="18" t="s">
        <v>6832</v>
      </c>
      <c r="C2678" s="26"/>
      <c r="D2678" s="18" t="s">
        <v>10287</v>
      </c>
      <c r="E2678" s="56" t="s">
        <v>8726</v>
      </c>
      <c r="F2678" s="57" t="s">
        <v>7460</v>
      </c>
      <c r="G2678" s="49">
        <f t="array" ref="G2678">MAX(IF(INSTOCK!$H$3:$H$6125=B2678,INSTOCK!$K$3:$K$6125))</f>
        <v>198.3334</v>
      </c>
      <c r="H2678" s="50">
        <f t="array" ref="H2678">SUM(IF(INSTOCK!$H$3:$H$6125=B2678,INSTOCK!$I$3:$I$6125))</f>
        <v>6</v>
      </c>
      <c r="I2678" s="50" t="str">
        <f>ARRAY_CONSTRAIN(ARRAYFORMULA(SUM(IF([3]!Table13[ID]=B2678,[3]!Table13[QTY]))), 1, 1)</f>
        <v>#ERROR!</v>
      </c>
      <c r="J2678" s="50" t="str">
        <f>TABLEITEM!$H$3:$H$2749-TABLEITEM!$I$3:$I$2749</f>
        <v>#ERROR!</v>
      </c>
    </row>
    <row r="2679" ht="15.75" hidden="1" customHeight="1">
      <c r="A2679" s="45"/>
      <c r="B2679" s="10" t="s">
        <v>6842</v>
      </c>
      <c r="C2679" s="48" t="s">
        <v>10288</v>
      </c>
      <c r="D2679" s="10" t="s">
        <v>10289</v>
      </c>
      <c r="E2679" s="48"/>
      <c r="F2679" s="57" t="s">
        <v>7429</v>
      </c>
      <c r="G2679" s="49">
        <f t="array" ref="G2679">MAX(IF(INSTOCK!$H$3:$H$6125=B2679,INSTOCK!$K$3:$K$6125))</f>
        <v>1696.92</v>
      </c>
      <c r="H2679" s="50">
        <f t="array" ref="H2679">SUM(IF(INSTOCK!$H$3:$H$6125=B2679,INSTOCK!$I$3:$I$6125))</f>
        <v>75</v>
      </c>
      <c r="I2679" s="50" t="str">
        <f>ARRAY_CONSTRAIN(ARRAYFORMULA(SUM(IF([3]!Table13[ID]=B2679,[3]!Table13[QTY]))), 1, 1)</f>
        <v>#ERROR!</v>
      </c>
      <c r="J2679" s="50" t="str">
        <f>TABLEITEM!$H$3:$H$2749-TABLEITEM!$I$3:$I$2749</f>
        <v>#ERROR!</v>
      </c>
    </row>
    <row r="2680" ht="15.75" hidden="1" customHeight="1">
      <c r="A2680" s="45"/>
      <c r="B2680" s="10" t="s">
        <v>6844</v>
      </c>
      <c r="C2680" s="48" t="s">
        <v>10288</v>
      </c>
      <c r="D2680" s="10" t="s">
        <v>10290</v>
      </c>
      <c r="E2680" s="48"/>
      <c r="F2680" s="57" t="s">
        <v>7429</v>
      </c>
      <c r="G2680" s="49">
        <f t="array" ref="G2680">MAX(IF(INSTOCK!$H$3:$H$6125=B2680,INSTOCK!$K$3:$K$6125))</f>
        <v>423.28</v>
      </c>
      <c r="H2680" s="50">
        <f t="array" ref="H2680">SUM(IF(INSTOCK!$H$3:$H$6125=B2680,INSTOCK!$I$3:$I$6125))</f>
        <v>105</v>
      </c>
      <c r="I2680" s="50" t="str">
        <f>ARRAY_CONSTRAIN(ARRAYFORMULA(SUM(IF([3]!Table13[ID]=B2680,[3]!Table13[QTY]))), 1, 1)</f>
        <v>#ERROR!</v>
      </c>
      <c r="J2680" s="50" t="str">
        <f>TABLEITEM!$H$3:$H$2749-TABLEITEM!$I$3:$I$2749</f>
        <v>#ERROR!</v>
      </c>
    </row>
    <row r="2681" ht="15.75" hidden="1" customHeight="1">
      <c r="A2681" s="45"/>
      <c r="B2681" s="10" t="s">
        <v>6845</v>
      </c>
      <c r="C2681" s="48" t="s">
        <v>10288</v>
      </c>
      <c r="D2681" s="10" t="s">
        <v>10291</v>
      </c>
      <c r="E2681" s="48"/>
      <c r="F2681" s="57" t="s">
        <v>7429</v>
      </c>
      <c r="G2681" s="49">
        <f t="array" ref="G2681">MAX(IF(INSTOCK!$H$3:$H$6125=B2681,INSTOCK!$K$3:$K$6125))</f>
        <v>264.96</v>
      </c>
      <c r="H2681" s="50">
        <f t="array" ref="H2681">SUM(IF(INSTOCK!$H$3:$H$6125=B2681,INSTOCK!$I$3:$I$6125))</f>
        <v>20</v>
      </c>
      <c r="I2681" s="50" t="str">
        <f>ARRAY_CONSTRAIN(ARRAYFORMULA(SUM(IF([3]!Table13[ID]=B2681,[3]!Table13[QTY]))), 1, 1)</f>
        <v>#ERROR!</v>
      </c>
      <c r="J2681" s="50" t="str">
        <f>TABLEITEM!$H$3:$H$2749-TABLEITEM!$I$3:$I$2749</f>
        <v>#ERROR!</v>
      </c>
    </row>
    <row r="2682" ht="15.75" hidden="1" customHeight="1">
      <c r="A2682" s="45"/>
      <c r="B2682" s="18" t="s">
        <v>6846</v>
      </c>
      <c r="C2682" s="48" t="s">
        <v>10288</v>
      </c>
      <c r="D2682" s="10" t="s">
        <v>10292</v>
      </c>
      <c r="E2682" s="48"/>
      <c r="F2682" s="57" t="s">
        <v>7429</v>
      </c>
      <c r="G2682" s="49">
        <f t="array" ref="G2682">MAX(IF(INSTOCK!$H$3:$H$6125=B2682,INSTOCK!$K$3:$K$6125))</f>
        <v>848.46</v>
      </c>
      <c r="H2682" s="50">
        <f t="array" ref="H2682">SUM(IF(INSTOCK!$H$3:$H$6125=B2682,INSTOCK!$I$3:$I$6125))</f>
        <v>10</v>
      </c>
      <c r="I2682" s="50" t="str">
        <f>ARRAY_CONSTRAIN(ARRAYFORMULA(SUM(IF([3]!Table13[ID]=B2682,[3]!Table13[QTY]))), 1, 1)</f>
        <v>#ERROR!</v>
      </c>
      <c r="J2682" s="50" t="str">
        <f>TABLEITEM!$H$3:$H$2749-TABLEITEM!$I$3:$I$2749</f>
        <v>#ERROR!</v>
      </c>
    </row>
    <row r="2683" ht="15.75" hidden="1" customHeight="1">
      <c r="A2683" s="45"/>
      <c r="B2683" s="10" t="s">
        <v>6913</v>
      </c>
      <c r="C2683" s="26"/>
      <c r="D2683" s="10" t="s">
        <v>10293</v>
      </c>
      <c r="E2683" s="48" t="s">
        <v>9648</v>
      </c>
      <c r="F2683" s="57" t="s">
        <v>7173</v>
      </c>
      <c r="G2683" s="49">
        <f t="array" ref="G2683">MAX(IF(INSTOCK!$H$3:$H$6125=B2683,INSTOCK!$K$3:$K$6125))</f>
        <v>10</v>
      </c>
      <c r="H2683" s="50">
        <f t="array" ref="H2683">SUM(IF(INSTOCK!$H$3:$H$6125=B2683,INSTOCK!$I$3:$I$6125))</f>
        <v>2</v>
      </c>
      <c r="I2683" s="50" t="str">
        <f>ARRAY_CONSTRAIN(ARRAYFORMULA(SUM(IF([3]!Table13[ID]=B2683,[3]!Table13[QTY]))), 1, 1)</f>
        <v>#ERROR!</v>
      </c>
      <c r="J2683" s="50" t="str">
        <f>TABLEITEM!$H$3:$H$2749-TABLEITEM!$I$3:$I$2749</f>
        <v>#ERROR!</v>
      </c>
    </row>
    <row r="2684" ht="15.75" hidden="1" customHeight="1">
      <c r="A2684" s="45"/>
      <c r="B2684" s="18" t="s">
        <v>6853</v>
      </c>
      <c r="C2684" s="26"/>
      <c r="D2684" s="10" t="s">
        <v>10294</v>
      </c>
      <c r="E2684" s="56" t="s">
        <v>1964</v>
      </c>
      <c r="F2684" s="57" t="s">
        <v>7173</v>
      </c>
      <c r="G2684" s="49">
        <f t="array" ref="G2684">MAX(IF(INSTOCK!$H$3:$H$6125=B2684,INSTOCK!$K$3:$K$6125))</f>
        <v>3800</v>
      </c>
      <c r="H2684" s="50">
        <f t="array" ref="H2684">SUM(IF(INSTOCK!$H$3:$H$6125=B2684,INSTOCK!$I$3:$I$6125))</f>
        <v>2</v>
      </c>
      <c r="I2684" s="50" t="str">
        <f>ARRAY_CONSTRAIN(ARRAYFORMULA(SUM(IF([3]!Table13[ID]=B2684,[3]!Table13[QTY]))), 1, 1)</f>
        <v>#ERROR!</v>
      </c>
      <c r="J2684" s="50" t="str">
        <f>TABLEITEM!$H$3:$H$2749-TABLEITEM!$I$3:$I$2749</f>
        <v>#ERROR!</v>
      </c>
    </row>
    <row r="2685" ht="15.75" hidden="1" customHeight="1">
      <c r="A2685" s="45"/>
      <c r="B2685" s="10" t="s">
        <v>6857</v>
      </c>
      <c r="C2685" s="26"/>
      <c r="D2685" s="10" t="s">
        <v>10295</v>
      </c>
      <c r="E2685" s="48"/>
      <c r="F2685" s="57" t="s">
        <v>7173</v>
      </c>
      <c r="G2685" s="49">
        <f t="array" ref="G2685">MAX(IF(INSTOCK!$H$3:$H$6125=B2685,INSTOCK!$K$3:$K$6125))</f>
        <v>162</v>
      </c>
      <c r="H2685" s="50">
        <f t="array" ref="H2685">SUM(IF(INSTOCK!$H$3:$H$6125=B2685,INSTOCK!$I$3:$I$6125))</f>
        <v>14</v>
      </c>
      <c r="I2685" s="50" t="str">
        <f>ARRAY_CONSTRAIN(ARRAYFORMULA(SUM(IF([3]!Table13[ID]=B2685,[3]!Table13[QTY]))), 1, 1)</f>
        <v>#ERROR!</v>
      </c>
      <c r="J2685" s="50" t="str">
        <f>TABLEITEM!$H$3:$H$2749-TABLEITEM!$I$3:$I$2749</f>
        <v>#ERROR!</v>
      </c>
    </row>
    <row r="2686" ht="15.75" hidden="1" customHeight="1">
      <c r="A2686" s="45"/>
      <c r="B2686" s="18" t="s">
        <v>6859</v>
      </c>
      <c r="C2686" s="26"/>
      <c r="D2686" s="18" t="s">
        <v>10296</v>
      </c>
      <c r="E2686" s="56"/>
      <c r="F2686" s="57" t="s">
        <v>7173</v>
      </c>
      <c r="G2686" s="49">
        <f t="array" ref="G2686">MAX(IF(INSTOCK!$H$3:$H$6125=B2686,INSTOCK!$K$3:$K$6125))</f>
        <v>13.5</v>
      </c>
      <c r="H2686" s="50">
        <f t="array" ref="H2686">SUM(IF(INSTOCK!$H$3:$H$6125=B2686,INSTOCK!$I$3:$I$6125))</f>
        <v>14</v>
      </c>
      <c r="I2686" s="50" t="str">
        <f>ARRAY_CONSTRAIN(ARRAYFORMULA(SUM(IF([3]!Table13[ID]=B2686,[3]!Table13[QTY]))), 1, 1)</f>
        <v>#ERROR!</v>
      </c>
      <c r="J2686" s="50" t="str">
        <f>TABLEITEM!$H$3:$H$2749-TABLEITEM!$I$3:$I$2749</f>
        <v>#ERROR!</v>
      </c>
    </row>
    <row r="2687" ht="15.75" hidden="1" customHeight="1">
      <c r="A2687" s="45"/>
      <c r="B2687" s="10" t="s">
        <v>6887</v>
      </c>
      <c r="C2687" s="26"/>
      <c r="D2687" s="10" t="s">
        <v>10297</v>
      </c>
      <c r="E2687" s="48" t="s">
        <v>10298</v>
      </c>
      <c r="F2687" s="57" t="s">
        <v>7445</v>
      </c>
      <c r="G2687" s="49">
        <f t="array" ref="G2687">MAX(IF(INSTOCK!$H$3:$H$6125=B2687,INSTOCK!$K$3:$K$6125))</f>
        <v>45</v>
      </c>
      <c r="H2687" s="50">
        <f t="array" ref="H2687">SUM(IF(INSTOCK!$H$3:$H$6125=B2687,INSTOCK!$I$3:$I$6125))</f>
        <v>36</v>
      </c>
      <c r="I2687" s="50" t="str">
        <f>ARRAY_CONSTRAIN(ARRAYFORMULA(SUM(IF([3]!Table13[ID]=B2687,[3]!Table13[QTY]))), 1, 1)</f>
        <v>#ERROR!</v>
      </c>
      <c r="J2687" s="50" t="str">
        <f>TABLEITEM!$H$3:$H$2749-TABLEITEM!$I$3:$I$2749</f>
        <v>#ERROR!</v>
      </c>
    </row>
    <row r="2688" ht="15.75" hidden="1" customHeight="1">
      <c r="A2688" s="45"/>
      <c r="B2688" s="10" t="s">
        <v>6888</v>
      </c>
      <c r="C2688" s="26"/>
      <c r="D2688" s="10" t="s">
        <v>10299</v>
      </c>
      <c r="E2688" s="48" t="s">
        <v>8117</v>
      </c>
      <c r="F2688" s="57" t="s">
        <v>7445</v>
      </c>
      <c r="G2688" s="49">
        <f t="array" ref="G2688">MAX(IF(INSTOCK!$H$3:$H$6125=B2688,INSTOCK!$K$3:$K$6125))</f>
        <v>33.3334</v>
      </c>
      <c r="H2688" s="50">
        <f t="array" ref="H2688">SUM(IF(INSTOCK!$H$3:$H$6125=B2688,INSTOCK!$I$3:$I$6125))</f>
        <v>36</v>
      </c>
      <c r="I2688" s="50" t="str">
        <f>ARRAY_CONSTRAIN(ARRAYFORMULA(SUM(IF([3]!Table13[ID]=B2688,[3]!Table13[QTY]))), 1, 1)</f>
        <v>#ERROR!</v>
      </c>
      <c r="J2688" s="50" t="str">
        <f>TABLEITEM!$H$3:$H$2749-TABLEITEM!$I$3:$I$2749</f>
        <v>#ERROR!</v>
      </c>
    </row>
    <row r="2689" ht="15.75" hidden="1" customHeight="1">
      <c r="A2689" s="45"/>
      <c r="B2689" s="10" t="s">
        <v>6889</v>
      </c>
      <c r="C2689" s="26"/>
      <c r="D2689" s="10" t="s">
        <v>10300</v>
      </c>
      <c r="E2689" s="48" t="s">
        <v>7444</v>
      </c>
      <c r="F2689" s="57" t="s">
        <v>7445</v>
      </c>
      <c r="G2689" s="49">
        <f t="array" ref="G2689">MAX(IF(INSTOCK!$H$3:$H$6125=B2689,INSTOCK!$K$3:$K$6125))</f>
        <v>40</v>
      </c>
      <c r="H2689" s="50">
        <f t="array" ref="H2689">SUM(IF(INSTOCK!$H$3:$H$6125=B2689,INSTOCK!$I$3:$I$6125))</f>
        <v>12</v>
      </c>
      <c r="I2689" s="50" t="str">
        <f>ARRAY_CONSTRAIN(ARRAYFORMULA(SUM(IF([3]!Table13[ID]=B2689,[3]!Table13[QTY]))), 1, 1)</f>
        <v>#ERROR!</v>
      </c>
      <c r="J2689" s="50" t="str">
        <f>TABLEITEM!$H$3:$H$2749-TABLEITEM!$I$3:$I$2749</f>
        <v>#ERROR!</v>
      </c>
    </row>
    <row r="2690" ht="15.75" hidden="1" customHeight="1">
      <c r="A2690" s="45"/>
      <c r="B2690" s="18" t="s">
        <v>6890</v>
      </c>
      <c r="C2690" s="26"/>
      <c r="D2690" s="18" t="s">
        <v>10301</v>
      </c>
      <c r="E2690" s="56" t="s">
        <v>7444</v>
      </c>
      <c r="F2690" s="57" t="s">
        <v>7445</v>
      </c>
      <c r="G2690" s="49">
        <f t="array" ref="G2690">MAX(IF(INSTOCK!$H$3:$H$6125=B2690,INSTOCK!$K$3:$K$6125))</f>
        <v>40</v>
      </c>
      <c r="H2690" s="50">
        <f t="array" ref="H2690">SUM(IF(INSTOCK!$H$3:$H$6125=B2690,INSTOCK!$I$3:$I$6125))</f>
        <v>12</v>
      </c>
      <c r="I2690" s="50" t="str">
        <f>ARRAY_CONSTRAIN(ARRAYFORMULA(SUM(IF([3]!Table13[ID]=B2690,[3]!Table13[QTY]))), 1, 1)</f>
        <v>#ERROR!</v>
      </c>
      <c r="J2690" s="50" t="str">
        <f>TABLEITEM!$H$3:$H$2749-TABLEITEM!$I$3:$I$2749</f>
        <v>#ERROR!</v>
      </c>
    </row>
    <row r="2691" ht="15.75" hidden="1" customHeight="1">
      <c r="A2691" s="45"/>
      <c r="B2691" s="10" t="s">
        <v>6911</v>
      </c>
      <c r="C2691" s="26"/>
      <c r="D2691" s="10" t="s">
        <v>10302</v>
      </c>
      <c r="E2691" s="48"/>
      <c r="F2691" s="57" t="s">
        <v>7173</v>
      </c>
      <c r="G2691" s="49">
        <f t="array" ref="G2691">MAX(IF(INSTOCK!$H$3:$H$6125=B2691,INSTOCK!$K$3:$K$6125))</f>
        <v>380</v>
      </c>
      <c r="H2691" s="50">
        <f t="array" ref="H2691">SUM(IF(INSTOCK!$H$3:$H$6125=B2691,INSTOCK!$I$3:$I$6125))</f>
        <v>1</v>
      </c>
      <c r="I2691" s="50" t="str">
        <f>ARRAY_CONSTRAIN(ARRAYFORMULA(SUM(IF([3]!Table13[ID]=B2691,[3]!Table13[QTY]))), 1, 1)</f>
        <v>#ERROR!</v>
      </c>
      <c r="J2691" s="50" t="str">
        <f>TABLEITEM!$H$3:$H$2749-TABLEITEM!$I$3:$I$2749</f>
        <v>#ERROR!</v>
      </c>
    </row>
    <row r="2692" ht="15.75" hidden="1" customHeight="1">
      <c r="A2692" s="45"/>
      <c r="B2692" s="18" t="s">
        <v>6912</v>
      </c>
      <c r="C2692" s="26"/>
      <c r="D2692" s="18" t="s">
        <v>10303</v>
      </c>
      <c r="E2692" s="56"/>
      <c r="F2692" s="57" t="s">
        <v>7173</v>
      </c>
      <c r="G2692" s="49">
        <f t="array" ref="G2692">MAX(IF(INSTOCK!$H$3:$H$6125=B2692,INSTOCK!$K$3:$K$6125))</f>
        <v>180</v>
      </c>
      <c r="H2692" s="50">
        <f t="array" ref="H2692">SUM(IF(INSTOCK!$H$3:$H$6125=B2692,INSTOCK!$I$3:$I$6125))</f>
        <v>1</v>
      </c>
      <c r="I2692" s="50" t="str">
        <f>ARRAY_CONSTRAIN(ARRAYFORMULA(SUM(IF([3]!Table13[ID]=B2692,[3]!Table13[QTY]))), 1, 1)</f>
        <v>#ERROR!</v>
      </c>
      <c r="J2692" s="50" t="str">
        <f>TABLEITEM!$H$3:$H$2749-TABLEITEM!$I$3:$I$2749</f>
        <v>#ERROR!</v>
      </c>
    </row>
    <row r="2693" ht="15.75" hidden="1" customHeight="1">
      <c r="A2693" s="45"/>
      <c r="B2693" s="18" t="s">
        <v>6914</v>
      </c>
      <c r="C2693" s="26"/>
      <c r="D2693" s="18" t="s">
        <v>10304</v>
      </c>
      <c r="E2693" s="56" t="s">
        <v>8560</v>
      </c>
      <c r="F2693" s="57" t="s">
        <v>7173</v>
      </c>
      <c r="G2693" s="49">
        <f t="array" ref="G2693">MAX(IF(INSTOCK!$H$3:$H$6125=B2693,INSTOCK!$K$3:$K$6125))</f>
        <v>40</v>
      </c>
      <c r="H2693" s="50">
        <f t="array" ref="H2693">SUM(IF(INSTOCK!$H$3:$H$6125=B2693,INSTOCK!$I$3:$I$6125))</f>
        <v>1</v>
      </c>
      <c r="I2693" s="50" t="str">
        <f>ARRAY_CONSTRAIN(ARRAYFORMULA(SUM(IF([3]!Table13[ID]=B2693,[3]!Table13[QTY]))), 1, 1)</f>
        <v>#ERROR!</v>
      </c>
      <c r="J2693" s="50" t="str">
        <f>TABLEITEM!$H$3:$H$2749-TABLEITEM!$I$3:$I$2749</f>
        <v>#ERROR!</v>
      </c>
    </row>
    <row r="2694" ht="15.75" hidden="1" customHeight="1">
      <c r="A2694" s="45"/>
      <c r="B2694" s="18" t="s">
        <v>6916</v>
      </c>
      <c r="C2694" s="26"/>
      <c r="D2694" s="18" t="s">
        <v>10305</v>
      </c>
      <c r="E2694" s="56" t="s">
        <v>2231</v>
      </c>
      <c r="F2694" s="57" t="s">
        <v>7173</v>
      </c>
      <c r="G2694" s="49">
        <f t="array" ref="G2694">MAX(IF(INSTOCK!$H$3:$H$6125=B2694,INSTOCK!$K$3:$K$6125))</f>
        <v>540</v>
      </c>
      <c r="H2694" s="50">
        <f t="array" ref="H2694">SUM(IF(INSTOCK!$H$3:$H$6125=B2694,INSTOCK!$I$3:$I$6125))</f>
        <v>2</v>
      </c>
      <c r="I2694" s="50" t="str">
        <f>ARRAY_CONSTRAIN(ARRAYFORMULA(SUM(IF([3]!Table13[ID]=B2694,[3]!Table13[QTY]))), 1, 1)</f>
        <v>#ERROR!</v>
      </c>
      <c r="J2694" s="50" t="str">
        <f>TABLEITEM!$H$3:$H$2749-TABLEITEM!$I$3:$I$2749</f>
        <v>#ERROR!</v>
      </c>
    </row>
    <row r="2695" ht="15.75" hidden="1" customHeight="1">
      <c r="A2695" s="45"/>
      <c r="B2695" s="18" t="s">
        <v>6920</v>
      </c>
      <c r="C2695" s="26"/>
      <c r="D2695" s="18" t="s">
        <v>10306</v>
      </c>
      <c r="E2695" s="56" t="s">
        <v>8587</v>
      </c>
      <c r="F2695" s="57" t="s">
        <v>7173</v>
      </c>
      <c r="G2695" s="49">
        <f t="array" ref="G2695">MAX(IF(INSTOCK!$H$3:$H$6125=B2695,INSTOCK!$K$3:$K$6125))</f>
        <v>2500</v>
      </c>
      <c r="H2695" s="50">
        <f t="array" ref="H2695">SUM(IF(INSTOCK!$H$3:$H$6125=B2695,INSTOCK!$I$3:$I$6125))</f>
        <v>1</v>
      </c>
      <c r="I2695" s="50" t="str">
        <f>ARRAY_CONSTRAIN(ARRAYFORMULA(SUM(IF([3]!Table13[ID]=B2695,[3]!Table13[QTY]))), 1, 1)</f>
        <v>#ERROR!</v>
      </c>
      <c r="J2695" s="50" t="str">
        <f>TABLEITEM!$H$3:$H$2749-TABLEITEM!$I$3:$I$2749</f>
        <v>#ERROR!</v>
      </c>
    </row>
    <row r="2696" ht="15.75" hidden="1" customHeight="1">
      <c r="A2696" s="45"/>
      <c r="B2696" s="10" t="s">
        <v>6936</v>
      </c>
      <c r="C2696" s="26"/>
      <c r="D2696" s="10" t="s">
        <v>10307</v>
      </c>
      <c r="E2696" s="48" t="s">
        <v>8896</v>
      </c>
      <c r="F2696" s="57" t="s">
        <v>7173</v>
      </c>
      <c r="G2696" s="49">
        <f t="array" ref="G2696">MAX(IF(INSTOCK!$H$3:$H$6125=B2696,INSTOCK!$K$3:$K$6125))</f>
        <v>1200</v>
      </c>
      <c r="H2696" s="50">
        <f t="array" ref="H2696">SUM(IF(INSTOCK!$H$3:$H$6125=B2696,INSTOCK!$I$3:$I$6125))</f>
        <v>1</v>
      </c>
      <c r="I2696" s="50" t="str">
        <f>ARRAY_CONSTRAIN(ARRAYFORMULA(SUM(IF([3]!Table13[ID]=B2696,[3]!Table13[QTY]))), 1, 1)</f>
        <v>#ERROR!</v>
      </c>
      <c r="J2696" s="50" t="str">
        <f>TABLEITEM!$H$3:$H$2749-TABLEITEM!$I$3:$I$2749</f>
        <v>#ERROR!</v>
      </c>
    </row>
    <row r="2697" ht="15.75" hidden="1" customHeight="1">
      <c r="A2697" s="45"/>
      <c r="B2697" s="10" t="s">
        <v>6937</v>
      </c>
      <c r="C2697" s="26"/>
      <c r="D2697" s="10" t="s">
        <v>10308</v>
      </c>
      <c r="E2697" s="48" t="s">
        <v>8896</v>
      </c>
      <c r="F2697" s="57" t="s">
        <v>7173</v>
      </c>
      <c r="G2697" s="49">
        <f t="array" ref="G2697">MAX(IF(INSTOCK!$H$3:$H$6125=B2697,INSTOCK!$K$3:$K$6125))</f>
        <v>850</v>
      </c>
      <c r="H2697" s="50">
        <f t="array" ref="H2697">SUM(IF(INSTOCK!$H$3:$H$6125=B2697,INSTOCK!$I$3:$I$6125))</f>
        <v>2</v>
      </c>
      <c r="I2697" s="50" t="str">
        <f>ARRAY_CONSTRAIN(ARRAYFORMULA(SUM(IF([3]!Table13[ID]=B2697,[3]!Table13[QTY]))), 1, 1)</f>
        <v>#ERROR!</v>
      </c>
      <c r="J2697" s="50" t="str">
        <f>TABLEITEM!$H$3:$H$2749-TABLEITEM!$I$3:$I$2749</f>
        <v>#ERROR!</v>
      </c>
    </row>
    <row r="2698" ht="15.75" hidden="1" customHeight="1">
      <c r="A2698" s="45"/>
      <c r="B2698" s="18" t="s">
        <v>6938</v>
      </c>
      <c r="C2698" s="26"/>
      <c r="D2698" s="18" t="s">
        <v>10309</v>
      </c>
      <c r="E2698" s="48" t="s">
        <v>8896</v>
      </c>
      <c r="F2698" s="57" t="s">
        <v>7173</v>
      </c>
      <c r="G2698" s="49">
        <f t="array" ref="G2698">MAX(IF(INSTOCK!$H$3:$H$6125=B2698,INSTOCK!$K$3:$K$6125))</f>
        <v>3390</v>
      </c>
      <c r="H2698" s="50">
        <f t="array" ref="H2698">SUM(IF(INSTOCK!$H$3:$H$6125=B2698,INSTOCK!$I$3:$I$6125))</f>
        <v>1</v>
      </c>
      <c r="I2698" s="50" t="str">
        <f>ARRAY_CONSTRAIN(ARRAYFORMULA(SUM(IF([3]!Table13[ID]=B2698,[3]!Table13[QTY]))), 1, 1)</f>
        <v>#ERROR!</v>
      </c>
      <c r="J2698" s="50" t="str">
        <f>TABLEITEM!$H$3:$H$2749-TABLEITEM!$I$3:$I$2749</f>
        <v>#ERROR!</v>
      </c>
    </row>
    <row r="2699" ht="15.75" hidden="1" customHeight="1">
      <c r="A2699" s="45"/>
      <c r="B2699" s="18" t="s">
        <v>6941</v>
      </c>
      <c r="C2699" s="26"/>
      <c r="D2699" s="18" t="s">
        <v>10310</v>
      </c>
      <c r="E2699" s="56" t="s">
        <v>7606</v>
      </c>
      <c r="F2699" s="57" t="s">
        <v>7429</v>
      </c>
      <c r="G2699" s="49">
        <f t="array" ref="G2699">MAX(IF(INSTOCK!$H$3:$H$6125=B2699,INSTOCK!$K$3:$K$6125))</f>
        <v>262.8</v>
      </c>
      <c r="H2699" s="50">
        <f t="array" ref="H2699">SUM(IF(INSTOCK!$H$3:$H$6125=B2699,INSTOCK!$I$3:$I$6125))</f>
        <v>10</v>
      </c>
      <c r="I2699" s="50" t="str">
        <f>ARRAY_CONSTRAIN(ARRAYFORMULA(SUM(IF([3]!Table13[ID]=B2699,[3]!Table13[QTY]))), 1, 1)</f>
        <v>#ERROR!</v>
      </c>
      <c r="J2699" s="50" t="str">
        <f>TABLEITEM!$H$3:$H$2749-TABLEITEM!$I$3:$I$2749</f>
        <v>#ERROR!</v>
      </c>
    </row>
    <row r="2700" ht="15.75" hidden="1" customHeight="1">
      <c r="A2700" s="45"/>
      <c r="B2700" s="18" t="s">
        <v>6947</v>
      </c>
      <c r="C2700" s="26"/>
      <c r="D2700" s="18" t="s">
        <v>10311</v>
      </c>
      <c r="E2700" s="56" t="s">
        <v>10312</v>
      </c>
      <c r="F2700" s="57" t="s">
        <v>7173</v>
      </c>
      <c r="G2700" s="49">
        <f t="array" ref="G2700">MAX(IF(INSTOCK!$H$3:$H$6125=B2700,INSTOCK!$K$3:$K$6125))</f>
        <v>190.8</v>
      </c>
      <c r="H2700" s="50">
        <f t="array" ref="H2700">SUM(IF(INSTOCK!$H$3:$H$6125=B2700,INSTOCK!$I$3:$I$6125))</f>
        <v>46</v>
      </c>
      <c r="I2700" s="50" t="str">
        <f>ARRAY_CONSTRAIN(ARRAYFORMULA(SUM(IF([3]!Table13[ID]=B2700,[3]!Table13[QTY]))), 1, 1)</f>
        <v>#ERROR!</v>
      </c>
      <c r="J2700" s="50" t="str">
        <f>TABLEITEM!$H$3:$H$2749-TABLEITEM!$I$3:$I$2749</f>
        <v>#ERROR!</v>
      </c>
    </row>
    <row r="2701" ht="15.75" hidden="1" customHeight="1">
      <c r="A2701" s="45"/>
      <c r="B2701" s="18" t="s">
        <v>6966</v>
      </c>
      <c r="C2701" s="26"/>
      <c r="D2701" s="18" t="s">
        <v>10313</v>
      </c>
      <c r="E2701" s="56"/>
      <c r="F2701" s="57" t="s">
        <v>7429</v>
      </c>
      <c r="G2701" s="49">
        <f t="array" ref="G2701">MAX(IF(INSTOCK!$H$3:$H$6125=B2701,INSTOCK!$K$3:$K$6125))</f>
        <v>36</v>
      </c>
      <c r="H2701" s="50">
        <f t="array" ref="H2701">SUM(IF(INSTOCK!$H$3:$H$6125=B2701,INSTOCK!$I$3:$I$6125))</f>
        <v>50</v>
      </c>
      <c r="I2701" s="50" t="str">
        <f>ARRAY_CONSTRAIN(ARRAYFORMULA(SUM(IF([3]!Table13[ID]=B2701,[3]!Table13[QTY]))), 1, 1)</f>
        <v>#ERROR!</v>
      </c>
      <c r="J2701" s="50" t="str">
        <f>TABLEITEM!$H$3:$H$2749-TABLEITEM!$I$3:$I$2749</f>
        <v>#ERROR!</v>
      </c>
    </row>
    <row r="2702" ht="15.75" hidden="1" customHeight="1">
      <c r="A2702" s="45"/>
      <c r="B2702" s="18" t="s">
        <v>6970</v>
      </c>
      <c r="C2702" s="26"/>
      <c r="D2702" s="18" t="s">
        <v>10314</v>
      </c>
      <c r="E2702" s="56" t="s">
        <v>1487</v>
      </c>
      <c r="F2702" s="57" t="s">
        <v>7173</v>
      </c>
      <c r="G2702" s="49">
        <f t="array" ref="G2702">MAX(IF(INSTOCK!$H$3:$H$6125=B2702,INSTOCK!$K$3:$K$6125))</f>
        <v>806.4</v>
      </c>
      <c r="H2702" s="50">
        <f t="array" ref="H2702">SUM(IF(INSTOCK!$H$3:$H$6125=B2702,INSTOCK!$I$3:$I$6125))</f>
        <v>1</v>
      </c>
      <c r="I2702" s="50" t="str">
        <f>ARRAY_CONSTRAIN(ARRAYFORMULA(SUM(IF([3]!Table13[ID]=B2702,[3]!Table13[QTY]))), 1, 1)</f>
        <v>#ERROR!</v>
      </c>
      <c r="J2702" s="50" t="str">
        <f>TABLEITEM!$H$3:$H$2749-TABLEITEM!$I$3:$I$2749</f>
        <v>#ERROR!</v>
      </c>
    </row>
    <row r="2703" ht="15.75" hidden="1" customHeight="1">
      <c r="A2703" s="45"/>
      <c r="B2703" s="18" t="s">
        <v>6974</v>
      </c>
      <c r="C2703" s="26"/>
      <c r="D2703" s="18" t="s">
        <v>10315</v>
      </c>
      <c r="E2703" s="56"/>
      <c r="F2703" s="57" t="s">
        <v>7173</v>
      </c>
      <c r="G2703" s="49">
        <f t="array" ref="G2703">MAX(IF(INSTOCK!$H$3:$H$6125=B2703,INSTOCK!$K$3:$K$6125))</f>
        <v>6</v>
      </c>
      <c r="H2703" s="50">
        <f t="array" ref="H2703">SUM(IF(INSTOCK!$H$3:$H$6125=B2703,INSTOCK!$I$3:$I$6125))</f>
        <v>3</v>
      </c>
      <c r="I2703" s="50" t="str">
        <f>ARRAY_CONSTRAIN(ARRAYFORMULA(SUM(IF([3]!Table13[ID]=B2703,[3]!Table13[QTY]))), 1, 1)</f>
        <v>#ERROR!</v>
      </c>
      <c r="J2703" s="50" t="str">
        <f>TABLEITEM!$H$3:$H$2749-TABLEITEM!$I$3:$I$2749</f>
        <v>#ERROR!</v>
      </c>
    </row>
    <row r="2704" ht="15.75" hidden="1" customHeight="1">
      <c r="A2704" s="45"/>
      <c r="B2704" s="18" t="s">
        <v>6975</v>
      </c>
      <c r="C2704" s="26"/>
      <c r="D2704" s="18" t="s">
        <v>10316</v>
      </c>
      <c r="E2704" s="56"/>
      <c r="F2704" s="57" t="s">
        <v>7173</v>
      </c>
      <c r="G2704" s="49">
        <f t="array" ref="G2704">MAX(IF(INSTOCK!$H$3:$H$6125=B2704,INSTOCK!$K$3:$K$6125))</f>
        <v>80</v>
      </c>
      <c r="H2704" s="50">
        <f t="array" ref="H2704">SUM(IF(INSTOCK!$H$3:$H$6125=B2704,INSTOCK!$I$3:$I$6125))</f>
        <v>3</v>
      </c>
      <c r="I2704" s="50" t="str">
        <f>ARRAY_CONSTRAIN(ARRAYFORMULA(SUM(IF([3]!Table13[ID]=B2704,[3]!Table13[QTY]))), 1, 1)</f>
        <v>#ERROR!</v>
      </c>
      <c r="J2704" s="50" t="str">
        <f>TABLEITEM!$H$3:$H$2749-TABLEITEM!$I$3:$I$2749</f>
        <v>#ERROR!</v>
      </c>
    </row>
    <row r="2705" ht="15.75" hidden="1" customHeight="1">
      <c r="A2705" s="45"/>
      <c r="B2705" s="10" t="s">
        <v>6976</v>
      </c>
      <c r="C2705" s="26"/>
      <c r="D2705" s="10" t="s">
        <v>10317</v>
      </c>
      <c r="E2705" s="48"/>
      <c r="F2705" s="57" t="s">
        <v>7173</v>
      </c>
      <c r="G2705" s="49">
        <f t="array" ref="G2705">MAX(IF(INSTOCK!$H$3:$H$6125=B2705,INSTOCK!$K$3:$K$6125))</f>
        <v>24</v>
      </c>
      <c r="H2705" s="50">
        <f t="array" ref="H2705">SUM(IF(INSTOCK!$H$3:$H$6125=B2705,INSTOCK!$I$3:$I$6125))</f>
        <v>3</v>
      </c>
      <c r="I2705" s="50" t="str">
        <f>ARRAY_CONSTRAIN(ARRAYFORMULA(SUM(IF([3]!Table13[ID]=B2705,[3]!Table13[QTY]))), 1, 1)</f>
        <v>#ERROR!</v>
      </c>
      <c r="J2705" s="50" t="str">
        <f>TABLEITEM!$H$3:$H$2749-TABLEITEM!$I$3:$I$2749</f>
        <v>#ERROR!</v>
      </c>
    </row>
    <row r="2706" ht="15.75" hidden="1" customHeight="1">
      <c r="A2706" s="45"/>
      <c r="B2706" s="10" t="s">
        <v>6977</v>
      </c>
      <c r="C2706" s="26"/>
      <c r="D2706" s="10" t="s">
        <v>10318</v>
      </c>
      <c r="E2706" s="48"/>
      <c r="F2706" s="57" t="s">
        <v>7173</v>
      </c>
      <c r="G2706" s="49">
        <f t="array" ref="G2706">MAX(IF(INSTOCK!$H$3:$H$6125=B2706,INSTOCK!$K$3:$K$6125))</f>
        <v>20</v>
      </c>
      <c r="H2706" s="50">
        <f t="array" ref="H2706">SUM(IF(INSTOCK!$H$3:$H$6125=B2706,INSTOCK!$I$3:$I$6125))</f>
        <v>6</v>
      </c>
      <c r="I2706" s="50" t="str">
        <f>ARRAY_CONSTRAIN(ARRAYFORMULA(SUM(IF([3]!Table13[ID]=B2706,[3]!Table13[QTY]))), 1, 1)</f>
        <v>#ERROR!</v>
      </c>
      <c r="J2706" s="50" t="str">
        <f>TABLEITEM!$H$3:$H$2749-TABLEITEM!$I$3:$I$2749</f>
        <v>#ERROR!</v>
      </c>
    </row>
    <row r="2707" ht="15.75" hidden="1" customHeight="1">
      <c r="A2707" s="45"/>
      <c r="B2707" s="10" t="s">
        <v>6978</v>
      </c>
      <c r="C2707" s="26"/>
      <c r="D2707" s="10" t="s">
        <v>10319</v>
      </c>
      <c r="E2707" s="48"/>
      <c r="F2707" s="57" t="s">
        <v>7173</v>
      </c>
      <c r="G2707" s="49">
        <f t="array" ref="G2707">MAX(IF(INSTOCK!$H$3:$H$6125=B2707,INSTOCK!$K$3:$K$6125))</f>
        <v>78</v>
      </c>
      <c r="H2707" s="50">
        <f t="array" ref="H2707">SUM(IF(INSTOCK!$H$3:$H$6125=B2707,INSTOCK!$I$3:$I$6125))</f>
        <v>3</v>
      </c>
      <c r="I2707" s="50" t="str">
        <f>ARRAY_CONSTRAIN(ARRAYFORMULA(SUM(IF([3]!Table13[ID]=B2707,[3]!Table13[QTY]))), 1, 1)</f>
        <v>#ERROR!</v>
      </c>
      <c r="J2707" s="50" t="str">
        <f>TABLEITEM!$H$3:$H$2749-TABLEITEM!$I$3:$I$2749</f>
        <v>#ERROR!</v>
      </c>
    </row>
    <row r="2708" ht="15.75" hidden="1" customHeight="1">
      <c r="A2708" s="45"/>
      <c r="B2708" s="18" t="s">
        <v>6979</v>
      </c>
      <c r="C2708" s="26"/>
      <c r="D2708" s="18" t="s">
        <v>10320</v>
      </c>
      <c r="E2708" s="56"/>
      <c r="F2708" s="57" t="s">
        <v>7173</v>
      </c>
      <c r="G2708" s="49">
        <f t="array" ref="G2708">MAX(IF(INSTOCK!$H$3:$H$6125=B2708,INSTOCK!$K$3:$K$6125))</f>
        <v>68</v>
      </c>
      <c r="H2708" s="50">
        <f t="array" ref="H2708">SUM(IF(INSTOCK!$H$3:$H$6125=B2708,INSTOCK!$I$3:$I$6125))</f>
        <v>12</v>
      </c>
      <c r="I2708" s="50" t="str">
        <f>ARRAY_CONSTRAIN(ARRAYFORMULA(SUM(IF([3]!Table13[ID]=B2708,[3]!Table13[QTY]))), 1, 1)</f>
        <v>#ERROR!</v>
      </c>
      <c r="J2708" s="50" t="str">
        <f>TABLEITEM!$H$3:$H$2749-TABLEITEM!$I$3:$I$2749</f>
        <v>#ERROR!</v>
      </c>
    </row>
    <row r="2709" ht="15.75" hidden="1" customHeight="1">
      <c r="A2709" s="45"/>
      <c r="B2709" s="10" t="s">
        <v>6981</v>
      </c>
      <c r="C2709" s="26"/>
      <c r="D2709" s="10" t="s">
        <v>10321</v>
      </c>
      <c r="E2709" s="48"/>
      <c r="F2709" s="57" t="s">
        <v>7173</v>
      </c>
      <c r="G2709" s="49">
        <f t="array" ref="G2709">MAX(IF(INSTOCK!$H$3:$H$6125=B2709,INSTOCK!$K$3:$K$6125))</f>
        <v>11</v>
      </c>
      <c r="H2709" s="50">
        <f t="array" ref="H2709">SUM(IF(INSTOCK!$H$3:$H$6125=B2709,INSTOCK!$I$3:$I$6125))</f>
        <v>9</v>
      </c>
      <c r="I2709" s="50" t="str">
        <f>ARRAY_CONSTRAIN(ARRAYFORMULA(SUM(IF([3]!Table13[ID]=B2709,[3]!Table13[QTY]))), 1, 1)</f>
        <v>#ERROR!</v>
      </c>
      <c r="J2709" s="50" t="str">
        <f>TABLEITEM!$H$3:$H$2749-TABLEITEM!$I$3:$I$2749</f>
        <v>#ERROR!</v>
      </c>
    </row>
    <row r="2710" ht="15.75" hidden="1" customHeight="1">
      <c r="A2710" s="45"/>
      <c r="B2710" s="10" t="s">
        <v>6982</v>
      </c>
      <c r="C2710" s="26"/>
      <c r="D2710" s="10" t="s">
        <v>10322</v>
      </c>
      <c r="E2710" s="48"/>
      <c r="F2710" s="57" t="s">
        <v>7173</v>
      </c>
      <c r="G2710" s="49">
        <f t="array" ref="G2710">MAX(IF(INSTOCK!$H$3:$H$6125=B2710,INSTOCK!$K$3:$K$6125))</f>
        <v>38</v>
      </c>
      <c r="H2710" s="50">
        <f t="array" ref="H2710">SUM(IF(INSTOCK!$H$3:$H$6125=B2710,INSTOCK!$I$3:$I$6125))</f>
        <v>9</v>
      </c>
      <c r="I2710" s="50" t="str">
        <f>ARRAY_CONSTRAIN(ARRAYFORMULA(SUM(IF([3]!Table13[ID]=B2710,[3]!Table13[QTY]))), 1, 1)</f>
        <v>#ERROR!</v>
      </c>
      <c r="J2710" s="50" t="str">
        <f>TABLEITEM!$H$3:$H$2749-TABLEITEM!$I$3:$I$2749</f>
        <v>#ERROR!</v>
      </c>
    </row>
    <row r="2711" ht="15.75" hidden="1" customHeight="1">
      <c r="A2711" s="45"/>
      <c r="B2711" s="10" t="s">
        <v>6983</v>
      </c>
      <c r="C2711" s="26"/>
      <c r="D2711" s="10" t="s">
        <v>10323</v>
      </c>
      <c r="E2711" s="48"/>
      <c r="F2711" s="57" t="s">
        <v>7173</v>
      </c>
      <c r="G2711" s="49">
        <f t="array" ref="G2711">MAX(IF(INSTOCK!$H$3:$H$6125=B2711,INSTOCK!$K$3:$K$6125))</f>
        <v>130</v>
      </c>
      <c r="H2711" s="50">
        <f t="array" ref="H2711">SUM(IF(INSTOCK!$H$3:$H$6125=B2711,INSTOCK!$I$3:$I$6125))</f>
        <v>6</v>
      </c>
      <c r="I2711" s="50" t="str">
        <f>ARRAY_CONSTRAIN(ARRAYFORMULA(SUM(IF([3]!Table13[ID]=B2711,[3]!Table13[QTY]))), 1, 1)</f>
        <v>#ERROR!</v>
      </c>
      <c r="J2711" s="50" t="str">
        <f>TABLEITEM!$H$3:$H$2749-TABLEITEM!$I$3:$I$2749</f>
        <v>#ERROR!</v>
      </c>
    </row>
    <row r="2712" ht="15.75" hidden="1" customHeight="1">
      <c r="A2712" s="45"/>
      <c r="B2712" s="10" t="s">
        <v>6984</v>
      </c>
      <c r="C2712" s="26"/>
      <c r="D2712" s="10" t="s">
        <v>10324</v>
      </c>
      <c r="E2712" s="48"/>
      <c r="F2712" s="57" t="s">
        <v>7173</v>
      </c>
      <c r="G2712" s="49">
        <f t="array" ref="G2712">MAX(IF(INSTOCK!$H$3:$H$6125=B2712,INSTOCK!$K$3:$K$6125))</f>
        <v>27</v>
      </c>
      <c r="H2712" s="50">
        <f t="array" ref="H2712">SUM(IF(INSTOCK!$H$3:$H$6125=B2712,INSTOCK!$I$3:$I$6125))</f>
        <v>3</v>
      </c>
      <c r="I2712" s="50" t="str">
        <f>ARRAY_CONSTRAIN(ARRAYFORMULA(SUM(IF([3]!Table13[ID]=B2712,[3]!Table13[QTY]))), 1, 1)</f>
        <v>#ERROR!</v>
      </c>
      <c r="J2712" s="50" t="str">
        <f>TABLEITEM!$H$3:$H$2749-TABLEITEM!$I$3:$I$2749</f>
        <v>#ERROR!</v>
      </c>
    </row>
    <row r="2713" ht="15.75" hidden="1" customHeight="1">
      <c r="A2713" s="45"/>
      <c r="B2713" s="10" t="s">
        <v>6985</v>
      </c>
      <c r="C2713" s="26"/>
      <c r="D2713" s="10" t="s">
        <v>10325</v>
      </c>
      <c r="E2713" s="48"/>
      <c r="F2713" s="57" t="s">
        <v>7173</v>
      </c>
      <c r="G2713" s="49">
        <f t="array" ref="G2713">MAX(IF(INSTOCK!$H$3:$H$6125=B2713,INSTOCK!$K$3:$K$6125))</f>
        <v>16</v>
      </c>
      <c r="H2713" s="50">
        <f t="array" ref="H2713">SUM(IF(INSTOCK!$H$3:$H$6125=B2713,INSTOCK!$I$3:$I$6125))</f>
        <v>6</v>
      </c>
      <c r="I2713" s="50" t="str">
        <f>ARRAY_CONSTRAIN(ARRAYFORMULA(SUM(IF([3]!Table13[ID]=B2713,[3]!Table13[QTY]))), 1, 1)</f>
        <v>#ERROR!</v>
      </c>
      <c r="J2713" s="50" t="str">
        <f>TABLEITEM!$H$3:$H$2749-TABLEITEM!$I$3:$I$2749</f>
        <v>#ERROR!</v>
      </c>
    </row>
    <row r="2714" ht="15.75" hidden="1" customHeight="1">
      <c r="A2714" s="45"/>
      <c r="B2714" s="18" t="s">
        <v>6986</v>
      </c>
      <c r="C2714" s="26"/>
      <c r="D2714" s="18" t="s">
        <v>10326</v>
      </c>
      <c r="E2714" s="56"/>
      <c r="F2714" s="57" t="s">
        <v>7173</v>
      </c>
      <c r="G2714" s="49">
        <f t="array" ref="G2714">MAX(IF(INSTOCK!$H$3:$H$6125=B2714,INSTOCK!$K$3:$K$6125))</f>
        <v>130</v>
      </c>
      <c r="H2714" s="50">
        <f t="array" ref="H2714">SUM(IF(INSTOCK!$H$3:$H$6125=B2714,INSTOCK!$I$3:$I$6125))</f>
        <v>4</v>
      </c>
      <c r="I2714" s="50" t="str">
        <f>ARRAY_CONSTRAIN(ARRAYFORMULA(SUM(IF([3]!Table13[ID]=B2714,[3]!Table13[QTY]))), 1, 1)</f>
        <v>#ERROR!</v>
      </c>
      <c r="J2714" s="50" t="str">
        <f>TABLEITEM!$H$3:$H$2749-TABLEITEM!$I$3:$I$2749</f>
        <v>#ERROR!</v>
      </c>
    </row>
    <row r="2715" ht="15.75" hidden="1" customHeight="1">
      <c r="A2715" s="45"/>
      <c r="B2715" s="18" t="s">
        <v>6987</v>
      </c>
      <c r="C2715" s="26"/>
      <c r="D2715" s="18" t="s">
        <v>10327</v>
      </c>
      <c r="E2715" s="56"/>
      <c r="F2715" s="57" t="s">
        <v>9322</v>
      </c>
      <c r="G2715" s="49">
        <f t="array" ref="G2715">MAX(IF(INSTOCK!$H$3:$H$6125=B2715,INSTOCK!$K$3:$K$6125))</f>
        <v>140</v>
      </c>
      <c r="H2715" s="50">
        <f t="array" ref="H2715">SUM(IF(INSTOCK!$H$3:$H$6125=B2715,INSTOCK!$I$3:$I$6125))</f>
        <v>1</v>
      </c>
      <c r="I2715" s="50" t="str">
        <f>ARRAY_CONSTRAIN(ARRAYFORMULA(SUM(IF([3]!Table13[ID]=B2715,[3]!Table13[QTY]))), 1, 1)</f>
        <v>#ERROR!</v>
      </c>
      <c r="J2715" s="50" t="str">
        <f>TABLEITEM!$H$3:$H$2749-TABLEITEM!$I$3:$I$2749</f>
        <v>#ERROR!</v>
      </c>
    </row>
    <row r="2716" ht="15.75" hidden="1" customHeight="1">
      <c r="A2716" s="45"/>
      <c r="B2716" s="10" t="s">
        <v>6990</v>
      </c>
      <c r="C2716" s="26"/>
      <c r="D2716" s="10" t="s">
        <v>10328</v>
      </c>
      <c r="E2716" s="48" t="s">
        <v>8181</v>
      </c>
      <c r="F2716" s="57" t="s">
        <v>7173</v>
      </c>
      <c r="G2716" s="49">
        <f t="array" ref="G2716">MAX(IF(INSTOCK!$H$3:$H$6125=B2716,INSTOCK!$K$3:$K$6125))</f>
        <v>81</v>
      </c>
      <c r="H2716" s="50">
        <f t="array" ref="H2716">SUM(IF(INSTOCK!$H$3:$H$6125=B2716,INSTOCK!$I$3:$I$6125))</f>
        <v>3</v>
      </c>
      <c r="I2716" s="50" t="str">
        <f>ARRAY_CONSTRAIN(ARRAYFORMULA(SUM(IF([3]!Table13[ID]=B2716,[3]!Table13[QTY]))), 1, 1)</f>
        <v>#ERROR!</v>
      </c>
      <c r="J2716" s="50" t="str">
        <f>TABLEITEM!$H$3:$H$2749-TABLEITEM!$I$3:$I$2749</f>
        <v>#ERROR!</v>
      </c>
    </row>
    <row r="2717" ht="15.75" hidden="1" customHeight="1">
      <c r="A2717" s="45"/>
      <c r="B2717" s="18" t="s">
        <v>6992</v>
      </c>
      <c r="C2717" s="26"/>
      <c r="D2717" s="18" t="s">
        <v>10329</v>
      </c>
      <c r="E2717" s="48" t="s">
        <v>8181</v>
      </c>
      <c r="F2717" s="57" t="s">
        <v>7173</v>
      </c>
      <c r="G2717" s="49">
        <f t="array" ref="G2717">MAX(IF(INSTOCK!$H$3:$H$6125=B2717,INSTOCK!$K$3:$K$6125))</f>
        <v>162</v>
      </c>
      <c r="H2717" s="50">
        <f t="array" ref="H2717">SUM(IF(INSTOCK!$H$3:$H$6125=B2717,INSTOCK!$I$3:$I$6125))</f>
        <v>3</v>
      </c>
      <c r="I2717" s="50" t="str">
        <f>ARRAY_CONSTRAIN(ARRAYFORMULA(SUM(IF([3]!Table13[ID]=B2717,[3]!Table13[QTY]))), 1, 1)</f>
        <v>#ERROR!</v>
      </c>
      <c r="J2717" s="50" t="str">
        <f>TABLEITEM!$H$3:$H$2749-TABLEITEM!$I$3:$I$2749</f>
        <v>#ERROR!</v>
      </c>
    </row>
    <row r="2718" ht="15.75" hidden="1" customHeight="1">
      <c r="A2718" s="45"/>
      <c r="B2718" s="18" t="s">
        <v>7000</v>
      </c>
      <c r="C2718" s="26"/>
      <c r="D2718" s="18" t="s">
        <v>10330</v>
      </c>
      <c r="E2718" s="56"/>
      <c r="F2718" s="57" t="s">
        <v>7173</v>
      </c>
      <c r="G2718" s="49">
        <f t="array" ref="G2718">MAX(IF(INSTOCK!$H$3:$H$6125=B2718,INSTOCK!$K$3:$K$6125))</f>
        <v>750</v>
      </c>
      <c r="H2718" s="50">
        <f t="array" ref="H2718">SUM(IF(INSTOCK!$H$3:$H$6125=B2718,INSTOCK!$I$3:$I$6125))</f>
        <v>1</v>
      </c>
      <c r="I2718" s="50" t="str">
        <f>ARRAY_CONSTRAIN(ARRAYFORMULA(SUM(IF([3]!Table13[ID]=B2718,[3]!Table13[QTY]))), 1, 1)</f>
        <v>#ERROR!</v>
      </c>
      <c r="J2718" s="50" t="str">
        <f>TABLEITEM!$H$3:$H$2749-TABLEITEM!$I$3:$I$2749</f>
        <v>#ERROR!</v>
      </c>
    </row>
    <row r="2719" ht="15.75" hidden="1" customHeight="1">
      <c r="A2719" s="45"/>
      <c r="B2719" s="10" t="s">
        <v>7003</v>
      </c>
      <c r="C2719" s="26"/>
      <c r="D2719" s="10" t="s">
        <v>10331</v>
      </c>
      <c r="E2719" s="48"/>
      <c r="F2719" s="57" t="s">
        <v>7173</v>
      </c>
      <c r="G2719" s="49">
        <f t="array" ref="G2719">MAX(IF(INSTOCK!$H$3:$H$6125=B2719,INSTOCK!$K$3:$K$6125))</f>
        <v>110</v>
      </c>
      <c r="H2719" s="50">
        <f t="array" ref="H2719">SUM(IF(INSTOCK!$H$3:$H$6125=B2719,INSTOCK!$I$3:$I$6125))</f>
        <v>1</v>
      </c>
      <c r="I2719" s="50" t="str">
        <f>ARRAY_CONSTRAIN(ARRAYFORMULA(SUM(IF([3]!Table13[ID]=B2719,[3]!Table13[QTY]))), 1, 1)</f>
        <v>#ERROR!</v>
      </c>
      <c r="J2719" s="50" t="str">
        <f>TABLEITEM!$H$3:$H$2749-TABLEITEM!$I$3:$I$2749</f>
        <v>#ERROR!</v>
      </c>
    </row>
    <row r="2720" ht="15.75" hidden="1" customHeight="1">
      <c r="A2720" s="45"/>
      <c r="B2720" s="18" t="s">
        <v>7004</v>
      </c>
      <c r="C2720" s="26"/>
      <c r="D2720" s="18" t="s">
        <v>10332</v>
      </c>
      <c r="E2720" s="56"/>
      <c r="F2720" s="57" t="s">
        <v>7173</v>
      </c>
      <c r="G2720" s="49">
        <f t="array" ref="G2720">MAX(IF(INSTOCK!$H$3:$H$6125=B2720,INSTOCK!$K$3:$K$6125))</f>
        <v>7.5</v>
      </c>
      <c r="H2720" s="50">
        <f t="array" ref="H2720">SUM(IF(INSTOCK!$H$3:$H$6125=B2720,INSTOCK!$I$3:$I$6125))</f>
        <v>12</v>
      </c>
      <c r="I2720" s="50" t="str">
        <f>ARRAY_CONSTRAIN(ARRAYFORMULA(SUM(IF([3]!Table13[ID]=B2720,[3]!Table13[QTY]))), 1, 1)</f>
        <v>#ERROR!</v>
      </c>
      <c r="J2720" s="50" t="str">
        <f>TABLEITEM!$H$3:$H$2749-TABLEITEM!$I$3:$I$2749</f>
        <v>#ERROR!</v>
      </c>
    </row>
    <row r="2721" ht="15.75" hidden="1" customHeight="1">
      <c r="A2721" s="45"/>
      <c r="B2721" s="18" t="s">
        <v>7010</v>
      </c>
      <c r="C2721" s="26"/>
      <c r="D2721" s="18" t="s">
        <v>10333</v>
      </c>
      <c r="E2721" s="56" t="s">
        <v>8839</v>
      </c>
      <c r="F2721" s="57" t="s">
        <v>7173</v>
      </c>
      <c r="G2721" s="49">
        <f t="array" ref="G2721">MAX(IF(INSTOCK!$H$3:$H$6125=B2721,INSTOCK!$K$3:$K$6125))</f>
        <v>10.5</v>
      </c>
      <c r="H2721" s="50">
        <f t="array" ref="H2721">SUM(IF(INSTOCK!$H$3:$H$6125=B2721,INSTOCK!$I$3:$I$6125))</f>
        <v>100</v>
      </c>
      <c r="I2721" s="50" t="str">
        <f>ARRAY_CONSTRAIN(ARRAYFORMULA(SUM(IF([3]!Table13[ID]=B2721,[3]!Table13[QTY]))), 1, 1)</f>
        <v>#ERROR!</v>
      </c>
      <c r="J2721" s="50" t="str">
        <f>TABLEITEM!$H$3:$H$2749-TABLEITEM!$I$3:$I$2749</f>
        <v>#ERROR!</v>
      </c>
    </row>
    <row r="2722" ht="15.75" hidden="1" customHeight="1">
      <c r="A2722" s="45"/>
      <c r="B2722" s="18" t="s">
        <v>7014</v>
      </c>
      <c r="C2722" s="26"/>
      <c r="D2722" s="18" t="s">
        <v>10334</v>
      </c>
      <c r="E2722" s="56"/>
      <c r="F2722" s="57" t="s">
        <v>7173</v>
      </c>
      <c r="G2722" s="49">
        <f t="array" ref="G2722">MAX(IF(INSTOCK!$H$3:$H$6125=B2722,INSTOCK!$K$3:$K$6125))</f>
        <v>52</v>
      </c>
      <c r="H2722" s="50">
        <f t="array" ref="H2722">SUM(IF(INSTOCK!$H$3:$H$6125=B2722,INSTOCK!$I$3:$I$6125))</f>
        <v>6</v>
      </c>
      <c r="I2722" s="50" t="str">
        <f>ARRAY_CONSTRAIN(ARRAYFORMULA(SUM(IF([3]!Table13[ID]=B2722,[3]!Table13[QTY]))), 1, 1)</f>
        <v>#ERROR!</v>
      </c>
      <c r="J2722" s="50" t="str">
        <f>TABLEITEM!$H$3:$H$2749-TABLEITEM!$I$3:$I$2749</f>
        <v>#ERROR!</v>
      </c>
    </row>
    <row r="2723" ht="15.75" hidden="1" customHeight="1">
      <c r="A2723" s="45"/>
      <c r="B2723" s="18" t="s">
        <v>7022</v>
      </c>
      <c r="C2723" s="26"/>
      <c r="D2723" s="18" t="s">
        <v>10335</v>
      </c>
      <c r="E2723" s="56"/>
      <c r="F2723" s="57" t="s">
        <v>10336</v>
      </c>
      <c r="G2723" s="49">
        <f t="array" ref="G2723">MAX(IF(INSTOCK!$H$3:$H$6125=B2723,INSTOCK!$K$3:$K$6125))</f>
        <v>2025</v>
      </c>
      <c r="H2723" s="50">
        <f t="array" ref="H2723">SUM(IF(INSTOCK!$H$3:$H$6125=B2723,INSTOCK!$I$3:$I$6125))</f>
        <v>2</v>
      </c>
      <c r="I2723" s="50" t="str">
        <f>ARRAY_CONSTRAIN(ARRAYFORMULA(SUM(IF([3]!Table13[ID]=B2723,[3]!Table13[QTY]))), 1, 1)</f>
        <v>#ERROR!</v>
      </c>
      <c r="J2723" s="50" t="str">
        <f>TABLEITEM!$H$3:$H$2749-TABLEITEM!$I$3:$I$2749</f>
        <v>#ERROR!</v>
      </c>
    </row>
    <row r="2724" ht="15.75" hidden="1" customHeight="1">
      <c r="A2724" s="45"/>
      <c r="B2724" s="18" t="s">
        <v>7026</v>
      </c>
      <c r="C2724" s="26"/>
      <c r="D2724" s="18" t="s">
        <v>10337</v>
      </c>
      <c r="E2724" s="56"/>
      <c r="F2724" s="57" t="s">
        <v>7173</v>
      </c>
      <c r="G2724" s="49">
        <f t="array" ref="G2724">MAX(IF(INSTOCK!$H$3:$H$6125=B2724,INSTOCK!$K$3:$K$6125))</f>
        <v>35</v>
      </c>
      <c r="H2724" s="50">
        <f t="array" ref="H2724">SUM(IF(INSTOCK!$H$3:$H$6125=B2724,INSTOCK!$I$3:$I$6125))</f>
        <v>5</v>
      </c>
      <c r="I2724" s="50" t="str">
        <f>ARRAY_CONSTRAIN(ARRAYFORMULA(SUM(IF([3]!Table13[ID]=B2724,[3]!Table13[QTY]))), 1, 1)</f>
        <v>#ERROR!</v>
      </c>
      <c r="J2724" s="50" t="str">
        <f>TABLEITEM!$H$3:$H$2749-TABLEITEM!$I$3:$I$2749</f>
        <v>#ERROR!</v>
      </c>
    </row>
    <row r="2725" ht="15.75" hidden="1" customHeight="1">
      <c r="A2725" s="45"/>
      <c r="B2725" s="18" t="s">
        <v>7029</v>
      </c>
      <c r="C2725" s="26"/>
      <c r="D2725" s="18" t="s">
        <v>10338</v>
      </c>
      <c r="E2725" s="56"/>
      <c r="F2725" s="57" t="s">
        <v>7429</v>
      </c>
      <c r="G2725" s="49">
        <f t="array" ref="G2725">MAX(IF(INSTOCK!$H$3:$H$6125=B2725,INSTOCK!$K$3:$K$6125))</f>
        <v>40.82</v>
      </c>
      <c r="H2725" s="50">
        <f t="array" ref="H2725">SUM(IF(INSTOCK!$H$3:$H$6125=B2725,INSTOCK!$I$3:$I$6125))</f>
        <v>50</v>
      </c>
      <c r="I2725" s="50" t="str">
        <f>ARRAY_CONSTRAIN(ARRAYFORMULA(SUM(IF([3]!Table13[ID]=B2725,[3]!Table13[QTY]))), 1, 1)</f>
        <v>#ERROR!</v>
      </c>
      <c r="J2725" s="50" t="str">
        <f>TABLEITEM!$H$3:$H$2749-TABLEITEM!$I$3:$I$2749</f>
        <v>#ERROR!</v>
      </c>
    </row>
    <row r="2726" ht="15.75" hidden="1" customHeight="1">
      <c r="A2726" s="45"/>
      <c r="B2726" s="18" t="s">
        <v>7032</v>
      </c>
      <c r="C2726" s="26"/>
      <c r="D2726" s="18" t="s">
        <v>10339</v>
      </c>
      <c r="E2726" s="56"/>
      <c r="F2726" s="57" t="s">
        <v>7173</v>
      </c>
      <c r="G2726" s="49">
        <f t="array" ref="G2726">MAX(IF(INSTOCK!$H$3:$H$6125=B2726,INSTOCK!$K$3:$K$6125))</f>
        <v>10.5</v>
      </c>
      <c r="H2726" s="50">
        <f t="array" ref="H2726">SUM(IF(INSTOCK!$H$3:$H$6125=B2726,INSTOCK!$I$3:$I$6125))</f>
        <v>3</v>
      </c>
      <c r="I2726" s="50" t="str">
        <f>ARRAY_CONSTRAIN(ARRAYFORMULA(SUM(IF([3]!Table13[ID]=B2726,[3]!Table13[QTY]))), 1, 1)</f>
        <v>#ERROR!</v>
      </c>
      <c r="J2726" s="50" t="str">
        <f>TABLEITEM!$H$3:$H$2749-TABLEITEM!$I$3:$I$2749</f>
        <v>#ERROR!</v>
      </c>
    </row>
    <row r="2727" ht="15.75" hidden="1" customHeight="1">
      <c r="A2727" s="45"/>
      <c r="B2727" s="10" t="s">
        <v>3102</v>
      </c>
      <c r="C2727" s="26"/>
      <c r="D2727" s="10" t="s">
        <v>10340</v>
      </c>
      <c r="E2727" s="48"/>
      <c r="F2727" s="57" t="s">
        <v>8728</v>
      </c>
      <c r="G2727" s="49">
        <f t="array" ref="G2727">MAX(IF(INSTOCK!$H$3:$H$6125=B2727,INSTOCK!$K$3:$K$6125))</f>
        <v>3.9</v>
      </c>
      <c r="H2727" s="50">
        <f t="array" ref="H2727">SUM(IF(INSTOCK!$H$3:$H$6125=B2727,INSTOCK!$I$3:$I$6125))</f>
        <v>5000</v>
      </c>
      <c r="I2727" s="50" t="str">
        <f>ARRAY_CONSTRAIN(ARRAYFORMULA(SUM(IF([3]!Table13[ID]=B2727,[3]!Table13[QTY]))), 1, 1)</f>
        <v>#ERROR!</v>
      </c>
      <c r="J2727" s="50" t="str">
        <f>TABLEITEM!$H$3:$H$2749-TABLEITEM!$I$3:$I$2749</f>
        <v>#ERROR!</v>
      </c>
    </row>
    <row r="2728" ht="15.75" hidden="1" customHeight="1">
      <c r="A2728" s="45"/>
      <c r="B2728" s="18" t="s">
        <v>2468</v>
      </c>
      <c r="C2728" s="26"/>
      <c r="D2728" s="18" t="s">
        <v>10341</v>
      </c>
      <c r="E2728" s="56"/>
      <c r="F2728" s="57" t="s">
        <v>8728</v>
      </c>
      <c r="G2728" s="49">
        <f t="array" ref="G2728">MAX(IF(INSTOCK!$H$3:$H$6125=B2728,INSTOCK!$K$3:$K$6125))</f>
        <v>3.6</v>
      </c>
      <c r="H2728" s="50">
        <f t="array" ref="H2728">SUM(IF(INSTOCK!$H$3:$H$6125=B2728,INSTOCK!$I$3:$I$6125))</f>
        <v>2000</v>
      </c>
      <c r="I2728" s="50" t="str">
        <f>ARRAY_CONSTRAIN(ARRAYFORMULA(SUM(IF([3]!Table13[ID]=B2728,[3]!Table13[QTY]))), 1, 1)</f>
        <v>#ERROR!</v>
      </c>
      <c r="J2728" s="50" t="str">
        <f>TABLEITEM!$H$3:$H$2749-TABLEITEM!$I$3:$I$2749</f>
        <v>#ERROR!</v>
      </c>
    </row>
    <row r="2729" ht="15.75" hidden="1" customHeight="1">
      <c r="A2729" s="45"/>
      <c r="B2729" s="18" t="s">
        <v>7060</v>
      </c>
      <c r="C2729" s="26"/>
      <c r="D2729" s="18" t="s">
        <v>10342</v>
      </c>
      <c r="E2729" s="56"/>
      <c r="F2729" s="57" t="s">
        <v>7429</v>
      </c>
      <c r="G2729" s="49">
        <f t="array" ref="G2729">MAX(IF(INSTOCK!$H$3:$H$6125=B2729,INSTOCK!$K$3:$K$6125))</f>
        <v>15.576</v>
      </c>
      <c r="H2729" s="50">
        <f t="array" ref="H2729">SUM(IF(INSTOCK!$H$3:$H$6125=B2729,INSTOCK!$I$3:$I$6125))</f>
        <v>100</v>
      </c>
      <c r="I2729" s="50" t="str">
        <f>ARRAY_CONSTRAIN(ARRAYFORMULA(SUM(IF([3]!Table13[ID]=B2729,[3]!Table13[QTY]))), 1, 1)</f>
        <v>#ERROR!</v>
      </c>
      <c r="J2729" s="50" t="str">
        <f>TABLEITEM!$H$3:$H$2749-TABLEITEM!$I$3:$I$2749</f>
        <v>#ERROR!</v>
      </c>
    </row>
    <row r="2730" ht="15.75" hidden="1" customHeight="1">
      <c r="A2730" s="45"/>
      <c r="B2730" s="18" t="s">
        <v>7062</v>
      </c>
      <c r="C2730" s="26"/>
      <c r="D2730" s="18" t="s">
        <v>10343</v>
      </c>
      <c r="E2730" s="56"/>
      <c r="F2730" s="57" t="s">
        <v>7429</v>
      </c>
      <c r="G2730" s="49">
        <f t="array" ref="G2730">MAX(IF(INSTOCK!$H$3:$H$6125=B2730,INSTOCK!$K$3:$K$6125))</f>
        <v>34.936</v>
      </c>
      <c r="H2730" s="50">
        <f t="array" ref="H2730">SUM(IF(INSTOCK!$H$3:$H$6125=B2730,INSTOCK!$I$3:$I$6125))</f>
        <v>100</v>
      </c>
      <c r="I2730" s="50" t="str">
        <f>ARRAY_CONSTRAIN(ARRAYFORMULA(SUM(IF([3]!Table13[ID]=B2730,[3]!Table13[QTY]))), 1, 1)</f>
        <v>#ERROR!</v>
      </c>
      <c r="J2730" s="50" t="str">
        <f>TABLEITEM!$H$3:$H$2749-TABLEITEM!$I$3:$I$2749</f>
        <v>#ERROR!</v>
      </c>
    </row>
    <row r="2731" ht="15.75" hidden="1" customHeight="1">
      <c r="A2731" s="45"/>
      <c r="B2731" s="18" t="s">
        <v>7072</v>
      </c>
      <c r="C2731" s="26"/>
      <c r="D2731" s="18" t="s">
        <v>10344</v>
      </c>
      <c r="E2731" s="56" t="s">
        <v>8587</v>
      </c>
      <c r="F2731" s="57" t="s">
        <v>7173</v>
      </c>
      <c r="G2731" s="49">
        <f t="array" ref="G2731">MAX(IF(INSTOCK!$H$3:$H$6125=B2731,INSTOCK!$K$3:$K$6125))</f>
        <v>1500</v>
      </c>
      <c r="H2731" s="50">
        <f t="array" ref="H2731">SUM(IF(INSTOCK!$H$3:$H$6125=B2731,INSTOCK!$I$3:$I$6125))</f>
        <v>6</v>
      </c>
      <c r="I2731" s="50" t="str">
        <f>ARRAY_CONSTRAIN(ARRAYFORMULA(SUM(IF([3]!Table13[ID]=B2731,[3]!Table13[QTY]))), 1, 1)</f>
        <v>#ERROR!</v>
      </c>
      <c r="J2731" s="50" t="str">
        <f>TABLEITEM!$H$3:$H$2749-TABLEITEM!$I$3:$I$2749</f>
        <v>#ERROR!</v>
      </c>
    </row>
    <row r="2732" ht="15.75" hidden="1" customHeight="1">
      <c r="A2732" s="45"/>
      <c r="B2732" s="18" t="s">
        <v>7077</v>
      </c>
      <c r="C2732" s="26"/>
      <c r="D2732" s="18" t="s">
        <v>10345</v>
      </c>
      <c r="E2732" s="56" t="s">
        <v>10346</v>
      </c>
      <c r="F2732" s="57" t="s">
        <v>7173</v>
      </c>
      <c r="G2732" s="49">
        <f t="array" ref="G2732">MAX(IF(INSTOCK!$H$3:$H$6125=B2732,INSTOCK!$K$3:$K$6125))</f>
        <v>75</v>
      </c>
      <c r="H2732" s="50">
        <f t="array" ref="H2732">SUM(IF(INSTOCK!$H$3:$H$6125=B2732,INSTOCK!$I$3:$I$6125))</f>
        <v>50</v>
      </c>
      <c r="I2732" s="50" t="str">
        <f>ARRAY_CONSTRAIN(ARRAYFORMULA(SUM(IF([3]!Table13[ID]=B2732,[3]!Table13[QTY]))), 1, 1)</f>
        <v>#ERROR!</v>
      </c>
      <c r="J2732" s="50" t="str">
        <f>TABLEITEM!$H$3:$H$2749-TABLEITEM!$I$3:$I$2749</f>
        <v>#ERROR!</v>
      </c>
    </row>
    <row r="2733" ht="15.75" hidden="1" customHeight="1">
      <c r="A2733" s="45"/>
      <c r="B2733" s="18" t="s">
        <v>7094</v>
      </c>
      <c r="C2733" s="26"/>
      <c r="D2733" s="18" t="s">
        <v>10347</v>
      </c>
      <c r="E2733" s="56"/>
      <c r="F2733" s="57" t="s">
        <v>7429</v>
      </c>
      <c r="G2733" s="49">
        <f t="array" ref="G2733">MAX(IF(INSTOCK!$H$3:$H$6125=B2733,INSTOCK!$K$3:$K$6125))</f>
        <v>600</v>
      </c>
      <c r="H2733" s="50">
        <f t="array" ref="H2733">SUM(IF(INSTOCK!$H$3:$H$6125=B2733,INSTOCK!$I$3:$I$6125))</f>
        <v>50</v>
      </c>
      <c r="I2733" s="50" t="str">
        <f>ARRAY_CONSTRAIN(ARRAYFORMULA(SUM(IF([3]!Table13[ID]=B2733,[3]!Table13[QTY]))), 1, 1)</f>
        <v>#ERROR!</v>
      </c>
      <c r="J2733" s="50" t="str">
        <f>TABLEITEM!$H$3:$H$2749-TABLEITEM!$I$3:$I$2749</f>
        <v>#ERROR!</v>
      </c>
    </row>
    <row r="2734" ht="15.75" hidden="1" customHeight="1">
      <c r="A2734" s="45"/>
      <c r="B2734" s="18" t="s">
        <v>7098</v>
      </c>
      <c r="C2734" s="26"/>
      <c r="D2734" s="18" t="s">
        <v>10348</v>
      </c>
      <c r="E2734" s="56"/>
      <c r="F2734" s="57" t="s">
        <v>10349</v>
      </c>
      <c r="G2734" s="49">
        <f t="array" ref="G2734">MAX(IF(INSTOCK!$H$3:$H$6125=B2734,INSTOCK!$K$3:$K$6125))</f>
        <v>600</v>
      </c>
      <c r="H2734" s="50">
        <f t="array" ref="H2734">SUM(IF(INSTOCK!$H$3:$H$6125=B2734,INSTOCK!$I$3:$I$6125))</f>
        <v>1</v>
      </c>
      <c r="I2734" s="50" t="str">
        <f>ARRAY_CONSTRAIN(ARRAYFORMULA(SUM(IF([3]!Table13[ID]=B2734,[3]!Table13[QTY]))), 1, 1)</f>
        <v>#ERROR!</v>
      </c>
      <c r="J2734" s="50" t="str">
        <f>TABLEITEM!$H$3:$H$2749-TABLEITEM!$I$3:$I$2749</f>
        <v>#ERROR!</v>
      </c>
    </row>
    <row r="2735" ht="15.75" hidden="1" customHeight="1">
      <c r="A2735" s="45"/>
      <c r="B2735" s="18" t="s">
        <v>7100</v>
      </c>
      <c r="C2735" s="26"/>
      <c r="D2735" s="18" t="s">
        <v>7100</v>
      </c>
      <c r="E2735" s="56"/>
      <c r="F2735" s="57" t="s">
        <v>8651</v>
      </c>
      <c r="G2735" s="49">
        <f t="array" ref="G2735">MAX(IF(INSTOCK!$H$3:$H$6125=B2735,INSTOCK!$K$3:$K$6125))</f>
        <v>8200</v>
      </c>
      <c r="H2735" s="50">
        <f t="array" ref="H2735">SUM(IF(INSTOCK!$H$3:$H$6125=B2735,INSTOCK!$I$3:$I$6125))</f>
        <v>1</v>
      </c>
      <c r="I2735" s="50" t="str">
        <f>ARRAY_CONSTRAIN(ARRAYFORMULA(SUM(IF([3]!Table13[ID]=B2735,[3]!Table13[QTY]))), 1, 1)</f>
        <v>#ERROR!</v>
      </c>
      <c r="J2735" s="50" t="str">
        <f>TABLEITEM!$H$3:$H$2749-TABLEITEM!$I$3:$I$2749</f>
        <v>#ERROR!</v>
      </c>
    </row>
    <row r="2736" ht="15.75" hidden="1" customHeight="1">
      <c r="A2736" s="45"/>
      <c r="B2736" s="18" t="s">
        <v>7105</v>
      </c>
      <c r="C2736" s="26"/>
      <c r="D2736" s="18" t="s">
        <v>10350</v>
      </c>
      <c r="E2736" s="56"/>
      <c r="F2736" s="57" t="s">
        <v>7173</v>
      </c>
      <c r="G2736" s="49">
        <f t="array" ref="G2736">MAX(IF(INSTOCK!$H$3:$H$6125=B2736,INSTOCK!$K$3:$K$6125))</f>
        <v>0.3</v>
      </c>
      <c r="H2736" s="50">
        <f t="array" ref="H2736">SUM(IF(INSTOCK!$H$3:$H$6125=B2736,INSTOCK!$I$3:$I$6125))</f>
        <v>20</v>
      </c>
      <c r="I2736" s="50" t="str">
        <f>ARRAY_CONSTRAIN(ARRAYFORMULA(SUM(IF([3]!Table13[ID]=B2736,[3]!Table13[QTY]))), 1, 1)</f>
        <v>#ERROR!</v>
      </c>
      <c r="J2736" s="50" t="str">
        <f>TABLEITEM!$H$3:$H$2749-TABLEITEM!$I$3:$I$2749</f>
        <v>#ERROR!</v>
      </c>
    </row>
    <row r="2737" ht="15.75" hidden="1" customHeight="1">
      <c r="A2737" s="45"/>
      <c r="B2737" s="18" t="s">
        <v>7107</v>
      </c>
      <c r="C2737" s="26"/>
      <c r="D2737" s="18" t="s">
        <v>10351</v>
      </c>
      <c r="E2737" s="56"/>
      <c r="F2737" s="57" t="s">
        <v>7173</v>
      </c>
      <c r="G2737" s="49">
        <f t="array" ref="G2737">MAX(IF(INSTOCK!$H$3:$H$6125=B2737,INSTOCK!$K$3:$K$6125))</f>
        <v>7</v>
      </c>
      <c r="H2737" s="50">
        <f t="array" ref="H2737">SUM(IF(INSTOCK!$H$3:$H$6125=B2737,INSTOCK!$I$3:$I$6125))</f>
        <v>4</v>
      </c>
      <c r="I2737" s="50" t="str">
        <f>ARRAY_CONSTRAIN(ARRAYFORMULA(SUM(IF([3]!Table13[ID]=B2737,[3]!Table13[QTY]))), 1, 1)</f>
        <v>#ERROR!</v>
      </c>
      <c r="J2737" s="50" t="str">
        <f>TABLEITEM!$H$3:$H$2749-TABLEITEM!$I$3:$I$2749</f>
        <v>#ERROR!</v>
      </c>
    </row>
    <row r="2738" ht="15.75" hidden="1" customHeight="1">
      <c r="A2738" s="45"/>
      <c r="B2738" s="18" t="s">
        <v>10352</v>
      </c>
      <c r="C2738" s="26"/>
      <c r="D2738" s="10" t="s">
        <v>10353</v>
      </c>
      <c r="E2738" s="56"/>
      <c r="F2738" s="48" t="s">
        <v>7173</v>
      </c>
      <c r="G2738" s="49">
        <f t="array" ref="G2738">MAX(IF(INSTOCK!$H$3:$H$6125=B2738,INSTOCK!$K$3:$K$6125))</f>
        <v>0</v>
      </c>
      <c r="H2738" s="50">
        <f t="array" ref="H2738">SUM(IF(INSTOCK!$H$3:$H$6125=B2738,INSTOCK!$I$3:$I$6125))</f>
        <v>0</v>
      </c>
      <c r="I2738" s="50" t="str">
        <f>ARRAY_CONSTRAIN(ARRAYFORMULA(SUM(IF([3]!Table13[ID]=B2738,[3]!Table13[QTY]))), 1, 1)</f>
        <v>#ERROR!</v>
      </c>
      <c r="J2738" s="50" t="str">
        <f>TABLEITEM!$H$3:$H$2749-TABLEITEM!$I$3:$I$2749</f>
        <v>#ERROR!</v>
      </c>
    </row>
    <row r="2739" ht="15.75" hidden="1" customHeight="1">
      <c r="A2739" s="45"/>
      <c r="B2739" s="18" t="s">
        <v>10354</v>
      </c>
      <c r="C2739" s="26"/>
      <c r="D2739" s="10" t="s">
        <v>10355</v>
      </c>
      <c r="E2739" s="56"/>
      <c r="F2739" s="48" t="s">
        <v>7173</v>
      </c>
      <c r="G2739" s="49">
        <f t="array" ref="G2739">MAX(IF(INSTOCK!$H$3:$H$6125=B2739,INSTOCK!$K$3:$K$6125))</f>
        <v>0</v>
      </c>
      <c r="H2739" s="50">
        <f t="array" ref="H2739">SUM(IF(INSTOCK!$H$3:$H$6125=B2739,INSTOCK!$I$3:$I$6125))</f>
        <v>0</v>
      </c>
      <c r="I2739" s="50" t="str">
        <f>ARRAY_CONSTRAIN(ARRAYFORMULA(SUM(IF([3]!Table13[ID]=B2739,[3]!Table13[QTY]))), 1, 1)</f>
        <v>#ERROR!</v>
      </c>
      <c r="J2739" s="50" t="str">
        <f>TABLEITEM!$H$3:$H$2749-TABLEITEM!$I$3:$I$2749</f>
        <v>#ERROR!</v>
      </c>
    </row>
    <row r="2740" ht="15.75" hidden="1" customHeight="1">
      <c r="A2740" s="45"/>
      <c r="B2740" s="18" t="s">
        <v>7111</v>
      </c>
      <c r="C2740" s="26"/>
      <c r="D2740" s="18" t="s">
        <v>10356</v>
      </c>
      <c r="E2740" s="56"/>
      <c r="F2740" s="57" t="s">
        <v>9322</v>
      </c>
      <c r="G2740" s="49">
        <f t="array" ref="G2740">MAX(IF(INSTOCK!$H$3:$H$6125=B2740,INSTOCK!$K$3:$K$6125))</f>
        <v>94</v>
      </c>
      <c r="H2740" s="50">
        <f t="array" ref="H2740">SUM(IF(INSTOCK!$H$3:$H$6125=B2740,INSTOCK!$I$3:$I$6125))</f>
        <v>3</v>
      </c>
      <c r="I2740" s="50" t="str">
        <f>ARRAY_CONSTRAIN(ARRAYFORMULA(SUM(IF([3]!Table13[ID]=B2740,[3]!Table13[QTY]))), 1, 1)</f>
        <v>#ERROR!</v>
      </c>
      <c r="J2740" s="50" t="str">
        <f>TABLEITEM!$H$3:$H$2749-TABLEITEM!$I$3:$I$2749</f>
        <v>#ERROR!</v>
      </c>
    </row>
    <row r="2741" ht="15.75" hidden="1" customHeight="1">
      <c r="A2741" s="45"/>
      <c r="B2741" s="18" t="s">
        <v>7117</v>
      </c>
      <c r="C2741" s="26"/>
      <c r="D2741" s="18" t="s">
        <v>10357</v>
      </c>
      <c r="E2741" s="56" t="s">
        <v>2653</v>
      </c>
      <c r="F2741" s="57" t="s">
        <v>7429</v>
      </c>
      <c r="G2741" s="49">
        <f t="array" ref="G2741">MAX(IF(INSTOCK!$H$3:$H$6125=B2741,INSTOCK!$K$3:$K$6125))</f>
        <v>168</v>
      </c>
      <c r="H2741" s="50">
        <f t="array" ref="H2741">SUM(IF(INSTOCK!$H$3:$H$6125=B2741,INSTOCK!$I$3:$I$6125))</f>
        <v>100</v>
      </c>
      <c r="I2741" s="50" t="str">
        <f>ARRAY_CONSTRAIN(ARRAYFORMULA(SUM(IF([3]!Table13[ID]=B2741,[3]!Table13[QTY]))), 1, 1)</f>
        <v>#ERROR!</v>
      </c>
      <c r="J2741" s="50" t="str">
        <f>TABLEITEM!$H$3:$H$2749-TABLEITEM!$I$3:$I$2749</f>
        <v>#ERROR!</v>
      </c>
    </row>
    <row r="2742" ht="15.75" hidden="1" customHeight="1">
      <c r="A2742" s="45"/>
      <c r="B2742" s="18" t="s">
        <v>7119</v>
      </c>
      <c r="C2742" s="26"/>
      <c r="D2742" s="18" t="s">
        <v>10358</v>
      </c>
      <c r="E2742" s="56"/>
      <c r="F2742" s="57" t="s">
        <v>7460</v>
      </c>
      <c r="G2742" s="49">
        <f t="array" ref="G2742">MAX(IF(INSTOCK!$H$3:$H$6125=B2742,INSTOCK!$K$3:$K$6125))</f>
        <v>460</v>
      </c>
      <c r="H2742" s="50">
        <f t="array" ref="H2742">SUM(IF(INSTOCK!$H$3:$H$6125=B2742,INSTOCK!$I$3:$I$6125))</f>
        <v>4</v>
      </c>
      <c r="I2742" s="50" t="str">
        <f>ARRAY_CONSTRAIN(ARRAYFORMULA(SUM(IF([3]!Table13[ID]=B2742,[3]!Table13[QTY]))), 1, 1)</f>
        <v>#ERROR!</v>
      </c>
      <c r="J2742" s="50" t="str">
        <f>TABLEITEM!$H$3:$H$2749-TABLEITEM!$I$3:$I$2749</f>
        <v>#ERROR!</v>
      </c>
    </row>
    <row r="2743" ht="15.75" hidden="1" customHeight="1">
      <c r="A2743" s="45"/>
      <c r="B2743" s="18" t="s">
        <v>7121</v>
      </c>
      <c r="C2743" s="26"/>
      <c r="D2743" s="18" t="s">
        <v>10359</v>
      </c>
      <c r="E2743" s="56"/>
      <c r="F2743" s="57" t="s">
        <v>7445</v>
      </c>
      <c r="G2743" s="49">
        <f t="array" ref="G2743">MAX(IF(INSTOCK!$H$3:$H$6125=B2743,INSTOCK!$K$3:$K$6125))</f>
        <v>100</v>
      </c>
      <c r="H2743" s="50">
        <f t="array" ref="H2743">SUM(IF(INSTOCK!$H$3:$H$6125=B2743,INSTOCK!$I$3:$I$6125))</f>
        <v>3</v>
      </c>
      <c r="I2743" s="50" t="str">
        <f>ARRAY_CONSTRAIN(ARRAYFORMULA(SUM(IF([3]!Table13[ID]=B2743,[3]!Table13[QTY]))), 1, 1)</f>
        <v>#ERROR!</v>
      </c>
      <c r="J2743" s="50" t="str">
        <f>TABLEITEM!$H$3:$H$2749-TABLEITEM!$I$3:$I$2749</f>
        <v>#ERROR!</v>
      </c>
    </row>
    <row r="2744" ht="15.75" hidden="1" customHeight="1">
      <c r="A2744" s="45"/>
      <c r="B2744" s="10" t="s">
        <v>7138</v>
      </c>
      <c r="C2744" s="26"/>
      <c r="D2744" s="10" t="s">
        <v>10360</v>
      </c>
      <c r="E2744" s="48" t="s">
        <v>10361</v>
      </c>
      <c r="F2744" s="57" t="s">
        <v>7189</v>
      </c>
      <c r="G2744" s="49">
        <f t="array" ref="G2744">MAX(IF(INSTOCK!$H$3:$H$6125=B2744,INSTOCK!$K$3:$K$6125))</f>
        <v>153</v>
      </c>
      <c r="H2744" s="50">
        <f t="array" ref="H2744">SUM(IF(INSTOCK!$H$3:$H$6125=B2744,INSTOCK!$I$3:$I$6125))</f>
        <v>20</v>
      </c>
      <c r="I2744" s="50" t="str">
        <f>ARRAY_CONSTRAIN(ARRAYFORMULA(SUM(IF([3]!Table13[ID]=B2744,[3]!Table13[QTY]))), 1, 1)</f>
        <v>#ERROR!</v>
      </c>
      <c r="J2744" s="50" t="str">
        <f>TABLEITEM!$H$3:$H$2749-TABLEITEM!$I$3:$I$2749</f>
        <v>#ERROR!</v>
      </c>
    </row>
    <row r="2745" ht="15.75" hidden="1" customHeight="1">
      <c r="A2745" s="45"/>
      <c r="B2745" s="10" t="s">
        <v>7136</v>
      </c>
      <c r="C2745" s="26"/>
      <c r="D2745" s="10" t="s">
        <v>10362</v>
      </c>
      <c r="E2745" s="48" t="s">
        <v>7188</v>
      </c>
      <c r="F2745" s="57" t="s">
        <v>7173</v>
      </c>
      <c r="G2745" s="49">
        <f t="array" ref="G2745">MAX(IF(INSTOCK!$H$3:$H$6125=B2745,INSTOCK!$K$3:$K$6125))</f>
        <v>3340</v>
      </c>
      <c r="H2745" s="50">
        <f t="array" ref="H2745">SUM(IF(INSTOCK!$H$3:$H$6125=B2745,INSTOCK!$I$3:$I$6125))</f>
        <v>1</v>
      </c>
      <c r="I2745" s="50" t="str">
        <f>ARRAY_CONSTRAIN(ARRAYFORMULA(SUM(IF([3]!Table13[ID]=B2745,[3]!Table13[QTY]))), 1, 1)</f>
        <v>#ERROR!</v>
      </c>
      <c r="J2745" s="50" t="str">
        <f>TABLEITEM!$H$3:$H$2749-TABLEITEM!$I$3:$I$2749</f>
        <v>#ERROR!</v>
      </c>
    </row>
    <row r="2746" ht="15.75" hidden="1" customHeight="1">
      <c r="A2746" s="45"/>
      <c r="B2746" s="10" t="s">
        <v>7144</v>
      </c>
      <c r="C2746" s="26"/>
      <c r="D2746" s="10" t="s">
        <v>10363</v>
      </c>
      <c r="E2746" s="48" t="s">
        <v>8360</v>
      </c>
      <c r="F2746" s="57" t="s">
        <v>7173</v>
      </c>
      <c r="G2746" s="49">
        <f t="array" ref="G2746">MAX(IF(INSTOCK!$H$3:$H$6125=B2746,INSTOCK!$K$3:$K$6125))</f>
        <v>2323</v>
      </c>
      <c r="H2746" s="50">
        <f t="array" ref="H2746">SUM(IF(INSTOCK!$H$3:$H$6125=B2746,INSTOCK!$I$3:$I$6125))</f>
        <v>1</v>
      </c>
      <c r="I2746" s="50" t="str">
        <f>ARRAY_CONSTRAIN(ARRAYFORMULA(SUM(IF([3]!Table13[ID]=B2746,[3]!Table13[QTY]))), 1, 1)</f>
        <v>#ERROR!</v>
      </c>
      <c r="J2746" s="50" t="str">
        <f>TABLEITEM!$H$3:$H$2749-TABLEITEM!$I$3:$I$2749</f>
        <v>#ERROR!</v>
      </c>
    </row>
    <row r="2747" ht="15.75" hidden="1" customHeight="1">
      <c r="A2747" s="45"/>
      <c r="B2747" s="10" t="s">
        <v>7148</v>
      </c>
      <c r="C2747" s="26"/>
      <c r="D2747" s="10" t="s">
        <v>10364</v>
      </c>
      <c r="E2747" s="48" t="s">
        <v>1487</v>
      </c>
      <c r="F2747" s="57" t="s">
        <v>7173</v>
      </c>
      <c r="G2747" s="49">
        <f t="array" ref="G2747">MAX(IF(INSTOCK!$H$3:$H$6125=B2747,INSTOCK!$K$3:$K$6125))</f>
        <v>6437</v>
      </c>
      <c r="H2747" s="50">
        <f t="array" ref="H2747">SUM(IF(INSTOCK!$H$3:$H$6125=B2747,INSTOCK!$I$3:$I$6125))</f>
        <v>1</v>
      </c>
      <c r="I2747" s="50" t="str">
        <f>ARRAY_CONSTRAIN(ARRAYFORMULA(SUM(IF([3]!Table13[ID]=B2747,[3]!Table13[QTY]))), 1, 1)</f>
        <v>#ERROR!</v>
      </c>
      <c r="J2747" s="50" t="str">
        <f>TABLEITEM!$H$3:$H$2749-TABLEITEM!$I$3:$I$2749</f>
        <v>#ERROR!</v>
      </c>
    </row>
    <row r="2748" ht="15.75" hidden="1" customHeight="1">
      <c r="A2748" s="45"/>
      <c r="B2748" s="10" t="s">
        <v>7150</v>
      </c>
      <c r="C2748" s="26"/>
      <c r="D2748" s="18" t="s">
        <v>10365</v>
      </c>
      <c r="E2748" s="56" t="s">
        <v>1504</v>
      </c>
      <c r="F2748" s="57" t="s">
        <v>7173</v>
      </c>
      <c r="G2748" s="49">
        <f t="array" ref="G2748">MAX(IF(INSTOCK!$H$3:$H$6125=B2748,INSTOCK!$K$3:$K$6125))</f>
        <v>792</v>
      </c>
      <c r="H2748" s="50">
        <f t="array" ref="H2748">SUM(IF(INSTOCK!$H$3:$H$6125=B2748,INSTOCK!$I$3:$I$6125))</f>
        <v>12</v>
      </c>
      <c r="I2748" s="50" t="str">
        <f>ARRAY_CONSTRAIN(ARRAYFORMULA(SUM(IF([3]!Table13[ID]=B2748,[3]!Table13[QTY]))), 1, 1)</f>
        <v>#ERROR!</v>
      </c>
      <c r="J2748" s="50" t="str">
        <f>TABLEITEM!$H$3:$H$2749-TABLEITEM!$I$3:$I$2749</f>
        <v>#ERROR!</v>
      </c>
    </row>
    <row r="2749" ht="15.75" hidden="1" customHeight="1">
      <c r="A2749" s="45"/>
      <c r="B2749" s="18" t="s">
        <v>283</v>
      </c>
      <c r="C2749" s="26"/>
      <c r="D2749" s="10" t="s">
        <v>10366</v>
      </c>
      <c r="E2749" s="56"/>
      <c r="F2749" s="48" t="s">
        <v>7173</v>
      </c>
      <c r="G2749" s="49">
        <f t="array" ref="G2749">MAX(IF(INSTOCK!$H$3:$H$6125=B2749,INSTOCK!$K$3:$K$6125))</f>
        <v>1.65</v>
      </c>
      <c r="H2749" s="50">
        <f t="array" ref="H2749">SUM(IF(INSTOCK!$H$3:$H$6125=B2749,INSTOCK!$I$3:$I$6125))</f>
        <v>130</v>
      </c>
      <c r="I2749" s="50" t="str">
        <f>ARRAY_CONSTRAIN(ARRAYFORMULA(SUM(IF([3]!Table13[ID]=B2749,[3]!Table13[QTY]))), 1, 1)</f>
        <v>#ERROR!</v>
      </c>
      <c r="J2749" s="50" t="str">
        <f>TABLEITEM!$H$3:$H$2749-TABLEITEM!$I$3:$I$2749</f>
        <v>#ERROR!</v>
      </c>
    </row>
  </sheetData>
  <autoFilter ref="$A$1:$M$1"/>
  <dataValidations>
    <dataValidation type="list" allowBlank="1" showErrorMessage="1" sqref="F680:F690 F692:F701 F703 F708:F709 F725:F729 F732:F734 F736:F742 F746:F747 F753 F761:F764 F766:F769 F771:F774 F776 F779:F783 F785 F793:F909 F918 F924:F926 F949:F961 F963 F965:F983 F997 F1005 F1053 F1056 F1068 F1076 F1086 F1088:F1091 F1095 F1109 F1115:F1116 F1142 F1181 F1231:F1235 F1373 F1697 F1736 F1741:F1743 F1745:F1746 F1762">
      <formula1>$L$1:$L$16</formula1>
    </dataValidation>
    <dataValidation type="list" allowBlank="1" showErrorMessage="1" sqref="C3:C1398 C1400:C1442 C1451 C1491 C1657:C1661 C1739 C2241">
      <formula1>$L$3:$L$6</formula1>
    </dataValidation>
  </dataValidations>
  <hyperlinks>
    <hyperlink display="INSTOCK" location="INSTOCK!A1" ref="A1"/>
  </hyperlink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22"/>
    <col customWidth="1" min="2" max="2" width="18.89"/>
    <col customWidth="1" min="3" max="3" width="22.0"/>
    <col customWidth="1" min="4" max="4" width="11.56"/>
    <col customWidth="1" min="5" max="5" width="12.56"/>
    <col customWidth="1" min="6" max="6" width="12.44"/>
    <col customWidth="1" min="7" max="7" width="5.67"/>
    <col customWidth="1" min="8" max="8" width="12.33"/>
    <col customWidth="1" min="9" max="9" width="22.22"/>
    <col customWidth="1" min="10" max="10" width="20.78"/>
    <col customWidth="1" min="11" max="12" width="13.0"/>
    <col customWidth="1" min="13" max="13" width="11.56"/>
    <col customWidth="1" min="14" max="14" width="12.56"/>
    <col customWidth="1" min="15" max="26" width="11.0"/>
  </cols>
  <sheetData>
    <row r="1">
      <c r="C1" s="63"/>
      <c r="E1" s="63"/>
      <c r="I1" s="64" t="s">
        <v>6</v>
      </c>
      <c r="J1" s="23" t="s">
        <v>21</v>
      </c>
    </row>
    <row r="2">
      <c r="A2" s="64" t="s">
        <v>5</v>
      </c>
      <c r="B2" s="23" t="s">
        <v>10367</v>
      </c>
      <c r="C2" s="63"/>
      <c r="E2" s="63"/>
      <c r="I2" s="64" t="s">
        <v>11</v>
      </c>
      <c r="J2" s="23" t="s">
        <v>10367</v>
      </c>
    </row>
    <row r="3">
      <c r="A3" s="64" t="s">
        <v>2</v>
      </c>
      <c r="B3" s="23" t="s">
        <v>659</v>
      </c>
      <c r="C3" s="63"/>
      <c r="E3" s="63"/>
    </row>
    <row r="4">
      <c r="A4" s="64" t="s">
        <v>3</v>
      </c>
      <c r="B4" s="23" t="s">
        <v>10367</v>
      </c>
      <c r="C4" s="63"/>
      <c r="E4" s="63"/>
      <c r="M4" s="64" t="s">
        <v>10368</v>
      </c>
    </row>
    <row r="5">
      <c r="A5" s="64" t="s">
        <v>4</v>
      </c>
      <c r="B5" s="23" t="s">
        <v>10369</v>
      </c>
      <c r="C5" s="63"/>
      <c r="E5" s="63"/>
      <c r="I5" s="64" t="s">
        <v>5</v>
      </c>
      <c r="J5" s="64" t="s">
        <v>1</v>
      </c>
      <c r="K5" s="64" t="s">
        <v>2</v>
      </c>
      <c r="L5" s="64" t="s">
        <v>9</v>
      </c>
      <c r="M5" s="23" t="s">
        <v>10370</v>
      </c>
      <c r="N5" s="23" t="s">
        <v>10371</v>
      </c>
    </row>
    <row r="6">
      <c r="C6" s="63"/>
      <c r="E6" s="63"/>
      <c r="I6" s="23" t="s">
        <v>10372</v>
      </c>
      <c r="J6" s="1">
        <v>43199.0</v>
      </c>
      <c r="K6" s="23" t="s">
        <v>15</v>
      </c>
      <c r="L6" s="23">
        <v>40.0</v>
      </c>
      <c r="M6" s="64">
        <v>360.0</v>
      </c>
      <c r="N6" s="64">
        <v>14400.0</v>
      </c>
    </row>
    <row r="7">
      <c r="C7" s="63" t="s">
        <v>10368</v>
      </c>
      <c r="I7" s="23" t="s">
        <v>1274</v>
      </c>
      <c r="J7" s="1">
        <v>43132.0</v>
      </c>
      <c r="K7" s="23" t="s">
        <v>4135</v>
      </c>
      <c r="L7" s="23">
        <v>45.0</v>
      </c>
      <c r="M7" s="64">
        <v>400.0</v>
      </c>
      <c r="N7" s="64">
        <v>18000.0</v>
      </c>
    </row>
    <row r="8">
      <c r="A8" s="64" t="s">
        <v>6</v>
      </c>
      <c r="B8" s="64" t="s">
        <v>11</v>
      </c>
      <c r="C8" s="63" t="s">
        <v>10373</v>
      </c>
      <c r="D8" s="23" t="s">
        <v>10370</v>
      </c>
      <c r="E8" s="23" t="s">
        <v>10371</v>
      </c>
      <c r="J8" s="1">
        <v>43161.0</v>
      </c>
      <c r="K8" s="23" t="s">
        <v>4268</v>
      </c>
      <c r="L8" s="23">
        <v>45.0</v>
      </c>
      <c r="M8" s="64">
        <v>300.0</v>
      </c>
      <c r="N8" s="64">
        <v>13500.0</v>
      </c>
    </row>
    <row r="9">
      <c r="A9" s="23" t="s">
        <v>564</v>
      </c>
      <c r="B9" s="23" t="s">
        <v>8482</v>
      </c>
      <c r="C9" s="63">
        <v>2145.6</v>
      </c>
      <c r="D9" s="64">
        <v>25.0</v>
      </c>
      <c r="E9" s="63">
        <v>53640.0</v>
      </c>
      <c r="J9" s="1">
        <v>43164.0</v>
      </c>
      <c r="K9" s="23" t="s">
        <v>4243</v>
      </c>
      <c r="L9" s="23">
        <v>45.0</v>
      </c>
      <c r="M9" s="64">
        <v>100.0</v>
      </c>
      <c r="N9" s="64">
        <v>4500.0</v>
      </c>
    </row>
    <row r="10">
      <c r="A10" s="23" t="s">
        <v>662</v>
      </c>
      <c r="B10" s="23" t="s">
        <v>8478</v>
      </c>
      <c r="C10" s="63">
        <v>100.8</v>
      </c>
      <c r="D10" s="64">
        <v>100.0</v>
      </c>
      <c r="E10" s="63">
        <v>10080.0</v>
      </c>
      <c r="J10" s="1">
        <v>43207.0</v>
      </c>
      <c r="K10" s="23">
        <v>4.1803084E8</v>
      </c>
      <c r="L10" s="23">
        <v>45.0</v>
      </c>
      <c r="M10" s="64">
        <v>400.0</v>
      </c>
      <c r="N10" s="64">
        <v>18000.0</v>
      </c>
    </row>
    <row r="11">
      <c r="A11" s="23" t="s">
        <v>10374</v>
      </c>
      <c r="C11" s="63">
        <v>1123.2</v>
      </c>
      <c r="D11" s="64">
        <v>125.0</v>
      </c>
      <c r="E11" s="63">
        <v>63720.0</v>
      </c>
      <c r="J11" s="1">
        <v>43237.0</v>
      </c>
      <c r="K11" s="23">
        <v>4.18040607E8</v>
      </c>
      <c r="L11" s="23">
        <v>45.0</v>
      </c>
      <c r="M11" s="64">
        <v>400.0</v>
      </c>
      <c r="N11" s="64">
        <v>18000.0</v>
      </c>
    </row>
    <row r="12">
      <c r="C12" s="63"/>
      <c r="E12" s="63"/>
      <c r="J12" s="1">
        <v>43262.0</v>
      </c>
      <c r="K12" s="23">
        <v>4.1804755E8</v>
      </c>
      <c r="L12" s="23">
        <v>45.0</v>
      </c>
      <c r="M12" s="64">
        <v>400.0</v>
      </c>
      <c r="N12" s="64">
        <v>18000.0</v>
      </c>
    </row>
    <row r="13">
      <c r="C13" s="63"/>
      <c r="E13" s="63"/>
      <c r="J13" s="1">
        <v>43304.0</v>
      </c>
      <c r="K13" s="23">
        <v>4.18064683E8</v>
      </c>
      <c r="L13" s="23">
        <v>45.0</v>
      </c>
      <c r="M13" s="64">
        <v>400.0</v>
      </c>
      <c r="N13" s="64">
        <v>18000.0</v>
      </c>
    </row>
    <row r="14">
      <c r="C14" s="63"/>
      <c r="E14" s="63"/>
      <c r="J14" s="1">
        <v>43348.0</v>
      </c>
      <c r="K14" s="23">
        <v>4.18074872E8</v>
      </c>
      <c r="L14" s="23">
        <v>45.0</v>
      </c>
      <c r="M14" s="64">
        <v>400.0</v>
      </c>
      <c r="N14" s="64">
        <v>18000.0</v>
      </c>
    </row>
    <row r="15">
      <c r="C15" s="63"/>
      <c r="E15" s="63"/>
      <c r="J15" s="1">
        <v>43405.0</v>
      </c>
      <c r="K15" s="23" t="s">
        <v>5742</v>
      </c>
      <c r="L15" s="23">
        <v>45.0</v>
      </c>
      <c r="M15" s="64">
        <v>400.0</v>
      </c>
      <c r="N15" s="64">
        <v>18000.0</v>
      </c>
    </row>
    <row r="16">
      <c r="C16" s="63"/>
      <c r="E16" s="63"/>
      <c r="J16" s="1">
        <v>43543.0</v>
      </c>
      <c r="K16" s="23">
        <v>4.1902659E8</v>
      </c>
      <c r="L16" s="23">
        <v>45.0</v>
      </c>
      <c r="M16" s="64">
        <v>400.0</v>
      </c>
      <c r="N16" s="64">
        <v>18000.0</v>
      </c>
    </row>
    <row r="17">
      <c r="C17" s="63"/>
      <c r="E17" s="63"/>
      <c r="J17" s="1">
        <v>43600.0</v>
      </c>
      <c r="K17" s="23">
        <v>4.19042156E8</v>
      </c>
      <c r="L17" s="23">
        <v>45.0</v>
      </c>
      <c r="M17" s="64">
        <v>400.0</v>
      </c>
      <c r="N17" s="64">
        <v>18000.0</v>
      </c>
    </row>
    <row r="18">
      <c r="C18" s="63"/>
      <c r="E18" s="63"/>
      <c r="J18" s="1">
        <v>43654.0</v>
      </c>
      <c r="K18" s="23">
        <v>4.19058888E8</v>
      </c>
      <c r="L18" s="23">
        <v>45.0</v>
      </c>
      <c r="M18" s="64">
        <v>400.0</v>
      </c>
      <c r="N18" s="64">
        <v>18000.0</v>
      </c>
    </row>
    <row r="19">
      <c r="C19" s="63"/>
      <c r="E19" s="63"/>
      <c r="J19" s="1">
        <v>43719.0</v>
      </c>
      <c r="K19" s="23">
        <v>4.19079291E8</v>
      </c>
      <c r="L19" s="23">
        <v>45.0</v>
      </c>
      <c r="M19" s="64">
        <v>400.0</v>
      </c>
      <c r="N19" s="64">
        <v>18000.0</v>
      </c>
    </row>
    <row r="20">
      <c r="C20" s="63"/>
      <c r="E20" s="63"/>
      <c r="J20" s="1">
        <v>43770.0</v>
      </c>
      <c r="K20" s="23" t="s">
        <v>7064</v>
      </c>
      <c r="L20" s="23">
        <v>45.0</v>
      </c>
      <c r="M20" s="64">
        <v>400.0</v>
      </c>
      <c r="N20" s="64">
        <v>18000.0</v>
      </c>
    </row>
    <row r="21" ht="15.75" customHeight="1">
      <c r="C21" s="63"/>
      <c r="E21" s="63"/>
      <c r="I21" s="23" t="s">
        <v>10374</v>
      </c>
      <c r="M21" s="64">
        <v>5560.0</v>
      </c>
      <c r="N21" s="64">
        <v>248400.0</v>
      </c>
    </row>
    <row r="22" ht="15.75" customHeight="1">
      <c r="C22" s="63"/>
      <c r="E22" s="63"/>
    </row>
    <row r="23" ht="15.75" customHeight="1">
      <c r="C23" s="63"/>
      <c r="E23" s="63"/>
    </row>
    <row r="24" ht="15.75" customHeight="1">
      <c r="C24" s="63"/>
      <c r="E24" s="63"/>
    </row>
    <row r="25" ht="15.75" customHeight="1">
      <c r="C25" s="63"/>
      <c r="E25" s="63"/>
    </row>
    <row r="26" ht="15.75" customHeight="1">
      <c r="C26" s="63"/>
      <c r="E26" s="63"/>
    </row>
    <row r="27" ht="15.75" customHeight="1">
      <c r="C27" s="63"/>
      <c r="E27" s="63"/>
    </row>
    <row r="28" ht="15.75" customHeight="1">
      <c r="C28" s="63"/>
      <c r="E28" s="63"/>
    </row>
    <row r="29" ht="15.75" customHeight="1">
      <c r="C29" s="63"/>
      <c r="E29" s="63"/>
    </row>
    <row r="30" ht="15.75" customHeight="1">
      <c r="C30" s="63"/>
      <c r="E30" s="63"/>
    </row>
    <row r="31" ht="15.75" customHeight="1">
      <c r="C31" s="63"/>
      <c r="E31" s="63"/>
    </row>
    <row r="32" ht="15.75" customHeight="1">
      <c r="C32" s="63"/>
      <c r="E32" s="63"/>
    </row>
    <row r="33" ht="15.75" customHeight="1">
      <c r="C33" s="63"/>
      <c r="E33" s="63"/>
    </row>
    <row r="34" ht="15.75" customHeight="1">
      <c r="C34" s="63"/>
      <c r="E34" s="63"/>
    </row>
    <row r="35" ht="15.75" customHeight="1">
      <c r="C35" s="63"/>
      <c r="E35" s="63"/>
    </row>
    <row r="36" ht="15.75" customHeight="1">
      <c r="C36" s="63"/>
      <c r="E36" s="63"/>
    </row>
    <row r="37" ht="15.75" customHeight="1">
      <c r="C37" s="63"/>
      <c r="E37" s="63"/>
    </row>
    <row r="38" ht="15.75" customHeight="1">
      <c r="C38" s="63"/>
      <c r="E38" s="63"/>
    </row>
    <row r="39" ht="15.75" customHeight="1">
      <c r="C39" s="63"/>
      <c r="E39" s="63"/>
    </row>
    <row r="40" ht="15.75" customHeight="1">
      <c r="C40" s="63"/>
      <c r="E40" s="63"/>
    </row>
    <row r="41" ht="15.75" customHeight="1">
      <c r="C41" s="63"/>
      <c r="E41" s="63"/>
    </row>
    <row r="42" ht="15.75" customHeight="1">
      <c r="C42" s="63"/>
      <c r="E42" s="63"/>
    </row>
    <row r="43" ht="15.75" customHeight="1">
      <c r="C43" s="63"/>
      <c r="E43" s="63"/>
    </row>
    <row r="44" ht="15.75" customHeight="1">
      <c r="C44" s="63"/>
      <c r="E44" s="63"/>
    </row>
    <row r="45" ht="15.75" customHeight="1">
      <c r="C45" s="63"/>
      <c r="E45" s="63"/>
    </row>
    <row r="46" ht="15.75" customHeight="1">
      <c r="C46" s="63"/>
      <c r="E46" s="63"/>
    </row>
    <row r="47" ht="15.75" customHeight="1">
      <c r="C47" s="63"/>
      <c r="E47" s="63"/>
    </row>
    <row r="48" ht="15.75" customHeight="1">
      <c r="C48" s="63"/>
      <c r="E48" s="63"/>
    </row>
    <row r="49" ht="15.75" customHeight="1">
      <c r="C49" s="63"/>
      <c r="E49" s="63"/>
    </row>
    <row r="50" ht="15.75" customHeight="1">
      <c r="C50" s="63"/>
      <c r="E50" s="63"/>
    </row>
    <row r="51" ht="15.75" customHeight="1">
      <c r="C51" s="63"/>
      <c r="E51" s="63"/>
    </row>
    <row r="52" ht="15.75" customHeight="1">
      <c r="C52" s="63"/>
      <c r="E52" s="63"/>
    </row>
    <row r="53" ht="15.75" customHeight="1">
      <c r="C53" s="63"/>
      <c r="E53" s="63"/>
    </row>
    <row r="54" ht="15.75" customHeight="1">
      <c r="C54" s="63"/>
      <c r="E54" s="63"/>
    </row>
    <row r="55" ht="15.75" customHeight="1">
      <c r="C55" s="63"/>
      <c r="E55" s="63"/>
    </row>
    <row r="56" ht="15.75" customHeight="1">
      <c r="C56" s="63"/>
      <c r="E56" s="63"/>
    </row>
    <row r="57" ht="15.75" customHeight="1">
      <c r="C57" s="63"/>
      <c r="E57" s="63"/>
    </row>
    <row r="58" ht="15.75" customHeight="1">
      <c r="C58" s="63"/>
      <c r="E58" s="63"/>
    </row>
    <row r="59" ht="15.75" customHeight="1">
      <c r="C59" s="63"/>
      <c r="E59" s="63"/>
    </row>
    <row r="60" ht="15.75" customHeight="1">
      <c r="C60" s="63"/>
      <c r="E60" s="63"/>
    </row>
    <row r="61" ht="15.75" customHeight="1">
      <c r="C61" s="63"/>
      <c r="E61" s="63"/>
    </row>
    <row r="62" ht="15.75" customHeight="1">
      <c r="C62" s="63"/>
      <c r="E62" s="63"/>
    </row>
    <row r="63" ht="15.75" customHeight="1">
      <c r="C63" s="63"/>
      <c r="E63" s="63"/>
    </row>
    <row r="64" ht="15.75" customHeight="1">
      <c r="C64" s="63"/>
      <c r="E64" s="63"/>
    </row>
    <row r="65" ht="15.75" customHeight="1">
      <c r="C65" s="63"/>
      <c r="E65" s="63"/>
    </row>
    <row r="66" ht="15.75" customHeight="1">
      <c r="C66" s="63"/>
      <c r="E66" s="63"/>
    </row>
    <row r="67" ht="15.75" customHeight="1">
      <c r="C67" s="63"/>
      <c r="E67" s="63"/>
    </row>
    <row r="68" ht="15.75" customHeight="1">
      <c r="C68" s="63"/>
      <c r="E68" s="63"/>
    </row>
    <row r="69" ht="15.75" customHeight="1">
      <c r="C69" s="63"/>
      <c r="E69" s="63"/>
    </row>
    <row r="70" ht="15.75" customHeight="1">
      <c r="C70" s="63"/>
      <c r="E70" s="63"/>
    </row>
    <row r="71" ht="15.75" customHeight="1">
      <c r="C71" s="63"/>
      <c r="E71" s="63"/>
    </row>
    <row r="72" ht="15.75" customHeight="1">
      <c r="C72" s="63"/>
      <c r="E72" s="63"/>
    </row>
    <row r="73" ht="15.75" customHeight="1">
      <c r="C73" s="63"/>
      <c r="E73" s="63"/>
    </row>
    <row r="74" ht="15.75" customHeight="1">
      <c r="C74" s="63"/>
      <c r="E74" s="63"/>
    </row>
    <row r="75" ht="15.75" customHeight="1">
      <c r="C75" s="63"/>
      <c r="E75" s="63"/>
    </row>
    <row r="76" ht="15.75" customHeight="1">
      <c r="C76" s="63"/>
      <c r="E76" s="63"/>
    </row>
    <row r="77" ht="15.75" customHeight="1">
      <c r="C77" s="63"/>
      <c r="E77" s="63"/>
    </row>
    <row r="78" ht="15.75" customHeight="1">
      <c r="C78" s="63"/>
      <c r="E78" s="63"/>
    </row>
    <row r="79" ht="15.75" customHeight="1">
      <c r="C79" s="63"/>
      <c r="E79" s="63"/>
    </row>
    <row r="80" ht="15.75" customHeight="1">
      <c r="C80" s="63"/>
      <c r="E80" s="63"/>
    </row>
    <row r="81" ht="15.75" customHeight="1">
      <c r="C81" s="63"/>
      <c r="E81" s="63"/>
    </row>
    <row r="82" ht="15.75" customHeight="1">
      <c r="C82" s="63"/>
      <c r="E82" s="63"/>
    </row>
    <row r="83" ht="15.75" customHeight="1">
      <c r="C83" s="63"/>
      <c r="E83" s="63"/>
    </row>
    <row r="84" ht="15.75" customHeight="1">
      <c r="C84" s="63"/>
      <c r="E84" s="63"/>
    </row>
    <row r="85" ht="15.75" customHeight="1">
      <c r="C85" s="63"/>
      <c r="E85" s="63"/>
    </row>
    <row r="86" ht="15.75" customHeight="1">
      <c r="C86" s="63"/>
      <c r="E86" s="63"/>
    </row>
    <row r="87" ht="15.75" customHeight="1">
      <c r="C87" s="63"/>
      <c r="E87" s="63"/>
    </row>
    <row r="88" ht="15.75" customHeight="1">
      <c r="C88" s="63"/>
      <c r="E88" s="63"/>
    </row>
    <row r="89" ht="15.75" customHeight="1">
      <c r="C89" s="63"/>
      <c r="E89" s="63"/>
    </row>
    <row r="90" ht="15.75" customHeight="1">
      <c r="C90" s="63"/>
      <c r="E90" s="63"/>
    </row>
    <row r="91" ht="15.75" customHeight="1">
      <c r="C91" s="63"/>
      <c r="E91" s="63"/>
    </row>
    <row r="92" ht="15.75" customHeight="1">
      <c r="C92" s="63"/>
      <c r="E92" s="63"/>
    </row>
    <row r="93" ht="15.75" customHeight="1">
      <c r="C93" s="63"/>
      <c r="E93" s="63"/>
    </row>
    <row r="94" ht="15.75" customHeight="1">
      <c r="C94" s="63"/>
      <c r="E94" s="63"/>
    </row>
    <row r="95" ht="15.75" customHeight="1">
      <c r="C95" s="63"/>
      <c r="E95" s="63"/>
    </row>
    <row r="96" ht="15.75" customHeight="1">
      <c r="C96" s="63"/>
      <c r="E96" s="63"/>
    </row>
    <row r="97" ht="15.75" customHeight="1">
      <c r="C97" s="63"/>
      <c r="E97" s="63"/>
    </row>
    <row r="98" ht="15.75" customHeight="1">
      <c r="C98" s="63"/>
      <c r="E98" s="63"/>
    </row>
    <row r="99" ht="15.75" customHeight="1">
      <c r="C99" s="63"/>
      <c r="E99" s="63"/>
    </row>
    <row r="100" ht="15.75" customHeight="1">
      <c r="C100" s="63"/>
      <c r="E100" s="63"/>
    </row>
    <row r="101" ht="15.75" customHeight="1">
      <c r="C101" s="63"/>
      <c r="E101" s="63"/>
    </row>
    <row r="102" ht="15.75" customHeight="1">
      <c r="C102" s="63"/>
      <c r="E102" s="63"/>
    </row>
    <row r="103" ht="15.75" customHeight="1">
      <c r="C103" s="63"/>
      <c r="E103" s="63"/>
    </row>
    <row r="104" ht="15.75" customHeight="1">
      <c r="C104" s="63"/>
      <c r="E104" s="63"/>
    </row>
    <row r="105" ht="15.75" customHeight="1">
      <c r="C105" s="63"/>
      <c r="E105" s="63"/>
    </row>
    <row r="106" ht="15.75" customHeight="1">
      <c r="C106" s="63"/>
      <c r="E106" s="63"/>
    </row>
    <row r="107" ht="15.75" customHeight="1">
      <c r="C107" s="63"/>
      <c r="E107" s="63"/>
    </row>
    <row r="108" ht="15.75" customHeight="1">
      <c r="C108" s="63"/>
      <c r="E108" s="63"/>
    </row>
    <row r="109" ht="15.75" customHeight="1">
      <c r="C109" s="63"/>
      <c r="E109" s="63"/>
    </row>
    <row r="110" ht="15.75" customHeight="1">
      <c r="C110" s="63"/>
      <c r="E110" s="63"/>
    </row>
    <row r="111" ht="15.75" customHeight="1">
      <c r="C111" s="63"/>
      <c r="E111" s="63"/>
    </row>
    <row r="112" ht="15.75" customHeight="1">
      <c r="C112" s="63"/>
      <c r="E112" s="63"/>
    </row>
    <row r="113" ht="15.75" customHeight="1">
      <c r="C113" s="63"/>
      <c r="E113" s="63"/>
    </row>
    <row r="114" ht="15.75" customHeight="1">
      <c r="C114" s="63"/>
      <c r="E114" s="63"/>
    </row>
    <row r="115" ht="15.75" customHeight="1">
      <c r="C115" s="63"/>
      <c r="E115" s="63"/>
    </row>
    <row r="116" ht="15.75" customHeight="1">
      <c r="C116" s="63"/>
      <c r="E116" s="63"/>
    </row>
    <row r="117" ht="15.75" customHeight="1">
      <c r="C117" s="63"/>
      <c r="E117" s="63"/>
    </row>
    <row r="118" ht="15.75" customHeight="1">
      <c r="C118" s="63"/>
      <c r="E118" s="63"/>
    </row>
    <row r="119" ht="15.75" customHeight="1">
      <c r="C119" s="63"/>
      <c r="E119" s="63"/>
    </row>
    <row r="120" ht="15.75" customHeight="1">
      <c r="C120" s="63"/>
      <c r="E120" s="63"/>
    </row>
    <row r="121" ht="15.75" customHeight="1">
      <c r="C121" s="63"/>
      <c r="E121" s="63"/>
    </row>
    <row r="122" ht="15.75" customHeight="1">
      <c r="C122" s="63"/>
      <c r="E122" s="63"/>
    </row>
    <row r="123" ht="15.75" customHeight="1">
      <c r="C123" s="63"/>
      <c r="E123" s="63"/>
    </row>
    <row r="124" ht="15.75" customHeight="1">
      <c r="C124" s="63"/>
      <c r="E124" s="63"/>
    </row>
    <row r="125" ht="15.75" customHeight="1">
      <c r="C125" s="63"/>
      <c r="E125" s="63"/>
    </row>
    <row r="126" ht="15.75" customHeight="1">
      <c r="C126" s="63"/>
      <c r="E126" s="63"/>
    </row>
    <row r="127" ht="15.75" customHeight="1">
      <c r="C127" s="63"/>
      <c r="E127" s="63"/>
    </row>
    <row r="128" ht="15.75" customHeight="1">
      <c r="C128" s="63"/>
      <c r="E128" s="63"/>
    </row>
    <row r="129" ht="15.75" customHeight="1">
      <c r="C129" s="63"/>
      <c r="E129" s="63"/>
    </row>
    <row r="130" ht="15.75" customHeight="1">
      <c r="C130" s="63"/>
      <c r="E130" s="63"/>
    </row>
    <row r="131" ht="15.75" customHeight="1">
      <c r="C131" s="63"/>
      <c r="E131" s="63"/>
    </row>
    <row r="132" ht="15.75" customHeight="1">
      <c r="C132" s="63"/>
      <c r="E132" s="63"/>
    </row>
    <row r="133" ht="15.75" customHeight="1">
      <c r="C133" s="63"/>
      <c r="E133" s="63"/>
    </row>
    <row r="134" ht="15.75" customHeight="1">
      <c r="C134" s="63"/>
      <c r="E134" s="63"/>
    </row>
    <row r="135" ht="15.75" customHeight="1">
      <c r="C135" s="63"/>
      <c r="E135" s="63"/>
    </row>
    <row r="136" ht="15.75" customHeight="1">
      <c r="C136" s="63"/>
      <c r="E136" s="63"/>
    </row>
    <row r="137" ht="15.75" customHeight="1">
      <c r="C137" s="63"/>
      <c r="E137" s="63"/>
    </row>
    <row r="138" ht="15.75" customHeight="1">
      <c r="C138" s="63"/>
      <c r="E138" s="63"/>
    </row>
    <row r="139" ht="15.75" customHeight="1">
      <c r="C139" s="63"/>
      <c r="E139" s="63"/>
    </row>
    <row r="140" ht="15.75" customHeight="1">
      <c r="C140" s="63"/>
      <c r="E140" s="63"/>
    </row>
    <row r="141" ht="15.75" customHeight="1">
      <c r="C141" s="63"/>
      <c r="E141" s="63"/>
    </row>
    <row r="142" ht="15.75" customHeight="1">
      <c r="C142" s="63"/>
      <c r="E142" s="63"/>
    </row>
    <row r="143" ht="15.75" customHeight="1">
      <c r="C143" s="63"/>
      <c r="E143" s="63"/>
    </row>
    <row r="144" ht="15.75" customHeight="1">
      <c r="C144" s="63"/>
      <c r="E144" s="63"/>
    </row>
    <row r="145" ht="15.75" customHeight="1">
      <c r="C145" s="63"/>
      <c r="E145" s="63"/>
    </row>
    <row r="146" ht="15.75" customHeight="1">
      <c r="C146" s="63"/>
      <c r="E146" s="63"/>
    </row>
    <row r="147" ht="15.75" customHeight="1">
      <c r="C147" s="63"/>
      <c r="E147" s="63"/>
    </row>
    <row r="148" ht="15.75" customHeight="1">
      <c r="C148" s="63"/>
      <c r="E148" s="63"/>
    </row>
    <row r="149" ht="15.75" customHeight="1">
      <c r="C149" s="63"/>
      <c r="E149" s="63"/>
    </row>
    <row r="150" ht="15.75" customHeight="1">
      <c r="C150" s="63"/>
      <c r="E150" s="63"/>
    </row>
    <row r="151" ht="15.75" customHeight="1">
      <c r="C151" s="63"/>
      <c r="E151" s="63"/>
    </row>
    <row r="152" ht="15.75" customHeight="1">
      <c r="C152" s="63"/>
      <c r="E152" s="63"/>
    </row>
    <row r="153" ht="15.75" customHeight="1">
      <c r="C153" s="63"/>
      <c r="E153" s="63"/>
    </row>
    <row r="154" ht="15.75" customHeight="1">
      <c r="C154" s="63"/>
      <c r="E154" s="63"/>
    </row>
    <row r="155" ht="15.75" customHeight="1">
      <c r="C155" s="63"/>
      <c r="E155" s="63"/>
    </row>
    <row r="156" ht="15.75" customHeight="1">
      <c r="C156" s="63"/>
      <c r="E156" s="63"/>
    </row>
    <row r="157" ht="15.75" customHeight="1">
      <c r="C157" s="63"/>
      <c r="E157" s="63"/>
    </row>
    <row r="158" ht="15.75" customHeight="1">
      <c r="C158" s="63"/>
      <c r="E158" s="63"/>
    </row>
    <row r="159" ht="15.75" customHeight="1">
      <c r="C159" s="63"/>
      <c r="E159" s="63"/>
    </row>
    <row r="160" ht="15.75" customHeight="1">
      <c r="C160" s="63"/>
      <c r="E160" s="63"/>
    </row>
    <row r="161" ht="15.75" customHeight="1">
      <c r="C161" s="63"/>
      <c r="E161" s="63"/>
    </row>
    <row r="162" ht="15.75" customHeight="1">
      <c r="C162" s="63"/>
      <c r="E162" s="63"/>
    </row>
    <row r="163" ht="15.75" customHeight="1">
      <c r="C163" s="63"/>
      <c r="E163" s="63"/>
    </row>
    <row r="164" ht="15.75" customHeight="1">
      <c r="C164" s="63"/>
      <c r="E164" s="63"/>
    </row>
    <row r="165" ht="15.75" customHeight="1">
      <c r="C165" s="63"/>
      <c r="E165" s="63"/>
    </row>
    <row r="166" ht="15.75" customHeight="1">
      <c r="C166" s="63"/>
      <c r="E166" s="63"/>
    </row>
    <row r="167" ht="15.75" customHeight="1">
      <c r="C167" s="63"/>
      <c r="E167" s="63"/>
    </row>
    <row r="168" ht="15.75" customHeight="1">
      <c r="C168" s="63"/>
      <c r="E168" s="63"/>
    </row>
    <row r="169" ht="15.75" customHeight="1">
      <c r="C169" s="63"/>
      <c r="E169" s="63"/>
    </row>
    <row r="170" ht="15.75" customHeight="1">
      <c r="C170" s="63"/>
      <c r="E170" s="63"/>
    </row>
    <row r="171" ht="15.75" customHeight="1">
      <c r="C171" s="63"/>
      <c r="E171" s="63"/>
    </row>
    <row r="172" ht="15.75" customHeight="1">
      <c r="C172" s="63"/>
      <c r="E172" s="63"/>
    </row>
    <row r="173" ht="15.75" customHeight="1">
      <c r="C173" s="63"/>
      <c r="E173" s="63"/>
    </row>
    <row r="174" ht="15.75" customHeight="1">
      <c r="C174" s="63"/>
      <c r="E174" s="63"/>
    </row>
    <row r="175" ht="15.75" customHeight="1">
      <c r="C175" s="63"/>
      <c r="E175" s="63"/>
    </row>
    <row r="176" ht="15.75" customHeight="1">
      <c r="C176" s="63"/>
      <c r="E176" s="63"/>
    </row>
    <row r="177" ht="15.75" customHeight="1">
      <c r="C177" s="63"/>
      <c r="E177" s="63"/>
    </row>
    <row r="178" ht="15.75" customHeight="1">
      <c r="C178" s="63"/>
      <c r="E178" s="63"/>
    </row>
    <row r="179" ht="15.75" customHeight="1">
      <c r="C179" s="63"/>
      <c r="E179" s="63"/>
    </row>
    <row r="180" ht="15.75" customHeight="1">
      <c r="C180" s="63"/>
      <c r="E180" s="63"/>
    </row>
    <row r="181" ht="15.75" customHeight="1">
      <c r="C181" s="63"/>
      <c r="E181" s="63"/>
    </row>
    <row r="182" ht="15.75" customHeight="1">
      <c r="C182" s="63"/>
      <c r="E182" s="63"/>
    </row>
    <row r="183" ht="15.75" customHeight="1">
      <c r="C183" s="63"/>
      <c r="E183" s="63"/>
    </row>
    <row r="184" ht="15.75" customHeight="1">
      <c r="C184" s="63"/>
      <c r="E184" s="63"/>
    </row>
    <row r="185" ht="15.75" customHeight="1">
      <c r="C185" s="63"/>
      <c r="E185" s="63"/>
    </row>
    <row r="186" ht="15.75" customHeight="1">
      <c r="C186" s="63"/>
      <c r="E186" s="63"/>
    </row>
    <row r="187" ht="15.75" customHeight="1">
      <c r="C187" s="63"/>
      <c r="E187" s="63"/>
    </row>
    <row r="188" ht="15.75" customHeight="1">
      <c r="C188" s="63"/>
      <c r="E188" s="63"/>
    </row>
    <row r="189" ht="15.75" customHeight="1">
      <c r="C189" s="63"/>
      <c r="E189" s="63"/>
    </row>
    <row r="190" ht="15.75" customHeight="1">
      <c r="C190" s="63"/>
      <c r="E190" s="63"/>
    </row>
    <row r="191" ht="15.75" customHeight="1">
      <c r="C191" s="63"/>
      <c r="E191" s="63"/>
    </row>
    <row r="192" ht="15.75" customHeight="1">
      <c r="C192" s="63"/>
      <c r="E192" s="63"/>
    </row>
    <row r="193" ht="15.75" customHeight="1">
      <c r="C193" s="63"/>
      <c r="E193" s="63"/>
    </row>
    <row r="194" ht="15.75" customHeight="1">
      <c r="C194" s="63"/>
      <c r="E194" s="63"/>
    </row>
    <row r="195" ht="15.75" customHeight="1">
      <c r="C195" s="63"/>
      <c r="E195" s="63"/>
    </row>
    <row r="196" ht="15.75" customHeight="1">
      <c r="C196" s="63"/>
      <c r="E196" s="63"/>
    </row>
    <row r="197" ht="15.75" customHeight="1">
      <c r="C197" s="63"/>
      <c r="E197" s="63"/>
    </row>
    <row r="198" ht="15.75" customHeight="1">
      <c r="C198" s="63"/>
      <c r="E198" s="63"/>
    </row>
    <row r="199" ht="15.75" customHeight="1">
      <c r="C199" s="63"/>
      <c r="E199" s="63"/>
    </row>
    <row r="200" ht="15.75" customHeight="1">
      <c r="C200" s="63"/>
      <c r="E200" s="63"/>
    </row>
    <row r="201" ht="15.75" customHeight="1">
      <c r="C201" s="63"/>
      <c r="E201" s="63"/>
    </row>
    <row r="202" ht="15.75" customHeight="1">
      <c r="C202" s="63"/>
      <c r="E202" s="63"/>
    </row>
    <row r="203" ht="15.75" customHeight="1">
      <c r="C203" s="63"/>
      <c r="E203" s="63"/>
    </row>
    <row r="204" ht="15.75" customHeight="1">
      <c r="C204" s="63"/>
      <c r="E204" s="63"/>
    </row>
    <row r="205" ht="15.75" customHeight="1">
      <c r="C205" s="63"/>
      <c r="E205" s="63"/>
    </row>
    <row r="206" ht="15.75" customHeight="1">
      <c r="C206" s="63"/>
      <c r="E206" s="63"/>
    </row>
    <row r="207" ht="15.75" customHeight="1">
      <c r="C207" s="63"/>
      <c r="E207" s="63"/>
    </row>
    <row r="208" ht="15.75" customHeight="1">
      <c r="C208" s="63"/>
      <c r="E208" s="63"/>
    </row>
    <row r="209" ht="15.75" customHeight="1">
      <c r="C209" s="63"/>
      <c r="E209" s="63"/>
    </row>
    <row r="210" ht="15.75" customHeight="1">
      <c r="C210" s="63"/>
      <c r="E210" s="63"/>
    </row>
    <row r="211" ht="15.75" customHeight="1">
      <c r="C211" s="63"/>
      <c r="E211" s="63"/>
    </row>
    <row r="212" ht="15.75" customHeight="1">
      <c r="C212" s="63"/>
      <c r="E212" s="63"/>
    </row>
    <row r="213" ht="15.75" customHeight="1">
      <c r="C213" s="63"/>
      <c r="E213" s="63"/>
    </row>
    <row r="214" ht="15.75" customHeight="1">
      <c r="C214" s="63"/>
      <c r="E214" s="63"/>
    </row>
    <row r="215" ht="15.75" customHeight="1">
      <c r="C215" s="63"/>
      <c r="E215" s="63"/>
    </row>
    <row r="216" ht="15.75" customHeight="1">
      <c r="C216" s="63"/>
      <c r="E216" s="63"/>
    </row>
    <row r="217" ht="15.75" customHeight="1">
      <c r="C217" s="63"/>
      <c r="E217" s="63"/>
    </row>
    <row r="218" ht="15.75" customHeight="1">
      <c r="C218" s="63"/>
      <c r="E218" s="63"/>
    </row>
    <row r="219" ht="15.75" customHeight="1">
      <c r="C219" s="63"/>
      <c r="E219" s="63"/>
    </row>
    <row r="220" ht="15.75" customHeight="1">
      <c r="C220" s="63"/>
      <c r="E220" s="63"/>
    </row>
    <row r="221" ht="15.75" customHeight="1">
      <c r="C221" s="63"/>
      <c r="E221" s="63"/>
    </row>
    <row r="222" ht="15.75" customHeight="1">
      <c r="C222" s="63"/>
      <c r="E222" s="63"/>
    </row>
    <row r="223" ht="15.75" customHeight="1">
      <c r="C223" s="63"/>
      <c r="E223" s="63"/>
    </row>
    <row r="224" ht="15.75" customHeight="1">
      <c r="C224" s="63"/>
      <c r="E224" s="63"/>
    </row>
    <row r="225" ht="15.75" customHeight="1">
      <c r="C225" s="63"/>
      <c r="E225" s="63"/>
    </row>
    <row r="226" ht="15.75" customHeight="1">
      <c r="C226" s="63"/>
      <c r="E226" s="63"/>
    </row>
    <row r="227" ht="15.75" customHeight="1">
      <c r="C227" s="63"/>
      <c r="E227" s="63"/>
    </row>
    <row r="228" ht="15.75" customHeight="1">
      <c r="C228" s="63"/>
      <c r="E228" s="63"/>
    </row>
    <row r="229" ht="15.75" customHeight="1">
      <c r="C229" s="63"/>
      <c r="E229" s="63"/>
    </row>
    <row r="230" ht="15.75" customHeight="1">
      <c r="C230" s="63"/>
      <c r="E230" s="63"/>
    </row>
    <row r="231" ht="15.75" customHeight="1">
      <c r="C231" s="63"/>
      <c r="E231" s="63"/>
    </row>
    <row r="232" ht="15.75" customHeight="1">
      <c r="C232" s="63"/>
      <c r="E232" s="63"/>
    </row>
    <row r="233" ht="15.75" customHeight="1">
      <c r="C233" s="63"/>
      <c r="E233" s="63"/>
    </row>
    <row r="234" ht="15.75" customHeight="1">
      <c r="C234" s="63"/>
      <c r="E234" s="63"/>
    </row>
    <row r="235" ht="15.75" customHeight="1">
      <c r="C235" s="63"/>
      <c r="E235" s="63"/>
    </row>
    <row r="236" ht="15.75" customHeight="1">
      <c r="C236" s="63"/>
      <c r="E236" s="63"/>
    </row>
    <row r="237" ht="15.75" customHeight="1">
      <c r="C237" s="63"/>
      <c r="E237" s="63"/>
    </row>
    <row r="238" ht="15.75" customHeight="1">
      <c r="C238" s="63"/>
      <c r="E238" s="63"/>
    </row>
    <row r="239" ht="15.75" customHeight="1">
      <c r="C239" s="63"/>
      <c r="E239" s="63"/>
    </row>
    <row r="240" ht="15.75" customHeight="1">
      <c r="C240" s="63"/>
      <c r="E240" s="63"/>
    </row>
    <row r="241" ht="15.75" customHeight="1">
      <c r="C241" s="63"/>
      <c r="E241" s="63"/>
    </row>
    <row r="242" ht="15.75" customHeight="1">
      <c r="C242" s="63"/>
      <c r="E242" s="63"/>
    </row>
    <row r="243" ht="15.75" customHeight="1">
      <c r="C243" s="63"/>
      <c r="E243" s="63"/>
    </row>
    <row r="244" ht="15.75" customHeight="1">
      <c r="C244" s="63"/>
      <c r="E244" s="63"/>
    </row>
    <row r="245" ht="15.75" customHeight="1">
      <c r="C245" s="63"/>
      <c r="E245" s="63"/>
    </row>
    <row r="246" ht="15.75" customHeight="1">
      <c r="C246" s="63"/>
      <c r="E246" s="63"/>
    </row>
    <row r="247" ht="15.75" customHeight="1">
      <c r="C247" s="63"/>
      <c r="E247" s="63"/>
    </row>
    <row r="248" ht="15.75" customHeight="1">
      <c r="C248" s="63"/>
      <c r="E248" s="63"/>
    </row>
    <row r="249" ht="15.75" customHeight="1">
      <c r="C249" s="63"/>
      <c r="E249" s="63"/>
    </row>
    <row r="250" ht="15.75" customHeight="1">
      <c r="C250" s="63"/>
      <c r="E250" s="63"/>
    </row>
    <row r="251" ht="15.75" customHeight="1">
      <c r="C251" s="63"/>
      <c r="E251" s="63"/>
    </row>
    <row r="252" ht="15.75" customHeight="1">
      <c r="C252" s="63"/>
      <c r="E252" s="63"/>
    </row>
    <row r="253" ht="15.75" customHeight="1">
      <c r="C253" s="63"/>
      <c r="E253" s="63"/>
    </row>
    <row r="254" ht="15.75" customHeight="1">
      <c r="C254" s="63"/>
      <c r="E254" s="63"/>
    </row>
    <row r="255" ht="15.75" customHeight="1">
      <c r="C255" s="63"/>
      <c r="E255" s="63"/>
    </row>
    <row r="256" ht="15.75" customHeight="1">
      <c r="C256" s="63"/>
      <c r="E256" s="63"/>
    </row>
    <row r="257" ht="15.75" customHeight="1">
      <c r="C257" s="63"/>
      <c r="E257" s="63"/>
    </row>
    <row r="258" ht="15.75" customHeight="1">
      <c r="C258" s="63"/>
      <c r="E258" s="63"/>
    </row>
    <row r="259" ht="15.75" customHeight="1">
      <c r="C259" s="63"/>
      <c r="E259" s="63"/>
    </row>
    <row r="260" ht="15.75" customHeight="1">
      <c r="C260" s="63"/>
      <c r="E260" s="63"/>
    </row>
    <row r="261" ht="15.75" customHeight="1">
      <c r="C261" s="63"/>
      <c r="E261" s="63"/>
    </row>
    <row r="262" ht="15.75" customHeight="1">
      <c r="C262" s="63"/>
      <c r="E262" s="63"/>
    </row>
    <row r="263" ht="15.75" customHeight="1">
      <c r="C263" s="63"/>
      <c r="E263" s="63"/>
    </row>
    <row r="264" ht="15.75" customHeight="1">
      <c r="C264" s="63"/>
      <c r="E264" s="63"/>
    </row>
    <row r="265" ht="15.75" customHeight="1">
      <c r="C265" s="63"/>
      <c r="E265" s="63"/>
    </row>
    <row r="266" ht="15.75" customHeight="1">
      <c r="C266" s="63"/>
      <c r="E266" s="63"/>
    </row>
    <row r="267" ht="15.75" customHeight="1">
      <c r="C267" s="63"/>
      <c r="E267" s="63"/>
    </row>
    <row r="268" ht="15.75" customHeight="1">
      <c r="C268" s="63"/>
      <c r="E268" s="63"/>
    </row>
    <row r="269" ht="15.75" customHeight="1">
      <c r="C269" s="63"/>
      <c r="E269" s="63"/>
    </row>
    <row r="270" ht="15.75" customHeight="1">
      <c r="C270" s="63"/>
      <c r="E270" s="63"/>
    </row>
    <row r="271" ht="15.75" customHeight="1">
      <c r="C271" s="63"/>
      <c r="E271" s="63"/>
    </row>
    <row r="272" ht="15.75" customHeight="1">
      <c r="C272" s="63"/>
      <c r="E272" s="63"/>
    </row>
    <row r="273" ht="15.75" customHeight="1">
      <c r="C273" s="63"/>
      <c r="E273" s="63"/>
    </row>
    <row r="274" ht="15.75" customHeight="1">
      <c r="C274" s="63"/>
      <c r="E274" s="63"/>
    </row>
    <row r="275" ht="15.75" customHeight="1">
      <c r="C275" s="63"/>
      <c r="E275" s="63"/>
    </row>
    <row r="276" ht="15.75" customHeight="1">
      <c r="C276" s="63"/>
      <c r="E276" s="63"/>
    </row>
    <row r="277" ht="15.75" customHeight="1">
      <c r="C277" s="63"/>
      <c r="E277" s="63"/>
    </row>
    <row r="278" ht="15.75" customHeight="1">
      <c r="C278" s="63"/>
      <c r="E278" s="63"/>
    </row>
    <row r="279" ht="15.75" customHeight="1">
      <c r="C279" s="63"/>
      <c r="E279" s="63"/>
    </row>
    <row r="280" ht="15.75" customHeight="1">
      <c r="C280" s="63"/>
      <c r="E280" s="63"/>
    </row>
    <row r="281" ht="15.75" customHeight="1">
      <c r="C281" s="63"/>
      <c r="E281" s="63"/>
    </row>
    <row r="282" ht="15.75" customHeight="1">
      <c r="C282" s="63"/>
      <c r="E282" s="63"/>
    </row>
    <row r="283" ht="15.75" customHeight="1">
      <c r="C283" s="63"/>
      <c r="E283" s="63"/>
    </row>
    <row r="284" ht="15.75" customHeight="1">
      <c r="C284" s="63"/>
      <c r="E284" s="63"/>
    </row>
    <row r="285" ht="15.75" customHeight="1">
      <c r="C285" s="63"/>
      <c r="E285" s="63"/>
    </row>
    <row r="286" ht="15.75" customHeight="1">
      <c r="C286" s="63"/>
      <c r="E286" s="63"/>
    </row>
    <row r="287" ht="15.75" customHeight="1">
      <c r="C287" s="63"/>
      <c r="E287" s="63"/>
    </row>
    <row r="288" ht="15.75" customHeight="1">
      <c r="C288" s="63"/>
      <c r="E288" s="63"/>
    </row>
    <row r="289" ht="15.75" customHeight="1">
      <c r="C289" s="63"/>
      <c r="E289" s="63"/>
    </row>
    <row r="290" ht="15.75" customHeight="1">
      <c r="C290" s="63"/>
      <c r="E290" s="63"/>
    </row>
    <row r="291" ht="15.75" customHeight="1">
      <c r="C291" s="63"/>
      <c r="E291" s="63"/>
    </row>
    <row r="292" ht="15.75" customHeight="1">
      <c r="C292" s="63"/>
      <c r="E292" s="63"/>
    </row>
    <row r="293" ht="15.75" customHeight="1">
      <c r="C293" s="63"/>
      <c r="E293" s="63"/>
    </row>
    <row r="294" ht="15.75" customHeight="1">
      <c r="C294" s="63"/>
      <c r="E294" s="63"/>
    </row>
    <row r="295" ht="15.75" customHeight="1">
      <c r="C295" s="63"/>
      <c r="E295" s="63"/>
    </row>
    <row r="296" ht="15.75" customHeight="1">
      <c r="C296" s="63"/>
      <c r="E296" s="63"/>
    </row>
    <row r="297" ht="15.75" customHeight="1">
      <c r="C297" s="63"/>
      <c r="E297" s="63"/>
    </row>
    <row r="298" ht="15.75" customHeight="1">
      <c r="C298" s="63"/>
      <c r="E298" s="63"/>
    </row>
    <row r="299" ht="15.75" customHeight="1">
      <c r="C299" s="63"/>
      <c r="E299" s="63"/>
    </row>
    <row r="300" ht="15.75" customHeight="1">
      <c r="C300" s="63"/>
      <c r="E300" s="63"/>
    </row>
    <row r="301" ht="15.75" customHeight="1">
      <c r="C301" s="63"/>
      <c r="E301" s="63"/>
    </row>
    <row r="302" ht="15.75" customHeight="1">
      <c r="C302" s="63"/>
      <c r="E302" s="63"/>
    </row>
    <row r="303" ht="15.75" customHeight="1">
      <c r="C303" s="63"/>
      <c r="E303" s="63"/>
    </row>
    <row r="304" ht="15.75" customHeight="1">
      <c r="C304" s="63"/>
      <c r="E304" s="63"/>
    </row>
    <row r="305" ht="15.75" customHeight="1">
      <c r="C305" s="63"/>
      <c r="E305" s="63"/>
    </row>
    <row r="306" ht="15.75" customHeight="1">
      <c r="C306" s="63"/>
      <c r="E306" s="63"/>
    </row>
    <row r="307" ht="15.75" customHeight="1">
      <c r="C307" s="63"/>
      <c r="E307" s="63"/>
    </row>
    <row r="308" ht="15.75" customHeight="1">
      <c r="C308" s="63"/>
      <c r="E308" s="63"/>
    </row>
    <row r="309" ht="15.75" customHeight="1">
      <c r="C309" s="63"/>
      <c r="E309" s="63"/>
    </row>
    <row r="310" ht="15.75" customHeight="1">
      <c r="C310" s="63"/>
      <c r="E310" s="63"/>
    </row>
    <row r="311" ht="15.75" customHeight="1">
      <c r="C311" s="63"/>
      <c r="E311" s="63"/>
    </row>
    <row r="312" ht="15.75" customHeight="1">
      <c r="C312" s="63"/>
      <c r="E312" s="63"/>
    </row>
    <row r="313" ht="15.75" customHeight="1">
      <c r="C313" s="63"/>
      <c r="E313" s="63"/>
    </row>
    <row r="314" ht="15.75" customHeight="1">
      <c r="C314" s="63"/>
      <c r="E314" s="63"/>
    </row>
    <row r="315" ht="15.75" customHeight="1">
      <c r="C315" s="63"/>
      <c r="E315" s="63"/>
    </row>
    <row r="316" ht="15.75" customHeight="1">
      <c r="C316" s="63"/>
      <c r="E316" s="63"/>
    </row>
    <row r="317" ht="15.75" customHeight="1">
      <c r="C317" s="63"/>
      <c r="E317" s="63"/>
    </row>
    <row r="318" ht="15.75" customHeight="1">
      <c r="C318" s="63"/>
      <c r="E318" s="63"/>
    </row>
    <row r="319" ht="15.75" customHeight="1">
      <c r="C319" s="63"/>
      <c r="E319" s="63"/>
    </row>
    <row r="320" ht="15.75" customHeight="1">
      <c r="C320" s="63"/>
      <c r="E320" s="63"/>
    </row>
    <row r="321" ht="15.75" customHeight="1">
      <c r="C321" s="63"/>
      <c r="E321" s="63"/>
    </row>
    <row r="322" ht="15.75" customHeight="1">
      <c r="C322" s="63"/>
      <c r="E322" s="63"/>
    </row>
    <row r="323" ht="15.75" customHeight="1">
      <c r="C323" s="63"/>
      <c r="E323" s="63"/>
    </row>
    <row r="324" ht="15.75" customHeight="1">
      <c r="C324" s="63"/>
      <c r="E324" s="63"/>
    </row>
    <row r="325" ht="15.75" customHeight="1">
      <c r="C325" s="63"/>
      <c r="E325" s="63"/>
    </row>
    <row r="326" ht="15.75" customHeight="1">
      <c r="C326" s="63"/>
      <c r="E326" s="63"/>
    </row>
    <row r="327" ht="15.75" customHeight="1">
      <c r="C327" s="63"/>
      <c r="E327" s="63"/>
    </row>
    <row r="328" ht="15.75" customHeight="1">
      <c r="C328" s="63"/>
      <c r="E328" s="63"/>
    </row>
    <row r="329" ht="15.75" customHeight="1">
      <c r="C329" s="63"/>
      <c r="E329" s="63"/>
    </row>
    <row r="330" ht="15.75" customHeight="1">
      <c r="C330" s="63"/>
      <c r="E330" s="63"/>
    </row>
    <row r="331" ht="15.75" customHeight="1">
      <c r="C331" s="63"/>
      <c r="E331" s="63"/>
    </row>
    <row r="332" ht="15.75" customHeight="1">
      <c r="C332" s="63"/>
      <c r="E332" s="63"/>
    </row>
    <row r="333" ht="15.75" customHeight="1">
      <c r="C333" s="63"/>
      <c r="E333" s="63"/>
    </row>
    <row r="334" ht="15.75" customHeight="1">
      <c r="C334" s="63"/>
      <c r="E334" s="63"/>
    </row>
    <row r="335" ht="15.75" customHeight="1">
      <c r="C335" s="63"/>
      <c r="E335" s="63"/>
    </row>
    <row r="336" ht="15.75" customHeight="1">
      <c r="C336" s="63"/>
      <c r="E336" s="63"/>
    </row>
    <row r="337" ht="15.75" customHeight="1">
      <c r="C337" s="63"/>
      <c r="E337" s="63"/>
    </row>
    <row r="338" ht="15.75" customHeight="1">
      <c r="C338" s="63"/>
      <c r="E338" s="63"/>
    </row>
    <row r="339" ht="15.75" customHeight="1">
      <c r="C339" s="63"/>
      <c r="E339" s="63"/>
    </row>
    <row r="340" ht="15.75" customHeight="1">
      <c r="C340" s="63"/>
      <c r="E340" s="63"/>
    </row>
    <row r="341" ht="15.75" customHeight="1">
      <c r="C341" s="63"/>
      <c r="E341" s="63"/>
    </row>
    <row r="342" ht="15.75" customHeight="1">
      <c r="C342" s="63"/>
      <c r="E342" s="63"/>
    </row>
    <row r="343" ht="15.75" customHeight="1">
      <c r="C343" s="63"/>
      <c r="E343" s="63"/>
    </row>
    <row r="344" ht="15.75" customHeight="1">
      <c r="C344" s="63"/>
      <c r="E344" s="63"/>
    </row>
    <row r="345" ht="15.75" customHeight="1">
      <c r="C345" s="63"/>
      <c r="E345" s="63"/>
    </row>
    <row r="346" ht="15.75" customHeight="1">
      <c r="C346" s="63"/>
      <c r="E346" s="63"/>
    </row>
    <row r="347" ht="15.75" customHeight="1">
      <c r="C347" s="63"/>
      <c r="E347" s="63"/>
    </row>
    <row r="348" ht="15.75" customHeight="1">
      <c r="C348" s="63"/>
      <c r="E348" s="63"/>
    </row>
    <row r="349" ht="15.75" customHeight="1">
      <c r="C349" s="63"/>
      <c r="E349" s="63"/>
    </row>
    <row r="350" ht="15.75" customHeight="1">
      <c r="C350" s="63"/>
      <c r="E350" s="63"/>
    </row>
    <row r="351" ht="15.75" customHeight="1">
      <c r="C351" s="63"/>
      <c r="E351" s="63"/>
    </row>
    <row r="352" ht="15.75" customHeight="1">
      <c r="C352" s="63"/>
      <c r="E352" s="63"/>
    </row>
    <row r="353" ht="15.75" customHeight="1">
      <c r="C353" s="63"/>
      <c r="E353" s="63"/>
    </row>
    <row r="354" ht="15.75" customHeight="1">
      <c r="C354" s="63"/>
      <c r="E354" s="63"/>
    </row>
    <row r="355" ht="15.75" customHeight="1">
      <c r="C355" s="63"/>
      <c r="E355" s="63"/>
    </row>
    <row r="356" ht="15.75" customHeight="1">
      <c r="C356" s="63"/>
      <c r="E356" s="63"/>
    </row>
    <row r="357" ht="15.75" customHeight="1">
      <c r="C357" s="63"/>
      <c r="E357" s="63"/>
    </row>
    <row r="358" ht="15.75" customHeight="1">
      <c r="C358" s="63"/>
      <c r="E358" s="63"/>
    </row>
    <row r="359" ht="15.75" customHeight="1">
      <c r="C359" s="63"/>
      <c r="E359" s="63"/>
    </row>
    <row r="360" ht="15.75" customHeight="1">
      <c r="C360" s="63"/>
      <c r="E360" s="63"/>
    </row>
    <row r="361" ht="15.75" customHeight="1">
      <c r="C361" s="63"/>
      <c r="E361" s="63"/>
    </row>
    <row r="362" ht="15.75" customHeight="1">
      <c r="C362" s="63"/>
      <c r="E362" s="63"/>
    </row>
    <row r="363" ht="15.75" customHeight="1">
      <c r="C363" s="63"/>
      <c r="E363" s="63"/>
    </row>
    <row r="364" ht="15.75" customHeight="1">
      <c r="C364" s="63"/>
      <c r="E364" s="63"/>
    </row>
    <row r="365" ht="15.75" customHeight="1">
      <c r="C365" s="63"/>
      <c r="E365" s="63"/>
    </row>
    <row r="366" ht="15.75" customHeight="1">
      <c r="C366" s="63"/>
      <c r="E366" s="63"/>
    </row>
    <row r="367" ht="15.75" customHeight="1">
      <c r="C367" s="63"/>
      <c r="E367" s="63"/>
    </row>
    <row r="368" ht="15.75" customHeight="1">
      <c r="C368" s="63"/>
      <c r="E368" s="63"/>
    </row>
    <row r="369" ht="15.75" customHeight="1">
      <c r="C369" s="63"/>
      <c r="E369" s="63"/>
    </row>
    <row r="370" ht="15.75" customHeight="1">
      <c r="C370" s="63"/>
      <c r="E370" s="63"/>
    </row>
    <row r="371" ht="15.75" customHeight="1">
      <c r="C371" s="63"/>
      <c r="E371" s="63"/>
    </row>
    <row r="372" ht="15.75" customHeight="1">
      <c r="C372" s="63"/>
      <c r="E372" s="63"/>
    </row>
    <row r="373" ht="15.75" customHeight="1">
      <c r="C373" s="63"/>
      <c r="E373" s="63"/>
    </row>
    <row r="374" ht="15.75" customHeight="1">
      <c r="C374" s="63"/>
      <c r="E374" s="63"/>
    </row>
    <row r="375" ht="15.75" customHeight="1">
      <c r="C375" s="63"/>
      <c r="E375" s="63"/>
    </row>
    <row r="376" ht="15.75" customHeight="1">
      <c r="C376" s="63"/>
      <c r="E376" s="63"/>
    </row>
    <row r="377" ht="15.75" customHeight="1">
      <c r="C377" s="63"/>
      <c r="E377" s="63"/>
    </row>
    <row r="378" ht="15.75" customHeight="1">
      <c r="C378" s="63"/>
      <c r="E378" s="63"/>
    </row>
    <row r="379" ht="15.75" customHeight="1">
      <c r="C379" s="63"/>
      <c r="E379" s="63"/>
    </row>
    <row r="380" ht="15.75" customHeight="1">
      <c r="C380" s="63"/>
      <c r="E380" s="63"/>
    </row>
    <row r="381" ht="15.75" customHeight="1">
      <c r="C381" s="63"/>
      <c r="E381" s="63"/>
    </row>
    <row r="382" ht="15.75" customHeight="1">
      <c r="C382" s="63"/>
      <c r="E382" s="63"/>
    </row>
    <row r="383" ht="15.75" customHeight="1">
      <c r="C383" s="63"/>
      <c r="E383" s="63"/>
    </row>
    <row r="384" ht="15.75" customHeight="1">
      <c r="C384" s="63"/>
      <c r="E384" s="63"/>
    </row>
    <row r="385" ht="15.75" customHeight="1">
      <c r="C385" s="63"/>
      <c r="E385" s="63"/>
    </row>
    <row r="386" ht="15.75" customHeight="1">
      <c r="C386" s="63"/>
      <c r="E386" s="63"/>
    </row>
    <row r="387" ht="15.75" customHeight="1">
      <c r="C387" s="63"/>
      <c r="E387" s="63"/>
    </row>
    <row r="388" ht="15.75" customHeight="1">
      <c r="C388" s="63"/>
      <c r="E388" s="63"/>
    </row>
    <row r="389" ht="15.75" customHeight="1">
      <c r="C389" s="63"/>
      <c r="E389" s="63"/>
    </row>
    <row r="390" ht="15.75" customHeight="1">
      <c r="C390" s="63"/>
      <c r="E390" s="63"/>
    </row>
    <row r="391" ht="15.75" customHeight="1">
      <c r="C391" s="63"/>
      <c r="E391" s="63"/>
    </row>
    <row r="392" ht="15.75" customHeight="1">
      <c r="C392" s="63"/>
      <c r="E392" s="63"/>
    </row>
    <row r="393" ht="15.75" customHeight="1">
      <c r="C393" s="63"/>
      <c r="E393" s="63"/>
    </row>
    <row r="394" ht="15.75" customHeight="1">
      <c r="C394" s="63"/>
      <c r="E394" s="63"/>
    </row>
    <row r="395" ht="15.75" customHeight="1">
      <c r="C395" s="63"/>
      <c r="E395" s="63"/>
    </row>
    <row r="396" ht="15.75" customHeight="1">
      <c r="C396" s="63"/>
      <c r="E396" s="63"/>
    </row>
    <row r="397" ht="15.75" customHeight="1">
      <c r="C397" s="63"/>
      <c r="E397" s="63"/>
    </row>
    <row r="398" ht="15.75" customHeight="1">
      <c r="C398" s="63"/>
      <c r="E398" s="63"/>
    </row>
    <row r="399" ht="15.75" customHeight="1">
      <c r="C399" s="63"/>
      <c r="E399" s="63"/>
    </row>
    <row r="400" ht="15.75" customHeight="1">
      <c r="C400" s="63"/>
      <c r="E400" s="63"/>
    </row>
    <row r="401" ht="15.75" customHeight="1">
      <c r="C401" s="63"/>
      <c r="E401" s="63"/>
    </row>
    <row r="402" ht="15.75" customHeight="1">
      <c r="C402" s="63"/>
      <c r="E402" s="63"/>
    </row>
    <row r="403" ht="15.75" customHeight="1">
      <c r="C403" s="63"/>
      <c r="E403" s="63"/>
    </row>
    <row r="404" ht="15.75" customHeight="1">
      <c r="C404" s="63"/>
      <c r="E404" s="63"/>
    </row>
    <row r="405" ht="15.75" customHeight="1">
      <c r="C405" s="63"/>
      <c r="E405" s="63"/>
    </row>
    <row r="406" ht="15.75" customHeight="1">
      <c r="C406" s="63"/>
      <c r="E406" s="63"/>
    </row>
    <row r="407" ht="15.75" customHeight="1">
      <c r="C407" s="63"/>
      <c r="E407" s="63"/>
    </row>
    <row r="408" ht="15.75" customHeight="1">
      <c r="C408" s="63"/>
      <c r="E408" s="63"/>
    </row>
    <row r="409" ht="15.75" customHeight="1">
      <c r="C409" s="63"/>
      <c r="E409" s="63"/>
    </row>
    <row r="410" ht="15.75" customHeight="1">
      <c r="C410" s="63"/>
      <c r="E410" s="63"/>
    </row>
    <row r="411" ht="15.75" customHeight="1">
      <c r="C411" s="63"/>
      <c r="E411" s="63"/>
    </row>
    <row r="412" ht="15.75" customHeight="1">
      <c r="C412" s="63"/>
      <c r="E412" s="63"/>
    </row>
    <row r="413" ht="15.75" customHeight="1">
      <c r="C413" s="63"/>
      <c r="E413" s="63"/>
    </row>
    <row r="414" ht="15.75" customHeight="1">
      <c r="C414" s="63"/>
      <c r="E414" s="63"/>
    </row>
    <row r="415" ht="15.75" customHeight="1">
      <c r="C415" s="63"/>
      <c r="E415" s="63"/>
    </row>
    <row r="416" ht="15.75" customHeight="1">
      <c r="C416" s="63"/>
      <c r="E416" s="63"/>
    </row>
    <row r="417" ht="15.75" customHeight="1">
      <c r="C417" s="63"/>
      <c r="E417" s="63"/>
    </row>
    <row r="418" ht="15.75" customHeight="1">
      <c r="C418" s="63"/>
      <c r="E418" s="63"/>
    </row>
    <row r="419" ht="15.75" customHeight="1">
      <c r="C419" s="63"/>
      <c r="E419" s="63"/>
    </row>
    <row r="420" ht="15.75" customHeight="1">
      <c r="C420" s="63"/>
      <c r="E420" s="63"/>
    </row>
    <row r="421" ht="15.75" customHeight="1">
      <c r="C421" s="63"/>
      <c r="E421" s="63"/>
    </row>
    <row r="422" ht="15.75" customHeight="1">
      <c r="C422" s="63"/>
      <c r="E422" s="63"/>
    </row>
    <row r="423" ht="15.75" customHeight="1">
      <c r="C423" s="63"/>
      <c r="E423" s="63"/>
    </row>
    <row r="424" ht="15.75" customHeight="1">
      <c r="C424" s="63"/>
      <c r="E424" s="63"/>
    </row>
    <row r="425" ht="15.75" customHeight="1">
      <c r="C425" s="63"/>
      <c r="E425" s="63"/>
    </row>
    <row r="426" ht="15.75" customHeight="1">
      <c r="C426" s="63"/>
      <c r="E426" s="63"/>
    </row>
    <row r="427" ht="15.75" customHeight="1">
      <c r="C427" s="63"/>
      <c r="E427" s="63"/>
    </row>
    <row r="428" ht="15.75" customHeight="1">
      <c r="C428" s="63"/>
      <c r="E428" s="63"/>
    </row>
    <row r="429" ht="15.75" customHeight="1">
      <c r="C429" s="63"/>
      <c r="E429" s="63"/>
    </row>
    <row r="430" ht="15.75" customHeight="1">
      <c r="C430" s="63"/>
      <c r="E430" s="63"/>
    </row>
    <row r="431" ht="15.75" customHeight="1">
      <c r="C431" s="63"/>
      <c r="E431" s="63"/>
    </row>
    <row r="432" ht="15.75" customHeight="1">
      <c r="C432" s="63"/>
      <c r="E432" s="63"/>
    </row>
    <row r="433" ht="15.75" customHeight="1">
      <c r="C433" s="63"/>
      <c r="E433" s="63"/>
    </row>
    <row r="434" ht="15.75" customHeight="1">
      <c r="C434" s="63"/>
      <c r="E434" s="63"/>
    </row>
    <row r="435" ht="15.75" customHeight="1">
      <c r="C435" s="63"/>
      <c r="E435" s="63"/>
    </row>
    <row r="436" ht="15.75" customHeight="1">
      <c r="C436" s="63"/>
      <c r="E436" s="63"/>
    </row>
    <row r="437" ht="15.75" customHeight="1">
      <c r="C437" s="63"/>
      <c r="E437" s="63"/>
    </row>
    <row r="438" ht="15.75" customHeight="1">
      <c r="C438" s="63"/>
      <c r="E438" s="63"/>
    </row>
    <row r="439" ht="15.75" customHeight="1">
      <c r="C439" s="63"/>
      <c r="E439" s="63"/>
    </row>
    <row r="440" ht="15.75" customHeight="1">
      <c r="C440" s="63"/>
      <c r="E440" s="63"/>
    </row>
    <row r="441" ht="15.75" customHeight="1">
      <c r="C441" s="63"/>
      <c r="E441" s="63"/>
    </row>
    <row r="442" ht="15.75" customHeight="1">
      <c r="C442" s="63"/>
      <c r="E442" s="63"/>
    </row>
    <row r="443" ht="15.75" customHeight="1">
      <c r="C443" s="63"/>
      <c r="E443" s="63"/>
    </row>
    <row r="444" ht="15.75" customHeight="1">
      <c r="C444" s="63"/>
      <c r="E444" s="63"/>
    </row>
    <row r="445" ht="15.75" customHeight="1">
      <c r="C445" s="63"/>
      <c r="E445" s="63"/>
    </row>
    <row r="446" ht="15.75" customHeight="1">
      <c r="C446" s="63"/>
      <c r="E446" s="63"/>
    </row>
    <row r="447" ht="15.75" customHeight="1">
      <c r="C447" s="63"/>
      <c r="E447" s="63"/>
    </row>
    <row r="448" ht="15.75" customHeight="1">
      <c r="C448" s="63"/>
      <c r="E448" s="63"/>
    </row>
    <row r="449" ht="15.75" customHeight="1">
      <c r="C449" s="63"/>
      <c r="E449" s="63"/>
    </row>
    <row r="450" ht="15.75" customHeight="1">
      <c r="C450" s="63"/>
      <c r="E450" s="63"/>
    </row>
    <row r="451" ht="15.75" customHeight="1">
      <c r="C451" s="63"/>
      <c r="E451" s="63"/>
    </row>
    <row r="452" ht="15.75" customHeight="1">
      <c r="C452" s="63"/>
      <c r="E452" s="63"/>
    </row>
    <row r="453" ht="15.75" customHeight="1">
      <c r="C453" s="63"/>
      <c r="E453" s="63"/>
    </row>
    <row r="454" ht="15.75" customHeight="1">
      <c r="C454" s="63"/>
      <c r="E454" s="63"/>
    </row>
    <row r="455" ht="15.75" customHeight="1">
      <c r="C455" s="63"/>
      <c r="E455" s="63"/>
    </row>
    <row r="456" ht="15.75" customHeight="1">
      <c r="C456" s="63"/>
      <c r="E456" s="63"/>
    </row>
    <row r="457" ht="15.75" customHeight="1">
      <c r="C457" s="63"/>
      <c r="E457" s="63"/>
    </row>
    <row r="458" ht="15.75" customHeight="1">
      <c r="C458" s="63"/>
      <c r="E458" s="63"/>
    </row>
    <row r="459" ht="15.75" customHeight="1">
      <c r="C459" s="63"/>
      <c r="E459" s="63"/>
    </row>
    <row r="460" ht="15.75" customHeight="1">
      <c r="C460" s="63"/>
      <c r="E460" s="63"/>
    </row>
    <row r="461" ht="15.75" customHeight="1">
      <c r="C461" s="63"/>
      <c r="E461" s="63"/>
    </row>
    <row r="462" ht="15.75" customHeight="1">
      <c r="C462" s="63"/>
      <c r="E462" s="63"/>
    </row>
    <row r="463" ht="15.75" customHeight="1">
      <c r="C463" s="63"/>
      <c r="E463" s="63"/>
    </row>
    <row r="464" ht="15.75" customHeight="1">
      <c r="C464" s="63"/>
      <c r="E464" s="63"/>
    </row>
    <row r="465" ht="15.75" customHeight="1">
      <c r="C465" s="63"/>
      <c r="E465" s="63"/>
    </row>
    <row r="466" ht="15.75" customHeight="1">
      <c r="C466" s="63"/>
      <c r="E466" s="63"/>
    </row>
    <row r="467" ht="15.75" customHeight="1">
      <c r="C467" s="63"/>
      <c r="E467" s="63"/>
    </row>
    <row r="468" ht="15.75" customHeight="1">
      <c r="C468" s="63"/>
      <c r="E468" s="63"/>
    </row>
    <row r="469" ht="15.75" customHeight="1">
      <c r="C469" s="63"/>
      <c r="E469" s="63"/>
    </row>
    <row r="470" ht="15.75" customHeight="1">
      <c r="C470" s="63"/>
      <c r="E470" s="63"/>
    </row>
    <row r="471" ht="15.75" customHeight="1">
      <c r="C471" s="63"/>
      <c r="E471" s="63"/>
    </row>
    <row r="472" ht="15.75" customHeight="1">
      <c r="C472" s="63"/>
      <c r="E472" s="63"/>
    </row>
    <row r="473" ht="15.75" customHeight="1">
      <c r="C473" s="63"/>
      <c r="E473" s="63"/>
    </row>
    <row r="474" ht="15.75" customHeight="1">
      <c r="C474" s="63"/>
      <c r="E474" s="63"/>
    </row>
    <row r="475" ht="15.75" customHeight="1">
      <c r="C475" s="63"/>
      <c r="E475" s="63"/>
    </row>
    <row r="476" ht="15.75" customHeight="1">
      <c r="C476" s="63"/>
      <c r="E476" s="63"/>
    </row>
    <row r="477" ht="15.75" customHeight="1">
      <c r="C477" s="63"/>
      <c r="E477" s="63"/>
    </row>
    <row r="478" ht="15.75" customHeight="1">
      <c r="C478" s="63"/>
      <c r="E478" s="63"/>
    </row>
    <row r="479" ht="15.75" customHeight="1">
      <c r="C479" s="63"/>
      <c r="E479" s="63"/>
    </row>
    <row r="480" ht="15.75" customHeight="1">
      <c r="C480" s="63"/>
      <c r="E480" s="63"/>
    </row>
    <row r="481" ht="15.75" customHeight="1">
      <c r="C481" s="63"/>
      <c r="E481" s="63"/>
    </row>
    <row r="482" ht="15.75" customHeight="1">
      <c r="C482" s="63"/>
      <c r="E482" s="63"/>
    </row>
    <row r="483" ht="15.75" customHeight="1">
      <c r="C483" s="63"/>
      <c r="E483" s="63"/>
    </row>
    <row r="484" ht="15.75" customHeight="1">
      <c r="C484" s="63"/>
      <c r="E484" s="63"/>
    </row>
    <row r="485" ht="15.75" customHeight="1">
      <c r="C485" s="63"/>
      <c r="E485" s="63"/>
    </row>
    <row r="486" ht="15.75" customHeight="1">
      <c r="C486" s="63"/>
      <c r="E486" s="63"/>
    </row>
    <row r="487" ht="15.75" customHeight="1">
      <c r="C487" s="63"/>
      <c r="E487" s="63"/>
    </row>
    <row r="488" ht="15.75" customHeight="1">
      <c r="C488" s="63"/>
      <c r="E488" s="63"/>
    </row>
    <row r="489" ht="15.75" customHeight="1">
      <c r="C489" s="63"/>
      <c r="E489" s="63"/>
    </row>
    <row r="490" ht="15.75" customHeight="1">
      <c r="C490" s="63"/>
      <c r="E490" s="63"/>
    </row>
    <row r="491" ht="15.75" customHeight="1">
      <c r="C491" s="63"/>
      <c r="E491" s="63"/>
    </row>
    <row r="492" ht="15.75" customHeight="1">
      <c r="C492" s="63"/>
      <c r="E492" s="63"/>
    </row>
    <row r="493" ht="15.75" customHeight="1">
      <c r="C493" s="63"/>
      <c r="E493" s="63"/>
    </row>
    <row r="494" ht="15.75" customHeight="1">
      <c r="C494" s="63"/>
      <c r="E494" s="63"/>
    </row>
    <row r="495" ht="15.75" customHeight="1">
      <c r="C495" s="63"/>
      <c r="E495" s="63"/>
    </row>
    <row r="496" ht="15.75" customHeight="1">
      <c r="C496" s="63"/>
      <c r="E496" s="63"/>
    </row>
    <row r="497" ht="15.75" customHeight="1">
      <c r="C497" s="63"/>
      <c r="E497" s="63"/>
    </row>
    <row r="498" ht="15.75" customHeight="1">
      <c r="C498" s="63"/>
      <c r="E498" s="63"/>
    </row>
    <row r="499" ht="15.75" customHeight="1">
      <c r="C499" s="63"/>
      <c r="E499" s="63"/>
    </row>
    <row r="500" ht="15.75" customHeight="1">
      <c r="C500" s="63"/>
      <c r="E500" s="63"/>
    </row>
    <row r="501" ht="15.75" customHeight="1">
      <c r="C501" s="63"/>
      <c r="E501" s="63"/>
    </row>
    <row r="502" ht="15.75" customHeight="1">
      <c r="C502" s="63"/>
      <c r="E502" s="63"/>
    </row>
    <row r="503" ht="15.75" customHeight="1">
      <c r="C503" s="63"/>
      <c r="E503" s="63"/>
    </row>
    <row r="504" ht="15.75" customHeight="1">
      <c r="C504" s="63"/>
      <c r="E504" s="63"/>
    </row>
    <row r="505" ht="15.75" customHeight="1">
      <c r="C505" s="63"/>
      <c r="E505" s="63"/>
    </row>
    <row r="506" ht="15.75" customHeight="1">
      <c r="C506" s="63"/>
      <c r="E506" s="63"/>
    </row>
    <row r="507" ht="15.75" customHeight="1">
      <c r="C507" s="63"/>
      <c r="E507" s="63"/>
    </row>
    <row r="508" ht="15.75" customHeight="1">
      <c r="C508" s="63"/>
      <c r="E508" s="63"/>
    </row>
    <row r="509" ht="15.75" customHeight="1">
      <c r="C509" s="63"/>
      <c r="E509" s="63"/>
    </row>
    <row r="510" ht="15.75" customHeight="1">
      <c r="C510" s="63"/>
      <c r="E510" s="63"/>
    </row>
    <row r="511" ht="15.75" customHeight="1">
      <c r="C511" s="63"/>
      <c r="E511" s="63"/>
    </row>
    <row r="512" ht="15.75" customHeight="1">
      <c r="C512" s="63"/>
      <c r="E512" s="63"/>
    </row>
    <row r="513" ht="15.75" customHeight="1">
      <c r="C513" s="63"/>
      <c r="E513" s="63"/>
    </row>
    <row r="514" ht="15.75" customHeight="1">
      <c r="C514" s="63"/>
      <c r="E514" s="63"/>
    </row>
    <row r="515" ht="15.75" customHeight="1">
      <c r="C515" s="63"/>
      <c r="E515" s="63"/>
    </row>
    <row r="516" ht="15.75" customHeight="1">
      <c r="C516" s="63"/>
      <c r="E516" s="63"/>
    </row>
    <row r="517" ht="15.75" customHeight="1">
      <c r="C517" s="63"/>
      <c r="E517" s="63"/>
    </row>
    <row r="518" ht="15.75" customHeight="1">
      <c r="C518" s="63"/>
      <c r="E518" s="63"/>
    </row>
    <row r="519" ht="15.75" customHeight="1">
      <c r="C519" s="63"/>
      <c r="E519" s="63"/>
    </row>
    <row r="520" ht="15.75" customHeight="1">
      <c r="C520" s="63"/>
      <c r="E520" s="63"/>
    </row>
    <row r="521" ht="15.75" customHeight="1">
      <c r="C521" s="63"/>
      <c r="E521" s="63"/>
    </row>
    <row r="522" ht="15.75" customHeight="1">
      <c r="C522" s="63"/>
      <c r="E522" s="63"/>
    </row>
    <row r="523" ht="15.75" customHeight="1">
      <c r="C523" s="63"/>
      <c r="E523" s="63"/>
    </row>
    <row r="524" ht="15.75" customHeight="1">
      <c r="C524" s="63"/>
      <c r="E524" s="63"/>
    </row>
    <row r="525" ht="15.75" customHeight="1">
      <c r="C525" s="63"/>
      <c r="E525" s="63"/>
    </row>
    <row r="526" ht="15.75" customHeight="1">
      <c r="C526" s="63"/>
      <c r="E526" s="63"/>
    </row>
    <row r="527" ht="15.75" customHeight="1">
      <c r="C527" s="63"/>
      <c r="E527" s="63"/>
    </row>
    <row r="528" ht="15.75" customHeight="1">
      <c r="C528" s="63"/>
      <c r="E528" s="63"/>
    </row>
    <row r="529" ht="15.75" customHeight="1">
      <c r="C529" s="63"/>
      <c r="E529" s="63"/>
    </row>
    <row r="530" ht="15.75" customHeight="1">
      <c r="C530" s="63"/>
      <c r="E530" s="63"/>
    </row>
    <row r="531" ht="15.75" customHeight="1">
      <c r="C531" s="63"/>
      <c r="E531" s="63"/>
    </row>
    <row r="532" ht="15.75" customHeight="1">
      <c r="C532" s="63"/>
      <c r="E532" s="63"/>
    </row>
    <row r="533" ht="15.75" customHeight="1">
      <c r="C533" s="63"/>
      <c r="E533" s="63"/>
    </row>
    <row r="534" ht="15.75" customHeight="1">
      <c r="C534" s="63"/>
      <c r="E534" s="63"/>
    </row>
    <row r="535" ht="15.75" customHeight="1">
      <c r="C535" s="63"/>
      <c r="E535" s="63"/>
    </row>
    <row r="536" ht="15.75" customHeight="1">
      <c r="C536" s="63"/>
      <c r="E536" s="63"/>
    </row>
    <row r="537" ht="15.75" customHeight="1">
      <c r="C537" s="63"/>
      <c r="E537" s="63"/>
    </row>
    <row r="538" ht="15.75" customHeight="1">
      <c r="C538" s="63"/>
      <c r="E538" s="63"/>
    </row>
    <row r="539" ht="15.75" customHeight="1">
      <c r="C539" s="63"/>
      <c r="E539" s="63"/>
    </row>
    <row r="540" ht="15.75" customHeight="1">
      <c r="C540" s="63"/>
      <c r="E540" s="63"/>
    </row>
    <row r="541" ht="15.75" customHeight="1">
      <c r="C541" s="63"/>
      <c r="E541" s="63"/>
    </row>
    <row r="542" ht="15.75" customHeight="1">
      <c r="C542" s="63"/>
      <c r="E542" s="63"/>
    </row>
    <row r="543" ht="15.75" customHeight="1">
      <c r="C543" s="63"/>
      <c r="E543" s="63"/>
    </row>
    <row r="544" ht="15.75" customHeight="1">
      <c r="C544" s="63"/>
      <c r="E544" s="63"/>
    </row>
    <row r="545" ht="15.75" customHeight="1">
      <c r="C545" s="63"/>
      <c r="E545" s="63"/>
    </row>
    <row r="546" ht="15.75" customHeight="1">
      <c r="C546" s="63"/>
      <c r="E546" s="63"/>
    </row>
    <row r="547" ht="15.75" customHeight="1">
      <c r="C547" s="63"/>
      <c r="E547" s="63"/>
    </row>
    <row r="548" ht="15.75" customHeight="1">
      <c r="C548" s="63"/>
      <c r="E548" s="63"/>
    </row>
    <row r="549" ht="15.75" customHeight="1">
      <c r="C549" s="63"/>
      <c r="E549" s="63"/>
    </row>
    <row r="550" ht="15.75" customHeight="1">
      <c r="C550" s="63"/>
      <c r="E550" s="63"/>
    </row>
    <row r="551" ht="15.75" customHeight="1">
      <c r="C551" s="63"/>
      <c r="E551" s="63"/>
    </row>
    <row r="552" ht="15.75" customHeight="1">
      <c r="C552" s="63"/>
      <c r="E552" s="63"/>
    </row>
    <row r="553" ht="15.75" customHeight="1">
      <c r="C553" s="63"/>
      <c r="E553" s="63"/>
    </row>
    <row r="554" ht="15.75" customHeight="1">
      <c r="C554" s="63"/>
      <c r="E554" s="63"/>
    </row>
    <row r="555" ht="15.75" customHeight="1">
      <c r="C555" s="63"/>
      <c r="E555" s="63"/>
    </row>
    <row r="556" ht="15.75" customHeight="1">
      <c r="C556" s="63"/>
      <c r="E556" s="63"/>
    </row>
    <row r="557" ht="15.75" customHeight="1">
      <c r="C557" s="63"/>
      <c r="E557" s="63"/>
    </row>
    <row r="558" ht="15.75" customHeight="1">
      <c r="C558" s="63"/>
      <c r="E558" s="63"/>
    </row>
    <row r="559" ht="15.75" customHeight="1">
      <c r="C559" s="63"/>
      <c r="E559" s="63"/>
    </row>
    <row r="560" ht="15.75" customHeight="1">
      <c r="C560" s="63"/>
      <c r="E560" s="63"/>
    </row>
    <row r="561" ht="15.75" customHeight="1">
      <c r="C561" s="63"/>
      <c r="E561" s="63"/>
    </row>
    <row r="562" ht="15.75" customHeight="1">
      <c r="C562" s="63"/>
      <c r="E562" s="63"/>
    </row>
    <row r="563" ht="15.75" customHeight="1">
      <c r="C563" s="63"/>
      <c r="E563" s="63"/>
    </row>
    <row r="564" ht="15.75" customHeight="1">
      <c r="C564" s="63"/>
      <c r="E564" s="63"/>
    </row>
    <row r="565" ht="15.75" customHeight="1">
      <c r="C565" s="63"/>
      <c r="E565" s="63"/>
    </row>
    <row r="566" ht="15.75" customHeight="1">
      <c r="C566" s="63"/>
      <c r="E566" s="63"/>
    </row>
    <row r="567" ht="15.75" customHeight="1">
      <c r="C567" s="63"/>
      <c r="E567" s="63"/>
    </row>
    <row r="568" ht="15.75" customHeight="1">
      <c r="C568" s="63"/>
      <c r="E568" s="63"/>
    </row>
    <row r="569" ht="15.75" customHeight="1">
      <c r="C569" s="63"/>
      <c r="E569" s="63"/>
    </row>
    <row r="570" ht="15.75" customHeight="1">
      <c r="C570" s="63"/>
      <c r="E570" s="63"/>
    </row>
    <row r="571" ht="15.75" customHeight="1">
      <c r="C571" s="63"/>
      <c r="E571" s="63"/>
    </row>
    <row r="572" ht="15.75" customHeight="1">
      <c r="C572" s="63"/>
      <c r="E572" s="63"/>
    </row>
    <row r="573" ht="15.75" customHeight="1">
      <c r="C573" s="63"/>
      <c r="E573" s="63"/>
    </row>
    <row r="574" ht="15.75" customHeight="1">
      <c r="C574" s="63"/>
      <c r="E574" s="63"/>
    </row>
    <row r="575" ht="15.75" customHeight="1">
      <c r="C575" s="63"/>
      <c r="E575" s="63"/>
    </row>
    <row r="576" ht="15.75" customHeight="1">
      <c r="C576" s="63"/>
      <c r="E576" s="63"/>
    </row>
    <row r="577" ht="15.75" customHeight="1">
      <c r="C577" s="63"/>
      <c r="E577" s="63"/>
    </row>
    <row r="578" ht="15.75" customHeight="1">
      <c r="C578" s="63"/>
      <c r="E578" s="63"/>
    </row>
    <row r="579" ht="15.75" customHeight="1">
      <c r="C579" s="63"/>
      <c r="E579" s="63"/>
    </row>
    <row r="580" ht="15.75" customHeight="1">
      <c r="C580" s="63"/>
      <c r="E580" s="63"/>
    </row>
    <row r="581" ht="15.75" customHeight="1">
      <c r="C581" s="63"/>
      <c r="E581" s="63"/>
    </row>
    <row r="582" ht="15.75" customHeight="1">
      <c r="C582" s="63"/>
      <c r="E582" s="63"/>
    </row>
    <row r="583" ht="15.75" customHeight="1">
      <c r="C583" s="63"/>
      <c r="E583" s="63"/>
    </row>
    <row r="584" ht="15.75" customHeight="1">
      <c r="C584" s="63"/>
      <c r="E584" s="63"/>
    </row>
    <row r="585" ht="15.75" customHeight="1">
      <c r="C585" s="63"/>
      <c r="E585" s="63"/>
    </row>
    <row r="586" ht="15.75" customHeight="1">
      <c r="C586" s="63"/>
      <c r="E586" s="63"/>
    </row>
    <row r="587" ht="15.75" customHeight="1">
      <c r="C587" s="63"/>
      <c r="E587" s="63"/>
    </row>
    <row r="588" ht="15.75" customHeight="1">
      <c r="C588" s="63"/>
      <c r="E588" s="63"/>
    </row>
    <row r="589" ht="15.75" customHeight="1">
      <c r="C589" s="63"/>
      <c r="E589" s="63"/>
    </row>
    <row r="590" ht="15.75" customHeight="1">
      <c r="C590" s="63"/>
      <c r="E590" s="63"/>
    </row>
    <row r="591" ht="15.75" customHeight="1">
      <c r="C591" s="63"/>
      <c r="E591" s="63"/>
    </row>
    <row r="592" ht="15.75" customHeight="1">
      <c r="C592" s="63"/>
      <c r="E592" s="63"/>
    </row>
    <row r="593" ht="15.75" customHeight="1">
      <c r="C593" s="63"/>
      <c r="E593" s="63"/>
    </row>
    <row r="594" ht="15.75" customHeight="1">
      <c r="C594" s="63"/>
      <c r="E594" s="63"/>
    </row>
    <row r="595" ht="15.75" customHeight="1">
      <c r="C595" s="63"/>
      <c r="E595" s="63"/>
    </row>
    <row r="596" ht="15.75" customHeight="1">
      <c r="C596" s="63"/>
      <c r="E596" s="63"/>
    </row>
    <row r="597" ht="15.75" customHeight="1">
      <c r="C597" s="63"/>
      <c r="E597" s="63"/>
    </row>
    <row r="598" ht="15.75" customHeight="1">
      <c r="C598" s="63"/>
      <c r="E598" s="63"/>
    </row>
    <row r="599" ht="15.75" customHeight="1">
      <c r="C599" s="63"/>
      <c r="E599" s="63"/>
    </row>
    <row r="600" ht="15.75" customHeight="1">
      <c r="C600" s="63"/>
      <c r="E600" s="63"/>
    </row>
    <row r="601" ht="15.75" customHeight="1">
      <c r="C601" s="63"/>
      <c r="E601" s="63"/>
    </row>
    <row r="602" ht="15.75" customHeight="1">
      <c r="C602" s="63"/>
      <c r="E602" s="63"/>
    </row>
    <row r="603" ht="15.75" customHeight="1">
      <c r="C603" s="63"/>
      <c r="E603" s="63"/>
    </row>
    <row r="604" ht="15.75" customHeight="1">
      <c r="C604" s="63"/>
      <c r="E604" s="63"/>
    </row>
    <row r="605" ht="15.75" customHeight="1">
      <c r="C605" s="63"/>
      <c r="E605" s="63"/>
    </row>
    <row r="606" ht="15.75" customHeight="1">
      <c r="C606" s="63"/>
      <c r="E606" s="63"/>
    </row>
    <row r="607" ht="15.75" customHeight="1">
      <c r="C607" s="63"/>
      <c r="E607" s="63"/>
    </row>
    <row r="608" ht="15.75" customHeight="1">
      <c r="C608" s="63"/>
      <c r="E608" s="63"/>
    </row>
    <row r="609" ht="15.75" customHeight="1">
      <c r="C609" s="63"/>
      <c r="E609" s="63"/>
    </row>
    <row r="610" ht="15.75" customHeight="1">
      <c r="C610" s="63"/>
      <c r="E610" s="63"/>
    </row>
    <row r="611" ht="15.75" customHeight="1">
      <c r="C611" s="63"/>
      <c r="E611" s="63"/>
    </row>
    <row r="612" ht="15.75" customHeight="1">
      <c r="C612" s="63"/>
      <c r="E612" s="63"/>
    </row>
    <row r="613" ht="15.75" customHeight="1">
      <c r="C613" s="63"/>
      <c r="E613" s="63"/>
    </row>
    <row r="614" ht="15.75" customHeight="1">
      <c r="C614" s="63"/>
      <c r="E614" s="63"/>
    </row>
    <row r="615" ht="15.75" customHeight="1">
      <c r="C615" s="63"/>
      <c r="E615" s="63"/>
    </row>
    <row r="616" ht="15.75" customHeight="1">
      <c r="C616" s="63"/>
      <c r="E616" s="63"/>
    </row>
    <row r="617" ht="15.75" customHeight="1">
      <c r="C617" s="63"/>
      <c r="E617" s="63"/>
    </row>
    <row r="618" ht="15.75" customHeight="1">
      <c r="C618" s="63"/>
      <c r="E618" s="63"/>
    </row>
    <row r="619" ht="15.75" customHeight="1">
      <c r="C619" s="63"/>
      <c r="E619" s="63"/>
    </row>
    <row r="620" ht="15.75" customHeight="1">
      <c r="C620" s="63"/>
      <c r="E620" s="63"/>
    </row>
    <row r="621" ht="15.75" customHeight="1">
      <c r="C621" s="63"/>
      <c r="E621" s="63"/>
    </row>
    <row r="622" ht="15.75" customHeight="1">
      <c r="C622" s="63"/>
      <c r="E622" s="63"/>
    </row>
    <row r="623" ht="15.75" customHeight="1">
      <c r="C623" s="63"/>
      <c r="E623" s="63"/>
    </row>
    <row r="624" ht="15.75" customHeight="1">
      <c r="C624" s="63"/>
      <c r="E624" s="63"/>
    </row>
    <row r="625" ht="15.75" customHeight="1">
      <c r="C625" s="63"/>
      <c r="E625" s="63"/>
    </row>
    <row r="626" ht="15.75" customHeight="1">
      <c r="C626" s="63"/>
      <c r="E626" s="63"/>
    </row>
    <row r="627" ht="15.75" customHeight="1">
      <c r="C627" s="63"/>
      <c r="E627" s="63"/>
    </row>
    <row r="628" ht="15.75" customHeight="1">
      <c r="C628" s="63"/>
      <c r="E628" s="63"/>
    </row>
    <row r="629" ht="15.75" customHeight="1">
      <c r="C629" s="63"/>
      <c r="E629" s="63"/>
    </row>
    <row r="630" ht="15.75" customHeight="1">
      <c r="C630" s="63"/>
      <c r="E630" s="63"/>
    </row>
    <row r="631" ht="15.75" customHeight="1">
      <c r="C631" s="63"/>
      <c r="E631" s="63"/>
    </row>
    <row r="632" ht="15.75" customHeight="1">
      <c r="C632" s="63"/>
      <c r="E632" s="63"/>
    </row>
    <row r="633" ht="15.75" customHeight="1">
      <c r="C633" s="63"/>
      <c r="E633" s="63"/>
    </row>
    <row r="634" ht="15.75" customHeight="1">
      <c r="C634" s="63"/>
      <c r="E634" s="63"/>
    </row>
    <row r="635" ht="15.75" customHeight="1">
      <c r="C635" s="63"/>
      <c r="E635" s="63"/>
    </row>
    <row r="636" ht="15.75" customHeight="1">
      <c r="C636" s="63"/>
      <c r="E636" s="63"/>
    </row>
    <row r="637" ht="15.75" customHeight="1">
      <c r="C637" s="63"/>
      <c r="E637" s="63"/>
    </row>
    <row r="638" ht="15.75" customHeight="1">
      <c r="C638" s="63"/>
      <c r="E638" s="63"/>
    </row>
    <row r="639" ht="15.75" customHeight="1">
      <c r="C639" s="63"/>
      <c r="E639" s="63"/>
    </row>
    <row r="640" ht="15.75" customHeight="1">
      <c r="C640" s="63"/>
      <c r="E640" s="63"/>
    </row>
    <row r="641" ht="15.75" customHeight="1">
      <c r="C641" s="63"/>
      <c r="E641" s="63"/>
    </row>
    <row r="642" ht="15.75" customHeight="1">
      <c r="C642" s="63"/>
      <c r="E642" s="63"/>
    </row>
    <row r="643" ht="15.75" customHeight="1">
      <c r="C643" s="63"/>
      <c r="E643" s="63"/>
    </row>
    <row r="644" ht="15.75" customHeight="1">
      <c r="C644" s="63"/>
      <c r="E644" s="63"/>
    </row>
    <row r="645" ht="15.75" customHeight="1">
      <c r="C645" s="63"/>
      <c r="E645" s="63"/>
    </row>
    <row r="646" ht="15.75" customHeight="1">
      <c r="C646" s="63"/>
      <c r="E646" s="63"/>
    </row>
    <row r="647" ht="15.75" customHeight="1">
      <c r="C647" s="63"/>
      <c r="E647" s="63"/>
    </row>
    <row r="648" ht="15.75" customHeight="1">
      <c r="C648" s="63"/>
      <c r="E648" s="63"/>
    </row>
    <row r="649" ht="15.75" customHeight="1">
      <c r="C649" s="63"/>
      <c r="E649" s="63"/>
    </row>
    <row r="650" ht="15.75" customHeight="1">
      <c r="C650" s="63"/>
      <c r="E650" s="63"/>
    </row>
    <row r="651" ht="15.75" customHeight="1">
      <c r="C651" s="63"/>
      <c r="E651" s="63"/>
    </row>
    <row r="652" ht="15.75" customHeight="1">
      <c r="C652" s="63"/>
      <c r="E652" s="63"/>
    </row>
    <row r="653" ht="15.75" customHeight="1">
      <c r="C653" s="63"/>
      <c r="E653" s="63"/>
    </row>
    <row r="654" ht="15.75" customHeight="1">
      <c r="C654" s="63"/>
      <c r="E654" s="63"/>
    </row>
    <row r="655" ht="15.75" customHeight="1">
      <c r="C655" s="63"/>
      <c r="E655" s="63"/>
    </row>
    <row r="656" ht="15.75" customHeight="1">
      <c r="C656" s="63"/>
      <c r="E656" s="63"/>
    </row>
    <row r="657" ht="15.75" customHeight="1">
      <c r="C657" s="63"/>
      <c r="E657" s="63"/>
    </row>
    <row r="658" ht="15.75" customHeight="1">
      <c r="C658" s="63"/>
      <c r="E658" s="63"/>
    </row>
    <row r="659" ht="15.75" customHeight="1">
      <c r="C659" s="63"/>
      <c r="E659" s="63"/>
    </row>
    <row r="660" ht="15.75" customHeight="1">
      <c r="C660" s="63"/>
      <c r="E660" s="63"/>
    </row>
    <row r="661" ht="15.75" customHeight="1">
      <c r="C661" s="63"/>
      <c r="E661" s="63"/>
    </row>
    <row r="662" ht="15.75" customHeight="1">
      <c r="C662" s="63"/>
      <c r="E662" s="63"/>
    </row>
    <row r="663" ht="15.75" customHeight="1">
      <c r="C663" s="63"/>
      <c r="E663" s="63"/>
    </row>
    <row r="664" ht="15.75" customHeight="1">
      <c r="C664" s="63"/>
      <c r="E664" s="63"/>
    </row>
    <row r="665" ht="15.75" customHeight="1">
      <c r="C665" s="63"/>
      <c r="E665" s="63"/>
    </row>
    <row r="666" ht="15.75" customHeight="1">
      <c r="C666" s="63"/>
      <c r="E666" s="63"/>
    </row>
    <row r="667" ht="15.75" customHeight="1">
      <c r="C667" s="63"/>
      <c r="E667" s="63"/>
    </row>
    <row r="668" ht="15.75" customHeight="1">
      <c r="C668" s="63"/>
      <c r="E668" s="63"/>
    </row>
    <row r="669" ht="15.75" customHeight="1">
      <c r="C669" s="63"/>
      <c r="E669" s="63"/>
    </row>
    <row r="670" ht="15.75" customHeight="1">
      <c r="C670" s="63"/>
      <c r="E670" s="63"/>
    </row>
    <row r="671" ht="15.75" customHeight="1">
      <c r="C671" s="63"/>
      <c r="E671" s="63"/>
    </row>
    <row r="672" ht="15.75" customHeight="1">
      <c r="C672" s="63"/>
      <c r="E672" s="63"/>
    </row>
    <row r="673" ht="15.75" customHeight="1">
      <c r="C673" s="63"/>
      <c r="E673" s="63"/>
    </row>
    <row r="674" ht="15.75" customHeight="1">
      <c r="C674" s="63"/>
      <c r="E674" s="63"/>
    </row>
    <row r="675" ht="15.75" customHeight="1">
      <c r="C675" s="63"/>
      <c r="E675" s="63"/>
    </row>
    <row r="676" ht="15.75" customHeight="1">
      <c r="C676" s="63"/>
      <c r="E676" s="63"/>
    </row>
    <row r="677" ht="15.75" customHeight="1">
      <c r="C677" s="63"/>
      <c r="E677" s="63"/>
    </row>
    <row r="678" ht="15.75" customHeight="1">
      <c r="C678" s="63"/>
      <c r="E678" s="63"/>
    </row>
    <row r="679" ht="15.75" customHeight="1">
      <c r="C679" s="63"/>
      <c r="E679" s="63"/>
    </row>
    <row r="680" ht="15.75" customHeight="1">
      <c r="C680" s="63"/>
      <c r="E680" s="63"/>
    </row>
    <row r="681" ht="15.75" customHeight="1">
      <c r="C681" s="63"/>
      <c r="E681" s="63"/>
    </row>
    <row r="682" ht="15.75" customHeight="1">
      <c r="C682" s="63"/>
      <c r="E682" s="63"/>
    </row>
    <row r="683" ht="15.75" customHeight="1">
      <c r="C683" s="63"/>
      <c r="E683" s="63"/>
    </row>
    <row r="684" ht="15.75" customHeight="1">
      <c r="C684" s="63"/>
      <c r="E684" s="63"/>
    </row>
    <row r="685" ht="15.75" customHeight="1">
      <c r="C685" s="63"/>
      <c r="E685" s="63"/>
    </row>
    <row r="686" ht="15.75" customHeight="1">
      <c r="C686" s="63"/>
      <c r="E686" s="63"/>
    </row>
    <row r="687" ht="15.75" customHeight="1">
      <c r="C687" s="63"/>
      <c r="E687" s="63"/>
    </row>
    <row r="688" ht="15.75" customHeight="1">
      <c r="C688" s="63"/>
      <c r="E688" s="63"/>
    </row>
    <row r="689" ht="15.75" customHeight="1">
      <c r="C689" s="63"/>
      <c r="E689" s="63"/>
    </row>
    <row r="690" ht="15.75" customHeight="1">
      <c r="C690" s="63"/>
      <c r="E690" s="63"/>
    </row>
    <row r="691" ht="15.75" customHeight="1">
      <c r="C691" s="63"/>
      <c r="E691" s="63"/>
    </row>
    <row r="692" ht="15.75" customHeight="1">
      <c r="C692" s="63"/>
      <c r="E692" s="63"/>
    </row>
    <row r="693" ht="15.75" customHeight="1">
      <c r="C693" s="63"/>
      <c r="E693" s="63"/>
    </row>
    <row r="694" ht="15.75" customHeight="1">
      <c r="C694" s="63"/>
      <c r="E694" s="63"/>
    </row>
    <row r="695" ht="15.75" customHeight="1">
      <c r="C695" s="63"/>
      <c r="E695" s="63"/>
    </row>
    <row r="696" ht="15.75" customHeight="1">
      <c r="C696" s="63"/>
      <c r="E696" s="63"/>
    </row>
    <row r="697" ht="15.75" customHeight="1">
      <c r="C697" s="63"/>
      <c r="E697" s="63"/>
    </row>
    <row r="698" ht="15.75" customHeight="1">
      <c r="C698" s="63"/>
      <c r="E698" s="63"/>
    </row>
    <row r="699" ht="15.75" customHeight="1">
      <c r="C699" s="63"/>
      <c r="E699" s="63"/>
    </row>
    <row r="700" ht="15.75" customHeight="1">
      <c r="C700" s="63"/>
      <c r="E700" s="63"/>
    </row>
    <row r="701" ht="15.75" customHeight="1">
      <c r="C701" s="63"/>
      <c r="E701" s="63"/>
    </row>
    <row r="702" ht="15.75" customHeight="1">
      <c r="C702" s="63"/>
      <c r="E702" s="63"/>
    </row>
    <row r="703" ht="15.75" customHeight="1">
      <c r="C703" s="63"/>
      <c r="E703" s="63"/>
    </row>
    <row r="704" ht="15.75" customHeight="1">
      <c r="C704" s="63"/>
      <c r="E704" s="63"/>
    </row>
    <row r="705" ht="15.75" customHeight="1">
      <c r="C705" s="63"/>
      <c r="E705" s="63"/>
    </row>
    <row r="706" ht="15.75" customHeight="1">
      <c r="C706" s="63"/>
      <c r="E706" s="63"/>
    </row>
    <row r="707" ht="15.75" customHeight="1">
      <c r="C707" s="63"/>
      <c r="E707" s="63"/>
    </row>
    <row r="708" ht="15.75" customHeight="1">
      <c r="C708" s="63"/>
      <c r="E708" s="63"/>
    </row>
    <row r="709" ht="15.75" customHeight="1">
      <c r="C709" s="63"/>
      <c r="E709" s="63"/>
    </row>
    <row r="710" ht="15.75" customHeight="1">
      <c r="C710" s="63"/>
      <c r="E710" s="63"/>
    </row>
    <row r="711" ht="15.75" customHeight="1">
      <c r="C711" s="63"/>
      <c r="E711" s="63"/>
    </row>
    <row r="712" ht="15.75" customHeight="1">
      <c r="C712" s="63"/>
      <c r="E712" s="63"/>
    </row>
    <row r="713" ht="15.75" customHeight="1">
      <c r="C713" s="63"/>
      <c r="E713" s="63"/>
    </row>
    <row r="714" ht="15.75" customHeight="1">
      <c r="C714" s="63"/>
      <c r="E714" s="63"/>
    </row>
    <row r="715" ht="15.75" customHeight="1">
      <c r="C715" s="63"/>
      <c r="E715" s="63"/>
    </row>
    <row r="716" ht="15.75" customHeight="1">
      <c r="C716" s="63"/>
      <c r="E716" s="63"/>
    </row>
    <row r="717" ht="15.75" customHeight="1">
      <c r="C717" s="63"/>
      <c r="E717" s="63"/>
    </row>
    <row r="718" ht="15.75" customHeight="1">
      <c r="C718" s="63"/>
      <c r="E718" s="63"/>
    </row>
    <row r="719" ht="15.75" customHeight="1">
      <c r="C719" s="63"/>
      <c r="E719" s="63"/>
    </row>
    <row r="720" ht="15.75" customHeight="1">
      <c r="C720" s="63"/>
      <c r="E720" s="63"/>
    </row>
    <row r="721" ht="15.75" customHeight="1">
      <c r="C721" s="63"/>
      <c r="E721" s="63"/>
    </row>
    <row r="722" ht="15.75" customHeight="1">
      <c r="C722" s="63"/>
      <c r="E722" s="63"/>
    </row>
    <row r="723" ht="15.75" customHeight="1">
      <c r="C723" s="63"/>
      <c r="E723" s="63"/>
    </row>
    <row r="724" ht="15.75" customHeight="1">
      <c r="C724" s="63"/>
      <c r="E724" s="63"/>
    </row>
    <row r="725" ht="15.75" customHeight="1">
      <c r="C725" s="63"/>
      <c r="E725" s="63"/>
    </row>
    <row r="726" ht="15.75" customHeight="1">
      <c r="C726" s="63"/>
      <c r="E726" s="63"/>
    </row>
    <row r="727" ht="15.75" customHeight="1">
      <c r="C727" s="63"/>
      <c r="E727" s="63"/>
    </row>
    <row r="728" ht="15.75" customHeight="1">
      <c r="C728" s="63"/>
      <c r="E728" s="63"/>
    </row>
    <row r="729" ht="15.75" customHeight="1">
      <c r="C729" s="63"/>
      <c r="E729" s="63"/>
    </row>
    <row r="730" ht="15.75" customHeight="1">
      <c r="C730" s="63"/>
      <c r="E730" s="63"/>
    </row>
    <row r="731" ht="15.75" customHeight="1">
      <c r="C731" s="63"/>
      <c r="E731" s="63"/>
    </row>
    <row r="732" ht="15.75" customHeight="1">
      <c r="C732" s="63"/>
      <c r="E732" s="63"/>
    </row>
    <row r="733" ht="15.75" customHeight="1">
      <c r="C733" s="63"/>
      <c r="E733" s="63"/>
    </row>
    <row r="734" ht="15.75" customHeight="1">
      <c r="C734" s="63"/>
      <c r="E734" s="63"/>
    </row>
    <row r="735" ht="15.75" customHeight="1">
      <c r="C735" s="63"/>
      <c r="E735" s="63"/>
    </row>
    <row r="736" ht="15.75" customHeight="1">
      <c r="C736" s="63"/>
      <c r="E736" s="63"/>
    </row>
    <row r="737" ht="15.75" customHeight="1">
      <c r="C737" s="63"/>
      <c r="E737" s="63"/>
    </row>
    <row r="738" ht="15.75" customHeight="1">
      <c r="C738" s="63"/>
      <c r="E738" s="63"/>
    </row>
    <row r="739" ht="15.75" customHeight="1">
      <c r="C739" s="63"/>
      <c r="E739" s="63"/>
    </row>
    <row r="740" ht="15.75" customHeight="1">
      <c r="C740" s="63"/>
      <c r="E740" s="63"/>
    </row>
    <row r="741" ht="15.75" customHeight="1">
      <c r="C741" s="63"/>
      <c r="E741" s="63"/>
    </row>
    <row r="742" ht="15.75" customHeight="1">
      <c r="C742" s="63"/>
      <c r="E742" s="63"/>
    </row>
    <row r="743" ht="15.75" customHeight="1">
      <c r="C743" s="63"/>
      <c r="E743" s="63"/>
    </row>
    <row r="744" ht="15.75" customHeight="1">
      <c r="C744" s="63"/>
      <c r="E744" s="63"/>
    </row>
    <row r="745" ht="15.75" customHeight="1">
      <c r="C745" s="63"/>
      <c r="E745" s="63"/>
    </row>
    <row r="746" ht="15.75" customHeight="1">
      <c r="C746" s="63"/>
      <c r="E746" s="63"/>
    </row>
    <row r="747" ht="15.75" customHeight="1">
      <c r="C747" s="63"/>
      <c r="E747" s="63"/>
    </row>
    <row r="748" ht="15.75" customHeight="1">
      <c r="C748" s="63"/>
      <c r="E748" s="63"/>
    </row>
    <row r="749" ht="15.75" customHeight="1">
      <c r="C749" s="63"/>
      <c r="E749" s="63"/>
    </row>
    <row r="750" ht="15.75" customHeight="1">
      <c r="C750" s="63"/>
      <c r="E750" s="63"/>
    </row>
    <row r="751" ht="15.75" customHeight="1">
      <c r="C751" s="63"/>
      <c r="E751" s="63"/>
    </row>
    <row r="752" ht="15.75" customHeight="1">
      <c r="C752" s="63"/>
      <c r="E752" s="63"/>
    </row>
    <row r="753" ht="15.75" customHeight="1">
      <c r="C753" s="63"/>
      <c r="E753" s="63"/>
    </row>
    <row r="754" ht="15.75" customHeight="1">
      <c r="C754" s="63"/>
      <c r="E754" s="63"/>
    </row>
    <row r="755" ht="15.75" customHeight="1">
      <c r="C755" s="63"/>
      <c r="E755" s="63"/>
    </row>
    <row r="756" ht="15.75" customHeight="1">
      <c r="C756" s="63"/>
      <c r="E756" s="63"/>
    </row>
    <row r="757" ht="15.75" customHeight="1">
      <c r="C757" s="63"/>
      <c r="E757" s="63"/>
    </row>
    <row r="758" ht="15.75" customHeight="1">
      <c r="C758" s="63"/>
      <c r="E758" s="63"/>
    </row>
    <row r="759" ht="15.75" customHeight="1">
      <c r="C759" s="63"/>
      <c r="E759" s="63"/>
    </row>
    <row r="760" ht="15.75" customHeight="1">
      <c r="C760" s="63"/>
      <c r="E760" s="63"/>
    </row>
    <row r="761" ht="15.75" customHeight="1">
      <c r="C761" s="63"/>
      <c r="E761" s="63"/>
    </row>
    <row r="762" ht="15.75" customHeight="1">
      <c r="C762" s="63"/>
      <c r="E762" s="63"/>
    </row>
    <row r="763" ht="15.75" customHeight="1">
      <c r="C763" s="63"/>
      <c r="E763" s="63"/>
    </row>
    <row r="764" ht="15.75" customHeight="1">
      <c r="C764" s="63"/>
      <c r="E764" s="63"/>
    </row>
    <row r="765" ht="15.75" customHeight="1">
      <c r="C765" s="63"/>
      <c r="E765" s="63"/>
    </row>
    <row r="766" ht="15.75" customHeight="1">
      <c r="C766" s="63"/>
      <c r="E766" s="63"/>
    </row>
    <row r="767" ht="15.75" customHeight="1">
      <c r="C767" s="63"/>
      <c r="E767" s="63"/>
    </row>
    <row r="768" ht="15.75" customHeight="1">
      <c r="C768" s="63"/>
      <c r="E768" s="63"/>
    </row>
    <row r="769" ht="15.75" customHeight="1">
      <c r="C769" s="63"/>
      <c r="E769" s="63"/>
    </row>
    <row r="770" ht="15.75" customHeight="1">
      <c r="C770" s="63"/>
      <c r="E770" s="63"/>
    </row>
    <row r="771" ht="15.75" customHeight="1">
      <c r="C771" s="63"/>
      <c r="E771" s="63"/>
    </row>
    <row r="772" ht="15.75" customHeight="1">
      <c r="C772" s="63"/>
      <c r="E772" s="63"/>
    </row>
    <row r="773" ht="15.75" customHeight="1">
      <c r="C773" s="63"/>
      <c r="E773" s="63"/>
    </row>
    <row r="774" ht="15.75" customHeight="1">
      <c r="C774" s="63"/>
      <c r="E774" s="63"/>
    </row>
    <row r="775" ht="15.75" customHeight="1">
      <c r="C775" s="63"/>
      <c r="E775" s="63"/>
    </row>
    <row r="776" ht="15.75" customHeight="1">
      <c r="C776" s="63"/>
      <c r="E776" s="63"/>
    </row>
    <row r="777" ht="15.75" customHeight="1">
      <c r="C777" s="63"/>
      <c r="E777" s="63"/>
    </row>
    <row r="778" ht="15.75" customHeight="1">
      <c r="C778" s="63"/>
      <c r="E778" s="63"/>
    </row>
    <row r="779" ht="15.75" customHeight="1">
      <c r="C779" s="63"/>
      <c r="E779" s="63"/>
    </row>
    <row r="780" ht="15.75" customHeight="1">
      <c r="C780" s="63"/>
      <c r="E780" s="63"/>
    </row>
    <row r="781" ht="15.75" customHeight="1">
      <c r="C781" s="63"/>
      <c r="E781" s="63"/>
    </row>
    <row r="782" ht="15.75" customHeight="1">
      <c r="C782" s="63"/>
      <c r="E782" s="63"/>
    </row>
    <row r="783" ht="15.75" customHeight="1">
      <c r="C783" s="63"/>
      <c r="E783" s="63"/>
    </row>
    <row r="784" ht="15.75" customHeight="1">
      <c r="C784" s="63"/>
      <c r="E784" s="63"/>
    </row>
    <row r="785" ht="15.75" customHeight="1">
      <c r="C785" s="63"/>
      <c r="E785" s="63"/>
    </row>
    <row r="786" ht="15.75" customHeight="1">
      <c r="C786" s="63"/>
      <c r="E786" s="63"/>
    </row>
    <row r="787" ht="15.75" customHeight="1">
      <c r="C787" s="63"/>
      <c r="E787" s="63"/>
    </row>
    <row r="788" ht="15.75" customHeight="1">
      <c r="C788" s="63"/>
      <c r="E788" s="63"/>
    </row>
    <row r="789" ht="15.75" customHeight="1">
      <c r="C789" s="63"/>
      <c r="E789" s="63"/>
    </row>
    <row r="790" ht="15.75" customHeight="1">
      <c r="C790" s="63"/>
      <c r="E790" s="63"/>
    </row>
    <row r="791" ht="15.75" customHeight="1">
      <c r="C791" s="63"/>
      <c r="E791" s="63"/>
    </row>
    <row r="792" ht="15.75" customHeight="1">
      <c r="C792" s="63"/>
      <c r="E792" s="63"/>
    </row>
    <row r="793" ht="15.75" customHeight="1">
      <c r="C793" s="63"/>
      <c r="E793" s="63"/>
    </row>
    <row r="794" ht="15.75" customHeight="1">
      <c r="C794" s="63"/>
      <c r="E794" s="63"/>
    </row>
    <row r="795" ht="15.75" customHeight="1">
      <c r="C795" s="63"/>
      <c r="E795" s="63"/>
    </row>
    <row r="796" ht="15.75" customHeight="1">
      <c r="C796" s="63"/>
      <c r="E796" s="63"/>
    </row>
    <row r="797" ht="15.75" customHeight="1">
      <c r="C797" s="63"/>
      <c r="E797" s="63"/>
    </row>
    <row r="798" ht="15.75" customHeight="1">
      <c r="C798" s="63"/>
      <c r="E798" s="63"/>
    </row>
    <row r="799" ht="15.75" customHeight="1">
      <c r="C799" s="63"/>
      <c r="E799" s="63"/>
    </row>
    <row r="800" ht="15.75" customHeight="1">
      <c r="C800" s="63"/>
      <c r="E800" s="63"/>
    </row>
    <row r="801" ht="15.75" customHeight="1">
      <c r="C801" s="63"/>
      <c r="E801" s="63"/>
    </row>
    <row r="802" ht="15.75" customHeight="1">
      <c r="C802" s="63"/>
      <c r="E802" s="63"/>
    </row>
    <row r="803" ht="15.75" customHeight="1">
      <c r="C803" s="63"/>
      <c r="E803" s="63"/>
    </row>
    <row r="804" ht="15.75" customHeight="1">
      <c r="C804" s="63"/>
      <c r="E804" s="63"/>
    </row>
    <row r="805" ht="15.75" customHeight="1">
      <c r="C805" s="63"/>
      <c r="E805" s="63"/>
    </row>
    <row r="806" ht="15.75" customHeight="1">
      <c r="C806" s="63"/>
      <c r="E806" s="63"/>
    </row>
    <row r="807" ht="15.75" customHeight="1">
      <c r="C807" s="63"/>
      <c r="E807" s="63"/>
    </row>
    <row r="808" ht="15.75" customHeight="1">
      <c r="C808" s="63"/>
      <c r="E808" s="63"/>
    </row>
    <row r="809" ht="15.75" customHeight="1">
      <c r="C809" s="63"/>
      <c r="E809" s="63"/>
    </row>
    <row r="810" ht="15.75" customHeight="1">
      <c r="C810" s="63"/>
      <c r="E810" s="63"/>
    </row>
    <row r="811" ht="15.75" customHeight="1">
      <c r="C811" s="63"/>
      <c r="E811" s="63"/>
    </row>
    <row r="812" ht="15.75" customHeight="1">
      <c r="C812" s="63"/>
      <c r="E812" s="63"/>
    </row>
    <row r="813" ht="15.75" customHeight="1">
      <c r="C813" s="63"/>
      <c r="E813" s="63"/>
    </row>
    <row r="814" ht="15.75" customHeight="1">
      <c r="C814" s="63"/>
      <c r="E814" s="63"/>
    </row>
    <row r="815" ht="15.75" customHeight="1">
      <c r="C815" s="63"/>
      <c r="E815" s="63"/>
    </row>
    <row r="816" ht="15.75" customHeight="1">
      <c r="C816" s="63"/>
      <c r="E816" s="63"/>
    </row>
    <row r="817" ht="15.75" customHeight="1">
      <c r="C817" s="63"/>
      <c r="E817" s="63"/>
    </row>
    <row r="818" ht="15.75" customHeight="1">
      <c r="C818" s="63"/>
      <c r="E818" s="63"/>
    </row>
    <row r="819" ht="15.75" customHeight="1">
      <c r="C819" s="63"/>
      <c r="E819" s="63"/>
    </row>
    <row r="820" ht="15.75" customHeight="1">
      <c r="C820" s="63"/>
      <c r="E820" s="63"/>
    </row>
    <row r="821" ht="15.75" customHeight="1">
      <c r="C821" s="63"/>
      <c r="E821" s="63"/>
    </row>
    <row r="822" ht="15.75" customHeight="1">
      <c r="C822" s="63"/>
      <c r="E822" s="63"/>
    </row>
    <row r="823" ht="15.75" customHeight="1">
      <c r="C823" s="63"/>
      <c r="E823" s="63"/>
    </row>
    <row r="824" ht="15.75" customHeight="1">
      <c r="C824" s="63"/>
      <c r="E824" s="63"/>
    </row>
    <row r="825" ht="15.75" customHeight="1">
      <c r="C825" s="63"/>
      <c r="E825" s="63"/>
    </row>
    <row r="826" ht="15.75" customHeight="1">
      <c r="C826" s="63"/>
      <c r="E826" s="63"/>
    </row>
    <row r="827" ht="15.75" customHeight="1">
      <c r="C827" s="63"/>
      <c r="E827" s="63"/>
    </row>
    <row r="828" ht="15.75" customHeight="1">
      <c r="C828" s="63"/>
      <c r="E828" s="63"/>
    </row>
    <row r="829" ht="15.75" customHeight="1">
      <c r="C829" s="63"/>
      <c r="E829" s="63"/>
    </row>
    <row r="830" ht="15.75" customHeight="1">
      <c r="C830" s="63"/>
      <c r="E830" s="63"/>
    </row>
    <row r="831" ht="15.75" customHeight="1">
      <c r="C831" s="63"/>
      <c r="E831" s="63"/>
    </row>
    <row r="832" ht="15.75" customHeight="1">
      <c r="C832" s="63"/>
      <c r="E832" s="63"/>
    </row>
    <row r="833" ht="15.75" customHeight="1">
      <c r="C833" s="63"/>
      <c r="E833" s="63"/>
    </row>
    <row r="834" ht="15.75" customHeight="1">
      <c r="C834" s="63"/>
      <c r="E834" s="63"/>
    </row>
    <row r="835" ht="15.75" customHeight="1">
      <c r="C835" s="63"/>
      <c r="E835" s="63"/>
    </row>
    <row r="836" ht="15.75" customHeight="1">
      <c r="C836" s="63"/>
      <c r="E836" s="63"/>
    </row>
    <row r="837" ht="15.75" customHeight="1">
      <c r="C837" s="63"/>
      <c r="E837" s="63"/>
    </row>
    <row r="838" ht="15.75" customHeight="1">
      <c r="C838" s="63"/>
      <c r="E838" s="63"/>
    </row>
    <row r="839" ht="15.75" customHeight="1">
      <c r="C839" s="63"/>
      <c r="E839" s="63"/>
    </row>
    <row r="840" ht="15.75" customHeight="1">
      <c r="C840" s="63"/>
      <c r="E840" s="63"/>
    </row>
    <row r="841" ht="15.75" customHeight="1">
      <c r="C841" s="63"/>
      <c r="E841" s="63"/>
    </row>
    <row r="842" ht="15.75" customHeight="1">
      <c r="C842" s="63"/>
      <c r="E842" s="63"/>
    </row>
    <row r="843" ht="15.75" customHeight="1">
      <c r="C843" s="63"/>
      <c r="E843" s="63"/>
    </row>
    <row r="844" ht="15.75" customHeight="1">
      <c r="C844" s="63"/>
      <c r="E844" s="63"/>
    </row>
    <row r="845" ht="15.75" customHeight="1">
      <c r="C845" s="63"/>
      <c r="E845" s="63"/>
    </row>
    <row r="846" ht="15.75" customHeight="1">
      <c r="C846" s="63"/>
      <c r="E846" s="63"/>
    </row>
    <row r="847" ht="15.75" customHeight="1">
      <c r="C847" s="63"/>
      <c r="E847" s="63"/>
    </row>
    <row r="848" ht="15.75" customHeight="1">
      <c r="C848" s="63"/>
      <c r="E848" s="63"/>
    </row>
    <row r="849" ht="15.75" customHeight="1">
      <c r="C849" s="63"/>
      <c r="E849" s="63"/>
    </row>
    <row r="850" ht="15.75" customHeight="1">
      <c r="C850" s="63"/>
      <c r="E850" s="63"/>
    </row>
    <row r="851" ht="15.75" customHeight="1">
      <c r="C851" s="63"/>
      <c r="E851" s="63"/>
    </row>
    <row r="852" ht="15.75" customHeight="1">
      <c r="C852" s="63"/>
      <c r="E852" s="63"/>
    </row>
    <row r="853" ht="15.75" customHeight="1">
      <c r="C853" s="63"/>
      <c r="E853" s="63"/>
    </row>
    <row r="854" ht="15.75" customHeight="1">
      <c r="C854" s="63"/>
      <c r="E854" s="63"/>
    </row>
    <row r="855" ht="15.75" customHeight="1">
      <c r="C855" s="63"/>
      <c r="E855" s="63"/>
    </row>
    <row r="856" ht="15.75" customHeight="1">
      <c r="C856" s="63"/>
      <c r="E856" s="63"/>
    </row>
    <row r="857" ht="15.75" customHeight="1">
      <c r="C857" s="63"/>
      <c r="E857" s="63"/>
    </row>
    <row r="858" ht="15.75" customHeight="1">
      <c r="C858" s="63"/>
      <c r="E858" s="63"/>
    </row>
    <row r="859" ht="15.75" customHeight="1">
      <c r="C859" s="63"/>
      <c r="E859" s="63"/>
    </row>
    <row r="860" ht="15.75" customHeight="1">
      <c r="C860" s="63"/>
      <c r="E860" s="63"/>
    </row>
    <row r="861" ht="15.75" customHeight="1">
      <c r="C861" s="63"/>
      <c r="E861" s="63"/>
    </row>
    <row r="862" ht="15.75" customHeight="1">
      <c r="C862" s="63"/>
      <c r="E862" s="63"/>
    </row>
    <row r="863" ht="15.75" customHeight="1">
      <c r="C863" s="63"/>
      <c r="E863" s="63"/>
    </row>
    <row r="864" ht="15.75" customHeight="1">
      <c r="C864" s="63"/>
      <c r="E864" s="63"/>
    </row>
    <row r="865" ht="15.75" customHeight="1">
      <c r="C865" s="63"/>
      <c r="E865" s="63"/>
    </row>
    <row r="866" ht="15.75" customHeight="1">
      <c r="C866" s="63"/>
      <c r="E866" s="63"/>
    </row>
    <row r="867" ht="15.75" customHeight="1">
      <c r="C867" s="63"/>
      <c r="E867" s="63"/>
    </row>
    <row r="868" ht="15.75" customHeight="1">
      <c r="C868" s="63"/>
      <c r="E868" s="63"/>
    </row>
    <row r="869" ht="15.75" customHeight="1">
      <c r="C869" s="63"/>
      <c r="E869" s="63"/>
    </row>
    <row r="870" ht="15.75" customHeight="1">
      <c r="C870" s="63"/>
      <c r="E870" s="63"/>
    </row>
    <row r="871" ht="15.75" customHeight="1">
      <c r="C871" s="63"/>
      <c r="E871" s="63"/>
    </row>
    <row r="872" ht="15.75" customHeight="1">
      <c r="C872" s="63"/>
      <c r="E872" s="63"/>
    </row>
    <row r="873" ht="15.75" customHeight="1">
      <c r="C873" s="63"/>
      <c r="E873" s="63"/>
    </row>
    <row r="874" ht="15.75" customHeight="1">
      <c r="C874" s="63"/>
      <c r="E874" s="63"/>
    </row>
    <row r="875" ht="15.75" customHeight="1">
      <c r="C875" s="63"/>
      <c r="E875" s="63"/>
    </row>
    <row r="876" ht="15.75" customHeight="1">
      <c r="C876" s="63"/>
      <c r="E876" s="63"/>
    </row>
    <row r="877" ht="15.75" customHeight="1">
      <c r="C877" s="63"/>
      <c r="E877" s="63"/>
    </row>
    <row r="878" ht="15.75" customHeight="1">
      <c r="C878" s="63"/>
      <c r="E878" s="63"/>
    </row>
    <row r="879" ht="15.75" customHeight="1">
      <c r="C879" s="63"/>
      <c r="E879" s="63"/>
    </row>
    <row r="880" ht="15.75" customHeight="1">
      <c r="C880" s="63"/>
      <c r="E880" s="63"/>
    </row>
    <row r="881" ht="15.75" customHeight="1">
      <c r="C881" s="63"/>
      <c r="E881" s="63"/>
    </row>
    <row r="882" ht="15.75" customHeight="1">
      <c r="C882" s="63"/>
      <c r="E882" s="63"/>
    </row>
    <row r="883" ht="15.75" customHeight="1">
      <c r="C883" s="63"/>
      <c r="E883" s="63"/>
    </row>
    <row r="884" ht="15.75" customHeight="1">
      <c r="C884" s="63"/>
      <c r="E884" s="63"/>
    </row>
    <row r="885" ht="15.75" customHeight="1">
      <c r="C885" s="63"/>
      <c r="E885" s="63"/>
    </row>
    <row r="886" ht="15.75" customHeight="1">
      <c r="C886" s="63"/>
      <c r="E886" s="63"/>
    </row>
    <row r="887" ht="15.75" customHeight="1">
      <c r="C887" s="63"/>
      <c r="E887" s="63"/>
    </row>
    <row r="888" ht="15.75" customHeight="1">
      <c r="C888" s="63"/>
      <c r="E888" s="63"/>
    </row>
    <row r="889" ht="15.75" customHeight="1">
      <c r="C889" s="63"/>
      <c r="E889" s="63"/>
    </row>
    <row r="890" ht="15.75" customHeight="1">
      <c r="C890" s="63"/>
      <c r="E890" s="63"/>
    </row>
    <row r="891" ht="15.75" customHeight="1">
      <c r="C891" s="63"/>
      <c r="E891" s="63"/>
    </row>
    <row r="892" ht="15.75" customHeight="1">
      <c r="C892" s="63"/>
      <c r="E892" s="63"/>
    </row>
    <row r="893" ht="15.75" customHeight="1">
      <c r="C893" s="63"/>
      <c r="E893" s="63"/>
    </row>
    <row r="894" ht="15.75" customHeight="1">
      <c r="C894" s="63"/>
      <c r="E894" s="63"/>
    </row>
    <row r="895" ht="15.75" customHeight="1">
      <c r="C895" s="63"/>
      <c r="E895" s="63"/>
    </row>
    <row r="896" ht="15.75" customHeight="1">
      <c r="C896" s="63"/>
      <c r="E896" s="63"/>
    </row>
    <row r="897" ht="15.75" customHeight="1">
      <c r="C897" s="63"/>
      <c r="E897" s="63"/>
    </row>
    <row r="898" ht="15.75" customHeight="1">
      <c r="C898" s="63"/>
      <c r="E898" s="63"/>
    </row>
    <row r="899" ht="15.75" customHeight="1">
      <c r="C899" s="63"/>
      <c r="E899" s="63"/>
    </row>
    <row r="900" ht="15.75" customHeight="1">
      <c r="C900" s="63"/>
      <c r="E900" s="63"/>
    </row>
    <row r="901" ht="15.75" customHeight="1">
      <c r="C901" s="63"/>
      <c r="E901" s="63"/>
    </row>
    <row r="902" ht="15.75" customHeight="1">
      <c r="C902" s="63"/>
      <c r="E902" s="63"/>
    </row>
    <row r="903" ht="15.75" customHeight="1">
      <c r="C903" s="63"/>
      <c r="E903" s="63"/>
    </row>
    <row r="904" ht="15.75" customHeight="1">
      <c r="C904" s="63"/>
      <c r="E904" s="63"/>
    </row>
    <row r="905" ht="15.75" customHeight="1">
      <c r="C905" s="63"/>
      <c r="E905" s="63"/>
    </row>
    <row r="906" ht="15.75" customHeight="1">
      <c r="C906" s="63"/>
      <c r="E906" s="63"/>
    </row>
    <row r="907" ht="15.75" customHeight="1">
      <c r="C907" s="63"/>
      <c r="E907" s="63"/>
    </row>
    <row r="908" ht="15.75" customHeight="1">
      <c r="C908" s="63"/>
      <c r="E908" s="63"/>
    </row>
    <row r="909" ht="15.75" customHeight="1">
      <c r="C909" s="63"/>
      <c r="E909" s="63"/>
    </row>
    <row r="910" ht="15.75" customHeight="1">
      <c r="C910" s="63"/>
      <c r="E910" s="63"/>
    </row>
    <row r="911" ht="15.75" customHeight="1">
      <c r="C911" s="63"/>
      <c r="E911" s="63"/>
    </row>
    <row r="912" ht="15.75" customHeight="1">
      <c r="C912" s="63"/>
      <c r="E912" s="63"/>
    </row>
    <row r="913" ht="15.75" customHeight="1">
      <c r="C913" s="63"/>
      <c r="E913" s="63"/>
    </row>
    <row r="914" ht="15.75" customHeight="1">
      <c r="C914" s="63"/>
      <c r="E914" s="63"/>
    </row>
    <row r="915" ht="15.75" customHeight="1">
      <c r="C915" s="63"/>
      <c r="E915" s="63"/>
    </row>
    <row r="916" ht="15.75" customHeight="1">
      <c r="C916" s="63"/>
      <c r="E916" s="63"/>
    </row>
    <row r="917" ht="15.75" customHeight="1">
      <c r="C917" s="63"/>
      <c r="E917" s="63"/>
    </row>
    <row r="918" ht="15.75" customHeight="1">
      <c r="C918" s="63"/>
      <c r="E918" s="63"/>
    </row>
    <row r="919" ht="15.75" customHeight="1">
      <c r="C919" s="63"/>
      <c r="E919" s="63"/>
    </row>
    <row r="920" ht="15.75" customHeight="1">
      <c r="C920" s="63"/>
      <c r="E920" s="63"/>
    </row>
    <row r="921" ht="15.75" customHeight="1">
      <c r="C921" s="63"/>
      <c r="E921" s="63"/>
    </row>
    <row r="922" ht="15.75" customHeight="1">
      <c r="C922" s="63"/>
      <c r="E922" s="63"/>
    </row>
    <row r="923" ht="15.75" customHeight="1">
      <c r="C923" s="63"/>
      <c r="E923" s="63"/>
    </row>
    <row r="924" ht="15.75" customHeight="1">
      <c r="C924" s="63"/>
      <c r="E924" s="63"/>
    </row>
    <row r="925" ht="15.75" customHeight="1">
      <c r="C925" s="63"/>
      <c r="E925" s="63"/>
    </row>
    <row r="926" ht="15.75" customHeight="1">
      <c r="C926" s="63"/>
      <c r="E926" s="63"/>
    </row>
    <row r="927" ht="15.75" customHeight="1">
      <c r="C927" s="63"/>
      <c r="E927" s="63"/>
    </row>
    <row r="928" ht="15.75" customHeight="1">
      <c r="C928" s="63"/>
      <c r="E928" s="63"/>
    </row>
    <row r="929" ht="15.75" customHeight="1">
      <c r="C929" s="63"/>
      <c r="E929" s="63"/>
    </row>
    <row r="930" ht="15.75" customHeight="1">
      <c r="C930" s="63"/>
      <c r="E930" s="63"/>
    </row>
    <row r="931" ht="15.75" customHeight="1">
      <c r="C931" s="63"/>
      <c r="E931" s="63"/>
    </row>
    <row r="932" ht="15.75" customHeight="1">
      <c r="C932" s="63"/>
      <c r="E932" s="63"/>
    </row>
    <row r="933" ht="15.75" customHeight="1">
      <c r="C933" s="63"/>
      <c r="E933" s="63"/>
    </row>
    <row r="934" ht="15.75" customHeight="1">
      <c r="C934" s="63"/>
      <c r="E934" s="63"/>
    </row>
    <row r="935" ht="15.75" customHeight="1">
      <c r="C935" s="63"/>
      <c r="E935" s="63"/>
    </row>
    <row r="936" ht="15.75" customHeight="1">
      <c r="C936" s="63"/>
      <c r="E936" s="63"/>
    </row>
    <row r="937" ht="15.75" customHeight="1">
      <c r="C937" s="63"/>
      <c r="E937" s="63"/>
    </row>
    <row r="938" ht="15.75" customHeight="1">
      <c r="C938" s="63"/>
      <c r="E938" s="63"/>
    </row>
    <row r="939" ht="15.75" customHeight="1">
      <c r="C939" s="63"/>
      <c r="E939" s="63"/>
    </row>
    <row r="940" ht="15.75" customHeight="1">
      <c r="C940" s="63"/>
      <c r="E940" s="63"/>
    </row>
    <row r="941" ht="15.75" customHeight="1">
      <c r="C941" s="63"/>
      <c r="E941" s="63"/>
    </row>
    <row r="942" ht="15.75" customHeight="1">
      <c r="C942" s="63"/>
      <c r="E942" s="63"/>
    </row>
    <row r="943" ht="15.75" customHeight="1">
      <c r="C943" s="63"/>
      <c r="E943" s="63"/>
    </row>
    <row r="944" ht="15.75" customHeight="1">
      <c r="C944" s="63"/>
      <c r="E944" s="63"/>
    </row>
    <row r="945" ht="15.75" customHeight="1">
      <c r="C945" s="63"/>
      <c r="E945" s="63"/>
    </row>
    <row r="946" ht="15.75" customHeight="1">
      <c r="C946" s="63"/>
      <c r="E946" s="63"/>
    </row>
    <row r="947" ht="15.75" customHeight="1">
      <c r="C947" s="63"/>
      <c r="E947" s="63"/>
    </row>
    <row r="948" ht="15.75" customHeight="1">
      <c r="C948" s="63"/>
      <c r="E948" s="63"/>
    </row>
    <row r="949" ht="15.75" customHeight="1">
      <c r="C949" s="63"/>
      <c r="E949" s="63"/>
    </row>
    <row r="950" ht="15.75" customHeight="1">
      <c r="C950" s="63"/>
      <c r="E950" s="63"/>
    </row>
    <row r="951" ht="15.75" customHeight="1">
      <c r="C951" s="63"/>
      <c r="E951" s="63"/>
    </row>
    <row r="952" ht="15.75" customHeight="1">
      <c r="C952" s="63"/>
      <c r="E952" s="63"/>
    </row>
    <row r="953" ht="15.75" customHeight="1">
      <c r="C953" s="63"/>
      <c r="E953" s="63"/>
    </row>
    <row r="954" ht="15.75" customHeight="1">
      <c r="C954" s="63"/>
      <c r="E954" s="63"/>
    </row>
    <row r="955" ht="15.75" customHeight="1">
      <c r="C955" s="63"/>
      <c r="E955" s="63"/>
    </row>
    <row r="956" ht="15.75" customHeight="1">
      <c r="C956" s="63"/>
      <c r="E956" s="63"/>
    </row>
    <row r="957" ht="15.75" customHeight="1">
      <c r="C957" s="63"/>
      <c r="E957" s="63"/>
    </row>
    <row r="958" ht="15.75" customHeight="1">
      <c r="C958" s="63"/>
      <c r="E958" s="63"/>
    </row>
    <row r="959" ht="15.75" customHeight="1">
      <c r="C959" s="63"/>
      <c r="E959" s="63"/>
    </row>
    <row r="960" ht="15.75" customHeight="1">
      <c r="C960" s="63"/>
      <c r="E960" s="63"/>
    </row>
    <row r="961" ht="15.75" customHeight="1">
      <c r="C961" s="63"/>
      <c r="E961" s="63"/>
    </row>
    <row r="962" ht="15.75" customHeight="1">
      <c r="C962" s="63"/>
      <c r="E962" s="63"/>
    </row>
    <row r="963" ht="15.75" customHeight="1">
      <c r="C963" s="63"/>
      <c r="E963" s="63"/>
    </row>
    <row r="964" ht="15.75" customHeight="1">
      <c r="C964" s="63"/>
      <c r="E964" s="63"/>
    </row>
    <row r="965" ht="15.75" customHeight="1">
      <c r="C965" s="63"/>
      <c r="E965" s="63"/>
    </row>
    <row r="966" ht="15.75" customHeight="1">
      <c r="C966" s="63"/>
      <c r="E966" s="63"/>
    </row>
    <row r="967" ht="15.75" customHeight="1">
      <c r="C967" s="63"/>
      <c r="E967" s="63"/>
    </row>
    <row r="968" ht="15.75" customHeight="1">
      <c r="C968" s="63"/>
      <c r="E968" s="63"/>
    </row>
    <row r="969" ht="15.75" customHeight="1">
      <c r="C969" s="63"/>
      <c r="E969" s="63"/>
    </row>
    <row r="970" ht="15.75" customHeight="1">
      <c r="C970" s="63"/>
      <c r="E970" s="63"/>
    </row>
    <row r="971" ht="15.75" customHeight="1">
      <c r="C971" s="63"/>
      <c r="E971" s="63"/>
    </row>
    <row r="972" ht="15.75" customHeight="1">
      <c r="C972" s="63"/>
      <c r="E972" s="63"/>
    </row>
    <row r="973" ht="15.75" customHeight="1">
      <c r="C973" s="63"/>
      <c r="E973" s="63"/>
    </row>
    <row r="974" ht="15.75" customHeight="1">
      <c r="C974" s="63"/>
      <c r="E974" s="63"/>
    </row>
    <row r="975" ht="15.75" customHeight="1">
      <c r="C975" s="63"/>
      <c r="E975" s="63"/>
    </row>
    <row r="976" ht="15.75" customHeight="1">
      <c r="C976" s="63"/>
      <c r="E976" s="63"/>
    </row>
    <row r="977" ht="15.75" customHeight="1">
      <c r="C977" s="63"/>
      <c r="E977" s="63"/>
    </row>
    <row r="978" ht="15.75" customHeight="1">
      <c r="C978" s="63"/>
      <c r="E978" s="63"/>
    </row>
    <row r="979" ht="15.75" customHeight="1">
      <c r="C979" s="63"/>
      <c r="E979" s="63"/>
    </row>
    <row r="980" ht="15.75" customHeight="1">
      <c r="C980" s="63"/>
      <c r="E980" s="63"/>
    </row>
    <row r="981" ht="15.75" customHeight="1">
      <c r="C981" s="63"/>
      <c r="E981" s="63"/>
    </row>
    <row r="982" ht="15.75" customHeight="1">
      <c r="C982" s="63"/>
      <c r="E982" s="63"/>
    </row>
    <row r="983" ht="15.75" customHeight="1">
      <c r="C983" s="63"/>
      <c r="E983" s="63"/>
    </row>
    <row r="984" ht="15.75" customHeight="1">
      <c r="C984" s="63"/>
      <c r="E984" s="63"/>
    </row>
    <row r="985" ht="15.75" customHeight="1">
      <c r="C985" s="63"/>
      <c r="E985" s="63"/>
    </row>
    <row r="986" ht="15.75" customHeight="1">
      <c r="C986" s="63"/>
      <c r="E986" s="63"/>
    </row>
    <row r="987" ht="15.75" customHeight="1">
      <c r="C987" s="63"/>
      <c r="E987" s="63"/>
    </row>
    <row r="988" ht="15.75" customHeight="1">
      <c r="C988" s="63"/>
      <c r="E988" s="63"/>
    </row>
    <row r="989" ht="15.75" customHeight="1">
      <c r="C989" s="63"/>
      <c r="E989" s="63"/>
    </row>
    <row r="990" ht="15.75" customHeight="1">
      <c r="C990" s="63"/>
      <c r="E990" s="63"/>
    </row>
    <row r="991" ht="15.75" customHeight="1">
      <c r="C991" s="63"/>
      <c r="E991" s="63"/>
    </row>
    <row r="992" ht="15.75" customHeight="1">
      <c r="C992" s="63"/>
      <c r="E992" s="63"/>
    </row>
    <row r="993" ht="15.75" customHeight="1">
      <c r="C993" s="63"/>
      <c r="E993" s="63"/>
    </row>
    <row r="994" ht="15.75" customHeight="1">
      <c r="C994" s="63"/>
      <c r="E994" s="63"/>
    </row>
    <row r="995" ht="15.75" customHeight="1">
      <c r="C995" s="63"/>
      <c r="E995" s="63"/>
    </row>
    <row r="996" ht="15.75" customHeight="1">
      <c r="C996" s="63"/>
      <c r="E996" s="63"/>
    </row>
    <row r="997" ht="15.75" customHeight="1">
      <c r="C997" s="63"/>
      <c r="E997" s="63"/>
    </row>
    <row r="998" ht="15.75" customHeight="1">
      <c r="C998" s="63"/>
      <c r="E998" s="63"/>
    </row>
    <row r="999" ht="15.75" customHeight="1">
      <c r="C999" s="63"/>
      <c r="E999" s="63"/>
    </row>
    <row r="1000" ht="15.75" customHeight="1">
      <c r="C1000" s="63"/>
      <c r="E1000" s="6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2018-07-16T06:35:28Z</dcterms:created>
  <dc:creator>Fuse m</dc:creator>
</cp:coreProperties>
</file>